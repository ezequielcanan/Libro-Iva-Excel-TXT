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mi\Desktop\Zequi\Libro-Iva-Excel-TXT\"/>
    </mc:Choice>
  </mc:AlternateContent>
  <bookViews>
    <workbookView xWindow="0" yWindow="0" windowWidth="28800" windowHeight="12330" activeTab="1"/>
  </bookViews>
  <sheets>
    <sheet name="Leer" sheetId="5" r:id="rId1"/>
    <sheet name="Ventas" sheetId="1" r:id="rId2"/>
    <sheet name="Importar Ventas" sheetId="3" r:id="rId3"/>
    <sheet name="Tablas" sheetId="2" r:id="rId4"/>
  </sheets>
  <externalReferences>
    <externalReference r:id="rId5"/>
    <externalReference r:id="rId6"/>
    <externalReference r:id="rId7"/>
    <externalReference r:id="rId8"/>
    <externalReference r:id="rId9"/>
  </externalReferences>
  <definedNames>
    <definedName name="Alic_Ok">[1]Tablas!$G$3:$G$8</definedName>
    <definedName name="CodComp_Ok">[1]Tablas!$I$3:$I$74</definedName>
    <definedName name="D_Ban">'[2]Datos Liquid'!$C$13</definedName>
    <definedName name="D_CUIT">'[2]Datos Liquid'!$C$5</definedName>
    <definedName name="D_Dom">'[2]Datos Liquid'!$C$6</definedName>
    <definedName name="D_Emp">'[2]Datos Liquid'!$C$4</definedName>
    <definedName name="D_FechDep">'[2]Datos Liquid'!$C$14</definedName>
    <definedName name="D_FechPago">'[2]Datos Liquid'!$C$11</definedName>
    <definedName name="D_FechPago2">'[2]Datos Liquid'!$D$11</definedName>
    <definedName name="D_LugPago">'[2]Datos Liquid'!$C$10</definedName>
    <definedName name="D_PerLiq">'[2]Datos Liquid'!$C$9</definedName>
    <definedName name="D_RecIni">'[2]Datos Liquid'!$C$15</definedName>
    <definedName name="D_UltPer">'[2]Datos Liquid'!$C$12</definedName>
    <definedName name="Docum_Ok">[1]Tablas!$AG$3:$AG$38</definedName>
    <definedName name="F_F">Leer!#REF!</definedName>
    <definedName name="ID_Detalle">'[3]Detalle Producto'!$D$3</definedName>
    <definedName name="Imp_Comp" localSheetId="0">[1]Compras!$CN$9:$CO$1008</definedName>
    <definedName name="Imp_Comp">[4]Compras!$CN$12:$CO$1011</definedName>
    <definedName name="Imp_IVA1" localSheetId="0">[1]Compras!$CP$8:$CQ$1008</definedName>
    <definedName name="Imp_IVA1">Ventas!$CG$12:$CH$1011</definedName>
    <definedName name="Imp_IVA2" localSheetId="0">[1]Compras!$CR$8:$CS$1008</definedName>
    <definedName name="Imp_IVA2">Ventas!$CI$11:$CJ$1011</definedName>
    <definedName name="IMP_IVAImp1" localSheetId="0">[1]Compras!$CT$8:$CU$1008</definedName>
    <definedName name="IMP_IVAImp1">[4]Compras!$CT$11:$CU$1011</definedName>
    <definedName name="IMP_IVAImp2" localSheetId="0">[1]Compras!$CV$8:$CW$1008</definedName>
    <definedName name="IMP_IVAImp2">[4]Compras!$CV$11:$CW$1011</definedName>
    <definedName name="ImpComp">Ventas!$CE$12:$CF$1011</definedName>
    <definedName name="Jurisd">[5]Aux!$B$2:$C$26</definedName>
    <definedName name="MaxComp" localSheetId="0">[1]Compras!$CN$6</definedName>
    <definedName name="MaxComp">Ventas!$CE$9</definedName>
    <definedName name="MaxD">[2]Liquidacion!$B$8</definedName>
    <definedName name="MaxE">[2]Empleados!$B$1</definedName>
    <definedName name="MaxIVA" localSheetId="0">[1]Compras!$CR$6</definedName>
    <definedName name="MaxIVA">Ventas!$CI$9</definedName>
    <definedName name="MaxIVAImp" localSheetId="0">[1]Compras!$CV$6</definedName>
    <definedName name="MaxIVAImp">[4]Compras!$CV$9</definedName>
    <definedName name="MaxR">[2]Liquidacion!$B$7</definedName>
    <definedName name="Moneda_Ok">[1]Tablas!$AJ$3:$AJ$53</definedName>
    <definedName name="Operacion_Ok">[1]Tablas!$X$3:$X$9</definedName>
    <definedName name="T_Aduanas">Tablas!$B$2:$C$69</definedName>
    <definedName name="T_Alicuotas" localSheetId="0">[1]Tablas!$E$2:$G$13</definedName>
    <definedName name="T_Alicuotas">Tablas!$E$2:$G$8</definedName>
    <definedName name="T_ArmaConc">[2]Liquidacion!$E$3:$CF$5</definedName>
    <definedName name="T_CodOperCompras" localSheetId="0">[1]Tablas!$X$2:$Y$14</definedName>
    <definedName name="T_CodOperCompras">Tablas!$X$2:$Y$9</definedName>
    <definedName name="T_CodOperVentas">Tablas!$AA$2:$AB$9</definedName>
    <definedName name="T_CompCompras" localSheetId="0">[1]Tablas!$I$2:$J$79</definedName>
    <definedName name="T_CompCompras">Tablas!$I$2:$J$75</definedName>
    <definedName name="T_CompServ">Tablas!$O$2:$P$5</definedName>
    <definedName name="T_CompVentas">Tablas!$L$2:$M$65</definedName>
    <definedName name="T_ConcCompGlobales">Tablas!$R$2:$S$7</definedName>
    <definedName name="T_CUITPaises">Tablas!$U$2:$V$440</definedName>
    <definedName name="T_Des">[2]Conceptos!$E$2:$F$52</definedName>
    <definedName name="T_Destinacion">Tablas!$AD$2:$AE$90</definedName>
    <definedName name="T_Documentos" localSheetId="0">[1]Tablas!$AG$2:$AH$43</definedName>
    <definedName name="T_Documentos">Tablas!$AG$2:$AH$38</definedName>
    <definedName name="T_Emp">[2]Empleados!$G$3:$R$52</definedName>
    <definedName name="T_ImpRec">[2]Empleados!$B$2:$G$52</definedName>
    <definedName name="T_Liq">[2]Liquidacion!$B$10:$CF$58</definedName>
    <definedName name="T_Monedas" localSheetId="0">[1]Tablas!$AJ$2:$AK$58</definedName>
    <definedName name="T_Monedas">Tablas!$AJ$2:$AK$53</definedName>
    <definedName name="T_Movi">'[3]Base de Datos'!$G$3:$I$104</definedName>
    <definedName name="T_MoviTodos">[3]Movimientos!$B$5:$P$1204</definedName>
    <definedName name="T_NoR">[2]Conceptos!$H$2:$I$52</definedName>
    <definedName name="T_PrCl">'[3]Base de Datos'!$K$3:$L$104</definedName>
    <definedName name="T_Prod">'[3]Base de Datos'!$C$3:$E$104</definedName>
    <definedName name="T_Prod2">'[3]Base de Datos'!$B$5:$E$104</definedName>
    <definedName name="T_Rem">[2]Conceptos!$B$2:$C$52</definedName>
  </definedNames>
  <calcPr calcId="162913"/>
</workbook>
</file>

<file path=xl/calcChain.xml><?xml version="1.0" encoding="utf-8"?>
<calcChain xmlns="http://schemas.openxmlformats.org/spreadsheetml/2006/main">
  <c r="CF43" i="1" l="1"/>
  <c r="CE43" i="1" s="1"/>
  <c r="BZ43" i="1"/>
  <c r="BU43" i="1"/>
  <c r="BR43" i="1"/>
  <c r="BS43" i="1" s="1"/>
  <c r="BQ43" i="1"/>
  <c r="BO43" i="1"/>
  <c r="BN43" i="1"/>
  <c r="BM43" i="1"/>
  <c r="BL43" i="1"/>
  <c r="BJ43" i="1"/>
  <c r="BK43" i="1" s="1"/>
  <c r="BI43" i="1"/>
  <c r="BH43" i="1"/>
  <c r="BF43" i="1"/>
  <c r="BG43" i="1" s="1"/>
  <c r="BE43" i="1"/>
  <c r="BD43" i="1"/>
  <c r="BB43" i="1"/>
  <c r="BC43" i="1" s="1"/>
  <c r="BA43" i="1"/>
  <c r="AZ43" i="1"/>
  <c r="AX43" i="1"/>
  <c r="AY43" i="1" s="1"/>
  <c r="AW43" i="1"/>
  <c r="AV43" i="1"/>
  <c r="AU43" i="1"/>
  <c r="AT43" i="1"/>
  <c r="AS43" i="1"/>
  <c r="AR43" i="1"/>
  <c r="AQ43" i="1"/>
  <c r="AP43" i="1"/>
  <c r="AN43" i="1"/>
  <c r="AK43" i="1"/>
  <c r="AJ43" i="1"/>
  <c r="CC43" i="1" s="1"/>
  <c r="AI43" i="1"/>
  <c r="CB43" i="1" s="1"/>
  <c r="AF43" i="1"/>
  <c r="BX43" i="1" s="1"/>
  <c r="AE43" i="1"/>
  <c r="BW43" i="1" s="1"/>
  <c r="AA43" i="1"/>
  <c r="BT43" i="1" s="1"/>
  <c r="Y43" i="1"/>
  <c r="W43" i="1"/>
  <c r="BP43" i="1" s="1"/>
  <c r="U43" i="1"/>
  <c r="I43" i="1"/>
  <c r="G43" i="1"/>
  <c r="D43" i="1"/>
  <c r="CF42" i="1"/>
  <c r="CE42" i="1"/>
  <c r="CD42" i="1"/>
  <c r="CB42" i="1"/>
  <c r="CA42" i="1"/>
  <c r="CJ42" i="1" s="1"/>
  <c r="CI42" i="1" s="1"/>
  <c r="BZ42" i="1"/>
  <c r="BU42" i="1"/>
  <c r="BR42" i="1"/>
  <c r="BS42" i="1" s="1"/>
  <c r="BQ42" i="1"/>
  <c r="BO42" i="1"/>
  <c r="BN42" i="1"/>
  <c r="BL42" i="1"/>
  <c r="BM42" i="1" s="1"/>
  <c r="BJ42" i="1"/>
  <c r="BK42" i="1" s="1"/>
  <c r="BH42" i="1"/>
  <c r="BI42" i="1" s="1"/>
  <c r="BF42" i="1"/>
  <c r="BG42" i="1" s="1"/>
  <c r="BD42" i="1"/>
  <c r="BE42" i="1" s="1"/>
  <c r="BB42" i="1"/>
  <c r="BC42" i="1" s="1"/>
  <c r="AZ42" i="1"/>
  <c r="BA42" i="1" s="1"/>
  <c r="AX42" i="1"/>
  <c r="AY42" i="1" s="1"/>
  <c r="AW42" i="1"/>
  <c r="AV42" i="1"/>
  <c r="AU42" i="1"/>
  <c r="AT42" i="1"/>
  <c r="AS42" i="1"/>
  <c r="AR42" i="1"/>
  <c r="AQ42" i="1"/>
  <c r="AP42" i="1"/>
  <c r="AK42" i="1"/>
  <c r="AJ42" i="1"/>
  <c r="CC42" i="1" s="1"/>
  <c r="AI42" i="1"/>
  <c r="AF42" i="1"/>
  <c r="AN42" i="1" s="1"/>
  <c r="AE42" i="1"/>
  <c r="BW42" i="1" s="1"/>
  <c r="AA42" i="1"/>
  <c r="BT42" i="1" s="1"/>
  <c r="Y42" i="1"/>
  <c r="W42" i="1"/>
  <c r="BP42" i="1" s="1"/>
  <c r="U42" i="1"/>
  <c r="I42" i="1"/>
  <c r="G42" i="1"/>
  <c r="D42" i="1"/>
  <c r="CF41" i="1"/>
  <c r="CE41" i="1"/>
  <c r="CB41" i="1"/>
  <c r="CD41" i="1" s="1"/>
  <c r="CA41" i="1"/>
  <c r="CJ41" i="1" s="1"/>
  <c r="CI41" i="1" s="1"/>
  <c r="BZ41" i="1"/>
  <c r="BU41" i="1"/>
  <c r="BS41" i="1"/>
  <c r="BR41" i="1"/>
  <c r="BQ41" i="1"/>
  <c r="BO41" i="1"/>
  <c r="BN41" i="1"/>
  <c r="BL41" i="1"/>
  <c r="BM41" i="1" s="1"/>
  <c r="BJ41" i="1"/>
  <c r="BK41" i="1" s="1"/>
  <c r="BH41" i="1"/>
  <c r="BI41" i="1" s="1"/>
  <c r="BF41" i="1"/>
  <c r="BG41" i="1" s="1"/>
  <c r="BD41" i="1"/>
  <c r="BE41" i="1" s="1"/>
  <c r="BB41" i="1"/>
  <c r="BC41" i="1" s="1"/>
  <c r="AZ41" i="1"/>
  <c r="BA41" i="1" s="1"/>
  <c r="AX41" i="1"/>
  <c r="AY41" i="1" s="1"/>
  <c r="AW41" i="1"/>
  <c r="AV41" i="1"/>
  <c r="AU41" i="1"/>
  <c r="AT41" i="1"/>
  <c r="AS41" i="1"/>
  <c r="AR41" i="1"/>
  <c r="AQ41" i="1"/>
  <c r="AP41" i="1"/>
  <c r="AK41" i="1"/>
  <c r="AJ41" i="1"/>
  <c r="CC41" i="1" s="1"/>
  <c r="AI41" i="1"/>
  <c r="AF41" i="1"/>
  <c r="AE41" i="1"/>
  <c r="BW41" i="1" s="1"/>
  <c r="AA41" i="1"/>
  <c r="BT41" i="1" s="1"/>
  <c r="Y41" i="1"/>
  <c r="W41" i="1"/>
  <c r="BP41" i="1" s="1"/>
  <c r="U41" i="1"/>
  <c r="I41" i="1"/>
  <c r="G41" i="1"/>
  <c r="D41" i="1"/>
  <c r="CF40" i="1"/>
  <c r="CE40" i="1"/>
  <c r="CC40" i="1"/>
  <c r="CB40" i="1"/>
  <c r="CD40" i="1" s="1"/>
  <c r="CA40" i="1"/>
  <c r="CJ40" i="1" s="1"/>
  <c r="CI40" i="1" s="1"/>
  <c r="BZ40" i="1"/>
  <c r="BU40" i="1"/>
  <c r="BT40" i="1"/>
  <c r="BS40" i="1"/>
  <c r="BR40" i="1"/>
  <c r="BQ40" i="1"/>
  <c r="BO40" i="1"/>
  <c r="BN40" i="1"/>
  <c r="BL40" i="1"/>
  <c r="BM40" i="1" s="1"/>
  <c r="BK40" i="1"/>
  <c r="BJ40" i="1"/>
  <c r="BH40" i="1"/>
  <c r="BI40" i="1" s="1"/>
  <c r="BG40" i="1"/>
  <c r="BF40" i="1"/>
  <c r="BD40" i="1"/>
  <c r="BE40" i="1" s="1"/>
  <c r="BC40" i="1"/>
  <c r="BB40" i="1"/>
  <c r="AZ40" i="1"/>
  <c r="BA40" i="1" s="1"/>
  <c r="AY40" i="1"/>
  <c r="AX40" i="1"/>
  <c r="AW40" i="1"/>
  <c r="AV40" i="1"/>
  <c r="AU40" i="1"/>
  <c r="AT40" i="1"/>
  <c r="AS40" i="1"/>
  <c r="AR40" i="1"/>
  <c r="AQ40" i="1"/>
  <c r="AP40" i="1"/>
  <c r="AK40" i="1"/>
  <c r="AJ40" i="1"/>
  <c r="AI40" i="1"/>
  <c r="AF40" i="1"/>
  <c r="AN40" i="1" s="1"/>
  <c r="AE40" i="1"/>
  <c r="BW40" i="1" s="1"/>
  <c r="AA40" i="1"/>
  <c r="Y40" i="1"/>
  <c r="W40" i="1"/>
  <c r="BP40" i="1" s="1"/>
  <c r="U40" i="1"/>
  <c r="I40" i="1"/>
  <c r="G40" i="1"/>
  <c r="D40" i="1"/>
  <c r="CF39" i="1"/>
  <c r="CE39" i="1" s="1"/>
  <c r="CC39" i="1"/>
  <c r="CB39" i="1"/>
  <c r="BZ39" i="1"/>
  <c r="BU39" i="1"/>
  <c r="BT39" i="1"/>
  <c r="BR39" i="1"/>
  <c r="BS39" i="1" s="1"/>
  <c r="BQ39" i="1"/>
  <c r="BP39" i="1"/>
  <c r="BO39" i="1"/>
  <c r="BN39" i="1"/>
  <c r="BL39" i="1"/>
  <c r="BM39" i="1" s="1"/>
  <c r="BJ39" i="1"/>
  <c r="BK39" i="1" s="1"/>
  <c r="BH39" i="1"/>
  <c r="BI39" i="1" s="1"/>
  <c r="BF39" i="1"/>
  <c r="BG39" i="1" s="1"/>
  <c r="BD39" i="1"/>
  <c r="BE39" i="1" s="1"/>
  <c r="BB39" i="1"/>
  <c r="BC39" i="1" s="1"/>
  <c r="AZ39" i="1"/>
  <c r="BA39" i="1" s="1"/>
  <c r="AX39" i="1"/>
  <c r="AY39" i="1" s="1"/>
  <c r="AW39" i="1"/>
  <c r="AV39" i="1"/>
  <c r="AU39" i="1"/>
  <c r="AT39" i="1"/>
  <c r="AS39" i="1"/>
  <c r="AR39" i="1"/>
  <c r="AQ39" i="1"/>
  <c r="AP39" i="1"/>
  <c r="AK39" i="1"/>
  <c r="AJ39" i="1"/>
  <c r="AI39" i="1"/>
  <c r="AF39" i="1"/>
  <c r="AN39" i="1" s="1"/>
  <c r="AE39" i="1"/>
  <c r="BW39" i="1" s="1"/>
  <c r="AA39" i="1"/>
  <c r="Y39" i="1"/>
  <c r="W39" i="1"/>
  <c r="U39" i="1"/>
  <c r="I39" i="1"/>
  <c r="G39" i="1"/>
  <c r="D39" i="1"/>
  <c r="CF38" i="1"/>
  <c r="CE38" i="1"/>
  <c r="CC38" i="1"/>
  <c r="BZ38" i="1"/>
  <c r="BU38" i="1"/>
  <c r="BR38" i="1"/>
  <c r="BS38" i="1" s="1"/>
  <c r="BQ38" i="1"/>
  <c r="BO38" i="1"/>
  <c r="BN38" i="1"/>
  <c r="BM38" i="1"/>
  <c r="BL38" i="1"/>
  <c r="BJ38" i="1"/>
  <c r="BK38" i="1" s="1"/>
  <c r="BI38" i="1"/>
  <c r="BH38" i="1"/>
  <c r="BF38" i="1"/>
  <c r="BG38" i="1" s="1"/>
  <c r="BE38" i="1"/>
  <c r="BD38" i="1"/>
  <c r="BB38" i="1"/>
  <c r="BC38" i="1" s="1"/>
  <c r="BA38" i="1"/>
  <c r="AZ38" i="1"/>
  <c r="AX38" i="1"/>
  <c r="AY38" i="1" s="1"/>
  <c r="AW38" i="1"/>
  <c r="AV38" i="1"/>
  <c r="AU38" i="1"/>
  <c r="AT38" i="1"/>
  <c r="AS38" i="1"/>
  <c r="AR38" i="1"/>
  <c r="AQ38" i="1"/>
  <c r="AP38" i="1"/>
  <c r="AN38" i="1"/>
  <c r="AK38" i="1"/>
  <c r="AJ38" i="1"/>
  <c r="AI38" i="1"/>
  <c r="CB38" i="1" s="1"/>
  <c r="AF38" i="1"/>
  <c r="BX38" i="1" s="1"/>
  <c r="AE38" i="1"/>
  <c r="BW38" i="1" s="1"/>
  <c r="AA38" i="1"/>
  <c r="BT38" i="1" s="1"/>
  <c r="Y38" i="1"/>
  <c r="W38" i="1"/>
  <c r="BP38" i="1" s="1"/>
  <c r="U38" i="1"/>
  <c r="I38" i="1"/>
  <c r="G38" i="1"/>
  <c r="D38" i="1"/>
  <c r="CF37" i="1"/>
  <c r="CE37" i="1"/>
  <c r="CD37" i="1"/>
  <c r="CB37" i="1"/>
  <c r="CA37" i="1"/>
  <c r="CJ37" i="1" s="1"/>
  <c r="CI37" i="1" s="1"/>
  <c r="BZ37" i="1"/>
  <c r="BU37" i="1"/>
  <c r="BR37" i="1"/>
  <c r="BS37" i="1" s="1"/>
  <c r="BQ37" i="1"/>
  <c r="BO37" i="1"/>
  <c r="BN37" i="1"/>
  <c r="BL37" i="1"/>
  <c r="BM37" i="1" s="1"/>
  <c r="BK37" i="1"/>
  <c r="BJ37" i="1"/>
  <c r="BH37" i="1"/>
  <c r="BI37" i="1" s="1"/>
  <c r="BF37" i="1"/>
  <c r="BG37" i="1" s="1"/>
  <c r="BD37" i="1"/>
  <c r="BE37" i="1" s="1"/>
  <c r="BC37" i="1"/>
  <c r="BB37" i="1"/>
  <c r="AZ37" i="1"/>
  <c r="BA37" i="1" s="1"/>
  <c r="AX37" i="1"/>
  <c r="AY37" i="1" s="1"/>
  <c r="AW37" i="1"/>
  <c r="AV37" i="1"/>
  <c r="AU37" i="1"/>
  <c r="AT37" i="1"/>
  <c r="AS37" i="1"/>
  <c r="AR37" i="1"/>
  <c r="AQ37" i="1"/>
  <c r="AP37" i="1"/>
  <c r="AK37" i="1"/>
  <c r="AJ37" i="1"/>
  <c r="CC37" i="1" s="1"/>
  <c r="AI37" i="1"/>
  <c r="AF37" i="1"/>
  <c r="AN37" i="1" s="1"/>
  <c r="AE37" i="1"/>
  <c r="BW37" i="1" s="1"/>
  <c r="BY37" i="1" s="1"/>
  <c r="AA37" i="1"/>
  <c r="BT37" i="1" s="1"/>
  <c r="Y37" i="1"/>
  <c r="W37" i="1"/>
  <c r="BP37" i="1" s="1"/>
  <c r="U37" i="1"/>
  <c r="I37" i="1"/>
  <c r="G37" i="1"/>
  <c r="D37" i="1"/>
  <c r="CF36" i="1"/>
  <c r="CE36" i="1"/>
  <c r="CC36" i="1"/>
  <c r="CB36" i="1"/>
  <c r="CD36" i="1" s="1"/>
  <c r="BZ36" i="1"/>
  <c r="BU36" i="1"/>
  <c r="BT36" i="1"/>
  <c r="BS36" i="1"/>
  <c r="BR36" i="1"/>
  <c r="BQ36" i="1"/>
  <c r="BP36" i="1"/>
  <c r="BO36" i="1"/>
  <c r="BN36" i="1"/>
  <c r="BL36" i="1"/>
  <c r="BM36" i="1" s="1"/>
  <c r="BK36" i="1"/>
  <c r="BJ36" i="1"/>
  <c r="BH36" i="1"/>
  <c r="BI36" i="1" s="1"/>
  <c r="BG36" i="1"/>
  <c r="BF36" i="1"/>
  <c r="BD36" i="1"/>
  <c r="BE36" i="1" s="1"/>
  <c r="BC36" i="1"/>
  <c r="BB36" i="1"/>
  <c r="AZ36" i="1"/>
  <c r="BA36" i="1" s="1"/>
  <c r="AY36" i="1"/>
  <c r="AX36" i="1"/>
  <c r="AW36" i="1"/>
  <c r="AV36" i="1"/>
  <c r="AU36" i="1"/>
  <c r="AT36" i="1"/>
  <c r="AS36" i="1"/>
  <c r="AR36" i="1"/>
  <c r="AQ36" i="1"/>
  <c r="AP36" i="1"/>
  <c r="AK36" i="1"/>
  <c r="AJ36" i="1"/>
  <c r="AI36" i="1"/>
  <c r="AF36" i="1"/>
  <c r="AN36" i="1" s="1"/>
  <c r="AE36" i="1"/>
  <c r="BW36" i="1" s="1"/>
  <c r="AA36" i="1"/>
  <c r="Y36" i="1"/>
  <c r="W36" i="1"/>
  <c r="U36" i="1"/>
  <c r="I36" i="1"/>
  <c r="G36" i="1"/>
  <c r="D36" i="1"/>
  <c r="CF35" i="1"/>
  <c r="CE35" i="1" s="1"/>
  <c r="CC35" i="1"/>
  <c r="CB35" i="1"/>
  <c r="BZ35" i="1"/>
  <c r="BY35" i="1"/>
  <c r="BU35" i="1"/>
  <c r="BT35" i="1"/>
  <c r="BR35" i="1"/>
  <c r="BS35" i="1" s="1"/>
  <c r="BQ35" i="1"/>
  <c r="BO35" i="1"/>
  <c r="BN35" i="1"/>
  <c r="BL35" i="1"/>
  <c r="BM35" i="1" s="1"/>
  <c r="BJ35" i="1"/>
  <c r="BK35" i="1" s="1"/>
  <c r="BI35" i="1"/>
  <c r="BH35" i="1"/>
  <c r="BF35" i="1"/>
  <c r="BG35" i="1" s="1"/>
  <c r="BD35" i="1"/>
  <c r="BE35" i="1" s="1"/>
  <c r="BB35" i="1"/>
  <c r="BC35" i="1" s="1"/>
  <c r="BA35" i="1"/>
  <c r="AZ35" i="1"/>
  <c r="AX35" i="1"/>
  <c r="AY35" i="1" s="1"/>
  <c r="AW35" i="1"/>
  <c r="AV35" i="1"/>
  <c r="AU35" i="1"/>
  <c r="AT35" i="1"/>
  <c r="AS35" i="1"/>
  <c r="AR35" i="1"/>
  <c r="AQ35" i="1"/>
  <c r="AP35" i="1"/>
  <c r="AK35" i="1"/>
  <c r="AJ35" i="1"/>
  <c r="AI35" i="1"/>
  <c r="AF35" i="1"/>
  <c r="AE35" i="1"/>
  <c r="BW35" i="1" s="1"/>
  <c r="BV35" i="1" s="1"/>
  <c r="CH35" i="1" s="1"/>
  <c r="CG35" i="1" s="1"/>
  <c r="AA35" i="1"/>
  <c r="Y35" i="1"/>
  <c r="W35" i="1"/>
  <c r="BP35" i="1" s="1"/>
  <c r="U35" i="1"/>
  <c r="I35" i="1"/>
  <c r="G35" i="1"/>
  <c r="D35" i="1"/>
  <c r="CF34" i="1"/>
  <c r="CE34" i="1"/>
  <c r="CC34" i="1"/>
  <c r="BZ34" i="1"/>
  <c r="BY34" i="1"/>
  <c r="BU34" i="1"/>
  <c r="BR34" i="1"/>
  <c r="BS34" i="1" s="1"/>
  <c r="BQ34" i="1"/>
  <c r="BO34" i="1"/>
  <c r="BN34" i="1"/>
  <c r="BM34" i="1"/>
  <c r="BL34" i="1"/>
  <c r="BJ34" i="1"/>
  <c r="BK34" i="1" s="1"/>
  <c r="BI34" i="1"/>
  <c r="BH34" i="1"/>
  <c r="BF34" i="1"/>
  <c r="BG34" i="1" s="1"/>
  <c r="BE34" i="1"/>
  <c r="BD34" i="1"/>
  <c r="BB34" i="1"/>
  <c r="BC34" i="1" s="1"/>
  <c r="BA34" i="1"/>
  <c r="AZ34" i="1"/>
  <c r="AX34" i="1"/>
  <c r="AY34" i="1" s="1"/>
  <c r="AW34" i="1"/>
  <c r="AV34" i="1"/>
  <c r="AU34" i="1"/>
  <c r="AT34" i="1"/>
  <c r="AS34" i="1"/>
  <c r="AR34" i="1"/>
  <c r="AQ34" i="1"/>
  <c r="AP34" i="1"/>
  <c r="AK34" i="1"/>
  <c r="AJ34" i="1"/>
  <c r="AN34" i="1" s="1"/>
  <c r="AI34" i="1"/>
  <c r="CB34" i="1" s="1"/>
  <c r="CA34" i="1" s="1"/>
  <c r="CJ34" i="1" s="1"/>
  <c r="CI34" i="1" s="1"/>
  <c r="AF34" i="1"/>
  <c r="BX34" i="1" s="1"/>
  <c r="AE34" i="1"/>
  <c r="BW34" i="1" s="1"/>
  <c r="BV34" i="1" s="1"/>
  <c r="CH34" i="1" s="1"/>
  <c r="CG34" i="1" s="1"/>
  <c r="AA34" i="1"/>
  <c r="BT34" i="1" s="1"/>
  <c r="Y34" i="1"/>
  <c r="W34" i="1"/>
  <c r="BP34" i="1" s="1"/>
  <c r="U34" i="1"/>
  <c r="I34" i="1"/>
  <c r="G34" i="1"/>
  <c r="D34" i="1"/>
  <c r="CI33" i="1"/>
  <c r="CF33" i="1"/>
  <c r="CE33" i="1"/>
  <c r="CD33" i="1"/>
  <c r="CB33" i="1"/>
  <c r="CA33" i="1"/>
  <c r="CJ33" i="1" s="1"/>
  <c r="BZ33" i="1"/>
  <c r="BU33" i="1"/>
  <c r="BR33" i="1"/>
  <c r="BS33" i="1" s="1"/>
  <c r="BQ33" i="1"/>
  <c r="BO33" i="1"/>
  <c r="BN33" i="1"/>
  <c r="BL33" i="1"/>
  <c r="BM33" i="1" s="1"/>
  <c r="BJ33" i="1"/>
  <c r="BK33" i="1" s="1"/>
  <c r="BH33" i="1"/>
  <c r="BI33" i="1" s="1"/>
  <c r="BG33" i="1"/>
  <c r="BF33" i="1"/>
  <c r="BD33" i="1"/>
  <c r="BE33" i="1" s="1"/>
  <c r="BB33" i="1"/>
  <c r="BC33" i="1" s="1"/>
  <c r="AZ33" i="1"/>
  <c r="BA33" i="1" s="1"/>
  <c r="AY33" i="1"/>
  <c r="AX33" i="1"/>
  <c r="AW33" i="1"/>
  <c r="AV33" i="1"/>
  <c r="AU33" i="1"/>
  <c r="AT33" i="1"/>
  <c r="AS33" i="1"/>
  <c r="AR33" i="1"/>
  <c r="AQ33" i="1"/>
  <c r="AP33" i="1"/>
  <c r="AK33" i="1"/>
  <c r="AJ33" i="1"/>
  <c r="CC33" i="1" s="1"/>
  <c r="AI33" i="1"/>
  <c r="AF33" i="1"/>
  <c r="AE33" i="1"/>
  <c r="BW33" i="1" s="1"/>
  <c r="AA33" i="1"/>
  <c r="BT33" i="1" s="1"/>
  <c r="Y33" i="1"/>
  <c r="W33" i="1"/>
  <c r="BP33" i="1" s="1"/>
  <c r="U33" i="1"/>
  <c r="I33" i="1"/>
  <c r="G33" i="1"/>
  <c r="D33" i="1"/>
  <c r="CF32" i="1"/>
  <c r="CE32" i="1" s="1"/>
  <c r="CC32" i="1"/>
  <c r="CB32" i="1"/>
  <c r="CD32" i="1" s="1"/>
  <c r="CA32" i="1"/>
  <c r="CJ32" i="1" s="1"/>
  <c r="CI32" i="1" s="1"/>
  <c r="BZ32" i="1"/>
  <c r="BU32" i="1"/>
  <c r="BT32" i="1"/>
  <c r="BS32" i="1"/>
  <c r="BR32" i="1"/>
  <c r="BQ32" i="1"/>
  <c r="BO32" i="1"/>
  <c r="BN32" i="1"/>
  <c r="BL32" i="1"/>
  <c r="BM32" i="1" s="1"/>
  <c r="BK32" i="1"/>
  <c r="BJ32" i="1"/>
  <c r="BH32" i="1"/>
  <c r="BI32" i="1" s="1"/>
  <c r="BG32" i="1"/>
  <c r="BF32" i="1"/>
  <c r="BD32" i="1"/>
  <c r="BE32" i="1" s="1"/>
  <c r="BC32" i="1"/>
  <c r="BB32" i="1"/>
  <c r="AZ32" i="1"/>
  <c r="BA32" i="1" s="1"/>
  <c r="AY32" i="1"/>
  <c r="AX32" i="1"/>
  <c r="AW32" i="1"/>
  <c r="AV32" i="1"/>
  <c r="AU32" i="1"/>
  <c r="AT32" i="1"/>
  <c r="AS32" i="1"/>
  <c r="AR32" i="1"/>
  <c r="AQ32" i="1"/>
  <c r="AP32" i="1"/>
  <c r="AK32" i="1"/>
  <c r="AJ32" i="1"/>
  <c r="AI32" i="1"/>
  <c r="AF32" i="1"/>
  <c r="AN32" i="1" s="1"/>
  <c r="AE32" i="1"/>
  <c r="BW32" i="1" s="1"/>
  <c r="AA32" i="1"/>
  <c r="Y32" i="1"/>
  <c r="W32" i="1"/>
  <c r="BP32" i="1" s="1"/>
  <c r="U32" i="1"/>
  <c r="I32" i="1"/>
  <c r="G32" i="1"/>
  <c r="D32" i="1"/>
  <c r="CG31" i="1"/>
  <c r="CF31" i="1"/>
  <c r="CE31" i="1" s="1"/>
  <c r="BZ31" i="1"/>
  <c r="BU31" i="1"/>
  <c r="BR31" i="1"/>
  <c r="BS31" i="1" s="1"/>
  <c r="BQ31" i="1"/>
  <c r="BO31" i="1"/>
  <c r="BN31" i="1"/>
  <c r="BM31" i="1"/>
  <c r="BL31" i="1"/>
  <c r="BJ31" i="1"/>
  <c r="BK31" i="1" s="1"/>
  <c r="BH31" i="1"/>
  <c r="BI31" i="1" s="1"/>
  <c r="BF31" i="1"/>
  <c r="BG31" i="1" s="1"/>
  <c r="BE31" i="1"/>
  <c r="BD31" i="1"/>
  <c r="BB31" i="1"/>
  <c r="BC31" i="1" s="1"/>
  <c r="AZ31" i="1"/>
  <c r="BA31" i="1" s="1"/>
  <c r="AX31" i="1"/>
  <c r="AY31" i="1" s="1"/>
  <c r="AW31" i="1"/>
  <c r="AV31" i="1"/>
  <c r="AU31" i="1"/>
  <c r="AT31" i="1"/>
  <c r="AS31" i="1"/>
  <c r="AR31" i="1"/>
  <c r="AQ31" i="1"/>
  <c r="AP31" i="1"/>
  <c r="AK31" i="1"/>
  <c r="AJ31" i="1"/>
  <c r="CC31" i="1" s="1"/>
  <c r="AI31" i="1"/>
  <c r="CB31" i="1" s="1"/>
  <c r="AF31" i="1"/>
  <c r="AN31" i="1" s="1"/>
  <c r="AE31" i="1"/>
  <c r="BW31" i="1" s="1"/>
  <c r="BV31" i="1" s="1"/>
  <c r="CH31" i="1" s="1"/>
  <c r="AA31" i="1"/>
  <c r="BT31" i="1" s="1"/>
  <c r="Y31" i="1"/>
  <c r="W31" i="1"/>
  <c r="BP31" i="1" s="1"/>
  <c r="U31" i="1"/>
  <c r="I31" i="1"/>
  <c r="G31" i="1"/>
  <c r="D31" i="1"/>
  <c r="CF30" i="1"/>
  <c r="CE30" i="1"/>
  <c r="CC30" i="1"/>
  <c r="BZ30" i="1"/>
  <c r="BU30" i="1"/>
  <c r="BT30" i="1"/>
  <c r="BS30" i="1"/>
  <c r="BR30" i="1"/>
  <c r="BQ30" i="1"/>
  <c r="BO30" i="1"/>
  <c r="BN30" i="1"/>
  <c r="BM30" i="1"/>
  <c r="BL30" i="1"/>
  <c r="BK30" i="1"/>
  <c r="BJ30" i="1"/>
  <c r="BI30" i="1"/>
  <c r="BH30" i="1"/>
  <c r="BG30" i="1"/>
  <c r="BF30" i="1"/>
  <c r="BE30" i="1"/>
  <c r="BD30" i="1"/>
  <c r="BC30" i="1"/>
  <c r="BB30" i="1"/>
  <c r="BA30" i="1"/>
  <c r="AZ30" i="1"/>
  <c r="AY30" i="1"/>
  <c r="AX30" i="1"/>
  <c r="AW30" i="1"/>
  <c r="AV30" i="1"/>
  <c r="AU30" i="1"/>
  <c r="AT30" i="1"/>
  <c r="AS30" i="1"/>
  <c r="AR30" i="1"/>
  <c r="AQ30" i="1"/>
  <c r="AP30" i="1"/>
  <c r="AN30" i="1"/>
  <c r="AK30" i="1"/>
  <c r="AJ30" i="1"/>
  <c r="AI30" i="1"/>
  <c r="CB30" i="1" s="1"/>
  <c r="CD30" i="1" s="1"/>
  <c r="AF30" i="1"/>
  <c r="BX30" i="1" s="1"/>
  <c r="AE30" i="1"/>
  <c r="BW30" i="1" s="1"/>
  <c r="AA30" i="1"/>
  <c r="Y30" i="1"/>
  <c r="W30" i="1"/>
  <c r="BP30" i="1" s="1"/>
  <c r="U30" i="1"/>
  <c r="I30" i="1"/>
  <c r="G30" i="1"/>
  <c r="D30" i="1"/>
  <c r="CF29" i="1"/>
  <c r="CE29" i="1" s="1"/>
  <c r="CB29" i="1"/>
  <c r="CA29" i="1" s="1"/>
  <c r="CJ29" i="1" s="1"/>
  <c r="CI29" i="1" s="1"/>
  <c r="BZ29" i="1"/>
  <c r="BX29" i="1"/>
  <c r="BU29" i="1"/>
  <c r="BR29" i="1"/>
  <c r="BS29" i="1" s="1"/>
  <c r="BQ29" i="1"/>
  <c r="BO29" i="1"/>
  <c r="BN29" i="1"/>
  <c r="BL29" i="1"/>
  <c r="BM29" i="1" s="1"/>
  <c r="BJ29" i="1"/>
  <c r="BK29" i="1" s="1"/>
  <c r="BH29" i="1"/>
  <c r="BI29" i="1" s="1"/>
  <c r="BF29" i="1"/>
  <c r="BG29" i="1" s="1"/>
  <c r="BD29" i="1"/>
  <c r="BE29" i="1" s="1"/>
  <c r="BB29" i="1"/>
  <c r="BC29" i="1" s="1"/>
  <c r="AZ29" i="1"/>
  <c r="BA29" i="1" s="1"/>
  <c r="AX29" i="1"/>
  <c r="AY29" i="1" s="1"/>
  <c r="AW29" i="1"/>
  <c r="AV29" i="1"/>
  <c r="AU29" i="1"/>
  <c r="AT29" i="1"/>
  <c r="AS29" i="1"/>
  <c r="AR29" i="1"/>
  <c r="AQ29" i="1"/>
  <c r="AP29" i="1"/>
  <c r="AK29" i="1"/>
  <c r="AJ29" i="1"/>
  <c r="CC29" i="1" s="1"/>
  <c r="AI29" i="1"/>
  <c r="AF29" i="1"/>
  <c r="AN29" i="1" s="1"/>
  <c r="AE29" i="1"/>
  <c r="BW29" i="1" s="1"/>
  <c r="BY29" i="1" s="1"/>
  <c r="AA29" i="1"/>
  <c r="BT29" i="1" s="1"/>
  <c r="Y29" i="1"/>
  <c r="W29" i="1"/>
  <c r="BP29" i="1" s="1"/>
  <c r="U29" i="1"/>
  <c r="I29" i="1"/>
  <c r="G29" i="1"/>
  <c r="D29" i="1"/>
  <c r="CF28" i="1"/>
  <c r="CE28" i="1"/>
  <c r="CC28" i="1"/>
  <c r="BZ28" i="1"/>
  <c r="BU28" i="1"/>
  <c r="BS28" i="1"/>
  <c r="BR28" i="1"/>
  <c r="BQ28" i="1"/>
  <c r="BO28" i="1"/>
  <c r="BN28" i="1"/>
  <c r="BM28" i="1"/>
  <c r="BL28" i="1"/>
  <c r="BK28" i="1"/>
  <c r="BJ28" i="1"/>
  <c r="BI28" i="1"/>
  <c r="BH28" i="1"/>
  <c r="BG28" i="1"/>
  <c r="BF28" i="1"/>
  <c r="BE28" i="1"/>
  <c r="BD28" i="1"/>
  <c r="BC28" i="1"/>
  <c r="BB28" i="1"/>
  <c r="BA28" i="1"/>
  <c r="AZ28" i="1"/>
  <c r="AY28" i="1"/>
  <c r="AX28" i="1"/>
  <c r="AW28" i="1"/>
  <c r="AV28" i="1"/>
  <c r="AU28" i="1"/>
  <c r="AT28" i="1"/>
  <c r="AS28" i="1"/>
  <c r="AR28" i="1"/>
  <c r="AQ28" i="1"/>
  <c r="AP28" i="1"/>
  <c r="AN28" i="1"/>
  <c r="AK28" i="1"/>
  <c r="AJ28" i="1"/>
  <c r="AI28" i="1"/>
  <c r="CB28" i="1" s="1"/>
  <c r="CD28" i="1" s="1"/>
  <c r="AF28" i="1"/>
  <c r="BX28" i="1" s="1"/>
  <c r="AE28" i="1"/>
  <c r="BW28" i="1" s="1"/>
  <c r="AA28" i="1"/>
  <c r="BT28" i="1" s="1"/>
  <c r="Y28" i="1"/>
  <c r="W28" i="1"/>
  <c r="BP28" i="1" s="1"/>
  <c r="U28" i="1"/>
  <c r="I28" i="1"/>
  <c r="G28" i="1"/>
  <c r="D28" i="1"/>
  <c r="CF27" i="1"/>
  <c r="CE27" i="1" s="1"/>
  <c r="CD27" i="1"/>
  <c r="CB27" i="1"/>
  <c r="CA27" i="1" s="1"/>
  <c r="CJ27" i="1" s="1"/>
  <c r="CI27" i="1" s="1"/>
  <c r="BZ27" i="1"/>
  <c r="BV27" i="1"/>
  <c r="CH27" i="1" s="1"/>
  <c r="CG27" i="1" s="1"/>
  <c r="BU27" i="1"/>
  <c r="BR27" i="1"/>
  <c r="BS27" i="1" s="1"/>
  <c r="BQ27" i="1"/>
  <c r="BO27" i="1"/>
  <c r="BN27" i="1"/>
  <c r="BL27" i="1"/>
  <c r="BM27" i="1" s="1"/>
  <c r="BJ27" i="1"/>
  <c r="BK27" i="1" s="1"/>
  <c r="BH27" i="1"/>
  <c r="BI27" i="1" s="1"/>
  <c r="BF27" i="1"/>
  <c r="BG27" i="1" s="1"/>
  <c r="BD27" i="1"/>
  <c r="BE27" i="1" s="1"/>
  <c r="BB27" i="1"/>
  <c r="BC27" i="1" s="1"/>
  <c r="AZ27" i="1"/>
  <c r="BA27" i="1" s="1"/>
  <c r="AX27" i="1"/>
  <c r="AY27" i="1" s="1"/>
  <c r="AW27" i="1"/>
  <c r="AV27" i="1"/>
  <c r="AU27" i="1"/>
  <c r="AT27" i="1"/>
  <c r="AS27" i="1"/>
  <c r="AR27" i="1"/>
  <c r="AQ27" i="1"/>
  <c r="AP27" i="1"/>
  <c r="AK27" i="1"/>
  <c r="AJ27" i="1"/>
  <c r="CC27" i="1" s="1"/>
  <c r="AI27" i="1"/>
  <c r="AF27" i="1"/>
  <c r="AN27" i="1" s="1"/>
  <c r="AE27" i="1"/>
  <c r="BW27" i="1" s="1"/>
  <c r="BY27" i="1" s="1"/>
  <c r="AA27" i="1"/>
  <c r="BT27" i="1" s="1"/>
  <c r="Y27" i="1"/>
  <c r="W27" i="1"/>
  <c r="BP27" i="1" s="1"/>
  <c r="U27" i="1"/>
  <c r="I27" i="1"/>
  <c r="G27" i="1"/>
  <c r="D27" i="1"/>
  <c r="CF26" i="1"/>
  <c r="CE26" i="1"/>
  <c r="CC26" i="1"/>
  <c r="BZ26" i="1"/>
  <c r="BU26" i="1"/>
  <c r="BT26" i="1"/>
  <c r="BS26" i="1"/>
  <c r="BR26" i="1"/>
  <c r="BQ26" i="1"/>
  <c r="BO26" i="1"/>
  <c r="BN26" i="1"/>
  <c r="BM26" i="1"/>
  <c r="BL26" i="1"/>
  <c r="BK26" i="1"/>
  <c r="BJ26" i="1"/>
  <c r="BI26" i="1"/>
  <c r="BH26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N26" i="1"/>
  <c r="AK26" i="1"/>
  <c r="AJ26" i="1"/>
  <c r="AI26" i="1"/>
  <c r="CB26" i="1" s="1"/>
  <c r="CD26" i="1" s="1"/>
  <c r="AF26" i="1"/>
  <c r="BX26" i="1" s="1"/>
  <c r="AE26" i="1"/>
  <c r="BW26" i="1" s="1"/>
  <c r="AA26" i="1"/>
  <c r="Y26" i="1"/>
  <c r="W26" i="1"/>
  <c r="BP26" i="1" s="1"/>
  <c r="U26" i="1"/>
  <c r="I26" i="1"/>
  <c r="G26" i="1"/>
  <c r="D26" i="1"/>
  <c r="CF25" i="1"/>
  <c r="CE25" i="1" s="1"/>
  <c r="CD25" i="1"/>
  <c r="CB25" i="1"/>
  <c r="CA25" i="1" s="1"/>
  <c r="CJ25" i="1" s="1"/>
  <c r="CI25" i="1" s="1"/>
  <c r="BZ25" i="1"/>
  <c r="BU25" i="1"/>
  <c r="BR25" i="1"/>
  <c r="BS25" i="1" s="1"/>
  <c r="BQ25" i="1"/>
  <c r="BO25" i="1"/>
  <c r="BN25" i="1"/>
  <c r="BL25" i="1"/>
  <c r="BM25" i="1" s="1"/>
  <c r="BJ25" i="1"/>
  <c r="BK25" i="1" s="1"/>
  <c r="BH25" i="1"/>
  <c r="BI25" i="1" s="1"/>
  <c r="BF25" i="1"/>
  <c r="BG25" i="1" s="1"/>
  <c r="BD25" i="1"/>
  <c r="BE25" i="1" s="1"/>
  <c r="BB25" i="1"/>
  <c r="BC25" i="1" s="1"/>
  <c r="AZ25" i="1"/>
  <c r="BA25" i="1" s="1"/>
  <c r="AX25" i="1"/>
  <c r="AY25" i="1" s="1"/>
  <c r="AW25" i="1"/>
  <c r="AV25" i="1"/>
  <c r="AU25" i="1"/>
  <c r="AT25" i="1"/>
  <c r="AS25" i="1"/>
  <c r="AR25" i="1"/>
  <c r="AQ25" i="1"/>
  <c r="AP25" i="1"/>
  <c r="AK25" i="1"/>
  <c r="AJ25" i="1"/>
  <c r="CC25" i="1" s="1"/>
  <c r="AI25" i="1"/>
  <c r="AF25" i="1"/>
  <c r="AE25" i="1"/>
  <c r="BW25" i="1" s="1"/>
  <c r="BY25" i="1" s="1"/>
  <c r="AA25" i="1"/>
  <c r="BT25" i="1" s="1"/>
  <c r="Y25" i="1"/>
  <c r="W25" i="1"/>
  <c r="BP25" i="1" s="1"/>
  <c r="U25" i="1"/>
  <c r="I25" i="1"/>
  <c r="G25" i="1"/>
  <c r="D25" i="1"/>
  <c r="CF24" i="1"/>
  <c r="CE24" i="1"/>
  <c r="CC24" i="1"/>
  <c r="CA24" i="1"/>
  <c r="CJ24" i="1" s="1"/>
  <c r="CI24" i="1" s="1"/>
  <c r="BZ24" i="1"/>
  <c r="BU24" i="1"/>
  <c r="BS24" i="1"/>
  <c r="BR24" i="1"/>
  <c r="BQ24" i="1"/>
  <c r="BO24" i="1"/>
  <c r="BN24" i="1"/>
  <c r="BM24" i="1"/>
  <c r="BL24" i="1"/>
  <c r="BK24" i="1"/>
  <c r="BJ24" i="1"/>
  <c r="BI24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N24" i="1"/>
  <c r="AK24" i="1"/>
  <c r="AJ24" i="1"/>
  <c r="AI24" i="1"/>
  <c r="CB24" i="1" s="1"/>
  <c r="CD24" i="1" s="1"/>
  <c r="AF24" i="1"/>
  <c r="BX24" i="1" s="1"/>
  <c r="AE24" i="1"/>
  <c r="BW24" i="1" s="1"/>
  <c r="AA24" i="1"/>
  <c r="BT24" i="1" s="1"/>
  <c r="Y24" i="1"/>
  <c r="W24" i="1"/>
  <c r="BP24" i="1" s="1"/>
  <c r="U24" i="1"/>
  <c r="I24" i="1"/>
  <c r="G24" i="1"/>
  <c r="D24" i="1"/>
  <c r="CH23" i="1"/>
  <c r="CG23" i="1" s="1"/>
  <c r="CF23" i="1"/>
  <c r="CE23" i="1" s="1"/>
  <c r="CD23" i="1"/>
  <c r="CB23" i="1"/>
  <c r="CA23" i="1" s="1"/>
  <c r="CJ23" i="1" s="1"/>
  <c r="CI23" i="1" s="1"/>
  <c r="BZ23" i="1"/>
  <c r="BV23" i="1"/>
  <c r="BU23" i="1"/>
  <c r="BR23" i="1"/>
  <c r="BS23" i="1" s="1"/>
  <c r="BQ23" i="1"/>
  <c r="BO23" i="1"/>
  <c r="BN23" i="1"/>
  <c r="BL23" i="1"/>
  <c r="BM23" i="1" s="1"/>
  <c r="BJ23" i="1"/>
  <c r="BK23" i="1" s="1"/>
  <c r="BH23" i="1"/>
  <c r="BI23" i="1" s="1"/>
  <c r="BF23" i="1"/>
  <c r="BG23" i="1" s="1"/>
  <c r="BD23" i="1"/>
  <c r="BE23" i="1" s="1"/>
  <c r="BB23" i="1"/>
  <c r="BC23" i="1" s="1"/>
  <c r="AZ23" i="1"/>
  <c r="BA23" i="1" s="1"/>
  <c r="AX23" i="1"/>
  <c r="AY23" i="1" s="1"/>
  <c r="AW23" i="1"/>
  <c r="AV23" i="1"/>
  <c r="AU23" i="1"/>
  <c r="AT23" i="1"/>
  <c r="AS23" i="1"/>
  <c r="AR23" i="1"/>
  <c r="AQ23" i="1"/>
  <c r="AP23" i="1"/>
  <c r="AK23" i="1"/>
  <c r="AJ23" i="1"/>
  <c r="CC23" i="1" s="1"/>
  <c r="AI23" i="1"/>
  <c r="AF23" i="1"/>
  <c r="AE23" i="1"/>
  <c r="BW23" i="1" s="1"/>
  <c r="BY23" i="1" s="1"/>
  <c r="AA23" i="1"/>
  <c r="BT23" i="1" s="1"/>
  <c r="Y23" i="1"/>
  <c r="W23" i="1"/>
  <c r="BP23" i="1" s="1"/>
  <c r="U23" i="1"/>
  <c r="I23" i="1"/>
  <c r="G23" i="1"/>
  <c r="D23" i="1"/>
  <c r="CF22" i="1"/>
  <c r="CE22" i="1"/>
  <c r="CC22" i="1"/>
  <c r="CA22" i="1"/>
  <c r="CJ22" i="1" s="1"/>
  <c r="CI22" i="1" s="1"/>
  <c r="BZ22" i="1"/>
  <c r="BU22" i="1"/>
  <c r="BT22" i="1"/>
  <c r="BS22" i="1"/>
  <c r="BR22" i="1"/>
  <c r="BQ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N22" i="1"/>
  <c r="AK22" i="1"/>
  <c r="AJ22" i="1"/>
  <c r="AI22" i="1"/>
  <c r="CB22" i="1" s="1"/>
  <c r="CD22" i="1" s="1"/>
  <c r="AF22" i="1"/>
  <c r="BX22" i="1" s="1"/>
  <c r="AE22" i="1"/>
  <c r="BW22" i="1" s="1"/>
  <c r="AA22" i="1"/>
  <c r="Y22" i="1"/>
  <c r="W22" i="1"/>
  <c r="BP22" i="1" s="1"/>
  <c r="U22" i="1"/>
  <c r="I22" i="1"/>
  <c r="G22" i="1"/>
  <c r="D22" i="1"/>
  <c r="CJ21" i="1"/>
  <c r="CI21" i="1" s="1"/>
  <c r="CF21" i="1"/>
  <c r="CE21" i="1" s="1"/>
  <c r="CD21" i="1"/>
  <c r="CC21" i="1"/>
  <c r="CB21" i="1"/>
  <c r="CA21" i="1" s="1"/>
  <c r="BZ21" i="1"/>
  <c r="BU21" i="1"/>
  <c r="BT21" i="1"/>
  <c r="BR21" i="1"/>
  <c r="BS21" i="1" s="1"/>
  <c r="BQ21" i="1"/>
  <c r="BO21" i="1"/>
  <c r="BN21" i="1"/>
  <c r="BM21" i="1"/>
  <c r="BL21" i="1"/>
  <c r="BJ21" i="1"/>
  <c r="BK21" i="1" s="1"/>
  <c r="BI21" i="1"/>
  <c r="BH21" i="1"/>
  <c r="BF21" i="1"/>
  <c r="BG21" i="1" s="1"/>
  <c r="BE21" i="1"/>
  <c r="BD21" i="1"/>
  <c r="BB21" i="1"/>
  <c r="BC21" i="1" s="1"/>
  <c r="AZ21" i="1"/>
  <c r="BA21" i="1" s="1"/>
  <c r="AY21" i="1"/>
  <c r="AX21" i="1"/>
  <c r="AW21" i="1"/>
  <c r="AV21" i="1"/>
  <c r="AU21" i="1"/>
  <c r="AT21" i="1"/>
  <c r="AS21" i="1"/>
  <c r="AR21" i="1"/>
  <c r="AQ21" i="1"/>
  <c r="AP21" i="1"/>
  <c r="AK21" i="1"/>
  <c r="AJ21" i="1"/>
  <c r="AI21" i="1"/>
  <c r="AF21" i="1"/>
  <c r="AN21" i="1" s="1"/>
  <c r="AE21" i="1"/>
  <c r="BW21" i="1" s="1"/>
  <c r="BY21" i="1" s="1"/>
  <c r="AA21" i="1"/>
  <c r="Y21" i="1"/>
  <c r="W21" i="1"/>
  <c r="BP21" i="1" s="1"/>
  <c r="U21" i="1"/>
  <c r="I21" i="1"/>
  <c r="G21" i="1"/>
  <c r="D21" i="1"/>
  <c r="CF20" i="1"/>
  <c r="CE20" i="1" s="1"/>
  <c r="CC20" i="1"/>
  <c r="BZ20" i="1"/>
  <c r="BU20" i="1"/>
  <c r="BT20" i="1"/>
  <c r="BS20" i="1"/>
  <c r="BR20" i="1"/>
  <c r="BQ20" i="1"/>
  <c r="BO20" i="1"/>
  <c r="BN20" i="1"/>
  <c r="BL20" i="1"/>
  <c r="BM20" i="1" s="1"/>
  <c r="BK20" i="1"/>
  <c r="BJ20" i="1"/>
  <c r="BH20" i="1"/>
  <c r="BI20" i="1" s="1"/>
  <c r="BG20" i="1"/>
  <c r="BF20" i="1"/>
  <c r="BD20" i="1"/>
  <c r="BE20" i="1" s="1"/>
  <c r="BC20" i="1"/>
  <c r="BB20" i="1"/>
  <c r="AZ20" i="1"/>
  <c r="BA20" i="1" s="1"/>
  <c r="AY20" i="1"/>
  <c r="AX20" i="1"/>
  <c r="AW20" i="1"/>
  <c r="AV20" i="1"/>
  <c r="AU20" i="1"/>
  <c r="AT20" i="1"/>
  <c r="AS20" i="1"/>
  <c r="AR20" i="1"/>
  <c r="AQ20" i="1"/>
  <c r="AP20" i="1"/>
  <c r="AK20" i="1"/>
  <c r="AJ20" i="1"/>
  <c r="AI20" i="1"/>
  <c r="CB20" i="1" s="1"/>
  <c r="AF20" i="1"/>
  <c r="AN20" i="1" s="1"/>
  <c r="AE20" i="1"/>
  <c r="BW20" i="1" s="1"/>
  <c r="AA20" i="1"/>
  <c r="Y20" i="1"/>
  <c r="W20" i="1"/>
  <c r="BP20" i="1" s="1"/>
  <c r="U20" i="1"/>
  <c r="I20" i="1"/>
  <c r="G20" i="1"/>
  <c r="D20" i="1"/>
  <c r="CF19" i="1"/>
  <c r="CE19" i="1" s="1"/>
  <c r="BZ19" i="1"/>
  <c r="BU19" i="1"/>
  <c r="BT19" i="1"/>
  <c r="BR19" i="1"/>
  <c r="BS19" i="1" s="1"/>
  <c r="BQ19" i="1"/>
  <c r="BO19" i="1"/>
  <c r="BN19" i="1"/>
  <c r="BL19" i="1"/>
  <c r="BM19" i="1" s="1"/>
  <c r="BJ19" i="1"/>
  <c r="BK19" i="1" s="1"/>
  <c r="BH19" i="1"/>
  <c r="BI19" i="1" s="1"/>
  <c r="BF19" i="1"/>
  <c r="BG19" i="1" s="1"/>
  <c r="BD19" i="1"/>
  <c r="BE19" i="1" s="1"/>
  <c r="BB19" i="1"/>
  <c r="BC19" i="1" s="1"/>
  <c r="AZ19" i="1"/>
  <c r="BA19" i="1" s="1"/>
  <c r="AX19" i="1"/>
  <c r="AY19" i="1" s="1"/>
  <c r="AW19" i="1"/>
  <c r="AV19" i="1"/>
  <c r="AU19" i="1"/>
  <c r="AT19" i="1"/>
  <c r="AS19" i="1"/>
  <c r="AR19" i="1"/>
  <c r="AQ19" i="1"/>
  <c r="AP19" i="1"/>
  <c r="AK19" i="1"/>
  <c r="AJ19" i="1"/>
  <c r="CC19" i="1" s="1"/>
  <c r="AI19" i="1"/>
  <c r="CB19" i="1" s="1"/>
  <c r="AF19" i="1"/>
  <c r="BX19" i="1" s="1"/>
  <c r="AE19" i="1"/>
  <c r="BW19" i="1" s="1"/>
  <c r="AA19" i="1"/>
  <c r="Y19" i="1"/>
  <c r="W19" i="1"/>
  <c r="BP19" i="1" s="1"/>
  <c r="U19" i="1"/>
  <c r="I19" i="1"/>
  <c r="G19" i="1"/>
  <c r="D19" i="1"/>
  <c r="CF18" i="1"/>
  <c r="CE18" i="1"/>
  <c r="BZ18" i="1"/>
  <c r="BU18" i="1"/>
  <c r="BR18" i="1"/>
  <c r="BS18" i="1" s="1"/>
  <c r="BQ18" i="1"/>
  <c r="BO18" i="1"/>
  <c r="BN18" i="1"/>
  <c r="BM18" i="1"/>
  <c r="BL18" i="1"/>
  <c r="BJ18" i="1"/>
  <c r="BK18" i="1" s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N18" i="1"/>
  <c r="AK18" i="1"/>
  <c r="AJ18" i="1"/>
  <c r="CC18" i="1" s="1"/>
  <c r="AI18" i="1"/>
  <c r="CB18" i="1" s="1"/>
  <c r="CA18" i="1" s="1"/>
  <c r="CJ18" i="1" s="1"/>
  <c r="CI18" i="1" s="1"/>
  <c r="AF18" i="1"/>
  <c r="BX18" i="1" s="1"/>
  <c r="AE18" i="1"/>
  <c r="BW18" i="1" s="1"/>
  <c r="BV18" i="1" s="1"/>
  <c r="CH18" i="1" s="1"/>
  <c r="CG18" i="1" s="1"/>
  <c r="AA18" i="1"/>
  <c r="BT18" i="1" s="1"/>
  <c r="Y18" i="1"/>
  <c r="W18" i="1"/>
  <c r="BP18" i="1" s="1"/>
  <c r="U18" i="1"/>
  <c r="I18" i="1"/>
  <c r="G18" i="1"/>
  <c r="D18" i="1"/>
  <c r="CF17" i="1"/>
  <c r="CE17" i="1" s="1"/>
  <c r="CD17" i="1"/>
  <c r="CB17" i="1"/>
  <c r="CA17" i="1"/>
  <c r="CJ17" i="1" s="1"/>
  <c r="CI17" i="1" s="1"/>
  <c r="BZ17" i="1"/>
  <c r="BX17" i="1"/>
  <c r="BU17" i="1"/>
  <c r="BT17" i="1"/>
  <c r="BR17" i="1"/>
  <c r="BS17" i="1" s="1"/>
  <c r="BQ17" i="1"/>
  <c r="BP17" i="1"/>
  <c r="BO17" i="1"/>
  <c r="BN17" i="1"/>
  <c r="BL17" i="1"/>
  <c r="BM17" i="1" s="1"/>
  <c r="BK17" i="1"/>
  <c r="BJ17" i="1"/>
  <c r="BH17" i="1"/>
  <c r="BI17" i="1" s="1"/>
  <c r="BF17" i="1"/>
  <c r="BG17" i="1" s="1"/>
  <c r="BD17" i="1"/>
  <c r="BE17" i="1" s="1"/>
  <c r="BC17" i="1"/>
  <c r="BB17" i="1"/>
  <c r="AZ17" i="1"/>
  <c r="BA17" i="1" s="1"/>
  <c r="AX17" i="1"/>
  <c r="AY17" i="1" s="1"/>
  <c r="AW17" i="1"/>
  <c r="AV17" i="1"/>
  <c r="AU17" i="1"/>
  <c r="AT17" i="1"/>
  <c r="AS17" i="1"/>
  <c r="AR17" i="1"/>
  <c r="AQ17" i="1"/>
  <c r="AP17" i="1"/>
  <c r="AK17" i="1"/>
  <c r="AJ17" i="1"/>
  <c r="CC17" i="1" s="1"/>
  <c r="AI17" i="1"/>
  <c r="AF17" i="1"/>
  <c r="AN17" i="1" s="1"/>
  <c r="AE17" i="1"/>
  <c r="BW17" i="1" s="1"/>
  <c r="AA17" i="1"/>
  <c r="Y17" i="1"/>
  <c r="W17" i="1"/>
  <c r="U17" i="1"/>
  <c r="I17" i="1"/>
  <c r="G17" i="1"/>
  <c r="D17" i="1"/>
  <c r="CF16" i="1"/>
  <c r="CE16" i="1"/>
  <c r="CC16" i="1"/>
  <c r="BZ16" i="1"/>
  <c r="BX16" i="1"/>
  <c r="BU16" i="1"/>
  <c r="BT16" i="1"/>
  <c r="BS16" i="1"/>
  <c r="BR16" i="1"/>
  <c r="BQ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N16" i="1"/>
  <c r="AK16" i="1"/>
  <c r="AJ16" i="1"/>
  <c r="AI16" i="1"/>
  <c r="CB16" i="1" s="1"/>
  <c r="AF16" i="1"/>
  <c r="AL16" i="1" s="1"/>
  <c r="AE16" i="1"/>
  <c r="BW16" i="1" s="1"/>
  <c r="AA16" i="1"/>
  <c r="Y16" i="1"/>
  <c r="W16" i="1"/>
  <c r="BP16" i="1" s="1"/>
  <c r="U16" i="1"/>
  <c r="I16" i="1"/>
  <c r="G16" i="1"/>
  <c r="D16" i="1"/>
  <c r="CF15" i="1"/>
  <c r="CE15" i="1" s="1"/>
  <c r="BZ15" i="1"/>
  <c r="BU15" i="1"/>
  <c r="BT15" i="1"/>
  <c r="BR15" i="1"/>
  <c r="BS15" i="1" s="1"/>
  <c r="BQ15" i="1"/>
  <c r="BO15" i="1"/>
  <c r="BN15" i="1"/>
  <c r="BM15" i="1"/>
  <c r="BL15" i="1"/>
  <c r="BJ15" i="1"/>
  <c r="BK15" i="1" s="1"/>
  <c r="BH15" i="1"/>
  <c r="BI15" i="1" s="1"/>
  <c r="BF15" i="1"/>
  <c r="BG15" i="1" s="1"/>
  <c r="BE15" i="1"/>
  <c r="BD15" i="1"/>
  <c r="BB15" i="1"/>
  <c r="BC15" i="1" s="1"/>
  <c r="AZ15" i="1"/>
  <c r="BA15" i="1" s="1"/>
  <c r="AX15" i="1"/>
  <c r="AY15" i="1" s="1"/>
  <c r="AW15" i="1"/>
  <c r="AV15" i="1"/>
  <c r="AU15" i="1"/>
  <c r="AT15" i="1"/>
  <c r="AS15" i="1"/>
  <c r="AR15" i="1"/>
  <c r="AQ15" i="1"/>
  <c r="AP15" i="1"/>
  <c r="AN15" i="1"/>
  <c r="AK15" i="1"/>
  <c r="AJ15" i="1"/>
  <c r="CC15" i="1" s="1"/>
  <c r="AI15" i="1"/>
  <c r="CB15" i="1" s="1"/>
  <c r="AF15" i="1"/>
  <c r="AL15" i="1" s="1"/>
  <c r="AE15" i="1"/>
  <c r="BW15" i="1" s="1"/>
  <c r="BY15" i="1" s="1"/>
  <c r="AA15" i="1"/>
  <c r="Y15" i="1"/>
  <c r="W15" i="1"/>
  <c r="BP15" i="1" s="1"/>
  <c r="U15" i="1"/>
  <c r="I15" i="1"/>
  <c r="G15" i="1"/>
  <c r="D15" i="1"/>
  <c r="CF14" i="1"/>
  <c r="CE14" i="1"/>
  <c r="BZ14" i="1"/>
  <c r="BW14" i="1"/>
  <c r="BV14" i="1" s="1"/>
  <c r="CH14" i="1" s="1"/>
  <c r="CG14" i="1" s="1"/>
  <c r="BU14" i="1"/>
  <c r="BR14" i="1"/>
  <c r="BS14" i="1" s="1"/>
  <c r="BQ14" i="1"/>
  <c r="BO14" i="1"/>
  <c r="BN14" i="1"/>
  <c r="BM14" i="1"/>
  <c r="BL14" i="1"/>
  <c r="BK14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K14" i="1"/>
  <c r="AJ14" i="1"/>
  <c r="CC14" i="1" s="1"/>
  <c r="AI14" i="1"/>
  <c r="CB14" i="1" s="1"/>
  <c r="CA14" i="1" s="1"/>
  <c r="CJ14" i="1" s="1"/>
  <c r="CI14" i="1" s="1"/>
  <c r="AF14" i="1"/>
  <c r="BX14" i="1" s="1"/>
  <c r="AE14" i="1"/>
  <c r="AA14" i="1"/>
  <c r="BT14" i="1" s="1"/>
  <c r="Y14" i="1"/>
  <c r="W14" i="1"/>
  <c r="BP14" i="1" s="1"/>
  <c r="U14" i="1"/>
  <c r="I14" i="1"/>
  <c r="G14" i="1"/>
  <c r="D14" i="1"/>
  <c r="CF13" i="1"/>
  <c r="CE13" i="1" s="1"/>
  <c r="BZ13" i="1"/>
  <c r="BX13" i="1"/>
  <c r="BU13" i="1"/>
  <c r="BR13" i="1"/>
  <c r="BS13" i="1" s="1"/>
  <c r="BQ13" i="1"/>
  <c r="BP13" i="1"/>
  <c r="BO13" i="1"/>
  <c r="BN13" i="1"/>
  <c r="BL13" i="1"/>
  <c r="BM13" i="1" s="1"/>
  <c r="BK13" i="1"/>
  <c r="BJ13" i="1"/>
  <c r="BH13" i="1"/>
  <c r="BI13" i="1" s="1"/>
  <c r="BF13" i="1"/>
  <c r="BG13" i="1" s="1"/>
  <c r="BD13" i="1"/>
  <c r="BE13" i="1" s="1"/>
  <c r="BC13" i="1"/>
  <c r="BB13" i="1"/>
  <c r="AZ13" i="1"/>
  <c r="BA13" i="1" s="1"/>
  <c r="AX13" i="1"/>
  <c r="AY13" i="1" s="1"/>
  <c r="AW13" i="1"/>
  <c r="AV13" i="1"/>
  <c r="AU13" i="1"/>
  <c r="AT13" i="1"/>
  <c r="AS13" i="1"/>
  <c r="AR13" i="1"/>
  <c r="AQ13" i="1"/>
  <c r="AP13" i="1"/>
  <c r="AK13" i="1"/>
  <c r="AJ13" i="1"/>
  <c r="CC13" i="1" s="1"/>
  <c r="AI13" i="1"/>
  <c r="CB13" i="1" s="1"/>
  <c r="AF13" i="1"/>
  <c r="AE13" i="1"/>
  <c r="BW13" i="1" s="1"/>
  <c r="AA13" i="1"/>
  <c r="BT13" i="1" s="1"/>
  <c r="Y13" i="1"/>
  <c r="W13" i="1"/>
  <c r="U13" i="1"/>
  <c r="I13" i="1"/>
  <c r="G13" i="1"/>
  <c r="D13" i="1"/>
  <c r="BZ12" i="1"/>
  <c r="BU12" i="1"/>
  <c r="BS12" i="1"/>
  <c r="BR12" i="1"/>
  <c r="BQ12" i="1"/>
  <c r="BO12" i="1"/>
  <c r="BN12" i="1"/>
  <c r="BM12" i="1"/>
  <c r="BL12" i="1"/>
  <c r="BJ12" i="1"/>
  <c r="BK12" i="1" s="1"/>
  <c r="BH12" i="1"/>
  <c r="BI12" i="1" s="1"/>
  <c r="BG12" i="1"/>
  <c r="BF12" i="1"/>
  <c r="BD12" i="1"/>
  <c r="BE12" i="1" s="1"/>
  <c r="BB12" i="1"/>
  <c r="BC12" i="1" s="1"/>
  <c r="AZ12" i="1"/>
  <c r="BA12" i="1" s="1"/>
  <c r="AX12" i="1"/>
  <c r="AY12" i="1" s="1"/>
  <c r="AW12" i="1"/>
  <c r="AV12" i="1"/>
  <c r="AU12" i="1"/>
  <c r="AS12" i="1"/>
  <c r="AR12" i="1"/>
  <c r="AQ12" i="1"/>
  <c r="AP12" i="1"/>
  <c r="AK12" i="1"/>
  <c r="AJ12" i="1"/>
  <c r="CC12" i="1" s="1"/>
  <c r="AI12" i="1"/>
  <c r="CB12" i="1" s="1"/>
  <c r="AF12" i="1"/>
  <c r="AE12" i="1"/>
  <c r="BW12" i="1" s="1"/>
  <c r="AA12" i="1"/>
  <c r="BT12" i="1" s="1"/>
  <c r="Y12" i="1"/>
  <c r="W12" i="1"/>
  <c r="BP12" i="1" s="1"/>
  <c r="U12" i="1"/>
  <c r="I12" i="1"/>
  <c r="G12" i="1"/>
  <c r="AT12" i="1" s="1"/>
  <c r="CA13" i="1" l="1"/>
  <c r="CJ13" i="1" s="1"/>
  <c r="CI13" i="1" s="1"/>
  <c r="CD13" i="1"/>
  <c r="AL12" i="1"/>
  <c r="BX12" i="1"/>
  <c r="AN12" i="1"/>
  <c r="CF12" i="1"/>
  <c r="CE12" i="1" s="1"/>
  <c r="BV12" i="1"/>
  <c r="CH12" i="1" s="1"/>
  <c r="CG12" i="1" s="1"/>
  <c r="BY12" i="1"/>
  <c r="CD12" i="1"/>
  <c r="CA12" i="1"/>
  <c r="CJ12" i="1" s="1"/>
  <c r="CI12" i="1" s="1"/>
  <c r="CA15" i="1"/>
  <c r="CJ15" i="1" s="1"/>
  <c r="CI15" i="1" s="1"/>
  <c r="CD15" i="1"/>
  <c r="BV16" i="1"/>
  <c r="CH16" i="1" s="1"/>
  <c r="CG16" i="1" s="1"/>
  <c r="BY16" i="1"/>
  <c r="BY13" i="1"/>
  <c r="BV13" i="1"/>
  <c r="CH13" i="1" s="1"/>
  <c r="CG13" i="1" s="1"/>
  <c r="BY17" i="1"/>
  <c r="BV17" i="1"/>
  <c r="CH17" i="1" s="1"/>
  <c r="CG17" i="1" s="1"/>
  <c r="CD16" i="1"/>
  <c r="CA16" i="1"/>
  <c r="CJ16" i="1" s="1"/>
  <c r="CI16" i="1" s="1"/>
  <c r="CA19" i="1"/>
  <c r="CJ19" i="1" s="1"/>
  <c r="CI19" i="1" s="1"/>
  <c r="CD19" i="1"/>
  <c r="AN14" i="1"/>
  <c r="BV15" i="1"/>
  <c r="CH15" i="1" s="1"/>
  <c r="CG15" i="1" s="1"/>
  <c r="BY18" i="1"/>
  <c r="AL19" i="1"/>
  <c r="BV26" i="1"/>
  <c r="CH26" i="1" s="1"/>
  <c r="CG26" i="1" s="1"/>
  <c r="BY26" i="1"/>
  <c r="BY33" i="1"/>
  <c r="BV33" i="1"/>
  <c r="CH33" i="1" s="1"/>
  <c r="CG33" i="1" s="1"/>
  <c r="BY14" i="1"/>
  <c r="CD14" i="1"/>
  <c r="BX15" i="1"/>
  <c r="AL17" i="1"/>
  <c r="AN19" i="1"/>
  <c r="BV20" i="1"/>
  <c r="CH20" i="1" s="1"/>
  <c r="CG20" i="1" s="1"/>
  <c r="BY20" i="1"/>
  <c r="BV28" i="1"/>
  <c r="CH28" i="1" s="1"/>
  <c r="CG28" i="1" s="1"/>
  <c r="BY28" i="1"/>
  <c r="BV30" i="1"/>
  <c r="CH30" i="1" s="1"/>
  <c r="CG30" i="1" s="1"/>
  <c r="BY30" i="1"/>
  <c r="AN13" i="1"/>
  <c r="AL13" i="1"/>
  <c r="CD18" i="1"/>
  <c r="BV19" i="1"/>
  <c r="CH19" i="1" s="1"/>
  <c r="CG19" i="1" s="1"/>
  <c r="BY19" i="1"/>
  <c r="CD20" i="1"/>
  <c r="CA20" i="1"/>
  <c r="CJ20" i="1" s="1"/>
  <c r="CI20" i="1" s="1"/>
  <c r="BV22" i="1"/>
  <c r="CH22" i="1" s="1"/>
  <c r="CG22" i="1" s="1"/>
  <c r="BY22" i="1"/>
  <c r="BV24" i="1"/>
  <c r="CH24" i="1" s="1"/>
  <c r="CG24" i="1" s="1"/>
  <c r="BY24" i="1"/>
  <c r="BV21" i="1"/>
  <c r="CH21" i="1" s="1"/>
  <c r="CG21" i="1" s="1"/>
  <c r="AN23" i="1"/>
  <c r="AL23" i="1"/>
  <c r="AN25" i="1"/>
  <c r="AL25" i="1"/>
  <c r="BV25" i="1"/>
  <c r="CH25" i="1" s="1"/>
  <c r="CG25" i="1" s="1"/>
  <c r="CA30" i="1"/>
  <c r="CJ30" i="1" s="1"/>
  <c r="CI30" i="1" s="1"/>
  <c r="AL32" i="1"/>
  <c r="BX32" i="1"/>
  <c r="BX35" i="1"/>
  <c r="AN35" i="1"/>
  <c r="AL35" i="1"/>
  <c r="CA35" i="1"/>
  <c r="CJ35" i="1" s="1"/>
  <c r="CI35" i="1" s="1"/>
  <c r="CD35" i="1"/>
  <c r="BV40" i="1"/>
  <c r="CH40" i="1" s="1"/>
  <c r="CG40" i="1" s="1"/>
  <c r="BY40" i="1"/>
  <c r="AL20" i="1"/>
  <c r="BX20" i="1"/>
  <c r="BX21" i="1"/>
  <c r="BX23" i="1"/>
  <c r="BX25" i="1"/>
  <c r="AL27" i="1"/>
  <c r="AL29" i="1"/>
  <c r="BV29" i="1"/>
  <c r="CH29" i="1" s="1"/>
  <c r="CG29" i="1" s="1"/>
  <c r="CD29" i="1"/>
  <c r="BV39" i="1"/>
  <c r="CH39" i="1" s="1"/>
  <c r="CG39" i="1" s="1"/>
  <c r="BY39" i="1"/>
  <c r="AL21" i="1"/>
  <c r="BX27" i="1"/>
  <c r="AL31" i="1"/>
  <c r="BV38" i="1"/>
  <c r="CH38" i="1" s="1"/>
  <c r="CG38" i="1" s="1"/>
  <c r="BY38" i="1"/>
  <c r="AL14" i="1"/>
  <c r="AL18" i="1"/>
  <c r="CA26" i="1"/>
  <c r="CJ26" i="1" s="1"/>
  <c r="CI26" i="1" s="1"/>
  <c r="CA28" i="1"/>
  <c r="CJ28" i="1" s="1"/>
  <c r="CI28" i="1" s="1"/>
  <c r="CA31" i="1"/>
  <c r="CJ31" i="1" s="1"/>
  <c r="CI31" i="1" s="1"/>
  <c r="CD31" i="1"/>
  <c r="BX31" i="1"/>
  <c r="BV32" i="1"/>
  <c r="CH32" i="1" s="1"/>
  <c r="CG32" i="1" s="1"/>
  <c r="BY32" i="1"/>
  <c r="BV36" i="1"/>
  <c r="CH36" i="1" s="1"/>
  <c r="CG36" i="1" s="1"/>
  <c r="BY36" i="1"/>
  <c r="BY42" i="1"/>
  <c r="BV42" i="1"/>
  <c r="CH42" i="1" s="1"/>
  <c r="CG42" i="1" s="1"/>
  <c r="AL24" i="1"/>
  <c r="AL28" i="1"/>
  <c r="AN33" i="1"/>
  <c r="AL36" i="1"/>
  <c r="CA36" i="1"/>
  <c r="CJ36" i="1" s="1"/>
  <c r="CI36" i="1" s="1"/>
  <c r="BV37" i="1"/>
  <c r="CH37" i="1" s="1"/>
  <c r="CG37" i="1" s="1"/>
  <c r="AL39" i="1"/>
  <c r="BX39" i="1"/>
  <c r="BV41" i="1"/>
  <c r="CH41" i="1" s="1"/>
  <c r="CG41" i="1" s="1"/>
  <c r="BY41" i="1"/>
  <c r="CA43" i="1"/>
  <c r="CJ43" i="1" s="1"/>
  <c r="CI43" i="1" s="1"/>
  <c r="CD43" i="1"/>
  <c r="CA38" i="1"/>
  <c r="CJ38" i="1" s="1"/>
  <c r="CI38" i="1" s="1"/>
  <c r="CD38" i="1"/>
  <c r="AN41" i="1"/>
  <c r="AL22" i="1"/>
  <c r="AL26" i="1"/>
  <c r="AL30" i="1"/>
  <c r="BY31" i="1"/>
  <c r="CD34" i="1"/>
  <c r="BX36" i="1"/>
  <c r="CA39" i="1"/>
  <c r="CJ39" i="1" s="1"/>
  <c r="CI39" i="1" s="1"/>
  <c r="CD39" i="1"/>
  <c r="BV43" i="1"/>
  <c r="CH43" i="1" s="1"/>
  <c r="CG43" i="1" s="1"/>
  <c r="BY43" i="1"/>
  <c r="AL40" i="1"/>
  <c r="BX40" i="1"/>
  <c r="AL33" i="1"/>
  <c r="BX33" i="1"/>
  <c r="AL37" i="1"/>
  <c r="BX37" i="1"/>
  <c r="AL41" i="1"/>
  <c r="BX41" i="1"/>
  <c r="AL34" i="1"/>
  <c r="AL38" i="1"/>
  <c r="AL42" i="1"/>
  <c r="BX42" i="1"/>
  <c r="AL43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9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E1011" i="1"/>
  <c r="AE1010" i="1"/>
  <c r="AE1009" i="1"/>
  <c r="AE1008" i="1"/>
  <c r="AE1007" i="1"/>
  <c r="AE1006" i="1"/>
  <c r="AE1005" i="1"/>
  <c r="AE1004" i="1"/>
  <c r="AE1003" i="1"/>
  <c r="AE1002" i="1"/>
  <c r="AE1001" i="1"/>
  <c r="AE1000" i="1"/>
  <c r="AE999" i="1"/>
  <c r="AE998" i="1"/>
  <c r="AE997" i="1"/>
  <c r="AE996" i="1"/>
  <c r="AE995" i="1"/>
  <c r="AE994" i="1"/>
  <c r="AE993" i="1"/>
  <c r="AE992" i="1"/>
  <c r="AE991" i="1"/>
  <c r="AE990" i="1"/>
  <c r="AE989" i="1"/>
  <c r="AE988" i="1"/>
  <c r="AE987" i="1"/>
  <c r="AE986" i="1"/>
  <c r="AE985" i="1"/>
  <c r="AE984" i="1"/>
  <c r="AE983" i="1"/>
  <c r="AE982" i="1"/>
  <c r="AE981" i="1"/>
  <c r="AE980" i="1"/>
  <c r="AE979" i="1"/>
  <c r="AE978" i="1"/>
  <c r="AE977" i="1"/>
  <c r="AE976" i="1"/>
  <c r="AE975" i="1"/>
  <c r="AE974" i="1"/>
  <c r="AE973" i="1"/>
  <c r="AE972" i="1"/>
  <c r="AE971" i="1"/>
  <c r="AE970" i="1"/>
  <c r="AE969" i="1"/>
  <c r="AE968" i="1"/>
  <c r="AE967" i="1"/>
  <c r="AE966" i="1"/>
  <c r="AE965" i="1"/>
  <c r="AE964" i="1"/>
  <c r="AE963" i="1"/>
  <c r="AE962" i="1"/>
  <c r="AE961" i="1"/>
  <c r="AE960" i="1"/>
  <c r="AE959" i="1"/>
  <c r="AE958" i="1"/>
  <c r="AE957" i="1"/>
  <c r="AE956" i="1"/>
  <c r="AE955" i="1"/>
  <c r="AE954" i="1"/>
  <c r="AE953" i="1"/>
  <c r="AE952" i="1"/>
  <c r="AE951" i="1"/>
  <c r="AE950" i="1"/>
  <c r="AE949" i="1"/>
  <c r="AE948" i="1"/>
  <c r="AE947" i="1"/>
  <c r="AE946" i="1"/>
  <c r="AE945" i="1"/>
  <c r="AE944" i="1"/>
  <c r="AE943" i="1"/>
  <c r="AE942" i="1"/>
  <c r="AE941" i="1"/>
  <c r="AE940" i="1"/>
  <c r="AE939" i="1"/>
  <c r="AE938" i="1"/>
  <c r="AE937" i="1"/>
  <c r="AE936" i="1"/>
  <c r="AE935" i="1"/>
  <c r="AE934" i="1"/>
  <c r="AE933" i="1"/>
  <c r="AE932" i="1"/>
  <c r="AE931" i="1"/>
  <c r="AE930" i="1"/>
  <c r="AE929" i="1"/>
  <c r="AE928" i="1"/>
  <c r="AE927" i="1"/>
  <c r="AE926" i="1"/>
  <c r="AE925" i="1"/>
  <c r="AE924" i="1"/>
  <c r="AE923" i="1"/>
  <c r="AE922" i="1"/>
  <c r="AE921" i="1"/>
  <c r="AE920" i="1"/>
  <c r="AE919" i="1"/>
  <c r="AE918" i="1"/>
  <c r="AE917" i="1"/>
  <c r="AE916" i="1"/>
  <c r="AE915" i="1"/>
  <c r="AE914" i="1"/>
  <c r="AE913" i="1"/>
  <c r="AE912" i="1"/>
  <c r="AE911" i="1"/>
  <c r="AE910" i="1"/>
  <c r="AE909" i="1"/>
  <c r="AE908" i="1"/>
  <c r="AE907" i="1"/>
  <c r="AE906" i="1"/>
  <c r="AE905" i="1"/>
  <c r="AE904" i="1"/>
  <c r="AE903" i="1"/>
  <c r="AE902" i="1"/>
  <c r="AE901" i="1"/>
  <c r="AE900" i="1"/>
  <c r="AE899" i="1"/>
  <c r="AE898" i="1"/>
  <c r="AE897" i="1"/>
  <c r="AE896" i="1"/>
  <c r="AE895" i="1"/>
  <c r="AE894" i="1"/>
  <c r="AE893" i="1"/>
  <c r="AE892" i="1"/>
  <c r="AE891" i="1"/>
  <c r="AE890" i="1"/>
  <c r="AE889" i="1"/>
  <c r="AE888" i="1"/>
  <c r="AE887" i="1"/>
  <c r="AE886" i="1"/>
  <c r="AE885" i="1"/>
  <c r="AE884" i="1"/>
  <c r="AE883" i="1"/>
  <c r="AE882" i="1"/>
  <c r="AE881" i="1"/>
  <c r="AE880" i="1"/>
  <c r="AE879" i="1"/>
  <c r="AE878" i="1"/>
  <c r="AE877" i="1"/>
  <c r="AE876" i="1"/>
  <c r="AE875" i="1"/>
  <c r="AE874" i="1"/>
  <c r="AE873" i="1"/>
  <c r="AE872" i="1"/>
  <c r="AE871" i="1"/>
  <c r="AE870" i="1"/>
  <c r="AE869" i="1"/>
  <c r="AE868" i="1"/>
  <c r="AE867" i="1"/>
  <c r="AE866" i="1"/>
  <c r="AE865" i="1"/>
  <c r="AE864" i="1"/>
  <c r="AE863" i="1"/>
  <c r="AE862" i="1"/>
  <c r="AE861" i="1"/>
  <c r="AE860" i="1"/>
  <c r="AE859" i="1"/>
  <c r="AE858" i="1"/>
  <c r="AE857" i="1"/>
  <c r="AE856" i="1"/>
  <c r="AE855" i="1"/>
  <c r="AE854" i="1"/>
  <c r="AE853" i="1"/>
  <c r="AE852" i="1"/>
  <c r="AE851" i="1"/>
  <c r="AE850" i="1"/>
  <c r="AE849" i="1"/>
  <c r="AE848" i="1"/>
  <c r="AE847" i="1"/>
  <c r="AE846" i="1"/>
  <c r="AE845" i="1"/>
  <c r="AE844" i="1"/>
  <c r="AE843" i="1"/>
  <c r="AE842" i="1"/>
  <c r="AE841" i="1"/>
  <c r="AE840" i="1"/>
  <c r="AE839" i="1"/>
  <c r="AE838" i="1"/>
  <c r="AE837" i="1"/>
  <c r="AE836" i="1"/>
  <c r="AE835" i="1"/>
  <c r="AE834" i="1"/>
  <c r="AE833" i="1"/>
  <c r="AE832" i="1"/>
  <c r="AE831" i="1"/>
  <c r="AE830" i="1"/>
  <c r="AE829" i="1"/>
  <c r="AE828" i="1"/>
  <c r="AE827" i="1"/>
  <c r="AE826" i="1"/>
  <c r="AE825" i="1"/>
  <c r="AE824" i="1"/>
  <c r="AE823" i="1"/>
  <c r="AE822" i="1"/>
  <c r="AE821" i="1"/>
  <c r="AE820" i="1"/>
  <c r="AE819" i="1"/>
  <c r="AE818" i="1"/>
  <c r="AE817" i="1"/>
  <c r="AE816" i="1"/>
  <c r="AE815" i="1"/>
  <c r="AE814" i="1"/>
  <c r="AE813" i="1"/>
  <c r="AE812" i="1"/>
  <c r="AE811" i="1"/>
  <c r="AE810" i="1"/>
  <c r="AE809" i="1"/>
  <c r="AE808" i="1"/>
  <c r="AE807" i="1"/>
  <c r="AE806" i="1"/>
  <c r="AE805" i="1"/>
  <c r="AE804" i="1"/>
  <c r="AE803" i="1"/>
  <c r="AE802" i="1"/>
  <c r="AE801" i="1"/>
  <c r="AE800" i="1"/>
  <c r="AE799" i="1"/>
  <c r="AE798" i="1"/>
  <c r="AE797" i="1"/>
  <c r="AE796" i="1"/>
  <c r="AE795" i="1"/>
  <c r="AE794" i="1"/>
  <c r="AE793" i="1"/>
  <c r="AE792" i="1"/>
  <c r="AE791" i="1"/>
  <c r="AE790" i="1"/>
  <c r="AE789" i="1"/>
  <c r="AE788" i="1"/>
  <c r="AE787" i="1"/>
  <c r="AE786" i="1"/>
  <c r="AE785" i="1"/>
  <c r="AE784" i="1"/>
  <c r="AE783" i="1"/>
  <c r="AE782" i="1"/>
  <c r="AE781" i="1"/>
  <c r="AE780" i="1"/>
  <c r="AE779" i="1"/>
  <c r="AE778" i="1"/>
  <c r="AE777" i="1"/>
  <c r="AE776" i="1"/>
  <c r="AE775" i="1"/>
  <c r="AE774" i="1"/>
  <c r="AE773" i="1"/>
  <c r="AE772" i="1"/>
  <c r="AE771" i="1"/>
  <c r="AE770" i="1"/>
  <c r="AE769" i="1"/>
  <c r="AE768" i="1"/>
  <c r="AE767" i="1"/>
  <c r="AE766" i="1"/>
  <c r="AE765" i="1"/>
  <c r="AE764" i="1"/>
  <c r="AE763" i="1"/>
  <c r="AE762" i="1"/>
  <c r="AE761" i="1"/>
  <c r="AE760" i="1"/>
  <c r="AE759" i="1"/>
  <c r="AE758" i="1"/>
  <c r="AE757" i="1"/>
  <c r="AE756" i="1"/>
  <c r="AE755" i="1"/>
  <c r="AE754" i="1"/>
  <c r="AE753" i="1"/>
  <c r="AE752" i="1"/>
  <c r="AE751" i="1"/>
  <c r="AE750" i="1"/>
  <c r="AE749" i="1"/>
  <c r="AE748" i="1"/>
  <c r="AE747" i="1"/>
  <c r="AE746" i="1"/>
  <c r="AE745" i="1"/>
  <c r="AE744" i="1"/>
  <c r="AE743" i="1"/>
  <c r="AE742" i="1"/>
  <c r="AE741" i="1"/>
  <c r="AE740" i="1"/>
  <c r="AE739" i="1"/>
  <c r="AE738" i="1"/>
  <c r="AE737" i="1"/>
  <c r="AE736" i="1"/>
  <c r="AE735" i="1"/>
  <c r="AE734" i="1"/>
  <c r="AE733" i="1"/>
  <c r="AE732" i="1"/>
  <c r="AE731" i="1"/>
  <c r="AE730" i="1"/>
  <c r="AE729" i="1"/>
  <c r="AE728" i="1"/>
  <c r="AE727" i="1"/>
  <c r="AE726" i="1"/>
  <c r="AE725" i="1"/>
  <c r="AE724" i="1"/>
  <c r="AE723" i="1"/>
  <c r="AE722" i="1"/>
  <c r="AE721" i="1"/>
  <c r="AE720" i="1"/>
  <c r="AE719" i="1"/>
  <c r="AE718" i="1"/>
  <c r="AE717" i="1"/>
  <c r="AE716" i="1"/>
  <c r="AE715" i="1"/>
  <c r="AE714" i="1"/>
  <c r="AE713" i="1"/>
  <c r="AE712" i="1"/>
  <c r="AE711" i="1"/>
  <c r="AE710" i="1"/>
  <c r="AE709" i="1"/>
  <c r="AE708" i="1"/>
  <c r="AE707" i="1"/>
  <c r="AE706" i="1"/>
  <c r="AE705" i="1"/>
  <c r="AE704" i="1"/>
  <c r="AE703" i="1"/>
  <c r="AE702" i="1"/>
  <c r="AE701" i="1"/>
  <c r="AE700" i="1"/>
  <c r="AE699" i="1"/>
  <c r="AE698" i="1"/>
  <c r="AE697" i="1"/>
  <c r="AE696" i="1"/>
  <c r="AE695" i="1"/>
  <c r="AE694" i="1"/>
  <c r="AE693" i="1"/>
  <c r="AE692" i="1"/>
  <c r="AE691" i="1"/>
  <c r="AE690" i="1"/>
  <c r="AE689" i="1"/>
  <c r="AE688" i="1"/>
  <c r="AE687" i="1"/>
  <c r="AE686" i="1"/>
  <c r="AE685" i="1"/>
  <c r="AE684" i="1"/>
  <c r="AE683" i="1"/>
  <c r="AE682" i="1"/>
  <c r="AE681" i="1"/>
  <c r="AE680" i="1"/>
  <c r="AE679" i="1"/>
  <c r="AE678" i="1"/>
  <c r="AE677" i="1"/>
  <c r="AE676" i="1"/>
  <c r="AE675" i="1"/>
  <c r="AE674" i="1"/>
  <c r="AE673" i="1"/>
  <c r="AE672" i="1"/>
  <c r="AE671" i="1"/>
  <c r="AE670" i="1"/>
  <c r="AE669" i="1"/>
  <c r="AE668" i="1"/>
  <c r="AE667" i="1"/>
  <c r="AE666" i="1"/>
  <c r="AE665" i="1"/>
  <c r="AE664" i="1"/>
  <c r="AE663" i="1"/>
  <c r="AE662" i="1"/>
  <c r="AE661" i="1"/>
  <c r="AE660" i="1"/>
  <c r="AE659" i="1"/>
  <c r="AE658" i="1"/>
  <c r="AE657" i="1"/>
  <c r="AE656" i="1"/>
  <c r="AE655" i="1"/>
  <c r="AE654" i="1"/>
  <c r="AE653" i="1"/>
  <c r="AE652" i="1"/>
  <c r="AE651" i="1"/>
  <c r="AE650" i="1"/>
  <c r="AE649" i="1"/>
  <c r="AE648" i="1"/>
  <c r="AE647" i="1"/>
  <c r="AE646" i="1"/>
  <c r="AE645" i="1"/>
  <c r="AE644" i="1"/>
  <c r="AE643" i="1"/>
  <c r="AE642" i="1"/>
  <c r="AE641" i="1"/>
  <c r="AE640" i="1"/>
  <c r="AE639" i="1"/>
  <c r="AE638" i="1"/>
  <c r="AE637" i="1"/>
  <c r="AE636" i="1"/>
  <c r="AE635" i="1"/>
  <c r="AE634" i="1"/>
  <c r="AE633" i="1"/>
  <c r="AE632" i="1"/>
  <c r="AE631" i="1"/>
  <c r="AE630" i="1"/>
  <c r="AE629" i="1"/>
  <c r="AE628" i="1"/>
  <c r="AE627" i="1"/>
  <c r="AE626" i="1"/>
  <c r="AE625" i="1"/>
  <c r="AE624" i="1"/>
  <c r="AE623" i="1"/>
  <c r="AE622" i="1"/>
  <c r="AE621" i="1"/>
  <c r="AE620" i="1"/>
  <c r="AE619" i="1"/>
  <c r="AE618" i="1"/>
  <c r="AE617" i="1"/>
  <c r="AE616" i="1"/>
  <c r="AE615" i="1"/>
  <c r="AE614" i="1"/>
  <c r="AE613" i="1"/>
  <c r="AE612" i="1"/>
  <c r="AE611" i="1"/>
  <c r="AE610" i="1"/>
  <c r="AE609" i="1"/>
  <c r="AE608" i="1"/>
  <c r="AE607" i="1"/>
  <c r="AE606" i="1"/>
  <c r="AE605" i="1"/>
  <c r="AE604" i="1"/>
  <c r="AE603" i="1"/>
  <c r="AE602" i="1"/>
  <c r="AE601" i="1"/>
  <c r="AE600" i="1"/>
  <c r="AE599" i="1"/>
  <c r="AE598" i="1"/>
  <c r="AE597" i="1"/>
  <c r="AE596" i="1"/>
  <c r="AE595" i="1"/>
  <c r="AE594" i="1"/>
  <c r="AE593" i="1"/>
  <c r="AE592" i="1"/>
  <c r="AE591" i="1"/>
  <c r="AE590" i="1"/>
  <c r="AE589" i="1"/>
  <c r="AE588" i="1"/>
  <c r="AE587" i="1"/>
  <c r="AE586" i="1"/>
  <c r="AE585" i="1"/>
  <c r="AE584" i="1"/>
  <c r="AE583" i="1"/>
  <c r="AE582" i="1"/>
  <c r="AE581" i="1"/>
  <c r="AE580" i="1"/>
  <c r="AE579" i="1"/>
  <c r="AE578" i="1"/>
  <c r="AE577" i="1"/>
  <c r="AE576" i="1"/>
  <c r="AE575" i="1"/>
  <c r="AE574" i="1"/>
  <c r="AE573" i="1"/>
  <c r="AE572" i="1"/>
  <c r="AE571" i="1"/>
  <c r="AE570" i="1"/>
  <c r="AE569" i="1"/>
  <c r="AE568" i="1"/>
  <c r="AE567" i="1"/>
  <c r="AE566" i="1"/>
  <c r="AE565" i="1"/>
  <c r="AE564" i="1"/>
  <c r="AE563" i="1"/>
  <c r="AE562" i="1"/>
  <c r="AE561" i="1"/>
  <c r="AE560" i="1"/>
  <c r="AE559" i="1"/>
  <c r="AE558" i="1"/>
  <c r="AE557" i="1"/>
  <c r="AE556" i="1"/>
  <c r="AE555" i="1"/>
  <c r="AE554" i="1"/>
  <c r="AE553" i="1"/>
  <c r="AE552" i="1"/>
  <c r="AE551" i="1"/>
  <c r="AE550" i="1"/>
  <c r="AE549" i="1"/>
  <c r="AE548" i="1"/>
  <c r="AE547" i="1"/>
  <c r="AE546" i="1"/>
  <c r="AE545" i="1"/>
  <c r="AE544" i="1"/>
  <c r="AE543" i="1"/>
  <c r="AE542" i="1"/>
  <c r="AE541" i="1"/>
  <c r="AE540" i="1"/>
  <c r="AE539" i="1"/>
  <c r="AE538" i="1"/>
  <c r="AE537" i="1"/>
  <c r="AE536" i="1"/>
  <c r="AE535" i="1"/>
  <c r="AE534" i="1"/>
  <c r="AE533" i="1"/>
  <c r="AE532" i="1"/>
  <c r="AE531" i="1"/>
  <c r="AE530" i="1"/>
  <c r="AE529" i="1"/>
  <c r="AE528" i="1"/>
  <c r="AE527" i="1"/>
  <c r="AE526" i="1"/>
  <c r="AE525" i="1"/>
  <c r="AE524" i="1"/>
  <c r="AE523" i="1"/>
  <c r="AE522" i="1"/>
  <c r="AE521" i="1"/>
  <c r="AE520" i="1"/>
  <c r="AE519" i="1"/>
  <c r="AE518" i="1"/>
  <c r="AE517" i="1"/>
  <c r="AE516" i="1"/>
  <c r="AE515" i="1"/>
  <c r="AE514" i="1"/>
  <c r="AE513" i="1"/>
  <c r="AE512" i="1"/>
  <c r="AE511" i="1"/>
  <c r="AE510" i="1"/>
  <c r="AE509" i="1"/>
  <c r="AE508" i="1"/>
  <c r="AE507" i="1"/>
  <c r="AE506" i="1"/>
  <c r="AE505" i="1"/>
  <c r="AE504" i="1"/>
  <c r="AE503" i="1"/>
  <c r="AE502" i="1"/>
  <c r="AE501" i="1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Y1011" i="1"/>
  <c r="Y1010" i="1"/>
  <c r="Y1009" i="1"/>
  <c r="Y1008" i="1"/>
  <c r="Y1007" i="1"/>
  <c r="Y1006" i="1"/>
  <c r="Y1005" i="1"/>
  <c r="Y1004" i="1"/>
  <c r="Y1003" i="1"/>
  <c r="Y1002" i="1"/>
  <c r="Y1001" i="1"/>
  <c r="Y1000" i="1"/>
  <c r="Y999" i="1"/>
  <c r="Y998" i="1"/>
  <c r="Y997" i="1"/>
  <c r="Y996" i="1"/>
  <c r="Y995" i="1"/>
  <c r="Y994" i="1"/>
  <c r="Y993" i="1"/>
  <c r="Y992" i="1"/>
  <c r="Y991" i="1"/>
  <c r="Y990" i="1"/>
  <c r="Y989" i="1"/>
  <c r="Y988" i="1"/>
  <c r="Y987" i="1"/>
  <c r="Y986" i="1"/>
  <c r="Y985" i="1"/>
  <c r="Y984" i="1"/>
  <c r="Y983" i="1"/>
  <c r="Y982" i="1"/>
  <c r="Y981" i="1"/>
  <c r="Y980" i="1"/>
  <c r="Y979" i="1"/>
  <c r="Y978" i="1"/>
  <c r="Y977" i="1"/>
  <c r="Y976" i="1"/>
  <c r="Y975" i="1"/>
  <c r="Y974" i="1"/>
  <c r="Y973" i="1"/>
  <c r="Y972" i="1"/>
  <c r="Y971" i="1"/>
  <c r="Y970" i="1"/>
  <c r="Y969" i="1"/>
  <c r="Y968" i="1"/>
  <c r="Y967" i="1"/>
  <c r="Y966" i="1"/>
  <c r="Y965" i="1"/>
  <c r="Y964" i="1"/>
  <c r="Y963" i="1"/>
  <c r="Y962" i="1"/>
  <c r="Y961" i="1"/>
  <c r="Y960" i="1"/>
  <c r="Y959" i="1"/>
  <c r="Y958" i="1"/>
  <c r="Y957" i="1"/>
  <c r="Y956" i="1"/>
  <c r="Y955" i="1"/>
  <c r="Y954" i="1"/>
  <c r="Y953" i="1"/>
  <c r="Y952" i="1"/>
  <c r="Y951" i="1"/>
  <c r="Y950" i="1"/>
  <c r="Y949" i="1"/>
  <c r="Y948" i="1"/>
  <c r="Y947" i="1"/>
  <c r="Y946" i="1"/>
  <c r="Y945" i="1"/>
  <c r="Y944" i="1"/>
  <c r="Y943" i="1"/>
  <c r="Y942" i="1"/>
  <c r="Y941" i="1"/>
  <c r="Y940" i="1"/>
  <c r="Y939" i="1"/>
  <c r="Y938" i="1"/>
  <c r="Y937" i="1"/>
  <c r="Y936" i="1"/>
  <c r="Y935" i="1"/>
  <c r="Y934" i="1"/>
  <c r="Y933" i="1"/>
  <c r="Y932" i="1"/>
  <c r="Y931" i="1"/>
  <c r="Y930" i="1"/>
  <c r="Y929" i="1"/>
  <c r="Y928" i="1"/>
  <c r="Y927" i="1"/>
  <c r="Y926" i="1"/>
  <c r="Y925" i="1"/>
  <c r="Y924" i="1"/>
  <c r="Y923" i="1"/>
  <c r="Y922" i="1"/>
  <c r="Y921" i="1"/>
  <c r="Y920" i="1"/>
  <c r="Y919" i="1"/>
  <c r="Y918" i="1"/>
  <c r="Y917" i="1"/>
  <c r="Y916" i="1"/>
  <c r="Y915" i="1"/>
  <c r="Y914" i="1"/>
  <c r="Y913" i="1"/>
  <c r="Y912" i="1"/>
  <c r="Y911" i="1"/>
  <c r="Y910" i="1"/>
  <c r="Y909" i="1"/>
  <c r="Y908" i="1"/>
  <c r="Y907" i="1"/>
  <c r="Y906" i="1"/>
  <c r="Y905" i="1"/>
  <c r="Y904" i="1"/>
  <c r="Y903" i="1"/>
  <c r="Y902" i="1"/>
  <c r="Y901" i="1"/>
  <c r="Y900" i="1"/>
  <c r="Y899" i="1"/>
  <c r="Y898" i="1"/>
  <c r="Y897" i="1"/>
  <c r="Y896" i="1"/>
  <c r="Y895" i="1"/>
  <c r="Y894" i="1"/>
  <c r="Y893" i="1"/>
  <c r="Y892" i="1"/>
  <c r="Y891" i="1"/>
  <c r="Y890" i="1"/>
  <c r="Y889" i="1"/>
  <c r="Y888" i="1"/>
  <c r="Y887" i="1"/>
  <c r="Y886" i="1"/>
  <c r="Y885" i="1"/>
  <c r="Y884" i="1"/>
  <c r="Y883" i="1"/>
  <c r="Y882" i="1"/>
  <c r="Y881" i="1"/>
  <c r="Y880" i="1"/>
  <c r="Y879" i="1"/>
  <c r="Y878" i="1"/>
  <c r="Y877" i="1"/>
  <c r="Y876" i="1"/>
  <c r="Y875" i="1"/>
  <c r="Y874" i="1"/>
  <c r="Y873" i="1"/>
  <c r="Y872" i="1"/>
  <c r="Y871" i="1"/>
  <c r="Y870" i="1"/>
  <c r="Y869" i="1"/>
  <c r="Y868" i="1"/>
  <c r="Y867" i="1"/>
  <c r="Y866" i="1"/>
  <c r="Y865" i="1"/>
  <c r="Y864" i="1"/>
  <c r="Y863" i="1"/>
  <c r="Y862" i="1"/>
  <c r="Y861" i="1"/>
  <c r="Y860" i="1"/>
  <c r="Y859" i="1"/>
  <c r="Y858" i="1"/>
  <c r="Y857" i="1"/>
  <c r="Y856" i="1"/>
  <c r="Y855" i="1"/>
  <c r="Y854" i="1"/>
  <c r="Y853" i="1"/>
  <c r="Y852" i="1"/>
  <c r="Y851" i="1"/>
  <c r="Y850" i="1"/>
  <c r="Y849" i="1"/>
  <c r="Y848" i="1"/>
  <c r="Y847" i="1"/>
  <c r="Y846" i="1"/>
  <c r="Y845" i="1"/>
  <c r="Y844" i="1"/>
  <c r="Y843" i="1"/>
  <c r="Y842" i="1"/>
  <c r="Y841" i="1"/>
  <c r="Y840" i="1"/>
  <c r="Y839" i="1"/>
  <c r="Y838" i="1"/>
  <c r="Y837" i="1"/>
  <c r="Y836" i="1"/>
  <c r="Y835" i="1"/>
  <c r="Y834" i="1"/>
  <c r="Y833" i="1"/>
  <c r="Y832" i="1"/>
  <c r="Y831" i="1"/>
  <c r="Y830" i="1"/>
  <c r="Y829" i="1"/>
  <c r="Y828" i="1"/>
  <c r="Y827" i="1"/>
  <c r="Y826" i="1"/>
  <c r="Y825" i="1"/>
  <c r="Y824" i="1"/>
  <c r="Y823" i="1"/>
  <c r="Y822" i="1"/>
  <c r="Y821" i="1"/>
  <c r="Y820" i="1"/>
  <c r="Y819" i="1"/>
  <c r="Y818" i="1"/>
  <c r="Y817" i="1"/>
  <c r="Y816" i="1"/>
  <c r="Y815" i="1"/>
  <c r="Y814" i="1"/>
  <c r="Y813" i="1"/>
  <c r="Y812" i="1"/>
  <c r="Y811" i="1"/>
  <c r="Y810" i="1"/>
  <c r="Y809" i="1"/>
  <c r="Y808" i="1"/>
  <c r="Y807" i="1"/>
  <c r="Y806" i="1"/>
  <c r="Y805" i="1"/>
  <c r="Y804" i="1"/>
  <c r="Y803" i="1"/>
  <c r="Y802" i="1"/>
  <c r="Y801" i="1"/>
  <c r="Y800" i="1"/>
  <c r="Y799" i="1"/>
  <c r="Y798" i="1"/>
  <c r="Y797" i="1"/>
  <c r="Y796" i="1"/>
  <c r="Y795" i="1"/>
  <c r="Y794" i="1"/>
  <c r="Y793" i="1"/>
  <c r="Y792" i="1"/>
  <c r="Y791" i="1"/>
  <c r="Y790" i="1"/>
  <c r="Y789" i="1"/>
  <c r="Y788" i="1"/>
  <c r="Y787" i="1"/>
  <c r="Y786" i="1"/>
  <c r="Y785" i="1"/>
  <c r="Y784" i="1"/>
  <c r="Y783" i="1"/>
  <c r="Y782" i="1"/>
  <c r="Y781" i="1"/>
  <c r="Y780" i="1"/>
  <c r="Y779" i="1"/>
  <c r="Y778" i="1"/>
  <c r="Y777" i="1"/>
  <c r="Y776" i="1"/>
  <c r="Y775" i="1"/>
  <c r="Y774" i="1"/>
  <c r="Y773" i="1"/>
  <c r="Y772" i="1"/>
  <c r="Y771" i="1"/>
  <c r="Y770" i="1"/>
  <c r="Y769" i="1"/>
  <c r="Y768" i="1"/>
  <c r="Y767" i="1"/>
  <c r="Y766" i="1"/>
  <c r="Y765" i="1"/>
  <c r="Y764" i="1"/>
  <c r="Y763" i="1"/>
  <c r="Y762" i="1"/>
  <c r="Y761" i="1"/>
  <c r="Y760" i="1"/>
  <c r="Y759" i="1"/>
  <c r="Y758" i="1"/>
  <c r="Y757" i="1"/>
  <c r="Y756" i="1"/>
  <c r="Y755" i="1"/>
  <c r="Y754" i="1"/>
  <c r="Y753" i="1"/>
  <c r="Y752" i="1"/>
  <c r="Y751" i="1"/>
  <c r="Y750" i="1"/>
  <c r="Y749" i="1"/>
  <c r="Y748" i="1"/>
  <c r="Y747" i="1"/>
  <c r="Y746" i="1"/>
  <c r="Y745" i="1"/>
  <c r="Y744" i="1"/>
  <c r="Y743" i="1"/>
  <c r="Y742" i="1"/>
  <c r="Y741" i="1"/>
  <c r="Y740" i="1"/>
  <c r="Y739" i="1"/>
  <c r="Y738" i="1"/>
  <c r="Y737" i="1"/>
  <c r="Y736" i="1"/>
  <c r="Y735" i="1"/>
  <c r="Y734" i="1"/>
  <c r="Y733" i="1"/>
  <c r="Y732" i="1"/>
  <c r="Y731" i="1"/>
  <c r="Y730" i="1"/>
  <c r="Y729" i="1"/>
  <c r="Y728" i="1"/>
  <c r="Y727" i="1"/>
  <c r="Y726" i="1"/>
  <c r="Y725" i="1"/>
  <c r="Y724" i="1"/>
  <c r="Y723" i="1"/>
  <c r="Y722" i="1"/>
  <c r="Y721" i="1"/>
  <c r="Y720" i="1"/>
  <c r="Y719" i="1"/>
  <c r="Y718" i="1"/>
  <c r="Y717" i="1"/>
  <c r="Y716" i="1"/>
  <c r="Y715" i="1"/>
  <c r="Y714" i="1"/>
  <c r="Y713" i="1"/>
  <c r="Y712" i="1"/>
  <c r="Y711" i="1"/>
  <c r="Y710" i="1"/>
  <c r="Y709" i="1"/>
  <c r="Y708" i="1"/>
  <c r="Y707" i="1"/>
  <c r="Y706" i="1"/>
  <c r="Y705" i="1"/>
  <c r="Y704" i="1"/>
  <c r="Y703" i="1"/>
  <c r="Y702" i="1"/>
  <c r="Y701" i="1"/>
  <c r="Y700" i="1"/>
  <c r="Y699" i="1"/>
  <c r="Y698" i="1"/>
  <c r="Y697" i="1"/>
  <c r="Y696" i="1"/>
  <c r="Y695" i="1"/>
  <c r="Y694" i="1"/>
  <c r="Y693" i="1"/>
  <c r="Y692" i="1"/>
  <c r="Y691" i="1"/>
  <c r="Y690" i="1"/>
  <c r="Y689" i="1"/>
  <c r="Y688" i="1"/>
  <c r="Y687" i="1"/>
  <c r="Y686" i="1"/>
  <c r="Y685" i="1"/>
  <c r="Y684" i="1"/>
  <c r="Y683" i="1"/>
  <c r="Y682" i="1"/>
  <c r="Y681" i="1"/>
  <c r="Y680" i="1"/>
  <c r="Y679" i="1"/>
  <c r="Y678" i="1"/>
  <c r="Y677" i="1"/>
  <c r="Y676" i="1"/>
  <c r="Y675" i="1"/>
  <c r="Y674" i="1"/>
  <c r="Y673" i="1"/>
  <c r="Y672" i="1"/>
  <c r="Y671" i="1"/>
  <c r="Y670" i="1"/>
  <c r="Y669" i="1"/>
  <c r="Y668" i="1"/>
  <c r="Y667" i="1"/>
  <c r="Y666" i="1"/>
  <c r="Y665" i="1"/>
  <c r="Y664" i="1"/>
  <c r="Y663" i="1"/>
  <c r="Y662" i="1"/>
  <c r="Y661" i="1"/>
  <c r="Y660" i="1"/>
  <c r="Y659" i="1"/>
  <c r="Y658" i="1"/>
  <c r="Y657" i="1"/>
  <c r="Y656" i="1"/>
  <c r="Y655" i="1"/>
  <c r="Y654" i="1"/>
  <c r="Y653" i="1"/>
  <c r="Y652" i="1"/>
  <c r="Y651" i="1"/>
  <c r="Y650" i="1"/>
  <c r="Y649" i="1"/>
  <c r="Y648" i="1"/>
  <c r="Y647" i="1"/>
  <c r="Y646" i="1"/>
  <c r="Y645" i="1"/>
  <c r="Y644" i="1"/>
  <c r="Y643" i="1"/>
  <c r="Y642" i="1"/>
  <c r="Y641" i="1"/>
  <c r="Y640" i="1"/>
  <c r="Y639" i="1"/>
  <c r="Y638" i="1"/>
  <c r="Y637" i="1"/>
  <c r="Y636" i="1"/>
  <c r="Y635" i="1"/>
  <c r="Y634" i="1"/>
  <c r="Y633" i="1"/>
  <c r="Y632" i="1"/>
  <c r="Y631" i="1"/>
  <c r="Y630" i="1"/>
  <c r="Y629" i="1"/>
  <c r="Y628" i="1"/>
  <c r="Y627" i="1"/>
  <c r="Y626" i="1"/>
  <c r="Y625" i="1"/>
  <c r="Y624" i="1"/>
  <c r="Y623" i="1"/>
  <c r="Y622" i="1"/>
  <c r="Y621" i="1"/>
  <c r="Y620" i="1"/>
  <c r="Y619" i="1"/>
  <c r="Y618" i="1"/>
  <c r="Y617" i="1"/>
  <c r="Y616" i="1"/>
  <c r="Y615" i="1"/>
  <c r="Y614" i="1"/>
  <c r="Y613" i="1"/>
  <c r="Y612" i="1"/>
  <c r="Y611" i="1"/>
  <c r="Y610" i="1"/>
  <c r="Y609" i="1"/>
  <c r="Y608" i="1"/>
  <c r="Y607" i="1"/>
  <c r="Y606" i="1"/>
  <c r="Y605" i="1"/>
  <c r="Y604" i="1"/>
  <c r="Y603" i="1"/>
  <c r="Y602" i="1"/>
  <c r="Y601" i="1"/>
  <c r="Y600" i="1"/>
  <c r="Y599" i="1"/>
  <c r="Y598" i="1"/>
  <c r="Y597" i="1"/>
  <c r="Y596" i="1"/>
  <c r="Y595" i="1"/>
  <c r="Y594" i="1"/>
  <c r="Y593" i="1"/>
  <c r="Y592" i="1"/>
  <c r="Y591" i="1"/>
  <c r="Y590" i="1"/>
  <c r="Y589" i="1"/>
  <c r="Y588" i="1"/>
  <c r="Y587" i="1"/>
  <c r="Y586" i="1"/>
  <c r="Y585" i="1"/>
  <c r="Y584" i="1"/>
  <c r="Y583" i="1"/>
  <c r="Y582" i="1"/>
  <c r="Y581" i="1"/>
  <c r="Y580" i="1"/>
  <c r="Y579" i="1"/>
  <c r="Y578" i="1"/>
  <c r="Y577" i="1"/>
  <c r="Y576" i="1"/>
  <c r="Y575" i="1"/>
  <c r="Y574" i="1"/>
  <c r="Y573" i="1"/>
  <c r="Y572" i="1"/>
  <c r="Y571" i="1"/>
  <c r="Y570" i="1"/>
  <c r="Y569" i="1"/>
  <c r="Y568" i="1"/>
  <c r="Y567" i="1"/>
  <c r="Y566" i="1"/>
  <c r="Y565" i="1"/>
  <c r="Y564" i="1"/>
  <c r="Y563" i="1"/>
  <c r="Y562" i="1"/>
  <c r="Y561" i="1"/>
  <c r="Y560" i="1"/>
  <c r="Y559" i="1"/>
  <c r="Y558" i="1"/>
  <c r="Y557" i="1"/>
  <c r="Y556" i="1"/>
  <c r="Y555" i="1"/>
  <c r="Y554" i="1"/>
  <c r="Y553" i="1"/>
  <c r="Y552" i="1"/>
  <c r="Y551" i="1"/>
  <c r="Y550" i="1"/>
  <c r="Y549" i="1"/>
  <c r="Y548" i="1"/>
  <c r="Y547" i="1"/>
  <c r="Y546" i="1"/>
  <c r="Y545" i="1"/>
  <c r="Y544" i="1"/>
  <c r="Y543" i="1"/>
  <c r="Y542" i="1"/>
  <c r="Y541" i="1"/>
  <c r="Y540" i="1"/>
  <c r="Y539" i="1"/>
  <c r="Y538" i="1"/>
  <c r="Y537" i="1"/>
  <c r="Y536" i="1"/>
  <c r="Y535" i="1"/>
  <c r="Y534" i="1"/>
  <c r="Y533" i="1"/>
  <c r="Y532" i="1"/>
  <c r="Y531" i="1"/>
  <c r="Y530" i="1"/>
  <c r="Y529" i="1"/>
  <c r="Y528" i="1"/>
  <c r="Y527" i="1"/>
  <c r="Y526" i="1"/>
  <c r="Y525" i="1"/>
  <c r="Y524" i="1"/>
  <c r="Y523" i="1"/>
  <c r="Y522" i="1"/>
  <c r="Y521" i="1"/>
  <c r="Y520" i="1"/>
  <c r="Y519" i="1"/>
  <c r="Y518" i="1"/>
  <c r="Y517" i="1"/>
  <c r="Y516" i="1"/>
  <c r="Y515" i="1"/>
  <c r="Y514" i="1"/>
  <c r="Y513" i="1"/>
  <c r="Y512" i="1"/>
  <c r="Y511" i="1"/>
  <c r="Y510" i="1"/>
  <c r="Y509" i="1"/>
  <c r="Y508" i="1"/>
  <c r="Y507" i="1"/>
  <c r="Y506" i="1"/>
  <c r="Y505" i="1"/>
  <c r="Y504" i="1"/>
  <c r="Y503" i="1"/>
  <c r="Y502" i="1"/>
  <c r="Y501" i="1"/>
  <c r="Y500" i="1"/>
  <c r="Y499" i="1"/>
  <c r="Y498" i="1"/>
  <c r="Y497" i="1"/>
  <c r="Y496" i="1"/>
  <c r="Y495" i="1"/>
  <c r="Y494" i="1"/>
  <c r="Y493" i="1"/>
  <c r="Y492" i="1"/>
  <c r="Y491" i="1"/>
  <c r="Y490" i="1"/>
  <c r="Y489" i="1"/>
  <c r="Y488" i="1"/>
  <c r="Y487" i="1"/>
  <c r="Y486" i="1"/>
  <c r="Y485" i="1"/>
  <c r="Y484" i="1"/>
  <c r="Y483" i="1"/>
  <c r="Y482" i="1"/>
  <c r="Y481" i="1"/>
  <c r="Y480" i="1"/>
  <c r="Y479" i="1"/>
  <c r="Y478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6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9" i="1"/>
  <c r="Y388" i="1"/>
  <c r="Y387" i="1"/>
  <c r="Y386" i="1"/>
  <c r="Y385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U1011" i="1"/>
  <c r="U1010" i="1"/>
  <c r="U1009" i="1"/>
  <c r="U1008" i="1"/>
  <c r="U1007" i="1"/>
  <c r="U1006" i="1"/>
  <c r="U1005" i="1"/>
  <c r="U1004" i="1"/>
  <c r="U1003" i="1"/>
  <c r="U1002" i="1"/>
  <c r="U1001" i="1"/>
  <c r="U1000" i="1"/>
  <c r="U999" i="1"/>
  <c r="U998" i="1"/>
  <c r="U997" i="1"/>
  <c r="U996" i="1"/>
  <c r="U995" i="1"/>
  <c r="U994" i="1"/>
  <c r="U993" i="1"/>
  <c r="U992" i="1"/>
  <c r="U991" i="1"/>
  <c r="U990" i="1"/>
  <c r="U989" i="1"/>
  <c r="U988" i="1"/>
  <c r="U987" i="1"/>
  <c r="U986" i="1"/>
  <c r="U985" i="1"/>
  <c r="U984" i="1"/>
  <c r="U983" i="1"/>
  <c r="U982" i="1"/>
  <c r="U981" i="1"/>
  <c r="U980" i="1"/>
  <c r="U979" i="1"/>
  <c r="U978" i="1"/>
  <c r="U977" i="1"/>
  <c r="U976" i="1"/>
  <c r="U975" i="1"/>
  <c r="U974" i="1"/>
  <c r="U973" i="1"/>
  <c r="U972" i="1"/>
  <c r="U971" i="1"/>
  <c r="U970" i="1"/>
  <c r="U969" i="1"/>
  <c r="U968" i="1"/>
  <c r="U967" i="1"/>
  <c r="U966" i="1"/>
  <c r="U965" i="1"/>
  <c r="U964" i="1"/>
  <c r="U963" i="1"/>
  <c r="U962" i="1"/>
  <c r="U961" i="1"/>
  <c r="U960" i="1"/>
  <c r="U959" i="1"/>
  <c r="U958" i="1"/>
  <c r="U957" i="1"/>
  <c r="U956" i="1"/>
  <c r="U955" i="1"/>
  <c r="U954" i="1"/>
  <c r="U953" i="1"/>
  <c r="U952" i="1"/>
  <c r="U951" i="1"/>
  <c r="U950" i="1"/>
  <c r="U949" i="1"/>
  <c r="U948" i="1"/>
  <c r="U947" i="1"/>
  <c r="U946" i="1"/>
  <c r="U945" i="1"/>
  <c r="U944" i="1"/>
  <c r="U943" i="1"/>
  <c r="U942" i="1"/>
  <c r="U941" i="1"/>
  <c r="U940" i="1"/>
  <c r="U939" i="1"/>
  <c r="U938" i="1"/>
  <c r="U937" i="1"/>
  <c r="U936" i="1"/>
  <c r="U935" i="1"/>
  <c r="U934" i="1"/>
  <c r="U933" i="1"/>
  <c r="U932" i="1"/>
  <c r="U931" i="1"/>
  <c r="U930" i="1"/>
  <c r="U929" i="1"/>
  <c r="U928" i="1"/>
  <c r="U927" i="1"/>
  <c r="U926" i="1"/>
  <c r="U925" i="1"/>
  <c r="U924" i="1"/>
  <c r="U923" i="1"/>
  <c r="U922" i="1"/>
  <c r="U921" i="1"/>
  <c r="U920" i="1"/>
  <c r="U919" i="1"/>
  <c r="U918" i="1"/>
  <c r="U917" i="1"/>
  <c r="U916" i="1"/>
  <c r="U915" i="1"/>
  <c r="U914" i="1"/>
  <c r="U913" i="1"/>
  <c r="U912" i="1"/>
  <c r="U911" i="1"/>
  <c r="U910" i="1"/>
  <c r="U909" i="1"/>
  <c r="U908" i="1"/>
  <c r="U907" i="1"/>
  <c r="U906" i="1"/>
  <c r="U905" i="1"/>
  <c r="U904" i="1"/>
  <c r="U903" i="1"/>
  <c r="U902" i="1"/>
  <c r="U901" i="1"/>
  <c r="U900" i="1"/>
  <c r="U899" i="1"/>
  <c r="U898" i="1"/>
  <c r="U897" i="1"/>
  <c r="U896" i="1"/>
  <c r="U895" i="1"/>
  <c r="U894" i="1"/>
  <c r="U893" i="1"/>
  <c r="U892" i="1"/>
  <c r="U891" i="1"/>
  <c r="U890" i="1"/>
  <c r="U889" i="1"/>
  <c r="U888" i="1"/>
  <c r="U887" i="1"/>
  <c r="U886" i="1"/>
  <c r="U885" i="1"/>
  <c r="U884" i="1"/>
  <c r="U883" i="1"/>
  <c r="U882" i="1"/>
  <c r="U881" i="1"/>
  <c r="U880" i="1"/>
  <c r="U879" i="1"/>
  <c r="U878" i="1"/>
  <c r="U877" i="1"/>
  <c r="U876" i="1"/>
  <c r="U875" i="1"/>
  <c r="U874" i="1"/>
  <c r="U873" i="1"/>
  <c r="U872" i="1"/>
  <c r="U871" i="1"/>
  <c r="U870" i="1"/>
  <c r="U869" i="1"/>
  <c r="U868" i="1"/>
  <c r="U867" i="1"/>
  <c r="U866" i="1"/>
  <c r="U865" i="1"/>
  <c r="U864" i="1"/>
  <c r="U863" i="1"/>
  <c r="U862" i="1"/>
  <c r="U861" i="1"/>
  <c r="U860" i="1"/>
  <c r="U859" i="1"/>
  <c r="U858" i="1"/>
  <c r="U857" i="1"/>
  <c r="U856" i="1"/>
  <c r="U855" i="1"/>
  <c r="U854" i="1"/>
  <c r="U853" i="1"/>
  <c r="U852" i="1"/>
  <c r="U851" i="1"/>
  <c r="U850" i="1"/>
  <c r="U849" i="1"/>
  <c r="U848" i="1"/>
  <c r="U847" i="1"/>
  <c r="U846" i="1"/>
  <c r="U845" i="1"/>
  <c r="U844" i="1"/>
  <c r="U843" i="1"/>
  <c r="U842" i="1"/>
  <c r="U841" i="1"/>
  <c r="U840" i="1"/>
  <c r="U839" i="1"/>
  <c r="U838" i="1"/>
  <c r="U837" i="1"/>
  <c r="U836" i="1"/>
  <c r="U835" i="1"/>
  <c r="U834" i="1"/>
  <c r="U833" i="1"/>
  <c r="U832" i="1"/>
  <c r="U831" i="1"/>
  <c r="U830" i="1"/>
  <c r="U829" i="1"/>
  <c r="U828" i="1"/>
  <c r="U827" i="1"/>
  <c r="U826" i="1"/>
  <c r="U825" i="1"/>
  <c r="U824" i="1"/>
  <c r="U823" i="1"/>
  <c r="U822" i="1"/>
  <c r="U821" i="1"/>
  <c r="U820" i="1"/>
  <c r="U819" i="1"/>
  <c r="U818" i="1"/>
  <c r="U817" i="1"/>
  <c r="U816" i="1"/>
  <c r="U815" i="1"/>
  <c r="U814" i="1"/>
  <c r="U813" i="1"/>
  <c r="U812" i="1"/>
  <c r="U811" i="1"/>
  <c r="U810" i="1"/>
  <c r="U809" i="1"/>
  <c r="U808" i="1"/>
  <c r="U807" i="1"/>
  <c r="U806" i="1"/>
  <c r="U805" i="1"/>
  <c r="U804" i="1"/>
  <c r="U803" i="1"/>
  <c r="U802" i="1"/>
  <c r="U801" i="1"/>
  <c r="U800" i="1"/>
  <c r="U799" i="1"/>
  <c r="U798" i="1"/>
  <c r="U797" i="1"/>
  <c r="U796" i="1"/>
  <c r="U795" i="1"/>
  <c r="U794" i="1"/>
  <c r="U793" i="1"/>
  <c r="U792" i="1"/>
  <c r="U791" i="1"/>
  <c r="U790" i="1"/>
  <c r="U789" i="1"/>
  <c r="U788" i="1"/>
  <c r="U787" i="1"/>
  <c r="U786" i="1"/>
  <c r="U785" i="1"/>
  <c r="U784" i="1"/>
  <c r="U783" i="1"/>
  <c r="U782" i="1"/>
  <c r="U781" i="1"/>
  <c r="U780" i="1"/>
  <c r="U779" i="1"/>
  <c r="U778" i="1"/>
  <c r="U777" i="1"/>
  <c r="U776" i="1"/>
  <c r="U775" i="1"/>
  <c r="U774" i="1"/>
  <c r="U773" i="1"/>
  <c r="U772" i="1"/>
  <c r="U771" i="1"/>
  <c r="U770" i="1"/>
  <c r="U769" i="1"/>
  <c r="U768" i="1"/>
  <c r="U767" i="1"/>
  <c r="U766" i="1"/>
  <c r="U765" i="1"/>
  <c r="U764" i="1"/>
  <c r="U763" i="1"/>
  <c r="U762" i="1"/>
  <c r="U761" i="1"/>
  <c r="U760" i="1"/>
  <c r="U759" i="1"/>
  <c r="U758" i="1"/>
  <c r="U757" i="1"/>
  <c r="U756" i="1"/>
  <c r="U755" i="1"/>
  <c r="U754" i="1"/>
  <c r="U753" i="1"/>
  <c r="U752" i="1"/>
  <c r="U751" i="1"/>
  <c r="U750" i="1"/>
  <c r="U749" i="1"/>
  <c r="U748" i="1"/>
  <c r="U747" i="1"/>
  <c r="U746" i="1"/>
  <c r="U745" i="1"/>
  <c r="U744" i="1"/>
  <c r="U743" i="1"/>
  <c r="U742" i="1"/>
  <c r="U741" i="1"/>
  <c r="U740" i="1"/>
  <c r="U739" i="1"/>
  <c r="U738" i="1"/>
  <c r="U737" i="1"/>
  <c r="U736" i="1"/>
  <c r="U735" i="1"/>
  <c r="U734" i="1"/>
  <c r="U733" i="1"/>
  <c r="U732" i="1"/>
  <c r="U731" i="1"/>
  <c r="U730" i="1"/>
  <c r="U729" i="1"/>
  <c r="U728" i="1"/>
  <c r="U727" i="1"/>
  <c r="U726" i="1"/>
  <c r="U725" i="1"/>
  <c r="U724" i="1"/>
  <c r="U723" i="1"/>
  <c r="U722" i="1"/>
  <c r="U721" i="1"/>
  <c r="U720" i="1"/>
  <c r="U719" i="1"/>
  <c r="U718" i="1"/>
  <c r="U717" i="1"/>
  <c r="U716" i="1"/>
  <c r="U715" i="1"/>
  <c r="U714" i="1"/>
  <c r="U713" i="1"/>
  <c r="U712" i="1"/>
  <c r="U711" i="1"/>
  <c r="U710" i="1"/>
  <c r="U709" i="1"/>
  <c r="U708" i="1"/>
  <c r="U707" i="1"/>
  <c r="U706" i="1"/>
  <c r="U705" i="1"/>
  <c r="U704" i="1"/>
  <c r="U703" i="1"/>
  <c r="U702" i="1"/>
  <c r="U701" i="1"/>
  <c r="U700" i="1"/>
  <c r="U699" i="1"/>
  <c r="U698" i="1"/>
  <c r="U697" i="1"/>
  <c r="U696" i="1"/>
  <c r="U695" i="1"/>
  <c r="U694" i="1"/>
  <c r="U693" i="1"/>
  <c r="U692" i="1"/>
  <c r="U691" i="1"/>
  <c r="U690" i="1"/>
  <c r="U689" i="1"/>
  <c r="U688" i="1"/>
  <c r="U687" i="1"/>
  <c r="U686" i="1"/>
  <c r="U685" i="1"/>
  <c r="U684" i="1"/>
  <c r="U683" i="1"/>
  <c r="U682" i="1"/>
  <c r="U681" i="1"/>
  <c r="U680" i="1"/>
  <c r="U679" i="1"/>
  <c r="U678" i="1"/>
  <c r="U677" i="1"/>
  <c r="U676" i="1"/>
  <c r="U675" i="1"/>
  <c r="U674" i="1"/>
  <c r="U673" i="1"/>
  <c r="U672" i="1"/>
  <c r="U671" i="1"/>
  <c r="U670" i="1"/>
  <c r="U669" i="1"/>
  <c r="U668" i="1"/>
  <c r="U667" i="1"/>
  <c r="U666" i="1"/>
  <c r="U665" i="1"/>
  <c r="U664" i="1"/>
  <c r="U663" i="1"/>
  <c r="U662" i="1"/>
  <c r="U661" i="1"/>
  <c r="U660" i="1"/>
  <c r="U659" i="1"/>
  <c r="U658" i="1"/>
  <c r="U657" i="1"/>
  <c r="U656" i="1"/>
  <c r="U655" i="1"/>
  <c r="U654" i="1"/>
  <c r="U653" i="1"/>
  <c r="U652" i="1"/>
  <c r="U651" i="1"/>
  <c r="U650" i="1"/>
  <c r="U649" i="1"/>
  <c r="U648" i="1"/>
  <c r="U647" i="1"/>
  <c r="U646" i="1"/>
  <c r="U645" i="1"/>
  <c r="U644" i="1"/>
  <c r="U643" i="1"/>
  <c r="U642" i="1"/>
  <c r="U641" i="1"/>
  <c r="U640" i="1"/>
  <c r="U639" i="1"/>
  <c r="U638" i="1"/>
  <c r="U637" i="1"/>
  <c r="U636" i="1"/>
  <c r="U635" i="1"/>
  <c r="U634" i="1"/>
  <c r="U633" i="1"/>
  <c r="U632" i="1"/>
  <c r="U631" i="1"/>
  <c r="U630" i="1"/>
  <c r="U629" i="1"/>
  <c r="U628" i="1"/>
  <c r="U627" i="1"/>
  <c r="U626" i="1"/>
  <c r="U625" i="1"/>
  <c r="U624" i="1"/>
  <c r="U623" i="1"/>
  <c r="U622" i="1"/>
  <c r="U621" i="1"/>
  <c r="U620" i="1"/>
  <c r="U619" i="1"/>
  <c r="U618" i="1"/>
  <c r="U617" i="1"/>
  <c r="U616" i="1"/>
  <c r="U615" i="1"/>
  <c r="U614" i="1"/>
  <c r="U613" i="1"/>
  <c r="U612" i="1"/>
  <c r="U611" i="1"/>
  <c r="U610" i="1"/>
  <c r="U609" i="1"/>
  <c r="U608" i="1"/>
  <c r="U607" i="1"/>
  <c r="U606" i="1"/>
  <c r="U605" i="1"/>
  <c r="U604" i="1"/>
  <c r="U603" i="1"/>
  <c r="U602" i="1"/>
  <c r="U601" i="1"/>
  <c r="U600" i="1"/>
  <c r="U599" i="1"/>
  <c r="U598" i="1"/>
  <c r="U597" i="1"/>
  <c r="U596" i="1"/>
  <c r="U595" i="1"/>
  <c r="U594" i="1"/>
  <c r="U593" i="1"/>
  <c r="U592" i="1"/>
  <c r="U591" i="1"/>
  <c r="U590" i="1"/>
  <c r="U589" i="1"/>
  <c r="U588" i="1"/>
  <c r="U587" i="1"/>
  <c r="U586" i="1"/>
  <c r="U585" i="1"/>
  <c r="U584" i="1"/>
  <c r="U583" i="1"/>
  <c r="U582" i="1"/>
  <c r="U581" i="1"/>
  <c r="U580" i="1"/>
  <c r="U579" i="1"/>
  <c r="U578" i="1"/>
  <c r="U577" i="1"/>
  <c r="U576" i="1"/>
  <c r="U575" i="1"/>
  <c r="U574" i="1"/>
  <c r="U573" i="1"/>
  <c r="U572" i="1"/>
  <c r="U571" i="1"/>
  <c r="U570" i="1"/>
  <c r="U569" i="1"/>
  <c r="U568" i="1"/>
  <c r="U567" i="1"/>
  <c r="U566" i="1"/>
  <c r="U565" i="1"/>
  <c r="U564" i="1"/>
  <c r="U563" i="1"/>
  <c r="U562" i="1"/>
  <c r="U561" i="1"/>
  <c r="U560" i="1"/>
  <c r="U559" i="1"/>
  <c r="U558" i="1"/>
  <c r="U557" i="1"/>
  <c r="U556" i="1"/>
  <c r="U555" i="1"/>
  <c r="U554" i="1"/>
  <c r="U553" i="1"/>
  <c r="U552" i="1"/>
  <c r="U551" i="1"/>
  <c r="U550" i="1"/>
  <c r="U549" i="1"/>
  <c r="U548" i="1"/>
  <c r="U547" i="1"/>
  <c r="U546" i="1"/>
  <c r="U545" i="1"/>
  <c r="U544" i="1"/>
  <c r="U543" i="1"/>
  <c r="U542" i="1"/>
  <c r="U541" i="1"/>
  <c r="U540" i="1"/>
  <c r="U539" i="1"/>
  <c r="U538" i="1"/>
  <c r="U537" i="1"/>
  <c r="U536" i="1"/>
  <c r="U535" i="1"/>
  <c r="U534" i="1"/>
  <c r="U533" i="1"/>
  <c r="U532" i="1"/>
  <c r="U531" i="1"/>
  <c r="U530" i="1"/>
  <c r="U529" i="1"/>
  <c r="U528" i="1"/>
  <c r="U527" i="1"/>
  <c r="U526" i="1"/>
  <c r="U525" i="1"/>
  <c r="U524" i="1"/>
  <c r="U523" i="1"/>
  <c r="U522" i="1"/>
  <c r="U521" i="1"/>
  <c r="U520" i="1"/>
  <c r="U519" i="1"/>
  <c r="U518" i="1"/>
  <c r="U517" i="1"/>
  <c r="U516" i="1"/>
  <c r="U515" i="1"/>
  <c r="U514" i="1"/>
  <c r="U513" i="1"/>
  <c r="U512" i="1"/>
  <c r="U511" i="1"/>
  <c r="U510" i="1"/>
  <c r="U509" i="1"/>
  <c r="U508" i="1"/>
  <c r="U507" i="1"/>
  <c r="U506" i="1"/>
  <c r="U505" i="1"/>
  <c r="U504" i="1"/>
  <c r="U503" i="1"/>
  <c r="U502" i="1"/>
  <c r="U501" i="1"/>
  <c r="U500" i="1"/>
  <c r="U499" i="1"/>
  <c r="U498" i="1"/>
  <c r="U497" i="1"/>
  <c r="U496" i="1"/>
  <c r="U495" i="1"/>
  <c r="U494" i="1"/>
  <c r="U493" i="1"/>
  <c r="U492" i="1"/>
  <c r="U491" i="1"/>
  <c r="U490" i="1"/>
  <c r="U489" i="1"/>
  <c r="U488" i="1"/>
  <c r="U487" i="1"/>
  <c r="U486" i="1"/>
  <c r="U485" i="1"/>
  <c r="U484" i="1"/>
  <c r="U483" i="1"/>
  <c r="U482" i="1"/>
  <c r="U481" i="1"/>
  <c r="U480" i="1"/>
  <c r="U479" i="1"/>
  <c r="U478" i="1"/>
  <c r="U477" i="1"/>
  <c r="U476" i="1"/>
  <c r="U475" i="1"/>
  <c r="U474" i="1"/>
  <c r="U473" i="1"/>
  <c r="U472" i="1"/>
  <c r="U471" i="1"/>
  <c r="U470" i="1"/>
  <c r="U469" i="1"/>
  <c r="U468" i="1"/>
  <c r="U467" i="1"/>
  <c r="U466" i="1"/>
  <c r="U465" i="1"/>
  <c r="U464" i="1"/>
  <c r="U463" i="1"/>
  <c r="U462" i="1"/>
  <c r="U461" i="1"/>
  <c r="U460" i="1"/>
  <c r="U459" i="1"/>
  <c r="U458" i="1"/>
  <c r="U457" i="1"/>
  <c r="U456" i="1"/>
  <c r="U455" i="1"/>
  <c r="U454" i="1"/>
  <c r="U453" i="1"/>
  <c r="U452" i="1"/>
  <c r="U451" i="1"/>
  <c r="U450" i="1"/>
  <c r="U449" i="1"/>
  <c r="U448" i="1"/>
  <c r="U447" i="1"/>
  <c r="U446" i="1"/>
  <c r="U445" i="1"/>
  <c r="U444" i="1"/>
  <c r="U443" i="1"/>
  <c r="U442" i="1"/>
  <c r="U441" i="1"/>
  <c r="U440" i="1"/>
  <c r="U439" i="1"/>
  <c r="U438" i="1"/>
  <c r="U437" i="1"/>
  <c r="U436" i="1"/>
  <c r="U435" i="1"/>
  <c r="U434" i="1"/>
  <c r="U433" i="1"/>
  <c r="U432" i="1"/>
  <c r="U431" i="1"/>
  <c r="U430" i="1"/>
  <c r="U429" i="1"/>
  <c r="U428" i="1"/>
  <c r="U427" i="1"/>
  <c r="U426" i="1"/>
  <c r="U425" i="1"/>
  <c r="U424" i="1"/>
  <c r="U423" i="1"/>
  <c r="U422" i="1"/>
  <c r="U421" i="1"/>
  <c r="U420" i="1"/>
  <c r="U419" i="1"/>
  <c r="U418" i="1"/>
  <c r="U417" i="1"/>
  <c r="U416" i="1"/>
  <c r="U415" i="1"/>
  <c r="U414" i="1"/>
  <c r="U413" i="1"/>
  <c r="U412" i="1"/>
  <c r="U411" i="1"/>
  <c r="U410" i="1"/>
  <c r="U409" i="1"/>
  <c r="U408" i="1"/>
  <c r="U407" i="1"/>
  <c r="U406" i="1"/>
  <c r="U405" i="1"/>
  <c r="U404" i="1"/>
  <c r="U403" i="1"/>
  <c r="U402" i="1"/>
  <c r="U401" i="1"/>
  <c r="U400" i="1"/>
  <c r="U399" i="1"/>
  <c r="U398" i="1"/>
  <c r="U397" i="1"/>
  <c r="U396" i="1"/>
  <c r="U395" i="1"/>
  <c r="U394" i="1"/>
  <c r="U393" i="1"/>
  <c r="U392" i="1"/>
  <c r="U391" i="1"/>
  <c r="U390" i="1"/>
  <c r="U389" i="1"/>
  <c r="U388" i="1"/>
  <c r="U387" i="1"/>
  <c r="U386" i="1"/>
  <c r="U385" i="1"/>
  <c r="U384" i="1"/>
  <c r="U383" i="1"/>
  <c r="U382" i="1"/>
  <c r="U381" i="1"/>
  <c r="U380" i="1"/>
  <c r="U379" i="1"/>
  <c r="U378" i="1"/>
  <c r="U377" i="1"/>
  <c r="U376" i="1"/>
  <c r="U375" i="1"/>
  <c r="U374" i="1"/>
  <c r="U373" i="1"/>
  <c r="U372" i="1"/>
  <c r="U371" i="1"/>
  <c r="U370" i="1"/>
  <c r="U369" i="1"/>
  <c r="U368" i="1"/>
  <c r="U367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22" i="1"/>
  <c r="U321" i="1"/>
  <c r="U320" i="1"/>
  <c r="U319" i="1"/>
  <c r="U318" i="1"/>
  <c r="U317" i="1"/>
  <c r="U316" i="1"/>
  <c r="U315" i="1"/>
  <c r="U314" i="1"/>
  <c r="U313" i="1"/>
  <c r="U312" i="1"/>
  <c r="U311" i="1"/>
  <c r="U310" i="1"/>
  <c r="U309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288" i="1"/>
  <c r="U287" i="1"/>
  <c r="U286" i="1"/>
  <c r="U285" i="1"/>
  <c r="U284" i="1"/>
  <c r="U283" i="1"/>
  <c r="U282" i="1"/>
  <c r="U281" i="1"/>
  <c r="U280" i="1"/>
  <c r="U279" i="1"/>
  <c r="U278" i="1"/>
  <c r="U277" i="1"/>
  <c r="U276" i="1"/>
  <c r="U275" i="1"/>
  <c r="U274" i="1"/>
  <c r="U273" i="1"/>
  <c r="U272" i="1"/>
  <c r="U271" i="1"/>
  <c r="U270" i="1"/>
  <c r="U269" i="1"/>
  <c r="U268" i="1"/>
  <c r="U267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W1011" i="1" l="1"/>
  <c r="W1010" i="1"/>
  <c r="W1009" i="1"/>
  <c r="W1008" i="1"/>
  <c r="W1007" i="1"/>
  <c r="W1006" i="1"/>
  <c r="W1005" i="1"/>
  <c r="W1004" i="1"/>
  <c r="W1003" i="1"/>
  <c r="W1002" i="1"/>
  <c r="W1001" i="1"/>
  <c r="W1000" i="1"/>
  <c r="W999" i="1"/>
  <c r="W998" i="1"/>
  <c r="W997" i="1"/>
  <c r="W996" i="1"/>
  <c r="W995" i="1"/>
  <c r="W994" i="1"/>
  <c r="W993" i="1"/>
  <c r="W992" i="1"/>
  <c r="W991" i="1"/>
  <c r="W990" i="1"/>
  <c r="W989" i="1"/>
  <c r="W988" i="1"/>
  <c r="W987" i="1"/>
  <c r="W986" i="1"/>
  <c r="W985" i="1"/>
  <c r="W984" i="1"/>
  <c r="W983" i="1"/>
  <c r="W982" i="1"/>
  <c r="W981" i="1"/>
  <c r="W980" i="1"/>
  <c r="W979" i="1"/>
  <c r="W978" i="1"/>
  <c r="W977" i="1"/>
  <c r="W976" i="1"/>
  <c r="W975" i="1"/>
  <c r="W974" i="1"/>
  <c r="W973" i="1"/>
  <c r="W972" i="1"/>
  <c r="W971" i="1"/>
  <c r="W970" i="1"/>
  <c r="W969" i="1"/>
  <c r="W968" i="1"/>
  <c r="W967" i="1"/>
  <c r="W966" i="1"/>
  <c r="W965" i="1"/>
  <c r="W964" i="1"/>
  <c r="W963" i="1"/>
  <c r="W962" i="1"/>
  <c r="W961" i="1"/>
  <c r="W960" i="1"/>
  <c r="W959" i="1"/>
  <c r="W958" i="1"/>
  <c r="W957" i="1"/>
  <c r="W956" i="1"/>
  <c r="W955" i="1"/>
  <c r="W954" i="1"/>
  <c r="W953" i="1"/>
  <c r="W952" i="1"/>
  <c r="W951" i="1"/>
  <c r="W950" i="1"/>
  <c r="W949" i="1"/>
  <c r="W948" i="1"/>
  <c r="W947" i="1"/>
  <c r="W946" i="1"/>
  <c r="W945" i="1"/>
  <c r="W944" i="1"/>
  <c r="W943" i="1"/>
  <c r="W942" i="1"/>
  <c r="W941" i="1"/>
  <c r="W940" i="1"/>
  <c r="W939" i="1"/>
  <c r="W938" i="1"/>
  <c r="W937" i="1"/>
  <c r="W936" i="1"/>
  <c r="W935" i="1"/>
  <c r="W934" i="1"/>
  <c r="W933" i="1"/>
  <c r="W932" i="1"/>
  <c r="W931" i="1"/>
  <c r="W930" i="1"/>
  <c r="W929" i="1"/>
  <c r="W928" i="1"/>
  <c r="W927" i="1"/>
  <c r="W926" i="1"/>
  <c r="W925" i="1"/>
  <c r="W924" i="1"/>
  <c r="W923" i="1"/>
  <c r="W922" i="1"/>
  <c r="W921" i="1"/>
  <c r="W920" i="1"/>
  <c r="W919" i="1"/>
  <c r="W918" i="1"/>
  <c r="W917" i="1"/>
  <c r="W916" i="1"/>
  <c r="W915" i="1"/>
  <c r="W914" i="1"/>
  <c r="W913" i="1"/>
  <c r="W912" i="1"/>
  <c r="W911" i="1"/>
  <c r="W910" i="1"/>
  <c r="W909" i="1"/>
  <c r="W908" i="1"/>
  <c r="W907" i="1"/>
  <c r="W906" i="1"/>
  <c r="W905" i="1"/>
  <c r="W904" i="1"/>
  <c r="W903" i="1"/>
  <c r="W902" i="1"/>
  <c r="W901" i="1"/>
  <c r="W900" i="1"/>
  <c r="W899" i="1"/>
  <c r="W898" i="1"/>
  <c r="W897" i="1"/>
  <c r="W896" i="1"/>
  <c r="W895" i="1"/>
  <c r="W894" i="1"/>
  <c r="W893" i="1"/>
  <c r="W892" i="1"/>
  <c r="W891" i="1"/>
  <c r="W890" i="1"/>
  <c r="W889" i="1"/>
  <c r="W888" i="1"/>
  <c r="W887" i="1"/>
  <c r="W886" i="1"/>
  <c r="W885" i="1"/>
  <c r="W884" i="1"/>
  <c r="W883" i="1"/>
  <c r="W882" i="1"/>
  <c r="W881" i="1"/>
  <c r="W880" i="1"/>
  <c r="W879" i="1"/>
  <c r="W878" i="1"/>
  <c r="W877" i="1"/>
  <c r="W876" i="1"/>
  <c r="W875" i="1"/>
  <c r="W874" i="1"/>
  <c r="W873" i="1"/>
  <c r="W872" i="1"/>
  <c r="W871" i="1"/>
  <c r="W870" i="1"/>
  <c r="W869" i="1"/>
  <c r="W868" i="1"/>
  <c r="W867" i="1"/>
  <c r="W866" i="1"/>
  <c r="W865" i="1"/>
  <c r="W864" i="1"/>
  <c r="W863" i="1"/>
  <c r="W862" i="1"/>
  <c r="W861" i="1"/>
  <c r="W860" i="1"/>
  <c r="W859" i="1"/>
  <c r="W858" i="1"/>
  <c r="W857" i="1"/>
  <c r="W856" i="1"/>
  <c r="W855" i="1"/>
  <c r="W854" i="1"/>
  <c r="W853" i="1"/>
  <c r="W852" i="1"/>
  <c r="W851" i="1"/>
  <c r="W850" i="1"/>
  <c r="W849" i="1"/>
  <c r="W848" i="1"/>
  <c r="W847" i="1"/>
  <c r="W846" i="1"/>
  <c r="W845" i="1"/>
  <c r="W844" i="1"/>
  <c r="W843" i="1"/>
  <c r="W842" i="1"/>
  <c r="W841" i="1"/>
  <c r="W840" i="1"/>
  <c r="W839" i="1"/>
  <c r="W838" i="1"/>
  <c r="W837" i="1"/>
  <c r="W836" i="1"/>
  <c r="W835" i="1"/>
  <c r="W834" i="1"/>
  <c r="W833" i="1"/>
  <c r="W832" i="1"/>
  <c r="W831" i="1"/>
  <c r="W830" i="1"/>
  <c r="W829" i="1"/>
  <c r="W828" i="1"/>
  <c r="W827" i="1"/>
  <c r="W826" i="1"/>
  <c r="W825" i="1"/>
  <c r="W824" i="1"/>
  <c r="W823" i="1"/>
  <c r="W822" i="1"/>
  <c r="W821" i="1"/>
  <c r="W820" i="1"/>
  <c r="W819" i="1"/>
  <c r="W818" i="1"/>
  <c r="W817" i="1"/>
  <c r="W816" i="1"/>
  <c r="W815" i="1"/>
  <c r="W814" i="1"/>
  <c r="W813" i="1"/>
  <c r="W812" i="1"/>
  <c r="W811" i="1"/>
  <c r="W810" i="1"/>
  <c r="W809" i="1"/>
  <c r="W808" i="1"/>
  <c r="W807" i="1"/>
  <c r="W806" i="1"/>
  <c r="W805" i="1"/>
  <c r="W804" i="1"/>
  <c r="W803" i="1"/>
  <c r="W802" i="1"/>
  <c r="W801" i="1"/>
  <c r="W800" i="1"/>
  <c r="W799" i="1"/>
  <c r="W798" i="1"/>
  <c r="W797" i="1"/>
  <c r="W796" i="1"/>
  <c r="W795" i="1"/>
  <c r="W794" i="1"/>
  <c r="W793" i="1"/>
  <c r="W792" i="1"/>
  <c r="W791" i="1"/>
  <c r="W790" i="1"/>
  <c r="W789" i="1"/>
  <c r="W788" i="1"/>
  <c r="W787" i="1"/>
  <c r="W786" i="1"/>
  <c r="W785" i="1"/>
  <c r="W784" i="1"/>
  <c r="W783" i="1"/>
  <c r="W782" i="1"/>
  <c r="W781" i="1"/>
  <c r="W780" i="1"/>
  <c r="W779" i="1"/>
  <c r="W778" i="1"/>
  <c r="W777" i="1"/>
  <c r="W776" i="1"/>
  <c r="W775" i="1"/>
  <c r="W774" i="1"/>
  <c r="W773" i="1"/>
  <c r="W772" i="1"/>
  <c r="W771" i="1"/>
  <c r="W770" i="1"/>
  <c r="W769" i="1"/>
  <c r="W768" i="1"/>
  <c r="W767" i="1"/>
  <c r="W766" i="1"/>
  <c r="W765" i="1"/>
  <c r="W764" i="1"/>
  <c r="W763" i="1"/>
  <c r="W762" i="1"/>
  <c r="W761" i="1"/>
  <c r="W760" i="1"/>
  <c r="W759" i="1"/>
  <c r="W758" i="1"/>
  <c r="W757" i="1"/>
  <c r="W756" i="1"/>
  <c r="W755" i="1"/>
  <c r="W754" i="1"/>
  <c r="W753" i="1"/>
  <c r="W752" i="1"/>
  <c r="W751" i="1"/>
  <c r="W750" i="1"/>
  <c r="W749" i="1"/>
  <c r="W748" i="1"/>
  <c r="W747" i="1"/>
  <c r="W746" i="1"/>
  <c r="W745" i="1"/>
  <c r="W744" i="1"/>
  <c r="W743" i="1"/>
  <c r="W742" i="1"/>
  <c r="W741" i="1"/>
  <c r="W740" i="1"/>
  <c r="W739" i="1"/>
  <c r="W738" i="1"/>
  <c r="W737" i="1"/>
  <c r="W736" i="1"/>
  <c r="W735" i="1"/>
  <c r="W734" i="1"/>
  <c r="W733" i="1"/>
  <c r="W732" i="1"/>
  <c r="W731" i="1"/>
  <c r="W730" i="1"/>
  <c r="W729" i="1"/>
  <c r="W728" i="1"/>
  <c r="W727" i="1"/>
  <c r="W726" i="1"/>
  <c r="W725" i="1"/>
  <c r="W724" i="1"/>
  <c r="W723" i="1"/>
  <c r="W722" i="1"/>
  <c r="W721" i="1"/>
  <c r="W720" i="1"/>
  <c r="W719" i="1"/>
  <c r="W718" i="1"/>
  <c r="W717" i="1"/>
  <c r="W716" i="1"/>
  <c r="W715" i="1"/>
  <c r="W714" i="1"/>
  <c r="W713" i="1"/>
  <c r="W712" i="1"/>
  <c r="W711" i="1"/>
  <c r="W710" i="1"/>
  <c r="W709" i="1"/>
  <c r="W708" i="1"/>
  <c r="W707" i="1"/>
  <c r="W706" i="1"/>
  <c r="W705" i="1"/>
  <c r="W704" i="1"/>
  <c r="W703" i="1"/>
  <c r="W702" i="1"/>
  <c r="W701" i="1"/>
  <c r="W700" i="1"/>
  <c r="W699" i="1"/>
  <c r="W698" i="1"/>
  <c r="W697" i="1"/>
  <c r="W696" i="1"/>
  <c r="W695" i="1"/>
  <c r="W694" i="1"/>
  <c r="W693" i="1"/>
  <c r="W692" i="1"/>
  <c r="W691" i="1"/>
  <c r="W690" i="1"/>
  <c r="W689" i="1"/>
  <c r="W688" i="1"/>
  <c r="W687" i="1"/>
  <c r="W686" i="1"/>
  <c r="W685" i="1"/>
  <c r="W684" i="1"/>
  <c r="W683" i="1"/>
  <c r="W682" i="1"/>
  <c r="W681" i="1"/>
  <c r="W680" i="1"/>
  <c r="W679" i="1"/>
  <c r="W678" i="1"/>
  <c r="W677" i="1"/>
  <c r="W676" i="1"/>
  <c r="W675" i="1"/>
  <c r="W674" i="1"/>
  <c r="W673" i="1"/>
  <c r="W672" i="1"/>
  <c r="W671" i="1"/>
  <c r="W670" i="1"/>
  <c r="W669" i="1"/>
  <c r="W668" i="1"/>
  <c r="W667" i="1"/>
  <c r="W666" i="1"/>
  <c r="W665" i="1"/>
  <c r="W664" i="1"/>
  <c r="W663" i="1"/>
  <c r="W662" i="1"/>
  <c r="W661" i="1"/>
  <c r="W660" i="1"/>
  <c r="W659" i="1"/>
  <c r="W658" i="1"/>
  <c r="W657" i="1"/>
  <c r="W656" i="1"/>
  <c r="W655" i="1"/>
  <c r="W654" i="1"/>
  <c r="W653" i="1"/>
  <c r="W652" i="1"/>
  <c r="W651" i="1"/>
  <c r="W650" i="1"/>
  <c r="W649" i="1"/>
  <c r="W648" i="1"/>
  <c r="W647" i="1"/>
  <c r="W646" i="1"/>
  <c r="W645" i="1"/>
  <c r="W644" i="1"/>
  <c r="W643" i="1"/>
  <c r="W642" i="1"/>
  <c r="W641" i="1"/>
  <c r="W640" i="1"/>
  <c r="W639" i="1"/>
  <c r="W638" i="1"/>
  <c r="W637" i="1"/>
  <c r="W636" i="1"/>
  <c r="W635" i="1"/>
  <c r="W634" i="1"/>
  <c r="W633" i="1"/>
  <c r="W632" i="1"/>
  <c r="W631" i="1"/>
  <c r="W630" i="1"/>
  <c r="W629" i="1"/>
  <c r="W628" i="1"/>
  <c r="W627" i="1"/>
  <c r="W626" i="1"/>
  <c r="W625" i="1"/>
  <c r="W624" i="1"/>
  <c r="W623" i="1"/>
  <c r="W622" i="1"/>
  <c r="W621" i="1"/>
  <c r="W620" i="1"/>
  <c r="W619" i="1"/>
  <c r="W618" i="1"/>
  <c r="W617" i="1"/>
  <c r="W616" i="1"/>
  <c r="W615" i="1"/>
  <c r="W614" i="1"/>
  <c r="W613" i="1"/>
  <c r="W612" i="1"/>
  <c r="W611" i="1"/>
  <c r="W610" i="1"/>
  <c r="W609" i="1"/>
  <c r="W608" i="1"/>
  <c r="W607" i="1"/>
  <c r="W606" i="1"/>
  <c r="W605" i="1"/>
  <c r="W604" i="1"/>
  <c r="W603" i="1"/>
  <c r="W602" i="1"/>
  <c r="W601" i="1"/>
  <c r="W600" i="1"/>
  <c r="W599" i="1"/>
  <c r="W598" i="1"/>
  <c r="W597" i="1"/>
  <c r="W596" i="1"/>
  <c r="W595" i="1"/>
  <c r="W594" i="1"/>
  <c r="W593" i="1"/>
  <c r="W592" i="1"/>
  <c r="W591" i="1"/>
  <c r="W590" i="1"/>
  <c r="W589" i="1"/>
  <c r="W588" i="1"/>
  <c r="W587" i="1"/>
  <c r="W586" i="1"/>
  <c r="W585" i="1"/>
  <c r="W584" i="1"/>
  <c r="W583" i="1"/>
  <c r="W582" i="1"/>
  <c r="W581" i="1"/>
  <c r="W580" i="1"/>
  <c r="W579" i="1"/>
  <c r="W578" i="1"/>
  <c r="W577" i="1"/>
  <c r="W576" i="1"/>
  <c r="W575" i="1"/>
  <c r="W574" i="1"/>
  <c r="W573" i="1"/>
  <c r="W572" i="1"/>
  <c r="W571" i="1"/>
  <c r="W570" i="1"/>
  <c r="W569" i="1"/>
  <c r="W568" i="1"/>
  <c r="W567" i="1"/>
  <c r="W566" i="1"/>
  <c r="W565" i="1"/>
  <c r="W564" i="1"/>
  <c r="W563" i="1"/>
  <c r="W562" i="1"/>
  <c r="W561" i="1"/>
  <c r="W560" i="1"/>
  <c r="W559" i="1"/>
  <c r="W558" i="1"/>
  <c r="W557" i="1"/>
  <c r="W556" i="1"/>
  <c r="W555" i="1"/>
  <c r="W554" i="1"/>
  <c r="W553" i="1"/>
  <c r="W552" i="1"/>
  <c r="W551" i="1"/>
  <c r="W550" i="1"/>
  <c r="W549" i="1"/>
  <c r="W548" i="1"/>
  <c r="W547" i="1"/>
  <c r="W546" i="1"/>
  <c r="W545" i="1"/>
  <c r="W544" i="1"/>
  <c r="W543" i="1"/>
  <c r="W542" i="1"/>
  <c r="W541" i="1"/>
  <c r="W540" i="1"/>
  <c r="W539" i="1"/>
  <c r="W538" i="1"/>
  <c r="W537" i="1"/>
  <c r="W536" i="1"/>
  <c r="W535" i="1"/>
  <c r="W534" i="1"/>
  <c r="W533" i="1"/>
  <c r="W532" i="1"/>
  <c r="W531" i="1"/>
  <c r="W530" i="1"/>
  <c r="W529" i="1"/>
  <c r="W528" i="1"/>
  <c r="W527" i="1"/>
  <c r="W526" i="1"/>
  <c r="W525" i="1"/>
  <c r="W524" i="1"/>
  <c r="W523" i="1"/>
  <c r="W522" i="1"/>
  <c r="W521" i="1"/>
  <c r="W520" i="1"/>
  <c r="W519" i="1"/>
  <c r="W518" i="1"/>
  <c r="W517" i="1"/>
  <c r="W516" i="1"/>
  <c r="W515" i="1"/>
  <c r="W514" i="1"/>
  <c r="W513" i="1"/>
  <c r="W512" i="1"/>
  <c r="W511" i="1"/>
  <c r="W510" i="1"/>
  <c r="W509" i="1"/>
  <c r="W508" i="1"/>
  <c r="W507" i="1"/>
  <c r="W506" i="1"/>
  <c r="W505" i="1"/>
  <c r="W504" i="1"/>
  <c r="W503" i="1"/>
  <c r="W502" i="1"/>
  <c r="W501" i="1"/>
  <c r="W500" i="1"/>
  <c r="W499" i="1"/>
  <c r="W498" i="1"/>
  <c r="W497" i="1"/>
  <c r="W496" i="1"/>
  <c r="W495" i="1"/>
  <c r="W494" i="1"/>
  <c r="W493" i="1"/>
  <c r="W492" i="1"/>
  <c r="W491" i="1"/>
  <c r="W490" i="1"/>
  <c r="W489" i="1"/>
  <c r="W488" i="1"/>
  <c r="W487" i="1"/>
  <c r="W486" i="1"/>
  <c r="W485" i="1"/>
  <c r="W484" i="1"/>
  <c r="W483" i="1"/>
  <c r="W482" i="1"/>
  <c r="W481" i="1"/>
  <c r="W480" i="1"/>
  <c r="W479" i="1"/>
  <c r="W478" i="1"/>
  <c r="W477" i="1"/>
  <c r="W476" i="1"/>
  <c r="W475" i="1"/>
  <c r="W474" i="1"/>
  <c r="W473" i="1"/>
  <c r="W472" i="1"/>
  <c r="W471" i="1"/>
  <c r="W470" i="1"/>
  <c r="W469" i="1"/>
  <c r="W468" i="1"/>
  <c r="W467" i="1"/>
  <c r="W466" i="1"/>
  <c r="W465" i="1"/>
  <c r="W464" i="1"/>
  <c r="W463" i="1"/>
  <c r="W462" i="1"/>
  <c r="W461" i="1"/>
  <c r="W460" i="1"/>
  <c r="W459" i="1"/>
  <c r="W458" i="1"/>
  <c r="W457" i="1"/>
  <c r="W456" i="1"/>
  <c r="W455" i="1"/>
  <c r="W454" i="1"/>
  <c r="W453" i="1"/>
  <c r="W452" i="1"/>
  <c r="W451" i="1"/>
  <c r="W450" i="1"/>
  <c r="W449" i="1"/>
  <c r="W448" i="1"/>
  <c r="W447" i="1"/>
  <c r="W446" i="1"/>
  <c r="W445" i="1"/>
  <c r="W444" i="1"/>
  <c r="W443" i="1"/>
  <c r="W442" i="1"/>
  <c r="W441" i="1"/>
  <c r="W440" i="1"/>
  <c r="W439" i="1"/>
  <c r="W438" i="1"/>
  <c r="W437" i="1"/>
  <c r="W436" i="1"/>
  <c r="W435" i="1"/>
  <c r="W434" i="1"/>
  <c r="W433" i="1"/>
  <c r="W432" i="1"/>
  <c r="W431" i="1"/>
  <c r="W430" i="1"/>
  <c r="W429" i="1"/>
  <c r="W428" i="1"/>
  <c r="W427" i="1"/>
  <c r="W426" i="1"/>
  <c r="W425" i="1"/>
  <c r="W424" i="1"/>
  <c r="W423" i="1"/>
  <c r="W422" i="1"/>
  <c r="W421" i="1"/>
  <c r="W420" i="1"/>
  <c r="W419" i="1"/>
  <c r="W418" i="1"/>
  <c r="W417" i="1"/>
  <c r="W416" i="1"/>
  <c r="W415" i="1"/>
  <c r="W414" i="1"/>
  <c r="W413" i="1"/>
  <c r="W412" i="1"/>
  <c r="W411" i="1"/>
  <c r="W410" i="1"/>
  <c r="W409" i="1"/>
  <c r="W408" i="1"/>
  <c r="W407" i="1"/>
  <c r="W406" i="1"/>
  <c r="W405" i="1"/>
  <c r="W404" i="1"/>
  <c r="W403" i="1"/>
  <c r="W402" i="1"/>
  <c r="W401" i="1"/>
  <c r="W400" i="1"/>
  <c r="W399" i="1"/>
  <c r="W398" i="1"/>
  <c r="W397" i="1"/>
  <c r="W396" i="1"/>
  <c r="W395" i="1"/>
  <c r="W394" i="1"/>
  <c r="W393" i="1"/>
  <c r="W392" i="1"/>
  <c r="W391" i="1"/>
  <c r="W390" i="1"/>
  <c r="W389" i="1"/>
  <c r="W388" i="1"/>
  <c r="W387" i="1"/>
  <c r="W386" i="1"/>
  <c r="W385" i="1"/>
  <c r="W384" i="1"/>
  <c r="W383" i="1"/>
  <c r="W382" i="1"/>
  <c r="W381" i="1"/>
  <c r="W380" i="1"/>
  <c r="W379" i="1"/>
  <c r="W378" i="1"/>
  <c r="W377" i="1"/>
  <c r="W376" i="1"/>
  <c r="W375" i="1"/>
  <c r="W374" i="1"/>
  <c r="W373" i="1"/>
  <c r="W372" i="1"/>
  <c r="W371" i="1"/>
  <c r="W370" i="1"/>
  <c r="W369" i="1"/>
  <c r="W368" i="1"/>
  <c r="W367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CB1011" i="1"/>
  <c r="CB1010" i="1"/>
  <c r="CB1009" i="1"/>
  <c r="CB1008" i="1"/>
  <c r="CB1007" i="1"/>
  <c r="CB1006" i="1"/>
  <c r="CB1005" i="1"/>
  <c r="CB1004" i="1"/>
  <c r="CB1003" i="1"/>
  <c r="CB1002" i="1"/>
  <c r="CB1001" i="1"/>
  <c r="CB1000" i="1"/>
  <c r="CB999" i="1"/>
  <c r="CB998" i="1"/>
  <c r="CB997" i="1"/>
  <c r="CB996" i="1"/>
  <c r="CB995" i="1"/>
  <c r="CB994" i="1"/>
  <c r="CB993" i="1"/>
  <c r="CB992" i="1"/>
  <c r="CB991" i="1"/>
  <c r="CB990" i="1"/>
  <c r="CB989" i="1"/>
  <c r="CB988" i="1"/>
  <c r="CB987" i="1"/>
  <c r="CB986" i="1"/>
  <c r="CB985" i="1"/>
  <c r="CD985" i="1" s="1"/>
  <c r="CB984" i="1"/>
  <c r="CD984" i="1" s="1"/>
  <c r="CB983" i="1"/>
  <c r="CD983" i="1" s="1"/>
  <c r="CB982" i="1"/>
  <c r="CD982" i="1" s="1"/>
  <c r="CB981" i="1"/>
  <c r="CD981" i="1" s="1"/>
  <c r="CB980" i="1"/>
  <c r="CD980" i="1" s="1"/>
  <c r="CB979" i="1"/>
  <c r="CD979" i="1" s="1"/>
  <c r="CB978" i="1"/>
  <c r="CD978" i="1" s="1"/>
  <c r="CB977" i="1"/>
  <c r="CD977" i="1" s="1"/>
  <c r="CB976" i="1"/>
  <c r="CD976" i="1" s="1"/>
  <c r="CB975" i="1"/>
  <c r="CD975" i="1" s="1"/>
  <c r="CB974" i="1"/>
  <c r="CD974" i="1" s="1"/>
  <c r="CB973" i="1"/>
  <c r="CD973" i="1" s="1"/>
  <c r="CB972" i="1"/>
  <c r="CD972" i="1" s="1"/>
  <c r="CB971" i="1"/>
  <c r="CD971" i="1" s="1"/>
  <c r="CB970" i="1"/>
  <c r="CD970" i="1" s="1"/>
  <c r="CB969" i="1"/>
  <c r="CD969" i="1" s="1"/>
  <c r="CB968" i="1"/>
  <c r="CD968" i="1" s="1"/>
  <c r="CB967" i="1"/>
  <c r="CD967" i="1" s="1"/>
  <c r="CB966" i="1"/>
  <c r="CD966" i="1" s="1"/>
  <c r="CB965" i="1"/>
  <c r="CD965" i="1" s="1"/>
  <c r="CB964" i="1"/>
  <c r="CD964" i="1" s="1"/>
  <c r="CB963" i="1"/>
  <c r="CD963" i="1" s="1"/>
  <c r="CB962" i="1"/>
  <c r="CD962" i="1" s="1"/>
  <c r="CB961" i="1"/>
  <c r="CD961" i="1" s="1"/>
  <c r="CB960" i="1"/>
  <c r="CD960" i="1" s="1"/>
  <c r="CB959" i="1"/>
  <c r="CD959" i="1" s="1"/>
  <c r="CB958" i="1"/>
  <c r="CD958" i="1" s="1"/>
  <c r="CB957" i="1"/>
  <c r="CD957" i="1" s="1"/>
  <c r="CB956" i="1"/>
  <c r="CD956" i="1" s="1"/>
  <c r="CB955" i="1"/>
  <c r="CD955" i="1" s="1"/>
  <c r="CB954" i="1"/>
  <c r="CD954" i="1" s="1"/>
  <c r="CB953" i="1"/>
  <c r="CD953" i="1" s="1"/>
  <c r="CB952" i="1"/>
  <c r="CD952" i="1" s="1"/>
  <c r="CB951" i="1"/>
  <c r="CD951" i="1" s="1"/>
  <c r="CB950" i="1"/>
  <c r="CD950" i="1" s="1"/>
  <c r="CB949" i="1"/>
  <c r="CD949" i="1" s="1"/>
  <c r="CB948" i="1"/>
  <c r="CD948" i="1" s="1"/>
  <c r="CB947" i="1"/>
  <c r="CD947" i="1" s="1"/>
  <c r="CB946" i="1"/>
  <c r="CD946" i="1" s="1"/>
  <c r="CB945" i="1"/>
  <c r="CD945" i="1" s="1"/>
  <c r="CB944" i="1"/>
  <c r="CD944" i="1" s="1"/>
  <c r="CB943" i="1"/>
  <c r="CD943" i="1" s="1"/>
  <c r="CB942" i="1"/>
  <c r="CD942" i="1" s="1"/>
  <c r="CB941" i="1"/>
  <c r="CD941" i="1" s="1"/>
  <c r="CB940" i="1"/>
  <c r="CD940" i="1" s="1"/>
  <c r="CB939" i="1"/>
  <c r="CD939" i="1" s="1"/>
  <c r="CB938" i="1"/>
  <c r="CD938" i="1" s="1"/>
  <c r="CB937" i="1"/>
  <c r="CD937" i="1" s="1"/>
  <c r="CB936" i="1"/>
  <c r="CD936" i="1" s="1"/>
  <c r="CB935" i="1"/>
  <c r="CD935" i="1" s="1"/>
  <c r="CB934" i="1"/>
  <c r="CD934" i="1" s="1"/>
  <c r="CB933" i="1"/>
  <c r="CD933" i="1" s="1"/>
  <c r="CB932" i="1"/>
  <c r="CD932" i="1" s="1"/>
  <c r="CB931" i="1"/>
  <c r="CD931" i="1" s="1"/>
  <c r="CB930" i="1"/>
  <c r="CD930" i="1" s="1"/>
  <c r="CB929" i="1"/>
  <c r="CD929" i="1" s="1"/>
  <c r="CB928" i="1"/>
  <c r="CD928" i="1" s="1"/>
  <c r="CB927" i="1"/>
  <c r="CD927" i="1" s="1"/>
  <c r="CB926" i="1"/>
  <c r="CD926" i="1" s="1"/>
  <c r="CB925" i="1"/>
  <c r="CD925" i="1" s="1"/>
  <c r="CB924" i="1"/>
  <c r="CD924" i="1" s="1"/>
  <c r="CB923" i="1"/>
  <c r="CD923" i="1" s="1"/>
  <c r="CB922" i="1"/>
  <c r="CD922" i="1" s="1"/>
  <c r="CB921" i="1"/>
  <c r="CD921" i="1" s="1"/>
  <c r="CB920" i="1"/>
  <c r="CD920" i="1" s="1"/>
  <c r="CB919" i="1"/>
  <c r="CD919" i="1" s="1"/>
  <c r="CB918" i="1"/>
  <c r="CD918" i="1" s="1"/>
  <c r="CB917" i="1"/>
  <c r="CD917" i="1" s="1"/>
  <c r="CB916" i="1"/>
  <c r="CD916" i="1" s="1"/>
  <c r="CB915" i="1"/>
  <c r="CD915" i="1" s="1"/>
  <c r="CB914" i="1"/>
  <c r="CD914" i="1" s="1"/>
  <c r="CB913" i="1"/>
  <c r="CD913" i="1" s="1"/>
  <c r="CB912" i="1"/>
  <c r="CD912" i="1" s="1"/>
  <c r="CB911" i="1"/>
  <c r="CD911" i="1" s="1"/>
  <c r="CB910" i="1"/>
  <c r="CD910" i="1" s="1"/>
  <c r="CB909" i="1"/>
  <c r="CD909" i="1" s="1"/>
  <c r="CB908" i="1"/>
  <c r="CD908" i="1" s="1"/>
  <c r="CB907" i="1"/>
  <c r="CD907" i="1" s="1"/>
  <c r="CB906" i="1"/>
  <c r="CD906" i="1" s="1"/>
  <c r="CB905" i="1"/>
  <c r="CD905" i="1" s="1"/>
  <c r="CB904" i="1"/>
  <c r="CD904" i="1" s="1"/>
  <c r="CB903" i="1"/>
  <c r="CD903" i="1" s="1"/>
  <c r="CB902" i="1"/>
  <c r="CD902" i="1" s="1"/>
  <c r="CB901" i="1"/>
  <c r="CD901" i="1" s="1"/>
  <c r="CB900" i="1"/>
  <c r="CD900" i="1" s="1"/>
  <c r="CB899" i="1"/>
  <c r="CD899" i="1" s="1"/>
  <c r="CB898" i="1"/>
  <c r="CD898" i="1" s="1"/>
  <c r="CB897" i="1"/>
  <c r="CD897" i="1" s="1"/>
  <c r="CB896" i="1"/>
  <c r="CD896" i="1" s="1"/>
  <c r="CB895" i="1"/>
  <c r="CD895" i="1" s="1"/>
  <c r="CB894" i="1"/>
  <c r="CD894" i="1" s="1"/>
  <c r="CB893" i="1"/>
  <c r="CD893" i="1" s="1"/>
  <c r="CB892" i="1"/>
  <c r="CD892" i="1" s="1"/>
  <c r="CB891" i="1"/>
  <c r="CD891" i="1" s="1"/>
  <c r="CB890" i="1"/>
  <c r="CD890" i="1" s="1"/>
  <c r="CB889" i="1"/>
  <c r="CD889" i="1" s="1"/>
  <c r="CB888" i="1"/>
  <c r="CD888" i="1" s="1"/>
  <c r="CB887" i="1"/>
  <c r="CD887" i="1" s="1"/>
  <c r="CB886" i="1"/>
  <c r="CD886" i="1" s="1"/>
  <c r="CB885" i="1"/>
  <c r="CD885" i="1" s="1"/>
  <c r="CB884" i="1"/>
  <c r="CD884" i="1" s="1"/>
  <c r="CB883" i="1"/>
  <c r="CD883" i="1" s="1"/>
  <c r="CB882" i="1"/>
  <c r="CD882" i="1" s="1"/>
  <c r="CB881" i="1"/>
  <c r="CD881" i="1" s="1"/>
  <c r="CB880" i="1"/>
  <c r="CD880" i="1" s="1"/>
  <c r="CB879" i="1"/>
  <c r="CD879" i="1" s="1"/>
  <c r="CB878" i="1"/>
  <c r="CD878" i="1" s="1"/>
  <c r="CB877" i="1"/>
  <c r="CD877" i="1" s="1"/>
  <c r="CB876" i="1"/>
  <c r="CD876" i="1" s="1"/>
  <c r="CB875" i="1"/>
  <c r="CD875" i="1" s="1"/>
  <c r="CB874" i="1"/>
  <c r="CD874" i="1" s="1"/>
  <c r="CB873" i="1"/>
  <c r="CD873" i="1" s="1"/>
  <c r="CB872" i="1"/>
  <c r="CD872" i="1" s="1"/>
  <c r="CB871" i="1"/>
  <c r="CD871" i="1" s="1"/>
  <c r="CB870" i="1"/>
  <c r="CD870" i="1" s="1"/>
  <c r="CB869" i="1"/>
  <c r="CD869" i="1" s="1"/>
  <c r="CB868" i="1"/>
  <c r="CD868" i="1" s="1"/>
  <c r="CB867" i="1"/>
  <c r="CD867" i="1" s="1"/>
  <c r="CB866" i="1"/>
  <c r="CD866" i="1" s="1"/>
  <c r="CB865" i="1"/>
  <c r="CD865" i="1" s="1"/>
  <c r="CB864" i="1"/>
  <c r="CD864" i="1" s="1"/>
  <c r="CB863" i="1"/>
  <c r="CD863" i="1" s="1"/>
  <c r="CB862" i="1"/>
  <c r="CD862" i="1" s="1"/>
  <c r="CB861" i="1"/>
  <c r="CD861" i="1" s="1"/>
  <c r="CB860" i="1"/>
  <c r="CD860" i="1" s="1"/>
  <c r="CB859" i="1"/>
  <c r="CD859" i="1" s="1"/>
  <c r="CB858" i="1"/>
  <c r="CD858" i="1" s="1"/>
  <c r="CB857" i="1"/>
  <c r="CD857" i="1" s="1"/>
  <c r="CB856" i="1"/>
  <c r="CD856" i="1" s="1"/>
  <c r="CB855" i="1"/>
  <c r="CD855" i="1" s="1"/>
  <c r="CB854" i="1"/>
  <c r="CD854" i="1" s="1"/>
  <c r="CB853" i="1"/>
  <c r="CD853" i="1" s="1"/>
  <c r="CB852" i="1"/>
  <c r="CD852" i="1" s="1"/>
  <c r="CB851" i="1"/>
  <c r="CD851" i="1" s="1"/>
  <c r="CB850" i="1"/>
  <c r="CD850" i="1" s="1"/>
  <c r="CB849" i="1"/>
  <c r="CD849" i="1" s="1"/>
  <c r="CB848" i="1"/>
  <c r="CD848" i="1" s="1"/>
  <c r="CB847" i="1"/>
  <c r="CD847" i="1" s="1"/>
  <c r="CB846" i="1"/>
  <c r="CD846" i="1" s="1"/>
  <c r="CB845" i="1"/>
  <c r="CD845" i="1" s="1"/>
  <c r="CB844" i="1"/>
  <c r="CD844" i="1" s="1"/>
  <c r="CB843" i="1"/>
  <c r="CD843" i="1" s="1"/>
  <c r="CB842" i="1"/>
  <c r="CD842" i="1" s="1"/>
  <c r="CB841" i="1"/>
  <c r="CD841" i="1" s="1"/>
  <c r="CB840" i="1"/>
  <c r="CD840" i="1" s="1"/>
  <c r="CB839" i="1"/>
  <c r="CD839" i="1" s="1"/>
  <c r="CB838" i="1"/>
  <c r="CD838" i="1" s="1"/>
  <c r="CB837" i="1"/>
  <c r="CD837" i="1" s="1"/>
  <c r="CB836" i="1"/>
  <c r="CD836" i="1" s="1"/>
  <c r="CB835" i="1"/>
  <c r="CD835" i="1" s="1"/>
  <c r="CB834" i="1"/>
  <c r="CD834" i="1" s="1"/>
  <c r="CB833" i="1"/>
  <c r="CD833" i="1" s="1"/>
  <c r="CB832" i="1"/>
  <c r="CD832" i="1" s="1"/>
  <c r="CB831" i="1"/>
  <c r="CD831" i="1" s="1"/>
  <c r="CB830" i="1"/>
  <c r="CD830" i="1" s="1"/>
  <c r="CB829" i="1"/>
  <c r="CD829" i="1" s="1"/>
  <c r="CB828" i="1"/>
  <c r="CD828" i="1" s="1"/>
  <c r="CB827" i="1"/>
  <c r="CD827" i="1" s="1"/>
  <c r="CB826" i="1"/>
  <c r="CD826" i="1" s="1"/>
  <c r="CB825" i="1"/>
  <c r="CD825" i="1" s="1"/>
  <c r="CB824" i="1"/>
  <c r="CD824" i="1" s="1"/>
  <c r="CB823" i="1"/>
  <c r="CD823" i="1" s="1"/>
  <c r="CB822" i="1"/>
  <c r="CD822" i="1" s="1"/>
  <c r="CB821" i="1"/>
  <c r="CD821" i="1" s="1"/>
  <c r="CB820" i="1"/>
  <c r="CD820" i="1" s="1"/>
  <c r="CB819" i="1"/>
  <c r="CD819" i="1" s="1"/>
  <c r="CB818" i="1"/>
  <c r="CD818" i="1" s="1"/>
  <c r="CB817" i="1"/>
  <c r="CD817" i="1" s="1"/>
  <c r="CB816" i="1"/>
  <c r="CD816" i="1" s="1"/>
  <c r="CB815" i="1"/>
  <c r="CD815" i="1" s="1"/>
  <c r="CB814" i="1"/>
  <c r="CD814" i="1" s="1"/>
  <c r="CB813" i="1"/>
  <c r="CD813" i="1" s="1"/>
  <c r="CB812" i="1"/>
  <c r="CD812" i="1" s="1"/>
  <c r="CB811" i="1"/>
  <c r="CD811" i="1" s="1"/>
  <c r="CB810" i="1"/>
  <c r="CD810" i="1" s="1"/>
  <c r="CB809" i="1"/>
  <c r="CD809" i="1" s="1"/>
  <c r="CB808" i="1"/>
  <c r="CD808" i="1" s="1"/>
  <c r="CB807" i="1"/>
  <c r="CD807" i="1" s="1"/>
  <c r="CB806" i="1"/>
  <c r="CD806" i="1" s="1"/>
  <c r="CB805" i="1"/>
  <c r="CD805" i="1" s="1"/>
  <c r="CB804" i="1"/>
  <c r="CD804" i="1" s="1"/>
  <c r="CB803" i="1"/>
  <c r="CD803" i="1" s="1"/>
  <c r="CB802" i="1"/>
  <c r="CD802" i="1" s="1"/>
  <c r="CB801" i="1"/>
  <c r="CD801" i="1" s="1"/>
  <c r="CB800" i="1"/>
  <c r="CD800" i="1" s="1"/>
  <c r="CB799" i="1"/>
  <c r="CD799" i="1" s="1"/>
  <c r="CB798" i="1"/>
  <c r="CD798" i="1" s="1"/>
  <c r="CB797" i="1"/>
  <c r="CD797" i="1" s="1"/>
  <c r="CB796" i="1"/>
  <c r="CD796" i="1" s="1"/>
  <c r="CB795" i="1"/>
  <c r="CD795" i="1" s="1"/>
  <c r="CB794" i="1"/>
  <c r="CD794" i="1" s="1"/>
  <c r="CB793" i="1"/>
  <c r="CD793" i="1" s="1"/>
  <c r="CB792" i="1"/>
  <c r="CD792" i="1" s="1"/>
  <c r="CB791" i="1"/>
  <c r="CD791" i="1" s="1"/>
  <c r="CB790" i="1"/>
  <c r="CD790" i="1" s="1"/>
  <c r="CB789" i="1"/>
  <c r="CD789" i="1" s="1"/>
  <c r="CB788" i="1"/>
  <c r="CD788" i="1" s="1"/>
  <c r="CB787" i="1"/>
  <c r="CD787" i="1" s="1"/>
  <c r="CB786" i="1"/>
  <c r="CD786" i="1" s="1"/>
  <c r="CB785" i="1"/>
  <c r="CD785" i="1" s="1"/>
  <c r="CB784" i="1"/>
  <c r="CD784" i="1" s="1"/>
  <c r="CB783" i="1"/>
  <c r="CD783" i="1" s="1"/>
  <c r="CB782" i="1"/>
  <c r="CD782" i="1" s="1"/>
  <c r="CB781" i="1"/>
  <c r="CD781" i="1" s="1"/>
  <c r="CB780" i="1"/>
  <c r="CD780" i="1" s="1"/>
  <c r="CB779" i="1"/>
  <c r="CD779" i="1" s="1"/>
  <c r="CB778" i="1"/>
  <c r="CD778" i="1" s="1"/>
  <c r="CB777" i="1"/>
  <c r="CD777" i="1" s="1"/>
  <c r="CB776" i="1"/>
  <c r="CD776" i="1" s="1"/>
  <c r="CB775" i="1"/>
  <c r="CD775" i="1" s="1"/>
  <c r="CB774" i="1"/>
  <c r="CD774" i="1" s="1"/>
  <c r="CB773" i="1"/>
  <c r="CD773" i="1" s="1"/>
  <c r="CB772" i="1"/>
  <c r="CD772" i="1" s="1"/>
  <c r="CB771" i="1"/>
  <c r="CD771" i="1" s="1"/>
  <c r="CB770" i="1"/>
  <c r="CD770" i="1" s="1"/>
  <c r="CB769" i="1"/>
  <c r="CD769" i="1" s="1"/>
  <c r="CB768" i="1"/>
  <c r="CD768" i="1" s="1"/>
  <c r="CB767" i="1"/>
  <c r="CD767" i="1" s="1"/>
  <c r="CB766" i="1"/>
  <c r="CD766" i="1" s="1"/>
  <c r="CB765" i="1"/>
  <c r="CD765" i="1" s="1"/>
  <c r="CB764" i="1"/>
  <c r="CD764" i="1" s="1"/>
  <c r="CB763" i="1"/>
  <c r="CD763" i="1" s="1"/>
  <c r="CB762" i="1"/>
  <c r="CD762" i="1" s="1"/>
  <c r="CB761" i="1"/>
  <c r="CD761" i="1" s="1"/>
  <c r="CB760" i="1"/>
  <c r="CD760" i="1" s="1"/>
  <c r="CB759" i="1"/>
  <c r="CD759" i="1" s="1"/>
  <c r="CB758" i="1"/>
  <c r="CD758" i="1" s="1"/>
  <c r="CB757" i="1"/>
  <c r="CD757" i="1" s="1"/>
  <c r="CB756" i="1"/>
  <c r="CD756" i="1" s="1"/>
  <c r="CB755" i="1"/>
  <c r="CD755" i="1" s="1"/>
  <c r="CB754" i="1"/>
  <c r="CD754" i="1" s="1"/>
  <c r="CB753" i="1"/>
  <c r="CD753" i="1" s="1"/>
  <c r="CB752" i="1"/>
  <c r="CD752" i="1" s="1"/>
  <c r="CB751" i="1"/>
  <c r="CD751" i="1" s="1"/>
  <c r="CB750" i="1"/>
  <c r="CD750" i="1" s="1"/>
  <c r="CB749" i="1"/>
  <c r="CD749" i="1" s="1"/>
  <c r="CB748" i="1"/>
  <c r="CD748" i="1" s="1"/>
  <c r="CB747" i="1"/>
  <c r="CD747" i="1" s="1"/>
  <c r="CB746" i="1"/>
  <c r="CD746" i="1" s="1"/>
  <c r="CB745" i="1"/>
  <c r="CD745" i="1" s="1"/>
  <c r="CB744" i="1"/>
  <c r="CD744" i="1" s="1"/>
  <c r="CB743" i="1"/>
  <c r="CD743" i="1" s="1"/>
  <c r="CB742" i="1"/>
  <c r="CD742" i="1" s="1"/>
  <c r="CB741" i="1"/>
  <c r="CD741" i="1" s="1"/>
  <c r="CB740" i="1"/>
  <c r="CD740" i="1" s="1"/>
  <c r="CB739" i="1"/>
  <c r="CD739" i="1" s="1"/>
  <c r="CB738" i="1"/>
  <c r="CD738" i="1" s="1"/>
  <c r="CB737" i="1"/>
  <c r="CD737" i="1" s="1"/>
  <c r="CB736" i="1"/>
  <c r="CD736" i="1" s="1"/>
  <c r="CB735" i="1"/>
  <c r="CD735" i="1" s="1"/>
  <c r="CB734" i="1"/>
  <c r="CD734" i="1" s="1"/>
  <c r="CB733" i="1"/>
  <c r="CD733" i="1" s="1"/>
  <c r="CB732" i="1"/>
  <c r="CD732" i="1" s="1"/>
  <c r="CB731" i="1"/>
  <c r="CD731" i="1" s="1"/>
  <c r="CB730" i="1"/>
  <c r="CD730" i="1" s="1"/>
  <c r="CB729" i="1"/>
  <c r="CD729" i="1" s="1"/>
  <c r="CB728" i="1"/>
  <c r="CD728" i="1" s="1"/>
  <c r="CB727" i="1"/>
  <c r="CD727" i="1" s="1"/>
  <c r="CB726" i="1"/>
  <c r="CD726" i="1" s="1"/>
  <c r="CB725" i="1"/>
  <c r="CD725" i="1" s="1"/>
  <c r="CB724" i="1"/>
  <c r="CD724" i="1" s="1"/>
  <c r="CB723" i="1"/>
  <c r="CD723" i="1" s="1"/>
  <c r="CB722" i="1"/>
  <c r="CD722" i="1" s="1"/>
  <c r="CB721" i="1"/>
  <c r="CD721" i="1" s="1"/>
  <c r="CB720" i="1"/>
  <c r="CD720" i="1" s="1"/>
  <c r="CB719" i="1"/>
  <c r="CD719" i="1" s="1"/>
  <c r="CB718" i="1"/>
  <c r="CD718" i="1" s="1"/>
  <c r="CB717" i="1"/>
  <c r="CD717" i="1" s="1"/>
  <c r="CB716" i="1"/>
  <c r="CD716" i="1" s="1"/>
  <c r="CB715" i="1"/>
  <c r="CD715" i="1" s="1"/>
  <c r="CB714" i="1"/>
  <c r="CD714" i="1" s="1"/>
  <c r="CB713" i="1"/>
  <c r="CD713" i="1" s="1"/>
  <c r="CB712" i="1"/>
  <c r="CD712" i="1" s="1"/>
  <c r="CB711" i="1"/>
  <c r="CD711" i="1" s="1"/>
  <c r="CB710" i="1"/>
  <c r="CD710" i="1" s="1"/>
  <c r="CB709" i="1"/>
  <c r="CD709" i="1" s="1"/>
  <c r="CB708" i="1"/>
  <c r="CD708" i="1" s="1"/>
  <c r="CB707" i="1"/>
  <c r="CD707" i="1" s="1"/>
  <c r="CB706" i="1"/>
  <c r="CD706" i="1" s="1"/>
  <c r="CB705" i="1"/>
  <c r="CD705" i="1" s="1"/>
  <c r="CB704" i="1"/>
  <c r="CD704" i="1" s="1"/>
  <c r="CB703" i="1"/>
  <c r="CD703" i="1" s="1"/>
  <c r="CB702" i="1"/>
  <c r="CD702" i="1" s="1"/>
  <c r="CB701" i="1"/>
  <c r="CD701" i="1" s="1"/>
  <c r="CB700" i="1"/>
  <c r="CD700" i="1" s="1"/>
  <c r="CB699" i="1"/>
  <c r="CD699" i="1" s="1"/>
  <c r="CB698" i="1"/>
  <c r="CD698" i="1" s="1"/>
  <c r="CB697" i="1"/>
  <c r="CD697" i="1" s="1"/>
  <c r="CB696" i="1"/>
  <c r="CD696" i="1" s="1"/>
  <c r="CB695" i="1"/>
  <c r="CD695" i="1" s="1"/>
  <c r="CB694" i="1"/>
  <c r="CD694" i="1" s="1"/>
  <c r="CB693" i="1"/>
  <c r="CD693" i="1" s="1"/>
  <c r="CB692" i="1"/>
  <c r="CD692" i="1" s="1"/>
  <c r="CB691" i="1"/>
  <c r="CD691" i="1" s="1"/>
  <c r="CB690" i="1"/>
  <c r="CD690" i="1" s="1"/>
  <c r="CB689" i="1"/>
  <c r="CD689" i="1" s="1"/>
  <c r="CB688" i="1"/>
  <c r="CD688" i="1" s="1"/>
  <c r="CB687" i="1"/>
  <c r="CD687" i="1" s="1"/>
  <c r="CB686" i="1"/>
  <c r="CD686" i="1" s="1"/>
  <c r="CB685" i="1"/>
  <c r="CD685" i="1" s="1"/>
  <c r="CB684" i="1"/>
  <c r="CD684" i="1" s="1"/>
  <c r="CB683" i="1"/>
  <c r="CD683" i="1" s="1"/>
  <c r="CB682" i="1"/>
  <c r="CD682" i="1" s="1"/>
  <c r="CB681" i="1"/>
  <c r="CD681" i="1" s="1"/>
  <c r="CB680" i="1"/>
  <c r="CD680" i="1" s="1"/>
  <c r="CB679" i="1"/>
  <c r="CD679" i="1" s="1"/>
  <c r="CB678" i="1"/>
  <c r="CD678" i="1" s="1"/>
  <c r="CB677" i="1"/>
  <c r="CD677" i="1" s="1"/>
  <c r="CB676" i="1"/>
  <c r="CD676" i="1" s="1"/>
  <c r="CB675" i="1"/>
  <c r="CD675" i="1" s="1"/>
  <c r="CB674" i="1"/>
  <c r="CD674" i="1" s="1"/>
  <c r="CB673" i="1"/>
  <c r="CD673" i="1" s="1"/>
  <c r="CB672" i="1"/>
  <c r="CD672" i="1" s="1"/>
  <c r="CB671" i="1"/>
  <c r="CD671" i="1" s="1"/>
  <c r="CB670" i="1"/>
  <c r="CD670" i="1" s="1"/>
  <c r="CB669" i="1"/>
  <c r="CD669" i="1" s="1"/>
  <c r="CB668" i="1"/>
  <c r="CD668" i="1" s="1"/>
  <c r="CB667" i="1"/>
  <c r="CD667" i="1" s="1"/>
  <c r="CB666" i="1"/>
  <c r="CD666" i="1" s="1"/>
  <c r="CB665" i="1"/>
  <c r="CD665" i="1" s="1"/>
  <c r="CB664" i="1"/>
  <c r="CD664" i="1" s="1"/>
  <c r="CB663" i="1"/>
  <c r="CD663" i="1" s="1"/>
  <c r="CB662" i="1"/>
  <c r="CD662" i="1" s="1"/>
  <c r="CB661" i="1"/>
  <c r="CD661" i="1" s="1"/>
  <c r="CB660" i="1"/>
  <c r="CD660" i="1" s="1"/>
  <c r="CB659" i="1"/>
  <c r="CD659" i="1" s="1"/>
  <c r="CB658" i="1"/>
  <c r="CD658" i="1" s="1"/>
  <c r="CB657" i="1"/>
  <c r="CD657" i="1" s="1"/>
  <c r="CB656" i="1"/>
  <c r="CD656" i="1" s="1"/>
  <c r="CB655" i="1"/>
  <c r="CD655" i="1" s="1"/>
  <c r="CB654" i="1"/>
  <c r="CD654" i="1" s="1"/>
  <c r="CB653" i="1"/>
  <c r="CD653" i="1" s="1"/>
  <c r="CB652" i="1"/>
  <c r="CD652" i="1" s="1"/>
  <c r="CB651" i="1"/>
  <c r="CD651" i="1" s="1"/>
  <c r="CB650" i="1"/>
  <c r="CD650" i="1" s="1"/>
  <c r="CB649" i="1"/>
  <c r="CD649" i="1" s="1"/>
  <c r="CB648" i="1"/>
  <c r="CD648" i="1" s="1"/>
  <c r="CB647" i="1"/>
  <c r="CD647" i="1" s="1"/>
  <c r="CB646" i="1"/>
  <c r="CD646" i="1" s="1"/>
  <c r="CB645" i="1"/>
  <c r="CD645" i="1" s="1"/>
  <c r="CB644" i="1"/>
  <c r="CD644" i="1" s="1"/>
  <c r="CB643" i="1"/>
  <c r="CD643" i="1" s="1"/>
  <c r="CB642" i="1"/>
  <c r="CD642" i="1" s="1"/>
  <c r="CB641" i="1"/>
  <c r="CD641" i="1" s="1"/>
  <c r="CB640" i="1"/>
  <c r="CD640" i="1" s="1"/>
  <c r="CB639" i="1"/>
  <c r="CD639" i="1" s="1"/>
  <c r="CB638" i="1"/>
  <c r="CD638" i="1" s="1"/>
  <c r="CB637" i="1"/>
  <c r="CD637" i="1" s="1"/>
  <c r="CB636" i="1"/>
  <c r="CD636" i="1" s="1"/>
  <c r="CB635" i="1"/>
  <c r="CD635" i="1" s="1"/>
  <c r="CB634" i="1"/>
  <c r="CD634" i="1" s="1"/>
  <c r="CB633" i="1"/>
  <c r="CD633" i="1" s="1"/>
  <c r="CB632" i="1"/>
  <c r="CD632" i="1" s="1"/>
  <c r="CB631" i="1"/>
  <c r="CD631" i="1" s="1"/>
  <c r="CB630" i="1"/>
  <c r="CD630" i="1" s="1"/>
  <c r="CB629" i="1"/>
  <c r="CD629" i="1" s="1"/>
  <c r="CB628" i="1"/>
  <c r="CD628" i="1" s="1"/>
  <c r="CB627" i="1"/>
  <c r="CD627" i="1" s="1"/>
  <c r="CB626" i="1"/>
  <c r="CD626" i="1" s="1"/>
  <c r="CB625" i="1"/>
  <c r="CD625" i="1" s="1"/>
  <c r="CB624" i="1"/>
  <c r="CD624" i="1" s="1"/>
  <c r="CB623" i="1"/>
  <c r="CD623" i="1" s="1"/>
  <c r="CB622" i="1"/>
  <c r="CD622" i="1" s="1"/>
  <c r="CB621" i="1"/>
  <c r="CD621" i="1" s="1"/>
  <c r="CB620" i="1"/>
  <c r="CD620" i="1" s="1"/>
  <c r="CB619" i="1"/>
  <c r="CD619" i="1" s="1"/>
  <c r="CB618" i="1"/>
  <c r="CD618" i="1" s="1"/>
  <c r="CB617" i="1"/>
  <c r="CD617" i="1" s="1"/>
  <c r="CB616" i="1"/>
  <c r="CD616" i="1" s="1"/>
  <c r="CB615" i="1"/>
  <c r="CD615" i="1" s="1"/>
  <c r="CB614" i="1"/>
  <c r="CD614" i="1" s="1"/>
  <c r="CB613" i="1"/>
  <c r="CD613" i="1" s="1"/>
  <c r="CB612" i="1"/>
  <c r="CD612" i="1" s="1"/>
  <c r="CB611" i="1"/>
  <c r="CD611" i="1" s="1"/>
  <c r="CB610" i="1"/>
  <c r="CD610" i="1" s="1"/>
  <c r="CB609" i="1"/>
  <c r="CD609" i="1" s="1"/>
  <c r="CB608" i="1"/>
  <c r="CD608" i="1" s="1"/>
  <c r="CB607" i="1"/>
  <c r="CD607" i="1" s="1"/>
  <c r="CB606" i="1"/>
  <c r="CD606" i="1" s="1"/>
  <c r="CB605" i="1"/>
  <c r="CD605" i="1" s="1"/>
  <c r="CB604" i="1"/>
  <c r="CD604" i="1" s="1"/>
  <c r="CB603" i="1"/>
  <c r="CD603" i="1" s="1"/>
  <c r="CB602" i="1"/>
  <c r="CD602" i="1" s="1"/>
  <c r="CB601" i="1"/>
  <c r="CD601" i="1" s="1"/>
  <c r="CB600" i="1"/>
  <c r="CD600" i="1" s="1"/>
  <c r="CB599" i="1"/>
  <c r="CD599" i="1" s="1"/>
  <c r="CB598" i="1"/>
  <c r="CD598" i="1" s="1"/>
  <c r="CB597" i="1"/>
  <c r="CD597" i="1" s="1"/>
  <c r="CB596" i="1"/>
  <c r="CD596" i="1" s="1"/>
  <c r="CB595" i="1"/>
  <c r="CD595" i="1" s="1"/>
  <c r="CB594" i="1"/>
  <c r="CD594" i="1" s="1"/>
  <c r="CB593" i="1"/>
  <c r="CD593" i="1" s="1"/>
  <c r="CB592" i="1"/>
  <c r="CD592" i="1" s="1"/>
  <c r="CB591" i="1"/>
  <c r="CD591" i="1" s="1"/>
  <c r="CB590" i="1"/>
  <c r="CD590" i="1" s="1"/>
  <c r="CB589" i="1"/>
  <c r="CD589" i="1" s="1"/>
  <c r="CB588" i="1"/>
  <c r="CD588" i="1" s="1"/>
  <c r="CB587" i="1"/>
  <c r="CD587" i="1" s="1"/>
  <c r="CB586" i="1"/>
  <c r="CD586" i="1" s="1"/>
  <c r="CB585" i="1"/>
  <c r="CD585" i="1" s="1"/>
  <c r="CB584" i="1"/>
  <c r="CD584" i="1" s="1"/>
  <c r="CB583" i="1"/>
  <c r="CD583" i="1" s="1"/>
  <c r="CB582" i="1"/>
  <c r="CD582" i="1" s="1"/>
  <c r="CB581" i="1"/>
  <c r="CD581" i="1" s="1"/>
  <c r="CB580" i="1"/>
  <c r="CD580" i="1" s="1"/>
  <c r="CB579" i="1"/>
  <c r="CD579" i="1" s="1"/>
  <c r="CB578" i="1"/>
  <c r="CD578" i="1" s="1"/>
  <c r="CB577" i="1"/>
  <c r="CD577" i="1" s="1"/>
  <c r="CB576" i="1"/>
  <c r="CD576" i="1" s="1"/>
  <c r="CB575" i="1"/>
  <c r="CD575" i="1" s="1"/>
  <c r="CB574" i="1"/>
  <c r="CD574" i="1" s="1"/>
  <c r="CB573" i="1"/>
  <c r="CD573" i="1" s="1"/>
  <c r="CB572" i="1"/>
  <c r="CD572" i="1" s="1"/>
  <c r="CB571" i="1"/>
  <c r="CD571" i="1" s="1"/>
  <c r="CB570" i="1"/>
  <c r="CD570" i="1" s="1"/>
  <c r="CB569" i="1"/>
  <c r="CD569" i="1" s="1"/>
  <c r="CB568" i="1"/>
  <c r="CD568" i="1" s="1"/>
  <c r="CB567" i="1"/>
  <c r="CD567" i="1" s="1"/>
  <c r="CB566" i="1"/>
  <c r="CD566" i="1" s="1"/>
  <c r="CB565" i="1"/>
  <c r="CD565" i="1" s="1"/>
  <c r="CB564" i="1"/>
  <c r="CD564" i="1" s="1"/>
  <c r="CB563" i="1"/>
  <c r="CD563" i="1" s="1"/>
  <c r="CB562" i="1"/>
  <c r="CD562" i="1" s="1"/>
  <c r="CB561" i="1"/>
  <c r="CD561" i="1" s="1"/>
  <c r="CB560" i="1"/>
  <c r="CD560" i="1" s="1"/>
  <c r="CB559" i="1"/>
  <c r="CD559" i="1" s="1"/>
  <c r="CB558" i="1"/>
  <c r="CD558" i="1" s="1"/>
  <c r="CB557" i="1"/>
  <c r="CD557" i="1" s="1"/>
  <c r="CB556" i="1"/>
  <c r="CD556" i="1" s="1"/>
  <c r="CB555" i="1"/>
  <c r="CD555" i="1" s="1"/>
  <c r="CB554" i="1"/>
  <c r="CD554" i="1" s="1"/>
  <c r="CB553" i="1"/>
  <c r="CD553" i="1" s="1"/>
  <c r="CB552" i="1"/>
  <c r="CD552" i="1" s="1"/>
  <c r="CB551" i="1"/>
  <c r="CD551" i="1" s="1"/>
  <c r="CB550" i="1"/>
  <c r="CD550" i="1" s="1"/>
  <c r="CB549" i="1"/>
  <c r="CD549" i="1" s="1"/>
  <c r="CB548" i="1"/>
  <c r="CD548" i="1" s="1"/>
  <c r="CB547" i="1"/>
  <c r="CD547" i="1" s="1"/>
  <c r="CB546" i="1"/>
  <c r="CD546" i="1" s="1"/>
  <c r="CB545" i="1"/>
  <c r="CD545" i="1" s="1"/>
  <c r="CB544" i="1"/>
  <c r="CD544" i="1" s="1"/>
  <c r="CB543" i="1"/>
  <c r="CD543" i="1" s="1"/>
  <c r="CB542" i="1"/>
  <c r="CD542" i="1" s="1"/>
  <c r="CB541" i="1"/>
  <c r="CD541" i="1" s="1"/>
  <c r="CB540" i="1"/>
  <c r="CD540" i="1" s="1"/>
  <c r="CB539" i="1"/>
  <c r="CD539" i="1" s="1"/>
  <c r="CB538" i="1"/>
  <c r="CD538" i="1" s="1"/>
  <c r="CB537" i="1"/>
  <c r="CD537" i="1" s="1"/>
  <c r="CB536" i="1"/>
  <c r="CD536" i="1" s="1"/>
  <c r="CB535" i="1"/>
  <c r="CD535" i="1" s="1"/>
  <c r="CB534" i="1"/>
  <c r="CD534" i="1" s="1"/>
  <c r="CB533" i="1"/>
  <c r="CD533" i="1" s="1"/>
  <c r="CB532" i="1"/>
  <c r="CD532" i="1" s="1"/>
  <c r="CB531" i="1"/>
  <c r="CD531" i="1" s="1"/>
  <c r="CB530" i="1"/>
  <c r="CD530" i="1" s="1"/>
  <c r="CB529" i="1"/>
  <c r="CD529" i="1" s="1"/>
  <c r="CB528" i="1"/>
  <c r="CD528" i="1" s="1"/>
  <c r="CB527" i="1"/>
  <c r="CD527" i="1" s="1"/>
  <c r="CB526" i="1"/>
  <c r="CD526" i="1" s="1"/>
  <c r="CB525" i="1"/>
  <c r="CD525" i="1" s="1"/>
  <c r="CB524" i="1"/>
  <c r="CD524" i="1" s="1"/>
  <c r="CB523" i="1"/>
  <c r="CD523" i="1" s="1"/>
  <c r="CB522" i="1"/>
  <c r="CD522" i="1" s="1"/>
  <c r="CB521" i="1"/>
  <c r="CD521" i="1" s="1"/>
  <c r="CB520" i="1"/>
  <c r="CD520" i="1" s="1"/>
  <c r="CB519" i="1"/>
  <c r="CD519" i="1" s="1"/>
  <c r="CB518" i="1"/>
  <c r="CD518" i="1" s="1"/>
  <c r="CB517" i="1"/>
  <c r="CD517" i="1" s="1"/>
  <c r="CB516" i="1"/>
  <c r="CD516" i="1" s="1"/>
  <c r="CB515" i="1"/>
  <c r="CD515" i="1" s="1"/>
  <c r="CB514" i="1"/>
  <c r="CD514" i="1" s="1"/>
  <c r="CB513" i="1"/>
  <c r="CD513" i="1" s="1"/>
  <c r="CB512" i="1"/>
  <c r="CD512" i="1" s="1"/>
  <c r="CB511" i="1"/>
  <c r="CD511" i="1" s="1"/>
  <c r="CB510" i="1"/>
  <c r="CD510" i="1" s="1"/>
  <c r="CB509" i="1"/>
  <c r="CD509" i="1" s="1"/>
  <c r="CB508" i="1"/>
  <c r="CD508" i="1" s="1"/>
  <c r="CB507" i="1"/>
  <c r="CD507" i="1" s="1"/>
  <c r="CB506" i="1"/>
  <c r="CD506" i="1" s="1"/>
  <c r="CB505" i="1"/>
  <c r="CD505" i="1" s="1"/>
  <c r="CB504" i="1"/>
  <c r="CD504" i="1" s="1"/>
  <c r="CB503" i="1"/>
  <c r="CD503" i="1" s="1"/>
  <c r="CB502" i="1"/>
  <c r="CD502" i="1" s="1"/>
  <c r="CB501" i="1"/>
  <c r="CD501" i="1" s="1"/>
  <c r="CB500" i="1"/>
  <c r="CD500" i="1" s="1"/>
  <c r="CB499" i="1"/>
  <c r="CD499" i="1" s="1"/>
  <c r="CB498" i="1"/>
  <c r="CD498" i="1" s="1"/>
  <c r="CB497" i="1"/>
  <c r="CD497" i="1" s="1"/>
  <c r="CB496" i="1"/>
  <c r="CD496" i="1" s="1"/>
  <c r="CB495" i="1"/>
  <c r="CD495" i="1" s="1"/>
  <c r="CB494" i="1"/>
  <c r="CD494" i="1" s="1"/>
  <c r="CB493" i="1"/>
  <c r="CD493" i="1" s="1"/>
  <c r="CB492" i="1"/>
  <c r="CD492" i="1" s="1"/>
  <c r="CB491" i="1"/>
  <c r="CD491" i="1" s="1"/>
  <c r="CB490" i="1"/>
  <c r="CD490" i="1" s="1"/>
  <c r="CB489" i="1"/>
  <c r="CD489" i="1" s="1"/>
  <c r="CB488" i="1"/>
  <c r="CD488" i="1" s="1"/>
  <c r="CB487" i="1"/>
  <c r="CD487" i="1" s="1"/>
  <c r="CB486" i="1"/>
  <c r="CD486" i="1" s="1"/>
  <c r="CB485" i="1"/>
  <c r="CD485" i="1" s="1"/>
  <c r="CB484" i="1"/>
  <c r="CD484" i="1" s="1"/>
  <c r="CB483" i="1"/>
  <c r="CD483" i="1" s="1"/>
  <c r="CB482" i="1"/>
  <c r="CD482" i="1" s="1"/>
  <c r="CB481" i="1"/>
  <c r="CD481" i="1" s="1"/>
  <c r="CB480" i="1"/>
  <c r="CD480" i="1" s="1"/>
  <c r="CB479" i="1"/>
  <c r="CD479" i="1" s="1"/>
  <c r="CB478" i="1"/>
  <c r="CD478" i="1" s="1"/>
  <c r="CB477" i="1"/>
  <c r="CD477" i="1" s="1"/>
  <c r="CB476" i="1"/>
  <c r="CD476" i="1" s="1"/>
  <c r="CB475" i="1"/>
  <c r="CD475" i="1" s="1"/>
  <c r="CB474" i="1"/>
  <c r="CD474" i="1" s="1"/>
  <c r="CB473" i="1"/>
  <c r="CD473" i="1" s="1"/>
  <c r="CB472" i="1"/>
  <c r="CD472" i="1" s="1"/>
  <c r="CB471" i="1"/>
  <c r="CD471" i="1" s="1"/>
  <c r="CB470" i="1"/>
  <c r="CD470" i="1" s="1"/>
  <c r="CB469" i="1"/>
  <c r="CD469" i="1" s="1"/>
  <c r="CB468" i="1"/>
  <c r="CD468" i="1" s="1"/>
  <c r="CB467" i="1"/>
  <c r="CD467" i="1" s="1"/>
  <c r="CB466" i="1"/>
  <c r="CD466" i="1" s="1"/>
  <c r="CB465" i="1"/>
  <c r="CD465" i="1" s="1"/>
  <c r="CB464" i="1"/>
  <c r="CD464" i="1" s="1"/>
  <c r="CB463" i="1"/>
  <c r="CD463" i="1" s="1"/>
  <c r="CB462" i="1"/>
  <c r="CD462" i="1" s="1"/>
  <c r="CB461" i="1"/>
  <c r="CD461" i="1" s="1"/>
  <c r="CB460" i="1"/>
  <c r="CD460" i="1" s="1"/>
  <c r="CB459" i="1"/>
  <c r="CD459" i="1" s="1"/>
  <c r="CB458" i="1"/>
  <c r="CD458" i="1" s="1"/>
  <c r="CB457" i="1"/>
  <c r="CD457" i="1" s="1"/>
  <c r="CB456" i="1"/>
  <c r="CD456" i="1" s="1"/>
  <c r="CB455" i="1"/>
  <c r="CD455" i="1" s="1"/>
  <c r="CB454" i="1"/>
  <c r="CD454" i="1" s="1"/>
  <c r="CB453" i="1"/>
  <c r="CD453" i="1" s="1"/>
  <c r="CB452" i="1"/>
  <c r="CD452" i="1" s="1"/>
  <c r="CB451" i="1"/>
  <c r="CD451" i="1" s="1"/>
  <c r="CB450" i="1"/>
  <c r="CD450" i="1" s="1"/>
  <c r="CB449" i="1"/>
  <c r="CD449" i="1" s="1"/>
  <c r="CB448" i="1"/>
  <c r="CD448" i="1" s="1"/>
  <c r="CB447" i="1"/>
  <c r="CD447" i="1" s="1"/>
  <c r="CB446" i="1"/>
  <c r="CD446" i="1" s="1"/>
  <c r="CB445" i="1"/>
  <c r="CD445" i="1" s="1"/>
  <c r="CB444" i="1"/>
  <c r="CD444" i="1" s="1"/>
  <c r="CB443" i="1"/>
  <c r="CD443" i="1" s="1"/>
  <c r="CB442" i="1"/>
  <c r="CD442" i="1" s="1"/>
  <c r="CB441" i="1"/>
  <c r="CD441" i="1" s="1"/>
  <c r="CB440" i="1"/>
  <c r="CD440" i="1" s="1"/>
  <c r="CB439" i="1"/>
  <c r="CD439" i="1" s="1"/>
  <c r="CB438" i="1"/>
  <c r="CD438" i="1" s="1"/>
  <c r="CB437" i="1"/>
  <c r="CD437" i="1" s="1"/>
  <c r="CB436" i="1"/>
  <c r="CD436" i="1" s="1"/>
  <c r="CB435" i="1"/>
  <c r="CD435" i="1" s="1"/>
  <c r="CB434" i="1"/>
  <c r="CD434" i="1" s="1"/>
  <c r="CB433" i="1"/>
  <c r="CD433" i="1" s="1"/>
  <c r="CB432" i="1"/>
  <c r="CD432" i="1" s="1"/>
  <c r="CB431" i="1"/>
  <c r="CD431" i="1" s="1"/>
  <c r="CB430" i="1"/>
  <c r="CD430" i="1" s="1"/>
  <c r="CB429" i="1"/>
  <c r="CD429" i="1" s="1"/>
  <c r="CB428" i="1"/>
  <c r="CD428" i="1" s="1"/>
  <c r="CB427" i="1"/>
  <c r="CD427" i="1" s="1"/>
  <c r="CB426" i="1"/>
  <c r="CD426" i="1" s="1"/>
  <c r="CB425" i="1"/>
  <c r="CD425" i="1" s="1"/>
  <c r="CB424" i="1"/>
  <c r="CD424" i="1" s="1"/>
  <c r="CB423" i="1"/>
  <c r="CD423" i="1" s="1"/>
  <c r="CB422" i="1"/>
  <c r="CD422" i="1" s="1"/>
  <c r="CB421" i="1"/>
  <c r="CD421" i="1" s="1"/>
  <c r="CB420" i="1"/>
  <c r="CD420" i="1" s="1"/>
  <c r="CB419" i="1"/>
  <c r="CD419" i="1" s="1"/>
  <c r="CB418" i="1"/>
  <c r="CD418" i="1" s="1"/>
  <c r="CB417" i="1"/>
  <c r="CD417" i="1" s="1"/>
  <c r="CB416" i="1"/>
  <c r="CD416" i="1" s="1"/>
  <c r="CB415" i="1"/>
  <c r="CD415" i="1" s="1"/>
  <c r="CB414" i="1"/>
  <c r="CD414" i="1" s="1"/>
  <c r="CB413" i="1"/>
  <c r="CD413" i="1" s="1"/>
  <c r="CB412" i="1"/>
  <c r="CD412" i="1" s="1"/>
  <c r="CB411" i="1"/>
  <c r="CD411" i="1" s="1"/>
  <c r="CB410" i="1"/>
  <c r="CD410" i="1" s="1"/>
  <c r="CB409" i="1"/>
  <c r="CD409" i="1" s="1"/>
  <c r="CB408" i="1"/>
  <c r="CD408" i="1" s="1"/>
  <c r="CB407" i="1"/>
  <c r="CD407" i="1" s="1"/>
  <c r="CB406" i="1"/>
  <c r="CD406" i="1" s="1"/>
  <c r="CB405" i="1"/>
  <c r="CD405" i="1" s="1"/>
  <c r="CB404" i="1"/>
  <c r="CD404" i="1" s="1"/>
  <c r="CB403" i="1"/>
  <c r="CD403" i="1" s="1"/>
  <c r="CB402" i="1"/>
  <c r="CD402" i="1" s="1"/>
  <c r="CB401" i="1"/>
  <c r="CD401" i="1" s="1"/>
  <c r="CB400" i="1"/>
  <c r="CD400" i="1" s="1"/>
  <c r="CB399" i="1"/>
  <c r="CD399" i="1" s="1"/>
  <c r="CB398" i="1"/>
  <c r="CD398" i="1" s="1"/>
  <c r="CB397" i="1"/>
  <c r="CD397" i="1" s="1"/>
  <c r="CB396" i="1"/>
  <c r="CD396" i="1" s="1"/>
  <c r="CB395" i="1"/>
  <c r="CD395" i="1" s="1"/>
  <c r="CB394" i="1"/>
  <c r="CD394" i="1" s="1"/>
  <c r="CB393" i="1"/>
  <c r="CD393" i="1" s="1"/>
  <c r="CB392" i="1"/>
  <c r="CD392" i="1" s="1"/>
  <c r="CB391" i="1"/>
  <c r="CD391" i="1" s="1"/>
  <c r="CB390" i="1"/>
  <c r="CD390" i="1" s="1"/>
  <c r="CB389" i="1"/>
  <c r="CD389" i="1" s="1"/>
  <c r="CB388" i="1"/>
  <c r="CD388" i="1" s="1"/>
  <c r="CB387" i="1"/>
  <c r="CD387" i="1" s="1"/>
  <c r="CB386" i="1"/>
  <c r="CD386" i="1" s="1"/>
  <c r="CB385" i="1"/>
  <c r="CD385" i="1" s="1"/>
  <c r="CB384" i="1"/>
  <c r="CD384" i="1" s="1"/>
  <c r="CB383" i="1"/>
  <c r="CD383" i="1" s="1"/>
  <c r="CB382" i="1"/>
  <c r="CD382" i="1" s="1"/>
  <c r="CB381" i="1"/>
  <c r="CD381" i="1" s="1"/>
  <c r="CB380" i="1"/>
  <c r="CD380" i="1" s="1"/>
  <c r="CB379" i="1"/>
  <c r="CD379" i="1" s="1"/>
  <c r="CB378" i="1"/>
  <c r="CD378" i="1" s="1"/>
  <c r="CB377" i="1"/>
  <c r="CD377" i="1" s="1"/>
  <c r="CB376" i="1"/>
  <c r="CD376" i="1" s="1"/>
  <c r="CB375" i="1"/>
  <c r="CD375" i="1" s="1"/>
  <c r="CB374" i="1"/>
  <c r="CD374" i="1" s="1"/>
  <c r="CB373" i="1"/>
  <c r="CD373" i="1" s="1"/>
  <c r="CB372" i="1"/>
  <c r="CD372" i="1" s="1"/>
  <c r="CB371" i="1"/>
  <c r="CD371" i="1" s="1"/>
  <c r="CB370" i="1"/>
  <c r="CD370" i="1" s="1"/>
  <c r="CB369" i="1"/>
  <c r="CD369" i="1" s="1"/>
  <c r="CB368" i="1"/>
  <c r="CD368" i="1" s="1"/>
  <c r="CB367" i="1"/>
  <c r="CD367" i="1" s="1"/>
  <c r="CB366" i="1"/>
  <c r="CD366" i="1" s="1"/>
  <c r="CB365" i="1"/>
  <c r="CD365" i="1" s="1"/>
  <c r="CB364" i="1"/>
  <c r="CD364" i="1" s="1"/>
  <c r="CB363" i="1"/>
  <c r="CD363" i="1" s="1"/>
  <c r="CB362" i="1"/>
  <c r="CD362" i="1" s="1"/>
  <c r="CB361" i="1"/>
  <c r="CD361" i="1" s="1"/>
  <c r="CB360" i="1"/>
  <c r="CD360" i="1" s="1"/>
  <c r="CB359" i="1"/>
  <c r="CD359" i="1" s="1"/>
  <c r="CB358" i="1"/>
  <c r="CD358" i="1" s="1"/>
  <c r="CB357" i="1"/>
  <c r="CD357" i="1" s="1"/>
  <c r="CB356" i="1"/>
  <c r="CD356" i="1" s="1"/>
  <c r="CB355" i="1"/>
  <c r="CD355" i="1" s="1"/>
  <c r="CB354" i="1"/>
  <c r="CD354" i="1" s="1"/>
  <c r="CB353" i="1"/>
  <c r="CD353" i="1" s="1"/>
  <c r="CB352" i="1"/>
  <c r="CD352" i="1" s="1"/>
  <c r="CB351" i="1"/>
  <c r="CD351" i="1" s="1"/>
  <c r="CB350" i="1"/>
  <c r="CD350" i="1" s="1"/>
  <c r="CB349" i="1"/>
  <c r="CD349" i="1" s="1"/>
  <c r="CB348" i="1"/>
  <c r="CD348" i="1" s="1"/>
  <c r="CB347" i="1"/>
  <c r="CD347" i="1" s="1"/>
  <c r="CB346" i="1"/>
  <c r="CD346" i="1" s="1"/>
  <c r="CB345" i="1"/>
  <c r="CD345" i="1" s="1"/>
  <c r="CB344" i="1"/>
  <c r="CD344" i="1" s="1"/>
  <c r="CB343" i="1"/>
  <c r="CD343" i="1" s="1"/>
  <c r="CB342" i="1"/>
  <c r="CD342" i="1" s="1"/>
  <c r="CB341" i="1"/>
  <c r="CD341" i="1" s="1"/>
  <c r="CB340" i="1"/>
  <c r="CD340" i="1" s="1"/>
  <c r="CB339" i="1"/>
  <c r="CD339" i="1" s="1"/>
  <c r="CB338" i="1"/>
  <c r="CD338" i="1" s="1"/>
  <c r="CB337" i="1"/>
  <c r="CD337" i="1" s="1"/>
  <c r="CB336" i="1"/>
  <c r="CD336" i="1" s="1"/>
  <c r="CB335" i="1"/>
  <c r="CD335" i="1" s="1"/>
  <c r="CB334" i="1"/>
  <c r="CD334" i="1" s="1"/>
  <c r="CB333" i="1"/>
  <c r="CD333" i="1" s="1"/>
  <c r="CB332" i="1"/>
  <c r="CD332" i="1" s="1"/>
  <c r="CB331" i="1"/>
  <c r="CD331" i="1" s="1"/>
  <c r="CB330" i="1"/>
  <c r="CD330" i="1" s="1"/>
  <c r="CB329" i="1"/>
  <c r="CD329" i="1" s="1"/>
  <c r="CB328" i="1"/>
  <c r="CD328" i="1" s="1"/>
  <c r="CB327" i="1"/>
  <c r="CD327" i="1" s="1"/>
  <c r="CB326" i="1"/>
  <c r="CD326" i="1" s="1"/>
  <c r="CB325" i="1"/>
  <c r="CD325" i="1" s="1"/>
  <c r="CB324" i="1"/>
  <c r="CD324" i="1" s="1"/>
  <c r="CB323" i="1"/>
  <c r="CD323" i="1" s="1"/>
  <c r="CB322" i="1"/>
  <c r="CD322" i="1" s="1"/>
  <c r="CB321" i="1"/>
  <c r="CD321" i="1" s="1"/>
  <c r="CB320" i="1"/>
  <c r="CD320" i="1" s="1"/>
  <c r="CB319" i="1"/>
  <c r="CD319" i="1" s="1"/>
  <c r="CB318" i="1"/>
  <c r="CD318" i="1" s="1"/>
  <c r="CB317" i="1"/>
  <c r="CD317" i="1" s="1"/>
  <c r="CB316" i="1"/>
  <c r="CD316" i="1" s="1"/>
  <c r="CB315" i="1"/>
  <c r="CD315" i="1" s="1"/>
  <c r="CB314" i="1"/>
  <c r="CD314" i="1" s="1"/>
  <c r="CB313" i="1"/>
  <c r="CD313" i="1" s="1"/>
  <c r="CB312" i="1"/>
  <c r="CD312" i="1" s="1"/>
  <c r="CB311" i="1"/>
  <c r="CD311" i="1" s="1"/>
  <c r="CB310" i="1"/>
  <c r="CD310" i="1" s="1"/>
  <c r="CB309" i="1"/>
  <c r="CD309" i="1" s="1"/>
  <c r="CB308" i="1"/>
  <c r="CD308" i="1" s="1"/>
  <c r="CB307" i="1"/>
  <c r="CD307" i="1" s="1"/>
  <c r="CB306" i="1"/>
  <c r="CD306" i="1" s="1"/>
  <c r="CB305" i="1"/>
  <c r="CD305" i="1" s="1"/>
  <c r="CB304" i="1"/>
  <c r="CD304" i="1" s="1"/>
  <c r="CB303" i="1"/>
  <c r="CD303" i="1" s="1"/>
  <c r="CB302" i="1"/>
  <c r="CD302" i="1" s="1"/>
  <c r="CB301" i="1"/>
  <c r="CD301" i="1" s="1"/>
  <c r="CB300" i="1"/>
  <c r="CD300" i="1" s="1"/>
  <c r="CB299" i="1"/>
  <c r="CD299" i="1" s="1"/>
  <c r="CB298" i="1"/>
  <c r="CD298" i="1" s="1"/>
  <c r="CB297" i="1"/>
  <c r="CD297" i="1" s="1"/>
  <c r="CB296" i="1"/>
  <c r="CD296" i="1" s="1"/>
  <c r="CB295" i="1"/>
  <c r="CD295" i="1" s="1"/>
  <c r="CB294" i="1"/>
  <c r="CD294" i="1" s="1"/>
  <c r="CB293" i="1"/>
  <c r="CD293" i="1" s="1"/>
  <c r="CB292" i="1"/>
  <c r="CD292" i="1" s="1"/>
  <c r="CB291" i="1"/>
  <c r="CD291" i="1" s="1"/>
  <c r="CB290" i="1"/>
  <c r="CD290" i="1" s="1"/>
  <c r="CB289" i="1"/>
  <c r="CD289" i="1" s="1"/>
  <c r="CB288" i="1"/>
  <c r="CD288" i="1" s="1"/>
  <c r="CB287" i="1"/>
  <c r="CD287" i="1" s="1"/>
  <c r="CB286" i="1"/>
  <c r="CD286" i="1" s="1"/>
  <c r="CB285" i="1"/>
  <c r="CD285" i="1" s="1"/>
  <c r="CB284" i="1"/>
  <c r="CD284" i="1" s="1"/>
  <c r="CB283" i="1"/>
  <c r="CD283" i="1" s="1"/>
  <c r="CB282" i="1"/>
  <c r="CD282" i="1" s="1"/>
  <c r="CB281" i="1"/>
  <c r="CD281" i="1" s="1"/>
  <c r="CB280" i="1"/>
  <c r="CD280" i="1" s="1"/>
  <c r="CB279" i="1"/>
  <c r="CD279" i="1" s="1"/>
  <c r="CB278" i="1"/>
  <c r="CD278" i="1" s="1"/>
  <c r="CB277" i="1"/>
  <c r="CD277" i="1" s="1"/>
  <c r="CB276" i="1"/>
  <c r="CD276" i="1" s="1"/>
  <c r="CB275" i="1"/>
  <c r="CD275" i="1" s="1"/>
  <c r="CB274" i="1"/>
  <c r="CD274" i="1" s="1"/>
  <c r="CB273" i="1"/>
  <c r="CD273" i="1" s="1"/>
  <c r="CB272" i="1"/>
  <c r="CD272" i="1" s="1"/>
  <c r="CB271" i="1"/>
  <c r="CD271" i="1" s="1"/>
  <c r="CB270" i="1"/>
  <c r="CD270" i="1" s="1"/>
  <c r="CB269" i="1"/>
  <c r="CD269" i="1" s="1"/>
  <c r="CB268" i="1"/>
  <c r="CD268" i="1" s="1"/>
  <c r="CB267" i="1"/>
  <c r="CD267" i="1" s="1"/>
  <c r="CB266" i="1"/>
  <c r="CD266" i="1" s="1"/>
  <c r="CB265" i="1"/>
  <c r="CD265" i="1" s="1"/>
  <c r="CB264" i="1"/>
  <c r="CD264" i="1" s="1"/>
  <c r="CB263" i="1"/>
  <c r="CD263" i="1" s="1"/>
  <c r="CB262" i="1"/>
  <c r="CD262" i="1" s="1"/>
  <c r="CB261" i="1"/>
  <c r="CD261" i="1" s="1"/>
  <c r="CB260" i="1"/>
  <c r="CD260" i="1" s="1"/>
  <c r="CB259" i="1"/>
  <c r="CD259" i="1" s="1"/>
  <c r="CB258" i="1"/>
  <c r="CD258" i="1" s="1"/>
  <c r="CB257" i="1"/>
  <c r="CD257" i="1" s="1"/>
  <c r="CB256" i="1"/>
  <c r="CD256" i="1" s="1"/>
  <c r="CB255" i="1"/>
  <c r="CD255" i="1" s="1"/>
  <c r="CB254" i="1"/>
  <c r="CD254" i="1" s="1"/>
  <c r="CB253" i="1"/>
  <c r="CD253" i="1" s="1"/>
  <c r="CB252" i="1"/>
  <c r="CD252" i="1" s="1"/>
  <c r="CB251" i="1"/>
  <c r="CD251" i="1" s="1"/>
  <c r="CB250" i="1"/>
  <c r="CD250" i="1" s="1"/>
  <c r="CB249" i="1"/>
  <c r="CD249" i="1" s="1"/>
  <c r="CB248" i="1"/>
  <c r="CD248" i="1" s="1"/>
  <c r="CB247" i="1"/>
  <c r="CD247" i="1" s="1"/>
  <c r="CB246" i="1"/>
  <c r="CD246" i="1" s="1"/>
  <c r="CB245" i="1"/>
  <c r="CD245" i="1" s="1"/>
  <c r="CB244" i="1"/>
  <c r="CD244" i="1" s="1"/>
  <c r="CB243" i="1"/>
  <c r="CD243" i="1" s="1"/>
  <c r="CB242" i="1"/>
  <c r="CD242" i="1" s="1"/>
  <c r="CB241" i="1"/>
  <c r="CD241" i="1" s="1"/>
  <c r="CB240" i="1"/>
  <c r="CD240" i="1" s="1"/>
  <c r="CB239" i="1"/>
  <c r="CD239" i="1" s="1"/>
  <c r="CB238" i="1"/>
  <c r="CD238" i="1" s="1"/>
  <c r="CB237" i="1"/>
  <c r="CD237" i="1" s="1"/>
  <c r="CB236" i="1"/>
  <c r="CD236" i="1" s="1"/>
  <c r="CB235" i="1"/>
  <c r="CD235" i="1" s="1"/>
  <c r="CB234" i="1"/>
  <c r="CD234" i="1" s="1"/>
  <c r="CB233" i="1"/>
  <c r="CD233" i="1" s="1"/>
  <c r="CB232" i="1"/>
  <c r="CD232" i="1" s="1"/>
  <c r="CB231" i="1"/>
  <c r="CD231" i="1" s="1"/>
  <c r="CB230" i="1"/>
  <c r="CD230" i="1" s="1"/>
  <c r="CB229" i="1"/>
  <c r="CD229" i="1" s="1"/>
  <c r="CB228" i="1"/>
  <c r="CD228" i="1" s="1"/>
  <c r="CB227" i="1"/>
  <c r="CD227" i="1" s="1"/>
  <c r="CB226" i="1"/>
  <c r="CD226" i="1" s="1"/>
  <c r="CB225" i="1"/>
  <c r="CD225" i="1" s="1"/>
  <c r="CB224" i="1"/>
  <c r="CD224" i="1" s="1"/>
  <c r="CB223" i="1"/>
  <c r="CD223" i="1" s="1"/>
  <c r="CB222" i="1"/>
  <c r="CD222" i="1" s="1"/>
  <c r="CB221" i="1"/>
  <c r="CD221" i="1" s="1"/>
  <c r="CB220" i="1"/>
  <c r="CD220" i="1" s="1"/>
  <c r="CB219" i="1"/>
  <c r="CD219" i="1" s="1"/>
  <c r="CB218" i="1"/>
  <c r="CD218" i="1" s="1"/>
  <c r="CB217" i="1"/>
  <c r="CD217" i="1" s="1"/>
  <c r="CB216" i="1"/>
  <c r="CD216" i="1" s="1"/>
  <c r="CB215" i="1"/>
  <c r="CD215" i="1" s="1"/>
  <c r="CB214" i="1"/>
  <c r="CD214" i="1" s="1"/>
  <c r="CB213" i="1"/>
  <c r="CD213" i="1" s="1"/>
  <c r="CB212" i="1"/>
  <c r="CD212" i="1" s="1"/>
  <c r="CB211" i="1"/>
  <c r="CD211" i="1" s="1"/>
  <c r="CB210" i="1"/>
  <c r="CD210" i="1" s="1"/>
  <c r="CB209" i="1"/>
  <c r="CD209" i="1" s="1"/>
  <c r="CB208" i="1"/>
  <c r="CD208" i="1" s="1"/>
  <c r="CB207" i="1"/>
  <c r="CD207" i="1" s="1"/>
  <c r="CB206" i="1"/>
  <c r="CD206" i="1" s="1"/>
  <c r="CB205" i="1"/>
  <c r="CD205" i="1" s="1"/>
  <c r="CB204" i="1"/>
  <c r="CD204" i="1" s="1"/>
  <c r="CB203" i="1"/>
  <c r="CD203" i="1" s="1"/>
  <c r="CB202" i="1"/>
  <c r="CD202" i="1" s="1"/>
  <c r="CB201" i="1"/>
  <c r="CD201" i="1" s="1"/>
  <c r="CB200" i="1"/>
  <c r="CD200" i="1" s="1"/>
  <c r="CB199" i="1"/>
  <c r="CD199" i="1" s="1"/>
  <c r="CB198" i="1"/>
  <c r="CD198" i="1" s="1"/>
  <c r="CB197" i="1"/>
  <c r="CD197" i="1" s="1"/>
  <c r="CB196" i="1"/>
  <c r="CD196" i="1" s="1"/>
  <c r="CB195" i="1"/>
  <c r="CD195" i="1" s="1"/>
  <c r="CB194" i="1"/>
  <c r="CD194" i="1" s="1"/>
  <c r="CB193" i="1"/>
  <c r="CD193" i="1" s="1"/>
  <c r="CB192" i="1"/>
  <c r="CD192" i="1" s="1"/>
  <c r="CB191" i="1"/>
  <c r="CD191" i="1" s="1"/>
  <c r="CB190" i="1"/>
  <c r="CD190" i="1" s="1"/>
  <c r="CB189" i="1"/>
  <c r="CD189" i="1" s="1"/>
  <c r="CB188" i="1"/>
  <c r="CD188" i="1" s="1"/>
  <c r="CB187" i="1"/>
  <c r="CD187" i="1" s="1"/>
  <c r="CB186" i="1"/>
  <c r="CD186" i="1" s="1"/>
  <c r="CB185" i="1"/>
  <c r="CD185" i="1" s="1"/>
  <c r="CB184" i="1"/>
  <c r="CD184" i="1" s="1"/>
  <c r="CB183" i="1"/>
  <c r="CD183" i="1" s="1"/>
  <c r="CB182" i="1"/>
  <c r="CD182" i="1" s="1"/>
  <c r="CB181" i="1"/>
  <c r="CD181" i="1" s="1"/>
  <c r="CB180" i="1"/>
  <c r="CD180" i="1" s="1"/>
  <c r="CB179" i="1"/>
  <c r="CD179" i="1" s="1"/>
  <c r="CB178" i="1"/>
  <c r="CD178" i="1" s="1"/>
  <c r="CB177" i="1"/>
  <c r="CD177" i="1" s="1"/>
  <c r="CB176" i="1"/>
  <c r="CD176" i="1" s="1"/>
  <c r="CB175" i="1"/>
  <c r="CD175" i="1" s="1"/>
  <c r="CB174" i="1"/>
  <c r="CD174" i="1" s="1"/>
  <c r="CB173" i="1"/>
  <c r="CD173" i="1" s="1"/>
  <c r="CB172" i="1"/>
  <c r="CD172" i="1" s="1"/>
  <c r="CB171" i="1"/>
  <c r="CD171" i="1" s="1"/>
  <c r="CB170" i="1"/>
  <c r="CD170" i="1" s="1"/>
  <c r="CB169" i="1"/>
  <c r="CD169" i="1" s="1"/>
  <c r="CB168" i="1"/>
  <c r="CD168" i="1" s="1"/>
  <c r="CB167" i="1"/>
  <c r="CD167" i="1" s="1"/>
  <c r="CB166" i="1"/>
  <c r="CD166" i="1" s="1"/>
  <c r="CB165" i="1"/>
  <c r="CD165" i="1" s="1"/>
  <c r="CB164" i="1"/>
  <c r="CD164" i="1" s="1"/>
  <c r="CB163" i="1"/>
  <c r="CD163" i="1" s="1"/>
  <c r="CB162" i="1"/>
  <c r="CD162" i="1" s="1"/>
  <c r="CB161" i="1"/>
  <c r="CD161" i="1" s="1"/>
  <c r="CB160" i="1"/>
  <c r="CD160" i="1" s="1"/>
  <c r="CB159" i="1"/>
  <c r="CD159" i="1" s="1"/>
  <c r="CB158" i="1"/>
  <c r="CD158" i="1" s="1"/>
  <c r="CB157" i="1"/>
  <c r="CD157" i="1" s="1"/>
  <c r="CB156" i="1"/>
  <c r="CD156" i="1" s="1"/>
  <c r="CB155" i="1"/>
  <c r="CD155" i="1" s="1"/>
  <c r="CB154" i="1"/>
  <c r="CD154" i="1" s="1"/>
  <c r="CB153" i="1"/>
  <c r="CD153" i="1" s="1"/>
  <c r="CB152" i="1"/>
  <c r="CD152" i="1" s="1"/>
  <c r="CB151" i="1"/>
  <c r="CD151" i="1" s="1"/>
  <c r="CB150" i="1"/>
  <c r="CD150" i="1" s="1"/>
  <c r="CB149" i="1"/>
  <c r="CD149" i="1" s="1"/>
  <c r="CB148" i="1"/>
  <c r="CD148" i="1" s="1"/>
  <c r="CB147" i="1"/>
  <c r="CD147" i="1" s="1"/>
  <c r="CB146" i="1"/>
  <c r="CD146" i="1" s="1"/>
  <c r="CB145" i="1"/>
  <c r="CD145" i="1" s="1"/>
  <c r="CB144" i="1"/>
  <c r="CD144" i="1" s="1"/>
  <c r="CB143" i="1"/>
  <c r="CD143" i="1" s="1"/>
  <c r="CB142" i="1"/>
  <c r="CD142" i="1" s="1"/>
  <c r="CB141" i="1"/>
  <c r="CD141" i="1" s="1"/>
  <c r="CB140" i="1"/>
  <c r="CD140" i="1" s="1"/>
  <c r="CB139" i="1"/>
  <c r="CD139" i="1" s="1"/>
  <c r="CB138" i="1"/>
  <c r="CD138" i="1" s="1"/>
  <c r="CB137" i="1"/>
  <c r="CD137" i="1" s="1"/>
  <c r="CB136" i="1"/>
  <c r="CD136" i="1" s="1"/>
  <c r="CB135" i="1"/>
  <c r="CD135" i="1" s="1"/>
  <c r="CB134" i="1"/>
  <c r="CD134" i="1" s="1"/>
  <c r="CB133" i="1"/>
  <c r="CD133" i="1" s="1"/>
  <c r="CB132" i="1"/>
  <c r="CD132" i="1" s="1"/>
  <c r="CB131" i="1"/>
  <c r="CD131" i="1" s="1"/>
  <c r="CB130" i="1"/>
  <c r="CD130" i="1" s="1"/>
  <c r="CB129" i="1"/>
  <c r="CD129" i="1" s="1"/>
  <c r="CB128" i="1"/>
  <c r="CD128" i="1" s="1"/>
  <c r="CB127" i="1"/>
  <c r="CD127" i="1" s="1"/>
  <c r="CB126" i="1"/>
  <c r="CD126" i="1" s="1"/>
  <c r="CB125" i="1"/>
  <c r="CD125" i="1" s="1"/>
  <c r="CB124" i="1"/>
  <c r="CD124" i="1" s="1"/>
  <c r="CB123" i="1"/>
  <c r="CD123" i="1" s="1"/>
  <c r="CB122" i="1"/>
  <c r="CD122" i="1" s="1"/>
  <c r="CB121" i="1"/>
  <c r="CD121" i="1" s="1"/>
  <c r="CB120" i="1"/>
  <c r="CD120" i="1" s="1"/>
  <c r="CB119" i="1"/>
  <c r="CD119" i="1" s="1"/>
  <c r="CB118" i="1"/>
  <c r="CD118" i="1" s="1"/>
  <c r="CB117" i="1"/>
  <c r="CD117" i="1" s="1"/>
  <c r="CB116" i="1"/>
  <c r="CD116" i="1" s="1"/>
  <c r="CB115" i="1"/>
  <c r="CD115" i="1" s="1"/>
  <c r="CB114" i="1"/>
  <c r="CD114" i="1" s="1"/>
  <c r="CB113" i="1"/>
  <c r="CD113" i="1" s="1"/>
  <c r="CB112" i="1"/>
  <c r="CD112" i="1" s="1"/>
  <c r="CB111" i="1"/>
  <c r="CD111" i="1" s="1"/>
  <c r="CB110" i="1"/>
  <c r="CD110" i="1" s="1"/>
  <c r="CB109" i="1"/>
  <c r="CD109" i="1" s="1"/>
  <c r="CB108" i="1"/>
  <c r="CD108" i="1" s="1"/>
  <c r="CB107" i="1"/>
  <c r="CD107" i="1" s="1"/>
  <c r="CB106" i="1"/>
  <c r="CD106" i="1" s="1"/>
  <c r="CB105" i="1"/>
  <c r="CD105" i="1" s="1"/>
  <c r="CB104" i="1"/>
  <c r="CD104" i="1" s="1"/>
  <c r="CB103" i="1"/>
  <c r="CD103" i="1" s="1"/>
  <c r="CB102" i="1"/>
  <c r="CD102" i="1" s="1"/>
  <c r="CB101" i="1"/>
  <c r="CD101" i="1" s="1"/>
  <c r="CB100" i="1"/>
  <c r="CD100" i="1" s="1"/>
  <c r="CB99" i="1"/>
  <c r="CD99" i="1" s="1"/>
  <c r="CB98" i="1"/>
  <c r="CD98" i="1" s="1"/>
  <c r="CB97" i="1"/>
  <c r="CD97" i="1" s="1"/>
  <c r="CB96" i="1"/>
  <c r="CD96" i="1" s="1"/>
  <c r="CB95" i="1"/>
  <c r="CD95" i="1" s="1"/>
  <c r="CB94" i="1"/>
  <c r="CD94" i="1" s="1"/>
  <c r="CB93" i="1"/>
  <c r="CD93" i="1" s="1"/>
  <c r="CB92" i="1"/>
  <c r="CD92" i="1" s="1"/>
  <c r="CB91" i="1"/>
  <c r="CD91" i="1" s="1"/>
  <c r="CB90" i="1"/>
  <c r="CD90" i="1" s="1"/>
  <c r="CB89" i="1"/>
  <c r="CD89" i="1" s="1"/>
  <c r="CB88" i="1"/>
  <c r="CD88" i="1" s="1"/>
  <c r="CB87" i="1"/>
  <c r="CD87" i="1" s="1"/>
  <c r="CB86" i="1"/>
  <c r="CD86" i="1" s="1"/>
  <c r="CB85" i="1"/>
  <c r="CD85" i="1" s="1"/>
  <c r="CB84" i="1"/>
  <c r="CD84" i="1" s="1"/>
  <c r="CB83" i="1"/>
  <c r="CD83" i="1" s="1"/>
  <c r="CB82" i="1"/>
  <c r="CD82" i="1" s="1"/>
  <c r="CB81" i="1"/>
  <c r="CD81" i="1" s="1"/>
  <c r="CB80" i="1"/>
  <c r="CD80" i="1" s="1"/>
  <c r="CB79" i="1"/>
  <c r="CD79" i="1" s="1"/>
  <c r="CB78" i="1"/>
  <c r="CD78" i="1" s="1"/>
  <c r="CB77" i="1"/>
  <c r="CD77" i="1" s="1"/>
  <c r="CB76" i="1"/>
  <c r="CD76" i="1" s="1"/>
  <c r="CB75" i="1"/>
  <c r="CD75" i="1" s="1"/>
  <c r="CB74" i="1"/>
  <c r="CD74" i="1" s="1"/>
  <c r="CB73" i="1"/>
  <c r="CD73" i="1" s="1"/>
  <c r="CB72" i="1"/>
  <c r="CD72" i="1" s="1"/>
  <c r="CB71" i="1"/>
  <c r="CD71" i="1" s="1"/>
  <c r="CB70" i="1"/>
  <c r="CD70" i="1" s="1"/>
  <c r="CB69" i="1"/>
  <c r="CD69" i="1" s="1"/>
  <c r="CB68" i="1"/>
  <c r="CD68" i="1" s="1"/>
  <c r="CB67" i="1"/>
  <c r="CD67" i="1" s="1"/>
  <c r="CB66" i="1"/>
  <c r="CD66" i="1" s="1"/>
  <c r="CB65" i="1"/>
  <c r="CD65" i="1" s="1"/>
  <c r="CB64" i="1"/>
  <c r="CD64" i="1" s="1"/>
  <c r="CB63" i="1"/>
  <c r="CD63" i="1" s="1"/>
  <c r="CB62" i="1"/>
  <c r="CD62" i="1" s="1"/>
  <c r="CB61" i="1"/>
  <c r="CD61" i="1" s="1"/>
  <c r="CB60" i="1"/>
  <c r="CD60" i="1" s="1"/>
  <c r="CB59" i="1"/>
  <c r="CD59" i="1" s="1"/>
  <c r="CB58" i="1"/>
  <c r="CD58" i="1" s="1"/>
  <c r="CB57" i="1"/>
  <c r="CD57" i="1" s="1"/>
  <c r="CB56" i="1"/>
  <c r="CD56" i="1" s="1"/>
  <c r="CB55" i="1"/>
  <c r="CD55" i="1" s="1"/>
  <c r="CB54" i="1"/>
  <c r="CD54" i="1" s="1"/>
  <c r="CB53" i="1"/>
  <c r="CD53" i="1" s="1"/>
  <c r="CB52" i="1"/>
  <c r="CD52" i="1" s="1"/>
  <c r="CB51" i="1"/>
  <c r="CD51" i="1" s="1"/>
  <c r="CB50" i="1"/>
  <c r="CD50" i="1" s="1"/>
  <c r="CB49" i="1"/>
  <c r="CD49" i="1" s="1"/>
  <c r="CB48" i="1"/>
  <c r="CD48" i="1" s="1"/>
  <c r="CB47" i="1"/>
  <c r="CD47" i="1" s="1"/>
  <c r="CB46" i="1"/>
  <c r="CD46" i="1" s="1"/>
  <c r="CB45" i="1"/>
  <c r="CD45" i="1" s="1"/>
  <c r="CB44" i="1"/>
  <c r="CD44" i="1" s="1"/>
  <c r="BW1011" i="1"/>
  <c r="BW1010" i="1"/>
  <c r="BW1009" i="1"/>
  <c r="BW1008" i="1"/>
  <c r="BW1007" i="1"/>
  <c r="BW1006" i="1"/>
  <c r="BW1005" i="1"/>
  <c r="BW1004" i="1"/>
  <c r="BW1003" i="1"/>
  <c r="BW1002" i="1"/>
  <c r="BW1001" i="1"/>
  <c r="BW1000" i="1"/>
  <c r="BW999" i="1"/>
  <c r="BW998" i="1"/>
  <c r="BW997" i="1"/>
  <c r="BW996" i="1"/>
  <c r="BW995" i="1"/>
  <c r="BW994" i="1"/>
  <c r="BW993" i="1"/>
  <c r="BW992" i="1"/>
  <c r="BW991" i="1"/>
  <c r="BW990" i="1"/>
  <c r="BW989" i="1"/>
  <c r="BW988" i="1"/>
  <c r="BW987" i="1"/>
  <c r="BV987" i="1" s="1"/>
  <c r="BW986" i="1"/>
  <c r="BV986" i="1" s="1"/>
  <c r="BW985" i="1"/>
  <c r="BV985" i="1" s="1"/>
  <c r="BW984" i="1"/>
  <c r="BV984" i="1" s="1"/>
  <c r="BW983" i="1"/>
  <c r="BV983" i="1" s="1"/>
  <c r="BW982" i="1"/>
  <c r="BV982" i="1" s="1"/>
  <c r="BW981" i="1"/>
  <c r="BV981" i="1" s="1"/>
  <c r="BW980" i="1"/>
  <c r="BV980" i="1" s="1"/>
  <c r="BW979" i="1"/>
  <c r="BV979" i="1" s="1"/>
  <c r="BW978" i="1"/>
  <c r="BV978" i="1" s="1"/>
  <c r="BW977" i="1"/>
  <c r="BV977" i="1" s="1"/>
  <c r="BW976" i="1"/>
  <c r="BV976" i="1" s="1"/>
  <c r="BW975" i="1"/>
  <c r="BV975" i="1" s="1"/>
  <c r="BW974" i="1"/>
  <c r="BV974" i="1" s="1"/>
  <c r="BW973" i="1"/>
  <c r="BV973" i="1" s="1"/>
  <c r="BW972" i="1"/>
  <c r="BV972" i="1" s="1"/>
  <c r="BW971" i="1"/>
  <c r="BV971" i="1" s="1"/>
  <c r="BW970" i="1"/>
  <c r="BV970" i="1" s="1"/>
  <c r="BW969" i="1"/>
  <c r="BV969" i="1" s="1"/>
  <c r="BW968" i="1"/>
  <c r="BV968" i="1" s="1"/>
  <c r="BW967" i="1"/>
  <c r="BV967" i="1" s="1"/>
  <c r="BW966" i="1"/>
  <c r="BV966" i="1" s="1"/>
  <c r="BW965" i="1"/>
  <c r="BV965" i="1" s="1"/>
  <c r="BW964" i="1"/>
  <c r="BV964" i="1" s="1"/>
  <c r="BW963" i="1"/>
  <c r="BV963" i="1" s="1"/>
  <c r="BW962" i="1"/>
  <c r="BV962" i="1" s="1"/>
  <c r="BW961" i="1"/>
  <c r="BV961" i="1" s="1"/>
  <c r="BW960" i="1"/>
  <c r="BV960" i="1" s="1"/>
  <c r="BW959" i="1"/>
  <c r="BV959" i="1" s="1"/>
  <c r="BW958" i="1"/>
  <c r="BV958" i="1" s="1"/>
  <c r="BW957" i="1"/>
  <c r="BV957" i="1" s="1"/>
  <c r="BW956" i="1"/>
  <c r="BV956" i="1" s="1"/>
  <c r="BW955" i="1"/>
  <c r="BV955" i="1" s="1"/>
  <c r="BW954" i="1"/>
  <c r="BV954" i="1" s="1"/>
  <c r="BW953" i="1"/>
  <c r="BV953" i="1" s="1"/>
  <c r="BW952" i="1"/>
  <c r="BV952" i="1" s="1"/>
  <c r="BW951" i="1"/>
  <c r="BV951" i="1" s="1"/>
  <c r="BW950" i="1"/>
  <c r="BV950" i="1" s="1"/>
  <c r="BW949" i="1"/>
  <c r="BV949" i="1" s="1"/>
  <c r="BW948" i="1"/>
  <c r="BV948" i="1" s="1"/>
  <c r="BW947" i="1"/>
  <c r="BV947" i="1" s="1"/>
  <c r="BW946" i="1"/>
  <c r="BV946" i="1" s="1"/>
  <c r="BW945" i="1"/>
  <c r="BV945" i="1" s="1"/>
  <c r="BW944" i="1"/>
  <c r="BV944" i="1" s="1"/>
  <c r="BW943" i="1"/>
  <c r="BV943" i="1" s="1"/>
  <c r="BW942" i="1"/>
  <c r="BV942" i="1" s="1"/>
  <c r="BW941" i="1"/>
  <c r="BV941" i="1" s="1"/>
  <c r="BW940" i="1"/>
  <c r="BV940" i="1" s="1"/>
  <c r="BW939" i="1"/>
  <c r="BV939" i="1" s="1"/>
  <c r="BW938" i="1"/>
  <c r="BV938" i="1" s="1"/>
  <c r="BW937" i="1"/>
  <c r="BV937" i="1" s="1"/>
  <c r="BW936" i="1"/>
  <c r="BV936" i="1" s="1"/>
  <c r="BW935" i="1"/>
  <c r="BV935" i="1" s="1"/>
  <c r="BW934" i="1"/>
  <c r="BV934" i="1" s="1"/>
  <c r="BW933" i="1"/>
  <c r="BV933" i="1" s="1"/>
  <c r="BW932" i="1"/>
  <c r="BV932" i="1" s="1"/>
  <c r="BW931" i="1"/>
  <c r="BV931" i="1" s="1"/>
  <c r="BW930" i="1"/>
  <c r="BV930" i="1" s="1"/>
  <c r="BW929" i="1"/>
  <c r="BV929" i="1" s="1"/>
  <c r="BW928" i="1"/>
  <c r="BV928" i="1" s="1"/>
  <c r="BW927" i="1"/>
  <c r="BV927" i="1" s="1"/>
  <c r="BW926" i="1"/>
  <c r="BV926" i="1" s="1"/>
  <c r="BW925" i="1"/>
  <c r="BV925" i="1" s="1"/>
  <c r="BW924" i="1"/>
  <c r="BV924" i="1" s="1"/>
  <c r="BW923" i="1"/>
  <c r="BV923" i="1" s="1"/>
  <c r="BW922" i="1"/>
  <c r="BV922" i="1" s="1"/>
  <c r="BW921" i="1"/>
  <c r="BV921" i="1" s="1"/>
  <c r="BW920" i="1"/>
  <c r="BV920" i="1" s="1"/>
  <c r="BW919" i="1"/>
  <c r="BV919" i="1" s="1"/>
  <c r="BW918" i="1"/>
  <c r="BV918" i="1" s="1"/>
  <c r="BW917" i="1"/>
  <c r="BV917" i="1" s="1"/>
  <c r="BW916" i="1"/>
  <c r="BV916" i="1" s="1"/>
  <c r="BW915" i="1"/>
  <c r="BV915" i="1" s="1"/>
  <c r="BW914" i="1"/>
  <c r="BV914" i="1" s="1"/>
  <c r="BW913" i="1"/>
  <c r="BV913" i="1" s="1"/>
  <c r="BW912" i="1"/>
  <c r="BV912" i="1" s="1"/>
  <c r="BW911" i="1"/>
  <c r="BV911" i="1" s="1"/>
  <c r="BW910" i="1"/>
  <c r="BV910" i="1" s="1"/>
  <c r="BW909" i="1"/>
  <c r="BV909" i="1" s="1"/>
  <c r="BW908" i="1"/>
  <c r="BV908" i="1" s="1"/>
  <c r="BW907" i="1"/>
  <c r="BV907" i="1" s="1"/>
  <c r="BW906" i="1"/>
  <c r="BV906" i="1" s="1"/>
  <c r="BW905" i="1"/>
  <c r="BV905" i="1" s="1"/>
  <c r="BW904" i="1"/>
  <c r="BV904" i="1" s="1"/>
  <c r="BW903" i="1"/>
  <c r="BV903" i="1" s="1"/>
  <c r="BW902" i="1"/>
  <c r="BV902" i="1" s="1"/>
  <c r="BW901" i="1"/>
  <c r="BV901" i="1" s="1"/>
  <c r="BW900" i="1"/>
  <c r="BV900" i="1" s="1"/>
  <c r="BW899" i="1"/>
  <c r="BV899" i="1" s="1"/>
  <c r="BW898" i="1"/>
  <c r="BV898" i="1" s="1"/>
  <c r="BW897" i="1"/>
  <c r="BV897" i="1" s="1"/>
  <c r="BW896" i="1"/>
  <c r="BV896" i="1" s="1"/>
  <c r="BW895" i="1"/>
  <c r="BV895" i="1" s="1"/>
  <c r="BW894" i="1"/>
  <c r="BV894" i="1" s="1"/>
  <c r="BW893" i="1"/>
  <c r="BV893" i="1" s="1"/>
  <c r="BW892" i="1"/>
  <c r="BV892" i="1" s="1"/>
  <c r="BW891" i="1"/>
  <c r="BV891" i="1" s="1"/>
  <c r="BW890" i="1"/>
  <c r="BV890" i="1" s="1"/>
  <c r="BW889" i="1"/>
  <c r="BV889" i="1" s="1"/>
  <c r="BW888" i="1"/>
  <c r="BV888" i="1" s="1"/>
  <c r="BW887" i="1"/>
  <c r="BV887" i="1" s="1"/>
  <c r="BW886" i="1"/>
  <c r="BV886" i="1" s="1"/>
  <c r="BW885" i="1"/>
  <c r="BV885" i="1" s="1"/>
  <c r="BW884" i="1"/>
  <c r="BV884" i="1" s="1"/>
  <c r="BW883" i="1"/>
  <c r="BV883" i="1" s="1"/>
  <c r="BW882" i="1"/>
  <c r="BV882" i="1" s="1"/>
  <c r="BW881" i="1"/>
  <c r="BV881" i="1" s="1"/>
  <c r="BW880" i="1"/>
  <c r="BV880" i="1" s="1"/>
  <c r="BW879" i="1"/>
  <c r="BV879" i="1" s="1"/>
  <c r="BW878" i="1"/>
  <c r="BV878" i="1" s="1"/>
  <c r="BW877" i="1"/>
  <c r="BV877" i="1" s="1"/>
  <c r="BW876" i="1"/>
  <c r="BV876" i="1" s="1"/>
  <c r="BW875" i="1"/>
  <c r="BV875" i="1" s="1"/>
  <c r="BW874" i="1"/>
  <c r="BV874" i="1" s="1"/>
  <c r="BW873" i="1"/>
  <c r="BV873" i="1" s="1"/>
  <c r="BW872" i="1"/>
  <c r="BV872" i="1" s="1"/>
  <c r="BW871" i="1"/>
  <c r="BV871" i="1" s="1"/>
  <c r="BW870" i="1"/>
  <c r="BV870" i="1" s="1"/>
  <c r="BW869" i="1"/>
  <c r="BV869" i="1" s="1"/>
  <c r="BW868" i="1"/>
  <c r="BV868" i="1" s="1"/>
  <c r="BW867" i="1"/>
  <c r="BV867" i="1" s="1"/>
  <c r="BW866" i="1"/>
  <c r="BV866" i="1" s="1"/>
  <c r="BW865" i="1"/>
  <c r="BV865" i="1" s="1"/>
  <c r="BW864" i="1"/>
  <c r="BV864" i="1" s="1"/>
  <c r="BW863" i="1"/>
  <c r="BV863" i="1" s="1"/>
  <c r="BW862" i="1"/>
  <c r="BV862" i="1" s="1"/>
  <c r="BW861" i="1"/>
  <c r="BV861" i="1" s="1"/>
  <c r="BW860" i="1"/>
  <c r="BV860" i="1" s="1"/>
  <c r="BW859" i="1"/>
  <c r="BV859" i="1" s="1"/>
  <c r="BW858" i="1"/>
  <c r="BV858" i="1" s="1"/>
  <c r="BW857" i="1"/>
  <c r="BV857" i="1" s="1"/>
  <c r="BW856" i="1"/>
  <c r="BV856" i="1" s="1"/>
  <c r="BW855" i="1"/>
  <c r="BV855" i="1" s="1"/>
  <c r="BW854" i="1"/>
  <c r="BV854" i="1" s="1"/>
  <c r="BW853" i="1"/>
  <c r="BV853" i="1" s="1"/>
  <c r="BW852" i="1"/>
  <c r="BV852" i="1" s="1"/>
  <c r="BW851" i="1"/>
  <c r="BV851" i="1" s="1"/>
  <c r="BW850" i="1"/>
  <c r="BV850" i="1" s="1"/>
  <c r="BW849" i="1"/>
  <c r="BV849" i="1" s="1"/>
  <c r="BW848" i="1"/>
  <c r="BV848" i="1" s="1"/>
  <c r="BW847" i="1"/>
  <c r="BV847" i="1" s="1"/>
  <c r="BW846" i="1"/>
  <c r="BV846" i="1" s="1"/>
  <c r="BW845" i="1"/>
  <c r="BV845" i="1" s="1"/>
  <c r="BW844" i="1"/>
  <c r="BV844" i="1" s="1"/>
  <c r="BW843" i="1"/>
  <c r="BV843" i="1" s="1"/>
  <c r="BW842" i="1"/>
  <c r="BV842" i="1" s="1"/>
  <c r="BW841" i="1"/>
  <c r="BV841" i="1" s="1"/>
  <c r="BW840" i="1"/>
  <c r="BV840" i="1" s="1"/>
  <c r="BW839" i="1"/>
  <c r="BV839" i="1" s="1"/>
  <c r="BW838" i="1"/>
  <c r="BV838" i="1" s="1"/>
  <c r="BW837" i="1"/>
  <c r="BV837" i="1" s="1"/>
  <c r="BW836" i="1"/>
  <c r="BV836" i="1" s="1"/>
  <c r="BW835" i="1"/>
  <c r="BV835" i="1" s="1"/>
  <c r="BW834" i="1"/>
  <c r="BV834" i="1" s="1"/>
  <c r="BW833" i="1"/>
  <c r="BV833" i="1" s="1"/>
  <c r="BW832" i="1"/>
  <c r="BV832" i="1" s="1"/>
  <c r="BW831" i="1"/>
  <c r="BV831" i="1" s="1"/>
  <c r="BW830" i="1"/>
  <c r="BV830" i="1" s="1"/>
  <c r="BW829" i="1"/>
  <c r="BV829" i="1" s="1"/>
  <c r="BW828" i="1"/>
  <c r="BV828" i="1" s="1"/>
  <c r="BW827" i="1"/>
  <c r="BV827" i="1" s="1"/>
  <c r="BW826" i="1"/>
  <c r="BV826" i="1" s="1"/>
  <c r="BW825" i="1"/>
  <c r="BV825" i="1" s="1"/>
  <c r="BW824" i="1"/>
  <c r="BV824" i="1" s="1"/>
  <c r="BW823" i="1"/>
  <c r="BV823" i="1" s="1"/>
  <c r="BW822" i="1"/>
  <c r="BV822" i="1" s="1"/>
  <c r="BW821" i="1"/>
  <c r="BV821" i="1" s="1"/>
  <c r="BW820" i="1"/>
  <c r="BV820" i="1" s="1"/>
  <c r="BW819" i="1"/>
  <c r="BV819" i="1" s="1"/>
  <c r="BW818" i="1"/>
  <c r="BV818" i="1" s="1"/>
  <c r="BW817" i="1"/>
  <c r="BV817" i="1" s="1"/>
  <c r="BW816" i="1"/>
  <c r="BV816" i="1" s="1"/>
  <c r="BW815" i="1"/>
  <c r="BV815" i="1" s="1"/>
  <c r="BW814" i="1"/>
  <c r="BV814" i="1" s="1"/>
  <c r="BW813" i="1"/>
  <c r="BV813" i="1" s="1"/>
  <c r="BW812" i="1"/>
  <c r="BV812" i="1" s="1"/>
  <c r="BW811" i="1"/>
  <c r="BV811" i="1" s="1"/>
  <c r="BW810" i="1"/>
  <c r="BV810" i="1" s="1"/>
  <c r="BW809" i="1"/>
  <c r="BV809" i="1" s="1"/>
  <c r="BW808" i="1"/>
  <c r="BV808" i="1" s="1"/>
  <c r="BW807" i="1"/>
  <c r="BV807" i="1" s="1"/>
  <c r="BW806" i="1"/>
  <c r="BV806" i="1" s="1"/>
  <c r="BW805" i="1"/>
  <c r="BV805" i="1" s="1"/>
  <c r="BW804" i="1"/>
  <c r="BV804" i="1" s="1"/>
  <c r="BW803" i="1"/>
  <c r="BV803" i="1" s="1"/>
  <c r="BW802" i="1"/>
  <c r="BV802" i="1" s="1"/>
  <c r="BW801" i="1"/>
  <c r="BV801" i="1" s="1"/>
  <c r="BW800" i="1"/>
  <c r="BV800" i="1" s="1"/>
  <c r="BW799" i="1"/>
  <c r="BV799" i="1" s="1"/>
  <c r="BW798" i="1"/>
  <c r="BV798" i="1" s="1"/>
  <c r="BW797" i="1"/>
  <c r="BV797" i="1" s="1"/>
  <c r="BW796" i="1"/>
  <c r="BV796" i="1" s="1"/>
  <c r="BW795" i="1"/>
  <c r="BV795" i="1" s="1"/>
  <c r="BW794" i="1"/>
  <c r="BV794" i="1" s="1"/>
  <c r="BW793" i="1"/>
  <c r="BV793" i="1" s="1"/>
  <c r="BW792" i="1"/>
  <c r="BV792" i="1" s="1"/>
  <c r="BW791" i="1"/>
  <c r="BV791" i="1" s="1"/>
  <c r="BW790" i="1"/>
  <c r="BV790" i="1" s="1"/>
  <c r="BW789" i="1"/>
  <c r="BV789" i="1" s="1"/>
  <c r="BW788" i="1"/>
  <c r="BV788" i="1" s="1"/>
  <c r="BW787" i="1"/>
  <c r="BV787" i="1" s="1"/>
  <c r="BW786" i="1"/>
  <c r="BV786" i="1" s="1"/>
  <c r="BW785" i="1"/>
  <c r="BV785" i="1" s="1"/>
  <c r="BW784" i="1"/>
  <c r="BV784" i="1" s="1"/>
  <c r="BW783" i="1"/>
  <c r="BV783" i="1" s="1"/>
  <c r="BW782" i="1"/>
  <c r="BV782" i="1" s="1"/>
  <c r="BW781" i="1"/>
  <c r="BV781" i="1" s="1"/>
  <c r="BW780" i="1"/>
  <c r="BV780" i="1" s="1"/>
  <c r="BW779" i="1"/>
  <c r="BV779" i="1" s="1"/>
  <c r="BW778" i="1"/>
  <c r="BV778" i="1" s="1"/>
  <c r="BW777" i="1"/>
  <c r="BV777" i="1" s="1"/>
  <c r="BW776" i="1"/>
  <c r="BV776" i="1" s="1"/>
  <c r="BW775" i="1"/>
  <c r="BV775" i="1" s="1"/>
  <c r="BW774" i="1"/>
  <c r="BV774" i="1" s="1"/>
  <c r="BW773" i="1"/>
  <c r="BV773" i="1" s="1"/>
  <c r="BW772" i="1"/>
  <c r="BV772" i="1" s="1"/>
  <c r="BW771" i="1"/>
  <c r="BV771" i="1" s="1"/>
  <c r="BW770" i="1"/>
  <c r="BV770" i="1" s="1"/>
  <c r="BW769" i="1"/>
  <c r="BV769" i="1" s="1"/>
  <c r="BW768" i="1"/>
  <c r="BV768" i="1" s="1"/>
  <c r="BW767" i="1"/>
  <c r="BV767" i="1" s="1"/>
  <c r="BW766" i="1"/>
  <c r="BV766" i="1" s="1"/>
  <c r="BW765" i="1"/>
  <c r="BV765" i="1" s="1"/>
  <c r="BW764" i="1"/>
  <c r="BV764" i="1" s="1"/>
  <c r="BW763" i="1"/>
  <c r="BV763" i="1" s="1"/>
  <c r="BW762" i="1"/>
  <c r="BV762" i="1" s="1"/>
  <c r="BW761" i="1"/>
  <c r="BV761" i="1" s="1"/>
  <c r="BW760" i="1"/>
  <c r="BV760" i="1" s="1"/>
  <c r="BW759" i="1"/>
  <c r="BV759" i="1" s="1"/>
  <c r="BW758" i="1"/>
  <c r="BV758" i="1" s="1"/>
  <c r="BW757" i="1"/>
  <c r="BV757" i="1" s="1"/>
  <c r="BW756" i="1"/>
  <c r="BV756" i="1" s="1"/>
  <c r="BW755" i="1"/>
  <c r="BV755" i="1" s="1"/>
  <c r="BW754" i="1"/>
  <c r="BV754" i="1" s="1"/>
  <c r="BW753" i="1"/>
  <c r="BV753" i="1" s="1"/>
  <c r="BW752" i="1"/>
  <c r="BV752" i="1" s="1"/>
  <c r="BW751" i="1"/>
  <c r="BV751" i="1" s="1"/>
  <c r="BW750" i="1"/>
  <c r="BV750" i="1" s="1"/>
  <c r="BW749" i="1"/>
  <c r="BV749" i="1" s="1"/>
  <c r="BW748" i="1"/>
  <c r="BV748" i="1" s="1"/>
  <c r="BW747" i="1"/>
  <c r="BV747" i="1" s="1"/>
  <c r="BW746" i="1"/>
  <c r="BV746" i="1" s="1"/>
  <c r="BW745" i="1"/>
  <c r="BV745" i="1" s="1"/>
  <c r="BW744" i="1"/>
  <c r="BV744" i="1" s="1"/>
  <c r="BW743" i="1"/>
  <c r="BV743" i="1" s="1"/>
  <c r="BW742" i="1"/>
  <c r="BV742" i="1" s="1"/>
  <c r="BW741" i="1"/>
  <c r="BV741" i="1" s="1"/>
  <c r="BW740" i="1"/>
  <c r="BV740" i="1" s="1"/>
  <c r="BW739" i="1"/>
  <c r="BV739" i="1" s="1"/>
  <c r="BW738" i="1"/>
  <c r="BV738" i="1" s="1"/>
  <c r="BW737" i="1"/>
  <c r="BV737" i="1" s="1"/>
  <c r="BW736" i="1"/>
  <c r="BV736" i="1" s="1"/>
  <c r="BW735" i="1"/>
  <c r="BV735" i="1" s="1"/>
  <c r="BW734" i="1"/>
  <c r="BV734" i="1" s="1"/>
  <c r="BW733" i="1"/>
  <c r="BV733" i="1" s="1"/>
  <c r="BW732" i="1"/>
  <c r="BV732" i="1" s="1"/>
  <c r="BW731" i="1"/>
  <c r="BV731" i="1" s="1"/>
  <c r="BW730" i="1"/>
  <c r="BV730" i="1" s="1"/>
  <c r="BW729" i="1"/>
  <c r="BV729" i="1" s="1"/>
  <c r="BW728" i="1"/>
  <c r="BV728" i="1" s="1"/>
  <c r="BW727" i="1"/>
  <c r="BV727" i="1" s="1"/>
  <c r="BW726" i="1"/>
  <c r="BV726" i="1" s="1"/>
  <c r="BW725" i="1"/>
  <c r="BV725" i="1" s="1"/>
  <c r="BW724" i="1"/>
  <c r="BV724" i="1" s="1"/>
  <c r="BW723" i="1"/>
  <c r="BV723" i="1" s="1"/>
  <c r="BW722" i="1"/>
  <c r="BV722" i="1" s="1"/>
  <c r="BW721" i="1"/>
  <c r="BV721" i="1" s="1"/>
  <c r="BW720" i="1"/>
  <c r="BV720" i="1" s="1"/>
  <c r="BW719" i="1"/>
  <c r="BV719" i="1" s="1"/>
  <c r="BW718" i="1"/>
  <c r="BV718" i="1" s="1"/>
  <c r="BW717" i="1"/>
  <c r="BV717" i="1" s="1"/>
  <c r="BW716" i="1"/>
  <c r="BV716" i="1" s="1"/>
  <c r="BW715" i="1"/>
  <c r="BV715" i="1" s="1"/>
  <c r="BW714" i="1"/>
  <c r="BV714" i="1" s="1"/>
  <c r="BW713" i="1"/>
  <c r="BV713" i="1" s="1"/>
  <c r="BW712" i="1"/>
  <c r="BV712" i="1" s="1"/>
  <c r="BW711" i="1"/>
  <c r="BV711" i="1" s="1"/>
  <c r="BW710" i="1"/>
  <c r="BV710" i="1" s="1"/>
  <c r="BW709" i="1"/>
  <c r="BV709" i="1" s="1"/>
  <c r="BW708" i="1"/>
  <c r="BV708" i="1" s="1"/>
  <c r="BW707" i="1"/>
  <c r="BV707" i="1" s="1"/>
  <c r="BW706" i="1"/>
  <c r="BV706" i="1" s="1"/>
  <c r="BW705" i="1"/>
  <c r="BV705" i="1" s="1"/>
  <c r="BW704" i="1"/>
  <c r="BV704" i="1" s="1"/>
  <c r="BW703" i="1"/>
  <c r="BV703" i="1" s="1"/>
  <c r="BW702" i="1"/>
  <c r="BV702" i="1" s="1"/>
  <c r="BW701" i="1"/>
  <c r="BV701" i="1" s="1"/>
  <c r="BW700" i="1"/>
  <c r="BV700" i="1" s="1"/>
  <c r="BW699" i="1"/>
  <c r="BV699" i="1" s="1"/>
  <c r="BW698" i="1"/>
  <c r="BV698" i="1" s="1"/>
  <c r="BW697" i="1"/>
  <c r="BV697" i="1" s="1"/>
  <c r="BW696" i="1"/>
  <c r="BV696" i="1" s="1"/>
  <c r="BW695" i="1"/>
  <c r="BV695" i="1" s="1"/>
  <c r="BW694" i="1"/>
  <c r="BV694" i="1" s="1"/>
  <c r="BW693" i="1"/>
  <c r="BV693" i="1" s="1"/>
  <c r="BW692" i="1"/>
  <c r="BV692" i="1" s="1"/>
  <c r="BW691" i="1"/>
  <c r="BV691" i="1" s="1"/>
  <c r="BW690" i="1"/>
  <c r="BV690" i="1" s="1"/>
  <c r="BW689" i="1"/>
  <c r="BV689" i="1" s="1"/>
  <c r="BW688" i="1"/>
  <c r="BV688" i="1" s="1"/>
  <c r="BW687" i="1"/>
  <c r="BV687" i="1" s="1"/>
  <c r="BW686" i="1"/>
  <c r="BV686" i="1" s="1"/>
  <c r="BW685" i="1"/>
  <c r="BV685" i="1" s="1"/>
  <c r="BW684" i="1"/>
  <c r="BV684" i="1" s="1"/>
  <c r="BW683" i="1"/>
  <c r="BV683" i="1" s="1"/>
  <c r="BW682" i="1"/>
  <c r="BV682" i="1" s="1"/>
  <c r="BW681" i="1"/>
  <c r="BV681" i="1" s="1"/>
  <c r="BW680" i="1"/>
  <c r="BV680" i="1" s="1"/>
  <c r="BW679" i="1"/>
  <c r="BV679" i="1" s="1"/>
  <c r="BW678" i="1"/>
  <c r="BV678" i="1" s="1"/>
  <c r="BW677" i="1"/>
  <c r="BV677" i="1" s="1"/>
  <c r="BW676" i="1"/>
  <c r="BV676" i="1" s="1"/>
  <c r="BW675" i="1"/>
  <c r="BV675" i="1" s="1"/>
  <c r="BW674" i="1"/>
  <c r="BV674" i="1" s="1"/>
  <c r="BW673" i="1"/>
  <c r="BV673" i="1" s="1"/>
  <c r="BW672" i="1"/>
  <c r="BV672" i="1" s="1"/>
  <c r="BW671" i="1"/>
  <c r="BV671" i="1" s="1"/>
  <c r="BW670" i="1"/>
  <c r="BV670" i="1" s="1"/>
  <c r="BW669" i="1"/>
  <c r="BV669" i="1" s="1"/>
  <c r="BW668" i="1"/>
  <c r="BV668" i="1" s="1"/>
  <c r="BW667" i="1"/>
  <c r="BV667" i="1" s="1"/>
  <c r="BW666" i="1"/>
  <c r="BV666" i="1" s="1"/>
  <c r="BW665" i="1"/>
  <c r="BV665" i="1" s="1"/>
  <c r="BW664" i="1"/>
  <c r="BV664" i="1" s="1"/>
  <c r="BW663" i="1"/>
  <c r="BV663" i="1" s="1"/>
  <c r="BW662" i="1"/>
  <c r="BV662" i="1" s="1"/>
  <c r="BW661" i="1"/>
  <c r="BV661" i="1" s="1"/>
  <c r="BW660" i="1"/>
  <c r="BV660" i="1" s="1"/>
  <c r="BW659" i="1"/>
  <c r="BV659" i="1" s="1"/>
  <c r="BW658" i="1"/>
  <c r="BV658" i="1" s="1"/>
  <c r="BW657" i="1"/>
  <c r="BV657" i="1" s="1"/>
  <c r="BW656" i="1"/>
  <c r="BV656" i="1" s="1"/>
  <c r="BW655" i="1"/>
  <c r="BV655" i="1" s="1"/>
  <c r="BW654" i="1"/>
  <c r="BV654" i="1" s="1"/>
  <c r="BW653" i="1"/>
  <c r="BV653" i="1" s="1"/>
  <c r="BW652" i="1"/>
  <c r="BV652" i="1" s="1"/>
  <c r="BW651" i="1"/>
  <c r="BV651" i="1" s="1"/>
  <c r="BW650" i="1"/>
  <c r="BV650" i="1" s="1"/>
  <c r="BW649" i="1"/>
  <c r="BV649" i="1" s="1"/>
  <c r="BW648" i="1"/>
  <c r="BV648" i="1" s="1"/>
  <c r="BW647" i="1"/>
  <c r="BV647" i="1" s="1"/>
  <c r="BW646" i="1"/>
  <c r="BV646" i="1" s="1"/>
  <c r="BW645" i="1"/>
  <c r="BV645" i="1" s="1"/>
  <c r="BW644" i="1"/>
  <c r="BV644" i="1" s="1"/>
  <c r="BW643" i="1"/>
  <c r="BV643" i="1" s="1"/>
  <c r="BW642" i="1"/>
  <c r="BV642" i="1" s="1"/>
  <c r="BW641" i="1"/>
  <c r="BV641" i="1" s="1"/>
  <c r="BW640" i="1"/>
  <c r="BV640" i="1" s="1"/>
  <c r="BW639" i="1"/>
  <c r="BV639" i="1" s="1"/>
  <c r="BW638" i="1"/>
  <c r="BV638" i="1" s="1"/>
  <c r="BW637" i="1"/>
  <c r="BV637" i="1" s="1"/>
  <c r="BW636" i="1"/>
  <c r="BV636" i="1" s="1"/>
  <c r="BW635" i="1"/>
  <c r="BV635" i="1" s="1"/>
  <c r="BW634" i="1"/>
  <c r="BV634" i="1" s="1"/>
  <c r="BW633" i="1"/>
  <c r="BV633" i="1" s="1"/>
  <c r="BW632" i="1"/>
  <c r="BV632" i="1" s="1"/>
  <c r="BW631" i="1"/>
  <c r="BV631" i="1" s="1"/>
  <c r="BW630" i="1"/>
  <c r="BV630" i="1" s="1"/>
  <c r="BW629" i="1"/>
  <c r="BV629" i="1" s="1"/>
  <c r="BW628" i="1"/>
  <c r="BV628" i="1" s="1"/>
  <c r="BW627" i="1"/>
  <c r="BV627" i="1" s="1"/>
  <c r="BW626" i="1"/>
  <c r="BV626" i="1" s="1"/>
  <c r="BW625" i="1"/>
  <c r="BV625" i="1" s="1"/>
  <c r="BW624" i="1"/>
  <c r="BV624" i="1" s="1"/>
  <c r="BW623" i="1"/>
  <c r="BV623" i="1" s="1"/>
  <c r="BW622" i="1"/>
  <c r="BV622" i="1" s="1"/>
  <c r="BW621" i="1"/>
  <c r="BV621" i="1" s="1"/>
  <c r="BW620" i="1"/>
  <c r="BV620" i="1" s="1"/>
  <c r="BW619" i="1"/>
  <c r="BV619" i="1" s="1"/>
  <c r="BW618" i="1"/>
  <c r="BV618" i="1" s="1"/>
  <c r="BW617" i="1"/>
  <c r="BV617" i="1" s="1"/>
  <c r="BW616" i="1"/>
  <c r="BV616" i="1" s="1"/>
  <c r="BW615" i="1"/>
  <c r="BV615" i="1" s="1"/>
  <c r="BW614" i="1"/>
  <c r="BV614" i="1" s="1"/>
  <c r="BW613" i="1"/>
  <c r="BV613" i="1" s="1"/>
  <c r="BW612" i="1"/>
  <c r="BV612" i="1" s="1"/>
  <c r="BW611" i="1"/>
  <c r="BV611" i="1" s="1"/>
  <c r="BW610" i="1"/>
  <c r="BV610" i="1" s="1"/>
  <c r="BW609" i="1"/>
  <c r="BV609" i="1" s="1"/>
  <c r="BW608" i="1"/>
  <c r="BV608" i="1" s="1"/>
  <c r="BW607" i="1"/>
  <c r="BV607" i="1" s="1"/>
  <c r="BW606" i="1"/>
  <c r="BV606" i="1" s="1"/>
  <c r="BW605" i="1"/>
  <c r="BV605" i="1" s="1"/>
  <c r="BW604" i="1"/>
  <c r="BV604" i="1" s="1"/>
  <c r="BW603" i="1"/>
  <c r="BV603" i="1" s="1"/>
  <c r="BW602" i="1"/>
  <c r="BV602" i="1" s="1"/>
  <c r="BW601" i="1"/>
  <c r="BV601" i="1" s="1"/>
  <c r="BW600" i="1"/>
  <c r="BV600" i="1" s="1"/>
  <c r="BW599" i="1"/>
  <c r="BV599" i="1" s="1"/>
  <c r="BW598" i="1"/>
  <c r="BV598" i="1" s="1"/>
  <c r="BW597" i="1"/>
  <c r="BV597" i="1" s="1"/>
  <c r="BW596" i="1"/>
  <c r="BV596" i="1" s="1"/>
  <c r="BW595" i="1"/>
  <c r="BV595" i="1" s="1"/>
  <c r="BW594" i="1"/>
  <c r="BV594" i="1" s="1"/>
  <c r="BW593" i="1"/>
  <c r="BV593" i="1" s="1"/>
  <c r="BW592" i="1"/>
  <c r="BV592" i="1" s="1"/>
  <c r="BW591" i="1"/>
  <c r="BV591" i="1" s="1"/>
  <c r="BW590" i="1"/>
  <c r="BV590" i="1" s="1"/>
  <c r="BW589" i="1"/>
  <c r="BV589" i="1" s="1"/>
  <c r="BW588" i="1"/>
  <c r="BV588" i="1" s="1"/>
  <c r="BW587" i="1"/>
  <c r="BV587" i="1" s="1"/>
  <c r="BW586" i="1"/>
  <c r="BV586" i="1" s="1"/>
  <c r="BW585" i="1"/>
  <c r="BV585" i="1" s="1"/>
  <c r="BW584" i="1"/>
  <c r="BV584" i="1" s="1"/>
  <c r="BW583" i="1"/>
  <c r="BV583" i="1" s="1"/>
  <c r="BW582" i="1"/>
  <c r="BV582" i="1" s="1"/>
  <c r="BW581" i="1"/>
  <c r="BV581" i="1" s="1"/>
  <c r="BW580" i="1"/>
  <c r="BV580" i="1" s="1"/>
  <c r="BW579" i="1"/>
  <c r="BV579" i="1" s="1"/>
  <c r="BW578" i="1"/>
  <c r="BV578" i="1" s="1"/>
  <c r="BW577" i="1"/>
  <c r="BV577" i="1" s="1"/>
  <c r="BW576" i="1"/>
  <c r="BV576" i="1" s="1"/>
  <c r="BW575" i="1"/>
  <c r="BV575" i="1" s="1"/>
  <c r="BW574" i="1"/>
  <c r="BV574" i="1" s="1"/>
  <c r="BW573" i="1"/>
  <c r="BV573" i="1" s="1"/>
  <c r="BW572" i="1"/>
  <c r="BV572" i="1" s="1"/>
  <c r="BW571" i="1"/>
  <c r="BV571" i="1" s="1"/>
  <c r="BW570" i="1"/>
  <c r="BV570" i="1" s="1"/>
  <c r="BW569" i="1"/>
  <c r="BV569" i="1" s="1"/>
  <c r="BW568" i="1"/>
  <c r="BV568" i="1" s="1"/>
  <c r="BW567" i="1"/>
  <c r="BV567" i="1" s="1"/>
  <c r="BW566" i="1"/>
  <c r="BV566" i="1" s="1"/>
  <c r="BW565" i="1"/>
  <c r="BV565" i="1" s="1"/>
  <c r="BW564" i="1"/>
  <c r="BV564" i="1" s="1"/>
  <c r="BW563" i="1"/>
  <c r="BV563" i="1" s="1"/>
  <c r="BW562" i="1"/>
  <c r="BV562" i="1" s="1"/>
  <c r="BW561" i="1"/>
  <c r="BV561" i="1" s="1"/>
  <c r="BW560" i="1"/>
  <c r="BV560" i="1" s="1"/>
  <c r="BW559" i="1"/>
  <c r="BV559" i="1" s="1"/>
  <c r="BW558" i="1"/>
  <c r="BV558" i="1" s="1"/>
  <c r="BW557" i="1"/>
  <c r="BV557" i="1" s="1"/>
  <c r="BW556" i="1"/>
  <c r="BV556" i="1" s="1"/>
  <c r="BW555" i="1"/>
  <c r="BV555" i="1" s="1"/>
  <c r="BW554" i="1"/>
  <c r="BV554" i="1" s="1"/>
  <c r="BW553" i="1"/>
  <c r="BV553" i="1" s="1"/>
  <c r="BW552" i="1"/>
  <c r="BV552" i="1" s="1"/>
  <c r="BW551" i="1"/>
  <c r="BV551" i="1" s="1"/>
  <c r="BW550" i="1"/>
  <c r="BV550" i="1" s="1"/>
  <c r="BW549" i="1"/>
  <c r="BV549" i="1" s="1"/>
  <c r="BW548" i="1"/>
  <c r="BV548" i="1" s="1"/>
  <c r="BW547" i="1"/>
  <c r="BV547" i="1" s="1"/>
  <c r="BW546" i="1"/>
  <c r="BV546" i="1" s="1"/>
  <c r="BW545" i="1"/>
  <c r="BV545" i="1" s="1"/>
  <c r="BW544" i="1"/>
  <c r="BV544" i="1" s="1"/>
  <c r="BW543" i="1"/>
  <c r="BV543" i="1" s="1"/>
  <c r="BW542" i="1"/>
  <c r="BV542" i="1" s="1"/>
  <c r="BW541" i="1"/>
  <c r="BV541" i="1" s="1"/>
  <c r="BW540" i="1"/>
  <c r="BV540" i="1" s="1"/>
  <c r="BW539" i="1"/>
  <c r="BV539" i="1" s="1"/>
  <c r="BW538" i="1"/>
  <c r="BV538" i="1" s="1"/>
  <c r="BW537" i="1"/>
  <c r="BV537" i="1" s="1"/>
  <c r="BW536" i="1"/>
  <c r="BV536" i="1" s="1"/>
  <c r="BW535" i="1"/>
  <c r="BV535" i="1" s="1"/>
  <c r="BW534" i="1"/>
  <c r="BV534" i="1" s="1"/>
  <c r="BW533" i="1"/>
  <c r="BV533" i="1" s="1"/>
  <c r="BW532" i="1"/>
  <c r="BV532" i="1" s="1"/>
  <c r="BW531" i="1"/>
  <c r="BV531" i="1" s="1"/>
  <c r="BW530" i="1"/>
  <c r="BV530" i="1" s="1"/>
  <c r="BW529" i="1"/>
  <c r="BV529" i="1" s="1"/>
  <c r="BW528" i="1"/>
  <c r="BV528" i="1" s="1"/>
  <c r="BW527" i="1"/>
  <c r="BV527" i="1" s="1"/>
  <c r="BW526" i="1"/>
  <c r="BV526" i="1" s="1"/>
  <c r="BW525" i="1"/>
  <c r="BV525" i="1" s="1"/>
  <c r="BW524" i="1"/>
  <c r="BV524" i="1" s="1"/>
  <c r="BW523" i="1"/>
  <c r="BV523" i="1" s="1"/>
  <c r="BW522" i="1"/>
  <c r="BV522" i="1" s="1"/>
  <c r="BW521" i="1"/>
  <c r="BV521" i="1" s="1"/>
  <c r="BW520" i="1"/>
  <c r="BV520" i="1" s="1"/>
  <c r="BW519" i="1"/>
  <c r="BV519" i="1" s="1"/>
  <c r="BW518" i="1"/>
  <c r="BV518" i="1" s="1"/>
  <c r="BW517" i="1"/>
  <c r="BV517" i="1" s="1"/>
  <c r="BW516" i="1"/>
  <c r="BV516" i="1" s="1"/>
  <c r="BW515" i="1"/>
  <c r="BV515" i="1" s="1"/>
  <c r="BW514" i="1"/>
  <c r="BV514" i="1" s="1"/>
  <c r="BW513" i="1"/>
  <c r="BV513" i="1" s="1"/>
  <c r="BW512" i="1"/>
  <c r="BV512" i="1" s="1"/>
  <c r="BW511" i="1"/>
  <c r="BV511" i="1" s="1"/>
  <c r="BW510" i="1"/>
  <c r="BV510" i="1" s="1"/>
  <c r="BW509" i="1"/>
  <c r="BV509" i="1" s="1"/>
  <c r="BW508" i="1"/>
  <c r="BV508" i="1" s="1"/>
  <c r="BW507" i="1"/>
  <c r="BV507" i="1" s="1"/>
  <c r="BW506" i="1"/>
  <c r="BV506" i="1" s="1"/>
  <c r="BW505" i="1"/>
  <c r="BV505" i="1" s="1"/>
  <c r="BW504" i="1"/>
  <c r="BV504" i="1" s="1"/>
  <c r="BW503" i="1"/>
  <c r="BV503" i="1" s="1"/>
  <c r="BW502" i="1"/>
  <c r="BV502" i="1" s="1"/>
  <c r="BW501" i="1"/>
  <c r="BV501" i="1" s="1"/>
  <c r="BW500" i="1"/>
  <c r="BV500" i="1" s="1"/>
  <c r="BW499" i="1"/>
  <c r="BV499" i="1" s="1"/>
  <c r="BW498" i="1"/>
  <c r="BV498" i="1" s="1"/>
  <c r="BW497" i="1"/>
  <c r="BV497" i="1" s="1"/>
  <c r="BW496" i="1"/>
  <c r="BV496" i="1" s="1"/>
  <c r="BW495" i="1"/>
  <c r="BV495" i="1" s="1"/>
  <c r="BW494" i="1"/>
  <c r="BV494" i="1" s="1"/>
  <c r="BW493" i="1"/>
  <c r="BV493" i="1" s="1"/>
  <c r="BW492" i="1"/>
  <c r="BV492" i="1" s="1"/>
  <c r="BW491" i="1"/>
  <c r="BV491" i="1" s="1"/>
  <c r="BW490" i="1"/>
  <c r="BV490" i="1" s="1"/>
  <c r="BW489" i="1"/>
  <c r="BV489" i="1" s="1"/>
  <c r="BW488" i="1"/>
  <c r="BV488" i="1" s="1"/>
  <c r="BW487" i="1"/>
  <c r="BV487" i="1" s="1"/>
  <c r="BW486" i="1"/>
  <c r="BV486" i="1" s="1"/>
  <c r="BW485" i="1"/>
  <c r="BV485" i="1" s="1"/>
  <c r="BW484" i="1"/>
  <c r="BV484" i="1" s="1"/>
  <c r="BW483" i="1"/>
  <c r="BV483" i="1" s="1"/>
  <c r="BW482" i="1"/>
  <c r="BV482" i="1" s="1"/>
  <c r="BW481" i="1"/>
  <c r="BV481" i="1" s="1"/>
  <c r="BW480" i="1"/>
  <c r="BV480" i="1" s="1"/>
  <c r="BW479" i="1"/>
  <c r="BV479" i="1" s="1"/>
  <c r="BW478" i="1"/>
  <c r="BV478" i="1" s="1"/>
  <c r="BW477" i="1"/>
  <c r="BV477" i="1" s="1"/>
  <c r="BW476" i="1"/>
  <c r="BV476" i="1" s="1"/>
  <c r="BW475" i="1"/>
  <c r="BV475" i="1" s="1"/>
  <c r="BW474" i="1"/>
  <c r="BV474" i="1" s="1"/>
  <c r="BW473" i="1"/>
  <c r="BV473" i="1" s="1"/>
  <c r="BW472" i="1"/>
  <c r="BV472" i="1" s="1"/>
  <c r="BW471" i="1"/>
  <c r="BV471" i="1" s="1"/>
  <c r="BW470" i="1"/>
  <c r="BV470" i="1" s="1"/>
  <c r="BW469" i="1"/>
  <c r="BV469" i="1" s="1"/>
  <c r="BW468" i="1"/>
  <c r="BV468" i="1" s="1"/>
  <c r="BW467" i="1"/>
  <c r="BV467" i="1" s="1"/>
  <c r="BW466" i="1"/>
  <c r="BV466" i="1" s="1"/>
  <c r="BW465" i="1"/>
  <c r="BV465" i="1" s="1"/>
  <c r="BW464" i="1"/>
  <c r="BV464" i="1" s="1"/>
  <c r="BW463" i="1"/>
  <c r="BV463" i="1" s="1"/>
  <c r="BW462" i="1"/>
  <c r="BV462" i="1" s="1"/>
  <c r="BW461" i="1"/>
  <c r="BV461" i="1" s="1"/>
  <c r="BW460" i="1"/>
  <c r="BV460" i="1" s="1"/>
  <c r="BW459" i="1"/>
  <c r="BV459" i="1" s="1"/>
  <c r="BW458" i="1"/>
  <c r="BV458" i="1" s="1"/>
  <c r="BW457" i="1"/>
  <c r="BV457" i="1" s="1"/>
  <c r="BW456" i="1"/>
  <c r="BV456" i="1" s="1"/>
  <c r="BW455" i="1"/>
  <c r="BV455" i="1" s="1"/>
  <c r="BW454" i="1"/>
  <c r="BV454" i="1" s="1"/>
  <c r="BW453" i="1"/>
  <c r="BV453" i="1" s="1"/>
  <c r="BW452" i="1"/>
  <c r="BV452" i="1" s="1"/>
  <c r="BW451" i="1"/>
  <c r="BV451" i="1" s="1"/>
  <c r="BW450" i="1"/>
  <c r="BV450" i="1" s="1"/>
  <c r="BW449" i="1"/>
  <c r="BV449" i="1" s="1"/>
  <c r="BW448" i="1"/>
  <c r="BV448" i="1" s="1"/>
  <c r="BW447" i="1"/>
  <c r="BV447" i="1" s="1"/>
  <c r="BW446" i="1"/>
  <c r="BV446" i="1" s="1"/>
  <c r="BW445" i="1"/>
  <c r="BV445" i="1" s="1"/>
  <c r="BW444" i="1"/>
  <c r="BV444" i="1" s="1"/>
  <c r="BW443" i="1"/>
  <c r="BV443" i="1" s="1"/>
  <c r="BW442" i="1"/>
  <c r="BV442" i="1" s="1"/>
  <c r="BW441" i="1"/>
  <c r="BV441" i="1" s="1"/>
  <c r="BW440" i="1"/>
  <c r="BV440" i="1" s="1"/>
  <c r="BW439" i="1"/>
  <c r="BV439" i="1" s="1"/>
  <c r="BW438" i="1"/>
  <c r="BV438" i="1" s="1"/>
  <c r="BW437" i="1"/>
  <c r="BV437" i="1" s="1"/>
  <c r="BW436" i="1"/>
  <c r="BV436" i="1" s="1"/>
  <c r="BW435" i="1"/>
  <c r="BV435" i="1" s="1"/>
  <c r="BW434" i="1"/>
  <c r="BV434" i="1" s="1"/>
  <c r="BW433" i="1"/>
  <c r="BV433" i="1" s="1"/>
  <c r="BW432" i="1"/>
  <c r="BV432" i="1" s="1"/>
  <c r="BW431" i="1"/>
  <c r="BV431" i="1" s="1"/>
  <c r="BW430" i="1"/>
  <c r="BV430" i="1" s="1"/>
  <c r="BW429" i="1"/>
  <c r="BV429" i="1" s="1"/>
  <c r="BW428" i="1"/>
  <c r="BV428" i="1" s="1"/>
  <c r="BW427" i="1"/>
  <c r="BV427" i="1" s="1"/>
  <c r="BW426" i="1"/>
  <c r="BV426" i="1" s="1"/>
  <c r="BW425" i="1"/>
  <c r="BV425" i="1" s="1"/>
  <c r="BW424" i="1"/>
  <c r="BV424" i="1" s="1"/>
  <c r="BW423" i="1"/>
  <c r="BV423" i="1" s="1"/>
  <c r="BW422" i="1"/>
  <c r="BV422" i="1" s="1"/>
  <c r="BW421" i="1"/>
  <c r="BV421" i="1" s="1"/>
  <c r="BW420" i="1"/>
  <c r="BV420" i="1" s="1"/>
  <c r="BW419" i="1"/>
  <c r="BV419" i="1" s="1"/>
  <c r="BW418" i="1"/>
  <c r="BV418" i="1" s="1"/>
  <c r="BW417" i="1"/>
  <c r="BV417" i="1" s="1"/>
  <c r="BW416" i="1"/>
  <c r="BV416" i="1" s="1"/>
  <c r="BW415" i="1"/>
  <c r="BV415" i="1" s="1"/>
  <c r="BW414" i="1"/>
  <c r="BV414" i="1" s="1"/>
  <c r="BW413" i="1"/>
  <c r="BV413" i="1" s="1"/>
  <c r="BW412" i="1"/>
  <c r="BV412" i="1" s="1"/>
  <c r="BW411" i="1"/>
  <c r="BV411" i="1" s="1"/>
  <c r="BW410" i="1"/>
  <c r="BV410" i="1" s="1"/>
  <c r="BW409" i="1"/>
  <c r="BV409" i="1" s="1"/>
  <c r="BW408" i="1"/>
  <c r="BV408" i="1" s="1"/>
  <c r="BW407" i="1"/>
  <c r="BV407" i="1" s="1"/>
  <c r="BW406" i="1"/>
  <c r="BV406" i="1" s="1"/>
  <c r="BW405" i="1"/>
  <c r="BV405" i="1" s="1"/>
  <c r="BW404" i="1"/>
  <c r="BV404" i="1" s="1"/>
  <c r="BW403" i="1"/>
  <c r="BV403" i="1" s="1"/>
  <c r="BW402" i="1"/>
  <c r="BV402" i="1" s="1"/>
  <c r="BW401" i="1"/>
  <c r="BV401" i="1" s="1"/>
  <c r="BW400" i="1"/>
  <c r="BV400" i="1" s="1"/>
  <c r="BW399" i="1"/>
  <c r="BV399" i="1" s="1"/>
  <c r="BW398" i="1"/>
  <c r="BV398" i="1" s="1"/>
  <c r="BW397" i="1"/>
  <c r="BV397" i="1" s="1"/>
  <c r="BW396" i="1"/>
  <c r="BV396" i="1" s="1"/>
  <c r="BW395" i="1"/>
  <c r="BV395" i="1" s="1"/>
  <c r="BW394" i="1"/>
  <c r="BV394" i="1" s="1"/>
  <c r="BW393" i="1"/>
  <c r="BV393" i="1" s="1"/>
  <c r="BW392" i="1"/>
  <c r="BV392" i="1" s="1"/>
  <c r="BW391" i="1"/>
  <c r="BV391" i="1" s="1"/>
  <c r="BW390" i="1"/>
  <c r="BV390" i="1" s="1"/>
  <c r="BW389" i="1"/>
  <c r="BV389" i="1" s="1"/>
  <c r="BW388" i="1"/>
  <c r="BV388" i="1" s="1"/>
  <c r="BW387" i="1"/>
  <c r="BV387" i="1" s="1"/>
  <c r="BW386" i="1"/>
  <c r="BV386" i="1" s="1"/>
  <c r="BW385" i="1"/>
  <c r="BV385" i="1" s="1"/>
  <c r="BW384" i="1"/>
  <c r="BV384" i="1" s="1"/>
  <c r="BW383" i="1"/>
  <c r="BV383" i="1" s="1"/>
  <c r="BW382" i="1"/>
  <c r="BV382" i="1" s="1"/>
  <c r="BW381" i="1"/>
  <c r="BV381" i="1" s="1"/>
  <c r="BW380" i="1"/>
  <c r="BV380" i="1" s="1"/>
  <c r="BW379" i="1"/>
  <c r="BV379" i="1" s="1"/>
  <c r="BW378" i="1"/>
  <c r="BV378" i="1" s="1"/>
  <c r="BW377" i="1"/>
  <c r="BV377" i="1" s="1"/>
  <c r="BW376" i="1"/>
  <c r="BV376" i="1" s="1"/>
  <c r="BW375" i="1"/>
  <c r="BV375" i="1" s="1"/>
  <c r="BW374" i="1"/>
  <c r="BV374" i="1" s="1"/>
  <c r="BW373" i="1"/>
  <c r="BV373" i="1" s="1"/>
  <c r="BW372" i="1"/>
  <c r="BV372" i="1" s="1"/>
  <c r="BW371" i="1"/>
  <c r="BV371" i="1" s="1"/>
  <c r="BW370" i="1"/>
  <c r="BV370" i="1" s="1"/>
  <c r="BW369" i="1"/>
  <c r="BV369" i="1" s="1"/>
  <c r="BW368" i="1"/>
  <c r="BV368" i="1" s="1"/>
  <c r="BW367" i="1"/>
  <c r="BV367" i="1" s="1"/>
  <c r="BW366" i="1"/>
  <c r="BV366" i="1" s="1"/>
  <c r="BW365" i="1"/>
  <c r="BV365" i="1" s="1"/>
  <c r="BW364" i="1"/>
  <c r="BV364" i="1" s="1"/>
  <c r="BW363" i="1"/>
  <c r="BV363" i="1" s="1"/>
  <c r="BW362" i="1"/>
  <c r="BV362" i="1" s="1"/>
  <c r="BW361" i="1"/>
  <c r="BV361" i="1" s="1"/>
  <c r="BW360" i="1"/>
  <c r="BV360" i="1" s="1"/>
  <c r="BW359" i="1"/>
  <c r="BV359" i="1" s="1"/>
  <c r="BW358" i="1"/>
  <c r="BV358" i="1" s="1"/>
  <c r="BW357" i="1"/>
  <c r="BV357" i="1" s="1"/>
  <c r="BW356" i="1"/>
  <c r="BV356" i="1" s="1"/>
  <c r="BW355" i="1"/>
  <c r="BV355" i="1" s="1"/>
  <c r="BW354" i="1"/>
  <c r="BV354" i="1" s="1"/>
  <c r="BW353" i="1"/>
  <c r="BV353" i="1" s="1"/>
  <c r="BW352" i="1"/>
  <c r="BV352" i="1" s="1"/>
  <c r="BW351" i="1"/>
  <c r="BV351" i="1" s="1"/>
  <c r="BW350" i="1"/>
  <c r="BV350" i="1" s="1"/>
  <c r="BW349" i="1"/>
  <c r="BV349" i="1" s="1"/>
  <c r="BW348" i="1"/>
  <c r="BV348" i="1" s="1"/>
  <c r="BW347" i="1"/>
  <c r="BV347" i="1" s="1"/>
  <c r="BW346" i="1"/>
  <c r="BV346" i="1" s="1"/>
  <c r="BW345" i="1"/>
  <c r="BV345" i="1" s="1"/>
  <c r="BW344" i="1"/>
  <c r="BV344" i="1" s="1"/>
  <c r="BW343" i="1"/>
  <c r="BV343" i="1" s="1"/>
  <c r="BW342" i="1"/>
  <c r="BV342" i="1" s="1"/>
  <c r="BW341" i="1"/>
  <c r="BV341" i="1" s="1"/>
  <c r="BW340" i="1"/>
  <c r="BV340" i="1" s="1"/>
  <c r="BW339" i="1"/>
  <c r="BV339" i="1" s="1"/>
  <c r="BW338" i="1"/>
  <c r="BV338" i="1" s="1"/>
  <c r="BW337" i="1"/>
  <c r="BV337" i="1" s="1"/>
  <c r="BW336" i="1"/>
  <c r="BV336" i="1" s="1"/>
  <c r="BW335" i="1"/>
  <c r="BV335" i="1" s="1"/>
  <c r="BW334" i="1"/>
  <c r="BV334" i="1" s="1"/>
  <c r="BW333" i="1"/>
  <c r="BV333" i="1" s="1"/>
  <c r="BW332" i="1"/>
  <c r="BV332" i="1" s="1"/>
  <c r="BW331" i="1"/>
  <c r="BV331" i="1" s="1"/>
  <c r="BW330" i="1"/>
  <c r="BV330" i="1" s="1"/>
  <c r="BW329" i="1"/>
  <c r="BV329" i="1" s="1"/>
  <c r="BW328" i="1"/>
  <c r="BV328" i="1" s="1"/>
  <c r="BW327" i="1"/>
  <c r="BV327" i="1" s="1"/>
  <c r="BW326" i="1"/>
  <c r="BV326" i="1" s="1"/>
  <c r="BW325" i="1"/>
  <c r="BV325" i="1" s="1"/>
  <c r="BW324" i="1"/>
  <c r="BV324" i="1" s="1"/>
  <c r="BW323" i="1"/>
  <c r="BV323" i="1" s="1"/>
  <c r="BW322" i="1"/>
  <c r="BV322" i="1" s="1"/>
  <c r="BW321" i="1"/>
  <c r="BV321" i="1" s="1"/>
  <c r="BW320" i="1"/>
  <c r="BV320" i="1" s="1"/>
  <c r="BW319" i="1"/>
  <c r="BV319" i="1" s="1"/>
  <c r="BW318" i="1"/>
  <c r="BV318" i="1" s="1"/>
  <c r="BW317" i="1"/>
  <c r="BV317" i="1" s="1"/>
  <c r="BW316" i="1"/>
  <c r="BV316" i="1" s="1"/>
  <c r="BW315" i="1"/>
  <c r="BV315" i="1" s="1"/>
  <c r="BW314" i="1"/>
  <c r="BV314" i="1" s="1"/>
  <c r="BW313" i="1"/>
  <c r="BV313" i="1" s="1"/>
  <c r="BW312" i="1"/>
  <c r="BV312" i="1" s="1"/>
  <c r="BW311" i="1"/>
  <c r="BV311" i="1" s="1"/>
  <c r="BW310" i="1"/>
  <c r="BV310" i="1" s="1"/>
  <c r="BW309" i="1"/>
  <c r="BV309" i="1" s="1"/>
  <c r="BW308" i="1"/>
  <c r="BV308" i="1" s="1"/>
  <c r="BW307" i="1"/>
  <c r="BV307" i="1" s="1"/>
  <c r="BW306" i="1"/>
  <c r="BV306" i="1" s="1"/>
  <c r="BW305" i="1"/>
  <c r="BV305" i="1" s="1"/>
  <c r="BW304" i="1"/>
  <c r="BV304" i="1" s="1"/>
  <c r="BW303" i="1"/>
  <c r="BV303" i="1" s="1"/>
  <c r="BW302" i="1"/>
  <c r="BV302" i="1" s="1"/>
  <c r="BW301" i="1"/>
  <c r="BV301" i="1" s="1"/>
  <c r="BW300" i="1"/>
  <c r="BV300" i="1" s="1"/>
  <c r="BW299" i="1"/>
  <c r="BV299" i="1" s="1"/>
  <c r="BW298" i="1"/>
  <c r="BV298" i="1" s="1"/>
  <c r="BW297" i="1"/>
  <c r="BV297" i="1" s="1"/>
  <c r="BW296" i="1"/>
  <c r="BV296" i="1" s="1"/>
  <c r="BW295" i="1"/>
  <c r="BV295" i="1" s="1"/>
  <c r="BW294" i="1"/>
  <c r="BV294" i="1" s="1"/>
  <c r="BW293" i="1"/>
  <c r="BV293" i="1" s="1"/>
  <c r="BW292" i="1"/>
  <c r="BV292" i="1" s="1"/>
  <c r="BW291" i="1"/>
  <c r="BV291" i="1" s="1"/>
  <c r="BW290" i="1"/>
  <c r="BV290" i="1" s="1"/>
  <c r="BW289" i="1"/>
  <c r="BV289" i="1" s="1"/>
  <c r="BW288" i="1"/>
  <c r="BV288" i="1" s="1"/>
  <c r="BW287" i="1"/>
  <c r="BV287" i="1" s="1"/>
  <c r="BW286" i="1"/>
  <c r="BV286" i="1" s="1"/>
  <c r="BW285" i="1"/>
  <c r="BV285" i="1" s="1"/>
  <c r="BW284" i="1"/>
  <c r="BV284" i="1" s="1"/>
  <c r="BW283" i="1"/>
  <c r="BV283" i="1" s="1"/>
  <c r="BW282" i="1"/>
  <c r="BV282" i="1" s="1"/>
  <c r="BW281" i="1"/>
  <c r="BV281" i="1" s="1"/>
  <c r="BW280" i="1"/>
  <c r="BV280" i="1" s="1"/>
  <c r="BW279" i="1"/>
  <c r="BV279" i="1" s="1"/>
  <c r="BW278" i="1"/>
  <c r="BV278" i="1" s="1"/>
  <c r="BW277" i="1"/>
  <c r="BV277" i="1" s="1"/>
  <c r="BW276" i="1"/>
  <c r="BV276" i="1" s="1"/>
  <c r="BW275" i="1"/>
  <c r="BV275" i="1" s="1"/>
  <c r="BW274" i="1"/>
  <c r="BV274" i="1" s="1"/>
  <c r="BW273" i="1"/>
  <c r="BV273" i="1" s="1"/>
  <c r="BW272" i="1"/>
  <c r="BV272" i="1" s="1"/>
  <c r="BW271" i="1"/>
  <c r="BV271" i="1" s="1"/>
  <c r="BW270" i="1"/>
  <c r="BV270" i="1" s="1"/>
  <c r="BW269" i="1"/>
  <c r="BV269" i="1" s="1"/>
  <c r="BW268" i="1"/>
  <c r="BV268" i="1" s="1"/>
  <c r="BW267" i="1"/>
  <c r="BV267" i="1" s="1"/>
  <c r="BW266" i="1"/>
  <c r="BV266" i="1" s="1"/>
  <c r="BW265" i="1"/>
  <c r="BV265" i="1" s="1"/>
  <c r="BW264" i="1"/>
  <c r="BV264" i="1" s="1"/>
  <c r="BW263" i="1"/>
  <c r="BV263" i="1" s="1"/>
  <c r="BW262" i="1"/>
  <c r="BV262" i="1" s="1"/>
  <c r="BW261" i="1"/>
  <c r="BV261" i="1" s="1"/>
  <c r="BW260" i="1"/>
  <c r="BV260" i="1" s="1"/>
  <c r="BW259" i="1"/>
  <c r="BV259" i="1" s="1"/>
  <c r="BW258" i="1"/>
  <c r="BV258" i="1" s="1"/>
  <c r="BW257" i="1"/>
  <c r="BV257" i="1" s="1"/>
  <c r="BW256" i="1"/>
  <c r="BV256" i="1" s="1"/>
  <c r="BW255" i="1"/>
  <c r="BV255" i="1" s="1"/>
  <c r="BW254" i="1"/>
  <c r="BV254" i="1" s="1"/>
  <c r="BW253" i="1"/>
  <c r="BV253" i="1" s="1"/>
  <c r="BW252" i="1"/>
  <c r="BV252" i="1" s="1"/>
  <c r="BW251" i="1"/>
  <c r="BV251" i="1" s="1"/>
  <c r="BW250" i="1"/>
  <c r="BV250" i="1" s="1"/>
  <c r="BW249" i="1"/>
  <c r="BV249" i="1" s="1"/>
  <c r="BW248" i="1"/>
  <c r="BV248" i="1" s="1"/>
  <c r="BW247" i="1"/>
  <c r="BV247" i="1" s="1"/>
  <c r="BW246" i="1"/>
  <c r="BV246" i="1" s="1"/>
  <c r="BW245" i="1"/>
  <c r="BV245" i="1" s="1"/>
  <c r="BW244" i="1"/>
  <c r="BV244" i="1" s="1"/>
  <c r="BW243" i="1"/>
  <c r="BV243" i="1" s="1"/>
  <c r="BW242" i="1"/>
  <c r="BV242" i="1" s="1"/>
  <c r="BW241" i="1"/>
  <c r="BV241" i="1" s="1"/>
  <c r="BW240" i="1"/>
  <c r="BV240" i="1" s="1"/>
  <c r="BW239" i="1"/>
  <c r="BV239" i="1" s="1"/>
  <c r="BW238" i="1"/>
  <c r="BV238" i="1" s="1"/>
  <c r="BW237" i="1"/>
  <c r="BV237" i="1" s="1"/>
  <c r="BW236" i="1"/>
  <c r="BV236" i="1" s="1"/>
  <c r="BW235" i="1"/>
  <c r="BV235" i="1" s="1"/>
  <c r="BW234" i="1"/>
  <c r="BV234" i="1" s="1"/>
  <c r="BW233" i="1"/>
  <c r="BV233" i="1" s="1"/>
  <c r="BW232" i="1"/>
  <c r="BV232" i="1" s="1"/>
  <c r="BW231" i="1"/>
  <c r="BV231" i="1" s="1"/>
  <c r="BW230" i="1"/>
  <c r="BV230" i="1" s="1"/>
  <c r="BW229" i="1"/>
  <c r="BV229" i="1" s="1"/>
  <c r="BW228" i="1"/>
  <c r="BV228" i="1" s="1"/>
  <c r="BW227" i="1"/>
  <c r="BV227" i="1" s="1"/>
  <c r="BW226" i="1"/>
  <c r="BV226" i="1" s="1"/>
  <c r="BW225" i="1"/>
  <c r="BV225" i="1" s="1"/>
  <c r="BW224" i="1"/>
  <c r="BV224" i="1" s="1"/>
  <c r="BW223" i="1"/>
  <c r="BV223" i="1" s="1"/>
  <c r="BW222" i="1"/>
  <c r="BV222" i="1" s="1"/>
  <c r="BW221" i="1"/>
  <c r="BV221" i="1" s="1"/>
  <c r="BW220" i="1"/>
  <c r="BV220" i="1" s="1"/>
  <c r="BW219" i="1"/>
  <c r="BV219" i="1" s="1"/>
  <c r="BW218" i="1"/>
  <c r="BV218" i="1" s="1"/>
  <c r="BW217" i="1"/>
  <c r="BV217" i="1" s="1"/>
  <c r="BW216" i="1"/>
  <c r="BV216" i="1" s="1"/>
  <c r="BW215" i="1"/>
  <c r="BV215" i="1" s="1"/>
  <c r="BW214" i="1"/>
  <c r="BV214" i="1" s="1"/>
  <c r="BW213" i="1"/>
  <c r="BV213" i="1" s="1"/>
  <c r="BW212" i="1"/>
  <c r="BV212" i="1" s="1"/>
  <c r="BW211" i="1"/>
  <c r="BV211" i="1" s="1"/>
  <c r="BW210" i="1"/>
  <c r="BV210" i="1" s="1"/>
  <c r="BW209" i="1"/>
  <c r="BV209" i="1" s="1"/>
  <c r="BW208" i="1"/>
  <c r="BV208" i="1" s="1"/>
  <c r="BW207" i="1"/>
  <c r="BV207" i="1" s="1"/>
  <c r="BW206" i="1"/>
  <c r="BV206" i="1" s="1"/>
  <c r="BW205" i="1"/>
  <c r="BV205" i="1" s="1"/>
  <c r="BW204" i="1"/>
  <c r="BV204" i="1" s="1"/>
  <c r="BW203" i="1"/>
  <c r="BV203" i="1" s="1"/>
  <c r="BW202" i="1"/>
  <c r="BV202" i="1" s="1"/>
  <c r="BW201" i="1"/>
  <c r="BV201" i="1" s="1"/>
  <c r="BW200" i="1"/>
  <c r="BV200" i="1" s="1"/>
  <c r="BW199" i="1"/>
  <c r="BV199" i="1" s="1"/>
  <c r="BW198" i="1"/>
  <c r="BV198" i="1" s="1"/>
  <c r="BW197" i="1"/>
  <c r="BV197" i="1" s="1"/>
  <c r="BW196" i="1"/>
  <c r="BV196" i="1" s="1"/>
  <c r="BW195" i="1"/>
  <c r="BV195" i="1" s="1"/>
  <c r="BW194" i="1"/>
  <c r="BV194" i="1" s="1"/>
  <c r="BW193" i="1"/>
  <c r="BV193" i="1" s="1"/>
  <c r="BW192" i="1"/>
  <c r="BV192" i="1" s="1"/>
  <c r="BW191" i="1"/>
  <c r="BV191" i="1" s="1"/>
  <c r="BW190" i="1"/>
  <c r="BV190" i="1" s="1"/>
  <c r="BW189" i="1"/>
  <c r="BV189" i="1" s="1"/>
  <c r="BW188" i="1"/>
  <c r="BV188" i="1" s="1"/>
  <c r="BW187" i="1"/>
  <c r="BV187" i="1" s="1"/>
  <c r="BW186" i="1"/>
  <c r="BV186" i="1" s="1"/>
  <c r="BW185" i="1"/>
  <c r="BV185" i="1" s="1"/>
  <c r="BW184" i="1"/>
  <c r="BV184" i="1" s="1"/>
  <c r="BW183" i="1"/>
  <c r="BV183" i="1" s="1"/>
  <c r="BW182" i="1"/>
  <c r="BV182" i="1" s="1"/>
  <c r="BW181" i="1"/>
  <c r="BV181" i="1" s="1"/>
  <c r="BW180" i="1"/>
  <c r="BV180" i="1" s="1"/>
  <c r="BW179" i="1"/>
  <c r="BV179" i="1" s="1"/>
  <c r="BW178" i="1"/>
  <c r="BV178" i="1" s="1"/>
  <c r="BW177" i="1"/>
  <c r="BV177" i="1" s="1"/>
  <c r="BW176" i="1"/>
  <c r="BV176" i="1" s="1"/>
  <c r="BW175" i="1"/>
  <c r="BV175" i="1" s="1"/>
  <c r="BW174" i="1"/>
  <c r="BV174" i="1" s="1"/>
  <c r="BW173" i="1"/>
  <c r="BV173" i="1" s="1"/>
  <c r="BW172" i="1"/>
  <c r="BV172" i="1" s="1"/>
  <c r="BW171" i="1"/>
  <c r="BV171" i="1" s="1"/>
  <c r="BW170" i="1"/>
  <c r="BV170" i="1" s="1"/>
  <c r="BW169" i="1"/>
  <c r="BV169" i="1" s="1"/>
  <c r="BW168" i="1"/>
  <c r="BV168" i="1" s="1"/>
  <c r="BW167" i="1"/>
  <c r="BV167" i="1" s="1"/>
  <c r="BW166" i="1"/>
  <c r="BV166" i="1" s="1"/>
  <c r="BW165" i="1"/>
  <c r="BV165" i="1" s="1"/>
  <c r="BW164" i="1"/>
  <c r="BV164" i="1" s="1"/>
  <c r="BW163" i="1"/>
  <c r="BV163" i="1" s="1"/>
  <c r="BW162" i="1"/>
  <c r="BV162" i="1" s="1"/>
  <c r="BW161" i="1"/>
  <c r="BV161" i="1" s="1"/>
  <c r="BW160" i="1"/>
  <c r="BV160" i="1" s="1"/>
  <c r="BW159" i="1"/>
  <c r="BV159" i="1" s="1"/>
  <c r="BW158" i="1"/>
  <c r="BV158" i="1" s="1"/>
  <c r="BW157" i="1"/>
  <c r="BV157" i="1" s="1"/>
  <c r="BW156" i="1"/>
  <c r="BV156" i="1" s="1"/>
  <c r="BW155" i="1"/>
  <c r="BV155" i="1" s="1"/>
  <c r="BW154" i="1"/>
  <c r="BV154" i="1" s="1"/>
  <c r="BW153" i="1"/>
  <c r="BV153" i="1" s="1"/>
  <c r="BW152" i="1"/>
  <c r="BV152" i="1" s="1"/>
  <c r="BW151" i="1"/>
  <c r="BV151" i="1" s="1"/>
  <c r="BW150" i="1"/>
  <c r="BV150" i="1" s="1"/>
  <c r="BW149" i="1"/>
  <c r="BV149" i="1" s="1"/>
  <c r="BW148" i="1"/>
  <c r="BV148" i="1" s="1"/>
  <c r="BW147" i="1"/>
  <c r="BV147" i="1" s="1"/>
  <c r="BW146" i="1"/>
  <c r="BV146" i="1" s="1"/>
  <c r="BW145" i="1"/>
  <c r="BV145" i="1" s="1"/>
  <c r="BW144" i="1"/>
  <c r="BV144" i="1" s="1"/>
  <c r="BW143" i="1"/>
  <c r="BV143" i="1" s="1"/>
  <c r="BW142" i="1"/>
  <c r="BV142" i="1" s="1"/>
  <c r="BW141" i="1"/>
  <c r="BV141" i="1" s="1"/>
  <c r="BW140" i="1"/>
  <c r="BV140" i="1" s="1"/>
  <c r="BW139" i="1"/>
  <c r="BV139" i="1" s="1"/>
  <c r="BW138" i="1"/>
  <c r="BV138" i="1" s="1"/>
  <c r="BW137" i="1"/>
  <c r="BV137" i="1" s="1"/>
  <c r="BW136" i="1"/>
  <c r="BV136" i="1" s="1"/>
  <c r="BW135" i="1"/>
  <c r="BV135" i="1" s="1"/>
  <c r="BW134" i="1"/>
  <c r="BV134" i="1" s="1"/>
  <c r="BW133" i="1"/>
  <c r="BV133" i="1" s="1"/>
  <c r="BW132" i="1"/>
  <c r="BV132" i="1" s="1"/>
  <c r="BW131" i="1"/>
  <c r="BV131" i="1" s="1"/>
  <c r="BW130" i="1"/>
  <c r="BV130" i="1" s="1"/>
  <c r="BW129" i="1"/>
  <c r="BV129" i="1" s="1"/>
  <c r="BW128" i="1"/>
  <c r="BV128" i="1" s="1"/>
  <c r="BW127" i="1"/>
  <c r="BV127" i="1" s="1"/>
  <c r="BW126" i="1"/>
  <c r="BV126" i="1" s="1"/>
  <c r="BW125" i="1"/>
  <c r="BV125" i="1" s="1"/>
  <c r="BW124" i="1"/>
  <c r="BV124" i="1" s="1"/>
  <c r="BW123" i="1"/>
  <c r="BV123" i="1" s="1"/>
  <c r="BW122" i="1"/>
  <c r="BV122" i="1" s="1"/>
  <c r="BW121" i="1"/>
  <c r="BV121" i="1" s="1"/>
  <c r="BW120" i="1"/>
  <c r="BV120" i="1" s="1"/>
  <c r="BW119" i="1"/>
  <c r="BV119" i="1" s="1"/>
  <c r="BW118" i="1"/>
  <c r="BV118" i="1" s="1"/>
  <c r="BW117" i="1"/>
  <c r="BV117" i="1" s="1"/>
  <c r="BW116" i="1"/>
  <c r="BV116" i="1" s="1"/>
  <c r="BW115" i="1"/>
  <c r="BV115" i="1" s="1"/>
  <c r="BW114" i="1"/>
  <c r="BV114" i="1" s="1"/>
  <c r="BW113" i="1"/>
  <c r="BV113" i="1" s="1"/>
  <c r="BW112" i="1"/>
  <c r="BV112" i="1" s="1"/>
  <c r="BW111" i="1"/>
  <c r="BV111" i="1" s="1"/>
  <c r="BW110" i="1"/>
  <c r="BV110" i="1" s="1"/>
  <c r="BW109" i="1"/>
  <c r="BV109" i="1" s="1"/>
  <c r="BW108" i="1"/>
  <c r="BV108" i="1" s="1"/>
  <c r="BW107" i="1"/>
  <c r="BV107" i="1" s="1"/>
  <c r="BW106" i="1"/>
  <c r="BV106" i="1" s="1"/>
  <c r="BW105" i="1"/>
  <c r="BV105" i="1" s="1"/>
  <c r="BW104" i="1"/>
  <c r="BV104" i="1" s="1"/>
  <c r="BW103" i="1"/>
  <c r="BV103" i="1" s="1"/>
  <c r="BW102" i="1"/>
  <c r="BV102" i="1" s="1"/>
  <c r="BW101" i="1"/>
  <c r="BV101" i="1" s="1"/>
  <c r="BW100" i="1"/>
  <c r="BV100" i="1" s="1"/>
  <c r="BW99" i="1"/>
  <c r="BV99" i="1" s="1"/>
  <c r="BW98" i="1"/>
  <c r="BV98" i="1" s="1"/>
  <c r="BW97" i="1"/>
  <c r="BV97" i="1" s="1"/>
  <c r="BW96" i="1"/>
  <c r="BV96" i="1" s="1"/>
  <c r="BW95" i="1"/>
  <c r="BV95" i="1" s="1"/>
  <c r="BW94" i="1"/>
  <c r="BV94" i="1" s="1"/>
  <c r="BW93" i="1"/>
  <c r="BV93" i="1" s="1"/>
  <c r="BW92" i="1"/>
  <c r="BV92" i="1" s="1"/>
  <c r="BW91" i="1"/>
  <c r="BV91" i="1" s="1"/>
  <c r="BW90" i="1"/>
  <c r="BV90" i="1" s="1"/>
  <c r="BW89" i="1"/>
  <c r="BV89" i="1" s="1"/>
  <c r="BW88" i="1"/>
  <c r="BV88" i="1" s="1"/>
  <c r="BW87" i="1"/>
  <c r="BV87" i="1" s="1"/>
  <c r="BW86" i="1"/>
  <c r="BV86" i="1" s="1"/>
  <c r="BW85" i="1"/>
  <c r="BV85" i="1" s="1"/>
  <c r="BW84" i="1"/>
  <c r="BV84" i="1" s="1"/>
  <c r="BW83" i="1"/>
  <c r="BV83" i="1" s="1"/>
  <c r="BW82" i="1"/>
  <c r="BV82" i="1" s="1"/>
  <c r="BW81" i="1"/>
  <c r="BV81" i="1" s="1"/>
  <c r="BW80" i="1"/>
  <c r="BV80" i="1" s="1"/>
  <c r="BW79" i="1"/>
  <c r="BV79" i="1" s="1"/>
  <c r="BW78" i="1"/>
  <c r="BV78" i="1" s="1"/>
  <c r="BW77" i="1"/>
  <c r="BV77" i="1" s="1"/>
  <c r="BW76" i="1"/>
  <c r="BV76" i="1" s="1"/>
  <c r="BW75" i="1"/>
  <c r="BV75" i="1" s="1"/>
  <c r="BW74" i="1"/>
  <c r="BV74" i="1" s="1"/>
  <c r="BW73" i="1"/>
  <c r="BV73" i="1" s="1"/>
  <c r="BW72" i="1"/>
  <c r="BV72" i="1" s="1"/>
  <c r="BW71" i="1"/>
  <c r="BV71" i="1" s="1"/>
  <c r="BW70" i="1"/>
  <c r="BV70" i="1" s="1"/>
  <c r="BW69" i="1"/>
  <c r="BV69" i="1" s="1"/>
  <c r="BW68" i="1"/>
  <c r="BV68" i="1" s="1"/>
  <c r="BW67" i="1"/>
  <c r="BV67" i="1" s="1"/>
  <c r="BW66" i="1"/>
  <c r="BV66" i="1" s="1"/>
  <c r="BW65" i="1"/>
  <c r="BV65" i="1" s="1"/>
  <c r="BW64" i="1"/>
  <c r="BV64" i="1" s="1"/>
  <c r="BW63" i="1"/>
  <c r="BV63" i="1" s="1"/>
  <c r="BW62" i="1"/>
  <c r="BV62" i="1" s="1"/>
  <c r="BW61" i="1"/>
  <c r="BV61" i="1" s="1"/>
  <c r="BW60" i="1"/>
  <c r="BV60" i="1" s="1"/>
  <c r="BW59" i="1"/>
  <c r="BV59" i="1" s="1"/>
  <c r="BW58" i="1"/>
  <c r="BV58" i="1" s="1"/>
  <c r="BW57" i="1"/>
  <c r="BV57" i="1" s="1"/>
  <c r="BW56" i="1"/>
  <c r="BV56" i="1" s="1"/>
  <c r="BW55" i="1"/>
  <c r="BV55" i="1" s="1"/>
  <c r="BW54" i="1"/>
  <c r="BV54" i="1" s="1"/>
  <c r="BW53" i="1"/>
  <c r="BV53" i="1" s="1"/>
  <c r="BW52" i="1"/>
  <c r="BV52" i="1" s="1"/>
  <c r="BW51" i="1"/>
  <c r="BV51" i="1" s="1"/>
  <c r="BW50" i="1"/>
  <c r="BV50" i="1" s="1"/>
  <c r="BW49" i="1"/>
  <c r="BV49" i="1" s="1"/>
  <c r="BW48" i="1"/>
  <c r="BV48" i="1" s="1"/>
  <c r="BW47" i="1"/>
  <c r="BV47" i="1" s="1"/>
  <c r="BW46" i="1"/>
  <c r="BV46" i="1" s="1"/>
  <c r="BW45" i="1"/>
  <c r="BV45" i="1" s="1"/>
  <c r="BW44" i="1"/>
  <c r="BV44" i="1" s="1"/>
  <c r="CA987" i="1" l="1"/>
  <c r="CD987" i="1"/>
  <c r="CA991" i="1"/>
  <c r="CD991" i="1"/>
  <c r="CA995" i="1"/>
  <c r="CD995" i="1"/>
  <c r="CA999" i="1"/>
  <c r="CD999" i="1"/>
  <c r="CA1003" i="1"/>
  <c r="CD1003" i="1"/>
  <c r="CA1007" i="1"/>
  <c r="CD1007" i="1"/>
  <c r="CA1011" i="1"/>
  <c r="CD1011" i="1"/>
  <c r="CA45" i="1"/>
  <c r="CA49" i="1"/>
  <c r="CA53" i="1"/>
  <c r="CA57" i="1"/>
  <c r="CA61" i="1"/>
  <c r="CA65" i="1"/>
  <c r="CA69" i="1"/>
  <c r="CA73" i="1"/>
  <c r="CA77" i="1"/>
  <c r="CA81" i="1"/>
  <c r="CA85" i="1"/>
  <c r="CA89" i="1"/>
  <c r="CA93" i="1"/>
  <c r="CA97" i="1"/>
  <c r="CA101" i="1"/>
  <c r="CA105" i="1"/>
  <c r="CA109" i="1"/>
  <c r="CA113" i="1"/>
  <c r="CA117" i="1"/>
  <c r="CA121" i="1"/>
  <c r="CA125" i="1"/>
  <c r="CA129" i="1"/>
  <c r="CA133" i="1"/>
  <c r="CA137" i="1"/>
  <c r="CA141" i="1"/>
  <c r="CA145" i="1"/>
  <c r="CA149" i="1"/>
  <c r="CA153" i="1"/>
  <c r="CA157" i="1"/>
  <c r="CA161" i="1"/>
  <c r="CA165" i="1"/>
  <c r="CA169" i="1"/>
  <c r="CA173" i="1"/>
  <c r="CA177" i="1"/>
  <c r="CA181" i="1"/>
  <c r="CA185" i="1"/>
  <c r="CA189" i="1"/>
  <c r="CA193" i="1"/>
  <c r="CA197" i="1"/>
  <c r="CA201" i="1"/>
  <c r="CA205" i="1"/>
  <c r="CA209" i="1"/>
  <c r="CA213" i="1"/>
  <c r="CA217" i="1"/>
  <c r="CA221" i="1"/>
  <c r="CA225" i="1"/>
  <c r="CA229" i="1"/>
  <c r="CA233" i="1"/>
  <c r="CA237" i="1"/>
  <c r="CA241" i="1"/>
  <c r="CA245" i="1"/>
  <c r="CA249" i="1"/>
  <c r="CA253" i="1"/>
  <c r="CA257" i="1"/>
  <c r="CA261" i="1"/>
  <c r="CA265" i="1"/>
  <c r="CA269" i="1"/>
  <c r="CA273" i="1"/>
  <c r="CA277" i="1"/>
  <c r="CA281" i="1"/>
  <c r="CA285" i="1"/>
  <c r="CA289" i="1"/>
  <c r="CA293" i="1"/>
  <c r="CA297" i="1"/>
  <c r="CA301" i="1"/>
  <c r="CA305" i="1"/>
  <c r="CA309" i="1"/>
  <c r="CA313" i="1"/>
  <c r="CA317" i="1"/>
  <c r="CA321" i="1"/>
  <c r="CA325" i="1"/>
  <c r="CA329" i="1"/>
  <c r="CA333" i="1"/>
  <c r="CA337" i="1"/>
  <c r="CA341" i="1"/>
  <c r="CA345" i="1"/>
  <c r="CA349" i="1"/>
  <c r="CA353" i="1"/>
  <c r="CA357" i="1"/>
  <c r="CA361" i="1"/>
  <c r="CA365" i="1"/>
  <c r="CA369" i="1"/>
  <c r="CA373" i="1"/>
  <c r="CA377" i="1"/>
  <c r="CA381" i="1"/>
  <c r="CA385" i="1"/>
  <c r="CA389" i="1"/>
  <c r="CA393" i="1"/>
  <c r="CA397" i="1"/>
  <c r="CA401" i="1"/>
  <c r="CA405" i="1"/>
  <c r="CA409" i="1"/>
  <c r="CA413" i="1"/>
  <c r="CA417" i="1"/>
  <c r="CA421" i="1"/>
  <c r="CA425" i="1"/>
  <c r="CA429" i="1"/>
  <c r="CA433" i="1"/>
  <c r="CA437" i="1"/>
  <c r="CA441" i="1"/>
  <c r="CA445" i="1"/>
  <c r="CA449" i="1"/>
  <c r="CA453" i="1"/>
  <c r="CA457" i="1"/>
  <c r="CA461" i="1"/>
  <c r="CA465" i="1"/>
  <c r="CA469" i="1"/>
  <c r="CA473" i="1"/>
  <c r="CA477" i="1"/>
  <c r="CA481" i="1"/>
  <c r="CA485" i="1"/>
  <c r="CA489" i="1"/>
  <c r="CA493" i="1"/>
  <c r="CA497" i="1"/>
  <c r="CA501" i="1"/>
  <c r="CA505" i="1"/>
  <c r="CA509" i="1"/>
  <c r="CA513" i="1"/>
  <c r="CA517" i="1"/>
  <c r="CA521" i="1"/>
  <c r="CA525" i="1"/>
  <c r="CA529" i="1"/>
  <c r="CA533" i="1"/>
  <c r="CA537" i="1"/>
  <c r="CA541" i="1"/>
  <c r="CA545" i="1"/>
  <c r="CA549" i="1"/>
  <c r="CA553" i="1"/>
  <c r="CA557" i="1"/>
  <c r="CA561" i="1"/>
  <c r="CA565" i="1"/>
  <c r="CA569" i="1"/>
  <c r="CA573" i="1"/>
  <c r="CA577" i="1"/>
  <c r="CA581" i="1"/>
  <c r="CA585" i="1"/>
  <c r="CA589" i="1"/>
  <c r="CA593" i="1"/>
  <c r="CA597" i="1"/>
  <c r="CA601" i="1"/>
  <c r="CA605" i="1"/>
  <c r="CA609" i="1"/>
  <c r="CA613" i="1"/>
  <c r="CA617" i="1"/>
  <c r="CA621" i="1"/>
  <c r="CA625" i="1"/>
  <c r="CA629" i="1"/>
  <c r="CA633" i="1"/>
  <c r="CA637" i="1"/>
  <c r="CA641" i="1"/>
  <c r="CA645" i="1"/>
  <c r="CA649" i="1"/>
  <c r="CA653" i="1"/>
  <c r="CA657" i="1"/>
  <c r="CA661" i="1"/>
  <c r="CA665" i="1"/>
  <c r="CA669" i="1"/>
  <c r="CA673" i="1"/>
  <c r="CA677" i="1"/>
  <c r="CA681" i="1"/>
  <c r="CA685" i="1"/>
  <c r="CA689" i="1"/>
  <c r="CA693" i="1"/>
  <c r="CA697" i="1"/>
  <c r="CA701" i="1"/>
  <c r="CA705" i="1"/>
  <c r="CA709" i="1"/>
  <c r="CA713" i="1"/>
  <c r="CA717" i="1"/>
  <c r="CA721" i="1"/>
  <c r="CA725" i="1"/>
  <c r="CA729" i="1"/>
  <c r="CA733" i="1"/>
  <c r="CA737" i="1"/>
  <c r="CA741" i="1"/>
  <c r="CA745" i="1"/>
  <c r="CA749" i="1"/>
  <c r="CA753" i="1"/>
  <c r="CA757" i="1"/>
  <c r="CA761" i="1"/>
  <c r="CA765" i="1"/>
  <c r="CA769" i="1"/>
  <c r="CA773" i="1"/>
  <c r="CA777" i="1"/>
  <c r="CA781" i="1"/>
  <c r="CA785" i="1"/>
  <c r="CA789" i="1"/>
  <c r="CA793" i="1"/>
  <c r="CA797" i="1"/>
  <c r="CA801" i="1"/>
  <c r="CA805" i="1"/>
  <c r="CA809" i="1"/>
  <c r="CA813" i="1"/>
  <c r="CA817" i="1"/>
  <c r="CA821" i="1"/>
  <c r="CA825" i="1"/>
  <c r="CA829" i="1"/>
  <c r="CA833" i="1"/>
  <c r="CA837" i="1"/>
  <c r="CA841" i="1"/>
  <c r="CA845" i="1"/>
  <c r="CA849" i="1"/>
  <c r="CA853" i="1"/>
  <c r="CA857" i="1"/>
  <c r="CA861" i="1"/>
  <c r="CA865" i="1"/>
  <c r="CA869" i="1"/>
  <c r="CA873" i="1"/>
  <c r="CA877" i="1"/>
  <c r="CA881" i="1"/>
  <c r="CA885" i="1"/>
  <c r="CA889" i="1"/>
  <c r="CA893" i="1"/>
  <c r="CA897" i="1"/>
  <c r="CA901" i="1"/>
  <c r="CA905" i="1"/>
  <c r="CA909" i="1"/>
  <c r="CA913" i="1"/>
  <c r="CA917" i="1"/>
  <c r="CA921" i="1"/>
  <c r="CA925" i="1"/>
  <c r="CA929" i="1"/>
  <c r="CA933" i="1"/>
  <c r="CA937" i="1"/>
  <c r="CA941" i="1"/>
  <c r="CA945" i="1"/>
  <c r="CA949" i="1"/>
  <c r="CA953" i="1"/>
  <c r="CA957" i="1"/>
  <c r="CA961" i="1"/>
  <c r="CA965" i="1"/>
  <c r="CA969" i="1"/>
  <c r="CA973" i="1"/>
  <c r="CA977" i="1"/>
  <c r="CA981" i="1"/>
  <c r="CA985" i="1"/>
  <c r="CA986" i="1"/>
  <c r="CD986" i="1"/>
  <c r="CA990" i="1"/>
  <c r="CD990" i="1"/>
  <c r="CA994" i="1"/>
  <c r="CD994" i="1"/>
  <c r="CA998" i="1"/>
  <c r="CD998" i="1"/>
  <c r="CA1002" i="1"/>
  <c r="CD1002" i="1"/>
  <c r="CA1006" i="1"/>
  <c r="CD1006" i="1"/>
  <c r="CA1010" i="1"/>
  <c r="CD1010" i="1"/>
  <c r="CA44" i="1"/>
  <c r="CA48" i="1"/>
  <c r="CA52" i="1"/>
  <c r="CA56" i="1"/>
  <c r="CA60" i="1"/>
  <c r="CA64" i="1"/>
  <c r="CA68" i="1"/>
  <c r="CA72" i="1"/>
  <c r="CA76" i="1"/>
  <c r="CA80" i="1"/>
  <c r="CA84" i="1"/>
  <c r="CA88" i="1"/>
  <c r="CA92" i="1"/>
  <c r="CA96" i="1"/>
  <c r="CA100" i="1"/>
  <c r="CA104" i="1"/>
  <c r="CA108" i="1"/>
  <c r="CA112" i="1"/>
  <c r="CA116" i="1"/>
  <c r="CA120" i="1"/>
  <c r="CA124" i="1"/>
  <c r="CA128" i="1"/>
  <c r="CA132" i="1"/>
  <c r="CA136" i="1"/>
  <c r="CA140" i="1"/>
  <c r="CA144" i="1"/>
  <c r="CA148" i="1"/>
  <c r="CA152" i="1"/>
  <c r="CA156" i="1"/>
  <c r="CA160" i="1"/>
  <c r="CA164" i="1"/>
  <c r="CA168" i="1"/>
  <c r="CA172" i="1"/>
  <c r="CA176" i="1"/>
  <c r="CA180" i="1"/>
  <c r="CA184" i="1"/>
  <c r="CA188" i="1"/>
  <c r="CA192" i="1"/>
  <c r="CA196" i="1"/>
  <c r="CA200" i="1"/>
  <c r="CA204" i="1"/>
  <c r="CA208" i="1"/>
  <c r="CA212" i="1"/>
  <c r="CA216" i="1"/>
  <c r="CA220" i="1"/>
  <c r="CA224" i="1"/>
  <c r="CA228" i="1"/>
  <c r="CA232" i="1"/>
  <c r="CA236" i="1"/>
  <c r="CA240" i="1"/>
  <c r="CA244" i="1"/>
  <c r="CA248" i="1"/>
  <c r="CA252" i="1"/>
  <c r="CA256" i="1"/>
  <c r="CA260" i="1"/>
  <c r="CA264" i="1"/>
  <c r="CA268" i="1"/>
  <c r="CA272" i="1"/>
  <c r="CA276" i="1"/>
  <c r="CA280" i="1"/>
  <c r="CA284" i="1"/>
  <c r="CA288" i="1"/>
  <c r="CA292" i="1"/>
  <c r="CA296" i="1"/>
  <c r="CA300" i="1"/>
  <c r="CA304" i="1"/>
  <c r="CA308" i="1"/>
  <c r="CA312" i="1"/>
  <c r="CA316" i="1"/>
  <c r="CA320" i="1"/>
  <c r="CA324" i="1"/>
  <c r="CA328" i="1"/>
  <c r="CA332" i="1"/>
  <c r="CA336" i="1"/>
  <c r="CA340" i="1"/>
  <c r="CA344" i="1"/>
  <c r="CA348" i="1"/>
  <c r="CA352" i="1"/>
  <c r="CA356" i="1"/>
  <c r="CA360" i="1"/>
  <c r="CA364" i="1"/>
  <c r="CA368" i="1"/>
  <c r="CA372" i="1"/>
  <c r="CA376" i="1"/>
  <c r="CA380" i="1"/>
  <c r="CA384" i="1"/>
  <c r="CA388" i="1"/>
  <c r="CA392" i="1"/>
  <c r="CA396" i="1"/>
  <c r="CA400" i="1"/>
  <c r="CA404" i="1"/>
  <c r="CA408" i="1"/>
  <c r="CA412" i="1"/>
  <c r="CA416" i="1"/>
  <c r="CA420" i="1"/>
  <c r="CA424" i="1"/>
  <c r="CA428" i="1"/>
  <c r="CA432" i="1"/>
  <c r="CA436" i="1"/>
  <c r="CA440" i="1"/>
  <c r="CA444" i="1"/>
  <c r="CA448" i="1"/>
  <c r="CA452" i="1"/>
  <c r="CA456" i="1"/>
  <c r="CA460" i="1"/>
  <c r="CA464" i="1"/>
  <c r="CA468" i="1"/>
  <c r="CA472" i="1"/>
  <c r="CA476" i="1"/>
  <c r="CA480" i="1"/>
  <c r="CA484" i="1"/>
  <c r="CA488" i="1"/>
  <c r="CA492" i="1"/>
  <c r="CA496" i="1"/>
  <c r="CA500" i="1"/>
  <c r="CA504" i="1"/>
  <c r="CA508" i="1"/>
  <c r="CA512" i="1"/>
  <c r="CA516" i="1"/>
  <c r="CA520" i="1"/>
  <c r="CA524" i="1"/>
  <c r="CA528" i="1"/>
  <c r="CA532" i="1"/>
  <c r="CA536" i="1"/>
  <c r="CA540" i="1"/>
  <c r="CA544" i="1"/>
  <c r="CA548" i="1"/>
  <c r="CA552" i="1"/>
  <c r="CA556" i="1"/>
  <c r="CA560" i="1"/>
  <c r="CA564" i="1"/>
  <c r="CA568" i="1"/>
  <c r="CA572" i="1"/>
  <c r="CA576" i="1"/>
  <c r="CA580" i="1"/>
  <c r="CA584" i="1"/>
  <c r="CA588" i="1"/>
  <c r="CA592" i="1"/>
  <c r="CA596" i="1"/>
  <c r="CA600" i="1"/>
  <c r="CA604" i="1"/>
  <c r="CA608" i="1"/>
  <c r="CA612" i="1"/>
  <c r="CA616" i="1"/>
  <c r="CA620" i="1"/>
  <c r="CA624" i="1"/>
  <c r="CA628" i="1"/>
  <c r="CA632" i="1"/>
  <c r="CA636" i="1"/>
  <c r="CA640" i="1"/>
  <c r="CA644" i="1"/>
  <c r="CA648" i="1"/>
  <c r="CA652" i="1"/>
  <c r="CA656" i="1"/>
  <c r="CA660" i="1"/>
  <c r="CA664" i="1"/>
  <c r="CA668" i="1"/>
  <c r="CA672" i="1"/>
  <c r="CA676" i="1"/>
  <c r="CA680" i="1"/>
  <c r="CA684" i="1"/>
  <c r="CA688" i="1"/>
  <c r="CA692" i="1"/>
  <c r="CA696" i="1"/>
  <c r="CA700" i="1"/>
  <c r="CA704" i="1"/>
  <c r="CA708" i="1"/>
  <c r="CA712" i="1"/>
  <c r="CA716" i="1"/>
  <c r="CA720" i="1"/>
  <c r="CA724" i="1"/>
  <c r="CA728" i="1"/>
  <c r="CA732" i="1"/>
  <c r="CA736" i="1"/>
  <c r="CA740" i="1"/>
  <c r="CA744" i="1"/>
  <c r="CA748" i="1"/>
  <c r="CA752" i="1"/>
  <c r="CA756" i="1"/>
  <c r="CA760" i="1"/>
  <c r="CA764" i="1"/>
  <c r="CA768" i="1"/>
  <c r="CA772" i="1"/>
  <c r="CA776" i="1"/>
  <c r="CA780" i="1"/>
  <c r="CA784" i="1"/>
  <c r="CA788" i="1"/>
  <c r="CA792" i="1"/>
  <c r="CA796" i="1"/>
  <c r="CA800" i="1"/>
  <c r="CA804" i="1"/>
  <c r="CA808" i="1"/>
  <c r="CA812" i="1"/>
  <c r="CA816" i="1"/>
  <c r="CA820" i="1"/>
  <c r="CA824" i="1"/>
  <c r="CA828" i="1"/>
  <c r="CA832" i="1"/>
  <c r="CA836" i="1"/>
  <c r="CA840" i="1"/>
  <c r="CA844" i="1"/>
  <c r="CA848" i="1"/>
  <c r="CA852" i="1"/>
  <c r="CA856" i="1"/>
  <c r="CA860" i="1"/>
  <c r="CA864" i="1"/>
  <c r="CA868" i="1"/>
  <c r="CA872" i="1"/>
  <c r="CA876" i="1"/>
  <c r="CA880" i="1"/>
  <c r="CA884" i="1"/>
  <c r="CA888" i="1"/>
  <c r="CA892" i="1"/>
  <c r="CA896" i="1"/>
  <c r="CA900" i="1"/>
  <c r="CA904" i="1"/>
  <c r="CA908" i="1"/>
  <c r="CA912" i="1"/>
  <c r="CA916" i="1"/>
  <c r="CA920" i="1"/>
  <c r="CA924" i="1"/>
  <c r="CA928" i="1"/>
  <c r="CA932" i="1"/>
  <c r="CA936" i="1"/>
  <c r="CA940" i="1"/>
  <c r="CA944" i="1"/>
  <c r="CA948" i="1"/>
  <c r="CA952" i="1"/>
  <c r="CA956" i="1"/>
  <c r="CA960" i="1"/>
  <c r="CA964" i="1"/>
  <c r="CA968" i="1"/>
  <c r="CA972" i="1"/>
  <c r="CA976" i="1"/>
  <c r="CA980" i="1"/>
  <c r="CA984" i="1"/>
  <c r="CD989" i="1"/>
  <c r="CA989" i="1"/>
  <c r="CD993" i="1"/>
  <c r="CA993" i="1"/>
  <c r="CD997" i="1"/>
  <c r="CA997" i="1"/>
  <c r="CD1001" i="1"/>
  <c r="CA1001" i="1"/>
  <c r="CD1005" i="1"/>
  <c r="CA1005" i="1"/>
  <c r="CD1009" i="1"/>
  <c r="CA1009" i="1"/>
  <c r="CA47" i="1"/>
  <c r="CA51" i="1"/>
  <c r="CA55" i="1"/>
  <c r="CA59" i="1"/>
  <c r="CA63" i="1"/>
  <c r="CA67" i="1"/>
  <c r="CA71" i="1"/>
  <c r="CA75" i="1"/>
  <c r="CA79" i="1"/>
  <c r="CA83" i="1"/>
  <c r="CA87" i="1"/>
  <c r="CA91" i="1"/>
  <c r="CA95" i="1"/>
  <c r="CA99" i="1"/>
  <c r="CA103" i="1"/>
  <c r="CA107" i="1"/>
  <c r="CA111" i="1"/>
  <c r="CA115" i="1"/>
  <c r="CA119" i="1"/>
  <c r="CA123" i="1"/>
  <c r="CA127" i="1"/>
  <c r="CA131" i="1"/>
  <c r="CA135" i="1"/>
  <c r="CA139" i="1"/>
  <c r="CA143" i="1"/>
  <c r="CA147" i="1"/>
  <c r="CA151" i="1"/>
  <c r="CA155" i="1"/>
  <c r="CA159" i="1"/>
  <c r="CA163" i="1"/>
  <c r="CA167" i="1"/>
  <c r="CA171" i="1"/>
  <c r="CA175" i="1"/>
  <c r="CA179" i="1"/>
  <c r="CA183" i="1"/>
  <c r="CA187" i="1"/>
  <c r="CA191" i="1"/>
  <c r="CA195" i="1"/>
  <c r="CA199" i="1"/>
  <c r="CA203" i="1"/>
  <c r="CA207" i="1"/>
  <c r="CA211" i="1"/>
  <c r="CA215" i="1"/>
  <c r="CA219" i="1"/>
  <c r="CA223" i="1"/>
  <c r="CA227" i="1"/>
  <c r="CA231" i="1"/>
  <c r="CA235" i="1"/>
  <c r="CA239" i="1"/>
  <c r="CA243" i="1"/>
  <c r="CA247" i="1"/>
  <c r="CA251" i="1"/>
  <c r="CA255" i="1"/>
  <c r="CA259" i="1"/>
  <c r="CA263" i="1"/>
  <c r="CA267" i="1"/>
  <c r="CA271" i="1"/>
  <c r="CA275" i="1"/>
  <c r="CA279" i="1"/>
  <c r="CA283" i="1"/>
  <c r="CA287" i="1"/>
  <c r="CA291" i="1"/>
  <c r="CA295" i="1"/>
  <c r="CA299" i="1"/>
  <c r="CA303" i="1"/>
  <c r="CA307" i="1"/>
  <c r="CA311" i="1"/>
  <c r="CA315" i="1"/>
  <c r="CA319" i="1"/>
  <c r="CA323" i="1"/>
  <c r="CA327" i="1"/>
  <c r="CA331" i="1"/>
  <c r="CA335" i="1"/>
  <c r="CA339" i="1"/>
  <c r="CA343" i="1"/>
  <c r="CA347" i="1"/>
  <c r="CA351" i="1"/>
  <c r="CA355" i="1"/>
  <c r="CA359" i="1"/>
  <c r="CA363" i="1"/>
  <c r="CA367" i="1"/>
  <c r="CA371" i="1"/>
  <c r="CA375" i="1"/>
  <c r="CA379" i="1"/>
  <c r="CA383" i="1"/>
  <c r="CA387" i="1"/>
  <c r="CA391" i="1"/>
  <c r="CA395" i="1"/>
  <c r="CA399" i="1"/>
  <c r="CA403" i="1"/>
  <c r="CA407" i="1"/>
  <c r="CA411" i="1"/>
  <c r="CA415" i="1"/>
  <c r="CA419" i="1"/>
  <c r="CA423" i="1"/>
  <c r="CA427" i="1"/>
  <c r="CA431" i="1"/>
  <c r="CA435" i="1"/>
  <c r="CA439" i="1"/>
  <c r="CA443" i="1"/>
  <c r="CA447" i="1"/>
  <c r="CA451" i="1"/>
  <c r="CA455" i="1"/>
  <c r="CA459" i="1"/>
  <c r="CA463" i="1"/>
  <c r="CA467" i="1"/>
  <c r="CA471" i="1"/>
  <c r="CA475" i="1"/>
  <c r="CA479" i="1"/>
  <c r="CA483" i="1"/>
  <c r="CA487" i="1"/>
  <c r="CA491" i="1"/>
  <c r="CA495" i="1"/>
  <c r="CA499" i="1"/>
  <c r="CA503" i="1"/>
  <c r="CA507" i="1"/>
  <c r="CA511" i="1"/>
  <c r="CA515" i="1"/>
  <c r="CA519" i="1"/>
  <c r="CA523" i="1"/>
  <c r="CA527" i="1"/>
  <c r="CA531" i="1"/>
  <c r="CA535" i="1"/>
  <c r="CA539" i="1"/>
  <c r="CA543" i="1"/>
  <c r="CA547" i="1"/>
  <c r="CA551" i="1"/>
  <c r="CA555" i="1"/>
  <c r="CA559" i="1"/>
  <c r="CA563" i="1"/>
  <c r="CA567" i="1"/>
  <c r="CA571" i="1"/>
  <c r="CA575" i="1"/>
  <c r="CA579" i="1"/>
  <c r="CA583" i="1"/>
  <c r="CA587" i="1"/>
  <c r="CA591" i="1"/>
  <c r="CA595" i="1"/>
  <c r="CA599" i="1"/>
  <c r="CA603" i="1"/>
  <c r="CA607" i="1"/>
  <c r="CA611" i="1"/>
  <c r="CA615" i="1"/>
  <c r="CA619" i="1"/>
  <c r="CA623" i="1"/>
  <c r="CA627" i="1"/>
  <c r="CA631" i="1"/>
  <c r="CA635" i="1"/>
  <c r="CA639" i="1"/>
  <c r="CA643" i="1"/>
  <c r="CA647" i="1"/>
  <c r="CA651" i="1"/>
  <c r="CA655" i="1"/>
  <c r="CA659" i="1"/>
  <c r="CA663" i="1"/>
  <c r="CA667" i="1"/>
  <c r="CA671" i="1"/>
  <c r="CA675" i="1"/>
  <c r="CA679" i="1"/>
  <c r="CA683" i="1"/>
  <c r="CA687" i="1"/>
  <c r="CA691" i="1"/>
  <c r="CA695" i="1"/>
  <c r="CA699" i="1"/>
  <c r="CA703" i="1"/>
  <c r="CA707" i="1"/>
  <c r="CA711" i="1"/>
  <c r="CA715" i="1"/>
  <c r="CA719" i="1"/>
  <c r="CA723" i="1"/>
  <c r="CA727" i="1"/>
  <c r="CA731" i="1"/>
  <c r="CA735" i="1"/>
  <c r="CA739" i="1"/>
  <c r="CA743" i="1"/>
  <c r="CA747" i="1"/>
  <c r="CA751" i="1"/>
  <c r="CA755" i="1"/>
  <c r="CA759" i="1"/>
  <c r="CA763" i="1"/>
  <c r="CA767" i="1"/>
  <c r="CA771" i="1"/>
  <c r="CA775" i="1"/>
  <c r="CA779" i="1"/>
  <c r="CA783" i="1"/>
  <c r="CA787" i="1"/>
  <c r="CA791" i="1"/>
  <c r="CA795" i="1"/>
  <c r="CA799" i="1"/>
  <c r="CA803" i="1"/>
  <c r="CA807" i="1"/>
  <c r="CA811" i="1"/>
  <c r="CA815" i="1"/>
  <c r="CA819" i="1"/>
  <c r="CA823" i="1"/>
  <c r="CA827" i="1"/>
  <c r="CA831" i="1"/>
  <c r="CA835" i="1"/>
  <c r="CA839" i="1"/>
  <c r="CA843" i="1"/>
  <c r="CA847" i="1"/>
  <c r="CA851" i="1"/>
  <c r="CA855" i="1"/>
  <c r="CA859" i="1"/>
  <c r="CA863" i="1"/>
  <c r="CA867" i="1"/>
  <c r="CA871" i="1"/>
  <c r="CA875" i="1"/>
  <c r="CA879" i="1"/>
  <c r="CA883" i="1"/>
  <c r="CA887" i="1"/>
  <c r="CA891" i="1"/>
  <c r="CA895" i="1"/>
  <c r="CA899" i="1"/>
  <c r="CA903" i="1"/>
  <c r="CA907" i="1"/>
  <c r="CA911" i="1"/>
  <c r="CA915" i="1"/>
  <c r="CA919" i="1"/>
  <c r="CA923" i="1"/>
  <c r="CA927" i="1"/>
  <c r="CA931" i="1"/>
  <c r="CA935" i="1"/>
  <c r="CA939" i="1"/>
  <c r="CA943" i="1"/>
  <c r="CA947" i="1"/>
  <c r="CA951" i="1"/>
  <c r="CA955" i="1"/>
  <c r="CA959" i="1"/>
  <c r="CA963" i="1"/>
  <c r="CA967" i="1"/>
  <c r="CA971" i="1"/>
  <c r="CA975" i="1"/>
  <c r="CA979" i="1"/>
  <c r="CA983" i="1"/>
  <c r="CD988" i="1"/>
  <c r="CA988" i="1"/>
  <c r="CD992" i="1"/>
  <c r="CA992" i="1"/>
  <c r="CD996" i="1"/>
  <c r="CA996" i="1"/>
  <c r="CD1000" i="1"/>
  <c r="CA1000" i="1"/>
  <c r="CD1004" i="1"/>
  <c r="CA1004" i="1"/>
  <c r="CD1008" i="1"/>
  <c r="CA1008" i="1"/>
  <c r="CA46" i="1"/>
  <c r="CA50" i="1"/>
  <c r="CA54" i="1"/>
  <c r="CA58" i="1"/>
  <c r="CA62" i="1"/>
  <c r="CA66" i="1"/>
  <c r="CA70" i="1"/>
  <c r="CA74" i="1"/>
  <c r="CA78" i="1"/>
  <c r="CA82" i="1"/>
  <c r="CA86" i="1"/>
  <c r="CA90" i="1"/>
  <c r="CA94" i="1"/>
  <c r="CA98" i="1"/>
  <c r="CA102" i="1"/>
  <c r="CA106" i="1"/>
  <c r="CA110" i="1"/>
  <c r="CA114" i="1"/>
  <c r="CA118" i="1"/>
  <c r="CA122" i="1"/>
  <c r="CA126" i="1"/>
  <c r="CA130" i="1"/>
  <c r="CA134" i="1"/>
  <c r="CA138" i="1"/>
  <c r="CA142" i="1"/>
  <c r="CA146" i="1"/>
  <c r="CA150" i="1"/>
  <c r="CA154" i="1"/>
  <c r="CA158" i="1"/>
  <c r="CA162" i="1"/>
  <c r="CA166" i="1"/>
  <c r="CA170" i="1"/>
  <c r="CA174" i="1"/>
  <c r="CA178" i="1"/>
  <c r="CA182" i="1"/>
  <c r="CA186" i="1"/>
  <c r="CA190" i="1"/>
  <c r="CA194" i="1"/>
  <c r="CA198" i="1"/>
  <c r="CA202" i="1"/>
  <c r="CA206" i="1"/>
  <c r="CA210" i="1"/>
  <c r="CA214" i="1"/>
  <c r="CA218" i="1"/>
  <c r="CA222" i="1"/>
  <c r="CA226" i="1"/>
  <c r="CA230" i="1"/>
  <c r="CA234" i="1"/>
  <c r="CA238" i="1"/>
  <c r="CA242" i="1"/>
  <c r="CA246" i="1"/>
  <c r="CA250" i="1"/>
  <c r="CA254" i="1"/>
  <c r="CA258" i="1"/>
  <c r="CA262" i="1"/>
  <c r="CA266" i="1"/>
  <c r="CA270" i="1"/>
  <c r="CA274" i="1"/>
  <c r="CA278" i="1"/>
  <c r="CA282" i="1"/>
  <c r="CA286" i="1"/>
  <c r="CA290" i="1"/>
  <c r="CA294" i="1"/>
  <c r="CA298" i="1"/>
  <c r="CA302" i="1"/>
  <c r="CA306" i="1"/>
  <c r="CA310" i="1"/>
  <c r="CA314" i="1"/>
  <c r="CA318" i="1"/>
  <c r="CA322" i="1"/>
  <c r="CA326" i="1"/>
  <c r="CA330" i="1"/>
  <c r="CA334" i="1"/>
  <c r="CA338" i="1"/>
  <c r="CA342" i="1"/>
  <c r="CA346" i="1"/>
  <c r="CA350" i="1"/>
  <c r="CA354" i="1"/>
  <c r="CA358" i="1"/>
  <c r="CA362" i="1"/>
  <c r="CA366" i="1"/>
  <c r="CA370" i="1"/>
  <c r="CA374" i="1"/>
  <c r="CA378" i="1"/>
  <c r="CA382" i="1"/>
  <c r="CA386" i="1"/>
  <c r="CA390" i="1"/>
  <c r="CA394" i="1"/>
  <c r="CA398" i="1"/>
  <c r="CA402" i="1"/>
  <c r="CA406" i="1"/>
  <c r="CA410" i="1"/>
  <c r="CA414" i="1"/>
  <c r="CA418" i="1"/>
  <c r="CA422" i="1"/>
  <c r="CA426" i="1"/>
  <c r="CA430" i="1"/>
  <c r="CA434" i="1"/>
  <c r="CA438" i="1"/>
  <c r="CA442" i="1"/>
  <c r="CA446" i="1"/>
  <c r="CA450" i="1"/>
  <c r="CA454" i="1"/>
  <c r="CA458" i="1"/>
  <c r="CA462" i="1"/>
  <c r="CA466" i="1"/>
  <c r="CA470" i="1"/>
  <c r="CA474" i="1"/>
  <c r="CA478" i="1"/>
  <c r="CA482" i="1"/>
  <c r="CA486" i="1"/>
  <c r="CA490" i="1"/>
  <c r="CA494" i="1"/>
  <c r="CA498" i="1"/>
  <c r="CA502" i="1"/>
  <c r="CA506" i="1"/>
  <c r="CA510" i="1"/>
  <c r="CA514" i="1"/>
  <c r="CA518" i="1"/>
  <c r="CA522" i="1"/>
  <c r="CA526" i="1"/>
  <c r="CA530" i="1"/>
  <c r="CA534" i="1"/>
  <c r="CA538" i="1"/>
  <c r="CA542" i="1"/>
  <c r="CA546" i="1"/>
  <c r="CA550" i="1"/>
  <c r="CA554" i="1"/>
  <c r="CA558" i="1"/>
  <c r="CA562" i="1"/>
  <c r="CA566" i="1"/>
  <c r="CA570" i="1"/>
  <c r="CA574" i="1"/>
  <c r="CA578" i="1"/>
  <c r="CA582" i="1"/>
  <c r="CA586" i="1"/>
  <c r="CA590" i="1"/>
  <c r="CA594" i="1"/>
  <c r="CA598" i="1"/>
  <c r="CA602" i="1"/>
  <c r="CA606" i="1"/>
  <c r="CA610" i="1"/>
  <c r="CA614" i="1"/>
  <c r="CA618" i="1"/>
  <c r="CA622" i="1"/>
  <c r="CA626" i="1"/>
  <c r="CA630" i="1"/>
  <c r="CA634" i="1"/>
  <c r="CA638" i="1"/>
  <c r="CA642" i="1"/>
  <c r="CA646" i="1"/>
  <c r="CA650" i="1"/>
  <c r="CA654" i="1"/>
  <c r="CA658" i="1"/>
  <c r="CA662" i="1"/>
  <c r="CA666" i="1"/>
  <c r="CA670" i="1"/>
  <c r="CA674" i="1"/>
  <c r="CA678" i="1"/>
  <c r="CA682" i="1"/>
  <c r="CA686" i="1"/>
  <c r="CA690" i="1"/>
  <c r="CA694" i="1"/>
  <c r="CA698" i="1"/>
  <c r="CA702" i="1"/>
  <c r="CA706" i="1"/>
  <c r="CA710" i="1"/>
  <c r="CA714" i="1"/>
  <c r="CA718" i="1"/>
  <c r="CA722" i="1"/>
  <c r="CA726" i="1"/>
  <c r="CA730" i="1"/>
  <c r="CA734" i="1"/>
  <c r="CA738" i="1"/>
  <c r="CA742" i="1"/>
  <c r="CA746" i="1"/>
  <c r="CA750" i="1"/>
  <c r="CA754" i="1"/>
  <c r="CA758" i="1"/>
  <c r="CA762" i="1"/>
  <c r="CA766" i="1"/>
  <c r="CA770" i="1"/>
  <c r="CA774" i="1"/>
  <c r="CA778" i="1"/>
  <c r="CA782" i="1"/>
  <c r="CA786" i="1"/>
  <c r="CA790" i="1"/>
  <c r="CA794" i="1"/>
  <c r="CA798" i="1"/>
  <c r="CA802" i="1"/>
  <c r="CA806" i="1"/>
  <c r="CA810" i="1"/>
  <c r="CA814" i="1"/>
  <c r="CA818" i="1"/>
  <c r="CA822" i="1"/>
  <c r="CA826" i="1"/>
  <c r="CA830" i="1"/>
  <c r="CA834" i="1"/>
  <c r="CA838" i="1"/>
  <c r="CA842" i="1"/>
  <c r="CA846" i="1"/>
  <c r="CA850" i="1"/>
  <c r="CA854" i="1"/>
  <c r="CA858" i="1"/>
  <c r="CA862" i="1"/>
  <c r="CA866" i="1"/>
  <c r="CA870" i="1"/>
  <c r="CA874" i="1"/>
  <c r="CA878" i="1"/>
  <c r="CA882" i="1"/>
  <c r="CA886" i="1"/>
  <c r="CA890" i="1"/>
  <c r="CA894" i="1"/>
  <c r="CA898" i="1"/>
  <c r="CA902" i="1"/>
  <c r="CA906" i="1"/>
  <c r="CA910" i="1"/>
  <c r="CA914" i="1"/>
  <c r="CA918" i="1"/>
  <c r="CA922" i="1"/>
  <c r="CA926" i="1"/>
  <c r="CA930" i="1"/>
  <c r="CA934" i="1"/>
  <c r="CA938" i="1"/>
  <c r="CA942" i="1"/>
  <c r="CA946" i="1"/>
  <c r="CA950" i="1"/>
  <c r="CA954" i="1"/>
  <c r="CA958" i="1"/>
  <c r="CA962" i="1"/>
  <c r="CA966" i="1"/>
  <c r="CA970" i="1"/>
  <c r="CA974" i="1"/>
  <c r="CA978" i="1"/>
  <c r="CA982" i="1"/>
  <c r="BV989" i="1"/>
  <c r="BY989" i="1"/>
  <c r="BV993" i="1"/>
  <c r="BY993" i="1"/>
  <c r="BV997" i="1"/>
  <c r="BY997" i="1"/>
  <c r="BV1001" i="1"/>
  <c r="BY1001" i="1"/>
  <c r="BV1005" i="1"/>
  <c r="BY1005" i="1"/>
  <c r="BV1009" i="1"/>
  <c r="BY1009" i="1"/>
  <c r="BY44" i="1"/>
  <c r="BY48" i="1"/>
  <c r="BY52" i="1"/>
  <c r="BY56" i="1"/>
  <c r="BY60" i="1"/>
  <c r="BY64" i="1"/>
  <c r="BY68" i="1"/>
  <c r="BY72" i="1"/>
  <c r="BY76" i="1"/>
  <c r="BY80" i="1"/>
  <c r="BY84" i="1"/>
  <c r="BY88" i="1"/>
  <c r="BY92" i="1"/>
  <c r="BY96" i="1"/>
  <c r="BY100" i="1"/>
  <c r="BY104" i="1"/>
  <c r="BY108" i="1"/>
  <c r="BY112" i="1"/>
  <c r="BY116" i="1"/>
  <c r="BY120" i="1"/>
  <c r="BY124" i="1"/>
  <c r="BY128" i="1"/>
  <c r="BY132" i="1"/>
  <c r="BY136" i="1"/>
  <c r="BY140" i="1"/>
  <c r="BY144" i="1"/>
  <c r="BY148" i="1"/>
  <c r="BY152" i="1"/>
  <c r="BY156" i="1"/>
  <c r="BY160" i="1"/>
  <c r="BY164" i="1"/>
  <c r="BY168" i="1"/>
  <c r="BY172" i="1"/>
  <c r="BY176" i="1"/>
  <c r="BY180" i="1"/>
  <c r="BY184" i="1"/>
  <c r="BY188" i="1"/>
  <c r="BY192" i="1"/>
  <c r="BY196" i="1"/>
  <c r="BY200" i="1"/>
  <c r="BY204" i="1"/>
  <c r="BY208" i="1"/>
  <c r="BY212" i="1"/>
  <c r="BY216" i="1"/>
  <c r="BY220" i="1"/>
  <c r="BY224" i="1"/>
  <c r="BY228" i="1"/>
  <c r="BY232" i="1"/>
  <c r="BY236" i="1"/>
  <c r="BY240" i="1"/>
  <c r="BY244" i="1"/>
  <c r="BY248" i="1"/>
  <c r="BY252" i="1"/>
  <c r="BY256" i="1"/>
  <c r="BY260" i="1"/>
  <c r="BY264" i="1"/>
  <c r="BY268" i="1"/>
  <c r="BY272" i="1"/>
  <c r="BY276" i="1"/>
  <c r="BY280" i="1"/>
  <c r="BY284" i="1"/>
  <c r="BY288" i="1"/>
  <c r="BY292" i="1"/>
  <c r="BY296" i="1"/>
  <c r="BY300" i="1"/>
  <c r="BY304" i="1"/>
  <c r="BY308" i="1"/>
  <c r="BY312" i="1"/>
  <c r="BY316" i="1"/>
  <c r="BY320" i="1"/>
  <c r="BY324" i="1"/>
  <c r="BY328" i="1"/>
  <c r="BY332" i="1"/>
  <c r="BY336" i="1"/>
  <c r="BY340" i="1"/>
  <c r="BY344" i="1"/>
  <c r="BY348" i="1"/>
  <c r="BY352" i="1"/>
  <c r="BY356" i="1"/>
  <c r="BY360" i="1"/>
  <c r="BY364" i="1"/>
  <c r="BY368" i="1"/>
  <c r="BY372" i="1"/>
  <c r="BY376" i="1"/>
  <c r="BY380" i="1"/>
  <c r="BY384" i="1"/>
  <c r="BY388" i="1"/>
  <c r="BY392" i="1"/>
  <c r="BY396" i="1"/>
  <c r="BY400" i="1"/>
  <c r="BY404" i="1"/>
  <c r="BY408" i="1"/>
  <c r="BY412" i="1"/>
  <c r="BY416" i="1"/>
  <c r="BY420" i="1"/>
  <c r="BY424" i="1"/>
  <c r="BY428" i="1"/>
  <c r="BY432" i="1"/>
  <c r="BY436" i="1"/>
  <c r="BY440" i="1"/>
  <c r="BY444" i="1"/>
  <c r="BY448" i="1"/>
  <c r="BY452" i="1"/>
  <c r="BY456" i="1"/>
  <c r="BY460" i="1"/>
  <c r="BY464" i="1"/>
  <c r="BY468" i="1"/>
  <c r="BY472" i="1"/>
  <c r="BY476" i="1"/>
  <c r="BY480" i="1"/>
  <c r="BY484" i="1"/>
  <c r="BY488" i="1"/>
  <c r="BY492" i="1"/>
  <c r="BY496" i="1"/>
  <c r="BY500" i="1"/>
  <c r="BY504" i="1"/>
  <c r="BY508" i="1"/>
  <c r="BY512" i="1"/>
  <c r="BY516" i="1"/>
  <c r="BY520" i="1"/>
  <c r="BY524" i="1"/>
  <c r="BY528" i="1"/>
  <c r="BY532" i="1"/>
  <c r="BY536" i="1"/>
  <c r="BY540" i="1"/>
  <c r="BY544" i="1"/>
  <c r="BY548" i="1"/>
  <c r="BY552" i="1"/>
  <c r="BY556" i="1"/>
  <c r="BY560" i="1"/>
  <c r="BY564" i="1"/>
  <c r="BY568" i="1"/>
  <c r="BY572" i="1"/>
  <c r="BY576" i="1"/>
  <c r="BY580" i="1"/>
  <c r="BY584" i="1"/>
  <c r="BY588" i="1"/>
  <c r="BY592" i="1"/>
  <c r="BY596" i="1"/>
  <c r="BY600" i="1"/>
  <c r="BY604" i="1"/>
  <c r="BY608" i="1"/>
  <c r="BY612" i="1"/>
  <c r="BY616" i="1"/>
  <c r="BY620" i="1"/>
  <c r="BY624" i="1"/>
  <c r="BY628" i="1"/>
  <c r="BY632" i="1"/>
  <c r="BY636" i="1"/>
  <c r="BY640" i="1"/>
  <c r="BY644" i="1"/>
  <c r="BY648" i="1"/>
  <c r="BY652" i="1"/>
  <c r="BY656" i="1"/>
  <c r="BY660" i="1"/>
  <c r="BY664" i="1"/>
  <c r="BY668" i="1"/>
  <c r="BY672" i="1"/>
  <c r="BY676" i="1"/>
  <c r="BY680" i="1"/>
  <c r="BY684" i="1"/>
  <c r="BY688" i="1"/>
  <c r="BY692" i="1"/>
  <c r="BY696" i="1"/>
  <c r="BY700" i="1"/>
  <c r="BY704" i="1"/>
  <c r="BY708" i="1"/>
  <c r="BY712" i="1"/>
  <c r="BY716" i="1"/>
  <c r="BY720" i="1"/>
  <c r="BY724" i="1"/>
  <c r="BY728" i="1"/>
  <c r="BY732" i="1"/>
  <c r="BY736" i="1"/>
  <c r="BY740" i="1"/>
  <c r="BY744" i="1"/>
  <c r="BY748" i="1"/>
  <c r="BY752" i="1"/>
  <c r="BY756" i="1"/>
  <c r="BY760" i="1"/>
  <c r="BY764" i="1"/>
  <c r="BY768" i="1"/>
  <c r="BY772" i="1"/>
  <c r="BY776" i="1"/>
  <c r="BY780" i="1"/>
  <c r="BY784" i="1"/>
  <c r="BY788" i="1"/>
  <c r="BY792" i="1"/>
  <c r="BY796" i="1"/>
  <c r="BY800" i="1"/>
  <c r="BY804" i="1"/>
  <c r="BY808" i="1"/>
  <c r="BY812" i="1"/>
  <c r="BY816" i="1"/>
  <c r="BY820" i="1"/>
  <c r="BY824" i="1"/>
  <c r="BY828" i="1"/>
  <c r="BY832" i="1"/>
  <c r="BY836" i="1"/>
  <c r="BY840" i="1"/>
  <c r="BY844" i="1"/>
  <c r="BY848" i="1"/>
  <c r="BY852" i="1"/>
  <c r="BY856" i="1"/>
  <c r="BY860" i="1"/>
  <c r="BY864" i="1"/>
  <c r="BY868" i="1"/>
  <c r="BY872" i="1"/>
  <c r="BY876" i="1"/>
  <c r="BY880" i="1"/>
  <c r="BY884" i="1"/>
  <c r="BY888" i="1"/>
  <c r="BY892" i="1"/>
  <c r="BY896" i="1"/>
  <c r="BY900" i="1"/>
  <c r="BY904" i="1"/>
  <c r="BY908" i="1"/>
  <c r="BY912" i="1"/>
  <c r="BY916" i="1"/>
  <c r="BY920" i="1"/>
  <c r="BY924" i="1"/>
  <c r="BY928" i="1"/>
  <c r="BY932" i="1"/>
  <c r="BY936" i="1"/>
  <c r="BY940" i="1"/>
  <c r="BY944" i="1"/>
  <c r="BY948" i="1"/>
  <c r="BY952" i="1"/>
  <c r="BY956" i="1"/>
  <c r="BY960" i="1"/>
  <c r="BY964" i="1"/>
  <c r="BY968" i="1"/>
  <c r="BY972" i="1"/>
  <c r="BY976" i="1"/>
  <c r="BY980" i="1"/>
  <c r="BY984" i="1"/>
  <c r="BV988" i="1"/>
  <c r="BY988" i="1"/>
  <c r="BV992" i="1"/>
  <c r="BY992" i="1"/>
  <c r="BV996" i="1"/>
  <c r="BY996" i="1"/>
  <c r="BV1000" i="1"/>
  <c r="BY1000" i="1"/>
  <c r="BV1004" i="1"/>
  <c r="BY1004" i="1"/>
  <c r="BV1008" i="1"/>
  <c r="BY1008" i="1"/>
  <c r="BY47" i="1"/>
  <c r="BY51" i="1"/>
  <c r="BY55" i="1"/>
  <c r="BY59" i="1"/>
  <c r="BY63" i="1"/>
  <c r="BY67" i="1"/>
  <c r="BY71" i="1"/>
  <c r="BY75" i="1"/>
  <c r="BY79" i="1"/>
  <c r="BY83" i="1"/>
  <c r="BY87" i="1"/>
  <c r="BY91" i="1"/>
  <c r="BY95" i="1"/>
  <c r="BY99" i="1"/>
  <c r="BY103" i="1"/>
  <c r="BY107" i="1"/>
  <c r="BY111" i="1"/>
  <c r="BY115" i="1"/>
  <c r="BY119" i="1"/>
  <c r="BY123" i="1"/>
  <c r="BY127" i="1"/>
  <c r="BY131" i="1"/>
  <c r="BY135" i="1"/>
  <c r="BY139" i="1"/>
  <c r="BY143" i="1"/>
  <c r="BY147" i="1"/>
  <c r="BY151" i="1"/>
  <c r="BY155" i="1"/>
  <c r="BY159" i="1"/>
  <c r="BY163" i="1"/>
  <c r="BY167" i="1"/>
  <c r="BY171" i="1"/>
  <c r="BY175" i="1"/>
  <c r="BY179" i="1"/>
  <c r="BY183" i="1"/>
  <c r="BY187" i="1"/>
  <c r="BY191" i="1"/>
  <c r="BY195" i="1"/>
  <c r="BY199" i="1"/>
  <c r="BY203" i="1"/>
  <c r="BY207" i="1"/>
  <c r="BY211" i="1"/>
  <c r="BY215" i="1"/>
  <c r="BY219" i="1"/>
  <c r="BY223" i="1"/>
  <c r="BY227" i="1"/>
  <c r="BY231" i="1"/>
  <c r="BY235" i="1"/>
  <c r="BY239" i="1"/>
  <c r="BY243" i="1"/>
  <c r="BY247" i="1"/>
  <c r="BY251" i="1"/>
  <c r="BY255" i="1"/>
  <c r="BY259" i="1"/>
  <c r="BY263" i="1"/>
  <c r="BY267" i="1"/>
  <c r="BY271" i="1"/>
  <c r="BY275" i="1"/>
  <c r="BY279" i="1"/>
  <c r="BY283" i="1"/>
  <c r="BY287" i="1"/>
  <c r="BY291" i="1"/>
  <c r="BY295" i="1"/>
  <c r="BY299" i="1"/>
  <c r="BY303" i="1"/>
  <c r="BY307" i="1"/>
  <c r="BY311" i="1"/>
  <c r="BY315" i="1"/>
  <c r="BY319" i="1"/>
  <c r="BY323" i="1"/>
  <c r="BY327" i="1"/>
  <c r="BY331" i="1"/>
  <c r="BY335" i="1"/>
  <c r="BY339" i="1"/>
  <c r="BY343" i="1"/>
  <c r="BY347" i="1"/>
  <c r="BY351" i="1"/>
  <c r="BY355" i="1"/>
  <c r="BY359" i="1"/>
  <c r="BY363" i="1"/>
  <c r="BY367" i="1"/>
  <c r="BY371" i="1"/>
  <c r="BY375" i="1"/>
  <c r="BY379" i="1"/>
  <c r="BY383" i="1"/>
  <c r="BY387" i="1"/>
  <c r="BY391" i="1"/>
  <c r="BY395" i="1"/>
  <c r="BY399" i="1"/>
  <c r="BY403" i="1"/>
  <c r="BY407" i="1"/>
  <c r="BY411" i="1"/>
  <c r="BY415" i="1"/>
  <c r="BY419" i="1"/>
  <c r="BY423" i="1"/>
  <c r="BY427" i="1"/>
  <c r="BY431" i="1"/>
  <c r="BY435" i="1"/>
  <c r="BY439" i="1"/>
  <c r="BY443" i="1"/>
  <c r="BY447" i="1"/>
  <c r="BY451" i="1"/>
  <c r="BY455" i="1"/>
  <c r="BY459" i="1"/>
  <c r="BY463" i="1"/>
  <c r="BY467" i="1"/>
  <c r="BY471" i="1"/>
  <c r="BY475" i="1"/>
  <c r="BY479" i="1"/>
  <c r="BY483" i="1"/>
  <c r="BY487" i="1"/>
  <c r="BY491" i="1"/>
  <c r="BY495" i="1"/>
  <c r="BY499" i="1"/>
  <c r="BY503" i="1"/>
  <c r="BY507" i="1"/>
  <c r="BY511" i="1"/>
  <c r="BY515" i="1"/>
  <c r="BY519" i="1"/>
  <c r="BY523" i="1"/>
  <c r="BY527" i="1"/>
  <c r="BY531" i="1"/>
  <c r="BY535" i="1"/>
  <c r="BY539" i="1"/>
  <c r="BY543" i="1"/>
  <c r="BY547" i="1"/>
  <c r="BY551" i="1"/>
  <c r="BY555" i="1"/>
  <c r="BY559" i="1"/>
  <c r="BY563" i="1"/>
  <c r="BY567" i="1"/>
  <c r="BY571" i="1"/>
  <c r="BY575" i="1"/>
  <c r="BY579" i="1"/>
  <c r="BY583" i="1"/>
  <c r="BY587" i="1"/>
  <c r="BY591" i="1"/>
  <c r="BY595" i="1"/>
  <c r="BY599" i="1"/>
  <c r="BY603" i="1"/>
  <c r="BY607" i="1"/>
  <c r="BY611" i="1"/>
  <c r="BY615" i="1"/>
  <c r="BY619" i="1"/>
  <c r="BY623" i="1"/>
  <c r="BY627" i="1"/>
  <c r="BY631" i="1"/>
  <c r="BY635" i="1"/>
  <c r="BY639" i="1"/>
  <c r="BY643" i="1"/>
  <c r="BY647" i="1"/>
  <c r="BY651" i="1"/>
  <c r="BY655" i="1"/>
  <c r="BY659" i="1"/>
  <c r="BY663" i="1"/>
  <c r="BY667" i="1"/>
  <c r="BY671" i="1"/>
  <c r="BY675" i="1"/>
  <c r="BY679" i="1"/>
  <c r="BY683" i="1"/>
  <c r="BY687" i="1"/>
  <c r="BY691" i="1"/>
  <c r="BY695" i="1"/>
  <c r="BY699" i="1"/>
  <c r="BY703" i="1"/>
  <c r="BY707" i="1"/>
  <c r="BY711" i="1"/>
  <c r="BY715" i="1"/>
  <c r="BY719" i="1"/>
  <c r="BY723" i="1"/>
  <c r="BY727" i="1"/>
  <c r="BY731" i="1"/>
  <c r="BY735" i="1"/>
  <c r="BY739" i="1"/>
  <c r="BY743" i="1"/>
  <c r="BY747" i="1"/>
  <c r="BY751" i="1"/>
  <c r="BY755" i="1"/>
  <c r="BY759" i="1"/>
  <c r="BY763" i="1"/>
  <c r="BY767" i="1"/>
  <c r="BY771" i="1"/>
  <c r="BY775" i="1"/>
  <c r="BY779" i="1"/>
  <c r="BY783" i="1"/>
  <c r="BY787" i="1"/>
  <c r="BY791" i="1"/>
  <c r="BY795" i="1"/>
  <c r="BY799" i="1"/>
  <c r="BY803" i="1"/>
  <c r="BY807" i="1"/>
  <c r="BY811" i="1"/>
  <c r="BY815" i="1"/>
  <c r="BY819" i="1"/>
  <c r="BY823" i="1"/>
  <c r="BY827" i="1"/>
  <c r="BY831" i="1"/>
  <c r="BY835" i="1"/>
  <c r="BY839" i="1"/>
  <c r="BY843" i="1"/>
  <c r="BY847" i="1"/>
  <c r="BY851" i="1"/>
  <c r="BY855" i="1"/>
  <c r="BY859" i="1"/>
  <c r="BY863" i="1"/>
  <c r="BY867" i="1"/>
  <c r="BY871" i="1"/>
  <c r="BY875" i="1"/>
  <c r="BY879" i="1"/>
  <c r="BY883" i="1"/>
  <c r="BY887" i="1"/>
  <c r="BY891" i="1"/>
  <c r="BY895" i="1"/>
  <c r="BY899" i="1"/>
  <c r="BY903" i="1"/>
  <c r="BY907" i="1"/>
  <c r="BY911" i="1"/>
  <c r="BY915" i="1"/>
  <c r="BY919" i="1"/>
  <c r="BY923" i="1"/>
  <c r="BY927" i="1"/>
  <c r="BY931" i="1"/>
  <c r="BY935" i="1"/>
  <c r="BY939" i="1"/>
  <c r="BY943" i="1"/>
  <c r="BY947" i="1"/>
  <c r="BY951" i="1"/>
  <c r="BY955" i="1"/>
  <c r="BY959" i="1"/>
  <c r="BY963" i="1"/>
  <c r="BY967" i="1"/>
  <c r="BY971" i="1"/>
  <c r="BY975" i="1"/>
  <c r="BY979" i="1"/>
  <c r="BY983" i="1"/>
  <c r="BY987" i="1"/>
  <c r="BV991" i="1"/>
  <c r="BY991" i="1"/>
  <c r="BV995" i="1"/>
  <c r="BY995" i="1"/>
  <c r="BV999" i="1"/>
  <c r="BY999" i="1"/>
  <c r="BV1003" i="1"/>
  <c r="BY1003" i="1"/>
  <c r="BV1007" i="1"/>
  <c r="BY1007" i="1"/>
  <c r="BV1011" i="1"/>
  <c r="BY1011" i="1"/>
  <c r="BY46" i="1"/>
  <c r="BY50" i="1"/>
  <c r="BY54" i="1"/>
  <c r="BY58" i="1"/>
  <c r="BY62" i="1"/>
  <c r="BY66" i="1"/>
  <c r="BY70" i="1"/>
  <c r="BY74" i="1"/>
  <c r="BY78" i="1"/>
  <c r="BY82" i="1"/>
  <c r="BY86" i="1"/>
  <c r="BY90" i="1"/>
  <c r="BY94" i="1"/>
  <c r="BY98" i="1"/>
  <c r="BY102" i="1"/>
  <c r="BY106" i="1"/>
  <c r="BY110" i="1"/>
  <c r="BY114" i="1"/>
  <c r="BY118" i="1"/>
  <c r="BY122" i="1"/>
  <c r="BY126" i="1"/>
  <c r="BY130" i="1"/>
  <c r="BY134" i="1"/>
  <c r="BY138" i="1"/>
  <c r="BY142" i="1"/>
  <c r="BY146" i="1"/>
  <c r="BY150" i="1"/>
  <c r="BY154" i="1"/>
  <c r="BY158" i="1"/>
  <c r="BY162" i="1"/>
  <c r="BY166" i="1"/>
  <c r="BY170" i="1"/>
  <c r="BY174" i="1"/>
  <c r="BY178" i="1"/>
  <c r="BY182" i="1"/>
  <c r="BY186" i="1"/>
  <c r="BY190" i="1"/>
  <c r="BY194" i="1"/>
  <c r="BY198" i="1"/>
  <c r="BY202" i="1"/>
  <c r="BY206" i="1"/>
  <c r="BY210" i="1"/>
  <c r="BY214" i="1"/>
  <c r="BY218" i="1"/>
  <c r="BY222" i="1"/>
  <c r="BY226" i="1"/>
  <c r="BY230" i="1"/>
  <c r="BY234" i="1"/>
  <c r="BY238" i="1"/>
  <c r="BY242" i="1"/>
  <c r="BY246" i="1"/>
  <c r="BY250" i="1"/>
  <c r="BY254" i="1"/>
  <c r="BY258" i="1"/>
  <c r="BY262" i="1"/>
  <c r="BY266" i="1"/>
  <c r="BY270" i="1"/>
  <c r="BY274" i="1"/>
  <c r="BY278" i="1"/>
  <c r="BY282" i="1"/>
  <c r="BY286" i="1"/>
  <c r="BY290" i="1"/>
  <c r="BY294" i="1"/>
  <c r="BY298" i="1"/>
  <c r="BY302" i="1"/>
  <c r="BY306" i="1"/>
  <c r="BY310" i="1"/>
  <c r="BY314" i="1"/>
  <c r="BY318" i="1"/>
  <c r="BY322" i="1"/>
  <c r="BY326" i="1"/>
  <c r="BY330" i="1"/>
  <c r="BY334" i="1"/>
  <c r="BY338" i="1"/>
  <c r="BY342" i="1"/>
  <c r="BY346" i="1"/>
  <c r="BY350" i="1"/>
  <c r="BY354" i="1"/>
  <c r="BY358" i="1"/>
  <c r="BY362" i="1"/>
  <c r="BY366" i="1"/>
  <c r="BY370" i="1"/>
  <c r="BY374" i="1"/>
  <c r="BY378" i="1"/>
  <c r="BY382" i="1"/>
  <c r="BY386" i="1"/>
  <c r="BY390" i="1"/>
  <c r="BY394" i="1"/>
  <c r="BY398" i="1"/>
  <c r="BY402" i="1"/>
  <c r="BY406" i="1"/>
  <c r="BY410" i="1"/>
  <c r="BY414" i="1"/>
  <c r="BY418" i="1"/>
  <c r="BY422" i="1"/>
  <c r="BY426" i="1"/>
  <c r="BY430" i="1"/>
  <c r="BY434" i="1"/>
  <c r="BY438" i="1"/>
  <c r="BY442" i="1"/>
  <c r="BY446" i="1"/>
  <c r="BY450" i="1"/>
  <c r="BY454" i="1"/>
  <c r="BY458" i="1"/>
  <c r="BY462" i="1"/>
  <c r="BY466" i="1"/>
  <c r="BY470" i="1"/>
  <c r="BY474" i="1"/>
  <c r="BY478" i="1"/>
  <c r="BY482" i="1"/>
  <c r="BY486" i="1"/>
  <c r="BY490" i="1"/>
  <c r="BY494" i="1"/>
  <c r="BY498" i="1"/>
  <c r="BY502" i="1"/>
  <c r="BY506" i="1"/>
  <c r="BY510" i="1"/>
  <c r="BY514" i="1"/>
  <c r="BY518" i="1"/>
  <c r="BY522" i="1"/>
  <c r="BY526" i="1"/>
  <c r="BY530" i="1"/>
  <c r="BY534" i="1"/>
  <c r="BY538" i="1"/>
  <c r="BY542" i="1"/>
  <c r="BY546" i="1"/>
  <c r="BY550" i="1"/>
  <c r="BY554" i="1"/>
  <c r="BY558" i="1"/>
  <c r="BY562" i="1"/>
  <c r="BY566" i="1"/>
  <c r="BY570" i="1"/>
  <c r="BY574" i="1"/>
  <c r="BY578" i="1"/>
  <c r="BY582" i="1"/>
  <c r="BY586" i="1"/>
  <c r="BY590" i="1"/>
  <c r="BY594" i="1"/>
  <c r="BY598" i="1"/>
  <c r="BY602" i="1"/>
  <c r="BY606" i="1"/>
  <c r="BY610" i="1"/>
  <c r="BY614" i="1"/>
  <c r="BY618" i="1"/>
  <c r="BY622" i="1"/>
  <c r="BY626" i="1"/>
  <c r="BY630" i="1"/>
  <c r="BY634" i="1"/>
  <c r="BY638" i="1"/>
  <c r="BY642" i="1"/>
  <c r="BY646" i="1"/>
  <c r="BY650" i="1"/>
  <c r="BY654" i="1"/>
  <c r="BY658" i="1"/>
  <c r="BY662" i="1"/>
  <c r="BY666" i="1"/>
  <c r="BY670" i="1"/>
  <c r="BY674" i="1"/>
  <c r="BY678" i="1"/>
  <c r="BY682" i="1"/>
  <c r="BY686" i="1"/>
  <c r="BY690" i="1"/>
  <c r="BY694" i="1"/>
  <c r="BY698" i="1"/>
  <c r="BY702" i="1"/>
  <c r="BY706" i="1"/>
  <c r="BY710" i="1"/>
  <c r="BY714" i="1"/>
  <c r="BY718" i="1"/>
  <c r="BY722" i="1"/>
  <c r="BY726" i="1"/>
  <c r="BY730" i="1"/>
  <c r="BY734" i="1"/>
  <c r="BY738" i="1"/>
  <c r="BY742" i="1"/>
  <c r="BY746" i="1"/>
  <c r="BY750" i="1"/>
  <c r="BY754" i="1"/>
  <c r="BY758" i="1"/>
  <c r="BY762" i="1"/>
  <c r="BY766" i="1"/>
  <c r="BY770" i="1"/>
  <c r="BY774" i="1"/>
  <c r="BY778" i="1"/>
  <c r="BY782" i="1"/>
  <c r="BY786" i="1"/>
  <c r="BY790" i="1"/>
  <c r="BY794" i="1"/>
  <c r="BY798" i="1"/>
  <c r="BY802" i="1"/>
  <c r="BY806" i="1"/>
  <c r="BY810" i="1"/>
  <c r="BY814" i="1"/>
  <c r="BY818" i="1"/>
  <c r="BY822" i="1"/>
  <c r="BY826" i="1"/>
  <c r="BY830" i="1"/>
  <c r="BY834" i="1"/>
  <c r="BY838" i="1"/>
  <c r="BY842" i="1"/>
  <c r="BY846" i="1"/>
  <c r="BY850" i="1"/>
  <c r="BY854" i="1"/>
  <c r="BY858" i="1"/>
  <c r="BY862" i="1"/>
  <c r="BY866" i="1"/>
  <c r="BY870" i="1"/>
  <c r="BY874" i="1"/>
  <c r="BY878" i="1"/>
  <c r="BY882" i="1"/>
  <c r="BY886" i="1"/>
  <c r="BY890" i="1"/>
  <c r="BY894" i="1"/>
  <c r="BY898" i="1"/>
  <c r="BY902" i="1"/>
  <c r="BY906" i="1"/>
  <c r="BY910" i="1"/>
  <c r="BY914" i="1"/>
  <c r="BY918" i="1"/>
  <c r="BY922" i="1"/>
  <c r="BY926" i="1"/>
  <c r="BY930" i="1"/>
  <c r="BY934" i="1"/>
  <c r="BY938" i="1"/>
  <c r="BY942" i="1"/>
  <c r="BY946" i="1"/>
  <c r="BY950" i="1"/>
  <c r="BY954" i="1"/>
  <c r="BY958" i="1"/>
  <c r="BY962" i="1"/>
  <c r="BY966" i="1"/>
  <c r="BY970" i="1"/>
  <c r="BY974" i="1"/>
  <c r="BY978" i="1"/>
  <c r="BY982" i="1"/>
  <c r="BY986" i="1"/>
  <c r="BV990" i="1"/>
  <c r="BY990" i="1"/>
  <c r="BV994" i="1"/>
  <c r="BY994" i="1"/>
  <c r="BV998" i="1"/>
  <c r="BY998" i="1"/>
  <c r="BV1002" i="1"/>
  <c r="BY1002" i="1"/>
  <c r="BV1006" i="1"/>
  <c r="BY1006" i="1"/>
  <c r="BV1010" i="1"/>
  <c r="BY1010" i="1"/>
  <c r="BY45" i="1"/>
  <c r="BY49" i="1"/>
  <c r="BY53" i="1"/>
  <c r="BY57" i="1"/>
  <c r="BY61" i="1"/>
  <c r="BY65" i="1"/>
  <c r="BY69" i="1"/>
  <c r="BY73" i="1"/>
  <c r="BY77" i="1"/>
  <c r="BY81" i="1"/>
  <c r="BY85" i="1"/>
  <c r="BY89" i="1"/>
  <c r="BY93" i="1"/>
  <c r="BY97" i="1"/>
  <c r="BY101" i="1"/>
  <c r="BY105" i="1"/>
  <c r="BY109" i="1"/>
  <c r="BY113" i="1"/>
  <c r="BY117" i="1"/>
  <c r="BY121" i="1"/>
  <c r="BY125" i="1"/>
  <c r="BY129" i="1"/>
  <c r="BY133" i="1"/>
  <c r="BY137" i="1"/>
  <c r="BY141" i="1"/>
  <c r="BY145" i="1"/>
  <c r="BY149" i="1"/>
  <c r="BY153" i="1"/>
  <c r="BY157" i="1"/>
  <c r="BY161" i="1"/>
  <c r="BY165" i="1"/>
  <c r="BY169" i="1"/>
  <c r="BY173" i="1"/>
  <c r="BY177" i="1"/>
  <c r="BY181" i="1"/>
  <c r="BY185" i="1"/>
  <c r="BY189" i="1"/>
  <c r="BY193" i="1"/>
  <c r="BY197" i="1"/>
  <c r="BY201" i="1"/>
  <c r="BY205" i="1"/>
  <c r="BY209" i="1"/>
  <c r="BY213" i="1"/>
  <c r="BY217" i="1"/>
  <c r="BY221" i="1"/>
  <c r="BY225" i="1"/>
  <c r="BY229" i="1"/>
  <c r="BY233" i="1"/>
  <c r="BY237" i="1"/>
  <c r="BY241" i="1"/>
  <c r="BY245" i="1"/>
  <c r="BY249" i="1"/>
  <c r="BY253" i="1"/>
  <c r="BY257" i="1"/>
  <c r="BY261" i="1"/>
  <c r="BY265" i="1"/>
  <c r="BY269" i="1"/>
  <c r="BY273" i="1"/>
  <c r="BY277" i="1"/>
  <c r="BY281" i="1"/>
  <c r="BY285" i="1"/>
  <c r="BY289" i="1"/>
  <c r="BY293" i="1"/>
  <c r="BY297" i="1"/>
  <c r="BY301" i="1"/>
  <c r="BY305" i="1"/>
  <c r="BY309" i="1"/>
  <c r="BY313" i="1"/>
  <c r="BY317" i="1"/>
  <c r="BY321" i="1"/>
  <c r="BY325" i="1"/>
  <c r="BY329" i="1"/>
  <c r="BY333" i="1"/>
  <c r="BY337" i="1"/>
  <c r="BY341" i="1"/>
  <c r="BY345" i="1"/>
  <c r="BY349" i="1"/>
  <c r="BY353" i="1"/>
  <c r="BY357" i="1"/>
  <c r="BY361" i="1"/>
  <c r="BY365" i="1"/>
  <c r="BY369" i="1"/>
  <c r="BY373" i="1"/>
  <c r="BY377" i="1"/>
  <c r="BY381" i="1"/>
  <c r="BY385" i="1"/>
  <c r="BY389" i="1"/>
  <c r="BY393" i="1"/>
  <c r="BY397" i="1"/>
  <c r="BY401" i="1"/>
  <c r="BY405" i="1"/>
  <c r="BY409" i="1"/>
  <c r="BY413" i="1"/>
  <c r="BY417" i="1"/>
  <c r="BY421" i="1"/>
  <c r="BY425" i="1"/>
  <c r="BY429" i="1"/>
  <c r="BY433" i="1"/>
  <c r="BY437" i="1"/>
  <c r="BY441" i="1"/>
  <c r="BY445" i="1"/>
  <c r="BY449" i="1"/>
  <c r="BY453" i="1"/>
  <c r="BY457" i="1"/>
  <c r="BY461" i="1"/>
  <c r="BY465" i="1"/>
  <c r="BY469" i="1"/>
  <c r="BY473" i="1"/>
  <c r="BY477" i="1"/>
  <c r="BY481" i="1"/>
  <c r="BY485" i="1"/>
  <c r="BY489" i="1"/>
  <c r="BY493" i="1"/>
  <c r="BY497" i="1"/>
  <c r="BY501" i="1"/>
  <c r="BY505" i="1"/>
  <c r="BY509" i="1"/>
  <c r="BY513" i="1"/>
  <c r="BY517" i="1"/>
  <c r="BY521" i="1"/>
  <c r="BY525" i="1"/>
  <c r="BY529" i="1"/>
  <c r="BY533" i="1"/>
  <c r="BY537" i="1"/>
  <c r="BY541" i="1"/>
  <c r="BY545" i="1"/>
  <c r="BY549" i="1"/>
  <c r="BY553" i="1"/>
  <c r="BY557" i="1"/>
  <c r="BY561" i="1"/>
  <c r="BY565" i="1"/>
  <c r="BY569" i="1"/>
  <c r="BY573" i="1"/>
  <c r="BY577" i="1"/>
  <c r="BY581" i="1"/>
  <c r="BY585" i="1"/>
  <c r="BY589" i="1"/>
  <c r="BY593" i="1"/>
  <c r="BY597" i="1"/>
  <c r="BY601" i="1"/>
  <c r="BY605" i="1"/>
  <c r="BY609" i="1"/>
  <c r="BY613" i="1"/>
  <c r="BY617" i="1"/>
  <c r="BY621" i="1"/>
  <c r="BY625" i="1"/>
  <c r="BY629" i="1"/>
  <c r="BY633" i="1"/>
  <c r="BY637" i="1"/>
  <c r="BY641" i="1"/>
  <c r="BY645" i="1"/>
  <c r="BY649" i="1"/>
  <c r="BY653" i="1"/>
  <c r="BY657" i="1"/>
  <c r="BY661" i="1"/>
  <c r="BY665" i="1"/>
  <c r="BY669" i="1"/>
  <c r="BY673" i="1"/>
  <c r="BY677" i="1"/>
  <c r="BY681" i="1"/>
  <c r="BY685" i="1"/>
  <c r="BY689" i="1"/>
  <c r="BY693" i="1"/>
  <c r="BY697" i="1"/>
  <c r="BY701" i="1"/>
  <c r="BY705" i="1"/>
  <c r="BY709" i="1"/>
  <c r="BY713" i="1"/>
  <c r="BY717" i="1"/>
  <c r="BY721" i="1"/>
  <c r="BY725" i="1"/>
  <c r="BY729" i="1"/>
  <c r="BY733" i="1"/>
  <c r="BY737" i="1"/>
  <c r="BY741" i="1"/>
  <c r="BY745" i="1"/>
  <c r="BY749" i="1"/>
  <c r="BY753" i="1"/>
  <c r="BY757" i="1"/>
  <c r="BY761" i="1"/>
  <c r="BY765" i="1"/>
  <c r="BY769" i="1"/>
  <c r="BY773" i="1"/>
  <c r="BY777" i="1"/>
  <c r="BY781" i="1"/>
  <c r="BY785" i="1"/>
  <c r="BY789" i="1"/>
  <c r="BY793" i="1"/>
  <c r="BY797" i="1"/>
  <c r="BY801" i="1"/>
  <c r="BY805" i="1"/>
  <c r="BY809" i="1"/>
  <c r="BY813" i="1"/>
  <c r="BY817" i="1"/>
  <c r="BY821" i="1"/>
  <c r="BY825" i="1"/>
  <c r="BY829" i="1"/>
  <c r="BY833" i="1"/>
  <c r="BY837" i="1"/>
  <c r="BY841" i="1"/>
  <c r="BY845" i="1"/>
  <c r="BY849" i="1"/>
  <c r="BY853" i="1"/>
  <c r="BY857" i="1"/>
  <c r="BY861" i="1"/>
  <c r="BY865" i="1"/>
  <c r="BY869" i="1"/>
  <c r="BY873" i="1"/>
  <c r="BY877" i="1"/>
  <c r="BY881" i="1"/>
  <c r="BY885" i="1"/>
  <c r="BY889" i="1"/>
  <c r="BY893" i="1"/>
  <c r="BY897" i="1"/>
  <c r="BY901" i="1"/>
  <c r="BY905" i="1"/>
  <c r="BY909" i="1"/>
  <c r="BY913" i="1"/>
  <c r="BY917" i="1"/>
  <c r="BY921" i="1"/>
  <c r="BY925" i="1"/>
  <c r="BY929" i="1"/>
  <c r="BY933" i="1"/>
  <c r="BY937" i="1"/>
  <c r="BY941" i="1"/>
  <c r="BY945" i="1"/>
  <c r="BY949" i="1"/>
  <c r="BY953" i="1"/>
  <c r="BY957" i="1"/>
  <c r="BY961" i="1"/>
  <c r="BY965" i="1"/>
  <c r="BY969" i="1"/>
  <c r="BY973" i="1"/>
  <c r="BY977" i="1"/>
  <c r="BY981" i="1"/>
  <c r="BY985" i="1"/>
  <c r="BZ1011" i="1"/>
  <c r="BZ1010" i="1"/>
  <c r="BZ1009" i="1"/>
  <c r="BZ1008" i="1"/>
  <c r="BZ1007" i="1"/>
  <c r="BZ1006" i="1"/>
  <c r="BZ1005" i="1"/>
  <c r="BZ1004" i="1"/>
  <c r="BZ1003" i="1"/>
  <c r="BZ1002" i="1"/>
  <c r="BZ1001" i="1"/>
  <c r="BZ1000" i="1"/>
  <c r="BZ999" i="1"/>
  <c r="BZ998" i="1"/>
  <c r="BZ997" i="1"/>
  <c r="BZ996" i="1"/>
  <c r="BZ995" i="1"/>
  <c r="BZ994" i="1"/>
  <c r="BZ993" i="1"/>
  <c r="BZ992" i="1"/>
  <c r="BZ991" i="1"/>
  <c r="BZ990" i="1"/>
  <c r="BZ989" i="1"/>
  <c r="BZ988" i="1"/>
  <c r="BZ987" i="1"/>
  <c r="BZ986" i="1"/>
  <c r="BZ985" i="1"/>
  <c r="BZ984" i="1"/>
  <c r="BZ983" i="1"/>
  <c r="BZ982" i="1"/>
  <c r="BZ981" i="1"/>
  <c r="BZ980" i="1"/>
  <c r="BZ979" i="1"/>
  <c r="BZ978" i="1"/>
  <c r="BZ977" i="1"/>
  <c r="BZ976" i="1"/>
  <c r="BZ975" i="1"/>
  <c r="BZ974" i="1"/>
  <c r="BZ973" i="1"/>
  <c r="BZ972" i="1"/>
  <c r="BZ971" i="1"/>
  <c r="BZ970" i="1"/>
  <c r="BZ969" i="1"/>
  <c r="BZ968" i="1"/>
  <c r="BZ967" i="1"/>
  <c r="BZ966" i="1"/>
  <c r="BZ965" i="1"/>
  <c r="BZ964" i="1"/>
  <c r="BZ963" i="1"/>
  <c r="BZ962" i="1"/>
  <c r="BZ961" i="1"/>
  <c r="BZ960" i="1"/>
  <c r="BZ959" i="1"/>
  <c r="BZ958" i="1"/>
  <c r="BZ957" i="1"/>
  <c r="BZ956" i="1"/>
  <c r="BZ955" i="1"/>
  <c r="BZ954" i="1"/>
  <c r="BZ953" i="1"/>
  <c r="BZ952" i="1"/>
  <c r="BZ951" i="1"/>
  <c r="BZ950" i="1"/>
  <c r="BZ949" i="1"/>
  <c r="BZ948" i="1"/>
  <c r="BZ947" i="1"/>
  <c r="BZ946" i="1"/>
  <c r="BZ945" i="1"/>
  <c r="BZ944" i="1"/>
  <c r="BZ943" i="1"/>
  <c r="BZ942" i="1"/>
  <c r="BZ941" i="1"/>
  <c r="BZ940" i="1"/>
  <c r="BZ939" i="1"/>
  <c r="BZ938" i="1"/>
  <c r="BZ937" i="1"/>
  <c r="BZ936" i="1"/>
  <c r="BZ935" i="1"/>
  <c r="BZ934" i="1"/>
  <c r="BZ933" i="1"/>
  <c r="BZ932" i="1"/>
  <c r="BZ931" i="1"/>
  <c r="BZ930" i="1"/>
  <c r="BZ929" i="1"/>
  <c r="BZ928" i="1"/>
  <c r="BZ927" i="1"/>
  <c r="BZ926" i="1"/>
  <c r="BZ925" i="1"/>
  <c r="BZ924" i="1"/>
  <c r="BZ923" i="1"/>
  <c r="BZ922" i="1"/>
  <c r="BZ921" i="1"/>
  <c r="BZ920" i="1"/>
  <c r="BZ919" i="1"/>
  <c r="BZ918" i="1"/>
  <c r="BZ917" i="1"/>
  <c r="BZ916" i="1"/>
  <c r="BZ915" i="1"/>
  <c r="BZ914" i="1"/>
  <c r="BZ913" i="1"/>
  <c r="BZ912" i="1"/>
  <c r="BZ911" i="1"/>
  <c r="BZ910" i="1"/>
  <c r="BZ909" i="1"/>
  <c r="BZ908" i="1"/>
  <c r="BZ907" i="1"/>
  <c r="BZ906" i="1"/>
  <c r="BZ905" i="1"/>
  <c r="BZ904" i="1"/>
  <c r="BZ903" i="1"/>
  <c r="BZ902" i="1"/>
  <c r="BZ901" i="1"/>
  <c r="BZ900" i="1"/>
  <c r="BZ899" i="1"/>
  <c r="BZ898" i="1"/>
  <c r="BZ897" i="1"/>
  <c r="BZ896" i="1"/>
  <c r="BZ895" i="1"/>
  <c r="BZ894" i="1"/>
  <c r="BZ893" i="1"/>
  <c r="BZ892" i="1"/>
  <c r="BZ891" i="1"/>
  <c r="BZ890" i="1"/>
  <c r="BZ889" i="1"/>
  <c r="BZ888" i="1"/>
  <c r="BZ887" i="1"/>
  <c r="BZ886" i="1"/>
  <c r="BZ885" i="1"/>
  <c r="BZ884" i="1"/>
  <c r="BZ883" i="1"/>
  <c r="BZ882" i="1"/>
  <c r="BZ881" i="1"/>
  <c r="BZ880" i="1"/>
  <c r="BZ879" i="1"/>
  <c r="BZ878" i="1"/>
  <c r="BZ877" i="1"/>
  <c r="BZ876" i="1"/>
  <c r="BZ875" i="1"/>
  <c r="BZ874" i="1"/>
  <c r="BZ873" i="1"/>
  <c r="BZ872" i="1"/>
  <c r="BZ871" i="1"/>
  <c r="BZ870" i="1"/>
  <c r="BZ869" i="1"/>
  <c r="BZ868" i="1"/>
  <c r="BZ867" i="1"/>
  <c r="BZ866" i="1"/>
  <c r="BZ865" i="1"/>
  <c r="BZ864" i="1"/>
  <c r="BZ863" i="1"/>
  <c r="BZ862" i="1"/>
  <c r="BZ861" i="1"/>
  <c r="BZ860" i="1"/>
  <c r="BZ859" i="1"/>
  <c r="BZ858" i="1"/>
  <c r="BZ857" i="1"/>
  <c r="BZ856" i="1"/>
  <c r="BZ855" i="1"/>
  <c r="BZ854" i="1"/>
  <c r="BZ853" i="1"/>
  <c r="BZ852" i="1"/>
  <c r="BZ851" i="1"/>
  <c r="BZ850" i="1"/>
  <c r="BZ849" i="1"/>
  <c r="BZ848" i="1"/>
  <c r="BZ847" i="1"/>
  <c r="BZ846" i="1"/>
  <c r="BZ845" i="1"/>
  <c r="BZ844" i="1"/>
  <c r="BZ843" i="1"/>
  <c r="BZ842" i="1"/>
  <c r="BZ841" i="1"/>
  <c r="BZ840" i="1"/>
  <c r="BZ839" i="1"/>
  <c r="BZ838" i="1"/>
  <c r="BZ837" i="1"/>
  <c r="BZ836" i="1"/>
  <c r="BZ835" i="1"/>
  <c r="BZ834" i="1"/>
  <c r="BZ833" i="1"/>
  <c r="BZ832" i="1"/>
  <c r="BZ831" i="1"/>
  <c r="BZ830" i="1"/>
  <c r="BZ829" i="1"/>
  <c r="BZ828" i="1"/>
  <c r="BZ827" i="1"/>
  <c r="BZ826" i="1"/>
  <c r="BZ825" i="1"/>
  <c r="BZ824" i="1"/>
  <c r="BZ823" i="1"/>
  <c r="BZ822" i="1"/>
  <c r="BZ821" i="1"/>
  <c r="BZ820" i="1"/>
  <c r="BZ819" i="1"/>
  <c r="BZ818" i="1"/>
  <c r="BZ817" i="1"/>
  <c r="BZ816" i="1"/>
  <c r="BZ815" i="1"/>
  <c r="BZ814" i="1"/>
  <c r="BZ813" i="1"/>
  <c r="BZ812" i="1"/>
  <c r="BZ811" i="1"/>
  <c r="BZ810" i="1"/>
  <c r="BZ809" i="1"/>
  <c r="BZ808" i="1"/>
  <c r="BZ807" i="1"/>
  <c r="BZ806" i="1"/>
  <c r="BZ805" i="1"/>
  <c r="BZ804" i="1"/>
  <c r="BZ803" i="1"/>
  <c r="BZ802" i="1"/>
  <c r="BZ801" i="1"/>
  <c r="BZ800" i="1"/>
  <c r="BZ799" i="1"/>
  <c r="BZ798" i="1"/>
  <c r="BZ797" i="1"/>
  <c r="BZ796" i="1"/>
  <c r="BZ795" i="1"/>
  <c r="BZ794" i="1"/>
  <c r="BZ793" i="1"/>
  <c r="BZ792" i="1"/>
  <c r="BZ791" i="1"/>
  <c r="BZ790" i="1"/>
  <c r="BZ789" i="1"/>
  <c r="BZ788" i="1"/>
  <c r="BZ787" i="1"/>
  <c r="BZ786" i="1"/>
  <c r="BZ785" i="1"/>
  <c r="BZ784" i="1"/>
  <c r="BZ783" i="1"/>
  <c r="BZ782" i="1"/>
  <c r="BZ781" i="1"/>
  <c r="BZ780" i="1"/>
  <c r="BZ779" i="1"/>
  <c r="BZ778" i="1"/>
  <c r="BZ777" i="1"/>
  <c r="BZ776" i="1"/>
  <c r="BZ775" i="1"/>
  <c r="BZ774" i="1"/>
  <c r="BZ773" i="1"/>
  <c r="BZ772" i="1"/>
  <c r="BZ771" i="1"/>
  <c r="BZ770" i="1"/>
  <c r="BZ769" i="1"/>
  <c r="BZ768" i="1"/>
  <c r="BZ767" i="1"/>
  <c r="BZ766" i="1"/>
  <c r="BZ765" i="1"/>
  <c r="BZ764" i="1"/>
  <c r="BZ763" i="1"/>
  <c r="BZ762" i="1"/>
  <c r="BZ761" i="1"/>
  <c r="BZ760" i="1"/>
  <c r="BZ759" i="1"/>
  <c r="BZ758" i="1"/>
  <c r="BZ757" i="1"/>
  <c r="BZ756" i="1"/>
  <c r="BZ755" i="1"/>
  <c r="BZ754" i="1"/>
  <c r="BZ753" i="1"/>
  <c r="BZ752" i="1"/>
  <c r="BZ751" i="1"/>
  <c r="BZ750" i="1"/>
  <c r="BZ749" i="1"/>
  <c r="BZ748" i="1"/>
  <c r="BZ747" i="1"/>
  <c r="BZ746" i="1"/>
  <c r="BZ745" i="1"/>
  <c r="BZ744" i="1"/>
  <c r="BZ743" i="1"/>
  <c r="BZ742" i="1"/>
  <c r="BZ741" i="1"/>
  <c r="BZ740" i="1"/>
  <c r="BZ739" i="1"/>
  <c r="BZ738" i="1"/>
  <c r="BZ737" i="1"/>
  <c r="BZ736" i="1"/>
  <c r="BZ735" i="1"/>
  <c r="BZ734" i="1"/>
  <c r="BZ733" i="1"/>
  <c r="BZ732" i="1"/>
  <c r="BZ731" i="1"/>
  <c r="BZ730" i="1"/>
  <c r="BZ729" i="1"/>
  <c r="BZ728" i="1"/>
  <c r="BZ727" i="1"/>
  <c r="BZ726" i="1"/>
  <c r="BZ725" i="1"/>
  <c r="BZ724" i="1"/>
  <c r="BZ723" i="1"/>
  <c r="BZ722" i="1"/>
  <c r="BZ721" i="1"/>
  <c r="BZ720" i="1"/>
  <c r="BZ719" i="1"/>
  <c r="BZ718" i="1"/>
  <c r="BZ717" i="1"/>
  <c r="BZ716" i="1"/>
  <c r="BZ715" i="1"/>
  <c r="BZ714" i="1"/>
  <c r="BZ713" i="1"/>
  <c r="BZ712" i="1"/>
  <c r="BZ711" i="1"/>
  <c r="BZ710" i="1"/>
  <c r="BZ709" i="1"/>
  <c r="BZ708" i="1"/>
  <c r="BZ707" i="1"/>
  <c r="BZ706" i="1"/>
  <c r="BZ705" i="1"/>
  <c r="BZ704" i="1"/>
  <c r="BZ703" i="1"/>
  <c r="BZ702" i="1"/>
  <c r="BZ701" i="1"/>
  <c r="BZ700" i="1"/>
  <c r="BZ699" i="1"/>
  <c r="BZ698" i="1"/>
  <c r="BZ697" i="1"/>
  <c r="BZ696" i="1"/>
  <c r="BZ695" i="1"/>
  <c r="BZ694" i="1"/>
  <c r="BZ693" i="1"/>
  <c r="BZ692" i="1"/>
  <c r="BZ691" i="1"/>
  <c r="BZ690" i="1"/>
  <c r="BZ689" i="1"/>
  <c r="BZ688" i="1"/>
  <c r="BZ687" i="1"/>
  <c r="BZ686" i="1"/>
  <c r="BZ685" i="1"/>
  <c r="BZ684" i="1"/>
  <c r="BZ683" i="1"/>
  <c r="BZ682" i="1"/>
  <c r="BZ681" i="1"/>
  <c r="BZ680" i="1"/>
  <c r="BZ679" i="1"/>
  <c r="BZ678" i="1"/>
  <c r="BZ677" i="1"/>
  <c r="BZ676" i="1"/>
  <c r="BZ675" i="1"/>
  <c r="BZ674" i="1"/>
  <c r="BZ673" i="1"/>
  <c r="BZ672" i="1"/>
  <c r="BZ671" i="1"/>
  <c r="BZ670" i="1"/>
  <c r="BZ669" i="1"/>
  <c r="BZ668" i="1"/>
  <c r="BZ667" i="1"/>
  <c r="BZ666" i="1"/>
  <c r="BZ665" i="1"/>
  <c r="BZ664" i="1"/>
  <c r="BZ663" i="1"/>
  <c r="BZ662" i="1"/>
  <c r="BZ661" i="1"/>
  <c r="BZ660" i="1"/>
  <c r="BZ659" i="1"/>
  <c r="BZ658" i="1"/>
  <c r="BZ657" i="1"/>
  <c r="BZ656" i="1"/>
  <c r="BZ655" i="1"/>
  <c r="BZ654" i="1"/>
  <c r="BZ653" i="1"/>
  <c r="BZ652" i="1"/>
  <c r="BZ651" i="1"/>
  <c r="BZ650" i="1"/>
  <c r="BZ649" i="1"/>
  <c r="BZ648" i="1"/>
  <c r="BZ647" i="1"/>
  <c r="BZ646" i="1"/>
  <c r="BZ645" i="1"/>
  <c r="BZ644" i="1"/>
  <c r="BZ643" i="1"/>
  <c r="BZ642" i="1"/>
  <c r="BZ641" i="1"/>
  <c r="BZ640" i="1"/>
  <c r="BZ639" i="1"/>
  <c r="BZ638" i="1"/>
  <c r="BZ637" i="1"/>
  <c r="BZ636" i="1"/>
  <c r="BZ635" i="1"/>
  <c r="BZ634" i="1"/>
  <c r="BZ633" i="1"/>
  <c r="BZ632" i="1"/>
  <c r="BZ631" i="1"/>
  <c r="BZ630" i="1"/>
  <c r="BZ629" i="1"/>
  <c r="BZ628" i="1"/>
  <c r="BZ627" i="1"/>
  <c r="BZ626" i="1"/>
  <c r="BZ625" i="1"/>
  <c r="BZ624" i="1"/>
  <c r="BZ623" i="1"/>
  <c r="BZ622" i="1"/>
  <c r="BZ621" i="1"/>
  <c r="BZ620" i="1"/>
  <c r="BZ619" i="1"/>
  <c r="BZ618" i="1"/>
  <c r="BZ617" i="1"/>
  <c r="BZ616" i="1"/>
  <c r="BZ615" i="1"/>
  <c r="BZ614" i="1"/>
  <c r="BZ613" i="1"/>
  <c r="BZ612" i="1"/>
  <c r="BZ611" i="1"/>
  <c r="BZ610" i="1"/>
  <c r="BZ609" i="1"/>
  <c r="BZ608" i="1"/>
  <c r="BZ607" i="1"/>
  <c r="BZ606" i="1"/>
  <c r="BZ605" i="1"/>
  <c r="BZ604" i="1"/>
  <c r="BZ603" i="1"/>
  <c r="BZ602" i="1"/>
  <c r="BZ601" i="1"/>
  <c r="BZ600" i="1"/>
  <c r="BZ599" i="1"/>
  <c r="BZ598" i="1"/>
  <c r="BZ597" i="1"/>
  <c r="BZ596" i="1"/>
  <c r="BZ595" i="1"/>
  <c r="BZ594" i="1"/>
  <c r="BZ593" i="1"/>
  <c r="BZ592" i="1"/>
  <c r="BZ591" i="1"/>
  <c r="BZ590" i="1"/>
  <c r="BZ589" i="1"/>
  <c r="BZ588" i="1"/>
  <c r="BZ587" i="1"/>
  <c r="BZ586" i="1"/>
  <c r="BZ585" i="1"/>
  <c r="BZ584" i="1"/>
  <c r="BZ583" i="1"/>
  <c r="BZ582" i="1"/>
  <c r="BZ581" i="1"/>
  <c r="BZ580" i="1"/>
  <c r="BZ579" i="1"/>
  <c r="BZ578" i="1"/>
  <c r="BZ577" i="1"/>
  <c r="BZ576" i="1"/>
  <c r="BZ575" i="1"/>
  <c r="BZ574" i="1"/>
  <c r="BZ573" i="1"/>
  <c r="BZ572" i="1"/>
  <c r="BZ571" i="1"/>
  <c r="BZ570" i="1"/>
  <c r="BZ569" i="1"/>
  <c r="BZ568" i="1"/>
  <c r="BZ567" i="1"/>
  <c r="BZ566" i="1"/>
  <c r="BZ565" i="1"/>
  <c r="BZ564" i="1"/>
  <c r="BZ563" i="1"/>
  <c r="BZ562" i="1"/>
  <c r="BZ561" i="1"/>
  <c r="BZ560" i="1"/>
  <c r="BZ559" i="1"/>
  <c r="BZ558" i="1"/>
  <c r="BZ557" i="1"/>
  <c r="BZ556" i="1"/>
  <c r="BZ555" i="1"/>
  <c r="BZ554" i="1"/>
  <c r="BZ553" i="1"/>
  <c r="BZ552" i="1"/>
  <c r="BZ551" i="1"/>
  <c r="BZ550" i="1"/>
  <c r="BZ549" i="1"/>
  <c r="BZ548" i="1"/>
  <c r="BZ547" i="1"/>
  <c r="BZ546" i="1"/>
  <c r="BZ545" i="1"/>
  <c r="BZ544" i="1"/>
  <c r="BZ543" i="1"/>
  <c r="BZ542" i="1"/>
  <c r="BZ541" i="1"/>
  <c r="BZ540" i="1"/>
  <c r="BZ539" i="1"/>
  <c r="BZ538" i="1"/>
  <c r="BZ537" i="1"/>
  <c r="BZ536" i="1"/>
  <c r="BZ535" i="1"/>
  <c r="BZ534" i="1"/>
  <c r="BZ533" i="1"/>
  <c r="BZ532" i="1"/>
  <c r="BZ531" i="1"/>
  <c r="BZ530" i="1"/>
  <c r="BZ529" i="1"/>
  <c r="BZ528" i="1"/>
  <c r="BZ527" i="1"/>
  <c r="BZ526" i="1"/>
  <c r="BZ525" i="1"/>
  <c r="BZ524" i="1"/>
  <c r="BZ523" i="1"/>
  <c r="BZ522" i="1"/>
  <c r="BZ521" i="1"/>
  <c r="BZ520" i="1"/>
  <c r="BZ519" i="1"/>
  <c r="BZ518" i="1"/>
  <c r="BZ517" i="1"/>
  <c r="BZ516" i="1"/>
  <c r="BZ515" i="1"/>
  <c r="BZ514" i="1"/>
  <c r="BZ513" i="1"/>
  <c r="BZ512" i="1"/>
  <c r="BZ511" i="1"/>
  <c r="BZ510" i="1"/>
  <c r="BZ509" i="1"/>
  <c r="BZ508" i="1"/>
  <c r="BZ507" i="1"/>
  <c r="BZ506" i="1"/>
  <c r="BZ505" i="1"/>
  <c r="BZ504" i="1"/>
  <c r="BZ503" i="1"/>
  <c r="BZ502" i="1"/>
  <c r="BZ501" i="1"/>
  <c r="BZ500" i="1"/>
  <c r="BZ499" i="1"/>
  <c r="BZ498" i="1"/>
  <c r="BZ497" i="1"/>
  <c r="BZ496" i="1"/>
  <c r="BZ495" i="1"/>
  <c r="BZ494" i="1"/>
  <c r="BZ493" i="1"/>
  <c r="BZ492" i="1"/>
  <c r="BZ491" i="1"/>
  <c r="BZ490" i="1"/>
  <c r="BZ489" i="1"/>
  <c r="BZ488" i="1"/>
  <c r="BZ487" i="1"/>
  <c r="BZ486" i="1"/>
  <c r="BZ485" i="1"/>
  <c r="BZ484" i="1"/>
  <c r="BZ483" i="1"/>
  <c r="BZ482" i="1"/>
  <c r="BZ481" i="1"/>
  <c r="BZ480" i="1"/>
  <c r="BZ479" i="1"/>
  <c r="BZ478" i="1"/>
  <c r="BZ477" i="1"/>
  <c r="BZ476" i="1"/>
  <c r="BZ475" i="1"/>
  <c r="BZ474" i="1"/>
  <c r="BZ473" i="1"/>
  <c r="BZ472" i="1"/>
  <c r="BZ471" i="1"/>
  <c r="BZ470" i="1"/>
  <c r="BZ469" i="1"/>
  <c r="BZ468" i="1"/>
  <c r="BZ467" i="1"/>
  <c r="BZ466" i="1"/>
  <c r="BZ465" i="1"/>
  <c r="BZ464" i="1"/>
  <c r="BZ463" i="1"/>
  <c r="BZ462" i="1"/>
  <c r="BZ461" i="1"/>
  <c r="BZ460" i="1"/>
  <c r="BZ459" i="1"/>
  <c r="BZ458" i="1"/>
  <c r="BZ457" i="1"/>
  <c r="BZ456" i="1"/>
  <c r="BZ455" i="1"/>
  <c r="BZ454" i="1"/>
  <c r="BZ453" i="1"/>
  <c r="BZ452" i="1"/>
  <c r="BZ451" i="1"/>
  <c r="BZ450" i="1"/>
  <c r="BZ449" i="1"/>
  <c r="BZ448" i="1"/>
  <c r="BZ447" i="1"/>
  <c r="BZ446" i="1"/>
  <c r="BZ445" i="1"/>
  <c r="BZ444" i="1"/>
  <c r="BZ443" i="1"/>
  <c r="BZ442" i="1"/>
  <c r="BZ441" i="1"/>
  <c r="BZ440" i="1"/>
  <c r="BZ439" i="1"/>
  <c r="BZ438" i="1"/>
  <c r="BZ437" i="1"/>
  <c r="BZ436" i="1"/>
  <c r="BZ435" i="1"/>
  <c r="BZ434" i="1"/>
  <c r="BZ433" i="1"/>
  <c r="BZ432" i="1"/>
  <c r="BZ431" i="1"/>
  <c r="BZ430" i="1"/>
  <c r="BZ429" i="1"/>
  <c r="BZ428" i="1"/>
  <c r="BZ427" i="1"/>
  <c r="BZ426" i="1"/>
  <c r="BZ425" i="1"/>
  <c r="BZ424" i="1"/>
  <c r="BZ423" i="1"/>
  <c r="BZ422" i="1"/>
  <c r="BZ421" i="1"/>
  <c r="BZ420" i="1"/>
  <c r="BZ419" i="1"/>
  <c r="BZ418" i="1"/>
  <c r="BZ417" i="1"/>
  <c r="BZ416" i="1"/>
  <c r="BZ415" i="1"/>
  <c r="BZ414" i="1"/>
  <c r="BZ413" i="1"/>
  <c r="BZ412" i="1"/>
  <c r="BZ411" i="1"/>
  <c r="BZ410" i="1"/>
  <c r="BZ409" i="1"/>
  <c r="BZ408" i="1"/>
  <c r="BZ407" i="1"/>
  <c r="BZ406" i="1"/>
  <c r="BZ405" i="1"/>
  <c r="BZ404" i="1"/>
  <c r="BZ403" i="1"/>
  <c r="BZ402" i="1"/>
  <c r="BZ401" i="1"/>
  <c r="BZ400" i="1"/>
  <c r="BZ399" i="1"/>
  <c r="BZ398" i="1"/>
  <c r="BZ397" i="1"/>
  <c r="BZ396" i="1"/>
  <c r="BZ395" i="1"/>
  <c r="BZ394" i="1"/>
  <c r="BZ393" i="1"/>
  <c r="BZ392" i="1"/>
  <c r="BZ391" i="1"/>
  <c r="BZ390" i="1"/>
  <c r="BZ389" i="1"/>
  <c r="BZ388" i="1"/>
  <c r="BZ387" i="1"/>
  <c r="BZ386" i="1"/>
  <c r="BZ385" i="1"/>
  <c r="BZ384" i="1"/>
  <c r="BZ383" i="1"/>
  <c r="BZ382" i="1"/>
  <c r="BZ381" i="1"/>
  <c r="BZ380" i="1"/>
  <c r="BZ379" i="1"/>
  <c r="BZ378" i="1"/>
  <c r="BZ377" i="1"/>
  <c r="BZ376" i="1"/>
  <c r="BZ375" i="1"/>
  <c r="BZ374" i="1"/>
  <c r="BZ373" i="1"/>
  <c r="BZ372" i="1"/>
  <c r="BZ371" i="1"/>
  <c r="BZ370" i="1"/>
  <c r="BZ369" i="1"/>
  <c r="BZ368" i="1"/>
  <c r="BZ367" i="1"/>
  <c r="BZ366" i="1"/>
  <c r="BZ365" i="1"/>
  <c r="BZ364" i="1"/>
  <c r="BZ363" i="1"/>
  <c r="BZ362" i="1"/>
  <c r="BZ361" i="1"/>
  <c r="BZ360" i="1"/>
  <c r="BZ359" i="1"/>
  <c r="BZ358" i="1"/>
  <c r="BZ357" i="1"/>
  <c r="BZ356" i="1"/>
  <c r="BZ355" i="1"/>
  <c r="BZ354" i="1"/>
  <c r="BZ353" i="1"/>
  <c r="BZ352" i="1"/>
  <c r="BZ351" i="1"/>
  <c r="BZ350" i="1"/>
  <c r="BZ349" i="1"/>
  <c r="BZ348" i="1"/>
  <c r="BZ347" i="1"/>
  <c r="BZ346" i="1"/>
  <c r="BZ345" i="1"/>
  <c r="BZ344" i="1"/>
  <c r="BZ343" i="1"/>
  <c r="BZ342" i="1"/>
  <c r="BZ341" i="1"/>
  <c r="BZ340" i="1"/>
  <c r="BZ339" i="1"/>
  <c r="BZ338" i="1"/>
  <c r="BZ337" i="1"/>
  <c r="BZ336" i="1"/>
  <c r="BZ335" i="1"/>
  <c r="BZ334" i="1"/>
  <c r="BZ333" i="1"/>
  <c r="BZ332" i="1"/>
  <c r="BZ331" i="1"/>
  <c r="BZ330" i="1"/>
  <c r="BZ329" i="1"/>
  <c r="BZ328" i="1"/>
  <c r="BZ327" i="1"/>
  <c r="BZ326" i="1"/>
  <c r="BZ325" i="1"/>
  <c r="BZ324" i="1"/>
  <c r="BZ323" i="1"/>
  <c r="BZ322" i="1"/>
  <c r="BZ321" i="1"/>
  <c r="BZ320" i="1"/>
  <c r="BZ319" i="1"/>
  <c r="BZ318" i="1"/>
  <c r="BZ317" i="1"/>
  <c r="BZ316" i="1"/>
  <c r="BZ315" i="1"/>
  <c r="BZ314" i="1"/>
  <c r="BZ313" i="1"/>
  <c r="BZ312" i="1"/>
  <c r="BZ311" i="1"/>
  <c r="BZ310" i="1"/>
  <c r="BZ309" i="1"/>
  <c r="BZ308" i="1"/>
  <c r="BZ307" i="1"/>
  <c r="BZ306" i="1"/>
  <c r="BZ305" i="1"/>
  <c r="BZ304" i="1"/>
  <c r="BZ303" i="1"/>
  <c r="BZ302" i="1"/>
  <c r="BZ301" i="1"/>
  <c r="BZ300" i="1"/>
  <c r="BZ299" i="1"/>
  <c r="BZ298" i="1"/>
  <c r="BZ297" i="1"/>
  <c r="BZ296" i="1"/>
  <c r="BZ295" i="1"/>
  <c r="BZ294" i="1"/>
  <c r="BZ293" i="1"/>
  <c r="BZ292" i="1"/>
  <c r="BZ291" i="1"/>
  <c r="BZ290" i="1"/>
  <c r="BZ289" i="1"/>
  <c r="BZ288" i="1"/>
  <c r="BZ287" i="1"/>
  <c r="BZ286" i="1"/>
  <c r="BZ285" i="1"/>
  <c r="BZ284" i="1"/>
  <c r="BZ283" i="1"/>
  <c r="BZ282" i="1"/>
  <c r="BZ281" i="1"/>
  <c r="BZ280" i="1"/>
  <c r="BZ279" i="1"/>
  <c r="BZ278" i="1"/>
  <c r="BZ277" i="1"/>
  <c r="BZ276" i="1"/>
  <c r="BZ275" i="1"/>
  <c r="BZ274" i="1"/>
  <c r="BZ273" i="1"/>
  <c r="BZ272" i="1"/>
  <c r="BZ271" i="1"/>
  <c r="BZ270" i="1"/>
  <c r="BZ269" i="1"/>
  <c r="BZ268" i="1"/>
  <c r="BZ267" i="1"/>
  <c r="BZ266" i="1"/>
  <c r="BZ265" i="1"/>
  <c r="BZ264" i="1"/>
  <c r="BZ263" i="1"/>
  <c r="BZ262" i="1"/>
  <c r="BZ261" i="1"/>
  <c r="BZ260" i="1"/>
  <c r="BZ259" i="1"/>
  <c r="BZ258" i="1"/>
  <c r="BZ257" i="1"/>
  <c r="BZ256" i="1"/>
  <c r="BZ255" i="1"/>
  <c r="BZ254" i="1"/>
  <c r="BZ253" i="1"/>
  <c r="BZ252" i="1"/>
  <c r="BZ251" i="1"/>
  <c r="BZ250" i="1"/>
  <c r="BZ249" i="1"/>
  <c r="BZ248" i="1"/>
  <c r="BZ247" i="1"/>
  <c r="BZ246" i="1"/>
  <c r="BZ245" i="1"/>
  <c r="BZ244" i="1"/>
  <c r="BZ243" i="1"/>
  <c r="BZ242" i="1"/>
  <c r="BZ241" i="1"/>
  <c r="BZ240" i="1"/>
  <c r="BZ239" i="1"/>
  <c r="BZ238" i="1"/>
  <c r="BZ237" i="1"/>
  <c r="BZ236" i="1"/>
  <c r="BZ235" i="1"/>
  <c r="BZ234" i="1"/>
  <c r="BZ233" i="1"/>
  <c r="BZ232" i="1"/>
  <c r="BZ231" i="1"/>
  <c r="BZ230" i="1"/>
  <c r="BZ229" i="1"/>
  <c r="BZ228" i="1"/>
  <c r="BZ227" i="1"/>
  <c r="BZ226" i="1"/>
  <c r="BZ225" i="1"/>
  <c r="BZ224" i="1"/>
  <c r="BZ223" i="1"/>
  <c r="BZ222" i="1"/>
  <c r="BZ221" i="1"/>
  <c r="BZ220" i="1"/>
  <c r="BZ219" i="1"/>
  <c r="BZ218" i="1"/>
  <c r="BZ217" i="1"/>
  <c r="BZ216" i="1"/>
  <c r="BZ215" i="1"/>
  <c r="BZ214" i="1"/>
  <c r="BZ213" i="1"/>
  <c r="BZ212" i="1"/>
  <c r="BZ211" i="1"/>
  <c r="BZ210" i="1"/>
  <c r="BZ209" i="1"/>
  <c r="BZ208" i="1"/>
  <c r="BZ207" i="1"/>
  <c r="BZ206" i="1"/>
  <c r="BZ205" i="1"/>
  <c r="BZ204" i="1"/>
  <c r="BZ203" i="1"/>
  <c r="BZ202" i="1"/>
  <c r="BZ201" i="1"/>
  <c r="BZ200" i="1"/>
  <c r="BZ199" i="1"/>
  <c r="BZ198" i="1"/>
  <c r="BZ197" i="1"/>
  <c r="BZ196" i="1"/>
  <c r="BZ195" i="1"/>
  <c r="BZ194" i="1"/>
  <c r="BZ193" i="1"/>
  <c r="BZ192" i="1"/>
  <c r="BZ191" i="1"/>
  <c r="BZ190" i="1"/>
  <c r="BZ189" i="1"/>
  <c r="BZ188" i="1"/>
  <c r="BZ187" i="1"/>
  <c r="BZ186" i="1"/>
  <c r="BZ185" i="1"/>
  <c r="BZ184" i="1"/>
  <c r="BZ183" i="1"/>
  <c r="BZ182" i="1"/>
  <c r="BZ181" i="1"/>
  <c r="BZ180" i="1"/>
  <c r="BZ179" i="1"/>
  <c r="BZ178" i="1"/>
  <c r="BZ177" i="1"/>
  <c r="BZ176" i="1"/>
  <c r="BZ175" i="1"/>
  <c r="BZ174" i="1"/>
  <c r="BZ173" i="1"/>
  <c r="BZ172" i="1"/>
  <c r="BZ171" i="1"/>
  <c r="BZ170" i="1"/>
  <c r="BZ169" i="1"/>
  <c r="BZ168" i="1"/>
  <c r="BZ167" i="1"/>
  <c r="BZ166" i="1"/>
  <c r="BZ165" i="1"/>
  <c r="BZ164" i="1"/>
  <c r="BZ163" i="1"/>
  <c r="BZ162" i="1"/>
  <c r="BZ161" i="1"/>
  <c r="BZ160" i="1"/>
  <c r="BZ159" i="1"/>
  <c r="BZ158" i="1"/>
  <c r="BZ157" i="1"/>
  <c r="BZ156" i="1"/>
  <c r="BZ155" i="1"/>
  <c r="BZ154" i="1"/>
  <c r="BZ153" i="1"/>
  <c r="BZ152" i="1"/>
  <c r="BZ151" i="1"/>
  <c r="BZ150" i="1"/>
  <c r="BZ149" i="1"/>
  <c r="BZ148" i="1"/>
  <c r="BZ147" i="1"/>
  <c r="BZ146" i="1"/>
  <c r="BZ145" i="1"/>
  <c r="BZ144" i="1"/>
  <c r="BZ143" i="1"/>
  <c r="BZ142" i="1"/>
  <c r="BZ141" i="1"/>
  <c r="BZ140" i="1"/>
  <c r="BZ139" i="1"/>
  <c r="BZ138" i="1"/>
  <c r="BZ137" i="1"/>
  <c r="BZ136" i="1"/>
  <c r="BZ135" i="1"/>
  <c r="BZ134" i="1"/>
  <c r="BZ133" i="1"/>
  <c r="BZ132" i="1"/>
  <c r="BZ131" i="1"/>
  <c r="BZ130" i="1"/>
  <c r="BZ129" i="1"/>
  <c r="BZ128" i="1"/>
  <c r="BZ127" i="1"/>
  <c r="BZ126" i="1"/>
  <c r="BZ125" i="1"/>
  <c r="BZ124" i="1"/>
  <c r="BZ123" i="1"/>
  <c r="BZ122" i="1"/>
  <c r="BZ121" i="1"/>
  <c r="BZ120" i="1"/>
  <c r="BZ119" i="1"/>
  <c r="BZ118" i="1"/>
  <c r="BZ117" i="1"/>
  <c r="BZ116" i="1"/>
  <c r="BZ115" i="1"/>
  <c r="BZ114" i="1"/>
  <c r="BZ113" i="1"/>
  <c r="BZ112" i="1"/>
  <c r="BZ111" i="1"/>
  <c r="BZ110" i="1"/>
  <c r="BZ109" i="1"/>
  <c r="BZ108" i="1"/>
  <c r="BZ107" i="1"/>
  <c r="BZ106" i="1"/>
  <c r="BZ105" i="1"/>
  <c r="BZ104" i="1"/>
  <c r="BZ103" i="1"/>
  <c r="BZ102" i="1"/>
  <c r="BZ101" i="1"/>
  <c r="BZ100" i="1"/>
  <c r="BZ99" i="1"/>
  <c r="BZ98" i="1"/>
  <c r="BZ97" i="1"/>
  <c r="BZ96" i="1"/>
  <c r="BZ95" i="1"/>
  <c r="BZ94" i="1"/>
  <c r="BZ93" i="1"/>
  <c r="BZ92" i="1"/>
  <c r="BZ91" i="1"/>
  <c r="BZ90" i="1"/>
  <c r="BZ89" i="1"/>
  <c r="BZ88" i="1"/>
  <c r="BZ87" i="1"/>
  <c r="BZ86" i="1"/>
  <c r="BZ85" i="1"/>
  <c r="BZ84" i="1"/>
  <c r="BZ83" i="1"/>
  <c r="BZ82" i="1"/>
  <c r="BZ81" i="1"/>
  <c r="BZ80" i="1"/>
  <c r="BZ79" i="1"/>
  <c r="BZ78" i="1"/>
  <c r="BZ77" i="1"/>
  <c r="BZ76" i="1"/>
  <c r="BZ75" i="1"/>
  <c r="BZ74" i="1"/>
  <c r="BZ73" i="1"/>
  <c r="BZ72" i="1"/>
  <c r="BZ71" i="1"/>
  <c r="BZ70" i="1"/>
  <c r="BZ69" i="1"/>
  <c r="BZ68" i="1"/>
  <c r="BZ67" i="1"/>
  <c r="BZ66" i="1"/>
  <c r="BZ65" i="1"/>
  <c r="BZ64" i="1"/>
  <c r="BZ63" i="1"/>
  <c r="BZ62" i="1"/>
  <c r="BZ61" i="1"/>
  <c r="BZ60" i="1"/>
  <c r="BZ59" i="1"/>
  <c r="BZ58" i="1"/>
  <c r="BZ57" i="1"/>
  <c r="BZ56" i="1"/>
  <c r="BZ55" i="1"/>
  <c r="BZ54" i="1"/>
  <c r="BZ53" i="1"/>
  <c r="BZ52" i="1"/>
  <c r="BZ51" i="1"/>
  <c r="BZ50" i="1"/>
  <c r="BZ49" i="1"/>
  <c r="BZ48" i="1"/>
  <c r="BZ47" i="1"/>
  <c r="BZ46" i="1"/>
  <c r="BZ45" i="1"/>
  <c r="BZ44" i="1"/>
  <c r="BU1011" i="1"/>
  <c r="BU1010" i="1"/>
  <c r="BU1009" i="1"/>
  <c r="BU1008" i="1"/>
  <c r="BU1007" i="1"/>
  <c r="BU1006" i="1"/>
  <c r="BU1005" i="1"/>
  <c r="BU1004" i="1"/>
  <c r="BU1003" i="1"/>
  <c r="BU1002" i="1"/>
  <c r="BU1001" i="1"/>
  <c r="BU1000" i="1"/>
  <c r="BU999" i="1"/>
  <c r="BU998" i="1"/>
  <c r="BU997" i="1"/>
  <c r="BU996" i="1"/>
  <c r="BU995" i="1"/>
  <c r="BU994" i="1"/>
  <c r="BU993" i="1"/>
  <c r="BU992" i="1"/>
  <c r="BU991" i="1"/>
  <c r="BU990" i="1"/>
  <c r="BU989" i="1"/>
  <c r="BU988" i="1"/>
  <c r="BU987" i="1"/>
  <c r="BU986" i="1"/>
  <c r="BU985" i="1"/>
  <c r="BU984" i="1"/>
  <c r="BU983" i="1"/>
  <c r="BU982" i="1"/>
  <c r="BU981" i="1"/>
  <c r="BU980" i="1"/>
  <c r="BU979" i="1"/>
  <c r="BU978" i="1"/>
  <c r="BU977" i="1"/>
  <c r="BU976" i="1"/>
  <c r="BU975" i="1"/>
  <c r="BU974" i="1"/>
  <c r="BU973" i="1"/>
  <c r="BU972" i="1"/>
  <c r="BU971" i="1"/>
  <c r="BU970" i="1"/>
  <c r="BU969" i="1"/>
  <c r="BU968" i="1"/>
  <c r="BU967" i="1"/>
  <c r="BU966" i="1"/>
  <c r="BU965" i="1"/>
  <c r="BU964" i="1"/>
  <c r="BU963" i="1"/>
  <c r="BU962" i="1"/>
  <c r="BU961" i="1"/>
  <c r="BU960" i="1"/>
  <c r="BU959" i="1"/>
  <c r="BU958" i="1"/>
  <c r="BU957" i="1"/>
  <c r="BU956" i="1"/>
  <c r="BU955" i="1"/>
  <c r="BU954" i="1"/>
  <c r="BU953" i="1"/>
  <c r="BU952" i="1"/>
  <c r="BU951" i="1"/>
  <c r="BU950" i="1"/>
  <c r="BU949" i="1"/>
  <c r="BU948" i="1"/>
  <c r="BU947" i="1"/>
  <c r="BU946" i="1"/>
  <c r="BU945" i="1"/>
  <c r="BU944" i="1"/>
  <c r="BU943" i="1"/>
  <c r="BU942" i="1"/>
  <c r="BU941" i="1"/>
  <c r="BU940" i="1"/>
  <c r="BU939" i="1"/>
  <c r="BU938" i="1"/>
  <c r="BU937" i="1"/>
  <c r="BU936" i="1"/>
  <c r="BU935" i="1"/>
  <c r="BU934" i="1"/>
  <c r="BU933" i="1"/>
  <c r="BU932" i="1"/>
  <c r="BU931" i="1"/>
  <c r="BU930" i="1"/>
  <c r="BU929" i="1"/>
  <c r="BU928" i="1"/>
  <c r="BU927" i="1"/>
  <c r="BU926" i="1"/>
  <c r="BU925" i="1"/>
  <c r="BU924" i="1"/>
  <c r="BU923" i="1"/>
  <c r="BU922" i="1"/>
  <c r="BU921" i="1"/>
  <c r="BU920" i="1"/>
  <c r="BU919" i="1"/>
  <c r="BU918" i="1"/>
  <c r="BU917" i="1"/>
  <c r="BU916" i="1"/>
  <c r="BU915" i="1"/>
  <c r="BU914" i="1"/>
  <c r="BU913" i="1"/>
  <c r="BU912" i="1"/>
  <c r="BU911" i="1"/>
  <c r="BU910" i="1"/>
  <c r="BU909" i="1"/>
  <c r="BU908" i="1"/>
  <c r="BU907" i="1"/>
  <c r="BU906" i="1"/>
  <c r="BU905" i="1"/>
  <c r="BU904" i="1"/>
  <c r="BU903" i="1"/>
  <c r="BU902" i="1"/>
  <c r="BU901" i="1"/>
  <c r="BU900" i="1"/>
  <c r="BU899" i="1"/>
  <c r="BU898" i="1"/>
  <c r="BU897" i="1"/>
  <c r="BU896" i="1"/>
  <c r="BU895" i="1"/>
  <c r="BU894" i="1"/>
  <c r="BU893" i="1"/>
  <c r="BU892" i="1"/>
  <c r="BU891" i="1"/>
  <c r="BU890" i="1"/>
  <c r="BU889" i="1"/>
  <c r="BU888" i="1"/>
  <c r="BU887" i="1"/>
  <c r="BU886" i="1"/>
  <c r="BU885" i="1"/>
  <c r="BU884" i="1"/>
  <c r="BU883" i="1"/>
  <c r="BU882" i="1"/>
  <c r="BU881" i="1"/>
  <c r="BU880" i="1"/>
  <c r="BU879" i="1"/>
  <c r="BU878" i="1"/>
  <c r="BU877" i="1"/>
  <c r="BU876" i="1"/>
  <c r="BU875" i="1"/>
  <c r="BU874" i="1"/>
  <c r="BU873" i="1"/>
  <c r="BU872" i="1"/>
  <c r="BU871" i="1"/>
  <c r="BU870" i="1"/>
  <c r="BU869" i="1"/>
  <c r="BU868" i="1"/>
  <c r="BU867" i="1"/>
  <c r="BU866" i="1"/>
  <c r="BU865" i="1"/>
  <c r="BU864" i="1"/>
  <c r="BU863" i="1"/>
  <c r="BU862" i="1"/>
  <c r="BU861" i="1"/>
  <c r="BU860" i="1"/>
  <c r="BU859" i="1"/>
  <c r="BU858" i="1"/>
  <c r="BU857" i="1"/>
  <c r="BU856" i="1"/>
  <c r="BU855" i="1"/>
  <c r="BU854" i="1"/>
  <c r="BU853" i="1"/>
  <c r="BU852" i="1"/>
  <c r="BU851" i="1"/>
  <c r="BU850" i="1"/>
  <c r="BU849" i="1"/>
  <c r="BU848" i="1"/>
  <c r="BU847" i="1"/>
  <c r="BU846" i="1"/>
  <c r="BU845" i="1"/>
  <c r="BU844" i="1"/>
  <c r="BU843" i="1"/>
  <c r="BU842" i="1"/>
  <c r="BU841" i="1"/>
  <c r="BU840" i="1"/>
  <c r="BU839" i="1"/>
  <c r="BU838" i="1"/>
  <c r="BU837" i="1"/>
  <c r="BU836" i="1"/>
  <c r="BU835" i="1"/>
  <c r="BU834" i="1"/>
  <c r="BU833" i="1"/>
  <c r="BU832" i="1"/>
  <c r="BU831" i="1"/>
  <c r="BU830" i="1"/>
  <c r="BU829" i="1"/>
  <c r="BU828" i="1"/>
  <c r="BU827" i="1"/>
  <c r="BU826" i="1"/>
  <c r="BU825" i="1"/>
  <c r="BU824" i="1"/>
  <c r="BU823" i="1"/>
  <c r="BU822" i="1"/>
  <c r="BU821" i="1"/>
  <c r="BU820" i="1"/>
  <c r="BU819" i="1"/>
  <c r="BU818" i="1"/>
  <c r="BU817" i="1"/>
  <c r="BU816" i="1"/>
  <c r="BU815" i="1"/>
  <c r="BU814" i="1"/>
  <c r="BU813" i="1"/>
  <c r="BU812" i="1"/>
  <c r="BU811" i="1"/>
  <c r="BU810" i="1"/>
  <c r="BU809" i="1"/>
  <c r="BU808" i="1"/>
  <c r="BU807" i="1"/>
  <c r="BU806" i="1"/>
  <c r="BU805" i="1"/>
  <c r="BU804" i="1"/>
  <c r="BU803" i="1"/>
  <c r="BU802" i="1"/>
  <c r="BU801" i="1"/>
  <c r="BU800" i="1"/>
  <c r="BU799" i="1"/>
  <c r="BU798" i="1"/>
  <c r="BU797" i="1"/>
  <c r="BU796" i="1"/>
  <c r="BU795" i="1"/>
  <c r="BU794" i="1"/>
  <c r="BU793" i="1"/>
  <c r="BU792" i="1"/>
  <c r="BU791" i="1"/>
  <c r="BU790" i="1"/>
  <c r="BU789" i="1"/>
  <c r="BU788" i="1"/>
  <c r="BU787" i="1"/>
  <c r="BU786" i="1"/>
  <c r="BU785" i="1"/>
  <c r="BU784" i="1"/>
  <c r="BU783" i="1"/>
  <c r="BU782" i="1"/>
  <c r="BU781" i="1"/>
  <c r="BU780" i="1"/>
  <c r="BU779" i="1"/>
  <c r="BU778" i="1"/>
  <c r="BU777" i="1"/>
  <c r="BU776" i="1"/>
  <c r="BU775" i="1"/>
  <c r="BU774" i="1"/>
  <c r="BU773" i="1"/>
  <c r="BU772" i="1"/>
  <c r="BU771" i="1"/>
  <c r="BU770" i="1"/>
  <c r="BU769" i="1"/>
  <c r="BU768" i="1"/>
  <c r="BU767" i="1"/>
  <c r="BU766" i="1"/>
  <c r="BU765" i="1"/>
  <c r="BU764" i="1"/>
  <c r="BU763" i="1"/>
  <c r="BU762" i="1"/>
  <c r="BU761" i="1"/>
  <c r="BU760" i="1"/>
  <c r="BU759" i="1"/>
  <c r="BU758" i="1"/>
  <c r="BU757" i="1"/>
  <c r="BU756" i="1"/>
  <c r="BU755" i="1"/>
  <c r="BU754" i="1"/>
  <c r="BU753" i="1"/>
  <c r="BU752" i="1"/>
  <c r="BU751" i="1"/>
  <c r="BU750" i="1"/>
  <c r="BU749" i="1"/>
  <c r="BU748" i="1"/>
  <c r="BU747" i="1"/>
  <c r="BU746" i="1"/>
  <c r="BU745" i="1"/>
  <c r="BU744" i="1"/>
  <c r="BU743" i="1"/>
  <c r="BU742" i="1"/>
  <c r="BU741" i="1"/>
  <c r="BU740" i="1"/>
  <c r="BU739" i="1"/>
  <c r="BU738" i="1"/>
  <c r="BU737" i="1"/>
  <c r="BU736" i="1"/>
  <c r="BU735" i="1"/>
  <c r="BU734" i="1"/>
  <c r="BU733" i="1"/>
  <c r="BU732" i="1"/>
  <c r="BU731" i="1"/>
  <c r="BU730" i="1"/>
  <c r="BU729" i="1"/>
  <c r="BU728" i="1"/>
  <c r="BU727" i="1"/>
  <c r="BU726" i="1"/>
  <c r="BU725" i="1"/>
  <c r="BU724" i="1"/>
  <c r="BU723" i="1"/>
  <c r="BU722" i="1"/>
  <c r="BU721" i="1"/>
  <c r="BU720" i="1"/>
  <c r="BU719" i="1"/>
  <c r="BU718" i="1"/>
  <c r="BU717" i="1"/>
  <c r="BU716" i="1"/>
  <c r="BU715" i="1"/>
  <c r="BU714" i="1"/>
  <c r="BU713" i="1"/>
  <c r="BU712" i="1"/>
  <c r="BU711" i="1"/>
  <c r="BU710" i="1"/>
  <c r="BU709" i="1"/>
  <c r="BU708" i="1"/>
  <c r="BU707" i="1"/>
  <c r="BU706" i="1"/>
  <c r="BU705" i="1"/>
  <c r="BU704" i="1"/>
  <c r="BU703" i="1"/>
  <c r="BU702" i="1"/>
  <c r="BU701" i="1"/>
  <c r="BU700" i="1"/>
  <c r="BU699" i="1"/>
  <c r="BU698" i="1"/>
  <c r="BU697" i="1"/>
  <c r="BU696" i="1"/>
  <c r="BU695" i="1"/>
  <c r="BU694" i="1"/>
  <c r="BU693" i="1"/>
  <c r="BU692" i="1"/>
  <c r="BU691" i="1"/>
  <c r="BU690" i="1"/>
  <c r="BU689" i="1"/>
  <c r="BU688" i="1"/>
  <c r="BU687" i="1"/>
  <c r="BU686" i="1"/>
  <c r="BU685" i="1"/>
  <c r="BU684" i="1"/>
  <c r="BU683" i="1"/>
  <c r="BU682" i="1"/>
  <c r="BU681" i="1"/>
  <c r="BU680" i="1"/>
  <c r="BU679" i="1"/>
  <c r="BU678" i="1"/>
  <c r="BU677" i="1"/>
  <c r="BU676" i="1"/>
  <c r="BU675" i="1"/>
  <c r="BU674" i="1"/>
  <c r="BU673" i="1"/>
  <c r="BU672" i="1"/>
  <c r="BU671" i="1"/>
  <c r="BU670" i="1"/>
  <c r="BU669" i="1"/>
  <c r="BU668" i="1"/>
  <c r="BU667" i="1"/>
  <c r="BU666" i="1"/>
  <c r="BU665" i="1"/>
  <c r="BU664" i="1"/>
  <c r="BU663" i="1"/>
  <c r="BU662" i="1"/>
  <c r="BU661" i="1"/>
  <c r="BU660" i="1"/>
  <c r="BU659" i="1"/>
  <c r="BU658" i="1"/>
  <c r="BU657" i="1"/>
  <c r="BU656" i="1"/>
  <c r="BU655" i="1"/>
  <c r="BU654" i="1"/>
  <c r="BU653" i="1"/>
  <c r="BU652" i="1"/>
  <c r="BU651" i="1"/>
  <c r="BU650" i="1"/>
  <c r="BU649" i="1"/>
  <c r="BU648" i="1"/>
  <c r="BU647" i="1"/>
  <c r="BU646" i="1"/>
  <c r="BU645" i="1"/>
  <c r="BU644" i="1"/>
  <c r="BU643" i="1"/>
  <c r="BU642" i="1"/>
  <c r="BU641" i="1"/>
  <c r="BU640" i="1"/>
  <c r="BU639" i="1"/>
  <c r="BU638" i="1"/>
  <c r="BU637" i="1"/>
  <c r="BU636" i="1"/>
  <c r="BU635" i="1"/>
  <c r="BU634" i="1"/>
  <c r="BU633" i="1"/>
  <c r="BU632" i="1"/>
  <c r="BU631" i="1"/>
  <c r="BU630" i="1"/>
  <c r="BU629" i="1"/>
  <c r="BU628" i="1"/>
  <c r="BU627" i="1"/>
  <c r="BU626" i="1"/>
  <c r="BU625" i="1"/>
  <c r="BU624" i="1"/>
  <c r="BU623" i="1"/>
  <c r="BU622" i="1"/>
  <c r="BU621" i="1"/>
  <c r="BU620" i="1"/>
  <c r="BU619" i="1"/>
  <c r="BU618" i="1"/>
  <c r="BU617" i="1"/>
  <c r="BU616" i="1"/>
  <c r="BU615" i="1"/>
  <c r="BU614" i="1"/>
  <c r="BU613" i="1"/>
  <c r="BU612" i="1"/>
  <c r="BU611" i="1"/>
  <c r="BU610" i="1"/>
  <c r="BU609" i="1"/>
  <c r="BU608" i="1"/>
  <c r="BU607" i="1"/>
  <c r="BU606" i="1"/>
  <c r="BU605" i="1"/>
  <c r="BU604" i="1"/>
  <c r="BU603" i="1"/>
  <c r="BU602" i="1"/>
  <c r="BU601" i="1"/>
  <c r="BU600" i="1"/>
  <c r="BU599" i="1"/>
  <c r="BU598" i="1"/>
  <c r="BU597" i="1"/>
  <c r="BU596" i="1"/>
  <c r="BU595" i="1"/>
  <c r="BU594" i="1"/>
  <c r="BU593" i="1"/>
  <c r="BU592" i="1"/>
  <c r="BU591" i="1"/>
  <c r="BU590" i="1"/>
  <c r="BU589" i="1"/>
  <c r="BU588" i="1"/>
  <c r="BU587" i="1"/>
  <c r="BU586" i="1"/>
  <c r="BU585" i="1"/>
  <c r="BU584" i="1"/>
  <c r="BU583" i="1"/>
  <c r="BU582" i="1"/>
  <c r="BU581" i="1"/>
  <c r="BU580" i="1"/>
  <c r="BU579" i="1"/>
  <c r="BU578" i="1"/>
  <c r="BU577" i="1"/>
  <c r="BU576" i="1"/>
  <c r="BU575" i="1"/>
  <c r="BU574" i="1"/>
  <c r="BU573" i="1"/>
  <c r="BU572" i="1"/>
  <c r="BU571" i="1"/>
  <c r="BU570" i="1"/>
  <c r="BU569" i="1"/>
  <c r="BU568" i="1"/>
  <c r="BU567" i="1"/>
  <c r="BU566" i="1"/>
  <c r="BU565" i="1"/>
  <c r="BU564" i="1"/>
  <c r="BU563" i="1"/>
  <c r="BU562" i="1"/>
  <c r="BU561" i="1"/>
  <c r="BU560" i="1"/>
  <c r="BU559" i="1"/>
  <c r="BU558" i="1"/>
  <c r="BU557" i="1"/>
  <c r="BU556" i="1"/>
  <c r="BU555" i="1"/>
  <c r="BU554" i="1"/>
  <c r="BU553" i="1"/>
  <c r="BU552" i="1"/>
  <c r="BU551" i="1"/>
  <c r="BU550" i="1"/>
  <c r="BU549" i="1"/>
  <c r="BU548" i="1"/>
  <c r="BU547" i="1"/>
  <c r="BU546" i="1"/>
  <c r="BU545" i="1"/>
  <c r="BU544" i="1"/>
  <c r="BU543" i="1"/>
  <c r="BU542" i="1"/>
  <c r="BU541" i="1"/>
  <c r="BU540" i="1"/>
  <c r="BU539" i="1"/>
  <c r="BU538" i="1"/>
  <c r="BU537" i="1"/>
  <c r="BU536" i="1"/>
  <c r="BU535" i="1"/>
  <c r="BU534" i="1"/>
  <c r="BU533" i="1"/>
  <c r="BU532" i="1"/>
  <c r="BU531" i="1"/>
  <c r="BU530" i="1"/>
  <c r="BU529" i="1"/>
  <c r="BU528" i="1"/>
  <c r="BU527" i="1"/>
  <c r="BU526" i="1"/>
  <c r="BU525" i="1"/>
  <c r="BU524" i="1"/>
  <c r="BU523" i="1"/>
  <c r="BU522" i="1"/>
  <c r="BU521" i="1"/>
  <c r="BU520" i="1"/>
  <c r="BU519" i="1"/>
  <c r="BU518" i="1"/>
  <c r="BU517" i="1"/>
  <c r="BU516" i="1"/>
  <c r="BU515" i="1"/>
  <c r="BU514" i="1"/>
  <c r="BU513" i="1"/>
  <c r="BU512" i="1"/>
  <c r="BU511" i="1"/>
  <c r="BU510" i="1"/>
  <c r="BU509" i="1"/>
  <c r="BU508" i="1"/>
  <c r="BU507" i="1"/>
  <c r="BU506" i="1"/>
  <c r="BU505" i="1"/>
  <c r="BU504" i="1"/>
  <c r="BU503" i="1"/>
  <c r="BU502" i="1"/>
  <c r="BU501" i="1"/>
  <c r="BU500" i="1"/>
  <c r="BU499" i="1"/>
  <c r="BU498" i="1"/>
  <c r="BU497" i="1"/>
  <c r="BU496" i="1"/>
  <c r="BU495" i="1"/>
  <c r="BU494" i="1"/>
  <c r="BU493" i="1"/>
  <c r="BU492" i="1"/>
  <c r="BU491" i="1"/>
  <c r="BU490" i="1"/>
  <c r="BU489" i="1"/>
  <c r="BU488" i="1"/>
  <c r="BU487" i="1"/>
  <c r="BU486" i="1"/>
  <c r="BU485" i="1"/>
  <c r="BU484" i="1"/>
  <c r="BU483" i="1"/>
  <c r="BU482" i="1"/>
  <c r="BU481" i="1"/>
  <c r="BU480" i="1"/>
  <c r="BU479" i="1"/>
  <c r="BU478" i="1"/>
  <c r="BU477" i="1"/>
  <c r="BU476" i="1"/>
  <c r="BU475" i="1"/>
  <c r="BU474" i="1"/>
  <c r="BU473" i="1"/>
  <c r="BU472" i="1"/>
  <c r="BU471" i="1"/>
  <c r="BU470" i="1"/>
  <c r="BU469" i="1"/>
  <c r="BU468" i="1"/>
  <c r="BU467" i="1"/>
  <c r="BU466" i="1"/>
  <c r="BU465" i="1"/>
  <c r="BU464" i="1"/>
  <c r="BU463" i="1"/>
  <c r="BU462" i="1"/>
  <c r="BU461" i="1"/>
  <c r="BU460" i="1"/>
  <c r="BU459" i="1"/>
  <c r="BU458" i="1"/>
  <c r="BU457" i="1"/>
  <c r="BU456" i="1"/>
  <c r="BU455" i="1"/>
  <c r="BU454" i="1"/>
  <c r="BU453" i="1"/>
  <c r="BU452" i="1"/>
  <c r="BU451" i="1"/>
  <c r="BU450" i="1"/>
  <c r="BU449" i="1"/>
  <c r="BU448" i="1"/>
  <c r="BU447" i="1"/>
  <c r="BU446" i="1"/>
  <c r="BU445" i="1"/>
  <c r="BU444" i="1"/>
  <c r="BU443" i="1"/>
  <c r="BU442" i="1"/>
  <c r="BU441" i="1"/>
  <c r="BU440" i="1"/>
  <c r="BU439" i="1"/>
  <c r="BU438" i="1"/>
  <c r="BU437" i="1"/>
  <c r="BU436" i="1"/>
  <c r="BU435" i="1"/>
  <c r="BU434" i="1"/>
  <c r="BU433" i="1"/>
  <c r="BU432" i="1"/>
  <c r="BU431" i="1"/>
  <c r="BU430" i="1"/>
  <c r="BU429" i="1"/>
  <c r="BU428" i="1"/>
  <c r="BU427" i="1"/>
  <c r="BU426" i="1"/>
  <c r="BU425" i="1"/>
  <c r="BU424" i="1"/>
  <c r="BU423" i="1"/>
  <c r="BU422" i="1"/>
  <c r="BU421" i="1"/>
  <c r="BU420" i="1"/>
  <c r="BU419" i="1"/>
  <c r="BU418" i="1"/>
  <c r="BU417" i="1"/>
  <c r="BU416" i="1"/>
  <c r="BU415" i="1"/>
  <c r="BU414" i="1"/>
  <c r="BU413" i="1"/>
  <c r="BU412" i="1"/>
  <c r="BU411" i="1"/>
  <c r="BU410" i="1"/>
  <c r="BU409" i="1"/>
  <c r="BU408" i="1"/>
  <c r="BU407" i="1"/>
  <c r="BU406" i="1"/>
  <c r="BU405" i="1"/>
  <c r="BU404" i="1"/>
  <c r="BU403" i="1"/>
  <c r="BU402" i="1"/>
  <c r="BU401" i="1"/>
  <c r="BU400" i="1"/>
  <c r="BU399" i="1"/>
  <c r="BU398" i="1"/>
  <c r="BU397" i="1"/>
  <c r="BU396" i="1"/>
  <c r="BU395" i="1"/>
  <c r="BU394" i="1"/>
  <c r="BU393" i="1"/>
  <c r="BU392" i="1"/>
  <c r="BU391" i="1"/>
  <c r="BU390" i="1"/>
  <c r="BU389" i="1"/>
  <c r="BU388" i="1"/>
  <c r="BU387" i="1"/>
  <c r="BU386" i="1"/>
  <c r="BU385" i="1"/>
  <c r="BU384" i="1"/>
  <c r="BU383" i="1"/>
  <c r="BU382" i="1"/>
  <c r="BU381" i="1"/>
  <c r="BU380" i="1"/>
  <c r="BU379" i="1"/>
  <c r="BU378" i="1"/>
  <c r="BU377" i="1"/>
  <c r="BU376" i="1"/>
  <c r="BU375" i="1"/>
  <c r="BU374" i="1"/>
  <c r="BU373" i="1"/>
  <c r="BU372" i="1"/>
  <c r="BU371" i="1"/>
  <c r="BU370" i="1"/>
  <c r="BU369" i="1"/>
  <c r="BU368" i="1"/>
  <c r="BU367" i="1"/>
  <c r="BU366" i="1"/>
  <c r="BU365" i="1"/>
  <c r="BU364" i="1"/>
  <c r="BU363" i="1"/>
  <c r="BU362" i="1"/>
  <c r="BU361" i="1"/>
  <c r="BU360" i="1"/>
  <c r="BU359" i="1"/>
  <c r="BU358" i="1"/>
  <c r="BU357" i="1"/>
  <c r="BU356" i="1"/>
  <c r="BU355" i="1"/>
  <c r="BU354" i="1"/>
  <c r="BU353" i="1"/>
  <c r="BU352" i="1"/>
  <c r="BU351" i="1"/>
  <c r="BU350" i="1"/>
  <c r="BU349" i="1"/>
  <c r="BU348" i="1"/>
  <c r="BU347" i="1"/>
  <c r="BU346" i="1"/>
  <c r="BU345" i="1"/>
  <c r="BU344" i="1"/>
  <c r="BU343" i="1"/>
  <c r="BU342" i="1"/>
  <c r="BU341" i="1"/>
  <c r="BU340" i="1"/>
  <c r="BU339" i="1"/>
  <c r="BU338" i="1"/>
  <c r="BU337" i="1"/>
  <c r="BU336" i="1"/>
  <c r="BU335" i="1"/>
  <c r="BU334" i="1"/>
  <c r="BU333" i="1"/>
  <c r="BU332" i="1"/>
  <c r="BU331" i="1"/>
  <c r="BU330" i="1"/>
  <c r="BU329" i="1"/>
  <c r="BU328" i="1"/>
  <c r="BU327" i="1"/>
  <c r="BU326" i="1"/>
  <c r="BU325" i="1"/>
  <c r="BU324" i="1"/>
  <c r="BU323" i="1"/>
  <c r="BU322" i="1"/>
  <c r="BU321" i="1"/>
  <c r="BU320" i="1"/>
  <c r="BU319" i="1"/>
  <c r="BU318" i="1"/>
  <c r="BU317" i="1"/>
  <c r="BU316" i="1"/>
  <c r="BU315" i="1"/>
  <c r="BU314" i="1"/>
  <c r="BU313" i="1"/>
  <c r="BU312" i="1"/>
  <c r="BU311" i="1"/>
  <c r="BU310" i="1"/>
  <c r="BU309" i="1"/>
  <c r="BU308" i="1"/>
  <c r="BU307" i="1"/>
  <c r="BU306" i="1"/>
  <c r="BU305" i="1"/>
  <c r="BU304" i="1"/>
  <c r="BU303" i="1"/>
  <c r="BU302" i="1"/>
  <c r="BU301" i="1"/>
  <c r="BU300" i="1"/>
  <c r="BU299" i="1"/>
  <c r="BU298" i="1"/>
  <c r="BU297" i="1"/>
  <c r="BU296" i="1"/>
  <c r="BU295" i="1"/>
  <c r="BU294" i="1"/>
  <c r="BU293" i="1"/>
  <c r="BU292" i="1"/>
  <c r="BU291" i="1"/>
  <c r="BU290" i="1"/>
  <c r="BU289" i="1"/>
  <c r="BU288" i="1"/>
  <c r="BU287" i="1"/>
  <c r="BU286" i="1"/>
  <c r="BU285" i="1"/>
  <c r="BU284" i="1"/>
  <c r="BU283" i="1"/>
  <c r="BU282" i="1"/>
  <c r="BU281" i="1"/>
  <c r="BU280" i="1"/>
  <c r="BU279" i="1"/>
  <c r="BU278" i="1"/>
  <c r="BU277" i="1"/>
  <c r="BU276" i="1"/>
  <c r="BU275" i="1"/>
  <c r="BU274" i="1"/>
  <c r="BU273" i="1"/>
  <c r="BU272" i="1"/>
  <c r="BU271" i="1"/>
  <c r="BU270" i="1"/>
  <c r="BU269" i="1"/>
  <c r="BU268" i="1"/>
  <c r="BU267" i="1"/>
  <c r="BU266" i="1"/>
  <c r="BU265" i="1"/>
  <c r="BU264" i="1"/>
  <c r="BU263" i="1"/>
  <c r="BU262" i="1"/>
  <c r="BU261" i="1"/>
  <c r="BU260" i="1"/>
  <c r="BU259" i="1"/>
  <c r="BU258" i="1"/>
  <c r="BU257" i="1"/>
  <c r="BU256" i="1"/>
  <c r="BU255" i="1"/>
  <c r="BU254" i="1"/>
  <c r="BU253" i="1"/>
  <c r="BU252" i="1"/>
  <c r="BU251" i="1"/>
  <c r="BU250" i="1"/>
  <c r="BU249" i="1"/>
  <c r="BU248" i="1"/>
  <c r="BU247" i="1"/>
  <c r="BU246" i="1"/>
  <c r="BU245" i="1"/>
  <c r="BU244" i="1"/>
  <c r="BU243" i="1"/>
  <c r="BU242" i="1"/>
  <c r="BU241" i="1"/>
  <c r="BU240" i="1"/>
  <c r="BU239" i="1"/>
  <c r="BU238" i="1"/>
  <c r="BU237" i="1"/>
  <c r="BU236" i="1"/>
  <c r="BU235" i="1"/>
  <c r="BU234" i="1"/>
  <c r="BU233" i="1"/>
  <c r="BU232" i="1"/>
  <c r="BU231" i="1"/>
  <c r="BU230" i="1"/>
  <c r="BU229" i="1"/>
  <c r="BU228" i="1"/>
  <c r="BU227" i="1"/>
  <c r="BU226" i="1"/>
  <c r="BU225" i="1"/>
  <c r="BU224" i="1"/>
  <c r="BU223" i="1"/>
  <c r="BU222" i="1"/>
  <c r="BU221" i="1"/>
  <c r="BU220" i="1"/>
  <c r="BU219" i="1"/>
  <c r="BU218" i="1"/>
  <c r="BU217" i="1"/>
  <c r="BU216" i="1"/>
  <c r="BU215" i="1"/>
  <c r="BU214" i="1"/>
  <c r="BU213" i="1"/>
  <c r="BU212" i="1"/>
  <c r="BU211" i="1"/>
  <c r="BU210" i="1"/>
  <c r="BU209" i="1"/>
  <c r="BU208" i="1"/>
  <c r="BU207" i="1"/>
  <c r="BU206" i="1"/>
  <c r="BU205" i="1"/>
  <c r="BU204" i="1"/>
  <c r="BU203" i="1"/>
  <c r="BU202" i="1"/>
  <c r="BU201" i="1"/>
  <c r="BU200" i="1"/>
  <c r="BU199" i="1"/>
  <c r="BU198" i="1"/>
  <c r="BU197" i="1"/>
  <c r="BU196" i="1"/>
  <c r="BU195" i="1"/>
  <c r="BU194" i="1"/>
  <c r="BU193" i="1"/>
  <c r="BU192" i="1"/>
  <c r="BU191" i="1"/>
  <c r="BU190" i="1"/>
  <c r="BU189" i="1"/>
  <c r="BU188" i="1"/>
  <c r="BU187" i="1"/>
  <c r="BU186" i="1"/>
  <c r="BU185" i="1"/>
  <c r="BU184" i="1"/>
  <c r="BU183" i="1"/>
  <c r="BU182" i="1"/>
  <c r="BU181" i="1"/>
  <c r="BU180" i="1"/>
  <c r="BU179" i="1"/>
  <c r="BU178" i="1"/>
  <c r="BU177" i="1"/>
  <c r="BU176" i="1"/>
  <c r="BU175" i="1"/>
  <c r="BU174" i="1"/>
  <c r="BU173" i="1"/>
  <c r="BU172" i="1"/>
  <c r="BU171" i="1"/>
  <c r="BU170" i="1"/>
  <c r="BU169" i="1"/>
  <c r="BU168" i="1"/>
  <c r="BU167" i="1"/>
  <c r="BU166" i="1"/>
  <c r="BU165" i="1"/>
  <c r="BU164" i="1"/>
  <c r="BU163" i="1"/>
  <c r="BU162" i="1"/>
  <c r="BU161" i="1"/>
  <c r="BU160" i="1"/>
  <c r="BU159" i="1"/>
  <c r="BU158" i="1"/>
  <c r="BU157" i="1"/>
  <c r="BU156" i="1"/>
  <c r="BU155" i="1"/>
  <c r="BU154" i="1"/>
  <c r="BU153" i="1"/>
  <c r="BU152" i="1"/>
  <c r="BU151" i="1"/>
  <c r="BU150" i="1"/>
  <c r="BU149" i="1"/>
  <c r="BU148" i="1"/>
  <c r="BU147" i="1"/>
  <c r="BU146" i="1"/>
  <c r="BU145" i="1"/>
  <c r="BU144" i="1"/>
  <c r="BU143" i="1"/>
  <c r="BU142" i="1"/>
  <c r="BU141" i="1"/>
  <c r="BU140" i="1"/>
  <c r="BU139" i="1"/>
  <c r="BU138" i="1"/>
  <c r="BU137" i="1"/>
  <c r="BU136" i="1"/>
  <c r="BU135" i="1"/>
  <c r="BU134" i="1"/>
  <c r="BU133" i="1"/>
  <c r="BU132" i="1"/>
  <c r="BU131" i="1"/>
  <c r="BU130" i="1"/>
  <c r="BU129" i="1"/>
  <c r="BU128" i="1"/>
  <c r="BU127" i="1"/>
  <c r="BU126" i="1"/>
  <c r="BU125" i="1"/>
  <c r="BU124" i="1"/>
  <c r="BU123" i="1"/>
  <c r="BU122" i="1"/>
  <c r="BU121" i="1"/>
  <c r="BU120" i="1"/>
  <c r="BU119" i="1"/>
  <c r="BU118" i="1"/>
  <c r="BU117" i="1"/>
  <c r="BU116" i="1"/>
  <c r="BU115" i="1"/>
  <c r="BU114" i="1"/>
  <c r="BU113" i="1"/>
  <c r="BU112" i="1"/>
  <c r="BU111" i="1"/>
  <c r="BU110" i="1"/>
  <c r="BU109" i="1"/>
  <c r="BU108" i="1"/>
  <c r="BU107" i="1"/>
  <c r="BU106" i="1"/>
  <c r="BU105" i="1"/>
  <c r="BU104" i="1"/>
  <c r="BU103" i="1"/>
  <c r="BU102" i="1"/>
  <c r="BU101" i="1"/>
  <c r="BU100" i="1"/>
  <c r="BU99" i="1"/>
  <c r="BU98" i="1"/>
  <c r="BU97" i="1"/>
  <c r="BU96" i="1"/>
  <c r="BU95" i="1"/>
  <c r="BU94" i="1"/>
  <c r="BU93" i="1"/>
  <c r="BU92" i="1"/>
  <c r="BU91" i="1"/>
  <c r="BU90" i="1"/>
  <c r="BU89" i="1"/>
  <c r="BU88" i="1"/>
  <c r="BU87" i="1"/>
  <c r="BU86" i="1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AA1011" i="1"/>
  <c r="BT1011" i="1" s="1"/>
  <c r="AA1010" i="1"/>
  <c r="BT1010" i="1" s="1"/>
  <c r="AA1009" i="1"/>
  <c r="BT1009" i="1" s="1"/>
  <c r="AA1008" i="1"/>
  <c r="BT1008" i="1" s="1"/>
  <c r="AA1007" i="1"/>
  <c r="BT1007" i="1" s="1"/>
  <c r="AA1006" i="1"/>
  <c r="BT1006" i="1" s="1"/>
  <c r="AA1005" i="1"/>
  <c r="BT1005" i="1" s="1"/>
  <c r="AA1004" i="1"/>
  <c r="BT1004" i="1" s="1"/>
  <c r="AA1003" i="1"/>
  <c r="BT1003" i="1" s="1"/>
  <c r="AA1002" i="1"/>
  <c r="BT1002" i="1" s="1"/>
  <c r="AA1001" i="1"/>
  <c r="BT1001" i="1" s="1"/>
  <c r="AA1000" i="1"/>
  <c r="BT1000" i="1" s="1"/>
  <c r="AA999" i="1"/>
  <c r="BT999" i="1" s="1"/>
  <c r="AA998" i="1"/>
  <c r="BT998" i="1" s="1"/>
  <c r="AA997" i="1"/>
  <c r="BT997" i="1" s="1"/>
  <c r="AA996" i="1"/>
  <c r="BT996" i="1" s="1"/>
  <c r="AA995" i="1"/>
  <c r="BT995" i="1" s="1"/>
  <c r="AA994" i="1"/>
  <c r="BT994" i="1" s="1"/>
  <c r="AA993" i="1"/>
  <c r="BT993" i="1" s="1"/>
  <c r="AA992" i="1"/>
  <c r="BT992" i="1" s="1"/>
  <c r="AA991" i="1"/>
  <c r="BT991" i="1" s="1"/>
  <c r="AA990" i="1"/>
  <c r="BT990" i="1" s="1"/>
  <c r="AA989" i="1"/>
  <c r="BT989" i="1" s="1"/>
  <c r="AA988" i="1"/>
  <c r="BT988" i="1" s="1"/>
  <c r="AA987" i="1"/>
  <c r="BT987" i="1" s="1"/>
  <c r="AA986" i="1"/>
  <c r="BT986" i="1" s="1"/>
  <c r="AA985" i="1"/>
  <c r="BT985" i="1" s="1"/>
  <c r="AA984" i="1"/>
  <c r="BT984" i="1" s="1"/>
  <c r="AA983" i="1"/>
  <c r="BT983" i="1" s="1"/>
  <c r="AA982" i="1"/>
  <c r="BT982" i="1" s="1"/>
  <c r="AA981" i="1"/>
  <c r="BT981" i="1" s="1"/>
  <c r="AA980" i="1"/>
  <c r="BT980" i="1" s="1"/>
  <c r="AA979" i="1"/>
  <c r="BT979" i="1" s="1"/>
  <c r="AA978" i="1"/>
  <c r="BT978" i="1" s="1"/>
  <c r="AA977" i="1"/>
  <c r="BT977" i="1" s="1"/>
  <c r="AA976" i="1"/>
  <c r="BT976" i="1" s="1"/>
  <c r="AA975" i="1"/>
  <c r="BT975" i="1" s="1"/>
  <c r="AA974" i="1"/>
  <c r="BT974" i="1" s="1"/>
  <c r="AA973" i="1"/>
  <c r="BT973" i="1" s="1"/>
  <c r="AA972" i="1"/>
  <c r="BT972" i="1" s="1"/>
  <c r="AA971" i="1"/>
  <c r="BT971" i="1" s="1"/>
  <c r="AA970" i="1"/>
  <c r="BT970" i="1" s="1"/>
  <c r="AA969" i="1"/>
  <c r="BT969" i="1" s="1"/>
  <c r="AA968" i="1"/>
  <c r="BT968" i="1" s="1"/>
  <c r="AA967" i="1"/>
  <c r="BT967" i="1" s="1"/>
  <c r="AA966" i="1"/>
  <c r="BT966" i="1" s="1"/>
  <c r="AA965" i="1"/>
  <c r="BT965" i="1" s="1"/>
  <c r="AA964" i="1"/>
  <c r="BT964" i="1" s="1"/>
  <c r="AA963" i="1"/>
  <c r="BT963" i="1" s="1"/>
  <c r="AA962" i="1"/>
  <c r="BT962" i="1" s="1"/>
  <c r="AA961" i="1"/>
  <c r="BT961" i="1" s="1"/>
  <c r="AA960" i="1"/>
  <c r="BT960" i="1" s="1"/>
  <c r="AA959" i="1"/>
  <c r="BT959" i="1" s="1"/>
  <c r="AA958" i="1"/>
  <c r="BT958" i="1" s="1"/>
  <c r="AA957" i="1"/>
  <c r="BT957" i="1" s="1"/>
  <c r="AA956" i="1"/>
  <c r="BT956" i="1" s="1"/>
  <c r="AA955" i="1"/>
  <c r="BT955" i="1" s="1"/>
  <c r="AA954" i="1"/>
  <c r="BT954" i="1" s="1"/>
  <c r="AA953" i="1"/>
  <c r="BT953" i="1" s="1"/>
  <c r="AA952" i="1"/>
  <c r="BT952" i="1" s="1"/>
  <c r="AA951" i="1"/>
  <c r="BT951" i="1" s="1"/>
  <c r="AA950" i="1"/>
  <c r="BT950" i="1" s="1"/>
  <c r="AA949" i="1"/>
  <c r="BT949" i="1" s="1"/>
  <c r="AA948" i="1"/>
  <c r="BT948" i="1" s="1"/>
  <c r="AA947" i="1"/>
  <c r="BT947" i="1" s="1"/>
  <c r="AA946" i="1"/>
  <c r="BT946" i="1" s="1"/>
  <c r="AA945" i="1"/>
  <c r="BT945" i="1" s="1"/>
  <c r="AA944" i="1"/>
  <c r="BT944" i="1" s="1"/>
  <c r="AA943" i="1"/>
  <c r="BT943" i="1" s="1"/>
  <c r="AA942" i="1"/>
  <c r="BT942" i="1" s="1"/>
  <c r="AA941" i="1"/>
  <c r="BT941" i="1" s="1"/>
  <c r="AA940" i="1"/>
  <c r="BT940" i="1" s="1"/>
  <c r="AA939" i="1"/>
  <c r="BT939" i="1" s="1"/>
  <c r="AA938" i="1"/>
  <c r="BT938" i="1" s="1"/>
  <c r="AA937" i="1"/>
  <c r="BT937" i="1" s="1"/>
  <c r="AA936" i="1"/>
  <c r="BT936" i="1" s="1"/>
  <c r="AA935" i="1"/>
  <c r="BT935" i="1" s="1"/>
  <c r="AA934" i="1"/>
  <c r="BT934" i="1" s="1"/>
  <c r="AA933" i="1"/>
  <c r="BT933" i="1" s="1"/>
  <c r="AA932" i="1"/>
  <c r="BT932" i="1" s="1"/>
  <c r="AA931" i="1"/>
  <c r="BT931" i="1" s="1"/>
  <c r="AA930" i="1"/>
  <c r="BT930" i="1" s="1"/>
  <c r="AA929" i="1"/>
  <c r="BT929" i="1" s="1"/>
  <c r="AA928" i="1"/>
  <c r="BT928" i="1" s="1"/>
  <c r="AA927" i="1"/>
  <c r="BT927" i="1" s="1"/>
  <c r="AA926" i="1"/>
  <c r="BT926" i="1" s="1"/>
  <c r="AA925" i="1"/>
  <c r="BT925" i="1" s="1"/>
  <c r="AA924" i="1"/>
  <c r="BT924" i="1" s="1"/>
  <c r="AA923" i="1"/>
  <c r="BT923" i="1" s="1"/>
  <c r="AA922" i="1"/>
  <c r="BT922" i="1" s="1"/>
  <c r="AA921" i="1"/>
  <c r="BT921" i="1" s="1"/>
  <c r="AA920" i="1"/>
  <c r="BT920" i="1" s="1"/>
  <c r="AA919" i="1"/>
  <c r="BT919" i="1" s="1"/>
  <c r="AA918" i="1"/>
  <c r="BT918" i="1" s="1"/>
  <c r="AA917" i="1"/>
  <c r="BT917" i="1" s="1"/>
  <c r="AA916" i="1"/>
  <c r="BT916" i="1" s="1"/>
  <c r="AA915" i="1"/>
  <c r="BT915" i="1" s="1"/>
  <c r="AA914" i="1"/>
  <c r="BT914" i="1" s="1"/>
  <c r="AA913" i="1"/>
  <c r="BT913" i="1" s="1"/>
  <c r="AA912" i="1"/>
  <c r="BT912" i="1" s="1"/>
  <c r="AA911" i="1"/>
  <c r="BT911" i="1" s="1"/>
  <c r="AA910" i="1"/>
  <c r="BT910" i="1" s="1"/>
  <c r="AA909" i="1"/>
  <c r="BT909" i="1" s="1"/>
  <c r="AA908" i="1"/>
  <c r="BT908" i="1" s="1"/>
  <c r="AA907" i="1"/>
  <c r="BT907" i="1" s="1"/>
  <c r="AA906" i="1"/>
  <c r="BT906" i="1" s="1"/>
  <c r="AA905" i="1"/>
  <c r="BT905" i="1" s="1"/>
  <c r="AA904" i="1"/>
  <c r="BT904" i="1" s="1"/>
  <c r="AA903" i="1"/>
  <c r="BT903" i="1" s="1"/>
  <c r="AA902" i="1"/>
  <c r="BT902" i="1" s="1"/>
  <c r="AA901" i="1"/>
  <c r="BT901" i="1" s="1"/>
  <c r="AA900" i="1"/>
  <c r="BT900" i="1" s="1"/>
  <c r="AA899" i="1"/>
  <c r="BT899" i="1" s="1"/>
  <c r="AA898" i="1"/>
  <c r="BT898" i="1" s="1"/>
  <c r="AA897" i="1"/>
  <c r="BT897" i="1" s="1"/>
  <c r="AA896" i="1"/>
  <c r="BT896" i="1" s="1"/>
  <c r="AA895" i="1"/>
  <c r="BT895" i="1" s="1"/>
  <c r="AA894" i="1"/>
  <c r="BT894" i="1" s="1"/>
  <c r="AA893" i="1"/>
  <c r="BT893" i="1" s="1"/>
  <c r="AA892" i="1"/>
  <c r="BT892" i="1" s="1"/>
  <c r="AA891" i="1"/>
  <c r="BT891" i="1" s="1"/>
  <c r="AA890" i="1"/>
  <c r="BT890" i="1" s="1"/>
  <c r="AA889" i="1"/>
  <c r="BT889" i="1" s="1"/>
  <c r="AA888" i="1"/>
  <c r="BT888" i="1" s="1"/>
  <c r="AA887" i="1"/>
  <c r="BT887" i="1" s="1"/>
  <c r="AA886" i="1"/>
  <c r="BT886" i="1" s="1"/>
  <c r="AA885" i="1"/>
  <c r="BT885" i="1" s="1"/>
  <c r="AA884" i="1"/>
  <c r="BT884" i="1" s="1"/>
  <c r="AA883" i="1"/>
  <c r="BT883" i="1" s="1"/>
  <c r="AA882" i="1"/>
  <c r="BT882" i="1" s="1"/>
  <c r="AA881" i="1"/>
  <c r="BT881" i="1" s="1"/>
  <c r="AA880" i="1"/>
  <c r="BT880" i="1" s="1"/>
  <c r="AA879" i="1"/>
  <c r="BT879" i="1" s="1"/>
  <c r="AA878" i="1"/>
  <c r="BT878" i="1" s="1"/>
  <c r="AA877" i="1"/>
  <c r="BT877" i="1" s="1"/>
  <c r="AA876" i="1"/>
  <c r="BT876" i="1" s="1"/>
  <c r="AA875" i="1"/>
  <c r="BT875" i="1" s="1"/>
  <c r="AA874" i="1"/>
  <c r="BT874" i="1" s="1"/>
  <c r="AA873" i="1"/>
  <c r="BT873" i="1" s="1"/>
  <c r="AA872" i="1"/>
  <c r="BT872" i="1" s="1"/>
  <c r="AA871" i="1"/>
  <c r="BT871" i="1" s="1"/>
  <c r="AA870" i="1"/>
  <c r="BT870" i="1" s="1"/>
  <c r="AA869" i="1"/>
  <c r="BT869" i="1" s="1"/>
  <c r="AA868" i="1"/>
  <c r="BT868" i="1" s="1"/>
  <c r="AA867" i="1"/>
  <c r="BT867" i="1" s="1"/>
  <c r="AA866" i="1"/>
  <c r="BT866" i="1" s="1"/>
  <c r="AA865" i="1"/>
  <c r="BT865" i="1" s="1"/>
  <c r="AA864" i="1"/>
  <c r="BT864" i="1" s="1"/>
  <c r="AA863" i="1"/>
  <c r="BT863" i="1" s="1"/>
  <c r="AA862" i="1"/>
  <c r="BT862" i="1" s="1"/>
  <c r="AA861" i="1"/>
  <c r="BT861" i="1" s="1"/>
  <c r="AA860" i="1"/>
  <c r="BT860" i="1" s="1"/>
  <c r="AA859" i="1"/>
  <c r="BT859" i="1" s="1"/>
  <c r="AA858" i="1"/>
  <c r="BT858" i="1" s="1"/>
  <c r="AA857" i="1"/>
  <c r="BT857" i="1" s="1"/>
  <c r="AA856" i="1"/>
  <c r="BT856" i="1" s="1"/>
  <c r="AA855" i="1"/>
  <c r="BT855" i="1" s="1"/>
  <c r="AA854" i="1"/>
  <c r="BT854" i="1" s="1"/>
  <c r="AA853" i="1"/>
  <c r="BT853" i="1" s="1"/>
  <c r="AA852" i="1"/>
  <c r="BT852" i="1" s="1"/>
  <c r="AA851" i="1"/>
  <c r="BT851" i="1" s="1"/>
  <c r="AA850" i="1"/>
  <c r="BT850" i="1" s="1"/>
  <c r="AA849" i="1"/>
  <c r="BT849" i="1" s="1"/>
  <c r="AA848" i="1"/>
  <c r="BT848" i="1" s="1"/>
  <c r="AA847" i="1"/>
  <c r="BT847" i="1" s="1"/>
  <c r="AA846" i="1"/>
  <c r="BT846" i="1" s="1"/>
  <c r="AA845" i="1"/>
  <c r="BT845" i="1" s="1"/>
  <c r="AA844" i="1"/>
  <c r="BT844" i="1" s="1"/>
  <c r="AA843" i="1"/>
  <c r="BT843" i="1" s="1"/>
  <c r="AA842" i="1"/>
  <c r="BT842" i="1" s="1"/>
  <c r="AA841" i="1"/>
  <c r="BT841" i="1" s="1"/>
  <c r="AA840" i="1"/>
  <c r="BT840" i="1" s="1"/>
  <c r="AA839" i="1"/>
  <c r="BT839" i="1" s="1"/>
  <c r="AA838" i="1"/>
  <c r="BT838" i="1" s="1"/>
  <c r="AA837" i="1"/>
  <c r="BT837" i="1" s="1"/>
  <c r="AA836" i="1"/>
  <c r="BT836" i="1" s="1"/>
  <c r="AA835" i="1"/>
  <c r="BT835" i="1" s="1"/>
  <c r="AA834" i="1"/>
  <c r="BT834" i="1" s="1"/>
  <c r="AA833" i="1"/>
  <c r="BT833" i="1" s="1"/>
  <c r="AA832" i="1"/>
  <c r="BT832" i="1" s="1"/>
  <c r="AA831" i="1"/>
  <c r="BT831" i="1" s="1"/>
  <c r="AA830" i="1"/>
  <c r="BT830" i="1" s="1"/>
  <c r="AA829" i="1"/>
  <c r="BT829" i="1" s="1"/>
  <c r="AA828" i="1"/>
  <c r="BT828" i="1" s="1"/>
  <c r="AA827" i="1"/>
  <c r="BT827" i="1" s="1"/>
  <c r="AA826" i="1"/>
  <c r="BT826" i="1" s="1"/>
  <c r="AA825" i="1"/>
  <c r="BT825" i="1" s="1"/>
  <c r="AA824" i="1"/>
  <c r="BT824" i="1" s="1"/>
  <c r="AA823" i="1"/>
  <c r="BT823" i="1" s="1"/>
  <c r="AA822" i="1"/>
  <c r="BT822" i="1" s="1"/>
  <c r="AA821" i="1"/>
  <c r="BT821" i="1" s="1"/>
  <c r="AA820" i="1"/>
  <c r="BT820" i="1" s="1"/>
  <c r="AA819" i="1"/>
  <c r="BT819" i="1" s="1"/>
  <c r="AA818" i="1"/>
  <c r="BT818" i="1" s="1"/>
  <c r="AA817" i="1"/>
  <c r="BT817" i="1" s="1"/>
  <c r="AA816" i="1"/>
  <c r="BT816" i="1" s="1"/>
  <c r="AA815" i="1"/>
  <c r="BT815" i="1" s="1"/>
  <c r="AA814" i="1"/>
  <c r="BT814" i="1" s="1"/>
  <c r="AA813" i="1"/>
  <c r="BT813" i="1" s="1"/>
  <c r="AA812" i="1"/>
  <c r="BT812" i="1" s="1"/>
  <c r="AA811" i="1"/>
  <c r="BT811" i="1" s="1"/>
  <c r="AA810" i="1"/>
  <c r="BT810" i="1" s="1"/>
  <c r="AA809" i="1"/>
  <c r="BT809" i="1" s="1"/>
  <c r="AA808" i="1"/>
  <c r="BT808" i="1" s="1"/>
  <c r="AA807" i="1"/>
  <c r="BT807" i="1" s="1"/>
  <c r="AA806" i="1"/>
  <c r="BT806" i="1" s="1"/>
  <c r="AA805" i="1"/>
  <c r="BT805" i="1" s="1"/>
  <c r="AA804" i="1"/>
  <c r="BT804" i="1" s="1"/>
  <c r="AA803" i="1"/>
  <c r="BT803" i="1" s="1"/>
  <c r="AA802" i="1"/>
  <c r="BT802" i="1" s="1"/>
  <c r="AA801" i="1"/>
  <c r="BT801" i="1" s="1"/>
  <c r="AA800" i="1"/>
  <c r="BT800" i="1" s="1"/>
  <c r="AA799" i="1"/>
  <c r="BT799" i="1" s="1"/>
  <c r="AA798" i="1"/>
  <c r="BT798" i="1" s="1"/>
  <c r="AA797" i="1"/>
  <c r="BT797" i="1" s="1"/>
  <c r="AA796" i="1"/>
  <c r="BT796" i="1" s="1"/>
  <c r="AA795" i="1"/>
  <c r="BT795" i="1" s="1"/>
  <c r="AA794" i="1"/>
  <c r="BT794" i="1" s="1"/>
  <c r="AA793" i="1"/>
  <c r="BT793" i="1" s="1"/>
  <c r="AA792" i="1"/>
  <c r="BT792" i="1" s="1"/>
  <c r="AA791" i="1"/>
  <c r="BT791" i="1" s="1"/>
  <c r="AA790" i="1"/>
  <c r="BT790" i="1" s="1"/>
  <c r="AA789" i="1"/>
  <c r="BT789" i="1" s="1"/>
  <c r="AA788" i="1"/>
  <c r="BT788" i="1" s="1"/>
  <c r="AA787" i="1"/>
  <c r="BT787" i="1" s="1"/>
  <c r="AA786" i="1"/>
  <c r="BT786" i="1" s="1"/>
  <c r="AA785" i="1"/>
  <c r="BT785" i="1" s="1"/>
  <c r="AA784" i="1"/>
  <c r="BT784" i="1" s="1"/>
  <c r="AA783" i="1"/>
  <c r="BT783" i="1" s="1"/>
  <c r="AA782" i="1"/>
  <c r="BT782" i="1" s="1"/>
  <c r="AA781" i="1"/>
  <c r="BT781" i="1" s="1"/>
  <c r="AA780" i="1"/>
  <c r="BT780" i="1" s="1"/>
  <c r="AA779" i="1"/>
  <c r="BT779" i="1" s="1"/>
  <c r="AA778" i="1"/>
  <c r="BT778" i="1" s="1"/>
  <c r="AA777" i="1"/>
  <c r="BT777" i="1" s="1"/>
  <c r="AA776" i="1"/>
  <c r="BT776" i="1" s="1"/>
  <c r="AA775" i="1"/>
  <c r="BT775" i="1" s="1"/>
  <c r="AA774" i="1"/>
  <c r="BT774" i="1" s="1"/>
  <c r="AA773" i="1"/>
  <c r="BT773" i="1" s="1"/>
  <c r="AA772" i="1"/>
  <c r="BT772" i="1" s="1"/>
  <c r="AA771" i="1"/>
  <c r="BT771" i="1" s="1"/>
  <c r="AA770" i="1"/>
  <c r="BT770" i="1" s="1"/>
  <c r="AA769" i="1"/>
  <c r="BT769" i="1" s="1"/>
  <c r="AA768" i="1"/>
  <c r="BT768" i="1" s="1"/>
  <c r="AA767" i="1"/>
  <c r="BT767" i="1" s="1"/>
  <c r="AA766" i="1"/>
  <c r="BT766" i="1" s="1"/>
  <c r="AA765" i="1"/>
  <c r="BT765" i="1" s="1"/>
  <c r="AA764" i="1"/>
  <c r="BT764" i="1" s="1"/>
  <c r="AA763" i="1"/>
  <c r="BT763" i="1" s="1"/>
  <c r="AA762" i="1"/>
  <c r="BT762" i="1" s="1"/>
  <c r="AA761" i="1"/>
  <c r="BT761" i="1" s="1"/>
  <c r="AA760" i="1"/>
  <c r="BT760" i="1" s="1"/>
  <c r="AA759" i="1"/>
  <c r="BT759" i="1" s="1"/>
  <c r="AA758" i="1"/>
  <c r="BT758" i="1" s="1"/>
  <c r="AA757" i="1"/>
  <c r="BT757" i="1" s="1"/>
  <c r="AA756" i="1"/>
  <c r="BT756" i="1" s="1"/>
  <c r="AA755" i="1"/>
  <c r="BT755" i="1" s="1"/>
  <c r="AA754" i="1"/>
  <c r="BT754" i="1" s="1"/>
  <c r="AA753" i="1"/>
  <c r="BT753" i="1" s="1"/>
  <c r="AA752" i="1"/>
  <c r="BT752" i="1" s="1"/>
  <c r="AA751" i="1"/>
  <c r="BT751" i="1" s="1"/>
  <c r="AA750" i="1"/>
  <c r="BT750" i="1" s="1"/>
  <c r="AA749" i="1"/>
  <c r="BT749" i="1" s="1"/>
  <c r="AA748" i="1"/>
  <c r="BT748" i="1" s="1"/>
  <c r="AA747" i="1"/>
  <c r="BT747" i="1" s="1"/>
  <c r="AA746" i="1"/>
  <c r="BT746" i="1" s="1"/>
  <c r="AA745" i="1"/>
  <c r="BT745" i="1" s="1"/>
  <c r="AA744" i="1"/>
  <c r="BT744" i="1" s="1"/>
  <c r="AA743" i="1"/>
  <c r="BT743" i="1" s="1"/>
  <c r="AA742" i="1"/>
  <c r="BT742" i="1" s="1"/>
  <c r="AA741" i="1"/>
  <c r="BT741" i="1" s="1"/>
  <c r="AA740" i="1"/>
  <c r="BT740" i="1" s="1"/>
  <c r="AA739" i="1"/>
  <c r="BT739" i="1" s="1"/>
  <c r="AA738" i="1"/>
  <c r="BT738" i="1" s="1"/>
  <c r="AA737" i="1"/>
  <c r="BT737" i="1" s="1"/>
  <c r="AA736" i="1"/>
  <c r="BT736" i="1" s="1"/>
  <c r="AA735" i="1"/>
  <c r="BT735" i="1" s="1"/>
  <c r="AA734" i="1"/>
  <c r="BT734" i="1" s="1"/>
  <c r="AA733" i="1"/>
  <c r="BT733" i="1" s="1"/>
  <c r="AA732" i="1"/>
  <c r="BT732" i="1" s="1"/>
  <c r="AA731" i="1"/>
  <c r="BT731" i="1" s="1"/>
  <c r="AA730" i="1"/>
  <c r="BT730" i="1" s="1"/>
  <c r="AA729" i="1"/>
  <c r="BT729" i="1" s="1"/>
  <c r="AA728" i="1"/>
  <c r="BT728" i="1" s="1"/>
  <c r="AA727" i="1"/>
  <c r="BT727" i="1" s="1"/>
  <c r="AA726" i="1"/>
  <c r="BT726" i="1" s="1"/>
  <c r="AA725" i="1"/>
  <c r="BT725" i="1" s="1"/>
  <c r="AA724" i="1"/>
  <c r="BT724" i="1" s="1"/>
  <c r="AA723" i="1"/>
  <c r="BT723" i="1" s="1"/>
  <c r="AA722" i="1"/>
  <c r="BT722" i="1" s="1"/>
  <c r="AA721" i="1"/>
  <c r="BT721" i="1" s="1"/>
  <c r="AA720" i="1"/>
  <c r="BT720" i="1" s="1"/>
  <c r="AA719" i="1"/>
  <c r="BT719" i="1" s="1"/>
  <c r="AA718" i="1"/>
  <c r="BT718" i="1" s="1"/>
  <c r="AA717" i="1"/>
  <c r="BT717" i="1" s="1"/>
  <c r="AA716" i="1"/>
  <c r="BT716" i="1" s="1"/>
  <c r="AA715" i="1"/>
  <c r="BT715" i="1" s="1"/>
  <c r="AA714" i="1"/>
  <c r="BT714" i="1" s="1"/>
  <c r="AA713" i="1"/>
  <c r="BT713" i="1" s="1"/>
  <c r="AA712" i="1"/>
  <c r="BT712" i="1" s="1"/>
  <c r="AA711" i="1"/>
  <c r="BT711" i="1" s="1"/>
  <c r="AA710" i="1"/>
  <c r="BT710" i="1" s="1"/>
  <c r="AA709" i="1"/>
  <c r="BT709" i="1" s="1"/>
  <c r="AA708" i="1"/>
  <c r="BT708" i="1" s="1"/>
  <c r="AA707" i="1"/>
  <c r="BT707" i="1" s="1"/>
  <c r="AA706" i="1"/>
  <c r="BT706" i="1" s="1"/>
  <c r="AA705" i="1"/>
  <c r="BT705" i="1" s="1"/>
  <c r="AA704" i="1"/>
  <c r="BT704" i="1" s="1"/>
  <c r="AA703" i="1"/>
  <c r="BT703" i="1" s="1"/>
  <c r="AA702" i="1"/>
  <c r="BT702" i="1" s="1"/>
  <c r="AA701" i="1"/>
  <c r="BT701" i="1" s="1"/>
  <c r="AA700" i="1"/>
  <c r="BT700" i="1" s="1"/>
  <c r="AA699" i="1"/>
  <c r="BT699" i="1" s="1"/>
  <c r="AA698" i="1"/>
  <c r="BT698" i="1" s="1"/>
  <c r="AA697" i="1"/>
  <c r="BT697" i="1" s="1"/>
  <c r="AA696" i="1"/>
  <c r="BT696" i="1" s="1"/>
  <c r="AA695" i="1"/>
  <c r="BT695" i="1" s="1"/>
  <c r="AA694" i="1"/>
  <c r="BT694" i="1" s="1"/>
  <c r="AA693" i="1"/>
  <c r="BT693" i="1" s="1"/>
  <c r="AA692" i="1"/>
  <c r="BT692" i="1" s="1"/>
  <c r="AA691" i="1"/>
  <c r="BT691" i="1" s="1"/>
  <c r="AA690" i="1"/>
  <c r="BT690" i="1" s="1"/>
  <c r="AA689" i="1"/>
  <c r="BT689" i="1" s="1"/>
  <c r="AA688" i="1"/>
  <c r="BT688" i="1" s="1"/>
  <c r="AA687" i="1"/>
  <c r="BT687" i="1" s="1"/>
  <c r="AA686" i="1"/>
  <c r="BT686" i="1" s="1"/>
  <c r="AA685" i="1"/>
  <c r="BT685" i="1" s="1"/>
  <c r="AA684" i="1"/>
  <c r="BT684" i="1" s="1"/>
  <c r="AA683" i="1"/>
  <c r="BT683" i="1" s="1"/>
  <c r="AA682" i="1"/>
  <c r="BT682" i="1" s="1"/>
  <c r="AA681" i="1"/>
  <c r="BT681" i="1" s="1"/>
  <c r="AA680" i="1"/>
  <c r="BT680" i="1" s="1"/>
  <c r="AA679" i="1"/>
  <c r="BT679" i="1" s="1"/>
  <c r="AA678" i="1"/>
  <c r="BT678" i="1" s="1"/>
  <c r="AA677" i="1"/>
  <c r="BT677" i="1" s="1"/>
  <c r="AA676" i="1"/>
  <c r="BT676" i="1" s="1"/>
  <c r="AA675" i="1"/>
  <c r="BT675" i="1" s="1"/>
  <c r="AA674" i="1"/>
  <c r="BT674" i="1" s="1"/>
  <c r="AA673" i="1"/>
  <c r="BT673" i="1" s="1"/>
  <c r="AA672" i="1"/>
  <c r="BT672" i="1" s="1"/>
  <c r="AA671" i="1"/>
  <c r="BT671" i="1" s="1"/>
  <c r="AA670" i="1"/>
  <c r="BT670" i="1" s="1"/>
  <c r="AA669" i="1"/>
  <c r="BT669" i="1" s="1"/>
  <c r="AA668" i="1"/>
  <c r="BT668" i="1" s="1"/>
  <c r="AA667" i="1"/>
  <c r="BT667" i="1" s="1"/>
  <c r="AA666" i="1"/>
  <c r="BT666" i="1" s="1"/>
  <c r="AA665" i="1"/>
  <c r="BT665" i="1" s="1"/>
  <c r="AA664" i="1"/>
  <c r="BT664" i="1" s="1"/>
  <c r="AA663" i="1"/>
  <c r="BT663" i="1" s="1"/>
  <c r="AA662" i="1"/>
  <c r="BT662" i="1" s="1"/>
  <c r="AA661" i="1"/>
  <c r="BT661" i="1" s="1"/>
  <c r="AA660" i="1"/>
  <c r="BT660" i="1" s="1"/>
  <c r="AA659" i="1"/>
  <c r="BT659" i="1" s="1"/>
  <c r="AA658" i="1"/>
  <c r="BT658" i="1" s="1"/>
  <c r="AA657" i="1"/>
  <c r="BT657" i="1" s="1"/>
  <c r="AA656" i="1"/>
  <c r="BT656" i="1" s="1"/>
  <c r="AA655" i="1"/>
  <c r="BT655" i="1" s="1"/>
  <c r="AA654" i="1"/>
  <c r="BT654" i="1" s="1"/>
  <c r="AA653" i="1"/>
  <c r="BT653" i="1" s="1"/>
  <c r="AA652" i="1"/>
  <c r="BT652" i="1" s="1"/>
  <c r="AA651" i="1"/>
  <c r="BT651" i="1" s="1"/>
  <c r="AA650" i="1"/>
  <c r="BT650" i="1" s="1"/>
  <c r="AA649" i="1"/>
  <c r="BT649" i="1" s="1"/>
  <c r="AA648" i="1"/>
  <c r="BT648" i="1" s="1"/>
  <c r="AA647" i="1"/>
  <c r="BT647" i="1" s="1"/>
  <c r="AA646" i="1"/>
  <c r="BT646" i="1" s="1"/>
  <c r="AA645" i="1"/>
  <c r="BT645" i="1" s="1"/>
  <c r="AA644" i="1"/>
  <c r="BT644" i="1" s="1"/>
  <c r="AA643" i="1"/>
  <c r="BT643" i="1" s="1"/>
  <c r="AA642" i="1"/>
  <c r="BT642" i="1" s="1"/>
  <c r="AA641" i="1"/>
  <c r="BT641" i="1" s="1"/>
  <c r="AA640" i="1"/>
  <c r="BT640" i="1" s="1"/>
  <c r="AA639" i="1"/>
  <c r="BT639" i="1" s="1"/>
  <c r="AA638" i="1"/>
  <c r="BT638" i="1" s="1"/>
  <c r="AA637" i="1"/>
  <c r="BT637" i="1" s="1"/>
  <c r="AA636" i="1"/>
  <c r="BT636" i="1" s="1"/>
  <c r="AA635" i="1"/>
  <c r="BT635" i="1" s="1"/>
  <c r="AA634" i="1"/>
  <c r="BT634" i="1" s="1"/>
  <c r="AA633" i="1"/>
  <c r="BT633" i="1" s="1"/>
  <c r="AA632" i="1"/>
  <c r="BT632" i="1" s="1"/>
  <c r="AA631" i="1"/>
  <c r="BT631" i="1" s="1"/>
  <c r="AA630" i="1"/>
  <c r="BT630" i="1" s="1"/>
  <c r="AA629" i="1"/>
  <c r="BT629" i="1" s="1"/>
  <c r="AA628" i="1"/>
  <c r="BT628" i="1" s="1"/>
  <c r="AA627" i="1"/>
  <c r="BT627" i="1" s="1"/>
  <c r="AA626" i="1"/>
  <c r="BT626" i="1" s="1"/>
  <c r="AA625" i="1"/>
  <c r="BT625" i="1" s="1"/>
  <c r="AA624" i="1"/>
  <c r="BT624" i="1" s="1"/>
  <c r="AA623" i="1"/>
  <c r="BT623" i="1" s="1"/>
  <c r="AA622" i="1"/>
  <c r="BT622" i="1" s="1"/>
  <c r="AA621" i="1"/>
  <c r="BT621" i="1" s="1"/>
  <c r="AA620" i="1"/>
  <c r="BT620" i="1" s="1"/>
  <c r="AA619" i="1"/>
  <c r="BT619" i="1" s="1"/>
  <c r="AA618" i="1"/>
  <c r="BT618" i="1" s="1"/>
  <c r="AA617" i="1"/>
  <c r="BT617" i="1" s="1"/>
  <c r="AA616" i="1"/>
  <c r="BT616" i="1" s="1"/>
  <c r="AA615" i="1"/>
  <c r="BT615" i="1" s="1"/>
  <c r="AA614" i="1"/>
  <c r="BT614" i="1" s="1"/>
  <c r="AA613" i="1"/>
  <c r="BT613" i="1" s="1"/>
  <c r="AA612" i="1"/>
  <c r="BT612" i="1" s="1"/>
  <c r="AA611" i="1"/>
  <c r="BT611" i="1" s="1"/>
  <c r="AA610" i="1"/>
  <c r="BT610" i="1" s="1"/>
  <c r="AA609" i="1"/>
  <c r="BT609" i="1" s="1"/>
  <c r="AA608" i="1"/>
  <c r="BT608" i="1" s="1"/>
  <c r="AA607" i="1"/>
  <c r="BT607" i="1" s="1"/>
  <c r="AA606" i="1"/>
  <c r="BT606" i="1" s="1"/>
  <c r="AA605" i="1"/>
  <c r="BT605" i="1" s="1"/>
  <c r="AA604" i="1"/>
  <c r="BT604" i="1" s="1"/>
  <c r="AA603" i="1"/>
  <c r="BT603" i="1" s="1"/>
  <c r="AA602" i="1"/>
  <c r="BT602" i="1" s="1"/>
  <c r="AA601" i="1"/>
  <c r="BT601" i="1" s="1"/>
  <c r="AA600" i="1"/>
  <c r="BT600" i="1" s="1"/>
  <c r="AA599" i="1"/>
  <c r="BT599" i="1" s="1"/>
  <c r="AA598" i="1"/>
  <c r="BT598" i="1" s="1"/>
  <c r="AA597" i="1"/>
  <c r="BT597" i="1" s="1"/>
  <c r="AA596" i="1"/>
  <c r="BT596" i="1" s="1"/>
  <c r="AA595" i="1"/>
  <c r="BT595" i="1" s="1"/>
  <c r="AA594" i="1"/>
  <c r="BT594" i="1" s="1"/>
  <c r="AA593" i="1"/>
  <c r="BT593" i="1" s="1"/>
  <c r="AA592" i="1"/>
  <c r="BT592" i="1" s="1"/>
  <c r="AA591" i="1"/>
  <c r="BT591" i="1" s="1"/>
  <c r="AA590" i="1"/>
  <c r="BT590" i="1" s="1"/>
  <c r="AA589" i="1"/>
  <c r="BT589" i="1" s="1"/>
  <c r="AA588" i="1"/>
  <c r="BT588" i="1" s="1"/>
  <c r="AA587" i="1"/>
  <c r="BT587" i="1" s="1"/>
  <c r="AA586" i="1"/>
  <c r="BT586" i="1" s="1"/>
  <c r="AA585" i="1"/>
  <c r="BT585" i="1" s="1"/>
  <c r="AA584" i="1"/>
  <c r="BT584" i="1" s="1"/>
  <c r="AA583" i="1"/>
  <c r="BT583" i="1" s="1"/>
  <c r="AA582" i="1"/>
  <c r="BT582" i="1" s="1"/>
  <c r="AA581" i="1"/>
  <c r="BT581" i="1" s="1"/>
  <c r="AA580" i="1"/>
  <c r="BT580" i="1" s="1"/>
  <c r="AA579" i="1"/>
  <c r="BT579" i="1" s="1"/>
  <c r="AA578" i="1"/>
  <c r="BT578" i="1" s="1"/>
  <c r="AA577" i="1"/>
  <c r="BT577" i="1" s="1"/>
  <c r="AA576" i="1"/>
  <c r="BT576" i="1" s="1"/>
  <c r="AA575" i="1"/>
  <c r="BT575" i="1" s="1"/>
  <c r="AA574" i="1"/>
  <c r="BT574" i="1" s="1"/>
  <c r="AA573" i="1"/>
  <c r="BT573" i="1" s="1"/>
  <c r="AA572" i="1"/>
  <c r="BT572" i="1" s="1"/>
  <c r="AA571" i="1"/>
  <c r="BT571" i="1" s="1"/>
  <c r="AA570" i="1"/>
  <c r="BT570" i="1" s="1"/>
  <c r="AA569" i="1"/>
  <c r="BT569" i="1" s="1"/>
  <c r="AA568" i="1"/>
  <c r="BT568" i="1" s="1"/>
  <c r="AA567" i="1"/>
  <c r="BT567" i="1" s="1"/>
  <c r="AA566" i="1"/>
  <c r="BT566" i="1" s="1"/>
  <c r="AA565" i="1"/>
  <c r="BT565" i="1" s="1"/>
  <c r="AA564" i="1"/>
  <c r="BT564" i="1" s="1"/>
  <c r="AA563" i="1"/>
  <c r="BT563" i="1" s="1"/>
  <c r="AA562" i="1"/>
  <c r="BT562" i="1" s="1"/>
  <c r="AA561" i="1"/>
  <c r="BT561" i="1" s="1"/>
  <c r="AA560" i="1"/>
  <c r="BT560" i="1" s="1"/>
  <c r="AA559" i="1"/>
  <c r="BT559" i="1" s="1"/>
  <c r="AA558" i="1"/>
  <c r="BT558" i="1" s="1"/>
  <c r="AA557" i="1"/>
  <c r="BT557" i="1" s="1"/>
  <c r="AA556" i="1"/>
  <c r="BT556" i="1" s="1"/>
  <c r="AA555" i="1"/>
  <c r="BT555" i="1" s="1"/>
  <c r="AA554" i="1"/>
  <c r="BT554" i="1" s="1"/>
  <c r="AA553" i="1"/>
  <c r="BT553" i="1" s="1"/>
  <c r="AA552" i="1"/>
  <c r="BT552" i="1" s="1"/>
  <c r="AA551" i="1"/>
  <c r="BT551" i="1" s="1"/>
  <c r="AA550" i="1"/>
  <c r="BT550" i="1" s="1"/>
  <c r="AA549" i="1"/>
  <c r="BT549" i="1" s="1"/>
  <c r="AA548" i="1"/>
  <c r="BT548" i="1" s="1"/>
  <c r="AA547" i="1"/>
  <c r="BT547" i="1" s="1"/>
  <c r="AA546" i="1"/>
  <c r="BT546" i="1" s="1"/>
  <c r="AA545" i="1"/>
  <c r="BT545" i="1" s="1"/>
  <c r="AA544" i="1"/>
  <c r="BT544" i="1" s="1"/>
  <c r="AA543" i="1"/>
  <c r="BT543" i="1" s="1"/>
  <c r="AA542" i="1"/>
  <c r="BT542" i="1" s="1"/>
  <c r="AA541" i="1"/>
  <c r="BT541" i="1" s="1"/>
  <c r="AA540" i="1"/>
  <c r="BT540" i="1" s="1"/>
  <c r="AA539" i="1"/>
  <c r="BT539" i="1" s="1"/>
  <c r="AA538" i="1"/>
  <c r="BT538" i="1" s="1"/>
  <c r="AA537" i="1"/>
  <c r="BT537" i="1" s="1"/>
  <c r="AA536" i="1"/>
  <c r="BT536" i="1" s="1"/>
  <c r="AA535" i="1"/>
  <c r="BT535" i="1" s="1"/>
  <c r="AA534" i="1"/>
  <c r="BT534" i="1" s="1"/>
  <c r="AA533" i="1"/>
  <c r="BT533" i="1" s="1"/>
  <c r="AA532" i="1"/>
  <c r="BT532" i="1" s="1"/>
  <c r="AA531" i="1"/>
  <c r="BT531" i="1" s="1"/>
  <c r="AA530" i="1"/>
  <c r="BT530" i="1" s="1"/>
  <c r="AA529" i="1"/>
  <c r="BT529" i="1" s="1"/>
  <c r="AA528" i="1"/>
  <c r="BT528" i="1" s="1"/>
  <c r="AA527" i="1"/>
  <c r="BT527" i="1" s="1"/>
  <c r="AA526" i="1"/>
  <c r="BT526" i="1" s="1"/>
  <c r="AA525" i="1"/>
  <c r="BT525" i="1" s="1"/>
  <c r="AA524" i="1"/>
  <c r="BT524" i="1" s="1"/>
  <c r="AA523" i="1"/>
  <c r="BT523" i="1" s="1"/>
  <c r="AA522" i="1"/>
  <c r="BT522" i="1" s="1"/>
  <c r="AA521" i="1"/>
  <c r="BT521" i="1" s="1"/>
  <c r="AA520" i="1"/>
  <c r="BT520" i="1" s="1"/>
  <c r="AA519" i="1"/>
  <c r="BT519" i="1" s="1"/>
  <c r="AA518" i="1"/>
  <c r="BT518" i="1" s="1"/>
  <c r="AA517" i="1"/>
  <c r="BT517" i="1" s="1"/>
  <c r="AA516" i="1"/>
  <c r="BT516" i="1" s="1"/>
  <c r="AA515" i="1"/>
  <c r="BT515" i="1" s="1"/>
  <c r="AA514" i="1"/>
  <c r="BT514" i="1" s="1"/>
  <c r="AA513" i="1"/>
  <c r="BT513" i="1" s="1"/>
  <c r="AA512" i="1"/>
  <c r="BT512" i="1" s="1"/>
  <c r="AA511" i="1"/>
  <c r="BT511" i="1" s="1"/>
  <c r="AA510" i="1"/>
  <c r="BT510" i="1" s="1"/>
  <c r="AA509" i="1"/>
  <c r="BT509" i="1" s="1"/>
  <c r="AA508" i="1"/>
  <c r="BT508" i="1" s="1"/>
  <c r="AA507" i="1"/>
  <c r="BT507" i="1" s="1"/>
  <c r="AA506" i="1"/>
  <c r="BT506" i="1" s="1"/>
  <c r="AA505" i="1"/>
  <c r="BT505" i="1" s="1"/>
  <c r="AA504" i="1"/>
  <c r="BT504" i="1" s="1"/>
  <c r="AA503" i="1"/>
  <c r="BT503" i="1" s="1"/>
  <c r="AA502" i="1"/>
  <c r="BT502" i="1" s="1"/>
  <c r="AA501" i="1"/>
  <c r="BT501" i="1" s="1"/>
  <c r="AA500" i="1"/>
  <c r="BT500" i="1" s="1"/>
  <c r="AA499" i="1"/>
  <c r="BT499" i="1" s="1"/>
  <c r="AA498" i="1"/>
  <c r="BT498" i="1" s="1"/>
  <c r="AA497" i="1"/>
  <c r="BT497" i="1" s="1"/>
  <c r="AA496" i="1"/>
  <c r="BT496" i="1" s="1"/>
  <c r="AA495" i="1"/>
  <c r="BT495" i="1" s="1"/>
  <c r="AA494" i="1"/>
  <c r="BT494" i="1" s="1"/>
  <c r="AA493" i="1"/>
  <c r="BT493" i="1" s="1"/>
  <c r="AA492" i="1"/>
  <c r="BT492" i="1" s="1"/>
  <c r="AA491" i="1"/>
  <c r="BT491" i="1" s="1"/>
  <c r="AA490" i="1"/>
  <c r="BT490" i="1" s="1"/>
  <c r="AA489" i="1"/>
  <c r="BT489" i="1" s="1"/>
  <c r="AA488" i="1"/>
  <c r="BT488" i="1" s="1"/>
  <c r="AA487" i="1"/>
  <c r="BT487" i="1" s="1"/>
  <c r="AA486" i="1"/>
  <c r="BT486" i="1" s="1"/>
  <c r="AA485" i="1"/>
  <c r="BT485" i="1" s="1"/>
  <c r="AA484" i="1"/>
  <c r="BT484" i="1" s="1"/>
  <c r="AA483" i="1"/>
  <c r="BT483" i="1" s="1"/>
  <c r="AA482" i="1"/>
  <c r="BT482" i="1" s="1"/>
  <c r="AA481" i="1"/>
  <c r="BT481" i="1" s="1"/>
  <c r="AA480" i="1"/>
  <c r="BT480" i="1" s="1"/>
  <c r="AA479" i="1"/>
  <c r="BT479" i="1" s="1"/>
  <c r="AA478" i="1"/>
  <c r="BT478" i="1" s="1"/>
  <c r="AA477" i="1"/>
  <c r="BT477" i="1" s="1"/>
  <c r="AA476" i="1"/>
  <c r="BT476" i="1" s="1"/>
  <c r="AA475" i="1"/>
  <c r="BT475" i="1" s="1"/>
  <c r="AA474" i="1"/>
  <c r="BT474" i="1" s="1"/>
  <c r="AA473" i="1"/>
  <c r="BT473" i="1" s="1"/>
  <c r="AA472" i="1"/>
  <c r="BT472" i="1" s="1"/>
  <c r="AA471" i="1"/>
  <c r="BT471" i="1" s="1"/>
  <c r="AA470" i="1"/>
  <c r="BT470" i="1" s="1"/>
  <c r="AA469" i="1"/>
  <c r="BT469" i="1" s="1"/>
  <c r="AA468" i="1"/>
  <c r="BT468" i="1" s="1"/>
  <c r="AA467" i="1"/>
  <c r="BT467" i="1" s="1"/>
  <c r="AA466" i="1"/>
  <c r="BT466" i="1" s="1"/>
  <c r="AA465" i="1"/>
  <c r="BT465" i="1" s="1"/>
  <c r="AA464" i="1"/>
  <c r="BT464" i="1" s="1"/>
  <c r="AA463" i="1"/>
  <c r="BT463" i="1" s="1"/>
  <c r="AA462" i="1"/>
  <c r="BT462" i="1" s="1"/>
  <c r="AA461" i="1"/>
  <c r="BT461" i="1" s="1"/>
  <c r="AA460" i="1"/>
  <c r="BT460" i="1" s="1"/>
  <c r="AA459" i="1"/>
  <c r="BT459" i="1" s="1"/>
  <c r="AA458" i="1"/>
  <c r="BT458" i="1" s="1"/>
  <c r="AA457" i="1"/>
  <c r="BT457" i="1" s="1"/>
  <c r="AA456" i="1"/>
  <c r="BT456" i="1" s="1"/>
  <c r="AA455" i="1"/>
  <c r="BT455" i="1" s="1"/>
  <c r="AA454" i="1"/>
  <c r="BT454" i="1" s="1"/>
  <c r="AA453" i="1"/>
  <c r="BT453" i="1" s="1"/>
  <c r="AA452" i="1"/>
  <c r="BT452" i="1" s="1"/>
  <c r="AA451" i="1"/>
  <c r="BT451" i="1" s="1"/>
  <c r="AA450" i="1"/>
  <c r="BT450" i="1" s="1"/>
  <c r="AA449" i="1"/>
  <c r="BT449" i="1" s="1"/>
  <c r="AA448" i="1"/>
  <c r="BT448" i="1" s="1"/>
  <c r="AA447" i="1"/>
  <c r="BT447" i="1" s="1"/>
  <c r="AA446" i="1"/>
  <c r="BT446" i="1" s="1"/>
  <c r="AA445" i="1"/>
  <c r="BT445" i="1" s="1"/>
  <c r="AA444" i="1"/>
  <c r="BT444" i="1" s="1"/>
  <c r="AA443" i="1"/>
  <c r="BT443" i="1" s="1"/>
  <c r="AA442" i="1"/>
  <c r="BT442" i="1" s="1"/>
  <c r="AA441" i="1"/>
  <c r="BT441" i="1" s="1"/>
  <c r="AA440" i="1"/>
  <c r="BT440" i="1" s="1"/>
  <c r="AA439" i="1"/>
  <c r="BT439" i="1" s="1"/>
  <c r="AA438" i="1"/>
  <c r="BT438" i="1" s="1"/>
  <c r="AA437" i="1"/>
  <c r="BT437" i="1" s="1"/>
  <c r="AA436" i="1"/>
  <c r="BT436" i="1" s="1"/>
  <c r="AA435" i="1"/>
  <c r="BT435" i="1" s="1"/>
  <c r="AA434" i="1"/>
  <c r="BT434" i="1" s="1"/>
  <c r="AA433" i="1"/>
  <c r="BT433" i="1" s="1"/>
  <c r="AA432" i="1"/>
  <c r="BT432" i="1" s="1"/>
  <c r="AA431" i="1"/>
  <c r="BT431" i="1" s="1"/>
  <c r="AA430" i="1"/>
  <c r="BT430" i="1" s="1"/>
  <c r="AA429" i="1"/>
  <c r="BT429" i="1" s="1"/>
  <c r="AA428" i="1"/>
  <c r="BT428" i="1" s="1"/>
  <c r="AA427" i="1"/>
  <c r="BT427" i="1" s="1"/>
  <c r="AA426" i="1"/>
  <c r="BT426" i="1" s="1"/>
  <c r="AA425" i="1"/>
  <c r="BT425" i="1" s="1"/>
  <c r="AA424" i="1"/>
  <c r="BT424" i="1" s="1"/>
  <c r="AA423" i="1"/>
  <c r="BT423" i="1" s="1"/>
  <c r="AA422" i="1"/>
  <c r="BT422" i="1" s="1"/>
  <c r="AA421" i="1"/>
  <c r="BT421" i="1" s="1"/>
  <c r="AA420" i="1"/>
  <c r="BT420" i="1" s="1"/>
  <c r="AA419" i="1"/>
  <c r="BT419" i="1" s="1"/>
  <c r="AA418" i="1"/>
  <c r="BT418" i="1" s="1"/>
  <c r="AA417" i="1"/>
  <c r="BT417" i="1" s="1"/>
  <c r="AA416" i="1"/>
  <c r="BT416" i="1" s="1"/>
  <c r="AA415" i="1"/>
  <c r="BT415" i="1" s="1"/>
  <c r="AA414" i="1"/>
  <c r="BT414" i="1" s="1"/>
  <c r="AA413" i="1"/>
  <c r="BT413" i="1" s="1"/>
  <c r="AA412" i="1"/>
  <c r="BT412" i="1" s="1"/>
  <c r="AA411" i="1"/>
  <c r="BT411" i="1" s="1"/>
  <c r="AA410" i="1"/>
  <c r="BT410" i="1" s="1"/>
  <c r="AA409" i="1"/>
  <c r="BT409" i="1" s="1"/>
  <c r="AA408" i="1"/>
  <c r="BT408" i="1" s="1"/>
  <c r="AA407" i="1"/>
  <c r="BT407" i="1" s="1"/>
  <c r="AA406" i="1"/>
  <c r="BT406" i="1" s="1"/>
  <c r="AA405" i="1"/>
  <c r="BT405" i="1" s="1"/>
  <c r="AA404" i="1"/>
  <c r="BT404" i="1" s="1"/>
  <c r="AA403" i="1"/>
  <c r="BT403" i="1" s="1"/>
  <c r="AA402" i="1"/>
  <c r="BT402" i="1" s="1"/>
  <c r="AA401" i="1"/>
  <c r="BT401" i="1" s="1"/>
  <c r="AA400" i="1"/>
  <c r="BT400" i="1" s="1"/>
  <c r="AA399" i="1"/>
  <c r="BT399" i="1" s="1"/>
  <c r="AA398" i="1"/>
  <c r="BT398" i="1" s="1"/>
  <c r="AA397" i="1"/>
  <c r="BT397" i="1" s="1"/>
  <c r="AA396" i="1"/>
  <c r="BT396" i="1" s="1"/>
  <c r="AA395" i="1"/>
  <c r="BT395" i="1" s="1"/>
  <c r="AA394" i="1"/>
  <c r="BT394" i="1" s="1"/>
  <c r="AA393" i="1"/>
  <c r="BT393" i="1" s="1"/>
  <c r="AA392" i="1"/>
  <c r="BT392" i="1" s="1"/>
  <c r="AA391" i="1"/>
  <c r="BT391" i="1" s="1"/>
  <c r="AA390" i="1"/>
  <c r="BT390" i="1" s="1"/>
  <c r="AA389" i="1"/>
  <c r="BT389" i="1" s="1"/>
  <c r="AA388" i="1"/>
  <c r="BT388" i="1" s="1"/>
  <c r="AA387" i="1"/>
  <c r="BT387" i="1" s="1"/>
  <c r="AA386" i="1"/>
  <c r="BT386" i="1" s="1"/>
  <c r="AA385" i="1"/>
  <c r="BT385" i="1" s="1"/>
  <c r="AA384" i="1"/>
  <c r="BT384" i="1" s="1"/>
  <c r="AA383" i="1"/>
  <c r="BT383" i="1" s="1"/>
  <c r="AA382" i="1"/>
  <c r="BT382" i="1" s="1"/>
  <c r="AA381" i="1"/>
  <c r="BT381" i="1" s="1"/>
  <c r="AA380" i="1"/>
  <c r="BT380" i="1" s="1"/>
  <c r="AA379" i="1"/>
  <c r="BT379" i="1" s="1"/>
  <c r="AA378" i="1"/>
  <c r="BT378" i="1" s="1"/>
  <c r="AA377" i="1"/>
  <c r="BT377" i="1" s="1"/>
  <c r="AA376" i="1"/>
  <c r="BT376" i="1" s="1"/>
  <c r="AA375" i="1"/>
  <c r="BT375" i="1" s="1"/>
  <c r="AA374" i="1"/>
  <c r="BT374" i="1" s="1"/>
  <c r="AA373" i="1"/>
  <c r="BT373" i="1" s="1"/>
  <c r="AA372" i="1"/>
  <c r="BT372" i="1" s="1"/>
  <c r="AA371" i="1"/>
  <c r="BT371" i="1" s="1"/>
  <c r="AA370" i="1"/>
  <c r="BT370" i="1" s="1"/>
  <c r="AA369" i="1"/>
  <c r="BT369" i="1" s="1"/>
  <c r="AA368" i="1"/>
  <c r="BT368" i="1" s="1"/>
  <c r="AA367" i="1"/>
  <c r="BT367" i="1" s="1"/>
  <c r="AA366" i="1"/>
  <c r="BT366" i="1" s="1"/>
  <c r="AA365" i="1"/>
  <c r="BT365" i="1" s="1"/>
  <c r="AA364" i="1"/>
  <c r="BT364" i="1" s="1"/>
  <c r="AA363" i="1"/>
  <c r="BT363" i="1" s="1"/>
  <c r="AA362" i="1"/>
  <c r="BT362" i="1" s="1"/>
  <c r="AA361" i="1"/>
  <c r="BT361" i="1" s="1"/>
  <c r="AA360" i="1"/>
  <c r="BT360" i="1" s="1"/>
  <c r="AA359" i="1"/>
  <c r="BT359" i="1" s="1"/>
  <c r="AA358" i="1"/>
  <c r="BT358" i="1" s="1"/>
  <c r="AA357" i="1"/>
  <c r="BT357" i="1" s="1"/>
  <c r="AA356" i="1"/>
  <c r="BT356" i="1" s="1"/>
  <c r="AA355" i="1"/>
  <c r="BT355" i="1" s="1"/>
  <c r="AA354" i="1"/>
  <c r="BT354" i="1" s="1"/>
  <c r="AA353" i="1"/>
  <c r="BT353" i="1" s="1"/>
  <c r="AA352" i="1"/>
  <c r="BT352" i="1" s="1"/>
  <c r="AA351" i="1"/>
  <c r="BT351" i="1" s="1"/>
  <c r="AA350" i="1"/>
  <c r="BT350" i="1" s="1"/>
  <c r="AA349" i="1"/>
  <c r="BT349" i="1" s="1"/>
  <c r="AA348" i="1"/>
  <c r="BT348" i="1" s="1"/>
  <c r="AA347" i="1"/>
  <c r="BT347" i="1" s="1"/>
  <c r="AA346" i="1"/>
  <c r="BT346" i="1" s="1"/>
  <c r="AA345" i="1"/>
  <c r="BT345" i="1" s="1"/>
  <c r="AA344" i="1"/>
  <c r="BT344" i="1" s="1"/>
  <c r="AA343" i="1"/>
  <c r="BT343" i="1" s="1"/>
  <c r="AA342" i="1"/>
  <c r="BT342" i="1" s="1"/>
  <c r="AA341" i="1"/>
  <c r="BT341" i="1" s="1"/>
  <c r="AA340" i="1"/>
  <c r="BT340" i="1" s="1"/>
  <c r="AA339" i="1"/>
  <c r="BT339" i="1" s="1"/>
  <c r="AA338" i="1"/>
  <c r="BT338" i="1" s="1"/>
  <c r="AA337" i="1"/>
  <c r="BT337" i="1" s="1"/>
  <c r="AA336" i="1"/>
  <c r="BT336" i="1" s="1"/>
  <c r="AA335" i="1"/>
  <c r="BT335" i="1" s="1"/>
  <c r="AA334" i="1"/>
  <c r="BT334" i="1" s="1"/>
  <c r="AA333" i="1"/>
  <c r="BT333" i="1" s="1"/>
  <c r="AA332" i="1"/>
  <c r="BT332" i="1" s="1"/>
  <c r="AA331" i="1"/>
  <c r="BT331" i="1" s="1"/>
  <c r="AA330" i="1"/>
  <c r="BT330" i="1" s="1"/>
  <c r="AA329" i="1"/>
  <c r="BT329" i="1" s="1"/>
  <c r="AA328" i="1"/>
  <c r="BT328" i="1" s="1"/>
  <c r="AA327" i="1"/>
  <c r="BT327" i="1" s="1"/>
  <c r="AA326" i="1"/>
  <c r="BT326" i="1" s="1"/>
  <c r="AA325" i="1"/>
  <c r="BT325" i="1" s="1"/>
  <c r="AA324" i="1"/>
  <c r="BT324" i="1" s="1"/>
  <c r="AA323" i="1"/>
  <c r="BT323" i="1" s="1"/>
  <c r="AA322" i="1"/>
  <c r="BT322" i="1" s="1"/>
  <c r="AA321" i="1"/>
  <c r="BT321" i="1" s="1"/>
  <c r="AA320" i="1"/>
  <c r="BT320" i="1" s="1"/>
  <c r="AA319" i="1"/>
  <c r="BT319" i="1" s="1"/>
  <c r="AA318" i="1"/>
  <c r="BT318" i="1" s="1"/>
  <c r="AA317" i="1"/>
  <c r="BT317" i="1" s="1"/>
  <c r="AA316" i="1"/>
  <c r="BT316" i="1" s="1"/>
  <c r="AA315" i="1"/>
  <c r="BT315" i="1" s="1"/>
  <c r="AA314" i="1"/>
  <c r="BT314" i="1" s="1"/>
  <c r="AA313" i="1"/>
  <c r="BT313" i="1" s="1"/>
  <c r="AA312" i="1"/>
  <c r="BT312" i="1" s="1"/>
  <c r="AA311" i="1"/>
  <c r="BT311" i="1" s="1"/>
  <c r="AA310" i="1"/>
  <c r="BT310" i="1" s="1"/>
  <c r="AA309" i="1"/>
  <c r="BT309" i="1" s="1"/>
  <c r="AA308" i="1"/>
  <c r="BT308" i="1" s="1"/>
  <c r="AA307" i="1"/>
  <c r="BT307" i="1" s="1"/>
  <c r="AA306" i="1"/>
  <c r="BT306" i="1" s="1"/>
  <c r="AA305" i="1"/>
  <c r="BT305" i="1" s="1"/>
  <c r="AA304" i="1"/>
  <c r="BT304" i="1" s="1"/>
  <c r="AA303" i="1"/>
  <c r="BT303" i="1" s="1"/>
  <c r="AA302" i="1"/>
  <c r="BT302" i="1" s="1"/>
  <c r="AA301" i="1"/>
  <c r="BT301" i="1" s="1"/>
  <c r="AA300" i="1"/>
  <c r="BT300" i="1" s="1"/>
  <c r="AA299" i="1"/>
  <c r="BT299" i="1" s="1"/>
  <c r="AA298" i="1"/>
  <c r="BT298" i="1" s="1"/>
  <c r="AA297" i="1"/>
  <c r="BT297" i="1" s="1"/>
  <c r="AA296" i="1"/>
  <c r="BT296" i="1" s="1"/>
  <c r="AA295" i="1"/>
  <c r="BT295" i="1" s="1"/>
  <c r="AA294" i="1"/>
  <c r="BT294" i="1" s="1"/>
  <c r="AA293" i="1"/>
  <c r="BT293" i="1" s="1"/>
  <c r="AA292" i="1"/>
  <c r="BT292" i="1" s="1"/>
  <c r="AA291" i="1"/>
  <c r="BT291" i="1" s="1"/>
  <c r="AA290" i="1"/>
  <c r="BT290" i="1" s="1"/>
  <c r="AA289" i="1"/>
  <c r="BT289" i="1" s="1"/>
  <c r="AA288" i="1"/>
  <c r="BT288" i="1" s="1"/>
  <c r="AA287" i="1"/>
  <c r="BT287" i="1" s="1"/>
  <c r="AA286" i="1"/>
  <c r="BT286" i="1" s="1"/>
  <c r="AA285" i="1"/>
  <c r="BT285" i="1" s="1"/>
  <c r="AA284" i="1"/>
  <c r="BT284" i="1" s="1"/>
  <c r="AA283" i="1"/>
  <c r="BT283" i="1" s="1"/>
  <c r="AA282" i="1"/>
  <c r="BT282" i="1" s="1"/>
  <c r="AA281" i="1"/>
  <c r="BT281" i="1" s="1"/>
  <c r="AA280" i="1"/>
  <c r="BT280" i="1" s="1"/>
  <c r="AA279" i="1"/>
  <c r="BT279" i="1" s="1"/>
  <c r="AA278" i="1"/>
  <c r="BT278" i="1" s="1"/>
  <c r="AA277" i="1"/>
  <c r="BT277" i="1" s="1"/>
  <c r="AA276" i="1"/>
  <c r="BT276" i="1" s="1"/>
  <c r="AA275" i="1"/>
  <c r="BT275" i="1" s="1"/>
  <c r="AA274" i="1"/>
  <c r="BT274" i="1" s="1"/>
  <c r="AA273" i="1"/>
  <c r="BT273" i="1" s="1"/>
  <c r="AA272" i="1"/>
  <c r="BT272" i="1" s="1"/>
  <c r="AA271" i="1"/>
  <c r="BT271" i="1" s="1"/>
  <c r="AA270" i="1"/>
  <c r="BT270" i="1" s="1"/>
  <c r="AA269" i="1"/>
  <c r="BT269" i="1" s="1"/>
  <c r="AA268" i="1"/>
  <c r="BT268" i="1" s="1"/>
  <c r="AA267" i="1"/>
  <c r="BT267" i="1" s="1"/>
  <c r="AA266" i="1"/>
  <c r="BT266" i="1" s="1"/>
  <c r="AA265" i="1"/>
  <c r="BT265" i="1" s="1"/>
  <c r="AA264" i="1"/>
  <c r="BT264" i="1" s="1"/>
  <c r="AA263" i="1"/>
  <c r="BT263" i="1" s="1"/>
  <c r="AA262" i="1"/>
  <c r="BT262" i="1" s="1"/>
  <c r="AA261" i="1"/>
  <c r="BT261" i="1" s="1"/>
  <c r="AA260" i="1"/>
  <c r="BT260" i="1" s="1"/>
  <c r="AA259" i="1"/>
  <c r="BT259" i="1" s="1"/>
  <c r="AA258" i="1"/>
  <c r="BT258" i="1" s="1"/>
  <c r="AA257" i="1"/>
  <c r="BT257" i="1" s="1"/>
  <c r="AA256" i="1"/>
  <c r="BT256" i="1" s="1"/>
  <c r="AA255" i="1"/>
  <c r="BT255" i="1" s="1"/>
  <c r="AA254" i="1"/>
  <c r="BT254" i="1" s="1"/>
  <c r="AA253" i="1"/>
  <c r="BT253" i="1" s="1"/>
  <c r="AA252" i="1"/>
  <c r="BT252" i="1" s="1"/>
  <c r="AA251" i="1"/>
  <c r="BT251" i="1" s="1"/>
  <c r="AA250" i="1"/>
  <c r="BT250" i="1" s="1"/>
  <c r="AA249" i="1"/>
  <c r="BT249" i="1" s="1"/>
  <c r="AA248" i="1"/>
  <c r="BT248" i="1" s="1"/>
  <c r="AA247" i="1"/>
  <c r="BT247" i="1" s="1"/>
  <c r="AA246" i="1"/>
  <c r="BT246" i="1" s="1"/>
  <c r="AA245" i="1"/>
  <c r="BT245" i="1" s="1"/>
  <c r="AA244" i="1"/>
  <c r="BT244" i="1" s="1"/>
  <c r="AA243" i="1"/>
  <c r="BT243" i="1" s="1"/>
  <c r="AA242" i="1"/>
  <c r="BT242" i="1" s="1"/>
  <c r="AA241" i="1"/>
  <c r="BT241" i="1" s="1"/>
  <c r="AA240" i="1"/>
  <c r="BT240" i="1" s="1"/>
  <c r="AA239" i="1"/>
  <c r="BT239" i="1" s="1"/>
  <c r="AA238" i="1"/>
  <c r="BT238" i="1" s="1"/>
  <c r="AA237" i="1"/>
  <c r="BT237" i="1" s="1"/>
  <c r="AA236" i="1"/>
  <c r="BT236" i="1" s="1"/>
  <c r="AA235" i="1"/>
  <c r="BT235" i="1" s="1"/>
  <c r="AA234" i="1"/>
  <c r="BT234" i="1" s="1"/>
  <c r="AA233" i="1"/>
  <c r="BT233" i="1" s="1"/>
  <c r="AA232" i="1"/>
  <c r="BT232" i="1" s="1"/>
  <c r="AA231" i="1"/>
  <c r="BT231" i="1" s="1"/>
  <c r="AA230" i="1"/>
  <c r="BT230" i="1" s="1"/>
  <c r="AA229" i="1"/>
  <c r="BT229" i="1" s="1"/>
  <c r="AA228" i="1"/>
  <c r="BT228" i="1" s="1"/>
  <c r="AA227" i="1"/>
  <c r="BT227" i="1" s="1"/>
  <c r="AA226" i="1"/>
  <c r="BT226" i="1" s="1"/>
  <c r="AA225" i="1"/>
  <c r="BT225" i="1" s="1"/>
  <c r="AA224" i="1"/>
  <c r="BT224" i="1" s="1"/>
  <c r="AA223" i="1"/>
  <c r="BT223" i="1" s="1"/>
  <c r="AA222" i="1"/>
  <c r="BT222" i="1" s="1"/>
  <c r="AA221" i="1"/>
  <c r="BT221" i="1" s="1"/>
  <c r="AA220" i="1"/>
  <c r="BT220" i="1" s="1"/>
  <c r="AA219" i="1"/>
  <c r="BT219" i="1" s="1"/>
  <c r="AA218" i="1"/>
  <c r="BT218" i="1" s="1"/>
  <c r="AA217" i="1"/>
  <c r="BT217" i="1" s="1"/>
  <c r="AA216" i="1"/>
  <c r="BT216" i="1" s="1"/>
  <c r="AA215" i="1"/>
  <c r="BT215" i="1" s="1"/>
  <c r="AA214" i="1"/>
  <c r="BT214" i="1" s="1"/>
  <c r="AA213" i="1"/>
  <c r="BT213" i="1" s="1"/>
  <c r="AA212" i="1"/>
  <c r="BT212" i="1" s="1"/>
  <c r="AA211" i="1"/>
  <c r="BT211" i="1" s="1"/>
  <c r="AA210" i="1"/>
  <c r="BT210" i="1" s="1"/>
  <c r="AA209" i="1"/>
  <c r="BT209" i="1" s="1"/>
  <c r="AA208" i="1"/>
  <c r="BT208" i="1" s="1"/>
  <c r="AA207" i="1"/>
  <c r="BT207" i="1" s="1"/>
  <c r="AA206" i="1"/>
  <c r="BT206" i="1" s="1"/>
  <c r="AA205" i="1"/>
  <c r="BT205" i="1" s="1"/>
  <c r="AA204" i="1"/>
  <c r="BT204" i="1" s="1"/>
  <c r="AA203" i="1"/>
  <c r="BT203" i="1" s="1"/>
  <c r="AA202" i="1"/>
  <c r="BT202" i="1" s="1"/>
  <c r="AA201" i="1"/>
  <c r="BT201" i="1" s="1"/>
  <c r="AA200" i="1"/>
  <c r="BT200" i="1" s="1"/>
  <c r="AA199" i="1"/>
  <c r="BT199" i="1" s="1"/>
  <c r="AA198" i="1"/>
  <c r="BT198" i="1" s="1"/>
  <c r="AA197" i="1"/>
  <c r="BT197" i="1" s="1"/>
  <c r="AA196" i="1"/>
  <c r="BT196" i="1" s="1"/>
  <c r="AA195" i="1"/>
  <c r="BT195" i="1" s="1"/>
  <c r="AA194" i="1"/>
  <c r="BT194" i="1" s="1"/>
  <c r="AA193" i="1"/>
  <c r="BT193" i="1" s="1"/>
  <c r="AA192" i="1"/>
  <c r="BT192" i="1" s="1"/>
  <c r="AA191" i="1"/>
  <c r="BT191" i="1" s="1"/>
  <c r="AA190" i="1"/>
  <c r="BT190" i="1" s="1"/>
  <c r="AA189" i="1"/>
  <c r="BT189" i="1" s="1"/>
  <c r="AA188" i="1"/>
  <c r="BT188" i="1" s="1"/>
  <c r="AA187" i="1"/>
  <c r="BT187" i="1" s="1"/>
  <c r="AA186" i="1"/>
  <c r="BT186" i="1" s="1"/>
  <c r="AA185" i="1"/>
  <c r="BT185" i="1" s="1"/>
  <c r="AA184" i="1"/>
  <c r="BT184" i="1" s="1"/>
  <c r="AA183" i="1"/>
  <c r="BT183" i="1" s="1"/>
  <c r="AA182" i="1"/>
  <c r="BT182" i="1" s="1"/>
  <c r="AA181" i="1"/>
  <c r="BT181" i="1" s="1"/>
  <c r="AA180" i="1"/>
  <c r="BT180" i="1" s="1"/>
  <c r="AA179" i="1"/>
  <c r="BT179" i="1" s="1"/>
  <c r="AA178" i="1"/>
  <c r="BT178" i="1" s="1"/>
  <c r="AA177" i="1"/>
  <c r="BT177" i="1" s="1"/>
  <c r="AA176" i="1"/>
  <c r="BT176" i="1" s="1"/>
  <c r="AA175" i="1"/>
  <c r="BT175" i="1" s="1"/>
  <c r="AA174" i="1"/>
  <c r="BT174" i="1" s="1"/>
  <c r="AA173" i="1"/>
  <c r="BT173" i="1" s="1"/>
  <c r="AA172" i="1"/>
  <c r="BT172" i="1" s="1"/>
  <c r="AA171" i="1"/>
  <c r="BT171" i="1" s="1"/>
  <c r="AA170" i="1"/>
  <c r="BT170" i="1" s="1"/>
  <c r="AA169" i="1"/>
  <c r="BT169" i="1" s="1"/>
  <c r="AA168" i="1"/>
  <c r="BT168" i="1" s="1"/>
  <c r="AA167" i="1"/>
  <c r="BT167" i="1" s="1"/>
  <c r="AA166" i="1"/>
  <c r="BT166" i="1" s="1"/>
  <c r="AA165" i="1"/>
  <c r="BT165" i="1" s="1"/>
  <c r="AA164" i="1"/>
  <c r="BT164" i="1" s="1"/>
  <c r="AA163" i="1"/>
  <c r="BT163" i="1" s="1"/>
  <c r="AA162" i="1"/>
  <c r="BT162" i="1" s="1"/>
  <c r="AA161" i="1"/>
  <c r="BT161" i="1" s="1"/>
  <c r="AA160" i="1"/>
  <c r="BT160" i="1" s="1"/>
  <c r="AA159" i="1"/>
  <c r="BT159" i="1" s="1"/>
  <c r="AA158" i="1"/>
  <c r="BT158" i="1" s="1"/>
  <c r="AA157" i="1"/>
  <c r="BT157" i="1" s="1"/>
  <c r="AA156" i="1"/>
  <c r="BT156" i="1" s="1"/>
  <c r="AA155" i="1"/>
  <c r="BT155" i="1" s="1"/>
  <c r="AA154" i="1"/>
  <c r="BT154" i="1" s="1"/>
  <c r="AA153" i="1"/>
  <c r="BT153" i="1" s="1"/>
  <c r="AA152" i="1"/>
  <c r="BT152" i="1" s="1"/>
  <c r="AA151" i="1"/>
  <c r="BT151" i="1" s="1"/>
  <c r="AA150" i="1"/>
  <c r="BT150" i="1" s="1"/>
  <c r="AA149" i="1"/>
  <c r="BT149" i="1" s="1"/>
  <c r="AA148" i="1"/>
  <c r="BT148" i="1" s="1"/>
  <c r="AA147" i="1"/>
  <c r="BT147" i="1" s="1"/>
  <c r="AA146" i="1"/>
  <c r="BT146" i="1" s="1"/>
  <c r="AA145" i="1"/>
  <c r="BT145" i="1" s="1"/>
  <c r="AA144" i="1"/>
  <c r="BT144" i="1" s="1"/>
  <c r="AA143" i="1"/>
  <c r="BT143" i="1" s="1"/>
  <c r="AA142" i="1"/>
  <c r="BT142" i="1" s="1"/>
  <c r="AA141" i="1"/>
  <c r="BT141" i="1" s="1"/>
  <c r="AA140" i="1"/>
  <c r="BT140" i="1" s="1"/>
  <c r="AA139" i="1"/>
  <c r="BT139" i="1" s="1"/>
  <c r="AA138" i="1"/>
  <c r="BT138" i="1" s="1"/>
  <c r="AA137" i="1"/>
  <c r="BT137" i="1" s="1"/>
  <c r="AA136" i="1"/>
  <c r="BT136" i="1" s="1"/>
  <c r="AA135" i="1"/>
  <c r="BT135" i="1" s="1"/>
  <c r="AA134" i="1"/>
  <c r="BT134" i="1" s="1"/>
  <c r="AA133" i="1"/>
  <c r="BT133" i="1" s="1"/>
  <c r="AA132" i="1"/>
  <c r="BT132" i="1" s="1"/>
  <c r="AA131" i="1"/>
  <c r="BT131" i="1" s="1"/>
  <c r="AA130" i="1"/>
  <c r="BT130" i="1" s="1"/>
  <c r="AA129" i="1"/>
  <c r="BT129" i="1" s="1"/>
  <c r="AA128" i="1"/>
  <c r="BT128" i="1" s="1"/>
  <c r="AA127" i="1"/>
  <c r="BT127" i="1" s="1"/>
  <c r="AA126" i="1"/>
  <c r="BT126" i="1" s="1"/>
  <c r="AA125" i="1"/>
  <c r="BT125" i="1" s="1"/>
  <c r="AA124" i="1"/>
  <c r="BT124" i="1" s="1"/>
  <c r="AA123" i="1"/>
  <c r="BT123" i="1" s="1"/>
  <c r="AA122" i="1"/>
  <c r="BT122" i="1" s="1"/>
  <c r="AA121" i="1"/>
  <c r="BT121" i="1" s="1"/>
  <c r="AA120" i="1"/>
  <c r="BT120" i="1" s="1"/>
  <c r="AA119" i="1"/>
  <c r="BT119" i="1" s="1"/>
  <c r="AA118" i="1"/>
  <c r="BT118" i="1" s="1"/>
  <c r="AA117" i="1"/>
  <c r="BT117" i="1" s="1"/>
  <c r="AA116" i="1"/>
  <c r="BT116" i="1" s="1"/>
  <c r="AA115" i="1"/>
  <c r="BT115" i="1" s="1"/>
  <c r="AA114" i="1"/>
  <c r="BT114" i="1" s="1"/>
  <c r="AA113" i="1"/>
  <c r="BT113" i="1" s="1"/>
  <c r="AA112" i="1"/>
  <c r="BT112" i="1" s="1"/>
  <c r="AA111" i="1"/>
  <c r="BT111" i="1" s="1"/>
  <c r="AA110" i="1"/>
  <c r="BT110" i="1" s="1"/>
  <c r="AA109" i="1"/>
  <c r="BT109" i="1" s="1"/>
  <c r="AA108" i="1"/>
  <c r="BT108" i="1" s="1"/>
  <c r="AA107" i="1"/>
  <c r="BT107" i="1" s="1"/>
  <c r="AA106" i="1"/>
  <c r="BT106" i="1" s="1"/>
  <c r="AA105" i="1"/>
  <c r="BT105" i="1" s="1"/>
  <c r="AA104" i="1"/>
  <c r="BT104" i="1" s="1"/>
  <c r="AA103" i="1"/>
  <c r="BT103" i="1" s="1"/>
  <c r="AA102" i="1"/>
  <c r="BT102" i="1" s="1"/>
  <c r="AA101" i="1"/>
  <c r="BT101" i="1" s="1"/>
  <c r="AA100" i="1"/>
  <c r="BT100" i="1" s="1"/>
  <c r="AA99" i="1"/>
  <c r="BT99" i="1" s="1"/>
  <c r="AA98" i="1"/>
  <c r="BT98" i="1" s="1"/>
  <c r="AA97" i="1"/>
  <c r="BT97" i="1" s="1"/>
  <c r="AA96" i="1"/>
  <c r="BT96" i="1" s="1"/>
  <c r="AA95" i="1"/>
  <c r="BT95" i="1" s="1"/>
  <c r="AA94" i="1"/>
  <c r="BT94" i="1" s="1"/>
  <c r="AA93" i="1"/>
  <c r="BT93" i="1" s="1"/>
  <c r="AA92" i="1"/>
  <c r="BT92" i="1" s="1"/>
  <c r="AA91" i="1"/>
  <c r="BT91" i="1" s="1"/>
  <c r="AA90" i="1"/>
  <c r="BT90" i="1" s="1"/>
  <c r="AA89" i="1"/>
  <c r="BT89" i="1" s="1"/>
  <c r="AA88" i="1"/>
  <c r="BT88" i="1" s="1"/>
  <c r="AA87" i="1"/>
  <c r="BT87" i="1" s="1"/>
  <c r="AA86" i="1"/>
  <c r="BT86" i="1" s="1"/>
  <c r="AA85" i="1"/>
  <c r="BT85" i="1" s="1"/>
  <c r="AA84" i="1"/>
  <c r="BT84" i="1" s="1"/>
  <c r="AA83" i="1"/>
  <c r="BT83" i="1" s="1"/>
  <c r="AA82" i="1"/>
  <c r="BT82" i="1" s="1"/>
  <c r="AA81" i="1"/>
  <c r="BT81" i="1" s="1"/>
  <c r="AA80" i="1"/>
  <c r="BT80" i="1" s="1"/>
  <c r="AA79" i="1"/>
  <c r="BT79" i="1" s="1"/>
  <c r="AA78" i="1"/>
  <c r="BT78" i="1" s="1"/>
  <c r="AA77" i="1"/>
  <c r="BT77" i="1" s="1"/>
  <c r="AA76" i="1"/>
  <c r="BT76" i="1" s="1"/>
  <c r="AA75" i="1"/>
  <c r="BT75" i="1" s="1"/>
  <c r="AA74" i="1"/>
  <c r="BT74" i="1" s="1"/>
  <c r="AA73" i="1"/>
  <c r="BT73" i="1" s="1"/>
  <c r="AA72" i="1"/>
  <c r="BT72" i="1" s="1"/>
  <c r="AA71" i="1"/>
  <c r="BT71" i="1" s="1"/>
  <c r="AA70" i="1"/>
  <c r="BT70" i="1" s="1"/>
  <c r="AA69" i="1"/>
  <c r="BT69" i="1" s="1"/>
  <c r="AA68" i="1"/>
  <c r="BT68" i="1" s="1"/>
  <c r="AA67" i="1"/>
  <c r="BT67" i="1" s="1"/>
  <c r="AA66" i="1"/>
  <c r="BT66" i="1" s="1"/>
  <c r="AA65" i="1"/>
  <c r="BT65" i="1" s="1"/>
  <c r="AA64" i="1"/>
  <c r="BT64" i="1" s="1"/>
  <c r="AA63" i="1"/>
  <c r="BT63" i="1" s="1"/>
  <c r="AA62" i="1"/>
  <c r="BT62" i="1" s="1"/>
  <c r="AA61" i="1"/>
  <c r="BT61" i="1" s="1"/>
  <c r="AA60" i="1"/>
  <c r="BT60" i="1" s="1"/>
  <c r="AA59" i="1"/>
  <c r="BT59" i="1" s="1"/>
  <c r="AA58" i="1"/>
  <c r="BT58" i="1" s="1"/>
  <c r="AA57" i="1"/>
  <c r="BT57" i="1" s="1"/>
  <c r="AA56" i="1"/>
  <c r="BT56" i="1" s="1"/>
  <c r="AA55" i="1"/>
  <c r="BT55" i="1" s="1"/>
  <c r="AA54" i="1"/>
  <c r="BT54" i="1" s="1"/>
  <c r="AA53" i="1"/>
  <c r="BT53" i="1" s="1"/>
  <c r="AA52" i="1"/>
  <c r="BT52" i="1" s="1"/>
  <c r="AA51" i="1"/>
  <c r="BT51" i="1" s="1"/>
  <c r="AA50" i="1"/>
  <c r="BT50" i="1" s="1"/>
  <c r="AA49" i="1"/>
  <c r="BT49" i="1" s="1"/>
  <c r="AA48" i="1"/>
  <c r="BT48" i="1" s="1"/>
  <c r="AA47" i="1"/>
  <c r="BT47" i="1" s="1"/>
  <c r="AA46" i="1"/>
  <c r="BT46" i="1" s="1"/>
  <c r="AA45" i="1"/>
  <c r="BT45" i="1" s="1"/>
  <c r="AA44" i="1"/>
  <c r="BT44" i="1" s="1"/>
  <c r="BR1011" i="1"/>
  <c r="BS1011" i="1" s="1"/>
  <c r="BR1010" i="1"/>
  <c r="BS1010" i="1" s="1"/>
  <c r="BR1009" i="1"/>
  <c r="BS1009" i="1" s="1"/>
  <c r="BR1008" i="1"/>
  <c r="BS1008" i="1" s="1"/>
  <c r="BR1007" i="1"/>
  <c r="BS1007" i="1" s="1"/>
  <c r="BR1006" i="1"/>
  <c r="BS1006" i="1" s="1"/>
  <c r="BR1005" i="1"/>
  <c r="BS1005" i="1" s="1"/>
  <c r="BR1004" i="1"/>
  <c r="BS1004" i="1" s="1"/>
  <c r="BR1003" i="1"/>
  <c r="BS1003" i="1" s="1"/>
  <c r="BR1002" i="1"/>
  <c r="BS1002" i="1" s="1"/>
  <c r="BR1001" i="1"/>
  <c r="BS1001" i="1" s="1"/>
  <c r="BR1000" i="1"/>
  <c r="BS1000" i="1" s="1"/>
  <c r="BR999" i="1"/>
  <c r="BS999" i="1" s="1"/>
  <c r="BR998" i="1"/>
  <c r="BS998" i="1" s="1"/>
  <c r="BR997" i="1"/>
  <c r="BS997" i="1" s="1"/>
  <c r="BR996" i="1"/>
  <c r="BS996" i="1" s="1"/>
  <c r="BR995" i="1"/>
  <c r="BS995" i="1" s="1"/>
  <c r="BR994" i="1"/>
  <c r="BS994" i="1" s="1"/>
  <c r="BR993" i="1"/>
  <c r="BS993" i="1" s="1"/>
  <c r="BR992" i="1"/>
  <c r="BS992" i="1" s="1"/>
  <c r="BR991" i="1"/>
  <c r="BS991" i="1" s="1"/>
  <c r="BR990" i="1"/>
  <c r="BS990" i="1" s="1"/>
  <c r="BR989" i="1"/>
  <c r="BS989" i="1" s="1"/>
  <c r="BR988" i="1"/>
  <c r="BS988" i="1" s="1"/>
  <c r="BR987" i="1"/>
  <c r="BS987" i="1" s="1"/>
  <c r="BR986" i="1"/>
  <c r="BS986" i="1" s="1"/>
  <c r="BR985" i="1"/>
  <c r="BS985" i="1" s="1"/>
  <c r="BR984" i="1"/>
  <c r="BS984" i="1" s="1"/>
  <c r="BR983" i="1"/>
  <c r="BS983" i="1" s="1"/>
  <c r="BR982" i="1"/>
  <c r="BS982" i="1" s="1"/>
  <c r="BR981" i="1"/>
  <c r="BS981" i="1" s="1"/>
  <c r="BR980" i="1"/>
  <c r="BS980" i="1" s="1"/>
  <c r="BR979" i="1"/>
  <c r="BS979" i="1" s="1"/>
  <c r="BR978" i="1"/>
  <c r="BS978" i="1" s="1"/>
  <c r="BR977" i="1"/>
  <c r="BS977" i="1" s="1"/>
  <c r="BR976" i="1"/>
  <c r="BS976" i="1" s="1"/>
  <c r="BR975" i="1"/>
  <c r="BS975" i="1" s="1"/>
  <c r="BR974" i="1"/>
  <c r="BS974" i="1" s="1"/>
  <c r="BR973" i="1"/>
  <c r="BS973" i="1" s="1"/>
  <c r="BR972" i="1"/>
  <c r="BS972" i="1" s="1"/>
  <c r="BR971" i="1"/>
  <c r="BS971" i="1" s="1"/>
  <c r="BR970" i="1"/>
  <c r="BS970" i="1" s="1"/>
  <c r="BR969" i="1"/>
  <c r="BS969" i="1" s="1"/>
  <c r="BR968" i="1"/>
  <c r="BS968" i="1" s="1"/>
  <c r="BR967" i="1"/>
  <c r="BS967" i="1" s="1"/>
  <c r="BR966" i="1"/>
  <c r="BS966" i="1" s="1"/>
  <c r="BR965" i="1"/>
  <c r="BS965" i="1" s="1"/>
  <c r="BR964" i="1"/>
  <c r="BS964" i="1" s="1"/>
  <c r="BR963" i="1"/>
  <c r="BS963" i="1" s="1"/>
  <c r="BR962" i="1"/>
  <c r="BS962" i="1" s="1"/>
  <c r="BR961" i="1"/>
  <c r="BS961" i="1" s="1"/>
  <c r="BR960" i="1"/>
  <c r="BS960" i="1" s="1"/>
  <c r="BR959" i="1"/>
  <c r="BS959" i="1" s="1"/>
  <c r="BR958" i="1"/>
  <c r="BS958" i="1" s="1"/>
  <c r="BR957" i="1"/>
  <c r="BS957" i="1" s="1"/>
  <c r="BR956" i="1"/>
  <c r="BS956" i="1" s="1"/>
  <c r="BR955" i="1"/>
  <c r="BS955" i="1" s="1"/>
  <c r="BR954" i="1"/>
  <c r="BS954" i="1" s="1"/>
  <c r="BR953" i="1"/>
  <c r="BS953" i="1" s="1"/>
  <c r="BR952" i="1"/>
  <c r="BS952" i="1" s="1"/>
  <c r="BR951" i="1"/>
  <c r="BS951" i="1" s="1"/>
  <c r="BR950" i="1"/>
  <c r="BS950" i="1" s="1"/>
  <c r="BR949" i="1"/>
  <c r="BS949" i="1" s="1"/>
  <c r="BR948" i="1"/>
  <c r="BS948" i="1" s="1"/>
  <c r="BR947" i="1"/>
  <c r="BS947" i="1" s="1"/>
  <c r="BR946" i="1"/>
  <c r="BS946" i="1" s="1"/>
  <c r="BR945" i="1"/>
  <c r="BS945" i="1" s="1"/>
  <c r="BR944" i="1"/>
  <c r="BS944" i="1" s="1"/>
  <c r="BR943" i="1"/>
  <c r="BS943" i="1" s="1"/>
  <c r="BR942" i="1"/>
  <c r="BS942" i="1" s="1"/>
  <c r="BR941" i="1"/>
  <c r="BS941" i="1" s="1"/>
  <c r="BR940" i="1"/>
  <c r="BS940" i="1" s="1"/>
  <c r="BR939" i="1"/>
  <c r="BS939" i="1" s="1"/>
  <c r="BR938" i="1"/>
  <c r="BS938" i="1" s="1"/>
  <c r="BR937" i="1"/>
  <c r="BS937" i="1" s="1"/>
  <c r="BR936" i="1"/>
  <c r="BS936" i="1" s="1"/>
  <c r="BR935" i="1"/>
  <c r="BS935" i="1" s="1"/>
  <c r="BR934" i="1"/>
  <c r="BS934" i="1" s="1"/>
  <c r="BR933" i="1"/>
  <c r="BS933" i="1" s="1"/>
  <c r="BR932" i="1"/>
  <c r="BS932" i="1" s="1"/>
  <c r="BR931" i="1"/>
  <c r="BS931" i="1" s="1"/>
  <c r="BR930" i="1"/>
  <c r="BS930" i="1" s="1"/>
  <c r="BR929" i="1"/>
  <c r="BS929" i="1" s="1"/>
  <c r="BR928" i="1"/>
  <c r="BS928" i="1" s="1"/>
  <c r="BR927" i="1"/>
  <c r="BS927" i="1" s="1"/>
  <c r="BR926" i="1"/>
  <c r="BS926" i="1" s="1"/>
  <c r="BR925" i="1"/>
  <c r="BS925" i="1" s="1"/>
  <c r="BR924" i="1"/>
  <c r="BS924" i="1" s="1"/>
  <c r="BR923" i="1"/>
  <c r="BS923" i="1" s="1"/>
  <c r="BR922" i="1"/>
  <c r="BS922" i="1" s="1"/>
  <c r="BR921" i="1"/>
  <c r="BS921" i="1" s="1"/>
  <c r="BR920" i="1"/>
  <c r="BS920" i="1" s="1"/>
  <c r="BR919" i="1"/>
  <c r="BS919" i="1" s="1"/>
  <c r="BR918" i="1"/>
  <c r="BS918" i="1" s="1"/>
  <c r="BR917" i="1"/>
  <c r="BS917" i="1" s="1"/>
  <c r="BR916" i="1"/>
  <c r="BS916" i="1" s="1"/>
  <c r="BR915" i="1"/>
  <c r="BS915" i="1" s="1"/>
  <c r="BR914" i="1"/>
  <c r="BS914" i="1" s="1"/>
  <c r="BR913" i="1"/>
  <c r="BS913" i="1" s="1"/>
  <c r="BR912" i="1"/>
  <c r="BS912" i="1" s="1"/>
  <c r="BR911" i="1"/>
  <c r="BS911" i="1" s="1"/>
  <c r="BR910" i="1"/>
  <c r="BS910" i="1" s="1"/>
  <c r="BR909" i="1"/>
  <c r="BS909" i="1" s="1"/>
  <c r="BR908" i="1"/>
  <c r="BS908" i="1" s="1"/>
  <c r="BR907" i="1"/>
  <c r="BS907" i="1" s="1"/>
  <c r="BR906" i="1"/>
  <c r="BS906" i="1" s="1"/>
  <c r="BR905" i="1"/>
  <c r="BS905" i="1" s="1"/>
  <c r="BR904" i="1"/>
  <c r="BS904" i="1" s="1"/>
  <c r="BR903" i="1"/>
  <c r="BS903" i="1" s="1"/>
  <c r="BR902" i="1"/>
  <c r="BS902" i="1" s="1"/>
  <c r="BR901" i="1"/>
  <c r="BS901" i="1" s="1"/>
  <c r="BR900" i="1"/>
  <c r="BS900" i="1" s="1"/>
  <c r="BR899" i="1"/>
  <c r="BS899" i="1" s="1"/>
  <c r="BR898" i="1"/>
  <c r="BS898" i="1" s="1"/>
  <c r="BR897" i="1"/>
  <c r="BS897" i="1" s="1"/>
  <c r="BR896" i="1"/>
  <c r="BS896" i="1" s="1"/>
  <c r="BR895" i="1"/>
  <c r="BS895" i="1" s="1"/>
  <c r="BR894" i="1"/>
  <c r="BS894" i="1" s="1"/>
  <c r="BR893" i="1"/>
  <c r="BS893" i="1" s="1"/>
  <c r="BR892" i="1"/>
  <c r="BS892" i="1" s="1"/>
  <c r="BR891" i="1"/>
  <c r="BS891" i="1" s="1"/>
  <c r="BR890" i="1"/>
  <c r="BS890" i="1" s="1"/>
  <c r="BR889" i="1"/>
  <c r="BS889" i="1" s="1"/>
  <c r="BR888" i="1"/>
  <c r="BS888" i="1" s="1"/>
  <c r="BR887" i="1"/>
  <c r="BS887" i="1" s="1"/>
  <c r="BR886" i="1"/>
  <c r="BS886" i="1" s="1"/>
  <c r="BR885" i="1"/>
  <c r="BS885" i="1" s="1"/>
  <c r="BR884" i="1"/>
  <c r="BS884" i="1" s="1"/>
  <c r="BR883" i="1"/>
  <c r="BS883" i="1" s="1"/>
  <c r="BR882" i="1"/>
  <c r="BS882" i="1" s="1"/>
  <c r="BR881" i="1"/>
  <c r="BS881" i="1" s="1"/>
  <c r="BR880" i="1"/>
  <c r="BS880" i="1" s="1"/>
  <c r="BR879" i="1"/>
  <c r="BS879" i="1" s="1"/>
  <c r="BR878" i="1"/>
  <c r="BS878" i="1" s="1"/>
  <c r="BR877" i="1"/>
  <c r="BS877" i="1" s="1"/>
  <c r="BR876" i="1"/>
  <c r="BS876" i="1" s="1"/>
  <c r="BR875" i="1"/>
  <c r="BS875" i="1" s="1"/>
  <c r="BR874" i="1"/>
  <c r="BS874" i="1" s="1"/>
  <c r="BR873" i="1"/>
  <c r="BS873" i="1" s="1"/>
  <c r="BR872" i="1"/>
  <c r="BS872" i="1" s="1"/>
  <c r="BR871" i="1"/>
  <c r="BS871" i="1" s="1"/>
  <c r="BR870" i="1"/>
  <c r="BS870" i="1" s="1"/>
  <c r="BR869" i="1"/>
  <c r="BS869" i="1" s="1"/>
  <c r="BR868" i="1"/>
  <c r="BS868" i="1" s="1"/>
  <c r="BR867" i="1"/>
  <c r="BS867" i="1" s="1"/>
  <c r="BR866" i="1"/>
  <c r="BS866" i="1" s="1"/>
  <c r="BR865" i="1"/>
  <c r="BS865" i="1" s="1"/>
  <c r="BR864" i="1"/>
  <c r="BS864" i="1" s="1"/>
  <c r="BR863" i="1"/>
  <c r="BS863" i="1" s="1"/>
  <c r="BR862" i="1"/>
  <c r="BS862" i="1" s="1"/>
  <c r="BR861" i="1"/>
  <c r="BS861" i="1" s="1"/>
  <c r="BR860" i="1"/>
  <c r="BS860" i="1" s="1"/>
  <c r="BR859" i="1"/>
  <c r="BS859" i="1" s="1"/>
  <c r="BR858" i="1"/>
  <c r="BS858" i="1" s="1"/>
  <c r="BR857" i="1"/>
  <c r="BS857" i="1" s="1"/>
  <c r="BR856" i="1"/>
  <c r="BS856" i="1" s="1"/>
  <c r="BR855" i="1"/>
  <c r="BS855" i="1" s="1"/>
  <c r="BR854" i="1"/>
  <c r="BS854" i="1" s="1"/>
  <c r="BR853" i="1"/>
  <c r="BS853" i="1" s="1"/>
  <c r="BR852" i="1"/>
  <c r="BS852" i="1" s="1"/>
  <c r="BR851" i="1"/>
  <c r="BS851" i="1" s="1"/>
  <c r="BR850" i="1"/>
  <c r="BS850" i="1" s="1"/>
  <c r="BR849" i="1"/>
  <c r="BS849" i="1" s="1"/>
  <c r="BR848" i="1"/>
  <c r="BS848" i="1" s="1"/>
  <c r="BR847" i="1"/>
  <c r="BS847" i="1" s="1"/>
  <c r="BR846" i="1"/>
  <c r="BS846" i="1" s="1"/>
  <c r="BR845" i="1"/>
  <c r="BS845" i="1" s="1"/>
  <c r="BR844" i="1"/>
  <c r="BS844" i="1" s="1"/>
  <c r="BR843" i="1"/>
  <c r="BS843" i="1" s="1"/>
  <c r="BR842" i="1"/>
  <c r="BS842" i="1" s="1"/>
  <c r="BR841" i="1"/>
  <c r="BS841" i="1" s="1"/>
  <c r="BR840" i="1"/>
  <c r="BS840" i="1" s="1"/>
  <c r="BR839" i="1"/>
  <c r="BS839" i="1" s="1"/>
  <c r="BR838" i="1"/>
  <c r="BS838" i="1" s="1"/>
  <c r="BR837" i="1"/>
  <c r="BS837" i="1" s="1"/>
  <c r="BR836" i="1"/>
  <c r="BS836" i="1" s="1"/>
  <c r="BR835" i="1"/>
  <c r="BS835" i="1" s="1"/>
  <c r="BR834" i="1"/>
  <c r="BS834" i="1" s="1"/>
  <c r="BR833" i="1"/>
  <c r="BS833" i="1" s="1"/>
  <c r="BR832" i="1"/>
  <c r="BS832" i="1" s="1"/>
  <c r="BR831" i="1"/>
  <c r="BS831" i="1" s="1"/>
  <c r="BR830" i="1"/>
  <c r="BS830" i="1" s="1"/>
  <c r="BR829" i="1"/>
  <c r="BS829" i="1" s="1"/>
  <c r="BR828" i="1"/>
  <c r="BS828" i="1" s="1"/>
  <c r="BR827" i="1"/>
  <c r="BS827" i="1" s="1"/>
  <c r="BR826" i="1"/>
  <c r="BS826" i="1" s="1"/>
  <c r="BR825" i="1"/>
  <c r="BS825" i="1" s="1"/>
  <c r="BR824" i="1"/>
  <c r="BS824" i="1" s="1"/>
  <c r="BR823" i="1"/>
  <c r="BS823" i="1" s="1"/>
  <c r="BR822" i="1"/>
  <c r="BS822" i="1" s="1"/>
  <c r="BR821" i="1"/>
  <c r="BS821" i="1" s="1"/>
  <c r="BR820" i="1"/>
  <c r="BS820" i="1" s="1"/>
  <c r="BR819" i="1"/>
  <c r="BS819" i="1" s="1"/>
  <c r="BR818" i="1"/>
  <c r="BS818" i="1" s="1"/>
  <c r="BR817" i="1"/>
  <c r="BS817" i="1" s="1"/>
  <c r="BR816" i="1"/>
  <c r="BS816" i="1" s="1"/>
  <c r="BR815" i="1"/>
  <c r="BS815" i="1" s="1"/>
  <c r="BR814" i="1"/>
  <c r="BS814" i="1" s="1"/>
  <c r="BR813" i="1"/>
  <c r="BS813" i="1" s="1"/>
  <c r="BR812" i="1"/>
  <c r="BS812" i="1" s="1"/>
  <c r="BR811" i="1"/>
  <c r="BS811" i="1" s="1"/>
  <c r="BR810" i="1"/>
  <c r="BS810" i="1" s="1"/>
  <c r="BR809" i="1"/>
  <c r="BS809" i="1" s="1"/>
  <c r="BR808" i="1"/>
  <c r="BS808" i="1" s="1"/>
  <c r="BR807" i="1"/>
  <c r="BS807" i="1" s="1"/>
  <c r="BR806" i="1"/>
  <c r="BS806" i="1" s="1"/>
  <c r="BR805" i="1"/>
  <c r="BS805" i="1" s="1"/>
  <c r="BR804" i="1"/>
  <c r="BS804" i="1" s="1"/>
  <c r="BR803" i="1"/>
  <c r="BS803" i="1" s="1"/>
  <c r="BR802" i="1"/>
  <c r="BS802" i="1" s="1"/>
  <c r="BR801" i="1"/>
  <c r="BS801" i="1" s="1"/>
  <c r="BR800" i="1"/>
  <c r="BS800" i="1" s="1"/>
  <c r="BR799" i="1"/>
  <c r="BS799" i="1" s="1"/>
  <c r="BR798" i="1"/>
  <c r="BS798" i="1" s="1"/>
  <c r="BR797" i="1"/>
  <c r="BS797" i="1" s="1"/>
  <c r="BR796" i="1"/>
  <c r="BS796" i="1" s="1"/>
  <c r="BR795" i="1"/>
  <c r="BS795" i="1" s="1"/>
  <c r="BR794" i="1"/>
  <c r="BS794" i="1" s="1"/>
  <c r="BR793" i="1"/>
  <c r="BS793" i="1" s="1"/>
  <c r="BR792" i="1"/>
  <c r="BS792" i="1" s="1"/>
  <c r="BR791" i="1"/>
  <c r="BS791" i="1" s="1"/>
  <c r="BR790" i="1"/>
  <c r="BS790" i="1" s="1"/>
  <c r="BR789" i="1"/>
  <c r="BS789" i="1" s="1"/>
  <c r="BR788" i="1"/>
  <c r="BS788" i="1" s="1"/>
  <c r="BR787" i="1"/>
  <c r="BS787" i="1" s="1"/>
  <c r="BR786" i="1"/>
  <c r="BS786" i="1" s="1"/>
  <c r="BR785" i="1"/>
  <c r="BS785" i="1" s="1"/>
  <c r="BR784" i="1"/>
  <c r="BS784" i="1" s="1"/>
  <c r="BR783" i="1"/>
  <c r="BS783" i="1" s="1"/>
  <c r="BR782" i="1"/>
  <c r="BS782" i="1" s="1"/>
  <c r="BR781" i="1"/>
  <c r="BS781" i="1" s="1"/>
  <c r="BR780" i="1"/>
  <c r="BS780" i="1" s="1"/>
  <c r="BR779" i="1"/>
  <c r="BS779" i="1" s="1"/>
  <c r="BR778" i="1"/>
  <c r="BS778" i="1" s="1"/>
  <c r="BR777" i="1"/>
  <c r="BS777" i="1" s="1"/>
  <c r="BR776" i="1"/>
  <c r="BS776" i="1" s="1"/>
  <c r="BR775" i="1"/>
  <c r="BS775" i="1" s="1"/>
  <c r="BR774" i="1"/>
  <c r="BS774" i="1" s="1"/>
  <c r="BR773" i="1"/>
  <c r="BS773" i="1" s="1"/>
  <c r="BR772" i="1"/>
  <c r="BS772" i="1" s="1"/>
  <c r="BR771" i="1"/>
  <c r="BS771" i="1" s="1"/>
  <c r="BR770" i="1"/>
  <c r="BS770" i="1" s="1"/>
  <c r="BR769" i="1"/>
  <c r="BS769" i="1" s="1"/>
  <c r="BR768" i="1"/>
  <c r="BS768" i="1" s="1"/>
  <c r="BR767" i="1"/>
  <c r="BS767" i="1" s="1"/>
  <c r="BR766" i="1"/>
  <c r="BS766" i="1" s="1"/>
  <c r="BR765" i="1"/>
  <c r="BS765" i="1" s="1"/>
  <c r="BR764" i="1"/>
  <c r="BS764" i="1" s="1"/>
  <c r="BR763" i="1"/>
  <c r="BS763" i="1" s="1"/>
  <c r="BR762" i="1"/>
  <c r="BS762" i="1" s="1"/>
  <c r="BR761" i="1"/>
  <c r="BS761" i="1" s="1"/>
  <c r="BR760" i="1"/>
  <c r="BS760" i="1" s="1"/>
  <c r="BR759" i="1"/>
  <c r="BS759" i="1" s="1"/>
  <c r="BR758" i="1"/>
  <c r="BS758" i="1" s="1"/>
  <c r="BR757" i="1"/>
  <c r="BS757" i="1" s="1"/>
  <c r="BR756" i="1"/>
  <c r="BS756" i="1" s="1"/>
  <c r="BR755" i="1"/>
  <c r="BS755" i="1" s="1"/>
  <c r="BR754" i="1"/>
  <c r="BS754" i="1" s="1"/>
  <c r="BR753" i="1"/>
  <c r="BS753" i="1" s="1"/>
  <c r="BR752" i="1"/>
  <c r="BS752" i="1" s="1"/>
  <c r="BR751" i="1"/>
  <c r="BS751" i="1" s="1"/>
  <c r="BR750" i="1"/>
  <c r="BS750" i="1" s="1"/>
  <c r="BR749" i="1"/>
  <c r="BS749" i="1" s="1"/>
  <c r="BR748" i="1"/>
  <c r="BS748" i="1" s="1"/>
  <c r="BR747" i="1"/>
  <c r="BS747" i="1" s="1"/>
  <c r="BR746" i="1"/>
  <c r="BS746" i="1" s="1"/>
  <c r="BR745" i="1"/>
  <c r="BS745" i="1" s="1"/>
  <c r="BR744" i="1"/>
  <c r="BS744" i="1" s="1"/>
  <c r="BR743" i="1"/>
  <c r="BS743" i="1" s="1"/>
  <c r="BR742" i="1"/>
  <c r="BS742" i="1" s="1"/>
  <c r="BR741" i="1"/>
  <c r="BS741" i="1" s="1"/>
  <c r="BR740" i="1"/>
  <c r="BS740" i="1" s="1"/>
  <c r="BR739" i="1"/>
  <c r="BS739" i="1" s="1"/>
  <c r="BR738" i="1"/>
  <c r="BS738" i="1" s="1"/>
  <c r="BR737" i="1"/>
  <c r="BS737" i="1" s="1"/>
  <c r="BR736" i="1"/>
  <c r="BS736" i="1" s="1"/>
  <c r="BR735" i="1"/>
  <c r="BS735" i="1" s="1"/>
  <c r="BR734" i="1"/>
  <c r="BS734" i="1" s="1"/>
  <c r="BR733" i="1"/>
  <c r="BS733" i="1" s="1"/>
  <c r="BR732" i="1"/>
  <c r="BS732" i="1" s="1"/>
  <c r="BR731" i="1"/>
  <c r="BS731" i="1" s="1"/>
  <c r="BR730" i="1"/>
  <c r="BS730" i="1" s="1"/>
  <c r="BR729" i="1"/>
  <c r="BS729" i="1" s="1"/>
  <c r="BR728" i="1"/>
  <c r="BS728" i="1" s="1"/>
  <c r="BR727" i="1"/>
  <c r="BS727" i="1" s="1"/>
  <c r="BR726" i="1"/>
  <c r="BS726" i="1" s="1"/>
  <c r="BR725" i="1"/>
  <c r="BS725" i="1" s="1"/>
  <c r="BR724" i="1"/>
  <c r="BS724" i="1" s="1"/>
  <c r="BR723" i="1"/>
  <c r="BS723" i="1" s="1"/>
  <c r="BR722" i="1"/>
  <c r="BS722" i="1" s="1"/>
  <c r="BR721" i="1"/>
  <c r="BS721" i="1" s="1"/>
  <c r="BR720" i="1"/>
  <c r="BS720" i="1" s="1"/>
  <c r="BR719" i="1"/>
  <c r="BS719" i="1" s="1"/>
  <c r="BR718" i="1"/>
  <c r="BS718" i="1" s="1"/>
  <c r="BR717" i="1"/>
  <c r="BS717" i="1" s="1"/>
  <c r="BR716" i="1"/>
  <c r="BS716" i="1" s="1"/>
  <c r="BR715" i="1"/>
  <c r="BS715" i="1" s="1"/>
  <c r="BR714" i="1"/>
  <c r="BS714" i="1" s="1"/>
  <c r="BR713" i="1"/>
  <c r="BS713" i="1" s="1"/>
  <c r="BR712" i="1"/>
  <c r="BS712" i="1" s="1"/>
  <c r="BR711" i="1"/>
  <c r="BS711" i="1" s="1"/>
  <c r="BR710" i="1"/>
  <c r="BS710" i="1" s="1"/>
  <c r="BR709" i="1"/>
  <c r="BS709" i="1" s="1"/>
  <c r="BR708" i="1"/>
  <c r="BS708" i="1" s="1"/>
  <c r="BR707" i="1"/>
  <c r="BS707" i="1" s="1"/>
  <c r="BR706" i="1"/>
  <c r="BS706" i="1" s="1"/>
  <c r="BR705" i="1"/>
  <c r="BS705" i="1" s="1"/>
  <c r="BR704" i="1"/>
  <c r="BS704" i="1" s="1"/>
  <c r="BR703" i="1"/>
  <c r="BS703" i="1" s="1"/>
  <c r="BR702" i="1"/>
  <c r="BS702" i="1" s="1"/>
  <c r="BR701" i="1"/>
  <c r="BS701" i="1" s="1"/>
  <c r="BR700" i="1"/>
  <c r="BS700" i="1" s="1"/>
  <c r="BR699" i="1"/>
  <c r="BS699" i="1" s="1"/>
  <c r="BR698" i="1"/>
  <c r="BS698" i="1" s="1"/>
  <c r="BR697" i="1"/>
  <c r="BS697" i="1" s="1"/>
  <c r="BR696" i="1"/>
  <c r="BS696" i="1" s="1"/>
  <c r="BR695" i="1"/>
  <c r="BS695" i="1" s="1"/>
  <c r="BR694" i="1"/>
  <c r="BS694" i="1" s="1"/>
  <c r="BR693" i="1"/>
  <c r="BS693" i="1" s="1"/>
  <c r="BR692" i="1"/>
  <c r="BS692" i="1" s="1"/>
  <c r="BR691" i="1"/>
  <c r="BS691" i="1" s="1"/>
  <c r="BR690" i="1"/>
  <c r="BS690" i="1" s="1"/>
  <c r="BR689" i="1"/>
  <c r="BS689" i="1" s="1"/>
  <c r="BR688" i="1"/>
  <c r="BS688" i="1" s="1"/>
  <c r="BR687" i="1"/>
  <c r="BS687" i="1" s="1"/>
  <c r="BR686" i="1"/>
  <c r="BS686" i="1" s="1"/>
  <c r="BR685" i="1"/>
  <c r="BS685" i="1" s="1"/>
  <c r="BR684" i="1"/>
  <c r="BS684" i="1" s="1"/>
  <c r="BR683" i="1"/>
  <c r="BS683" i="1" s="1"/>
  <c r="BR682" i="1"/>
  <c r="BS682" i="1" s="1"/>
  <c r="BR681" i="1"/>
  <c r="BS681" i="1" s="1"/>
  <c r="BR680" i="1"/>
  <c r="BS680" i="1" s="1"/>
  <c r="BR679" i="1"/>
  <c r="BS679" i="1" s="1"/>
  <c r="BR678" i="1"/>
  <c r="BS678" i="1" s="1"/>
  <c r="BR677" i="1"/>
  <c r="BS677" i="1" s="1"/>
  <c r="BR676" i="1"/>
  <c r="BS676" i="1" s="1"/>
  <c r="BR675" i="1"/>
  <c r="BS675" i="1" s="1"/>
  <c r="BR674" i="1"/>
  <c r="BS674" i="1" s="1"/>
  <c r="BR673" i="1"/>
  <c r="BS673" i="1" s="1"/>
  <c r="BR672" i="1"/>
  <c r="BS672" i="1" s="1"/>
  <c r="BR671" i="1"/>
  <c r="BS671" i="1" s="1"/>
  <c r="BR670" i="1"/>
  <c r="BS670" i="1" s="1"/>
  <c r="BR669" i="1"/>
  <c r="BS669" i="1" s="1"/>
  <c r="BR668" i="1"/>
  <c r="BS668" i="1" s="1"/>
  <c r="BR667" i="1"/>
  <c r="BS667" i="1" s="1"/>
  <c r="BR666" i="1"/>
  <c r="BS666" i="1" s="1"/>
  <c r="BR665" i="1"/>
  <c r="BS665" i="1" s="1"/>
  <c r="BR664" i="1"/>
  <c r="BS664" i="1" s="1"/>
  <c r="BR663" i="1"/>
  <c r="BS663" i="1" s="1"/>
  <c r="BR662" i="1"/>
  <c r="BS662" i="1" s="1"/>
  <c r="BR661" i="1"/>
  <c r="BS661" i="1" s="1"/>
  <c r="BR660" i="1"/>
  <c r="BS660" i="1" s="1"/>
  <c r="BR659" i="1"/>
  <c r="BS659" i="1" s="1"/>
  <c r="BR658" i="1"/>
  <c r="BS658" i="1" s="1"/>
  <c r="BR657" i="1"/>
  <c r="BS657" i="1" s="1"/>
  <c r="BR656" i="1"/>
  <c r="BS656" i="1" s="1"/>
  <c r="BR655" i="1"/>
  <c r="BS655" i="1" s="1"/>
  <c r="BR654" i="1"/>
  <c r="BS654" i="1" s="1"/>
  <c r="BR653" i="1"/>
  <c r="BS653" i="1" s="1"/>
  <c r="BR652" i="1"/>
  <c r="BS652" i="1" s="1"/>
  <c r="BR651" i="1"/>
  <c r="BS651" i="1" s="1"/>
  <c r="BR650" i="1"/>
  <c r="BS650" i="1" s="1"/>
  <c r="BR649" i="1"/>
  <c r="BS649" i="1" s="1"/>
  <c r="BR648" i="1"/>
  <c r="BS648" i="1" s="1"/>
  <c r="BR647" i="1"/>
  <c r="BS647" i="1" s="1"/>
  <c r="BR646" i="1"/>
  <c r="BS646" i="1" s="1"/>
  <c r="BR645" i="1"/>
  <c r="BS645" i="1" s="1"/>
  <c r="BR644" i="1"/>
  <c r="BS644" i="1" s="1"/>
  <c r="BR643" i="1"/>
  <c r="BS643" i="1" s="1"/>
  <c r="BR642" i="1"/>
  <c r="BS642" i="1" s="1"/>
  <c r="BR641" i="1"/>
  <c r="BS641" i="1" s="1"/>
  <c r="BR640" i="1"/>
  <c r="BS640" i="1" s="1"/>
  <c r="BR639" i="1"/>
  <c r="BS639" i="1" s="1"/>
  <c r="BR638" i="1"/>
  <c r="BS638" i="1" s="1"/>
  <c r="BR637" i="1"/>
  <c r="BS637" i="1" s="1"/>
  <c r="BR636" i="1"/>
  <c r="BS636" i="1" s="1"/>
  <c r="BR635" i="1"/>
  <c r="BS635" i="1" s="1"/>
  <c r="BR634" i="1"/>
  <c r="BS634" i="1" s="1"/>
  <c r="BR633" i="1"/>
  <c r="BS633" i="1" s="1"/>
  <c r="BR632" i="1"/>
  <c r="BS632" i="1" s="1"/>
  <c r="BR631" i="1"/>
  <c r="BS631" i="1" s="1"/>
  <c r="BR630" i="1"/>
  <c r="BS630" i="1" s="1"/>
  <c r="BR629" i="1"/>
  <c r="BS629" i="1" s="1"/>
  <c r="BR628" i="1"/>
  <c r="BS628" i="1" s="1"/>
  <c r="BR627" i="1"/>
  <c r="BS627" i="1" s="1"/>
  <c r="BR626" i="1"/>
  <c r="BS626" i="1" s="1"/>
  <c r="BR625" i="1"/>
  <c r="BS625" i="1" s="1"/>
  <c r="BR624" i="1"/>
  <c r="BS624" i="1" s="1"/>
  <c r="BR623" i="1"/>
  <c r="BS623" i="1" s="1"/>
  <c r="BR622" i="1"/>
  <c r="BS622" i="1" s="1"/>
  <c r="BR621" i="1"/>
  <c r="BS621" i="1" s="1"/>
  <c r="BR620" i="1"/>
  <c r="BS620" i="1" s="1"/>
  <c r="BR619" i="1"/>
  <c r="BS619" i="1" s="1"/>
  <c r="BR618" i="1"/>
  <c r="BS618" i="1" s="1"/>
  <c r="BR617" i="1"/>
  <c r="BS617" i="1" s="1"/>
  <c r="BR616" i="1"/>
  <c r="BS616" i="1" s="1"/>
  <c r="BR615" i="1"/>
  <c r="BS615" i="1" s="1"/>
  <c r="BR614" i="1"/>
  <c r="BS614" i="1" s="1"/>
  <c r="BR613" i="1"/>
  <c r="BS613" i="1" s="1"/>
  <c r="BR612" i="1"/>
  <c r="BS612" i="1" s="1"/>
  <c r="BR611" i="1"/>
  <c r="BS611" i="1" s="1"/>
  <c r="BR610" i="1"/>
  <c r="BS610" i="1" s="1"/>
  <c r="BR609" i="1"/>
  <c r="BS609" i="1" s="1"/>
  <c r="BR608" i="1"/>
  <c r="BS608" i="1" s="1"/>
  <c r="BR607" i="1"/>
  <c r="BS607" i="1" s="1"/>
  <c r="BR606" i="1"/>
  <c r="BS606" i="1" s="1"/>
  <c r="BR605" i="1"/>
  <c r="BS605" i="1" s="1"/>
  <c r="BR604" i="1"/>
  <c r="BS604" i="1" s="1"/>
  <c r="BR603" i="1"/>
  <c r="BS603" i="1" s="1"/>
  <c r="BR602" i="1"/>
  <c r="BS602" i="1" s="1"/>
  <c r="BR601" i="1"/>
  <c r="BS601" i="1" s="1"/>
  <c r="BR600" i="1"/>
  <c r="BS600" i="1" s="1"/>
  <c r="BR599" i="1"/>
  <c r="BS599" i="1" s="1"/>
  <c r="BR598" i="1"/>
  <c r="BS598" i="1" s="1"/>
  <c r="BR597" i="1"/>
  <c r="BS597" i="1" s="1"/>
  <c r="BR596" i="1"/>
  <c r="BS596" i="1" s="1"/>
  <c r="BR595" i="1"/>
  <c r="BS595" i="1" s="1"/>
  <c r="BR594" i="1"/>
  <c r="BS594" i="1" s="1"/>
  <c r="BR593" i="1"/>
  <c r="BS593" i="1" s="1"/>
  <c r="BR592" i="1"/>
  <c r="BS592" i="1" s="1"/>
  <c r="BR591" i="1"/>
  <c r="BS591" i="1" s="1"/>
  <c r="BR590" i="1"/>
  <c r="BS590" i="1" s="1"/>
  <c r="BR589" i="1"/>
  <c r="BS589" i="1" s="1"/>
  <c r="BR588" i="1"/>
  <c r="BS588" i="1" s="1"/>
  <c r="BR587" i="1"/>
  <c r="BS587" i="1" s="1"/>
  <c r="BR586" i="1"/>
  <c r="BS586" i="1" s="1"/>
  <c r="BR585" i="1"/>
  <c r="BS585" i="1" s="1"/>
  <c r="BR584" i="1"/>
  <c r="BS584" i="1" s="1"/>
  <c r="BR583" i="1"/>
  <c r="BS583" i="1" s="1"/>
  <c r="BR582" i="1"/>
  <c r="BS582" i="1" s="1"/>
  <c r="BR581" i="1"/>
  <c r="BS581" i="1" s="1"/>
  <c r="BR580" i="1"/>
  <c r="BS580" i="1" s="1"/>
  <c r="BR579" i="1"/>
  <c r="BS579" i="1" s="1"/>
  <c r="BR578" i="1"/>
  <c r="BS578" i="1" s="1"/>
  <c r="BR577" i="1"/>
  <c r="BS577" i="1" s="1"/>
  <c r="BR576" i="1"/>
  <c r="BS576" i="1" s="1"/>
  <c r="BR575" i="1"/>
  <c r="BS575" i="1" s="1"/>
  <c r="BR574" i="1"/>
  <c r="BS574" i="1" s="1"/>
  <c r="BR573" i="1"/>
  <c r="BS573" i="1" s="1"/>
  <c r="BR572" i="1"/>
  <c r="BS572" i="1" s="1"/>
  <c r="BR571" i="1"/>
  <c r="BS571" i="1" s="1"/>
  <c r="BR570" i="1"/>
  <c r="BS570" i="1" s="1"/>
  <c r="BR569" i="1"/>
  <c r="BS569" i="1" s="1"/>
  <c r="BR568" i="1"/>
  <c r="BS568" i="1" s="1"/>
  <c r="BR567" i="1"/>
  <c r="BS567" i="1" s="1"/>
  <c r="BR566" i="1"/>
  <c r="BS566" i="1" s="1"/>
  <c r="BR565" i="1"/>
  <c r="BS565" i="1" s="1"/>
  <c r="BR564" i="1"/>
  <c r="BS564" i="1" s="1"/>
  <c r="BR563" i="1"/>
  <c r="BS563" i="1" s="1"/>
  <c r="BR562" i="1"/>
  <c r="BS562" i="1" s="1"/>
  <c r="BR561" i="1"/>
  <c r="BS561" i="1" s="1"/>
  <c r="BR560" i="1"/>
  <c r="BS560" i="1" s="1"/>
  <c r="BR559" i="1"/>
  <c r="BS559" i="1" s="1"/>
  <c r="BR558" i="1"/>
  <c r="BS558" i="1" s="1"/>
  <c r="BR557" i="1"/>
  <c r="BS557" i="1" s="1"/>
  <c r="BR556" i="1"/>
  <c r="BS556" i="1" s="1"/>
  <c r="BR555" i="1"/>
  <c r="BS555" i="1" s="1"/>
  <c r="BR554" i="1"/>
  <c r="BS554" i="1" s="1"/>
  <c r="BR553" i="1"/>
  <c r="BS553" i="1" s="1"/>
  <c r="BR552" i="1"/>
  <c r="BS552" i="1" s="1"/>
  <c r="BR551" i="1"/>
  <c r="BS551" i="1" s="1"/>
  <c r="BR550" i="1"/>
  <c r="BS550" i="1" s="1"/>
  <c r="BR549" i="1"/>
  <c r="BS549" i="1" s="1"/>
  <c r="BR548" i="1"/>
  <c r="BS548" i="1" s="1"/>
  <c r="BR547" i="1"/>
  <c r="BS547" i="1" s="1"/>
  <c r="BR546" i="1"/>
  <c r="BS546" i="1" s="1"/>
  <c r="BR545" i="1"/>
  <c r="BS545" i="1" s="1"/>
  <c r="BR544" i="1"/>
  <c r="BS544" i="1" s="1"/>
  <c r="BR543" i="1"/>
  <c r="BS543" i="1" s="1"/>
  <c r="BR542" i="1"/>
  <c r="BS542" i="1" s="1"/>
  <c r="BR541" i="1"/>
  <c r="BS541" i="1" s="1"/>
  <c r="BR540" i="1"/>
  <c r="BS540" i="1" s="1"/>
  <c r="BR539" i="1"/>
  <c r="BS539" i="1" s="1"/>
  <c r="BR538" i="1"/>
  <c r="BS538" i="1" s="1"/>
  <c r="BR537" i="1"/>
  <c r="BS537" i="1" s="1"/>
  <c r="BR536" i="1"/>
  <c r="BS536" i="1" s="1"/>
  <c r="BR535" i="1"/>
  <c r="BS535" i="1" s="1"/>
  <c r="BR534" i="1"/>
  <c r="BS534" i="1" s="1"/>
  <c r="BR533" i="1"/>
  <c r="BS533" i="1" s="1"/>
  <c r="BR532" i="1"/>
  <c r="BS532" i="1" s="1"/>
  <c r="BR531" i="1"/>
  <c r="BS531" i="1" s="1"/>
  <c r="BR530" i="1"/>
  <c r="BS530" i="1" s="1"/>
  <c r="BR529" i="1"/>
  <c r="BS529" i="1" s="1"/>
  <c r="BR528" i="1"/>
  <c r="BS528" i="1" s="1"/>
  <c r="BR527" i="1"/>
  <c r="BS527" i="1" s="1"/>
  <c r="BR526" i="1"/>
  <c r="BS526" i="1" s="1"/>
  <c r="BR525" i="1"/>
  <c r="BS525" i="1" s="1"/>
  <c r="BR524" i="1"/>
  <c r="BS524" i="1" s="1"/>
  <c r="BR523" i="1"/>
  <c r="BS523" i="1" s="1"/>
  <c r="BR522" i="1"/>
  <c r="BS522" i="1" s="1"/>
  <c r="BR521" i="1"/>
  <c r="BS521" i="1" s="1"/>
  <c r="BR520" i="1"/>
  <c r="BS520" i="1" s="1"/>
  <c r="BR519" i="1"/>
  <c r="BS519" i="1" s="1"/>
  <c r="BR518" i="1"/>
  <c r="BS518" i="1" s="1"/>
  <c r="BR517" i="1"/>
  <c r="BS517" i="1" s="1"/>
  <c r="BR516" i="1"/>
  <c r="BS516" i="1" s="1"/>
  <c r="BR515" i="1"/>
  <c r="BS515" i="1" s="1"/>
  <c r="BR514" i="1"/>
  <c r="BS514" i="1" s="1"/>
  <c r="BR513" i="1"/>
  <c r="BS513" i="1" s="1"/>
  <c r="BR512" i="1"/>
  <c r="BS512" i="1" s="1"/>
  <c r="BR511" i="1"/>
  <c r="BS511" i="1" s="1"/>
  <c r="BR510" i="1"/>
  <c r="BS510" i="1" s="1"/>
  <c r="BR509" i="1"/>
  <c r="BS509" i="1" s="1"/>
  <c r="BR508" i="1"/>
  <c r="BS508" i="1" s="1"/>
  <c r="BR507" i="1"/>
  <c r="BS507" i="1" s="1"/>
  <c r="BR506" i="1"/>
  <c r="BS506" i="1" s="1"/>
  <c r="BR505" i="1"/>
  <c r="BS505" i="1" s="1"/>
  <c r="BR504" i="1"/>
  <c r="BS504" i="1" s="1"/>
  <c r="BR503" i="1"/>
  <c r="BS503" i="1" s="1"/>
  <c r="BR502" i="1"/>
  <c r="BS502" i="1" s="1"/>
  <c r="BR501" i="1"/>
  <c r="BS501" i="1" s="1"/>
  <c r="BR500" i="1"/>
  <c r="BS500" i="1" s="1"/>
  <c r="BR499" i="1"/>
  <c r="BS499" i="1" s="1"/>
  <c r="BR498" i="1"/>
  <c r="BS498" i="1" s="1"/>
  <c r="BR497" i="1"/>
  <c r="BS497" i="1" s="1"/>
  <c r="BR496" i="1"/>
  <c r="BS496" i="1" s="1"/>
  <c r="BR495" i="1"/>
  <c r="BS495" i="1" s="1"/>
  <c r="BR494" i="1"/>
  <c r="BS494" i="1" s="1"/>
  <c r="BR493" i="1"/>
  <c r="BS493" i="1" s="1"/>
  <c r="BR492" i="1"/>
  <c r="BS492" i="1" s="1"/>
  <c r="BR491" i="1"/>
  <c r="BS491" i="1" s="1"/>
  <c r="BR490" i="1"/>
  <c r="BS490" i="1" s="1"/>
  <c r="BR489" i="1"/>
  <c r="BS489" i="1" s="1"/>
  <c r="BR488" i="1"/>
  <c r="BS488" i="1" s="1"/>
  <c r="BR487" i="1"/>
  <c r="BS487" i="1" s="1"/>
  <c r="BR486" i="1"/>
  <c r="BS486" i="1" s="1"/>
  <c r="BR485" i="1"/>
  <c r="BS485" i="1" s="1"/>
  <c r="BR484" i="1"/>
  <c r="BS484" i="1" s="1"/>
  <c r="BR483" i="1"/>
  <c r="BS483" i="1" s="1"/>
  <c r="BR482" i="1"/>
  <c r="BS482" i="1" s="1"/>
  <c r="BR481" i="1"/>
  <c r="BS481" i="1" s="1"/>
  <c r="BR480" i="1"/>
  <c r="BS480" i="1" s="1"/>
  <c r="BR479" i="1"/>
  <c r="BS479" i="1" s="1"/>
  <c r="BR478" i="1"/>
  <c r="BS478" i="1" s="1"/>
  <c r="BR477" i="1"/>
  <c r="BS477" i="1" s="1"/>
  <c r="BR476" i="1"/>
  <c r="BS476" i="1" s="1"/>
  <c r="BR475" i="1"/>
  <c r="BS475" i="1" s="1"/>
  <c r="BR474" i="1"/>
  <c r="BS474" i="1" s="1"/>
  <c r="BR473" i="1"/>
  <c r="BS473" i="1" s="1"/>
  <c r="BR472" i="1"/>
  <c r="BS472" i="1" s="1"/>
  <c r="BR471" i="1"/>
  <c r="BS471" i="1" s="1"/>
  <c r="BR470" i="1"/>
  <c r="BS470" i="1" s="1"/>
  <c r="BR469" i="1"/>
  <c r="BS469" i="1" s="1"/>
  <c r="BR468" i="1"/>
  <c r="BS468" i="1" s="1"/>
  <c r="BR467" i="1"/>
  <c r="BS467" i="1" s="1"/>
  <c r="BR466" i="1"/>
  <c r="BS466" i="1" s="1"/>
  <c r="BR465" i="1"/>
  <c r="BS465" i="1" s="1"/>
  <c r="BR464" i="1"/>
  <c r="BS464" i="1" s="1"/>
  <c r="BR463" i="1"/>
  <c r="BS463" i="1" s="1"/>
  <c r="BR462" i="1"/>
  <c r="BS462" i="1" s="1"/>
  <c r="BR461" i="1"/>
  <c r="BS461" i="1" s="1"/>
  <c r="BR460" i="1"/>
  <c r="BS460" i="1" s="1"/>
  <c r="BR459" i="1"/>
  <c r="BS459" i="1" s="1"/>
  <c r="BR458" i="1"/>
  <c r="BS458" i="1" s="1"/>
  <c r="BR457" i="1"/>
  <c r="BS457" i="1" s="1"/>
  <c r="BR456" i="1"/>
  <c r="BS456" i="1" s="1"/>
  <c r="BR455" i="1"/>
  <c r="BS455" i="1" s="1"/>
  <c r="BR454" i="1"/>
  <c r="BS454" i="1" s="1"/>
  <c r="BR453" i="1"/>
  <c r="BS453" i="1" s="1"/>
  <c r="BR452" i="1"/>
  <c r="BS452" i="1" s="1"/>
  <c r="BR451" i="1"/>
  <c r="BS451" i="1" s="1"/>
  <c r="BR450" i="1"/>
  <c r="BS450" i="1" s="1"/>
  <c r="BR449" i="1"/>
  <c r="BS449" i="1" s="1"/>
  <c r="BR448" i="1"/>
  <c r="BS448" i="1" s="1"/>
  <c r="BR447" i="1"/>
  <c r="BS447" i="1" s="1"/>
  <c r="BR446" i="1"/>
  <c r="BS446" i="1" s="1"/>
  <c r="BR445" i="1"/>
  <c r="BS445" i="1" s="1"/>
  <c r="BR444" i="1"/>
  <c r="BS444" i="1" s="1"/>
  <c r="BR443" i="1"/>
  <c r="BS443" i="1" s="1"/>
  <c r="BR442" i="1"/>
  <c r="BS442" i="1" s="1"/>
  <c r="BR441" i="1"/>
  <c r="BS441" i="1" s="1"/>
  <c r="BR440" i="1"/>
  <c r="BS440" i="1" s="1"/>
  <c r="BR439" i="1"/>
  <c r="BS439" i="1" s="1"/>
  <c r="BR438" i="1"/>
  <c r="BS438" i="1" s="1"/>
  <c r="BR437" i="1"/>
  <c r="BS437" i="1" s="1"/>
  <c r="BR436" i="1"/>
  <c r="BS436" i="1" s="1"/>
  <c r="BR435" i="1"/>
  <c r="BS435" i="1" s="1"/>
  <c r="BR434" i="1"/>
  <c r="BS434" i="1" s="1"/>
  <c r="BR433" i="1"/>
  <c r="BS433" i="1" s="1"/>
  <c r="BR432" i="1"/>
  <c r="BS432" i="1" s="1"/>
  <c r="BR431" i="1"/>
  <c r="BS431" i="1" s="1"/>
  <c r="BR430" i="1"/>
  <c r="BS430" i="1" s="1"/>
  <c r="BR429" i="1"/>
  <c r="BS429" i="1" s="1"/>
  <c r="BR428" i="1"/>
  <c r="BS428" i="1" s="1"/>
  <c r="BR427" i="1"/>
  <c r="BS427" i="1" s="1"/>
  <c r="BR426" i="1"/>
  <c r="BS426" i="1" s="1"/>
  <c r="BR425" i="1"/>
  <c r="BS425" i="1" s="1"/>
  <c r="BR424" i="1"/>
  <c r="BS424" i="1" s="1"/>
  <c r="BR423" i="1"/>
  <c r="BS423" i="1" s="1"/>
  <c r="BR422" i="1"/>
  <c r="BS422" i="1" s="1"/>
  <c r="BR421" i="1"/>
  <c r="BS421" i="1" s="1"/>
  <c r="BR420" i="1"/>
  <c r="BS420" i="1" s="1"/>
  <c r="BR419" i="1"/>
  <c r="BS419" i="1" s="1"/>
  <c r="BR418" i="1"/>
  <c r="BS418" i="1" s="1"/>
  <c r="BR417" i="1"/>
  <c r="BS417" i="1" s="1"/>
  <c r="BR416" i="1"/>
  <c r="BS416" i="1" s="1"/>
  <c r="BR415" i="1"/>
  <c r="BS415" i="1" s="1"/>
  <c r="BR414" i="1"/>
  <c r="BS414" i="1" s="1"/>
  <c r="BR413" i="1"/>
  <c r="BS413" i="1" s="1"/>
  <c r="BR412" i="1"/>
  <c r="BS412" i="1" s="1"/>
  <c r="BR411" i="1"/>
  <c r="BS411" i="1" s="1"/>
  <c r="BR410" i="1"/>
  <c r="BS410" i="1" s="1"/>
  <c r="BR409" i="1"/>
  <c r="BS409" i="1" s="1"/>
  <c r="BR408" i="1"/>
  <c r="BS408" i="1" s="1"/>
  <c r="BR407" i="1"/>
  <c r="BS407" i="1" s="1"/>
  <c r="BR406" i="1"/>
  <c r="BS406" i="1" s="1"/>
  <c r="BR405" i="1"/>
  <c r="BS405" i="1" s="1"/>
  <c r="BR404" i="1"/>
  <c r="BS404" i="1" s="1"/>
  <c r="BR403" i="1"/>
  <c r="BS403" i="1" s="1"/>
  <c r="BR402" i="1"/>
  <c r="BS402" i="1" s="1"/>
  <c r="BR401" i="1"/>
  <c r="BS401" i="1" s="1"/>
  <c r="BR400" i="1"/>
  <c r="BS400" i="1" s="1"/>
  <c r="BR399" i="1"/>
  <c r="BS399" i="1" s="1"/>
  <c r="BR398" i="1"/>
  <c r="BS398" i="1" s="1"/>
  <c r="BR397" i="1"/>
  <c r="BS397" i="1" s="1"/>
  <c r="BR396" i="1"/>
  <c r="BS396" i="1" s="1"/>
  <c r="BR395" i="1"/>
  <c r="BS395" i="1" s="1"/>
  <c r="BR394" i="1"/>
  <c r="BS394" i="1" s="1"/>
  <c r="BR393" i="1"/>
  <c r="BS393" i="1" s="1"/>
  <c r="BR392" i="1"/>
  <c r="BS392" i="1" s="1"/>
  <c r="BR391" i="1"/>
  <c r="BS391" i="1" s="1"/>
  <c r="BR390" i="1"/>
  <c r="BS390" i="1" s="1"/>
  <c r="BR389" i="1"/>
  <c r="BS389" i="1" s="1"/>
  <c r="BR388" i="1"/>
  <c r="BS388" i="1" s="1"/>
  <c r="BR387" i="1"/>
  <c r="BS387" i="1" s="1"/>
  <c r="BR386" i="1"/>
  <c r="BS386" i="1" s="1"/>
  <c r="BR385" i="1"/>
  <c r="BS385" i="1" s="1"/>
  <c r="BR384" i="1"/>
  <c r="BS384" i="1" s="1"/>
  <c r="BR383" i="1"/>
  <c r="BS383" i="1" s="1"/>
  <c r="BR382" i="1"/>
  <c r="BS382" i="1" s="1"/>
  <c r="BR381" i="1"/>
  <c r="BS381" i="1" s="1"/>
  <c r="BR380" i="1"/>
  <c r="BS380" i="1" s="1"/>
  <c r="BR379" i="1"/>
  <c r="BS379" i="1" s="1"/>
  <c r="BR378" i="1"/>
  <c r="BS378" i="1" s="1"/>
  <c r="BR377" i="1"/>
  <c r="BS377" i="1" s="1"/>
  <c r="BR376" i="1"/>
  <c r="BS376" i="1" s="1"/>
  <c r="BR375" i="1"/>
  <c r="BS375" i="1" s="1"/>
  <c r="BR374" i="1"/>
  <c r="BS374" i="1" s="1"/>
  <c r="BR373" i="1"/>
  <c r="BS373" i="1" s="1"/>
  <c r="BR372" i="1"/>
  <c r="BS372" i="1" s="1"/>
  <c r="BR371" i="1"/>
  <c r="BS371" i="1" s="1"/>
  <c r="BR370" i="1"/>
  <c r="BS370" i="1" s="1"/>
  <c r="BR369" i="1"/>
  <c r="BS369" i="1" s="1"/>
  <c r="BR368" i="1"/>
  <c r="BS368" i="1" s="1"/>
  <c r="BR367" i="1"/>
  <c r="BS367" i="1" s="1"/>
  <c r="BR366" i="1"/>
  <c r="BS366" i="1" s="1"/>
  <c r="BR365" i="1"/>
  <c r="BS365" i="1" s="1"/>
  <c r="BR364" i="1"/>
  <c r="BS364" i="1" s="1"/>
  <c r="BR363" i="1"/>
  <c r="BS363" i="1" s="1"/>
  <c r="BR362" i="1"/>
  <c r="BS362" i="1" s="1"/>
  <c r="BR361" i="1"/>
  <c r="BS361" i="1" s="1"/>
  <c r="BR360" i="1"/>
  <c r="BS360" i="1" s="1"/>
  <c r="BR359" i="1"/>
  <c r="BS359" i="1" s="1"/>
  <c r="BR358" i="1"/>
  <c r="BS358" i="1" s="1"/>
  <c r="BR357" i="1"/>
  <c r="BS357" i="1" s="1"/>
  <c r="BR356" i="1"/>
  <c r="BS356" i="1" s="1"/>
  <c r="BR355" i="1"/>
  <c r="BS355" i="1" s="1"/>
  <c r="BR354" i="1"/>
  <c r="BS354" i="1" s="1"/>
  <c r="BR353" i="1"/>
  <c r="BS353" i="1" s="1"/>
  <c r="BR352" i="1"/>
  <c r="BS352" i="1" s="1"/>
  <c r="BR351" i="1"/>
  <c r="BS351" i="1" s="1"/>
  <c r="BR350" i="1"/>
  <c r="BS350" i="1" s="1"/>
  <c r="BR349" i="1"/>
  <c r="BS349" i="1" s="1"/>
  <c r="BR348" i="1"/>
  <c r="BS348" i="1" s="1"/>
  <c r="BR347" i="1"/>
  <c r="BS347" i="1" s="1"/>
  <c r="BR346" i="1"/>
  <c r="BS346" i="1" s="1"/>
  <c r="BR345" i="1"/>
  <c r="BS345" i="1" s="1"/>
  <c r="BR344" i="1"/>
  <c r="BS344" i="1" s="1"/>
  <c r="BR343" i="1"/>
  <c r="BS343" i="1" s="1"/>
  <c r="BR342" i="1"/>
  <c r="BS342" i="1" s="1"/>
  <c r="BR341" i="1"/>
  <c r="BS341" i="1" s="1"/>
  <c r="BR340" i="1"/>
  <c r="BS340" i="1" s="1"/>
  <c r="BR339" i="1"/>
  <c r="BS339" i="1" s="1"/>
  <c r="BR338" i="1"/>
  <c r="BS338" i="1" s="1"/>
  <c r="BR337" i="1"/>
  <c r="BS337" i="1" s="1"/>
  <c r="BR336" i="1"/>
  <c r="BS336" i="1" s="1"/>
  <c r="BR335" i="1"/>
  <c r="BS335" i="1" s="1"/>
  <c r="BR334" i="1"/>
  <c r="BS334" i="1" s="1"/>
  <c r="BR333" i="1"/>
  <c r="BS333" i="1" s="1"/>
  <c r="BR332" i="1"/>
  <c r="BS332" i="1" s="1"/>
  <c r="BR331" i="1"/>
  <c r="BS331" i="1" s="1"/>
  <c r="BR330" i="1"/>
  <c r="BS330" i="1" s="1"/>
  <c r="BR329" i="1"/>
  <c r="BS329" i="1" s="1"/>
  <c r="BR328" i="1"/>
  <c r="BS328" i="1" s="1"/>
  <c r="BR327" i="1"/>
  <c r="BS327" i="1" s="1"/>
  <c r="BR326" i="1"/>
  <c r="BS326" i="1" s="1"/>
  <c r="BR325" i="1"/>
  <c r="BS325" i="1" s="1"/>
  <c r="BR324" i="1"/>
  <c r="BS324" i="1" s="1"/>
  <c r="BR323" i="1"/>
  <c r="BS323" i="1" s="1"/>
  <c r="BR322" i="1"/>
  <c r="BS322" i="1" s="1"/>
  <c r="BR321" i="1"/>
  <c r="BS321" i="1" s="1"/>
  <c r="BR320" i="1"/>
  <c r="BS320" i="1" s="1"/>
  <c r="BR319" i="1"/>
  <c r="BS319" i="1" s="1"/>
  <c r="BR318" i="1"/>
  <c r="BS318" i="1" s="1"/>
  <c r="BR317" i="1"/>
  <c r="BS317" i="1" s="1"/>
  <c r="BR316" i="1"/>
  <c r="BS316" i="1" s="1"/>
  <c r="BR315" i="1"/>
  <c r="BS315" i="1" s="1"/>
  <c r="BR314" i="1"/>
  <c r="BS314" i="1" s="1"/>
  <c r="BR313" i="1"/>
  <c r="BS313" i="1" s="1"/>
  <c r="BR312" i="1"/>
  <c r="BS312" i="1" s="1"/>
  <c r="BR311" i="1"/>
  <c r="BS311" i="1" s="1"/>
  <c r="BR310" i="1"/>
  <c r="BS310" i="1" s="1"/>
  <c r="BR309" i="1"/>
  <c r="BS309" i="1" s="1"/>
  <c r="BR308" i="1"/>
  <c r="BS308" i="1" s="1"/>
  <c r="BR307" i="1"/>
  <c r="BS307" i="1" s="1"/>
  <c r="BR306" i="1"/>
  <c r="BS306" i="1" s="1"/>
  <c r="BR305" i="1"/>
  <c r="BS305" i="1" s="1"/>
  <c r="BR304" i="1"/>
  <c r="BS304" i="1" s="1"/>
  <c r="BR303" i="1"/>
  <c r="BS303" i="1" s="1"/>
  <c r="BR302" i="1"/>
  <c r="BS302" i="1" s="1"/>
  <c r="BR301" i="1"/>
  <c r="BS301" i="1" s="1"/>
  <c r="BR300" i="1"/>
  <c r="BS300" i="1" s="1"/>
  <c r="BR299" i="1"/>
  <c r="BS299" i="1" s="1"/>
  <c r="BR298" i="1"/>
  <c r="BS298" i="1" s="1"/>
  <c r="BR297" i="1"/>
  <c r="BS297" i="1" s="1"/>
  <c r="BR296" i="1"/>
  <c r="BS296" i="1" s="1"/>
  <c r="BR295" i="1"/>
  <c r="BS295" i="1" s="1"/>
  <c r="BR294" i="1"/>
  <c r="BS294" i="1" s="1"/>
  <c r="BR293" i="1"/>
  <c r="BS293" i="1" s="1"/>
  <c r="BR292" i="1"/>
  <c r="BS292" i="1" s="1"/>
  <c r="BR291" i="1"/>
  <c r="BS291" i="1" s="1"/>
  <c r="BR290" i="1"/>
  <c r="BS290" i="1" s="1"/>
  <c r="BR289" i="1"/>
  <c r="BS289" i="1" s="1"/>
  <c r="BR288" i="1"/>
  <c r="BS288" i="1" s="1"/>
  <c r="BR287" i="1"/>
  <c r="BS287" i="1" s="1"/>
  <c r="BR286" i="1"/>
  <c r="BS286" i="1" s="1"/>
  <c r="BR285" i="1"/>
  <c r="BS285" i="1" s="1"/>
  <c r="BR284" i="1"/>
  <c r="BS284" i="1" s="1"/>
  <c r="BR283" i="1"/>
  <c r="BS283" i="1" s="1"/>
  <c r="BR282" i="1"/>
  <c r="BS282" i="1" s="1"/>
  <c r="BR281" i="1"/>
  <c r="BS281" i="1" s="1"/>
  <c r="BR280" i="1"/>
  <c r="BS280" i="1" s="1"/>
  <c r="BR279" i="1"/>
  <c r="BS279" i="1" s="1"/>
  <c r="BR278" i="1"/>
  <c r="BS278" i="1" s="1"/>
  <c r="BR277" i="1"/>
  <c r="BS277" i="1" s="1"/>
  <c r="BR276" i="1"/>
  <c r="BS276" i="1" s="1"/>
  <c r="BR275" i="1"/>
  <c r="BS275" i="1" s="1"/>
  <c r="BR274" i="1"/>
  <c r="BS274" i="1" s="1"/>
  <c r="BR273" i="1"/>
  <c r="BS273" i="1" s="1"/>
  <c r="BR272" i="1"/>
  <c r="BS272" i="1" s="1"/>
  <c r="BR271" i="1"/>
  <c r="BS271" i="1" s="1"/>
  <c r="BR270" i="1"/>
  <c r="BS270" i="1" s="1"/>
  <c r="BR269" i="1"/>
  <c r="BS269" i="1" s="1"/>
  <c r="BR268" i="1"/>
  <c r="BS268" i="1" s="1"/>
  <c r="BR267" i="1"/>
  <c r="BS267" i="1" s="1"/>
  <c r="BR266" i="1"/>
  <c r="BS266" i="1" s="1"/>
  <c r="BR265" i="1"/>
  <c r="BS265" i="1" s="1"/>
  <c r="BR264" i="1"/>
  <c r="BS264" i="1" s="1"/>
  <c r="BR263" i="1"/>
  <c r="BS263" i="1" s="1"/>
  <c r="BR262" i="1"/>
  <c r="BS262" i="1" s="1"/>
  <c r="BR261" i="1"/>
  <c r="BS261" i="1" s="1"/>
  <c r="BR260" i="1"/>
  <c r="BS260" i="1" s="1"/>
  <c r="BR259" i="1"/>
  <c r="BS259" i="1" s="1"/>
  <c r="BR258" i="1"/>
  <c r="BS258" i="1" s="1"/>
  <c r="BR257" i="1"/>
  <c r="BS257" i="1" s="1"/>
  <c r="BR256" i="1"/>
  <c r="BS256" i="1" s="1"/>
  <c r="BR255" i="1"/>
  <c r="BS255" i="1" s="1"/>
  <c r="BR254" i="1"/>
  <c r="BS254" i="1" s="1"/>
  <c r="BR253" i="1"/>
  <c r="BS253" i="1" s="1"/>
  <c r="BR252" i="1"/>
  <c r="BS252" i="1" s="1"/>
  <c r="BR251" i="1"/>
  <c r="BS251" i="1" s="1"/>
  <c r="BR250" i="1"/>
  <c r="BS250" i="1" s="1"/>
  <c r="BR249" i="1"/>
  <c r="BS249" i="1" s="1"/>
  <c r="BR248" i="1"/>
  <c r="BS248" i="1" s="1"/>
  <c r="BR247" i="1"/>
  <c r="BS247" i="1" s="1"/>
  <c r="BR246" i="1"/>
  <c r="BS246" i="1" s="1"/>
  <c r="BR245" i="1"/>
  <c r="BS245" i="1" s="1"/>
  <c r="BR244" i="1"/>
  <c r="BS244" i="1" s="1"/>
  <c r="BR243" i="1"/>
  <c r="BS243" i="1" s="1"/>
  <c r="BR242" i="1"/>
  <c r="BS242" i="1" s="1"/>
  <c r="BR241" i="1"/>
  <c r="BS241" i="1" s="1"/>
  <c r="BR240" i="1"/>
  <c r="BS240" i="1" s="1"/>
  <c r="BR239" i="1"/>
  <c r="BS239" i="1" s="1"/>
  <c r="BR238" i="1"/>
  <c r="BS238" i="1" s="1"/>
  <c r="BR237" i="1"/>
  <c r="BS237" i="1" s="1"/>
  <c r="BR236" i="1"/>
  <c r="BS236" i="1" s="1"/>
  <c r="BR235" i="1"/>
  <c r="BS235" i="1" s="1"/>
  <c r="BR234" i="1"/>
  <c r="BS234" i="1" s="1"/>
  <c r="BR233" i="1"/>
  <c r="BS233" i="1" s="1"/>
  <c r="BR232" i="1"/>
  <c r="BS232" i="1" s="1"/>
  <c r="BR231" i="1"/>
  <c r="BS231" i="1" s="1"/>
  <c r="BR230" i="1"/>
  <c r="BS230" i="1" s="1"/>
  <c r="BR229" i="1"/>
  <c r="BS229" i="1" s="1"/>
  <c r="BR228" i="1"/>
  <c r="BS228" i="1" s="1"/>
  <c r="BR227" i="1"/>
  <c r="BS227" i="1" s="1"/>
  <c r="BR226" i="1"/>
  <c r="BS226" i="1" s="1"/>
  <c r="BR225" i="1"/>
  <c r="BS225" i="1" s="1"/>
  <c r="BR224" i="1"/>
  <c r="BS224" i="1" s="1"/>
  <c r="BR223" i="1"/>
  <c r="BS223" i="1" s="1"/>
  <c r="BR222" i="1"/>
  <c r="BS222" i="1" s="1"/>
  <c r="BR221" i="1"/>
  <c r="BS221" i="1" s="1"/>
  <c r="BR220" i="1"/>
  <c r="BS220" i="1" s="1"/>
  <c r="BR219" i="1"/>
  <c r="BS219" i="1" s="1"/>
  <c r="BR218" i="1"/>
  <c r="BS218" i="1" s="1"/>
  <c r="BR217" i="1"/>
  <c r="BS217" i="1" s="1"/>
  <c r="BR216" i="1"/>
  <c r="BS216" i="1" s="1"/>
  <c r="BR215" i="1"/>
  <c r="BS215" i="1" s="1"/>
  <c r="BR214" i="1"/>
  <c r="BS214" i="1" s="1"/>
  <c r="BR213" i="1"/>
  <c r="BS213" i="1" s="1"/>
  <c r="BR212" i="1"/>
  <c r="BS212" i="1" s="1"/>
  <c r="BR211" i="1"/>
  <c r="BS211" i="1" s="1"/>
  <c r="BR210" i="1"/>
  <c r="BS210" i="1" s="1"/>
  <c r="BR209" i="1"/>
  <c r="BS209" i="1" s="1"/>
  <c r="BR208" i="1"/>
  <c r="BS208" i="1" s="1"/>
  <c r="BR207" i="1"/>
  <c r="BS207" i="1" s="1"/>
  <c r="BR206" i="1"/>
  <c r="BS206" i="1" s="1"/>
  <c r="BR205" i="1"/>
  <c r="BS205" i="1" s="1"/>
  <c r="BR204" i="1"/>
  <c r="BS204" i="1" s="1"/>
  <c r="BR203" i="1"/>
  <c r="BS203" i="1" s="1"/>
  <c r="BR202" i="1"/>
  <c r="BS202" i="1" s="1"/>
  <c r="BR201" i="1"/>
  <c r="BS201" i="1" s="1"/>
  <c r="BR200" i="1"/>
  <c r="BS200" i="1" s="1"/>
  <c r="BR199" i="1"/>
  <c r="BS199" i="1" s="1"/>
  <c r="BR198" i="1"/>
  <c r="BS198" i="1" s="1"/>
  <c r="BR197" i="1"/>
  <c r="BS197" i="1" s="1"/>
  <c r="BR196" i="1"/>
  <c r="BS196" i="1" s="1"/>
  <c r="BR195" i="1"/>
  <c r="BS195" i="1" s="1"/>
  <c r="BR194" i="1"/>
  <c r="BS194" i="1" s="1"/>
  <c r="BR193" i="1"/>
  <c r="BS193" i="1" s="1"/>
  <c r="BR192" i="1"/>
  <c r="BS192" i="1" s="1"/>
  <c r="BR191" i="1"/>
  <c r="BS191" i="1" s="1"/>
  <c r="BR190" i="1"/>
  <c r="BS190" i="1" s="1"/>
  <c r="BR189" i="1"/>
  <c r="BS189" i="1" s="1"/>
  <c r="BR188" i="1"/>
  <c r="BS188" i="1" s="1"/>
  <c r="BR187" i="1"/>
  <c r="BS187" i="1" s="1"/>
  <c r="BR186" i="1"/>
  <c r="BS186" i="1" s="1"/>
  <c r="BR185" i="1"/>
  <c r="BS185" i="1" s="1"/>
  <c r="BR184" i="1"/>
  <c r="BS184" i="1" s="1"/>
  <c r="BR183" i="1"/>
  <c r="BS183" i="1" s="1"/>
  <c r="BR182" i="1"/>
  <c r="BS182" i="1" s="1"/>
  <c r="BR181" i="1"/>
  <c r="BS181" i="1" s="1"/>
  <c r="BR180" i="1"/>
  <c r="BS180" i="1" s="1"/>
  <c r="BR179" i="1"/>
  <c r="BS179" i="1" s="1"/>
  <c r="BR178" i="1"/>
  <c r="BS178" i="1" s="1"/>
  <c r="BR177" i="1"/>
  <c r="BS177" i="1" s="1"/>
  <c r="BR176" i="1"/>
  <c r="BS176" i="1" s="1"/>
  <c r="BR175" i="1"/>
  <c r="BS175" i="1" s="1"/>
  <c r="BR174" i="1"/>
  <c r="BS174" i="1" s="1"/>
  <c r="BR173" i="1"/>
  <c r="BS173" i="1" s="1"/>
  <c r="BR172" i="1"/>
  <c r="BS172" i="1" s="1"/>
  <c r="BR171" i="1"/>
  <c r="BS171" i="1" s="1"/>
  <c r="BR170" i="1"/>
  <c r="BS170" i="1" s="1"/>
  <c r="BR169" i="1"/>
  <c r="BS169" i="1" s="1"/>
  <c r="BR168" i="1"/>
  <c r="BS168" i="1" s="1"/>
  <c r="BS167" i="1"/>
  <c r="BR167" i="1"/>
  <c r="BR166" i="1"/>
  <c r="BS166" i="1" s="1"/>
  <c r="BR165" i="1"/>
  <c r="BS165" i="1" s="1"/>
  <c r="BR164" i="1"/>
  <c r="BS164" i="1" s="1"/>
  <c r="BR163" i="1"/>
  <c r="BS163" i="1" s="1"/>
  <c r="BR162" i="1"/>
  <c r="BS162" i="1" s="1"/>
  <c r="BR161" i="1"/>
  <c r="BS161" i="1" s="1"/>
  <c r="BR160" i="1"/>
  <c r="BS160" i="1" s="1"/>
  <c r="BR159" i="1"/>
  <c r="BS159" i="1" s="1"/>
  <c r="BR158" i="1"/>
  <c r="BS158" i="1" s="1"/>
  <c r="BR157" i="1"/>
  <c r="BS157" i="1" s="1"/>
  <c r="BR156" i="1"/>
  <c r="BS156" i="1" s="1"/>
  <c r="BR155" i="1"/>
  <c r="BS155" i="1" s="1"/>
  <c r="BR154" i="1"/>
  <c r="BS154" i="1" s="1"/>
  <c r="BR153" i="1"/>
  <c r="BS153" i="1" s="1"/>
  <c r="BR152" i="1"/>
  <c r="BS152" i="1" s="1"/>
  <c r="BR151" i="1"/>
  <c r="BS151" i="1" s="1"/>
  <c r="BR150" i="1"/>
  <c r="BS150" i="1" s="1"/>
  <c r="BR149" i="1"/>
  <c r="BS149" i="1" s="1"/>
  <c r="BR148" i="1"/>
  <c r="BS148" i="1" s="1"/>
  <c r="BR147" i="1"/>
  <c r="BS147" i="1" s="1"/>
  <c r="BR146" i="1"/>
  <c r="BS146" i="1" s="1"/>
  <c r="BR145" i="1"/>
  <c r="BS145" i="1" s="1"/>
  <c r="BR144" i="1"/>
  <c r="BS144" i="1" s="1"/>
  <c r="BR143" i="1"/>
  <c r="BS143" i="1" s="1"/>
  <c r="BR142" i="1"/>
  <c r="BS142" i="1" s="1"/>
  <c r="BR141" i="1"/>
  <c r="BS141" i="1" s="1"/>
  <c r="BR140" i="1"/>
  <c r="BS140" i="1" s="1"/>
  <c r="BR139" i="1"/>
  <c r="BS139" i="1" s="1"/>
  <c r="BR138" i="1"/>
  <c r="BS138" i="1" s="1"/>
  <c r="BR137" i="1"/>
  <c r="BS137" i="1" s="1"/>
  <c r="BR136" i="1"/>
  <c r="BS136" i="1" s="1"/>
  <c r="BR135" i="1"/>
  <c r="BS135" i="1" s="1"/>
  <c r="BR134" i="1"/>
  <c r="BS134" i="1" s="1"/>
  <c r="BR133" i="1"/>
  <c r="BS133" i="1" s="1"/>
  <c r="BR132" i="1"/>
  <c r="BS132" i="1" s="1"/>
  <c r="BR131" i="1"/>
  <c r="BS131" i="1" s="1"/>
  <c r="BR130" i="1"/>
  <c r="BS130" i="1" s="1"/>
  <c r="BR129" i="1"/>
  <c r="BS129" i="1" s="1"/>
  <c r="BR128" i="1"/>
  <c r="BS128" i="1" s="1"/>
  <c r="BR127" i="1"/>
  <c r="BS127" i="1" s="1"/>
  <c r="BR126" i="1"/>
  <c r="BS126" i="1" s="1"/>
  <c r="BR125" i="1"/>
  <c r="BS125" i="1" s="1"/>
  <c r="BR124" i="1"/>
  <c r="BS124" i="1" s="1"/>
  <c r="BR123" i="1"/>
  <c r="BS123" i="1" s="1"/>
  <c r="BR122" i="1"/>
  <c r="BS122" i="1" s="1"/>
  <c r="BR121" i="1"/>
  <c r="BS121" i="1" s="1"/>
  <c r="BR120" i="1"/>
  <c r="BS120" i="1" s="1"/>
  <c r="BR119" i="1"/>
  <c r="BS119" i="1" s="1"/>
  <c r="BR118" i="1"/>
  <c r="BS118" i="1" s="1"/>
  <c r="BR117" i="1"/>
  <c r="BS117" i="1" s="1"/>
  <c r="BR116" i="1"/>
  <c r="BS116" i="1" s="1"/>
  <c r="BR115" i="1"/>
  <c r="BS115" i="1" s="1"/>
  <c r="BR114" i="1"/>
  <c r="BS114" i="1" s="1"/>
  <c r="BR113" i="1"/>
  <c r="BS113" i="1" s="1"/>
  <c r="BR112" i="1"/>
  <c r="BS112" i="1" s="1"/>
  <c r="BR111" i="1"/>
  <c r="BS111" i="1" s="1"/>
  <c r="BR110" i="1"/>
  <c r="BS110" i="1" s="1"/>
  <c r="BR109" i="1"/>
  <c r="BS109" i="1" s="1"/>
  <c r="BR108" i="1"/>
  <c r="BS108" i="1" s="1"/>
  <c r="BR107" i="1"/>
  <c r="BS107" i="1" s="1"/>
  <c r="BR106" i="1"/>
  <c r="BS106" i="1" s="1"/>
  <c r="BR105" i="1"/>
  <c r="BS105" i="1" s="1"/>
  <c r="BR104" i="1"/>
  <c r="BS104" i="1" s="1"/>
  <c r="BR103" i="1"/>
  <c r="BS103" i="1" s="1"/>
  <c r="BR102" i="1"/>
  <c r="BS102" i="1" s="1"/>
  <c r="BR101" i="1"/>
  <c r="BS101" i="1" s="1"/>
  <c r="BR100" i="1"/>
  <c r="BS100" i="1" s="1"/>
  <c r="BR99" i="1"/>
  <c r="BS99" i="1" s="1"/>
  <c r="BR98" i="1"/>
  <c r="BS98" i="1" s="1"/>
  <c r="BR97" i="1"/>
  <c r="BS97" i="1" s="1"/>
  <c r="BR96" i="1"/>
  <c r="BS96" i="1" s="1"/>
  <c r="BR95" i="1"/>
  <c r="BS95" i="1" s="1"/>
  <c r="BR94" i="1"/>
  <c r="BS94" i="1" s="1"/>
  <c r="BR93" i="1"/>
  <c r="BS93" i="1" s="1"/>
  <c r="BR92" i="1"/>
  <c r="BS92" i="1" s="1"/>
  <c r="BR91" i="1"/>
  <c r="BS91" i="1" s="1"/>
  <c r="BR90" i="1"/>
  <c r="BS90" i="1" s="1"/>
  <c r="BR89" i="1"/>
  <c r="BS89" i="1" s="1"/>
  <c r="BR88" i="1"/>
  <c r="BS88" i="1" s="1"/>
  <c r="BR87" i="1"/>
  <c r="BS87" i="1" s="1"/>
  <c r="BR86" i="1"/>
  <c r="BS86" i="1" s="1"/>
  <c r="BR85" i="1"/>
  <c r="BS85" i="1" s="1"/>
  <c r="BR84" i="1"/>
  <c r="BS84" i="1" s="1"/>
  <c r="BR83" i="1"/>
  <c r="BS83" i="1" s="1"/>
  <c r="BR82" i="1"/>
  <c r="BS82" i="1" s="1"/>
  <c r="BR81" i="1"/>
  <c r="BS81" i="1" s="1"/>
  <c r="BR80" i="1"/>
  <c r="BS80" i="1" s="1"/>
  <c r="BR79" i="1"/>
  <c r="BS79" i="1" s="1"/>
  <c r="BR78" i="1"/>
  <c r="BS78" i="1" s="1"/>
  <c r="BR77" i="1"/>
  <c r="BS77" i="1" s="1"/>
  <c r="BR76" i="1"/>
  <c r="BS76" i="1" s="1"/>
  <c r="BR75" i="1"/>
  <c r="BS75" i="1" s="1"/>
  <c r="BR74" i="1"/>
  <c r="BS74" i="1" s="1"/>
  <c r="BR73" i="1"/>
  <c r="BS73" i="1" s="1"/>
  <c r="BR72" i="1"/>
  <c r="BS72" i="1" s="1"/>
  <c r="BR71" i="1"/>
  <c r="BS71" i="1" s="1"/>
  <c r="BR70" i="1"/>
  <c r="BS70" i="1" s="1"/>
  <c r="BR69" i="1"/>
  <c r="BS69" i="1" s="1"/>
  <c r="BR68" i="1"/>
  <c r="BS68" i="1" s="1"/>
  <c r="BR67" i="1"/>
  <c r="BS67" i="1" s="1"/>
  <c r="BR66" i="1"/>
  <c r="BS66" i="1" s="1"/>
  <c r="BR65" i="1"/>
  <c r="BS65" i="1" s="1"/>
  <c r="BR64" i="1"/>
  <c r="BS64" i="1" s="1"/>
  <c r="BR63" i="1"/>
  <c r="BS63" i="1" s="1"/>
  <c r="BR62" i="1"/>
  <c r="BS62" i="1" s="1"/>
  <c r="BR61" i="1"/>
  <c r="BS61" i="1" s="1"/>
  <c r="BR60" i="1"/>
  <c r="BS60" i="1" s="1"/>
  <c r="BR59" i="1"/>
  <c r="BS59" i="1" s="1"/>
  <c r="BR58" i="1"/>
  <c r="BS58" i="1" s="1"/>
  <c r="BR57" i="1"/>
  <c r="BS57" i="1" s="1"/>
  <c r="BR56" i="1"/>
  <c r="BS56" i="1" s="1"/>
  <c r="BR55" i="1"/>
  <c r="BS55" i="1" s="1"/>
  <c r="BR54" i="1"/>
  <c r="BS54" i="1" s="1"/>
  <c r="BR53" i="1"/>
  <c r="BS53" i="1" s="1"/>
  <c r="BR52" i="1"/>
  <c r="BS52" i="1" s="1"/>
  <c r="BR51" i="1"/>
  <c r="BS51" i="1" s="1"/>
  <c r="BR50" i="1"/>
  <c r="BS50" i="1" s="1"/>
  <c r="BR49" i="1"/>
  <c r="BS49" i="1" s="1"/>
  <c r="BR48" i="1"/>
  <c r="BS48" i="1" s="1"/>
  <c r="BR47" i="1"/>
  <c r="BS47" i="1" s="1"/>
  <c r="BR46" i="1"/>
  <c r="BS46" i="1" s="1"/>
  <c r="BR45" i="1"/>
  <c r="BS45" i="1" s="1"/>
  <c r="BR44" i="1"/>
  <c r="BS44" i="1" s="1"/>
  <c r="BQ1011" i="1"/>
  <c r="BQ1010" i="1"/>
  <c r="BQ1009" i="1"/>
  <c r="BQ1008" i="1"/>
  <c r="BQ1007" i="1"/>
  <c r="BQ1006" i="1"/>
  <c r="BQ1005" i="1"/>
  <c r="BQ1004" i="1"/>
  <c r="BQ1003" i="1"/>
  <c r="BQ1002" i="1"/>
  <c r="BQ1001" i="1"/>
  <c r="BQ1000" i="1"/>
  <c r="BQ999" i="1"/>
  <c r="BQ998" i="1"/>
  <c r="BQ997" i="1"/>
  <c r="BQ996" i="1"/>
  <c r="BQ995" i="1"/>
  <c r="BQ994" i="1"/>
  <c r="BQ993" i="1"/>
  <c r="BQ992" i="1"/>
  <c r="BQ991" i="1"/>
  <c r="BQ990" i="1"/>
  <c r="BQ989" i="1"/>
  <c r="BQ988" i="1"/>
  <c r="BQ987" i="1"/>
  <c r="BQ986" i="1"/>
  <c r="BQ985" i="1"/>
  <c r="BQ984" i="1"/>
  <c r="BQ983" i="1"/>
  <c r="BQ982" i="1"/>
  <c r="BQ981" i="1"/>
  <c r="BQ980" i="1"/>
  <c r="BQ979" i="1"/>
  <c r="BQ978" i="1"/>
  <c r="BQ977" i="1"/>
  <c r="BQ976" i="1"/>
  <c r="BQ975" i="1"/>
  <c r="BQ974" i="1"/>
  <c r="BQ973" i="1"/>
  <c r="BQ972" i="1"/>
  <c r="BQ971" i="1"/>
  <c r="BQ970" i="1"/>
  <c r="BQ969" i="1"/>
  <c r="BQ968" i="1"/>
  <c r="BQ967" i="1"/>
  <c r="BQ966" i="1"/>
  <c r="BQ965" i="1"/>
  <c r="BQ964" i="1"/>
  <c r="BQ963" i="1"/>
  <c r="BQ962" i="1"/>
  <c r="BQ961" i="1"/>
  <c r="BQ960" i="1"/>
  <c r="BQ959" i="1"/>
  <c r="BQ958" i="1"/>
  <c r="BQ957" i="1"/>
  <c r="BQ956" i="1"/>
  <c r="BQ955" i="1"/>
  <c r="BQ954" i="1"/>
  <c r="BQ953" i="1"/>
  <c r="BQ952" i="1"/>
  <c r="BQ951" i="1"/>
  <c r="BQ950" i="1"/>
  <c r="BQ949" i="1"/>
  <c r="BQ948" i="1"/>
  <c r="BQ947" i="1"/>
  <c r="BQ946" i="1"/>
  <c r="BQ945" i="1"/>
  <c r="BQ944" i="1"/>
  <c r="BQ943" i="1"/>
  <c r="BQ942" i="1"/>
  <c r="BQ941" i="1"/>
  <c r="BQ940" i="1"/>
  <c r="BQ939" i="1"/>
  <c r="BQ938" i="1"/>
  <c r="BQ937" i="1"/>
  <c r="BQ936" i="1"/>
  <c r="BQ935" i="1"/>
  <c r="BQ934" i="1"/>
  <c r="BQ933" i="1"/>
  <c r="BQ932" i="1"/>
  <c r="BQ931" i="1"/>
  <c r="BQ930" i="1"/>
  <c r="BQ929" i="1"/>
  <c r="BQ928" i="1"/>
  <c r="BQ927" i="1"/>
  <c r="BQ926" i="1"/>
  <c r="BQ925" i="1"/>
  <c r="BQ924" i="1"/>
  <c r="BQ923" i="1"/>
  <c r="BQ922" i="1"/>
  <c r="BQ921" i="1"/>
  <c r="BQ920" i="1"/>
  <c r="BQ919" i="1"/>
  <c r="BQ918" i="1"/>
  <c r="BQ917" i="1"/>
  <c r="BQ916" i="1"/>
  <c r="BQ915" i="1"/>
  <c r="BQ914" i="1"/>
  <c r="BQ913" i="1"/>
  <c r="BQ912" i="1"/>
  <c r="BQ911" i="1"/>
  <c r="BQ910" i="1"/>
  <c r="BQ909" i="1"/>
  <c r="BQ908" i="1"/>
  <c r="BQ907" i="1"/>
  <c r="BQ906" i="1"/>
  <c r="BQ905" i="1"/>
  <c r="BQ904" i="1"/>
  <c r="BQ903" i="1"/>
  <c r="BQ902" i="1"/>
  <c r="BQ901" i="1"/>
  <c r="BQ900" i="1"/>
  <c r="BQ899" i="1"/>
  <c r="BQ898" i="1"/>
  <c r="BQ897" i="1"/>
  <c r="BQ896" i="1"/>
  <c r="BQ895" i="1"/>
  <c r="BQ894" i="1"/>
  <c r="BQ893" i="1"/>
  <c r="BQ892" i="1"/>
  <c r="BQ891" i="1"/>
  <c r="BQ890" i="1"/>
  <c r="BQ889" i="1"/>
  <c r="BQ888" i="1"/>
  <c r="BQ887" i="1"/>
  <c r="BQ886" i="1"/>
  <c r="BQ885" i="1"/>
  <c r="BQ884" i="1"/>
  <c r="BQ883" i="1"/>
  <c r="BQ882" i="1"/>
  <c r="BQ881" i="1"/>
  <c r="BQ880" i="1"/>
  <c r="BQ879" i="1"/>
  <c r="BQ878" i="1"/>
  <c r="BQ877" i="1"/>
  <c r="BQ876" i="1"/>
  <c r="BQ875" i="1"/>
  <c r="BQ874" i="1"/>
  <c r="BQ873" i="1"/>
  <c r="BQ872" i="1"/>
  <c r="BQ871" i="1"/>
  <c r="BQ870" i="1"/>
  <c r="BQ869" i="1"/>
  <c r="BQ868" i="1"/>
  <c r="BQ867" i="1"/>
  <c r="BQ866" i="1"/>
  <c r="BQ865" i="1"/>
  <c r="BQ864" i="1"/>
  <c r="BQ863" i="1"/>
  <c r="BQ862" i="1"/>
  <c r="BQ861" i="1"/>
  <c r="BQ860" i="1"/>
  <c r="BQ859" i="1"/>
  <c r="BQ858" i="1"/>
  <c r="BQ857" i="1"/>
  <c r="BQ856" i="1"/>
  <c r="BQ855" i="1"/>
  <c r="BQ854" i="1"/>
  <c r="BQ853" i="1"/>
  <c r="BQ852" i="1"/>
  <c r="BQ851" i="1"/>
  <c r="BQ850" i="1"/>
  <c r="BQ849" i="1"/>
  <c r="BQ848" i="1"/>
  <c r="BQ847" i="1"/>
  <c r="BQ846" i="1"/>
  <c r="BQ845" i="1"/>
  <c r="BQ844" i="1"/>
  <c r="BQ843" i="1"/>
  <c r="BQ842" i="1"/>
  <c r="BQ841" i="1"/>
  <c r="BQ840" i="1"/>
  <c r="BQ839" i="1"/>
  <c r="BQ838" i="1"/>
  <c r="BQ837" i="1"/>
  <c r="BQ836" i="1"/>
  <c r="BQ835" i="1"/>
  <c r="BQ834" i="1"/>
  <c r="BQ833" i="1"/>
  <c r="BQ832" i="1"/>
  <c r="BQ831" i="1"/>
  <c r="BQ830" i="1"/>
  <c r="BQ829" i="1"/>
  <c r="BQ828" i="1"/>
  <c r="BQ827" i="1"/>
  <c r="BQ826" i="1"/>
  <c r="BQ825" i="1"/>
  <c r="BQ824" i="1"/>
  <c r="BQ823" i="1"/>
  <c r="BQ822" i="1"/>
  <c r="BQ821" i="1"/>
  <c r="BQ820" i="1"/>
  <c r="BQ819" i="1"/>
  <c r="BQ818" i="1"/>
  <c r="BQ817" i="1"/>
  <c r="BQ816" i="1"/>
  <c r="BQ815" i="1"/>
  <c r="BQ814" i="1"/>
  <c r="BQ813" i="1"/>
  <c r="BQ812" i="1"/>
  <c r="BQ811" i="1"/>
  <c r="BQ810" i="1"/>
  <c r="BQ809" i="1"/>
  <c r="BQ808" i="1"/>
  <c r="BQ807" i="1"/>
  <c r="BQ806" i="1"/>
  <c r="BQ805" i="1"/>
  <c r="BQ804" i="1"/>
  <c r="BQ803" i="1"/>
  <c r="BQ802" i="1"/>
  <c r="BQ801" i="1"/>
  <c r="BQ800" i="1"/>
  <c r="BQ799" i="1"/>
  <c r="BQ798" i="1"/>
  <c r="BQ797" i="1"/>
  <c r="BQ796" i="1"/>
  <c r="BQ795" i="1"/>
  <c r="BQ794" i="1"/>
  <c r="BQ793" i="1"/>
  <c r="BQ792" i="1"/>
  <c r="BQ791" i="1"/>
  <c r="BQ790" i="1"/>
  <c r="BQ789" i="1"/>
  <c r="BQ788" i="1"/>
  <c r="BQ787" i="1"/>
  <c r="BQ786" i="1"/>
  <c r="BQ785" i="1"/>
  <c r="BQ784" i="1"/>
  <c r="BQ783" i="1"/>
  <c r="BQ782" i="1"/>
  <c r="BQ781" i="1"/>
  <c r="BQ780" i="1"/>
  <c r="BQ779" i="1"/>
  <c r="BQ778" i="1"/>
  <c r="BQ777" i="1"/>
  <c r="BQ776" i="1"/>
  <c r="BQ775" i="1"/>
  <c r="BQ774" i="1"/>
  <c r="BQ773" i="1"/>
  <c r="BQ772" i="1"/>
  <c r="BQ771" i="1"/>
  <c r="BQ770" i="1"/>
  <c r="BQ769" i="1"/>
  <c r="BQ768" i="1"/>
  <c r="BQ767" i="1"/>
  <c r="BQ766" i="1"/>
  <c r="BQ765" i="1"/>
  <c r="BQ764" i="1"/>
  <c r="BQ763" i="1"/>
  <c r="BQ762" i="1"/>
  <c r="BQ761" i="1"/>
  <c r="BQ760" i="1"/>
  <c r="BQ759" i="1"/>
  <c r="BQ758" i="1"/>
  <c r="BQ757" i="1"/>
  <c r="BQ756" i="1"/>
  <c r="BQ755" i="1"/>
  <c r="BQ754" i="1"/>
  <c r="BQ753" i="1"/>
  <c r="BQ752" i="1"/>
  <c r="BQ751" i="1"/>
  <c r="BQ750" i="1"/>
  <c r="BQ749" i="1"/>
  <c r="BQ748" i="1"/>
  <c r="BQ747" i="1"/>
  <c r="BQ746" i="1"/>
  <c r="BQ745" i="1"/>
  <c r="BQ744" i="1"/>
  <c r="BQ743" i="1"/>
  <c r="BQ742" i="1"/>
  <c r="BQ741" i="1"/>
  <c r="BQ740" i="1"/>
  <c r="BQ739" i="1"/>
  <c r="BQ738" i="1"/>
  <c r="BQ737" i="1"/>
  <c r="BQ736" i="1"/>
  <c r="BQ735" i="1"/>
  <c r="BQ734" i="1"/>
  <c r="BQ733" i="1"/>
  <c r="BQ732" i="1"/>
  <c r="BQ731" i="1"/>
  <c r="BQ730" i="1"/>
  <c r="BQ729" i="1"/>
  <c r="BQ728" i="1"/>
  <c r="BQ727" i="1"/>
  <c r="BQ726" i="1"/>
  <c r="BQ725" i="1"/>
  <c r="BQ724" i="1"/>
  <c r="BQ723" i="1"/>
  <c r="BQ722" i="1"/>
  <c r="BQ721" i="1"/>
  <c r="BQ720" i="1"/>
  <c r="BQ719" i="1"/>
  <c r="BQ718" i="1"/>
  <c r="BQ717" i="1"/>
  <c r="BQ716" i="1"/>
  <c r="BQ715" i="1"/>
  <c r="BQ714" i="1"/>
  <c r="BQ713" i="1"/>
  <c r="BQ712" i="1"/>
  <c r="BQ711" i="1"/>
  <c r="BQ710" i="1"/>
  <c r="BQ709" i="1"/>
  <c r="BQ708" i="1"/>
  <c r="BQ707" i="1"/>
  <c r="BQ706" i="1"/>
  <c r="BQ705" i="1"/>
  <c r="BQ704" i="1"/>
  <c r="BQ703" i="1"/>
  <c r="BQ702" i="1"/>
  <c r="BQ701" i="1"/>
  <c r="BQ700" i="1"/>
  <c r="BQ699" i="1"/>
  <c r="BQ698" i="1"/>
  <c r="BQ697" i="1"/>
  <c r="BQ696" i="1"/>
  <c r="BQ695" i="1"/>
  <c r="BQ694" i="1"/>
  <c r="BQ693" i="1"/>
  <c r="BQ692" i="1"/>
  <c r="BQ691" i="1"/>
  <c r="BQ690" i="1"/>
  <c r="BQ689" i="1"/>
  <c r="BQ688" i="1"/>
  <c r="BQ687" i="1"/>
  <c r="BQ686" i="1"/>
  <c r="BQ685" i="1"/>
  <c r="BQ684" i="1"/>
  <c r="BQ683" i="1"/>
  <c r="BQ682" i="1"/>
  <c r="BQ681" i="1"/>
  <c r="BQ680" i="1"/>
  <c r="BQ679" i="1"/>
  <c r="BQ678" i="1"/>
  <c r="BQ677" i="1"/>
  <c r="BQ676" i="1"/>
  <c r="BQ675" i="1"/>
  <c r="BQ674" i="1"/>
  <c r="BQ673" i="1"/>
  <c r="BQ672" i="1"/>
  <c r="BQ671" i="1"/>
  <c r="BQ670" i="1"/>
  <c r="BQ669" i="1"/>
  <c r="BQ668" i="1"/>
  <c r="BQ667" i="1"/>
  <c r="BQ666" i="1"/>
  <c r="BQ665" i="1"/>
  <c r="BQ664" i="1"/>
  <c r="BQ663" i="1"/>
  <c r="BQ662" i="1"/>
  <c r="BQ661" i="1"/>
  <c r="BQ660" i="1"/>
  <c r="BQ659" i="1"/>
  <c r="BQ658" i="1"/>
  <c r="BQ657" i="1"/>
  <c r="BQ656" i="1"/>
  <c r="BQ655" i="1"/>
  <c r="BQ654" i="1"/>
  <c r="BQ653" i="1"/>
  <c r="BQ652" i="1"/>
  <c r="BQ651" i="1"/>
  <c r="BQ650" i="1"/>
  <c r="BQ649" i="1"/>
  <c r="BQ648" i="1"/>
  <c r="BQ647" i="1"/>
  <c r="BQ646" i="1"/>
  <c r="BQ645" i="1"/>
  <c r="BQ644" i="1"/>
  <c r="BQ643" i="1"/>
  <c r="BQ642" i="1"/>
  <c r="BQ641" i="1"/>
  <c r="BQ640" i="1"/>
  <c r="BQ639" i="1"/>
  <c r="BQ638" i="1"/>
  <c r="BQ637" i="1"/>
  <c r="BQ636" i="1"/>
  <c r="BQ635" i="1"/>
  <c r="BQ634" i="1"/>
  <c r="BQ633" i="1"/>
  <c r="BQ632" i="1"/>
  <c r="BQ631" i="1"/>
  <c r="BQ630" i="1"/>
  <c r="BQ629" i="1"/>
  <c r="BQ628" i="1"/>
  <c r="BQ627" i="1"/>
  <c r="BQ626" i="1"/>
  <c r="BQ625" i="1"/>
  <c r="BQ624" i="1"/>
  <c r="BQ623" i="1"/>
  <c r="BQ622" i="1"/>
  <c r="BQ621" i="1"/>
  <c r="BQ620" i="1"/>
  <c r="BQ619" i="1"/>
  <c r="BQ618" i="1"/>
  <c r="BQ617" i="1"/>
  <c r="BQ616" i="1"/>
  <c r="BQ615" i="1"/>
  <c r="BQ614" i="1"/>
  <c r="BQ613" i="1"/>
  <c r="BQ612" i="1"/>
  <c r="BQ611" i="1"/>
  <c r="BQ610" i="1"/>
  <c r="BQ609" i="1"/>
  <c r="BQ608" i="1"/>
  <c r="BQ607" i="1"/>
  <c r="BQ606" i="1"/>
  <c r="BQ605" i="1"/>
  <c r="BQ604" i="1"/>
  <c r="BQ603" i="1"/>
  <c r="BQ602" i="1"/>
  <c r="BQ601" i="1"/>
  <c r="BQ600" i="1"/>
  <c r="BQ599" i="1"/>
  <c r="BQ598" i="1"/>
  <c r="BQ597" i="1"/>
  <c r="BQ596" i="1"/>
  <c r="BQ595" i="1"/>
  <c r="BQ594" i="1"/>
  <c r="BQ593" i="1"/>
  <c r="BQ592" i="1"/>
  <c r="BQ591" i="1"/>
  <c r="BQ590" i="1"/>
  <c r="BQ589" i="1"/>
  <c r="BQ588" i="1"/>
  <c r="BQ587" i="1"/>
  <c r="BQ586" i="1"/>
  <c r="BQ585" i="1"/>
  <c r="BQ584" i="1"/>
  <c r="BQ583" i="1"/>
  <c r="BQ582" i="1"/>
  <c r="BQ581" i="1"/>
  <c r="BQ580" i="1"/>
  <c r="BQ579" i="1"/>
  <c r="BQ578" i="1"/>
  <c r="BQ577" i="1"/>
  <c r="BQ576" i="1"/>
  <c r="BQ575" i="1"/>
  <c r="BQ574" i="1"/>
  <c r="BQ573" i="1"/>
  <c r="BQ572" i="1"/>
  <c r="BQ571" i="1"/>
  <c r="BQ570" i="1"/>
  <c r="BQ569" i="1"/>
  <c r="BQ568" i="1"/>
  <c r="BQ567" i="1"/>
  <c r="BQ566" i="1"/>
  <c r="BQ565" i="1"/>
  <c r="BQ564" i="1"/>
  <c r="BQ563" i="1"/>
  <c r="BQ562" i="1"/>
  <c r="BQ561" i="1"/>
  <c r="BQ560" i="1"/>
  <c r="BQ559" i="1"/>
  <c r="BQ558" i="1"/>
  <c r="BQ557" i="1"/>
  <c r="BQ556" i="1"/>
  <c r="BQ555" i="1"/>
  <c r="BQ554" i="1"/>
  <c r="BQ553" i="1"/>
  <c r="BQ552" i="1"/>
  <c r="BQ551" i="1"/>
  <c r="BQ550" i="1"/>
  <c r="BQ549" i="1"/>
  <c r="BQ548" i="1"/>
  <c r="BQ547" i="1"/>
  <c r="BQ546" i="1"/>
  <c r="BQ545" i="1"/>
  <c r="BQ544" i="1"/>
  <c r="BQ543" i="1"/>
  <c r="BQ542" i="1"/>
  <c r="BQ541" i="1"/>
  <c r="BQ540" i="1"/>
  <c r="BQ539" i="1"/>
  <c r="BQ538" i="1"/>
  <c r="BQ537" i="1"/>
  <c r="BQ536" i="1"/>
  <c r="BQ535" i="1"/>
  <c r="BQ534" i="1"/>
  <c r="BQ533" i="1"/>
  <c r="BQ532" i="1"/>
  <c r="BQ531" i="1"/>
  <c r="BQ530" i="1"/>
  <c r="BQ529" i="1"/>
  <c r="BQ528" i="1"/>
  <c r="BQ527" i="1"/>
  <c r="BQ526" i="1"/>
  <c r="BQ525" i="1"/>
  <c r="BQ524" i="1"/>
  <c r="BQ523" i="1"/>
  <c r="BQ522" i="1"/>
  <c r="BQ521" i="1"/>
  <c r="BQ520" i="1"/>
  <c r="BQ519" i="1"/>
  <c r="BQ518" i="1"/>
  <c r="BQ517" i="1"/>
  <c r="BQ516" i="1"/>
  <c r="BQ515" i="1"/>
  <c r="BQ514" i="1"/>
  <c r="BQ513" i="1"/>
  <c r="BQ512" i="1"/>
  <c r="BQ511" i="1"/>
  <c r="BQ510" i="1"/>
  <c r="BQ509" i="1"/>
  <c r="BQ508" i="1"/>
  <c r="BQ507" i="1"/>
  <c r="BQ506" i="1"/>
  <c r="BQ505" i="1"/>
  <c r="BQ504" i="1"/>
  <c r="BQ503" i="1"/>
  <c r="BQ502" i="1"/>
  <c r="BQ501" i="1"/>
  <c r="BQ500" i="1"/>
  <c r="BQ499" i="1"/>
  <c r="BQ498" i="1"/>
  <c r="BQ497" i="1"/>
  <c r="BQ496" i="1"/>
  <c r="BQ495" i="1"/>
  <c r="BQ494" i="1"/>
  <c r="BQ493" i="1"/>
  <c r="BQ492" i="1"/>
  <c r="BQ491" i="1"/>
  <c r="BQ490" i="1"/>
  <c r="BQ489" i="1"/>
  <c r="BQ488" i="1"/>
  <c r="BQ487" i="1"/>
  <c r="BQ486" i="1"/>
  <c r="BQ485" i="1"/>
  <c r="BQ484" i="1"/>
  <c r="BQ483" i="1"/>
  <c r="BQ482" i="1"/>
  <c r="BQ481" i="1"/>
  <c r="BQ480" i="1"/>
  <c r="BQ479" i="1"/>
  <c r="BQ478" i="1"/>
  <c r="BQ477" i="1"/>
  <c r="BQ476" i="1"/>
  <c r="BQ475" i="1"/>
  <c r="BQ474" i="1"/>
  <c r="BQ473" i="1"/>
  <c r="BQ472" i="1"/>
  <c r="BQ471" i="1"/>
  <c r="BQ470" i="1"/>
  <c r="BQ469" i="1"/>
  <c r="BQ468" i="1"/>
  <c r="BQ467" i="1"/>
  <c r="BQ466" i="1"/>
  <c r="BQ465" i="1"/>
  <c r="BQ464" i="1"/>
  <c r="BQ463" i="1"/>
  <c r="BQ462" i="1"/>
  <c r="BQ461" i="1"/>
  <c r="BQ460" i="1"/>
  <c r="BQ459" i="1"/>
  <c r="BQ458" i="1"/>
  <c r="BQ457" i="1"/>
  <c r="BQ456" i="1"/>
  <c r="BQ455" i="1"/>
  <c r="BQ454" i="1"/>
  <c r="BQ453" i="1"/>
  <c r="BQ452" i="1"/>
  <c r="BQ451" i="1"/>
  <c r="BQ450" i="1"/>
  <c r="BQ449" i="1"/>
  <c r="BQ448" i="1"/>
  <c r="BQ447" i="1"/>
  <c r="BQ446" i="1"/>
  <c r="BQ445" i="1"/>
  <c r="BQ444" i="1"/>
  <c r="BQ443" i="1"/>
  <c r="BQ442" i="1"/>
  <c r="BQ441" i="1"/>
  <c r="BQ440" i="1"/>
  <c r="BQ439" i="1"/>
  <c r="BQ438" i="1"/>
  <c r="BQ437" i="1"/>
  <c r="BQ436" i="1"/>
  <c r="BQ435" i="1"/>
  <c r="BQ434" i="1"/>
  <c r="BQ433" i="1"/>
  <c r="BQ432" i="1"/>
  <c r="BQ431" i="1"/>
  <c r="BQ430" i="1"/>
  <c r="BQ429" i="1"/>
  <c r="BQ428" i="1"/>
  <c r="BQ427" i="1"/>
  <c r="BQ426" i="1"/>
  <c r="BQ425" i="1"/>
  <c r="BQ424" i="1"/>
  <c r="BQ423" i="1"/>
  <c r="BQ422" i="1"/>
  <c r="BQ421" i="1"/>
  <c r="BQ420" i="1"/>
  <c r="BQ419" i="1"/>
  <c r="BQ418" i="1"/>
  <c r="BQ417" i="1"/>
  <c r="BQ416" i="1"/>
  <c r="BQ415" i="1"/>
  <c r="BQ414" i="1"/>
  <c r="BQ413" i="1"/>
  <c r="BQ412" i="1"/>
  <c r="BQ411" i="1"/>
  <c r="BQ410" i="1"/>
  <c r="BQ409" i="1"/>
  <c r="BQ408" i="1"/>
  <c r="BQ407" i="1"/>
  <c r="BQ406" i="1"/>
  <c r="BQ405" i="1"/>
  <c r="BQ404" i="1"/>
  <c r="BQ403" i="1"/>
  <c r="BQ402" i="1"/>
  <c r="BQ401" i="1"/>
  <c r="BQ400" i="1"/>
  <c r="BQ399" i="1"/>
  <c r="BQ398" i="1"/>
  <c r="BQ397" i="1"/>
  <c r="BQ396" i="1"/>
  <c r="BQ395" i="1"/>
  <c r="BQ394" i="1"/>
  <c r="BQ393" i="1"/>
  <c r="BQ392" i="1"/>
  <c r="BQ391" i="1"/>
  <c r="BQ390" i="1"/>
  <c r="BQ389" i="1"/>
  <c r="BQ388" i="1"/>
  <c r="BQ387" i="1"/>
  <c r="BQ386" i="1"/>
  <c r="BQ385" i="1"/>
  <c r="BQ384" i="1"/>
  <c r="BQ383" i="1"/>
  <c r="BQ382" i="1"/>
  <c r="BQ381" i="1"/>
  <c r="BQ380" i="1"/>
  <c r="BQ379" i="1"/>
  <c r="BQ378" i="1"/>
  <c r="BQ377" i="1"/>
  <c r="BQ376" i="1"/>
  <c r="BQ375" i="1"/>
  <c r="BQ374" i="1"/>
  <c r="BQ373" i="1"/>
  <c r="BQ372" i="1"/>
  <c r="BQ371" i="1"/>
  <c r="BQ370" i="1"/>
  <c r="BQ369" i="1"/>
  <c r="BQ368" i="1"/>
  <c r="BQ367" i="1"/>
  <c r="BQ366" i="1"/>
  <c r="BQ365" i="1"/>
  <c r="BQ364" i="1"/>
  <c r="BQ363" i="1"/>
  <c r="BQ362" i="1"/>
  <c r="BQ361" i="1"/>
  <c r="BQ360" i="1"/>
  <c r="BQ359" i="1"/>
  <c r="BQ358" i="1"/>
  <c r="BQ357" i="1"/>
  <c r="BQ356" i="1"/>
  <c r="BQ355" i="1"/>
  <c r="BQ354" i="1"/>
  <c r="BQ353" i="1"/>
  <c r="BQ352" i="1"/>
  <c r="BQ351" i="1"/>
  <c r="BQ350" i="1"/>
  <c r="BQ349" i="1"/>
  <c r="BQ348" i="1"/>
  <c r="BQ347" i="1"/>
  <c r="BQ346" i="1"/>
  <c r="BQ345" i="1"/>
  <c r="BQ344" i="1"/>
  <c r="BQ343" i="1"/>
  <c r="BQ342" i="1"/>
  <c r="BQ341" i="1"/>
  <c r="BQ340" i="1"/>
  <c r="BQ339" i="1"/>
  <c r="BQ338" i="1"/>
  <c r="BQ337" i="1"/>
  <c r="BQ336" i="1"/>
  <c r="BQ335" i="1"/>
  <c r="BQ334" i="1"/>
  <c r="BQ333" i="1"/>
  <c r="BQ332" i="1"/>
  <c r="BQ331" i="1"/>
  <c r="BQ330" i="1"/>
  <c r="BQ329" i="1"/>
  <c r="BQ328" i="1"/>
  <c r="BQ327" i="1"/>
  <c r="BQ326" i="1"/>
  <c r="BQ325" i="1"/>
  <c r="BQ324" i="1"/>
  <c r="BQ323" i="1"/>
  <c r="BQ322" i="1"/>
  <c r="BQ321" i="1"/>
  <c r="BQ320" i="1"/>
  <c r="BQ319" i="1"/>
  <c r="BQ318" i="1"/>
  <c r="BQ317" i="1"/>
  <c r="BQ316" i="1"/>
  <c r="BQ315" i="1"/>
  <c r="BQ314" i="1"/>
  <c r="BQ313" i="1"/>
  <c r="BQ312" i="1"/>
  <c r="BQ311" i="1"/>
  <c r="BQ310" i="1"/>
  <c r="BQ309" i="1"/>
  <c r="BQ308" i="1"/>
  <c r="BQ307" i="1"/>
  <c r="BQ306" i="1"/>
  <c r="BQ305" i="1"/>
  <c r="BQ304" i="1"/>
  <c r="BQ303" i="1"/>
  <c r="BQ302" i="1"/>
  <c r="BQ301" i="1"/>
  <c r="BQ300" i="1"/>
  <c r="BQ299" i="1"/>
  <c r="BQ298" i="1"/>
  <c r="BQ297" i="1"/>
  <c r="BQ296" i="1"/>
  <c r="BQ295" i="1"/>
  <c r="BQ294" i="1"/>
  <c r="BQ293" i="1"/>
  <c r="BQ292" i="1"/>
  <c r="BQ291" i="1"/>
  <c r="BQ290" i="1"/>
  <c r="BQ289" i="1"/>
  <c r="BQ288" i="1"/>
  <c r="BQ287" i="1"/>
  <c r="BQ286" i="1"/>
  <c r="BQ285" i="1"/>
  <c r="BQ284" i="1"/>
  <c r="BQ283" i="1"/>
  <c r="BQ282" i="1"/>
  <c r="BQ281" i="1"/>
  <c r="BQ280" i="1"/>
  <c r="BQ279" i="1"/>
  <c r="BQ278" i="1"/>
  <c r="BQ277" i="1"/>
  <c r="BQ276" i="1"/>
  <c r="BQ275" i="1"/>
  <c r="BQ274" i="1"/>
  <c r="BQ273" i="1"/>
  <c r="BQ272" i="1"/>
  <c r="BQ271" i="1"/>
  <c r="BQ270" i="1"/>
  <c r="BQ269" i="1"/>
  <c r="BQ268" i="1"/>
  <c r="BQ267" i="1"/>
  <c r="BQ266" i="1"/>
  <c r="BQ265" i="1"/>
  <c r="BQ264" i="1"/>
  <c r="BQ263" i="1"/>
  <c r="BQ262" i="1"/>
  <c r="BQ261" i="1"/>
  <c r="BQ260" i="1"/>
  <c r="BQ259" i="1"/>
  <c r="BQ258" i="1"/>
  <c r="BQ257" i="1"/>
  <c r="BQ256" i="1"/>
  <c r="BQ255" i="1"/>
  <c r="BQ254" i="1"/>
  <c r="BQ253" i="1"/>
  <c r="BQ252" i="1"/>
  <c r="BQ251" i="1"/>
  <c r="BQ250" i="1"/>
  <c r="BQ249" i="1"/>
  <c r="BQ248" i="1"/>
  <c r="BQ247" i="1"/>
  <c r="BQ246" i="1"/>
  <c r="BQ245" i="1"/>
  <c r="BQ244" i="1"/>
  <c r="BQ243" i="1"/>
  <c r="BQ242" i="1"/>
  <c r="BQ241" i="1"/>
  <c r="BQ240" i="1"/>
  <c r="BQ239" i="1"/>
  <c r="BQ238" i="1"/>
  <c r="BQ237" i="1"/>
  <c r="BQ236" i="1"/>
  <c r="BQ235" i="1"/>
  <c r="BQ234" i="1"/>
  <c r="BQ233" i="1"/>
  <c r="BQ232" i="1"/>
  <c r="BQ231" i="1"/>
  <c r="BQ230" i="1"/>
  <c r="BQ229" i="1"/>
  <c r="BQ228" i="1"/>
  <c r="BQ227" i="1"/>
  <c r="BQ226" i="1"/>
  <c r="BQ225" i="1"/>
  <c r="BQ224" i="1"/>
  <c r="BQ223" i="1"/>
  <c r="BQ222" i="1"/>
  <c r="BQ221" i="1"/>
  <c r="BQ220" i="1"/>
  <c r="BQ219" i="1"/>
  <c r="BQ218" i="1"/>
  <c r="BQ217" i="1"/>
  <c r="BQ216" i="1"/>
  <c r="BQ215" i="1"/>
  <c r="BQ214" i="1"/>
  <c r="BQ213" i="1"/>
  <c r="BQ212" i="1"/>
  <c r="BQ211" i="1"/>
  <c r="BQ210" i="1"/>
  <c r="BQ209" i="1"/>
  <c r="BQ208" i="1"/>
  <c r="BQ207" i="1"/>
  <c r="BQ206" i="1"/>
  <c r="BQ205" i="1"/>
  <c r="BQ204" i="1"/>
  <c r="BQ203" i="1"/>
  <c r="BQ202" i="1"/>
  <c r="BQ201" i="1"/>
  <c r="BQ200" i="1"/>
  <c r="BQ199" i="1"/>
  <c r="BQ198" i="1"/>
  <c r="BQ197" i="1"/>
  <c r="BQ196" i="1"/>
  <c r="BQ195" i="1"/>
  <c r="BQ194" i="1"/>
  <c r="BQ193" i="1"/>
  <c r="BQ192" i="1"/>
  <c r="BQ191" i="1"/>
  <c r="BQ190" i="1"/>
  <c r="BQ189" i="1"/>
  <c r="BQ188" i="1"/>
  <c r="BQ187" i="1"/>
  <c r="BQ186" i="1"/>
  <c r="BQ185" i="1"/>
  <c r="BQ184" i="1"/>
  <c r="BQ183" i="1"/>
  <c r="BQ182" i="1"/>
  <c r="BQ181" i="1"/>
  <c r="BQ180" i="1"/>
  <c r="BQ179" i="1"/>
  <c r="BQ178" i="1"/>
  <c r="BQ177" i="1"/>
  <c r="BQ176" i="1"/>
  <c r="BQ175" i="1"/>
  <c r="BQ174" i="1"/>
  <c r="BQ173" i="1"/>
  <c r="BQ172" i="1"/>
  <c r="BQ171" i="1"/>
  <c r="BQ170" i="1"/>
  <c r="BQ169" i="1"/>
  <c r="BQ168" i="1"/>
  <c r="BQ167" i="1"/>
  <c r="BQ166" i="1"/>
  <c r="BQ165" i="1"/>
  <c r="BQ164" i="1"/>
  <c r="BQ163" i="1"/>
  <c r="BQ162" i="1"/>
  <c r="BQ161" i="1"/>
  <c r="BQ160" i="1"/>
  <c r="BQ159" i="1"/>
  <c r="BQ158" i="1"/>
  <c r="BQ157" i="1"/>
  <c r="BQ156" i="1"/>
  <c r="BQ155" i="1"/>
  <c r="BQ154" i="1"/>
  <c r="BQ153" i="1"/>
  <c r="BQ152" i="1"/>
  <c r="BQ151" i="1"/>
  <c r="BQ150" i="1"/>
  <c r="BQ149" i="1"/>
  <c r="BQ148" i="1"/>
  <c r="BQ147" i="1"/>
  <c r="BQ146" i="1"/>
  <c r="BQ145" i="1"/>
  <c r="BQ144" i="1"/>
  <c r="BQ143" i="1"/>
  <c r="BQ142" i="1"/>
  <c r="BQ141" i="1"/>
  <c r="BQ140" i="1"/>
  <c r="BQ139" i="1"/>
  <c r="BQ138" i="1"/>
  <c r="BQ137" i="1"/>
  <c r="BQ136" i="1"/>
  <c r="BQ135" i="1"/>
  <c r="BQ134" i="1"/>
  <c r="BQ133" i="1"/>
  <c r="BQ132" i="1"/>
  <c r="BQ131" i="1"/>
  <c r="BQ130" i="1"/>
  <c r="BQ129" i="1"/>
  <c r="BQ128" i="1"/>
  <c r="BQ127" i="1"/>
  <c r="BQ126" i="1"/>
  <c r="BQ125" i="1"/>
  <c r="BQ124" i="1"/>
  <c r="BQ123" i="1"/>
  <c r="BQ122" i="1"/>
  <c r="BQ121" i="1"/>
  <c r="BQ120" i="1"/>
  <c r="BQ119" i="1"/>
  <c r="BQ118" i="1"/>
  <c r="BQ117" i="1"/>
  <c r="BQ116" i="1"/>
  <c r="BQ115" i="1"/>
  <c r="BQ114" i="1"/>
  <c r="BQ113" i="1"/>
  <c r="BQ112" i="1"/>
  <c r="BQ111" i="1"/>
  <c r="BQ110" i="1"/>
  <c r="BQ109" i="1"/>
  <c r="BQ108" i="1"/>
  <c r="BQ107" i="1"/>
  <c r="BQ106" i="1"/>
  <c r="BQ105" i="1"/>
  <c r="BQ104" i="1"/>
  <c r="BQ103" i="1"/>
  <c r="BQ102" i="1"/>
  <c r="BQ101" i="1"/>
  <c r="BQ100" i="1"/>
  <c r="BQ99" i="1"/>
  <c r="BQ98" i="1"/>
  <c r="BQ97" i="1"/>
  <c r="BQ96" i="1"/>
  <c r="BQ95" i="1"/>
  <c r="BQ94" i="1"/>
  <c r="BQ93" i="1"/>
  <c r="BQ92" i="1"/>
  <c r="BQ91" i="1"/>
  <c r="BQ90" i="1"/>
  <c r="BQ89" i="1"/>
  <c r="BQ88" i="1"/>
  <c r="BQ87" i="1"/>
  <c r="BQ86" i="1"/>
  <c r="BQ85" i="1"/>
  <c r="BQ84" i="1"/>
  <c r="BQ83" i="1"/>
  <c r="BQ82" i="1"/>
  <c r="BQ81" i="1"/>
  <c r="BQ80" i="1"/>
  <c r="BQ79" i="1"/>
  <c r="BQ78" i="1"/>
  <c r="BQ77" i="1"/>
  <c r="BQ76" i="1"/>
  <c r="BQ75" i="1"/>
  <c r="BQ74" i="1"/>
  <c r="BQ73" i="1"/>
  <c r="BQ72" i="1"/>
  <c r="BQ71" i="1"/>
  <c r="BQ70" i="1"/>
  <c r="BQ69" i="1"/>
  <c r="BQ68" i="1"/>
  <c r="BQ67" i="1"/>
  <c r="BQ66" i="1"/>
  <c r="BQ65" i="1"/>
  <c r="BQ64" i="1"/>
  <c r="BQ63" i="1"/>
  <c r="BQ62" i="1"/>
  <c r="BQ61" i="1"/>
  <c r="BQ60" i="1"/>
  <c r="BQ59" i="1"/>
  <c r="BQ58" i="1"/>
  <c r="BQ57" i="1"/>
  <c r="BQ56" i="1"/>
  <c r="BQ55" i="1"/>
  <c r="BQ54" i="1"/>
  <c r="BQ53" i="1"/>
  <c r="BQ52" i="1"/>
  <c r="BQ51" i="1"/>
  <c r="BQ50" i="1"/>
  <c r="BQ49" i="1"/>
  <c r="BQ48" i="1"/>
  <c r="BQ47" i="1"/>
  <c r="BQ46" i="1"/>
  <c r="BQ45" i="1"/>
  <c r="BQ44" i="1"/>
  <c r="BL1011" i="1"/>
  <c r="BM1011" i="1" s="1"/>
  <c r="BL1010" i="1"/>
  <c r="BM1010" i="1" s="1"/>
  <c r="BL1009" i="1"/>
  <c r="BM1009" i="1" s="1"/>
  <c r="BL1008" i="1"/>
  <c r="BM1008" i="1" s="1"/>
  <c r="BL1007" i="1"/>
  <c r="BM1007" i="1" s="1"/>
  <c r="BL1006" i="1"/>
  <c r="BM1006" i="1" s="1"/>
  <c r="BL1005" i="1"/>
  <c r="BM1005" i="1" s="1"/>
  <c r="BL1004" i="1"/>
  <c r="BM1004" i="1" s="1"/>
  <c r="BL1003" i="1"/>
  <c r="BM1003" i="1" s="1"/>
  <c r="BL1002" i="1"/>
  <c r="BM1002" i="1" s="1"/>
  <c r="BL1001" i="1"/>
  <c r="BM1001" i="1" s="1"/>
  <c r="BL1000" i="1"/>
  <c r="BM1000" i="1" s="1"/>
  <c r="BL999" i="1"/>
  <c r="BM999" i="1" s="1"/>
  <c r="BL998" i="1"/>
  <c r="BM998" i="1" s="1"/>
  <c r="BL997" i="1"/>
  <c r="BM997" i="1" s="1"/>
  <c r="BL996" i="1"/>
  <c r="BM996" i="1" s="1"/>
  <c r="BL995" i="1"/>
  <c r="BM995" i="1" s="1"/>
  <c r="BL994" i="1"/>
  <c r="BM994" i="1" s="1"/>
  <c r="BL993" i="1"/>
  <c r="BM993" i="1" s="1"/>
  <c r="BL992" i="1"/>
  <c r="BM992" i="1" s="1"/>
  <c r="BL991" i="1"/>
  <c r="BM991" i="1" s="1"/>
  <c r="BL990" i="1"/>
  <c r="BM990" i="1" s="1"/>
  <c r="BL989" i="1"/>
  <c r="BM989" i="1" s="1"/>
  <c r="BL988" i="1"/>
  <c r="BM988" i="1" s="1"/>
  <c r="BL987" i="1"/>
  <c r="BM987" i="1" s="1"/>
  <c r="BL986" i="1"/>
  <c r="BM986" i="1" s="1"/>
  <c r="BL985" i="1"/>
  <c r="BM985" i="1" s="1"/>
  <c r="BL984" i="1"/>
  <c r="BM984" i="1" s="1"/>
  <c r="BL983" i="1"/>
  <c r="BM983" i="1" s="1"/>
  <c r="BL982" i="1"/>
  <c r="BM982" i="1" s="1"/>
  <c r="BL981" i="1"/>
  <c r="BM981" i="1" s="1"/>
  <c r="BL980" i="1"/>
  <c r="BM980" i="1" s="1"/>
  <c r="BL979" i="1"/>
  <c r="BM979" i="1" s="1"/>
  <c r="BL978" i="1"/>
  <c r="BM978" i="1" s="1"/>
  <c r="BL977" i="1"/>
  <c r="BM977" i="1" s="1"/>
  <c r="BL976" i="1"/>
  <c r="BM976" i="1" s="1"/>
  <c r="BL975" i="1"/>
  <c r="BM975" i="1" s="1"/>
  <c r="BL974" i="1"/>
  <c r="BM974" i="1" s="1"/>
  <c r="BL973" i="1"/>
  <c r="BM973" i="1" s="1"/>
  <c r="BL972" i="1"/>
  <c r="BM972" i="1" s="1"/>
  <c r="BL971" i="1"/>
  <c r="BM971" i="1" s="1"/>
  <c r="BL970" i="1"/>
  <c r="BM970" i="1" s="1"/>
  <c r="BL969" i="1"/>
  <c r="BM969" i="1" s="1"/>
  <c r="BL968" i="1"/>
  <c r="BM968" i="1" s="1"/>
  <c r="BL967" i="1"/>
  <c r="BM967" i="1" s="1"/>
  <c r="BL966" i="1"/>
  <c r="BM966" i="1" s="1"/>
  <c r="BL965" i="1"/>
  <c r="BM965" i="1" s="1"/>
  <c r="BL964" i="1"/>
  <c r="BM964" i="1" s="1"/>
  <c r="BL963" i="1"/>
  <c r="BM963" i="1" s="1"/>
  <c r="BL962" i="1"/>
  <c r="BM962" i="1" s="1"/>
  <c r="BL961" i="1"/>
  <c r="BM961" i="1" s="1"/>
  <c r="BL960" i="1"/>
  <c r="BM960" i="1" s="1"/>
  <c r="BL959" i="1"/>
  <c r="BM959" i="1" s="1"/>
  <c r="BL958" i="1"/>
  <c r="BM958" i="1" s="1"/>
  <c r="BL957" i="1"/>
  <c r="BM957" i="1" s="1"/>
  <c r="BL956" i="1"/>
  <c r="BM956" i="1" s="1"/>
  <c r="BL955" i="1"/>
  <c r="BM955" i="1" s="1"/>
  <c r="BL954" i="1"/>
  <c r="BM954" i="1" s="1"/>
  <c r="BL953" i="1"/>
  <c r="BM953" i="1" s="1"/>
  <c r="BL952" i="1"/>
  <c r="BM952" i="1" s="1"/>
  <c r="BL951" i="1"/>
  <c r="BM951" i="1" s="1"/>
  <c r="BL950" i="1"/>
  <c r="BM950" i="1" s="1"/>
  <c r="BL949" i="1"/>
  <c r="BM949" i="1" s="1"/>
  <c r="BL948" i="1"/>
  <c r="BM948" i="1" s="1"/>
  <c r="BL947" i="1"/>
  <c r="BM947" i="1" s="1"/>
  <c r="BL946" i="1"/>
  <c r="BM946" i="1" s="1"/>
  <c r="BL945" i="1"/>
  <c r="BM945" i="1" s="1"/>
  <c r="BL944" i="1"/>
  <c r="BM944" i="1" s="1"/>
  <c r="BL943" i="1"/>
  <c r="BM943" i="1" s="1"/>
  <c r="BL942" i="1"/>
  <c r="BM942" i="1" s="1"/>
  <c r="BL941" i="1"/>
  <c r="BM941" i="1" s="1"/>
  <c r="BL940" i="1"/>
  <c r="BM940" i="1" s="1"/>
  <c r="BL939" i="1"/>
  <c r="BM939" i="1" s="1"/>
  <c r="BL938" i="1"/>
  <c r="BM938" i="1" s="1"/>
  <c r="BL937" i="1"/>
  <c r="BM937" i="1" s="1"/>
  <c r="BL936" i="1"/>
  <c r="BM936" i="1" s="1"/>
  <c r="BL935" i="1"/>
  <c r="BM935" i="1" s="1"/>
  <c r="BL934" i="1"/>
  <c r="BM934" i="1" s="1"/>
  <c r="BL933" i="1"/>
  <c r="BM933" i="1" s="1"/>
  <c r="BL932" i="1"/>
  <c r="BM932" i="1" s="1"/>
  <c r="BL931" i="1"/>
  <c r="BM931" i="1" s="1"/>
  <c r="BL930" i="1"/>
  <c r="BM930" i="1" s="1"/>
  <c r="BL929" i="1"/>
  <c r="BM929" i="1" s="1"/>
  <c r="BL928" i="1"/>
  <c r="BM928" i="1" s="1"/>
  <c r="BL927" i="1"/>
  <c r="BM927" i="1" s="1"/>
  <c r="BL926" i="1"/>
  <c r="BM926" i="1" s="1"/>
  <c r="BL925" i="1"/>
  <c r="BM925" i="1" s="1"/>
  <c r="BL924" i="1"/>
  <c r="BM924" i="1" s="1"/>
  <c r="BL923" i="1"/>
  <c r="BM923" i="1" s="1"/>
  <c r="BL922" i="1"/>
  <c r="BM922" i="1" s="1"/>
  <c r="BL921" i="1"/>
  <c r="BM921" i="1" s="1"/>
  <c r="BL920" i="1"/>
  <c r="BM920" i="1" s="1"/>
  <c r="BL919" i="1"/>
  <c r="BM919" i="1" s="1"/>
  <c r="BL918" i="1"/>
  <c r="BM918" i="1" s="1"/>
  <c r="BL917" i="1"/>
  <c r="BM917" i="1" s="1"/>
  <c r="BL916" i="1"/>
  <c r="BM916" i="1" s="1"/>
  <c r="BL915" i="1"/>
  <c r="BM915" i="1" s="1"/>
  <c r="BL914" i="1"/>
  <c r="BM914" i="1" s="1"/>
  <c r="BL913" i="1"/>
  <c r="BM913" i="1" s="1"/>
  <c r="BL912" i="1"/>
  <c r="BM912" i="1" s="1"/>
  <c r="BL911" i="1"/>
  <c r="BM911" i="1" s="1"/>
  <c r="BL910" i="1"/>
  <c r="BM910" i="1" s="1"/>
  <c r="BL909" i="1"/>
  <c r="BM909" i="1" s="1"/>
  <c r="BL908" i="1"/>
  <c r="BM908" i="1" s="1"/>
  <c r="BL907" i="1"/>
  <c r="BM907" i="1" s="1"/>
  <c r="BL906" i="1"/>
  <c r="BM906" i="1" s="1"/>
  <c r="BL905" i="1"/>
  <c r="BM905" i="1" s="1"/>
  <c r="BL904" i="1"/>
  <c r="BM904" i="1" s="1"/>
  <c r="BL903" i="1"/>
  <c r="BM903" i="1" s="1"/>
  <c r="BL902" i="1"/>
  <c r="BM902" i="1" s="1"/>
  <c r="BL901" i="1"/>
  <c r="BM901" i="1" s="1"/>
  <c r="BL900" i="1"/>
  <c r="BM900" i="1" s="1"/>
  <c r="BL899" i="1"/>
  <c r="BM899" i="1" s="1"/>
  <c r="BL898" i="1"/>
  <c r="BM898" i="1" s="1"/>
  <c r="BL897" i="1"/>
  <c r="BM897" i="1" s="1"/>
  <c r="BL896" i="1"/>
  <c r="BM896" i="1" s="1"/>
  <c r="BL895" i="1"/>
  <c r="BM895" i="1" s="1"/>
  <c r="BL894" i="1"/>
  <c r="BM894" i="1" s="1"/>
  <c r="BL893" i="1"/>
  <c r="BM893" i="1" s="1"/>
  <c r="BL892" i="1"/>
  <c r="BM892" i="1" s="1"/>
  <c r="BL891" i="1"/>
  <c r="BM891" i="1" s="1"/>
  <c r="BL890" i="1"/>
  <c r="BM890" i="1" s="1"/>
  <c r="BL889" i="1"/>
  <c r="BM889" i="1" s="1"/>
  <c r="BL888" i="1"/>
  <c r="BM888" i="1" s="1"/>
  <c r="BL887" i="1"/>
  <c r="BM887" i="1" s="1"/>
  <c r="BL886" i="1"/>
  <c r="BM886" i="1" s="1"/>
  <c r="BL885" i="1"/>
  <c r="BM885" i="1" s="1"/>
  <c r="BL884" i="1"/>
  <c r="BM884" i="1" s="1"/>
  <c r="BL883" i="1"/>
  <c r="BM883" i="1" s="1"/>
  <c r="BL882" i="1"/>
  <c r="BM882" i="1" s="1"/>
  <c r="BL881" i="1"/>
  <c r="BM881" i="1" s="1"/>
  <c r="BL880" i="1"/>
  <c r="BM880" i="1" s="1"/>
  <c r="BL879" i="1"/>
  <c r="BM879" i="1" s="1"/>
  <c r="BL878" i="1"/>
  <c r="BM878" i="1" s="1"/>
  <c r="BL877" i="1"/>
  <c r="BM877" i="1" s="1"/>
  <c r="BL876" i="1"/>
  <c r="BM876" i="1" s="1"/>
  <c r="BL875" i="1"/>
  <c r="BM875" i="1" s="1"/>
  <c r="BL874" i="1"/>
  <c r="BM874" i="1" s="1"/>
  <c r="BL873" i="1"/>
  <c r="BM873" i="1" s="1"/>
  <c r="BL872" i="1"/>
  <c r="BM872" i="1" s="1"/>
  <c r="BL871" i="1"/>
  <c r="BM871" i="1" s="1"/>
  <c r="BL870" i="1"/>
  <c r="BM870" i="1" s="1"/>
  <c r="BL869" i="1"/>
  <c r="BM869" i="1" s="1"/>
  <c r="BL868" i="1"/>
  <c r="BM868" i="1" s="1"/>
  <c r="BL867" i="1"/>
  <c r="BM867" i="1" s="1"/>
  <c r="BL866" i="1"/>
  <c r="BM866" i="1" s="1"/>
  <c r="BL865" i="1"/>
  <c r="BM865" i="1" s="1"/>
  <c r="BL864" i="1"/>
  <c r="BM864" i="1" s="1"/>
  <c r="BL863" i="1"/>
  <c r="BM863" i="1" s="1"/>
  <c r="BL862" i="1"/>
  <c r="BM862" i="1" s="1"/>
  <c r="BL861" i="1"/>
  <c r="BM861" i="1" s="1"/>
  <c r="BL860" i="1"/>
  <c r="BM860" i="1" s="1"/>
  <c r="BL859" i="1"/>
  <c r="BM859" i="1" s="1"/>
  <c r="BL858" i="1"/>
  <c r="BM858" i="1" s="1"/>
  <c r="BL857" i="1"/>
  <c r="BM857" i="1" s="1"/>
  <c r="BL856" i="1"/>
  <c r="BM856" i="1" s="1"/>
  <c r="BL855" i="1"/>
  <c r="BM855" i="1" s="1"/>
  <c r="BL854" i="1"/>
  <c r="BM854" i="1" s="1"/>
  <c r="BL853" i="1"/>
  <c r="BM853" i="1" s="1"/>
  <c r="BL852" i="1"/>
  <c r="BM852" i="1" s="1"/>
  <c r="BL851" i="1"/>
  <c r="BM851" i="1" s="1"/>
  <c r="BL850" i="1"/>
  <c r="BM850" i="1" s="1"/>
  <c r="BL849" i="1"/>
  <c r="BM849" i="1" s="1"/>
  <c r="BL848" i="1"/>
  <c r="BM848" i="1" s="1"/>
  <c r="BL847" i="1"/>
  <c r="BM847" i="1" s="1"/>
  <c r="BL846" i="1"/>
  <c r="BM846" i="1" s="1"/>
  <c r="BL845" i="1"/>
  <c r="BM845" i="1" s="1"/>
  <c r="BL844" i="1"/>
  <c r="BM844" i="1" s="1"/>
  <c r="BL843" i="1"/>
  <c r="BM843" i="1" s="1"/>
  <c r="BL842" i="1"/>
  <c r="BM842" i="1" s="1"/>
  <c r="BL841" i="1"/>
  <c r="BM841" i="1" s="1"/>
  <c r="BL840" i="1"/>
  <c r="BM840" i="1" s="1"/>
  <c r="BL839" i="1"/>
  <c r="BM839" i="1" s="1"/>
  <c r="BL838" i="1"/>
  <c r="BM838" i="1" s="1"/>
  <c r="BL837" i="1"/>
  <c r="BM837" i="1" s="1"/>
  <c r="BL836" i="1"/>
  <c r="BM836" i="1" s="1"/>
  <c r="BL835" i="1"/>
  <c r="BM835" i="1" s="1"/>
  <c r="BL834" i="1"/>
  <c r="BM834" i="1" s="1"/>
  <c r="BL833" i="1"/>
  <c r="BM833" i="1" s="1"/>
  <c r="BL832" i="1"/>
  <c r="BM832" i="1" s="1"/>
  <c r="BL831" i="1"/>
  <c r="BM831" i="1" s="1"/>
  <c r="BL830" i="1"/>
  <c r="BM830" i="1" s="1"/>
  <c r="BL829" i="1"/>
  <c r="BM829" i="1" s="1"/>
  <c r="BL828" i="1"/>
  <c r="BM828" i="1" s="1"/>
  <c r="BL827" i="1"/>
  <c r="BM827" i="1" s="1"/>
  <c r="BL826" i="1"/>
  <c r="BM826" i="1" s="1"/>
  <c r="BL825" i="1"/>
  <c r="BM825" i="1" s="1"/>
  <c r="BL824" i="1"/>
  <c r="BM824" i="1" s="1"/>
  <c r="BL823" i="1"/>
  <c r="BM823" i="1" s="1"/>
  <c r="BL822" i="1"/>
  <c r="BM822" i="1" s="1"/>
  <c r="BL821" i="1"/>
  <c r="BM821" i="1" s="1"/>
  <c r="BL820" i="1"/>
  <c r="BM820" i="1" s="1"/>
  <c r="BL819" i="1"/>
  <c r="BM819" i="1" s="1"/>
  <c r="BL818" i="1"/>
  <c r="BM818" i="1" s="1"/>
  <c r="BL817" i="1"/>
  <c r="BM817" i="1" s="1"/>
  <c r="BL816" i="1"/>
  <c r="BM816" i="1" s="1"/>
  <c r="BL815" i="1"/>
  <c r="BM815" i="1" s="1"/>
  <c r="BL814" i="1"/>
  <c r="BM814" i="1" s="1"/>
  <c r="BL813" i="1"/>
  <c r="BM813" i="1" s="1"/>
  <c r="BL812" i="1"/>
  <c r="BM812" i="1" s="1"/>
  <c r="BL811" i="1"/>
  <c r="BM811" i="1" s="1"/>
  <c r="BL810" i="1"/>
  <c r="BM810" i="1" s="1"/>
  <c r="BL809" i="1"/>
  <c r="BM809" i="1" s="1"/>
  <c r="BL808" i="1"/>
  <c r="BM808" i="1" s="1"/>
  <c r="BL807" i="1"/>
  <c r="BM807" i="1" s="1"/>
  <c r="BL806" i="1"/>
  <c r="BM806" i="1" s="1"/>
  <c r="BL805" i="1"/>
  <c r="BM805" i="1" s="1"/>
  <c r="BL804" i="1"/>
  <c r="BM804" i="1" s="1"/>
  <c r="BL803" i="1"/>
  <c r="BM803" i="1" s="1"/>
  <c r="BL802" i="1"/>
  <c r="BM802" i="1" s="1"/>
  <c r="BL801" i="1"/>
  <c r="BM801" i="1" s="1"/>
  <c r="BL800" i="1"/>
  <c r="BM800" i="1" s="1"/>
  <c r="BL799" i="1"/>
  <c r="BM799" i="1" s="1"/>
  <c r="BL798" i="1"/>
  <c r="BM798" i="1" s="1"/>
  <c r="BL797" i="1"/>
  <c r="BM797" i="1" s="1"/>
  <c r="BL796" i="1"/>
  <c r="BM796" i="1" s="1"/>
  <c r="BL795" i="1"/>
  <c r="BM795" i="1" s="1"/>
  <c r="BL794" i="1"/>
  <c r="BM794" i="1" s="1"/>
  <c r="BL793" i="1"/>
  <c r="BM793" i="1" s="1"/>
  <c r="BL792" i="1"/>
  <c r="BM792" i="1" s="1"/>
  <c r="BL791" i="1"/>
  <c r="BM791" i="1" s="1"/>
  <c r="BL790" i="1"/>
  <c r="BM790" i="1" s="1"/>
  <c r="BL789" i="1"/>
  <c r="BM789" i="1" s="1"/>
  <c r="BL788" i="1"/>
  <c r="BM788" i="1" s="1"/>
  <c r="BL787" i="1"/>
  <c r="BM787" i="1" s="1"/>
  <c r="BL786" i="1"/>
  <c r="BM786" i="1" s="1"/>
  <c r="BL785" i="1"/>
  <c r="BM785" i="1" s="1"/>
  <c r="BL784" i="1"/>
  <c r="BM784" i="1" s="1"/>
  <c r="BL783" i="1"/>
  <c r="BM783" i="1" s="1"/>
  <c r="BL782" i="1"/>
  <c r="BM782" i="1" s="1"/>
  <c r="BL781" i="1"/>
  <c r="BM781" i="1" s="1"/>
  <c r="BL780" i="1"/>
  <c r="BM780" i="1" s="1"/>
  <c r="BL779" i="1"/>
  <c r="BM779" i="1" s="1"/>
  <c r="BL778" i="1"/>
  <c r="BM778" i="1" s="1"/>
  <c r="BL777" i="1"/>
  <c r="BM777" i="1" s="1"/>
  <c r="BL776" i="1"/>
  <c r="BM776" i="1" s="1"/>
  <c r="BL775" i="1"/>
  <c r="BM775" i="1" s="1"/>
  <c r="BL774" i="1"/>
  <c r="BM774" i="1" s="1"/>
  <c r="BL773" i="1"/>
  <c r="BM773" i="1" s="1"/>
  <c r="BL772" i="1"/>
  <c r="BM772" i="1" s="1"/>
  <c r="BL771" i="1"/>
  <c r="BM771" i="1" s="1"/>
  <c r="BL770" i="1"/>
  <c r="BM770" i="1" s="1"/>
  <c r="BL769" i="1"/>
  <c r="BM769" i="1" s="1"/>
  <c r="BL768" i="1"/>
  <c r="BM768" i="1" s="1"/>
  <c r="BL767" i="1"/>
  <c r="BM767" i="1" s="1"/>
  <c r="BL766" i="1"/>
  <c r="BM766" i="1" s="1"/>
  <c r="BL765" i="1"/>
  <c r="BM765" i="1" s="1"/>
  <c r="BL764" i="1"/>
  <c r="BM764" i="1" s="1"/>
  <c r="BL763" i="1"/>
  <c r="BM763" i="1" s="1"/>
  <c r="BL762" i="1"/>
  <c r="BM762" i="1" s="1"/>
  <c r="BL761" i="1"/>
  <c r="BM761" i="1" s="1"/>
  <c r="BL760" i="1"/>
  <c r="BM760" i="1" s="1"/>
  <c r="BL759" i="1"/>
  <c r="BM759" i="1" s="1"/>
  <c r="BL758" i="1"/>
  <c r="BM758" i="1" s="1"/>
  <c r="BL757" i="1"/>
  <c r="BM757" i="1" s="1"/>
  <c r="BL756" i="1"/>
  <c r="BM756" i="1" s="1"/>
  <c r="BL755" i="1"/>
  <c r="BM755" i="1" s="1"/>
  <c r="BL754" i="1"/>
  <c r="BM754" i="1" s="1"/>
  <c r="BL753" i="1"/>
  <c r="BM753" i="1" s="1"/>
  <c r="BL752" i="1"/>
  <c r="BM752" i="1" s="1"/>
  <c r="BL751" i="1"/>
  <c r="BM751" i="1" s="1"/>
  <c r="BL750" i="1"/>
  <c r="BM750" i="1" s="1"/>
  <c r="BL749" i="1"/>
  <c r="BM749" i="1" s="1"/>
  <c r="BL748" i="1"/>
  <c r="BM748" i="1" s="1"/>
  <c r="BL747" i="1"/>
  <c r="BM747" i="1" s="1"/>
  <c r="BL746" i="1"/>
  <c r="BM746" i="1" s="1"/>
  <c r="BL745" i="1"/>
  <c r="BM745" i="1" s="1"/>
  <c r="BL744" i="1"/>
  <c r="BM744" i="1" s="1"/>
  <c r="BL743" i="1"/>
  <c r="BM743" i="1" s="1"/>
  <c r="BL742" i="1"/>
  <c r="BM742" i="1" s="1"/>
  <c r="BL741" i="1"/>
  <c r="BM741" i="1" s="1"/>
  <c r="BL740" i="1"/>
  <c r="BM740" i="1" s="1"/>
  <c r="BL739" i="1"/>
  <c r="BM739" i="1" s="1"/>
  <c r="BL738" i="1"/>
  <c r="BM738" i="1" s="1"/>
  <c r="BL737" i="1"/>
  <c r="BM737" i="1" s="1"/>
  <c r="BL736" i="1"/>
  <c r="BM736" i="1" s="1"/>
  <c r="BL735" i="1"/>
  <c r="BM735" i="1" s="1"/>
  <c r="BL734" i="1"/>
  <c r="BM734" i="1" s="1"/>
  <c r="BL733" i="1"/>
  <c r="BM733" i="1" s="1"/>
  <c r="BL732" i="1"/>
  <c r="BM732" i="1" s="1"/>
  <c r="BL731" i="1"/>
  <c r="BM731" i="1" s="1"/>
  <c r="BL730" i="1"/>
  <c r="BM730" i="1" s="1"/>
  <c r="BL729" i="1"/>
  <c r="BM729" i="1" s="1"/>
  <c r="BL728" i="1"/>
  <c r="BM728" i="1" s="1"/>
  <c r="BL727" i="1"/>
  <c r="BM727" i="1" s="1"/>
  <c r="BL726" i="1"/>
  <c r="BM726" i="1" s="1"/>
  <c r="BL725" i="1"/>
  <c r="BM725" i="1" s="1"/>
  <c r="BL724" i="1"/>
  <c r="BM724" i="1" s="1"/>
  <c r="BL723" i="1"/>
  <c r="BM723" i="1" s="1"/>
  <c r="BL722" i="1"/>
  <c r="BM722" i="1" s="1"/>
  <c r="BL721" i="1"/>
  <c r="BM721" i="1" s="1"/>
  <c r="BL720" i="1"/>
  <c r="BM720" i="1" s="1"/>
  <c r="BL719" i="1"/>
  <c r="BM719" i="1" s="1"/>
  <c r="BL718" i="1"/>
  <c r="BM718" i="1" s="1"/>
  <c r="BL717" i="1"/>
  <c r="BM717" i="1" s="1"/>
  <c r="BL716" i="1"/>
  <c r="BM716" i="1" s="1"/>
  <c r="BL715" i="1"/>
  <c r="BM715" i="1" s="1"/>
  <c r="BL714" i="1"/>
  <c r="BM714" i="1" s="1"/>
  <c r="BL713" i="1"/>
  <c r="BM713" i="1" s="1"/>
  <c r="BL712" i="1"/>
  <c r="BM712" i="1" s="1"/>
  <c r="BL711" i="1"/>
  <c r="BM711" i="1" s="1"/>
  <c r="BL710" i="1"/>
  <c r="BM710" i="1" s="1"/>
  <c r="BL709" i="1"/>
  <c r="BM709" i="1" s="1"/>
  <c r="BL708" i="1"/>
  <c r="BM708" i="1" s="1"/>
  <c r="BL707" i="1"/>
  <c r="BM707" i="1" s="1"/>
  <c r="BL706" i="1"/>
  <c r="BM706" i="1" s="1"/>
  <c r="BL705" i="1"/>
  <c r="BM705" i="1" s="1"/>
  <c r="BL704" i="1"/>
  <c r="BM704" i="1" s="1"/>
  <c r="BL703" i="1"/>
  <c r="BM703" i="1" s="1"/>
  <c r="BL702" i="1"/>
  <c r="BM702" i="1" s="1"/>
  <c r="BL701" i="1"/>
  <c r="BM701" i="1" s="1"/>
  <c r="BL700" i="1"/>
  <c r="BM700" i="1" s="1"/>
  <c r="BL699" i="1"/>
  <c r="BM699" i="1" s="1"/>
  <c r="BL698" i="1"/>
  <c r="BM698" i="1" s="1"/>
  <c r="BL697" i="1"/>
  <c r="BM697" i="1" s="1"/>
  <c r="BL696" i="1"/>
  <c r="BM696" i="1" s="1"/>
  <c r="BL695" i="1"/>
  <c r="BM695" i="1" s="1"/>
  <c r="BL694" i="1"/>
  <c r="BM694" i="1" s="1"/>
  <c r="BL693" i="1"/>
  <c r="BM693" i="1" s="1"/>
  <c r="BL692" i="1"/>
  <c r="BM692" i="1" s="1"/>
  <c r="BL691" i="1"/>
  <c r="BM691" i="1" s="1"/>
  <c r="BL690" i="1"/>
  <c r="BM690" i="1" s="1"/>
  <c r="BL689" i="1"/>
  <c r="BM689" i="1" s="1"/>
  <c r="BL688" i="1"/>
  <c r="BM688" i="1" s="1"/>
  <c r="BL687" i="1"/>
  <c r="BM687" i="1" s="1"/>
  <c r="BL686" i="1"/>
  <c r="BM686" i="1" s="1"/>
  <c r="BL685" i="1"/>
  <c r="BM685" i="1" s="1"/>
  <c r="BL684" i="1"/>
  <c r="BM684" i="1" s="1"/>
  <c r="BL683" i="1"/>
  <c r="BM683" i="1" s="1"/>
  <c r="BL682" i="1"/>
  <c r="BM682" i="1" s="1"/>
  <c r="BL681" i="1"/>
  <c r="BM681" i="1" s="1"/>
  <c r="BL680" i="1"/>
  <c r="BM680" i="1" s="1"/>
  <c r="BL679" i="1"/>
  <c r="BM679" i="1" s="1"/>
  <c r="BL678" i="1"/>
  <c r="BM678" i="1" s="1"/>
  <c r="BL677" i="1"/>
  <c r="BM677" i="1" s="1"/>
  <c r="BL676" i="1"/>
  <c r="BM676" i="1" s="1"/>
  <c r="BL675" i="1"/>
  <c r="BM675" i="1" s="1"/>
  <c r="BL674" i="1"/>
  <c r="BM674" i="1" s="1"/>
  <c r="BL673" i="1"/>
  <c r="BM673" i="1" s="1"/>
  <c r="BL672" i="1"/>
  <c r="BM672" i="1" s="1"/>
  <c r="BL671" i="1"/>
  <c r="BM671" i="1" s="1"/>
  <c r="BL670" i="1"/>
  <c r="BM670" i="1" s="1"/>
  <c r="BL669" i="1"/>
  <c r="BM669" i="1" s="1"/>
  <c r="BL668" i="1"/>
  <c r="BM668" i="1" s="1"/>
  <c r="BL667" i="1"/>
  <c r="BM667" i="1" s="1"/>
  <c r="BL666" i="1"/>
  <c r="BM666" i="1" s="1"/>
  <c r="BL665" i="1"/>
  <c r="BM665" i="1" s="1"/>
  <c r="BL664" i="1"/>
  <c r="BM664" i="1" s="1"/>
  <c r="BL663" i="1"/>
  <c r="BM663" i="1" s="1"/>
  <c r="BL662" i="1"/>
  <c r="BM662" i="1" s="1"/>
  <c r="BL661" i="1"/>
  <c r="BM661" i="1" s="1"/>
  <c r="BL660" i="1"/>
  <c r="BM660" i="1" s="1"/>
  <c r="BL659" i="1"/>
  <c r="BM659" i="1" s="1"/>
  <c r="BL658" i="1"/>
  <c r="BM658" i="1" s="1"/>
  <c r="BL657" i="1"/>
  <c r="BM657" i="1" s="1"/>
  <c r="BL656" i="1"/>
  <c r="BM656" i="1" s="1"/>
  <c r="BL655" i="1"/>
  <c r="BM655" i="1" s="1"/>
  <c r="BL654" i="1"/>
  <c r="BM654" i="1" s="1"/>
  <c r="BL653" i="1"/>
  <c r="BM653" i="1" s="1"/>
  <c r="BL652" i="1"/>
  <c r="BM652" i="1" s="1"/>
  <c r="BL651" i="1"/>
  <c r="BM651" i="1" s="1"/>
  <c r="BL650" i="1"/>
  <c r="BM650" i="1" s="1"/>
  <c r="BL649" i="1"/>
  <c r="BM649" i="1" s="1"/>
  <c r="BL648" i="1"/>
  <c r="BM648" i="1" s="1"/>
  <c r="BL647" i="1"/>
  <c r="BM647" i="1" s="1"/>
  <c r="BL646" i="1"/>
  <c r="BM646" i="1" s="1"/>
  <c r="BL645" i="1"/>
  <c r="BM645" i="1" s="1"/>
  <c r="BL644" i="1"/>
  <c r="BM644" i="1" s="1"/>
  <c r="BL643" i="1"/>
  <c r="BM643" i="1" s="1"/>
  <c r="BL642" i="1"/>
  <c r="BM642" i="1" s="1"/>
  <c r="BL641" i="1"/>
  <c r="BM641" i="1" s="1"/>
  <c r="BL640" i="1"/>
  <c r="BM640" i="1" s="1"/>
  <c r="BL639" i="1"/>
  <c r="BM639" i="1" s="1"/>
  <c r="BL638" i="1"/>
  <c r="BM638" i="1" s="1"/>
  <c r="BL637" i="1"/>
  <c r="BM637" i="1" s="1"/>
  <c r="BL636" i="1"/>
  <c r="BM636" i="1" s="1"/>
  <c r="BL635" i="1"/>
  <c r="BM635" i="1" s="1"/>
  <c r="BL634" i="1"/>
  <c r="BM634" i="1" s="1"/>
  <c r="BL633" i="1"/>
  <c r="BM633" i="1" s="1"/>
  <c r="BL632" i="1"/>
  <c r="BM632" i="1" s="1"/>
  <c r="BL631" i="1"/>
  <c r="BM631" i="1" s="1"/>
  <c r="BL630" i="1"/>
  <c r="BM630" i="1" s="1"/>
  <c r="BL629" i="1"/>
  <c r="BM629" i="1" s="1"/>
  <c r="BL628" i="1"/>
  <c r="BM628" i="1" s="1"/>
  <c r="BL627" i="1"/>
  <c r="BM627" i="1" s="1"/>
  <c r="BL626" i="1"/>
  <c r="BM626" i="1" s="1"/>
  <c r="BL625" i="1"/>
  <c r="BM625" i="1" s="1"/>
  <c r="BL624" i="1"/>
  <c r="BM624" i="1" s="1"/>
  <c r="BL623" i="1"/>
  <c r="BM623" i="1" s="1"/>
  <c r="BL622" i="1"/>
  <c r="BM622" i="1" s="1"/>
  <c r="BL621" i="1"/>
  <c r="BM621" i="1" s="1"/>
  <c r="BL620" i="1"/>
  <c r="BM620" i="1" s="1"/>
  <c r="BL619" i="1"/>
  <c r="BM619" i="1" s="1"/>
  <c r="BL618" i="1"/>
  <c r="BM618" i="1" s="1"/>
  <c r="BL617" i="1"/>
  <c r="BM617" i="1" s="1"/>
  <c r="BL616" i="1"/>
  <c r="BM616" i="1" s="1"/>
  <c r="BL615" i="1"/>
  <c r="BM615" i="1" s="1"/>
  <c r="BL614" i="1"/>
  <c r="BM614" i="1" s="1"/>
  <c r="BL613" i="1"/>
  <c r="BM613" i="1" s="1"/>
  <c r="BL612" i="1"/>
  <c r="BM612" i="1" s="1"/>
  <c r="BL611" i="1"/>
  <c r="BM611" i="1" s="1"/>
  <c r="BL610" i="1"/>
  <c r="BM610" i="1" s="1"/>
  <c r="BL609" i="1"/>
  <c r="BM609" i="1" s="1"/>
  <c r="BL608" i="1"/>
  <c r="BM608" i="1" s="1"/>
  <c r="BL607" i="1"/>
  <c r="BM607" i="1" s="1"/>
  <c r="BL606" i="1"/>
  <c r="BM606" i="1" s="1"/>
  <c r="BL605" i="1"/>
  <c r="BM605" i="1" s="1"/>
  <c r="BL604" i="1"/>
  <c r="BM604" i="1" s="1"/>
  <c r="BL603" i="1"/>
  <c r="BM603" i="1" s="1"/>
  <c r="BL602" i="1"/>
  <c r="BM602" i="1" s="1"/>
  <c r="BL601" i="1"/>
  <c r="BM601" i="1" s="1"/>
  <c r="BL600" i="1"/>
  <c r="BM600" i="1" s="1"/>
  <c r="BL599" i="1"/>
  <c r="BM599" i="1" s="1"/>
  <c r="BL598" i="1"/>
  <c r="BM598" i="1" s="1"/>
  <c r="BL597" i="1"/>
  <c r="BM597" i="1" s="1"/>
  <c r="BL596" i="1"/>
  <c r="BM596" i="1" s="1"/>
  <c r="BL595" i="1"/>
  <c r="BM595" i="1" s="1"/>
  <c r="BL594" i="1"/>
  <c r="BM594" i="1" s="1"/>
  <c r="BL593" i="1"/>
  <c r="BM593" i="1" s="1"/>
  <c r="BL592" i="1"/>
  <c r="BM592" i="1" s="1"/>
  <c r="BL591" i="1"/>
  <c r="BM591" i="1" s="1"/>
  <c r="BL590" i="1"/>
  <c r="BM590" i="1" s="1"/>
  <c r="BL589" i="1"/>
  <c r="BM589" i="1" s="1"/>
  <c r="BL588" i="1"/>
  <c r="BM588" i="1" s="1"/>
  <c r="BL587" i="1"/>
  <c r="BM587" i="1" s="1"/>
  <c r="BL586" i="1"/>
  <c r="BM586" i="1" s="1"/>
  <c r="BL585" i="1"/>
  <c r="BM585" i="1" s="1"/>
  <c r="BL584" i="1"/>
  <c r="BM584" i="1" s="1"/>
  <c r="BL583" i="1"/>
  <c r="BM583" i="1" s="1"/>
  <c r="BL582" i="1"/>
  <c r="BM582" i="1" s="1"/>
  <c r="BL581" i="1"/>
  <c r="BM581" i="1" s="1"/>
  <c r="BL580" i="1"/>
  <c r="BM580" i="1" s="1"/>
  <c r="BL579" i="1"/>
  <c r="BM579" i="1" s="1"/>
  <c r="BL578" i="1"/>
  <c r="BM578" i="1" s="1"/>
  <c r="BL577" i="1"/>
  <c r="BM577" i="1" s="1"/>
  <c r="BL576" i="1"/>
  <c r="BM576" i="1" s="1"/>
  <c r="BL575" i="1"/>
  <c r="BM575" i="1" s="1"/>
  <c r="BL574" i="1"/>
  <c r="BM574" i="1" s="1"/>
  <c r="BL573" i="1"/>
  <c r="BM573" i="1" s="1"/>
  <c r="BL572" i="1"/>
  <c r="BM572" i="1" s="1"/>
  <c r="BL571" i="1"/>
  <c r="BM571" i="1" s="1"/>
  <c r="BL570" i="1"/>
  <c r="BM570" i="1" s="1"/>
  <c r="BL569" i="1"/>
  <c r="BM569" i="1" s="1"/>
  <c r="BL568" i="1"/>
  <c r="BM568" i="1" s="1"/>
  <c r="BL567" i="1"/>
  <c r="BM567" i="1" s="1"/>
  <c r="BL566" i="1"/>
  <c r="BM566" i="1" s="1"/>
  <c r="BL565" i="1"/>
  <c r="BM565" i="1" s="1"/>
  <c r="BL564" i="1"/>
  <c r="BM564" i="1" s="1"/>
  <c r="BL563" i="1"/>
  <c r="BM563" i="1" s="1"/>
  <c r="BL562" i="1"/>
  <c r="BM562" i="1" s="1"/>
  <c r="BL561" i="1"/>
  <c r="BM561" i="1" s="1"/>
  <c r="BL560" i="1"/>
  <c r="BM560" i="1" s="1"/>
  <c r="BL559" i="1"/>
  <c r="BM559" i="1" s="1"/>
  <c r="BL558" i="1"/>
  <c r="BM558" i="1" s="1"/>
  <c r="BL557" i="1"/>
  <c r="BM557" i="1" s="1"/>
  <c r="BL556" i="1"/>
  <c r="BM556" i="1" s="1"/>
  <c r="BL555" i="1"/>
  <c r="BM555" i="1" s="1"/>
  <c r="BL554" i="1"/>
  <c r="BM554" i="1" s="1"/>
  <c r="BL553" i="1"/>
  <c r="BM553" i="1" s="1"/>
  <c r="BL552" i="1"/>
  <c r="BM552" i="1" s="1"/>
  <c r="BL551" i="1"/>
  <c r="BM551" i="1" s="1"/>
  <c r="BL550" i="1"/>
  <c r="BM550" i="1" s="1"/>
  <c r="BL549" i="1"/>
  <c r="BM549" i="1" s="1"/>
  <c r="BL548" i="1"/>
  <c r="BM548" i="1" s="1"/>
  <c r="BL547" i="1"/>
  <c r="BM547" i="1" s="1"/>
  <c r="BL546" i="1"/>
  <c r="BM546" i="1" s="1"/>
  <c r="BL545" i="1"/>
  <c r="BM545" i="1" s="1"/>
  <c r="BL544" i="1"/>
  <c r="BM544" i="1" s="1"/>
  <c r="BL543" i="1"/>
  <c r="BM543" i="1" s="1"/>
  <c r="BL542" i="1"/>
  <c r="BM542" i="1" s="1"/>
  <c r="BL541" i="1"/>
  <c r="BM541" i="1" s="1"/>
  <c r="BL540" i="1"/>
  <c r="BM540" i="1" s="1"/>
  <c r="BL539" i="1"/>
  <c r="BM539" i="1" s="1"/>
  <c r="BL538" i="1"/>
  <c r="BM538" i="1" s="1"/>
  <c r="BL537" i="1"/>
  <c r="BM537" i="1" s="1"/>
  <c r="BL536" i="1"/>
  <c r="BM536" i="1" s="1"/>
  <c r="BL535" i="1"/>
  <c r="BM535" i="1" s="1"/>
  <c r="BL534" i="1"/>
  <c r="BM534" i="1" s="1"/>
  <c r="BL533" i="1"/>
  <c r="BM533" i="1" s="1"/>
  <c r="BL532" i="1"/>
  <c r="BM532" i="1" s="1"/>
  <c r="BL531" i="1"/>
  <c r="BM531" i="1" s="1"/>
  <c r="BL530" i="1"/>
  <c r="BM530" i="1" s="1"/>
  <c r="BL529" i="1"/>
  <c r="BM529" i="1" s="1"/>
  <c r="BL528" i="1"/>
  <c r="BM528" i="1" s="1"/>
  <c r="BL527" i="1"/>
  <c r="BM527" i="1" s="1"/>
  <c r="BL526" i="1"/>
  <c r="BM526" i="1" s="1"/>
  <c r="BL525" i="1"/>
  <c r="BM525" i="1" s="1"/>
  <c r="BL524" i="1"/>
  <c r="BM524" i="1" s="1"/>
  <c r="BL523" i="1"/>
  <c r="BM523" i="1" s="1"/>
  <c r="BL522" i="1"/>
  <c r="BM522" i="1" s="1"/>
  <c r="BL521" i="1"/>
  <c r="BM521" i="1" s="1"/>
  <c r="BL520" i="1"/>
  <c r="BM520" i="1" s="1"/>
  <c r="BL519" i="1"/>
  <c r="BM519" i="1" s="1"/>
  <c r="BL518" i="1"/>
  <c r="BM518" i="1" s="1"/>
  <c r="BL517" i="1"/>
  <c r="BM517" i="1" s="1"/>
  <c r="BL516" i="1"/>
  <c r="BM516" i="1" s="1"/>
  <c r="BL515" i="1"/>
  <c r="BM515" i="1" s="1"/>
  <c r="BL514" i="1"/>
  <c r="BM514" i="1" s="1"/>
  <c r="BL513" i="1"/>
  <c r="BM513" i="1" s="1"/>
  <c r="BL512" i="1"/>
  <c r="BM512" i="1" s="1"/>
  <c r="BL511" i="1"/>
  <c r="BM511" i="1" s="1"/>
  <c r="BL510" i="1"/>
  <c r="BM510" i="1" s="1"/>
  <c r="BL509" i="1"/>
  <c r="BM509" i="1" s="1"/>
  <c r="BL508" i="1"/>
  <c r="BM508" i="1" s="1"/>
  <c r="BL507" i="1"/>
  <c r="BM507" i="1" s="1"/>
  <c r="BL506" i="1"/>
  <c r="BM506" i="1" s="1"/>
  <c r="BL505" i="1"/>
  <c r="BM505" i="1" s="1"/>
  <c r="BL504" i="1"/>
  <c r="BM504" i="1" s="1"/>
  <c r="BL503" i="1"/>
  <c r="BM503" i="1" s="1"/>
  <c r="BL502" i="1"/>
  <c r="BM502" i="1" s="1"/>
  <c r="BL501" i="1"/>
  <c r="BM501" i="1" s="1"/>
  <c r="BL500" i="1"/>
  <c r="BM500" i="1" s="1"/>
  <c r="BL499" i="1"/>
  <c r="BM499" i="1" s="1"/>
  <c r="BL498" i="1"/>
  <c r="BM498" i="1" s="1"/>
  <c r="BL497" i="1"/>
  <c r="BM497" i="1" s="1"/>
  <c r="BL496" i="1"/>
  <c r="BM496" i="1" s="1"/>
  <c r="BL495" i="1"/>
  <c r="BM495" i="1" s="1"/>
  <c r="BL494" i="1"/>
  <c r="BM494" i="1" s="1"/>
  <c r="BL493" i="1"/>
  <c r="BM493" i="1" s="1"/>
  <c r="BL492" i="1"/>
  <c r="BM492" i="1" s="1"/>
  <c r="BL491" i="1"/>
  <c r="BM491" i="1" s="1"/>
  <c r="BL490" i="1"/>
  <c r="BM490" i="1" s="1"/>
  <c r="BL489" i="1"/>
  <c r="BM489" i="1" s="1"/>
  <c r="BL488" i="1"/>
  <c r="BM488" i="1" s="1"/>
  <c r="BL487" i="1"/>
  <c r="BM487" i="1" s="1"/>
  <c r="BL486" i="1"/>
  <c r="BM486" i="1" s="1"/>
  <c r="BL485" i="1"/>
  <c r="BM485" i="1" s="1"/>
  <c r="BL484" i="1"/>
  <c r="BM484" i="1" s="1"/>
  <c r="BL483" i="1"/>
  <c r="BM483" i="1" s="1"/>
  <c r="BL482" i="1"/>
  <c r="BM482" i="1" s="1"/>
  <c r="BL481" i="1"/>
  <c r="BM481" i="1" s="1"/>
  <c r="BL480" i="1"/>
  <c r="BM480" i="1" s="1"/>
  <c r="BL479" i="1"/>
  <c r="BM479" i="1" s="1"/>
  <c r="BL478" i="1"/>
  <c r="BM478" i="1" s="1"/>
  <c r="BL477" i="1"/>
  <c r="BM477" i="1" s="1"/>
  <c r="BL476" i="1"/>
  <c r="BM476" i="1" s="1"/>
  <c r="BL475" i="1"/>
  <c r="BM475" i="1" s="1"/>
  <c r="BL474" i="1"/>
  <c r="BM474" i="1" s="1"/>
  <c r="BL473" i="1"/>
  <c r="BM473" i="1" s="1"/>
  <c r="BL472" i="1"/>
  <c r="BM472" i="1" s="1"/>
  <c r="BL471" i="1"/>
  <c r="BM471" i="1" s="1"/>
  <c r="BL470" i="1"/>
  <c r="BM470" i="1" s="1"/>
  <c r="BL469" i="1"/>
  <c r="BM469" i="1" s="1"/>
  <c r="BL468" i="1"/>
  <c r="BM468" i="1" s="1"/>
  <c r="BL467" i="1"/>
  <c r="BM467" i="1" s="1"/>
  <c r="BL466" i="1"/>
  <c r="BM466" i="1" s="1"/>
  <c r="BL465" i="1"/>
  <c r="BM465" i="1" s="1"/>
  <c r="BL464" i="1"/>
  <c r="BM464" i="1" s="1"/>
  <c r="BL463" i="1"/>
  <c r="BM463" i="1" s="1"/>
  <c r="BL462" i="1"/>
  <c r="BM462" i="1" s="1"/>
  <c r="BL461" i="1"/>
  <c r="BM461" i="1" s="1"/>
  <c r="BL460" i="1"/>
  <c r="BM460" i="1" s="1"/>
  <c r="BL459" i="1"/>
  <c r="BM459" i="1" s="1"/>
  <c r="BL458" i="1"/>
  <c r="BM458" i="1" s="1"/>
  <c r="BL457" i="1"/>
  <c r="BM457" i="1" s="1"/>
  <c r="BL456" i="1"/>
  <c r="BM456" i="1" s="1"/>
  <c r="BL455" i="1"/>
  <c r="BM455" i="1" s="1"/>
  <c r="BL454" i="1"/>
  <c r="BM454" i="1" s="1"/>
  <c r="BL453" i="1"/>
  <c r="BM453" i="1" s="1"/>
  <c r="BL452" i="1"/>
  <c r="BM452" i="1" s="1"/>
  <c r="BL451" i="1"/>
  <c r="BM451" i="1" s="1"/>
  <c r="BL450" i="1"/>
  <c r="BM450" i="1" s="1"/>
  <c r="BL449" i="1"/>
  <c r="BM449" i="1" s="1"/>
  <c r="BL448" i="1"/>
  <c r="BM448" i="1" s="1"/>
  <c r="BL447" i="1"/>
  <c r="BM447" i="1" s="1"/>
  <c r="BL446" i="1"/>
  <c r="BM446" i="1" s="1"/>
  <c r="BL445" i="1"/>
  <c r="BM445" i="1" s="1"/>
  <c r="BL444" i="1"/>
  <c r="BM444" i="1" s="1"/>
  <c r="BL443" i="1"/>
  <c r="BM443" i="1" s="1"/>
  <c r="BL442" i="1"/>
  <c r="BM442" i="1" s="1"/>
  <c r="BL441" i="1"/>
  <c r="BM441" i="1" s="1"/>
  <c r="BL440" i="1"/>
  <c r="BM440" i="1" s="1"/>
  <c r="BL439" i="1"/>
  <c r="BM439" i="1" s="1"/>
  <c r="BL438" i="1"/>
  <c r="BM438" i="1" s="1"/>
  <c r="BL437" i="1"/>
  <c r="BM437" i="1" s="1"/>
  <c r="BL436" i="1"/>
  <c r="BM436" i="1" s="1"/>
  <c r="BL435" i="1"/>
  <c r="BM435" i="1" s="1"/>
  <c r="BL434" i="1"/>
  <c r="BM434" i="1" s="1"/>
  <c r="BL433" i="1"/>
  <c r="BM433" i="1" s="1"/>
  <c r="BL432" i="1"/>
  <c r="BM432" i="1" s="1"/>
  <c r="BL431" i="1"/>
  <c r="BM431" i="1" s="1"/>
  <c r="BL430" i="1"/>
  <c r="BM430" i="1" s="1"/>
  <c r="BL429" i="1"/>
  <c r="BM429" i="1" s="1"/>
  <c r="BL428" i="1"/>
  <c r="BM428" i="1" s="1"/>
  <c r="BL427" i="1"/>
  <c r="BM427" i="1" s="1"/>
  <c r="BL426" i="1"/>
  <c r="BM426" i="1" s="1"/>
  <c r="BL425" i="1"/>
  <c r="BM425" i="1" s="1"/>
  <c r="BL424" i="1"/>
  <c r="BM424" i="1" s="1"/>
  <c r="BL423" i="1"/>
  <c r="BM423" i="1" s="1"/>
  <c r="BL422" i="1"/>
  <c r="BM422" i="1" s="1"/>
  <c r="BL421" i="1"/>
  <c r="BM421" i="1" s="1"/>
  <c r="BL420" i="1"/>
  <c r="BM420" i="1" s="1"/>
  <c r="BL419" i="1"/>
  <c r="BM419" i="1" s="1"/>
  <c r="BL418" i="1"/>
  <c r="BM418" i="1" s="1"/>
  <c r="BL417" i="1"/>
  <c r="BM417" i="1" s="1"/>
  <c r="BL416" i="1"/>
  <c r="BM416" i="1" s="1"/>
  <c r="BL415" i="1"/>
  <c r="BM415" i="1" s="1"/>
  <c r="BL414" i="1"/>
  <c r="BM414" i="1" s="1"/>
  <c r="BL413" i="1"/>
  <c r="BM413" i="1" s="1"/>
  <c r="BL412" i="1"/>
  <c r="BM412" i="1" s="1"/>
  <c r="BL411" i="1"/>
  <c r="BM411" i="1" s="1"/>
  <c r="BL410" i="1"/>
  <c r="BM410" i="1" s="1"/>
  <c r="BL409" i="1"/>
  <c r="BM409" i="1" s="1"/>
  <c r="BL408" i="1"/>
  <c r="BM408" i="1" s="1"/>
  <c r="BL407" i="1"/>
  <c r="BM407" i="1" s="1"/>
  <c r="BL406" i="1"/>
  <c r="BM406" i="1" s="1"/>
  <c r="BL405" i="1"/>
  <c r="BM405" i="1" s="1"/>
  <c r="BL404" i="1"/>
  <c r="BM404" i="1" s="1"/>
  <c r="BL403" i="1"/>
  <c r="BM403" i="1" s="1"/>
  <c r="BL402" i="1"/>
  <c r="BM402" i="1" s="1"/>
  <c r="BL401" i="1"/>
  <c r="BM401" i="1" s="1"/>
  <c r="BL400" i="1"/>
  <c r="BM400" i="1" s="1"/>
  <c r="BL399" i="1"/>
  <c r="BM399" i="1" s="1"/>
  <c r="BL398" i="1"/>
  <c r="BM398" i="1" s="1"/>
  <c r="BL397" i="1"/>
  <c r="BM397" i="1" s="1"/>
  <c r="BL396" i="1"/>
  <c r="BM396" i="1" s="1"/>
  <c r="BL395" i="1"/>
  <c r="BM395" i="1" s="1"/>
  <c r="BL394" i="1"/>
  <c r="BM394" i="1" s="1"/>
  <c r="BL393" i="1"/>
  <c r="BM393" i="1" s="1"/>
  <c r="BL392" i="1"/>
  <c r="BM392" i="1" s="1"/>
  <c r="BL391" i="1"/>
  <c r="BM391" i="1" s="1"/>
  <c r="BL390" i="1"/>
  <c r="BM390" i="1" s="1"/>
  <c r="BL389" i="1"/>
  <c r="BM389" i="1" s="1"/>
  <c r="BL388" i="1"/>
  <c r="BM388" i="1" s="1"/>
  <c r="BL387" i="1"/>
  <c r="BM387" i="1" s="1"/>
  <c r="BL386" i="1"/>
  <c r="BM386" i="1" s="1"/>
  <c r="BL385" i="1"/>
  <c r="BM385" i="1" s="1"/>
  <c r="BL384" i="1"/>
  <c r="BM384" i="1" s="1"/>
  <c r="BL383" i="1"/>
  <c r="BM383" i="1" s="1"/>
  <c r="BL382" i="1"/>
  <c r="BM382" i="1" s="1"/>
  <c r="BL381" i="1"/>
  <c r="BM381" i="1" s="1"/>
  <c r="BL380" i="1"/>
  <c r="BM380" i="1" s="1"/>
  <c r="BL379" i="1"/>
  <c r="BM379" i="1" s="1"/>
  <c r="BL378" i="1"/>
  <c r="BM378" i="1" s="1"/>
  <c r="BL377" i="1"/>
  <c r="BM377" i="1" s="1"/>
  <c r="BL376" i="1"/>
  <c r="BM376" i="1" s="1"/>
  <c r="BL375" i="1"/>
  <c r="BM375" i="1" s="1"/>
  <c r="BL374" i="1"/>
  <c r="BM374" i="1" s="1"/>
  <c r="BL373" i="1"/>
  <c r="BM373" i="1" s="1"/>
  <c r="BL372" i="1"/>
  <c r="BM372" i="1" s="1"/>
  <c r="BL371" i="1"/>
  <c r="BM371" i="1" s="1"/>
  <c r="BL370" i="1"/>
  <c r="BM370" i="1" s="1"/>
  <c r="BL369" i="1"/>
  <c r="BM369" i="1" s="1"/>
  <c r="BL368" i="1"/>
  <c r="BM368" i="1" s="1"/>
  <c r="BL367" i="1"/>
  <c r="BM367" i="1" s="1"/>
  <c r="BL366" i="1"/>
  <c r="BM366" i="1" s="1"/>
  <c r="BL365" i="1"/>
  <c r="BM365" i="1" s="1"/>
  <c r="BL364" i="1"/>
  <c r="BM364" i="1" s="1"/>
  <c r="BL363" i="1"/>
  <c r="BM363" i="1" s="1"/>
  <c r="BL362" i="1"/>
  <c r="BM362" i="1" s="1"/>
  <c r="BL361" i="1"/>
  <c r="BM361" i="1" s="1"/>
  <c r="BL360" i="1"/>
  <c r="BM360" i="1" s="1"/>
  <c r="BL359" i="1"/>
  <c r="BM359" i="1" s="1"/>
  <c r="BL358" i="1"/>
  <c r="BM358" i="1" s="1"/>
  <c r="BL357" i="1"/>
  <c r="BM357" i="1" s="1"/>
  <c r="BL356" i="1"/>
  <c r="BM356" i="1" s="1"/>
  <c r="BL355" i="1"/>
  <c r="BM355" i="1" s="1"/>
  <c r="BL354" i="1"/>
  <c r="BM354" i="1" s="1"/>
  <c r="BL353" i="1"/>
  <c r="BM353" i="1" s="1"/>
  <c r="BL352" i="1"/>
  <c r="BM352" i="1" s="1"/>
  <c r="BL351" i="1"/>
  <c r="BM351" i="1" s="1"/>
  <c r="BL350" i="1"/>
  <c r="BM350" i="1" s="1"/>
  <c r="BL349" i="1"/>
  <c r="BM349" i="1" s="1"/>
  <c r="BL348" i="1"/>
  <c r="BM348" i="1" s="1"/>
  <c r="BL347" i="1"/>
  <c r="BM347" i="1" s="1"/>
  <c r="BL346" i="1"/>
  <c r="BM346" i="1" s="1"/>
  <c r="BL345" i="1"/>
  <c r="BM345" i="1" s="1"/>
  <c r="BL344" i="1"/>
  <c r="BM344" i="1" s="1"/>
  <c r="BL343" i="1"/>
  <c r="BM343" i="1" s="1"/>
  <c r="BL342" i="1"/>
  <c r="BM342" i="1" s="1"/>
  <c r="BL341" i="1"/>
  <c r="BM341" i="1" s="1"/>
  <c r="BL340" i="1"/>
  <c r="BM340" i="1" s="1"/>
  <c r="BL339" i="1"/>
  <c r="BM339" i="1" s="1"/>
  <c r="BL338" i="1"/>
  <c r="BM338" i="1" s="1"/>
  <c r="BL337" i="1"/>
  <c r="BM337" i="1" s="1"/>
  <c r="BL336" i="1"/>
  <c r="BM336" i="1" s="1"/>
  <c r="BL335" i="1"/>
  <c r="BM335" i="1" s="1"/>
  <c r="BL334" i="1"/>
  <c r="BM334" i="1" s="1"/>
  <c r="BL333" i="1"/>
  <c r="BM333" i="1" s="1"/>
  <c r="BL332" i="1"/>
  <c r="BM332" i="1" s="1"/>
  <c r="BL331" i="1"/>
  <c r="BM331" i="1" s="1"/>
  <c r="BL330" i="1"/>
  <c r="BM330" i="1" s="1"/>
  <c r="BL329" i="1"/>
  <c r="BM329" i="1" s="1"/>
  <c r="BL328" i="1"/>
  <c r="BM328" i="1" s="1"/>
  <c r="BL327" i="1"/>
  <c r="BM327" i="1" s="1"/>
  <c r="BL326" i="1"/>
  <c r="BM326" i="1" s="1"/>
  <c r="BL325" i="1"/>
  <c r="BM325" i="1" s="1"/>
  <c r="BL324" i="1"/>
  <c r="BM324" i="1" s="1"/>
  <c r="BL323" i="1"/>
  <c r="BM323" i="1" s="1"/>
  <c r="BL322" i="1"/>
  <c r="BM322" i="1" s="1"/>
  <c r="BL321" i="1"/>
  <c r="BM321" i="1" s="1"/>
  <c r="BL320" i="1"/>
  <c r="BM320" i="1" s="1"/>
  <c r="BL319" i="1"/>
  <c r="BM319" i="1" s="1"/>
  <c r="BL318" i="1"/>
  <c r="BM318" i="1" s="1"/>
  <c r="BL317" i="1"/>
  <c r="BM317" i="1" s="1"/>
  <c r="BL316" i="1"/>
  <c r="BM316" i="1" s="1"/>
  <c r="BL315" i="1"/>
  <c r="BM315" i="1" s="1"/>
  <c r="BL314" i="1"/>
  <c r="BM314" i="1" s="1"/>
  <c r="BL313" i="1"/>
  <c r="BM313" i="1" s="1"/>
  <c r="BL312" i="1"/>
  <c r="BM312" i="1" s="1"/>
  <c r="BL311" i="1"/>
  <c r="BM311" i="1" s="1"/>
  <c r="BL310" i="1"/>
  <c r="BM310" i="1" s="1"/>
  <c r="BL309" i="1"/>
  <c r="BM309" i="1" s="1"/>
  <c r="BL308" i="1"/>
  <c r="BM308" i="1" s="1"/>
  <c r="BL307" i="1"/>
  <c r="BM307" i="1" s="1"/>
  <c r="BL306" i="1"/>
  <c r="BM306" i="1" s="1"/>
  <c r="BL305" i="1"/>
  <c r="BM305" i="1" s="1"/>
  <c r="BL304" i="1"/>
  <c r="BM304" i="1" s="1"/>
  <c r="BL303" i="1"/>
  <c r="BM303" i="1" s="1"/>
  <c r="BL302" i="1"/>
  <c r="BM302" i="1" s="1"/>
  <c r="BL301" i="1"/>
  <c r="BM301" i="1" s="1"/>
  <c r="BL300" i="1"/>
  <c r="BM300" i="1" s="1"/>
  <c r="BL299" i="1"/>
  <c r="BM299" i="1" s="1"/>
  <c r="BL298" i="1"/>
  <c r="BM298" i="1" s="1"/>
  <c r="BL297" i="1"/>
  <c r="BM297" i="1" s="1"/>
  <c r="BL296" i="1"/>
  <c r="BM296" i="1" s="1"/>
  <c r="BL295" i="1"/>
  <c r="BM295" i="1" s="1"/>
  <c r="BL294" i="1"/>
  <c r="BM294" i="1" s="1"/>
  <c r="BL293" i="1"/>
  <c r="BM293" i="1" s="1"/>
  <c r="BL292" i="1"/>
  <c r="BM292" i="1" s="1"/>
  <c r="BL291" i="1"/>
  <c r="BM291" i="1" s="1"/>
  <c r="BL290" i="1"/>
  <c r="BM290" i="1" s="1"/>
  <c r="BL289" i="1"/>
  <c r="BM289" i="1" s="1"/>
  <c r="BL288" i="1"/>
  <c r="BM288" i="1" s="1"/>
  <c r="BL287" i="1"/>
  <c r="BM287" i="1" s="1"/>
  <c r="BL286" i="1"/>
  <c r="BM286" i="1" s="1"/>
  <c r="BL285" i="1"/>
  <c r="BM285" i="1" s="1"/>
  <c r="BL284" i="1"/>
  <c r="BM284" i="1" s="1"/>
  <c r="BL283" i="1"/>
  <c r="BM283" i="1" s="1"/>
  <c r="BL282" i="1"/>
  <c r="BM282" i="1" s="1"/>
  <c r="BL281" i="1"/>
  <c r="BM281" i="1" s="1"/>
  <c r="BL280" i="1"/>
  <c r="BM280" i="1" s="1"/>
  <c r="BL279" i="1"/>
  <c r="BM279" i="1" s="1"/>
  <c r="BL278" i="1"/>
  <c r="BM278" i="1" s="1"/>
  <c r="BL277" i="1"/>
  <c r="BM277" i="1" s="1"/>
  <c r="BL276" i="1"/>
  <c r="BM276" i="1" s="1"/>
  <c r="BL275" i="1"/>
  <c r="BM275" i="1" s="1"/>
  <c r="BL274" i="1"/>
  <c r="BM274" i="1" s="1"/>
  <c r="BL273" i="1"/>
  <c r="BM273" i="1" s="1"/>
  <c r="BL272" i="1"/>
  <c r="BM272" i="1" s="1"/>
  <c r="BL271" i="1"/>
  <c r="BM271" i="1" s="1"/>
  <c r="BL270" i="1"/>
  <c r="BM270" i="1" s="1"/>
  <c r="BL269" i="1"/>
  <c r="BM269" i="1" s="1"/>
  <c r="BL268" i="1"/>
  <c r="BM268" i="1" s="1"/>
  <c r="BL267" i="1"/>
  <c r="BM267" i="1" s="1"/>
  <c r="BL266" i="1"/>
  <c r="BM266" i="1" s="1"/>
  <c r="BL265" i="1"/>
  <c r="BM265" i="1" s="1"/>
  <c r="BL264" i="1"/>
  <c r="BM264" i="1" s="1"/>
  <c r="BL263" i="1"/>
  <c r="BM263" i="1" s="1"/>
  <c r="BL262" i="1"/>
  <c r="BM262" i="1" s="1"/>
  <c r="BL261" i="1"/>
  <c r="BM261" i="1" s="1"/>
  <c r="BL260" i="1"/>
  <c r="BM260" i="1" s="1"/>
  <c r="BL259" i="1"/>
  <c r="BM259" i="1" s="1"/>
  <c r="BL258" i="1"/>
  <c r="BM258" i="1" s="1"/>
  <c r="BL257" i="1"/>
  <c r="BM257" i="1" s="1"/>
  <c r="BL256" i="1"/>
  <c r="BM256" i="1" s="1"/>
  <c r="BL255" i="1"/>
  <c r="BM255" i="1" s="1"/>
  <c r="BL254" i="1"/>
  <c r="BM254" i="1" s="1"/>
  <c r="BL253" i="1"/>
  <c r="BM253" i="1" s="1"/>
  <c r="BL252" i="1"/>
  <c r="BM252" i="1" s="1"/>
  <c r="BL251" i="1"/>
  <c r="BM251" i="1" s="1"/>
  <c r="BL250" i="1"/>
  <c r="BM250" i="1" s="1"/>
  <c r="BL249" i="1"/>
  <c r="BM249" i="1" s="1"/>
  <c r="BL248" i="1"/>
  <c r="BM248" i="1" s="1"/>
  <c r="BL247" i="1"/>
  <c r="BM247" i="1" s="1"/>
  <c r="BL246" i="1"/>
  <c r="BM246" i="1" s="1"/>
  <c r="BL245" i="1"/>
  <c r="BM245" i="1" s="1"/>
  <c r="BL244" i="1"/>
  <c r="BM244" i="1" s="1"/>
  <c r="BL243" i="1"/>
  <c r="BM243" i="1" s="1"/>
  <c r="BL242" i="1"/>
  <c r="BM242" i="1" s="1"/>
  <c r="BL241" i="1"/>
  <c r="BM241" i="1" s="1"/>
  <c r="BL240" i="1"/>
  <c r="BM240" i="1" s="1"/>
  <c r="BL239" i="1"/>
  <c r="BM239" i="1" s="1"/>
  <c r="BL238" i="1"/>
  <c r="BM238" i="1" s="1"/>
  <c r="BL237" i="1"/>
  <c r="BM237" i="1" s="1"/>
  <c r="BL236" i="1"/>
  <c r="BM236" i="1" s="1"/>
  <c r="BL235" i="1"/>
  <c r="BM235" i="1" s="1"/>
  <c r="BL234" i="1"/>
  <c r="BM234" i="1" s="1"/>
  <c r="BL233" i="1"/>
  <c r="BM233" i="1" s="1"/>
  <c r="BL232" i="1"/>
  <c r="BM232" i="1" s="1"/>
  <c r="BL231" i="1"/>
  <c r="BM231" i="1" s="1"/>
  <c r="BL230" i="1"/>
  <c r="BM230" i="1" s="1"/>
  <c r="BL229" i="1"/>
  <c r="BM229" i="1" s="1"/>
  <c r="BL228" i="1"/>
  <c r="BM228" i="1" s="1"/>
  <c r="BL227" i="1"/>
  <c r="BM227" i="1" s="1"/>
  <c r="BL226" i="1"/>
  <c r="BM226" i="1" s="1"/>
  <c r="BL225" i="1"/>
  <c r="BM225" i="1" s="1"/>
  <c r="BL224" i="1"/>
  <c r="BM224" i="1" s="1"/>
  <c r="BL223" i="1"/>
  <c r="BM223" i="1" s="1"/>
  <c r="BL222" i="1"/>
  <c r="BM222" i="1" s="1"/>
  <c r="BL221" i="1"/>
  <c r="BM221" i="1" s="1"/>
  <c r="BL220" i="1"/>
  <c r="BM220" i="1" s="1"/>
  <c r="BL219" i="1"/>
  <c r="BM219" i="1" s="1"/>
  <c r="BL218" i="1"/>
  <c r="BM218" i="1" s="1"/>
  <c r="BL217" i="1"/>
  <c r="BM217" i="1" s="1"/>
  <c r="BL216" i="1"/>
  <c r="BM216" i="1" s="1"/>
  <c r="BL215" i="1"/>
  <c r="BM215" i="1" s="1"/>
  <c r="BL214" i="1"/>
  <c r="BM214" i="1" s="1"/>
  <c r="BL213" i="1"/>
  <c r="BM213" i="1" s="1"/>
  <c r="BL212" i="1"/>
  <c r="BM212" i="1" s="1"/>
  <c r="BL211" i="1"/>
  <c r="BM211" i="1" s="1"/>
  <c r="BL210" i="1"/>
  <c r="BM210" i="1" s="1"/>
  <c r="BL209" i="1"/>
  <c r="BM209" i="1" s="1"/>
  <c r="BL208" i="1"/>
  <c r="BM208" i="1" s="1"/>
  <c r="BL207" i="1"/>
  <c r="BM207" i="1" s="1"/>
  <c r="BL206" i="1"/>
  <c r="BM206" i="1" s="1"/>
  <c r="BL205" i="1"/>
  <c r="BM205" i="1" s="1"/>
  <c r="BL204" i="1"/>
  <c r="BM204" i="1" s="1"/>
  <c r="BL203" i="1"/>
  <c r="BM203" i="1" s="1"/>
  <c r="BL202" i="1"/>
  <c r="BM202" i="1" s="1"/>
  <c r="BL201" i="1"/>
  <c r="BM201" i="1" s="1"/>
  <c r="BL200" i="1"/>
  <c r="BM200" i="1" s="1"/>
  <c r="BL199" i="1"/>
  <c r="BM199" i="1" s="1"/>
  <c r="BL198" i="1"/>
  <c r="BM198" i="1" s="1"/>
  <c r="BL197" i="1"/>
  <c r="BM197" i="1" s="1"/>
  <c r="BL196" i="1"/>
  <c r="BM196" i="1" s="1"/>
  <c r="BL195" i="1"/>
  <c r="BM195" i="1" s="1"/>
  <c r="BL194" i="1"/>
  <c r="BM194" i="1" s="1"/>
  <c r="BL193" i="1"/>
  <c r="BM193" i="1" s="1"/>
  <c r="BL192" i="1"/>
  <c r="BM192" i="1" s="1"/>
  <c r="BL191" i="1"/>
  <c r="BM191" i="1" s="1"/>
  <c r="BL190" i="1"/>
  <c r="BM190" i="1" s="1"/>
  <c r="BL189" i="1"/>
  <c r="BM189" i="1" s="1"/>
  <c r="BL188" i="1"/>
  <c r="BM188" i="1" s="1"/>
  <c r="BL187" i="1"/>
  <c r="BM187" i="1" s="1"/>
  <c r="BL186" i="1"/>
  <c r="BM186" i="1" s="1"/>
  <c r="BL185" i="1"/>
  <c r="BM185" i="1" s="1"/>
  <c r="BL184" i="1"/>
  <c r="BM184" i="1" s="1"/>
  <c r="BL183" i="1"/>
  <c r="BM183" i="1" s="1"/>
  <c r="BL182" i="1"/>
  <c r="BM182" i="1" s="1"/>
  <c r="BL181" i="1"/>
  <c r="BM181" i="1" s="1"/>
  <c r="BL180" i="1"/>
  <c r="BM180" i="1" s="1"/>
  <c r="BL179" i="1"/>
  <c r="BM179" i="1" s="1"/>
  <c r="BL178" i="1"/>
  <c r="BM178" i="1" s="1"/>
  <c r="BL177" i="1"/>
  <c r="BM177" i="1" s="1"/>
  <c r="BL176" i="1"/>
  <c r="BM176" i="1" s="1"/>
  <c r="BL175" i="1"/>
  <c r="BM175" i="1" s="1"/>
  <c r="BL174" i="1"/>
  <c r="BM174" i="1" s="1"/>
  <c r="BL173" i="1"/>
  <c r="BM173" i="1" s="1"/>
  <c r="BL172" i="1"/>
  <c r="BM172" i="1" s="1"/>
  <c r="BL171" i="1"/>
  <c r="BM171" i="1" s="1"/>
  <c r="BL170" i="1"/>
  <c r="BM170" i="1" s="1"/>
  <c r="BL169" i="1"/>
  <c r="BM169" i="1" s="1"/>
  <c r="BL168" i="1"/>
  <c r="BM168" i="1" s="1"/>
  <c r="BL167" i="1"/>
  <c r="BM167" i="1" s="1"/>
  <c r="BL166" i="1"/>
  <c r="BM166" i="1" s="1"/>
  <c r="BL165" i="1"/>
  <c r="BM165" i="1" s="1"/>
  <c r="BL164" i="1"/>
  <c r="BM164" i="1" s="1"/>
  <c r="BL163" i="1"/>
  <c r="BM163" i="1" s="1"/>
  <c r="BL162" i="1"/>
  <c r="BM162" i="1" s="1"/>
  <c r="BL161" i="1"/>
  <c r="BM161" i="1" s="1"/>
  <c r="BL160" i="1"/>
  <c r="BM160" i="1" s="1"/>
  <c r="BL159" i="1"/>
  <c r="BM159" i="1" s="1"/>
  <c r="BL158" i="1"/>
  <c r="BM158" i="1" s="1"/>
  <c r="BL157" i="1"/>
  <c r="BM157" i="1" s="1"/>
  <c r="BL156" i="1"/>
  <c r="BM156" i="1" s="1"/>
  <c r="BL155" i="1"/>
  <c r="BM155" i="1" s="1"/>
  <c r="BL154" i="1"/>
  <c r="BM154" i="1" s="1"/>
  <c r="BL153" i="1"/>
  <c r="BM153" i="1" s="1"/>
  <c r="BL152" i="1"/>
  <c r="BM152" i="1" s="1"/>
  <c r="BL151" i="1"/>
  <c r="BM151" i="1" s="1"/>
  <c r="BL150" i="1"/>
  <c r="BM150" i="1" s="1"/>
  <c r="BL149" i="1"/>
  <c r="BM149" i="1" s="1"/>
  <c r="BL148" i="1"/>
  <c r="BM148" i="1" s="1"/>
  <c r="BL147" i="1"/>
  <c r="BM147" i="1" s="1"/>
  <c r="BL146" i="1"/>
  <c r="BM146" i="1" s="1"/>
  <c r="BL145" i="1"/>
  <c r="BM145" i="1" s="1"/>
  <c r="BL144" i="1"/>
  <c r="BM144" i="1" s="1"/>
  <c r="BL143" i="1"/>
  <c r="BM143" i="1" s="1"/>
  <c r="BL142" i="1"/>
  <c r="BM142" i="1" s="1"/>
  <c r="BL141" i="1"/>
  <c r="BM141" i="1" s="1"/>
  <c r="BL140" i="1"/>
  <c r="BM140" i="1" s="1"/>
  <c r="BL139" i="1"/>
  <c r="BM139" i="1" s="1"/>
  <c r="BL138" i="1"/>
  <c r="BM138" i="1" s="1"/>
  <c r="BL137" i="1"/>
  <c r="BM137" i="1" s="1"/>
  <c r="BL136" i="1"/>
  <c r="BM136" i="1" s="1"/>
  <c r="BL135" i="1"/>
  <c r="BM135" i="1" s="1"/>
  <c r="BL134" i="1"/>
  <c r="BM134" i="1" s="1"/>
  <c r="BL133" i="1"/>
  <c r="BM133" i="1" s="1"/>
  <c r="BL132" i="1"/>
  <c r="BM132" i="1" s="1"/>
  <c r="BL131" i="1"/>
  <c r="BM131" i="1" s="1"/>
  <c r="BL130" i="1"/>
  <c r="BM130" i="1" s="1"/>
  <c r="BL129" i="1"/>
  <c r="BM129" i="1" s="1"/>
  <c r="BL128" i="1"/>
  <c r="BM128" i="1" s="1"/>
  <c r="BL127" i="1"/>
  <c r="BM127" i="1" s="1"/>
  <c r="BL126" i="1"/>
  <c r="BM126" i="1" s="1"/>
  <c r="BL125" i="1"/>
  <c r="BM125" i="1" s="1"/>
  <c r="BL124" i="1"/>
  <c r="BM124" i="1" s="1"/>
  <c r="BL123" i="1"/>
  <c r="BM123" i="1" s="1"/>
  <c r="BL122" i="1"/>
  <c r="BM122" i="1" s="1"/>
  <c r="BL121" i="1"/>
  <c r="BM121" i="1" s="1"/>
  <c r="BL120" i="1"/>
  <c r="BM120" i="1" s="1"/>
  <c r="BL119" i="1"/>
  <c r="BM119" i="1" s="1"/>
  <c r="BL118" i="1"/>
  <c r="BM118" i="1" s="1"/>
  <c r="BL117" i="1"/>
  <c r="BM117" i="1" s="1"/>
  <c r="BL116" i="1"/>
  <c r="BM116" i="1" s="1"/>
  <c r="BL115" i="1"/>
  <c r="BM115" i="1" s="1"/>
  <c r="BL114" i="1"/>
  <c r="BM114" i="1" s="1"/>
  <c r="BL113" i="1"/>
  <c r="BM113" i="1" s="1"/>
  <c r="BL112" i="1"/>
  <c r="BM112" i="1" s="1"/>
  <c r="BL111" i="1"/>
  <c r="BM111" i="1" s="1"/>
  <c r="BL110" i="1"/>
  <c r="BM110" i="1" s="1"/>
  <c r="BL109" i="1"/>
  <c r="BM109" i="1" s="1"/>
  <c r="BL108" i="1"/>
  <c r="BM108" i="1" s="1"/>
  <c r="BL107" i="1"/>
  <c r="BM107" i="1" s="1"/>
  <c r="BL106" i="1"/>
  <c r="BM106" i="1" s="1"/>
  <c r="BL105" i="1"/>
  <c r="BM105" i="1" s="1"/>
  <c r="BL104" i="1"/>
  <c r="BM104" i="1" s="1"/>
  <c r="BL103" i="1"/>
  <c r="BM103" i="1" s="1"/>
  <c r="BL102" i="1"/>
  <c r="BM102" i="1" s="1"/>
  <c r="BL101" i="1"/>
  <c r="BM101" i="1" s="1"/>
  <c r="BL100" i="1"/>
  <c r="BM100" i="1" s="1"/>
  <c r="BL99" i="1"/>
  <c r="BM99" i="1" s="1"/>
  <c r="BL98" i="1"/>
  <c r="BM98" i="1" s="1"/>
  <c r="BL97" i="1"/>
  <c r="BM97" i="1" s="1"/>
  <c r="BL96" i="1"/>
  <c r="BM96" i="1" s="1"/>
  <c r="BL95" i="1"/>
  <c r="BM95" i="1" s="1"/>
  <c r="BL94" i="1"/>
  <c r="BM94" i="1" s="1"/>
  <c r="BL93" i="1"/>
  <c r="BM93" i="1" s="1"/>
  <c r="BL92" i="1"/>
  <c r="BM92" i="1" s="1"/>
  <c r="BL91" i="1"/>
  <c r="BM91" i="1" s="1"/>
  <c r="BL90" i="1"/>
  <c r="BM90" i="1" s="1"/>
  <c r="BL89" i="1"/>
  <c r="BM89" i="1" s="1"/>
  <c r="BL88" i="1"/>
  <c r="BM88" i="1" s="1"/>
  <c r="BL87" i="1"/>
  <c r="BM87" i="1" s="1"/>
  <c r="BL86" i="1"/>
  <c r="BM86" i="1" s="1"/>
  <c r="BL85" i="1"/>
  <c r="BM85" i="1" s="1"/>
  <c r="BL84" i="1"/>
  <c r="BM84" i="1" s="1"/>
  <c r="BL83" i="1"/>
  <c r="BM83" i="1" s="1"/>
  <c r="BL82" i="1"/>
  <c r="BM82" i="1" s="1"/>
  <c r="BL81" i="1"/>
  <c r="BM81" i="1" s="1"/>
  <c r="BL80" i="1"/>
  <c r="BM80" i="1" s="1"/>
  <c r="BL79" i="1"/>
  <c r="BM79" i="1" s="1"/>
  <c r="BL78" i="1"/>
  <c r="BM78" i="1" s="1"/>
  <c r="BL77" i="1"/>
  <c r="BM77" i="1" s="1"/>
  <c r="BL76" i="1"/>
  <c r="BM76" i="1" s="1"/>
  <c r="BL75" i="1"/>
  <c r="BM75" i="1" s="1"/>
  <c r="BL74" i="1"/>
  <c r="BM74" i="1" s="1"/>
  <c r="BL73" i="1"/>
  <c r="BM73" i="1" s="1"/>
  <c r="BL72" i="1"/>
  <c r="BM72" i="1" s="1"/>
  <c r="BL71" i="1"/>
  <c r="BM71" i="1" s="1"/>
  <c r="BL70" i="1"/>
  <c r="BM70" i="1" s="1"/>
  <c r="BL69" i="1"/>
  <c r="BM69" i="1" s="1"/>
  <c r="BL68" i="1"/>
  <c r="BM68" i="1" s="1"/>
  <c r="BL67" i="1"/>
  <c r="BM67" i="1" s="1"/>
  <c r="BL66" i="1"/>
  <c r="BM66" i="1" s="1"/>
  <c r="BL65" i="1"/>
  <c r="BM65" i="1" s="1"/>
  <c r="BL64" i="1"/>
  <c r="BM64" i="1" s="1"/>
  <c r="BL63" i="1"/>
  <c r="BM63" i="1" s="1"/>
  <c r="BL62" i="1"/>
  <c r="BM62" i="1" s="1"/>
  <c r="BL61" i="1"/>
  <c r="BM61" i="1" s="1"/>
  <c r="BL60" i="1"/>
  <c r="BM60" i="1" s="1"/>
  <c r="BL59" i="1"/>
  <c r="BM59" i="1" s="1"/>
  <c r="BL58" i="1"/>
  <c r="BM58" i="1" s="1"/>
  <c r="BL57" i="1"/>
  <c r="BM57" i="1" s="1"/>
  <c r="BL56" i="1"/>
  <c r="BM56" i="1" s="1"/>
  <c r="BL55" i="1"/>
  <c r="BM55" i="1" s="1"/>
  <c r="BL54" i="1"/>
  <c r="BM54" i="1" s="1"/>
  <c r="BL53" i="1"/>
  <c r="BM53" i="1" s="1"/>
  <c r="BL52" i="1"/>
  <c r="BM52" i="1" s="1"/>
  <c r="BL51" i="1"/>
  <c r="BM51" i="1" s="1"/>
  <c r="BL50" i="1"/>
  <c r="BM50" i="1" s="1"/>
  <c r="BL49" i="1"/>
  <c r="BM49" i="1" s="1"/>
  <c r="BL48" i="1"/>
  <c r="BM48" i="1" s="1"/>
  <c r="BL47" i="1"/>
  <c r="BM47" i="1" s="1"/>
  <c r="BL46" i="1"/>
  <c r="BM46" i="1" s="1"/>
  <c r="BL45" i="1"/>
  <c r="BM45" i="1" s="1"/>
  <c r="BL44" i="1"/>
  <c r="BM44" i="1" s="1"/>
  <c r="BJ1011" i="1"/>
  <c r="BK1011" i="1" s="1"/>
  <c r="BJ1010" i="1"/>
  <c r="BK1010" i="1" s="1"/>
  <c r="BJ1009" i="1"/>
  <c r="BK1009" i="1" s="1"/>
  <c r="BJ1008" i="1"/>
  <c r="BK1008" i="1" s="1"/>
  <c r="BJ1007" i="1"/>
  <c r="BK1007" i="1" s="1"/>
  <c r="BJ1006" i="1"/>
  <c r="BK1006" i="1" s="1"/>
  <c r="BJ1005" i="1"/>
  <c r="BK1005" i="1" s="1"/>
  <c r="BJ1004" i="1"/>
  <c r="BK1004" i="1" s="1"/>
  <c r="BJ1003" i="1"/>
  <c r="BK1003" i="1" s="1"/>
  <c r="BJ1002" i="1"/>
  <c r="BK1002" i="1" s="1"/>
  <c r="BJ1001" i="1"/>
  <c r="BK1001" i="1" s="1"/>
  <c r="BJ1000" i="1"/>
  <c r="BK1000" i="1" s="1"/>
  <c r="BJ999" i="1"/>
  <c r="BK999" i="1" s="1"/>
  <c r="BJ998" i="1"/>
  <c r="BK998" i="1" s="1"/>
  <c r="BJ997" i="1"/>
  <c r="BK997" i="1" s="1"/>
  <c r="BJ996" i="1"/>
  <c r="BK996" i="1" s="1"/>
  <c r="BJ995" i="1"/>
  <c r="BK995" i="1" s="1"/>
  <c r="BJ994" i="1"/>
  <c r="BK994" i="1" s="1"/>
  <c r="BJ993" i="1"/>
  <c r="BK993" i="1" s="1"/>
  <c r="BJ992" i="1"/>
  <c r="BK992" i="1" s="1"/>
  <c r="BJ991" i="1"/>
  <c r="BK991" i="1" s="1"/>
  <c r="BJ990" i="1"/>
  <c r="BK990" i="1" s="1"/>
  <c r="BJ989" i="1"/>
  <c r="BK989" i="1" s="1"/>
  <c r="BJ988" i="1"/>
  <c r="BK988" i="1" s="1"/>
  <c r="BJ987" i="1"/>
  <c r="BK987" i="1" s="1"/>
  <c r="BJ986" i="1"/>
  <c r="BK986" i="1" s="1"/>
  <c r="BJ985" i="1"/>
  <c r="BK985" i="1" s="1"/>
  <c r="BJ984" i="1"/>
  <c r="BK984" i="1" s="1"/>
  <c r="BJ983" i="1"/>
  <c r="BK983" i="1" s="1"/>
  <c r="BJ982" i="1"/>
  <c r="BK982" i="1" s="1"/>
  <c r="BJ981" i="1"/>
  <c r="BK981" i="1" s="1"/>
  <c r="BJ980" i="1"/>
  <c r="BK980" i="1" s="1"/>
  <c r="BJ979" i="1"/>
  <c r="BK979" i="1" s="1"/>
  <c r="BJ978" i="1"/>
  <c r="BK978" i="1" s="1"/>
  <c r="BJ977" i="1"/>
  <c r="BK977" i="1" s="1"/>
  <c r="BJ976" i="1"/>
  <c r="BK976" i="1" s="1"/>
  <c r="BJ975" i="1"/>
  <c r="BK975" i="1" s="1"/>
  <c r="BJ974" i="1"/>
  <c r="BK974" i="1" s="1"/>
  <c r="BJ973" i="1"/>
  <c r="BK973" i="1" s="1"/>
  <c r="BJ972" i="1"/>
  <c r="BK972" i="1" s="1"/>
  <c r="BJ971" i="1"/>
  <c r="BK971" i="1" s="1"/>
  <c r="BJ970" i="1"/>
  <c r="BK970" i="1" s="1"/>
  <c r="BJ969" i="1"/>
  <c r="BK969" i="1" s="1"/>
  <c r="BJ968" i="1"/>
  <c r="BK968" i="1" s="1"/>
  <c r="BJ967" i="1"/>
  <c r="BK967" i="1" s="1"/>
  <c r="BJ966" i="1"/>
  <c r="BK966" i="1" s="1"/>
  <c r="BJ965" i="1"/>
  <c r="BK965" i="1" s="1"/>
  <c r="BJ964" i="1"/>
  <c r="BK964" i="1" s="1"/>
  <c r="BJ963" i="1"/>
  <c r="BK963" i="1" s="1"/>
  <c r="BJ962" i="1"/>
  <c r="BK962" i="1" s="1"/>
  <c r="BJ961" i="1"/>
  <c r="BK961" i="1" s="1"/>
  <c r="BJ960" i="1"/>
  <c r="BK960" i="1" s="1"/>
  <c r="BJ959" i="1"/>
  <c r="BK959" i="1" s="1"/>
  <c r="BJ958" i="1"/>
  <c r="BK958" i="1" s="1"/>
  <c r="BJ957" i="1"/>
  <c r="BK957" i="1" s="1"/>
  <c r="BJ956" i="1"/>
  <c r="BK956" i="1" s="1"/>
  <c r="BJ955" i="1"/>
  <c r="BK955" i="1" s="1"/>
  <c r="BJ954" i="1"/>
  <c r="BK954" i="1" s="1"/>
  <c r="BJ953" i="1"/>
  <c r="BK953" i="1" s="1"/>
  <c r="BJ952" i="1"/>
  <c r="BK952" i="1" s="1"/>
  <c r="BJ951" i="1"/>
  <c r="BK951" i="1" s="1"/>
  <c r="BJ950" i="1"/>
  <c r="BK950" i="1" s="1"/>
  <c r="BJ949" i="1"/>
  <c r="BK949" i="1" s="1"/>
  <c r="BJ948" i="1"/>
  <c r="BK948" i="1" s="1"/>
  <c r="BJ947" i="1"/>
  <c r="BK947" i="1" s="1"/>
  <c r="BJ946" i="1"/>
  <c r="BK946" i="1" s="1"/>
  <c r="BJ945" i="1"/>
  <c r="BK945" i="1" s="1"/>
  <c r="BJ944" i="1"/>
  <c r="BK944" i="1" s="1"/>
  <c r="BJ943" i="1"/>
  <c r="BK943" i="1" s="1"/>
  <c r="BJ942" i="1"/>
  <c r="BK942" i="1" s="1"/>
  <c r="BJ941" i="1"/>
  <c r="BK941" i="1" s="1"/>
  <c r="BJ940" i="1"/>
  <c r="BK940" i="1" s="1"/>
  <c r="BJ939" i="1"/>
  <c r="BK939" i="1" s="1"/>
  <c r="BJ938" i="1"/>
  <c r="BK938" i="1" s="1"/>
  <c r="BJ937" i="1"/>
  <c r="BK937" i="1" s="1"/>
  <c r="BJ936" i="1"/>
  <c r="BK936" i="1" s="1"/>
  <c r="BJ935" i="1"/>
  <c r="BK935" i="1" s="1"/>
  <c r="BJ934" i="1"/>
  <c r="BK934" i="1" s="1"/>
  <c r="BJ933" i="1"/>
  <c r="BK933" i="1" s="1"/>
  <c r="BJ932" i="1"/>
  <c r="BK932" i="1" s="1"/>
  <c r="BJ931" i="1"/>
  <c r="BK931" i="1" s="1"/>
  <c r="BJ930" i="1"/>
  <c r="BK930" i="1" s="1"/>
  <c r="BJ929" i="1"/>
  <c r="BK929" i="1" s="1"/>
  <c r="BJ928" i="1"/>
  <c r="BK928" i="1" s="1"/>
  <c r="BJ927" i="1"/>
  <c r="BK927" i="1" s="1"/>
  <c r="BJ926" i="1"/>
  <c r="BK926" i="1" s="1"/>
  <c r="BJ925" i="1"/>
  <c r="BK925" i="1" s="1"/>
  <c r="BJ924" i="1"/>
  <c r="BK924" i="1" s="1"/>
  <c r="BJ923" i="1"/>
  <c r="BK923" i="1" s="1"/>
  <c r="BJ922" i="1"/>
  <c r="BK922" i="1" s="1"/>
  <c r="BJ921" i="1"/>
  <c r="BK921" i="1" s="1"/>
  <c r="BJ920" i="1"/>
  <c r="BK920" i="1" s="1"/>
  <c r="BJ919" i="1"/>
  <c r="BK919" i="1" s="1"/>
  <c r="BJ918" i="1"/>
  <c r="BK918" i="1" s="1"/>
  <c r="BJ917" i="1"/>
  <c r="BK917" i="1" s="1"/>
  <c r="BJ916" i="1"/>
  <c r="BK916" i="1" s="1"/>
  <c r="BJ915" i="1"/>
  <c r="BK915" i="1" s="1"/>
  <c r="BJ914" i="1"/>
  <c r="BK914" i="1" s="1"/>
  <c r="BJ913" i="1"/>
  <c r="BK913" i="1" s="1"/>
  <c r="BJ912" i="1"/>
  <c r="BK912" i="1" s="1"/>
  <c r="BJ911" i="1"/>
  <c r="BK911" i="1" s="1"/>
  <c r="BJ910" i="1"/>
  <c r="BK910" i="1" s="1"/>
  <c r="BJ909" i="1"/>
  <c r="BK909" i="1" s="1"/>
  <c r="BJ908" i="1"/>
  <c r="BK908" i="1" s="1"/>
  <c r="BJ907" i="1"/>
  <c r="BK907" i="1" s="1"/>
  <c r="BJ906" i="1"/>
  <c r="BK906" i="1" s="1"/>
  <c r="BJ905" i="1"/>
  <c r="BK905" i="1" s="1"/>
  <c r="BJ904" i="1"/>
  <c r="BK904" i="1" s="1"/>
  <c r="BJ903" i="1"/>
  <c r="BK903" i="1" s="1"/>
  <c r="BJ902" i="1"/>
  <c r="BK902" i="1" s="1"/>
  <c r="BJ901" i="1"/>
  <c r="BK901" i="1" s="1"/>
  <c r="BJ900" i="1"/>
  <c r="BK900" i="1" s="1"/>
  <c r="BJ899" i="1"/>
  <c r="BK899" i="1" s="1"/>
  <c r="BJ898" i="1"/>
  <c r="BK898" i="1" s="1"/>
  <c r="BJ897" i="1"/>
  <c r="BK897" i="1" s="1"/>
  <c r="BJ896" i="1"/>
  <c r="BK896" i="1" s="1"/>
  <c r="BJ895" i="1"/>
  <c r="BK895" i="1" s="1"/>
  <c r="BJ894" i="1"/>
  <c r="BK894" i="1" s="1"/>
  <c r="BJ893" i="1"/>
  <c r="BK893" i="1" s="1"/>
  <c r="BJ892" i="1"/>
  <c r="BK892" i="1" s="1"/>
  <c r="BJ891" i="1"/>
  <c r="BK891" i="1" s="1"/>
  <c r="BJ890" i="1"/>
  <c r="BK890" i="1" s="1"/>
  <c r="BJ889" i="1"/>
  <c r="BK889" i="1" s="1"/>
  <c r="BJ888" i="1"/>
  <c r="BK888" i="1" s="1"/>
  <c r="BJ887" i="1"/>
  <c r="BK887" i="1" s="1"/>
  <c r="BJ886" i="1"/>
  <c r="BK886" i="1" s="1"/>
  <c r="BJ885" i="1"/>
  <c r="BK885" i="1" s="1"/>
  <c r="BJ884" i="1"/>
  <c r="BK884" i="1" s="1"/>
  <c r="BJ883" i="1"/>
  <c r="BK883" i="1" s="1"/>
  <c r="BJ882" i="1"/>
  <c r="BK882" i="1" s="1"/>
  <c r="BJ881" i="1"/>
  <c r="BK881" i="1" s="1"/>
  <c r="BJ880" i="1"/>
  <c r="BK880" i="1" s="1"/>
  <c r="BJ879" i="1"/>
  <c r="BK879" i="1" s="1"/>
  <c r="BJ878" i="1"/>
  <c r="BK878" i="1" s="1"/>
  <c r="BJ877" i="1"/>
  <c r="BK877" i="1" s="1"/>
  <c r="BJ876" i="1"/>
  <c r="BK876" i="1" s="1"/>
  <c r="BJ875" i="1"/>
  <c r="BK875" i="1" s="1"/>
  <c r="BJ874" i="1"/>
  <c r="BK874" i="1" s="1"/>
  <c r="BJ873" i="1"/>
  <c r="BK873" i="1" s="1"/>
  <c r="BJ872" i="1"/>
  <c r="BK872" i="1" s="1"/>
  <c r="BJ871" i="1"/>
  <c r="BK871" i="1" s="1"/>
  <c r="BJ870" i="1"/>
  <c r="BK870" i="1" s="1"/>
  <c r="BJ869" i="1"/>
  <c r="BK869" i="1" s="1"/>
  <c r="BJ868" i="1"/>
  <c r="BK868" i="1" s="1"/>
  <c r="BJ867" i="1"/>
  <c r="BK867" i="1" s="1"/>
  <c r="BJ866" i="1"/>
  <c r="BK866" i="1" s="1"/>
  <c r="BJ865" i="1"/>
  <c r="BK865" i="1" s="1"/>
  <c r="BJ864" i="1"/>
  <c r="BK864" i="1" s="1"/>
  <c r="BJ863" i="1"/>
  <c r="BK863" i="1" s="1"/>
  <c r="BJ862" i="1"/>
  <c r="BK862" i="1" s="1"/>
  <c r="BJ861" i="1"/>
  <c r="BK861" i="1" s="1"/>
  <c r="BJ860" i="1"/>
  <c r="BK860" i="1" s="1"/>
  <c r="BJ859" i="1"/>
  <c r="BK859" i="1" s="1"/>
  <c r="BJ858" i="1"/>
  <c r="BK858" i="1" s="1"/>
  <c r="BJ857" i="1"/>
  <c r="BK857" i="1" s="1"/>
  <c r="BJ856" i="1"/>
  <c r="BK856" i="1" s="1"/>
  <c r="BJ855" i="1"/>
  <c r="BK855" i="1" s="1"/>
  <c r="BJ854" i="1"/>
  <c r="BK854" i="1" s="1"/>
  <c r="BJ853" i="1"/>
  <c r="BK853" i="1" s="1"/>
  <c r="BJ852" i="1"/>
  <c r="BK852" i="1" s="1"/>
  <c r="BJ851" i="1"/>
  <c r="BK851" i="1" s="1"/>
  <c r="BJ850" i="1"/>
  <c r="BK850" i="1" s="1"/>
  <c r="BJ849" i="1"/>
  <c r="BK849" i="1" s="1"/>
  <c r="BJ848" i="1"/>
  <c r="BK848" i="1" s="1"/>
  <c r="BJ847" i="1"/>
  <c r="BK847" i="1" s="1"/>
  <c r="BJ846" i="1"/>
  <c r="BK846" i="1" s="1"/>
  <c r="BJ845" i="1"/>
  <c r="BK845" i="1" s="1"/>
  <c r="BJ844" i="1"/>
  <c r="BK844" i="1" s="1"/>
  <c r="BJ843" i="1"/>
  <c r="BK843" i="1" s="1"/>
  <c r="BJ842" i="1"/>
  <c r="BK842" i="1" s="1"/>
  <c r="BJ841" i="1"/>
  <c r="BK841" i="1" s="1"/>
  <c r="BJ840" i="1"/>
  <c r="BK840" i="1" s="1"/>
  <c r="BJ839" i="1"/>
  <c r="BK839" i="1" s="1"/>
  <c r="BJ838" i="1"/>
  <c r="BK838" i="1" s="1"/>
  <c r="BJ837" i="1"/>
  <c r="BK837" i="1" s="1"/>
  <c r="BJ836" i="1"/>
  <c r="BK836" i="1" s="1"/>
  <c r="BJ835" i="1"/>
  <c r="BK835" i="1" s="1"/>
  <c r="BJ834" i="1"/>
  <c r="BK834" i="1" s="1"/>
  <c r="BJ833" i="1"/>
  <c r="BK833" i="1" s="1"/>
  <c r="BJ832" i="1"/>
  <c r="BK832" i="1" s="1"/>
  <c r="BJ831" i="1"/>
  <c r="BK831" i="1" s="1"/>
  <c r="BJ830" i="1"/>
  <c r="BK830" i="1" s="1"/>
  <c r="BJ829" i="1"/>
  <c r="BK829" i="1" s="1"/>
  <c r="BJ828" i="1"/>
  <c r="BK828" i="1" s="1"/>
  <c r="BJ827" i="1"/>
  <c r="BK827" i="1" s="1"/>
  <c r="BJ826" i="1"/>
  <c r="BK826" i="1" s="1"/>
  <c r="BJ825" i="1"/>
  <c r="BK825" i="1" s="1"/>
  <c r="BJ824" i="1"/>
  <c r="BK824" i="1" s="1"/>
  <c r="BJ823" i="1"/>
  <c r="BK823" i="1" s="1"/>
  <c r="BJ822" i="1"/>
  <c r="BK822" i="1" s="1"/>
  <c r="BJ821" i="1"/>
  <c r="BK821" i="1" s="1"/>
  <c r="BJ820" i="1"/>
  <c r="BK820" i="1" s="1"/>
  <c r="BJ819" i="1"/>
  <c r="BK819" i="1" s="1"/>
  <c r="BJ818" i="1"/>
  <c r="BK818" i="1" s="1"/>
  <c r="BJ817" i="1"/>
  <c r="BK817" i="1" s="1"/>
  <c r="BJ816" i="1"/>
  <c r="BK816" i="1" s="1"/>
  <c r="BJ815" i="1"/>
  <c r="BK815" i="1" s="1"/>
  <c r="BJ814" i="1"/>
  <c r="BK814" i="1" s="1"/>
  <c r="BJ813" i="1"/>
  <c r="BK813" i="1" s="1"/>
  <c r="BJ812" i="1"/>
  <c r="BK812" i="1" s="1"/>
  <c r="BJ811" i="1"/>
  <c r="BK811" i="1" s="1"/>
  <c r="BJ810" i="1"/>
  <c r="BK810" i="1" s="1"/>
  <c r="BJ809" i="1"/>
  <c r="BK809" i="1" s="1"/>
  <c r="BJ808" i="1"/>
  <c r="BK808" i="1" s="1"/>
  <c r="BJ807" i="1"/>
  <c r="BK807" i="1" s="1"/>
  <c r="BJ806" i="1"/>
  <c r="BK806" i="1" s="1"/>
  <c r="BJ805" i="1"/>
  <c r="BK805" i="1" s="1"/>
  <c r="BJ804" i="1"/>
  <c r="BK804" i="1" s="1"/>
  <c r="BJ803" i="1"/>
  <c r="BK803" i="1" s="1"/>
  <c r="BJ802" i="1"/>
  <c r="BK802" i="1" s="1"/>
  <c r="BJ801" i="1"/>
  <c r="BK801" i="1" s="1"/>
  <c r="BJ800" i="1"/>
  <c r="BK800" i="1" s="1"/>
  <c r="BJ799" i="1"/>
  <c r="BK799" i="1" s="1"/>
  <c r="BJ798" i="1"/>
  <c r="BK798" i="1" s="1"/>
  <c r="BJ797" i="1"/>
  <c r="BK797" i="1" s="1"/>
  <c r="BJ796" i="1"/>
  <c r="BK796" i="1" s="1"/>
  <c r="BJ795" i="1"/>
  <c r="BK795" i="1" s="1"/>
  <c r="BJ794" i="1"/>
  <c r="BK794" i="1" s="1"/>
  <c r="BJ793" i="1"/>
  <c r="BK793" i="1" s="1"/>
  <c r="BJ792" i="1"/>
  <c r="BK792" i="1" s="1"/>
  <c r="BJ791" i="1"/>
  <c r="BK791" i="1" s="1"/>
  <c r="BJ790" i="1"/>
  <c r="BK790" i="1" s="1"/>
  <c r="BJ789" i="1"/>
  <c r="BK789" i="1" s="1"/>
  <c r="BJ788" i="1"/>
  <c r="BK788" i="1" s="1"/>
  <c r="BJ787" i="1"/>
  <c r="BK787" i="1" s="1"/>
  <c r="BJ786" i="1"/>
  <c r="BK786" i="1" s="1"/>
  <c r="BJ785" i="1"/>
  <c r="BK785" i="1" s="1"/>
  <c r="BJ784" i="1"/>
  <c r="BK784" i="1" s="1"/>
  <c r="BJ783" i="1"/>
  <c r="BK783" i="1" s="1"/>
  <c r="BJ782" i="1"/>
  <c r="BK782" i="1" s="1"/>
  <c r="BJ781" i="1"/>
  <c r="BK781" i="1" s="1"/>
  <c r="BJ780" i="1"/>
  <c r="BK780" i="1" s="1"/>
  <c r="BJ779" i="1"/>
  <c r="BK779" i="1" s="1"/>
  <c r="BJ778" i="1"/>
  <c r="BK778" i="1" s="1"/>
  <c r="BJ777" i="1"/>
  <c r="BK777" i="1" s="1"/>
  <c r="BJ776" i="1"/>
  <c r="BK776" i="1" s="1"/>
  <c r="BJ775" i="1"/>
  <c r="BK775" i="1" s="1"/>
  <c r="BJ774" i="1"/>
  <c r="BK774" i="1" s="1"/>
  <c r="BJ773" i="1"/>
  <c r="BK773" i="1" s="1"/>
  <c r="BJ772" i="1"/>
  <c r="BK772" i="1" s="1"/>
  <c r="BJ771" i="1"/>
  <c r="BK771" i="1" s="1"/>
  <c r="BJ770" i="1"/>
  <c r="BK770" i="1" s="1"/>
  <c r="BJ769" i="1"/>
  <c r="BK769" i="1" s="1"/>
  <c r="BJ768" i="1"/>
  <c r="BK768" i="1" s="1"/>
  <c r="BJ767" i="1"/>
  <c r="BK767" i="1" s="1"/>
  <c r="BJ766" i="1"/>
  <c r="BK766" i="1" s="1"/>
  <c r="BJ765" i="1"/>
  <c r="BK765" i="1" s="1"/>
  <c r="BJ764" i="1"/>
  <c r="BK764" i="1" s="1"/>
  <c r="BJ763" i="1"/>
  <c r="BK763" i="1" s="1"/>
  <c r="BJ762" i="1"/>
  <c r="BK762" i="1" s="1"/>
  <c r="BJ761" i="1"/>
  <c r="BK761" i="1" s="1"/>
  <c r="BJ760" i="1"/>
  <c r="BK760" i="1" s="1"/>
  <c r="BJ759" i="1"/>
  <c r="BK759" i="1" s="1"/>
  <c r="BJ758" i="1"/>
  <c r="BK758" i="1" s="1"/>
  <c r="BJ757" i="1"/>
  <c r="BK757" i="1" s="1"/>
  <c r="BJ756" i="1"/>
  <c r="BK756" i="1" s="1"/>
  <c r="BJ755" i="1"/>
  <c r="BK755" i="1" s="1"/>
  <c r="BJ754" i="1"/>
  <c r="BK754" i="1" s="1"/>
  <c r="BJ753" i="1"/>
  <c r="BK753" i="1" s="1"/>
  <c r="BJ752" i="1"/>
  <c r="BK752" i="1" s="1"/>
  <c r="BJ751" i="1"/>
  <c r="BK751" i="1" s="1"/>
  <c r="BJ750" i="1"/>
  <c r="BK750" i="1" s="1"/>
  <c r="BJ749" i="1"/>
  <c r="BK749" i="1" s="1"/>
  <c r="BJ748" i="1"/>
  <c r="BK748" i="1" s="1"/>
  <c r="BJ747" i="1"/>
  <c r="BK747" i="1" s="1"/>
  <c r="BJ746" i="1"/>
  <c r="BK746" i="1" s="1"/>
  <c r="BJ745" i="1"/>
  <c r="BK745" i="1" s="1"/>
  <c r="BJ744" i="1"/>
  <c r="BK744" i="1" s="1"/>
  <c r="BJ743" i="1"/>
  <c r="BK743" i="1" s="1"/>
  <c r="BJ742" i="1"/>
  <c r="BK742" i="1" s="1"/>
  <c r="BJ741" i="1"/>
  <c r="BK741" i="1" s="1"/>
  <c r="BJ740" i="1"/>
  <c r="BK740" i="1" s="1"/>
  <c r="BJ739" i="1"/>
  <c r="BK739" i="1" s="1"/>
  <c r="BJ738" i="1"/>
  <c r="BK738" i="1" s="1"/>
  <c r="BJ737" i="1"/>
  <c r="BK737" i="1" s="1"/>
  <c r="BJ736" i="1"/>
  <c r="BK736" i="1" s="1"/>
  <c r="BJ735" i="1"/>
  <c r="BK735" i="1" s="1"/>
  <c r="BJ734" i="1"/>
  <c r="BK734" i="1" s="1"/>
  <c r="BJ733" i="1"/>
  <c r="BK733" i="1" s="1"/>
  <c r="BJ732" i="1"/>
  <c r="BK732" i="1" s="1"/>
  <c r="BJ731" i="1"/>
  <c r="BK731" i="1" s="1"/>
  <c r="BJ730" i="1"/>
  <c r="BK730" i="1" s="1"/>
  <c r="BJ729" i="1"/>
  <c r="BK729" i="1" s="1"/>
  <c r="BJ728" i="1"/>
  <c r="BK728" i="1" s="1"/>
  <c r="BJ727" i="1"/>
  <c r="BK727" i="1" s="1"/>
  <c r="BJ726" i="1"/>
  <c r="BK726" i="1" s="1"/>
  <c r="BJ725" i="1"/>
  <c r="BK725" i="1" s="1"/>
  <c r="BJ724" i="1"/>
  <c r="BK724" i="1" s="1"/>
  <c r="BJ723" i="1"/>
  <c r="BK723" i="1" s="1"/>
  <c r="BJ722" i="1"/>
  <c r="BK722" i="1" s="1"/>
  <c r="BJ721" i="1"/>
  <c r="BK721" i="1" s="1"/>
  <c r="BJ720" i="1"/>
  <c r="BK720" i="1" s="1"/>
  <c r="BJ719" i="1"/>
  <c r="BK719" i="1" s="1"/>
  <c r="BJ718" i="1"/>
  <c r="BK718" i="1" s="1"/>
  <c r="BJ717" i="1"/>
  <c r="BK717" i="1" s="1"/>
  <c r="BJ716" i="1"/>
  <c r="BK716" i="1" s="1"/>
  <c r="BJ715" i="1"/>
  <c r="BK715" i="1" s="1"/>
  <c r="BJ714" i="1"/>
  <c r="BK714" i="1" s="1"/>
  <c r="BJ713" i="1"/>
  <c r="BK713" i="1" s="1"/>
  <c r="BJ712" i="1"/>
  <c r="BK712" i="1" s="1"/>
  <c r="BJ711" i="1"/>
  <c r="BK711" i="1" s="1"/>
  <c r="BJ710" i="1"/>
  <c r="BK710" i="1" s="1"/>
  <c r="BJ709" i="1"/>
  <c r="BK709" i="1" s="1"/>
  <c r="BJ708" i="1"/>
  <c r="BK708" i="1" s="1"/>
  <c r="BJ707" i="1"/>
  <c r="BK707" i="1" s="1"/>
  <c r="BJ706" i="1"/>
  <c r="BK706" i="1" s="1"/>
  <c r="BJ705" i="1"/>
  <c r="BK705" i="1" s="1"/>
  <c r="BJ704" i="1"/>
  <c r="BK704" i="1" s="1"/>
  <c r="BJ703" i="1"/>
  <c r="BK703" i="1" s="1"/>
  <c r="BJ702" i="1"/>
  <c r="BK702" i="1" s="1"/>
  <c r="BJ701" i="1"/>
  <c r="BK701" i="1" s="1"/>
  <c r="BJ700" i="1"/>
  <c r="BK700" i="1" s="1"/>
  <c r="BJ699" i="1"/>
  <c r="BK699" i="1" s="1"/>
  <c r="BJ698" i="1"/>
  <c r="BK698" i="1" s="1"/>
  <c r="BJ697" i="1"/>
  <c r="BK697" i="1" s="1"/>
  <c r="BJ696" i="1"/>
  <c r="BK696" i="1" s="1"/>
  <c r="BJ695" i="1"/>
  <c r="BK695" i="1" s="1"/>
  <c r="BJ694" i="1"/>
  <c r="BK694" i="1" s="1"/>
  <c r="BJ693" i="1"/>
  <c r="BK693" i="1" s="1"/>
  <c r="BJ692" i="1"/>
  <c r="BK692" i="1" s="1"/>
  <c r="BJ691" i="1"/>
  <c r="BK691" i="1" s="1"/>
  <c r="BJ690" i="1"/>
  <c r="BK690" i="1" s="1"/>
  <c r="BJ689" i="1"/>
  <c r="BK689" i="1" s="1"/>
  <c r="BJ688" i="1"/>
  <c r="BK688" i="1" s="1"/>
  <c r="BJ687" i="1"/>
  <c r="BK687" i="1" s="1"/>
  <c r="BJ686" i="1"/>
  <c r="BK686" i="1" s="1"/>
  <c r="BJ685" i="1"/>
  <c r="BK685" i="1" s="1"/>
  <c r="BJ684" i="1"/>
  <c r="BK684" i="1" s="1"/>
  <c r="BJ683" i="1"/>
  <c r="BK683" i="1" s="1"/>
  <c r="BJ682" i="1"/>
  <c r="BK682" i="1" s="1"/>
  <c r="BJ681" i="1"/>
  <c r="BK681" i="1" s="1"/>
  <c r="BJ680" i="1"/>
  <c r="BK680" i="1" s="1"/>
  <c r="BJ679" i="1"/>
  <c r="BK679" i="1" s="1"/>
  <c r="BJ678" i="1"/>
  <c r="BK678" i="1" s="1"/>
  <c r="BJ677" i="1"/>
  <c r="BK677" i="1" s="1"/>
  <c r="BJ676" i="1"/>
  <c r="BK676" i="1" s="1"/>
  <c r="BJ675" i="1"/>
  <c r="BK675" i="1" s="1"/>
  <c r="BJ674" i="1"/>
  <c r="BK674" i="1" s="1"/>
  <c r="BJ673" i="1"/>
  <c r="BK673" i="1" s="1"/>
  <c r="BJ672" i="1"/>
  <c r="BK672" i="1" s="1"/>
  <c r="BJ671" i="1"/>
  <c r="BK671" i="1" s="1"/>
  <c r="BJ670" i="1"/>
  <c r="BK670" i="1" s="1"/>
  <c r="BJ669" i="1"/>
  <c r="BK669" i="1" s="1"/>
  <c r="BJ668" i="1"/>
  <c r="BK668" i="1" s="1"/>
  <c r="BJ667" i="1"/>
  <c r="BK667" i="1" s="1"/>
  <c r="BJ666" i="1"/>
  <c r="BK666" i="1" s="1"/>
  <c r="BJ665" i="1"/>
  <c r="BK665" i="1" s="1"/>
  <c r="BJ664" i="1"/>
  <c r="BK664" i="1" s="1"/>
  <c r="BJ663" i="1"/>
  <c r="BK663" i="1" s="1"/>
  <c r="BJ662" i="1"/>
  <c r="BK662" i="1" s="1"/>
  <c r="BJ661" i="1"/>
  <c r="BK661" i="1" s="1"/>
  <c r="BJ660" i="1"/>
  <c r="BK660" i="1" s="1"/>
  <c r="BJ659" i="1"/>
  <c r="BK659" i="1" s="1"/>
  <c r="BJ658" i="1"/>
  <c r="BK658" i="1" s="1"/>
  <c r="BJ657" i="1"/>
  <c r="BK657" i="1" s="1"/>
  <c r="BJ656" i="1"/>
  <c r="BK656" i="1" s="1"/>
  <c r="BJ655" i="1"/>
  <c r="BK655" i="1" s="1"/>
  <c r="BJ654" i="1"/>
  <c r="BK654" i="1" s="1"/>
  <c r="BJ653" i="1"/>
  <c r="BK653" i="1" s="1"/>
  <c r="BJ652" i="1"/>
  <c r="BK652" i="1" s="1"/>
  <c r="BJ651" i="1"/>
  <c r="BK651" i="1" s="1"/>
  <c r="BJ650" i="1"/>
  <c r="BK650" i="1" s="1"/>
  <c r="BJ649" i="1"/>
  <c r="BK649" i="1" s="1"/>
  <c r="BJ648" i="1"/>
  <c r="BK648" i="1" s="1"/>
  <c r="BJ647" i="1"/>
  <c r="BK647" i="1" s="1"/>
  <c r="BJ646" i="1"/>
  <c r="BK646" i="1" s="1"/>
  <c r="BJ645" i="1"/>
  <c r="BK645" i="1" s="1"/>
  <c r="BJ644" i="1"/>
  <c r="BK644" i="1" s="1"/>
  <c r="BJ643" i="1"/>
  <c r="BK643" i="1" s="1"/>
  <c r="BJ642" i="1"/>
  <c r="BK642" i="1" s="1"/>
  <c r="BJ641" i="1"/>
  <c r="BK641" i="1" s="1"/>
  <c r="BJ640" i="1"/>
  <c r="BK640" i="1" s="1"/>
  <c r="BJ639" i="1"/>
  <c r="BK639" i="1" s="1"/>
  <c r="BJ638" i="1"/>
  <c r="BK638" i="1" s="1"/>
  <c r="BJ637" i="1"/>
  <c r="BK637" i="1" s="1"/>
  <c r="BJ636" i="1"/>
  <c r="BK636" i="1" s="1"/>
  <c r="BJ635" i="1"/>
  <c r="BK635" i="1" s="1"/>
  <c r="BJ634" i="1"/>
  <c r="BK634" i="1" s="1"/>
  <c r="BJ633" i="1"/>
  <c r="BK633" i="1" s="1"/>
  <c r="BJ632" i="1"/>
  <c r="BK632" i="1" s="1"/>
  <c r="BJ631" i="1"/>
  <c r="BK631" i="1" s="1"/>
  <c r="BJ630" i="1"/>
  <c r="BK630" i="1" s="1"/>
  <c r="BJ629" i="1"/>
  <c r="BK629" i="1" s="1"/>
  <c r="BJ628" i="1"/>
  <c r="BK628" i="1" s="1"/>
  <c r="BJ627" i="1"/>
  <c r="BK627" i="1" s="1"/>
  <c r="BJ626" i="1"/>
  <c r="BK626" i="1" s="1"/>
  <c r="BJ625" i="1"/>
  <c r="BK625" i="1" s="1"/>
  <c r="BJ624" i="1"/>
  <c r="BK624" i="1" s="1"/>
  <c r="BJ623" i="1"/>
  <c r="BK623" i="1" s="1"/>
  <c r="BJ622" i="1"/>
  <c r="BK622" i="1" s="1"/>
  <c r="BJ621" i="1"/>
  <c r="BK621" i="1" s="1"/>
  <c r="BJ620" i="1"/>
  <c r="BK620" i="1" s="1"/>
  <c r="BJ619" i="1"/>
  <c r="BK619" i="1" s="1"/>
  <c r="BJ618" i="1"/>
  <c r="BK618" i="1" s="1"/>
  <c r="BJ617" i="1"/>
  <c r="BK617" i="1" s="1"/>
  <c r="BJ616" i="1"/>
  <c r="BK616" i="1" s="1"/>
  <c r="BJ615" i="1"/>
  <c r="BK615" i="1" s="1"/>
  <c r="BJ614" i="1"/>
  <c r="BK614" i="1" s="1"/>
  <c r="BJ613" i="1"/>
  <c r="BK613" i="1" s="1"/>
  <c r="BJ612" i="1"/>
  <c r="BK612" i="1" s="1"/>
  <c r="BJ611" i="1"/>
  <c r="BK611" i="1" s="1"/>
  <c r="BJ610" i="1"/>
  <c r="BK610" i="1" s="1"/>
  <c r="BJ609" i="1"/>
  <c r="BK609" i="1" s="1"/>
  <c r="BJ608" i="1"/>
  <c r="BK608" i="1" s="1"/>
  <c r="BJ607" i="1"/>
  <c r="BK607" i="1" s="1"/>
  <c r="BJ606" i="1"/>
  <c r="BK606" i="1" s="1"/>
  <c r="BJ605" i="1"/>
  <c r="BK605" i="1" s="1"/>
  <c r="BJ604" i="1"/>
  <c r="BK604" i="1" s="1"/>
  <c r="BJ603" i="1"/>
  <c r="BK603" i="1" s="1"/>
  <c r="BJ602" i="1"/>
  <c r="BK602" i="1" s="1"/>
  <c r="BJ601" i="1"/>
  <c r="BK601" i="1" s="1"/>
  <c r="BJ600" i="1"/>
  <c r="BK600" i="1" s="1"/>
  <c r="BJ599" i="1"/>
  <c r="BK599" i="1" s="1"/>
  <c r="BJ598" i="1"/>
  <c r="BK598" i="1" s="1"/>
  <c r="BJ597" i="1"/>
  <c r="BK597" i="1" s="1"/>
  <c r="BJ596" i="1"/>
  <c r="BK596" i="1" s="1"/>
  <c r="BJ595" i="1"/>
  <c r="BK595" i="1" s="1"/>
  <c r="BJ594" i="1"/>
  <c r="BK594" i="1" s="1"/>
  <c r="BJ593" i="1"/>
  <c r="BK593" i="1" s="1"/>
  <c r="BJ592" i="1"/>
  <c r="BK592" i="1" s="1"/>
  <c r="BJ591" i="1"/>
  <c r="BK591" i="1" s="1"/>
  <c r="BJ590" i="1"/>
  <c r="BK590" i="1" s="1"/>
  <c r="BJ589" i="1"/>
  <c r="BK589" i="1" s="1"/>
  <c r="BJ588" i="1"/>
  <c r="BK588" i="1" s="1"/>
  <c r="BJ587" i="1"/>
  <c r="BK587" i="1" s="1"/>
  <c r="BJ586" i="1"/>
  <c r="BK586" i="1" s="1"/>
  <c r="BJ585" i="1"/>
  <c r="BK585" i="1" s="1"/>
  <c r="BJ584" i="1"/>
  <c r="BK584" i="1" s="1"/>
  <c r="BJ583" i="1"/>
  <c r="BK583" i="1" s="1"/>
  <c r="BJ582" i="1"/>
  <c r="BK582" i="1" s="1"/>
  <c r="BJ581" i="1"/>
  <c r="BK581" i="1" s="1"/>
  <c r="BJ580" i="1"/>
  <c r="BK580" i="1" s="1"/>
  <c r="BJ579" i="1"/>
  <c r="BK579" i="1" s="1"/>
  <c r="BJ578" i="1"/>
  <c r="BK578" i="1" s="1"/>
  <c r="BJ577" i="1"/>
  <c r="BK577" i="1" s="1"/>
  <c r="BJ576" i="1"/>
  <c r="BK576" i="1" s="1"/>
  <c r="BJ575" i="1"/>
  <c r="BK575" i="1" s="1"/>
  <c r="BJ574" i="1"/>
  <c r="BK574" i="1" s="1"/>
  <c r="BJ573" i="1"/>
  <c r="BK573" i="1" s="1"/>
  <c r="BJ572" i="1"/>
  <c r="BK572" i="1" s="1"/>
  <c r="BJ571" i="1"/>
  <c r="BK571" i="1" s="1"/>
  <c r="BJ570" i="1"/>
  <c r="BK570" i="1" s="1"/>
  <c r="BJ569" i="1"/>
  <c r="BK569" i="1" s="1"/>
  <c r="BJ568" i="1"/>
  <c r="BK568" i="1" s="1"/>
  <c r="BJ567" i="1"/>
  <c r="BK567" i="1" s="1"/>
  <c r="BJ566" i="1"/>
  <c r="BK566" i="1" s="1"/>
  <c r="BJ565" i="1"/>
  <c r="BK565" i="1" s="1"/>
  <c r="BJ564" i="1"/>
  <c r="BK564" i="1" s="1"/>
  <c r="BJ563" i="1"/>
  <c r="BK563" i="1" s="1"/>
  <c r="BJ562" i="1"/>
  <c r="BK562" i="1" s="1"/>
  <c r="BJ561" i="1"/>
  <c r="BK561" i="1" s="1"/>
  <c r="BJ560" i="1"/>
  <c r="BK560" i="1" s="1"/>
  <c r="BJ559" i="1"/>
  <c r="BK559" i="1" s="1"/>
  <c r="BJ558" i="1"/>
  <c r="BK558" i="1" s="1"/>
  <c r="BJ557" i="1"/>
  <c r="BK557" i="1" s="1"/>
  <c r="BJ556" i="1"/>
  <c r="BK556" i="1" s="1"/>
  <c r="BJ555" i="1"/>
  <c r="BK555" i="1" s="1"/>
  <c r="BJ554" i="1"/>
  <c r="BK554" i="1" s="1"/>
  <c r="BJ553" i="1"/>
  <c r="BK553" i="1" s="1"/>
  <c r="BJ552" i="1"/>
  <c r="BK552" i="1" s="1"/>
  <c r="BJ551" i="1"/>
  <c r="BK551" i="1" s="1"/>
  <c r="BJ550" i="1"/>
  <c r="BK550" i="1" s="1"/>
  <c r="BJ549" i="1"/>
  <c r="BK549" i="1" s="1"/>
  <c r="BJ548" i="1"/>
  <c r="BK548" i="1" s="1"/>
  <c r="BJ547" i="1"/>
  <c r="BK547" i="1" s="1"/>
  <c r="BJ546" i="1"/>
  <c r="BK546" i="1" s="1"/>
  <c r="BJ545" i="1"/>
  <c r="BK545" i="1" s="1"/>
  <c r="BJ544" i="1"/>
  <c r="BK544" i="1" s="1"/>
  <c r="BJ543" i="1"/>
  <c r="BK543" i="1" s="1"/>
  <c r="BJ542" i="1"/>
  <c r="BK542" i="1" s="1"/>
  <c r="BJ541" i="1"/>
  <c r="BK541" i="1" s="1"/>
  <c r="BJ540" i="1"/>
  <c r="BK540" i="1" s="1"/>
  <c r="BJ539" i="1"/>
  <c r="BK539" i="1" s="1"/>
  <c r="BJ538" i="1"/>
  <c r="BK538" i="1" s="1"/>
  <c r="BJ537" i="1"/>
  <c r="BK537" i="1" s="1"/>
  <c r="BJ536" i="1"/>
  <c r="BK536" i="1" s="1"/>
  <c r="BJ535" i="1"/>
  <c r="BK535" i="1" s="1"/>
  <c r="BJ534" i="1"/>
  <c r="BK534" i="1" s="1"/>
  <c r="BJ533" i="1"/>
  <c r="BK533" i="1" s="1"/>
  <c r="BJ532" i="1"/>
  <c r="BK532" i="1" s="1"/>
  <c r="BJ531" i="1"/>
  <c r="BK531" i="1" s="1"/>
  <c r="BJ530" i="1"/>
  <c r="BK530" i="1" s="1"/>
  <c r="BJ529" i="1"/>
  <c r="BK529" i="1" s="1"/>
  <c r="BJ528" i="1"/>
  <c r="BK528" i="1" s="1"/>
  <c r="BJ527" i="1"/>
  <c r="BK527" i="1" s="1"/>
  <c r="BJ526" i="1"/>
  <c r="BK526" i="1" s="1"/>
  <c r="BJ525" i="1"/>
  <c r="BK525" i="1" s="1"/>
  <c r="BJ524" i="1"/>
  <c r="BK524" i="1" s="1"/>
  <c r="BJ523" i="1"/>
  <c r="BK523" i="1" s="1"/>
  <c r="BJ522" i="1"/>
  <c r="BK522" i="1" s="1"/>
  <c r="BJ521" i="1"/>
  <c r="BK521" i="1" s="1"/>
  <c r="BJ520" i="1"/>
  <c r="BK520" i="1" s="1"/>
  <c r="BJ519" i="1"/>
  <c r="BK519" i="1" s="1"/>
  <c r="BJ518" i="1"/>
  <c r="BK518" i="1" s="1"/>
  <c r="BJ517" i="1"/>
  <c r="BK517" i="1" s="1"/>
  <c r="BJ516" i="1"/>
  <c r="BK516" i="1" s="1"/>
  <c r="BJ515" i="1"/>
  <c r="BK515" i="1" s="1"/>
  <c r="BJ514" i="1"/>
  <c r="BK514" i="1" s="1"/>
  <c r="BJ513" i="1"/>
  <c r="BK513" i="1" s="1"/>
  <c r="BJ512" i="1"/>
  <c r="BK512" i="1" s="1"/>
  <c r="BJ511" i="1"/>
  <c r="BK511" i="1" s="1"/>
  <c r="BJ510" i="1"/>
  <c r="BK510" i="1" s="1"/>
  <c r="BJ509" i="1"/>
  <c r="BK509" i="1" s="1"/>
  <c r="BJ508" i="1"/>
  <c r="BK508" i="1" s="1"/>
  <c r="BJ507" i="1"/>
  <c r="BK507" i="1" s="1"/>
  <c r="BJ506" i="1"/>
  <c r="BK506" i="1" s="1"/>
  <c r="BJ505" i="1"/>
  <c r="BK505" i="1" s="1"/>
  <c r="BJ504" i="1"/>
  <c r="BK504" i="1" s="1"/>
  <c r="BJ503" i="1"/>
  <c r="BK503" i="1" s="1"/>
  <c r="BJ502" i="1"/>
  <c r="BK502" i="1" s="1"/>
  <c r="BJ501" i="1"/>
  <c r="BK501" i="1" s="1"/>
  <c r="BJ500" i="1"/>
  <c r="BK500" i="1" s="1"/>
  <c r="BJ499" i="1"/>
  <c r="BK499" i="1" s="1"/>
  <c r="BJ498" i="1"/>
  <c r="BK498" i="1" s="1"/>
  <c r="BJ497" i="1"/>
  <c r="BK497" i="1" s="1"/>
  <c r="BJ496" i="1"/>
  <c r="BK496" i="1" s="1"/>
  <c r="BJ495" i="1"/>
  <c r="BK495" i="1" s="1"/>
  <c r="BJ494" i="1"/>
  <c r="BK494" i="1" s="1"/>
  <c r="BJ493" i="1"/>
  <c r="BK493" i="1" s="1"/>
  <c r="BJ492" i="1"/>
  <c r="BK492" i="1" s="1"/>
  <c r="BJ491" i="1"/>
  <c r="BK491" i="1" s="1"/>
  <c r="BJ490" i="1"/>
  <c r="BK490" i="1" s="1"/>
  <c r="BJ489" i="1"/>
  <c r="BK489" i="1" s="1"/>
  <c r="BJ488" i="1"/>
  <c r="BK488" i="1" s="1"/>
  <c r="BJ487" i="1"/>
  <c r="BK487" i="1" s="1"/>
  <c r="BJ486" i="1"/>
  <c r="BK486" i="1" s="1"/>
  <c r="BJ485" i="1"/>
  <c r="BK485" i="1" s="1"/>
  <c r="BJ484" i="1"/>
  <c r="BK484" i="1" s="1"/>
  <c r="BJ483" i="1"/>
  <c r="BK483" i="1" s="1"/>
  <c r="BJ482" i="1"/>
  <c r="BK482" i="1" s="1"/>
  <c r="BJ481" i="1"/>
  <c r="BK481" i="1" s="1"/>
  <c r="BJ480" i="1"/>
  <c r="BK480" i="1" s="1"/>
  <c r="BJ479" i="1"/>
  <c r="BK479" i="1" s="1"/>
  <c r="BJ478" i="1"/>
  <c r="BK478" i="1" s="1"/>
  <c r="BJ477" i="1"/>
  <c r="BK477" i="1" s="1"/>
  <c r="BJ476" i="1"/>
  <c r="BK476" i="1" s="1"/>
  <c r="BJ475" i="1"/>
  <c r="BK475" i="1" s="1"/>
  <c r="BJ474" i="1"/>
  <c r="BK474" i="1" s="1"/>
  <c r="BJ473" i="1"/>
  <c r="BK473" i="1" s="1"/>
  <c r="BJ472" i="1"/>
  <c r="BK472" i="1" s="1"/>
  <c r="BJ471" i="1"/>
  <c r="BK471" i="1" s="1"/>
  <c r="BJ470" i="1"/>
  <c r="BK470" i="1" s="1"/>
  <c r="BJ469" i="1"/>
  <c r="BK469" i="1" s="1"/>
  <c r="BJ468" i="1"/>
  <c r="BK468" i="1" s="1"/>
  <c r="BJ467" i="1"/>
  <c r="BK467" i="1" s="1"/>
  <c r="BJ466" i="1"/>
  <c r="BK466" i="1" s="1"/>
  <c r="BJ465" i="1"/>
  <c r="BK465" i="1" s="1"/>
  <c r="BJ464" i="1"/>
  <c r="BK464" i="1" s="1"/>
  <c r="BJ463" i="1"/>
  <c r="BK463" i="1" s="1"/>
  <c r="BJ462" i="1"/>
  <c r="BK462" i="1" s="1"/>
  <c r="BJ461" i="1"/>
  <c r="BK461" i="1" s="1"/>
  <c r="BJ460" i="1"/>
  <c r="BK460" i="1" s="1"/>
  <c r="BJ459" i="1"/>
  <c r="BK459" i="1" s="1"/>
  <c r="BJ458" i="1"/>
  <c r="BK458" i="1" s="1"/>
  <c r="BJ457" i="1"/>
  <c r="BK457" i="1" s="1"/>
  <c r="BJ456" i="1"/>
  <c r="BK456" i="1" s="1"/>
  <c r="BJ455" i="1"/>
  <c r="BK455" i="1" s="1"/>
  <c r="BJ454" i="1"/>
  <c r="BK454" i="1" s="1"/>
  <c r="BJ453" i="1"/>
  <c r="BK453" i="1" s="1"/>
  <c r="BJ452" i="1"/>
  <c r="BK452" i="1" s="1"/>
  <c r="BJ451" i="1"/>
  <c r="BK451" i="1" s="1"/>
  <c r="BJ450" i="1"/>
  <c r="BK450" i="1" s="1"/>
  <c r="BJ449" i="1"/>
  <c r="BK449" i="1" s="1"/>
  <c r="BJ448" i="1"/>
  <c r="BK448" i="1" s="1"/>
  <c r="BJ447" i="1"/>
  <c r="BK447" i="1" s="1"/>
  <c r="BJ446" i="1"/>
  <c r="BK446" i="1" s="1"/>
  <c r="BJ445" i="1"/>
  <c r="BK445" i="1" s="1"/>
  <c r="BJ444" i="1"/>
  <c r="BK444" i="1" s="1"/>
  <c r="BJ443" i="1"/>
  <c r="BK443" i="1" s="1"/>
  <c r="BJ442" i="1"/>
  <c r="BK442" i="1" s="1"/>
  <c r="BJ441" i="1"/>
  <c r="BK441" i="1" s="1"/>
  <c r="BJ440" i="1"/>
  <c r="BK440" i="1" s="1"/>
  <c r="BJ439" i="1"/>
  <c r="BK439" i="1" s="1"/>
  <c r="BJ438" i="1"/>
  <c r="BK438" i="1" s="1"/>
  <c r="BJ437" i="1"/>
  <c r="BK437" i="1" s="1"/>
  <c r="BJ436" i="1"/>
  <c r="BK436" i="1" s="1"/>
  <c r="BJ435" i="1"/>
  <c r="BK435" i="1" s="1"/>
  <c r="BJ434" i="1"/>
  <c r="BK434" i="1" s="1"/>
  <c r="BJ433" i="1"/>
  <c r="BK433" i="1" s="1"/>
  <c r="BJ432" i="1"/>
  <c r="BK432" i="1" s="1"/>
  <c r="BJ431" i="1"/>
  <c r="BK431" i="1" s="1"/>
  <c r="BJ430" i="1"/>
  <c r="BK430" i="1" s="1"/>
  <c r="BJ429" i="1"/>
  <c r="BK429" i="1" s="1"/>
  <c r="BJ428" i="1"/>
  <c r="BK428" i="1" s="1"/>
  <c r="BJ427" i="1"/>
  <c r="BK427" i="1" s="1"/>
  <c r="BJ426" i="1"/>
  <c r="BK426" i="1" s="1"/>
  <c r="BJ425" i="1"/>
  <c r="BK425" i="1" s="1"/>
  <c r="BJ424" i="1"/>
  <c r="BK424" i="1" s="1"/>
  <c r="BJ423" i="1"/>
  <c r="BK423" i="1" s="1"/>
  <c r="BJ422" i="1"/>
  <c r="BK422" i="1" s="1"/>
  <c r="BJ421" i="1"/>
  <c r="BK421" i="1" s="1"/>
  <c r="BJ420" i="1"/>
  <c r="BK420" i="1" s="1"/>
  <c r="BJ419" i="1"/>
  <c r="BK419" i="1" s="1"/>
  <c r="BJ418" i="1"/>
  <c r="BK418" i="1" s="1"/>
  <c r="BJ417" i="1"/>
  <c r="BK417" i="1" s="1"/>
  <c r="BJ416" i="1"/>
  <c r="BK416" i="1" s="1"/>
  <c r="BJ415" i="1"/>
  <c r="BK415" i="1" s="1"/>
  <c r="BJ414" i="1"/>
  <c r="BK414" i="1" s="1"/>
  <c r="BJ413" i="1"/>
  <c r="BK413" i="1" s="1"/>
  <c r="BJ412" i="1"/>
  <c r="BK412" i="1" s="1"/>
  <c r="BJ411" i="1"/>
  <c r="BK411" i="1" s="1"/>
  <c r="BJ410" i="1"/>
  <c r="BK410" i="1" s="1"/>
  <c r="BJ409" i="1"/>
  <c r="BK409" i="1" s="1"/>
  <c r="BJ408" i="1"/>
  <c r="BK408" i="1" s="1"/>
  <c r="BJ407" i="1"/>
  <c r="BK407" i="1" s="1"/>
  <c r="BJ406" i="1"/>
  <c r="BK406" i="1" s="1"/>
  <c r="BJ405" i="1"/>
  <c r="BK405" i="1" s="1"/>
  <c r="BJ404" i="1"/>
  <c r="BK404" i="1" s="1"/>
  <c r="BJ403" i="1"/>
  <c r="BK403" i="1" s="1"/>
  <c r="BJ402" i="1"/>
  <c r="BK402" i="1" s="1"/>
  <c r="BJ401" i="1"/>
  <c r="BK401" i="1" s="1"/>
  <c r="BJ400" i="1"/>
  <c r="BK400" i="1" s="1"/>
  <c r="BJ399" i="1"/>
  <c r="BK399" i="1" s="1"/>
  <c r="BJ398" i="1"/>
  <c r="BK398" i="1" s="1"/>
  <c r="BJ397" i="1"/>
  <c r="BK397" i="1" s="1"/>
  <c r="BJ396" i="1"/>
  <c r="BK396" i="1" s="1"/>
  <c r="BJ395" i="1"/>
  <c r="BK395" i="1" s="1"/>
  <c r="BJ394" i="1"/>
  <c r="BK394" i="1" s="1"/>
  <c r="BJ393" i="1"/>
  <c r="BK393" i="1" s="1"/>
  <c r="BJ392" i="1"/>
  <c r="BK392" i="1" s="1"/>
  <c r="BJ391" i="1"/>
  <c r="BK391" i="1" s="1"/>
  <c r="BJ390" i="1"/>
  <c r="BK390" i="1" s="1"/>
  <c r="BJ389" i="1"/>
  <c r="BK389" i="1" s="1"/>
  <c r="BJ388" i="1"/>
  <c r="BK388" i="1" s="1"/>
  <c r="BJ387" i="1"/>
  <c r="BK387" i="1" s="1"/>
  <c r="BJ386" i="1"/>
  <c r="BK386" i="1" s="1"/>
  <c r="BJ385" i="1"/>
  <c r="BK385" i="1" s="1"/>
  <c r="BJ384" i="1"/>
  <c r="BK384" i="1" s="1"/>
  <c r="BJ383" i="1"/>
  <c r="BK383" i="1" s="1"/>
  <c r="BJ382" i="1"/>
  <c r="BK382" i="1" s="1"/>
  <c r="BJ381" i="1"/>
  <c r="BK381" i="1" s="1"/>
  <c r="BJ380" i="1"/>
  <c r="BK380" i="1" s="1"/>
  <c r="BJ379" i="1"/>
  <c r="BK379" i="1" s="1"/>
  <c r="BJ378" i="1"/>
  <c r="BK378" i="1" s="1"/>
  <c r="BJ377" i="1"/>
  <c r="BK377" i="1" s="1"/>
  <c r="BJ376" i="1"/>
  <c r="BK376" i="1" s="1"/>
  <c r="BJ375" i="1"/>
  <c r="BK375" i="1" s="1"/>
  <c r="BJ374" i="1"/>
  <c r="BK374" i="1" s="1"/>
  <c r="BJ373" i="1"/>
  <c r="BK373" i="1" s="1"/>
  <c r="BJ372" i="1"/>
  <c r="BK372" i="1" s="1"/>
  <c r="BJ371" i="1"/>
  <c r="BK371" i="1" s="1"/>
  <c r="BJ370" i="1"/>
  <c r="BK370" i="1" s="1"/>
  <c r="BJ369" i="1"/>
  <c r="BK369" i="1" s="1"/>
  <c r="BJ368" i="1"/>
  <c r="BK368" i="1" s="1"/>
  <c r="BJ367" i="1"/>
  <c r="BK367" i="1" s="1"/>
  <c r="BJ366" i="1"/>
  <c r="BK366" i="1" s="1"/>
  <c r="BJ365" i="1"/>
  <c r="BK365" i="1" s="1"/>
  <c r="BJ364" i="1"/>
  <c r="BK364" i="1" s="1"/>
  <c r="BJ363" i="1"/>
  <c r="BK363" i="1" s="1"/>
  <c r="BJ362" i="1"/>
  <c r="BK362" i="1" s="1"/>
  <c r="BJ361" i="1"/>
  <c r="BK361" i="1" s="1"/>
  <c r="BJ360" i="1"/>
  <c r="BK360" i="1" s="1"/>
  <c r="BJ359" i="1"/>
  <c r="BK359" i="1" s="1"/>
  <c r="BJ358" i="1"/>
  <c r="BK358" i="1" s="1"/>
  <c r="BJ357" i="1"/>
  <c r="BK357" i="1" s="1"/>
  <c r="BJ356" i="1"/>
  <c r="BK356" i="1" s="1"/>
  <c r="BJ355" i="1"/>
  <c r="BK355" i="1" s="1"/>
  <c r="BJ354" i="1"/>
  <c r="BK354" i="1" s="1"/>
  <c r="BJ353" i="1"/>
  <c r="BK353" i="1" s="1"/>
  <c r="BJ352" i="1"/>
  <c r="BK352" i="1" s="1"/>
  <c r="BJ351" i="1"/>
  <c r="BK351" i="1" s="1"/>
  <c r="BJ350" i="1"/>
  <c r="BK350" i="1" s="1"/>
  <c r="BJ349" i="1"/>
  <c r="BK349" i="1" s="1"/>
  <c r="BJ348" i="1"/>
  <c r="BK348" i="1" s="1"/>
  <c r="BJ347" i="1"/>
  <c r="BK347" i="1" s="1"/>
  <c r="BJ346" i="1"/>
  <c r="BK346" i="1" s="1"/>
  <c r="BJ345" i="1"/>
  <c r="BK345" i="1" s="1"/>
  <c r="BJ344" i="1"/>
  <c r="BK344" i="1" s="1"/>
  <c r="BJ343" i="1"/>
  <c r="BK343" i="1" s="1"/>
  <c r="BJ342" i="1"/>
  <c r="BK342" i="1" s="1"/>
  <c r="BJ341" i="1"/>
  <c r="BK341" i="1" s="1"/>
  <c r="BJ340" i="1"/>
  <c r="BK340" i="1" s="1"/>
  <c r="BJ339" i="1"/>
  <c r="BK339" i="1" s="1"/>
  <c r="BJ338" i="1"/>
  <c r="BK338" i="1" s="1"/>
  <c r="BJ337" i="1"/>
  <c r="BK337" i="1" s="1"/>
  <c r="BJ336" i="1"/>
  <c r="BK336" i="1" s="1"/>
  <c r="BJ335" i="1"/>
  <c r="BK335" i="1" s="1"/>
  <c r="BJ334" i="1"/>
  <c r="BK334" i="1" s="1"/>
  <c r="BJ333" i="1"/>
  <c r="BK333" i="1" s="1"/>
  <c r="BJ332" i="1"/>
  <c r="BK332" i="1" s="1"/>
  <c r="BJ331" i="1"/>
  <c r="BK331" i="1" s="1"/>
  <c r="BJ330" i="1"/>
  <c r="BK330" i="1" s="1"/>
  <c r="BJ329" i="1"/>
  <c r="BK329" i="1" s="1"/>
  <c r="BJ328" i="1"/>
  <c r="BK328" i="1" s="1"/>
  <c r="BJ327" i="1"/>
  <c r="BK327" i="1" s="1"/>
  <c r="BJ326" i="1"/>
  <c r="BK326" i="1" s="1"/>
  <c r="BJ325" i="1"/>
  <c r="BK325" i="1" s="1"/>
  <c r="BJ324" i="1"/>
  <c r="BK324" i="1" s="1"/>
  <c r="BJ323" i="1"/>
  <c r="BK323" i="1" s="1"/>
  <c r="BJ322" i="1"/>
  <c r="BK322" i="1" s="1"/>
  <c r="BJ321" i="1"/>
  <c r="BK321" i="1" s="1"/>
  <c r="BJ320" i="1"/>
  <c r="BK320" i="1" s="1"/>
  <c r="BJ319" i="1"/>
  <c r="BK319" i="1" s="1"/>
  <c r="BJ318" i="1"/>
  <c r="BK318" i="1" s="1"/>
  <c r="BJ317" i="1"/>
  <c r="BK317" i="1" s="1"/>
  <c r="BJ316" i="1"/>
  <c r="BK316" i="1" s="1"/>
  <c r="BJ315" i="1"/>
  <c r="BK315" i="1" s="1"/>
  <c r="BJ314" i="1"/>
  <c r="BK314" i="1" s="1"/>
  <c r="BJ313" i="1"/>
  <c r="BK313" i="1" s="1"/>
  <c r="BJ312" i="1"/>
  <c r="BK312" i="1" s="1"/>
  <c r="BJ311" i="1"/>
  <c r="BK311" i="1" s="1"/>
  <c r="BJ310" i="1"/>
  <c r="BK310" i="1" s="1"/>
  <c r="BJ309" i="1"/>
  <c r="BK309" i="1" s="1"/>
  <c r="BJ308" i="1"/>
  <c r="BK308" i="1" s="1"/>
  <c r="BJ307" i="1"/>
  <c r="BK307" i="1" s="1"/>
  <c r="BJ306" i="1"/>
  <c r="BK306" i="1" s="1"/>
  <c r="BJ305" i="1"/>
  <c r="BK305" i="1" s="1"/>
  <c r="BJ304" i="1"/>
  <c r="BK304" i="1" s="1"/>
  <c r="BJ303" i="1"/>
  <c r="BK303" i="1" s="1"/>
  <c r="BJ302" i="1"/>
  <c r="BK302" i="1" s="1"/>
  <c r="BJ301" i="1"/>
  <c r="BK301" i="1" s="1"/>
  <c r="BJ300" i="1"/>
  <c r="BK300" i="1" s="1"/>
  <c r="BJ299" i="1"/>
  <c r="BK299" i="1" s="1"/>
  <c r="BJ298" i="1"/>
  <c r="BK298" i="1" s="1"/>
  <c r="BJ297" i="1"/>
  <c r="BK297" i="1" s="1"/>
  <c r="BJ296" i="1"/>
  <c r="BK296" i="1" s="1"/>
  <c r="BJ295" i="1"/>
  <c r="BK295" i="1" s="1"/>
  <c r="BJ294" i="1"/>
  <c r="BK294" i="1" s="1"/>
  <c r="BJ293" i="1"/>
  <c r="BK293" i="1" s="1"/>
  <c r="BJ292" i="1"/>
  <c r="BK292" i="1" s="1"/>
  <c r="BJ291" i="1"/>
  <c r="BK291" i="1" s="1"/>
  <c r="BJ290" i="1"/>
  <c r="BK290" i="1" s="1"/>
  <c r="BJ289" i="1"/>
  <c r="BK289" i="1" s="1"/>
  <c r="BJ288" i="1"/>
  <c r="BK288" i="1" s="1"/>
  <c r="BJ287" i="1"/>
  <c r="BK287" i="1" s="1"/>
  <c r="BJ286" i="1"/>
  <c r="BK286" i="1" s="1"/>
  <c r="BJ285" i="1"/>
  <c r="BK285" i="1" s="1"/>
  <c r="BJ284" i="1"/>
  <c r="BK284" i="1" s="1"/>
  <c r="BJ283" i="1"/>
  <c r="BK283" i="1" s="1"/>
  <c r="BJ282" i="1"/>
  <c r="BK282" i="1" s="1"/>
  <c r="BJ281" i="1"/>
  <c r="BK281" i="1" s="1"/>
  <c r="BJ280" i="1"/>
  <c r="BK280" i="1" s="1"/>
  <c r="BJ279" i="1"/>
  <c r="BK279" i="1" s="1"/>
  <c r="BJ278" i="1"/>
  <c r="BK278" i="1" s="1"/>
  <c r="BJ277" i="1"/>
  <c r="BK277" i="1" s="1"/>
  <c r="BJ276" i="1"/>
  <c r="BK276" i="1" s="1"/>
  <c r="BJ275" i="1"/>
  <c r="BK275" i="1" s="1"/>
  <c r="BJ274" i="1"/>
  <c r="BK274" i="1" s="1"/>
  <c r="BJ273" i="1"/>
  <c r="BK273" i="1" s="1"/>
  <c r="BJ272" i="1"/>
  <c r="BK272" i="1" s="1"/>
  <c r="BJ271" i="1"/>
  <c r="BK271" i="1" s="1"/>
  <c r="BJ270" i="1"/>
  <c r="BK270" i="1" s="1"/>
  <c r="BJ269" i="1"/>
  <c r="BK269" i="1" s="1"/>
  <c r="BJ268" i="1"/>
  <c r="BK268" i="1" s="1"/>
  <c r="BJ267" i="1"/>
  <c r="BK267" i="1" s="1"/>
  <c r="BJ266" i="1"/>
  <c r="BK266" i="1" s="1"/>
  <c r="BJ265" i="1"/>
  <c r="BK265" i="1" s="1"/>
  <c r="BJ264" i="1"/>
  <c r="BK264" i="1" s="1"/>
  <c r="BJ263" i="1"/>
  <c r="BK263" i="1" s="1"/>
  <c r="BJ262" i="1"/>
  <c r="BK262" i="1" s="1"/>
  <c r="BJ261" i="1"/>
  <c r="BK261" i="1" s="1"/>
  <c r="BJ260" i="1"/>
  <c r="BK260" i="1" s="1"/>
  <c r="BJ259" i="1"/>
  <c r="BK259" i="1" s="1"/>
  <c r="BJ258" i="1"/>
  <c r="BK258" i="1" s="1"/>
  <c r="BJ257" i="1"/>
  <c r="BK257" i="1" s="1"/>
  <c r="BJ256" i="1"/>
  <c r="BK256" i="1" s="1"/>
  <c r="BJ255" i="1"/>
  <c r="BK255" i="1" s="1"/>
  <c r="BJ254" i="1"/>
  <c r="BK254" i="1" s="1"/>
  <c r="BJ253" i="1"/>
  <c r="BK253" i="1" s="1"/>
  <c r="BJ252" i="1"/>
  <c r="BK252" i="1" s="1"/>
  <c r="BJ251" i="1"/>
  <c r="BK251" i="1" s="1"/>
  <c r="BJ250" i="1"/>
  <c r="BK250" i="1" s="1"/>
  <c r="BJ249" i="1"/>
  <c r="BK249" i="1" s="1"/>
  <c r="BJ248" i="1"/>
  <c r="BK248" i="1" s="1"/>
  <c r="BJ247" i="1"/>
  <c r="BK247" i="1" s="1"/>
  <c r="BJ246" i="1"/>
  <c r="BK246" i="1" s="1"/>
  <c r="BJ245" i="1"/>
  <c r="BK245" i="1" s="1"/>
  <c r="BJ244" i="1"/>
  <c r="BK244" i="1" s="1"/>
  <c r="BJ243" i="1"/>
  <c r="BK243" i="1" s="1"/>
  <c r="BJ242" i="1"/>
  <c r="BK242" i="1" s="1"/>
  <c r="BJ241" i="1"/>
  <c r="BK241" i="1" s="1"/>
  <c r="BJ240" i="1"/>
  <c r="BK240" i="1" s="1"/>
  <c r="BJ239" i="1"/>
  <c r="BK239" i="1" s="1"/>
  <c r="BJ238" i="1"/>
  <c r="BK238" i="1" s="1"/>
  <c r="BJ237" i="1"/>
  <c r="BK237" i="1" s="1"/>
  <c r="BJ236" i="1"/>
  <c r="BK236" i="1" s="1"/>
  <c r="BJ235" i="1"/>
  <c r="BK235" i="1" s="1"/>
  <c r="BJ234" i="1"/>
  <c r="BK234" i="1" s="1"/>
  <c r="BJ233" i="1"/>
  <c r="BK233" i="1" s="1"/>
  <c r="BJ232" i="1"/>
  <c r="BK232" i="1" s="1"/>
  <c r="BJ231" i="1"/>
  <c r="BK231" i="1" s="1"/>
  <c r="BJ230" i="1"/>
  <c r="BK230" i="1" s="1"/>
  <c r="BJ229" i="1"/>
  <c r="BK229" i="1" s="1"/>
  <c r="BJ228" i="1"/>
  <c r="BK228" i="1" s="1"/>
  <c r="BJ227" i="1"/>
  <c r="BK227" i="1" s="1"/>
  <c r="BJ226" i="1"/>
  <c r="BK226" i="1" s="1"/>
  <c r="BJ225" i="1"/>
  <c r="BK225" i="1" s="1"/>
  <c r="BJ224" i="1"/>
  <c r="BK224" i="1" s="1"/>
  <c r="BJ223" i="1"/>
  <c r="BK223" i="1" s="1"/>
  <c r="BJ222" i="1"/>
  <c r="BK222" i="1" s="1"/>
  <c r="BJ221" i="1"/>
  <c r="BK221" i="1" s="1"/>
  <c r="BJ220" i="1"/>
  <c r="BK220" i="1" s="1"/>
  <c r="BJ219" i="1"/>
  <c r="BK219" i="1" s="1"/>
  <c r="BJ218" i="1"/>
  <c r="BK218" i="1" s="1"/>
  <c r="BJ217" i="1"/>
  <c r="BK217" i="1" s="1"/>
  <c r="BJ216" i="1"/>
  <c r="BK216" i="1" s="1"/>
  <c r="BJ215" i="1"/>
  <c r="BK215" i="1" s="1"/>
  <c r="BJ214" i="1"/>
  <c r="BK214" i="1" s="1"/>
  <c r="BJ213" i="1"/>
  <c r="BK213" i="1" s="1"/>
  <c r="BJ212" i="1"/>
  <c r="BK212" i="1" s="1"/>
  <c r="BJ211" i="1"/>
  <c r="BK211" i="1" s="1"/>
  <c r="BJ210" i="1"/>
  <c r="BK210" i="1" s="1"/>
  <c r="BJ209" i="1"/>
  <c r="BK209" i="1" s="1"/>
  <c r="BJ208" i="1"/>
  <c r="BK208" i="1" s="1"/>
  <c r="BJ207" i="1"/>
  <c r="BK207" i="1" s="1"/>
  <c r="BJ206" i="1"/>
  <c r="BK206" i="1" s="1"/>
  <c r="BJ205" i="1"/>
  <c r="BK205" i="1" s="1"/>
  <c r="BJ204" i="1"/>
  <c r="BK204" i="1" s="1"/>
  <c r="BJ203" i="1"/>
  <c r="BK203" i="1" s="1"/>
  <c r="BJ202" i="1"/>
  <c r="BK202" i="1" s="1"/>
  <c r="BJ201" i="1"/>
  <c r="BK201" i="1" s="1"/>
  <c r="BJ200" i="1"/>
  <c r="BK200" i="1" s="1"/>
  <c r="BJ199" i="1"/>
  <c r="BK199" i="1" s="1"/>
  <c r="BJ198" i="1"/>
  <c r="BK198" i="1" s="1"/>
  <c r="BJ197" i="1"/>
  <c r="BK197" i="1" s="1"/>
  <c r="BJ196" i="1"/>
  <c r="BK196" i="1" s="1"/>
  <c r="BJ195" i="1"/>
  <c r="BK195" i="1" s="1"/>
  <c r="BJ194" i="1"/>
  <c r="BK194" i="1" s="1"/>
  <c r="BJ193" i="1"/>
  <c r="BK193" i="1" s="1"/>
  <c r="BJ192" i="1"/>
  <c r="BK192" i="1" s="1"/>
  <c r="BJ191" i="1"/>
  <c r="BK191" i="1" s="1"/>
  <c r="BJ190" i="1"/>
  <c r="BK190" i="1" s="1"/>
  <c r="BJ189" i="1"/>
  <c r="BK189" i="1" s="1"/>
  <c r="BJ188" i="1"/>
  <c r="BK188" i="1" s="1"/>
  <c r="BJ187" i="1"/>
  <c r="BK187" i="1" s="1"/>
  <c r="BJ186" i="1"/>
  <c r="BK186" i="1" s="1"/>
  <c r="BJ185" i="1"/>
  <c r="BK185" i="1" s="1"/>
  <c r="BJ184" i="1"/>
  <c r="BK184" i="1" s="1"/>
  <c r="BJ183" i="1"/>
  <c r="BK183" i="1" s="1"/>
  <c r="BJ182" i="1"/>
  <c r="BK182" i="1" s="1"/>
  <c r="BJ181" i="1"/>
  <c r="BK181" i="1" s="1"/>
  <c r="BJ180" i="1"/>
  <c r="BK180" i="1" s="1"/>
  <c r="BJ179" i="1"/>
  <c r="BK179" i="1" s="1"/>
  <c r="BJ178" i="1"/>
  <c r="BK178" i="1" s="1"/>
  <c r="BJ177" i="1"/>
  <c r="BK177" i="1" s="1"/>
  <c r="BJ176" i="1"/>
  <c r="BK176" i="1" s="1"/>
  <c r="BJ175" i="1"/>
  <c r="BK175" i="1" s="1"/>
  <c r="BJ174" i="1"/>
  <c r="BK174" i="1" s="1"/>
  <c r="BJ173" i="1"/>
  <c r="BK173" i="1" s="1"/>
  <c r="BJ172" i="1"/>
  <c r="BK172" i="1" s="1"/>
  <c r="BJ171" i="1"/>
  <c r="BK171" i="1" s="1"/>
  <c r="BJ170" i="1"/>
  <c r="BK170" i="1" s="1"/>
  <c r="BJ169" i="1"/>
  <c r="BK169" i="1" s="1"/>
  <c r="BJ168" i="1"/>
  <c r="BK168" i="1" s="1"/>
  <c r="BJ167" i="1"/>
  <c r="BK167" i="1" s="1"/>
  <c r="BJ166" i="1"/>
  <c r="BK166" i="1" s="1"/>
  <c r="BJ165" i="1"/>
  <c r="BK165" i="1" s="1"/>
  <c r="BJ164" i="1"/>
  <c r="BK164" i="1" s="1"/>
  <c r="BJ163" i="1"/>
  <c r="BK163" i="1" s="1"/>
  <c r="BJ162" i="1"/>
  <c r="BK162" i="1" s="1"/>
  <c r="BJ161" i="1"/>
  <c r="BK161" i="1" s="1"/>
  <c r="BJ160" i="1"/>
  <c r="BK160" i="1" s="1"/>
  <c r="BJ159" i="1"/>
  <c r="BK159" i="1" s="1"/>
  <c r="BJ158" i="1"/>
  <c r="BK158" i="1" s="1"/>
  <c r="BJ157" i="1"/>
  <c r="BK157" i="1" s="1"/>
  <c r="BJ156" i="1"/>
  <c r="BK156" i="1" s="1"/>
  <c r="BJ155" i="1"/>
  <c r="BK155" i="1" s="1"/>
  <c r="BJ154" i="1"/>
  <c r="BK154" i="1" s="1"/>
  <c r="BJ153" i="1"/>
  <c r="BK153" i="1" s="1"/>
  <c r="BJ152" i="1"/>
  <c r="BK152" i="1" s="1"/>
  <c r="BJ151" i="1"/>
  <c r="BK151" i="1" s="1"/>
  <c r="BJ150" i="1"/>
  <c r="BK150" i="1" s="1"/>
  <c r="BJ149" i="1"/>
  <c r="BK149" i="1" s="1"/>
  <c r="BJ148" i="1"/>
  <c r="BK148" i="1" s="1"/>
  <c r="BJ147" i="1"/>
  <c r="BK147" i="1" s="1"/>
  <c r="BJ146" i="1"/>
  <c r="BK146" i="1" s="1"/>
  <c r="BJ145" i="1"/>
  <c r="BK145" i="1" s="1"/>
  <c r="BJ144" i="1"/>
  <c r="BK144" i="1" s="1"/>
  <c r="BJ143" i="1"/>
  <c r="BK143" i="1" s="1"/>
  <c r="BJ142" i="1"/>
  <c r="BK142" i="1" s="1"/>
  <c r="BJ141" i="1"/>
  <c r="BK141" i="1" s="1"/>
  <c r="BJ140" i="1"/>
  <c r="BK140" i="1" s="1"/>
  <c r="BJ139" i="1"/>
  <c r="BK139" i="1" s="1"/>
  <c r="BJ138" i="1"/>
  <c r="BK138" i="1" s="1"/>
  <c r="BJ137" i="1"/>
  <c r="BK137" i="1" s="1"/>
  <c r="BJ136" i="1"/>
  <c r="BK136" i="1" s="1"/>
  <c r="BJ135" i="1"/>
  <c r="BK135" i="1" s="1"/>
  <c r="BJ134" i="1"/>
  <c r="BK134" i="1" s="1"/>
  <c r="BJ133" i="1"/>
  <c r="BK133" i="1" s="1"/>
  <c r="BJ132" i="1"/>
  <c r="BK132" i="1" s="1"/>
  <c r="BJ131" i="1"/>
  <c r="BK131" i="1" s="1"/>
  <c r="BJ130" i="1"/>
  <c r="BK130" i="1" s="1"/>
  <c r="BJ129" i="1"/>
  <c r="BK129" i="1" s="1"/>
  <c r="BJ128" i="1"/>
  <c r="BK128" i="1" s="1"/>
  <c r="BJ127" i="1"/>
  <c r="BK127" i="1" s="1"/>
  <c r="BJ126" i="1"/>
  <c r="BK126" i="1" s="1"/>
  <c r="BJ125" i="1"/>
  <c r="BK125" i="1" s="1"/>
  <c r="BJ124" i="1"/>
  <c r="BK124" i="1" s="1"/>
  <c r="BJ123" i="1"/>
  <c r="BK123" i="1" s="1"/>
  <c r="BJ122" i="1"/>
  <c r="BK122" i="1" s="1"/>
  <c r="BJ121" i="1"/>
  <c r="BK121" i="1" s="1"/>
  <c r="BJ120" i="1"/>
  <c r="BK120" i="1" s="1"/>
  <c r="BJ119" i="1"/>
  <c r="BK119" i="1" s="1"/>
  <c r="BJ118" i="1"/>
  <c r="BK118" i="1" s="1"/>
  <c r="BJ117" i="1"/>
  <c r="BK117" i="1" s="1"/>
  <c r="BJ116" i="1"/>
  <c r="BK116" i="1" s="1"/>
  <c r="BJ115" i="1"/>
  <c r="BK115" i="1" s="1"/>
  <c r="BJ114" i="1"/>
  <c r="BK114" i="1" s="1"/>
  <c r="BJ113" i="1"/>
  <c r="BK113" i="1" s="1"/>
  <c r="BJ112" i="1"/>
  <c r="BK112" i="1" s="1"/>
  <c r="BJ111" i="1"/>
  <c r="BK111" i="1" s="1"/>
  <c r="BJ110" i="1"/>
  <c r="BK110" i="1" s="1"/>
  <c r="BJ109" i="1"/>
  <c r="BK109" i="1" s="1"/>
  <c r="BJ108" i="1"/>
  <c r="BK108" i="1" s="1"/>
  <c r="BJ107" i="1"/>
  <c r="BK107" i="1" s="1"/>
  <c r="BJ106" i="1"/>
  <c r="BK106" i="1" s="1"/>
  <c r="BJ105" i="1"/>
  <c r="BK105" i="1" s="1"/>
  <c r="BJ104" i="1"/>
  <c r="BK104" i="1" s="1"/>
  <c r="BJ103" i="1"/>
  <c r="BK103" i="1" s="1"/>
  <c r="BJ102" i="1"/>
  <c r="BK102" i="1" s="1"/>
  <c r="BJ101" i="1"/>
  <c r="BK101" i="1" s="1"/>
  <c r="BJ100" i="1"/>
  <c r="BK100" i="1" s="1"/>
  <c r="BJ99" i="1"/>
  <c r="BK99" i="1" s="1"/>
  <c r="BJ98" i="1"/>
  <c r="BK98" i="1" s="1"/>
  <c r="BJ97" i="1"/>
  <c r="BK97" i="1" s="1"/>
  <c r="BJ96" i="1"/>
  <c r="BK96" i="1" s="1"/>
  <c r="BJ95" i="1"/>
  <c r="BK95" i="1" s="1"/>
  <c r="BJ94" i="1"/>
  <c r="BK94" i="1" s="1"/>
  <c r="BJ93" i="1"/>
  <c r="BK93" i="1" s="1"/>
  <c r="BJ92" i="1"/>
  <c r="BK92" i="1" s="1"/>
  <c r="BJ91" i="1"/>
  <c r="BK91" i="1" s="1"/>
  <c r="BJ90" i="1"/>
  <c r="BK90" i="1" s="1"/>
  <c r="BJ89" i="1"/>
  <c r="BK89" i="1" s="1"/>
  <c r="BJ88" i="1"/>
  <c r="BK88" i="1" s="1"/>
  <c r="BJ87" i="1"/>
  <c r="BK87" i="1" s="1"/>
  <c r="BJ86" i="1"/>
  <c r="BK86" i="1" s="1"/>
  <c r="BJ85" i="1"/>
  <c r="BK85" i="1" s="1"/>
  <c r="BJ84" i="1"/>
  <c r="BK84" i="1" s="1"/>
  <c r="BJ83" i="1"/>
  <c r="BK83" i="1" s="1"/>
  <c r="BJ82" i="1"/>
  <c r="BK82" i="1" s="1"/>
  <c r="BJ81" i="1"/>
  <c r="BK81" i="1" s="1"/>
  <c r="BJ80" i="1"/>
  <c r="BK80" i="1" s="1"/>
  <c r="BJ79" i="1"/>
  <c r="BK79" i="1" s="1"/>
  <c r="BJ78" i="1"/>
  <c r="BK78" i="1" s="1"/>
  <c r="BJ77" i="1"/>
  <c r="BK77" i="1" s="1"/>
  <c r="BJ76" i="1"/>
  <c r="BK76" i="1" s="1"/>
  <c r="BJ75" i="1"/>
  <c r="BK75" i="1" s="1"/>
  <c r="BJ74" i="1"/>
  <c r="BK74" i="1" s="1"/>
  <c r="BJ73" i="1"/>
  <c r="BK73" i="1" s="1"/>
  <c r="BJ72" i="1"/>
  <c r="BK72" i="1" s="1"/>
  <c r="BJ71" i="1"/>
  <c r="BK71" i="1" s="1"/>
  <c r="BJ70" i="1"/>
  <c r="BK70" i="1" s="1"/>
  <c r="BJ69" i="1"/>
  <c r="BK69" i="1" s="1"/>
  <c r="BJ68" i="1"/>
  <c r="BK68" i="1" s="1"/>
  <c r="BJ67" i="1"/>
  <c r="BK67" i="1" s="1"/>
  <c r="BJ66" i="1"/>
  <c r="BK66" i="1" s="1"/>
  <c r="BJ65" i="1"/>
  <c r="BK65" i="1" s="1"/>
  <c r="BJ64" i="1"/>
  <c r="BK64" i="1" s="1"/>
  <c r="BJ63" i="1"/>
  <c r="BK63" i="1" s="1"/>
  <c r="BJ62" i="1"/>
  <c r="BK62" i="1" s="1"/>
  <c r="BJ61" i="1"/>
  <c r="BK61" i="1" s="1"/>
  <c r="BJ60" i="1"/>
  <c r="BK60" i="1" s="1"/>
  <c r="BJ59" i="1"/>
  <c r="BK59" i="1" s="1"/>
  <c r="BJ58" i="1"/>
  <c r="BK58" i="1" s="1"/>
  <c r="BJ57" i="1"/>
  <c r="BK57" i="1" s="1"/>
  <c r="BJ56" i="1"/>
  <c r="BK56" i="1" s="1"/>
  <c r="BJ55" i="1"/>
  <c r="BK55" i="1" s="1"/>
  <c r="BJ54" i="1"/>
  <c r="BK54" i="1" s="1"/>
  <c r="BJ53" i="1"/>
  <c r="BK53" i="1" s="1"/>
  <c r="BJ52" i="1"/>
  <c r="BK52" i="1" s="1"/>
  <c r="BJ51" i="1"/>
  <c r="BK51" i="1" s="1"/>
  <c r="BJ50" i="1"/>
  <c r="BK50" i="1" s="1"/>
  <c r="BJ49" i="1"/>
  <c r="BK49" i="1" s="1"/>
  <c r="BJ48" i="1"/>
  <c r="BK48" i="1" s="1"/>
  <c r="BJ47" i="1"/>
  <c r="BK47" i="1" s="1"/>
  <c r="BJ46" i="1"/>
  <c r="BK46" i="1" s="1"/>
  <c r="BJ45" i="1"/>
  <c r="BK45" i="1" s="1"/>
  <c r="BJ44" i="1"/>
  <c r="BK44" i="1" s="1"/>
  <c r="BH1011" i="1"/>
  <c r="BI1011" i="1" s="1"/>
  <c r="BH1010" i="1"/>
  <c r="BI1010" i="1" s="1"/>
  <c r="BH1009" i="1"/>
  <c r="BI1009" i="1" s="1"/>
  <c r="BH1008" i="1"/>
  <c r="BI1008" i="1" s="1"/>
  <c r="BH1007" i="1"/>
  <c r="BI1007" i="1" s="1"/>
  <c r="BH1006" i="1"/>
  <c r="BI1006" i="1" s="1"/>
  <c r="BH1005" i="1"/>
  <c r="BI1005" i="1" s="1"/>
  <c r="BH1004" i="1"/>
  <c r="BI1004" i="1" s="1"/>
  <c r="BH1003" i="1"/>
  <c r="BI1003" i="1" s="1"/>
  <c r="BH1002" i="1"/>
  <c r="BI1002" i="1" s="1"/>
  <c r="BH1001" i="1"/>
  <c r="BI1001" i="1" s="1"/>
  <c r="BH1000" i="1"/>
  <c r="BI1000" i="1" s="1"/>
  <c r="BH999" i="1"/>
  <c r="BI999" i="1" s="1"/>
  <c r="BH998" i="1"/>
  <c r="BI998" i="1" s="1"/>
  <c r="BH997" i="1"/>
  <c r="BI997" i="1" s="1"/>
  <c r="BH996" i="1"/>
  <c r="BI996" i="1" s="1"/>
  <c r="BH995" i="1"/>
  <c r="BI995" i="1" s="1"/>
  <c r="BH994" i="1"/>
  <c r="BI994" i="1" s="1"/>
  <c r="BH993" i="1"/>
  <c r="BI993" i="1" s="1"/>
  <c r="BH992" i="1"/>
  <c r="BI992" i="1" s="1"/>
  <c r="BH991" i="1"/>
  <c r="BI991" i="1" s="1"/>
  <c r="BH990" i="1"/>
  <c r="BI990" i="1" s="1"/>
  <c r="BH989" i="1"/>
  <c r="BI989" i="1" s="1"/>
  <c r="BH988" i="1"/>
  <c r="BI988" i="1" s="1"/>
  <c r="BH987" i="1"/>
  <c r="BI987" i="1" s="1"/>
  <c r="BH986" i="1"/>
  <c r="BI986" i="1" s="1"/>
  <c r="BH985" i="1"/>
  <c r="BI985" i="1" s="1"/>
  <c r="BH984" i="1"/>
  <c r="BI984" i="1" s="1"/>
  <c r="BH983" i="1"/>
  <c r="BI983" i="1" s="1"/>
  <c r="BH982" i="1"/>
  <c r="BI982" i="1" s="1"/>
  <c r="BH981" i="1"/>
  <c r="BI981" i="1" s="1"/>
  <c r="BH980" i="1"/>
  <c r="BI980" i="1" s="1"/>
  <c r="BH979" i="1"/>
  <c r="BI979" i="1" s="1"/>
  <c r="BH978" i="1"/>
  <c r="BI978" i="1" s="1"/>
  <c r="BH977" i="1"/>
  <c r="BI977" i="1" s="1"/>
  <c r="BH976" i="1"/>
  <c r="BI976" i="1" s="1"/>
  <c r="BH975" i="1"/>
  <c r="BI975" i="1" s="1"/>
  <c r="BH974" i="1"/>
  <c r="BI974" i="1" s="1"/>
  <c r="BH973" i="1"/>
  <c r="BI973" i="1" s="1"/>
  <c r="BH972" i="1"/>
  <c r="BI972" i="1" s="1"/>
  <c r="BH971" i="1"/>
  <c r="BI971" i="1" s="1"/>
  <c r="BH970" i="1"/>
  <c r="BI970" i="1" s="1"/>
  <c r="BH969" i="1"/>
  <c r="BI969" i="1" s="1"/>
  <c r="BH968" i="1"/>
  <c r="BI968" i="1" s="1"/>
  <c r="BH967" i="1"/>
  <c r="BI967" i="1" s="1"/>
  <c r="BH966" i="1"/>
  <c r="BI966" i="1" s="1"/>
  <c r="BH965" i="1"/>
  <c r="BI965" i="1" s="1"/>
  <c r="BH964" i="1"/>
  <c r="BI964" i="1" s="1"/>
  <c r="BH963" i="1"/>
  <c r="BI963" i="1" s="1"/>
  <c r="BH962" i="1"/>
  <c r="BI962" i="1" s="1"/>
  <c r="BH961" i="1"/>
  <c r="BI961" i="1" s="1"/>
  <c r="BH960" i="1"/>
  <c r="BI960" i="1" s="1"/>
  <c r="BH959" i="1"/>
  <c r="BI959" i="1" s="1"/>
  <c r="BH958" i="1"/>
  <c r="BI958" i="1" s="1"/>
  <c r="BH957" i="1"/>
  <c r="BI957" i="1" s="1"/>
  <c r="BH956" i="1"/>
  <c r="BI956" i="1" s="1"/>
  <c r="BH955" i="1"/>
  <c r="BI955" i="1" s="1"/>
  <c r="BH954" i="1"/>
  <c r="BI954" i="1" s="1"/>
  <c r="BH953" i="1"/>
  <c r="BI953" i="1" s="1"/>
  <c r="BH952" i="1"/>
  <c r="BI952" i="1" s="1"/>
  <c r="BH951" i="1"/>
  <c r="BI951" i="1" s="1"/>
  <c r="BH950" i="1"/>
  <c r="BI950" i="1" s="1"/>
  <c r="BH949" i="1"/>
  <c r="BI949" i="1" s="1"/>
  <c r="BH948" i="1"/>
  <c r="BI948" i="1" s="1"/>
  <c r="BH947" i="1"/>
  <c r="BI947" i="1" s="1"/>
  <c r="BH946" i="1"/>
  <c r="BI946" i="1" s="1"/>
  <c r="BH945" i="1"/>
  <c r="BI945" i="1" s="1"/>
  <c r="BH944" i="1"/>
  <c r="BI944" i="1" s="1"/>
  <c r="BH943" i="1"/>
  <c r="BI943" i="1" s="1"/>
  <c r="BH942" i="1"/>
  <c r="BI942" i="1" s="1"/>
  <c r="BH941" i="1"/>
  <c r="BI941" i="1" s="1"/>
  <c r="BH940" i="1"/>
  <c r="BI940" i="1" s="1"/>
  <c r="BH939" i="1"/>
  <c r="BI939" i="1" s="1"/>
  <c r="BH938" i="1"/>
  <c r="BI938" i="1" s="1"/>
  <c r="BH937" i="1"/>
  <c r="BI937" i="1" s="1"/>
  <c r="BH936" i="1"/>
  <c r="BI936" i="1" s="1"/>
  <c r="BH935" i="1"/>
  <c r="BI935" i="1" s="1"/>
  <c r="BH934" i="1"/>
  <c r="BI934" i="1" s="1"/>
  <c r="BH933" i="1"/>
  <c r="BI933" i="1" s="1"/>
  <c r="BH932" i="1"/>
  <c r="BI932" i="1" s="1"/>
  <c r="BH931" i="1"/>
  <c r="BI931" i="1" s="1"/>
  <c r="BH930" i="1"/>
  <c r="BI930" i="1" s="1"/>
  <c r="BH929" i="1"/>
  <c r="BI929" i="1" s="1"/>
  <c r="BH928" i="1"/>
  <c r="BI928" i="1" s="1"/>
  <c r="BH927" i="1"/>
  <c r="BI927" i="1" s="1"/>
  <c r="BH926" i="1"/>
  <c r="BI926" i="1" s="1"/>
  <c r="BH925" i="1"/>
  <c r="BI925" i="1" s="1"/>
  <c r="BH924" i="1"/>
  <c r="BI924" i="1" s="1"/>
  <c r="BH923" i="1"/>
  <c r="BI923" i="1" s="1"/>
  <c r="BH922" i="1"/>
  <c r="BI922" i="1" s="1"/>
  <c r="BH921" i="1"/>
  <c r="BI921" i="1" s="1"/>
  <c r="BH920" i="1"/>
  <c r="BI920" i="1" s="1"/>
  <c r="BH919" i="1"/>
  <c r="BI919" i="1" s="1"/>
  <c r="BH918" i="1"/>
  <c r="BI918" i="1" s="1"/>
  <c r="BH917" i="1"/>
  <c r="BI917" i="1" s="1"/>
  <c r="BH916" i="1"/>
  <c r="BI916" i="1" s="1"/>
  <c r="BH915" i="1"/>
  <c r="BI915" i="1" s="1"/>
  <c r="BH914" i="1"/>
  <c r="BI914" i="1" s="1"/>
  <c r="BH913" i="1"/>
  <c r="BI913" i="1" s="1"/>
  <c r="BH912" i="1"/>
  <c r="BI912" i="1" s="1"/>
  <c r="BH911" i="1"/>
  <c r="BI911" i="1" s="1"/>
  <c r="BH910" i="1"/>
  <c r="BI910" i="1" s="1"/>
  <c r="BH909" i="1"/>
  <c r="BI909" i="1" s="1"/>
  <c r="BH908" i="1"/>
  <c r="BI908" i="1" s="1"/>
  <c r="BH907" i="1"/>
  <c r="BI907" i="1" s="1"/>
  <c r="BH906" i="1"/>
  <c r="BI906" i="1" s="1"/>
  <c r="BH905" i="1"/>
  <c r="BI905" i="1" s="1"/>
  <c r="BH904" i="1"/>
  <c r="BI904" i="1" s="1"/>
  <c r="BH903" i="1"/>
  <c r="BI903" i="1" s="1"/>
  <c r="BH902" i="1"/>
  <c r="BI902" i="1" s="1"/>
  <c r="BH901" i="1"/>
  <c r="BI901" i="1" s="1"/>
  <c r="BH900" i="1"/>
  <c r="BI900" i="1" s="1"/>
  <c r="BH899" i="1"/>
  <c r="BI899" i="1" s="1"/>
  <c r="BH898" i="1"/>
  <c r="BI898" i="1" s="1"/>
  <c r="BH897" i="1"/>
  <c r="BI897" i="1" s="1"/>
  <c r="BH896" i="1"/>
  <c r="BI896" i="1" s="1"/>
  <c r="BH895" i="1"/>
  <c r="BI895" i="1" s="1"/>
  <c r="BH894" i="1"/>
  <c r="BI894" i="1" s="1"/>
  <c r="BH893" i="1"/>
  <c r="BI893" i="1" s="1"/>
  <c r="BH892" i="1"/>
  <c r="BI892" i="1" s="1"/>
  <c r="BH891" i="1"/>
  <c r="BI891" i="1" s="1"/>
  <c r="BH890" i="1"/>
  <c r="BI890" i="1" s="1"/>
  <c r="BH889" i="1"/>
  <c r="BI889" i="1" s="1"/>
  <c r="BH888" i="1"/>
  <c r="BI888" i="1" s="1"/>
  <c r="BH887" i="1"/>
  <c r="BI887" i="1" s="1"/>
  <c r="BH886" i="1"/>
  <c r="BI886" i="1" s="1"/>
  <c r="BH885" i="1"/>
  <c r="BI885" i="1" s="1"/>
  <c r="BH884" i="1"/>
  <c r="BI884" i="1" s="1"/>
  <c r="BH883" i="1"/>
  <c r="BI883" i="1" s="1"/>
  <c r="BH882" i="1"/>
  <c r="BI882" i="1" s="1"/>
  <c r="BH881" i="1"/>
  <c r="BI881" i="1" s="1"/>
  <c r="BH880" i="1"/>
  <c r="BI880" i="1" s="1"/>
  <c r="BH879" i="1"/>
  <c r="BI879" i="1" s="1"/>
  <c r="BH878" i="1"/>
  <c r="BI878" i="1" s="1"/>
  <c r="BH877" i="1"/>
  <c r="BI877" i="1" s="1"/>
  <c r="BH876" i="1"/>
  <c r="BI876" i="1" s="1"/>
  <c r="BH875" i="1"/>
  <c r="BI875" i="1" s="1"/>
  <c r="BH874" i="1"/>
  <c r="BI874" i="1" s="1"/>
  <c r="BH873" i="1"/>
  <c r="BI873" i="1" s="1"/>
  <c r="BH872" i="1"/>
  <c r="BI872" i="1" s="1"/>
  <c r="BH871" i="1"/>
  <c r="BI871" i="1" s="1"/>
  <c r="BH870" i="1"/>
  <c r="BI870" i="1" s="1"/>
  <c r="BH869" i="1"/>
  <c r="BI869" i="1" s="1"/>
  <c r="BH868" i="1"/>
  <c r="BI868" i="1" s="1"/>
  <c r="BH867" i="1"/>
  <c r="BI867" i="1" s="1"/>
  <c r="BH866" i="1"/>
  <c r="BI866" i="1" s="1"/>
  <c r="BH865" i="1"/>
  <c r="BI865" i="1" s="1"/>
  <c r="BH864" i="1"/>
  <c r="BI864" i="1" s="1"/>
  <c r="BH863" i="1"/>
  <c r="BI863" i="1" s="1"/>
  <c r="BH862" i="1"/>
  <c r="BI862" i="1" s="1"/>
  <c r="BH861" i="1"/>
  <c r="BI861" i="1" s="1"/>
  <c r="BH860" i="1"/>
  <c r="BI860" i="1" s="1"/>
  <c r="BH859" i="1"/>
  <c r="BI859" i="1" s="1"/>
  <c r="BH858" i="1"/>
  <c r="BI858" i="1" s="1"/>
  <c r="BH857" i="1"/>
  <c r="BI857" i="1" s="1"/>
  <c r="BH856" i="1"/>
  <c r="BI856" i="1" s="1"/>
  <c r="BH855" i="1"/>
  <c r="BI855" i="1" s="1"/>
  <c r="BH854" i="1"/>
  <c r="BI854" i="1" s="1"/>
  <c r="BH853" i="1"/>
  <c r="BI853" i="1" s="1"/>
  <c r="BH852" i="1"/>
  <c r="BI852" i="1" s="1"/>
  <c r="BH851" i="1"/>
  <c r="BI851" i="1" s="1"/>
  <c r="BH850" i="1"/>
  <c r="BI850" i="1" s="1"/>
  <c r="BH849" i="1"/>
  <c r="BI849" i="1" s="1"/>
  <c r="BH848" i="1"/>
  <c r="BI848" i="1" s="1"/>
  <c r="BH847" i="1"/>
  <c r="BI847" i="1" s="1"/>
  <c r="BH846" i="1"/>
  <c r="BI846" i="1" s="1"/>
  <c r="BH845" i="1"/>
  <c r="BI845" i="1" s="1"/>
  <c r="BH844" i="1"/>
  <c r="BI844" i="1" s="1"/>
  <c r="BH843" i="1"/>
  <c r="BI843" i="1" s="1"/>
  <c r="BH842" i="1"/>
  <c r="BI842" i="1" s="1"/>
  <c r="BH841" i="1"/>
  <c r="BI841" i="1" s="1"/>
  <c r="BH840" i="1"/>
  <c r="BI840" i="1" s="1"/>
  <c r="BH839" i="1"/>
  <c r="BI839" i="1" s="1"/>
  <c r="BH838" i="1"/>
  <c r="BI838" i="1" s="1"/>
  <c r="BH837" i="1"/>
  <c r="BI837" i="1" s="1"/>
  <c r="BH836" i="1"/>
  <c r="BI836" i="1" s="1"/>
  <c r="BH835" i="1"/>
  <c r="BI835" i="1" s="1"/>
  <c r="BH834" i="1"/>
  <c r="BI834" i="1" s="1"/>
  <c r="BH833" i="1"/>
  <c r="BI833" i="1" s="1"/>
  <c r="BH832" i="1"/>
  <c r="BI832" i="1" s="1"/>
  <c r="BH831" i="1"/>
  <c r="BI831" i="1" s="1"/>
  <c r="BH830" i="1"/>
  <c r="BI830" i="1" s="1"/>
  <c r="BH829" i="1"/>
  <c r="BI829" i="1" s="1"/>
  <c r="BH828" i="1"/>
  <c r="BI828" i="1" s="1"/>
  <c r="BH827" i="1"/>
  <c r="BI827" i="1" s="1"/>
  <c r="BH826" i="1"/>
  <c r="BI826" i="1" s="1"/>
  <c r="BH825" i="1"/>
  <c r="BI825" i="1" s="1"/>
  <c r="BH824" i="1"/>
  <c r="BI824" i="1" s="1"/>
  <c r="BH823" i="1"/>
  <c r="BI823" i="1" s="1"/>
  <c r="BH822" i="1"/>
  <c r="BI822" i="1" s="1"/>
  <c r="BH821" i="1"/>
  <c r="BI821" i="1" s="1"/>
  <c r="BH820" i="1"/>
  <c r="BI820" i="1" s="1"/>
  <c r="BH819" i="1"/>
  <c r="BI819" i="1" s="1"/>
  <c r="BH818" i="1"/>
  <c r="BI818" i="1" s="1"/>
  <c r="BH817" i="1"/>
  <c r="BI817" i="1" s="1"/>
  <c r="BH816" i="1"/>
  <c r="BI816" i="1" s="1"/>
  <c r="BH815" i="1"/>
  <c r="BI815" i="1" s="1"/>
  <c r="BH814" i="1"/>
  <c r="BI814" i="1" s="1"/>
  <c r="BH813" i="1"/>
  <c r="BI813" i="1" s="1"/>
  <c r="BH812" i="1"/>
  <c r="BI812" i="1" s="1"/>
  <c r="BH811" i="1"/>
  <c r="BI811" i="1" s="1"/>
  <c r="BH810" i="1"/>
  <c r="BI810" i="1" s="1"/>
  <c r="BH809" i="1"/>
  <c r="BI809" i="1" s="1"/>
  <c r="BH808" i="1"/>
  <c r="BI808" i="1" s="1"/>
  <c r="BH807" i="1"/>
  <c r="BI807" i="1" s="1"/>
  <c r="BH806" i="1"/>
  <c r="BI806" i="1" s="1"/>
  <c r="BH805" i="1"/>
  <c r="BI805" i="1" s="1"/>
  <c r="BH804" i="1"/>
  <c r="BI804" i="1" s="1"/>
  <c r="BH803" i="1"/>
  <c r="BI803" i="1" s="1"/>
  <c r="BH802" i="1"/>
  <c r="BI802" i="1" s="1"/>
  <c r="BH801" i="1"/>
  <c r="BI801" i="1" s="1"/>
  <c r="BH800" i="1"/>
  <c r="BI800" i="1" s="1"/>
  <c r="BH799" i="1"/>
  <c r="BI799" i="1" s="1"/>
  <c r="BH798" i="1"/>
  <c r="BI798" i="1" s="1"/>
  <c r="BH797" i="1"/>
  <c r="BI797" i="1" s="1"/>
  <c r="BH796" i="1"/>
  <c r="BI796" i="1" s="1"/>
  <c r="BH795" i="1"/>
  <c r="BI795" i="1" s="1"/>
  <c r="BH794" i="1"/>
  <c r="BI794" i="1" s="1"/>
  <c r="BH793" i="1"/>
  <c r="BI793" i="1" s="1"/>
  <c r="BH792" i="1"/>
  <c r="BI792" i="1" s="1"/>
  <c r="BH791" i="1"/>
  <c r="BI791" i="1" s="1"/>
  <c r="BH790" i="1"/>
  <c r="BI790" i="1" s="1"/>
  <c r="BH789" i="1"/>
  <c r="BI789" i="1" s="1"/>
  <c r="BH788" i="1"/>
  <c r="BI788" i="1" s="1"/>
  <c r="BH787" i="1"/>
  <c r="BI787" i="1" s="1"/>
  <c r="BH786" i="1"/>
  <c r="BI786" i="1" s="1"/>
  <c r="BH785" i="1"/>
  <c r="BI785" i="1" s="1"/>
  <c r="BH784" i="1"/>
  <c r="BI784" i="1" s="1"/>
  <c r="BH783" i="1"/>
  <c r="BI783" i="1" s="1"/>
  <c r="BH782" i="1"/>
  <c r="BI782" i="1" s="1"/>
  <c r="BH781" i="1"/>
  <c r="BI781" i="1" s="1"/>
  <c r="BH780" i="1"/>
  <c r="BI780" i="1" s="1"/>
  <c r="BH779" i="1"/>
  <c r="BI779" i="1" s="1"/>
  <c r="BH778" i="1"/>
  <c r="BI778" i="1" s="1"/>
  <c r="BH777" i="1"/>
  <c r="BI777" i="1" s="1"/>
  <c r="BH776" i="1"/>
  <c r="BI776" i="1" s="1"/>
  <c r="BH775" i="1"/>
  <c r="BI775" i="1" s="1"/>
  <c r="BH774" i="1"/>
  <c r="BI774" i="1" s="1"/>
  <c r="BH773" i="1"/>
  <c r="BI773" i="1" s="1"/>
  <c r="BH772" i="1"/>
  <c r="BI772" i="1" s="1"/>
  <c r="BH771" i="1"/>
  <c r="BI771" i="1" s="1"/>
  <c r="BH770" i="1"/>
  <c r="BI770" i="1" s="1"/>
  <c r="BH769" i="1"/>
  <c r="BI769" i="1" s="1"/>
  <c r="BH768" i="1"/>
  <c r="BI768" i="1" s="1"/>
  <c r="BH767" i="1"/>
  <c r="BI767" i="1" s="1"/>
  <c r="BH766" i="1"/>
  <c r="BI766" i="1" s="1"/>
  <c r="BH765" i="1"/>
  <c r="BI765" i="1" s="1"/>
  <c r="BH764" i="1"/>
  <c r="BI764" i="1" s="1"/>
  <c r="BH763" i="1"/>
  <c r="BI763" i="1" s="1"/>
  <c r="BH762" i="1"/>
  <c r="BI762" i="1" s="1"/>
  <c r="BH761" i="1"/>
  <c r="BI761" i="1" s="1"/>
  <c r="BH760" i="1"/>
  <c r="BI760" i="1" s="1"/>
  <c r="BH759" i="1"/>
  <c r="BI759" i="1" s="1"/>
  <c r="BH758" i="1"/>
  <c r="BI758" i="1" s="1"/>
  <c r="BH757" i="1"/>
  <c r="BI757" i="1" s="1"/>
  <c r="BH756" i="1"/>
  <c r="BI756" i="1" s="1"/>
  <c r="BH755" i="1"/>
  <c r="BI755" i="1" s="1"/>
  <c r="BH754" i="1"/>
  <c r="BI754" i="1" s="1"/>
  <c r="BH753" i="1"/>
  <c r="BI753" i="1" s="1"/>
  <c r="BH752" i="1"/>
  <c r="BI752" i="1" s="1"/>
  <c r="BH751" i="1"/>
  <c r="BI751" i="1" s="1"/>
  <c r="BH750" i="1"/>
  <c r="BI750" i="1" s="1"/>
  <c r="BH749" i="1"/>
  <c r="BI749" i="1" s="1"/>
  <c r="BH748" i="1"/>
  <c r="BI748" i="1" s="1"/>
  <c r="BH747" i="1"/>
  <c r="BI747" i="1" s="1"/>
  <c r="BH746" i="1"/>
  <c r="BI746" i="1" s="1"/>
  <c r="BH745" i="1"/>
  <c r="BI745" i="1" s="1"/>
  <c r="BH744" i="1"/>
  <c r="BI744" i="1" s="1"/>
  <c r="BH743" i="1"/>
  <c r="BI743" i="1" s="1"/>
  <c r="BH742" i="1"/>
  <c r="BI742" i="1" s="1"/>
  <c r="BH741" i="1"/>
  <c r="BI741" i="1" s="1"/>
  <c r="BH740" i="1"/>
  <c r="BI740" i="1" s="1"/>
  <c r="BH739" i="1"/>
  <c r="BI739" i="1" s="1"/>
  <c r="BH738" i="1"/>
  <c r="BI738" i="1" s="1"/>
  <c r="BH737" i="1"/>
  <c r="BI737" i="1" s="1"/>
  <c r="BH736" i="1"/>
  <c r="BI736" i="1" s="1"/>
  <c r="BH735" i="1"/>
  <c r="BI735" i="1" s="1"/>
  <c r="BH734" i="1"/>
  <c r="BI734" i="1" s="1"/>
  <c r="BH733" i="1"/>
  <c r="BI733" i="1" s="1"/>
  <c r="BH732" i="1"/>
  <c r="BI732" i="1" s="1"/>
  <c r="BH731" i="1"/>
  <c r="BI731" i="1" s="1"/>
  <c r="BH730" i="1"/>
  <c r="BI730" i="1" s="1"/>
  <c r="BH729" i="1"/>
  <c r="BI729" i="1" s="1"/>
  <c r="BH728" i="1"/>
  <c r="BI728" i="1" s="1"/>
  <c r="BH727" i="1"/>
  <c r="BI727" i="1" s="1"/>
  <c r="BH726" i="1"/>
  <c r="BI726" i="1" s="1"/>
  <c r="BH725" i="1"/>
  <c r="BI725" i="1" s="1"/>
  <c r="BH724" i="1"/>
  <c r="BI724" i="1" s="1"/>
  <c r="BH723" i="1"/>
  <c r="BI723" i="1" s="1"/>
  <c r="BH722" i="1"/>
  <c r="BI722" i="1" s="1"/>
  <c r="BH721" i="1"/>
  <c r="BI721" i="1" s="1"/>
  <c r="BH720" i="1"/>
  <c r="BI720" i="1" s="1"/>
  <c r="BH719" i="1"/>
  <c r="BI719" i="1" s="1"/>
  <c r="BH718" i="1"/>
  <c r="BI718" i="1" s="1"/>
  <c r="BH717" i="1"/>
  <c r="BI717" i="1" s="1"/>
  <c r="BH716" i="1"/>
  <c r="BI716" i="1" s="1"/>
  <c r="BH715" i="1"/>
  <c r="BI715" i="1" s="1"/>
  <c r="BH714" i="1"/>
  <c r="BI714" i="1" s="1"/>
  <c r="BH713" i="1"/>
  <c r="BI713" i="1" s="1"/>
  <c r="BH712" i="1"/>
  <c r="BI712" i="1" s="1"/>
  <c r="BH711" i="1"/>
  <c r="BI711" i="1" s="1"/>
  <c r="BH710" i="1"/>
  <c r="BI710" i="1" s="1"/>
  <c r="BH709" i="1"/>
  <c r="BI709" i="1" s="1"/>
  <c r="BH708" i="1"/>
  <c r="BI708" i="1" s="1"/>
  <c r="BH707" i="1"/>
  <c r="BI707" i="1" s="1"/>
  <c r="BH706" i="1"/>
  <c r="BI706" i="1" s="1"/>
  <c r="BH705" i="1"/>
  <c r="BI705" i="1" s="1"/>
  <c r="BH704" i="1"/>
  <c r="BI704" i="1" s="1"/>
  <c r="BH703" i="1"/>
  <c r="BI703" i="1" s="1"/>
  <c r="BH702" i="1"/>
  <c r="BI702" i="1" s="1"/>
  <c r="BH701" i="1"/>
  <c r="BI701" i="1" s="1"/>
  <c r="BH700" i="1"/>
  <c r="BI700" i="1" s="1"/>
  <c r="BH699" i="1"/>
  <c r="BI699" i="1" s="1"/>
  <c r="BH698" i="1"/>
  <c r="BI698" i="1" s="1"/>
  <c r="BH697" i="1"/>
  <c r="BI697" i="1" s="1"/>
  <c r="BH696" i="1"/>
  <c r="BI696" i="1" s="1"/>
  <c r="BH695" i="1"/>
  <c r="BI695" i="1" s="1"/>
  <c r="BH694" i="1"/>
  <c r="BI694" i="1" s="1"/>
  <c r="BH693" i="1"/>
  <c r="BI693" i="1" s="1"/>
  <c r="BH692" i="1"/>
  <c r="BI692" i="1" s="1"/>
  <c r="BH691" i="1"/>
  <c r="BI691" i="1" s="1"/>
  <c r="BH690" i="1"/>
  <c r="BI690" i="1" s="1"/>
  <c r="BH689" i="1"/>
  <c r="BI689" i="1" s="1"/>
  <c r="BH688" i="1"/>
  <c r="BI688" i="1" s="1"/>
  <c r="BH687" i="1"/>
  <c r="BI687" i="1" s="1"/>
  <c r="BH686" i="1"/>
  <c r="BI686" i="1" s="1"/>
  <c r="BH685" i="1"/>
  <c r="BI685" i="1" s="1"/>
  <c r="BH684" i="1"/>
  <c r="BI684" i="1" s="1"/>
  <c r="BH683" i="1"/>
  <c r="BI683" i="1" s="1"/>
  <c r="BH682" i="1"/>
  <c r="BI682" i="1" s="1"/>
  <c r="BH681" i="1"/>
  <c r="BI681" i="1" s="1"/>
  <c r="BH680" i="1"/>
  <c r="BI680" i="1" s="1"/>
  <c r="BH679" i="1"/>
  <c r="BI679" i="1" s="1"/>
  <c r="BH678" i="1"/>
  <c r="BI678" i="1" s="1"/>
  <c r="BH677" i="1"/>
  <c r="BI677" i="1" s="1"/>
  <c r="BH676" i="1"/>
  <c r="BI676" i="1" s="1"/>
  <c r="BH675" i="1"/>
  <c r="BI675" i="1" s="1"/>
  <c r="BH674" i="1"/>
  <c r="BI674" i="1" s="1"/>
  <c r="BH673" i="1"/>
  <c r="BI673" i="1" s="1"/>
  <c r="BH672" i="1"/>
  <c r="BI672" i="1" s="1"/>
  <c r="BH671" i="1"/>
  <c r="BI671" i="1" s="1"/>
  <c r="BH670" i="1"/>
  <c r="BI670" i="1" s="1"/>
  <c r="BH669" i="1"/>
  <c r="BI669" i="1" s="1"/>
  <c r="BH668" i="1"/>
  <c r="BI668" i="1" s="1"/>
  <c r="BH667" i="1"/>
  <c r="BI667" i="1" s="1"/>
  <c r="BH666" i="1"/>
  <c r="BI666" i="1" s="1"/>
  <c r="BH665" i="1"/>
  <c r="BI665" i="1" s="1"/>
  <c r="BH664" i="1"/>
  <c r="BI664" i="1" s="1"/>
  <c r="BH663" i="1"/>
  <c r="BI663" i="1" s="1"/>
  <c r="BH662" i="1"/>
  <c r="BI662" i="1" s="1"/>
  <c r="BH661" i="1"/>
  <c r="BI661" i="1" s="1"/>
  <c r="BH660" i="1"/>
  <c r="BI660" i="1" s="1"/>
  <c r="BH659" i="1"/>
  <c r="BI659" i="1" s="1"/>
  <c r="BH658" i="1"/>
  <c r="BI658" i="1" s="1"/>
  <c r="BH657" i="1"/>
  <c r="BI657" i="1" s="1"/>
  <c r="BH656" i="1"/>
  <c r="BI656" i="1" s="1"/>
  <c r="BH655" i="1"/>
  <c r="BI655" i="1" s="1"/>
  <c r="BH654" i="1"/>
  <c r="BI654" i="1" s="1"/>
  <c r="BH653" i="1"/>
  <c r="BI653" i="1" s="1"/>
  <c r="BH652" i="1"/>
  <c r="BI652" i="1" s="1"/>
  <c r="BH651" i="1"/>
  <c r="BI651" i="1" s="1"/>
  <c r="BH650" i="1"/>
  <c r="BI650" i="1" s="1"/>
  <c r="BH649" i="1"/>
  <c r="BI649" i="1" s="1"/>
  <c r="BH648" i="1"/>
  <c r="BI648" i="1" s="1"/>
  <c r="BH647" i="1"/>
  <c r="BI647" i="1" s="1"/>
  <c r="BH646" i="1"/>
  <c r="BI646" i="1" s="1"/>
  <c r="BH645" i="1"/>
  <c r="BI645" i="1" s="1"/>
  <c r="BH644" i="1"/>
  <c r="BI644" i="1" s="1"/>
  <c r="BH643" i="1"/>
  <c r="BI643" i="1" s="1"/>
  <c r="BH642" i="1"/>
  <c r="BI642" i="1" s="1"/>
  <c r="BH641" i="1"/>
  <c r="BI641" i="1" s="1"/>
  <c r="BH640" i="1"/>
  <c r="BI640" i="1" s="1"/>
  <c r="BH639" i="1"/>
  <c r="BI639" i="1" s="1"/>
  <c r="BH638" i="1"/>
  <c r="BI638" i="1" s="1"/>
  <c r="BH637" i="1"/>
  <c r="BI637" i="1" s="1"/>
  <c r="BH636" i="1"/>
  <c r="BI636" i="1" s="1"/>
  <c r="BH635" i="1"/>
  <c r="BI635" i="1" s="1"/>
  <c r="BH634" i="1"/>
  <c r="BI634" i="1" s="1"/>
  <c r="BH633" i="1"/>
  <c r="BI633" i="1" s="1"/>
  <c r="BH632" i="1"/>
  <c r="BI632" i="1" s="1"/>
  <c r="BH631" i="1"/>
  <c r="BI631" i="1" s="1"/>
  <c r="BH630" i="1"/>
  <c r="BI630" i="1" s="1"/>
  <c r="BH629" i="1"/>
  <c r="BI629" i="1" s="1"/>
  <c r="BH628" i="1"/>
  <c r="BI628" i="1" s="1"/>
  <c r="BH627" i="1"/>
  <c r="BI627" i="1" s="1"/>
  <c r="BH626" i="1"/>
  <c r="BI626" i="1" s="1"/>
  <c r="BH625" i="1"/>
  <c r="BI625" i="1" s="1"/>
  <c r="BH624" i="1"/>
  <c r="BI624" i="1" s="1"/>
  <c r="BH623" i="1"/>
  <c r="BI623" i="1" s="1"/>
  <c r="BH622" i="1"/>
  <c r="BI622" i="1" s="1"/>
  <c r="BH621" i="1"/>
  <c r="BI621" i="1" s="1"/>
  <c r="BH620" i="1"/>
  <c r="BI620" i="1" s="1"/>
  <c r="BH619" i="1"/>
  <c r="BI619" i="1" s="1"/>
  <c r="BH618" i="1"/>
  <c r="BI618" i="1" s="1"/>
  <c r="BH617" i="1"/>
  <c r="BI617" i="1" s="1"/>
  <c r="BH616" i="1"/>
  <c r="BI616" i="1" s="1"/>
  <c r="BH615" i="1"/>
  <c r="BI615" i="1" s="1"/>
  <c r="BH614" i="1"/>
  <c r="BI614" i="1" s="1"/>
  <c r="BH613" i="1"/>
  <c r="BI613" i="1" s="1"/>
  <c r="BH612" i="1"/>
  <c r="BI612" i="1" s="1"/>
  <c r="BH611" i="1"/>
  <c r="BI611" i="1" s="1"/>
  <c r="BH610" i="1"/>
  <c r="BI610" i="1" s="1"/>
  <c r="BH609" i="1"/>
  <c r="BI609" i="1" s="1"/>
  <c r="BH608" i="1"/>
  <c r="BI608" i="1" s="1"/>
  <c r="BH607" i="1"/>
  <c r="BI607" i="1" s="1"/>
  <c r="BH606" i="1"/>
  <c r="BI606" i="1" s="1"/>
  <c r="BH605" i="1"/>
  <c r="BI605" i="1" s="1"/>
  <c r="BH604" i="1"/>
  <c r="BI604" i="1" s="1"/>
  <c r="BH603" i="1"/>
  <c r="BI603" i="1" s="1"/>
  <c r="BH602" i="1"/>
  <c r="BI602" i="1" s="1"/>
  <c r="BH601" i="1"/>
  <c r="BI601" i="1" s="1"/>
  <c r="BH600" i="1"/>
  <c r="BI600" i="1" s="1"/>
  <c r="BH599" i="1"/>
  <c r="BI599" i="1" s="1"/>
  <c r="BH598" i="1"/>
  <c r="BI598" i="1" s="1"/>
  <c r="BH597" i="1"/>
  <c r="BI597" i="1" s="1"/>
  <c r="BH596" i="1"/>
  <c r="BI596" i="1" s="1"/>
  <c r="BH595" i="1"/>
  <c r="BI595" i="1" s="1"/>
  <c r="BH594" i="1"/>
  <c r="BI594" i="1" s="1"/>
  <c r="BH593" i="1"/>
  <c r="BI593" i="1" s="1"/>
  <c r="BH592" i="1"/>
  <c r="BI592" i="1" s="1"/>
  <c r="BH591" i="1"/>
  <c r="BI591" i="1" s="1"/>
  <c r="BH590" i="1"/>
  <c r="BI590" i="1" s="1"/>
  <c r="BH589" i="1"/>
  <c r="BI589" i="1" s="1"/>
  <c r="BH588" i="1"/>
  <c r="BI588" i="1" s="1"/>
  <c r="BH587" i="1"/>
  <c r="BI587" i="1" s="1"/>
  <c r="BH586" i="1"/>
  <c r="BI586" i="1" s="1"/>
  <c r="BH585" i="1"/>
  <c r="BI585" i="1" s="1"/>
  <c r="BH584" i="1"/>
  <c r="BI584" i="1" s="1"/>
  <c r="BH583" i="1"/>
  <c r="BI583" i="1" s="1"/>
  <c r="BH582" i="1"/>
  <c r="BI582" i="1" s="1"/>
  <c r="BH581" i="1"/>
  <c r="BI581" i="1" s="1"/>
  <c r="BH580" i="1"/>
  <c r="BI580" i="1" s="1"/>
  <c r="BH579" i="1"/>
  <c r="BI579" i="1" s="1"/>
  <c r="BH578" i="1"/>
  <c r="BI578" i="1" s="1"/>
  <c r="BH577" i="1"/>
  <c r="BI577" i="1" s="1"/>
  <c r="BH576" i="1"/>
  <c r="BI576" i="1" s="1"/>
  <c r="BH575" i="1"/>
  <c r="BI575" i="1" s="1"/>
  <c r="BH574" i="1"/>
  <c r="BI574" i="1" s="1"/>
  <c r="BH573" i="1"/>
  <c r="BI573" i="1" s="1"/>
  <c r="BH572" i="1"/>
  <c r="BI572" i="1" s="1"/>
  <c r="BH571" i="1"/>
  <c r="BI571" i="1" s="1"/>
  <c r="BH570" i="1"/>
  <c r="BI570" i="1" s="1"/>
  <c r="BH569" i="1"/>
  <c r="BI569" i="1" s="1"/>
  <c r="BH568" i="1"/>
  <c r="BI568" i="1" s="1"/>
  <c r="BH567" i="1"/>
  <c r="BI567" i="1" s="1"/>
  <c r="BH566" i="1"/>
  <c r="BI566" i="1" s="1"/>
  <c r="BH565" i="1"/>
  <c r="BI565" i="1" s="1"/>
  <c r="BH564" i="1"/>
  <c r="BI564" i="1" s="1"/>
  <c r="BH563" i="1"/>
  <c r="BI563" i="1" s="1"/>
  <c r="BH562" i="1"/>
  <c r="BI562" i="1" s="1"/>
  <c r="BH561" i="1"/>
  <c r="BI561" i="1" s="1"/>
  <c r="BH560" i="1"/>
  <c r="BI560" i="1" s="1"/>
  <c r="BH559" i="1"/>
  <c r="BI559" i="1" s="1"/>
  <c r="BH558" i="1"/>
  <c r="BI558" i="1" s="1"/>
  <c r="BH557" i="1"/>
  <c r="BI557" i="1" s="1"/>
  <c r="BH556" i="1"/>
  <c r="BI556" i="1" s="1"/>
  <c r="BH555" i="1"/>
  <c r="BI555" i="1" s="1"/>
  <c r="BH554" i="1"/>
  <c r="BI554" i="1" s="1"/>
  <c r="BH553" i="1"/>
  <c r="BI553" i="1" s="1"/>
  <c r="BH552" i="1"/>
  <c r="BI552" i="1" s="1"/>
  <c r="BH551" i="1"/>
  <c r="BI551" i="1" s="1"/>
  <c r="BH550" i="1"/>
  <c r="BI550" i="1" s="1"/>
  <c r="BH549" i="1"/>
  <c r="BI549" i="1" s="1"/>
  <c r="BH548" i="1"/>
  <c r="BI548" i="1" s="1"/>
  <c r="BH547" i="1"/>
  <c r="BI547" i="1" s="1"/>
  <c r="BH546" i="1"/>
  <c r="BI546" i="1" s="1"/>
  <c r="BH545" i="1"/>
  <c r="BI545" i="1" s="1"/>
  <c r="BH544" i="1"/>
  <c r="BI544" i="1" s="1"/>
  <c r="BH543" i="1"/>
  <c r="BI543" i="1" s="1"/>
  <c r="BH542" i="1"/>
  <c r="BI542" i="1" s="1"/>
  <c r="BH541" i="1"/>
  <c r="BI541" i="1" s="1"/>
  <c r="BH540" i="1"/>
  <c r="BI540" i="1" s="1"/>
  <c r="BH539" i="1"/>
  <c r="BI539" i="1" s="1"/>
  <c r="BH538" i="1"/>
  <c r="BI538" i="1" s="1"/>
  <c r="BH537" i="1"/>
  <c r="BI537" i="1" s="1"/>
  <c r="BH536" i="1"/>
  <c r="BI536" i="1" s="1"/>
  <c r="BH535" i="1"/>
  <c r="BI535" i="1" s="1"/>
  <c r="BH534" i="1"/>
  <c r="BI534" i="1" s="1"/>
  <c r="BH533" i="1"/>
  <c r="BI533" i="1" s="1"/>
  <c r="BH532" i="1"/>
  <c r="BI532" i="1" s="1"/>
  <c r="BH531" i="1"/>
  <c r="BI531" i="1" s="1"/>
  <c r="BH530" i="1"/>
  <c r="BI530" i="1" s="1"/>
  <c r="BH529" i="1"/>
  <c r="BI529" i="1" s="1"/>
  <c r="BH528" i="1"/>
  <c r="BI528" i="1" s="1"/>
  <c r="BH527" i="1"/>
  <c r="BI527" i="1" s="1"/>
  <c r="BH526" i="1"/>
  <c r="BI526" i="1" s="1"/>
  <c r="BH525" i="1"/>
  <c r="BI525" i="1" s="1"/>
  <c r="BH524" i="1"/>
  <c r="BI524" i="1" s="1"/>
  <c r="BH523" i="1"/>
  <c r="BI523" i="1" s="1"/>
  <c r="BH522" i="1"/>
  <c r="BI522" i="1" s="1"/>
  <c r="BH521" i="1"/>
  <c r="BI521" i="1" s="1"/>
  <c r="BH520" i="1"/>
  <c r="BI520" i="1" s="1"/>
  <c r="BH519" i="1"/>
  <c r="BI519" i="1" s="1"/>
  <c r="BH518" i="1"/>
  <c r="BI518" i="1" s="1"/>
  <c r="BH517" i="1"/>
  <c r="BI517" i="1" s="1"/>
  <c r="BH516" i="1"/>
  <c r="BI516" i="1" s="1"/>
  <c r="BH515" i="1"/>
  <c r="BI515" i="1" s="1"/>
  <c r="BH514" i="1"/>
  <c r="BI514" i="1" s="1"/>
  <c r="BH513" i="1"/>
  <c r="BI513" i="1" s="1"/>
  <c r="BH512" i="1"/>
  <c r="BI512" i="1" s="1"/>
  <c r="BH511" i="1"/>
  <c r="BI511" i="1" s="1"/>
  <c r="BH510" i="1"/>
  <c r="BI510" i="1" s="1"/>
  <c r="BH509" i="1"/>
  <c r="BI509" i="1" s="1"/>
  <c r="BH508" i="1"/>
  <c r="BI508" i="1" s="1"/>
  <c r="BH507" i="1"/>
  <c r="BI507" i="1" s="1"/>
  <c r="BH506" i="1"/>
  <c r="BI506" i="1" s="1"/>
  <c r="BH505" i="1"/>
  <c r="BI505" i="1" s="1"/>
  <c r="BH504" i="1"/>
  <c r="BI504" i="1" s="1"/>
  <c r="BH503" i="1"/>
  <c r="BI503" i="1" s="1"/>
  <c r="BH502" i="1"/>
  <c r="BI502" i="1" s="1"/>
  <c r="BH501" i="1"/>
  <c r="BI501" i="1" s="1"/>
  <c r="BH500" i="1"/>
  <c r="BI500" i="1" s="1"/>
  <c r="BH499" i="1"/>
  <c r="BI499" i="1" s="1"/>
  <c r="BH498" i="1"/>
  <c r="BI498" i="1" s="1"/>
  <c r="BH497" i="1"/>
  <c r="BI497" i="1" s="1"/>
  <c r="BH496" i="1"/>
  <c r="BI496" i="1" s="1"/>
  <c r="BH495" i="1"/>
  <c r="BI495" i="1" s="1"/>
  <c r="BH494" i="1"/>
  <c r="BI494" i="1" s="1"/>
  <c r="BH493" i="1"/>
  <c r="BI493" i="1" s="1"/>
  <c r="BH492" i="1"/>
  <c r="BI492" i="1" s="1"/>
  <c r="BH491" i="1"/>
  <c r="BI491" i="1" s="1"/>
  <c r="BH490" i="1"/>
  <c r="BI490" i="1" s="1"/>
  <c r="BH489" i="1"/>
  <c r="BI489" i="1" s="1"/>
  <c r="BH488" i="1"/>
  <c r="BI488" i="1" s="1"/>
  <c r="BH487" i="1"/>
  <c r="BI487" i="1" s="1"/>
  <c r="BH486" i="1"/>
  <c r="BI486" i="1" s="1"/>
  <c r="BH485" i="1"/>
  <c r="BI485" i="1" s="1"/>
  <c r="BH484" i="1"/>
  <c r="BI484" i="1" s="1"/>
  <c r="BH483" i="1"/>
  <c r="BI483" i="1" s="1"/>
  <c r="BH482" i="1"/>
  <c r="BI482" i="1" s="1"/>
  <c r="BH481" i="1"/>
  <c r="BI481" i="1" s="1"/>
  <c r="BH480" i="1"/>
  <c r="BI480" i="1" s="1"/>
  <c r="BH479" i="1"/>
  <c r="BI479" i="1" s="1"/>
  <c r="BH478" i="1"/>
  <c r="BI478" i="1" s="1"/>
  <c r="BH477" i="1"/>
  <c r="BI477" i="1" s="1"/>
  <c r="BH476" i="1"/>
  <c r="BI476" i="1" s="1"/>
  <c r="BH475" i="1"/>
  <c r="BI475" i="1" s="1"/>
  <c r="BH474" i="1"/>
  <c r="BI474" i="1" s="1"/>
  <c r="BH473" i="1"/>
  <c r="BI473" i="1" s="1"/>
  <c r="BH472" i="1"/>
  <c r="BI472" i="1" s="1"/>
  <c r="BH471" i="1"/>
  <c r="BI471" i="1" s="1"/>
  <c r="BH470" i="1"/>
  <c r="BI470" i="1" s="1"/>
  <c r="BH469" i="1"/>
  <c r="BI469" i="1" s="1"/>
  <c r="BH468" i="1"/>
  <c r="BI468" i="1" s="1"/>
  <c r="BH467" i="1"/>
  <c r="BI467" i="1" s="1"/>
  <c r="BH466" i="1"/>
  <c r="BI466" i="1" s="1"/>
  <c r="BH465" i="1"/>
  <c r="BI465" i="1" s="1"/>
  <c r="BH464" i="1"/>
  <c r="BI464" i="1" s="1"/>
  <c r="BH463" i="1"/>
  <c r="BI463" i="1" s="1"/>
  <c r="BH462" i="1"/>
  <c r="BI462" i="1" s="1"/>
  <c r="BH461" i="1"/>
  <c r="BI461" i="1" s="1"/>
  <c r="BH460" i="1"/>
  <c r="BI460" i="1" s="1"/>
  <c r="BH459" i="1"/>
  <c r="BI459" i="1" s="1"/>
  <c r="BH458" i="1"/>
  <c r="BI458" i="1" s="1"/>
  <c r="BH457" i="1"/>
  <c r="BI457" i="1" s="1"/>
  <c r="BH456" i="1"/>
  <c r="BI456" i="1" s="1"/>
  <c r="BH455" i="1"/>
  <c r="BI455" i="1" s="1"/>
  <c r="BH454" i="1"/>
  <c r="BI454" i="1" s="1"/>
  <c r="BH453" i="1"/>
  <c r="BI453" i="1" s="1"/>
  <c r="BH452" i="1"/>
  <c r="BI452" i="1" s="1"/>
  <c r="BH451" i="1"/>
  <c r="BI451" i="1" s="1"/>
  <c r="BH450" i="1"/>
  <c r="BI450" i="1" s="1"/>
  <c r="BH449" i="1"/>
  <c r="BI449" i="1" s="1"/>
  <c r="BH448" i="1"/>
  <c r="BI448" i="1" s="1"/>
  <c r="BH447" i="1"/>
  <c r="BI447" i="1" s="1"/>
  <c r="BH446" i="1"/>
  <c r="BI446" i="1" s="1"/>
  <c r="BH445" i="1"/>
  <c r="BI445" i="1" s="1"/>
  <c r="BH444" i="1"/>
  <c r="BI444" i="1" s="1"/>
  <c r="BH443" i="1"/>
  <c r="BI443" i="1" s="1"/>
  <c r="BH442" i="1"/>
  <c r="BI442" i="1" s="1"/>
  <c r="BH441" i="1"/>
  <c r="BI441" i="1" s="1"/>
  <c r="BH440" i="1"/>
  <c r="BI440" i="1" s="1"/>
  <c r="BH439" i="1"/>
  <c r="BI439" i="1" s="1"/>
  <c r="BH438" i="1"/>
  <c r="BI438" i="1" s="1"/>
  <c r="BH437" i="1"/>
  <c r="BI437" i="1" s="1"/>
  <c r="BH436" i="1"/>
  <c r="BI436" i="1" s="1"/>
  <c r="BH435" i="1"/>
  <c r="BI435" i="1" s="1"/>
  <c r="BH434" i="1"/>
  <c r="BI434" i="1" s="1"/>
  <c r="BH433" i="1"/>
  <c r="BI433" i="1" s="1"/>
  <c r="BH432" i="1"/>
  <c r="BI432" i="1" s="1"/>
  <c r="BH431" i="1"/>
  <c r="BI431" i="1" s="1"/>
  <c r="BH430" i="1"/>
  <c r="BI430" i="1" s="1"/>
  <c r="BH429" i="1"/>
  <c r="BI429" i="1" s="1"/>
  <c r="BH428" i="1"/>
  <c r="BI428" i="1" s="1"/>
  <c r="BH427" i="1"/>
  <c r="BI427" i="1" s="1"/>
  <c r="BH426" i="1"/>
  <c r="BI426" i="1" s="1"/>
  <c r="BH425" i="1"/>
  <c r="BI425" i="1" s="1"/>
  <c r="BH424" i="1"/>
  <c r="BI424" i="1" s="1"/>
  <c r="BH423" i="1"/>
  <c r="BI423" i="1" s="1"/>
  <c r="BH422" i="1"/>
  <c r="BI422" i="1" s="1"/>
  <c r="BH421" i="1"/>
  <c r="BI421" i="1" s="1"/>
  <c r="BH420" i="1"/>
  <c r="BI420" i="1" s="1"/>
  <c r="BH419" i="1"/>
  <c r="BI419" i="1" s="1"/>
  <c r="BH418" i="1"/>
  <c r="BI418" i="1" s="1"/>
  <c r="BH417" i="1"/>
  <c r="BI417" i="1" s="1"/>
  <c r="BH416" i="1"/>
  <c r="BI416" i="1" s="1"/>
  <c r="BH415" i="1"/>
  <c r="BI415" i="1" s="1"/>
  <c r="BH414" i="1"/>
  <c r="BI414" i="1" s="1"/>
  <c r="BH413" i="1"/>
  <c r="BI413" i="1" s="1"/>
  <c r="BH412" i="1"/>
  <c r="BI412" i="1" s="1"/>
  <c r="BH411" i="1"/>
  <c r="BI411" i="1" s="1"/>
  <c r="BH410" i="1"/>
  <c r="BI410" i="1" s="1"/>
  <c r="BH409" i="1"/>
  <c r="BI409" i="1" s="1"/>
  <c r="BH408" i="1"/>
  <c r="BI408" i="1" s="1"/>
  <c r="BH407" i="1"/>
  <c r="BI407" i="1" s="1"/>
  <c r="BH406" i="1"/>
  <c r="BI406" i="1" s="1"/>
  <c r="BH405" i="1"/>
  <c r="BI405" i="1" s="1"/>
  <c r="BH404" i="1"/>
  <c r="BI404" i="1" s="1"/>
  <c r="BH403" i="1"/>
  <c r="BI403" i="1" s="1"/>
  <c r="BH402" i="1"/>
  <c r="BI402" i="1" s="1"/>
  <c r="BH401" i="1"/>
  <c r="BI401" i="1" s="1"/>
  <c r="BH400" i="1"/>
  <c r="BI400" i="1" s="1"/>
  <c r="BH399" i="1"/>
  <c r="BI399" i="1" s="1"/>
  <c r="BH398" i="1"/>
  <c r="BI398" i="1" s="1"/>
  <c r="BH397" i="1"/>
  <c r="BI397" i="1" s="1"/>
  <c r="BH396" i="1"/>
  <c r="BI396" i="1" s="1"/>
  <c r="BH395" i="1"/>
  <c r="BI395" i="1" s="1"/>
  <c r="BH394" i="1"/>
  <c r="BI394" i="1" s="1"/>
  <c r="BH393" i="1"/>
  <c r="BI393" i="1" s="1"/>
  <c r="BH392" i="1"/>
  <c r="BI392" i="1" s="1"/>
  <c r="BH391" i="1"/>
  <c r="BI391" i="1" s="1"/>
  <c r="BH390" i="1"/>
  <c r="BI390" i="1" s="1"/>
  <c r="BH389" i="1"/>
  <c r="BI389" i="1" s="1"/>
  <c r="BH388" i="1"/>
  <c r="BI388" i="1" s="1"/>
  <c r="BH387" i="1"/>
  <c r="BI387" i="1" s="1"/>
  <c r="BH386" i="1"/>
  <c r="BI386" i="1" s="1"/>
  <c r="BH385" i="1"/>
  <c r="BI385" i="1" s="1"/>
  <c r="BH384" i="1"/>
  <c r="BI384" i="1" s="1"/>
  <c r="BH383" i="1"/>
  <c r="BI383" i="1" s="1"/>
  <c r="BH382" i="1"/>
  <c r="BI382" i="1" s="1"/>
  <c r="BH381" i="1"/>
  <c r="BI381" i="1" s="1"/>
  <c r="BH380" i="1"/>
  <c r="BI380" i="1" s="1"/>
  <c r="BH379" i="1"/>
  <c r="BI379" i="1" s="1"/>
  <c r="BH378" i="1"/>
  <c r="BI378" i="1" s="1"/>
  <c r="BH377" i="1"/>
  <c r="BI377" i="1" s="1"/>
  <c r="BH376" i="1"/>
  <c r="BI376" i="1" s="1"/>
  <c r="BH375" i="1"/>
  <c r="BI375" i="1" s="1"/>
  <c r="BH374" i="1"/>
  <c r="BI374" i="1" s="1"/>
  <c r="BH373" i="1"/>
  <c r="BI373" i="1" s="1"/>
  <c r="BH372" i="1"/>
  <c r="BI372" i="1" s="1"/>
  <c r="BH371" i="1"/>
  <c r="BI371" i="1" s="1"/>
  <c r="BH370" i="1"/>
  <c r="BI370" i="1" s="1"/>
  <c r="BH369" i="1"/>
  <c r="BI369" i="1" s="1"/>
  <c r="BH368" i="1"/>
  <c r="BI368" i="1" s="1"/>
  <c r="BH367" i="1"/>
  <c r="BI367" i="1" s="1"/>
  <c r="BH366" i="1"/>
  <c r="BI366" i="1" s="1"/>
  <c r="BH365" i="1"/>
  <c r="BI365" i="1" s="1"/>
  <c r="BH364" i="1"/>
  <c r="BI364" i="1" s="1"/>
  <c r="BH363" i="1"/>
  <c r="BI363" i="1" s="1"/>
  <c r="BH362" i="1"/>
  <c r="BI362" i="1" s="1"/>
  <c r="BH361" i="1"/>
  <c r="BI361" i="1" s="1"/>
  <c r="BH360" i="1"/>
  <c r="BI360" i="1" s="1"/>
  <c r="BH359" i="1"/>
  <c r="BI359" i="1" s="1"/>
  <c r="BH358" i="1"/>
  <c r="BI358" i="1" s="1"/>
  <c r="BH357" i="1"/>
  <c r="BI357" i="1" s="1"/>
  <c r="BH356" i="1"/>
  <c r="BI356" i="1" s="1"/>
  <c r="BH355" i="1"/>
  <c r="BI355" i="1" s="1"/>
  <c r="BH354" i="1"/>
  <c r="BI354" i="1" s="1"/>
  <c r="BH353" i="1"/>
  <c r="BI353" i="1" s="1"/>
  <c r="BH352" i="1"/>
  <c r="BI352" i="1" s="1"/>
  <c r="BH351" i="1"/>
  <c r="BI351" i="1" s="1"/>
  <c r="BH350" i="1"/>
  <c r="BI350" i="1" s="1"/>
  <c r="BH349" i="1"/>
  <c r="BI349" i="1" s="1"/>
  <c r="BH348" i="1"/>
  <c r="BI348" i="1" s="1"/>
  <c r="BH347" i="1"/>
  <c r="BI347" i="1" s="1"/>
  <c r="BH346" i="1"/>
  <c r="BI346" i="1" s="1"/>
  <c r="BH345" i="1"/>
  <c r="BI345" i="1" s="1"/>
  <c r="BH344" i="1"/>
  <c r="BI344" i="1" s="1"/>
  <c r="BH343" i="1"/>
  <c r="BI343" i="1" s="1"/>
  <c r="BH342" i="1"/>
  <c r="BI342" i="1" s="1"/>
  <c r="BH341" i="1"/>
  <c r="BI341" i="1" s="1"/>
  <c r="BH340" i="1"/>
  <c r="BI340" i="1" s="1"/>
  <c r="BH339" i="1"/>
  <c r="BI339" i="1" s="1"/>
  <c r="BH338" i="1"/>
  <c r="BI338" i="1" s="1"/>
  <c r="BH337" i="1"/>
  <c r="BI337" i="1" s="1"/>
  <c r="BH336" i="1"/>
  <c r="BI336" i="1" s="1"/>
  <c r="BH335" i="1"/>
  <c r="BI335" i="1" s="1"/>
  <c r="BH334" i="1"/>
  <c r="BI334" i="1" s="1"/>
  <c r="BH333" i="1"/>
  <c r="BI333" i="1" s="1"/>
  <c r="BH332" i="1"/>
  <c r="BI332" i="1" s="1"/>
  <c r="BH331" i="1"/>
  <c r="BI331" i="1" s="1"/>
  <c r="BH330" i="1"/>
  <c r="BI330" i="1" s="1"/>
  <c r="BH329" i="1"/>
  <c r="BI329" i="1" s="1"/>
  <c r="BH328" i="1"/>
  <c r="BI328" i="1" s="1"/>
  <c r="BH327" i="1"/>
  <c r="BI327" i="1" s="1"/>
  <c r="BH326" i="1"/>
  <c r="BI326" i="1" s="1"/>
  <c r="BH325" i="1"/>
  <c r="BI325" i="1" s="1"/>
  <c r="BH324" i="1"/>
  <c r="BI324" i="1" s="1"/>
  <c r="BH323" i="1"/>
  <c r="BI323" i="1" s="1"/>
  <c r="BH322" i="1"/>
  <c r="BI322" i="1" s="1"/>
  <c r="BH321" i="1"/>
  <c r="BI321" i="1" s="1"/>
  <c r="BH320" i="1"/>
  <c r="BI320" i="1" s="1"/>
  <c r="BH319" i="1"/>
  <c r="BI319" i="1" s="1"/>
  <c r="BH318" i="1"/>
  <c r="BI318" i="1" s="1"/>
  <c r="BH317" i="1"/>
  <c r="BI317" i="1" s="1"/>
  <c r="BH316" i="1"/>
  <c r="BI316" i="1" s="1"/>
  <c r="BH315" i="1"/>
  <c r="BI315" i="1" s="1"/>
  <c r="BH314" i="1"/>
  <c r="BI314" i="1" s="1"/>
  <c r="BH313" i="1"/>
  <c r="BI313" i="1" s="1"/>
  <c r="BH312" i="1"/>
  <c r="BI312" i="1" s="1"/>
  <c r="BH311" i="1"/>
  <c r="BI311" i="1" s="1"/>
  <c r="BH310" i="1"/>
  <c r="BI310" i="1" s="1"/>
  <c r="BH309" i="1"/>
  <c r="BI309" i="1" s="1"/>
  <c r="BH308" i="1"/>
  <c r="BI308" i="1" s="1"/>
  <c r="BH307" i="1"/>
  <c r="BI307" i="1" s="1"/>
  <c r="BH306" i="1"/>
  <c r="BI306" i="1" s="1"/>
  <c r="BH305" i="1"/>
  <c r="BI305" i="1" s="1"/>
  <c r="BH304" i="1"/>
  <c r="BI304" i="1" s="1"/>
  <c r="BH303" i="1"/>
  <c r="BI303" i="1" s="1"/>
  <c r="BH302" i="1"/>
  <c r="BI302" i="1" s="1"/>
  <c r="BH301" i="1"/>
  <c r="BI301" i="1" s="1"/>
  <c r="BH300" i="1"/>
  <c r="BI300" i="1" s="1"/>
  <c r="BH299" i="1"/>
  <c r="BI299" i="1" s="1"/>
  <c r="BH298" i="1"/>
  <c r="BI298" i="1" s="1"/>
  <c r="BH297" i="1"/>
  <c r="BI297" i="1" s="1"/>
  <c r="BH296" i="1"/>
  <c r="BI296" i="1" s="1"/>
  <c r="BH295" i="1"/>
  <c r="BI295" i="1" s="1"/>
  <c r="BH294" i="1"/>
  <c r="BI294" i="1" s="1"/>
  <c r="BH293" i="1"/>
  <c r="BI293" i="1" s="1"/>
  <c r="BH292" i="1"/>
  <c r="BI292" i="1" s="1"/>
  <c r="BH291" i="1"/>
  <c r="BI291" i="1" s="1"/>
  <c r="BH290" i="1"/>
  <c r="BI290" i="1" s="1"/>
  <c r="BH289" i="1"/>
  <c r="BI289" i="1" s="1"/>
  <c r="BH288" i="1"/>
  <c r="BI288" i="1" s="1"/>
  <c r="BH287" i="1"/>
  <c r="BI287" i="1" s="1"/>
  <c r="BH286" i="1"/>
  <c r="BI286" i="1" s="1"/>
  <c r="BH285" i="1"/>
  <c r="BI285" i="1" s="1"/>
  <c r="BH284" i="1"/>
  <c r="BI284" i="1" s="1"/>
  <c r="BH283" i="1"/>
  <c r="BI283" i="1" s="1"/>
  <c r="BH282" i="1"/>
  <c r="BI282" i="1" s="1"/>
  <c r="BH281" i="1"/>
  <c r="BI281" i="1" s="1"/>
  <c r="BH280" i="1"/>
  <c r="BI280" i="1" s="1"/>
  <c r="BH279" i="1"/>
  <c r="BI279" i="1" s="1"/>
  <c r="BH278" i="1"/>
  <c r="BI278" i="1" s="1"/>
  <c r="BH277" i="1"/>
  <c r="BI277" i="1" s="1"/>
  <c r="BH276" i="1"/>
  <c r="BI276" i="1" s="1"/>
  <c r="BH275" i="1"/>
  <c r="BI275" i="1" s="1"/>
  <c r="BH274" i="1"/>
  <c r="BI274" i="1" s="1"/>
  <c r="BH273" i="1"/>
  <c r="BI273" i="1" s="1"/>
  <c r="BH272" i="1"/>
  <c r="BI272" i="1" s="1"/>
  <c r="BH271" i="1"/>
  <c r="BI271" i="1" s="1"/>
  <c r="BH270" i="1"/>
  <c r="BI270" i="1" s="1"/>
  <c r="BH269" i="1"/>
  <c r="BI269" i="1" s="1"/>
  <c r="BH268" i="1"/>
  <c r="BI268" i="1" s="1"/>
  <c r="BH267" i="1"/>
  <c r="BI267" i="1" s="1"/>
  <c r="BH266" i="1"/>
  <c r="BI266" i="1" s="1"/>
  <c r="BH265" i="1"/>
  <c r="BI265" i="1" s="1"/>
  <c r="BH264" i="1"/>
  <c r="BI264" i="1" s="1"/>
  <c r="BH263" i="1"/>
  <c r="BI263" i="1" s="1"/>
  <c r="BH262" i="1"/>
  <c r="BI262" i="1" s="1"/>
  <c r="BH261" i="1"/>
  <c r="BI261" i="1" s="1"/>
  <c r="BH260" i="1"/>
  <c r="BI260" i="1" s="1"/>
  <c r="BH259" i="1"/>
  <c r="BI259" i="1" s="1"/>
  <c r="BH258" i="1"/>
  <c r="BI258" i="1" s="1"/>
  <c r="BH257" i="1"/>
  <c r="BI257" i="1" s="1"/>
  <c r="BH256" i="1"/>
  <c r="BI256" i="1" s="1"/>
  <c r="BH255" i="1"/>
  <c r="BI255" i="1" s="1"/>
  <c r="BH254" i="1"/>
  <c r="BI254" i="1" s="1"/>
  <c r="BH253" i="1"/>
  <c r="BI253" i="1" s="1"/>
  <c r="BH252" i="1"/>
  <c r="BI252" i="1" s="1"/>
  <c r="BH251" i="1"/>
  <c r="BI251" i="1" s="1"/>
  <c r="BH250" i="1"/>
  <c r="BI250" i="1" s="1"/>
  <c r="BH249" i="1"/>
  <c r="BI249" i="1" s="1"/>
  <c r="BH248" i="1"/>
  <c r="BI248" i="1" s="1"/>
  <c r="BH247" i="1"/>
  <c r="BI247" i="1" s="1"/>
  <c r="BH246" i="1"/>
  <c r="BI246" i="1" s="1"/>
  <c r="BH245" i="1"/>
  <c r="BI245" i="1" s="1"/>
  <c r="BH244" i="1"/>
  <c r="BI244" i="1" s="1"/>
  <c r="BH243" i="1"/>
  <c r="BI243" i="1" s="1"/>
  <c r="BH242" i="1"/>
  <c r="BI242" i="1" s="1"/>
  <c r="BH241" i="1"/>
  <c r="BI241" i="1" s="1"/>
  <c r="BH240" i="1"/>
  <c r="BI240" i="1" s="1"/>
  <c r="BH239" i="1"/>
  <c r="BI239" i="1" s="1"/>
  <c r="BH238" i="1"/>
  <c r="BI238" i="1" s="1"/>
  <c r="BH237" i="1"/>
  <c r="BI237" i="1" s="1"/>
  <c r="BH236" i="1"/>
  <c r="BI236" i="1" s="1"/>
  <c r="BH235" i="1"/>
  <c r="BI235" i="1" s="1"/>
  <c r="BH234" i="1"/>
  <c r="BI234" i="1" s="1"/>
  <c r="BH233" i="1"/>
  <c r="BI233" i="1" s="1"/>
  <c r="BH232" i="1"/>
  <c r="BI232" i="1" s="1"/>
  <c r="BH231" i="1"/>
  <c r="BI231" i="1" s="1"/>
  <c r="BH230" i="1"/>
  <c r="BI230" i="1" s="1"/>
  <c r="BH229" i="1"/>
  <c r="BI229" i="1" s="1"/>
  <c r="BH228" i="1"/>
  <c r="BI228" i="1" s="1"/>
  <c r="BH227" i="1"/>
  <c r="BI227" i="1" s="1"/>
  <c r="BH226" i="1"/>
  <c r="BI226" i="1" s="1"/>
  <c r="BH225" i="1"/>
  <c r="BI225" i="1" s="1"/>
  <c r="BH224" i="1"/>
  <c r="BI224" i="1" s="1"/>
  <c r="BH223" i="1"/>
  <c r="BI223" i="1" s="1"/>
  <c r="BH222" i="1"/>
  <c r="BI222" i="1" s="1"/>
  <c r="BH221" i="1"/>
  <c r="BI221" i="1" s="1"/>
  <c r="BH220" i="1"/>
  <c r="BI220" i="1" s="1"/>
  <c r="BH219" i="1"/>
  <c r="BI219" i="1" s="1"/>
  <c r="BH218" i="1"/>
  <c r="BI218" i="1" s="1"/>
  <c r="BH217" i="1"/>
  <c r="BI217" i="1" s="1"/>
  <c r="BH216" i="1"/>
  <c r="BI216" i="1" s="1"/>
  <c r="BH215" i="1"/>
  <c r="BI215" i="1" s="1"/>
  <c r="BH214" i="1"/>
  <c r="BI214" i="1" s="1"/>
  <c r="BH213" i="1"/>
  <c r="BI213" i="1" s="1"/>
  <c r="BH212" i="1"/>
  <c r="BI212" i="1" s="1"/>
  <c r="BH211" i="1"/>
  <c r="BI211" i="1" s="1"/>
  <c r="BH210" i="1"/>
  <c r="BI210" i="1" s="1"/>
  <c r="BH209" i="1"/>
  <c r="BI209" i="1" s="1"/>
  <c r="BH208" i="1"/>
  <c r="BI208" i="1" s="1"/>
  <c r="BH207" i="1"/>
  <c r="BI207" i="1" s="1"/>
  <c r="BH206" i="1"/>
  <c r="BI206" i="1" s="1"/>
  <c r="BH205" i="1"/>
  <c r="BI205" i="1" s="1"/>
  <c r="BH204" i="1"/>
  <c r="BI204" i="1" s="1"/>
  <c r="BH203" i="1"/>
  <c r="BI203" i="1" s="1"/>
  <c r="BH202" i="1"/>
  <c r="BI202" i="1" s="1"/>
  <c r="BH201" i="1"/>
  <c r="BI201" i="1" s="1"/>
  <c r="BH200" i="1"/>
  <c r="BI200" i="1" s="1"/>
  <c r="BH199" i="1"/>
  <c r="BI199" i="1" s="1"/>
  <c r="BH198" i="1"/>
  <c r="BI198" i="1" s="1"/>
  <c r="BH197" i="1"/>
  <c r="BI197" i="1" s="1"/>
  <c r="BH196" i="1"/>
  <c r="BI196" i="1" s="1"/>
  <c r="BH195" i="1"/>
  <c r="BI195" i="1" s="1"/>
  <c r="BH194" i="1"/>
  <c r="BI194" i="1" s="1"/>
  <c r="BH193" i="1"/>
  <c r="BI193" i="1" s="1"/>
  <c r="BH192" i="1"/>
  <c r="BI192" i="1" s="1"/>
  <c r="BH191" i="1"/>
  <c r="BI191" i="1" s="1"/>
  <c r="BH190" i="1"/>
  <c r="BI190" i="1" s="1"/>
  <c r="BH189" i="1"/>
  <c r="BI189" i="1" s="1"/>
  <c r="BH188" i="1"/>
  <c r="BI188" i="1" s="1"/>
  <c r="BH187" i="1"/>
  <c r="BI187" i="1" s="1"/>
  <c r="BH186" i="1"/>
  <c r="BI186" i="1" s="1"/>
  <c r="BH185" i="1"/>
  <c r="BI185" i="1" s="1"/>
  <c r="BH184" i="1"/>
  <c r="BI184" i="1" s="1"/>
  <c r="BH183" i="1"/>
  <c r="BI183" i="1" s="1"/>
  <c r="BH182" i="1"/>
  <c r="BI182" i="1" s="1"/>
  <c r="BH181" i="1"/>
  <c r="BI181" i="1" s="1"/>
  <c r="BH180" i="1"/>
  <c r="BI180" i="1" s="1"/>
  <c r="BH179" i="1"/>
  <c r="BI179" i="1" s="1"/>
  <c r="BH178" i="1"/>
  <c r="BI178" i="1" s="1"/>
  <c r="BH177" i="1"/>
  <c r="BI177" i="1" s="1"/>
  <c r="BH176" i="1"/>
  <c r="BI176" i="1" s="1"/>
  <c r="BH175" i="1"/>
  <c r="BI175" i="1" s="1"/>
  <c r="BH174" i="1"/>
  <c r="BI174" i="1" s="1"/>
  <c r="BH173" i="1"/>
  <c r="BI173" i="1" s="1"/>
  <c r="BH172" i="1"/>
  <c r="BI172" i="1" s="1"/>
  <c r="BH171" i="1"/>
  <c r="BI171" i="1" s="1"/>
  <c r="BH170" i="1"/>
  <c r="BI170" i="1" s="1"/>
  <c r="BH169" i="1"/>
  <c r="BI169" i="1" s="1"/>
  <c r="BH168" i="1"/>
  <c r="BI168" i="1" s="1"/>
  <c r="BH167" i="1"/>
  <c r="BI167" i="1" s="1"/>
  <c r="BH166" i="1"/>
  <c r="BI166" i="1" s="1"/>
  <c r="BH165" i="1"/>
  <c r="BI165" i="1" s="1"/>
  <c r="BH164" i="1"/>
  <c r="BI164" i="1" s="1"/>
  <c r="BH163" i="1"/>
  <c r="BI163" i="1" s="1"/>
  <c r="BH162" i="1"/>
  <c r="BI162" i="1" s="1"/>
  <c r="BH161" i="1"/>
  <c r="BI161" i="1" s="1"/>
  <c r="BH160" i="1"/>
  <c r="BI160" i="1" s="1"/>
  <c r="BH159" i="1"/>
  <c r="BI159" i="1" s="1"/>
  <c r="BH158" i="1"/>
  <c r="BI158" i="1" s="1"/>
  <c r="BH157" i="1"/>
  <c r="BI157" i="1" s="1"/>
  <c r="BH156" i="1"/>
  <c r="BI156" i="1" s="1"/>
  <c r="BH155" i="1"/>
  <c r="BI155" i="1" s="1"/>
  <c r="BH154" i="1"/>
  <c r="BI154" i="1" s="1"/>
  <c r="BH153" i="1"/>
  <c r="BI153" i="1" s="1"/>
  <c r="BH152" i="1"/>
  <c r="BI152" i="1" s="1"/>
  <c r="BH151" i="1"/>
  <c r="BI151" i="1" s="1"/>
  <c r="BH150" i="1"/>
  <c r="BI150" i="1" s="1"/>
  <c r="BH149" i="1"/>
  <c r="BI149" i="1" s="1"/>
  <c r="BH148" i="1"/>
  <c r="BI148" i="1" s="1"/>
  <c r="BH147" i="1"/>
  <c r="BI147" i="1" s="1"/>
  <c r="BH146" i="1"/>
  <c r="BI146" i="1" s="1"/>
  <c r="BH145" i="1"/>
  <c r="BI145" i="1" s="1"/>
  <c r="BH144" i="1"/>
  <c r="BI144" i="1" s="1"/>
  <c r="BH143" i="1"/>
  <c r="BI143" i="1" s="1"/>
  <c r="BH142" i="1"/>
  <c r="BI142" i="1" s="1"/>
  <c r="BH141" i="1"/>
  <c r="BI141" i="1" s="1"/>
  <c r="BH140" i="1"/>
  <c r="BI140" i="1" s="1"/>
  <c r="BH139" i="1"/>
  <c r="BI139" i="1" s="1"/>
  <c r="BH138" i="1"/>
  <c r="BI138" i="1" s="1"/>
  <c r="BH137" i="1"/>
  <c r="BI137" i="1" s="1"/>
  <c r="BH136" i="1"/>
  <c r="BI136" i="1" s="1"/>
  <c r="BH135" i="1"/>
  <c r="BI135" i="1" s="1"/>
  <c r="BH134" i="1"/>
  <c r="BI134" i="1" s="1"/>
  <c r="BH133" i="1"/>
  <c r="BI133" i="1" s="1"/>
  <c r="BH132" i="1"/>
  <c r="BI132" i="1" s="1"/>
  <c r="BH131" i="1"/>
  <c r="BI131" i="1" s="1"/>
  <c r="BH130" i="1"/>
  <c r="BI130" i="1" s="1"/>
  <c r="BH129" i="1"/>
  <c r="BI129" i="1" s="1"/>
  <c r="BH128" i="1"/>
  <c r="BI128" i="1" s="1"/>
  <c r="BH127" i="1"/>
  <c r="BI127" i="1" s="1"/>
  <c r="BH126" i="1"/>
  <c r="BI126" i="1" s="1"/>
  <c r="BH125" i="1"/>
  <c r="BI125" i="1" s="1"/>
  <c r="BH124" i="1"/>
  <c r="BI124" i="1" s="1"/>
  <c r="BH123" i="1"/>
  <c r="BI123" i="1" s="1"/>
  <c r="BH122" i="1"/>
  <c r="BI122" i="1" s="1"/>
  <c r="BH121" i="1"/>
  <c r="BI121" i="1" s="1"/>
  <c r="BH120" i="1"/>
  <c r="BI120" i="1" s="1"/>
  <c r="BH119" i="1"/>
  <c r="BI119" i="1" s="1"/>
  <c r="BH118" i="1"/>
  <c r="BI118" i="1" s="1"/>
  <c r="BH117" i="1"/>
  <c r="BI117" i="1" s="1"/>
  <c r="BH116" i="1"/>
  <c r="BI116" i="1" s="1"/>
  <c r="BH115" i="1"/>
  <c r="BI115" i="1" s="1"/>
  <c r="BH114" i="1"/>
  <c r="BI114" i="1" s="1"/>
  <c r="BH113" i="1"/>
  <c r="BI113" i="1" s="1"/>
  <c r="BH112" i="1"/>
  <c r="BI112" i="1" s="1"/>
  <c r="BH111" i="1"/>
  <c r="BI111" i="1" s="1"/>
  <c r="BH110" i="1"/>
  <c r="BI110" i="1" s="1"/>
  <c r="BH109" i="1"/>
  <c r="BI109" i="1" s="1"/>
  <c r="BH108" i="1"/>
  <c r="BI108" i="1" s="1"/>
  <c r="BH107" i="1"/>
  <c r="BI107" i="1" s="1"/>
  <c r="BH106" i="1"/>
  <c r="BI106" i="1" s="1"/>
  <c r="BH105" i="1"/>
  <c r="BI105" i="1" s="1"/>
  <c r="BH104" i="1"/>
  <c r="BI104" i="1" s="1"/>
  <c r="BH103" i="1"/>
  <c r="BI103" i="1" s="1"/>
  <c r="BH102" i="1"/>
  <c r="BI102" i="1" s="1"/>
  <c r="BH101" i="1"/>
  <c r="BI101" i="1" s="1"/>
  <c r="BH100" i="1"/>
  <c r="BI100" i="1" s="1"/>
  <c r="BH99" i="1"/>
  <c r="BI99" i="1" s="1"/>
  <c r="BH98" i="1"/>
  <c r="BI98" i="1" s="1"/>
  <c r="BH97" i="1"/>
  <c r="BI97" i="1" s="1"/>
  <c r="BH96" i="1"/>
  <c r="BI96" i="1" s="1"/>
  <c r="BH95" i="1"/>
  <c r="BI95" i="1" s="1"/>
  <c r="BH94" i="1"/>
  <c r="BI94" i="1" s="1"/>
  <c r="BH93" i="1"/>
  <c r="BI93" i="1" s="1"/>
  <c r="BH92" i="1"/>
  <c r="BI92" i="1" s="1"/>
  <c r="BH91" i="1"/>
  <c r="BI91" i="1" s="1"/>
  <c r="BH90" i="1"/>
  <c r="BI90" i="1" s="1"/>
  <c r="BH89" i="1"/>
  <c r="BI89" i="1" s="1"/>
  <c r="BH88" i="1"/>
  <c r="BI88" i="1" s="1"/>
  <c r="BH87" i="1"/>
  <c r="BI87" i="1" s="1"/>
  <c r="BH86" i="1"/>
  <c r="BI86" i="1" s="1"/>
  <c r="BH85" i="1"/>
  <c r="BI85" i="1" s="1"/>
  <c r="BH84" i="1"/>
  <c r="BI84" i="1" s="1"/>
  <c r="BH83" i="1"/>
  <c r="BI83" i="1" s="1"/>
  <c r="BH82" i="1"/>
  <c r="BI82" i="1" s="1"/>
  <c r="BH81" i="1"/>
  <c r="BI81" i="1" s="1"/>
  <c r="BH80" i="1"/>
  <c r="BI80" i="1" s="1"/>
  <c r="BH79" i="1"/>
  <c r="BI79" i="1" s="1"/>
  <c r="BH78" i="1"/>
  <c r="BI78" i="1" s="1"/>
  <c r="BH77" i="1"/>
  <c r="BI77" i="1" s="1"/>
  <c r="BH76" i="1"/>
  <c r="BI76" i="1" s="1"/>
  <c r="BH75" i="1"/>
  <c r="BI75" i="1" s="1"/>
  <c r="BH74" i="1"/>
  <c r="BI74" i="1" s="1"/>
  <c r="BH73" i="1"/>
  <c r="BI73" i="1" s="1"/>
  <c r="BH72" i="1"/>
  <c r="BI72" i="1" s="1"/>
  <c r="BH71" i="1"/>
  <c r="BI71" i="1" s="1"/>
  <c r="BH70" i="1"/>
  <c r="BI70" i="1" s="1"/>
  <c r="BH69" i="1"/>
  <c r="BI69" i="1" s="1"/>
  <c r="BH68" i="1"/>
  <c r="BI68" i="1" s="1"/>
  <c r="BH67" i="1"/>
  <c r="BI67" i="1" s="1"/>
  <c r="BH66" i="1"/>
  <c r="BI66" i="1" s="1"/>
  <c r="BH65" i="1"/>
  <c r="BI65" i="1" s="1"/>
  <c r="BH64" i="1"/>
  <c r="BI64" i="1" s="1"/>
  <c r="BH63" i="1"/>
  <c r="BI63" i="1" s="1"/>
  <c r="BH62" i="1"/>
  <c r="BI62" i="1" s="1"/>
  <c r="BH61" i="1"/>
  <c r="BI61" i="1" s="1"/>
  <c r="BH60" i="1"/>
  <c r="BI60" i="1" s="1"/>
  <c r="BH59" i="1"/>
  <c r="BI59" i="1" s="1"/>
  <c r="BH58" i="1"/>
  <c r="BI58" i="1" s="1"/>
  <c r="BH57" i="1"/>
  <c r="BI57" i="1" s="1"/>
  <c r="BH56" i="1"/>
  <c r="BI56" i="1" s="1"/>
  <c r="BH55" i="1"/>
  <c r="BI55" i="1" s="1"/>
  <c r="BH54" i="1"/>
  <c r="BI54" i="1" s="1"/>
  <c r="BH53" i="1"/>
  <c r="BI53" i="1" s="1"/>
  <c r="BH52" i="1"/>
  <c r="BI52" i="1" s="1"/>
  <c r="BH51" i="1"/>
  <c r="BI51" i="1" s="1"/>
  <c r="BH50" i="1"/>
  <c r="BI50" i="1" s="1"/>
  <c r="BH49" i="1"/>
  <c r="BI49" i="1" s="1"/>
  <c r="BH48" i="1"/>
  <c r="BI48" i="1" s="1"/>
  <c r="BH47" i="1"/>
  <c r="BI47" i="1" s="1"/>
  <c r="BH46" i="1"/>
  <c r="BI46" i="1" s="1"/>
  <c r="BH45" i="1"/>
  <c r="BI45" i="1" s="1"/>
  <c r="BH44" i="1"/>
  <c r="BI44" i="1" s="1"/>
  <c r="BF1011" i="1"/>
  <c r="BG1011" i="1" s="1"/>
  <c r="BF1010" i="1"/>
  <c r="BG1010" i="1" s="1"/>
  <c r="BF1009" i="1"/>
  <c r="BG1009" i="1" s="1"/>
  <c r="BF1008" i="1"/>
  <c r="BG1008" i="1" s="1"/>
  <c r="BF1007" i="1"/>
  <c r="BG1007" i="1" s="1"/>
  <c r="BF1006" i="1"/>
  <c r="BG1006" i="1" s="1"/>
  <c r="BF1005" i="1"/>
  <c r="BG1005" i="1" s="1"/>
  <c r="BF1004" i="1"/>
  <c r="BG1004" i="1" s="1"/>
  <c r="BF1003" i="1"/>
  <c r="BG1003" i="1" s="1"/>
  <c r="BF1002" i="1"/>
  <c r="BG1002" i="1" s="1"/>
  <c r="BF1001" i="1"/>
  <c r="BG1001" i="1" s="1"/>
  <c r="BF1000" i="1"/>
  <c r="BG1000" i="1" s="1"/>
  <c r="BF999" i="1"/>
  <c r="BG999" i="1" s="1"/>
  <c r="BF998" i="1"/>
  <c r="BG998" i="1" s="1"/>
  <c r="BF997" i="1"/>
  <c r="BG997" i="1" s="1"/>
  <c r="BF996" i="1"/>
  <c r="BG996" i="1" s="1"/>
  <c r="BF995" i="1"/>
  <c r="BG995" i="1" s="1"/>
  <c r="BF994" i="1"/>
  <c r="BG994" i="1" s="1"/>
  <c r="BF993" i="1"/>
  <c r="BG993" i="1" s="1"/>
  <c r="BF992" i="1"/>
  <c r="BG992" i="1" s="1"/>
  <c r="BF991" i="1"/>
  <c r="BG991" i="1" s="1"/>
  <c r="BF990" i="1"/>
  <c r="BG990" i="1" s="1"/>
  <c r="BF989" i="1"/>
  <c r="BG989" i="1" s="1"/>
  <c r="BF988" i="1"/>
  <c r="BG988" i="1" s="1"/>
  <c r="BF987" i="1"/>
  <c r="BG987" i="1" s="1"/>
  <c r="BF986" i="1"/>
  <c r="BG986" i="1" s="1"/>
  <c r="BF985" i="1"/>
  <c r="BG985" i="1" s="1"/>
  <c r="BF984" i="1"/>
  <c r="BG984" i="1" s="1"/>
  <c r="BF983" i="1"/>
  <c r="BG983" i="1" s="1"/>
  <c r="BF982" i="1"/>
  <c r="BG982" i="1" s="1"/>
  <c r="BF981" i="1"/>
  <c r="BG981" i="1" s="1"/>
  <c r="BF980" i="1"/>
  <c r="BG980" i="1" s="1"/>
  <c r="BF979" i="1"/>
  <c r="BG979" i="1" s="1"/>
  <c r="BF978" i="1"/>
  <c r="BG978" i="1" s="1"/>
  <c r="BF977" i="1"/>
  <c r="BG977" i="1" s="1"/>
  <c r="BF976" i="1"/>
  <c r="BG976" i="1" s="1"/>
  <c r="BF975" i="1"/>
  <c r="BG975" i="1" s="1"/>
  <c r="BF974" i="1"/>
  <c r="BG974" i="1" s="1"/>
  <c r="BF973" i="1"/>
  <c r="BG973" i="1" s="1"/>
  <c r="BF972" i="1"/>
  <c r="BG972" i="1" s="1"/>
  <c r="BF971" i="1"/>
  <c r="BG971" i="1" s="1"/>
  <c r="BF970" i="1"/>
  <c r="BG970" i="1" s="1"/>
  <c r="BF969" i="1"/>
  <c r="BG969" i="1" s="1"/>
  <c r="BF968" i="1"/>
  <c r="BG968" i="1" s="1"/>
  <c r="BF967" i="1"/>
  <c r="BG967" i="1" s="1"/>
  <c r="BF966" i="1"/>
  <c r="BG966" i="1" s="1"/>
  <c r="BF965" i="1"/>
  <c r="BG965" i="1" s="1"/>
  <c r="BF964" i="1"/>
  <c r="BG964" i="1" s="1"/>
  <c r="BF963" i="1"/>
  <c r="BG963" i="1" s="1"/>
  <c r="BF962" i="1"/>
  <c r="BG962" i="1" s="1"/>
  <c r="BF961" i="1"/>
  <c r="BG961" i="1" s="1"/>
  <c r="BF960" i="1"/>
  <c r="BG960" i="1" s="1"/>
  <c r="BF959" i="1"/>
  <c r="BG959" i="1" s="1"/>
  <c r="BF958" i="1"/>
  <c r="BG958" i="1" s="1"/>
  <c r="BF957" i="1"/>
  <c r="BG957" i="1" s="1"/>
  <c r="BF956" i="1"/>
  <c r="BG956" i="1" s="1"/>
  <c r="BF955" i="1"/>
  <c r="BG955" i="1" s="1"/>
  <c r="BF954" i="1"/>
  <c r="BG954" i="1" s="1"/>
  <c r="BF953" i="1"/>
  <c r="BG953" i="1" s="1"/>
  <c r="BF952" i="1"/>
  <c r="BG952" i="1" s="1"/>
  <c r="BF951" i="1"/>
  <c r="BG951" i="1" s="1"/>
  <c r="BF950" i="1"/>
  <c r="BG950" i="1" s="1"/>
  <c r="BF949" i="1"/>
  <c r="BG949" i="1" s="1"/>
  <c r="BF948" i="1"/>
  <c r="BG948" i="1" s="1"/>
  <c r="BF947" i="1"/>
  <c r="BG947" i="1" s="1"/>
  <c r="BF946" i="1"/>
  <c r="BG946" i="1" s="1"/>
  <c r="BF945" i="1"/>
  <c r="BG945" i="1" s="1"/>
  <c r="BF944" i="1"/>
  <c r="BG944" i="1" s="1"/>
  <c r="BF943" i="1"/>
  <c r="BG943" i="1" s="1"/>
  <c r="BF942" i="1"/>
  <c r="BG942" i="1" s="1"/>
  <c r="BF941" i="1"/>
  <c r="BG941" i="1" s="1"/>
  <c r="BF940" i="1"/>
  <c r="BG940" i="1" s="1"/>
  <c r="BF939" i="1"/>
  <c r="BG939" i="1" s="1"/>
  <c r="BF938" i="1"/>
  <c r="BG938" i="1" s="1"/>
  <c r="BF937" i="1"/>
  <c r="BG937" i="1" s="1"/>
  <c r="BF936" i="1"/>
  <c r="BG936" i="1" s="1"/>
  <c r="BF935" i="1"/>
  <c r="BG935" i="1" s="1"/>
  <c r="BF934" i="1"/>
  <c r="BG934" i="1" s="1"/>
  <c r="BF933" i="1"/>
  <c r="BG933" i="1" s="1"/>
  <c r="BF932" i="1"/>
  <c r="BG932" i="1" s="1"/>
  <c r="BF931" i="1"/>
  <c r="BG931" i="1" s="1"/>
  <c r="BF930" i="1"/>
  <c r="BG930" i="1" s="1"/>
  <c r="BF929" i="1"/>
  <c r="BG929" i="1" s="1"/>
  <c r="BF928" i="1"/>
  <c r="BG928" i="1" s="1"/>
  <c r="BF927" i="1"/>
  <c r="BG927" i="1" s="1"/>
  <c r="BF926" i="1"/>
  <c r="BG926" i="1" s="1"/>
  <c r="BF925" i="1"/>
  <c r="BG925" i="1" s="1"/>
  <c r="BF924" i="1"/>
  <c r="BG924" i="1" s="1"/>
  <c r="BF923" i="1"/>
  <c r="BG923" i="1" s="1"/>
  <c r="BF922" i="1"/>
  <c r="BG922" i="1" s="1"/>
  <c r="BF921" i="1"/>
  <c r="BG921" i="1" s="1"/>
  <c r="BF920" i="1"/>
  <c r="BG920" i="1" s="1"/>
  <c r="BF919" i="1"/>
  <c r="BG919" i="1" s="1"/>
  <c r="BF918" i="1"/>
  <c r="BG918" i="1" s="1"/>
  <c r="BF917" i="1"/>
  <c r="BG917" i="1" s="1"/>
  <c r="BF916" i="1"/>
  <c r="BG916" i="1" s="1"/>
  <c r="BF915" i="1"/>
  <c r="BG915" i="1" s="1"/>
  <c r="BF914" i="1"/>
  <c r="BG914" i="1" s="1"/>
  <c r="BF913" i="1"/>
  <c r="BG913" i="1" s="1"/>
  <c r="BF912" i="1"/>
  <c r="BG912" i="1" s="1"/>
  <c r="BF911" i="1"/>
  <c r="BG911" i="1" s="1"/>
  <c r="BF910" i="1"/>
  <c r="BG910" i="1" s="1"/>
  <c r="BF909" i="1"/>
  <c r="BG909" i="1" s="1"/>
  <c r="BF908" i="1"/>
  <c r="BG908" i="1" s="1"/>
  <c r="BF907" i="1"/>
  <c r="BG907" i="1" s="1"/>
  <c r="BF906" i="1"/>
  <c r="BG906" i="1" s="1"/>
  <c r="BF905" i="1"/>
  <c r="BG905" i="1" s="1"/>
  <c r="BF904" i="1"/>
  <c r="BG904" i="1" s="1"/>
  <c r="BF903" i="1"/>
  <c r="BG903" i="1" s="1"/>
  <c r="BF902" i="1"/>
  <c r="BG902" i="1" s="1"/>
  <c r="BF901" i="1"/>
  <c r="BG901" i="1" s="1"/>
  <c r="BF900" i="1"/>
  <c r="BG900" i="1" s="1"/>
  <c r="BF899" i="1"/>
  <c r="BG899" i="1" s="1"/>
  <c r="BF898" i="1"/>
  <c r="BG898" i="1" s="1"/>
  <c r="BF897" i="1"/>
  <c r="BG897" i="1" s="1"/>
  <c r="BF896" i="1"/>
  <c r="BG896" i="1" s="1"/>
  <c r="BF895" i="1"/>
  <c r="BG895" i="1" s="1"/>
  <c r="BF894" i="1"/>
  <c r="BG894" i="1" s="1"/>
  <c r="BF893" i="1"/>
  <c r="BG893" i="1" s="1"/>
  <c r="BF892" i="1"/>
  <c r="BG892" i="1" s="1"/>
  <c r="BF891" i="1"/>
  <c r="BG891" i="1" s="1"/>
  <c r="BF890" i="1"/>
  <c r="BG890" i="1" s="1"/>
  <c r="BF889" i="1"/>
  <c r="BG889" i="1" s="1"/>
  <c r="BF888" i="1"/>
  <c r="BG888" i="1" s="1"/>
  <c r="BF887" i="1"/>
  <c r="BG887" i="1" s="1"/>
  <c r="BF886" i="1"/>
  <c r="BG886" i="1" s="1"/>
  <c r="BF885" i="1"/>
  <c r="BG885" i="1" s="1"/>
  <c r="BF884" i="1"/>
  <c r="BG884" i="1" s="1"/>
  <c r="BF883" i="1"/>
  <c r="BG883" i="1" s="1"/>
  <c r="BF882" i="1"/>
  <c r="BG882" i="1" s="1"/>
  <c r="BF881" i="1"/>
  <c r="BG881" i="1" s="1"/>
  <c r="BF880" i="1"/>
  <c r="BG880" i="1" s="1"/>
  <c r="BF879" i="1"/>
  <c r="BG879" i="1" s="1"/>
  <c r="BF878" i="1"/>
  <c r="BG878" i="1" s="1"/>
  <c r="BF877" i="1"/>
  <c r="BG877" i="1" s="1"/>
  <c r="BF876" i="1"/>
  <c r="BG876" i="1" s="1"/>
  <c r="BF875" i="1"/>
  <c r="BG875" i="1" s="1"/>
  <c r="BF874" i="1"/>
  <c r="BG874" i="1" s="1"/>
  <c r="BF873" i="1"/>
  <c r="BG873" i="1" s="1"/>
  <c r="BF872" i="1"/>
  <c r="BG872" i="1" s="1"/>
  <c r="BF871" i="1"/>
  <c r="BG871" i="1" s="1"/>
  <c r="BF870" i="1"/>
  <c r="BG870" i="1" s="1"/>
  <c r="BF869" i="1"/>
  <c r="BG869" i="1" s="1"/>
  <c r="BF868" i="1"/>
  <c r="BG868" i="1" s="1"/>
  <c r="BF867" i="1"/>
  <c r="BG867" i="1" s="1"/>
  <c r="BF866" i="1"/>
  <c r="BG866" i="1" s="1"/>
  <c r="BF865" i="1"/>
  <c r="BG865" i="1" s="1"/>
  <c r="BF864" i="1"/>
  <c r="BG864" i="1" s="1"/>
  <c r="BF863" i="1"/>
  <c r="BG863" i="1" s="1"/>
  <c r="BF862" i="1"/>
  <c r="BG862" i="1" s="1"/>
  <c r="BF861" i="1"/>
  <c r="BG861" i="1" s="1"/>
  <c r="BF860" i="1"/>
  <c r="BG860" i="1" s="1"/>
  <c r="BF859" i="1"/>
  <c r="BG859" i="1" s="1"/>
  <c r="BF858" i="1"/>
  <c r="BG858" i="1" s="1"/>
  <c r="BF857" i="1"/>
  <c r="BG857" i="1" s="1"/>
  <c r="BF856" i="1"/>
  <c r="BG856" i="1" s="1"/>
  <c r="BF855" i="1"/>
  <c r="BG855" i="1" s="1"/>
  <c r="BF854" i="1"/>
  <c r="BG854" i="1" s="1"/>
  <c r="BF853" i="1"/>
  <c r="BG853" i="1" s="1"/>
  <c r="BF852" i="1"/>
  <c r="BG852" i="1" s="1"/>
  <c r="BF851" i="1"/>
  <c r="BG851" i="1" s="1"/>
  <c r="BF850" i="1"/>
  <c r="BG850" i="1" s="1"/>
  <c r="BF849" i="1"/>
  <c r="BG849" i="1" s="1"/>
  <c r="BF848" i="1"/>
  <c r="BG848" i="1" s="1"/>
  <c r="BF847" i="1"/>
  <c r="BG847" i="1" s="1"/>
  <c r="BF846" i="1"/>
  <c r="BG846" i="1" s="1"/>
  <c r="BF845" i="1"/>
  <c r="BG845" i="1" s="1"/>
  <c r="BF844" i="1"/>
  <c r="BG844" i="1" s="1"/>
  <c r="BF843" i="1"/>
  <c r="BG843" i="1" s="1"/>
  <c r="BF842" i="1"/>
  <c r="BG842" i="1" s="1"/>
  <c r="BF841" i="1"/>
  <c r="BG841" i="1" s="1"/>
  <c r="BF840" i="1"/>
  <c r="BG840" i="1" s="1"/>
  <c r="BF839" i="1"/>
  <c r="BG839" i="1" s="1"/>
  <c r="BF838" i="1"/>
  <c r="BG838" i="1" s="1"/>
  <c r="BF837" i="1"/>
  <c r="BG837" i="1" s="1"/>
  <c r="BF836" i="1"/>
  <c r="BG836" i="1" s="1"/>
  <c r="BF835" i="1"/>
  <c r="BG835" i="1" s="1"/>
  <c r="BF834" i="1"/>
  <c r="BG834" i="1" s="1"/>
  <c r="BF833" i="1"/>
  <c r="BG833" i="1" s="1"/>
  <c r="BF832" i="1"/>
  <c r="BG832" i="1" s="1"/>
  <c r="BF831" i="1"/>
  <c r="BG831" i="1" s="1"/>
  <c r="BF830" i="1"/>
  <c r="BG830" i="1" s="1"/>
  <c r="BF829" i="1"/>
  <c r="BG829" i="1" s="1"/>
  <c r="BF828" i="1"/>
  <c r="BG828" i="1" s="1"/>
  <c r="BF827" i="1"/>
  <c r="BG827" i="1" s="1"/>
  <c r="BF826" i="1"/>
  <c r="BG826" i="1" s="1"/>
  <c r="BF825" i="1"/>
  <c r="BG825" i="1" s="1"/>
  <c r="BF824" i="1"/>
  <c r="BG824" i="1" s="1"/>
  <c r="BF823" i="1"/>
  <c r="BG823" i="1" s="1"/>
  <c r="BF822" i="1"/>
  <c r="BG822" i="1" s="1"/>
  <c r="BF821" i="1"/>
  <c r="BG821" i="1" s="1"/>
  <c r="BF820" i="1"/>
  <c r="BG820" i="1" s="1"/>
  <c r="BF819" i="1"/>
  <c r="BG819" i="1" s="1"/>
  <c r="BF818" i="1"/>
  <c r="BG818" i="1" s="1"/>
  <c r="BF817" i="1"/>
  <c r="BG817" i="1" s="1"/>
  <c r="BF816" i="1"/>
  <c r="BG816" i="1" s="1"/>
  <c r="BF815" i="1"/>
  <c r="BG815" i="1" s="1"/>
  <c r="BF814" i="1"/>
  <c r="BG814" i="1" s="1"/>
  <c r="BF813" i="1"/>
  <c r="BG813" i="1" s="1"/>
  <c r="BF812" i="1"/>
  <c r="BG812" i="1" s="1"/>
  <c r="BF811" i="1"/>
  <c r="BG811" i="1" s="1"/>
  <c r="BF810" i="1"/>
  <c r="BG810" i="1" s="1"/>
  <c r="BF809" i="1"/>
  <c r="BG809" i="1" s="1"/>
  <c r="BF808" i="1"/>
  <c r="BG808" i="1" s="1"/>
  <c r="BF807" i="1"/>
  <c r="BG807" i="1" s="1"/>
  <c r="BF806" i="1"/>
  <c r="BG806" i="1" s="1"/>
  <c r="BF805" i="1"/>
  <c r="BG805" i="1" s="1"/>
  <c r="BF804" i="1"/>
  <c r="BG804" i="1" s="1"/>
  <c r="BF803" i="1"/>
  <c r="BG803" i="1" s="1"/>
  <c r="BF802" i="1"/>
  <c r="BG802" i="1" s="1"/>
  <c r="BF801" i="1"/>
  <c r="BG801" i="1" s="1"/>
  <c r="BF800" i="1"/>
  <c r="BG800" i="1" s="1"/>
  <c r="BF799" i="1"/>
  <c r="BG799" i="1" s="1"/>
  <c r="BF798" i="1"/>
  <c r="BG798" i="1" s="1"/>
  <c r="BF797" i="1"/>
  <c r="BG797" i="1" s="1"/>
  <c r="BF796" i="1"/>
  <c r="BG796" i="1" s="1"/>
  <c r="BF795" i="1"/>
  <c r="BG795" i="1" s="1"/>
  <c r="BF794" i="1"/>
  <c r="BG794" i="1" s="1"/>
  <c r="BF793" i="1"/>
  <c r="BG793" i="1" s="1"/>
  <c r="BF792" i="1"/>
  <c r="BG792" i="1" s="1"/>
  <c r="BF791" i="1"/>
  <c r="BG791" i="1" s="1"/>
  <c r="BF790" i="1"/>
  <c r="BG790" i="1" s="1"/>
  <c r="BF789" i="1"/>
  <c r="BG789" i="1" s="1"/>
  <c r="BF788" i="1"/>
  <c r="BG788" i="1" s="1"/>
  <c r="BF787" i="1"/>
  <c r="BG787" i="1" s="1"/>
  <c r="BF786" i="1"/>
  <c r="BG786" i="1" s="1"/>
  <c r="BF785" i="1"/>
  <c r="BG785" i="1" s="1"/>
  <c r="BF784" i="1"/>
  <c r="BG784" i="1" s="1"/>
  <c r="BF783" i="1"/>
  <c r="BG783" i="1" s="1"/>
  <c r="BF782" i="1"/>
  <c r="BG782" i="1" s="1"/>
  <c r="BF781" i="1"/>
  <c r="BG781" i="1" s="1"/>
  <c r="BF780" i="1"/>
  <c r="BG780" i="1" s="1"/>
  <c r="BF779" i="1"/>
  <c r="BG779" i="1" s="1"/>
  <c r="BF778" i="1"/>
  <c r="BG778" i="1" s="1"/>
  <c r="BF777" i="1"/>
  <c r="BG777" i="1" s="1"/>
  <c r="BF776" i="1"/>
  <c r="BG776" i="1" s="1"/>
  <c r="BF775" i="1"/>
  <c r="BG775" i="1" s="1"/>
  <c r="BF774" i="1"/>
  <c r="BG774" i="1" s="1"/>
  <c r="BF773" i="1"/>
  <c r="BG773" i="1" s="1"/>
  <c r="BF772" i="1"/>
  <c r="BG772" i="1" s="1"/>
  <c r="BF771" i="1"/>
  <c r="BG771" i="1" s="1"/>
  <c r="BF770" i="1"/>
  <c r="BG770" i="1" s="1"/>
  <c r="BF769" i="1"/>
  <c r="BG769" i="1" s="1"/>
  <c r="BF768" i="1"/>
  <c r="BG768" i="1" s="1"/>
  <c r="BF767" i="1"/>
  <c r="BG767" i="1" s="1"/>
  <c r="BF766" i="1"/>
  <c r="BG766" i="1" s="1"/>
  <c r="BF765" i="1"/>
  <c r="BG765" i="1" s="1"/>
  <c r="BF764" i="1"/>
  <c r="BG764" i="1" s="1"/>
  <c r="BF763" i="1"/>
  <c r="BG763" i="1" s="1"/>
  <c r="BF762" i="1"/>
  <c r="BG762" i="1" s="1"/>
  <c r="BF761" i="1"/>
  <c r="BG761" i="1" s="1"/>
  <c r="BF760" i="1"/>
  <c r="BG760" i="1" s="1"/>
  <c r="BF759" i="1"/>
  <c r="BG759" i="1" s="1"/>
  <c r="BF758" i="1"/>
  <c r="BG758" i="1" s="1"/>
  <c r="BF757" i="1"/>
  <c r="BG757" i="1" s="1"/>
  <c r="BF756" i="1"/>
  <c r="BG756" i="1" s="1"/>
  <c r="BF755" i="1"/>
  <c r="BG755" i="1" s="1"/>
  <c r="BF754" i="1"/>
  <c r="BG754" i="1" s="1"/>
  <c r="BF753" i="1"/>
  <c r="BG753" i="1" s="1"/>
  <c r="BF752" i="1"/>
  <c r="BG752" i="1" s="1"/>
  <c r="BF751" i="1"/>
  <c r="BG751" i="1" s="1"/>
  <c r="BF750" i="1"/>
  <c r="BG750" i="1" s="1"/>
  <c r="BF749" i="1"/>
  <c r="BG749" i="1" s="1"/>
  <c r="BF748" i="1"/>
  <c r="BG748" i="1" s="1"/>
  <c r="BF747" i="1"/>
  <c r="BG747" i="1" s="1"/>
  <c r="BF746" i="1"/>
  <c r="BG746" i="1" s="1"/>
  <c r="BF745" i="1"/>
  <c r="BG745" i="1" s="1"/>
  <c r="BF744" i="1"/>
  <c r="BG744" i="1" s="1"/>
  <c r="BF743" i="1"/>
  <c r="BG743" i="1" s="1"/>
  <c r="BF742" i="1"/>
  <c r="BG742" i="1" s="1"/>
  <c r="BF741" i="1"/>
  <c r="BG741" i="1" s="1"/>
  <c r="BF740" i="1"/>
  <c r="BG740" i="1" s="1"/>
  <c r="BF739" i="1"/>
  <c r="BG739" i="1" s="1"/>
  <c r="BF738" i="1"/>
  <c r="BG738" i="1" s="1"/>
  <c r="BF737" i="1"/>
  <c r="BG737" i="1" s="1"/>
  <c r="BF736" i="1"/>
  <c r="BG736" i="1" s="1"/>
  <c r="BF735" i="1"/>
  <c r="BG735" i="1" s="1"/>
  <c r="BF734" i="1"/>
  <c r="BG734" i="1" s="1"/>
  <c r="BF733" i="1"/>
  <c r="BG733" i="1" s="1"/>
  <c r="BF732" i="1"/>
  <c r="BG732" i="1" s="1"/>
  <c r="BF731" i="1"/>
  <c r="BG731" i="1" s="1"/>
  <c r="BF730" i="1"/>
  <c r="BG730" i="1" s="1"/>
  <c r="BF729" i="1"/>
  <c r="BG729" i="1" s="1"/>
  <c r="BF728" i="1"/>
  <c r="BG728" i="1" s="1"/>
  <c r="BF727" i="1"/>
  <c r="BG727" i="1" s="1"/>
  <c r="BF726" i="1"/>
  <c r="BG726" i="1" s="1"/>
  <c r="BF725" i="1"/>
  <c r="BG725" i="1" s="1"/>
  <c r="BF724" i="1"/>
  <c r="BG724" i="1" s="1"/>
  <c r="BF723" i="1"/>
  <c r="BG723" i="1" s="1"/>
  <c r="BF722" i="1"/>
  <c r="BG722" i="1" s="1"/>
  <c r="BF721" i="1"/>
  <c r="BG721" i="1" s="1"/>
  <c r="BF720" i="1"/>
  <c r="BG720" i="1" s="1"/>
  <c r="BF719" i="1"/>
  <c r="BG719" i="1" s="1"/>
  <c r="BF718" i="1"/>
  <c r="BG718" i="1" s="1"/>
  <c r="BF717" i="1"/>
  <c r="BG717" i="1" s="1"/>
  <c r="BF716" i="1"/>
  <c r="BG716" i="1" s="1"/>
  <c r="BF715" i="1"/>
  <c r="BG715" i="1" s="1"/>
  <c r="BF714" i="1"/>
  <c r="BG714" i="1" s="1"/>
  <c r="BF713" i="1"/>
  <c r="BG713" i="1" s="1"/>
  <c r="BF712" i="1"/>
  <c r="BG712" i="1" s="1"/>
  <c r="BF711" i="1"/>
  <c r="BG711" i="1" s="1"/>
  <c r="BF710" i="1"/>
  <c r="BG710" i="1" s="1"/>
  <c r="BF709" i="1"/>
  <c r="BG709" i="1" s="1"/>
  <c r="BF708" i="1"/>
  <c r="BG708" i="1" s="1"/>
  <c r="BF707" i="1"/>
  <c r="BG707" i="1" s="1"/>
  <c r="BF706" i="1"/>
  <c r="BG706" i="1" s="1"/>
  <c r="BF705" i="1"/>
  <c r="BG705" i="1" s="1"/>
  <c r="BF704" i="1"/>
  <c r="BG704" i="1" s="1"/>
  <c r="BF703" i="1"/>
  <c r="BG703" i="1" s="1"/>
  <c r="BF702" i="1"/>
  <c r="BG702" i="1" s="1"/>
  <c r="BF701" i="1"/>
  <c r="BG701" i="1" s="1"/>
  <c r="BF700" i="1"/>
  <c r="BG700" i="1" s="1"/>
  <c r="BF699" i="1"/>
  <c r="BG699" i="1" s="1"/>
  <c r="BF698" i="1"/>
  <c r="BG698" i="1" s="1"/>
  <c r="BF697" i="1"/>
  <c r="BG697" i="1" s="1"/>
  <c r="BF696" i="1"/>
  <c r="BG696" i="1" s="1"/>
  <c r="BF695" i="1"/>
  <c r="BG695" i="1" s="1"/>
  <c r="BF694" i="1"/>
  <c r="BG694" i="1" s="1"/>
  <c r="BF693" i="1"/>
  <c r="BG693" i="1" s="1"/>
  <c r="BF692" i="1"/>
  <c r="BG692" i="1" s="1"/>
  <c r="BF691" i="1"/>
  <c r="BG691" i="1" s="1"/>
  <c r="BF690" i="1"/>
  <c r="BG690" i="1" s="1"/>
  <c r="BF689" i="1"/>
  <c r="BG689" i="1" s="1"/>
  <c r="BF688" i="1"/>
  <c r="BG688" i="1" s="1"/>
  <c r="BF687" i="1"/>
  <c r="BG687" i="1" s="1"/>
  <c r="BF686" i="1"/>
  <c r="BG686" i="1" s="1"/>
  <c r="BF685" i="1"/>
  <c r="BG685" i="1" s="1"/>
  <c r="BF684" i="1"/>
  <c r="BG684" i="1" s="1"/>
  <c r="BF683" i="1"/>
  <c r="BG683" i="1" s="1"/>
  <c r="BF682" i="1"/>
  <c r="BG682" i="1" s="1"/>
  <c r="BF681" i="1"/>
  <c r="BG681" i="1" s="1"/>
  <c r="BF680" i="1"/>
  <c r="BG680" i="1" s="1"/>
  <c r="BF679" i="1"/>
  <c r="BG679" i="1" s="1"/>
  <c r="BF678" i="1"/>
  <c r="BG678" i="1" s="1"/>
  <c r="BF677" i="1"/>
  <c r="BG677" i="1" s="1"/>
  <c r="BF676" i="1"/>
  <c r="BG676" i="1" s="1"/>
  <c r="BF675" i="1"/>
  <c r="BG675" i="1" s="1"/>
  <c r="BF674" i="1"/>
  <c r="BG674" i="1" s="1"/>
  <c r="BF673" i="1"/>
  <c r="BG673" i="1" s="1"/>
  <c r="BF672" i="1"/>
  <c r="BG672" i="1" s="1"/>
  <c r="BF671" i="1"/>
  <c r="BG671" i="1" s="1"/>
  <c r="BF670" i="1"/>
  <c r="BG670" i="1" s="1"/>
  <c r="BF669" i="1"/>
  <c r="BG669" i="1" s="1"/>
  <c r="BF668" i="1"/>
  <c r="BG668" i="1" s="1"/>
  <c r="BF667" i="1"/>
  <c r="BG667" i="1" s="1"/>
  <c r="BF666" i="1"/>
  <c r="BG666" i="1" s="1"/>
  <c r="BF665" i="1"/>
  <c r="BG665" i="1" s="1"/>
  <c r="BF664" i="1"/>
  <c r="BG664" i="1" s="1"/>
  <c r="BF663" i="1"/>
  <c r="BG663" i="1" s="1"/>
  <c r="BF662" i="1"/>
  <c r="BG662" i="1" s="1"/>
  <c r="BF661" i="1"/>
  <c r="BG661" i="1" s="1"/>
  <c r="BF660" i="1"/>
  <c r="BG660" i="1" s="1"/>
  <c r="BF659" i="1"/>
  <c r="BG659" i="1" s="1"/>
  <c r="BF658" i="1"/>
  <c r="BG658" i="1" s="1"/>
  <c r="BF657" i="1"/>
  <c r="BG657" i="1" s="1"/>
  <c r="BF656" i="1"/>
  <c r="BG656" i="1" s="1"/>
  <c r="BF655" i="1"/>
  <c r="BG655" i="1" s="1"/>
  <c r="BF654" i="1"/>
  <c r="BG654" i="1" s="1"/>
  <c r="BF653" i="1"/>
  <c r="BG653" i="1" s="1"/>
  <c r="BF652" i="1"/>
  <c r="BG652" i="1" s="1"/>
  <c r="BF651" i="1"/>
  <c r="BG651" i="1" s="1"/>
  <c r="BF650" i="1"/>
  <c r="BG650" i="1" s="1"/>
  <c r="BF649" i="1"/>
  <c r="BG649" i="1" s="1"/>
  <c r="BF648" i="1"/>
  <c r="BG648" i="1" s="1"/>
  <c r="BF647" i="1"/>
  <c r="BG647" i="1" s="1"/>
  <c r="BF646" i="1"/>
  <c r="BG646" i="1" s="1"/>
  <c r="BF645" i="1"/>
  <c r="BG645" i="1" s="1"/>
  <c r="BF644" i="1"/>
  <c r="BG644" i="1" s="1"/>
  <c r="BF643" i="1"/>
  <c r="BG643" i="1" s="1"/>
  <c r="BF642" i="1"/>
  <c r="BG642" i="1" s="1"/>
  <c r="BF641" i="1"/>
  <c r="BG641" i="1" s="1"/>
  <c r="BF640" i="1"/>
  <c r="BG640" i="1" s="1"/>
  <c r="BF639" i="1"/>
  <c r="BG639" i="1" s="1"/>
  <c r="BF638" i="1"/>
  <c r="BG638" i="1" s="1"/>
  <c r="BF637" i="1"/>
  <c r="BG637" i="1" s="1"/>
  <c r="BF636" i="1"/>
  <c r="BG636" i="1" s="1"/>
  <c r="BF635" i="1"/>
  <c r="BG635" i="1" s="1"/>
  <c r="BF634" i="1"/>
  <c r="BG634" i="1" s="1"/>
  <c r="BF633" i="1"/>
  <c r="BG633" i="1" s="1"/>
  <c r="BF632" i="1"/>
  <c r="BG632" i="1" s="1"/>
  <c r="BF631" i="1"/>
  <c r="BG631" i="1" s="1"/>
  <c r="BF630" i="1"/>
  <c r="BG630" i="1" s="1"/>
  <c r="BF629" i="1"/>
  <c r="BG629" i="1" s="1"/>
  <c r="BF628" i="1"/>
  <c r="BG628" i="1" s="1"/>
  <c r="BF627" i="1"/>
  <c r="BG627" i="1" s="1"/>
  <c r="BF626" i="1"/>
  <c r="BG626" i="1" s="1"/>
  <c r="BF625" i="1"/>
  <c r="BG625" i="1" s="1"/>
  <c r="BF624" i="1"/>
  <c r="BG624" i="1" s="1"/>
  <c r="BF623" i="1"/>
  <c r="BG623" i="1" s="1"/>
  <c r="BF622" i="1"/>
  <c r="BG622" i="1" s="1"/>
  <c r="BF621" i="1"/>
  <c r="BG621" i="1" s="1"/>
  <c r="BF620" i="1"/>
  <c r="BG620" i="1" s="1"/>
  <c r="BF619" i="1"/>
  <c r="BG619" i="1" s="1"/>
  <c r="BF618" i="1"/>
  <c r="BG618" i="1" s="1"/>
  <c r="BF617" i="1"/>
  <c r="BG617" i="1" s="1"/>
  <c r="BF616" i="1"/>
  <c r="BG616" i="1" s="1"/>
  <c r="BF615" i="1"/>
  <c r="BG615" i="1" s="1"/>
  <c r="BF614" i="1"/>
  <c r="BG614" i="1" s="1"/>
  <c r="BF613" i="1"/>
  <c r="BG613" i="1" s="1"/>
  <c r="BF612" i="1"/>
  <c r="BG612" i="1" s="1"/>
  <c r="BF611" i="1"/>
  <c r="BG611" i="1" s="1"/>
  <c r="BF610" i="1"/>
  <c r="BG610" i="1" s="1"/>
  <c r="BF609" i="1"/>
  <c r="BG609" i="1" s="1"/>
  <c r="BF608" i="1"/>
  <c r="BG608" i="1" s="1"/>
  <c r="BF607" i="1"/>
  <c r="BG607" i="1" s="1"/>
  <c r="BF606" i="1"/>
  <c r="BG606" i="1" s="1"/>
  <c r="BF605" i="1"/>
  <c r="BG605" i="1" s="1"/>
  <c r="BF604" i="1"/>
  <c r="BG604" i="1" s="1"/>
  <c r="BF603" i="1"/>
  <c r="BG603" i="1" s="1"/>
  <c r="BF602" i="1"/>
  <c r="BG602" i="1" s="1"/>
  <c r="BF601" i="1"/>
  <c r="BG601" i="1" s="1"/>
  <c r="BF600" i="1"/>
  <c r="BG600" i="1" s="1"/>
  <c r="BF599" i="1"/>
  <c r="BG599" i="1" s="1"/>
  <c r="BF598" i="1"/>
  <c r="BG598" i="1" s="1"/>
  <c r="BF597" i="1"/>
  <c r="BG597" i="1" s="1"/>
  <c r="BF596" i="1"/>
  <c r="BG596" i="1" s="1"/>
  <c r="BF595" i="1"/>
  <c r="BG595" i="1" s="1"/>
  <c r="BF594" i="1"/>
  <c r="BG594" i="1" s="1"/>
  <c r="BF593" i="1"/>
  <c r="BG593" i="1" s="1"/>
  <c r="BF592" i="1"/>
  <c r="BG592" i="1" s="1"/>
  <c r="BF591" i="1"/>
  <c r="BG591" i="1" s="1"/>
  <c r="BF590" i="1"/>
  <c r="BG590" i="1" s="1"/>
  <c r="BF589" i="1"/>
  <c r="BG589" i="1" s="1"/>
  <c r="BF588" i="1"/>
  <c r="BG588" i="1" s="1"/>
  <c r="BF587" i="1"/>
  <c r="BG587" i="1" s="1"/>
  <c r="BF586" i="1"/>
  <c r="BG586" i="1" s="1"/>
  <c r="BF585" i="1"/>
  <c r="BG585" i="1" s="1"/>
  <c r="BF584" i="1"/>
  <c r="BG584" i="1" s="1"/>
  <c r="BF583" i="1"/>
  <c r="BG583" i="1" s="1"/>
  <c r="BF582" i="1"/>
  <c r="BG582" i="1" s="1"/>
  <c r="BF581" i="1"/>
  <c r="BG581" i="1" s="1"/>
  <c r="BF580" i="1"/>
  <c r="BG580" i="1" s="1"/>
  <c r="BF579" i="1"/>
  <c r="BG579" i="1" s="1"/>
  <c r="BF578" i="1"/>
  <c r="BG578" i="1" s="1"/>
  <c r="BF577" i="1"/>
  <c r="BG577" i="1" s="1"/>
  <c r="BF576" i="1"/>
  <c r="BG576" i="1" s="1"/>
  <c r="BF575" i="1"/>
  <c r="BG575" i="1" s="1"/>
  <c r="BF574" i="1"/>
  <c r="BG574" i="1" s="1"/>
  <c r="BF573" i="1"/>
  <c r="BG573" i="1" s="1"/>
  <c r="BF572" i="1"/>
  <c r="BG572" i="1" s="1"/>
  <c r="BF571" i="1"/>
  <c r="BG571" i="1" s="1"/>
  <c r="BF570" i="1"/>
  <c r="BG570" i="1" s="1"/>
  <c r="BF569" i="1"/>
  <c r="BG569" i="1" s="1"/>
  <c r="BF568" i="1"/>
  <c r="BG568" i="1" s="1"/>
  <c r="BF567" i="1"/>
  <c r="BG567" i="1" s="1"/>
  <c r="BF566" i="1"/>
  <c r="BG566" i="1" s="1"/>
  <c r="BF565" i="1"/>
  <c r="BG565" i="1" s="1"/>
  <c r="BF564" i="1"/>
  <c r="BG564" i="1" s="1"/>
  <c r="BF563" i="1"/>
  <c r="BG563" i="1" s="1"/>
  <c r="BF562" i="1"/>
  <c r="BG562" i="1" s="1"/>
  <c r="BF561" i="1"/>
  <c r="BG561" i="1" s="1"/>
  <c r="BF560" i="1"/>
  <c r="BG560" i="1" s="1"/>
  <c r="BF559" i="1"/>
  <c r="BG559" i="1" s="1"/>
  <c r="BF558" i="1"/>
  <c r="BG558" i="1" s="1"/>
  <c r="BF557" i="1"/>
  <c r="BG557" i="1" s="1"/>
  <c r="BF556" i="1"/>
  <c r="BG556" i="1" s="1"/>
  <c r="BF555" i="1"/>
  <c r="BG555" i="1" s="1"/>
  <c r="BF554" i="1"/>
  <c r="BG554" i="1" s="1"/>
  <c r="BF553" i="1"/>
  <c r="BG553" i="1" s="1"/>
  <c r="BF552" i="1"/>
  <c r="BG552" i="1" s="1"/>
  <c r="BF551" i="1"/>
  <c r="BG551" i="1" s="1"/>
  <c r="BF550" i="1"/>
  <c r="BG550" i="1" s="1"/>
  <c r="BF549" i="1"/>
  <c r="BG549" i="1" s="1"/>
  <c r="BF548" i="1"/>
  <c r="BG548" i="1" s="1"/>
  <c r="BF547" i="1"/>
  <c r="BG547" i="1" s="1"/>
  <c r="BF546" i="1"/>
  <c r="BG546" i="1" s="1"/>
  <c r="BF545" i="1"/>
  <c r="BG545" i="1" s="1"/>
  <c r="BF544" i="1"/>
  <c r="BG544" i="1" s="1"/>
  <c r="BF543" i="1"/>
  <c r="BG543" i="1" s="1"/>
  <c r="BF542" i="1"/>
  <c r="BG542" i="1" s="1"/>
  <c r="BF541" i="1"/>
  <c r="BG541" i="1" s="1"/>
  <c r="BF540" i="1"/>
  <c r="BG540" i="1" s="1"/>
  <c r="BF539" i="1"/>
  <c r="BG539" i="1" s="1"/>
  <c r="BF538" i="1"/>
  <c r="BG538" i="1" s="1"/>
  <c r="BF537" i="1"/>
  <c r="BG537" i="1" s="1"/>
  <c r="BF536" i="1"/>
  <c r="BG536" i="1" s="1"/>
  <c r="BF535" i="1"/>
  <c r="BG535" i="1" s="1"/>
  <c r="BF534" i="1"/>
  <c r="BG534" i="1" s="1"/>
  <c r="BF533" i="1"/>
  <c r="BG533" i="1" s="1"/>
  <c r="BF532" i="1"/>
  <c r="BG532" i="1" s="1"/>
  <c r="BF531" i="1"/>
  <c r="BG531" i="1" s="1"/>
  <c r="BF530" i="1"/>
  <c r="BG530" i="1" s="1"/>
  <c r="BF529" i="1"/>
  <c r="BG529" i="1" s="1"/>
  <c r="BF528" i="1"/>
  <c r="BG528" i="1" s="1"/>
  <c r="BF527" i="1"/>
  <c r="BG527" i="1" s="1"/>
  <c r="BF526" i="1"/>
  <c r="BG526" i="1" s="1"/>
  <c r="BF525" i="1"/>
  <c r="BG525" i="1" s="1"/>
  <c r="BF524" i="1"/>
  <c r="BG524" i="1" s="1"/>
  <c r="BF523" i="1"/>
  <c r="BG523" i="1" s="1"/>
  <c r="BF522" i="1"/>
  <c r="BG522" i="1" s="1"/>
  <c r="BF521" i="1"/>
  <c r="BG521" i="1" s="1"/>
  <c r="BF520" i="1"/>
  <c r="BG520" i="1" s="1"/>
  <c r="BF519" i="1"/>
  <c r="BG519" i="1" s="1"/>
  <c r="BF518" i="1"/>
  <c r="BG518" i="1" s="1"/>
  <c r="BF517" i="1"/>
  <c r="BG517" i="1" s="1"/>
  <c r="BF516" i="1"/>
  <c r="BG516" i="1" s="1"/>
  <c r="BF515" i="1"/>
  <c r="BG515" i="1" s="1"/>
  <c r="BF514" i="1"/>
  <c r="BG514" i="1" s="1"/>
  <c r="BF513" i="1"/>
  <c r="BG513" i="1" s="1"/>
  <c r="BF512" i="1"/>
  <c r="BG512" i="1" s="1"/>
  <c r="BF511" i="1"/>
  <c r="BG511" i="1" s="1"/>
  <c r="BF510" i="1"/>
  <c r="BG510" i="1" s="1"/>
  <c r="BF509" i="1"/>
  <c r="BG509" i="1" s="1"/>
  <c r="BF508" i="1"/>
  <c r="BG508" i="1" s="1"/>
  <c r="BF507" i="1"/>
  <c r="BG507" i="1" s="1"/>
  <c r="BF506" i="1"/>
  <c r="BG506" i="1" s="1"/>
  <c r="BF505" i="1"/>
  <c r="BG505" i="1" s="1"/>
  <c r="BF504" i="1"/>
  <c r="BG504" i="1" s="1"/>
  <c r="BF503" i="1"/>
  <c r="BG503" i="1" s="1"/>
  <c r="BF502" i="1"/>
  <c r="BG502" i="1" s="1"/>
  <c r="BF501" i="1"/>
  <c r="BG501" i="1" s="1"/>
  <c r="BF500" i="1"/>
  <c r="BG500" i="1" s="1"/>
  <c r="BF499" i="1"/>
  <c r="BG499" i="1" s="1"/>
  <c r="BF498" i="1"/>
  <c r="BG498" i="1" s="1"/>
  <c r="BF497" i="1"/>
  <c r="BG497" i="1" s="1"/>
  <c r="BF496" i="1"/>
  <c r="BG496" i="1" s="1"/>
  <c r="BF495" i="1"/>
  <c r="BG495" i="1" s="1"/>
  <c r="BF494" i="1"/>
  <c r="BG494" i="1" s="1"/>
  <c r="BF493" i="1"/>
  <c r="BG493" i="1" s="1"/>
  <c r="BF492" i="1"/>
  <c r="BG492" i="1" s="1"/>
  <c r="BF491" i="1"/>
  <c r="BG491" i="1" s="1"/>
  <c r="BF490" i="1"/>
  <c r="BG490" i="1" s="1"/>
  <c r="BF489" i="1"/>
  <c r="BG489" i="1" s="1"/>
  <c r="BF488" i="1"/>
  <c r="BG488" i="1" s="1"/>
  <c r="BF487" i="1"/>
  <c r="BG487" i="1" s="1"/>
  <c r="BF486" i="1"/>
  <c r="BG486" i="1" s="1"/>
  <c r="BF485" i="1"/>
  <c r="BG485" i="1" s="1"/>
  <c r="BF484" i="1"/>
  <c r="BG484" i="1" s="1"/>
  <c r="BF483" i="1"/>
  <c r="BG483" i="1" s="1"/>
  <c r="BF482" i="1"/>
  <c r="BG482" i="1" s="1"/>
  <c r="BF481" i="1"/>
  <c r="BG481" i="1" s="1"/>
  <c r="BF480" i="1"/>
  <c r="BG480" i="1" s="1"/>
  <c r="BF479" i="1"/>
  <c r="BG479" i="1" s="1"/>
  <c r="BF478" i="1"/>
  <c r="BG478" i="1" s="1"/>
  <c r="BF477" i="1"/>
  <c r="BG477" i="1" s="1"/>
  <c r="BF476" i="1"/>
  <c r="BG476" i="1" s="1"/>
  <c r="BF475" i="1"/>
  <c r="BG475" i="1" s="1"/>
  <c r="BF474" i="1"/>
  <c r="BG474" i="1" s="1"/>
  <c r="BF473" i="1"/>
  <c r="BG473" i="1" s="1"/>
  <c r="BF472" i="1"/>
  <c r="BG472" i="1" s="1"/>
  <c r="BF471" i="1"/>
  <c r="BG471" i="1" s="1"/>
  <c r="BF470" i="1"/>
  <c r="BG470" i="1" s="1"/>
  <c r="BF469" i="1"/>
  <c r="BG469" i="1" s="1"/>
  <c r="BF468" i="1"/>
  <c r="BG468" i="1" s="1"/>
  <c r="BF467" i="1"/>
  <c r="BG467" i="1" s="1"/>
  <c r="BF466" i="1"/>
  <c r="BG466" i="1" s="1"/>
  <c r="BF465" i="1"/>
  <c r="BG465" i="1" s="1"/>
  <c r="BF464" i="1"/>
  <c r="BG464" i="1" s="1"/>
  <c r="BF463" i="1"/>
  <c r="BG463" i="1" s="1"/>
  <c r="BF462" i="1"/>
  <c r="BG462" i="1" s="1"/>
  <c r="BF461" i="1"/>
  <c r="BG461" i="1" s="1"/>
  <c r="BF460" i="1"/>
  <c r="BG460" i="1" s="1"/>
  <c r="BF459" i="1"/>
  <c r="BG459" i="1" s="1"/>
  <c r="BF458" i="1"/>
  <c r="BG458" i="1" s="1"/>
  <c r="BF457" i="1"/>
  <c r="BG457" i="1" s="1"/>
  <c r="BF456" i="1"/>
  <c r="BG456" i="1" s="1"/>
  <c r="BF455" i="1"/>
  <c r="BG455" i="1" s="1"/>
  <c r="BF454" i="1"/>
  <c r="BG454" i="1" s="1"/>
  <c r="BF453" i="1"/>
  <c r="BG453" i="1" s="1"/>
  <c r="BF452" i="1"/>
  <c r="BG452" i="1" s="1"/>
  <c r="BF451" i="1"/>
  <c r="BG451" i="1" s="1"/>
  <c r="BF450" i="1"/>
  <c r="BG450" i="1" s="1"/>
  <c r="BF449" i="1"/>
  <c r="BG449" i="1" s="1"/>
  <c r="BF448" i="1"/>
  <c r="BG448" i="1" s="1"/>
  <c r="BF447" i="1"/>
  <c r="BG447" i="1" s="1"/>
  <c r="BF446" i="1"/>
  <c r="BG446" i="1" s="1"/>
  <c r="BF445" i="1"/>
  <c r="BG445" i="1" s="1"/>
  <c r="BF444" i="1"/>
  <c r="BG444" i="1" s="1"/>
  <c r="BF443" i="1"/>
  <c r="BG443" i="1" s="1"/>
  <c r="BF442" i="1"/>
  <c r="BG442" i="1" s="1"/>
  <c r="BF441" i="1"/>
  <c r="BG441" i="1" s="1"/>
  <c r="BF440" i="1"/>
  <c r="BG440" i="1" s="1"/>
  <c r="BF439" i="1"/>
  <c r="BG439" i="1" s="1"/>
  <c r="BF438" i="1"/>
  <c r="BG438" i="1" s="1"/>
  <c r="BF437" i="1"/>
  <c r="BG437" i="1" s="1"/>
  <c r="BF436" i="1"/>
  <c r="BG436" i="1" s="1"/>
  <c r="BF435" i="1"/>
  <c r="BG435" i="1" s="1"/>
  <c r="BF434" i="1"/>
  <c r="BG434" i="1" s="1"/>
  <c r="BF433" i="1"/>
  <c r="BG433" i="1" s="1"/>
  <c r="BF432" i="1"/>
  <c r="BG432" i="1" s="1"/>
  <c r="BF431" i="1"/>
  <c r="BG431" i="1" s="1"/>
  <c r="BF430" i="1"/>
  <c r="BG430" i="1" s="1"/>
  <c r="BF429" i="1"/>
  <c r="BG429" i="1" s="1"/>
  <c r="BF428" i="1"/>
  <c r="BG428" i="1" s="1"/>
  <c r="BF427" i="1"/>
  <c r="BG427" i="1" s="1"/>
  <c r="BF426" i="1"/>
  <c r="BG426" i="1" s="1"/>
  <c r="BF425" i="1"/>
  <c r="BG425" i="1" s="1"/>
  <c r="BF424" i="1"/>
  <c r="BG424" i="1" s="1"/>
  <c r="BF423" i="1"/>
  <c r="BG423" i="1" s="1"/>
  <c r="BF422" i="1"/>
  <c r="BG422" i="1" s="1"/>
  <c r="BF421" i="1"/>
  <c r="BG421" i="1" s="1"/>
  <c r="BF420" i="1"/>
  <c r="BG420" i="1" s="1"/>
  <c r="BF419" i="1"/>
  <c r="BG419" i="1" s="1"/>
  <c r="BF418" i="1"/>
  <c r="BG418" i="1" s="1"/>
  <c r="BF417" i="1"/>
  <c r="BG417" i="1" s="1"/>
  <c r="BF416" i="1"/>
  <c r="BG416" i="1" s="1"/>
  <c r="BF415" i="1"/>
  <c r="BG415" i="1" s="1"/>
  <c r="BF414" i="1"/>
  <c r="BG414" i="1" s="1"/>
  <c r="BF413" i="1"/>
  <c r="BG413" i="1" s="1"/>
  <c r="BF412" i="1"/>
  <c r="BG412" i="1" s="1"/>
  <c r="BF411" i="1"/>
  <c r="BG411" i="1" s="1"/>
  <c r="BF410" i="1"/>
  <c r="BG410" i="1" s="1"/>
  <c r="BF409" i="1"/>
  <c r="BG409" i="1" s="1"/>
  <c r="BF408" i="1"/>
  <c r="BG408" i="1" s="1"/>
  <c r="BF407" i="1"/>
  <c r="BG407" i="1" s="1"/>
  <c r="BF406" i="1"/>
  <c r="BG406" i="1" s="1"/>
  <c r="BF405" i="1"/>
  <c r="BG405" i="1" s="1"/>
  <c r="BF404" i="1"/>
  <c r="BG404" i="1" s="1"/>
  <c r="BF403" i="1"/>
  <c r="BG403" i="1" s="1"/>
  <c r="BF402" i="1"/>
  <c r="BG402" i="1" s="1"/>
  <c r="BF401" i="1"/>
  <c r="BG401" i="1" s="1"/>
  <c r="BF400" i="1"/>
  <c r="BG400" i="1" s="1"/>
  <c r="BF399" i="1"/>
  <c r="BG399" i="1" s="1"/>
  <c r="BF398" i="1"/>
  <c r="BG398" i="1" s="1"/>
  <c r="BF397" i="1"/>
  <c r="BG397" i="1" s="1"/>
  <c r="BF396" i="1"/>
  <c r="BG396" i="1" s="1"/>
  <c r="BF395" i="1"/>
  <c r="BG395" i="1" s="1"/>
  <c r="BF394" i="1"/>
  <c r="BG394" i="1" s="1"/>
  <c r="BF393" i="1"/>
  <c r="BG393" i="1" s="1"/>
  <c r="BF392" i="1"/>
  <c r="BG392" i="1" s="1"/>
  <c r="BF391" i="1"/>
  <c r="BG391" i="1" s="1"/>
  <c r="BF390" i="1"/>
  <c r="BG390" i="1" s="1"/>
  <c r="BF389" i="1"/>
  <c r="BG389" i="1" s="1"/>
  <c r="BF388" i="1"/>
  <c r="BG388" i="1" s="1"/>
  <c r="BF387" i="1"/>
  <c r="BG387" i="1" s="1"/>
  <c r="BF386" i="1"/>
  <c r="BG386" i="1" s="1"/>
  <c r="BF385" i="1"/>
  <c r="BG385" i="1" s="1"/>
  <c r="BF384" i="1"/>
  <c r="BG384" i="1" s="1"/>
  <c r="BF383" i="1"/>
  <c r="BG383" i="1" s="1"/>
  <c r="BF382" i="1"/>
  <c r="BG382" i="1" s="1"/>
  <c r="BF381" i="1"/>
  <c r="BG381" i="1" s="1"/>
  <c r="BF380" i="1"/>
  <c r="BG380" i="1" s="1"/>
  <c r="BF379" i="1"/>
  <c r="BG379" i="1" s="1"/>
  <c r="BF378" i="1"/>
  <c r="BG378" i="1" s="1"/>
  <c r="BF377" i="1"/>
  <c r="BG377" i="1" s="1"/>
  <c r="BF376" i="1"/>
  <c r="BG376" i="1" s="1"/>
  <c r="BF375" i="1"/>
  <c r="BG375" i="1" s="1"/>
  <c r="BF374" i="1"/>
  <c r="BG374" i="1" s="1"/>
  <c r="BF373" i="1"/>
  <c r="BG373" i="1" s="1"/>
  <c r="BF372" i="1"/>
  <c r="BG372" i="1" s="1"/>
  <c r="BF371" i="1"/>
  <c r="BG371" i="1" s="1"/>
  <c r="BF370" i="1"/>
  <c r="BG370" i="1" s="1"/>
  <c r="BF369" i="1"/>
  <c r="BG369" i="1" s="1"/>
  <c r="BF368" i="1"/>
  <c r="BG368" i="1" s="1"/>
  <c r="BF367" i="1"/>
  <c r="BG367" i="1" s="1"/>
  <c r="BF366" i="1"/>
  <c r="BG366" i="1" s="1"/>
  <c r="BF365" i="1"/>
  <c r="BG365" i="1" s="1"/>
  <c r="BF364" i="1"/>
  <c r="BG364" i="1" s="1"/>
  <c r="BF363" i="1"/>
  <c r="BG363" i="1" s="1"/>
  <c r="BF362" i="1"/>
  <c r="BG362" i="1" s="1"/>
  <c r="BF361" i="1"/>
  <c r="BG361" i="1" s="1"/>
  <c r="BF360" i="1"/>
  <c r="BG360" i="1" s="1"/>
  <c r="BF359" i="1"/>
  <c r="BG359" i="1" s="1"/>
  <c r="BF358" i="1"/>
  <c r="BG358" i="1" s="1"/>
  <c r="BF357" i="1"/>
  <c r="BG357" i="1" s="1"/>
  <c r="BF356" i="1"/>
  <c r="BG356" i="1" s="1"/>
  <c r="BF355" i="1"/>
  <c r="BG355" i="1" s="1"/>
  <c r="BF354" i="1"/>
  <c r="BG354" i="1" s="1"/>
  <c r="BF353" i="1"/>
  <c r="BG353" i="1" s="1"/>
  <c r="BF352" i="1"/>
  <c r="BG352" i="1" s="1"/>
  <c r="BF351" i="1"/>
  <c r="BG351" i="1" s="1"/>
  <c r="BF350" i="1"/>
  <c r="BG350" i="1" s="1"/>
  <c r="BF349" i="1"/>
  <c r="BG349" i="1" s="1"/>
  <c r="BF348" i="1"/>
  <c r="BG348" i="1" s="1"/>
  <c r="BF347" i="1"/>
  <c r="BG347" i="1" s="1"/>
  <c r="BF346" i="1"/>
  <c r="BG346" i="1" s="1"/>
  <c r="BF345" i="1"/>
  <c r="BG345" i="1" s="1"/>
  <c r="BF344" i="1"/>
  <c r="BG344" i="1" s="1"/>
  <c r="BF343" i="1"/>
  <c r="BG343" i="1" s="1"/>
  <c r="BF342" i="1"/>
  <c r="BG342" i="1" s="1"/>
  <c r="BF341" i="1"/>
  <c r="BG341" i="1" s="1"/>
  <c r="BF340" i="1"/>
  <c r="BG340" i="1" s="1"/>
  <c r="BF339" i="1"/>
  <c r="BG339" i="1" s="1"/>
  <c r="BF338" i="1"/>
  <c r="BG338" i="1" s="1"/>
  <c r="BF337" i="1"/>
  <c r="BG337" i="1" s="1"/>
  <c r="BF336" i="1"/>
  <c r="BG336" i="1" s="1"/>
  <c r="BF335" i="1"/>
  <c r="BG335" i="1" s="1"/>
  <c r="BF334" i="1"/>
  <c r="BG334" i="1" s="1"/>
  <c r="BF333" i="1"/>
  <c r="BG333" i="1" s="1"/>
  <c r="BF332" i="1"/>
  <c r="BG332" i="1" s="1"/>
  <c r="BF331" i="1"/>
  <c r="BG331" i="1" s="1"/>
  <c r="BF330" i="1"/>
  <c r="BG330" i="1" s="1"/>
  <c r="BF329" i="1"/>
  <c r="BG329" i="1" s="1"/>
  <c r="BF328" i="1"/>
  <c r="BG328" i="1" s="1"/>
  <c r="BF327" i="1"/>
  <c r="BG327" i="1" s="1"/>
  <c r="BF326" i="1"/>
  <c r="BG326" i="1" s="1"/>
  <c r="BF325" i="1"/>
  <c r="BG325" i="1" s="1"/>
  <c r="BF324" i="1"/>
  <c r="BG324" i="1" s="1"/>
  <c r="BF323" i="1"/>
  <c r="BG323" i="1" s="1"/>
  <c r="BF322" i="1"/>
  <c r="BG322" i="1" s="1"/>
  <c r="BF321" i="1"/>
  <c r="BG321" i="1" s="1"/>
  <c r="BF320" i="1"/>
  <c r="BG320" i="1" s="1"/>
  <c r="BF319" i="1"/>
  <c r="BG319" i="1" s="1"/>
  <c r="BF318" i="1"/>
  <c r="BG318" i="1" s="1"/>
  <c r="BF317" i="1"/>
  <c r="BG317" i="1" s="1"/>
  <c r="BF316" i="1"/>
  <c r="BG316" i="1" s="1"/>
  <c r="BF315" i="1"/>
  <c r="BG315" i="1" s="1"/>
  <c r="BF314" i="1"/>
  <c r="BG314" i="1" s="1"/>
  <c r="BF313" i="1"/>
  <c r="BG313" i="1" s="1"/>
  <c r="BF312" i="1"/>
  <c r="BG312" i="1" s="1"/>
  <c r="BF311" i="1"/>
  <c r="BG311" i="1" s="1"/>
  <c r="BF310" i="1"/>
  <c r="BG310" i="1" s="1"/>
  <c r="BF309" i="1"/>
  <c r="BG309" i="1" s="1"/>
  <c r="BF308" i="1"/>
  <c r="BG308" i="1" s="1"/>
  <c r="BF307" i="1"/>
  <c r="BG307" i="1" s="1"/>
  <c r="BF306" i="1"/>
  <c r="BG306" i="1" s="1"/>
  <c r="BF305" i="1"/>
  <c r="BG305" i="1" s="1"/>
  <c r="BF304" i="1"/>
  <c r="BG304" i="1" s="1"/>
  <c r="BF303" i="1"/>
  <c r="BG303" i="1" s="1"/>
  <c r="BF302" i="1"/>
  <c r="BG302" i="1" s="1"/>
  <c r="BF301" i="1"/>
  <c r="BG301" i="1" s="1"/>
  <c r="BF300" i="1"/>
  <c r="BG300" i="1" s="1"/>
  <c r="BF299" i="1"/>
  <c r="BG299" i="1" s="1"/>
  <c r="BF298" i="1"/>
  <c r="BG298" i="1" s="1"/>
  <c r="BF297" i="1"/>
  <c r="BG297" i="1" s="1"/>
  <c r="BF296" i="1"/>
  <c r="BG296" i="1" s="1"/>
  <c r="BF295" i="1"/>
  <c r="BG295" i="1" s="1"/>
  <c r="BF294" i="1"/>
  <c r="BG294" i="1" s="1"/>
  <c r="BF293" i="1"/>
  <c r="BG293" i="1" s="1"/>
  <c r="BF292" i="1"/>
  <c r="BG292" i="1" s="1"/>
  <c r="BF291" i="1"/>
  <c r="BG291" i="1" s="1"/>
  <c r="BF290" i="1"/>
  <c r="BG290" i="1" s="1"/>
  <c r="BF289" i="1"/>
  <c r="BG289" i="1" s="1"/>
  <c r="BF288" i="1"/>
  <c r="BG288" i="1" s="1"/>
  <c r="BF287" i="1"/>
  <c r="BG287" i="1" s="1"/>
  <c r="BF286" i="1"/>
  <c r="BG286" i="1" s="1"/>
  <c r="BF285" i="1"/>
  <c r="BG285" i="1" s="1"/>
  <c r="BF284" i="1"/>
  <c r="BG284" i="1" s="1"/>
  <c r="BF283" i="1"/>
  <c r="BG283" i="1" s="1"/>
  <c r="BF282" i="1"/>
  <c r="BG282" i="1" s="1"/>
  <c r="BF281" i="1"/>
  <c r="BG281" i="1" s="1"/>
  <c r="BF280" i="1"/>
  <c r="BG280" i="1" s="1"/>
  <c r="BF279" i="1"/>
  <c r="BG279" i="1" s="1"/>
  <c r="BF278" i="1"/>
  <c r="BG278" i="1" s="1"/>
  <c r="BF277" i="1"/>
  <c r="BG277" i="1" s="1"/>
  <c r="BF276" i="1"/>
  <c r="BG276" i="1" s="1"/>
  <c r="BF275" i="1"/>
  <c r="BG275" i="1" s="1"/>
  <c r="BF274" i="1"/>
  <c r="BG274" i="1" s="1"/>
  <c r="BF273" i="1"/>
  <c r="BG273" i="1" s="1"/>
  <c r="BF272" i="1"/>
  <c r="BG272" i="1" s="1"/>
  <c r="BF271" i="1"/>
  <c r="BG271" i="1" s="1"/>
  <c r="BF270" i="1"/>
  <c r="BG270" i="1" s="1"/>
  <c r="BF269" i="1"/>
  <c r="BG269" i="1" s="1"/>
  <c r="BF268" i="1"/>
  <c r="BG268" i="1" s="1"/>
  <c r="BF267" i="1"/>
  <c r="BG267" i="1" s="1"/>
  <c r="BF266" i="1"/>
  <c r="BG266" i="1" s="1"/>
  <c r="BF265" i="1"/>
  <c r="BG265" i="1" s="1"/>
  <c r="BF264" i="1"/>
  <c r="BG264" i="1" s="1"/>
  <c r="BF263" i="1"/>
  <c r="BG263" i="1" s="1"/>
  <c r="BF262" i="1"/>
  <c r="BG262" i="1" s="1"/>
  <c r="BF261" i="1"/>
  <c r="BG261" i="1" s="1"/>
  <c r="BF260" i="1"/>
  <c r="BG260" i="1" s="1"/>
  <c r="BF259" i="1"/>
  <c r="BG259" i="1" s="1"/>
  <c r="BF258" i="1"/>
  <c r="BG258" i="1" s="1"/>
  <c r="BF257" i="1"/>
  <c r="BG257" i="1" s="1"/>
  <c r="BF256" i="1"/>
  <c r="BG256" i="1" s="1"/>
  <c r="BF255" i="1"/>
  <c r="BG255" i="1" s="1"/>
  <c r="BF254" i="1"/>
  <c r="BG254" i="1" s="1"/>
  <c r="BF253" i="1"/>
  <c r="BG253" i="1" s="1"/>
  <c r="BF252" i="1"/>
  <c r="BG252" i="1" s="1"/>
  <c r="BF251" i="1"/>
  <c r="BG251" i="1" s="1"/>
  <c r="BF250" i="1"/>
  <c r="BG250" i="1" s="1"/>
  <c r="BF249" i="1"/>
  <c r="BG249" i="1" s="1"/>
  <c r="BF248" i="1"/>
  <c r="BG248" i="1" s="1"/>
  <c r="BF247" i="1"/>
  <c r="BG247" i="1" s="1"/>
  <c r="BF246" i="1"/>
  <c r="BG246" i="1" s="1"/>
  <c r="BF245" i="1"/>
  <c r="BG245" i="1" s="1"/>
  <c r="BF244" i="1"/>
  <c r="BG244" i="1" s="1"/>
  <c r="BF243" i="1"/>
  <c r="BG243" i="1" s="1"/>
  <c r="BF242" i="1"/>
  <c r="BG242" i="1" s="1"/>
  <c r="BF241" i="1"/>
  <c r="BG241" i="1" s="1"/>
  <c r="BF240" i="1"/>
  <c r="BG240" i="1" s="1"/>
  <c r="BF239" i="1"/>
  <c r="BG239" i="1" s="1"/>
  <c r="BF238" i="1"/>
  <c r="BG238" i="1" s="1"/>
  <c r="BF237" i="1"/>
  <c r="BG237" i="1" s="1"/>
  <c r="BF236" i="1"/>
  <c r="BG236" i="1" s="1"/>
  <c r="BF235" i="1"/>
  <c r="BG235" i="1" s="1"/>
  <c r="BF234" i="1"/>
  <c r="BG234" i="1" s="1"/>
  <c r="BF233" i="1"/>
  <c r="BG233" i="1" s="1"/>
  <c r="BF232" i="1"/>
  <c r="BG232" i="1" s="1"/>
  <c r="BF231" i="1"/>
  <c r="BG231" i="1" s="1"/>
  <c r="BF230" i="1"/>
  <c r="BG230" i="1" s="1"/>
  <c r="BF229" i="1"/>
  <c r="BG229" i="1" s="1"/>
  <c r="BF228" i="1"/>
  <c r="BG228" i="1" s="1"/>
  <c r="BF227" i="1"/>
  <c r="BG227" i="1" s="1"/>
  <c r="BF226" i="1"/>
  <c r="BG226" i="1" s="1"/>
  <c r="BF225" i="1"/>
  <c r="BG225" i="1" s="1"/>
  <c r="BF224" i="1"/>
  <c r="BG224" i="1" s="1"/>
  <c r="BF223" i="1"/>
  <c r="BG223" i="1" s="1"/>
  <c r="BF222" i="1"/>
  <c r="BG222" i="1" s="1"/>
  <c r="BF221" i="1"/>
  <c r="BG221" i="1" s="1"/>
  <c r="BF220" i="1"/>
  <c r="BG220" i="1" s="1"/>
  <c r="BF219" i="1"/>
  <c r="BG219" i="1" s="1"/>
  <c r="BF218" i="1"/>
  <c r="BG218" i="1" s="1"/>
  <c r="BF217" i="1"/>
  <c r="BG217" i="1" s="1"/>
  <c r="BF216" i="1"/>
  <c r="BG216" i="1" s="1"/>
  <c r="BF215" i="1"/>
  <c r="BG215" i="1" s="1"/>
  <c r="BF214" i="1"/>
  <c r="BG214" i="1" s="1"/>
  <c r="BF213" i="1"/>
  <c r="BG213" i="1" s="1"/>
  <c r="BF212" i="1"/>
  <c r="BG212" i="1" s="1"/>
  <c r="BF211" i="1"/>
  <c r="BG211" i="1" s="1"/>
  <c r="BF210" i="1"/>
  <c r="BG210" i="1" s="1"/>
  <c r="BF209" i="1"/>
  <c r="BG209" i="1" s="1"/>
  <c r="BF208" i="1"/>
  <c r="BG208" i="1" s="1"/>
  <c r="BF207" i="1"/>
  <c r="BG207" i="1" s="1"/>
  <c r="BF206" i="1"/>
  <c r="BG206" i="1" s="1"/>
  <c r="BF205" i="1"/>
  <c r="BG205" i="1" s="1"/>
  <c r="BF204" i="1"/>
  <c r="BG204" i="1" s="1"/>
  <c r="BF203" i="1"/>
  <c r="BG203" i="1" s="1"/>
  <c r="BF202" i="1"/>
  <c r="BG202" i="1" s="1"/>
  <c r="BF201" i="1"/>
  <c r="BG201" i="1" s="1"/>
  <c r="BF200" i="1"/>
  <c r="BG200" i="1" s="1"/>
  <c r="BF199" i="1"/>
  <c r="BG199" i="1" s="1"/>
  <c r="BF198" i="1"/>
  <c r="BG198" i="1" s="1"/>
  <c r="BF197" i="1"/>
  <c r="BG197" i="1" s="1"/>
  <c r="BF196" i="1"/>
  <c r="BG196" i="1" s="1"/>
  <c r="BF195" i="1"/>
  <c r="BG195" i="1" s="1"/>
  <c r="BF194" i="1"/>
  <c r="BG194" i="1" s="1"/>
  <c r="BF193" i="1"/>
  <c r="BG193" i="1" s="1"/>
  <c r="BF192" i="1"/>
  <c r="BG192" i="1" s="1"/>
  <c r="BF191" i="1"/>
  <c r="BG191" i="1" s="1"/>
  <c r="BF190" i="1"/>
  <c r="BG190" i="1" s="1"/>
  <c r="BF189" i="1"/>
  <c r="BG189" i="1" s="1"/>
  <c r="BF188" i="1"/>
  <c r="BG188" i="1" s="1"/>
  <c r="BF187" i="1"/>
  <c r="BG187" i="1" s="1"/>
  <c r="BF186" i="1"/>
  <c r="BG186" i="1" s="1"/>
  <c r="BF185" i="1"/>
  <c r="BG185" i="1" s="1"/>
  <c r="BF184" i="1"/>
  <c r="BG184" i="1" s="1"/>
  <c r="BF183" i="1"/>
  <c r="BG183" i="1" s="1"/>
  <c r="BF182" i="1"/>
  <c r="BG182" i="1" s="1"/>
  <c r="BF181" i="1"/>
  <c r="BG181" i="1" s="1"/>
  <c r="BF180" i="1"/>
  <c r="BG180" i="1" s="1"/>
  <c r="BF179" i="1"/>
  <c r="BG179" i="1" s="1"/>
  <c r="BF178" i="1"/>
  <c r="BG178" i="1" s="1"/>
  <c r="BF177" i="1"/>
  <c r="BG177" i="1" s="1"/>
  <c r="BF176" i="1"/>
  <c r="BG176" i="1" s="1"/>
  <c r="BF175" i="1"/>
  <c r="BG175" i="1" s="1"/>
  <c r="BF174" i="1"/>
  <c r="BG174" i="1" s="1"/>
  <c r="BF173" i="1"/>
  <c r="BG173" i="1" s="1"/>
  <c r="BF172" i="1"/>
  <c r="BG172" i="1" s="1"/>
  <c r="BF171" i="1"/>
  <c r="BG171" i="1" s="1"/>
  <c r="BF170" i="1"/>
  <c r="BG170" i="1" s="1"/>
  <c r="BF169" i="1"/>
  <c r="BG169" i="1" s="1"/>
  <c r="BF168" i="1"/>
  <c r="BG168" i="1" s="1"/>
  <c r="BF167" i="1"/>
  <c r="BG167" i="1" s="1"/>
  <c r="BF166" i="1"/>
  <c r="BG166" i="1" s="1"/>
  <c r="BF165" i="1"/>
  <c r="BG165" i="1" s="1"/>
  <c r="BF164" i="1"/>
  <c r="BG164" i="1" s="1"/>
  <c r="BF163" i="1"/>
  <c r="BG163" i="1" s="1"/>
  <c r="BF162" i="1"/>
  <c r="BG162" i="1" s="1"/>
  <c r="BF161" i="1"/>
  <c r="BG161" i="1" s="1"/>
  <c r="BF160" i="1"/>
  <c r="BG160" i="1" s="1"/>
  <c r="BF159" i="1"/>
  <c r="BG159" i="1" s="1"/>
  <c r="BF158" i="1"/>
  <c r="BG158" i="1" s="1"/>
  <c r="BF157" i="1"/>
  <c r="BG157" i="1" s="1"/>
  <c r="BF156" i="1"/>
  <c r="BG156" i="1" s="1"/>
  <c r="BF155" i="1"/>
  <c r="BG155" i="1" s="1"/>
  <c r="BF154" i="1"/>
  <c r="BG154" i="1" s="1"/>
  <c r="BF153" i="1"/>
  <c r="BG153" i="1" s="1"/>
  <c r="BF152" i="1"/>
  <c r="BG152" i="1" s="1"/>
  <c r="BF151" i="1"/>
  <c r="BG151" i="1" s="1"/>
  <c r="BF150" i="1"/>
  <c r="BG150" i="1" s="1"/>
  <c r="BF149" i="1"/>
  <c r="BG149" i="1" s="1"/>
  <c r="BF148" i="1"/>
  <c r="BG148" i="1" s="1"/>
  <c r="BF147" i="1"/>
  <c r="BG147" i="1" s="1"/>
  <c r="BF146" i="1"/>
  <c r="BG146" i="1" s="1"/>
  <c r="BF145" i="1"/>
  <c r="BG145" i="1" s="1"/>
  <c r="BF144" i="1"/>
  <c r="BG144" i="1" s="1"/>
  <c r="BF143" i="1"/>
  <c r="BG143" i="1" s="1"/>
  <c r="BF142" i="1"/>
  <c r="BG142" i="1" s="1"/>
  <c r="BF141" i="1"/>
  <c r="BG141" i="1" s="1"/>
  <c r="BF140" i="1"/>
  <c r="BG140" i="1" s="1"/>
  <c r="BF139" i="1"/>
  <c r="BG139" i="1" s="1"/>
  <c r="BF138" i="1"/>
  <c r="BG138" i="1" s="1"/>
  <c r="BF137" i="1"/>
  <c r="BG137" i="1" s="1"/>
  <c r="BF136" i="1"/>
  <c r="BG136" i="1" s="1"/>
  <c r="BF135" i="1"/>
  <c r="BG135" i="1" s="1"/>
  <c r="BF134" i="1"/>
  <c r="BG134" i="1" s="1"/>
  <c r="BF133" i="1"/>
  <c r="BG133" i="1" s="1"/>
  <c r="BF132" i="1"/>
  <c r="BG132" i="1" s="1"/>
  <c r="BF131" i="1"/>
  <c r="BG131" i="1" s="1"/>
  <c r="BF130" i="1"/>
  <c r="BG130" i="1" s="1"/>
  <c r="BF129" i="1"/>
  <c r="BG129" i="1" s="1"/>
  <c r="BF128" i="1"/>
  <c r="BG128" i="1" s="1"/>
  <c r="BF127" i="1"/>
  <c r="BG127" i="1" s="1"/>
  <c r="BF126" i="1"/>
  <c r="BG126" i="1" s="1"/>
  <c r="BF125" i="1"/>
  <c r="BG125" i="1" s="1"/>
  <c r="BF124" i="1"/>
  <c r="BG124" i="1" s="1"/>
  <c r="BF123" i="1"/>
  <c r="BG123" i="1" s="1"/>
  <c r="BF122" i="1"/>
  <c r="BG122" i="1" s="1"/>
  <c r="BF121" i="1"/>
  <c r="BG121" i="1" s="1"/>
  <c r="BF120" i="1"/>
  <c r="BG120" i="1" s="1"/>
  <c r="BF119" i="1"/>
  <c r="BG119" i="1" s="1"/>
  <c r="BF118" i="1"/>
  <c r="BG118" i="1" s="1"/>
  <c r="BF117" i="1"/>
  <c r="BG117" i="1" s="1"/>
  <c r="BF116" i="1"/>
  <c r="BG116" i="1" s="1"/>
  <c r="BF115" i="1"/>
  <c r="BG115" i="1" s="1"/>
  <c r="BF114" i="1"/>
  <c r="BG114" i="1" s="1"/>
  <c r="BF113" i="1"/>
  <c r="BG113" i="1" s="1"/>
  <c r="BF112" i="1"/>
  <c r="BG112" i="1" s="1"/>
  <c r="BF111" i="1"/>
  <c r="BG111" i="1" s="1"/>
  <c r="BF110" i="1"/>
  <c r="BG110" i="1" s="1"/>
  <c r="BF109" i="1"/>
  <c r="BG109" i="1" s="1"/>
  <c r="BF108" i="1"/>
  <c r="BG108" i="1" s="1"/>
  <c r="BF107" i="1"/>
  <c r="BG107" i="1" s="1"/>
  <c r="BF106" i="1"/>
  <c r="BG106" i="1" s="1"/>
  <c r="BF105" i="1"/>
  <c r="BG105" i="1" s="1"/>
  <c r="BF104" i="1"/>
  <c r="BG104" i="1" s="1"/>
  <c r="BF103" i="1"/>
  <c r="BG103" i="1" s="1"/>
  <c r="BF102" i="1"/>
  <c r="BG102" i="1" s="1"/>
  <c r="BF101" i="1"/>
  <c r="BG101" i="1" s="1"/>
  <c r="BF100" i="1"/>
  <c r="BG100" i="1" s="1"/>
  <c r="BF99" i="1"/>
  <c r="BG99" i="1" s="1"/>
  <c r="BF98" i="1"/>
  <c r="BG98" i="1" s="1"/>
  <c r="BF97" i="1"/>
  <c r="BG97" i="1" s="1"/>
  <c r="BF96" i="1"/>
  <c r="BG96" i="1" s="1"/>
  <c r="BF95" i="1"/>
  <c r="BG95" i="1" s="1"/>
  <c r="BF94" i="1"/>
  <c r="BG94" i="1" s="1"/>
  <c r="BF93" i="1"/>
  <c r="BG93" i="1" s="1"/>
  <c r="BF92" i="1"/>
  <c r="BG92" i="1" s="1"/>
  <c r="BF91" i="1"/>
  <c r="BG91" i="1" s="1"/>
  <c r="BF90" i="1"/>
  <c r="BG90" i="1" s="1"/>
  <c r="BF89" i="1"/>
  <c r="BG89" i="1" s="1"/>
  <c r="BF88" i="1"/>
  <c r="BG88" i="1" s="1"/>
  <c r="BF87" i="1"/>
  <c r="BG87" i="1" s="1"/>
  <c r="BF86" i="1"/>
  <c r="BG86" i="1" s="1"/>
  <c r="BF85" i="1"/>
  <c r="BG85" i="1" s="1"/>
  <c r="BF84" i="1"/>
  <c r="BG84" i="1" s="1"/>
  <c r="BF83" i="1"/>
  <c r="BG83" i="1" s="1"/>
  <c r="BF82" i="1"/>
  <c r="BG82" i="1" s="1"/>
  <c r="BF81" i="1"/>
  <c r="BG81" i="1" s="1"/>
  <c r="BF80" i="1"/>
  <c r="BG80" i="1" s="1"/>
  <c r="BF79" i="1"/>
  <c r="BG79" i="1" s="1"/>
  <c r="BF78" i="1"/>
  <c r="BG78" i="1" s="1"/>
  <c r="BF77" i="1"/>
  <c r="BG77" i="1" s="1"/>
  <c r="BF76" i="1"/>
  <c r="BG76" i="1" s="1"/>
  <c r="BF75" i="1"/>
  <c r="BG75" i="1" s="1"/>
  <c r="BF74" i="1"/>
  <c r="BG74" i="1" s="1"/>
  <c r="BF73" i="1"/>
  <c r="BG73" i="1" s="1"/>
  <c r="BF72" i="1"/>
  <c r="BG72" i="1" s="1"/>
  <c r="BF71" i="1"/>
  <c r="BG71" i="1" s="1"/>
  <c r="BF70" i="1"/>
  <c r="BG70" i="1" s="1"/>
  <c r="BF69" i="1"/>
  <c r="BG69" i="1" s="1"/>
  <c r="BF68" i="1"/>
  <c r="BG68" i="1" s="1"/>
  <c r="BF67" i="1"/>
  <c r="BG67" i="1" s="1"/>
  <c r="BF66" i="1"/>
  <c r="BG66" i="1" s="1"/>
  <c r="BF65" i="1"/>
  <c r="BG65" i="1" s="1"/>
  <c r="BF64" i="1"/>
  <c r="BG64" i="1" s="1"/>
  <c r="BF63" i="1"/>
  <c r="BG63" i="1" s="1"/>
  <c r="BF62" i="1"/>
  <c r="BG62" i="1" s="1"/>
  <c r="BF61" i="1"/>
  <c r="BG61" i="1" s="1"/>
  <c r="BF60" i="1"/>
  <c r="BG60" i="1" s="1"/>
  <c r="BF59" i="1"/>
  <c r="BG59" i="1" s="1"/>
  <c r="BF58" i="1"/>
  <c r="BG58" i="1" s="1"/>
  <c r="BF57" i="1"/>
  <c r="BG57" i="1" s="1"/>
  <c r="BF56" i="1"/>
  <c r="BG56" i="1" s="1"/>
  <c r="BF55" i="1"/>
  <c r="BG55" i="1" s="1"/>
  <c r="BF54" i="1"/>
  <c r="BG54" i="1" s="1"/>
  <c r="BF53" i="1"/>
  <c r="BG53" i="1" s="1"/>
  <c r="BF52" i="1"/>
  <c r="BG52" i="1" s="1"/>
  <c r="BF51" i="1"/>
  <c r="BG51" i="1" s="1"/>
  <c r="BF50" i="1"/>
  <c r="BG50" i="1" s="1"/>
  <c r="BF49" i="1"/>
  <c r="BG49" i="1" s="1"/>
  <c r="BF48" i="1"/>
  <c r="BG48" i="1" s="1"/>
  <c r="BF47" i="1"/>
  <c r="BG47" i="1" s="1"/>
  <c r="BF46" i="1"/>
  <c r="BG46" i="1" s="1"/>
  <c r="BF45" i="1"/>
  <c r="BG45" i="1" s="1"/>
  <c r="BF44" i="1"/>
  <c r="BG44" i="1" s="1"/>
  <c r="BD1011" i="1"/>
  <c r="BE1011" i="1" s="1"/>
  <c r="BD1010" i="1"/>
  <c r="BE1010" i="1" s="1"/>
  <c r="BD1009" i="1"/>
  <c r="BE1009" i="1" s="1"/>
  <c r="BD1008" i="1"/>
  <c r="BE1008" i="1" s="1"/>
  <c r="BD1007" i="1"/>
  <c r="BE1007" i="1" s="1"/>
  <c r="BD1006" i="1"/>
  <c r="BE1006" i="1" s="1"/>
  <c r="BD1005" i="1"/>
  <c r="BE1005" i="1" s="1"/>
  <c r="BD1004" i="1"/>
  <c r="BE1004" i="1" s="1"/>
  <c r="BD1003" i="1"/>
  <c r="BE1003" i="1" s="1"/>
  <c r="BD1002" i="1"/>
  <c r="BE1002" i="1" s="1"/>
  <c r="BD1001" i="1"/>
  <c r="BE1001" i="1" s="1"/>
  <c r="BD1000" i="1"/>
  <c r="BE1000" i="1" s="1"/>
  <c r="BD999" i="1"/>
  <c r="BE999" i="1" s="1"/>
  <c r="BD998" i="1"/>
  <c r="BE998" i="1" s="1"/>
  <c r="BD997" i="1"/>
  <c r="BE997" i="1" s="1"/>
  <c r="BD996" i="1"/>
  <c r="BE996" i="1" s="1"/>
  <c r="BD995" i="1"/>
  <c r="BE995" i="1" s="1"/>
  <c r="BD994" i="1"/>
  <c r="BE994" i="1" s="1"/>
  <c r="BD993" i="1"/>
  <c r="BE993" i="1" s="1"/>
  <c r="BD992" i="1"/>
  <c r="BE992" i="1" s="1"/>
  <c r="BD991" i="1"/>
  <c r="BE991" i="1" s="1"/>
  <c r="BD990" i="1"/>
  <c r="BE990" i="1" s="1"/>
  <c r="BD989" i="1"/>
  <c r="BE989" i="1" s="1"/>
  <c r="BD988" i="1"/>
  <c r="BE988" i="1" s="1"/>
  <c r="BD987" i="1"/>
  <c r="BE987" i="1" s="1"/>
  <c r="BD986" i="1"/>
  <c r="BE986" i="1" s="1"/>
  <c r="BD985" i="1"/>
  <c r="BE985" i="1" s="1"/>
  <c r="BD984" i="1"/>
  <c r="BE984" i="1" s="1"/>
  <c r="BD983" i="1"/>
  <c r="BE983" i="1" s="1"/>
  <c r="BD982" i="1"/>
  <c r="BE982" i="1" s="1"/>
  <c r="BD981" i="1"/>
  <c r="BE981" i="1" s="1"/>
  <c r="BD980" i="1"/>
  <c r="BE980" i="1" s="1"/>
  <c r="BD979" i="1"/>
  <c r="BE979" i="1" s="1"/>
  <c r="BD978" i="1"/>
  <c r="BE978" i="1" s="1"/>
  <c r="BD977" i="1"/>
  <c r="BE977" i="1" s="1"/>
  <c r="BD976" i="1"/>
  <c r="BE976" i="1" s="1"/>
  <c r="BD975" i="1"/>
  <c r="BE975" i="1" s="1"/>
  <c r="BD974" i="1"/>
  <c r="BE974" i="1" s="1"/>
  <c r="BD973" i="1"/>
  <c r="BE973" i="1" s="1"/>
  <c r="BD972" i="1"/>
  <c r="BE972" i="1" s="1"/>
  <c r="BD971" i="1"/>
  <c r="BE971" i="1" s="1"/>
  <c r="BD970" i="1"/>
  <c r="BE970" i="1" s="1"/>
  <c r="BD969" i="1"/>
  <c r="BE969" i="1" s="1"/>
  <c r="BD968" i="1"/>
  <c r="BE968" i="1" s="1"/>
  <c r="BD967" i="1"/>
  <c r="BE967" i="1" s="1"/>
  <c r="BD966" i="1"/>
  <c r="BE966" i="1" s="1"/>
  <c r="BD965" i="1"/>
  <c r="BE965" i="1" s="1"/>
  <c r="BD964" i="1"/>
  <c r="BE964" i="1" s="1"/>
  <c r="BD963" i="1"/>
  <c r="BE963" i="1" s="1"/>
  <c r="BD962" i="1"/>
  <c r="BE962" i="1" s="1"/>
  <c r="BD961" i="1"/>
  <c r="BE961" i="1" s="1"/>
  <c r="BD960" i="1"/>
  <c r="BE960" i="1" s="1"/>
  <c r="BD959" i="1"/>
  <c r="BE959" i="1" s="1"/>
  <c r="BD958" i="1"/>
  <c r="BE958" i="1" s="1"/>
  <c r="BD957" i="1"/>
  <c r="BE957" i="1" s="1"/>
  <c r="BD956" i="1"/>
  <c r="BE956" i="1" s="1"/>
  <c r="BD955" i="1"/>
  <c r="BE955" i="1" s="1"/>
  <c r="BD954" i="1"/>
  <c r="BE954" i="1" s="1"/>
  <c r="BD953" i="1"/>
  <c r="BE953" i="1" s="1"/>
  <c r="BD952" i="1"/>
  <c r="BE952" i="1" s="1"/>
  <c r="BD951" i="1"/>
  <c r="BE951" i="1" s="1"/>
  <c r="BD950" i="1"/>
  <c r="BE950" i="1" s="1"/>
  <c r="BD949" i="1"/>
  <c r="BE949" i="1" s="1"/>
  <c r="BD948" i="1"/>
  <c r="BE948" i="1" s="1"/>
  <c r="BD947" i="1"/>
  <c r="BE947" i="1" s="1"/>
  <c r="BD946" i="1"/>
  <c r="BE946" i="1" s="1"/>
  <c r="BD945" i="1"/>
  <c r="BE945" i="1" s="1"/>
  <c r="BD944" i="1"/>
  <c r="BE944" i="1" s="1"/>
  <c r="BD943" i="1"/>
  <c r="BE943" i="1" s="1"/>
  <c r="BD942" i="1"/>
  <c r="BE942" i="1" s="1"/>
  <c r="BD941" i="1"/>
  <c r="BE941" i="1" s="1"/>
  <c r="BD940" i="1"/>
  <c r="BE940" i="1" s="1"/>
  <c r="BD939" i="1"/>
  <c r="BE939" i="1" s="1"/>
  <c r="BD938" i="1"/>
  <c r="BE938" i="1" s="1"/>
  <c r="BD937" i="1"/>
  <c r="BE937" i="1" s="1"/>
  <c r="BD936" i="1"/>
  <c r="BE936" i="1" s="1"/>
  <c r="BD935" i="1"/>
  <c r="BE935" i="1" s="1"/>
  <c r="BD934" i="1"/>
  <c r="BE934" i="1" s="1"/>
  <c r="BD933" i="1"/>
  <c r="BE933" i="1" s="1"/>
  <c r="BD932" i="1"/>
  <c r="BE932" i="1" s="1"/>
  <c r="BD931" i="1"/>
  <c r="BE931" i="1" s="1"/>
  <c r="BD930" i="1"/>
  <c r="BE930" i="1" s="1"/>
  <c r="BD929" i="1"/>
  <c r="BE929" i="1" s="1"/>
  <c r="BD928" i="1"/>
  <c r="BE928" i="1" s="1"/>
  <c r="BD927" i="1"/>
  <c r="BE927" i="1" s="1"/>
  <c r="BD926" i="1"/>
  <c r="BE926" i="1" s="1"/>
  <c r="BD925" i="1"/>
  <c r="BE925" i="1" s="1"/>
  <c r="BD924" i="1"/>
  <c r="BE924" i="1" s="1"/>
  <c r="BD923" i="1"/>
  <c r="BE923" i="1" s="1"/>
  <c r="BD922" i="1"/>
  <c r="BE922" i="1" s="1"/>
  <c r="BD921" i="1"/>
  <c r="BE921" i="1" s="1"/>
  <c r="BD920" i="1"/>
  <c r="BE920" i="1" s="1"/>
  <c r="BD919" i="1"/>
  <c r="BE919" i="1" s="1"/>
  <c r="BD918" i="1"/>
  <c r="BE918" i="1" s="1"/>
  <c r="BD917" i="1"/>
  <c r="BE917" i="1" s="1"/>
  <c r="BD916" i="1"/>
  <c r="BE916" i="1" s="1"/>
  <c r="BD915" i="1"/>
  <c r="BE915" i="1" s="1"/>
  <c r="BD914" i="1"/>
  <c r="BE914" i="1" s="1"/>
  <c r="BD913" i="1"/>
  <c r="BE913" i="1" s="1"/>
  <c r="BD912" i="1"/>
  <c r="BE912" i="1" s="1"/>
  <c r="BD911" i="1"/>
  <c r="BE911" i="1" s="1"/>
  <c r="BD910" i="1"/>
  <c r="BE910" i="1" s="1"/>
  <c r="BD909" i="1"/>
  <c r="BE909" i="1" s="1"/>
  <c r="BD908" i="1"/>
  <c r="BE908" i="1" s="1"/>
  <c r="BD907" i="1"/>
  <c r="BE907" i="1" s="1"/>
  <c r="BD906" i="1"/>
  <c r="BE906" i="1" s="1"/>
  <c r="BD905" i="1"/>
  <c r="BE905" i="1" s="1"/>
  <c r="BD904" i="1"/>
  <c r="BE904" i="1" s="1"/>
  <c r="BD903" i="1"/>
  <c r="BE903" i="1" s="1"/>
  <c r="BD902" i="1"/>
  <c r="BE902" i="1" s="1"/>
  <c r="BD901" i="1"/>
  <c r="BE901" i="1" s="1"/>
  <c r="BD900" i="1"/>
  <c r="BE900" i="1" s="1"/>
  <c r="BD899" i="1"/>
  <c r="BE899" i="1" s="1"/>
  <c r="BD898" i="1"/>
  <c r="BE898" i="1" s="1"/>
  <c r="BD897" i="1"/>
  <c r="BE897" i="1" s="1"/>
  <c r="BD896" i="1"/>
  <c r="BE896" i="1" s="1"/>
  <c r="BD895" i="1"/>
  <c r="BE895" i="1" s="1"/>
  <c r="BD894" i="1"/>
  <c r="BE894" i="1" s="1"/>
  <c r="BD893" i="1"/>
  <c r="BE893" i="1" s="1"/>
  <c r="BD892" i="1"/>
  <c r="BE892" i="1" s="1"/>
  <c r="BD891" i="1"/>
  <c r="BE891" i="1" s="1"/>
  <c r="BD890" i="1"/>
  <c r="BE890" i="1" s="1"/>
  <c r="BD889" i="1"/>
  <c r="BE889" i="1" s="1"/>
  <c r="BD888" i="1"/>
  <c r="BE888" i="1" s="1"/>
  <c r="BD887" i="1"/>
  <c r="BE887" i="1" s="1"/>
  <c r="BD886" i="1"/>
  <c r="BE886" i="1" s="1"/>
  <c r="BD885" i="1"/>
  <c r="BE885" i="1" s="1"/>
  <c r="BD884" i="1"/>
  <c r="BE884" i="1" s="1"/>
  <c r="BD883" i="1"/>
  <c r="BE883" i="1" s="1"/>
  <c r="BD882" i="1"/>
  <c r="BE882" i="1" s="1"/>
  <c r="BD881" i="1"/>
  <c r="BE881" i="1" s="1"/>
  <c r="BD880" i="1"/>
  <c r="BE880" i="1" s="1"/>
  <c r="BD879" i="1"/>
  <c r="BE879" i="1" s="1"/>
  <c r="BD878" i="1"/>
  <c r="BE878" i="1" s="1"/>
  <c r="BD877" i="1"/>
  <c r="BE877" i="1" s="1"/>
  <c r="BD876" i="1"/>
  <c r="BE876" i="1" s="1"/>
  <c r="BD875" i="1"/>
  <c r="BE875" i="1" s="1"/>
  <c r="BD874" i="1"/>
  <c r="BE874" i="1" s="1"/>
  <c r="BD873" i="1"/>
  <c r="BE873" i="1" s="1"/>
  <c r="BD872" i="1"/>
  <c r="BE872" i="1" s="1"/>
  <c r="BD871" i="1"/>
  <c r="BE871" i="1" s="1"/>
  <c r="BD870" i="1"/>
  <c r="BE870" i="1" s="1"/>
  <c r="BD869" i="1"/>
  <c r="BE869" i="1" s="1"/>
  <c r="BD868" i="1"/>
  <c r="BE868" i="1" s="1"/>
  <c r="BD867" i="1"/>
  <c r="BE867" i="1" s="1"/>
  <c r="BD866" i="1"/>
  <c r="BE866" i="1" s="1"/>
  <c r="BD865" i="1"/>
  <c r="BE865" i="1" s="1"/>
  <c r="BD864" i="1"/>
  <c r="BE864" i="1" s="1"/>
  <c r="BD863" i="1"/>
  <c r="BE863" i="1" s="1"/>
  <c r="BD862" i="1"/>
  <c r="BE862" i="1" s="1"/>
  <c r="BD861" i="1"/>
  <c r="BE861" i="1" s="1"/>
  <c r="BD860" i="1"/>
  <c r="BE860" i="1" s="1"/>
  <c r="BD859" i="1"/>
  <c r="BE859" i="1" s="1"/>
  <c r="BD858" i="1"/>
  <c r="BE858" i="1" s="1"/>
  <c r="BD857" i="1"/>
  <c r="BE857" i="1" s="1"/>
  <c r="BD856" i="1"/>
  <c r="BE856" i="1" s="1"/>
  <c r="BD855" i="1"/>
  <c r="BE855" i="1" s="1"/>
  <c r="BD854" i="1"/>
  <c r="BE854" i="1" s="1"/>
  <c r="BD853" i="1"/>
  <c r="BE853" i="1" s="1"/>
  <c r="BD852" i="1"/>
  <c r="BE852" i="1" s="1"/>
  <c r="BD851" i="1"/>
  <c r="BE851" i="1" s="1"/>
  <c r="BD850" i="1"/>
  <c r="BE850" i="1" s="1"/>
  <c r="BD849" i="1"/>
  <c r="BE849" i="1" s="1"/>
  <c r="BD848" i="1"/>
  <c r="BE848" i="1" s="1"/>
  <c r="BD847" i="1"/>
  <c r="BE847" i="1" s="1"/>
  <c r="BD846" i="1"/>
  <c r="BE846" i="1" s="1"/>
  <c r="BD845" i="1"/>
  <c r="BE845" i="1" s="1"/>
  <c r="BD844" i="1"/>
  <c r="BE844" i="1" s="1"/>
  <c r="BD843" i="1"/>
  <c r="BE843" i="1" s="1"/>
  <c r="BD842" i="1"/>
  <c r="BE842" i="1" s="1"/>
  <c r="BD841" i="1"/>
  <c r="BE841" i="1" s="1"/>
  <c r="BD840" i="1"/>
  <c r="BE840" i="1" s="1"/>
  <c r="BD839" i="1"/>
  <c r="BE839" i="1" s="1"/>
  <c r="BD838" i="1"/>
  <c r="BE838" i="1" s="1"/>
  <c r="BD837" i="1"/>
  <c r="BE837" i="1" s="1"/>
  <c r="BD836" i="1"/>
  <c r="BE836" i="1" s="1"/>
  <c r="BD835" i="1"/>
  <c r="BE835" i="1" s="1"/>
  <c r="BD834" i="1"/>
  <c r="BE834" i="1" s="1"/>
  <c r="BD833" i="1"/>
  <c r="BE833" i="1" s="1"/>
  <c r="BD832" i="1"/>
  <c r="BE832" i="1" s="1"/>
  <c r="BD831" i="1"/>
  <c r="BE831" i="1" s="1"/>
  <c r="BD830" i="1"/>
  <c r="BE830" i="1" s="1"/>
  <c r="BD829" i="1"/>
  <c r="BE829" i="1" s="1"/>
  <c r="BD828" i="1"/>
  <c r="BE828" i="1" s="1"/>
  <c r="BD827" i="1"/>
  <c r="BE827" i="1" s="1"/>
  <c r="BD826" i="1"/>
  <c r="BE826" i="1" s="1"/>
  <c r="BD825" i="1"/>
  <c r="BE825" i="1" s="1"/>
  <c r="BD824" i="1"/>
  <c r="BE824" i="1" s="1"/>
  <c r="BD823" i="1"/>
  <c r="BE823" i="1" s="1"/>
  <c r="BD822" i="1"/>
  <c r="BE822" i="1" s="1"/>
  <c r="BD821" i="1"/>
  <c r="BE821" i="1" s="1"/>
  <c r="BD820" i="1"/>
  <c r="BE820" i="1" s="1"/>
  <c r="BD819" i="1"/>
  <c r="BE819" i="1" s="1"/>
  <c r="BD818" i="1"/>
  <c r="BE818" i="1" s="1"/>
  <c r="BD817" i="1"/>
  <c r="BE817" i="1" s="1"/>
  <c r="BD816" i="1"/>
  <c r="BE816" i="1" s="1"/>
  <c r="BD815" i="1"/>
  <c r="BE815" i="1" s="1"/>
  <c r="BD814" i="1"/>
  <c r="BE814" i="1" s="1"/>
  <c r="BD813" i="1"/>
  <c r="BE813" i="1" s="1"/>
  <c r="BD812" i="1"/>
  <c r="BE812" i="1" s="1"/>
  <c r="BD811" i="1"/>
  <c r="BE811" i="1" s="1"/>
  <c r="BD810" i="1"/>
  <c r="BE810" i="1" s="1"/>
  <c r="BD809" i="1"/>
  <c r="BE809" i="1" s="1"/>
  <c r="BD808" i="1"/>
  <c r="BE808" i="1" s="1"/>
  <c r="BD807" i="1"/>
  <c r="BE807" i="1" s="1"/>
  <c r="BD806" i="1"/>
  <c r="BE806" i="1" s="1"/>
  <c r="BD805" i="1"/>
  <c r="BE805" i="1" s="1"/>
  <c r="BD804" i="1"/>
  <c r="BE804" i="1" s="1"/>
  <c r="BD803" i="1"/>
  <c r="BE803" i="1" s="1"/>
  <c r="BD802" i="1"/>
  <c r="BE802" i="1" s="1"/>
  <c r="BD801" i="1"/>
  <c r="BE801" i="1" s="1"/>
  <c r="BD800" i="1"/>
  <c r="BE800" i="1" s="1"/>
  <c r="BD799" i="1"/>
  <c r="BE799" i="1" s="1"/>
  <c r="BD798" i="1"/>
  <c r="BE798" i="1" s="1"/>
  <c r="BD797" i="1"/>
  <c r="BE797" i="1" s="1"/>
  <c r="BD796" i="1"/>
  <c r="BE796" i="1" s="1"/>
  <c r="BD795" i="1"/>
  <c r="BE795" i="1" s="1"/>
  <c r="BD794" i="1"/>
  <c r="BE794" i="1" s="1"/>
  <c r="BD793" i="1"/>
  <c r="BE793" i="1" s="1"/>
  <c r="BD792" i="1"/>
  <c r="BE792" i="1" s="1"/>
  <c r="BD791" i="1"/>
  <c r="BE791" i="1" s="1"/>
  <c r="BD790" i="1"/>
  <c r="BE790" i="1" s="1"/>
  <c r="BD789" i="1"/>
  <c r="BE789" i="1" s="1"/>
  <c r="BD788" i="1"/>
  <c r="BE788" i="1" s="1"/>
  <c r="BD787" i="1"/>
  <c r="BE787" i="1" s="1"/>
  <c r="BD786" i="1"/>
  <c r="BE786" i="1" s="1"/>
  <c r="BD785" i="1"/>
  <c r="BE785" i="1" s="1"/>
  <c r="BD784" i="1"/>
  <c r="BE784" i="1" s="1"/>
  <c r="BD783" i="1"/>
  <c r="BE783" i="1" s="1"/>
  <c r="BD782" i="1"/>
  <c r="BE782" i="1" s="1"/>
  <c r="BD781" i="1"/>
  <c r="BE781" i="1" s="1"/>
  <c r="BD780" i="1"/>
  <c r="BE780" i="1" s="1"/>
  <c r="BD779" i="1"/>
  <c r="BE779" i="1" s="1"/>
  <c r="BD778" i="1"/>
  <c r="BE778" i="1" s="1"/>
  <c r="BD777" i="1"/>
  <c r="BE777" i="1" s="1"/>
  <c r="BD776" i="1"/>
  <c r="BE776" i="1" s="1"/>
  <c r="BD775" i="1"/>
  <c r="BE775" i="1" s="1"/>
  <c r="BD774" i="1"/>
  <c r="BE774" i="1" s="1"/>
  <c r="BD773" i="1"/>
  <c r="BE773" i="1" s="1"/>
  <c r="BD772" i="1"/>
  <c r="BE772" i="1" s="1"/>
  <c r="BD771" i="1"/>
  <c r="BE771" i="1" s="1"/>
  <c r="BD770" i="1"/>
  <c r="BE770" i="1" s="1"/>
  <c r="BD769" i="1"/>
  <c r="BE769" i="1" s="1"/>
  <c r="BD768" i="1"/>
  <c r="BE768" i="1" s="1"/>
  <c r="BD767" i="1"/>
  <c r="BE767" i="1" s="1"/>
  <c r="BD766" i="1"/>
  <c r="BE766" i="1" s="1"/>
  <c r="BD765" i="1"/>
  <c r="BE765" i="1" s="1"/>
  <c r="BD764" i="1"/>
  <c r="BE764" i="1" s="1"/>
  <c r="BD763" i="1"/>
  <c r="BE763" i="1" s="1"/>
  <c r="BD762" i="1"/>
  <c r="BE762" i="1" s="1"/>
  <c r="BD761" i="1"/>
  <c r="BE761" i="1" s="1"/>
  <c r="BD760" i="1"/>
  <c r="BE760" i="1" s="1"/>
  <c r="BD759" i="1"/>
  <c r="BE759" i="1" s="1"/>
  <c r="BD758" i="1"/>
  <c r="BE758" i="1" s="1"/>
  <c r="BD757" i="1"/>
  <c r="BE757" i="1" s="1"/>
  <c r="BD756" i="1"/>
  <c r="BE756" i="1" s="1"/>
  <c r="BD755" i="1"/>
  <c r="BE755" i="1" s="1"/>
  <c r="BD754" i="1"/>
  <c r="BE754" i="1" s="1"/>
  <c r="BD753" i="1"/>
  <c r="BE753" i="1" s="1"/>
  <c r="BD752" i="1"/>
  <c r="BE752" i="1" s="1"/>
  <c r="BD751" i="1"/>
  <c r="BE751" i="1" s="1"/>
  <c r="BD750" i="1"/>
  <c r="BE750" i="1" s="1"/>
  <c r="BD749" i="1"/>
  <c r="BE749" i="1" s="1"/>
  <c r="BD748" i="1"/>
  <c r="BE748" i="1" s="1"/>
  <c r="BD747" i="1"/>
  <c r="BE747" i="1" s="1"/>
  <c r="BD746" i="1"/>
  <c r="BE746" i="1" s="1"/>
  <c r="BD745" i="1"/>
  <c r="BE745" i="1" s="1"/>
  <c r="BD744" i="1"/>
  <c r="BE744" i="1" s="1"/>
  <c r="BD743" i="1"/>
  <c r="BE743" i="1" s="1"/>
  <c r="BD742" i="1"/>
  <c r="BE742" i="1" s="1"/>
  <c r="BD741" i="1"/>
  <c r="BE741" i="1" s="1"/>
  <c r="BD740" i="1"/>
  <c r="BE740" i="1" s="1"/>
  <c r="BD739" i="1"/>
  <c r="BE739" i="1" s="1"/>
  <c r="BD738" i="1"/>
  <c r="BE738" i="1" s="1"/>
  <c r="BD737" i="1"/>
  <c r="BE737" i="1" s="1"/>
  <c r="BD736" i="1"/>
  <c r="BE736" i="1" s="1"/>
  <c r="BD735" i="1"/>
  <c r="BE735" i="1" s="1"/>
  <c r="BD734" i="1"/>
  <c r="BE734" i="1" s="1"/>
  <c r="BD733" i="1"/>
  <c r="BE733" i="1" s="1"/>
  <c r="BD732" i="1"/>
  <c r="BE732" i="1" s="1"/>
  <c r="BD731" i="1"/>
  <c r="BE731" i="1" s="1"/>
  <c r="BD730" i="1"/>
  <c r="BE730" i="1" s="1"/>
  <c r="BD729" i="1"/>
  <c r="BE729" i="1" s="1"/>
  <c r="BD728" i="1"/>
  <c r="BE728" i="1" s="1"/>
  <c r="BD727" i="1"/>
  <c r="BE727" i="1" s="1"/>
  <c r="BD726" i="1"/>
  <c r="BE726" i="1" s="1"/>
  <c r="BD725" i="1"/>
  <c r="BE725" i="1" s="1"/>
  <c r="BD724" i="1"/>
  <c r="BE724" i="1" s="1"/>
  <c r="BD723" i="1"/>
  <c r="BE723" i="1" s="1"/>
  <c r="BD722" i="1"/>
  <c r="BE722" i="1" s="1"/>
  <c r="BD721" i="1"/>
  <c r="BE721" i="1" s="1"/>
  <c r="BD720" i="1"/>
  <c r="BE720" i="1" s="1"/>
  <c r="BD719" i="1"/>
  <c r="BE719" i="1" s="1"/>
  <c r="BD718" i="1"/>
  <c r="BE718" i="1" s="1"/>
  <c r="BD717" i="1"/>
  <c r="BE717" i="1" s="1"/>
  <c r="BD716" i="1"/>
  <c r="BE716" i="1" s="1"/>
  <c r="BD715" i="1"/>
  <c r="BE715" i="1" s="1"/>
  <c r="BD714" i="1"/>
  <c r="BE714" i="1" s="1"/>
  <c r="BD713" i="1"/>
  <c r="BE713" i="1" s="1"/>
  <c r="BD712" i="1"/>
  <c r="BE712" i="1" s="1"/>
  <c r="BD711" i="1"/>
  <c r="BE711" i="1" s="1"/>
  <c r="BD710" i="1"/>
  <c r="BE710" i="1" s="1"/>
  <c r="BD709" i="1"/>
  <c r="BE709" i="1" s="1"/>
  <c r="BD708" i="1"/>
  <c r="BE708" i="1" s="1"/>
  <c r="BD707" i="1"/>
  <c r="BE707" i="1" s="1"/>
  <c r="BD706" i="1"/>
  <c r="BE706" i="1" s="1"/>
  <c r="BD705" i="1"/>
  <c r="BE705" i="1" s="1"/>
  <c r="BD704" i="1"/>
  <c r="BE704" i="1" s="1"/>
  <c r="BD703" i="1"/>
  <c r="BE703" i="1" s="1"/>
  <c r="BD702" i="1"/>
  <c r="BE702" i="1" s="1"/>
  <c r="BD701" i="1"/>
  <c r="BE701" i="1" s="1"/>
  <c r="BD700" i="1"/>
  <c r="BE700" i="1" s="1"/>
  <c r="BD699" i="1"/>
  <c r="BE699" i="1" s="1"/>
  <c r="BD698" i="1"/>
  <c r="BE698" i="1" s="1"/>
  <c r="BD697" i="1"/>
  <c r="BE697" i="1" s="1"/>
  <c r="BD696" i="1"/>
  <c r="BE696" i="1" s="1"/>
  <c r="BD695" i="1"/>
  <c r="BE695" i="1" s="1"/>
  <c r="BD694" i="1"/>
  <c r="BE694" i="1" s="1"/>
  <c r="BD693" i="1"/>
  <c r="BE693" i="1" s="1"/>
  <c r="BD692" i="1"/>
  <c r="BE692" i="1" s="1"/>
  <c r="BD691" i="1"/>
  <c r="BE691" i="1" s="1"/>
  <c r="BD690" i="1"/>
  <c r="BE690" i="1" s="1"/>
  <c r="BD689" i="1"/>
  <c r="BE689" i="1" s="1"/>
  <c r="BD688" i="1"/>
  <c r="BE688" i="1" s="1"/>
  <c r="BD687" i="1"/>
  <c r="BE687" i="1" s="1"/>
  <c r="BD686" i="1"/>
  <c r="BE686" i="1" s="1"/>
  <c r="BD685" i="1"/>
  <c r="BE685" i="1" s="1"/>
  <c r="BD684" i="1"/>
  <c r="BE684" i="1" s="1"/>
  <c r="BD683" i="1"/>
  <c r="BE683" i="1" s="1"/>
  <c r="BD682" i="1"/>
  <c r="BE682" i="1" s="1"/>
  <c r="BD681" i="1"/>
  <c r="BE681" i="1" s="1"/>
  <c r="BD680" i="1"/>
  <c r="BE680" i="1" s="1"/>
  <c r="BD679" i="1"/>
  <c r="BE679" i="1" s="1"/>
  <c r="BD678" i="1"/>
  <c r="BE678" i="1" s="1"/>
  <c r="BD677" i="1"/>
  <c r="BE677" i="1" s="1"/>
  <c r="BD676" i="1"/>
  <c r="BE676" i="1" s="1"/>
  <c r="BD675" i="1"/>
  <c r="BE675" i="1" s="1"/>
  <c r="BD674" i="1"/>
  <c r="BE674" i="1" s="1"/>
  <c r="BD673" i="1"/>
  <c r="BE673" i="1" s="1"/>
  <c r="BD672" i="1"/>
  <c r="BE672" i="1" s="1"/>
  <c r="BD671" i="1"/>
  <c r="BE671" i="1" s="1"/>
  <c r="BD670" i="1"/>
  <c r="BE670" i="1" s="1"/>
  <c r="BD669" i="1"/>
  <c r="BE669" i="1" s="1"/>
  <c r="BD668" i="1"/>
  <c r="BE668" i="1" s="1"/>
  <c r="BD667" i="1"/>
  <c r="BE667" i="1" s="1"/>
  <c r="BD666" i="1"/>
  <c r="BE666" i="1" s="1"/>
  <c r="BD665" i="1"/>
  <c r="BE665" i="1" s="1"/>
  <c r="BD664" i="1"/>
  <c r="BE664" i="1" s="1"/>
  <c r="BD663" i="1"/>
  <c r="BE663" i="1" s="1"/>
  <c r="BD662" i="1"/>
  <c r="BE662" i="1" s="1"/>
  <c r="BD661" i="1"/>
  <c r="BE661" i="1" s="1"/>
  <c r="BD660" i="1"/>
  <c r="BE660" i="1" s="1"/>
  <c r="BD659" i="1"/>
  <c r="BE659" i="1" s="1"/>
  <c r="BD658" i="1"/>
  <c r="BE658" i="1" s="1"/>
  <c r="BD657" i="1"/>
  <c r="BE657" i="1" s="1"/>
  <c r="BD656" i="1"/>
  <c r="BE656" i="1" s="1"/>
  <c r="BD655" i="1"/>
  <c r="BE655" i="1" s="1"/>
  <c r="BD654" i="1"/>
  <c r="BE654" i="1" s="1"/>
  <c r="BD653" i="1"/>
  <c r="BE653" i="1" s="1"/>
  <c r="BD652" i="1"/>
  <c r="BE652" i="1" s="1"/>
  <c r="BD651" i="1"/>
  <c r="BE651" i="1" s="1"/>
  <c r="BD650" i="1"/>
  <c r="BE650" i="1" s="1"/>
  <c r="BD649" i="1"/>
  <c r="BE649" i="1" s="1"/>
  <c r="BD648" i="1"/>
  <c r="BE648" i="1" s="1"/>
  <c r="BD647" i="1"/>
  <c r="BE647" i="1" s="1"/>
  <c r="BD646" i="1"/>
  <c r="BE646" i="1" s="1"/>
  <c r="BD645" i="1"/>
  <c r="BE645" i="1" s="1"/>
  <c r="BD644" i="1"/>
  <c r="BE644" i="1" s="1"/>
  <c r="BD643" i="1"/>
  <c r="BE643" i="1" s="1"/>
  <c r="BD642" i="1"/>
  <c r="BE642" i="1" s="1"/>
  <c r="BD641" i="1"/>
  <c r="BE641" i="1" s="1"/>
  <c r="BD640" i="1"/>
  <c r="BE640" i="1" s="1"/>
  <c r="BD639" i="1"/>
  <c r="BE639" i="1" s="1"/>
  <c r="BD638" i="1"/>
  <c r="BE638" i="1" s="1"/>
  <c r="BD637" i="1"/>
  <c r="BE637" i="1" s="1"/>
  <c r="BD636" i="1"/>
  <c r="BE636" i="1" s="1"/>
  <c r="BD635" i="1"/>
  <c r="BE635" i="1" s="1"/>
  <c r="BD634" i="1"/>
  <c r="BE634" i="1" s="1"/>
  <c r="BD633" i="1"/>
  <c r="BE633" i="1" s="1"/>
  <c r="BD632" i="1"/>
  <c r="BE632" i="1" s="1"/>
  <c r="BD631" i="1"/>
  <c r="BE631" i="1" s="1"/>
  <c r="BD630" i="1"/>
  <c r="BE630" i="1" s="1"/>
  <c r="BD629" i="1"/>
  <c r="BE629" i="1" s="1"/>
  <c r="BD628" i="1"/>
  <c r="BE628" i="1" s="1"/>
  <c r="BD627" i="1"/>
  <c r="BE627" i="1" s="1"/>
  <c r="BD626" i="1"/>
  <c r="BE626" i="1" s="1"/>
  <c r="BD625" i="1"/>
  <c r="BE625" i="1" s="1"/>
  <c r="BD624" i="1"/>
  <c r="BE624" i="1" s="1"/>
  <c r="BD623" i="1"/>
  <c r="BE623" i="1" s="1"/>
  <c r="BD622" i="1"/>
  <c r="BE622" i="1" s="1"/>
  <c r="BD621" i="1"/>
  <c r="BE621" i="1" s="1"/>
  <c r="BD620" i="1"/>
  <c r="BE620" i="1" s="1"/>
  <c r="BD619" i="1"/>
  <c r="BE619" i="1" s="1"/>
  <c r="BD618" i="1"/>
  <c r="BE618" i="1" s="1"/>
  <c r="BD617" i="1"/>
  <c r="BE617" i="1" s="1"/>
  <c r="BD616" i="1"/>
  <c r="BE616" i="1" s="1"/>
  <c r="BD615" i="1"/>
  <c r="BE615" i="1" s="1"/>
  <c r="BD614" i="1"/>
  <c r="BE614" i="1" s="1"/>
  <c r="BD613" i="1"/>
  <c r="BE613" i="1" s="1"/>
  <c r="BD612" i="1"/>
  <c r="BE612" i="1" s="1"/>
  <c r="BD611" i="1"/>
  <c r="BE611" i="1" s="1"/>
  <c r="BD610" i="1"/>
  <c r="BE610" i="1" s="1"/>
  <c r="BD609" i="1"/>
  <c r="BE609" i="1" s="1"/>
  <c r="BD608" i="1"/>
  <c r="BE608" i="1" s="1"/>
  <c r="BD607" i="1"/>
  <c r="BE607" i="1" s="1"/>
  <c r="BD606" i="1"/>
  <c r="BE606" i="1" s="1"/>
  <c r="BD605" i="1"/>
  <c r="BE605" i="1" s="1"/>
  <c r="BD604" i="1"/>
  <c r="BE604" i="1" s="1"/>
  <c r="BD603" i="1"/>
  <c r="BE603" i="1" s="1"/>
  <c r="BD602" i="1"/>
  <c r="BE602" i="1" s="1"/>
  <c r="BD601" i="1"/>
  <c r="BE601" i="1" s="1"/>
  <c r="BD600" i="1"/>
  <c r="BE600" i="1" s="1"/>
  <c r="BD599" i="1"/>
  <c r="BE599" i="1" s="1"/>
  <c r="BD598" i="1"/>
  <c r="BE598" i="1" s="1"/>
  <c r="BD597" i="1"/>
  <c r="BE597" i="1" s="1"/>
  <c r="BD596" i="1"/>
  <c r="BE596" i="1" s="1"/>
  <c r="BD595" i="1"/>
  <c r="BE595" i="1" s="1"/>
  <c r="BD594" i="1"/>
  <c r="BE594" i="1" s="1"/>
  <c r="BD593" i="1"/>
  <c r="BE593" i="1" s="1"/>
  <c r="BD592" i="1"/>
  <c r="BE592" i="1" s="1"/>
  <c r="BD591" i="1"/>
  <c r="BE591" i="1" s="1"/>
  <c r="BD590" i="1"/>
  <c r="BE590" i="1" s="1"/>
  <c r="BD589" i="1"/>
  <c r="BE589" i="1" s="1"/>
  <c r="BD588" i="1"/>
  <c r="BE588" i="1" s="1"/>
  <c r="BD587" i="1"/>
  <c r="BE587" i="1" s="1"/>
  <c r="BD586" i="1"/>
  <c r="BE586" i="1" s="1"/>
  <c r="BD585" i="1"/>
  <c r="BE585" i="1" s="1"/>
  <c r="BD584" i="1"/>
  <c r="BE584" i="1" s="1"/>
  <c r="BD583" i="1"/>
  <c r="BE583" i="1" s="1"/>
  <c r="BD582" i="1"/>
  <c r="BE582" i="1" s="1"/>
  <c r="BD581" i="1"/>
  <c r="BE581" i="1" s="1"/>
  <c r="BD580" i="1"/>
  <c r="BE580" i="1" s="1"/>
  <c r="BD579" i="1"/>
  <c r="BE579" i="1" s="1"/>
  <c r="BD578" i="1"/>
  <c r="BE578" i="1" s="1"/>
  <c r="BD577" i="1"/>
  <c r="BE577" i="1" s="1"/>
  <c r="BD576" i="1"/>
  <c r="BE576" i="1" s="1"/>
  <c r="BD575" i="1"/>
  <c r="BE575" i="1" s="1"/>
  <c r="BD574" i="1"/>
  <c r="BE574" i="1" s="1"/>
  <c r="BD573" i="1"/>
  <c r="BE573" i="1" s="1"/>
  <c r="BD572" i="1"/>
  <c r="BE572" i="1" s="1"/>
  <c r="BD571" i="1"/>
  <c r="BE571" i="1" s="1"/>
  <c r="BD570" i="1"/>
  <c r="BE570" i="1" s="1"/>
  <c r="BD569" i="1"/>
  <c r="BE569" i="1" s="1"/>
  <c r="BD568" i="1"/>
  <c r="BE568" i="1" s="1"/>
  <c r="BD567" i="1"/>
  <c r="BE567" i="1" s="1"/>
  <c r="BD566" i="1"/>
  <c r="BE566" i="1" s="1"/>
  <c r="BD565" i="1"/>
  <c r="BE565" i="1" s="1"/>
  <c r="BD564" i="1"/>
  <c r="BE564" i="1" s="1"/>
  <c r="BD563" i="1"/>
  <c r="BE563" i="1" s="1"/>
  <c r="BD562" i="1"/>
  <c r="BE562" i="1" s="1"/>
  <c r="BD561" i="1"/>
  <c r="BE561" i="1" s="1"/>
  <c r="BD560" i="1"/>
  <c r="BE560" i="1" s="1"/>
  <c r="BD559" i="1"/>
  <c r="BE559" i="1" s="1"/>
  <c r="BD558" i="1"/>
  <c r="BE558" i="1" s="1"/>
  <c r="BD557" i="1"/>
  <c r="BE557" i="1" s="1"/>
  <c r="BD556" i="1"/>
  <c r="BE556" i="1" s="1"/>
  <c r="BD555" i="1"/>
  <c r="BE555" i="1" s="1"/>
  <c r="BD554" i="1"/>
  <c r="BE554" i="1" s="1"/>
  <c r="BD553" i="1"/>
  <c r="BE553" i="1" s="1"/>
  <c r="BD552" i="1"/>
  <c r="BE552" i="1" s="1"/>
  <c r="BD551" i="1"/>
  <c r="BE551" i="1" s="1"/>
  <c r="BD550" i="1"/>
  <c r="BE550" i="1" s="1"/>
  <c r="BD549" i="1"/>
  <c r="BE549" i="1" s="1"/>
  <c r="BD548" i="1"/>
  <c r="BE548" i="1" s="1"/>
  <c r="BD547" i="1"/>
  <c r="BE547" i="1" s="1"/>
  <c r="BD546" i="1"/>
  <c r="BE546" i="1" s="1"/>
  <c r="BD545" i="1"/>
  <c r="BE545" i="1" s="1"/>
  <c r="BD544" i="1"/>
  <c r="BE544" i="1" s="1"/>
  <c r="BD543" i="1"/>
  <c r="BE543" i="1" s="1"/>
  <c r="BD542" i="1"/>
  <c r="BE542" i="1" s="1"/>
  <c r="BD541" i="1"/>
  <c r="BE541" i="1" s="1"/>
  <c r="BD540" i="1"/>
  <c r="BE540" i="1" s="1"/>
  <c r="BD539" i="1"/>
  <c r="BE539" i="1" s="1"/>
  <c r="BD538" i="1"/>
  <c r="BE538" i="1" s="1"/>
  <c r="BD537" i="1"/>
  <c r="BE537" i="1" s="1"/>
  <c r="BD536" i="1"/>
  <c r="BE536" i="1" s="1"/>
  <c r="BD535" i="1"/>
  <c r="BE535" i="1" s="1"/>
  <c r="BD534" i="1"/>
  <c r="BE534" i="1" s="1"/>
  <c r="BD533" i="1"/>
  <c r="BE533" i="1" s="1"/>
  <c r="BD532" i="1"/>
  <c r="BE532" i="1" s="1"/>
  <c r="BD531" i="1"/>
  <c r="BE531" i="1" s="1"/>
  <c r="BD530" i="1"/>
  <c r="BE530" i="1" s="1"/>
  <c r="BD529" i="1"/>
  <c r="BE529" i="1" s="1"/>
  <c r="BD528" i="1"/>
  <c r="BE528" i="1" s="1"/>
  <c r="BD527" i="1"/>
  <c r="BE527" i="1" s="1"/>
  <c r="BD526" i="1"/>
  <c r="BE526" i="1" s="1"/>
  <c r="BD525" i="1"/>
  <c r="BE525" i="1" s="1"/>
  <c r="BD524" i="1"/>
  <c r="BE524" i="1" s="1"/>
  <c r="BD523" i="1"/>
  <c r="BE523" i="1" s="1"/>
  <c r="BD522" i="1"/>
  <c r="BE522" i="1" s="1"/>
  <c r="BD521" i="1"/>
  <c r="BE521" i="1" s="1"/>
  <c r="BD520" i="1"/>
  <c r="BE520" i="1" s="1"/>
  <c r="BD519" i="1"/>
  <c r="BE519" i="1" s="1"/>
  <c r="BD518" i="1"/>
  <c r="BE518" i="1" s="1"/>
  <c r="BD517" i="1"/>
  <c r="BE517" i="1" s="1"/>
  <c r="BD516" i="1"/>
  <c r="BE516" i="1" s="1"/>
  <c r="BD515" i="1"/>
  <c r="BE515" i="1" s="1"/>
  <c r="BD514" i="1"/>
  <c r="BE514" i="1" s="1"/>
  <c r="BD513" i="1"/>
  <c r="BE513" i="1" s="1"/>
  <c r="BD512" i="1"/>
  <c r="BE512" i="1" s="1"/>
  <c r="BD511" i="1"/>
  <c r="BE511" i="1" s="1"/>
  <c r="BD510" i="1"/>
  <c r="BE510" i="1" s="1"/>
  <c r="BD509" i="1"/>
  <c r="BE509" i="1" s="1"/>
  <c r="BD508" i="1"/>
  <c r="BE508" i="1" s="1"/>
  <c r="BD507" i="1"/>
  <c r="BE507" i="1" s="1"/>
  <c r="BD506" i="1"/>
  <c r="BE506" i="1" s="1"/>
  <c r="BD505" i="1"/>
  <c r="BE505" i="1" s="1"/>
  <c r="BD504" i="1"/>
  <c r="BE504" i="1" s="1"/>
  <c r="BD503" i="1"/>
  <c r="BE503" i="1" s="1"/>
  <c r="BD502" i="1"/>
  <c r="BE502" i="1" s="1"/>
  <c r="BD501" i="1"/>
  <c r="BE501" i="1" s="1"/>
  <c r="BD500" i="1"/>
  <c r="BE500" i="1" s="1"/>
  <c r="BD499" i="1"/>
  <c r="BE499" i="1" s="1"/>
  <c r="BD498" i="1"/>
  <c r="BE498" i="1" s="1"/>
  <c r="BD497" i="1"/>
  <c r="BE497" i="1" s="1"/>
  <c r="BD496" i="1"/>
  <c r="BE496" i="1" s="1"/>
  <c r="BD495" i="1"/>
  <c r="BE495" i="1" s="1"/>
  <c r="BD494" i="1"/>
  <c r="BE494" i="1" s="1"/>
  <c r="BD493" i="1"/>
  <c r="BE493" i="1" s="1"/>
  <c r="BD492" i="1"/>
  <c r="BE492" i="1" s="1"/>
  <c r="BD491" i="1"/>
  <c r="BE491" i="1" s="1"/>
  <c r="BD490" i="1"/>
  <c r="BE490" i="1" s="1"/>
  <c r="BD489" i="1"/>
  <c r="BE489" i="1" s="1"/>
  <c r="BD488" i="1"/>
  <c r="BE488" i="1" s="1"/>
  <c r="BD487" i="1"/>
  <c r="BE487" i="1" s="1"/>
  <c r="BD486" i="1"/>
  <c r="BE486" i="1" s="1"/>
  <c r="BD485" i="1"/>
  <c r="BE485" i="1" s="1"/>
  <c r="BD484" i="1"/>
  <c r="BE484" i="1" s="1"/>
  <c r="BD483" i="1"/>
  <c r="BE483" i="1" s="1"/>
  <c r="BD482" i="1"/>
  <c r="BE482" i="1" s="1"/>
  <c r="BD481" i="1"/>
  <c r="BE481" i="1" s="1"/>
  <c r="BD480" i="1"/>
  <c r="BE480" i="1" s="1"/>
  <c r="BD479" i="1"/>
  <c r="BE479" i="1" s="1"/>
  <c r="BD478" i="1"/>
  <c r="BE478" i="1" s="1"/>
  <c r="BD477" i="1"/>
  <c r="BE477" i="1" s="1"/>
  <c r="BD476" i="1"/>
  <c r="BE476" i="1" s="1"/>
  <c r="BD475" i="1"/>
  <c r="BE475" i="1" s="1"/>
  <c r="BD474" i="1"/>
  <c r="BE474" i="1" s="1"/>
  <c r="BD473" i="1"/>
  <c r="BE473" i="1" s="1"/>
  <c r="BD472" i="1"/>
  <c r="BE472" i="1" s="1"/>
  <c r="BD471" i="1"/>
  <c r="BE471" i="1" s="1"/>
  <c r="BD470" i="1"/>
  <c r="BE470" i="1" s="1"/>
  <c r="BD469" i="1"/>
  <c r="BE469" i="1" s="1"/>
  <c r="BD468" i="1"/>
  <c r="BE468" i="1" s="1"/>
  <c r="BD467" i="1"/>
  <c r="BE467" i="1" s="1"/>
  <c r="BD466" i="1"/>
  <c r="BE466" i="1" s="1"/>
  <c r="BD465" i="1"/>
  <c r="BE465" i="1" s="1"/>
  <c r="BD464" i="1"/>
  <c r="BE464" i="1" s="1"/>
  <c r="BD463" i="1"/>
  <c r="BE463" i="1" s="1"/>
  <c r="BD462" i="1"/>
  <c r="BE462" i="1" s="1"/>
  <c r="BD461" i="1"/>
  <c r="BE461" i="1" s="1"/>
  <c r="BD460" i="1"/>
  <c r="BE460" i="1" s="1"/>
  <c r="BD459" i="1"/>
  <c r="BE459" i="1" s="1"/>
  <c r="BD458" i="1"/>
  <c r="BE458" i="1" s="1"/>
  <c r="BD457" i="1"/>
  <c r="BE457" i="1" s="1"/>
  <c r="BD456" i="1"/>
  <c r="BE456" i="1" s="1"/>
  <c r="BD455" i="1"/>
  <c r="BE455" i="1" s="1"/>
  <c r="BD454" i="1"/>
  <c r="BE454" i="1" s="1"/>
  <c r="BD453" i="1"/>
  <c r="BE453" i="1" s="1"/>
  <c r="BD452" i="1"/>
  <c r="BE452" i="1" s="1"/>
  <c r="BD451" i="1"/>
  <c r="BE451" i="1" s="1"/>
  <c r="BD450" i="1"/>
  <c r="BE450" i="1" s="1"/>
  <c r="BD449" i="1"/>
  <c r="BE449" i="1" s="1"/>
  <c r="BD448" i="1"/>
  <c r="BE448" i="1" s="1"/>
  <c r="BD447" i="1"/>
  <c r="BE447" i="1" s="1"/>
  <c r="BD446" i="1"/>
  <c r="BE446" i="1" s="1"/>
  <c r="BD445" i="1"/>
  <c r="BE445" i="1" s="1"/>
  <c r="BD444" i="1"/>
  <c r="BE444" i="1" s="1"/>
  <c r="BD443" i="1"/>
  <c r="BE443" i="1" s="1"/>
  <c r="BD442" i="1"/>
  <c r="BE442" i="1" s="1"/>
  <c r="BD441" i="1"/>
  <c r="BE441" i="1" s="1"/>
  <c r="BD440" i="1"/>
  <c r="BE440" i="1" s="1"/>
  <c r="BD439" i="1"/>
  <c r="BE439" i="1" s="1"/>
  <c r="BD438" i="1"/>
  <c r="BE438" i="1" s="1"/>
  <c r="BD437" i="1"/>
  <c r="BE437" i="1" s="1"/>
  <c r="BD436" i="1"/>
  <c r="BE436" i="1" s="1"/>
  <c r="BD435" i="1"/>
  <c r="BE435" i="1" s="1"/>
  <c r="BD434" i="1"/>
  <c r="BE434" i="1" s="1"/>
  <c r="BD433" i="1"/>
  <c r="BE433" i="1" s="1"/>
  <c r="BD432" i="1"/>
  <c r="BE432" i="1" s="1"/>
  <c r="BD431" i="1"/>
  <c r="BE431" i="1" s="1"/>
  <c r="BD430" i="1"/>
  <c r="BE430" i="1" s="1"/>
  <c r="BD429" i="1"/>
  <c r="BE429" i="1" s="1"/>
  <c r="BD428" i="1"/>
  <c r="BE428" i="1" s="1"/>
  <c r="BD427" i="1"/>
  <c r="BE427" i="1" s="1"/>
  <c r="BD426" i="1"/>
  <c r="BE426" i="1" s="1"/>
  <c r="BD425" i="1"/>
  <c r="BE425" i="1" s="1"/>
  <c r="BD424" i="1"/>
  <c r="BE424" i="1" s="1"/>
  <c r="BD423" i="1"/>
  <c r="BE423" i="1" s="1"/>
  <c r="BD422" i="1"/>
  <c r="BE422" i="1" s="1"/>
  <c r="BD421" i="1"/>
  <c r="BE421" i="1" s="1"/>
  <c r="BD420" i="1"/>
  <c r="BE420" i="1" s="1"/>
  <c r="BD419" i="1"/>
  <c r="BE419" i="1" s="1"/>
  <c r="BD418" i="1"/>
  <c r="BE418" i="1" s="1"/>
  <c r="BD417" i="1"/>
  <c r="BE417" i="1" s="1"/>
  <c r="BD416" i="1"/>
  <c r="BE416" i="1" s="1"/>
  <c r="BD415" i="1"/>
  <c r="BE415" i="1" s="1"/>
  <c r="BD414" i="1"/>
  <c r="BE414" i="1" s="1"/>
  <c r="BD413" i="1"/>
  <c r="BE413" i="1" s="1"/>
  <c r="BD412" i="1"/>
  <c r="BE412" i="1" s="1"/>
  <c r="BD411" i="1"/>
  <c r="BE411" i="1" s="1"/>
  <c r="BD410" i="1"/>
  <c r="BE410" i="1" s="1"/>
  <c r="BD409" i="1"/>
  <c r="BE409" i="1" s="1"/>
  <c r="BD408" i="1"/>
  <c r="BE408" i="1" s="1"/>
  <c r="BD407" i="1"/>
  <c r="BE407" i="1" s="1"/>
  <c r="BD406" i="1"/>
  <c r="BE406" i="1" s="1"/>
  <c r="BD405" i="1"/>
  <c r="BE405" i="1" s="1"/>
  <c r="BD404" i="1"/>
  <c r="BE404" i="1" s="1"/>
  <c r="BD403" i="1"/>
  <c r="BE403" i="1" s="1"/>
  <c r="BD402" i="1"/>
  <c r="BE402" i="1" s="1"/>
  <c r="BD401" i="1"/>
  <c r="BE401" i="1" s="1"/>
  <c r="BD400" i="1"/>
  <c r="BE400" i="1" s="1"/>
  <c r="BD399" i="1"/>
  <c r="BE399" i="1" s="1"/>
  <c r="BD398" i="1"/>
  <c r="BE398" i="1" s="1"/>
  <c r="BD397" i="1"/>
  <c r="BE397" i="1" s="1"/>
  <c r="BD396" i="1"/>
  <c r="BE396" i="1" s="1"/>
  <c r="BD395" i="1"/>
  <c r="BE395" i="1" s="1"/>
  <c r="BD394" i="1"/>
  <c r="BE394" i="1" s="1"/>
  <c r="BD393" i="1"/>
  <c r="BE393" i="1" s="1"/>
  <c r="BD392" i="1"/>
  <c r="BE392" i="1" s="1"/>
  <c r="BD391" i="1"/>
  <c r="BE391" i="1" s="1"/>
  <c r="BD390" i="1"/>
  <c r="BE390" i="1" s="1"/>
  <c r="BD389" i="1"/>
  <c r="BE389" i="1" s="1"/>
  <c r="BD388" i="1"/>
  <c r="BE388" i="1" s="1"/>
  <c r="BD387" i="1"/>
  <c r="BE387" i="1" s="1"/>
  <c r="BD386" i="1"/>
  <c r="BE386" i="1" s="1"/>
  <c r="BD385" i="1"/>
  <c r="BE385" i="1" s="1"/>
  <c r="BD384" i="1"/>
  <c r="BE384" i="1" s="1"/>
  <c r="BD383" i="1"/>
  <c r="BE383" i="1" s="1"/>
  <c r="BD382" i="1"/>
  <c r="BE382" i="1" s="1"/>
  <c r="BD381" i="1"/>
  <c r="BE381" i="1" s="1"/>
  <c r="BD380" i="1"/>
  <c r="BE380" i="1" s="1"/>
  <c r="BD379" i="1"/>
  <c r="BE379" i="1" s="1"/>
  <c r="BD378" i="1"/>
  <c r="BE378" i="1" s="1"/>
  <c r="BD377" i="1"/>
  <c r="BE377" i="1" s="1"/>
  <c r="BD376" i="1"/>
  <c r="BE376" i="1" s="1"/>
  <c r="BD375" i="1"/>
  <c r="BE375" i="1" s="1"/>
  <c r="BD374" i="1"/>
  <c r="BE374" i="1" s="1"/>
  <c r="BD373" i="1"/>
  <c r="BE373" i="1" s="1"/>
  <c r="BD372" i="1"/>
  <c r="BE372" i="1" s="1"/>
  <c r="BD371" i="1"/>
  <c r="BE371" i="1" s="1"/>
  <c r="BD370" i="1"/>
  <c r="BE370" i="1" s="1"/>
  <c r="BD369" i="1"/>
  <c r="BE369" i="1" s="1"/>
  <c r="BD368" i="1"/>
  <c r="BE368" i="1" s="1"/>
  <c r="BD367" i="1"/>
  <c r="BE367" i="1" s="1"/>
  <c r="BD366" i="1"/>
  <c r="BE366" i="1" s="1"/>
  <c r="BD365" i="1"/>
  <c r="BE365" i="1" s="1"/>
  <c r="BD364" i="1"/>
  <c r="BE364" i="1" s="1"/>
  <c r="BD363" i="1"/>
  <c r="BE363" i="1" s="1"/>
  <c r="BD362" i="1"/>
  <c r="BE362" i="1" s="1"/>
  <c r="BD361" i="1"/>
  <c r="BE361" i="1" s="1"/>
  <c r="BD360" i="1"/>
  <c r="BE360" i="1" s="1"/>
  <c r="BD359" i="1"/>
  <c r="BE359" i="1" s="1"/>
  <c r="BD358" i="1"/>
  <c r="BE358" i="1" s="1"/>
  <c r="BD357" i="1"/>
  <c r="BE357" i="1" s="1"/>
  <c r="BD356" i="1"/>
  <c r="BE356" i="1" s="1"/>
  <c r="BD355" i="1"/>
  <c r="BE355" i="1" s="1"/>
  <c r="BD354" i="1"/>
  <c r="BE354" i="1" s="1"/>
  <c r="BD353" i="1"/>
  <c r="BE353" i="1" s="1"/>
  <c r="BD352" i="1"/>
  <c r="BE352" i="1" s="1"/>
  <c r="BD351" i="1"/>
  <c r="BE351" i="1" s="1"/>
  <c r="BD350" i="1"/>
  <c r="BE350" i="1" s="1"/>
  <c r="BD349" i="1"/>
  <c r="BE349" i="1" s="1"/>
  <c r="BD348" i="1"/>
  <c r="BE348" i="1" s="1"/>
  <c r="BD347" i="1"/>
  <c r="BE347" i="1" s="1"/>
  <c r="BD346" i="1"/>
  <c r="BE346" i="1" s="1"/>
  <c r="BD345" i="1"/>
  <c r="BE345" i="1" s="1"/>
  <c r="BD344" i="1"/>
  <c r="BE344" i="1" s="1"/>
  <c r="BD343" i="1"/>
  <c r="BE343" i="1" s="1"/>
  <c r="BD342" i="1"/>
  <c r="BE342" i="1" s="1"/>
  <c r="BD341" i="1"/>
  <c r="BE341" i="1" s="1"/>
  <c r="BD340" i="1"/>
  <c r="BE340" i="1" s="1"/>
  <c r="BD339" i="1"/>
  <c r="BE339" i="1" s="1"/>
  <c r="BD338" i="1"/>
  <c r="BE338" i="1" s="1"/>
  <c r="BD337" i="1"/>
  <c r="BE337" i="1" s="1"/>
  <c r="BD336" i="1"/>
  <c r="BE336" i="1" s="1"/>
  <c r="BD335" i="1"/>
  <c r="BE335" i="1" s="1"/>
  <c r="BD334" i="1"/>
  <c r="BE334" i="1" s="1"/>
  <c r="BD333" i="1"/>
  <c r="BE333" i="1" s="1"/>
  <c r="BD332" i="1"/>
  <c r="BE332" i="1" s="1"/>
  <c r="BD331" i="1"/>
  <c r="BE331" i="1" s="1"/>
  <c r="BD330" i="1"/>
  <c r="BE330" i="1" s="1"/>
  <c r="BD329" i="1"/>
  <c r="BE329" i="1" s="1"/>
  <c r="BD328" i="1"/>
  <c r="BE328" i="1" s="1"/>
  <c r="BD327" i="1"/>
  <c r="BE327" i="1" s="1"/>
  <c r="BD326" i="1"/>
  <c r="BE326" i="1" s="1"/>
  <c r="BD325" i="1"/>
  <c r="BE325" i="1" s="1"/>
  <c r="BD324" i="1"/>
  <c r="BE324" i="1" s="1"/>
  <c r="BD323" i="1"/>
  <c r="BE323" i="1" s="1"/>
  <c r="BD322" i="1"/>
  <c r="BE322" i="1" s="1"/>
  <c r="BD321" i="1"/>
  <c r="BE321" i="1" s="1"/>
  <c r="BD320" i="1"/>
  <c r="BE320" i="1" s="1"/>
  <c r="BD319" i="1"/>
  <c r="BE319" i="1" s="1"/>
  <c r="BD318" i="1"/>
  <c r="BE318" i="1" s="1"/>
  <c r="BD317" i="1"/>
  <c r="BE317" i="1" s="1"/>
  <c r="BD316" i="1"/>
  <c r="BE316" i="1" s="1"/>
  <c r="BD315" i="1"/>
  <c r="BE315" i="1" s="1"/>
  <c r="BD314" i="1"/>
  <c r="BE314" i="1" s="1"/>
  <c r="BD313" i="1"/>
  <c r="BE313" i="1" s="1"/>
  <c r="BD312" i="1"/>
  <c r="BE312" i="1" s="1"/>
  <c r="BD311" i="1"/>
  <c r="BE311" i="1" s="1"/>
  <c r="BD310" i="1"/>
  <c r="BE310" i="1" s="1"/>
  <c r="BD309" i="1"/>
  <c r="BE309" i="1" s="1"/>
  <c r="BD308" i="1"/>
  <c r="BE308" i="1" s="1"/>
  <c r="BD307" i="1"/>
  <c r="BE307" i="1" s="1"/>
  <c r="BD306" i="1"/>
  <c r="BE306" i="1" s="1"/>
  <c r="BD305" i="1"/>
  <c r="BE305" i="1" s="1"/>
  <c r="BD304" i="1"/>
  <c r="BE304" i="1" s="1"/>
  <c r="BD303" i="1"/>
  <c r="BE303" i="1" s="1"/>
  <c r="BD302" i="1"/>
  <c r="BE302" i="1" s="1"/>
  <c r="BD301" i="1"/>
  <c r="BE301" i="1" s="1"/>
  <c r="BD300" i="1"/>
  <c r="BE300" i="1" s="1"/>
  <c r="BD299" i="1"/>
  <c r="BE299" i="1" s="1"/>
  <c r="BD298" i="1"/>
  <c r="BE298" i="1" s="1"/>
  <c r="BD297" i="1"/>
  <c r="BE297" i="1" s="1"/>
  <c r="BD296" i="1"/>
  <c r="BE296" i="1" s="1"/>
  <c r="BD295" i="1"/>
  <c r="BE295" i="1" s="1"/>
  <c r="BD294" i="1"/>
  <c r="BE294" i="1" s="1"/>
  <c r="BD293" i="1"/>
  <c r="BE293" i="1" s="1"/>
  <c r="BD292" i="1"/>
  <c r="BE292" i="1" s="1"/>
  <c r="BD291" i="1"/>
  <c r="BE291" i="1" s="1"/>
  <c r="BD290" i="1"/>
  <c r="BE290" i="1" s="1"/>
  <c r="BD289" i="1"/>
  <c r="BE289" i="1" s="1"/>
  <c r="BD288" i="1"/>
  <c r="BE288" i="1" s="1"/>
  <c r="BD287" i="1"/>
  <c r="BE287" i="1" s="1"/>
  <c r="BD286" i="1"/>
  <c r="BE286" i="1" s="1"/>
  <c r="BD285" i="1"/>
  <c r="BE285" i="1" s="1"/>
  <c r="BD284" i="1"/>
  <c r="BE284" i="1" s="1"/>
  <c r="BD283" i="1"/>
  <c r="BE283" i="1" s="1"/>
  <c r="BD282" i="1"/>
  <c r="BE282" i="1" s="1"/>
  <c r="BD281" i="1"/>
  <c r="BE281" i="1" s="1"/>
  <c r="BD280" i="1"/>
  <c r="BE280" i="1" s="1"/>
  <c r="BD279" i="1"/>
  <c r="BE279" i="1" s="1"/>
  <c r="BD278" i="1"/>
  <c r="BE278" i="1" s="1"/>
  <c r="BD277" i="1"/>
  <c r="BE277" i="1" s="1"/>
  <c r="BD276" i="1"/>
  <c r="BE276" i="1" s="1"/>
  <c r="BD275" i="1"/>
  <c r="BE275" i="1" s="1"/>
  <c r="BD274" i="1"/>
  <c r="BE274" i="1" s="1"/>
  <c r="BD273" i="1"/>
  <c r="BE273" i="1" s="1"/>
  <c r="BD272" i="1"/>
  <c r="BE272" i="1" s="1"/>
  <c r="BD271" i="1"/>
  <c r="BE271" i="1" s="1"/>
  <c r="BD270" i="1"/>
  <c r="BE270" i="1" s="1"/>
  <c r="BD269" i="1"/>
  <c r="BE269" i="1" s="1"/>
  <c r="BD268" i="1"/>
  <c r="BE268" i="1" s="1"/>
  <c r="BD267" i="1"/>
  <c r="BE267" i="1" s="1"/>
  <c r="BD266" i="1"/>
  <c r="BE266" i="1" s="1"/>
  <c r="BD265" i="1"/>
  <c r="BE265" i="1" s="1"/>
  <c r="BD264" i="1"/>
  <c r="BE264" i="1" s="1"/>
  <c r="BD263" i="1"/>
  <c r="BE263" i="1" s="1"/>
  <c r="BD262" i="1"/>
  <c r="BE262" i="1" s="1"/>
  <c r="BD261" i="1"/>
  <c r="BE261" i="1" s="1"/>
  <c r="BD260" i="1"/>
  <c r="BE260" i="1" s="1"/>
  <c r="BD259" i="1"/>
  <c r="BE259" i="1" s="1"/>
  <c r="BD258" i="1"/>
  <c r="BE258" i="1" s="1"/>
  <c r="BD257" i="1"/>
  <c r="BE257" i="1" s="1"/>
  <c r="BD256" i="1"/>
  <c r="BE256" i="1" s="1"/>
  <c r="BD255" i="1"/>
  <c r="BE255" i="1" s="1"/>
  <c r="BD254" i="1"/>
  <c r="BE254" i="1" s="1"/>
  <c r="BD253" i="1"/>
  <c r="BE253" i="1" s="1"/>
  <c r="BD252" i="1"/>
  <c r="BE252" i="1" s="1"/>
  <c r="BD251" i="1"/>
  <c r="BE251" i="1" s="1"/>
  <c r="BD250" i="1"/>
  <c r="BE250" i="1" s="1"/>
  <c r="BD249" i="1"/>
  <c r="BE249" i="1" s="1"/>
  <c r="BD248" i="1"/>
  <c r="BE248" i="1" s="1"/>
  <c r="BD247" i="1"/>
  <c r="BE247" i="1" s="1"/>
  <c r="BD246" i="1"/>
  <c r="BE246" i="1" s="1"/>
  <c r="BD245" i="1"/>
  <c r="BE245" i="1" s="1"/>
  <c r="BD244" i="1"/>
  <c r="BE244" i="1" s="1"/>
  <c r="BD243" i="1"/>
  <c r="BE243" i="1" s="1"/>
  <c r="BD242" i="1"/>
  <c r="BE242" i="1" s="1"/>
  <c r="BD241" i="1"/>
  <c r="BE241" i="1" s="1"/>
  <c r="BD240" i="1"/>
  <c r="BE240" i="1" s="1"/>
  <c r="BD239" i="1"/>
  <c r="BE239" i="1" s="1"/>
  <c r="BD238" i="1"/>
  <c r="BE238" i="1" s="1"/>
  <c r="BD237" i="1"/>
  <c r="BE237" i="1" s="1"/>
  <c r="BD236" i="1"/>
  <c r="BE236" i="1" s="1"/>
  <c r="BD235" i="1"/>
  <c r="BE235" i="1" s="1"/>
  <c r="BD234" i="1"/>
  <c r="BE234" i="1" s="1"/>
  <c r="BD233" i="1"/>
  <c r="BE233" i="1" s="1"/>
  <c r="BD232" i="1"/>
  <c r="BE232" i="1" s="1"/>
  <c r="BD231" i="1"/>
  <c r="BE231" i="1" s="1"/>
  <c r="BD230" i="1"/>
  <c r="BE230" i="1" s="1"/>
  <c r="BD229" i="1"/>
  <c r="BE229" i="1" s="1"/>
  <c r="BD228" i="1"/>
  <c r="BE228" i="1" s="1"/>
  <c r="BD227" i="1"/>
  <c r="BE227" i="1" s="1"/>
  <c r="BD226" i="1"/>
  <c r="BE226" i="1" s="1"/>
  <c r="BD225" i="1"/>
  <c r="BE225" i="1" s="1"/>
  <c r="BD224" i="1"/>
  <c r="BE224" i="1" s="1"/>
  <c r="BD223" i="1"/>
  <c r="BE223" i="1" s="1"/>
  <c r="BD222" i="1"/>
  <c r="BE222" i="1" s="1"/>
  <c r="BD221" i="1"/>
  <c r="BE221" i="1" s="1"/>
  <c r="BD220" i="1"/>
  <c r="BE220" i="1" s="1"/>
  <c r="BD219" i="1"/>
  <c r="BE219" i="1" s="1"/>
  <c r="BD218" i="1"/>
  <c r="BE218" i="1" s="1"/>
  <c r="BD217" i="1"/>
  <c r="BE217" i="1" s="1"/>
  <c r="BD216" i="1"/>
  <c r="BE216" i="1" s="1"/>
  <c r="BD215" i="1"/>
  <c r="BE215" i="1" s="1"/>
  <c r="BD214" i="1"/>
  <c r="BE214" i="1" s="1"/>
  <c r="BD213" i="1"/>
  <c r="BE213" i="1" s="1"/>
  <c r="BD212" i="1"/>
  <c r="BE212" i="1" s="1"/>
  <c r="BD211" i="1"/>
  <c r="BE211" i="1" s="1"/>
  <c r="BD210" i="1"/>
  <c r="BE210" i="1" s="1"/>
  <c r="BD209" i="1"/>
  <c r="BE209" i="1" s="1"/>
  <c r="BD208" i="1"/>
  <c r="BE208" i="1" s="1"/>
  <c r="BD207" i="1"/>
  <c r="BE207" i="1" s="1"/>
  <c r="BD206" i="1"/>
  <c r="BE206" i="1" s="1"/>
  <c r="BD205" i="1"/>
  <c r="BE205" i="1" s="1"/>
  <c r="BD204" i="1"/>
  <c r="BE204" i="1" s="1"/>
  <c r="BD203" i="1"/>
  <c r="BE203" i="1" s="1"/>
  <c r="BD202" i="1"/>
  <c r="BE202" i="1" s="1"/>
  <c r="BD201" i="1"/>
  <c r="BE201" i="1" s="1"/>
  <c r="BD200" i="1"/>
  <c r="BE200" i="1" s="1"/>
  <c r="BD199" i="1"/>
  <c r="BE199" i="1" s="1"/>
  <c r="BD198" i="1"/>
  <c r="BE198" i="1" s="1"/>
  <c r="BD197" i="1"/>
  <c r="BE197" i="1" s="1"/>
  <c r="BD196" i="1"/>
  <c r="BE196" i="1" s="1"/>
  <c r="BD195" i="1"/>
  <c r="BE195" i="1" s="1"/>
  <c r="BD194" i="1"/>
  <c r="BE194" i="1" s="1"/>
  <c r="BD193" i="1"/>
  <c r="BE193" i="1" s="1"/>
  <c r="BD192" i="1"/>
  <c r="BE192" i="1" s="1"/>
  <c r="BD191" i="1"/>
  <c r="BE191" i="1" s="1"/>
  <c r="BD190" i="1"/>
  <c r="BE190" i="1" s="1"/>
  <c r="BD189" i="1"/>
  <c r="BE189" i="1" s="1"/>
  <c r="BD188" i="1"/>
  <c r="BE188" i="1" s="1"/>
  <c r="BD187" i="1"/>
  <c r="BE187" i="1" s="1"/>
  <c r="BD186" i="1"/>
  <c r="BE186" i="1" s="1"/>
  <c r="BD185" i="1"/>
  <c r="BE185" i="1" s="1"/>
  <c r="BD184" i="1"/>
  <c r="BE184" i="1" s="1"/>
  <c r="BD183" i="1"/>
  <c r="BE183" i="1" s="1"/>
  <c r="BD182" i="1"/>
  <c r="BE182" i="1" s="1"/>
  <c r="BD181" i="1"/>
  <c r="BE181" i="1" s="1"/>
  <c r="BD180" i="1"/>
  <c r="BE180" i="1" s="1"/>
  <c r="BD179" i="1"/>
  <c r="BE179" i="1" s="1"/>
  <c r="BD178" i="1"/>
  <c r="BE178" i="1" s="1"/>
  <c r="BD177" i="1"/>
  <c r="BE177" i="1" s="1"/>
  <c r="BD176" i="1"/>
  <c r="BE176" i="1" s="1"/>
  <c r="BD175" i="1"/>
  <c r="BE175" i="1" s="1"/>
  <c r="BD174" i="1"/>
  <c r="BE174" i="1" s="1"/>
  <c r="BD173" i="1"/>
  <c r="BE173" i="1" s="1"/>
  <c r="BD172" i="1"/>
  <c r="BE172" i="1" s="1"/>
  <c r="BD171" i="1"/>
  <c r="BE171" i="1" s="1"/>
  <c r="BD170" i="1"/>
  <c r="BE170" i="1" s="1"/>
  <c r="BD169" i="1"/>
  <c r="BE169" i="1" s="1"/>
  <c r="BD168" i="1"/>
  <c r="BE168" i="1" s="1"/>
  <c r="BD167" i="1"/>
  <c r="BE167" i="1" s="1"/>
  <c r="BD166" i="1"/>
  <c r="BE166" i="1" s="1"/>
  <c r="BD165" i="1"/>
  <c r="BE165" i="1" s="1"/>
  <c r="BD164" i="1"/>
  <c r="BE164" i="1" s="1"/>
  <c r="BD163" i="1"/>
  <c r="BE163" i="1" s="1"/>
  <c r="BD162" i="1"/>
  <c r="BE162" i="1" s="1"/>
  <c r="BD161" i="1"/>
  <c r="BE161" i="1" s="1"/>
  <c r="BD160" i="1"/>
  <c r="BE160" i="1" s="1"/>
  <c r="BD159" i="1"/>
  <c r="BE159" i="1" s="1"/>
  <c r="BD158" i="1"/>
  <c r="BE158" i="1" s="1"/>
  <c r="BD157" i="1"/>
  <c r="BE157" i="1" s="1"/>
  <c r="BD156" i="1"/>
  <c r="BE156" i="1" s="1"/>
  <c r="BD155" i="1"/>
  <c r="BE155" i="1" s="1"/>
  <c r="BD154" i="1"/>
  <c r="BE154" i="1" s="1"/>
  <c r="BD153" i="1"/>
  <c r="BE153" i="1" s="1"/>
  <c r="BD152" i="1"/>
  <c r="BE152" i="1" s="1"/>
  <c r="BD151" i="1"/>
  <c r="BE151" i="1" s="1"/>
  <c r="BD150" i="1"/>
  <c r="BE150" i="1" s="1"/>
  <c r="BD149" i="1"/>
  <c r="BE149" i="1" s="1"/>
  <c r="BD148" i="1"/>
  <c r="BE148" i="1" s="1"/>
  <c r="BD147" i="1"/>
  <c r="BE147" i="1" s="1"/>
  <c r="BD146" i="1"/>
  <c r="BE146" i="1" s="1"/>
  <c r="BD145" i="1"/>
  <c r="BE145" i="1" s="1"/>
  <c r="BD144" i="1"/>
  <c r="BE144" i="1" s="1"/>
  <c r="BD143" i="1"/>
  <c r="BE143" i="1" s="1"/>
  <c r="BD142" i="1"/>
  <c r="BE142" i="1" s="1"/>
  <c r="BD141" i="1"/>
  <c r="BE141" i="1" s="1"/>
  <c r="BD140" i="1"/>
  <c r="BE140" i="1" s="1"/>
  <c r="BD139" i="1"/>
  <c r="BE139" i="1" s="1"/>
  <c r="BD138" i="1"/>
  <c r="BE138" i="1" s="1"/>
  <c r="BD137" i="1"/>
  <c r="BE137" i="1" s="1"/>
  <c r="BD136" i="1"/>
  <c r="BE136" i="1" s="1"/>
  <c r="BD135" i="1"/>
  <c r="BE135" i="1" s="1"/>
  <c r="BD134" i="1"/>
  <c r="BE134" i="1" s="1"/>
  <c r="BD133" i="1"/>
  <c r="BE133" i="1" s="1"/>
  <c r="BD132" i="1"/>
  <c r="BE132" i="1" s="1"/>
  <c r="BD131" i="1"/>
  <c r="BE131" i="1" s="1"/>
  <c r="BD130" i="1"/>
  <c r="BE130" i="1" s="1"/>
  <c r="BD129" i="1"/>
  <c r="BE129" i="1" s="1"/>
  <c r="BD128" i="1"/>
  <c r="BE128" i="1" s="1"/>
  <c r="BD127" i="1"/>
  <c r="BE127" i="1" s="1"/>
  <c r="BD126" i="1"/>
  <c r="BE126" i="1" s="1"/>
  <c r="BD125" i="1"/>
  <c r="BE125" i="1" s="1"/>
  <c r="BD124" i="1"/>
  <c r="BE124" i="1" s="1"/>
  <c r="BD123" i="1"/>
  <c r="BE123" i="1" s="1"/>
  <c r="BD122" i="1"/>
  <c r="BE122" i="1" s="1"/>
  <c r="BD121" i="1"/>
  <c r="BE121" i="1" s="1"/>
  <c r="BD120" i="1"/>
  <c r="BE120" i="1" s="1"/>
  <c r="BD119" i="1"/>
  <c r="BE119" i="1" s="1"/>
  <c r="BD118" i="1"/>
  <c r="BE118" i="1" s="1"/>
  <c r="BD117" i="1"/>
  <c r="BE117" i="1" s="1"/>
  <c r="BD116" i="1"/>
  <c r="BE116" i="1" s="1"/>
  <c r="BD115" i="1"/>
  <c r="BE115" i="1" s="1"/>
  <c r="BD114" i="1"/>
  <c r="BE114" i="1" s="1"/>
  <c r="BD113" i="1"/>
  <c r="BE113" i="1" s="1"/>
  <c r="BD112" i="1"/>
  <c r="BE112" i="1" s="1"/>
  <c r="BD111" i="1"/>
  <c r="BE111" i="1" s="1"/>
  <c r="BD110" i="1"/>
  <c r="BE110" i="1" s="1"/>
  <c r="BD109" i="1"/>
  <c r="BE109" i="1" s="1"/>
  <c r="BD108" i="1"/>
  <c r="BE108" i="1" s="1"/>
  <c r="BD107" i="1"/>
  <c r="BE107" i="1" s="1"/>
  <c r="BD106" i="1"/>
  <c r="BE106" i="1" s="1"/>
  <c r="BD105" i="1"/>
  <c r="BE105" i="1" s="1"/>
  <c r="BD104" i="1"/>
  <c r="BE104" i="1" s="1"/>
  <c r="BD103" i="1"/>
  <c r="BE103" i="1" s="1"/>
  <c r="BD102" i="1"/>
  <c r="BE102" i="1" s="1"/>
  <c r="BD101" i="1"/>
  <c r="BE101" i="1" s="1"/>
  <c r="BD100" i="1"/>
  <c r="BE100" i="1" s="1"/>
  <c r="BD99" i="1"/>
  <c r="BE99" i="1" s="1"/>
  <c r="BD98" i="1"/>
  <c r="BE98" i="1" s="1"/>
  <c r="BD97" i="1"/>
  <c r="BE97" i="1" s="1"/>
  <c r="BD96" i="1"/>
  <c r="BE96" i="1" s="1"/>
  <c r="BD95" i="1"/>
  <c r="BE95" i="1" s="1"/>
  <c r="BD94" i="1"/>
  <c r="BE94" i="1" s="1"/>
  <c r="BD93" i="1"/>
  <c r="BE93" i="1" s="1"/>
  <c r="BD92" i="1"/>
  <c r="BE92" i="1" s="1"/>
  <c r="BD91" i="1"/>
  <c r="BE91" i="1" s="1"/>
  <c r="BD90" i="1"/>
  <c r="BE90" i="1" s="1"/>
  <c r="BD89" i="1"/>
  <c r="BE89" i="1" s="1"/>
  <c r="BD88" i="1"/>
  <c r="BE88" i="1" s="1"/>
  <c r="BD87" i="1"/>
  <c r="BE87" i="1" s="1"/>
  <c r="BD86" i="1"/>
  <c r="BE86" i="1" s="1"/>
  <c r="BD85" i="1"/>
  <c r="BE85" i="1" s="1"/>
  <c r="BD84" i="1"/>
  <c r="BE84" i="1" s="1"/>
  <c r="BD83" i="1"/>
  <c r="BE83" i="1" s="1"/>
  <c r="BD82" i="1"/>
  <c r="BE82" i="1" s="1"/>
  <c r="BD81" i="1"/>
  <c r="BE81" i="1" s="1"/>
  <c r="BD80" i="1"/>
  <c r="BE80" i="1" s="1"/>
  <c r="BD79" i="1"/>
  <c r="BE79" i="1" s="1"/>
  <c r="BD78" i="1"/>
  <c r="BE78" i="1" s="1"/>
  <c r="BD77" i="1"/>
  <c r="BE77" i="1" s="1"/>
  <c r="BD76" i="1"/>
  <c r="BE76" i="1" s="1"/>
  <c r="BD75" i="1"/>
  <c r="BE75" i="1" s="1"/>
  <c r="BD74" i="1"/>
  <c r="BE74" i="1" s="1"/>
  <c r="BD73" i="1"/>
  <c r="BE73" i="1" s="1"/>
  <c r="BD72" i="1"/>
  <c r="BE72" i="1" s="1"/>
  <c r="BD71" i="1"/>
  <c r="BE71" i="1" s="1"/>
  <c r="BD70" i="1"/>
  <c r="BE70" i="1" s="1"/>
  <c r="BD69" i="1"/>
  <c r="BE69" i="1" s="1"/>
  <c r="BD68" i="1"/>
  <c r="BE68" i="1" s="1"/>
  <c r="BD67" i="1"/>
  <c r="BE67" i="1" s="1"/>
  <c r="BD66" i="1"/>
  <c r="BE66" i="1" s="1"/>
  <c r="BD65" i="1"/>
  <c r="BE65" i="1" s="1"/>
  <c r="BD64" i="1"/>
  <c r="BE64" i="1" s="1"/>
  <c r="BD63" i="1"/>
  <c r="BE63" i="1" s="1"/>
  <c r="BD62" i="1"/>
  <c r="BE62" i="1" s="1"/>
  <c r="BD61" i="1"/>
  <c r="BE61" i="1" s="1"/>
  <c r="BD60" i="1"/>
  <c r="BE60" i="1" s="1"/>
  <c r="BD59" i="1"/>
  <c r="BE59" i="1" s="1"/>
  <c r="BD58" i="1"/>
  <c r="BE58" i="1" s="1"/>
  <c r="BD57" i="1"/>
  <c r="BE57" i="1" s="1"/>
  <c r="BD56" i="1"/>
  <c r="BE56" i="1" s="1"/>
  <c r="BD55" i="1"/>
  <c r="BE55" i="1" s="1"/>
  <c r="BD54" i="1"/>
  <c r="BE54" i="1" s="1"/>
  <c r="BD53" i="1"/>
  <c r="BE53" i="1" s="1"/>
  <c r="BD52" i="1"/>
  <c r="BE52" i="1" s="1"/>
  <c r="BD51" i="1"/>
  <c r="BE51" i="1" s="1"/>
  <c r="BD50" i="1"/>
  <c r="BE50" i="1" s="1"/>
  <c r="BD49" i="1"/>
  <c r="BE49" i="1" s="1"/>
  <c r="BD48" i="1"/>
  <c r="BE48" i="1" s="1"/>
  <c r="BD47" i="1"/>
  <c r="BE47" i="1" s="1"/>
  <c r="BD46" i="1"/>
  <c r="BE46" i="1" s="1"/>
  <c r="BD45" i="1"/>
  <c r="BE45" i="1" s="1"/>
  <c r="BD44" i="1"/>
  <c r="BE44" i="1" s="1"/>
  <c r="BB1011" i="1"/>
  <c r="BC1011" i="1" s="1"/>
  <c r="BB1010" i="1"/>
  <c r="BC1010" i="1" s="1"/>
  <c r="BB1009" i="1"/>
  <c r="BC1009" i="1" s="1"/>
  <c r="BB1008" i="1"/>
  <c r="BC1008" i="1" s="1"/>
  <c r="BB1007" i="1"/>
  <c r="BC1007" i="1" s="1"/>
  <c r="BB1006" i="1"/>
  <c r="BC1006" i="1" s="1"/>
  <c r="BB1005" i="1"/>
  <c r="BC1005" i="1" s="1"/>
  <c r="BB1004" i="1"/>
  <c r="BC1004" i="1" s="1"/>
  <c r="BB1003" i="1"/>
  <c r="BC1003" i="1" s="1"/>
  <c r="BB1002" i="1"/>
  <c r="BC1002" i="1" s="1"/>
  <c r="BB1001" i="1"/>
  <c r="BC1001" i="1" s="1"/>
  <c r="BB1000" i="1"/>
  <c r="BC1000" i="1" s="1"/>
  <c r="BB999" i="1"/>
  <c r="BC999" i="1" s="1"/>
  <c r="BB998" i="1"/>
  <c r="BC998" i="1" s="1"/>
  <c r="BB997" i="1"/>
  <c r="BC997" i="1" s="1"/>
  <c r="BB996" i="1"/>
  <c r="BC996" i="1" s="1"/>
  <c r="BB995" i="1"/>
  <c r="BC995" i="1" s="1"/>
  <c r="BB994" i="1"/>
  <c r="BC994" i="1" s="1"/>
  <c r="BB993" i="1"/>
  <c r="BC993" i="1" s="1"/>
  <c r="BB992" i="1"/>
  <c r="BC992" i="1" s="1"/>
  <c r="BB991" i="1"/>
  <c r="BC991" i="1" s="1"/>
  <c r="BB990" i="1"/>
  <c r="BC990" i="1" s="1"/>
  <c r="BB989" i="1"/>
  <c r="BC989" i="1" s="1"/>
  <c r="BB988" i="1"/>
  <c r="BC988" i="1" s="1"/>
  <c r="BB987" i="1"/>
  <c r="BC987" i="1" s="1"/>
  <c r="BB986" i="1"/>
  <c r="BC986" i="1" s="1"/>
  <c r="BB985" i="1"/>
  <c r="BC985" i="1" s="1"/>
  <c r="BB984" i="1"/>
  <c r="BC984" i="1" s="1"/>
  <c r="BB983" i="1"/>
  <c r="BC983" i="1" s="1"/>
  <c r="BB982" i="1"/>
  <c r="BC982" i="1" s="1"/>
  <c r="BB981" i="1"/>
  <c r="BC981" i="1" s="1"/>
  <c r="BB980" i="1"/>
  <c r="BC980" i="1" s="1"/>
  <c r="BB979" i="1"/>
  <c r="BC979" i="1" s="1"/>
  <c r="BB978" i="1"/>
  <c r="BC978" i="1" s="1"/>
  <c r="BB977" i="1"/>
  <c r="BC977" i="1" s="1"/>
  <c r="BB976" i="1"/>
  <c r="BC976" i="1" s="1"/>
  <c r="BB975" i="1"/>
  <c r="BC975" i="1" s="1"/>
  <c r="BB974" i="1"/>
  <c r="BC974" i="1" s="1"/>
  <c r="BB973" i="1"/>
  <c r="BC973" i="1" s="1"/>
  <c r="BB972" i="1"/>
  <c r="BC972" i="1" s="1"/>
  <c r="BB971" i="1"/>
  <c r="BC971" i="1" s="1"/>
  <c r="BB970" i="1"/>
  <c r="BC970" i="1" s="1"/>
  <c r="BB969" i="1"/>
  <c r="BC969" i="1" s="1"/>
  <c r="BB968" i="1"/>
  <c r="BC968" i="1" s="1"/>
  <c r="BB967" i="1"/>
  <c r="BC967" i="1" s="1"/>
  <c r="BB966" i="1"/>
  <c r="BC966" i="1" s="1"/>
  <c r="BB965" i="1"/>
  <c r="BC965" i="1" s="1"/>
  <c r="BB964" i="1"/>
  <c r="BC964" i="1" s="1"/>
  <c r="BB963" i="1"/>
  <c r="BC963" i="1" s="1"/>
  <c r="BB962" i="1"/>
  <c r="BC962" i="1" s="1"/>
  <c r="BB961" i="1"/>
  <c r="BC961" i="1" s="1"/>
  <c r="BB960" i="1"/>
  <c r="BC960" i="1" s="1"/>
  <c r="BB959" i="1"/>
  <c r="BC959" i="1" s="1"/>
  <c r="BB958" i="1"/>
  <c r="BC958" i="1" s="1"/>
  <c r="BB957" i="1"/>
  <c r="BC957" i="1" s="1"/>
  <c r="BB956" i="1"/>
  <c r="BC956" i="1" s="1"/>
  <c r="BB955" i="1"/>
  <c r="BC955" i="1" s="1"/>
  <c r="BB954" i="1"/>
  <c r="BC954" i="1" s="1"/>
  <c r="BB953" i="1"/>
  <c r="BC953" i="1" s="1"/>
  <c r="BB952" i="1"/>
  <c r="BC952" i="1" s="1"/>
  <c r="BB951" i="1"/>
  <c r="BC951" i="1" s="1"/>
  <c r="BB950" i="1"/>
  <c r="BC950" i="1" s="1"/>
  <c r="BB949" i="1"/>
  <c r="BC949" i="1" s="1"/>
  <c r="BB948" i="1"/>
  <c r="BC948" i="1" s="1"/>
  <c r="BB947" i="1"/>
  <c r="BC947" i="1" s="1"/>
  <c r="BB946" i="1"/>
  <c r="BC946" i="1" s="1"/>
  <c r="BB945" i="1"/>
  <c r="BC945" i="1" s="1"/>
  <c r="BB944" i="1"/>
  <c r="BC944" i="1" s="1"/>
  <c r="BB943" i="1"/>
  <c r="BC943" i="1" s="1"/>
  <c r="BB942" i="1"/>
  <c r="BC942" i="1" s="1"/>
  <c r="BB941" i="1"/>
  <c r="BC941" i="1" s="1"/>
  <c r="BB940" i="1"/>
  <c r="BC940" i="1" s="1"/>
  <c r="BB939" i="1"/>
  <c r="BC939" i="1" s="1"/>
  <c r="BB938" i="1"/>
  <c r="BC938" i="1" s="1"/>
  <c r="BB937" i="1"/>
  <c r="BC937" i="1" s="1"/>
  <c r="BB936" i="1"/>
  <c r="BC936" i="1" s="1"/>
  <c r="BB935" i="1"/>
  <c r="BC935" i="1" s="1"/>
  <c r="BB934" i="1"/>
  <c r="BC934" i="1" s="1"/>
  <c r="BB933" i="1"/>
  <c r="BC933" i="1" s="1"/>
  <c r="BB932" i="1"/>
  <c r="BC932" i="1" s="1"/>
  <c r="BB931" i="1"/>
  <c r="BC931" i="1" s="1"/>
  <c r="BB930" i="1"/>
  <c r="BC930" i="1" s="1"/>
  <c r="BB929" i="1"/>
  <c r="BC929" i="1" s="1"/>
  <c r="BB928" i="1"/>
  <c r="BC928" i="1" s="1"/>
  <c r="BB927" i="1"/>
  <c r="BC927" i="1" s="1"/>
  <c r="BB926" i="1"/>
  <c r="BC926" i="1" s="1"/>
  <c r="BB925" i="1"/>
  <c r="BC925" i="1" s="1"/>
  <c r="BB924" i="1"/>
  <c r="BC924" i="1" s="1"/>
  <c r="BB923" i="1"/>
  <c r="BC923" i="1" s="1"/>
  <c r="BB922" i="1"/>
  <c r="BC922" i="1" s="1"/>
  <c r="BB921" i="1"/>
  <c r="BC921" i="1" s="1"/>
  <c r="BB920" i="1"/>
  <c r="BC920" i="1" s="1"/>
  <c r="BB919" i="1"/>
  <c r="BC919" i="1" s="1"/>
  <c r="BB918" i="1"/>
  <c r="BC918" i="1" s="1"/>
  <c r="BB917" i="1"/>
  <c r="BC917" i="1" s="1"/>
  <c r="BB916" i="1"/>
  <c r="BC916" i="1" s="1"/>
  <c r="BB915" i="1"/>
  <c r="BC915" i="1" s="1"/>
  <c r="BB914" i="1"/>
  <c r="BC914" i="1" s="1"/>
  <c r="BB913" i="1"/>
  <c r="BC913" i="1" s="1"/>
  <c r="BB912" i="1"/>
  <c r="BC912" i="1" s="1"/>
  <c r="BB911" i="1"/>
  <c r="BC911" i="1" s="1"/>
  <c r="BB910" i="1"/>
  <c r="BC910" i="1" s="1"/>
  <c r="BB909" i="1"/>
  <c r="BC909" i="1" s="1"/>
  <c r="BB908" i="1"/>
  <c r="BC908" i="1" s="1"/>
  <c r="BB907" i="1"/>
  <c r="BC907" i="1" s="1"/>
  <c r="BB906" i="1"/>
  <c r="BC906" i="1" s="1"/>
  <c r="BB905" i="1"/>
  <c r="BC905" i="1" s="1"/>
  <c r="BB904" i="1"/>
  <c r="BC904" i="1" s="1"/>
  <c r="BB903" i="1"/>
  <c r="BC903" i="1" s="1"/>
  <c r="BB902" i="1"/>
  <c r="BC902" i="1" s="1"/>
  <c r="BB901" i="1"/>
  <c r="BC901" i="1" s="1"/>
  <c r="BB900" i="1"/>
  <c r="BC900" i="1" s="1"/>
  <c r="BB899" i="1"/>
  <c r="BC899" i="1" s="1"/>
  <c r="BB898" i="1"/>
  <c r="BC898" i="1" s="1"/>
  <c r="BB897" i="1"/>
  <c r="BC897" i="1" s="1"/>
  <c r="BB896" i="1"/>
  <c r="BC896" i="1" s="1"/>
  <c r="BB895" i="1"/>
  <c r="BC895" i="1" s="1"/>
  <c r="BB894" i="1"/>
  <c r="BC894" i="1" s="1"/>
  <c r="BB893" i="1"/>
  <c r="BC893" i="1" s="1"/>
  <c r="BB892" i="1"/>
  <c r="BC892" i="1" s="1"/>
  <c r="BB891" i="1"/>
  <c r="BC891" i="1" s="1"/>
  <c r="BB890" i="1"/>
  <c r="BC890" i="1" s="1"/>
  <c r="BB889" i="1"/>
  <c r="BC889" i="1" s="1"/>
  <c r="BB888" i="1"/>
  <c r="BC888" i="1" s="1"/>
  <c r="BB887" i="1"/>
  <c r="BC887" i="1" s="1"/>
  <c r="BB886" i="1"/>
  <c r="BC886" i="1" s="1"/>
  <c r="BB885" i="1"/>
  <c r="BC885" i="1" s="1"/>
  <c r="BB884" i="1"/>
  <c r="BC884" i="1" s="1"/>
  <c r="BB883" i="1"/>
  <c r="BC883" i="1" s="1"/>
  <c r="BB882" i="1"/>
  <c r="BC882" i="1" s="1"/>
  <c r="BB881" i="1"/>
  <c r="BC881" i="1" s="1"/>
  <c r="BB880" i="1"/>
  <c r="BC880" i="1" s="1"/>
  <c r="BB879" i="1"/>
  <c r="BC879" i="1" s="1"/>
  <c r="BB878" i="1"/>
  <c r="BC878" i="1" s="1"/>
  <c r="BB877" i="1"/>
  <c r="BC877" i="1" s="1"/>
  <c r="BB876" i="1"/>
  <c r="BC876" i="1" s="1"/>
  <c r="BB875" i="1"/>
  <c r="BC875" i="1" s="1"/>
  <c r="BB874" i="1"/>
  <c r="BC874" i="1" s="1"/>
  <c r="BB873" i="1"/>
  <c r="BC873" i="1" s="1"/>
  <c r="BB872" i="1"/>
  <c r="BC872" i="1" s="1"/>
  <c r="BB871" i="1"/>
  <c r="BC871" i="1" s="1"/>
  <c r="BB870" i="1"/>
  <c r="BC870" i="1" s="1"/>
  <c r="BB869" i="1"/>
  <c r="BC869" i="1" s="1"/>
  <c r="BB868" i="1"/>
  <c r="BC868" i="1" s="1"/>
  <c r="BB867" i="1"/>
  <c r="BC867" i="1" s="1"/>
  <c r="BB866" i="1"/>
  <c r="BC866" i="1" s="1"/>
  <c r="BB865" i="1"/>
  <c r="BC865" i="1" s="1"/>
  <c r="BB864" i="1"/>
  <c r="BC864" i="1" s="1"/>
  <c r="BB863" i="1"/>
  <c r="BC863" i="1" s="1"/>
  <c r="BB862" i="1"/>
  <c r="BC862" i="1" s="1"/>
  <c r="BB861" i="1"/>
  <c r="BC861" i="1" s="1"/>
  <c r="BB860" i="1"/>
  <c r="BC860" i="1" s="1"/>
  <c r="BB859" i="1"/>
  <c r="BC859" i="1" s="1"/>
  <c r="BB858" i="1"/>
  <c r="BC858" i="1" s="1"/>
  <c r="BB857" i="1"/>
  <c r="BC857" i="1" s="1"/>
  <c r="BB856" i="1"/>
  <c r="BC856" i="1" s="1"/>
  <c r="BB855" i="1"/>
  <c r="BC855" i="1" s="1"/>
  <c r="BB854" i="1"/>
  <c r="BC854" i="1" s="1"/>
  <c r="BB853" i="1"/>
  <c r="BC853" i="1" s="1"/>
  <c r="BB852" i="1"/>
  <c r="BC852" i="1" s="1"/>
  <c r="BB851" i="1"/>
  <c r="BC851" i="1" s="1"/>
  <c r="BB850" i="1"/>
  <c r="BC850" i="1" s="1"/>
  <c r="BB849" i="1"/>
  <c r="BC849" i="1" s="1"/>
  <c r="BB848" i="1"/>
  <c r="BC848" i="1" s="1"/>
  <c r="BB847" i="1"/>
  <c r="BC847" i="1" s="1"/>
  <c r="BB846" i="1"/>
  <c r="BC846" i="1" s="1"/>
  <c r="BB845" i="1"/>
  <c r="BC845" i="1" s="1"/>
  <c r="BB844" i="1"/>
  <c r="BC844" i="1" s="1"/>
  <c r="BB843" i="1"/>
  <c r="BC843" i="1" s="1"/>
  <c r="BB842" i="1"/>
  <c r="BC842" i="1" s="1"/>
  <c r="BB841" i="1"/>
  <c r="BC841" i="1" s="1"/>
  <c r="BB840" i="1"/>
  <c r="BC840" i="1" s="1"/>
  <c r="BB839" i="1"/>
  <c r="BC839" i="1" s="1"/>
  <c r="BB838" i="1"/>
  <c r="BC838" i="1" s="1"/>
  <c r="BB837" i="1"/>
  <c r="BC837" i="1" s="1"/>
  <c r="BB836" i="1"/>
  <c r="BC836" i="1" s="1"/>
  <c r="BB835" i="1"/>
  <c r="BC835" i="1" s="1"/>
  <c r="BB834" i="1"/>
  <c r="BC834" i="1" s="1"/>
  <c r="BB833" i="1"/>
  <c r="BC833" i="1" s="1"/>
  <c r="BB832" i="1"/>
  <c r="BC832" i="1" s="1"/>
  <c r="BB831" i="1"/>
  <c r="BC831" i="1" s="1"/>
  <c r="BB830" i="1"/>
  <c r="BC830" i="1" s="1"/>
  <c r="BB829" i="1"/>
  <c r="BC829" i="1" s="1"/>
  <c r="BB828" i="1"/>
  <c r="BC828" i="1" s="1"/>
  <c r="BB827" i="1"/>
  <c r="BC827" i="1" s="1"/>
  <c r="BB826" i="1"/>
  <c r="BC826" i="1" s="1"/>
  <c r="BB825" i="1"/>
  <c r="BC825" i="1" s="1"/>
  <c r="BB824" i="1"/>
  <c r="BC824" i="1" s="1"/>
  <c r="BB823" i="1"/>
  <c r="BC823" i="1" s="1"/>
  <c r="BB822" i="1"/>
  <c r="BC822" i="1" s="1"/>
  <c r="BB821" i="1"/>
  <c r="BC821" i="1" s="1"/>
  <c r="BB820" i="1"/>
  <c r="BC820" i="1" s="1"/>
  <c r="BB819" i="1"/>
  <c r="BC819" i="1" s="1"/>
  <c r="BB818" i="1"/>
  <c r="BC818" i="1" s="1"/>
  <c r="BB817" i="1"/>
  <c r="BC817" i="1" s="1"/>
  <c r="BB816" i="1"/>
  <c r="BC816" i="1" s="1"/>
  <c r="BB815" i="1"/>
  <c r="BC815" i="1" s="1"/>
  <c r="BB814" i="1"/>
  <c r="BC814" i="1" s="1"/>
  <c r="BB813" i="1"/>
  <c r="BC813" i="1" s="1"/>
  <c r="BB812" i="1"/>
  <c r="BC812" i="1" s="1"/>
  <c r="BB811" i="1"/>
  <c r="BC811" i="1" s="1"/>
  <c r="BB810" i="1"/>
  <c r="BC810" i="1" s="1"/>
  <c r="BB809" i="1"/>
  <c r="BC809" i="1" s="1"/>
  <c r="BB808" i="1"/>
  <c r="BC808" i="1" s="1"/>
  <c r="BB807" i="1"/>
  <c r="BC807" i="1" s="1"/>
  <c r="BB806" i="1"/>
  <c r="BC806" i="1" s="1"/>
  <c r="BB805" i="1"/>
  <c r="BC805" i="1" s="1"/>
  <c r="BB804" i="1"/>
  <c r="BC804" i="1" s="1"/>
  <c r="BB803" i="1"/>
  <c r="BC803" i="1" s="1"/>
  <c r="BB802" i="1"/>
  <c r="BC802" i="1" s="1"/>
  <c r="BB801" i="1"/>
  <c r="BC801" i="1" s="1"/>
  <c r="BB800" i="1"/>
  <c r="BC800" i="1" s="1"/>
  <c r="BB799" i="1"/>
  <c r="BC799" i="1" s="1"/>
  <c r="BB798" i="1"/>
  <c r="BC798" i="1" s="1"/>
  <c r="BB797" i="1"/>
  <c r="BC797" i="1" s="1"/>
  <c r="BB796" i="1"/>
  <c r="BC796" i="1" s="1"/>
  <c r="BB795" i="1"/>
  <c r="BC795" i="1" s="1"/>
  <c r="BB794" i="1"/>
  <c r="BC794" i="1" s="1"/>
  <c r="BB793" i="1"/>
  <c r="BC793" i="1" s="1"/>
  <c r="BB792" i="1"/>
  <c r="BC792" i="1" s="1"/>
  <c r="BB791" i="1"/>
  <c r="BC791" i="1" s="1"/>
  <c r="BB790" i="1"/>
  <c r="BC790" i="1" s="1"/>
  <c r="BB789" i="1"/>
  <c r="BC789" i="1" s="1"/>
  <c r="BB788" i="1"/>
  <c r="BC788" i="1" s="1"/>
  <c r="BB787" i="1"/>
  <c r="BC787" i="1" s="1"/>
  <c r="BB786" i="1"/>
  <c r="BC786" i="1" s="1"/>
  <c r="BB785" i="1"/>
  <c r="BC785" i="1" s="1"/>
  <c r="BB784" i="1"/>
  <c r="BC784" i="1" s="1"/>
  <c r="BB783" i="1"/>
  <c r="BC783" i="1" s="1"/>
  <c r="BB782" i="1"/>
  <c r="BC782" i="1" s="1"/>
  <c r="BB781" i="1"/>
  <c r="BC781" i="1" s="1"/>
  <c r="BB780" i="1"/>
  <c r="BC780" i="1" s="1"/>
  <c r="BB779" i="1"/>
  <c r="BC779" i="1" s="1"/>
  <c r="BB778" i="1"/>
  <c r="BC778" i="1" s="1"/>
  <c r="BB777" i="1"/>
  <c r="BC777" i="1" s="1"/>
  <c r="BB776" i="1"/>
  <c r="BC776" i="1" s="1"/>
  <c r="BB775" i="1"/>
  <c r="BC775" i="1" s="1"/>
  <c r="BB774" i="1"/>
  <c r="BC774" i="1" s="1"/>
  <c r="BB773" i="1"/>
  <c r="BC773" i="1" s="1"/>
  <c r="BB772" i="1"/>
  <c r="BC772" i="1" s="1"/>
  <c r="BB771" i="1"/>
  <c r="BC771" i="1" s="1"/>
  <c r="BB770" i="1"/>
  <c r="BC770" i="1" s="1"/>
  <c r="BB769" i="1"/>
  <c r="BC769" i="1" s="1"/>
  <c r="BB768" i="1"/>
  <c r="BC768" i="1" s="1"/>
  <c r="BB767" i="1"/>
  <c r="BC767" i="1" s="1"/>
  <c r="BB766" i="1"/>
  <c r="BC766" i="1" s="1"/>
  <c r="BB765" i="1"/>
  <c r="BC765" i="1" s="1"/>
  <c r="BB764" i="1"/>
  <c r="BC764" i="1" s="1"/>
  <c r="BB763" i="1"/>
  <c r="BC763" i="1" s="1"/>
  <c r="BB762" i="1"/>
  <c r="BC762" i="1" s="1"/>
  <c r="BB761" i="1"/>
  <c r="BC761" i="1" s="1"/>
  <c r="BB760" i="1"/>
  <c r="BC760" i="1" s="1"/>
  <c r="BB759" i="1"/>
  <c r="BC759" i="1" s="1"/>
  <c r="BB758" i="1"/>
  <c r="BC758" i="1" s="1"/>
  <c r="BB757" i="1"/>
  <c r="BC757" i="1" s="1"/>
  <c r="BB756" i="1"/>
  <c r="BC756" i="1" s="1"/>
  <c r="BB755" i="1"/>
  <c r="BC755" i="1" s="1"/>
  <c r="BB754" i="1"/>
  <c r="BC754" i="1" s="1"/>
  <c r="BB753" i="1"/>
  <c r="BC753" i="1" s="1"/>
  <c r="BB752" i="1"/>
  <c r="BC752" i="1" s="1"/>
  <c r="BB751" i="1"/>
  <c r="BC751" i="1" s="1"/>
  <c r="BB750" i="1"/>
  <c r="BC750" i="1" s="1"/>
  <c r="BB749" i="1"/>
  <c r="BC749" i="1" s="1"/>
  <c r="BB748" i="1"/>
  <c r="BC748" i="1" s="1"/>
  <c r="BB747" i="1"/>
  <c r="BC747" i="1" s="1"/>
  <c r="BB746" i="1"/>
  <c r="BC746" i="1" s="1"/>
  <c r="BB745" i="1"/>
  <c r="BC745" i="1" s="1"/>
  <c r="BB744" i="1"/>
  <c r="BC744" i="1" s="1"/>
  <c r="BB743" i="1"/>
  <c r="BC743" i="1" s="1"/>
  <c r="BB742" i="1"/>
  <c r="BC742" i="1" s="1"/>
  <c r="BB741" i="1"/>
  <c r="BC741" i="1" s="1"/>
  <c r="BB740" i="1"/>
  <c r="BC740" i="1" s="1"/>
  <c r="BB739" i="1"/>
  <c r="BC739" i="1" s="1"/>
  <c r="BB738" i="1"/>
  <c r="BC738" i="1" s="1"/>
  <c r="BB737" i="1"/>
  <c r="BC737" i="1" s="1"/>
  <c r="BB736" i="1"/>
  <c r="BC736" i="1" s="1"/>
  <c r="BB735" i="1"/>
  <c r="BC735" i="1" s="1"/>
  <c r="BB734" i="1"/>
  <c r="BC734" i="1" s="1"/>
  <c r="BB733" i="1"/>
  <c r="BC733" i="1" s="1"/>
  <c r="BB732" i="1"/>
  <c r="BC732" i="1" s="1"/>
  <c r="BB731" i="1"/>
  <c r="BC731" i="1" s="1"/>
  <c r="BB730" i="1"/>
  <c r="BC730" i="1" s="1"/>
  <c r="BB729" i="1"/>
  <c r="BC729" i="1" s="1"/>
  <c r="BB728" i="1"/>
  <c r="BC728" i="1" s="1"/>
  <c r="BB727" i="1"/>
  <c r="BC727" i="1" s="1"/>
  <c r="BB726" i="1"/>
  <c r="BC726" i="1" s="1"/>
  <c r="BB725" i="1"/>
  <c r="BC725" i="1" s="1"/>
  <c r="BB724" i="1"/>
  <c r="BC724" i="1" s="1"/>
  <c r="BB723" i="1"/>
  <c r="BC723" i="1" s="1"/>
  <c r="BB722" i="1"/>
  <c r="BC722" i="1" s="1"/>
  <c r="BB721" i="1"/>
  <c r="BC721" i="1" s="1"/>
  <c r="BB720" i="1"/>
  <c r="BC720" i="1" s="1"/>
  <c r="BB719" i="1"/>
  <c r="BC719" i="1" s="1"/>
  <c r="BB718" i="1"/>
  <c r="BC718" i="1" s="1"/>
  <c r="BB717" i="1"/>
  <c r="BC717" i="1" s="1"/>
  <c r="BB716" i="1"/>
  <c r="BC716" i="1" s="1"/>
  <c r="BB715" i="1"/>
  <c r="BC715" i="1" s="1"/>
  <c r="BB714" i="1"/>
  <c r="BC714" i="1" s="1"/>
  <c r="BB713" i="1"/>
  <c r="BC713" i="1" s="1"/>
  <c r="BB712" i="1"/>
  <c r="BC712" i="1" s="1"/>
  <c r="BB711" i="1"/>
  <c r="BC711" i="1" s="1"/>
  <c r="BB710" i="1"/>
  <c r="BC710" i="1" s="1"/>
  <c r="BB709" i="1"/>
  <c r="BC709" i="1" s="1"/>
  <c r="BB708" i="1"/>
  <c r="BC708" i="1" s="1"/>
  <c r="BB707" i="1"/>
  <c r="BC707" i="1" s="1"/>
  <c r="BB706" i="1"/>
  <c r="BC706" i="1" s="1"/>
  <c r="BB705" i="1"/>
  <c r="BC705" i="1" s="1"/>
  <c r="BB704" i="1"/>
  <c r="BC704" i="1" s="1"/>
  <c r="BB703" i="1"/>
  <c r="BC703" i="1" s="1"/>
  <c r="BB702" i="1"/>
  <c r="BC702" i="1" s="1"/>
  <c r="BB701" i="1"/>
  <c r="BC701" i="1" s="1"/>
  <c r="BB700" i="1"/>
  <c r="BC700" i="1" s="1"/>
  <c r="BB699" i="1"/>
  <c r="BC699" i="1" s="1"/>
  <c r="BB698" i="1"/>
  <c r="BC698" i="1" s="1"/>
  <c r="BB697" i="1"/>
  <c r="BC697" i="1" s="1"/>
  <c r="BB696" i="1"/>
  <c r="BC696" i="1" s="1"/>
  <c r="BB695" i="1"/>
  <c r="BC695" i="1" s="1"/>
  <c r="BB694" i="1"/>
  <c r="BC694" i="1" s="1"/>
  <c r="BB693" i="1"/>
  <c r="BC693" i="1" s="1"/>
  <c r="BB692" i="1"/>
  <c r="BC692" i="1" s="1"/>
  <c r="BB691" i="1"/>
  <c r="BC691" i="1" s="1"/>
  <c r="BB690" i="1"/>
  <c r="BC690" i="1" s="1"/>
  <c r="BB689" i="1"/>
  <c r="BC689" i="1" s="1"/>
  <c r="BB688" i="1"/>
  <c r="BC688" i="1" s="1"/>
  <c r="BB687" i="1"/>
  <c r="BC687" i="1" s="1"/>
  <c r="BB686" i="1"/>
  <c r="BC686" i="1" s="1"/>
  <c r="BB685" i="1"/>
  <c r="BC685" i="1" s="1"/>
  <c r="BB684" i="1"/>
  <c r="BC684" i="1" s="1"/>
  <c r="BB683" i="1"/>
  <c r="BC683" i="1" s="1"/>
  <c r="BB682" i="1"/>
  <c r="BC682" i="1" s="1"/>
  <c r="BB681" i="1"/>
  <c r="BC681" i="1" s="1"/>
  <c r="BB680" i="1"/>
  <c r="BC680" i="1" s="1"/>
  <c r="BB679" i="1"/>
  <c r="BC679" i="1" s="1"/>
  <c r="BB678" i="1"/>
  <c r="BC678" i="1" s="1"/>
  <c r="BB677" i="1"/>
  <c r="BC677" i="1" s="1"/>
  <c r="BB676" i="1"/>
  <c r="BC676" i="1" s="1"/>
  <c r="BB675" i="1"/>
  <c r="BC675" i="1" s="1"/>
  <c r="BB674" i="1"/>
  <c r="BC674" i="1" s="1"/>
  <c r="BB673" i="1"/>
  <c r="BC673" i="1" s="1"/>
  <c r="BB672" i="1"/>
  <c r="BC672" i="1" s="1"/>
  <c r="BB671" i="1"/>
  <c r="BC671" i="1" s="1"/>
  <c r="BB670" i="1"/>
  <c r="BC670" i="1" s="1"/>
  <c r="BB669" i="1"/>
  <c r="BC669" i="1" s="1"/>
  <c r="BB668" i="1"/>
  <c r="BC668" i="1" s="1"/>
  <c r="BB667" i="1"/>
  <c r="BC667" i="1" s="1"/>
  <c r="BB666" i="1"/>
  <c r="BC666" i="1" s="1"/>
  <c r="BB665" i="1"/>
  <c r="BC665" i="1" s="1"/>
  <c r="BB664" i="1"/>
  <c r="BC664" i="1" s="1"/>
  <c r="BB663" i="1"/>
  <c r="BC663" i="1" s="1"/>
  <c r="BB662" i="1"/>
  <c r="BC662" i="1" s="1"/>
  <c r="BB661" i="1"/>
  <c r="BC661" i="1" s="1"/>
  <c r="BB660" i="1"/>
  <c r="BC660" i="1" s="1"/>
  <c r="BB659" i="1"/>
  <c r="BC659" i="1" s="1"/>
  <c r="BB658" i="1"/>
  <c r="BC658" i="1" s="1"/>
  <c r="BB657" i="1"/>
  <c r="BC657" i="1" s="1"/>
  <c r="BB656" i="1"/>
  <c r="BC656" i="1" s="1"/>
  <c r="BB655" i="1"/>
  <c r="BC655" i="1" s="1"/>
  <c r="BB654" i="1"/>
  <c r="BC654" i="1" s="1"/>
  <c r="BB653" i="1"/>
  <c r="BC653" i="1" s="1"/>
  <c r="BB652" i="1"/>
  <c r="BC652" i="1" s="1"/>
  <c r="BB651" i="1"/>
  <c r="BC651" i="1" s="1"/>
  <c r="BB650" i="1"/>
  <c r="BC650" i="1" s="1"/>
  <c r="BB649" i="1"/>
  <c r="BC649" i="1" s="1"/>
  <c r="BB648" i="1"/>
  <c r="BC648" i="1" s="1"/>
  <c r="BB647" i="1"/>
  <c r="BC647" i="1" s="1"/>
  <c r="BB646" i="1"/>
  <c r="BC646" i="1" s="1"/>
  <c r="BB645" i="1"/>
  <c r="BC645" i="1" s="1"/>
  <c r="BB644" i="1"/>
  <c r="BC644" i="1" s="1"/>
  <c r="BB643" i="1"/>
  <c r="BC643" i="1" s="1"/>
  <c r="BB642" i="1"/>
  <c r="BC642" i="1" s="1"/>
  <c r="BB641" i="1"/>
  <c r="BC641" i="1" s="1"/>
  <c r="BB640" i="1"/>
  <c r="BC640" i="1" s="1"/>
  <c r="BB639" i="1"/>
  <c r="BC639" i="1" s="1"/>
  <c r="BB638" i="1"/>
  <c r="BC638" i="1" s="1"/>
  <c r="BB637" i="1"/>
  <c r="BC637" i="1" s="1"/>
  <c r="BB636" i="1"/>
  <c r="BC636" i="1" s="1"/>
  <c r="BB635" i="1"/>
  <c r="BC635" i="1" s="1"/>
  <c r="BB634" i="1"/>
  <c r="BC634" i="1" s="1"/>
  <c r="BB633" i="1"/>
  <c r="BC633" i="1" s="1"/>
  <c r="BB632" i="1"/>
  <c r="BC632" i="1" s="1"/>
  <c r="BB631" i="1"/>
  <c r="BC631" i="1" s="1"/>
  <c r="BB630" i="1"/>
  <c r="BC630" i="1" s="1"/>
  <c r="BB629" i="1"/>
  <c r="BC629" i="1" s="1"/>
  <c r="BB628" i="1"/>
  <c r="BC628" i="1" s="1"/>
  <c r="BB627" i="1"/>
  <c r="BC627" i="1" s="1"/>
  <c r="BB626" i="1"/>
  <c r="BC626" i="1" s="1"/>
  <c r="BB625" i="1"/>
  <c r="BC625" i="1" s="1"/>
  <c r="BB624" i="1"/>
  <c r="BC624" i="1" s="1"/>
  <c r="BB623" i="1"/>
  <c r="BC623" i="1" s="1"/>
  <c r="BB622" i="1"/>
  <c r="BC622" i="1" s="1"/>
  <c r="BB621" i="1"/>
  <c r="BC621" i="1" s="1"/>
  <c r="BB620" i="1"/>
  <c r="BC620" i="1" s="1"/>
  <c r="BB619" i="1"/>
  <c r="BC619" i="1" s="1"/>
  <c r="BB618" i="1"/>
  <c r="BC618" i="1" s="1"/>
  <c r="BB617" i="1"/>
  <c r="BC617" i="1" s="1"/>
  <c r="BB616" i="1"/>
  <c r="BC616" i="1" s="1"/>
  <c r="BB615" i="1"/>
  <c r="BC615" i="1" s="1"/>
  <c r="BB614" i="1"/>
  <c r="BC614" i="1" s="1"/>
  <c r="BB613" i="1"/>
  <c r="BC613" i="1" s="1"/>
  <c r="BB612" i="1"/>
  <c r="BC612" i="1" s="1"/>
  <c r="BB611" i="1"/>
  <c r="BC611" i="1" s="1"/>
  <c r="BB610" i="1"/>
  <c r="BC610" i="1" s="1"/>
  <c r="BB609" i="1"/>
  <c r="BC609" i="1" s="1"/>
  <c r="BB608" i="1"/>
  <c r="BC608" i="1" s="1"/>
  <c r="BB607" i="1"/>
  <c r="BC607" i="1" s="1"/>
  <c r="BB606" i="1"/>
  <c r="BC606" i="1" s="1"/>
  <c r="BB605" i="1"/>
  <c r="BC605" i="1" s="1"/>
  <c r="BB604" i="1"/>
  <c r="BC604" i="1" s="1"/>
  <c r="BB603" i="1"/>
  <c r="BC603" i="1" s="1"/>
  <c r="BB602" i="1"/>
  <c r="BC602" i="1" s="1"/>
  <c r="BB601" i="1"/>
  <c r="BC601" i="1" s="1"/>
  <c r="BB600" i="1"/>
  <c r="BC600" i="1" s="1"/>
  <c r="BB599" i="1"/>
  <c r="BC599" i="1" s="1"/>
  <c r="BB598" i="1"/>
  <c r="BC598" i="1" s="1"/>
  <c r="BB597" i="1"/>
  <c r="BC597" i="1" s="1"/>
  <c r="BB596" i="1"/>
  <c r="BC596" i="1" s="1"/>
  <c r="BB595" i="1"/>
  <c r="BC595" i="1" s="1"/>
  <c r="BB594" i="1"/>
  <c r="BC594" i="1" s="1"/>
  <c r="BB593" i="1"/>
  <c r="BC593" i="1" s="1"/>
  <c r="BB592" i="1"/>
  <c r="BC592" i="1" s="1"/>
  <c r="BB591" i="1"/>
  <c r="BC591" i="1" s="1"/>
  <c r="BB590" i="1"/>
  <c r="BC590" i="1" s="1"/>
  <c r="BB589" i="1"/>
  <c r="BC589" i="1" s="1"/>
  <c r="BB588" i="1"/>
  <c r="BC588" i="1" s="1"/>
  <c r="BB587" i="1"/>
  <c r="BC587" i="1" s="1"/>
  <c r="BB586" i="1"/>
  <c r="BC586" i="1" s="1"/>
  <c r="BB585" i="1"/>
  <c r="BC585" i="1" s="1"/>
  <c r="BB584" i="1"/>
  <c r="BC584" i="1" s="1"/>
  <c r="BB583" i="1"/>
  <c r="BC583" i="1" s="1"/>
  <c r="BB582" i="1"/>
  <c r="BC582" i="1" s="1"/>
  <c r="BB581" i="1"/>
  <c r="BC581" i="1" s="1"/>
  <c r="BB580" i="1"/>
  <c r="BC580" i="1" s="1"/>
  <c r="BB579" i="1"/>
  <c r="BC579" i="1" s="1"/>
  <c r="BB578" i="1"/>
  <c r="BC578" i="1" s="1"/>
  <c r="BB577" i="1"/>
  <c r="BC577" i="1" s="1"/>
  <c r="BB576" i="1"/>
  <c r="BC576" i="1" s="1"/>
  <c r="BB575" i="1"/>
  <c r="BC575" i="1" s="1"/>
  <c r="BB574" i="1"/>
  <c r="BC574" i="1" s="1"/>
  <c r="BB573" i="1"/>
  <c r="BC573" i="1" s="1"/>
  <c r="BB572" i="1"/>
  <c r="BC572" i="1" s="1"/>
  <c r="BB571" i="1"/>
  <c r="BC571" i="1" s="1"/>
  <c r="BB570" i="1"/>
  <c r="BC570" i="1" s="1"/>
  <c r="BB569" i="1"/>
  <c r="BC569" i="1" s="1"/>
  <c r="BB568" i="1"/>
  <c r="BC568" i="1" s="1"/>
  <c r="BB567" i="1"/>
  <c r="BC567" i="1" s="1"/>
  <c r="BB566" i="1"/>
  <c r="BC566" i="1" s="1"/>
  <c r="BB565" i="1"/>
  <c r="BC565" i="1" s="1"/>
  <c r="BB564" i="1"/>
  <c r="BC564" i="1" s="1"/>
  <c r="BB563" i="1"/>
  <c r="BC563" i="1" s="1"/>
  <c r="BB562" i="1"/>
  <c r="BC562" i="1" s="1"/>
  <c r="BB561" i="1"/>
  <c r="BC561" i="1" s="1"/>
  <c r="BB560" i="1"/>
  <c r="BC560" i="1" s="1"/>
  <c r="BB559" i="1"/>
  <c r="BC559" i="1" s="1"/>
  <c r="BB558" i="1"/>
  <c r="BC558" i="1" s="1"/>
  <c r="BB557" i="1"/>
  <c r="BC557" i="1" s="1"/>
  <c r="BB556" i="1"/>
  <c r="BC556" i="1" s="1"/>
  <c r="BB555" i="1"/>
  <c r="BC555" i="1" s="1"/>
  <c r="BB554" i="1"/>
  <c r="BC554" i="1" s="1"/>
  <c r="BB553" i="1"/>
  <c r="BC553" i="1" s="1"/>
  <c r="BB552" i="1"/>
  <c r="BC552" i="1" s="1"/>
  <c r="BB551" i="1"/>
  <c r="BC551" i="1" s="1"/>
  <c r="BB550" i="1"/>
  <c r="BC550" i="1" s="1"/>
  <c r="BB549" i="1"/>
  <c r="BC549" i="1" s="1"/>
  <c r="BB548" i="1"/>
  <c r="BC548" i="1" s="1"/>
  <c r="BB547" i="1"/>
  <c r="BC547" i="1" s="1"/>
  <c r="BB546" i="1"/>
  <c r="BC546" i="1" s="1"/>
  <c r="BB545" i="1"/>
  <c r="BC545" i="1" s="1"/>
  <c r="BB544" i="1"/>
  <c r="BC544" i="1" s="1"/>
  <c r="BB543" i="1"/>
  <c r="BC543" i="1" s="1"/>
  <c r="BB542" i="1"/>
  <c r="BC542" i="1" s="1"/>
  <c r="BB541" i="1"/>
  <c r="BC541" i="1" s="1"/>
  <c r="BB540" i="1"/>
  <c r="BC540" i="1" s="1"/>
  <c r="BB539" i="1"/>
  <c r="BC539" i="1" s="1"/>
  <c r="BB538" i="1"/>
  <c r="BC538" i="1" s="1"/>
  <c r="BB537" i="1"/>
  <c r="BC537" i="1" s="1"/>
  <c r="BB536" i="1"/>
  <c r="BC536" i="1" s="1"/>
  <c r="BB535" i="1"/>
  <c r="BC535" i="1" s="1"/>
  <c r="BB534" i="1"/>
  <c r="BC534" i="1" s="1"/>
  <c r="BB533" i="1"/>
  <c r="BC533" i="1" s="1"/>
  <c r="BB532" i="1"/>
  <c r="BC532" i="1" s="1"/>
  <c r="BB531" i="1"/>
  <c r="BC531" i="1" s="1"/>
  <c r="BB530" i="1"/>
  <c r="BC530" i="1" s="1"/>
  <c r="BB529" i="1"/>
  <c r="BC529" i="1" s="1"/>
  <c r="BB528" i="1"/>
  <c r="BC528" i="1" s="1"/>
  <c r="BB527" i="1"/>
  <c r="BC527" i="1" s="1"/>
  <c r="BB526" i="1"/>
  <c r="BC526" i="1" s="1"/>
  <c r="BB525" i="1"/>
  <c r="BC525" i="1" s="1"/>
  <c r="BB524" i="1"/>
  <c r="BC524" i="1" s="1"/>
  <c r="BB523" i="1"/>
  <c r="BC523" i="1" s="1"/>
  <c r="BB522" i="1"/>
  <c r="BC522" i="1" s="1"/>
  <c r="BB521" i="1"/>
  <c r="BC521" i="1" s="1"/>
  <c r="BB520" i="1"/>
  <c r="BC520" i="1" s="1"/>
  <c r="BB519" i="1"/>
  <c r="BC519" i="1" s="1"/>
  <c r="BB518" i="1"/>
  <c r="BC518" i="1" s="1"/>
  <c r="BB517" i="1"/>
  <c r="BC517" i="1" s="1"/>
  <c r="BB516" i="1"/>
  <c r="BC516" i="1" s="1"/>
  <c r="BB515" i="1"/>
  <c r="BC515" i="1" s="1"/>
  <c r="BB514" i="1"/>
  <c r="BC514" i="1" s="1"/>
  <c r="BB513" i="1"/>
  <c r="BC513" i="1" s="1"/>
  <c r="BB512" i="1"/>
  <c r="BC512" i="1" s="1"/>
  <c r="BB511" i="1"/>
  <c r="BC511" i="1" s="1"/>
  <c r="BB510" i="1"/>
  <c r="BC510" i="1" s="1"/>
  <c r="BB509" i="1"/>
  <c r="BC509" i="1" s="1"/>
  <c r="BB508" i="1"/>
  <c r="BC508" i="1" s="1"/>
  <c r="BB507" i="1"/>
  <c r="BC507" i="1" s="1"/>
  <c r="BB506" i="1"/>
  <c r="BC506" i="1" s="1"/>
  <c r="BB505" i="1"/>
  <c r="BC505" i="1" s="1"/>
  <c r="BB504" i="1"/>
  <c r="BC504" i="1" s="1"/>
  <c r="BB503" i="1"/>
  <c r="BC503" i="1" s="1"/>
  <c r="BB502" i="1"/>
  <c r="BC502" i="1" s="1"/>
  <c r="BB501" i="1"/>
  <c r="BC501" i="1" s="1"/>
  <c r="BB500" i="1"/>
  <c r="BC500" i="1" s="1"/>
  <c r="BB499" i="1"/>
  <c r="BC499" i="1" s="1"/>
  <c r="BB498" i="1"/>
  <c r="BC498" i="1" s="1"/>
  <c r="BB497" i="1"/>
  <c r="BC497" i="1" s="1"/>
  <c r="BB496" i="1"/>
  <c r="BC496" i="1" s="1"/>
  <c r="BB495" i="1"/>
  <c r="BC495" i="1" s="1"/>
  <c r="BB494" i="1"/>
  <c r="BC494" i="1" s="1"/>
  <c r="BB493" i="1"/>
  <c r="BC493" i="1" s="1"/>
  <c r="BB492" i="1"/>
  <c r="BC492" i="1" s="1"/>
  <c r="BB491" i="1"/>
  <c r="BC491" i="1" s="1"/>
  <c r="BB490" i="1"/>
  <c r="BC490" i="1" s="1"/>
  <c r="BB489" i="1"/>
  <c r="BC489" i="1" s="1"/>
  <c r="BB488" i="1"/>
  <c r="BC488" i="1" s="1"/>
  <c r="BB487" i="1"/>
  <c r="BC487" i="1" s="1"/>
  <c r="BB486" i="1"/>
  <c r="BC486" i="1" s="1"/>
  <c r="BB485" i="1"/>
  <c r="BC485" i="1" s="1"/>
  <c r="BB484" i="1"/>
  <c r="BC484" i="1" s="1"/>
  <c r="BB483" i="1"/>
  <c r="BC483" i="1" s="1"/>
  <c r="BB482" i="1"/>
  <c r="BC482" i="1" s="1"/>
  <c r="BB481" i="1"/>
  <c r="BC481" i="1" s="1"/>
  <c r="BB480" i="1"/>
  <c r="BC480" i="1" s="1"/>
  <c r="BB479" i="1"/>
  <c r="BC479" i="1" s="1"/>
  <c r="BB478" i="1"/>
  <c r="BC478" i="1" s="1"/>
  <c r="BB477" i="1"/>
  <c r="BC477" i="1" s="1"/>
  <c r="BB476" i="1"/>
  <c r="BC476" i="1" s="1"/>
  <c r="BB475" i="1"/>
  <c r="BC475" i="1" s="1"/>
  <c r="BB474" i="1"/>
  <c r="BC474" i="1" s="1"/>
  <c r="BB473" i="1"/>
  <c r="BC473" i="1" s="1"/>
  <c r="BB472" i="1"/>
  <c r="BC472" i="1" s="1"/>
  <c r="BB471" i="1"/>
  <c r="BC471" i="1" s="1"/>
  <c r="BB470" i="1"/>
  <c r="BC470" i="1" s="1"/>
  <c r="BB469" i="1"/>
  <c r="BC469" i="1" s="1"/>
  <c r="BB468" i="1"/>
  <c r="BC468" i="1" s="1"/>
  <c r="BB467" i="1"/>
  <c r="BC467" i="1" s="1"/>
  <c r="BB466" i="1"/>
  <c r="BC466" i="1" s="1"/>
  <c r="BB465" i="1"/>
  <c r="BC465" i="1" s="1"/>
  <c r="BB464" i="1"/>
  <c r="BC464" i="1" s="1"/>
  <c r="BB463" i="1"/>
  <c r="BC463" i="1" s="1"/>
  <c r="BB462" i="1"/>
  <c r="BC462" i="1" s="1"/>
  <c r="BB461" i="1"/>
  <c r="BC461" i="1" s="1"/>
  <c r="BB460" i="1"/>
  <c r="BC460" i="1" s="1"/>
  <c r="BB459" i="1"/>
  <c r="BC459" i="1" s="1"/>
  <c r="BB458" i="1"/>
  <c r="BC458" i="1" s="1"/>
  <c r="BB457" i="1"/>
  <c r="BC457" i="1" s="1"/>
  <c r="BB456" i="1"/>
  <c r="BC456" i="1" s="1"/>
  <c r="BB455" i="1"/>
  <c r="BC455" i="1" s="1"/>
  <c r="BB454" i="1"/>
  <c r="BC454" i="1" s="1"/>
  <c r="BB453" i="1"/>
  <c r="BC453" i="1" s="1"/>
  <c r="BB452" i="1"/>
  <c r="BC452" i="1" s="1"/>
  <c r="BB451" i="1"/>
  <c r="BC451" i="1" s="1"/>
  <c r="BB450" i="1"/>
  <c r="BC450" i="1" s="1"/>
  <c r="BB449" i="1"/>
  <c r="BC449" i="1" s="1"/>
  <c r="BB448" i="1"/>
  <c r="BC448" i="1" s="1"/>
  <c r="BB447" i="1"/>
  <c r="BC447" i="1" s="1"/>
  <c r="BB446" i="1"/>
  <c r="BC446" i="1" s="1"/>
  <c r="BB445" i="1"/>
  <c r="BC445" i="1" s="1"/>
  <c r="BB444" i="1"/>
  <c r="BC444" i="1" s="1"/>
  <c r="BB443" i="1"/>
  <c r="BC443" i="1" s="1"/>
  <c r="BB442" i="1"/>
  <c r="BC442" i="1" s="1"/>
  <c r="BB441" i="1"/>
  <c r="BC441" i="1" s="1"/>
  <c r="BB440" i="1"/>
  <c r="BC440" i="1" s="1"/>
  <c r="BB439" i="1"/>
  <c r="BC439" i="1" s="1"/>
  <c r="BB438" i="1"/>
  <c r="BC438" i="1" s="1"/>
  <c r="BB437" i="1"/>
  <c r="BC437" i="1" s="1"/>
  <c r="BB436" i="1"/>
  <c r="BC436" i="1" s="1"/>
  <c r="BB435" i="1"/>
  <c r="BC435" i="1" s="1"/>
  <c r="BB434" i="1"/>
  <c r="BC434" i="1" s="1"/>
  <c r="BB433" i="1"/>
  <c r="BC433" i="1" s="1"/>
  <c r="BB432" i="1"/>
  <c r="BC432" i="1" s="1"/>
  <c r="BB431" i="1"/>
  <c r="BC431" i="1" s="1"/>
  <c r="BB430" i="1"/>
  <c r="BC430" i="1" s="1"/>
  <c r="BB429" i="1"/>
  <c r="BC429" i="1" s="1"/>
  <c r="BB428" i="1"/>
  <c r="BC428" i="1" s="1"/>
  <c r="BB427" i="1"/>
  <c r="BC427" i="1" s="1"/>
  <c r="BB426" i="1"/>
  <c r="BC426" i="1" s="1"/>
  <c r="BB425" i="1"/>
  <c r="BC425" i="1" s="1"/>
  <c r="BB424" i="1"/>
  <c r="BC424" i="1" s="1"/>
  <c r="BB423" i="1"/>
  <c r="BC423" i="1" s="1"/>
  <c r="BB422" i="1"/>
  <c r="BC422" i="1" s="1"/>
  <c r="BB421" i="1"/>
  <c r="BC421" i="1" s="1"/>
  <c r="BB420" i="1"/>
  <c r="BC420" i="1" s="1"/>
  <c r="BB419" i="1"/>
  <c r="BC419" i="1" s="1"/>
  <c r="BB418" i="1"/>
  <c r="BC418" i="1" s="1"/>
  <c r="BB417" i="1"/>
  <c r="BC417" i="1" s="1"/>
  <c r="BB416" i="1"/>
  <c r="BC416" i="1" s="1"/>
  <c r="BB415" i="1"/>
  <c r="BC415" i="1" s="1"/>
  <c r="BB414" i="1"/>
  <c r="BC414" i="1" s="1"/>
  <c r="BB413" i="1"/>
  <c r="BC413" i="1" s="1"/>
  <c r="BB412" i="1"/>
  <c r="BC412" i="1" s="1"/>
  <c r="BB411" i="1"/>
  <c r="BC411" i="1" s="1"/>
  <c r="BB410" i="1"/>
  <c r="BC410" i="1" s="1"/>
  <c r="BB409" i="1"/>
  <c r="BC409" i="1" s="1"/>
  <c r="BB408" i="1"/>
  <c r="BC408" i="1" s="1"/>
  <c r="BB407" i="1"/>
  <c r="BC407" i="1" s="1"/>
  <c r="BB406" i="1"/>
  <c r="BC406" i="1" s="1"/>
  <c r="BB405" i="1"/>
  <c r="BC405" i="1" s="1"/>
  <c r="BB404" i="1"/>
  <c r="BC404" i="1" s="1"/>
  <c r="BB403" i="1"/>
  <c r="BC403" i="1" s="1"/>
  <c r="BB402" i="1"/>
  <c r="BC402" i="1" s="1"/>
  <c r="BB401" i="1"/>
  <c r="BC401" i="1" s="1"/>
  <c r="BB400" i="1"/>
  <c r="BC400" i="1" s="1"/>
  <c r="BB399" i="1"/>
  <c r="BC399" i="1" s="1"/>
  <c r="BB398" i="1"/>
  <c r="BC398" i="1" s="1"/>
  <c r="BB397" i="1"/>
  <c r="BC397" i="1" s="1"/>
  <c r="BB396" i="1"/>
  <c r="BC396" i="1" s="1"/>
  <c r="BB395" i="1"/>
  <c r="BC395" i="1" s="1"/>
  <c r="BB394" i="1"/>
  <c r="BC394" i="1" s="1"/>
  <c r="BB393" i="1"/>
  <c r="BC393" i="1" s="1"/>
  <c r="BB392" i="1"/>
  <c r="BC392" i="1" s="1"/>
  <c r="BB391" i="1"/>
  <c r="BC391" i="1" s="1"/>
  <c r="BB390" i="1"/>
  <c r="BC390" i="1" s="1"/>
  <c r="BB389" i="1"/>
  <c r="BC389" i="1" s="1"/>
  <c r="BB388" i="1"/>
  <c r="BC388" i="1" s="1"/>
  <c r="BB387" i="1"/>
  <c r="BC387" i="1" s="1"/>
  <c r="BB386" i="1"/>
  <c r="BC386" i="1" s="1"/>
  <c r="BB385" i="1"/>
  <c r="BC385" i="1" s="1"/>
  <c r="BB384" i="1"/>
  <c r="BC384" i="1" s="1"/>
  <c r="BB383" i="1"/>
  <c r="BC383" i="1" s="1"/>
  <c r="BB382" i="1"/>
  <c r="BC382" i="1" s="1"/>
  <c r="BB381" i="1"/>
  <c r="BC381" i="1" s="1"/>
  <c r="BB380" i="1"/>
  <c r="BC380" i="1" s="1"/>
  <c r="BB379" i="1"/>
  <c r="BC379" i="1" s="1"/>
  <c r="BB378" i="1"/>
  <c r="BC378" i="1" s="1"/>
  <c r="BB377" i="1"/>
  <c r="BC377" i="1" s="1"/>
  <c r="BB376" i="1"/>
  <c r="BC376" i="1" s="1"/>
  <c r="BB375" i="1"/>
  <c r="BC375" i="1" s="1"/>
  <c r="BB374" i="1"/>
  <c r="BC374" i="1" s="1"/>
  <c r="BB373" i="1"/>
  <c r="BC373" i="1" s="1"/>
  <c r="BB372" i="1"/>
  <c r="BC372" i="1" s="1"/>
  <c r="BB371" i="1"/>
  <c r="BC371" i="1" s="1"/>
  <c r="BB370" i="1"/>
  <c r="BC370" i="1" s="1"/>
  <c r="BB369" i="1"/>
  <c r="BC369" i="1" s="1"/>
  <c r="BB368" i="1"/>
  <c r="BC368" i="1" s="1"/>
  <c r="BB367" i="1"/>
  <c r="BC367" i="1" s="1"/>
  <c r="BB366" i="1"/>
  <c r="BC366" i="1" s="1"/>
  <c r="BB365" i="1"/>
  <c r="BC365" i="1" s="1"/>
  <c r="BB364" i="1"/>
  <c r="BC364" i="1" s="1"/>
  <c r="BB363" i="1"/>
  <c r="BC363" i="1" s="1"/>
  <c r="BB362" i="1"/>
  <c r="BC362" i="1" s="1"/>
  <c r="BB361" i="1"/>
  <c r="BC361" i="1" s="1"/>
  <c r="BB360" i="1"/>
  <c r="BC360" i="1" s="1"/>
  <c r="BB359" i="1"/>
  <c r="BC359" i="1" s="1"/>
  <c r="BB358" i="1"/>
  <c r="BC358" i="1" s="1"/>
  <c r="BB357" i="1"/>
  <c r="BC357" i="1" s="1"/>
  <c r="BB356" i="1"/>
  <c r="BC356" i="1" s="1"/>
  <c r="BB355" i="1"/>
  <c r="BC355" i="1" s="1"/>
  <c r="BB354" i="1"/>
  <c r="BC354" i="1" s="1"/>
  <c r="BB353" i="1"/>
  <c r="BC353" i="1" s="1"/>
  <c r="BB352" i="1"/>
  <c r="BC352" i="1" s="1"/>
  <c r="BB351" i="1"/>
  <c r="BC351" i="1" s="1"/>
  <c r="BB350" i="1"/>
  <c r="BC350" i="1" s="1"/>
  <c r="BB349" i="1"/>
  <c r="BC349" i="1" s="1"/>
  <c r="BB348" i="1"/>
  <c r="BC348" i="1" s="1"/>
  <c r="BB347" i="1"/>
  <c r="BC347" i="1" s="1"/>
  <c r="BB346" i="1"/>
  <c r="BC346" i="1" s="1"/>
  <c r="BB345" i="1"/>
  <c r="BC345" i="1" s="1"/>
  <c r="BB344" i="1"/>
  <c r="BC344" i="1" s="1"/>
  <c r="BB343" i="1"/>
  <c r="BC343" i="1" s="1"/>
  <c r="BB342" i="1"/>
  <c r="BC342" i="1" s="1"/>
  <c r="BB341" i="1"/>
  <c r="BC341" i="1" s="1"/>
  <c r="BB340" i="1"/>
  <c r="BC340" i="1" s="1"/>
  <c r="BB339" i="1"/>
  <c r="BC339" i="1" s="1"/>
  <c r="BB338" i="1"/>
  <c r="BC338" i="1" s="1"/>
  <c r="BB337" i="1"/>
  <c r="BC337" i="1" s="1"/>
  <c r="BB336" i="1"/>
  <c r="BC336" i="1" s="1"/>
  <c r="BB335" i="1"/>
  <c r="BC335" i="1" s="1"/>
  <c r="BB334" i="1"/>
  <c r="BC334" i="1" s="1"/>
  <c r="BB333" i="1"/>
  <c r="BC333" i="1" s="1"/>
  <c r="BB332" i="1"/>
  <c r="BC332" i="1" s="1"/>
  <c r="BB331" i="1"/>
  <c r="BC331" i="1" s="1"/>
  <c r="BB330" i="1"/>
  <c r="BC330" i="1" s="1"/>
  <c r="BB329" i="1"/>
  <c r="BC329" i="1" s="1"/>
  <c r="BB328" i="1"/>
  <c r="BC328" i="1" s="1"/>
  <c r="BB327" i="1"/>
  <c r="BC327" i="1" s="1"/>
  <c r="BB326" i="1"/>
  <c r="BC326" i="1" s="1"/>
  <c r="BB325" i="1"/>
  <c r="BC325" i="1" s="1"/>
  <c r="BB324" i="1"/>
  <c r="BC324" i="1" s="1"/>
  <c r="BB323" i="1"/>
  <c r="BC323" i="1" s="1"/>
  <c r="BB322" i="1"/>
  <c r="BC322" i="1" s="1"/>
  <c r="BB321" i="1"/>
  <c r="BC321" i="1" s="1"/>
  <c r="BB320" i="1"/>
  <c r="BC320" i="1" s="1"/>
  <c r="BB319" i="1"/>
  <c r="BC319" i="1" s="1"/>
  <c r="BB318" i="1"/>
  <c r="BC318" i="1" s="1"/>
  <c r="BB317" i="1"/>
  <c r="BC317" i="1" s="1"/>
  <c r="BB316" i="1"/>
  <c r="BC316" i="1" s="1"/>
  <c r="BB315" i="1"/>
  <c r="BC315" i="1" s="1"/>
  <c r="BB314" i="1"/>
  <c r="BC314" i="1" s="1"/>
  <c r="BB313" i="1"/>
  <c r="BC313" i="1" s="1"/>
  <c r="BB312" i="1"/>
  <c r="BC312" i="1" s="1"/>
  <c r="BB311" i="1"/>
  <c r="BC311" i="1" s="1"/>
  <c r="BB310" i="1"/>
  <c r="BC310" i="1" s="1"/>
  <c r="BB309" i="1"/>
  <c r="BC309" i="1" s="1"/>
  <c r="BB308" i="1"/>
  <c r="BC308" i="1" s="1"/>
  <c r="BB307" i="1"/>
  <c r="BC307" i="1" s="1"/>
  <c r="BB306" i="1"/>
  <c r="BC306" i="1" s="1"/>
  <c r="BB305" i="1"/>
  <c r="BC305" i="1" s="1"/>
  <c r="BB304" i="1"/>
  <c r="BC304" i="1" s="1"/>
  <c r="BB303" i="1"/>
  <c r="BC303" i="1" s="1"/>
  <c r="BB302" i="1"/>
  <c r="BC302" i="1" s="1"/>
  <c r="BB301" i="1"/>
  <c r="BC301" i="1" s="1"/>
  <c r="BB300" i="1"/>
  <c r="BC300" i="1" s="1"/>
  <c r="BB299" i="1"/>
  <c r="BC299" i="1" s="1"/>
  <c r="BB298" i="1"/>
  <c r="BC298" i="1" s="1"/>
  <c r="BB297" i="1"/>
  <c r="BC297" i="1" s="1"/>
  <c r="BB296" i="1"/>
  <c r="BC296" i="1" s="1"/>
  <c r="BB295" i="1"/>
  <c r="BC295" i="1" s="1"/>
  <c r="BB294" i="1"/>
  <c r="BC294" i="1" s="1"/>
  <c r="BB293" i="1"/>
  <c r="BC293" i="1" s="1"/>
  <c r="BB292" i="1"/>
  <c r="BC292" i="1" s="1"/>
  <c r="BB291" i="1"/>
  <c r="BC291" i="1" s="1"/>
  <c r="BB290" i="1"/>
  <c r="BC290" i="1" s="1"/>
  <c r="BB289" i="1"/>
  <c r="BC289" i="1" s="1"/>
  <c r="BB288" i="1"/>
  <c r="BC288" i="1" s="1"/>
  <c r="BB287" i="1"/>
  <c r="BC287" i="1" s="1"/>
  <c r="BB286" i="1"/>
  <c r="BC286" i="1" s="1"/>
  <c r="BB285" i="1"/>
  <c r="BC285" i="1" s="1"/>
  <c r="BB284" i="1"/>
  <c r="BC284" i="1" s="1"/>
  <c r="BB283" i="1"/>
  <c r="BC283" i="1" s="1"/>
  <c r="BB282" i="1"/>
  <c r="BC282" i="1" s="1"/>
  <c r="BB281" i="1"/>
  <c r="BC281" i="1" s="1"/>
  <c r="BB280" i="1"/>
  <c r="BC280" i="1" s="1"/>
  <c r="BB279" i="1"/>
  <c r="BC279" i="1" s="1"/>
  <c r="BB278" i="1"/>
  <c r="BC278" i="1" s="1"/>
  <c r="BB277" i="1"/>
  <c r="BC277" i="1" s="1"/>
  <c r="BB276" i="1"/>
  <c r="BC276" i="1" s="1"/>
  <c r="BB275" i="1"/>
  <c r="BC275" i="1" s="1"/>
  <c r="BB274" i="1"/>
  <c r="BC274" i="1" s="1"/>
  <c r="BB273" i="1"/>
  <c r="BC273" i="1" s="1"/>
  <c r="BB272" i="1"/>
  <c r="BC272" i="1" s="1"/>
  <c r="BB271" i="1"/>
  <c r="BC271" i="1" s="1"/>
  <c r="BB270" i="1"/>
  <c r="BC270" i="1" s="1"/>
  <c r="BB269" i="1"/>
  <c r="BC269" i="1" s="1"/>
  <c r="BB268" i="1"/>
  <c r="BC268" i="1" s="1"/>
  <c r="BB267" i="1"/>
  <c r="BC267" i="1" s="1"/>
  <c r="BB266" i="1"/>
  <c r="BC266" i="1" s="1"/>
  <c r="BB265" i="1"/>
  <c r="BC265" i="1" s="1"/>
  <c r="BB264" i="1"/>
  <c r="BC264" i="1" s="1"/>
  <c r="BB263" i="1"/>
  <c r="BC263" i="1" s="1"/>
  <c r="BB262" i="1"/>
  <c r="BC262" i="1" s="1"/>
  <c r="BB261" i="1"/>
  <c r="BC261" i="1" s="1"/>
  <c r="BB260" i="1"/>
  <c r="BC260" i="1" s="1"/>
  <c r="BB259" i="1"/>
  <c r="BC259" i="1" s="1"/>
  <c r="BB258" i="1"/>
  <c r="BC258" i="1" s="1"/>
  <c r="BB257" i="1"/>
  <c r="BC257" i="1" s="1"/>
  <c r="BB256" i="1"/>
  <c r="BC256" i="1" s="1"/>
  <c r="BB255" i="1"/>
  <c r="BC255" i="1" s="1"/>
  <c r="BB254" i="1"/>
  <c r="BC254" i="1" s="1"/>
  <c r="BB253" i="1"/>
  <c r="BC253" i="1" s="1"/>
  <c r="BB252" i="1"/>
  <c r="BC252" i="1" s="1"/>
  <c r="BB251" i="1"/>
  <c r="BC251" i="1" s="1"/>
  <c r="BB250" i="1"/>
  <c r="BC250" i="1" s="1"/>
  <c r="BB249" i="1"/>
  <c r="BC249" i="1" s="1"/>
  <c r="BB248" i="1"/>
  <c r="BC248" i="1" s="1"/>
  <c r="BB247" i="1"/>
  <c r="BC247" i="1" s="1"/>
  <c r="BB246" i="1"/>
  <c r="BC246" i="1" s="1"/>
  <c r="BB245" i="1"/>
  <c r="BC245" i="1" s="1"/>
  <c r="BB244" i="1"/>
  <c r="BC244" i="1" s="1"/>
  <c r="BB243" i="1"/>
  <c r="BC243" i="1" s="1"/>
  <c r="BB242" i="1"/>
  <c r="BC242" i="1" s="1"/>
  <c r="BB241" i="1"/>
  <c r="BC241" i="1" s="1"/>
  <c r="BB240" i="1"/>
  <c r="BC240" i="1" s="1"/>
  <c r="BB239" i="1"/>
  <c r="BC239" i="1" s="1"/>
  <c r="BB238" i="1"/>
  <c r="BC238" i="1" s="1"/>
  <c r="BB237" i="1"/>
  <c r="BC237" i="1" s="1"/>
  <c r="BB236" i="1"/>
  <c r="BC236" i="1" s="1"/>
  <c r="BB235" i="1"/>
  <c r="BC235" i="1" s="1"/>
  <c r="BB234" i="1"/>
  <c r="BC234" i="1" s="1"/>
  <c r="BB233" i="1"/>
  <c r="BC233" i="1" s="1"/>
  <c r="BB232" i="1"/>
  <c r="BC232" i="1" s="1"/>
  <c r="BB231" i="1"/>
  <c r="BC231" i="1" s="1"/>
  <c r="BB230" i="1"/>
  <c r="BC230" i="1" s="1"/>
  <c r="BB229" i="1"/>
  <c r="BC229" i="1" s="1"/>
  <c r="BB228" i="1"/>
  <c r="BC228" i="1" s="1"/>
  <c r="BB227" i="1"/>
  <c r="BC227" i="1" s="1"/>
  <c r="BB226" i="1"/>
  <c r="BC226" i="1" s="1"/>
  <c r="BB225" i="1"/>
  <c r="BC225" i="1" s="1"/>
  <c r="BB224" i="1"/>
  <c r="BC224" i="1" s="1"/>
  <c r="BB223" i="1"/>
  <c r="BC223" i="1" s="1"/>
  <c r="BB222" i="1"/>
  <c r="BC222" i="1" s="1"/>
  <c r="BB221" i="1"/>
  <c r="BC221" i="1" s="1"/>
  <c r="BB220" i="1"/>
  <c r="BC220" i="1" s="1"/>
  <c r="BB219" i="1"/>
  <c r="BC219" i="1" s="1"/>
  <c r="BB218" i="1"/>
  <c r="BC218" i="1" s="1"/>
  <c r="BB217" i="1"/>
  <c r="BC217" i="1" s="1"/>
  <c r="BB216" i="1"/>
  <c r="BC216" i="1" s="1"/>
  <c r="BB215" i="1"/>
  <c r="BC215" i="1" s="1"/>
  <c r="BB214" i="1"/>
  <c r="BC214" i="1" s="1"/>
  <c r="BB213" i="1"/>
  <c r="BC213" i="1" s="1"/>
  <c r="BB212" i="1"/>
  <c r="BC212" i="1" s="1"/>
  <c r="BB211" i="1"/>
  <c r="BC211" i="1" s="1"/>
  <c r="BB210" i="1"/>
  <c r="BC210" i="1" s="1"/>
  <c r="BB209" i="1"/>
  <c r="BC209" i="1" s="1"/>
  <c r="BB208" i="1"/>
  <c r="BC208" i="1" s="1"/>
  <c r="BB207" i="1"/>
  <c r="BC207" i="1" s="1"/>
  <c r="BB206" i="1"/>
  <c r="BC206" i="1" s="1"/>
  <c r="BB205" i="1"/>
  <c r="BC205" i="1" s="1"/>
  <c r="BB204" i="1"/>
  <c r="BC204" i="1" s="1"/>
  <c r="BB203" i="1"/>
  <c r="BC203" i="1" s="1"/>
  <c r="BB202" i="1"/>
  <c r="BC202" i="1" s="1"/>
  <c r="BB201" i="1"/>
  <c r="BC201" i="1" s="1"/>
  <c r="BB200" i="1"/>
  <c r="BC200" i="1" s="1"/>
  <c r="BB199" i="1"/>
  <c r="BC199" i="1" s="1"/>
  <c r="BB198" i="1"/>
  <c r="BC198" i="1" s="1"/>
  <c r="BB197" i="1"/>
  <c r="BC197" i="1" s="1"/>
  <c r="BB196" i="1"/>
  <c r="BC196" i="1" s="1"/>
  <c r="BB195" i="1"/>
  <c r="BC195" i="1" s="1"/>
  <c r="BB194" i="1"/>
  <c r="BC194" i="1" s="1"/>
  <c r="BB193" i="1"/>
  <c r="BC193" i="1" s="1"/>
  <c r="BB192" i="1"/>
  <c r="BC192" i="1" s="1"/>
  <c r="BB191" i="1"/>
  <c r="BC191" i="1" s="1"/>
  <c r="BB190" i="1"/>
  <c r="BC190" i="1" s="1"/>
  <c r="BB189" i="1"/>
  <c r="BC189" i="1" s="1"/>
  <c r="BB188" i="1"/>
  <c r="BC188" i="1" s="1"/>
  <c r="BB187" i="1"/>
  <c r="BC187" i="1" s="1"/>
  <c r="BB186" i="1"/>
  <c r="BC186" i="1" s="1"/>
  <c r="BB185" i="1"/>
  <c r="BC185" i="1" s="1"/>
  <c r="BB184" i="1"/>
  <c r="BC184" i="1" s="1"/>
  <c r="BB183" i="1"/>
  <c r="BC183" i="1" s="1"/>
  <c r="BB182" i="1"/>
  <c r="BC182" i="1" s="1"/>
  <c r="BB181" i="1"/>
  <c r="BC181" i="1" s="1"/>
  <c r="BB180" i="1"/>
  <c r="BC180" i="1" s="1"/>
  <c r="BB179" i="1"/>
  <c r="BC179" i="1" s="1"/>
  <c r="BB178" i="1"/>
  <c r="BC178" i="1" s="1"/>
  <c r="BB177" i="1"/>
  <c r="BC177" i="1" s="1"/>
  <c r="BB176" i="1"/>
  <c r="BC176" i="1" s="1"/>
  <c r="BB175" i="1"/>
  <c r="BC175" i="1" s="1"/>
  <c r="BB174" i="1"/>
  <c r="BC174" i="1" s="1"/>
  <c r="BB173" i="1"/>
  <c r="BC173" i="1" s="1"/>
  <c r="BB172" i="1"/>
  <c r="BC172" i="1" s="1"/>
  <c r="BB171" i="1"/>
  <c r="BC171" i="1" s="1"/>
  <c r="BB170" i="1"/>
  <c r="BC170" i="1" s="1"/>
  <c r="BB169" i="1"/>
  <c r="BC169" i="1" s="1"/>
  <c r="BB168" i="1"/>
  <c r="BC168" i="1" s="1"/>
  <c r="BB167" i="1"/>
  <c r="BC167" i="1" s="1"/>
  <c r="BB166" i="1"/>
  <c r="BC166" i="1" s="1"/>
  <c r="BB165" i="1"/>
  <c r="BC165" i="1" s="1"/>
  <c r="BB164" i="1"/>
  <c r="BC164" i="1" s="1"/>
  <c r="BB163" i="1"/>
  <c r="BC163" i="1" s="1"/>
  <c r="BB162" i="1"/>
  <c r="BC162" i="1" s="1"/>
  <c r="BB161" i="1"/>
  <c r="BC161" i="1" s="1"/>
  <c r="BB160" i="1"/>
  <c r="BC160" i="1" s="1"/>
  <c r="BB159" i="1"/>
  <c r="BC159" i="1" s="1"/>
  <c r="BB158" i="1"/>
  <c r="BC158" i="1" s="1"/>
  <c r="BB157" i="1"/>
  <c r="BC157" i="1" s="1"/>
  <c r="BB156" i="1"/>
  <c r="BC156" i="1" s="1"/>
  <c r="BB155" i="1"/>
  <c r="BC155" i="1" s="1"/>
  <c r="BB154" i="1"/>
  <c r="BC154" i="1" s="1"/>
  <c r="BB153" i="1"/>
  <c r="BC153" i="1" s="1"/>
  <c r="BB152" i="1"/>
  <c r="BC152" i="1" s="1"/>
  <c r="BB151" i="1"/>
  <c r="BC151" i="1" s="1"/>
  <c r="BB150" i="1"/>
  <c r="BC150" i="1" s="1"/>
  <c r="BB149" i="1"/>
  <c r="BC149" i="1" s="1"/>
  <c r="BB148" i="1"/>
  <c r="BC148" i="1" s="1"/>
  <c r="BB147" i="1"/>
  <c r="BC147" i="1" s="1"/>
  <c r="BB146" i="1"/>
  <c r="BC146" i="1" s="1"/>
  <c r="BB145" i="1"/>
  <c r="BC145" i="1" s="1"/>
  <c r="BB144" i="1"/>
  <c r="BC144" i="1" s="1"/>
  <c r="BB143" i="1"/>
  <c r="BC143" i="1" s="1"/>
  <c r="BB142" i="1"/>
  <c r="BC142" i="1" s="1"/>
  <c r="BB141" i="1"/>
  <c r="BC141" i="1" s="1"/>
  <c r="BB140" i="1"/>
  <c r="BC140" i="1" s="1"/>
  <c r="BB139" i="1"/>
  <c r="BC139" i="1" s="1"/>
  <c r="BB138" i="1"/>
  <c r="BC138" i="1" s="1"/>
  <c r="BB137" i="1"/>
  <c r="BC137" i="1" s="1"/>
  <c r="BB136" i="1"/>
  <c r="BC136" i="1" s="1"/>
  <c r="BB135" i="1"/>
  <c r="BC135" i="1" s="1"/>
  <c r="BB134" i="1"/>
  <c r="BC134" i="1" s="1"/>
  <c r="BB133" i="1"/>
  <c r="BC133" i="1" s="1"/>
  <c r="BB132" i="1"/>
  <c r="BC132" i="1" s="1"/>
  <c r="BB131" i="1"/>
  <c r="BC131" i="1" s="1"/>
  <c r="BB130" i="1"/>
  <c r="BC130" i="1" s="1"/>
  <c r="BB129" i="1"/>
  <c r="BC129" i="1" s="1"/>
  <c r="BB128" i="1"/>
  <c r="BC128" i="1" s="1"/>
  <c r="BB127" i="1"/>
  <c r="BC127" i="1" s="1"/>
  <c r="BB126" i="1"/>
  <c r="BC126" i="1" s="1"/>
  <c r="BB125" i="1"/>
  <c r="BC125" i="1" s="1"/>
  <c r="BB124" i="1"/>
  <c r="BC124" i="1" s="1"/>
  <c r="BB123" i="1"/>
  <c r="BC123" i="1" s="1"/>
  <c r="BB122" i="1"/>
  <c r="BC122" i="1" s="1"/>
  <c r="BB121" i="1"/>
  <c r="BC121" i="1" s="1"/>
  <c r="BB120" i="1"/>
  <c r="BC120" i="1" s="1"/>
  <c r="BB119" i="1"/>
  <c r="BC119" i="1" s="1"/>
  <c r="BB118" i="1"/>
  <c r="BC118" i="1" s="1"/>
  <c r="BB117" i="1"/>
  <c r="BC117" i="1" s="1"/>
  <c r="BB116" i="1"/>
  <c r="BC116" i="1" s="1"/>
  <c r="BB115" i="1"/>
  <c r="BC115" i="1" s="1"/>
  <c r="BB114" i="1"/>
  <c r="BC114" i="1" s="1"/>
  <c r="BB113" i="1"/>
  <c r="BC113" i="1" s="1"/>
  <c r="BB112" i="1"/>
  <c r="BC112" i="1" s="1"/>
  <c r="BB111" i="1"/>
  <c r="BC111" i="1" s="1"/>
  <c r="BB110" i="1"/>
  <c r="BC110" i="1" s="1"/>
  <c r="BB109" i="1"/>
  <c r="BC109" i="1" s="1"/>
  <c r="BB108" i="1"/>
  <c r="BC108" i="1" s="1"/>
  <c r="BB107" i="1"/>
  <c r="BC107" i="1" s="1"/>
  <c r="BB106" i="1"/>
  <c r="BC106" i="1" s="1"/>
  <c r="BB105" i="1"/>
  <c r="BC105" i="1" s="1"/>
  <c r="BB104" i="1"/>
  <c r="BC104" i="1" s="1"/>
  <c r="BB103" i="1"/>
  <c r="BC103" i="1" s="1"/>
  <c r="BB102" i="1"/>
  <c r="BC102" i="1" s="1"/>
  <c r="BB101" i="1"/>
  <c r="BC101" i="1" s="1"/>
  <c r="BB100" i="1"/>
  <c r="BC100" i="1" s="1"/>
  <c r="BB99" i="1"/>
  <c r="BC99" i="1" s="1"/>
  <c r="BB98" i="1"/>
  <c r="BC98" i="1" s="1"/>
  <c r="BB97" i="1"/>
  <c r="BC97" i="1" s="1"/>
  <c r="BB96" i="1"/>
  <c r="BC96" i="1" s="1"/>
  <c r="BB95" i="1"/>
  <c r="BC95" i="1" s="1"/>
  <c r="BB94" i="1"/>
  <c r="BC94" i="1" s="1"/>
  <c r="BB93" i="1"/>
  <c r="BC93" i="1" s="1"/>
  <c r="BB92" i="1"/>
  <c r="BC92" i="1" s="1"/>
  <c r="BB91" i="1"/>
  <c r="BC91" i="1" s="1"/>
  <c r="BB90" i="1"/>
  <c r="BC90" i="1" s="1"/>
  <c r="BB89" i="1"/>
  <c r="BC89" i="1" s="1"/>
  <c r="BB88" i="1"/>
  <c r="BC88" i="1" s="1"/>
  <c r="BB87" i="1"/>
  <c r="BC87" i="1" s="1"/>
  <c r="BB86" i="1"/>
  <c r="BC86" i="1" s="1"/>
  <c r="BB85" i="1"/>
  <c r="BC85" i="1" s="1"/>
  <c r="BB84" i="1"/>
  <c r="BC84" i="1" s="1"/>
  <c r="BB83" i="1"/>
  <c r="BC83" i="1" s="1"/>
  <c r="BB82" i="1"/>
  <c r="BC82" i="1" s="1"/>
  <c r="BB81" i="1"/>
  <c r="BC81" i="1" s="1"/>
  <c r="BB80" i="1"/>
  <c r="BC80" i="1" s="1"/>
  <c r="BB79" i="1"/>
  <c r="BC79" i="1" s="1"/>
  <c r="BB78" i="1"/>
  <c r="BC78" i="1" s="1"/>
  <c r="BB77" i="1"/>
  <c r="BC77" i="1" s="1"/>
  <c r="BB76" i="1"/>
  <c r="BC76" i="1" s="1"/>
  <c r="BB75" i="1"/>
  <c r="BC75" i="1" s="1"/>
  <c r="BB74" i="1"/>
  <c r="BC74" i="1" s="1"/>
  <c r="BB73" i="1"/>
  <c r="BC73" i="1" s="1"/>
  <c r="BB72" i="1"/>
  <c r="BC72" i="1" s="1"/>
  <c r="BB71" i="1"/>
  <c r="BC71" i="1" s="1"/>
  <c r="BB70" i="1"/>
  <c r="BC70" i="1" s="1"/>
  <c r="BB69" i="1"/>
  <c r="BC69" i="1" s="1"/>
  <c r="BB68" i="1"/>
  <c r="BC68" i="1" s="1"/>
  <c r="BB67" i="1"/>
  <c r="BC67" i="1" s="1"/>
  <c r="BB66" i="1"/>
  <c r="BC66" i="1" s="1"/>
  <c r="BB65" i="1"/>
  <c r="BC65" i="1" s="1"/>
  <c r="BB64" i="1"/>
  <c r="BC64" i="1" s="1"/>
  <c r="BB63" i="1"/>
  <c r="BC63" i="1" s="1"/>
  <c r="BB62" i="1"/>
  <c r="BC62" i="1" s="1"/>
  <c r="BB61" i="1"/>
  <c r="BC61" i="1" s="1"/>
  <c r="BB60" i="1"/>
  <c r="BC60" i="1" s="1"/>
  <c r="BB59" i="1"/>
  <c r="BC59" i="1" s="1"/>
  <c r="BB58" i="1"/>
  <c r="BC58" i="1" s="1"/>
  <c r="BB57" i="1"/>
  <c r="BC57" i="1" s="1"/>
  <c r="BB56" i="1"/>
  <c r="BC56" i="1" s="1"/>
  <c r="BB55" i="1"/>
  <c r="BC55" i="1" s="1"/>
  <c r="BB54" i="1"/>
  <c r="BC54" i="1" s="1"/>
  <c r="BB53" i="1"/>
  <c r="BC53" i="1" s="1"/>
  <c r="BB52" i="1"/>
  <c r="BC52" i="1" s="1"/>
  <c r="BB51" i="1"/>
  <c r="BC51" i="1" s="1"/>
  <c r="BB50" i="1"/>
  <c r="BC50" i="1" s="1"/>
  <c r="BB49" i="1"/>
  <c r="BC49" i="1" s="1"/>
  <c r="BB48" i="1"/>
  <c r="BC48" i="1" s="1"/>
  <c r="BB47" i="1"/>
  <c r="BC47" i="1" s="1"/>
  <c r="BB46" i="1"/>
  <c r="BC46" i="1" s="1"/>
  <c r="BB45" i="1"/>
  <c r="BC45" i="1" s="1"/>
  <c r="BB44" i="1"/>
  <c r="BC44" i="1" s="1"/>
  <c r="AZ1011" i="1"/>
  <c r="BA1011" i="1" s="1"/>
  <c r="AZ1010" i="1"/>
  <c r="BA1010" i="1" s="1"/>
  <c r="AZ1009" i="1"/>
  <c r="BA1009" i="1" s="1"/>
  <c r="AZ1008" i="1"/>
  <c r="BA1008" i="1" s="1"/>
  <c r="AZ1007" i="1"/>
  <c r="BA1007" i="1" s="1"/>
  <c r="AZ1006" i="1"/>
  <c r="BA1006" i="1" s="1"/>
  <c r="AZ1005" i="1"/>
  <c r="BA1005" i="1" s="1"/>
  <c r="AZ1004" i="1"/>
  <c r="BA1004" i="1" s="1"/>
  <c r="AZ1003" i="1"/>
  <c r="BA1003" i="1" s="1"/>
  <c r="AZ1002" i="1"/>
  <c r="BA1002" i="1" s="1"/>
  <c r="AZ1001" i="1"/>
  <c r="BA1001" i="1" s="1"/>
  <c r="AZ1000" i="1"/>
  <c r="BA1000" i="1" s="1"/>
  <c r="AZ999" i="1"/>
  <c r="BA999" i="1" s="1"/>
  <c r="AZ998" i="1"/>
  <c r="BA998" i="1" s="1"/>
  <c r="AZ997" i="1"/>
  <c r="BA997" i="1" s="1"/>
  <c r="AZ996" i="1"/>
  <c r="BA996" i="1" s="1"/>
  <c r="AZ995" i="1"/>
  <c r="BA995" i="1" s="1"/>
  <c r="AZ994" i="1"/>
  <c r="BA994" i="1" s="1"/>
  <c r="AZ993" i="1"/>
  <c r="BA993" i="1" s="1"/>
  <c r="AZ992" i="1"/>
  <c r="BA992" i="1" s="1"/>
  <c r="AZ991" i="1"/>
  <c r="BA991" i="1" s="1"/>
  <c r="AZ990" i="1"/>
  <c r="BA990" i="1" s="1"/>
  <c r="AZ989" i="1"/>
  <c r="BA989" i="1" s="1"/>
  <c r="AZ988" i="1"/>
  <c r="BA988" i="1" s="1"/>
  <c r="AZ987" i="1"/>
  <c r="BA987" i="1" s="1"/>
  <c r="AZ986" i="1"/>
  <c r="BA986" i="1" s="1"/>
  <c r="AZ985" i="1"/>
  <c r="BA985" i="1" s="1"/>
  <c r="AZ984" i="1"/>
  <c r="BA984" i="1" s="1"/>
  <c r="AZ983" i="1"/>
  <c r="BA983" i="1" s="1"/>
  <c r="AZ982" i="1"/>
  <c r="BA982" i="1" s="1"/>
  <c r="AZ981" i="1"/>
  <c r="BA981" i="1" s="1"/>
  <c r="AZ980" i="1"/>
  <c r="BA980" i="1" s="1"/>
  <c r="AZ979" i="1"/>
  <c r="BA979" i="1" s="1"/>
  <c r="AZ978" i="1"/>
  <c r="BA978" i="1" s="1"/>
  <c r="AZ977" i="1"/>
  <c r="BA977" i="1" s="1"/>
  <c r="AZ976" i="1"/>
  <c r="BA976" i="1" s="1"/>
  <c r="AZ975" i="1"/>
  <c r="BA975" i="1" s="1"/>
  <c r="AZ974" i="1"/>
  <c r="BA974" i="1" s="1"/>
  <c r="AZ973" i="1"/>
  <c r="BA973" i="1" s="1"/>
  <c r="AZ972" i="1"/>
  <c r="BA972" i="1" s="1"/>
  <c r="AZ971" i="1"/>
  <c r="BA971" i="1" s="1"/>
  <c r="AZ970" i="1"/>
  <c r="BA970" i="1" s="1"/>
  <c r="AZ969" i="1"/>
  <c r="BA969" i="1" s="1"/>
  <c r="AZ968" i="1"/>
  <c r="BA968" i="1" s="1"/>
  <c r="AZ967" i="1"/>
  <c r="BA967" i="1" s="1"/>
  <c r="AZ966" i="1"/>
  <c r="BA966" i="1" s="1"/>
  <c r="AZ965" i="1"/>
  <c r="BA965" i="1" s="1"/>
  <c r="AZ964" i="1"/>
  <c r="BA964" i="1" s="1"/>
  <c r="AZ963" i="1"/>
  <c r="BA963" i="1" s="1"/>
  <c r="AZ962" i="1"/>
  <c r="BA962" i="1" s="1"/>
  <c r="AZ961" i="1"/>
  <c r="BA961" i="1" s="1"/>
  <c r="AZ960" i="1"/>
  <c r="BA960" i="1" s="1"/>
  <c r="AZ959" i="1"/>
  <c r="BA959" i="1" s="1"/>
  <c r="AZ958" i="1"/>
  <c r="BA958" i="1" s="1"/>
  <c r="AZ957" i="1"/>
  <c r="BA957" i="1" s="1"/>
  <c r="AZ956" i="1"/>
  <c r="BA956" i="1" s="1"/>
  <c r="AZ955" i="1"/>
  <c r="BA955" i="1" s="1"/>
  <c r="AZ954" i="1"/>
  <c r="BA954" i="1" s="1"/>
  <c r="AZ953" i="1"/>
  <c r="BA953" i="1" s="1"/>
  <c r="AZ952" i="1"/>
  <c r="BA952" i="1" s="1"/>
  <c r="AZ951" i="1"/>
  <c r="BA951" i="1" s="1"/>
  <c r="AZ950" i="1"/>
  <c r="BA950" i="1" s="1"/>
  <c r="AZ949" i="1"/>
  <c r="BA949" i="1" s="1"/>
  <c r="AZ948" i="1"/>
  <c r="BA948" i="1" s="1"/>
  <c r="AZ947" i="1"/>
  <c r="BA947" i="1" s="1"/>
  <c r="AZ946" i="1"/>
  <c r="BA946" i="1" s="1"/>
  <c r="AZ945" i="1"/>
  <c r="BA945" i="1" s="1"/>
  <c r="AZ944" i="1"/>
  <c r="BA944" i="1" s="1"/>
  <c r="AZ943" i="1"/>
  <c r="BA943" i="1" s="1"/>
  <c r="AZ942" i="1"/>
  <c r="BA942" i="1" s="1"/>
  <c r="AZ941" i="1"/>
  <c r="BA941" i="1" s="1"/>
  <c r="AZ940" i="1"/>
  <c r="BA940" i="1" s="1"/>
  <c r="AZ939" i="1"/>
  <c r="BA939" i="1" s="1"/>
  <c r="AZ938" i="1"/>
  <c r="BA938" i="1" s="1"/>
  <c r="AZ937" i="1"/>
  <c r="BA937" i="1" s="1"/>
  <c r="AZ936" i="1"/>
  <c r="BA936" i="1" s="1"/>
  <c r="AZ935" i="1"/>
  <c r="BA935" i="1" s="1"/>
  <c r="AZ934" i="1"/>
  <c r="BA934" i="1" s="1"/>
  <c r="AZ933" i="1"/>
  <c r="BA933" i="1" s="1"/>
  <c r="AZ932" i="1"/>
  <c r="BA932" i="1" s="1"/>
  <c r="AZ931" i="1"/>
  <c r="BA931" i="1" s="1"/>
  <c r="AZ930" i="1"/>
  <c r="BA930" i="1" s="1"/>
  <c r="AZ929" i="1"/>
  <c r="BA929" i="1" s="1"/>
  <c r="AZ928" i="1"/>
  <c r="BA928" i="1" s="1"/>
  <c r="AZ927" i="1"/>
  <c r="BA927" i="1" s="1"/>
  <c r="AZ926" i="1"/>
  <c r="BA926" i="1" s="1"/>
  <c r="AZ925" i="1"/>
  <c r="BA925" i="1" s="1"/>
  <c r="AZ924" i="1"/>
  <c r="BA924" i="1" s="1"/>
  <c r="AZ923" i="1"/>
  <c r="BA923" i="1" s="1"/>
  <c r="AZ922" i="1"/>
  <c r="BA922" i="1" s="1"/>
  <c r="AZ921" i="1"/>
  <c r="BA921" i="1" s="1"/>
  <c r="AZ920" i="1"/>
  <c r="BA920" i="1" s="1"/>
  <c r="AZ919" i="1"/>
  <c r="BA919" i="1" s="1"/>
  <c r="AZ918" i="1"/>
  <c r="BA918" i="1" s="1"/>
  <c r="AZ917" i="1"/>
  <c r="BA917" i="1" s="1"/>
  <c r="AZ916" i="1"/>
  <c r="BA916" i="1" s="1"/>
  <c r="AZ915" i="1"/>
  <c r="BA915" i="1" s="1"/>
  <c r="AZ914" i="1"/>
  <c r="BA914" i="1" s="1"/>
  <c r="AZ913" i="1"/>
  <c r="BA913" i="1" s="1"/>
  <c r="AZ912" i="1"/>
  <c r="BA912" i="1" s="1"/>
  <c r="AZ911" i="1"/>
  <c r="BA911" i="1" s="1"/>
  <c r="AZ910" i="1"/>
  <c r="BA910" i="1" s="1"/>
  <c r="AZ909" i="1"/>
  <c r="BA909" i="1" s="1"/>
  <c r="AZ908" i="1"/>
  <c r="BA908" i="1" s="1"/>
  <c r="AZ907" i="1"/>
  <c r="BA907" i="1" s="1"/>
  <c r="AZ906" i="1"/>
  <c r="BA906" i="1" s="1"/>
  <c r="AZ905" i="1"/>
  <c r="BA905" i="1" s="1"/>
  <c r="AZ904" i="1"/>
  <c r="BA904" i="1" s="1"/>
  <c r="AZ903" i="1"/>
  <c r="BA903" i="1" s="1"/>
  <c r="AZ902" i="1"/>
  <c r="BA902" i="1" s="1"/>
  <c r="AZ901" i="1"/>
  <c r="BA901" i="1" s="1"/>
  <c r="AZ900" i="1"/>
  <c r="BA900" i="1" s="1"/>
  <c r="AZ899" i="1"/>
  <c r="BA899" i="1" s="1"/>
  <c r="AZ898" i="1"/>
  <c r="BA898" i="1" s="1"/>
  <c r="AZ897" i="1"/>
  <c r="BA897" i="1" s="1"/>
  <c r="AZ896" i="1"/>
  <c r="BA896" i="1" s="1"/>
  <c r="AZ895" i="1"/>
  <c r="BA895" i="1" s="1"/>
  <c r="AZ894" i="1"/>
  <c r="BA894" i="1" s="1"/>
  <c r="AZ893" i="1"/>
  <c r="BA893" i="1" s="1"/>
  <c r="AZ892" i="1"/>
  <c r="BA892" i="1" s="1"/>
  <c r="AZ891" i="1"/>
  <c r="BA891" i="1" s="1"/>
  <c r="AZ890" i="1"/>
  <c r="BA890" i="1" s="1"/>
  <c r="AZ889" i="1"/>
  <c r="BA889" i="1" s="1"/>
  <c r="AZ888" i="1"/>
  <c r="BA888" i="1" s="1"/>
  <c r="AZ887" i="1"/>
  <c r="BA887" i="1" s="1"/>
  <c r="AZ886" i="1"/>
  <c r="BA886" i="1" s="1"/>
  <c r="AZ885" i="1"/>
  <c r="BA885" i="1" s="1"/>
  <c r="AZ884" i="1"/>
  <c r="BA884" i="1" s="1"/>
  <c r="AZ883" i="1"/>
  <c r="BA883" i="1" s="1"/>
  <c r="AZ882" i="1"/>
  <c r="BA882" i="1" s="1"/>
  <c r="AZ881" i="1"/>
  <c r="BA881" i="1" s="1"/>
  <c r="AZ880" i="1"/>
  <c r="BA880" i="1" s="1"/>
  <c r="AZ879" i="1"/>
  <c r="BA879" i="1" s="1"/>
  <c r="AZ878" i="1"/>
  <c r="BA878" i="1" s="1"/>
  <c r="AZ877" i="1"/>
  <c r="BA877" i="1" s="1"/>
  <c r="AZ876" i="1"/>
  <c r="BA876" i="1" s="1"/>
  <c r="AZ875" i="1"/>
  <c r="BA875" i="1" s="1"/>
  <c r="AZ874" i="1"/>
  <c r="BA874" i="1" s="1"/>
  <c r="AZ873" i="1"/>
  <c r="BA873" i="1" s="1"/>
  <c r="AZ872" i="1"/>
  <c r="BA872" i="1" s="1"/>
  <c r="AZ871" i="1"/>
  <c r="BA871" i="1" s="1"/>
  <c r="AZ870" i="1"/>
  <c r="BA870" i="1" s="1"/>
  <c r="AZ869" i="1"/>
  <c r="BA869" i="1" s="1"/>
  <c r="AZ868" i="1"/>
  <c r="BA868" i="1" s="1"/>
  <c r="AZ867" i="1"/>
  <c r="BA867" i="1" s="1"/>
  <c r="AZ866" i="1"/>
  <c r="BA866" i="1" s="1"/>
  <c r="AZ865" i="1"/>
  <c r="BA865" i="1" s="1"/>
  <c r="AZ864" i="1"/>
  <c r="BA864" i="1" s="1"/>
  <c r="AZ863" i="1"/>
  <c r="BA863" i="1" s="1"/>
  <c r="AZ862" i="1"/>
  <c r="BA862" i="1" s="1"/>
  <c r="AZ861" i="1"/>
  <c r="BA861" i="1" s="1"/>
  <c r="AZ860" i="1"/>
  <c r="BA860" i="1" s="1"/>
  <c r="AZ859" i="1"/>
  <c r="BA859" i="1" s="1"/>
  <c r="AZ858" i="1"/>
  <c r="BA858" i="1" s="1"/>
  <c r="AZ857" i="1"/>
  <c r="BA857" i="1" s="1"/>
  <c r="AZ856" i="1"/>
  <c r="BA856" i="1" s="1"/>
  <c r="AZ855" i="1"/>
  <c r="BA855" i="1" s="1"/>
  <c r="AZ854" i="1"/>
  <c r="BA854" i="1" s="1"/>
  <c r="AZ853" i="1"/>
  <c r="BA853" i="1" s="1"/>
  <c r="AZ852" i="1"/>
  <c r="BA852" i="1" s="1"/>
  <c r="AZ851" i="1"/>
  <c r="BA851" i="1" s="1"/>
  <c r="AZ850" i="1"/>
  <c r="BA850" i="1" s="1"/>
  <c r="AZ849" i="1"/>
  <c r="BA849" i="1" s="1"/>
  <c r="AZ848" i="1"/>
  <c r="BA848" i="1" s="1"/>
  <c r="AZ847" i="1"/>
  <c r="BA847" i="1" s="1"/>
  <c r="AZ846" i="1"/>
  <c r="BA846" i="1" s="1"/>
  <c r="AZ845" i="1"/>
  <c r="BA845" i="1" s="1"/>
  <c r="AZ844" i="1"/>
  <c r="BA844" i="1" s="1"/>
  <c r="AZ843" i="1"/>
  <c r="BA843" i="1" s="1"/>
  <c r="AZ842" i="1"/>
  <c r="BA842" i="1" s="1"/>
  <c r="AZ841" i="1"/>
  <c r="BA841" i="1" s="1"/>
  <c r="AZ840" i="1"/>
  <c r="BA840" i="1" s="1"/>
  <c r="AZ839" i="1"/>
  <c r="BA839" i="1" s="1"/>
  <c r="AZ838" i="1"/>
  <c r="BA838" i="1" s="1"/>
  <c r="AZ837" i="1"/>
  <c r="BA837" i="1" s="1"/>
  <c r="AZ836" i="1"/>
  <c r="BA836" i="1" s="1"/>
  <c r="AZ835" i="1"/>
  <c r="BA835" i="1" s="1"/>
  <c r="AZ834" i="1"/>
  <c r="BA834" i="1" s="1"/>
  <c r="AZ833" i="1"/>
  <c r="BA833" i="1" s="1"/>
  <c r="AZ832" i="1"/>
  <c r="BA832" i="1" s="1"/>
  <c r="AZ831" i="1"/>
  <c r="BA831" i="1" s="1"/>
  <c r="AZ830" i="1"/>
  <c r="BA830" i="1" s="1"/>
  <c r="AZ829" i="1"/>
  <c r="BA829" i="1" s="1"/>
  <c r="AZ828" i="1"/>
  <c r="BA828" i="1" s="1"/>
  <c r="AZ827" i="1"/>
  <c r="BA827" i="1" s="1"/>
  <c r="AZ826" i="1"/>
  <c r="BA826" i="1" s="1"/>
  <c r="AZ825" i="1"/>
  <c r="BA825" i="1" s="1"/>
  <c r="AZ824" i="1"/>
  <c r="BA824" i="1" s="1"/>
  <c r="AZ823" i="1"/>
  <c r="BA823" i="1" s="1"/>
  <c r="AZ822" i="1"/>
  <c r="BA822" i="1" s="1"/>
  <c r="AZ821" i="1"/>
  <c r="BA821" i="1" s="1"/>
  <c r="AZ820" i="1"/>
  <c r="BA820" i="1" s="1"/>
  <c r="AZ819" i="1"/>
  <c r="BA819" i="1" s="1"/>
  <c r="AZ818" i="1"/>
  <c r="BA818" i="1" s="1"/>
  <c r="AZ817" i="1"/>
  <c r="BA817" i="1" s="1"/>
  <c r="AZ816" i="1"/>
  <c r="BA816" i="1" s="1"/>
  <c r="AZ815" i="1"/>
  <c r="BA815" i="1" s="1"/>
  <c r="AZ814" i="1"/>
  <c r="BA814" i="1" s="1"/>
  <c r="AZ813" i="1"/>
  <c r="BA813" i="1" s="1"/>
  <c r="AZ812" i="1"/>
  <c r="BA812" i="1" s="1"/>
  <c r="AZ811" i="1"/>
  <c r="BA811" i="1" s="1"/>
  <c r="AZ810" i="1"/>
  <c r="BA810" i="1" s="1"/>
  <c r="AZ809" i="1"/>
  <c r="BA809" i="1" s="1"/>
  <c r="AZ808" i="1"/>
  <c r="BA808" i="1" s="1"/>
  <c r="AZ807" i="1"/>
  <c r="BA807" i="1" s="1"/>
  <c r="AZ806" i="1"/>
  <c r="BA806" i="1" s="1"/>
  <c r="AZ805" i="1"/>
  <c r="BA805" i="1" s="1"/>
  <c r="AZ804" i="1"/>
  <c r="BA804" i="1" s="1"/>
  <c r="AZ803" i="1"/>
  <c r="BA803" i="1" s="1"/>
  <c r="AZ802" i="1"/>
  <c r="BA802" i="1" s="1"/>
  <c r="AZ801" i="1"/>
  <c r="BA801" i="1" s="1"/>
  <c r="AZ800" i="1"/>
  <c r="BA800" i="1" s="1"/>
  <c r="AZ799" i="1"/>
  <c r="BA799" i="1" s="1"/>
  <c r="AZ798" i="1"/>
  <c r="BA798" i="1" s="1"/>
  <c r="AZ797" i="1"/>
  <c r="BA797" i="1" s="1"/>
  <c r="AZ796" i="1"/>
  <c r="BA796" i="1" s="1"/>
  <c r="AZ795" i="1"/>
  <c r="BA795" i="1" s="1"/>
  <c r="AZ794" i="1"/>
  <c r="BA794" i="1" s="1"/>
  <c r="AZ793" i="1"/>
  <c r="BA793" i="1" s="1"/>
  <c r="AZ792" i="1"/>
  <c r="BA792" i="1" s="1"/>
  <c r="AZ791" i="1"/>
  <c r="BA791" i="1" s="1"/>
  <c r="AZ790" i="1"/>
  <c r="BA790" i="1" s="1"/>
  <c r="AZ789" i="1"/>
  <c r="BA789" i="1" s="1"/>
  <c r="AZ788" i="1"/>
  <c r="BA788" i="1" s="1"/>
  <c r="AZ787" i="1"/>
  <c r="BA787" i="1" s="1"/>
  <c r="AZ786" i="1"/>
  <c r="BA786" i="1" s="1"/>
  <c r="AZ785" i="1"/>
  <c r="BA785" i="1" s="1"/>
  <c r="AZ784" i="1"/>
  <c r="BA784" i="1" s="1"/>
  <c r="AZ783" i="1"/>
  <c r="BA783" i="1" s="1"/>
  <c r="AZ782" i="1"/>
  <c r="BA782" i="1" s="1"/>
  <c r="AZ781" i="1"/>
  <c r="BA781" i="1" s="1"/>
  <c r="AZ780" i="1"/>
  <c r="BA780" i="1" s="1"/>
  <c r="AZ779" i="1"/>
  <c r="BA779" i="1" s="1"/>
  <c r="AZ778" i="1"/>
  <c r="BA778" i="1" s="1"/>
  <c r="AZ777" i="1"/>
  <c r="BA777" i="1" s="1"/>
  <c r="AZ776" i="1"/>
  <c r="BA776" i="1" s="1"/>
  <c r="AZ775" i="1"/>
  <c r="BA775" i="1" s="1"/>
  <c r="AZ774" i="1"/>
  <c r="BA774" i="1" s="1"/>
  <c r="AZ773" i="1"/>
  <c r="BA773" i="1" s="1"/>
  <c r="AZ772" i="1"/>
  <c r="BA772" i="1" s="1"/>
  <c r="AZ771" i="1"/>
  <c r="BA771" i="1" s="1"/>
  <c r="AZ770" i="1"/>
  <c r="BA770" i="1" s="1"/>
  <c r="AZ769" i="1"/>
  <c r="BA769" i="1" s="1"/>
  <c r="AZ768" i="1"/>
  <c r="BA768" i="1" s="1"/>
  <c r="AZ767" i="1"/>
  <c r="BA767" i="1" s="1"/>
  <c r="AZ766" i="1"/>
  <c r="BA766" i="1" s="1"/>
  <c r="AZ765" i="1"/>
  <c r="BA765" i="1" s="1"/>
  <c r="AZ764" i="1"/>
  <c r="BA764" i="1" s="1"/>
  <c r="AZ763" i="1"/>
  <c r="BA763" i="1" s="1"/>
  <c r="AZ762" i="1"/>
  <c r="BA762" i="1" s="1"/>
  <c r="AZ761" i="1"/>
  <c r="BA761" i="1" s="1"/>
  <c r="AZ760" i="1"/>
  <c r="BA760" i="1" s="1"/>
  <c r="AZ759" i="1"/>
  <c r="BA759" i="1" s="1"/>
  <c r="AZ758" i="1"/>
  <c r="BA758" i="1" s="1"/>
  <c r="AZ757" i="1"/>
  <c r="BA757" i="1" s="1"/>
  <c r="AZ756" i="1"/>
  <c r="BA756" i="1" s="1"/>
  <c r="AZ755" i="1"/>
  <c r="BA755" i="1" s="1"/>
  <c r="AZ754" i="1"/>
  <c r="BA754" i="1" s="1"/>
  <c r="AZ753" i="1"/>
  <c r="BA753" i="1" s="1"/>
  <c r="AZ752" i="1"/>
  <c r="BA752" i="1" s="1"/>
  <c r="AZ751" i="1"/>
  <c r="BA751" i="1" s="1"/>
  <c r="AZ750" i="1"/>
  <c r="BA750" i="1" s="1"/>
  <c r="AZ749" i="1"/>
  <c r="BA749" i="1" s="1"/>
  <c r="AZ748" i="1"/>
  <c r="BA748" i="1" s="1"/>
  <c r="AZ747" i="1"/>
  <c r="BA747" i="1" s="1"/>
  <c r="AZ746" i="1"/>
  <c r="BA746" i="1" s="1"/>
  <c r="AZ745" i="1"/>
  <c r="BA745" i="1" s="1"/>
  <c r="AZ744" i="1"/>
  <c r="BA744" i="1" s="1"/>
  <c r="AZ743" i="1"/>
  <c r="BA743" i="1" s="1"/>
  <c r="AZ742" i="1"/>
  <c r="BA742" i="1" s="1"/>
  <c r="AZ741" i="1"/>
  <c r="BA741" i="1" s="1"/>
  <c r="AZ740" i="1"/>
  <c r="BA740" i="1" s="1"/>
  <c r="AZ739" i="1"/>
  <c r="BA739" i="1" s="1"/>
  <c r="AZ738" i="1"/>
  <c r="BA738" i="1" s="1"/>
  <c r="AZ737" i="1"/>
  <c r="BA737" i="1" s="1"/>
  <c r="AZ736" i="1"/>
  <c r="BA736" i="1" s="1"/>
  <c r="AZ735" i="1"/>
  <c r="BA735" i="1" s="1"/>
  <c r="AZ734" i="1"/>
  <c r="BA734" i="1" s="1"/>
  <c r="AZ733" i="1"/>
  <c r="BA733" i="1" s="1"/>
  <c r="AZ732" i="1"/>
  <c r="BA732" i="1" s="1"/>
  <c r="AZ731" i="1"/>
  <c r="BA731" i="1" s="1"/>
  <c r="AZ730" i="1"/>
  <c r="BA730" i="1" s="1"/>
  <c r="AZ729" i="1"/>
  <c r="BA729" i="1" s="1"/>
  <c r="AZ728" i="1"/>
  <c r="BA728" i="1" s="1"/>
  <c r="AZ727" i="1"/>
  <c r="BA727" i="1" s="1"/>
  <c r="AZ726" i="1"/>
  <c r="BA726" i="1" s="1"/>
  <c r="AZ725" i="1"/>
  <c r="BA725" i="1" s="1"/>
  <c r="AZ724" i="1"/>
  <c r="BA724" i="1" s="1"/>
  <c r="AZ723" i="1"/>
  <c r="BA723" i="1" s="1"/>
  <c r="AZ722" i="1"/>
  <c r="BA722" i="1" s="1"/>
  <c r="AZ721" i="1"/>
  <c r="BA721" i="1" s="1"/>
  <c r="AZ720" i="1"/>
  <c r="BA720" i="1" s="1"/>
  <c r="AZ719" i="1"/>
  <c r="BA719" i="1" s="1"/>
  <c r="AZ718" i="1"/>
  <c r="BA718" i="1" s="1"/>
  <c r="AZ717" i="1"/>
  <c r="BA717" i="1" s="1"/>
  <c r="AZ716" i="1"/>
  <c r="BA716" i="1" s="1"/>
  <c r="AZ715" i="1"/>
  <c r="BA715" i="1" s="1"/>
  <c r="AZ714" i="1"/>
  <c r="BA714" i="1" s="1"/>
  <c r="AZ713" i="1"/>
  <c r="BA713" i="1" s="1"/>
  <c r="AZ712" i="1"/>
  <c r="BA712" i="1" s="1"/>
  <c r="AZ711" i="1"/>
  <c r="BA711" i="1" s="1"/>
  <c r="AZ710" i="1"/>
  <c r="BA710" i="1" s="1"/>
  <c r="AZ709" i="1"/>
  <c r="BA709" i="1" s="1"/>
  <c r="AZ708" i="1"/>
  <c r="BA708" i="1" s="1"/>
  <c r="AZ707" i="1"/>
  <c r="BA707" i="1" s="1"/>
  <c r="AZ706" i="1"/>
  <c r="BA706" i="1" s="1"/>
  <c r="AZ705" i="1"/>
  <c r="BA705" i="1" s="1"/>
  <c r="AZ704" i="1"/>
  <c r="BA704" i="1" s="1"/>
  <c r="AZ703" i="1"/>
  <c r="BA703" i="1" s="1"/>
  <c r="AZ702" i="1"/>
  <c r="BA702" i="1" s="1"/>
  <c r="AZ701" i="1"/>
  <c r="BA701" i="1" s="1"/>
  <c r="AZ700" i="1"/>
  <c r="BA700" i="1" s="1"/>
  <c r="AZ699" i="1"/>
  <c r="BA699" i="1" s="1"/>
  <c r="AZ698" i="1"/>
  <c r="BA698" i="1" s="1"/>
  <c r="AZ697" i="1"/>
  <c r="BA697" i="1" s="1"/>
  <c r="AZ696" i="1"/>
  <c r="BA696" i="1" s="1"/>
  <c r="AZ695" i="1"/>
  <c r="BA695" i="1" s="1"/>
  <c r="AZ694" i="1"/>
  <c r="BA694" i="1" s="1"/>
  <c r="AZ693" i="1"/>
  <c r="BA693" i="1" s="1"/>
  <c r="AZ692" i="1"/>
  <c r="BA692" i="1" s="1"/>
  <c r="AZ691" i="1"/>
  <c r="BA691" i="1" s="1"/>
  <c r="AZ690" i="1"/>
  <c r="BA690" i="1" s="1"/>
  <c r="AZ689" i="1"/>
  <c r="BA689" i="1" s="1"/>
  <c r="AZ688" i="1"/>
  <c r="BA688" i="1" s="1"/>
  <c r="AZ687" i="1"/>
  <c r="BA687" i="1" s="1"/>
  <c r="AZ686" i="1"/>
  <c r="BA686" i="1" s="1"/>
  <c r="AZ685" i="1"/>
  <c r="BA685" i="1" s="1"/>
  <c r="AZ684" i="1"/>
  <c r="BA684" i="1" s="1"/>
  <c r="AZ683" i="1"/>
  <c r="BA683" i="1" s="1"/>
  <c r="AZ682" i="1"/>
  <c r="BA682" i="1" s="1"/>
  <c r="AZ681" i="1"/>
  <c r="BA681" i="1" s="1"/>
  <c r="AZ680" i="1"/>
  <c r="BA680" i="1" s="1"/>
  <c r="AZ679" i="1"/>
  <c r="BA679" i="1" s="1"/>
  <c r="AZ678" i="1"/>
  <c r="BA678" i="1" s="1"/>
  <c r="AZ677" i="1"/>
  <c r="BA677" i="1" s="1"/>
  <c r="AZ676" i="1"/>
  <c r="BA676" i="1" s="1"/>
  <c r="AZ675" i="1"/>
  <c r="BA675" i="1" s="1"/>
  <c r="AZ674" i="1"/>
  <c r="BA674" i="1" s="1"/>
  <c r="AZ673" i="1"/>
  <c r="BA673" i="1" s="1"/>
  <c r="AZ672" i="1"/>
  <c r="BA672" i="1" s="1"/>
  <c r="AZ671" i="1"/>
  <c r="BA671" i="1" s="1"/>
  <c r="AZ670" i="1"/>
  <c r="BA670" i="1" s="1"/>
  <c r="AZ669" i="1"/>
  <c r="BA669" i="1" s="1"/>
  <c r="AZ668" i="1"/>
  <c r="BA668" i="1" s="1"/>
  <c r="AZ667" i="1"/>
  <c r="BA667" i="1" s="1"/>
  <c r="AZ666" i="1"/>
  <c r="BA666" i="1" s="1"/>
  <c r="AZ665" i="1"/>
  <c r="BA665" i="1" s="1"/>
  <c r="AZ664" i="1"/>
  <c r="BA664" i="1" s="1"/>
  <c r="AZ663" i="1"/>
  <c r="BA663" i="1" s="1"/>
  <c r="AZ662" i="1"/>
  <c r="BA662" i="1" s="1"/>
  <c r="AZ661" i="1"/>
  <c r="BA661" i="1" s="1"/>
  <c r="AZ660" i="1"/>
  <c r="BA660" i="1" s="1"/>
  <c r="AZ659" i="1"/>
  <c r="BA659" i="1" s="1"/>
  <c r="AZ658" i="1"/>
  <c r="BA658" i="1" s="1"/>
  <c r="AZ657" i="1"/>
  <c r="BA657" i="1" s="1"/>
  <c r="AZ656" i="1"/>
  <c r="BA656" i="1" s="1"/>
  <c r="AZ655" i="1"/>
  <c r="BA655" i="1" s="1"/>
  <c r="AZ654" i="1"/>
  <c r="BA654" i="1" s="1"/>
  <c r="AZ653" i="1"/>
  <c r="BA653" i="1" s="1"/>
  <c r="AZ652" i="1"/>
  <c r="BA652" i="1" s="1"/>
  <c r="AZ651" i="1"/>
  <c r="BA651" i="1" s="1"/>
  <c r="AZ650" i="1"/>
  <c r="BA650" i="1" s="1"/>
  <c r="AZ649" i="1"/>
  <c r="BA649" i="1" s="1"/>
  <c r="AZ648" i="1"/>
  <c r="BA648" i="1" s="1"/>
  <c r="AZ647" i="1"/>
  <c r="BA647" i="1" s="1"/>
  <c r="AZ646" i="1"/>
  <c r="BA646" i="1" s="1"/>
  <c r="AZ645" i="1"/>
  <c r="BA645" i="1" s="1"/>
  <c r="AZ644" i="1"/>
  <c r="BA644" i="1" s="1"/>
  <c r="AZ643" i="1"/>
  <c r="BA643" i="1" s="1"/>
  <c r="AZ642" i="1"/>
  <c r="BA642" i="1" s="1"/>
  <c r="AZ641" i="1"/>
  <c r="BA641" i="1" s="1"/>
  <c r="AZ640" i="1"/>
  <c r="BA640" i="1" s="1"/>
  <c r="AZ639" i="1"/>
  <c r="BA639" i="1" s="1"/>
  <c r="AZ638" i="1"/>
  <c r="BA638" i="1" s="1"/>
  <c r="AZ637" i="1"/>
  <c r="BA637" i="1" s="1"/>
  <c r="AZ636" i="1"/>
  <c r="BA636" i="1" s="1"/>
  <c r="AZ635" i="1"/>
  <c r="BA635" i="1" s="1"/>
  <c r="AZ634" i="1"/>
  <c r="BA634" i="1" s="1"/>
  <c r="AZ633" i="1"/>
  <c r="BA633" i="1" s="1"/>
  <c r="AZ632" i="1"/>
  <c r="BA632" i="1" s="1"/>
  <c r="AZ631" i="1"/>
  <c r="BA631" i="1" s="1"/>
  <c r="AZ630" i="1"/>
  <c r="BA630" i="1" s="1"/>
  <c r="AZ629" i="1"/>
  <c r="BA629" i="1" s="1"/>
  <c r="AZ628" i="1"/>
  <c r="BA628" i="1" s="1"/>
  <c r="AZ627" i="1"/>
  <c r="BA627" i="1" s="1"/>
  <c r="AZ626" i="1"/>
  <c r="BA626" i="1" s="1"/>
  <c r="AZ625" i="1"/>
  <c r="BA625" i="1" s="1"/>
  <c r="AZ624" i="1"/>
  <c r="BA624" i="1" s="1"/>
  <c r="AZ623" i="1"/>
  <c r="BA623" i="1" s="1"/>
  <c r="AZ622" i="1"/>
  <c r="BA622" i="1" s="1"/>
  <c r="AZ621" i="1"/>
  <c r="BA621" i="1" s="1"/>
  <c r="AZ620" i="1"/>
  <c r="BA620" i="1" s="1"/>
  <c r="AZ619" i="1"/>
  <c r="BA619" i="1" s="1"/>
  <c r="AZ618" i="1"/>
  <c r="BA618" i="1" s="1"/>
  <c r="AZ617" i="1"/>
  <c r="BA617" i="1" s="1"/>
  <c r="AZ616" i="1"/>
  <c r="BA616" i="1" s="1"/>
  <c r="AZ615" i="1"/>
  <c r="BA615" i="1" s="1"/>
  <c r="AZ614" i="1"/>
  <c r="BA614" i="1" s="1"/>
  <c r="AZ613" i="1"/>
  <c r="BA613" i="1" s="1"/>
  <c r="AZ612" i="1"/>
  <c r="BA612" i="1" s="1"/>
  <c r="AZ611" i="1"/>
  <c r="BA611" i="1" s="1"/>
  <c r="AZ610" i="1"/>
  <c r="BA610" i="1" s="1"/>
  <c r="AZ609" i="1"/>
  <c r="BA609" i="1" s="1"/>
  <c r="AZ608" i="1"/>
  <c r="BA608" i="1" s="1"/>
  <c r="AZ607" i="1"/>
  <c r="BA607" i="1" s="1"/>
  <c r="AZ606" i="1"/>
  <c r="BA606" i="1" s="1"/>
  <c r="AZ605" i="1"/>
  <c r="BA605" i="1" s="1"/>
  <c r="AZ604" i="1"/>
  <c r="BA604" i="1" s="1"/>
  <c r="AZ603" i="1"/>
  <c r="BA603" i="1" s="1"/>
  <c r="AZ602" i="1"/>
  <c r="BA602" i="1" s="1"/>
  <c r="AZ601" i="1"/>
  <c r="BA601" i="1" s="1"/>
  <c r="AZ600" i="1"/>
  <c r="BA600" i="1" s="1"/>
  <c r="AZ599" i="1"/>
  <c r="BA599" i="1" s="1"/>
  <c r="AZ598" i="1"/>
  <c r="BA598" i="1" s="1"/>
  <c r="AZ597" i="1"/>
  <c r="BA597" i="1" s="1"/>
  <c r="AZ596" i="1"/>
  <c r="BA596" i="1" s="1"/>
  <c r="AZ595" i="1"/>
  <c r="BA595" i="1" s="1"/>
  <c r="AZ594" i="1"/>
  <c r="BA594" i="1" s="1"/>
  <c r="AZ593" i="1"/>
  <c r="BA593" i="1" s="1"/>
  <c r="AZ592" i="1"/>
  <c r="BA592" i="1" s="1"/>
  <c r="AZ591" i="1"/>
  <c r="BA591" i="1" s="1"/>
  <c r="AZ590" i="1"/>
  <c r="BA590" i="1" s="1"/>
  <c r="AZ589" i="1"/>
  <c r="BA589" i="1" s="1"/>
  <c r="AZ588" i="1"/>
  <c r="BA588" i="1" s="1"/>
  <c r="AZ587" i="1"/>
  <c r="BA587" i="1" s="1"/>
  <c r="AZ586" i="1"/>
  <c r="BA586" i="1" s="1"/>
  <c r="AZ585" i="1"/>
  <c r="BA585" i="1" s="1"/>
  <c r="AZ584" i="1"/>
  <c r="BA584" i="1" s="1"/>
  <c r="AZ583" i="1"/>
  <c r="BA583" i="1" s="1"/>
  <c r="AZ582" i="1"/>
  <c r="BA582" i="1" s="1"/>
  <c r="AZ581" i="1"/>
  <c r="BA581" i="1" s="1"/>
  <c r="AZ580" i="1"/>
  <c r="BA580" i="1" s="1"/>
  <c r="AZ579" i="1"/>
  <c r="BA579" i="1" s="1"/>
  <c r="AZ578" i="1"/>
  <c r="BA578" i="1" s="1"/>
  <c r="AZ577" i="1"/>
  <c r="BA577" i="1" s="1"/>
  <c r="AZ576" i="1"/>
  <c r="BA576" i="1" s="1"/>
  <c r="AZ575" i="1"/>
  <c r="BA575" i="1" s="1"/>
  <c r="AZ574" i="1"/>
  <c r="BA574" i="1" s="1"/>
  <c r="AZ573" i="1"/>
  <c r="BA573" i="1" s="1"/>
  <c r="AZ572" i="1"/>
  <c r="BA572" i="1" s="1"/>
  <c r="AZ571" i="1"/>
  <c r="BA571" i="1" s="1"/>
  <c r="AZ570" i="1"/>
  <c r="BA570" i="1" s="1"/>
  <c r="AZ569" i="1"/>
  <c r="BA569" i="1" s="1"/>
  <c r="AZ568" i="1"/>
  <c r="BA568" i="1" s="1"/>
  <c r="AZ567" i="1"/>
  <c r="BA567" i="1" s="1"/>
  <c r="AZ566" i="1"/>
  <c r="BA566" i="1" s="1"/>
  <c r="AZ565" i="1"/>
  <c r="BA565" i="1" s="1"/>
  <c r="AZ564" i="1"/>
  <c r="BA564" i="1" s="1"/>
  <c r="AZ563" i="1"/>
  <c r="BA563" i="1" s="1"/>
  <c r="AZ562" i="1"/>
  <c r="BA562" i="1" s="1"/>
  <c r="AZ561" i="1"/>
  <c r="BA561" i="1" s="1"/>
  <c r="AZ560" i="1"/>
  <c r="BA560" i="1" s="1"/>
  <c r="AZ559" i="1"/>
  <c r="BA559" i="1" s="1"/>
  <c r="AZ558" i="1"/>
  <c r="BA558" i="1" s="1"/>
  <c r="AZ557" i="1"/>
  <c r="BA557" i="1" s="1"/>
  <c r="AZ556" i="1"/>
  <c r="BA556" i="1" s="1"/>
  <c r="AZ555" i="1"/>
  <c r="BA555" i="1" s="1"/>
  <c r="AZ554" i="1"/>
  <c r="BA554" i="1" s="1"/>
  <c r="AZ553" i="1"/>
  <c r="BA553" i="1" s="1"/>
  <c r="AZ552" i="1"/>
  <c r="BA552" i="1" s="1"/>
  <c r="AZ551" i="1"/>
  <c r="BA551" i="1" s="1"/>
  <c r="AZ550" i="1"/>
  <c r="BA550" i="1" s="1"/>
  <c r="AZ549" i="1"/>
  <c r="BA549" i="1" s="1"/>
  <c r="AZ548" i="1"/>
  <c r="BA548" i="1" s="1"/>
  <c r="AZ547" i="1"/>
  <c r="BA547" i="1" s="1"/>
  <c r="AZ546" i="1"/>
  <c r="BA546" i="1" s="1"/>
  <c r="AZ545" i="1"/>
  <c r="BA545" i="1" s="1"/>
  <c r="AZ544" i="1"/>
  <c r="BA544" i="1" s="1"/>
  <c r="AZ543" i="1"/>
  <c r="BA543" i="1" s="1"/>
  <c r="AZ542" i="1"/>
  <c r="BA542" i="1" s="1"/>
  <c r="AZ541" i="1"/>
  <c r="BA541" i="1" s="1"/>
  <c r="AZ540" i="1"/>
  <c r="BA540" i="1" s="1"/>
  <c r="AZ539" i="1"/>
  <c r="BA539" i="1" s="1"/>
  <c r="AZ538" i="1"/>
  <c r="BA538" i="1" s="1"/>
  <c r="AZ537" i="1"/>
  <c r="BA537" i="1" s="1"/>
  <c r="AZ536" i="1"/>
  <c r="BA536" i="1" s="1"/>
  <c r="AZ535" i="1"/>
  <c r="BA535" i="1" s="1"/>
  <c r="AZ534" i="1"/>
  <c r="BA534" i="1" s="1"/>
  <c r="AZ533" i="1"/>
  <c r="BA533" i="1" s="1"/>
  <c r="AZ532" i="1"/>
  <c r="BA532" i="1" s="1"/>
  <c r="AZ531" i="1"/>
  <c r="BA531" i="1" s="1"/>
  <c r="AZ530" i="1"/>
  <c r="BA530" i="1" s="1"/>
  <c r="AZ529" i="1"/>
  <c r="BA529" i="1" s="1"/>
  <c r="AZ528" i="1"/>
  <c r="BA528" i="1" s="1"/>
  <c r="AZ527" i="1"/>
  <c r="BA527" i="1" s="1"/>
  <c r="AZ526" i="1"/>
  <c r="BA526" i="1" s="1"/>
  <c r="AZ525" i="1"/>
  <c r="BA525" i="1" s="1"/>
  <c r="AZ524" i="1"/>
  <c r="BA524" i="1" s="1"/>
  <c r="AZ523" i="1"/>
  <c r="BA523" i="1" s="1"/>
  <c r="AZ522" i="1"/>
  <c r="BA522" i="1" s="1"/>
  <c r="AZ521" i="1"/>
  <c r="BA521" i="1" s="1"/>
  <c r="AZ520" i="1"/>
  <c r="BA520" i="1" s="1"/>
  <c r="AZ519" i="1"/>
  <c r="BA519" i="1" s="1"/>
  <c r="AZ518" i="1"/>
  <c r="BA518" i="1" s="1"/>
  <c r="AZ517" i="1"/>
  <c r="BA517" i="1" s="1"/>
  <c r="AZ516" i="1"/>
  <c r="BA516" i="1" s="1"/>
  <c r="AZ515" i="1"/>
  <c r="BA515" i="1" s="1"/>
  <c r="AZ514" i="1"/>
  <c r="BA514" i="1" s="1"/>
  <c r="AZ513" i="1"/>
  <c r="BA513" i="1" s="1"/>
  <c r="AZ512" i="1"/>
  <c r="BA512" i="1" s="1"/>
  <c r="AZ511" i="1"/>
  <c r="BA511" i="1" s="1"/>
  <c r="AZ510" i="1"/>
  <c r="BA510" i="1" s="1"/>
  <c r="AZ509" i="1"/>
  <c r="BA509" i="1" s="1"/>
  <c r="AZ508" i="1"/>
  <c r="BA508" i="1" s="1"/>
  <c r="AZ507" i="1"/>
  <c r="BA507" i="1" s="1"/>
  <c r="AZ506" i="1"/>
  <c r="BA506" i="1" s="1"/>
  <c r="AZ505" i="1"/>
  <c r="BA505" i="1" s="1"/>
  <c r="AZ504" i="1"/>
  <c r="BA504" i="1" s="1"/>
  <c r="AZ503" i="1"/>
  <c r="BA503" i="1" s="1"/>
  <c r="AZ502" i="1"/>
  <c r="BA502" i="1" s="1"/>
  <c r="AZ501" i="1"/>
  <c r="BA501" i="1" s="1"/>
  <c r="AZ500" i="1"/>
  <c r="BA500" i="1" s="1"/>
  <c r="AZ499" i="1"/>
  <c r="BA499" i="1" s="1"/>
  <c r="AZ498" i="1"/>
  <c r="BA498" i="1" s="1"/>
  <c r="AZ497" i="1"/>
  <c r="BA497" i="1" s="1"/>
  <c r="AZ496" i="1"/>
  <c r="BA496" i="1" s="1"/>
  <c r="AZ495" i="1"/>
  <c r="BA495" i="1" s="1"/>
  <c r="AZ494" i="1"/>
  <c r="BA494" i="1" s="1"/>
  <c r="AZ493" i="1"/>
  <c r="BA493" i="1" s="1"/>
  <c r="AZ492" i="1"/>
  <c r="BA492" i="1" s="1"/>
  <c r="AZ491" i="1"/>
  <c r="BA491" i="1" s="1"/>
  <c r="AZ490" i="1"/>
  <c r="BA490" i="1" s="1"/>
  <c r="AZ489" i="1"/>
  <c r="BA489" i="1" s="1"/>
  <c r="AZ488" i="1"/>
  <c r="BA488" i="1" s="1"/>
  <c r="AZ487" i="1"/>
  <c r="BA487" i="1" s="1"/>
  <c r="AZ486" i="1"/>
  <c r="BA486" i="1" s="1"/>
  <c r="AZ485" i="1"/>
  <c r="BA485" i="1" s="1"/>
  <c r="AZ484" i="1"/>
  <c r="BA484" i="1" s="1"/>
  <c r="AZ483" i="1"/>
  <c r="BA483" i="1" s="1"/>
  <c r="AZ482" i="1"/>
  <c r="BA482" i="1" s="1"/>
  <c r="AZ481" i="1"/>
  <c r="BA481" i="1" s="1"/>
  <c r="AZ480" i="1"/>
  <c r="BA480" i="1" s="1"/>
  <c r="AZ479" i="1"/>
  <c r="BA479" i="1" s="1"/>
  <c r="AZ478" i="1"/>
  <c r="BA478" i="1" s="1"/>
  <c r="AZ477" i="1"/>
  <c r="BA477" i="1" s="1"/>
  <c r="AZ476" i="1"/>
  <c r="BA476" i="1" s="1"/>
  <c r="AZ475" i="1"/>
  <c r="BA475" i="1" s="1"/>
  <c r="AZ474" i="1"/>
  <c r="BA474" i="1" s="1"/>
  <c r="AZ473" i="1"/>
  <c r="BA473" i="1" s="1"/>
  <c r="AZ472" i="1"/>
  <c r="BA472" i="1" s="1"/>
  <c r="AZ471" i="1"/>
  <c r="BA471" i="1" s="1"/>
  <c r="AZ470" i="1"/>
  <c r="BA470" i="1" s="1"/>
  <c r="AZ469" i="1"/>
  <c r="BA469" i="1" s="1"/>
  <c r="AZ468" i="1"/>
  <c r="BA468" i="1" s="1"/>
  <c r="AZ467" i="1"/>
  <c r="BA467" i="1" s="1"/>
  <c r="AZ466" i="1"/>
  <c r="BA466" i="1" s="1"/>
  <c r="AZ465" i="1"/>
  <c r="BA465" i="1" s="1"/>
  <c r="AZ464" i="1"/>
  <c r="BA464" i="1" s="1"/>
  <c r="AZ463" i="1"/>
  <c r="BA463" i="1" s="1"/>
  <c r="AZ462" i="1"/>
  <c r="BA462" i="1" s="1"/>
  <c r="AZ461" i="1"/>
  <c r="BA461" i="1" s="1"/>
  <c r="AZ460" i="1"/>
  <c r="BA460" i="1" s="1"/>
  <c r="AZ459" i="1"/>
  <c r="BA459" i="1" s="1"/>
  <c r="AZ458" i="1"/>
  <c r="BA458" i="1" s="1"/>
  <c r="AZ457" i="1"/>
  <c r="BA457" i="1" s="1"/>
  <c r="AZ456" i="1"/>
  <c r="BA456" i="1" s="1"/>
  <c r="AZ455" i="1"/>
  <c r="BA455" i="1" s="1"/>
  <c r="AZ454" i="1"/>
  <c r="BA454" i="1" s="1"/>
  <c r="AZ453" i="1"/>
  <c r="BA453" i="1" s="1"/>
  <c r="AZ452" i="1"/>
  <c r="BA452" i="1" s="1"/>
  <c r="AZ451" i="1"/>
  <c r="BA451" i="1" s="1"/>
  <c r="AZ450" i="1"/>
  <c r="BA450" i="1" s="1"/>
  <c r="AZ449" i="1"/>
  <c r="BA449" i="1" s="1"/>
  <c r="AZ448" i="1"/>
  <c r="BA448" i="1" s="1"/>
  <c r="AZ447" i="1"/>
  <c r="BA447" i="1" s="1"/>
  <c r="AZ446" i="1"/>
  <c r="BA446" i="1" s="1"/>
  <c r="AZ445" i="1"/>
  <c r="BA445" i="1" s="1"/>
  <c r="AZ444" i="1"/>
  <c r="BA444" i="1" s="1"/>
  <c r="AZ443" i="1"/>
  <c r="BA443" i="1" s="1"/>
  <c r="AZ442" i="1"/>
  <c r="BA442" i="1" s="1"/>
  <c r="AZ441" i="1"/>
  <c r="BA441" i="1" s="1"/>
  <c r="AZ440" i="1"/>
  <c r="BA440" i="1" s="1"/>
  <c r="AZ439" i="1"/>
  <c r="BA439" i="1" s="1"/>
  <c r="AZ438" i="1"/>
  <c r="BA438" i="1" s="1"/>
  <c r="AZ437" i="1"/>
  <c r="BA437" i="1" s="1"/>
  <c r="AZ436" i="1"/>
  <c r="BA436" i="1" s="1"/>
  <c r="AZ435" i="1"/>
  <c r="BA435" i="1" s="1"/>
  <c r="AZ434" i="1"/>
  <c r="BA434" i="1" s="1"/>
  <c r="AZ433" i="1"/>
  <c r="BA433" i="1" s="1"/>
  <c r="AZ432" i="1"/>
  <c r="BA432" i="1" s="1"/>
  <c r="AZ431" i="1"/>
  <c r="BA431" i="1" s="1"/>
  <c r="AZ430" i="1"/>
  <c r="BA430" i="1" s="1"/>
  <c r="AZ429" i="1"/>
  <c r="BA429" i="1" s="1"/>
  <c r="AZ428" i="1"/>
  <c r="BA428" i="1" s="1"/>
  <c r="AZ427" i="1"/>
  <c r="BA427" i="1" s="1"/>
  <c r="AZ426" i="1"/>
  <c r="BA426" i="1" s="1"/>
  <c r="AZ425" i="1"/>
  <c r="BA425" i="1" s="1"/>
  <c r="AZ424" i="1"/>
  <c r="BA424" i="1" s="1"/>
  <c r="AZ423" i="1"/>
  <c r="BA423" i="1" s="1"/>
  <c r="AZ422" i="1"/>
  <c r="BA422" i="1" s="1"/>
  <c r="AZ421" i="1"/>
  <c r="BA421" i="1" s="1"/>
  <c r="AZ420" i="1"/>
  <c r="BA420" i="1" s="1"/>
  <c r="AZ419" i="1"/>
  <c r="BA419" i="1" s="1"/>
  <c r="AZ418" i="1"/>
  <c r="BA418" i="1" s="1"/>
  <c r="AZ417" i="1"/>
  <c r="BA417" i="1" s="1"/>
  <c r="AZ416" i="1"/>
  <c r="BA416" i="1" s="1"/>
  <c r="AZ415" i="1"/>
  <c r="BA415" i="1" s="1"/>
  <c r="AZ414" i="1"/>
  <c r="BA414" i="1" s="1"/>
  <c r="AZ413" i="1"/>
  <c r="BA413" i="1" s="1"/>
  <c r="AZ412" i="1"/>
  <c r="BA412" i="1" s="1"/>
  <c r="AZ411" i="1"/>
  <c r="BA411" i="1" s="1"/>
  <c r="AZ410" i="1"/>
  <c r="BA410" i="1" s="1"/>
  <c r="AZ409" i="1"/>
  <c r="BA409" i="1" s="1"/>
  <c r="AZ408" i="1"/>
  <c r="BA408" i="1" s="1"/>
  <c r="AZ407" i="1"/>
  <c r="BA407" i="1" s="1"/>
  <c r="AZ406" i="1"/>
  <c r="BA406" i="1" s="1"/>
  <c r="AZ405" i="1"/>
  <c r="BA405" i="1" s="1"/>
  <c r="AZ404" i="1"/>
  <c r="BA404" i="1" s="1"/>
  <c r="AZ403" i="1"/>
  <c r="BA403" i="1" s="1"/>
  <c r="AZ402" i="1"/>
  <c r="BA402" i="1" s="1"/>
  <c r="AZ401" i="1"/>
  <c r="BA401" i="1" s="1"/>
  <c r="AZ400" i="1"/>
  <c r="BA400" i="1" s="1"/>
  <c r="AZ399" i="1"/>
  <c r="BA399" i="1" s="1"/>
  <c r="AZ398" i="1"/>
  <c r="BA398" i="1" s="1"/>
  <c r="AZ397" i="1"/>
  <c r="BA397" i="1" s="1"/>
  <c r="AZ396" i="1"/>
  <c r="BA396" i="1" s="1"/>
  <c r="AZ395" i="1"/>
  <c r="BA395" i="1" s="1"/>
  <c r="AZ394" i="1"/>
  <c r="BA394" i="1" s="1"/>
  <c r="AZ393" i="1"/>
  <c r="BA393" i="1" s="1"/>
  <c r="AZ392" i="1"/>
  <c r="BA392" i="1" s="1"/>
  <c r="AZ391" i="1"/>
  <c r="BA391" i="1" s="1"/>
  <c r="AZ390" i="1"/>
  <c r="BA390" i="1" s="1"/>
  <c r="AZ389" i="1"/>
  <c r="BA389" i="1" s="1"/>
  <c r="AZ388" i="1"/>
  <c r="BA388" i="1" s="1"/>
  <c r="AZ387" i="1"/>
  <c r="BA387" i="1" s="1"/>
  <c r="AZ386" i="1"/>
  <c r="BA386" i="1" s="1"/>
  <c r="AZ385" i="1"/>
  <c r="BA385" i="1" s="1"/>
  <c r="AZ384" i="1"/>
  <c r="BA384" i="1" s="1"/>
  <c r="AZ383" i="1"/>
  <c r="BA383" i="1" s="1"/>
  <c r="AZ382" i="1"/>
  <c r="BA382" i="1" s="1"/>
  <c r="AZ381" i="1"/>
  <c r="BA381" i="1" s="1"/>
  <c r="AZ380" i="1"/>
  <c r="BA380" i="1" s="1"/>
  <c r="AZ379" i="1"/>
  <c r="BA379" i="1" s="1"/>
  <c r="AZ378" i="1"/>
  <c r="BA378" i="1" s="1"/>
  <c r="AZ377" i="1"/>
  <c r="BA377" i="1" s="1"/>
  <c r="AZ376" i="1"/>
  <c r="BA376" i="1" s="1"/>
  <c r="AZ375" i="1"/>
  <c r="BA375" i="1" s="1"/>
  <c r="AZ374" i="1"/>
  <c r="BA374" i="1" s="1"/>
  <c r="AZ373" i="1"/>
  <c r="BA373" i="1" s="1"/>
  <c r="AZ372" i="1"/>
  <c r="BA372" i="1" s="1"/>
  <c r="AZ371" i="1"/>
  <c r="BA371" i="1" s="1"/>
  <c r="AZ370" i="1"/>
  <c r="BA370" i="1" s="1"/>
  <c r="AZ369" i="1"/>
  <c r="BA369" i="1" s="1"/>
  <c r="AZ368" i="1"/>
  <c r="BA368" i="1" s="1"/>
  <c r="AZ367" i="1"/>
  <c r="BA367" i="1" s="1"/>
  <c r="AZ366" i="1"/>
  <c r="BA366" i="1" s="1"/>
  <c r="AZ365" i="1"/>
  <c r="BA365" i="1" s="1"/>
  <c r="AZ364" i="1"/>
  <c r="BA364" i="1" s="1"/>
  <c r="AZ363" i="1"/>
  <c r="BA363" i="1" s="1"/>
  <c r="AZ362" i="1"/>
  <c r="BA362" i="1" s="1"/>
  <c r="AZ361" i="1"/>
  <c r="BA361" i="1" s="1"/>
  <c r="AZ360" i="1"/>
  <c r="BA360" i="1" s="1"/>
  <c r="AZ359" i="1"/>
  <c r="BA359" i="1" s="1"/>
  <c r="AZ358" i="1"/>
  <c r="BA358" i="1" s="1"/>
  <c r="AZ357" i="1"/>
  <c r="BA357" i="1" s="1"/>
  <c r="AZ356" i="1"/>
  <c r="BA356" i="1" s="1"/>
  <c r="AZ355" i="1"/>
  <c r="BA355" i="1" s="1"/>
  <c r="AZ354" i="1"/>
  <c r="BA354" i="1" s="1"/>
  <c r="AZ353" i="1"/>
  <c r="BA353" i="1" s="1"/>
  <c r="AZ352" i="1"/>
  <c r="BA352" i="1" s="1"/>
  <c r="AZ351" i="1"/>
  <c r="BA351" i="1" s="1"/>
  <c r="AZ350" i="1"/>
  <c r="BA350" i="1" s="1"/>
  <c r="AZ349" i="1"/>
  <c r="BA349" i="1" s="1"/>
  <c r="AZ348" i="1"/>
  <c r="BA348" i="1" s="1"/>
  <c r="AZ347" i="1"/>
  <c r="BA347" i="1" s="1"/>
  <c r="AZ346" i="1"/>
  <c r="BA346" i="1" s="1"/>
  <c r="AZ345" i="1"/>
  <c r="BA345" i="1" s="1"/>
  <c r="AZ344" i="1"/>
  <c r="BA344" i="1" s="1"/>
  <c r="AZ343" i="1"/>
  <c r="BA343" i="1" s="1"/>
  <c r="AZ342" i="1"/>
  <c r="BA342" i="1" s="1"/>
  <c r="AZ341" i="1"/>
  <c r="BA341" i="1" s="1"/>
  <c r="AZ340" i="1"/>
  <c r="BA340" i="1" s="1"/>
  <c r="AZ339" i="1"/>
  <c r="BA339" i="1" s="1"/>
  <c r="AZ338" i="1"/>
  <c r="BA338" i="1" s="1"/>
  <c r="AZ337" i="1"/>
  <c r="BA337" i="1" s="1"/>
  <c r="AZ336" i="1"/>
  <c r="BA336" i="1" s="1"/>
  <c r="AZ335" i="1"/>
  <c r="BA335" i="1" s="1"/>
  <c r="AZ334" i="1"/>
  <c r="BA334" i="1" s="1"/>
  <c r="AZ333" i="1"/>
  <c r="BA333" i="1" s="1"/>
  <c r="AZ332" i="1"/>
  <c r="BA332" i="1" s="1"/>
  <c r="AZ331" i="1"/>
  <c r="BA331" i="1" s="1"/>
  <c r="AZ330" i="1"/>
  <c r="BA330" i="1" s="1"/>
  <c r="AZ329" i="1"/>
  <c r="BA329" i="1" s="1"/>
  <c r="AZ328" i="1"/>
  <c r="BA328" i="1" s="1"/>
  <c r="AZ327" i="1"/>
  <c r="BA327" i="1" s="1"/>
  <c r="AZ326" i="1"/>
  <c r="BA326" i="1" s="1"/>
  <c r="AZ325" i="1"/>
  <c r="BA325" i="1" s="1"/>
  <c r="AZ324" i="1"/>
  <c r="BA324" i="1" s="1"/>
  <c r="AZ323" i="1"/>
  <c r="BA323" i="1" s="1"/>
  <c r="AZ322" i="1"/>
  <c r="BA322" i="1" s="1"/>
  <c r="AZ321" i="1"/>
  <c r="BA321" i="1" s="1"/>
  <c r="AZ320" i="1"/>
  <c r="BA320" i="1" s="1"/>
  <c r="AZ319" i="1"/>
  <c r="BA319" i="1" s="1"/>
  <c r="AZ318" i="1"/>
  <c r="BA318" i="1" s="1"/>
  <c r="AZ317" i="1"/>
  <c r="BA317" i="1" s="1"/>
  <c r="AZ316" i="1"/>
  <c r="BA316" i="1" s="1"/>
  <c r="AZ315" i="1"/>
  <c r="BA315" i="1" s="1"/>
  <c r="AZ314" i="1"/>
  <c r="BA314" i="1" s="1"/>
  <c r="AZ313" i="1"/>
  <c r="BA313" i="1" s="1"/>
  <c r="AZ312" i="1"/>
  <c r="BA312" i="1" s="1"/>
  <c r="AZ311" i="1"/>
  <c r="BA311" i="1" s="1"/>
  <c r="AZ310" i="1"/>
  <c r="BA310" i="1" s="1"/>
  <c r="AZ309" i="1"/>
  <c r="BA309" i="1" s="1"/>
  <c r="AZ308" i="1"/>
  <c r="BA308" i="1" s="1"/>
  <c r="AZ307" i="1"/>
  <c r="BA307" i="1" s="1"/>
  <c r="AZ306" i="1"/>
  <c r="BA306" i="1" s="1"/>
  <c r="AZ305" i="1"/>
  <c r="BA305" i="1" s="1"/>
  <c r="AZ304" i="1"/>
  <c r="BA304" i="1" s="1"/>
  <c r="AZ303" i="1"/>
  <c r="BA303" i="1" s="1"/>
  <c r="AZ302" i="1"/>
  <c r="BA302" i="1" s="1"/>
  <c r="AZ301" i="1"/>
  <c r="BA301" i="1" s="1"/>
  <c r="AZ300" i="1"/>
  <c r="BA300" i="1" s="1"/>
  <c r="AZ299" i="1"/>
  <c r="BA299" i="1" s="1"/>
  <c r="AZ298" i="1"/>
  <c r="BA298" i="1" s="1"/>
  <c r="AZ297" i="1"/>
  <c r="BA297" i="1" s="1"/>
  <c r="AZ296" i="1"/>
  <c r="BA296" i="1" s="1"/>
  <c r="AZ295" i="1"/>
  <c r="BA295" i="1" s="1"/>
  <c r="AZ294" i="1"/>
  <c r="BA294" i="1" s="1"/>
  <c r="AZ293" i="1"/>
  <c r="BA293" i="1" s="1"/>
  <c r="AZ292" i="1"/>
  <c r="BA292" i="1" s="1"/>
  <c r="AZ291" i="1"/>
  <c r="BA291" i="1" s="1"/>
  <c r="AZ290" i="1"/>
  <c r="BA290" i="1" s="1"/>
  <c r="AZ289" i="1"/>
  <c r="BA289" i="1" s="1"/>
  <c r="AZ288" i="1"/>
  <c r="BA288" i="1" s="1"/>
  <c r="AZ287" i="1"/>
  <c r="BA287" i="1" s="1"/>
  <c r="AZ286" i="1"/>
  <c r="BA286" i="1" s="1"/>
  <c r="AZ285" i="1"/>
  <c r="BA285" i="1" s="1"/>
  <c r="AZ284" i="1"/>
  <c r="BA284" i="1" s="1"/>
  <c r="AZ283" i="1"/>
  <c r="BA283" i="1" s="1"/>
  <c r="AZ282" i="1"/>
  <c r="BA282" i="1" s="1"/>
  <c r="AZ281" i="1"/>
  <c r="BA281" i="1" s="1"/>
  <c r="AZ280" i="1"/>
  <c r="BA280" i="1" s="1"/>
  <c r="AZ279" i="1"/>
  <c r="BA279" i="1" s="1"/>
  <c r="AZ278" i="1"/>
  <c r="BA278" i="1" s="1"/>
  <c r="AZ277" i="1"/>
  <c r="BA277" i="1" s="1"/>
  <c r="AZ276" i="1"/>
  <c r="BA276" i="1" s="1"/>
  <c r="AZ275" i="1"/>
  <c r="BA275" i="1" s="1"/>
  <c r="AZ274" i="1"/>
  <c r="BA274" i="1" s="1"/>
  <c r="AZ273" i="1"/>
  <c r="BA273" i="1" s="1"/>
  <c r="AZ272" i="1"/>
  <c r="BA272" i="1" s="1"/>
  <c r="AZ271" i="1"/>
  <c r="BA271" i="1" s="1"/>
  <c r="AZ270" i="1"/>
  <c r="BA270" i="1" s="1"/>
  <c r="AZ269" i="1"/>
  <c r="BA269" i="1" s="1"/>
  <c r="AZ268" i="1"/>
  <c r="BA268" i="1" s="1"/>
  <c r="AZ267" i="1"/>
  <c r="BA267" i="1" s="1"/>
  <c r="AZ266" i="1"/>
  <c r="BA266" i="1" s="1"/>
  <c r="AZ265" i="1"/>
  <c r="BA265" i="1" s="1"/>
  <c r="AZ264" i="1"/>
  <c r="BA264" i="1" s="1"/>
  <c r="AZ263" i="1"/>
  <c r="BA263" i="1" s="1"/>
  <c r="AZ262" i="1"/>
  <c r="BA262" i="1" s="1"/>
  <c r="AZ261" i="1"/>
  <c r="BA261" i="1" s="1"/>
  <c r="AZ260" i="1"/>
  <c r="BA260" i="1" s="1"/>
  <c r="AZ259" i="1"/>
  <c r="BA259" i="1" s="1"/>
  <c r="AZ258" i="1"/>
  <c r="BA258" i="1" s="1"/>
  <c r="AZ257" i="1"/>
  <c r="BA257" i="1" s="1"/>
  <c r="AZ256" i="1"/>
  <c r="BA256" i="1" s="1"/>
  <c r="AZ255" i="1"/>
  <c r="BA255" i="1" s="1"/>
  <c r="AZ254" i="1"/>
  <c r="BA254" i="1" s="1"/>
  <c r="AZ253" i="1"/>
  <c r="BA253" i="1" s="1"/>
  <c r="AZ252" i="1"/>
  <c r="BA252" i="1" s="1"/>
  <c r="AZ251" i="1"/>
  <c r="BA251" i="1" s="1"/>
  <c r="AZ250" i="1"/>
  <c r="BA250" i="1" s="1"/>
  <c r="AZ249" i="1"/>
  <c r="BA249" i="1" s="1"/>
  <c r="AZ248" i="1"/>
  <c r="BA248" i="1" s="1"/>
  <c r="AZ247" i="1"/>
  <c r="BA247" i="1" s="1"/>
  <c r="AZ246" i="1"/>
  <c r="BA246" i="1" s="1"/>
  <c r="AZ245" i="1"/>
  <c r="BA245" i="1" s="1"/>
  <c r="AZ244" i="1"/>
  <c r="BA244" i="1" s="1"/>
  <c r="AZ243" i="1"/>
  <c r="BA243" i="1" s="1"/>
  <c r="AZ242" i="1"/>
  <c r="BA242" i="1" s="1"/>
  <c r="AZ241" i="1"/>
  <c r="BA241" i="1" s="1"/>
  <c r="AZ240" i="1"/>
  <c r="BA240" i="1" s="1"/>
  <c r="AZ239" i="1"/>
  <c r="BA239" i="1" s="1"/>
  <c r="AZ238" i="1"/>
  <c r="BA238" i="1" s="1"/>
  <c r="AZ237" i="1"/>
  <c r="BA237" i="1" s="1"/>
  <c r="AZ236" i="1"/>
  <c r="BA236" i="1" s="1"/>
  <c r="AZ235" i="1"/>
  <c r="BA235" i="1" s="1"/>
  <c r="AZ234" i="1"/>
  <c r="BA234" i="1" s="1"/>
  <c r="AZ233" i="1"/>
  <c r="BA233" i="1" s="1"/>
  <c r="AZ232" i="1"/>
  <c r="BA232" i="1" s="1"/>
  <c r="AZ231" i="1"/>
  <c r="BA231" i="1" s="1"/>
  <c r="AZ230" i="1"/>
  <c r="BA230" i="1" s="1"/>
  <c r="AZ229" i="1"/>
  <c r="BA229" i="1" s="1"/>
  <c r="AZ228" i="1"/>
  <c r="BA228" i="1" s="1"/>
  <c r="AZ227" i="1"/>
  <c r="BA227" i="1" s="1"/>
  <c r="AZ226" i="1"/>
  <c r="BA226" i="1" s="1"/>
  <c r="AZ225" i="1"/>
  <c r="BA225" i="1" s="1"/>
  <c r="AZ224" i="1"/>
  <c r="BA224" i="1" s="1"/>
  <c r="AZ223" i="1"/>
  <c r="BA223" i="1" s="1"/>
  <c r="AZ222" i="1"/>
  <c r="BA222" i="1" s="1"/>
  <c r="AZ221" i="1"/>
  <c r="BA221" i="1" s="1"/>
  <c r="AZ220" i="1"/>
  <c r="BA220" i="1" s="1"/>
  <c r="AZ219" i="1"/>
  <c r="BA219" i="1" s="1"/>
  <c r="AZ218" i="1"/>
  <c r="BA218" i="1" s="1"/>
  <c r="AZ217" i="1"/>
  <c r="BA217" i="1" s="1"/>
  <c r="AZ216" i="1"/>
  <c r="BA216" i="1" s="1"/>
  <c r="AZ215" i="1"/>
  <c r="BA215" i="1" s="1"/>
  <c r="AZ214" i="1"/>
  <c r="BA214" i="1" s="1"/>
  <c r="AZ213" i="1"/>
  <c r="BA213" i="1" s="1"/>
  <c r="AZ212" i="1"/>
  <c r="BA212" i="1" s="1"/>
  <c r="AZ211" i="1"/>
  <c r="BA211" i="1" s="1"/>
  <c r="AZ210" i="1"/>
  <c r="BA210" i="1" s="1"/>
  <c r="AZ209" i="1"/>
  <c r="BA209" i="1" s="1"/>
  <c r="AZ208" i="1"/>
  <c r="BA208" i="1" s="1"/>
  <c r="AZ207" i="1"/>
  <c r="BA207" i="1" s="1"/>
  <c r="AZ206" i="1"/>
  <c r="BA206" i="1" s="1"/>
  <c r="AZ205" i="1"/>
  <c r="BA205" i="1" s="1"/>
  <c r="AZ204" i="1"/>
  <c r="BA204" i="1" s="1"/>
  <c r="AZ203" i="1"/>
  <c r="BA203" i="1" s="1"/>
  <c r="AZ202" i="1"/>
  <c r="BA202" i="1" s="1"/>
  <c r="AZ201" i="1"/>
  <c r="BA201" i="1" s="1"/>
  <c r="AZ200" i="1"/>
  <c r="BA200" i="1" s="1"/>
  <c r="AZ199" i="1"/>
  <c r="BA199" i="1" s="1"/>
  <c r="AZ198" i="1"/>
  <c r="BA198" i="1" s="1"/>
  <c r="AZ197" i="1"/>
  <c r="BA197" i="1" s="1"/>
  <c r="AZ196" i="1"/>
  <c r="BA196" i="1" s="1"/>
  <c r="AZ195" i="1"/>
  <c r="BA195" i="1" s="1"/>
  <c r="AZ194" i="1"/>
  <c r="BA194" i="1" s="1"/>
  <c r="AZ193" i="1"/>
  <c r="BA193" i="1" s="1"/>
  <c r="AZ192" i="1"/>
  <c r="BA192" i="1" s="1"/>
  <c r="AZ191" i="1"/>
  <c r="BA191" i="1" s="1"/>
  <c r="AZ190" i="1"/>
  <c r="BA190" i="1" s="1"/>
  <c r="AZ189" i="1"/>
  <c r="BA189" i="1" s="1"/>
  <c r="AZ188" i="1"/>
  <c r="BA188" i="1" s="1"/>
  <c r="AZ187" i="1"/>
  <c r="BA187" i="1" s="1"/>
  <c r="AZ186" i="1"/>
  <c r="BA186" i="1" s="1"/>
  <c r="AZ185" i="1"/>
  <c r="BA185" i="1" s="1"/>
  <c r="AZ184" i="1"/>
  <c r="BA184" i="1" s="1"/>
  <c r="AZ183" i="1"/>
  <c r="BA183" i="1" s="1"/>
  <c r="AZ182" i="1"/>
  <c r="BA182" i="1" s="1"/>
  <c r="AZ181" i="1"/>
  <c r="BA181" i="1" s="1"/>
  <c r="AZ180" i="1"/>
  <c r="BA180" i="1" s="1"/>
  <c r="AZ179" i="1"/>
  <c r="BA179" i="1" s="1"/>
  <c r="AZ178" i="1"/>
  <c r="BA178" i="1" s="1"/>
  <c r="AZ177" i="1"/>
  <c r="BA177" i="1" s="1"/>
  <c r="AZ176" i="1"/>
  <c r="BA176" i="1" s="1"/>
  <c r="AZ175" i="1"/>
  <c r="BA175" i="1" s="1"/>
  <c r="AZ174" i="1"/>
  <c r="BA174" i="1" s="1"/>
  <c r="AZ173" i="1"/>
  <c r="BA173" i="1" s="1"/>
  <c r="AZ172" i="1"/>
  <c r="BA172" i="1" s="1"/>
  <c r="AZ171" i="1"/>
  <c r="BA171" i="1" s="1"/>
  <c r="AZ170" i="1"/>
  <c r="BA170" i="1" s="1"/>
  <c r="AZ169" i="1"/>
  <c r="BA169" i="1" s="1"/>
  <c r="AZ168" i="1"/>
  <c r="BA168" i="1" s="1"/>
  <c r="AZ167" i="1"/>
  <c r="BA167" i="1" s="1"/>
  <c r="AZ166" i="1"/>
  <c r="BA166" i="1" s="1"/>
  <c r="AZ165" i="1"/>
  <c r="BA165" i="1" s="1"/>
  <c r="AZ164" i="1"/>
  <c r="BA164" i="1" s="1"/>
  <c r="AZ163" i="1"/>
  <c r="BA163" i="1" s="1"/>
  <c r="AZ162" i="1"/>
  <c r="BA162" i="1" s="1"/>
  <c r="AZ161" i="1"/>
  <c r="BA161" i="1" s="1"/>
  <c r="AZ160" i="1"/>
  <c r="BA160" i="1" s="1"/>
  <c r="AZ159" i="1"/>
  <c r="BA159" i="1" s="1"/>
  <c r="AZ158" i="1"/>
  <c r="BA158" i="1" s="1"/>
  <c r="AZ157" i="1"/>
  <c r="BA157" i="1" s="1"/>
  <c r="AZ156" i="1"/>
  <c r="BA156" i="1" s="1"/>
  <c r="AZ155" i="1"/>
  <c r="BA155" i="1" s="1"/>
  <c r="AZ154" i="1"/>
  <c r="BA154" i="1" s="1"/>
  <c r="AZ153" i="1"/>
  <c r="BA153" i="1" s="1"/>
  <c r="AZ152" i="1"/>
  <c r="BA152" i="1" s="1"/>
  <c r="AZ151" i="1"/>
  <c r="BA151" i="1" s="1"/>
  <c r="AZ150" i="1"/>
  <c r="BA150" i="1" s="1"/>
  <c r="AZ149" i="1"/>
  <c r="BA149" i="1" s="1"/>
  <c r="AZ148" i="1"/>
  <c r="BA148" i="1" s="1"/>
  <c r="AZ147" i="1"/>
  <c r="BA147" i="1" s="1"/>
  <c r="AZ146" i="1"/>
  <c r="BA146" i="1" s="1"/>
  <c r="AZ145" i="1"/>
  <c r="BA145" i="1" s="1"/>
  <c r="AZ144" i="1"/>
  <c r="BA144" i="1" s="1"/>
  <c r="AZ143" i="1"/>
  <c r="BA143" i="1" s="1"/>
  <c r="AZ142" i="1"/>
  <c r="BA142" i="1" s="1"/>
  <c r="AZ141" i="1"/>
  <c r="BA141" i="1" s="1"/>
  <c r="AZ140" i="1"/>
  <c r="BA140" i="1" s="1"/>
  <c r="AZ139" i="1"/>
  <c r="BA139" i="1" s="1"/>
  <c r="AZ138" i="1"/>
  <c r="BA138" i="1" s="1"/>
  <c r="AZ137" i="1"/>
  <c r="BA137" i="1" s="1"/>
  <c r="AZ136" i="1"/>
  <c r="BA136" i="1" s="1"/>
  <c r="AZ135" i="1"/>
  <c r="BA135" i="1" s="1"/>
  <c r="AZ134" i="1"/>
  <c r="BA134" i="1" s="1"/>
  <c r="AZ133" i="1"/>
  <c r="BA133" i="1" s="1"/>
  <c r="AZ132" i="1"/>
  <c r="BA132" i="1" s="1"/>
  <c r="AZ131" i="1"/>
  <c r="BA131" i="1" s="1"/>
  <c r="AZ130" i="1"/>
  <c r="BA130" i="1" s="1"/>
  <c r="AZ129" i="1"/>
  <c r="BA129" i="1" s="1"/>
  <c r="AZ128" i="1"/>
  <c r="BA128" i="1" s="1"/>
  <c r="AZ127" i="1"/>
  <c r="BA127" i="1" s="1"/>
  <c r="AZ126" i="1"/>
  <c r="BA126" i="1" s="1"/>
  <c r="AZ125" i="1"/>
  <c r="BA125" i="1" s="1"/>
  <c r="AZ124" i="1"/>
  <c r="BA124" i="1" s="1"/>
  <c r="AZ123" i="1"/>
  <c r="BA123" i="1" s="1"/>
  <c r="AZ122" i="1"/>
  <c r="BA122" i="1" s="1"/>
  <c r="AZ121" i="1"/>
  <c r="BA121" i="1" s="1"/>
  <c r="AZ120" i="1"/>
  <c r="BA120" i="1" s="1"/>
  <c r="AZ119" i="1"/>
  <c r="BA119" i="1" s="1"/>
  <c r="AZ118" i="1"/>
  <c r="BA118" i="1" s="1"/>
  <c r="AZ117" i="1"/>
  <c r="BA117" i="1" s="1"/>
  <c r="AZ116" i="1"/>
  <c r="BA116" i="1" s="1"/>
  <c r="AZ115" i="1"/>
  <c r="BA115" i="1" s="1"/>
  <c r="AZ114" i="1"/>
  <c r="BA114" i="1" s="1"/>
  <c r="AZ113" i="1"/>
  <c r="BA113" i="1" s="1"/>
  <c r="AZ112" i="1"/>
  <c r="BA112" i="1" s="1"/>
  <c r="AZ111" i="1"/>
  <c r="BA111" i="1" s="1"/>
  <c r="AZ110" i="1"/>
  <c r="BA110" i="1" s="1"/>
  <c r="AZ109" i="1"/>
  <c r="BA109" i="1" s="1"/>
  <c r="AZ108" i="1"/>
  <c r="BA108" i="1" s="1"/>
  <c r="AZ107" i="1"/>
  <c r="BA107" i="1" s="1"/>
  <c r="AZ106" i="1"/>
  <c r="BA106" i="1" s="1"/>
  <c r="AZ105" i="1"/>
  <c r="BA105" i="1" s="1"/>
  <c r="AZ104" i="1"/>
  <c r="BA104" i="1" s="1"/>
  <c r="AZ103" i="1"/>
  <c r="BA103" i="1" s="1"/>
  <c r="AZ102" i="1"/>
  <c r="BA102" i="1" s="1"/>
  <c r="AZ101" i="1"/>
  <c r="BA101" i="1" s="1"/>
  <c r="AZ100" i="1"/>
  <c r="BA100" i="1" s="1"/>
  <c r="AZ99" i="1"/>
  <c r="BA99" i="1" s="1"/>
  <c r="AZ98" i="1"/>
  <c r="BA98" i="1" s="1"/>
  <c r="AZ97" i="1"/>
  <c r="BA97" i="1" s="1"/>
  <c r="AZ96" i="1"/>
  <c r="BA96" i="1" s="1"/>
  <c r="AZ95" i="1"/>
  <c r="BA95" i="1" s="1"/>
  <c r="AZ94" i="1"/>
  <c r="BA94" i="1" s="1"/>
  <c r="AZ93" i="1"/>
  <c r="BA93" i="1" s="1"/>
  <c r="AZ92" i="1"/>
  <c r="BA92" i="1" s="1"/>
  <c r="AZ91" i="1"/>
  <c r="BA91" i="1" s="1"/>
  <c r="AZ90" i="1"/>
  <c r="BA90" i="1" s="1"/>
  <c r="AZ89" i="1"/>
  <c r="BA89" i="1" s="1"/>
  <c r="AZ88" i="1"/>
  <c r="BA88" i="1" s="1"/>
  <c r="AZ87" i="1"/>
  <c r="BA87" i="1" s="1"/>
  <c r="AZ86" i="1"/>
  <c r="BA86" i="1" s="1"/>
  <c r="AZ85" i="1"/>
  <c r="BA85" i="1" s="1"/>
  <c r="AZ84" i="1"/>
  <c r="BA84" i="1" s="1"/>
  <c r="AZ83" i="1"/>
  <c r="BA83" i="1" s="1"/>
  <c r="AZ82" i="1"/>
  <c r="BA82" i="1" s="1"/>
  <c r="AZ81" i="1"/>
  <c r="BA81" i="1" s="1"/>
  <c r="AZ80" i="1"/>
  <c r="BA80" i="1" s="1"/>
  <c r="AZ79" i="1"/>
  <c r="BA79" i="1" s="1"/>
  <c r="AZ78" i="1"/>
  <c r="BA78" i="1" s="1"/>
  <c r="AZ77" i="1"/>
  <c r="BA77" i="1" s="1"/>
  <c r="AZ76" i="1"/>
  <c r="BA76" i="1" s="1"/>
  <c r="AZ75" i="1"/>
  <c r="BA75" i="1" s="1"/>
  <c r="AZ74" i="1"/>
  <c r="BA74" i="1" s="1"/>
  <c r="AZ73" i="1"/>
  <c r="BA73" i="1" s="1"/>
  <c r="AZ72" i="1"/>
  <c r="BA72" i="1" s="1"/>
  <c r="AZ71" i="1"/>
  <c r="BA71" i="1" s="1"/>
  <c r="AZ70" i="1"/>
  <c r="BA70" i="1" s="1"/>
  <c r="AZ69" i="1"/>
  <c r="BA69" i="1" s="1"/>
  <c r="AZ68" i="1"/>
  <c r="BA68" i="1" s="1"/>
  <c r="AZ67" i="1"/>
  <c r="BA67" i="1" s="1"/>
  <c r="AZ66" i="1"/>
  <c r="BA66" i="1" s="1"/>
  <c r="AZ65" i="1"/>
  <c r="BA65" i="1" s="1"/>
  <c r="AZ64" i="1"/>
  <c r="BA64" i="1" s="1"/>
  <c r="AZ63" i="1"/>
  <c r="BA63" i="1" s="1"/>
  <c r="AZ62" i="1"/>
  <c r="BA62" i="1" s="1"/>
  <c r="AZ61" i="1"/>
  <c r="BA61" i="1" s="1"/>
  <c r="AZ60" i="1"/>
  <c r="BA60" i="1" s="1"/>
  <c r="AZ59" i="1"/>
  <c r="BA59" i="1" s="1"/>
  <c r="AZ58" i="1"/>
  <c r="BA58" i="1" s="1"/>
  <c r="AZ57" i="1"/>
  <c r="BA57" i="1" s="1"/>
  <c r="AZ56" i="1"/>
  <c r="BA56" i="1" s="1"/>
  <c r="AZ55" i="1"/>
  <c r="BA55" i="1" s="1"/>
  <c r="AZ54" i="1"/>
  <c r="BA54" i="1" s="1"/>
  <c r="AZ53" i="1"/>
  <c r="BA53" i="1" s="1"/>
  <c r="AZ52" i="1"/>
  <c r="BA52" i="1" s="1"/>
  <c r="AZ51" i="1"/>
  <c r="BA51" i="1" s="1"/>
  <c r="AZ50" i="1"/>
  <c r="BA50" i="1" s="1"/>
  <c r="AZ49" i="1"/>
  <c r="BA49" i="1" s="1"/>
  <c r="AZ48" i="1"/>
  <c r="BA48" i="1" s="1"/>
  <c r="AZ47" i="1"/>
  <c r="BA47" i="1" s="1"/>
  <c r="AZ46" i="1"/>
  <c r="BA46" i="1" s="1"/>
  <c r="AZ45" i="1"/>
  <c r="BA45" i="1" s="1"/>
  <c r="AZ44" i="1"/>
  <c r="BA44" i="1" s="1"/>
  <c r="AX1011" i="1"/>
  <c r="AY1011" i="1" s="1"/>
  <c r="AX1010" i="1"/>
  <c r="AY1010" i="1" s="1"/>
  <c r="AX1009" i="1"/>
  <c r="AY1009" i="1" s="1"/>
  <c r="AX1008" i="1"/>
  <c r="AY1008" i="1" s="1"/>
  <c r="AX1007" i="1"/>
  <c r="AY1007" i="1" s="1"/>
  <c r="AX1006" i="1"/>
  <c r="AY1006" i="1" s="1"/>
  <c r="AX1005" i="1"/>
  <c r="AY1005" i="1" s="1"/>
  <c r="AX1004" i="1"/>
  <c r="AY1004" i="1" s="1"/>
  <c r="AX1003" i="1"/>
  <c r="AY1003" i="1" s="1"/>
  <c r="AX1002" i="1"/>
  <c r="AY1002" i="1" s="1"/>
  <c r="AX1001" i="1"/>
  <c r="AY1001" i="1" s="1"/>
  <c r="AX1000" i="1"/>
  <c r="AY1000" i="1" s="1"/>
  <c r="AX999" i="1"/>
  <c r="AY999" i="1" s="1"/>
  <c r="AX998" i="1"/>
  <c r="AY998" i="1" s="1"/>
  <c r="AX997" i="1"/>
  <c r="AY997" i="1" s="1"/>
  <c r="AX996" i="1"/>
  <c r="AY996" i="1" s="1"/>
  <c r="AX995" i="1"/>
  <c r="AY995" i="1" s="1"/>
  <c r="AX994" i="1"/>
  <c r="AY994" i="1" s="1"/>
  <c r="AX993" i="1"/>
  <c r="AY993" i="1" s="1"/>
  <c r="AX992" i="1"/>
  <c r="AY992" i="1" s="1"/>
  <c r="AX991" i="1"/>
  <c r="AY991" i="1" s="1"/>
  <c r="AX990" i="1"/>
  <c r="AY990" i="1" s="1"/>
  <c r="AX989" i="1"/>
  <c r="AY989" i="1" s="1"/>
  <c r="AX988" i="1"/>
  <c r="AY988" i="1" s="1"/>
  <c r="AX987" i="1"/>
  <c r="AY987" i="1" s="1"/>
  <c r="AX986" i="1"/>
  <c r="AY986" i="1" s="1"/>
  <c r="AX985" i="1"/>
  <c r="AY985" i="1" s="1"/>
  <c r="AX984" i="1"/>
  <c r="AY984" i="1" s="1"/>
  <c r="AX983" i="1"/>
  <c r="AY983" i="1" s="1"/>
  <c r="AX982" i="1"/>
  <c r="AY982" i="1" s="1"/>
  <c r="AX981" i="1"/>
  <c r="AY981" i="1" s="1"/>
  <c r="AX980" i="1"/>
  <c r="AY980" i="1" s="1"/>
  <c r="AX979" i="1"/>
  <c r="AY979" i="1" s="1"/>
  <c r="AX978" i="1"/>
  <c r="AY978" i="1" s="1"/>
  <c r="AX977" i="1"/>
  <c r="AY977" i="1" s="1"/>
  <c r="AX976" i="1"/>
  <c r="AY976" i="1" s="1"/>
  <c r="AX975" i="1"/>
  <c r="AY975" i="1" s="1"/>
  <c r="AX974" i="1"/>
  <c r="AY974" i="1" s="1"/>
  <c r="AX973" i="1"/>
  <c r="AY973" i="1" s="1"/>
  <c r="AX972" i="1"/>
  <c r="AY972" i="1" s="1"/>
  <c r="AX971" i="1"/>
  <c r="AY971" i="1" s="1"/>
  <c r="AX970" i="1"/>
  <c r="AY970" i="1" s="1"/>
  <c r="AX969" i="1"/>
  <c r="AY969" i="1" s="1"/>
  <c r="AX968" i="1"/>
  <c r="AY968" i="1" s="1"/>
  <c r="AX967" i="1"/>
  <c r="AY967" i="1" s="1"/>
  <c r="AX966" i="1"/>
  <c r="AY966" i="1" s="1"/>
  <c r="AX965" i="1"/>
  <c r="AY965" i="1" s="1"/>
  <c r="AX964" i="1"/>
  <c r="AY964" i="1" s="1"/>
  <c r="AX963" i="1"/>
  <c r="AY963" i="1" s="1"/>
  <c r="AX962" i="1"/>
  <c r="AY962" i="1" s="1"/>
  <c r="AX961" i="1"/>
  <c r="AY961" i="1" s="1"/>
  <c r="AX960" i="1"/>
  <c r="AY960" i="1" s="1"/>
  <c r="AX959" i="1"/>
  <c r="AY959" i="1" s="1"/>
  <c r="AX958" i="1"/>
  <c r="AY958" i="1" s="1"/>
  <c r="AX957" i="1"/>
  <c r="AY957" i="1" s="1"/>
  <c r="AX956" i="1"/>
  <c r="AY956" i="1" s="1"/>
  <c r="AX955" i="1"/>
  <c r="AY955" i="1" s="1"/>
  <c r="AX954" i="1"/>
  <c r="AY954" i="1" s="1"/>
  <c r="AX953" i="1"/>
  <c r="AY953" i="1" s="1"/>
  <c r="AX952" i="1"/>
  <c r="AY952" i="1" s="1"/>
  <c r="AX951" i="1"/>
  <c r="AY951" i="1" s="1"/>
  <c r="AX950" i="1"/>
  <c r="AY950" i="1" s="1"/>
  <c r="AX949" i="1"/>
  <c r="AY949" i="1" s="1"/>
  <c r="AX948" i="1"/>
  <c r="AY948" i="1" s="1"/>
  <c r="AX947" i="1"/>
  <c r="AY947" i="1" s="1"/>
  <c r="AX946" i="1"/>
  <c r="AY946" i="1" s="1"/>
  <c r="AX945" i="1"/>
  <c r="AY945" i="1" s="1"/>
  <c r="AX944" i="1"/>
  <c r="AY944" i="1" s="1"/>
  <c r="AX943" i="1"/>
  <c r="AY943" i="1" s="1"/>
  <c r="AX942" i="1"/>
  <c r="AY942" i="1" s="1"/>
  <c r="AX941" i="1"/>
  <c r="AY941" i="1" s="1"/>
  <c r="AX940" i="1"/>
  <c r="AY940" i="1" s="1"/>
  <c r="AX939" i="1"/>
  <c r="AY939" i="1" s="1"/>
  <c r="AX938" i="1"/>
  <c r="AY938" i="1" s="1"/>
  <c r="AX937" i="1"/>
  <c r="AY937" i="1" s="1"/>
  <c r="AX936" i="1"/>
  <c r="AY936" i="1" s="1"/>
  <c r="AX935" i="1"/>
  <c r="AY935" i="1" s="1"/>
  <c r="AX934" i="1"/>
  <c r="AY934" i="1" s="1"/>
  <c r="AX933" i="1"/>
  <c r="AY933" i="1" s="1"/>
  <c r="AX932" i="1"/>
  <c r="AY932" i="1" s="1"/>
  <c r="AX931" i="1"/>
  <c r="AY931" i="1" s="1"/>
  <c r="AX930" i="1"/>
  <c r="AY930" i="1" s="1"/>
  <c r="AX929" i="1"/>
  <c r="AY929" i="1" s="1"/>
  <c r="AX928" i="1"/>
  <c r="AY928" i="1" s="1"/>
  <c r="AX927" i="1"/>
  <c r="AY927" i="1" s="1"/>
  <c r="AX926" i="1"/>
  <c r="AY926" i="1" s="1"/>
  <c r="AX925" i="1"/>
  <c r="AY925" i="1" s="1"/>
  <c r="AX924" i="1"/>
  <c r="AY924" i="1" s="1"/>
  <c r="AX923" i="1"/>
  <c r="AY923" i="1" s="1"/>
  <c r="AX922" i="1"/>
  <c r="AY922" i="1" s="1"/>
  <c r="AX921" i="1"/>
  <c r="AY921" i="1" s="1"/>
  <c r="AX920" i="1"/>
  <c r="AY920" i="1" s="1"/>
  <c r="AX919" i="1"/>
  <c r="AY919" i="1" s="1"/>
  <c r="AX918" i="1"/>
  <c r="AY918" i="1" s="1"/>
  <c r="AX917" i="1"/>
  <c r="AY917" i="1" s="1"/>
  <c r="AX916" i="1"/>
  <c r="AY916" i="1" s="1"/>
  <c r="AX915" i="1"/>
  <c r="AY915" i="1" s="1"/>
  <c r="AX914" i="1"/>
  <c r="AY914" i="1" s="1"/>
  <c r="AX913" i="1"/>
  <c r="AY913" i="1" s="1"/>
  <c r="AX912" i="1"/>
  <c r="AY912" i="1" s="1"/>
  <c r="AX911" i="1"/>
  <c r="AY911" i="1" s="1"/>
  <c r="AX910" i="1"/>
  <c r="AY910" i="1" s="1"/>
  <c r="AX909" i="1"/>
  <c r="AY909" i="1" s="1"/>
  <c r="AX908" i="1"/>
  <c r="AY908" i="1" s="1"/>
  <c r="AX907" i="1"/>
  <c r="AY907" i="1" s="1"/>
  <c r="AX906" i="1"/>
  <c r="AY906" i="1" s="1"/>
  <c r="AX905" i="1"/>
  <c r="AY905" i="1" s="1"/>
  <c r="AX904" i="1"/>
  <c r="AY904" i="1" s="1"/>
  <c r="AX903" i="1"/>
  <c r="AY903" i="1" s="1"/>
  <c r="AX902" i="1"/>
  <c r="AY902" i="1" s="1"/>
  <c r="AX901" i="1"/>
  <c r="AY901" i="1" s="1"/>
  <c r="AX900" i="1"/>
  <c r="AY900" i="1" s="1"/>
  <c r="AX899" i="1"/>
  <c r="AY899" i="1" s="1"/>
  <c r="AX898" i="1"/>
  <c r="AY898" i="1" s="1"/>
  <c r="AX897" i="1"/>
  <c r="AY897" i="1" s="1"/>
  <c r="AX896" i="1"/>
  <c r="AY896" i="1" s="1"/>
  <c r="AX895" i="1"/>
  <c r="AY895" i="1" s="1"/>
  <c r="AX894" i="1"/>
  <c r="AY894" i="1" s="1"/>
  <c r="AX893" i="1"/>
  <c r="AY893" i="1" s="1"/>
  <c r="AX892" i="1"/>
  <c r="AY892" i="1" s="1"/>
  <c r="AX891" i="1"/>
  <c r="AY891" i="1" s="1"/>
  <c r="AX890" i="1"/>
  <c r="AY890" i="1" s="1"/>
  <c r="AX889" i="1"/>
  <c r="AY889" i="1" s="1"/>
  <c r="AX888" i="1"/>
  <c r="AY888" i="1" s="1"/>
  <c r="AX887" i="1"/>
  <c r="AY887" i="1" s="1"/>
  <c r="AX886" i="1"/>
  <c r="AY886" i="1" s="1"/>
  <c r="AX885" i="1"/>
  <c r="AY885" i="1" s="1"/>
  <c r="AX884" i="1"/>
  <c r="AY884" i="1" s="1"/>
  <c r="AX883" i="1"/>
  <c r="AY883" i="1" s="1"/>
  <c r="AX882" i="1"/>
  <c r="AY882" i="1" s="1"/>
  <c r="AX881" i="1"/>
  <c r="AY881" i="1" s="1"/>
  <c r="AX880" i="1"/>
  <c r="AY880" i="1" s="1"/>
  <c r="AX879" i="1"/>
  <c r="AY879" i="1" s="1"/>
  <c r="AX878" i="1"/>
  <c r="AY878" i="1" s="1"/>
  <c r="AX877" i="1"/>
  <c r="AY877" i="1" s="1"/>
  <c r="AX876" i="1"/>
  <c r="AY876" i="1" s="1"/>
  <c r="AX875" i="1"/>
  <c r="AY875" i="1" s="1"/>
  <c r="AX874" i="1"/>
  <c r="AY874" i="1" s="1"/>
  <c r="AX873" i="1"/>
  <c r="AY873" i="1" s="1"/>
  <c r="AX872" i="1"/>
  <c r="AY872" i="1" s="1"/>
  <c r="AX871" i="1"/>
  <c r="AY871" i="1" s="1"/>
  <c r="AX870" i="1"/>
  <c r="AY870" i="1" s="1"/>
  <c r="AX869" i="1"/>
  <c r="AY869" i="1" s="1"/>
  <c r="AX868" i="1"/>
  <c r="AY868" i="1" s="1"/>
  <c r="AX867" i="1"/>
  <c r="AY867" i="1" s="1"/>
  <c r="AX866" i="1"/>
  <c r="AY866" i="1" s="1"/>
  <c r="AX865" i="1"/>
  <c r="AY865" i="1" s="1"/>
  <c r="AX864" i="1"/>
  <c r="AY864" i="1" s="1"/>
  <c r="AX863" i="1"/>
  <c r="AY863" i="1" s="1"/>
  <c r="AX862" i="1"/>
  <c r="AY862" i="1" s="1"/>
  <c r="AX861" i="1"/>
  <c r="AY861" i="1" s="1"/>
  <c r="AX860" i="1"/>
  <c r="AY860" i="1" s="1"/>
  <c r="AX859" i="1"/>
  <c r="AY859" i="1" s="1"/>
  <c r="AX858" i="1"/>
  <c r="AY858" i="1" s="1"/>
  <c r="AX857" i="1"/>
  <c r="AY857" i="1" s="1"/>
  <c r="AX856" i="1"/>
  <c r="AY856" i="1" s="1"/>
  <c r="AX855" i="1"/>
  <c r="AY855" i="1" s="1"/>
  <c r="AX854" i="1"/>
  <c r="AY854" i="1" s="1"/>
  <c r="AX853" i="1"/>
  <c r="AY853" i="1" s="1"/>
  <c r="AX852" i="1"/>
  <c r="AY852" i="1" s="1"/>
  <c r="AX851" i="1"/>
  <c r="AY851" i="1" s="1"/>
  <c r="AX850" i="1"/>
  <c r="AY850" i="1" s="1"/>
  <c r="AX849" i="1"/>
  <c r="AY849" i="1" s="1"/>
  <c r="AX848" i="1"/>
  <c r="AY848" i="1" s="1"/>
  <c r="AX847" i="1"/>
  <c r="AY847" i="1" s="1"/>
  <c r="AX846" i="1"/>
  <c r="AY846" i="1" s="1"/>
  <c r="AX845" i="1"/>
  <c r="AY845" i="1" s="1"/>
  <c r="AX844" i="1"/>
  <c r="AY844" i="1" s="1"/>
  <c r="AX843" i="1"/>
  <c r="AY843" i="1" s="1"/>
  <c r="AX842" i="1"/>
  <c r="AY842" i="1" s="1"/>
  <c r="AX841" i="1"/>
  <c r="AY841" i="1" s="1"/>
  <c r="AX840" i="1"/>
  <c r="AY840" i="1" s="1"/>
  <c r="AX839" i="1"/>
  <c r="AY839" i="1" s="1"/>
  <c r="AX838" i="1"/>
  <c r="AY838" i="1" s="1"/>
  <c r="AX837" i="1"/>
  <c r="AY837" i="1" s="1"/>
  <c r="AX836" i="1"/>
  <c r="AY836" i="1" s="1"/>
  <c r="AX835" i="1"/>
  <c r="AY835" i="1" s="1"/>
  <c r="AX834" i="1"/>
  <c r="AY834" i="1" s="1"/>
  <c r="AX833" i="1"/>
  <c r="AY833" i="1" s="1"/>
  <c r="AX832" i="1"/>
  <c r="AY832" i="1" s="1"/>
  <c r="AX831" i="1"/>
  <c r="AY831" i="1" s="1"/>
  <c r="AX830" i="1"/>
  <c r="AY830" i="1" s="1"/>
  <c r="AX829" i="1"/>
  <c r="AY829" i="1" s="1"/>
  <c r="AX828" i="1"/>
  <c r="AY828" i="1" s="1"/>
  <c r="AX827" i="1"/>
  <c r="AY827" i="1" s="1"/>
  <c r="AX826" i="1"/>
  <c r="AY826" i="1" s="1"/>
  <c r="AX825" i="1"/>
  <c r="AY825" i="1" s="1"/>
  <c r="AX824" i="1"/>
  <c r="AY824" i="1" s="1"/>
  <c r="AX823" i="1"/>
  <c r="AY823" i="1" s="1"/>
  <c r="AX822" i="1"/>
  <c r="AY822" i="1" s="1"/>
  <c r="AX821" i="1"/>
  <c r="AY821" i="1" s="1"/>
  <c r="AX820" i="1"/>
  <c r="AY820" i="1" s="1"/>
  <c r="AX819" i="1"/>
  <c r="AY819" i="1" s="1"/>
  <c r="AX818" i="1"/>
  <c r="AY818" i="1" s="1"/>
  <c r="AX817" i="1"/>
  <c r="AY817" i="1" s="1"/>
  <c r="AX816" i="1"/>
  <c r="AY816" i="1" s="1"/>
  <c r="AX815" i="1"/>
  <c r="AY815" i="1" s="1"/>
  <c r="AX814" i="1"/>
  <c r="AY814" i="1" s="1"/>
  <c r="AX813" i="1"/>
  <c r="AY813" i="1" s="1"/>
  <c r="AX812" i="1"/>
  <c r="AY812" i="1" s="1"/>
  <c r="AX811" i="1"/>
  <c r="AY811" i="1" s="1"/>
  <c r="AX810" i="1"/>
  <c r="AY810" i="1" s="1"/>
  <c r="AX809" i="1"/>
  <c r="AY809" i="1" s="1"/>
  <c r="AX808" i="1"/>
  <c r="AY808" i="1" s="1"/>
  <c r="AX807" i="1"/>
  <c r="AY807" i="1" s="1"/>
  <c r="AX806" i="1"/>
  <c r="AY806" i="1" s="1"/>
  <c r="AX805" i="1"/>
  <c r="AY805" i="1" s="1"/>
  <c r="AX804" i="1"/>
  <c r="AY804" i="1" s="1"/>
  <c r="AX803" i="1"/>
  <c r="AY803" i="1" s="1"/>
  <c r="AX802" i="1"/>
  <c r="AY802" i="1" s="1"/>
  <c r="AX801" i="1"/>
  <c r="AY801" i="1" s="1"/>
  <c r="AX800" i="1"/>
  <c r="AY800" i="1" s="1"/>
  <c r="AX799" i="1"/>
  <c r="AY799" i="1" s="1"/>
  <c r="AX798" i="1"/>
  <c r="AY798" i="1" s="1"/>
  <c r="AX797" i="1"/>
  <c r="AY797" i="1" s="1"/>
  <c r="AX796" i="1"/>
  <c r="AY796" i="1" s="1"/>
  <c r="AX795" i="1"/>
  <c r="AY795" i="1" s="1"/>
  <c r="AX794" i="1"/>
  <c r="AY794" i="1" s="1"/>
  <c r="AX793" i="1"/>
  <c r="AY793" i="1" s="1"/>
  <c r="AX792" i="1"/>
  <c r="AY792" i="1" s="1"/>
  <c r="AX791" i="1"/>
  <c r="AY791" i="1" s="1"/>
  <c r="AX790" i="1"/>
  <c r="AY790" i="1" s="1"/>
  <c r="AX789" i="1"/>
  <c r="AY789" i="1" s="1"/>
  <c r="AX788" i="1"/>
  <c r="AY788" i="1" s="1"/>
  <c r="AX787" i="1"/>
  <c r="AY787" i="1" s="1"/>
  <c r="AX786" i="1"/>
  <c r="AY786" i="1" s="1"/>
  <c r="AX785" i="1"/>
  <c r="AY785" i="1" s="1"/>
  <c r="AX784" i="1"/>
  <c r="AY784" i="1" s="1"/>
  <c r="AX783" i="1"/>
  <c r="AY783" i="1" s="1"/>
  <c r="AX782" i="1"/>
  <c r="AY782" i="1" s="1"/>
  <c r="AX781" i="1"/>
  <c r="AY781" i="1" s="1"/>
  <c r="AX780" i="1"/>
  <c r="AY780" i="1" s="1"/>
  <c r="AX779" i="1"/>
  <c r="AY779" i="1" s="1"/>
  <c r="AX778" i="1"/>
  <c r="AY778" i="1" s="1"/>
  <c r="AX777" i="1"/>
  <c r="AY777" i="1" s="1"/>
  <c r="AX776" i="1"/>
  <c r="AY776" i="1" s="1"/>
  <c r="AX775" i="1"/>
  <c r="AY775" i="1" s="1"/>
  <c r="AX774" i="1"/>
  <c r="AY774" i="1" s="1"/>
  <c r="AX773" i="1"/>
  <c r="AY773" i="1" s="1"/>
  <c r="AX772" i="1"/>
  <c r="AY772" i="1" s="1"/>
  <c r="AX771" i="1"/>
  <c r="AY771" i="1" s="1"/>
  <c r="AX770" i="1"/>
  <c r="AY770" i="1" s="1"/>
  <c r="AX769" i="1"/>
  <c r="AY769" i="1" s="1"/>
  <c r="AX768" i="1"/>
  <c r="AY768" i="1" s="1"/>
  <c r="AX767" i="1"/>
  <c r="AY767" i="1" s="1"/>
  <c r="AX766" i="1"/>
  <c r="AY766" i="1" s="1"/>
  <c r="AX765" i="1"/>
  <c r="AY765" i="1" s="1"/>
  <c r="AX764" i="1"/>
  <c r="AY764" i="1" s="1"/>
  <c r="AX763" i="1"/>
  <c r="AY763" i="1" s="1"/>
  <c r="AX762" i="1"/>
  <c r="AY762" i="1" s="1"/>
  <c r="AX761" i="1"/>
  <c r="AY761" i="1" s="1"/>
  <c r="AX760" i="1"/>
  <c r="AY760" i="1" s="1"/>
  <c r="AX759" i="1"/>
  <c r="AY759" i="1" s="1"/>
  <c r="AX758" i="1"/>
  <c r="AY758" i="1" s="1"/>
  <c r="AX757" i="1"/>
  <c r="AY757" i="1" s="1"/>
  <c r="AX756" i="1"/>
  <c r="AY756" i="1" s="1"/>
  <c r="AX755" i="1"/>
  <c r="AY755" i="1" s="1"/>
  <c r="AX754" i="1"/>
  <c r="AY754" i="1" s="1"/>
  <c r="AX753" i="1"/>
  <c r="AY753" i="1" s="1"/>
  <c r="AX752" i="1"/>
  <c r="AY752" i="1" s="1"/>
  <c r="AX751" i="1"/>
  <c r="AY751" i="1" s="1"/>
  <c r="AX750" i="1"/>
  <c r="AY750" i="1" s="1"/>
  <c r="AX749" i="1"/>
  <c r="AY749" i="1" s="1"/>
  <c r="AX748" i="1"/>
  <c r="AY748" i="1" s="1"/>
  <c r="AX747" i="1"/>
  <c r="AY747" i="1" s="1"/>
  <c r="AX746" i="1"/>
  <c r="AY746" i="1" s="1"/>
  <c r="AX745" i="1"/>
  <c r="AY745" i="1" s="1"/>
  <c r="AX744" i="1"/>
  <c r="AY744" i="1" s="1"/>
  <c r="AX743" i="1"/>
  <c r="AY743" i="1" s="1"/>
  <c r="AX742" i="1"/>
  <c r="AY742" i="1" s="1"/>
  <c r="AX741" i="1"/>
  <c r="AY741" i="1" s="1"/>
  <c r="AX740" i="1"/>
  <c r="AY740" i="1" s="1"/>
  <c r="AX739" i="1"/>
  <c r="AY739" i="1" s="1"/>
  <c r="AX738" i="1"/>
  <c r="AY738" i="1" s="1"/>
  <c r="AX737" i="1"/>
  <c r="AY737" i="1" s="1"/>
  <c r="AX736" i="1"/>
  <c r="AY736" i="1" s="1"/>
  <c r="AX735" i="1"/>
  <c r="AY735" i="1" s="1"/>
  <c r="AX734" i="1"/>
  <c r="AY734" i="1" s="1"/>
  <c r="AX733" i="1"/>
  <c r="AY733" i="1" s="1"/>
  <c r="AX732" i="1"/>
  <c r="AY732" i="1" s="1"/>
  <c r="AX731" i="1"/>
  <c r="AY731" i="1" s="1"/>
  <c r="AX730" i="1"/>
  <c r="AY730" i="1" s="1"/>
  <c r="AX729" i="1"/>
  <c r="AY729" i="1" s="1"/>
  <c r="AX728" i="1"/>
  <c r="AY728" i="1" s="1"/>
  <c r="AX727" i="1"/>
  <c r="AY727" i="1" s="1"/>
  <c r="AX726" i="1"/>
  <c r="AY726" i="1" s="1"/>
  <c r="AX725" i="1"/>
  <c r="AY725" i="1" s="1"/>
  <c r="AX724" i="1"/>
  <c r="AY724" i="1" s="1"/>
  <c r="AX723" i="1"/>
  <c r="AY723" i="1" s="1"/>
  <c r="AX722" i="1"/>
  <c r="AY722" i="1" s="1"/>
  <c r="AX721" i="1"/>
  <c r="AY721" i="1" s="1"/>
  <c r="AX720" i="1"/>
  <c r="AY720" i="1" s="1"/>
  <c r="AX719" i="1"/>
  <c r="AY719" i="1" s="1"/>
  <c r="AX718" i="1"/>
  <c r="AY718" i="1" s="1"/>
  <c r="AX717" i="1"/>
  <c r="AY717" i="1" s="1"/>
  <c r="AX716" i="1"/>
  <c r="AY716" i="1" s="1"/>
  <c r="AX715" i="1"/>
  <c r="AY715" i="1" s="1"/>
  <c r="AX714" i="1"/>
  <c r="AY714" i="1" s="1"/>
  <c r="AX713" i="1"/>
  <c r="AY713" i="1" s="1"/>
  <c r="AX712" i="1"/>
  <c r="AY712" i="1" s="1"/>
  <c r="AX711" i="1"/>
  <c r="AY711" i="1" s="1"/>
  <c r="AX710" i="1"/>
  <c r="AY710" i="1" s="1"/>
  <c r="AX709" i="1"/>
  <c r="AY709" i="1" s="1"/>
  <c r="AX708" i="1"/>
  <c r="AY708" i="1" s="1"/>
  <c r="AX707" i="1"/>
  <c r="AY707" i="1" s="1"/>
  <c r="AX706" i="1"/>
  <c r="AY706" i="1" s="1"/>
  <c r="AX705" i="1"/>
  <c r="AY705" i="1" s="1"/>
  <c r="AX704" i="1"/>
  <c r="AY704" i="1" s="1"/>
  <c r="AX703" i="1"/>
  <c r="AY703" i="1" s="1"/>
  <c r="AX702" i="1"/>
  <c r="AY702" i="1" s="1"/>
  <c r="AX701" i="1"/>
  <c r="AY701" i="1" s="1"/>
  <c r="AX700" i="1"/>
  <c r="AY700" i="1" s="1"/>
  <c r="AX699" i="1"/>
  <c r="AY699" i="1" s="1"/>
  <c r="AX698" i="1"/>
  <c r="AY698" i="1" s="1"/>
  <c r="AX697" i="1"/>
  <c r="AY697" i="1" s="1"/>
  <c r="AX696" i="1"/>
  <c r="AY696" i="1" s="1"/>
  <c r="AX695" i="1"/>
  <c r="AY695" i="1" s="1"/>
  <c r="AX694" i="1"/>
  <c r="AY694" i="1" s="1"/>
  <c r="AX693" i="1"/>
  <c r="AY693" i="1" s="1"/>
  <c r="AX692" i="1"/>
  <c r="AY692" i="1" s="1"/>
  <c r="AX691" i="1"/>
  <c r="AY691" i="1" s="1"/>
  <c r="AX690" i="1"/>
  <c r="AY690" i="1" s="1"/>
  <c r="AX689" i="1"/>
  <c r="AY689" i="1" s="1"/>
  <c r="AX688" i="1"/>
  <c r="AY688" i="1" s="1"/>
  <c r="AX687" i="1"/>
  <c r="AY687" i="1" s="1"/>
  <c r="AX686" i="1"/>
  <c r="AY686" i="1" s="1"/>
  <c r="AX685" i="1"/>
  <c r="AY685" i="1" s="1"/>
  <c r="AX684" i="1"/>
  <c r="AY684" i="1" s="1"/>
  <c r="AX683" i="1"/>
  <c r="AY683" i="1" s="1"/>
  <c r="AX682" i="1"/>
  <c r="AY682" i="1" s="1"/>
  <c r="AX681" i="1"/>
  <c r="AY681" i="1" s="1"/>
  <c r="AX680" i="1"/>
  <c r="AY680" i="1" s="1"/>
  <c r="AX679" i="1"/>
  <c r="AY679" i="1" s="1"/>
  <c r="AX678" i="1"/>
  <c r="AY678" i="1" s="1"/>
  <c r="AX677" i="1"/>
  <c r="AY677" i="1" s="1"/>
  <c r="AX676" i="1"/>
  <c r="AY676" i="1" s="1"/>
  <c r="AX675" i="1"/>
  <c r="AY675" i="1" s="1"/>
  <c r="AX674" i="1"/>
  <c r="AY674" i="1" s="1"/>
  <c r="AX673" i="1"/>
  <c r="AY673" i="1" s="1"/>
  <c r="AX672" i="1"/>
  <c r="AY672" i="1" s="1"/>
  <c r="AX671" i="1"/>
  <c r="AY671" i="1" s="1"/>
  <c r="AX670" i="1"/>
  <c r="AY670" i="1" s="1"/>
  <c r="AX669" i="1"/>
  <c r="AY669" i="1" s="1"/>
  <c r="AX668" i="1"/>
  <c r="AY668" i="1" s="1"/>
  <c r="AX667" i="1"/>
  <c r="AY667" i="1" s="1"/>
  <c r="AX666" i="1"/>
  <c r="AY666" i="1" s="1"/>
  <c r="AX665" i="1"/>
  <c r="AY665" i="1" s="1"/>
  <c r="AX664" i="1"/>
  <c r="AY664" i="1" s="1"/>
  <c r="AX663" i="1"/>
  <c r="AY663" i="1" s="1"/>
  <c r="AX662" i="1"/>
  <c r="AY662" i="1" s="1"/>
  <c r="AX661" i="1"/>
  <c r="AY661" i="1" s="1"/>
  <c r="AX660" i="1"/>
  <c r="AY660" i="1" s="1"/>
  <c r="AX659" i="1"/>
  <c r="AY659" i="1" s="1"/>
  <c r="AX658" i="1"/>
  <c r="AY658" i="1" s="1"/>
  <c r="AX657" i="1"/>
  <c r="AY657" i="1" s="1"/>
  <c r="AX656" i="1"/>
  <c r="AY656" i="1" s="1"/>
  <c r="AX655" i="1"/>
  <c r="AY655" i="1" s="1"/>
  <c r="AX654" i="1"/>
  <c r="AY654" i="1" s="1"/>
  <c r="AX653" i="1"/>
  <c r="AY653" i="1" s="1"/>
  <c r="AX652" i="1"/>
  <c r="AY652" i="1" s="1"/>
  <c r="AX651" i="1"/>
  <c r="AY651" i="1" s="1"/>
  <c r="AX650" i="1"/>
  <c r="AY650" i="1" s="1"/>
  <c r="AX649" i="1"/>
  <c r="AY649" i="1" s="1"/>
  <c r="AX648" i="1"/>
  <c r="AY648" i="1" s="1"/>
  <c r="AX647" i="1"/>
  <c r="AY647" i="1" s="1"/>
  <c r="AX646" i="1"/>
  <c r="AY646" i="1" s="1"/>
  <c r="AX645" i="1"/>
  <c r="AY645" i="1" s="1"/>
  <c r="AX644" i="1"/>
  <c r="AY644" i="1" s="1"/>
  <c r="AX643" i="1"/>
  <c r="AY643" i="1" s="1"/>
  <c r="AX642" i="1"/>
  <c r="AY642" i="1" s="1"/>
  <c r="AX641" i="1"/>
  <c r="AY641" i="1" s="1"/>
  <c r="AX640" i="1"/>
  <c r="AY640" i="1" s="1"/>
  <c r="AX639" i="1"/>
  <c r="AY639" i="1" s="1"/>
  <c r="AX638" i="1"/>
  <c r="AY638" i="1" s="1"/>
  <c r="AX637" i="1"/>
  <c r="AY637" i="1" s="1"/>
  <c r="AX636" i="1"/>
  <c r="AY636" i="1" s="1"/>
  <c r="AX635" i="1"/>
  <c r="AY635" i="1" s="1"/>
  <c r="AX634" i="1"/>
  <c r="AY634" i="1" s="1"/>
  <c r="AX633" i="1"/>
  <c r="AY633" i="1" s="1"/>
  <c r="AX632" i="1"/>
  <c r="AY632" i="1" s="1"/>
  <c r="AX631" i="1"/>
  <c r="AY631" i="1" s="1"/>
  <c r="AX630" i="1"/>
  <c r="AY630" i="1" s="1"/>
  <c r="AX629" i="1"/>
  <c r="AY629" i="1" s="1"/>
  <c r="AX628" i="1"/>
  <c r="AY628" i="1" s="1"/>
  <c r="AX627" i="1"/>
  <c r="AY627" i="1" s="1"/>
  <c r="AX626" i="1"/>
  <c r="AY626" i="1" s="1"/>
  <c r="AX625" i="1"/>
  <c r="AY625" i="1" s="1"/>
  <c r="AX624" i="1"/>
  <c r="AY624" i="1" s="1"/>
  <c r="AX623" i="1"/>
  <c r="AY623" i="1" s="1"/>
  <c r="AX622" i="1"/>
  <c r="AY622" i="1" s="1"/>
  <c r="AX621" i="1"/>
  <c r="AY621" i="1" s="1"/>
  <c r="AX620" i="1"/>
  <c r="AY620" i="1" s="1"/>
  <c r="AX619" i="1"/>
  <c r="AY619" i="1" s="1"/>
  <c r="AX618" i="1"/>
  <c r="AY618" i="1" s="1"/>
  <c r="AX617" i="1"/>
  <c r="AY617" i="1" s="1"/>
  <c r="AX616" i="1"/>
  <c r="AY616" i="1" s="1"/>
  <c r="AX615" i="1"/>
  <c r="AY615" i="1" s="1"/>
  <c r="AX614" i="1"/>
  <c r="AY614" i="1" s="1"/>
  <c r="AX613" i="1"/>
  <c r="AY613" i="1" s="1"/>
  <c r="AX612" i="1"/>
  <c r="AY612" i="1" s="1"/>
  <c r="AX611" i="1"/>
  <c r="AY611" i="1" s="1"/>
  <c r="AX610" i="1"/>
  <c r="AY610" i="1" s="1"/>
  <c r="AX609" i="1"/>
  <c r="AY609" i="1" s="1"/>
  <c r="AX608" i="1"/>
  <c r="AY608" i="1" s="1"/>
  <c r="AX607" i="1"/>
  <c r="AY607" i="1" s="1"/>
  <c r="AX606" i="1"/>
  <c r="AY606" i="1" s="1"/>
  <c r="AX605" i="1"/>
  <c r="AY605" i="1" s="1"/>
  <c r="AX604" i="1"/>
  <c r="AY604" i="1" s="1"/>
  <c r="AX603" i="1"/>
  <c r="AY603" i="1" s="1"/>
  <c r="AX602" i="1"/>
  <c r="AY602" i="1" s="1"/>
  <c r="AX601" i="1"/>
  <c r="AY601" i="1" s="1"/>
  <c r="AX600" i="1"/>
  <c r="AY600" i="1" s="1"/>
  <c r="AX599" i="1"/>
  <c r="AY599" i="1" s="1"/>
  <c r="AX598" i="1"/>
  <c r="AY598" i="1" s="1"/>
  <c r="AX597" i="1"/>
  <c r="AY597" i="1" s="1"/>
  <c r="AX596" i="1"/>
  <c r="AY596" i="1" s="1"/>
  <c r="AX595" i="1"/>
  <c r="AY595" i="1" s="1"/>
  <c r="AX594" i="1"/>
  <c r="AY594" i="1" s="1"/>
  <c r="AX593" i="1"/>
  <c r="AY593" i="1" s="1"/>
  <c r="AX592" i="1"/>
  <c r="AY592" i="1" s="1"/>
  <c r="AX591" i="1"/>
  <c r="AY591" i="1" s="1"/>
  <c r="AX590" i="1"/>
  <c r="AY590" i="1" s="1"/>
  <c r="AX589" i="1"/>
  <c r="AY589" i="1" s="1"/>
  <c r="AX588" i="1"/>
  <c r="AY588" i="1" s="1"/>
  <c r="AX587" i="1"/>
  <c r="AY587" i="1" s="1"/>
  <c r="AX586" i="1"/>
  <c r="AY586" i="1" s="1"/>
  <c r="AX585" i="1"/>
  <c r="AY585" i="1" s="1"/>
  <c r="AX584" i="1"/>
  <c r="AY584" i="1" s="1"/>
  <c r="AX583" i="1"/>
  <c r="AY583" i="1" s="1"/>
  <c r="AX582" i="1"/>
  <c r="AY582" i="1" s="1"/>
  <c r="AX581" i="1"/>
  <c r="AY581" i="1" s="1"/>
  <c r="AX580" i="1"/>
  <c r="AY580" i="1" s="1"/>
  <c r="AX579" i="1"/>
  <c r="AY579" i="1" s="1"/>
  <c r="AX578" i="1"/>
  <c r="AY578" i="1" s="1"/>
  <c r="AX577" i="1"/>
  <c r="AY577" i="1" s="1"/>
  <c r="AX576" i="1"/>
  <c r="AY576" i="1" s="1"/>
  <c r="AX575" i="1"/>
  <c r="AY575" i="1" s="1"/>
  <c r="AX574" i="1"/>
  <c r="AY574" i="1" s="1"/>
  <c r="AX573" i="1"/>
  <c r="AY573" i="1" s="1"/>
  <c r="AX572" i="1"/>
  <c r="AY572" i="1" s="1"/>
  <c r="AX571" i="1"/>
  <c r="AY571" i="1" s="1"/>
  <c r="AX570" i="1"/>
  <c r="AY570" i="1" s="1"/>
  <c r="AX569" i="1"/>
  <c r="AY569" i="1" s="1"/>
  <c r="AX568" i="1"/>
  <c r="AY568" i="1" s="1"/>
  <c r="AX567" i="1"/>
  <c r="AY567" i="1" s="1"/>
  <c r="AX566" i="1"/>
  <c r="AY566" i="1" s="1"/>
  <c r="AX565" i="1"/>
  <c r="AY565" i="1" s="1"/>
  <c r="AX564" i="1"/>
  <c r="AY564" i="1" s="1"/>
  <c r="AX563" i="1"/>
  <c r="AY563" i="1" s="1"/>
  <c r="AX562" i="1"/>
  <c r="AY562" i="1" s="1"/>
  <c r="AX561" i="1"/>
  <c r="AY561" i="1" s="1"/>
  <c r="AX560" i="1"/>
  <c r="AY560" i="1" s="1"/>
  <c r="AX559" i="1"/>
  <c r="AY559" i="1" s="1"/>
  <c r="AX558" i="1"/>
  <c r="AY558" i="1" s="1"/>
  <c r="AX557" i="1"/>
  <c r="AY557" i="1" s="1"/>
  <c r="AX556" i="1"/>
  <c r="AY556" i="1" s="1"/>
  <c r="AX555" i="1"/>
  <c r="AY555" i="1" s="1"/>
  <c r="AX554" i="1"/>
  <c r="AY554" i="1" s="1"/>
  <c r="AX553" i="1"/>
  <c r="AY553" i="1" s="1"/>
  <c r="AX552" i="1"/>
  <c r="AY552" i="1" s="1"/>
  <c r="AX551" i="1"/>
  <c r="AY551" i="1" s="1"/>
  <c r="AX550" i="1"/>
  <c r="AY550" i="1" s="1"/>
  <c r="AX549" i="1"/>
  <c r="AY549" i="1" s="1"/>
  <c r="AX548" i="1"/>
  <c r="AY548" i="1" s="1"/>
  <c r="AX547" i="1"/>
  <c r="AY547" i="1" s="1"/>
  <c r="AX546" i="1"/>
  <c r="AY546" i="1" s="1"/>
  <c r="AX545" i="1"/>
  <c r="AY545" i="1" s="1"/>
  <c r="AX544" i="1"/>
  <c r="AY544" i="1" s="1"/>
  <c r="AX543" i="1"/>
  <c r="AY543" i="1" s="1"/>
  <c r="AX542" i="1"/>
  <c r="AY542" i="1" s="1"/>
  <c r="AX541" i="1"/>
  <c r="AY541" i="1" s="1"/>
  <c r="AX540" i="1"/>
  <c r="AY540" i="1" s="1"/>
  <c r="AX539" i="1"/>
  <c r="AY539" i="1" s="1"/>
  <c r="AX538" i="1"/>
  <c r="AY538" i="1" s="1"/>
  <c r="AX537" i="1"/>
  <c r="AY537" i="1" s="1"/>
  <c r="AX536" i="1"/>
  <c r="AY536" i="1" s="1"/>
  <c r="AX535" i="1"/>
  <c r="AY535" i="1" s="1"/>
  <c r="AX534" i="1"/>
  <c r="AY534" i="1" s="1"/>
  <c r="AX533" i="1"/>
  <c r="AY533" i="1" s="1"/>
  <c r="AX532" i="1"/>
  <c r="AY532" i="1" s="1"/>
  <c r="AX531" i="1"/>
  <c r="AY531" i="1" s="1"/>
  <c r="AX530" i="1"/>
  <c r="AY530" i="1" s="1"/>
  <c r="AX529" i="1"/>
  <c r="AY529" i="1" s="1"/>
  <c r="AX528" i="1"/>
  <c r="AY528" i="1" s="1"/>
  <c r="AX527" i="1"/>
  <c r="AY527" i="1" s="1"/>
  <c r="AX526" i="1"/>
  <c r="AY526" i="1" s="1"/>
  <c r="AX525" i="1"/>
  <c r="AY525" i="1" s="1"/>
  <c r="AX524" i="1"/>
  <c r="AY524" i="1" s="1"/>
  <c r="AX523" i="1"/>
  <c r="AY523" i="1" s="1"/>
  <c r="AX522" i="1"/>
  <c r="AY522" i="1" s="1"/>
  <c r="AX521" i="1"/>
  <c r="AY521" i="1" s="1"/>
  <c r="AX520" i="1"/>
  <c r="AY520" i="1" s="1"/>
  <c r="AX519" i="1"/>
  <c r="AY519" i="1" s="1"/>
  <c r="AX518" i="1"/>
  <c r="AY518" i="1" s="1"/>
  <c r="AX517" i="1"/>
  <c r="AY517" i="1" s="1"/>
  <c r="AX516" i="1"/>
  <c r="AY516" i="1" s="1"/>
  <c r="AX515" i="1"/>
  <c r="AY515" i="1" s="1"/>
  <c r="AX514" i="1"/>
  <c r="AY514" i="1" s="1"/>
  <c r="AX513" i="1"/>
  <c r="AY513" i="1" s="1"/>
  <c r="AX512" i="1"/>
  <c r="AY512" i="1" s="1"/>
  <c r="AX511" i="1"/>
  <c r="AY511" i="1" s="1"/>
  <c r="AX510" i="1"/>
  <c r="AY510" i="1" s="1"/>
  <c r="AX509" i="1"/>
  <c r="AY509" i="1" s="1"/>
  <c r="AX508" i="1"/>
  <c r="AY508" i="1" s="1"/>
  <c r="AX507" i="1"/>
  <c r="AY507" i="1" s="1"/>
  <c r="AX506" i="1"/>
  <c r="AY506" i="1" s="1"/>
  <c r="AX505" i="1"/>
  <c r="AY505" i="1" s="1"/>
  <c r="AX504" i="1"/>
  <c r="AY504" i="1" s="1"/>
  <c r="AX503" i="1"/>
  <c r="AY503" i="1" s="1"/>
  <c r="AX502" i="1"/>
  <c r="AY502" i="1" s="1"/>
  <c r="AX501" i="1"/>
  <c r="AY501" i="1" s="1"/>
  <c r="AX500" i="1"/>
  <c r="AY500" i="1" s="1"/>
  <c r="AX499" i="1"/>
  <c r="AY499" i="1" s="1"/>
  <c r="AX498" i="1"/>
  <c r="AY498" i="1" s="1"/>
  <c r="AX497" i="1"/>
  <c r="AY497" i="1" s="1"/>
  <c r="AX496" i="1"/>
  <c r="AY496" i="1" s="1"/>
  <c r="AX495" i="1"/>
  <c r="AY495" i="1" s="1"/>
  <c r="AX494" i="1"/>
  <c r="AY494" i="1" s="1"/>
  <c r="AX493" i="1"/>
  <c r="AY493" i="1" s="1"/>
  <c r="AX492" i="1"/>
  <c r="AY492" i="1" s="1"/>
  <c r="AX491" i="1"/>
  <c r="AY491" i="1" s="1"/>
  <c r="AX490" i="1"/>
  <c r="AY490" i="1" s="1"/>
  <c r="AX489" i="1"/>
  <c r="AY489" i="1" s="1"/>
  <c r="AX488" i="1"/>
  <c r="AY488" i="1" s="1"/>
  <c r="AX487" i="1"/>
  <c r="AY487" i="1" s="1"/>
  <c r="AX486" i="1"/>
  <c r="AY486" i="1" s="1"/>
  <c r="AX485" i="1"/>
  <c r="AY485" i="1" s="1"/>
  <c r="AX484" i="1"/>
  <c r="AY484" i="1" s="1"/>
  <c r="AX483" i="1"/>
  <c r="AY483" i="1" s="1"/>
  <c r="AX482" i="1"/>
  <c r="AY482" i="1" s="1"/>
  <c r="AX481" i="1"/>
  <c r="AY481" i="1" s="1"/>
  <c r="AX480" i="1"/>
  <c r="AY480" i="1" s="1"/>
  <c r="AX479" i="1"/>
  <c r="AY479" i="1" s="1"/>
  <c r="AX478" i="1"/>
  <c r="AY478" i="1" s="1"/>
  <c r="AX477" i="1"/>
  <c r="AY477" i="1" s="1"/>
  <c r="AX476" i="1"/>
  <c r="AY476" i="1" s="1"/>
  <c r="AX475" i="1"/>
  <c r="AY475" i="1" s="1"/>
  <c r="AX474" i="1"/>
  <c r="AY474" i="1" s="1"/>
  <c r="AX473" i="1"/>
  <c r="AY473" i="1" s="1"/>
  <c r="AX472" i="1"/>
  <c r="AY472" i="1" s="1"/>
  <c r="AX471" i="1"/>
  <c r="AY471" i="1" s="1"/>
  <c r="AX470" i="1"/>
  <c r="AY470" i="1" s="1"/>
  <c r="AX469" i="1"/>
  <c r="AY469" i="1" s="1"/>
  <c r="AX468" i="1"/>
  <c r="AY468" i="1" s="1"/>
  <c r="AX467" i="1"/>
  <c r="AY467" i="1" s="1"/>
  <c r="AX466" i="1"/>
  <c r="AY466" i="1" s="1"/>
  <c r="AX465" i="1"/>
  <c r="AY465" i="1" s="1"/>
  <c r="AX464" i="1"/>
  <c r="AY464" i="1" s="1"/>
  <c r="AX463" i="1"/>
  <c r="AY463" i="1" s="1"/>
  <c r="AX462" i="1"/>
  <c r="AY462" i="1" s="1"/>
  <c r="AX461" i="1"/>
  <c r="AY461" i="1" s="1"/>
  <c r="AX460" i="1"/>
  <c r="AY460" i="1" s="1"/>
  <c r="AX459" i="1"/>
  <c r="AY459" i="1" s="1"/>
  <c r="AX458" i="1"/>
  <c r="AY458" i="1" s="1"/>
  <c r="AX457" i="1"/>
  <c r="AY457" i="1" s="1"/>
  <c r="AX456" i="1"/>
  <c r="AY456" i="1" s="1"/>
  <c r="AX455" i="1"/>
  <c r="AY455" i="1" s="1"/>
  <c r="AX454" i="1"/>
  <c r="AY454" i="1" s="1"/>
  <c r="AX453" i="1"/>
  <c r="AY453" i="1" s="1"/>
  <c r="AX452" i="1"/>
  <c r="AY452" i="1" s="1"/>
  <c r="AX451" i="1"/>
  <c r="AY451" i="1" s="1"/>
  <c r="AX450" i="1"/>
  <c r="AY450" i="1" s="1"/>
  <c r="AX449" i="1"/>
  <c r="AY449" i="1" s="1"/>
  <c r="AX448" i="1"/>
  <c r="AY448" i="1" s="1"/>
  <c r="AX447" i="1"/>
  <c r="AY447" i="1" s="1"/>
  <c r="AX446" i="1"/>
  <c r="AY446" i="1" s="1"/>
  <c r="AX445" i="1"/>
  <c r="AY445" i="1" s="1"/>
  <c r="AX444" i="1"/>
  <c r="AY444" i="1" s="1"/>
  <c r="AX443" i="1"/>
  <c r="AY443" i="1" s="1"/>
  <c r="AX442" i="1"/>
  <c r="AY442" i="1" s="1"/>
  <c r="AX441" i="1"/>
  <c r="AY441" i="1" s="1"/>
  <c r="AX440" i="1"/>
  <c r="AY440" i="1" s="1"/>
  <c r="AX439" i="1"/>
  <c r="AY439" i="1" s="1"/>
  <c r="AX438" i="1"/>
  <c r="AY438" i="1" s="1"/>
  <c r="AX437" i="1"/>
  <c r="AY437" i="1" s="1"/>
  <c r="AX436" i="1"/>
  <c r="AY436" i="1" s="1"/>
  <c r="AX435" i="1"/>
  <c r="AY435" i="1" s="1"/>
  <c r="AX434" i="1"/>
  <c r="AY434" i="1" s="1"/>
  <c r="AX433" i="1"/>
  <c r="AY433" i="1" s="1"/>
  <c r="AX432" i="1"/>
  <c r="AY432" i="1" s="1"/>
  <c r="AX431" i="1"/>
  <c r="AY431" i="1" s="1"/>
  <c r="AX430" i="1"/>
  <c r="AY430" i="1" s="1"/>
  <c r="AX429" i="1"/>
  <c r="AY429" i="1" s="1"/>
  <c r="AX428" i="1"/>
  <c r="AY428" i="1" s="1"/>
  <c r="AX427" i="1"/>
  <c r="AY427" i="1" s="1"/>
  <c r="AX426" i="1"/>
  <c r="AY426" i="1" s="1"/>
  <c r="AX425" i="1"/>
  <c r="AY425" i="1" s="1"/>
  <c r="AX424" i="1"/>
  <c r="AY424" i="1" s="1"/>
  <c r="AX423" i="1"/>
  <c r="AY423" i="1" s="1"/>
  <c r="AX422" i="1"/>
  <c r="AY422" i="1" s="1"/>
  <c r="AX421" i="1"/>
  <c r="AY421" i="1" s="1"/>
  <c r="AX420" i="1"/>
  <c r="AY420" i="1" s="1"/>
  <c r="AX419" i="1"/>
  <c r="AY419" i="1" s="1"/>
  <c r="AX418" i="1"/>
  <c r="AY418" i="1" s="1"/>
  <c r="AX417" i="1"/>
  <c r="AY417" i="1" s="1"/>
  <c r="AX416" i="1"/>
  <c r="AY416" i="1" s="1"/>
  <c r="AX415" i="1"/>
  <c r="AY415" i="1" s="1"/>
  <c r="AX414" i="1"/>
  <c r="AY414" i="1" s="1"/>
  <c r="AX413" i="1"/>
  <c r="AY413" i="1" s="1"/>
  <c r="AX412" i="1"/>
  <c r="AY412" i="1" s="1"/>
  <c r="AX411" i="1"/>
  <c r="AY411" i="1" s="1"/>
  <c r="AX410" i="1"/>
  <c r="AY410" i="1" s="1"/>
  <c r="AX409" i="1"/>
  <c r="AY409" i="1" s="1"/>
  <c r="AX408" i="1"/>
  <c r="AY408" i="1" s="1"/>
  <c r="AX407" i="1"/>
  <c r="AY407" i="1" s="1"/>
  <c r="AX406" i="1"/>
  <c r="AY406" i="1" s="1"/>
  <c r="AX405" i="1"/>
  <c r="AY405" i="1" s="1"/>
  <c r="AX404" i="1"/>
  <c r="AY404" i="1" s="1"/>
  <c r="AX403" i="1"/>
  <c r="AY403" i="1" s="1"/>
  <c r="AX402" i="1"/>
  <c r="AY402" i="1" s="1"/>
  <c r="AX401" i="1"/>
  <c r="AY401" i="1" s="1"/>
  <c r="AX400" i="1"/>
  <c r="AY400" i="1" s="1"/>
  <c r="AX399" i="1"/>
  <c r="AY399" i="1" s="1"/>
  <c r="AX398" i="1"/>
  <c r="AY398" i="1" s="1"/>
  <c r="AX397" i="1"/>
  <c r="AY397" i="1" s="1"/>
  <c r="AX396" i="1"/>
  <c r="AY396" i="1" s="1"/>
  <c r="AX395" i="1"/>
  <c r="AY395" i="1" s="1"/>
  <c r="AX394" i="1"/>
  <c r="AY394" i="1" s="1"/>
  <c r="AX393" i="1"/>
  <c r="AY393" i="1" s="1"/>
  <c r="AX392" i="1"/>
  <c r="AY392" i="1" s="1"/>
  <c r="AX391" i="1"/>
  <c r="AY391" i="1" s="1"/>
  <c r="AX390" i="1"/>
  <c r="AY390" i="1" s="1"/>
  <c r="AX389" i="1"/>
  <c r="AY389" i="1" s="1"/>
  <c r="AX388" i="1"/>
  <c r="AY388" i="1" s="1"/>
  <c r="AX387" i="1"/>
  <c r="AY387" i="1" s="1"/>
  <c r="AX386" i="1"/>
  <c r="AY386" i="1" s="1"/>
  <c r="AX385" i="1"/>
  <c r="AY385" i="1" s="1"/>
  <c r="AX384" i="1"/>
  <c r="AY384" i="1" s="1"/>
  <c r="AX383" i="1"/>
  <c r="AY383" i="1" s="1"/>
  <c r="AX382" i="1"/>
  <c r="AY382" i="1" s="1"/>
  <c r="AX381" i="1"/>
  <c r="AY381" i="1" s="1"/>
  <c r="AX380" i="1"/>
  <c r="AY380" i="1" s="1"/>
  <c r="AX379" i="1"/>
  <c r="AY379" i="1" s="1"/>
  <c r="AX378" i="1"/>
  <c r="AY378" i="1" s="1"/>
  <c r="AX377" i="1"/>
  <c r="AY377" i="1" s="1"/>
  <c r="AX376" i="1"/>
  <c r="AY376" i="1" s="1"/>
  <c r="AX375" i="1"/>
  <c r="AY375" i="1" s="1"/>
  <c r="AX374" i="1"/>
  <c r="AY374" i="1" s="1"/>
  <c r="AX373" i="1"/>
  <c r="AY373" i="1" s="1"/>
  <c r="AX372" i="1"/>
  <c r="AY372" i="1" s="1"/>
  <c r="AX371" i="1"/>
  <c r="AY371" i="1" s="1"/>
  <c r="AX370" i="1"/>
  <c r="AY370" i="1" s="1"/>
  <c r="AX369" i="1"/>
  <c r="AY369" i="1" s="1"/>
  <c r="AX368" i="1"/>
  <c r="AY368" i="1" s="1"/>
  <c r="AX367" i="1"/>
  <c r="AY367" i="1" s="1"/>
  <c r="AX366" i="1"/>
  <c r="AY366" i="1" s="1"/>
  <c r="AX365" i="1"/>
  <c r="AY365" i="1" s="1"/>
  <c r="AX364" i="1"/>
  <c r="AY364" i="1" s="1"/>
  <c r="AX363" i="1"/>
  <c r="AY363" i="1" s="1"/>
  <c r="AX362" i="1"/>
  <c r="AY362" i="1" s="1"/>
  <c r="AX361" i="1"/>
  <c r="AY361" i="1" s="1"/>
  <c r="AX360" i="1"/>
  <c r="AY360" i="1" s="1"/>
  <c r="AX359" i="1"/>
  <c r="AY359" i="1" s="1"/>
  <c r="AX358" i="1"/>
  <c r="AY358" i="1" s="1"/>
  <c r="AX357" i="1"/>
  <c r="AY357" i="1" s="1"/>
  <c r="AX356" i="1"/>
  <c r="AY356" i="1" s="1"/>
  <c r="AX355" i="1"/>
  <c r="AY355" i="1" s="1"/>
  <c r="AX354" i="1"/>
  <c r="AY354" i="1" s="1"/>
  <c r="AX353" i="1"/>
  <c r="AY353" i="1" s="1"/>
  <c r="AX352" i="1"/>
  <c r="AY352" i="1" s="1"/>
  <c r="AX351" i="1"/>
  <c r="AY351" i="1" s="1"/>
  <c r="AX350" i="1"/>
  <c r="AY350" i="1" s="1"/>
  <c r="AX349" i="1"/>
  <c r="AY349" i="1" s="1"/>
  <c r="AX348" i="1"/>
  <c r="AY348" i="1" s="1"/>
  <c r="AX347" i="1"/>
  <c r="AY347" i="1" s="1"/>
  <c r="AX346" i="1"/>
  <c r="AY346" i="1" s="1"/>
  <c r="AX345" i="1"/>
  <c r="AY345" i="1" s="1"/>
  <c r="AX344" i="1"/>
  <c r="AY344" i="1" s="1"/>
  <c r="AX343" i="1"/>
  <c r="AY343" i="1" s="1"/>
  <c r="AX342" i="1"/>
  <c r="AY342" i="1" s="1"/>
  <c r="AX341" i="1"/>
  <c r="AY341" i="1" s="1"/>
  <c r="AX340" i="1"/>
  <c r="AY340" i="1" s="1"/>
  <c r="AX339" i="1"/>
  <c r="AY339" i="1" s="1"/>
  <c r="AX338" i="1"/>
  <c r="AY338" i="1" s="1"/>
  <c r="AX337" i="1"/>
  <c r="AY337" i="1" s="1"/>
  <c r="AX336" i="1"/>
  <c r="AY336" i="1" s="1"/>
  <c r="AX335" i="1"/>
  <c r="AY335" i="1" s="1"/>
  <c r="AX334" i="1"/>
  <c r="AY334" i="1" s="1"/>
  <c r="AX333" i="1"/>
  <c r="AY333" i="1" s="1"/>
  <c r="AX332" i="1"/>
  <c r="AY332" i="1" s="1"/>
  <c r="AX331" i="1"/>
  <c r="AY331" i="1" s="1"/>
  <c r="AX330" i="1"/>
  <c r="AY330" i="1" s="1"/>
  <c r="AX329" i="1"/>
  <c r="AY329" i="1" s="1"/>
  <c r="AX328" i="1"/>
  <c r="AY328" i="1" s="1"/>
  <c r="AX327" i="1"/>
  <c r="AY327" i="1" s="1"/>
  <c r="AX326" i="1"/>
  <c r="AY326" i="1" s="1"/>
  <c r="AX325" i="1"/>
  <c r="AY325" i="1" s="1"/>
  <c r="AX324" i="1"/>
  <c r="AY324" i="1" s="1"/>
  <c r="AX323" i="1"/>
  <c r="AY323" i="1" s="1"/>
  <c r="AX322" i="1"/>
  <c r="AY322" i="1" s="1"/>
  <c r="AX321" i="1"/>
  <c r="AY321" i="1" s="1"/>
  <c r="AX320" i="1"/>
  <c r="AY320" i="1" s="1"/>
  <c r="AX319" i="1"/>
  <c r="AY319" i="1" s="1"/>
  <c r="AX318" i="1"/>
  <c r="AY318" i="1" s="1"/>
  <c r="AX317" i="1"/>
  <c r="AY317" i="1" s="1"/>
  <c r="AX316" i="1"/>
  <c r="AY316" i="1" s="1"/>
  <c r="AX315" i="1"/>
  <c r="AY315" i="1" s="1"/>
  <c r="AX314" i="1"/>
  <c r="AY314" i="1" s="1"/>
  <c r="AX313" i="1"/>
  <c r="AY313" i="1" s="1"/>
  <c r="AX312" i="1"/>
  <c r="AY312" i="1" s="1"/>
  <c r="AX311" i="1"/>
  <c r="AY311" i="1" s="1"/>
  <c r="AX310" i="1"/>
  <c r="AY310" i="1" s="1"/>
  <c r="AX309" i="1"/>
  <c r="AY309" i="1" s="1"/>
  <c r="AX308" i="1"/>
  <c r="AY308" i="1" s="1"/>
  <c r="AX307" i="1"/>
  <c r="AY307" i="1" s="1"/>
  <c r="AX306" i="1"/>
  <c r="AY306" i="1" s="1"/>
  <c r="AX305" i="1"/>
  <c r="AY305" i="1" s="1"/>
  <c r="AX304" i="1"/>
  <c r="AY304" i="1" s="1"/>
  <c r="AX303" i="1"/>
  <c r="AY303" i="1" s="1"/>
  <c r="AX302" i="1"/>
  <c r="AY302" i="1" s="1"/>
  <c r="AX301" i="1"/>
  <c r="AY301" i="1" s="1"/>
  <c r="AX300" i="1"/>
  <c r="AY300" i="1" s="1"/>
  <c r="AX299" i="1"/>
  <c r="AY299" i="1" s="1"/>
  <c r="AX298" i="1"/>
  <c r="AY298" i="1" s="1"/>
  <c r="AX297" i="1"/>
  <c r="AY297" i="1" s="1"/>
  <c r="AX296" i="1"/>
  <c r="AY296" i="1" s="1"/>
  <c r="AX295" i="1"/>
  <c r="AY295" i="1" s="1"/>
  <c r="AX294" i="1"/>
  <c r="AY294" i="1" s="1"/>
  <c r="AX293" i="1"/>
  <c r="AY293" i="1" s="1"/>
  <c r="AX292" i="1"/>
  <c r="AY292" i="1" s="1"/>
  <c r="AX291" i="1"/>
  <c r="AY291" i="1" s="1"/>
  <c r="AX290" i="1"/>
  <c r="AY290" i="1" s="1"/>
  <c r="AX289" i="1"/>
  <c r="AY289" i="1" s="1"/>
  <c r="AX288" i="1"/>
  <c r="AY288" i="1" s="1"/>
  <c r="AX287" i="1"/>
  <c r="AY287" i="1" s="1"/>
  <c r="AX286" i="1"/>
  <c r="AY286" i="1" s="1"/>
  <c r="AX285" i="1"/>
  <c r="AY285" i="1" s="1"/>
  <c r="AX284" i="1"/>
  <c r="AY284" i="1" s="1"/>
  <c r="AX283" i="1"/>
  <c r="AY283" i="1" s="1"/>
  <c r="AX282" i="1"/>
  <c r="AY282" i="1" s="1"/>
  <c r="AX281" i="1"/>
  <c r="AY281" i="1" s="1"/>
  <c r="AX280" i="1"/>
  <c r="AY280" i="1" s="1"/>
  <c r="AX279" i="1"/>
  <c r="AY279" i="1" s="1"/>
  <c r="AX278" i="1"/>
  <c r="AY278" i="1" s="1"/>
  <c r="AX277" i="1"/>
  <c r="AY277" i="1" s="1"/>
  <c r="AX276" i="1"/>
  <c r="AY276" i="1" s="1"/>
  <c r="AX275" i="1"/>
  <c r="AY275" i="1" s="1"/>
  <c r="AX274" i="1"/>
  <c r="AY274" i="1" s="1"/>
  <c r="AX273" i="1"/>
  <c r="AY273" i="1" s="1"/>
  <c r="AX272" i="1"/>
  <c r="AY272" i="1" s="1"/>
  <c r="AX271" i="1"/>
  <c r="AY271" i="1" s="1"/>
  <c r="AX270" i="1"/>
  <c r="AY270" i="1" s="1"/>
  <c r="AX269" i="1"/>
  <c r="AY269" i="1" s="1"/>
  <c r="AX268" i="1"/>
  <c r="AY268" i="1" s="1"/>
  <c r="AX267" i="1"/>
  <c r="AY267" i="1" s="1"/>
  <c r="AX266" i="1"/>
  <c r="AY266" i="1" s="1"/>
  <c r="AX265" i="1"/>
  <c r="AY265" i="1" s="1"/>
  <c r="AX264" i="1"/>
  <c r="AY264" i="1" s="1"/>
  <c r="AX263" i="1"/>
  <c r="AY263" i="1" s="1"/>
  <c r="AX262" i="1"/>
  <c r="AY262" i="1" s="1"/>
  <c r="AX261" i="1"/>
  <c r="AY261" i="1" s="1"/>
  <c r="AX260" i="1"/>
  <c r="AY260" i="1" s="1"/>
  <c r="AX259" i="1"/>
  <c r="AY259" i="1" s="1"/>
  <c r="AX258" i="1"/>
  <c r="AY258" i="1" s="1"/>
  <c r="AX257" i="1"/>
  <c r="AY257" i="1" s="1"/>
  <c r="AX256" i="1"/>
  <c r="AY256" i="1" s="1"/>
  <c r="AX255" i="1"/>
  <c r="AY255" i="1" s="1"/>
  <c r="AX254" i="1"/>
  <c r="AY254" i="1" s="1"/>
  <c r="AX253" i="1"/>
  <c r="AY253" i="1" s="1"/>
  <c r="AX252" i="1"/>
  <c r="AY252" i="1" s="1"/>
  <c r="AX251" i="1"/>
  <c r="AY251" i="1" s="1"/>
  <c r="AX250" i="1"/>
  <c r="AY250" i="1" s="1"/>
  <c r="AX249" i="1"/>
  <c r="AY249" i="1" s="1"/>
  <c r="AX248" i="1"/>
  <c r="AY248" i="1" s="1"/>
  <c r="AX247" i="1"/>
  <c r="AY247" i="1" s="1"/>
  <c r="AX246" i="1"/>
  <c r="AY246" i="1" s="1"/>
  <c r="AX245" i="1"/>
  <c r="AY245" i="1" s="1"/>
  <c r="AX244" i="1"/>
  <c r="AY244" i="1" s="1"/>
  <c r="AX243" i="1"/>
  <c r="AY243" i="1" s="1"/>
  <c r="AX242" i="1"/>
  <c r="AY242" i="1" s="1"/>
  <c r="AX241" i="1"/>
  <c r="AY241" i="1" s="1"/>
  <c r="AX240" i="1"/>
  <c r="AY240" i="1" s="1"/>
  <c r="AX239" i="1"/>
  <c r="AY239" i="1" s="1"/>
  <c r="AX238" i="1"/>
  <c r="AY238" i="1" s="1"/>
  <c r="AX237" i="1"/>
  <c r="AY237" i="1" s="1"/>
  <c r="AX236" i="1"/>
  <c r="AY236" i="1" s="1"/>
  <c r="AX235" i="1"/>
  <c r="AY235" i="1" s="1"/>
  <c r="AX234" i="1"/>
  <c r="AY234" i="1" s="1"/>
  <c r="AX233" i="1"/>
  <c r="AY233" i="1" s="1"/>
  <c r="AX232" i="1"/>
  <c r="AY232" i="1" s="1"/>
  <c r="AX231" i="1"/>
  <c r="AY231" i="1" s="1"/>
  <c r="AX230" i="1"/>
  <c r="AY230" i="1" s="1"/>
  <c r="AX229" i="1"/>
  <c r="AY229" i="1" s="1"/>
  <c r="AX228" i="1"/>
  <c r="AY228" i="1" s="1"/>
  <c r="AX227" i="1"/>
  <c r="AY227" i="1" s="1"/>
  <c r="AX226" i="1"/>
  <c r="AY226" i="1" s="1"/>
  <c r="AX225" i="1"/>
  <c r="AY225" i="1" s="1"/>
  <c r="AX224" i="1"/>
  <c r="AY224" i="1" s="1"/>
  <c r="AX223" i="1"/>
  <c r="AY223" i="1" s="1"/>
  <c r="AX222" i="1"/>
  <c r="AY222" i="1" s="1"/>
  <c r="AX221" i="1"/>
  <c r="AY221" i="1" s="1"/>
  <c r="AX220" i="1"/>
  <c r="AY220" i="1" s="1"/>
  <c r="AX219" i="1"/>
  <c r="AY219" i="1" s="1"/>
  <c r="AX218" i="1"/>
  <c r="AY218" i="1" s="1"/>
  <c r="AX217" i="1"/>
  <c r="AY217" i="1" s="1"/>
  <c r="AX216" i="1"/>
  <c r="AY216" i="1" s="1"/>
  <c r="AX215" i="1"/>
  <c r="AY215" i="1" s="1"/>
  <c r="AX214" i="1"/>
  <c r="AY214" i="1" s="1"/>
  <c r="AX213" i="1"/>
  <c r="AY213" i="1" s="1"/>
  <c r="AX212" i="1"/>
  <c r="AY212" i="1" s="1"/>
  <c r="AX211" i="1"/>
  <c r="AY211" i="1" s="1"/>
  <c r="AX210" i="1"/>
  <c r="AY210" i="1" s="1"/>
  <c r="AX209" i="1"/>
  <c r="AY209" i="1" s="1"/>
  <c r="AX208" i="1"/>
  <c r="AY208" i="1" s="1"/>
  <c r="AX207" i="1"/>
  <c r="AY207" i="1" s="1"/>
  <c r="AX206" i="1"/>
  <c r="AY206" i="1" s="1"/>
  <c r="AX205" i="1"/>
  <c r="AY205" i="1" s="1"/>
  <c r="AX204" i="1"/>
  <c r="AY204" i="1" s="1"/>
  <c r="AX203" i="1"/>
  <c r="AY203" i="1" s="1"/>
  <c r="AX202" i="1"/>
  <c r="AY202" i="1" s="1"/>
  <c r="AX201" i="1"/>
  <c r="AY201" i="1" s="1"/>
  <c r="AX200" i="1"/>
  <c r="AY200" i="1" s="1"/>
  <c r="AX199" i="1"/>
  <c r="AY199" i="1" s="1"/>
  <c r="AX198" i="1"/>
  <c r="AY198" i="1" s="1"/>
  <c r="AX197" i="1"/>
  <c r="AY197" i="1" s="1"/>
  <c r="AX196" i="1"/>
  <c r="AY196" i="1" s="1"/>
  <c r="AX195" i="1"/>
  <c r="AY195" i="1" s="1"/>
  <c r="AX194" i="1"/>
  <c r="AY194" i="1" s="1"/>
  <c r="AX193" i="1"/>
  <c r="AY193" i="1" s="1"/>
  <c r="AX192" i="1"/>
  <c r="AY192" i="1" s="1"/>
  <c r="AX191" i="1"/>
  <c r="AY191" i="1" s="1"/>
  <c r="AX190" i="1"/>
  <c r="AY190" i="1" s="1"/>
  <c r="AX189" i="1"/>
  <c r="AY189" i="1" s="1"/>
  <c r="AX188" i="1"/>
  <c r="AY188" i="1" s="1"/>
  <c r="AX187" i="1"/>
  <c r="AY187" i="1" s="1"/>
  <c r="AX186" i="1"/>
  <c r="AY186" i="1" s="1"/>
  <c r="AX185" i="1"/>
  <c r="AY185" i="1" s="1"/>
  <c r="AX184" i="1"/>
  <c r="AY184" i="1" s="1"/>
  <c r="AX183" i="1"/>
  <c r="AY183" i="1" s="1"/>
  <c r="AX182" i="1"/>
  <c r="AY182" i="1" s="1"/>
  <c r="AX181" i="1"/>
  <c r="AY181" i="1" s="1"/>
  <c r="AX180" i="1"/>
  <c r="AY180" i="1" s="1"/>
  <c r="AX179" i="1"/>
  <c r="AY179" i="1" s="1"/>
  <c r="AX178" i="1"/>
  <c r="AY178" i="1" s="1"/>
  <c r="AX177" i="1"/>
  <c r="AY177" i="1" s="1"/>
  <c r="AX176" i="1"/>
  <c r="AY176" i="1" s="1"/>
  <c r="AX175" i="1"/>
  <c r="AY175" i="1" s="1"/>
  <c r="AX174" i="1"/>
  <c r="AY174" i="1" s="1"/>
  <c r="AX173" i="1"/>
  <c r="AY173" i="1" s="1"/>
  <c r="AX172" i="1"/>
  <c r="AY172" i="1" s="1"/>
  <c r="AX171" i="1"/>
  <c r="AY171" i="1" s="1"/>
  <c r="AX170" i="1"/>
  <c r="AY170" i="1" s="1"/>
  <c r="AX169" i="1"/>
  <c r="AY169" i="1" s="1"/>
  <c r="AX168" i="1"/>
  <c r="AY168" i="1" s="1"/>
  <c r="AX167" i="1"/>
  <c r="AY167" i="1" s="1"/>
  <c r="AX166" i="1"/>
  <c r="AY166" i="1" s="1"/>
  <c r="AX165" i="1"/>
  <c r="AY165" i="1" s="1"/>
  <c r="AX164" i="1"/>
  <c r="AY164" i="1" s="1"/>
  <c r="AX163" i="1"/>
  <c r="AY163" i="1" s="1"/>
  <c r="AX162" i="1"/>
  <c r="AY162" i="1" s="1"/>
  <c r="AX161" i="1"/>
  <c r="AY161" i="1" s="1"/>
  <c r="AX160" i="1"/>
  <c r="AY160" i="1" s="1"/>
  <c r="AX159" i="1"/>
  <c r="AY159" i="1" s="1"/>
  <c r="AX158" i="1"/>
  <c r="AY158" i="1" s="1"/>
  <c r="AX157" i="1"/>
  <c r="AY157" i="1" s="1"/>
  <c r="AX156" i="1"/>
  <c r="AY156" i="1" s="1"/>
  <c r="AX155" i="1"/>
  <c r="AY155" i="1" s="1"/>
  <c r="AX154" i="1"/>
  <c r="AY154" i="1" s="1"/>
  <c r="AX153" i="1"/>
  <c r="AY153" i="1" s="1"/>
  <c r="AX152" i="1"/>
  <c r="AY152" i="1" s="1"/>
  <c r="AX151" i="1"/>
  <c r="AY151" i="1" s="1"/>
  <c r="AX150" i="1"/>
  <c r="AY150" i="1" s="1"/>
  <c r="AX149" i="1"/>
  <c r="AY149" i="1" s="1"/>
  <c r="AX148" i="1"/>
  <c r="AY148" i="1" s="1"/>
  <c r="AX147" i="1"/>
  <c r="AY147" i="1" s="1"/>
  <c r="AX146" i="1"/>
  <c r="AY146" i="1" s="1"/>
  <c r="AX145" i="1"/>
  <c r="AY145" i="1" s="1"/>
  <c r="AX144" i="1"/>
  <c r="AY144" i="1" s="1"/>
  <c r="AX143" i="1"/>
  <c r="AY143" i="1" s="1"/>
  <c r="AX142" i="1"/>
  <c r="AY142" i="1" s="1"/>
  <c r="AX141" i="1"/>
  <c r="AY141" i="1" s="1"/>
  <c r="AX140" i="1"/>
  <c r="AY140" i="1" s="1"/>
  <c r="AX139" i="1"/>
  <c r="AY139" i="1" s="1"/>
  <c r="AX138" i="1"/>
  <c r="AY138" i="1" s="1"/>
  <c r="AX137" i="1"/>
  <c r="AY137" i="1" s="1"/>
  <c r="AX136" i="1"/>
  <c r="AY136" i="1" s="1"/>
  <c r="AX135" i="1"/>
  <c r="AY135" i="1" s="1"/>
  <c r="AX134" i="1"/>
  <c r="AY134" i="1" s="1"/>
  <c r="AX133" i="1"/>
  <c r="AY133" i="1" s="1"/>
  <c r="AX132" i="1"/>
  <c r="AY132" i="1" s="1"/>
  <c r="AX131" i="1"/>
  <c r="AY131" i="1" s="1"/>
  <c r="AX130" i="1"/>
  <c r="AY130" i="1" s="1"/>
  <c r="AX129" i="1"/>
  <c r="AY129" i="1" s="1"/>
  <c r="AX128" i="1"/>
  <c r="AY128" i="1" s="1"/>
  <c r="AX127" i="1"/>
  <c r="AY127" i="1" s="1"/>
  <c r="AX126" i="1"/>
  <c r="AY126" i="1" s="1"/>
  <c r="AX125" i="1"/>
  <c r="AY125" i="1" s="1"/>
  <c r="AX124" i="1"/>
  <c r="AY124" i="1" s="1"/>
  <c r="AX123" i="1"/>
  <c r="AY123" i="1" s="1"/>
  <c r="AX122" i="1"/>
  <c r="AY122" i="1" s="1"/>
  <c r="AX121" i="1"/>
  <c r="AY121" i="1" s="1"/>
  <c r="AX120" i="1"/>
  <c r="AY120" i="1" s="1"/>
  <c r="AX119" i="1"/>
  <c r="AY119" i="1" s="1"/>
  <c r="AX118" i="1"/>
  <c r="AY118" i="1" s="1"/>
  <c r="AX117" i="1"/>
  <c r="AY117" i="1" s="1"/>
  <c r="AX116" i="1"/>
  <c r="AY116" i="1" s="1"/>
  <c r="AX115" i="1"/>
  <c r="AY115" i="1" s="1"/>
  <c r="AX114" i="1"/>
  <c r="AY114" i="1" s="1"/>
  <c r="AX113" i="1"/>
  <c r="AY113" i="1" s="1"/>
  <c r="AX112" i="1"/>
  <c r="AY112" i="1" s="1"/>
  <c r="AX111" i="1"/>
  <c r="AY111" i="1" s="1"/>
  <c r="AX110" i="1"/>
  <c r="AY110" i="1" s="1"/>
  <c r="AX109" i="1"/>
  <c r="AY109" i="1" s="1"/>
  <c r="AX108" i="1"/>
  <c r="AY108" i="1" s="1"/>
  <c r="AX107" i="1"/>
  <c r="AY107" i="1" s="1"/>
  <c r="AX106" i="1"/>
  <c r="AY106" i="1" s="1"/>
  <c r="AX105" i="1"/>
  <c r="AY105" i="1" s="1"/>
  <c r="AX104" i="1"/>
  <c r="AY104" i="1" s="1"/>
  <c r="AX103" i="1"/>
  <c r="AY103" i="1" s="1"/>
  <c r="AX102" i="1"/>
  <c r="AY102" i="1" s="1"/>
  <c r="AX101" i="1"/>
  <c r="AY101" i="1" s="1"/>
  <c r="AX100" i="1"/>
  <c r="AY100" i="1" s="1"/>
  <c r="AX99" i="1"/>
  <c r="AY99" i="1" s="1"/>
  <c r="AX98" i="1"/>
  <c r="AY98" i="1" s="1"/>
  <c r="AX97" i="1"/>
  <c r="AY97" i="1" s="1"/>
  <c r="AX96" i="1"/>
  <c r="AY96" i="1" s="1"/>
  <c r="AX95" i="1"/>
  <c r="AY95" i="1" s="1"/>
  <c r="AX94" i="1"/>
  <c r="AY94" i="1" s="1"/>
  <c r="AX93" i="1"/>
  <c r="AY93" i="1" s="1"/>
  <c r="AX92" i="1"/>
  <c r="AY92" i="1" s="1"/>
  <c r="AX91" i="1"/>
  <c r="AY91" i="1" s="1"/>
  <c r="AX90" i="1"/>
  <c r="AY90" i="1" s="1"/>
  <c r="AX89" i="1"/>
  <c r="AY89" i="1" s="1"/>
  <c r="AX88" i="1"/>
  <c r="AY88" i="1" s="1"/>
  <c r="AX87" i="1"/>
  <c r="AY87" i="1" s="1"/>
  <c r="AX86" i="1"/>
  <c r="AY86" i="1" s="1"/>
  <c r="AX85" i="1"/>
  <c r="AY85" i="1" s="1"/>
  <c r="AX84" i="1"/>
  <c r="AY84" i="1" s="1"/>
  <c r="AX83" i="1"/>
  <c r="AY83" i="1" s="1"/>
  <c r="AX82" i="1"/>
  <c r="AY82" i="1" s="1"/>
  <c r="AX81" i="1"/>
  <c r="AY81" i="1" s="1"/>
  <c r="AX80" i="1"/>
  <c r="AY80" i="1" s="1"/>
  <c r="AX79" i="1"/>
  <c r="AY79" i="1" s="1"/>
  <c r="AX78" i="1"/>
  <c r="AY78" i="1" s="1"/>
  <c r="AX77" i="1"/>
  <c r="AY77" i="1" s="1"/>
  <c r="AX76" i="1"/>
  <c r="AY76" i="1" s="1"/>
  <c r="AX75" i="1"/>
  <c r="AY75" i="1" s="1"/>
  <c r="AX74" i="1"/>
  <c r="AY74" i="1" s="1"/>
  <c r="AX73" i="1"/>
  <c r="AY73" i="1" s="1"/>
  <c r="AX72" i="1"/>
  <c r="AY72" i="1" s="1"/>
  <c r="AX71" i="1"/>
  <c r="AY71" i="1" s="1"/>
  <c r="AX70" i="1"/>
  <c r="AY70" i="1" s="1"/>
  <c r="AX69" i="1"/>
  <c r="AY69" i="1" s="1"/>
  <c r="AX68" i="1"/>
  <c r="AY68" i="1" s="1"/>
  <c r="AX67" i="1"/>
  <c r="AY67" i="1" s="1"/>
  <c r="AX66" i="1"/>
  <c r="AY66" i="1" s="1"/>
  <c r="AX65" i="1"/>
  <c r="AY65" i="1" s="1"/>
  <c r="AX64" i="1"/>
  <c r="AY64" i="1" s="1"/>
  <c r="AX63" i="1"/>
  <c r="AY63" i="1" s="1"/>
  <c r="AX62" i="1"/>
  <c r="AY62" i="1" s="1"/>
  <c r="AX61" i="1"/>
  <c r="AY61" i="1" s="1"/>
  <c r="AX60" i="1"/>
  <c r="AY60" i="1" s="1"/>
  <c r="AX59" i="1"/>
  <c r="AY59" i="1" s="1"/>
  <c r="AX58" i="1"/>
  <c r="AY58" i="1" s="1"/>
  <c r="AX57" i="1"/>
  <c r="AY57" i="1" s="1"/>
  <c r="AX56" i="1"/>
  <c r="AY56" i="1" s="1"/>
  <c r="AX55" i="1"/>
  <c r="AY55" i="1" s="1"/>
  <c r="AX54" i="1"/>
  <c r="AY54" i="1" s="1"/>
  <c r="AX53" i="1"/>
  <c r="AY53" i="1" s="1"/>
  <c r="AX52" i="1"/>
  <c r="AY52" i="1" s="1"/>
  <c r="AX51" i="1"/>
  <c r="AY51" i="1" s="1"/>
  <c r="AX50" i="1"/>
  <c r="AY50" i="1" s="1"/>
  <c r="AX49" i="1"/>
  <c r="AY49" i="1" s="1"/>
  <c r="AX48" i="1"/>
  <c r="AY48" i="1" s="1"/>
  <c r="AX47" i="1"/>
  <c r="AY47" i="1" s="1"/>
  <c r="AX46" i="1"/>
  <c r="AY46" i="1" s="1"/>
  <c r="AX45" i="1"/>
  <c r="AY45" i="1" s="1"/>
  <c r="AX44" i="1"/>
  <c r="AY44" i="1" s="1"/>
  <c r="AV1011" i="1"/>
  <c r="AV1010" i="1"/>
  <c r="AV1009" i="1"/>
  <c r="AV1008" i="1"/>
  <c r="AV1007" i="1"/>
  <c r="AV1006" i="1"/>
  <c r="AV1005" i="1"/>
  <c r="AV1004" i="1"/>
  <c r="AV1003" i="1"/>
  <c r="AV1002" i="1"/>
  <c r="AV1001" i="1"/>
  <c r="AV1000" i="1"/>
  <c r="AV999" i="1"/>
  <c r="AV998" i="1"/>
  <c r="AV997" i="1"/>
  <c r="AV996" i="1"/>
  <c r="AV995" i="1"/>
  <c r="AV994" i="1"/>
  <c r="AV993" i="1"/>
  <c r="AV992" i="1"/>
  <c r="AV991" i="1"/>
  <c r="AV990" i="1"/>
  <c r="AV989" i="1"/>
  <c r="AV988" i="1"/>
  <c r="AV987" i="1"/>
  <c r="AV986" i="1"/>
  <c r="AV985" i="1"/>
  <c r="AV984" i="1"/>
  <c r="AV983" i="1"/>
  <c r="AV982" i="1"/>
  <c r="AV981" i="1"/>
  <c r="AV980" i="1"/>
  <c r="AV979" i="1"/>
  <c r="AV978" i="1"/>
  <c r="AV977" i="1"/>
  <c r="AV976" i="1"/>
  <c r="AV975" i="1"/>
  <c r="AV974" i="1"/>
  <c r="AV973" i="1"/>
  <c r="AV972" i="1"/>
  <c r="AV971" i="1"/>
  <c r="AV970" i="1"/>
  <c r="AV969" i="1"/>
  <c r="AV968" i="1"/>
  <c r="AV967" i="1"/>
  <c r="AV966" i="1"/>
  <c r="AV965" i="1"/>
  <c r="AV964" i="1"/>
  <c r="AV963" i="1"/>
  <c r="AV962" i="1"/>
  <c r="AV961" i="1"/>
  <c r="AV960" i="1"/>
  <c r="AV959" i="1"/>
  <c r="AV958" i="1"/>
  <c r="AV957" i="1"/>
  <c r="AV956" i="1"/>
  <c r="AV955" i="1"/>
  <c r="AV954" i="1"/>
  <c r="AV953" i="1"/>
  <c r="AV952" i="1"/>
  <c r="AV951" i="1"/>
  <c r="AV950" i="1"/>
  <c r="AV949" i="1"/>
  <c r="AV948" i="1"/>
  <c r="AV947" i="1"/>
  <c r="AV946" i="1"/>
  <c r="AV945" i="1"/>
  <c r="AV944" i="1"/>
  <c r="AV943" i="1"/>
  <c r="AV942" i="1"/>
  <c r="AV941" i="1"/>
  <c r="AV940" i="1"/>
  <c r="AV939" i="1"/>
  <c r="AV938" i="1"/>
  <c r="AV937" i="1"/>
  <c r="AV936" i="1"/>
  <c r="AV935" i="1"/>
  <c r="AV934" i="1"/>
  <c r="AV933" i="1"/>
  <c r="AV932" i="1"/>
  <c r="AV931" i="1"/>
  <c r="AV930" i="1"/>
  <c r="AV929" i="1"/>
  <c r="AV928" i="1"/>
  <c r="AV927" i="1"/>
  <c r="AV926" i="1"/>
  <c r="AV925" i="1"/>
  <c r="AV924" i="1"/>
  <c r="AV923" i="1"/>
  <c r="AV922" i="1"/>
  <c r="AV921" i="1"/>
  <c r="AV920" i="1"/>
  <c r="AV919" i="1"/>
  <c r="AV918" i="1"/>
  <c r="AV917" i="1"/>
  <c r="AV916" i="1"/>
  <c r="AV915" i="1"/>
  <c r="AV914" i="1"/>
  <c r="AV913" i="1"/>
  <c r="AV912" i="1"/>
  <c r="AV911" i="1"/>
  <c r="AV910" i="1"/>
  <c r="AV909" i="1"/>
  <c r="AV908" i="1"/>
  <c r="AV907" i="1"/>
  <c r="AV906" i="1"/>
  <c r="AV905" i="1"/>
  <c r="AV904" i="1"/>
  <c r="AV903" i="1"/>
  <c r="AV902" i="1"/>
  <c r="AV901" i="1"/>
  <c r="AV900" i="1"/>
  <c r="AV899" i="1"/>
  <c r="AV898" i="1"/>
  <c r="AV897" i="1"/>
  <c r="AV896" i="1"/>
  <c r="AV895" i="1"/>
  <c r="AV894" i="1"/>
  <c r="AV893" i="1"/>
  <c r="AV892" i="1"/>
  <c r="AV891" i="1"/>
  <c r="AV890" i="1"/>
  <c r="AV889" i="1"/>
  <c r="AV888" i="1"/>
  <c r="AV887" i="1"/>
  <c r="AV886" i="1"/>
  <c r="AV885" i="1"/>
  <c r="AV884" i="1"/>
  <c r="AV883" i="1"/>
  <c r="AV882" i="1"/>
  <c r="AV881" i="1"/>
  <c r="AV880" i="1"/>
  <c r="AV879" i="1"/>
  <c r="AV878" i="1"/>
  <c r="AV877" i="1"/>
  <c r="AV876" i="1"/>
  <c r="AV875" i="1"/>
  <c r="AV874" i="1"/>
  <c r="AV873" i="1"/>
  <c r="AV872" i="1"/>
  <c r="AV871" i="1"/>
  <c r="AV870" i="1"/>
  <c r="AV869" i="1"/>
  <c r="AV868" i="1"/>
  <c r="AV867" i="1"/>
  <c r="AV866" i="1"/>
  <c r="AV865" i="1"/>
  <c r="AV864" i="1"/>
  <c r="AV863" i="1"/>
  <c r="AV862" i="1"/>
  <c r="AV861" i="1"/>
  <c r="AV860" i="1"/>
  <c r="AV859" i="1"/>
  <c r="AV858" i="1"/>
  <c r="AV857" i="1"/>
  <c r="AV856" i="1"/>
  <c r="AV855" i="1"/>
  <c r="AV854" i="1"/>
  <c r="AV853" i="1"/>
  <c r="AV852" i="1"/>
  <c r="AV851" i="1"/>
  <c r="AV850" i="1"/>
  <c r="AV849" i="1"/>
  <c r="AV848" i="1"/>
  <c r="AV847" i="1"/>
  <c r="AV846" i="1"/>
  <c r="AV845" i="1"/>
  <c r="AV844" i="1"/>
  <c r="AV843" i="1"/>
  <c r="AV842" i="1"/>
  <c r="AV841" i="1"/>
  <c r="AV840" i="1"/>
  <c r="AV839" i="1"/>
  <c r="AV838" i="1"/>
  <c r="AV837" i="1"/>
  <c r="AV836" i="1"/>
  <c r="AV835" i="1"/>
  <c r="AV834" i="1"/>
  <c r="AV833" i="1"/>
  <c r="AV832" i="1"/>
  <c r="AV831" i="1"/>
  <c r="AV830" i="1"/>
  <c r="AV829" i="1"/>
  <c r="AV828" i="1"/>
  <c r="AV827" i="1"/>
  <c r="AV826" i="1"/>
  <c r="AV825" i="1"/>
  <c r="AV824" i="1"/>
  <c r="AV823" i="1"/>
  <c r="AV822" i="1"/>
  <c r="AV821" i="1"/>
  <c r="AV820" i="1"/>
  <c r="AV819" i="1"/>
  <c r="AV818" i="1"/>
  <c r="AV817" i="1"/>
  <c r="AV816" i="1"/>
  <c r="AV815" i="1"/>
  <c r="AV814" i="1"/>
  <c r="AV813" i="1"/>
  <c r="AV812" i="1"/>
  <c r="AV811" i="1"/>
  <c r="AV810" i="1"/>
  <c r="AV809" i="1"/>
  <c r="AV808" i="1"/>
  <c r="AV807" i="1"/>
  <c r="AV806" i="1"/>
  <c r="AV805" i="1"/>
  <c r="AV804" i="1"/>
  <c r="AV803" i="1"/>
  <c r="AV802" i="1"/>
  <c r="AV801" i="1"/>
  <c r="AV800" i="1"/>
  <c r="AV799" i="1"/>
  <c r="AV798" i="1"/>
  <c r="AV797" i="1"/>
  <c r="AV796" i="1"/>
  <c r="AV795" i="1"/>
  <c r="AV794" i="1"/>
  <c r="AV793" i="1"/>
  <c r="AV792" i="1"/>
  <c r="AV791" i="1"/>
  <c r="AV790" i="1"/>
  <c r="AV789" i="1"/>
  <c r="AV788" i="1"/>
  <c r="AV787" i="1"/>
  <c r="AV786" i="1"/>
  <c r="AV785" i="1"/>
  <c r="AV784" i="1"/>
  <c r="AV783" i="1"/>
  <c r="AV782" i="1"/>
  <c r="AV781" i="1"/>
  <c r="AV780" i="1"/>
  <c r="AV779" i="1"/>
  <c r="AV778" i="1"/>
  <c r="AV777" i="1"/>
  <c r="AV776" i="1"/>
  <c r="AV775" i="1"/>
  <c r="AV774" i="1"/>
  <c r="AV773" i="1"/>
  <c r="AV772" i="1"/>
  <c r="AV771" i="1"/>
  <c r="AV770" i="1"/>
  <c r="AV769" i="1"/>
  <c r="AV768" i="1"/>
  <c r="AV767" i="1"/>
  <c r="AV766" i="1"/>
  <c r="AV765" i="1"/>
  <c r="AV764" i="1"/>
  <c r="AV763" i="1"/>
  <c r="AV762" i="1"/>
  <c r="AV761" i="1"/>
  <c r="AV760" i="1"/>
  <c r="AV759" i="1"/>
  <c r="AV758" i="1"/>
  <c r="AV757" i="1"/>
  <c r="AV756" i="1"/>
  <c r="AV755" i="1"/>
  <c r="AV754" i="1"/>
  <c r="AV753" i="1"/>
  <c r="AV752" i="1"/>
  <c r="AV751" i="1"/>
  <c r="AV750" i="1"/>
  <c r="AV749" i="1"/>
  <c r="AV748" i="1"/>
  <c r="AV747" i="1"/>
  <c r="AV746" i="1"/>
  <c r="AV745" i="1"/>
  <c r="AV744" i="1"/>
  <c r="AV743" i="1"/>
  <c r="AV742" i="1"/>
  <c r="AV741" i="1"/>
  <c r="AV740" i="1"/>
  <c r="AV739" i="1"/>
  <c r="AV738" i="1"/>
  <c r="AV737" i="1"/>
  <c r="AV736" i="1"/>
  <c r="AV735" i="1"/>
  <c r="AV734" i="1"/>
  <c r="AV733" i="1"/>
  <c r="AV732" i="1"/>
  <c r="AV731" i="1"/>
  <c r="AV730" i="1"/>
  <c r="AV729" i="1"/>
  <c r="AV728" i="1"/>
  <c r="AV727" i="1"/>
  <c r="AV726" i="1"/>
  <c r="AV725" i="1"/>
  <c r="AV724" i="1"/>
  <c r="AV723" i="1"/>
  <c r="AV722" i="1"/>
  <c r="AV721" i="1"/>
  <c r="AV720" i="1"/>
  <c r="AV719" i="1"/>
  <c r="AV718" i="1"/>
  <c r="AV717" i="1"/>
  <c r="AV716" i="1"/>
  <c r="AV715" i="1"/>
  <c r="AV714" i="1"/>
  <c r="AV713" i="1"/>
  <c r="AV712" i="1"/>
  <c r="AV711" i="1"/>
  <c r="AV710" i="1"/>
  <c r="AV709" i="1"/>
  <c r="AV708" i="1"/>
  <c r="AV707" i="1"/>
  <c r="AV706" i="1"/>
  <c r="AV705" i="1"/>
  <c r="AV704" i="1"/>
  <c r="AV703" i="1"/>
  <c r="AV702" i="1"/>
  <c r="AV701" i="1"/>
  <c r="AV700" i="1"/>
  <c r="AV699" i="1"/>
  <c r="AV698" i="1"/>
  <c r="AV697" i="1"/>
  <c r="AV696" i="1"/>
  <c r="AV695" i="1"/>
  <c r="AV694" i="1"/>
  <c r="AV693" i="1"/>
  <c r="AV692" i="1"/>
  <c r="AV691" i="1"/>
  <c r="AV690" i="1"/>
  <c r="AV689" i="1"/>
  <c r="AV688" i="1"/>
  <c r="AV687" i="1"/>
  <c r="AV686" i="1"/>
  <c r="AV685" i="1"/>
  <c r="AV684" i="1"/>
  <c r="AV683" i="1"/>
  <c r="AV682" i="1"/>
  <c r="AV681" i="1"/>
  <c r="AV680" i="1"/>
  <c r="AV679" i="1"/>
  <c r="AV678" i="1"/>
  <c r="AV677" i="1"/>
  <c r="AV676" i="1"/>
  <c r="AV675" i="1"/>
  <c r="AV674" i="1"/>
  <c r="AV673" i="1"/>
  <c r="AV672" i="1"/>
  <c r="AV671" i="1"/>
  <c r="AV670" i="1"/>
  <c r="AV669" i="1"/>
  <c r="AV668" i="1"/>
  <c r="AV667" i="1"/>
  <c r="AV666" i="1"/>
  <c r="AV665" i="1"/>
  <c r="AV664" i="1"/>
  <c r="AV663" i="1"/>
  <c r="AV662" i="1"/>
  <c r="AV661" i="1"/>
  <c r="AV660" i="1"/>
  <c r="AV659" i="1"/>
  <c r="AV658" i="1"/>
  <c r="AV657" i="1"/>
  <c r="AV656" i="1"/>
  <c r="AV655" i="1"/>
  <c r="AV654" i="1"/>
  <c r="AV653" i="1"/>
  <c r="AV652" i="1"/>
  <c r="AV651" i="1"/>
  <c r="AV650" i="1"/>
  <c r="AV649" i="1"/>
  <c r="AV648" i="1"/>
  <c r="AV647" i="1"/>
  <c r="AV646" i="1"/>
  <c r="AV645" i="1"/>
  <c r="AV644" i="1"/>
  <c r="AV643" i="1"/>
  <c r="AV642" i="1"/>
  <c r="AV641" i="1"/>
  <c r="AV640" i="1"/>
  <c r="AV639" i="1"/>
  <c r="AV638" i="1"/>
  <c r="AV637" i="1"/>
  <c r="AV636" i="1"/>
  <c r="AV635" i="1"/>
  <c r="AV634" i="1"/>
  <c r="AV633" i="1"/>
  <c r="AV632" i="1"/>
  <c r="AV631" i="1"/>
  <c r="AV630" i="1"/>
  <c r="AV629" i="1"/>
  <c r="AV628" i="1"/>
  <c r="AV627" i="1"/>
  <c r="AV626" i="1"/>
  <c r="AV625" i="1"/>
  <c r="AV624" i="1"/>
  <c r="AV623" i="1"/>
  <c r="AV622" i="1"/>
  <c r="AV621" i="1"/>
  <c r="AV620" i="1"/>
  <c r="AV619" i="1"/>
  <c r="AV618" i="1"/>
  <c r="AV617" i="1"/>
  <c r="AV616" i="1"/>
  <c r="AV615" i="1"/>
  <c r="AV614" i="1"/>
  <c r="AV613" i="1"/>
  <c r="AV612" i="1"/>
  <c r="AV611" i="1"/>
  <c r="AV610" i="1"/>
  <c r="AV609" i="1"/>
  <c r="AV608" i="1"/>
  <c r="AV607" i="1"/>
  <c r="AV606" i="1"/>
  <c r="AV605" i="1"/>
  <c r="AV604" i="1"/>
  <c r="AV603" i="1"/>
  <c r="AV602" i="1"/>
  <c r="AV601" i="1"/>
  <c r="AV600" i="1"/>
  <c r="AV599" i="1"/>
  <c r="AV598" i="1"/>
  <c r="AV597" i="1"/>
  <c r="AV596" i="1"/>
  <c r="AV595" i="1"/>
  <c r="AV594" i="1"/>
  <c r="AV593" i="1"/>
  <c r="AV592" i="1"/>
  <c r="AV591" i="1"/>
  <c r="AV590" i="1"/>
  <c r="AV589" i="1"/>
  <c r="AV588" i="1"/>
  <c r="AV587" i="1"/>
  <c r="AV586" i="1"/>
  <c r="AV585" i="1"/>
  <c r="AV584" i="1"/>
  <c r="AV583" i="1"/>
  <c r="AV582" i="1"/>
  <c r="AV581" i="1"/>
  <c r="AV580" i="1"/>
  <c r="AV579" i="1"/>
  <c r="AV578" i="1"/>
  <c r="AV577" i="1"/>
  <c r="AV576" i="1"/>
  <c r="AV575" i="1"/>
  <c r="AV574" i="1"/>
  <c r="AV573" i="1"/>
  <c r="AV572" i="1"/>
  <c r="AV571" i="1"/>
  <c r="AV570" i="1"/>
  <c r="AV569" i="1"/>
  <c r="AV568" i="1"/>
  <c r="AV567" i="1"/>
  <c r="AV566" i="1"/>
  <c r="AV565" i="1"/>
  <c r="AV564" i="1"/>
  <c r="AV563" i="1"/>
  <c r="AV562" i="1"/>
  <c r="AV561" i="1"/>
  <c r="AV560" i="1"/>
  <c r="AV559" i="1"/>
  <c r="AV558" i="1"/>
  <c r="AV557" i="1"/>
  <c r="AV556" i="1"/>
  <c r="AV555" i="1"/>
  <c r="AV554" i="1"/>
  <c r="AV553" i="1"/>
  <c r="AV552" i="1"/>
  <c r="AV551" i="1"/>
  <c r="AV550" i="1"/>
  <c r="AV549" i="1"/>
  <c r="AV548" i="1"/>
  <c r="AV547" i="1"/>
  <c r="AV546" i="1"/>
  <c r="AV545" i="1"/>
  <c r="AV544" i="1"/>
  <c r="AV543" i="1"/>
  <c r="AV542" i="1"/>
  <c r="AV541" i="1"/>
  <c r="AV540" i="1"/>
  <c r="AV539" i="1"/>
  <c r="AV538" i="1"/>
  <c r="AV537" i="1"/>
  <c r="AV536" i="1"/>
  <c r="AV535" i="1"/>
  <c r="AV534" i="1"/>
  <c r="AV533" i="1"/>
  <c r="AV532" i="1"/>
  <c r="AV531" i="1"/>
  <c r="AV530" i="1"/>
  <c r="AV529" i="1"/>
  <c r="AV528" i="1"/>
  <c r="AV527" i="1"/>
  <c r="AV526" i="1"/>
  <c r="AV525" i="1"/>
  <c r="AV524" i="1"/>
  <c r="AV523" i="1"/>
  <c r="AV522" i="1"/>
  <c r="AV521" i="1"/>
  <c r="AV520" i="1"/>
  <c r="AV519" i="1"/>
  <c r="AV518" i="1"/>
  <c r="AV517" i="1"/>
  <c r="AV516" i="1"/>
  <c r="AV515" i="1"/>
  <c r="AV514" i="1"/>
  <c r="AV513" i="1"/>
  <c r="AV512" i="1"/>
  <c r="AV511" i="1"/>
  <c r="AV510" i="1"/>
  <c r="AV509" i="1"/>
  <c r="AV508" i="1"/>
  <c r="AV507" i="1"/>
  <c r="AV506" i="1"/>
  <c r="AV505" i="1"/>
  <c r="AV504" i="1"/>
  <c r="AV503" i="1"/>
  <c r="AV502" i="1"/>
  <c r="AV501" i="1"/>
  <c r="AV500" i="1"/>
  <c r="AV499" i="1"/>
  <c r="AV498" i="1"/>
  <c r="AV497" i="1"/>
  <c r="AV496" i="1"/>
  <c r="AV495" i="1"/>
  <c r="AV494" i="1"/>
  <c r="AV493" i="1"/>
  <c r="AV492" i="1"/>
  <c r="AV491" i="1"/>
  <c r="AV490" i="1"/>
  <c r="AV489" i="1"/>
  <c r="AV488" i="1"/>
  <c r="AV487" i="1"/>
  <c r="AV486" i="1"/>
  <c r="AV485" i="1"/>
  <c r="AV484" i="1"/>
  <c r="AV483" i="1"/>
  <c r="AV482" i="1"/>
  <c r="AV481" i="1"/>
  <c r="AV480" i="1"/>
  <c r="AV479" i="1"/>
  <c r="AV478" i="1"/>
  <c r="AV477" i="1"/>
  <c r="AV476" i="1"/>
  <c r="AV475" i="1"/>
  <c r="AV474" i="1"/>
  <c r="AV473" i="1"/>
  <c r="AV472" i="1"/>
  <c r="AV471" i="1"/>
  <c r="AV470" i="1"/>
  <c r="AV469" i="1"/>
  <c r="AV468" i="1"/>
  <c r="AV467" i="1"/>
  <c r="AV466" i="1"/>
  <c r="AV465" i="1"/>
  <c r="AV464" i="1"/>
  <c r="AV463" i="1"/>
  <c r="AV462" i="1"/>
  <c r="AV461" i="1"/>
  <c r="AV460" i="1"/>
  <c r="AV459" i="1"/>
  <c r="AV458" i="1"/>
  <c r="AV457" i="1"/>
  <c r="AV456" i="1"/>
  <c r="AV455" i="1"/>
  <c r="AV454" i="1"/>
  <c r="AV453" i="1"/>
  <c r="AV452" i="1"/>
  <c r="AV451" i="1"/>
  <c r="AV450" i="1"/>
  <c r="AV449" i="1"/>
  <c r="AV448" i="1"/>
  <c r="AV447" i="1"/>
  <c r="AV446" i="1"/>
  <c r="AV445" i="1"/>
  <c r="AV444" i="1"/>
  <c r="AV443" i="1"/>
  <c r="AV442" i="1"/>
  <c r="AV441" i="1"/>
  <c r="AV440" i="1"/>
  <c r="AV439" i="1"/>
  <c r="AV438" i="1"/>
  <c r="AV437" i="1"/>
  <c r="AV436" i="1"/>
  <c r="AV435" i="1"/>
  <c r="AV434" i="1"/>
  <c r="AV433" i="1"/>
  <c r="AV432" i="1"/>
  <c r="AV431" i="1"/>
  <c r="AV430" i="1"/>
  <c r="AV429" i="1"/>
  <c r="AV428" i="1"/>
  <c r="AV427" i="1"/>
  <c r="AV426" i="1"/>
  <c r="AV425" i="1"/>
  <c r="AV424" i="1"/>
  <c r="AV423" i="1"/>
  <c r="AV422" i="1"/>
  <c r="AV421" i="1"/>
  <c r="AV420" i="1"/>
  <c r="AV419" i="1"/>
  <c r="AV418" i="1"/>
  <c r="AV417" i="1"/>
  <c r="AV416" i="1"/>
  <c r="AV415" i="1"/>
  <c r="AV414" i="1"/>
  <c r="AV413" i="1"/>
  <c r="AV412" i="1"/>
  <c r="AV411" i="1"/>
  <c r="AV410" i="1"/>
  <c r="AV409" i="1"/>
  <c r="AV408" i="1"/>
  <c r="AV407" i="1"/>
  <c r="AV406" i="1"/>
  <c r="AV405" i="1"/>
  <c r="AV404" i="1"/>
  <c r="AV403" i="1"/>
  <c r="AV402" i="1"/>
  <c r="AV401" i="1"/>
  <c r="AV400" i="1"/>
  <c r="AV399" i="1"/>
  <c r="AV398" i="1"/>
  <c r="AV397" i="1"/>
  <c r="AV396" i="1"/>
  <c r="AV395" i="1"/>
  <c r="AV394" i="1"/>
  <c r="AV393" i="1"/>
  <c r="AV392" i="1"/>
  <c r="AV391" i="1"/>
  <c r="AV390" i="1"/>
  <c r="AV389" i="1"/>
  <c r="AV388" i="1"/>
  <c r="AV387" i="1"/>
  <c r="AV386" i="1"/>
  <c r="AV385" i="1"/>
  <c r="AV384" i="1"/>
  <c r="AV383" i="1"/>
  <c r="AV382" i="1"/>
  <c r="AV381" i="1"/>
  <c r="AV380" i="1"/>
  <c r="AV379" i="1"/>
  <c r="AV378" i="1"/>
  <c r="AV377" i="1"/>
  <c r="AV376" i="1"/>
  <c r="AV375" i="1"/>
  <c r="AV374" i="1"/>
  <c r="AV373" i="1"/>
  <c r="AV372" i="1"/>
  <c r="AV371" i="1"/>
  <c r="AV370" i="1"/>
  <c r="AV369" i="1"/>
  <c r="AV368" i="1"/>
  <c r="AV367" i="1"/>
  <c r="AV366" i="1"/>
  <c r="AV365" i="1"/>
  <c r="AV364" i="1"/>
  <c r="AV363" i="1"/>
  <c r="AV362" i="1"/>
  <c r="AV361" i="1"/>
  <c r="AV360" i="1"/>
  <c r="AV359" i="1"/>
  <c r="AV358" i="1"/>
  <c r="AV357" i="1"/>
  <c r="AV356" i="1"/>
  <c r="AV355" i="1"/>
  <c r="AV354" i="1"/>
  <c r="AV353" i="1"/>
  <c r="AV352" i="1"/>
  <c r="AV351" i="1"/>
  <c r="AV350" i="1"/>
  <c r="AV349" i="1"/>
  <c r="AV348" i="1"/>
  <c r="AV347" i="1"/>
  <c r="AV346" i="1"/>
  <c r="AV345" i="1"/>
  <c r="AV344" i="1"/>
  <c r="AV343" i="1"/>
  <c r="AV342" i="1"/>
  <c r="AV341" i="1"/>
  <c r="AV340" i="1"/>
  <c r="AV339" i="1"/>
  <c r="AV338" i="1"/>
  <c r="AV337" i="1"/>
  <c r="AV336" i="1"/>
  <c r="AV335" i="1"/>
  <c r="AV334" i="1"/>
  <c r="AV333" i="1"/>
  <c r="AV332" i="1"/>
  <c r="AV331" i="1"/>
  <c r="AV330" i="1"/>
  <c r="AV329" i="1"/>
  <c r="AV328" i="1"/>
  <c r="AV327" i="1"/>
  <c r="AV326" i="1"/>
  <c r="AV325" i="1"/>
  <c r="AV324" i="1"/>
  <c r="AV323" i="1"/>
  <c r="AV322" i="1"/>
  <c r="AV321" i="1"/>
  <c r="AV320" i="1"/>
  <c r="AV319" i="1"/>
  <c r="AV318" i="1"/>
  <c r="AV317" i="1"/>
  <c r="AV316" i="1"/>
  <c r="AV315" i="1"/>
  <c r="AV314" i="1"/>
  <c r="AV313" i="1"/>
  <c r="AV312" i="1"/>
  <c r="AV311" i="1"/>
  <c r="AV310" i="1"/>
  <c r="AV309" i="1"/>
  <c r="AV308" i="1"/>
  <c r="AV307" i="1"/>
  <c r="AV306" i="1"/>
  <c r="AV305" i="1"/>
  <c r="AV304" i="1"/>
  <c r="AV303" i="1"/>
  <c r="AV302" i="1"/>
  <c r="AV301" i="1"/>
  <c r="AV300" i="1"/>
  <c r="AV299" i="1"/>
  <c r="AV298" i="1"/>
  <c r="AV297" i="1"/>
  <c r="AV296" i="1"/>
  <c r="AV295" i="1"/>
  <c r="AV294" i="1"/>
  <c r="AV293" i="1"/>
  <c r="AV292" i="1"/>
  <c r="AV291" i="1"/>
  <c r="AV290" i="1"/>
  <c r="AV289" i="1"/>
  <c r="AV288" i="1"/>
  <c r="AV287" i="1"/>
  <c r="AV286" i="1"/>
  <c r="AV285" i="1"/>
  <c r="AV284" i="1"/>
  <c r="AV283" i="1"/>
  <c r="AV282" i="1"/>
  <c r="AV281" i="1"/>
  <c r="AV280" i="1"/>
  <c r="AV279" i="1"/>
  <c r="AV278" i="1"/>
  <c r="AV277" i="1"/>
  <c r="AV276" i="1"/>
  <c r="AV275" i="1"/>
  <c r="AV274" i="1"/>
  <c r="AV273" i="1"/>
  <c r="AV272" i="1"/>
  <c r="AV271" i="1"/>
  <c r="AV270" i="1"/>
  <c r="AV269" i="1"/>
  <c r="AV268" i="1"/>
  <c r="AV267" i="1"/>
  <c r="AV266" i="1"/>
  <c r="AV265" i="1"/>
  <c r="AV264" i="1"/>
  <c r="AV263" i="1"/>
  <c r="AV262" i="1"/>
  <c r="AV261" i="1"/>
  <c r="AV260" i="1"/>
  <c r="AV259" i="1"/>
  <c r="AV258" i="1"/>
  <c r="AV257" i="1"/>
  <c r="AV256" i="1"/>
  <c r="AV255" i="1"/>
  <c r="AV254" i="1"/>
  <c r="AV253" i="1"/>
  <c r="AV252" i="1"/>
  <c r="AV251" i="1"/>
  <c r="AV250" i="1"/>
  <c r="AV249" i="1"/>
  <c r="AV248" i="1"/>
  <c r="AV247" i="1"/>
  <c r="AV246" i="1"/>
  <c r="AV245" i="1"/>
  <c r="AV244" i="1"/>
  <c r="AV243" i="1"/>
  <c r="AV242" i="1"/>
  <c r="AV241" i="1"/>
  <c r="AV240" i="1"/>
  <c r="AV239" i="1"/>
  <c r="AV238" i="1"/>
  <c r="AV237" i="1"/>
  <c r="AV236" i="1"/>
  <c r="AV235" i="1"/>
  <c r="AV234" i="1"/>
  <c r="AV233" i="1"/>
  <c r="AV232" i="1"/>
  <c r="AV231" i="1"/>
  <c r="AV230" i="1"/>
  <c r="AV229" i="1"/>
  <c r="AV228" i="1"/>
  <c r="AV227" i="1"/>
  <c r="AV226" i="1"/>
  <c r="AV225" i="1"/>
  <c r="AV224" i="1"/>
  <c r="AV223" i="1"/>
  <c r="AV222" i="1"/>
  <c r="AV221" i="1"/>
  <c r="AV220" i="1"/>
  <c r="AV219" i="1"/>
  <c r="AV218" i="1"/>
  <c r="AV217" i="1"/>
  <c r="AV216" i="1"/>
  <c r="AV215" i="1"/>
  <c r="AV214" i="1"/>
  <c r="AV213" i="1"/>
  <c r="AV212" i="1"/>
  <c r="AV211" i="1"/>
  <c r="AV210" i="1"/>
  <c r="AV209" i="1"/>
  <c r="AV208" i="1"/>
  <c r="AV207" i="1"/>
  <c r="AV206" i="1"/>
  <c r="AV205" i="1"/>
  <c r="AV204" i="1"/>
  <c r="AV203" i="1"/>
  <c r="AV202" i="1"/>
  <c r="AV201" i="1"/>
  <c r="AV200" i="1"/>
  <c r="AV199" i="1"/>
  <c r="AV198" i="1"/>
  <c r="AV197" i="1"/>
  <c r="AV196" i="1"/>
  <c r="AV195" i="1"/>
  <c r="AV194" i="1"/>
  <c r="AV193" i="1"/>
  <c r="AV192" i="1"/>
  <c r="AV191" i="1"/>
  <c r="AV190" i="1"/>
  <c r="AV189" i="1"/>
  <c r="AV188" i="1"/>
  <c r="AV187" i="1"/>
  <c r="AV186" i="1"/>
  <c r="AV185" i="1"/>
  <c r="AV184" i="1"/>
  <c r="AV183" i="1"/>
  <c r="AV182" i="1"/>
  <c r="AV181" i="1"/>
  <c r="AV180" i="1"/>
  <c r="AV179" i="1"/>
  <c r="AV178" i="1"/>
  <c r="AV177" i="1"/>
  <c r="AV176" i="1"/>
  <c r="AV175" i="1"/>
  <c r="AV174" i="1"/>
  <c r="AV173" i="1"/>
  <c r="AV172" i="1"/>
  <c r="AV171" i="1"/>
  <c r="AV170" i="1"/>
  <c r="AV169" i="1"/>
  <c r="AV168" i="1"/>
  <c r="AV167" i="1"/>
  <c r="AV166" i="1"/>
  <c r="AV165" i="1"/>
  <c r="AV164" i="1"/>
  <c r="AV163" i="1"/>
  <c r="AV162" i="1"/>
  <c r="AV161" i="1"/>
  <c r="AV160" i="1"/>
  <c r="AV159" i="1"/>
  <c r="AV158" i="1"/>
  <c r="AV157" i="1"/>
  <c r="AV156" i="1"/>
  <c r="AV155" i="1"/>
  <c r="AV154" i="1"/>
  <c r="AV153" i="1"/>
  <c r="AV152" i="1"/>
  <c r="AV151" i="1"/>
  <c r="AV150" i="1"/>
  <c r="AV149" i="1"/>
  <c r="AV148" i="1"/>
  <c r="AV147" i="1"/>
  <c r="AV146" i="1"/>
  <c r="AV145" i="1"/>
  <c r="AV144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Q1011" i="1"/>
  <c r="AQ1010" i="1"/>
  <c r="AQ1009" i="1"/>
  <c r="AQ1008" i="1"/>
  <c r="AQ1007" i="1"/>
  <c r="AQ1006" i="1"/>
  <c r="AQ1005" i="1"/>
  <c r="AQ1004" i="1"/>
  <c r="AQ1003" i="1"/>
  <c r="AQ1002" i="1"/>
  <c r="AQ1001" i="1"/>
  <c r="AQ1000" i="1"/>
  <c r="AQ999" i="1"/>
  <c r="AQ998" i="1"/>
  <c r="AQ997" i="1"/>
  <c r="AQ996" i="1"/>
  <c r="AQ995" i="1"/>
  <c r="AQ994" i="1"/>
  <c r="AQ993" i="1"/>
  <c r="AQ992" i="1"/>
  <c r="AQ991" i="1"/>
  <c r="AQ990" i="1"/>
  <c r="AQ989" i="1"/>
  <c r="AQ988" i="1"/>
  <c r="AQ987" i="1"/>
  <c r="AQ986" i="1"/>
  <c r="AQ985" i="1"/>
  <c r="AQ984" i="1"/>
  <c r="AQ983" i="1"/>
  <c r="AQ982" i="1"/>
  <c r="AQ981" i="1"/>
  <c r="AQ980" i="1"/>
  <c r="AQ979" i="1"/>
  <c r="AQ978" i="1"/>
  <c r="AQ977" i="1"/>
  <c r="AQ976" i="1"/>
  <c r="AQ975" i="1"/>
  <c r="AQ974" i="1"/>
  <c r="AQ973" i="1"/>
  <c r="AQ972" i="1"/>
  <c r="AQ971" i="1"/>
  <c r="AQ970" i="1"/>
  <c r="AQ969" i="1"/>
  <c r="AQ968" i="1"/>
  <c r="AQ967" i="1"/>
  <c r="AQ966" i="1"/>
  <c r="AQ965" i="1"/>
  <c r="AQ964" i="1"/>
  <c r="AQ963" i="1"/>
  <c r="AQ962" i="1"/>
  <c r="AQ961" i="1"/>
  <c r="AQ960" i="1"/>
  <c r="AQ959" i="1"/>
  <c r="AQ958" i="1"/>
  <c r="AQ957" i="1"/>
  <c r="AQ956" i="1"/>
  <c r="AQ955" i="1"/>
  <c r="AQ954" i="1"/>
  <c r="AQ953" i="1"/>
  <c r="AQ952" i="1"/>
  <c r="AQ951" i="1"/>
  <c r="AQ950" i="1"/>
  <c r="AQ949" i="1"/>
  <c r="AQ948" i="1"/>
  <c r="AQ947" i="1"/>
  <c r="AQ946" i="1"/>
  <c r="AQ945" i="1"/>
  <c r="AQ944" i="1"/>
  <c r="AQ943" i="1"/>
  <c r="AQ942" i="1"/>
  <c r="AQ941" i="1"/>
  <c r="AQ940" i="1"/>
  <c r="AQ939" i="1"/>
  <c r="AQ938" i="1"/>
  <c r="AQ937" i="1"/>
  <c r="AQ936" i="1"/>
  <c r="AQ935" i="1"/>
  <c r="AQ934" i="1"/>
  <c r="AQ933" i="1"/>
  <c r="AQ932" i="1"/>
  <c r="AQ931" i="1"/>
  <c r="AQ930" i="1"/>
  <c r="AQ929" i="1"/>
  <c r="AQ928" i="1"/>
  <c r="AQ927" i="1"/>
  <c r="AQ926" i="1"/>
  <c r="AQ925" i="1"/>
  <c r="AQ924" i="1"/>
  <c r="AQ923" i="1"/>
  <c r="AQ922" i="1"/>
  <c r="AQ921" i="1"/>
  <c r="AQ920" i="1"/>
  <c r="AQ919" i="1"/>
  <c r="AQ918" i="1"/>
  <c r="AQ917" i="1"/>
  <c r="AQ916" i="1"/>
  <c r="AQ915" i="1"/>
  <c r="AQ914" i="1"/>
  <c r="AQ913" i="1"/>
  <c r="AQ912" i="1"/>
  <c r="AQ911" i="1"/>
  <c r="AQ910" i="1"/>
  <c r="AQ909" i="1"/>
  <c r="AQ908" i="1"/>
  <c r="AQ907" i="1"/>
  <c r="AQ906" i="1"/>
  <c r="AQ905" i="1"/>
  <c r="AQ904" i="1"/>
  <c r="AQ903" i="1"/>
  <c r="AQ902" i="1"/>
  <c r="AQ901" i="1"/>
  <c r="AQ900" i="1"/>
  <c r="AQ899" i="1"/>
  <c r="AQ898" i="1"/>
  <c r="AQ897" i="1"/>
  <c r="AQ896" i="1"/>
  <c r="AQ895" i="1"/>
  <c r="AQ894" i="1"/>
  <c r="AQ893" i="1"/>
  <c r="AQ892" i="1"/>
  <c r="AQ891" i="1"/>
  <c r="AQ890" i="1"/>
  <c r="AQ889" i="1"/>
  <c r="AQ888" i="1"/>
  <c r="AQ887" i="1"/>
  <c r="AQ886" i="1"/>
  <c r="AQ885" i="1"/>
  <c r="AQ884" i="1"/>
  <c r="AQ883" i="1"/>
  <c r="AQ882" i="1"/>
  <c r="AQ881" i="1"/>
  <c r="AQ880" i="1"/>
  <c r="AQ879" i="1"/>
  <c r="AQ878" i="1"/>
  <c r="AQ877" i="1"/>
  <c r="AQ876" i="1"/>
  <c r="AQ875" i="1"/>
  <c r="AQ874" i="1"/>
  <c r="AQ873" i="1"/>
  <c r="AQ872" i="1"/>
  <c r="AQ871" i="1"/>
  <c r="AQ870" i="1"/>
  <c r="AQ869" i="1"/>
  <c r="AQ868" i="1"/>
  <c r="AQ867" i="1"/>
  <c r="AQ866" i="1"/>
  <c r="AQ865" i="1"/>
  <c r="AQ864" i="1"/>
  <c r="AQ863" i="1"/>
  <c r="AQ862" i="1"/>
  <c r="AQ861" i="1"/>
  <c r="AQ860" i="1"/>
  <c r="AQ859" i="1"/>
  <c r="AQ858" i="1"/>
  <c r="AQ857" i="1"/>
  <c r="AQ856" i="1"/>
  <c r="AQ855" i="1"/>
  <c r="AQ854" i="1"/>
  <c r="AQ853" i="1"/>
  <c r="AQ852" i="1"/>
  <c r="AQ851" i="1"/>
  <c r="AQ850" i="1"/>
  <c r="AQ849" i="1"/>
  <c r="AQ848" i="1"/>
  <c r="AQ847" i="1"/>
  <c r="AQ846" i="1"/>
  <c r="AQ845" i="1"/>
  <c r="AQ844" i="1"/>
  <c r="AQ843" i="1"/>
  <c r="AQ842" i="1"/>
  <c r="AQ841" i="1"/>
  <c r="AQ840" i="1"/>
  <c r="AQ839" i="1"/>
  <c r="AQ838" i="1"/>
  <c r="AQ837" i="1"/>
  <c r="AQ836" i="1"/>
  <c r="AQ835" i="1"/>
  <c r="AQ834" i="1"/>
  <c r="AQ833" i="1"/>
  <c r="AQ832" i="1"/>
  <c r="AQ831" i="1"/>
  <c r="AQ830" i="1"/>
  <c r="AQ829" i="1"/>
  <c r="AQ828" i="1"/>
  <c r="AQ827" i="1"/>
  <c r="AQ826" i="1"/>
  <c r="AQ825" i="1"/>
  <c r="AQ824" i="1"/>
  <c r="AQ823" i="1"/>
  <c r="AQ822" i="1"/>
  <c r="AQ821" i="1"/>
  <c r="AQ820" i="1"/>
  <c r="AQ819" i="1"/>
  <c r="AQ818" i="1"/>
  <c r="AQ817" i="1"/>
  <c r="AQ816" i="1"/>
  <c r="AQ815" i="1"/>
  <c r="AQ814" i="1"/>
  <c r="AQ813" i="1"/>
  <c r="AQ812" i="1"/>
  <c r="AQ811" i="1"/>
  <c r="AQ810" i="1"/>
  <c r="AQ809" i="1"/>
  <c r="AQ808" i="1"/>
  <c r="AQ807" i="1"/>
  <c r="AQ806" i="1"/>
  <c r="AQ805" i="1"/>
  <c r="AQ804" i="1"/>
  <c r="AQ803" i="1"/>
  <c r="AQ802" i="1"/>
  <c r="AQ801" i="1"/>
  <c r="AQ800" i="1"/>
  <c r="AQ799" i="1"/>
  <c r="AQ798" i="1"/>
  <c r="AQ797" i="1"/>
  <c r="AQ796" i="1"/>
  <c r="AQ795" i="1"/>
  <c r="AQ794" i="1"/>
  <c r="AQ793" i="1"/>
  <c r="AQ792" i="1"/>
  <c r="AQ791" i="1"/>
  <c r="AQ790" i="1"/>
  <c r="AQ789" i="1"/>
  <c r="AQ788" i="1"/>
  <c r="AQ787" i="1"/>
  <c r="AQ786" i="1"/>
  <c r="AQ785" i="1"/>
  <c r="AQ784" i="1"/>
  <c r="AQ783" i="1"/>
  <c r="AQ782" i="1"/>
  <c r="AQ781" i="1"/>
  <c r="AQ780" i="1"/>
  <c r="AQ779" i="1"/>
  <c r="AQ778" i="1"/>
  <c r="AQ777" i="1"/>
  <c r="AQ776" i="1"/>
  <c r="AQ775" i="1"/>
  <c r="AQ774" i="1"/>
  <c r="AQ773" i="1"/>
  <c r="AQ772" i="1"/>
  <c r="AQ771" i="1"/>
  <c r="AQ770" i="1"/>
  <c r="AQ769" i="1"/>
  <c r="AQ768" i="1"/>
  <c r="AQ767" i="1"/>
  <c r="AQ766" i="1"/>
  <c r="AQ765" i="1"/>
  <c r="AQ764" i="1"/>
  <c r="AQ763" i="1"/>
  <c r="AQ762" i="1"/>
  <c r="AQ761" i="1"/>
  <c r="AQ760" i="1"/>
  <c r="AQ759" i="1"/>
  <c r="AQ758" i="1"/>
  <c r="AQ757" i="1"/>
  <c r="AQ756" i="1"/>
  <c r="AQ755" i="1"/>
  <c r="AQ754" i="1"/>
  <c r="AQ753" i="1"/>
  <c r="AQ752" i="1"/>
  <c r="AQ751" i="1"/>
  <c r="AQ750" i="1"/>
  <c r="AQ749" i="1"/>
  <c r="AQ748" i="1"/>
  <c r="AQ747" i="1"/>
  <c r="AQ746" i="1"/>
  <c r="AQ745" i="1"/>
  <c r="AQ744" i="1"/>
  <c r="AQ743" i="1"/>
  <c r="AQ742" i="1"/>
  <c r="AQ741" i="1"/>
  <c r="AQ740" i="1"/>
  <c r="AQ739" i="1"/>
  <c r="AQ738" i="1"/>
  <c r="AQ737" i="1"/>
  <c r="AQ736" i="1"/>
  <c r="AQ735" i="1"/>
  <c r="AQ734" i="1"/>
  <c r="AQ733" i="1"/>
  <c r="AQ732" i="1"/>
  <c r="AQ731" i="1"/>
  <c r="AQ730" i="1"/>
  <c r="AQ729" i="1"/>
  <c r="AQ728" i="1"/>
  <c r="AQ727" i="1"/>
  <c r="AQ726" i="1"/>
  <c r="AQ725" i="1"/>
  <c r="AQ724" i="1"/>
  <c r="AQ723" i="1"/>
  <c r="AQ722" i="1"/>
  <c r="AQ721" i="1"/>
  <c r="AQ720" i="1"/>
  <c r="AQ719" i="1"/>
  <c r="AQ718" i="1"/>
  <c r="AQ717" i="1"/>
  <c r="AQ716" i="1"/>
  <c r="AQ715" i="1"/>
  <c r="AQ714" i="1"/>
  <c r="AQ713" i="1"/>
  <c r="AQ712" i="1"/>
  <c r="AQ711" i="1"/>
  <c r="AQ710" i="1"/>
  <c r="AQ709" i="1"/>
  <c r="AQ708" i="1"/>
  <c r="AQ707" i="1"/>
  <c r="AQ706" i="1"/>
  <c r="AQ705" i="1"/>
  <c r="AQ704" i="1"/>
  <c r="AQ703" i="1"/>
  <c r="AQ702" i="1"/>
  <c r="AQ701" i="1"/>
  <c r="AQ700" i="1"/>
  <c r="AQ699" i="1"/>
  <c r="AQ698" i="1"/>
  <c r="AQ697" i="1"/>
  <c r="AQ696" i="1"/>
  <c r="AQ695" i="1"/>
  <c r="AQ694" i="1"/>
  <c r="AQ693" i="1"/>
  <c r="AQ692" i="1"/>
  <c r="AQ691" i="1"/>
  <c r="AQ690" i="1"/>
  <c r="AQ689" i="1"/>
  <c r="AQ688" i="1"/>
  <c r="AQ687" i="1"/>
  <c r="AQ686" i="1"/>
  <c r="AQ685" i="1"/>
  <c r="AQ684" i="1"/>
  <c r="AQ683" i="1"/>
  <c r="AQ682" i="1"/>
  <c r="AQ681" i="1"/>
  <c r="AQ680" i="1"/>
  <c r="AQ679" i="1"/>
  <c r="AQ678" i="1"/>
  <c r="AQ677" i="1"/>
  <c r="AQ676" i="1"/>
  <c r="AQ675" i="1"/>
  <c r="AQ674" i="1"/>
  <c r="AQ673" i="1"/>
  <c r="AQ672" i="1"/>
  <c r="AQ671" i="1"/>
  <c r="AQ670" i="1"/>
  <c r="AQ669" i="1"/>
  <c r="AQ668" i="1"/>
  <c r="AQ667" i="1"/>
  <c r="AQ666" i="1"/>
  <c r="AQ665" i="1"/>
  <c r="AQ664" i="1"/>
  <c r="AQ663" i="1"/>
  <c r="AQ662" i="1"/>
  <c r="AQ661" i="1"/>
  <c r="AQ660" i="1"/>
  <c r="AQ659" i="1"/>
  <c r="AQ658" i="1"/>
  <c r="AQ657" i="1"/>
  <c r="AQ656" i="1"/>
  <c r="AQ655" i="1"/>
  <c r="AQ654" i="1"/>
  <c r="AQ653" i="1"/>
  <c r="AQ652" i="1"/>
  <c r="AQ651" i="1"/>
  <c r="AQ650" i="1"/>
  <c r="AQ649" i="1"/>
  <c r="AQ648" i="1"/>
  <c r="AQ647" i="1"/>
  <c r="AQ646" i="1"/>
  <c r="AQ645" i="1"/>
  <c r="AQ644" i="1"/>
  <c r="AQ643" i="1"/>
  <c r="AQ642" i="1"/>
  <c r="AQ641" i="1"/>
  <c r="AQ640" i="1"/>
  <c r="AQ639" i="1"/>
  <c r="AQ638" i="1"/>
  <c r="AQ637" i="1"/>
  <c r="AQ636" i="1"/>
  <c r="AQ635" i="1"/>
  <c r="AQ634" i="1"/>
  <c r="AQ633" i="1"/>
  <c r="AQ632" i="1"/>
  <c r="AQ631" i="1"/>
  <c r="AQ630" i="1"/>
  <c r="AQ629" i="1"/>
  <c r="AQ628" i="1"/>
  <c r="AQ627" i="1"/>
  <c r="AQ626" i="1"/>
  <c r="AQ625" i="1"/>
  <c r="AQ624" i="1"/>
  <c r="AQ623" i="1"/>
  <c r="AQ622" i="1"/>
  <c r="AQ621" i="1"/>
  <c r="AQ620" i="1"/>
  <c r="AQ619" i="1"/>
  <c r="AQ618" i="1"/>
  <c r="AQ617" i="1"/>
  <c r="AQ616" i="1"/>
  <c r="AQ615" i="1"/>
  <c r="AQ614" i="1"/>
  <c r="AQ613" i="1"/>
  <c r="AQ612" i="1"/>
  <c r="AQ611" i="1"/>
  <c r="AQ610" i="1"/>
  <c r="AQ609" i="1"/>
  <c r="AQ608" i="1"/>
  <c r="AQ607" i="1"/>
  <c r="AQ606" i="1"/>
  <c r="AQ605" i="1"/>
  <c r="AQ604" i="1"/>
  <c r="AQ603" i="1"/>
  <c r="AQ602" i="1"/>
  <c r="AQ601" i="1"/>
  <c r="AQ600" i="1"/>
  <c r="AQ599" i="1"/>
  <c r="AQ598" i="1"/>
  <c r="AQ597" i="1"/>
  <c r="AQ596" i="1"/>
  <c r="AQ595" i="1"/>
  <c r="AQ594" i="1"/>
  <c r="AQ593" i="1"/>
  <c r="AQ592" i="1"/>
  <c r="AQ591" i="1"/>
  <c r="AQ590" i="1"/>
  <c r="AQ589" i="1"/>
  <c r="AQ588" i="1"/>
  <c r="AQ587" i="1"/>
  <c r="AQ586" i="1"/>
  <c r="AQ585" i="1"/>
  <c r="AQ584" i="1"/>
  <c r="AQ583" i="1"/>
  <c r="AQ582" i="1"/>
  <c r="AQ581" i="1"/>
  <c r="AQ580" i="1"/>
  <c r="AQ579" i="1"/>
  <c r="AQ578" i="1"/>
  <c r="AQ577" i="1"/>
  <c r="AQ576" i="1"/>
  <c r="AQ575" i="1"/>
  <c r="AQ574" i="1"/>
  <c r="AQ573" i="1"/>
  <c r="AQ572" i="1"/>
  <c r="AQ571" i="1"/>
  <c r="AQ570" i="1"/>
  <c r="AQ569" i="1"/>
  <c r="AQ568" i="1"/>
  <c r="AQ567" i="1"/>
  <c r="AQ566" i="1"/>
  <c r="AQ565" i="1"/>
  <c r="AQ564" i="1"/>
  <c r="AQ563" i="1"/>
  <c r="AQ562" i="1"/>
  <c r="AQ561" i="1"/>
  <c r="AQ560" i="1"/>
  <c r="AQ559" i="1"/>
  <c r="AQ558" i="1"/>
  <c r="AQ557" i="1"/>
  <c r="AQ556" i="1"/>
  <c r="AQ555" i="1"/>
  <c r="AQ554" i="1"/>
  <c r="AQ553" i="1"/>
  <c r="AQ552" i="1"/>
  <c r="AQ551" i="1"/>
  <c r="AQ550" i="1"/>
  <c r="AQ549" i="1"/>
  <c r="AQ548" i="1"/>
  <c r="AQ547" i="1"/>
  <c r="AQ546" i="1"/>
  <c r="AQ545" i="1"/>
  <c r="AQ544" i="1"/>
  <c r="AQ543" i="1"/>
  <c r="AQ542" i="1"/>
  <c r="AQ541" i="1"/>
  <c r="AQ540" i="1"/>
  <c r="AQ539" i="1"/>
  <c r="AQ538" i="1"/>
  <c r="AQ537" i="1"/>
  <c r="AQ536" i="1"/>
  <c r="AQ535" i="1"/>
  <c r="AQ534" i="1"/>
  <c r="AQ533" i="1"/>
  <c r="AQ532" i="1"/>
  <c r="AQ531" i="1"/>
  <c r="AQ530" i="1"/>
  <c r="AQ529" i="1"/>
  <c r="AQ528" i="1"/>
  <c r="AQ527" i="1"/>
  <c r="AQ526" i="1"/>
  <c r="AQ525" i="1"/>
  <c r="AQ524" i="1"/>
  <c r="AQ523" i="1"/>
  <c r="AQ522" i="1"/>
  <c r="AQ521" i="1"/>
  <c r="AQ520" i="1"/>
  <c r="AQ519" i="1"/>
  <c r="AQ518" i="1"/>
  <c r="AQ517" i="1"/>
  <c r="AQ516" i="1"/>
  <c r="AQ515" i="1"/>
  <c r="AQ514" i="1"/>
  <c r="AQ513" i="1"/>
  <c r="AQ512" i="1"/>
  <c r="AQ511" i="1"/>
  <c r="AQ510" i="1"/>
  <c r="AQ509" i="1"/>
  <c r="AQ508" i="1"/>
  <c r="AQ507" i="1"/>
  <c r="AQ506" i="1"/>
  <c r="AQ505" i="1"/>
  <c r="AQ504" i="1"/>
  <c r="AQ503" i="1"/>
  <c r="AQ502" i="1"/>
  <c r="AQ501" i="1"/>
  <c r="AQ500" i="1"/>
  <c r="AQ499" i="1"/>
  <c r="AQ498" i="1"/>
  <c r="AQ497" i="1"/>
  <c r="AQ496" i="1"/>
  <c r="AQ495" i="1"/>
  <c r="AQ494" i="1"/>
  <c r="AQ493" i="1"/>
  <c r="AQ492" i="1"/>
  <c r="AQ491" i="1"/>
  <c r="AQ490" i="1"/>
  <c r="AQ489" i="1"/>
  <c r="AQ488" i="1"/>
  <c r="AQ487" i="1"/>
  <c r="AQ486" i="1"/>
  <c r="AQ485" i="1"/>
  <c r="AQ484" i="1"/>
  <c r="AQ483" i="1"/>
  <c r="AQ482" i="1"/>
  <c r="AQ481" i="1"/>
  <c r="AQ480" i="1"/>
  <c r="AQ479" i="1"/>
  <c r="AQ478" i="1"/>
  <c r="AQ477" i="1"/>
  <c r="AQ476" i="1"/>
  <c r="AQ475" i="1"/>
  <c r="AQ474" i="1"/>
  <c r="AQ473" i="1"/>
  <c r="AQ472" i="1"/>
  <c r="AQ471" i="1"/>
  <c r="AQ470" i="1"/>
  <c r="AQ469" i="1"/>
  <c r="AQ468" i="1"/>
  <c r="AQ467" i="1"/>
  <c r="AQ466" i="1"/>
  <c r="AQ465" i="1"/>
  <c r="AQ464" i="1"/>
  <c r="AQ463" i="1"/>
  <c r="AQ462" i="1"/>
  <c r="AQ461" i="1"/>
  <c r="AQ460" i="1"/>
  <c r="AQ459" i="1"/>
  <c r="AQ458" i="1"/>
  <c r="AQ457" i="1"/>
  <c r="AQ456" i="1"/>
  <c r="AQ455" i="1"/>
  <c r="AQ454" i="1"/>
  <c r="AQ453" i="1"/>
  <c r="AQ452" i="1"/>
  <c r="AQ451" i="1"/>
  <c r="AQ450" i="1"/>
  <c r="AQ449" i="1"/>
  <c r="AQ448" i="1"/>
  <c r="AQ447" i="1"/>
  <c r="AQ446" i="1"/>
  <c r="AQ445" i="1"/>
  <c r="AQ444" i="1"/>
  <c r="AQ443" i="1"/>
  <c r="AQ442" i="1"/>
  <c r="AQ441" i="1"/>
  <c r="AQ440" i="1"/>
  <c r="AQ439" i="1"/>
  <c r="AQ438" i="1"/>
  <c r="AQ437" i="1"/>
  <c r="AQ436" i="1"/>
  <c r="AQ435" i="1"/>
  <c r="AQ434" i="1"/>
  <c r="AQ433" i="1"/>
  <c r="AQ432" i="1"/>
  <c r="AQ431" i="1"/>
  <c r="AQ430" i="1"/>
  <c r="AQ429" i="1"/>
  <c r="AQ428" i="1"/>
  <c r="AQ427" i="1"/>
  <c r="AQ426" i="1"/>
  <c r="AQ425" i="1"/>
  <c r="AQ424" i="1"/>
  <c r="AQ423" i="1"/>
  <c r="AQ422" i="1"/>
  <c r="AQ421" i="1"/>
  <c r="AQ420" i="1"/>
  <c r="AQ419" i="1"/>
  <c r="AQ418" i="1"/>
  <c r="AQ417" i="1"/>
  <c r="AQ416" i="1"/>
  <c r="AQ415" i="1"/>
  <c r="AQ414" i="1"/>
  <c r="AQ413" i="1"/>
  <c r="AQ412" i="1"/>
  <c r="AQ411" i="1"/>
  <c r="AQ410" i="1"/>
  <c r="AQ409" i="1"/>
  <c r="AQ408" i="1"/>
  <c r="AQ407" i="1"/>
  <c r="AQ406" i="1"/>
  <c r="AQ405" i="1"/>
  <c r="AQ404" i="1"/>
  <c r="AQ403" i="1"/>
  <c r="AQ402" i="1"/>
  <c r="AQ401" i="1"/>
  <c r="AQ400" i="1"/>
  <c r="AQ399" i="1"/>
  <c r="AQ398" i="1"/>
  <c r="AQ397" i="1"/>
  <c r="AQ396" i="1"/>
  <c r="AQ395" i="1"/>
  <c r="AQ394" i="1"/>
  <c r="AQ393" i="1"/>
  <c r="AQ392" i="1"/>
  <c r="AQ391" i="1"/>
  <c r="AQ390" i="1"/>
  <c r="AQ389" i="1"/>
  <c r="AQ388" i="1"/>
  <c r="AQ387" i="1"/>
  <c r="AQ386" i="1"/>
  <c r="AQ385" i="1"/>
  <c r="AQ384" i="1"/>
  <c r="AQ383" i="1"/>
  <c r="AQ382" i="1"/>
  <c r="AQ381" i="1"/>
  <c r="AQ380" i="1"/>
  <c r="AQ379" i="1"/>
  <c r="AQ378" i="1"/>
  <c r="AQ377" i="1"/>
  <c r="AQ376" i="1"/>
  <c r="AQ375" i="1"/>
  <c r="AQ374" i="1"/>
  <c r="AQ373" i="1"/>
  <c r="AQ372" i="1"/>
  <c r="AQ371" i="1"/>
  <c r="AQ370" i="1"/>
  <c r="AQ369" i="1"/>
  <c r="AQ368" i="1"/>
  <c r="AQ367" i="1"/>
  <c r="AQ366" i="1"/>
  <c r="AQ365" i="1"/>
  <c r="AQ364" i="1"/>
  <c r="AQ363" i="1"/>
  <c r="AQ362" i="1"/>
  <c r="AQ361" i="1"/>
  <c r="AQ360" i="1"/>
  <c r="AQ359" i="1"/>
  <c r="AQ358" i="1"/>
  <c r="AQ357" i="1"/>
  <c r="AQ356" i="1"/>
  <c r="AQ355" i="1"/>
  <c r="AQ354" i="1"/>
  <c r="AQ353" i="1"/>
  <c r="AQ352" i="1"/>
  <c r="AQ351" i="1"/>
  <c r="AQ350" i="1"/>
  <c r="AQ349" i="1"/>
  <c r="AQ348" i="1"/>
  <c r="AQ347" i="1"/>
  <c r="AQ346" i="1"/>
  <c r="AQ345" i="1"/>
  <c r="AQ344" i="1"/>
  <c r="AQ343" i="1"/>
  <c r="AQ342" i="1"/>
  <c r="AQ341" i="1"/>
  <c r="AQ340" i="1"/>
  <c r="AQ339" i="1"/>
  <c r="AQ338" i="1"/>
  <c r="AQ337" i="1"/>
  <c r="AQ336" i="1"/>
  <c r="AQ335" i="1"/>
  <c r="AQ334" i="1"/>
  <c r="AQ333" i="1"/>
  <c r="AQ332" i="1"/>
  <c r="AQ331" i="1"/>
  <c r="AQ330" i="1"/>
  <c r="AQ329" i="1"/>
  <c r="AQ328" i="1"/>
  <c r="AQ327" i="1"/>
  <c r="AQ326" i="1"/>
  <c r="AQ325" i="1"/>
  <c r="AQ324" i="1"/>
  <c r="AQ323" i="1"/>
  <c r="AQ322" i="1"/>
  <c r="AQ321" i="1"/>
  <c r="AQ320" i="1"/>
  <c r="AQ319" i="1"/>
  <c r="AQ318" i="1"/>
  <c r="AQ317" i="1"/>
  <c r="AQ316" i="1"/>
  <c r="AQ315" i="1"/>
  <c r="AQ314" i="1"/>
  <c r="AQ313" i="1"/>
  <c r="AQ312" i="1"/>
  <c r="AQ311" i="1"/>
  <c r="AQ310" i="1"/>
  <c r="AQ309" i="1"/>
  <c r="AQ308" i="1"/>
  <c r="AQ307" i="1"/>
  <c r="AQ306" i="1"/>
  <c r="AQ305" i="1"/>
  <c r="AQ304" i="1"/>
  <c r="AQ303" i="1"/>
  <c r="AQ302" i="1"/>
  <c r="AQ301" i="1"/>
  <c r="AQ300" i="1"/>
  <c r="AQ299" i="1"/>
  <c r="AQ298" i="1"/>
  <c r="AQ297" i="1"/>
  <c r="AQ296" i="1"/>
  <c r="AQ295" i="1"/>
  <c r="AQ294" i="1"/>
  <c r="AQ293" i="1"/>
  <c r="AQ292" i="1"/>
  <c r="AQ291" i="1"/>
  <c r="AQ290" i="1"/>
  <c r="AQ289" i="1"/>
  <c r="AQ288" i="1"/>
  <c r="AQ287" i="1"/>
  <c r="AQ286" i="1"/>
  <c r="AQ285" i="1"/>
  <c r="AQ284" i="1"/>
  <c r="AQ283" i="1"/>
  <c r="AQ282" i="1"/>
  <c r="AQ281" i="1"/>
  <c r="AQ280" i="1"/>
  <c r="AQ279" i="1"/>
  <c r="AQ278" i="1"/>
  <c r="AQ277" i="1"/>
  <c r="AQ276" i="1"/>
  <c r="AQ275" i="1"/>
  <c r="AQ274" i="1"/>
  <c r="AQ273" i="1"/>
  <c r="AQ272" i="1"/>
  <c r="AQ271" i="1"/>
  <c r="AQ270" i="1"/>
  <c r="AQ269" i="1"/>
  <c r="AQ268" i="1"/>
  <c r="AQ267" i="1"/>
  <c r="AQ266" i="1"/>
  <c r="AQ265" i="1"/>
  <c r="AQ264" i="1"/>
  <c r="AQ263" i="1"/>
  <c r="AQ262" i="1"/>
  <c r="AQ261" i="1"/>
  <c r="AQ260" i="1"/>
  <c r="AQ259" i="1"/>
  <c r="AQ258" i="1"/>
  <c r="AQ257" i="1"/>
  <c r="AQ256" i="1"/>
  <c r="AQ255" i="1"/>
  <c r="AQ254" i="1"/>
  <c r="AQ253" i="1"/>
  <c r="AQ252" i="1"/>
  <c r="AQ251" i="1"/>
  <c r="AQ250" i="1"/>
  <c r="AQ249" i="1"/>
  <c r="AQ248" i="1"/>
  <c r="AQ247" i="1"/>
  <c r="AQ246" i="1"/>
  <c r="AQ245" i="1"/>
  <c r="AQ244" i="1"/>
  <c r="AQ243" i="1"/>
  <c r="AQ242" i="1"/>
  <c r="AQ241" i="1"/>
  <c r="AQ240" i="1"/>
  <c r="AQ239" i="1"/>
  <c r="AQ238" i="1"/>
  <c r="AQ237" i="1"/>
  <c r="AQ236" i="1"/>
  <c r="AQ235" i="1"/>
  <c r="AQ234" i="1"/>
  <c r="AQ233" i="1"/>
  <c r="AQ232" i="1"/>
  <c r="AQ231" i="1"/>
  <c r="AQ230" i="1"/>
  <c r="AQ229" i="1"/>
  <c r="AQ228" i="1"/>
  <c r="AQ227" i="1"/>
  <c r="AQ226" i="1"/>
  <c r="AQ225" i="1"/>
  <c r="AQ224" i="1"/>
  <c r="AQ223" i="1"/>
  <c r="AQ222" i="1"/>
  <c r="AQ221" i="1"/>
  <c r="AQ220" i="1"/>
  <c r="AQ219" i="1"/>
  <c r="AQ218" i="1"/>
  <c r="AQ217" i="1"/>
  <c r="AQ216" i="1"/>
  <c r="AQ215" i="1"/>
  <c r="AQ214" i="1"/>
  <c r="AQ213" i="1"/>
  <c r="AQ212" i="1"/>
  <c r="AQ211" i="1"/>
  <c r="AQ210" i="1"/>
  <c r="AQ209" i="1"/>
  <c r="AQ208" i="1"/>
  <c r="AQ207" i="1"/>
  <c r="AQ206" i="1"/>
  <c r="AQ205" i="1"/>
  <c r="AQ204" i="1"/>
  <c r="AQ203" i="1"/>
  <c r="AQ202" i="1"/>
  <c r="AQ201" i="1"/>
  <c r="AQ200" i="1"/>
  <c r="AQ199" i="1"/>
  <c r="AQ198" i="1"/>
  <c r="AQ197" i="1"/>
  <c r="AQ196" i="1"/>
  <c r="AQ195" i="1"/>
  <c r="AQ194" i="1"/>
  <c r="AQ193" i="1"/>
  <c r="AQ192" i="1"/>
  <c r="AQ191" i="1"/>
  <c r="AQ190" i="1"/>
  <c r="AQ189" i="1"/>
  <c r="AQ188" i="1"/>
  <c r="AQ187" i="1"/>
  <c r="AQ186" i="1"/>
  <c r="AQ185" i="1"/>
  <c r="AQ184" i="1"/>
  <c r="AQ183" i="1"/>
  <c r="AQ182" i="1"/>
  <c r="AQ181" i="1"/>
  <c r="AQ180" i="1"/>
  <c r="AQ179" i="1"/>
  <c r="AQ178" i="1"/>
  <c r="AQ177" i="1"/>
  <c r="AQ176" i="1"/>
  <c r="AQ175" i="1"/>
  <c r="AQ174" i="1"/>
  <c r="AQ173" i="1"/>
  <c r="AQ172" i="1"/>
  <c r="AQ171" i="1"/>
  <c r="AQ170" i="1"/>
  <c r="AQ169" i="1"/>
  <c r="AQ168" i="1"/>
  <c r="AQ167" i="1"/>
  <c r="AQ166" i="1"/>
  <c r="AQ165" i="1"/>
  <c r="AQ164" i="1"/>
  <c r="AQ163" i="1"/>
  <c r="AQ162" i="1"/>
  <c r="AQ161" i="1"/>
  <c r="AQ160" i="1"/>
  <c r="AQ159" i="1"/>
  <c r="AQ158" i="1"/>
  <c r="AQ157" i="1"/>
  <c r="AQ156" i="1"/>
  <c r="AQ155" i="1"/>
  <c r="AQ154" i="1"/>
  <c r="AQ153" i="1"/>
  <c r="AQ152" i="1"/>
  <c r="AQ151" i="1"/>
  <c r="AQ150" i="1"/>
  <c r="AQ149" i="1"/>
  <c r="AQ148" i="1"/>
  <c r="AQ147" i="1"/>
  <c r="AQ146" i="1"/>
  <c r="AQ145" i="1"/>
  <c r="AQ144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U1011" i="1"/>
  <c r="AU1010" i="1"/>
  <c r="AU1009" i="1"/>
  <c r="AU1008" i="1"/>
  <c r="AU1007" i="1"/>
  <c r="AU1006" i="1"/>
  <c r="AU1005" i="1"/>
  <c r="AU1004" i="1"/>
  <c r="AU1003" i="1"/>
  <c r="AU1002" i="1"/>
  <c r="AU1001" i="1"/>
  <c r="AU1000" i="1"/>
  <c r="AU999" i="1"/>
  <c r="AU998" i="1"/>
  <c r="AU997" i="1"/>
  <c r="AU996" i="1"/>
  <c r="AU995" i="1"/>
  <c r="AU994" i="1"/>
  <c r="AU993" i="1"/>
  <c r="AU992" i="1"/>
  <c r="AU991" i="1"/>
  <c r="AU990" i="1"/>
  <c r="AU989" i="1"/>
  <c r="AU988" i="1"/>
  <c r="AU987" i="1"/>
  <c r="AU986" i="1"/>
  <c r="AU985" i="1"/>
  <c r="AU984" i="1"/>
  <c r="AU983" i="1"/>
  <c r="AU982" i="1"/>
  <c r="AU981" i="1"/>
  <c r="AU980" i="1"/>
  <c r="AU979" i="1"/>
  <c r="AU978" i="1"/>
  <c r="AU977" i="1"/>
  <c r="AU976" i="1"/>
  <c r="AU975" i="1"/>
  <c r="AU974" i="1"/>
  <c r="AU973" i="1"/>
  <c r="AU972" i="1"/>
  <c r="AU971" i="1"/>
  <c r="AU970" i="1"/>
  <c r="AU969" i="1"/>
  <c r="AU968" i="1"/>
  <c r="AU967" i="1"/>
  <c r="AU966" i="1"/>
  <c r="AU965" i="1"/>
  <c r="AU964" i="1"/>
  <c r="AU963" i="1"/>
  <c r="AU962" i="1"/>
  <c r="AU961" i="1"/>
  <c r="AU960" i="1"/>
  <c r="AU959" i="1"/>
  <c r="AU958" i="1"/>
  <c r="AU957" i="1"/>
  <c r="AU956" i="1"/>
  <c r="AU955" i="1"/>
  <c r="AU954" i="1"/>
  <c r="AU953" i="1"/>
  <c r="AU952" i="1"/>
  <c r="AU951" i="1"/>
  <c r="AU950" i="1"/>
  <c r="AU949" i="1"/>
  <c r="AU948" i="1"/>
  <c r="AU947" i="1"/>
  <c r="AU946" i="1"/>
  <c r="AU945" i="1"/>
  <c r="AU944" i="1"/>
  <c r="AU943" i="1"/>
  <c r="AU942" i="1"/>
  <c r="AU941" i="1"/>
  <c r="AU940" i="1"/>
  <c r="AU939" i="1"/>
  <c r="AU938" i="1"/>
  <c r="AU937" i="1"/>
  <c r="AU936" i="1"/>
  <c r="AU935" i="1"/>
  <c r="AU934" i="1"/>
  <c r="AU933" i="1"/>
  <c r="AU932" i="1"/>
  <c r="AU931" i="1"/>
  <c r="AU930" i="1"/>
  <c r="AU929" i="1"/>
  <c r="AU928" i="1"/>
  <c r="AU927" i="1"/>
  <c r="AU926" i="1"/>
  <c r="AU925" i="1"/>
  <c r="AU924" i="1"/>
  <c r="AU923" i="1"/>
  <c r="AU922" i="1"/>
  <c r="AU921" i="1"/>
  <c r="AU920" i="1"/>
  <c r="AU919" i="1"/>
  <c r="AU918" i="1"/>
  <c r="AU917" i="1"/>
  <c r="AU916" i="1"/>
  <c r="AU915" i="1"/>
  <c r="AU914" i="1"/>
  <c r="AU913" i="1"/>
  <c r="AU912" i="1"/>
  <c r="AU911" i="1"/>
  <c r="AU910" i="1"/>
  <c r="AU909" i="1"/>
  <c r="AU908" i="1"/>
  <c r="AU907" i="1"/>
  <c r="AU906" i="1"/>
  <c r="AU905" i="1"/>
  <c r="AU904" i="1"/>
  <c r="AU903" i="1"/>
  <c r="AU902" i="1"/>
  <c r="AU901" i="1"/>
  <c r="AU900" i="1"/>
  <c r="AU899" i="1"/>
  <c r="AU898" i="1"/>
  <c r="AU897" i="1"/>
  <c r="AU896" i="1"/>
  <c r="AU895" i="1"/>
  <c r="AU894" i="1"/>
  <c r="AU893" i="1"/>
  <c r="AU892" i="1"/>
  <c r="AU891" i="1"/>
  <c r="AU890" i="1"/>
  <c r="AU889" i="1"/>
  <c r="AU888" i="1"/>
  <c r="AU887" i="1"/>
  <c r="AU886" i="1"/>
  <c r="AU885" i="1"/>
  <c r="AU884" i="1"/>
  <c r="AU883" i="1"/>
  <c r="AU882" i="1"/>
  <c r="AU881" i="1"/>
  <c r="AU880" i="1"/>
  <c r="AU879" i="1"/>
  <c r="AU878" i="1"/>
  <c r="AU877" i="1"/>
  <c r="AU876" i="1"/>
  <c r="AU875" i="1"/>
  <c r="AU874" i="1"/>
  <c r="AU873" i="1"/>
  <c r="AU872" i="1"/>
  <c r="AU871" i="1"/>
  <c r="AU870" i="1"/>
  <c r="AU869" i="1"/>
  <c r="AU868" i="1"/>
  <c r="AU867" i="1"/>
  <c r="AU866" i="1"/>
  <c r="AU865" i="1"/>
  <c r="AU864" i="1"/>
  <c r="AU863" i="1"/>
  <c r="AU862" i="1"/>
  <c r="AU861" i="1"/>
  <c r="AU860" i="1"/>
  <c r="AU859" i="1"/>
  <c r="AU858" i="1"/>
  <c r="AU857" i="1"/>
  <c r="AU856" i="1"/>
  <c r="AU855" i="1"/>
  <c r="AU854" i="1"/>
  <c r="AU853" i="1"/>
  <c r="AU852" i="1"/>
  <c r="AU851" i="1"/>
  <c r="AU850" i="1"/>
  <c r="AU849" i="1"/>
  <c r="AU848" i="1"/>
  <c r="AU847" i="1"/>
  <c r="AU846" i="1"/>
  <c r="AU845" i="1"/>
  <c r="AU844" i="1"/>
  <c r="AU843" i="1"/>
  <c r="AU842" i="1"/>
  <c r="AU841" i="1"/>
  <c r="AU840" i="1"/>
  <c r="AU839" i="1"/>
  <c r="AU838" i="1"/>
  <c r="AU837" i="1"/>
  <c r="AU836" i="1"/>
  <c r="AU835" i="1"/>
  <c r="AU834" i="1"/>
  <c r="AU833" i="1"/>
  <c r="AU832" i="1"/>
  <c r="AU831" i="1"/>
  <c r="AU830" i="1"/>
  <c r="AU829" i="1"/>
  <c r="AU828" i="1"/>
  <c r="AU827" i="1"/>
  <c r="AU826" i="1"/>
  <c r="AU825" i="1"/>
  <c r="AU824" i="1"/>
  <c r="AU823" i="1"/>
  <c r="AU822" i="1"/>
  <c r="AU821" i="1"/>
  <c r="AU820" i="1"/>
  <c r="AU819" i="1"/>
  <c r="AU818" i="1"/>
  <c r="AU817" i="1"/>
  <c r="AU816" i="1"/>
  <c r="AU815" i="1"/>
  <c r="AU814" i="1"/>
  <c r="AU813" i="1"/>
  <c r="AU812" i="1"/>
  <c r="AU811" i="1"/>
  <c r="AU810" i="1"/>
  <c r="AU809" i="1"/>
  <c r="AU808" i="1"/>
  <c r="AU807" i="1"/>
  <c r="AU806" i="1"/>
  <c r="AU805" i="1"/>
  <c r="AU804" i="1"/>
  <c r="AU803" i="1"/>
  <c r="AU802" i="1"/>
  <c r="AU801" i="1"/>
  <c r="AU800" i="1"/>
  <c r="AU799" i="1"/>
  <c r="AU798" i="1"/>
  <c r="AU797" i="1"/>
  <c r="AU796" i="1"/>
  <c r="AU795" i="1"/>
  <c r="AU794" i="1"/>
  <c r="AU793" i="1"/>
  <c r="AU792" i="1"/>
  <c r="AU791" i="1"/>
  <c r="AU790" i="1"/>
  <c r="AU789" i="1"/>
  <c r="AU788" i="1"/>
  <c r="AU787" i="1"/>
  <c r="AU786" i="1"/>
  <c r="AU785" i="1"/>
  <c r="AU784" i="1"/>
  <c r="AU783" i="1"/>
  <c r="AU782" i="1"/>
  <c r="AU781" i="1"/>
  <c r="AU780" i="1"/>
  <c r="AU779" i="1"/>
  <c r="AU778" i="1"/>
  <c r="AU777" i="1"/>
  <c r="AU776" i="1"/>
  <c r="AU775" i="1"/>
  <c r="AU774" i="1"/>
  <c r="AU773" i="1"/>
  <c r="AU772" i="1"/>
  <c r="AU771" i="1"/>
  <c r="AU770" i="1"/>
  <c r="AU769" i="1"/>
  <c r="AU768" i="1"/>
  <c r="AU767" i="1"/>
  <c r="AU766" i="1"/>
  <c r="AU765" i="1"/>
  <c r="AU764" i="1"/>
  <c r="AU763" i="1"/>
  <c r="AU762" i="1"/>
  <c r="AU761" i="1"/>
  <c r="AU760" i="1"/>
  <c r="AU759" i="1"/>
  <c r="AU758" i="1"/>
  <c r="AU757" i="1"/>
  <c r="AU756" i="1"/>
  <c r="AU755" i="1"/>
  <c r="AU754" i="1"/>
  <c r="AU753" i="1"/>
  <c r="AU752" i="1"/>
  <c r="AU751" i="1"/>
  <c r="AU750" i="1"/>
  <c r="AU749" i="1"/>
  <c r="AU748" i="1"/>
  <c r="AU747" i="1"/>
  <c r="AU746" i="1"/>
  <c r="AU745" i="1"/>
  <c r="AU744" i="1"/>
  <c r="AU743" i="1"/>
  <c r="AU742" i="1"/>
  <c r="AU741" i="1"/>
  <c r="AU740" i="1"/>
  <c r="AU739" i="1"/>
  <c r="AU738" i="1"/>
  <c r="AU737" i="1"/>
  <c r="AU736" i="1"/>
  <c r="AU735" i="1"/>
  <c r="AU734" i="1"/>
  <c r="AU733" i="1"/>
  <c r="AU732" i="1"/>
  <c r="AU731" i="1"/>
  <c r="AU730" i="1"/>
  <c r="AU729" i="1"/>
  <c r="AU728" i="1"/>
  <c r="AU727" i="1"/>
  <c r="AU726" i="1"/>
  <c r="AU725" i="1"/>
  <c r="AU724" i="1"/>
  <c r="AU723" i="1"/>
  <c r="AU722" i="1"/>
  <c r="AU721" i="1"/>
  <c r="AU720" i="1"/>
  <c r="AU719" i="1"/>
  <c r="AU718" i="1"/>
  <c r="AU717" i="1"/>
  <c r="AU716" i="1"/>
  <c r="AU715" i="1"/>
  <c r="AU714" i="1"/>
  <c r="AU713" i="1"/>
  <c r="AU712" i="1"/>
  <c r="AU711" i="1"/>
  <c r="AU710" i="1"/>
  <c r="AU709" i="1"/>
  <c r="AU708" i="1"/>
  <c r="AU707" i="1"/>
  <c r="AU706" i="1"/>
  <c r="AU705" i="1"/>
  <c r="AU704" i="1"/>
  <c r="AU703" i="1"/>
  <c r="AU702" i="1"/>
  <c r="AU701" i="1"/>
  <c r="AU700" i="1"/>
  <c r="AU699" i="1"/>
  <c r="AU698" i="1"/>
  <c r="AU697" i="1"/>
  <c r="AU696" i="1"/>
  <c r="AU695" i="1"/>
  <c r="AU694" i="1"/>
  <c r="AU693" i="1"/>
  <c r="AU692" i="1"/>
  <c r="AU691" i="1"/>
  <c r="AU690" i="1"/>
  <c r="AU689" i="1"/>
  <c r="AU688" i="1"/>
  <c r="AU687" i="1"/>
  <c r="AU686" i="1"/>
  <c r="AU685" i="1"/>
  <c r="AU684" i="1"/>
  <c r="AU683" i="1"/>
  <c r="AU682" i="1"/>
  <c r="AU681" i="1"/>
  <c r="AU680" i="1"/>
  <c r="AU679" i="1"/>
  <c r="AU678" i="1"/>
  <c r="AU677" i="1"/>
  <c r="AU676" i="1"/>
  <c r="AU675" i="1"/>
  <c r="AU674" i="1"/>
  <c r="AU673" i="1"/>
  <c r="AU672" i="1"/>
  <c r="AU671" i="1"/>
  <c r="AU670" i="1"/>
  <c r="AU669" i="1"/>
  <c r="AU668" i="1"/>
  <c r="AU667" i="1"/>
  <c r="AU666" i="1"/>
  <c r="AU665" i="1"/>
  <c r="AU664" i="1"/>
  <c r="AU663" i="1"/>
  <c r="AU662" i="1"/>
  <c r="AU661" i="1"/>
  <c r="AU660" i="1"/>
  <c r="AU659" i="1"/>
  <c r="AU658" i="1"/>
  <c r="AU657" i="1"/>
  <c r="AU656" i="1"/>
  <c r="AU655" i="1"/>
  <c r="AU654" i="1"/>
  <c r="AU653" i="1"/>
  <c r="AU652" i="1"/>
  <c r="AU651" i="1"/>
  <c r="AU650" i="1"/>
  <c r="AU649" i="1"/>
  <c r="AU648" i="1"/>
  <c r="AU647" i="1"/>
  <c r="AU646" i="1"/>
  <c r="AU645" i="1"/>
  <c r="AU644" i="1"/>
  <c r="AU643" i="1"/>
  <c r="AU642" i="1"/>
  <c r="AU641" i="1"/>
  <c r="AU640" i="1"/>
  <c r="AU639" i="1"/>
  <c r="AU638" i="1"/>
  <c r="AU637" i="1"/>
  <c r="AU636" i="1"/>
  <c r="AU635" i="1"/>
  <c r="AU634" i="1"/>
  <c r="AU633" i="1"/>
  <c r="AU632" i="1"/>
  <c r="AU631" i="1"/>
  <c r="AU630" i="1"/>
  <c r="AU629" i="1"/>
  <c r="AU628" i="1"/>
  <c r="AU627" i="1"/>
  <c r="AU626" i="1"/>
  <c r="AU625" i="1"/>
  <c r="AU624" i="1"/>
  <c r="AU623" i="1"/>
  <c r="AU622" i="1"/>
  <c r="AU621" i="1"/>
  <c r="AU620" i="1"/>
  <c r="AU619" i="1"/>
  <c r="AU618" i="1"/>
  <c r="AU617" i="1"/>
  <c r="AU616" i="1"/>
  <c r="AU615" i="1"/>
  <c r="AU614" i="1"/>
  <c r="AU613" i="1"/>
  <c r="AU612" i="1"/>
  <c r="AU611" i="1"/>
  <c r="AU610" i="1"/>
  <c r="AU609" i="1"/>
  <c r="AU608" i="1"/>
  <c r="AU607" i="1"/>
  <c r="AU606" i="1"/>
  <c r="AU605" i="1"/>
  <c r="AU604" i="1"/>
  <c r="AU603" i="1"/>
  <c r="AU602" i="1"/>
  <c r="AU601" i="1"/>
  <c r="AU600" i="1"/>
  <c r="AU599" i="1"/>
  <c r="AU598" i="1"/>
  <c r="AU597" i="1"/>
  <c r="AU596" i="1"/>
  <c r="AU595" i="1"/>
  <c r="AU594" i="1"/>
  <c r="AU593" i="1"/>
  <c r="AU592" i="1"/>
  <c r="AU591" i="1"/>
  <c r="AU590" i="1"/>
  <c r="AU589" i="1"/>
  <c r="AU588" i="1"/>
  <c r="AU587" i="1"/>
  <c r="AU586" i="1"/>
  <c r="AU585" i="1"/>
  <c r="AU584" i="1"/>
  <c r="AU583" i="1"/>
  <c r="AU582" i="1"/>
  <c r="AU581" i="1"/>
  <c r="AU580" i="1"/>
  <c r="AU579" i="1"/>
  <c r="AU578" i="1"/>
  <c r="AU577" i="1"/>
  <c r="AU576" i="1"/>
  <c r="AU575" i="1"/>
  <c r="AU574" i="1"/>
  <c r="AU573" i="1"/>
  <c r="AU572" i="1"/>
  <c r="AU571" i="1"/>
  <c r="AU570" i="1"/>
  <c r="AU569" i="1"/>
  <c r="AU568" i="1"/>
  <c r="AU567" i="1"/>
  <c r="AU566" i="1"/>
  <c r="AU565" i="1"/>
  <c r="AU564" i="1"/>
  <c r="AU563" i="1"/>
  <c r="AU562" i="1"/>
  <c r="AU561" i="1"/>
  <c r="AU560" i="1"/>
  <c r="AU559" i="1"/>
  <c r="AU558" i="1"/>
  <c r="AU557" i="1"/>
  <c r="AU556" i="1"/>
  <c r="AU555" i="1"/>
  <c r="AU554" i="1"/>
  <c r="AU553" i="1"/>
  <c r="AU552" i="1"/>
  <c r="AU551" i="1"/>
  <c r="AU550" i="1"/>
  <c r="AU549" i="1"/>
  <c r="AU548" i="1"/>
  <c r="AU547" i="1"/>
  <c r="AU546" i="1"/>
  <c r="AU545" i="1"/>
  <c r="AU544" i="1"/>
  <c r="AU543" i="1"/>
  <c r="AU542" i="1"/>
  <c r="AU541" i="1"/>
  <c r="AU540" i="1"/>
  <c r="AU539" i="1"/>
  <c r="AU538" i="1"/>
  <c r="AU537" i="1"/>
  <c r="AU536" i="1"/>
  <c r="AU535" i="1"/>
  <c r="AU534" i="1"/>
  <c r="AU533" i="1"/>
  <c r="AU532" i="1"/>
  <c r="AU531" i="1"/>
  <c r="AU530" i="1"/>
  <c r="AU529" i="1"/>
  <c r="AU528" i="1"/>
  <c r="AU527" i="1"/>
  <c r="AU526" i="1"/>
  <c r="AU525" i="1"/>
  <c r="AU524" i="1"/>
  <c r="AU523" i="1"/>
  <c r="AU522" i="1"/>
  <c r="AU521" i="1"/>
  <c r="AU520" i="1"/>
  <c r="AU519" i="1"/>
  <c r="AU518" i="1"/>
  <c r="AU517" i="1"/>
  <c r="AU516" i="1"/>
  <c r="AU515" i="1"/>
  <c r="AU514" i="1"/>
  <c r="AU513" i="1"/>
  <c r="AU512" i="1"/>
  <c r="AU511" i="1"/>
  <c r="AU510" i="1"/>
  <c r="AU509" i="1"/>
  <c r="AU508" i="1"/>
  <c r="AU507" i="1"/>
  <c r="AU506" i="1"/>
  <c r="AU505" i="1"/>
  <c r="AU504" i="1"/>
  <c r="AU503" i="1"/>
  <c r="AU502" i="1"/>
  <c r="AU501" i="1"/>
  <c r="AU500" i="1"/>
  <c r="AU499" i="1"/>
  <c r="AU498" i="1"/>
  <c r="AU497" i="1"/>
  <c r="AU496" i="1"/>
  <c r="AU495" i="1"/>
  <c r="AU494" i="1"/>
  <c r="AU493" i="1"/>
  <c r="AU492" i="1"/>
  <c r="AU491" i="1"/>
  <c r="AU490" i="1"/>
  <c r="AU489" i="1"/>
  <c r="AU488" i="1"/>
  <c r="AU487" i="1"/>
  <c r="AU486" i="1"/>
  <c r="AU485" i="1"/>
  <c r="AU484" i="1"/>
  <c r="AU483" i="1"/>
  <c r="AU482" i="1"/>
  <c r="AU481" i="1"/>
  <c r="AU480" i="1"/>
  <c r="AU479" i="1"/>
  <c r="AU478" i="1"/>
  <c r="AU477" i="1"/>
  <c r="AU476" i="1"/>
  <c r="AU475" i="1"/>
  <c r="AU474" i="1"/>
  <c r="AU473" i="1"/>
  <c r="AU472" i="1"/>
  <c r="AU471" i="1"/>
  <c r="AU470" i="1"/>
  <c r="AU469" i="1"/>
  <c r="AU468" i="1"/>
  <c r="AU467" i="1"/>
  <c r="AU466" i="1"/>
  <c r="AU465" i="1"/>
  <c r="AU464" i="1"/>
  <c r="AU463" i="1"/>
  <c r="AU462" i="1"/>
  <c r="AU461" i="1"/>
  <c r="AU460" i="1"/>
  <c r="AU459" i="1"/>
  <c r="AU458" i="1"/>
  <c r="AU457" i="1"/>
  <c r="AU456" i="1"/>
  <c r="AU455" i="1"/>
  <c r="AU454" i="1"/>
  <c r="AU453" i="1"/>
  <c r="AU452" i="1"/>
  <c r="AU451" i="1"/>
  <c r="AU450" i="1"/>
  <c r="AU449" i="1"/>
  <c r="AU448" i="1"/>
  <c r="AU447" i="1"/>
  <c r="AU446" i="1"/>
  <c r="AU445" i="1"/>
  <c r="AU444" i="1"/>
  <c r="AU443" i="1"/>
  <c r="AU442" i="1"/>
  <c r="AU441" i="1"/>
  <c r="AU440" i="1"/>
  <c r="AU439" i="1"/>
  <c r="AU438" i="1"/>
  <c r="AU437" i="1"/>
  <c r="AU436" i="1"/>
  <c r="AU435" i="1"/>
  <c r="AU434" i="1"/>
  <c r="AU433" i="1"/>
  <c r="AU432" i="1"/>
  <c r="AU431" i="1"/>
  <c r="AU430" i="1"/>
  <c r="AU429" i="1"/>
  <c r="AU428" i="1"/>
  <c r="AU427" i="1"/>
  <c r="AU426" i="1"/>
  <c r="AU425" i="1"/>
  <c r="AU424" i="1"/>
  <c r="AU423" i="1"/>
  <c r="AU422" i="1"/>
  <c r="AU421" i="1"/>
  <c r="AU420" i="1"/>
  <c r="AU419" i="1"/>
  <c r="AU418" i="1"/>
  <c r="AU417" i="1"/>
  <c r="AU416" i="1"/>
  <c r="AU415" i="1"/>
  <c r="AU414" i="1"/>
  <c r="AU413" i="1"/>
  <c r="AU412" i="1"/>
  <c r="AU411" i="1"/>
  <c r="AU410" i="1"/>
  <c r="AU409" i="1"/>
  <c r="AU408" i="1"/>
  <c r="AU407" i="1"/>
  <c r="AU406" i="1"/>
  <c r="AU405" i="1"/>
  <c r="AU404" i="1"/>
  <c r="AU403" i="1"/>
  <c r="AU402" i="1"/>
  <c r="AU401" i="1"/>
  <c r="AU400" i="1"/>
  <c r="AU399" i="1"/>
  <c r="AU398" i="1"/>
  <c r="AU397" i="1"/>
  <c r="AU396" i="1"/>
  <c r="AU395" i="1"/>
  <c r="AU394" i="1"/>
  <c r="AU393" i="1"/>
  <c r="AU392" i="1"/>
  <c r="AU391" i="1"/>
  <c r="AU390" i="1"/>
  <c r="AU389" i="1"/>
  <c r="AU388" i="1"/>
  <c r="AU387" i="1"/>
  <c r="AU386" i="1"/>
  <c r="AU385" i="1"/>
  <c r="AU384" i="1"/>
  <c r="AU383" i="1"/>
  <c r="AU382" i="1"/>
  <c r="AU381" i="1"/>
  <c r="AU380" i="1"/>
  <c r="AU379" i="1"/>
  <c r="AU378" i="1"/>
  <c r="AU377" i="1"/>
  <c r="AU376" i="1"/>
  <c r="AU375" i="1"/>
  <c r="AU374" i="1"/>
  <c r="AU373" i="1"/>
  <c r="AU372" i="1"/>
  <c r="AU371" i="1"/>
  <c r="AU370" i="1"/>
  <c r="AU369" i="1"/>
  <c r="AU368" i="1"/>
  <c r="AU367" i="1"/>
  <c r="AU366" i="1"/>
  <c r="AU365" i="1"/>
  <c r="AU364" i="1"/>
  <c r="AU363" i="1"/>
  <c r="AU362" i="1"/>
  <c r="AU361" i="1"/>
  <c r="AU360" i="1"/>
  <c r="AU359" i="1"/>
  <c r="AU358" i="1"/>
  <c r="AU357" i="1"/>
  <c r="AU356" i="1"/>
  <c r="AU355" i="1"/>
  <c r="AU354" i="1"/>
  <c r="AU353" i="1"/>
  <c r="AU352" i="1"/>
  <c r="AU351" i="1"/>
  <c r="AU350" i="1"/>
  <c r="AU349" i="1"/>
  <c r="AU348" i="1"/>
  <c r="AU347" i="1"/>
  <c r="AU346" i="1"/>
  <c r="AU345" i="1"/>
  <c r="AU344" i="1"/>
  <c r="AU343" i="1"/>
  <c r="AU342" i="1"/>
  <c r="AU341" i="1"/>
  <c r="AU340" i="1"/>
  <c r="AU339" i="1"/>
  <c r="AU338" i="1"/>
  <c r="AU337" i="1"/>
  <c r="AU336" i="1"/>
  <c r="AU335" i="1"/>
  <c r="AU334" i="1"/>
  <c r="AU333" i="1"/>
  <c r="AU332" i="1"/>
  <c r="AU331" i="1"/>
  <c r="AU330" i="1"/>
  <c r="AU329" i="1"/>
  <c r="AU328" i="1"/>
  <c r="AU327" i="1"/>
  <c r="AU326" i="1"/>
  <c r="AU325" i="1"/>
  <c r="AU324" i="1"/>
  <c r="AU323" i="1"/>
  <c r="AU322" i="1"/>
  <c r="AU321" i="1"/>
  <c r="AU320" i="1"/>
  <c r="AU319" i="1"/>
  <c r="AU318" i="1"/>
  <c r="AU317" i="1"/>
  <c r="AU316" i="1"/>
  <c r="AU315" i="1"/>
  <c r="AU314" i="1"/>
  <c r="AU313" i="1"/>
  <c r="AU312" i="1"/>
  <c r="AU311" i="1"/>
  <c r="AU310" i="1"/>
  <c r="AU309" i="1"/>
  <c r="AU308" i="1"/>
  <c r="AU307" i="1"/>
  <c r="AU306" i="1"/>
  <c r="AU305" i="1"/>
  <c r="AU304" i="1"/>
  <c r="AU303" i="1"/>
  <c r="AU302" i="1"/>
  <c r="AU301" i="1"/>
  <c r="AU300" i="1"/>
  <c r="AU299" i="1"/>
  <c r="AU298" i="1"/>
  <c r="AU297" i="1"/>
  <c r="AU296" i="1"/>
  <c r="AU295" i="1"/>
  <c r="AU294" i="1"/>
  <c r="AU293" i="1"/>
  <c r="AU292" i="1"/>
  <c r="AU291" i="1"/>
  <c r="AU290" i="1"/>
  <c r="AU289" i="1"/>
  <c r="AU288" i="1"/>
  <c r="AU287" i="1"/>
  <c r="AU286" i="1"/>
  <c r="AU285" i="1"/>
  <c r="AU284" i="1"/>
  <c r="AU283" i="1"/>
  <c r="AU282" i="1"/>
  <c r="AU281" i="1"/>
  <c r="AU280" i="1"/>
  <c r="AU279" i="1"/>
  <c r="AU278" i="1"/>
  <c r="AU277" i="1"/>
  <c r="AU276" i="1"/>
  <c r="AU275" i="1"/>
  <c r="AU274" i="1"/>
  <c r="AU273" i="1"/>
  <c r="AU272" i="1"/>
  <c r="AU271" i="1"/>
  <c r="AU270" i="1"/>
  <c r="AU269" i="1"/>
  <c r="AU268" i="1"/>
  <c r="AU267" i="1"/>
  <c r="AU266" i="1"/>
  <c r="AU265" i="1"/>
  <c r="AU264" i="1"/>
  <c r="AU263" i="1"/>
  <c r="AU262" i="1"/>
  <c r="AU261" i="1"/>
  <c r="AU260" i="1"/>
  <c r="AU259" i="1"/>
  <c r="AU258" i="1"/>
  <c r="AU257" i="1"/>
  <c r="AU256" i="1"/>
  <c r="AU255" i="1"/>
  <c r="AU254" i="1"/>
  <c r="AU253" i="1"/>
  <c r="AU252" i="1"/>
  <c r="AU251" i="1"/>
  <c r="AU250" i="1"/>
  <c r="AU249" i="1"/>
  <c r="AU248" i="1"/>
  <c r="AU247" i="1"/>
  <c r="AU246" i="1"/>
  <c r="AU245" i="1"/>
  <c r="AU244" i="1"/>
  <c r="AU243" i="1"/>
  <c r="AU242" i="1"/>
  <c r="AU241" i="1"/>
  <c r="AU240" i="1"/>
  <c r="AU239" i="1"/>
  <c r="AU238" i="1"/>
  <c r="AU237" i="1"/>
  <c r="AU236" i="1"/>
  <c r="AU235" i="1"/>
  <c r="AU234" i="1"/>
  <c r="AU233" i="1"/>
  <c r="AU232" i="1"/>
  <c r="AU231" i="1"/>
  <c r="AU230" i="1"/>
  <c r="AU229" i="1"/>
  <c r="AU228" i="1"/>
  <c r="AU227" i="1"/>
  <c r="AU226" i="1"/>
  <c r="AU225" i="1"/>
  <c r="AU224" i="1"/>
  <c r="AU223" i="1"/>
  <c r="AU222" i="1"/>
  <c r="AU221" i="1"/>
  <c r="AU220" i="1"/>
  <c r="AU219" i="1"/>
  <c r="AU218" i="1"/>
  <c r="AU217" i="1"/>
  <c r="AU216" i="1"/>
  <c r="AU215" i="1"/>
  <c r="AU214" i="1"/>
  <c r="AU213" i="1"/>
  <c r="AU212" i="1"/>
  <c r="AU211" i="1"/>
  <c r="AU210" i="1"/>
  <c r="AU209" i="1"/>
  <c r="AU208" i="1"/>
  <c r="AU207" i="1"/>
  <c r="AU206" i="1"/>
  <c r="AU205" i="1"/>
  <c r="AU204" i="1"/>
  <c r="AU203" i="1"/>
  <c r="AU202" i="1"/>
  <c r="AU201" i="1"/>
  <c r="AU200" i="1"/>
  <c r="AU199" i="1"/>
  <c r="AU198" i="1"/>
  <c r="AU197" i="1"/>
  <c r="AU196" i="1"/>
  <c r="AU195" i="1"/>
  <c r="AU194" i="1"/>
  <c r="AU193" i="1"/>
  <c r="AU192" i="1"/>
  <c r="AU191" i="1"/>
  <c r="AU190" i="1"/>
  <c r="AU189" i="1"/>
  <c r="AU188" i="1"/>
  <c r="AU187" i="1"/>
  <c r="AU186" i="1"/>
  <c r="AU185" i="1"/>
  <c r="AU184" i="1"/>
  <c r="AU183" i="1"/>
  <c r="AU182" i="1"/>
  <c r="AU181" i="1"/>
  <c r="AU180" i="1"/>
  <c r="AU179" i="1"/>
  <c r="AU178" i="1"/>
  <c r="AU177" i="1"/>
  <c r="AU176" i="1"/>
  <c r="AU175" i="1"/>
  <c r="AU174" i="1"/>
  <c r="AU173" i="1"/>
  <c r="AU172" i="1"/>
  <c r="AU171" i="1"/>
  <c r="AU170" i="1"/>
  <c r="AU169" i="1"/>
  <c r="AU168" i="1"/>
  <c r="AU167" i="1"/>
  <c r="AU166" i="1"/>
  <c r="AU165" i="1"/>
  <c r="AU164" i="1"/>
  <c r="AU163" i="1"/>
  <c r="AU162" i="1"/>
  <c r="AU161" i="1"/>
  <c r="AU160" i="1"/>
  <c r="AU159" i="1"/>
  <c r="AU158" i="1"/>
  <c r="AU157" i="1"/>
  <c r="AU156" i="1"/>
  <c r="AU155" i="1"/>
  <c r="AU154" i="1"/>
  <c r="AU153" i="1"/>
  <c r="AU152" i="1"/>
  <c r="AU151" i="1"/>
  <c r="AU150" i="1"/>
  <c r="AU149" i="1"/>
  <c r="AU148" i="1"/>
  <c r="AU147" i="1"/>
  <c r="AU146" i="1"/>
  <c r="AU145" i="1"/>
  <c r="AU144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R1011" i="1"/>
  <c r="AR1010" i="1"/>
  <c r="AR1009" i="1"/>
  <c r="AR1008" i="1"/>
  <c r="AR1007" i="1"/>
  <c r="AR1006" i="1"/>
  <c r="AR1005" i="1"/>
  <c r="AR1004" i="1"/>
  <c r="AR1003" i="1"/>
  <c r="AR1002" i="1"/>
  <c r="AR1001" i="1"/>
  <c r="AR1000" i="1"/>
  <c r="AR999" i="1"/>
  <c r="AR998" i="1"/>
  <c r="AR997" i="1"/>
  <c r="AR996" i="1"/>
  <c r="AR995" i="1"/>
  <c r="AR994" i="1"/>
  <c r="AR993" i="1"/>
  <c r="AR992" i="1"/>
  <c r="AR991" i="1"/>
  <c r="AR990" i="1"/>
  <c r="AR989" i="1"/>
  <c r="AR988" i="1"/>
  <c r="AR987" i="1"/>
  <c r="AR986" i="1"/>
  <c r="AR985" i="1"/>
  <c r="AR984" i="1"/>
  <c r="AR983" i="1"/>
  <c r="AR982" i="1"/>
  <c r="AR981" i="1"/>
  <c r="AR980" i="1"/>
  <c r="AR979" i="1"/>
  <c r="AR978" i="1"/>
  <c r="AR977" i="1"/>
  <c r="AR976" i="1"/>
  <c r="AR975" i="1"/>
  <c r="AR974" i="1"/>
  <c r="AR973" i="1"/>
  <c r="AR972" i="1"/>
  <c r="AR971" i="1"/>
  <c r="AR970" i="1"/>
  <c r="AR969" i="1"/>
  <c r="AR968" i="1"/>
  <c r="AR967" i="1"/>
  <c r="AR966" i="1"/>
  <c r="AR965" i="1"/>
  <c r="AR964" i="1"/>
  <c r="AR963" i="1"/>
  <c r="AR962" i="1"/>
  <c r="AR961" i="1"/>
  <c r="AR960" i="1"/>
  <c r="AR959" i="1"/>
  <c r="AR958" i="1"/>
  <c r="AR957" i="1"/>
  <c r="AR956" i="1"/>
  <c r="AR955" i="1"/>
  <c r="AR954" i="1"/>
  <c r="AR953" i="1"/>
  <c r="AR952" i="1"/>
  <c r="AR951" i="1"/>
  <c r="AR950" i="1"/>
  <c r="AR949" i="1"/>
  <c r="AR948" i="1"/>
  <c r="AR947" i="1"/>
  <c r="AR946" i="1"/>
  <c r="AR945" i="1"/>
  <c r="AR944" i="1"/>
  <c r="AR943" i="1"/>
  <c r="AR942" i="1"/>
  <c r="AR941" i="1"/>
  <c r="AR940" i="1"/>
  <c r="AR939" i="1"/>
  <c r="AR938" i="1"/>
  <c r="AR937" i="1"/>
  <c r="AR936" i="1"/>
  <c r="AR935" i="1"/>
  <c r="AR934" i="1"/>
  <c r="AR933" i="1"/>
  <c r="AR932" i="1"/>
  <c r="AR931" i="1"/>
  <c r="AR930" i="1"/>
  <c r="AR929" i="1"/>
  <c r="AR928" i="1"/>
  <c r="AR927" i="1"/>
  <c r="AR926" i="1"/>
  <c r="AR925" i="1"/>
  <c r="AR924" i="1"/>
  <c r="AR923" i="1"/>
  <c r="AR922" i="1"/>
  <c r="AR921" i="1"/>
  <c r="AR920" i="1"/>
  <c r="AR919" i="1"/>
  <c r="AR918" i="1"/>
  <c r="AR917" i="1"/>
  <c r="AR916" i="1"/>
  <c r="AR915" i="1"/>
  <c r="AR914" i="1"/>
  <c r="AR913" i="1"/>
  <c r="AR912" i="1"/>
  <c r="AR911" i="1"/>
  <c r="AR910" i="1"/>
  <c r="AR909" i="1"/>
  <c r="AR908" i="1"/>
  <c r="AR907" i="1"/>
  <c r="AR906" i="1"/>
  <c r="AR905" i="1"/>
  <c r="AR904" i="1"/>
  <c r="AR903" i="1"/>
  <c r="AR902" i="1"/>
  <c r="AR901" i="1"/>
  <c r="AR900" i="1"/>
  <c r="AR899" i="1"/>
  <c r="AR898" i="1"/>
  <c r="AR897" i="1"/>
  <c r="AR896" i="1"/>
  <c r="AR895" i="1"/>
  <c r="AR894" i="1"/>
  <c r="AR893" i="1"/>
  <c r="AR892" i="1"/>
  <c r="AR891" i="1"/>
  <c r="AR890" i="1"/>
  <c r="AR889" i="1"/>
  <c r="AR888" i="1"/>
  <c r="AR887" i="1"/>
  <c r="AR886" i="1"/>
  <c r="AR885" i="1"/>
  <c r="AR884" i="1"/>
  <c r="AR883" i="1"/>
  <c r="AR882" i="1"/>
  <c r="AR881" i="1"/>
  <c r="AR880" i="1"/>
  <c r="AR879" i="1"/>
  <c r="AR878" i="1"/>
  <c r="AR877" i="1"/>
  <c r="AR876" i="1"/>
  <c r="AR875" i="1"/>
  <c r="AR874" i="1"/>
  <c r="AR873" i="1"/>
  <c r="AR872" i="1"/>
  <c r="AR871" i="1"/>
  <c r="AR870" i="1"/>
  <c r="AR869" i="1"/>
  <c r="AR868" i="1"/>
  <c r="AR867" i="1"/>
  <c r="AR866" i="1"/>
  <c r="AR865" i="1"/>
  <c r="AR864" i="1"/>
  <c r="AR863" i="1"/>
  <c r="AR862" i="1"/>
  <c r="AR861" i="1"/>
  <c r="AR860" i="1"/>
  <c r="AR859" i="1"/>
  <c r="AR858" i="1"/>
  <c r="AR857" i="1"/>
  <c r="AR856" i="1"/>
  <c r="AR855" i="1"/>
  <c r="AR854" i="1"/>
  <c r="AR853" i="1"/>
  <c r="AR852" i="1"/>
  <c r="AR851" i="1"/>
  <c r="AR850" i="1"/>
  <c r="AR849" i="1"/>
  <c r="AR848" i="1"/>
  <c r="AR847" i="1"/>
  <c r="AR846" i="1"/>
  <c r="AR845" i="1"/>
  <c r="AR844" i="1"/>
  <c r="AR843" i="1"/>
  <c r="AR842" i="1"/>
  <c r="AR841" i="1"/>
  <c r="AR840" i="1"/>
  <c r="AR839" i="1"/>
  <c r="AR838" i="1"/>
  <c r="AR837" i="1"/>
  <c r="AR836" i="1"/>
  <c r="AR835" i="1"/>
  <c r="AR834" i="1"/>
  <c r="AR833" i="1"/>
  <c r="AR832" i="1"/>
  <c r="AR831" i="1"/>
  <c r="AR830" i="1"/>
  <c r="AR829" i="1"/>
  <c r="AR828" i="1"/>
  <c r="AR827" i="1"/>
  <c r="AR826" i="1"/>
  <c r="AR825" i="1"/>
  <c r="AR824" i="1"/>
  <c r="AR823" i="1"/>
  <c r="AR822" i="1"/>
  <c r="AR821" i="1"/>
  <c r="AR820" i="1"/>
  <c r="AR819" i="1"/>
  <c r="AR818" i="1"/>
  <c r="AR817" i="1"/>
  <c r="AR816" i="1"/>
  <c r="AR815" i="1"/>
  <c r="AR814" i="1"/>
  <c r="AR813" i="1"/>
  <c r="AR812" i="1"/>
  <c r="AR811" i="1"/>
  <c r="AR810" i="1"/>
  <c r="AR809" i="1"/>
  <c r="AR808" i="1"/>
  <c r="AR807" i="1"/>
  <c r="AR806" i="1"/>
  <c r="AR805" i="1"/>
  <c r="AR804" i="1"/>
  <c r="AR803" i="1"/>
  <c r="AR802" i="1"/>
  <c r="AR801" i="1"/>
  <c r="AR800" i="1"/>
  <c r="AR799" i="1"/>
  <c r="AR798" i="1"/>
  <c r="AR797" i="1"/>
  <c r="AR796" i="1"/>
  <c r="AR795" i="1"/>
  <c r="AR794" i="1"/>
  <c r="AR793" i="1"/>
  <c r="AR792" i="1"/>
  <c r="AR791" i="1"/>
  <c r="AR790" i="1"/>
  <c r="AR789" i="1"/>
  <c r="AR788" i="1"/>
  <c r="AR787" i="1"/>
  <c r="AR786" i="1"/>
  <c r="AR785" i="1"/>
  <c r="AR784" i="1"/>
  <c r="AR783" i="1"/>
  <c r="AR782" i="1"/>
  <c r="AR781" i="1"/>
  <c r="AR780" i="1"/>
  <c r="AR779" i="1"/>
  <c r="AR778" i="1"/>
  <c r="AR777" i="1"/>
  <c r="AR776" i="1"/>
  <c r="AR775" i="1"/>
  <c r="AR774" i="1"/>
  <c r="AR773" i="1"/>
  <c r="AR772" i="1"/>
  <c r="AR771" i="1"/>
  <c r="AR770" i="1"/>
  <c r="AR769" i="1"/>
  <c r="AR768" i="1"/>
  <c r="AR767" i="1"/>
  <c r="AR766" i="1"/>
  <c r="AR765" i="1"/>
  <c r="AR764" i="1"/>
  <c r="AR763" i="1"/>
  <c r="AR762" i="1"/>
  <c r="AR761" i="1"/>
  <c r="AR760" i="1"/>
  <c r="AR759" i="1"/>
  <c r="AR758" i="1"/>
  <c r="AR757" i="1"/>
  <c r="AR756" i="1"/>
  <c r="AR755" i="1"/>
  <c r="AR754" i="1"/>
  <c r="AR753" i="1"/>
  <c r="AR752" i="1"/>
  <c r="AR751" i="1"/>
  <c r="AR750" i="1"/>
  <c r="AR749" i="1"/>
  <c r="AR748" i="1"/>
  <c r="AR747" i="1"/>
  <c r="AR746" i="1"/>
  <c r="AR745" i="1"/>
  <c r="AR744" i="1"/>
  <c r="AR743" i="1"/>
  <c r="AR742" i="1"/>
  <c r="AR741" i="1"/>
  <c r="AR740" i="1"/>
  <c r="AR739" i="1"/>
  <c r="AR738" i="1"/>
  <c r="AR737" i="1"/>
  <c r="AR736" i="1"/>
  <c r="AR735" i="1"/>
  <c r="AR734" i="1"/>
  <c r="AR733" i="1"/>
  <c r="AR732" i="1"/>
  <c r="AR731" i="1"/>
  <c r="AR730" i="1"/>
  <c r="AR729" i="1"/>
  <c r="AR728" i="1"/>
  <c r="AR727" i="1"/>
  <c r="AR726" i="1"/>
  <c r="AR725" i="1"/>
  <c r="AR724" i="1"/>
  <c r="AR723" i="1"/>
  <c r="AR722" i="1"/>
  <c r="AR721" i="1"/>
  <c r="AR720" i="1"/>
  <c r="AR719" i="1"/>
  <c r="AR718" i="1"/>
  <c r="AR717" i="1"/>
  <c r="AR716" i="1"/>
  <c r="AR715" i="1"/>
  <c r="AR714" i="1"/>
  <c r="AR713" i="1"/>
  <c r="AR712" i="1"/>
  <c r="AR711" i="1"/>
  <c r="AR710" i="1"/>
  <c r="AR709" i="1"/>
  <c r="AR708" i="1"/>
  <c r="AR707" i="1"/>
  <c r="AR706" i="1"/>
  <c r="AR705" i="1"/>
  <c r="AR704" i="1"/>
  <c r="AR703" i="1"/>
  <c r="AR702" i="1"/>
  <c r="AR701" i="1"/>
  <c r="AR700" i="1"/>
  <c r="AR699" i="1"/>
  <c r="AR698" i="1"/>
  <c r="AR697" i="1"/>
  <c r="AR696" i="1"/>
  <c r="AR695" i="1"/>
  <c r="AR694" i="1"/>
  <c r="AR693" i="1"/>
  <c r="AR692" i="1"/>
  <c r="AR691" i="1"/>
  <c r="AR690" i="1"/>
  <c r="AR689" i="1"/>
  <c r="AR688" i="1"/>
  <c r="AR687" i="1"/>
  <c r="AR686" i="1"/>
  <c r="AR685" i="1"/>
  <c r="AR684" i="1"/>
  <c r="AR683" i="1"/>
  <c r="AR682" i="1"/>
  <c r="AR681" i="1"/>
  <c r="AR680" i="1"/>
  <c r="AR679" i="1"/>
  <c r="AR678" i="1"/>
  <c r="AR677" i="1"/>
  <c r="AR676" i="1"/>
  <c r="AR675" i="1"/>
  <c r="AR674" i="1"/>
  <c r="AR673" i="1"/>
  <c r="AR672" i="1"/>
  <c r="AR671" i="1"/>
  <c r="AR670" i="1"/>
  <c r="AR669" i="1"/>
  <c r="AR668" i="1"/>
  <c r="AR667" i="1"/>
  <c r="AR666" i="1"/>
  <c r="AR665" i="1"/>
  <c r="AR664" i="1"/>
  <c r="AR663" i="1"/>
  <c r="AR662" i="1"/>
  <c r="AR661" i="1"/>
  <c r="AR660" i="1"/>
  <c r="AR659" i="1"/>
  <c r="AR658" i="1"/>
  <c r="AR657" i="1"/>
  <c r="AR656" i="1"/>
  <c r="AR655" i="1"/>
  <c r="AR654" i="1"/>
  <c r="AR653" i="1"/>
  <c r="AR652" i="1"/>
  <c r="AR651" i="1"/>
  <c r="AR650" i="1"/>
  <c r="AR649" i="1"/>
  <c r="AR648" i="1"/>
  <c r="AR647" i="1"/>
  <c r="AR646" i="1"/>
  <c r="AR645" i="1"/>
  <c r="AR644" i="1"/>
  <c r="AR643" i="1"/>
  <c r="AR642" i="1"/>
  <c r="AR641" i="1"/>
  <c r="AR640" i="1"/>
  <c r="AR639" i="1"/>
  <c r="AR638" i="1"/>
  <c r="AR637" i="1"/>
  <c r="AR636" i="1"/>
  <c r="AR635" i="1"/>
  <c r="AR634" i="1"/>
  <c r="AR633" i="1"/>
  <c r="AR632" i="1"/>
  <c r="AR631" i="1"/>
  <c r="AR630" i="1"/>
  <c r="AR629" i="1"/>
  <c r="AR628" i="1"/>
  <c r="AR627" i="1"/>
  <c r="AR626" i="1"/>
  <c r="AR625" i="1"/>
  <c r="AR624" i="1"/>
  <c r="AR623" i="1"/>
  <c r="AR622" i="1"/>
  <c r="AR621" i="1"/>
  <c r="AR620" i="1"/>
  <c r="AR619" i="1"/>
  <c r="AR618" i="1"/>
  <c r="AR617" i="1"/>
  <c r="AR616" i="1"/>
  <c r="AR615" i="1"/>
  <c r="AR614" i="1"/>
  <c r="AR613" i="1"/>
  <c r="AR612" i="1"/>
  <c r="AR611" i="1"/>
  <c r="AR610" i="1"/>
  <c r="AR609" i="1"/>
  <c r="AR608" i="1"/>
  <c r="AR607" i="1"/>
  <c r="AR606" i="1"/>
  <c r="AR605" i="1"/>
  <c r="AR604" i="1"/>
  <c r="AR603" i="1"/>
  <c r="AR602" i="1"/>
  <c r="AR601" i="1"/>
  <c r="AR600" i="1"/>
  <c r="AR599" i="1"/>
  <c r="AR598" i="1"/>
  <c r="AR597" i="1"/>
  <c r="AR596" i="1"/>
  <c r="AR595" i="1"/>
  <c r="AR594" i="1"/>
  <c r="AR593" i="1"/>
  <c r="AR592" i="1"/>
  <c r="AR591" i="1"/>
  <c r="AR590" i="1"/>
  <c r="AR589" i="1"/>
  <c r="AR588" i="1"/>
  <c r="AR587" i="1"/>
  <c r="AR586" i="1"/>
  <c r="AR585" i="1"/>
  <c r="AR584" i="1"/>
  <c r="AR583" i="1"/>
  <c r="AR582" i="1"/>
  <c r="AR581" i="1"/>
  <c r="AR580" i="1"/>
  <c r="AR579" i="1"/>
  <c r="AR578" i="1"/>
  <c r="AR577" i="1"/>
  <c r="AR576" i="1"/>
  <c r="AR575" i="1"/>
  <c r="AR574" i="1"/>
  <c r="AR573" i="1"/>
  <c r="AR572" i="1"/>
  <c r="AR571" i="1"/>
  <c r="AR570" i="1"/>
  <c r="AR569" i="1"/>
  <c r="AR568" i="1"/>
  <c r="AR567" i="1"/>
  <c r="AR566" i="1"/>
  <c r="AR565" i="1"/>
  <c r="AR564" i="1"/>
  <c r="AR563" i="1"/>
  <c r="AR562" i="1"/>
  <c r="AR561" i="1"/>
  <c r="AR560" i="1"/>
  <c r="AR559" i="1"/>
  <c r="AR558" i="1"/>
  <c r="AR557" i="1"/>
  <c r="AR556" i="1"/>
  <c r="AR555" i="1"/>
  <c r="AR554" i="1"/>
  <c r="AR553" i="1"/>
  <c r="AR552" i="1"/>
  <c r="AR551" i="1"/>
  <c r="AR550" i="1"/>
  <c r="AR549" i="1"/>
  <c r="AR548" i="1"/>
  <c r="AR547" i="1"/>
  <c r="AR546" i="1"/>
  <c r="AR545" i="1"/>
  <c r="AR544" i="1"/>
  <c r="AR543" i="1"/>
  <c r="AR542" i="1"/>
  <c r="AR541" i="1"/>
  <c r="AR540" i="1"/>
  <c r="AR539" i="1"/>
  <c r="AR538" i="1"/>
  <c r="AR537" i="1"/>
  <c r="AR536" i="1"/>
  <c r="AR535" i="1"/>
  <c r="AR534" i="1"/>
  <c r="AR533" i="1"/>
  <c r="AR532" i="1"/>
  <c r="AR531" i="1"/>
  <c r="AR530" i="1"/>
  <c r="AR529" i="1"/>
  <c r="AR528" i="1"/>
  <c r="AR527" i="1"/>
  <c r="AR526" i="1"/>
  <c r="AR525" i="1"/>
  <c r="AR524" i="1"/>
  <c r="AR523" i="1"/>
  <c r="AR522" i="1"/>
  <c r="AR521" i="1"/>
  <c r="AR520" i="1"/>
  <c r="AR519" i="1"/>
  <c r="AR518" i="1"/>
  <c r="AR517" i="1"/>
  <c r="AR516" i="1"/>
  <c r="AR515" i="1"/>
  <c r="AR514" i="1"/>
  <c r="AR513" i="1"/>
  <c r="AR512" i="1"/>
  <c r="AR511" i="1"/>
  <c r="AR510" i="1"/>
  <c r="AR509" i="1"/>
  <c r="AR508" i="1"/>
  <c r="AR507" i="1"/>
  <c r="AR506" i="1"/>
  <c r="AR505" i="1"/>
  <c r="AR504" i="1"/>
  <c r="AR503" i="1"/>
  <c r="AR502" i="1"/>
  <c r="AR501" i="1"/>
  <c r="AR500" i="1"/>
  <c r="AR499" i="1"/>
  <c r="AR498" i="1"/>
  <c r="AR497" i="1"/>
  <c r="AR496" i="1"/>
  <c r="AR495" i="1"/>
  <c r="AR494" i="1"/>
  <c r="AR493" i="1"/>
  <c r="AR492" i="1"/>
  <c r="AR491" i="1"/>
  <c r="AR490" i="1"/>
  <c r="AR489" i="1"/>
  <c r="AR488" i="1"/>
  <c r="AR487" i="1"/>
  <c r="AR486" i="1"/>
  <c r="AR485" i="1"/>
  <c r="AR484" i="1"/>
  <c r="AR483" i="1"/>
  <c r="AR482" i="1"/>
  <c r="AR481" i="1"/>
  <c r="AR480" i="1"/>
  <c r="AR479" i="1"/>
  <c r="AR478" i="1"/>
  <c r="AR477" i="1"/>
  <c r="AR476" i="1"/>
  <c r="AR475" i="1"/>
  <c r="AR474" i="1"/>
  <c r="AR473" i="1"/>
  <c r="AR472" i="1"/>
  <c r="AR471" i="1"/>
  <c r="AR470" i="1"/>
  <c r="AR469" i="1"/>
  <c r="AR468" i="1"/>
  <c r="AR467" i="1"/>
  <c r="AR466" i="1"/>
  <c r="AR465" i="1"/>
  <c r="AR464" i="1"/>
  <c r="AR463" i="1"/>
  <c r="AR462" i="1"/>
  <c r="AR461" i="1"/>
  <c r="AR460" i="1"/>
  <c r="AR459" i="1"/>
  <c r="AR458" i="1"/>
  <c r="AR457" i="1"/>
  <c r="AR456" i="1"/>
  <c r="AR455" i="1"/>
  <c r="AR454" i="1"/>
  <c r="AR453" i="1"/>
  <c r="AR452" i="1"/>
  <c r="AR451" i="1"/>
  <c r="AR450" i="1"/>
  <c r="AR449" i="1"/>
  <c r="AR448" i="1"/>
  <c r="AR447" i="1"/>
  <c r="AR446" i="1"/>
  <c r="AR445" i="1"/>
  <c r="AR444" i="1"/>
  <c r="AR443" i="1"/>
  <c r="AR442" i="1"/>
  <c r="AR441" i="1"/>
  <c r="AR440" i="1"/>
  <c r="AR439" i="1"/>
  <c r="AR438" i="1"/>
  <c r="AR437" i="1"/>
  <c r="AR436" i="1"/>
  <c r="AR435" i="1"/>
  <c r="AR434" i="1"/>
  <c r="AR433" i="1"/>
  <c r="AR432" i="1"/>
  <c r="AR431" i="1"/>
  <c r="AR430" i="1"/>
  <c r="AR429" i="1"/>
  <c r="AR428" i="1"/>
  <c r="AR427" i="1"/>
  <c r="AR426" i="1"/>
  <c r="AR425" i="1"/>
  <c r="AR424" i="1"/>
  <c r="AR423" i="1"/>
  <c r="AR422" i="1"/>
  <c r="AR421" i="1"/>
  <c r="AR420" i="1"/>
  <c r="AR419" i="1"/>
  <c r="AR418" i="1"/>
  <c r="AR417" i="1"/>
  <c r="AR416" i="1"/>
  <c r="AR415" i="1"/>
  <c r="AR414" i="1"/>
  <c r="AR413" i="1"/>
  <c r="AR412" i="1"/>
  <c r="AR411" i="1"/>
  <c r="AR410" i="1"/>
  <c r="AR409" i="1"/>
  <c r="AR408" i="1"/>
  <c r="AR407" i="1"/>
  <c r="AR406" i="1"/>
  <c r="AR405" i="1"/>
  <c r="AR404" i="1"/>
  <c r="AR403" i="1"/>
  <c r="AR402" i="1"/>
  <c r="AR401" i="1"/>
  <c r="AR400" i="1"/>
  <c r="AR399" i="1"/>
  <c r="AR398" i="1"/>
  <c r="AR397" i="1"/>
  <c r="AR396" i="1"/>
  <c r="AR395" i="1"/>
  <c r="AR394" i="1"/>
  <c r="AR393" i="1"/>
  <c r="AR392" i="1"/>
  <c r="AR391" i="1"/>
  <c r="AR390" i="1"/>
  <c r="AR389" i="1"/>
  <c r="AR388" i="1"/>
  <c r="AR387" i="1"/>
  <c r="AR386" i="1"/>
  <c r="AR385" i="1"/>
  <c r="AR384" i="1"/>
  <c r="AR383" i="1"/>
  <c r="AR382" i="1"/>
  <c r="AR381" i="1"/>
  <c r="AR380" i="1"/>
  <c r="AR379" i="1"/>
  <c r="AR378" i="1"/>
  <c r="AR377" i="1"/>
  <c r="AR376" i="1"/>
  <c r="AR375" i="1"/>
  <c r="AR374" i="1"/>
  <c r="AR373" i="1"/>
  <c r="AR372" i="1"/>
  <c r="AR371" i="1"/>
  <c r="AR370" i="1"/>
  <c r="AR369" i="1"/>
  <c r="AR368" i="1"/>
  <c r="AR367" i="1"/>
  <c r="AR366" i="1"/>
  <c r="AR365" i="1"/>
  <c r="AR364" i="1"/>
  <c r="AR363" i="1"/>
  <c r="AR362" i="1"/>
  <c r="AR361" i="1"/>
  <c r="AR360" i="1"/>
  <c r="AR359" i="1"/>
  <c r="AR358" i="1"/>
  <c r="AR357" i="1"/>
  <c r="AR356" i="1"/>
  <c r="AR355" i="1"/>
  <c r="AR354" i="1"/>
  <c r="AR353" i="1"/>
  <c r="AR352" i="1"/>
  <c r="AR351" i="1"/>
  <c r="AR350" i="1"/>
  <c r="AR349" i="1"/>
  <c r="AR348" i="1"/>
  <c r="AR347" i="1"/>
  <c r="AR346" i="1"/>
  <c r="AR345" i="1"/>
  <c r="AR344" i="1"/>
  <c r="AR343" i="1"/>
  <c r="AR342" i="1"/>
  <c r="AR341" i="1"/>
  <c r="AR340" i="1"/>
  <c r="AR339" i="1"/>
  <c r="AR338" i="1"/>
  <c r="AR337" i="1"/>
  <c r="AR336" i="1"/>
  <c r="AR335" i="1"/>
  <c r="AR334" i="1"/>
  <c r="AR333" i="1"/>
  <c r="AR332" i="1"/>
  <c r="AR331" i="1"/>
  <c r="AR330" i="1"/>
  <c r="AR329" i="1"/>
  <c r="AR328" i="1"/>
  <c r="AR327" i="1"/>
  <c r="AR326" i="1"/>
  <c r="AR325" i="1"/>
  <c r="AR324" i="1"/>
  <c r="AR323" i="1"/>
  <c r="AR322" i="1"/>
  <c r="AR321" i="1"/>
  <c r="AR320" i="1"/>
  <c r="AR319" i="1"/>
  <c r="AR318" i="1"/>
  <c r="AR317" i="1"/>
  <c r="AR316" i="1"/>
  <c r="AR315" i="1"/>
  <c r="AR314" i="1"/>
  <c r="AR313" i="1"/>
  <c r="AR312" i="1"/>
  <c r="AR311" i="1"/>
  <c r="AR310" i="1"/>
  <c r="AR309" i="1"/>
  <c r="AR308" i="1"/>
  <c r="AR307" i="1"/>
  <c r="AR306" i="1"/>
  <c r="AR305" i="1"/>
  <c r="AR304" i="1"/>
  <c r="AR303" i="1"/>
  <c r="AR302" i="1"/>
  <c r="AR301" i="1"/>
  <c r="AR300" i="1"/>
  <c r="AR299" i="1"/>
  <c r="AR298" i="1"/>
  <c r="AR297" i="1"/>
  <c r="AR296" i="1"/>
  <c r="AR295" i="1"/>
  <c r="AR294" i="1"/>
  <c r="AR293" i="1"/>
  <c r="AR292" i="1"/>
  <c r="AR291" i="1"/>
  <c r="AR290" i="1"/>
  <c r="AR289" i="1"/>
  <c r="AR288" i="1"/>
  <c r="AR287" i="1"/>
  <c r="AR286" i="1"/>
  <c r="AR285" i="1"/>
  <c r="AR284" i="1"/>
  <c r="AR283" i="1"/>
  <c r="AR282" i="1"/>
  <c r="AR281" i="1"/>
  <c r="AR280" i="1"/>
  <c r="AR279" i="1"/>
  <c r="AR278" i="1"/>
  <c r="AR277" i="1"/>
  <c r="AR276" i="1"/>
  <c r="AR275" i="1"/>
  <c r="AR274" i="1"/>
  <c r="AR273" i="1"/>
  <c r="AR272" i="1"/>
  <c r="AR271" i="1"/>
  <c r="AR270" i="1"/>
  <c r="AR269" i="1"/>
  <c r="AR268" i="1"/>
  <c r="AR267" i="1"/>
  <c r="AR266" i="1"/>
  <c r="AR265" i="1"/>
  <c r="AR264" i="1"/>
  <c r="AR263" i="1"/>
  <c r="AR262" i="1"/>
  <c r="AR261" i="1"/>
  <c r="AR260" i="1"/>
  <c r="AR259" i="1"/>
  <c r="AR258" i="1"/>
  <c r="AR257" i="1"/>
  <c r="AR256" i="1"/>
  <c r="AR255" i="1"/>
  <c r="AR254" i="1"/>
  <c r="AR253" i="1"/>
  <c r="AR252" i="1"/>
  <c r="AR251" i="1"/>
  <c r="AR250" i="1"/>
  <c r="AR249" i="1"/>
  <c r="AR248" i="1"/>
  <c r="AR247" i="1"/>
  <c r="AR246" i="1"/>
  <c r="AR245" i="1"/>
  <c r="AR244" i="1"/>
  <c r="AR243" i="1"/>
  <c r="AR242" i="1"/>
  <c r="AR241" i="1"/>
  <c r="AR240" i="1"/>
  <c r="AR239" i="1"/>
  <c r="AR238" i="1"/>
  <c r="AR237" i="1"/>
  <c r="AR236" i="1"/>
  <c r="AR235" i="1"/>
  <c r="AR234" i="1"/>
  <c r="AR233" i="1"/>
  <c r="AR232" i="1"/>
  <c r="AR231" i="1"/>
  <c r="AR230" i="1"/>
  <c r="AR229" i="1"/>
  <c r="AR228" i="1"/>
  <c r="AR227" i="1"/>
  <c r="AR226" i="1"/>
  <c r="AR225" i="1"/>
  <c r="AR224" i="1"/>
  <c r="AR223" i="1"/>
  <c r="AR222" i="1"/>
  <c r="AR221" i="1"/>
  <c r="AR220" i="1"/>
  <c r="AR219" i="1"/>
  <c r="AR218" i="1"/>
  <c r="AR217" i="1"/>
  <c r="AR216" i="1"/>
  <c r="AR215" i="1"/>
  <c r="AR214" i="1"/>
  <c r="AR213" i="1"/>
  <c r="AR212" i="1"/>
  <c r="AR211" i="1"/>
  <c r="AR210" i="1"/>
  <c r="AR209" i="1"/>
  <c r="AR208" i="1"/>
  <c r="AR207" i="1"/>
  <c r="AR206" i="1"/>
  <c r="AR205" i="1"/>
  <c r="AR204" i="1"/>
  <c r="AR203" i="1"/>
  <c r="AR202" i="1"/>
  <c r="AR201" i="1"/>
  <c r="AR200" i="1"/>
  <c r="AR199" i="1"/>
  <c r="AR198" i="1"/>
  <c r="AR197" i="1"/>
  <c r="AR196" i="1"/>
  <c r="AR195" i="1"/>
  <c r="AR194" i="1"/>
  <c r="AR193" i="1"/>
  <c r="AR192" i="1"/>
  <c r="AR191" i="1"/>
  <c r="AR190" i="1"/>
  <c r="AR189" i="1"/>
  <c r="AR188" i="1"/>
  <c r="AR187" i="1"/>
  <c r="AR186" i="1"/>
  <c r="AR185" i="1"/>
  <c r="AR184" i="1"/>
  <c r="AR183" i="1"/>
  <c r="AR182" i="1"/>
  <c r="AR181" i="1"/>
  <c r="AR180" i="1"/>
  <c r="AR179" i="1"/>
  <c r="AR178" i="1"/>
  <c r="AR177" i="1"/>
  <c r="AR176" i="1"/>
  <c r="AR175" i="1"/>
  <c r="AR174" i="1"/>
  <c r="AR173" i="1"/>
  <c r="AR172" i="1"/>
  <c r="AR171" i="1"/>
  <c r="AR170" i="1"/>
  <c r="AR169" i="1"/>
  <c r="AR168" i="1"/>
  <c r="AR167" i="1"/>
  <c r="AR166" i="1"/>
  <c r="AR165" i="1"/>
  <c r="AR164" i="1"/>
  <c r="AR163" i="1"/>
  <c r="AR162" i="1"/>
  <c r="AR161" i="1"/>
  <c r="AR160" i="1"/>
  <c r="AR159" i="1"/>
  <c r="AR158" i="1"/>
  <c r="AR157" i="1"/>
  <c r="AR156" i="1"/>
  <c r="AR155" i="1"/>
  <c r="AR154" i="1"/>
  <c r="AR153" i="1"/>
  <c r="AR152" i="1"/>
  <c r="AR151" i="1"/>
  <c r="AR150" i="1"/>
  <c r="AR149" i="1"/>
  <c r="AR148" i="1"/>
  <c r="AR147" i="1"/>
  <c r="AR146" i="1"/>
  <c r="AR145" i="1"/>
  <c r="AR144" i="1"/>
  <c r="AR143" i="1"/>
  <c r="AR142" i="1"/>
  <c r="AR141" i="1"/>
  <c r="AR140" i="1"/>
  <c r="AR139" i="1"/>
  <c r="AR138" i="1"/>
  <c r="AR137" i="1"/>
  <c r="AR136" i="1"/>
  <c r="AR135" i="1"/>
  <c r="AR134" i="1"/>
  <c r="AR133" i="1"/>
  <c r="AR132" i="1"/>
  <c r="AR131" i="1"/>
  <c r="AR130" i="1"/>
  <c r="AR129" i="1"/>
  <c r="AR128" i="1"/>
  <c r="AR127" i="1"/>
  <c r="AR126" i="1"/>
  <c r="AR125" i="1"/>
  <c r="AR124" i="1"/>
  <c r="AR123" i="1"/>
  <c r="AR122" i="1"/>
  <c r="AR121" i="1"/>
  <c r="AR120" i="1"/>
  <c r="AR119" i="1"/>
  <c r="AR118" i="1"/>
  <c r="AR117" i="1"/>
  <c r="AR116" i="1"/>
  <c r="AR115" i="1"/>
  <c r="AR114" i="1"/>
  <c r="AR113" i="1"/>
  <c r="AR112" i="1"/>
  <c r="AR111" i="1"/>
  <c r="AR110" i="1"/>
  <c r="AR109" i="1"/>
  <c r="AR108" i="1"/>
  <c r="AR107" i="1"/>
  <c r="AR106" i="1"/>
  <c r="AR105" i="1"/>
  <c r="AR104" i="1"/>
  <c r="AR103" i="1"/>
  <c r="AR102" i="1"/>
  <c r="AR101" i="1"/>
  <c r="AR100" i="1"/>
  <c r="AR99" i="1"/>
  <c r="AR98" i="1"/>
  <c r="AR97" i="1"/>
  <c r="AR96" i="1"/>
  <c r="AR95" i="1"/>
  <c r="AR94" i="1"/>
  <c r="AR93" i="1"/>
  <c r="AR92" i="1"/>
  <c r="AR91" i="1"/>
  <c r="AR90" i="1"/>
  <c r="AR89" i="1"/>
  <c r="AR88" i="1"/>
  <c r="AR87" i="1"/>
  <c r="AR86" i="1"/>
  <c r="AR85" i="1"/>
  <c r="AR84" i="1"/>
  <c r="AR83" i="1"/>
  <c r="AR82" i="1"/>
  <c r="AR81" i="1"/>
  <c r="AR80" i="1"/>
  <c r="AR79" i="1"/>
  <c r="AR78" i="1"/>
  <c r="AR77" i="1"/>
  <c r="AR76" i="1"/>
  <c r="AR75" i="1"/>
  <c r="AR74" i="1"/>
  <c r="AR73" i="1"/>
  <c r="AR72" i="1"/>
  <c r="AR71" i="1"/>
  <c r="AR70" i="1"/>
  <c r="AR69" i="1"/>
  <c r="AR68" i="1"/>
  <c r="AR67" i="1"/>
  <c r="AR66" i="1"/>
  <c r="AR65" i="1"/>
  <c r="AR64" i="1"/>
  <c r="AR63" i="1"/>
  <c r="AR62" i="1"/>
  <c r="AR61" i="1"/>
  <c r="AR60" i="1"/>
  <c r="AR59" i="1"/>
  <c r="AR58" i="1"/>
  <c r="AR57" i="1"/>
  <c r="AR56" i="1"/>
  <c r="AR55" i="1"/>
  <c r="AR54" i="1"/>
  <c r="AR53" i="1"/>
  <c r="AR52" i="1"/>
  <c r="AR51" i="1"/>
  <c r="AR50" i="1"/>
  <c r="AR49" i="1"/>
  <c r="AR48" i="1"/>
  <c r="AR47" i="1"/>
  <c r="AR46" i="1"/>
  <c r="AR45" i="1"/>
  <c r="AR44" i="1"/>
  <c r="AS1011" i="1"/>
  <c r="AS1010" i="1"/>
  <c r="AS1009" i="1"/>
  <c r="AS1008" i="1"/>
  <c r="AS1007" i="1"/>
  <c r="AS1006" i="1"/>
  <c r="AS1005" i="1"/>
  <c r="AS1004" i="1"/>
  <c r="AS1003" i="1"/>
  <c r="AS1002" i="1"/>
  <c r="AS1001" i="1"/>
  <c r="AS1000" i="1"/>
  <c r="AS999" i="1"/>
  <c r="AS998" i="1"/>
  <c r="AS997" i="1"/>
  <c r="AS996" i="1"/>
  <c r="AS995" i="1"/>
  <c r="AS994" i="1"/>
  <c r="AS993" i="1"/>
  <c r="AS992" i="1"/>
  <c r="AS991" i="1"/>
  <c r="AS990" i="1"/>
  <c r="AS989" i="1"/>
  <c r="AS988" i="1"/>
  <c r="AS987" i="1"/>
  <c r="AS986" i="1"/>
  <c r="AS985" i="1"/>
  <c r="AS984" i="1"/>
  <c r="AS983" i="1"/>
  <c r="AS982" i="1"/>
  <c r="AS981" i="1"/>
  <c r="AS980" i="1"/>
  <c r="AS979" i="1"/>
  <c r="AS978" i="1"/>
  <c r="AS977" i="1"/>
  <c r="AS976" i="1"/>
  <c r="AS975" i="1"/>
  <c r="AS974" i="1"/>
  <c r="AS973" i="1"/>
  <c r="AS972" i="1"/>
  <c r="AS971" i="1"/>
  <c r="AS970" i="1"/>
  <c r="AS969" i="1"/>
  <c r="AS968" i="1"/>
  <c r="AS967" i="1"/>
  <c r="AS966" i="1"/>
  <c r="AS965" i="1"/>
  <c r="AS964" i="1"/>
  <c r="AS963" i="1"/>
  <c r="AS962" i="1"/>
  <c r="AS961" i="1"/>
  <c r="AS960" i="1"/>
  <c r="AS959" i="1"/>
  <c r="AS958" i="1"/>
  <c r="AS957" i="1"/>
  <c r="AS956" i="1"/>
  <c r="AS955" i="1"/>
  <c r="AS954" i="1"/>
  <c r="AS953" i="1"/>
  <c r="AS952" i="1"/>
  <c r="AS951" i="1"/>
  <c r="AS950" i="1"/>
  <c r="AS949" i="1"/>
  <c r="AS948" i="1"/>
  <c r="AS947" i="1"/>
  <c r="AS946" i="1"/>
  <c r="AS945" i="1"/>
  <c r="AS944" i="1"/>
  <c r="AS943" i="1"/>
  <c r="AS942" i="1"/>
  <c r="AS941" i="1"/>
  <c r="AS940" i="1"/>
  <c r="AS939" i="1"/>
  <c r="AS938" i="1"/>
  <c r="AS937" i="1"/>
  <c r="AS936" i="1"/>
  <c r="AS935" i="1"/>
  <c r="AS934" i="1"/>
  <c r="AS933" i="1"/>
  <c r="AS932" i="1"/>
  <c r="AS931" i="1"/>
  <c r="AS930" i="1"/>
  <c r="AS929" i="1"/>
  <c r="AS928" i="1"/>
  <c r="AS927" i="1"/>
  <c r="AS926" i="1"/>
  <c r="AS925" i="1"/>
  <c r="AS924" i="1"/>
  <c r="AS923" i="1"/>
  <c r="AS922" i="1"/>
  <c r="AS921" i="1"/>
  <c r="AS920" i="1"/>
  <c r="AS919" i="1"/>
  <c r="AS918" i="1"/>
  <c r="AS917" i="1"/>
  <c r="AS916" i="1"/>
  <c r="AS915" i="1"/>
  <c r="AS914" i="1"/>
  <c r="AS913" i="1"/>
  <c r="AS912" i="1"/>
  <c r="AS911" i="1"/>
  <c r="AS910" i="1"/>
  <c r="AS909" i="1"/>
  <c r="AS908" i="1"/>
  <c r="AS907" i="1"/>
  <c r="AS906" i="1"/>
  <c r="AS905" i="1"/>
  <c r="AS904" i="1"/>
  <c r="AS903" i="1"/>
  <c r="AS902" i="1"/>
  <c r="AS901" i="1"/>
  <c r="AS900" i="1"/>
  <c r="AS899" i="1"/>
  <c r="AS898" i="1"/>
  <c r="AS897" i="1"/>
  <c r="AS896" i="1"/>
  <c r="AS895" i="1"/>
  <c r="AS894" i="1"/>
  <c r="AS893" i="1"/>
  <c r="AS892" i="1"/>
  <c r="AS891" i="1"/>
  <c r="AS890" i="1"/>
  <c r="AS889" i="1"/>
  <c r="AS888" i="1"/>
  <c r="AS887" i="1"/>
  <c r="AS886" i="1"/>
  <c r="AS885" i="1"/>
  <c r="AS884" i="1"/>
  <c r="AS883" i="1"/>
  <c r="AS882" i="1"/>
  <c r="AS881" i="1"/>
  <c r="AS880" i="1"/>
  <c r="AS879" i="1"/>
  <c r="AS878" i="1"/>
  <c r="AS877" i="1"/>
  <c r="AS876" i="1"/>
  <c r="AS875" i="1"/>
  <c r="AS874" i="1"/>
  <c r="AS873" i="1"/>
  <c r="AS872" i="1"/>
  <c r="AS871" i="1"/>
  <c r="AS870" i="1"/>
  <c r="AS869" i="1"/>
  <c r="AS868" i="1"/>
  <c r="AS867" i="1"/>
  <c r="AS866" i="1"/>
  <c r="AS865" i="1"/>
  <c r="AS864" i="1"/>
  <c r="AS863" i="1"/>
  <c r="AS862" i="1"/>
  <c r="AS861" i="1"/>
  <c r="AS860" i="1"/>
  <c r="AS859" i="1"/>
  <c r="AS858" i="1"/>
  <c r="AS857" i="1"/>
  <c r="AS856" i="1"/>
  <c r="AS855" i="1"/>
  <c r="AS854" i="1"/>
  <c r="AS853" i="1"/>
  <c r="AS852" i="1"/>
  <c r="AS851" i="1"/>
  <c r="AS850" i="1"/>
  <c r="AS849" i="1"/>
  <c r="AS848" i="1"/>
  <c r="AS847" i="1"/>
  <c r="AS846" i="1"/>
  <c r="AS845" i="1"/>
  <c r="AS844" i="1"/>
  <c r="AS843" i="1"/>
  <c r="AS842" i="1"/>
  <c r="AS841" i="1"/>
  <c r="AS840" i="1"/>
  <c r="AS839" i="1"/>
  <c r="AS838" i="1"/>
  <c r="AS837" i="1"/>
  <c r="AS836" i="1"/>
  <c r="AS835" i="1"/>
  <c r="AS834" i="1"/>
  <c r="AS833" i="1"/>
  <c r="AS832" i="1"/>
  <c r="AS831" i="1"/>
  <c r="AS830" i="1"/>
  <c r="AS829" i="1"/>
  <c r="AS828" i="1"/>
  <c r="AS827" i="1"/>
  <c r="AS826" i="1"/>
  <c r="AS825" i="1"/>
  <c r="AS824" i="1"/>
  <c r="AS823" i="1"/>
  <c r="AS822" i="1"/>
  <c r="AS821" i="1"/>
  <c r="AS820" i="1"/>
  <c r="AS819" i="1"/>
  <c r="AS818" i="1"/>
  <c r="AS817" i="1"/>
  <c r="AS816" i="1"/>
  <c r="AS815" i="1"/>
  <c r="AS814" i="1"/>
  <c r="AS813" i="1"/>
  <c r="AS812" i="1"/>
  <c r="AS811" i="1"/>
  <c r="AS810" i="1"/>
  <c r="AS809" i="1"/>
  <c r="AS808" i="1"/>
  <c r="AS807" i="1"/>
  <c r="AS806" i="1"/>
  <c r="AS805" i="1"/>
  <c r="AS804" i="1"/>
  <c r="AS803" i="1"/>
  <c r="AS802" i="1"/>
  <c r="AS801" i="1"/>
  <c r="AS800" i="1"/>
  <c r="AS799" i="1"/>
  <c r="AS798" i="1"/>
  <c r="AS797" i="1"/>
  <c r="AS796" i="1"/>
  <c r="AS795" i="1"/>
  <c r="AS794" i="1"/>
  <c r="AS793" i="1"/>
  <c r="AS792" i="1"/>
  <c r="AS791" i="1"/>
  <c r="AS790" i="1"/>
  <c r="AS789" i="1"/>
  <c r="AS788" i="1"/>
  <c r="AS787" i="1"/>
  <c r="AS786" i="1"/>
  <c r="AS785" i="1"/>
  <c r="AS784" i="1"/>
  <c r="AS783" i="1"/>
  <c r="AS782" i="1"/>
  <c r="AS781" i="1"/>
  <c r="AS780" i="1"/>
  <c r="AS779" i="1"/>
  <c r="AS778" i="1"/>
  <c r="AS777" i="1"/>
  <c r="AS776" i="1"/>
  <c r="AS775" i="1"/>
  <c r="AS774" i="1"/>
  <c r="AS773" i="1"/>
  <c r="AS772" i="1"/>
  <c r="AS771" i="1"/>
  <c r="AS770" i="1"/>
  <c r="AS769" i="1"/>
  <c r="AS768" i="1"/>
  <c r="AS767" i="1"/>
  <c r="AS766" i="1"/>
  <c r="AS765" i="1"/>
  <c r="AS764" i="1"/>
  <c r="AS763" i="1"/>
  <c r="AS762" i="1"/>
  <c r="AS761" i="1"/>
  <c r="AS760" i="1"/>
  <c r="AS759" i="1"/>
  <c r="AS758" i="1"/>
  <c r="AS757" i="1"/>
  <c r="AS756" i="1"/>
  <c r="AS755" i="1"/>
  <c r="AS754" i="1"/>
  <c r="AS753" i="1"/>
  <c r="AS752" i="1"/>
  <c r="AS751" i="1"/>
  <c r="AS750" i="1"/>
  <c r="AS749" i="1"/>
  <c r="AS748" i="1"/>
  <c r="AS747" i="1"/>
  <c r="AS746" i="1"/>
  <c r="AS745" i="1"/>
  <c r="AS744" i="1"/>
  <c r="AS743" i="1"/>
  <c r="AS742" i="1"/>
  <c r="AS741" i="1"/>
  <c r="AS740" i="1"/>
  <c r="AS739" i="1"/>
  <c r="AS738" i="1"/>
  <c r="AS737" i="1"/>
  <c r="AS736" i="1"/>
  <c r="AS735" i="1"/>
  <c r="AS734" i="1"/>
  <c r="AS733" i="1"/>
  <c r="AS732" i="1"/>
  <c r="AS731" i="1"/>
  <c r="AS730" i="1"/>
  <c r="AS729" i="1"/>
  <c r="AS728" i="1"/>
  <c r="AS727" i="1"/>
  <c r="AS726" i="1"/>
  <c r="AS725" i="1"/>
  <c r="AS724" i="1"/>
  <c r="AS723" i="1"/>
  <c r="AS722" i="1"/>
  <c r="AS721" i="1"/>
  <c r="AS720" i="1"/>
  <c r="AS719" i="1"/>
  <c r="AS718" i="1"/>
  <c r="AS717" i="1"/>
  <c r="AS716" i="1"/>
  <c r="AS715" i="1"/>
  <c r="AS714" i="1"/>
  <c r="AS713" i="1"/>
  <c r="AS712" i="1"/>
  <c r="AS711" i="1"/>
  <c r="AS710" i="1"/>
  <c r="AS709" i="1"/>
  <c r="AS708" i="1"/>
  <c r="AS707" i="1"/>
  <c r="AS706" i="1"/>
  <c r="AS705" i="1"/>
  <c r="AS704" i="1"/>
  <c r="AS703" i="1"/>
  <c r="AS702" i="1"/>
  <c r="AS701" i="1"/>
  <c r="AS700" i="1"/>
  <c r="AS699" i="1"/>
  <c r="AS698" i="1"/>
  <c r="AS697" i="1"/>
  <c r="AS696" i="1"/>
  <c r="AS695" i="1"/>
  <c r="AS694" i="1"/>
  <c r="AS693" i="1"/>
  <c r="AS692" i="1"/>
  <c r="AS691" i="1"/>
  <c r="AS690" i="1"/>
  <c r="AS689" i="1"/>
  <c r="AS688" i="1"/>
  <c r="AS687" i="1"/>
  <c r="AS686" i="1"/>
  <c r="AS685" i="1"/>
  <c r="AS684" i="1"/>
  <c r="AS683" i="1"/>
  <c r="AS682" i="1"/>
  <c r="AS681" i="1"/>
  <c r="AS680" i="1"/>
  <c r="AS679" i="1"/>
  <c r="AS678" i="1"/>
  <c r="AS677" i="1"/>
  <c r="AS676" i="1"/>
  <c r="AS675" i="1"/>
  <c r="AS674" i="1"/>
  <c r="AS673" i="1"/>
  <c r="AS672" i="1"/>
  <c r="AS671" i="1"/>
  <c r="AS670" i="1"/>
  <c r="AS669" i="1"/>
  <c r="AS668" i="1"/>
  <c r="AS667" i="1"/>
  <c r="AS666" i="1"/>
  <c r="AS665" i="1"/>
  <c r="AS664" i="1"/>
  <c r="AS663" i="1"/>
  <c r="AS662" i="1"/>
  <c r="AS661" i="1"/>
  <c r="AS660" i="1"/>
  <c r="AS659" i="1"/>
  <c r="AS658" i="1"/>
  <c r="AS657" i="1"/>
  <c r="AS656" i="1"/>
  <c r="AS655" i="1"/>
  <c r="AS654" i="1"/>
  <c r="AS653" i="1"/>
  <c r="AS652" i="1"/>
  <c r="AS651" i="1"/>
  <c r="AS650" i="1"/>
  <c r="AS649" i="1"/>
  <c r="AS648" i="1"/>
  <c r="AS647" i="1"/>
  <c r="AS646" i="1"/>
  <c r="AS645" i="1"/>
  <c r="AS644" i="1"/>
  <c r="AS643" i="1"/>
  <c r="AS642" i="1"/>
  <c r="AS641" i="1"/>
  <c r="AS640" i="1"/>
  <c r="AS639" i="1"/>
  <c r="AS638" i="1"/>
  <c r="AS637" i="1"/>
  <c r="AS636" i="1"/>
  <c r="AS635" i="1"/>
  <c r="AS634" i="1"/>
  <c r="AS633" i="1"/>
  <c r="AS632" i="1"/>
  <c r="AS631" i="1"/>
  <c r="AS630" i="1"/>
  <c r="AS629" i="1"/>
  <c r="AS628" i="1"/>
  <c r="AS627" i="1"/>
  <c r="AS626" i="1"/>
  <c r="AS625" i="1"/>
  <c r="AS624" i="1"/>
  <c r="AS623" i="1"/>
  <c r="AS622" i="1"/>
  <c r="AS621" i="1"/>
  <c r="AS620" i="1"/>
  <c r="AS619" i="1"/>
  <c r="AS618" i="1"/>
  <c r="AS617" i="1"/>
  <c r="AS616" i="1"/>
  <c r="AS615" i="1"/>
  <c r="AS614" i="1"/>
  <c r="AS613" i="1"/>
  <c r="AS612" i="1"/>
  <c r="AS611" i="1"/>
  <c r="AS610" i="1"/>
  <c r="AS609" i="1"/>
  <c r="AS608" i="1"/>
  <c r="AS607" i="1"/>
  <c r="AS606" i="1"/>
  <c r="AS605" i="1"/>
  <c r="AS604" i="1"/>
  <c r="AS603" i="1"/>
  <c r="AS602" i="1"/>
  <c r="AS601" i="1"/>
  <c r="AS600" i="1"/>
  <c r="AS599" i="1"/>
  <c r="AS598" i="1"/>
  <c r="AS597" i="1"/>
  <c r="AS596" i="1"/>
  <c r="AS595" i="1"/>
  <c r="AS594" i="1"/>
  <c r="AS593" i="1"/>
  <c r="AS592" i="1"/>
  <c r="AS591" i="1"/>
  <c r="AS590" i="1"/>
  <c r="AS589" i="1"/>
  <c r="AS588" i="1"/>
  <c r="AS587" i="1"/>
  <c r="AS586" i="1"/>
  <c r="AS585" i="1"/>
  <c r="AS584" i="1"/>
  <c r="AS583" i="1"/>
  <c r="AS582" i="1"/>
  <c r="AS581" i="1"/>
  <c r="AS580" i="1"/>
  <c r="AS579" i="1"/>
  <c r="AS578" i="1"/>
  <c r="AS577" i="1"/>
  <c r="AS576" i="1"/>
  <c r="AS575" i="1"/>
  <c r="AS574" i="1"/>
  <c r="AS573" i="1"/>
  <c r="AS572" i="1"/>
  <c r="AS571" i="1"/>
  <c r="AS570" i="1"/>
  <c r="AS569" i="1"/>
  <c r="AS568" i="1"/>
  <c r="AS567" i="1"/>
  <c r="AS566" i="1"/>
  <c r="AS565" i="1"/>
  <c r="AS564" i="1"/>
  <c r="AS563" i="1"/>
  <c r="AS562" i="1"/>
  <c r="AS561" i="1"/>
  <c r="AS560" i="1"/>
  <c r="AS559" i="1"/>
  <c r="AS558" i="1"/>
  <c r="AS557" i="1"/>
  <c r="AS556" i="1"/>
  <c r="AS555" i="1"/>
  <c r="AS554" i="1"/>
  <c r="AS553" i="1"/>
  <c r="AS552" i="1"/>
  <c r="AS551" i="1"/>
  <c r="AS550" i="1"/>
  <c r="AS549" i="1"/>
  <c r="AS548" i="1"/>
  <c r="AS547" i="1"/>
  <c r="AS546" i="1"/>
  <c r="AS545" i="1"/>
  <c r="AS544" i="1"/>
  <c r="AS543" i="1"/>
  <c r="AS542" i="1"/>
  <c r="AS541" i="1"/>
  <c r="AS540" i="1"/>
  <c r="AS539" i="1"/>
  <c r="AS538" i="1"/>
  <c r="AS537" i="1"/>
  <c r="AS536" i="1"/>
  <c r="AS535" i="1"/>
  <c r="AS534" i="1"/>
  <c r="AS533" i="1"/>
  <c r="AS532" i="1"/>
  <c r="AS531" i="1"/>
  <c r="AS530" i="1"/>
  <c r="AS529" i="1"/>
  <c r="AS528" i="1"/>
  <c r="AS527" i="1"/>
  <c r="AS526" i="1"/>
  <c r="AS525" i="1"/>
  <c r="AS524" i="1"/>
  <c r="AS523" i="1"/>
  <c r="AS522" i="1"/>
  <c r="AS521" i="1"/>
  <c r="AS520" i="1"/>
  <c r="AS519" i="1"/>
  <c r="AS518" i="1"/>
  <c r="AS517" i="1"/>
  <c r="AS516" i="1"/>
  <c r="AS515" i="1"/>
  <c r="AS514" i="1"/>
  <c r="AS513" i="1"/>
  <c r="AS512" i="1"/>
  <c r="AS511" i="1"/>
  <c r="AS510" i="1"/>
  <c r="AS509" i="1"/>
  <c r="AS508" i="1"/>
  <c r="AS507" i="1"/>
  <c r="AS506" i="1"/>
  <c r="AS505" i="1"/>
  <c r="AS504" i="1"/>
  <c r="AS503" i="1"/>
  <c r="AS502" i="1"/>
  <c r="AS501" i="1"/>
  <c r="AS500" i="1"/>
  <c r="AS499" i="1"/>
  <c r="AS498" i="1"/>
  <c r="AS497" i="1"/>
  <c r="AS496" i="1"/>
  <c r="AS495" i="1"/>
  <c r="AS494" i="1"/>
  <c r="AS493" i="1"/>
  <c r="AS492" i="1"/>
  <c r="AS491" i="1"/>
  <c r="AS490" i="1"/>
  <c r="AS489" i="1"/>
  <c r="AS488" i="1"/>
  <c r="AS487" i="1"/>
  <c r="AS486" i="1"/>
  <c r="AS485" i="1"/>
  <c r="AS484" i="1"/>
  <c r="AS483" i="1"/>
  <c r="AS482" i="1"/>
  <c r="AS481" i="1"/>
  <c r="AS480" i="1"/>
  <c r="AS479" i="1"/>
  <c r="AS478" i="1"/>
  <c r="AS477" i="1"/>
  <c r="AS476" i="1"/>
  <c r="AS475" i="1"/>
  <c r="AS474" i="1"/>
  <c r="AS473" i="1"/>
  <c r="AS472" i="1"/>
  <c r="AS471" i="1"/>
  <c r="AS470" i="1"/>
  <c r="AS469" i="1"/>
  <c r="AS468" i="1"/>
  <c r="AS467" i="1"/>
  <c r="AS466" i="1"/>
  <c r="AS465" i="1"/>
  <c r="AS464" i="1"/>
  <c r="AS463" i="1"/>
  <c r="AS462" i="1"/>
  <c r="AS461" i="1"/>
  <c r="AS460" i="1"/>
  <c r="AS459" i="1"/>
  <c r="AS458" i="1"/>
  <c r="AS457" i="1"/>
  <c r="AS456" i="1"/>
  <c r="AS455" i="1"/>
  <c r="AS454" i="1"/>
  <c r="AS453" i="1"/>
  <c r="AS452" i="1"/>
  <c r="AS451" i="1"/>
  <c r="AS450" i="1"/>
  <c r="AS449" i="1"/>
  <c r="AS448" i="1"/>
  <c r="AS447" i="1"/>
  <c r="AS446" i="1"/>
  <c r="AS445" i="1"/>
  <c r="AS444" i="1"/>
  <c r="AS443" i="1"/>
  <c r="AS442" i="1"/>
  <c r="AS441" i="1"/>
  <c r="AS440" i="1"/>
  <c r="AS439" i="1"/>
  <c r="AS438" i="1"/>
  <c r="AS437" i="1"/>
  <c r="AS436" i="1"/>
  <c r="AS435" i="1"/>
  <c r="AS434" i="1"/>
  <c r="AS433" i="1"/>
  <c r="AS432" i="1"/>
  <c r="AS431" i="1"/>
  <c r="AS430" i="1"/>
  <c r="AS429" i="1"/>
  <c r="AS428" i="1"/>
  <c r="AS427" i="1"/>
  <c r="AS426" i="1"/>
  <c r="AS425" i="1"/>
  <c r="AS424" i="1"/>
  <c r="AS423" i="1"/>
  <c r="AS422" i="1"/>
  <c r="AS421" i="1"/>
  <c r="AS420" i="1"/>
  <c r="AS419" i="1"/>
  <c r="AS418" i="1"/>
  <c r="AS417" i="1"/>
  <c r="AS416" i="1"/>
  <c r="AS415" i="1"/>
  <c r="AS414" i="1"/>
  <c r="AS413" i="1"/>
  <c r="AS412" i="1"/>
  <c r="AS411" i="1"/>
  <c r="AS410" i="1"/>
  <c r="AS409" i="1"/>
  <c r="AS408" i="1"/>
  <c r="AS407" i="1"/>
  <c r="AS406" i="1"/>
  <c r="AS405" i="1"/>
  <c r="AS404" i="1"/>
  <c r="AS403" i="1"/>
  <c r="AS402" i="1"/>
  <c r="AS401" i="1"/>
  <c r="AS400" i="1"/>
  <c r="AS399" i="1"/>
  <c r="AS398" i="1"/>
  <c r="AS397" i="1"/>
  <c r="AS396" i="1"/>
  <c r="AS395" i="1"/>
  <c r="AS394" i="1"/>
  <c r="AS393" i="1"/>
  <c r="AS392" i="1"/>
  <c r="AS391" i="1"/>
  <c r="AS390" i="1"/>
  <c r="AS389" i="1"/>
  <c r="AS388" i="1"/>
  <c r="AS387" i="1"/>
  <c r="AS386" i="1"/>
  <c r="AS385" i="1"/>
  <c r="AS384" i="1"/>
  <c r="AS383" i="1"/>
  <c r="AS382" i="1"/>
  <c r="AS381" i="1"/>
  <c r="AS380" i="1"/>
  <c r="AS379" i="1"/>
  <c r="AS378" i="1"/>
  <c r="AS377" i="1"/>
  <c r="AS376" i="1"/>
  <c r="AS375" i="1"/>
  <c r="AS374" i="1"/>
  <c r="AS373" i="1"/>
  <c r="AS372" i="1"/>
  <c r="AS371" i="1"/>
  <c r="AS370" i="1"/>
  <c r="AS369" i="1"/>
  <c r="AS368" i="1"/>
  <c r="AS367" i="1"/>
  <c r="AS366" i="1"/>
  <c r="AS365" i="1"/>
  <c r="AS364" i="1"/>
  <c r="AS363" i="1"/>
  <c r="AS362" i="1"/>
  <c r="AS361" i="1"/>
  <c r="AS360" i="1"/>
  <c r="AS359" i="1"/>
  <c r="AS358" i="1"/>
  <c r="AS357" i="1"/>
  <c r="AS356" i="1"/>
  <c r="AS355" i="1"/>
  <c r="AS354" i="1"/>
  <c r="AS353" i="1"/>
  <c r="AS352" i="1"/>
  <c r="AS351" i="1"/>
  <c r="AS350" i="1"/>
  <c r="AS349" i="1"/>
  <c r="AS348" i="1"/>
  <c r="AS347" i="1"/>
  <c r="AS346" i="1"/>
  <c r="AS345" i="1"/>
  <c r="AS344" i="1"/>
  <c r="AS343" i="1"/>
  <c r="AS342" i="1"/>
  <c r="AS341" i="1"/>
  <c r="AS340" i="1"/>
  <c r="AS339" i="1"/>
  <c r="AS338" i="1"/>
  <c r="AS337" i="1"/>
  <c r="AS336" i="1"/>
  <c r="AS335" i="1"/>
  <c r="AS334" i="1"/>
  <c r="AS333" i="1"/>
  <c r="AS332" i="1"/>
  <c r="AS331" i="1"/>
  <c r="AS330" i="1"/>
  <c r="AS329" i="1"/>
  <c r="AS328" i="1"/>
  <c r="AS327" i="1"/>
  <c r="AS326" i="1"/>
  <c r="AS325" i="1"/>
  <c r="AS324" i="1"/>
  <c r="AS323" i="1"/>
  <c r="AS322" i="1"/>
  <c r="AS321" i="1"/>
  <c r="AS320" i="1"/>
  <c r="AS319" i="1"/>
  <c r="AS318" i="1"/>
  <c r="AS317" i="1"/>
  <c r="AS316" i="1"/>
  <c r="AS315" i="1"/>
  <c r="AS314" i="1"/>
  <c r="AS313" i="1"/>
  <c r="AS312" i="1"/>
  <c r="AS311" i="1"/>
  <c r="AS310" i="1"/>
  <c r="AS309" i="1"/>
  <c r="AS308" i="1"/>
  <c r="AS307" i="1"/>
  <c r="AS306" i="1"/>
  <c r="AS305" i="1"/>
  <c r="AS304" i="1"/>
  <c r="AS303" i="1"/>
  <c r="AS302" i="1"/>
  <c r="AS301" i="1"/>
  <c r="AS300" i="1"/>
  <c r="AS299" i="1"/>
  <c r="AS298" i="1"/>
  <c r="AS297" i="1"/>
  <c r="AS296" i="1"/>
  <c r="AS295" i="1"/>
  <c r="AS294" i="1"/>
  <c r="AS293" i="1"/>
  <c r="AS292" i="1"/>
  <c r="AS291" i="1"/>
  <c r="AS290" i="1"/>
  <c r="AS289" i="1"/>
  <c r="AS288" i="1"/>
  <c r="AS287" i="1"/>
  <c r="AS286" i="1"/>
  <c r="AS285" i="1"/>
  <c r="AS284" i="1"/>
  <c r="AS283" i="1"/>
  <c r="AS282" i="1"/>
  <c r="AS281" i="1"/>
  <c r="AS280" i="1"/>
  <c r="AS279" i="1"/>
  <c r="AS278" i="1"/>
  <c r="AS277" i="1"/>
  <c r="AS276" i="1"/>
  <c r="AS275" i="1"/>
  <c r="AS274" i="1"/>
  <c r="AS273" i="1"/>
  <c r="AS272" i="1"/>
  <c r="AS271" i="1"/>
  <c r="AS270" i="1"/>
  <c r="AS269" i="1"/>
  <c r="AS268" i="1"/>
  <c r="AS267" i="1"/>
  <c r="AS266" i="1"/>
  <c r="AS265" i="1"/>
  <c r="AS264" i="1"/>
  <c r="AS263" i="1"/>
  <c r="AS262" i="1"/>
  <c r="AS261" i="1"/>
  <c r="AS260" i="1"/>
  <c r="AS259" i="1"/>
  <c r="AS258" i="1"/>
  <c r="AS257" i="1"/>
  <c r="AS256" i="1"/>
  <c r="AS255" i="1"/>
  <c r="AS254" i="1"/>
  <c r="AS253" i="1"/>
  <c r="AS252" i="1"/>
  <c r="AS251" i="1"/>
  <c r="AS250" i="1"/>
  <c r="AS249" i="1"/>
  <c r="AS248" i="1"/>
  <c r="AS247" i="1"/>
  <c r="AS246" i="1"/>
  <c r="AS245" i="1"/>
  <c r="AS244" i="1"/>
  <c r="AS243" i="1"/>
  <c r="AS242" i="1"/>
  <c r="AS241" i="1"/>
  <c r="AS240" i="1"/>
  <c r="AS239" i="1"/>
  <c r="AS238" i="1"/>
  <c r="AS237" i="1"/>
  <c r="AS236" i="1"/>
  <c r="AS235" i="1"/>
  <c r="AS234" i="1"/>
  <c r="AS233" i="1"/>
  <c r="AS232" i="1"/>
  <c r="AS231" i="1"/>
  <c r="AS230" i="1"/>
  <c r="AS229" i="1"/>
  <c r="AS228" i="1"/>
  <c r="AS227" i="1"/>
  <c r="AS226" i="1"/>
  <c r="AS225" i="1"/>
  <c r="AS224" i="1"/>
  <c r="AS223" i="1"/>
  <c r="AS222" i="1"/>
  <c r="AS221" i="1"/>
  <c r="AS220" i="1"/>
  <c r="AS219" i="1"/>
  <c r="AS218" i="1"/>
  <c r="AS217" i="1"/>
  <c r="AS216" i="1"/>
  <c r="AS215" i="1"/>
  <c r="AS214" i="1"/>
  <c r="AS213" i="1"/>
  <c r="AS212" i="1"/>
  <c r="AS211" i="1"/>
  <c r="AS210" i="1"/>
  <c r="AS209" i="1"/>
  <c r="AS208" i="1"/>
  <c r="AS207" i="1"/>
  <c r="AS206" i="1"/>
  <c r="AS205" i="1"/>
  <c r="AS204" i="1"/>
  <c r="AS203" i="1"/>
  <c r="AS202" i="1"/>
  <c r="AS201" i="1"/>
  <c r="AS200" i="1"/>
  <c r="AS199" i="1"/>
  <c r="AS198" i="1"/>
  <c r="AS197" i="1"/>
  <c r="AS196" i="1"/>
  <c r="AS195" i="1"/>
  <c r="AS194" i="1"/>
  <c r="AS193" i="1"/>
  <c r="AS192" i="1"/>
  <c r="AS191" i="1"/>
  <c r="AS190" i="1"/>
  <c r="AS189" i="1"/>
  <c r="AS188" i="1"/>
  <c r="AS187" i="1"/>
  <c r="AS186" i="1"/>
  <c r="AS185" i="1"/>
  <c r="AS184" i="1"/>
  <c r="AS183" i="1"/>
  <c r="AS182" i="1"/>
  <c r="AS181" i="1"/>
  <c r="AS180" i="1"/>
  <c r="AS179" i="1"/>
  <c r="AS178" i="1"/>
  <c r="AS177" i="1"/>
  <c r="AS176" i="1"/>
  <c r="AS175" i="1"/>
  <c r="AS174" i="1"/>
  <c r="AS173" i="1"/>
  <c r="AS172" i="1"/>
  <c r="AS171" i="1"/>
  <c r="AS170" i="1"/>
  <c r="AS169" i="1"/>
  <c r="AS168" i="1"/>
  <c r="AS167" i="1"/>
  <c r="AS166" i="1"/>
  <c r="AS165" i="1"/>
  <c r="AS164" i="1"/>
  <c r="AS163" i="1"/>
  <c r="AS162" i="1"/>
  <c r="AS161" i="1"/>
  <c r="AS160" i="1"/>
  <c r="AS159" i="1"/>
  <c r="AS158" i="1"/>
  <c r="AS157" i="1"/>
  <c r="AS156" i="1"/>
  <c r="AS155" i="1"/>
  <c r="AS154" i="1"/>
  <c r="AS153" i="1"/>
  <c r="AS152" i="1"/>
  <c r="AS151" i="1"/>
  <c r="AS150" i="1"/>
  <c r="AS149" i="1"/>
  <c r="AS148" i="1"/>
  <c r="AS147" i="1"/>
  <c r="AS146" i="1"/>
  <c r="AS145" i="1"/>
  <c r="AS144" i="1"/>
  <c r="AS143" i="1"/>
  <c r="AS142" i="1"/>
  <c r="AS141" i="1"/>
  <c r="AS140" i="1"/>
  <c r="AS139" i="1"/>
  <c r="AS138" i="1"/>
  <c r="AS137" i="1"/>
  <c r="AS136" i="1"/>
  <c r="AS135" i="1"/>
  <c r="AS134" i="1"/>
  <c r="AS133" i="1"/>
  <c r="AS132" i="1"/>
  <c r="AS131" i="1"/>
  <c r="AS130" i="1"/>
  <c r="AS129" i="1"/>
  <c r="AS128" i="1"/>
  <c r="AS127" i="1"/>
  <c r="AS126" i="1"/>
  <c r="AS125" i="1"/>
  <c r="AS124" i="1"/>
  <c r="AS123" i="1"/>
  <c r="AS122" i="1"/>
  <c r="AS121" i="1"/>
  <c r="AS120" i="1"/>
  <c r="AS119" i="1"/>
  <c r="AS118" i="1"/>
  <c r="AS117" i="1"/>
  <c r="AS116" i="1"/>
  <c r="AS115" i="1"/>
  <c r="AS114" i="1"/>
  <c r="AS113" i="1"/>
  <c r="AS112" i="1"/>
  <c r="AS111" i="1"/>
  <c r="AS110" i="1"/>
  <c r="AS109" i="1"/>
  <c r="AS108" i="1"/>
  <c r="AS107" i="1"/>
  <c r="AS106" i="1"/>
  <c r="AS105" i="1"/>
  <c r="AS104" i="1"/>
  <c r="AS103" i="1"/>
  <c r="AS102" i="1"/>
  <c r="AS101" i="1"/>
  <c r="AS100" i="1"/>
  <c r="AS99" i="1"/>
  <c r="AS98" i="1"/>
  <c r="AS97" i="1"/>
  <c r="AS96" i="1"/>
  <c r="AS95" i="1"/>
  <c r="AS94" i="1"/>
  <c r="AS93" i="1"/>
  <c r="AS92" i="1"/>
  <c r="AS91" i="1"/>
  <c r="AS90" i="1"/>
  <c r="AS89" i="1"/>
  <c r="AS88" i="1"/>
  <c r="AS87" i="1"/>
  <c r="AS86" i="1"/>
  <c r="AS85" i="1"/>
  <c r="AS84" i="1"/>
  <c r="AS83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T1011" i="1"/>
  <c r="AT1010" i="1"/>
  <c r="AT1009" i="1"/>
  <c r="AT1008" i="1"/>
  <c r="AT1007" i="1"/>
  <c r="AT1006" i="1"/>
  <c r="AT1005" i="1"/>
  <c r="AT1004" i="1"/>
  <c r="AT1003" i="1"/>
  <c r="AT1002" i="1"/>
  <c r="AT1001" i="1"/>
  <c r="AT1000" i="1"/>
  <c r="AT999" i="1"/>
  <c r="AT998" i="1"/>
  <c r="AT997" i="1"/>
  <c r="AT996" i="1"/>
  <c r="AT995" i="1"/>
  <c r="AT994" i="1"/>
  <c r="AT993" i="1"/>
  <c r="AT992" i="1"/>
  <c r="AT991" i="1"/>
  <c r="AT990" i="1"/>
  <c r="AT989" i="1"/>
  <c r="AT988" i="1"/>
  <c r="AT987" i="1"/>
  <c r="AT986" i="1"/>
  <c r="AT985" i="1"/>
  <c r="AT984" i="1"/>
  <c r="AT983" i="1"/>
  <c r="AT982" i="1"/>
  <c r="AT981" i="1"/>
  <c r="AT980" i="1"/>
  <c r="AT979" i="1"/>
  <c r="AT978" i="1"/>
  <c r="AT977" i="1"/>
  <c r="AT976" i="1"/>
  <c r="AT975" i="1"/>
  <c r="AT974" i="1"/>
  <c r="AT973" i="1"/>
  <c r="AT972" i="1"/>
  <c r="AT971" i="1"/>
  <c r="AT970" i="1"/>
  <c r="AT969" i="1"/>
  <c r="AT968" i="1"/>
  <c r="AT967" i="1"/>
  <c r="AT966" i="1"/>
  <c r="AT965" i="1"/>
  <c r="AT964" i="1"/>
  <c r="AT963" i="1"/>
  <c r="AT962" i="1"/>
  <c r="AT961" i="1"/>
  <c r="AT960" i="1"/>
  <c r="AT959" i="1"/>
  <c r="AT958" i="1"/>
  <c r="AT957" i="1"/>
  <c r="AT956" i="1"/>
  <c r="AT955" i="1"/>
  <c r="AT954" i="1"/>
  <c r="AT953" i="1"/>
  <c r="AT952" i="1"/>
  <c r="AT951" i="1"/>
  <c r="AT950" i="1"/>
  <c r="AT949" i="1"/>
  <c r="AT948" i="1"/>
  <c r="AT947" i="1"/>
  <c r="AT946" i="1"/>
  <c r="AT945" i="1"/>
  <c r="AT944" i="1"/>
  <c r="AT943" i="1"/>
  <c r="AT942" i="1"/>
  <c r="AT941" i="1"/>
  <c r="AT940" i="1"/>
  <c r="AT939" i="1"/>
  <c r="AT938" i="1"/>
  <c r="AT937" i="1"/>
  <c r="AT936" i="1"/>
  <c r="AT935" i="1"/>
  <c r="AT934" i="1"/>
  <c r="AT933" i="1"/>
  <c r="AT932" i="1"/>
  <c r="AT931" i="1"/>
  <c r="AT930" i="1"/>
  <c r="AT929" i="1"/>
  <c r="AT928" i="1"/>
  <c r="AT927" i="1"/>
  <c r="AT926" i="1"/>
  <c r="AT925" i="1"/>
  <c r="AT924" i="1"/>
  <c r="AT923" i="1"/>
  <c r="AT922" i="1"/>
  <c r="AT921" i="1"/>
  <c r="AT920" i="1"/>
  <c r="AT919" i="1"/>
  <c r="AT918" i="1"/>
  <c r="AT917" i="1"/>
  <c r="AT916" i="1"/>
  <c r="AT915" i="1"/>
  <c r="AT914" i="1"/>
  <c r="AT913" i="1"/>
  <c r="AT912" i="1"/>
  <c r="AT911" i="1"/>
  <c r="AT910" i="1"/>
  <c r="AT909" i="1"/>
  <c r="AT908" i="1"/>
  <c r="AT907" i="1"/>
  <c r="AT906" i="1"/>
  <c r="AT905" i="1"/>
  <c r="AT904" i="1"/>
  <c r="AT903" i="1"/>
  <c r="AT902" i="1"/>
  <c r="AT901" i="1"/>
  <c r="AT900" i="1"/>
  <c r="AT899" i="1"/>
  <c r="AT898" i="1"/>
  <c r="AT897" i="1"/>
  <c r="AT896" i="1"/>
  <c r="AT895" i="1"/>
  <c r="AT894" i="1"/>
  <c r="AT893" i="1"/>
  <c r="AT892" i="1"/>
  <c r="AT891" i="1"/>
  <c r="AT890" i="1"/>
  <c r="AT889" i="1"/>
  <c r="AT888" i="1"/>
  <c r="AT887" i="1"/>
  <c r="AT886" i="1"/>
  <c r="AT885" i="1"/>
  <c r="AT884" i="1"/>
  <c r="AT883" i="1"/>
  <c r="AT882" i="1"/>
  <c r="AT881" i="1"/>
  <c r="AT880" i="1"/>
  <c r="AT879" i="1"/>
  <c r="AT878" i="1"/>
  <c r="AT877" i="1"/>
  <c r="AT876" i="1"/>
  <c r="AT875" i="1"/>
  <c r="AT874" i="1"/>
  <c r="AT873" i="1"/>
  <c r="AT872" i="1"/>
  <c r="AT871" i="1"/>
  <c r="AT870" i="1"/>
  <c r="AT869" i="1"/>
  <c r="AT868" i="1"/>
  <c r="AT867" i="1"/>
  <c r="AT866" i="1"/>
  <c r="AT865" i="1"/>
  <c r="AT864" i="1"/>
  <c r="AT863" i="1"/>
  <c r="AT862" i="1"/>
  <c r="AT861" i="1"/>
  <c r="AT860" i="1"/>
  <c r="AT859" i="1"/>
  <c r="AT858" i="1"/>
  <c r="AT857" i="1"/>
  <c r="AT856" i="1"/>
  <c r="AT855" i="1"/>
  <c r="AT854" i="1"/>
  <c r="AT853" i="1"/>
  <c r="AT852" i="1"/>
  <c r="AT851" i="1"/>
  <c r="AT850" i="1"/>
  <c r="AT849" i="1"/>
  <c r="AT848" i="1"/>
  <c r="AT847" i="1"/>
  <c r="AT846" i="1"/>
  <c r="AT845" i="1"/>
  <c r="AT844" i="1"/>
  <c r="AT843" i="1"/>
  <c r="AT842" i="1"/>
  <c r="AT841" i="1"/>
  <c r="AT840" i="1"/>
  <c r="AT839" i="1"/>
  <c r="AT838" i="1"/>
  <c r="AT837" i="1"/>
  <c r="AT836" i="1"/>
  <c r="AT835" i="1"/>
  <c r="AT834" i="1"/>
  <c r="AT833" i="1"/>
  <c r="AT832" i="1"/>
  <c r="AT831" i="1"/>
  <c r="AT830" i="1"/>
  <c r="AT829" i="1"/>
  <c r="AT828" i="1"/>
  <c r="AT827" i="1"/>
  <c r="AT826" i="1"/>
  <c r="AT825" i="1"/>
  <c r="AT824" i="1"/>
  <c r="AT823" i="1"/>
  <c r="AT822" i="1"/>
  <c r="AT821" i="1"/>
  <c r="AT820" i="1"/>
  <c r="AT819" i="1"/>
  <c r="AT818" i="1"/>
  <c r="AT817" i="1"/>
  <c r="AT816" i="1"/>
  <c r="AT815" i="1"/>
  <c r="AT814" i="1"/>
  <c r="AT813" i="1"/>
  <c r="AT812" i="1"/>
  <c r="AT811" i="1"/>
  <c r="AT810" i="1"/>
  <c r="AT809" i="1"/>
  <c r="AT808" i="1"/>
  <c r="AT807" i="1"/>
  <c r="AT806" i="1"/>
  <c r="AT805" i="1"/>
  <c r="AT804" i="1"/>
  <c r="AT803" i="1"/>
  <c r="AT802" i="1"/>
  <c r="AT801" i="1"/>
  <c r="AT800" i="1"/>
  <c r="AT799" i="1"/>
  <c r="AT798" i="1"/>
  <c r="AT797" i="1"/>
  <c r="AT796" i="1"/>
  <c r="AT795" i="1"/>
  <c r="AT794" i="1"/>
  <c r="AT793" i="1"/>
  <c r="AT792" i="1"/>
  <c r="AT791" i="1"/>
  <c r="AT790" i="1"/>
  <c r="AT789" i="1"/>
  <c r="AT788" i="1"/>
  <c r="AT787" i="1"/>
  <c r="AT786" i="1"/>
  <c r="AT785" i="1"/>
  <c r="AT784" i="1"/>
  <c r="AT783" i="1"/>
  <c r="AT782" i="1"/>
  <c r="AT781" i="1"/>
  <c r="AT780" i="1"/>
  <c r="AT779" i="1"/>
  <c r="AT778" i="1"/>
  <c r="AT777" i="1"/>
  <c r="AT776" i="1"/>
  <c r="AT775" i="1"/>
  <c r="AT774" i="1"/>
  <c r="AT773" i="1"/>
  <c r="AT772" i="1"/>
  <c r="AT771" i="1"/>
  <c r="AT770" i="1"/>
  <c r="AT769" i="1"/>
  <c r="AT768" i="1"/>
  <c r="AT767" i="1"/>
  <c r="AT766" i="1"/>
  <c r="AT765" i="1"/>
  <c r="AT764" i="1"/>
  <c r="AT763" i="1"/>
  <c r="AT762" i="1"/>
  <c r="AT761" i="1"/>
  <c r="AT760" i="1"/>
  <c r="AT759" i="1"/>
  <c r="AT758" i="1"/>
  <c r="AT757" i="1"/>
  <c r="AT756" i="1"/>
  <c r="AT755" i="1"/>
  <c r="AT754" i="1"/>
  <c r="AT753" i="1"/>
  <c r="AT752" i="1"/>
  <c r="AT751" i="1"/>
  <c r="AT750" i="1"/>
  <c r="AT749" i="1"/>
  <c r="AT748" i="1"/>
  <c r="AT747" i="1"/>
  <c r="AT746" i="1"/>
  <c r="AT745" i="1"/>
  <c r="AT744" i="1"/>
  <c r="AT743" i="1"/>
  <c r="AT742" i="1"/>
  <c r="AT741" i="1"/>
  <c r="AT740" i="1"/>
  <c r="AT739" i="1"/>
  <c r="AT738" i="1"/>
  <c r="AT737" i="1"/>
  <c r="AT736" i="1"/>
  <c r="AT735" i="1"/>
  <c r="AT734" i="1"/>
  <c r="AT733" i="1"/>
  <c r="AT732" i="1"/>
  <c r="AT731" i="1"/>
  <c r="AT730" i="1"/>
  <c r="AT729" i="1"/>
  <c r="AT728" i="1"/>
  <c r="AT727" i="1"/>
  <c r="AT726" i="1"/>
  <c r="AT725" i="1"/>
  <c r="AT724" i="1"/>
  <c r="AT723" i="1"/>
  <c r="AT722" i="1"/>
  <c r="AT721" i="1"/>
  <c r="AT720" i="1"/>
  <c r="AT719" i="1"/>
  <c r="AT718" i="1"/>
  <c r="AT717" i="1"/>
  <c r="AT716" i="1"/>
  <c r="AT715" i="1"/>
  <c r="AT714" i="1"/>
  <c r="AT713" i="1"/>
  <c r="AT712" i="1"/>
  <c r="AT711" i="1"/>
  <c r="AT710" i="1"/>
  <c r="AT709" i="1"/>
  <c r="AT708" i="1"/>
  <c r="AT707" i="1"/>
  <c r="AT706" i="1"/>
  <c r="AT705" i="1"/>
  <c r="AT704" i="1"/>
  <c r="AT703" i="1"/>
  <c r="AT702" i="1"/>
  <c r="AT701" i="1"/>
  <c r="AT700" i="1"/>
  <c r="AT699" i="1"/>
  <c r="AT698" i="1"/>
  <c r="AT697" i="1"/>
  <c r="AT696" i="1"/>
  <c r="AT695" i="1"/>
  <c r="AT694" i="1"/>
  <c r="AT693" i="1"/>
  <c r="AT692" i="1"/>
  <c r="AT691" i="1"/>
  <c r="AT690" i="1"/>
  <c r="AT689" i="1"/>
  <c r="AT688" i="1"/>
  <c r="AT687" i="1"/>
  <c r="AT686" i="1"/>
  <c r="AT685" i="1"/>
  <c r="AT684" i="1"/>
  <c r="AT683" i="1"/>
  <c r="AT682" i="1"/>
  <c r="AT681" i="1"/>
  <c r="AT680" i="1"/>
  <c r="AT679" i="1"/>
  <c r="AT678" i="1"/>
  <c r="AT677" i="1"/>
  <c r="AT676" i="1"/>
  <c r="AT675" i="1"/>
  <c r="AT674" i="1"/>
  <c r="AT673" i="1"/>
  <c r="AT672" i="1"/>
  <c r="AT671" i="1"/>
  <c r="AT670" i="1"/>
  <c r="AT669" i="1"/>
  <c r="AT668" i="1"/>
  <c r="AT667" i="1"/>
  <c r="AT666" i="1"/>
  <c r="AT665" i="1"/>
  <c r="AT664" i="1"/>
  <c r="AT663" i="1"/>
  <c r="AT662" i="1"/>
  <c r="AT661" i="1"/>
  <c r="AT660" i="1"/>
  <c r="AT659" i="1"/>
  <c r="AT658" i="1"/>
  <c r="AT657" i="1"/>
  <c r="AT656" i="1"/>
  <c r="AT655" i="1"/>
  <c r="AT654" i="1"/>
  <c r="AT653" i="1"/>
  <c r="AT652" i="1"/>
  <c r="AT651" i="1"/>
  <c r="AT650" i="1"/>
  <c r="AT649" i="1"/>
  <c r="AT648" i="1"/>
  <c r="AT647" i="1"/>
  <c r="AT646" i="1"/>
  <c r="AT645" i="1"/>
  <c r="AT644" i="1"/>
  <c r="AT643" i="1"/>
  <c r="AT642" i="1"/>
  <c r="AT641" i="1"/>
  <c r="AT640" i="1"/>
  <c r="AT639" i="1"/>
  <c r="AT638" i="1"/>
  <c r="AT637" i="1"/>
  <c r="AT636" i="1"/>
  <c r="AT635" i="1"/>
  <c r="AT634" i="1"/>
  <c r="AT633" i="1"/>
  <c r="AT632" i="1"/>
  <c r="AT631" i="1"/>
  <c r="AT630" i="1"/>
  <c r="AT629" i="1"/>
  <c r="AT628" i="1"/>
  <c r="AT627" i="1"/>
  <c r="AT626" i="1"/>
  <c r="AT625" i="1"/>
  <c r="AT624" i="1"/>
  <c r="AT623" i="1"/>
  <c r="AT622" i="1"/>
  <c r="AT621" i="1"/>
  <c r="AT620" i="1"/>
  <c r="AT619" i="1"/>
  <c r="AT618" i="1"/>
  <c r="AT617" i="1"/>
  <c r="AT616" i="1"/>
  <c r="AT615" i="1"/>
  <c r="AT614" i="1"/>
  <c r="AT613" i="1"/>
  <c r="AT612" i="1"/>
  <c r="AT611" i="1"/>
  <c r="AT610" i="1"/>
  <c r="AT609" i="1"/>
  <c r="AT608" i="1"/>
  <c r="AT607" i="1"/>
  <c r="AT606" i="1"/>
  <c r="AT605" i="1"/>
  <c r="AT604" i="1"/>
  <c r="AT603" i="1"/>
  <c r="AT602" i="1"/>
  <c r="AT601" i="1"/>
  <c r="AT600" i="1"/>
  <c r="AT599" i="1"/>
  <c r="AT598" i="1"/>
  <c r="AT597" i="1"/>
  <c r="AT596" i="1"/>
  <c r="AT595" i="1"/>
  <c r="AT594" i="1"/>
  <c r="AT593" i="1"/>
  <c r="AT592" i="1"/>
  <c r="AT591" i="1"/>
  <c r="AT590" i="1"/>
  <c r="AT589" i="1"/>
  <c r="AT588" i="1"/>
  <c r="AT587" i="1"/>
  <c r="AT586" i="1"/>
  <c r="AT585" i="1"/>
  <c r="AT584" i="1"/>
  <c r="AT583" i="1"/>
  <c r="AT582" i="1"/>
  <c r="AT581" i="1"/>
  <c r="AT580" i="1"/>
  <c r="AT579" i="1"/>
  <c r="AT578" i="1"/>
  <c r="AT577" i="1"/>
  <c r="AT576" i="1"/>
  <c r="AT575" i="1"/>
  <c r="AT574" i="1"/>
  <c r="AT573" i="1"/>
  <c r="AT572" i="1"/>
  <c r="AT571" i="1"/>
  <c r="AT570" i="1"/>
  <c r="AT569" i="1"/>
  <c r="AT568" i="1"/>
  <c r="AT567" i="1"/>
  <c r="AT566" i="1"/>
  <c r="AT565" i="1"/>
  <c r="AT564" i="1"/>
  <c r="AT563" i="1"/>
  <c r="AT562" i="1"/>
  <c r="AT561" i="1"/>
  <c r="AT560" i="1"/>
  <c r="AT559" i="1"/>
  <c r="AT558" i="1"/>
  <c r="AT557" i="1"/>
  <c r="AT556" i="1"/>
  <c r="AT555" i="1"/>
  <c r="AT554" i="1"/>
  <c r="AT553" i="1"/>
  <c r="AT552" i="1"/>
  <c r="AT551" i="1"/>
  <c r="AT550" i="1"/>
  <c r="AT549" i="1"/>
  <c r="AT548" i="1"/>
  <c r="AT547" i="1"/>
  <c r="AT546" i="1"/>
  <c r="AT545" i="1"/>
  <c r="AT544" i="1"/>
  <c r="AT543" i="1"/>
  <c r="AT542" i="1"/>
  <c r="AT541" i="1"/>
  <c r="AT540" i="1"/>
  <c r="AT539" i="1"/>
  <c r="AT538" i="1"/>
  <c r="AT537" i="1"/>
  <c r="AT536" i="1"/>
  <c r="AT535" i="1"/>
  <c r="AT534" i="1"/>
  <c r="AT533" i="1"/>
  <c r="AT532" i="1"/>
  <c r="AT531" i="1"/>
  <c r="AT530" i="1"/>
  <c r="AT529" i="1"/>
  <c r="AT528" i="1"/>
  <c r="AT527" i="1"/>
  <c r="AT526" i="1"/>
  <c r="AT525" i="1"/>
  <c r="AT524" i="1"/>
  <c r="AT523" i="1"/>
  <c r="AT522" i="1"/>
  <c r="AT521" i="1"/>
  <c r="AT520" i="1"/>
  <c r="AT519" i="1"/>
  <c r="AT518" i="1"/>
  <c r="AT517" i="1"/>
  <c r="AT516" i="1"/>
  <c r="AT515" i="1"/>
  <c r="AT514" i="1"/>
  <c r="AT513" i="1"/>
  <c r="AT512" i="1"/>
  <c r="AT511" i="1"/>
  <c r="AT510" i="1"/>
  <c r="AT509" i="1"/>
  <c r="AT508" i="1"/>
  <c r="AT507" i="1"/>
  <c r="AT506" i="1"/>
  <c r="AT505" i="1"/>
  <c r="AT504" i="1"/>
  <c r="AT503" i="1"/>
  <c r="AT502" i="1"/>
  <c r="AT501" i="1"/>
  <c r="AT500" i="1"/>
  <c r="AT499" i="1"/>
  <c r="AT498" i="1"/>
  <c r="AT497" i="1"/>
  <c r="AT496" i="1"/>
  <c r="AT495" i="1"/>
  <c r="AT494" i="1"/>
  <c r="AT493" i="1"/>
  <c r="AT492" i="1"/>
  <c r="AT491" i="1"/>
  <c r="AT490" i="1"/>
  <c r="AT489" i="1"/>
  <c r="AT488" i="1"/>
  <c r="AT487" i="1"/>
  <c r="AT486" i="1"/>
  <c r="AT485" i="1"/>
  <c r="AT484" i="1"/>
  <c r="AT483" i="1"/>
  <c r="AT482" i="1"/>
  <c r="AT481" i="1"/>
  <c r="AT480" i="1"/>
  <c r="AT479" i="1"/>
  <c r="AT478" i="1"/>
  <c r="AT477" i="1"/>
  <c r="AT476" i="1"/>
  <c r="AT475" i="1"/>
  <c r="AT474" i="1"/>
  <c r="AT473" i="1"/>
  <c r="AT472" i="1"/>
  <c r="AT471" i="1"/>
  <c r="AT470" i="1"/>
  <c r="AT469" i="1"/>
  <c r="AT468" i="1"/>
  <c r="AT467" i="1"/>
  <c r="AT466" i="1"/>
  <c r="AT465" i="1"/>
  <c r="AT464" i="1"/>
  <c r="AT463" i="1"/>
  <c r="AT462" i="1"/>
  <c r="AT461" i="1"/>
  <c r="AT460" i="1"/>
  <c r="AT459" i="1"/>
  <c r="AT458" i="1"/>
  <c r="AT457" i="1"/>
  <c r="AT456" i="1"/>
  <c r="AT455" i="1"/>
  <c r="AT454" i="1"/>
  <c r="AT453" i="1"/>
  <c r="AT452" i="1"/>
  <c r="AT451" i="1"/>
  <c r="AT450" i="1"/>
  <c r="AT449" i="1"/>
  <c r="AT448" i="1"/>
  <c r="AT447" i="1"/>
  <c r="AT446" i="1"/>
  <c r="AT445" i="1"/>
  <c r="AT444" i="1"/>
  <c r="AT443" i="1"/>
  <c r="AT442" i="1"/>
  <c r="AT441" i="1"/>
  <c r="AT440" i="1"/>
  <c r="AT439" i="1"/>
  <c r="AT438" i="1"/>
  <c r="AT437" i="1"/>
  <c r="AT436" i="1"/>
  <c r="AT435" i="1"/>
  <c r="AT434" i="1"/>
  <c r="AT433" i="1"/>
  <c r="AT432" i="1"/>
  <c r="AT431" i="1"/>
  <c r="AT430" i="1"/>
  <c r="AT429" i="1"/>
  <c r="AT428" i="1"/>
  <c r="AT427" i="1"/>
  <c r="AT426" i="1"/>
  <c r="AT425" i="1"/>
  <c r="AT424" i="1"/>
  <c r="AT423" i="1"/>
  <c r="AT422" i="1"/>
  <c r="AT421" i="1"/>
  <c r="AT420" i="1"/>
  <c r="AT419" i="1"/>
  <c r="AT418" i="1"/>
  <c r="AT417" i="1"/>
  <c r="AT416" i="1"/>
  <c r="AT415" i="1"/>
  <c r="AT414" i="1"/>
  <c r="AT413" i="1"/>
  <c r="AT412" i="1"/>
  <c r="AT411" i="1"/>
  <c r="AT410" i="1"/>
  <c r="AT409" i="1"/>
  <c r="AT408" i="1"/>
  <c r="AT407" i="1"/>
  <c r="AT406" i="1"/>
  <c r="AT405" i="1"/>
  <c r="AT404" i="1"/>
  <c r="AT403" i="1"/>
  <c r="AT402" i="1"/>
  <c r="AT401" i="1"/>
  <c r="AT400" i="1"/>
  <c r="AT399" i="1"/>
  <c r="AT398" i="1"/>
  <c r="AT397" i="1"/>
  <c r="AT396" i="1"/>
  <c r="AT395" i="1"/>
  <c r="AT394" i="1"/>
  <c r="AT393" i="1"/>
  <c r="AT392" i="1"/>
  <c r="AT391" i="1"/>
  <c r="AT390" i="1"/>
  <c r="AT389" i="1"/>
  <c r="AT388" i="1"/>
  <c r="AT387" i="1"/>
  <c r="AT386" i="1"/>
  <c r="AT385" i="1"/>
  <c r="AT384" i="1"/>
  <c r="AT383" i="1"/>
  <c r="AT382" i="1"/>
  <c r="AT381" i="1"/>
  <c r="AT380" i="1"/>
  <c r="AT379" i="1"/>
  <c r="AT378" i="1"/>
  <c r="AT377" i="1"/>
  <c r="AT376" i="1"/>
  <c r="AT375" i="1"/>
  <c r="AT374" i="1"/>
  <c r="AT373" i="1"/>
  <c r="AT372" i="1"/>
  <c r="AT371" i="1"/>
  <c r="AT370" i="1"/>
  <c r="AT369" i="1"/>
  <c r="AT368" i="1"/>
  <c r="AT367" i="1"/>
  <c r="AT366" i="1"/>
  <c r="AT365" i="1"/>
  <c r="AT364" i="1"/>
  <c r="AT363" i="1"/>
  <c r="AT362" i="1"/>
  <c r="AT361" i="1"/>
  <c r="AT360" i="1"/>
  <c r="AT359" i="1"/>
  <c r="AT358" i="1"/>
  <c r="AT357" i="1"/>
  <c r="AT356" i="1"/>
  <c r="AT355" i="1"/>
  <c r="AT354" i="1"/>
  <c r="AT353" i="1"/>
  <c r="AT352" i="1"/>
  <c r="AT351" i="1"/>
  <c r="AT350" i="1"/>
  <c r="AT349" i="1"/>
  <c r="AT348" i="1"/>
  <c r="AT347" i="1"/>
  <c r="AT346" i="1"/>
  <c r="AT345" i="1"/>
  <c r="AT344" i="1"/>
  <c r="AT343" i="1"/>
  <c r="AT342" i="1"/>
  <c r="AT341" i="1"/>
  <c r="AT340" i="1"/>
  <c r="AT339" i="1"/>
  <c r="AT338" i="1"/>
  <c r="AT337" i="1"/>
  <c r="AT336" i="1"/>
  <c r="AT335" i="1"/>
  <c r="AT334" i="1"/>
  <c r="AT333" i="1"/>
  <c r="AT332" i="1"/>
  <c r="AT331" i="1"/>
  <c r="AT330" i="1"/>
  <c r="AT329" i="1"/>
  <c r="AT328" i="1"/>
  <c r="AT327" i="1"/>
  <c r="AT326" i="1"/>
  <c r="AT325" i="1"/>
  <c r="AT324" i="1"/>
  <c r="AT323" i="1"/>
  <c r="AT322" i="1"/>
  <c r="AT321" i="1"/>
  <c r="AT320" i="1"/>
  <c r="AT319" i="1"/>
  <c r="AT318" i="1"/>
  <c r="AT317" i="1"/>
  <c r="AT316" i="1"/>
  <c r="AT315" i="1"/>
  <c r="AT314" i="1"/>
  <c r="AT313" i="1"/>
  <c r="AT312" i="1"/>
  <c r="AT311" i="1"/>
  <c r="AT310" i="1"/>
  <c r="AT309" i="1"/>
  <c r="AT308" i="1"/>
  <c r="AT307" i="1"/>
  <c r="AT306" i="1"/>
  <c r="AT305" i="1"/>
  <c r="AT304" i="1"/>
  <c r="AT303" i="1"/>
  <c r="AT302" i="1"/>
  <c r="AT301" i="1"/>
  <c r="AT300" i="1"/>
  <c r="AT299" i="1"/>
  <c r="AT298" i="1"/>
  <c r="AT297" i="1"/>
  <c r="AT296" i="1"/>
  <c r="AT295" i="1"/>
  <c r="AT294" i="1"/>
  <c r="AT293" i="1"/>
  <c r="AT292" i="1"/>
  <c r="AT291" i="1"/>
  <c r="AT290" i="1"/>
  <c r="AT289" i="1"/>
  <c r="AT288" i="1"/>
  <c r="AT287" i="1"/>
  <c r="AT286" i="1"/>
  <c r="AT285" i="1"/>
  <c r="AT284" i="1"/>
  <c r="AT283" i="1"/>
  <c r="AT282" i="1"/>
  <c r="AT281" i="1"/>
  <c r="AT280" i="1"/>
  <c r="AT279" i="1"/>
  <c r="AT278" i="1"/>
  <c r="AT277" i="1"/>
  <c r="AT276" i="1"/>
  <c r="AT275" i="1"/>
  <c r="AT274" i="1"/>
  <c r="AT273" i="1"/>
  <c r="AT272" i="1"/>
  <c r="AT271" i="1"/>
  <c r="AT270" i="1"/>
  <c r="AT269" i="1"/>
  <c r="AT268" i="1"/>
  <c r="AT267" i="1"/>
  <c r="AT266" i="1"/>
  <c r="AT265" i="1"/>
  <c r="AT264" i="1"/>
  <c r="AT263" i="1"/>
  <c r="AT262" i="1"/>
  <c r="AT261" i="1"/>
  <c r="AT260" i="1"/>
  <c r="AT259" i="1"/>
  <c r="AT258" i="1"/>
  <c r="AT257" i="1"/>
  <c r="AT256" i="1"/>
  <c r="AT255" i="1"/>
  <c r="AT254" i="1"/>
  <c r="AT253" i="1"/>
  <c r="AT252" i="1"/>
  <c r="AT251" i="1"/>
  <c r="AT250" i="1"/>
  <c r="AT249" i="1"/>
  <c r="AT248" i="1"/>
  <c r="AT247" i="1"/>
  <c r="AT246" i="1"/>
  <c r="AT245" i="1"/>
  <c r="AT244" i="1"/>
  <c r="AT243" i="1"/>
  <c r="AT242" i="1"/>
  <c r="AT241" i="1"/>
  <c r="AT240" i="1"/>
  <c r="AT239" i="1"/>
  <c r="AT238" i="1"/>
  <c r="AT237" i="1"/>
  <c r="AT236" i="1"/>
  <c r="AT235" i="1"/>
  <c r="AT234" i="1"/>
  <c r="AT233" i="1"/>
  <c r="AT232" i="1"/>
  <c r="AT231" i="1"/>
  <c r="AT230" i="1"/>
  <c r="AT229" i="1"/>
  <c r="AT228" i="1"/>
  <c r="AT227" i="1"/>
  <c r="AT226" i="1"/>
  <c r="AT225" i="1"/>
  <c r="AT224" i="1"/>
  <c r="AT223" i="1"/>
  <c r="AT222" i="1"/>
  <c r="AT221" i="1"/>
  <c r="AT220" i="1"/>
  <c r="AT219" i="1"/>
  <c r="AT218" i="1"/>
  <c r="AT217" i="1"/>
  <c r="AT216" i="1"/>
  <c r="AT215" i="1"/>
  <c r="AT214" i="1"/>
  <c r="AT213" i="1"/>
  <c r="AT212" i="1"/>
  <c r="AT211" i="1"/>
  <c r="AT210" i="1"/>
  <c r="AT209" i="1"/>
  <c r="AT208" i="1"/>
  <c r="AT207" i="1"/>
  <c r="AT206" i="1"/>
  <c r="AT205" i="1"/>
  <c r="AT204" i="1"/>
  <c r="AT203" i="1"/>
  <c r="AT202" i="1"/>
  <c r="AT201" i="1"/>
  <c r="AT200" i="1"/>
  <c r="AT199" i="1"/>
  <c r="AT198" i="1"/>
  <c r="AT197" i="1"/>
  <c r="AT196" i="1"/>
  <c r="AT195" i="1"/>
  <c r="AT194" i="1"/>
  <c r="AT193" i="1"/>
  <c r="AT192" i="1"/>
  <c r="AT191" i="1"/>
  <c r="AT190" i="1"/>
  <c r="AT189" i="1"/>
  <c r="AT188" i="1"/>
  <c r="AT187" i="1"/>
  <c r="AT186" i="1"/>
  <c r="AT185" i="1"/>
  <c r="AT184" i="1"/>
  <c r="AT183" i="1"/>
  <c r="AT182" i="1"/>
  <c r="AT181" i="1"/>
  <c r="AT180" i="1"/>
  <c r="AT179" i="1"/>
  <c r="AT178" i="1"/>
  <c r="AT177" i="1"/>
  <c r="AT176" i="1"/>
  <c r="AT175" i="1"/>
  <c r="AT174" i="1"/>
  <c r="AT173" i="1"/>
  <c r="AT172" i="1"/>
  <c r="AT171" i="1"/>
  <c r="AT170" i="1"/>
  <c r="AT169" i="1"/>
  <c r="AT168" i="1"/>
  <c r="AT167" i="1"/>
  <c r="AT166" i="1"/>
  <c r="AT165" i="1"/>
  <c r="AT164" i="1"/>
  <c r="AT163" i="1"/>
  <c r="AT162" i="1"/>
  <c r="AT161" i="1"/>
  <c r="AT160" i="1"/>
  <c r="AT159" i="1"/>
  <c r="AT158" i="1"/>
  <c r="AT157" i="1"/>
  <c r="AT156" i="1"/>
  <c r="AT155" i="1"/>
  <c r="AT154" i="1"/>
  <c r="AT153" i="1"/>
  <c r="AT152" i="1"/>
  <c r="AT151" i="1"/>
  <c r="AT150" i="1"/>
  <c r="AT149" i="1"/>
  <c r="AT148" i="1"/>
  <c r="AT147" i="1"/>
  <c r="AT146" i="1"/>
  <c r="AT145" i="1"/>
  <c r="AT144" i="1"/>
  <c r="AT143" i="1"/>
  <c r="AT142" i="1"/>
  <c r="AT141" i="1"/>
  <c r="AT140" i="1"/>
  <c r="AT139" i="1"/>
  <c r="AT138" i="1"/>
  <c r="AT137" i="1"/>
  <c r="AT136" i="1"/>
  <c r="AT135" i="1"/>
  <c r="AT134" i="1"/>
  <c r="AT133" i="1"/>
  <c r="AT132" i="1"/>
  <c r="AT131" i="1"/>
  <c r="AT130" i="1"/>
  <c r="AT129" i="1"/>
  <c r="AT128" i="1"/>
  <c r="AT127" i="1"/>
  <c r="AT126" i="1"/>
  <c r="AT125" i="1"/>
  <c r="AT124" i="1"/>
  <c r="AT123" i="1"/>
  <c r="AT122" i="1"/>
  <c r="AT121" i="1"/>
  <c r="AT120" i="1"/>
  <c r="AT119" i="1"/>
  <c r="AT118" i="1"/>
  <c r="AT117" i="1"/>
  <c r="AT116" i="1"/>
  <c r="AT115" i="1"/>
  <c r="AT114" i="1"/>
  <c r="AT113" i="1"/>
  <c r="AT112" i="1"/>
  <c r="AT111" i="1"/>
  <c r="AT110" i="1"/>
  <c r="AT109" i="1"/>
  <c r="AT108" i="1"/>
  <c r="AT107" i="1"/>
  <c r="AT106" i="1"/>
  <c r="AT105" i="1"/>
  <c r="AT104" i="1"/>
  <c r="AT103" i="1"/>
  <c r="AT102" i="1"/>
  <c r="AT101" i="1"/>
  <c r="AT100" i="1"/>
  <c r="AT99" i="1"/>
  <c r="AT98" i="1"/>
  <c r="AT97" i="1"/>
  <c r="AT96" i="1"/>
  <c r="AT95" i="1"/>
  <c r="AT94" i="1"/>
  <c r="AT93" i="1"/>
  <c r="AT92" i="1"/>
  <c r="AT91" i="1"/>
  <c r="AT90" i="1"/>
  <c r="AT89" i="1"/>
  <c r="AT88" i="1"/>
  <c r="AT87" i="1"/>
  <c r="AT86" i="1"/>
  <c r="AT85" i="1"/>
  <c r="AT84" i="1"/>
  <c r="AT83" i="1"/>
  <c r="AT82" i="1"/>
  <c r="AT81" i="1"/>
  <c r="AT80" i="1"/>
  <c r="AT79" i="1"/>
  <c r="AT78" i="1"/>
  <c r="AT77" i="1"/>
  <c r="AT76" i="1"/>
  <c r="AT75" i="1"/>
  <c r="AT74" i="1"/>
  <c r="AT73" i="1"/>
  <c r="AT72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P1011" i="1" l="1"/>
  <c r="AP1010" i="1"/>
  <c r="AP1009" i="1"/>
  <c r="AP1008" i="1"/>
  <c r="AP1007" i="1"/>
  <c r="AP1006" i="1"/>
  <c r="AP1005" i="1"/>
  <c r="AP1004" i="1"/>
  <c r="AP1003" i="1"/>
  <c r="AP1002" i="1"/>
  <c r="AP1001" i="1"/>
  <c r="AP1000" i="1"/>
  <c r="AP999" i="1"/>
  <c r="AP998" i="1"/>
  <c r="AP997" i="1"/>
  <c r="AP996" i="1"/>
  <c r="AP995" i="1"/>
  <c r="AP994" i="1"/>
  <c r="AP993" i="1"/>
  <c r="AP992" i="1"/>
  <c r="AP991" i="1"/>
  <c r="AP990" i="1"/>
  <c r="AP989" i="1"/>
  <c r="AP988" i="1"/>
  <c r="AP987" i="1"/>
  <c r="AP986" i="1"/>
  <c r="AP985" i="1"/>
  <c r="AP984" i="1"/>
  <c r="AP983" i="1"/>
  <c r="AP982" i="1"/>
  <c r="AP981" i="1"/>
  <c r="AP980" i="1"/>
  <c r="AP979" i="1"/>
  <c r="AP978" i="1"/>
  <c r="AP977" i="1"/>
  <c r="AP976" i="1"/>
  <c r="AP975" i="1"/>
  <c r="AP974" i="1"/>
  <c r="AP973" i="1"/>
  <c r="AP972" i="1"/>
  <c r="AP971" i="1"/>
  <c r="AP970" i="1"/>
  <c r="AP969" i="1"/>
  <c r="AP968" i="1"/>
  <c r="AP967" i="1"/>
  <c r="AP966" i="1"/>
  <c r="AP965" i="1"/>
  <c r="AP964" i="1"/>
  <c r="AP963" i="1"/>
  <c r="AP962" i="1"/>
  <c r="AP961" i="1"/>
  <c r="AP960" i="1"/>
  <c r="AP959" i="1"/>
  <c r="AP958" i="1"/>
  <c r="AP957" i="1"/>
  <c r="AP956" i="1"/>
  <c r="AP955" i="1"/>
  <c r="AP954" i="1"/>
  <c r="AP953" i="1"/>
  <c r="AP952" i="1"/>
  <c r="AP951" i="1"/>
  <c r="AP950" i="1"/>
  <c r="AP949" i="1"/>
  <c r="AP948" i="1"/>
  <c r="AP947" i="1"/>
  <c r="AP946" i="1"/>
  <c r="AP945" i="1"/>
  <c r="AP944" i="1"/>
  <c r="AP943" i="1"/>
  <c r="AP942" i="1"/>
  <c r="AP941" i="1"/>
  <c r="AP940" i="1"/>
  <c r="AP939" i="1"/>
  <c r="AP938" i="1"/>
  <c r="AP937" i="1"/>
  <c r="AP936" i="1"/>
  <c r="AP935" i="1"/>
  <c r="AP934" i="1"/>
  <c r="AP933" i="1"/>
  <c r="AP932" i="1"/>
  <c r="AP931" i="1"/>
  <c r="AP930" i="1"/>
  <c r="AP929" i="1"/>
  <c r="AP928" i="1"/>
  <c r="AP927" i="1"/>
  <c r="AP926" i="1"/>
  <c r="AP925" i="1"/>
  <c r="AP924" i="1"/>
  <c r="AP923" i="1"/>
  <c r="AP922" i="1"/>
  <c r="AP921" i="1"/>
  <c r="AP920" i="1"/>
  <c r="AP919" i="1"/>
  <c r="AP918" i="1"/>
  <c r="AP917" i="1"/>
  <c r="AP916" i="1"/>
  <c r="AP915" i="1"/>
  <c r="AP914" i="1"/>
  <c r="AP913" i="1"/>
  <c r="AP912" i="1"/>
  <c r="AP911" i="1"/>
  <c r="AP910" i="1"/>
  <c r="AP909" i="1"/>
  <c r="AP908" i="1"/>
  <c r="AP907" i="1"/>
  <c r="AP906" i="1"/>
  <c r="AP905" i="1"/>
  <c r="AP904" i="1"/>
  <c r="AP903" i="1"/>
  <c r="AP902" i="1"/>
  <c r="AP901" i="1"/>
  <c r="AP900" i="1"/>
  <c r="AP899" i="1"/>
  <c r="AP898" i="1"/>
  <c r="AP897" i="1"/>
  <c r="AP896" i="1"/>
  <c r="AP895" i="1"/>
  <c r="AP894" i="1"/>
  <c r="AP893" i="1"/>
  <c r="AP892" i="1"/>
  <c r="AP891" i="1"/>
  <c r="AP890" i="1"/>
  <c r="AP889" i="1"/>
  <c r="AP888" i="1"/>
  <c r="AP887" i="1"/>
  <c r="AP886" i="1"/>
  <c r="AP885" i="1"/>
  <c r="AP884" i="1"/>
  <c r="AP883" i="1"/>
  <c r="AP882" i="1"/>
  <c r="AP881" i="1"/>
  <c r="AP880" i="1"/>
  <c r="AP879" i="1"/>
  <c r="AP878" i="1"/>
  <c r="AP877" i="1"/>
  <c r="AP876" i="1"/>
  <c r="AP875" i="1"/>
  <c r="AP874" i="1"/>
  <c r="AP873" i="1"/>
  <c r="AP872" i="1"/>
  <c r="AP871" i="1"/>
  <c r="AP870" i="1"/>
  <c r="AP869" i="1"/>
  <c r="AP868" i="1"/>
  <c r="AP867" i="1"/>
  <c r="AP866" i="1"/>
  <c r="AP865" i="1"/>
  <c r="AP864" i="1"/>
  <c r="AP863" i="1"/>
  <c r="AP862" i="1"/>
  <c r="AP861" i="1"/>
  <c r="AP860" i="1"/>
  <c r="AP859" i="1"/>
  <c r="AP858" i="1"/>
  <c r="AP857" i="1"/>
  <c r="AP856" i="1"/>
  <c r="AP855" i="1"/>
  <c r="AP854" i="1"/>
  <c r="AP853" i="1"/>
  <c r="AP852" i="1"/>
  <c r="AP851" i="1"/>
  <c r="AP850" i="1"/>
  <c r="AP849" i="1"/>
  <c r="AP848" i="1"/>
  <c r="AP847" i="1"/>
  <c r="AP846" i="1"/>
  <c r="AP845" i="1"/>
  <c r="AP844" i="1"/>
  <c r="AP843" i="1"/>
  <c r="AP842" i="1"/>
  <c r="AP841" i="1"/>
  <c r="AP840" i="1"/>
  <c r="AP839" i="1"/>
  <c r="AP838" i="1"/>
  <c r="AP837" i="1"/>
  <c r="AP836" i="1"/>
  <c r="AP835" i="1"/>
  <c r="AP834" i="1"/>
  <c r="AP833" i="1"/>
  <c r="AP832" i="1"/>
  <c r="AP831" i="1"/>
  <c r="AP830" i="1"/>
  <c r="AP829" i="1"/>
  <c r="AP828" i="1"/>
  <c r="AP827" i="1"/>
  <c r="AP826" i="1"/>
  <c r="AP825" i="1"/>
  <c r="AP824" i="1"/>
  <c r="AP823" i="1"/>
  <c r="AP822" i="1"/>
  <c r="AP821" i="1"/>
  <c r="AP820" i="1"/>
  <c r="AP819" i="1"/>
  <c r="AP818" i="1"/>
  <c r="AP817" i="1"/>
  <c r="AP816" i="1"/>
  <c r="AP815" i="1"/>
  <c r="AP814" i="1"/>
  <c r="AP813" i="1"/>
  <c r="AP812" i="1"/>
  <c r="AP811" i="1"/>
  <c r="AP810" i="1"/>
  <c r="AP809" i="1"/>
  <c r="AP808" i="1"/>
  <c r="AP807" i="1"/>
  <c r="AP806" i="1"/>
  <c r="AP805" i="1"/>
  <c r="AP804" i="1"/>
  <c r="AP803" i="1"/>
  <c r="AP802" i="1"/>
  <c r="AP801" i="1"/>
  <c r="AP800" i="1"/>
  <c r="AP799" i="1"/>
  <c r="AP798" i="1"/>
  <c r="AP797" i="1"/>
  <c r="AP796" i="1"/>
  <c r="AP795" i="1"/>
  <c r="AP794" i="1"/>
  <c r="AP793" i="1"/>
  <c r="AP792" i="1"/>
  <c r="AP791" i="1"/>
  <c r="AP790" i="1"/>
  <c r="AP789" i="1"/>
  <c r="AP788" i="1"/>
  <c r="AP787" i="1"/>
  <c r="AP786" i="1"/>
  <c r="AP785" i="1"/>
  <c r="AP784" i="1"/>
  <c r="AP783" i="1"/>
  <c r="AP782" i="1"/>
  <c r="AP781" i="1"/>
  <c r="AP780" i="1"/>
  <c r="AP779" i="1"/>
  <c r="AP778" i="1"/>
  <c r="AP777" i="1"/>
  <c r="AP776" i="1"/>
  <c r="AP775" i="1"/>
  <c r="AP774" i="1"/>
  <c r="AP773" i="1"/>
  <c r="AP772" i="1"/>
  <c r="AP771" i="1"/>
  <c r="AP770" i="1"/>
  <c r="AP769" i="1"/>
  <c r="AP768" i="1"/>
  <c r="AP767" i="1"/>
  <c r="AP766" i="1"/>
  <c r="AP765" i="1"/>
  <c r="AP764" i="1"/>
  <c r="AP763" i="1"/>
  <c r="AP762" i="1"/>
  <c r="AP761" i="1"/>
  <c r="AP760" i="1"/>
  <c r="AP759" i="1"/>
  <c r="AP758" i="1"/>
  <c r="AP757" i="1"/>
  <c r="AP756" i="1"/>
  <c r="AP755" i="1"/>
  <c r="AP754" i="1"/>
  <c r="AP753" i="1"/>
  <c r="AP752" i="1"/>
  <c r="AP751" i="1"/>
  <c r="AP750" i="1"/>
  <c r="AP749" i="1"/>
  <c r="AP748" i="1"/>
  <c r="AP747" i="1"/>
  <c r="AP746" i="1"/>
  <c r="AP745" i="1"/>
  <c r="AP744" i="1"/>
  <c r="AP743" i="1"/>
  <c r="AP742" i="1"/>
  <c r="AP741" i="1"/>
  <c r="AP740" i="1"/>
  <c r="AP739" i="1"/>
  <c r="AP738" i="1"/>
  <c r="AP737" i="1"/>
  <c r="AP736" i="1"/>
  <c r="AP735" i="1"/>
  <c r="AP734" i="1"/>
  <c r="AP733" i="1"/>
  <c r="AP732" i="1"/>
  <c r="AP731" i="1"/>
  <c r="AP730" i="1"/>
  <c r="AP729" i="1"/>
  <c r="AP728" i="1"/>
  <c r="AP727" i="1"/>
  <c r="AP726" i="1"/>
  <c r="AP725" i="1"/>
  <c r="AP724" i="1"/>
  <c r="AP723" i="1"/>
  <c r="AP722" i="1"/>
  <c r="AP721" i="1"/>
  <c r="AP720" i="1"/>
  <c r="AP719" i="1"/>
  <c r="AP718" i="1"/>
  <c r="AP717" i="1"/>
  <c r="AP716" i="1"/>
  <c r="AP715" i="1"/>
  <c r="AP714" i="1"/>
  <c r="AP713" i="1"/>
  <c r="AP712" i="1"/>
  <c r="AP711" i="1"/>
  <c r="AP710" i="1"/>
  <c r="AP709" i="1"/>
  <c r="AP708" i="1"/>
  <c r="AP707" i="1"/>
  <c r="AP706" i="1"/>
  <c r="AP705" i="1"/>
  <c r="AP704" i="1"/>
  <c r="AP703" i="1"/>
  <c r="AP702" i="1"/>
  <c r="AP701" i="1"/>
  <c r="AP700" i="1"/>
  <c r="AP699" i="1"/>
  <c r="AP698" i="1"/>
  <c r="AP697" i="1"/>
  <c r="AP696" i="1"/>
  <c r="AP695" i="1"/>
  <c r="AP694" i="1"/>
  <c r="AP693" i="1"/>
  <c r="AP692" i="1"/>
  <c r="AP691" i="1"/>
  <c r="AP690" i="1"/>
  <c r="AP689" i="1"/>
  <c r="AP688" i="1"/>
  <c r="AP687" i="1"/>
  <c r="AP686" i="1"/>
  <c r="AP685" i="1"/>
  <c r="AP684" i="1"/>
  <c r="AP683" i="1"/>
  <c r="AP682" i="1"/>
  <c r="AP681" i="1"/>
  <c r="AP680" i="1"/>
  <c r="AP679" i="1"/>
  <c r="AP678" i="1"/>
  <c r="AP677" i="1"/>
  <c r="AP676" i="1"/>
  <c r="AP675" i="1"/>
  <c r="AP674" i="1"/>
  <c r="AP673" i="1"/>
  <c r="AP672" i="1"/>
  <c r="AP671" i="1"/>
  <c r="AP670" i="1"/>
  <c r="AP669" i="1"/>
  <c r="AP668" i="1"/>
  <c r="AP667" i="1"/>
  <c r="AP666" i="1"/>
  <c r="AP665" i="1"/>
  <c r="AP664" i="1"/>
  <c r="AP663" i="1"/>
  <c r="AP662" i="1"/>
  <c r="AP661" i="1"/>
  <c r="AP660" i="1"/>
  <c r="AP659" i="1"/>
  <c r="AP658" i="1"/>
  <c r="AP657" i="1"/>
  <c r="AP656" i="1"/>
  <c r="AP655" i="1"/>
  <c r="AP654" i="1"/>
  <c r="AP653" i="1"/>
  <c r="AP652" i="1"/>
  <c r="AP651" i="1"/>
  <c r="AP650" i="1"/>
  <c r="AP649" i="1"/>
  <c r="AP648" i="1"/>
  <c r="AP647" i="1"/>
  <c r="AP646" i="1"/>
  <c r="AP645" i="1"/>
  <c r="AP644" i="1"/>
  <c r="AP643" i="1"/>
  <c r="AP642" i="1"/>
  <c r="AP641" i="1"/>
  <c r="AP640" i="1"/>
  <c r="AP639" i="1"/>
  <c r="AP638" i="1"/>
  <c r="AP637" i="1"/>
  <c r="AP636" i="1"/>
  <c r="AP635" i="1"/>
  <c r="AP634" i="1"/>
  <c r="AP633" i="1"/>
  <c r="AP632" i="1"/>
  <c r="AP631" i="1"/>
  <c r="AP630" i="1"/>
  <c r="AP629" i="1"/>
  <c r="AP628" i="1"/>
  <c r="AP627" i="1"/>
  <c r="AP626" i="1"/>
  <c r="AP625" i="1"/>
  <c r="AP624" i="1"/>
  <c r="AP623" i="1"/>
  <c r="AP622" i="1"/>
  <c r="AP621" i="1"/>
  <c r="AP620" i="1"/>
  <c r="AP619" i="1"/>
  <c r="AP618" i="1"/>
  <c r="AP617" i="1"/>
  <c r="AP616" i="1"/>
  <c r="AP615" i="1"/>
  <c r="AP614" i="1"/>
  <c r="AP613" i="1"/>
  <c r="AP612" i="1"/>
  <c r="AP611" i="1"/>
  <c r="AP610" i="1"/>
  <c r="AP609" i="1"/>
  <c r="AP608" i="1"/>
  <c r="AP607" i="1"/>
  <c r="AP606" i="1"/>
  <c r="AP605" i="1"/>
  <c r="AP604" i="1"/>
  <c r="AP603" i="1"/>
  <c r="AP602" i="1"/>
  <c r="AP601" i="1"/>
  <c r="AP600" i="1"/>
  <c r="AP599" i="1"/>
  <c r="AP598" i="1"/>
  <c r="AP597" i="1"/>
  <c r="AP596" i="1"/>
  <c r="AP595" i="1"/>
  <c r="AP594" i="1"/>
  <c r="AP593" i="1"/>
  <c r="AP592" i="1"/>
  <c r="AP591" i="1"/>
  <c r="AP590" i="1"/>
  <c r="AP589" i="1"/>
  <c r="AP588" i="1"/>
  <c r="AP587" i="1"/>
  <c r="AP586" i="1"/>
  <c r="AP585" i="1"/>
  <c r="AP584" i="1"/>
  <c r="AP583" i="1"/>
  <c r="AP582" i="1"/>
  <c r="AP581" i="1"/>
  <c r="AP580" i="1"/>
  <c r="AP579" i="1"/>
  <c r="AP578" i="1"/>
  <c r="AP577" i="1"/>
  <c r="AP576" i="1"/>
  <c r="AP575" i="1"/>
  <c r="AP574" i="1"/>
  <c r="AP573" i="1"/>
  <c r="AP572" i="1"/>
  <c r="AP571" i="1"/>
  <c r="AP570" i="1"/>
  <c r="AP569" i="1"/>
  <c r="AP568" i="1"/>
  <c r="AP567" i="1"/>
  <c r="AP566" i="1"/>
  <c r="AP565" i="1"/>
  <c r="AP564" i="1"/>
  <c r="AP563" i="1"/>
  <c r="AP562" i="1"/>
  <c r="AP561" i="1"/>
  <c r="AP560" i="1"/>
  <c r="AP559" i="1"/>
  <c r="AP558" i="1"/>
  <c r="AP557" i="1"/>
  <c r="AP556" i="1"/>
  <c r="AP555" i="1"/>
  <c r="AP554" i="1"/>
  <c r="AP553" i="1"/>
  <c r="AP552" i="1"/>
  <c r="AP551" i="1"/>
  <c r="AP550" i="1"/>
  <c r="AP549" i="1"/>
  <c r="AP548" i="1"/>
  <c r="AP547" i="1"/>
  <c r="AP546" i="1"/>
  <c r="AP545" i="1"/>
  <c r="AP544" i="1"/>
  <c r="AP543" i="1"/>
  <c r="AP542" i="1"/>
  <c r="AP541" i="1"/>
  <c r="AP540" i="1"/>
  <c r="AP539" i="1"/>
  <c r="AP538" i="1"/>
  <c r="AP537" i="1"/>
  <c r="AP536" i="1"/>
  <c r="AP535" i="1"/>
  <c r="AP534" i="1"/>
  <c r="AP533" i="1"/>
  <c r="AP532" i="1"/>
  <c r="AP531" i="1"/>
  <c r="AP530" i="1"/>
  <c r="AP529" i="1"/>
  <c r="AP528" i="1"/>
  <c r="AP527" i="1"/>
  <c r="AP526" i="1"/>
  <c r="AP525" i="1"/>
  <c r="AP524" i="1"/>
  <c r="AP523" i="1"/>
  <c r="AP522" i="1"/>
  <c r="AP521" i="1"/>
  <c r="AP520" i="1"/>
  <c r="AP519" i="1"/>
  <c r="AP518" i="1"/>
  <c r="AP517" i="1"/>
  <c r="AP516" i="1"/>
  <c r="AP515" i="1"/>
  <c r="AP514" i="1"/>
  <c r="AP513" i="1"/>
  <c r="AP512" i="1"/>
  <c r="AP511" i="1"/>
  <c r="AP510" i="1"/>
  <c r="AP509" i="1"/>
  <c r="AP508" i="1"/>
  <c r="AP507" i="1"/>
  <c r="AP506" i="1"/>
  <c r="AP505" i="1"/>
  <c r="AP504" i="1"/>
  <c r="AP503" i="1"/>
  <c r="AP502" i="1"/>
  <c r="AP501" i="1"/>
  <c r="AP500" i="1"/>
  <c r="AP499" i="1"/>
  <c r="AP498" i="1"/>
  <c r="AP497" i="1"/>
  <c r="AP496" i="1"/>
  <c r="AP495" i="1"/>
  <c r="AP494" i="1"/>
  <c r="AP493" i="1"/>
  <c r="AP492" i="1"/>
  <c r="AP491" i="1"/>
  <c r="AP490" i="1"/>
  <c r="AP489" i="1"/>
  <c r="AP488" i="1"/>
  <c r="AP487" i="1"/>
  <c r="AP486" i="1"/>
  <c r="AP485" i="1"/>
  <c r="AP484" i="1"/>
  <c r="AP483" i="1"/>
  <c r="AP482" i="1"/>
  <c r="AP481" i="1"/>
  <c r="AP480" i="1"/>
  <c r="AP479" i="1"/>
  <c r="AP478" i="1"/>
  <c r="AP477" i="1"/>
  <c r="AP476" i="1"/>
  <c r="AP475" i="1"/>
  <c r="AP474" i="1"/>
  <c r="AP473" i="1"/>
  <c r="AP472" i="1"/>
  <c r="AP471" i="1"/>
  <c r="AP470" i="1"/>
  <c r="AP469" i="1"/>
  <c r="AP468" i="1"/>
  <c r="AP467" i="1"/>
  <c r="AP466" i="1"/>
  <c r="AP465" i="1"/>
  <c r="AP464" i="1"/>
  <c r="AP463" i="1"/>
  <c r="AP462" i="1"/>
  <c r="AP461" i="1"/>
  <c r="AP460" i="1"/>
  <c r="AP459" i="1"/>
  <c r="AP458" i="1"/>
  <c r="AP457" i="1"/>
  <c r="AP456" i="1"/>
  <c r="AP455" i="1"/>
  <c r="AP454" i="1"/>
  <c r="AP453" i="1"/>
  <c r="AP452" i="1"/>
  <c r="AP451" i="1"/>
  <c r="AP450" i="1"/>
  <c r="AP449" i="1"/>
  <c r="AP448" i="1"/>
  <c r="AP447" i="1"/>
  <c r="AP446" i="1"/>
  <c r="AP445" i="1"/>
  <c r="AP444" i="1"/>
  <c r="AP443" i="1"/>
  <c r="AP442" i="1"/>
  <c r="AP441" i="1"/>
  <c r="AP440" i="1"/>
  <c r="AP439" i="1"/>
  <c r="AP438" i="1"/>
  <c r="AP437" i="1"/>
  <c r="AP436" i="1"/>
  <c r="AP435" i="1"/>
  <c r="AP434" i="1"/>
  <c r="AP433" i="1"/>
  <c r="AP432" i="1"/>
  <c r="AP431" i="1"/>
  <c r="AP430" i="1"/>
  <c r="AP429" i="1"/>
  <c r="AP428" i="1"/>
  <c r="AP427" i="1"/>
  <c r="AP426" i="1"/>
  <c r="AP425" i="1"/>
  <c r="AP424" i="1"/>
  <c r="AP423" i="1"/>
  <c r="AP422" i="1"/>
  <c r="AP421" i="1"/>
  <c r="AP420" i="1"/>
  <c r="AP419" i="1"/>
  <c r="AP418" i="1"/>
  <c r="AP417" i="1"/>
  <c r="AP416" i="1"/>
  <c r="AP415" i="1"/>
  <c r="AP414" i="1"/>
  <c r="AP413" i="1"/>
  <c r="AP412" i="1"/>
  <c r="AP411" i="1"/>
  <c r="AP410" i="1"/>
  <c r="AP409" i="1"/>
  <c r="AP408" i="1"/>
  <c r="AP407" i="1"/>
  <c r="AP406" i="1"/>
  <c r="AP405" i="1"/>
  <c r="AP404" i="1"/>
  <c r="AP403" i="1"/>
  <c r="AP402" i="1"/>
  <c r="AP401" i="1"/>
  <c r="AP400" i="1"/>
  <c r="AP399" i="1"/>
  <c r="AP398" i="1"/>
  <c r="AP397" i="1"/>
  <c r="AP396" i="1"/>
  <c r="AP395" i="1"/>
  <c r="AP394" i="1"/>
  <c r="AP393" i="1"/>
  <c r="AP392" i="1"/>
  <c r="AP391" i="1"/>
  <c r="AP390" i="1"/>
  <c r="AP389" i="1"/>
  <c r="AP388" i="1"/>
  <c r="AP387" i="1"/>
  <c r="AP386" i="1"/>
  <c r="AP385" i="1"/>
  <c r="AP384" i="1"/>
  <c r="AP383" i="1"/>
  <c r="AP382" i="1"/>
  <c r="AP381" i="1"/>
  <c r="AP380" i="1"/>
  <c r="AP379" i="1"/>
  <c r="AP378" i="1"/>
  <c r="AP377" i="1"/>
  <c r="AP376" i="1"/>
  <c r="AP375" i="1"/>
  <c r="AP374" i="1"/>
  <c r="AP373" i="1"/>
  <c r="AP372" i="1"/>
  <c r="AP371" i="1"/>
  <c r="AP370" i="1"/>
  <c r="AP369" i="1"/>
  <c r="AP368" i="1"/>
  <c r="AP367" i="1"/>
  <c r="AP366" i="1"/>
  <c r="AP365" i="1"/>
  <c r="AP364" i="1"/>
  <c r="AP363" i="1"/>
  <c r="AP362" i="1"/>
  <c r="AP361" i="1"/>
  <c r="AP360" i="1"/>
  <c r="AP359" i="1"/>
  <c r="AP358" i="1"/>
  <c r="AP357" i="1"/>
  <c r="AP356" i="1"/>
  <c r="AP355" i="1"/>
  <c r="AP354" i="1"/>
  <c r="AP353" i="1"/>
  <c r="AP352" i="1"/>
  <c r="AP351" i="1"/>
  <c r="AP350" i="1"/>
  <c r="AP349" i="1"/>
  <c r="AP348" i="1"/>
  <c r="AP347" i="1"/>
  <c r="AP346" i="1"/>
  <c r="AP345" i="1"/>
  <c r="AP344" i="1"/>
  <c r="AP343" i="1"/>
  <c r="AP342" i="1"/>
  <c r="AP341" i="1"/>
  <c r="AP340" i="1"/>
  <c r="AP339" i="1"/>
  <c r="AP338" i="1"/>
  <c r="AP337" i="1"/>
  <c r="AP336" i="1"/>
  <c r="AP335" i="1"/>
  <c r="AP334" i="1"/>
  <c r="AP333" i="1"/>
  <c r="AP332" i="1"/>
  <c r="AP331" i="1"/>
  <c r="AP330" i="1"/>
  <c r="AP329" i="1"/>
  <c r="AP328" i="1"/>
  <c r="AP327" i="1"/>
  <c r="AP326" i="1"/>
  <c r="AP325" i="1"/>
  <c r="AP324" i="1"/>
  <c r="AP323" i="1"/>
  <c r="AP322" i="1"/>
  <c r="AP321" i="1"/>
  <c r="AP320" i="1"/>
  <c r="AP319" i="1"/>
  <c r="AP318" i="1"/>
  <c r="AP317" i="1"/>
  <c r="AP316" i="1"/>
  <c r="AP315" i="1"/>
  <c r="AP314" i="1"/>
  <c r="AP313" i="1"/>
  <c r="AP312" i="1"/>
  <c r="AP311" i="1"/>
  <c r="AP310" i="1"/>
  <c r="AP309" i="1"/>
  <c r="AP308" i="1"/>
  <c r="AP307" i="1"/>
  <c r="AP306" i="1"/>
  <c r="AP305" i="1"/>
  <c r="AP304" i="1"/>
  <c r="AP303" i="1"/>
  <c r="AP302" i="1"/>
  <c r="AP301" i="1"/>
  <c r="AP300" i="1"/>
  <c r="AP299" i="1"/>
  <c r="AP298" i="1"/>
  <c r="AP297" i="1"/>
  <c r="AP296" i="1"/>
  <c r="AP295" i="1"/>
  <c r="AP294" i="1"/>
  <c r="AP293" i="1"/>
  <c r="AP292" i="1"/>
  <c r="AP291" i="1"/>
  <c r="AP290" i="1"/>
  <c r="AP289" i="1"/>
  <c r="AP288" i="1"/>
  <c r="AP287" i="1"/>
  <c r="AP286" i="1"/>
  <c r="AP285" i="1"/>
  <c r="AP284" i="1"/>
  <c r="AP283" i="1"/>
  <c r="AP282" i="1"/>
  <c r="AP281" i="1"/>
  <c r="AP280" i="1"/>
  <c r="AP279" i="1"/>
  <c r="AP278" i="1"/>
  <c r="AP277" i="1"/>
  <c r="AP276" i="1"/>
  <c r="AP275" i="1"/>
  <c r="AP274" i="1"/>
  <c r="AP273" i="1"/>
  <c r="AP272" i="1"/>
  <c r="AP271" i="1"/>
  <c r="AP270" i="1"/>
  <c r="AP269" i="1"/>
  <c r="AP268" i="1"/>
  <c r="AP267" i="1"/>
  <c r="AP266" i="1"/>
  <c r="AP265" i="1"/>
  <c r="AP264" i="1"/>
  <c r="AP263" i="1"/>
  <c r="AP262" i="1"/>
  <c r="AP261" i="1"/>
  <c r="AP260" i="1"/>
  <c r="AP259" i="1"/>
  <c r="AP258" i="1"/>
  <c r="AP257" i="1"/>
  <c r="AP256" i="1"/>
  <c r="AP255" i="1"/>
  <c r="AP254" i="1"/>
  <c r="AP253" i="1"/>
  <c r="AP252" i="1"/>
  <c r="AP251" i="1"/>
  <c r="AP250" i="1"/>
  <c r="AP249" i="1"/>
  <c r="AP248" i="1"/>
  <c r="AP247" i="1"/>
  <c r="AP246" i="1"/>
  <c r="AP245" i="1"/>
  <c r="AP244" i="1"/>
  <c r="AP243" i="1"/>
  <c r="AP242" i="1"/>
  <c r="AP241" i="1"/>
  <c r="AP240" i="1"/>
  <c r="AP239" i="1"/>
  <c r="AP238" i="1"/>
  <c r="AP237" i="1"/>
  <c r="AP236" i="1"/>
  <c r="AP235" i="1"/>
  <c r="AP234" i="1"/>
  <c r="AP233" i="1"/>
  <c r="AP232" i="1"/>
  <c r="AP231" i="1"/>
  <c r="AP230" i="1"/>
  <c r="AP229" i="1"/>
  <c r="AP228" i="1"/>
  <c r="AP227" i="1"/>
  <c r="AP226" i="1"/>
  <c r="AP225" i="1"/>
  <c r="AP224" i="1"/>
  <c r="AP223" i="1"/>
  <c r="AP222" i="1"/>
  <c r="AP221" i="1"/>
  <c r="AP220" i="1"/>
  <c r="AP219" i="1"/>
  <c r="AP218" i="1"/>
  <c r="AP217" i="1"/>
  <c r="AP216" i="1"/>
  <c r="AP215" i="1"/>
  <c r="AP214" i="1"/>
  <c r="AP213" i="1"/>
  <c r="AP212" i="1"/>
  <c r="AP211" i="1"/>
  <c r="AP210" i="1"/>
  <c r="AP209" i="1"/>
  <c r="AP208" i="1"/>
  <c r="AP207" i="1"/>
  <c r="AP206" i="1"/>
  <c r="AP205" i="1"/>
  <c r="AP204" i="1"/>
  <c r="AP203" i="1"/>
  <c r="AP202" i="1"/>
  <c r="AP201" i="1"/>
  <c r="AP200" i="1"/>
  <c r="AP199" i="1"/>
  <c r="AP198" i="1"/>
  <c r="AP197" i="1"/>
  <c r="AP196" i="1"/>
  <c r="AP195" i="1"/>
  <c r="AP194" i="1"/>
  <c r="AP193" i="1"/>
  <c r="AP192" i="1"/>
  <c r="AP191" i="1"/>
  <c r="AP190" i="1"/>
  <c r="AP189" i="1"/>
  <c r="AP188" i="1"/>
  <c r="AP187" i="1"/>
  <c r="AP186" i="1"/>
  <c r="AP185" i="1"/>
  <c r="AP184" i="1"/>
  <c r="AP183" i="1"/>
  <c r="AP182" i="1"/>
  <c r="AP181" i="1"/>
  <c r="AP180" i="1"/>
  <c r="AP179" i="1"/>
  <c r="AP178" i="1"/>
  <c r="AP177" i="1"/>
  <c r="AP176" i="1"/>
  <c r="AP175" i="1"/>
  <c r="AP174" i="1"/>
  <c r="AP173" i="1"/>
  <c r="AP172" i="1"/>
  <c r="AP171" i="1"/>
  <c r="AP170" i="1"/>
  <c r="AP169" i="1"/>
  <c r="AP168" i="1"/>
  <c r="AP167" i="1"/>
  <c r="AP166" i="1"/>
  <c r="AP165" i="1"/>
  <c r="AP164" i="1"/>
  <c r="AP163" i="1"/>
  <c r="AP162" i="1"/>
  <c r="AP161" i="1"/>
  <c r="AP160" i="1"/>
  <c r="AP159" i="1"/>
  <c r="AP158" i="1"/>
  <c r="AP157" i="1"/>
  <c r="AP156" i="1"/>
  <c r="AP155" i="1"/>
  <c r="AP154" i="1"/>
  <c r="AP153" i="1"/>
  <c r="AP152" i="1"/>
  <c r="AP151" i="1"/>
  <c r="AP150" i="1"/>
  <c r="AP149" i="1"/>
  <c r="AP148" i="1"/>
  <c r="AP147" i="1"/>
  <c r="AP146" i="1"/>
  <c r="AP145" i="1"/>
  <c r="AP144" i="1"/>
  <c r="AP143" i="1"/>
  <c r="AP142" i="1"/>
  <c r="AP141" i="1"/>
  <c r="AP140" i="1"/>
  <c r="AP139" i="1"/>
  <c r="AP138" i="1"/>
  <c r="AP137" i="1"/>
  <c r="AP136" i="1"/>
  <c r="AP135" i="1"/>
  <c r="AP134" i="1"/>
  <c r="AP133" i="1"/>
  <c r="AP132" i="1"/>
  <c r="AP131" i="1"/>
  <c r="AP130" i="1"/>
  <c r="AP129" i="1"/>
  <c r="AP128" i="1"/>
  <c r="AP127" i="1"/>
  <c r="AP126" i="1"/>
  <c r="AP125" i="1"/>
  <c r="AP124" i="1"/>
  <c r="AP123" i="1"/>
  <c r="AP122" i="1"/>
  <c r="AP121" i="1"/>
  <c r="AP120" i="1"/>
  <c r="AP119" i="1"/>
  <c r="AP118" i="1"/>
  <c r="AP117" i="1"/>
  <c r="AP116" i="1"/>
  <c r="AP115" i="1"/>
  <c r="AP114" i="1"/>
  <c r="AP113" i="1"/>
  <c r="AP112" i="1"/>
  <c r="AP111" i="1"/>
  <c r="AP110" i="1"/>
  <c r="AP109" i="1"/>
  <c r="AP108" i="1"/>
  <c r="AP107" i="1"/>
  <c r="AP106" i="1"/>
  <c r="AP105" i="1"/>
  <c r="AP104" i="1"/>
  <c r="AP103" i="1"/>
  <c r="AP102" i="1"/>
  <c r="AP101" i="1"/>
  <c r="AP100" i="1"/>
  <c r="AP99" i="1"/>
  <c r="AP98" i="1"/>
  <c r="AP97" i="1"/>
  <c r="AP96" i="1"/>
  <c r="AP95" i="1"/>
  <c r="AP94" i="1"/>
  <c r="AP93" i="1"/>
  <c r="AP92" i="1"/>
  <c r="AP91" i="1"/>
  <c r="AP90" i="1"/>
  <c r="AP89" i="1"/>
  <c r="AP88" i="1"/>
  <c r="AP87" i="1"/>
  <c r="AP86" i="1"/>
  <c r="AP85" i="1"/>
  <c r="AP84" i="1"/>
  <c r="AP83" i="1"/>
  <c r="AP82" i="1"/>
  <c r="AP81" i="1"/>
  <c r="AP80" i="1"/>
  <c r="AP79" i="1"/>
  <c r="AP78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8" i="1"/>
  <c r="CF1011" i="1" l="1"/>
  <c r="CE1011" i="1" s="1"/>
  <c r="CF1010" i="1"/>
  <c r="CE1010" i="1" s="1"/>
  <c r="CF1009" i="1"/>
  <c r="CE1009" i="1" s="1"/>
  <c r="CF1008" i="1"/>
  <c r="CE1008" i="1" s="1"/>
  <c r="CF1007" i="1"/>
  <c r="CE1007" i="1" s="1"/>
  <c r="CF1006" i="1"/>
  <c r="CE1006" i="1" s="1"/>
  <c r="CF1005" i="1"/>
  <c r="CE1005" i="1" s="1"/>
  <c r="CF1004" i="1"/>
  <c r="CE1004" i="1" s="1"/>
  <c r="CF1003" i="1"/>
  <c r="CE1003" i="1" s="1"/>
  <c r="CF1002" i="1"/>
  <c r="CE1002" i="1" s="1"/>
  <c r="CF1001" i="1"/>
  <c r="CE1001" i="1" s="1"/>
  <c r="CF1000" i="1"/>
  <c r="CE1000" i="1" s="1"/>
  <c r="CF999" i="1"/>
  <c r="CE999" i="1" s="1"/>
  <c r="CF998" i="1"/>
  <c r="CE998" i="1" s="1"/>
  <c r="CF997" i="1"/>
  <c r="CE997" i="1" s="1"/>
  <c r="CF996" i="1"/>
  <c r="CE996" i="1" s="1"/>
  <c r="CF995" i="1"/>
  <c r="CE995" i="1" s="1"/>
  <c r="CF994" i="1"/>
  <c r="CE994" i="1" s="1"/>
  <c r="CF993" i="1"/>
  <c r="CE993" i="1" s="1"/>
  <c r="CF992" i="1"/>
  <c r="CE992" i="1" s="1"/>
  <c r="CF991" i="1"/>
  <c r="CE991" i="1" s="1"/>
  <c r="CF990" i="1"/>
  <c r="CE990" i="1" s="1"/>
  <c r="CF989" i="1"/>
  <c r="CE989" i="1" s="1"/>
  <c r="CF988" i="1"/>
  <c r="CE988" i="1" s="1"/>
  <c r="CF987" i="1"/>
  <c r="CE987" i="1" s="1"/>
  <c r="CF986" i="1"/>
  <c r="CE986" i="1" s="1"/>
  <c r="CF985" i="1"/>
  <c r="CE985" i="1" s="1"/>
  <c r="CF984" i="1"/>
  <c r="CE984" i="1" s="1"/>
  <c r="CF983" i="1"/>
  <c r="CE983" i="1" s="1"/>
  <c r="CF982" i="1"/>
  <c r="CE982" i="1" s="1"/>
  <c r="CF981" i="1"/>
  <c r="CE981" i="1" s="1"/>
  <c r="CF980" i="1"/>
  <c r="CE980" i="1" s="1"/>
  <c r="CF979" i="1"/>
  <c r="CE979" i="1" s="1"/>
  <c r="CF978" i="1"/>
  <c r="CE978" i="1" s="1"/>
  <c r="CF977" i="1"/>
  <c r="CE977" i="1" s="1"/>
  <c r="CF976" i="1"/>
  <c r="CE976" i="1" s="1"/>
  <c r="CF975" i="1"/>
  <c r="CE975" i="1" s="1"/>
  <c r="CF974" i="1"/>
  <c r="CE974" i="1" s="1"/>
  <c r="CF973" i="1"/>
  <c r="CE973" i="1" s="1"/>
  <c r="CF972" i="1"/>
  <c r="CE972" i="1" s="1"/>
  <c r="CF971" i="1"/>
  <c r="CE971" i="1" s="1"/>
  <c r="CF970" i="1"/>
  <c r="CE970" i="1" s="1"/>
  <c r="CF969" i="1"/>
  <c r="CE969" i="1" s="1"/>
  <c r="CF968" i="1"/>
  <c r="CE968" i="1" s="1"/>
  <c r="CF967" i="1"/>
  <c r="CE967" i="1" s="1"/>
  <c r="CF966" i="1"/>
  <c r="CE966" i="1" s="1"/>
  <c r="CF965" i="1"/>
  <c r="CE965" i="1" s="1"/>
  <c r="CF964" i="1"/>
  <c r="CE964" i="1" s="1"/>
  <c r="CF963" i="1"/>
  <c r="CE963" i="1" s="1"/>
  <c r="CF962" i="1"/>
  <c r="CE962" i="1" s="1"/>
  <c r="CF961" i="1"/>
  <c r="CE961" i="1" s="1"/>
  <c r="CF960" i="1"/>
  <c r="CE960" i="1" s="1"/>
  <c r="CF959" i="1"/>
  <c r="CE959" i="1" s="1"/>
  <c r="CF958" i="1"/>
  <c r="CE958" i="1" s="1"/>
  <c r="CF957" i="1"/>
  <c r="CE957" i="1" s="1"/>
  <c r="CF956" i="1"/>
  <c r="CE956" i="1" s="1"/>
  <c r="CF955" i="1"/>
  <c r="CE955" i="1" s="1"/>
  <c r="CF954" i="1"/>
  <c r="CE954" i="1" s="1"/>
  <c r="CF953" i="1"/>
  <c r="CE953" i="1" s="1"/>
  <c r="CF952" i="1"/>
  <c r="CE952" i="1" s="1"/>
  <c r="CF951" i="1"/>
  <c r="CE951" i="1" s="1"/>
  <c r="CF950" i="1"/>
  <c r="CE950" i="1" s="1"/>
  <c r="CF949" i="1"/>
  <c r="CE949" i="1" s="1"/>
  <c r="CF948" i="1"/>
  <c r="CE948" i="1" s="1"/>
  <c r="CF947" i="1"/>
  <c r="CE947" i="1" s="1"/>
  <c r="CF946" i="1"/>
  <c r="CE946" i="1" s="1"/>
  <c r="CF945" i="1"/>
  <c r="CE945" i="1" s="1"/>
  <c r="CF944" i="1"/>
  <c r="CE944" i="1" s="1"/>
  <c r="CF943" i="1"/>
  <c r="CE943" i="1" s="1"/>
  <c r="CF942" i="1"/>
  <c r="CE942" i="1" s="1"/>
  <c r="CF941" i="1"/>
  <c r="CE941" i="1" s="1"/>
  <c r="CF940" i="1"/>
  <c r="CE940" i="1" s="1"/>
  <c r="CF939" i="1"/>
  <c r="CE939" i="1" s="1"/>
  <c r="CF938" i="1"/>
  <c r="CE938" i="1" s="1"/>
  <c r="CF937" i="1"/>
  <c r="CE937" i="1" s="1"/>
  <c r="CF936" i="1"/>
  <c r="CE936" i="1" s="1"/>
  <c r="CF935" i="1"/>
  <c r="CE935" i="1" s="1"/>
  <c r="CF934" i="1"/>
  <c r="CE934" i="1" s="1"/>
  <c r="CF933" i="1"/>
  <c r="CE933" i="1" s="1"/>
  <c r="CF932" i="1"/>
  <c r="CE932" i="1" s="1"/>
  <c r="CF931" i="1"/>
  <c r="CE931" i="1" s="1"/>
  <c r="CF930" i="1"/>
  <c r="CE930" i="1" s="1"/>
  <c r="CF929" i="1"/>
  <c r="CE929" i="1" s="1"/>
  <c r="CF928" i="1"/>
  <c r="CE928" i="1" s="1"/>
  <c r="CF927" i="1"/>
  <c r="CE927" i="1" s="1"/>
  <c r="CF926" i="1"/>
  <c r="CE926" i="1" s="1"/>
  <c r="CF925" i="1"/>
  <c r="CE925" i="1" s="1"/>
  <c r="CF924" i="1"/>
  <c r="CE924" i="1" s="1"/>
  <c r="CF923" i="1"/>
  <c r="CE923" i="1" s="1"/>
  <c r="CF922" i="1"/>
  <c r="CE922" i="1" s="1"/>
  <c r="CF921" i="1"/>
  <c r="CE921" i="1" s="1"/>
  <c r="CF920" i="1"/>
  <c r="CE920" i="1" s="1"/>
  <c r="CF919" i="1"/>
  <c r="CE919" i="1" s="1"/>
  <c r="CF918" i="1"/>
  <c r="CE918" i="1" s="1"/>
  <c r="CF917" i="1"/>
  <c r="CE917" i="1" s="1"/>
  <c r="CF916" i="1"/>
  <c r="CE916" i="1" s="1"/>
  <c r="CF915" i="1"/>
  <c r="CE915" i="1" s="1"/>
  <c r="CF914" i="1"/>
  <c r="CE914" i="1" s="1"/>
  <c r="CF913" i="1"/>
  <c r="CE913" i="1" s="1"/>
  <c r="CF912" i="1"/>
  <c r="CE912" i="1" s="1"/>
  <c r="CF911" i="1"/>
  <c r="CE911" i="1" s="1"/>
  <c r="CF910" i="1"/>
  <c r="CE910" i="1" s="1"/>
  <c r="CF909" i="1"/>
  <c r="CE909" i="1" s="1"/>
  <c r="CF908" i="1"/>
  <c r="CE908" i="1" s="1"/>
  <c r="CF907" i="1"/>
  <c r="CE907" i="1" s="1"/>
  <c r="CF906" i="1"/>
  <c r="CE906" i="1" s="1"/>
  <c r="CF905" i="1"/>
  <c r="CE905" i="1" s="1"/>
  <c r="CF904" i="1"/>
  <c r="CE904" i="1" s="1"/>
  <c r="CF903" i="1"/>
  <c r="CE903" i="1" s="1"/>
  <c r="CF902" i="1"/>
  <c r="CE902" i="1" s="1"/>
  <c r="CF901" i="1"/>
  <c r="CE901" i="1" s="1"/>
  <c r="CF900" i="1"/>
  <c r="CE900" i="1" s="1"/>
  <c r="CF899" i="1"/>
  <c r="CE899" i="1" s="1"/>
  <c r="CF898" i="1"/>
  <c r="CE898" i="1" s="1"/>
  <c r="CF897" i="1"/>
  <c r="CE897" i="1" s="1"/>
  <c r="CF896" i="1"/>
  <c r="CE896" i="1" s="1"/>
  <c r="CF895" i="1"/>
  <c r="CE895" i="1" s="1"/>
  <c r="CF894" i="1"/>
  <c r="CE894" i="1" s="1"/>
  <c r="CF893" i="1"/>
  <c r="CE893" i="1" s="1"/>
  <c r="CF892" i="1"/>
  <c r="CE892" i="1" s="1"/>
  <c r="CF891" i="1"/>
  <c r="CE891" i="1" s="1"/>
  <c r="CF890" i="1"/>
  <c r="CE890" i="1" s="1"/>
  <c r="CF889" i="1"/>
  <c r="CE889" i="1" s="1"/>
  <c r="CF888" i="1"/>
  <c r="CE888" i="1" s="1"/>
  <c r="CF887" i="1"/>
  <c r="CE887" i="1" s="1"/>
  <c r="CF886" i="1"/>
  <c r="CE886" i="1" s="1"/>
  <c r="CF885" i="1"/>
  <c r="CE885" i="1" s="1"/>
  <c r="CF884" i="1"/>
  <c r="CE884" i="1" s="1"/>
  <c r="CF883" i="1"/>
  <c r="CE883" i="1" s="1"/>
  <c r="CF882" i="1"/>
  <c r="CE882" i="1" s="1"/>
  <c r="CF881" i="1"/>
  <c r="CE881" i="1" s="1"/>
  <c r="CF880" i="1"/>
  <c r="CE880" i="1" s="1"/>
  <c r="CF879" i="1"/>
  <c r="CE879" i="1" s="1"/>
  <c r="CF878" i="1"/>
  <c r="CE878" i="1" s="1"/>
  <c r="CF877" i="1"/>
  <c r="CE877" i="1" s="1"/>
  <c r="CF876" i="1"/>
  <c r="CE876" i="1" s="1"/>
  <c r="CF875" i="1"/>
  <c r="CE875" i="1" s="1"/>
  <c r="CF874" i="1"/>
  <c r="CE874" i="1" s="1"/>
  <c r="CF873" i="1"/>
  <c r="CE873" i="1" s="1"/>
  <c r="CF872" i="1"/>
  <c r="CE872" i="1" s="1"/>
  <c r="CF871" i="1"/>
  <c r="CE871" i="1" s="1"/>
  <c r="CF870" i="1"/>
  <c r="CE870" i="1" s="1"/>
  <c r="CF869" i="1"/>
  <c r="CE869" i="1" s="1"/>
  <c r="CF868" i="1"/>
  <c r="CE868" i="1" s="1"/>
  <c r="CF867" i="1"/>
  <c r="CE867" i="1" s="1"/>
  <c r="CF866" i="1"/>
  <c r="CE866" i="1" s="1"/>
  <c r="CF865" i="1"/>
  <c r="CE865" i="1" s="1"/>
  <c r="CF864" i="1"/>
  <c r="CE864" i="1" s="1"/>
  <c r="CF863" i="1"/>
  <c r="CE863" i="1" s="1"/>
  <c r="CF862" i="1"/>
  <c r="CE862" i="1" s="1"/>
  <c r="CF861" i="1"/>
  <c r="CE861" i="1" s="1"/>
  <c r="CF860" i="1"/>
  <c r="CE860" i="1" s="1"/>
  <c r="CF859" i="1"/>
  <c r="CE859" i="1" s="1"/>
  <c r="CF858" i="1"/>
  <c r="CE858" i="1" s="1"/>
  <c r="CF857" i="1"/>
  <c r="CE857" i="1" s="1"/>
  <c r="CF856" i="1"/>
  <c r="CE856" i="1" s="1"/>
  <c r="CF855" i="1"/>
  <c r="CE855" i="1" s="1"/>
  <c r="CF854" i="1"/>
  <c r="CE854" i="1" s="1"/>
  <c r="CF853" i="1"/>
  <c r="CE853" i="1" s="1"/>
  <c r="CF852" i="1"/>
  <c r="CE852" i="1" s="1"/>
  <c r="CF851" i="1"/>
  <c r="CE851" i="1" s="1"/>
  <c r="CF850" i="1"/>
  <c r="CE850" i="1" s="1"/>
  <c r="CF849" i="1"/>
  <c r="CE849" i="1" s="1"/>
  <c r="CF848" i="1"/>
  <c r="CE848" i="1" s="1"/>
  <c r="CF847" i="1"/>
  <c r="CE847" i="1" s="1"/>
  <c r="CF846" i="1"/>
  <c r="CE846" i="1" s="1"/>
  <c r="CF845" i="1"/>
  <c r="CE845" i="1" s="1"/>
  <c r="CF844" i="1"/>
  <c r="CE844" i="1" s="1"/>
  <c r="CF843" i="1"/>
  <c r="CE843" i="1" s="1"/>
  <c r="CF842" i="1"/>
  <c r="CE842" i="1" s="1"/>
  <c r="CF841" i="1"/>
  <c r="CE841" i="1" s="1"/>
  <c r="CF840" i="1"/>
  <c r="CE840" i="1" s="1"/>
  <c r="CF839" i="1"/>
  <c r="CE839" i="1" s="1"/>
  <c r="CF838" i="1"/>
  <c r="CE838" i="1" s="1"/>
  <c r="CF837" i="1"/>
  <c r="CE837" i="1" s="1"/>
  <c r="CF836" i="1"/>
  <c r="CE836" i="1" s="1"/>
  <c r="CF835" i="1"/>
  <c r="CE835" i="1" s="1"/>
  <c r="CF834" i="1"/>
  <c r="CE834" i="1" s="1"/>
  <c r="CF833" i="1"/>
  <c r="CE833" i="1" s="1"/>
  <c r="CF832" i="1"/>
  <c r="CE832" i="1" s="1"/>
  <c r="CF831" i="1"/>
  <c r="CE831" i="1" s="1"/>
  <c r="CF830" i="1"/>
  <c r="CE830" i="1" s="1"/>
  <c r="CF829" i="1"/>
  <c r="CE829" i="1" s="1"/>
  <c r="CF828" i="1"/>
  <c r="CE828" i="1" s="1"/>
  <c r="CF827" i="1"/>
  <c r="CE827" i="1" s="1"/>
  <c r="CF826" i="1"/>
  <c r="CE826" i="1" s="1"/>
  <c r="CF825" i="1"/>
  <c r="CE825" i="1" s="1"/>
  <c r="CF824" i="1"/>
  <c r="CE824" i="1" s="1"/>
  <c r="CF823" i="1"/>
  <c r="CE823" i="1" s="1"/>
  <c r="CF822" i="1"/>
  <c r="CE822" i="1" s="1"/>
  <c r="CF821" i="1"/>
  <c r="CE821" i="1" s="1"/>
  <c r="CF820" i="1"/>
  <c r="CE820" i="1" s="1"/>
  <c r="CF819" i="1"/>
  <c r="CE819" i="1" s="1"/>
  <c r="CF818" i="1"/>
  <c r="CE818" i="1" s="1"/>
  <c r="CF817" i="1"/>
  <c r="CE817" i="1" s="1"/>
  <c r="CF816" i="1"/>
  <c r="CE816" i="1" s="1"/>
  <c r="CF815" i="1"/>
  <c r="CE815" i="1" s="1"/>
  <c r="CF814" i="1"/>
  <c r="CE814" i="1" s="1"/>
  <c r="CF813" i="1"/>
  <c r="CE813" i="1" s="1"/>
  <c r="CF812" i="1"/>
  <c r="CE812" i="1" s="1"/>
  <c r="CF811" i="1"/>
  <c r="CE811" i="1" s="1"/>
  <c r="CF810" i="1"/>
  <c r="CE810" i="1" s="1"/>
  <c r="CF809" i="1"/>
  <c r="CE809" i="1" s="1"/>
  <c r="CF808" i="1"/>
  <c r="CE808" i="1" s="1"/>
  <c r="CF807" i="1"/>
  <c r="CE807" i="1" s="1"/>
  <c r="CF806" i="1"/>
  <c r="CE806" i="1" s="1"/>
  <c r="CF805" i="1"/>
  <c r="CE805" i="1" s="1"/>
  <c r="CF804" i="1"/>
  <c r="CE804" i="1" s="1"/>
  <c r="CF803" i="1"/>
  <c r="CE803" i="1" s="1"/>
  <c r="CF802" i="1"/>
  <c r="CE802" i="1" s="1"/>
  <c r="CF801" i="1"/>
  <c r="CE801" i="1" s="1"/>
  <c r="CF800" i="1"/>
  <c r="CE800" i="1" s="1"/>
  <c r="CF799" i="1"/>
  <c r="CE799" i="1" s="1"/>
  <c r="CF798" i="1"/>
  <c r="CE798" i="1" s="1"/>
  <c r="CF797" i="1"/>
  <c r="CE797" i="1" s="1"/>
  <c r="CF796" i="1"/>
  <c r="CE796" i="1" s="1"/>
  <c r="CF795" i="1"/>
  <c r="CE795" i="1" s="1"/>
  <c r="CF794" i="1"/>
  <c r="CE794" i="1" s="1"/>
  <c r="CF793" i="1"/>
  <c r="CE793" i="1" s="1"/>
  <c r="CF792" i="1"/>
  <c r="CE792" i="1" s="1"/>
  <c r="CF791" i="1"/>
  <c r="CE791" i="1" s="1"/>
  <c r="CF790" i="1"/>
  <c r="CE790" i="1" s="1"/>
  <c r="CF789" i="1"/>
  <c r="CE789" i="1" s="1"/>
  <c r="CF788" i="1"/>
  <c r="CE788" i="1" s="1"/>
  <c r="CF787" i="1"/>
  <c r="CE787" i="1" s="1"/>
  <c r="CF786" i="1"/>
  <c r="CE786" i="1" s="1"/>
  <c r="CF785" i="1"/>
  <c r="CE785" i="1" s="1"/>
  <c r="CF784" i="1"/>
  <c r="CE784" i="1" s="1"/>
  <c r="CF783" i="1"/>
  <c r="CE783" i="1" s="1"/>
  <c r="CF782" i="1"/>
  <c r="CE782" i="1" s="1"/>
  <c r="CF781" i="1"/>
  <c r="CE781" i="1" s="1"/>
  <c r="CF780" i="1"/>
  <c r="CE780" i="1" s="1"/>
  <c r="CF779" i="1"/>
  <c r="CE779" i="1" s="1"/>
  <c r="CF778" i="1"/>
  <c r="CE778" i="1" s="1"/>
  <c r="CF777" i="1"/>
  <c r="CE777" i="1" s="1"/>
  <c r="CF776" i="1"/>
  <c r="CE776" i="1" s="1"/>
  <c r="CF775" i="1"/>
  <c r="CE775" i="1" s="1"/>
  <c r="CF774" i="1"/>
  <c r="CE774" i="1" s="1"/>
  <c r="CF773" i="1"/>
  <c r="CE773" i="1" s="1"/>
  <c r="CF772" i="1"/>
  <c r="CE772" i="1" s="1"/>
  <c r="CF771" i="1"/>
  <c r="CE771" i="1" s="1"/>
  <c r="CF770" i="1"/>
  <c r="CE770" i="1" s="1"/>
  <c r="CF769" i="1"/>
  <c r="CE769" i="1" s="1"/>
  <c r="CF768" i="1"/>
  <c r="CE768" i="1" s="1"/>
  <c r="CF767" i="1"/>
  <c r="CE767" i="1" s="1"/>
  <c r="CF766" i="1"/>
  <c r="CE766" i="1" s="1"/>
  <c r="CF765" i="1"/>
  <c r="CE765" i="1" s="1"/>
  <c r="CF764" i="1"/>
  <c r="CE764" i="1" s="1"/>
  <c r="CF763" i="1"/>
  <c r="CE763" i="1" s="1"/>
  <c r="CF762" i="1"/>
  <c r="CE762" i="1" s="1"/>
  <c r="CF761" i="1"/>
  <c r="CE761" i="1" s="1"/>
  <c r="CF760" i="1"/>
  <c r="CE760" i="1" s="1"/>
  <c r="CF759" i="1"/>
  <c r="CE759" i="1" s="1"/>
  <c r="CF758" i="1"/>
  <c r="CE758" i="1" s="1"/>
  <c r="CF757" i="1"/>
  <c r="CE757" i="1" s="1"/>
  <c r="CF756" i="1"/>
  <c r="CE756" i="1" s="1"/>
  <c r="CF755" i="1"/>
  <c r="CE755" i="1" s="1"/>
  <c r="CF754" i="1"/>
  <c r="CE754" i="1" s="1"/>
  <c r="CF753" i="1"/>
  <c r="CE753" i="1" s="1"/>
  <c r="CF752" i="1"/>
  <c r="CE752" i="1" s="1"/>
  <c r="CF751" i="1"/>
  <c r="CE751" i="1" s="1"/>
  <c r="CF750" i="1"/>
  <c r="CE750" i="1" s="1"/>
  <c r="CF749" i="1"/>
  <c r="CE749" i="1" s="1"/>
  <c r="CF748" i="1"/>
  <c r="CE748" i="1" s="1"/>
  <c r="CF747" i="1"/>
  <c r="CE747" i="1" s="1"/>
  <c r="CF746" i="1"/>
  <c r="CE746" i="1" s="1"/>
  <c r="CF745" i="1"/>
  <c r="CE745" i="1" s="1"/>
  <c r="CF744" i="1"/>
  <c r="CE744" i="1" s="1"/>
  <c r="CF743" i="1"/>
  <c r="CE743" i="1" s="1"/>
  <c r="CF742" i="1"/>
  <c r="CE742" i="1" s="1"/>
  <c r="CF741" i="1"/>
  <c r="CE741" i="1" s="1"/>
  <c r="CF740" i="1"/>
  <c r="CE740" i="1" s="1"/>
  <c r="CF739" i="1"/>
  <c r="CE739" i="1" s="1"/>
  <c r="CF738" i="1"/>
  <c r="CE738" i="1" s="1"/>
  <c r="CF737" i="1"/>
  <c r="CE737" i="1" s="1"/>
  <c r="CF736" i="1"/>
  <c r="CE736" i="1" s="1"/>
  <c r="CF735" i="1"/>
  <c r="CE735" i="1" s="1"/>
  <c r="CF734" i="1"/>
  <c r="CE734" i="1" s="1"/>
  <c r="CF733" i="1"/>
  <c r="CE733" i="1" s="1"/>
  <c r="CF732" i="1"/>
  <c r="CE732" i="1" s="1"/>
  <c r="CF731" i="1"/>
  <c r="CE731" i="1" s="1"/>
  <c r="CF730" i="1"/>
  <c r="CE730" i="1" s="1"/>
  <c r="CF729" i="1"/>
  <c r="CE729" i="1" s="1"/>
  <c r="CF728" i="1"/>
  <c r="CE728" i="1" s="1"/>
  <c r="CF727" i="1"/>
  <c r="CE727" i="1" s="1"/>
  <c r="CF726" i="1"/>
  <c r="CE726" i="1" s="1"/>
  <c r="CF725" i="1"/>
  <c r="CE725" i="1" s="1"/>
  <c r="CF724" i="1"/>
  <c r="CE724" i="1" s="1"/>
  <c r="CF723" i="1"/>
  <c r="CE723" i="1" s="1"/>
  <c r="CF722" i="1"/>
  <c r="CE722" i="1" s="1"/>
  <c r="CF721" i="1"/>
  <c r="CE721" i="1" s="1"/>
  <c r="CF720" i="1"/>
  <c r="CE720" i="1" s="1"/>
  <c r="CF719" i="1"/>
  <c r="CE719" i="1" s="1"/>
  <c r="CF718" i="1"/>
  <c r="CE718" i="1" s="1"/>
  <c r="CF717" i="1"/>
  <c r="CE717" i="1" s="1"/>
  <c r="CF716" i="1"/>
  <c r="CE716" i="1" s="1"/>
  <c r="CF715" i="1"/>
  <c r="CE715" i="1" s="1"/>
  <c r="CF714" i="1"/>
  <c r="CE714" i="1" s="1"/>
  <c r="CF713" i="1"/>
  <c r="CE713" i="1" s="1"/>
  <c r="CF712" i="1"/>
  <c r="CE712" i="1" s="1"/>
  <c r="CF711" i="1"/>
  <c r="CE711" i="1" s="1"/>
  <c r="CF710" i="1"/>
  <c r="CE710" i="1" s="1"/>
  <c r="CF709" i="1"/>
  <c r="CE709" i="1" s="1"/>
  <c r="CF708" i="1"/>
  <c r="CE708" i="1" s="1"/>
  <c r="CF707" i="1"/>
  <c r="CE707" i="1" s="1"/>
  <c r="CF706" i="1"/>
  <c r="CE706" i="1" s="1"/>
  <c r="CF705" i="1"/>
  <c r="CE705" i="1" s="1"/>
  <c r="CF704" i="1"/>
  <c r="CE704" i="1" s="1"/>
  <c r="CF703" i="1"/>
  <c r="CE703" i="1" s="1"/>
  <c r="CF702" i="1"/>
  <c r="CE702" i="1" s="1"/>
  <c r="CF701" i="1"/>
  <c r="CE701" i="1" s="1"/>
  <c r="CF700" i="1"/>
  <c r="CE700" i="1" s="1"/>
  <c r="CF699" i="1"/>
  <c r="CE699" i="1" s="1"/>
  <c r="CF698" i="1"/>
  <c r="CE698" i="1" s="1"/>
  <c r="CF697" i="1"/>
  <c r="CE697" i="1" s="1"/>
  <c r="CF696" i="1"/>
  <c r="CE696" i="1" s="1"/>
  <c r="CF695" i="1"/>
  <c r="CE695" i="1" s="1"/>
  <c r="CF694" i="1"/>
  <c r="CE694" i="1" s="1"/>
  <c r="CF693" i="1"/>
  <c r="CE693" i="1" s="1"/>
  <c r="CF692" i="1"/>
  <c r="CE692" i="1" s="1"/>
  <c r="CF691" i="1"/>
  <c r="CE691" i="1" s="1"/>
  <c r="CF690" i="1"/>
  <c r="CE690" i="1" s="1"/>
  <c r="CF689" i="1"/>
  <c r="CE689" i="1" s="1"/>
  <c r="CF688" i="1"/>
  <c r="CE688" i="1" s="1"/>
  <c r="CF687" i="1"/>
  <c r="CE687" i="1" s="1"/>
  <c r="CF686" i="1"/>
  <c r="CE686" i="1" s="1"/>
  <c r="CF685" i="1"/>
  <c r="CE685" i="1" s="1"/>
  <c r="CF684" i="1"/>
  <c r="CE684" i="1" s="1"/>
  <c r="CF683" i="1"/>
  <c r="CE683" i="1" s="1"/>
  <c r="CF682" i="1"/>
  <c r="CE682" i="1" s="1"/>
  <c r="CF681" i="1"/>
  <c r="CE681" i="1" s="1"/>
  <c r="CF680" i="1"/>
  <c r="CE680" i="1" s="1"/>
  <c r="CF679" i="1"/>
  <c r="CE679" i="1" s="1"/>
  <c r="CF678" i="1"/>
  <c r="CE678" i="1" s="1"/>
  <c r="CF677" i="1"/>
  <c r="CE677" i="1" s="1"/>
  <c r="CF676" i="1"/>
  <c r="CE676" i="1" s="1"/>
  <c r="CF675" i="1"/>
  <c r="CE675" i="1" s="1"/>
  <c r="CF674" i="1"/>
  <c r="CE674" i="1" s="1"/>
  <c r="CF673" i="1"/>
  <c r="CE673" i="1" s="1"/>
  <c r="CF672" i="1"/>
  <c r="CE672" i="1" s="1"/>
  <c r="CF671" i="1"/>
  <c r="CE671" i="1" s="1"/>
  <c r="CF670" i="1"/>
  <c r="CE670" i="1" s="1"/>
  <c r="CF669" i="1"/>
  <c r="CE669" i="1" s="1"/>
  <c r="CF668" i="1"/>
  <c r="CE668" i="1" s="1"/>
  <c r="CF667" i="1"/>
  <c r="CE667" i="1" s="1"/>
  <c r="CF666" i="1"/>
  <c r="CE666" i="1" s="1"/>
  <c r="CF665" i="1"/>
  <c r="CE665" i="1" s="1"/>
  <c r="CF664" i="1"/>
  <c r="CE664" i="1" s="1"/>
  <c r="CF663" i="1"/>
  <c r="CE663" i="1" s="1"/>
  <c r="CF662" i="1"/>
  <c r="CE662" i="1" s="1"/>
  <c r="CF661" i="1"/>
  <c r="CE661" i="1" s="1"/>
  <c r="CF660" i="1"/>
  <c r="CE660" i="1" s="1"/>
  <c r="CF659" i="1"/>
  <c r="CE659" i="1" s="1"/>
  <c r="CF658" i="1"/>
  <c r="CE658" i="1" s="1"/>
  <c r="CF657" i="1"/>
  <c r="CE657" i="1" s="1"/>
  <c r="CF656" i="1"/>
  <c r="CE656" i="1" s="1"/>
  <c r="CF655" i="1"/>
  <c r="CE655" i="1" s="1"/>
  <c r="CF654" i="1"/>
  <c r="CE654" i="1" s="1"/>
  <c r="CF653" i="1"/>
  <c r="CE653" i="1" s="1"/>
  <c r="CF652" i="1"/>
  <c r="CE652" i="1" s="1"/>
  <c r="CF651" i="1"/>
  <c r="CE651" i="1" s="1"/>
  <c r="CF650" i="1"/>
  <c r="CE650" i="1" s="1"/>
  <c r="CF649" i="1"/>
  <c r="CE649" i="1" s="1"/>
  <c r="CF648" i="1"/>
  <c r="CE648" i="1" s="1"/>
  <c r="CF647" i="1"/>
  <c r="CE647" i="1" s="1"/>
  <c r="CF646" i="1"/>
  <c r="CE646" i="1" s="1"/>
  <c r="CF645" i="1"/>
  <c r="CE645" i="1" s="1"/>
  <c r="CF644" i="1"/>
  <c r="CE644" i="1" s="1"/>
  <c r="CF643" i="1"/>
  <c r="CE643" i="1" s="1"/>
  <c r="CF642" i="1"/>
  <c r="CE642" i="1" s="1"/>
  <c r="CF641" i="1"/>
  <c r="CE641" i="1" s="1"/>
  <c r="CF640" i="1"/>
  <c r="CE640" i="1" s="1"/>
  <c r="CF639" i="1"/>
  <c r="CE639" i="1" s="1"/>
  <c r="CF638" i="1"/>
  <c r="CE638" i="1" s="1"/>
  <c r="CF637" i="1"/>
  <c r="CE637" i="1" s="1"/>
  <c r="CF636" i="1"/>
  <c r="CE636" i="1" s="1"/>
  <c r="CF635" i="1"/>
  <c r="CE635" i="1" s="1"/>
  <c r="CF634" i="1"/>
  <c r="CE634" i="1" s="1"/>
  <c r="CF633" i="1"/>
  <c r="CE633" i="1" s="1"/>
  <c r="CF632" i="1"/>
  <c r="CE632" i="1" s="1"/>
  <c r="CF631" i="1"/>
  <c r="CE631" i="1" s="1"/>
  <c r="CF630" i="1"/>
  <c r="CE630" i="1" s="1"/>
  <c r="CF629" i="1"/>
  <c r="CE629" i="1" s="1"/>
  <c r="CF628" i="1"/>
  <c r="CE628" i="1" s="1"/>
  <c r="CF627" i="1"/>
  <c r="CE627" i="1" s="1"/>
  <c r="CF626" i="1"/>
  <c r="CE626" i="1" s="1"/>
  <c r="CF625" i="1"/>
  <c r="CE625" i="1" s="1"/>
  <c r="CF624" i="1"/>
  <c r="CE624" i="1" s="1"/>
  <c r="CF623" i="1"/>
  <c r="CE623" i="1" s="1"/>
  <c r="CF622" i="1"/>
  <c r="CE622" i="1" s="1"/>
  <c r="CF621" i="1"/>
  <c r="CE621" i="1" s="1"/>
  <c r="CF620" i="1"/>
  <c r="CE620" i="1" s="1"/>
  <c r="CF619" i="1"/>
  <c r="CE619" i="1" s="1"/>
  <c r="CF618" i="1"/>
  <c r="CE618" i="1" s="1"/>
  <c r="CF617" i="1"/>
  <c r="CE617" i="1" s="1"/>
  <c r="CF616" i="1"/>
  <c r="CE616" i="1" s="1"/>
  <c r="CF615" i="1"/>
  <c r="CE615" i="1" s="1"/>
  <c r="CF614" i="1"/>
  <c r="CE614" i="1" s="1"/>
  <c r="CF613" i="1"/>
  <c r="CE613" i="1" s="1"/>
  <c r="CF612" i="1"/>
  <c r="CE612" i="1" s="1"/>
  <c r="CF611" i="1"/>
  <c r="CE611" i="1" s="1"/>
  <c r="CF610" i="1"/>
  <c r="CE610" i="1" s="1"/>
  <c r="CF609" i="1"/>
  <c r="CE609" i="1" s="1"/>
  <c r="CF608" i="1"/>
  <c r="CE608" i="1" s="1"/>
  <c r="CF607" i="1"/>
  <c r="CE607" i="1" s="1"/>
  <c r="CF606" i="1"/>
  <c r="CE606" i="1" s="1"/>
  <c r="CF605" i="1"/>
  <c r="CE605" i="1" s="1"/>
  <c r="CF604" i="1"/>
  <c r="CE604" i="1" s="1"/>
  <c r="CF603" i="1"/>
  <c r="CE603" i="1" s="1"/>
  <c r="CF602" i="1"/>
  <c r="CE602" i="1" s="1"/>
  <c r="CF601" i="1"/>
  <c r="CE601" i="1" s="1"/>
  <c r="CF600" i="1"/>
  <c r="CE600" i="1" s="1"/>
  <c r="CF599" i="1"/>
  <c r="CE599" i="1" s="1"/>
  <c r="CF598" i="1"/>
  <c r="CE598" i="1" s="1"/>
  <c r="CF597" i="1"/>
  <c r="CE597" i="1" s="1"/>
  <c r="CF596" i="1"/>
  <c r="CE596" i="1" s="1"/>
  <c r="CF595" i="1"/>
  <c r="CE595" i="1" s="1"/>
  <c r="CF594" i="1"/>
  <c r="CE594" i="1" s="1"/>
  <c r="CF593" i="1"/>
  <c r="CE593" i="1" s="1"/>
  <c r="CF592" i="1"/>
  <c r="CE592" i="1" s="1"/>
  <c r="CF591" i="1"/>
  <c r="CE591" i="1" s="1"/>
  <c r="CF590" i="1"/>
  <c r="CE590" i="1" s="1"/>
  <c r="CF589" i="1"/>
  <c r="CE589" i="1" s="1"/>
  <c r="CF588" i="1"/>
  <c r="CE588" i="1" s="1"/>
  <c r="CF587" i="1"/>
  <c r="CE587" i="1" s="1"/>
  <c r="CF586" i="1"/>
  <c r="CE586" i="1" s="1"/>
  <c r="CF585" i="1"/>
  <c r="CE585" i="1" s="1"/>
  <c r="CF584" i="1"/>
  <c r="CE584" i="1" s="1"/>
  <c r="CF583" i="1"/>
  <c r="CE583" i="1" s="1"/>
  <c r="CF582" i="1"/>
  <c r="CE582" i="1" s="1"/>
  <c r="CF581" i="1"/>
  <c r="CE581" i="1" s="1"/>
  <c r="CF580" i="1"/>
  <c r="CE580" i="1" s="1"/>
  <c r="CF579" i="1"/>
  <c r="CE579" i="1" s="1"/>
  <c r="CF578" i="1"/>
  <c r="CE578" i="1" s="1"/>
  <c r="CF577" i="1"/>
  <c r="CE577" i="1" s="1"/>
  <c r="CF576" i="1"/>
  <c r="CE576" i="1" s="1"/>
  <c r="CF575" i="1"/>
  <c r="CE575" i="1" s="1"/>
  <c r="CF574" i="1"/>
  <c r="CE574" i="1" s="1"/>
  <c r="CF573" i="1"/>
  <c r="CE573" i="1" s="1"/>
  <c r="CF572" i="1"/>
  <c r="CE572" i="1" s="1"/>
  <c r="CF571" i="1"/>
  <c r="CE571" i="1" s="1"/>
  <c r="CF570" i="1"/>
  <c r="CE570" i="1" s="1"/>
  <c r="CF569" i="1"/>
  <c r="CE569" i="1" s="1"/>
  <c r="CF568" i="1"/>
  <c r="CE568" i="1" s="1"/>
  <c r="CF567" i="1"/>
  <c r="CE567" i="1" s="1"/>
  <c r="CF566" i="1"/>
  <c r="CE566" i="1" s="1"/>
  <c r="CF565" i="1"/>
  <c r="CE565" i="1" s="1"/>
  <c r="CF564" i="1"/>
  <c r="CE564" i="1" s="1"/>
  <c r="CF563" i="1"/>
  <c r="CE563" i="1" s="1"/>
  <c r="CF562" i="1"/>
  <c r="CE562" i="1" s="1"/>
  <c r="CF561" i="1"/>
  <c r="CE561" i="1" s="1"/>
  <c r="CF560" i="1"/>
  <c r="CE560" i="1" s="1"/>
  <c r="CF559" i="1"/>
  <c r="CE559" i="1" s="1"/>
  <c r="CF558" i="1"/>
  <c r="CE558" i="1" s="1"/>
  <c r="CF557" i="1"/>
  <c r="CE557" i="1" s="1"/>
  <c r="CF556" i="1"/>
  <c r="CE556" i="1" s="1"/>
  <c r="CF555" i="1"/>
  <c r="CE555" i="1" s="1"/>
  <c r="CF554" i="1"/>
  <c r="CE554" i="1" s="1"/>
  <c r="CF553" i="1"/>
  <c r="CE553" i="1" s="1"/>
  <c r="CF552" i="1"/>
  <c r="CE552" i="1" s="1"/>
  <c r="CF551" i="1"/>
  <c r="CE551" i="1" s="1"/>
  <c r="CF550" i="1"/>
  <c r="CE550" i="1" s="1"/>
  <c r="CF549" i="1"/>
  <c r="CE549" i="1" s="1"/>
  <c r="CF548" i="1"/>
  <c r="CE548" i="1" s="1"/>
  <c r="CF547" i="1"/>
  <c r="CE547" i="1" s="1"/>
  <c r="CF546" i="1"/>
  <c r="CE546" i="1" s="1"/>
  <c r="CF545" i="1"/>
  <c r="CE545" i="1" s="1"/>
  <c r="CF544" i="1"/>
  <c r="CE544" i="1" s="1"/>
  <c r="CF543" i="1"/>
  <c r="CE543" i="1" s="1"/>
  <c r="CF542" i="1"/>
  <c r="CE542" i="1" s="1"/>
  <c r="CF541" i="1"/>
  <c r="CE541" i="1" s="1"/>
  <c r="CF540" i="1"/>
  <c r="CE540" i="1" s="1"/>
  <c r="CF539" i="1"/>
  <c r="CE539" i="1" s="1"/>
  <c r="CF538" i="1"/>
  <c r="CE538" i="1" s="1"/>
  <c r="CF537" i="1"/>
  <c r="CE537" i="1" s="1"/>
  <c r="CF536" i="1"/>
  <c r="CE536" i="1" s="1"/>
  <c r="CF535" i="1"/>
  <c r="CE535" i="1" s="1"/>
  <c r="CF534" i="1"/>
  <c r="CE534" i="1" s="1"/>
  <c r="CF533" i="1"/>
  <c r="CE533" i="1" s="1"/>
  <c r="CF532" i="1"/>
  <c r="CE532" i="1" s="1"/>
  <c r="CF531" i="1"/>
  <c r="CE531" i="1" s="1"/>
  <c r="CF530" i="1"/>
  <c r="CE530" i="1" s="1"/>
  <c r="CF529" i="1"/>
  <c r="CE529" i="1" s="1"/>
  <c r="CF528" i="1"/>
  <c r="CE528" i="1" s="1"/>
  <c r="CF527" i="1"/>
  <c r="CE527" i="1" s="1"/>
  <c r="CF526" i="1"/>
  <c r="CE526" i="1" s="1"/>
  <c r="CF525" i="1"/>
  <c r="CE525" i="1" s="1"/>
  <c r="CF524" i="1"/>
  <c r="CE524" i="1" s="1"/>
  <c r="CF523" i="1"/>
  <c r="CE523" i="1" s="1"/>
  <c r="CF522" i="1"/>
  <c r="CE522" i="1" s="1"/>
  <c r="CF521" i="1"/>
  <c r="CE521" i="1" s="1"/>
  <c r="CF520" i="1"/>
  <c r="CE520" i="1" s="1"/>
  <c r="CF519" i="1"/>
  <c r="CE519" i="1" s="1"/>
  <c r="CF518" i="1"/>
  <c r="CE518" i="1" s="1"/>
  <c r="CF517" i="1"/>
  <c r="CE517" i="1" s="1"/>
  <c r="CF516" i="1"/>
  <c r="CE516" i="1" s="1"/>
  <c r="CF515" i="1"/>
  <c r="CE515" i="1" s="1"/>
  <c r="CF514" i="1"/>
  <c r="CE514" i="1" s="1"/>
  <c r="CF513" i="1"/>
  <c r="CE513" i="1" s="1"/>
  <c r="CF512" i="1"/>
  <c r="CE512" i="1" s="1"/>
  <c r="CF511" i="1"/>
  <c r="CE511" i="1" s="1"/>
  <c r="CF510" i="1"/>
  <c r="CE510" i="1" s="1"/>
  <c r="CF509" i="1"/>
  <c r="CE509" i="1" s="1"/>
  <c r="CF508" i="1"/>
  <c r="CE508" i="1" s="1"/>
  <c r="CF507" i="1"/>
  <c r="CE507" i="1" s="1"/>
  <c r="CF506" i="1"/>
  <c r="CE506" i="1" s="1"/>
  <c r="CF505" i="1"/>
  <c r="CE505" i="1" s="1"/>
  <c r="CF504" i="1"/>
  <c r="CE504" i="1" s="1"/>
  <c r="CF503" i="1"/>
  <c r="CE503" i="1" s="1"/>
  <c r="CF502" i="1"/>
  <c r="CE502" i="1" s="1"/>
  <c r="CF501" i="1"/>
  <c r="CE501" i="1" s="1"/>
  <c r="CF500" i="1"/>
  <c r="CE500" i="1" s="1"/>
  <c r="CF499" i="1"/>
  <c r="CE499" i="1" s="1"/>
  <c r="CF498" i="1"/>
  <c r="CE498" i="1" s="1"/>
  <c r="CF497" i="1"/>
  <c r="CE497" i="1" s="1"/>
  <c r="CF496" i="1"/>
  <c r="CE496" i="1" s="1"/>
  <c r="CF495" i="1"/>
  <c r="CE495" i="1" s="1"/>
  <c r="CF494" i="1"/>
  <c r="CE494" i="1" s="1"/>
  <c r="CF493" i="1"/>
  <c r="CE493" i="1" s="1"/>
  <c r="CF492" i="1"/>
  <c r="CE492" i="1" s="1"/>
  <c r="CF491" i="1"/>
  <c r="CE491" i="1" s="1"/>
  <c r="CF490" i="1"/>
  <c r="CE490" i="1" s="1"/>
  <c r="CF489" i="1"/>
  <c r="CE489" i="1" s="1"/>
  <c r="CF488" i="1"/>
  <c r="CE488" i="1" s="1"/>
  <c r="CF487" i="1"/>
  <c r="CE487" i="1" s="1"/>
  <c r="CF486" i="1"/>
  <c r="CE486" i="1" s="1"/>
  <c r="CF485" i="1"/>
  <c r="CE485" i="1" s="1"/>
  <c r="CF484" i="1"/>
  <c r="CE484" i="1" s="1"/>
  <c r="CF483" i="1"/>
  <c r="CE483" i="1" s="1"/>
  <c r="CF482" i="1"/>
  <c r="CE482" i="1" s="1"/>
  <c r="CF481" i="1"/>
  <c r="CE481" i="1" s="1"/>
  <c r="CF480" i="1"/>
  <c r="CE480" i="1" s="1"/>
  <c r="CF479" i="1"/>
  <c r="CE479" i="1" s="1"/>
  <c r="CF478" i="1"/>
  <c r="CE478" i="1" s="1"/>
  <c r="CF477" i="1"/>
  <c r="CE477" i="1" s="1"/>
  <c r="CF476" i="1"/>
  <c r="CE476" i="1" s="1"/>
  <c r="CF475" i="1"/>
  <c r="CE475" i="1" s="1"/>
  <c r="CF474" i="1"/>
  <c r="CE474" i="1" s="1"/>
  <c r="CF473" i="1"/>
  <c r="CE473" i="1" s="1"/>
  <c r="CF472" i="1"/>
  <c r="CE472" i="1" s="1"/>
  <c r="CF471" i="1"/>
  <c r="CE471" i="1" s="1"/>
  <c r="CF470" i="1"/>
  <c r="CE470" i="1" s="1"/>
  <c r="CF469" i="1"/>
  <c r="CE469" i="1" s="1"/>
  <c r="CF468" i="1"/>
  <c r="CE468" i="1" s="1"/>
  <c r="CF467" i="1"/>
  <c r="CE467" i="1" s="1"/>
  <c r="CF466" i="1"/>
  <c r="CE466" i="1" s="1"/>
  <c r="CF465" i="1"/>
  <c r="CE465" i="1" s="1"/>
  <c r="CF464" i="1"/>
  <c r="CE464" i="1" s="1"/>
  <c r="CF463" i="1"/>
  <c r="CE463" i="1" s="1"/>
  <c r="CF462" i="1"/>
  <c r="CE462" i="1" s="1"/>
  <c r="CF461" i="1"/>
  <c r="CE461" i="1" s="1"/>
  <c r="CF460" i="1"/>
  <c r="CE460" i="1" s="1"/>
  <c r="CF459" i="1"/>
  <c r="CE459" i="1" s="1"/>
  <c r="CF458" i="1"/>
  <c r="CE458" i="1" s="1"/>
  <c r="CF457" i="1"/>
  <c r="CE457" i="1" s="1"/>
  <c r="CF456" i="1"/>
  <c r="CE456" i="1" s="1"/>
  <c r="CF455" i="1"/>
  <c r="CE455" i="1" s="1"/>
  <c r="CF454" i="1"/>
  <c r="CE454" i="1" s="1"/>
  <c r="CF453" i="1"/>
  <c r="CE453" i="1" s="1"/>
  <c r="CF452" i="1"/>
  <c r="CE452" i="1" s="1"/>
  <c r="CF451" i="1"/>
  <c r="CE451" i="1" s="1"/>
  <c r="CF450" i="1"/>
  <c r="CE450" i="1" s="1"/>
  <c r="CF449" i="1"/>
  <c r="CE449" i="1" s="1"/>
  <c r="CF448" i="1"/>
  <c r="CE448" i="1" s="1"/>
  <c r="CF447" i="1"/>
  <c r="CE447" i="1" s="1"/>
  <c r="CF446" i="1"/>
  <c r="CE446" i="1" s="1"/>
  <c r="CF445" i="1"/>
  <c r="CE445" i="1" s="1"/>
  <c r="CF444" i="1"/>
  <c r="CE444" i="1" s="1"/>
  <c r="CF443" i="1"/>
  <c r="CE443" i="1" s="1"/>
  <c r="CF442" i="1"/>
  <c r="CE442" i="1" s="1"/>
  <c r="CF441" i="1"/>
  <c r="CE441" i="1" s="1"/>
  <c r="CF440" i="1"/>
  <c r="CE440" i="1" s="1"/>
  <c r="CF439" i="1"/>
  <c r="CE439" i="1" s="1"/>
  <c r="CF438" i="1"/>
  <c r="CE438" i="1" s="1"/>
  <c r="CF437" i="1"/>
  <c r="CE437" i="1" s="1"/>
  <c r="CF436" i="1"/>
  <c r="CE436" i="1" s="1"/>
  <c r="CF435" i="1"/>
  <c r="CE435" i="1" s="1"/>
  <c r="CF434" i="1"/>
  <c r="CE434" i="1" s="1"/>
  <c r="CF433" i="1"/>
  <c r="CE433" i="1" s="1"/>
  <c r="CF432" i="1"/>
  <c r="CE432" i="1" s="1"/>
  <c r="CF431" i="1"/>
  <c r="CE431" i="1" s="1"/>
  <c r="CF430" i="1"/>
  <c r="CE430" i="1" s="1"/>
  <c r="CF429" i="1"/>
  <c r="CE429" i="1" s="1"/>
  <c r="CF428" i="1"/>
  <c r="CE428" i="1" s="1"/>
  <c r="CF427" i="1"/>
  <c r="CE427" i="1" s="1"/>
  <c r="CF426" i="1"/>
  <c r="CE426" i="1" s="1"/>
  <c r="CF425" i="1"/>
  <c r="CE425" i="1" s="1"/>
  <c r="CF424" i="1"/>
  <c r="CE424" i="1" s="1"/>
  <c r="CF423" i="1"/>
  <c r="CE423" i="1" s="1"/>
  <c r="CF422" i="1"/>
  <c r="CE422" i="1" s="1"/>
  <c r="CF421" i="1"/>
  <c r="CE421" i="1" s="1"/>
  <c r="CF420" i="1"/>
  <c r="CE420" i="1" s="1"/>
  <c r="CF419" i="1"/>
  <c r="CE419" i="1" s="1"/>
  <c r="CF418" i="1"/>
  <c r="CE418" i="1" s="1"/>
  <c r="CF417" i="1"/>
  <c r="CE417" i="1" s="1"/>
  <c r="CF416" i="1"/>
  <c r="CE416" i="1" s="1"/>
  <c r="CF415" i="1"/>
  <c r="CE415" i="1" s="1"/>
  <c r="CF414" i="1"/>
  <c r="CE414" i="1" s="1"/>
  <c r="CF413" i="1"/>
  <c r="CE413" i="1" s="1"/>
  <c r="CF412" i="1"/>
  <c r="CE412" i="1" s="1"/>
  <c r="CF411" i="1"/>
  <c r="CE411" i="1" s="1"/>
  <c r="CF410" i="1"/>
  <c r="CE410" i="1" s="1"/>
  <c r="CF409" i="1"/>
  <c r="CE409" i="1" s="1"/>
  <c r="CF408" i="1"/>
  <c r="CE408" i="1" s="1"/>
  <c r="CF407" i="1"/>
  <c r="CE407" i="1" s="1"/>
  <c r="CF406" i="1"/>
  <c r="CE406" i="1" s="1"/>
  <c r="CF405" i="1"/>
  <c r="CE405" i="1" s="1"/>
  <c r="CF404" i="1"/>
  <c r="CE404" i="1" s="1"/>
  <c r="CF403" i="1"/>
  <c r="CE403" i="1" s="1"/>
  <c r="CF402" i="1"/>
  <c r="CE402" i="1" s="1"/>
  <c r="CF401" i="1"/>
  <c r="CE401" i="1" s="1"/>
  <c r="CF400" i="1"/>
  <c r="CE400" i="1" s="1"/>
  <c r="CF399" i="1"/>
  <c r="CE399" i="1" s="1"/>
  <c r="CF398" i="1"/>
  <c r="CE398" i="1" s="1"/>
  <c r="CF397" i="1"/>
  <c r="CE397" i="1" s="1"/>
  <c r="CF396" i="1"/>
  <c r="CE396" i="1" s="1"/>
  <c r="CF395" i="1"/>
  <c r="CE395" i="1" s="1"/>
  <c r="CF394" i="1"/>
  <c r="CE394" i="1" s="1"/>
  <c r="CF393" i="1"/>
  <c r="CE393" i="1" s="1"/>
  <c r="CF392" i="1"/>
  <c r="CE392" i="1" s="1"/>
  <c r="CF391" i="1"/>
  <c r="CE391" i="1" s="1"/>
  <c r="CF390" i="1"/>
  <c r="CE390" i="1" s="1"/>
  <c r="CF389" i="1"/>
  <c r="CE389" i="1" s="1"/>
  <c r="CF388" i="1"/>
  <c r="CE388" i="1" s="1"/>
  <c r="CF387" i="1"/>
  <c r="CE387" i="1" s="1"/>
  <c r="CF386" i="1"/>
  <c r="CE386" i="1" s="1"/>
  <c r="CF385" i="1"/>
  <c r="CE385" i="1" s="1"/>
  <c r="CF384" i="1"/>
  <c r="CE384" i="1" s="1"/>
  <c r="CF383" i="1"/>
  <c r="CE383" i="1" s="1"/>
  <c r="CF382" i="1"/>
  <c r="CE382" i="1" s="1"/>
  <c r="CF381" i="1"/>
  <c r="CE381" i="1" s="1"/>
  <c r="CF380" i="1"/>
  <c r="CE380" i="1" s="1"/>
  <c r="CF379" i="1"/>
  <c r="CE379" i="1" s="1"/>
  <c r="CF378" i="1"/>
  <c r="CE378" i="1" s="1"/>
  <c r="CF377" i="1"/>
  <c r="CE377" i="1" s="1"/>
  <c r="CF376" i="1"/>
  <c r="CE376" i="1" s="1"/>
  <c r="CF375" i="1"/>
  <c r="CE375" i="1" s="1"/>
  <c r="CF374" i="1"/>
  <c r="CE374" i="1" s="1"/>
  <c r="CF373" i="1"/>
  <c r="CE373" i="1" s="1"/>
  <c r="CF372" i="1"/>
  <c r="CE372" i="1" s="1"/>
  <c r="CF371" i="1"/>
  <c r="CE371" i="1" s="1"/>
  <c r="CF370" i="1"/>
  <c r="CE370" i="1" s="1"/>
  <c r="CF369" i="1"/>
  <c r="CE369" i="1" s="1"/>
  <c r="CF368" i="1"/>
  <c r="CE368" i="1" s="1"/>
  <c r="CF367" i="1"/>
  <c r="CE367" i="1" s="1"/>
  <c r="CF366" i="1"/>
  <c r="CE366" i="1" s="1"/>
  <c r="CF365" i="1"/>
  <c r="CE365" i="1" s="1"/>
  <c r="CF364" i="1"/>
  <c r="CE364" i="1" s="1"/>
  <c r="CF363" i="1"/>
  <c r="CE363" i="1" s="1"/>
  <c r="CF362" i="1"/>
  <c r="CE362" i="1" s="1"/>
  <c r="CF361" i="1"/>
  <c r="CE361" i="1" s="1"/>
  <c r="CF360" i="1"/>
  <c r="CE360" i="1" s="1"/>
  <c r="CF359" i="1"/>
  <c r="CE359" i="1" s="1"/>
  <c r="CF358" i="1"/>
  <c r="CE358" i="1" s="1"/>
  <c r="CF357" i="1"/>
  <c r="CE357" i="1" s="1"/>
  <c r="CF356" i="1"/>
  <c r="CE356" i="1" s="1"/>
  <c r="CF355" i="1"/>
  <c r="CE355" i="1" s="1"/>
  <c r="CF354" i="1"/>
  <c r="CE354" i="1" s="1"/>
  <c r="CF353" i="1"/>
  <c r="CE353" i="1" s="1"/>
  <c r="CF352" i="1"/>
  <c r="CE352" i="1" s="1"/>
  <c r="CF351" i="1"/>
  <c r="CE351" i="1" s="1"/>
  <c r="CF350" i="1"/>
  <c r="CE350" i="1" s="1"/>
  <c r="CF349" i="1"/>
  <c r="CE349" i="1" s="1"/>
  <c r="CF348" i="1"/>
  <c r="CE348" i="1" s="1"/>
  <c r="CF347" i="1"/>
  <c r="CE347" i="1" s="1"/>
  <c r="CF346" i="1"/>
  <c r="CE346" i="1" s="1"/>
  <c r="CF345" i="1"/>
  <c r="CE345" i="1" s="1"/>
  <c r="CF344" i="1"/>
  <c r="CE344" i="1" s="1"/>
  <c r="CF343" i="1"/>
  <c r="CE343" i="1" s="1"/>
  <c r="CF342" i="1"/>
  <c r="CE342" i="1" s="1"/>
  <c r="CF341" i="1"/>
  <c r="CE341" i="1" s="1"/>
  <c r="CF340" i="1"/>
  <c r="CE340" i="1" s="1"/>
  <c r="CF339" i="1"/>
  <c r="CE339" i="1" s="1"/>
  <c r="CF338" i="1"/>
  <c r="CE338" i="1" s="1"/>
  <c r="CF337" i="1"/>
  <c r="CE337" i="1" s="1"/>
  <c r="CF336" i="1"/>
  <c r="CE336" i="1" s="1"/>
  <c r="CF335" i="1"/>
  <c r="CE335" i="1" s="1"/>
  <c r="CF334" i="1"/>
  <c r="CE334" i="1" s="1"/>
  <c r="CF333" i="1"/>
  <c r="CE333" i="1" s="1"/>
  <c r="CF332" i="1"/>
  <c r="CE332" i="1" s="1"/>
  <c r="CF331" i="1"/>
  <c r="CE331" i="1" s="1"/>
  <c r="CF330" i="1"/>
  <c r="CE330" i="1" s="1"/>
  <c r="CF329" i="1"/>
  <c r="CE329" i="1" s="1"/>
  <c r="CF328" i="1"/>
  <c r="CE328" i="1" s="1"/>
  <c r="CF327" i="1"/>
  <c r="CE327" i="1" s="1"/>
  <c r="CF326" i="1"/>
  <c r="CE326" i="1" s="1"/>
  <c r="CF325" i="1"/>
  <c r="CE325" i="1" s="1"/>
  <c r="CF324" i="1"/>
  <c r="CE324" i="1" s="1"/>
  <c r="CF323" i="1"/>
  <c r="CE323" i="1" s="1"/>
  <c r="CF322" i="1"/>
  <c r="CE322" i="1" s="1"/>
  <c r="CF321" i="1"/>
  <c r="CE321" i="1" s="1"/>
  <c r="CF320" i="1"/>
  <c r="CE320" i="1" s="1"/>
  <c r="CF319" i="1"/>
  <c r="CE319" i="1" s="1"/>
  <c r="CF318" i="1"/>
  <c r="CE318" i="1" s="1"/>
  <c r="CF317" i="1"/>
  <c r="CE317" i="1" s="1"/>
  <c r="CF316" i="1"/>
  <c r="CE316" i="1" s="1"/>
  <c r="CF315" i="1"/>
  <c r="CE315" i="1" s="1"/>
  <c r="CF314" i="1"/>
  <c r="CE314" i="1" s="1"/>
  <c r="CF313" i="1"/>
  <c r="CE313" i="1" s="1"/>
  <c r="CF312" i="1"/>
  <c r="CE312" i="1" s="1"/>
  <c r="CF311" i="1"/>
  <c r="CE311" i="1" s="1"/>
  <c r="CF310" i="1"/>
  <c r="CE310" i="1" s="1"/>
  <c r="CF309" i="1"/>
  <c r="CE309" i="1" s="1"/>
  <c r="CF308" i="1"/>
  <c r="CE308" i="1" s="1"/>
  <c r="CF307" i="1"/>
  <c r="CE307" i="1" s="1"/>
  <c r="CF306" i="1"/>
  <c r="CE306" i="1" s="1"/>
  <c r="CF305" i="1"/>
  <c r="CE305" i="1" s="1"/>
  <c r="CF304" i="1"/>
  <c r="CE304" i="1" s="1"/>
  <c r="CF303" i="1"/>
  <c r="CE303" i="1" s="1"/>
  <c r="CF302" i="1"/>
  <c r="CE302" i="1" s="1"/>
  <c r="CF301" i="1"/>
  <c r="CE301" i="1" s="1"/>
  <c r="CF300" i="1"/>
  <c r="CE300" i="1" s="1"/>
  <c r="CF299" i="1"/>
  <c r="CE299" i="1" s="1"/>
  <c r="CF298" i="1"/>
  <c r="CE298" i="1" s="1"/>
  <c r="CF297" i="1"/>
  <c r="CE297" i="1" s="1"/>
  <c r="CF296" i="1"/>
  <c r="CE296" i="1" s="1"/>
  <c r="CF295" i="1"/>
  <c r="CE295" i="1" s="1"/>
  <c r="CF294" i="1"/>
  <c r="CE294" i="1" s="1"/>
  <c r="CF293" i="1"/>
  <c r="CE293" i="1" s="1"/>
  <c r="CF292" i="1"/>
  <c r="CE292" i="1" s="1"/>
  <c r="CF291" i="1"/>
  <c r="CE291" i="1" s="1"/>
  <c r="CF290" i="1"/>
  <c r="CE290" i="1" s="1"/>
  <c r="CF289" i="1"/>
  <c r="CE289" i="1" s="1"/>
  <c r="CF288" i="1"/>
  <c r="CE288" i="1" s="1"/>
  <c r="CF287" i="1"/>
  <c r="CE287" i="1" s="1"/>
  <c r="CF286" i="1"/>
  <c r="CE286" i="1" s="1"/>
  <c r="CF285" i="1"/>
  <c r="CE285" i="1" s="1"/>
  <c r="CF284" i="1"/>
  <c r="CE284" i="1" s="1"/>
  <c r="CF283" i="1"/>
  <c r="CE283" i="1" s="1"/>
  <c r="CF282" i="1"/>
  <c r="CE282" i="1" s="1"/>
  <c r="CF281" i="1"/>
  <c r="CE281" i="1" s="1"/>
  <c r="CF280" i="1"/>
  <c r="CE280" i="1" s="1"/>
  <c r="CF279" i="1"/>
  <c r="CE279" i="1" s="1"/>
  <c r="CF278" i="1"/>
  <c r="CE278" i="1" s="1"/>
  <c r="CF277" i="1"/>
  <c r="CE277" i="1" s="1"/>
  <c r="CF276" i="1"/>
  <c r="CE276" i="1" s="1"/>
  <c r="CF275" i="1"/>
  <c r="CE275" i="1" s="1"/>
  <c r="CF274" i="1"/>
  <c r="CE274" i="1" s="1"/>
  <c r="CF273" i="1"/>
  <c r="CE273" i="1" s="1"/>
  <c r="CF272" i="1"/>
  <c r="CE272" i="1" s="1"/>
  <c r="CF271" i="1"/>
  <c r="CE271" i="1" s="1"/>
  <c r="CF270" i="1"/>
  <c r="CE270" i="1" s="1"/>
  <c r="CF269" i="1"/>
  <c r="CE269" i="1" s="1"/>
  <c r="CF268" i="1"/>
  <c r="CE268" i="1" s="1"/>
  <c r="CF267" i="1"/>
  <c r="CE267" i="1" s="1"/>
  <c r="CF266" i="1"/>
  <c r="CE266" i="1" s="1"/>
  <c r="CF265" i="1"/>
  <c r="CE265" i="1" s="1"/>
  <c r="CF264" i="1"/>
  <c r="CE264" i="1" s="1"/>
  <c r="CF263" i="1"/>
  <c r="CE263" i="1" s="1"/>
  <c r="CF262" i="1"/>
  <c r="CE262" i="1" s="1"/>
  <c r="CF261" i="1"/>
  <c r="CE261" i="1" s="1"/>
  <c r="CF260" i="1"/>
  <c r="CE260" i="1" s="1"/>
  <c r="CF259" i="1"/>
  <c r="CE259" i="1" s="1"/>
  <c r="CF258" i="1"/>
  <c r="CE258" i="1" s="1"/>
  <c r="CF257" i="1"/>
  <c r="CE257" i="1" s="1"/>
  <c r="CF256" i="1"/>
  <c r="CE256" i="1" s="1"/>
  <c r="CF255" i="1"/>
  <c r="CE255" i="1" s="1"/>
  <c r="CF254" i="1"/>
  <c r="CE254" i="1" s="1"/>
  <c r="CF253" i="1"/>
  <c r="CE253" i="1" s="1"/>
  <c r="CF252" i="1"/>
  <c r="CE252" i="1" s="1"/>
  <c r="CF251" i="1"/>
  <c r="CE251" i="1" s="1"/>
  <c r="CF250" i="1"/>
  <c r="CE250" i="1" s="1"/>
  <c r="CF249" i="1"/>
  <c r="CE249" i="1" s="1"/>
  <c r="CF248" i="1"/>
  <c r="CE248" i="1" s="1"/>
  <c r="CF247" i="1"/>
  <c r="CE247" i="1" s="1"/>
  <c r="CF246" i="1"/>
  <c r="CE246" i="1" s="1"/>
  <c r="CF245" i="1"/>
  <c r="CE245" i="1" s="1"/>
  <c r="CF244" i="1"/>
  <c r="CE244" i="1" s="1"/>
  <c r="CF243" i="1"/>
  <c r="CE243" i="1" s="1"/>
  <c r="CF242" i="1"/>
  <c r="CE242" i="1" s="1"/>
  <c r="CF241" i="1"/>
  <c r="CE241" i="1" s="1"/>
  <c r="CF240" i="1"/>
  <c r="CE240" i="1" s="1"/>
  <c r="CF239" i="1"/>
  <c r="CE239" i="1" s="1"/>
  <c r="CF238" i="1"/>
  <c r="CE238" i="1" s="1"/>
  <c r="CF237" i="1"/>
  <c r="CE237" i="1" s="1"/>
  <c r="CF236" i="1"/>
  <c r="CE236" i="1" s="1"/>
  <c r="CF235" i="1"/>
  <c r="CE235" i="1" s="1"/>
  <c r="CF234" i="1"/>
  <c r="CE234" i="1" s="1"/>
  <c r="CF233" i="1"/>
  <c r="CE233" i="1" s="1"/>
  <c r="CF232" i="1"/>
  <c r="CE232" i="1" s="1"/>
  <c r="CF231" i="1"/>
  <c r="CE231" i="1" s="1"/>
  <c r="CF230" i="1"/>
  <c r="CE230" i="1" s="1"/>
  <c r="CF229" i="1"/>
  <c r="CE229" i="1" s="1"/>
  <c r="CF228" i="1"/>
  <c r="CE228" i="1" s="1"/>
  <c r="CF227" i="1"/>
  <c r="CE227" i="1" s="1"/>
  <c r="CF226" i="1"/>
  <c r="CE226" i="1" s="1"/>
  <c r="CF225" i="1"/>
  <c r="CE225" i="1" s="1"/>
  <c r="CF224" i="1"/>
  <c r="CE224" i="1" s="1"/>
  <c r="CF223" i="1"/>
  <c r="CE223" i="1" s="1"/>
  <c r="CF222" i="1"/>
  <c r="CE222" i="1" s="1"/>
  <c r="CF221" i="1"/>
  <c r="CE221" i="1" s="1"/>
  <c r="CF220" i="1"/>
  <c r="CE220" i="1" s="1"/>
  <c r="CF219" i="1"/>
  <c r="CE219" i="1" s="1"/>
  <c r="CF218" i="1"/>
  <c r="CE218" i="1" s="1"/>
  <c r="CF217" i="1"/>
  <c r="CE217" i="1" s="1"/>
  <c r="CF216" i="1"/>
  <c r="CE216" i="1" s="1"/>
  <c r="CF215" i="1"/>
  <c r="CE215" i="1" s="1"/>
  <c r="CF214" i="1"/>
  <c r="CE214" i="1" s="1"/>
  <c r="CF213" i="1"/>
  <c r="CE213" i="1" s="1"/>
  <c r="CF212" i="1"/>
  <c r="CE212" i="1" s="1"/>
  <c r="CF211" i="1"/>
  <c r="CE211" i="1" s="1"/>
  <c r="CF210" i="1"/>
  <c r="CE210" i="1" s="1"/>
  <c r="CF209" i="1"/>
  <c r="CE209" i="1" s="1"/>
  <c r="CF208" i="1"/>
  <c r="CE208" i="1" s="1"/>
  <c r="CF207" i="1"/>
  <c r="CE207" i="1" s="1"/>
  <c r="CF206" i="1"/>
  <c r="CE206" i="1" s="1"/>
  <c r="CF205" i="1"/>
  <c r="CE205" i="1" s="1"/>
  <c r="CF204" i="1"/>
  <c r="CE204" i="1" s="1"/>
  <c r="CF203" i="1"/>
  <c r="CE203" i="1" s="1"/>
  <c r="CF202" i="1"/>
  <c r="CE202" i="1" s="1"/>
  <c r="CF201" i="1"/>
  <c r="CE201" i="1" s="1"/>
  <c r="CF200" i="1"/>
  <c r="CE200" i="1" s="1"/>
  <c r="CF199" i="1"/>
  <c r="CE199" i="1" s="1"/>
  <c r="CF198" i="1"/>
  <c r="CE198" i="1" s="1"/>
  <c r="CF197" i="1"/>
  <c r="CE197" i="1" s="1"/>
  <c r="CF196" i="1"/>
  <c r="CE196" i="1" s="1"/>
  <c r="CF195" i="1"/>
  <c r="CE195" i="1" s="1"/>
  <c r="CF194" i="1"/>
  <c r="CE194" i="1" s="1"/>
  <c r="CF193" i="1"/>
  <c r="CE193" i="1" s="1"/>
  <c r="CF192" i="1"/>
  <c r="CE192" i="1" s="1"/>
  <c r="CF191" i="1"/>
  <c r="CE191" i="1" s="1"/>
  <c r="CF190" i="1"/>
  <c r="CE190" i="1" s="1"/>
  <c r="CF189" i="1"/>
  <c r="CE189" i="1" s="1"/>
  <c r="CF188" i="1"/>
  <c r="CE188" i="1" s="1"/>
  <c r="CF187" i="1"/>
  <c r="CE187" i="1" s="1"/>
  <c r="CF186" i="1"/>
  <c r="CE186" i="1" s="1"/>
  <c r="CF185" i="1"/>
  <c r="CE185" i="1" s="1"/>
  <c r="CF184" i="1"/>
  <c r="CE184" i="1" s="1"/>
  <c r="CF183" i="1"/>
  <c r="CE183" i="1" s="1"/>
  <c r="CF182" i="1"/>
  <c r="CE182" i="1" s="1"/>
  <c r="CF181" i="1"/>
  <c r="CE181" i="1" s="1"/>
  <c r="CF180" i="1"/>
  <c r="CE180" i="1" s="1"/>
  <c r="CF179" i="1"/>
  <c r="CE179" i="1" s="1"/>
  <c r="CF178" i="1"/>
  <c r="CE178" i="1" s="1"/>
  <c r="CF177" i="1"/>
  <c r="CE177" i="1" s="1"/>
  <c r="CF176" i="1"/>
  <c r="CE176" i="1" s="1"/>
  <c r="CF175" i="1"/>
  <c r="CE175" i="1" s="1"/>
  <c r="CF174" i="1"/>
  <c r="CE174" i="1" s="1"/>
  <c r="CF173" i="1"/>
  <c r="CE173" i="1" s="1"/>
  <c r="CF172" i="1"/>
  <c r="CE172" i="1" s="1"/>
  <c r="CF171" i="1"/>
  <c r="CE171" i="1" s="1"/>
  <c r="CF170" i="1"/>
  <c r="CE170" i="1" s="1"/>
  <c r="CF169" i="1"/>
  <c r="CE169" i="1" s="1"/>
  <c r="CF168" i="1"/>
  <c r="CE168" i="1" s="1"/>
  <c r="CF167" i="1"/>
  <c r="CE167" i="1" s="1"/>
  <c r="CF166" i="1"/>
  <c r="CE166" i="1" s="1"/>
  <c r="CF165" i="1"/>
  <c r="CE165" i="1" s="1"/>
  <c r="CF164" i="1"/>
  <c r="CE164" i="1" s="1"/>
  <c r="CF163" i="1"/>
  <c r="CE163" i="1" s="1"/>
  <c r="CF162" i="1"/>
  <c r="CE162" i="1" s="1"/>
  <c r="CF161" i="1"/>
  <c r="CE161" i="1" s="1"/>
  <c r="CF160" i="1"/>
  <c r="CE160" i="1" s="1"/>
  <c r="CF159" i="1"/>
  <c r="CE159" i="1" s="1"/>
  <c r="CF158" i="1"/>
  <c r="CE158" i="1" s="1"/>
  <c r="CF157" i="1"/>
  <c r="CE157" i="1" s="1"/>
  <c r="CF156" i="1"/>
  <c r="CE156" i="1" s="1"/>
  <c r="CF155" i="1"/>
  <c r="CE155" i="1" s="1"/>
  <c r="CF154" i="1"/>
  <c r="CE154" i="1" s="1"/>
  <c r="CF153" i="1"/>
  <c r="CE153" i="1" s="1"/>
  <c r="CF152" i="1"/>
  <c r="CE152" i="1" s="1"/>
  <c r="CF151" i="1"/>
  <c r="CE151" i="1" s="1"/>
  <c r="CF150" i="1"/>
  <c r="CE150" i="1" s="1"/>
  <c r="CF149" i="1"/>
  <c r="CE149" i="1" s="1"/>
  <c r="CF148" i="1"/>
  <c r="CE148" i="1" s="1"/>
  <c r="CF147" i="1"/>
  <c r="CE147" i="1" s="1"/>
  <c r="CF146" i="1"/>
  <c r="CE146" i="1" s="1"/>
  <c r="CF145" i="1"/>
  <c r="CE145" i="1" s="1"/>
  <c r="CF144" i="1"/>
  <c r="CE144" i="1" s="1"/>
  <c r="CF143" i="1"/>
  <c r="CE143" i="1" s="1"/>
  <c r="CF142" i="1"/>
  <c r="CE142" i="1" s="1"/>
  <c r="CF141" i="1"/>
  <c r="CE141" i="1" s="1"/>
  <c r="CF140" i="1"/>
  <c r="CE140" i="1" s="1"/>
  <c r="CF139" i="1"/>
  <c r="CE139" i="1" s="1"/>
  <c r="CF138" i="1"/>
  <c r="CE138" i="1" s="1"/>
  <c r="CF137" i="1"/>
  <c r="CE137" i="1" s="1"/>
  <c r="CF136" i="1"/>
  <c r="CE136" i="1" s="1"/>
  <c r="CF135" i="1"/>
  <c r="CE135" i="1" s="1"/>
  <c r="CF134" i="1"/>
  <c r="CE134" i="1" s="1"/>
  <c r="CF133" i="1"/>
  <c r="CE133" i="1" s="1"/>
  <c r="CF132" i="1"/>
  <c r="CE132" i="1" s="1"/>
  <c r="CF131" i="1"/>
  <c r="CE131" i="1" s="1"/>
  <c r="CF130" i="1"/>
  <c r="CE130" i="1" s="1"/>
  <c r="CF129" i="1"/>
  <c r="CE129" i="1" s="1"/>
  <c r="CF128" i="1"/>
  <c r="CE128" i="1" s="1"/>
  <c r="CF127" i="1"/>
  <c r="CE127" i="1" s="1"/>
  <c r="CF126" i="1"/>
  <c r="CE126" i="1" s="1"/>
  <c r="CF125" i="1"/>
  <c r="CE125" i="1" s="1"/>
  <c r="CF124" i="1"/>
  <c r="CE124" i="1" s="1"/>
  <c r="CF123" i="1"/>
  <c r="CE123" i="1" s="1"/>
  <c r="CF122" i="1"/>
  <c r="CE122" i="1" s="1"/>
  <c r="CF121" i="1"/>
  <c r="CE121" i="1" s="1"/>
  <c r="CF120" i="1"/>
  <c r="CE120" i="1" s="1"/>
  <c r="CF119" i="1"/>
  <c r="CE119" i="1" s="1"/>
  <c r="CF118" i="1"/>
  <c r="CE118" i="1" s="1"/>
  <c r="CF117" i="1"/>
  <c r="CE117" i="1" s="1"/>
  <c r="CF116" i="1"/>
  <c r="CE116" i="1" s="1"/>
  <c r="CF115" i="1"/>
  <c r="CE115" i="1" s="1"/>
  <c r="CF114" i="1"/>
  <c r="CE114" i="1" s="1"/>
  <c r="CF113" i="1"/>
  <c r="CE113" i="1" s="1"/>
  <c r="CF112" i="1"/>
  <c r="CE112" i="1" s="1"/>
  <c r="CF111" i="1"/>
  <c r="CE111" i="1" s="1"/>
  <c r="CF110" i="1"/>
  <c r="CE110" i="1" s="1"/>
  <c r="CF109" i="1"/>
  <c r="CE109" i="1" s="1"/>
  <c r="CF108" i="1"/>
  <c r="CE108" i="1" s="1"/>
  <c r="CF107" i="1"/>
  <c r="CE107" i="1" s="1"/>
  <c r="CF106" i="1"/>
  <c r="CE106" i="1" s="1"/>
  <c r="CF105" i="1"/>
  <c r="CE105" i="1" s="1"/>
  <c r="CF104" i="1"/>
  <c r="CE104" i="1" s="1"/>
  <c r="CF103" i="1"/>
  <c r="CE103" i="1" s="1"/>
  <c r="CF102" i="1"/>
  <c r="CE102" i="1" s="1"/>
  <c r="CF101" i="1"/>
  <c r="CE101" i="1" s="1"/>
  <c r="CF100" i="1"/>
  <c r="CE100" i="1" s="1"/>
  <c r="CF99" i="1"/>
  <c r="CE99" i="1" s="1"/>
  <c r="CF98" i="1"/>
  <c r="CE98" i="1" s="1"/>
  <c r="CF97" i="1"/>
  <c r="CE97" i="1" s="1"/>
  <c r="CF96" i="1"/>
  <c r="CE96" i="1" s="1"/>
  <c r="CF95" i="1"/>
  <c r="CE95" i="1" s="1"/>
  <c r="CF94" i="1"/>
  <c r="CE94" i="1" s="1"/>
  <c r="CF93" i="1"/>
  <c r="CE93" i="1" s="1"/>
  <c r="CF92" i="1"/>
  <c r="CE92" i="1" s="1"/>
  <c r="CF91" i="1"/>
  <c r="CE91" i="1" s="1"/>
  <c r="CF90" i="1"/>
  <c r="CE90" i="1" s="1"/>
  <c r="CF89" i="1"/>
  <c r="CE89" i="1" s="1"/>
  <c r="CF88" i="1"/>
  <c r="CE88" i="1" s="1"/>
  <c r="CF87" i="1"/>
  <c r="CE87" i="1" s="1"/>
  <c r="CF86" i="1"/>
  <c r="CE86" i="1" s="1"/>
  <c r="CF85" i="1"/>
  <c r="CE85" i="1" s="1"/>
  <c r="CF84" i="1"/>
  <c r="CE84" i="1" s="1"/>
  <c r="CF83" i="1"/>
  <c r="CE83" i="1" s="1"/>
  <c r="CF82" i="1"/>
  <c r="CE82" i="1" s="1"/>
  <c r="CF81" i="1"/>
  <c r="CE81" i="1" s="1"/>
  <c r="CF80" i="1"/>
  <c r="CE80" i="1" s="1"/>
  <c r="CF79" i="1"/>
  <c r="CE79" i="1" s="1"/>
  <c r="CF78" i="1"/>
  <c r="CE78" i="1" s="1"/>
  <c r="CF77" i="1"/>
  <c r="CE77" i="1" s="1"/>
  <c r="CF76" i="1"/>
  <c r="CE76" i="1" s="1"/>
  <c r="CF75" i="1"/>
  <c r="CE75" i="1" s="1"/>
  <c r="CF74" i="1"/>
  <c r="CE74" i="1" s="1"/>
  <c r="CF73" i="1"/>
  <c r="CE73" i="1" s="1"/>
  <c r="CF72" i="1"/>
  <c r="CE72" i="1" s="1"/>
  <c r="CF71" i="1"/>
  <c r="CE71" i="1" s="1"/>
  <c r="CF70" i="1"/>
  <c r="CE70" i="1" s="1"/>
  <c r="CF69" i="1"/>
  <c r="CE69" i="1" s="1"/>
  <c r="CF68" i="1"/>
  <c r="CE68" i="1" s="1"/>
  <c r="CF67" i="1"/>
  <c r="CE67" i="1" s="1"/>
  <c r="CF66" i="1"/>
  <c r="CE66" i="1" s="1"/>
  <c r="CF65" i="1"/>
  <c r="CE65" i="1" s="1"/>
  <c r="CF64" i="1"/>
  <c r="CE64" i="1" s="1"/>
  <c r="CF63" i="1"/>
  <c r="CE63" i="1" s="1"/>
  <c r="CF62" i="1"/>
  <c r="CE62" i="1" s="1"/>
  <c r="CF61" i="1"/>
  <c r="CE61" i="1" s="1"/>
  <c r="CF60" i="1"/>
  <c r="CE60" i="1" s="1"/>
  <c r="CF59" i="1"/>
  <c r="CE59" i="1" s="1"/>
  <c r="CF58" i="1"/>
  <c r="CE58" i="1" s="1"/>
  <c r="CF57" i="1"/>
  <c r="CE57" i="1" s="1"/>
  <c r="CF56" i="1"/>
  <c r="CE56" i="1" s="1"/>
  <c r="CF55" i="1"/>
  <c r="CE55" i="1" s="1"/>
  <c r="CF54" i="1"/>
  <c r="CE54" i="1" s="1"/>
  <c r="CF53" i="1"/>
  <c r="CE53" i="1" s="1"/>
  <c r="CF52" i="1"/>
  <c r="CE52" i="1" s="1"/>
  <c r="CF51" i="1"/>
  <c r="CE51" i="1" s="1"/>
  <c r="CF50" i="1"/>
  <c r="CE50" i="1" s="1"/>
  <c r="CF49" i="1"/>
  <c r="CE49" i="1" s="1"/>
  <c r="CF48" i="1"/>
  <c r="CE48" i="1" s="1"/>
  <c r="CF47" i="1"/>
  <c r="CE47" i="1" s="1"/>
  <c r="CF46" i="1"/>
  <c r="CE46" i="1" s="1"/>
  <c r="CF45" i="1"/>
  <c r="CE45" i="1" s="1"/>
  <c r="CF44" i="1"/>
  <c r="CE44" i="1" s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CJ1011" i="1"/>
  <c r="CI1011" i="1" s="1"/>
  <c r="CJ1010" i="1"/>
  <c r="CI1010" i="1" s="1"/>
  <c r="CJ1009" i="1"/>
  <c r="CI1009" i="1" s="1"/>
  <c r="CJ1008" i="1"/>
  <c r="CI1008" i="1" s="1"/>
  <c r="CJ1007" i="1"/>
  <c r="CI1007" i="1" s="1"/>
  <c r="CJ1006" i="1"/>
  <c r="CI1006" i="1" s="1"/>
  <c r="CJ1005" i="1"/>
  <c r="CI1005" i="1" s="1"/>
  <c r="CJ1004" i="1"/>
  <c r="CI1004" i="1" s="1"/>
  <c r="CJ1003" i="1"/>
  <c r="CI1003" i="1" s="1"/>
  <c r="CJ1002" i="1"/>
  <c r="CI1002" i="1" s="1"/>
  <c r="CJ1001" i="1"/>
  <c r="CI1001" i="1" s="1"/>
  <c r="CJ1000" i="1"/>
  <c r="CI1000" i="1" s="1"/>
  <c r="CJ999" i="1"/>
  <c r="CI999" i="1" s="1"/>
  <c r="CJ998" i="1"/>
  <c r="CI998" i="1" s="1"/>
  <c r="CJ997" i="1"/>
  <c r="CI997" i="1" s="1"/>
  <c r="CJ996" i="1"/>
  <c r="CI996" i="1" s="1"/>
  <c r="CJ995" i="1"/>
  <c r="CI995" i="1" s="1"/>
  <c r="CJ994" i="1"/>
  <c r="CI994" i="1" s="1"/>
  <c r="CJ993" i="1"/>
  <c r="CI993" i="1" s="1"/>
  <c r="CJ992" i="1"/>
  <c r="CI992" i="1" s="1"/>
  <c r="CJ991" i="1"/>
  <c r="CI991" i="1" s="1"/>
  <c r="CJ990" i="1"/>
  <c r="CI990" i="1" s="1"/>
  <c r="CJ989" i="1"/>
  <c r="CI989" i="1" s="1"/>
  <c r="CJ988" i="1"/>
  <c r="CI988" i="1" s="1"/>
  <c r="CJ987" i="1"/>
  <c r="CI987" i="1" s="1"/>
  <c r="CJ986" i="1"/>
  <c r="CI986" i="1" s="1"/>
  <c r="CJ985" i="1"/>
  <c r="CI985" i="1" s="1"/>
  <c r="CJ984" i="1"/>
  <c r="CI984" i="1" s="1"/>
  <c r="CJ983" i="1"/>
  <c r="CI983" i="1" s="1"/>
  <c r="CJ982" i="1"/>
  <c r="CI982" i="1" s="1"/>
  <c r="CJ981" i="1"/>
  <c r="CI981" i="1" s="1"/>
  <c r="CJ980" i="1"/>
  <c r="CI980" i="1" s="1"/>
  <c r="CJ979" i="1"/>
  <c r="CI979" i="1" s="1"/>
  <c r="CJ978" i="1"/>
  <c r="CI978" i="1" s="1"/>
  <c r="CJ977" i="1"/>
  <c r="CI977" i="1" s="1"/>
  <c r="CJ976" i="1"/>
  <c r="CI976" i="1" s="1"/>
  <c r="CJ975" i="1"/>
  <c r="CI975" i="1" s="1"/>
  <c r="CJ974" i="1"/>
  <c r="CI974" i="1" s="1"/>
  <c r="CJ973" i="1"/>
  <c r="CI973" i="1" s="1"/>
  <c r="CJ972" i="1"/>
  <c r="CI972" i="1" s="1"/>
  <c r="CJ971" i="1"/>
  <c r="CI971" i="1" s="1"/>
  <c r="CJ970" i="1"/>
  <c r="CI970" i="1" s="1"/>
  <c r="CJ969" i="1"/>
  <c r="CI969" i="1" s="1"/>
  <c r="CJ968" i="1"/>
  <c r="CI968" i="1" s="1"/>
  <c r="CJ967" i="1"/>
  <c r="CI967" i="1" s="1"/>
  <c r="CJ966" i="1"/>
  <c r="CI966" i="1" s="1"/>
  <c r="CJ965" i="1"/>
  <c r="CI965" i="1" s="1"/>
  <c r="CJ964" i="1"/>
  <c r="CI964" i="1" s="1"/>
  <c r="CJ963" i="1"/>
  <c r="CI963" i="1" s="1"/>
  <c r="CJ962" i="1"/>
  <c r="CI962" i="1" s="1"/>
  <c r="CJ961" i="1"/>
  <c r="CI961" i="1" s="1"/>
  <c r="CJ960" i="1"/>
  <c r="CI960" i="1" s="1"/>
  <c r="CJ959" i="1"/>
  <c r="CI959" i="1" s="1"/>
  <c r="CJ958" i="1"/>
  <c r="CI958" i="1" s="1"/>
  <c r="CJ957" i="1"/>
  <c r="CI957" i="1" s="1"/>
  <c r="CJ956" i="1"/>
  <c r="CI956" i="1" s="1"/>
  <c r="CJ955" i="1"/>
  <c r="CI955" i="1" s="1"/>
  <c r="CJ954" i="1"/>
  <c r="CI954" i="1" s="1"/>
  <c r="CJ953" i="1"/>
  <c r="CI953" i="1" s="1"/>
  <c r="CJ952" i="1"/>
  <c r="CI952" i="1" s="1"/>
  <c r="CJ951" i="1"/>
  <c r="CI951" i="1" s="1"/>
  <c r="CJ950" i="1"/>
  <c r="CI950" i="1" s="1"/>
  <c r="CJ949" i="1"/>
  <c r="CI949" i="1" s="1"/>
  <c r="CJ948" i="1"/>
  <c r="CI948" i="1" s="1"/>
  <c r="CJ947" i="1"/>
  <c r="CI947" i="1" s="1"/>
  <c r="CJ946" i="1"/>
  <c r="CI946" i="1" s="1"/>
  <c r="CJ945" i="1"/>
  <c r="CI945" i="1" s="1"/>
  <c r="CJ944" i="1"/>
  <c r="CI944" i="1" s="1"/>
  <c r="CJ943" i="1"/>
  <c r="CI943" i="1" s="1"/>
  <c r="CJ942" i="1"/>
  <c r="CI942" i="1" s="1"/>
  <c r="CJ941" i="1"/>
  <c r="CI941" i="1" s="1"/>
  <c r="CJ940" i="1"/>
  <c r="CI940" i="1" s="1"/>
  <c r="CJ939" i="1"/>
  <c r="CI939" i="1" s="1"/>
  <c r="CJ938" i="1"/>
  <c r="CI938" i="1" s="1"/>
  <c r="CJ937" i="1"/>
  <c r="CI937" i="1" s="1"/>
  <c r="CJ936" i="1"/>
  <c r="CI936" i="1" s="1"/>
  <c r="CJ935" i="1"/>
  <c r="CI935" i="1" s="1"/>
  <c r="CJ934" i="1"/>
  <c r="CI934" i="1" s="1"/>
  <c r="CJ933" i="1"/>
  <c r="CI933" i="1" s="1"/>
  <c r="CJ932" i="1"/>
  <c r="CI932" i="1" s="1"/>
  <c r="CJ931" i="1"/>
  <c r="CI931" i="1" s="1"/>
  <c r="CJ930" i="1"/>
  <c r="CI930" i="1" s="1"/>
  <c r="CJ929" i="1"/>
  <c r="CI929" i="1" s="1"/>
  <c r="CJ928" i="1"/>
  <c r="CI928" i="1" s="1"/>
  <c r="CJ927" i="1"/>
  <c r="CI927" i="1" s="1"/>
  <c r="CJ926" i="1"/>
  <c r="CI926" i="1" s="1"/>
  <c r="CJ925" i="1"/>
  <c r="CI925" i="1" s="1"/>
  <c r="CJ924" i="1"/>
  <c r="CI924" i="1" s="1"/>
  <c r="CJ923" i="1"/>
  <c r="CI923" i="1" s="1"/>
  <c r="CJ922" i="1"/>
  <c r="CI922" i="1" s="1"/>
  <c r="CJ921" i="1"/>
  <c r="CI921" i="1" s="1"/>
  <c r="CJ920" i="1"/>
  <c r="CI920" i="1" s="1"/>
  <c r="CJ919" i="1"/>
  <c r="CI919" i="1" s="1"/>
  <c r="CJ918" i="1"/>
  <c r="CI918" i="1" s="1"/>
  <c r="CJ917" i="1"/>
  <c r="CI917" i="1" s="1"/>
  <c r="CJ916" i="1"/>
  <c r="CI916" i="1" s="1"/>
  <c r="CJ915" i="1"/>
  <c r="CI915" i="1" s="1"/>
  <c r="CJ914" i="1"/>
  <c r="CI914" i="1" s="1"/>
  <c r="CJ913" i="1"/>
  <c r="CI913" i="1" s="1"/>
  <c r="CJ912" i="1"/>
  <c r="CI912" i="1" s="1"/>
  <c r="CJ911" i="1"/>
  <c r="CI911" i="1" s="1"/>
  <c r="CJ910" i="1"/>
  <c r="CI910" i="1" s="1"/>
  <c r="CJ909" i="1"/>
  <c r="CI909" i="1" s="1"/>
  <c r="CJ908" i="1"/>
  <c r="CI908" i="1" s="1"/>
  <c r="CJ907" i="1"/>
  <c r="CI907" i="1" s="1"/>
  <c r="CJ906" i="1"/>
  <c r="CI906" i="1" s="1"/>
  <c r="CJ905" i="1"/>
  <c r="CI905" i="1" s="1"/>
  <c r="CJ904" i="1"/>
  <c r="CI904" i="1" s="1"/>
  <c r="CJ903" i="1"/>
  <c r="CI903" i="1" s="1"/>
  <c r="CJ902" i="1"/>
  <c r="CI902" i="1" s="1"/>
  <c r="CJ901" i="1"/>
  <c r="CI901" i="1" s="1"/>
  <c r="CJ900" i="1"/>
  <c r="CI900" i="1" s="1"/>
  <c r="CJ899" i="1"/>
  <c r="CI899" i="1" s="1"/>
  <c r="CJ898" i="1"/>
  <c r="CI898" i="1" s="1"/>
  <c r="CJ897" i="1"/>
  <c r="CI897" i="1" s="1"/>
  <c r="CJ896" i="1"/>
  <c r="CI896" i="1" s="1"/>
  <c r="CJ895" i="1"/>
  <c r="CI895" i="1" s="1"/>
  <c r="CJ894" i="1"/>
  <c r="CI894" i="1" s="1"/>
  <c r="CJ893" i="1"/>
  <c r="CI893" i="1" s="1"/>
  <c r="CJ892" i="1"/>
  <c r="CI892" i="1" s="1"/>
  <c r="CJ891" i="1"/>
  <c r="CI891" i="1" s="1"/>
  <c r="CJ890" i="1"/>
  <c r="CI890" i="1" s="1"/>
  <c r="CJ889" i="1"/>
  <c r="CI889" i="1" s="1"/>
  <c r="CJ888" i="1"/>
  <c r="CI888" i="1" s="1"/>
  <c r="CJ887" i="1"/>
  <c r="CI887" i="1" s="1"/>
  <c r="CJ886" i="1"/>
  <c r="CI886" i="1" s="1"/>
  <c r="CJ885" i="1"/>
  <c r="CI885" i="1" s="1"/>
  <c r="CJ884" i="1"/>
  <c r="CI884" i="1" s="1"/>
  <c r="CJ883" i="1"/>
  <c r="CI883" i="1" s="1"/>
  <c r="CJ882" i="1"/>
  <c r="CI882" i="1" s="1"/>
  <c r="CJ881" i="1"/>
  <c r="CI881" i="1" s="1"/>
  <c r="CJ880" i="1"/>
  <c r="CI880" i="1" s="1"/>
  <c r="CJ879" i="1"/>
  <c r="CI879" i="1" s="1"/>
  <c r="CJ878" i="1"/>
  <c r="CI878" i="1" s="1"/>
  <c r="CJ877" i="1"/>
  <c r="CI877" i="1" s="1"/>
  <c r="CJ876" i="1"/>
  <c r="CI876" i="1" s="1"/>
  <c r="CJ875" i="1"/>
  <c r="CI875" i="1" s="1"/>
  <c r="CJ874" i="1"/>
  <c r="CI874" i="1" s="1"/>
  <c r="CJ873" i="1"/>
  <c r="CI873" i="1" s="1"/>
  <c r="CJ872" i="1"/>
  <c r="CI872" i="1" s="1"/>
  <c r="CJ871" i="1"/>
  <c r="CI871" i="1" s="1"/>
  <c r="CJ870" i="1"/>
  <c r="CI870" i="1" s="1"/>
  <c r="CJ869" i="1"/>
  <c r="CI869" i="1" s="1"/>
  <c r="CJ868" i="1"/>
  <c r="CI868" i="1" s="1"/>
  <c r="CJ867" i="1"/>
  <c r="CI867" i="1" s="1"/>
  <c r="CJ866" i="1"/>
  <c r="CI866" i="1" s="1"/>
  <c r="CJ865" i="1"/>
  <c r="CI865" i="1" s="1"/>
  <c r="CJ864" i="1"/>
  <c r="CI864" i="1" s="1"/>
  <c r="CJ863" i="1"/>
  <c r="CI863" i="1" s="1"/>
  <c r="CJ862" i="1"/>
  <c r="CI862" i="1" s="1"/>
  <c r="CJ861" i="1"/>
  <c r="CI861" i="1" s="1"/>
  <c r="CJ860" i="1"/>
  <c r="CI860" i="1" s="1"/>
  <c r="CJ859" i="1"/>
  <c r="CI859" i="1" s="1"/>
  <c r="CJ858" i="1"/>
  <c r="CI858" i="1" s="1"/>
  <c r="CJ857" i="1"/>
  <c r="CI857" i="1" s="1"/>
  <c r="CJ856" i="1"/>
  <c r="CI856" i="1" s="1"/>
  <c r="CJ855" i="1"/>
  <c r="CI855" i="1" s="1"/>
  <c r="CJ854" i="1"/>
  <c r="CI854" i="1" s="1"/>
  <c r="CJ853" i="1"/>
  <c r="CI853" i="1" s="1"/>
  <c r="CJ852" i="1"/>
  <c r="CI852" i="1" s="1"/>
  <c r="CJ851" i="1"/>
  <c r="CI851" i="1" s="1"/>
  <c r="CJ850" i="1"/>
  <c r="CI850" i="1" s="1"/>
  <c r="CJ849" i="1"/>
  <c r="CI849" i="1" s="1"/>
  <c r="CJ848" i="1"/>
  <c r="CI848" i="1" s="1"/>
  <c r="CJ847" i="1"/>
  <c r="CI847" i="1" s="1"/>
  <c r="CJ846" i="1"/>
  <c r="CI846" i="1" s="1"/>
  <c r="CJ845" i="1"/>
  <c r="CI845" i="1" s="1"/>
  <c r="CJ844" i="1"/>
  <c r="CI844" i="1" s="1"/>
  <c r="CJ843" i="1"/>
  <c r="CI843" i="1" s="1"/>
  <c r="CJ842" i="1"/>
  <c r="CI842" i="1" s="1"/>
  <c r="CJ841" i="1"/>
  <c r="CI841" i="1" s="1"/>
  <c r="CJ840" i="1"/>
  <c r="CI840" i="1" s="1"/>
  <c r="CJ839" i="1"/>
  <c r="CI839" i="1" s="1"/>
  <c r="CJ838" i="1"/>
  <c r="CI838" i="1" s="1"/>
  <c r="CJ837" i="1"/>
  <c r="CI837" i="1" s="1"/>
  <c r="CJ836" i="1"/>
  <c r="CI836" i="1" s="1"/>
  <c r="CJ835" i="1"/>
  <c r="CI835" i="1" s="1"/>
  <c r="CJ834" i="1"/>
  <c r="CI834" i="1" s="1"/>
  <c r="CJ833" i="1"/>
  <c r="CI833" i="1" s="1"/>
  <c r="CJ832" i="1"/>
  <c r="CI832" i="1" s="1"/>
  <c r="CJ831" i="1"/>
  <c r="CI831" i="1" s="1"/>
  <c r="CJ830" i="1"/>
  <c r="CI830" i="1" s="1"/>
  <c r="CJ829" i="1"/>
  <c r="CI829" i="1" s="1"/>
  <c r="CJ828" i="1"/>
  <c r="CI828" i="1" s="1"/>
  <c r="CJ827" i="1"/>
  <c r="CI827" i="1" s="1"/>
  <c r="CJ826" i="1"/>
  <c r="CI826" i="1" s="1"/>
  <c r="CJ825" i="1"/>
  <c r="CI825" i="1" s="1"/>
  <c r="CJ824" i="1"/>
  <c r="CI824" i="1" s="1"/>
  <c r="CJ823" i="1"/>
  <c r="CI823" i="1" s="1"/>
  <c r="CJ822" i="1"/>
  <c r="CI822" i="1" s="1"/>
  <c r="CJ821" i="1"/>
  <c r="CI821" i="1" s="1"/>
  <c r="CJ820" i="1"/>
  <c r="CI820" i="1" s="1"/>
  <c r="CJ819" i="1"/>
  <c r="CI819" i="1" s="1"/>
  <c r="CJ818" i="1"/>
  <c r="CI818" i="1" s="1"/>
  <c r="CJ817" i="1"/>
  <c r="CI817" i="1" s="1"/>
  <c r="CJ816" i="1"/>
  <c r="CI816" i="1" s="1"/>
  <c r="CJ815" i="1"/>
  <c r="CI815" i="1" s="1"/>
  <c r="CJ814" i="1"/>
  <c r="CI814" i="1" s="1"/>
  <c r="CJ813" i="1"/>
  <c r="CI813" i="1" s="1"/>
  <c r="CJ812" i="1"/>
  <c r="CI812" i="1" s="1"/>
  <c r="CJ811" i="1"/>
  <c r="CI811" i="1" s="1"/>
  <c r="CJ810" i="1"/>
  <c r="CI810" i="1" s="1"/>
  <c r="CJ809" i="1"/>
  <c r="CI809" i="1" s="1"/>
  <c r="CJ808" i="1"/>
  <c r="CI808" i="1" s="1"/>
  <c r="CJ807" i="1"/>
  <c r="CI807" i="1" s="1"/>
  <c r="CJ806" i="1"/>
  <c r="CI806" i="1" s="1"/>
  <c r="CJ805" i="1"/>
  <c r="CI805" i="1" s="1"/>
  <c r="CJ804" i="1"/>
  <c r="CI804" i="1" s="1"/>
  <c r="CJ803" i="1"/>
  <c r="CI803" i="1" s="1"/>
  <c r="CJ802" i="1"/>
  <c r="CI802" i="1" s="1"/>
  <c r="CJ801" i="1"/>
  <c r="CI801" i="1" s="1"/>
  <c r="CJ800" i="1"/>
  <c r="CI800" i="1" s="1"/>
  <c r="CJ799" i="1"/>
  <c r="CI799" i="1" s="1"/>
  <c r="CJ798" i="1"/>
  <c r="CI798" i="1" s="1"/>
  <c r="CJ797" i="1"/>
  <c r="CI797" i="1" s="1"/>
  <c r="CJ796" i="1"/>
  <c r="CI796" i="1" s="1"/>
  <c r="CJ795" i="1"/>
  <c r="CI795" i="1" s="1"/>
  <c r="CJ794" i="1"/>
  <c r="CI794" i="1" s="1"/>
  <c r="CJ793" i="1"/>
  <c r="CI793" i="1" s="1"/>
  <c r="CJ792" i="1"/>
  <c r="CI792" i="1" s="1"/>
  <c r="CJ791" i="1"/>
  <c r="CI791" i="1" s="1"/>
  <c r="CJ790" i="1"/>
  <c r="CI790" i="1" s="1"/>
  <c r="CJ789" i="1"/>
  <c r="CI789" i="1" s="1"/>
  <c r="CJ788" i="1"/>
  <c r="CI788" i="1" s="1"/>
  <c r="CJ787" i="1"/>
  <c r="CI787" i="1" s="1"/>
  <c r="CJ786" i="1"/>
  <c r="CI786" i="1" s="1"/>
  <c r="CJ785" i="1"/>
  <c r="CI785" i="1" s="1"/>
  <c r="CJ784" i="1"/>
  <c r="CI784" i="1" s="1"/>
  <c r="CJ783" i="1"/>
  <c r="CI783" i="1" s="1"/>
  <c r="CJ782" i="1"/>
  <c r="CI782" i="1" s="1"/>
  <c r="CJ781" i="1"/>
  <c r="CI781" i="1" s="1"/>
  <c r="CJ780" i="1"/>
  <c r="CI780" i="1" s="1"/>
  <c r="CJ779" i="1"/>
  <c r="CI779" i="1" s="1"/>
  <c r="CJ778" i="1"/>
  <c r="CI778" i="1" s="1"/>
  <c r="CJ777" i="1"/>
  <c r="CI777" i="1" s="1"/>
  <c r="CJ776" i="1"/>
  <c r="CI776" i="1" s="1"/>
  <c r="CJ775" i="1"/>
  <c r="CI775" i="1" s="1"/>
  <c r="CJ774" i="1"/>
  <c r="CI774" i="1" s="1"/>
  <c r="CJ773" i="1"/>
  <c r="CI773" i="1" s="1"/>
  <c r="CJ772" i="1"/>
  <c r="CI772" i="1" s="1"/>
  <c r="CJ771" i="1"/>
  <c r="CI771" i="1" s="1"/>
  <c r="CJ770" i="1"/>
  <c r="CI770" i="1" s="1"/>
  <c r="CJ769" i="1"/>
  <c r="CI769" i="1" s="1"/>
  <c r="CJ768" i="1"/>
  <c r="CI768" i="1" s="1"/>
  <c r="CJ767" i="1"/>
  <c r="CI767" i="1" s="1"/>
  <c r="CJ766" i="1"/>
  <c r="CI766" i="1" s="1"/>
  <c r="CJ765" i="1"/>
  <c r="CI765" i="1" s="1"/>
  <c r="CJ764" i="1"/>
  <c r="CI764" i="1" s="1"/>
  <c r="CJ763" i="1"/>
  <c r="CI763" i="1" s="1"/>
  <c r="CJ762" i="1"/>
  <c r="CI762" i="1" s="1"/>
  <c r="CJ761" i="1"/>
  <c r="CI761" i="1" s="1"/>
  <c r="CJ760" i="1"/>
  <c r="CI760" i="1" s="1"/>
  <c r="CJ759" i="1"/>
  <c r="CI759" i="1" s="1"/>
  <c r="CJ758" i="1"/>
  <c r="CI758" i="1" s="1"/>
  <c r="CJ757" i="1"/>
  <c r="CI757" i="1" s="1"/>
  <c r="CJ756" i="1"/>
  <c r="CI756" i="1" s="1"/>
  <c r="CJ755" i="1"/>
  <c r="CI755" i="1" s="1"/>
  <c r="CJ754" i="1"/>
  <c r="CI754" i="1" s="1"/>
  <c r="CJ753" i="1"/>
  <c r="CI753" i="1" s="1"/>
  <c r="CJ752" i="1"/>
  <c r="CI752" i="1" s="1"/>
  <c r="CJ751" i="1"/>
  <c r="CI751" i="1" s="1"/>
  <c r="CJ750" i="1"/>
  <c r="CI750" i="1" s="1"/>
  <c r="CJ749" i="1"/>
  <c r="CI749" i="1" s="1"/>
  <c r="CJ748" i="1"/>
  <c r="CI748" i="1" s="1"/>
  <c r="CJ747" i="1"/>
  <c r="CI747" i="1" s="1"/>
  <c r="CJ746" i="1"/>
  <c r="CI746" i="1" s="1"/>
  <c r="CJ745" i="1"/>
  <c r="CI745" i="1" s="1"/>
  <c r="CJ744" i="1"/>
  <c r="CI744" i="1" s="1"/>
  <c r="CJ743" i="1"/>
  <c r="CI743" i="1" s="1"/>
  <c r="CJ742" i="1"/>
  <c r="CI742" i="1" s="1"/>
  <c r="CJ741" i="1"/>
  <c r="CI741" i="1" s="1"/>
  <c r="CJ740" i="1"/>
  <c r="CI740" i="1" s="1"/>
  <c r="CJ739" i="1"/>
  <c r="CI739" i="1" s="1"/>
  <c r="CJ738" i="1"/>
  <c r="CI738" i="1" s="1"/>
  <c r="CJ737" i="1"/>
  <c r="CI737" i="1" s="1"/>
  <c r="CJ736" i="1"/>
  <c r="CI736" i="1" s="1"/>
  <c r="CJ735" i="1"/>
  <c r="CI735" i="1" s="1"/>
  <c r="CJ734" i="1"/>
  <c r="CI734" i="1" s="1"/>
  <c r="CJ733" i="1"/>
  <c r="CI733" i="1" s="1"/>
  <c r="CJ732" i="1"/>
  <c r="CI732" i="1" s="1"/>
  <c r="CJ731" i="1"/>
  <c r="CI731" i="1" s="1"/>
  <c r="CJ730" i="1"/>
  <c r="CI730" i="1" s="1"/>
  <c r="CJ729" i="1"/>
  <c r="CI729" i="1" s="1"/>
  <c r="CJ728" i="1"/>
  <c r="CI728" i="1" s="1"/>
  <c r="CJ727" i="1"/>
  <c r="CI727" i="1" s="1"/>
  <c r="CJ726" i="1"/>
  <c r="CI726" i="1" s="1"/>
  <c r="CJ725" i="1"/>
  <c r="CI725" i="1" s="1"/>
  <c r="CJ724" i="1"/>
  <c r="CI724" i="1" s="1"/>
  <c r="CJ723" i="1"/>
  <c r="CI723" i="1" s="1"/>
  <c r="CJ722" i="1"/>
  <c r="CI722" i="1" s="1"/>
  <c r="CJ721" i="1"/>
  <c r="CI721" i="1" s="1"/>
  <c r="CJ720" i="1"/>
  <c r="CI720" i="1" s="1"/>
  <c r="CJ719" i="1"/>
  <c r="CI719" i="1" s="1"/>
  <c r="CJ718" i="1"/>
  <c r="CI718" i="1" s="1"/>
  <c r="CJ717" i="1"/>
  <c r="CI717" i="1" s="1"/>
  <c r="CJ716" i="1"/>
  <c r="CI716" i="1" s="1"/>
  <c r="CJ715" i="1"/>
  <c r="CI715" i="1" s="1"/>
  <c r="CJ714" i="1"/>
  <c r="CI714" i="1" s="1"/>
  <c r="CJ713" i="1"/>
  <c r="CI713" i="1" s="1"/>
  <c r="CJ712" i="1"/>
  <c r="CI712" i="1" s="1"/>
  <c r="CJ711" i="1"/>
  <c r="CI711" i="1" s="1"/>
  <c r="CJ710" i="1"/>
  <c r="CI710" i="1" s="1"/>
  <c r="CJ709" i="1"/>
  <c r="CI709" i="1" s="1"/>
  <c r="CJ708" i="1"/>
  <c r="CI708" i="1" s="1"/>
  <c r="CJ707" i="1"/>
  <c r="CI707" i="1" s="1"/>
  <c r="CJ706" i="1"/>
  <c r="CI706" i="1" s="1"/>
  <c r="CJ705" i="1"/>
  <c r="CI705" i="1" s="1"/>
  <c r="CJ704" i="1"/>
  <c r="CI704" i="1" s="1"/>
  <c r="CJ703" i="1"/>
  <c r="CI703" i="1" s="1"/>
  <c r="CJ702" i="1"/>
  <c r="CI702" i="1" s="1"/>
  <c r="CJ701" i="1"/>
  <c r="CI701" i="1" s="1"/>
  <c r="CJ700" i="1"/>
  <c r="CI700" i="1" s="1"/>
  <c r="CJ699" i="1"/>
  <c r="CI699" i="1" s="1"/>
  <c r="CJ698" i="1"/>
  <c r="CI698" i="1" s="1"/>
  <c r="CJ697" i="1"/>
  <c r="CI697" i="1" s="1"/>
  <c r="CJ696" i="1"/>
  <c r="CI696" i="1" s="1"/>
  <c r="CJ695" i="1"/>
  <c r="CI695" i="1" s="1"/>
  <c r="CJ694" i="1"/>
  <c r="CI694" i="1" s="1"/>
  <c r="CJ693" i="1"/>
  <c r="CI693" i="1" s="1"/>
  <c r="CJ692" i="1"/>
  <c r="CI692" i="1" s="1"/>
  <c r="CJ691" i="1"/>
  <c r="CI691" i="1" s="1"/>
  <c r="CJ690" i="1"/>
  <c r="CI690" i="1" s="1"/>
  <c r="CJ689" i="1"/>
  <c r="CI689" i="1" s="1"/>
  <c r="CJ688" i="1"/>
  <c r="CI688" i="1" s="1"/>
  <c r="CJ687" i="1"/>
  <c r="CI687" i="1" s="1"/>
  <c r="CJ686" i="1"/>
  <c r="CI686" i="1" s="1"/>
  <c r="CJ685" i="1"/>
  <c r="CI685" i="1" s="1"/>
  <c r="CJ684" i="1"/>
  <c r="CI684" i="1" s="1"/>
  <c r="CJ683" i="1"/>
  <c r="CI683" i="1" s="1"/>
  <c r="CJ682" i="1"/>
  <c r="CI682" i="1" s="1"/>
  <c r="CJ681" i="1"/>
  <c r="CI681" i="1" s="1"/>
  <c r="CJ680" i="1"/>
  <c r="CI680" i="1" s="1"/>
  <c r="CJ679" i="1"/>
  <c r="CI679" i="1" s="1"/>
  <c r="CJ678" i="1"/>
  <c r="CI678" i="1" s="1"/>
  <c r="CJ677" i="1"/>
  <c r="CI677" i="1" s="1"/>
  <c r="CJ676" i="1"/>
  <c r="CI676" i="1" s="1"/>
  <c r="CJ675" i="1"/>
  <c r="CI675" i="1" s="1"/>
  <c r="CJ674" i="1"/>
  <c r="CI674" i="1" s="1"/>
  <c r="CJ673" i="1"/>
  <c r="CI673" i="1" s="1"/>
  <c r="CJ672" i="1"/>
  <c r="CI672" i="1" s="1"/>
  <c r="CJ671" i="1"/>
  <c r="CI671" i="1" s="1"/>
  <c r="CJ670" i="1"/>
  <c r="CI670" i="1" s="1"/>
  <c r="CJ669" i="1"/>
  <c r="CI669" i="1" s="1"/>
  <c r="CJ668" i="1"/>
  <c r="CI668" i="1" s="1"/>
  <c r="CJ667" i="1"/>
  <c r="CI667" i="1" s="1"/>
  <c r="CJ666" i="1"/>
  <c r="CI666" i="1" s="1"/>
  <c r="CJ665" i="1"/>
  <c r="CI665" i="1" s="1"/>
  <c r="CJ664" i="1"/>
  <c r="CI664" i="1" s="1"/>
  <c r="CJ663" i="1"/>
  <c r="CI663" i="1" s="1"/>
  <c r="CJ662" i="1"/>
  <c r="CI662" i="1" s="1"/>
  <c r="CJ661" i="1"/>
  <c r="CI661" i="1" s="1"/>
  <c r="CJ660" i="1"/>
  <c r="CI660" i="1" s="1"/>
  <c r="CJ659" i="1"/>
  <c r="CI659" i="1" s="1"/>
  <c r="CJ658" i="1"/>
  <c r="CI658" i="1" s="1"/>
  <c r="CJ657" i="1"/>
  <c r="CI657" i="1" s="1"/>
  <c r="CJ656" i="1"/>
  <c r="CI656" i="1" s="1"/>
  <c r="CJ655" i="1"/>
  <c r="CI655" i="1" s="1"/>
  <c r="CJ654" i="1"/>
  <c r="CI654" i="1" s="1"/>
  <c r="CJ653" i="1"/>
  <c r="CI653" i="1" s="1"/>
  <c r="CJ652" i="1"/>
  <c r="CI652" i="1" s="1"/>
  <c r="CJ651" i="1"/>
  <c r="CI651" i="1" s="1"/>
  <c r="CJ650" i="1"/>
  <c r="CI650" i="1" s="1"/>
  <c r="CJ649" i="1"/>
  <c r="CI649" i="1" s="1"/>
  <c r="CJ648" i="1"/>
  <c r="CI648" i="1" s="1"/>
  <c r="CJ647" i="1"/>
  <c r="CI647" i="1" s="1"/>
  <c r="CJ646" i="1"/>
  <c r="CI646" i="1" s="1"/>
  <c r="CJ645" i="1"/>
  <c r="CI645" i="1" s="1"/>
  <c r="CJ644" i="1"/>
  <c r="CI644" i="1" s="1"/>
  <c r="CJ643" i="1"/>
  <c r="CI643" i="1" s="1"/>
  <c r="CJ642" i="1"/>
  <c r="CI642" i="1" s="1"/>
  <c r="CJ641" i="1"/>
  <c r="CI641" i="1" s="1"/>
  <c r="CJ640" i="1"/>
  <c r="CI640" i="1" s="1"/>
  <c r="CJ639" i="1"/>
  <c r="CI639" i="1" s="1"/>
  <c r="CJ638" i="1"/>
  <c r="CI638" i="1" s="1"/>
  <c r="CJ637" i="1"/>
  <c r="CI637" i="1" s="1"/>
  <c r="CJ636" i="1"/>
  <c r="CI636" i="1" s="1"/>
  <c r="CJ635" i="1"/>
  <c r="CI635" i="1" s="1"/>
  <c r="CJ634" i="1"/>
  <c r="CI634" i="1" s="1"/>
  <c r="CJ633" i="1"/>
  <c r="CI633" i="1" s="1"/>
  <c r="CJ632" i="1"/>
  <c r="CI632" i="1" s="1"/>
  <c r="CJ631" i="1"/>
  <c r="CI631" i="1" s="1"/>
  <c r="CJ630" i="1"/>
  <c r="CI630" i="1" s="1"/>
  <c r="CJ629" i="1"/>
  <c r="CI629" i="1" s="1"/>
  <c r="CJ628" i="1"/>
  <c r="CI628" i="1" s="1"/>
  <c r="CJ627" i="1"/>
  <c r="CI627" i="1" s="1"/>
  <c r="CJ626" i="1"/>
  <c r="CI626" i="1" s="1"/>
  <c r="CJ625" i="1"/>
  <c r="CI625" i="1" s="1"/>
  <c r="CJ624" i="1"/>
  <c r="CI624" i="1" s="1"/>
  <c r="CJ623" i="1"/>
  <c r="CI623" i="1" s="1"/>
  <c r="CJ622" i="1"/>
  <c r="CI622" i="1" s="1"/>
  <c r="CJ621" i="1"/>
  <c r="CI621" i="1" s="1"/>
  <c r="CJ620" i="1"/>
  <c r="CI620" i="1" s="1"/>
  <c r="CJ619" i="1"/>
  <c r="CI619" i="1" s="1"/>
  <c r="CJ618" i="1"/>
  <c r="CI618" i="1" s="1"/>
  <c r="CJ617" i="1"/>
  <c r="CI617" i="1" s="1"/>
  <c r="CJ616" i="1"/>
  <c r="CI616" i="1" s="1"/>
  <c r="CJ615" i="1"/>
  <c r="CI615" i="1" s="1"/>
  <c r="CJ614" i="1"/>
  <c r="CI614" i="1" s="1"/>
  <c r="CJ613" i="1"/>
  <c r="CI613" i="1" s="1"/>
  <c r="CJ612" i="1"/>
  <c r="CI612" i="1" s="1"/>
  <c r="CJ611" i="1"/>
  <c r="CI611" i="1" s="1"/>
  <c r="CJ610" i="1"/>
  <c r="CI610" i="1" s="1"/>
  <c r="CJ609" i="1"/>
  <c r="CI609" i="1" s="1"/>
  <c r="CJ608" i="1"/>
  <c r="CI608" i="1" s="1"/>
  <c r="CJ607" i="1"/>
  <c r="CI607" i="1" s="1"/>
  <c r="CJ606" i="1"/>
  <c r="CI606" i="1" s="1"/>
  <c r="CJ605" i="1"/>
  <c r="CI605" i="1" s="1"/>
  <c r="CJ604" i="1"/>
  <c r="CI604" i="1" s="1"/>
  <c r="CJ603" i="1"/>
  <c r="CI603" i="1" s="1"/>
  <c r="CJ602" i="1"/>
  <c r="CI602" i="1" s="1"/>
  <c r="CJ601" i="1"/>
  <c r="CI601" i="1" s="1"/>
  <c r="CJ600" i="1"/>
  <c r="CI600" i="1" s="1"/>
  <c r="CJ599" i="1"/>
  <c r="CI599" i="1" s="1"/>
  <c r="CJ598" i="1"/>
  <c r="CI598" i="1" s="1"/>
  <c r="CJ597" i="1"/>
  <c r="CI597" i="1" s="1"/>
  <c r="CJ596" i="1"/>
  <c r="CI596" i="1" s="1"/>
  <c r="CJ595" i="1"/>
  <c r="CI595" i="1" s="1"/>
  <c r="CJ594" i="1"/>
  <c r="CI594" i="1" s="1"/>
  <c r="CJ593" i="1"/>
  <c r="CI593" i="1" s="1"/>
  <c r="CJ592" i="1"/>
  <c r="CI592" i="1" s="1"/>
  <c r="CJ591" i="1"/>
  <c r="CI591" i="1" s="1"/>
  <c r="CJ590" i="1"/>
  <c r="CI590" i="1" s="1"/>
  <c r="CJ589" i="1"/>
  <c r="CI589" i="1" s="1"/>
  <c r="CJ588" i="1"/>
  <c r="CI588" i="1" s="1"/>
  <c r="CJ587" i="1"/>
  <c r="CI587" i="1" s="1"/>
  <c r="CJ586" i="1"/>
  <c r="CI586" i="1" s="1"/>
  <c r="CJ585" i="1"/>
  <c r="CI585" i="1" s="1"/>
  <c r="CJ584" i="1"/>
  <c r="CI584" i="1" s="1"/>
  <c r="CJ583" i="1"/>
  <c r="CI583" i="1" s="1"/>
  <c r="CJ582" i="1"/>
  <c r="CI582" i="1" s="1"/>
  <c r="CJ581" i="1"/>
  <c r="CI581" i="1" s="1"/>
  <c r="CJ580" i="1"/>
  <c r="CI580" i="1" s="1"/>
  <c r="CJ579" i="1"/>
  <c r="CI579" i="1" s="1"/>
  <c r="CJ578" i="1"/>
  <c r="CI578" i="1" s="1"/>
  <c r="CJ577" i="1"/>
  <c r="CI577" i="1" s="1"/>
  <c r="CJ576" i="1"/>
  <c r="CI576" i="1" s="1"/>
  <c r="CJ575" i="1"/>
  <c r="CI575" i="1" s="1"/>
  <c r="CJ574" i="1"/>
  <c r="CI574" i="1" s="1"/>
  <c r="CJ573" i="1"/>
  <c r="CI573" i="1" s="1"/>
  <c r="CJ572" i="1"/>
  <c r="CI572" i="1" s="1"/>
  <c r="CJ571" i="1"/>
  <c r="CI571" i="1" s="1"/>
  <c r="CJ570" i="1"/>
  <c r="CI570" i="1" s="1"/>
  <c r="CJ569" i="1"/>
  <c r="CI569" i="1" s="1"/>
  <c r="CJ568" i="1"/>
  <c r="CI568" i="1" s="1"/>
  <c r="CJ567" i="1"/>
  <c r="CI567" i="1" s="1"/>
  <c r="CJ566" i="1"/>
  <c r="CI566" i="1" s="1"/>
  <c r="CJ565" i="1"/>
  <c r="CI565" i="1" s="1"/>
  <c r="CJ564" i="1"/>
  <c r="CI564" i="1" s="1"/>
  <c r="CJ563" i="1"/>
  <c r="CI563" i="1" s="1"/>
  <c r="CJ562" i="1"/>
  <c r="CI562" i="1" s="1"/>
  <c r="CJ561" i="1"/>
  <c r="CI561" i="1" s="1"/>
  <c r="CJ560" i="1"/>
  <c r="CI560" i="1" s="1"/>
  <c r="CJ559" i="1"/>
  <c r="CI559" i="1" s="1"/>
  <c r="CJ558" i="1"/>
  <c r="CI558" i="1" s="1"/>
  <c r="CJ557" i="1"/>
  <c r="CI557" i="1" s="1"/>
  <c r="CJ556" i="1"/>
  <c r="CI556" i="1" s="1"/>
  <c r="CJ555" i="1"/>
  <c r="CI555" i="1" s="1"/>
  <c r="CJ554" i="1"/>
  <c r="CI554" i="1" s="1"/>
  <c r="CJ553" i="1"/>
  <c r="CI553" i="1" s="1"/>
  <c r="CJ552" i="1"/>
  <c r="CI552" i="1" s="1"/>
  <c r="CJ551" i="1"/>
  <c r="CI551" i="1" s="1"/>
  <c r="CJ550" i="1"/>
  <c r="CI550" i="1" s="1"/>
  <c r="CJ549" i="1"/>
  <c r="CI549" i="1" s="1"/>
  <c r="CJ548" i="1"/>
  <c r="CI548" i="1" s="1"/>
  <c r="CJ547" i="1"/>
  <c r="CI547" i="1" s="1"/>
  <c r="CJ546" i="1"/>
  <c r="CI546" i="1" s="1"/>
  <c r="CJ545" i="1"/>
  <c r="CI545" i="1" s="1"/>
  <c r="CJ544" i="1"/>
  <c r="CI544" i="1" s="1"/>
  <c r="CJ543" i="1"/>
  <c r="CI543" i="1" s="1"/>
  <c r="CJ542" i="1"/>
  <c r="CI542" i="1" s="1"/>
  <c r="CJ541" i="1"/>
  <c r="CI541" i="1" s="1"/>
  <c r="CJ540" i="1"/>
  <c r="CI540" i="1" s="1"/>
  <c r="CJ539" i="1"/>
  <c r="CI539" i="1" s="1"/>
  <c r="CJ538" i="1"/>
  <c r="CI538" i="1" s="1"/>
  <c r="CJ537" i="1"/>
  <c r="CI537" i="1" s="1"/>
  <c r="CJ536" i="1"/>
  <c r="CI536" i="1" s="1"/>
  <c r="CJ535" i="1"/>
  <c r="CI535" i="1" s="1"/>
  <c r="CJ534" i="1"/>
  <c r="CI534" i="1" s="1"/>
  <c r="CJ533" i="1"/>
  <c r="CI533" i="1" s="1"/>
  <c r="CJ532" i="1"/>
  <c r="CI532" i="1" s="1"/>
  <c r="CJ531" i="1"/>
  <c r="CI531" i="1" s="1"/>
  <c r="CJ530" i="1"/>
  <c r="CI530" i="1" s="1"/>
  <c r="CJ529" i="1"/>
  <c r="CI529" i="1" s="1"/>
  <c r="CJ528" i="1"/>
  <c r="CI528" i="1" s="1"/>
  <c r="CJ527" i="1"/>
  <c r="CI527" i="1" s="1"/>
  <c r="CJ526" i="1"/>
  <c r="CI526" i="1" s="1"/>
  <c r="CJ525" i="1"/>
  <c r="CI525" i="1" s="1"/>
  <c r="CJ524" i="1"/>
  <c r="CI524" i="1" s="1"/>
  <c r="CJ523" i="1"/>
  <c r="CI523" i="1" s="1"/>
  <c r="CJ522" i="1"/>
  <c r="CI522" i="1" s="1"/>
  <c r="CJ521" i="1"/>
  <c r="CI521" i="1" s="1"/>
  <c r="CJ520" i="1"/>
  <c r="CI520" i="1" s="1"/>
  <c r="CJ519" i="1"/>
  <c r="CI519" i="1" s="1"/>
  <c r="CJ518" i="1"/>
  <c r="CI518" i="1" s="1"/>
  <c r="CJ517" i="1"/>
  <c r="CI517" i="1" s="1"/>
  <c r="CJ516" i="1"/>
  <c r="CI516" i="1" s="1"/>
  <c r="CJ515" i="1"/>
  <c r="CI515" i="1" s="1"/>
  <c r="CJ514" i="1"/>
  <c r="CI514" i="1" s="1"/>
  <c r="CJ513" i="1"/>
  <c r="CI513" i="1" s="1"/>
  <c r="CJ512" i="1"/>
  <c r="CI512" i="1" s="1"/>
  <c r="CJ511" i="1"/>
  <c r="CI511" i="1" s="1"/>
  <c r="CJ510" i="1"/>
  <c r="CI510" i="1" s="1"/>
  <c r="CJ509" i="1"/>
  <c r="CI509" i="1" s="1"/>
  <c r="CJ508" i="1"/>
  <c r="CI508" i="1" s="1"/>
  <c r="CJ507" i="1"/>
  <c r="CI507" i="1" s="1"/>
  <c r="CJ506" i="1"/>
  <c r="CI506" i="1" s="1"/>
  <c r="CJ505" i="1"/>
  <c r="CI505" i="1" s="1"/>
  <c r="CJ504" i="1"/>
  <c r="CI504" i="1" s="1"/>
  <c r="CJ503" i="1"/>
  <c r="CI503" i="1" s="1"/>
  <c r="CJ502" i="1"/>
  <c r="CI502" i="1" s="1"/>
  <c r="CJ501" i="1"/>
  <c r="CI501" i="1" s="1"/>
  <c r="CJ500" i="1"/>
  <c r="CI500" i="1" s="1"/>
  <c r="CJ499" i="1"/>
  <c r="CI499" i="1" s="1"/>
  <c r="CJ498" i="1"/>
  <c r="CI498" i="1" s="1"/>
  <c r="CJ497" i="1"/>
  <c r="CI497" i="1" s="1"/>
  <c r="CJ496" i="1"/>
  <c r="CI496" i="1" s="1"/>
  <c r="CJ495" i="1"/>
  <c r="CI495" i="1" s="1"/>
  <c r="CJ494" i="1"/>
  <c r="CI494" i="1" s="1"/>
  <c r="CJ493" i="1"/>
  <c r="CI493" i="1" s="1"/>
  <c r="CJ492" i="1"/>
  <c r="CI492" i="1" s="1"/>
  <c r="CJ491" i="1"/>
  <c r="CI491" i="1" s="1"/>
  <c r="CJ490" i="1"/>
  <c r="CI490" i="1" s="1"/>
  <c r="CJ489" i="1"/>
  <c r="CI489" i="1" s="1"/>
  <c r="CJ488" i="1"/>
  <c r="CI488" i="1" s="1"/>
  <c r="CJ487" i="1"/>
  <c r="CI487" i="1" s="1"/>
  <c r="CJ486" i="1"/>
  <c r="CI486" i="1" s="1"/>
  <c r="CJ485" i="1"/>
  <c r="CI485" i="1" s="1"/>
  <c r="CJ484" i="1"/>
  <c r="CI484" i="1" s="1"/>
  <c r="CJ483" i="1"/>
  <c r="CI483" i="1" s="1"/>
  <c r="CJ482" i="1"/>
  <c r="CI482" i="1" s="1"/>
  <c r="CJ481" i="1"/>
  <c r="CI481" i="1" s="1"/>
  <c r="CJ480" i="1"/>
  <c r="CI480" i="1" s="1"/>
  <c r="CJ479" i="1"/>
  <c r="CI479" i="1" s="1"/>
  <c r="CJ478" i="1"/>
  <c r="CI478" i="1" s="1"/>
  <c r="CJ477" i="1"/>
  <c r="CI477" i="1" s="1"/>
  <c r="CJ476" i="1"/>
  <c r="CI476" i="1" s="1"/>
  <c r="CJ475" i="1"/>
  <c r="CI475" i="1" s="1"/>
  <c r="CJ474" i="1"/>
  <c r="CI474" i="1" s="1"/>
  <c r="CJ473" i="1"/>
  <c r="CI473" i="1" s="1"/>
  <c r="CJ472" i="1"/>
  <c r="CI472" i="1" s="1"/>
  <c r="CJ471" i="1"/>
  <c r="CI471" i="1" s="1"/>
  <c r="CJ470" i="1"/>
  <c r="CI470" i="1" s="1"/>
  <c r="CJ469" i="1"/>
  <c r="CI469" i="1" s="1"/>
  <c r="CJ468" i="1"/>
  <c r="CI468" i="1" s="1"/>
  <c r="CJ467" i="1"/>
  <c r="CI467" i="1" s="1"/>
  <c r="CJ466" i="1"/>
  <c r="CI466" i="1" s="1"/>
  <c r="CJ465" i="1"/>
  <c r="CI465" i="1" s="1"/>
  <c r="CJ464" i="1"/>
  <c r="CI464" i="1" s="1"/>
  <c r="CJ463" i="1"/>
  <c r="CI463" i="1" s="1"/>
  <c r="CJ462" i="1"/>
  <c r="CI462" i="1" s="1"/>
  <c r="CJ461" i="1"/>
  <c r="CI461" i="1" s="1"/>
  <c r="CJ460" i="1"/>
  <c r="CI460" i="1" s="1"/>
  <c r="CJ459" i="1"/>
  <c r="CI459" i="1" s="1"/>
  <c r="CJ458" i="1"/>
  <c r="CI458" i="1" s="1"/>
  <c r="CJ457" i="1"/>
  <c r="CI457" i="1" s="1"/>
  <c r="CJ456" i="1"/>
  <c r="CI456" i="1" s="1"/>
  <c r="CJ455" i="1"/>
  <c r="CI455" i="1" s="1"/>
  <c r="CJ454" i="1"/>
  <c r="CI454" i="1" s="1"/>
  <c r="CJ453" i="1"/>
  <c r="CI453" i="1" s="1"/>
  <c r="CJ452" i="1"/>
  <c r="CI452" i="1" s="1"/>
  <c r="CJ451" i="1"/>
  <c r="CI451" i="1" s="1"/>
  <c r="CJ450" i="1"/>
  <c r="CI450" i="1" s="1"/>
  <c r="CJ449" i="1"/>
  <c r="CI449" i="1" s="1"/>
  <c r="CJ448" i="1"/>
  <c r="CI448" i="1" s="1"/>
  <c r="CJ447" i="1"/>
  <c r="CI447" i="1" s="1"/>
  <c r="CJ446" i="1"/>
  <c r="CI446" i="1" s="1"/>
  <c r="CJ445" i="1"/>
  <c r="CI445" i="1" s="1"/>
  <c r="CJ444" i="1"/>
  <c r="CI444" i="1" s="1"/>
  <c r="CJ443" i="1"/>
  <c r="CI443" i="1" s="1"/>
  <c r="CJ442" i="1"/>
  <c r="CI442" i="1" s="1"/>
  <c r="CJ441" i="1"/>
  <c r="CI441" i="1" s="1"/>
  <c r="CJ440" i="1"/>
  <c r="CI440" i="1" s="1"/>
  <c r="CJ439" i="1"/>
  <c r="CI439" i="1" s="1"/>
  <c r="CJ438" i="1"/>
  <c r="CI438" i="1" s="1"/>
  <c r="CJ437" i="1"/>
  <c r="CI437" i="1" s="1"/>
  <c r="CJ436" i="1"/>
  <c r="CI436" i="1" s="1"/>
  <c r="CJ435" i="1"/>
  <c r="CI435" i="1" s="1"/>
  <c r="CJ434" i="1"/>
  <c r="CI434" i="1" s="1"/>
  <c r="CJ433" i="1"/>
  <c r="CI433" i="1" s="1"/>
  <c r="CJ432" i="1"/>
  <c r="CI432" i="1" s="1"/>
  <c r="CJ431" i="1"/>
  <c r="CI431" i="1" s="1"/>
  <c r="CJ430" i="1"/>
  <c r="CI430" i="1" s="1"/>
  <c r="CJ429" i="1"/>
  <c r="CI429" i="1" s="1"/>
  <c r="CJ428" i="1"/>
  <c r="CI428" i="1" s="1"/>
  <c r="CJ427" i="1"/>
  <c r="CI427" i="1" s="1"/>
  <c r="CJ426" i="1"/>
  <c r="CI426" i="1" s="1"/>
  <c r="CJ425" i="1"/>
  <c r="CI425" i="1" s="1"/>
  <c r="CJ424" i="1"/>
  <c r="CI424" i="1" s="1"/>
  <c r="CJ423" i="1"/>
  <c r="CI423" i="1" s="1"/>
  <c r="CJ422" i="1"/>
  <c r="CI422" i="1" s="1"/>
  <c r="CJ421" i="1"/>
  <c r="CI421" i="1" s="1"/>
  <c r="CJ420" i="1"/>
  <c r="CI420" i="1" s="1"/>
  <c r="CJ419" i="1"/>
  <c r="CI419" i="1" s="1"/>
  <c r="CJ418" i="1"/>
  <c r="CI418" i="1" s="1"/>
  <c r="CJ417" i="1"/>
  <c r="CI417" i="1" s="1"/>
  <c r="CJ416" i="1"/>
  <c r="CI416" i="1" s="1"/>
  <c r="CJ415" i="1"/>
  <c r="CI415" i="1" s="1"/>
  <c r="CJ414" i="1"/>
  <c r="CI414" i="1" s="1"/>
  <c r="CJ413" i="1"/>
  <c r="CI413" i="1" s="1"/>
  <c r="CJ412" i="1"/>
  <c r="CI412" i="1" s="1"/>
  <c r="CJ411" i="1"/>
  <c r="CI411" i="1" s="1"/>
  <c r="CJ410" i="1"/>
  <c r="CI410" i="1" s="1"/>
  <c r="CJ409" i="1"/>
  <c r="CI409" i="1" s="1"/>
  <c r="CJ408" i="1"/>
  <c r="CI408" i="1" s="1"/>
  <c r="CJ407" i="1"/>
  <c r="CI407" i="1" s="1"/>
  <c r="CJ406" i="1"/>
  <c r="CI406" i="1" s="1"/>
  <c r="CJ405" i="1"/>
  <c r="CI405" i="1" s="1"/>
  <c r="CJ404" i="1"/>
  <c r="CI404" i="1" s="1"/>
  <c r="CJ403" i="1"/>
  <c r="CI403" i="1" s="1"/>
  <c r="CJ402" i="1"/>
  <c r="CI402" i="1" s="1"/>
  <c r="CJ401" i="1"/>
  <c r="CI401" i="1" s="1"/>
  <c r="CJ400" i="1"/>
  <c r="CI400" i="1" s="1"/>
  <c r="CJ399" i="1"/>
  <c r="CI399" i="1" s="1"/>
  <c r="CJ398" i="1"/>
  <c r="CI398" i="1" s="1"/>
  <c r="CJ397" i="1"/>
  <c r="CI397" i="1" s="1"/>
  <c r="CJ396" i="1"/>
  <c r="CI396" i="1" s="1"/>
  <c r="CJ395" i="1"/>
  <c r="CI395" i="1" s="1"/>
  <c r="CJ394" i="1"/>
  <c r="CI394" i="1" s="1"/>
  <c r="CJ393" i="1"/>
  <c r="CI393" i="1" s="1"/>
  <c r="CJ392" i="1"/>
  <c r="CI392" i="1" s="1"/>
  <c r="CJ391" i="1"/>
  <c r="CI391" i="1" s="1"/>
  <c r="CJ390" i="1"/>
  <c r="CI390" i="1" s="1"/>
  <c r="CJ389" i="1"/>
  <c r="CI389" i="1" s="1"/>
  <c r="CJ388" i="1"/>
  <c r="CI388" i="1" s="1"/>
  <c r="CJ387" i="1"/>
  <c r="CI387" i="1" s="1"/>
  <c r="CJ386" i="1"/>
  <c r="CI386" i="1" s="1"/>
  <c r="CJ385" i="1"/>
  <c r="CI385" i="1" s="1"/>
  <c r="CJ384" i="1"/>
  <c r="CI384" i="1" s="1"/>
  <c r="CJ383" i="1"/>
  <c r="CI383" i="1" s="1"/>
  <c r="CJ382" i="1"/>
  <c r="CI382" i="1" s="1"/>
  <c r="CJ381" i="1"/>
  <c r="CI381" i="1" s="1"/>
  <c r="CJ380" i="1"/>
  <c r="CI380" i="1" s="1"/>
  <c r="CJ379" i="1"/>
  <c r="CI379" i="1" s="1"/>
  <c r="CJ378" i="1"/>
  <c r="CI378" i="1" s="1"/>
  <c r="CJ377" i="1"/>
  <c r="CI377" i="1" s="1"/>
  <c r="CJ376" i="1"/>
  <c r="CI376" i="1" s="1"/>
  <c r="CJ375" i="1"/>
  <c r="CI375" i="1" s="1"/>
  <c r="CJ374" i="1"/>
  <c r="CI374" i="1" s="1"/>
  <c r="CJ373" i="1"/>
  <c r="CI373" i="1" s="1"/>
  <c r="CJ372" i="1"/>
  <c r="CI372" i="1" s="1"/>
  <c r="CJ371" i="1"/>
  <c r="CI371" i="1" s="1"/>
  <c r="CJ370" i="1"/>
  <c r="CI370" i="1" s="1"/>
  <c r="CJ369" i="1"/>
  <c r="CI369" i="1" s="1"/>
  <c r="CJ368" i="1"/>
  <c r="CI368" i="1" s="1"/>
  <c r="CJ367" i="1"/>
  <c r="CI367" i="1" s="1"/>
  <c r="CJ366" i="1"/>
  <c r="CI366" i="1" s="1"/>
  <c r="CJ365" i="1"/>
  <c r="CI365" i="1" s="1"/>
  <c r="CJ364" i="1"/>
  <c r="CI364" i="1" s="1"/>
  <c r="CJ363" i="1"/>
  <c r="CI363" i="1" s="1"/>
  <c r="CJ362" i="1"/>
  <c r="CI362" i="1" s="1"/>
  <c r="CJ361" i="1"/>
  <c r="CI361" i="1" s="1"/>
  <c r="CJ360" i="1"/>
  <c r="CI360" i="1" s="1"/>
  <c r="CJ359" i="1"/>
  <c r="CI359" i="1" s="1"/>
  <c r="CJ358" i="1"/>
  <c r="CI358" i="1" s="1"/>
  <c r="CJ357" i="1"/>
  <c r="CI357" i="1" s="1"/>
  <c r="CJ356" i="1"/>
  <c r="CI356" i="1" s="1"/>
  <c r="CJ355" i="1"/>
  <c r="CI355" i="1" s="1"/>
  <c r="CJ354" i="1"/>
  <c r="CI354" i="1" s="1"/>
  <c r="CJ353" i="1"/>
  <c r="CI353" i="1" s="1"/>
  <c r="CJ352" i="1"/>
  <c r="CI352" i="1" s="1"/>
  <c r="CJ351" i="1"/>
  <c r="CI351" i="1" s="1"/>
  <c r="CJ350" i="1"/>
  <c r="CI350" i="1" s="1"/>
  <c r="CJ349" i="1"/>
  <c r="CI349" i="1" s="1"/>
  <c r="CJ348" i="1"/>
  <c r="CI348" i="1" s="1"/>
  <c r="CJ347" i="1"/>
  <c r="CI347" i="1" s="1"/>
  <c r="CJ346" i="1"/>
  <c r="CI346" i="1" s="1"/>
  <c r="CJ345" i="1"/>
  <c r="CI345" i="1" s="1"/>
  <c r="CJ344" i="1"/>
  <c r="CI344" i="1" s="1"/>
  <c r="CJ343" i="1"/>
  <c r="CI343" i="1" s="1"/>
  <c r="CJ342" i="1"/>
  <c r="CI342" i="1" s="1"/>
  <c r="CJ341" i="1"/>
  <c r="CI341" i="1" s="1"/>
  <c r="CJ340" i="1"/>
  <c r="CI340" i="1" s="1"/>
  <c r="CJ339" i="1"/>
  <c r="CI339" i="1" s="1"/>
  <c r="CJ338" i="1"/>
  <c r="CI338" i="1" s="1"/>
  <c r="CJ337" i="1"/>
  <c r="CI337" i="1" s="1"/>
  <c r="CJ336" i="1"/>
  <c r="CI336" i="1" s="1"/>
  <c r="CJ335" i="1"/>
  <c r="CI335" i="1" s="1"/>
  <c r="CJ334" i="1"/>
  <c r="CI334" i="1" s="1"/>
  <c r="CJ333" i="1"/>
  <c r="CI333" i="1" s="1"/>
  <c r="CJ332" i="1"/>
  <c r="CI332" i="1" s="1"/>
  <c r="CJ331" i="1"/>
  <c r="CI331" i="1" s="1"/>
  <c r="CJ330" i="1"/>
  <c r="CI330" i="1" s="1"/>
  <c r="CJ329" i="1"/>
  <c r="CI329" i="1" s="1"/>
  <c r="CJ328" i="1"/>
  <c r="CI328" i="1" s="1"/>
  <c r="CJ327" i="1"/>
  <c r="CI327" i="1" s="1"/>
  <c r="CJ326" i="1"/>
  <c r="CI326" i="1" s="1"/>
  <c r="CJ325" i="1"/>
  <c r="CI325" i="1" s="1"/>
  <c r="CJ324" i="1"/>
  <c r="CI324" i="1" s="1"/>
  <c r="CJ323" i="1"/>
  <c r="CI323" i="1" s="1"/>
  <c r="CJ322" i="1"/>
  <c r="CI322" i="1" s="1"/>
  <c r="CJ321" i="1"/>
  <c r="CI321" i="1" s="1"/>
  <c r="CJ320" i="1"/>
  <c r="CI320" i="1" s="1"/>
  <c r="CJ319" i="1"/>
  <c r="CI319" i="1" s="1"/>
  <c r="CJ318" i="1"/>
  <c r="CI318" i="1" s="1"/>
  <c r="CJ317" i="1"/>
  <c r="CI317" i="1" s="1"/>
  <c r="CJ316" i="1"/>
  <c r="CI316" i="1" s="1"/>
  <c r="CJ315" i="1"/>
  <c r="CI315" i="1" s="1"/>
  <c r="CJ314" i="1"/>
  <c r="CI314" i="1" s="1"/>
  <c r="CJ313" i="1"/>
  <c r="CI313" i="1" s="1"/>
  <c r="CJ312" i="1"/>
  <c r="CI312" i="1" s="1"/>
  <c r="CJ311" i="1"/>
  <c r="CI311" i="1" s="1"/>
  <c r="CJ310" i="1"/>
  <c r="CI310" i="1" s="1"/>
  <c r="CJ309" i="1"/>
  <c r="CI309" i="1" s="1"/>
  <c r="CJ308" i="1"/>
  <c r="CI308" i="1" s="1"/>
  <c r="CJ307" i="1"/>
  <c r="CI307" i="1" s="1"/>
  <c r="CJ306" i="1"/>
  <c r="CI306" i="1" s="1"/>
  <c r="CJ305" i="1"/>
  <c r="CI305" i="1" s="1"/>
  <c r="CJ304" i="1"/>
  <c r="CI304" i="1" s="1"/>
  <c r="CJ303" i="1"/>
  <c r="CI303" i="1" s="1"/>
  <c r="CJ302" i="1"/>
  <c r="CI302" i="1" s="1"/>
  <c r="CJ301" i="1"/>
  <c r="CI301" i="1" s="1"/>
  <c r="CJ300" i="1"/>
  <c r="CI300" i="1" s="1"/>
  <c r="CJ299" i="1"/>
  <c r="CI299" i="1" s="1"/>
  <c r="CJ298" i="1"/>
  <c r="CI298" i="1" s="1"/>
  <c r="CJ297" i="1"/>
  <c r="CI297" i="1" s="1"/>
  <c r="CJ296" i="1"/>
  <c r="CI296" i="1" s="1"/>
  <c r="CJ295" i="1"/>
  <c r="CI295" i="1" s="1"/>
  <c r="CJ294" i="1"/>
  <c r="CI294" i="1" s="1"/>
  <c r="CJ293" i="1"/>
  <c r="CI293" i="1" s="1"/>
  <c r="CJ292" i="1"/>
  <c r="CI292" i="1" s="1"/>
  <c r="CJ291" i="1"/>
  <c r="CI291" i="1" s="1"/>
  <c r="CJ290" i="1"/>
  <c r="CI290" i="1" s="1"/>
  <c r="CJ289" i="1"/>
  <c r="CI289" i="1" s="1"/>
  <c r="CJ288" i="1"/>
  <c r="CI288" i="1" s="1"/>
  <c r="CJ287" i="1"/>
  <c r="CI287" i="1" s="1"/>
  <c r="CJ286" i="1"/>
  <c r="CI286" i="1" s="1"/>
  <c r="CJ285" i="1"/>
  <c r="CI285" i="1" s="1"/>
  <c r="CJ284" i="1"/>
  <c r="CI284" i="1" s="1"/>
  <c r="CJ283" i="1"/>
  <c r="CI283" i="1" s="1"/>
  <c r="CJ282" i="1"/>
  <c r="CI282" i="1" s="1"/>
  <c r="CJ281" i="1"/>
  <c r="CI281" i="1" s="1"/>
  <c r="CJ280" i="1"/>
  <c r="CI280" i="1" s="1"/>
  <c r="CJ279" i="1"/>
  <c r="CI279" i="1" s="1"/>
  <c r="CJ278" i="1"/>
  <c r="CI278" i="1" s="1"/>
  <c r="CJ277" i="1"/>
  <c r="CI277" i="1" s="1"/>
  <c r="CJ276" i="1"/>
  <c r="CI276" i="1" s="1"/>
  <c r="CJ275" i="1"/>
  <c r="CI275" i="1" s="1"/>
  <c r="CJ274" i="1"/>
  <c r="CI274" i="1" s="1"/>
  <c r="CJ273" i="1"/>
  <c r="CI273" i="1" s="1"/>
  <c r="CJ272" i="1"/>
  <c r="CI272" i="1" s="1"/>
  <c r="CJ271" i="1"/>
  <c r="CI271" i="1" s="1"/>
  <c r="CJ270" i="1"/>
  <c r="CI270" i="1" s="1"/>
  <c r="CJ269" i="1"/>
  <c r="CI269" i="1" s="1"/>
  <c r="CJ268" i="1"/>
  <c r="CI268" i="1" s="1"/>
  <c r="CJ267" i="1"/>
  <c r="CI267" i="1" s="1"/>
  <c r="CJ266" i="1"/>
  <c r="CI266" i="1" s="1"/>
  <c r="CJ265" i="1"/>
  <c r="CI265" i="1" s="1"/>
  <c r="CJ264" i="1"/>
  <c r="CI264" i="1" s="1"/>
  <c r="CJ263" i="1"/>
  <c r="CI263" i="1" s="1"/>
  <c r="CJ262" i="1"/>
  <c r="CI262" i="1" s="1"/>
  <c r="CJ261" i="1"/>
  <c r="CI261" i="1" s="1"/>
  <c r="CJ260" i="1"/>
  <c r="CI260" i="1" s="1"/>
  <c r="CJ259" i="1"/>
  <c r="CI259" i="1" s="1"/>
  <c r="CJ258" i="1"/>
  <c r="CI258" i="1" s="1"/>
  <c r="CJ257" i="1"/>
  <c r="CI257" i="1" s="1"/>
  <c r="CJ256" i="1"/>
  <c r="CI256" i="1" s="1"/>
  <c r="CJ255" i="1"/>
  <c r="CI255" i="1" s="1"/>
  <c r="CJ254" i="1"/>
  <c r="CI254" i="1" s="1"/>
  <c r="CJ253" i="1"/>
  <c r="CI253" i="1" s="1"/>
  <c r="CJ252" i="1"/>
  <c r="CI252" i="1" s="1"/>
  <c r="CJ251" i="1"/>
  <c r="CI251" i="1" s="1"/>
  <c r="CJ250" i="1"/>
  <c r="CI250" i="1" s="1"/>
  <c r="CJ249" i="1"/>
  <c r="CI249" i="1" s="1"/>
  <c r="CJ248" i="1"/>
  <c r="CI248" i="1" s="1"/>
  <c r="CJ247" i="1"/>
  <c r="CI247" i="1" s="1"/>
  <c r="CJ246" i="1"/>
  <c r="CI246" i="1" s="1"/>
  <c r="CJ245" i="1"/>
  <c r="CI245" i="1" s="1"/>
  <c r="CJ244" i="1"/>
  <c r="CI244" i="1" s="1"/>
  <c r="CJ243" i="1"/>
  <c r="CI243" i="1" s="1"/>
  <c r="CJ242" i="1"/>
  <c r="CI242" i="1" s="1"/>
  <c r="CJ241" i="1"/>
  <c r="CI241" i="1" s="1"/>
  <c r="CJ240" i="1"/>
  <c r="CI240" i="1" s="1"/>
  <c r="CJ239" i="1"/>
  <c r="CI239" i="1" s="1"/>
  <c r="CJ238" i="1"/>
  <c r="CI238" i="1" s="1"/>
  <c r="CJ237" i="1"/>
  <c r="CI237" i="1" s="1"/>
  <c r="CJ236" i="1"/>
  <c r="CI236" i="1" s="1"/>
  <c r="CJ235" i="1"/>
  <c r="CI235" i="1" s="1"/>
  <c r="CJ234" i="1"/>
  <c r="CI234" i="1" s="1"/>
  <c r="CJ233" i="1"/>
  <c r="CI233" i="1" s="1"/>
  <c r="CJ232" i="1"/>
  <c r="CI232" i="1" s="1"/>
  <c r="CJ231" i="1"/>
  <c r="CI231" i="1" s="1"/>
  <c r="CJ230" i="1"/>
  <c r="CI230" i="1" s="1"/>
  <c r="CJ229" i="1"/>
  <c r="CI229" i="1" s="1"/>
  <c r="CJ228" i="1"/>
  <c r="CI228" i="1" s="1"/>
  <c r="CJ227" i="1"/>
  <c r="CI227" i="1" s="1"/>
  <c r="CJ226" i="1"/>
  <c r="CI226" i="1" s="1"/>
  <c r="CJ225" i="1"/>
  <c r="CI225" i="1" s="1"/>
  <c r="CJ224" i="1"/>
  <c r="CI224" i="1" s="1"/>
  <c r="CJ223" i="1"/>
  <c r="CI223" i="1" s="1"/>
  <c r="CJ222" i="1"/>
  <c r="CI222" i="1" s="1"/>
  <c r="CJ221" i="1"/>
  <c r="CI221" i="1" s="1"/>
  <c r="CJ220" i="1"/>
  <c r="CI220" i="1" s="1"/>
  <c r="CJ219" i="1"/>
  <c r="CI219" i="1" s="1"/>
  <c r="CJ218" i="1"/>
  <c r="CI218" i="1" s="1"/>
  <c r="CJ217" i="1"/>
  <c r="CI217" i="1" s="1"/>
  <c r="CJ216" i="1"/>
  <c r="CI216" i="1" s="1"/>
  <c r="CJ215" i="1"/>
  <c r="CI215" i="1" s="1"/>
  <c r="CJ214" i="1"/>
  <c r="CI214" i="1" s="1"/>
  <c r="CJ213" i="1"/>
  <c r="CI213" i="1" s="1"/>
  <c r="CJ212" i="1"/>
  <c r="CI212" i="1" s="1"/>
  <c r="CJ211" i="1"/>
  <c r="CI211" i="1" s="1"/>
  <c r="CJ210" i="1"/>
  <c r="CI210" i="1" s="1"/>
  <c r="CJ209" i="1"/>
  <c r="CI209" i="1" s="1"/>
  <c r="CJ208" i="1"/>
  <c r="CI208" i="1" s="1"/>
  <c r="CJ207" i="1"/>
  <c r="CI207" i="1" s="1"/>
  <c r="CJ206" i="1"/>
  <c r="CI206" i="1" s="1"/>
  <c r="CJ205" i="1"/>
  <c r="CI205" i="1" s="1"/>
  <c r="CJ204" i="1"/>
  <c r="CI204" i="1" s="1"/>
  <c r="CJ203" i="1"/>
  <c r="CI203" i="1" s="1"/>
  <c r="CJ202" i="1"/>
  <c r="CI202" i="1" s="1"/>
  <c r="CJ201" i="1"/>
  <c r="CI201" i="1" s="1"/>
  <c r="CJ200" i="1"/>
  <c r="CI200" i="1" s="1"/>
  <c r="CJ199" i="1"/>
  <c r="CI199" i="1" s="1"/>
  <c r="CJ198" i="1"/>
  <c r="CI198" i="1" s="1"/>
  <c r="CJ197" i="1"/>
  <c r="CI197" i="1" s="1"/>
  <c r="CJ196" i="1"/>
  <c r="CI196" i="1" s="1"/>
  <c r="CJ195" i="1"/>
  <c r="CI195" i="1" s="1"/>
  <c r="CJ194" i="1"/>
  <c r="CI194" i="1" s="1"/>
  <c r="CJ193" i="1"/>
  <c r="CI193" i="1" s="1"/>
  <c r="CJ192" i="1"/>
  <c r="CI192" i="1" s="1"/>
  <c r="CJ191" i="1"/>
  <c r="CI191" i="1" s="1"/>
  <c r="CJ190" i="1"/>
  <c r="CI190" i="1" s="1"/>
  <c r="CJ189" i="1"/>
  <c r="CI189" i="1" s="1"/>
  <c r="CJ188" i="1"/>
  <c r="CI188" i="1" s="1"/>
  <c r="CJ187" i="1"/>
  <c r="CI187" i="1" s="1"/>
  <c r="CJ186" i="1"/>
  <c r="CI186" i="1" s="1"/>
  <c r="CJ185" i="1"/>
  <c r="CI185" i="1" s="1"/>
  <c r="CJ184" i="1"/>
  <c r="CI184" i="1" s="1"/>
  <c r="CJ183" i="1"/>
  <c r="CI183" i="1" s="1"/>
  <c r="CJ182" i="1"/>
  <c r="CI182" i="1" s="1"/>
  <c r="CJ181" i="1"/>
  <c r="CI181" i="1" s="1"/>
  <c r="CJ180" i="1"/>
  <c r="CI180" i="1" s="1"/>
  <c r="CJ179" i="1"/>
  <c r="CI179" i="1" s="1"/>
  <c r="CJ178" i="1"/>
  <c r="CI178" i="1" s="1"/>
  <c r="CJ177" i="1"/>
  <c r="CI177" i="1" s="1"/>
  <c r="CJ176" i="1"/>
  <c r="CI176" i="1" s="1"/>
  <c r="CJ175" i="1"/>
  <c r="CI175" i="1" s="1"/>
  <c r="CJ174" i="1"/>
  <c r="CI174" i="1" s="1"/>
  <c r="CJ173" i="1"/>
  <c r="CI173" i="1" s="1"/>
  <c r="CJ172" i="1"/>
  <c r="CI172" i="1" s="1"/>
  <c r="CJ171" i="1"/>
  <c r="CI171" i="1" s="1"/>
  <c r="CJ170" i="1"/>
  <c r="CI170" i="1" s="1"/>
  <c r="CJ169" i="1"/>
  <c r="CI169" i="1" s="1"/>
  <c r="CJ168" i="1"/>
  <c r="CI168" i="1" s="1"/>
  <c r="CJ167" i="1"/>
  <c r="CI167" i="1" s="1"/>
  <c r="CJ166" i="1"/>
  <c r="CI166" i="1" s="1"/>
  <c r="CJ165" i="1"/>
  <c r="CI165" i="1" s="1"/>
  <c r="CJ164" i="1"/>
  <c r="CI164" i="1" s="1"/>
  <c r="CJ163" i="1"/>
  <c r="CI163" i="1" s="1"/>
  <c r="CJ162" i="1"/>
  <c r="CI162" i="1" s="1"/>
  <c r="CJ161" i="1"/>
  <c r="CI161" i="1" s="1"/>
  <c r="CJ160" i="1"/>
  <c r="CI160" i="1" s="1"/>
  <c r="CJ159" i="1"/>
  <c r="CI159" i="1" s="1"/>
  <c r="CJ158" i="1"/>
  <c r="CI158" i="1" s="1"/>
  <c r="CJ157" i="1"/>
  <c r="CI157" i="1" s="1"/>
  <c r="CJ156" i="1"/>
  <c r="CI156" i="1" s="1"/>
  <c r="CJ155" i="1"/>
  <c r="CI155" i="1" s="1"/>
  <c r="CJ154" i="1"/>
  <c r="CI154" i="1" s="1"/>
  <c r="CJ153" i="1"/>
  <c r="CI153" i="1" s="1"/>
  <c r="CJ152" i="1"/>
  <c r="CI152" i="1" s="1"/>
  <c r="CJ151" i="1"/>
  <c r="CI151" i="1" s="1"/>
  <c r="CJ150" i="1"/>
  <c r="CI150" i="1" s="1"/>
  <c r="CJ149" i="1"/>
  <c r="CI149" i="1" s="1"/>
  <c r="CJ148" i="1"/>
  <c r="CI148" i="1" s="1"/>
  <c r="CJ147" i="1"/>
  <c r="CI147" i="1" s="1"/>
  <c r="CJ146" i="1"/>
  <c r="CI146" i="1" s="1"/>
  <c r="CJ145" i="1"/>
  <c r="CI145" i="1" s="1"/>
  <c r="CJ144" i="1"/>
  <c r="CI144" i="1" s="1"/>
  <c r="CJ143" i="1"/>
  <c r="CI143" i="1" s="1"/>
  <c r="CJ142" i="1"/>
  <c r="CI142" i="1" s="1"/>
  <c r="CJ141" i="1"/>
  <c r="CI141" i="1" s="1"/>
  <c r="CJ140" i="1"/>
  <c r="CI140" i="1" s="1"/>
  <c r="CJ139" i="1"/>
  <c r="CI139" i="1" s="1"/>
  <c r="CJ138" i="1"/>
  <c r="CI138" i="1" s="1"/>
  <c r="CJ137" i="1"/>
  <c r="CI137" i="1" s="1"/>
  <c r="CJ136" i="1"/>
  <c r="CI136" i="1" s="1"/>
  <c r="CJ135" i="1"/>
  <c r="CI135" i="1" s="1"/>
  <c r="CJ134" i="1"/>
  <c r="CI134" i="1" s="1"/>
  <c r="CJ133" i="1"/>
  <c r="CI133" i="1" s="1"/>
  <c r="CJ132" i="1"/>
  <c r="CI132" i="1" s="1"/>
  <c r="CJ131" i="1"/>
  <c r="CI131" i="1" s="1"/>
  <c r="CJ130" i="1"/>
  <c r="CI130" i="1" s="1"/>
  <c r="CJ129" i="1"/>
  <c r="CI129" i="1" s="1"/>
  <c r="CJ128" i="1"/>
  <c r="CI128" i="1" s="1"/>
  <c r="CJ127" i="1"/>
  <c r="CI127" i="1" s="1"/>
  <c r="CJ126" i="1"/>
  <c r="CI126" i="1" s="1"/>
  <c r="CJ125" i="1"/>
  <c r="CI125" i="1" s="1"/>
  <c r="CJ124" i="1"/>
  <c r="CI124" i="1" s="1"/>
  <c r="CJ123" i="1"/>
  <c r="CI123" i="1" s="1"/>
  <c r="CJ122" i="1"/>
  <c r="CI122" i="1" s="1"/>
  <c r="CJ121" i="1"/>
  <c r="CI121" i="1" s="1"/>
  <c r="CJ120" i="1"/>
  <c r="CI120" i="1" s="1"/>
  <c r="CJ119" i="1"/>
  <c r="CI119" i="1" s="1"/>
  <c r="CJ118" i="1"/>
  <c r="CI118" i="1" s="1"/>
  <c r="CJ117" i="1"/>
  <c r="CI117" i="1" s="1"/>
  <c r="CJ116" i="1"/>
  <c r="CI116" i="1" s="1"/>
  <c r="CJ115" i="1"/>
  <c r="CI115" i="1" s="1"/>
  <c r="CJ114" i="1"/>
  <c r="CI114" i="1" s="1"/>
  <c r="CJ113" i="1"/>
  <c r="CI113" i="1" s="1"/>
  <c r="CJ112" i="1"/>
  <c r="CI112" i="1" s="1"/>
  <c r="CJ111" i="1"/>
  <c r="CI111" i="1" s="1"/>
  <c r="CJ110" i="1"/>
  <c r="CI110" i="1" s="1"/>
  <c r="CJ109" i="1"/>
  <c r="CI109" i="1" s="1"/>
  <c r="CJ108" i="1"/>
  <c r="CI108" i="1" s="1"/>
  <c r="CJ107" i="1"/>
  <c r="CI107" i="1" s="1"/>
  <c r="CJ106" i="1"/>
  <c r="CI106" i="1" s="1"/>
  <c r="CJ105" i="1"/>
  <c r="CI105" i="1" s="1"/>
  <c r="CJ104" i="1"/>
  <c r="CI104" i="1" s="1"/>
  <c r="CJ103" i="1"/>
  <c r="CI103" i="1" s="1"/>
  <c r="CJ102" i="1"/>
  <c r="CI102" i="1" s="1"/>
  <c r="CJ101" i="1"/>
  <c r="CI101" i="1" s="1"/>
  <c r="CJ100" i="1"/>
  <c r="CI100" i="1" s="1"/>
  <c r="CJ99" i="1"/>
  <c r="CI99" i="1" s="1"/>
  <c r="CJ98" i="1"/>
  <c r="CI98" i="1" s="1"/>
  <c r="CJ97" i="1"/>
  <c r="CI97" i="1" s="1"/>
  <c r="CJ96" i="1"/>
  <c r="CI96" i="1" s="1"/>
  <c r="CJ95" i="1"/>
  <c r="CI95" i="1" s="1"/>
  <c r="CJ94" i="1"/>
  <c r="CI94" i="1" s="1"/>
  <c r="CJ93" i="1"/>
  <c r="CI93" i="1" s="1"/>
  <c r="CJ92" i="1"/>
  <c r="CI92" i="1" s="1"/>
  <c r="CJ91" i="1"/>
  <c r="CI91" i="1" s="1"/>
  <c r="CJ90" i="1"/>
  <c r="CI90" i="1" s="1"/>
  <c r="CJ89" i="1"/>
  <c r="CI89" i="1" s="1"/>
  <c r="CJ88" i="1"/>
  <c r="CI88" i="1" s="1"/>
  <c r="CJ87" i="1"/>
  <c r="CI87" i="1" s="1"/>
  <c r="CJ86" i="1"/>
  <c r="CI86" i="1" s="1"/>
  <c r="CJ85" i="1"/>
  <c r="CI85" i="1" s="1"/>
  <c r="CJ84" i="1"/>
  <c r="CI84" i="1" s="1"/>
  <c r="CJ83" i="1"/>
  <c r="CI83" i="1" s="1"/>
  <c r="CJ82" i="1"/>
  <c r="CI82" i="1" s="1"/>
  <c r="CJ81" i="1"/>
  <c r="CI81" i="1" s="1"/>
  <c r="CJ80" i="1"/>
  <c r="CI80" i="1" s="1"/>
  <c r="CJ79" i="1"/>
  <c r="CI79" i="1" s="1"/>
  <c r="CJ78" i="1"/>
  <c r="CI78" i="1" s="1"/>
  <c r="CJ77" i="1"/>
  <c r="CI77" i="1" s="1"/>
  <c r="CJ76" i="1"/>
  <c r="CI76" i="1" s="1"/>
  <c r="CJ75" i="1"/>
  <c r="CI75" i="1" s="1"/>
  <c r="CJ74" i="1"/>
  <c r="CI74" i="1" s="1"/>
  <c r="CJ73" i="1"/>
  <c r="CI73" i="1" s="1"/>
  <c r="CJ72" i="1"/>
  <c r="CI72" i="1" s="1"/>
  <c r="CJ71" i="1"/>
  <c r="CI71" i="1" s="1"/>
  <c r="CJ70" i="1"/>
  <c r="CI70" i="1" s="1"/>
  <c r="CJ69" i="1"/>
  <c r="CI69" i="1" s="1"/>
  <c r="CJ68" i="1"/>
  <c r="CI68" i="1" s="1"/>
  <c r="CJ67" i="1"/>
  <c r="CI67" i="1" s="1"/>
  <c r="CJ66" i="1"/>
  <c r="CI66" i="1" s="1"/>
  <c r="CJ65" i="1"/>
  <c r="CI65" i="1" s="1"/>
  <c r="CJ64" i="1"/>
  <c r="CI64" i="1" s="1"/>
  <c r="CJ63" i="1"/>
  <c r="CI63" i="1" s="1"/>
  <c r="CJ62" i="1"/>
  <c r="CI62" i="1" s="1"/>
  <c r="CJ61" i="1"/>
  <c r="CI61" i="1" s="1"/>
  <c r="CJ60" i="1"/>
  <c r="CI60" i="1" s="1"/>
  <c r="CJ59" i="1"/>
  <c r="CI59" i="1" s="1"/>
  <c r="CJ58" i="1"/>
  <c r="CI58" i="1" s="1"/>
  <c r="CJ57" i="1"/>
  <c r="CI57" i="1" s="1"/>
  <c r="CJ56" i="1"/>
  <c r="CI56" i="1" s="1"/>
  <c r="CJ55" i="1"/>
  <c r="CI55" i="1" s="1"/>
  <c r="CJ54" i="1"/>
  <c r="CI54" i="1" s="1"/>
  <c r="CJ53" i="1"/>
  <c r="CI53" i="1" s="1"/>
  <c r="CJ52" i="1"/>
  <c r="CI52" i="1" s="1"/>
  <c r="CJ51" i="1"/>
  <c r="CI51" i="1" s="1"/>
  <c r="CJ50" i="1"/>
  <c r="CI50" i="1" s="1"/>
  <c r="CJ49" i="1"/>
  <c r="CI49" i="1" s="1"/>
  <c r="CJ48" i="1"/>
  <c r="CI48" i="1" s="1"/>
  <c r="CJ47" i="1"/>
  <c r="CI47" i="1" s="1"/>
  <c r="CJ46" i="1"/>
  <c r="CI46" i="1" s="1"/>
  <c r="CJ45" i="1"/>
  <c r="CI45" i="1" s="1"/>
  <c r="CJ44" i="1"/>
  <c r="CI44" i="1" s="1"/>
  <c r="AP2" i="1" l="1"/>
  <c r="AQ1" i="1" s="1"/>
  <c r="BP1011" i="1"/>
  <c r="BO1011" i="1"/>
  <c r="BN1011" i="1"/>
  <c r="AW1011" i="1"/>
  <c r="AQ2" i="1" l="1"/>
  <c r="AR1" i="1" s="1"/>
  <c r="BP1010" i="1"/>
  <c r="BO1010" i="1"/>
  <c r="BN1010" i="1"/>
  <c r="AW1010" i="1"/>
  <c r="BP1009" i="1" l="1"/>
  <c r="BO1009" i="1"/>
  <c r="BN1009" i="1"/>
  <c r="AW1009" i="1"/>
  <c r="BP1008" i="1" l="1"/>
  <c r="BO1008" i="1"/>
  <c r="BN1008" i="1"/>
  <c r="AW1008" i="1"/>
  <c r="BP1007" i="1" l="1"/>
  <c r="BO1007" i="1"/>
  <c r="BN1007" i="1"/>
  <c r="AW1007" i="1"/>
  <c r="BP1006" i="1" l="1"/>
  <c r="BO1006" i="1"/>
  <c r="BN1006" i="1"/>
  <c r="AW1006" i="1"/>
  <c r="BP1005" i="1" l="1"/>
  <c r="BO1005" i="1"/>
  <c r="BN1005" i="1"/>
  <c r="AW1005" i="1"/>
  <c r="BP1004" i="1" l="1"/>
  <c r="BO1004" i="1"/>
  <c r="BN1004" i="1"/>
  <c r="AW1004" i="1"/>
  <c r="BP1003" i="1" l="1"/>
  <c r="BO1003" i="1"/>
  <c r="BN1003" i="1"/>
  <c r="AW1003" i="1"/>
  <c r="BP1002" i="1" l="1"/>
  <c r="BO1002" i="1"/>
  <c r="BN1002" i="1"/>
  <c r="AW1002" i="1"/>
  <c r="BP1001" i="1" l="1"/>
  <c r="BO1001" i="1"/>
  <c r="BN1001" i="1"/>
  <c r="AW1001" i="1"/>
  <c r="BP1000" i="1" l="1"/>
  <c r="BO1000" i="1"/>
  <c r="BN1000" i="1"/>
  <c r="AW1000" i="1"/>
  <c r="BP999" i="1" l="1"/>
  <c r="BO999" i="1"/>
  <c r="BN999" i="1"/>
  <c r="AW999" i="1"/>
  <c r="BP998" i="1" l="1"/>
  <c r="BO998" i="1"/>
  <c r="BN998" i="1"/>
  <c r="AW998" i="1"/>
  <c r="BP997" i="1" l="1"/>
  <c r="BO997" i="1"/>
  <c r="BN997" i="1"/>
  <c r="AW997" i="1"/>
  <c r="BP996" i="1" l="1"/>
  <c r="BO996" i="1"/>
  <c r="BN996" i="1"/>
  <c r="AW996" i="1"/>
  <c r="BP995" i="1" l="1"/>
  <c r="BO995" i="1"/>
  <c r="BN995" i="1"/>
  <c r="AW995" i="1"/>
  <c r="BP994" i="1" l="1"/>
  <c r="BO994" i="1"/>
  <c r="BN994" i="1"/>
  <c r="AW994" i="1"/>
  <c r="BP993" i="1" l="1"/>
  <c r="BO993" i="1"/>
  <c r="BN993" i="1"/>
  <c r="AW993" i="1"/>
  <c r="BP992" i="1" l="1"/>
  <c r="BO992" i="1"/>
  <c r="BN992" i="1"/>
  <c r="AW992" i="1"/>
  <c r="BP991" i="1" l="1"/>
  <c r="BO991" i="1"/>
  <c r="BN991" i="1"/>
  <c r="AW991" i="1"/>
  <c r="BP990" i="1" l="1"/>
  <c r="BO990" i="1"/>
  <c r="BN990" i="1"/>
  <c r="AW990" i="1"/>
  <c r="BP989" i="1" l="1"/>
  <c r="BO989" i="1"/>
  <c r="BN989" i="1"/>
  <c r="AW989" i="1"/>
  <c r="BP988" i="1" l="1"/>
  <c r="BO988" i="1"/>
  <c r="BN988" i="1"/>
  <c r="AW988" i="1"/>
  <c r="BP987" i="1" l="1"/>
  <c r="BO987" i="1"/>
  <c r="BN987" i="1"/>
  <c r="AW987" i="1"/>
  <c r="BP986" i="1" l="1"/>
  <c r="BO986" i="1"/>
  <c r="BN986" i="1"/>
  <c r="AW986" i="1"/>
  <c r="BP985" i="1" l="1"/>
  <c r="BO985" i="1"/>
  <c r="BN985" i="1"/>
  <c r="AW985" i="1"/>
  <c r="BP984" i="1" l="1"/>
  <c r="BO984" i="1"/>
  <c r="BN984" i="1"/>
  <c r="AW984" i="1"/>
  <c r="BP983" i="1" l="1"/>
  <c r="BO983" i="1"/>
  <c r="BN983" i="1"/>
  <c r="AW983" i="1"/>
  <c r="BP982" i="1" l="1"/>
  <c r="BO982" i="1"/>
  <c r="BN982" i="1"/>
  <c r="AW982" i="1"/>
  <c r="BP981" i="1" l="1"/>
  <c r="BO981" i="1"/>
  <c r="BN981" i="1"/>
  <c r="AW981" i="1"/>
  <c r="BP980" i="1" l="1"/>
  <c r="BO980" i="1"/>
  <c r="BN980" i="1"/>
  <c r="AW980" i="1"/>
  <c r="BP979" i="1" l="1"/>
  <c r="BO979" i="1"/>
  <c r="BN979" i="1"/>
  <c r="AW979" i="1"/>
  <c r="BP978" i="1" l="1"/>
  <c r="BO978" i="1"/>
  <c r="BN978" i="1"/>
  <c r="AW978" i="1"/>
  <c r="BP977" i="1" l="1"/>
  <c r="BO977" i="1"/>
  <c r="BN977" i="1"/>
  <c r="AW977" i="1"/>
  <c r="BP976" i="1" l="1"/>
  <c r="BO976" i="1"/>
  <c r="BN976" i="1"/>
  <c r="AW976" i="1"/>
  <c r="BP975" i="1" l="1"/>
  <c r="BO975" i="1"/>
  <c r="BN975" i="1"/>
  <c r="AW975" i="1"/>
  <c r="BP974" i="1" l="1"/>
  <c r="BO974" i="1"/>
  <c r="BN974" i="1"/>
  <c r="AW974" i="1"/>
  <c r="BP973" i="1" l="1"/>
  <c r="BO973" i="1"/>
  <c r="BN973" i="1"/>
  <c r="AW973" i="1"/>
  <c r="BP972" i="1" l="1"/>
  <c r="BO972" i="1"/>
  <c r="BN972" i="1"/>
  <c r="AW972" i="1"/>
  <c r="BP971" i="1" l="1"/>
  <c r="BO971" i="1"/>
  <c r="BN971" i="1"/>
  <c r="AW971" i="1"/>
  <c r="BP970" i="1" l="1"/>
  <c r="BO970" i="1"/>
  <c r="BN970" i="1"/>
  <c r="AW970" i="1"/>
  <c r="BP969" i="1" l="1"/>
  <c r="BO969" i="1"/>
  <c r="BN969" i="1"/>
  <c r="AW969" i="1"/>
  <c r="BP968" i="1" l="1"/>
  <c r="BO968" i="1"/>
  <c r="BN968" i="1"/>
  <c r="AW968" i="1"/>
  <c r="BP967" i="1" l="1"/>
  <c r="BO967" i="1"/>
  <c r="BN967" i="1"/>
  <c r="AW967" i="1"/>
  <c r="BP966" i="1" l="1"/>
  <c r="BO966" i="1"/>
  <c r="BN966" i="1"/>
  <c r="AW966" i="1"/>
  <c r="BP965" i="1" l="1"/>
  <c r="BO965" i="1"/>
  <c r="BN965" i="1"/>
  <c r="AW965" i="1"/>
  <c r="BP964" i="1" l="1"/>
  <c r="BO964" i="1"/>
  <c r="BN964" i="1"/>
  <c r="AW964" i="1"/>
  <c r="BP963" i="1" l="1"/>
  <c r="BO963" i="1"/>
  <c r="BN963" i="1"/>
  <c r="AW963" i="1"/>
  <c r="BP962" i="1" l="1"/>
  <c r="BO962" i="1"/>
  <c r="BN962" i="1"/>
  <c r="AW962" i="1"/>
  <c r="BP961" i="1" l="1"/>
  <c r="BO961" i="1"/>
  <c r="BN961" i="1"/>
  <c r="AW961" i="1"/>
  <c r="BP960" i="1" l="1"/>
  <c r="BO960" i="1"/>
  <c r="BN960" i="1"/>
  <c r="AW960" i="1"/>
  <c r="BP959" i="1" l="1"/>
  <c r="BO959" i="1"/>
  <c r="BN959" i="1"/>
  <c r="AW959" i="1"/>
  <c r="BP958" i="1" l="1"/>
  <c r="BO958" i="1"/>
  <c r="BN958" i="1"/>
  <c r="AW958" i="1"/>
  <c r="BP957" i="1" l="1"/>
  <c r="BO957" i="1"/>
  <c r="BN957" i="1"/>
  <c r="AW957" i="1"/>
  <c r="BP956" i="1" l="1"/>
  <c r="BO956" i="1"/>
  <c r="BN956" i="1"/>
  <c r="AW956" i="1"/>
  <c r="BP955" i="1" l="1"/>
  <c r="BO955" i="1"/>
  <c r="BN955" i="1"/>
  <c r="AW955" i="1"/>
  <c r="BP954" i="1" l="1"/>
  <c r="BO954" i="1"/>
  <c r="BN954" i="1"/>
  <c r="AW954" i="1"/>
  <c r="BP953" i="1" l="1"/>
  <c r="BO953" i="1"/>
  <c r="BN953" i="1"/>
  <c r="AW953" i="1"/>
  <c r="BP952" i="1" l="1"/>
  <c r="BO952" i="1"/>
  <c r="BN952" i="1"/>
  <c r="AW952" i="1"/>
  <c r="BP951" i="1" l="1"/>
  <c r="BO951" i="1"/>
  <c r="BN951" i="1"/>
  <c r="AW951" i="1"/>
  <c r="BP950" i="1" l="1"/>
  <c r="BO950" i="1"/>
  <c r="BN950" i="1"/>
  <c r="AW950" i="1"/>
  <c r="BP949" i="1" l="1"/>
  <c r="BO949" i="1"/>
  <c r="BN949" i="1"/>
  <c r="AW949" i="1"/>
  <c r="BP948" i="1" l="1"/>
  <c r="BO948" i="1"/>
  <c r="BN948" i="1"/>
  <c r="AW948" i="1"/>
  <c r="BP947" i="1" l="1"/>
  <c r="BO947" i="1"/>
  <c r="BN947" i="1"/>
  <c r="AW947" i="1"/>
  <c r="BP946" i="1" l="1"/>
  <c r="BO946" i="1"/>
  <c r="BN946" i="1"/>
  <c r="AW946" i="1"/>
  <c r="BP945" i="1" l="1"/>
  <c r="BO945" i="1"/>
  <c r="BN945" i="1"/>
  <c r="AW945" i="1"/>
  <c r="BP944" i="1" l="1"/>
  <c r="BO944" i="1"/>
  <c r="BN944" i="1"/>
  <c r="AW944" i="1"/>
  <c r="BP943" i="1" l="1"/>
  <c r="BO943" i="1"/>
  <c r="BN943" i="1"/>
  <c r="AW943" i="1"/>
  <c r="BP942" i="1" l="1"/>
  <c r="BO942" i="1"/>
  <c r="BN942" i="1"/>
  <c r="AW942" i="1"/>
  <c r="BP941" i="1" l="1"/>
  <c r="BO941" i="1"/>
  <c r="BN941" i="1"/>
  <c r="AW941" i="1"/>
  <c r="BP940" i="1" l="1"/>
  <c r="BO940" i="1"/>
  <c r="BN940" i="1"/>
  <c r="AW940" i="1"/>
  <c r="BP939" i="1" l="1"/>
  <c r="BO939" i="1"/>
  <c r="BN939" i="1"/>
  <c r="AW939" i="1"/>
  <c r="BP938" i="1" l="1"/>
  <c r="BO938" i="1"/>
  <c r="BN938" i="1"/>
  <c r="AW938" i="1"/>
  <c r="BP937" i="1" l="1"/>
  <c r="BO937" i="1"/>
  <c r="BN937" i="1"/>
  <c r="AW937" i="1"/>
  <c r="BP936" i="1" l="1"/>
  <c r="BO936" i="1"/>
  <c r="BN936" i="1"/>
  <c r="AW936" i="1"/>
  <c r="BP935" i="1" l="1"/>
  <c r="BO935" i="1"/>
  <c r="BN935" i="1"/>
  <c r="AW935" i="1"/>
  <c r="BP934" i="1" l="1"/>
  <c r="BO934" i="1"/>
  <c r="BN934" i="1"/>
  <c r="AW934" i="1"/>
  <c r="BP933" i="1" l="1"/>
  <c r="BO933" i="1"/>
  <c r="BN933" i="1"/>
  <c r="AW933" i="1"/>
  <c r="BP932" i="1" l="1"/>
  <c r="BO932" i="1"/>
  <c r="BN932" i="1"/>
  <c r="AW932" i="1"/>
  <c r="BP931" i="1" l="1"/>
  <c r="BO931" i="1"/>
  <c r="BN931" i="1"/>
  <c r="AW931" i="1"/>
  <c r="BP930" i="1" l="1"/>
  <c r="BO930" i="1"/>
  <c r="BN930" i="1"/>
  <c r="AW930" i="1"/>
  <c r="BP929" i="1" l="1"/>
  <c r="BO929" i="1"/>
  <c r="BN929" i="1"/>
  <c r="AW929" i="1"/>
  <c r="BP928" i="1" l="1"/>
  <c r="BO928" i="1"/>
  <c r="BN928" i="1"/>
  <c r="AW928" i="1"/>
  <c r="BP927" i="1" l="1"/>
  <c r="BO927" i="1"/>
  <c r="BN927" i="1"/>
  <c r="AW927" i="1"/>
  <c r="BP926" i="1" l="1"/>
  <c r="BO926" i="1"/>
  <c r="BN926" i="1"/>
  <c r="AW926" i="1"/>
  <c r="BP925" i="1" l="1"/>
  <c r="BO925" i="1"/>
  <c r="BN925" i="1"/>
  <c r="AW925" i="1"/>
  <c r="BP924" i="1" l="1"/>
  <c r="BO924" i="1"/>
  <c r="BN924" i="1"/>
  <c r="AW924" i="1"/>
  <c r="BP923" i="1" l="1"/>
  <c r="BO923" i="1"/>
  <c r="BN923" i="1"/>
  <c r="AW923" i="1"/>
  <c r="BP922" i="1" l="1"/>
  <c r="BO922" i="1"/>
  <c r="BN922" i="1"/>
  <c r="AW922" i="1"/>
  <c r="BP921" i="1" l="1"/>
  <c r="BO921" i="1"/>
  <c r="BN921" i="1"/>
  <c r="AW921" i="1"/>
  <c r="BP920" i="1" l="1"/>
  <c r="BO920" i="1"/>
  <c r="BN920" i="1"/>
  <c r="AW920" i="1"/>
  <c r="BP919" i="1" l="1"/>
  <c r="BO919" i="1"/>
  <c r="BN919" i="1"/>
  <c r="AW919" i="1"/>
  <c r="BP918" i="1" l="1"/>
  <c r="BO918" i="1"/>
  <c r="BN918" i="1"/>
  <c r="AW918" i="1"/>
  <c r="BP917" i="1" l="1"/>
  <c r="BO917" i="1"/>
  <c r="BN917" i="1"/>
  <c r="AW917" i="1"/>
  <c r="BP916" i="1" l="1"/>
  <c r="BO916" i="1"/>
  <c r="BN916" i="1"/>
  <c r="AW916" i="1"/>
  <c r="BP915" i="1" l="1"/>
  <c r="BO915" i="1"/>
  <c r="BN915" i="1"/>
  <c r="AW915" i="1"/>
  <c r="BP914" i="1" l="1"/>
  <c r="BO914" i="1"/>
  <c r="BN914" i="1"/>
  <c r="AW914" i="1"/>
  <c r="BP913" i="1" l="1"/>
  <c r="BO913" i="1"/>
  <c r="BN913" i="1"/>
  <c r="AW913" i="1"/>
  <c r="BP912" i="1" l="1"/>
  <c r="BO912" i="1"/>
  <c r="BN912" i="1"/>
  <c r="AW912" i="1"/>
  <c r="BP911" i="1" l="1"/>
  <c r="BO911" i="1"/>
  <c r="BN911" i="1"/>
  <c r="AW911" i="1"/>
  <c r="BP910" i="1" l="1"/>
  <c r="BO910" i="1"/>
  <c r="BN910" i="1"/>
  <c r="AW910" i="1"/>
  <c r="BP909" i="1" l="1"/>
  <c r="BO909" i="1"/>
  <c r="BN909" i="1"/>
  <c r="AW909" i="1"/>
  <c r="BP908" i="1" l="1"/>
  <c r="BO908" i="1"/>
  <c r="BN908" i="1"/>
  <c r="AW908" i="1"/>
  <c r="BP907" i="1" l="1"/>
  <c r="BO907" i="1"/>
  <c r="BN907" i="1"/>
  <c r="AW907" i="1"/>
  <c r="BP906" i="1" l="1"/>
  <c r="BO906" i="1"/>
  <c r="BN906" i="1"/>
  <c r="AW906" i="1"/>
  <c r="BP905" i="1" l="1"/>
  <c r="BO905" i="1"/>
  <c r="BN905" i="1"/>
  <c r="AW905" i="1"/>
  <c r="BP904" i="1" l="1"/>
  <c r="BO904" i="1"/>
  <c r="BN904" i="1"/>
  <c r="AW904" i="1"/>
  <c r="BP903" i="1" l="1"/>
  <c r="BO903" i="1"/>
  <c r="BN903" i="1"/>
  <c r="AW903" i="1"/>
  <c r="BP902" i="1" l="1"/>
  <c r="BO902" i="1"/>
  <c r="BN902" i="1"/>
  <c r="AW902" i="1"/>
  <c r="BP901" i="1" l="1"/>
  <c r="BO901" i="1"/>
  <c r="BN901" i="1"/>
  <c r="AW901" i="1"/>
  <c r="BP900" i="1" l="1"/>
  <c r="BO900" i="1"/>
  <c r="BN900" i="1"/>
  <c r="AW900" i="1"/>
  <c r="BP899" i="1" l="1"/>
  <c r="BO899" i="1"/>
  <c r="BN899" i="1"/>
  <c r="AW899" i="1"/>
  <c r="BP898" i="1" l="1"/>
  <c r="BO898" i="1"/>
  <c r="BN898" i="1"/>
  <c r="AW898" i="1"/>
  <c r="BP897" i="1" l="1"/>
  <c r="BO897" i="1"/>
  <c r="BN897" i="1"/>
  <c r="AW897" i="1"/>
  <c r="BP896" i="1" l="1"/>
  <c r="BO896" i="1"/>
  <c r="BN896" i="1"/>
  <c r="AW896" i="1"/>
  <c r="BP895" i="1" l="1"/>
  <c r="BO895" i="1"/>
  <c r="BN895" i="1"/>
  <c r="AW895" i="1"/>
  <c r="BP894" i="1" l="1"/>
  <c r="BO894" i="1"/>
  <c r="BN894" i="1"/>
  <c r="AW894" i="1"/>
  <c r="BP893" i="1" l="1"/>
  <c r="BO893" i="1"/>
  <c r="BN893" i="1"/>
  <c r="AW893" i="1"/>
  <c r="BP892" i="1" l="1"/>
  <c r="BO892" i="1"/>
  <c r="BN892" i="1"/>
  <c r="AW892" i="1"/>
  <c r="BP891" i="1" l="1"/>
  <c r="BO891" i="1"/>
  <c r="BN891" i="1"/>
  <c r="AW891" i="1"/>
  <c r="BP890" i="1" l="1"/>
  <c r="BO890" i="1"/>
  <c r="BN890" i="1"/>
  <c r="AW890" i="1"/>
  <c r="BP889" i="1" l="1"/>
  <c r="BO889" i="1"/>
  <c r="BN889" i="1"/>
  <c r="AW889" i="1"/>
  <c r="BP888" i="1" l="1"/>
  <c r="BO888" i="1"/>
  <c r="BN888" i="1"/>
  <c r="AW888" i="1"/>
  <c r="BP887" i="1" l="1"/>
  <c r="BO887" i="1"/>
  <c r="BN887" i="1"/>
  <c r="AW887" i="1"/>
  <c r="BP886" i="1" l="1"/>
  <c r="BO886" i="1"/>
  <c r="BN886" i="1"/>
  <c r="AW886" i="1"/>
  <c r="BP885" i="1" l="1"/>
  <c r="BO885" i="1"/>
  <c r="BN885" i="1"/>
  <c r="AW885" i="1"/>
  <c r="BP884" i="1" l="1"/>
  <c r="BO884" i="1"/>
  <c r="BN884" i="1"/>
  <c r="AW884" i="1"/>
  <c r="BP883" i="1" l="1"/>
  <c r="BO883" i="1"/>
  <c r="BN883" i="1"/>
  <c r="AW883" i="1"/>
  <c r="BP882" i="1" l="1"/>
  <c r="BO882" i="1"/>
  <c r="BN882" i="1"/>
  <c r="AW882" i="1"/>
  <c r="BP881" i="1" l="1"/>
  <c r="BO881" i="1"/>
  <c r="BN881" i="1"/>
  <c r="AW881" i="1"/>
  <c r="BP880" i="1" l="1"/>
  <c r="BO880" i="1"/>
  <c r="BN880" i="1"/>
  <c r="AW880" i="1"/>
  <c r="BP879" i="1" l="1"/>
  <c r="BO879" i="1"/>
  <c r="BN879" i="1"/>
  <c r="AW879" i="1"/>
  <c r="BP878" i="1" l="1"/>
  <c r="BO878" i="1"/>
  <c r="BN878" i="1"/>
  <c r="AW878" i="1"/>
  <c r="BP877" i="1" l="1"/>
  <c r="BO877" i="1"/>
  <c r="BN877" i="1"/>
  <c r="AW877" i="1"/>
  <c r="BP876" i="1" l="1"/>
  <c r="BO876" i="1"/>
  <c r="BN876" i="1"/>
  <c r="AW876" i="1"/>
  <c r="BP875" i="1" l="1"/>
  <c r="BO875" i="1"/>
  <c r="BN875" i="1"/>
  <c r="AW875" i="1"/>
  <c r="BP874" i="1" l="1"/>
  <c r="BO874" i="1"/>
  <c r="BN874" i="1"/>
  <c r="AW874" i="1"/>
  <c r="BP873" i="1" l="1"/>
  <c r="BO873" i="1"/>
  <c r="BN873" i="1"/>
  <c r="AW873" i="1"/>
  <c r="BP872" i="1" l="1"/>
  <c r="BO872" i="1"/>
  <c r="BN872" i="1"/>
  <c r="AW872" i="1"/>
  <c r="BP871" i="1" l="1"/>
  <c r="BO871" i="1"/>
  <c r="BN871" i="1"/>
  <c r="AW871" i="1"/>
  <c r="BP870" i="1" l="1"/>
  <c r="BO870" i="1"/>
  <c r="BN870" i="1"/>
  <c r="AW870" i="1"/>
  <c r="BP869" i="1" l="1"/>
  <c r="BO869" i="1"/>
  <c r="BN869" i="1"/>
  <c r="AW869" i="1"/>
  <c r="BP868" i="1" l="1"/>
  <c r="BO868" i="1"/>
  <c r="BN868" i="1"/>
  <c r="AW868" i="1"/>
  <c r="BP867" i="1" l="1"/>
  <c r="BO867" i="1"/>
  <c r="BN867" i="1"/>
  <c r="AW867" i="1"/>
  <c r="BP866" i="1" l="1"/>
  <c r="BO866" i="1"/>
  <c r="BN866" i="1"/>
  <c r="AW866" i="1"/>
  <c r="BP865" i="1" l="1"/>
  <c r="BO865" i="1"/>
  <c r="BN865" i="1"/>
  <c r="AW865" i="1"/>
  <c r="BP864" i="1" l="1"/>
  <c r="BO864" i="1"/>
  <c r="BN864" i="1"/>
  <c r="AW864" i="1"/>
  <c r="BP863" i="1" l="1"/>
  <c r="BO863" i="1"/>
  <c r="BN863" i="1"/>
  <c r="AW863" i="1"/>
  <c r="BP862" i="1" l="1"/>
  <c r="BO862" i="1"/>
  <c r="BN862" i="1"/>
  <c r="AW862" i="1"/>
  <c r="BP861" i="1" l="1"/>
  <c r="BO861" i="1"/>
  <c r="BN861" i="1"/>
  <c r="AW861" i="1"/>
  <c r="BP860" i="1" l="1"/>
  <c r="BO860" i="1"/>
  <c r="BN860" i="1"/>
  <c r="AW860" i="1"/>
  <c r="BP859" i="1" l="1"/>
  <c r="BO859" i="1"/>
  <c r="BN859" i="1"/>
  <c r="AW859" i="1"/>
  <c r="BP858" i="1" l="1"/>
  <c r="BO858" i="1"/>
  <c r="BN858" i="1"/>
  <c r="AW858" i="1"/>
  <c r="BP857" i="1" l="1"/>
  <c r="BO857" i="1"/>
  <c r="BN857" i="1"/>
  <c r="AW857" i="1"/>
  <c r="BP856" i="1" l="1"/>
  <c r="BO856" i="1"/>
  <c r="BN856" i="1"/>
  <c r="AW856" i="1"/>
  <c r="BP855" i="1" l="1"/>
  <c r="BO855" i="1"/>
  <c r="BN855" i="1"/>
  <c r="AW855" i="1"/>
  <c r="BP854" i="1" l="1"/>
  <c r="BO854" i="1"/>
  <c r="BN854" i="1"/>
  <c r="AW854" i="1"/>
  <c r="BP853" i="1" l="1"/>
  <c r="BO853" i="1"/>
  <c r="BN853" i="1"/>
  <c r="AW853" i="1"/>
  <c r="BP852" i="1" l="1"/>
  <c r="BO852" i="1"/>
  <c r="BN852" i="1"/>
  <c r="AW852" i="1"/>
  <c r="BP851" i="1" l="1"/>
  <c r="BO851" i="1"/>
  <c r="BN851" i="1"/>
  <c r="AW851" i="1"/>
  <c r="BP850" i="1" l="1"/>
  <c r="BO850" i="1"/>
  <c r="BN850" i="1"/>
  <c r="AW850" i="1"/>
  <c r="BP849" i="1" l="1"/>
  <c r="BO849" i="1"/>
  <c r="BN849" i="1"/>
  <c r="AW849" i="1"/>
  <c r="BP848" i="1" l="1"/>
  <c r="BO848" i="1"/>
  <c r="BN848" i="1"/>
  <c r="AW848" i="1"/>
  <c r="BP847" i="1" l="1"/>
  <c r="BO847" i="1"/>
  <c r="BN847" i="1"/>
  <c r="AW847" i="1"/>
  <c r="BP846" i="1" l="1"/>
  <c r="BO846" i="1"/>
  <c r="BN846" i="1"/>
  <c r="AW846" i="1"/>
  <c r="BP845" i="1" l="1"/>
  <c r="BO845" i="1"/>
  <c r="BN845" i="1"/>
  <c r="AW845" i="1"/>
  <c r="BP844" i="1" l="1"/>
  <c r="BO844" i="1"/>
  <c r="BN844" i="1"/>
  <c r="AW844" i="1"/>
  <c r="BP843" i="1" l="1"/>
  <c r="BO843" i="1"/>
  <c r="BN843" i="1"/>
  <c r="AW843" i="1"/>
  <c r="BP842" i="1" l="1"/>
  <c r="BO842" i="1"/>
  <c r="BN842" i="1"/>
  <c r="AW842" i="1"/>
  <c r="BP841" i="1" l="1"/>
  <c r="BO841" i="1"/>
  <c r="BN841" i="1"/>
  <c r="AW841" i="1"/>
  <c r="BP840" i="1" l="1"/>
  <c r="BO840" i="1"/>
  <c r="BN840" i="1"/>
  <c r="AW840" i="1"/>
  <c r="BP839" i="1" l="1"/>
  <c r="BO839" i="1"/>
  <c r="BN839" i="1"/>
  <c r="AW839" i="1"/>
  <c r="BP838" i="1" l="1"/>
  <c r="BO838" i="1"/>
  <c r="BN838" i="1"/>
  <c r="AW838" i="1"/>
  <c r="BP837" i="1" l="1"/>
  <c r="BO837" i="1"/>
  <c r="BN837" i="1"/>
  <c r="AW837" i="1"/>
  <c r="BP836" i="1" l="1"/>
  <c r="BO836" i="1"/>
  <c r="BN836" i="1"/>
  <c r="AW836" i="1"/>
  <c r="BP835" i="1" l="1"/>
  <c r="BO835" i="1"/>
  <c r="BN835" i="1"/>
  <c r="AW835" i="1"/>
  <c r="BP834" i="1" l="1"/>
  <c r="BO834" i="1"/>
  <c r="BN834" i="1"/>
  <c r="AW834" i="1"/>
  <c r="BP833" i="1" l="1"/>
  <c r="BO833" i="1"/>
  <c r="BN833" i="1"/>
  <c r="AW833" i="1"/>
  <c r="BP832" i="1" l="1"/>
  <c r="BO832" i="1"/>
  <c r="BN832" i="1"/>
  <c r="AW832" i="1"/>
  <c r="BP831" i="1" l="1"/>
  <c r="BO831" i="1"/>
  <c r="BN831" i="1"/>
  <c r="AW831" i="1"/>
  <c r="BP830" i="1" l="1"/>
  <c r="BO830" i="1"/>
  <c r="BN830" i="1"/>
  <c r="AW830" i="1"/>
  <c r="BP829" i="1" l="1"/>
  <c r="BO829" i="1"/>
  <c r="BN829" i="1"/>
  <c r="AW829" i="1"/>
  <c r="BP828" i="1" l="1"/>
  <c r="BO828" i="1"/>
  <c r="BN828" i="1"/>
  <c r="AW828" i="1"/>
  <c r="BP827" i="1" l="1"/>
  <c r="BO827" i="1"/>
  <c r="BN827" i="1"/>
  <c r="AW827" i="1"/>
  <c r="BP826" i="1" l="1"/>
  <c r="BO826" i="1"/>
  <c r="BN826" i="1"/>
  <c r="AW826" i="1"/>
  <c r="BP825" i="1" l="1"/>
  <c r="BO825" i="1"/>
  <c r="BN825" i="1"/>
  <c r="AW825" i="1"/>
  <c r="BP824" i="1" l="1"/>
  <c r="BO824" i="1"/>
  <c r="BN824" i="1"/>
  <c r="AW824" i="1"/>
  <c r="BP823" i="1" l="1"/>
  <c r="BO823" i="1"/>
  <c r="BN823" i="1"/>
  <c r="AW823" i="1"/>
  <c r="BP822" i="1" l="1"/>
  <c r="BO822" i="1"/>
  <c r="BN822" i="1"/>
  <c r="AW822" i="1"/>
  <c r="BP821" i="1" l="1"/>
  <c r="BO821" i="1"/>
  <c r="BN821" i="1"/>
  <c r="AW821" i="1"/>
  <c r="BP820" i="1" l="1"/>
  <c r="BO820" i="1"/>
  <c r="BN820" i="1"/>
  <c r="AW820" i="1"/>
  <c r="BP819" i="1" l="1"/>
  <c r="BO819" i="1"/>
  <c r="BN819" i="1"/>
  <c r="AW819" i="1"/>
  <c r="BP818" i="1" l="1"/>
  <c r="BO818" i="1"/>
  <c r="BN818" i="1"/>
  <c r="AW818" i="1"/>
  <c r="BP817" i="1" l="1"/>
  <c r="BO817" i="1"/>
  <c r="BN817" i="1"/>
  <c r="AW817" i="1"/>
  <c r="BP816" i="1" l="1"/>
  <c r="BO816" i="1"/>
  <c r="BN816" i="1"/>
  <c r="AW816" i="1"/>
  <c r="BP815" i="1" l="1"/>
  <c r="BO815" i="1"/>
  <c r="BN815" i="1"/>
  <c r="AW815" i="1"/>
  <c r="BP814" i="1" l="1"/>
  <c r="BO814" i="1"/>
  <c r="BN814" i="1"/>
  <c r="AW814" i="1"/>
  <c r="BP813" i="1" l="1"/>
  <c r="BO813" i="1"/>
  <c r="BN813" i="1"/>
  <c r="AW813" i="1"/>
  <c r="BP812" i="1" l="1"/>
  <c r="BO812" i="1"/>
  <c r="BN812" i="1"/>
  <c r="AW812" i="1"/>
  <c r="BP811" i="1" l="1"/>
  <c r="BO811" i="1"/>
  <c r="BN811" i="1"/>
  <c r="AW811" i="1"/>
  <c r="BP810" i="1" l="1"/>
  <c r="BO810" i="1"/>
  <c r="BN810" i="1"/>
  <c r="AW810" i="1"/>
  <c r="BP809" i="1" l="1"/>
  <c r="BO809" i="1"/>
  <c r="BN809" i="1"/>
  <c r="AW809" i="1"/>
  <c r="BP808" i="1" l="1"/>
  <c r="BO808" i="1"/>
  <c r="BN808" i="1"/>
  <c r="AW808" i="1"/>
  <c r="BP807" i="1" l="1"/>
  <c r="BO807" i="1"/>
  <c r="BN807" i="1"/>
  <c r="AW807" i="1"/>
  <c r="BP806" i="1" l="1"/>
  <c r="BO806" i="1"/>
  <c r="BN806" i="1"/>
  <c r="AW806" i="1"/>
  <c r="BP805" i="1" l="1"/>
  <c r="BO805" i="1"/>
  <c r="BN805" i="1"/>
  <c r="AW805" i="1"/>
  <c r="BP804" i="1" l="1"/>
  <c r="BO804" i="1"/>
  <c r="BN804" i="1"/>
  <c r="AW804" i="1"/>
  <c r="BP803" i="1" l="1"/>
  <c r="BO803" i="1"/>
  <c r="BN803" i="1"/>
  <c r="AW803" i="1"/>
  <c r="BP802" i="1" l="1"/>
  <c r="BO802" i="1"/>
  <c r="BN802" i="1"/>
  <c r="AW802" i="1"/>
  <c r="BP801" i="1" l="1"/>
  <c r="BO801" i="1"/>
  <c r="BN801" i="1"/>
  <c r="AW801" i="1"/>
  <c r="BP800" i="1" l="1"/>
  <c r="BO800" i="1"/>
  <c r="BN800" i="1"/>
  <c r="AW800" i="1"/>
  <c r="BP799" i="1" l="1"/>
  <c r="BO799" i="1"/>
  <c r="BN799" i="1"/>
  <c r="AW799" i="1"/>
  <c r="BP798" i="1" l="1"/>
  <c r="BO798" i="1"/>
  <c r="BN798" i="1"/>
  <c r="AW798" i="1"/>
  <c r="BP797" i="1" l="1"/>
  <c r="BO797" i="1"/>
  <c r="BN797" i="1"/>
  <c r="AW797" i="1"/>
  <c r="BP796" i="1" l="1"/>
  <c r="BO796" i="1"/>
  <c r="BN796" i="1"/>
  <c r="AW796" i="1"/>
  <c r="BP795" i="1" l="1"/>
  <c r="BO795" i="1"/>
  <c r="BN795" i="1"/>
  <c r="AW795" i="1"/>
  <c r="BP794" i="1" l="1"/>
  <c r="BO794" i="1"/>
  <c r="BN794" i="1"/>
  <c r="AW794" i="1"/>
  <c r="BP793" i="1" l="1"/>
  <c r="BO793" i="1"/>
  <c r="BN793" i="1"/>
  <c r="AW793" i="1"/>
  <c r="BP792" i="1" l="1"/>
  <c r="BO792" i="1"/>
  <c r="BN792" i="1"/>
  <c r="AW792" i="1"/>
  <c r="BP791" i="1" l="1"/>
  <c r="BO791" i="1"/>
  <c r="BN791" i="1"/>
  <c r="AW791" i="1"/>
  <c r="BP790" i="1" l="1"/>
  <c r="BO790" i="1"/>
  <c r="BN790" i="1"/>
  <c r="AW790" i="1"/>
  <c r="BP789" i="1" l="1"/>
  <c r="BO789" i="1"/>
  <c r="BN789" i="1"/>
  <c r="AW789" i="1"/>
  <c r="BP788" i="1" l="1"/>
  <c r="BO788" i="1"/>
  <c r="BN788" i="1"/>
  <c r="AW788" i="1"/>
  <c r="BP787" i="1" l="1"/>
  <c r="BO787" i="1"/>
  <c r="BN787" i="1"/>
  <c r="AW787" i="1"/>
  <c r="BP786" i="1" l="1"/>
  <c r="BO786" i="1"/>
  <c r="BN786" i="1"/>
  <c r="AW786" i="1"/>
  <c r="BP785" i="1" l="1"/>
  <c r="BO785" i="1"/>
  <c r="BN785" i="1"/>
  <c r="AW785" i="1"/>
  <c r="BP784" i="1" l="1"/>
  <c r="BO784" i="1"/>
  <c r="BN784" i="1"/>
  <c r="AW784" i="1"/>
  <c r="BP783" i="1" l="1"/>
  <c r="BO783" i="1"/>
  <c r="BN783" i="1"/>
  <c r="AW783" i="1"/>
  <c r="BP782" i="1" l="1"/>
  <c r="BO782" i="1"/>
  <c r="BN782" i="1"/>
  <c r="AW782" i="1"/>
  <c r="BP781" i="1" l="1"/>
  <c r="BO781" i="1"/>
  <c r="BN781" i="1"/>
  <c r="AW781" i="1"/>
  <c r="BP780" i="1" l="1"/>
  <c r="BO780" i="1"/>
  <c r="BN780" i="1"/>
  <c r="AW780" i="1"/>
  <c r="BP779" i="1" l="1"/>
  <c r="BO779" i="1"/>
  <c r="BN779" i="1"/>
  <c r="AW779" i="1"/>
  <c r="BP778" i="1" l="1"/>
  <c r="BO778" i="1"/>
  <c r="BN778" i="1"/>
  <c r="AW778" i="1"/>
  <c r="BP777" i="1" l="1"/>
  <c r="BO777" i="1"/>
  <c r="BN777" i="1"/>
  <c r="AW777" i="1"/>
  <c r="BP776" i="1" l="1"/>
  <c r="BO776" i="1"/>
  <c r="BN776" i="1"/>
  <c r="AW776" i="1"/>
  <c r="BP775" i="1" l="1"/>
  <c r="BO775" i="1"/>
  <c r="BN775" i="1"/>
  <c r="AW775" i="1"/>
  <c r="BP774" i="1" l="1"/>
  <c r="BO774" i="1"/>
  <c r="BN774" i="1"/>
  <c r="AW774" i="1"/>
  <c r="BP773" i="1" l="1"/>
  <c r="BO773" i="1"/>
  <c r="BN773" i="1"/>
  <c r="AW773" i="1"/>
  <c r="BP772" i="1" l="1"/>
  <c r="BO772" i="1"/>
  <c r="BN772" i="1"/>
  <c r="AW772" i="1"/>
  <c r="BP771" i="1" l="1"/>
  <c r="BO771" i="1"/>
  <c r="BN771" i="1"/>
  <c r="AW771" i="1"/>
  <c r="BP770" i="1" l="1"/>
  <c r="BO770" i="1"/>
  <c r="BN770" i="1"/>
  <c r="AW770" i="1"/>
  <c r="BP769" i="1" l="1"/>
  <c r="BO769" i="1"/>
  <c r="BN769" i="1"/>
  <c r="AW769" i="1"/>
  <c r="BP768" i="1" l="1"/>
  <c r="BO768" i="1"/>
  <c r="BN768" i="1"/>
  <c r="AW768" i="1"/>
  <c r="BP767" i="1" l="1"/>
  <c r="BO767" i="1"/>
  <c r="BN767" i="1"/>
  <c r="AW767" i="1"/>
  <c r="BP766" i="1" l="1"/>
  <c r="BO766" i="1"/>
  <c r="BN766" i="1"/>
  <c r="AW766" i="1"/>
  <c r="BP765" i="1" l="1"/>
  <c r="BO765" i="1"/>
  <c r="BN765" i="1"/>
  <c r="AW765" i="1"/>
  <c r="BP764" i="1" l="1"/>
  <c r="BO764" i="1"/>
  <c r="BN764" i="1"/>
  <c r="AW764" i="1"/>
  <c r="BP763" i="1" l="1"/>
  <c r="BO763" i="1"/>
  <c r="BN763" i="1"/>
  <c r="AW763" i="1"/>
  <c r="BP762" i="1" l="1"/>
  <c r="BO762" i="1"/>
  <c r="BN762" i="1"/>
  <c r="AW762" i="1"/>
  <c r="BP761" i="1" l="1"/>
  <c r="BO761" i="1"/>
  <c r="BN761" i="1"/>
  <c r="AW761" i="1"/>
  <c r="BP760" i="1" l="1"/>
  <c r="BO760" i="1"/>
  <c r="BN760" i="1"/>
  <c r="AW760" i="1"/>
  <c r="BP759" i="1" l="1"/>
  <c r="BO759" i="1"/>
  <c r="BN759" i="1"/>
  <c r="AW759" i="1"/>
  <c r="BP758" i="1" l="1"/>
  <c r="BO758" i="1"/>
  <c r="BN758" i="1"/>
  <c r="AW758" i="1"/>
  <c r="BP757" i="1" l="1"/>
  <c r="BO757" i="1"/>
  <c r="BN757" i="1"/>
  <c r="AW757" i="1"/>
  <c r="BP756" i="1" l="1"/>
  <c r="BO756" i="1"/>
  <c r="BN756" i="1"/>
  <c r="AW756" i="1"/>
  <c r="BP755" i="1" l="1"/>
  <c r="BO755" i="1"/>
  <c r="BN755" i="1"/>
  <c r="AW755" i="1"/>
  <c r="BP754" i="1" l="1"/>
  <c r="BO754" i="1"/>
  <c r="BN754" i="1"/>
  <c r="AW754" i="1"/>
  <c r="BP753" i="1" l="1"/>
  <c r="BO753" i="1"/>
  <c r="BN753" i="1"/>
  <c r="AW753" i="1"/>
  <c r="BP752" i="1" l="1"/>
  <c r="BO752" i="1"/>
  <c r="BN752" i="1"/>
  <c r="AW752" i="1"/>
  <c r="BP751" i="1" l="1"/>
  <c r="BO751" i="1"/>
  <c r="BN751" i="1"/>
  <c r="AW751" i="1"/>
  <c r="BP750" i="1" l="1"/>
  <c r="BO750" i="1"/>
  <c r="BN750" i="1"/>
  <c r="AW750" i="1"/>
  <c r="BP749" i="1" l="1"/>
  <c r="BO749" i="1"/>
  <c r="BN749" i="1"/>
  <c r="AW749" i="1"/>
  <c r="BP748" i="1" l="1"/>
  <c r="BO748" i="1"/>
  <c r="BN748" i="1"/>
  <c r="AW748" i="1"/>
  <c r="BP747" i="1" l="1"/>
  <c r="BO747" i="1"/>
  <c r="BN747" i="1"/>
  <c r="AW747" i="1"/>
  <c r="BP746" i="1" l="1"/>
  <c r="BO746" i="1"/>
  <c r="BN746" i="1"/>
  <c r="AW746" i="1"/>
  <c r="BP745" i="1" l="1"/>
  <c r="BO745" i="1"/>
  <c r="BN745" i="1"/>
  <c r="AW745" i="1"/>
  <c r="BP744" i="1" l="1"/>
  <c r="BO744" i="1"/>
  <c r="BN744" i="1"/>
  <c r="AW744" i="1"/>
  <c r="BP743" i="1" l="1"/>
  <c r="BO743" i="1"/>
  <c r="BN743" i="1"/>
  <c r="AW743" i="1"/>
  <c r="BP742" i="1" l="1"/>
  <c r="BO742" i="1"/>
  <c r="BN742" i="1"/>
  <c r="AW742" i="1"/>
  <c r="BP741" i="1" l="1"/>
  <c r="BO741" i="1"/>
  <c r="BN741" i="1"/>
  <c r="AW741" i="1"/>
  <c r="BP740" i="1" l="1"/>
  <c r="BO740" i="1"/>
  <c r="BN740" i="1"/>
  <c r="AW740" i="1"/>
  <c r="BP739" i="1" l="1"/>
  <c r="BO739" i="1"/>
  <c r="BN739" i="1"/>
  <c r="AW739" i="1"/>
  <c r="BP738" i="1" l="1"/>
  <c r="BO738" i="1"/>
  <c r="BN738" i="1"/>
  <c r="AW738" i="1"/>
  <c r="BP737" i="1" l="1"/>
  <c r="BO737" i="1"/>
  <c r="BN737" i="1"/>
  <c r="AW737" i="1"/>
  <c r="BP736" i="1" l="1"/>
  <c r="BO736" i="1"/>
  <c r="BN736" i="1"/>
  <c r="AW736" i="1"/>
  <c r="BP735" i="1" l="1"/>
  <c r="BO735" i="1"/>
  <c r="BN735" i="1"/>
  <c r="AW735" i="1"/>
  <c r="BP734" i="1" l="1"/>
  <c r="BO734" i="1"/>
  <c r="BN734" i="1"/>
  <c r="AW734" i="1"/>
  <c r="BP733" i="1" l="1"/>
  <c r="BO733" i="1"/>
  <c r="BN733" i="1"/>
  <c r="AW733" i="1"/>
  <c r="BP732" i="1" l="1"/>
  <c r="BO732" i="1"/>
  <c r="BN732" i="1"/>
  <c r="AW732" i="1"/>
  <c r="BP731" i="1" l="1"/>
  <c r="BO731" i="1"/>
  <c r="BN731" i="1"/>
  <c r="AW731" i="1"/>
  <c r="BP730" i="1" l="1"/>
  <c r="BO730" i="1"/>
  <c r="BN730" i="1"/>
  <c r="AW730" i="1"/>
  <c r="BP729" i="1" l="1"/>
  <c r="BO729" i="1"/>
  <c r="BN729" i="1"/>
  <c r="AW729" i="1"/>
  <c r="BP728" i="1" l="1"/>
  <c r="BO728" i="1"/>
  <c r="BN728" i="1"/>
  <c r="AW728" i="1"/>
  <c r="BP727" i="1" l="1"/>
  <c r="BO727" i="1"/>
  <c r="BN727" i="1"/>
  <c r="AW727" i="1"/>
  <c r="BP726" i="1" l="1"/>
  <c r="BO726" i="1"/>
  <c r="BN726" i="1"/>
  <c r="AW726" i="1"/>
  <c r="BP725" i="1" l="1"/>
  <c r="BO725" i="1"/>
  <c r="BN725" i="1"/>
  <c r="AW725" i="1"/>
  <c r="BP724" i="1" l="1"/>
  <c r="BO724" i="1"/>
  <c r="BN724" i="1"/>
  <c r="AW724" i="1"/>
  <c r="BP723" i="1" l="1"/>
  <c r="BO723" i="1"/>
  <c r="BN723" i="1"/>
  <c r="AW723" i="1"/>
  <c r="BP722" i="1" l="1"/>
  <c r="BO722" i="1"/>
  <c r="BN722" i="1"/>
  <c r="AW722" i="1"/>
  <c r="BP721" i="1" l="1"/>
  <c r="BO721" i="1"/>
  <c r="BN721" i="1"/>
  <c r="AW721" i="1"/>
  <c r="BP720" i="1" l="1"/>
  <c r="BO720" i="1"/>
  <c r="BN720" i="1"/>
  <c r="AW720" i="1"/>
  <c r="BP719" i="1" l="1"/>
  <c r="BO719" i="1"/>
  <c r="BN719" i="1"/>
  <c r="AW719" i="1"/>
  <c r="BP718" i="1" l="1"/>
  <c r="BO718" i="1"/>
  <c r="BN718" i="1"/>
  <c r="AW718" i="1"/>
  <c r="BP717" i="1" l="1"/>
  <c r="BO717" i="1"/>
  <c r="BN717" i="1"/>
  <c r="AW717" i="1"/>
  <c r="BP716" i="1" l="1"/>
  <c r="BO716" i="1"/>
  <c r="BN716" i="1"/>
  <c r="AW716" i="1"/>
  <c r="BP715" i="1" l="1"/>
  <c r="BO715" i="1"/>
  <c r="BN715" i="1"/>
  <c r="AW715" i="1"/>
  <c r="BP714" i="1" l="1"/>
  <c r="BO714" i="1"/>
  <c r="BN714" i="1"/>
  <c r="AW714" i="1"/>
  <c r="BP713" i="1" l="1"/>
  <c r="BO713" i="1"/>
  <c r="BN713" i="1"/>
  <c r="AW713" i="1"/>
  <c r="BP712" i="1" l="1"/>
  <c r="BO712" i="1"/>
  <c r="BN712" i="1"/>
  <c r="AW712" i="1"/>
  <c r="BP711" i="1" l="1"/>
  <c r="BO711" i="1"/>
  <c r="BN711" i="1"/>
  <c r="AW711" i="1"/>
  <c r="BP710" i="1" l="1"/>
  <c r="BO710" i="1"/>
  <c r="BN710" i="1"/>
  <c r="AW710" i="1"/>
  <c r="BP709" i="1" l="1"/>
  <c r="BO709" i="1"/>
  <c r="BN709" i="1"/>
  <c r="AW709" i="1"/>
  <c r="BP708" i="1" l="1"/>
  <c r="BO708" i="1"/>
  <c r="BN708" i="1"/>
  <c r="AW708" i="1"/>
  <c r="BP707" i="1" l="1"/>
  <c r="BO707" i="1"/>
  <c r="BN707" i="1"/>
  <c r="AW707" i="1"/>
  <c r="BP706" i="1" l="1"/>
  <c r="BO706" i="1"/>
  <c r="BN706" i="1"/>
  <c r="AW706" i="1"/>
  <c r="BP705" i="1" l="1"/>
  <c r="BO705" i="1"/>
  <c r="BN705" i="1"/>
  <c r="AW705" i="1"/>
  <c r="BP704" i="1" l="1"/>
  <c r="BO704" i="1"/>
  <c r="BN704" i="1"/>
  <c r="AW704" i="1"/>
  <c r="BP703" i="1" l="1"/>
  <c r="BO703" i="1"/>
  <c r="BN703" i="1"/>
  <c r="AW703" i="1"/>
  <c r="BP702" i="1" l="1"/>
  <c r="BO702" i="1"/>
  <c r="BN702" i="1"/>
  <c r="AW702" i="1"/>
  <c r="BP701" i="1" l="1"/>
  <c r="BO701" i="1"/>
  <c r="BN701" i="1"/>
  <c r="AW701" i="1"/>
  <c r="BP700" i="1" l="1"/>
  <c r="BO700" i="1"/>
  <c r="BN700" i="1"/>
  <c r="AW700" i="1"/>
  <c r="BP699" i="1" l="1"/>
  <c r="BO699" i="1"/>
  <c r="BN699" i="1"/>
  <c r="AW699" i="1"/>
  <c r="BP698" i="1" l="1"/>
  <c r="BO698" i="1"/>
  <c r="BN698" i="1"/>
  <c r="AW698" i="1"/>
  <c r="BP697" i="1" l="1"/>
  <c r="BO697" i="1"/>
  <c r="BN697" i="1"/>
  <c r="AW697" i="1"/>
  <c r="BP696" i="1" l="1"/>
  <c r="BO696" i="1"/>
  <c r="BN696" i="1"/>
  <c r="AW696" i="1"/>
  <c r="BP695" i="1" l="1"/>
  <c r="BO695" i="1"/>
  <c r="BN695" i="1"/>
  <c r="AW695" i="1"/>
  <c r="BP694" i="1" l="1"/>
  <c r="BO694" i="1"/>
  <c r="BN694" i="1"/>
  <c r="AW694" i="1"/>
  <c r="BP693" i="1" l="1"/>
  <c r="BO693" i="1"/>
  <c r="BN693" i="1"/>
  <c r="AW693" i="1"/>
  <c r="BP692" i="1" l="1"/>
  <c r="BO692" i="1"/>
  <c r="BN692" i="1"/>
  <c r="AW692" i="1"/>
  <c r="BP691" i="1" l="1"/>
  <c r="BO691" i="1"/>
  <c r="BN691" i="1"/>
  <c r="AW691" i="1"/>
  <c r="BP690" i="1" l="1"/>
  <c r="BO690" i="1"/>
  <c r="BN690" i="1"/>
  <c r="AW690" i="1"/>
  <c r="BP689" i="1" l="1"/>
  <c r="BO689" i="1"/>
  <c r="BN689" i="1"/>
  <c r="AW689" i="1"/>
  <c r="BP688" i="1" l="1"/>
  <c r="BO688" i="1"/>
  <c r="BN688" i="1"/>
  <c r="AW688" i="1"/>
  <c r="BP687" i="1" l="1"/>
  <c r="BO687" i="1"/>
  <c r="BN687" i="1"/>
  <c r="AW687" i="1"/>
  <c r="BP686" i="1" l="1"/>
  <c r="BO686" i="1"/>
  <c r="BN686" i="1"/>
  <c r="AW686" i="1"/>
  <c r="BP685" i="1" l="1"/>
  <c r="BO685" i="1"/>
  <c r="BN685" i="1"/>
  <c r="AW685" i="1"/>
  <c r="BP684" i="1" l="1"/>
  <c r="BO684" i="1"/>
  <c r="BN684" i="1"/>
  <c r="AW684" i="1"/>
  <c r="BP683" i="1" l="1"/>
  <c r="BO683" i="1"/>
  <c r="BN683" i="1"/>
  <c r="AW683" i="1"/>
  <c r="BP682" i="1" l="1"/>
  <c r="BO682" i="1"/>
  <c r="BN682" i="1"/>
  <c r="AW682" i="1"/>
  <c r="BP681" i="1" l="1"/>
  <c r="BO681" i="1"/>
  <c r="BN681" i="1"/>
  <c r="AW681" i="1"/>
  <c r="BP680" i="1" l="1"/>
  <c r="BO680" i="1"/>
  <c r="BN680" i="1"/>
  <c r="AW680" i="1"/>
  <c r="BP679" i="1" l="1"/>
  <c r="BO679" i="1"/>
  <c r="BN679" i="1"/>
  <c r="AW679" i="1"/>
  <c r="BP678" i="1" l="1"/>
  <c r="BO678" i="1"/>
  <c r="BN678" i="1"/>
  <c r="AW678" i="1"/>
  <c r="BP677" i="1" l="1"/>
  <c r="BO677" i="1"/>
  <c r="BN677" i="1"/>
  <c r="AW677" i="1"/>
  <c r="BP676" i="1" l="1"/>
  <c r="BO676" i="1"/>
  <c r="BN676" i="1"/>
  <c r="AW676" i="1"/>
  <c r="BP675" i="1" l="1"/>
  <c r="BO675" i="1"/>
  <c r="BN675" i="1"/>
  <c r="AW675" i="1"/>
  <c r="BP674" i="1" l="1"/>
  <c r="BO674" i="1"/>
  <c r="BN674" i="1"/>
  <c r="AW674" i="1"/>
  <c r="BP673" i="1" l="1"/>
  <c r="BO673" i="1"/>
  <c r="BN673" i="1"/>
  <c r="AW673" i="1"/>
  <c r="BP672" i="1" l="1"/>
  <c r="BO672" i="1"/>
  <c r="BN672" i="1"/>
  <c r="AW672" i="1"/>
  <c r="BP671" i="1" l="1"/>
  <c r="BO671" i="1"/>
  <c r="BN671" i="1"/>
  <c r="AW671" i="1"/>
  <c r="BP670" i="1" l="1"/>
  <c r="BO670" i="1"/>
  <c r="BN670" i="1"/>
  <c r="AW670" i="1"/>
  <c r="BP669" i="1" l="1"/>
  <c r="BO669" i="1"/>
  <c r="BN669" i="1"/>
  <c r="AW669" i="1"/>
  <c r="BP668" i="1" l="1"/>
  <c r="BO668" i="1"/>
  <c r="BN668" i="1"/>
  <c r="AW668" i="1"/>
  <c r="BP667" i="1" l="1"/>
  <c r="BO667" i="1"/>
  <c r="BN667" i="1"/>
  <c r="AW667" i="1"/>
  <c r="BP666" i="1" l="1"/>
  <c r="BO666" i="1"/>
  <c r="BN666" i="1"/>
  <c r="AW666" i="1"/>
  <c r="BP665" i="1" l="1"/>
  <c r="BO665" i="1"/>
  <c r="BN665" i="1"/>
  <c r="AW665" i="1"/>
  <c r="BP664" i="1" l="1"/>
  <c r="BO664" i="1"/>
  <c r="BN664" i="1"/>
  <c r="AW664" i="1"/>
  <c r="BP663" i="1" l="1"/>
  <c r="BO663" i="1"/>
  <c r="BN663" i="1"/>
  <c r="AW663" i="1"/>
  <c r="BP662" i="1" l="1"/>
  <c r="BO662" i="1"/>
  <c r="BN662" i="1"/>
  <c r="AW662" i="1"/>
  <c r="BP661" i="1" l="1"/>
  <c r="BO661" i="1"/>
  <c r="BN661" i="1"/>
  <c r="AW661" i="1"/>
  <c r="BP660" i="1" l="1"/>
  <c r="BO660" i="1"/>
  <c r="BN660" i="1"/>
  <c r="AW660" i="1"/>
  <c r="BP659" i="1" l="1"/>
  <c r="BO659" i="1"/>
  <c r="BN659" i="1"/>
  <c r="AW659" i="1"/>
  <c r="BP658" i="1" l="1"/>
  <c r="BO658" i="1"/>
  <c r="BN658" i="1"/>
  <c r="AW658" i="1"/>
  <c r="BP657" i="1" l="1"/>
  <c r="BO657" i="1"/>
  <c r="BN657" i="1"/>
  <c r="AW657" i="1"/>
  <c r="BP656" i="1" l="1"/>
  <c r="BO656" i="1"/>
  <c r="BN656" i="1"/>
  <c r="AW656" i="1"/>
  <c r="BP655" i="1" l="1"/>
  <c r="BO655" i="1"/>
  <c r="BN655" i="1"/>
  <c r="AW655" i="1"/>
  <c r="BP654" i="1" l="1"/>
  <c r="BO654" i="1"/>
  <c r="BN654" i="1"/>
  <c r="AW654" i="1"/>
  <c r="BP653" i="1" l="1"/>
  <c r="BO653" i="1"/>
  <c r="BN653" i="1"/>
  <c r="AW653" i="1"/>
  <c r="BP652" i="1" l="1"/>
  <c r="BO652" i="1"/>
  <c r="BN652" i="1"/>
  <c r="AW652" i="1"/>
  <c r="BP651" i="1" l="1"/>
  <c r="BO651" i="1"/>
  <c r="BN651" i="1"/>
  <c r="AW651" i="1"/>
  <c r="BP650" i="1" l="1"/>
  <c r="BO650" i="1"/>
  <c r="BN650" i="1"/>
  <c r="AW650" i="1"/>
  <c r="BP649" i="1" l="1"/>
  <c r="BO649" i="1"/>
  <c r="BN649" i="1"/>
  <c r="AW649" i="1"/>
  <c r="BP648" i="1" l="1"/>
  <c r="BO648" i="1"/>
  <c r="BN648" i="1"/>
  <c r="AW648" i="1"/>
  <c r="BP647" i="1" l="1"/>
  <c r="BO647" i="1"/>
  <c r="BN647" i="1"/>
  <c r="AW647" i="1"/>
  <c r="BP646" i="1" l="1"/>
  <c r="BO646" i="1"/>
  <c r="BN646" i="1"/>
  <c r="AW646" i="1"/>
  <c r="BP645" i="1" l="1"/>
  <c r="BO645" i="1"/>
  <c r="BN645" i="1"/>
  <c r="AW645" i="1"/>
  <c r="BP644" i="1" l="1"/>
  <c r="BO644" i="1"/>
  <c r="BN644" i="1"/>
  <c r="AW644" i="1"/>
  <c r="BP643" i="1" l="1"/>
  <c r="BO643" i="1"/>
  <c r="BN643" i="1"/>
  <c r="AW643" i="1"/>
  <c r="BP642" i="1" l="1"/>
  <c r="BO642" i="1"/>
  <c r="BN642" i="1"/>
  <c r="AW642" i="1"/>
  <c r="BP641" i="1" l="1"/>
  <c r="BO641" i="1"/>
  <c r="BN641" i="1"/>
  <c r="AW641" i="1"/>
  <c r="BP640" i="1" l="1"/>
  <c r="BO640" i="1"/>
  <c r="BN640" i="1"/>
  <c r="AW640" i="1"/>
  <c r="BP639" i="1" l="1"/>
  <c r="BO639" i="1"/>
  <c r="BN639" i="1"/>
  <c r="AW639" i="1"/>
  <c r="BP638" i="1" l="1"/>
  <c r="BO638" i="1"/>
  <c r="BN638" i="1"/>
  <c r="AW638" i="1"/>
  <c r="BP637" i="1" l="1"/>
  <c r="BO637" i="1"/>
  <c r="BN637" i="1"/>
  <c r="AW637" i="1"/>
  <c r="BP636" i="1" l="1"/>
  <c r="BO636" i="1"/>
  <c r="BN636" i="1"/>
  <c r="AW636" i="1"/>
  <c r="BP635" i="1" l="1"/>
  <c r="BO635" i="1"/>
  <c r="BN635" i="1"/>
  <c r="AW635" i="1"/>
  <c r="BP634" i="1" l="1"/>
  <c r="BO634" i="1"/>
  <c r="BN634" i="1"/>
  <c r="AW634" i="1"/>
  <c r="BP633" i="1" l="1"/>
  <c r="BO633" i="1"/>
  <c r="BN633" i="1"/>
  <c r="AW633" i="1"/>
  <c r="BP632" i="1" l="1"/>
  <c r="BO632" i="1"/>
  <c r="BN632" i="1"/>
  <c r="AW632" i="1"/>
  <c r="BP631" i="1" l="1"/>
  <c r="BO631" i="1"/>
  <c r="BN631" i="1"/>
  <c r="AW631" i="1"/>
  <c r="BP630" i="1" l="1"/>
  <c r="BO630" i="1"/>
  <c r="BN630" i="1"/>
  <c r="AW630" i="1"/>
  <c r="BP629" i="1" l="1"/>
  <c r="BO629" i="1"/>
  <c r="BN629" i="1"/>
  <c r="AW629" i="1"/>
  <c r="BP628" i="1" l="1"/>
  <c r="BO628" i="1"/>
  <c r="BN628" i="1"/>
  <c r="AW628" i="1"/>
  <c r="BP627" i="1" l="1"/>
  <c r="BO627" i="1"/>
  <c r="BN627" i="1"/>
  <c r="AW627" i="1"/>
  <c r="BP626" i="1" l="1"/>
  <c r="BO626" i="1"/>
  <c r="BN626" i="1"/>
  <c r="AW626" i="1"/>
  <c r="BP625" i="1" l="1"/>
  <c r="BO625" i="1"/>
  <c r="BN625" i="1"/>
  <c r="AW625" i="1"/>
  <c r="BP624" i="1" l="1"/>
  <c r="BO624" i="1"/>
  <c r="BN624" i="1"/>
  <c r="AW624" i="1"/>
  <c r="BP623" i="1" l="1"/>
  <c r="BO623" i="1"/>
  <c r="BN623" i="1"/>
  <c r="AW623" i="1"/>
  <c r="BP622" i="1" l="1"/>
  <c r="BO622" i="1"/>
  <c r="BN622" i="1"/>
  <c r="AW622" i="1"/>
  <c r="BP621" i="1" l="1"/>
  <c r="BO621" i="1"/>
  <c r="BN621" i="1"/>
  <c r="AW621" i="1"/>
  <c r="BP620" i="1" l="1"/>
  <c r="BO620" i="1"/>
  <c r="BN620" i="1"/>
  <c r="AW620" i="1"/>
  <c r="BP619" i="1" l="1"/>
  <c r="BO619" i="1"/>
  <c r="BN619" i="1"/>
  <c r="AW619" i="1"/>
  <c r="BP618" i="1" l="1"/>
  <c r="BO618" i="1"/>
  <c r="BN618" i="1"/>
  <c r="AW618" i="1"/>
  <c r="BP617" i="1" l="1"/>
  <c r="BO617" i="1"/>
  <c r="BN617" i="1"/>
  <c r="AW617" i="1"/>
  <c r="BP616" i="1" l="1"/>
  <c r="BO616" i="1"/>
  <c r="BN616" i="1"/>
  <c r="AW616" i="1"/>
  <c r="BP615" i="1" l="1"/>
  <c r="BO615" i="1"/>
  <c r="BN615" i="1"/>
  <c r="AW615" i="1"/>
  <c r="BP614" i="1" l="1"/>
  <c r="BO614" i="1"/>
  <c r="BN614" i="1"/>
  <c r="AW614" i="1"/>
  <c r="BP613" i="1" l="1"/>
  <c r="BO613" i="1"/>
  <c r="BN613" i="1"/>
  <c r="AW613" i="1"/>
  <c r="BP612" i="1" l="1"/>
  <c r="BO612" i="1"/>
  <c r="BN612" i="1"/>
  <c r="AW612" i="1"/>
  <c r="BP611" i="1" l="1"/>
  <c r="BO611" i="1"/>
  <c r="BN611" i="1"/>
  <c r="AW611" i="1"/>
  <c r="BP610" i="1" l="1"/>
  <c r="BO610" i="1"/>
  <c r="BN610" i="1"/>
  <c r="AW610" i="1"/>
  <c r="BP609" i="1" l="1"/>
  <c r="BO609" i="1"/>
  <c r="BN609" i="1"/>
  <c r="AW609" i="1"/>
  <c r="BP608" i="1" l="1"/>
  <c r="BO608" i="1"/>
  <c r="BN608" i="1"/>
  <c r="AW608" i="1"/>
  <c r="BP607" i="1" l="1"/>
  <c r="BO607" i="1"/>
  <c r="BN607" i="1"/>
  <c r="AW607" i="1"/>
  <c r="BP606" i="1" l="1"/>
  <c r="BO606" i="1"/>
  <c r="BN606" i="1"/>
  <c r="AW606" i="1"/>
  <c r="BP605" i="1" l="1"/>
  <c r="BO605" i="1"/>
  <c r="BN605" i="1"/>
  <c r="AW605" i="1"/>
  <c r="BP604" i="1" l="1"/>
  <c r="BO604" i="1"/>
  <c r="BN604" i="1"/>
  <c r="AW604" i="1"/>
  <c r="BP603" i="1" l="1"/>
  <c r="BO603" i="1"/>
  <c r="BN603" i="1"/>
  <c r="AW603" i="1"/>
  <c r="BP602" i="1" l="1"/>
  <c r="BO602" i="1"/>
  <c r="BN602" i="1"/>
  <c r="AW602" i="1"/>
  <c r="BP601" i="1" l="1"/>
  <c r="BO601" i="1"/>
  <c r="BN601" i="1"/>
  <c r="AW601" i="1"/>
  <c r="BP600" i="1" l="1"/>
  <c r="BO600" i="1"/>
  <c r="BN600" i="1"/>
  <c r="AW600" i="1"/>
  <c r="BP599" i="1" l="1"/>
  <c r="BO599" i="1"/>
  <c r="BN599" i="1"/>
  <c r="AW599" i="1"/>
  <c r="BP598" i="1" l="1"/>
  <c r="BO598" i="1"/>
  <c r="BN598" i="1"/>
  <c r="AW598" i="1"/>
  <c r="BP597" i="1" l="1"/>
  <c r="BO597" i="1"/>
  <c r="BN597" i="1"/>
  <c r="AW597" i="1"/>
  <c r="BP596" i="1" l="1"/>
  <c r="BO596" i="1"/>
  <c r="BN596" i="1"/>
  <c r="AW596" i="1"/>
  <c r="BP595" i="1" l="1"/>
  <c r="BO595" i="1"/>
  <c r="BN595" i="1"/>
  <c r="AW595" i="1"/>
  <c r="BP594" i="1" l="1"/>
  <c r="BO594" i="1"/>
  <c r="BN594" i="1"/>
  <c r="AW594" i="1"/>
  <c r="BP593" i="1" l="1"/>
  <c r="BO593" i="1"/>
  <c r="BN593" i="1"/>
  <c r="AW593" i="1"/>
  <c r="BP592" i="1" l="1"/>
  <c r="BO592" i="1"/>
  <c r="BN592" i="1"/>
  <c r="AW592" i="1"/>
  <c r="BP591" i="1" l="1"/>
  <c r="BO591" i="1"/>
  <c r="BN591" i="1"/>
  <c r="AW591" i="1"/>
  <c r="BP590" i="1" l="1"/>
  <c r="BO590" i="1"/>
  <c r="BN590" i="1"/>
  <c r="AW590" i="1"/>
  <c r="BP589" i="1" l="1"/>
  <c r="BO589" i="1"/>
  <c r="BN589" i="1"/>
  <c r="AW589" i="1"/>
  <c r="BP588" i="1" l="1"/>
  <c r="BO588" i="1"/>
  <c r="BN588" i="1"/>
  <c r="AW588" i="1"/>
  <c r="BP587" i="1" l="1"/>
  <c r="BO587" i="1"/>
  <c r="BN587" i="1"/>
  <c r="AW587" i="1"/>
  <c r="BP586" i="1" l="1"/>
  <c r="BO586" i="1"/>
  <c r="BN586" i="1"/>
  <c r="AW586" i="1"/>
  <c r="BP585" i="1" l="1"/>
  <c r="BO585" i="1"/>
  <c r="BN585" i="1"/>
  <c r="AW585" i="1"/>
  <c r="BP584" i="1" l="1"/>
  <c r="BO584" i="1"/>
  <c r="BN584" i="1"/>
  <c r="AW584" i="1"/>
  <c r="BP583" i="1" l="1"/>
  <c r="BO583" i="1"/>
  <c r="BN583" i="1"/>
  <c r="AW583" i="1"/>
  <c r="BP582" i="1" l="1"/>
  <c r="BO582" i="1"/>
  <c r="BN582" i="1"/>
  <c r="AW582" i="1"/>
  <c r="BP581" i="1" l="1"/>
  <c r="BO581" i="1"/>
  <c r="BN581" i="1"/>
  <c r="AW581" i="1"/>
  <c r="BP580" i="1" l="1"/>
  <c r="BO580" i="1"/>
  <c r="BN580" i="1"/>
  <c r="AW580" i="1"/>
  <c r="BP579" i="1" l="1"/>
  <c r="BO579" i="1"/>
  <c r="BN579" i="1"/>
  <c r="AW579" i="1"/>
  <c r="BP578" i="1" l="1"/>
  <c r="BO578" i="1"/>
  <c r="BN578" i="1"/>
  <c r="AW578" i="1"/>
  <c r="BP577" i="1" l="1"/>
  <c r="BO577" i="1"/>
  <c r="BN577" i="1"/>
  <c r="AW577" i="1"/>
  <c r="BP576" i="1" l="1"/>
  <c r="BO576" i="1"/>
  <c r="BN576" i="1"/>
  <c r="AW576" i="1"/>
  <c r="BP575" i="1" l="1"/>
  <c r="BO575" i="1"/>
  <c r="BN575" i="1"/>
  <c r="AW575" i="1"/>
  <c r="BP574" i="1" l="1"/>
  <c r="BO574" i="1"/>
  <c r="BN574" i="1"/>
  <c r="AW574" i="1"/>
  <c r="BP573" i="1" l="1"/>
  <c r="BO573" i="1"/>
  <c r="BN573" i="1"/>
  <c r="AW573" i="1"/>
  <c r="BP572" i="1" l="1"/>
  <c r="BO572" i="1"/>
  <c r="BN572" i="1"/>
  <c r="AW572" i="1"/>
  <c r="BP571" i="1" l="1"/>
  <c r="BO571" i="1"/>
  <c r="BN571" i="1"/>
  <c r="AW571" i="1"/>
  <c r="BP570" i="1" l="1"/>
  <c r="BO570" i="1"/>
  <c r="BN570" i="1"/>
  <c r="AW570" i="1"/>
  <c r="BP569" i="1" l="1"/>
  <c r="BO569" i="1"/>
  <c r="BN569" i="1"/>
  <c r="AW569" i="1"/>
  <c r="BP568" i="1" l="1"/>
  <c r="BO568" i="1"/>
  <c r="BN568" i="1"/>
  <c r="AW568" i="1"/>
  <c r="BP567" i="1" l="1"/>
  <c r="BO567" i="1"/>
  <c r="BN567" i="1"/>
  <c r="AW567" i="1"/>
  <c r="BP566" i="1" l="1"/>
  <c r="BO566" i="1"/>
  <c r="BN566" i="1"/>
  <c r="AW566" i="1"/>
  <c r="BP565" i="1" l="1"/>
  <c r="BO565" i="1"/>
  <c r="BN565" i="1"/>
  <c r="AW565" i="1"/>
  <c r="BP564" i="1" l="1"/>
  <c r="BO564" i="1"/>
  <c r="BN564" i="1"/>
  <c r="AW564" i="1"/>
  <c r="BP563" i="1" l="1"/>
  <c r="BO563" i="1"/>
  <c r="BN563" i="1"/>
  <c r="AW563" i="1"/>
  <c r="BP562" i="1" l="1"/>
  <c r="BO562" i="1"/>
  <c r="BN562" i="1"/>
  <c r="AW562" i="1"/>
  <c r="BP561" i="1" l="1"/>
  <c r="BO561" i="1"/>
  <c r="BN561" i="1"/>
  <c r="AW561" i="1"/>
  <c r="BP560" i="1" l="1"/>
  <c r="BO560" i="1"/>
  <c r="BN560" i="1"/>
  <c r="AW560" i="1"/>
  <c r="BP559" i="1" l="1"/>
  <c r="BO559" i="1"/>
  <c r="BN559" i="1"/>
  <c r="AW559" i="1"/>
  <c r="BP558" i="1" l="1"/>
  <c r="BO558" i="1"/>
  <c r="BN558" i="1"/>
  <c r="AW558" i="1"/>
  <c r="BP557" i="1" l="1"/>
  <c r="BO557" i="1"/>
  <c r="BN557" i="1"/>
  <c r="AW557" i="1"/>
  <c r="BP556" i="1" l="1"/>
  <c r="BO556" i="1"/>
  <c r="BN556" i="1"/>
  <c r="AW556" i="1"/>
  <c r="BP555" i="1" l="1"/>
  <c r="BO555" i="1"/>
  <c r="BN555" i="1"/>
  <c r="AW555" i="1"/>
  <c r="BP554" i="1" l="1"/>
  <c r="BO554" i="1"/>
  <c r="BN554" i="1"/>
  <c r="AW554" i="1"/>
  <c r="BP553" i="1" l="1"/>
  <c r="BO553" i="1"/>
  <c r="BN553" i="1"/>
  <c r="AW553" i="1"/>
  <c r="BP552" i="1" l="1"/>
  <c r="BO552" i="1"/>
  <c r="BN552" i="1"/>
  <c r="AW552" i="1"/>
  <c r="BP551" i="1" l="1"/>
  <c r="BO551" i="1"/>
  <c r="BN551" i="1"/>
  <c r="AW551" i="1"/>
  <c r="BP550" i="1" l="1"/>
  <c r="BO550" i="1"/>
  <c r="BN550" i="1"/>
  <c r="AW550" i="1"/>
  <c r="BP549" i="1" l="1"/>
  <c r="BO549" i="1"/>
  <c r="BN549" i="1"/>
  <c r="AW549" i="1"/>
  <c r="BP548" i="1" l="1"/>
  <c r="BO548" i="1"/>
  <c r="BN548" i="1"/>
  <c r="AW548" i="1"/>
  <c r="BP547" i="1" l="1"/>
  <c r="BO547" i="1"/>
  <c r="BN547" i="1"/>
  <c r="AW547" i="1"/>
  <c r="BP546" i="1" l="1"/>
  <c r="BO546" i="1"/>
  <c r="BN546" i="1"/>
  <c r="AW546" i="1"/>
  <c r="BP545" i="1" l="1"/>
  <c r="BO545" i="1"/>
  <c r="BN545" i="1"/>
  <c r="AW545" i="1"/>
  <c r="BP544" i="1" l="1"/>
  <c r="BO544" i="1"/>
  <c r="BN544" i="1"/>
  <c r="AW544" i="1"/>
  <c r="BP543" i="1" l="1"/>
  <c r="BO543" i="1"/>
  <c r="BN543" i="1"/>
  <c r="AW543" i="1"/>
  <c r="BP542" i="1" l="1"/>
  <c r="BO542" i="1"/>
  <c r="BN542" i="1"/>
  <c r="AW542" i="1"/>
  <c r="BP541" i="1" l="1"/>
  <c r="BO541" i="1"/>
  <c r="BN541" i="1"/>
  <c r="AW541" i="1"/>
  <c r="BP540" i="1" l="1"/>
  <c r="BO540" i="1"/>
  <c r="BN540" i="1"/>
  <c r="AW540" i="1"/>
  <c r="BP539" i="1" l="1"/>
  <c r="BO539" i="1"/>
  <c r="BN539" i="1"/>
  <c r="AW539" i="1"/>
  <c r="BP538" i="1" l="1"/>
  <c r="BO538" i="1"/>
  <c r="BN538" i="1"/>
  <c r="AW538" i="1"/>
  <c r="BP537" i="1" l="1"/>
  <c r="BO537" i="1"/>
  <c r="BN537" i="1"/>
  <c r="AW537" i="1"/>
  <c r="BP536" i="1" l="1"/>
  <c r="BO536" i="1"/>
  <c r="BN536" i="1"/>
  <c r="AW536" i="1"/>
  <c r="BP535" i="1" l="1"/>
  <c r="BO535" i="1"/>
  <c r="BN535" i="1"/>
  <c r="AW535" i="1"/>
  <c r="BP534" i="1" l="1"/>
  <c r="BO534" i="1"/>
  <c r="BN534" i="1"/>
  <c r="AW534" i="1"/>
  <c r="BP533" i="1" l="1"/>
  <c r="BO533" i="1"/>
  <c r="BN533" i="1"/>
  <c r="AW533" i="1"/>
  <c r="BP532" i="1" l="1"/>
  <c r="BO532" i="1"/>
  <c r="BN532" i="1"/>
  <c r="AW532" i="1"/>
  <c r="BP531" i="1" l="1"/>
  <c r="BO531" i="1"/>
  <c r="BN531" i="1"/>
  <c r="AW531" i="1"/>
  <c r="BP530" i="1" l="1"/>
  <c r="BO530" i="1"/>
  <c r="BN530" i="1"/>
  <c r="AW530" i="1"/>
  <c r="BP529" i="1" l="1"/>
  <c r="BO529" i="1"/>
  <c r="BN529" i="1"/>
  <c r="AW529" i="1"/>
  <c r="BP528" i="1" l="1"/>
  <c r="BO528" i="1"/>
  <c r="BN528" i="1"/>
  <c r="AW528" i="1"/>
  <c r="BP527" i="1" l="1"/>
  <c r="BO527" i="1"/>
  <c r="BN527" i="1"/>
  <c r="AW527" i="1"/>
  <c r="BP526" i="1" l="1"/>
  <c r="BO526" i="1"/>
  <c r="BN526" i="1"/>
  <c r="AW526" i="1"/>
  <c r="BP525" i="1" l="1"/>
  <c r="BO525" i="1"/>
  <c r="BN525" i="1"/>
  <c r="AW525" i="1"/>
  <c r="BP524" i="1" l="1"/>
  <c r="BO524" i="1"/>
  <c r="BN524" i="1"/>
  <c r="AW524" i="1"/>
  <c r="BP523" i="1" l="1"/>
  <c r="BO523" i="1"/>
  <c r="BN523" i="1"/>
  <c r="AW523" i="1"/>
  <c r="BP522" i="1" l="1"/>
  <c r="BO522" i="1"/>
  <c r="BN522" i="1"/>
  <c r="AW522" i="1"/>
  <c r="BP521" i="1" l="1"/>
  <c r="BO521" i="1"/>
  <c r="BN521" i="1"/>
  <c r="AW521" i="1"/>
  <c r="BP520" i="1" l="1"/>
  <c r="BO520" i="1"/>
  <c r="BN520" i="1"/>
  <c r="AW520" i="1"/>
  <c r="BP519" i="1" l="1"/>
  <c r="BO519" i="1"/>
  <c r="BN519" i="1"/>
  <c r="AW519" i="1"/>
  <c r="BP518" i="1" l="1"/>
  <c r="BO518" i="1"/>
  <c r="BN518" i="1"/>
  <c r="AW518" i="1"/>
  <c r="BP517" i="1" l="1"/>
  <c r="BO517" i="1"/>
  <c r="BN517" i="1"/>
  <c r="AW517" i="1"/>
  <c r="BP516" i="1" l="1"/>
  <c r="BO516" i="1"/>
  <c r="BN516" i="1"/>
  <c r="AW516" i="1"/>
  <c r="BP515" i="1" l="1"/>
  <c r="BO515" i="1"/>
  <c r="BN515" i="1"/>
  <c r="AW515" i="1"/>
  <c r="BP514" i="1" l="1"/>
  <c r="BO514" i="1"/>
  <c r="BN514" i="1"/>
  <c r="AW514" i="1"/>
  <c r="BP513" i="1" l="1"/>
  <c r="BO513" i="1"/>
  <c r="BN513" i="1"/>
  <c r="AW513" i="1"/>
  <c r="BP512" i="1" l="1"/>
  <c r="BO512" i="1"/>
  <c r="BN512" i="1"/>
  <c r="AW512" i="1"/>
  <c r="BP511" i="1" l="1"/>
  <c r="BO511" i="1"/>
  <c r="BN511" i="1"/>
  <c r="AW511" i="1"/>
  <c r="BP510" i="1" l="1"/>
  <c r="BO510" i="1"/>
  <c r="BN510" i="1"/>
  <c r="AW510" i="1"/>
  <c r="BP509" i="1" l="1"/>
  <c r="BO509" i="1"/>
  <c r="BN509" i="1"/>
  <c r="AW509" i="1"/>
  <c r="BP508" i="1" l="1"/>
  <c r="BO508" i="1"/>
  <c r="BN508" i="1"/>
  <c r="AW508" i="1"/>
  <c r="BP507" i="1" l="1"/>
  <c r="BO507" i="1"/>
  <c r="BN507" i="1"/>
  <c r="AW507" i="1"/>
  <c r="BP506" i="1" l="1"/>
  <c r="BO506" i="1"/>
  <c r="BN506" i="1"/>
  <c r="AW506" i="1"/>
  <c r="BP505" i="1" l="1"/>
  <c r="BO505" i="1"/>
  <c r="BN505" i="1"/>
  <c r="AW505" i="1"/>
  <c r="BP504" i="1" l="1"/>
  <c r="BO504" i="1"/>
  <c r="BN504" i="1"/>
  <c r="AW504" i="1"/>
  <c r="BP503" i="1" l="1"/>
  <c r="BO503" i="1"/>
  <c r="BN503" i="1"/>
  <c r="AW503" i="1"/>
  <c r="BP502" i="1" l="1"/>
  <c r="BO502" i="1"/>
  <c r="BN502" i="1"/>
  <c r="AW502" i="1"/>
  <c r="BP501" i="1" l="1"/>
  <c r="BO501" i="1"/>
  <c r="BN501" i="1"/>
  <c r="AW501" i="1"/>
  <c r="BP500" i="1" l="1"/>
  <c r="BO500" i="1"/>
  <c r="BN500" i="1"/>
  <c r="AW500" i="1"/>
  <c r="BP499" i="1" l="1"/>
  <c r="BO499" i="1"/>
  <c r="BN499" i="1"/>
  <c r="AW499" i="1"/>
  <c r="BP498" i="1" l="1"/>
  <c r="BO498" i="1"/>
  <c r="BN498" i="1"/>
  <c r="AW498" i="1"/>
  <c r="BP497" i="1" l="1"/>
  <c r="BO497" i="1"/>
  <c r="BN497" i="1"/>
  <c r="AW497" i="1"/>
  <c r="BP496" i="1" l="1"/>
  <c r="BO496" i="1"/>
  <c r="BN496" i="1"/>
  <c r="AW496" i="1"/>
  <c r="BP495" i="1" l="1"/>
  <c r="BO495" i="1"/>
  <c r="BN495" i="1"/>
  <c r="AW495" i="1"/>
  <c r="BP494" i="1" l="1"/>
  <c r="BO494" i="1"/>
  <c r="BN494" i="1"/>
  <c r="AW494" i="1"/>
  <c r="BP493" i="1" l="1"/>
  <c r="BO493" i="1"/>
  <c r="BN493" i="1"/>
  <c r="AW493" i="1"/>
  <c r="BP492" i="1" l="1"/>
  <c r="BO492" i="1"/>
  <c r="BN492" i="1"/>
  <c r="AW492" i="1"/>
  <c r="BP491" i="1" l="1"/>
  <c r="BO491" i="1"/>
  <c r="BN491" i="1"/>
  <c r="AW491" i="1"/>
  <c r="BP490" i="1" l="1"/>
  <c r="BO490" i="1"/>
  <c r="BN490" i="1"/>
  <c r="AW490" i="1"/>
  <c r="BP489" i="1" l="1"/>
  <c r="BO489" i="1"/>
  <c r="BN489" i="1"/>
  <c r="AW489" i="1"/>
  <c r="BP488" i="1" l="1"/>
  <c r="BO488" i="1"/>
  <c r="BN488" i="1"/>
  <c r="AW488" i="1"/>
  <c r="BP487" i="1" l="1"/>
  <c r="BO487" i="1"/>
  <c r="BN487" i="1"/>
  <c r="AW487" i="1"/>
  <c r="BP486" i="1" l="1"/>
  <c r="BO486" i="1"/>
  <c r="BN486" i="1"/>
  <c r="AW486" i="1"/>
  <c r="BP485" i="1" l="1"/>
  <c r="BO485" i="1"/>
  <c r="BN485" i="1"/>
  <c r="AW485" i="1"/>
  <c r="BP484" i="1" l="1"/>
  <c r="BO484" i="1"/>
  <c r="BN484" i="1"/>
  <c r="AW484" i="1"/>
  <c r="BP483" i="1" l="1"/>
  <c r="BO483" i="1"/>
  <c r="BN483" i="1"/>
  <c r="AW483" i="1"/>
  <c r="BP482" i="1" l="1"/>
  <c r="BO482" i="1"/>
  <c r="BN482" i="1"/>
  <c r="AW482" i="1"/>
  <c r="BP481" i="1" l="1"/>
  <c r="BO481" i="1"/>
  <c r="BN481" i="1"/>
  <c r="AW481" i="1"/>
  <c r="BP480" i="1" l="1"/>
  <c r="BO480" i="1"/>
  <c r="BN480" i="1"/>
  <c r="AW480" i="1"/>
  <c r="BP479" i="1" l="1"/>
  <c r="BO479" i="1"/>
  <c r="BN479" i="1"/>
  <c r="AW479" i="1"/>
  <c r="BP478" i="1" l="1"/>
  <c r="BO478" i="1"/>
  <c r="BN478" i="1"/>
  <c r="AW478" i="1"/>
  <c r="BP477" i="1" l="1"/>
  <c r="BO477" i="1"/>
  <c r="BN477" i="1"/>
  <c r="AW477" i="1"/>
  <c r="BP476" i="1" l="1"/>
  <c r="BO476" i="1"/>
  <c r="BN476" i="1"/>
  <c r="AW476" i="1"/>
  <c r="BP475" i="1" l="1"/>
  <c r="BO475" i="1"/>
  <c r="BN475" i="1"/>
  <c r="AW475" i="1"/>
  <c r="BP474" i="1" l="1"/>
  <c r="BO474" i="1"/>
  <c r="BN474" i="1"/>
  <c r="AW474" i="1"/>
  <c r="BP473" i="1" l="1"/>
  <c r="BO473" i="1"/>
  <c r="BN473" i="1"/>
  <c r="AW473" i="1"/>
  <c r="BP472" i="1" l="1"/>
  <c r="BO472" i="1"/>
  <c r="BN472" i="1"/>
  <c r="AW472" i="1"/>
  <c r="BP471" i="1" l="1"/>
  <c r="BO471" i="1"/>
  <c r="BN471" i="1"/>
  <c r="AW471" i="1"/>
  <c r="BP470" i="1" l="1"/>
  <c r="BO470" i="1"/>
  <c r="BN470" i="1"/>
  <c r="AW470" i="1"/>
  <c r="BP469" i="1" l="1"/>
  <c r="BO469" i="1"/>
  <c r="BN469" i="1"/>
  <c r="AW469" i="1"/>
  <c r="BP468" i="1" l="1"/>
  <c r="BO468" i="1"/>
  <c r="BN468" i="1"/>
  <c r="AW468" i="1"/>
  <c r="BP467" i="1" l="1"/>
  <c r="BO467" i="1"/>
  <c r="BN467" i="1"/>
  <c r="AW467" i="1"/>
  <c r="BP466" i="1" l="1"/>
  <c r="BO466" i="1"/>
  <c r="BN466" i="1"/>
  <c r="AW466" i="1"/>
  <c r="BP465" i="1" l="1"/>
  <c r="BO465" i="1"/>
  <c r="BN465" i="1"/>
  <c r="AW465" i="1"/>
  <c r="BP464" i="1" l="1"/>
  <c r="BO464" i="1"/>
  <c r="BN464" i="1"/>
  <c r="AW464" i="1"/>
  <c r="BP463" i="1" l="1"/>
  <c r="BO463" i="1"/>
  <c r="BN463" i="1"/>
  <c r="AW463" i="1"/>
  <c r="BP462" i="1" l="1"/>
  <c r="BO462" i="1"/>
  <c r="BN462" i="1"/>
  <c r="AW462" i="1"/>
  <c r="BP461" i="1" l="1"/>
  <c r="BO461" i="1"/>
  <c r="BN461" i="1"/>
  <c r="AW461" i="1"/>
  <c r="BP460" i="1" l="1"/>
  <c r="BO460" i="1"/>
  <c r="BN460" i="1"/>
  <c r="AW460" i="1"/>
  <c r="BP459" i="1" l="1"/>
  <c r="BO459" i="1"/>
  <c r="BN459" i="1"/>
  <c r="AW459" i="1"/>
  <c r="BP458" i="1" l="1"/>
  <c r="BO458" i="1"/>
  <c r="BN458" i="1"/>
  <c r="AW458" i="1"/>
  <c r="BP457" i="1" l="1"/>
  <c r="BO457" i="1"/>
  <c r="BN457" i="1"/>
  <c r="AW457" i="1"/>
  <c r="BP456" i="1" l="1"/>
  <c r="BO456" i="1"/>
  <c r="BN456" i="1"/>
  <c r="AW456" i="1"/>
  <c r="BP455" i="1" l="1"/>
  <c r="BO455" i="1"/>
  <c r="BN455" i="1"/>
  <c r="AW455" i="1"/>
  <c r="BP454" i="1" l="1"/>
  <c r="BO454" i="1"/>
  <c r="BN454" i="1"/>
  <c r="AW454" i="1"/>
  <c r="BP453" i="1" l="1"/>
  <c r="BO453" i="1"/>
  <c r="BN453" i="1"/>
  <c r="AW453" i="1"/>
  <c r="BP452" i="1" l="1"/>
  <c r="BO452" i="1"/>
  <c r="BN452" i="1"/>
  <c r="AW452" i="1"/>
  <c r="BP451" i="1" l="1"/>
  <c r="BO451" i="1"/>
  <c r="BN451" i="1"/>
  <c r="AW451" i="1"/>
  <c r="BP450" i="1" l="1"/>
  <c r="BO450" i="1"/>
  <c r="BN450" i="1"/>
  <c r="AW450" i="1"/>
  <c r="BP449" i="1" l="1"/>
  <c r="BO449" i="1"/>
  <c r="BN449" i="1"/>
  <c r="AW449" i="1"/>
  <c r="BP448" i="1" l="1"/>
  <c r="BO448" i="1"/>
  <c r="BN448" i="1"/>
  <c r="AW448" i="1"/>
  <c r="BP447" i="1" l="1"/>
  <c r="BO447" i="1"/>
  <c r="BN447" i="1"/>
  <c r="AW447" i="1"/>
  <c r="BP446" i="1" l="1"/>
  <c r="BO446" i="1"/>
  <c r="BN446" i="1"/>
  <c r="AW446" i="1"/>
  <c r="BP445" i="1" l="1"/>
  <c r="BO445" i="1"/>
  <c r="BN445" i="1"/>
  <c r="AW445" i="1"/>
  <c r="BP444" i="1" l="1"/>
  <c r="BO444" i="1"/>
  <c r="BN444" i="1"/>
  <c r="AW444" i="1"/>
  <c r="BP443" i="1" l="1"/>
  <c r="BO443" i="1"/>
  <c r="BN443" i="1"/>
  <c r="AW443" i="1"/>
  <c r="BP442" i="1" l="1"/>
  <c r="BO442" i="1"/>
  <c r="BN442" i="1"/>
  <c r="AW442" i="1"/>
  <c r="BP441" i="1" l="1"/>
  <c r="BO441" i="1"/>
  <c r="BN441" i="1"/>
  <c r="AW441" i="1"/>
  <c r="BP440" i="1" l="1"/>
  <c r="BO440" i="1"/>
  <c r="BN440" i="1"/>
  <c r="AW440" i="1"/>
  <c r="BP439" i="1" l="1"/>
  <c r="BO439" i="1"/>
  <c r="BN439" i="1"/>
  <c r="AW439" i="1"/>
  <c r="BP438" i="1" l="1"/>
  <c r="BO438" i="1"/>
  <c r="BN438" i="1"/>
  <c r="AW438" i="1"/>
  <c r="BP437" i="1" l="1"/>
  <c r="BO437" i="1"/>
  <c r="BN437" i="1"/>
  <c r="AW437" i="1"/>
  <c r="BP436" i="1" l="1"/>
  <c r="BO436" i="1"/>
  <c r="BN436" i="1"/>
  <c r="AW436" i="1"/>
  <c r="BP435" i="1" l="1"/>
  <c r="BO435" i="1"/>
  <c r="BN435" i="1"/>
  <c r="AW435" i="1"/>
  <c r="BP434" i="1" l="1"/>
  <c r="BO434" i="1"/>
  <c r="BN434" i="1"/>
  <c r="AW434" i="1"/>
  <c r="BP433" i="1" l="1"/>
  <c r="BO433" i="1"/>
  <c r="BN433" i="1"/>
  <c r="AW433" i="1"/>
  <c r="BP432" i="1" l="1"/>
  <c r="BO432" i="1"/>
  <c r="BN432" i="1"/>
  <c r="AW432" i="1"/>
  <c r="BP431" i="1" l="1"/>
  <c r="BO431" i="1"/>
  <c r="BN431" i="1"/>
  <c r="AW431" i="1"/>
  <c r="BP430" i="1" l="1"/>
  <c r="BO430" i="1"/>
  <c r="BN430" i="1"/>
  <c r="AW430" i="1"/>
  <c r="BP429" i="1" l="1"/>
  <c r="BO429" i="1"/>
  <c r="BN429" i="1"/>
  <c r="AW429" i="1"/>
  <c r="BP428" i="1" l="1"/>
  <c r="BO428" i="1"/>
  <c r="BN428" i="1"/>
  <c r="AW428" i="1"/>
  <c r="BP427" i="1" l="1"/>
  <c r="BO427" i="1"/>
  <c r="BN427" i="1"/>
  <c r="AW427" i="1"/>
  <c r="BP426" i="1" l="1"/>
  <c r="BO426" i="1"/>
  <c r="BN426" i="1"/>
  <c r="AW426" i="1"/>
  <c r="BP425" i="1" l="1"/>
  <c r="BO425" i="1"/>
  <c r="BN425" i="1"/>
  <c r="AW425" i="1"/>
  <c r="BP424" i="1" l="1"/>
  <c r="BO424" i="1"/>
  <c r="BN424" i="1"/>
  <c r="AW424" i="1"/>
  <c r="BP423" i="1" l="1"/>
  <c r="BO423" i="1"/>
  <c r="BN423" i="1"/>
  <c r="AW423" i="1"/>
  <c r="BP422" i="1" l="1"/>
  <c r="BO422" i="1"/>
  <c r="BN422" i="1"/>
  <c r="AW422" i="1"/>
  <c r="BP421" i="1" l="1"/>
  <c r="BO421" i="1"/>
  <c r="BN421" i="1"/>
  <c r="AW421" i="1"/>
  <c r="BP420" i="1" l="1"/>
  <c r="BO420" i="1"/>
  <c r="BN420" i="1"/>
  <c r="AW420" i="1"/>
  <c r="BP419" i="1" l="1"/>
  <c r="BO419" i="1"/>
  <c r="BN419" i="1"/>
  <c r="AW419" i="1"/>
  <c r="BP418" i="1" l="1"/>
  <c r="BO418" i="1"/>
  <c r="BN418" i="1"/>
  <c r="AW418" i="1"/>
  <c r="BP417" i="1" l="1"/>
  <c r="BO417" i="1"/>
  <c r="BN417" i="1"/>
  <c r="AW417" i="1"/>
  <c r="BP416" i="1" l="1"/>
  <c r="BO416" i="1"/>
  <c r="BN416" i="1"/>
  <c r="AW416" i="1"/>
  <c r="BP415" i="1" l="1"/>
  <c r="BO415" i="1"/>
  <c r="BN415" i="1"/>
  <c r="AW415" i="1"/>
  <c r="BP414" i="1" l="1"/>
  <c r="BO414" i="1"/>
  <c r="BN414" i="1"/>
  <c r="AW414" i="1"/>
  <c r="BP413" i="1" l="1"/>
  <c r="BO413" i="1"/>
  <c r="BN413" i="1"/>
  <c r="AW413" i="1"/>
  <c r="BP412" i="1" l="1"/>
  <c r="BO412" i="1"/>
  <c r="BN412" i="1"/>
  <c r="AW412" i="1"/>
  <c r="BP411" i="1" l="1"/>
  <c r="BO411" i="1"/>
  <c r="BN411" i="1"/>
  <c r="AW411" i="1"/>
  <c r="BP410" i="1" l="1"/>
  <c r="BO410" i="1"/>
  <c r="BN410" i="1"/>
  <c r="AW410" i="1"/>
  <c r="BP409" i="1" l="1"/>
  <c r="BO409" i="1"/>
  <c r="BN409" i="1"/>
  <c r="AW409" i="1"/>
  <c r="BP408" i="1" l="1"/>
  <c r="BO408" i="1"/>
  <c r="BN408" i="1"/>
  <c r="AW408" i="1"/>
  <c r="BP407" i="1" l="1"/>
  <c r="BO407" i="1"/>
  <c r="BN407" i="1"/>
  <c r="AW407" i="1"/>
  <c r="BP406" i="1" l="1"/>
  <c r="BO406" i="1"/>
  <c r="BN406" i="1"/>
  <c r="AW406" i="1"/>
  <c r="BP405" i="1" l="1"/>
  <c r="BO405" i="1"/>
  <c r="BN405" i="1"/>
  <c r="AW405" i="1"/>
  <c r="BP404" i="1" l="1"/>
  <c r="BO404" i="1"/>
  <c r="BN404" i="1"/>
  <c r="AW404" i="1"/>
  <c r="BP403" i="1" l="1"/>
  <c r="BO403" i="1"/>
  <c r="BN403" i="1"/>
  <c r="AW403" i="1"/>
  <c r="BP402" i="1" l="1"/>
  <c r="BO402" i="1"/>
  <c r="BN402" i="1"/>
  <c r="AW402" i="1"/>
  <c r="BP401" i="1" l="1"/>
  <c r="BO401" i="1"/>
  <c r="BN401" i="1"/>
  <c r="AW401" i="1"/>
  <c r="BP400" i="1" l="1"/>
  <c r="BO400" i="1"/>
  <c r="BN400" i="1"/>
  <c r="AW400" i="1"/>
  <c r="BP399" i="1" l="1"/>
  <c r="BO399" i="1"/>
  <c r="BN399" i="1"/>
  <c r="AW399" i="1"/>
  <c r="BP398" i="1" l="1"/>
  <c r="BO398" i="1"/>
  <c r="BN398" i="1"/>
  <c r="AW398" i="1"/>
  <c r="BP397" i="1" l="1"/>
  <c r="BO397" i="1"/>
  <c r="BN397" i="1"/>
  <c r="AW397" i="1"/>
  <c r="BP396" i="1" l="1"/>
  <c r="BO396" i="1"/>
  <c r="BN396" i="1"/>
  <c r="AW396" i="1"/>
  <c r="BP395" i="1" l="1"/>
  <c r="BO395" i="1"/>
  <c r="BN395" i="1"/>
  <c r="AW395" i="1"/>
  <c r="BP394" i="1" l="1"/>
  <c r="BO394" i="1"/>
  <c r="BN394" i="1"/>
  <c r="AW394" i="1"/>
  <c r="BP393" i="1" l="1"/>
  <c r="BO393" i="1"/>
  <c r="BN393" i="1"/>
  <c r="AW393" i="1"/>
  <c r="BP392" i="1" l="1"/>
  <c r="BO392" i="1"/>
  <c r="BN392" i="1"/>
  <c r="AW392" i="1"/>
  <c r="BP391" i="1" l="1"/>
  <c r="BO391" i="1"/>
  <c r="BN391" i="1"/>
  <c r="AW391" i="1"/>
  <c r="BP390" i="1" l="1"/>
  <c r="BO390" i="1"/>
  <c r="BN390" i="1"/>
  <c r="AW390" i="1"/>
  <c r="BP389" i="1" l="1"/>
  <c r="BO389" i="1"/>
  <c r="BN389" i="1"/>
  <c r="AW389" i="1"/>
  <c r="BP388" i="1" l="1"/>
  <c r="BO388" i="1"/>
  <c r="BN388" i="1"/>
  <c r="AW388" i="1"/>
  <c r="BP387" i="1" l="1"/>
  <c r="BO387" i="1"/>
  <c r="BN387" i="1"/>
  <c r="AW387" i="1"/>
  <c r="BP386" i="1" l="1"/>
  <c r="BO386" i="1"/>
  <c r="BN386" i="1"/>
  <c r="AW386" i="1"/>
  <c r="BP385" i="1" l="1"/>
  <c r="BO385" i="1"/>
  <c r="BN385" i="1"/>
  <c r="AW385" i="1"/>
  <c r="BP384" i="1" l="1"/>
  <c r="BO384" i="1"/>
  <c r="BN384" i="1"/>
  <c r="AW384" i="1"/>
  <c r="BP383" i="1" l="1"/>
  <c r="BO383" i="1"/>
  <c r="BN383" i="1"/>
  <c r="AW383" i="1"/>
  <c r="BP382" i="1" l="1"/>
  <c r="BO382" i="1"/>
  <c r="BN382" i="1"/>
  <c r="AW382" i="1"/>
  <c r="BP381" i="1" l="1"/>
  <c r="BO381" i="1"/>
  <c r="BN381" i="1"/>
  <c r="AW381" i="1"/>
  <c r="BP380" i="1" l="1"/>
  <c r="BO380" i="1"/>
  <c r="BN380" i="1"/>
  <c r="AW380" i="1"/>
  <c r="BP379" i="1" l="1"/>
  <c r="BO379" i="1"/>
  <c r="BN379" i="1"/>
  <c r="AW379" i="1"/>
  <c r="BP378" i="1" l="1"/>
  <c r="BO378" i="1"/>
  <c r="BN378" i="1"/>
  <c r="AW378" i="1"/>
  <c r="BP377" i="1" l="1"/>
  <c r="BO377" i="1"/>
  <c r="BN377" i="1"/>
  <c r="AW377" i="1"/>
  <c r="BP376" i="1" l="1"/>
  <c r="BO376" i="1"/>
  <c r="BN376" i="1"/>
  <c r="AW376" i="1"/>
  <c r="BP375" i="1" l="1"/>
  <c r="BO375" i="1"/>
  <c r="BN375" i="1"/>
  <c r="AW375" i="1"/>
  <c r="BP374" i="1" l="1"/>
  <c r="BO374" i="1"/>
  <c r="BN374" i="1"/>
  <c r="AW374" i="1"/>
  <c r="BP373" i="1" l="1"/>
  <c r="BO373" i="1"/>
  <c r="BN373" i="1"/>
  <c r="AW373" i="1"/>
  <c r="BP372" i="1" l="1"/>
  <c r="BO372" i="1"/>
  <c r="BN372" i="1"/>
  <c r="AW372" i="1"/>
  <c r="BP371" i="1" l="1"/>
  <c r="BO371" i="1"/>
  <c r="BN371" i="1"/>
  <c r="AW371" i="1"/>
  <c r="BP370" i="1" l="1"/>
  <c r="BO370" i="1"/>
  <c r="BN370" i="1"/>
  <c r="AW370" i="1"/>
  <c r="BP369" i="1" l="1"/>
  <c r="BO369" i="1"/>
  <c r="BN369" i="1"/>
  <c r="AW369" i="1"/>
  <c r="BP368" i="1" l="1"/>
  <c r="BO368" i="1"/>
  <c r="BN368" i="1"/>
  <c r="AW368" i="1"/>
  <c r="BP367" i="1" l="1"/>
  <c r="BO367" i="1"/>
  <c r="BN367" i="1"/>
  <c r="AW367" i="1"/>
  <c r="BP366" i="1" l="1"/>
  <c r="BO366" i="1"/>
  <c r="BN366" i="1"/>
  <c r="AW366" i="1"/>
  <c r="BP365" i="1" l="1"/>
  <c r="BO365" i="1"/>
  <c r="BN365" i="1"/>
  <c r="AW365" i="1"/>
  <c r="BP364" i="1" l="1"/>
  <c r="BO364" i="1"/>
  <c r="BN364" i="1"/>
  <c r="AW364" i="1"/>
  <c r="BP363" i="1" l="1"/>
  <c r="BO363" i="1"/>
  <c r="BN363" i="1"/>
  <c r="AW363" i="1"/>
  <c r="BP362" i="1" l="1"/>
  <c r="BO362" i="1"/>
  <c r="BN362" i="1"/>
  <c r="AW362" i="1"/>
  <c r="BP361" i="1" l="1"/>
  <c r="BO361" i="1"/>
  <c r="BN361" i="1"/>
  <c r="AW361" i="1"/>
  <c r="BP360" i="1" l="1"/>
  <c r="BO360" i="1"/>
  <c r="BN360" i="1"/>
  <c r="AW360" i="1"/>
  <c r="BP359" i="1" l="1"/>
  <c r="BO359" i="1"/>
  <c r="BN359" i="1"/>
  <c r="AW359" i="1"/>
  <c r="BP358" i="1" l="1"/>
  <c r="BO358" i="1"/>
  <c r="BN358" i="1"/>
  <c r="AW358" i="1"/>
  <c r="BP357" i="1" l="1"/>
  <c r="BO357" i="1"/>
  <c r="BN357" i="1"/>
  <c r="AW357" i="1"/>
  <c r="BP356" i="1" l="1"/>
  <c r="BO356" i="1"/>
  <c r="BN356" i="1"/>
  <c r="AW356" i="1"/>
  <c r="BP355" i="1" l="1"/>
  <c r="BO355" i="1"/>
  <c r="BN355" i="1"/>
  <c r="AW355" i="1"/>
  <c r="BP354" i="1" l="1"/>
  <c r="BO354" i="1"/>
  <c r="BN354" i="1"/>
  <c r="AW354" i="1"/>
  <c r="BP353" i="1" l="1"/>
  <c r="BO353" i="1"/>
  <c r="BN353" i="1"/>
  <c r="AW353" i="1"/>
  <c r="BP352" i="1" l="1"/>
  <c r="BO352" i="1"/>
  <c r="BN352" i="1"/>
  <c r="AW352" i="1"/>
  <c r="BP351" i="1" l="1"/>
  <c r="BO351" i="1"/>
  <c r="BN351" i="1"/>
  <c r="AW351" i="1"/>
  <c r="BP350" i="1" l="1"/>
  <c r="BO350" i="1"/>
  <c r="BN350" i="1"/>
  <c r="AW350" i="1"/>
  <c r="BP349" i="1" l="1"/>
  <c r="BO349" i="1"/>
  <c r="BN349" i="1"/>
  <c r="AW349" i="1"/>
  <c r="BP348" i="1" l="1"/>
  <c r="BO348" i="1"/>
  <c r="BN348" i="1"/>
  <c r="AW348" i="1"/>
  <c r="BP347" i="1" l="1"/>
  <c r="BO347" i="1"/>
  <c r="BN347" i="1"/>
  <c r="AW347" i="1"/>
  <c r="BP346" i="1" l="1"/>
  <c r="BO346" i="1"/>
  <c r="BN346" i="1"/>
  <c r="AW346" i="1"/>
  <c r="BP345" i="1" l="1"/>
  <c r="BO345" i="1"/>
  <c r="BN345" i="1"/>
  <c r="AW345" i="1"/>
  <c r="BP344" i="1" l="1"/>
  <c r="BO344" i="1"/>
  <c r="BN344" i="1"/>
  <c r="AW344" i="1"/>
  <c r="BP343" i="1" l="1"/>
  <c r="BO343" i="1"/>
  <c r="BN343" i="1"/>
  <c r="AW343" i="1"/>
  <c r="BP342" i="1" l="1"/>
  <c r="BO342" i="1"/>
  <c r="BN342" i="1"/>
  <c r="AW342" i="1"/>
  <c r="BP341" i="1" l="1"/>
  <c r="BO341" i="1"/>
  <c r="BN341" i="1"/>
  <c r="AW341" i="1"/>
  <c r="BP340" i="1" l="1"/>
  <c r="BO340" i="1"/>
  <c r="BN340" i="1"/>
  <c r="AW340" i="1"/>
  <c r="BP339" i="1" l="1"/>
  <c r="BO339" i="1"/>
  <c r="BN339" i="1"/>
  <c r="AW339" i="1"/>
  <c r="BP338" i="1" l="1"/>
  <c r="BO338" i="1"/>
  <c r="BN338" i="1"/>
  <c r="AW338" i="1"/>
  <c r="BP337" i="1" l="1"/>
  <c r="BO337" i="1"/>
  <c r="BN337" i="1"/>
  <c r="AW337" i="1"/>
  <c r="BP336" i="1" l="1"/>
  <c r="BO336" i="1"/>
  <c r="BN336" i="1"/>
  <c r="AW336" i="1"/>
  <c r="BP335" i="1" l="1"/>
  <c r="BO335" i="1"/>
  <c r="BN335" i="1"/>
  <c r="AW335" i="1"/>
  <c r="BP334" i="1" l="1"/>
  <c r="BO334" i="1"/>
  <c r="BN334" i="1"/>
  <c r="AW334" i="1"/>
  <c r="BP333" i="1" l="1"/>
  <c r="BO333" i="1"/>
  <c r="BN333" i="1"/>
  <c r="AW333" i="1"/>
  <c r="BP332" i="1" l="1"/>
  <c r="BO332" i="1"/>
  <c r="BN332" i="1"/>
  <c r="AW332" i="1"/>
  <c r="BP331" i="1" l="1"/>
  <c r="BO331" i="1"/>
  <c r="BN331" i="1"/>
  <c r="AW331" i="1"/>
  <c r="BP330" i="1" l="1"/>
  <c r="BO330" i="1"/>
  <c r="BN330" i="1"/>
  <c r="AW330" i="1"/>
  <c r="BP329" i="1" l="1"/>
  <c r="BO329" i="1"/>
  <c r="BN329" i="1"/>
  <c r="AW329" i="1"/>
  <c r="BP328" i="1" l="1"/>
  <c r="BO328" i="1"/>
  <c r="BN328" i="1"/>
  <c r="AW328" i="1"/>
  <c r="BP327" i="1" l="1"/>
  <c r="BO327" i="1"/>
  <c r="BN327" i="1"/>
  <c r="AW327" i="1"/>
  <c r="BP326" i="1" l="1"/>
  <c r="BO326" i="1"/>
  <c r="BN326" i="1"/>
  <c r="AW326" i="1"/>
  <c r="BP325" i="1" l="1"/>
  <c r="BO325" i="1"/>
  <c r="BN325" i="1"/>
  <c r="AW325" i="1"/>
  <c r="BP324" i="1" l="1"/>
  <c r="BO324" i="1"/>
  <c r="BN324" i="1"/>
  <c r="AW324" i="1"/>
  <c r="BP323" i="1" l="1"/>
  <c r="BO323" i="1"/>
  <c r="BN323" i="1"/>
  <c r="AW323" i="1"/>
  <c r="BP322" i="1" l="1"/>
  <c r="BO322" i="1"/>
  <c r="BN322" i="1"/>
  <c r="AW322" i="1"/>
  <c r="BP321" i="1" l="1"/>
  <c r="BO321" i="1"/>
  <c r="BN321" i="1"/>
  <c r="AW321" i="1"/>
  <c r="BP320" i="1" l="1"/>
  <c r="BO320" i="1"/>
  <c r="BN320" i="1"/>
  <c r="AW320" i="1"/>
  <c r="BP319" i="1" l="1"/>
  <c r="BO319" i="1"/>
  <c r="BN319" i="1"/>
  <c r="AW319" i="1"/>
  <c r="BP318" i="1" l="1"/>
  <c r="BO318" i="1"/>
  <c r="BN318" i="1"/>
  <c r="AW318" i="1"/>
  <c r="BP317" i="1" l="1"/>
  <c r="BO317" i="1"/>
  <c r="BN317" i="1"/>
  <c r="AW317" i="1"/>
  <c r="BP316" i="1" l="1"/>
  <c r="BO316" i="1"/>
  <c r="BN316" i="1"/>
  <c r="AW316" i="1"/>
  <c r="BP315" i="1" l="1"/>
  <c r="BO315" i="1"/>
  <c r="BN315" i="1"/>
  <c r="AW315" i="1"/>
  <c r="BP314" i="1" l="1"/>
  <c r="BO314" i="1"/>
  <c r="BN314" i="1"/>
  <c r="AW314" i="1"/>
  <c r="BP313" i="1" l="1"/>
  <c r="BO313" i="1"/>
  <c r="BN313" i="1"/>
  <c r="AW313" i="1"/>
  <c r="BP312" i="1" l="1"/>
  <c r="BO312" i="1"/>
  <c r="BN312" i="1"/>
  <c r="AW312" i="1"/>
  <c r="BP311" i="1" l="1"/>
  <c r="BO311" i="1"/>
  <c r="BN311" i="1"/>
  <c r="AW311" i="1"/>
  <c r="BP310" i="1" l="1"/>
  <c r="BO310" i="1"/>
  <c r="BN310" i="1"/>
  <c r="AW310" i="1"/>
  <c r="BP309" i="1" l="1"/>
  <c r="BO309" i="1"/>
  <c r="BN309" i="1"/>
  <c r="AW309" i="1"/>
  <c r="BP308" i="1" l="1"/>
  <c r="BO308" i="1"/>
  <c r="BN308" i="1"/>
  <c r="AW308" i="1"/>
  <c r="BP307" i="1" l="1"/>
  <c r="BO307" i="1"/>
  <c r="BN307" i="1"/>
  <c r="AW307" i="1"/>
  <c r="BP306" i="1" l="1"/>
  <c r="BO306" i="1"/>
  <c r="BN306" i="1"/>
  <c r="AW306" i="1"/>
  <c r="BP305" i="1" l="1"/>
  <c r="BO305" i="1"/>
  <c r="BN305" i="1"/>
  <c r="AW305" i="1"/>
  <c r="BP304" i="1" l="1"/>
  <c r="BO304" i="1"/>
  <c r="BN304" i="1"/>
  <c r="AW304" i="1"/>
  <c r="BP303" i="1" l="1"/>
  <c r="BO303" i="1"/>
  <c r="BN303" i="1"/>
  <c r="AW303" i="1"/>
  <c r="BP302" i="1" l="1"/>
  <c r="BO302" i="1"/>
  <c r="BN302" i="1"/>
  <c r="AW302" i="1"/>
  <c r="BP301" i="1" l="1"/>
  <c r="BO301" i="1"/>
  <c r="BN301" i="1"/>
  <c r="AW301" i="1"/>
  <c r="BP300" i="1" l="1"/>
  <c r="BO300" i="1"/>
  <c r="BN300" i="1"/>
  <c r="AW300" i="1"/>
  <c r="BP299" i="1" l="1"/>
  <c r="BO299" i="1"/>
  <c r="BN299" i="1"/>
  <c r="AW299" i="1"/>
  <c r="BP298" i="1" l="1"/>
  <c r="BO298" i="1"/>
  <c r="BN298" i="1"/>
  <c r="AW298" i="1"/>
  <c r="BP297" i="1" l="1"/>
  <c r="BO297" i="1"/>
  <c r="BN297" i="1"/>
  <c r="AW297" i="1"/>
  <c r="BP296" i="1" l="1"/>
  <c r="BO296" i="1"/>
  <c r="BN296" i="1"/>
  <c r="AW296" i="1"/>
  <c r="BP295" i="1" l="1"/>
  <c r="BO295" i="1"/>
  <c r="BN295" i="1"/>
  <c r="AW295" i="1"/>
  <c r="BP294" i="1" l="1"/>
  <c r="BO294" i="1"/>
  <c r="BN294" i="1"/>
  <c r="AW294" i="1"/>
  <c r="BP293" i="1" l="1"/>
  <c r="BO293" i="1"/>
  <c r="BN293" i="1"/>
  <c r="AW293" i="1"/>
  <c r="BP292" i="1" l="1"/>
  <c r="BO292" i="1"/>
  <c r="BN292" i="1"/>
  <c r="AW292" i="1"/>
  <c r="BP291" i="1" l="1"/>
  <c r="BO291" i="1"/>
  <c r="BN291" i="1"/>
  <c r="AW291" i="1"/>
  <c r="BP290" i="1" l="1"/>
  <c r="BO290" i="1"/>
  <c r="BN290" i="1"/>
  <c r="AW290" i="1"/>
  <c r="BP289" i="1" l="1"/>
  <c r="BO289" i="1"/>
  <c r="BN289" i="1"/>
  <c r="AW289" i="1"/>
  <c r="BP288" i="1" l="1"/>
  <c r="BO288" i="1"/>
  <c r="BN288" i="1"/>
  <c r="AW288" i="1"/>
  <c r="BP287" i="1" l="1"/>
  <c r="BO287" i="1"/>
  <c r="BN287" i="1"/>
  <c r="AW287" i="1"/>
  <c r="BP286" i="1" l="1"/>
  <c r="BO286" i="1"/>
  <c r="BN286" i="1"/>
  <c r="AW286" i="1"/>
  <c r="BP285" i="1" l="1"/>
  <c r="BO285" i="1"/>
  <c r="BN285" i="1"/>
  <c r="AW285" i="1"/>
  <c r="BP284" i="1" l="1"/>
  <c r="BO284" i="1"/>
  <c r="BN284" i="1"/>
  <c r="AW284" i="1"/>
  <c r="BP283" i="1" l="1"/>
  <c r="BO283" i="1"/>
  <c r="BN283" i="1"/>
  <c r="AW283" i="1"/>
  <c r="BP282" i="1" l="1"/>
  <c r="BO282" i="1"/>
  <c r="BN282" i="1"/>
  <c r="AW282" i="1"/>
  <c r="BP281" i="1" l="1"/>
  <c r="BO281" i="1"/>
  <c r="BN281" i="1"/>
  <c r="AW281" i="1"/>
  <c r="BP280" i="1" l="1"/>
  <c r="BO280" i="1"/>
  <c r="BN280" i="1"/>
  <c r="AW280" i="1"/>
  <c r="BP279" i="1" l="1"/>
  <c r="BO279" i="1"/>
  <c r="BN279" i="1"/>
  <c r="AW279" i="1"/>
  <c r="BP278" i="1" l="1"/>
  <c r="BO278" i="1"/>
  <c r="BN278" i="1"/>
  <c r="AW278" i="1"/>
  <c r="BP277" i="1" l="1"/>
  <c r="BO277" i="1"/>
  <c r="BN277" i="1"/>
  <c r="AW277" i="1"/>
  <c r="BP276" i="1" l="1"/>
  <c r="BO276" i="1"/>
  <c r="BN276" i="1"/>
  <c r="AW276" i="1"/>
  <c r="BP275" i="1" l="1"/>
  <c r="BO275" i="1"/>
  <c r="BN275" i="1"/>
  <c r="AW275" i="1"/>
  <c r="BP274" i="1" l="1"/>
  <c r="BO274" i="1"/>
  <c r="BN274" i="1"/>
  <c r="AW274" i="1"/>
  <c r="BP273" i="1" l="1"/>
  <c r="BO273" i="1"/>
  <c r="BN273" i="1"/>
  <c r="AW273" i="1"/>
  <c r="BP272" i="1" l="1"/>
  <c r="BO272" i="1"/>
  <c r="BN272" i="1"/>
  <c r="AW272" i="1"/>
  <c r="BP271" i="1" l="1"/>
  <c r="BO271" i="1"/>
  <c r="BN271" i="1"/>
  <c r="AW271" i="1"/>
  <c r="BP270" i="1" l="1"/>
  <c r="BO270" i="1"/>
  <c r="BN270" i="1"/>
  <c r="AW270" i="1"/>
  <c r="BP269" i="1" l="1"/>
  <c r="BO269" i="1"/>
  <c r="BN269" i="1"/>
  <c r="AW269" i="1"/>
  <c r="BP268" i="1" l="1"/>
  <c r="BO268" i="1"/>
  <c r="BN268" i="1"/>
  <c r="AW268" i="1"/>
  <c r="BP267" i="1" l="1"/>
  <c r="BO267" i="1"/>
  <c r="BN267" i="1"/>
  <c r="AW267" i="1"/>
  <c r="BP266" i="1" l="1"/>
  <c r="BO266" i="1"/>
  <c r="BN266" i="1"/>
  <c r="AW266" i="1"/>
  <c r="BP265" i="1" l="1"/>
  <c r="BO265" i="1"/>
  <c r="BN265" i="1"/>
  <c r="AW265" i="1"/>
  <c r="BP264" i="1" l="1"/>
  <c r="BO264" i="1"/>
  <c r="BN264" i="1"/>
  <c r="AW264" i="1"/>
  <c r="BP263" i="1" l="1"/>
  <c r="BO263" i="1"/>
  <c r="BN263" i="1"/>
  <c r="AW263" i="1"/>
  <c r="BP262" i="1" l="1"/>
  <c r="BO262" i="1"/>
  <c r="BN262" i="1"/>
  <c r="AW262" i="1"/>
  <c r="BP261" i="1" l="1"/>
  <c r="BO261" i="1"/>
  <c r="BN261" i="1"/>
  <c r="AW261" i="1"/>
  <c r="BP260" i="1" l="1"/>
  <c r="BO260" i="1"/>
  <c r="BN260" i="1"/>
  <c r="AW260" i="1"/>
  <c r="BP259" i="1" l="1"/>
  <c r="BO259" i="1"/>
  <c r="BN259" i="1"/>
  <c r="AW259" i="1"/>
  <c r="BP258" i="1" l="1"/>
  <c r="BO258" i="1"/>
  <c r="BN258" i="1"/>
  <c r="AW258" i="1"/>
  <c r="BP257" i="1" l="1"/>
  <c r="BO257" i="1"/>
  <c r="BN257" i="1"/>
  <c r="AW257" i="1"/>
  <c r="BP256" i="1" l="1"/>
  <c r="BO256" i="1"/>
  <c r="BN256" i="1"/>
  <c r="AW256" i="1"/>
  <c r="BP255" i="1" l="1"/>
  <c r="BO255" i="1"/>
  <c r="BN255" i="1"/>
  <c r="AW255" i="1"/>
  <c r="BP254" i="1" l="1"/>
  <c r="BO254" i="1"/>
  <c r="BN254" i="1"/>
  <c r="AW254" i="1"/>
  <c r="BP253" i="1" l="1"/>
  <c r="BO253" i="1"/>
  <c r="BN253" i="1"/>
  <c r="AW253" i="1"/>
  <c r="BP252" i="1" l="1"/>
  <c r="BO252" i="1"/>
  <c r="BN252" i="1"/>
  <c r="AW252" i="1"/>
  <c r="BP251" i="1" l="1"/>
  <c r="BO251" i="1"/>
  <c r="BN251" i="1"/>
  <c r="AW251" i="1"/>
  <c r="BP250" i="1" l="1"/>
  <c r="BO250" i="1"/>
  <c r="BN250" i="1"/>
  <c r="AW250" i="1"/>
  <c r="BP249" i="1" l="1"/>
  <c r="BO249" i="1"/>
  <c r="BN249" i="1"/>
  <c r="AW249" i="1"/>
  <c r="BP248" i="1" l="1"/>
  <c r="BO248" i="1"/>
  <c r="BN248" i="1"/>
  <c r="AW248" i="1"/>
  <c r="BP247" i="1" l="1"/>
  <c r="BO247" i="1"/>
  <c r="BN247" i="1"/>
  <c r="AW247" i="1"/>
  <c r="BP246" i="1" l="1"/>
  <c r="BO246" i="1"/>
  <c r="BN246" i="1"/>
  <c r="AW246" i="1"/>
  <c r="BP245" i="1" l="1"/>
  <c r="BO245" i="1"/>
  <c r="BN245" i="1"/>
  <c r="AW245" i="1"/>
  <c r="BP244" i="1" l="1"/>
  <c r="BO244" i="1"/>
  <c r="BN244" i="1"/>
  <c r="AW244" i="1"/>
  <c r="BP243" i="1" l="1"/>
  <c r="BO243" i="1"/>
  <c r="BN243" i="1"/>
  <c r="AW243" i="1"/>
  <c r="BP242" i="1" l="1"/>
  <c r="BO242" i="1"/>
  <c r="BN242" i="1"/>
  <c r="AW242" i="1"/>
  <c r="BP241" i="1" l="1"/>
  <c r="BO241" i="1"/>
  <c r="BN241" i="1"/>
  <c r="AW241" i="1"/>
  <c r="BP240" i="1" l="1"/>
  <c r="BO240" i="1"/>
  <c r="BN240" i="1"/>
  <c r="AW240" i="1"/>
  <c r="BP239" i="1" l="1"/>
  <c r="BO239" i="1"/>
  <c r="BN239" i="1"/>
  <c r="AW239" i="1"/>
  <c r="BP238" i="1" l="1"/>
  <c r="BO238" i="1"/>
  <c r="BN238" i="1"/>
  <c r="AW238" i="1"/>
  <c r="BP237" i="1" l="1"/>
  <c r="BO237" i="1"/>
  <c r="BN237" i="1"/>
  <c r="AW237" i="1"/>
  <c r="BP236" i="1" l="1"/>
  <c r="BO236" i="1"/>
  <c r="BN236" i="1"/>
  <c r="AW236" i="1"/>
  <c r="BP235" i="1" l="1"/>
  <c r="BO235" i="1"/>
  <c r="BN235" i="1"/>
  <c r="AW235" i="1"/>
  <c r="BP234" i="1" l="1"/>
  <c r="BO234" i="1"/>
  <c r="BN234" i="1"/>
  <c r="AW234" i="1"/>
  <c r="BP233" i="1" l="1"/>
  <c r="BO233" i="1"/>
  <c r="BN233" i="1"/>
  <c r="AW233" i="1"/>
  <c r="BP232" i="1" l="1"/>
  <c r="BO232" i="1"/>
  <c r="BN232" i="1"/>
  <c r="AW232" i="1"/>
  <c r="BP231" i="1" l="1"/>
  <c r="BO231" i="1"/>
  <c r="BN231" i="1"/>
  <c r="AW231" i="1"/>
  <c r="BP230" i="1" l="1"/>
  <c r="BO230" i="1"/>
  <c r="BN230" i="1"/>
  <c r="AW230" i="1"/>
  <c r="BP229" i="1" l="1"/>
  <c r="BO229" i="1"/>
  <c r="BN229" i="1"/>
  <c r="AW229" i="1"/>
  <c r="BP228" i="1" l="1"/>
  <c r="BO228" i="1"/>
  <c r="BN228" i="1"/>
  <c r="AW228" i="1"/>
  <c r="BP227" i="1" l="1"/>
  <c r="BO227" i="1"/>
  <c r="BN227" i="1"/>
  <c r="AW227" i="1"/>
  <c r="BP226" i="1" l="1"/>
  <c r="BO226" i="1"/>
  <c r="BN226" i="1"/>
  <c r="AW226" i="1"/>
  <c r="BP225" i="1" l="1"/>
  <c r="BO225" i="1"/>
  <c r="BN225" i="1"/>
  <c r="AW225" i="1"/>
  <c r="BP224" i="1" l="1"/>
  <c r="BO224" i="1"/>
  <c r="BN224" i="1"/>
  <c r="AW224" i="1"/>
  <c r="BP223" i="1" l="1"/>
  <c r="BO223" i="1"/>
  <c r="BN223" i="1"/>
  <c r="AW223" i="1"/>
  <c r="BP222" i="1" l="1"/>
  <c r="BO222" i="1"/>
  <c r="BN222" i="1"/>
  <c r="AW222" i="1"/>
  <c r="BP221" i="1" l="1"/>
  <c r="BO221" i="1"/>
  <c r="BN221" i="1"/>
  <c r="AW221" i="1"/>
  <c r="BP220" i="1" l="1"/>
  <c r="BO220" i="1"/>
  <c r="BN220" i="1"/>
  <c r="AW220" i="1"/>
  <c r="BP219" i="1" l="1"/>
  <c r="BO219" i="1"/>
  <c r="BN219" i="1"/>
  <c r="AW219" i="1"/>
  <c r="BP218" i="1" l="1"/>
  <c r="BO218" i="1"/>
  <c r="BN218" i="1"/>
  <c r="AW218" i="1"/>
  <c r="BP217" i="1" l="1"/>
  <c r="BO217" i="1"/>
  <c r="BN217" i="1"/>
  <c r="AW217" i="1"/>
  <c r="BP216" i="1" l="1"/>
  <c r="BO216" i="1"/>
  <c r="BN216" i="1"/>
  <c r="AW216" i="1"/>
  <c r="BP215" i="1" l="1"/>
  <c r="BO215" i="1"/>
  <c r="BN215" i="1"/>
  <c r="AW215" i="1"/>
  <c r="BP214" i="1" l="1"/>
  <c r="BO214" i="1"/>
  <c r="BN214" i="1"/>
  <c r="AW214" i="1"/>
  <c r="BP213" i="1" l="1"/>
  <c r="BO213" i="1"/>
  <c r="BN213" i="1"/>
  <c r="AW213" i="1"/>
  <c r="BP212" i="1" l="1"/>
  <c r="BO212" i="1"/>
  <c r="BN212" i="1"/>
  <c r="AW212" i="1"/>
  <c r="BP211" i="1" l="1"/>
  <c r="BO211" i="1"/>
  <c r="BN211" i="1"/>
  <c r="AW211" i="1"/>
  <c r="BP210" i="1" l="1"/>
  <c r="BO210" i="1"/>
  <c r="BN210" i="1"/>
  <c r="AW210" i="1"/>
  <c r="BP209" i="1" l="1"/>
  <c r="BO209" i="1"/>
  <c r="BN209" i="1"/>
  <c r="AW209" i="1"/>
  <c r="BP208" i="1" l="1"/>
  <c r="BO208" i="1"/>
  <c r="BN208" i="1"/>
  <c r="AW208" i="1"/>
  <c r="BP207" i="1" l="1"/>
  <c r="BO207" i="1"/>
  <c r="BN207" i="1"/>
  <c r="AW207" i="1"/>
  <c r="BP206" i="1" l="1"/>
  <c r="BO206" i="1"/>
  <c r="BN206" i="1"/>
  <c r="AW206" i="1"/>
  <c r="BP205" i="1" l="1"/>
  <c r="BO205" i="1"/>
  <c r="BN205" i="1"/>
  <c r="AW205" i="1"/>
  <c r="BP204" i="1" l="1"/>
  <c r="BO204" i="1"/>
  <c r="BN204" i="1"/>
  <c r="AW204" i="1"/>
  <c r="BP203" i="1" l="1"/>
  <c r="BO203" i="1"/>
  <c r="BN203" i="1"/>
  <c r="AW203" i="1"/>
  <c r="BP202" i="1" l="1"/>
  <c r="BO202" i="1"/>
  <c r="BN202" i="1"/>
  <c r="AW202" i="1"/>
  <c r="BP201" i="1" l="1"/>
  <c r="BO201" i="1"/>
  <c r="BN201" i="1"/>
  <c r="AW201" i="1"/>
  <c r="BP200" i="1" l="1"/>
  <c r="BO200" i="1"/>
  <c r="BN200" i="1"/>
  <c r="AW200" i="1"/>
  <c r="BP199" i="1" l="1"/>
  <c r="BO199" i="1"/>
  <c r="BN199" i="1"/>
  <c r="AW199" i="1"/>
  <c r="BP198" i="1" l="1"/>
  <c r="BO198" i="1"/>
  <c r="BN198" i="1"/>
  <c r="AW198" i="1"/>
  <c r="BP197" i="1" l="1"/>
  <c r="BO197" i="1"/>
  <c r="BN197" i="1"/>
  <c r="AW197" i="1"/>
  <c r="BP196" i="1" l="1"/>
  <c r="BO196" i="1"/>
  <c r="BN196" i="1"/>
  <c r="AW196" i="1"/>
  <c r="BP195" i="1" l="1"/>
  <c r="BO195" i="1"/>
  <c r="BN195" i="1"/>
  <c r="AW195" i="1"/>
  <c r="BP194" i="1" l="1"/>
  <c r="BO194" i="1"/>
  <c r="BN194" i="1"/>
  <c r="AW194" i="1"/>
  <c r="BP193" i="1" l="1"/>
  <c r="BO193" i="1"/>
  <c r="BN193" i="1"/>
  <c r="AW193" i="1"/>
  <c r="BP192" i="1" l="1"/>
  <c r="BO192" i="1"/>
  <c r="BN192" i="1"/>
  <c r="AW192" i="1"/>
  <c r="BP191" i="1" l="1"/>
  <c r="BO191" i="1"/>
  <c r="BN191" i="1"/>
  <c r="AW191" i="1"/>
  <c r="BP190" i="1" l="1"/>
  <c r="BO190" i="1"/>
  <c r="BN190" i="1"/>
  <c r="AW190" i="1"/>
  <c r="BP189" i="1" l="1"/>
  <c r="BO189" i="1"/>
  <c r="BN189" i="1"/>
  <c r="AW189" i="1"/>
  <c r="BP188" i="1" l="1"/>
  <c r="BO188" i="1"/>
  <c r="BN188" i="1"/>
  <c r="AW188" i="1"/>
  <c r="BP187" i="1" l="1"/>
  <c r="BO187" i="1"/>
  <c r="BN187" i="1"/>
  <c r="AW187" i="1"/>
  <c r="BP186" i="1" l="1"/>
  <c r="BO186" i="1"/>
  <c r="BN186" i="1"/>
  <c r="AW186" i="1"/>
  <c r="BP185" i="1" l="1"/>
  <c r="BO185" i="1"/>
  <c r="BN185" i="1"/>
  <c r="AW185" i="1"/>
  <c r="BP184" i="1" l="1"/>
  <c r="BO184" i="1"/>
  <c r="BN184" i="1"/>
  <c r="AW184" i="1"/>
  <c r="BP183" i="1" l="1"/>
  <c r="BO183" i="1"/>
  <c r="BN183" i="1"/>
  <c r="AW183" i="1"/>
  <c r="BP182" i="1" l="1"/>
  <c r="BO182" i="1"/>
  <c r="BN182" i="1"/>
  <c r="AW182" i="1"/>
  <c r="BP181" i="1" l="1"/>
  <c r="BO181" i="1"/>
  <c r="BN181" i="1"/>
  <c r="AW181" i="1"/>
  <c r="BP180" i="1" l="1"/>
  <c r="BO180" i="1"/>
  <c r="BN180" i="1"/>
  <c r="AW180" i="1"/>
  <c r="BP179" i="1" l="1"/>
  <c r="BO179" i="1"/>
  <c r="BN179" i="1"/>
  <c r="AW179" i="1"/>
  <c r="BP178" i="1" l="1"/>
  <c r="BO178" i="1"/>
  <c r="BN178" i="1"/>
  <c r="AW178" i="1"/>
  <c r="BP177" i="1" l="1"/>
  <c r="BO177" i="1"/>
  <c r="BN177" i="1"/>
  <c r="AW177" i="1"/>
  <c r="BP176" i="1" l="1"/>
  <c r="BO176" i="1"/>
  <c r="BN176" i="1"/>
  <c r="AW176" i="1"/>
  <c r="BP175" i="1" l="1"/>
  <c r="BO175" i="1"/>
  <c r="BN175" i="1"/>
  <c r="AW175" i="1"/>
  <c r="BP174" i="1" l="1"/>
  <c r="BO174" i="1"/>
  <c r="BN174" i="1"/>
  <c r="AW174" i="1"/>
  <c r="BP173" i="1" l="1"/>
  <c r="BO173" i="1"/>
  <c r="BN173" i="1"/>
  <c r="AW173" i="1"/>
  <c r="BP172" i="1" l="1"/>
  <c r="BO172" i="1"/>
  <c r="BN172" i="1"/>
  <c r="AW172" i="1"/>
  <c r="BP171" i="1" l="1"/>
  <c r="BO171" i="1"/>
  <c r="BN171" i="1"/>
  <c r="AW171" i="1"/>
  <c r="BP170" i="1" l="1"/>
  <c r="BO170" i="1"/>
  <c r="BN170" i="1"/>
  <c r="AW170" i="1"/>
  <c r="BP169" i="1" l="1"/>
  <c r="BO169" i="1"/>
  <c r="BN169" i="1"/>
  <c r="AW169" i="1"/>
  <c r="BP168" i="1" l="1"/>
  <c r="BO168" i="1"/>
  <c r="BN168" i="1"/>
  <c r="AW168" i="1"/>
  <c r="BP167" i="1" l="1"/>
  <c r="BO167" i="1"/>
  <c r="BN167" i="1"/>
  <c r="AW167" i="1"/>
  <c r="BP166" i="1" l="1"/>
  <c r="BO166" i="1"/>
  <c r="BN166" i="1"/>
  <c r="AW166" i="1"/>
  <c r="BP165" i="1" l="1"/>
  <c r="BO165" i="1"/>
  <c r="BN165" i="1"/>
  <c r="AW165" i="1"/>
  <c r="BP164" i="1" l="1"/>
  <c r="BO164" i="1"/>
  <c r="BN164" i="1"/>
  <c r="AW164" i="1"/>
  <c r="BP163" i="1" l="1"/>
  <c r="BO163" i="1"/>
  <c r="BN163" i="1"/>
  <c r="AW163" i="1"/>
  <c r="BP162" i="1" l="1"/>
  <c r="BO162" i="1"/>
  <c r="BN162" i="1"/>
  <c r="AW162" i="1"/>
  <c r="BP161" i="1" l="1"/>
  <c r="BO161" i="1"/>
  <c r="BN161" i="1"/>
  <c r="AW161" i="1"/>
  <c r="BP160" i="1" l="1"/>
  <c r="BO160" i="1"/>
  <c r="BN160" i="1"/>
  <c r="AW160" i="1"/>
  <c r="BP159" i="1" l="1"/>
  <c r="BO159" i="1"/>
  <c r="BN159" i="1"/>
  <c r="AW159" i="1"/>
  <c r="BP158" i="1" l="1"/>
  <c r="BO158" i="1"/>
  <c r="BN158" i="1"/>
  <c r="AW158" i="1"/>
  <c r="BP157" i="1" l="1"/>
  <c r="BO157" i="1"/>
  <c r="BN157" i="1"/>
  <c r="AW157" i="1"/>
  <c r="BP156" i="1" l="1"/>
  <c r="BO156" i="1"/>
  <c r="BN156" i="1"/>
  <c r="AW156" i="1"/>
  <c r="BP155" i="1" l="1"/>
  <c r="BO155" i="1"/>
  <c r="BN155" i="1"/>
  <c r="AW155" i="1"/>
  <c r="BP154" i="1" l="1"/>
  <c r="BO154" i="1"/>
  <c r="BN154" i="1"/>
  <c r="AW154" i="1"/>
  <c r="BP153" i="1" l="1"/>
  <c r="BO153" i="1"/>
  <c r="BN153" i="1"/>
  <c r="AW153" i="1"/>
  <c r="BP152" i="1" l="1"/>
  <c r="BO152" i="1"/>
  <c r="BN152" i="1"/>
  <c r="AW152" i="1"/>
  <c r="BP151" i="1" l="1"/>
  <c r="BO151" i="1"/>
  <c r="BN151" i="1"/>
  <c r="AW151" i="1"/>
  <c r="BP150" i="1" l="1"/>
  <c r="BO150" i="1"/>
  <c r="BN150" i="1"/>
  <c r="AW150" i="1"/>
  <c r="BP149" i="1" l="1"/>
  <c r="BO149" i="1"/>
  <c r="BN149" i="1"/>
  <c r="AW149" i="1"/>
  <c r="BP148" i="1" l="1"/>
  <c r="BO148" i="1"/>
  <c r="BN148" i="1"/>
  <c r="AW148" i="1"/>
  <c r="BP147" i="1" l="1"/>
  <c r="BO147" i="1"/>
  <c r="BN147" i="1"/>
  <c r="AW147" i="1"/>
  <c r="BP146" i="1" l="1"/>
  <c r="BO146" i="1"/>
  <c r="BN146" i="1"/>
  <c r="AW146" i="1"/>
  <c r="BP145" i="1" l="1"/>
  <c r="BO145" i="1"/>
  <c r="BN145" i="1"/>
  <c r="AW145" i="1"/>
  <c r="BP144" i="1" l="1"/>
  <c r="BO144" i="1"/>
  <c r="BN144" i="1"/>
  <c r="AW144" i="1"/>
  <c r="BP143" i="1" l="1"/>
  <c r="BO143" i="1"/>
  <c r="BN143" i="1"/>
  <c r="AW143" i="1"/>
  <c r="BP142" i="1" l="1"/>
  <c r="BO142" i="1"/>
  <c r="BN142" i="1"/>
  <c r="AW142" i="1"/>
  <c r="BP141" i="1" l="1"/>
  <c r="BO141" i="1"/>
  <c r="BN141" i="1"/>
  <c r="AW141" i="1"/>
  <c r="BP140" i="1" l="1"/>
  <c r="BO140" i="1"/>
  <c r="BN140" i="1"/>
  <c r="AW140" i="1"/>
  <c r="BP139" i="1" l="1"/>
  <c r="BO139" i="1"/>
  <c r="BN139" i="1"/>
  <c r="AW139" i="1"/>
  <c r="BP138" i="1" l="1"/>
  <c r="BO138" i="1"/>
  <c r="BN138" i="1"/>
  <c r="AW138" i="1"/>
  <c r="BP137" i="1" l="1"/>
  <c r="BO137" i="1"/>
  <c r="BN137" i="1"/>
  <c r="AW137" i="1"/>
  <c r="BP136" i="1" l="1"/>
  <c r="BO136" i="1"/>
  <c r="BN136" i="1"/>
  <c r="AW136" i="1"/>
  <c r="BP135" i="1" l="1"/>
  <c r="BO135" i="1"/>
  <c r="BN135" i="1"/>
  <c r="AW135" i="1"/>
  <c r="BP134" i="1" l="1"/>
  <c r="BO134" i="1"/>
  <c r="BN134" i="1"/>
  <c r="AW134" i="1"/>
  <c r="BP133" i="1" l="1"/>
  <c r="BO133" i="1"/>
  <c r="BN133" i="1"/>
  <c r="AW133" i="1"/>
  <c r="BP132" i="1" l="1"/>
  <c r="BO132" i="1"/>
  <c r="BN132" i="1"/>
  <c r="AW132" i="1"/>
  <c r="BP131" i="1" l="1"/>
  <c r="BO131" i="1"/>
  <c r="BN131" i="1"/>
  <c r="AW131" i="1"/>
  <c r="BP130" i="1" l="1"/>
  <c r="BO130" i="1"/>
  <c r="BN130" i="1"/>
  <c r="AW130" i="1"/>
  <c r="BP129" i="1" l="1"/>
  <c r="BO129" i="1"/>
  <c r="BN129" i="1"/>
  <c r="AW129" i="1"/>
  <c r="BP128" i="1" l="1"/>
  <c r="BO128" i="1"/>
  <c r="BN128" i="1"/>
  <c r="AW128" i="1"/>
  <c r="BP127" i="1" l="1"/>
  <c r="BO127" i="1"/>
  <c r="BN127" i="1"/>
  <c r="AW127" i="1"/>
  <c r="BP126" i="1" l="1"/>
  <c r="BO126" i="1"/>
  <c r="BN126" i="1"/>
  <c r="AW126" i="1"/>
  <c r="BP125" i="1" l="1"/>
  <c r="BO125" i="1"/>
  <c r="BN125" i="1"/>
  <c r="AW125" i="1"/>
  <c r="BP124" i="1" l="1"/>
  <c r="BO124" i="1"/>
  <c r="BN124" i="1"/>
  <c r="AW124" i="1"/>
  <c r="BP123" i="1" l="1"/>
  <c r="BO123" i="1"/>
  <c r="BN123" i="1"/>
  <c r="AW123" i="1"/>
  <c r="BP122" i="1" l="1"/>
  <c r="BO122" i="1"/>
  <c r="BN122" i="1"/>
  <c r="AW122" i="1"/>
  <c r="BP121" i="1" l="1"/>
  <c r="BO121" i="1"/>
  <c r="BN121" i="1"/>
  <c r="AW121" i="1"/>
  <c r="BP120" i="1" l="1"/>
  <c r="BO120" i="1"/>
  <c r="BN120" i="1"/>
  <c r="AW120" i="1"/>
  <c r="BP119" i="1" l="1"/>
  <c r="BO119" i="1"/>
  <c r="BN119" i="1"/>
  <c r="AW119" i="1"/>
  <c r="BP118" i="1" l="1"/>
  <c r="BO118" i="1"/>
  <c r="BN118" i="1"/>
  <c r="AW118" i="1"/>
  <c r="BP117" i="1" l="1"/>
  <c r="BO117" i="1"/>
  <c r="BN117" i="1"/>
  <c r="AW117" i="1"/>
  <c r="BP116" i="1" l="1"/>
  <c r="BO116" i="1"/>
  <c r="BN116" i="1"/>
  <c r="AW116" i="1"/>
  <c r="BP115" i="1" l="1"/>
  <c r="BO115" i="1"/>
  <c r="BN115" i="1"/>
  <c r="AW115" i="1"/>
  <c r="BP114" i="1" l="1"/>
  <c r="BO114" i="1"/>
  <c r="BN114" i="1"/>
  <c r="AW114" i="1"/>
  <c r="BP113" i="1" l="1"/>
  <c r="BO113" i="1"/>
  <c r="BN113" i="1"/>
  <c r="AW113" i="1"/>
  <c r="BP112" i="1" l="1"/>
  <c r="BO112" i="1"/>
  <c r="BN112" i="1"/>
  <c r="AW112" i="1"/>
  <c r="BP111" i="1" l="1"/>
  <c r="BO111" i="1"/>
  <c r="BN111" i="1"/>
  <c r="AW111" i="1"/>
  <c r="BP110" i="1" l="1"/>
  <c r="BO110" i="1"/>
  <c r="BN110" i="1"/>
  <c r="AW110" i="1"/>
  <c r="BP109" i="1" l="1"/>
  <c r="BO109" i="1"/>
  <c r="BN109" i="1"/>
  <c r="AW109" i="1"/>
  <c r="BP108" i="1" l="1"/>
  <c r="BO108" i="1"/>
  <c r="BN108" i="1"/>
  <c r="AW108" i="1"/>
  <c r="BP107" i="1" l="1"/>
  <c r="BO107" i="1"/>
  <c r="BN107" i="1"/>
  <c r="AW107" i="1"/>
  <c r="BP106" i="1" l="1"/>
  <c r="BO106" i="1"/>
  <c r="BN106" i="1"/>
  <c r="AW106" i="1"/>
  <c r="BP105" i="1" l="1"/>
  <c r="BO105" i="1"/>
  <c r="BN105" i="1"/>
  <c r="AW105" i="1"/>
  <c r="BP104" i="1" l="1"/>
  <c r="BO104" i="1"/>
  <c r="BN104" i="1"/>
  <c r="AW104" i="1"/>
  <c r="BP103" i="1" l="1"/>
  <c r="BO103" i="1"/>
  <c r="BN103" i="1"/>
  <c r="AW103" i="1"/>
  <c r="BP102" i="1" l="1"/>
  <c r="BO102" i="1"/>
  <c r="BN102" i="1"/>
  <c r="AW102" i="1"/>
  <c r="BP101" i="1" l="1"/>
  <c r="BO101" i="1"/>
  <c r="BN101" i="1"/>
  <c r="AW101" i="1"/>
  <c r="BP100" i="1" l="1"/>
  <c r="BO100" i="1"/>
  <c r="BN100" i="1"/>
  <c r="AW100" i="1"/>
  <c r="BP99" i="1" l="1"/>
  <c r="BO99" i="1"/>
  <c r="BN99" i="1"/>
  <c r="AW99" i="1"/>
  <c r="BP98" i="1" l="1"/>
  <c r="BO98" i="1"/>
  <c r="BN98" i="1"/>
  <c r="AW98" i="1"/>
  <c r="BP97" i="1" l="1"/>
  <c r="BO97" i="1"/>
  <c r="BN97" i="1"/>
  <c r="AW97" i="1"/>
  <c r="BP96" i="1" l="1"/>
  <c r="BO96" i="1"/>
  <c r="BN96" i="1"/>
  <c r="AW96" i="1"/>
  <c r="BP95" i="1" l="1"/>
  <c r="BO95" i="1"/>
  <c r="BN95" i="1"/>
  <c r="AW95" i="1"/>
  <c r="BP94" i="1" l="1"/>
  <c r="BO94" i="1"/>
  <c r="BN94" i="1"/>
  <c r="AW94" i="1"/>
  <c r="BP93" i="1" l="1"/>
  <c r="BO93" i="1"/>
  <c r="BN93" i="1"/>
  <c r="AW93" i="1"/>
  <c r="BP92" i="1" l="1"/>
  <c r="BO92" i="1"/>
  <c r="BN92" i="1"/>
  <c r="AW92" i="1"/>
  <c r="BP91" i="1" l="1"/>
  <c r="BO91" i="1"/>
  <c r="BN91" i="1"/>
  <c r="AW91" i="1"/>
  <c r="BP90" i="1" l="1"/>
  <c r="BO90" i="1"/>
  <c r="BN90" i="1"/>
  <c r="AW90" i="1"/>
  <c r="BP89" i="1" l="1"/>
  <c r="BO89" i="1"/>
  <c r="BN89" i="1"/>
  <c r="AW89" i="1"/>
  <c r="BP88" i="1" l="1"/>
  <c r="BO88" i="1"/>
  <c r="BN88" i="1"/>
  <c r="AW88" i="1"/>
  <c r="BP87" i="1" l="1"/>
  <c r="BO87" i="1"/>
  <c r="BN87" i="1"/>
  <c r="AW87" i="1"/>
  <c r="BP86" i="1" l="1"/>
  <c r="BO86" i="1"/>
  <c r="BN86" i="1"/>
  <c r="AW86" i="1"/>
  <c r="BP85" i="1" l="1"/>
  <c r="BO85" i="1"/>
  <c r="BN85" i="1"/>
  <c r="AW85" i="1"/>
  <c r="BP84" i="1" l="1"/>
  <c r="BO84" i="1"/>
  <c r="BN84" i="1"/>
  <c r="AW84" i="1"/>
  <c r="BP83" i="1" l="1"/>
  <c r="BO83" i="1"/>
  <c r="BN83" i="1"/>
  <c r="AW83" i="1"/>
  <c r="BP82" i="1" l="1"/>
  <c r="BO82" i="1"/>
  <c r="BN82" i="1"/>
  <c r="AW82" i="1"/>
  <c r="BP81" i="1" l="1"/>
  <c r="BO81" i="1"/>
  <c r="BN81" i="1"/>
  <c r="AW81" i="1"/>
  <c r="BP80" i="1" l="1"/>
  <c r="BO80" i="1"/>
  <c r="BN80" i="1"/>
  <c r="AW80" i="1"/>
  <c r="BP79" i="1" l="1"/>
  <c r="BO79" i="1"/>
  <c r="BN79" i="1"/>
  <c r="AW79" i="1"/>
  <c r="BP78" i="1" l="1"/>
  <c r="BO78" i="1"/>
  <c r="BN78" i="1"/>
  <c r="AW78" i="1"/>
  <c r="BP77" i="1" l="1"/>
  <c r="BO77" i="1"/>
  <c r="BN77" i="1"/>
  <c r="AW77" i="1"/>
  <c r="BP76" i="1" l="1"/>
  <c r="BO76" i="1"/>
  <c r="BN76" i="1"/>
  <c r="AW76" i="1"/>
  <c r="BP75" i="1" l="1"/>
  <c r="BO75" i="1"/>
  <c r="BN75" i="1"/>
  <c r="AW75" i="1"/>
  <c r="BP74" i="1" l="1"/>
  <c r="BO74" i="1"/>
  <c r="BN74" i="1"/>
  <c r="AW74" i="1"/>
  <c r="BP73" i="1" l="1"/>
  <c r="BO73" i="1"/>
  <c r="BN73" i="1"/>
  <c r="AW73" i="1"/>
  <c r="BP72" i="1" l="1"/>
  <c r="BO72" i="1"/>
  <c r="BN72" i="1"/>
  <c r="AW72" i="1"/>
  <c r="BP71" i="1" l="1"/>
  <c r="BO71" i="1"/>
  <c r="BN71" i="1"/>
  <c r="AW71" i="1"/>
  <c r="BP70" i="1" l="1"/>
  <c r="BO70" i="1"/>
  <c r="BN70" i="1"/>
  <c r="AW70" i="1"/>
  <c r="BP69" i="1" l="1"/>
  <c r="BO69" i="1"/>
  <c r="BN69" i="1"/>
  <c r="AW69" i="1"/>
  <c r="BP68" i="1" l="1"/>
  <c r="BO68" i="1"/>
  <c r="BN68" i="1"/>
  <c r="AW68" i="1"/>
  <c r="BP67" i="1" l="1"/>
  <c r="BO67" i="1"/>
  <c r="BN67" i="1"/>
  <c r="AW67" i="1"/>
  <c r="BP66" i="1" l="1"/>
  <c r="BO66" i="1"/>
  <c r="BN66" i="1"/>
  <c r="AW66" i="1"/>
  <c r="BP65" i="1" l="1"/>
  <c r="BO65" i="1"/>
  <c r="BN65" i="1"/>
  <c r="AW65" i="1"/>
  <c r="BP64" i="1" l="1"/>
  <c r="BO64" i="1"/>
  <c r="BN64" i="1"/>
  <c r="AW64" i="1"/>
  <c r="BP63" i="1" l="1"/>
  <c r="BO63" i="1"/>
  <c r="BN63" i="1"/>
  <c r="AW63" i="1"/>
  <c r="BP62" i="1" l="1"/>
  <c r="BO62" i="1"/>
  <c r="BN62" i="1"/>
  <c r="AW62" i="1"/>
  <c r="BP61" i="1" l="1"/>
  <c r="BO61" i="1"/>
  <c r="BN61" i="1"/>
  <c r="AW61" i="1"/>
  <c r="BP60" i="1" l="1"/>
  <c r="BO60" i="1"/>
  <c r="BN60" i="1"/>
  <c r="AW60" i="1"/>
  <c r="BP59" i="1" l="1"/>
  <c r="BO59" i="1"/>
  <c r="BN59" i="1"/>
  <c r="AW59" i="1"/>
  <c r="BP58" i="1" l="1"/>
  <c r="BO58" i="1"/>
  <c r="BN58" i="1"/>
  <c r="AW58" i="1"/>
  <c r="BP57" i="1" l="1"/>
  <c r="BO57" i="1"/>
  <c r="BN57" i="1"/>
  <c r="AW57" i="1"/>
  <c r="BP56" i="1" l="1"/>
  <c r="BO56" i="1"/>
  <c r="BN56" i="1"/>
  <c r="AW56" i="1"/>
  <c r="BP55" i="1" l="1"/>
  <c r="BO55" i="1"/>
  <c r="BN55" i="1"/>
  <c r="AW55" i="1"/>
  <c r="BP54" i="1" l="1"/>
  <c r="BO54" i="1"/>
  <c r="BN54" i="1"/>
  <c r="AW54" i="1"/>
  <c r="BP53" i="1" l="1"/>
  <c r="BO53" i="1"/>
  <c r="BN53" i="1"/>
  <c r="AW53" i="1"/>
  <c r="BP52" i="1" l="1"/>
  <c r="BO52" i="1"/>
  <c r="BN52" i="1"/>
  <c r="AW52" i="1"/>
  <c r="BP51" i="1" l="1"/>
  <c r="BO51" i="1"/>
  <c r="BN51" i="1"/>
  <c r="AW51" i="1"/>
  <c r="BP50" i="1" l="1"/>
  <c r="BO50" i="1"/>
  <c r="BN50" i="1"/>
  <c r="AW50" i="1"/>
  <c r="BP49" i="1" l="1"/>
  <c r="BO49" i="1"/>
  <c r="BN49" i="1"/>
  <c r="AW49" i="1"/>
  <c r="BP48" i="1" l="1"/>
  <c r="BO48" i="1"/>
  <c r="BN48" i="1"/>
  <c r="AW48" i="1"/>
  <c r="BP47" i="1" l="1"/>
  <c r="BO47" i="1"/>
  <c r="BN47" i="1"/>
  <c r="AW47" i="1"/>
  <c r="BP46" i="1" l="1"/>
  <c r="BO46" i="1"/>
  <c r="BN46" i="1"/>
  <c r="AW46" i="1"/>
  <c r="BP45" i="1" l="1"/>
  <c r="BO45" i="1"/>
  <c r="BN45" i="1"/>
  <c r="AW45" i="1"/>
  <c r="BP44" i="1" l="1"/>
  <c r="BO44" i="1"/>
  <c r="BN44" i="1"/>
  <c r="AW44" i="1"/>
  <c r="AK1011" i="1" l="1"/>
  <c r="AJ1011" i="1"/>
  <c r="CC1011" i="1" s="1"/>
  <c r="AF1011" i="1"/>
  <c r="BX1011" i="1" s="1"/>
  <c r="AK1010" i="1"/>
  <c r="AJ1010" i="1"/>
  <c r="CC1010" i="1" s="1"/>
  <c r="AF1010" i="1"/>
  <c r="BX1010" i="1" s="1"/>
  <c r="AK1009" i="1"/>
  <c r="AJ1009" i="1"/>
  <c r="CC1009" i="1" s="1"/>
  <c r="AF1009" i="1"/>
  <c r="BX1009" i="1" s="1"/>
  <c r="AK1008" i="1"/>
  <c r="AJ1008" i="1"/>
  <c r="CC1008" i="1" s="1"/>
  <c r="AF1008" i="1"/>
  <c r="BX1008" i="1" s="1"/>
  <c r="AK1007" i="1"/>
  <c r="AJ1007" i="1"/>
  <c r="CC1007" i="1" s="1"/>
  <c r="AF1007" i="1"/>
  <c r="BX1007" i="1" s="1"/>
  <c r="AK1006" i="1"/>
  <c r="AJ1006" i="1"/>
  <c r="CC1006" i="1" s="1"/>
  <c r="AF1006" i="1"/>
  <c r="BX1006" i="1" s="1"/>
  <c r="AK1005" i="1"/>
  <c r="AJ1005" i="1"/>
  <c r="CC1005" i="1" s="1"/>
  <c r="AF1005" i="1"/>
  <c r="BX1005" i="1" s="1"/>
  <c r="AK1004" i="1"/>
  <c r="AJ1004" i="1"/>
  <c r="CC1004" i="1" s="1"/>
  <c r="AF1004" i="1"/>
  <c r="BX1004" i="1" s="1"/>
  <c r="AK1003" i="1"/>
  <c r="AJ1003" i="1"/>
  <c r="CC1003" i="1" s="1"/>
  <c r="AF1003" i="1"/>
  <c r="BX1003" i="1" s="1"/>
  <c r="AK1002" i="1"/>
  <c r="AJ1002" i="1"/>
  <c r="CC1002" i="1" s="1"/>
  <c r="AF1002" i="1"/>
  <c r="BX1002" i="1" s="1"/>
  <c r="AK1001" i="1"/>
  <c r="AJ1001" i="1"/>
  <c r="CC1001" i="1" s="1"/>
  <c r="AF1001" i="1"/>
  <c r="BX1001" i="1" s="1"/>
  <c r="AK1000" i="1"/>
  <c r="AJ1000" i="1"/>
  <c r="CC1000" i="1" s="1"/>
  <c r="AF1000" i="1"/>
  <c r="BX1000" i="1" s="1"/>
  <c r="AK999" i="1"/>
  <c r="AJ999" i="1"/>
  <c r="CC999" i="1" s="1"/>
  <c r="AF999" i="1"/>
  <c r="BX999" i="1" s="1"/>
  <c r="AK998" i="1"/>
  <c r="AJ998" i="1"/>
  <c r="CC998" i="1" s="1"/>
  <c r="AF998" i="1"/>
  <c r="BX998" i="1" s="1"/>
  <c r="AK997" i="1"/>
  <c r="AJ997" i="1"/>
  <c r="CC997" i="1" s="1"/>
  <c r="AF997" i="1"/>
  <c r="BX997" i="1" s="1"/>
  <c r="AK996" i="1"/>
  <c r="AJ996" i="1"/>
  <c r="CC996" i="1" s="1"/>
  <c r="AF996" i="1"/>
  <c r="BX996" i="1" s="1"/>
  <c r="AK995" i="1"/>
  <c r="AJ995" i="1"/>
  <c r="CC995" i="1" s="1"/>
  <c r="AF995" i="1"/>
  <c r="BX995" i="1" s="1"/>
  <c r="AK994" i="1"/>
  <c r="AJ994" i="1"/>
  <c r="CC994" i="1" s="1"/>
  <c r="AF994" i="1"/>
  <c r="BX994" i="1" s="1"/>
  <c r="AK993" i="1"/>
  <c r="AJ993" i="1"/>
  <c r="CC993" i="1" s="1"/>
  <c r="AF993" i="1"/>
  <c r="BX993" i="1" s="1"/>
  <c r="AK992" i="1"/>
  <c r="AJ992" i="1"/>
  <c r="CC992" i="1" s="1"/>
  <c r="AF992" i="1"/>
  <c r="BX992" i="1" s="1"/>
  <c r="AK991" i="1"/>
  <c r="AJ991" i="1"/>
  <c r="CC991" i="1" s="1"/>
  <c r="AF991" i="1"/>
  <c r="BX991" i="1" s="1"/>
  <c r="AK990" i="1"/>
  <c r="AJ990" i="1"/>
  <c r="CC990" i="1" s="1"/>
  <c r="AF990" i="1"/>
  <c r="BX990" i="1" s="1"/>
  <c r="AK989" i="1"/>
  <c r="AJ989" i="1"/>
  <c r="CC989" i="1" s="1"/>
  <c r="AF989" i="1"/>
  <c r="BX989" i="1" s="1"/>
  <c r="AK988" i="1"/>
  <c r="AJ988" i="1"/>
  <c r="CC988" i="1" s="1"/>
  <c r="AF988" i="1"/>
  <c r="BX988" i="1" s="1"/>
  <c r="AK987" i="1"/>
  <c r="AJ987" i="1"/>
  <c r="CC987" i="1" s="1"/>
  <c r="AF987" i="1"/>
  <c r="BX987" i="1" s="1"/>
  <c r="AK986" i="1"/>
  <c r="AJ986" i="1"/>
  <c r="CC986" i="1" s="1"/>
  <c r="AF986" i="1"/>
  <c r="BX986" i="1" s="1"/>
  <c r="AK985" i="1"/>
  <c r="AJ985" i="1"/>
  <c r="CC985" i="1" s="1"/>
  <c r="AF985" i="1"/>
  <c r="BX985" i="1" s="1"/>
  <c r="AK984" i="1"/>
  <c r="AJ984" i="1"/>
  <c r="CC984" i="1" s="1"/>
  <c r="AF984" i="1"/>
  <c r="BX984" i="1" s="1"/>
  <c r="AK983" i="1"/>
  <c r="AJ983" i="1"/>
  <c r="CC983" i="1" s="1"/>
  <c r="AF983" i="1"/>
  <c r="BX983" i="1" s="1"/>
  <c r="AK982" i="1"/>
  <c r="AJ982" i="1"/>
  <c r="CC982" i="1" s="1"/>
  <c r="AF982" i="1"/>
  <c r="BX982" i="1" s="1"/>
  <c r="AK981" i="1"/>
  <c r="AJ981" i="1"/>
  <c r="CC981" i="1" s="1"/>
  <c r="AF981" i="1"/>
  <c r="BX981" i="1" s="1"/>
  <c r="AK980" i="1"/>
  <c r="AJ980" i="1"/>
  <c r="CC980" i="1" s="1"/>
  <c r="AF980" i="1"/>
  <c r="BX980" i="1" s="1"/>
  <c r="AK979" i="1"/>
  <c r="AJ979" i="1"/>
  <c r="CC979" i="1" s="1"/>
  <c r="AF979" i="1"/>
  <c r="BX979" i="1" s="1"/>
  <c r="AK978" i="1"/>
  <c r="AJ978" i="1"/>
  <c r="CC978" i="1" s="1"/>
  <c r="AF978" i="1"/>
  <c r="BX978" i="1" s="1"/>
  <c r="AK977" i="1"/>
  <c r="AJ977" i="1"/>
  <c r="CC977" i="1" s="1"/>
  <c r="AF977" i="1"/>
  <c r="BX977" i="1" s="1"/>
  <c r="AK976" i="1"/>
  <c r="AJ976" i="1"/>
  <c r="CC976" i="1" s="1"/>
  <c r="AF976" i="1"/>
  <c r="BX976" i="1" s="1"/>
  <c r="AK975" i="1"/>
  <c r="AJ975" i="1"/>
  <c r="CC975" i="1" s="1"/>
  <c r="AF975" i="1"/>
  <c r="BX975" i="1" s="1"/>
  <c r="AK974" i="1"/>
  <c r="AJ974" i="1"/>
  <c r="CC974" i="1" s="1"/>
  <c r="AF974" i="1"/>
  <c r="BX974" i="1" s="1"/>
  <c r="AK973" i="1"/>
  <c r="AJ973" i="1"/>
  <c r="CC973" i="1" s="1"/>
  <c r="AF973" i="1"/>
  <c r="BX973" i="1" s="1"/>
  <c r="AK972" i="1"/>
  <c r="AJ972" i="1"/>
  <c r="CC972" i="1" s="1"/>
  <c r="AF972" i="1"/>
  <c r="BX972" i="1" s="1"/>
  <c r="AK971" i="1"/>
  <c r="AJ971" i="1"/>
  <c r="CC971" i="1" s="1"/>
  <c r="AF971" i="1"/>
  <c r="BX971" i="1" s="1"/>
  <c r="AK970" i="1"/>
  <c r="AJ970" i="1"/>
  <c r="CC970" i="1" s="1"/>
  <c r="AF970" i="1"/>
  <c r="BX970" i="1" s="1"/>
  <c r="AK969" i="1"/>
  <c r="AJ969" i="1"/>
  <c r="CC969" i="1" s="1"/>
  <c r="AF969" i="1"/>
  <c r="BX969" i="1" s="1"/>
  <c r="AK968" i="1"/>
  <c r="AJ968" i="1"/>
  <c r="CC968" i="1" s="1"/>
  <c r="AF968" i="1"/>
  <c r="BX968" i="1" s="1"/>
  <c r="AK967" i="1"/>
  <c r="AJ967" i="1"/>
  <c r="CC967" i="1" s="1"/>
  <c r="AF967" i="1"/>
  <c r="BX967" i="1" s="1"/>
  <c r="AK966" i="1"/>
  <c r="AJ966" i="1"/>
  <c r="CC966" i="1" s="1"/>
  <c r="AF966" i="1"/>
  <c r="BX966" i="1" s="1"/>
  <c r="AK965" i="1"/>
  <c r="AJ965" i="1"/>
  <c r="CC965" i="1" s="1"/>
  <c r="AF965" i="1"/>
  <c r="BX965" i="1" s="1"/>
  <c r="AK964" i="1"/>
  <c r="AJ964" i="1"/>
  <c r="CC964" i="1" s="1"/>
  <c r="AF964" i="1"/>
  <c r="BX964" i="1" s="1"/>
  <c r="AK963" i="1"/>
  <c r="AJ963" i="1"/>
  <c r="CC963" i="1" s="1"/>
  <c r="AF963" i="1"/>
  <c r="BX963" i="1" s="1"/>
  <c r="AK962" i="1"/>
  <c r="AJ962" i="1"/>
  <c r="CC962" i="1" s="1"/>
  <c r="AF962" i="1"/>
  <c r="BX962" i="1" s="1"/>
  <c r="AK961" i="1"/>
  <c r="AJ961" i="1"/>
  <c r="CC961" i="1" s="1"/>
  <c r="AF961" i="1"/>
  <c r="BX961" i="1" s="1"/>
  <c r="AK960" i="1"/>
  <c r="AJ960" i="1"/>
  <c r="CC960" i="1" s="1"/>
  <c r="AF960" i="1"/>
  <c r="BX960" i="1" s="1"/>
  <c r="AK959" i="1"/>
  <c r="AJ959" i="1"/>
  <c r="CC959" i="1" s="1"/>
  <c r="AF959" i="1"/>
  <c r="BX959" i="1" s="1"/>
  <c r="AK958" i="1"/>
  <c r="AJ958" i="1"/>
  <c r="CC958" i="1" s="1"/>
  <c r="AF958" i="1"/>
  <c r="BX958" i="1" s="1"/>
  <c r="AK957" i="1"/>
  <c r="AJ957" i="1"/>
  <c r="CC957" i="1" s="1"/>
  <c r="AF957" i="1"/>
  <c r="BX957" i="1" s="1"/>
  <c r="AK956" i="1"/>
  <c r="AJ956" i="1"/>
  <c r="CC956" i="1" s="1"/>
  <c r="AF956" i="1"/>
  <c r="BX956" i="1" s="1"/>
  <c r="AK955" i="1"/>
  <c r="AJ955" i="1"/>
  <c r="CC955" i="1" s="1"/>
  <c r="AF955" i="1"/>
  <c r="BX955" i="1" s="1"/>
  <c r="AK954" i="1"/>
  <c r="AJ954" i="1"/>
  <c r="CC954" i="1" s="1"/>
  <c r="AF954" i="1"/>
  <c r="BX954" i="1" s="1"/>
  <c r="AK953" i="1"/>
  <c r="AJ953" i="1"/>
  <c r="CC953" i="1" s="1"/>
  <c r="AF953" i="1"/>
  <c r="BX953" i="1" s="1"/>
  <c r="AK952" i="1"/>
  <c r="AJ952" i="1"/>
  <c r="CC952" i="1" s="1"/>
  <c r="AF952" i="1"/>
  <c r="BX952" i="1" s="1"/>
  <c r="AK951" i="1"/>
  <c r="AJ951" i="1"/>
  <c r="CC951" i="1" s="1"/>
  <c r="AF951" i="1"/>
  <c r="BX951" i="1" s="1"/>
  <c r="AK950" i="1"/>
  <c r="AJ950" i="1"/>
  <c r="CC950" i="1" s="1"/>
  <c r="AF950" i="1"/>
  <c r="BX950" i="1" s="1"/>
  <c r="AK949" i="1"/>
  <c r="AJ949" i="1"/>
  <c r="CC949" i="1" s="1"/>
  <c r="AF949" i="1"/>
  <c r="BX949" i="1" s="1"/>
  <c r="AK948" i="1"/>
  <c r="AJ948" i="1"/>
  <c r="CC948" i="1" s="1"/>
  <c r="AF948" i="1"/>
  <c r="BX948" i="1" s="1"/>
  <c r="AK947" i="1"/>
  <c r="AJ947" i="1"/>
  <c r="CC947" i="1" s="1"/>
  <c r="AF947" i="1"/>
  <c r="BX947" i="1" s="1"/>
  <c r="AK946" i="1"/>
  <c r="AJ946" i="1"/>
  <c r="CC946" i="1" s="1"/>
  <c r="AF946" i="1"/>
  <c r="BX946" i="1" s="1"/>
  <c r="AK945" i="1"/>
  <c r="AJ945" i="1"/>
  <c r="CC945" i="1" s="1"/>
  <c r="AF945" i="1"/>
  <c r="BX945" i="1" s="1"/>
  <c r="AK944" i="1"/>
  <c r="AJ944" i="1"/>
  <c r="CC944" i="1" s="1"/>
  <c r="AF944" i="1"/>
  <c r="BX944" i="1" s="1"/>
  <c r="AK943" i="1"/>
  <c r="AJ943" i="1"/>
  <c r="CC943" i="1" s="1"/>
  <c r="AF943" i="1"/>
  <c r="BX943" i="1" s="1"/>
  <c r="AK942" i="1"/>
  <c r="AJ942" i="1"/>
  <c r="CC942" i="1" s="1"/>
  <c r="AF942" i="1"/>
  <c r="BX942" i="1" s="1"/>
  <c r="AK941" i="1"/>
  <c r="AJ941" i="1"/>
  <c r="CC941" i="1" s="1"/>
  <c r="AF941" i="1"/>
  <c r="BX941" i="1" s="1"/>
  <c r="AK940" i="1"/>
  <c r="AJ940" i="1"/>
  <c r="CC940" i="1" s="1"/>
  <c r="AF940" i="1"/>
  <c r="BX940" i="1" s="1"/>
  <c r="AK939" i="1"/>
  <c r="AJ939" i="1"/>
  <c r="CC939" i="1" s="1"/>
  <c r="AF939" i="1"/>
  <c r="BX939" i="1" s="1"/>
  <c r="AK938" i="1"/>
  <c r="AJ938" i="1"/>
  <c r="CC938" i="1" s="1"/>
  <c r="AF938" i="1"/>
  <c r="BX938" i="1" s="1"/>
  <c r="AK937" i="1"/>
  <c r="AJ937" i="1"/>
  <c r="CC937" i="1" s="1"/>
  <c r="AF937" i="1"/>
  <c r="BX937" i="1" s="1"/>
  <c r="AK936" i="1"/>
  <c r="AJ936" i="1"/>
  <c r="CC936" i="1" s="1"/>
  <c r="AF936" i="1"/>
  <c r="BX936" i="1" s="1"/>
  <c r="AK935" i="1"/>
  <c r="AJ935" i="1"/>
  <c r="CC935" i="1" s="1"/>
  <c r="AF935" i="1"/>
  <c r="BX935" i="1" s="1"/>
  <c r="AK934" i="1"/>
  <c r="AJ934" i="1"/>
  <c r="CC934" i="1" s="1"/>
  <c r="AF934" i="1"/>
  <c r="BX934" i="1" s="1"/>
  <c r="AK933" i="1"/>
  <c r="AJ933" i="1"/>
  <c r="CC933" i="1" s="1"/>
  <c r="AF933" i="1"/>
  <c r="BX933" i="1" s="1"/>
  <c r="AK932" i="1"/>
  <c r="AJ932" i="1"/>
  <c r="CC932" i="1" s="1"/>
  <c r="AF932" i="1"/>
  <c r="BX932" i="1" s="1"/>
  <c r="AK931" i="1"/>
  <c r="AJ931" i="1"/>
  <c r="CC931" i="1" s="1"/>
  <c r="AF931" i="1"/>
  <c r="BX931" i="1" s="1"/>
  <c r="AK930" i="1"/>
  <c r="AJ930" i="1"/>
  <c r="CC930" i="1" s="1"/>
  <c r="AF930" i="1"/>
  <c r="BX930" i="1" s="1"/>
  <c r="AK929" i="1"/>
  <c r="AJ929" i="1"/>
  <c r="CC929" i="1" s="1"/>
  <c r="AF929" i="1"/>
  <c r="BX929" i="1" s="1"/>
  <c r="AK928" i="1"/>
  <c r="AJ928" i="1"/>
  <c r="CC928" i="1" s="1"/>
  <c r="AF928" i="1"/>
  <c r="BX928" i="1" s="1"/>
  <c r="AK927" i="1"/>
  <c r="AJ927" i="1"/>
  <c r="CC927" i="1" s="1"/>
  <c r="AF927" i="1"/>
  <c r="BX927" i="1" s="1"/>
  <c r="AK926" i="1"/>
  <c r="AJ926" i="1"/>
  <c r="CC926" i="1" s="1"/>
  <c r="AF926" i="1"/>
  <c r="BX926" i="1" s="1"/>
  <c r="AK925" i="1"/>
  <c r="AJ925" i="1"/>
  <c r="CC925" i="1" s="1"/>
  <c r="AF925" i="1"/>
  <c r="BX925" i="1" s="1"/>
  <c r="AK924" i="1"/>
  <c r="AJ924" i="1"/>
  <c r="CC924" i="1" s="1"/>
  <c r="AF924" i="1"/>
  <c r="BX924" i="1" s="1"/>
  <c r="AK923" i="1"/>
  <c r="AJ923" i="1"/>
  <c r="CC923" i="1" s="1"/>
  <c r="AF923" i="1"/>
  <c r="BX923" i="1" s="1"/>
  <c r="AK922" i="1"/>
  <c r="AJ922" i="1"/>
  <c r="CC922" i="1" s="1"/>
  <c r="AF922" i="1"/>
  <c r="BX922" i="1" s="1"/>
  <c r="AK921" i="1"/>
  <c r="AJ921" i="1"/>
  <c r="CC921" i="1" s="1"/>
  <c r="AF921" i="1"/>
  <c r="BX921" i="1" s="1"/>
  <c r="AK920" i="1"/>
  <c r="AJ920" i="1"/>
  <c r="CC920" i="1" s="1"/>
  <c r="AF920" i="1"/>
  <c r="BX920" i="1" s="1"/>
  <c r="AK919" i="1"/>
  <c r="AJ919" i="1"/>
  <c r="CC919" i="1" s="1"/>
  <c r="AF919" i="1"/>
  <c r="BX919" i="1" s="1"/>
  <c r="AK918" i="1"/>
  <c r="AJ918" i="1"/>
  <c r="CC918" i="1" s="1"/>
  <c r="AF918" i="1"/>
  <c r="BX918" i="1" s="1"/>
  <c r="AK917" i="1"/>
  <c r="AJ917" i="1"/>
  <c r="CC917" i="1" s="1"/>
  <c r="AF917" i="1"/>
  <c r="BX917" i="1" s="1"/>
  <c r="AK916" i="1"/>
  <c r="AJ916" i="1"/>
  <c r="CC916" i="1" s="1"/>
  <c r="AF916" i="1"/>
  <c r="BX916" i="1" s="1"/>
  <c r="AK915" i="1"/>
  <c r="AJ915" i="1"/>
  <c r="CC915" i="1" s="1"/>
  <c r="AF915" i="1"/>
  <c r="BX915" i="1" s="1"/>
  <c r="AK914" i="1"/>
  <c r="AJ914" i="1"/>
  <c r="CC914" i="1" s="1"/>
  <c r="AF914" i="1"/>
  <c r="BX914" i="1" s="1"/>
  <c r="AK913" i="1"/>
  <c r="AJ913" i="1"/>
  <c r="CC913" i="1" s="1"/>
  <c r="AF913" i="1"/>
  <c r="BX913" i="1" s="1"/>
  <c r="AK912" i="1"/>
  <c r="AJ912" i="1"/>
  <c r="CC912" i="1" s="1"/>
  <c r="AF912" i="1"/>
  <c r="BX912" i="1" s="1"/>
  <c r="AK911" i="1"/>
  <c r="AJ911" i="1"/>
  <c r="CC911" i="1" s="1"/>
  <c r="AF911" i="1"/>
  <c r="BX911" i="1" s="1"/>
  <c r="AK910" i="1"/>
  <c r="AJ910" i="1"/>
  <c r="CC910" i="1" s="1"/>
  <c r="AF910" i="1"/>
  <c r="BX910" i="1" s="1"/>
  <c r="AK909" i="1"/>
  <c r="AJ909" i="1"/>
  <c r="CC909" i="1" s="1"/>
  <c r="AF909" i="1"/>
  <c r="BX909" i="1" s="1"/>
  <c r="AK908" i="1"/>
  <c r="AJ908" i="1"/>
  <c r="CC908" i="1" s="1"/>
  <c r="AF908" i="1"/>
  <c r="BX908" i="1" s="1"/>
  <c r="AK907" i="1"/>
  <c r="AJ907" i="1"/>
  <c r="CC907" i="1" s="1"/>
  <c r="AF907" i="1"/>
  <c r="BX907" i="1" s="1"/>
  <c r="AK906" i="1"/>
  <c r="AJ906" i="1"/>
  <c r="CC906" i="1" s="1"/>
  <c r="AF906" i="1"/>
  <c r="BX906" i="1" s="1"/>
  <c r="AK905" i="1"/>
  <c r="AJ905" i="1"/>
  <c r="CC905" i="1" s="1"/>
  <c r="AF905" i="1"/>
  <c r="BX905" i="1" s="1"/>
  <c r="AK904" i="1"/>
  <c r="AJ904" i="1"/>
  <c r="CC904" i="1" s="1"/>
  <c r="AF904" i="1"/>
  <c r="BX904" i="1" s="1"/>
  <c r="AK903" i="1"/>
  <c r="AJ903" i="1"/>
  <c r="CC903" i="1" s="1"/>
  <c r="AF903" i="1"/>
  <c r="BX903" i="1" s="1"/>
  <c r="AK902" i="1"/>
  <c r="AJ902" i="1"/>
  <c r="CC902" i="1" s="1"/>
  <c r="AF902" i="1"/>
  <c r="BX902" i="1" s="1"/>
  <c r="AK901" i="1"/>
  <c r="AJ901" i="1"/>
  <c r="CC901" i="1" s="1"/>
  <c r="AF901" i="1"/>
  <c r="BX901" i="1" s="1"/>
  <c r="AK900" i="1"/>
  <c r="AJ900" i="1"/>
  <c r="CC900" i="1" s="1"/>
  <c r="AF900" i="1"/>
  <c r="BX900" i="1" s="1"/>
  <c r="AK899" i="1"/>
  <c r="AJ899" i="1"/>
  <c r="CC899" i="1" s="1"/>
  <c r="AF899" i="1"/>
  <c r="BX899" i="1" s="1"/>
  <c r="AK898" i="1"/>
  <c r="AJ898" i="1"/>
  <c r="CC898" i="1" s="1"/>
  <c r="AF898" i="1"/>
  <c r="BX898" i="1" s="1"/>
  <c r="AK897" i="1"/>
  <c r="AJ897" i="1"/>
  <c r="CC897" i="1" s="1"/>
  <c r="AF897" i="1"/>
  <c r="BX897" i="1" s="1"/>
  <c r="AK896" i="1"/>
  <c r="AJ896" i="1"/>
  <c r="CC896" i="1" s="1"/>
  <c r="AF896" i="1"/>
  <c r="BX896" i="1" s="1"/>
  <c r="AK895" i="1"/>
  <c r="AJ895" i="1"/>
  <c r="CC895" i="1" s="1"/>
  <c r="AF895" i="1"/>
  <c r="BX895" i="1" s="1"/>
  <c r="AK894" i="1"/>
  <c r="AJ894" i="1"/>
  <c r="CC894" i="1" s="1"/>
  <c r="AF894" i="1"/>
  <c r="BX894" i="1" s="1"/>
  <c r="AK893" i="1"/>
  <c r="AJ893" i="1"/>
  <c r="CC893" i="1" s="1"/>
  <c r="AF893" i="1"/>
  <c r="BX893" i="1" s="1"/>
  <c r="AK892" i="1"/>
  <c r="AJ892" i="1"/>
  <c r="CC892" i="1" s="1"/>
  <c r="AF892" i="1"/>
  <c r="BX892" i="1" s="1"/>
  <c r="AK891" i="1"/>
  <c r="AJ891" i="1"/>
  <c r="CC891" i="1" s="1"/>
  <c r="AF891" i="1"/>
  <c r="BX891" i="1" s="1"/>
  <c r="AK890" i="1"/>
  <c r="AJ890" i="1"/>
  <c r="CC890" i="1" s="1"/>
  <c r="AF890" i="1"/>
  <c r="BX890" i="1" s="1"/>
  <c r="AK889" i="1"/>
  <c r="AJ889" i="1"/>
  <c r="CC889" i="1" s="1"/>
  <c r="AF889" i="1"/>
  <c r="BX889" i="1" s="1"/>
  <c r="AK888" i="1"/>
  <c r="AJ888" i="1"/>
  <c r="CC888" i="1" s="1"/>
  <c r="AF888" i="1"/>
  <c r="BX888" i="1" s="1"/>
  <c r="AK887" i="1"/>
  <c r="AJ887" i="1"/>
  <c r="CC887" i="1" s="1"/>
  <c r="AF887" i="1"/>
  <c r="BX887" i="1" s="1"/>
  <c r="AK886" i="1"/>
  <c r="AJ886" i="1"/>
  <c r="CC886" i="1" s="1"/>
  <c r="AF886" i="1"/>
  <c r="BX886" i="1" s="1"/>
  <c r="AK885" i="1"/>
  <c r="AJ885" i="1"/>
  <c r="CC885" i="1" s="1"/>
  <c r="AF885" i="1"/>
  <c r="BX885" i="1" s="1"/>
  <c r="AK884" i="1"/>
  <c r="AJ884" i="1"/>
  <c r="CC884" i="1" s="1"/>
  <c r="AF884" i="1"/>
  <c r="BX884" i="1" s="1"/>
  <c r="AK883" i="1"/>
  <c r="AJ883" i="1"/>
  <c r="CC883" i="1" s="1"/>
  <c r="AF883" i="1"/>
  <c r="BX883" i="1" s="1"/>
  <c r="AK882" i="1"/>
  <c r="AJ882" i="1"/>
  <c r="CC882" i="1" s="1"/>
  <c r="AF882" i="1"/>
  <c r="BX882" i="1" s="1"/>
  <c r="AK881" i="1"/>
  <c r="AJ881" i="1"/>
  <c r="CC881" i="1" s="1"/>
  <c r="AF881" i="1"/>
  <c r="BX881" i="1" s="1"/>
  <c r="AK880" i="1"/>
  <c r="AJ880" i="1"/>
  <c r="CC880" i="1" s="1"/>
  <c r="AF880" i="1"/>
  <c r="BX880" i="1" s="1"/>
  <c r="AK879" i="1"/>
  <c r="AJ879" i="1"/>
  <c r="CC879" i="1" s="1"/>
  <c r="AF879" i="1"/>
  <c r="BX879" i="1" s="1"/>
  <c r="AK878" i="1"/>
  <c r="AJ878" i="1"/>
  <c r="CC878" i="1" s="1"/>
  <c r="AF878" i="1"/>
  <c r="BX878" i="1" s="1"/>
  <c r="AK877" i="1"/>
  <c r="AJ877" i="1"/>
  <c r="CC877" i="1" s="1"/>
  <c r="AF877" i="1"/>
  <c r="BX877" i="1" s="1"/>
  <c r="AK876" i="1"/>
  <c r="AJ876" i="1"/>
  <c r="CC876" i="1" s="1"/>
  <c r="AF876" i="1"/>
  <c r="BX876" i="1" s="1"/>
  <c r="AK875" i="1"/>
  <c r="AJ875" i="1"/>
  <c r="CC875" i="1" s="1"/>
  <c r="AF875" i="1"/>
  <c r="BX875" i="1" s="1"/>
  <c r="AK874" i="1"/>
  <c r="AJ874" i="1"/>
  <c r="CC874" i="1" s="1"/>
  <c r="AF874" i="1"/>
  <c r="BX874" i="1" s="1"/>
  <c r="AK873" i="1"/>
  <c r="AJ873" i="1"/>
  <c r="CC873" i="1" s="1"/>
  <c r="AF873" i="1"/>
  <c r="BX873" i="1" s="1"/>
  <c r="AK872" i="1"/>
  <c r="AJ872" i="1"/>
  <c r="CC872" i="1" s="1"/>
  <c r="AF872" i="1"/>
  <c r="BX872" i="1" s="1"/>
  <c r="AK871" i="1"/>
  <c r="AJ871" i="1"/>
  <c r="CC871" i="1" s="1"/>
  <c r="AF871" i="1"/>
  <c r="BX871" i="1" s="1"/>
  <c r="AK870" i="1"/>
  <c r="AJ870" i="1"/>
  <c r="CC870" i="1" s="1"/>
  <c r="AF870" i="1"/>
  <c r="BX870" i="1" s="1"/>
  <c r="AK869" i="1"/>
  <c r="AJ869" i="1"/>
  <c r="CC869" i="1" s="1"/>
  <c r="AF869" i="1"/>
  <c r="BX869" i="1" s="1"/>
  <c r="AK868" i="1"/>
  <c r="AJ868" i="1"/>
  <c r="CC868" i="1" s="1"/>
  <c r="AF868" i="1"/>
  <c r="BX868" i="1" s="1"/>
  <c r="AK867" i="1"/>
  <c r="AJ867" i="1"/>
  <c r="CC867" i="1" s="1"/>
  <c r="AF867" i="1"/>
  <c r="BX867" i="1" s="1"/>
  <c r="AK866" i="1"/>
  <c r="AJ866" i="1"/>
  <c r="CC866" i="1" s="1"/>
  <c r="AF866" i="1"/>
  <c r="BX866" i="1" s="1"/>
  <c r="AK865" i="1"/>
  <c r="AJ865" i="1"/>
  <c r="CC865" i="1" s="1"/>
  <c r="AF865" i="1"/>
  <c r="BX865" i="1" s="1"/>
  <c r="AK864" i="1"/>
  <c r="AJ864" i="1"/>
  <c r="CC864" i="1" s="1"/>
  <c r="AF864" i="1"/>
  <c r="BX864" i="1" s="1"/>
  <c r="AK863" i="1"/>
  <c r="AJ863" i="1"/>
  <c r="CC863" i="1" s="1"/>
  <c r="AF863" i="1"/>
  <c r="BX863" i="1" s="1"/>
  <c r="AK862" i="1"/>
  <c r="AJ862" i="1"/>
  <c r="CC862" i="1" s="1"/>
  <c r="AF862" i="1"/>
  <c r="BX862" i="1" s="1"/>
  <c r="AK861" i="1"/>
  <c r="AJ861" i="1"/>
  <c r="CC861" i="1" s="1"/>
  <c r="AF861" i="1"/>
  <c r="BX861" i="1" s="1"/>
  <c r="AK860" i="1"/>
  <c r="AJ860" i="1"/>
  <c r="CC860" i="1" s="1"/>
  <c r="AF860" i="1"/>
  <c r="BX860" i="1" s="1"/>
  <c r="AK859" i="1"/>
  <c r="AJ859" i="1"/>
  <c r="CC859" i="1" s="1"/>
  <c r="AF859" i="1"/>
  <c r="BX859" i="1" s="1"/>
  <c r="AK858" i="1"/>
  <c r="AJ858" i="1"/>
  <c r="CC858" i="1" s="1"/>
  <c r="AF858" i="1"/>
  <c r="BX858" i="1" s="1"/>
  <c r="AK857" i="1"/>
  <c r="AJ857" i="1"/>
  <c r="CC857" i="1" s="1"/>
  <c r="AF857" i="1"/>
  <c r="BX857" i="1" s="1"/>
  <c r="AK856" i="1"/>
  <c r="AJ856" i="1"/>
  <c r="CC856" i="1" s="1"/>
  <c r="AF856" i="1"/>
  <c r="BX856" i="1" s="1"/>
  <c r="AK855" i="1"/>
  <c r="AJ855" i="1"/>
  <c r="CC855" i="1" s="1"/>
  <c r="AF855" i="1"/>
  <c r="BX855" i="1" s="1"/>
  <c r="AK854" i="1"/>
  <c r="AJ854" i="1"/>
  <c r="CC854" i="1" s="1"/>
  <c r="AF854" i="1"/>
  <c r="BX854" i="1" s="1"/>
  <c r="AK853" i="1"/>
  <c r="AJ853" i="1"/>
  <c r="CC853" i="1" s="1"/>
  <c r="AF853" i="1"/>
  <c r="BX853" i="1" s="1"/>
  <c r="AK852" i="1"/>
  <c r="AJ852" i="1"/>
  <c r="CC852" i="1" s="1"/>
  <c r="AF852" i="1"/>
  <c r="BX852" i="1" s="1"/>
  <c r="AK851" i="1"/>
  <c r="AJ851" i="1"/>
  <c r="CC851" i="1" s="1"/>
  <c r="AF851" i="1"/>
  <c r="BX851" i="1" s="1"/>
  <c r="AK850" i="1"/>
  <c r="AJ850" i="1"/>
  <c r="CC850" i="1" s="1"/>
  <c r="AF850" i="1"/>
  <c r="BX850" i="1" s="1"/>
  <c r="AK849" i="1"/>
  <c r="AJ849" i="1"/>
  <c r="CC849" i="1" s="1"/>
  <c r="AF849" i="1"/>
  <c r="BX849" i="1" s="1"/>
  <c r="AK848" i="1"/>
  <c r="AJ848" i="1"/>
  <c r="CC848" i="1" s="1"/>
  <c r="AF848" i="1"/>
  <c r="BX848" i="1" s="1"/>
  <c r="AK847" i="1"/>
  <c r="AJ847" i="1"/>
  <c r="CC847" i="1" s="1"/>
  <c r="AF847" i="1"/>
  <c r="BX847" i="1" s="1"/>
  <c r="AK846" i="1"/>
  <c r="AJ846" i="1"/>
  <c r="CC846" i="1" s="1"/>
  <c r="AF846" i="1"/>
  <c r="BX846" i="1" s="1"/>
  <c r="AK845" i="1"/>
  <c r="AJ845" i="1"/>
  <c r="CC845" i="1" s="1"/>
  <c r="AF845" i="1"/>
  <c r="BX845" i="1" s="1"/>
  <c r="AK844" i="1"/>
  <c r="AJ844" i="1"/>
  <c r="CC844" i="1" s="1"/>
  <c r="AF844" i="1"/>
  <c r="BX844" i="1" s="1"/>
  <c r="AK843" i="1"/>
  <c r="AJ843" i="1"/>
  <c r="CC843" i="1" s="1"/>
  <c r="AF843" i="1"/>
  <c r="BX843" i="1" s="1"/>
  <c r="AK842" i="1"/>
  <c r="AJ842" i="1"/>
  <c r="CC842" i="1" s="1"/>
  <c r="AF842" i="1"/>
  <c r="BX842" i="1" s="1"/>
  <c r="AK841" i="1"/>
  <c r="AJ841" i="1"/>
  <c r="CC841" i="1" s="1"/>
  <c r="AF841" i="1"/>
  <c r="BX841" i="1" s="1"/>
  <c r="AK840" i="1"/>
  <c r="AJ840" i="1"/>
  <c r="CC840" i="1" s="1"/>
  <c r="AF840" i="1"/>
  <c r="BX840" i="1" s="1"/>
  <c r="AK839" i="1"/>
  <c r="AJ839" i="1"/>
  <c r="CC839" i="1" s="1"/>
  <c r="AF839" i="1"/>
  <c r="BX839" i="1" s="1"/>
  <c r="AK838" i="1"/>
  <c r="AJ838" i="1"/>
  <c r="CC838" i="1" s="1"/>
  <c r="AF838" i="1"/>
  <c r="BX838" i="1" s="1"/>
  <c r="AK837" i="1"/>
  <c r="AJ837" i="1"/>
  <c r="CC837" i="1" s="1"/>
  <c r="AF837" i="1"/>
  <c r="BX837" i="1" s="1"/>
  <c r="AK836" i="1"/>
  <c r="AJ836" i="1"/>
  <c r="CC836" i="1" s="1"/>
  <c r="AF836" i="1"/>
  <c r="BX836" i="1" s="1"/>
  <c r="AK835" i="1"/>
  <c r="AJ835" i="1"/>
  <c r="CC835" i="1" s="1"/>
  <c r="AF835" i="1"/>
  <c r="BX835" i="1" s="1"/>
  <c r="AK834" i="1"/>
  <c r="AJ834" i="1"/>
  <c r="CC834" i="1" s="1"/>
  <c r="AF834" i="1"/>
  <c r="BX834" i="1" s="1"/>
  <c r="AK833" i="1"/>
  <c r="AJ833" i="1"/>
  <c r="CC833" i="1" s="1"/>
  <c r="AF833" i="1"/>
  <c r="BX833" i="1" s="1"/>
  <c r="AK832" i="1"/>
  <c r="AJ832" i="1"/>
  <c r="CC832" i="1" s="1"/>
  <c r="AF832" i="1"/>
  <c r="BX832" i="1" s="1"/>
  <c r="AK831" i="1"/>
  <c r="AJ831" i="1"/>
  <c r="CC831" i="1" s="1"/>
  <c r="AF831" i="1"/>
  <c r="BX831" i="1" s="1"/>
  <c r="AK830" i="1"/>
  <c r="AJ830" i="1"/>
  <c r="CC830" i="1" s="1"/>
  <c r="AF830" i="1"/>
  <c r="BX830" i="1" s="1"/>
  <c r="AK829" i="1"/>
  <c r="AJ829" i="1"/>
  <c r="CC829" i="1" s="1"/>
  <c r="AF829" i="1"/>
  <c r="BX829" i="1" s="1"/>
  <c r="AK828" i="1"/>
  <c r="AJ828" i="1"/>
  <c r="CC828" i="1" s="1"/>
  <c r="AF828" i="1"/>
  <c r="BX828" i="1" s="1"/>
  <c r="AK827" i="1"/>
  <c r="AJ827" i="1"/>
  <c r="CC827" i="1" s="1"/>
  <c r="AF827" i="1"/>
  <c r="BX827" i="1" s="1"/>
  <c r="AK826" i="1"/>
  <c r="AJ826" i="1"/>
  <c r="CC826" i="1" s="1"/>
  <c r="AF826" i="1"/>
  <c r="BX826" i="1" s="1"/>
  <c r="AK825" i="1"/>
  <c r="AJ825" i="1"/>
  <c r="CC825" i="1" s="1"/>
  <c r="AF825" i="1"/>
  <c r="BX825" i="1" s="1"/>
  <c r="AK824" i="1"/>
  <c r="AJ824" i="1"/>
  <c r="CC824" i="1" s="1"/>
  <c r="AF824" i="1"/>
  <c r="BX824" i="1" s="1"/>
  <c r="AK823" i="1"/>
  <c r="AJ823" i="1"/>
  <c r="CC823" i="1" s="1"/>
  <c r="AF823" i="1"/>
  <c r="BX823" i="1" s="1"/>
  <c r="AK822" i="1"/>
  <c r="AJ822" i="1"/>
  <c r="CC822" i="1" s="1"/>
  <c r="AF822" i="1"/>
  <c r="BX822" i="1" s="1"/>
  <c r="AK821" i="1"/>
  <c r="AJ821" i="1"/>
  <c r="CC821" i="1" s="1"/>
  <c r="AF821" i="1"/>
  <c r="BX821" i="1" s="1"/>
  <c r="AK820" i="1"/>
  <c r="AJ820" i="1"/>
  <c r="CC820" i="1" s="1"/>
  <c r="AF820" i="1"/>
  <c r="BX820" i="1" s="1"/>
  <c r="AK819" i="1"/>
  <c r="AJ819" i="1"/>
  <c r="CC819" i="1" s="1"/>
  <c r="AF819" i="1"/>
  <c r="BX819" i="1" s="1"/>
  <c r="AK818" i="1"/>
  <c r="AJ818" i="1"/>
  <c r="CC818" i="1" s="1"/>
  <c r="AF818" i="1"/>
  <c r="BX818" i="1" s="1"/>
  <c r="AK817" i="1"/>
  <c r="AJ817" i="1"/>
  <c r="CC817" i="1" s="1"/>
  <c r="AF817" i="1"/>
  <c r="BX817" i="1" s="1"/>
  <c r="AK816" i="1"/>
  <c r="AJ816" i="1"/>
  <c r="CC816" i="1" s="1"/>
  <c r="AF816" i="1"/>
  <c r="BX816" i="1" s="1"/>
  <c r="AK815" i="1"/>
  <c r="AJ815" i="1"/>
  <c r="CC815" i="1" s="1"/>
  <c r="AF815" i="1"/>
  <c r="BX815" i="1" s="1"/>
  <c r="AK814" i="1"/>
  <c r="AJ814" i="1"/>
  <c r="CC814" i="1" s="1"/>
  <c r="AF814" i="1"/>
  <c r="BX814" i="1" s="1"/>
  <c r="AK813" i="1"/>
  <c r="AJ813" i="1"/>
  <c r="CC813" i="1" s="1"/>
  <c r="AF813" i="1"/>
  <c r="BX813" i="1" s="1"/>
  <c r="AK812" i="1"/>
  <c r="AJ812" i="1"/>
  <c r="CC812" i="1" s="1"/>
  <c r="AF812" i="1"/>
  <c r="BX812" i="1" s="1"/>
  <c r="AK811" i="1"/>
  <c r="AJ811" i="1"/>
  <c r="CC811" i="1" s="1"/>
  <c r="AF811" i="1"/>
  <c r="BX811" i="1" s="1"/>
  <c r="AK810" i="1"/>
  <c r="AJ810" i="1"/>
  <c r="CC810" i="1" s="1"/>
  <c r="AF810" i="1"/>
  <c r="BX810" i="1" s="1"/>
  <c r="AK809" i="1"/>
  <c r="AJ809" i="1"/>
  <c r="CC809" i="1" s="1"/>
  <c r="AF809" i="1"/>
  <c r="BX809" i="1" s="1"/>
  <c r="AK808" i="1"/>
  <c r="AJ808" i="1"/>
  <c r="CC808" i="1" s="1"/>
  <c r="AF808" i="1"/>
  <c r="BX808" i="1" s="1"/>
  <c r="AK807" i="1"/>
  <c r="AJ807" i="1"/>
  <c r="CC807" i="1" s="1"/>
  <c r="AF807" i="1"/>
  <c r="BX807" i="1" s="1"/>
  <c r="AK806" i="1"/>
  <c r="AJ806" i="1"/>
  <c r="CC806" i="1" s="1"/>
  <c r="AF806" i="1"/>
  <c r="BX806" i="1" s="1"/>
  <c r="AK805" i="1"/>
  <c r="AJ805" i="1"/>
  <c r="CC805" i="1" s="1"/>
  <c r="AF805" i="1"/>
  <c r="BX805" i="1" s="1"/>
  <c r="AK804" i="1"/>
  <c r="AJ804" i="1"/>
  <c r="CC804" i="1" s="1"/>
  <c r="AF804" i="1"/>
  <c r="BX804" i="1" s="1"/>
  <c r="AK803" i="1"/>
  <c r="AJ803" i="1"/>
  <c r="CC803" i="1" s="1"/>
  <c r="AF803" i="1"/>
  <c r="BX803" i="1" s="1"/>
  <c r="AK802" i="1"/>
  <c r="AJ802" i="1"/>
  <c r="CC802" i="1" s="1"/>
  <c r="AF802" i="1"/>
  <c r="BX802" i="1" s="1"/>
  <c r="AK801" i="1"/>
  <c r="AJ801" i="1"/>
  <c r="CC801" i="1" s="1"/>
  <c r="AF801" i="1"/>
  <c r="BX801" i="1" s="1"/>
  <c r="AK800" i="1"/>
  <c r="AJ800" i="1"/>
  <c r="CC800" i="1" s="1"/>
  <c r="AF800" i="1"/>
  <c r="BX800" i="1" s="1"/>
  <c r="AK799" i="1"/>
  <c r="AJ799" i="1"/>
  <c r="CC799" i="1" s="1"/>
  <c r="AF799" i="1"/>
  <c r="BX799" i="1" s="1"/>
  <c r="AK798" i="1"/>
  <c r="AJ798" i="1"/>
  <c r="CC798" i="1" s="1"/>
  <c r="AF798" i="1"/>
  <c r="BX798" i="1" s="1"/>
  <c r="AK797" i="1"/>
  <c r="AJ797" i="1"/>
  <c r="CC797" i="1" s="1"/>
  <c r="AF797" i="1"/>
  <c r="BX797" i="1" s="1"/>
  <c r="AK796" i="1"/>
  <c r="AJ796" i="1"/>
  <c r="CC796" i="1" s="1"/>
  <c r="AF796" i="1"/>
  <c r="BX796" i="1" s="1"/>
  <c r="AK795" i="1"/>
  <c r="AJ795" i="1"/>
  <c r="CC795" i="1" s="1"/>
  <c r="AF795" i="1"/>
  <c r="BX795" i="1" s="1"/>
  <c r="AK794" i="1"/>
  <c r="AJ794" i="1"/>
  <c r="CC794" i="1" s="1"/>
  <c r="AF794" i="1"/>
  <c r="BX794" i="1" s="1"/>
  <c r="AK793" i="1"/>
  <c r="AJ793" i="1"/>
  <c r="CC793" i="1" s="1"/>
  <c r="AF793" i="1"/>
  <c r="BX793" i="1" s="1"/>
  <c r="AK792" i="1"/>
  <c r="AJ792" i="1"/>
  <c r="CC792" i="1" s="1"/>
  <c r="AF792" i="1"/>
  <c r="BX792" i="1" s="1"/>
  <c r="AK791" i="1"/>
  <c r="AJ791" i="1"/>
  <c r="CC791" i="1" s="1"/>
  <c r="AF791" i="1"/>
  <c r="BX791" i="1" s="1"/>
  <c r="AK790" i="1"/>
  <c r="AJ790" i="1"/>
  <c r="CC790" i="1" s="1"/>
  <c r="AF790" i="1"/>
  <c r="BX790" i="1" s="1"/>
  <c r="AK789" i="1"/>
  <c r="AJ789" i="1"/>
  <c r="CC789" i="1" s="1"/>
  <c r="AF789" i="1"/>
  <c r="BX789" i="1" s="1"/>
  <c r="AK788" i="1"/>
  <c r="AJ788" i="1"/>
  <c r="CC788" i="1" s="1"/>
  <c r="AF788" i="1"/>
  <c r="BX788" i="1" s="1"/>
  <c r="AK787" i="1"/>
  <c r="AJ787" i="1"/>
  <c r="CC787" i="1" s="1"/>
  <c r="AF787" i="1"/>
  <c r="BX787" i="1" s="1"/>
  <c r="AK786" i="1"/>
  <c r="AJ786" i="1"/>
  <c r="CC786" i="1" s="1"/>
  <c r="AF786" i="1"/>
  <c r="BX786" i="1" s="1"/>
  <c r="AK785" i="1"/>
  <c r="AJ785" i="1"/>
  <c r="CC785" i="1" s="1"/>
  <c r="AF785" i="1"/>
  <c r="BX785" i="1" s="1"/>
  <c r="AK784" i="1"/>
  <c r="AJ784" i="1"/>
  <c r="CC784" i="1" s="1"/>
  <c r="AF784" i="1"/>
  <c r="BX784" i="1" s="1"/>
  <c r="AK783" i="1"/>
  <c r="AJ783" i="1"/>
  <c r="CC783" i="1" s="1"/>
  <c r="AF783" i="1"/>
  <c r="BX783" i="1" s="1"/>
  <c r="AK782" i="1"/>
  <c r="AJ782" i="1"/>
  <c r="CC782" i="1" s="1"/>
  <c r="AF782" i="1"/>
  <c r="BX782" i="1" s="1"/>
  <c r="AK781" i="1"/>
  <c r="AJ781" i="1"/>
  <c r="CC781" i="1" s="1"/>
  <c r="AF781" i="1"/>
  <c r="BX781" i="1" s="1"/>
  <c r="AK780" i="1"/>
  <c r="AJ780" i="1"/>
  <c r="CC780" i="1" s="1"/>
  <c r="AF780" i="1"/>
  <c r="BX780" i="1" s="1"/>
  <c r="AK779" i="1"/>
  <c r="AJ779" i="1"/>
  <c r="CC779" i="1" s="1"/>
  <c r="AF779" i="1"/>
  <c r="BX779" i="1" s="1"/>
  <c r="AK778" i="1"/>
  <c r="AJ778" i="1"/>
  <c r="CC778" i="1" s="1"/>
  <c r="AF778" i="1"/>
  <c r="BX778" i="1" s="1"/>
  <c r="AK777" i="1"/>
  <c r="AJ777" i="1"/>
  <c r="CC777" i="1" s="1"/>
  <c r="AF777" i="1"/>
  <c r="BX777" i="1" s="1"/>
  <c r="AK776" i="1"/>
  <c r="AJ776" i="1"/>
  <c r="CC776" i="1" s="1"/>
  <c r="AF776" i="1"/>
  <c r="BX776" i="1" s="1"/>
  <c r="AK775" i="1"/>
  <c r="AJ775" i="1"/>
  <c r="CC775" i="1" s="1"/>
  <c r="AF775" i="1"/>
  <c r="BX775" i="1" s="1"/>
  <c r="AK774" i="1"/>
  <c r="AJ774" i="1"/>
  <c r="CC774" i="1" s="1"/>
  <c r="AF774" i="1"/>
  <c r="BX774" i="1" s="1"/>
  <c r="AK773" i="1"/>
  <c r="AJ773" i="1"/>
  <c r="CC773" i="1" s="1"/>
  <c r="AF773" i="1"/>
  <c r="BX773" i="1" s="1"/>
  <c r="AK772" i="1"/>
  <c r="AJ772" i="1"/>
  <c r="CC772" i="1" s="1"/>
  <c r="AF772" i="1"/>
  <c r="BX772" i="1" s="1"/>
  <c r="AK771" i="1"/>
  <c r="AJ771" i="1"/>
  <c r="CC771" i="1" s="1"/>
  <c r="AF771" i="1"/>
  <c r="BX771" i="1" s="1"/>
  <c r="AK770" i="1"/>
  <c r="AJ770" i="1"/>
  <c r="CC770" i="1" s="1"/>
  <c r="AF770" i="1"/>
  <c r="BX770" i="1" s="1"/>
  <c r="AK769" i="1"/>
  <c r="AJ769" i="1"/>
  <c r="CC769" i="1" s="1"/>
  <c r="AF769" i="1"/>
  <c r="BX769" i="1" s="1"/>
  <c r="AK768" i="1"/>
  <c r="AJ768" i="1"/>
  <c r="CC768" i="1" s="1"/>
  <c r="AF768" i="1"/>
  <c r="BX768" i="1" s="1"/>
  <c r="AK767" i="1"/>
  <c r="AJ767" i="1"/>
  <c r="CC767" i="1" s="1"/>
  <c r="AF767" i="1"/>
  <c r="BX767" i="1" s="1"/>
  <c r="AK766" i="1"/>
  <c r="AJ766" i="1"/>
  <c r="CC766" i="1" s="1"/>
  <c r="AF766" i="1"/>
  <c r="BX766" i="1" s="1"/>
  <c r="AK765" i="1"/>
  <c r="AJ765" i="1"/>
  <c r="CC765" i="1" s="1"/>
  <c r="AF765" i="1"/>
  <c r="BX765" i="1" s="1"/>
  <c r="AK764" i="1"/>
  <c r="AJ764" i="1"/>
  <c r="CC764" i="1" s="1"/>
  <c r="AF764" i="1"/>
  <c r="BX764" i="1" s="1"/>
  <c r="AK763" i="1"/>
  <c r="AJ763" i="1"/>
  <c r="CC763" i="1" s="1"/>
  <c r="AF763" i="1"/>
  <c r="BX763" i="1" s="1"/>
  <c r="AK762" i="1"/>
  <c r="AJ762" i="1"/>
  <c r="CC762" i="1" s="1"/>
  <c r="AF762" i="1"/>
  <c r="BX762" i="1" s="1"/>
  <c r="AK761" i="1"/>
  <c r="AJ761" i="1"/>
  <c r="CC761" i="1" s="1"/>
  <c r="AF761" i="1"/>
  <c r="BX761" i="1" s="1"/>
  <c r="AK760" i="1"/>
  <c r="AJ760" i="1"/>
  <c r="CC760" i="1" s="1"/>
  <c r="AF760" i="1"/>
  <c r="BX760" i="1" s="1"/>
  <c r="AK759" i="1"/>
  <c r="AJ759" i="1"/>
  <c r="CC759" i="1" s="1"/>
  <c r="AF759" i="1"/>
  <c r="BX759" i="1" s="1"/>
  <c r="AK758" i="1"/>
  <c r="AJ758" i="1"/>
  <c r="CC758" i="1" s="1"/>
  <c r="AF758" i="1"/>
  <c r="BX758" i="1" s="1"/>
  <c r="AK757" i="1"/>
  <c r="AJ757" i="1"/>
  <c r="CC757" i="1" s="1"/>
  <c r="AF757" i="1"/>
  <c r="BX757" i="1" s="1"/>
  <c r="AK756" i="1"/>
  <c r="AJ756" i="1"/>
  <c r="CC756" i="1" s="1"/>
  <c r="AF756" i="1"/>
  <c r="BX756" i="1" s="1"/>
  <c r="AK755" i="1"/>
  <c r="AJ755" i="1"/>
  <c r="CC755" i="1" s="1"/>
  <c r="AF755" i="1"/>
  <c r="BX755" i="1" s="1"/>
  <c r="AK754" i="1"/>
  <c r="AJ754" i="1"/>
  <c r="CC754" i="1" s="1"/>
  <c r="AF754" i="1"/>
  <c r="BX754" i="1" s="1"/>
  <c r="AK753" i="1"/>
  <c r="AJ753" i="1"/>
  <c r="CC753" i="1" s="1"/>
  <c r="AF753" i="1"/>
  <c r="BX753" i="1" s="1"/>
  <c r="AK752" i="1"/>
  <c r="AJ752" i="1"/>
  <c r="CC752" i="1" s="1"/>
  <c r="AF752" i="1"/>
  <c r="BX752" i="1" s="1"/>
  <c r="AK751" i="1"/>
  <c r="AJ751" i="1"/>
  <c r="CC751" i="1" s="1"/>
  <c r="AF751" i="1"/>
  <c r="BX751" i="1" s="1"/>
  <c r="AK750" i="1"/>
  <c r="AJ750" i="1"/>
  <c r="CC750" i="1" s="1"/>
  <c r="AF750" i="1"/>
  <c r="BX750" i="1" s="1"/>
  <c r="AK749" i="1"/>
  <c r="AJ749" i="1"/>
  <c r="CC749" i="1" s="1"/>
  <c r="AF749" i="1"/>
  <c r="BX749" i="1" s="1"/>
  <c r="AK748" i="1"/>
  <c r="AJ748" i="1"/>
  <c r="CC748" i="1" s="1"/>
  <c r="AF748" i="1"/>
  <c r="BX748" i="1" s="1"/>
  <c r="AK747" i="1"/>
  <c r="AJ747" i="1"/>
  <c r="CC747" i="1" s="1"/>
  <c r="AF747" i="1"/>
  <c r="BX747" i="1" s="1"/>
  <c r="AK746" i="1"/>
  <c r="AJ746" i="1"/>
  <c r="CC746" i="1" s="1"/>
  <c r="AF746" i="1"/>
  <c r="BX746" i="1" s="1"/>
  <c r="AK745" i="1"/>
  <c r="AJ745" i="1"/>
  <c r="CC745" i="1" s="1"/>
  <c r="AF745" i="1"/>
  <c r="BX745" i="1" s="1"/>
  <c r="AK744" i="1"/>
  <c r="AJ744" i="1"/>
  <c r="CC744" i="1" s="1"/>
  <c r="AF744" i="1"/>
  <c r="BX744" i="1" s="1"/>
  <c r="AK743" i="1"/>
  <c r="AJ743" i="1"/>
  <c r="CC743" i="1" s="1"/>
  <c r="AF743" i="1"/>
  <c r="BX743" i="1" s="1"/>
  <c r="AK742" i="1"/>
  <c r="AJ742" i="1"/>
  <c r="CC742" i="1" s="1"/>
  <c r="AF742" i="1"/>
  <c r="BX742" i="1" s="1"/>
  <c r="AK741" i="1"/>
  <c r="AJ741" i="1"/>
  <c r="CC741" i="1" s="1"/>
  <c r="AF741" i="1"/>
  <c r="BX741" i="1" s="1"/>
  <c r="AK740" i="1"/>
  <c r="AJ740" i="1"/>
  <c r="CC740" i="1" s="1"/>
  <c r="AF740" i="1"/>
  <c r="BX740" i="1" s="1"/>
  <c r="AK739" i="1"/>
  <c r="AJ739" i="1"/>
  <c r="CC739" i="1" s="1"/>
  <c r="AF739" i="1"/>
  <c r="BX739" i="1" s="1"/>
  <c r="AK738" i="1"/>
  <c r="AJ738" i="1"/>
  <c r="CC738" i="1" s="1"/>
  <c r="AF738" i="1"/>
  <c r="BX738" i="1" s="1"/>
  <c r="AK737" i="1"/>
  <c r="AJ737" i="1"/>
  <c r="CC737" i="1" s="1"/>
  <c r="AF737" i="1"/>
  <c r="BX737" i="1" s="1"/>
  <c r="AK736" i="1"/>
  <c r="AJ736" i="1"/>
  <c r="CC736" i="1" s="1"/>
  <c r="AF736" i="1"/>
  <c r="BX736" i="1" s="1"/>
  <c r="AK735" i="1"/>
  <c r="AJ735" i="1"/>
  <c r="CC735" i="1" s="1"/>
  <c r="AF735" i="1"/>
  <c r="BX735" i="1" s="1"/>
  <c r="AK734" i="1"/>
  <c r="AJ734" i="1"/>
  <c r="CC734" i="1" s="1"/>
  <c r="AF734" i="1"/>
  <c r="BX734" i="1" s="1"/>
  <c r="AK733" i="1"/>
  <c r="AJ733" i="1"/>
  <c r="CC733" i="1" s="1"/>
  <c r="AF733" i="1"/>
  <c r="BX733" i="1" s="1"/>
  <c r="AK732" i="1"/>
  <c r="AJ732" i="1"/>
  <c r="CC732" i="1" s="1"/>
  <c r="AF732" i="1"/>
  <c r="BX732" i="1" s="1"/>
  <c r="AK731" i="1"/>
  <c r="AJ731" i="1"/>
  <c r="CC731" i="1" s="1"/>
  <c r="AF731" i="1"/>
  <c r="BX731" i="1" s="1"/>
  <c r="AK730" i="1"/>
  <c r="AJ730" i="1"/>
  <c r="CC730" i="1" s="1"/>
  <c r="AF730" i="1"/>
  <c r="BX730" i="1" s="1"/>
  <c r="AK729" i="1"/>
  <c r="AJ729" i="1"/>
  <c r="CC729" i="1" s="1"/>
  <c r="AF729" i="1"/>
  <c r="BX729" i="1" s="1"/>
  <c r="AK728" i="1"/>
  <c r="AJ728" i="1"/>
  <c r="CC728" i="1" s="1"/>
  <c r="AF728" i="1"/>
  <c r="BX728" i="1" s="1"/>
  <c r="AK727" i="1"/>
  <c r="AJ727" i="1"/>
  <c r="CC727" i="1" s="1"/>
  <c r="AF727" i="1"/>
  <c r="BX727" i="1" s="1"/>
  <c r="AK726" i="1"/>
  <c r="AJ726" i="1"/>
  <c r="CC726" i="1" s="1"/>
  <c r="AF726" i="1"/>
  <c r="BX726" i="1" s="1"/>
  <c r="AK725" i="1"/>
  <c r="AJ725" i="1"/>
  <c r="CC725" i="1" s="1"/>
  <c r="AF725" i="1"/>
  <c r="BX725" i="1" s="1"/>
  <c r="AK724" i="1"/>
  <c r="AJ724" i="1"/>
  <c r="CC724" i="1" s="1"/>
  <c r="AF724" i="1"/>
  <c r="BX724" i="1" s="1"/>
  <c r="AK723" i="1"/>
  <c r="AJ723" i="1"/>
  <c r="CC723" i="1" s="1"/>
  <c r="AF723" i="1"/>
  <c r="BX723" i="1" s="1"/>
  <c r="AK722" i="1"/>
  <c r="AJ722" i="1"/>
  <c r="CC722" i="1" s="1"/>
  <c r="AF722" i="1"/>
  <c r="BX722" i="1" s="1"/>
  <c r="AK721" i="1"/>
  <c r="AJ721" i="1"/>
  <c r="CC721" i="1" s="1"/>
  <c r="AF721" i="1"/>
  <c r="BX721" i="1" s="1"/>
  <c r="AK720" i="1"/>
  <c r="AJ720" i="1"/>
  <c r="CC720" i="1" s="1"/>
  <c r="AF720" i="1"/>
  <c r="BX720" i="1" s="1"/>
  <c r="AK719" i="1"/>
  <c r="AJ719" i="1"/>
  <c r="CC719" i="1" s="1"/>
  <c r="AF719" i="1"/>
  <c r="BX719" i="1" s="1"/>
  <c r="AK718" i="1"/>
  <c r="AJ718" i="1"/>
  <c r="CC718" i="1" s="1"/>
  <c r="AF718" i="1"/>
  <c r="BX718" i="1" s="1"/>
  <c r="AK717" i="1"/>
  <c r="AJ717" i="1"/>
  <c r="CC717" i="1" s="1"/>
  <c r="AF717" i="1"/>
  <c r="BX717" i="1" s="1"/>
  <c r="AK716" i="1"/>
  <c r="AJ716" i="1"/>
  <c r="CC716" i="1" s="1"/>
  <c r="AF716" i="1"/>
  <c r="BX716" i="1" s="1"/>
  <c r="AK715" i="1"/>
  <c r="AJ715" i="1"/>
  <c r="CC715" i="1" s="1"/>
  <c r="AF715" i="1"/>
  <c r="BX715" i="1" s="1"/>
  <c r="AK714" i="1"/>
  <c r="AJ714" i="1"/>
  <c r="CC714" i="1" s="1"/>
  <c r="AF714" i="1"/>
  <c r="BX714" i="1" s="1"/>
  <c r="AK713" i="1"/>
  <c r="AJ713" i="1"/>
  <c r="CC713" i="1" s="1"/>
  <c r="AF713" i="1"/>
  <c r="BX713" i="1" s="1"/>
  <c r="AK712" i="1"/>
  <c r="AJ712" i="1"/>
  <c r="CC712" i="1" s="1"/>
  <c r="AF712" i="1"/>
  <c r="BX712" i="1" s="1"/>
  <c r="AK711" i="1"/>
  <c r="AJ711" i="1"/>
  <c r="CC711" i="1" s="1"/>
  <c r="AF711" i="1"/>
  <c r="BX711" i="1" s="1"/>
  <c r="AK710" i="1"/>
  <c r="AJ710" i="1"/>
  <c r="CC710" i="1" s="1"/>
  <c r="AF710" i="1"/>
  <c r="BX710" i="1" s="1"/>
  <c r="AK709" i="1"/>
  <c r="AJ709" i="1"/>
  <c r="CC709" i="1" s="1"/>
  <c r="AF709" i="1"/>
  <c r="BX709" i="1" s="1"/>
  <c r="AK708" i="1"/>
  <c r="AJ708" i="1"/>
  <c r="CC708" i="1" s="1"/>
  <c r="AF708" i="1"/>
  <c r="BX708" i="1" s="1"/>
  <c r="AK707" i="1"/>
  <c r="AJ707" i="1"/>
  <c r="CC707" i="1" s="1"/>
  <c r="AF707" i="1"/>
  <c r="BX707" i="1" s="1"/>
  <c r="AK706" i="1"/>
  <c r="AJ706" i="1"/>
  <c r="CC706" i="1" s="1"/>
  <c r="AF706" i="1"/>
  <c r="BX706" i="1" s="1"/>
  <c r="AK705" i="1"/>
  <c r="AJ705" i="1"/>
  <c r="CC705" i="1" s="1"/>
  <c r="AF705" i="1"/>
  <c r="BX705" i="1" s="1"/>
  <c r="AK704" i="1"/>
  <c r="AJ704" i="1"/>
  <c r="CC704" i="1" s="1"/>
  <c r="AF704" i="1"/>
  <c r="BX704" i="1" s="1"/>
  <c r="AK703" i="1"/>
  <c r="AJ703" i="1"/>
  <c r="CC703" i="1" s="1"/>
  <c r="AF703" i="1"/>
  <c r="BX703" i="1" s="1"/>
  <c r="AK702" i="1"/>
  <c r="AJ702" i="1"/>
  <c r="CC702" i="1" s="1"/>
  <c r="AF702" i="1"/>
  <c r="BX702" i="1" s="1"/>
  <c r="AK701" i="1"/>
  <c r="AJ701" i="1"/>
  <c r="CC701" i="1" s="1"/>
  <c r="AF701" i="1"/>
  <c r="BX701" i="1" s="1"/>
  <c r="AK700" i="1"/>
  <c r="AJ700" i="1"/>
  <c r="CC700" i="1" s="1"/>
  <c r="AF700" i="1"/>
  <c r="BX700" i="1" s="1"/>
  <c r="AK699" i="1"/>
  <c r="AJ699" i="1"/>
  <c r="CC699" i="1" s="1"/>
  <c r="AF699" i="1"/>
  <c r="BX699" i="1" s="1"/>
  <c r="AK698" i="1"/>
  <c r="AJ698" i="1"/>
  <c r="CC698" i="1" s="1"/>
  <c r="AF698" i="1"/>
  <c r="BX698" i="1" s="1"/>
  <c r="AK697" i="1"/>
  <c r="AJ697" i="1"/>
  <c r="CC697" i="1" s="1"/>
  <c r="AF697" i="1"/>
  <c r="BX697" i="1" s="1"/>
  <c r="AK696" i="1"/>
  <c r="AJ696" i="1"/>
  <c r="CC696" i="1" s="1"/>
  <c r="AF696" i="1"/>
  <c r="BX696" i="1" s="1"/>
  <c r="AK695" i="1"/>
  <c r="AJ695" i="1"/>
  <c r="CC695" i="1" s="1"/>
  <c r="AF695" i="1"/>
  <c r="BX695" i="1" s="1"/>
  <c r="AK694" i="1"/>
  <c r="AJ694" i="1"/>
  <c r="CC694" i="1" s="1"/>
  <c r="AF694" i="1"/>
  <c r="BX694" i="1" s="1"/>
  <c r="AK693" i="1"/>
  <c r="AJ693" i="1"/>
  <c r="CC693" i="1" s="1"/>
  <c r="AF693" i="1"/>
  <c r="BX693" i="1" s="1"/>
  <c r="AK692" i="1"/>
  <c r="AJ692" i="1"/>
  <c r="CC692" i="1" s="1"/>
  <c r="AF692" i="1"/>
  <c r="BX692" i="1" s="1"/>
  <c r="AK691" i="1"/>
  <c r="AJ691" i="1"/>
  <c r="CC691" i="1" s="1"/>
  <c r="AF691" i="1"/>
  <c r="BX691" i="1" s="1"/>
  <c r="AK690" i="1"/>
  <c r="AJ690" i="1"/>
  <c r="CC690" i="1" s="1"/>
  <c r="AF690" i="1"/>
  <c r="BX690" i="1" s="1"/>
  <c r="AK689" i="1"/>
  <c r="AJ689" i="1"/>
  <c r="CC689" i="1" s="1"/>
  <c r="AF689" i="1"/>
  <c r="BX689" i="1" s="1"/>
  <c r="AK688" i="1"/>
  <c r="AJ688" i="1"/>
  <c r="CC688" i="1" s="1"/>
  <c r="AF688" i="1"/>
  <c r="BX688" i="1" s="1"/>
  <c r="AK687" i="1"/>
  <c r="AJ687" i="1"/>
  <c r="CC687" i="1" s="1"/>
  <c r="AF687" i="1"/>
  <c r="BX687" i="1" s="1"/>
  <c r="AK686" i="1"/>
  <c r="AJ686" i="1"/>
  <c r="CC686" i="1" s="1"/>
  <c r="AF686" i="1"/>
  <c r="BX686" i="1" s="1"/>
  <c r="AK685" i="1"/>
  <c r="AJ685" i="1"/>
  <c r="CC685" i="1" s="1"/>
  <c r="AF685" i="1"/>
  <c r="BX685" i="1" s="1"/>
  <c r="AK684" i="1"/>
  <c r="AJ684" i="1"/>
  <c r="CC684" i="1" s="1"/>
  <c r="AF684" i="1"/>
  <c r="BX684" i="1" s="1"/>
  <c r="AK683" i="1"/>
  <c r="AJ683" i="1"/>
  <c r="CC683" i="1" s="1"/>
  <c r="AF683" i="1"/>
  <c r="BX683" i="1" s="1"/>
  <c r="AK682" i="1"/>
  <c r="AJ682" i="1"/>
  <c r="CC682" i="1" s="1"/>
  <c r="AF682" i="1"/>
  <c r="BX682" i="1" s="1"/>
  <c r="AK681" i="1"/>
  <c r="AJ681" i="1"/>
  <c r="CC681" i="1" s="1"/>
  <c r="AF681" i="1"/>
  <c r="BX681" i="1" s="1"/>
  <c r="AK680" i="1"/>
  <c r="AJ680" i="1"/>
  <c r="CC680" i="1" s="1"/>
  <c r="AF680" i="1"/>
  <c r="BX680" i="1" s="1"/>
  <c r="AK679" i="1"/>
  <c r="AJ679" i="1"/>
  <c r="CC679" i="1" s="1"/>
  <c r="AF679" i="1"/>
  <c r="BX679" i="1" s="1"/>
  <c r="AK678" i="1"/>
  <c r="AJ678" i="1"/>
  <c r="CC678" i="1" s="1"/>
  <c r="AF678" i="1"/>
  <c r="BX678" i="1" s="1"/>
  <c r="AK677" i="1"/>
  <c r="AJ677" i="1"/>
  <c r="CC677" i="1" s="1"/>
  <c r="AF677" i="1"/>
  <c r="BX677" i="1" s="1"/>
  <c r="AK676" i="1"/>
  <c r="AJ676" i="1"/>
  <c r="CC676" i="1" s="1"/>
  <c r="AF676" i="1"/>
  <c r="BX676" i="1" s="1"/>
  <c r="AK675" i="1"/>
  <c r="AJ675" i="1"/>
  <c r="CC675" i="1" s="1"/>
  <c r="AF675" i="1"/>
  <c r="BX675" i="1" s="1"/>
  <c r="AK674" i="1"/>
  <c r="AJ674" i="1"/>
  <c r="CC674" i="1" s="1"/>
  <c r="AF674" i="1"/>
  <c r="BX674" i="1" s="1"/>
  <c r="AK673" i="1"/>
  <c r="AJ673" i="1"/>
  <c r="CC673" i="1" s="1"/>
  <c r="AF673" i="1"/>
  <c r="BX673" i="1" s="1"/>
  <c r="AK672" i="1"/>
  <c r="AJ672" i="1"/>
  <c r="CC672" i="1" s="1"/>
  <c r="AF672" i="1"/>
  <c r="BX672" i="1" s="1"/>
  <c r="AK671" i="1"/>
  <c r="AJ671" i="1"/>
  <c r="CC671" i="1" s="1"/>
  <c r="AF671" i="1"/>
  <c r="BX671" i="1" s="1"/>
  <c r="AK670" i="1"/>
  <c r="AJ670" i="1"/>
  <c r="CC670" i="1" s="1"/>
  <c r="AF670" i="1"/>
  <c r="BX670" i="1" s="1"/>
  <c r="AK669" i="1"/>
  <c r="AJ669" i="1"/>
  <c r="CC669" i="1" s="1"/>
  <c r="AF669" i="1"/>
  <c r="BX669" i="1" s="1"/>
  <c r="AK668" i="1"/>
  <c r="AJ668" i="1"/>
  <c r="CC668" i="1" s="1"/>
  <c r="AF668" i="1"/>
  <c r="BX668" i="1" s="1"/>
  <c r="AK667" i="1"/>
  <c r="AJ667" i="1"/>
  <c r="CC667" i="1" s="1"/>
  <c r="AF667" i="1"/>
  <c r="BX667" i="1" s="1"/>
  <c r="AK666" i="1"/>
  <c r="AJ666" i="1"/>
  <c r="CC666" i="1" s="1"/>
  <c r="AF666" i="1"/>
  <c r="BX666" i="1" s="1"/>
  <c r="AK665" i="1"/>
  <c r="AJ665" i="1"/>
  <c r="CC665" i="1" s="1"/>
  <c r="AF665" i="1"/>
  <c r="BX665" i="1" s="1"/>
  <c r="AK664" i="1"/>
  <c r="AJ664" i="1"/>
  <c r="CC664" i="1" s="1"/>
  <c r="AF664" i="1"/>
  <c r="BX664" i="1" s="1"/>
  <c r="AK663" i="1"/>
  <c r="AJ663" i="1"/>
  <c r="CC663" i="1" s="1"/>
  <c r="AF663" i="1"/>
  <c r="BX663" i="1" s="1"/>
  <c r="AK662" i="1"/>
  <c r="AJ662" i="1"/>
  <c r="CC662" i="1" s="1"/>
  <c r="AF662" i="1"/>
  <c r="BX662" i="1" s="1"/>
  <c r="AK661" i="1"/>
  <c r="AJ661" i="1"/>
  <c r="CC661" i="1" s="1"/>
  <c r="AF661" i="1"/>
  <c r="BX661" i="1" s="1"/>
  <c r="AK660" i="1"/>
  <c r="AJ660" i="1"/>
  <c r="CC660" i="1" s="1"/>
  <c r="AF660" i="1"/>
  <c r="BX660" i="1" s="1"/>
  <c r="AK659" i="1"/>
  <c r="AJ659" i="1"/>
  <c r="CC659" i="1" s="1"/>
  <c r="AF659" i="1"/>
  <c r="BX659" i="1" s="1"/>
  <c r="AK658" i="1"/>
  <c r="AJ658" i="1"/>
  <c r="CC658" i="1" s="1"/>
  <c r="AF658" i="1"/>
  <c r="BX658" i="1" s="1"/>
  <c r="AK657" i="1"/>
  <c r="AJ657" i="1"/>
  <c r="CC657" i="1" s="1"/>
  <c r="AF657" i="1"/>
  <c r="BX657" i="1" s="1"/>
  <c r="AK656" i="1"/>
  <c r="AJ656" i="1"/>
  <c r="CC656" i="1" s="1"/>
  <c r="AF656" i="1"/>
  <c r="BX656" i="1" s="1"/>
  <c r="AK655" i="1"/>
  <c r="AJ655" i="1"/>
  <c r="CC655" i="1" s="1"/>
  <c r="AF655" i="1"/>
  <c r="BX655" i="1" s="1"/>
  <c r="AK654" i="1"/>
  <c r="AJ654" i="1"/>
  <c r="CC654" i="1" s="1"/>
  <c r="AF654" i="1"/>
  <c r="BX654" i="1" s="1"/>
  <c r="AK653" i="1"/>
  <c r="AJ653" i="1"/>
  <c r="CC653" i="1" s="1"/>
  <c r="AF653" i="1"/>
  <c r="BX653" i="1" s="1"/>
  <c r="AK652" i="1"/>
  <c r="AJ652" i="1"/>
  <c r="CC652" i="1" s="1"/>
  <c r="AF652" i="1"/>
  <c r="BX652" i="1" s="1"/>
  <c r="AK651" i="1"/>
  <c r="AJ651" i="1"/>
  <c r="CC651" i="1" s="1"/>
  <c r="AF651" i="1"/>
  <c r="BX651" i="1" s="1"/>
  <c r="AK650" i="1"/>
  <c r="AJ650" i="1"/>
  <c r="CC650" i="1" s="1"/>
  <c r="AF650" i="1"/>
  <c r="BX650" i="1" s="1"/>
  <c r="AK649" i="1"/>
  <c r="AJ649" i="1"/>
  <c r="CC649" i="1" s="1"/>
  <c r="AF649" i="1"/>
  <c r="BX649" i="1" s="1"/>
  <c r="AK648" i="1"/>
  <c r="AJ648" i="1"/>
  <c r="CC648" i="1" s="1"/>
  <c r="AF648" i="1"/>
  <c r="BX648" i="1" s="1"/>
  <c r="AK647" i="1"/>
  <c r="AJ647" i="1"/>
  <c r="CC647" i="1" s="1"/>
  <c r="AF647" i="1"/>
  <c r="BX647" i="1" s="1"/>
  <c r="AK646" i="1"/>
  <c r="AJ646" i="1"/>
  <c r="CC646" i="1" s="1"/>
  <c r="AF646" i="1"/>
  <c r="BX646" i="1" s="1"/>
  <c r="AK645" i="1"/>
  <c r="AJ645" i="1"/>
  <c r="CC645" i="1" s="1"/>
  <c r="AF645" i="1"/>
  <c r="BX645" i="1" s="1"/>
  <c r="AK644" i="1"/>
  <c r="AJ644" i="1"/>
  <c r="CC644" i="1" s="1"/>
  <c r="AF644" i="1"/>
  <c r="BX644" i="1" s="1"/>
  <c r="AK643" i="1"/>
  <c r="AJ643" i="1"/>
  <c r="CC643" i="1" s="1"/>
  <c r="AF643" i="1"/>
  <c r="BX643" i="1" s="1"/>
  <c r="AK642" i="1"/>
  <c r="AJ642" i="1"/>
  <c r="CC642" i="1" s="1"/>
  <c r="AF642" i="1"/>
  <c r="BX642" i="1" s="1"/>
  <c r="AK641" i="1"/>
  <c r="AJ641" i="1"/>
  <c r="CC641" i="1" s="1"/>
  <c r="AF641" i="1"/>
  <c r="BX641" i="1" s="1"/>
  <c r="AK640" i="1"/>
  <c r="AJ640" i="1"/>
  <c r="CC640" i="1" s="1"/>
  <c r="AF640" i="1"/>
  <c r="BX640" i="1" s="1"/>
  <c r="AK639" i="1"/>
  <c r="AJ639" i="1"/>
  <c r="CC639" i="1" s="1"/>
  <c r="AF639" i="1"/>
  <c r="BX639" i="1" s="1"/>
  <c r="AK638" i="1"/>
  <c r="AJ638" i="1"/>
  <c r="CC638" i="1" s="1"/>
  <c r="AF638" i="1"/>
  <c r="BX638" i="1" s="1"/>
  <c r="AK637" i="1"/>
  <c r="AJ637" i="1"/>
  <c r="CC637" i="1" s="1"/>
  <c r="AF637" i="1"/>
  <c r="BX637" i="1" s="1"/>
  <c r="AK636" i="1"/>
  <c r="AJ636" i="1"/>
  <c r="CC636" i="1" s="1"/>
  <c r="AF636" i="1"/>
  <c r="BX636" i="1" s="1"/>
  <c r="AK635" i="1"/>
  <c r="AJ635" i="1"/>
  <c r="CC635" i="1" s="1"/>
  <c r="AF635" i="1"/>
  <c r="BX635" i="1" s="1"/>
  <c r="AK634" i="1"/>
  <c r="AJ634" i="1"/>
  <c r="CC634" i="1" s="1"/>
  <c r="AF634" i="1"/>
  <c r="BX634" i="1" s="1"/>
  <c r="AK633" i="1"/>
  <c r="AJ633" i="1"/>
  <c r="CC633" i="1" s="1"/>
  <c r="AF633" i="1"/>
  <c r="BX633" i="1" s="1"/>
  <c r="AK632" i="1"/>
  <c r="AJ632" i="1"/>
  <c r="CC632" i="1" s="1"/>
  <c r="AF632" i="1"/>
  <c r="BX632" i="1" s="1"/>
  <c r="AK631" i="1"/>
  <c r="AJ631" i="1"/>
  <c r="CC631" i="1" s="1"/>
  <c r="AF631" i="1"/>
  <c r="BX631" i="1" s="1"/>
  <c r="AK630" i="1"/>
  <c r="AJ630" i="1"/>
  <c r="CC630" i="1" s="1"/>
  <c r="AF630" i="1"/>
  <c r="BX630" i="1" s="1"/>
  <c r="AK629" i="1"/>
  <c r="AJ629" i="1"/>
  <c r="CC629" i="1" s="1"/>
  <c r="AF629" i="1"/>
  <c r="BX629" i="1" s="1"/>
  <c r="AK628" i="1"/>
  <c r="AJ628" i="1"/>
  <c r="CC628" i="1" s="1"/>
  <c r="AF628" i="1"/>
  <c r="BX628" i="1" s="1"/>
  <c r="AK627" i="1"/>
  <c r="AJ627" i="1"/>
  <c r="CC627" i="1" s="1"/>
  <c r="AF627" i="1"/>
  <c r="BX627" i="1" s="1"/>
  <c r="AK626" i="1"/>
  <c r="AJ626" i="1"/>
  <c r="CC626" i="1" s="1"/>
  <c r="AF626" i="1"/>
  <c r="BX626" i="1" s="1"/>
  <c r="AK625" i="1"/>
  <c r="AJ625" i="1"/>
  <c r="CC625" i="1" s="1"/>
  <c r="AF625" i="1"/>
  <c r="BX625" i="1" s="1"/>
  <c r="AK624" i="1"/>
  <c r="AJ624" i="1"/>
  <c r="CC624" i="1" s="1"/>
  <c r="AF624" i="1"/>
  <c r="BX624" i="1" s="1"/>
  <c r="AK623" i="1"/>
  <c r="AJ623" i="1"/>
  <c r="CC623" i="1" s="1"/>
  <c r="AF623" i="1"/>
  <c r="BX623" i="1" s="1"/>
  <c r="AK622" i="1"/>
  <c r="AJ622" i="1"/>
  <c r="CC622" i="1" s="1"/>
  <c r="AF622" i="1"/>
  <c r="BX622" i="1" s="1"/>
  <c r="AK621" i="1"/>
  <c r="AJ621" i="1"/>
  <c r="CC621" i="1" s="1"/>
  <c r="AF621" i="1"/>
  <c r="BX621" i="1" s="1"/>
  <c r="AK620" i="1"/>
  <c r="AJ620" i="1"/>
  <c r="CC620" i="1" s="1"/>
  <c r="AF620" i="1"/>
  <c r="BX620" i="1" s="1"/>
  <c r="AK619" i="1"/>
  <c r="AJ619" i="1"/>
  <c r="CC619" i="1" s="1"/>
  <c r="AF619" i="1"/>
  <c r="BX619" i="1" s="1"/>
  <c r="AK618" i="1"/>
  <c r="AJ618" i="1"/>
  <c r="CC618" i="1" s="1"/>
  <c r="AF618" i="1"/>
  <c r="BX618" i="1" s="1"/>
  <c r="AK617" i="1"/>
  <c r="AJ617" i="1"/>
  <c r="CC617" i="1" s="1"/>
  <c r="AF617" i="1"/>
  <c r="BX617" i="1" s="1"/>
  <c r="AK616" i="1"/>
  <c r="AJ616" i="1"/>
  <c r="CC616" i="1" s="1"/>
  <c r="AF616" i="1"/>
  <c r="BX616" i="1" s="1"/>
  <c r="AK615" i="1"/>
  <c r="AJ615" i="1"/>
  <c r="CC615" i="1" s="1"/>
  <c r="AF615" i="1"/>
  <c r="BX615" i="1" s="1"/>
  <c r="AK614" i="1"/>
  <c r="AJ614" i="1"/>
  <c r="CC614" i="1" s="1"/>
  <c r="AF614" i="1"/>
  <c r="BX614" i="1" s="1"/>
  <c r="AK613" i="1"/>
  <c r="AJ613" i="1"/>
  <c r="CC613" i="1" s="1"/>
  <c r="AF613" i="1"/>
  <c r="BX613" i="1" s="1"/>
  <c r="AK612" i="1"/>
  <c r="AJ612" i="1"/>
  <c r="CC612" i="1" s="1"/>
  <c r="AF612" i="1"/>
  <c r="BX612" i="1" s="1"/>
  <c r="AK611" i="1"/>
  <c r="AJ611" i="1"/>
  <c r="CC611" i="1" s="1"/>
  <c r="AF611" i="1"/>
  <c r="BX611" i="1" s="1"/>
  <c r="AK610" i="1"/>
  <c r="AJ610" i="1"/>
  <c r="CC610" i="1" s="1"/>
  <c r="AF610" i="1"/>
  <c r="BX610" i="1" s="1"/>
  <c r="AK609" i="1"/>
  <c r="AJ609" i="1"/>
  <c r="CC609" i="1" s="1"/>
  <c r="AF609" i="1"/>
  <c r="BX609" i="1" s="1"/>
  <c r="AK608" i="1"/>
  <c r="AJ608" i="1"/>
  <c r="CC608" i="1" s="1"/>
  <c r="AF608" i="1"/>
  <c r="BX608" i="1" s="1"/>
  <c r="AK607" i="1"/>
  <c r="AJ607" i="1"/>
  <c r="CC607" i="1" s="1"/>
  <c r="AF607" i="1"/>
  <c r="BX607" i="1" s="1"/>
  <c r="AK606" i="1"/>
  <c r="AJ606" i="1"/>
  <c r="CC606" i="1" s="1"/>
  <c r="AF606" i="1"/>
  <c r="BX606" i="1" s="1"/>
  <c r="AK605" i="1"/>
  <c r="AJ605" i="1"/>
  <c r="CC605" i="1" s="1"/>
  <c r="AF605" i="1"/>
  <c r="BX605" i="1" s="1"/>
  <c r="AK604" i="1"/>
  <c r="AJ604" i="1"/>
  <c r="CC604" i="1" s="1"/>
  <c r="AF604" i="1"/>
  <c r="BX604" i="1" s="1"/>
  <c r="AK603" i="1"/>
  <c r="AJ603" i="1"/>
  <c r="CC603" i="1" s="1"/>
  <c r="AF603" i="1"/>
  <c r="BX603" i="1" s="1"/>
  <c r="AK602" i="1"/>
  <c r="AJ602" i="1"/>
  <c r="CC602" i="1" s="1"/>
  <c r="AF602" i="1"/>
  <c r="BX602" i="1" s="1"/>
  <c r="AK601" i="1"/>
  <c r="AJ601" i="1"/>
  <c r="CC601" i="1" s="1"/>
  <c r="AF601" i="1"/>
  <c r="BX601" i="1" s="1"/>
  <c r="AK600" i="1"/>
  <c r="AJ600" i="1"/>
  <c r="CC600" i="1" s="1"/>
  <c r="AF600" i="1"/>
  <c r="BX600" i="1" s="1"/>
  <c r="AK599" i="1"/>
  <c r="AJ599" i="1"/>
  <c r="CC599" i="1" s="1"/>
  <c r="AF599" i="1"/>
  <c r="BX599" i="1" s="1"/>
  <c r="AK598" i="1"/>
  <c r="AJ598" i="1"/>
  <c r="CC598" i="1" s="1"/>
  <c r="AF598" i="1"/>
  <c r="BX598" i="1" s="1"/>
  <c r="AK597" i="1"/>
  <c r="AJ597" i="1"/>
  <c r="CC597" i="1" s="1"/>
  <c r="AF597" i="1"/>
  <c r="BX597" i="1" s="1"/>
  <c r="AK596" i="1"/>
  <c r="AJ596" i="1"/>
  <c r="CC596" i="1" s="1"/>
  <c r="AF596" i="1"/>
  <c r="BX596" i="1" s="1"/>
  <c r="AK595" i="1"/>
  <c r="AJ595" i="1"/>
  <c r="CC595" i="1" s="1"/>
  <c r="AF595" i="1"/>
  <c r="BX595" i="1" s="1"/>
  <c r="AK594" i="1"/>
  <c r="AJ594" i="1"/>
  <c r="CC594" i="1" s="1"/>
  <c r="AF594" i="1"/>
  <c r="BX594" i="1" s="1"/>
  <c r="AK593" i="1"/>
  <c r="AJ593" i="1"/>
  <c r="CC593" i="1" s="1"/>
  <c r="AF593" i="1"/>
  <c r="BX593" i="1" s="1"/>
  <c r="AK592" i="1"/>
  <c r="AJ592" i="1"/>
  <c r="CC592" i="1" s="1"/>
  <c r="AF592" i="1"/>
  <c r="BX592" i="1" s="1"/>
  <c r="AK591" i="1"/>
  <c r="AJ591" i="1"/>
  <c r="CC591" i="1" s="1"/>
  <c r="AF591" i="1"/>
  <c r="BX591" i="1" s="1"/>
  <c r="AK590" i="1"/>
  <c r="AJ590" i="1"/>
  <c r="CC590" i="1" s="1"/>
  <c r="AF590" i="1"/>
  <c r="BX590" i="1" s="1"/>
  <c r="AK589" i="1"/>
  <c r="AJ589" i="1"/>
  <c r="CC589" i="1" s="1"/>
  <c r="AF589" i="1"/>
  <c r="BX589" i="1" s="1"/>
  <c r="AK588" i="1"/>
  <c r="AJ588" i="1"/>
  <c r="CC588" i="1" s="1"/>
  <c r="AF588" i="1"/>
  <c r="BX588" i="1" s="1"/>
  <c r="AK587" i="1"/>
  <c r="AJ587" i="1"/>
  <c r="CC587" i="1" s="1"/>
  <c r="AF587" i="1"/>
  <c r="BX587" i="1" s="1"/>
  <c r="AK586" i="1"/>
  <c r="AJ586" i="1"/>
  <c r="CC586" i="1" s="1"/>
  <c r="AF586" i="1"/>
  <c r="BX586" i="1" s="1"/>
  <c r="AK585" i="1"/>
  <c r="AJ585" i="1"/>
  <c r="CC585" i="1" s="1"/>
  <c r="AF585" i="1"/>
  <c r="BX585" i="1" s="1"/>
  <c r="AK584" i="1"/>
  <c r="AJ584" i="1"/>
  <c r="CC584" i="1" s="1"/>
  <c r="AF584" i="1"/>
  <c r="BX584" i="1" s="1"/>
  <c r="AK583" i="1"/>
  <c r="AJ583" i="1"/>
  <c r="CC583" i="1" s="1"/>
  <c r="AF583" i="1"/>
  <c r="BX583" i="1" s="1"/>
  <c r="AK582" i="1"/>
  <c r="AJ582" i="1"/>
  <c r="CC582" i="1" s="1"/>
  <c r="AF582" i="1"/>
  <c r="BX582" i="1" s="1"/>
  <c r="AK581" i="1"/>
  <c r="AJ581" i="1"/>
  <c r="CC581" i="1" s="1"/>
  <c r="AF581" i="1"/>
  <c r="BX581" i="1" s="1"/>
  <c r="AK580" i="1"/>
  <c r="AJ580" i="1"/>
  <c r="CC580" i="1" s="1"/>
  <c r="AF580" i="1"/>
  <c r="BX580" i="1" s="1"/>
  <c r="AK579" i="1"/>
  <c r="AJ579" i="1"/>
  <c r="CC579" i="1" s="1"/>
  <c r="AF579" i="1"/>
  <c r="BX579" i="1" s="1"/>
  <c r="AK578" i="1"/>
  <c r="AJ578" i="1"/>
  <c r="CC578" i="1" s="1"/>
  <c r="AF578" i="1"/>
  <c r="BX578" i="1" s="1"/>
  <c r="AK577" i="1"/>
  <c r="AJ577" i="1"/>
  <c r="CC577" i="1" s="1"/>
  <c r="AF577" i="1"/>
  <c r="BX577" i="1" s="1"/>
  <c r="AK576" i="1"/>
  <c r="AJ576" i="1"/>
  <c r="CC576" i="1" s="1"/>
  <c r="AF576" i="1"/>
  <c r="BX576" i="1" s="1"/>
  <c r="AK575" i="1"/>
  <c r="AJ575" i="1"/>
  <c r="CC575" i="1" s="1"/>
  <c r="AF575" i="1"/>
  <c r="BX575" i="1" s="1"/>
  <c r="AK574" i="1"/>
  <c r="AJ574" i="1"/>
  <c r="CC574" i="1" s="1"/>
  <c r="AF574" i="1"/>
  <c r="BX574" i="1" s="1"/>
  <c r="AK573" i="1"/>
  <c r="AJ573" i="1"/>
  <c r="CC573" i="1" s="1"/>
  <c r="AF573" i="1"/>
  <c r="BX573" i="1" s="1"/>
  <c r="AK572" i="1"/>
  <c r="AJ572" i="1"/>
  <c r="CC572" i="1" s="1"/>
  <c r="AF572" i="1"/>
  <c r="BX572" i="1" s="1"/>
  <c r="AK571" i="1"/>
  <c r="AJ571" i="1"/>
  <c r="CC571" i="1" s="1"/>
  <c r="AF571" i="1"/>
  <c r="BX571" i="1" s="1"/>
  <c r="AK570" i="1"/>
  <c r="AJ570" i="1"/>
  <c r="CC570" i="1" s="1"/>
  <c r="AF570" i="1"/>
  <c r="BX570" i="1" s="1"/>
  <c r="AK569" i="1"/>
  <c r="AJ569" i="1"/>
  <c r="CC569" i="1" s="1"/>
  <c r="AF569" i="1"/>
  <c r="BX569" i="1" s="1"/>
  <c r="AK568" i="1"/>
  <c r="AJ568" i="1"/>
  <c r="CC568" i="1" s="1"/>
  <c r="AF568" i="1"/>
  <c r="BX568" i="1" s="1"/>
  <c r="AK567" i="1"/>
  <c r="AJ567" i="1"/>
  <c r="CC567" i="1" s="1"/>
  <c r="AF567" i="1"/>
  <c r="BX567" i="1" s="1"/>
  <c r="AK566" i="1"/>
  <c r="AJ566" i="1"/>
  <c r="CC566" i="1" s="1"/>
  <c r="AF566" i="1"/>
  <c r="BX566" i="1" s="1"/>
  <c r="AK565" i="1"/>
  <c r="AJ565" i="1"/>
  <c r="CC565" i="1" s="1"/>
  <c r="AF565" i="1"/>
  <c r="BX565" i="1" s="1"/>
  <c r="AK564" i="1"/>
  <c r="AJ564" i="1"/>
  <c r="CC564" i="1" s="1"/>
  <c r="AF564" i="1"/>
  <c r="BX564" i="1" s="1"/>
  <c r="AK563" i="1"/>
  <c r="AJ563" i="1"/>
  <c r="CC563" i="1" s="1"/>
  <c r="AF563" i="1"/>
  <c r="BX563" i="1" s="1"/>
  <c r="AK562" i="1"/>
  <c r="AJ562" i="1"/>
  <c r="CC562" i="1" s="1"/>
  <c r="AF562" i="1"/>
  <c r="BX562" i="1" s="1"/>
  <c r="AK561" i="1"/>
  <c r="AJ561" i="1"/>
  <c r="CC561" i="1" s="1"/>
  <c r="AF561" i="1"/>
  <c r="BX561" i="1" s="1"/>
  <c r="AK560" i="1"/>
  <c r="AJ560" i="1"/>
  <c r="CC560" i="1" s="1"/>
  <c r="AF560" i="1"/>
  <c r="BX560" i="1" s="1"/>
  <c r="AK559" i="1"/>
  <c r="AJ559" i="1"/>
  <c r="CC559" i="1" s="1"/>
  <c r="AF559" i="1"/>
  <c r="BX559" i="1" s="1"/>
  <c r="AK558" i="1"/>
  <c r="AJ558" i="1"/>
  <c r="CC558" i="1" s="1"/>
  <c r="AF558" i="1"/>
  <c r="BX558" i="1" s="1"/>
  <c r="AK557" i="1"/>
  <c r="AJ557" i="1"/>
  <c r="CC557" i="1" s="1"/>
  <c r="AF557" i="1"/>
  <c r="BX557" i="1" s="1"/>
  <c r="AK556" i="1"/>
  <c r="AJ556" i="1"/>
  <c r="CC556" i="1" s="1"/>
  <c r="AF556" i="1"/>
  <c r="BX556" i="1" s="1"/>
  <c r="AK555" i="1"/>
  <c r="AJ555" i="1"/>
  <c r="CC555" i="1" s="1"/>
  <c r="AF555" i="1"/>
  <c r="BX555" i="1" s="1"/>
  <c r="AK554" i="1"/>
  <c r="AJ554" i="1"/>
  <c r="CC554" i="1" s="1"/>
  <c r="AF554" i="1"/>
  <c r="BX554" i="1" s="1"/>
  <c r="AK553" i="1"/>
  <c r="AJ553" i="1"/>
  <c r="CC553" i="1" s="1"/>
  <c r="AF553" i="1"/>
  <c r="BX553" i="1" s="1"/>
  <c r="AK552" i="1"/>
  <c r="AJ552" i="1"/>
  <c r="CC552" i="1" s="1"/>
  <c r="AF552" i="1"/>
  <c r="BX552" i="1" s="1"/>
  <c r="AK551" i="1"/>
  <c r="AJ551" i="1"/>
  <c r="CC551" i="1" s="1"/>
  <c r="AF551" i="1"/>
  <c r="BX551" i="1" s="1"/>
  <c r="AK550" i="1"/>
  <c r="AJ550" i="1"/>
  <c r="CC550" i="1" s="1"/>
  <c r="AF550" i="1"/>
  <c r="BX550" i="1" s="1"/>
  <c r="AK549" i="1"/>
  <c r="AJ549" i="1"/>
  <c r="CC549" i="1" s="1"/>
  <c r="AF549" i="1"/>
  <c r="BX549" i="1" s="1"/>
  <c r="AK548" i="1"/>
  <c r="AJ548" i="1"/>
  <c r="CC548" i="1" s="1"/>
  <c r="AF548" i="1"/>
  <c r="BX548" i="1" s="1"/>
  <c r="AK547" i="1"/>
  <c r="AJ547" i="1"/>
  <c r="CC547" i="1" s="1"/>
  <c r="AF547" i="1"/>
  <c r="BX547" i="1" s="1"/>
  <c r="AK546" i="1"/>
  <c r="AJ546" i="1"/>
  <c r="CC546" i="1" s="1"/>
  <c r="AF546" i="1"/>
  <c r="BX546" i="1" s="1"/>
  <c r="AK545" i="1"/>
  <c r="AJ545" i="1"/>
  <c r="CC545" i="1" s="1"/>
  <c r="AF545" i="1"/>
  <c r="BX545" i="1" s="1"/>
  <c r="AK544" i="1"/>
  <c r="AJ544" i="1"/>
  <c r="CC544" i="1" s="1"/>
  <c r="AF544" i="1"/>
  <c r="BX544" i="1" s="1"/>
  <c r="AK543" i="1"/>
  <c r="AJ543" i="1"/>
  <c r="CC543" i="1" s="1"/>
  <c r="AF543" i="1"/>
  <c r="BX543" i="1" s="1"/>
  <c r="AK542" i="1"/>
  <c r="AJ542" i="1"/>
  <c r="CC542" i="1" s="1"/>
  <c r="AF542" i="1"/>
  <c r="BX542" i="1" s="1"/>
  <c r="AK541" i="1"/>
  <c r="AJ541" i="1"/>
  <c r="CC541" i="1" s="1"/>
  <c r="AF541" i="1"/>
  <c r="BX541" i="1" s="1"/>
  <c r="AK540" i="1"/>
  <c r="AJ540" i="1"/>
  <c r="CC540" i="1" s="1"/>
  <c r="AF540" i="1"/>
  <c r="BX540" i="1" s="1"/>
  <c r="AK539" i="1"/>
  <c r="AJ539" i="1"/>
  <c r="CC539" i="1" s="1"/>
  <c r="AF539" i="1"/>
  <c r="BX539" i="1" s="1"/>
  <c r="AK538" i="1"/>
  <c r="AJ538" i="1"/>
  <c r="CC538" i="1" s="1"/>
  <c r="AF538" i="1"/>
  <c r="BX538" i="1" s="1"/>
  <c r="AK537" i="1"/>
  <c r="AJ537" i="1"/>
  <c r="CC537" i="1" s="1"/>
  <c r="AF537" i="1"/>
  <c r="BX537" i="1" s="1"/>
  <c r="AK536" i="1"/>
  <c r="AJ536" i="1"/>
  <c r="CC536" i="1" s="1"/>
  <c r="AF536" i="1"/>
  <c r="BX536" i="1" s="1"/>
  <c r="AK535" i="1"/>
  <c r="AJ535" i="1"/>
  <c r="CC535" i="1" s="1"/>
  <c r="AF535" i="1"/>
  <c r="BX535" i="1" s="1"/>
  <c r="AK534" i="1"/>
  <c r="AJ534" i="1"/>
  <c r="CC534" i="1" s="1"/>
  <c r="AF534" i="1"/>
  <c r="BX534" i="1" s="1"/>
  <c r="AK533" i="1"/>
  <c r="AJ533" i="1"/>
  <c r="CC533" i="1" s="1"/>
  <c r="AF533" i="1"/>
  <c r="BX533" i="1" s="1"/>
  <c r="AK532" i="1"/>
  <c r="AJ532" i="1"/>
  <c r="CC532" i="1" s="1"/>
  <c r="AF532" i="1"/>
  <c r="BX532" i="1" s="1"/>
  <c r="AK531" i="1"/>
  <c r="AJ531" i="1"/>
  <c r="CC531" i="1" s="1"/>
  <c r="AF531" i="1"/>
  <c r="BX531" i="1" s="1"/>
  <c r="AK530" i="1"/>
  <c r="AJ530" i="1"/>
  <c r="CC530" i="1" s="1"/>
  <c r="AF530" i="1"/>
  <c r="BX530" i="1" s="1"/>
  <c r="AK529" i="1"/>
  <c r="AJ529" i="1"/>
  <c r="CC529" i="1" s="1"/>
  <c r="AF529" i="1"/>
  <c r="BX529" i="1" s="1"/>
  <c r="AK528" i="1"/>
  <c r="AJ528" i="1"/>
  <c r="CC528" i="1" s="1"/>
  <c r="AF528" i="1"/>
  <c r="BX528" i="1" s="1"/>
  <c r="AK527" i="1"/>
  <c r="AJ527" i="1"/>
  <c r="CC527" i="1" s="1"/>
  <c r="AF527" i="1"/>
  <c r="BX527" i="1" s="1"/>
  <c r="AK526" i="1"/>
  <c r="AJ526" i="1"/>
  <c r="CC526" i="1" s="1"/>
  <c r="AF526" i="1"/>
  <c r="BX526" i="1" s="1"/>
  <c r="AK525" i="1"/>
  <c r="AJ525" i="1"/>
  <c r="CC525" i="1" s="1"/>
  <c r="AF525" i="1"/>
  <c r="BX525" i="1" s="1"/>
  <c r="AK524" i="1"/>
  <c r="AJ524" i="1"/>
  <c r="CC524" i="1" s="1"/>
  <c r="AF524" i="1"/>
  <c r="BX524" i="1" s="1"/>
  <c r="AK523" i="1"/>
  <c r="AJ523" i="1"/>
  <c r="CC523" i="1" s="1"/>
  <c r="AF523" i="1"/>
  <c r="BX523" i="1" s="1"/>
  <c r="AK522" i="1"/>
  <c r="AJ522" i="1"/>
  <c r="CC522" i="1" s="1"/>
  <c r="AF522" i="1"/>
  <c r="BX522" i="1" s="1"/>
  <c r="AK521" i="1"/>
  <c r="AJ521" i="1"/>
  <c r="CC521" i="1" s="1"/>
  <c r="AF521" i="1"/>
  <c r="BX521" i="1" s="1"/>
  <c r="AK520" i="1"/>
  <c r="AJ520" i="1"/>
  <c r="CC520" i="1" s="1"/>
  <c r="AF520" i="1"/>
  <c r="BX520" i="1" s="1"/>
  <c r="AK519" i="1"/>
  <c r="AJ519" i="1"/>
  <c r="CC519" i="1" s="1"/>
  <c r="AF519" i="1"/>
  <c r="BX519" i="1" s="1"/>
  <c r="AK518" i="1"/>
  <c r="AJ518" i="1"/>
  <c r="CC518" i="1" s="1"/>
  <c r="AF518" i="1"/>
  <c r="BX518" i="1" s="1"/>
  <c r="AK517" i="1"/>
  <c r="AJ517" i="1"/>
  <c r="CC517" i="1" s="1"/>
  <c r="AF517" i="1"/>
  <c r="BX517" i="1" s="1"/>
  <c r="AK516" i="1"/>
  <c r="AJ516" i="1"/>
  <c r="CC516" i="1" s="1"/>
  <c r="AF516" i="1"/>
  <c r="BX516" i="1" s="1"/>
  <c r="AK515" i="1"/>
  <c r="AJ515" i="1"/>
  <c r="CC515" i="1" s="1"/>
  <c r="AF515" i="1"/>
  <c r="BX515" i="1" s="1"/>
  <c r="AK514" i="1"/>
  <c r="AJ514" i="1"/>
  <c r="CC514" i="1" s="1"/>
  <c r="AF514" i="1"/>
  <c r="BX514" i="1" s="1"/>
  <c r="AK513" i="1"/>
  <c r="AJ513" i="1"/>
  <c r="CC513" i="1" s="1"/>
  <c r="AF513" i="1"/>
  <c r="BX513" i="1" s="1"/>
  <c r="AK512" i="1"/>
  <c r="AJ512" i="1"/>
  <c r="CC512" i="1" s="1"/>
  <c r="AF512" i="1"/>
  <c r="BX512" i="1" s="1"/>
  <c r="AK511" i="1"/>
  <c r="AJ511" i="1"/>
  <c r="CC511" i="1" s="1"/>
  <c r="AF511" i="1"/>
  <c r="BX511" i="1" s="1"/>
  <c r="AK510" i="1"/>
  <c r="AJ510" i="1"/>
  <c r="CC510" i="1" s="1"/>
  <c r="AF510" i="1"/>
  <c r="BX510" i="1" s="1"/>
  <c r="AK509" i="1"/>
  <c r="AJ509" i="1"/>
  <c r="CC509" i="1" s="1"/>
  <c r="AF509" i="1"/>
  <c r="BX509" i="1" s="1"/>
  <c r="AK508" i="1"/>
  <c r="AJ508" i="1"/>
  <c r="CC508" i="1" s="1"/>
  <c r="AF508" i="1"/>
  <c r="BX508" i="1" s="1"/>
  <c r="AK507" i="1"/>
  <c r="AJ507" i="1"/>
  <c r="CC507" i="1" s="1"/>
  <c r="AF507" i="1"/>
  <c r="BX507" i="1" s="1"/>
  <c r="AK506" i="1"/>
  <c r="AJ506" i="1"/>
  <c r="CC506" i="1" s="1"/>
  <c r="AF506" i="1"/>
  <c r="BX506" i="1" s="1"/>
  <c r="AK505" i="1"/>
  <c r="AJ505" i="1"/>
  <c r="CC505" i="1" s="1"/>
  <c r="AF505" i="1"/>
  <c r="BX505" i="1" s="1"/>
  <c r="AK504" i="1"/>
  <c r="AJ504" i="1"/>
  <c r="CC504" i="1" s="1"/>
  <c r="AF504" i="1"/>
  <c r="BX504" i="1" s="1"/>
  <c r="AK503" i="1"/>
  <c r="AJ503" i="1"/>
  <c r="CC503" i="1" s="1"/>
  <c r="AF503" i="1"/>
  <c r="BX503" i="1" s="1"/>
  <c r="AK502" i="1"/>
  <c r="AJ502" i="1"/>
  <c r="CC502" i="1" s="1"/>
  <c r="AF502" i="1"/>
  <c r="BX502" i="1" s="1"/>
  <c r="AK501" i="1"/>
  <c r="AJ501" i="1"/>
  <c r="CC501" i="1" s="1"/>
  <c r="AF501" i="1"/>
  <c r="BX501" i="1" s="1"/>
  <c r="AK500" i="1"/>
  <c r="AJ500" i="1"/>
  <c r="CC500" i="1" s="1"/>
  <c r="AF500" i="1"/>
  <c r="BX500" i="1" s="1"/>
  <c r="AK499" i="1"/>
  <c r="AJ499" i="1"/>
  <c r="CC499" i="1" s="1"/>
  <c r="AF499" i="1"/>
  <c r="BX499" i="1" s="1"/>
  <c r="AK498" i="1"/>
  <c r="AJ498" i="1"/>
  <c r="CC498" i="1" s="1"/>
  <c r="AF498" i="1"/>
  <c r="BX498" i="1" s="1"/>
  <c r="AK497" i="1"/>
  <c r="AJ497" i="1"/>
  <c r="CC497" i="1" s="1"/>
  <c r="AF497" i="1"/>
  <c r="BX497" i="1" s="1"/>
  <c r="AK496" i="1"/>
  <c r="AJ496" i="1"/>
  <c r="CC496" i="1" s="1"/>
  <c r="AF496" i="1"/>
  <c r="BX496" i="1" s="1"/>
  <c r="AK495" i="1"/>
  <c r="AJ495" i="1"/>
  <c r="CC495" i="1" s="1"/>
  <c r="AF495" i="1"/>
  <c r="BX495" i="1" s="1"/>
  <c r="AK494" i="1"/>
  <c r="AJ494" i="1"/>
  <c r="CC494" i="1" s="1"/>
  <c r="AF494" i="1"/>
  <c r="BX494" i="1" s="1"/>
  <c r="AK493" i="1"/>
  <c r="AJ493" i="1"/>
  <c r="CC493" i="1" s="1"/>
  <c r="AF493" i="1"/>
  <c r="BX493" i="1" s="1"/>
  <c r="AK492" i="1"/>
  <c r="AJ492" i="1"/>
  <c r="CC492" i="1" s="1"/>
  <c r="AF492" i="1"/>
  <c r="BX492" i="1" s="1"/>
  <c r="AK491" i="1"/>
  <c r="AJ491" i="1"/>
  <c r="CC491" i="1" s="1"/>
  <c r="AF491" i="1"/>
  <c r="BX491" i="1" s="1"/>
  <c r="AK490" i="1"/>
  <c r="AJ490" i="1"/>
  <c r="CC490" i="1" s="1"/>
  <c r="AF490" i="1"/>
  <c r="BX490" i="1" s="1"/>
  <c r="AK489" i="1"/>
  <c r="AJ489" i="1"/>
  <c r="CC489" i="1" s="1"/>
  <c r="AF489" i="1"/>
  <c r="BX489" i="1" s="1"/>
  <c r="AK488" i="1"/>
  <c r="AJ488" i="1"/>
  <c r="CC488" i="1" s="1"/>
  <c r="AF488" i="1"/>
  <c r="BX488" i="1" s="1"/>
  <c r="AK487" i="1"/>
  <c r="AJ487" i="1"/>
  <c r="CC487" i="1" s="1"/>
  <c r="AF487" i="1"/>
  <c r="BX487" i="1" s="1"/>
  <c r="AK486" i="1"/>
  <c r="AJ486" i="1"/>
  <c r="CC486" i="1" s="1"/>
  <c r="AF486" i="1"/>
  <c r="BX486" i="1" s="1"/>
  <c r="AK485" i="1"/>
  <c r="AJ485" i="1"/>
  <c r="CC485" i="1" s="1"/>
  <c r="AF485" i="1"/>
  <c r="BX485" i="1" s="1"/>
  <c r="AK484" i="1"/>
  <c r="AJ484" i="1"/>
  <c r="CC484" i="1" s="1"/>
  <c r="AF484" i="1"/>
  <c r="BX484" i="1" s="1"/>
  <c r="AK483" i="1"/>
  <c r="AJ483" i="1"/>
  <c r="CC483" i="1" s="1"/>
  <c r="AF483" i="1"/>
  <c r="BX483" i="1" s="1"/>
  <c r="AK482" i="1"/>
  <c r="AJ482" i="1"/>
  <c r="CC482" i="1" s="1"/>
  <c r="AF482" i="1"/>
  <c r="BX482" i="1" s="1"/>
  <c r="AK481" i="1"/>
  <c r="AJ481" i="1"/>
  <c r="CC481" i="1" s="1"/>
  <c r="AF481" i="1"/>
  <c r="BX481" i="1" s="1"/>
  <c r="AK480" i="1"/>
  <c r="AJ480" i="1"/>
  <c r="CC480" i="1" s="1"/>
  <c r="AF480" i="1"/>
  <c r="BX480" i="1" s="1"/>
  <c r="AK479" i="1"/>
  <c r="AJ479" i="1"/>
  <c r="CC479" i="1" s="1"/>
  <c r="AF479" i="1"/>
  <c r="BX479" i="1" s="1"/>
  <c r="AK478" i="1"/>
  <c r="AJ478" i="1"/>
  <c r="CC478" i="1" s="1"/>
  <c r="AF478" i="1"/>
  <c r="BX478" i="1" s="1"/>
  <c r="AK477" i="1"/>
  <c r="AJ477" i="1"/>
  <c r="CC477" i="1" s="1"/>
  <c r="AF477" i="1"/>
  <c r="BX477" i="1" s="1"/>
  <c r="AK476" i="1"/>
  <c r="AJ476" i="1"/>
  <c r="CC476" i="1" s="1"/>
  <c r="AF476" i="1"/>
  <c r="BX476" i="1" s="1"/>
  <c r="AK475" i="1"/>
  <c r="AJ475" i="1"/>
  <c r="CC475" i="1" s="1"/>
  <c r="AF475" i="1"/>
  <c r="BX475" i="1" s="1"/>
  <c r="AK474" i="1"/>
  <c r="AJ474" i="1"/>
  <c r="CC474" i="1" s="1"/>
  <c r="AF474" i="1"/>
  <c r="BX474" i="1" s="1"/>
  <c r="AK473" i="1"/>
  <c r="AJ473" i="1"/>
  <c r="CC473" i="1" s="1"/>
  <c r="AF473" i="1"/>
  <c r="BX473" i="1" s="1"/>
  <c r="AK472" i="1"/>
  <c r="AJ472" i="1"/>
  <c r="CC472" i="1" s="1"/>
  <c r="AF472" i="1"/>
  <c r="BX472" i="1" s="1"/>
  <c r="AK471" i="1"/>
  <c r="AJ471" i="1"/>
  <c r="CC471" i="1" s="1"/>
  <c r="AF471" i="1"/>
  <c r="BX471" i="1" s="1"/>
  <c r="AK470" i="1"/>
  <c r="AJ470" i="1"/>
  <c r="CC470" i="1" s="1"/>
  <c r="AF470" i="1"/>
  <c r="BX470" i="1" s="1"/>
  <c r="AK469" i="1"/>
  <c r="AJ469" i="1"/>
  <c r="CC469" i="1" s="1"/>
  <c r="AF469" i="1"/>
  <c r="BX469" i="1" s="1"/>
  <c r="AK468" i="1"/>
  <c r="AJ468" i="1"/>
  <c r="CC468" i="1" s="1"/>
  <c r="AF468" i="1"/>
  <c r="BX468" i="1" s="1"/>
  <c r="AK467" i="1"/>
  <c r="AJ467" i="1"/>
  <c r="CC467" i="1" s="1"/>
  <c r="AF467" i="1"/>
  <c r="BX467" i="1" s="1"/>
  <c r="AK466" i="1"/>
  <c r="AJ466" i="1"/>
  <c r="CC466" i="1" s="1"/>
  <c r="AF466" i="1"/>
  <c r="BX466" i="1" s="1"/>
  <c r="AK465" i="1"/>
  <c r="AJ465" i="1"/>
  <c r="CC465" i="1" s="1"/>
  <c r="AF465" i="1"/>
  <c r="BX465" i="1" s="1"/>
  <c r="AK464" i="1"/>
  <c r="AJ464" i="1"/>
  <c r="CC464" i="1" s="1"/>
  <c r="AF464" i="1"/>
  <c r="BX464" i="1" s="1"/>
  <c r="AK463" i="1"/>
  <c r="AJ463" i="1"/>
  <c r="CC463" i="1" s="1"/>
  <c r="AF463" i="1"/>
  <c r="BX463" i="1" s="1"/>
  <c r="AK462" i="1"/>
  <c r="AJ462" i="1"/>
  <c r="CC462" i="1" s="1"/>
  <c r="AF462" i="1"/>
  <c r="BX462" i="1" s="1"/>
  <c r="AK461" i="1"/>
  <c r="AJ461" i="1"/>
  <c r="CC461" i="1" s="1"/>
  <c r="AF461" i="1"/>
  <c r="BX461" i="1" s="1"/>
  <c r="AK460" i="1"/>
  <c r="AJ460" i="1"/>
  <c r="CC460" i="1" s="1"/>
  <c r="AF460" i="1"/>
  <c r="BX460" i="1" s="1"/>
  <c r="AK459" i="1"/>
  <c r="AJ459" i="1"/>
  <c r="CC459" i="1" s="1"/>
  <c r="AF459" i="1"/>
  <c r="BX459" i="1" s="1"/>
  <c r="AK458" i="1"/>
  <c r="AJ458" i="1"/>
  <c r="CC458" i="1" s="1"/>
  <c r="AF458" i="1"/>
  <c r="BX458" i="1" s="1"/>
  <c r="AK457" i="1"/>
  <c r="AJ457" i="1"/>
  <c r="CC457" i="1" s="1"/>
  <c r="AF457" i="1"/>
  <c r="BX457" i="1" s="1"/>
  <c r="AK456" i="1"/>
  <c r="AJ456" i="1"/>
  <c r="CC456" i="1" s="1"/>
  <c r="AF456" i="1"/>
  <c r="BX456" i="1" s="1"/>
  <c r="AK455" i="1"/>
  <c r="AJ455" i="1"/>
  <c r="CC455" i="1" s="1"/>
  <c r="AF455" i="1"/>
  <c r="BX455" i="1" s="1"/>
  <c r="AK454" i="1"/>
  <c r="AJ454" i="1"/>
  <c r="CC454" i="1" s="1"/>
  <c r="AF454" i="1"/>
  <c r="BX454" i="1" s="1"/>
  <c r="AK453" i="1"/>
  <c r="AJ453" i="1"/>
  <c r="CC453" i="1" s="1"/>
  <c r="AF453" i="1"/>
  <c r="BX453" i="1" s="1"/>
  <c r="AK452" i="1"/>
  <c r="AJ452" i="1"/>
  <c r="CC452" i="1" s="1"/>
  <c r="AF452" i="1"/>
  <c r="BX452" i="1" s="1"/>
  <c r="AK451" i="1"/>
  <c r="AJ451" i="1"/>
  <c r="CC451" i="1" s="1"/>
  <c r="AF451" i="1"/>
  <c r="BX451" i="1" s="1"/>
  <c r="AK450" i="1"/>
  <c r="AJ450" i="1"/>
  <c r="CC450" i="1" s="1"/>
  <c r="AF450" i="1"/>
  <c r="BX450" i="1" s="1"/>
  <c r="AK449" i="1"/>
  <c r="AJ449" i="1"/>
  <c r="CC449" i="1" s="1"/>
  <c r="AF449" i="1"/>
  <c r="BX449" i="1" s="1"/>
  <c r="AK448" i="1"/>
  <c r="AJ448" i="1"/>
  <c r="CC448" i="1" s="1"/>
  <c r="AF448" i="1"/>
  <c r="BX448" i="1" s="1"/>
  <c r="AK447" i="1"/>
  <c r="AJ447" i="1"/>
  <c r="CC447" i="1" s="1"/>
  <c r="AF447" i="1"/>
  <c r="BX447" i="1" s="1"/>
  <c r="AK446" i="1"/>
  <c r="AJ446" i="1"/>
  <c r="CC446" i="1" s="1"/>
  <c r="AF446" i="1"/>
  <c r="BX446" i="1" s="1"/>
  <c r="AK445" i="1"/>
  <c r="AJ445" i="1"/>
  <c r="CC445" i="1" s="1"/>
  <c r="AF445" i="1"/>
  <c r="BX445" i="1" s="1"/>
  <c r="AK444" i="1"/>
  <c r="AJ444" i="1"/>
  <c r="CC444" i="1" s="1"/>
  <c r="AF444" i="1"/>
  <c r="BX444" i="1" s="1"/>
  <c r="AK443" i="1"/>
  <c r="AJ443" i="1"/>
  <c r="CC443" i="1" s="1"/>
  <c r="AF443" i="1"/>
  <c r="BX443" i="1" s="1"/>
  <c r="AK442" i="1"/>
  <c r="AJ442" i="1"/>
  <c r="CC442" i="1" s="1"/>
  <c r="AF442" i="1"/>
  <c r="BX442" i="1" s="1"/>
  <c r="AK441" i="1"/>
  <c r="AJ441" i="1"/>
  <c r="CC441" i="1" s="1"/>
  <c r="AF441" i="1"/>
  <c r="BX441" i="1" s="1"/>
  <c r="AK440" i="1"/>
  <c r="AJ440" i="1"/>
  <c r="CC440" i="1" s="1"/>
  <c r="AF440" i="1"/>
  <c r="BX440" i="1" s="1"/>
  <c r="AK439" i="1"/>
  <c r="AJ439" i="1"/>
  <c r="CC439" i="1" s="1"/>
  <c r="AF439" i="1"/>
  <c r="BX439" i="1" s="1"/>
  <c r="AK438" i="1"/>
  <c r="AJ438" i="1"/>
  <c r="CC438" i="1" s="1"/>
  <c r="AF438" i="1"/>
  <c r="BX438" i="1" s="1"/>
  <c r="AK437" i="1"/>
  <c r="AJ437" i="1"/>
  <c r="CC437" i="1" s="1"/>
  <c r="AF437" i="1"/>
  <c r="BX437" i="1" s="1"/>
  <c r="AK436" i="1"/>
  <c r="AJ436" i="1"/>
  <c r="CC436" i="1" s="1"/>
  <c r="AF436" i="1"/>
  <c r="BX436" i="1" s="1"/>
  <c r="AK435" i="1"/>
  <c r="AJ435" i="1"/>
  <c r="CC435" i="1" s="1"/>
  <c r="AF435" i="1"/>
  <c r="BX435" i="1" s="1"/>
  <c r="AK434" i="1"/>
  <c r="AJ434" i="1"/>
  <c r="CC434" i="1" s="1"/>
  <c r="AF434" i="1"/>
  <c r="BX434" i="1" s="1"/>
  <c r="AK433" i="1"/>
  <c r="AJ433" i="1"/>
  <c r="CC433" i="1" s="1"/>
  <c r="AF433" i="1"/>
  <c r="BX433" i="1" s="1"/>
  <c r="AK432" i="1"/>
  <c r="AJ432" i="1"/>
  <c r="CC432" i="1" s="1"/>
  <c r="AF432" i="1"/>
  <c r="BX432" i="1" s="1"/>
  <c r="AK431" i="1"/>
  <c r="AJ431" i="1"/>
  <c r="CC431" i="1" s="1"/>
  <c r="AF431" i="1"/>
  <c r="BX431" i="1" s="1"/>
  <c r="AK430" i="1"/>
  <c r="AJ430" i="1"/>
  <c r="CC430" i="1" s="1"/>
  <c r="AF430" i="1"/>
  <c r="BX430" i="1" s="1"/>
  <c r="AK429" i="1"/>
  <c r="AJ429" i="1"/>
  <c r="CC429" i="1" s="1"/>
  <c r="AF429" i="1"/>
  <c r="BX429" i="1" s="1"/>
  <c r="AK428" i="1"/>
  <c r="AJ428" i="1"/>
  <c r="CC428" i="1" s="1"/>
  <c r="AF428" i="1"/>
  <c r="BX428" i="1" s="1"/>
  <c r="AK427" i="1"/>
  <c r="AJ427" i="1"/>
  <c r="CC427" i="1" s="1"/>
  <c r="AF427" i="1"/>
  <c r="BX427" i="1" s="1"/>
  <c r="AK426" i="1"/>
  <c r="AJ426" i="1"/>
  <c r="CC426" i="1" s="1"/>
  <c r="AF426" i="1"/>
  <c r="BX426" i="1" s="1"/>
  <c r="AK425" i="1"/>
  <c r="AJ425" i="1"/>
  <c r="CC425" i="1" s="1"/>
  <c r="AF425" i="1"/>
  <c r="BX425" i="1" s="1"/>
  <c r="AK424" i="1"/>
  <c r="AJ424" i="1"/>
  <c r="CC424" i="1" s="1"/>
  <c r="AF424" i="1"/>
  <c r="BX424" i="1" s="1"/>
  <c r="AK423" i="1"/>
  <c r="AJ423" i="1"/>
  <c r="CC423" i="1" s="1"/>
  <c r="AF423" i="1"/>
  <c r="BX423" i="1" s="1"/>
  <c r="AK422" i="1"/>
  <c r="AJ422" i="1"/>
  <c r="CC422" i="1" s="1"/>
  <c r="AF422" i="1"/>
  <c r="BX422" i="1" s="1"/>
  <c r="AK421" i="1"/>
  <c r="AJ421" i="1"/>
  <c r="CC421" i="1" s="1"/>
  <c r="AF421" i="1"/>
  <c r="BX421" i="1" s="1"/>
  <c r="AK420" i="1"/>
  <c r="AJ420" i="1"/>
  <c r="CC420" i="1" s="1"/>
  <c r="AF420" i="1"/>
  <c r="BX420" i="1" s="1"/>
  <c r="AK419" i="1"/>
  <c r="AJ419" i="1"/>
  <c r="CC419" i="1" s="1"/>
  <c r="AF419" i="1"/>
  <c r="BX419" i="1" s="1"/>
  <c r="AK418" i="1"/>
  <c r="AJ418" i="1"/>
  <c r="CC418" i="1" s="1"/>
  <c r="AF418" i="1"/>
  <c r="BX418" i="1" s="1"/>
  <c r="AK417" i="1"/>
  <c r="AJ417" i="1"/>
  <c r="CC417" i="1" s="1"/>
  <c r="AF417" i="1"/>
  <c r="BX417" i="1" s="1"/>
  <c r="AK416" i="1"/>
  <c r="AJ416" i="1"/>
  <c r="CC416" i="1" s="1"/>
  <c r="AF416" i="1"/>
  <c r="BX416" i="1" s="1"/>
  <c r="AK415" i="1"/>
  <c r="AJ415" i="1"/>
  <c r="CC415" i="1" s="1"/>
  <c r="AF415" i="1"/>
  <c r="BX415" i="1" s="1"/>
  <c r="AK414" i="1"/>
  <c r="AJ414" i="1"/>
  <c r="CC414" i="1" s="1"/>
  <c r="AF414" i="1"/>
  <c r="BX414" i="1" s="1"/>
  <c r="AK413" i="1"/>
  <c r="AJ413" i="1"/>
  <c r="CC413" i="1" s="1"/>
  <c r="AF413" i="1"/>
  <c r="BX413" i="1" s="1"/>
  <c r="AK412" i="1"/>
  <c r="AJ412" i="1"/>
  <c r="CC412" i="1" s="1"/>
  <c r="AF412" i="1"/>
  <c r="BX412" i="1" s="1"/>
  <c r="AK411" i="1"/>
  <c r="AJ411" i="1"/>
  <c r="CC411" i="1" s="1"/>
  <c r="AF411" i="1"/>
  <c r="BX411" i="1" s="1"/>
  <c r="AK410" i="1"/>
  <c r="AJ410" i="1"/>
  <c r="CC410" i="1" s="1"/>
  <c r="AF410" i="1"/>
  <c r="BX410" i="1" s="1"/>
  <c r="AK409" i="1"/>
  <c r="AJ409" i="1"/>
  <c r="CC409" i="1" s="1"/>
  <c r="AF409" i="1"/>
  <c r="BX409" i="1" s="1"/>
  <c r="AK408" i="1"/>
  <c r="AJ408" i="1"/>
  <c r="CC408" i="1" s="1"/>
  <c r="AF408" i="1"/>
  <c r="BX408" i="1" s="1"/>
  <c r="AK407" i="1"/>
  <c r="AJ407" i="1"/>
  <c r="CC407" i="1" s="1"/>
  <c r="AF407" i="1"/>
  <c r="BX407" i="1" s="1"/>
  <c r="AK406" i="1"/>
  <c r="AJ406" i="1"/>
  <c r="CC406" i="1" s="1"/>
  <c r="AF406" i="1"/>
  <c r="BX406" i="1" s="1"/>
  <c r="AK405" i="1"/>
  <c r="AJ405" i="1"/>
  <c r="CC405" i="1" s="1"/>
  <c r="AF405" i="1"/>
  <c r="BX405" i="1" s="1"/>
  <c r="AK404" i="1"/>
  <c r="AJ404" i="1"/>
  <c r="CC404" i="1" s="1"/>
  <c r="AF404" i="1"/>
  <c r="BX404" i="1" s="1"/>
  <c r="AK403" i="1"/>
  <c r="AJ403" i="1"/>
  <c r="CC403" i="1" s="1"/>
  <c r="AF403" i="1"/>
  <c r="BX403" i="1" s="1"/>
  <c r="AK402" i="1"/>
  <c r="AJ402" i="1"/>
  <c r="CC402" i="1" s="1"/>
  <c r="AF402" i="1"/>
  <c r="BX402" i="1" s="1"/>
  <c r="AK401" i="1"/>
  <c r="AJ401" i="1"/>
  <c r="CC401" i="1" s="1"/>
  <c r="AF401" i="1"/>
  <c r="BX401" i="1" s="1"/>
  <c r="AK400" i="1"/>
  <c r="AJ400" i="1"/>
  <c r="CC400" i="1" s="1"/>
  <c r="AF400" i="1"/>
  <c r="BX400" i="1" s="1"/>
  <c r="AK399" i="1"/>
  <c r="AJ399" i="1"/>
  <c r="CC399" i="1" s="1"/>
  <c r="AF399" i="1"/>
  <c r="BX399" i="1" s="1"/>
  <c r="AK398" i="1"/>
  <c r="AJ398" i="1"/>
  <c r="CC398" i="1" s="1"/>
  <c r="AF398" i="1"/>
  <c r="BX398" i="1" s="1"/>
  <c r="AK397" i="1"/>
  <c r="AJ397" i="1"/>
  <c r="CC397" i="1" s="1"/>
  <c r="AF397" i="1"/>
  <c r="BX397" i="1" s="1"/>
  <c r="AK396" i="1"/>
  <c r="AJ396" i="1"/>
  <c r="CC396" i="1" s="1"/>
  <c r="AF396" i="1"/>
  <c r="BX396" i="1" s="1"/>
  <c r="AK395" i="1"/>
  <c r="AJ395" i="1"/>
  <c r="CC395" i="1" s="1"/>
  <c r="AF395" i="1"/>
  <c r="BX395" i="1" s="1"/>
  <c r="AK394" i="1"/>
  <c r="AJ394" i="1"/>
  <c r="CC394" i="1" s="1"/>
  <c r="AF394" i="1"/>
  <c r="BX394" i="1" s="1"/>
  <c r="AK393" i="1"/>
  <c r="AJ393" i="1"/>
  <c r="CC393" i="1" s="1"/>
  <c r="AF393" i="1"/>
  <c r="BX393" i="1" s="1"/>
  <c r="AK392" i="1"/>
  <c r="AJ392" i="1"/>
  <c r="CC392" i="1" s="1"/>
  <c r="AF392" i="1"/>
  <c r="BX392" i="1" s="1"/>
  <c r="AK391" i="1"/>
  <c r="AJ391" i="1"/>
  <c r="CC391" i="1" s="1"/>
  <c r="AF391" i="1"/>
  <c r="BX391" i="1" s="1"/>
  <c r="AK390" i="1"/>
  <c r="AJ390" i="1"/>
  <c r="CC390" i="1" s="1"/>
  <c r="AF390" i="1"/>
  <c r="BX390" i="1" s="1"/>
  <c r="AK389" i="1"/>
  <c r="AJ389" i="1"/>
  <c r="CC389" i="1" s="1"/>
  <c r="AF389" i="1"/>
  <c r="BX389" i="1" s="1"/>
  <c r="AK388" i="1"/>
  <c r="AJ388" i="1"/>
  <c r="CC388" i="1" s="1"/>
  <c r="AF388" i="1"/>
  <c r="BX388" i="1" s="1"/>
  <c r="AK387" i="1"/>
  <c r="AJ387" i="1"/>
  <c r="CC387" i="1" s="1"/>
  <c r="AF387" i="1"/>
  <c r="BX387" i="1" s="1"/>
  <c r="AK386" i="1"/>
  <c r="AJ386" i="1"/>
  <c r="CC386" i="1" s="1"/>
  <c r="AF386" i="1"/>
  <c r="BX386" i="1" s="1"/>
  <c r="AK385" i="1"/>
  <c r="AJ385" i="1"/>
  <c r="CC385" i="1" s="1"/>
  <c r="AF385" i="1"/>
  <c r="BX385" i="1" s="1"/>
  <c r="AK384" i="1"/>
  <c r="AJ384" i="1"/>
  <c r="CC384" i="1" s="1"/>
  <c r="AF384" i="1"/>
  <c r="BX384" i="1" s="1"/>
  <c r="AK383" i="1"/>
  <c r="AJ383" i="1"/>
  <c r="CC383" i="1" s="1"/>
  <c r="AF383" i="1"/>
  <c r="BX383" i="1" s="1"/>
  <c r="AK382" i="1"/>
  <c r="AJ382" i="1"/>
  <c r="CC382" i="1" s="1"/>
  <c r="AF382" i="1"/>
  <c r="BX382" i="1" s="1"/>
  <c r="AK381" i="1"/>
  <c r="AJ381" i="1"/>
  <c r="CC381" i="1" s="1"/>
  <c r="AF381" i="1"/>
  <c r="BX381" i="1" s="1"/>
  <c r="AK380" i="1"/>
  <c r="AJ380" i="1"/>
  <c r="CC380" i="1" s="1"/>
  <c r="AF380" i="1"/>
  <c r="BX380" i="1" s="1"/>
  <c r="AK379" i="1"/>
  <c r="AJ379" i="1"/>
  <c r="CC379" i="1" s="1"/>
  <c r="AF379" i="1"/>
  <c r="BX379" i="1" s="1"/>
  <c r="AK378" i="1"/>
  <c r="AJ378" i="1"/>
  <c r="CC378" i="1" s="1"/>
  <c r="AF378" i="1"/>
  <c r="BX378" i="1" s="1"/>
  <c r="AK377" i="1"/>
  <c r="AJ377" i="1"/>
  <c r="CC377" i="1" s="1"/>
  <c r="AF377" i="1"/>
  <c r="BX377" i="1" s="1"/>
  <c r="AK376" i="1"/>
  <c r="AJ376" i="1"/>
  <c r="CC376" i="1" s="1"/>
  <c r="AF376" i="1"/>
  <c r="BX376" i="1" s="1"/>
  <c r="AK375" i="1"/>
  <c r="AJ375" i="1"/>
  <c r="CC375" i="1" s="1"/>
  <c r="AF375" i="1"/>
  <c r="BX375" i="1" s="1"/>
  <c r="AK374" i="1"/>
  <c r="AJ374" i="1"/>
  <c r="CC374" i="1" s="1"/>
  <c r="AF374" i="1"/>
  <c r="BX374" i="1" s="1"/>
  <c r="AK373" i="1"/>
  <c r="AJ373" i="1"/>
  <c r="CC373" i="1" s="1"/>
  <c r="AF373" i="1"/>
  <c r="BX373" i="1" s="1"/>
  <c r="AK372" i="1"/>
  <c r="AJ372" i="1"/>
  <c r="CC372" i="1" s="1"/>
  <c r="AF372" i="1"/>
  <c r="BX372" i="1" s="1"/>
  <c r="AK371" i="1"/>
  <c r="AJ371" i="1"/>
  <c r="CC371" i="1" s="1"/>
  <c r="AF371" i="1"/>
  <c r="BX371" i="1" s="1"/>
  <c r="AK370" i="1"/>
  <c r="AJ370" i="1"/>
  <c r="CC370" i="1" s="1"/>
  <c r="AF370" i="1"/>
  <c r="BX370" i="1" s="1"/>
  <c r="AK369" i="1"/>
  <c r="AJ369" i="1"/>
  <c r="CC369" i="1" s="1"/>
  <c r="AF369" i="1"/>
  <c r="BX369" i="1" s="1"/>
  <c r="AK368" i="1"/>
  <c r="AJ368" i="1"/>
  <c r="CC368" i="1" s="1"/>
  <c r="AF368" i="1"/>
  <c r="BX368" i="1" s="1"/>
  <c r="AK367" i="1"/>
  <c r="AJ367" i="1"/>
  <c r="CC367" i="1" s="1"/>
  <c r="AF367" i="1"/>
  <c r="BX367" i="1" s="1"/>
  <c r="AK366" i="1"/>
  <c r="AJ366" i="1"/>
  <c r="CC366" i="1" s="1"/>
  <c r="AF366" i="1"/>
  <c r="BX366" i="1" s="1"/>
  <c r="AK365" i="1"/>
  <c r="AJ365" i="1"/>
  <c r="CC365" i="1" s="1"/>
  <c r="AF365" i="1"/>
  <c r="BX365" i="1" s="1"/>
  <c r="AK364" i="1"/>
  <c r="AJ364" i="1"/>
  <c r="CC364" i="1" s="1"/>
  <c r="AF364" i="1"/>
  <c r="BX364" i="1" s="1"/>
  <c r="AK363" i="1"/>
  <c r="AJ363" i="1"/>
  <c r="CC363" i="1" s="1"/>
  <c r="AF363" i="1"/>
  <c r="BX363" i="1" s="1"/>
  <c r="AK362" i="1"/>
  <c r="AJ362" i="1"/>
  <c r="CC362" i="1" s="1"/>
  <c r="AF362" i="1"/>
  <c r="BX362" i="1" s="1"/>
  <c r="AK361" i="1"/>
  <c r="AJ361" i="1"/>
  <c r="CC361" i="1" s="1"/>
  <c r="AF361" i="1"/>
  <c r="BX361" i="1" s="1"/>
  <c r="AK360" i="1"/>
  <c r="AJ360" i="1"/>
  <c r="CC360" i="1" s="1"/>
  <c r="AF360" i="1"/>
  <c r="BX360" i="1" s="1"/>
  <c r="AK359" i="1"/>
  <c r="AJ359" i="1"/>
  <c r="CC359" i="1" s="1"/>
  <c r="AF359" i="1"/>
  <c r="BX359" i="1" s="1"/>
  <c r="AK358" i="1"/>
  <c r="AJ358" i="1"/>
  <c r="CC358" i="1" s="1"/>
  <c r="AF358" i="1"/>
  <c r="BX358" i="1" s="1"/>
  <c r="AK357" i="1"/>
  <c r="AJ357" i="1"/>
  <c r="CC357" i="1" s="1"/>
  <c r="AF357" i="1"/>
  <c r="BX357" i="1" s="1"/>
  <c r="AK356" i="1"/>
  <c r="AJ356" i="1"/>
  <c r="CC356" i="1" s="1"/>
  <c r="AF356" i="1"/>
  <c r="BX356" i="1" s="1"/>
  <c r="AK355" i="1"/>
  <c r="AJ355" i="1"/>
  <c r="CC355" i="1" s="1"/>
  <c r="AF355" i="1"/>
  <c r="BX355" i="1" s="1"/>
  <c r="AK354" i="1"/>
  <c r="AJ354" i="1"/>
  <c r="CC354" i="1" s="1"/>
  <c r="AF354" i="1"/>
  <c r="BX354" i="1" s="1"/>
  <c r="AK353" i="1"/>
  <c r="AJ353" i="1"/>
  <c r="CC353" i="1" s="1"/>
  <c r="AF353" i="1"/>
  <c r="BX353" i="1" s="1"/>
  <c r="AK352" i="1"/>
  <c r="AJ352" i="1"/>
  <c r="CC352" i="1" s="1"/>
  <c r="AF352" i="1"/>
  <c r="BX352" i="1" s="1"/>
  <c r="AK351" i="1"/>
  <c r="AJ351" i="1"/>
  <c r="CC351" i="1" s="1"/>
  <c r="AF351" i="1"/>
  <c r="BX351" i="1" s="1"/>
  <c r="AK350" i="1"/>
  <c r="AJ350" i="1"/>
  <c r="CC350" i="1" s="1"/>
  <c r="AF350" i="1"/>
  <c r="BX350" i="1" s="1"/>
  <c r="AK349" i="1"/>
  <c r="AJ349" i="1"/>
  <c r="CC349" i="1" s="1"/>
  <c r="AF349" i="1"/>
  <c r="BX349" i="1" s="1"/>
  <c r="AK348" i="1"/>
  <c r="AJ348" i="1"/>
  <c r="CC348" i="1" s="1"/>
  <c r="AF348" i="1"/>
  <c r="BX348" i="1" s="1"/>
  <c r="AK347" i="1"/>
  <c r="AJ347" i="1"/>
  <c r="CC347" i="1" s="1"/>
  <c r="AF347" i="1"/>
  <c r="BX347" i="1" s="1"/>
  <c r="AK346" i="1"/>
  <c r="AJ346" i="1"/>
  <c r="CC346" i="1" s="1"/>
  <c r="AF346" i="1"/>
  <c r="BX346" i="1" s="1"/>
  <c r="AK345" i="1"/>
  <c r="AJ345" i="1"/>
  <c r="CC345" i="1" s="1"/>
  <c r="AF345" i="1"/>
  <c r="BX345" i="1" s="1"/>
  <c r="AK344" i="1"/>
  <c r="AJ344" i="1"/>
  <c r="CC344" i="1" s="1"/>
  <c r="AF344" i="1"/>
  <c r="BX344" i="1" s="1"/>
  <c r="AK343" i="1"/>
  <c r="AJ343" i="1"/>
  <c r="CC343" i="1" s="1"/>
  <c r="AF343" i="1"/>
  <c r="BX343" i="1" s="1"/>
  <c r="AK342" i="1"/>
  <c r="AJ342" i="1"/>
  <c r="CC342" i="1" s="1"/>
  <c r="AF342" i="1"/>
  <c r="BX342" i="1" s="1"/>
  <c r="AK341" i="1"/>
  <c r="AJ341" i="1"/>
  <c r="CC341" i="1" s="1"/>
  <c r="AF341" i="1"/>
  <c r="BX341" i="1" s="1"/>
  <c r="AK340" i="1"/>
  <c r="AJ340" i="1"/>
  <c r="CC340" i="1" s="1"/>
  <c r="AF340" i="1"/>
  <c r="BX340" i="1" s="1"/>
  <c r="AK339" i="1"/>
  <c r="AJ339" i="1"/>
  <c r="CC339" i="1" s="1"/>
  <c r="AF339" i="1"/>
  <c r="BX339" i="1" s="1"/>
  <c r="AK338" i="1"/>
  <c r="AJ338" i="1"/>
  <c r="CC338" i="1" s="1"/>
  <c r="AF338" i="1"/>
  <c r="BX338" i="1" s="1"/>
  <c r="AK337" i="1"/>
  <c r="AJ337" i="1"/>
  <c r="CC337" i="1" s="1"/>
  <c r="AF337" i="1"/>
  <c r="BX337" i="1" s="1"/>
  <c r="AK336" i="1"/>
  <c r="AJ336" i="1"/>
  <c r="CC336" i="1" s="1"/>
  <c r="AF336" i="1"/>
  <c r="BX336" i="1" s="1"/>
  <c r="AK335" i="1"/>
  <c r="AJ335" i="1"/>
  <c r="CC335" i="1" s="1"/>
  <c r="AF335" i="1"/>
  <c r="BX335" i="1" s="1"/>
  <c r="AK334" i="1"/>
  <c r="AJ334" i="1"/>
  <c r="CC334" i="1" s="1"/>
  <c r="AF334" i="1"/>
  <c r="BX334" i="1" s="1"/>
  <c r="AK333" i="1"/>
  <c r="AJ333" i="1"/>
  <c r="CC333" i="1" s="1"/>
  <c r="AF333" i="1"/>
  <c r="BX333" i="1" s="1"/>
  <c r="AK332" i="1"/>
  <c r="AJ332" i="1"/>
  <c r="CC332" i="1" s="1"/>
  <c r="AF332" i="1"/>
  <c r="BX332" i="1" s="1"/>
  <c r="AK331" i="1"/>
  <c r="AJ331" i="1"/>
  <c r="CC331" i="1" s="1"/>
  <c r="AF331" i="1"/>
  <c r="BX331" i="1" s="1"/>
  <c r="AK330" i="1"/>
  <c r="AJ330" i="1"/>
  <c r="CC330" i="1" s="1"/>
  <c r="AF330" i="1"/>
  <c r="BX330" i="1" s="1"/>
  <c r="AK329" i="1"/>
  <c r="AJ329" i="1"/>
  <c r="CC329" i="1" s="1"/>
  <c r="AF329" i="1"/>
  <c r="BX329" i="1" s="1"/>
  <c r="AK328" i="1"/>
  <c r="AJ328" i="1"/>
  <c r="CC328" i="1" s="1"/>
  <c r="AF328" i="1"/>
  <c r="BX328" i="1" s="1"/>
  <c r="AK327" i="1"/>
  <c r="AJ327" i="1"/>
  <c r="CC327" i="1" s="1"/>
  <c r="AF327" i="1"/>
  <c r="BX327" i="1" s="1"/>
  <c r="AK326" i="1"/>
  <c r="AJ326" i="1"/>
  <c r="CC326" i="1" s="1"/>
  <c r="AF326" i="1"/>
  <c r="BX326" i="1" s="1"/>
  <c r="AK325" i="1"/>
  <c r="AJ325" i="1"/>
  <c r="CC325" i="1" s="1"/>
  <c r="AF325" i="1"/>
  <c r="BX325" i="1" s="1"/>
  <c r="AK324" i="1"/>
  <c r="AJ324" i="1"/>
  <c r="CC324" i="1" s="1"/>
  <c r="AF324" i="1"/>
  <c r="BX324" i="1" s="1"/>
  <c r="AK323" i="1"/>
  <c r="AJ323" i="1"/>
  <c r="CC323" i="1" s="1"/>
  <c r="AF323" i="1"/>
  <c r="BX323" i="1" s="1"/>
  <c r="AK322" i="1"/>
  <c r="AJ322" i="1"/>
  <c r="CC322" i="1" s="1"/>
  <c r="AF322" i="1"/>
  <c r="BX322" i="1" s="1"/>
  <c r="AK321" i="1"/>
  <c r="AJ321" i="1"/>
  <c r="CC321" i="1" s="1"/>
  <c r="AF321" i="1"/>
  <c r="BX321" i="1" s="1"/>
  <c r="AK320" i="1"/>
  <c r="AJ320" i="1"/>
  <c r="CC320" i="1" s="1"/>
  <c r="AF320" i="1"/>
  <c r="BX320" i="1" s="1"/>
  <c r="AK319" i="1"/>
  <c r="AJ319" i="1"/>
  <c r="CC319" i="1" s="1"/>
  <c r="AF319" i="1"/>
  <c r="BX319" i="1" s="1"/>
  <c r="AK318" i="1"/>
  <c r="AJ318" i="1"/>
  <c r="CC318" i="1" s="1"/>
  <c r="AF318" i="1"/>
  <c r="BX318" i="1" s="1"/>
  <c r="AK317" i="1"/>
  <c r="AJ317" i="1"/>
  <c r="CC317" i="1" s="1"/>
  <c r="AF317" i="1"/>
  <c r="BX317" i="1" s="1"/>
  <c r="AK316" i="1"/>
  <c r="AJ316" i="1"/>
  <c r="CC316" i="1" s="1"/>
  <c r="AF316" i="1"/>
  <c r="BX316" i="1" s="1"/>
  <c r="AK315" i="1"/>
  <c r="AJ315" i="1"/>
  <c r="CC315" i="1" s="1"/>
  <c r="AF315" i="1"/>
  <c r="BX315" i="1" s="1"/>
  <c r="AK314" i="1"/>
  <c r="AJ314" i="1"/>
  <c r="CC314" i="1" s="1"/>
  <c r="AF314" i="1"/>
  <c r="BX314" i="1" s="1"/>
  <c r="AK313" i="1"/>
  <c r="AJ313" i="1"/>
  <c r="CC313" i="1" s="1"/>
  <c r="AF313" i="1"/>
  <c r="BX313" i="1" s="1"/>
  <c r="AK312" i="1"/>
  <c r="AJ312" i="1"/>
  <c r="CC312" i="1" s="1"/>
  <c r="AF312" i="1"/>
  <c r="BX312" i="1" s="1"/>
  <c r="AK311" i="1"/>
  <c r="AJ311" i="1"/>
  <c r="CC311" i="1" s="1"/>
  <c r="AF311" i="1"/>
  <c r="BX311" i="1" s="1"/>
  <c r="AK310" i="1"/>
  <c r="AJ310" i="1"/>
  <c r="CC310" i="1" s="1"/>
  <c r="AF310" i="1"/>
  <c r="BX310" i="1" s="1"/>
  <c r="AK309" i="1"/>
  <c r="AJ309" i="1"/>
  <c r="CC309" i="1" s="1"/>
  <c r="AF309" i="1"/>
  <c r="BX309" i="1" s="1"/>
  <c r="AK308" i="1"/>
  <c r="AJ308" i="1"/>
  <c r="CC308" i="1" s="1"/>
  <c r="AF308" i="1"/>
  <c r="BX308" i="1" s="1"/>
  <c r="AK307" i="1"/>
  <c r="AJ307" i="1"/>
  <c r="CC307" i="1" s="1"/>
  <c r="AF307" i="1"/>
  <c r="BX307" i="1" s="1"/>
  <c r="AK306" i="1"/>
  <c r="AJ306" i="1"/>
  <c r="CC306" i="1" s="1"/>
  <c r="AF306" i="1"/>
  <c r="BX306" i="1" s="1"/>
  <c r="AK305" i="1"/>
  <c r="AJ305" i="1"/>
  <c r="CC305" i="1" s="1"/>
  <c r="AF305" i="1"/>
  <c r="BX305" i="1" s="1"/>
  <c r="AK304" i="1"/>
  <c r="AJ304" i="1"/>
  <c r="CC304" i="1" s="1"/>
  <c r="AF304" i="1"/>
  <c r="BX304" i="1" s="1"/>
  <c r="AK303" i="1"/>
  <c r="AJ303" i="1"/>
  <c r="CC303" i="1" s="1"/>
  <c r="AF303" i="1"/>
  <c r="BX303" i="1" s="1"/>
  <c r="AK302" i="1"/>
  <c r="AJ302" i="1"/>
  <c r="CC302" i="1" s="1"/>
  <c r="AF302" i="1"/>
  <c r="BX302" i="1" s="1"/>
  <c r="AK301" i="1"/>
  <c r="AJ301" i="1"/>
  <c r="CC301" i="1" s="1"/>
  <c r="AF301" i="1"/>
  <c r="BX301" i="1" s="1"/>
  <c r="AK300" i="1"/>
  <c r="AJ300" i="1"/>
  <c r="CC300" i="1" s="1"/>
  <c r="AF300" i="1"/>
  <c r="BX300" i="1" s="1"/>
  <c r="AK299" i="1"/>
  <c r="AJ299" i="1"/>
  <c r="CC299" i="1" s="1"/>
  <c r="AF299" i="1"/>
  <c r="BX299" i="1" s="1"/>
  <c r="AK298" i="1"/>
  <c r="AJ298" i="1"/>
  <c r="CC298" i="1" s="1"/>
  <c r="AF298" i="1"/>
  <c r="BX298" i="1" s="1"/>
  <c r="AK297" i="1"/>
  <c r="AJ297" i="1"/>
  <c r="CC297" i="1" s="1"/>
  <c r="AF297" i="1"/>
  <c r="BX297" i="1" s="1"/>
  <c r="AK296" i="1"/>
  <c r="AJ296" i="1"/>
  <c r="CC296" i="1" s="1"/>
  <c r="AF296" i="1"/>
  <c r="BX296" i="1" s="1"/>
  <c r="AK295" i="1"/>
  <c r="AJ295" i="1"/>
  <c r="CC295" i="1" s="1"/>
  <c r="AF295" i="1"/>
  <c r="BX295" i="1" s="1"/>
  <c r="AK294" i="1"/>
  <c r="AJ294" i="1"/>
  <c r="CC294" i="1" s="1"/>
  <c r="AF294" i="1"/>
  <c r="BX294" i="1" s="1"/>
  <c r="AK293" i="1"/>
  <c r="AJ293" i="1"/>
  <c r="CC293" i="1" s="1"/>
  <c r="AF293" i="1"/>
  <c r="BX293" i="1" s="1"/>
  <c r="AK292" i="1"/>
  <c r="AJ292" i="1"/>
  <c r="CC292" i="1" s="1"/>
  <c r="AF292" i="1"/>
  <c r="BX292" i="1" s="1"/>
  <c r="AK291" i="1"/>
  <c r="AJ291" i="1"/>
  <c r="CC291" i="1" s="1"/>
  <c r="AF291" i="1"/>
  <c r="BX291" i="1" s="1"/>
  <c r="AK290" i="1"/>
  <c r="AJ290" i="1"/>
  <c r="CC290" i="1" s="1"/>
  <c r="AF290" i="1"/>
  <c r="BX290" i="1" s="1"/>
  <c r="AK289" i="1"/>
  <c r="AJ289" i="1"/>
  <c r="CC289" i="1" s="1"/>
  <c r="AF289" i="1"/>
  <c r="BX289" i="1" s="1"/>
  <c r="AK288" i="1"/>
  <c r="AJ288" i="1"/>
  <c r="CC288" i="1" s="1"/>
  <c r="AF288" i="1"/>
  <c r="BX288" i="1" s="1"/>
  <c r="AK287" i="1"/>
  <c r="AJ287" i="1"/>
  <c r="CC287" i="1" s="1"/>
  <c r="AF287" i="1"/>
  <c r="BX287" i="1" s="1"/>
  <c r="AK286" i="1"/>
  <c r="AJ286" i="1"/>
  <c r="CC286" i="1" s="1"/>
  <c r="AF286" i="1"/>
  <c r="BX286" i="1" s="1"/>
  <c r="AK285" i="1"/>
  <c r="AJ285" i="1"/>
  <c r="CC285" i="1" s="1"/>
  <c r="AF285" i="1"/>
  <c r="BX285" i="1" s="1"/>
  <c r="AK284" i="1"/>
  <c r="AJ284" i="1"/>
  <c r="CC284" i="1" s="1"/>
  <c r="AF284" i="1"/>
  <c r="BX284" i="1" s="1"/>
  <c r="AK283" i="1"/>
  <c r="AJ283" i="1"/>
  <c r="CC283" i="1" s="1"/>
  <c r="AF283" i="1"/>
  <c r="BX283" i="1" s="1"/>
  <c r="AK282" i="1"/>
  <c r="AJ282" i="1"/>
  <c r="CC282" i="1" s="1"/>
  <c r="AF282" i="1"/>
  <c r="BX282" i="1" s="1"/>
  <c r="AK281" i="1"/>
  <c r="AJ281" i="1"/>
  <c r="CC281" i="1" s="1"/>
  <c r="AF281" i="1"/>
  <c r="BX281" i="1" s="1"/>
  <c r="AK280" i="1"/>
  <c r="AJ280" i="1"/>
  <c r="CC280" i="1" s="1"/>
  <c r="AF280" i="1"/>
  <c r="BX280" i="1" s="1"/>
  <c r="AK279" i="1"/>
  <c r="AJ279" i="1"/>
  <c r="CC279" i="1" s="1"/>
  <c r="AF279" i="1"/>
  <c r="BX279" i="1" s="1"/>
  <c r="AK278" i="1"/>
  <c r="AJ278" i="1"/>
  <c r="CC278" i="1" s="1"/>
  <c r="AF278" i="1"/>
  <c r="BX278" i="1" s="1"/>
  <c r="AK277" i="1"/>
  <c r="AJ277" i="1"/>
  <c r="CC277" i="1" s="1"/>
  <c r="AF277" i="1"/>
  <c r="BX277" i="1" s="1"/>
  <c r="AK276" i="1"/>
  <c r="AJ276" i="1"/>
  <c r="CC276" i="1" s="1"/>
  <c r="AF276" i="1"/>
  <c r="BX276" i="1" s="1"/>
  <c r="AK275" i="1"/>
  <c r="AJ275" i="1"/>
  <c r="CC275" i="1" s="1"/>
  <c r="AF275" i="1"/>
  <c r="BX275" i="1" s="1"/>
  <c r="AK274" i="1"/>
  <c r="AJ274" i="1"/>
  <c r="CC274" i="1" s="1"/>
  <c r="AF274" i="1"/>
  <c r="BX274" i="1" s="1"/>
  <c r="AK273" i="1"/>
  <c r="AJ273" i="1"/>
  <c r="CC273" i="1" s="1"/>
  <c r="AF273" i="1"/>
  <c r="BX273" i="1" s="1"/>
  <c r="AK272" i="1"/>
  <c r="AJ272" i="1"/>
  <c r="CC272" i="1" s="1"/>
  <c r="AF272" i="1"/>
  <c r="BX272" i="1" s="1"/>
  <c r="AK271" i="1"/>
  <c r="AJ271" i="1"/>
  <c r="CC271" i="1" s="1"/>
  <c r="AF271" i="1"/>
  <c r="BX271" i="1" s="1"/>
  <c r="AK270" i="1"/>
  <c r="AJ270" i="1"/>
  <c r="CC270" i="1" s="1"/>
  <c r="AF270" i="1"/>
  <c r="BX270" i="1" s="1"/>
  <c r="AK269" i="1"/>
  <c r="AJ269" i="1"/>
  <c r="CC269" i="1" s="1"/>
  <c r="AF269" i="1"/>
  <c r="BX269" i="1" s="1"/>
  <c r="AK268" i="1"/>
  <c r="AJ268" i="1"/>
  <c r="CC268" i="1" s="1"/>
  <c r="AF268" i="1"/>
  <c r="BX268" i="1" s="1"/>
  <c r="AK267" i="1"/>
  <c r="AJ267" i="1"/>
  <c r="CC267" i="1" s="1"/>
  <c r="AF267" i="1"/>
  <c r="BX267" i="1" s="1"/>
  <c r="AK266" i="1"/>
  <c r="AJ266" i="1"/>
  <c r="CC266" i="1" s="1"/>
  <c r="AF266" i="1"/>
  <c r="BX266" i="1" s="1"/>
  <c r="AK265" i="1"/>
  <c r="AJ265" i="1"/>
  <c r="CC265" i="1" s="1"/>
  <c r="AF265" i="1"/>
  <c r="BX265" i="1" s="1"/>
  <c r="AK264" i="1"/>
  <c r="AJ264" i="1"/>
  <c r="CC264" i="1" s="1"/>
  <c r="AF264" i="1"/>
  <c r="BX264" i="1" s="1"/>
  <c r="AK263" i="1"/>
  <c r="AJ263" i="1"/>
  <c r="CC263" i="1" s="1"/>
  <c r="AF263" i="1"/>
  <c r="BX263" i="1" s="1"/>
  <c r="AK262" i="1"/>
  <c r="AJ262" i="1"/>
  <c r="CC262" i="1" s="1"/>
  <c r="AF262" i="1"/>
  <c r="BX262" i="1" s="1"/>
  <c r="AK261" i="1"/>
  <c r="AJ261" i="1"/>
  <c r="CC261" i="1" s="1"/>
  <c r="AF261" i="1"/>
  <c r="BX261" i="1" s="1"/>
  <c r="AK260" i="1"/>
  <c r="AJ260" i="1"/>
  <c r="CC260" i="1" s="1"/>
  <c r="AF260" i="1"/>
  <c r="BX260" i="1" s="1"/>
  <c r="AK259" i="1"/>
  <c r="AJ259" i="1"/>
  <c r="CC259" i="1" s="1"/>
  <c r="AF259" i="1"/>
  <c r="BX259" i="1" s="1"/>
  <c r="AK258" i="1"/>
  <c r="AJ258" i="1"/>
  <c r="CC258" i="1" s="1"/>
  <c r="AF258" i="1"/>
  <c r="BX258" i="1" s="1"/>
  <c r="AK257" i="1"/>
  <c r="AJ257" i="1"/>
  <c r="CC257" i="1" s="1"/>
  <c r="AF257" i="1"/>
  <c r="BX257" i="1" s="1"/>
  <c r="AK256" i="1"/>
  <c r="AJ256" i="1"/>
  <c r="CC256" i="1" s="1"/>
  <c r="AF256" i="1"/>
  <c r="BX256" i="1" s="1"/>
  <c r="AK255" i="1"/>
  <c r="AJ255" i="1"/>
  <c r="CC255" i="1" s="1"/>
  <c r="AF255" i="1"/>
  <c r="BX255" i="1" s="1"/>
  <c r="AK254" i="1"/>
  <c r="AJ254" i="1"/>
  <c r="CC254" i="1" s="1"/>
  <c r="AF254" i="1"/>
  <c r="BX254" i="1" s="1"/>
  <c r="AK253" i="1"/>
  <c r="AJ253" i="1"/>
  <c r="CC253" i="1" s="1"/>
  <c r="AF253" i="1"/>
  <c r="BX253" i="1" s="1"/>
  <c r="AK252" i="1"/>
  <c r="AJ252" i="1"/>
  <c r="CC252" i="1" s="1"/>
  <c r="AF252" i="1"/>
  <c r="BX252" i="1" s="1"/>
  <c r="AK251" i="1"/>
  <c r="AJ251" i="1"/>
  <c r="CC251" i="1" s="1"/>
  <c r="AF251" i="1"/>
  <c r="BX251" i="1" s="1"/>
  <c r="AK250" i="1"/>
  <c r="AJ250" i="1"/>
  <c r="CC250" i="1" s="1"/>
  <c r="AF250" i="1"/>
  <c r="BX250" i="1" s="1"/>
  <c r="AK249" i="1"/>
  <c r="AJ249" i="1"/>
  <c r="CC249" i="1" s="1"/>
  <c r="AF249" i="1"/>
  <c r="BX249" i="1" s="1"/>
  <c r="AK248" i="1"/>
  <c r="AJ248" i="1"/>
  <c r="CC248" i="1" s="1"/>
  <c r="AF248" i="1"/>
  <c r="BX248" i="1" s="1"/>
  <c r="AK247" i="1"/>
  <c r="AJ247" i="1"/>
  <c r="CC247" i="1" s="1"/>
  <c r="AF247" i="1"/>
  <c r="BX247" i="1" s="1"/>
  <c r="AK246" i="1"/>
  <c r="AJ246" i="1"/>
  <c r="CC246" i="1" s="1"/>
  <c r="AF246" i="1"/>
  <c r="BX246" i="1" s="1"/>
  <c r="AK245" i="1"/>
  <c r="AJ245" i="1"/>
  <c r="CC245" i="1" s="1"/>
  <c r="AF245" i="1"/>
  <c r="BX245" i="1" s="1"/>
  <c r="AK244" i="1"/>
  <c r="AJ244" i="1"/>
  <c r="CC244" i="1" s="1"/>
  <c r="AF244" i="1"/>
  <c r="BX244" i="1" s="1"/>
  <c r="AK243" i="1"/>
  <c r="AJ243" i="1"/>
  <c r="CC243" i="1" s="1"/>
  <c r="AF243" i="1"/>
  <c r="BX243" i="1" s="1"/>
  <c r="AK242" i="1"/>
  <c r="AJ242" i="1"/>
  <c r="CC242" i="1" s="1"/>
  <c r="AF242" i="1"/>
  <c r="BX242" i="1" s="1"/>
  <c r="AK241" i="1"/>
  <c r="AJ241" i="1"/>
  <c r="CC241" i="1" s="1"/>
  <c r="AF241" i="1"/>
  <c r="BX241" i="1" s="1"/>
  <c r="AK240" i="1"/>
  <c r="AJ240" i="1"/>
  <c r="CC240" i="1" s="1"/>
  <c r="AF240" i="1"/>
  <c r="BX240" i="1" s="1"/>
  <c r="AK239" i="1"/>
  <c r="AJ239" i="1"/>
  <c r="CC239" i="1" s="1"/>
  <c r="AF239" i="1"/>
  <c r="BX239" i="1" s="1"/>
  <c r="AK238" i="1"/>
  <c r="AJ238" i="1"/>
  <c r="CC238" i="1" s="1"/>
  <c r="AF238" i="1"/>
  <c r="BX238" i="1" s="1"/>
  <c r="AK237" i="1"/>
  <c r="AJ237" i="1"/>
  <c r="CC237" i="1" s="1"/>
  <c r="AF237" i="1"/>
  <c r="BX237" i="1" s="1"/>
  <c r="AK236" i="1"/>
  <c r="AJ236" i="1"/>
  <c r="CC236" i="1" s="1"/>
  <c r="AF236" i="1"/>
  <c r="BX236" i="1" s="1"/>
  <c r="AK235" i="1"/>
  <c r="AJ235" i="1"/>
  <c r="CC235" i="1" s="1"/>
  <c r="AF235" i="1"/>
  <c r="BX235" i="1" s="1"/>
  <c r="AK234" i="1"/>
  <c r="AJ234" i="1"/>
  <c r="CC234" i="1" s="1"/>
  <c r="AF234" i="1"/>
  <c r="BX234" i="1" s="1"/>
  <c r="AK233" i="1"/>
  <c r="AJ233" i="1"/>
  <c r="CC233" i="1" s="1"/>
  <c r="AF233" i="1"/>
  <c r="BX233" i="1" s="1"/>
  <c r="AK232" i="1"/>
  <c r="AJ232" i="1"/>
  <c r="CC232" i="1" s="1"/>
  <c r="AF232" i="1"/>
  <c r="BX232" i="1" s="1"/>
  <c r="AK231" i="1"/>
  <c r="AJ231" i="1"/>
  <c r="CC231" i="1" s="1"/>
  <c r="AF231" i="1"/>
  <c r="BX231" i="1" s="1"/>
  <c r="AK230" i="1"/>
  <c r="AJ230" i="1"/>
  <c r="CC230" i="1" s="1"/>
  <c r="AF230" i="1"/>
  <c r="BX230" i="1" s="1"/>
  <c r="AK229" i="1"/>
  <c r="AJ229" i="1"/>
  <c r="CC229" i="1" s="1"/>
  <c r="AF229" i="1"/>
  <c r="BX229" i="1" s="1"/>
  <c r="AK228" i="1"/>
  <c r="AJ228" i="1"/>
  <c r="CC228" i="1" s="1"/>
  <c r="AF228" i="1"/>
  <c r="BX228" i="1" s="1"/>
  <c r="AK227" i="1"/>
  <c r="AJ227" i="1"/>
  <c r="CC227" i="1" s="1"/>
  <c r="AF227" i="1"/>
  <c r="BX227" i="1" s="1"/>
  <c r="AK226" i="1"/>
  <c r="AJ226" i="1"/>
  <c r="CC226" i="1" s="1"/>
  <c r="AF226" i="1"/>
  <c r="BX226" i="1" s="1"/>
  <c r="AK225" i="1"/>
  <c r="AJ225" i="1"/>
  <c r="CC225" i="1" s="1"/>
  <c r="AF225" i="1"/>
  <c r="BX225" i="1" s="1"/>
  <c r="AK224" i="1"/>
  <c r="AJ224" i="1"/>
  <c r="CC224" i="1" s="1"/>
  <c r="AF224" i="1"/>
  <c r="BX224" i="1" s="1"/>
  <c r="AK223" i="1"/>
  <c r="AJ223" i="1"/>
  <c r="CC223" i="1" s="1"/>
  <c r="AF223" i="1"/>
  <c r="BX223" i="1" s="1"/>
  <c r="AK222" i="1"/>
  <c r="AJ222" i="1"/>
  <c r="CC222" i="1" s="1"/>
  <c r="AF222" i="1"/>
  <c r="BX222" i="1" s="1"/>
  <c r="AK221" i="1"/>
  <c r="AJ221" i="1"/>
  <c r="CC221" i="1" s="1"/>
  <c r="AF221" i="1"/>
  <c r="BX221" i="1" s="1"/>
  <c r="AK220" i="1"/>
  <c r="AJ220" i="1"/>
  <c r="CC220" i="1" s="1"/>
  <c r="AF220" i="1"/>
  <c r="BX220" i="1" s="1"/>
  <c r="AK219" i="1"/>
  <c r="AJ219" i="1"/>
  <c r="CC219" i="1" s="1"/>
  <c r="AF219" i="1"/>
  <c r="BX219" i="1" s="1"/>
  <c r="AK218" i="1"/>
  <c r="AJ218" i="1"/>
  <c r="CC218" i="1" s="1"/>
  <c r="AF218" i="1"/>
  <c r="BX218" i="1" s="1"/>
  <c r="AK217" i="1"/>
  <c r="AJ217" i="1"/>
  <c r="CC217" i="1" s="1"/>
  <c r="AF217" i="1"/>
  <c r="BX217" i="1" s="1"/>
  <c r="AK216" i="1"/>
  <c r="AJ216" i="1"/>
  <c r="CC216" i="1" s="1"/>
  <c r="AF216" i="1"/>
  <c r="BX216" i="1" s="1"/>
  <c r="AK215" i="1"/>
  <c r="AJ215" i="1"/>
  <c r="CC215" i="1" s="1"/>
  <c r="AF215" i="1"/>
  <c r="BX215" i="1" s="1"/>
  <c r="AK214" i="1"/>
  <c r="AJ214" i="1"/>
  <c r="CC214" i="1" s="1"/>
  <c r="AF214" i="1"/>
  <c r="BX214" i="1" s="1"/>
  <c r="AK213" i="1"/>
  <c r="AJ213" i="1"/>
  <c r="CC213" i="1" s="1"/>
  <c r="AF213" i="1"/>
  <c r="BX213" i="1" s="1"/>
  <c r="AK212" i="1"/>
  <c r="AJ212" i="1"/>
  <c r="CC212" i="1" s="1"/>
  <c r="AF212" i="1"/>
  <c r="BX212" i="1" s="1"/>
  <c r="AK211" i="1"/>
  <c r="AJ211" i="1"/>
  <c r="CC211" i="1" s="1"/>
  <c r="AF211" i="1"/>
  <c r="BX211" i="1" s="1"/>
  <c r="AK210" i="1"/>
  <c r="AJ210" i="1"/>
  <c r="CC210" i="1" s="1"/>
  <c r="AF210" i="1"/>
  <c r="BX210" i="1" s="1"/>
  <c r="AK209" i="1"/>
  <c r="AJ209" i="1"/>
  <c r="CC209" i="1" s="1"/>
  <c r="AF209" i="1"/>
  <c r="BX209" i="1" s="1"/>
  <c r="AK208" i="1"/>
  <c r="AJ208" i="1"/>
  <c r="CC208" i="1" s="1"/>
  <c r="AF208" i="1"/>
  <c r="BX208" i="1" s="1"/>
  <c r="AK207" i="1"/>
  <c r="AJ207" i="1"/>
  <c r="CC207" i="1" s="1"/>
  <c r="AF207" i="1"/>
  <c r="BX207" i="1" s="1"/>
  <c r="AK206" i="1"/>
  <c r="AJ206" i="1"/>
  <c r="CC206" i="1" s="1"/>
  <c r="AF206" i="1"/>
  <c r="BX206" i="1" s="1"/>
  <c r="AK205" i="1"/>
  <c r="AJ205" i="1"/>
  <c r="CC205" i="1" s="1"/>
  <c r="AF205" i="1"/>
  <c r="BX205" i="1" s="1"/>
  <c r="AK204" i="1"/>
  <c r="AJ204" i="1"/>
  <c r="CC204" i="1" s="1"/>
  <c r="AF204" i="1"/>
  <c r="BX204" i="1" s="1"/>
  <c r="AK203" i="1"/>
  <c r="AJ203" i="1"/>
  <c r="CC203" i="1" s="1"/>
  <c r="AF203" i="1"/>
  <c r="BX203" i="1" s="1"/>
  <c r="AK202" i="1"/>
  <c r="AJ202" i="1"/>
  <c r="CC202" i="1" s="1"/>
  <c r="AF202" i="1"/>
  <c r="BX202" i="1" s="1"/>
  <c r="AK201" i="1"/>
  <c r="AJ201" i="1"/>
  <c r="CC201" i="1" s="1"/>
  <c r="AF201" i="1"/>
  <c r="BX201" i="1" s="1"/>
  <c r="AK200" i="1"/>
  <c r="AJ200" i="1"/>
  <c r="CC200" i="1" s="1"/>
  <c r="AF200" i="1"/>
  <c r="BX200" i="1" s="1"/>
  <c r="AK199" i="1"/>
  <c r="AJ199" i="1"/>
  <c r="CC199" i="1" s="1"/>
  <c r="AF199" i="1"/>
  <c r="BX199" i="1" s="1"/>
  <c r="AK198" i="1"/>
  <c r="AJ198" i="1"/>
  <c r="CC198" i="1" s="1"/>
  <c r="AF198" i="1"/>
  <c r="BX198" i="1" s="1"/>
  <c r="AK197" i="1"/>
  <c r="AJ197" i="1"/>
  <c r="CC197" i="1" s="1"/>
  <c r="AF197" i="1"/>
  <c r="BX197" i="1" s="1"/>
  <c r="AK196" i="1"/>
  <c r="AJ196" i="1"/>
  <c r="CC196" i="1" s="1"/>
  <c r="AF196" i="1"/>
  <c r="BX196" i="1" s="1"/>
  <c r="AK195" i="1"/>
  <c r="AJ195" i="1"/>
  <c r="CC195" i="1" s="1"/>
  <c r="AF195" i="1"/>
  <c r="BX195" i="1" s="1"/>
  <c r="AK194" i="1"/>
  <c r="AJ194" i="1"/>
  <c r="CC194" i="1" s="1"/>
  <c r="AF194" i="1"/>
  <c r="BX194" i="1" s="1"/>
  <c r="AK193" i="1"/>
  <c r="AJ193" i="1"/>
  <c r="CC193" i="1" s="1"/>
  <c r="AF193" i="1"/>
  <c r="BX193" i="1" s="1"/>
  <c r="AK192" i="1"/>
  <c r="AJ192" i="1"/>
  <c r="CC192" i="1" s="1"/>
  <c r="AF192" i="1"/>
  <c r="BX192" i="1" s="1"/>
  <c r="AK191" i="1"/>
  <c r="AJ191" i="1"/>
  <c r="CC191" i="1" s="1"/>
  <c r="AF191" i="1"/>
  <c r="BX191" i="1" s="1"/>
  <c r="AK190" i="1"/>
  <c r="AJ190" i="1"/>
  <c r="CC190" i="1" s="1"/>
  <c r="AF190" i="1"/>
  <c r="BX190" i="1" s="1"/>
  <c r="AK189" i="1"/>
  <c r="AJ189" i="1"/>
  <c r="CC189" i="1" s="1"/>
  <c r="AF189" i="1"/>
  <c r="BX189" i="1" s="1"/>
  <c r="AK188" i="1"/>
  <c r="AJ188" i="1"/>
  <c r="CC188" i="1" s="1"/>
  <c r="AF188" i="1"/>
  <c r="BX188" i="1" s="1"/>
  <c r="AK187" i="1"/>
  <c r="AJ187" i="1"/>
  <c r="CC187" i="1" s="1"/>
  <c r="AF187" i="1"/>
  <c r="BX187" i="1" s="1"/>
  <c r="AK186" i="1"/>
  <c r="AJ186" i="1"/>
  <c r="CC186" i="1" s="1"/>
  <c r="AF186" i="1"/>
  <c r="BX186" i="1" s="1"/>
  <c r="AK185" i="1"/>
  <c r="AJ185" i="1"/>
  <c r="CC185" i="1" s="1"/>
  <c r="AF185" i="1"/>
  <c r="BX185" i="1" s="1"/>
  <c r="AK184" i="1"/>
  <c r="AJ184" i="1"/>
  <c r="CC184" i="1" s="1"/>
  <c r="AF184" i="1"/>
  <c r="BX184" i="1" s="1"/>
  <c r="AK183" i="1"/>
  <c r="AJ183" i="1"/>
  <c r="CC183" i="1" s="1"/>
  <c r="AF183" i="1"/>
  <c r="BX183" i="1" s="1"/>
  <c r="AK182" i="1"/>
  <c r="AJ182" i="1"/>
  <c r="CC182" i="1" s="1"/>
  <c r="AF182" i="1"/>
  <c r="BX182" i="1" s="1"/>
  <c r="AK181" i="1"/>
  <c r="AJ181" i="1"/>
  <c r="CC181" i="1" s="1"/>
  <c r="AF181" i="1"/>
  <c r="BX181" i="1" s="1"/>
  <c r="AK180" i="1"/>
  <c r="AJ180" i="1"/>
  <c r="CC180" i="1" s="1"/>
  <c r="AF180" i="1"/>
  <c r="BX180" i="1" s="1"/>
  <c r="AK179" i="1"/>
  <c r="AJ179" i="1"/>
  <c r="CC179" i="1" s="1"/>
  <c r="AF179" i="1"/>
  <c r="BX179" i="1" s="1"/>
  <c r="AK178" i="1"/>
  <c r="AJ178" i="1"/>
  <c r="CC178" i="1" s="1"/>
  <c r="AF178" i="1"/>
  <c r="BX178" i="1" s="1"/>
  <c r="AK177" i="1"/>
  <c r="AJ177" i="1"/>
  <c r="CC177" i="1" s="1"/>
  <c r="AF177" i="1"/>
  <c r="BX177" i="1" s="1"/>
  <c r="AK176" i="1"/>
  <c r="AJ176" i="1"/>
  <c r="CC176" i="1" s="1"/>
  <c r="AF176" i="1"/>
  <c r="BX176" i="1" s="1"/>
  <c r="AK175" i="1"/>
  <c r="AJ175" i="1"/>
  <c r="CC175" i="1" s="1"/>
  <c r="AF175" i="1"/>
  <c r="BX175" i="1" s="1"/>
  <c r="AK174" i="1"/>
  <c r="AJ174" i="1"/>
  <c r="CC174" i="1" s="1"/>
  <c r="AF174" i="1"/>
  <c r="BX174" i="1" s="1"/>
  <c r="AK173" i="1"/>
  <c r="AJ173" i="1"/>
  <c r="CC173" i="1" s="1"/>
  <c r="AF173" i="1"/>
  <c r="BX173" i="1" s="1"/>
  <c r="AK172" i="1"/>
  <c r="AJ172" i="1"/>
  <c r="CC172" i="1" s="1"/>
  <c r="AF172" i="1"/>
  <c r="BX172" i="1" s="1"/>
  <c r="AK171" i="1"/>
  <c r="AJ171" i="1"/>
  <c r="CC171" i="1" s="1"/>
  <c r="AF171" i="1"/>
  <c r="BX171" i="1" s="1"/>
  <c r="AK170" i="1"/>
  <c r="AJ170" i="1"/>
  <c r="CC170" i="1" s="1"/>
  <c r="AF170" i="1"/>
  <c r="BX170" i="1" s="1"/>
  <c r="AK169" i="1"/>
  <c r="AJ169" i="1"/>
  <c r="CC169" i="1" s="1"/>
  <c r="AF169" i="1"/>
  <c r="BX169" i="1" s="1"/>
  <c r="AK168" i="1"/>
  <c r="AJ168" i="1"/>
  <c r="CC168" i="1" s="1"/>
  <c r="AF168" i="1"/>
  <c r="BX168" i="1" s="1"/>
  <c r="AK167" i="1"/>
  <c r="AJ167" i="1"/>
  <c r="CC167" i="1" s="1"/>
  <c r="AF167" i="1"/>
  <c r="BX167" i="1" s="1"/>
  <c r="AK166" i="1"/>
  <c r="AJ166" i="1"/>
  <c r="CC166" i="1" s="1"/>
  <c r="AF166" i="1"/>
  <c r="BX166" i="1" s="1"/>
  <c r="AK165" i="1"/>
  <c r="AJ165" i="1"/>
  <c r="CC165" i="1" s="1"/>
  <c r="AF165" i="1"/>
  <c r="BX165" i="1" s="1"/>
  <c r="AK164" i="1"/>
  <c r="AJ164" i="1"/>
  <c r="CC164" i="1" s="1"/>
  <c r="AF164" i="1"/>
  <c r="BX164" i="1" s="1"/>
  <c r="AK163" i="1"/>
  <c r="AJ163" i="1"/>
  <c r="CC163" i="1" s="1"/>
  <c r="AF163" i="1"/>
  <c r="BX163" i="1" s="1"/>
  <c r="AK162" i="1"/>
  <c r="AJ162" i="1"/>
  <c r="CC162" i="1" s="1"/>
  <c r="AF162" i="1"/>
  <c r="BX162" i="1" s="1"/>
  <c r="AK161" i="1"/>
  <c r="AJ161" i="1"/>
  <c r="CC161" i="1" s="1"/>
  <c r="AF161" i="1"/>
  <c r="BX161" i="1" s="1"/>
  <c r="AK160" i="1"/>
  <c r="AJ160" i="1"/>
  <c r="CC160" i="1" s="1"/>
  <c r="AF160" i="1"/>
  <c r="BX160" i="1" s="1"/>
  <c r="AK159" i="1"/>
  <c r="AJ159" i="1"/>
  <c r="CC159" i="1" s="1"/>
  <c r="AF159" i="1"/>
  <c r="BX159" i="1" s="1"/>
  <c r="AK158" i="1"/>
  <c r="AJ158" i="1"/>
  <c r="CC158" i="1" s="1"/>
  <c r="AF158" i="1"/>
  <c r="BX158" i="1" s="1"/>
  <c r="AK157" i="1"/>
  <c r="AJ157" i="1"/>
  <c r="CC157" i="1" s="1"/>
  <c r="AF157" i="1"/>
  <c r="BX157" i="1" s="1"/>
  <c r="AK156" i="1"/>
  <c r="AJ156" i="1"/>
  <c r="CC156" i="1" s="1"/>
  <c r="AF156" i="1"/>
  <c r="BX156" i="1" s="1"/>
  <c r="AK155" i="1"/>
  <c r="AJ155" i="1"/>
  <c r="CC155" i="1" s="1"/>
  <c r="AF155" i="1"/>
  <c r="BX155" i="1" s="1"/>
  <c r="AK154" i="1"/>
  <c r="AJ154" i="1"/>
  <c r="CC154" i="1" s="1"/>
  <c r="AF154" i="1"/>
  <c r="BX154" i="1" s="1"/>
  <c r="AK153" i="1"/>
  <c r="AJ153" i="1"/>
  <c r="CC153" i="1" s="1"/>
  <c r="AF153" i="1"/>
  <c r="BX153" i="1" s="1"/>
  <c r="AK152" i="1"/>
  <c r="AJ152" i="1"/>
  <c r="CC152" i="1" s="1"/>
  <c r="AF152" i="1"/>
  <c r="BX152" i="1" s="1"/>
  <c r="AK151" i="1"/>
  <c r="AJ151" i="1"/>
  <c r="CC151" i="1" s="1"/>
  <c r="AF151" i="1"/>
  <c r="BX151" i="1" s="1"/>
  <c r="AK150" i="1"/>
  <c r="AJ150" i="1"/>
  <c r="CC150" i="1" s="1"/>
  <c r="AF150" i="1"/>
  <c r="BX150" i="1" s="1"/>
  <c r="AK149" i="1"/>
  <c r="AJ149" i="1"/>
  <c r="CC149" i="1" s="1"/>
  <c r="AF149" i="1"/>
  <c r="BX149" i="1" s="1"/>
  <c r="AK148" i="1"/>
  <c r="AJ148" i="1"/>
  <c r="CC148" i="1" s="1"/>
  <c r="AF148" i="1"/>
  <c r="BX148" i="1" s="1"/>
  <c r="AK147" i="1"/>
  <c r="AJ147" i="1"/>
  <c r="CC147" i="1" s="1"/>
  <c r="AF147" i="1"/>
  <c r="BX147" i="1" s="1"/>
  <c r="AK146" i="1"/>
  <c r="AJ146" i="1"/>
  <c r="CC146" i="1" s="1"/>
  <c r="AF146" i="1"/>
  <c r="BX146" i="1" s="1"/>
  <c r="AK145" i="1"/>
  <c r="AJ145" i="1"/>
  <c r="CC145" i="1" s="1"/>
  <c r="AF145" i="1"/>
  <c r="BX145" i="1" s="1"/>
  <c r="AK144" i="1"/>
  <c r="AJ144" i="1"/>
  <c r="CC144" i="1" s="1"/>
  <c r="AF144" i="1"/>
  <c r="BX144" i="1" s="1"/>
  <c r="AK143" i="1"/>
  <c r="AJ143" i="1"/>
  <c r="CC143" i="1" s="1"/>
  <c r="AF143" i="1"/>
  <c r="BX143" i="1" s="1"/>
  <c r="AK142" i="1"/>
  <c r="AJ142" i="1"/>
  <c r="CC142" i="1" s="1"/>
  <c r="AF142" i="1"/>
  <c r="BX142" i="1" s="1"/>
  <c r="AK141" i="1"/>
  <c r="AJ141" i="1"/>
  <c r="CC141" i="1" s="1"/>
  <c r="AF141" i="1"/>
  <c r="BX141" i="1" s="1"/>
  <c r="AK140" i="1"/>
  <c r="AJ140" i="1"/>
  <c r="CC140" i="1" s="1"/>
  <c r="AF140" i="1"/>
  <c r="BX140" i="1" s="1"/>
  <c r="AK139" i="1"/>
  <c r="AJ139" i="1"/>
  <c r="CC139" i="1" s="1"/>
  <c r="AF139" i="1"/>
  <c r="BX139" i="1" s="1"/>
  <c r="AK138" i="1"/>
  <c r="AJ138" i="1"/>
  <c r="CC138" i="1" s="1"/>
  <c r="AF138" i="1"/>
  <c r="BX138" i="1" s="1"/>
  <c r="AK137" i="1"/>
  <c r="AJ137" i="1"/>
  <c r="CC137" i="1" s="1"/>
  <c r="AF137" i="1"/>
  <c r="BX137" i="1" s="1"/>
  <c r="AK136" i="1"/>
  <c r="AJ136" i="1"/>
  <c r="CC136" i="1" s="1"/>
  <c r="AF136" i="1"/>
  <c r="BX136" i="1" s="1"/>
  <c r="AK135" i="1"/>
  <c r="AJ135" i="1"/>
  <c r="CC135" i="1" s="1"/>
  <c r="AF135" i="1"/>
  <c r="BX135" i="1" s="1"/>
  <c r="AK134" i="1"/>
  <c r="AJ134" i="1"/>
  <c r="CC134" i="1" s="1"/>
  <c r="AF134" i="1"/>
  <c r="BX134" i="1" s="1"/>
  <c r="AK133" i="1"/>
  <c r="AJ133" i="1"/>
  <c r="CC133" i="1" s="1"/>
  <c r="AF133" i="1"/>
  <c r="BX133" i="1" s="1"/>
  <c r="AK132" i="1"/>
  <c r="AJ132" i="1"/>
  <c r="CC132" i="1" s="1"/>
  <c r="AF132" i="1"/>
  <c r="BX132" i="1" s="1"/>
  <c r="AK131" i="1"/>
  <c r="AJ131" i="1"/>
  <c r="CC131" i="1" s="1"/>
  <c r="AF131" i="1"/>
  <c r="BX131" i="1" s="1"/>
  <c r="AK130" i="1"/>
  <c r="AJ130" i="1"/>
  <c r="CC130" i="1" s="1"/>
  <c r="AF130" i="1"/>
  <c r="BX130" i="1" s="1"/>
  <c r="AK129" i="1"/>
  <c r="AJ129" i="1"/>
  <c r="CC129" i="1" s="1"/>
  <c r="AF129" i="1"/>
  <c r="BX129" i="1" s="1"/>
  <c r="AK128" i="1"/>
  <c r="AJ128" i="1"/>
  <c r="CC128" i="1" s="1"/>
  <c r="AF128" i="1"/>
  <c r="BX128" i="1" s="1"/>
  <c r="AK127" i="1"/>
  <c r="AJ127" i="1"/>
  <c r="CC127" i="1" s="1"/>
  <c r="AF127" i="1"/>
  <c r="BX127" i="1" s="1"/>
  <c r="AK126" i="1"/>
  <c r="AJ126" i="1"/>
  <c r="CC126" i="1" s="1"/>
  <c r="AF126" i="1"/>
  <c r="BX126" i="1" s="1"/>
  <c r="AK125" i="1"/>
  <c r="AJ125" i="1"/>
  <c r="CC125" i="1" s="1"/>
  <c r="AF125" i="1"/>
  <c r="BX125" i="1" s="1"/>
  <c r="AK124" i="1"/>
  <c r="AJ124" i="1"/>
  <c r="CC124" i="1" s="1"/>
  <c r="AF124" i="1"/>
  <c r="BX124" i="1" s="1"/>
  <c r="AK123" i="1"/>
  <c r="AJ123" i="1"/>
  <c r="CC123" i="1" s="1"/>
  <c r="AF123" i="1"/>
  <c r="BX123" i="1" s="1"/>
  <c r="AK122" i="1"/>
  <c r="AJ122" i="1"/>
  <c r="CC122" i="1" s="1"/>
  <c r="AF122" i="1"/>
  <c r="BX122" i="1" s="1"/>
  <c r="AK121" i="1"/>
  <c r="AJ121" i="1"/>
  <c r="CC121" i="1" s="1"/>
  <c r="AF121" i="1"/>
  <c r="BX121" i="1" s="1"/>
  <c r="AK120" i="1"/>
  <c r="AJ120" i="1"/>
  <c r="CC120" i="1" s="1"/>
  <c r="AF120" i="1"/>
  <c r="BX120" i="1" s="1"/>
  <c r="AK119" i="1"/>
  <c r="AJ119" i="1"/>
  <c r="CC119" i="1" s="1"/>
  <c r="AF119" i="1"/>
  <c r="BX119" i="1" s="1"/>
  <c r="AK118" i="1"/>
  <c r="AJ118" i="1"/>
  <c r="CC118" i="1" s="1"/>
  <c r="AF118" i="1"/>
  <c r="BX118" i="1" s="1"/>
  <c r="AK117" i="1"/>
  <c r="AJ117" i="1"/>
  <c r="CC117" i="1" s="1"/>
  <c r="AF117" i="1"/>
  <c r="BX117" i="1" s="1"/>
  <c r="AK116" i="1"/>
  <c r="AJ116" i="1"/>
  <c r="CC116" i="1" s="1"/>
  <c r="AF116" i="1"/>
  <c r="BX116" i="1" s="1"/>
  <c r="AK115" i="1"/>
  <c r="AJ115" i="1"/>
  <c r="CC115" i="1" s="1"/>
  <c r="AF115" i="1"/>
  <c r="BX115" i="1" s="1"/>
  <c r="AK114" i="1"/>
  <c r="AJ114" i="1"/>
  <c r="CC114" i="1" s="1"/>
  <c r="AF114" i="1"/>
  <c r="BX114" i="1" s="1"/>
  <c r="AK113" i="1"/>
  <c r="AJ113" i="1"/>
  <c r="CC113" i="1" s="1"/>
  <c r="AF113" i="1"/>
  <c r="BX113" i="1" s="1"/>
  <c r="AK112" i="1"/>
  <c r="AJ112" i="1"/>
  <c r="CC112" i="1" s="1"/>
  <c r="AF112" i="1"/>
  <c r="BX112" i="1" s="1"/>
  <c r="AK111" i="1"/>
  <c r="AJ111" i="1"/>
  <c r="CC111" i="1" s="1"/>
  <c r="AF111" i="1"/>
  <c r="BX111" i="1" s="1"/>
  <c r="AK110" i="1"/>
  <c r="AJ110" i="1"/>
  <c r="CC110" i="1" s="1"/>
  <c r="AF110" i="1"/>
  <c r="BX110" i="1" s="1"/>
  <c r="AK109" i="1"/>
  <c r="AJ109" i="1"/>
  <c r="CC109" i="1" s="1"/>
  <c r="AF109" i="1"/>
  <c r="BX109" i="1" s="1"/>
  <c r="AK108" i="1"/>
  <c r="AJ108" i="1"/>
  <c r="CC108" i="1" s="1"/>
  <c r="AF108" i="1"/>
  <c r="BX108" i="1" s="1"/>
  <c r="AK107" i="1"/>
  <c r="AJ107" i="1"/>
  <c r="CC107" i="1" s="1"/>
  <c r="AF107" i="1"/>
  <c r="BX107" i="1" s="1"/>
  <c r="AK106" i="1"/>
  <c r="AJ106" i="1"/>
  <c r="CC106" i="1" s="1"/>
  <c r="AF106" i="1"/>
  <c r="BX106" i="1" s="1"/>
  <c r="AK105" i="1"/>
  <c r="AJ105" i="1"/>
  <c r="CC105" i="1" s="1"/>
  <c r="AF105" i="1"/>
  <c r="BX105" i="1" s="1"/>
  <c r="AK104" i="1"/>
  <c r="AJ104" i="1"/>
  <c r="CC104" i="1" s="1"/>
  <c r="AF104" i="1"/>
  <c r="BX104" i="1" s="1"/>
  <c r="AK103" i="1"/>
  <c r="AJ103" i="1"/>
  <c r="CC103" i="1" s="1"/>
  <c r="AF103" i="1"/>
  <c r="BX103" i="1" s="1"/>
  <c r="AK102" i="1"/>
  <c r="AJ102" i="1"/>
  <c r="CC102" i="1" s="1"/>
  <c r="AF102" i="1"/>
  <c r="BX102" i="1" s="1"/>
  <c r="AK101" i="1"/>
  <c r="AJ101" i="1"/>
  <c r="CC101" i="1" s="1"/>
  <c r="AF101" i="1"/>
  <c r="BX101" i="1" s="1"/>
  <c r="AK100" i="1"/>
  <c r="AJ100" i="1"/>
  <c r="CC100" i="1" s="1"/>
  <c r="AF100" i="1"/>
  <c r="BX100" i="1" s="1"/>
  <c r="AK99" i="1"/>
  <c r="AJ99" i="1"/>
  <c r="CC99" i="1" s="1"/>
  <c r="AF99" i="1"/>
  <c r="BX99" i="1" s="1"/>
  <c r="AK98" i="1"/>
  <c r="AJ98" i="1"/>
  <c r="CC98" i="1" s="1"/>
  <c r="AF98" i="1"/>
  <c r="BX98" i="1" s="1"/>
  <c r="AK97" i="1"/>
  <c r="AJ97" i="1"/>
  <c r="CC97" i="1" s="1"/>
  <c r="AF97" i="1"/>
  <c r="BX97" i="1" s="1"/>
  <c r="AK96" i="1"/>
  <c r="AJ96" i="1"/>
  <c r="CC96" i="1" s="1"/>
  <c r="AF96" i="1"/>
  <c r="BX96" i="1" s="1"/>
  <c r="AK95" i="1"/>
  <c r="AJ95" i="1"/>
  <c r="CC95" i="1" s="1"/>
  <c r="AF95" i="1"/>
  <c r="BX95" i="1" s="1"/>
  <c r="AK94" i="1"/>
  <c r="AJ94" i="1"/>
  <c r="CC94" i="1" s="1"/>
  <c r="AF94" i="1"/>
  <c r="BX94" i="1" s="1"/>
  <c r="AK93" i="1"/>
  <c r="AJ93" i="1"/>
  <c r="CC93" i="1" s="1"/>
  <c r="AF93" i="1"/>
  <c r="BX93" i="1" s="1"/>
  <c r="AK92" i="1"/>
  <c r="AJ92" i="1"/>
  <c r="CC92" i="1" s="1"/>
  <c r="AF92" i="1"/>
  <c r="BX92" i="1" s="1"/>
  <c r="AK91" i="1"/>
  <c r="AJ91" i="1"/>
  <c r="CC91" i="1" s="1"/>
  <c r="AF91" i="1"/>
  <c r="BX91" i="1" s="1"/>
  <c r="AK90" i="1"/>
  <c r="AJ90" i="1"/>
  <c r="CC90" i="1" s="1"/>
  <c r="AF90" i="1"/>
  <c r="BX90" i="1" s="1"/>
  <c r="AK89" i="1"/>
  <c r="AJ89" i="1"/>
  <c r="CC89" i="1" s="1"/>
  <c r="AF89" i="1"/>
  <c r="BX89" i="1" s="1"/>
  <c r="AK88" i="1"/>
  <c r="AJ88" i="1"/>
  <c r="CC88" i="1" s="1"/>
  <c r="AF88" i="1"/>
  <c r="BX88" i="1" s="1"/>
  <c r="AK87" i="1"/>
  <c r="AJ87" i="1"/>
  <c r="CC87" i="1" s="1"/>
  <c r="AF87" i="1"/>
  <c r="BX87" i="1" s="1"/>
  <c r="AK86" i="1"/>
  <c r="AJ86" i="1"/>
  <c r="CC86" i="1" s="1"/>
  <c r="AF86" i="1"/>
  <c r="BX86" i="1" s="1"/>
  <c r="AK85" i="1"/>
  <c r="AJ85" i="1"/>
  <c r="CC85" i="1" s="1"/>
  <c r="AF85" i="1"/>
  <c r="BX85" i="1" s="1"/>
  <c r="AK84" i="1"/>
  <c r="AJ84" i="1"/>
  <c r="CC84" i="1" s="1"/>
  <c r="AF84" i="1"/>
  <c r="BX84" i="1" s="1"/>
  <c r="AK83" i="1"/>
  <c r="AJ83" i="1"/>
  <c r="CC83" i="1" s="1"/>
  <c r="AF83" i="1"/>
  <c r="BX83" i="1" s="1"/>
  <c r="AK82" i="1"/>
  <c r="AJ82" i="1"/>
  <c r="CC82" i="1" s="1"/>
  <c r="AF82" i="1"/>
  <c r="BX82" i="1" s="1"/>
  <c r="AK81" i="1"/>
  <c r="AJ81" i="1"/>
  <c r="CC81" i="1" s="1"/>
  <c r="AF81" i="1"/>
  <c r="BX81" i="1" s="1"/>
  <c r="AK80" i="1"/>
  <c r="AJ80" i="1"/>
  <c r="CC80" i="1" s="1"/>
  <c r="AF80" i="1"/>
  <c r="BX80" i="1" s="1"/>
  <c r="AK79" i="1"/>
  <c r="AJ79" i="1"/>
  <c r="CC79" i="1" s="1"/>
  <c r="AF79" i="1"/>
  <c r="BX79" i="1" s="1"/>
  <c r="AK78" i="1"/>
  <c r="AJ78" i="1"/>
  <c r="CC78" i="1" s="1"/>
  <c r="AF78" i="1"/>
  <c r="BX78" i="1" s="1"/>
  <c r="AK77" i="1"/>
  <c r="AJ77" i="1"/>
  <c r="CC77" i="1" s="1"/>
  <c r="AF77" i="1"/>
  <c r="BX77" i="1" s="1"/>
  <c r="AK76" i="1"/>
  <c r="AJ76" i="1"/>
  <c r="CC76" i="1" s="1"/>
  <c r="AF76" i="1"/>
  <c r="BX76" i="1" s="1"/>
  <c r="AK75" i="1"/>
  <c r="AJ75" i="1"/>
  <c r="CC75" i="1" s="1"/>
  <c r="AF75" i="1"/>
  <c r="BX75" i="1" s="1"/>
  <c r="AK74" i="1"/>
  <c r="AJ74" i="1"/>
  <c r="CC74" i="1" s="1"/>
  <c r="AF74" i="1"/>
  <c r="BX74" i="1" s="1"/>
  <c r="AK73" i="1"/>
  <c r="AJ73" i="1"/>
  <c r="CC73" i="1" s="1"/>
  <c r="AF73" i="1"/>
  <c r="BX73" i="1" s="1"/>
  <c r="AK72" i="1"/>
  <c r="AJ72" i="1"/>
  <c r="CC72" i="1" s="1"/>
  <c r="AF72" i="1"/>
  <c r="BX72" i="1" s="1"/>
  <c r="AK71" i="1"/>
  <c r="AJ71" i="1"/>
  <c r="CC71" i="1" s="1"/>
  <c r="AF71" i="1"/>
  <c r="BX71" i="1" s="1"/>
  <c r="AK70" i="1"/>
  <c r="AJ70" i="1"/>
  <c r="CC70" i="1" s="1"/>
  <c r="AF70" i="1"/>
  <c r="BX70" i="1" s="1"/>
  <c r="AK69" i="1"/>
  <c r="AJ69" i="1"/>
  <c r="CC69" i="1" s="1"/>
  <c r="AF69" i="1"/>
  <c r="BX69" i="1" s="1"/>
  <c r="AK68" i="1"/>
  <c r="AJ68" i="1"/>
  <c r="CC68" i="1" s="1"/>
  <c r="AF68" i="1"/>
  <c r="BX68" i="1" s="1"/>
  <c r="AK67" i="1"/>
  <c r="AJ67" i="1"/>
  <c r="CC67" i="1" s="1"/>
  <c r="AF67" i="1"/>
  <c r="BX67" i="1" s="1"/>
  <c r="AK66" i="1"/>
  <c r="AJ66" i="1"/>
  <c r="CC66" i="1" s="1"/>
  <c r="AF66" i="1"/>
  <c r="BX66" i="1" s="1"/>
  <c r="AK65" i="1"/>
  <c r="AJ65" i="1"/>
  <c r="CC65" i="1" s="1"/>
  <c r="AF65" i="1"/>
  <c r="BX65" i="1" s="1"/>
  <c r="AK64" i="1"/>
  <c r="AJ64" i="1"/>
  <c r="CC64" i="1" s="1"/>
  <c r="AF64" i="1"/>
  <c r="BX64" i="1" s="1"/>
  <c r="AK63" i="1"/>
  <c r="AJ63" i="1"/>
  <c r="CC63" i="1" s="1"/>
  <c r="AF63" i="1"/>
  <c r="BX63" i="1" s="1"/>
  <c r="AK62" i="1"/>
  <c r="AJ62" i="1"/>
  <c r="CC62" i="1" s="1"/>
  <c r="AF62" i="1"/>
  <c r="BX62" i="1" s="1"/>
  <c r="AK61" i="1"/>
  <c r="AJ61" i="1"/>
  <c r="CC61" i="1" s="1"/>
  <c r="AF61" i="1"/>
  <c r="BX61" i="1" s="1"/>
  <c r="AK60" i="1"/>
  <c r="AJ60" i="1"/>
  <c r="CC60" i="1" s="1"/>
  <c r="AF60" i="1"/>
  <c r="BX60" i="1" s="1"/>
  <c r="AK59" i="1"/>
  <c r="AJ59" i="1"/>
  <c r="CC59" i="1" s="1"/>
  <c r="AF59" i="1"/>
  <c r="BX59" i="1" s="1"/>
  <c r="AK58" i="1"/>
  <c r="AJ58" i="1"/>
  <c r="CC58" i="1" s="1"/>
  <c r="AF58" i="1"/>
  <c r="BX58" i="1" s="1"/>
  <c r="AK57" i="1"/>
  <c r="AJ57" i="1"/>
  <c r="CC57" i="1" s="1"/>
  <c r="AF57" i="1"/>
  <c r="BX57" i="1" s="1"/>
  <c r="AK56" i="1"/>
  <c r="AJ56" i="1"/>
  <c r="CC56" i="1" s="1"/>
  <c r="AF56" i="1"/>
  <c r="BX56" i="1" s="1"/>
  <c r="AK55" i="1"/>
  <c r="AJ55" i="1"/>
  <c r="CC55" i="1" s="1"/>
  <c r="AF55" i="1"/>
  <c r="BX55" i="1" s="1"/>
  <c r="AK54" i="1"/>
  <c r="AJ54" i="1"/>
  <c r="CC54" i="1" s="1"/>
  <c r="AF54" i="1"/>
  <c r="BX54" i="1" s="1"/>
  <c r="AK53" i="1"/>
  <c r="AJ53" i="1"/>
  <c r="CC53" i="1" s="1"/>
  <c r="AF53" i="1"/>
  <c r="BX53" i="1" s="1"/>
  <c r="AK52" i="1"/>
  <c r="AJ52" i="1"/>
  <c r="CC52" i="1" s="1"/>
  <c r="AF52" i="1"/>
  <c r="BX52" i="1" s="1"/>
  <c r="AK51" i="1"/>
  <c r="AJ51" i="1"/>
  <c r="CC51" i="1" s="1"/>
  <c r="AF51" i="1"/>
  <c r="BX51" i="1" s="1"/>
  <c r="AK50" i="1"/>
  <c r="AJ50" i="1"/>
  <c r="CC50" i="1" s="1"/>
  <c r="AF50" i="1"/>
  <c r="BX50" i="1" s="1"/>
  <c r="AK49" i="1"/>
  <c r="AJ49" i="1"/>
  <c r="CC49" i="1" s="1"/>
  <c r="AF49" i="1"/>
  <c r="BX49" i="1" s="1"/>
  <c r="AK48" i="1"/>
  <c r="AJ48" i="1"/>
  <c r="CC48" i="1" s="1"/>
  <c r="AF48" i="1"/>
  <c r="BX48" i="1" s="1"/>
  <c r="AK47" i="1"/>
  <c r="AJ47" i="1"/>
  <c r="CC47" i="1" s="1"/>
  <c r="AF47" i="1"/>
  <c r="BX47" i="1" s="1"/>
  <c r="AK46" i="1"/>
  <c r="AJ46" i="1"/>
  <c r="CC46" i="1" s="1"/>
  <c r="AF46" i="1"/>
  <c r="BX46" i="1" s="1"/>
  <c r="AK45" i="1"/>
  <c r="AJ45" i="1"/>
  <c r="CC45" i="1" s="1"/>
  <c r="AF45" i="1"/>
  <c r="BX45" i="1" s="1"/>
  <c r="AK44" i="1"/>
  <c r="AJ44" i="1"/>
  <c r="CC44" i="1" s="1"/>
  <c r="AF44" i="1"/>
  <c r="BX44" i="1" s="1"/>
  <c r="AR2" i="1" l="1"/>
  <c r="AL525" i="1"/>
  <c r="AL527" i="1"/>
  <c r="AL529" i="1"/>
  <c r="AL531" i="1"/>
  <c r="AL533" i="1"/>
  <c r="AL535" i="1"/>
  <c r="AL537" i="1"/>
  <c r="AL539" i="1"/>
  <c r="AL541" i="1"/>
  <c r="AL543" i="1"/>
  <c r="AL545" i="1"/>
  <c r="AL547" i="1"/>
  <c r="AL549" i="1"/>
  <c r="AL551" i="1"/>
  <c r="AL553" i="1"/>
  <c r="AL555" i="1"/>
  <c r="AL557" i="1"/>
  <c r="AL559" i="1"/>
  <c r="AL561" i="1"/>
  <c r="AL563" i="1"/>
  <c r="AL565" i="1"/>
  <c r="AL567" i="1"/>
  <c r="AL569" i="1"/>
  <c r="AL571" i="1"/>
  <c r="AL573" i="1"/>
  <c r="AL575" i="1"/>
  <c r="AL577" i="1"/>
  <c r="AL579" i="1"/>
  <c r="AL581" i="1"/>
  <c r="AL583" i="1"/>
  <c r="AL585" i="1"/>
  <c r="AL587" i="1"/>
  <c r="AL589" i="1"/>
  <c r="AL591" i="1"/>
  <c r="AL593" i="1"/>
  <c r="AL595" i="1"/>
  <c r="AL597" i="1"/>
  <c r="AL599" i="1"/>
  <c r="AL601" i="1"/>
  <c r="AL603" i="1"/>
  <c r="AL605" i="1"/>
  <c r="AL607" i="1"/>
  <c r="AL609" i="1"/>
  <c r="AL611" i="1"/>
  <c r="AL613" i="1"/>
  <c r="AL615" i="1"/>
  <c r="AL617" i="1"/>
  <c r="AL619" i="1"/>
  <c r="AL621" i="1"/>
  <c r="AL623" i="1"/>
  <c r="AL625" i="1"/>
  <c r="AL627" i="1"/>
  <c r="AL629" i="1"/>
  <c r="AL631" i="1"/>
  <c r="AL633" i="1"/>
  <c r="AL635" i="1"/>
  <c r="AL637" i="1"/>
  <c r="AL639" i="1"/>
  <c r="AL641" i="1"/>
  <c r="AL643" i="1"/>
  <c r="AL645" i="1"/>
  <c r="AL647" i="1"/>
  <c r="AL649" i="1"/>
  <c r="AL651" i="1"/>
  <c r="AL653" i="1"/>
  <c r="AL655" i="1"/>
  <c r="AL657" i="1"/>
  <c r="AL659" i="1"/>
  <c r="AL661" i="1"/>
  <c r="AL663" i="1"/>
  <c r="AL665" i="1"/>
  <c r="AL667" i="1"/>
  <c r="AL669" i="1"/>
  <c r="AL671" i="1"/>
  <c r="AL673" i="1"/>
  <c r="AL675" i="1"/>
  <c r="AL677" i="1"/>
  <c r="AL679" i="1"/>
  <c r="AL681" i="1"/>
  <c r="AL683" i="1"/>
  <c r="AL685" i="1"/>
  <c r="AL687" i="1"/>
  <c r="AL689" i="1"/>
  <c r="AL691" i="1"/>
  <c r="AL693" i="1"/>
  <c r="AL695" i="1"/>
  <c r="AL697" i="1"/>
  <c r="AL699" i="1"/>
  <c r="AL701" i="1"/>
  <c r="AL703" i="1"/>
  <c r="AL705" i="1"/>
  <c r="AL707" i="1"/>
  <c r="AL709" i="1"/>
  <c r="AL711" i="1"/>
  <c r="AL713" i="1"/>
  <c r="AL715" i="1"/>
  <c r="AL717" i="1"/>
  <c r="AL719" i="1"/>
  <c r="AL721" i="1"/>
  <c r="AL723" i="1"/>
  <c r="AL725" i="1"/>
  <c r="AL727" i="1"/>
  <c r="AL729" i="1"/>
  <c r="AL731" i="1"/>
  <c r="AL733" i="1"/>
  <c r="AL735" i="1"/>
  <c r="AL737" i="1"/>
  <c r="AL739" i="1"/>
  <c r="AL741" i="1"/>
  <c r="AL743" i="1"/>
  <c r="AL745" i="1"/>
  <c r="AL747" i="1"/>
  <c r="AL749" i="1"/>
  <c r="AL751" i="1"/>
  <c r="AL753" i="1"/>
  <c r="AL755" i="1"/>
  <c r="AL757" i="1"/>
  <c r="AL759" i="1"/>
  <c r="AL761" i="1"/>
  <c r="AL763" i="1"/>
  <c r="AL765" i="1"/>
  <c r="AL767" i="1"/>
  <c r="AL769" i="1"/>
  <c r="AL771" i="1"/>
  <c r="AL773" i="1"/>
  <c r="AL775" i="1"/>
  <c r="AL777" i="1"/>
  <c r="AL779" i="1"/>
  <c r="AL781" i="1"/>
  <c r="AL783" i="1"/>
  <c r="AL785" i="1"/>
  <c r="AL787" i="1"/>
  <c r="AL789" i="1"/>
  <c r="AL791" i="1"/>
  <c r="AL793" i="1"/>
  <c r="AL795" i="1"/>
  <c r="AL797" i="1"/>
  <c r="AL799" i="1"/>
  <c r="AL801" i="1"/>
  <c r="AL803" i="1"/>
  <c r="AL805" i="1"/>
  <c r="AL807" i="1"/>
  <c r="AL809" i="1"/>
  <c r="AL811" i="1"/>
  <c r="AL813" i="1"/>
  <c r="AL815" i="1"/>
  <c r="AL817" i="1"/>
  <c r="AL819" i="1"/>
  <c r="AL821" i="1"/>
  <c r="AL823" i="1"/>
  <c r="AL825" i="1"/>
  <c r="AL827" i="1"/>
  <c r="AL829" i="1"/>
  <c r="AL831" i="1"/>
  <c r="AL833" i="1"/>
  <c r="AL835" i="1"/>
  <c r="AL837" i="1"/>
  <c r="AL839" i="1"/>
  <c r="AL841" i="1"/>
  <c r="AL843" i="1"/>
  <c r="AL845" i="1"/>
  <c r="AL847" i="1"/>
  <c r="AL849" i="1"/>
  <c r="AL851" i="1"/>
  <c r="AL853" i="1"/>
  <c r="AL855" i="1"/>
  <c r="AL857" i="1"/>
  <c r="AL859" i="1"/>
  <c r="AL861" i="1"/>
  <c r="AL863" i="1"/>
  <c r="AL865" i="1"/>
  <c r="AL867" i="1"/>
  <c r="AL869" i="1"/>
  <c r="AL871" i="1"/>
  <c r="AL873" i="1"/>
  <c r="AL875" i="1"/>
  <c r="AL877" i="1"/>
  <c r="AL879" i="1"/>
  <c r="AL881" i="1"/>
  <c r="AL883" i="1"/>
  <c r="AL885" i="1"/>
  <c r="AL887" i="1"/>
  <c r="AL889" i="1"/>
  <c r="AL891" i="1"/>
  <c r="AL893" i="1"/>
  <c r="AL895" i="1"/>
  <c r="AL897" i="1"/>
  <c r="AL899" i="1"/>
  <c r="AL901" i="1"/>
  <c r="AL903" i="1"/>
  <c r="AL905" i="1"/>
  <c r="AL907" i="1"/>
  <c r="AL909" i="1"/>
  <c r="AL911" i="1"/>
  <c r="AL913" i="1"/>
  <c r="AL915" i="1"/>
  <c r="AL917" i="1"/>
  <c r="AL919" i="1"/>
  <c r="AL921" i="1"/>
  <c r="AL923" i="1"/>
  <c r="AL925" i="1"/>
  <c r="AL927" i="1"/>
  <c r="AL929" i="1"/>
  <c r="AL931" i="1"/>
  <c r="AL933" i="1"/>
  <c r="AL935" i="1"/>
  <c r="AL937" i="1"/>
  <c r="AL939" i="1"/>
  <c r="AL941" i="1"/>
  <c r="AL943" i="1"/>
  <c r="AL945" i="1"/>
  <c r="AL947" i="1"/>
  <c r="AL949" i="1"/>
  <c r="AL951" i="1"/>
  <c r="AL953" i="1"/>
  <c r="AL955" i="1"/>
  <c r="AL957" i="1"/>
  <c r="AL959" i="1"/>
  <c r="AL961" i="1"/>
  <c r="AL963" i="1"/>
  <c r="AL965" i="1"/>
  <c r="AL967" i="1"/>
  <c r="AL969" i="1"/>
  <c r="AL971" i="1"/>
  <c r="AL973" i="1"/>
  <c r="AL975" i="1"/>
  <c r="AL977" i="1"/>
  <c r="AL979" i="1"/>
  <c r="AL981" i="1"/>
  <c r="AL983" i="1"/>
  <c r="AL985" i="1"/>
  <c r="AL987" i="1"/>
  <c r="AL989" i="1"/>
  <c r="AL991" i="1"/>
  <c r="AL993" i="1"/>
  <c r="AL995" i="1"/>
  <c r="AL997" i="1"/>
  <c r="AL999" i="1"/>
  <c r="AL1001" i="1"/>
  <c r="AL1003" i="1"/>
  <c r="AL1005" i="1"/>
  <c r="AL1007" i="1"/>
  <c r="AL1009" i="1"/>
  <c r="AL1011" i="1"/>
  <c r="AL526" i="1"/>
  <c r="AL528" i="1"/>
  <c r="AL530" i="1"/>
  <c r="AL532" i="1"/>
  <c r="AL534" i="1"/>
  <c r="AL536" i="1"/>
  <c r="AL538" i="1"/>
  <c r="AL540" i="1"/>
  <c r="AL542" i="1"/>
  <c r="AL544" i="1"/>
  <c r="AL546" i="1"/>
  <c r="AL548" i="1"/>
  <c r="AL550" i="1"/>
  <c r="AL552" i="1"/>
  <c r="AL554" i="1"/>
  <c r="AL556" i="1"/>
  <c r="AL558" i="1"/>
  <c r="AL560" i="1"/>
  <c r="AL562" i="1"/>
  <c r="AL564" i="1"/>
  <c r="AL566" i="1"/>
  <c r="AL568" i="1"/>
  <c r="AL570" i="1"/>
  <c r="AL572" i="1"/>
  <c r="AL574" i="1"/>
  <c r="AL576" i="1"/>
  <c r="AL578" i="1"/>
  <c r="AL580" i="1"/>
  <c r="AL582" i="1"/>
  <c r="AL584" i="1"/>
  <c r="AL586" i="1"/>
  <c r="AL588" i="1"/>
  <c r="AL590" i="1"/>
  <c r="AL592" i="1"/>
  <c r="AL594" i="1"/>
  <c r="AL596" i="1"/>
  <c r="AL598" i="1"/>
  <c r="AL600" i="1"/>
  <c r="AL602" i="1"/>
  <c r="AL604" i="1"/>
  <c r="AL606" i="1"/>
  <c r="AL608" i="1"/>
  <c r="AL610" i="1"/>
  <c r="AL612" i="1"/>
  <c r="AL614" i="1"/>
  <c r="AL616" i="1"/>
  <c r="AL618" i="1"/>
  <c r="AL620" i="1"/>
  <c r="AL622" i="1"/>
  <c r="AL624" i="1"/>
  <c r="AL626" i="1"/>
  <c r="AL628" i="1"/>
  <c r="AL630" i="1"/>
  <c r="AL632" i="1"/>
  <c r="AL634" i="1"/>
  <c r="AL636" i="1"/>
  <c r="AL638" i="1"/>
  <c r="AL640" i="1"/>
  <c r="AL642" i="1"/>
  <c r="AL644" i="1"/>
  <c r="AL646" i="1"/>
  <c r="AL648" i="1"/>
  <c r="AL650" i="1"/>
  <c r="AL652" i="1"/>
  <c r="AL654" i="1"/>
  <c r="AL656" i="1"/>
  <c r="AL658" i="1"/>
  <c r="AL660" i="1"/>
  <c r="AL662" i="1"/>
  <c r="AL664" i="1"/>
  <c r="AL666" i="1"/>
  <c r="AL668" i="1"/>
  <c r="AL670" i="1"/>
  <c r="AL672" i="1"/>
  <c r="AL674" i="1"/>
  <c r="AL676" i="1"/>
  <c r="AL678" i="1"/>
  <c r="AL680" i="1"/>
  <c r="AL682" i="1"/>
  <c r="AL684" i="1"/>
  <c r="AL686" i="1"/>
  <c r="AL688" i="1"/>
  <c r="AL690" i="1"/>
  <c r="AL692" i="1"/>
  <c r="AL694" i="1"/>
  <c r="AL696" i="1"/>
  <c r="AL698" i="1"/>
  <c r="AL700" i="1"/>
  <c r="AL702" i="1"/>
  <c r="AL704" i="1"/>
  <c r="AL706" i="1"/>
  <c r="AL708" i="1"/>
  <c r="AL710" i="1"/>
  <c r="AL712" i="1"/>
  <c r="AL714" i="1"/>
  <c r="AL716" i="1"/>
  <c r="AL718" i="1"/>
  <c r="AL720" i="1"/>
  <c r="AL722" i="1"/>
  <c r="AL724" i="1"/>
  <c r="AL726" i="1"/>
  <c r="AL728" i="1"/>
  <c r="AL730" i="1"/>
  <c r="AL732" i="1"/>
  <c r="AL734" i="1"/>
  <c r="AL736" i="1"/>
  <c r="AL738" i="1"/>
  <c r="AL740" i="1"/>
  <c r="AL742" i="1"/>
  <c r="AL744" i="1"/>
  <c r="AL746" i="1"/>
  <c r="AL748" i="1"/>
  <c r="AL750" i="1"/>
  <c r="AL752" i="1"/>
  <c r="AL754" i="1"/>
  <c r="AL756" i="1"/>
  <c r="AL758" i="1"/>
  <c r="AL760" i="1"/>
  <c r="AL762" i="1"/>
  <c r="AL764" i="1"/>
  <c r="AL766" i="1"/>
  <c r="AL768" i="1"/>
  <c r="AL770" i="1"/>
  <c r="AL772" i="1"/>
  <c r="AL774" i="1"/>
  <c r="AL776" i="1"/>
  <c r="AL778" i="1"/>
  <c r="AL780" i="1"/>
  <c r="AL782" i="1"/>
  <c r="AL784" i="1"/>
  <c r="AL786" i="1"/>
  <c r="AL788" i="1"/>
  <c r="AL790" i="1"/>
  <c r="AL792" i="1"/>
  <c r="AL794" i="1"/>
  <c r="AL796" i="1"/>
  <c r="AL798" i="1"/>
  <c r="AL800" i="1"/>
  <c r="AL802" i="1"/>
  <c r="AL804" i="1"/>
  <c r="AL806" i="1"/>
  <c r="AL808" i="1"/>
  <c r="AL810" i="1"/>
  <c r="AL812" i="1"/>
  <c r="AL814" i="1"/>
  <c r="AL816" i="1"/>
  <c r="AL818" i="1"/>
  <c r="AL820" i="1"/>
  <c r="AL822" i="1"/>
  <c r="AL824" i="1"/>
  <c r="AL826" i="1"/>
  <c r="AL828" i="1"/>
  <c r="AL830" i="1"/>
  <c r="AL832" i="1"/>
  <c r="AL834" i="1"/>
  <c r="AL836" i="1"/>
  <c r="AL838" i="1"/>
  <c r="AL840" i="1"/>
  <c r="AL842" i="1"/>
  <c r="AL844" i="1"/>
  <c r="AL846" i="1"/>
  <c r="AL848" i="1"/>
  <c r="AL850" i="1"/>
  <c r="AL852" i="1"/>
  <c r="AL854" i="1"/>
  <c r="AL856" i="1"/>
  <c r="AL858" i="1"/>
  <c r="AL860" i="1"/>
  <c r="AL862" i="1"/>
  <c r="AL864" i="1"/>
  <c r="AL866" i="1"/>
  <c r="AL868" i="1"/>
  <c r="AL870" i="1"/>
  <c r="AL872" i="1"/>
  <c r="AL874" i="1"/>
  <c r="AL876" i="1"/>
  <c r="AL878" i="1"/>
  <c r="AL880" i="1"/>
  <c r="AL882" i="1"/>
  <c r="AL884" i="1"/>
  <c r="AL886" i="1"/>
  <c r="AL888" i="1"/>
  <c r="AL890" i="1"/>
  <c r="AL892" i="1"/>
  <c r="AL894" i="1"/>
  <c r="AL896" i="1"/>
  <c r="AL898" i="1"/>
  <c r="AL900" i="1"/>
  <c r="AL902" i="1"/>
  <c r="AL904" i="1"/>
  <c r="AL906" i="1"/>
  <c r="AL908" i="1"/>
  <c r="AL910" i="1"/>
  <c r="AL912" i="1"/>
  <c r="AL914" i="1"/>
  <c r="AL916" i="1"/>
  <c r="AL918" i="1"/>
  <c r="AL920" i="1"/>
  <c r="AL922" i="1"/>
  <c r="AL924" i="1"/>
  <c r="AL926" i="1"/>
  <c r="AL928" i="1"/>
  <c r="AL930" i="1"/>
  <c r="AL932" i="1"/>
  <c r="AL934" i="1"/>
  <c r="AL936" i="1"/>
  <c r="AL938" i="1"/>
  <c r="AL940" i="1"/>
  <c r="AL942" i="1"/>
  <c r="AL944" i="1"/>
  <c r="AL946" i="1"/>
  <c r="AL948" i="1"/>
  <c r="AL950" i="1"/>
  <c r="AL952" i="1"/>
  <c r="AL954" i="1"/>
  <c r="AL956" i="1"/>
  <c r="AL958" i="1"/>
  <c r="AL960" i="1"/>
  <c r="AL962" i="1"/>
  <c r="AL964" i="1"/>
  <c r="AL966" i="1"/>
  <c r="AL968" i="1"/>
  <c r="AL970" i="1"/>
  <c r="AL972" i="1"/>
  <c r="AL974" i="1"/>
  <c r="AL976" i="1"/>
  <c r="AL978" i="1"/>
  <c r="AL980" i="1"/>
  <c r="AL982" i="1"/>
  <c r="AL984" i="1"/>
  <c r="AL986" i="1"/>
  <c r="AL988" i="1"/>
  <c r="AL990" i="1"/>
  <c r="AL992" i="1"/>
  <c r="AL994" i="1"/>
  <c r="AL996" i="1"/>
  <c r="AL998" i="1"/>
  <c r="AL1000" i="1"/>
  <c r="AL1002" i="1"/>
  <c r="AL1004" i="1"/>
  <c r="AL1006" i="1"/>
  <c r="AL1008" i="1"/>
  <c r="AL1010" i="1"/>
  <c r="AL44" i="1"/>
  <c r="AN44" i="1"/>
  <c r="AL45" i="1"/>
  <c r="AN45" i="1"/>
  <c r="AL46" i="1"/>
  <c r="AN46" i="1"/>
  <c r="AL47" i="1"/>
  <c r="AN47" i="1"/>
  <c r="AL48" i="1"/>
  <c r="AN48" i="1"/>
  <c r="AL49" i="1"/>
  <c r="AN49" i="1"/>
  <c r="AL50" i="1"/>
  <c r="AN50" i="1"/>
  <c r="AL51" i="1"/>
  <c r="AN51" i="1"/>
  <c r="AL52" i="1"/>
  <c r="AN52" i="1"/>
  <c r="AL53" i="1"/>
  <c r="AN53" i="1"/>
  <c r="AL54" i="1"/>
  <c r="AN54" i="1"/>
  <c r="AL55" i="1"/>
  <c r="AN55" i="1"/>
  <c r="AL56" i="1"/>
  <c r="AN56" i="1"/>
  <c r="AL57" i="1"/>
  <c r="AN57" i="1"/>
  <c r="AL58" i="1"/>
  <c r="AN58" i="1"/>
  <c r="AL59" i="1"/>
  <c r="AN59" i="1"/>
  <c r="AL60" i="1"/>
  <c r="AN60" i="1"/>
  <c r="AL61" i="1"/>
  <c r="AN61" i="1"/>
  <c r="AL62" i="1"/>
  <c r="AN62" i="1"/>
  <c r="AL63" i="1"/>
  <c r="AN63" i="1"/>
  <c r="AL64" i="1"/>
  <c r="AN64" i="1"/>
  <c r="AL65" i="1"/>
  <c r="AN65" i="1"/>
  <c r="AL66" i="1"/>
  <c r="AN66" i="1"/>
  <c r="AL67" i="1"/>
  <c r="AN67" i="1"/>
  <c r="AL68" i="1"/>
  <c r="AN68" i="1"/>
  <c r="AL69" i="1"/>
  <c r="AN69" i="1"/>
  <c r="AL70" i="1"/>
  <c r="AN70" i="1"/>
  <c r="AL71" i="1"/>
  <c r="AN71" i="1"/>
  <c r="AL72" i="1"/>
  <c r="AN72" i="1"/>
  <c r="AL73" i="1"/>
  <c r="AN73" i="1"/>
  <c r="AL74" i="1"/>
  <c r="AN74" i="1"/>
  <c r="AL75" i="1"/>
  <c r="AN75" i="1"/>
  <c r="AL76" i="1"/>
  <c r="AN76" i="1"/>
  <c r="AL77" i="1"/>
  <c r="AN77" i="1"/>
  <c r="AL78" i="1"/>
  <c r="AN78" i="1"/>
  <c r="AL79" i="1"/>
  <c r="AN79" i="1"/>
  <c r="AL80" i="1"/>
  <c r="AN80" i="1"/>
  <c r="AL81" i="1"/>
  <c r="AN81" i="1"/>
  <c r="AL82" i="1"/>
  <c r="AN82" i="1"/>
  <c r="AL83" i="1"/>
  <c r="AN83" i="1"/>
  <c r="AL84" i="1"/>
  <c r="AN84" i="1"/>
  <c r="AL85" i="1"/>
  <c r="AN85" i="1"/>
  <c r="AL86" i="1"/>
  <c r="AN86" i="1"/>
  <c r="AL87" i="1"/>
  <c r="AN87" i="1"/>
  <c r="AL88" i="1"/>
  <c r="AN88" i="1"/>
  <c r="AL89" i="1"/>
  <c r="AN89" i="1"/>
  <c r="AL90" i="1"/>
  <c r="AN90" i="1"/>
  <c r="AL91" i="1"/>
  <c r="AN91" i="1"/>
  <c r="AL92" i="1"/>
  <c r="AN92" i="1"/>
  <c r="AL93" i="1"/>
  <c r="AN93" i="1"/>
  <c r="AL94" i="1"/>
  <c r="AN94" i="1"/>
  <c r="AL95" i="1"/>
  <c r="AN95" i="1"/>
  <c r="AL96" i="1"/>
  <c r="AN96" i="1"/>
  <c r="AL97" i="1"/>
  <c r="AN97" i="1"/>
  <c r="AL98" i="1"/>
  <c r="AN98" i="1"/>
  <c r="AL99" i="1"/>
  <c r="AN99" i="1"/>
  <c r="AL100" i="1"/>
  <c r="AN100" i="1"/>
  <c r="AL101" i="1"/>
  <c r="AN101" i="1"/>
  <c r="AL102" i="1"/>
  <c r="AN102" i="1"/>
  <c r="AL103" i="1"/>
  <c r="AN103" i="1"/>
  <c r="AL104" i="1"/>
  <c r="AN104" i="1"/>
  <c r="AL105" i="1"/>
  <c r="AN105" i="1"/>
  <c r="AL106" i="1"/>
  <c r="AN106" i="1"/>
  <c r="AL107" i="1"/>
  <c r="AN107" i="1"/>
  <c r="AL108" i="1"/>
  <c r="AN108" i="1"/>
  <c r="AL109" i="1"/>
  <c r="AN109" i="1"/>
  <c r="AL110" i="1"/>
  <c r="AN110" i="1"/>
  <c r="AL111" i="1"/>
  <c r="AN111" i="1"/>
  <c r="AL112" i="1"/>
  <c r="AN112" i="1"/>
  <c r="AL113" i="1"/>
  <c r="AN113" i="1"/>
  <c r="AL114" i="1"/>
  <c r="AN114" i="1"/>
  <c r="AL115" i="1"/>
  <c r="AN115" i="1"/>
  <c r="AL116" i="1"/>
  <c r="AN116" i="1"/>
  <c r="AL117" i="1"/>
  <c r="AN117" i="1"/>
  <c r="AL118" i="1"/>
  <c r="AN118" i="1"/>
  <c r="AL119" i="1"/>
  <c r="AN119" i="1"/>
  <c r="AL120" i="1"/>
  <c r="AN120" i="1"/>
  <c r="AL121" i="1"/>
  <c r="AN121" i="1"/>
  <c r="AL122" i="1"/>
  <c r="AN122" i="1"/>
  <c r="AL123" i="1"/>
  <c r="AN123" i="1"/>
  <c r="AL124" i="1"/>
  <c r="AN124" i="1"/>
  <c r="AL125" i="1"/>
  <c r="AN125" i="1"/>
  <c r="AL126" i="1"/>
  <c r="AN126" i="1"/>
  <c r="AL127" i="1"/>
  <c r="AN127" i="1"/>
  <c r="AL128" i="1"/>
  <c r="AN128" i="1"/>
  <c r="AL129" i="1"/>
  <c r="AN129" i="1"/>
  <c r="AL130" i="1"/>
  <c r="AN130" i="1"/>
  <c r="AL131" i="1"/>
  <c r="AN131" i="1"/>
  <c r="AL132" i="1"/>
  <c r="AN132" i="1"/>
  <c r="AL133" i="1"/>
  <c r="AN133" i="1"/>
  <c r="AL134" i="1"/>
  <c r="AN134" i="1"/>
  <c r="AL135" i="1"/>
  <c r="AN135" i="1"/>
  <c r="AL136" i="1"/>
  <c r="AN136" i="1"/>
  <c r="AL137" i="1"/>
  <c r="AN137" i="1"/>
  <c r="AL138" i="1"/>
  <c r="AN138" i="1"/>
  <c r="AL139" i="1"/>
  <c r="AN139" i="1"/>
  <c r="AL140" i="1"/>
  <c r="AN140" i="1"/>
  <c r="AL141" i="1"/>
  <c r="AN141" i="1"/>
  <c r="AL142" i="1"/>
  <c r="AN142" i="1"/>
  <c r="AL143" i="1"/>
  <c r="AN143" i="1"/>
  <c r="AL144" i="1"/>
  <c r="AN144" i="1"/>
  <c r="AL145" i="1"/>
  <c r="AN145" i="1"/>
  <c r="AL146" i="1"/>
  <c r="AN146" i="1"/>
  <c r="AL147" i="1"/>
  <c r="AN147" i="1"/>
  <c r="AL148" i="1"/>
  <c r="AN148" i="1"/>
  <c r="AL149" i="1"/>
  <c r="AN149" i="1"/>
  <c r="AL150" i="1"/>
  <c r="AN150" i="1"/>
  <c r="AL151" i="1"/>
  <c r="AN151" i="1"/>
  <c r="AL152" i="1"/>
  <c r="AN152" i="1"/>
  <c r="AL153" i="1"/>
  <c r="AN153" i="1"/>
  <c r="AL154" i="1"/>
  <c r="AN154" i="1"/>
  <c r="AL155" i="1"/>
  <c r="AN155" i="1"/>
  <c r="AL156" i="1"/>
  <c r="AN156" i="1"/>
  <c r="AL157" i="1"/>
  <c r="AN157" i="1"/>
  <c r="AL158" i="1"/>
  <c r="AN158" i="1"/>
  <c r="AL159" i="1"/>
  <c r="AN159" i="1"/>
  <c r="AL160" i="1"/>
  <c r="AN160" i="1"/>
  <c r="AL161" i="1"/>
  <c r="AN161" i="1"/>
  <c r="AL162" i="1"/>
  <c r="AN162" i="1"/>
  <c r="AL163" i="1"/>
  <c r="AN163" i="1"/>
  <c r="AL164" i="1"/>
  <c r="AN164" i="1"/>
  <c r="AL165" i="1"/>
  <c r="AN165" i="1"/>
  <c r="AL166" i="1"/>
  <c r="AN166" i="1"/>
  <c r="AL167" i="1"/>
  <c r="AN167" i="1"/>
  <c r="AL168" i="1"/>
  <c r="AN168" i="1"/>
  <c r="AL169" i="1"/>
  <c r="AN169" i="1"/>
  <c r="AL170" i="1"/>
  <c r="AN170" i="1"/>
  <c r="AL171" i="1"/>
  <c r="AN171" i="1"/>
  <c r="AL172" i="1"/>
  <c r="AN172" i="1"/>
  <c r="AL173" i="1"/>
  <c r="AN173" i="1"/>
  <c r="AL174" i="1"/>
  <c r="AN174" i="1"/>
  <c r="AL175" i="1"/>
  <c r="AN175" i="1"/>
  <c r="AL176" i="1"/>
  <c r="AN176" i="1"/>
  <c r="AL177" i="1"/>
  <c r="AN177" i="1"/>
  <c r="AL178" i="1"/>
  <c r="AN178" i="1"/>
  <c r="AL179" i="1"/>
  <c r="AN179" i="1"/>
  <c r="AL180" i="1"/>
  <c r="AN180" i="1"/>
  <c r="AL181" i="1"/>
  <c r="AN181" i="1"/>
  <c r="AL182" i="1"/>
  <c r="AN182" i="1"/>
  <c r="AL183" i="1"/>
  <c r="AN183" i="1"/>
  <c r="AL184" i="1"/>
  <c r="AN184" i="1"/>
  <c r="AL185" i="1"/>
  <c r="AN185" i="1"/>
  <c r="AL186" i="1"/>
  <c r="AN186" i="1"/>
  <c r="AL187" i="1"/>
  <c r="AN187" i="1"/>
  <c r="AL188" i="1"/>
  <c r="AN188" i="1"/>
  <c r="AL189" i="1"/>
  <c r="AN189" i="1"/>
  <c r="AL190" i="1"/>
  <c r="AN190" i="1"/>
  <c r="AL191" i="1"/>
  <c r="AN191" i="1"/>
  <c r="AL192" i="1"/>
  <c r="AN192" i="1"/>
  <c r="AL193" i="1"/>
  <c r="AN193" i="1"/>
  <c r="AL194" i="1"/>
  <c r="AN194" i="1"/>
  <c r="AL195" i="1"/>
  <c r="AN195" i="1"/>
  <c r="AL196" i="1"/>
  <c r="AN196" i="1"/>
  <c r="AL197" i="1"/>
  <c r="AN197" i="1"/>
  <c r="AL198" i="1"/>
  <c r="AN198" i="1"/>
  <c r="AL199" i="1"/>
  <c r="AN199" i="1"/>
  <c r="AL200" i="1"/>
  <c r="AN200" i="1"/>
  <c r="AL201" i="1"/>
  <c r="AN201" i="1"/>
  <c r="AL202" i="1"/>
  <c r="AN202" i="1"/>
  <c r="AL203" i="1"/>
  <c r="AN203" i="1"/>
  <c r="AL204" i="1"/>
  <c r="AN204" i="1"/>
  <c r="AL205" i="1"/>
  <c r="AN205" i="1"/>
  <c r="AL206" i="1"/>
  <c r="AN206" i="1"/>
  <c r="AL207" i="1"/>
  <c r="AN207" i="1"/>
  <c r="AL208" i="1"/>
  <c r="AN208" i="1"/>
  <c r="AL209" i="1"/>
  <c r="AN209" i="1"/>
  <c r="AL210" i="1"/>
  <c r="AN210" i="1"/>
  <c r="AL211" i="1"/>
  <c r="AN211" i="1"/>
  <c r="AL212" i="1"/>
  <c r="AN212" i="1"/>
  <c r="AL213" i="1"/>
  <c r="AN213" i="1"/>
  <c r="AL214" i="1"/>
  <c r="AN214" i="1"/>
  <c r="AL215" i="1"/>
  <c r="AN215" i="1"/>
  <c r="AL216" i="1"/>
  <c r="AN216" i="1"/>
  <c r="AL217" i="1"/>
  <c r="AN217" i="1"/>
  <c r="AL218" i="1"/>
  <c r="AN218" i="1"/>
  <c r="AL219" i="1"/>
  <c r="AN219" i="1"/>
  <c r="AL220" i="1"/>
  <c r="AN220" i="1"/>
  <c r="AL221" i="1"/>
  <c r="AN221" i="1"/>
  <c r="AL222" i="1"/>
  <c r="AN222" i="1"/>
  <c r="AL223" i="1"/>
  <c r="AN223" i="1"/>
  <c r="AL224" i="1"/>
  <c r="AN224" i="1"/>
  <c r="AL225" i="1"/>
  <c r="AN225" i="1"/>
  <c r="AL226" i="1"/>
  <c r="AN226" i="1"/>
  <c r="AL227" i="1"/>
  <c r="AN227" i="1"/>
  <c r="AL228" i="1"/>
  <c r="AN228" i="1"/>
  <c r="AL229" i="1"/>
  <c r="AN229" i="1"/>
  <c r="AL230" i="1"/>
  <c r="AN230" i="1"/>
  <c r="AL231" i="1"/>
  <c r="AN231" i="1"/>
  <c r="AL232" i="1"/>
  <c r="AN232" i="1"/>
  <c r="AL233" i="1"/>
  <c r="AN233" i="1"/>
  <c r="AL234" i="1"/>
  <c r="AN234" i="1"/>
  <c r="AL235" i="1"/>
  <c r="AN235" i="1"/>
  <c r="AL236" i="1"/>
  <c r="AN236" i="1"/>
  <c r="AL237" i="1"/>
  <c r="AN237" i="1"/>
  <c r="AL238" i="1"/>
  <c r="AN238" i="1"/>
  <c r="AL239" i="1"/>
  <c r="AN239" i="1"/>
  <c r="AL240" i="1"/>
  <c r="AN240" i="1"/>
  <c r="AL241" i="1"/>
  <c r="AN241" i="1"/>
  <c r="AL242" i="1"/>
  <c r="AN242" i="1"/>
  <c r="AL243" i="1"/>
  <c r="AN243" i="1"/>
  <c r="AL244" i="1"/>
  <c r="AN244" i="1"/>
  <c r="AL245" i="1"/>
  <c r="AN245" i="1"/>
  <c r="AL246" i="1"/>
  <c r="AN246" i="1"/>
  <c r="AL247" i="1"/>
  <c r="AN247" i="1"/>
  <c r="AL248" i="1"/>
  <c r="AN248" i="1"/>
  <c r="AL249" i="1"/>
  <c r="AN249" i="1"/>
  <c r="AL250" i="1"/>
  <c r="AN250" i="1"/>
  <c r="AL251" i="1"/>
  <c r="AN251" i="1"/>
  <c r="AL252" i="1"/>
  <c r="AN252" i="1"/>
  <c r="AL253" i="1"/>
  <c r="AN253" i="1"/>
  <c r="AL254" i="1"/>
  <c r="AN254" i="1"/>
  <c r="AL255" i="1"/>
  <c r="AN255" i="1"/>
  <c r="AL256" i="1"/>
  <c r="AN256" i="1"/>
  <c r="AL257" i="1"/>
  <c r="AN257" i="1"/>
  <c r="AL258" i="1"/>
  <c r="AN258" i="1"/>
  <c r="AL259" i="1"/>
  <c r="AN259" i="1"/>
  <c r="AL260" i="1"/>
  <c r="AN260" i="1"/>
  <c r="AL261" i="1"/>
  <c r="AN261" i="1"/>
  <c r="AL262" i="1"/>
  <c r="AN262" i="1"/>
  <c r="AL263" i="1"/>
  <c r="AN263" i="1"/>
  <c r="AL264" i="1"/>
  <c r="AN264" i="1"/>
  <c r="AL265" i="1"/>
  <c r="AN265" i="1"/>
  <c r="AL266" i="1"/>
  <c r="AN266" i="1"/>
  <c r="AL267" i="1"/>
  <c r="AN267" i="1"/>
  <c r="AL268" i="1"/>
  <c r="AN268" i="1"/>
  <c r="AL269" i="1"/>
  <c r="AN269" i="1"/>
  <c r="AL270" i="1"/>
  <c r="AN270" i="1"/>
  <c r="AL271" i="1"/>
  <c r="AN271" i="1"/>
  <c r="AL272" i="1"/>
  <c r="AN272" i="1"/>
  <c r="AL273" i="1"/>
  <c r="AN273" i="1"/>
  <c r="AL274" i="1"/>
  <c r="AN274" i="1"/>
  <c r="AL275" i="1"/>
  <c r="AN275" i="1"/>
  <c r="AL276" i="1"/>
  <c r="AN276" i="1"/>
  <c r="AL277" i="1"/>
  <c r="AN277" i="1"/>
  <c r="AL278" i="1"/>
  <c r="AN278" i="1"/>
  <c r="AL279" i="1"/>
  <c r="AN279" i="1"/>
  <c r="AL280" i="1"/>
  <c r="AN280" i="1"/>
  <c r="AL281" i="1"/>
  <c r="AN281" i="1"/>
  <c r="AL282" i="1"/>
  <c r="AN282" i="1"/>
  <c r="AL283" i="1"/>
  <c r="AN283" i="1"/>
  <c r="AL284" i="1"/>
  <c r="AN284" i="1"/>
  <c r="AL285" i="1"/>
  <c r="AN285" i="1"/>
  <c r="AL286" i="1"/>
  <c r="AN286" i="1"/>
  <c r="AL287" i="1"/>
  <c r="AN287" i="1"/>
  <c r="AL288" i="1"/>
  <c r="AN288" i="1"/>
  <c r="AL289" i="1"/>
  <c r="AN289" i="1"/>
  <c r="AL290" i="1"/>
  <c r="AN290" i="1"/>
  <c r="AL291" i="1"/>
  <c r="AN291" i="1"/>
  <c r="AL292" i="1"/>
  <c r="AN292" i="1"/>
  <c r="AL293" i="1"/>
  <c r="AN293" i="1"/>
  <c r="AL294" i="1"/>
  <c r="AN294" i="1"/>
  <c r="AL295" i="1"/>
  <c r="AN295" i="1"/>
  <c r="AL296" i="1"/>
  <c r="AN296" i="1"/>
  <c r="AL297" i="1"/>
  <c r="AN297" i="1"/>
  <c r="AL298" i="1"/>
  <c r="AN298" i="1"/>
  <c r="AL299" i="1"/>
  <c r="AN299" i="1"/>
  <c r="AL300" i="1"/>
  <c r="AN300" i="1"/>
  <c r="AL301" i="1"/>
  <c r="AN301" i="1"/>
  <c r="AL302" i="1"/>
  <c r="AN302" i="1"/>
  <c r="AL303" i="1"/>
  <c r="AN303" i="1"/>
  <c r="AL304" i="1"/>
  <c r="AN304" i="1"/>
  <c r="AL305" i="1"/>
  <c r="AN305" i="1"/>
  <c r="AL306" i="1"/>
  <c r="AN306" i="1"/>
  <c r="AL307" i="1"/>
  <c r="AN307" i="1"/>
  <c r="AL308" i="1"/>
  <c r="AN308" i="1"/>
  <c r="AL309" i="1"/>
  <c r="AN309" i="1"/>
  <c r="AL310" i="1"/>
  <c r="AN310" i="1"/>
  <c r="AL311" i="1"/>
  <c r="AN311" i="1"/>
  <c r="AL312" i="1"/>
  <c r="AN312" i="1"/>
  <c r="AL313" i="1"/>
  <c r="AN313" i="1"/>
  <c r="AL314" i="1"/>
  <c r="AN314" i="1"/>
  <c r="AL315" i="1"/>
  <c r="AN315" i="1"/>
  <c r="AL316" i="1"/>
  <c r="AN316" i="1"/>
  <c r="AL317" i="1"/>
  <c r="AN317" i="1"/>
  <c r="AL318" i="1"/>
  <c r="AN318" i="1"/>
  <c r="AL319" i="1"/>
  <c r="AN319" i="1"/>
  <c r="AL320" i="1"/>
  <c r="AN320" i="1"/>
  <c r="AL321" i="1"/>
  <c r="AN321" i="1"/>
  <c r="AL322" i="1"/>
  <c r="AN322" i="1"/>
  <c r="AL323" i="1"/>
  <c r="AN323" i="1"/>
  <c r="AL324" i="1"/>
  <c r="AN324" i="1"/>
  <c r="AL325" i="1"/>
  <c r="AN325" i="1"/>
  <c r="AL326" i="1"/>
  <c r="AN326" i="1"/>
  <c r="AL327" i="1"/>
  <c r="AN327" i="1"/>
  <c r="AL328" i="1"/>
  <c r="AN328" i="1"/>
  <c r="AL329" i="1"/>
  <c r="AN329" i="1"/>
  <c r="AL330" i="1"/>
  <c r="AN330" i="1"/>
  <c r="AL331" i="1"/>
  <c r="AN331" i="1"/>
  <c r="AL332" i="1"/>
  <c r="AN332" i="1"/>
  <c r="AL333" i="1"/>
  <c r="AN333" i="1"/>
  <c r="AL334" i="1"/>
  <c r="AN334" i="1"/>
  <c r="AL335" i="1"/>
  <c r="AN335" i="1"/>
  <c r="AL336" i="1"/>
  <c r="AN336" i="1"/>
  <c r="AL337" i="1"/>
  <c r="AN337" i="1"/>
  <c r="AL338" i="1"/>
  <c r="AN338" i="1"/>
  <c r="AL339" i="1"/>
  <c r="AN339" i="1"/>
  <c r="AL340" i="1"/>
  <c r="AN340" i="1"/>
  <c r="AL341" i="1"/>
  <c r="AN341" i="1"/>
  <c r="AL342" i="1"/>
  <c r="AN342" i="1"/>
  <c r="AL343" i="1"/>
  <c r="AN343" i="1"/>
  <c r="AL344" i="1"/>
  <c r="AN344" i="1"/>
  <c r="AL345" i="1"/>
  <c r="AN345" i="1"/>
  <c r="AL346" i="1"/>
  <c r="AN346" i="1"/>
  <c r="AL347" i="1"/>
  <c r="AN347" i="1"/>
  <c r="AL348" i="1"/>
  <c r="AN348" i="1"/>
  <c r="AL349" i="1"/>
  <c r="AN349" i="1"/>
  <c r="AL350" i="1"/>
  <c r="AN350" i="1"/>
  <c r="AL351" i="1"/>
  <c r="AN351" i="1"/>
  <c r="AL352" i="1"/>
  <c r="AN352" i="1"/>
  <c r="AL353" i="1"/>
  <c r="AN353" i="1"/>
  <c r="AL354" i="1"/>
  <c r="AN354" i="1"/>
  <c r="AL355" i="1"/>
  <c r="AN355" i="1"/>
  <c r="AL356" i="1"/>
  <c r="AN356" i="1"/>
  <c r="AL357" i="1"/>
  <c r="AN357" i="1"/>
  <c r="AL358" i="1"/>
  <c r="AN358" i="1"/>
  <c r="AL359" i="1"/>
  <c r="AN359" i="1"/>
  <c r="AL360" i="1"/>
  <c r="AN360" i="1"/>
  <c r="AL361" i="1"/>
  <c r="AN361" i="1"/>
  <c r="AL362" i="1"/>
  <c r="AN362" i="1"/>
  <c r="AL363" i="1"/>
  <c r="AN363" i="1"/>
  <c r="AL364" i="1"/>
  <c r="AN364" i="1"/>
  <c r="AL365" i="1"/>
  <c r="AN365" i="1"/>
  <c r="AL366" i="1"/>
  <c r="AN366" i="1"/>
  <c r="AL367" i="1"/>
  <c r="AN367" i="1"/>
  <c r="AL368" i="1"/>
  <c r="AN368" i="1"/>
  <c r="AL369" i="1"/>
  <c r="AN369" i="1"/>
  <c r="AL370" i="1"/>
  <c r="AN370" i="1"/>
  <c r="AL371" i="1"/>
  <c r="AN371" i="1"/>
  <c r="AL372" i="1"/>
  <c r="AN372" i="1"/>
  <c r="AL373" i="1"/>
  <c r="AN373" i="1"/>
  <c r="AL374" i="1"/>
  <c r="AN374" i="1"/>
  <c r="AL375" i="1"/>
  <c r="AN375" i="1"/>
  <c r="AL376" i="1"/>
  <c r="AN376" i="1"/>
  <c r="AL377" i="1"/>
  <c r="AN377" i="1"/>
  <c r="AL378" i="1"/>
  <c r="AN378" i="1"/>
  <c r="AL379" i="1"/>
  <c r="AN379" i="1"/>
  <c r="AL380" i="1"/>
  <c r="AN380" i="1"/>
  <c r="AL381" i="1"/>
  <c r="AN381" i="1"/>
  <c r="AL382" i="1"/>
  <c r="AN382" i="1"/>
  <c r="AL383" i="1"/>
  <c r="AN383" i="1"/>
  <c r="AL384" i="1"/>
  <c r="AN384" i="1"/>
  <c r="AL385" i="1"/>
  <c r="AN385" i="1"/>
  <c r="AL386" i="1"/>
  <c r="AN386" i="1"/>
  <c r="AL387" i="1"/>
  <c r="AN387" i="1"/>
  <c r="AL388" i="1"/>
  <c r="AN388" i="1"/>
  <c r="AL389" i="1"/>
  <c r="AN389" i="1"/>
  <c r="AL390" i="1"/>
  <c r="AN390" i="1"/>
  <c r="AL391" i="1"/>
  <c r="AN391" i="1"/>
  <c r="AL392" i="1"/>
  <c r="AN392" i="1"/>
  <c r="AL393" i="1"/>
  <c r="AN393" i="1"/>
  <c r="AL394" i="1"/>
  <c r="AN394" i="1"/>
  <c r="AL395" i="1"/>
  <c r="AN395" i="1"/>
  <c r="AL396" i="1"/>
  <c r="AN396" i="1"/>
  <c r="AL397" i="1"/>
  <c r="AN397" i="1"/>
  <c r="AL398" i="1"/>
  <c r="AN398" i="1"/>
  <c r="AL399" i="1"/>
  <c r="AN399" i="1"/>
  <c r="AL400" i="1"/>
  <c r="AN400" i="1"/>
  <c r="AL401" i="1"/>
  <c r="AN401" i="1"/>
  <c r="AL402" i="1"/>
  <c r="AN402" i="1"/>
  <c r="AL403" i="1"/>
  <c r="AN403" i="1"/>
  <c r="AL404" i="1"/>
  <c r="AN404" i="1"/>
  <c r="AL405" i="1"/>
  <c r="AN405" i="1"/>
  <c r="AL406" i="1"/>
  <c r="AN406" i="1"/>
  <c r="AL407" i="1"/>
  <c r="AN407" i="1"/>
  <c r="AL408" i="1"/>
  <c r="AN408" i="1"/>
  <c r="AL409" i="1"/>
  <c r="AN409" i="1"/>
  <c r="AL410" i="1"/>
  <c r="AN410" i="1"/>
  <c r="AL411" i="1"/>
  <c r="AN411" i="1"/>
  <c r="AL412" i="1"/>
  <c r="AN412" i="1"/>
  <c r="AL413" i="1"/>
  <c r="AN413" i="1"/>
  <c r="AL414" i="1"/>
  <c r="AN414" i="1"/>
  <c r="AL415" i="1"/>
  <c r="AN415" i="1"/>
  <c r="AL416" i="1"/>
  <c r="AN416" i="1"/>
  <c r="AL417" i="1"/>
  <c r="AN417" i="1"/>
  <c r="AL418" i="1"/>
  <c r="AN418" i="1"/>
  <c r="AL419" i="1"/>
  <c r="AN419" i="1"/>
  <c r="AL420" i="1"/>
  <c r="AN420" i="1"/>
  <c r="AL421" i="1"/>
  <c r="AN421" i="1"/>
  <c r="AL422" i="1"/>
  <c r="AN422" i="1"/>
  <c r="AL423" i="1"/>
  <c r="AN423" i="1"/>
  <c r="AL424" i="1"/>
  <c r="AN424" i="1"/>
  <c r="AL425" i="1"/>
  <c r="AN425" i="1"/>
  <c r="AL426" i="1"/>
  <c r="AN426" i="1"/>
  <c r="AL427" i="1"/>
  <c r="AN427" i="1"/>
  <c r="AL428" i="1"/>
  <c r="AN428" i="1"/>
  <c r="AL429" i="1"/>
  <c r="AN429" i="1"/>
  <c r="AL430" i="1"/>
  <c r="AN430" i="1"/>
  <c r="AL431" i="1"/>
  <c r="AN431" i="1"/>
  <c r="AL432" i="1"/>
  <c r="AN432" i="1"/>
  <c r="AL433" i="1"/>
  <c r="AN433" i="1"/>
  <c r="AL434" i="1"/>
  <c r="AN434" i="1"/>
  <c r="AL435" i="1"/>
  <c r="AN435" i="1"/>
  <c r="AL436" i="1"/>
  <c r="AN436" i="1"/>
  <c r="AL437" i="1"/>
  <c r="AN437" i="1"/>
  <c r="AL438" i="1"/>
  <c r="AN438" i="1"/>
  <c r="AL439" i="1"/>
  <c r="AN439" i="1"/>
  <c r="AL440" i="1"/>
  <c r="AN440" i="1"/>
  <c r="AL441" i="1"/>
  <c r="AN441" i="1"/>
  <c r="AL442" i="1"/>
  <c r="AN442" i="1"/>
  <c r="AL443" i="1"/>
  <c r="AN443" i="1"/>
  <c r="AL444" i="1"/>
  <c r="AN444" i="1"/>
  <c r="AL445" i="1"/>
  <c r="AN445" i="1"/>
  <c r="AL446" i="1"/>
  <c r="AN446" i="1"/>
  <c r="AL447" i="1"/>
  <c r="AN447" i="1"/>
  <c r="AL448" i="1"/>
  <c r="AN448" i="1"/>
  <c r="AL449" i="1"/>
  <c r="AN449" i="1"/>
  <c r="AL450" i="1"/>
  <c r="AN450" i="1"/>
  <c r="AL451" i="1"/>
  <c r="AN451" i="1"/>
  <c r="AL452" i="1"/>
  <c r="AN452" i="1"/>
  <c r="AL453" i="1"/>
  <c r="AN453" i="1"/>
  <c r="AL454" i="1"/>
  <c r="AN454" i="1"/>
  <c r="AL455" i="1"/>
  <c r="AN455" i="1"/>
  <c r="AL456" i="1"/>
  <c r="AN456" i="1"/>
  <c r="AL457" i="1"/>
  <c r="AN457" i="1"/>
  <c r="AL458" i="1"/>
  <c r="AN458" i="1"/>
  <c r="AL459" i="1"/>
  <c r="AN459" i="1"/>
  <c r="AL460" i="1"/>
  <c r="AN460" i="1"/>
  <c r="AL461" i="1"/>
  <c r="AN461" i="1"/>
  <c r="AL462" i="1"/>
  <c r="AN462" i="1"/>
  <c r="AL463" i="1"/>
  <c r="AN463" i="1"/>
  <c r="AL464" i="1"/>
  <c r="AN464" i="1"/>
  <c r="AL465" i="1"/>
  <c r="AN465" i="1"/>
  <c r="AL466" i="1"/>
  <c r="AN466" i="1"/>
  <c r="AL467" i="1"/>
  <c r="AN467" i="1"/>
  <c r="AL468" i="1"/>
  <c r="AN468" i="1"/>
  <c r="AL469" i="1"/>
  <c r="AN469" i="1"/>
  <c r="AL470" i="1"/>
  <c r="AN470" i="1"/>
  <c r="AL471" i="1"/>
  <c r="AN471" i="1"/>
  <c r="AL472" i="1"/>
  <c r="AN472" i="1"/>
  <c r="AL473" i="1"/>
  <c r="AN473" i="1"/>
  <c r="AL474" i="1"/>
  <c r="AN474" i="1"/>
  <c r="AL475" i="1"/>
  <c r="AN475" i="1"/>
  <c r="AL476" i="1"/>
  <c r="AN476" i="1"/>
  <c r="AL477" i="1"/>
  <c r="AN477" i="1"/>
  <c r="AL478" i="1"/>
  <c r="AN478" i="1"/>
  <c r="AL479" i="1"/>
  <c r="AN479" i="1"/>
  <c r="AL480" i="1"/>
  <c r="AN480" i="1"/>
  <c r="AL481" i="1"/>
  <c r="AN481" i="1"/>
  <c r="AL482" i="1"/>
  <c r="AN482" i="1"/>
  <c r="AL483" i="1"/>
  <c r="AN483" i="1"/>
  <c r="AL484" i="1"/>
  <c r="AN484" i="1"/>
  <c r="AL485" i="1"/>
  <c r="AN485" i="1"/>
  <c r="AL486" i="1"/>
  <c r="AN486" i="1"/>
  <c r="AL487" i="1"/>
  <c r="AN487" i="1"/>
  <c r="AL488" i="1"/>
  <c r="AN488" i="1"/>
  <c r="AL489" i="1"/>
  <c r="AN489" i="1"/>
  <c r="AL490" i="1"/>
  <c r="AN490" i="1"/>
  <c r="AL491" i="1"/>
  <c r="AN491" i="1"/>
  <c r="AL492" i="1"/>
  <c r="AN492" i="1"/>
  <c r="AL493" i="1"/>
  <c r="AN493" i="1"/>
  <c r="AL494" i="1"/>
  <c r="AN494" i="1"/>
  <c r="AL495" i="1"/>
  <c r="AN495" i="1"/>
  <c r="AL496" i="1"/>
  <c r="AN496" i="1"/>
  <c r="AL497" i="1"/>
  <c r="AN497" i="1"/>
  <c r="AL498" i="1"/>
  <c r="AN498" i="1"/>
  <c r="AL499" i="1"/>
  <c r="AN499" i="1"/>
  <c r="AL500" i="1"/>
  <c r="AN500" i="1"/>
  <c r="AL501" i="1"/>
  <c r="AN501" i="1"/>
  <c r="AL502" i="1"/>
  <c r="AN502" i="1"/>
  <c r="AL503" i="1"/>
  <c r="AN503" i="1"/>
  <c r="AL504" i="1"/>
  <c r="AN504" i="1"/>
  <c r="AL505" i="1"/>
  <c r="AN505" i="1"/>
  <c r="AL506" i="1"/>
  <c r="AN506" i="1"/>
  <c r="AL507" i="1"/>
  <c r="AN507" i="1"/>
  <c r="AL508" i="1"/>
  <c r="AN508" i="1"/>
  <c r="AL509" i="1"/>
  <c r="AN509" i="1"/>
  <c r="AL510" i="1"/>
  <c r="AN510" i="1"/>
  <c r="AL511" i="1"/>
  <c r="AN511" i="1"/>
  <c r="AL512" i="1"/>
  <c r="AN512" i="1"/>
  <c r="AL513" i="1"/>
  <c r="AN513" i="1"/>
  <c r="AL514" i="1"/>
  <c r="AN514" i="1"/>
  <c r="AL515" i="1"/>
  <c r="AN515" i="1"/>
  <c r="AL516" i="1"/>
  <c r="AN516" i="1"/>
  <c r="AL517" i="1"/>
  <c r="AN517" i="1"/>
  <c r="AL518" i="1"/>
  <c r="AN518" i="1"/>
  <c r="AL519" i="1"/>
  <c r="AN519" i="1"/>
  <c r="AL520" i="1"/>
  <c r="AN520" i="1"/>
  <c r="AL521" i="1"/>
  <c r="AN521" i="1"/>
  <c r="AL522" i="1"/>
  <c r="AN522" i="1"/>
  <c r="AL523" i="1"/>
  <c r="AN523" i="1"/>
  <c r="AL524" i="1"/>
  <c r="AN524" i="1"/>
  <c r="AN1010" i="1"/>
  <c r="AN1008" i="1"/>
  <c r="AN1006" i="1"/>
  <c r="AN1004" i="1"/>
  <c r="AN1002" i="1"/>
  <c r="AN1000" i="1"/>
  <c r="AN998" i="1"/>
  <c r="AN996" i="1"/>
  <c r="AN994" i="1"/>
  <c r="AN992" i="1"/>
  <c r="AN990" i="1"/>
  <c r="AN988" i="1"/>
  <c r="AN986" i="1"/>
  <c r="AN984" i="1"/>
  <c r="AN982" i="1"/>
  <c r="AN980" i="1"/>
  <c r="AN978" i="1"/>
  <c r="AN976" i="1"/>
  <c r="AN974" i="1"/>
  <c r="AN972" i="1"/>
  <c r="AN970" i="1"/>
  <c r="AN968" i="1"/>
  <c r="AN966" i="1"/>
  <c r="AN964" i="1"/>
  <c r="AN962" i="1"/>
  <c r="AN960" i="1"/>
  <c r="AN958" i="1"/>
  <c r="AN956" i="1"/>
  <c r="AN954" i="1"/>
  <c r="AN952" i="1"/>
  <c r="AN950" i="1"/>
  <c r="AN948" i="1"/>
  <c r="AN946" i="1"/>
  <c r="AN944" i="1"/>
  <c r="AN942" i="1"/>
  <c r="AN940" i="1"/>
  <c r="AN938" i="1"/>
  <c r="AN936" i="1"/>
  <c r="AN934" i="1"/>
  <c r="AN932" i="1"/>
  <c r="AN930" i="1"/>
  <c r="AN928" i="1"/>
  <c r="AN926" i="1"/>
  <c r="AN924" i="1"/>
  <c r="AN922" i="1"/>
  <c r="AN920" i="1"/>
  <c r="AN918" i="1"/>
  <c r="AN916" i="1"/>
  <c r="AN914" i="1"/>
  <c r="AN912" i="1"/>
  <c r="AN910" i="1"/>
  <c r="AN908" i="1"/>
  <c r="AN906" i="1"/>
  <c r="AN904" i="1"/>
  <c r="AN902" i="1"/>
  <c r="AN900" i="1"/>
  <c r="AN898" i="1"/>
  <c r="AN896" i="1"/>
  <c r="AN894" i="1"/>
  <c r="AN892" i="1"/>
  <c r="AN890" i="1"/>
  <c r="AN888" i="1"/>
  <c r="AN886" i="1"/>
  <c r="AN884" i="1"/>
  <c r="AN882" i="1"/>
  <c r="AN880" i="1"/>
  <c r="AN878" i="1"/>
  <c r="AN876" i="1"/>
  <c r="AN874" i="1"/>
  <c r="AN872" i="1"/>
  <c r="AN870" i="1"/>
  <c r="AN868" i="1"/>
  <c r="AN866" i="1"/>
  <c r="AN864" i="1"/>
  <c r="AN862" i="1"/>
  <c r="AN860" i="1"/>
  <c r="AN858" i="1"/>
  <c r="AN856" i="1"/>
  <c r="AN854" i="1"/>
  <c r="AN852" i="1"/>
  <c r="AN850" i="1"/>
  <c r="AN848" i="1"/>
  <c r="AN846" i="1"/>
  <c r="AN844" i="1"/>
  <c r="AN842" i="1"/>
  <c r="AN840" i="1"/>
  <c r="AN838" i="1"/>
  <c r="AN836" i="1"/>
  <c r="AN834" i="1"/>
  <c r="AN832" i="1"/>
  <c r="AN830" i="1"/>
  <c r="AN828" i="1"/>
  <c r="AN826" i="1"/>
  <c r="AN824" i="1"/>
  <c r="AN822" i="1"/>
  <c r="AN820" i="1"/>
  <c r="AN818" i="1"/>
  <c r="AN816" i="1"/>
  <c r="AN814" i="1"/>
  <c r="AN812" i="1"/>
  <c r="AN810" i="1"/>
  <c r="AN808" i="1"/>
  <c r="AN806" i="1"/>
  <c r="AN804" i="1"/>
  <c r="AN802" i="1"/>
  <c r="AN800" i="1"/>
  <c r="AN798" i="1"/>
  <c r="AN796" i="1"/>
  <c r="AN794" i="1"/>
  <c r="AN792" i="1"/>
  <c r="AN790" i="1"/>
  <c r="AN788" i="1"/>
  <c r="AN786" i="1"/>
  <c r="AN784" i="1"/>
  <c r="AN782" i="1"/>
  <c r="AN780" i="1"/>
  <c r="AN778" i="1"/>
  <c r="AN776" i="1"/>
  <c r="AN774" i="1"/>
  <c r="AN772" i="1"/>
  <c r="AN770" i="1"/>
  <c r="AN768" i="1"/>
  <c r="AN766" i="1"/>
  <c r="AN764" i="1"/>
  <c r="AN762" i="1"/>
  <c r="AN760" i="1"/>
  <c r="AN758" i="1"/>
  <c r="AN756" i="1"/>
  <c r="AN754" i="1"/>
  <c r="AN752" i="1"/>
  <c r="AN750" i="1"/>
  <c r="AN748" i="1"/>
  <c r="AN746" i="1"/>
  <c r="AN744" i="1"/>
  <c r="AN742" i="1"/>
  <c r="AN740" i="1"/>
  <c r="AN738" i="1"/>
  <c r="AN736" i="1"/>
  <c r="AN734" i="1"/>
  <c r="AN732" i="1"/>
  <c r="AN730" i="1"/>
  <c r="AN728" i="1"/>
  <c r="AN726" i="1"/>
  <c r="AN724" i="1"/>
  <c r="AN722" i="1"/>
  <c r="AN720" i="1"/>
  <c r="AN718" i="1"/>
  <c r="AN716" i="1"/>
  <c r="AN714" i="1"/>
  <c r="AN712" i="1"/>
  <c r="AN710" i="1"/>
  <c r="AN708" i="1"/>
  <c r="AN706" i="1"/>
  <c r="AN704" i="1"/>
  <c r="AN702" i="1"/>
  <c r="AN700" i="1"/>
  <c r="AN698" i="1"/>
  <c r="AN696" i="1"/>
  <c r="AN694" i="1"/>
  <c r="AN692" i="1"/>
  <c r="AN690" i="1"/>
  <c r="AN688" i="1"/>
  <c r="AN686" i="1"/>
  <c r="AN684" i="1"/>
  <c r="AN682" i="1"/>
  <c r="AN680" i="1"/>
  <c r="AN678" i="1"/>
  <c r="AN676" i="1"/>
  <c r="AN674" i="1"/>
  <c r="AN672" i="1"/>
  <c r="AN670" i="1"/>
  <c r="AN668" i="1"/>
  <c r="AN666" i="1"/>
  <c r="AN664" i="1"/>
  <c r="AN662" i="1"/>
  <c r="AN660" i="1"/>
  <c r="AN658" i="1"/>
  <c r="AN656" i="1"/>
  <c r="AN654" i="1"/>
  <c r="AN652" i="1"/>
  <c r="AN650" i="1"/>
  <c r="AN648" i="1"/>
  <c r="AN646" i="1"/>
  <c r="AN644" i="1"/>
  <c r="AN642" i="1"/>
  <c r="AN640" i="1"/>
  <c r="AN638" i="1"/>
  <c r="AN636" i="1"/>
  <c r="AN634" i="1"/>
  <c r="AN632" i="1"/>
  <c r="AN630" i="1"/>
  <c r="AN628" i="1"/>
  <c r="AN626" i="1"/>
  <c r="AN624" i="1"/>
  <c r="AN622" i="1"/>
  <c r="AN620" i="1"/>
  <c r="AN618" i="1"/>
  <c r="AN616" i="1"/>
  <c r="AN614" i="1"/>
  <c r="AN612" i="1"/>
  <c r="AN610" i="1"/>
  <c r="AN608" i="1"/>
  <c r="AN606" i="1"/>
  <c r="AN604" i="1"/>
  <c r="AN602" i="1"/>
  <c r="AN600" i="1"/>
  <c r="AN598" i="1"/>
  <c r="AN596" i="1"/>
  <c r="AN594" i="1"/>
  <c r="AN592" i="1"/>
  <c r="AN590" i="1"/>
  <c r="AN588" i="1"/>
  <c r="AN586" i="1"/>
  <c r="AN584" i="1"/>
  <c r="AN582" i="1"/>
  <c r="AN580" i="1"/>
  <c r="AN578" i="1"/>
  <c r="AN576" i="1"/>
  <c r="AN574" i="1"/>
  <c r="AN572" i="1"/>
  <c r="AN570" i="1"/>
  <c r="AN568" i="1"/>
  <c r="AN566" i="1"/>
  <c r="AN564" i="1"/>
  <c r="AN562" i="1"/>
  <c r="AN560" i="1"/>
  <c r="AN558" i="1"/>
  <c r="AN556" i="1"/>
  <c r="AN554" i="1"/>
  <c r="AN552" i="1"/>
  <c r="AN550" i="1"/>
  <c r="AN548" i="1"/>
  <c r="AN546" i="1"/>
  <c r="AN544" i="1"/>
  <c r="AN542" i="1"/>
  <c r="AN540" i="1"/>
  <c r="AN538" i="1"/>
  <c r="AN536" i="1"/>
  <c r="AN534" i="1"/>
  <c r="AN532" i="1"/>
  <c r="AN530" i="1"/>
  <c r="AN528" i="1"/>
  <c r="AN526" i="1"/>
  <c r="AN1011" i="1"/>
  <c r="AN1009" i="1"/>
  <c r="AN1007" i="1"/>
  <c r="AN1005" i="1"/>
  <c r="AN1003" i="1"/>
  <c r="AN1001" i="1"/>
  <c r="AN999" i="1"/>
  <c r="AN997" i="1"/>
  <c r="AN995" i="1"/>
  <c r="AN993" i="1"/>
  <c r="AN991" i="1"/>
  <c r="AN989" i="1"/>
  <c r="AN987" i="1"/>
  <c r="AN985" i="1"/>
  <c r="AN983" i="1"/>
  <c r="AN981" i="1"/>
  <c r="AN979" i="1"/>
  <c r="AN977" i="1"/>
  <c r="AN975" i="1"/>
  <c r="AN973" i="1"/>
  <c r="AN971" i="1"/>
  <c r="AN969" i="1"/>
  <c r="AN967" i="1"/>
  <c r="AN965" i="1"/>
  <c r="AN963" i="1"/>
  <c r="AN961" i="1"/>
  <c r="AN959" i="1"/>
  <c r="AN957" i="1"/>
  <c r="AN955" i="1"/>
  <c r="AN953" i="1"/>
  <c r="AN951" i="1"/>
  <c r="AN949" i="1"/>
  <c r="AN947" i="1"/>
  <c r="AN945" i="1"/>
  <c r="AN943" i="1"/>
  <c r="AN941" i="1"/>
  <c r="AN939" i="1"/>
  <c r="AN937" i="1"/>
  <c r="AN935" i="1"/>
  <c r="AN933" i="1"/>
  <c r="AN931" i="1"/>
  <c r="AN929" i="1"/>
  <c r="AN927" i="1"/>
  <c r="AN925" i="1"/>
  <c r="AN923" i="1"/>
  <c r="AN921" i="1"/>
  <c r="AN919" i="1"/>
  <c r="AN917" i="1"/>
  <c r="AN915" i="1"/>
  <c r="AN913" i="1"/>
  <c r="AN911" i="1"/>
  <c r="AN909" i="1"/>
  <c r="AN907" i="1"/>
  <c r="AN905" i="1"/>
  <c r="AN903" i="1"/>
  <c r="AN901" i="1"/>
  <c r="AN899" i="1"/>
  <c r="AN897" i="1"/>
  <c r="AN895" i="1"/>
  <c r="AN893" i="1"/>
  <c r="AN891" i="1"/>
  <c r="AN889" i="1"/>
  <c r="AN887" i="1"/>
  <c r="AN885" i="1"/>
  <c r="AN883" i="1"/>
  <c r="AN881" i="1"/>
  <c r="AN879" i="1"/>
  <c r="AN877" i="1"/>
  <c r="AN875" i="1"/>
  <c r="AN873" i="1"/>
  <c r="AN871" i="1"/>
  <c r="AN869" i="1"/>
  <c r="AN867" i="1"/>
  <c r="AN865" i="1"/>
  <c r="AN863" i="1"/>
  <c r="AN861" i="1"/>
  <c r="AN859" i="1"/>
  <c r="AN857" i="1"/>
  <c r="AN855" i="1"/>
  <c r="AN853" i="1"/>
  <c r="AN851" i="1"/>
  <c r="AN849" i="1"/>
  <c r="AN847" i="1"/>
  <c r="AN845" i="1"/>
  <c r="AN843" i="1"/>
  <c r="AN841" i="1"/>
  <c r="AN839" i="1"/>
  <c r="AN837" i="1"/>
  <c r="AN835" i="1"/>
  <c r="AN833" i="1"/>
  <c r="AN831" i="1"/>
  <c r="AN829" i="1"/>
  <c r="AN827" i="1"/>
  <c r="AN825" i="1"/>
  <c r="AN823" i="1"/>
  <c r="AN821" i="1"/>
  <c r="AN819" i="1"/>
  <c r="AN817" i="1"/>
  <c r="AN815" i="1"/>
  <c r="AN813" i="1"/>
  <c r="AN811" i="1"/>
  <c r="AN809" i="1"/>
  <c r="AN807" i="1"/>
  <c r="AN805" i="1"/>
  <c r="AN803" i="1"/>
  <c r="AN801" i="1"/>
  <c r="AN799" i="1"/>
  <c r="AN797" i="1"/>
  <c r="AN795" i="1"/>
  <c r="AN793" i="1"/>
  <c r="AN791" i="1"/>
  <c r="AN789" i="1"/>
  <c r="AN787" i="1"/>
  <c r="AN785" i="1"/>
  <c r="AN783" i="1"/>
  <c r="AN781" i="1"/>
  <c r="AN779" i="1"/>
  <c r="AN777" i="1"/>
  <c r="AN775" i="1"/>
  <c r="AN773" i="1"/>
  <c r="AN771" i="1"/>
  <c r="AN769" i="1"/>
  <c r="AN767" i="1"/>
  <c r="AN765" i="1"/>
  <c r="AN763" i="1"/>
  <c r="AN761" i="1"/>
  <c r="AN759" i="1"/>
  <c r="AN757" i="1"/>
  <c r="AN755" i="1"/>
  <c r="AN753" i="1"/>
  <c r="AN751" i="1"/>
  <c r="AN749" i="1"/>
  <c r="AN747" i="1"/>
  <c r="AN745" i="1"/>
  <c r="AN743" i="1"/>
  <c r="AN741" i="1"/>
  <c r="AN739" i="1"/>
  <c r="AN737" i="1"/>
  <c r="AN735" i="1"/>
  <c r="AN733" i="1"/>
  <c r="AN731" i="1"/>
  <c r="AN729" i="1"/>
  <c r="AN727" i="1"/>
  <c r="AN725" i="1"/>
  <c r="AN723" i="1"/>
  <c r="AN721" i="1"/>
  <c r="AN719" i="1"/>
  <c r="AN717" i="1"/>
  <c r="AN715" i="1"/>
  <c r="AN713" i="1"/>
  <c r="AN711" i="1"/>
  <c r="AN709" i="1"/>
  <c r="AN707" i="1"/>
  <c r="AN705" i="1"/>
  <c r="AN703" i="1"/>
  <c r="AN701" i="1"/>
  <c r="AN699" i="1"/>
  <c r="AN697" i="1"/>
  <c r="AN695" i="1"/>
  <c r="AN693" i="1"/>
  <c r="AN691" i="1"/>
  <c r="AN689" i="1"/>
  <c r="AN687" i="1"/>
  <c r="AN685" i="1"/>
  <c r="AN683" i="1"/>
  <c r="AN681" i="1"/>
  <c r="AN679" i="1"/>
  <c r="AN677" i="1"/>
  <c r="AN675" i="1"/>
  <c r="AN673" i="1"/>
  <c r="AN671" i="1"/>
  <c r="AN669" i="1"/>
  <c r="AN667" i="1"/>
  <c r="AN665" i="1"/>
  <c r="AN663" i="1"/>
  <c r="AN661" i="1"/>
  <c r="AN659" i="1"/>
  <c r="AN657" i="1"/>
  <c r="AN655" i="1"/>
  <c r="AN653" i="1"/>
  <c r="AN651" i="1"/>
  <c r="AN649" i="1"/>
  <c r="AN647" i="1"/>
  <c r="AN645" i="1"/>
  <c r="AN643" i="1"/>
  <c r="AN641" i="1"/>
  <c r="AN639" i="1"/>
  <c r="AN637" i="1"/>
  <c r="AN635" i="1"/>
  <c r="AN633" i="1"/>
  <c r="AN631" i="1"/>
  <c r="AN629" i="1"/>
  <c r="AN627" i="1"/>
  <c r="AN625" i="1"/>
  <c r="AN623" i="1"/>
  <c r="AN621" i="1"/>
  <c r="AN619" i="1"/>
  <c r="AN617" i="1"/>
  <c r="AN615" i="1"/>
  <c r="AN613" i="1"/>
  <c r="AN611" i="1"/>
  <c r="AN609" i="1"/>
  <c r="AN607" i="1"/>
  <c r="AN605" i="1"/>
  <c r="AN603" i="1"/>
  <c r="AN601" i="1"/>
  <c r="AN599" i="1"/>
  <c r="AN597" i="1"/>
  <c r="AN595" i="1"/>
  <c r="AN593" i="1"/>
  <c r="AN591" i="1"/>
  <c r="AN589" i="1"/>
  <c r="AN587" i="1"/>
  <c r="AN585" i="1"/>
  <c r="AN583" i="1"/>
  <c r="AN581" i="1"/>
  <c r="AN579" i="1"/>
  <c r="AN577" i="1"/>
  <c r="AN575" i="1"/>
  <c r="AN573" i="1"/>
  <c r="AN571" i="1"/>
  <c r="AN569" i="1"/>
  <c r="AN567" i="1"/>
  <c r="AN565" i="1"/>
  <c r="AN563" i="1"/>
  <c r="AN561" i="1"/>
  <c r="AN559" i="1"/>
  <c r="AN557" i="1"/>
  <c r="AN555" i="1"/>
  <c r="AN553" i="1"/>
  <c r="AN551" i="1"/>
  <c r="AN549" i="1"/>
  <c r="AN547" i="1"/>
  <c r="AN545" i="1"/>
  <c r="AN543" i="1"/>
  <c r="AN541" i="1"/>
  <c r="AN539" i="1"/>
  <c r="AN537" i="1"/>
  <c r="AN535" i="1"/>
  <c r="AN533" i="1"/>
  <c r="AN531" i="1"/>
  <c r="AN529" i="1"/>
  <c r="AN527" i="1"/>
  <c r="AN525" i="1"/>
  <c r="AS2" i="1" l="1"/>
  <c r="AS1" i="1"/>
  <c r="AT1" i="1" l="1"/>
  <c r="AT2" i="1"/>
  <c r="AU1" i="1" l="1"/>
  <c r="AU2" i="1"/>
  <c r="AV1" i="1" l="1"/>
  <c r="AV2" i="1"/>
  <c r="CE9" i="1" l="1"/>
  <c r="B2" i="3" s="1"/>
  <c r="B3" i="3" s="1"/>
  <c r="C3" i="3" s="1"/>
  <c r="AW1" i="1"/>
  <c r="AW2" i="1"/>
  <c r="B4" i="3" l="1"/>
  <c r="C4" i="3" s="1"/>
  <c r="AY1" i="1"/>
  <c r="AY2" i="1"/>
  <c r="B5" i="3" l="1"/>
  <c r="C5" i="3" s="1"/>
  <c r="BA1" i="1"/>
  <c r="BA2" i="1"/>
  <c r="B6" i="3" l="1"/>
  <c r="BC1" i="1"/>
  <c r="BC2" i="1"/>
  <c r="B7" i="3" l="1"/>
  <c r="C6" i="3"/>
  <c r="BE1" i="1"/>
  <c r="BE2" i="1"/>
  <c r="B8" i="3" l="1"/>
  <c r="C7" i="3"/>
  <c r="BG1" i="1"/>
  <c r="BG2" i="1"/>
  <c r="C8" i="3" l="1"/>
  <c r="B9" i="3"/>
  <c r="BI1" i="1"/>
  <c r="BI2" i="1"/>
  <c r="C9" i="3" l="1"/>
  <c r="B10" i="3"/>
  <c r="BK1" i="1"/>
  <c r="BK2" i="1"/>
  <c r="C10" i="3" l="1"/>
  <c r="B11" i="3"/>
  <c r="BM1" i="1"/>
  <c r="BM2" i="1"/>
  <c r="C11" i="3" l="1"/>
  <c r="B12" i="3"/>
  <c r="BN1" i="1"/>
  <c r="BN2" i="1"/>
  <c r="C12" i="3" l="1"/>
  <c r="B13" i="3"/>
  <c r="BO1" i="1"/>
  <c r="BO2" i="1"/>
  <c r="C13" i="3" l="1"/>
  <c r="B14" i="3"/>
  <c r="BP1" i="1"/>
  <c r="BP2" i="1"/>
  <c r="C14" i="3" l="1"/>
  <c r="B15" i="3"/>
  <c r="BQ1" i="1"/>
  <c r="BQ2" i="1"/>
  <c r="C15" i="3" l="1"/>
  <c r="B16" i="3"/>
  <c r="BS1" i="1"/>
  <c r="BS2" i="1"/>
  <c r="B17" i="3" l="1"/>
  <c r="C16" i="3"/>
  <c r="BT2" i="1"/>
  <c r="BT1" i="1"/>
  <c r="CH1010" i="1"/>
  <c r="CG1010" i="1" s="1"/>
  <c r="CH1006" i="1"/>
  <c r="CG1006" i="1" s="1"/>
  <c r="CH1002" i="1"/>
  <c r="CG1002" i="1" s="1"/>
  <c r="CH998" i="1"/>
  <c r="CG998" i="1" s="1"/>
  <c r="CH994" i="1"/>
  <c r="CG994" i="1" s="1"/>
  <c r="CH990" i="1"/>
  <c r="CG990" i="1" s="1"/>
  <c r="CH986" i="1"/>
  <c r="CG986" i="1" s="1"/>
  <c r="CH1008" i="1"/>
  <c r="CG1008" i="1" s="1"/>
  <c r="CH1004" i="1"/>
  <c r="CG1004" i="1" s="1"/>
  <c r="CH1000" i="1"/>
  <c r="CG1000" i="1" s="1"/>
  <c r="CH996" i="1"/>
  <c r="CG996" i="1" s="1"/>
  <c r="CH992" i="1"/>
  <c r="CG992" i="1" s="1"/>
  <c r="CH988" i="1"/>
  <c r="CG988" i="1" s="1"/>
  <c r="CH1009" i="1"/>
  <c r="CG1009" i="1" s="1"/>
  <c r="CH1005" i="1"/>
  <c r="CG1005" i="1" s="1"/>
  <c r="CH1001" i="1"/>
  <c r="CG1001" i="1" s="1"/>
  <c r="CH997" i="1"/>
  <c r="CG997" i="1" s="1"/>
  <c r="CH993" i="1"/>
  <c r="CG993" i="1" s="1"/>
  <c r="CH989" i="1"/>
  <c r="CG989" i="1" s="1"/>
  <c r="CH985" i="1"/>
  <c r="CG985" i="1" s="1"/>
  <c r="CH1011" i="1"/>
  <c r="CG1011" i="1" s="1"/>
  <c r="CH1003" i="1"/>
  <c r="CG1003" i="1" s="1"/>
  <c r="CH995" i="1"/>
  <c r="CG995" i="1" s="1"/>
  <c r="CH987" i="1"/>
  <c r="CG987" i="1" s="1"/>
  <c r="CH980" i="1"/>
  <c r="CG980" i="1" s="1"/>
  <c r="CH972" i="1"/>
  <c r="CG972" i="1" s="1"/>
  <c r="CH964" i="1"/>
  <c r="CG964" i="1" s="1"/>
  <c r="CH956" i="1"/>
  <c r="CG956" i="1" s="1"/>
  <c r="CH948" i="1"/>
  <c r="CG948" i="1" s="1"/>
  <c r="CH940" i="1"/>
  <c r="CG940" i="1" s="1"/>
  <c r="CH932" i="1"/>
  <c r="CG932" i="1" s="1"/>
  <c r="CH924" i="1"/>
  <c r="CG924" i="1" s="1"/>
  <c r="CH916" i="1"/>
  <c r="CG916" i="1" s="1"/>
  <c r="CH908" i="1"/>
  <c r="CG908" i="1" s="1"/>
  <c r="CH900" i="1"/>
  <c r="CG900" i="1" s="1"/>
  <c r="CH892" i="1"/>
  <c r="CG892" i="1" s="1"/>
  <c r="CH884" i="1"/>
  <c r="CG884" i="1" s="1"/>
  <c r="CH876" i="1"/>
  <c r="CG876" i="1" s="1"/>
  <c r="CH868" i="1"/>
  <c r="CG868" i="1" s="1"/>
  <c r="CH860" i="1"/>
  <c r="CG860" i="1" s="1"/>
  <c r="CH852" i="1"/>
  <c r="CG852" i="1" s="1"/>
  <c r="CH844" i="1"/>
  <c r="CG844" i="1" s="1"/>
  <c r="CH836" i="1"/>
  <c r="CG836" i="1" s="1"/>
  <c r="CH828" i="1"/>
  <c r="CG828" i="1" s="1"/>
  <c r="CH820" i="1"/>
  <c r="CG820" i="1" s="1"/>
  <c r="CH812" i="1"/>
  <c r="CG812" i="1" s="1"/>
  <c r="CH804" i="1"/>
  <c r="CG804" i="1" s="1"/>
  <c r="CH796" i="1"/>
  <c r="CG796" i="1" s="1"/>
  <c r="CH788" i="1"/>
  <c r="CG788" i="1" s="1"/>
  <c r="CH780" i="1"/>
  <c r="CG780" i="1" s="1"/>
  <c r="CH772" i="1"/>
  <c r="CG772" i="1" s="1"/>
  <c r="CH764" i="1"/>
  <c r="CG764" i="1" s="1"/>
  <c r="CH756" i="1"/>
  <c r="CG756" i="1" s="1"/>
  <c r="CH748" i="1"/>
  <c r="CG748" i="1" s="1"/>
  <c r="CH740" i="1"/>
  <c r="CG740" i="1" s="1"/>
  <c r="CH732" i="1"/>
  <c r="CG732" i="1" s="1"/>
  <c r="CH724" i="1"/>
  <c r="CG724" i="1" s="1"/>
  <c r="CH716" i="1"/>
  <c r="CG716" i="1" s="1"/>
  <c r="CH708" i="1"/>
  <c r="CG708" i="1" s="1"/>
  <c r="CH700" i="1"/>
  <c r="CG700" i="1" s="1"/>
  <c r="CH692" i="1"/>
  <c r="CG692" i="1" s="1"/>
  <c r="CH684" i="1"/>
  <c r="CG684" i="1" s="1"/>
  <c r="CH676" i="1"/>
  <c r="CG676" i="1" s="1"/>
  <c r="CH668" i="1"/>
  <c r="CG668" i="1" s="1"/>
  <c r="CH660" i="1"/>
  <c r="CG660" i="1" s="1"/>
  <c r="CH652" i="1"/>
  <c r="CG652" i="1" s="1"/>
  <c r="CH644" i="1"/>
  <c r="CG644" i="1" s="1"/>
  <c r="CH636" i="1"/>
  <c r="CG636" i="1" s="1"/>
  <c r="CH628" i="1"/>
  <c r="CG628" i="1" s="1"/>
  <c r="CH620" i="1"/>
  <c r="CG620" i="1" s="1"/>
  <c r="CH612" i="1"/>
  <c r="CG612" i="1" s="1"/>
  <c r="CH604" i="1"/>
  <c r="CG604" i="1" s="1"/>
  <c r="CH596" i="1"/>
  <c r="CG596" i="1" s="1"/>
  <c r="CH588" i="1"/>
  <c r="CG588" i="1" s="1"/>
  <c r="CH580" i="1"/>
  <c r="CG580" i="1" s="1"/>
  <c r="CH572" i="1"/>
  <c r="CG572" i="1" s="1"/>
  <c r="CH564" i="1"/>
  <c r="CG564" i="1" s="1"/>
  <c r="CH556" i="1"/>
  <c r="CG556" i="1" s="1"/>
  <c r="CH548" i="1"/>
  <c r="CG548" i="1" s="1"/>
  <c r="CH540" i="1"/>
  <c r="CG540" i="1" s="1"/>
  <c r="CH532" i="1"/>
  <c r="CG532" i="1" s="1"/>
  <c r="CH524" i="1"/>
  <c r="CG524" i="1" s="1"/>
  <c r="CH516" i="1"/>
  <c r="CG516" i="1" s="1"/>
  <c r="CH508" i="1"/>
  <c r="CG508" i="1" s="1"/>
  <c r="CH500" i="1"/>
  <c r="CG500" i="1" s="1"/>
  <c r="CH492" i="1"/>
  <c r="CG492" i="1" s="1"/>
  <c r="CH484" i="1"/>
  <c r="CG484" i="1" s="1"/>
  <c r="CH476" i="1"/>
  <c r="CG476" i="1" s="1"/>
  <c r="CH468" i="1"/>
  <c r="CG468" i="1" s="1"/>
  <c r="CH460" i="1"/>
  <c r="CG460" i="1" s="1"/>
  <c r="CH452" i="1"/>
  <c r="CG452" i="1" s="1"/>
  <c r="CH444" i="1"/>
  <c r="CG444" i="1" s="1"/>
  <c r="CH436" i="1"/>
  <c r="CG436" i="1" s="1"/>
  <c r="CH428" i="1"/>
  <c r="CG428" i="1" s="1"/>
  <c r="CH420" i="1"/>
  <c r="CG420" i="1" s="1"/>
  <c r="CH412" i="1"/>
  <c r="CG412" i="1" s="1"/>
  <c r="CH404" i="1"/>
  <c r="CG404" i="1" s="1"/>
  <c r="CH396" i="1"/>
  <c r="CG396" i="1" s="1"/>
  <c r="CH388" i="1"/>
  <c r="CG388" i="1" s="1"/>
  <c r="CH380" i="1"/>
  <c r="CG380" i="1" s="1"/>
  <c r="CH372" i="1"/>
  <c r="CG372" i="1" s="1"/>
  <c r="CH364" i="1"/>
  <c r="CG364" i="1" s="1"/>
  <c r="CH356" i="1"/>
  <c r="CG356" i="1" s="1"/>
  <c r="CH348" i="1"/>
  <c r="CG348" i="1" s="1"/>
  <c r="CH340" i="1"/>
  <c r="CG340" i="1" s="1"/>
  <c r="CH332" i="1"/>
  <c r="CG332" i="1" s="1"/>
  <c r="CH324" i="1"/>
  <c r="CG324" i="1" s="1"/>
  <c r="CH316" i="1"/>
  <c r="CG316" i="1" s="1"/>
  <c r="CH308" i="1"/>
  <c r="CG308" i="1" s="1"/>
  <c r="CH300" i="1"/>
  <c r="CG300" i="1" s="1"/>
  <c r="CH292" i="1"/>
  <c r="CG292" i="1" s="1"/>
  <c r="CH284" i="1"/>
  <c r="CG284" i="1" s="1"/>
  <c r="CH276" i="1"/>
  <c r="CG276" i="1" s="1"/>
  <c r="CH268" i="1"/>
  <c r="CG268" i="1" s="1"/>
  <c r="CH260" i="1"/>
  <c r="CG260" i="1" s="1"/>
  <c r="CH252" i="1"/>
  <c r="CG252" i="1" s="1"/>
  <c r="CH244" i="1"/>
  <c r="CG244" i="1" s="1"/>
  <c r="CH236" i="1"/>
  <c r="CG236" i="1" s="1"/>
  <c r="CH228" i="1"/>
  <c r="CG228" i="1" s="1"/>
  <c r="CH220" i="1"/>
  <c r="CG220" i="1" s="1"/>
  <c r="CH212" i="1"/>
  <c r="CG212" i="1" s="1"/>
  <c r="CH204" i="1"/>
  <c r="CG204" i="1" s="1"/>
  <c r="CH196" i="1"/>
  <c r="CG196" i="1" s="1"/>
  <c r="CH188" i="1"/>
  <c r="CG188" i="1" s="1"/>
  <c r="CH180" i="1"/>
  <c r="CG180" i="1" s="1"/>
  <c r="CH172" i="1"/>
  <c r="CG172" i="1" s="1"/>
  <c r="CH164" i="1"/>
  <c r="CG164" i="1" s="1"/>
  <c r="CH156" i="1"/>
  <c r="CG156" i="1" s="1"/>
  <c r="CH148" i="1"/>
  <c r="CG148" i="1" s="1"/>
  <c r="CH140" i="1"/>
  <c r="CG140" i="1" s="1"/>
  <c r="CH132" i="1"/>
  <c r="CG132" i="1" s="1"/>
  <c r="CH124" i="1"/>
  <c r="CG124" i="1" s="1"/>
  <c r="CH116" i="1"/>
  <c r="CG116" i="1" s="1"/>
  <c r="CH108" i="1"/>
  <c r="CG108" i="1" s="1"/>
  <c r="CH100" i="1"/>
  <c r="CG100" i="1" s="1"/>
  <c r="CH92" i="1"/>
  <c r="CG92" i="1" s="1"/>
  <c r="CH84" i="1"/>
  <c r="CG84" i="1" s="1"/>
  <c r="CH76" i="1"/>
  <c r="CG76" i="1" s="1"/>
  <c r="CH68" i="1"/>
  <c r="CG68" i="1" s="1"/>
  <c r="CH60" i="1"/>
  <c r="CG60" i="1" s="1"/>
  <c r="CH52" i="1"/>
  <c r="CG52" i="1" s="1"/>
  <c r="CH44" i="1"/>
  <c r="CG44" i="1" s="1"/>
  <c r="CH981" i="1"/>
  <c r="CG981" i="1" s="1"/>
  <c r="CH973" i="1"/>
  <c r="CG973" i="1" s="1"/>
  <c r="CH965" i="1"/>
  <c r="CG965" i="1" s="1"/>
  <c r="CH957" i="1"/>
  <c r="CG957" i="1" s="1"/>
  <c r="CH949" i="1"/>
  <c r="CG949" i="1" s="1"/>
  <c r="CH941" i="1"/>
  <c r="CG941" i="1" s="1"/>
  <c r="CH933" i="1"/>
  <c r="CG933" i="1" s="1"/>
  <c r="CH925" i="1"/>
  <c r="CG925" i="1" s="1"/>
  <c r="CH917" i="1"/>
  <c r="CG917" i="1" s="1"/>
  <c r="CH909" i="1"/>
  <c r="CG909" i="1" s="1"/>
  <c r="CH901" i="1"/>
  <c r="CG901" i="1" s="1"/>
  <c r="CH893" i="1"/>
  <c r="CG893" i="1" s="1"/>
  <c r="CH885" i="1"/>
  <c r="CG885" i="1" s="1"/>
  <c r="CH877" i="1"/>
  <c r="CG877" i="1" s="1"/>
  <c r="CH869" i="1"/>
  <c r="CG869" i="1" s="1"/>
  <c r="CH861" i="1"/>
  <c r="CG861" i="1" s="1"/>
  <c r="CH853" i="1"/>
  <c r="CG853" i="1" s="1"/>
  <c r="CH845" i="1"/>
  <c r="CG845" i="1" s="1"/>
  <c r="CH837" i="1"/>
  <c r="CG837" i="1" s="1"/>
  <c r="CH829" i="1"/>
  <c r="CG829" i="1" s="1"/>
  <c r="CH821" i="1"/>
  <c r="CG821" i="1" s="1"/>
  <c r="CH813" i="1"/>
  <c r="CG813" i="1" s="1"/>
  <c r="CH805" i="1"/>
  <c r="CG805" i="1" s="1"/>
  <c r="CH797" i="1"/>
  <c r="CG797" i="1" s="1"/>
  <c r="CH789" i="1"/>
  <c r="CG789" i="1" s="1"/>
  <c r="CH781" i="1"/>
  <c r="CG781" i="1" s="1"/>
  <c r="CH773" i="1"/>
  <c r="CG773" i="1" s="1"/>
  <c r="CH765" i="1"/>
  <c r="CG765" i="1" s="1"/>
  <c r="CH757" i="1"/>
  <c r="CG757" i="1" s="1"/>
  <c r="CH749" i="1"/>
  <c r="CG749" i="1" s="1"/>
  <c r="CH741" i="1"/>
  <c r="CG741" i="1" s="1"/>
  <c r="CH733" i="1"/>
  <c r="CG733" i="1" s="1"/>
  <c r="CH725" i="1"/>
  <c r="CG725" i="1" s="1"/>
  <c r="CH1007" i="1"/>
  <c r="CG1007" i="1" s="1"/>
  <c r="CH999" i="1"/>
  <c r="CG999" i="1" s="1"/>
  <c r="CH991" i="1"/>
  <c r="CG991" i="1" s="1"/>
  <c r="CH984" i="1"/>
  <c r="CG984" i="1" s="1"/>
  <c r="CH976" i="1"/>
  <c r="CG976" i="1" s="1"/>
  <c r="CH968" i="1"/>
  <c r="CG968" i="1" s="1"/>
  <c r="CH960" i="1"/>
  <c r="CG960" i="1" s="1"/>
  <c r="CH952" i="1"/>
  <c r="CG952" i="1" s="1"/>
  <c r="CH944" i="1"/>
  <c r="CG944" i="1" s="1"/>
  <c r="CH936" i="1"/>
  <c r="CG936" i="1" s="1"/>
  <c r="CH928" i="1"/>
  <c r="CG928" i="1" s="1"/>
  <c r="CH920" i="1"/>
  <c r="CG920" i="1" s="1"/>
  <c r="CH912" i="1"/>
  <c r="CG912" i="1" s="1"/>
  <c r="CH904" i="1"/>
  <c r="CG904" i="1" s="1"/>
  <c r="CH896" i="1"/>
  <c r="CG896" i="1" s="1"/>
  <c r="CH888" i="1"/>
  <c r="CG888" i="1" s="1"/>
  <c r="CH880" i="1"/>
  <c r="CG880" i="1" s="1"/>
  <c r="CH872" i="1"/>
  <c r="CG872" i="1" s="1"/>
  <c r="CH864" i="1"/>
  <c r="CG864" i="1" s="1"/>
  <c r="CH856" i="1"/>
  <c r="CG856" i="1" s="1"/>
  <c r="CH848" i="1"/>
  <c r="CG848" i="1" s="1"/>
  <c r="CH840" i="1"/>
  <c r="CG840" i="1" s="1"/>
  <c r="CH832" i="1"/>
  <c r="CG832" i="1" s="1"/>
  <c r="CH824" i="1"/>
  <c r="CG824" i="1" s="1"/>
  <c r="CH816" i="1"/>
  <c r="CG816" i="1" s="1"/>
  <c r="CH808" i="1"/>
  <c r="CG808" i="1" s="1"/>
  <c r="CH800" i="1"/>
  <c r="CG800" i="1" s="1"/>
  <c r="CH792" i="1"/>
  <c r="CG792" i="1" s="1"/>
  <c r="CH784" i="1"/>
  <c r="CG784" i="1" s="1"/>
  <c r="CH776" i="1"/>
  <c r="CG776" i="1" s="1"/>
  <c r="CH768" i="1"/>
  <c r="CG768" i="1" s="1"/>
  <c r="CH760" i="1"/>
  <c r="CG760" i="1" s="1"/>
  <c r="CH752" i="1"/>
  <c r="CG752" i="1" s="1"/>
  <c r="CH744" i="1"/>
  <c r="CG744" i="1" s="1"/>
  <c r="CH736" i="1"/>
  <c r="CG736" i="1" s="1"/>
  <c r="CH728" i="1"/>
  <c r="CG728" i="1" s="1"/>
  <c r="CH720" i="1"/>
  <c r="CG720" i="1" s="1"/>
  <c r="CH712" i="1"/>
  <c r="CG712" i="1" s="1"/>
  <c r="CH704" i="1"/>
  <c r="CG704" i="1" s="1"/>
  <c r="CH696" i="1"/>
  <c r="CG696" i="1" s="1"/>
  <c r="CH688" i="1"/>
  <c r="CG688" i="1" s="1"/>
  <c r="CH680" i="1"/>
  <c r="CG680" i="1" s="1"/>
  <c r="CH672" i="1"/>
  <c r="CG672" i="1" s="1"/>
  <c r="CH664" i="1"/>
  <c r="CG664" i="1" s="1"/>
  <c r="CH656" i="1"/>
  <c r="CG656" i="1" s="1"/>
  <c r="CH648" i="1"/>
  <c r="CG648" i="1" s="1"/>
  <c r="CH640" i="1"/>
  <c r="CG640" i="1" s="1"/>
  <c r="CH632" i="1"/>
  <c r="CG632" i="1" s="1"/>
  <c r="CH624" i="1"/>
  <c r="CG624" i="1" s="1"/>
  <c r="CH616" i="1"/>
  <c r="CG616" i="1" s="1"/>
  <c r="CH608" i="1"/>
  <c r="CG608" i="1" s="1"/>
  <c r="CH600" i="1"/>
  <c r="CG600" i="1" s="1"/>
  <c r="CH592" i="1"/>
  <c r="CG592" i="1" s="1"/>
  <c r="CH584" i="1"/>
  <c r="CG584" i="1" s="1"/>
  <c r="CH576" i="1"/>
  <c r="CG576" i="1" s="1"/>
  <c r="CH568" i="1"/>
  <c r="CG568" i="1" s="1"/>
  <c r="CH560" i="1"/>
  <c r="CG560" i="1" s="1"/>
  <c r="CH552" i="1"/>
  <c r="CG552" i="1" s="1"/>
  <c r="CH544" i="1"/>
  <c r="CG544" i="1" s="1"/>
  <c r="CH536" i="1"/>
  <c r="CG536" i="1" s="1"/>
  <c r="CH528" i="1"/>
  <c r="CG528" i="1" s="1"/>
  <c r="CH520" i="1"/>
  <c r="CG520" i="1" s="1"/>
  <c r="CH512" i="1"/>
  <c r="CG512" i="1" s="1"/>
  <c r="CH504" i="1"/>
  <c r="CG504" i="1" s="1"/>
  <c r="CH496" i="1"/>
  <c r="CG496" i="1" s="1"/>
  <c r="CH488" i="1"/>
  <c r="CG488" i="1" s="1"/>
  <c r="CH480" i="1"/>
  <c r="CG480" i="1" s="1"/>
  <c r="CH472" i="1"/>
  <c r="CG472" i="1" s="1"/>
  <c r="CH464" i="1"/>
  <c r="CG464" i="1" s="1"/>
  <c r="CH456" i="1"/>
  <c r="CG456" i="1" s="1"/>
  <c r="CH448" i="1"/>
  <c r="CG448" i="1" s="1"/>
  <c r="CH440" i="1"/>
  <c r="CG440" i="1" s="1"/>
  <c r="CH432" i="1"/>
  <c r="CG432" i="1" s="1"/>
  <c r="CH424" i="1"/>
  <c r="CG424" i="1" s="1"/>
  <c r="CH416" i="1"/>
  <c r="CG416" i="1" s="1"/>
  <c r="CH408" i="1"/>
  <c r="CG408" i="1" s="1"/>
  <c r="CH400" i="1"/>
  <c r="CG400" i="1" s="1"/>
  <c r="CH392" i="1"/>
  <c r="CG392" i="1" s="1"/>
  <c r="CH384" i="1"/>
  <c r="CG384" i="1" s="1"/>
  <c r="CH376" i="1"/>
  <c r="CG376" i="1" s="1"/>
  <c r="CH368" i="1"/>
  <c r="CG368" i="1" s="1"/>
  <c r="CH360" i="1"/>
  <c r="CG360" i="1" s="1"/>
  <c r="CH352" i="1"/>
  <c r="CG352" i="1" s="1"/>
  <c r="CH344" i="1"/>
  <c r="CG344" i="1" s="1"/>
  <c r="CH336" i="1"/>
  <c r="CG336" i="1" s="1"/>
  <c r="CH328" i="1"/>
  <c r="CG328" i="1" s="1"/>
  <c r="CH320" i="1"/>
  <c r="CG320" i="1" s="1"/>
  <c r="CH312" i="1"/>
  <c r="CG312" i="1" s="1"/>
  <c r="CH304" i="1"/>
  <c r="CG304" i="1" s="1"/>
  <c r="CH296" i="1"/>
  <c r="CG296" i="1" s="1"/>
  <c r="CH288" i="1"/>
  <c r="CG288" i="1" s="1"/>
  <c r="CH280" i="1"/>
  <c r="CG280" i="1" s="1"/>
  <c r="CH272" i="1"/>
  <c r="CG272" i="1" s="1"/>
  <c r="CH264" i="1"/>
  <c r="CG264" i="1" s="1"/>
  <c r="CH256" i="1"/>
  <c r="CG256" i="1" s="1"/>
  <c r="CH248" i="1"/>
  <c r="CG248" i="1" s="1"/>
  <c r="CH240" i="1"/>
  <c r="CG240" i="1" s="1"/>
  <c r="CH232" i="1"/>
  <c r="CG232" i="1" s="1"/>
  <c r="CH224" i="1"/>
  <c r="CG224" i="1" s="1"/>
  <c r="CH216" i="1"/>
  <c r="CG216" i="1" s="1"/>
  <c r="CH208" i="1"/>
  <c r="CG208" i="1" s="1"/>
  <c r="CH200" i="1"/>
  <c r="CG200" i="1" s="1"/>
  <c r="CH192" i="1"/>
  <c r="CG192" i="1" s="1"/>
  <c r="CH184" i="1"/>
  <c r="CG184" i="1" s="1"/>
  <c r="CH176" i="1"/>
  <c r="CG176" i="1" s="1"/>
  <c r="CH168" i="1"/>
  <c r="CG168" i="1" s="1"/>
  <c r="CH160" i="1"/>
  <c r="CG160" i="1" s="1"/>
  <c r="CH152" i="1"/>
  <c r="CG152" i="1" s="1"/>
  <c r="CH144" i="1"/>
  <c r="CG144" i="1" s="1"/>
  <c r="CH136" i="1"/>
  <c r="CG136" i="1" s="1"/>
  <c r="CH128" i="1"/>
  <c r="CG128" i="1" s="1"/>
  <c r="CH120" i="1"/>
  <c r="CG120" i="1" s="1"/>
  <c r="CH112" i="1"/>
  <c r="CG112" i="1" s="1"/>
  <c r="CH104" i="1"/>
  <c r="CG104" i="1" s="1"/>
  <c r="CH96" i="1"/>
  <c r="CG96" i="1" s="1"/>
  <c r="CH88" i="1"/>
  <c r="CG88" i="1" s="1"/>
  <c r="CH80" i="1"/>
  <c r="CG80" i="1" s="1"/>
  <c r="CH72" i="1"/>
  <c r="CG72" i="1" s="1"/>
  <c r="CH64" i="1"/>
  <c r="CG64" i="1" s="1"/>
  <c r="CH56" i="1"/>
  <c r="CG56" i="1" s="1"/>
  <c r="CH48" i="1"/>
  <c r="CG48" i="1" s="1"/>
  <c r="CH977" i="1"/>
  <c r="CG977" i="1" s="1"/>
  <c r="CH969" i="1"/>
  <c r="CG969" i="1" s="1"/>
  <c r="CH961" i="1"/>
  <c r="CG961" i="1" s="1"/>
  <c r="CH953" i="1"/>
  <c r="CG953" i="1" s="1"/>
  <c r="CH945" i="1"/>
  <c r="CG945" i="1" s="1"/>
  <c r="CH937" i="1"/>
  <c r="CG937" i="1" s="1"/>
  <c r="CH929" i="1"/>
  <c r="CG929" i="1" s="1"/>
  <c r="CH921" i="1"/>
  <c r="CG921" i="1" s="1"/>
  <c r="CH913" i="1"/>
  <c r="CG913" i="1" s="1"/>
  <c r="CH905" i="1"/>
  <c r="CG905" i="1" s="1"/>
  <c r="CH897" i="1"/>
  <c r="CG897" i="1" s="1"/>
  <c r="CH889" i="1"/>
  <c r="CG889" i="1" s="1"/>
  <c r="CH881" i="1"/>
  <c r="CG881" i="1" s="1"/>
  <c r="CH873" i="1"/>
  <c r="CG873" i="1" s="1"/>
  <c r="CH865" i="1"/>
  <c r="CG865" i="1" s="1"/>
  <c r="CH857" i="1"/>
  <c r="CG857" i="1" s="1"/>
  <c r="CH849" i="1"/>
  <c r="CG849" i="1" s="1"/>
  <c r="CH841" i="1"/>
  <c r="CG841" i="1" s="1"/>
  <c r="CH833" i="1"/>
  <c r="CG833" i="1" s="1"/>
  <c r="CH825" i="1"/>
  <c r="CG825" i="1" s="1"/>
  <c r="CH817" i="1"/>
  <c r="CG817" i="1" s="1"/>
  <c r="CH809" i="1"/>
  <c r="CG809" i="1" s="1"/>
  <c r="CH801" i="1"/>
  <c r="CG801" i="1" s="1"/>
  <c r="CH793" i="1"/>
  <c r="CG793" i="1" s="1"/>
  <c r="CH785" i="1"/>
  <c r="CG785" i="1" s="1"/>
  <c r="CH777" i="1"/>
  <c r="CG777" i="1" s="1"/>
  <c r="CH769" i="1"/>
  <c r="CG769" i="1" s="1"/>
  <c r="CH761" i="1"/>
  <c r="CG761" i="1" s="1"/>
  <c r="CH753" i="1"/>
  <c r="CG753" i="1" s="1"/>
  <c r="CH745" i="1"/>
  <c r="CG745" i="1" s="1"/>
  <c r="CH737" i="1"/>
  <c r="CG737" i="1" s="1"/>
  <c r="CH729" i="1"/>
  <c r="CG729" i="1" s="1"/>
  <c r="CH721" i="1"/>
  <c r="CG721" i="1" s="1"/>
  <c r="CH713" i="1"/>
  <c r="CG713" i="1" s="1"/>
  <c r="CH705" i="1"/>
  <c r="CG705" i="1" s="1"/>
  <c r="CH697" i="1"/>
  <c r="CG697" i="1" s="1"/>
  <c r="CH689" i="1"/>
  <c r="CG689" i="1" s="1"/>
  <c r="CH681" i="1"/>
  <c r="CG681" i="1" s="1"/>
  <c r="CH673" i="1"/>
  <c r="CG673" i="1" s="1"/>
  <c r="CH665" i="1"/>
  <c r="CG665" i="1" s="1"/>
  <c r="CH657" i="1"/>
  <c r="CG657" i="1" s="1"/>
  <c r="CH649" i="1"/>
  <c r="CG649" i="1" s="1"/>
  <c r="CH641" i="1"/>
  <c r="CG641" i="1" s="1"/>
  <c r="CH633" i="1"/>
  <c r="CG633" i="1" s="1"/>
  <c r="CH625" i="1"/>
  <c r="CG625" i="1" s="1"/>
  <c r="CH617" i="1"/>
  <c r="CG617" i="1" s="1"/>
  <c r="CH609" i="1"/>
  <c r="CG609" i="1" s="1"/>
  <c r="CH601" i="1"/>
  <c r="CG601" i="1" s="1"/>
  <c r="CH593" i="1"/>
  <c r="CG593" i="1" s="1"/>
  <c r="CH585" i="1"/>
  <c r="CG585" i="1" s="1"/>
  <c r="CH577" i="1"/>
  <c r="CG577" i="1" s="1"/>
  <c r="CH569" i="1"/>
  <c r="CG569" i="1" s="1"/>
  <c r="CH561" i="1"/>
  <c r="CG561" i="1" s="1"/>
  <c r="CH553" i="1"/>
  <c r="CG553" i="1" s="1"/>
  <c r="CH545" i="1"/>
  <c r="CG545" i="1" s="1"/>
  <c r="CH701" i="1"/>
  <c r="CG701" i="1" s="1"/>
  <c r="CH693" i="1"/>
  <c r="CG693" i="1" s="1"/>
  <c r="CH677" i="1"/>
  <c r="CG677" i="1" s="1"/>
  <c r="CH669" i="1"/>
  <c r="CG669" i="1" s="1"/>
  <c r="CH637" i="1"/>
  <c r="CG637" i="1" s="1"/>
  <c r="CH629" i="1"/>
  <c r="CG629" i="1" s="1"/>
  <c r="CH613" i="1"/>
  <c r="CG613" i="1" s="1"/>
  <c r="CH605" i="1"/>
  <c r="CG605" i="1" s="1"/>
  <c r="CH573" i="1"/>
  <c r="CG573" i="1" s="1"/>
  <c r="CH565" i="1"/>
  <c r="CG565" i="1" s="1"/>
  <c r="CH549" i="1"/>
  <c r="CG549" i="1" s="1"/>
  <c r="CH541" i="1"/>
  <c r="CG541" i="1" s="1"/>
  <c r="CH533" i="1"/>
  <c r="CG533" i="1" s="1"/>
  <c r="CH525" i="1"/>
  <c r="CG525" i="1" s="1"/>
  <c r="CH517" i="1"/>
  <c r="CG517" i="1" s="1"/>
  <c r="CH509" i="1"/>
  <c r="CG509" i="1" s="1"/>
  <c r="CH501" i="1"/>
  <c r="CG501" i="1" s="1"/>
  <c r="CH493" i="1"/>
  <c r="CG493" i="1" s="1"/>
  <c r="CH485" i="1"/>
  <c r="CG485" i="1" s="1"/>
  <c r="CH477" i="1"/>
  <c r="CG477" i="1" s="1"/>
  <c r="CH469" i="1"/>
  <c r="CG469" i="1" s="1"/>
  <c r="CH461" i="1"/>
  <c r="CG461" i="1" s="1"/>
  <c r="CH453" i="1"/>
  <c r="CG453" i="1" s="1"/>
  <c r="CH445" i="1"/>
  <c r="CG445" i="1" s="1"/>
  <c r="CH437" i="1"/>
  <c r="CG437" i="1" s="1"/>
  <c r="CH429" i="1"/>
  <c r="CG429" i="1" s="1"/>
  <c r="CH421" i="1"/>
  <c r="CG421" i="1" s="1"/>
  <c r="CH413" i="1"/>
  <c r="CG413" i="1" s="1"/>
  <c r="CH405" i="1"/>
  <c r="CG405" i="1" s="1"/>
  <c r="CH397" i="1"/>
  <c r="CG397" i="1" s="1"/>
  <c r="CH389" i="1"/>
  <c r="CG389" i="1" s="1"/>
  <c r="CH381" i="1"/>
  <c r="CG381" i="1" s="1"/>
  <c r="CH373" i="1"/>
  <c r="CG373" i="1" s="1"/>
  <c r="CH365" i="1"/>
  <c r="CG365" i="1" s="1"/>
  <c r="CH357" i="1"/>
  <c r="CG357" i="1" s="1"/>
  <c r="CH349" i="1"/>
  <c r="CG349" i="1" s="1"/>
  <c r="CH341" i="1"/>
  <c r="CG341" i="1" s="1"/>
  <c r="CH333" i="1"/>
  <c r="CG333" i="1" s="1"/>
  <c r="CH325" i="1"/>
  <c r="CG325" i="1" s="1"/>
  <c r="CH317" i="1"/>
  <c r="CG317" i="1" s="1"/>
  <c r="CH309" i="1"/>
  <c r="CG309" i="1" s="1"/>
  <c r="CH301" i="1"/>
  <c r="CG301" i="1" s="1"/>
  <c r="CH293" i="1"/>
  <c r="CG293" i="1" s="1"/>
  <c r="CH285" i="1"/>
  <c r="CG285" i="1" s="1"/>
  <c r="CH277" i="1"/>
  <c r="CG277" i="1" s="1"/>
  <c r="CH269" i="1"/>
  <c r="CG269" i="1" s="1"/>
  <c r="CH261" i="1"/>
  <c r="CG261" i="1" s="1"/>
  <c r="CH253" i="1"/>
  <c r="CG253" i="1" s="1"/>
  <c r="CH245" i="1"/>
  <c r="CG245" i="1" s="1"/>
  <c r="CH237" i="1"/>
  <c r="CG237" i="1" s="1"/>
  <c r="CH229" i="1"/>
  <c r="CG229" i="1" s="1"/>
  <c r="CH221" i="1"/>
  <c r="CG221" i="1" s="1"/>
  <c r="CH213" i="1"/>
  <c r="CG213" i="1" s="1"/>
  <c r="CH205" i="1"/>
  <c r="CG205" i="1" s="1"/>
  <c r="CH197" i="1"/>
  <c r="CG197" i="1" s="1"/>
  <c r="CH189" i="1"/>
  <c r="CG189" i="1" s="1"/>
  <c r="CH181" i="1"/>
  <c r="CG181" i="1" s="1"/>
  <c r="CH173" i="1"/>
  <c r="CG173" i="1" s="1"/>
  <c r="CH165" i="1"/>
  <c r="CG165" i="1" s="1"/>
  <c r="CH157" i="1"/>
  <c r="CG157" i="1" s="1"/>
  <c r="CH149" i="1"/>
  <c r="CG149" i="1" s="1"/>
  <c r="CH141" i="1"/>
  <c r="CG141" i="1" s="1"/>
  <c r="CH133" i="1"/>
  <c r="CG133" i="1" s="1"/>
  <c r="CH125" i="1"/>
  <c r="CG125" i="1" s="1"/>
  <c r="CH117" i="1"/>
  <c r="CG117" i="1" s="1"/>
  <c r="CH109" i="1"/>
  <c r="CG109" i="1" s="1"/>
  <c r="CH101" i="1"/>
  <c r="CG101" i="1" s="1"/>
  <c r="CH93" i="1"/>
  <c r="CG93" i="1" s="1"/>
  <c r="CH85" i="1"/>
  <c r="CG85" i="1" s="1"/>
  <c r="CH77" i="1"/>
  <c r="CG77" i="1" s="1"/>
  <c r="CH69" i="1"/>
  <c r="CG69" i="1" s="1"/>
  <c r="CH61" i="1"/>
  <c r="CG61" i="1" s="1"/>
  <c r="CH53" i="1"/>
  <c r="CG53" i="1" s="1"/>
  <c r="CH45" i="1"/>
  <c r="CG45" i="1" s="1"/>
  <c r="CH982" i="1"/>
  <c r="CG982" i="1" s="1"/>
  <c r="CH974" i="1"/>
  <c r="CG974" i="1" s="1"/>
  <c r="CH966" i="1"/>
  <c r="CG966" i="1" s="1"/>
  <c r="CH958" i="1"/>
  <c r="CG958" i="1" s="1"/>
  <c r="CH950" i="1"/>
  <c r="CG950" i="1" s="1"/>
  <c r="CH942" i="1"/>
  <c r="CG942" i="1" s="1"/>
  <c r="CH934" i="1"/>
  <c r="CG934" i="1" s="1"/>
  <c r="CH926" i="1"/>
  <c r="CG926" i="1" s="1"/>
  <c r="CH918" i="1"/>
  <c r="CG918" i="1" s="1"/>
  <c r="CH910" i="1"/>
  <c r="CG910" i="1" s="1"/>
  <c r="CH902" i="1"/>
  <c r="CG902" i="1" s="1"/>
  <c r="CH894" i="1"/>
  <c r="CG894" i="1" s="1"/>
  <c r="CH886" i="1"/>
  <c r="CG886" i="1" s="1"/>
  <c r="CH878" i="1"/>
  <c r="CG878" i="1" s="1"/>
  <c r="CH870" i="1"/>
  <c r="CG870" i="1" s="1"/>
  <c r="CH862" i="1"/>
  <c r="CG862" i="1" s="1"/>
  <c r="CH854" i="1"/>
  <c r="CG854" i="1" s="1"/>
  <c r="CH846" i="1"/>
  <c r="CG846" i="1" s="1"/>
  <c r="CH838" i="1"/>
  <c r="CG838" i="1" s="1"/>
  <c r="CH830" i="1"/>
  <c r="CG830" i="1" s="1"/>
  <c r="CH822" i="1"/>
  <c r="CG822" i="1" s="1"/>
  <c r="CH814" i="1"/>
  <c r="CG814" i="1" s="1"/>
  <c r="CH806" i="1"/>
  <c r="CG806" i="1" s="1"/>
  <c r="CH798" i="1"/>
  <c r="CG798" i="1" s="1"/>
  <c r="CH790" i="1"/>
  <c r="CG790" i="1" s="1"/>
  <c r="CH782" i="1"/>
  <c r="CG782" i="1" s="1"/>
  <c r="CH774" i="1"/>
  <c r="CG774" i="1" s="1"/>
  <c r="CH766" i="1"/>
  <c r="CG766" i="1" s="1"/>
  <c r="CH758" i="1"/>
  <c r="CG758" i="1" s="1"/>
  <c r="CH750" i="1"/>
  <c r="CG750" i="1" s="1"/>
  <c r="CH742" i="1"/>
  <c r="CG742" i="1" s="1"/>
  <c r="CH734" i="1"/>
  <c r="CG734" i="1" s="1"/>
  <c r="CH726" i="1"/>
  <c r="CG726" i="1" s="1"/>
  <c r="CH718" i="1"/>
  <c r="CG718" i="1" s="1"/>
  <c r="CH710" i="1"/>
  <c r="CG710" i="1" s="1"/>
  <c r="CH702" i="1"/>
  <c r="CG702" i="1" s="1"/>
  <c r="CH694" i="1"/>
  <c r="CG694" i="1" s="1"/>
  <c r="CH686" i="1"/>
  <c r="CG686" i="1" s="1"/>
  <c r="CH678" i="1"/>
  <c r="CG678" i="1" s="1"/>
  <c r="CH670" i="1"/>
  <c r="CG670" i="1" s="1"/>
  <c r="CH662" i="1"/>
  <c r="CG662" i="1" s="1"/>
  <c r="CH654" i="1"/>
  <c r="CG654" i="1" s="1"/>
  <c r="CH646" i="1"/>
  <c r="CG646" i="1" s="1"/>
  <c r="CH638" i="1"/>
  <c r="CG638" i="1" s="1"/>
  <c r="CH630" i="1"/>
  <c r="CG630" i="1" s="1"/>
  <c r="CH622" i="1"/>
  <c r="CG622" i="1" s="1"/>
  <c r="CH614" i="1"/>
  <c r="CG614" i="1" s="1"/>
  <c r="CH606" i="1"/>
  <c r="CG606" i="1" s="1"/>
  <c r="CH598" i="1"/>
  <c r="CG598" i="1" s="1"/>
  <c r="CH590" i="1"/>
  <c r="CG590" i="1" s="1"/>
  <c r="CH582" i="1"/>
  <c r="CG582" i="1" s="1"/>
  <c r="CH574" i="1"/>
  <c r="CG574" i="1" s="1"/>
  <c r="CH566" i="1"/>
  <c r="CG566" i="1" s="1"/>
  <c r="CH558" i="1"/>
  <c r="CG558" i="1" s="1"/>
  <c r="CH550" i="1"/>
  <c r="CG550" i="1" s="1"/>
  <c r="CH542" i="1"/>
  <c r="CG542" i="1" s="1"/>
  <c r="CH534" i="1"/>
  <c r="CG534" i="1" s="1"/>
  <c r="CH526" i="1"/>
  <c r="CG526" i="1" s="1"/>
  <c r="CH518" i="1"/>
  <c r="CG518" i="1" s="1"/>
  <c r="CH510" i="1"/>
  <c r="CG510" i="1" s="1"/>
  <c r="CH502" i="1"/>
  <c r="CG502" i="1" s="1"/>
  <c r="CH494" i="1"/>
  <c r="CG494" i="1" s="1"/>
  <c r="CH486" i="1"/>
  <c r="CG486" i="1" s="1"/>
  <c r="CH478" i="1"/>
  <c r="CG478" i="1" s="1"/>
  <c r="CH470" i="1"/>
  <c r="CG470" i="1" s="1"/>
  <c r="CH462" i="1"/>
  <c r="CG462" i="1" s="1"/>
  <c r="CH454" i="1"/>
  <c r="CG454" i="1" s="1"/>
  <c r="CH446" i="1"/>
  <c r="CG446" i="1" s="1"/>
  <c r="CH438" i="1"/>
  <c r="CG438" i="1" s="1"/>
  <c r="CH430" i="1"/>
  <c r="CG430" i="1" s="1"/>
  <c r="CH422" i="1"/>
  <c r="CG422" i="1" s="1"/>
  <c r="CH414" i="1"/>
  <c r="CG414" i="1" s="1"/>
  <c r="CH406" i="1"/>
  <c r="CG406" i="1" s="1"/>
  <c r="CH398" i="1"/>
  <c r="CG398" i="1" s="1"/>
  <c r="CH390" i="1"/>
  <c r="CG390" i="1" s="1"/>
  <c r="CH382" i="1"/>
  <c r="CG382" i="1" s="1"/>
  <c r="CH374" i="1"/>
  <c r="CG374" i="1" s="1"/>
  <c r="CH366" i="1"/>
  <c r="CG366" i="1" s="1"/>
  <c r="CH358" i="1"/>
  <c r="CG358" i="1" s="1"/>
  <c r="CH350" i="1"/>
  <c r="CG350" i="1" s="1"/>
  <c r="CH342" i="1"/>
  <c r="CG342" i="1" s="1"/>
  <c r="CH334" i="1"/>
  <c r="CG334" i="1" s="1"/>
  <c r="CH326" i="1"/>
  <c r="CG326" i="1" s="1"/>
  <c r="CH318" i="1"/>
  <c r="CG318" i="1" s="1"/>
  <c r="CH310" i="1"/>
  <c r="CG310" i="1" s="1"/>
  <c r="CH302" i="1"/>
  <c r="CG302" i="1" s="1"/>
  <c r="CH294" i="1"/>
  <c r="CG294" i="1" s="1"/>
  <c r="CH286" i="1"/>
  <c r="CG286" i="1" s="1"/>
  <c r="CH278" i="1"/>
  <c r="CG278" i="1" s="1"/>
  <c r="CH270" i="1"/>
  <c r="CG270" i="1" s="1"/>
  <c r="CH262" i="1"/>
  <c r="CG262" i="1" s="1"/>
  <c r="CH254" i="1"/>
  <c r="CG254" i="1" s="1"/>
  <c r="CH246" i="1"/>
  <c r="CG246" i="1" s="1"/>
  <c r="CH238" i="1"/>
  <c r="CG238" i="1" s="1"/>
  <c r="CH230" i="1"/>
  <c r="CG230" i="1" s="1"/>
  <c r="CH222" i="1"/>
  <c r="CG222" i="1" s="1"/>
  <c r="CH214" i="1"/>
  <c r="CG214" i="1" s="1"/>
  <c r="CH206" i="1"/>
  <c r="CG206" i="1" s="1"/>
  <c r="CH198" i="1"/>
  <c r="CG198" i="1" s="1"/>
  <c r="CH717" i="1"/>
  <c r="CG717" i="1" s="1"/>
  <c r="CH709" i="1"/>
  <c r="CG709" i="1" s="1"/>
  <c r="CH685" i="1"/>
  <c r="CG685" i="1" s="1"/>
  <c r="CH653" i="1"/>
  <c r="CG653" i="1" s="1"/>
  <c r="CH645" i="1"/>
  <c r="CG645" i="1" s="1"/>
  <c r="CH621" i="1"/>
  <c r="CG621" i="1" s="1"/>
  <c r="CH589" i="1"/>
  <c r="CG589" i="1" s="1"/>
  <c r="CH581" i="1"/>
  <c r="CG581" i="1" s="1"/>
  <c r="CH557" i="1"/>
  <c r="CG557" i="1" s="1"/>
  <c r="CH537" i="1"/>
  <c r="CG537" i="1" s="1"/>
  <c r="CH529" i="1"/>
  <c r="CG529" i="1" s="1"/>
  <c r="CH521" i="1"/>
  <c r="CG521" i="1" s="1"/>
  <c r="CH513" i="1"/>
  <c r="CG513" i="1" s="1"/>
  <c r="CH505" i="1"/>
  <c r="CG505" i="1" s="1"/>
  <c r="CH497" i="1"/>
  <c r="CG497" i="1" s="1"/>
  <c r="CH489" i="1"/>
  <c r="CG489" i="1" s="1"/>
  <c r="CH481" i="1"/>
  <c r="CG481" i="1" s="1"/>
  <c r="CH473" i="1"/>
  <c r="CG473" i="1" s="1"/>
  <c r="CH465" i="1"/>
  <c r="CG465" i="1" s="1"/>
  <c r="CH457" i="1"/>
  <c r="CG457" i="1" s="1"/>
  <c r="CH449" i="1"/>
  <c r="CG449" i="1" s="1"/>
  <c r="CH441" i="1"/>
  <c r="CG441" i="1" s="1"/>
  <c r="CH433" i="1"/>
  <c r="CG433" i="1" s="1"/>
  <c r="CH425" i="1"/>
  <c r="CG425" i="1" s="1"/>
  <c r="CH417" i="1"/>
  <c r="CG417" i="1" s="1"/>
  <c r="CH409" i="1"/>
  <c r="CG409" i="1" s="1"/>
  <c r="CH401" i="1"/>
  <c r="CG401" i="1" s="1"/>
  <c r="CH393" i="1"/>
  <c r="CG393" i="1" s="1"/>
  <c r="CH385" i="1"/>
  <c r="CG385" i="1" s="1"/>
  <c r="CH377" i="1"/>
  <c r="CG377" i="1" s="1"/>
  <c r="CH369" i="1"/>
  <c r="CG369" i="1" s="1"/>
  <c r="CH361" i="1"/>
  <c r="CG361" i="1" s="1"/>
  <c r="CH353" i="1"/>
  <c r="CG353" i="1" s="1"/>
  <c r="CH345" i="1"/>
  <c r="CG345" i="1" s="1"/>
  <c r="CH337" i="1"/>
  <c r="CG337" i="1" s="1"/>
  <c r="CH329" i="1"/>
  <c r="CG329" i="1" s="1"/>
  <c r="CH321" i="1"/>
  <c r="CG321" i="1" s="1"/>
  <c r="CH313" i="1"/>
  <c r="CG313" i="1" s="1"/>
  <c r="CH305" i="1"/>
  <c r="CG305" i="1" s="1"/>
  <c r="CH297" i="1"/>
  <c r="CG297" i="1" s="1"/>
  <c r="CH289" i="1"/>
  <c r="CG289" i="1" s="1"/>
  <c r="CH281" i="1"/>
  <c r="CG281" i="1" s="1"/>
  <c r="CH273" i="1"/>
  <c r="CG273" i="1" s="1"/>
  <c r="CH265" i="1"/>
  <c r="CG265" i="1" s="1"/>
  <c r="CH257" i="1"/>
  <c r="CG257" i="1" s="1"/>
  <c r="CH249" i="1"/>
  <c r="CG249" i="1" s="1"/>
  <c r="CH241" i="1"/>
  <c r="CG241" i="1" s="1"/>
  <c r="CH233" i="1"/>
  <c r="CG233" i="1" s="1"/>
  <c r="CH225" i="1"/>
  <c r="CG225" i="1" s="1"/>
  <c r="CH217" i="1"/>
  <c r="CG217" i="1" s="1"/>
  <c r="CH209" i="1"/>
  <c r="CG209" i="1" s="1"/>
  <c r="CH201" i="1"/>
  <c r="CG201" i="1" s="1"/>
  <c r="CH193" i="1"/>
  <c r="CG193" i="1" s="1"/>
  <c r="CH185" i="1"/>
  <c r="CG185" i="1" s="1"/>
  <c r="CH177" i="1"/>
  <c r="CG177" i="1" s="1"/>
  <c r="CH169" i="1"/>
  <c r="CG169" i="1" s="1"/>
  <c r="CH161" i="1"/>
  <c r="CG161" i="1" s="1"/>
  <c r="CH153" i="1"/>
  <c r="CG153" i="1" s="1"/>
  <c r="CH145" i="1"/>
  <c r="CG145" i="1" s="1"/>
  <c r="CH137" i="1"/>
  <c r="CG137" i="1" s="1"/>
  <c r="CH129" i="1"/>
  <c r="CG129" i="1" s="1"/>
  <c r="CH121" i="1"/>
  <c r="CG121" i="1" s="1"/>
  <c r="CH113" i="1"/>
  <c r="CG113" i="1" s="1"/>
  <c r="CH105" i="1"/>
  <c r="CG105" i="1" s="1"/>
  <c r="CH97" i="1"/>
  <c r="CG97" i="1" s="1"/>
  <c r="CH89" i="1"/>
  <c r="CG89" i="1" s="1"/>
  <c r="CH81" i="1"/>
  <c r="CG81" i="1" s="1"/>
  <c r="CH73" i="1"/>
  <c r="CG73" i="1" s="1"/>
  <c r="CH65" i="1"/>
  <c r="CG65" i="1" s="1"/>
  <c r="CH57" i="1"/>
  <c r="CG57" i="1" s="1"/>
  <c r="CH49" i="1"/>
  <c r="CG49" i="1" s="1"/>
  <c r="CH978" i="1"/>
  <c r="CG978" i="1" s="1"/>
  <c r="CH970" i="1"/>
  <c r="CG970" i="1" s="1"/>
  <c r="CH962" i="1"/>
  <c r="CG962" i="1" s="1"/>
  <c r="CH954" i="1"/>
  <c r="CG954" i="1" s="1"/>
  <c r="CH946" i="1"/>
  <c r="CG946" i="1" s="1"/>
  <c r="CH938" i="1"/>
  <c r="CG938" i="1" s="1"/>
  <c r="CH930" i="1"/>
  <c r="CG930" i="1" s="1"/>
  <c r="CH922" i="1"/>
  <c r="CG922" i="1" s="1"/>
  <c r="CH914" i="1"/>
  <c r="CG914" i="1" s="1"/>
  <c r="CH906" i="1"/>
  <c r="CG906" i="1" s="1"/>
  <c r="CH898" i="1"/>
  <c r="CG898" i="1" s="1"/>
  <c r="CH890" i="1"/>
  <c r="CG890" i="1" s="1"/>
  <c r="CH882" i="1"/>
  <c r="CG882" i="1" s="1"/>
  <c r="CH874" i="1"/>
  <c r="CG874" i="1" s="1"/>
  <c r="CH866" i="1"/>
  <c r="CG866" i="1" s="1"/>
  <c r="CH858" i="1"/>
  <c r="CG858" i="1" s="1"/>
  <c r="CH850" i="1"/>
  <c r="CG850" i="1" s="1"/>
  <c r="CH842" i="1"/>
  <c r="CG842" i="1" s="1"/>
  <c r="CH834" i="1"/>
  <c r="CG834" i="1" s="1"/>
  <c r="CH826" i="1"/>
  <c r="CG826" i="1" s="1"/>
  <c r="CH818" i="1"/>
  <c r="CG818" i="1" s="1"/>
  <c r="CH810" i="1"/>
  <c r="CG810" i="1" s="1"/>
  <c r="CH802" i="1"/>
  <c r="CG802" i="1" s="1"/>
  <c r="CH794" i="1"/>
  <c r="CG794" i="1" s="1"/>
  <c r="CH786" i="1"/>
  <c r="CG786" i="1" s="1"/>
  <c r="CH778" i="1"/>
  <c r="CG778" i="1" s="1"/>
  <c r="CH770" i="1"/>
  <c r="CG770" i="1" s="1"/>
  <c r="CH762" i="1"/>
  <c r="CG762" i="1" s="1"/>
  <c r="CH754" i="1"/>
  <c r="CG754" i="1" s="1"/>
  <c r="CH746" i="1"/>
  <c r="CG746" i="1" s="1"/>
  <c r="CH738" i="1"/>
  <c r="CG738" i="1" s="1"/>
  <c r="CH730" i="1"/>
  <c r="CG730" i="1" s="1"/>
  <c r="CH722" i="1"/>
  <c r="CG722" i="1" s="1"/>
  <c r="CH714" i="1"/>
  <c r="CG714" i="1" s="1"/>
  <c r="CH706" i="1"/>
  <c r="CG706" i="1" s="1"/>
  <c r="CH698" i="1"/>
  <c r="CG698" i="1" s="1"/>
  <c r="CH690" i="1"/>
  <c r="CG690" i="1" s="1"/>
  <c r="CH682" i="1"/>
  <c r="CG682" i="1" s="1"/>
  <c r="CH674" i="1"/>
  <c r="CG674" i="1" s="1"/>
  <c r="CH666" i="1"/>
  <c r="CG666" i="1" s="1"/>
  <c r="CH658" i="1"/>
  <c r="CG658" i="1" s="1"/>
  <c r="CH650" i="1"/>
  <c r="CG650" i="1" s="1"/>
  <c r="CH642" i="1"/>
  <c r="CG642" i="1" s="1"/>
  <c r="CH634" i="1"/>
  <c r="CG634" i="1" s="1"/>
  <c r="CH626" i="1"/>
  <c r="CG626" i="1" s="1"/>
  <c r="CH618" i="1"/>
  <c r="CG618" i="1" s="1"/>
  <c r="CH610" i="1"/>
  <c r="CG610" i="1" s="1"/>
  <c r="CH602" i="1"/>
  <c r="CG602" i="1" s="1"/>
  <c r="CH594" i="1"/>
  <c r="CG594" i="1" s="1"/>
  <c r="CH586" i="1"/>
  <c r="CG586" i="1" s="1"/>
  <c r="CH578" i="1"/>
  <c r="CG578" i="1" s="1"/>
  <c r="CH570" i="1"/>
  <c r="CG570" i="1" s="1"/>
  <c r="CH562" i="1"/>
  <c r="CG562" i="1" s="1"/>
  <c r="CH554" i="1"/>
  <c r="CG554" i="1" s="1"/>
  <c r="CH546" i="1"/>
  <c r="CG546" i="1" s="1"/>
  <c r="CH538" i="1"/>
  <c r="CG538" i="1" s="1"/>
  <c r="CH530" i="1"/>
  <c r="CG530" i="1" s="1"/>
  <c r="CH522" i="1"/>
  <c r="CG522" i="1" s="1"/>
  <c r="CH514" i="1"/>
  <c r="CG514" i="1" s="1"/>
  <c r="CH506" i="1"/>
  <c r="CG506" i="1" s="1"/>
  <c r="CH498" i="1"/>
  <c r="CG498" i="1" s="1"/>
  <c r="CH490" i="1"/>
  <c r="CG490" i="1" s="1"/>
  <c r="CH482" i="1"/>
  <c r="CG482" i="1" s="1"/>
  <c r="CH474" i="1"/>
  <c r="CG474" i="1" s="1"/>
  <c r="CH466" i="1"/>
  <c r="CG466" i="1" s="1"/>
  <c r="CH458" i="1"/>
  <c r="CG458" i="1" s="1"/>
  <c r="CH450" i="1"/>
  <c r="CG450" i="1" s="1"/>
  <c r="CH442" i="1"/>
  <c r="CG442" i="1" s="1"/>
  <c r="CH434" i="1"/>
  <c r="CG434" i="1" s="1"/>
  <c r="CH426" i="1"/>
  <c r="CG426" i="1" s="1"/>
  <c r="CH418" i="1"/>
  <c r="CG418" i="1" s="1"/>
  <c r="CH410" i="1"/>
  <c r="CG410" i="1" s="1"/>
  <c r="CH402" i="1"/>
  <c r="CG402" i="1" s="1"/>
  <c r="CH394" i="1"/>
  <c r="CG394" i="1" s="1"/>
  <c r="CH386" i="1"/>
  <c r="CG386" i="1" s="1"/>
  <c r="CH378" i="1"/>
  <c r="CG378" i="1" s="1"/>
  <c r="CH370" i="1"/>
  <c r="CG370" i="1" s="1"/>
  <c r="CH362" i="1"/>
  <c r="CG362" i="1" s="1"/>
  <c r="CH354" i="1"/>
  <c r="CG354" i="1" s="1"/>
  <c r="CH346" i="1"/>
  <c r="CG346" i="1" s="1"/>
  <c r="CH338" i="1"/>
  <c r="CG338" i="1" s="1"/>
  <c r="CH330" i="1"/>
  <c r="CG330" i="1" s="1"/>
  <c r="CH322" i="1"/>
  <c r="CG322" i="1" s="1"/>
  <c r="CH314" i="1"/>
  <c r="CG314" i="1" s="1"/>
  <c r="CH306" i="1"/>
  <c r="CG306" i="1" s="1"/>
  <c r="CH298" i="1"/>
  <c r="CG298" i="1" s="1"/>
  <c r="CH290" i="1"/>
  <c r="CG290" i="1" s="1"/>
  <c r="CH661" i="1"/>
  <c r="CG661" i="1" s="1"/>
  <c r="CH597" i="1"/>
  <c r="CG597" i="1" s="1"/>
  <c r="CH282" i="1"/>
  <c r="CG282" i="1" s="1"/>
  <c r="CH274" i="1"/>
  <c r="CG274" i="1" s="1"/>
  <c r="CH266" i="1"/>
  <c r="CG266" i="1" s="1"/>
  <c r="CH258" i="1"/>
  <c r="CG258" i="1" s="1"/>
  <c r="CH250" i="1"/>
  <c r="CG250" i="1" s="1"/>
  <c r="CH242" i="1"/>
  <c r="CG242" i="1" s="1"/>
  <c r="CH234" i="1"/>
  <c r="CG234" i="1" s="1"/>
  <c r="CH226" i="1"/>
  <c r="CG226" i="1" s="1"/>
  <c r="CH218" i="1"/>
  <c r="CG218" i="1" s="1"/>
  <c r="CH210" i="1"/>
  <c r="CG210" i="1" s="1"/>
  <c r="CH202" i="1"/>
  <c r="CG202" i="1" s="1"/>
  <c r="CH194" i="1"/>
  <c r="CG194" i="1" s="1"/>
  <c r="CH186" i="1"/>
  <c r="CG186" i="1" s="1"/>
  <c r="CH178" i="1"/>
  <c r="CG178" i="1" s="1"/>
  <c r="CH170" i="1"/>
  <c r="CG170" i="1" s="1"/>
  <c r="CH162" i="1"/>
  <c r="CG162" i="1" s="1"/>
  <c r="CH154" i="1"/>
  <c r="CG154" i="1" s="1"/>
  <c r="CH146" i="1"/>
  <c r="CG146" i="1" s="1"/>
  <c r="CH138" i="1"/>
  <c r="CG138" i="1" s="1"/>
  <c r="CH130" i="1"/>
  <c r="CG130" i="1" s="1"/>
  <c r="CH122" i="1"/>
  <c r="CG122" i="1" s="1"/>
  <c r="CH114" i="1"/>
  <c r="CG114" i="1" s="1"/>
  <c r="CH106" i="1"/>
  <c r="CG106" i="1" s="1"/>
  <c r="CH98" i="1"/>
  <c r="CG98" i="1" s="1"/>
  <c r="CH90" i="1"/>
  <c r="CG90" i="1" s="1"/>
  <c r="CH82" i="1"/>
  <c r="CG82" i="1" s="1"/>
  <c r="CH74" i="1"/>
  <c r="CG74" i="1" s="1"/>
  <c r="CH66" i="1"/>
  <c r="CG66" i="1" s="1"/>
  <c r="CH58" i="1"/>
  <c r="CG58" i="1" s="1"/>
  <c r="CH50" i="1"/>
  <c r="CG50" i="1" s="1"/>
  <c r="CH979" i="1"/>
  <c r="CG979" i="1" s="1"/>
  <c r="CH971" i="1"/>
  <c r="CG971" i="1" s="1"/>
  <c r="CH963" i="1"/>
  <c r="CG963" i="1" s="1"/>
  <c r="CH955" i="1"/>
  <c r="CG955" i="1" s="1"/>
  <c r="CH947" i="1"/>
  <c r="CG947" i="1" s="1"/>
  <c r="CH190" i="1"/>
  <c r="CG190" i="1" s="1"/>
  <c r="CH158" i="1"/>
  <c r="CG158" i="1" s="1"/>
  <c r="CH150" i="1"/>
  <c r="CG150" i="1" s="1"/>
  <c r="CH134" i="1"/>
  <c r="CG134" i="1" s="1"/>
  <c r="CH126" i="1"/>
  <c r="CG126" i="1" s="1"/>
  <c r="CH94" i="1"/>
  <c r="CG94" i="1" s="1"/>
  <c r="CH86" i="1"/>
  <c r="CG86" i="1" s="1"/>
  <c r="CH70" i="1"/>
  <c r="CG70" i="1" s="1"/>
  <c r="CH62" i="1"/>
  <c r="CG62" i="1" s="1"/>
  <c r="CH975" i="1"/>
  <c r="CG975" i="1" s="1"/>
  <c r="CH967" i="1"/>
  <c r="CG967" i="1" s="1"/>
  <c r="CH939" i="1"/>
  <c r="CG939" i="1" s="1"/>
  <c r="CH931" i="1"/>
  <c r="CG931" i="1" s="1"/>
  <c r="CH923" i="1"/>
  <c r="CG923" i="1" s="1"/>
  <c r="CH915" i="1"/>
  <c r="CG915" i="1" s="1"/>
  <c r="CH907" i="1"/>
  <c r="CG907" i="1" s="1"/>
  <c r="CH899" i="1"/>
  <c r="CG899" i="1" s="1"/>
  <c r="CH891" i="1"/>
  <c r="CG891" i="1" s="1"/>
  <c r="CH883" i="1"/>
  <c r="CG883" i="1" s="1"/>
  <c r="CH875" i="1"/>
  <c r="CG875" i="1" s="1"/>
  <c r="CH867" i="1"/>
  <c r="CG867" i="1" s="1"/>
  <c r="CH859" i="1"/>
  <c r="CG859" i="1" s="1"/>
  <c r="CH851" i="1"/>
  <c r="CG851" i="1" s="1"/>
  <c r="CH843" i="1"/>
  <c r="CG843" i="1" s="1"/>
  <c r="CH835" i="1"/>
  <c r="CG835" i="1" s="1"/>
  <c r="CH827" i="1"/>
  <c r="CG827" i="1" s="1"/>
  <c r="CH819" i="1"/>
  <c r="CG819" i="1" s="1"/>
  <c r="CH811" i="1"/>
  <c r="CG811" i="1" s="1"/>
  <c r="CH803" i="1"/>
  <c r="CG803" i="1" s="1"/>
  <c r="CH795" i="1"/>
  <c r="CG795" i="1" s="1"/>
  <c r="CH787" i="1"/>
  <c r="CG787" i="1" s="1"/>
  <c r="CH779" i="1"/>
  <c r="CG779" i="1" s="1"/>
  <c r="CH771" i="1"/>
  <c r="CG771" i="1" s="1"/>
  <c r="CH763" i="1"/>
  <c r="CG763" i="1" s="1"/>
  <c r="CH755" i="1"/>
  <c r="CG755" i="1" s="1"/>
  <c r="CH747" i="1"/>
  <c r="CG747" i="1" s="1"/>
  <c r="CH739" i="1"/>
  <c r="CG739" i="1" s="1"/>
  <c r="CH731" i="1"/>
  <c r="CG731" i="1" s="1"/>
  <c r="CH723" i="1"/>
  <c r="CG723" i="1" s="1"/>
  <c r="CH715" i="1"/>
  <c r="CG715" i="1" s="1"/>
  <c r="CH707" i="1"/>
  <c r="CG707" i="1" s="1"/>
  <c r="CH699" i="1"/>
  <c r="CG699" i="1" s="1"/>
  <c r="CH691" i="1"/>
  <c r="CG691" i="1" s="1"/>
  <c r="CH683" i="1"/>
  <c r="CG683" i="1" s="1"/>
  <c r="CH675" i="1"/>
  <c r="CG675" i="1" s="1"/>
  <c r="CH667" i="1"/>
  <c r="CG667" i="1" s="1"/>
  <c r="CH659" i="1"/>
  <c r="CG659" i="1" s="1"/>
  <c r="CH651" i="1"/>
  <c r="CG651" i="1" s="1"/>
  <c r="CH643" i="1"/>
  <c r="CG643" i="1" s="1"/>
  <c r="CH635" i="1"/>
  <c r="CG635" i="1" s="1"/>
  <c r="CH627" i="1"/>
  <c r="CG627" i="1" s="1"/>
  <c r="CH619" i="1"/>
  <c r="CG619" i="1" s="1"/>
  <c r="CH611" i="1"/>
  <c r="CG611" i="1" s="1"/>
  <c r="CH603" i="1"/>
  <c r="CG603" i="1" s="1"/>
  <c r="CH595" i="1"/>
  <c r="CG595" i="1" s="1"/>
  <c r="CH587" i="1"/>
  <c r="CG587" i="1" s="1"/>
  <c r="CH579" i="1"/>
  <c r="CG579" i="1" s="1"/>
  <c r="CH571" i="1"/>
  <c r="CG571" i="1" s="1"/>
  <c r="CH563" i="1"/>
  <c r="CG563" i="1" s="1"/>
  <c r="CH555" i="1"/>
  <c r="CG555" i="1" s="1"/>
  <c r="CH547" i="1"/>
  <c r="CG547" i="1" s="1"/>
  <c r="CH539" i="1"/>
  <c r="CG539" i="1" s="1"/>
  <c r="CH531" i="1"/>
  <c r="CG531" i="1" s="1"/>
  <c r="CH523" i="1"/>
  <c r="CG523" i="1" s="1"/>
  <c r="CH515" i="1"/>
  <c r="CG515" i="1" s="1"/>
  <c r="CH507" i="1"/>
  <c r="CG507" i="1" s="1"/>
  <c r="CH499" i="1"/>
  <c r="CG499" i="1" s="1"/>
  <c r="CH491" i="1"/>
  <c r="CG491" i="1" s="1"/>
  <c r="CH483" i="1"/>
  <c r="CG483" i="1" s="1"/>
  <c r="CH475" i="1"/>
  <c r="CG475" i="1" s="1"/>
  <c r="CH467" i="1"/>
  <c r="CG467" i="1" s="1"/>
  <c r="CH459" i="1"/>
  <c r="CG459" i="1" s="1"/>
  <c r="CH451" i="1"/>
  <c r="CG451" i="1" s="1"/>
  <c r="CH443" i="1"/>
  <c r="CG443" i="1" s="1"/>
  <c r="CH435" i="1"/>
  <c r="CG435" i="1" s="1"/>
  <c r="CH427" i="1"/>
  <c r="CG427" i="1" s="1"/>
  <c r="CH419" i="1"/>
  <c r="CG419" i="1" s="1"/>
  <c r="CH411" i="1"/>
  <c r="CG411" i="1" s="1"/>
  <c r="CH403" i="1"/>
  <c r="CG403" i="1" s="1"/>
  <c r="CH395" i="1"/>
  <c r="CG395" i="1" s="1"/>
  <c r="CH387" i="1"/>
  <c r="CG387" i="1" s="1"/>
  <c r="CH379" i="1"/>
  <c r="CG379" i="1" s="1"/>
  <c r="CH371" i="1"/>
  <c r="CG371" i="1" s="1"/>
  <c r="CH363" i="1"/>
  <c r="CG363" i="1" s="1"/>
  <c r="CH355" i="1"/>
  <c r="CG355" i="1" s="1"/>
  <c r="CH347" i="1"/>
  <c r="CG347" i="1" s="1"/>
  <c r="CH339" i="1"/>
  <c r="CG339" i="1" s="1"/>
  <c r="CH331" i="1"/>
  <c r="CG331" i="1" s="1"/>
  <c r="CH323" i="1"/>
  <c r="CG323" i="1" s="1"/>
  <c r="CH315" i="1"/>
  <c r="CG315" i="1" s="1"/>
  <c r="CH307" i="1"/>
  <c r="CG307" i="1" s="1"/>
  <c r="CH299" i="1"/>
  <c r="CG299" i="1" s="1"/>
  <c r="CH291" i="1"/>
  <c r="CG291" i="1" s="1"/>
  <c r="CH283" i="1"/>
  <c r="CG283" i="1" s="1"/>
  <c r="CH275" i="1"/>
  <c r="CG275" i="1" s="1"/>
  <c r="CH267" i="1"/>
  <c r="CG267" i="1" s="1"/>
  <c r="CH259" i="1"/>
  <c r="CG259" i="1" s="1"/>
  <c r="CH251" i="1"/>
  <c r="CG251" i="1" s="1"/>
  <c r="CH243" i="1"/>
  <c r="CG243" i="1" s="1"/>
  <c r="CH235" i="1"/>
  <c r="CG235" i="1" s="1"/>
  <c r="CH227" i="1"/>
  <c r="CG227" i="1" s="1"/>
  <c r="CH219" i="1"/>
  <c r="CG219" i="1" s="1"/>
  <c r="CH211" i="1"/>
  <c r="CG211" i="1" s="1"/>
  <c r="CH203" i="1"/>
  <c r="CG203" i="1" s="1"/>
  <c r="CH195" i="1"/>
  <c r="CG195" i="1" s="1"/>
  <c r="CH187" i="1"/>
  <c r="CG187" i="1" s="1"/>
  <c r="CH179" i="1"/>
  <c r="CG179" i="1" s="1"/>
  <c r="CH171" i="1"/>
  <c r="CG171" i="1" s="1"/>
  <c r="CH163" i="1"/>
  <c r="CG163" i="1" s="1"/>
  <c r="CH155" i="1"/>
  <c r="CG155" i="1" s="1"/>
  <c r="CH147" i="1"/>
  <c r="CG147" i="1" s="1"/>
  <c r="CH139" i="1"/>
  <c r="CG139" i="1" s="1"/>
  <c r="CH131" i="1"/>
  <c r="CG131" i="1" s="1"/>
  <c r="CH123" i="1"/>
  <c r="CG123" i="1" s="1"/>
  <c r="CH115" i="1"/>
  <c r="CG115" i="1" s="1"/>
  <c r="CH107" i="1"/>
  <c r="CG107" i="1" s="1"/>
  <c r="CH99" i="1"/>
  <c r="CG99" i="1" s="1"/>
  <c r="CH91" i="1"/>
  <c r="CG91" i="1" s="1"/>
  <c r="CH83" i="1"/>
  <c r="CG83" i="1" s="1"/>
  <c r="CH75" i="1"/>
  <c r="CG75" i="1" s="1"/>
  <c r="CH67" i="1"/>
  <c r="CG67" i="1" s="1"/>
  <c r="CH59" i="1"/>
  <c r="CG59" i="1" s="1"/>
  <c r="CH51" i="1"/>
  <c r="CG51" i="1" s="1"/>
  <c r="CH174" i="1"/>
  <c r="CG174" i="1" s="1"/>
  <c r="CH166" i="1"/>
  <c r="CG166" i="1" s="1"/>
  <c r="CH142" i="1"/>
  <c r="CG142" i="1" s="1"/>
  <c r="CH110" i="1"/>
  <c r="CG110" i="1" s="1"/>
  <c r="CH102" i="1"/>
  <c r="CG102" i="1" s="1"/>
  <c r="CH78" i="1"/>
  <c r="CG78" i="1" s="1"/>
  <c r="CH46" i="1"/>
  <c r="CG46" i="1" s="1"/>
  <c r="CH983" i="1"/>
  <c r="CG983" i="1" s="1"/>
  <c r="CH951" i="1"/>
  <c r="CG951" i="1" s="1"/>
  <c r="CH943" i="1"/>
  <c r="CG943" i="1" s="1"/>
  <c r="CH935" i="1"/>
  <c r="CG935" i="1" s="1"/>
  <c r="CH927" i="1"/>
  <c r="CG927" i="1" s="1"/>
  <c r="CH919" i="1"/>
  <c r="CG919" i="1" s="1"/>
  <c r="CH911" i="1"/>
  <c r="CG911" i="1" s="1"/>
  <c r="CH903" i="1"/>
  <c r="CG903" i="1" s="1"/>
  <c r="CH895" i="1"/>
  <c r="CG895" i="1" s="1"/>
  <c r="CH887" i="1"/>
  <c r="CG887" i="1" s="1"/>
  <c r="CH879" i="1"/>
  <c r="CG879" i="1" s="1"/>
  <c r="CH871" i="1"/>
  <c r="CG871" i="1" s="1"/>
  <c r="CH863" i="1"/>
  <c r="CG863" i="1" s="1"/>
  <c r="CH855" i="1"/>
  <c r="CG855" i="1" s="1"/>
  <c r="CH847" i="1"/>
  <c r="CG847" i="1" s="1"/>
  <c r="CH839" i="1"/>
  <c r="CG839" i="1" s="1"/>
  <c r="CH831" i="1"/>
  <c r="CG831" i="1" s="1"/>
  <c r="CH823" i="1"/>
  <c r="CG823" i="1" s="1"/>
  <c r="CH815" i="1"/>
  <c r="CG815" i="1" s="1"/>
  <c r="CH807" i="1"/>
  <c r="CG807" i="1" s="1"/>
  <c r="CH799" i="1"/>
  <c r="CG799" i="1" s="1"/>
  <c r="CH791" i="1"/>
  <c r="CG791" i="1" s="1"/>
  <c r="CH783" i="1"/>
  <c r="CG783" i="1" s="1"/>
  <c r="CH775" i="1"/>
  <c r="CG775" i="1" s="1"/>
  <c r="CH767" i="1"/>
  <c r="CG767" i="1" s="1"/>
  <c r="CH759" i="1"/>
  <c r="CG759" i="1" s="1"/>
  <c r="CH751" i="1"/>
  <c r="CG751" i="1" s="1"/>
  <c r="CH743" i="1"/>
  <c r="CG743" i="1" s="1"/>
  <c r="CH735" i="1"/>
  <c r="CG735" i="1" s="1"/>
  <c r="CH727" i="1"/>
  <c r="CG727" i="1" s="1"/>
  <c r="CH719" i="1"/>
  <c r="CG719" i="1" s="1"/>
  <c r="CH711" i="1"/>
  <c r="CG711" i="1" s="1"/>
  <c r="CH703" i="1"/>
  <c r="CG703" i="1" s="1"/>
  <c r="CH695" i="1"/>
  <c r="CG695" i="1" s="1"/>
  <c r="CH687" i="1"/>
  <c r="CG687" i="1" s="1"/>
  <c r="CH679" i="1"/>
  <c r="CG679" i="1" s="1"/>
  <c r="CH671" i="1"/>
  <c r="CG671" i="1" s="1"/>
  <c r="CH663" i="1"/>
  <c r="CG663" i="1" s="1"/>
  <c r="CH655" i="1"/>
  <c r="CG655" i="1" s="1"/>
  <c r="CH647" i="1"/>
  <c r="CG647" i="1" s="1"/>
  <c r="CH639" i="1"/>
  <c r="CG639" i="1" s="1"/>
  <c r="CH631" i="1"/>
  <c r="CG631" i="1" s="1"/>
  <c r="CH623" i="1"/>
  <c r="CG623" i="1" s="1"/>
  <c r="CH615" i="1"/>
  <c r="CG615" i="1" s="1"/>
  <c r="CH607" i="1"/>
  <c r="CG607" i="1" s="1"/>
  <c r="CH599" i="1"/>
  <c r="CG599" i="1" s="1"/>
  <c r="CH591" i="1"/>
  <c r="CG591" i="1" s="1"/>
  <c r="CH583" i="1"/>
  <c r="CG583" i="1" s="1"/>
  <c r="CH575" i="1"/>
  <c r="CG575" i="1" s="1"/>
  <c r="CH567" i="1"/>
  <c r="CG567" i="1" s="1"/>
  <c r="CH559" i="1"/>
  <c r="CG559" i="1" s="1"/>
  <c r="CH551" i="1"/>
  <c r="CG551" i="1" s="1"/>
  <c r="CH543" i="1"/>
  <c r="CG543" i="1" s="1"/>
  <c r="CH535" i="1"/>
  <c r="CG535" i="1" s="1"/>
  <c r="CH527" i="1"/>
  <c r="CG527" i="1" s="1"/>
  <c r="CH519" i="1"/>
  <c r="CG519" i="1" s="1"/>
  <c r="CH511" i="1"/>
  <c r="CG511" i="1" s="1"/>
  <c r="CH503" i="1"/>
  <c r="CG503" i="1" s="1"/>
  <c r="CH495" i="1"/>
  <c r="CG495" i="1" s="1"/>
  <c r="CH487" i="1"/>
  <c r="CG487" i="1" s="1"/>
  <c r="CH479" i="1"/>
  <c r="CG479" i="1" s="1"/>
  <c r="CH471" i="1"/>
  <c r="CG471" i="1" s="1"/>
  <c r="CH463" i="1"/>
  <c r="CG463" i="1" s="1"/>
  <c r="CH455" i="1"/>
  <c r="CG455" i="1" s="1"/>
  <c r="CH447" i="1"/>
  <c r="CG447" i="1" s="1"/>
  <c r="CH439" i="1"/>
  <c r="CG439" i="1" s="1"/>
  <c r="CH431" i="1"/>
  <c r="CG431" i="1" s="1"/>
  <c r="CH423" i="1"/>
  <c r="CG423" i="1" s="1"/>
  <c r="CH415" i="1"/>
  <c r="CG415" i="1" s="1"/>
  <c r="CH407" i="1"/>
  <c r="CG407" i="1" s="1"/>
  <c r="CH399" i="1"/>
  <c r="CG399" i="1" s="1"/>
  <c r="CH391" i="1"/>
  <c r="CG391" i="1" s="1"/>
  <c r="CH383" i="1"/>
  <c r="CG383" i="1" s="1"/>
  <c r="CH375" i="1"/>
  <c r="CG375" i="1" s="1"/>
  <c r="CH367" i="1"/>
  <c r="CG367" i="1" s="1"/>
  <c r="CH359" i="1"/>
  <c r="CG359" i="1" s="1"/>
  <c r="CH351" i="1"/>
  <c r="CG351" i="1" s="1"/>
  <c r="CH343" i="1"/>
  <c r="CG343" i="1" s="1"/>
  <c r="CH335" i="1"/>
  <c r="CG335" i="1" s="1"/>
  <c r="CH327" i="1"/>
  <c r="CG327" i="1" s="1"/>
  <c r="CH319" i="1"/>
  <c r="CG319" i="1" s="1"/>
  <c r="CH311" i="1"/>
  <c r="CG311" i="1" s="1"/>
  <c r="CH303" i="1"/>
  <c r="CG303" i="1" s="1"/>
  <c r="CH295" i="1"/>
  <c r="CG295" i="1" s="1"/>
  <c r="CH287" i="1"/>
  <c r="CG287" i="1" s="1"/>
  <c r="CH279" i="1"/>
  <c r="CG279" i="1" s="1"/>
  <c r="CH271" i="1"/>
  <c r="CG271" i="1" s="1"/>
  <c r="CH263" i="1"/>
  <c r="CG263" i="1" s="1"/>
  <c r="CH255" i="1"/>
  <c r="CG255" i="1" s="1"/>
  <c r="CH247" i="1"/>
  <c r="CG247" i="1" s="1"/>
  <c r="CH239" i="1"/>
  <c r="CG239" i="1" s="1"/>
  <c r="CH231" i="1"/>
  <c r="CG231" i="1" s="1"/>
  <c r="CH223" i="1"/>
  <c r="CG223" i="1" s="1"/>
  <c r="CH215" i="1"/>
  <c r="CG215" i="1" s="1"/>
  <c r="CH207" i="1"/>
  <c r="CG207" i="1" s="1"/>
  <c r="CH199" i="1"/>
  <c r="CG199" i="1" s="1"/>
  <c r="CH191" i="1"/>
  <c r="CG191" i="1" s="1"/>
  <c r="CH183" i="1"/>
  <c r="CG183" i="1" s="1"/>
  <c r="CH175" i="1"/>
  <c r="CG175" i="1" s="1"/>
  <c r="CH167" i="1"/>
  <c r="CG167" i="1" s="1"/>
  <c r="CH159" i="1"/>
  <c r="CG159" i="1" s="1"/>
  <c r="CH151" i="1"/>
  <c r="CG151" i="1" s="1"/>
  <c r="CH143" i="1"/>
  <c r="CG143" i="1" s="1"/>
  <c r="CH135" i="1"/>
  <c r="CG135" i="1" s="1"/>
  <c r="CH127" i="1"/>
  <c r="CG127" i="1" s="1"/>
  <c r="CH119" i="1"/>
  <c r="CG119" i="1" s="1"/>
  <c r="CH111" i="1"/>
  <c r="CG111" i="1" s="1"/>
  <c r="CH103" i="1"/>
  <c r="CG103" i="1" s="1"/>
  <c r="CH95" i="1"/>
  <c r="CG95" i="1" s="1"/>
  <c r="CH87" i="1"/>
  <c r="CG87" i="1" s="1"/>
  <c r="CH79" i="1"/>
  <c r="CG79" i="1" s="1"/>
  <c r="CH71" i="1"/>
  <c r="CG71" i="1" s="1"/>
  <c r="CH63" i="1"/>
  <c r="CG63" i="1" s="1"/>
  <c r="CH55" i="1"/>
  <c r="CG55" i="1" s="1"/>
  <c r="CH47" i="1"/>
  <c r="CG47" i="1" s="1"/>
  <c r="CH182" i="1"/>
  <c r="CG182" i="1" s="1"/>
  <c r="CH118" i="1"/>
  <c r="CG118" i="1" s="1"/>
  <c r="CH54" i="1"/>
  <c r="CG54" i="1" s="1"/>
  <c r="CH959" i="1"/>
  <c r="CG959" i="1" s="1"/>
  <c r="B18" i="3" l="1"/>
  <c r="C17" i="3"/>
  <c r="B19" i="3" l="1"/>
  <c r="C18" i="3"/>
  <c r="C19" i="3" l="1"/>
  <c r="B20" i="3"/>
  <c r="C20" i="3" l="1"/>
  <c r="B21" i="3"/>
  <c r="CI10" i="1"/>
  <c r="B22" i="3" l="1"/>
  <c r="C21" i="3"/>
  <c r="B23" i="3" l="1"/>
  <c r="C22" i="3"/>
  <c r="B24" i="3" l="1"/>
  <c r="C23" i="3"/>
  <c r="B25" i="3" l="1"/>
  <c r="C24" i="3"/>
  <c r="CI9" i="1" l="1"/>
  <c r="E2" i="3" s="1"/>
  <c r="E3" i="3" s="1"/>
  <c r="B26" i="3"/>
  <c r="C25" i="3"/>
  <c r="B27" i="3" l="1"/>
  <c r="C26" i="3"/>
  <c r="F3" i="3"/>
  <c r="E4" i="3"/>
  <c r="F4" i="3" l="1"/>
  <c r="E5" i="3"/>
  <c r="B28" i="3"/>
  <c r="C27" i="3"/>
  <c r="B29" i="3" l="1"/>
  <c r="C28" i="3"/>
  <c r="F5" i="3"/>
  <c r="E6" i="3"/>
  <c r="F6" i="3" l="1"/>
  <c r="E7" i="3"/>
  <c r="B30" i="3"/>
  <c r="C29" i="3"/>
  <c r="B31" i="3" l="1"/>
  <c r="C30" i="3"/>
  <c r="F7" i="3"/>
  <c r="E8" i="3"/>
  <c r="F8" i="3" l="1"/>
  <c r="E9" i="3"/>
  <c r="B32" i="3"/>
  <c r="C31" i="3"/>
  <c r="B33" i="3" l="1"/>
  <c r="C32" i="3"/>
  <c r="F9" i="3"/>
  <c r="E10" i="3"/>
  <c r="F10" i="3" l="1"/>
  <c r="E11" i="3"/>
  <c r="B34" i="3"/>
  <c r="C33" i="3"/>
  <c r="B35" i="3" l="1"/>
  <c r="C34" i="3"/>
  <c r="F11" i="3"/>
  <c r="E12" i="3"/>
  <c r="F12" i="3" l="1"/>
  <c r="E13" i="3"/>
  <c r="B36" i="3"/>
  <c r="C35" i="3"/>
  <c r="B37" i="3" l="1"/>
  <c r="C36" i="3"/>
  <c r="F13" i="3"/>
  <c r="E14" i="3"/>
  <c r="F14" i="3" l="1"/>
  <c r="E15" i="3"/>
  <c r="B38" i="3"/>
  <c r="C37" i="3"/>
  <c r="B39" i="3" l="1"/>
  <c r="C38" i="3"/>
  <c r="F15" i="3"/>
  <c r="E16" i="3"/>
  <c r="F16" i="3" l="1"/>
  <c r="E17" i="3"/>
  <c r="B40" i="3"/>
  <c r="C39" i="3"/>
  <c r="B41" i="3" l="1"/>
  <c r="C40" i="3"/>
  <c r="F17" i="3"/>
  <c r="E18" i="3"/>
  <c r="F18" i="3" l="1"/>
  <c r="E19" i="3"/>
  <c r="B42" i="3"/>
  <c r="C41" i="3"/>
  <c r="B43" i="3" l="1"/>
  <c r="C42" i="3"/>
  <c r="F19" i="3"/>
  <c r="E20" i="3"/>
  <c r="F20" i="3" l="1"/>
  <c r="E21" i="3"/>
  <c r="B44" i="3"/>
  <c r="C43" i="3"/>
  <c r="B45" i="3" l="1"/>
  <c r="C44" i="3"/>
  <c r="F21" i="3"/>
  <c r="E22" i="3"/>
  <c r="F22" i="3" l="1"/>
  <c r="E23" i="3"/>
  <c r="B46" i="3"/>
  <c r="C45" i="3"/>
  <c r="B47" i="3" l="1"/>
  <c r="C46" i="3"/>
  <c r="F23" i="3"/>
  <c r="E24" i="3"/>
  <c r="F24" i="3" l="1"/>
  <c r="E25" i="3"/>
  <c r="B48" i="3"/>
  <c r="C47" i="3"/>
  <c r="B49" i="3" l="1"/>
  <c r="C48" i="3"/>
  <c r="F25" i="3"/>
  <c r="E26" i="3"/>
  <c r="F26" i="3" l="1"/>
  <c r="E27" i="3"/>
  <c r="B50" i="3"/>
  <c r="C49" i="3"/>
  <c r="B51" i="3" l="1"/>
  <c r="C50" i="3"/>
  <c r="F27" i="3"/>
  <c r="E28" i="3"/>
  <c r="F28" i="3" l="1"/>
  <c r="E29" i="3"/>
  <c r="B52" i="3"/>
  <c r="C51" i="3"/>
  <c r="B53" i="3" l="1"/>
  <c r="C52" i="3"/>
  <c r="F29" i="3"/>
  <c r="E30" i="3"/>
  <c r="F30" i="3" l="1"/>
  <c r="E31" i="3"/>
  <c r="B54" i="3"/>
  <c r="C53" i="3"/>
  <c r="B55" i="3" l="1"/>
  <c r="C54" i="3"/>
  <c r="F31" i="3"/>
  <c r="E32" i="3"/>
  <c r="F32" i="3" l="1"/>
  <c r="E33" i="3"/>
  <c r="B56" i="3"/>
  <c r="C55" i="3"/>
  <c r="B57" i="3" l="1"/>
  <c r="C56" i="3"/>
  <c r="F33" i="3"/>
  <c r="E34" i="3"/>
  <c r="F34" i="3" l="1"/>
  <c r="E35" i="3"/>
  <c r="B58" i="3"/>
  <c r="C57" i="3"/>
  <c r="B59" i="3" l="1"/>
  <c r="C58" i="3"/>
  <c r="F35" i="3"/>
  <c r="E36" i="3"/>
  <c r="F36" i="3" l="1"/>
  <c r="E37" i="3"/>
  <c r="B60" i="3"/>
  <c r="C59" i="3"/>
  <c r="B61" i="3" l="1"/>
  <c r="C60" i="3"/>
  <c r="F37" i="3"/>
  <c r="E38" i="3"/>
  <c r="F38" i="3" l="1"/>
  <c r="E39" i="3"/>
  <c r="B62" i="3"/>
  <c r="C61" i="3"/>
  <c r="B63" i="3" l="1"/>
  <c r="C62" i="3"/>
  <c r="F39" i="3"/>
  <c r="E40" i="3"/>
  <c r="F40" i="3" l="1"/>
  <c r="E41" i="3"/>
  <c r="B64" i="3"/>
  <c r="C63" i="3"/>
  <c r="B65" i="3" l="1"/>
  <c r="C64" i="3"/>
  <c r="F41" i="3"/>
  <c r="E42" i="3"/>
  <c r="F42" i="3" l="1"/>
  <c r="E43" i="3"/>
  <c r="B66" i="3"/>
  <c r="C65" i="3"/>
  <c r="B67" i="3" l="1"/>
  <c r="C66" i="3"/>
  <c r="F43" i="3"/>
  <c r="E44" i="3"/>
  <c r="F44" i="3" l="1"/>
  <c r="E45" i="3"/>
  <c r="B68" i="3"/>
  <c r="C67" i="3"/>
  <c r="B69" i="3" l="1"/>
  <c r="C68" i="3"/>
  <c r="F45" i="3"/>
  <c r="E46" i="3"/>
  <c r="F46" i="3" l="1"/>
  <c r="E47" i="3"/>
  <c r="B70" i="3"/>
  <c r="C69" i="3"/>
  <c r="B71" i="3" l="1"/>
  <c r="C70" i="3"/>
  <c r="F47" i="3"/>
  <c r="E48" i="3"/>
  <c r="F48" i="3" l="1"/>
  <c r="E49" i="3"/>
  <c r="B72" i="3"/>
  <c r="C71" i="3"/>
  <c r="B73" i="3" l="1"/>
  <c r="C72" i="3"/>
  <c r="F49" i="3"/>
  <c r="E50" i="3"/>
  <c r="F50" i="3" l="1"/>
  <c r="E51" i="3"/>
  <c r="B74" i="3"/>
  <c r="C73" i="3"/>
  <c r="B75" i="3" l="1"/>
  <c r="C74" i="3"/>
  <c r="F51" i="3"/>
  <c r="E52" i="3"/>
  <c r="F52" i="3" l="1"/>
  <c r="E53" i="3"/>
  <c r="B76" i="3"/>
  <c r="C75" i="3"/>
  <c r="B77" i="3" l="1"/>
  <c r="C76" i="3"/>
  <c r="F53" i="3"/>
  <c r="E54" i="3"/>
  <c r="F54" i="3" l="1"/>
  <c r="E55" i="3"/>
  <c r="B78" i="3"/>
  <c r="C77" i="3"/>
  <c r="B79" i="3" l="1"/>
  <c r="C78" i="3"/>
  <c r="F55" i="3"/>
  <c r="E56" i="3"/>
  <c r="F56" i="3" l="1"/>
  <c r="E57" i="3"/>
  <c r="B80" i="3"/>
  <c r="C79" i="3"/>
  <c r="B81" i="3" l="1"/>
  <c r="C80" i="3"/>
  <c r="F57" i="3"/>
  <c r="E58" i="3"/>
  <c r="F58" i="3" l="1"/>
  <c r="E59" i="3"/>
  <c r="B82" i="3"/>
  <c r="C81" i="3"/>
  <c r="B83" i="3" l="1"/>
  <c r="C82" i="3"/>
  <c r="F59" i="3"/>
  <c r="E60" i="3"/>
  <c r="F60" i="3" l="1"/>
  <c r="E61" i="3"/>
  <c r="B84" i="3"/>
  <c r="C83" i="3"/>
  <c r="B85" i="3" l="1"/>
  <c r="C84" i="3"/>
  <c r="F61" i="3"/>
  <c r="E62" i="3"/>
  <c r="F62" i="3" l="1"/>
  <c r="E63" i="3"/>
  <c r="B86" i="3"/>
  <c r="C85" i="3"/>
  <c r="B87" i="3" l="1"/>
  <c r="C86" i="3"/>
  <c r="F63" i="3"/>
  <c r="E64" i="3"/>
  <c r="F64" i="3" l="1"/>
  <c r="E65" i="3"/>
  <c r="B88" i="3"/>
  <c r="C87" i="3"/>
  <c r="B89" i="3" l="1"/>
  <c r="C88" i="3"/>
  <c r="F65" i="3"/>
  <c r="E66" i="3"/>
  <c r="F66" i="3" l="1"/>
  <c r="E67" i="3"/>
  <c r="B90" i="3"/>
  <c r="C89" i="3"/>
  <c r="B91" i="3" l="1"/>
  <c r="C90" i="3"/>
  <c r="F67" i="3"/>
  <c r="E68" i="3"/>
  <c r="F68" i="3" l="1"/>
  <c r="E69" i="3"/>
  <c r="B92" i="3"/>
  <c r="C91" i="3"/>
  <c r="B93" i="3" l="1"/>
  <c r="C92" i="3"/>
  <c r="F69" i="3"/>
  <c r="E70" i="3"/>
  <c r="F70" i="3" l="1"/>
  <c r="E71" i="3"/>
  <c r="B94" i="3"/>
  <c r="C93" i="3"/>
  <c r="B95" i="3" l="1"/>
  <c r="C94" i="3"/>
  <c r="F71" i="3"/>
  <c r="E72" i="3"/>
  <c r="F72" i="3" l="1"/>
  <c r="E73" i="3"/>
  <c r="B96" i="3"/>
  <c r="C95" i="3"/>
  <c r="B97" i="3" l="1"/>
  <c r="C96" i="3"/>
  <c r="F73" i="3"/>
  <c r="E74" i="3"/>
  <c r="F74" i="3" l="1"/>
  <c r="E75" i="3"/>
  <c r="B98" i="3"/>
  <c r="C97" i="3"/>
  <c r="B99" i="3" l="1"/>
  <c r="C98" i="3"/>
  <c r="F75" i="3"/>
  <c r="E76" i="3"/>
  <c r="F76" i="3" l="1"/>
  <c r="E77" i="3"/>
  <c r="B100" i="3"/>
  <c r="C99" i="3"/>
  <c r="B101" i="3" l="1"/>
  <c r="C100" i="3"/>
  <c r="F77" i="3"/>
  <c r="E78" i="3"/>
  <c r="F78" i="3" l="1"/>
  <c r="E79" i="3"/>
  <c r="B102" i="3"/>
  <c r="C101" i="3"/>
  <c r="B103" i="3" l="1"/>
  <c r="C102" i="3"/>
  <c r="F79" i="3"/>
  <c r="E80" i="3"/>
  <c r="F80" i="3" l="1"/>
  <c r="E81" i="3"/>
  <c r="B104" i="3"/>
  <c r="C103" i="3"/>
  <c r="B105" i="3" l="1"/>
  <c r="C104" i="3"/>
  <c r="F81" i="3"/>
  <c r="E82" i="3"/>
  <c r="F82" i="3" l="1"/>
  <c r="E83" i="3"/>
  <c r="B106" i="3"/>
  <c r="C105" i="3"/>
  <c r="B107" i="3" l="1"/>
  <c r="C106" i="3"/>
  <c r="F83" i="3"/>
  <c r="E84" i="3"/>
  <c r="F84" i="3" l="1"/>
  <c r="E85" i="3"/>
  <c r="B108" i="3"/>
  <c r="C107" i="3"/>
  <c r="B109" i="3" l="1"/>
  <c r="C108" i="3"/>
  <c r="F85" i="3"/>
  <c r="E86" i="3"/>
  <c r="F86" i="3" l="1"/>
  <c r="E87" i="3"/>
  <c r="B110" i="3"/>
  <c r="C109" i="3"/>
  <c r="B111" i="3" l="1"/>
  <c r="C110" i="3"/>
  <c r="F87" i="3"/>
  <c r="E88" i="3"/>
  <c r="F88" i="3" l="1"/>
  <c r="E89" i="3"/>
  <c r="B112" i="3"/>
  <c r="C111" i="3"/>
  <c r="B113" i="3" l="1"/>
  <c r="C112" i="3"/>
  <c r="F89" i="3"/>
  <c r="E90" i="3"/>
  <c r="F90" i="3" l="1"/>
  <c r="E91" i="3"/>
  <c r="B114" i="3"/>
  <c r="C113" i="3"/>
  <c r="B115" i="3" l="1"/>
  <c r="C114" i="3"/>
  <c r="F91" i="3"/>
  <c r="E92" i="3"/>
  <c r="F92" i="3" l="1"/>
  <c r="E93" i="3"/>
  <c r="B116" i="3"/>
  <c r="C115" i="3"/>
  <c r="B117" i="3" l="1"/>
  <c r="C116" i="3"/>
  <c r="F93" i="3"/>
  <c r="E94" i="3"/>
  <c r="F94" i="3" l="1"/>
  <c r="E95" i="3"/>
  <c r="B118" i="3"/>
  <c r="C117" i="3"/>
  <c r="B119" i="3" l="1"/>
  <c r="C118" i="3"/>
  <c r="F95" i="3"/>
  <c r="E96" i="3"/>
  <c r="F96" i="3" l="1"/>
  <c r="E97" i="3"/>
  <c r="B120" i="3"/>
  <c r="C119" i="3"/>
  <c r="B121" i="3" l="1"/>
  <c r="C120" i="3"/>
  <c r="F97" i="3"/>
  <c r="E98" i="3"/>
  <c r="F98" i="3" l="1"/>
  <c r="E99" i="3"/>
  <c r="B122" i="3"/>
  <c r="C121" i="3"/>
  <c r="B123" i="3" l="1"/>
  <c r="C122" i="3"/>
  <c r="F99" i="3"/>
  <c r="E100" i="3"/>
  <c r="F100" i="3" l="1"/>
  <c r="E101" i="3"/>
  <c r="B124" i="3"/>
  <c r="C123" i="3"/>
  <c r="B125" i="3" l="1"/>
  <c r="C124" i="3"/>
  <c r="F101" i="3"/>
  <c r="E102" i="3"/>
  <c r="F102" i="3" l="1"/>
  <c r="E103" i="3"/>
  <c r="B126" i="3"/>
  <c r="C125" i="3"/>
  <c r="B127" i="3" l="1"/>
  <c r="C126" i="3"/>
  <c r="F103" i="3"/>
  <c r="E104" i="3"/>
  <c r="F104" i="3" l="1"/>
  <c r="E105" i="3"/>
  <c r="B128" i="3"/>
  <c r="C127" i="3"/>
  <c r="B129" i="3" l="1"/>
  <c r="C128" i="3"/>
  <c r="F105" i="3"/>
  <c r="E106" i="3"/>
  <c r="F106" i="3" l="1"/>
  <c r="E107" i="3"/>
  <c r="B130" i="3"/>
  <c r="C129" i="3"/>
  <c r="B131" i="3" l="1"/>
  <c r="C130" i="3"/>
  <c r="F107" i="3"/>
  <c r="E108" i="3"/>
  <c r="F108" i="3" l="1"/>
  <c r="E109" i="3"/>
  <c r="B132" i="3"/>
  <c r="C131" i="3"/>
  <c r="B133" i="3" l="1"/>
  <c r="C132" i="3"/>
  <c r="F109" i="3"/>
  <c r="E110" i="3"/>
  <c r="F110" i="3" l="1"/>
  <c r="E111" i="3"/>
  <c r="B134" i="3"/>
  <c r="C133" i="3"/>
  <c r="B135" i="3" l="1"/>
  <c r="C134" i="3"/>
  <c r="F111" i="3"/>
  <c r="E112" i="3"/>
  <c r="F112" i="3" l="1"/>
  <c r="E113" i="3"/>
  <c r="B136" i="3"/>
  <c r="C135" i="3"/>
  <c r="B137" i="3" l="1"/>
  <c r="C136" i="3"/>
  <c r="F113" i="3"/>
  <c r="E114" i="3"/>
  <c r="F114" i="3" l="1"/>
  <c r="E115" i="3"/>
  <c r="B138" i="3"/>
  <c r="C137" i="3"/>
  <c r="B139" i="3" l="1"/>
  <c r="C138" i="3"/>
  <c r="F115" i="3"/>
  <c r="E116" i="3"/>
  <c r="F116" i="3" l="1"/>
  <c r="E117" i="3"/>
  <c r="B140" i="3"/>
  <c r="C139" i="3"/>
  <c r="B141" i="3" l="1"/>
  <c r="C140" i="3"/>
  <c r="F117" i="3"/>
  <c r="E118" i="3"/>
  <c r="F118" i="3" l="1"/>
  <c r="E119" i="3"/>
  <c r="B142" i="3"/>
  <c r="C141" i="3"/>
  <c r="B143" i="3" l="1"/>
  <c r="C142" i="3"/>
  <c r="F119" i="3"/>
  <c r="E120" i="3"/>
  <c r="F120" i="3" l="1"/>
  <c r="E121" i="3"/>
  <c r="B144" i="3"/>
  <c r="C143" i="3"/>
  <c r="B145" i="3" l="1"/>
  <c r="C144" i="3"/>
  <c r="F121" i="3"/>
  <c r="E122" i="3"/>
  <c r="F122" i="3" l="1"/>
  <c r="E123" i="3"/>
  <c r="B146" i="3"/>
  <c r="C145" i="3"/>
  <c r="B147" i="3" l="1"/>
  <c r="C146" i="3"/>
  <c r="F123" i="3"/>
  <c r="E124" i="3"/>
  <c r="F124" i="3" l="1"/>
  <c r="E125" i="3"/>
  <c r="B148" i="3"/>
  <c r="C147" i="3"/>
  <c r="B149" i="3" l="1"/>
  <c r="C148" i="3"/>
  <c r="F125" i="3"/>
  <c r="E126" i="3"/>
  <c r="F126" i="3" l="1"/>
  <c r="E127" i="3"/>
  <c r="B150" i="3"/>
  <c r="C149" i="3"/>
  <c r="B151" i="3" l="1"/>
  <c r="C150" i="3"/>
  <c r="F127" i="3"/>
  <c r="E128" i="3"/>
  <c r="F128" i="3" l="1"/>
  <c r="E129" i="3"/>
  <c r="B152" i="3"/>
  <c r="C151" i="3"/>
  <c r="B153" i="3" l="1"/>
  <c r="C152" i="3"/>
  <c r="F129" i="3"/>
  <c r="E130" i="3"/>
  <c r="F130" i="3" l="1"/>
  <c r="E131" i="3"/>
  <c r="B154" i="3"/>
  <c r="C153" i="3"/>
  <c r="B155" i="3" l="1"/>
  <c r="C154" i="3"/>
  <c r="F131" i="3"/>
  <c r="E132" i="3"/>
  <c r="F132" i="3" l="1"/>
  <c r="E133" i="3"/>
  <c r="B156" i="3"/>
  <c r="C155" i="3"/>
  <c r="B157" i="3" l="1"/>
  <c r="C156" i="3"/>
  <c r="F133" i="3"/>
  <c r="E134" i="3"/>
  <c r="F134" i="3" l="1"/>
  <c r="E135" i="3"/>
  <c r="B158" i="3"/>
  <c r="C157" i="3"/>
  <c r="B159" i="3" l="1"/>
  <c r="C158" i="3"/>
  <c r="F135" i="3"/>
  <c r="E136" i="3"/>
  <c r="F136" i="3" l="1"/>
  <c r="E137" i="3"/>
  <c r="B160" i="3"/>
  <c r="C159" i="3"/>
  <c r="B161" i="3" l="1"/>
  <c r="C160" i="3"/>
  <c r="F137" i="3"/>
  <c r="E138" i="3"/>
  <c r="F138" i="3" l="1"/>
  <c r="E139" i="3"/>
  <c r="B162" i="3"/>
  <c r="C161" i="3"/>
  <c r="B163" i="3" l="1"/>
  <c r="C162" i="3"/>
  <c r="F139" i="3"/>
  <c r="E140" i="3"/>
  <c r="F140" i="3" l="1"/>
  <c r="E141" i="3"/>
  <c r="B164" i="3"/>
  <c r="C163" i="3"/>
  <c r="B165" i="3" l="1"/>
  <c r="C164" i="3"/>
  <c r="F141" i="3"/>
  <c r="E142" i="3"/>
  <c r="F142" i="3" l="1"/>
  <c r="E143" i="3"/>
  <c r="B166" i="3"/>
  <c r="C165" i="3"/>
  <c r="C166" i="3" l="1"/>
  <c r="B167" i="3"/>
  <c r="F143" i="3"/>
  <c r="E144" i="3"/>
  <c r="F144" i="3" l="1"/>
  <c r="E145" i="3"/>
  <c r="B168" i="3"/>
  <c r="C167" i="3"/>
  <c r="B169" i="3" l="1"/>
  <c r="C168" i="3"/>
  <c r="F145" i="3"/>
  <c r="E146" i="3"/>
  <c r="F146" i="3" l="1"/>
  <c r="E147" i="3"/>
  <c r="B170" i="3"/>
  <c r="C169" i="3"/>
  <c r="B171" i="3" l="1"/>
  <c r="C170" i="3"/>
  <c r="F147" i="3"/>
  <c r="E148" i="3"/>
  <c r="F148" i="3" l="1"/>
  <c r="E149" i="3"/>
  <c r="B172" i="3"/>
  <c r="C171" i="3"/>
  <c r="B173" i="3" l="1"/>
  <c r="C172" i="3"/>
  <c r="F149" i="3"/>
  <c r="E150" i="3"/>
  <c r="F150" i="3" l="1"/>
  <c r="E151" i="3"/>
  <c r="B174" i="3"/>
  <c r="C173" i="3"/>
  <c r="B175" i="3" l="1"/>
  <c r="C174" i="3"/>
  <c r="F151" i="3"/>
  <c r="E152" i="3"/>
  <c r="F152" i="3" l="1"/>
  <c r="E153" i="3"/>
  <c r="B176" i="3"/>
  <c r="C175" i="3"/>
  <c r="B177" i="3" l="1"/>
  <c r="C176" i="3"/>
  <c r="F153" i="3"/>
  <c r="E154" i="3"/>
  <c r="F154" i="3" l="1"/>
  <c r="E155" i="3"/>
  <c r="B178" i="3"/>
  <c r="C177" i="3"/>
  <c r="B179" i="3" l="1"/>
  <c r="C178" i="3"/>
  <c r="F155" i="3"/>
  <c r="E156" i="3"/>
  <c r="F156" i="3" l="1"/>
  <c r="E157" i="3"/>
  <c r="B180" i="3"/>
  <c r="C179" i="3"/>
  <c r="B181" i="3" l="1"/>
  <c r="C180" i="3"/>
  <c r="F157" i="3"/>
  <c r="E158" i="3"/>
  <c r="F158" i="3" l="1"/>
  <c r="E159" i="3"/>
  <c r="B182" i="3"/>
  <c r="C181" i="3"/>
  <c r="B183" i="3" l="1"/>
  <c r="C182" i="3"/>
  <c r="F159" i="3"/>
  <c r="E160" i="3"/>
  <c r="F160" i="3" l="1"/>
  <c r="E161" i="3"/>
  <c r="B184" i="3"/>
  <c r="C183" i="3"/>
  <c r="B185" i="3" l="1"/>
  <c r="C184" i="3"/>
  <c r="F161" i="3"/>
  <c r="E162" i="3"/>
  <c r="F162" i="3" l="1"/>
  <c r="E163" i="3"/>
  <c r="B186" i="3"/>
  <c r="C185" i="3"/>
  <c r="B187" i="3" l="1"/>
  <c r="C186" i="3"/>
  <c r="F163" i="3"/>
  <c r="E164" i="3"/>
  <c r="F164" i="3" l="1"/>
  <c r="E165" i="3"/>
  <c r="C187" i="3"/>
  <c r="B188" i="3"/>
  <c r="B189" i="3" l="1"/>
  <c r="C188" i="3"/>
  <c r="F165" i="3"/>
  <c r="E166" i="3"/>
  <c r="F166" i="3" l="1"/>
  <c r="E167" i="3"/>
  <c r="B190" i="3"/>
  <c r="C189" i="3"/>
  <c r="B191" i="3" l="1"/>
  <c r="C190" i="3"/>
  <c r="F167" i="3"/>
  <c r="E168" i="3"/>
  <c r="F168" i="3" l="1"/>
  <c r="E169" i="3"/>
  <c r="B192" i="3"/>
  <c r="C191" i="3"/>
  <c r="B193" i="3" l="1"/>
  <c r="C192" i="3"/>
  <c r="F169" i="3"/>
  <c r="E170" i="3"/>
  <c r="F170" i="3" l="1"/>
  <c r="E171" i="3"/>
  <c r="B194" i="3"/>
  <c r="C193" i="3"/>
  <c r="B195" i="3" l="1"/>
  <c r="C194" i="3"/>
  <c r="F171" i="3"/>
  <c r="E172" i="3"/>
  <c r="F172" i="3" l="1"/>
  <c r="E173" i="3"/>
  <c r="B196" i="3"/>
  <c r="C195" i="3"/>
  <c r="B197" i="3" l="1"/>
  <c r="C196" i="3"/>
  <c r="F173" i="3"/>
  <c r="E174" i="3"/>
  <c r="F174" i="3" l="1"/>
  <c r="E175" i="3"/>
  <c r="B198" i="3"/>
  <c r="C197" i="3"/>
  <c r="B199" i="3" l="1"/>
  <c r="C198" i="3"/>
  <c r="F175" i="3"/>
  <c r="E176" i="3"/>
  <c r="F176" i="3" l="1"/>
  <c r="E177" i="3"/>
  <c r="B200" i="3"/>
  <c r="C199" i="3"/>
  <c r="B201" i="3" l="1"/>
  <c r="C200" i="3"/>
  <c r="F177" i="3"/>
  <c r="E178" i="3"/>
  <c r="F178" i="3" l="1"/>
  <c r="E179" i="3"/>
  <c r="C201" i="3"/>
  <c r="B202" i="3"/>
  <c r="B203" i="3" l="1"/>
  <c r="C202" i="3"/>
  <c r="F179" i="3"/>
  <c r="E180" i="3"/>
  <c r="F180" i="3" l="1"/>
  <c r="E181" i="3"/>
  <c r="B204" i="3"/>
  <c r="C203" i="3"/>
  <c r="B205" i="3" l="1"/>
  <c r="C204" i="3"/>
  <c r="F181" i="3"/>
  <c r="E182" i="3"/>
  <c r="F182" i="3" l="1"/>
  <c r="E183" i="3"/>
  <c r="B206" i="3"/>
  <c r="C205" i="3"/>
  <c r="B207" i="3" l="1"/>
  <c r="C206" i="3"/>
  <c r="F183" i="3"/>
  <c r="E184" i="3"/>
  <c r="F184" i="3" l="1"/>
  <c r="E185" i="3"/>
  <c r="B208" i="3"/>
  <c r="C207" i="3"/>
  <c r="B209" i="3" l="1"/>
  <c r="C208" i="3"/>
  <c r="F185" i="3"/>
  <c r="E186" i="3"/>
  <c r="F186" i="3" l="1"/>
  <c r="E187" i="3"/>
  <c r="B210" i="3"/>
  <c r="C209" i="3"/>
  <c r="B211" i="3" l="1"/>
  <c r="C210" i="3"/>
  <c r="F187" i="3"/>
  <c r="E188" i="3"/>
  <c r="F188" i="3" l="1"/>
  <c r="E189" i="3"/>
  <c r="B212" i="3"/>
  <c r="C211" i="3"/>
  <c r="B213" i="3" l="1"/>
  <c r="C212" i="3"/>
  <c r="F189" i="3"/>
  <c r="E190" i="3"/>
  <c r="F190" i="3" l="1"/>
  <c r="E191" i="3"/>
  <c r="B214" i="3"/>
  <c r="C213" i="3"/>
  <c r="B215" i="3" l="1"/>
  <c r="C214" i="3"/>
  <c r="F191" i="3"/>
  <c r="E192" i="3"/>
  <c r="F192" i="3" l="1"/>
  <c r="E193" i="3"/>
  <c r="B216" i="3"/>
  <c r="C215" i="3"/>
  <c r="B217" i="3" l="1"/>
  <c r="C216" i="3"/>
  <c r="F193" i="3"/>
  <c r="E194" i="3"/>
  <c r="F194" i="3" l="1"/>
  <c r="E195" i="3"/>
  <c r="B218" i="3"/>
  <c r="C217" i="3"/>
  <c r="B219" i="3" l="1"/>
  <c r="C218" i="3"/>
  <c r="F195" i="3"/>
  <c r="E196" i="3"/>
  <c r="F196" i="3" l="1"/>
  <c r="E197" i="3"/>
  <c r="B220" i="3"/>
  <c r="C219" i="3"/>
  <c r="B221" i="3" l="1"/>
  <c r="C220" i="3"/>
  <c r="F197" i="3"/>
  <c r="E198" i="3"/>
  <c r="F198" i="3" l="1"/>
  <c r="E199" i="3"/>
  <c r="B222" i="3"/>
  <c r="C221" i="3"/>
  <c r="B223" i="3" l="1"/>
  <c r="C222" i="3"/>
  <c r="F199" i="3"/>
  <c r="E200" i="3"/>
  <c r="F200" i="3" l="1"/>
  <c r="E201" i="3"/>
  <c r="B224" i="3"/>
  <c r="C223" i="3"/>
  <c r="B225" i="3" l="1"/>
  <c r="C224" i="3"/>
  <c r="F201" i="3"/>
  <c r="E202" i="3"/>
  <c r="F202" i="3" l="1"/>
  <c r="E203" i="3"/>
  <c r="B226" i="3"/>
  <c r="C225" i="3"/>
  <c r="B227" i="3" l="1"/>
  <c r="C226" i="3"/>
  <c r="F203" i="3"/>
  <c r="E204" i="3"/>
  <c r="F204" i="3" l="1"/>
  <c r="E205" i="3"/>
  <c r="B228" i="3"/>
  <c r="C227" i="3"/>
  <c r="B229" i="3" l="1"/>
  <c r="C228" i="3"/>
  <c r="F205" i="3"/>
  <c r="E206" i="3"/>
  <c r="F206" i="3" l="1"/>
  <c r="E207" i="3"/>
  <c r="B230" i="3"/>
  <c r="C229" i="3"/>
  <c r="B231" i="3" l="1"/>
  <c r="C230" i="3"/>
  <c r="F207" i="3"/>
  <c r="E208" i="3"/>
  <c r="F208" i="3" l="1"/>
  <c r="E209" i="3"/>
  <c r="B232" i="3"/>
  <c r="C231" i="3"/>
  <c r="B233" i="3" l="1"/>
  <c r="C232" i="3"/>
  <c r="F209" i="3"/>
  <c r="E210" i="3"/>
  <c r="F210" i="3" l="1"/>
  <c r="E211" i="3"/>
  <c r="B234" i="3"/>
  <c r="C233" i="3"/>
  <c r="B235" i="3" l="1"/>
  <c r="C234" i="3"/>
  <c r="F211" i="3"/>
  <c r="E212" i="3"/>
  <c r="F212" i="3" l="1"/>
  <c r="E213" i="3"/>
  <c r="B236" i="3"/>
  <c r="C235" i="3"/>
  <c r="B237" i="3" l="1"/>
  <c r="C236" i="3"/>
  <c r="F213" i="3"/>
  <c r="E214" i="3"/>
  <c r="F214" i="3" l="1"/>
  <c r="E215" i="3"/>
  <c r="C237" i="3"/>
  <c r="B238" i="3"/>
  <c r="B239" i="3" l="1"/>
  <c r="C238" i="3"/>
  <c r="F215" i="3"/>
  <c r="E216" i="3"/>
  <c r="F216" i="3" l="1"/>
  <c r="E217" i="3"/>
  <c r="B240" i="3"/>
  <c r="C239" i="3"/>
  <c r="B241" i="3" l="1"/>
  <c r="C240" i="3"/>
  <c r="F217" i="3"/>
  <c r="E218" i="3"/>
  <c r="F218" i="3" l="1"/>
  <c r="E219" i="3"/>
  <c r="B242" i="3"/>
  <c r="C241" i="3"/>
  <c r="B243" i="3" l="1"/>
  <c r="C242" i="3"/>
  <c r="F219" i="3"/>
  <c r="E220" i="3"/>
  <c r="F220" i="3" l="1"/>
  <c r="E221" i="3"/>
  <c r="B244" i="3"/>
  <c r="C243" i="3"/>
  <c r="B245" i="3" l="1"/>
  <c r="C244" i="3"/>
  <c r="F221" i="3"/>
  <c r="E222" i="3"/>
  <c r="F222" i="3" l="1"/>
  <c r="E223" i="3"/>
  <c r="B246" i="3"/>
  <c r="C245" i="3"/>
  <c r="B247" i="3" l="1"/>
  <c r="C246" i="3"/>
  <c r="F223" i="3"/>
  <c r="E224" i="3"/>
  <c r="F224" i="3" l="1"/>
  <c r="E225" i="3"/>
  <c r="B248" i="3"/>
  <c r="C247" i="3"/>
  <c r="B249" i="3" l="1"/>
  <c r="C248" i="3"/>
  <c r="F225" i="3"/>
  <c r="E226" i="3"/>
  <c r="F226" i="3" l="1"/>
  <c r="E227" i="3"/>
  <c r="B250" i="3"/>
  <c r="C249" i="3"/>
  <c r="B251" i="3" l="1"/>
  <c r="C250" i="3"/>
  <c r="F227" i="3"/>
  <c r="E228" i="3"/>
  <c r="F228" i="3" l="1"/>
  <c r="E229" i="3"/>
  <c r="B252" i="3"/>
  <c r="C251" i="3"/>
  <c r="B253" i="3" l="1"/>
  <c r="C252" i="3"/>
  <c r="F229" i="3"/>
  <c r="E230" i="3"/>
  <c r="F230" i="3" l="1"/>
  <c r="E231" i="3"/>
  <c r="B254" i="3"/>
  <c r="C253" i="3"/>
  <c r="B255" i="3" l="1"/>
  <c r="C254" i="3"/>
  <c r="F231" i="3"/>
  <c r="E232" i="3"/>
  <c r="F232" i="3" l="1"/>
  <c r="E233" i="3"/>
  <c r="B256" i="3"/>
  <c r="C255" i="3"/>
  <c r="B257" i="3" l="1"/>
  <c r="C256" i="3"/>
  <c r="F233" i="3"/>
  <c r="E234" i="3"/>
  <c r="F234" i="3" l="1"/>
  <c r="E235" i="3"/>
  <c r="B258" i="3"/>
  <c r="C257" i="3"/>
  <c r="B259" i="3" l="1"/>
  <c r="C258" i="3"/>
  <c r="F235" i="3"/>
  <c r="E236" i="3"/>
  <c r="F236" i="3" l="1"/>
  <c r="E237" i="3"/>
  <c r="B260" i="3"/>
  <c r="C259" i="3"/>
  <c r="B261" i="3" l="1"/>
  <c r="C260" i="3"/>
  <c r="F237" i="3"/>
  <c r="E238" i="3"/>
  <c r="F238" i="3" l="1"/>
  <c r="E239" i="3"/>
  <c r="B262" i="3"/>
  <c r="C261" i="3"/>
  <c r="B263" i="3" l="1"/>
  <c r="C262" i="3"/>
  <c r="F239" i="3"/>
  <c r="E240" i="3"/>
  <c r="F240" i="3" l="1"/>
  <c r="E241" i="3"/>
  <c r="B264" i="3"/>
  <c r="C263" i="3"/>
  <c r="B265" i="3" l="1"/>
  <c r="C264" i="3"/>
  <c r="F241" i="3"/>
  <c r="E242" i="3"/>
  <c r="F242" i="3" l="1"/>
  <c r="E243" i="3"/>
  <c r="B266" i="3"/>
  <c r="C265" i="3"/>
  <c r="B267" i="3" l="1"/>
  <c r="C266" i="3"/>
  <c r="F243" i="3"/>
  <c r="E244" i="3"/>
  <c r="F244" i="3" l="1"/>
  <c r="E245" i="3"/>
  <c r="B268" i="3"/>
  <c r="C267" i="3"/>
  <c r="B269" i="3" l="1"/>
  <c r="C268" i="3"/>
  <c r="F245" i="3"/>
  <c r="E246" i="3"/>
  <c r="F246" i="3" l="1"/>
  <c r="E247" i="3"/>
  <c r="B270" i="3"/>
  <c r="C269" i="3"/>
  <c r="B271" i="3" l="1"/>
  <c r="C270" i="3"/>
  <c r="F247" i="3"/>
  <c r="E248" i="3"/>
  <c r="F248" i="3" l="1"/>
  <c r="E249" i="3"/>
  <c r="B272" i="3"/>
  <c r="C271" i="3"/>
  <c r="B273" i="3" l="1"/>
  <c r="C272" i="3"/>
  <c r="F249" i="3"/>
  <c r="E250" i="3"/>
  <c r="F250" i="3" l="1"/>
  <c r="E251" i="3"/>
  <c r="B274" i="3"/>
  <c r="C273" i="3"/>
  <c r="B275" i="3" l="1"/>
  <c r="C274" i="3"/>
  <c r="F251" i="3"/>
  <c r="E252" i="3"/>
  <c r="F252" i="3" l="1"/>
  <c r="E253" i="3"/>
  <c r="B276" i="3"/>
  <c r="C275" i="3"/>
  <c r="B277" i="3" l="1"/>
  <c r="C276" i="3"/>
  <c r="F253" i="3"/>
  <c r="E254" i="3"/>
  <c r="F254" i="3" l="1"/>
  <c r="E255" i="3"/>
  <c r="B278" i="3"/>
  <c r="C277" i="3"/>
  <c r="B279" i="3" l="1"/>
  <c r="C278" i="3"/>
  <c r="F255" i="3"/>
  <c r="E256" i="3"/>
  <c r="F256" i="3" l="1"/>
  <c r="E257" i="3"/>
  <c r="B280" i="3"/>
  <c r="C279" i="3"/>
  <c r="B281" i="3" l="1"/>
  <c r="C280" i="3"/>
  <c r="F257" i="3"/>
  <c r="E258" i="3"/>
  <c r="F258" i="3" l="1"/>
  <c r="E259" i="3"/>
  <c r="B282" i="3"/>
  <c r="C281" i="3"/>
  <c r="B283" i="3" l="1"/>
  <c r="C282" i="3"/>
  <c r="F259" i="3"/>
  <c r="E260" i="3"/>
  <c r="F260" i="3" l="1"/>
  <c r="E261" i="3"/>
  <c r="B284" i="3"/>
  <c r="C283" i="3"/>
  <c r="B285" i="3" l="1"/>
  <c r="C284" i="3"/>
  <c r="F261" i="3"/>
  <c r="E262" i="3"/>
  <c r="F262" i="3" l="1"/>
  <c r="E263" i="3"/>
  <c r="B286" i="3"/>
  <c r="C285" i="3"/>
  <c r="B287" i="3" l="1"/>
  <c r="C286" i="3"/>
  <c r="F263" i="3"/>
  <c r="E264" i="3"/>
  <c r="F264" i="3" l="1"/>
  <c r="E265" i="3"/>
  <c r="B288" i="3"/>
  <c r="C287" i="3"/>
  <c r="B289" i="3" l="1"/>
  <c r="C288" i="3"/>
  <c r="F265" i="3"/>
  <c r="E266" i="3"/>
  <c r="F266" i="3" l="1"/>
  <c r="E267" i="3"/>
  <c r="B290" i="3"/>
  <c r="C289" i="3"/>
  <c r="B291" i="3" l="1"/>
  <c r="C290" i="3"/>
  <c r="F267" i="3"/>
  <c r="E268" i="3"/>
  <c r="F268" i="3" l="1"/>
  <c r="E269" i="3"/>
  <c r="B292" i="3"/>
  <c r="C291" i="3"/>
  <c r="B293" i="3" l="1"/>
  <c r="C292" i="3"/>
  <c r="F269" i="3"/>
  <c r="E270" i="3"/>
  <c r="F270" i="3" l="1"/>
  <c r="E271" i="3"/>
  <c r="B294" i="3"/>
  <c r="C293" i="3"/>
  <c r="B295" i="3" l="1"/>
  <c r="C294" i="3"/>
  <c r="F271" i="3"/>
  <c r="E272" i="3"/>
  <c r="F272" i="3" l="1"/>
  <c r="E273" i="3"/>
  <c r="B296" i="3"/>
  <c r="C295" i="3"/>
  <c r="B297" i="3" l="1"/>
  <c r="C296" i="3"/>
  <c r="F273" i="3"/>
  <c r="E274" i="3"/>
  <c r="F274" i="3" l="1"/>
  <c r="E275" i="3"/>
  <c r="B298" i="3"/>
  <c r="C297" i="3"/>
  <c r="B299" i="3" l="1"/>
  <c r="C298" i="3"/>
  <c r="F275" i="3"/>
  <c r="E276" i="3"/>
  <c r="F276" i="3" l="1"/>
  <c r="E277" i="3"/>
  <c r="B300" i="3"/>
  <c r="C299" i="3"/>
  <c r="B301" i="3" l="1"/>
  <c r="C300" i="3"/>
  <c r="F277" i="3"/>
  <c r="E278" i="3"/>
  <c r="F278" i="3" l="1"/>
  <c r="E279" i="3"/>
  <c r="B302" i="3"/>
  <c r="C301" i="3"/>
  <c r="B303" i="3" l="1"/>
  <c r="C302" i="3"/>
  <c r="F279" i="3"/>
  <c r="E280" i="3"/>
  <c r="F280" i="3" l="1"/>
  <c r="E281" i="3"/>
  <c r="B304" i="3"/>
  <c r="C303" i="3"/>
  <c r="B305" i="3" l="1"/>
  <c r="C304" i="3"/>
  <c r="F281" i="3"/>
  <c r="E282" i="3"/>
  <c r="F282" i="3" l="1"/>
  <c r="E283" i="3"/>
  <c r="B306" i="3"/>
  <c r="C305" i="3"/>
  <c r="B307" i="3" l="1"/>
  <c r="C306" i="3"/>
  <c r="F283" i="3"/>
  <c r="E284" i="3"/>
  <c r="F284" i="3" l="1"/>
  <c r="E285" i="3"/>
  <c r="B308" i="3"/>
  <c r="C307" i="3"/>
  <c r="B309" i="3" l="1"/>
  <c r="C308" i="3"/>
  <c r="F285" i="3"/>
  <c r="E286" i="3"/>
  <c r="F286" i="3" l="1"/>
  <c r="E287" i="3"/>
  <c r="B310" i="3"/>
  <c r="C309" i="3"/>
  <c r="B311" i="3" l="1"/>
  <c r="C310" i="3"/>
  <c r="F287" i="3"/>
  <c r="E288" i="3"/>
  <c r="F288" i="3" l="1"/>
  <c r="E289" i="3"/>
  <c r="B312" i="3"/>
  <c r="C311" i="3"/>
  <c r="B313" i="3" l="1"/>
  <c r="C312" i="3"/>
  <c r="F289" i="3"/>
  <c r="E290" i="3"/>
  <c r="F290" i="3" l="1"/>
  <c r="E291" i="3"/>
  <c r="B314" i="3"/>
  <c r="C313" i="3"/>
  <c r="B315" i="3" l="1"/>
  <c r="C314" i="3"/>
  <c r="F291" i="3"/>
  <c r="E292" i="3"/>
  <c r="F292" i="3" l="1"/>
  <c r="E293" i="3"/>
  <c r="B316" i="3"/>
  <c r="C315" i="3"/>
  <c r="B317" i="3" l="1"/>
  <c r="C316" i="3"/>
  <c r="F293" i="3"/>
  <c r="E294" i="3"/>
  <c r="F294" i="3" l="1"/>
  <c r="E295" i="3"/>
  <c r="B318" i="3"/>
  <c r="C317" i="3"/>
  <c r="B319" i="3" l="1"/>
  <c r="C318" i="3"/>
  <c r="F295" i="3"/>
  <c r="E296" i="3"/>
  <c r="F296" i="3" l="1"/>
  <c r="E297" i="3"/>
  <c r="B320" i="3"/>
  <c r="C319" i="3"/>
  <c r="B321" i="3" l="1"/>
  <c r="C320" i="3"/>
  <c r="F297" i="3"/>
  <c r="E298" i="3"/>
  <c r="B322" i="3" l="1"/>
  <c r="C321" i="3"/>
  <c r="F298" i="3"/>
  <c r="E299" i="3"/>
  <c r="F299" i="3" l="1"/>
  <c r="E300" i="3"/>
  <c r="B323" i="3"/>
  <c r="C322" i="3"/>
  <c r="B324" i="3" l="1"/>
  <c r="C323" i="3"/>
  <c r="F300" i="3"/>
  <c r="E301" i="3"/>
  <c r="F301" i="3" l="1"/>
  <c r="E302" i="3"/>
  <c r="B325" i="3"/>
  <c r="C324" i="3"/>
  <c r="B326" i="3" l="1"/>
  <c r="C325" i="3"/>
  <c r="F302" i="3"/>
  <c r="E303" i="3"/>
  <c r="F303" i="3" l="1"/>
  <c r="E304" i="3"/>
  <c r="B327" i="3"/>
  <c r="C326" i="3"/>
  <c r="B328" i="3" l="1"/>
  <c r="C327" i="3"/>
  <c r="F304" i="3"/>
  <c r="E305" i="3"/>
  <c r="F305" i="3" l="1"/>
  <c r="E306" i="3"/>
  <c r="B329" i="3"/>
  <c r="C328" i="3"/>
  <c r="B330" i="3" l="1"/>
  <c r="C329" i="3"/>
  <c r="F306" i="3"/>
  <c r="E307" i="3"/>
  <c r="F307" i="3" l="1"/>
  <c r="E308" i="3"/>
  <c r="B331" i="3"/>
  <c r="C330" i="3"/>
  <c r="B332" i="3" l="1"/>
  <c r="C331" i="3"/>
  <c r="F308" i="3"/>
  <c r="E309" i="3"/>
  <c r="F309" i="3" l="1"/>
  <c r="E310" i="3"/>
  <c r="B333" i="3"/>
  <c r="C332" i="3"/>
  <c r="B334" i="3" l="1"/>
  <c r="C333" i="3"/>
  <c r="F310" i="3"/>
  <c r="E311" i="3"/>
  <c r="F311" i="3" l="1"/>
  <c r="E312" i="3"/>
  <c r="B335" i="3"/>
  <c r="C334" i="3"/>
  <c r="B336" i="3" l="1"/>
  <c r="C335" i="3"/>
  <c r="F312" i="3"/>
  <c r="E313" i="3"/>
  <c r="F313" i="3" l="1"/>
  <c r="E314" i="3"/>
  <c r="B337" i="3"/>
  <c r="C336" i="3"/>
  <c r="B338" i="3" l="1"/>
  <c r="C337" i="3"/>
  <c r="F314" i="3"/>
  <c r="E315" i="3"/>
  <c r="F315" i="3" l="1"/>
  <c r="E316" i="3"/>
  <c r="B339" i="3"/>
  <c r="C338" i="3"/>
  <c r="B340" i="3" l="1"/>
  <c r="C339" i="3"/>
  <c r="F316" i="3"/>
  <c r="E317" i="3"/>
  <c r="F317" i="3" l="1"/>
  <c r="E318" i="3"/>
  <c r="B341" i="3"/>
  <c r="C340" i="3"/>
  <c r="B342" i="3" l="1"/>
  <c r="C341" i="3"/>
  <c r="F318" i="3"/>
  <c r="E319" i="3"/>
  <c r="F319" i="3" l="1"/>
  <c r="E320" i="3"/>
  <c r="B343" i="3"/>
  <c r="C342" i="3"/>
  <c r="B344" i="3" l="1"/>
  <c r="C343" i="3"/>
  <c r="F320" i="3"/>
  <c r="E321" i="3"/>
  <c r="F321" i="3" l="1"/>
  <c r="E322" i="3"/>
  <c r="B345" i="3"/>
  <c r="C344" i="3"/>
  <c r="B346" i="3" l="1"/>
  <c r="C345" i="3"/>
  <c r="F322" i="3"/>
  <c r="E323" i="3"/>
  <c r="F323" i="3" l="1"/>
  <c r="E324" i="3"/>
  <c r="B347" i="3"/>
  <c r="C346" i="3"/>
  <c r="B348" i="3" l="1"/>
  <c r="C347" i="3"/>
  <c r="F324" i="3"/>
  <c r="E325" i="3"/>
  <c r="F325" i="3" l="1"/>
  <c r="E326" i="3"/>
  <c r="B349" i="3"/>
  <c r="C348" i="3"/>
  <c r="B350" i="3" l="1"/>
  <c r="C349" i="3"/>
  <c r="F326" i="3"/>
  <c r="E327" i="3"/>
  <c r="F327" i="3" l="1"/>
  <c r="E328" i="3"/>
  <c r="B351" i="3"/>
  <c r="C350" i="3"/>
  <c r="B352" i="3" l="1"/>
  <c r="C351" i="3"/>
  <c r="F328" i="3"/>
  <c r="E329" i="3"/>
  <c r="F329" i="3" l="1"/>
  <c r="E330" i="3"/>
  <c r="B353" i="3"/>
  <c r="C352" i="3"/>
  <c r="B354" i="3" l="1"/>
  <c r="C353" i="3"/>
  <c r="F330" i="3"/>
  <c r="E331" i="3"/>
  <c r="F331" i="3" l="1"/>
  <c r="E332" i="3"/>
  <c r="B355" i="3"/>
  <c r="C354" i="3"/>
  <c r="B356" i="3" l="1"/>
  <c r="C355" i="3"/>
  <c r="F332" i="3"/>
  <c r="E333" i="3"/>
  <c r="F333" i="3" l="1"/>
  <c r="E334" i="3"/>
  <c r="B357" i="3"/>
  <c r="C356" i="3"/>
  <c r="B358" i="3" l="1"/>
  <c r="C357" i="3"/>
  <c r="F334" i="3"/>
  <c r="E335" i="3"/>
  <c r="F335" i="3" l="1"/>
  <c r="E336" i="3"/>
  <c r="B359" i="3"/>
  <c r="C358" i="3"/>
  <c r="B360" i="3" l="1"/>
  <c r="C359" i="3"/>
  <c r="F336" i="3"/>
  <c r="E337" i="3"/>
  <c r="F337" i="3" l="1"/>
  <c r="E338" i="3"/>
  <c r="B361" i="3"/>
  <c r="C360" i="3"/>
  <c r="B362" i="3" l="1"/>
  <c r="C361" i="3"/>
  <c r="F338" i="3"/>
  <c r="E339" i="3"/>
  <c r="F339" i="3" l="1"/>
  <c r="E340" i="3"/>
  <c r="B363" i="3"/>
  <c r="C362" i="3"/>
  <c r="B364" i="3" l="1"/>
  <c r="C363" i="3"/>
  <c r="F340" i="3"/>
  <c r="E341" i="3"/>
  <c r="F341" i="3" l="1"/>
  <c r="E342" i="3"/>
  <c r="B365" i="3"/>
  <c r="C364" i="3"/>
  <c r="B366" i="3" l="1"/>
  <c r="C365" i="3"/>
  <c r="F342" i="3"/>
  <c r="E343" i="3"/>
  <c r="F343" i="3" l="1"/>
  <c r="E344" i="3"/>
  <c r="B367" i="3"/>
  <c r="C366" i="3"/>
  <c r="B368" i="3" l="1"/>
  <c r="C367" i="3"/>
  <c r="F344" i="3"/>
  <c r="E345" i="3"/>
  <c r="F345" i="3" l="1"/>
  <c r="E346" i="3"/>
  <c r="B369" i="3"/>
  <c r="C368" i="3"/>
  <c r="B370" i="3" l="1"/>
  <c r="C369" i="3"/>
  <c r="F346" i="3"/>
  <c r="E347" i="3"/>
  <c r="F347" i="3" l="1"/>
  <c r="E348" i="3"/>
  <c r="B371" i="3"/>
  <c r="C370" i="3"/>
  <c r="B372" i="3" l="1"/>
  <c r="C371" i="3"/>
  <c r="F348" i="3"/>
  <c r="E349" i="3"/>
  <c r="F349" i="3" l="1"/>
  <c r="E350" i="3"/>
  <c r="B373" i="3"/>
  <c r="C372" i="3"/>
  <c r="B374" i="3" l="1"/>
  <c r="C373" i="3"/>
  <c r="F350" i="3"/>
  <c r="E351" i="3"/>
  <c r="F351" i="3" l="1"/>
  <c r="E352" i="3"/>
  <c r="B375" i="3"/>
  <c r="C374" i="3"/>
  <c r="B376" i="3" l="1"/>
  <c r="C375" i="3"/>
  <c r="F352" i="3"/>
  <c r="E353" i="3"/>
  <c r="F353" i="3" l="1"/>
  <c r="E354" i="3"/>
  <c r="B377" i="3"/>
  <c r="C376" i="3"/>
  <c r="B378" i="3" l="1"/>
  <c r="C377" i="3"/>
  <c r="F354" i="3"/>
  <c r="E355" i="3"/>
  <c r="F355" i="3" l="1"/>
  <c r="E356" i="3"/>
  <c r="B379" i="3"/>
  <c r="C378" i="3"/>
  <c r="B380" i="3" l="1"/>
  <c r="C379" i="3"/>
  <c r="F356" i="3"/>
  <c r="E357" i="3"/>
  <c r="F357" i="3" l="1"/>
  <c r="E358" i="3"/>
  <c r="B381" i="3"/>
  <c r="C380" i="3"/>
  <c r="B382" i="3" l="1"/>
  <c r="C381" i="3"/>
  <c r="F358" i="3"/>
  <c r="E359" i="3"/>
  <c r="F359" i="3" l="1"/>
  <c r="E360" i="3"/>
  <c r="B383" i="3"/>
  <c r="C382" i="3"/>
  <c r="B384" i="3" l="1"/>
  <c r="C383" i="3"/>
  <c r="F360" i="3"/>
  <c r="E361" i="3"/>
  <c r="F361" i="3" l="1"/>
  <c r="E362" i="3"/>
  <c r="B385" i="3"/>
  <c r="C384" i="3"/>
  <c r="B386" i="3" l="1"/>
  <c r="C385" i="3"/>
  <c r="F362" i="3"/>
  <c r="E363" i="3"/>
  <c r="F363" i="3" l="1"/>
  <c r="E364" i="3"/>
  <c r="B387" i="3"/>
  <c r="C386" i="3"/>
  <c r="B388" i="3" l="1"/>
  <c r="C387" i="3"/>
  <c r="F364" i="3"/>
  <c r="E365" i="3"/>
  <c r="F365" i="3" l="1"/>
  <c r="E366" i="3"/>
  <c r="B389" i="3"/>
  <c r="C388" i="3"/>
  <c r="B390" i="3" l="1"/>
  <c r="C389" i="3"/>
  <c r="F366" i="3"/>
  <c r="E367" i="3"/>
  <c r="F367" i="3" l="1"/>
  <c r="E368" i="3"/>
  <c r="B391" i="3"/>
  <c r="C390" i="3"/>
  <c r="B392" i="3" l="1"/>
  <c r="C391" i="3"/>
  <c r="F368" i="3"/>
  <c r="E369" i="3"/>
  <c r="F369" i="3" l="1"/>
  <c r="E370" i="3"/>
  <c r="B393" i="3"/>
  <c r="C392" i="3"/>
  <c r="B394" i="3" l="1"/>
  <c r="C393" i="3"/>
  <c r="F370" i="3"/>
  <c r="E371" i="3"/>
  <c r="F371" i="3" l="1"/>
  <c r="E372" i="3"/>
  <c r="B395" i="3"/>
  <c r="C394" i="3"/>
  <c r="B396" i="3" l="1"/>
  <c r="C395" i="3"/>
  <c r="F372" i="3"/>
  <c r="E373" i="3"/>
  <c r="F373" i="3" l="1"/>
  <c r="E374" i="3"/>
  <c r="B397" i="3"/>
  <c r="C396" i="3"/>
  <c r="B398" i="3" l="1"/>
  <c r="C397" i="3"/>
  <c r="F374" i="3"/>
  <c r="E375" i="3"/>
  <c r="F375" i="3" l="1"/>
  <c r="E376" i="3"/>
  <c r="B399" i="3"/>
  <c r="C398" i="3"/>
  <c r="B400" i="3" l="1"/>
  <c r="C399" i="3"/>
  <c r="F376" i="3"/>
  <c r="E377" i="3"/>
  <c r="F377" i="3" l="1"/>
  <c r="E378" i="3"/>
  <c r="B401" i="3"/>
  <c r="C400" i="3"/>
  <c r="B402" i="3" l="1"/>
  <c r="C401" i="3"/>
  <c r="F378" i="3"/>
  <c r="E379" i="3"/>
  <c r="F379" i="3" l="1"/>
  <c r="E380" i="3"/>
  <c r="B403" i="3"/>
  <c r="C402" i="3"/>
  <c r="B404" i="3" l="1"/>
  <c r="C403" i="3"/>
  <c r="F380" i="3"/>
  <c r="E381" i="3"/>
  <c r="F381" i="3" l="1"/>
  <c r="E382" i="3"/>
  <c r="B405" i="3"/>
  <c r="C404" i="3"/>
  <c r="B406" i="3" l="1"/>
  <c r="C405" i="3"/>
  <c r="F382" i="3"/>
  <c r="E383" i="3"/>
  <c r="F383" i="3" l="1"/>
  <c r="E384" i="3"/>
  <c r="B407" i="3"/>
  <c r="C406" i="3"/>
  <c r="B408" i="3" l="1"/>
  <c r="C407" i="3"/>
  <c r="F384" i="3"/>
  <c r="E385" i="3"/>
  <c r="F385" i="3" l="1"/>
  <c r="E386" i="3"/>
  <c r="B409" i="3"/>
  <c r="C408" i="3"/>
  <c r="B410" i="3" l="1"/>
  <c r="C409" i="3"/>
  <c r="F386" i="3"/>
  <c r="E387" i="3"/>
  <c r="F387" i="3" l="1"/>
  <c r="E388" i="3"/>
  <c r="B411" i="3"/>
  <c r="C410" i="3"/>
  <c r="B412" i="3" l="1"/>
  <c r="C411" i="3"/>
  <c r="F388" i="3"/>
  <c r="E389" i="3"/>
  <c r="F389" i="3" l="1"/>
  <c r="E390" i="3"/>
  <c r="B413" i="3"/>
  <c r="C412" i="3"/>
  <c r="B414" i="3" l="1"/>
  <c r="C413" i="3"/>
  <c r="F390" i="3"/>
  <c r="E391" i="3"/>
  <c r="F391" i="3" l="1"/>
  <c r="E392" i="3"/>
  <c r="B415" i="3"/>
  <c r="C414" i="3"/>
  <c r="B416" i="3" l="1"/>
  <c r="C415" i="3"/>
  <c r="F392" i="3"/>
  <c r="E393" i="3"/>
  <c r="F393" i="3" l="1"/>
  <c r="E394" i="3"/>
  <c r="B417" i="3"/>
  <c r="C416" i="3"/>
  <c r="B418" i="3" l="1"/>
  <c r="C417" i="3"/>
  <c r="F394" i="3"/>
  <c r="E395" i="3"/>
  <c r="F395" i="3" l="1"/>
  <c r="E396" i="3"/>
  <c r="B419" i="3"/>
  <c r="C418" i="3"/>
  <c r="B420" i="3" l="1"/>
  <c r="C419" i="3"/>
  <c r="F396" i="3"/>
  <c r="E397" i="3"/>
  <c r="F397" i="3" l="1"/>
  <c r="E398" i="3"/>
  <c r="B421" i="3"/>
  <c r="C420" i="3"/>
  <c r="B422" i="3" l="1"/>
  <c r="C421" i="3"/>
  <c r="F398" i="3"/>
  <c r="E399" i="3"/>
  <c r="F399" i="3" l="1"/>
  <c r="E400" i="3"/>
  <c r="B423" i="3"/>
  <c r="C422" i="3"/>
  <c r="B424" i="3" l="1"/>
  <c r="C423" i="3"/>
  <c r="F400" i="3"/>
  <c r="E401" i="3"/>
  <c r="F401" i="3" l="1"/>
  <c r="E402" i="3"/>
  <c r="B425" i="3"/>
  <c r="C424" i="3"/>
  <c r="B426" i="3" l="1"/>
  <c r="C425" i="3"/>
  <c r="F402" i="3"/>
  <c r="E403" i="3"/>
  <c r="F403" i="3" l="1"/>
  <c r="E404" i="3"/>
  <c r="B427" i="3"/>
  <c r="C426" i="3"/>
  <c r="B428" i="3" l="1"/>
  <c r="C427" i="3"/>
  <c r="F404" i="3"/>
  <c r="E405" i="3"/>
  <c r="F405" i="3" l="1"/>
  <c r="E406" i="3"/>
  <c r="B429" i="3"/>
  <c r="C428" i="3"/>
  <c r="B430" i="3" l="1"/>
  <c r="C429" i="3"/>
  <c r="F406" i="3"/>
  <c r="E407" i="3"/>
  <c r="F407" i="3" l="1"/>
  <c r="E408" i="3"/>
  <c r="B431" i="3"/>
  <c r="C430" i="3"/>
  <c r="B432" i="3" l="1"/>
  <c r="C431" i="3"/>
  <c r="F408" i="3"/>
  <c r="E409" i="3"/>
  <c r="F409" i="3" l="1"/>
  <c r="E410" i="3"/>
  <c r="B433" i="3"/>
  <c r="C432" i="3"/>
  <c r="B434" i="3" l="1"/>
  <c r="C433" i="3"/>
  <c r="F410" i="3"/>
  <c r="E411" i="3"/>
  <c r="F411" i="3" l="1"/>
  <c r="E412" i="3"/>
  <c r="B435" i="3"/>
  <c r="C434" i="3"/>
  <c r="B436" i="3" l="1"/>
  <c r="C435" i="3"/>
  <c r="F412" i="3"/>
  <c r="E413" i="3"/>
  <c r="F413" i="3" l="1"/>
  <c r="E414" i="3"/>
  <c r="B437" i="3"/>
  <c r="C436" i="3"/>
  <c r="B438" i="3" l="1"/>
  <c r="C437" i="3"/>
  <c r="F414" i="3"/>
  <c r="E415" i="3"/>
  <c r="F415" i="3" l="1"/>
  <c r="E416" i="3"/>
  <c r="B439" i="3"/>
  <c r="C438" i="3"/>
  <c r="B440" i="3" l="1"/>
  <c r="C439" i="3"/>
  <c r="F416" i="3"/>
  <c r="E417" i="3"/>
  <c r="F417" i="3" l="1"/>
  <c r="E418" i="3"/>
  <c r="B441" i="3"/>
  <c r="C440" i="3"/>
  <c r="B442" i="3" l="1"/>
  <c r="C441" i="3"/>
  <c r="F418" i="3"/>
  <c r="E419" i="3"/>
  <c r="F419" i="3" l="1"/>
  <c r="E420" i="3"/>
  <c r="B443" i="3"/>
  <c r="C442" i="3"/>
  <c r="B444" i="3" l="1"/>
  <c r="C443" i="3"/>
  <c r="F420" i="3"/>
  <c r="E421" i="3"/>
  <c r="F421" i="3" l="1"/>
  <c r="E422" i="3"/>
  <c r="B445" i="3"/>
  <c r="C444" i="3"/>
  <c r="B446" i="3" l="1"/>
  <c r="C445" i="3"/>
  <c r="F422" i="3"/>
  <c r="E423" i="3"/>
  <c r="F423" i="3" l="1"/>
  <c r="E424" i="3"/>
  <c r="B447" i="3"/>
  <c r="C446" i="3"/>
  <c r="B448" i="3" l="1"/>
  <c r="C447" i="3"/>
  <c r="F424" i="3"/>
  <c r="E425" i="3"/>
  <c r="F425" i="3" l="1"/>
  <c r="E426" i="3"/>
  <c r="B449" i="3"/>
  <c r="C448" i="3"/>
  <c r="B450" i="3" l="1"/>
  <c r="C449" i="3"/>
  <c r="F426" i="3"/>
  <c r="E427" i="3"/>
  <c r="F427" i="3" l="1"/>
  <c r="E428" i="3"/>
  <c r="B451" i="3"/>
  <c r="C450" i="3"/>
  <c r="B452" i="3" l="1"/>
  <c r="C451" i="3"/>
  <c r="F428" i="3"/>
  <c r="E429" i="3"/>
  <c r="F429" i="3" l="1"/>
  <c r="E430" i="3"/>
  <c r="B453" i="3"/>
  <c r="C452" i="3"/>
  <c r="B454" i="3" l="1"/>
  <c r="C453" i="3"/>
  <c r="F430" i="3"/>
  <c r="E431" i="3"/>
  <c r="F431" i="3" l="1"/>
  <c r="E432" i="3"/>
  <c r="B455" i="3"/>
  <c r="C454" i="3"/>
  <c r="B456" i="3" l="1"/>
  <c r="C455" i="3"/>
  <c r="F432" i="3"/>
  <c r="E433" i="3"/>
  <c r="F433" i="3" l="1"/>
  <c r="E434" i="3"/>
  <c r="B457" i="3"/>
  <c r="C456" i="3"/>
  <c r="B458" i="3" l="1"/>
  <c r="C457" i="3"/>
  <c r="F434" i="3"/>
  <c r="E435" i="3"/>
  <c r="F435" i="3" l="1"/>
  <c r="E436" i="3"/>
  <c r="B459" i="3"/>
  <c r="C458" i="3"/>
  <c r="B460" i="3" l="1"/>
  <c r="C459" i="3"/>
  <c r="F436" i="3"/>
  <c r="E437" i="3"/>
  <c r="F437" i="3" l="1"/>
  <c r="E438" i="3"/>
  <c r="B461" i="3"/>
  <c r="C460" i="3"/>
  <c r="B462" i="3" l="1"/>
  <c r="C461" i="3"/>
  <c r="F438" i="3"/>
  <c r="E439" i="3"/>
  <c r="F439" i="3" l="1"/>
  <c r="E440" i="3"/>
  <c r="B463" i="3"/>
  <c r="C462" i="3"/>
  <c r="B464" i="3" l="1"/>
  <c r="C463" i="3"/>
  <c r="F440" i="3"/>
  <c r="E441" i="3"/>
  <c r="F441" i="3" l="1"/>
  <c r="E442" i="3"/>
  <c r="B465" i="3"/>
  <c r="C464" i="3"/>
  <c r="B466" i="3" l="1"/>
  <c r="C465" i="3"/>
  <c r="F442" i="3"/>
  <c r="E443" i="3"/>
  <c r="F443" i="3" l="1"/>
  <c r="E444" i="3"/>
  <c r="B467" i="3"/>
  <c r="C466" i="3"/>
  <c r="B468" i="3" l="1"/>
  <c r="C467" i="3"/>
  <c r="F444" i="3"/>
  <c r="E445" i="3"/>
  <c r="F445" i="3" l="1"/>
  <c r="E446" i="3"/>
  <c r="B469" i="3"/>
  <c r="C468" i="3"/>
  <c r="B470" i="3" l="1"/>
  <c r="C469" i="3"/>
  <c r="F446" i="3"/>
  <c r="E447" i="3"/>
  <c r="F447" i="3" l="1"/>
  <c r="E448" i="3"/>
  <c r="B471" i="3"/>
  <c r="C470" i="3"/>
  <c r="B472" i="3" l="1"/>
  <c r="C471" i="3"/>
  <c r="F448" i="3"/>
  <c r="E449" i="3"/>
  <c r="F449" i="3" l="1"/>
  <c r="E450" i="3"/>
  <c r="B473" i="3"/>
  <c r="C472" i="3"/>
  <c r="B474" i="3" l="1"/>
  <c r="C473" i="3"/>
  <c r="F450" i="3"/>
  <c r="E451" i="3"/>
  <c r="F451" i="3" l="1"/>
  <c r="E452" i="3"/>
  <c r="B475" i="3"/>
  <c r="C474" i="3"/>
  <c r="B476" i="3" l="1"/>
  <c r="C475" i="3"/>
  <c r="F452" i="3"/>
  <c r="E453" i="3"/>
  <c r="F453" i="3" l="1"/>
  <c r="E454" i="3"/>
  <c r="B477" i="3"/>
  <c r="C476" i="3"/>
  <c r="B478" i="3" l="1"/>
  <c r="C477" i="3"/>
  <c r="F454" i="3"/>
  <c r="E455" i="3"/>
  <c r="F455" i="3" l="1"/>
  <c r="E456" i="3"/>
  <c r="B479" i="3"/>
  <c r="C478" i="3"/>
  <c r="B480" i="3" l="1"/>
  <c r="C479" i="3"/>
  <c r="F456" i="3"/>
  <c r="E457" i="3"/>
  <c r="F457" i="3" l="1"/>
  <c r="E458" i="3"/>
  <c r="B481" i="3"/>
  <c r="C480" i="3"/>
  <c r="B482" i="3" l="1"/>
  <c r="C481" i="3"/>
  <c r="F458" i="3"/>
  <c r="E459" i="3"/>
  <c r="F459" i="3" l="1"/>
  <c r="E460" i="3"/>
  <c r="B483" i="3"/>
  <c r="C482" i="3"/>
  <c r="B484" i="3" l="1"/>
  <c r="C483" i="3"/>
  <c r="F460" i="3"/>
  <c r="E461" i="3"/>
  <c r="F461" i="3" l="1"/>
  <c r="E462" i="3"/>
  <c r="B485" i="3"/>
  <c r="C484" i="3"/>
  <c r="B486" i="3" l="1"/>
  <c r="C485" i="3"/>
  <c r="F462" i="3"/>
  <c r="E463" i="3"/>
  <c r="F463" i="3" l="1"/>
  <c r="E464" i="3"/>
  <c r="B487" i="3"/>
  <c r="C486" i="3"/>
  <c r="B488" i="3" l="1"/>
  <c r="C487" i="3"/>
  <c r="F464" i="3"/>
  <c r="E465" i="3"/>
  <c r="F465" i="3" l="1"/>
  <c r="E466" i="3"/>
  <c r="B489" i="3"/>
  <c r="C488" i="3"/>
  <c r="B490" i="3" l="1"/>
  <c r="C489" i="3"/>
  <c r="F466" i="3"/>
  <c r="E467" i="3"/>
  <c r="F467" i="3" l="1"/>
  <c r="E468" i="3"/>
  <c r="B491" i="3"/>
  <c r="C490" i="3"/>
  <c r="B492" i="3" l="1"/>
  <c r="C491" i="3"/>
  <c r="F468" i="3"/>
  <c r="E469" i="3"/>
  <c r="F469" i="3" l="1"/>
  <c r="E470" i="3"/>
  <c r="B493" i="3"/>
  <c r="C492" i="3"/>
  <c r="B494" i="3" l="1"/>
  <c r="C493" i="3"/>
  <c r="F470" i="3"/>
  <c r="E471" i="3"/>
  <c r="F471" i="3" l="1"/>
  <c r="E472" i="3"/>
  <c r="B495" i="3"/>
  <c r="C494" i="3"/>
  <c r="B496" i="3" l="1"/>
  <c r="C495" i="3"/>
  <c r="F472" i="3"/>
  <c r="E473" i="3"/>
  <c r="F473" i="3" l="1"/>
  <c r="E474" i="3"/>
  <c r="B497" i="3"/>
  <c r="C496" i="3"/>
  <c r="B498" i="3" l="1"/>
  <c r="C497" i="3"/>
  <c r="F474" i="3"/>
  <c r="E475" i="3"/>
  <c r="F475" i="3" l="1"/>
  <c r="E476" i="3"/>
  <c r="B499" i="3"/>
  <c r="C498" i="3"/>
  <c r="B500" i="3" l="1"/>
  <c r="C499" i="3"/>
  <c r="F476" i="3"/>
  <c r="E477" i="3"/>
  <c r="F477" i="3" l="1"/>
  <c r="E478" i="3"/>
  <c r="B501" i="3"/>
  <c r="C500" i="3"/>
  <c r="B502" i="3" l="1"/>
  <c r="C501" i="3"/>
  <c r="F478" i="3"/>
  <c r="E479" i="3"/>
  <c r="F479" i="3" l="1"/>
  <c r="E480" i="3"/>
  <c r="B503" i="3"/>
  <c r="C502" i="3"/>
  <c r="B504" i="3" l="1"/>
  <c r="C503" i="3"/>
  <c r="F480" i="3"/>
  <c r="E481" i="3"/>
  <c r="F481" i="3" l="1"/>
  <c r="E482" i="3"/>
  <c r="B505" i="3"/>
  <c r="C504" i="3"/>
  <c r="B506" i="3" l="1"/>
  <c r="C505" i="3"/>
  <c r="F482" i="3"/>
  <c r="E483" i="3"/>
  <c r="F483" i="3" l="1"/>
  <c r="E484" i="3"/>
  <c r="B507" i="3"/>
  <c r="C506" i="3"/>
  <c r="B508" i="3" l="1"/>
  <c r="C507" i="3"/>
  <c r="F484" i="3"/>
  <c r="E485" i="3"/>
  <c r="F485" i="3" l="1"/>
  <c r="E486" i="3"/>
  <c r="B509" i="3"/>
  <c r="C508" i="3"/>
  <c r="B510" i="3" l="1"/>
  <c r="C509" i="3"/>
  <c r="F486" i="3"/>
  <c r="E487" i="3"/>
  <c r="F487" i="3" l="1"/>
  <c r="E488" i="3"/>
  <c r="B511" i="3"/>
  <c r="C510" i="3"/>
  <c r="B512" i="3" l="1"/>
  <c r="C511" i="3"/>
  <c r="F488" i="3"/>
  <c r="E489" i="3"/>
  <c r="F489" i="3" l="1"/>
  <c r="E490" i="3"/>
  <c r="B513" i="3"/>
  <c r="C512" i="3"/>
  <c r="B514" i="3" l="1"/>
  <c r="C513" i="3"/>
  <c r="F490" i="3"/>
  <c r="E491" i="3"/>
  <c r="F491" i="3" l="1"/>
  <c r="E492" i="3"/>
  <c r="B515" i="3"/>
  <c r="C514" i="3"/>
  <c r="B516" i="3" l="1"/>
  <c r="C515" i="3"/>
  <c r="F492" i="3"/>
  <c r="E493" i="3"/>
  <c r="F493" i="3" l="1"/>
  <c r="E494" i="3"/>
  <c r="B517" i="3"/>
  <c r="C516" i="3"/>
  <c r="B518" i="3" l="1"/>
  <c r="C517" i="3"/>
  <c r="F494" i="3"/>
  <c r="E495" i="3"/>
  <c r="F495" i="3" l="1"/>
  <c r="E496" i="3"/>
  <c r="B519" i="3"/>
  <c r="C518" i="3"/>
  <c r="B520" i="3" l="1"/>
  <c r="C519" i="3"/>
  <c r="F496" i="3"/>
  <c r="E497" i="3"/>
  <c r="F497" i="3" l="1"/>
  <c r="E498" i="3"/>
  <c r="B521" i="3"/>
  <c r="C520" i="3"/>
  <c r="B522" i="3" l="1"/>
  <c r="C521" i="3"/>
  <c r="F498" i="3"/>
  <c r="E499" i="3"/>
  <c r="F499" i="3" l="1"/>
  <c r="E500" i="3"/>
  <c r="C522" i="3"/>
  <c r="B523" i="3"/>
  <c r="B524" i="3" l="1"/>
  <c r="C523" i="3"/>
  <c r="F500" i="3"/>
  <c r="E501" i="3"/>
  <c r="F501" i="3" l="1"/>
  <c r="E502" i="3"/>
  <c r="B525" i="3"/>
  <c r="C524" i="3"/>
  <c r="B526" i="3" l="1"/>
  <c r="C525" i="3"/>
  <c r="F502" i="3"/>
  <c r="E503" i="3"/>
  <c r="F503" i="3" l="1"/>
  <c r="E504" i="3"/>
  <c r="B527" i="3"/>
  <c r="C526" i="3"/>
  <c r="B528" i="3" l="1"/>
  <c r="C527" i="3"/>
  <c r="F504" i="3"/>
  <c r="E505" i="3"/>
  <c r="F505" i="3" l="1"/>
  <c r="E506" i="3"/>
  <c r="B529" i="3"/>
  <c r="C528" i="3"/>
  <c r="B530" i="3" l="1"/>
  <c r="C529" i="3"/>
  <c r="F506" i="3"/>
  <c r="E507" i="3"/>
  <c r="F507" i="3" l="1"/>
  <c r="E508" i="3"/>
  <c r="B531" i="3"/>
  <c r="C530" i="3"/>
  <c r="B532" i="3" l="1"/>
  <c r="C531" i="3"/>
  <c r="F508" i="3"/>
  <c r="E509" i="3"/>
  <c r="F509" i="3" l="1"/>
  <c r="E510" i="3"/>
  <c r="C532" i="3"/>
  <c r="B533" i="3"/>
  <c r="B534" i="3" l="1"/>
  <c r="C533" i="3"/>
  <c r="F510" i="3"/>
  <c r="E511" i="3"/>
  <c r="F511" i="3" l="1"/>
  <c r="E512" i="3"/>
  <c r="B535" i="3"/>
  <c r="C534" i="3"/>
  <c r="C535" i="3" l="1"/>
  <c r="B536" i="3"/>
  <c r="F512" i="3"/>
  <c r="E513" i="3"/>
  <c r="F513" i="3" l="1"/>
  <c r="E514" i="3"/>
  <c r="B537" i="3"/>
  <c r="C536" i="3"/>
  <c r="B538" i="3" l="1"/>
  <c r="C537" i="3"/>
  <c r="F514" i="3"/>
  <c r="E515" i="3"/>
  <c r="F515" i="3" l="1"/>
  <c r="E516" i="3"/>
  <c r="B539" i="3"/>
  <c r="C538" i="3"/>
  <c r="B540" i="3" l="1"/>
  <c r="C539" i="3"/>
  <c r="F516" i="3"/>
  <c r="E517" i="3"/>
  <c r="F517" i="3" l="1"/>
  <c r="E518" i="3"/>
  <c r="B541" i="3"/>
  <c r="C540" i="3"/>
  <c r="C541" i="3" l="1"/>
  <c r="B542" i="3"/>
  <c r="F518" i="3"/>
  <c r="E519" i="3"/>
  <c r="F519" i="3" l="1"/>
  <c r="E520" i="3"/>
  <c r="B543" i="3"/>
  <c r="C542" i="3"/>
  <c r="B544" i="3" l="1"/>
  <c r="C543" i="3"/>
  <c r="F520" i="3"/>
  <c r="E521" i="3"/>
  <c r="F521" i="3" l="1"/>
  <c r="E522" i="3"/>
  <c r="B545" i="3"/>
  <c r="C544" i="3"/>
  <c r="B546" i="3" l="1"/>
  <c r="C545" i="3"/>
  <c r="F522" i="3"/>
  <c r="E523" i="3"/>
  <c r="F523" i="3" l="1"/>
  <c r="E524" i="3"/>
  <c r="B547" i="3"/>
  <c r="C546" i="3"/>
  <c r="B548" i="3" l="1"/>
  <c r="C547" i="3"/>
  <c r="F524" i="3"/>
  <c r="E525" i="3"/>
  <c r="F525" i="3" l="1"/>
  <c r="E526" i="3"/>
  <c r="B549" i="3"/>
  <c r="C548" i="3"/>
  <c r="B550" i="3" l="1"/>
  <c r="C549" i="3"/>
  <c r="F526" i="3"/>
  <c r="E527" i="3"/>
  <c r="F527" i="3" l="1"/>
  <c r="E528" i="3"/>
  <c r="B551" i="3"/>
  <c r="C550" i="3"/>
  <c r="C551" i="3" l="1"/>
  <c r="B552" i="3"/>
  <c r="F528" i="3"/>
  <c r="E529" i="3"/>
  <c r="F529" i="3" l="1"/>
  <c r="E530" i="3"/>
  <c r="C552" i="3"/>
  <c r="B553" i="3"/>
  <c r="B554" i="3" l="1"/>
  <c r="C553" i="3"/>
  <c r="F530" i="3"/>
  <c r="E531" i="3"/>
  <c r="F531" i="3" l="1"/>
  <c r="E532" i="3"/>
  <c r="B555" i="3"/>
  <c r="C554" i="3"/>
  <c r="B556" i="3" l="1"/>
  <c r="C555" i="3"/>
  <c r="F532" i="3"/>
  <c r="E533" i="3"/>
  <c r="F533" i="3" l="1"/>
  <c r="E534" i="3"/>
  <c r="B557" i="3"/>
  <c r="C556" i="3"/>
  <c r="B558" i="3" l="1"/>
  <c r="C557" i="3"/>
  <c r="F534" i="3"/>
  <c r="E535" i="3"/>
  <c r="F535" i="3" l="1"/>
  <c r="E536" i="3"/>
  <c r="B559" i="3"/>
  <c r="C558" i="3"/>
  <c r="B560" i="3" l="1"/>
  <c r="C559" i="3"/>
  <c r="F536" i="3"/>
  <c r="E537" i="3"/>
  <c r="F537" i="3" l="1"/>
  <c r="E538" i="3"/>
  <c r="B561" i="3"/>
  <c r="C560" i="3"/>
  <c r="B562" i="3" l="1"/>
  <c r="C561" i="3"/>
  <c r="F538" i="3"/>
  <c r="E539" i="3"/>
  <c r="F539" i="3" l="1"/>
  <c r="E540" i="3"/>
  <c r="B563" i="3"/>
  <c r="C562" i="3"/>
  <c r="B564" i="3" l="1"/>
  <c r="C563" i="3"/>
  <c r="F540" i="3"/>
  <c r="E541" i="3"/>
  <c r="F541" i="3" l="1"/>
  <c r="E542" i="3"/>
  <c r="B565" i="3"/>
  <c r="C564" i="3"/>
  <c r="B566" i="3" l="1"/>
  <c r="C565" i="3"/>
  <c r="F542" i="3"/>
  <c r="E543" i="3"/>
  <c r="F543" i="3" l="1"/>
  <c r="E544" i="3"/>
  <c r="C566" i="3"/>
  <c r="B567" i="3"/>
  <c r="B568" i="3" l="1"/>
  <c r="C567" i="3"/>
  <c r="F544" i="3"/>
  <c r="E545" i="3"/>
  <c r="F545" i="3" l="1"/>
  <c r="E546" i="3"/>
  <c r="B569" i="3"/>
  <c r="C568" i="3"/>
  <c r="C569" i="3" l="1"/>
  <c r="B570" i="3"/>
  <c r="F546" i="3"/>
  <c r="E547" i="3"/>
  <c r="F547" i="3" l="1"/>
  <c r="E548" i="3"/>
  <c r="B571" i="3"/>
  <c r="C570" i="3"/>
  <c r="B572" i="3" l="1"/>
  <c r="C571" i="3"/>
  <c r="F548" i="3"/>
  <c r="E549" i="3"/>
  <c r="F549" i="3" l="1"/>
  <c r="E550" i="3"/>
  <c r="B573" i="3"/>
  <c r="C572" i="3"/>
  <c r="B574" i="3" l="1"/>
  <c r="C573" i="3"/>
  <c r="F550" i="3"/>
  <c r="E551" i="3"/>
  <c r="F551" i="3" l="1"/>
  <c r="E552" i="3"/>
  <c r="B575" i="3"/>
  <c r="C574" i="3"/>
  <c r="B576" i="3" l="1"/>
  <c r="C575" i="3"/>
  <c r="F552" i="3"/>
  <c r="E553" i="3"/>
  <c r="F553" i="3" l="1"/>
  <c r="E554" i="3"/>
  <c r="B577" i="3"/>
  <c r="C576" i="3"/>
  <c r="B578" i="3" l="1"/>
  <c r="C577" i="3"/>
  <c r="F554" i="3"/>
  <c r="E555" i="3"/>
  <c r="F555" i="3" l="1"/>
  <c r="E556" i="3"/>
  <c r="B579" i="3"/>
  <c r="C578" i="3"/>
  <c r="B580" i="3" l="1"/>
  <c r="C579" i="3"/>
  <c r="F556" i="3"/>
  <c r="E557" i="3"/>
  <c r="F557" i="3" l="1"/>
  <c r="E558" i="3"/>
  <c r="B581" i="3"/>
  <c r="C580" i="3"/>
  <c r="B582" i="3" l="1"/>
  <c r="C581" i="3"/>
  <c r="F558" i="3"/>
  <c r="E559" i="3"/>
  <c r="F559" i="3" l="1"/>
  <c r="E560" i="3"/>
  <c r="B583" i="3"/>
  <c r="C582" i="3"/>
  <c r="B584" i="3" l="1"/>
  <c r="C583" i="3"/>
  <c r="F560" i="3"/>
  <c r="E561" i="3"/>
  <c r="F561" i="3" l="1"/>
  <c r="E562" i="3"/>
  <c r="B585" i="3"/>
  <c r="C584" i="3"/>
  <c r="B586" i="3" l="1"/>
  <c r="C585" i="3"/>
  <c r="F562" i="3"/>
  <c r="E563" i="3"/>
  <c r="F563" i="3" l="1"/>
  <c r="E564" i="3"/>
  <c r="B587" i="3"/>
  <c r="C586" i="3"/>
  <c r="B588" i="3" l="1"/>
  <c r="C587" i="3"/>
  <c r="F564" i="3"/>
  <c r="E565" i="3"/>
  <c r="F565" i="3" l="1"/>
  <c r="E566" i="3"/>
  <c r="B589" i="3"/>
  <c r="C588" i="3"/>
  <c r="B590" i="3" l="1"/>
  <c r="C589" i="3"/>
  <c r="F566" i="3"/>
  <c r="E567" i="3"/>
  <c r="F567" i="3" l="1"/>
  <c r="E568" i="3"/>
  <c r="B591" i="3"/>
  <c r="C590" i="3"/>
  <c r="B592" i="3" l="1"/>
  <c r="C591" i="3"/>
  <c r="F568" i="3"/>
  <c r="E569" i="3"/>
  <c r="F569" i="3" l="1"/>
  <c r="E570" i="3"/>
  <c r="B593" i="3"/>
  <c r="C592" i="3"/>
  <c r="B594" i="3" l="1"/>
  <c r="C593" i="3"/>
  <c r="F570" i="3"/>
  <c r="E571" i="3"/>
  <c r="F571" i="3" l="1"/>
  <c r="E572" i="3"/>
  <c r="B595" i="3"/>
  <c r="C594" i="3"/>
  <c r="B596" i="3" l="1"/>
  <c r="C595" i="3"/>
  <c r="F572" i="3"/>
  <c r="E573" i="3"/>
  <c r="F573" i="3" l="1"/>
  <c r="E574" i="3"/>
  <c r="B597" i="3"/>
  <c r="C596" i="3"/>
  <c r="B598" i="3" l="1"/>
  <c r="C597" i="3"/>
  <c r="F574" i="3"/>
  <c r="E575" i="3"/>
  <c r="F575" i="3" l="1"/>
  <c r="E576" i="3"/>
  <c r="B599" i="3"/>
  <c r="C598" i="3"/>
  <c r="B600" i="3" l="1"/>
  <c r="C599" i="3"/>
  <c r="F576" i="3"/>
  <c r="E577" i="3"/>
  <c r="F577" i="3" l="1"/>
  <c r="E578" i="3"/>
  <c r="B601" i="3"/>
  <c r="C600" i="3"/>
  <c r="B602" i="3" l="1"/>
  <c r="C601" i="3"/>
  <c r="F578" i="3"/>
  <c r="E579" i="3"/>
  <c r="F579" i="3" l="1"/>
  <c r="E580" i="3"/>
  <c r="B603" i="3"/>
  <c r="C602" i="3"/>
  <c r="B604" i="3" l="1"/>
  <c r="C603" i="3"/>
  <c r="F580" i="3"/>
  <c r="E581" i="3"/>
  <c r="F581" i="3" l="1"/>
  <c r="E582" i="3"/>
  <c r="B605" i="3"/>
  <c r="C604" i="3"/>
  <c r="B606" i="3" l="1"/>
  <c r="C605" i="3"/>
  <c r="F582" i="3"/>
  <c r="E583" i="3"/>
  <c r="F583" i="3" l="1"/>
  <c r="E584" i="3"/>
  <c r="B607" i="3"/>
  <c r="C606" i="3"/>
  <c r="B608" i="3" l="1"/>
  <c r="C607" i="3"/>
  <c r="F584" i="3"/>
  <c r="E585" i="3"/>
  <c r="F585" i="3" l="1"/>
  <c r="E586" i="3"/>
  <c r="B609" i="3"/>
  <c r="C608" i="3"/>
  <c r="B610" i="3" l="1"/>
  <c r="C609" i="3"/>
  <c r="F586" i="3"/>
  <c r="E587" i="3"/>
  <c r="F587" i="3" l="1"/>
  <c r="E588" i="3"/>
  <c r="B611" i="3"/>
  <c r="C610" i="3"/>
  <c r="B612" i="3" l="1"/>
  <c r="C611" i="3"/>
  <c r="F588" i="3"/>
  <c r="E589" i="3"/>
  <c r="F589" i="3" l="1"/>
  <c r="E590" i="3"/>
  <c r="B613" i="3"/>
  <c r="C612" i="3"/>
  <c r="B614" i="3" l="1"/>
  <c r="C613" i="3"/>
  <c r="F590" i="3"/>
  <c r="E591" i="3"/>
  <c r="F591" i="3" l="1"/>
  <c r="E592" i="3"/>
  <c r="B615" i="3"/>
  <c r="C614" i="3"/>
  <c r="B616" i="3" l="1"/>
  <c r="C615" i="3"/>
  <c r="F592" i="3"/>
  <c r="E593" i="3"/>
  <c r="F593" i="3" l="1"/>
  <c r="E594" i="3"/>
  <c r="B617" i="3"/>
  <c r="C616" i="3"/>
  <c r="B618" i="3" l="1"/>
  <c r="C617" i="3"/>
  <c r="F594" i="3"/>
  <c r="E595" i="3"/>
  <c r="F595" i="3" l="1"/>
  <c r="E596" i="3"/>
  <c r="B619" i="3"/>
  <c r="C618" i="3"/>
  <c r="B620" i="3" l="1"/>
  <c r="C619" i="3"/>
  <c r="F596" i="3"/>
  <c r="E597" i="3"/>
  <c r="F597" i="3" l="1"/>
  <c r="E598" i="3"/>
  <c r="C620" i="3"/>
  <c r="B621" i="3"/>
  <c r="C621" i="3" l="1"/>
  <c r="B622" i="3"/>
  <c r="F598" i="3"/>
  <c r="E599" i="3"/>
  <c r="F599" i="3" l="1"/>
  <c r="E600" i="3"/>
  <c r="B623" i="3"/>
  <c r="C622" i="3"/>
  <c r="B624" i="3" l="1"/>
  <c r="C623" i="3"/>
  <c r="F600" i="3"/>
  <c r="E601" i="3"/>
  <c r="F601" i="3" l="1"/>
  <c r="E602" i="3"/>
  <c r="B625" i="3"/>
  <c r="C624" i="3"/>
  <c r="B626" i="3" l="1"/>
  <c r="C625" i="3"/>
  <c r="F602" i="3"/>
  <c r="E603" i="3"/>
  <c r="F603" i="3" l="1"/>
  <c r="E604" i="3"/>
  <c r="B627" i="3"/>
  <c r="C626" i="3"/>
  <c r="B628" i="3" l="1"/>
  <c r="C627" i="3"/>
  <c r="F604" i="3"/>
  <c r="E605" i="3"/>
  <c r="F605" i="3" l="1"/>
  <c r="E606" i="3"/>
  <c r="B629" i="3"/>
  <c r="C628" i="3"/>
  <c r="B630" i="3" l="1"/>
  <c r="C629" i="3"/>
  <c r="F606" i="3"/>
  <c r="E607" i="3"/>
  <c r="F607" i="3" l="1"/>
  <c r="E608" i="3"/>
  <c r="C630" i="3"/>
  <c r="B631" i="3"/>
  <c r="B632" i="3" l="1"/>
  <c r="C631" i="3"/>
  <c r="F608" i="3"/>
  <c r="E609" i="3"/>
  <c r="F609" i="3" l="1"/>
  <c r="E610" i="3"/>
  <c r="B633" i="3"/>
  <c r="C632" i="3"/>
  <c r="B634" i="3" l="1"/>
  <c r="C633" i="3"/>
  <c r="F610" i="3"/>
  <c r="E611" i="3"/>
  <c r="F611" i="3" l="1"/>
  <c r="E612" i="3"/>
  <c r="B635" i="3"/>
  <c r="C634" i="3"/>
  <c r="B636" i="3" l="1"/>
  <c r="C635" i="3"/>
  <c r="F612" i="3"/>
  <c r="E613" i="3"/>
  <c r="F613" i="3" l="1"/>
  <c r="E614" i="3"/>
  <c r="B637" i="3"/>
  <c r="C636" i="3"/>
  <c r="B638" i="3" l="1"/>
  <c r="C637" i="3"/>
  <c r="F614" i="3"/>
  <c r="E615" i="3"/>
  <c r="F615" i="3" l="1"/>
  <c r="E616" i="3"/>
  <c r="B639" i="3"/>
  <c r="C638" i="3"/>
  <c r="B640" i="3" l="1"/>
  <c r="C639" i="3"/>
  <c r="F616" i="3"/>
  <c r="E617" i="3"/>
  <c r="F617" i="3" l="1"/>
  <c r="E618" i="3"/>
  <c r="B641" i="3"/>
  <c r="C640" i="3"/>
  <c r="B642" i="3" l="1"/>
  <c r="C641" i="3"/>
  <c r="F618" i="3"/>
  <c r="E619" i="3"/>
  <c r="F619" i="3" l="1"/>
  <c r="E620" i="3"/>
  <c r="B643" i="3"/>
  <c r="C642" i="3"/>
  <c r="B644" i="3" l="1"/>
  <c r="C643" i="3"/>
  <c r="F620" i="3"/>
  <c r="E621" i="3"/>
  <c r="F621" i="3" l="1"/>
  <c r="E622" i="3"/>
  <c r="B645" i="3"/>
  <c r="C644" i="3"/>
  <c r="B646" i="3" l="1"/>
  <c r="C645" i="3"/>
  <c r="F622" i="3"/>
  <c r="E623" i="3"/>
  <c r="F623" i="3" l="1"/>
  <c r="E624" i="3"/>
  <c r="B647" i="3"/>
  <c r="C646" i="3"/>
  <c r="B648" i="3" l="1"/>
  <c r="C647" i="3"/>
  <c r="F624" i="3"/>
  <c r="E625" i="3"/>
  <c r="F625" i="3" l="1"/>
  <c r="E626" i="3"/>
  <c r="B649" i="3"/>
  <c r="C648" i="3"/>
  <c r="B650" i="3" l="1"/>
  <c r="C649" i="3"/>
  <c r="F626" i="3"/>
  <c r="E627" i="3"/>
  <c r="F627" i="3" l="1"/>
  <c r="E628" i="3"/>
  <c r="B651" i="3"/>
  <c r="C650" i="3"/>
  <c r="B652" i="3" l="1"/>
  <c r="C651" i="3"/>
  <c r="F628" i="3"/>
  <c r="E629" i="3"/>
  <c r="F629" i="3" l="1"/>
  <c r="E630" i="3"/>
  <c r="B653" i="3"/>
  <c r="C652" i="3"/>
  <c r="B654" i="3" l="1"/>
  <c r="C653" i="3"/>
  <c r="F630" i="3"/>
  <c r="E631" i="3"/>
  <c r="F631" i="3" l="1"/>
  <c r="E632" i="3"/>
  <c r="B655" i="3"/>
  <c r="C654" i="3"/>
  <c r="B656" i="3" l="1"/>
  <c r="C655" i="3"/>
  <c r="F632" i="3"/>
  <c r="E633" i="3"/>
  <c r="F633" i="3" l="1"/>
  <c r="E634" i="3"/>
  <c r="B657" i="3"/>
  <c r="C656" i="3"/>
  <c r="B658" i="3" l="1"/>
  <c r="C657" i="3"/>
  <c r="F634" i="3"/>
  <c r="E635" i="3"/>
  <c r="F635" i="3" l="1"/>
  <c r="E636" i="3"/>
  <c r="B659" i="3"/>
  <c r="C658" i="3"/>
  <c r="B660" i="3" l="1"/>
  <c r="C659" i="3"/>
  <c r="F636" i="3"/>
  <c r="E637" i="3"/>
  <c r="F637" i="3" l="1"/>
  <c r="E638" i="3"/>
  <c r="B661" i="3"/>
  <c r="C660" i="3"/>
  <c r="B662" i="3" l="1"/>
  <c r="C661" i="3"/>
  <c r="F638" i="3"/>
  <c r="E639" i="3"/>
  <c r="F639" i="3" l="1"/>
  <c r="E640" i="3"/>
  <c r="B663" i="3"/>
  <c r="C662" i="3"/>
  <c r="B664" i="3" l="1"/>
  <c r="C663" i="3"/>
  <c r="F640" i="3"/>
  <c r="E641" i="3"/>
  <c r="F641" i="3" l="1"/>
  <c r="E642" i="3"/>
  <c r="B665" i="3"/>
  <c r="C664" i="3"/>
  <c r="B666" i="3" l="1"/>
  <c r="C665" i="3"/>
  <c r="F642" i="3"/>
  <c r="E643" i="3"/>
  <c r="F643" i="3" l="1"/>
  <c r="E644" i="3"/>
  <c r="B667" i="3"/>
  <c r="C666" i="3"/>
  <c r="B668" i="3" l="1"/>
  <c r="C667" i="3"/>
  <c r="F644" i="3"/>
  <c r="E645" i="3"/>
  <c r="F645" i="3" l="1"/>
  <c r="E646" i="3"/>
  <c r="B669" i="3"/>
  <c r="C668" i="3"/>
  <c r="B670" i="3" l="1"/>
  <c r="C669" i="3"/>
  <c r="F646" i="3"/>
  <c r="E647" i="3"/>
  <c r="F647" i="3" l="1"/>
  <c r="E648" i="3"/>
  <c r="B671" i="3"/>
  <c r="C670" i="3"/>
  <c r="B672" i="3" l="1"/>
  <c r="C671" i="3"/>
  <c r="F648" i="3"/>
  <c r="E649" i="3"/>
  <c r="F649" i="3" l="1"/>
  <c r="E650" i="3"/>
  <c r="B673" i="3"/>
  <c r="C672" i="3"/>
  <c r="B674" i="3" l="1"/>
  <c r="C673" i="3"/>
  <c r="F650" i="3"/>
  <c r="E651" i="3"/>
  <c r="F651" i="3" l="1"/>
  <c r="E652" i="3"/>
  <c r="B675" i="3"/>
  <c r="C674" i="3"/>
  <c r="B676" i="3" l="1"/>
  <c r="C675" i="3"/>
  <c r="F652" i="3"/>
  <c r="E653" i="3"/>
  <c r="F653" i="3" l="1"/>
  <c r="E654" i="3"/>
  <c r="B677" i="3"/>
  <c r="C676" i="3"/>
  <c r="B678" i="3" l="1"/>
  <c r="C677" i="3"/>
  <c r="F654" i="3"/>
  <c r="E655" i="3"/>
  <c r="F655" i="3" l="1"/>
  <c r="E656" i="3"/>
  <c r="B679" i="3"/>
  <c r="C678" i="3"/>
  <c r="B680" i="3" l="1"/>
  <c r="C679" i="3"/>
  <c r="F656" i="3"/>
  <c r="E657" i="3"/>
  <c r="F657" i="3" l="1"/>
  <c r="E658" i="3"/>
  <c r="B681" i="3"/>
  <c r="C680" i="3"/>
  <c r="B682" i="3" l="1"/>
  <c r="C681" i="3"/>
  <c r="F658" i="3"/>
  <c r="E659" i="3"/>
  <c r="F659" i="3" l="1"/>
  <c r="E660" i="3"/>
  <c r="B683" i="3"/>
  <c r="C682" i="3"/>
  <c r="B684" i="3" l="1"/>
  <c r="C683" i="3"/>
  <c r="F660" i="3"/>
  <c r="E661" i="3"/>
  <c r="F661" i="3" l="1"/>
  <c r="E662" i="3"/>
  <c r="B685" i="3"/>
  <c r="C684" i="3"/>
  <c r="B686" i="3" l="1"/>
  <c r="C685" i="3"/>
  <c r="F662" i="3"/>
  <c r="E663" i="3"/>
  <c r="F663" i="3" l="1"/>
  <c r="E664" i="3"/>
  <c r="B687" i="3"/>
  <c r="C686" i="3"/>
  <c r="B688" i="3" l="1"/>
  <c r="C687" i="3"/>
  <c r="F664" i="3"/>
  <c r="E665" i="3"/>
  <c r="F665" i="3" l="1"/>
  <c r="E666" i="3"/>
  <c r="B689" i="3"/>
  <c r="C688" i="3"/>
  <c r="B690" i="3" l="1"/>
  <c r="C689" i="3"/>
  <c r="F666" i="3"/>
  <c r="E667" i="3"/>
  <c r="F667" i="3" l="1"/>
  <c r="E668" i="3"/>
  <c r="B691" i="3"/>
  <c r="C690" i="3"/>
  <c r="B692" i="3" l="1"/>
  <c r="C691" i="3"/>
  <c r="F668" i="3"/>
  <c r="E669" i="3"/>
  <c r="F669" i="3" l="1"/>
  <c r="E670" i="3"/>
  <c r="B693" i="3"/>
  <c r="C692" i="3"/>
  <c r="B694" i="3" l="1"/>
  <c r="C693" i="3"/>
  <c r="F670" i="3"/>
  <c r="E671" i="3"/>
  <c r="F671" i="3" l="1"/>
  <c r="E672" i="3"/>
  <c r="B695" i="3"/>
  <c r="C694" i="3"/>
  <c r="B696" i="3" l="1"/>
  <c r="C695" i="3"/>
  <c r="F672" i="3"/>
  <c r="E673" i="3"/>
  <c r="F673" i="3" l="1"/>
  <c r="E674" i="3"/>
  <c r="B697" i="3"/>
  <c r="C696" i="3"/>
  <c r="B698" i="3" l="1"/>
  <c r="C697" i="3"/>
  <c r="F674" i="3"/>
  <c r="E675" i="3"/>
  <c r="F675" i="3" l="1"/>
  <c r="E676" i="3"/>
  <c r="B699" i="3"/>
  <c r="C698" i="3"/>
  <c r="B700" i="3" l="1"/>
  <c r="C699" i="3"/>
  <c r="F676" i="3"/>
  <c r="E677" i="3"/>
  <c r="F677" i="3" l="1"/>
  <c r="E678" i="3"/>
  <c r="B701" i="3"/>
  <c r="C700" i="3"/>
  <c r="B702" i="3" l="1"/>
  <c r="C701" i="3"/>
  <c r="F678" i="3"/>
  <c r="E679" i="3"/>
  <c r="F679" i="3" l="1"/>
  <c r="E680" i="3"/>
  <c r="B703" i="3"/>
  <c r="C702" i="3"/>
  <c r="B704" i="3" l="1"/>
  <c r="C703" i="3"/>
  <c r="F680" i="3"/>
  <c r="E681" i="3"/>
  <c r="F681" i="3" l="1"/>
  <c r="E682" i="3"/>
  <c r="B705" i="3"/>
  <c r="C704" i="3"/>
  <c r="B706" i="3" l="1"/>
  <c r="C705" i="3"/>
  <c r="F682" i="3"/>
  <c r="E683" i="3"/>
  <c r="F683" i="3" l="1"/>
  <c r="E684" i="3"/>
  <c r="B707" i="3"/>
  <c r="C706" i="3"/>
  <c r="B708" i="3" l="1"/>
  <c r="C707" i="3"/>
  <c r="F684" i="3"/>
  <c r="E685" i="3"/>
  <c r="F685" i="3" l="1"/>
  <c r="E686" i="3"/>
  <c r="B709" i="3"/>
  <c r="C708" i="3"/>
  <c r="B710" i="3" l="1"/>
  <c r="C709" i="3"/>
  <c r="F686" i="3"/>
  <c r="E687" i="3"/>
  <c r="F687" i="3" l="1"/>
  <c r="E688" i="3"/>
  <c r="B711" i="3"/>
  <c r="C710" i="3"/>
  <c r="B712" i="3" l="1"/>
  <c r="C711" i="3"/>
  <c r="F688" i="3"/>
  <c r="E689" i="3"/>
  <c r="F689" i="3" l="1"/>
  <c r="E690" i="3"/>
  <c r="B713" i="3"/>
  <c r="C712" i="3"/>
  <c r="B714" i="3" l="1"/>
  <c r="C713" i="3"/>
  <c r="F690" i="3"/>
  <c r="E691" i="3"/>
  <c r="F691" i="3" l="1"/>
  <c r="E692" i="3"/>
  <c r="B715" i="3"/>
  <c r="C714" i="3"/>
  <c r="B716" i="3" l="1"/>
  <c r="C715" i="3"/>
  <c r="F692" i="3"/>
  <c r="E693" i="3"/>
  <c r="F693" i="3" l="1"/>
  <c r="E694" i="3"/>
  <c r="B717" i="3"/>
  <c r="C716" i="3"/>
  <c r="B718" i="3" l="1"/>
  <c r="C717" i="3"/>
  <c r="F694" i="3"/>
  <c r="E695" i="3"/>
  <c r="F695" i="3" l="1"/>
  <c r="E696" i="3"/>
  <c r="B719" i="3"/>
  <c r="C718" i="3"/>
  <c r="B720" i="3" l="1"/>
  <c r="C719" i="3"/>
  <c r="F696" i="3"/>
  <c r="E697" i="3"/>
  <c r="F697" i="3" l="1"/>
  <c r="E698" i="3"/>
  <c r="B721" i="3"/>
  <c r="C720" i="3"/>
  <c r="B722" i="3" l="1"/>
  <c r="C721" i="3"/>
  <c r="F698" i="3"/>
  <c r="E699" i="3"/>
  <c r="F699" i="3" l="1"/>
  <c r="E700" i="3"/>
  <c r="B723" i="3"/>
  <c r="C722" i="3"/>
  <c r="B724" i="3" l="1"/>
  <c r="C723" i="3"/>
  <c r="F700" i="3"/>
  <c r="E701" i="3"/>
  <c r="F701" i="3" l="1"/>
  <c r="E702" i="3"/>
  <c r="B725" i="3"/>
  <c r="C724" i="3"/>
  <c r="B726" i="3" l="1"/>
  <c r="C725" i="3"/>
  <c r="F702" i="3"/>
  <c r="E703" i="3"/>
  <c r="F703" i="3" l="1"/>
  <c r="E704" i="3"/>
  <c r="B727" i="3"/>
  <c r="C726" i="3"/>
  <c r="B728" i="3" l="1"/>
  <c r="C727" i="3"/>
  <c r="F704" i="3"/>
  <c r="E705" i="3"/>
  <c r="F705" i="3" l="1"/>
  <c r="E706" i="3"/>
  <c r="B729" i="3"/>
  <c r="C728" i="3"/>
  <c r="B730" i="3" l="1"/>
  <c r="C729" i="3"/>
  <c r="F706" i="3"/>
  <c r="E707" i="3"/>
  <c r="F707" i="3" l="1"/>
  <c r="E708" i="3"/>
  <c r="B731" i="3"/>
  <c r="C730" i="3"/>
  <c r="B732" i="3" l="1"/>
  <c r="C731" i="3"/>
  <c r="F708" i="3"/>
  <c r="E709" i="3"/>
  <c r="F709" i="3" l="1"/>
  <c r="E710" i="3"/>
  <c r="B733" i="3"/>
  <c r="C732" i="3"/>
  <c r="B734" i="3" l="1"/>
  <c r="C733" i="3"/>
  <c r="F710" i="3"/>
  <c r="E711" i="3"/>
  <c r="F711" i="3" l="1"/>
  <c r="E712" i="3"/>
  <c r="B735" i="3"/>
  <c r="C734" i="3"/>
  <c r="B736" i="3" l="1"/>
  <c r="C735" i="3"/>
  <c r="F712" i="3"/>
  <c r="E713" i="3"/>
  <c r="F713" i="3" l="1"/>
  <c r="E714" i="3"/>
  <c r="B737" i="3"/>
  <c r="C736" i="3"/>
  <c r="B738" i="3" l="1"/>
  <c r="C737" i="3"/>
  <c r="F714" i="3"/>
  <c r="E715" i="3"/>
  <c r="F715" i="3" l="1"/>
  <c r="E716" i="3"/>
  <c r="B739" i="3"/>
  <c r="C738" i="3"/>
  <c r="B740" i="3" l="1"/>
  <c r="C739" i="3"/>
  <c r="F716" i="3"/>
  <c r="E717" i="3"/>
  <c r="F717" i="3" l="1"/>
  <c r="E718" i="3"/>
  <c r="B741" i="3"/>
  <c r="C740" i="3"/>
  <c r="B742" i="3" l="1"/>
  <c r="C741" i="3"/>
  <c r="F718" i="3"/>
  <c r="E719" i="3"/>
  <c r="F719" i="3" l="1"/>
  <c r="E720" i="3"/>
  <c r="B743" i="3"/>
  <c r="C742" i="3"/>
  <c r="B744" i="3" l="1"/>
  <c r="C743" i="3"/>
  <c r="F720" i="3"/>
  <c r="E721" i="3"/>
  <c r="F721" i="3" l="1"/>
  <c r="E722" i="3"/>
  <c r="B745" i="3"/>
  <c r="C744" i="3"/>
  <c r="B746" i="3" l="1"/>
  <c r="C745" i="3"/>
  <c r="F722" i="3"/>
  <c r="E723" i="3"/>
  <c r="F723" i="3" l="1"/>
  <c r="E724" i="3"/>
  <c r="B747" i="3"/>
  <c r="C746" i="3"/>
  <c r="B748" i="3" l="1"/>
  <c r="C747" i="3"/>
  <c r="F724" i="3"/>
  <c r="E725" i="3"/>
  <c r="F725" i="3" l="1"/>
  <c r="E726" i="3"/>
  <c r="B749" i="3"/>
  <c r="C748" i="3"/>
  <c r="B750" i="3" l="1"/>
  <c r="C749" i="3"/>
  <c r="F726" i="3"/>
  <c r="E727" i="3"/>
  <c r="F727" i="3" l="1"/>
  <c r="E728" i="3"/>
  <c r="B751" i="3"/>
  <c r="C750" i="3"/>
  <c r="B752" i="3" l="1"/>
  <c r="C751" i="3"/>
  <c r="F728" i="3"/>
  <c r="E729" i="3"/>
  <c r="F729" i="3" l="1"/>
  <c r="E730" i="3"/>
  <c r="B753" i="3"/>
  <c r="C752" i="3"/>
  <c r="B754" i="3" l="1"/>
  <c r="C753" i="3"/>
  <c r="F730" i="3"/>
  <c r="E731" i="3"/>
  <c r="F731" i="3" l="1"/>
  <c r="E732" i="3"/>
  <c r="C754" i="3"/>
  <c r="B755" i="3"/>
  <c r="B756" i="3" l="1"/>
  <c r="C755" i="3"/>
  <c r="F732" i="3"/>
  <c r="E733" i="3"/>
  <c r="F733" i="3" l="1"/>
  <c r="E734" i="3"/>
  <c r="B757" i="3"/>
  <c r="C756" i="3"/>
  <c r="B758" i="3" l="1"/>
  <c r="C757" i="3"/>
  <c r="F734" i="3"/>
  <c r="E735" i="3"/>
  <c r="F735" i="3" l="1"/>
  <c r="E736" i="3"/>
  <c r="B759" i="3"/>
  <c r="C758" i="3"/>
  <c r="B760" i="3" l="1"/>
  <c r="C759" i="3"/>
  <c r="F736" i="3"/>
  <c r="E737" i="3"/>
  <c r="F737" i="3" l="1"/>
  <c r="E738" i="3"/>
  <c r="B761" i="3"/>
  <c r="C760" i="3"/>
  <c r="B762" i="3" l="1"/>
  <c r="C761" i="3"/>
  <c r="F738" i="3"/>
  <c r="E739" i="3"/>
  <c r="F739" i="3" l="1"/>
  <c r="E740" i="3"/>
  <c r="B763" i="3"/>
  <c r="C762" i="3"/>
  <c r="B764" i="3" l="1"/>
  <c r="C763" i="3"/>
  <c r="F740" i="3"/>
  <c r="E741" i="3"/>
  <c r="F741" i="3" l="1"/>
  <c r="E742" i="3"/>
  <c r="B765" i="3"/>
  <c r="C764" i="3"/>
  <c r="B766" i="3" l="1"/>
  <c r="C765" i="3"/>
  <c r="F742" i="3"/>
  <c r="E743" i="3"/>
  <c r="F743" i="3" l="1"/>
  <c r="E744" i="3"/>
  <c r="B767" i="3"/>
  <c r="C766" i="3"/>
  <c r="B768" i="3" l="1"/>
  <c r="C767" i="3"/>
  <c r="F744" i="3"/>
  <c r="E745" i="3"/>
  <c r="F745" i="3" l="1"/>
  <c r="E746" i="3"/>
  <c r="B769" i="3"/>
  <c r="C768" i="3"/>
  <c r="B770" i="3" l="1"/>
  <c r="C769" i="3"/>
  <c r="F746" i="3"/>
  <c r="E747" i="3"/>
  <c r="F747" i="3" l="1"/>
  <c r="E748" i="3"/>
  <c r="B771" i="3"/>
  <c r="C770" i="3"/>
  <c r="B772" i="3" l="1"/>
  <c r="C771" i="3"/>
  <c r="F748" i="3"/>
  <c r="E749" i="3"/>
  <c r="F749" i="3" l="1"/>
  <c r="E750" i="3"/>
  <c r="B773" i="3"/>
  <c r="C772" i="3"/>
  <c r="B774" i="3" l="1"/>
  <c r="C773" i="3"/>
  <c r="F750" i="3"/>
  <c r="E751" i="3"/>
  <c r="F751" i="3" l="1"/>
  <c r="E752" i="3"/>
  <c r="B775" i="3"/>
  <c r="C774" i="3"/>
  <c r="B776" i="3" l="1"/>
  <c r="C775" i="3"/>
  <c r="F752" i="3"/>
  <c r="E753" i="3"/>
  <c r="F753" i="3" l="1"/>
  <c r="E754" i="3"/>
  <c r="B777" i="3"/>
  <c r="C776" i="3"/>
  <c r="B778" i="3" l="1"/>
  <c r="C777" i="3"/>
  <c r="F754" i="3"/>
  <c r="E755" i="3"/>
  <c r="F755" i="3" l="1"/>
  <c r="E756" i="3"/>
  <c r="B779" i="3"/>
  <c r="C778" i="3"/>
  <c r="B780" i="3" l="1"/>
  <c r="C779" i="3"/>
  <c r="F756" i="3"/>
  <c r="E757" i="3"/>
  <c r="F757" i="3" l="1"/>
  <c r="E758" i="3"/>
  <c r="B781" i="3"/>
  <c r="C780" i="3"/>
  <c r="B782" i="3" l="1"/>
  <c r="C781" i="3"/>
  <c r="F758" i="3"/>
  <c r="E759" i="3"/>
  <c r="F759" i="3" l="1"/>
  <c r="E760" i="3"/>
  <c r="B783" i="3"/>
  <c r="C782" i="3"/>
  <c r="B784" i="3" l="1"/>
  <c r="C783" i="3"/>
  <c r="F760" i="3"/>
  <c r="E761" i="3"/>
  <c r="F761" i="3" l="1"/>
  <c r="E762" i="3"/>
  <c r="B785" i="3"/>
  <c r="C784" i="3"/>
  <c r="B786" i="3" l="1"/>
  <c r="C785" i="3"/>
  <c r="F762" i="3"/>
  <c r="E763" i="3"/>
  <c r="F763" i="3" l="1"/>
  <c r="E764" i="3"/>
  <c r="B787" i="3"/>
  <c r="C786" i="3"/>
  <c r="B788" i="3" l="1"/>
  <c r="C787" i="3"/>
  <c r="F764" i="3"/>
  <c r="E765" i="3"/>
  <c r="F765" i="3" l="1"/>
  <c r="E766" i="3"/>
  <c r="B789" i="3"/>
  <c r="C788" i="3"/>
  <c r="B790" i="3" l="1"/>
  <c r="C789" i="3"/>
  <c r="F766" i="3"/>
  <c r="E767" i="3"/>
  <c r="F767" i="3" l="1"/>
  <c r="E768" i="3"/>
  <c r="B791" i="3"/>
  <c r="C790" i="3"/>
  <c r="B792" i="3" l="1"/>
  <c r="C791" i="3"/>
  <c r="F768" i="3"/>
  <c r="E769" i="3"/>
  <c r="F769" i="3" l="1"/>
  <c r="E770" i="3"/>
  <c r="B793" i="3"/>
  <c r="C792" i="3"/>
  <c r="B794" i="3" l="1"/>
  <c r="C793" i="3"/>
  <c r="F770" i="3"/>
  <c r="E771" i="3"/>
  <c r="F771" i="3" l="1"/>
  <c r="E772" i="3"/>
  <c r="B795" i="3"/>
  <c r="C794" i="3"/>
  <c r="B796" i="3" l="1"/>
  <c r="C795" i="3"/>
  <c r="F772" i="3"/>
  <c r="E773" i="3"/>
  <c r="F773" i="3" l="1"/>
  <c r="E774" i="3"/>
  <c r="B797" i="3"/>
  <c r="C796" i="3"/>
  <c r="B798" i="3" l="1"/>
  <c r="C797" i="3"/>
  <c r="F774" i="3"/>
  <c r="E775" i="3"/>
  <c r="F775" i="3" l="1"/>
  <c r="E776" i="3"/>
  <c r="B799" i="3"/>
  <c r="C798" i="3"/>
  <c r="B800" i="3" l="1"/>
  <c r="C799" i="3"/>
  <c r="F776" i="3"/>
  <c r="E777" i="3"/>
  <c r="F777" i="3" l="1"/>
  <c r="E778" i="3"/>
  <c r="B801" i="3"/>
  <c r="C800" i="3"/>
  <c r="B802" i="3" l="1"/>
  <c r="C801" i="3"/>
  <c r="F778" i="3"/>
  <c r="E779" i="3"/>
  <c r="F779" i="3" l="1"/>
  <c r="E780" i="3"/>
  <c r="B803" i="3"/>
  <c r="C802" i="3"/>
  <c r="B804" i="3" l="1"/>
  <c r="C803" i="3"/>
  <c r="F780" i="3"/>
  <c r="E781" i="3"/>
  <c r="F781" i="3" l="1"/>
  <c r="E782" i="3"/>
  <c r="B805" i="3"/>
  <c r="C804" i="3"/>
  <c r="B806" i="3" l="1"/>
  <c r="C805" i="3"/>
  <c r="F782" i="3"/>
  <c r="E783" i="3"/>
  <c r="F783" i="3" l="1"/>
  <c r="E784" i="3"/>
  <c r="B807" i="3"/>
  <c r="C806" i="3"/>
  <c r="B808" i="3" l="1"/>
  <c r="C807" i="3"/>
  <c r="F784" i="3"/>
  <c r="E785" i="3"/>
  <c r="F785" i="3" l="1"/>
  <c r="E786" i="3"/>
  <c r="B809" i="3"/>
  <c r="C808" i="3"/>
  <c r="B810" i="3" l="1"/>
  <c r="C809" i="3"/>
  <c r="F786" i="3"/>
  <c r="E787" i="3"/>
  <c r="F787" i="3" l="1"/>
  <c r="E788" i="3"/>
  <c r="B811" i="3"/>
  <c r="C810" i="3"/>
  <c r="B812" i="3" l="1"/>
  <c r="C811" i="3"/>
  <c r="F788" i="3"/>
  <c r="E789" i="3"/>
  <c r="F789" i="3" l="1"/>
  <c r="E790" i="3"/>
  <c r="B813" i="3"/>
  <c r="C812" i="3"/>
  <c r="B814" i="3" l="1"/>
  <c r="C813" i="3"/>
  <c r="F790" i="3"/>
  <c r="E791" i="3"/>
  <c r="F791" i="3" l="1"/>
  <c r="E792" i="3"/>
  <c r="B815" i="3"/>
  <c r="C814" i="3"/>
  <c r="B816" i="3" l="1"/>
  <c r="C815" i="3"/>
  <c r="F792" i="3"/>
  <c r="E793" i="3"/>
  <c r="F793" i="3" l="1"/>
  <c r="E794" i="3"/>
  <c r="B817" i="3"/>
  <c r="C816" i="3"/>
  <c r="B818" i="3" l="1"/>
  <c r="C817" i="3"/>
  <c r="F794" i="3"/>
  <c r="E795" i="3"/>
  <c r="F795" i="3" l="1"/>
  <c r="E796" i="3"/>
  <c r="B819" i="3"/>
  <c r="C818" i="3"/>
  <c r="B820" i="3" l="1"/>
  <c r="C819" i="3"/>
  <c r="F796" i="3"/>
  <c r="E797" i="3"/>
  <c r="F797" i="3" l="1"/>
  <c r="E798" i="3"/>
  <c r="B821" i="3"/>
  <c r="C820" i="3"/>
  <c r="B822" i="3" l="1"/>
  <c r="C821" i="3"/>
  <c r="F798" i="3"/>
  <c r="E799" i="3"/>
  <c r="F799" i="3" l="1"/>
  <c r="E800" i="3"/>
  <c r="B823" i="3"/>
  <c r="C822" i="3"/>
  <c r="B824" i="3" l="1"/>
  <c r="C823" i="3"/>
  <c r="F800" i="3"/>
  <c r="E801" i="3"/>
  <c r="F801" i="3" l="1"/>
  <c r="E802" i="3"/>
  <c r="B825" i="3"/>
  <c r="C824" i="3"/>
  <c r="B826" i="3" l="1"/>
  <c r="C825" i="3"/>
  <c r="F802" i="3"/>
  <c r="E803" i="3"/>
  <c r="F803" i="3" l="1"/>
  <c r="E804" i="3"/>
  <c r="B827" i="3"/>
  <c r="C826" i="3"/>
  <c r="B828" i="3" l="1"/>
  <c r="C827" i="3"/>
  <c r="F804" i="3"/>
  <c r="E805" i="3"/>
  <c r="F805" i="3" l="1"/>
  <c r="E806" i="3"/>
  <c r="B829" i="3"/>
  <c r="C828" i="3"/>
  <c r="B830" i="3" l="1"/>
  <c r="C829" i="3"/>
  <c r="F806" i="3"/>
  <c r="E807" i="3"/>
  <c r="F807" i="3" l="1"/>
  <c r="E808" i="3"/>
  <c r="B831" i="3"/>
  <c r="C830" i="3"/>
  <c r="B832" i="3" l="1"/>
  <c r="C831" i="3"/>
  <c r="F808" i="3"/>
  <c r="E809" i="3"/>
  <c r="F809" i="3" l="1"/>
  <c r="E810" i="3"/>
  <c r="B833" i="3"/>
  <c r="C832" i="3"/>
  <c r="B834" i="3" l="1"/>
  <c r="C833" i="3"/>
  <c r="F810" i="3"/>
  <c r="E811" i="3"/>
  <c r="F811" i="3" l="1"/>
  <c r="E812" i="3"/>
  <c r="B835" i="3"/>
  <c r="C834" i="3"/>
  <c r="B836" i="3" l="1"/>
  <c r="C835" i="3"/>
  <c r="F812" i="3"/>
  <c r="E813" i="3"/>
  <c r="F813" i="3" l="1"/>
  <c r="E814" i="3"/>
  <c r="B837" i="3"/>
  <c r="C836" i="3"/>
  <c r="B838" i="3" l="1"/>
  <c r="C837" i="3"/>
  <c r="F814" i="3"/>
  <c r="E815" i="3"/>
  <c r="F815" i="3" l="1"/>
  <c r="E816" i="3"/>
  <c r="B839" i="3"/>
  <c r="C838" i="3"/>
  <c r="B840" i="3" l="1"/>
  <c r="C839" i="3"/>
  <c r="F816" i="3"/>
  <c r="E817" i="3"/>
  <c r="F817" i="3" l="1"/>
  <c r="E818" i="3"/>
  <c r="B841" i="3"/>
  <c r="C840" i="3"/>
  <c r="C841" i="3" l="1"/>
  <c r="B842" i="3"/>
  <c r="F818" i="3"/>
  <c r="E819" i="3"/>
  <c r="F819" i="3" l="1"/>
  <c r="E820" i="3"/>
  <c r="C842" i="3"/>
  <c r="B843" i="3"/>
  <c r="B844" i="3" l="1"/>
  <c r="C843" i="3"/>
  <c r="F820" i="3"/>
  <c r="E821" i="3"/>
  <c r="F821" i="3" l="1"/>
  <c r="E822" i="3"/>
  <c r="B845" i="3"/>
  <c r="C844" i="3"/>
  <c r="B846" i="3" l="1"/>
  <c r="C845" i="3"/>
  <c r="F822" i="3"/>
  <c r="E823" i="3"/>
  <c r="F823" i="3" l="1"/>
  <c r="E824" i="3"/>
  <c r="B847" i="3"/>
  <c r="C846" i="3"/>
  <c r="B848" i="3" l="1"/>
  <c r="C847" i="3"/>
  <c r="F824" i="3"/>
  <c r="E825" i="3"/>
  <c r="F825" i="3" l="1"/>
  <c r="E826" i="3"/>
  <c r="B849" i="3"/>
  <c r="C848" i="3"/>
  <c r="B850" i="3" l="1"/>
  <c r="C849" i="3"/>
  <c r="F826" i="3"/>
  <c r="E827" i="3"/>
  <c r="F827" i="3" l="1"/>
  <c r="E828" i="3"/>
  <c r="C850" i="3"/>
  <c r="B851" i="3"/>
  <c r="B852" i="3" l="1"/>
  <c r="C851" i="3"/>
  <c r="F828" i="3"/>
  <c r="E829" i="3"/>
  <c r="F829" i="3" l="1"/>
  <c r="E830" i="3"/>
  <c r="B853" i="3"/>
  <c r="C852" i="3"/>
  <c r="B854" i="3" l="1"/>
  <c r="C853" i="3"/>
  <c r="F830" i="3"/>
  <c r="E831" i="3"/>
  <c r="F831" i="3" l="1"/>
  <c r="E832" i="3"/>
  <c r="B855" i="3"/>
  <c r="C854" i="3"/>
  <c r="B856" i="3" l="1"/>
  <c r="C855" i="3"/>
  <c r="F832" i="3"/>
  <c r="E833" i="3"/>
  <c r="F833" i="3" l="1"/>
  <c r="E834" i="3"/>
  <c r="B857" i="3"/>
  <c r="C856" i="3"/>
  <c r="B858" i="3" l="1"/>
  <c r="C857" i="3"/>
  <c r="F834" i="3"/>
  <c r="E835" i="3"/>
  <c r="F835" i="3" l="1"/>
  <c r="E836" i="3"/>
  <c r="B859" i="3"/>
  <c r="C858" i="3"/>
  <c r="B860" i="3" l="1"/>
  <c r="C859" i="3"/>
  <c r="F836" i="3"/>
  <c r="E837" i="3"/>
  <c r="F837" i="3" l="1"/>
  <c r="E838" i="3"/>
  <c r="B861" i="3"/>
  <c r="C860" i="3"/>
  <c r="B862" i="3" l="1"/>
  <c r="C861" i="3"/>
  <c r="F838" i="3"/>
  <c r="E839" i="3"/>
  <c r="F839" i="3" l="1"/>
  <c r="E840" i="3"/>
  <c r="B863" i="3"/>
  <c r="C862" i="3"/>
  <c r="B864" i="3" l="1"/>
  <c r="C863" i="3"/>
  <c r="F840" i="3"/>
  <c r="E841" i="3"/>
  <c r="F841" i="3" l="1"/>
  <c r="E842" i="3"/>
  <c r="B865" i="3"/>
  <c r="C864" i="3"/>
  <c r="B866" i="3" l="1"/>
  <c r="C865" i="3"/>
  <c r="F842" i="3"/>
  <c r="E843" i="3"/>
  <c r="F843" i="3" l="1"/>
  <c r="E844" i="3"/>
  <c r="B867" i="3"/>
  <c r="C866" i="3"/>
  <c r="B868" i="3" l="1"/>
  <c r="C867" i="3"/>
  <c r="F844" i="3"/>
  <c r="E845" i="3"/>
  <c r="F845" i="3" l="1"/>
  <c r="E846" i="3"/>
  <c r="B869" i="3"/>
  <c r="C868" i="3"/>
  <c r="B870" i="3" l="1"/>
  <c r="C869" i="3"/>
  <c r="F846" i="3"/>
  <c r="E847" i="3"/>
  <c r="F847" i="3" l="1"/>
  <c r="E848" i="3"/>
  <c r="C870" i="3"/>
  <c r="B871" i="3"/>
  <c r="B872" i="3" l="1"/>
  <c r="C871" i="3"/>
  <c r="F848" i="3"/>
  <c r="E849" i="3"/>
  <c r="F849" i="3" l="1"/>
  <c r="E850" i="3"/>
  <c r="B873" i="3"/>
  <c r="C872" i="3"/>
  <c r="B874" i="3" l="1"/>
  <c r="C873" i="3"/>
  <c r="F850" i="3"/>
  <c r="E851" i="3"/>
  <c r="F851" i="3" l="1"/>
  <c r="E852" i="3"/>
  <c r="B875" i="3"/>
  <c r="C874" i="3"/>
  <c r="B876" i="3" l="1"/>
  <c r="C875" i="3"/>
  <c r="F852" i="3"/>
  <c r="E853" i="3"/>
  <c r="F853" i="3" l="1"/>
  <c r="E854" i="3"/>
  <c r="C876" i="3"/>
  <c r="B877" i="3"/>
  <c r="C877" i="3" l="1"/>
  <c r="B878" i="3"/>
  <c r="F854" i="3"/>
  <c r="E855" i="3"/>
  <c r="F855" i="3" l="1"/>
  <c r="E856" i="3"/>
  <c r="B879" i="3"/>
  <c r="C878" i="3"/>
  <c r="B880" i="3" l="1"/>
  <c r="C879" i="3"/>
  <c r="F856" i="3"/>
  <c r="E857" i="3"/>
  <c r="F857" i="3" l="1"/>
  <c r="E858" i="3"/>
  <c r="B881" i="3"/>
  <c r="C880" i="3"/>
  <c r="B882" i="3" l="1"/>
  <c r="C881" i="3"/>
  <c r="F858" i="3"/>
  <c r="E859" i="3"/>
  <c r="F859" i="3" l="1"/>
  <c r="E860" i="3"/>
  <c r="B883" i="3"/>
  <c r="C882" i="3"/>
  <c r="B884" i="3" l="1"/>
  <c r="C883" i="3"/>
  <c r="F860" i="3"/>
  <c r="E861" i="3"/>
  <c r="F861" i="3" l="1"/>
  <c r="E862" i="3"/>
  <c r="B885" i="3"/>
  <c r="C884" i="3"/>
  <c r="B886" i="3" l="1"/>
  <c r="C885" i="3"/>
  <c r="F862" i="3"/>
  <c r="E863" i="3"/>
  <c r="F863" i="3" l="1"/>
  <c r="E864" i="3"/>
  <c r="B887" i="3"/>
  <c r="C886" i="3"/>
  <c r="B888" i="3" l="1"/>
  <c r="C887" i="3"/>
  <c r="F864" i="3"/>
  <c r="E865" i="3"/>
  <c r="F865" i="3" l="1"/>
  <c r="E866" i="3"/>
  <c r="B889" i="3"/>
  <c r="C888" i="3"/>
  <c r="B890" i="3" l="1"/>
  <c r="C889" i="3"/>
  <c r="F866" i="3"/>
  <c r="E867" i="3"/>
  <c r="F867" i="3" l="1"/>
  <c r="E868" i="3"/>
  <c r="B891" i="3"/>
  <c r="C890" i="3"/>
  <c r="B892" i="3" l="1"/>
  <c r="C891" i="3"/>
  <c r="F868" i="3"/>
  <c r="E869" i="3"/>
  <c r="F869" i="3" l="1"/>
  <c r="E870" i="3"/>
  <c r="B893" i="3"/>
  <c r="C892" i="3"/>
  <c r="B894" i="3" l="1"/>
  <c r="C893" i="3"/>
  <c r="F870" i="3"/>
  <c r="E871" i="3"/>
  <c r="F871" i="3" l="1"/>
  <c r="E872" i="3"/>
  <c r="B895" i="3"/>
  <c r="C894" i="3"/>
  <c r="B896" i="3" l="1"/>
  <c r="C895" i="3"/>
  <c r="F872" i="3"/>
  <c r="E873" i="3"/>
  <c r="F873" i="3" l="1"/>
  <c r="E874" i="3"/>
  <c r="B897" i="3"/>
  <c r="C896" i="3"/>
  <c r="B898" i="3" l="1"/>
  <c r="C897" i="3"/>
  <c r="F874" i="3"/>
  <c r="E875" i="3"/>
  <c r="F875" i="3" l="1"/>
  <c r="E876" i="3"/>
  <c r="B899" i="3"/>
  <c r="C898" i="3"/>
  <c r="B900" i="3" l="1"/>
  <c r="C899" i="3"/>
  <c r="F876" i="3"/>
  <c r="E877" i="3"/>
  <c r="F877" i="3" l="1"/>
  <c r="E878" i="3"/>
  <c r="B901" i="3"/>
  <c r="C900" i="3"/>
  <c r="B902" i="3" l="1"/>
  <c r="C901" i="3"/>
  <c r="F878" i="3"/>
  <c r="E879" i="3"/>
  <c r="F879" i="3" l="1"/>
  <c r="E880" i="3"/>
  <c r="B903" i="3"/>
  <c r="C902" i="3"/>
  <c r="B904" i="3" l="1"/>
  <c r="C903" i="3"/>
  <c r="F880" i="3"/>
  <c r="E881" i="3"/>
  <c r="F881" i="3" l="1"/>
  <c r="E882" i="3"/>
  <c r="B905" i="3"/>
  <c r="C904" i="3"/>
  <c r="B906" i="3" l="1"/>
  <c r="C905" i="3"/>
  <c r="F882" i="3"/>
  <c r="E883" i="3"/>
  <c r="F883" i="3" l="1"/>
  <c r="E884" i="3"/>
  <c r="B907" i="3"/>
  <c r="C906" i="3"/>
  <c r="B908" i="3" l="1"/>
  <c r="C907" i="3"/>
  <c r="F884" i="3"/>
  <c r="E885" i="3"/>
  <c r="F885" i="3" l="1"/>
  <c r="E886" i="3"/>
  <c r="B909" i="3"/>
  <c r="C908" i="3"/>
  <c r="B910" i="3" l="1"/>
  <c r="C909" i="3"/>
  <c r="F886" i="3"/>
  <c r="E887" i="3"/>
  <c r="F887" i="3" l="1"/>
  <c r="E888" i="3"/>
  <c r="B911" i="3"/>
  <c r="C910" i="3"/>
  <c r="B912" i="3" l="1"/>
  <c r="C911" i="3"/>
  <c r="F888" i="3"/>
  <c r="E889" i="3"/>
  <c r="F889" i="3" l="1"/>
  <c r="E890" i="3"/>
  <c r="B913" i="3"/>
  <c r="C912" i="3"/>
  <c r="B914" i="3" l="1"/>
  <c r="C913" i="3"/>
  <c r="F890" i="3"/>
  <c r="E891" i="3"/>
  <c r="F891" i="3" l="1"/>
  <c r="E892" i="3"/>
  <c r="B915" i="3"/>
  <c r="C914" i="3"/>
  <c r="C915" i="3" l="1"/>
  <c r="B916" i="3"/>
  <c r="F892" i="3"/>
  <c r="E893" i="3"/>
  <c r="F893" i="3" l="1"/>
  <c r="E894" i="3"/>
  <c r="C916" i="3"/>
  <c r="B917" i="3"/>
  <c r="B918" i="3" l="1"/>
  <c r="C917" i="3"/>
  <c r="F894" i="3"/>
  <c r="E895" i="3"/>
  <c r="F895" i="3" l="1"/>
  <c r="E896" i="3"/>
  <c r="B919" i="3"/>
  <c r="C918" i="3"/>
  <c r="B920" i="3" l="1"/>
  <c r="C919" i="3"/>
  <c r="F896" i="3"/>
  <c r="E897" i="3"/>
  <c r="F897" i="3" l="1"/>
  <c r="E898" i="3"/>
  <c r="B921" i="3"/>
  <c r="C920" i="3"/>
  <c r="B922" i="3" l="1"/>
  <c r="C921" i="3"/>
  <c r="F898" i="3"/>
  <c r="E899" i="3"/>
  <c r="F899" i="3" l="1"/>
  <c r="E900" i="3"/>
  <c r="B923" i="3"/>
  <c r="C922" i="3"/>
  <c r="B924" i="3" l="1"/>
  <c r="C923" i="3"/>
  <c r="F900" i="3"/>
  <c r="E901" i="3"/>
  <c r="F901" i="3" l="1"/>
  <c r="E902" i="3"/>
  <c r="B925" i="3"/>
  <c r="C924" i="3"/>
  <c r="B926" i="3" l="1"/>
  <c r="C925" i="3"/>
  <c r="F902" i="3"/>
  <c r="E903" i="3"/>
  <c r="F903" i="3" l="1"/>
  <c r="E904" i="3"/>
  <c r="B927" i="3"/>
  <c r="C926" i="3"/>
  <c r="B928" i="3" l="1"/>
  <c r="C927" i="3"/>
  <c r="F904" i="3"/>
  <c r="E905" i="3"/>
  <c r="F905" i="3" l="1"/>
  <c r="E906" i="3"/>
  <c r="B929" i="3"/>
  <c r="C928" i="3"/>
  <c r="B930" i="3" l="1"/>
  <c r="C929" i="3"/>
  <c r="F906" i="3"/>
  <c r="E907" i="3"/>
  <c r="F907" i="3" l="1"/>
  <c r="E908" i="3"/>
  <c r="B931" i="3"/>
  <c r="C930" i="3"/>
  <c r="B932" i="3" l="1"/>
  <c r="C931" i="3"/>
  <c r="F908" i="3"/>
  <c r="E909" i="3"/>
  <c r="F909" i="3" l="1"/>
  <c r="E910" i="3"/>
  <c r="B933" i="3"/>
  <c r="C932" i="3"/>
  <c r="B934" i="3" l="1"/>
  <c r="C933" i="3"/>
  <c r="F910" i="3"/>
  <c r="E911" i="3"/>
  <c r="F911" i="3" l="1"/>
  <c r="E912" i="3"/>
  <c r="B935" i="3"/>
  <c r="C934" i="3"/>
  <c r="B936" i="3" l="1"/>
  <c r="C935" i="3"/>
  <c r="F912" i="3"/>
  <c r="E913" i="3"/>
  <c r="F913" i="3" l="1"/>
  <c r="E914" i="3"/>
  <c r="B937" i="3"/>
  <c r="C936" i="3"/>
  <c r="B938" i="3" l="1"/>
  <c r="C937" i="3"/>
  <c r="F914" i="3"/>
  <c r="E915" i="3"/>
  <c r="F915" i="3" l="1"/>
  <c r="E916" i="3"/>
  <c r="B939" i="3"/>
  <c r="C938" i="3"/>
  <c r="B940" i="3" l="1"/>
  <c r="C939" i="3"/>
  <c r="F916" i="3"/>
  <c r="E917" i="3"/>
  <c r="F917" i="3" l="1"/>
  <c r="E918" i="3"/>
  <c r="B941" i="3"/>
  <c r="C940" i="3"/>
  <c r="B942" i="3" l="1"/>
  <c r="C941" i="3"/>
  <c r="F918" i="3"/>
  <c r="E919" i="3"/>
  <c r="F919" i="3" l="1"/>
  <c r="E920" i="3"/>
  <c r="B943" i="3"/>
  <c r="C942" i="3"/>
  <c r="B944" i="3" l="1"/>
  <c r="C943" i="3"/>
  <c r="F920" i="3"/>
  <c r="E921" i="3"/>
  <c r="F921" i="3" l="1"/>
  <c r="E922" i="3"/>
  <c r="B945" i="3"/>
  <c r="C944" i="3"/>
  <c r="B946" i="3" l="1"/>
  <c r="C945" i="3"/>
  <c r="F922" i="3"/>
  <c r="E923" i="3"/>
  <c r="F923" i="3" l="1"/>
  <c r="E924" i="3"/>
  <c r="B947" i="3"/>
  <c r="C946" i="3"/>
  <c r="B948" i="3" l="1"/>
  <c r="C947" i="3"/>
  <c r="F924" i="3"/>
  <c r="E925" i="3"/>
  <c r="F925" i="3" l="1"/>
  <c r="E926" i="3"/>
  <c r="B949" i="3"/>
  <c r="C948" i="3"/>
  <c r="B950" i="3" l="1"/>
  <c r="C949" i="3"/>
  <c r="F926" i="3"/>
  <c r="E927" i="3"/>
  <c r="F927" i="3" l="1"/>
  <c r="E928" i="3"/>
  <c r="B951" i="3"/>
  <c r="C950" i="3"/>
  <c r="B952" i="3" l="1"/>
  <c r="C951" i="3"/>
  <c r="F928" i="3"/>
  <c r="E929" i="3"/>
  <c r="F929" i="3" l="1"/>
  <c r="E930" i="3"/>
  <c r="B953" i="3"/>
  <c r="C952" i="3"/>
  <c r="B954" i="3" l="1"/>
  <c r="C953" i="3"/>
  <c r="F930" i="3"/>
  <c r="E931" i="3"/>
  <c r="F931" i="3" l="1"/>
  <c r="E932" i="3"/>
  <c r="B955" i="3"/>
  <c r="C954" i="3"/>
  <c r="B956" i="3" l="1"/>
  <c r="C955" i="3"/>
  <c r="F932" i="3"/>
  <c r="E933" i="3"/>
  <c r="F933" i="3" l="1"/>
  <c r="E934" i="3"/>
  <c r="B957" i="3"/>
  <c r="C956" i="3"/>
  <c r="B958" i="3" l="1"/>
  <c r="C957" i="3"/>
  <c r="F934" i="3"/>
  <c r="E935" i="3"/>
  <c r="F935" i="3" l="1"/>
  <c r="E936" i="3"/>
  <c r="B959" i="3"/>
  <c r="C958" i="3"/>
  <c r="B960" i="3" l="1"/>
  <c r="C959" i="3"/>
  <c r="F936" i="3"/>
  <c r="E937" i="3"/>
  <c r="F937" i="3" l="1"/>
  <c r="E938" i="3"/>
  <c r="B961" i="3"/>
  <c r="C960" i="3"/>
  <c r="B962" i="3" l="1"/>
  <c r="C961" i="3"/>
  <c r="F938" i="3"/>
  <c r="E939" i="3"/>
  <c r="F939" i="3" l="1"/>
  <c r="E940" i="3"/>
  <c r="B963" i="3"/>
  <c r="C962" i="3"/>
  <c r="B964" i="3" l="1"/>
  <c r="C963" i="3"/>
  <c r="F940" i="3"/>
  <c r="E941" i="3"/>
  <c r="F941" i="3" l="1"/>
  <c r="E942" i="3"/>
  <c r="B965" i="3"/>
  <c r="C964" i="3"/>
  <c r="B966" i="3" l="1"/>
  <c r="C965" i="3"/>
  <c r="F942" i="3"/>
  <c r="E943" i="3"/>
  <c r="F943" i="3" l="1"/>
  <c r="E944" i="3"/>
  <c r="B967" i="3"/>
  <c r="C966" i="3"/>
  <c r="B968" i="3" l="1"/>
  <c r="C967" i="3"/>
  <c r="F944" i="3"/>
  <c r="E945" i="3"/>
  <c r="F945" i="3" l="1"/>
  <c r="E946" i="3"/>
  <c r="B969" i="3"/>
  <c r="C968" i="3"/>
  <c r="B970" i="3" l="1"/>
  <c r="C969" i="3"/>
  <c r="F946" i="3"/>
  <c r="E947" i="3"/>
  <c r="F947" i="3" l="1"/>
  <c r="E948" i="3"/>
  <c r="B971" i="3"/>
  <c r="C970" i="3"/>
  <c r="B972" i="3" l="1"/>
  <c r="C971" i="3"/>
  <c r="F948" i="3"/>
  <c r="E949" i="3"/>
  <c r="F949" i="3" l="1"/>
  <c r="E950" i="3"/>
  <c r="B973" i="3"/>
  <c r="C972" i="3"/>
  <c r="B974" i="3" l="1"/>
  <c r="C973" i="3"/>
  <c r="F950" i="3"/>
  <c r="E951" i="3"/>
  <c r="F951" i="3" l="1"/>
  <c r="E952" i="3"/>
  <c r="B975" i="3"/>
  <c r="C974" i="3"/>
  <c r="B976" i="3" l="1"/>
  <c r="C975" i="3"/>
  <c r="F952" i="3"/>
  <c r="E953" i="3"/>
  <c r="F953" i="3" l="1"/>
  <c r="E954" i="3"/>
  <c r="B977" i="3"/>
  <c r="C976" i="3"/>
  <c r="B978" i="3" l="1"/>
  <c r="C977" i="3"/>
  <c r="F954" i="3"/>
  <c r="E955" i="3"/>
  <c r="F955" i="3" l="1"/>
  <c r="E956" i="3"/>
  <c r="B979" i="3"/>
  <c r="C978" i="3"/>
  <c r="B980" i="3" l="1"/>
  <c r="C979" i="3"/>
  <c r="F956" i="3"/>
  <c r="E957" i="3"/>
  <c r="F957" i="3" l="1"/>
  <c r="E958" i="3"/>
  <c r="B981" i="3"/>
  <c r="C980" i="3"/>
  <c r="B982" i="3" l="1"/>
  <c r="C981" i="3"/>
  <c r="F958" i="3"/>
  <c r="E959" i="3"/>
  <c r="F959" i="3" l="1"/>
  <c r="E960" i="3"/>
  <c r="B983" i="3"/>
  <c r="C982" i="3"/>
  <c r="B984" i="3" l="1"/>
  <c r="C983" i="3"/>
  <c r="F960" i="3"/>
  <c r="E961" i="3"/>
  <c r="B985" i="3" l="1"/>
  <c r="C984" i="3"/>
  <c r="F961" i="3"/>
  <c r="E962" i="3"/>
  <c r="F962" i="3" l="1"/>
  <c r="E963" i="3"/>
  <c r="B986" i="3"/>
  <c r="C985" i="3"/>
  <c r="B987" i="3" l="1"/>
  <c r="C986" i="3"/>
  <c r="F963" i="3"/>
  <c r="E964" i="3"/>
  <c r="F964" i="3" l="1"/>
  <c r="E965" i="3"/>
  <c r="B988" i="3"/>
  <c r="C987" i="3"/>
  <c r="B989" i="3" l="1"/>
  <c r="C988" i="3"/>
  <c r="F965" i="3"/>
  <c r="E966" i="3"/>
  <c r="F966" i="3" l="1"/>
  <c r="E967" i="3"/>
  <c r="B990" i="3"/>
  <c r="C989" i="3"/>
  <c r="B991" i="3" l="1"/>
  <c r="C990" i="3"/>
  <c r="F967" i="3"/>
  <c r="E968" i="3"/>
  <c r="F968" i="3" l="1"/>
  <c r="E969" i="3"/>
  <c r="B992" i="3"/>
  <c r="C991" i="3"/>
  <c r="B993" i="3" l="1"/>
  <c r="C992" i="3"/>
  <c r="F969" i="3"/>
  <c r="E970" i="3"/>
  <c r="F970" i="3" l="1"/>
  <c r="E971" i="3"/>
  <c r="B994" i="3"/>
  <c r="C993" i="3"/>
  <c r="B995" i="3" l="1"/>
  <c r="C994" i="3"/>
  <c r="F971" i="3"/>
  <c r="E972" i="3"/>
  <c r="F972" i="3" l="1"/>
  <c r="E973" i="3"/>
  <c r="B996" i="3"/>
  <c r="C995" i="3"/>
  <c r="C996" i="3" l="1"/>
  <c r="B997" i="3"/>
  <c r="F973" i="3"/>
  <c r="E974" i="3"/>
  <c r="F974" i="3" l="1"/>
  <c r="E975" i="3"/>
  <c r="B998" i="3"/>
  <c r="C997" i="3"/>
  <c r="B999" i="3" l="1"/>
  <c r="C998" i="3"/>
  <c r="F975" i="3"/>
  <c r="E976" i="3"/>
  <c r="F976" i="3" l="1"/>
  <c r="E977" i="3"/>
  <c r="C999" i="3"/>
  <c r="B1000" i="3"/>
  <c r="B1001" i="3" l="1"/>
  <c r="C1000" i="3"/>
  <c r="F977" i="3"/>
  <c r="E978" i="3"/>
  <c r="F978" i="3" l="1"/>
  <c r="E979" i="3"/>
  <c r="B1002" i="3"/>
  <c r="C1002" i="3" s="1"/>
  <c r="C1001" i="3"/>
  <c r="F979" i="3" l="1"/>
  <c r="E980" i="3"/>
  <c r="F980" i="3" l="1"/>
  <c r="E981" i="3"/>
  <c r="F981" i="3" l="1"/>
  <c r="E982" i="3"/>
  <c r="F982" i="3" l="1"/>
  <c r="E983" i="3"/>
  <c r="F983" i="3" l="1"/>
  <c r="E984" i="3"/>
  <c r="F984" i="3" l="1"/>
  <c r="E985" i="3"/>
  <c r="F985" i="3" l="1"/>
  <c r="E986" i="3"/>
  <c r="F986" i="3" l="1"/>
  <c r="E987" i="3"/>
  <c r="F987" i="3" l="1"/>
  <c r="E988" i="3"/>
  <c r="F988" i="3" l="1"/>
  <c r="E989" i="3"/>
  <c r="F989" i="3" l="1"/>
  <c r="E990" i="3"/>
  <c r="F990" i="3" l="1"/>
  <c r="E991" i="3"/>
  <c r="F991" i="3" l="1"/>
  <c r="E992" i="3"/>
  <c r="F992" i="3" l="1"/>
  <c r="E993" i="3"/>
  <c r="F993" i="3" l="1"/>
  <c r="E994" i="3"/>
  <c r="F994" i="3" l="1"/>
  <c r="E995" i="3"/>
  <c r="F995" i="3" l="1"/>
  <c r="E996" i="3"/>
  <c r="F996" i="3" l="1"/>
  <c r="E997" i="3"/>
  <c r="F997" i="3" l="1"/>
  <c r="E998" i="3"/>
  <c r="F998" i="3" l="1"/>
  <c r="E999" i="3"/>
  <c r="F999" i="3" l="1"/>
  <c r="E1000" i="3"/>
  <c r="F1000" i="3" l="1"/>
  <c r="E1001" i="3"/>
  <c r="F1001" i="3" l="1"/>
  <c r="E1002" i="3"/>
  <c r="F1002" i="3" l="1"/>
  <c r="E1003" i="3"/>
  <c r="F1003" i="3" l="1"/>
  <c r="E1004" i="3"/>
  <c r="F1004" i="3" l="1"/>
  <c r="E1005" i="3"/>
  <c r="F1005" i="3" l="1"/>
  <c r="E1006" i="3"/>
  <c r="F1006" i="3" l="1"/>
  <c r="E1007" i="3"/>
  <c r="F1007" i="3" l="1"/>
  <c r="E1008" i="3"/>
  <c r="F1008" i="3" l="1"/>
  <c r="E1009" i="3"/>
  <c r="F1009" i="3" l="1"/>
  <c r="E1010" i="3"/>
  <c r="F1010" i="3" l="1"/>
  <c r="E1011" i="3"/>
  <c r="F1011" i="3" l="1"/>
  <c r="E1012" i="3"/>
  <c r="F1012" i="3" l="1"/>
  <c r="E1013" i="3"/>
  <c r="F1013" i="3" l="1"/>
  <c r="E1014" i="3"/>
  <c r="F1014" i="3" l="1"/>
  <c r="E1015" i="3"/>
  <c r="F1015" i="3" l="1"/>
  <c r="E1016" i="3"/>
  <c r="F1016" i="3" l="1"/>
  <c r="E1017" i="3"/>
  <c r="F1017" i="3" l="1"/>
  <c r="E1018" i="3"/>
  <c r="F1018" i="3" l="1"/>
  <c r="E1019" i="3"/>
  <c r="F1019" i="3" l="1"/>
  <c r="E1020" i="3"/>
  <c r="F1020" i="3" l="1"/>
  <c r="E1021" i="3"/>
  <c r="F1021" i="3" l="1"/>
  <c r="E1022" i="3"/>
  <c r="F1022" i="3" l="1"/>
  <c r="E1023" i="3"/>
  <c r="F1023" i="3" l="1"/>
  <c r="E1024" i="3"/>
  <c r="F1024" i="3" l="1"/>
  <c r="E1025" i="3"/>
  <c r="F1025" i="3" l="1"/>
  <c r="E1026" i="3"/>
  <c r="F1026" i="3" l="1"/>
  <c r="E1027" i="3"/>
  <c r="F1027" i="3" l="1"/>
  <c r="E1028" i="3"/>
  <c r="F1028" i="3" l="1"/>
  <c r="E1029" i="3"/>
  <c r="F1029" i="3" l="1"/>
  <c r="E1030" i="3"/>
  <c r="F1030" i="3" l="1"/>
  <c r="E1031" i="3"/>
  <c r="F1031" i="3" l="1"/>
  <c r="E1032" i="3"/>
  <c r="F1032" i="3" l="1"/>
  <c r="E1033" i="3"/>
  <c r="F1033" i="3" l="1"/>
  <c r="E1034" i="3"/>
  <c r="F1034" i="3" l="1"/>
  <c r="E1035" i="3"/>
  <c r="F1035" i="3" l="1"/>
  <c r="E1036" i="3"/>
  <c r="F1036" i="3" l="1"/>
  <c r="E1037" i="3"/>
  <c r="F1037" i="3" l="1"/>
  <c r="E1038" i="3"/>
  <c r="F1038" i="3" l="1"/>
  <c r="E1039" i="3"/>
  <c r="F1039" i="3" l="1"/>
  <c r="E1040" i="3"/>
  <c r="F1040" i="3" l="1"/>
  <c r="E1041" i="3"/>
  <c r="F1041" i="3" l="1"/>
  <c r="E1042" i="3"/>
  <c r="F1042" i="3" l="1"/>
  <c r="E1043" i="3"/>
  <c r="F1043" i="3" l="1"/>
  <c r="E1044" i="3"/>
  <c r="F1044" i="3" l="1"/>
  <c r="E1045" i="3"/>
  <c r="F1045" i="3" l="1"/>
  <c r="E1046" i="3"/>
  <c r="F1046" i="3" l="1"/>
  <c r="E1047" i="3"/>
  <c r="F1047" i="3" l="1"/>
  <c r="E1048" i="3"/>
  <c r="F1048" i="3" l="1"/>
  <c r="E1049" i="3"/>
  <c r="F1049" i="3" l="1"/>
  <c r="E1050" i="3"/>
  <c r="F1050" i="3" l="1"/>
  <c r="E1051" i="3"/>
  <c r="F1051" i="3" l="1"/>
  <c r="E1052" i="3"/>
  <c r="F1052" i="3" l="1"/>
  <c r="E1053" i="3"/>
  <c r="F1053" i="3" l="1"/>
  <c r="E1054" i="3"/>
  <c r="F1054" i="3" l="1"/>
  <c r="E1055" i="3"/>
  <c r="F1055" i="3" l="1"/>
  <c r="E1056" i="3"/>
  <c r="F1056" i="3" l="1"/>
  <c r="E1057" i="3"/>
  <c r="F1057" i="3" l="1"/>
  <c r="E1058" i="3"/>
  <c r="F1058" i="3" l="1"/>
  <c r="E1059" i="3"/>
  <c r="F1059" i="3" l="1"/>
  <c r="E1060" i="3"/>
  <c r="F1060" i="3" l="1"/>
  <c r="E1061" i="3"/>
  <c r="F1061" i="3" l="1"/>
  <c r="E1062" i="3"/>
  <c r="F1062" i="3" l="1"/>
  <c r="E1063" i="3"/>
  <c r="F1063" i="3" l="1"/>
  <c r="E1064" i="3"/>
  <c r="F1064" i="3" l="1"/>
  <c r="E1065" i="3"/>
  <c r="F1065" i="3" l="1"/>
  <c r="E1066" i="3"/>
  <c r="F1066" i="3" l="1"/>
  <c r="E1067" i="3"/>
  <c r="F1067" i="3" l="1"/>
  <c r="E1068" i="3"/>
  <c r="F1068" i="3" l="1"/>
  <c r="E1069" i="3"/>
  <c r="F1069" i="3" l="1"/>
  <c r="E1070" i="3"/>
  <c r="F1070" i="3" l="1"/>
  <c r="E1071" i="3"/>
  <c r="F1071" i="3" l="1"/>
  <c r="E1072" i="3"/>
  <c r="F1072" i="3" l="1"/>
  <c r="E1073" i="3"/>
  <c r="F1073" i="3" l="1"/>
  <c r="E1074" i="3"/>
  <c r="F1074" i="3" l="1"/>
  <c r="E1075" i="3"/>
  <c r="F1075" i="3" l="1"/>
  <c r="E1076" i="3"/>
  <c r="F1076" i="3" l="1"/>
  <c r="E1077" i="3"/>
  <c r="F1077" i="3" l="1"/>
  <c r="E1078" i="3"/>
  <c r="F1078" i="3" l="1"/>
  <c r="E1079" i="3"/>
  <c r="F1079" i="3" l="1"/>
  <c r="E1080" i="3"/>
  <c r="F1080" i="3" l="1"/>
  <c r="E1081" i="3"/>
  <c r="F1081" i="3" l="1"/>
  <c r="E1082" i="3"/>
  <c r="F1082" i="3" l="1"/>
  <c r="E1083" i="3"/>
  <c r="F1083" i="3" l="1"/>
  <c r="E1084" i="3"/>
  <c r="F1084" i="3" l="1"/>
  <c r="E1085" i="3"/>
  <c r="F1085" i="3" l="1"/>
  <c r="E1086" i="3"/>
  <c r="F1086" i="3" l="1"/>
  <c r="E1087" i="3"/>
  <c r="F1087" i="3" l="1"/>
  <c r="E1088" i="3"/>
  <c r="F1088" i="3" l="1"/>
  <c r="E1089" i="3"/>
  <c r="F1089" i="3" l="1"/>
  <c r="E1090" i="3"/>
  <c r="F1090" i="3" l="1"/>
  <c r="E1091" i="3"/>
  <c r="F1091" i="3" l="1"/>
  <c r="E1092" i="3"/>
  <c r="F1092" i="3" l="1"/>
  <c r="E1093" i="3"/>
  <c r="F1093" i="3" l="1"/>
  <c r="E1094" i="3"/>
  <c r="F1094" i="3" l="1"/>
  <c r="E1095" i="3"/>
  <c r="F1095" i="3" l="1"/>
  <c r="E1096" i="3"/>
  <c r="F1096" i="3" l="1"/>
  <c r="E1097" i="3"/>
  <c r="F1097" i="3" l="1"/>
  <c r="E1098" i="3"/>
  <c r="F1098" i="3" l="1"/>
  <c r="E1099" i="3"/>
  <c r="F1099" i="3" l="1"/>
  <c r="E1100" i="3"/>
  <c r="F1100" i="3" l="1"/>
  <c r="E1101" i="3"/>
  <c r="F1101" i="3" l="1"/>
  <c r="E1102" i="3"/>
  <c r="F1102" i="3" l="1"/>
  <c r="E1103" i="3"/>
  <c r="F1103" i="3" l="1"/>
  <c r="E1104" i="3"/>
  <c r="F1104" i="3" l="1"/>
  <c r="E1105" i="3"/>
  <c r="F1105" i="3" l="1"/>
  <c r="E1106" i="3"/>
  <c r="F1106" i="3" l="1"/>
  <c r="E1107" i="3"/>
  <c r="F1107" i="3" l="1"/>
  <c r="E1108" i="3"/>
  <c r="F1108" i="3" l="1"/>
  <c r="E1109" i="3"/>
  <c r="F1109" i="3" l="1"/>
  <c r="E1110" i="3"/>
  <c r="F1110" i="3" l="1"/>
  <c r="E1111" i="3"/>
  <c r="F1111" i="3" l="1"/>
  <c r="E1112" i="3"/>
  <c r="F1112" i="3" l="1"/>
  <c r="E1113" i="3"/>
  <c r="F1113" i="3" l="1"/>
  <c r="E1114" i="3"/>
  <c r="F1114" i="3" l="1"/>
  <c r="E1115" i="3"/>
  <c r="F1115" i="3" l="1"/>
  <c r="E1116" i="3"/>
  <c r="F1116" i="3" l="1"/>
  <c r="E1117" i="3"/>
  <c r="F1117" i="3" l="1"/>
  <c r="E1118" i="3"/>
  <c r="F1118" i="3" l="1"/>
  <c r="E1119" i="3"/>
  <c r="F1119" i="3" l="1"/>
  <c r="E1120" i="3"/>
  <c r="F1120" i="3" l="1"/>
  <c r="E1121" i="3"/>
  <c r="F1121" i="3" l="1"/>
  <c r="E1122" i="3"/>
  <c r="F1122" i="3" l="1"/>
  <c r="E1123" i="3"/>
  <c r="F1123" i="3" l="1"/>
  <c r="E1124" i="3"/>
  <c r="F1124" i="3" l="1"/>
  <c r="E1125" i="3"/>
  <c r="F1125" i="3" l="1"/>
  <c r="E1126" i="3"/>
  <c r="F1126" i="3" l="1"/>
  <c r="E1127" i="3"/>
  <c r="F1127" i="3" l="1"/>
  <c r="E1128" i="3"/>
  <c r="F1128" i="3" l="1"/>
  <c r="E1129" i="3"/>
  <c r="F1129" i="3" l="1"/>
  <c r="E1130" i="3"/>
  <c r="F1130" i="3" l="1"/>
  <c r="E1131" i="3"/>
  <c r="F1131" i="3" l="1"/>
  <c r="E1132" i="3"/>
  <c r="F1132" i="3" l="1"/>
  <c r="E1133" i="3"/>
  <c r="F1133" i="3" l="1"/>
  <c r="E1134" i="3"/>
  <c r="F1134" i="3" l="1"/>
  <c r="E1135" i="3"/>
  <c r="F1135" i="3" l="1"/>
  <c r="E1136" i="3"/>
  <c r="F1136" i="3" l="1"/>
  <c r="E1137" i="3"/>
  <c r="F1137" i="3" l="1"/>
  <c r="E1138" i="3"/>
  <c r="F1138" i="3" l="1"/>
  <c r="E1139" i="3"/>
  <c r="F1139" i="3" l="1"/>
  <c r="E1140" i="3"/>
  <c r="F1140" i="3" l="1"/>
  <c r="E1141" i="3"/>
  <c r="F1141" i="3" l="1"/>
  <c r="E1142" i="3"/>
  <c r="F1142" i="3" l="1"/>
  <c r="E1143" i="3"/>
  <c r="F1143" i="3" l="1"/>
  <c r="E1144" i="3"/>
  <c r="F1144" i="3" l="1"/>
  <c r="E1145" i="3"/>
  <c r="F1145" i="3" l="1"/>
  <c r="E1146" i="3"/>
  <c r="F1146" i="3" l="1"/>
  <c r="E1147" i="3"/>
  <c r="F1147" i="3" l="1"/>
  <c r="E1148" i="3"/>
  <c r="F1148" i="3" l="1"/>
  <c r="E1149" i="3"/>
  <c r="F1149" i="3" l="1"/>
  <c r="E1150" i="3"/>
  <c r="F1150" i="3" l="1"/>
  <c r="E1151" i="3"/>
  <c r="F1151" i="3" l="1"/>
  <c r="E1152" i="3"/>
  <c r="F1152" i="3" l="1"/>
  <c r="E1153" i="3"/>
  <c r="F1153" i="3" l="1"/>
  <c r="E1154" i="3"/>
  <c r="F1154" i="3" l="1"/>
  <c r="E1155" i="3"/>
  <c r="F1155" i="3" l="1"/>
  <c r="E1156" i="3"/>
  <c r="F1156" i="3" l="1"/>
  <c r="E1157" i="3"/>
  <c r="F1157" i="3" l="1"/>
  <c r="E1158" i="3"/>
  <c r="F1158" i="3" l="1"/>
  <c r="E1159" i="3"/>
  <c r="F1159" i="3" l="1"/>
  <c r="E1160" i="3"/>
  <c r="F1160" i="3" l="1"/>
  <c r="E1161" i="3"/>
  <c r="F1161" i="3" l="1"/>
  <c r="E1162" i="3"/>
  <c r="F1162" i="3" l="1"/>
  <c r="E1163" i="3"/>
  <c r="F1163" i="3" l="1"/>
  <c r="E1164" i="3"/>
  <c r="F1164" i="3" l="1"/>
  <c r="E1165" i="3"/>
  <c r="F1165" i="3" l="1"/>
  <c r="E1166" i="3"/>
  <c r="F1166" i="3" l="1"/>
  <c r="E1167" i="3"/>
  <c r="F1167" i="3" l="1"/>
  <c r="E1168" i="3"/>
  <c r="F1168" i="3" l="1"/>
  <c r="E1169" i="3"/>
  <c r="F1169" i="3" l="1"/>
  <c r="E1170" i="3"/>
  <c r="F1170" i="3" l="1"/>
  <c r="E1171" i="3"/>
  <c r="F1171" i="3" l="1"/>
  <c r="E1172" i="3"/>
  <c r="F1172" i="3" l="1"/>
  <c r="E1173" i="3"/>
  <c r="F1173" i="3" l="1"/>
  <c r="E1174" i="3"/>
  <c r="F1174" i="3" l="1"/>
  <c r="E1175" i="3"/>
  <c r="F1175" i="3" l="1"/>
  <c r="E1176" i="3"/>
  <c r="F1176" i="3" l="1"/>
  <c r="E1177" i="3"/>
  <c r="F1177" i="3" l="1"/>
  <c r="E1178" i="3"/>
  <c r="F1178" i="3" l="1"/>
  <c r="E1179" i="3"/>
  <c r="F1179" i="3" l="1"/>
  <c r="E1180" i="3"/>
  <c r="F1180" i="3" l="1"/>
  <c r="E1181" i="3"/>
  <c r="F1181" i="3" l="1"/>
  <c r="E1182" i="3"/>
  <c r="F1182" i="3" l="1"/>
  <c r="E1183" i="3"/>
  <c r="F1183" i="3" l="1"/>
  <c r="E1184" i="3"/>
  <c r="F1184" i="3" l="1"/>
  <c r="E1185" i="3"/>
  <c r="F1185" i="3" l="1"/>
  <c r="E1186" i="3"/>
  <c r="F1186" i="3" l="1"/>
  <c r="E1187" i="3"/>
  <c r="F1187" i="3" l="1"/>
  <c r="E1188" i="3"/>
  <c r="F1188" i="3" l="1"/>
  <c r="E1189" i="3"/>
  <c r="F1189" i="3" l="1"/>
  <c r="E1190" i="3"/>
  <c r="F1190" i="3" l="1"/>
  <c r="E1191" i="3"/>
  <c r="F1191" i="3" l="1"/>
  <c r="E1192" i="3"/>
  <c r="F1192" i="3" l="1"/>
  <c r="E1193" i="3"/>
  <c r="F1193" i="3" l="1"/>
  <c r="E1194" i="3"/>
  <c r="F1194" i="3" l="1"/>
  <c r="E1195" i="3"/>
  <c r="F1195" i="3" l="1"/>
  <c r="E1196" i="3"/>
  <c r="F1196" i="3" l="1"/>
  <c r="E1197" i="3"/>
  <c r="F1197" i="3" l="1"/>
  <c r="E1198" i="3"/>
  <c r="F1198" i="3" l="1"/>
  <c r="E1199" i="3"/>
  <c r="F1199" i="3" l="1"/>
  <c r="E1200" i="3"/>
  <c r="F1200" i="3" l="1"/>
  <c r="E1201" i="3"/>
  <c r="F1201" i="3" l="1"/>
  <c r="E1202" i="3"/>
  <c r="F1202" i="3" l="1"/>
  <c r="E1203" i="3"/>
  <c r="F1203" i="3" l="1"/>
  <c r="E1204" i="3"/>
  <c r="F1204" i="3" l="1"/>
  <c r="E1205" i="3"/>
  <c r="F1205" i="3" l="1"/>
  <c r="E1206" i="3"/>
  <c r="F1206" i="3" l="1"/>
  <c r="E1207" i="3"/>
  <c r="F1207" i="3" l="1"/>
  <c r="E1208" i="3"/>
  <c r="F1208" i="3" l="1"/>
  <c r="E1209" i="3"/>
  <c r="F1209" i="3" l="1"/>
  <c r="E1210" i="3"/>
  <c r="F1210" i="3" l="1"/>
  <c r="E1211" i="3"/>
  <c r="F1211" i="3" l="1"/>
  <c r="E1212" i="3"/>
  <c r="F1212" i="3" l="1"/>
  <c r="E1213" i="3"/>
  <c r="F1213" i="3" l="1"/>
  <c r="E1214" i="3"/>
  <c r="F1214" i="3" l="1"/>
  <c r="E1215" i="3"/>
  <c r="F1215" i="3" l="1"/>
  <c r="E1216" i="3"/>
  <c r="F1216" i="3" l="1"/>
  <c r="E1217" i="3"/>
  <c r="F1217" i="3" l="1"/>
  <c r="E1218" i="3"/>
  <c r="F1218" i="3" l="1"/>
  <c r="E1219" i="3"/>
  <c r="F1219" i="3" l="1"/>
  <c r="E1220" i="3"/>
  <c r="F1220" i="3" l="1"/>
  <c r="E1221" i="3"/>
  <c r="F1221" i="3" l="1"/>
  <c r="E1222" i="3"/>
  <c r="F1222" i="3" l="1"/>
  <c r="E1223" i="3"/>
  <c r="F1223" i="3" l="1"/>
  <c r="E1224" i="3"/>
  <c r="F1224" i="3" l="1"/>
  <c r="E1225" i="3"/>
  <c r="F1225" i="3" l="1"/>
  <c r="E1226" i="3"/>
  <c r="F1226" i="3" l="1"/>
  <c r="E1227" i="3"/>
  <c r="F1227" i="3" l="1"/>
  <c r="E1228" i="3"/>
  <c r="F1228" i="3" l="1"/>
  <c r="E1229" i="3"/>
  <c r="F1229" i="3" l="1"/>
  <c r="E1230" i="3"/>
  <c r="F1230" i="3" l="1"/>
  <c r="E1231" i="3"/>
  <c r="F1231" i="3" l="1"/>
  <c r="E1232" i="3"/>
  <c r="F1232" i="3" l="1"/>
  <c r="E1233" i="3"/>
  <c r="F1233" i="3" l="1"/>
  <c r="E1234" i="3"/>
  <c r="F1234" i="3" l="1"/>
  <c r="E1235" i="3"/>
  <c r="F1235" i="3" l="1"/>
  <c r="E1236" i="3"/>
  <c r="F1236" i="3" l="1"/>
  <c r="E1237" i="3"/>
  <c r="F1237" i="3" l="1"/>
  <c r="E1238" i="3"/>
  <c r="F1238" i="3" l="1"/>
  <c r="E1239" i="3"/>
  <c r="F1239" i="3" l="1"/>
  <c r="E1240" i="3"/>
  <c r="F1240" i="3" l="1"/>
  <c r="E1241" i="3"/>
  <c r="F1241" i="3" l="1"/>
  <c r="E1242" i="3"/>
  <c r="F1242" i="3" l="1"/>
  <c r="E1243" i="3"/>
  <c r="F1243" i="3" l="1"/>
  <c r="E1244" i="3"/>
  <c r="F1244" i="3" l="1"/>
  <c r="E1245" i="3"/>
  <c r="F1245" i="3" l="1"/>
  <c r="E1246" i="3"/>
  <c r="F1246" i="3" l="1"/>
  <c r="E1247" i="3"/>
  <c r="F1247" i="3" l="1"/>
  <c r="E1248" i="3"/>
  <c r="F1248" i="3" l="1"/>
  <c r="E1249" i="3"/>
  <c r="F1249" i="3" l="1"/>
  <c r="E1250" i="3"/>
  <c r="F1250" i="3" l="1"/>
  <c r="E1251" i="3"/>
  <c r="F1251" i="3" l="1"/>
  <c r="E1252" i="3"/>
  <c r="F1252" i="3" l="1"/>
  <c r="E1253" i="3"/>
  <c r="F1253" i="3" l="1"/>
  <c r="E1254" i="3"/>
  <c r="F1254" i="3" l="1"/>
  <c r="E1255" i="3"/>
  <c r="F1255" i="3" l="1"/>
  <c r="E1256" i="3"/>
  <c r="F1256" i="3" l="1"/>
  <c r="E1257" i="3"/>
  <c r="F1257" i="3" l="1"/>
  <c r="E1258" i="3"/>
  <c r="F1258" i="3" l="1"/>
  <c r="E1259" i="3"/>
  <c r="F1259" i="3" l="1"/>
  <c r="E1260" i="3"/>
  <c r="F1260" i="3" l="1"/>
  <c r="E1261" i="3"/>
  <c r="F1261" i="3" l="1"/>
  <c r="E1262" i="3"/>
  <c r="F1262" i="3" l="1"/>
  <c r="E1263" i="3"/>
  <c r="F1263" i="3" l="1"/>
  <c r="E1264" i="3"/>
  <c r="F1264" i="3" l="1"/>
  <c r="E1265" i="3"/>
  <c r="F1265" i="3" l="1"/>
  <c r="E1266" i="3"/>
  <c r="F1266" i="3" l="1"/>
  <c r="E1267" i="3"/>
  <c r="F1267" i="3" l="1"/>
  <c r="E1268" i="3"/>
  <c r="F1268" i="3" l="1"/>
  <c r="E1269" i="3"/>
  <c r="F1269" i="3" l="1"/>
  <c r="E1270" i="3"/>
  <c r="F1270" i="3" l="1"/>
  <c r="E1271" i="3"/>
  <c r="F1271" i="3" l="1"/>
  <c r="E1272" i="3"/>
  <c r="F1272" i="3" l="1"/>
  <c r="E1273" i="3"/>
  <c r="F1273" i="3" l="1"/>
  <c r="E1274" i="3"/>
  <c r="F1274" i="3" l="1"/>
  <c r="E1275" i="3"/>
  <c r="F1275" i="3" l="1"/>
  <c r="E1276" i="3"/>
  <c r="F1276" i="3" l="1"/>
  <c r="E1277" i="3"/>
  <c r="F1277" i="3" l="1"/>
  <c r="E1278" i="3"/>
  <c r="F1278" i="3" l="1"/>
  <c r="E1279" i="3"/>
  <c r="F1279" i="3" l="1"/>
  <c r="E1280" i="3"/>
  <c r="F1280" i="3" l="1"/>
  <c r="E1281" i="3"/>
  <c r="F1281" i="3" l="1"/>
  <c r="E1282" i="3"/>
  <c r="F1282" i="3" l="1"/>
  <c r="E1283" i="3"/>
  <c r="F1283" i="3" l="1"/>
  <c r="E1284" i="3"/>
  <c r="F1284" i="3" l="1"/>
  <c r="E1285" i="3"/>
  <c r="F1285" i="3" l="1"/>
  <c r="E1286" i="3"/>
  <c r="F1286" i="3" l="1"/>
  <c r="E1287" i="3"/>
  <c r="F1287" i="3" l="1"/>
  <c r="E1288" i="3"/>
  <c r="F1288" i="3" l="1"/>
  <c r="E1289" i="3"/>
  <c r="F1289" i="3" l="1"/>
  <c r="E1290" i="3"/>
  <c r="F1290" i="3" l="1"/>
  <c r="E1291" i="3"/>
  <c r="F1291" i="3" l="1"/>
  <c r="E1292" i="3"/>
  <c r="F1292" i="3" l="1"/>
  <c r="E1293" i="3"/>
  <c r="F1293" i="3" l="1"/>
  <c r="E1294" i="3"/>
  <c r="F1294" i="3" l="1"/>
  <c r="E1295" i="3"/>
  <c r="F1295" i="3" l="1"/>
  <c r="E1296" i="3"/>
  <c r="F1296" i="3" l="1"/>
  <c r="E1297" i="3"/>
  <c r="F1297" i="3" l="1"/>
  <c r="E1298" i="3"/>
  <c r="F1298" i="3" l="1"/>
  <c r="E1299" i="3"/>
  <c r="F1299" i="3" l="1"/>
  <c r="E1300" i="3"/>
  <c r="F1300" i="3" l="1"/>
  <c r="E1301" i="3"/>
  <c r="F1301" i="3" l="1"/>
  <c r="E1302" i="3"/>
  <c r="F1302" i="3" l="1"/>
  <c r="E1303" i="3"/>
  <c r="F1303" i="3" l="1"/>
  <c r="E1304" i="3"/>
  <c r="F1304" i="3" l="1"/>
  <c r="E1305" i="3"/>
  <c r="F1305" i="3" l="1"/>
  <c r="E1306" i="3"/>
  <c r="F1306" i="3" l="1"/>
  <c r="E1307" i="3"/>
  <c r="F1307" i="3" l="1"/>
  <c r="E1308" i="3"/>
  <c r="F1308" i="3" l="1"/>
  <c r="E1309" i="3"/>
  <c r="F1309" i="3" l="1"/>
  <c r="E1310" i="3"/>
  <c r="F1310" i="3" l="1"/>
  <c r="E1311" i="3"/>
  <c r="F1311" i="3" l="1"/>
  <c r="E1312" i="3"/>
  <c r="F1312" i="3" l="1"/>
  <c r="E1313" i="3"/>
  <c r="F1313" i="3" l="1"/>
  <c r="E1314" i="3"/>
  <c r="F1314" i="3" l="1"/>
  <c r="E1315" i="3"/>
  <c r="F1315" i="3" l="1"/>
  <c r="E1316" i="3"/>
  <c r="F1316" i="3" l="1"/>
  <c r="E1317" i="3"/>
  <c r="F1317" i="3" l="1"/>
  <c r="E1318" i="3"/>
  <c r="F1318" i="3" l="1"/>
  <c r="E1319" i="3"/>
  <c r="F1319" i="3" l="1"/>
  <c r="E1320" i="3"/>
  <c r="F1320" i="3" l="1"/>
  <c r="E1321" i="3"/>
  <c r="F1321" i="3" l="1"/>
  <c r="E1322" i="3"/>
  <c r="F1322" i="3" l="1"/>
  <c r="E1323" i="3"/>
  <c r="F1323" i="3" l="1"/>
  <c r="E1324" i="3"/>
  <c r="F1324" i="3" l="1"/>
  <c r="E1325" i="3"/>
  <c r="F1325" i="3" l="1"/>
  <c r="E1326" i="3"/>
  <c r="F1326" i="3" l="1"/>
  <c r="E1327" i="3"/>
  <c r="F1327" i="3" l="1"/>
  <c r="E1328" i="3"/>
  <c r="F1328" i="3" l="1"/>
  <c r="E1329" i="3"/>
  <c r="F1329" i="3" l="1"/>
  <c r="E1330" i="3"/>
  <c r="F1330" i="3" l="1"/>
  <c r="E1331" i="3"/>
  <c r="F1331" i="3" l="1"/>
  <c r="E1332" i="3"/>
  <c r="F1332" i="3" l="1"/>
  <c r="E1333" i="3"/>
  <c r="F1333" i="3" l="1"/>
  <c r="E1334" i="3"/>
  <c r="F1334" i="3" l="1"/>
  <c r="E1335" i="3"/>
  <c r="F1335" i="3" l="1"/>
  <c r="E1336" i="3"/>
  <c r="F1336" i="3" l="1"/>
  <c r="E1337" i="3"/>
  <c r="F1337" i="3" l="1"/>
  <c r="E1338" i="3"/>
  <c r="F1338" i="3" l="1"/>
  <c r="E1339" i="3"/>
  <c r="F1339" i="3" l="1"/>
  <c r="E1340" i="3"/>
  <c r="F1340" i="3" l="1"/>
  <c r="E1341" i="3"/>
  <c r="F1341" i="3" l="1"/>
  <c r="E1342" i="3"/>
  <c r="F1342" i="3" l="1"/>
  <c r="E1343" i="3"/>
  <c r="F1343" i="3" l="1"/>
  <c r="E1344" i="3"/>
  <c r="F1344" i="3" l="1"/>
  <c r="E1345" i="3"/>
  <c r="F1345" i="3" l="1"/>
  <c r="E1346" i="3"/>
  <c r="F1346" i="3" l="1"/>
  <c r="E1347" i="3"/>
  <c r="F1347" i="3" l="1"/>
  <c r="E1348" i="3"/>
  <c r="F1348" i="3" l="1"/>
  <c r="E1349" i="3"/>
  <c r="F1349" i="3" l="1"/>
  <c r="E1350" i="3"/>
  <c r="F1350" i="3" l="1"/>
  <c r="E1351" i="3"/>
  <c r="F1351" i="3" l="1"/>
  <c r="E1352" i="3"/>
  <c r="F1352" i="3" l="1"/>
  <c r="E1353" i="3"/>
  <c r="F1353" i="3" l="1"/>
  <c r="E1354" i="3"/>
  <c r="F1354" i="3" l="1"/>
  <c r="E1355" i="3"/>
  <c r="F1355" i="3" l="1"/>
  <c r="E1356" i="3"/>
  <c r="F1356" i="3" l="1"/>
  <c r="E1357" i="3"/>
  <c r="F1357" i="3" l="1"/>
  <c r="E1358" i="3"/>
  <c r="F1358" i="3" l="1"/>
  <c r="E1359" i="3"/>
  <c r="F1359" i="3" l="1"/>
  <c r="E1360" i="3"/>
  <c r="F1360" i="3" l="1"/>
  <c r="E1361" i="3"/>
  <c r="F1361" i="3" l="1"/>
  <c r="E1362" i="3"/>
  <c r="F1362" i="3" l="1"/>
  <c r="E1363" i="3"/>
  <c r="F1363" i="3" l="1"/>
  <c r="E1364" i="3"/>
  <c r="F1364" i="3" l="1"/>
  <c r="E1365" i="3"/>
  <c r="F1365" i="3" l="1"/>
  <c r="E1366" i="3"/>
  <c r="F1366" i="3" l="1"/>
  <c r="E1367" i="3"/>
  <c r="F1367" i="3" l="1"/>
  <c r="E1368" i="3"/>
  <c r="F1368" i="3" l="1"/>
  <c r="E1369" i="3"/>
  <c r="F1369" i="3" l="1"/>
  <c r="E1370" i="3"/>
  <c r="F1370" i="3" l="1"/>
  <c r="E1371" i="3"/>
  <c r="F1371" i="3" l="1"/>
  <c r="E1372" i="3"/>
  <c r="F1372" i="3" l="1"/>
  <c r="E1373" i="3"/>
  <c r="F1373" i="3" l="1"/>
  <c r="E1374" i="3"/>
  <c r="F1374" i="3" l="1"/>
  <c r="E1375" i="3"/>
  <c r="F1375" i="3" l="1"/>
  <c r="E1376" i="3"/>
  <c r="F1376" i="3" l="1"/>
  <c r="E1377" i="3"/>
  <c r="F1377" i="3" l="1"/>
  <c r="E1378" i="3"/>
  <c r="F1378" i="3" l="1"/>
  <c r="E1379" i="3"/>
  <c r="F1379" i="3" l="1"/>
  <c r="E1380" i="3"/>
  <c r="F1380" i="3" l="1"/>
  <c r="E1381" i="3"/>
  <c r="F1381" i="3" l="1"/>
  <c r="E1382" i="3"/>
  <c r="F1382" i="3" l="1"/>
  <c r="E1383" i="3"/>
  <c r="F1383" i="3" l="1"/>
  <c r="E1384" i="3"/>
  <c r="F1384" i="3" l="1"/>
  <c r="E1385" i="3"/>
  <c r="F1385" i="3" l="1"/>
  <c r="E1386" i="3"/>
  <c r="F1386" i="3" l="1"/>
  <c r="E1387" i="3"/>
  <c r="F1387" i="3" l="1"/>
  <c r="E1388" i="3"/>
  <c r="F1388" i="3" l="1"/>
  <c r="E1389" i="3"/>
  <c r="F1389" i="3" l="1"/>
  <c r="E1390" i="3"/>
  <c r="F1390" i="3" l="1"/>
  <c r="E1391" i="3"/>
  <c r="F1391" i="3" l="1"/>
  <c r="E1392" i="3"/>
  <c r="F1392" i="3" l="1"/>
  <c r="E1393" i="3"/>
  <c r="F1393" i="3" l="1"/>
  <c r="E1394" i="3"/>
  <c r="F1394" i="3" l="1"/>
  <c r="E1395" i="3"/>
  <c r="F1395" i="3" l="1"/>
  <c r="E1396" i="3"/>
  <c r="F1396" i="3" l="1"/>
  <c r="E1397" i="3"/>
  <c r="F1397" i="3" l="1"/>
  <c r="E1398" i="3"/>
  <c r="F1398" i="3" l="1"/>
  <c r="E1399" i="3"/>
  <c r="F1399" i="3" l="1"/>
  <c r="E1400" i="3"/>
  <c r="F1400" i="3" l="1"/>
  <c r="E1401" i="3"/>
  <c r="F1401" i="3" l="1"/>
  <c r="E1402" i="3"/>
  <c r="F1402" i="3" l="1"/>
  <c r="E1403" i="3"/>
  <c r="F1403" i="3" l="1"/>
  <c r="E1404" i="3"/>
  <c r="F1404" i="3" l="1"/>
  <c r="E1405" i="3"/>
  <c r="F1405" i="3" l="1"/>
  <c r="E1406" i="3"/>
  <c r="F1406" i="3" l="1"/>
  <c r="E1407" i="3"/>
  <c r="F1407" i="3" l="1"/>
  <c r="E1408" i="3"/>
  <c r="F1408" i="3" l="1"/>
  <c r="E1409" i="3"/>
  <c r="F1409" i="3" l="1"/>
  <c r="E1410" i="3"/>
  <c r="F1410" i="3" l="1"/>
  <c r="E1411" i="3"/>
  <c r="F1411" i="3" l="1"/>
  <c r="E1412" i="3"/>
  <c r="F1412" i="3" l="1"/>
  <c r="E1413" i="3"/>
  <c r="F1413" i="3" l="1"/>
  <c r="E1414" i="3"/>
  <c r="F1414" i="3" l="1"/>
  <c r="E1415" i="3"/>
  <c r="F1415" i="3" l="1"/>
  <c r="E1416" i="3"/>
  <c r="F1416" i="3" l="1"/>
  <c r="E1417" i="3"/>
  <c r="F1417" i="3" l="1"/>
  <c r="E1418" i="3"/>
  <c r="F1418" i="3" l="1"/>
  <c r="E1419" i="3"/>
  <c r="F1419" i="3" l="1"/>
  <c r="E1420" i="3"/>
  <c r="F1420" i="3" l="1"/>
  <c r="E1421" i="3"/>
  <c r="F1421" i="3" l="1"/>
  <c r="E1422" i="3"/>
  <c r="F1422" i="3" l="1"/>
  <c r="E1423" i="3"/>
  <c r="F1423" i="3" l="1"/>
  <c r="E1424" i="3"/>
  <c r="F1424" i="3" l="1"/>
  <c r="E1425" i="3"/>
  <c r="F1425" i="3" l="1"/>
  <c r="E1426" i="3"/>
  <c r="F1426" i="3" l="1"/>
  <c r="E1427" i="3"/>
  <c r="F1427" i="3" l="1"/>
  <c r="E1428" i="3"/>
  <c r="F1428" i="3" l="1"/>
  <c r="E1429" i="3"/>
  <c r="F1429" i="3" l="1"/>
  <c r="E1430" i="3"/>
  <c r="F1430" i="3" l="1"/>
  <c r="E1431" i="3"/>
  <c r="F1431" i="3" l="1"/>
  <c r="E1432" i="3"/>
  <c r="F1432" i="3" l="1"/>
  <c r="E1433" i="3"/>
  <c r="F1433" i="3" l="1"/>
  <c r="E1434" i="3"/>
  <c r="F1434" i="3" l="1"/>
  <c r="E1435" i="3"/>
  <c r="F1435" i="3" l="1"/>
  <c r="E1436" i="3"/>
  <c r="F1436" i="3" l="1"/>
  <c r="E1437" i="3"/>
  <c r="F1437" i="3" l="1"/>
  <c r="E1438" i="3"/>
  <c r="F1438" i="3" l="1"/>
  <c r="E1439" i="3"/>
  <c r="F1439" i="3" l="1"/>
  <c r="E1440" i="3"/>
  <c r="F1440" i="3" l="1"/>
  <c r="E1441" i="3"/>
  <c r="F1441" i="3" l="1"/>
  <c r="E1442" i="3"/>
  <c r="F1442" i="3" l="1"/>
  <c r="E1443" i="3"/>
  <c r="F1443" i="3" l="1"/>
  <c r="E1444" i="3"/>
  <c r="F1444" i="3" l="1"/>
  <c r="E1445" i="3"/>
  <c r="F1445" i="3" l="1"/>
  <c r="E1446" i="3"/>
  <c r="F1446" i="3" l="1"/>
  <c r="E1447" i="3"/>
  <c r="F1447" i="3" l="1"/>
  <c r="E1448" i="3"/>
  <c r="F1448" i="3" l="1"/>
  <c r="E1449" i="3"/>
  <c r="F1449" i="3" l="1"/>
  <c r="E1450" i="3"/>
  <c r="F1450" i="3" l="1"/>
  <c r="E1451" i="3"/>
  <c r="F1451" i="3" l="1"/>
  <c r="E1452" i="3"/>
  <c r="F1452" i="3" l="1"/>
  <c r="E1453" i="3"/>
  <c r="F1453" i="3" l="1"/>
  <c r="E1454" i="3"/>
  <c r="F1454" i="3" l="1"/>
  <c r="E1455" i="3"/>
  <c r="F1455" i="3" l="1"/>
  <c r="E1456" i="3"/>
  <c r="F1456" i="3" l="1"/>
  <c r="E1457" i="3"/>
  <c r="F1457" i="3" l="1"/>
  <c r="E1458" i="3"/>
  <c r="F1458" i="3" l="1"/>
  <c r="E1459" i="3"/>
  <c r="F1459" i="3" l="1"/>
  <c r="E1460" i="3"/>
  <c r="F1460" i="3" l="1"/>
  <c r="E1461" i="3"/>
  <c r="F1461" i="3" l="1"/>
  <c r="E1462" i="3"/>
  <c r="F1462" i="3" l="1"/>
  <c r="E1463" i="3"/>
  <c r="F1463" i="3" l="1"/>
  <c r="E1464" i="3"/>
  <c r="F1464" i="3" l="1"/>
  <c r="E1465" i="3"/>
  <c r="F1465" i="3" l="1"/>
  <c r="E1466" i="3"/>
  <c r="F1466" i="3" l="1"/>
  <c r="E1467" i="3"/>
  <c r="F1467" i="3" l="1"/>
  <c r="E1468" i="3"/>
  <c r="F1468" i="3" l="1"/>
  <c r="E1469" i="3"/>
  <c r="F1469" i="3" l="1"/>
  <c r="E1470" i="3"/>
  <c r="F1470" i="3" l="1"/>
  <c r="E1471" i="3"/>
  <c r="F1471" i="3" l="1"/>
  <c r="E1472" i="3"/>
  <c r="F1472" i="3" l="1"/>
  <c r="E1473" i="3"/>
  <c r="F1473" i="3" l="1"/>
  <c r="E1474" i="3"/>
  <c r="F1474" i="3" l="1"/>
  <c r="E1475" i="3"/>
  <c r="F1475" i="3" l="1"/>
  <c r="E1476" i="3"/>
  <c r="F1476" i="3" l="1"/>
  <c r="E1477" i="3"/>
  <c r="F1477" i="3" l="1"/>
  <c r="E1478" i="3"/>
  <c r="F1478" i="3" l="1"/>
  <c r="E1479" i="3"/>
  <c r="F1479" i="3" l="1"/>
  <c r="E1480" i="3"/>
  <c r="F1480" i="3" l="1"/>
  <c r="E1481" i="3"/>
  <c r="F1481" i="3" l="1"/>
  <c r="E1482" i="3"/>
  <c r="F1482" i="3" l="1"/>
  <c r="E1483" i="3"/>
  <c r="F1483" i="3" l="1"/>
  <c r="E1484" i="3"/>
  <c r="F1484" i="3" l="1"/>
  <c r="E1485" i="3"/>
  <c r="F1485" i="3" l="1"/>
  <c r="E1486" i="3"/>
  <c r="F1486" i="3" l="1"/>
  <c r="E1487" i="3"/>
  <c r="F1487" i="3" l="1"/>
  <c r="E1488" i="3"/>
  <c r="F1488" i="3" l="1"/>
  <c r="E1489" i="3"/>
  <c r="F1489" i="3" l="1"/>
  <c r="E1490" i="3"/>
  <c r="F1490" i="3" l="1"/>
  <c r="E1491" i="3"/>
  <c r="F1491" i="3" l="1"/>
  <c r="E1492" i="3"/>
  <c r="F1492" i="3" l="1"/>
  <c r="E1493" i="3"/>
  <c r="F1493" i="3" l="1"/>
  <c r="E1494" i="3"/>
  <c r="F1494" i="3" l="1"/>
  <c r="E1495" i="3"/>
  <c r="F1495" i="3" l="1"/>
  <c r="E1496" i="3"/>
  <c r="F1496" i="3" l="1"/>
  <c r="E1497" i="3"/>
  <c r="F1497" i="3" l="1"/>
  <c r="E1498" i="3"/>
  <c r="F1498" i="3" l="1"/>
  <c r="E1499" i="3"/>
  <c r="F1499" i="3" l="1"/>
  <c r="E1500" i="3"/>
  <c r="F1500" i="3" l="1"/>
  <c r="E1501" i="3"/>
  <c r="F1501" i="3" l="1"/>
  <c r="E1502" i="3"/>
  <c r="F1502" i="3" l="1"/>
  <c r="E1503" i="3"/>
  <c r="F1503" i="3" l="1"/>
  <c r="E1504" i="3"/>
  <c r="F1504" i="3" l="1"/>
  <c r="E1505" i="3"/>
  <c r="F1505" i="3" l="1"/>
  <c r="E1506" i="3"/>
  <c r="F1506" i="3" l="1"/>
  <c r="E1507" i="3"/>
  <c r="F1507" i="3" l="1"/>
  <c r="E1508" i="3"/>
  <c r="F1508" i="3" l="1"/>
  <c r="E1509" i="3"/>
  <c r="F1509" i="3" l="1"/>
  <c r="E1510" i="3"/>
  <c r="F1510" i="3" l="1"/>
  <c r="E1511" i="3"/>
  <c r="F1511" i="3" l="1"/>
  <c r="E1512" i="3"/>
  <c r="F1512" i="3" l="1"/>
  <c r="E1513" i="3"/>
  <c r="F1513" i="3" l="1"/>
  <c r="E1514" i="3"/>
  <c r="F1514" i="3" l="1"/>
  <c r="E1515" i="3"/>
  <c r="F1515" i="3" l="1"/>
  <c r="E1516" i="3"/>
  <c r="F1516" i="3" l="1"/>
  <c r="E1517" i="3"/>
  <c r="F1517" i="3" l="1"/>
  <c r="E1518" i="3"/>
  <c r="F1518" i="3" l="1"/>
  <c r="E1519" i="3"/>
  <c r="F1519" i="3" l="1"/>
  <c r="E1520" i="3"/>
  <c r="F1520" i="3" l="1"/>
  <c r="E1521" i="3"/>
  <c r="F1521" i="3" l="1"/>
  <c r="E1522" i="3"/>
  <c r="F1522" i="3" l="1"/>
  <c r="E1523" i="3"/>
  <c r="F1523" i="3" l="1"/>
  <c r="E1524" i="3"/>
  <c r="F1524" i="3" l="1"/>
  <c r="E1525" i="3"/>
  <c r="F1525" i="3" l="1"/>
  <c r="E1526" i="3"/>
  <c r="F1526" i="3" l="1"/>
  <c r="E1527" i="3"/>
  <c r="F1527" i="3" l="1"/>
  <c r="E1528" i="3"/>
  <c r="F1528" i="3" l="1"/>
  <c r="E1529" i="3"/>
  <c r="F1529" i="3" l="1"/>
  <c r="E1530" i="3"/>
  <c r="F1530" i="3" l="1"/>
  <c r="E1531" i="3"/>
  <c r="F1531" i="3" l="1"/>
  <c r="E1532" i="3"/>
  <c r="F1532" i="3" l="1"/>
  <c r="E1533" i="3"/>
  <c r="F1533" i="3" l="1"/>
  <c r="E1534" i="3"/>
  <c r="F1534" i="3" l="1"/>
  <c r="E1535" i="3"/>
  <c r="F1535" i="3" l="1"/>
  <c r="E1536" i="3"/>
  <c r="F1536" i="3" l="1"/>
  <c r="E1537" i="3"/>
  <c r="F1537" i="3" l="1"/>
  <c r="E1538" i="3"/>
  <c r="F1538" i="3" l="1"/>
  <c r="E1539" i="3"/>
  <c r="F1539" i="3" l="1"/>
  <c r="E1540" i="3"/>
  <c r="F1540" i="3" l="1"/>
  <c r="E1541" i="3"/>
  <c r="F1541" i="3" l="1"/>
  <c r="E1542" i="3"/>
  <c r="F1542" i="3" l="1"/>
  <c r="E1543" i="3"/>
  <c r="F1543" i="3" l="1"/>
  <c r="E1544" i="3"/>
  <c r="F1544" i="3" l="1"/>
  <c r="E1545" i="3"/>
  <c r="F1545" i="3" l="1"/>
  <c r="E1546" i="3"/>
  <c r="F1546" i="3" l="1"/>
  <c r="E1547" i="3"/>
  <c r="F1547" i="3" l="1"/>
  <c r="E1548" i="3"/>
  <c r="F1548" i="3" l="1"/>
  <c r="E1549" i="3"/>
  <c r="F1549" i="3" l="1"/>
  <c r="E1550" i="3"/>
  <c r="F1550" i="3" l="1"/>
  <c r="E1551" i="3"/>
  <c r="F1551" i="3" l="1"/>
  <c r="E1552" i="3"/>
  <c r="F1552" i="3" l="1"/>
  <c r="E1553" i="3"/>
  <c r="F1553" i="3" l="1"/>
  <c r="E1554" i="3"/>
  <c r="F1554" i="3" l="1"/>
  <c r="E1555" i="3"/>
  <c r="F1555" i="3" l="1"/>
  <c r="E1556" i="3"/>
  <c r="F1556" i="3" l="1"/>
  <c r="E1557" i="3"/>
  <c r="F1557" i="3" l="1"/>
  <c r="E1558" i="3"/>
  <c r="F1558" i="3" l="1"/>
  <c r="E1559" i="3"/>
  <c r="F1559" i="3" l="1"/>
  <c r="E1560" i="3"/>
  <c r="F1560" i="3" l="1"/>
  <c r="E1561" i="3"/>
  <c r="F1561" i="3" l="1"/>
  <c r="E1562" i="3"/>
  <c r="F1562" i="3" l="1"/>
  <c r="E1563" i="3"/>
  <c r="F1563" i="3" l="1"/>
  <c r="E1564" i="3"/>
  <c r="F1564" i="3" l="1"/>
  <c r="E1565" i="3"/>
  <c r="F1565" i="3" l="1"/>
  <c r="E1566" i="3"/>
  <c r="F1566" i="3" l="1"/>
  <c r="E1567" i="3"/>
  <c r="F1567" i="3" l="1"/>
  <c r="E1568" i="3"/>
  <c r="F1568" i="3" l="1"/>
  <c r="E1569" i="3"/>
  <c r="F1569" i="3" l="1"/>
  <c r="E1570" i="3"/>
  <c r="F1570" i="3" l="1"/>
  <c r="E1571" i="3"/>
  <c r="F1571" i="3" l="1"/>
  <c r="E1572" i="3"/>
  <c r="F1572" i="3" l="1"/>
  <c r="E1573" i="3"/>
  <c r="F1573" i="3" l="1"/>
  <c r="E1574" i="3"/>
  <c r="F1574" i="3" l="1"/>
  <c r="E1575" i="3"/>
  <c r="F1575" i="3" l="1"/>
  <c r="E1576" i="3"/>
  <c r="F1576" i="3" l="1"/>
  <c r="E1577" i="3"/>
  <c r="F1577" i="3" l="1"/>
  <c r="E1578" i="3"/>
  <c r="F1578" i="3" l="1"/>
  <c r="E1579" i="3"/>
  <c r="F1579" i="3" l="1"/>
  <c r="E1580" i="3"/>
  <c r="F1580" i="3" l="1"/>
  <c r="E1581" i="3"/>
  <c r="F1581" i="3" l="1"/>
  <c r="E1582" i="3"/>
  <c r="F1582" i="3" l="1"/>
  <c r="E1583" i="3"/>
  <c r="F1583" i="3" l="1"/>
  <c r="E1584" i="3"/>
  <c r="F1584" i="3" l="1"/>
  <c r="E1585" i="3"/>
  <c r="F1585" i="3" l="1"/>
  <c r="E1586" i="3"/>
  <c r="F1586" i="3" l="1"/>
  <c r="E1587" i="3"/>
  <c r="F1587" i="3" l="1"/>
  <c r="E1588" i="3"/>
  <c r="F1588" i="3" l="1"/>
  <c r="E1589" i="3"/>
  <c r="F1589" i="3" l="1"/>
  <c r="E1590" i="3"/>
  <c r="F1590" i="3" l="1"/>
  <c r="E1591" i="3"/>
  <c r="F1591" i="3" l="1"/>
  <c r="E1592" i="3"/>
  <c r="F1592" i="3" l="1"/>
  <c r="E1593" i="3"/>
  <c r="F1593" i="3" l="1"/>
  <c r="E1594" i="3"/>
  <c r="F1594" i="3" l="1"/>
  <c r="E1595" i="3"/>
  <c r="F1595" i="3" l="1"/>
  <c r="E1596" i="3"/>
  <c r="F1596" i="3" l="1"/>
  <c r="E1597" i="3"/>
  <c r="F1597" i="3" l="1"/>
  <c r="E1598" i="3"/>
  <c r="F1598" i="3" l="1"/>
  <c r="E1599" i="3"/>
  <c r="F1599" i="3" l="1"/>
  <c r="E1600" i="3"/>
  <c r="F1600" i="3" l="1"/>
  <c r="E1601" i="3"/>
  <c r="F1601" i="3" l="1"/>
  <c r="E1602" i="3"/>
  <c r="F1602" i="3" l="1"/>
  <c r="E1603" i="3"/>
  <c r="F1603" i="3" l="1"/>
  <c r="E1604" i="3"/>
  <c r="F1604" i="3" l="1"/>
  <c r="E1605" i="3"/>
  <c r="F1605" i="3" l="1"/>
  <c r="E1606" i="3"/>
  <c r="F1606" i="3" l="1"/>
  <c r="E1607" i="3"/>
  <c r="F1607" i="3" l="1"/>
  <c r="E1608" i="3"/>
  <c r="F1608" i="3" l="1"/>
  <c r="E1609" i="3"/>
  <c r="F1609" i="3" l="1"/>
  <c r="E1610" i="3"/>
  <c r="F1610" i="3" l="1"/>
  <c r="E1611" i="3"/>
  <c r="F1611" i="3" l="1"/>
  <c r="E1612" i="3"/>
  <c r="F1612" i="3" l="1"/>
  <c r="E1613" i="3"/>
  <c r="F1613" i="3" l="1"/>
  <c r="E1614" i="3"/>
  <c r="F1614" i="3" l="1"/>
  <c r="E1615" i="3"/>
  <c r="F1615" i="3" l="1"/>
  <c r="E1616" i="3"/>
  <c r="F1616" i="3" l="1"/>
  <c r="E1617" i="3"/>
  <c r="F1617" i="3" l="1"/>
  <c r="E1618" i="3"/>
  <c r="F1618" i="3" l="1"/>
  <c r="E1619" i="3"/>
  <c r="F1619" i="3" l="1"/>
  <c r="E1620" i="3"/>
  <c r="F1620" i="3" l="1"/>
  <c r="E1621" i="3"/>
  <c r="F1621" i="3" l="1"/>
  <c r="E1622" i="3"/>
  <c r="F1622" i="3" l="1"/>
  <c r="E1623" i="3"/>
  <c r="F1623" i="3" l="1"/>
  <c r="E1624" i="3"/>
  <c r="F1624" i="3" l="1"/>
  <c r="E1625" i="3"/>
  <c r="F1625" i="3" l="1"/>
  <c r="E1626" i="3"/>
  <c r="F1626" i="3" l="1"/>
  <c r="E1627" i="3"/>
  <c r="F1627" i="3" l="1"/>
  <c r="E1628" i="3"/>
  <c r="F1628" i="3" l="1"/>
  <c r="E1629" i="3"/>
  <c r="F1629" i="3" l="1"/>
  <c r="E1630" i="3"/>
  <c r="F1630" i="3" l="1"/>
  <c r="E1631" i="3"/>
  <c r="F1631" i="3" l="1"/>
  <c r="E1632" i="3"/>
  <c r="F1632" i="3" l="1"/>
  <c r="E1633" i="3"/>
  <c r="F1633" i="3" l="1"/>
  <c r="E1634" i="3"/>
  <c r="F1634" i="3" l="1"/>
  <c r="E1635" i="3"/>
  <c r="F1635" i="3" l="1"/>
  <c r="E1636" i="3"/>
  <c r="F1636" i="3" l="1"/>
  <c r="E1637" i="3"/>
  <c r="F1637" i="3" l="1"/>
  <c r="E1638" i="3"/>
  <c r="F1638" i="3" l="1"/>
  <c r="E1639" i="3"/>
  <c r="F1639" i="3" l="1"/>
  <c r="E1640" i="3"/>
  <c r="F1640" i="3" l="1"/>
  <c r="E1641" i="3"/>
  <c r="F1641" i="3" l="1"/>
  <c r="E1642" i="3"/>
  <c r="F1642" i="3" l="1"/>
  <c r="E1643" i="3"/>
  <c r="F1643" i="3" l="1"/>
  <c r="E1644" i="3"/>
  <c r="F1644" i="3" l="1"/>
  <c r="E1645" i="3"/>
  <c r="F1645" i="3" l="1"/>
  <c r="E1646" i="3"/>
  <c r="F1646" i="3" l="1"/>
  <c r="E1647" i="3"/>
  <c r="F1647" i="3" l="1"/>
  <c r="E1648" i="3"/>
  <c r="F1648" i="3" l="1"/>
  <c r="E1649" i="3"/>
  <c r="F1649" i="3" l="1"/>
  <c r="E1650" i="3"/>
  <c r="F1650" i="3" l="1"/>
  <c r="E1651" i="3"/>
  <c r="F1651" i="3" l="1"/>
  <c r="E1652" i="3"/>
  <c r="F1652" i="3" l="1"/>
  <c r="E1653" i="3"/>
  <c r="F1653" i="3" l="1"/>
  <c r="E1654" i="3"/>
  <c r="F1654" i="3" l="1"/>
  <c r="E1655" i="3"/>
  <c r="F1655" i="3" l="1"/>
  <c r="E1656" i="3"/>
  <c r="F1656" i="3" l="1"/>
  <c r="E1657" i="3"/>
  <c r="F1657" i="3" l="1"/>
  <c r="E1658" i="3"/>
  <c r="F1658" i="3" l="1"/>
  <c r="E1659" i="3"/>
  <c r="F1659" i="3" l="1"/>
  <c r="E1660" i="3"/>
  <c r="F1660" i="3" l="1"/>
  <c r="E1661" i="3"/>
  <c r="F1661" i="3" l="1"/>
  <c r="E1662" i="3"/>
  <c r="F1662" i="3" l="1"/>
  <c r="E1663" i="3"/>
  <c r="F1663" i="3" l="1"/>
  <c r="E1664" i="3"/>
  <c r="F1664" i="3" l="1"/>
  <c r="E1665" i="3"/>
  <c r="F1665" i="3" l="1"/>
  <c r="E1666" i="3"/>
  <c r="F1666" i="3" l="1"/>
  <c r="E1667" i="3"/>
  <c r="F1667" i="3" l="1"/>
  <c r="E1668" i="3"/>
  <c r="F1668" i="3" l="1"/>
  <c r="E1669" i="3"/>
  <c r="F1669" i="3" l="1"/>
  <c r="E1670" i="3"/>
  <c r="F1670" i="3" l="1"/>
  <c r="E1671" i="3"/>
  <c r="F1671" i="3" l="1"/>
  <c r="E1672" i="3"/>
  <c r="F1672" i="3" l="1"/>
  <c r="E1673" i="3"/>
  <c r="F1673" i="3" l="1"/>
  <c r="E1674" i="3"/>
  <c r="F1674" i="3" l="1"/>
  <c r="E1675" i="3"/>
  <c r="F1675" i="3" l="1"/>
  <c r="E1676" i="3"/>
  <c r="F1676" i="3" l="1"/>
  <c r="E1677" i="3"/>
  <c r="F1677" i="3" l="1"/>
  <c r="E1678" i="3"/>
  <c r="F1678" i="3" l="1"/>
  <c r="E1679" i="3"/>
  <c r="F1679" i="3" l="1"/>
  <c r="E1680" i="3"/>
  <c r="F1680" i="3" l="1"/>
  <c r="E1681" i="3"/>
  <c r="F1681" i="3" l="1"/>
  <c r="E1682" i="3"/>
  <c r="F1682" i="3" l="1"/>
  <c r="E1683" i="3"/>
  <c r="F1683" i="3" l="1"/>
  <c r="E1684" i="3"/>
  <c r="F1684" i="3" l="1"/>
  <c r="E1685" i="3"/>
  <c r="F1685" i="3" l="1"/>
  <c r="E1686" i="3"/>
  <c r="F1686" i="3" l="1"/>
  <c r="E1687" i="3"/>
  <c r="F1687" i="3" l="1"/>
  <c r="E1688" i="3"/>
  <c r="F1688" i="3" l="1"/>
  <c r="E1689" i="3"/>
  <c r="F1689" i="3" l="1"/>
  <c r="E1690" i="3"/>
  <c r="F1690" i="3" l="1"/>
  <c r="E1691" i="3"/>
  <c r="F1691" i="3" l="1"/>
  <c r="E1692" i="3"/>
  <c r="F1692" i="3" l="1"/>
  <c r="E1693" i="3"/>
  <c r="F1693" i="3" l="1"/>
  <c r="E1694" i="3"/>
  <c r="F1694" i="3" l="1"/>
  <c r="E1695" i="3"/>
  <c r="F1695" i="3" l="1"/>
  <c r="E1696" i="3"/>
  <c r="F1696" i="3" l="1"/>
  <c r="E1697" i="3"/>
  <c r="F1697" i="3" l="1"/>
  <c r="E1698" i="3"/>
  <c r="F1698" i="3" l="1"/>
  <c r="E1699" i="3"/>
  <c r="F1699" i="3" l="1"/>
  <c r="E1700" i="3"/>
  <c r="F1700" i="3" l="1"/>
  <c r="E1701" i="3"/>
  <c r="F1701" i="3" l="1"/>
  <c r="E1702" i="3"/>
  <c r="F1702" i="3" l="1"/>
  <c r="E1703" i="3"/>
  <c r="F1703" i="3" l="1"/>
  <c r="E1704" i="3"/>
  <c r="F1704" i="3" l="1"/>
  <c r="E1705" i="3"/>
  <c r="F1705" i="3" l="1"/>
  <c r="E1706" i="3"/>
  <c r="F1706" i="3" l="1"/>
  <c r="E1707" i="3"/>
  <c r="F1707" i="3" l="1"/>
  <c r="E1708" i="3"/>
  <c r="F1708" i="3" l="1"/>
  <c r="E1709" i="3"/>
  <c r="F1709" i="3" l="1"/>
  <c r="E1710" i="3"/>
  <c r="F1710" i="3" l="1"/>
  <c r="E1711" i="3"/>
  <c r="F1711" i="3" l="1"/>
  <c r="E1712" i="3"/>
  <c r="F1712" i="3" l="1"/>
  <c r="E1713" i="3"/>
  <c r="F1713" i="3" l="1"/>
  <c r="E1714" i="3"/>
  <c r="F1714" i="3" l="1"/>
  <c r="E1715" i="3"/>
  <c r="F1715" i="3" l="1"/>
  <c r="E1716" i="3"/>
  <c r="F1716" i="3" l="1"/>
  <c r="E1717" i="3"/>
  <c r="F1717" i="3" l="1"/>
  <c r="E1718" i="3"/>
  <c r="F1718" i="3" l="1"/>
  <c r="E1719" i="3"/>
  <c r="F1719" i="3" l="1"/>
  <c r="E1720" i="3"/>
  <c r="F1720" i="3" l="1"/>
  <c r="E1721" i="3"/>
  <c r="F1721" i="3" l="1"/>
  <c r="E1722" i="3"/>
  <c r="F1722" i="3" l="1"/>
  <c r="E1723" i="3"/>
  <c r="F1723" i="3" l="1"/>
  <c r="E1724" i="3"/>
  <c r="F1724" i="3" l="1"/>
  <c r="E1725" i="3"/>
  <c r="F1725" i="3" l="1"/>
  <c r="E1726" i="3"/>
  <c r="F1726" i="3" l="1"/>
  <c r="E1727" i="3"/>
  <c r="F1727" i="3" l="1"/>
  <c r="E1728" i="3"/>
  <c r="F1728" i="3" l="1"/>
  <c r="E1729" i="3"/>
  <c r="F1729" i="3" l="1"/>
  <c r="E1730" i="3"/>
  <c r="F1730" i="3" l="1"/>
  <c r="E1731" i="3"/>
  <c r="F1731" i="3" l="1"/>
  <c r="E1732" i="3"/>
  <c r="F1732" i="3" l="1"/>
  <c r="E1733" i="3"/>
  <c r="F1733" i="3" l="1"/>
  <c r="E1734" i="3"/>
  <c r="F1734" i="3" l="1"/>
  <c r="E1735" i="3"/>
  <c r="F1735" i="3" l="1"/>
  <c r="E1736" i="3"/>
  <c r="F1736" i="3" l="1"/>
  <c r="E1737" i="3"/>
  <c r="F1737" i="3" l="1"/>
  <c r="E1738" i="3"/>
  <c r="F1738" i="3" l="1"/>
  <c r="E1739" i="3"/>
  <c r="F1739" i="3" l="1"/>
  <c r="E1740" i="3"/>
  <c r="F1740" i="3" l="1"/>
  <c r="E1741" i="3"/>
  <c r="F1741" i="3" l="1"/>
  <c r="E1742" i="3"/>
  <c r="F1742" i="3" l="1"/>
  <c r="E1743" i="3"/>
  <c r="F1743" i="3" l="1"/>
  <c r="E1744" i="3"/>
  <c r="F1744" i="3" l="1"/>
  <c r="E1745" i="3"/>
  <c r="F1745" i="3" l="1"/>
  <c r="E1746" i="3"/>
  <c r="F1746" i="3" l="1"/>
  <c r="E1747" i="3"/>
  <c r="F1747" i="3" l="1"/>
  <c r="E1748" i="3"/>
  <c r="F1748" i="3" l="1"/>
  <c r="E1749" i="3"/>
  <c r="F1749" i="3" l="1"/>
  <c r="E1750" i="3"/>
  <c r="F1750" i="3" l="1"/>
  <c r="E1751" i="3"/>
  <c r="F1751" i="3" l="1"/>
  <c r="E1752" i="3"/>
  <c r="F1752" i="3" l="1"/>
  <c r="E1753" i="3"/>
  <c r="F1753" i="3" l="1"/>
  <c r="E1754" i="3"/>
  <c r="F1754" i="3" l="1"/>
  <c r="E1755" i="3"/>
  <c r="F1755" i="3" l="1"/>
  <c r="E1756" i="3"/>
  <c r="F1756" i="3" l="1"/>
  <c r="E1757" i="3"/>
  <c r="F1757" i="3" l="1"/>
  <c r="E1758" i="3"/>
  <c r="F1758" i="3" l="1"/>
  <c r="E1759" i="3"/>
  <c r="F1759" i="3" l="1"/>
  <c r="E1760" i="3"/>
  <c r="F1760" i="3" l="1"/>
  <c r="E1761" i="3"/>
  <c r="F1761" i="3" l="1"/>
  <c r="E1762" i="3"/>
  <c r="F1762" i="3" l="1"/>
  <c r="E1763" i="3"/>
  <c r="F1763" i="3" l="1"/>
  <c r="E1764" i="3"/>
  <c r="F1764" i="3" l="1"/>
  <c r="E1765" i="3"/>
  <c r="F1765" i="3" l="1"/>
  <c r="E1766" i="3"/>
  <c r="F1766" i="3" l="1"/>
  <c r="E1767" i="3"/>
  <c r="F1767" i="3" l="1"/>
  <c r="E1768" i="3"/>
  <c r="F1768" i="3" l="1"/>
  <c r="E1769" i="3"/>
  <c r="F1769" i="3" l="1"/>
  <c r="E1770" i="3"/>
  <c r="F1770" i="3" l="1"/>
  <c r="E1771" i="3"/>
  <c r="F1771" i="3" l="1"/>
  <c r="E1772" i="3"/>
  <c r="F1772" i="3" l="1"/>
  <c r="E1773" i="3"/>
  <c r="F1773" i="3" l="1"/>
  <c r="E1774" i="3"/>
  <c r="F1774" i="3" l="1"/>
  <c r="E1775" i="3"/>
  <c r="F1775" i="3" l="1"/>
  <c r="E1776" i="3"/>
  <c r="F1776" i="3" l="1"/>
  <c r="E1777" i="3"/>
  <c r="F1777" i="3" l="1"/>
  <c r="E1778" i="3"/>
  <c r="F1778" i="3" l="1"/>
  <c r="E1779" i="3"/>
  <c r="F1779" i="3" l="1"/>
  <c r="E1780" i="3"/>
  <c r="F1780" i="3" l="1"/>
  <c r="E1781" i="3"/>
  <c r="F1781" i="3" l="1"/>
  <c r="E1782" i="3"/>
  <c r="F1782" i="3" l="1"/>
  <c r="E1783" i="3"/>
  <c r="F1783" i="3" l="1"/>
  <c r="E1784" i="3"/>
  <c r="F1784" i="3" l="1"/>
  <c r="E1785" i="3"/>
  <c r="F1785" i="3" l="1"/>
  <c r="E1786" i="3"/>
  <c r="F1786" i="3" l="1"/>
  <c r="E1787" i="3"/>
  <c r="F1787" i="3" l="1"/>
  <c r="E1788" i="3"/>
  <c r="F1788" i="3" l="1"/>
  <c r="E1789" i="3"/>
  <c r="F1789" i="3" l="1"/>
  <c r="E1790" i="3"/>
  <c r="F1790" i="3" l="1"/>
  <c r="E1791" i="3"/>
  <c r="F1791" i="3" l="1"/>
  <c r="E1792" i="3"/>
  <c r="F1792" i="3" l="1"/>
  <c r="E1793" i="3"/>
  <c r="F1793" i="3" l="1"/>
  <c r="E1794" i="3"/>
  <c r="F1794" i="3" l="1"/>
  <c r="E1795" i="3"/>
  <c r="F1795" i="3" l="1"/>
  <c r="E1796" i="3"/>
  <c r="F1796" i="3" l="1"/>
  <c r="E1797" i="3"/>
  <c r="F1797" i="3" l="1"/>
  <c r="E1798" i="3"/>
  <c r="F1798" i="3" l="1"/>
  <c r="E1799" i="3"/>
  <c r="F1799" i="3" l="1"/>
  <c r="E1800" i="3"/>
  <c r="F1800" i="3" l="1"/>
  <c r="E1801" i="3"/>
  <c r="F1801" i="3" l="1"/>
  <c r="E1802" i="3"/>
  <c r="F1802" i="3" l="1"/>
  <c r="E1803" i="3"/>
  <c r="F1803" i="3" l="1"/>
  <c r="E1804" i="3"/>
  <c r="F1804" i="3" l="1"/>
  <c r="E1805" i="3"/>
  <c r="F1805" i="3" l="1"/>
  <c r="E1806" i="3"/>
  <c r="F1806" i="3" l="1"/>
  <c r="E1807" i="3"/>
  <c r="F1807" i="3" l="1"/>
  <c r="E1808" i="3"/>
  <c r="F1808" i="3" l="1"/>
  <c r="E1809" i="3"/>
  <c r="F1809" i="3" l="1"/>
  <c r="E1810" i="3"/>
  <c r="F1810" i="3" l="1"/>
  <c r="E1811" i="3"/>
  <c r="F1811" i="3" l="1"/>
  <c r="E1812" i="3"/>
  <c r="F1812" i="3" l="1"/>
  <c r="E1813" i="3"/>
  <c r="F1813" i="3" l="1"/>
  <c r="E1814" i="3"/>
  <c r="F1814" i="3" l="1"/>
  <c r="E1815" i="3"/>
  <c r="F1815" i="3" l="1"/>
  <c r="E1816" i="3"/>
  <c r="F1816" i="3" l="1"/>
  <c r="E1817" i="3"/>
  <c r="F1817" i="3" l="1"/>
  <c r="E1818" i="3"/>
  <c r="F1818" i="3" l="1"/>
  <c r="E1819" i="3"/>
  <c r="F1819" i="3" l="1"/>
  <c r="E1820" i="3"/>
  <c r="F1820" i="3" l="1"/>
  <c r="E1821" i="3"/>
  <c r="F1821" i="3" l="1"/>
  <c r="E1822" i="3"/>
  <c r="F1822" i="3" l="1"/>
  <c r="E1823" i="3"/>
  <c r="F1823" i="3" l="1"/>
  <c r="E1824" i="3"/>
  <c r="F1824" i="3" l="1"/>
  <c r="E1825" i="3"/>
  <c r="F1825" i="3" l="1"/>
  <c r="E1826" i="3"/>
  <c r="F1826" i="3" l="1"/>
  <c r="E1827" i="3"/>
  <c r="F1827" i="3" l="1"/>
  <c r="E1828" i="3"/>
  <c r="F1828" i="3" l="1"/>
  <c r="E1829" i="3"/>
  <c r="F1829" i="3" l="1"/>
  <c r="E1830" i="3"/>
  <c r="F1830" i="3" l="1"/>
  <c r="E1831" i="3"/>
  <c r="F1831" i="3" l="1"/>
  <c r="E1832" i="3"/>
  <c r="F1832" i="3" l="1"/>
  <c r="E1833" i="3"/>
  <c r="F1833" i="3" l="1"/>
  <c r="E1834" i="3"/>
  <c r="F1834" i="3" l="1"/>
  <c r="E1835" i="3"/>
  <c r="F1835" i="3" l="1"/>
  <c r="E1836" i="3"/>
  <c r="F1836" i="3" l="1"/>
  <c r="E1837" i="3"/>
  <c r="F1837" i="3" l="1"/>
  <c r="E1838" i="3"/>
  <c r="F1838" i="3" l="1"/>
  <c r="E1839" i="3"/>
  <c r="F1839" i="3" l="1"/>
  <c r="E1840" i="3"/>
  <c r="F1840" i="3" l="1"/>
  <c r="E1841" i="3"/>
  <c r="F1841" i="3" l="1"/>
  <c r="E1842" i="3"/>
  <c r="F1842" i="3" l="1"/>
  <c r="E1843" i="3"/>
  <c r="F1843" i="3" l="1"/>
  <c r="E1844" i="3"/>
  <c r="F1844" i="3" l="1"/>
  <c r="E1845" i="3"/>
  <c r="F1845" i="3" l="1"/>
  <c r="E1846" i="3"/>
  <c r="F1846" i="3" l="1"/>
  <c r="E1847" i="3"/>
  <c r="F1847" i="3" l="1"/>
  <c r="E1848" i="3"/>
  <c r="F1848" i="3" l="1"/>
  <c r="E1849" i="3"/>
  <c r="F1849" i="3" l="1"/>
  <c r="E1850" i="3"/>
  <c r="F1850" i="3" l="1"/>
  <c r="E1851" i="3"/>
  <c r="F1851" i="3" l="1"/>
  <c r="E1852" i="3"/>
  <c r="F1852" i="3" l="1"/>
  <c r="E1853" i="3"/>
  <c r="F1853" i="3" l="1"/>
  <c r="E1854" i="3"/>
  <c r="F1854" i="3" l="1"/>
  <c r="E1855" i="3"/>
  <c r="F1855" i="3" l="1"/>
  <c r="E1856" i="3"/>
  <c r="F1856" i="3" l="1"/>
  <c r="E1857" i="3"/>
  <c r="F1857" i="3" l="1"/>
  <c r="E1858" i="3"/>
  <c r="F1858" i="3" l="1"/>
  <c r="E1859" i="3"/>
  <c r="F1859" i="3" l="1"/>
  <c r="E1860" i="3"/>
  <c r="F1860" i="3" l="1"/>
  <c r="E1861" i="3"/>
  <c r="F1861" i="3" l="1"/>
  <c r="E1862" i="3"/>
  <c r="F1862" i="3" l="1"/>
  <c r="E1863" i="3"/>
  <c r="F1863" i="3" l="1"/>
  <c r="E1864" i="3"/>
  <c r="F1864" i="3" l="1"/>
  <c r="E1865" i="3"/>
  <c r="F1865" i="3" l="1"/>
  <c r="E1866" i="3"/>
  <c r="F1866" i="3" l="1"/>
  <c r="E1867" i="3"/>
  <c r="F1867" i="3" l="1"/>
  <c r="E1868" i="3"/>
  <c r="F1868" i="3" l="1"/>
  <c r="E1869" i="3"/>
  <c r="F1869" i="3" l="1"/>
  <c r="E1870" i="3"/>
  <c r="F1870" i="3" l="1"/>
  <c r="E1871" i="3"/>
  <c r="F1871" i="3" l="1"/>
  <c r="E1872" i="3"/>
  <c r="F1872" i="3" l="1"/>
  <c r="E1873" i="3"/>
  <c r="F1873" i="3" l="1"/>
  <c r="E1874" i="3"/>
  <c r="F1874" i="3" l="1"/>
  <c r="E1875" i="3"/>
  <c r="F1875" i="3" l="1"/>
  <c r="E1876" i="3"/>
  <c r="F1876" i="3" l="1"/>
  <c r="E1877" i="3"/>
  <c r="F1877" i="3" l="1"/>
  <c r="E1878" i="3"/>
  <c r="F1878" i="3" l="1"/>
  <c r="E1879" i="3"/>
  <c r="F1879" i="3" l="1"/>
  <c r="E1880" i="3"/>
  <c r="F1880" i="3" l="1"/>
  <c r="E1881" i="3"/>
  <c r="F1881" i="3" l="1"/>
  <c r="E1882" i="3"/>
  <c r="F1882" i="3" l="1"/>
  <c r="E1883" i="3"/>
  <c r="F1883" i="3" l="1"/>
  <c r="E1884" i="3"/>
  <c r="F1884" i="3" l="1"/>
  <c r="E1885" i="3"/>
  <c r="F1885" i="3" l="1"/>
  <c r="E1886" i="3"/>
  <c r="F1886" i="3" l="1"/>
  <c r="E1887" i="3"/>
  <c r="F1887" i="3" l="1"/>
  <c r="E1888" i="3"/>
  <c r="F1888" i="3" l="1"/>
  <c r="E1889" i="3"/>
  <c r="F1889" i="3" l="1"/>
  <c r="E1890" i="3"/>
  <c r="F1890" i="3" l="1"/>
  <c r="E1891" i="3"/>
  <c r="F1891" i="3" l="1"/>
  <c r="E1892" i="3"/>
  <c r="F1892" i="3" l="1"/>
  <c r="E1893" i="3"/>
  <c r="F1893" i="3" l="1"/>
  <c r="E1894" i="3"/>
  <c r="F1894" i="3" l="1"/>
  <c r="E1895" i="3"/>
  <c r="F1895" i="3" l="1"/>
  <c r="E1896" i="3"/>
  <c r="F1896" i="3" l="1"/>
  <c r="E1897" i="3"/>
  <c r="F1897" i="3" l="1"/>
  <c r="E1898" i="3"/>
  <c r="F1898" i="3" l="1"/>
  <c r="E1899" i="3"/>
  <c r="F1899" i="3" l="1"/>
  <c r="E1900" i="3"/>
  <c r="F1900" i="3" l="1"/>
  <c r="E1901" i="3"/>
  <c r="F1901" i="3" l="1"/>
  <c r="E1902" i="3"/>
  <c r="F1902" i="3" l="1"/>
  <c r="E1903" i="3"/>
  <c r="F1903" i="3" l="1"/>
  <c r="E1904" i="3"/>
  <c r="F1904" i="3" l="1"/>
  <c r="E1905" i="3"/>
  <c r="F1905" i="3" l="1"/>
  <c r="E1906" i="3"/>
  <c r="F1906" i="3" l="1"/>
  <c r="E1907" i="3"/>
  <c r="F1907" i="3" l="1"/>
  <c r="E1908" i="3"/>
  <c r="F1908" i="3" l="1"/>
  <c r="E1909" i="3"/>
  <c r="F1909" i="3" l="1"/>
  <c r="E1910" i="3"/>
  <c r="F1910" i="3" l="1"/>
  <c r="E1911" i="3"/>
  <c r="F1911" i="3" l="1"/>
  <c r="E1912" i="3"/>
  <c r="F1912" i="3" l="1"/>
  <c r="E1913" i="3"/>
  <c r="F1913" i="3" l="1"/>
  <c r="E1914" i="3"/>
  <c r="F1914" i="3" l="1"/>
  <c r="E1915" i="3"/>
  <c r="F1915" i="3" l="1"/>
  <c r="E1916" i="3"/>
  <c r="F1916" i="3" l="1"/>
  <c r="E1917" i="3"/>
  <c r="F1917" i="3" l="1"/>
  <c r="E1918" i="3"/>
  <c r="F1918" i="3" l="1"/>
  <c r="E1919" i="3"/>
  <c r="F1919" i="3" l="1"/>
  <c r="E1920" i="3"/>
  <c r="F1920" i="3" l="1"/>
  <c r="E1921" i="3"/>
  <c r="F1921" i="3" l="1"/>
  <c r="E1922" i="3"/>
  <c r="F1922" i="3" l="1"/>
  <c r="E1923" i="3"/>
  <c r="F1923" i="3" l="1"/>
  <c r="E1924" i="3"/>
  <c r="F1924" i="3" l="1"/>
  <c r="E1925" i="3"/>
  <c r="F1925" i="3" l="1"/>
  <c r="E1926" i="3"/>
  <c r="F1926" i="3" l="1"/>
  <c r="E1927" i="3"/>
  <c r="F1927" i="3" l="1"/>
  <c r="E1928" i="3"/>
  <c r="F1928" i="3" l="1"/>
  <c r="E1929" i="3"/>
  <c r="F1929" i="3" l="1"/>
  <c r="E1930" i="3"/>
  <c r="F1930" i="3" l="1"/>
  <c r="E1931" i="3"/>
  <c r="F1931" i="3" l="1"/>
  <c r="E1932" i="3"/>
  <c r="F1932" i="3" l="1"/>
  <c r="E1933" i="3"/>
  <c r="F1933" i="3" l="1"/>
  <c r="E1934" i="3"/>
  <c r="F1934" i="3" l="1"/>
  <c r="E1935" i="3"/>
  <c r="F1935" i="3" l="1"/>
  <c r="E1936" i="3"/>
  <c r="F1936" i="3" l="1"/>
  <c r="E1937" i="3"/>
  <c r="F1937" i="3" l="1"/>
  <c r="E1938" i="3"/>
  <c r="F1938" i="3" l="1"/>
  <c r="E1939" i="3"/>
  <c r="F1939" i="3" l="1"/>
  <c r="E1940" i="3"/>
  <c r="F1940" i="3" l="1"/>
  <c r="E1941" i="3"/>
  <c r="F1941" i="3" l="1"/>
  <c r="E1942" i="3"/>
  <c r="F1942" i="3" l="1"/>
  <c r="E1943" i="3"/>
  <c r="F1943" i="3" l="1"/>
  <c r="E1944" i="3"/>
  <c r="F1944" i="3" l="1"/>
  <c r="E1945" i="3"/>
  <c r="F1945" i="3" l="1"/>
  <c r="E1946" i="3"/>
  <c r="F1946" i="3" l="1"/>
  <c r="E1947" i="3"/>
  <c r="F1947" i="3" l="1"/>
  <c r="E1948" i="3"/>
  <c r="F1948" i="3" l="1"/>
  <c r="E1949" i="3"/>
  <c r="F1949" i="3" l="1"/>
  <c r="E1950" i="3"/>
  <c r="F1950" i="3" l="1"/>
  <c r="E1951" i="3"/>
  <c r="F1951" i="3" l="1"/>
  <c r="E1952" i="3"/>
  <c r="F1952" i="3" l="1"/>
  <c r="E1953" i="3"/>
  <c r="F1953" i="3" l="1"/>
  <c r="E1954" i="3"/>
  <c r="F1954" i="3" l="1"/>
  <c r="E1955" i="3"/>
  <c r="F1955" i="3" l="1"/>
  <c r="E1956" i="3"/>
  <c r="F1956" i="3" l="1"/>
  <c r="E1957" i="3"/>
  <c r="F1957" i="3" l="1"/>
  <c r="E1958" i="3"/>
  <c r="F1958" i="3" l="1"/>
  <c r="E1959" i="3"/>
  <c r="F1959" i="3" l="1"/>
  <c r="E1960" i="3"/>
  <c r="F1960" i="3" l="1"/>
  <c r="E1961" i="3"/>
  <c r="F1961" i="3" l="1"/>
  <c r="E1962" i="3"/>
  <c r="F1962" i="3" l="1"/>
  <c r="E1963" i="3"/>
  <c r="F1963" i="3" l="1"/>
  <c r="E1964" i="3"/>
  <c r="F1964" i="3" l="1"/>
  <c r="E1965" i="3"/>
  <c r="F1965" i="3" l="1"/>
  <c r="E1966" i="3"/>
  <c r="F1966" i="3" l="1"/>
  <c r="E1967" i="3"/>
  <c r="F1967" i="3" l="1"/>
  <c r="E1968" i="3"/>
  <c r="F1968" i="3" l="1"/>
  <c r="E1969" i="3"/>
  <c r="F1969" i="3" l="1"/>
  <c r="E1970" i="3"/>
  <c r="F1970" i="3" l="1"/>
  <c r="E1971" i="3"/>
  <c r="F1971" i="3" l="1"/>
  <c r="E1972" i="3"/>
  <c r="F1972" i="3" l="1"/>
  <c r="E1973" i="3"/>
  <c r="F1973" i="3" l="1"/>
  <c r="E1974" i="3"/>
  <c r="F1974" i="3" l="1"/>
  <c r="E1975" i="3"/>
  <c r="F1975" i="3" l="1"/>
  <c r="E1976" i="3"/>
  <c r="F1976" i="3" l="1"/>
  <c r="E1977" i="3"/>
  <c r="F1977" i="3" l="1"/>
  <c r="E1978" i="3"/>
  <c r="F1978" i="3" l="1"/>
  <c r="E1979" i="3"/>
  <c r="F1979" i="3" l="1"/>
  <c r="E1980" i="3"/>
  <c r="F1980" i="3" l="1"/>
  <c r="E1981" i="3"/>
  <c r="F1981" i="3" l="1"/>
  <c r="E1982" i="3"/>
  <c r="F1982" i="3" l="1"/>
  <c r="E1983" i="3"/>
  <c r="F1983" i="3" l="1"/>
  <c r="E1984" i="3"/>
  <c r="F1984" i="3" l="1"/>
  <c r="E1985" i="3"/>
  <c r="F1985" i="3" l="1"/>
  <c r="E1986" i="3"/>
  <c r="F1986" i="3" l="1"/>
  <c r="E1987" i="3"/>
  <c r="F1987" i="3" l="1"/>
  <c r="E1988" i="3"/>
  <c r="F1988" i="3" l="1"/>
  <c r="E1989" i="3"/>
  <c r="F1989" i="3" l="1"/>
  <c r="E1990" i="3"/>
  <c r="F1990" i="3" l="1"/>
  <c r="E1991" i="3"/>
  <c r="F1991" i="3" l="1"/>
  <c r="E1992" i="3"/>
  <c r="F1992" i="3" l="1"/>
  <c r="E1993" i="3"/>
  <c r="F1993" i="3" l="1"/>
  <c r="E1994" i="3"/>
  <c r="F1994" i="3" l="1"/>
  <c r="E1995" i="3"/>
  <c r="F1995" i="3" l="1"/>
  <c r="E1996" i="3"/>
  <c r="F1996" i="3" l="1"/>
  <c r="E1997" i="3"/>
  <c r="F1997" i="3" l="1"/>
  <c r="E1998" i="3"/>
  <c r="F1998" i="3" l="1"/>
  <c r="E1999" i="3"/>
  <c r="F1999" i="3" l="1"/>
  <c r="E2000" i="3"/>
  <c r="F2000" i="3" l="1"/>
  <c r="E2001" i="3"/>
  <c r="F2001" i="3" l="1"/>
  <c r="E2002" i="3"/>
  <c r="F2002" i="3" s="1"/>
</calcChain>
</file>

<file path=xl/comments1.xml><?xml version="1.0" encoding="utf-8"?>
<comments xmlns="http://schemas.openxmlformats.org/spreadsheetml/2006/main">
  <authors>
    <author>WinuE</author>
    <author>Compu</author>
  </authors>
  <commentList>
    <comment ref="AK8" authorId="0" shapeId="0">
      <text>
        <r>
          <rPr>
            <sz val="8"/>
            <color indexed="81"/>
            <rFont val="Tahoma"/>
            <family val="2"/>
          </rPr>
          <t>Campo de control con suma.</t>
        </r>
      </text>
    </comment>
    <comment ref="AL8" authorId="0" shapeId="0">
      <text>
        <r>
          <rPr>
            <sz val="8"/>
            <color indexed="81"/>
            <rFont val="Tahoma"/>
            <family val="2"/>
          </rPr>
          <t>Campo de control con suma.</t>
        </r>
      </text>
    </comment>
    <comment ref="AN8" authorId="0" shapeId="0">
      <text>
        <r>
          <rPr>
            <sz val="8"/>
            <color indexed="81"/>
            <rFont val="Tahoma"/>
            <family val="2"/>
          </rPr>
          <t>Total menos todas las percepciones, exento, impuestos internos, etc menos neto gravado menos IVA. Tiene que dar cero.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Cualquier formato, pero siempre de fecha. La fecha valida el movimiento: sin fecha no hay importación.</t>
        </r>
      </text>
    </comment>
    <comment ref="C9" authorId="0" shapeId="0">
      <text>
        <r>
          <rPr>
            <sz val="8"/>
            <color indexed="81"/>
            <rFont val="Tahoma"/>
            <family val="2"/>
          </rPr>
          <t>Solo completar código. Se pueden consultar en las tablas.</t>
        </r>
      </text>
    </comment>
    <comment ref="J9" authorId="0" shapeId="0">
      <text>
        <r>
          <rPr>
            <sz val="8"/>
            <color indexed="81"/>
            <rFont val="Tahoma"/>
            <family val="2"/>
          </rPr>
          <t>El CUIT se puede poner con guiones o sin guiones</t>
        </r>
      </text>
    </comment>
    <comment ref="W9" authorId="0" shapeId="0">
      <text>
        <r>
          <rPr>
            <sz val="8"/>
            <color indexed="81"/>
            <rFont val="Tahoma"/>
            <family val="2"/>
          </rPr>
          <t>Está por fórmula, comprueba si los Neto Gravados están en cero o vacíos. Si es así, no suma.</t>
        </r>
      </text>
    </comment>
    <comment ref="AA9" authorId="1" shapeId="0">
      <text>
        <r>
          <rPr>
            <sz val="9"/>
            <color indexed="81"/>
            <rFont val="Tahoma"/>
            <family val="2"/>
          </rPr>
          <t>Para comprobantes que no lo exijan, dejar campo en blanco. Se contempla Código 82 en la fórmula.</t>
        </r>
      </text>
    </comment>
    <comment ref="AC9" authorId="0" shapeId="0">
      <text>
        <r>
          <rPr>
            <sz val="8"/>
            <color indexed="81"/>
            <rFont val="Tahoma"/>
            <family val="2"/>
          </rPr>
          <t>No completar si no hay IVA 1, dejar vacío.</t>
        </r>
      </text>
    </comment>
    <comment ref="AF9" authorId="0" shapeId="0">
      <text>
        <r>
          <rPr>
            <sz val="8"/>
            <color indexed="81"/>
            <rFont val="Tahoma"/>
            <family val="2"/>
          </rPr>
          <t>Está por fórmula, pero se puede poner un importe</t>
        </r>
      </text>
    </comment>
    <comment ref="AG9" authorId="0" shapeId="0">
      <text>
        <r>
          <rPr>
            <sz val="8"/>
            <color indexed="81"/>
            <rFont val="Tahoma"/>
            <family val="2"/>
          </rPr>
          <t>No completar si no hay IVA 2, dejar vacío.</t>
        </r>
      </text>
    </comment>
    <comment ref="AJ9" authorId="0" shapeId="0">
      <text>
        <r>
          <rPr>
            <sz val="8"/>
            <color indexed="81"/>
            <rFont val="Tahoma"/>
            <family val="2"/>
          </rPr>
          <t>Está por fórmula, pero se puede poner un importe</t>
        </r>
      </text>
    </comment>
    <comment ref="E10" authorId="0" shapeId="0">
      <text>
        <r>
          <rPr>
            <sz val="8"/>
            <color indexed="81"/>
            <rFont val="Tahoma"/>
            <family val="2"/>
          </rPr>
          <t>Hasta 5 números</t>
        </r>
      </text>
    </comment>
    <comment ref="F10" authorId="0" shapeId="0">
      <text>
        <r>
          <rPr>
            <sz val="8"/>
            <color indexed="81"/>
            <rFont val="Tahoma"/>
            <family val="2"/>
          </rPr>
          <t>Hasta 20 números</t>
        </r>
      </text>
    </comment>
    <comment ref="G10" authorId="0" shapeId="0">
      <text>
        <r>
          <rPr>
            <sz val="8"/>
            <color indexed="81"/>
            <rFont val="Tahoma"/>
            <family val="2"/>
          </rPr>
          <t>Hasta 20 números- Por fórmula ya que tiene que ser IGUAL o mayor a "Número"</t>
        </r>
      </text>
    </comment>
    <comment ref="AD10" authorId="0" shapeId="0">
      <text>
        <r>
          <rPr>
            <sz val="8"/>
            <color indexed="81"/>
            <rFont val="Tahoma"/>
            <family val="2"/>
          </rPr>
          <t xml:space="preserve">Solo completar 0, 21, 10,5, 27, 5 o 2,5.
SI NO HAY ALICUOTAS, DEJAR EN BLANCO. SI SE PONE 0, LO VA A TOMAR EN EL ARCHIVO ALICUOTAS!
</t>
        </r>
      </text>
    </comment>
    <comment ref="AE10" authorId="0" shapeId="0">
      <text>
        <r>
          <rPr>
            <sz val="8"/>
            <color indexed="81"/>
            <rFont val="Tahoma"/>
            <family val="2"/>
          </rPr>
          <t>Tiene que aparecer un código. Si aparece ERROR, habrá error en la importación.</t>
        </r>
      </text>
    </comment>
    <comment ref="AH10" authorId="0" shapeId="0">
      <text>
        <r>
          <rPr>
            <sz val="8"/>
            <color indexed="81"/>
            <rFont val="Tahoma"/>
            <family val="2"/>
          </rPr>
          <t xml:space="preserve">Solo completar 0, 21, 10,5, 27, 5 o 2,5.
SI NO HAY ALICUOTAS, DEJAR EN BLANCO. SI SE PONE 0, LO VA A TOMAR EN EL ARCHIVO ALICUOTAS!
</t>
        </r>
      </text>
    </comment>
    <comment ref="AI10" authorId="0" shapeId="0">
      <text>
        <r>
          <rPr>
            <sz val="8"/>
            <color indexed="81"/>
            <rFont val="Tahoma"/>
            <family val="2"/>
          </rPr>
          <t>Tiene que aparecer un código. Si aparece ERROR, habrá error en la importación.</t>
        </r>
      </text>
    </comment>
  </commentList>
</comments>
</file>

<file path=xl/sharedStrings.xml><?xml version="1.0" encoding="utf-8"?>
<sst xmlns="http://schemas.openxmlformats.org/spreadsheetml/2006/main" count="6071" uniqueCount="977">
  <si>
    <t>Código de moneda</t>
  </si>
  <si>
    <t>Tipo de cambio</t>
  </si>
  <si>
    <t>Código de operación</t>
  </si>
  <si>
    <t>SUBD.GRAL. RECAUDACION</t>
  </si>
  <si>
    <t>ADUANA DE BUENOS AIRES</t>
  </si>
  <si>
    <t>ADUANA DE BAHIA BLANCA</t>
  </si>
  <si>
    <t>ADUANA SAN CARLOS DE BARILOCHE</t>
  </si>
  <si>
    <t>ADUANA CAMPANA</t>
  </si>
  <si>
    <t>ADUANA BARRANQUERAS</t>
  </si>
  <si>
    <t>ADUANA CLORINDA</t>
  </si>
  <si>
    <t>ADUANA COLON</t>
  </si>
  <si>
    <t>ADUANA COMODORO RIVADAVIA</t>
  </si>
  <si>
    <t>ADUANA CONCEPCION DEL URUGUAY</t>
  </si>
  <si>
    <t>ADUANA CONCORDIA</t>
  </si>
  <si>
    <t>ADUANA CORDOBA</t>
  </si>
  <si>
    <t>ADUANA CORRIENTES</t>
  </si>
  <si>
    <t>ADUANA PUERTO DESEADO</t>
  </si>
  <si>
    <t>ADUANA DIAMANTE</t>
  </si>
  <si>
    <t>ADUANA ESQUEL</t>
  </si>
  <si>
    <t>ADUANA FORMOSA</t>
  </si>
  <si>
    <t>ADUANA GOYA</t>
  </si>
  <si>
    <t>ADUANA GUALEGUAYCHU</t>
  </si>
  <si>
    <t>ADUANA  IGUAZU</t>
  </si>
  <si>
    <t>ADUANA JUJUY</t>
  </si>
  <si>
    <t>ADUANA LA PLATA</t>
  </si>
  <si>
    <t>ADUANA LA QUIACA</t>
  </si>
  <si>
    <t>ADUANA MAR DEL PLATA</t>
  </si>
  <si>
    <t>ADUANA MENDOZA</t>
  </si>
  <si>
    <t>ADUANA NECOCHEA</t>
  </si>
  <si>
    <t>ADUANA PARANA</t>
  </si>
  <si>
    <t>ADUANA PASO DE LOS LIBRES</t>
  </si>
  <si>
    <t>ADUANA POCITOS</t>
  </si>
  <si>
    <t>ADUANA  POSADAS</t>
  </si>
  <si>
    <t>ADUANA PUERTO MADRYN</t>
  </si>
  <si>
    <t>ADUANA RIO GALLEGOS</t>
  </si>
  <si>
    <t>ADUANA RIO GRANDE</t>
  </si>
  <si>
    <t>ADUANA ROSARIO</t>
  </si>
  <si>
    <t>ADUANA SALTA</t>
  </si>
  <si>
    <t>ADUANA SAN JAVIER</t>
  </si>
  <si>
    <t>ADUANA SAN JUAN</t>
  </si>
  <si>
    <t>ADUANA SAN LORENZO</t>
  </si>
  <si>
    <t>ADUANA SAN MARTIN DE LOS ANDES</t>
  </si>
  <si>
    <t>ADUANA SAN NICOLAS</t>
  </si>
  <si>
    <t>ADUANA SAN PEDRO</t>
  </si>
  <si>
    <t>ADUANA SANTA CRUZ</t>
  </si>
  <si>
    <t>ADUANA SANTA FE</t>
  </si>
  <si>
    <t>ADUANA TINOGASTA</t>
  </si>
  <si>
    <t>ADUANA USHUAIA</t>
  </si>
  <si>
    <t>ADUANA VILLA CONSTITUCION</t>
  </si>
  <si>
    <t>ADUANA DE EZEIZA</t>
  </si>
  <si>
    <t>ADUANA TUCUMAN</t>
  </si>
  <si>
    <t>ADUANA NEUQUEN</t>
  </si>
  <si>
    <t>ADUANA ORAN</t>
  </si>
  <si>
    <t>ADUANA SAN RAFAEL</t>
  </si>
  <si>
    <t>ADUANA LA RIOJA</t>
  </si>
  <si>
    <t>ADUANA SAN ANTONIO OESTE</t>
  </si>
  <si>
    <t>ADUANA BERNARDO DE IRIGOYEN</t>
  </si>
  <si>
    <t>ADUANA SAN LUIS</t>
  </si>
  <si>
    <t>ADUANA SANTO TOME</t>
  </si>
  <si>
    <t>ADUANA VILLA REGINA</t>
  </si>
  <si>
    <t>ADUANA OBERA</t>
  </si>
  <si>
    <t>ADUANA CALETA OLIVIA</t>
  </si>
  <si>
    <t>ADUANA GENERAL DEHEZA</t>
  </si>
  <si>
    <t>ADUANA SANTIAGO DEL ESTERO</t>
  </si>
  <si>
    <t>ADUANA GENERAL PICO</t>
  </si>
  <si>
    <t>BUENOS AIRES NORTE</t>
  </si>
  <si>
    <t>BUENOS AIRES SUR</t>
  </si>
  <si>
    <t>ZF CORONEL ROSALES</t>
  </si>
  <si>
    <t>ZF CONCEPCION DEL URUGUAY</t>
  </si>
  <si>
    <t>ADUANA EXCEPCION</t>
  </si>
  <si>
    <t>ADUANAS</t>
  </si>
  <si>
    <t>ALICUOTAS IVA</t>
  </si>
  <si>
    <t>FACTURAS A</t>
  </si>
  <si>
    <t>NOTAS DE DEBITO A</t>
  </si>
  <si>
    <t>NOTAS DE CREDITO A</t>
  </si>
  <si>
    <t>RECIBOS A</t>
  </si>
  <si>
    <t>NOTAS DE VENTA AL CONTADO A</t>
  </si>
  <si>
    <t>FACTURAS B</t>
  </si>
  <si>
    <t>NOTAS DE DEBITO B</t>
  </si>
  <si>
    <t>NOTAS DE CREDITO B</t>
  </si>
  <si>
    <t>RECIBOS B</t>
  </si>
  <si>
    <t>NOTAS DE VENTA AL CONTADO B</t>
  </si>
  <si>
    <t>FACTURAS C</t>
  </si>
  <si>
    <t>NOTAS DE DEBITO C</t>
  </si>
  <si>
    <t>NOTAS DE CREDITO C</t>
  </si>
  <si>
    <t>RECIBOS C</t>
  </si>
  <si>
    <t>NOTAS DE VENTA AL CONTADO C</t>
  </si>
  <si>
    <t>LIQUIDACION DE SERVICIOS PUBLICOS CLASE A</t>
  </si>
  <si>
    <t>LIQUIDACION DE SERVICIOS PUBLICOS CLASE B</t>
  </si>
  <si>
    <t>CPTES  A  DE COMPRA PRIMARIA PARA EL SECTOR PESQUERO MARITIMO</t>
  </si>
  <si>
    <t>CPTES  A  DE COSIGNACION PRIMARIA PARA EL SECTOR PESQUERO MARITIMO</t>
  </si>
  <si>
    <t>CPTES  B  DE COMPRA PRIMARIA PARA EL SECTOR PESQUERO MARITIMO</t>
  </si>
  <si>
    <t>CPTES  B  DE CONSIGNACION PRIMARIA PARA EL SECTOR PESQUERO MARITIMO</t>
  </si>
  <si>
    <t>LIQUIDACION UNICA COMERCIAL IMPOSITIVA CLASE A</t>
  </si>
  <si>
    <t>LIQUIDACION UNICA COMERCIAL IMPOSITIVA CLASE B</t>
  </si>
  <si>
    <t>COMPROBANTES DE COMPRA DE BIENES USADOS</t>
  </si>
  <si>
    <t>COMPROBANTES PARA RECICLAR MATERIALES</t>
  </si>
  <si>
    <t>LIQUIDACION PRIMARIA DE GRANOS</t>
  </si>
  <si>
    <t>COMPROBANTES A DEL APARTADO A  INCISO F  R G  N  1415</t>
  </si>
  <si>
    <t>COMPROBANTES B DEL ANEXO I  APARTADO A  INC. F   RG N  1415</t>
  </si>
  <si>
    <t>COMPROBANTES C DEL ANEXO I  APARTADO A  INC.F   R.G. N  1415</t>
  </si>
  <si>
    <t>NOTAS DE DEBITO O DOCUMENTO EQUIVALENTE QUE CUMPLAN CON LA R.G. N  1415</t>
  </si>
  <si>
    <t>NOTAS DE CREDITO O DOCUMENTO EQUIVALENTE QUE CUMPLAN CON LA R.G. N  1415</t>
  </si>
  <si>
    <t>OTROS COMPROBANTES A QUE CUMPLEN CON LA R G  1415</t>
  </si>
  <si>
    <t>OTROS COMPROBANTES B QUE CUMPLAN CON LA R.G. 1415</t>
  </si>
  <si>
    <t>OTROS COMPROBANTES C QUE CUMPLAN CON LA R.G. 1415</t>
  </si>
  <si>
    <t>NOTA DE CREDITO LIQUIDACION UNICA COMERCIAL IMPOSITIVA CLASE B</t>
  </si>
  <si>
    <t>NOTA DE DEBITO LIQUIDACION UNICA COMERCIAL IMPOSITIVA CLASE A</t>
  </si>
  <si>
    <t>NOTA DE DEBITO LIQUIDACION UNICA COMERCIAL IMPOSITIVA CLASE B</t>
  </si>
  <si>
    <t>NOTA DE CREDITO LIQUIDACION UNICA COMERCIAL IMPOSITIVA CLASE A</t>
  </si>
  <si>
    <t>COMPROBANTES DE COMPRA DE BIENES NO REGISTRABLES A CONSUMIDORES FINALES</t>
  </si>
  <si>
    <t>RECIBO FACTURA A  REGIMEN DE FACTURA DE CREDITO</t>
  </si>
  <si>
    <t>FACTURAS M</t>
  </si>
  <si>
    <t>NOTAS DE DEBITO M</t>
  </si>
  <si>
    <t>NOTAS DE CREDITO M</t>
  </si>
  <si>
    <t>RECIBOS M</t>
  </si>
  <si>
    <t>NOTAS DE VENTA AL CONTADO M</t>
  </si>
  <si>
    <t>COMPROBANTES M DEL ANEXO I  APARTADO A  INC F   R G  N  1415</t>
  </si>
  <si>
    <t>OTROS COMPROBANTES M QUE CUMPLAN CON LA R G  N  1415</t>
  </si>
  <si>
    <t>CUENTAS DE VENTA Y LIQUIDO PRODUCTO M</t>
  </si>
  <si>
    <t>LIQUIDACIONES M</t>
  </si>
  <si>
    <t>CUENTAS DE VENTA Y LIQUIDO PRODUCTO A</t>
  </si>
  <si>
    <t>CUENTAS DE VENTA Y LIQUIDO PRODUCTO B</t>
  </si>
  <si>
    <t>LIQUIDACIONES A</t>
  </si>
  <si>
    <t>LIQUIDACIONES B</t>
  </si>
  <si>
    <t>DESPACHO DE IMPORTACION</t>
  </si>
  <si>
    <t>RECIBOS FACTURA DE CREDITO</t>
  </si>
  <si>
    <t>TIQUE FACTURA A   CONTROLADORES FISCALES</t>
  </si>
  <si>
    <t>TIQUE - FACTURA B</t>
  </si>
  <si>
    <t>TIQUE</t>
  </si>
  <si>
    <t>NOTA DE CREDITO OTROS COMP  QUE NO CUMPLEN CON LA R G  1415 Y SUS MODIF</t>
  </si>
  <si>
    <t>OTROS COMP  QUE NO CUMPLEN CON LA R G  1415 Y SUS MODIF</t>
  </si>
  <si>
    <t>TIQUE NOTA DE CREDITO</t>
  </si>
  <si>
    <t>TIQUE FACTURA C</t>
  </si>
  <si>
    <t>TIQUE NOTA DE CREDITO A</t>
  </si>
  <si>
    <t>TIQUE NOTA DE CREDITO B</t>
  </si>
  <si>
    <t>TIQUE NOTA DE CREDITO C</t>
  </si>
  <si>
    <t>TIQUE NOTA DE DEBITO A</t>
  </si>
  <si>
    <t>TIQUE NOTA DE DEBITO B</t>
  </si>
  <si>
    <t>TIQUE NOTA DE DEBITO C</t>
  </si>
  <si>
    <t>TIQUE FACTURA M</t>
  </si>
  <si>
    <t>TIQUE NOTA DE CREDITO M</t>
  </si>
  <si>
    <t>TIQUE NOTA DE DEBITO M</t>
  </si>
  <si>
    <t>LIQUIDACION SECUNDARIA DE GRANOS</t>
  </si>
  <si>
    <t>CERTIFICADO DE DEPOSITO DE GRANOS EN PLANTA</t>
  </si>
  <si>
    <t>COMPROBANTES COMPRAS</t>
  </si>
  <si>
    <t>COMPROBANTES VENTAS</t>
  </si>
  <si>
    <t>FACTURAS DE EXPORTACION</t>
  </si>
  <si>
    <t>NOTAS DE DEBITO POR OPERACIONES CON EL EXTERIOR</t>
  </si>
  <si>
    <t>NOTAS DE CREDITO POR OPERACIONES CON EL EXTERIOR</t>
  </si>
  <si>
    <t>FACTURAS - PERMISO EXPORTACION SIMPLIFICADO - DTO. 855/97</t>
  </si>
  <si>
    <t>LIQUIDACION UNICA COMERCIAL IMPOSITIVA CLASE C</t>
  </si>
  <si>
    <t>NOTA DE CREDITO LIQUIDACION UNICA COMERCIAL IMPOSITIVA CLASE C</t>
  </si>
  <si>
    <t>NOTA DE DEBITO LIQUIDACION UNICA COMERCIAL IMPOSITIVA CLASE C</t>
  </si>
  <si>
    <t>LIQUIDACION C</t>
  </si>
  <si>
    <t>FACTURA</t>
  </si>
  <si>
    <t>CONTRATO</t>
  </si>
  <si>
    <t>OTROS</t>
  </si>
  <si>
    <t>COMPROB.SERV.</t>
  </si>
  <si>
    <t>OPERACIONES CUENTAS BANCARIAS Y/O FINANCIERAS</t>
  </si>
  <si>
    <t>OPERACIONES TARJETAS DE CREDITOS CORPORATIVAS</t>
  </si>
  <si>
    <t>FONDOS FIJOS Y/O CAJAS CHICAS</t>
  </si>
  <si>
    <t>PAGOS DESCENTRALIZADOS</t>
  </si>
  <si>
    <t>CONCEPTO COMPRAS GLOBALES</t>
  </si>
  <si>
    <t>PARA PERSONAS FISICAS DE URUGUAY</t>
  </si>
  <si>
    <t>PARA PERSONAS FISICAS DE PARAGUAY</t>
  </si>
  <si>
    <t>PARA PERSONAS FISICAS DE CHILE</t>
  </si>
  <si>
    <t>PARA PERSONAS FISICAS DE BOLIVIA</t>
  </si>
  <si>
    <t>PARA PERSONAS FISICAS DE BRASIL</t>
  </si>
  <si>
    <t>PARA PERSONAS FISICAS DE BURKINA FASO</t>
  </si>
  <si>
    <t>PARA PERSONAS FISICAS DE ARGELIA</t>
  </si>
  <si>
    <t>PARA PERSONAS FISICAS DE BOTSWANA</t>
  </si>
  <si>
    <t>PARA PERSONAS FISICAS DE BURUNDI</t>
  </si>
  <si>
    <t>PARA PERSONAS FISICAS DE CAMERUN</t>
  </si>
  <si>
    <t>PARA PERSONAS FISICAS DE CENTRO AFRICANO  REP.</t>
  </si>
  <si>
    <t>PARA PERSONAS FISICAS DE COSTA DE MARFIL</t>
  </si>
  <si>
    <t>PARA PERSONAS FISICAS DE EGIPTO</t>
  </si>
  <si>
    <t>PARA PERSONAS FISICAS DE ETIOPIA</t>
  </si>
  <si>
    <t>PARA PERSONAS FISICAS DE GABON</t>
  </si>
  <si>
    <t>PARA PERSONAS FISICAS DE GAMBIA</t>
  </si>
  <si>
    <t>PARA PERSONAS FISICAS DE GHANA</t>
  </si>
  <si>
    <t>PARA PERSONAS FISICAS DE GUINEA</t>
  </si>
  <si>
    <t>PARA PERSONAS FISICAS DE GUINEA ECUATORIAL</t>
  </si>
  <si>
    <t>PARA PERSONAS FISICAS DE KENYA</t>
  </si>
  <si>
    <t>PARA PERSONAS FISICAS DE LESOTHO</t>
  </si>
  <si>
    <t>PARA PERSONAS FISICAS DE LIBERIA</t>
  </si>
  <si>
    <t>PARA PERSONAS FISICAS DE LIBIA</t>
  </si>
  <si>
    <t>PARA PERSONAS FISICAS DE MADAGASCAR</t>
  </si>
  <si>
    <t>PARA PERSONAS FISICAS DE MARRUECOS</t>
  </si>
  <si>
    <t>PARA PERSONAS FISICAS DE MAURICIO  ISLAS</t>
  </si>
  <si>
    <t>PARA PERSONAS FISICAS DE MAURITANIA</t>
  </si>
  <si>
    <t>PARA PERSONAS FISICAS DE NIGER</t>
  </si>
  <si>
    <t>PARA PERSONAS FISICAS DE NIGERIA</t>
  </si>
  <si>
    <t>PARA PERSONAS FISICAS DE ZIMBABWE</t>
  </si>
  <si>
    <t>PARA PERSONAS FISICAS DE RUANDA</t>
  </si>
  <si>
    <t>PARA PERSONAS FISICAS DE SENEGAL</t>
  </si>
  <si>
    <t>PARA PERSONAS FISICAS DE SIERRA LEONA</t>
  </si>
  <si>
    <t>PARA PERSONAS FISICAS DE SOMALIA</t>
  </si>
  <si>
    <t>PARA PERSONAS FISICAS DE SUAZILANDIA</t>
  </si>
  <si>
    <t>PARA PERSONAS FISICAS DE SUDAN</t>
  </si>
  <si>
    <t>PARA PERSONAS FISICAS DE TOGO</t>
  </si>
  <si>
    <t>PARA PERSONAS FISICAS DE TUNEZ</t>
  </si>
  <si>
    <t>PARA PERSONAS FISICAS DE ZAMBIA</t>
  </si>
  <si>
    <t xml:space="preserve">PARA PERSONAS FISICAS DE POS. BRITANICA  AFRICA </t>
  </si>
  <si>
    <t xml:space="preserve">PARA PERSONAS FISICAS DE POS. ESPANOLA  AFRICA </t>
  </si>
  <si>
    <t xml:space="preserve">PARA PERSONAS FISICAS DE POS. FRANCESA  AFRICA </t>
  </si>
  <si>
    <t xml:space="preserve">PARA PERSONAS FISICAS DE POS. PORTUGUESA  AFRICA </t>
  </si>
  <si>
    <t>PARA PERSONAS FISICAS DE ANGOLA</t>
  </si>
  <si>
    <t>PARA PERSONAS FISICAS DE CABO VERDE  ISLAS</t>
  </si>
  <si>
    <t>PARA PERSONAS FISICAS DE MOZAMBIQUE</t>
  </si>
  <si>
    <t>PARA PERSONAS FISICAS DE CONGO  REP.POPULAR</t>
  </si>
  <si>
    <t>PARA PERSONAS FISICAS DE CHAD</t>
  </si>
  <si>
    <t>PARA PERSONAS FISICAS DE MALAWI</t>
  </si>
  <si>
    <t>PARA PERSONAS FISICAS DE TANZANIA</t>
  </si>
  <si>
    <t>PARA PERSONAS FISICAS DE COSTA RICA</t>
  </si>
  <si>
    <t>PARA PERSONAS FISICAS DE ZAIRE</t>
  </si>
  <si>
    <t>PARA PERSONAS FISICAS DE BENIN</t>
  </si>
  <si>
    <t>PARA PERSONAS FISICAS DE MALI</t>
  </si>
  <si>
    <t>PARA PERSONAS FISICAS DE UGANDA</t>
  </si>
  <si>
    <t>PARA PERSONAS FISICAS DE SUDAFRICA  REP. DE</t>
  </si>
  <si>
    <t>PARA PERSONAS FISICAS DE SEYCHELLES</t>
  </si>
  <si>
    <t>PARA PERSONAS FISICAS DE SANTO TOME Y PRINCIPE</t>
  </si>
  <si>
    <t>PARA PERSONAS FISICAS DE NAMIBIA</t>
  </si>
  <si>
    <t>PARA PERSONAS FISICAS DE GUINEA BISSAU</t>
  </si>
  <si>
    <t>PARA PERSONAS FISICAS DE ERITREA</t>
  </si>
  <si>
    <t>PARA PERSONAS FISICAS DE DJIBOUTI</t>
  </si>
  <si>
    <t>PARA PERSONAS FISICAS DE COMORAS</t>
  </si>
  <si>
    <t xml:space="preserve">PARA PERSONAS FISICAS DE INDETERMINADO  AFRICA </t>
  </si>
  <si>
    <t>PARA PERSONAS FISICAS DE BARBADOS</t>
  </si>
  <si>
    <t>PARA PERSONAS FISICAS DE CANADA</t>
  </si>
  <si>
    <t>PARA PERSONAS FISICAS DE COLOMBIA</t>
  </si>
  <si>
    <t>PARA PERSONAS FISICAS DE DOMINICANA  REPUBLICA</t>
  </si>
  <si>
    <t>PARA PERSONAS FISICAS DE EL SALVADOR</t>
  </si>
  <si>
    <t>PARA PERSONAS FISICAS DE ESTADOS UNIDOS</t>
  </si>
  <si>
    <t>PARA PERSONAS FISICAS DE GUATEMALA</t>
  </si>
  <si>
    <t>PARA PERSONAS FISICAS DE GUAYANA</t>
  </si>
  <si>
    <t>PARA PERSONAS FISICAS DE HAITI</t>
  </si>
  <si>
    <t>PARA PERSONAS FISICAS DE HONDURAS</t>
  </si>
  <si>
    <t>PARA PERSONAS FISICAS DE JAMAICA</t>
  </si>
  <si>
    <t>PARA PERSONAS FISICAS DE MEXICO</t>
  </si>
  <si>
    <t>PARA PERSONAS FISICAS DE NICARAGUA</t>
  </si>
  <si>
    <t>PARA PERSONAS FISICAS DE PANAMA</t>
  </si>
  <si>
    <t>PARA PERSONAS FISICAS DE PUERTO RICO</t>
  </si>
  <si>
    <t>PARA PERSONAS FISICAS DE PERU</t>
  </si>
  <si>
    <t>PARA PERSONAS FISICAS DE ANTIGUA</t>
  </si>
  <si>
    <t>PARA PERSONAS FISICAS DE VENEZUELA</t>
  </si>
  <si>
    <t xml:space="preserve">PARA PERSONAS FISICAS DE POS. BRITANICA  AMERICA </t>
  </si>
  <si>
    <t xml:space="preserve">PARA PERSONAS FISICAS DE POS. DANESA  AMERICA </t>
  </si>
  <si>
    <t xml:space="preserve">PARA PERSONAS FISICAS DE POS. FRANCESA  AMERICA </t>
  </si>
  <si>
    <t xml:space="preserve">PARA PERSONAS FISICAS DE POS. PAISES BAJOS  AMERICA </t>
  </si>
  <si>
    <t xml:space="preserve">PARA PERSONAS FISICAS DE POS. EE.UU.  AMERICA </t>
  </si>
  <si>
    <t>PARA PERSONAS FISICAS DE SURINAME</t>
  </si>
  <si>
    <t>PARA PERSONAS FISICAS DE DOMINICA</t>
  </si>
  <si>
    <t>PARA PERSONAS FISICAS DE SANTA LUCIA</t>
  </si>
  <si>
    <t>PARA PERSONAS FISICAS DE SAN VICENTE  ISLAS</t>
  </si>
  <si>
    <t>PARA PERSONAS FISICAS DE BELICE</t>
  </si>
  <si>
    <t>PARA PERSONAS FISICAS DE CUBA</t>
  </si>
  <si>
    <t>PARA PERSONAS FISICAS DE ECUADOR</t>
  </si>
  <si>
    <t>PARA PERSONAS FISICAS DE TRINIDAD TOBAGO</t>
  </si>
  <si>
    <t>PARA PERSONAS FISICAS DE BUTAN</t>
  </si>
  <si>
    <t xml:space="preserve">PARA PERSONAS FISICAS DE MYARMAR  EX BIRMANIA </t>
  </si>
  <si>
    <t>PARA PERSONAS FISICAS DE ISRAEL</t>
  </si>
  <si>
    <t>PARA PERSONAS FISICAS DE GRENADA</t>
  </si>
  <si>
    <t>PARA PERSONAS FISICAS DE SAN CRISTOBAL Y NEVIS</t>
  </si>
  <si>
    <t>PARA PERSONAS FISICAS DE BAHAMAS</t>
  </si>
  <si>
    <t>PARA PERSONAS FISICAS DE TAILANDIA</t>
  </si>
  <si>
    <t xml:space="preserve">PARA PERSONAS FISICAS DE INDETERMINADO  AMERICA </t>
  </si>
  <si>
    <t>PARA PERSONAS FISICAS DE IRAN</t>
  </si>
  <si>
    <t>PARA PERSONAS FISICAS DE QATAR</t>
  </si>
  <si>
    <t>PARA PERSONAS FISICAS DE JORDANIA</t>
  </si>
  <si>
    <t>PARA PERSONAS FISICAS DE AFGANISTAN</t>
  </si>
  <si>
    <t>PARA PERSONAS FISICAS DE ARABIA SAUDITA</t>
  </si>
  <si>
    <t>PARA PERSONAS FISICAS DE BAHREIN</t>
  </si>
  <si>
    <t>PARA PERSONAS FISICAS DE CAMBOYA</t>
  </si>
  <si>
    <t>PARA PERSONAS FISICAS DE SRI LANKA  REP. DE</t>
  </si>
  <si>
    <t>PARA PERSONAS FISICAS DE COREA R.P.D. NORTE</t>
  </si>
  <si>
    <t>PARA PERSONAS FISICAS DE COREA REPUBLICA</t>
  </si>
  <si>
    <t>PARA PERSONAS FISICAS DE CHINA  REP.POPULAR</t>
  </si>
  <si>
    <t>PARA PERSONAS FISICAS DE CHIPRE</t>
  </si>
  <si>
    <t>PARA PERSONAS FISICAS DE FILIPINAS</t>
  </si>
  <si>
    <t>PARA PERSONAS FISICAS DE TAIWAN</t>
  </si>
  <si>
    <t>PARA PERSONAS FISICAS DE GAZA</t>
  </si>
  <si>
    <t>PARA PERSONAS FISICAS DE INDIA</t>
  </si>
  <si>
    <t>PARA PERSONAS FISICAS DE INDONESIA</t>
  </si>
  <si>
    <t>PARA PERSONAS FISICAS DE IRAK</t>
  </si>
  <si>
    <t>PARA PERSONAS FISICAS DE JAPON</t>
  </si>
  <si>
    <t>PARA PERSONAS FISICAS DE KUWAIT</t>
  </si>
  <si>
    <t>PARA PERSONAS FISICAS DE LAOS</t>
  </si>
  <si>
    <t>PARA PERSONAS FISICAS DE LIBANO</t>
  </si>
  <si>
    <t>PARA PERSONAS FISICAS DE MALASIA</t>
  </si>
  <si>
    <t>PARA PERSONAS FISICAS DE MALDIVAS  ISLAS</t>
  </si>
  <si>
    <t>PARA PERSONAS FISICAS DE OMAN</t>
  </si>
  <si>
    <t>PARA PERSONAS FISICAS DE MONGOLIA</t>
  </si>
  <si>
    <t>PARA PERSONAS FISICAS DE NEPAL</t>
  </si>
  <si>
    <t>PARA PERSONAS FISICAS DE EMIRATOS ARABES UNIDOS</t>
  </si>
  <si>
    <t>PARA PERSONAS FISICAS DE PAKISTAN</t>
  </si>
  <si>
    <t>PARA PERSONAS FISICAS DE SINGAPUR</t>
  </si>
  <si>
    <t>PARA PERSONAS FISICAS DE SIRIA</t>
  </si>
  <si>
    <t>PARA PERSONAS FISICAS DE VIETNAM</t>
  </si>
  <si>
    <t>PARA PERSONAS FISICAS DE YEMEN</t>
  </si>
  <si>
    <t xml:space="preserve">PARA PERSONAS FISICAS DE POS. BRITANICA  HONG KONG </t>
  </si>
  <si>
    <t xml:space="preserve">PARA PERSONAS FISICAS DE POS. JAPONESA  ASIA </t>
  </si>
  <si>
    <t xml:space="preserve">PARA PERSONAS FISICAS DE POS. PORTUGUESA  MACAO </t>
  </si>
  <si>
    <t>PARA PERSONAS FISICAS DE BANGLADESH</t>
  </si>
  <si>
    <t>PARA PERSONAS FISICAS DE TURQUIA</t>
  </si>
  <si>
    <t>PARA PERSONAS FISICAS DE ITALIA</t>
  </si>
  <si>
    <t>PARA PERSONAS FISICAS DE TURKMENISTAN</t>
  </si>
  <si>
    <t>PARA PERSONAS FISICAS DE UZBEKISTAN</t>
  </si>
  <si>
    <t>PARA PERSONAS FISICAS DE ISLANDIA</t>
  </si>
  <si>
    <t>PARA PERSONAS FISICAS DE GEORGIA</t>
  </si>
  <si>
    <t>PARA PERSONAS FISICAS DE TAYIKISTAN</t>
  </si>
  <si>
    <t>PARA PERSONAS FISICAS DE AZERBAIDZHAN</t>
  </si>
  <si>
    <t>PARA PERSONAS FISICAS DE BRUNEI</t>
  </si>
  <si>
    <t>PARA PERSONAS FISICAS DE KASAJSTAN</t>
  </si>
  <si>
    <t>PARA PERSONAS FISICAS DE KIRGUISTAN</t>
  </si>
  <si>
    <t xml:space="preserve">PARA PERSONAS FISICAS DE INDETERMINADO  ASIA </t>
  </si>
  <si>
    <t>PARA PERSONAS FISICAS DE ALBANIA</t>
  </si>
  <si>
    <t>PARA PERSONAS FISICAS DE ANDORRA</t>
  </si>
  <si>
    <t>PARA PERSONAS FISICAS DE AUSTRIA</t>
  </si>
  <si>
    <t>PARA PERSONAS FISICAS DE BELGICA</t>
  </si>
  <si>
    <t>PARA PERSONAS FISICAS DE BULGARIA</t>
  </si>
  <si>
    <t>PARA PERSONAS FISICAS DE DINAMARCA</t>
  </si>
  <si>
    <t>PARA PERSONAS FISICAS DE ESPANA</t>
  </si>
  <si>
    <t>PARA PERSONAS FISICAS DE FINLANDIA</t>
  </si>
  <si>
    <t>PARA PERSONAS FISICAS DE FRANCIA</t>
  </si>
  <si>
    <t>PARA PERSONAS FISICAS DE GRECIA</t>
  </si>
  <si>
    <t>PARA PERSONAS FISICAS DE HUNGRIA</t>
  </si>
  <si>
    <t xml:space="preserve">PARA PERSONAS FISICAS DE IRLANDA  EIRE </t>
  </si>
  <si>
    <t>PARA PERSONAS FISICAS DE LIECHTENSTEIN</t>
  </si>
  <si>
    <t>PARA PERSONAS FISICAS DE LUXEMBURGO</t>
  </si>
  <si>
    <t>PARA PERSONAS FISICAS DE MONACO</t>
  </si>
  <si>
    <t>PARA PERSONAS FISICAS DE NORUEGA</t>
  </si>
  <si>
    <t>PARA PERSONAS FISICAS DE PAISES BAJOS</t>
  </si>
  <si>
    <t>PARA PERSONAS FISICAS DE POLONIA</t>
  </si>
  <si>
    <t>PARA PERSONAS FISICAS DE PORTUGAL</t>
  </si>
  <si>
    <t>PARA PERSONAS FISICAS DE REINO UNIDO</t>
  </si>
  <si>
    <t>PARA PERSONAS FISICAS DE RUMANIA</t>
  </si>
  <si>
    <t>PARA PERSONAS FISICAS DE SAN MARINO</t>
  </si>
  <si>
    <t>PARA PERSONAS FISICAS DE SUECIA</t>
  </si>
  <si>
    <t>PARA PERSONAS FISICAS DE SUIZA</t>
  </si>
  <si>
    <t xml:space="preserve">PARA PERSONAS FISICAS DE SANTA SEDE  VATICANO </t>
  </si>
  <si>
    <t>PARA PERSONAS FISICAS DE YUGOSLAVIA</t>
  </si>
  <si>
    <t>PARA PERSONAS FISICAS DE MALTA</t>
  </si>
  <si>
    <t>PARA PERSONAS FISICAS DE ALEMANIA  REP. FED.</t>
  </si>
  <si>
    <t>PARA PERSONAS FISICAS DE BIELORUSIA</t>
  </si>
  <si>
    <t>PARA PERSONAS FISICAS DE ESTONIA</t>
  </si>
  <si>
    <t>PARA PERSONAS FISICAS DE LETONIA</t>
  </si>
  <si>
    <t>PARA PERSONAS FISICAS DE LITUANIA</t>
  </si>
  <si>
    <t>PARA PERSONAS FISICAS DE MOLDOVA</t>
  </si>
  <si>
    <t>PARA PERSONAS FISICAS DE BOSNIA HERZEGOVINA</t>
  </si>
  <si>
    <t>PARA PERSONAS FISICAS DE ESLOVENIA</t>
  </si>
  <si>
    <t>PARA PERSONAS FISICAS DE MACEDONIA</t>
  </si>
  <si>
    <t xml:space="preserve">PARA PERSONAS FISICAS DE POS. BRITANICA  EUROPA </t>
  </si>
  <si>
    <t xml:space="preserve">PARA PERSONAS FISICAS DE INDETERMINADO  EUROPA </t>
  </si>
  <si>
    <t>PARA PERSONAS FISICAS DE AUSTRALIA</t>
  </si>
  <si>
    <t>PARA PERSONAS FISICAS DE NAURU</t>
  </si>
  <si>
    <t>PARA PERSONAS FISICAS DE NUEVA  ZELANDA</t>
  </si>
  <si>
    <t>PARA PERSONAS FISICAS DE VANUATU</t>
  </si>
  <si>
    <t>PARA PERSONAS FISICAS DE SAMOA OCCIDENTAL</t>
  </si>
  <si>
    <t xml:space="preserve">PARA PERSONAS FISICAS DE POS. AUSTRALIANA  OCEANIA </t>
  </si>
  <si>
    <t xml:space="preserve">PARA PERSONAS FISICAS DE POS. BRITANICA  OCEANIA </t>
  </si>
  <si>
    <t xml:space="preserve">PARA PERSONAS FISICAS DE POS. FRANCESA  OCEANIA </t>
  </si>
  <si>
    <t xml:space="preserve">PARA PERSONAS FISICAS DE POS. NEOCELANDESA  OCEANIA </t>
  </si>
  <si>
    <t xml:space="preserve">PARA PERSONAS FISICAS DE POS. EE.UU.  OCEANIA </t>
  </si>
  <si>
    <t>PARA PERSONAS FISICAS DE FIJI  ISLAS</t>
  </si>
  <si>
    <t>PARA PERSONAS FISICAS DE PAPUA  ISLAS</t>
  </si>
  <si>
    <t>PARA PERSONAS FISICAS DE KIRIBATI  ISLAS</t>
  </si>
  <si>
    <t>PARA PERSONAS FISICAS DE TUBALU</t>
  </si>
  <si>
    <t>PARA PERSONAS FISICAS DE ISLAS SALOMON</t>
  </si>
  <si>
    <t>PARA PERSONAS FISICAS DE TONGA</t>
  </si>
  <si>
    <t>PARA PERSONAS FISICAS DE ISLAS MARSHALL</t>
  </si>
  <si>
    <t>PARA PERSONAS FISICAS DE ISLAS MARIANAS</t>
  </si>
  <si>
    <t>PARA PERSONAS FISICAS DE MICRONESIA ESTADOS FED.</t>
  </si>
  <si>
    <t>PARA PERSONAS FISICAS DE PALAU</t>
  </si>
  <si>
    <t xml:space="preserve">PARA PERSONAS FISICAS DE INDETERMINADO  OCEANIA </t>
  </si>
  <si>
    <t>PARA PERSONAS FISICAS DE RUSA  FEDERACION</t>
  </si>
  <si>
    <t>PARA PERSONAS FISICAS DE ARMENIA</t>
  </si>
  <si>
    <t>PARA PERSONAS FISICAS DE CROACIA</t>
  </si>
  <si>
    <t>PARA PERSONAS FISICAS DE UCRANIA</t>
  </si>
  <si>
    <t>PARA PERSONAS FISICAS DE CHECA  REPUBLICA</t>
  </si>
  <si>
    <t>PARA PERSONAS FISICAS DE ESLOVACA  REPUBLICA</t>
  </si>
  <si>
    <t xml:space="preserve">PARA PERSONAS FISICAS DE INDETERMINADO  CONTINENTE </t>
  </si>
  <si>
    <t>PARA PERSONAS FISICAS DE OTROS PAISES</t>
  </si>
  <si>
    <t>PARA PERSONAS JURIDICAS DE URUGUAY</t>
  </si>
  <si>
    <t>PARA PERSONAS JURIDICAS DE PARAGUAY</t>
  </si>
  <si>
    <t>PARA PERSONAS JURIDICAS DE CHILE</t>
  </si>
  <si>
    <t>PARA PERSONAS JURIDICAS DE BOLIVIA</t>
  </si>
  <si>
    <t>PARA PERSONAS JURIDICAS DE BRASIL</t>
  </si>
  <si>
    <t>PARA PERSONAS JURIDICAS DE BURKINA FASO</t>
  </si>
  <si>
    <t>PARA PERSONAS JURIDICAS DE ARGELIA</t>
  </si>
  <si>
    <t>PARA PERSONAS JURIDICAS DE BOTSWANA</t>
  </si>
  <si>
    <t>PARA PERSONAS JURIDICAS DE BURUNDI</t>
  </si>
  <si>
    <t>PARA PERSONAS JURIDICAS DE CAMERUN</t>
  </si>
  <si>
    <t>PARA PERSONAS JURIDICAS DE CENTRO AFRICANO  REP.</t>
  </si>
  <si>
    <t>PARA PERSONAS JURIDICAS DE COSTA DE MARFIL</t>
  </si>
  <si>
    <t>PARA PERSONAS JURIDICAS DE EGIPTO</t>
  </si>
  <si>
    <t>PARA PERSONAS JURIDICAS DE ETIOPIA</t>
  </si>
  <si>
    <t>PARA PERSONAS JURIDICAS DE GABON</t>
  </si>
  <si>
    <t>PARA PERSONAS JURIDICAS DE GAMBIA</t>
  </si>
  <si>
    <t>PARA PERSONAS JURIDICAS DE GHANA</t>
  </si>
  <si>
    <t>PARA PERSONAS JURIDICAS DE GUINEA</t>
  </si>
  <si>
    <t>PARA PERSONAS JURIDICAS DE GUINEA ECUATORIAL</t>
  </si>
  <si>
    <t>PARA PERSONAS JURIDICAS DE KENIA</t>
  </si>
  <si>
    <t>PARA PERSONAS JURIDICAS DE LESOTHO</t>
  </si>
  <si>
    <t>PARA PERSONAS JURIDICAS DE LIBERIA</t>
  </si>
  <si>
    <t>PARA PERSONAS JURIDICAS DE LIBIA</t>
  </si>
  <si>
    <t>PARA PERSONAS JURIDICAS DE MADAGASCAR</t>
  </si>
  <si>
    <t>PARA PERSONAS JURIDICAS DE MARRUECOS</t>
  </si>
  <si>
    <t>PARA PERSONAS JURIDICAS DE MAURICIO  ISLAS</t>
  </si>
  <si>
    <t>PARA PERSONAS JURIDICAS DE MAURITANIA</t>
  </si>
  <si>
    <t>PARA PERSONAS JURIDICAS DE NIGER</t>
  </si>
  <si>
    <t>PARA PERSONAS JURIDICAS DE NIGERIA</t>
  </si>
  <si>
    <t>PARA PERSONAS JURIDICAS DE ZIMBABWE</t>
  </si>
  <si>
    <t>PARA PERSONAS JURIDICAS DE RUANDA</t>
  </si>
  <si>
    <t>PARA PERSONAS JURIDICAS DE SENEGAL</t>
  </si>
  <si>
    <t>PARA PERSONAS JURIDICAS DE SIERRA LEONA</t>
  </si>
  <si>
    <t>PARA PERSONAS JURIDICAS DE SOMALIA</t>
  </si>
  <si>
    <t>PARA PERSONAS JURIDICAS DE SUAZILANDIA</t>
  </si>
  <si>
    <t>PARA PERSONAS JURIDICAS DE SUDAN</t>
  </si>
  <si>
    <t>PARA PERSONAS JURIDICAS DE TOGO</t>
  </si>
  <si>
    <t>PARA PERSONAS JURIDICAS DE TUNEZ</t>
  </si>
  <si>
    <t>PARA PERSONAS JURIDICAS DE ZAMBIA</t>
  </si>
  <si>
    <t xml:space="preserve">PARA PERSONAS JURIDICAS DE POS. BRITANICA  AFRICA </t>
  </si>
  <si>
    <t xml:space="preserve">PARA PERSONAS JURIDICAS DE POS. ESPANOLA  AFRICA </t>
  </si>
  <si>
    <t xml:space="preserve">PARA PERSONAS JURIDICAS DE POS. FRANCESA  AFRICA </t>
  </si>
  <si>
    <t xml:space="preserve">PARA PERSONAS JURIDICAS DE POS. PORTUGUESA  AFRICA </t>
  </si>
  <si>
    <t>PARA PERSONAS JURIDICAS DE ANGOLA</t>
  </si>
  <si>
    <t>PARA PERSONAS JURIDICAS DE CABO VERDE  ISLAS</t>
  </si>
  <si>
    <t>PARA PERSONAS JURIDICAS DE MOZAMBIQUE</t>
  </si>
  <si>
    <t>PARA PERSONAS JURIDICAS DE CONGO  REP. POPULAR</t>
  </si>
  <si>
    <t>PARA PERSONAS JURIDICAS DE CHAD</t>
  </si>
  <si>
    <t>PARA PERSONAS JURIDICAS DE MALAWI</t>
  </si>
  <si>
    <t>PARA PERSONAS JURIDICAS DE TANZANIA</t>
  </si>
  <si>
    <t>PARA PERSONAS JURIDICAS DE COSTA RICA</t>
  </si>
  <si>
    <t>PARA PERSONAS JURIDICAS DE ZAIRE</t>
  </si>
  <si>
    <t>PARA PERSONAS JURIDICAS DE BENIN</t>
  </si>
  <si>
    <t>PARA PERSONAS JURIDICAS DE MALI</t>
  </si>
  <si>
    <t>PARA PERSONAS JURIDICAS DE UGANDA</t>
  </si>
  <si>
    <t>PARA PERSONAS JURIDICAS DE SUD AFRICA  REPUBLICA DE</t>
  </si>
  <si>
    <t>PARA PERSONAS JURIDICAS DE SEYCHELLES</t>
  </si>
  <si>
    <t>PARA PERSONAS JURIDICAS DE SANTO TOME Y PRINCIPE</t>
  </si>
  <si>
    <t>PARA PERSONAS JURIDICAS DE NAMIBIA</t>
  </si>
  <si>
    <t>PARA PERSONAS JURIDICAS DE GUINEA BISSAU</t>
  </si>
  <si>
    <t>PARA PERSONAS JURIDICAS DE ERITREA</t>
  </si>
  <si>
    <t>PARA PERSONAS JURIDICAS DE DJIBOUTI</t>
  </si>
  <si>
    <t>PARA PERSONAS JURIDICAS DE COMORAS</t>
  </si>
  <si>
    <t xml:space="preserve">PARA PERSONAS JURIDICAS DE INDETERMINADO  AFRICA </t>
  </si>
  <si>
    <t>PARA PERSONAS JURIDICAS DE BARBADOS</t>
  </si>
  <si>
    <t>PARA PERSONAS JURIDICAS DE CANADA</t>
  </si>
  <si>
    <t>PARA PERSONAS JURIDICAS DE COLOMBIA</t>
  </si>
  <si>
    <t>PARA PERSONAS JURIDICAS DE DOMINICANA  REPUBLICA</t>
  </si>
  <si>
    <t>PARA PERSONAS JURIDICAS DE EL SALVADOR</t>
  </si>
  <si>
    <t>PARA PERSONAS JURIDICAS DE ESTADOS UNIDOS</t>
  </si>
  <si>
    <t>PARA PERSONAS JURIDICAS DE GUATEMALA</t>
  </si>
  <si>
    <t>PARA PERSONAS JURIDICAS DE GUAYANA</t>
  </si>
  <si>
    <t>PARA PERSONAS JURIDICAS DE HAITI</t>
  </si>
  <si>
    <t>PARA PERSONAS JURIDICAS DE HONDURAS</t>
  </si>
  <si>
    <t>PARA PERSONAS JURIDICAS DE JAMAICA</t>
  </si>
  <si>
    <t>PARA PERSONAS JURIDICAS DE MEXICO</t>
  </si>
  <si>
    <t>PARA PERSONAS JURIDICAS DE NICARAGUA</t>
  </si>
  <si>
    <t>PARA PERSONAS JURIDICAS DE PANAMA</t>
  </si>
  <si>
    <t>PARA PERSONAS JURIDICAS DE PUERTO RICO</t>
  </si>
  <si>
    <t>PARA PERSONAS JURIDICAS DE PERU</t>
  </si>
  <si>
    <t>PARA PERSONAS JURIDICAS DE ANTIGUA</t>
  </si>
  <si>
    <t>PARA PERSONAS JURIDICAS DE VENEZUELA</t>
  </si>
  <si>
    <t xml:space="preserve">PARA PERSONAS JURIDICAS DE POS. BRITANICA  AMERICA </t>
  </si>
  <si>
    <t xml:space="preserve">PARA PERSONAS JURIDICAS DE POS. DANESA  AMERICA </t>
  </si>
  <si>
    <t xml:space="preserve">PARA PERSONAS JURIDICAS DE POS. FRANCESA  AMERICA </t>
  </si>
  <si>
    <t xml:space="preserve">PARA PERSONAS JURIDICAS DE POS. PAISES BAJOS  AMERICA </t>
  </si>
  <si>
    <t xml:space="preserve">PARA PERSONAS JURIDICAS DE POS. EE.UU.  AMERICA </t>
  </si>
  <si>
    <t>PARA PERSONAS JURIDICAS DE SURINAME</t>
  </si>
  <si>
    <t>PARA PERSONAS JURIDICAS DE DOMINICA</t>
  </si>
  <si>
    <t>PARA PERSONAS JURIDICAS DE SANTA LUCIA</t>
  </si>
  <si>
    <t>PARA PERSONAS JURIDICAS DE SAN VICENTE  ISLAS</t>
  </si>
  <si>
    <t>PARA PERSONAS JURIDICAS DE BELICE</t>
  </si>
  <si>
    <t>PARA PERSONAS JURIDICAS DE CUBA</t>
  </si>
  <si>
    <t>PARA PERSONAS JURIDICAS DE ECUADOR</t>
  </si>
  <si>
    <t>PARA PERSONAS JURIDICAS DE TRINIDAD TOBAGO</t>
  </si>
  <si>
    <t>PARA PERSONAS JURIDICAS DE BUTAN</t>
  </si>
  <si>
    <t xml:space="preserve">PARA PERSONAS JURIDICAS DE MYARMAR  EX BIRMANIA </t>
  </si>
  <si>
    <t>PARA PERSONAS JURIDICAS DE ISRAEL</t>
  </si>
  <si>
    <t>PARA PERSONAS JURIDICAS DE GRENADA</t>
  </si>
  <si>
    <t>PARA PERSONAS JURIDICAS DE SAN CRISTOBAL Y NEVIS</t>
  </si>
  <si>
    <t>PARA PERSONAS JURIDICAS DE BAHAMAS</t>
  </si>
  <si>
    <t>PARA PERSONAS JURIDICAS DE TAILANDIA</t>
  </si>
  <si>
    <t xml:space="preserve">PARA PERSONAS JURIDICAS DE INDETERMINADO  AMERICA </t>
  </si>
  <si>
    <t>PARA PERSONAS JURIDICAS DE IRAN</t>
  </si>
  <si>
    <t>PARA PERSONAS JURIDICAS DE QATAR</t>
  </si>
  <si>
    <t>PARA PERSONAS JURIDICAS DE JORDANIA</t>
  </si>
  <si>
    <t>PARA PERSONAS JURIDICAS DE AFGANISTAN</t>
  </si>
  <si>
    <t>PARA PERSONAS JURIDICAS DE ARABIA  SAUDITA</t>
  </si>
  <si>
    <t>PARA PERSONAS JURIDICAS DE BAHREIN</t>
  </si>
  <si>
    <t>PARA PERSONAS JURIDICAS DE CAMBOYA</t>
  </si>
  <si>
    <t>PARA PERSONAS JURIDICAS DE SRI LANKA  REP. DE</t>
  </si>
  <si>
    <t>PARA PERSONAS JURIDICAS DE COREA R.P.D. NORTE</t>
  </si>
  <si>
    <t>PARA PERSONAS JURIDICAS DE COREA REPUBLICA</t>
  </si>
  <si>
    <t>PARA PERSONAS JURIDICAS DE CHINA REP. POPULAR</t>
  </si>
  <si>
    <t>PARA PERSONAS JURIDICAS DE CHIPRE</t>
  </si>
  <si>
    <t>PARA PERSONAS JURIDICAS DE FILIPINAS</t>
  </si>
  <si>
    <t>PARA PERSONAS JURIDICAS DE TAIWAN</t>
  </si>
  <si>
    <t>PARA PERSONAS JURIDICAS DE GAZA</t>
  </si>
  <si>
    <t>PARA PERSONAS JURIDICAS DE INDIA</t>
  </si>
  <si>
    <t>PARA PERSONAS JURIDICAS DE INDONESIA</t>
  </si>
  <si>
    <t>PARA PERSONAS JURIDICAS DE IRAK</t>
  </si>
  <si>
    <t>PARA PERSONAS JURIDICAS DE JAPON</t>
  </si>
  <si>
    <t>PARA PERSONAS JURIDICAS DE KUWAIT</t>
  </si>
  <si>
    <t>PARA PERSONAS JURIDICAS DE LAOS</t>
  </si>
  <si>
    <t>PARA PERSONAS JURIDICAS DE LIBANO</t>
  </si>
  <si>
    <t>PARA PERSONAS JURIDICAS DE MALASIA</t>
  </si>
  <si>
    <t>PARA PERSONAS JURIDICAS DE MALDIVAS  ISLAS</t>
  </si>
  <si>
    <t>PARA PERSONAS JURIDICAS DE OMAN</t>
  </si>
  <si>
    <t>PARA PERSONAS JURIDICAS DE MONGOLIA</t>
  </si>
  <si>
    <t>PARA PERSONAS JURIDICAS DE NEPAL</t>
  </si>
  <si>
    <t>PARA PERSONAS JURIDICAS DE EMIRATOS ARABES UNIDOS</t>
  </si>
  <si>
    <t>PARA PERSONAS JURIDICAS DE PAKISTAN</t>
  </si>
  <si>
    <t>PARA PERSONAS JURIDICAS DE SINGAPUR</t>
  </si>
  <si>
    <t>PARA PERSONAS JURIDICAS DE SIRIA</t>
  </si>
  <si>
    <t>PARA PERSONAS JURIDICAS DE VIETNAM</t>
  </si>
  <si>
    <t>PARA PERSONAS JURIDICAS DE YEMEN</t>
  </si>
  <si>
    <t xml:space="preserve">PARA PERSONAS JURIDICAS DE POS. BRITANICA  HONG KONG </t>
  </si>
  <si>
    <t xml:space="preserve">PARA PERSONAS JURIDICAS DE POS. JAPONESA  ASIA </t>
  </si>
  <si>
    <t xml:space="preserve">PARA PERSONAS JURIDICAS DE POS. PORTUGUESA  MACAO </t>
  </si>
  <si>
    <t>PARA PERSONAS JURIDICAS DE BANGLADESH</t>
  </si>
  <si>
    <t>PARA PERSONAS JURIDICAS DE TURQUIA</t>
  </si>
  <si>
    <t>PARA PERSONAS JURIDICAS DE ITALIA</t>
  </si>
  <si>
    <t>PARA PERSONAS JURIDICAS DE TURKMENISTAN</t>
  </si>
  <si>
    <t>PARA PERSONAS JURIDICAS DE UZBEKISTAN</t>
  </si>
  <si>
    <t>PARA PERSONAS JURIDICAS DE ISLANDIA</t>
  </si>
  <si>
    <t>PARA PERSONAS JURIDICAS DE GEORGIA</t>
  </si>
  <si>
    <t>PARA PERSONAS JURIDICAS DE TAYIKISTAN</t>
  </si>
  <si>
    <t>PARA PERSONAS JURIDICAS DE AZERBAIDZHAN</t>
  </si>
  <si>
    <t>PARA PERSONAS JURIDICAS DE BRUNEI</t>
  </si>
  <si>
    <t>PARA PERSONAS JURIDICAS DE KASAJSTAN</t>
  </si>
  <si>
    <t>PARA PERSONAS JURIDICAS DE KIRGUISTAN</t>
  </si>
  <si>
    <t xml:space="preserve">PARA PERSONAS JURIDICAS DE INDETERMINADO  ASIA </t>
  </si>
  <si>
    <t>PARA PERSONAS JURIDICAS DE ALBANIA</t>
  </si>
  <si>
    <t>PARA PERSONAS JURIDICAS DE ANDORRA</t>
  </si>
  <si>
    <t>PARA PERSONAS JURIDICAS DE AUSTRIA</t>
  </si>
  <si>
    <t>PARA PERSONAS JURIDICAS DE BELGICA</t>
  </si>
  <si>
    <t>PARA PERSONAS JURIDICAS DE BULGARIA</t>
  </si>
  <si>
    <t>PARA PERSONAS JURIDICAS DE DINAMARCA</t>
  </si>
  <si>
    <t>PARA PERSONAS JURIDICAS DE ESPANA</t>
  </si>
  <si>
    <t>PARA PERSONAS JURIDICAS DE FINLANDIA</t>
  </si>
  <si>
    <t>PARA PERSONAS JURIDICAS DE FRANCIA</t>
  </si>
  <si>
    <t>PARA PERSONAS JURIDICAS DE GRECIA</t>
  </si>
  <si>
    <t>PARA PERSONAS JURIDICAS DE HUNGRIA</t>
  </si>
  <si>
    <t xml:space="preserve">PARA PERSONAS JURIDICAS DE IRLANDA  EIRE </t>
  </si>
  <si>
    <t>PARA PERSONAS JURIDICAS DE LIECHTENSTEIN</t>
  </si>
  <si>
    <t>PARA PERSONAS JURIDICAS DE LUXEMBURGO</t>
  </si>
  <si>
    <t>PARA PERSONAS JURIDICAS DE MONACO</t>
  </si>
  <si>
    <t>PARA PERSONAS JURIDICAS DE NORUEGA</t>
  </si>
  <si>
    <t>PARA PERSONAS JURIDICAS DE PAISES BAJOS</t>
  </si>
  <si>
    <t>PARA PERSONAS JURIDICAS DE POLONIA</t>
  </si>
  <si>
    <t>PARA PERSONAS JURIDICAS DE PORTUGAL</t>
  </si>
  <si>
    <t>PARA PERSONAS JURIDICAS DE REINO UNIDO</t>
  </si>
  <si>
    <t>PARA PERSONAS JURIDICAS DE RUMANIA</t>
  </si>
  <si>
    <t>PARA PERSONAS JURIDICAS DE SAN MARINO</t>
  </si>
  <si>
    <t>PARA PERSONAS JURIDICAS DE SUECIA</t>
  </si>
  <si>
    <t>PARA PERSONAS JURIDICAS DE SUIZA</t>
  </si>
  <si>
    <t xml:space="preserve">PARA PERSONAS JURIDICAS DE SANTA SEDE  VATICANO </t>
  </si>
  <si>
    <t>PARA PERSONAS JURIDICAS DE YUGOSLAVIA</t>
  </si>
  <si>
    <t>PARA PERSONAS JURIDICAS DE MALTA</t>
  </si>
  <si>
    <t>PARA PERSONAS JURIDICAS DE ALEMANIA  REP.FED.</t>
  </si>
  <si>
    <t>PARA PERSONAS JURIDICAS DE BIELORUSIA</t>
  </si>
  <si>
    <t>PARA PERSONAS JURIDICAS DE ESTONIA</t>
  </si>
  <si>
    <t>PARA PERSONAS JURIDICAS DE LETONIA</t>
  </si>
  <si>
    <t>PARA PERSONAS JURIDICAS DE LITUANIA</t>
  </si>
  <si>
    <t>PARA PERSONAS JURIDICAS DE MOLDOVA</t>
  </si>
  <si>
    <t>PARA PERSONAS JURIDICAS DE BOSNIA HERZEGOVINA</t>
  </si>
  <si>
    <t>PARA PERSONAS JURIDICAS DE ESLOVENIA</t>
  </si>
  <si>
    <t>PARA PERSONAS JURIDICAS DE MACEDONIA</t>
  </si>
  <si>
    <t xml:space="preserve">PARA PERSONAS JURIDICAS DE POS. BRITANICA  EUROPA </t>
  </si>
  <si>
    <t xml:space="preserve">PARA PERSONAS JURIDICAS DE INDETERMINADO  EUROPA </t>
  </si>
  <si>
    <t>PARA PERSONAS JURIDICAS DE AUSTRALIA</t>
  </si>
  <si>
    <t>PARA PERSONAS JURIDICAS DE NAURU</t>
  </si>
  <si>
    <t>PARA PERSONAS JURIDICAS DE NUEVA ZELANDA</t>
  </si>
  <si>
    <t>PARA PERSONAS JURIDICAS DE VANUATU</t>
  </si>
  <si>
    <t>PARA PERSONAS JURIDICAS DE SAMOA OCCIDENTAL</t>
  </si>
  <si>
    <t xml:space="preserve">PARA PERSONAS JURIDICAS DE POS. AUSTRALIANA  OCEANIA </t>
  </si>
  <si>
    <t xml:space="preserve">PARA PERSONAS JURIDICAS DE POS. BRITANICA  OCEANIA </t>
  </si>
  <si>
    <t xml:space="preserve">PARA PERSONAS JURIDICAS DE POS. FRANCESA  OCEANIA </t>
  </si>
  <si>
    <t xml:space="preserve">PARA PERSONAS JURIDICAS DE POS. NEOCELANDESA  OCEANIA </t>
  </si>
  <si>
    <t xml:space="preserve">PARA PERSONAS JURIDICAS DE POS. EE.UU.  OCEANIA </t>
  </si>
  <si>
    <t>PARA PERSONAS JURIDICAS DE FIJI  ISLAS</t>
  </si>
  <si>
    <t>PARA PERSONAS JURIDICAS DE PAPUA  ISLAS</t>
  </si>
  <si>
    <t>PARA PERSONAS JURIDICAS DE KIRIBATI  ISLAS</t>
  </si>
  <si>
    <t>PARA PERSONAS JURIDICAS DE TUBALU</t>
  </si>
  <si>
    <t>PARA PERSONAS JURIDICAS DE ISLAS SALOMON</t>
  </si>
  <si>
    <t>PARA PERSONAS JURIDICAS DE TONGA</t>
  </si>
  <si>
    <t>PARA PERSONAS JURIDICAS DE ISLAS MARSHALL</t>
  </si>
  <si>
    <t>PARA PERSONAS JURIDICAS DE ISLAS MARIANAS</t>
  </si>
  <si>
    <t>PARA PERSONAS JURIDICAS DE MICRONESIA ESTADOS FED.</t>
  </si>
  <si>
    <t>PARA PERSONAS JURIDICAS DE PALAU</t>
  </si>
  <si>
    <t xml:space="preserve">PARA PERSONAS JURIDICAS DE INDETERMINADO  OCEANIA </t>
  </si>
  <si>
    <t>PARA PERSONAS JURIDICAS DE RUSA  FEDERACION</t>
  </si>
  <si>
    <t>PARA PERSONAS JURIDICAS DE ARMENIA</t>
  </si>
  <si>
    <t>PARA PERSONAS JURIDICAS DE CROACIA</t>
  </si>
  <si>
    <t>PARA PERSONAS JURIDICAS DE UCRANIA</t>
  </si>
  <si>
    <t>PARA PERSONAS JURIDICAS DE CHECA  REPUBLICA</t>
  </si>
  <si>
    <t>PARA PERSONAS JURIDICAS DE ESLOVACA  REPUBLICA</t>
  </si>
  <si>
    <t xml:space="preserve">PARA PERSONAS JURIDICAS DE INDETERMINADO  CONTINENTE </t>
  </si>
  <si>
    <t>PARA PERSONAS JURIDICAS DE OTROS PAISES</t>
  </si>
  <si>
    <t>CUIT PAISES</t>
  </si>
  <si>
    <t>CODIGO OPERACIÓN COMPRAS</t>
  </si>
  <si>
    <t>C I CAPITAL FEDERAL</t>
  </si>
  <si>
    <t>C I BUENOS AIRES</t>
  </si>
  <si>
    <t>C I CATAMARCA</t>
  </si>
  <si>
    <t>C I CORDOBA</t>
  </si>
  <si>
    <t>C I CORRIENTES</t>
  </si>
  <si>
    <t>C I ENTRE RIOS</t>
  </si>
  <si>
    <t>C I JUJUY</t>
  </si>
  <si>
    <t>C I MENDOZA</t>
  </si>
  <si>
    <t>C I LA RIOJA</t>
  </si>
  <si>
    <t>C I SALTA</t>
  </si>
  <si>
    <t>C I SAN JUAN</t>
  </si>
  <si>
    <t>C I SAN LUIS</t>
  </si>
  <si>
    <t>C I SANTA FE</t>
  </si>
  <si>
    <t>C I SGO DEL ESTERO</t>
  </si>
  <si>
    <t>C I TUCUMAN</t>
  </si>
  <si>
    <t>C I CHACO</t>
  </si>
  <si>
    <t>C I CHUBUT</t>
  </si>
  <si>
    <t>C I FORMOSA</t>
  </si>
  <si>
    <t>C I MISIONES</t>
  </si>
  <si>
    <t>C I NEUQUEN</t>
  </si>
  <si>
    <t>C I LA PAMPA</t>
  </si>
  <si>
    <t>C I RIO NEGRO</t>
  </si>
  <si>
    <t>C I SANTA CRUZ</t>
  </si>
  <si>
    <t>C I TIERRA DEL FUEGO</t>
  </si>
  <si>
    <t>C U I T</t>
  </si>
  <si>
    <t>C U I L</t>
  </si>
  <si>
    <t>C D I</t>
  </si>
  <si>
    <t>LIBRETA DE ENROLAMIENTO</t>
  </si>
  <si>
    <t>LIBRETA CIVICA</t>
  </si>
  <si>
    <t>C I EXTRANJERA</t>
  </si>
  <si>
    <t>EN TRAMITE</t>
  </si>
  <si>
    <t>ACTA DE NACIMIENTO</t>
  </si>
  <si>
    <t>PASAPORTE</t>
  </si>
  <si>
    <t>C I BS AS R N P</t>
  </si>
  <si>
    <t>DOC NACIONAL DE IDENTIDAD</t>
  </si>
  <si>
    <t>SIN IDENTIFICAR / VENTA GLOBAL DIARIA</t>
  </si>
  <si>
    <t>DOCUMENTOS</t>
  </si>
  <si>
    <t>DESTINACION</t>
  </si>
  <si>
    <t>CODIGO OPERACIÓN VENTAS</t>
  </si>
  <si>
    <t>MONEDAS</t>
  </si>
  <si>
    <t>DOL</t>
  </si>
  <si>
    <t>PES</t>
  </si>
  <si>
    <t>DOLAR LIBRE EEUU</t>
  </si>
  <si>
    <t>FLORINES HOLANDESES</t>
  </si>
  <si>
    <t>FRANCO SUIZO</t>
  </si>
  <si>
    <t>PESOS MEJICANOS</t>
  </si>
  <si>
    <t>PESOS URUGUAYOS</t>
  </si>
  <si>
    <t>REAL</t>
  </si>
  <si>
    <t>CORONAS DANESAS</t>
  </si>
  <si>
    <t>CORONAS NORUEGAS</t>
  </si>
  <si>
    <t>CORONAS SUECAS</t>
  </si>
  <si>
    <t>DOLAR CANADIENSE</t>
  </si>
  <si>
    <t>YENS</t>
  </si>
  <si>
    <t>LIBRA ESTERLINA</t>
  </si>
  <si>
    <t>BOLIVAR VENEZOLANO</t>
  </si>
  <si>
    <t>CORONA CHECA</t>
  </si>
  <si>
    <t>DINAR YUGOSLAVO</t>
  </si>
  <si>
    <t>DOLAR AUSTRALIANO</t>
  </si>
  <si>
    <t>DRACMA GRIEGO</t>
  </si>
  <si>
    <t>FLORIN  ANTILLAS HOLANDESAS</t>
  </si>
  <si>
    <t>GUARANI</t>
  </si>
  <si>
    <t>SHEKEL  ISRAEL</t>
  </si>
  <si>
    <t>PESO BOLIVIANO</t>
  </si>
  <si>
    <t>PESO COLOMBIANO</t>
  </si>
  <si>
    <t>PESO CHILENO</t>
  </si>
  <si>
    <t>RAND SUDAFRICANO</t>
  </si>
  <si>
    <t>NUEVO SOL PERUANO</t>
  </si>
  <si>
    <t>SUCRE ECUATORIANO</t>
  </si>
  <si>
    <t>NUEVO LEV BULGARO</t>
  </si>
  <si>
    <t>LEI RUMANO</t>
  </si>
  <si>
    <t>DERECHOS ESPECIALES DE GIRO</t>
  </si>
  <si>
    <t>PESO DOMINICANO</t>
  </si>
  <si>
    <t>BALBOAS PANAMENAS</t>
  </si>
  <si>
    <t>CORDOBA NICARAGUENSE</t>
  </si>
  <si>
    <t>DIRHAM MARROQUI</t>
  </si>
  <si>
    <t>LIBRA EGIPCIA</t>
  </si>
  <si>
    <t>RIYAL SAUDITA</t>
  </si>
  <si>
    <t>GRAMOS DE ORO FINO</t>
  </si>
  <si>
    <t>DOLAR DE HONG KONG</t>
  </si>
  <si>
    <t>DOLAR DE SINGAPUR</t>
  </si>
  <si>
    <t>DOLAR DE JAMAICA</t>
  </si>
  <si>
    <t>DOLAR DE TAIWAN</t>
  </si>
  <si>
    <t>QUETZAL GUATEMALTECO</t>
  </si>
  <si>
    <t>FORINT  HUNGRIA</t>
  </si>
  <si>
    <t>BAHT  TAILANDIA</t>
  </si>
  <si>
    <t>DINAR KUWAITI</t>
  </si>
  <si>
    <t>EURO</t>
  </si>
  <si>
    <t>ZLOTY POLACO</t>
  </si>
  <si>
    <t>RUPIA HINDU</t>
  </si>
  <si>
    <t>LEMPIRA HONDURENA</t>
  </si>
  <si>
    <t>YUAN  REP  POP  CHINA</t>
  </si>
  <si>
    <t>DOLAR ESTADOUNIDENSE</t>
  </si>
  <si>
    <t>PESOS ARGENTINOS</t>
  </si>
  <si>
    <t>NO CORRESPONDE</t>
  </si>
  <si>
    <t>A</t>
  </si>
  <si>
    <t>NO ALCANZADO</t>
  </si>
  <si>
    <t>C</t>
  </si>
  <si>
    <t>OPERACIONES DE CANJE</t>
  </si>
  <si>
    <t>E</t>
  </si>
  <si>
    <t>OPERACIONES EXENTAS</t>
  </si>
  <si>
    <t>N</t>
  </si>
  <si>
    <t>NO GRAVADO</t>
  </si>
  <si>
    <t>X</t>
  </si>
  <si>
    <t>IMPORTACION DEL EXTERIOR</t>
  </si>
  <si>
    <t>Z</t>
  </si>
  <si>
    <t>IMPORTACION DE ZONA FRANCA</t>
  </si>
  <si>
    <t>EXPORTACION AL EXTERIOR</t>
  </si>
  <si>
    <t>EXPORTACION A ZONA FRANCA</t>
  </si>
  <si>
    <t>DESTINACION DE IMPORTACION SIMPLIFICADA S DOC</t>
  </si>
  <si>
    <t>DESTINACION DE IMPORTACION SIMPLIFICADA</t>
  </si>
  <si>
    <t>DESTINACION DE IMPORTACION SIMPLIFICADA D A P</t>
  </si>
  <si>
    <t>EXPORTACION A CONSUMO</t>
  </si>
  <si>
    <t>EXPORTACION A CONSUMO C DIT SIN TRANSFORMACION</t>
  </si>
  <si>
    <t>EXPORTACION A CONSUMO C DIT CON TRANSFORMACION</t>
  </si>
  <si>
    <t>EXPORT  A CONS  C DIT INGRES  P TRANSF  EGRESADO S TRANSF</t>
  </si>
  <si>
    <t>EXPORTACION A CONSUMO DE EXPORT  TEMP  C TRANSFORMACION</t>
  </si>
  <si>
    <t>EXPORTACION A CONSUMO DE EXPORT  TEMP  S TRANSFORMACION</t>
  </si>
  <si>
    <t>EXPORTACION A CONSUMO DE MERCADERIAS EN CONSIGNACION</t>
  </si>
  <si>
    <t>EXPORTACION A CONSUMO DE MERC  CON PRECIOS REVISABLES</t>
  </si>
  <si>
    <t>EXPORTACION A CONSUMO DE CONCENTRADO DE MINERALES</t>
  </si>
  <si>
    <t>RESIDUOS DE IMPORTACIONES TEMPORARIAS PARA TRANSFORMACION</t>
  </si>
  <si>
    <t>EXPORTACION A CONSUMO CON CANC  DE INSUMOS INGRESADOS TEMP  A ZF</t>
  </si>
  <si>
    <t>EGRESO DEF  MERC EXTRANJ C PREV EGR TEMP A PLAT MARINAS</t>
  </si>
  <si>
    <t>EGRESO AL TNC DE MERC  ORIG  AAE E IMPORTADOR DISTINTO AL PRODUCTOR</t>
  </si>
  <si>
    <t>EGRESO P CONSUMO EN EL TNC MERCADERIA DEL AAE NO ORIG  EN EL AREA</t>
  </si>
  <si>
    <t>REIMPOR AL TNC MERC  EXPORT DESDE TNC AL AAE</t>
  </si>
  <si>
    <t>EGRESO DEF MERCA EXTRANJ C PREV EGR TEMP A PLAT MARINAS</t>
  </si>
  <si>
    <t>EXPORTACION A CONSUMO DE BIENES TRANSFORMADOS EN EL RAF</t>
  </si>
  <si>
    <t>EXPORTACION A CONSUMO DE BIENES SIN TRANSFORMAR POR VENTA AL EXTERIOR</t>
  </si>
  <si>
    <t>EXPORTACION A CONSUMO GRAN OPERADOR</t>
  </si>
  <si>
    <t>EXPORTACION A CONSUMO C DIT SIN TRANS  GRAN OPERADOR</t>
  </si>
  <si>
    <t>EXPORTACION A CONSUMO C DIT CON TRANS GRAN OPERADOR</t>
  </si>
  <si>
    <t>EXPORTACION A CONSUMO DE EXP  TEMP  S TRANSF  P GRAN OPER   EXPORT  A  CONSUMO DE EX  TEMP S TRANF</t>
  </si>
  <si>
    <t>EXPORTACION A CONSUMO DE MERC  EN CONSIG P GRAN OPERADOR</t>
  </si>
  <si>
    <t>EXPORTACION A CONSUMO C DIT C T GOP CON AUTORIZACION</t>
  </si>
  <si>
    <t>EXPORT  RANCHO COMBUSTIBLE DE BUQUE BANDERA EXTRANJERA</t>
  </si>
  <si>
    <t>RANCHO P  MEDIOS DE TRANSPORTE DE BANDERA NACIONAL</t>
  </si>
  <si>
    <t>RANCHO Y APROVISIONAM. DE MEDIOS DE TRANSPORTE DE BANDERA EXTRANJ. EXCEPTO COMBS. Y LUBRICANTES</t>
  </si>
  <si>
    <t>RANCHO Y APROVISIONAM. DE MEDIOS DE TRANSPORTE DE BANDERA NAC. EXCEPTO COMBS. Y LUBRICANTES</t>
  </si>
  <si>
    <t>EXPORTACION DE MERCADERIAS EN CONSIGNACION</t>
  </si>
  <si>
    <t>EXPORTACION DE MERCADERIAS CON PRECIOS REVISABLES</t>
  </si>
  <si>
    <t>EXPORTACION DE CONCENTRADOS MINERALES</t>
  </si>
  <si>
    <t>EXPORTACION REGIMEN SIMPLIFICADO DECRETO N  855 97</t>
  </si>
  <si>
    <t>IMPORTACION A CONSUMO SIN DOC  DE TRANSPORTE</t>
  </si>
  <si>
    <t>IMPORT  A CONSUMO MERCADERIA REGIMEN DE SOLICITUD PREVIA</t>
  </si>
  <si>
    <t>IMPORT  CONSUMO DE MERC  VIA TERREST  EN ENVIOS FRACC</t>
  </si>
  <si>
    <t>IMPORTACION A CONSUMO CON DOCUMENTO DE TRANSPORTE</t>
  </si>
  <si>
    <t>IMPORTACION A CONSUMO CON DOCUMENTO DE TRANSPORTE D A P</t>
  </si>
  <si>
    <t>IMPORTACION A CONSUMO SOBRE DEPOSITO DE ALMACENAMIENTO</t>
  </si>
  <si>
    <t>IMPORTACION A CONSUMO REGIMEN AUTOMOTRIZ C DOC D A P</t>
  </si>
  <si>
    <t>RETORNO EXPORT  TEMP  C TRANSF  S DOC  TRANSPORTE</t>
  </si>
  <si>
    <t>RETORNO EXPORT  TEMP  S TRANSF  C DOC  TRANSPORTE</t>
  </si>
  <si>
    <t>RETORNO EXPORT  TEMP  S TRANSF  C DOC  TRANSPORTE D A P</t>
  </si>
  <si>
    <t>RETORNO EXPORT  TEMP  S TRANSF  S DEP  ALMACENAMIENTO</t>
  </si>
  <si>
    <t>IMPORTACION A CONSUMO DE GRANEL D A P CON MANI REGISTRADO</t>
  </si>
  <si>
    <t>IMPORTACION A CONSUMO C DOC TRANSP  DAP FORM 7366 MANI REG</t>
  </si>
  <si>
    <t>IMPORTACION A CONSUMO DE IMPORTACION TEMP  C TRANSFORMAC</t>
  </si>
  <si>
    <t>IMPORTACION A CONSUMO DE RESIDUOS DE IMPORT  TEMP  C TRANSF</t>
  </si>
  <si>
    <t>IMPORTACION A CONSUMO DE IMP  TEMPORARIA S TRANSFORMAR</t>
  </si>
  <si>
    <t>IMPO A CONSUMO DE MERC EN SITUACION DE REZAGO P TITULAR</t>
  </si>
  <si>
    <t>IMPORTACION A CONSUMO DE BIENES TRANSFORMADOS RAF</t>
  </si>
  <si>
    <t>IMPORTACION A CONSUMO DE BIENES NO TRANSFORMADOS RAF</t>
  </si>
  <si>
    <t>IMP  A CONSUMO DE BIENES TRANSFORMADOS EGRESADOS DE LA PLANTA CON TLR1</t>
  </si>
  <si>
    <t>IMP  A CONSUMO DE LOS RESIDUOS DE LOS PROCESOS PRODUCTIVOS EN EL RAF</t>
  </si>
  <si>
    <t>IMPORTACION A CONSUMO P GRAN OPERADORES S DOC TRANSP</t>
  </si>
  <si>
    <t>IMPORT  CONSUMO P GRAN OPERADOR VIA TERRESTRE ENV  FRACC</t>
  </si>
  <si>
    <t>IMPORTACION A CONSUMO P GRAN OPER  CON DOC TRANSP</t>
  </si>
  <si>
    <t>IMPORTACION A CONSUMO P GRAN OPER  C DOC  TRANSP DAP</t>
  </si>
  <si>
    <t>IMP A CONSUMO P GRAN OPER SOBRE DEP  DE ALMACENAMIENTO</t>
  </si>
  <si>
    <t>IMPORTACION A CONSUMO P GRAN OPER CON AUT PROVISORIA</t>
  </si>
  <si>
    <t>RETORNO EXPO TEMP C TRANSF S DOC TRANSPORTE GRAN OPERAD</t>
  </si>
  <si>
    <t>RETORNO EXPO TEMP C TRANSF C DOC TRANSPORTE GRAN OPERAD</t>
  </si>
  <si>
    <t>RETORNO EXPO TEMP C TRANSF C DOC TRANSPORTE DAP GRAN OP</t>
  </si>
  <si>
    <t>IMPO A CONSUMO P GRAND OPERAD  DE IMPO TEMP C TRANSFOR</t>
  </si>
  <si>
    <t>IMPO A CONS  P GRAND OPERA  DE RESIDUOS DE TEMP  C T</t>
  </si>
  <si>
    <t>IMPO A CONS P GRAN OPERADOR DE IMP  TEMP  S TRANSFORM</t>
  </si>
  <si>
    <t>IMP VEHIC REG  FRANQUICIA DIPLOMATICA S DEP ALMACEN</t>
  </si>
  <si>
    <t>NACIOLALIZ DE VEHIC INGR POR REG  FRANQ  DIPLOMAT</t>
  </si>
  <si>
    <t>LIQUIDACION MANUAL</t>
  </si>
  <si>
    <t>RET MERC EXTRANJ  AL TNC C PREV EGR TEMP A P MARINA</t>
  </si>
  <si>
    <t>ING  ZF DE BIENES DE CAP  LIBRE CIRC  P RADIC  DEFIN  DE T A</t>
  </si>
  <si>
    <t>ING  ZF VITUALLAS Y MERC  DEST  CONSTRUCC  INSTAL DEL EXTERIOR</t>
  </si>
  <si>
    <t>ING  ZF BIENES DE CAPITAL PARA RADIC  DEFINITIVA DEL EXTERIOR</t>
  </si>
  <si>
    <t>ING  ZF MERC  LIBRE CIRC  P ALMAC  COMERC  REP T A</t>
  </si>
  <si>
    <t>ING  ZF MERC  ALMACENAM  Y O COMERC  Y O REPARAC  DEL EXT</t>
  </si>
  <si>
    <t>ING  ZF INSUM  LIBRE CIRC  EN FORMA TEMP  P PROC  PROD  DE T A</t>
  </si>
  <si>
    <t>ING  ZF INSUMOS LIBRE CIRC  P PROC  PROD  DESDE T A</t>
  </si>
  <si>
    <t>ING  ZF INSUMOS PARA PROCESOS PRODUCTIVOS DEL EXTERIOR</t>
  </si>
  <si>
    <t>EGRESO ZF PARA CONSUMO EN EL TERRITORIO</t>
  </si>
  <si>
    <t>EG  POR AEROP  P PUERTO DE LA ZF EN EL MISMO ESTADO AL EXT</t>
  </si>
  <si>
    <t>EGR  ZF DE UN PRODUCTO DE UN PROCESO PRODUCTIVO AL T A</t>
  </si>
  <si>
    <t>EGR  ZF DE UN PRODUCTO DE UN PROCESO PRODUCT  O REPARACION AL EXT</t>
  </si>
  <si>
    <t>EGR  ZF RESIDUO DE PROCESO PRODUCT  C VALOR COM  AL TA</t>
  </si>
  <si>
    <t>EGR  ZF DE UN RESIDUO DE PROCESO PRODUCT  C VALOR COM  AL EXT</t>
  </si>
  <si>
    <t>RETORNO AL T A  DE ACUERDO AL ART 566 DEL CA</t>
  </si>
  <si>
    <t>RETORNO AL T A  DE MERCADERIA EXPORTADA TEMPORALMENTE</t>
  </si>
  <si>
    <t>DIS1</t>
  </si>
  <si>
    <t>DIS4</t>
  </si>
  <si>
    <t>DIS5</t>
  </si>
  <si>
    <t>EC01</t>
  </si>
  <si>
    <t>EC02</t>
  </si>
  <si>
    <t>EC03</t>
  </si>
  <si>
    <t>EC04</t>
  </si>
  <si>
    <t>EC05</t>
  </si>
  <si>
    <t>EC06</t>
  </si>
  <si>
    <t>EC07</t>
  </si>
  <si>
    <t>EC08</t>
  </si>
  <si>
    <t>EC09</t>
  </si>
  <si>
    <t>EC16</t>
  </si>
  <si>
    <t>EC19</t>
  </si>
  <si>
    <t>ECA1</t>
  </si>
  <si>
    <t>ECA2</t>
  </si>
  <si>
    <t>ECA3</t>
  </si>
  <si>
    <t>ECA4</t>
  </si>
  <si>
    <t>ECP1</t>
  </si>
  <si>
    <t>ECR1</t>
  </si>
  <si>
    <t>ECR2</t>
  </si>
  <si>
    <t>EG01</t>
  </si>
  <si>
    <t>EG02</t>
  </si>
  <si>
    <t>EG03</t>
  </si>
  <si>
    <t>EG06</t>
  </si>
  <si>
    <t>EG07</t>
  </si>
  <si>
    <t>EG13</t>
  </si>
  <si>
    <t>ER01</t>
  </si>
  <si>
    <t>ER02</t>
  </si>
  <si>
    <t>ER03</t>
  </si>
  <si>
    <t>ER04</t>
  </si>
  <si>
    <t>ES01</t>
  </si>
  <si>
    <t>ES02</t>
  </si>
  <si>
    <t>ES03</t>
  </si>
  <si>
    <t>EXRS</t>
  </si>
  <si>
    <t>IC01</t>
  </si>
  <si>
    <t>IC02</t>
  </si>
  <si>
    <t>IC03</t>
  </si>
  <si>
    <t>IC04</t>
  </si>
  <si>
    <t>IC05</t>
  </si>
  <si>
    <t>IC06</t>
  </si>
  <si>
    <t>IC07</t>
  </si>
  <si>
    <t>IC21</t>
  </si>
  <si>
    <t>IC24</t>
  </si>
  <si>
    <t>IC25</t>
  </si>
  <si>
    <t>IC26</t>
  </si>
  <si>
    <t>IC65</t>
  </si>
  <si>
    <t>IC75</t>
  </si>
  <si>
    <t>IC81</t>
  </si>
  <si>
    <t>IC82</t>
  </si>
  <si>
    <t>IC83</t>
  </si>
  <si>
    <t>IC99</t>
  </si>
  <si>
    <t>ICR1</t>
  </si>
  <si>
    <t>ICR2</t>
  </si>
  <si>
    <t>ICR3</t>
  </si>
  <si>
    <t>ICR4</t>
  </si>
  <si>
    <t>IG01</t>
  </si>
  <si>
    <t>IG03</t>
  </si>
  <si>
    <t>IG04</t>
  </si>
  <si>
    <t>IG05</t>
  </si>
  <si>
    <t>IG06</t>
  </si>
  <si>
    <t>IG07</t>
  </si>
  <si>
    <t>IG21</t>
  </si>
  <si>
    <t>IG24</t>
  </si>
  <si>
    <t>IG25</t>
  </si>
  <si>
    <t>IG81</t>
  </si>
  <si>
    <t>IG82</t>
  </si>
  <si>
    <t>IG83</t>
  </si>
  <si>
    <t>IS06</t>
  </si>
  <si>
    <t>IS21</t>
  </si>
  <si>
    <t>LMAN</t>
  </si>
  <si>
    <t>RTP1</t>
  </si>
  <si>
    <t>ZF11</t>
  </si>
  <si>
    <t>ZF12</t>
  </si>
  <si>
    <t>ZF13</t>
  </si>
  <si>
    <t>ZF14</t>
  </si>
  <si>
    <t>ZF15</t>
  </si>
  <si>
    <t>ZF16</t>
  </si>
  <si>
    <t>ZF17</t>
  </si>
  <si>
    <t>ZF18</t>
  </si>
  <si>
    <t>ZFE1</t>
  </si>
  <si>
    <t>ZFE2</t>
  </si>
  <si>
    <t>ZFE3</t>
  </si>
  <si>
    <t>ZFE4</t>
  </si>
  <si>
    <t>ZFE5</t>
  </si>
  <si>
    <t>ZFE6</t>
  </si>
  <si>
    <t>ZFER</t>
  </si>
  <si>
    <t>ZFET</t>
  </si>
  <si>
    <t>Fecha</t>
  </si>
  <si>
    <t>Tipo Comp</t>
  </si>
  <si>
    <t>Importe Total Operac</t>
  </si>
  <si>
    <t>Percepc.Pgo a Cta de otros imp.Nac.</t>
  </si>
  <si>
    <t>Percepc.Ingresos Brutos</t>
  </si>
  <si>
    <t>Percepc.Imp. Municip.</t>
  </si>
  <si>
    <t>Cod</t>
  </si>
  <si>
    <t>Descripc</t>
  </si>
  <si>
    <t>Número de Comprobante</t>
  </si>
  <si>
    <t>Número</t>
  </si>
  <si>
    <t>Pto.Vta.</t>
  </si>
  <si>
    <t>Cantidad alícuotas IVA</t>
  </si>
  <si>
    <t>Alícuota</t>
  </si>
  <si>
    <t>PARA ALICUOTA 1</t>
  </si>
  <si>
    <t>Nto.Grav.</t>
  </si>
  <si>
    <t>Alicuota IVA</t>
  </si>
  <si>
    <t xml:space="preserve">Impuesto Liquidado </t>
  </si>
  <si>
    <t>PARA ALICUOTA 2</t>
  </si>
  <si>
    <t>TOTAL NETO GRAVADO</t>
  </si>
  <si>
    <t>TOTAL IVA</t>
  </si>
  <si>
    <t>Código</t>
  </si>
  <si>
    <t>Importes q no integran el NG</t>
  </si>
  <si>
    <t>Imp.Int.</t>
  </si>
  <si>
    <t>T_Comp</t>
  </si>
  <si>
    <t>Nr_Comp</t>
  </si>
  <si>
    <t>ImpTotal</t>
  </si>
  <si>
    <t>ImpNoNG</t>
  </si>
  <si>
    <t>PercImpNac</t>
  </si>
  <si>
    <t>PercIIBB</t>
  </si>
  <si>
    <t>PercImpMun</t>
  </si>
  <si>
    <t>ImpInter</t>
  </si>
  <si>
    <t>CodMon</t>
  </si>
  <si>
    <t>TipCbio</t>
  </si>
  <si>
    <t>CantAlic</t>
  </si>
  <si>
    <t>CodOper</t>
  </si>
  <si>
    <t>PtoVta</t>
  </si>
  <si>
    <t xml:space="preserve">AAAAMMDD </t>
  </si>
  <si>
    <t xml:space="preserve">Según tabla Comprobantes Compras </t>
  </si>
  <si>
    <t xml:space="preserve"> </t>
  </si>
  <si>
    <t xml:space="preserve">Según tabla Documentos </t>
  </si>
  <si>
    <t xml:space="preserve">Completar con ceros a izquierda </t>
  </si>
  <si>
    <t xml:space="preserve">13 enteros 2 decimales sin punto decimal </t>
  </si>
  <si>
    <t xml:space="preserve">Según tabla Monedas </t>
  </si>
  <si>
    <t xml:space="preserve">Según tabla Codigo Operacion </t>
  </si>
  <si>
    <t>CONTROL</t>
  </si>
  <si>
    <t>IVA1</t>
  </si>
  <si>
    <t>IVA2</t>
  </si>
  <si>
    <t>COMPROBANTE</t>
  </si>
  <si>
    <t>NG1</t>
  </si>
  <si>
    <t>Alic1</t>
  </si>
  <si>
    <t>NG2</t>
  </si>
  <si>
    <t>Hasta</t>
  </si>
  <si>
    <t>Cód Docum Comprador</t>
  </si>
  <si>
    <t>Nº ID Comprador</t>
  </si>
  <si>
    <t>Razón Soc Comprador</t>
  </si>
  <si>
    <t>Percepc a No Categorizados</t>
  </si>
  <si>
    <t>Imp. Operaciones Exentas</t>
  </si>
  <si>
    <t>Fecha Vencim.Pago</t>
  </si>
  <si>
    <t>Comp_Hasta</t>
  </si>
  <si>
    <t>TipDocComp</t>
  </si>
  <si>
    <t>ID_Compr</t>
  </si>
  <si>
    <t>RazSocComp</t>
  </si>
  <si>
    <t>Perc.No Cat.</t>
  </si>
  <si>
    <t>OpExentas</t>
  </si>
  <si>
    <t>VencimPago</t>
  </si>
  <si>
    <t>Para Archivos "Importación de Comprobantes" (Copiar lo resaltado en amarillo y pegar en txt)</t>
  </si>
  <si>
    <t>Para Archivos "Importación de Alícuotas de Comprobantes" (Copiar lo resaltado en amarillo y pegar a un txt)</t>
  </si>
  <si>
    <t>Otros Tributos</t>
  </si>
  <si>
    <t>yyyymmdd</t>
  </si>
  <si>
    <t>- Completar solo columnas sombreadas en amarillo. Si no se completan las fechas, NO APARECE NADA traído de las tablas.</t>
  </si>
  <si>
    <t>OtrosTributos</t>
  </si>
  <si>
    <t>ALIC2</t>
  </si>
  <si>
    <t>(*) Si tenés errores de fecha, reemplazá "yyyymmdd" por "aaaammdd" (sin comillas) en la celda B2.</t>
  </si>
  <si>
    <t>www.exceldiario.com.ar</t>
  </si>
  <si>
    <t xml:space="preserve">  Algunos de los siguientes links te puede interesar, dar</t>
  </si>
  <si>
    <t>clic:</t>
  </si>
  <si>
    <t>→ FORMAS DE COLABORAR CON NOSOTROS</t>
  </si>
  <si>
    <t>→ NUESTRO TWITTER</t>
  </si>
  <si>
    <t>→ NUESTRA PAGINA DE FACEBOOK</t>
  </si>
  <si>
    <t>→ NUESTRO CANAL DE YOUTUBE</t>
  </si>
  <si>
    <t>→ NUESTRO BLOG</t>
  </si>
  <si>
    <t>→ SECCION CONTABLE</t>
  </si>
  <si>
    <t>→ SECCION DE FUTBOL</t>
  </si>
  <si>
    <t>→ SECCION DE FUNCIONES Y FORMATOS</t>
  </si>
  <si>
    <t xml:space="preserve">  Gracias por elegirnos!</t>
  </si>
  <si>
    <t xml:space="preserve">  El equipo de Exceldiario</t>
  </si>
  <si>
    <t>- No insertar filas ni columnas /  Entrar al blog para leer demás observaciones y/o formas de carga, como también para dejar comentarios y sugerencias.</t>
  </si>
  <si>
    <t>VENTAS VERSION 3.0</t>
  </si>
  <si>
    <t>0605-00000184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</si>
</sst>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 [$€-2]\ * #,##0.00_ ;_ [$€-2]\ * \-#,##0.00_ ;_ [$€-2]\ * &quot;-&quot;??_ 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u/>
      <sz val="11"/>
      <color theme="10"/>
      <name val="Calibri"/>
      <family val="2"/>
    </font>
    <font>
      <sz val="9"/>
      <color indexed="81"/>
      <name val="Tahoma"/>
      <family val="2"/>
    </font>
    <font>
      <sz val="11"/>
      <color theme="1"/>
      <name val="Arial Black"/>
      <family val="2"/>
    </font>
    <font>
      <sz val="12"/>
      <color theme="10"/>
      <name val="Arial Black"/>
      <family val="2"/>
    </font>
    <font>
      <sz val="11"/>
      <color theme="10"/>
      <name val="Arial Black"/>
      <family val="2"/>
    </font>
    <font>
      <sz val="10"/>
      <name val="Arial"/>
      <family val="2"/>
    </font>
    <font>
      <b/>
      <sz val="24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gradientFill type="path" left="0.5" right="0.5" top="0.5" bottom="0.5">
        <stop position="0">
          <color theme="6" tint="0.40000610370189521"/>
        </stop>
        <stop position="1">
          <color theme="6" tint="-0.49803155613879818"/>
        </stop>
      </gradientFill>
    </fill>
    <fill>
      <patternFill patternType="solid">
        <fgColor theme="0" tint="-0.249977111117893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164" fontId="10" fillId="0" borderId="0" applyFont="0" applyFill="0" applyBorder="0" applyAlignment="0" applyProtection="0"/>
  </cellStyleXfs>
  <cellXfs count="130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/>
    <xf numFmtId="1" fontId="0" fillId="0" borderId="1" xfId="0" applyNumberFormat="1" applyBorder="1"/>
    <xf numFmtId="0" fontId="0" fillId="0" borderId="1" xfId="0" applyBorder="1" applyAlignment="1">
      <alignment horizontal="right"/>
    </xf>
    <xf numFmtId="0" fontId="0" fillId="2" borderId="0" xfId="0" applyFill="1"/>
    <xf numFmtId="2" fontId="0" fillId="0" borderId="1" xfId="0" applyNumberFormat="1" applyBorder="1"/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3" fillId="0" borderId="0" xfId="0" applyNumberFormat="1" applyFont="1"/>
    <xf numFmtId="0" fontId="3" fillId="0" borderId="15" xfId="0" applyNumberFormat="1" applyFont="1" applyBorder="1"/>
    <xf numFmtId="0" fontId="3" fillId="0" borderId="16" xfId="0" applyNumberFormat="1" applyFont="1" applyBorder="1"/>
    <xf numFmtId="0" fontId="3" fillId="0" borderId="17" xfId="0" applyNumberFormat="1" applyFont="1" applyBorder="1"/>
    <xf numFmtId="0" fontId="1" fillId="0" borderId="0" xfId="0" applyFont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3" borderId="0" xfId="0" applyFill="1"/>
    <xf numFmtId="0" fontId="0" fillId="0" borderId="19" xfId="0" applyBorder="1"/>
    <xf numFmtId="0" fontId="0" fillId="0" borderId="20" xfId="0" applyBorder="1"/>
    <xf numFmtId="0" fontId="0" fillId="4" borderId="0" xfId="0" applyFill="1"/>
    <xf numFmtId="14" fontId="0" fillId="5" borderId="0" xfId="0" applyNumberFormat="1" applyFill="1"/>
    <xf numFmtId="0" fontId="0" fillId="5" borderId="0" xfId="0" applyFill="1"/>
    <xf numFmtId="1" fontId="0" fillId="5" borderId="0" xfId="0" applyNumberFormat="1" applyFill="1" applyAlignment="1">
      <alignment horizontal="right" indent="1"/>
    </xf>
    <xf numFmtId="0" fontId="0" fillId="5" borderId="0" xfId="0" applyFill="1" applyAlignment="1">
      <alignment horizontal="center"/>
    </xf>
    <xf numFmtId="4" fontId="0" fillId="5" borderId="0" xfId="0" applyNumberFormat="1" applyFill="1"/>
    <xf numFmtId="2" fontId="0" fillId="5" borderId="0" xfId="0" applyNumberFormat="1" applyFill="1"/>
    <xf numFmtId="0" fontId="0" fillId="0" borderId="1" xfId="0" applyBorder="1" applyAlignment="1">
      <alignment horizontal="center"/>
    </xf>
    <xf numFmtId="0" fontId="0" fillId="6" borderId="1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4" fillId="7" borderId="15" xfId="0" applyFont="1" applyFill="1" applyBorder="1" applyAlignment="1">
      <alignment horizontal="center" vertical="center" wrapText="1"/>
    </xf>
    <xf numFmtId="0" fontId="5" fillId="0" borderId="0" xfId="1" applyAlignment="1" applyProtection="1"/>
    <xf numFmtId="14" fontId="0" fillId="0" borderId="1" xfId="0" applyNumberFormat="1" applyBorder="1"/>
    <xf numFmtId="1" fontId="0" fillId="0" borderId="1" xfId="0" applyNumberFormat="1" applyBorder="1" applyAlignment="1">
      <alignment horizontal="right" indent="1"/>
    </xf>
    <xf numFmtId="4" fontId="0" fillId="0" borderId="1" xfId="0" applyNumberFormat="1" applyBorder="1"/>
    <xf numFmtId="2" fontId="0" fillId="0" borderId="21" xfId="0" applyNumberFormat="1" applyBorder="1"/>
    <xf numFmtId="2" fontId="0" fillId="0" borderId="5" xfId="0" applyNumberFormat="1" applyBorder="1"/>
    <xf numFmtId="2" fontId="0" fillId="0" borderId="6" xfId="0" applyNumberFormat="1" applyBorder="1"/>
    <xf numFmtId="4" fontId="0" fillId="0" borderId="23" xfId="0" applyNumberFormat="1" applyBorder="1"/>
    <xf numFmtId="4" fontId="0" fillId="0" borderId="24" xfId="0" applyNumberFormat="1" applyBorder="1"/>
    <xf numFmtId="0" fontId="0" fillId="6" borderId="4" xfId="0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/>
    </xf>
    <xf numFmtId="0" fontId="1" fillId="0" borderId="0" xfId="0" applyFont="1"/>
    <xf numFmtId="0" fontId="0" fillId="0" borderId="0" xfId="0" quotePrefix="1"/>
    <xf numFmtId="0" fontId="0" fillId="0" borderId="29" xfId="0" applyBorder="1"/>
    <xf numFmtId="0" fontId="0" fillId="0" borderId="30" xfId="0" applyBorder="1"/>
    <xf numFmtId="0" fontId="0" fillId="0" borderId="26" xfId="0" applyBorder="1" applyAlignment="1"/>
    <xf numFmtId="0" fontId="0" fillId="0" borderId="16" xfId="0" applyBorder="1"/>
    <xf numFmtId="0" fontId="0" fillId="0" borderId="17" xfId="0" applyBorder="1"/>
    <xf numFmtId="0" fontId="0" fillId="7" borderId="25" xfId="0" applyFill="1" applyBorder="1"/>
    <xf numFmtId="0" fontId="0" fillId="8" borderId="27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quotePrefix="1" applyFill="1" applyBorder="1" applyAlignment="1"/>
    <xf numFmtId="0" fontId="0" fillId="9" borderId="0" xfId="0" applyFill="1"/>
    <xf numFmtId="0" fontId="0" fillId="10" borderId="18" xfId="0" applyFill="1" applyBorder="1"/>
    <xf numFmtId="0" fontId="0" fillId="10" borderId="32" xfId="0" applyFill="1" applyBorder="1"/>
    <xf numFmtId="0" fontId="0" fillId="10" borderId="28" xfId="0" applyFill="1" applyBorder="1"/>
    <xf numFmtId="0" fontId="0" fillId="10" borderId="19" xfId="0" applyFill="1" applyBorder="1"/>
    <xf numFmtId="0" fontId="0" fillId="10" borderId="29" xfId="0" applyFill="1" applyBorder="1"/>
    <xf numFmtId="0" fontId="1" fillId="11" borderId="19" xfId="0" applyFont="1" applyFill="1" applyBorder="1" applyAlignment="1">
      <alignment horizontal="left"/>
    </xf>
    <xf numFmtId="0" fontId="0" fillId="11" borderId="0" xfId="0" applyFill="1" applyBorder="1" applyAlignment="1">
      <alignment horizontal="left"/>
    </xf>
    <xf numFmtId="0" fontId="0" fillId="11" borderId="29" xfId="0" applyFill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7" fillId="11" borderId="19" xfId="0" applyFont="1" applyFill="1" applyBorder="1" applyAlignment="1">
      <alignment horizontal="left"/>
    </xf>
    <xf numFmtId="0" fontId="7" fillId="11" borderId="0" xfId="0" applyFont="1" applyFill="1" applyBorder="1" applyAlignment="1">
      <alignment horizontal="left"/>
    </xf>
    <xf numFmtId="0" fontId="7" fillId="11" borderId="29" xfId="0" applyFont="1" applyFill="1" applyBorder="1" applyAlignment="1">
      <alignment horizontal="left"/>
    </xf>
    <xf numFmtId="0" fontId="0" fillId="10" borderId="20" xfId="0" applyFill="1" applyBorder="1"/>
    <xf numFmtId="0" fontId="0" fillId="10" borderId="33" xfId="0" applyFill="1" applyBorder="1"/>
    <xf numFmtId="0" fontId="0" fillId="10" borderId="30" xfId="0" applyFill="1" applyBorder="1"/>
    <xf numFmtId="0" fontId="1" fillId="0" borderId="0" xfId="0" applyFont="1" applyFill="1"/>
    <xf numFmtId="0" fontId="0" fillId="0" borderId="1" xfId="0" applyBorder="1" applyAlignment="1">
      <alignment horizontal="center"/>
    </xf>
    <xf numFmtId="0" fontId="0" fillId="13" borderId="1" xfId="0" applyFill="1" applyBorder="1"/>
    <xf numFmtId="1" fontId="0" fillId="13" borderId="1" xfId="0" applyNumberFormat="1" applyFill="1" applyBorder="1" applyAlignment="1">
      <alignment horizontal="right" indent="1"/>
    </xf>
    <xf numFmtId="4" fontId="0" fillId="13" borderId="1" xfId="0" applyNumberFormat="1" applyFill="1" applyBorder="1"/>
    <xf numFmtId="0" fontId="0" fillId="13" borderId="6" xfId="0" applyFill="1" applyBorder="1"/>
    <xf numFmtId="2" fontId="0" fillId="13" borderId="22" xfId="0" applyNumberFormat="1" applyFill="1" applyBorder="1"/>
    <xf numFmtId="2" fontId="0" fillId="13" borderId="7" xfId="0" applyNumberFormat="1" applyFill="1" applyBorder="1"/>
    <xf numFmtId="2" fontId="0" fillId="13" borderId="23" xfId="0" applyNumberFormat="1" applyFill="1" applyBorder="1"/>
    <xf numFmtId="2" fontId="0" fillId="13" borderId="24" xfId="0" applyNumberFormat="1" applyFill="1" applyBorder="1"/>
    <xf numFmtId="0" fontId="9" fillId="11" borderId="19" xfId="1" applyFont="1" applyFill="1" applyBorder="1" applyAlignment="1" applyProtection="1">
      <alignment horizontal="left" indent="1"/>
    </xf>
    <xf numFmtId="0" fontId="9" fillId="11" borderId="0" xfId="1" applyFont="1" applyFill="1" applyBorder="1" applyAlignment="1" applyProtection="1">
      <alignment horizontal="left" indent="1"/>
    </xf>
    <xf numFmtId="0" fontId="9" fillId="11" borderId="29" xfId="1" applyFont="1" applyFill="1" applyBorder="1" applyAlignment="1" applyProtection="1">
      <alignment horizontal="left" indent="1"/>
    </xf>
    <xf numFmtId="0" fontId="0" fillId="11" borderId="18" xfId="0" applyFill="1" applyBorder="1" applyAlignment="1">
      <alignment horizontal="left"/>
    </xf>
    <xf numFmtId="0" fontId="0" fillId="11" borderId="32" xfId="0" applyFill="1" applyBorder="1" applyAlignment="1">
      <alignment horizontal="left"/>
    </xf>
    <xf numFmtId="0" fontId="0" fillId="11" borderId="28" xfId="0" applyFill="1" applyBorder="1" applyAlignment="1">
      <alignment horizontal="left"/>
    </xf>
    <xf numFmtId="0" fontId="8" fillId="11" borderId="19" xfId="1" applyFont="1" applyFill="1" applyBorder="1" applyAlignment="1" applyProtection="1">
      <alignment horizontal="left" indent="1"/>
    </xf>
    <xf numFmtId="0" fontId="8" fillId="11" borderId="0" xfId="1" applyFont="1" applyFill="1" applyBorder="1" applyAlignment="1" applyProtection="1">
      <alignment horizontal="left" indent="1"/>
    </xf>
    <xf numFmtId="0" fontId="8" fillId="11" borderId="29" xfId="1" applyFont="1" applyFill="1" applyBorder="1" applyAlignment="1" applyProtection="1">
      <alignment horizontal="left" indent="1"/>
    </xf>
    <xf numFmtId="0" fontId="0" fillId="11" borderId="20" xfId="0" applyFill="1" applyBorder="1" applyAlignment="1">
      <alignment horizontal="left"/>
    </xf>
    <xf numFmtId="0" fontId="0" fillId="11" borderId="33" xfId="0" applyFill="1" applyBorder="1" applyAlignment="1">
      <alignment horizontal="left"/>
    </xf>
    <xf numFmtId="0" fontId="0" fillId="11" borderId="30" xfId="0" applyFill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0" fillId="11" borderId="0" xfId="0" applyFill="1" applyBorder="1" applyAlignment="1">
      <alignment horizontal="left"/>
    </xf>
    <xf numFmtId="0" fontId="0" fillId="11" borderId="29" xfId="0" applyFill="1" applyBorder="1" applyAlignment="1">
      <alignment horizontal="left"/>
    </xf>
    <xf numFmtId="0" fontId="1" fillId="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0" fillId="0" borderId="8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1" fillId="6" borderId="15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horizontal="center" vertical="center" wrapText="1"/>
    </xf>
    <xf numFmtId="0" fontId="1" fillId="6" borderId="1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11" fillId="12" borderId="0" xfId="0" applyFont="1" applyFill="1" applyAlignment="1">
      <alignment horizontal="center" vertical="center" wrapText="1"/>
    </xf>
    <xf numFmtId="0" fontId="0" fillId="8" borderId="26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7" borderId="3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3">
    <cellStyle name="Euro" xfId="2"/>
    <cellStyle name="Hipervínculo" xfId="1" builtinId="8"/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4</xdr:col>
      <xdr:colOff>295275</xdr:colOff>
      <xdr:row>7</xdr:row>
      <xdr:rowOff>95250</xdr:rowOff>
    </xdr:to>
    <xdr:sp macro="[0]!Guardartxt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90500" y="971550"/>
          <a:ext cx="343852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AR" sz="1100" b="1"/>
            <a:t>GENERAR</a:t>
          </a:r>
          <a:r>
            <a:rPr lang="es-AR" sz="1100" b="1" baseline="0"/>
            <a:t> ARCHIVOS TXT (SE GUARDAN EN LA CARPETA DONDE SE ENCUENTA LA PLANILLA)</a:t>
          </a:r>
          <a:endParaRPr lang="es-AR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usuario\Downloads\Compras%20Version%203\Compras%203.0%20exceldiari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Compu\Desktop\Otros%20Documentos\ExDia\Sueldos\Sueldos%20Exceldiario%20Version%20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Compu\Desktop\Otros%20Documentos\ExDia\Stock\Control%20de%20Stock%20Exceldiario%20V%201.0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usuario\Downloads\Compras%202.0%20exceldiari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Compu\Desktop\Otros%20Documentos\ExDia\Sueldos\Importar%20Retenciones%20y%20Percepciones%20a%20SIFERE%201.0%20exceldiari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er"/>
      <sheetName val="Compras"/>
      <sheetName val="Tablas"/>
      <sheetName val="Importar Compras"/>
    </sheetNames>
    <sheetDataSet>
      <sheetData sheetId="0"/>
      <sheetData sheetId="1">
        <row r="6">
          <cell r="CN6">
            <v>1</v>
          </cell>
          <cell r="CR6">
            <v>0</v>
          </cell>
          <cell r="CV6">
            <v>0</v>
          </cell>
        </row>
        <row r="9">
          <cell r="CN9" t="str">
            <v/>
          </cell>
          <cell r="CO9" t="str">
            <v/>
          </cell>
          <cell r="CP9" t="str">
            <v/>
          </cell>
          <cell r="CQ9" t="str">
            <v/>
          </cell>
          <cell r="CR9" t="str">
            <v/>
          </cell>
          <cell r="CS9" t="str">
            <v/>
          </cell>
          <cell r="CT9" t="str">
            <v/>
          </cell>
          <cell r="CU9" t="str">
            <v/>
          </cell>
          <cell r="CV9" t="str">
            <v/>
          </cell>
          <cell r="CW9" t="str">
            <v/>
          </cell>
        </row>
        <row r="10">
          <cell r="CN10" t="str">
            <v/>
          </cell>
          <cell r="CO10" t="str">
            <v/>
          </cell>
          <cell r="CP10" t="str">
            <v/>
          </cell>
          <cell r="CQ10" t="str">
            <v/>
          </cell>
          <cell r="CR10" t="str">
            <v/>
          </cell>
          <cell r="CS10" t="str">
            <v/>
          </cell>
          <cell r="CT10" t="str">
            <v/>
          </cell>
          <cell r="CU10" t="str">
            <v/>
          </cell>
          <cell r="CV10" t="str">
            <v/>
          </cell>
          <cell r="CW10" t="str">
            <v/>
          </cell>
        </row>
        <row r="11">
          <cell r="CN11">
            <v>1</v>
          </cell>
          <cell r="CO11" t="str">
            <v>yyyy06010330000000000000000000000000                80                              000000000000000000000000000000000000000000000000000000000000000000000000000000000000000000000000000000000000000000000000PES00010000000000000000000000000000000000000000000000000                              000000000000000</v>
          </cell>
          <cell r="CP11" t="str">
            <v/>
          </cell>
          <cell r="CQ11" t="str">
            <v/>
          </cell>
          <cell r="CR11" t="str">
            <v/>
          </cell>
          <cell r="CS11" t="str">
            <v/>
          </cell>
          <cell r="CT11" t="str">
            <v/>
          </cell>
          <cell r="CU11" t="str">
            <v/>
          </cell>
          <cell r="CV11" t="str">
            <v/>
          </cell>
          <cell r="CW11" t="str">
            <v/>
          </cell>
        </row>
        <row r="12">
          <cell r="CN12" t="str">
            <v/>
          </cell>
          <cell r="CO12" t="str">
            <v/>
          </cell>
          <cell r="CP12" t="str">
            <v/>
          </cell>
          <cell r="CQ12" t="str">
            <v/>
          </cell>
          <cell r="CR12" t="str">
            <v/>
          </cell>
          <cell r="CS12" t="str">
            <v/>
          </cell>
          <cell r="CT12" t="str">
            <v/>
          </cell>
          <cell r="CU12" t="str">
            <v/>
          </cell>
          <cell r="CV12" t="str">
            <v/>
          </cell>
          <cell r="CW12" t="str">
            <v/>
          </cell>
        </row>
        <row r="13">
          <cell r="CN13" t="str">
            <v/>
          </cell>
          <cell r="CO13" t="str">
            <v/>
          </cell>
          <cell r="CP13" t="str">
            <v/>
          </cell>
          <cell r="CQ13" t="str">
            <v/>
          </cell>
          <cell r="CR13" t="str">
            <v/>
          </cell>
          <cell r="CS13" t="str">
            <v/>
          </cell>
          <cell r="CT13" t="str">
            <v/>
          </cell>
          <cell r="CU13" t="str">
            <v/>
          </cell>
          <cell r="CV13" t="str">
            <v/>
          </cell>
          <cell r="CW13" t="str">
            <v/>
          </cell>
        </row>
        <row r="14">
          <cell r="CN14" t="str">
            <v/>
          </cell>
          <cell r="CO14" t="str">
            <v/>
          </cell>
          <cell r="CP14" t="str">
            <v/>
          </cell>
          <cell r="CQ14" t="str">
            <v/>
          </cell>
          <cell r="CR14" t="str">
            <v/>
          </cell>
          <cell r="CS14" t="str">
            <v/>
          </cell>
          <cell r="CT14" t="str">
            <v/>
          </cell>
          <cell r="CU14" t="str">
            <v/>
          </cell>
          <cell r="CV14" t="str">
            <v/>
          </cell>
          <cell r="CW14" t="str">
            <v/>
          </cell>
        </row>
        <row r="15">
          <cell r="CN15" t="str">
            <v/>
          </cell>
          <cell r="CO15" t="str">
            <v/>
          </cell>
          <cell r="CP15" t="str">
            <v/>
          </cell>
          <cell r="CQ15" t="str">
            <v/>
          </cell>
          <cell r="CR15" t="str">
            <v/>
          </cell>
          <cell r="CS15" t="str">
            <v/>
          </cell>
          <cell r="CT15" t="str">
            <v/>
          </cell>
          <cell r="CU15" t="str">
            <v/>
          </cell>
          <cell r="CV15" t="str">
            <v/>
          </cell>
          <cell r="CW15" t="str">
            <v/>
          </cell>
        </row>
        <row r="16">
          <cell r="CN16" t="str">
            <v/>
          </cell>
          <cell r="CO16" t="str">
            <v/>
          </cell>
          <cell r="CP16" t="str">
            <v/>
          </cell>
          <cell r="CQ16" t="str">
            <v/>
          </cell>
          <cell r="CR16" t="str">
            <v/>
          </cell>
          <cell r="CS16" t="str">
            <v/>
          </cell>
          <cell r="CT16" t="str">
            <v/>
          </cell>
          <cell r="CU16" t="str">
            <v/>
          </cell>
          <cell r="CV16" t="str">
            <v/>
          </cell>
          <cell r="CW16" t="str">
            <v/>
          </cell>
        </row>
        <row r="17">
          <cell r="CN17" t="str">
            <v/>
          </cell>
          <cell r="CO17" t="str">
            <v/>
          </cell>
          <cell r="CP17" t="str">
            <v/>
          </cell>
          <cell r="CQ17" t="str">
            <v/>
          </cell>
          <cell r="CR17" t="str">
            <v/>
          </cell>
          <cell r="CS17" t="str">
            <v/>
          </cell>
          <cell r="CT17" t="str">
            <v/>
          </cell>
          <cell r="CU17" t="str">
            <v/>
          </cell>
          <cell r="CV17" t="str">
            <v/>
          </cell>
          <cell r="CW17" t="str">
            <v/>
          </cell>
        </row>
        <row r="18">
          <cell r="CN18" t="str">
            <v/>
          </cell>
          <cell r="CO18" t="str">
            <v/>
          </cell>
          <cell r="CP18" t="str">
            <v/>
          </cell>
          <cell r="CQ18" t="str">
            <v/>
          </cell>
          <cell r="CR18" t="str">
            <v/>
          </cell>
          <cell r="CS18" t="str">
            <v/>
          </cell>
          <cell r="CT18" t="str">
            <v/>
          </cell>
          <cell r="CU18" t="str">
            <v/>
          </cell>
          <cell r="CV18" t="str">
            <v/>
          </cell>
          <cell r="CW18" t="str">
            <v/>
          </cell>
        </row>
        <row r="19">
          <cell r="CN19" t="str">
            <v/>
          </cell>
          <cell r="CO19" t="str">
            <v/>
          </cell>
          <cell r="CP19" t="str">
            <v/>
          </cell>
          <cell r="CQ19" t="str">
            <v/>
          </cell>
          <cell r="CR19" t="str">
            <v/>
          </cell>
          <cell r="CS19" t="str">
            <v/>
          </cell>
          <cell r="CT19" t="str">
            <v/>
          </cell>
          <cell r="CU19" t="str">
            <v/>
          </cell>
          <cell r="CV19" t="str">
            <v/>
          </cell>
          <cell r="CW19" t="str">
            <v/>
          </cell>
        </row>
        <row r="20">
          <cell r="CN20" t="str">
            <v/>
          </cell>
          <cell r="CO20" t="str">
            <v/>
          </cell>
          <cell r="CP20" t="str">
            <v/>
          </cell>
          <cell r="CQ20" t="str">
            <v/>
          </cell>
          <cell r="CR20" t="str">
            <v/>
          </cell>
          <cell r="CS20" t="str">
            <v/>
          </cell>
          <cell r="CT20" t="str">
            <v/>
          </cell>
          <cell r="CU20" t="str">
            <v/>
          </cell>
          <cell r="CV20" t="str">
            <v/>
          </cell>
          <cell r="CW20" t="str">
            <v/>
          </cell>
        </row>
        <row r="21">
          <cell r="CN21" t="str">
            <v/>
          </cell>
          <cell r="CO21" t="str">
            <v/>
          </cell>
          <cell r="CP21" t="str">
            <v/>
          </cell>
          <cell r="CQ21" t="str">
            <v/>
          </cell>
          <cell r="CR21" t="str">
            <v/>
          </cell>
          <cell r="CS21" t="str">
            <v/>
          </cell>
          <cell r="CT21" t="str">
            <v/>
          </cell>
          <cell r="CU21" t="str">
            <v/>
          </cell>
          <cell r="CV21" t="str">
            <v/>
          </cell>
          <cell r="CW21" t="str">
            <v/>
          </cell>
        </row>
        <row r="22">
          <cell r="CN22" t="str">
            <v/>
          </cell>
          <cell r="CO22" t="str">
            <v/>
          </cell>
          <cell r="CP22" t="str">
            <v/>
          </cell>
          <cell r="CQ22" t="str">
            <v/>
          </cell>
          <cell r="CR22" t="str">
            <v/>
          </cell>
          <cell r="CS22" t="str">
            <v/>
          </cell>
          <cell r="CT22" t="str">
            <v/>
          </cell>
          <cell r="CU22" t="str">
            <v/>
          </cell>
          <cell r="CV22" t="str">
            <v/>
          </cell>
          <cell r="CW22" t="str">
            <v/>
          </cell>
        </row>
        <row r="23">
          <cell r="CN23" t="str">
            <v/>
          </cell>
          <cell r="CO23" t="str">
            <v/>
          </cell>
          <cell r="CP23" t="str">
            <v/>
          </cell>
          <cell r="CQ23" t="str">
            <v/>
          </cell>
          <cell r="CR23" t="str">
            <v/>
          </cell>
          <cell r="CS23" t="str">
            <v/>
          </cell>
          <cell r="CT23" t="str">
            <v/>
          </cell>
          <cell r="CU23" t="str">
            <v/>
          </cell>
          <cell r="CV23" t="str">
            <v/>
          </cell>
          <cell r="CW23" t="str">
            <v/>
          </cell>
        </row>
        <row r="24">
          <cell r="CN24" t="str">
            <v/>
          </cell>
          <cell r="CO24" t="str">
            <v/>
          </cell>
          <cell r="CP24" t="str">
            <v/>
          </cell>
          <cell r="CQ24" t="str">
            <v/>
          </cell>
          <cell r="CR24" t="str">
            <v/>
          </cell>
          <cell r="CS24" t="str">
            <v/>
          </cell>
          <cell r="CT24" t="str">
            <v/>
          </cell>
          <cell r="CU24" t="str">
            <v/>
          </cell>
          <cell r="CV24" t="str">
            <v/>
          </cell>
          <cell r="CW24" t="str">
            <v/>
          </cell>
        </row>
        <row r="25">
          <cell r="CN25" t="str">
            <v/>
          </cell>
          <cell r="CO25" t="str">
            <v/>
          </cell>
          <cell r="CP25" t="str">
            <v/>
          </cell>
          <cell r="CQ25" t="str">
            <v/>
          </cell>
          <cell r="CR25" t="str">
            <v/>
          </cell>
          <cell r="CS25" t="str">
            <v/>
          </cell>
          <cell r="CT25" t="str">
            <v/>
          </cell>
          <cell r="CU25" t="str">
            <v/>
          </cell>
          <cell r="CV25" t="str">
            <v/>
          </cell>
          <cell r="CW25" t="str">
            <v/>
          </cell>
        </row>
        <row r="26">
          <cell r="CN26" t="str">
            <v/>
          </cell>
          <cell r="CO26" t="str">
            <v/>
          </cell>
          <cell r="CP26" t="str">
            <v/>
          </cell>
          <cell r="CQ26" t="str">
            <v/>
          </cell>
          <cell r="CR26" t="str">
            <v/>
          </cell>
          <cell r="CS26" t="str">
            <v/>
          </cell>
          <cell r="CT26" t="str">
            <v/>
          </cell>
          <cell r="CU26" t="str">
            <v/>
          </cell>
          <cell r="CV26" t="str">
            <v/>
          </cell>
          <cell r="CW26" t="str">
            <v/>
          </cell>
        </row>
        <row r="27">
          <cell r="CN27" t="str">
            <v/>
          </cell>
          <cell r="CO27" t="str">
            <v/>
          </cell>
          <cell r="CP27" t="str">
            <v/>
          </cell>
          <cell r="CQ27" t="str">
            <v/>
          </cell>
          <cell r="CR27" t="str">
            <v/>
          </cell>
          <cell r="CS27" t="str">
            <v/>
          </cell>
          <cell r="CT27" t="str">
            <v/>
          </cell>
          <cell r="CU27" t="str">
            <v/>
          </cell>
          <cell r="CV27" t="str">
            <v/>
          </cell>
          <cell r="CW27" t="str">
            <v/>
          </cell>
        </row>
        <row r="28">
          <cell r="CN28" t="str">
            <v/>
          </cell>
          <cell r="CO28" t="str">
            <v/>
          </cell>
          <cell r="CP28" t="str">
            <v/>
          </cell>
          <cell r="CQ28" t="str">
            <v/>
          </cell>
          <cell r="CR28" t="str">
            <v/>
          </cell>
          <cell r="CS28" t="str">
            <v/>
          </cell>
          <cell r="CT28" t="str">
            <v/>
          </cell>
          <cell r="CU28" t="str">
            <v/>
          </cell>
          <cell r="CV28" t="str">
            <v/>
          </cell>
          <cell r="CW28" t="str">
            <v/>
          </cell>
        </row>
        <row r="29">
          <cell r="CN29" t="str">
            <v/>
          </cell>
          <cell r="CO29" t="str">
            <v/>
          </cell>
          <cell r="CP29" t="str">
            <v/>
          </cell>
          <cell r="CQ29" t="str">
            <v/>
          </cell>
          <cell r="CR29" t="str">
            <v/>
          </cell>
          <cell r="CS29" t="str">
            <v/>
          </cell>
          <cell r="CT29" t="str">
            <v/>
          </cell>
          <cell r="CU29" t="str">
            <v/>
          </cell>
          <cell r="CV29" t="str">
            <v/>
          </cell>
          <cell r="CW29" t="str">
            <v/>
          </cell>
        </row>
        <row r="30">
          <cell r="CN30" t="str">
            <v/>
          </cell>
          <cell r="CO30" t="str">
            <v/>
          </cell>
          <cell r="CP30" t="str">
            <v/>
          </cell>
          <cell r="CQ30" t="str">
            <v/>
          </cell>
          <cell r="CR30" t="str">
            <v/>
          </cell>
          <cell r="CS30" t="str">
            <v/>
          </cell>
          <cell r="CT30" t="str">
            <v/>
          </cell>
          <cell r="CU30" t="str">
            <v/>
          </cell>
          <cell r="CV30" t="str">
            <v/>
          </cell>
          <cell r="CW30" t="str">
            <v/>
          </cell>
        </row>
        <row r="31">
          <cell r="CN31" t="str">
            <v/>
          </cell>
          <cell r="CO31" t="str">
            <v/>
          </cell>
          <cell r="CP31" t="str">
            <v/>
          </cell>
          <cell r="CQ31" t="str">
            <v/>
          </cell>
          <cell r="CR31" t="str">
            <v/>
          </cell>
          <cell r="CS31" t="str">
            <v/>
          </cell>
          <cell r="CT31" t="str">
            <v/>
          </cell>
          <cell r="CU31" t="str">
            <v/>
          </cell>
          <cell r="CV31" t="str">
            <v/>
          </cell>
          <cell r="CW31" t="str">
            <v/>
          </cell>
        </row>
        <row r="32">
          <cell r="CN32" t="str">
            <v/>
          </cell>
          <cell r="CO32" t="str">
            <v/>
          </cell>
          <cell r="CP32" t="str">
            <v/>
          </cell>
          <cell r="CQ32" t="str">
            <v/>
          </cell>
          <cell r="CR32" t="str">
            <v/>
          </cell>
          <cell r="CS32" t="str">
            <v/>
          </cell>
          <cell r="CT32" t="str">
            <v/>
          </cell>
          <cell r="CU32" t="str">
            <v/>
          </cell>
          <cell r="CV32" t="str">
            <v/>
          </cell>
          <cell r="CW32" t="str">
            <v/>
          </cell>
        </row>
        <row r="33">
          <cell r="CN33" t="str">
            <v/>
          </cell>
          <cell r="CO33" t="str">
            <v/>
          </cell>
          <cell r="CP33" t="str">
            <v/>
          </cell>
          <cell r="CQ33" t="str">
            <v/>
          </cell>
          <cell r="CR33" t="str">
            <v/>
          </cell>
          <cell r="CS33" t="str">
            <v/>
          </cell>
          <cell r="CT33" t="str">
            <v/>
          </cell>
          <cell r="CU33" t="str">
            <v/>
          </cell>
          <cell r="CV33" t="str">
            <v/>
          </cell>
          <cell r="CW33" t="str">
            <v/>
          </cell>
        </row>
        <row r="34">
          <cell r="CN34" t="str">
            <v/>
          </cell>
          <cell r="CO34" t="str">
            <v/>
          </cell>
          <cell r="CP34" t="str">
            <v/>
          </cell>
          <cell r="CQ34" t="str">
            <v/>
          </cell>
          <cell r="CR34" t="str">
            <v/>
          </cell>
          <cell r="CS34" t="str">
            <v/>
          </cell>
          <cell r="CT34" t="str">
            <v/>
          </cell>
          <cell r="CU34" t="str">
            <v/>
          </cell>
          <cell r="CV34" t="str">
            <v/>
          </cell>
          <cell r="CW34" t="str">
            <v/>
          </cell>
        </row>
        <row r="35">
          <cell r="CN35" t="str">
            <v/>
          </cell>
          <cell r="CO35" t="str">
            <v/>
          </cell>
          <cell r="CP35" t="str">
            <v/>
          </cell>
          <cell r="CQ35" t="str">
            <v/>
          </cell>
          <cell r="CR35" t="str">
            <v/>
          </cell>
          <cell r="CS35" t="str">
            <v/>
          </cell>
          <cell r="CT35" t="str">
            <v/>
          </cell>
          <cell r="CU35" t="str">
            <v/>
          </cell>
          <cell r="CV35" t="str">
            <v/>
          </cell>
          <cell r="CW35" t="str">
            <v/>
          </cell>
        </row>
        <row r="36">
          <cell r="CN36" t="str">
            <v/>
          </cell>
          <cell r="CO36" t="str">
            <v/>
          </cell>
          <cell r="CP36" t="str">
            <v/>
          </cell>
          <cell r="CQ36" t="str">
            <v/>
          </cell>
          <cell r="CR36" t="str">
            <v/>
          </cell>
          <cell r="CS36" t="str">
            <v/>
          </cell>
          <cell r="CT36" t="str">
            <v/>
          </cell>
          <cell r="CU36" t="str">
            <v/>
          </cell>
          <cell r="CV36" t="str">
            <v/>
          </cell>
          <cell r="CW36" t="str">
            <v/>
          </cell>
        </row>
        <row r="37">
          <cell r="CN37" t="str">
            <v/>
          </cell>
          <cell r="CO37" t="str">
            <v/>
          </cell>
          <cell r="CP37" t="str">
            <v/>
          </cell>
          <cell r="CQ37" t="str">
            <v/>
          </cell>
          <cell r="CR37" t="str">
            <v/>
          </cell>
          <cell r="CS37" t="str">
            <v/>
          </cell>
          <cell r="CT37" t="str">
            <v/>
          </cell>
          <cell r="CU37" t="str">
            <v/>
          </cell>
          <cell r="CV37" t="str">
            <v/>
          </cell>
          <cell r="CW37" t="str">
            <v/>
          </cell>
        </row>
        <row r="38">
          <cell r="CN38" t="str">
            <v/>
          </cell>
          <cell r="CO38" t="str">
            <v/>
          </cell>
          <cell r="CP38" t="str">
            <v/>
          </cell>
          <cell r="CQ38" t="str">
            <v/>
          </cell>
          <cell r="CR38" t="str">
            <v/>
          </cell>
          <cell r="CS38" t="str">
            <v/>
          </cell>
          <cell r="CT38" t="str">
            <v/>
          </cell>
          <cell r="CU38" t="str">
            <v/>
          </cell>
          <cell r="CV38" t="str">
            <v/>
          </cell>
          <cell r="CW38" t="str">
            <v/>
          </cell>
        </row>
        <row r="39">
          <cell r="CN39" t="str">
            <v/>
          </cell>
          <cell r="CO39" t="str">
            <v/>
          </cell>
          <cell r="CP39" t="str">
            <v/>
          </cell>
          <cell r="CQ39" t="str">
            <v/>
          </cell>
          <cell r="CR39" t="str">
            <v/>
          </cell>
          <cell r="CS39" t="str">
            <v/>
          </cell>
          <cell r="CT39" t="str">
            <v/>
          </cell>
          <cell r="CU39" t="str">
            <v/>
          </cell>
          <cell r="CV39" t="str">
            <v/>
          </cell>
          <cell r="CW39" t="str">
            <v/>
          </cell>
        </row>
        <row r="40">
          <cell r="CN40" t="str">
            <v/>
          </cell>
          <cell r="CO40" t="str">
            <v/>
          </cell>
          <cell r="CP40" t="str">
            <v/>
          </cell>
          <cell r="CQ40" t="str">
            <v/>
          </cell>
          <cell r="CR40" t="str">
            <v/>
          </cell>
          <cell r="CS40" t="str">
            <v/>
          </cell>
          <cell r="CT40" t="str">
            <v/>
          </cell>
          <cell r="CU40" t="str">
            <v/>
          </cell>
          <cell r="CV40" t="str">
            <v/>
          </cell>
          <cell r="CW40" t="str">
            <v/>
          </cell>
        </row>
        <row r="41">
          <cell r="CN41" t="str">
            <v/>
          </cell>
          <cell r="CO41" t="str">
            <v/>
          </cell>
          <cell r="CP41" t="str">
            <v/>
          </cell>
          <cell r="CQ41" t="str">
            <v/>
          </cell>
          <cell r="CR41" t="str">
            <v/>
          </cell>
          <cell r="CS41" t="str">
            <v/>
          </cell>
          <cell r="CT41" t="str">
            <v/>
          </cell>
          <cell r="CU41" t="str">
            <v/>
          </cell>
          <cell r="CV41" t="str">
            <v/>
          </cell>
          <cell r="CW41" t="str">
            <v/>
          </cell>
        </row>
        <row r="42">
          <cell r="CN42" t="str">
            <v/>
          </cell>
          <cell r="CO42" t="str">
            <v/>
          </cell>
          <cell r="CP42" t="str">
            <v/>
          </cell>
          <cell r="CQ42" t="str">
            <v/>
          </cell>
          <cell r="CR42" t="str">
            <v/>
          </cell>
          <cell r="CS42" t="str">
            <v/>
          </cell>
          <cell r="CT42" t="str">
            <v/>
          </cell>
          <cell r="CU42" t="str">
            <v/>
          </cell>
          <cell r="CV42" t="str">
            <v/>
          </cell>
          <cell r="CW42" t="str">
            <v/>
          </cell>
        </row>
        <row r="43">
          <cell r="CN43" t="str">
            <v/>
          </cell>
          <cell r="CO43" t="str">
            <v/>
          </cell>
          <cell r="CP43" t="str">
            <v/>
          </cell>
          <cell r="CQ43" t="str">
            <v/>
          </cell>
          <cell r="CR43" t="str">
            <v/>
          </cell>
          <cell r="CS43" t="str">
            <v/>
          </cell>
          <cell r="CT43" t="str">
            <v/>
          </cell>
          <cell r="CU43" t="str">
            <v/>
          </cell>
          <cell r="CV43" t="str">
            <v/>
          </cell>
          <cell r="CW43" t="str">
            <v/>
          </cell>
        </row>
        <row r="44">
          <cell r="CN44" t="str">
            <v/>
          </cell>
          <cell r="CO44" t="str">
            <v/>
          </cell>
          <cell r="CP44" t="str">
            <v/>
          </cell>
          <cell r="CQ44" t="str">
            <v/>
          </cell>
          <cell r="CR44" t="str">
            <v/>
          </cell>
          <cell r="CS44" t="str">
            <v/>
          </cell>
          <cell r="CT44" t="str">
            <v/>
          </cell>
          <cell r="CU44" t="str">
            <v/>
          </cell>
          <cell r="CV44" t="str">
            <v/>
          </cell>
          <cell r="CW44" t="str">
            <v/>
          </cell>
        </row>
        <row r="45">
          <cell r="CN45" t="str">
            <v/>
          </cell>
          <cell r="CO45" t="str">
            <v/>
          </cell>
          <cell r="CP45" t="str">
            <v/>
          </cell>
          <cell r="CQ45" t="str">
            <v/>
          </cell>
          <cell r="CR45" t="str">
            <v/>
          </cell>
          <cell r="CS45" t="str">
            <v/>
          </cell>
          <cell r="CT45" t="str">
            <v/>
          </cell>
          <cell r="CU45" t="str">
            <v/>
          </cell>
          <cell r="CV45" t="str">
            <v/>
          </cell>
          <cell r="CW45" t="str">
            <v/>
          </cell>
        </row>
        <row r="46">
          <cell r="CN46" t="str">
            <v/>
          </cell>
          <cell r="CO46" t="str">
            <v/>
          </cell>
          <cell r="CP46" t="str">
            <v/>
          </cell>
          <cell r="CQ46" t="str">
            <v/>
          </cell>
          <cell r="CR46" t="str">
            <v/>
          </cell>
          <cell r="CS46" t="str">
            <v/>
          </cell>
          <cell r="CT46" t="str">
            <v/>
          </cell>
          <cell r="CU46" t="str">
            <v/>
          </cell>
          <cell r="CV46" t="str">
            <v/>
          </cell>
          <cell r="CW46" t="str">
            <v/>
          </cell>
        </row>
        <row r="47">
          <cell r="CN47" t="str">
            <v/>
          </cell>
          <cell r="CO47" t="str">
            <v/>
          </cell>
          <cell r="CP47" t="str">
            <v/>
          </cell>
          <cell r="CQ47" t="str">
            <v/>
          </cell>
          <cell r="CR47" t="str">
            <v/>
          </cell>
          <cell r="CS47" t="str">
            <v/>
          </cell>
          <cell r="CT47" t="str">
            <v/>
          </cell>
          <cell r="CU47" t="str">
            <v/>
          </cell>
          <cell r="CV47" t="str">
            <v/>
          </cell>
          <cell r="CW47" t="str">
            <v/>
          </cell>
        </row>
        <row r="48">
          <cell r="CN48" t="str">
            <v/>
          </cell>
          <cell r="CO48" t="str">
            <v/>
          </cell>
          <cell r="CP48" t="str">
            <v/>
          </cell>
          <cell r="CQ48" t="str">
            <v/>
          </cell>
          <cell r="CR48" t="str">
            <v/>
          </cell>
          <cell r="CS48" t="str">
            <v/>
          </cell>
          <cell r="CT48" t="str">
            <v/>
          </cell>
          <cell r="CU48" t="str">
            <v/>
          </cell>
          <cell r="CV48" t="str">
            <v/>
          </cell>
          <cell r="CW48" t="str">
            <v/>
          </cell>
        </row>
        <row r="49">
          <cell r="CN49" t="str">
            <v/>
          </cell>
          <cell r="CO49" t="str">
            <v/>
          </cell>
          <cell r="CP49" t="str">
            <v/>
          </cell>
          <cell r="CQ49" t="str">
            <v/>
          </cell>
          <cell r="CR49" t="str">
            <v/>
          </cell>
          <cell r="CS49" t="str">
            <v/>
          </cell>
          <cell r="CT49" t="str">
            <v/>
          </cell>
          <cell r="CU49" t="str">
            <v/>
          </cell>
          <cell r="CV49" t="str">
            <v/>
          </cell>
          <cell r="CW49" t="str">
            <v/>
          </cell>
        </row>
        <row r="50">
          <cell r="CN50" t="str">
            <v/>
          </cell>
          <cell r="CO50" t="str">
            <v/>
          </cell>
          <cell r="CP50" t="str">
            <v/>
          </cell>
          <cell r="CQ50" t="str">
            <v/>
          </cell>
          <cell r="CR50" t="str">
            <v/>
          </cell>
          <cell r="CS50" t="str">
            <v/>
          </cell>
          <cell r="CT50" t="str">
            <v/>
          </cell>
          <cell r="CU50" t="str">
            <v/>
          </cell>
          <cell r="CV50" t="str">
            <v/>
          </cell>
          <cell r="CW50" t="str">
            <v/>
          </cell>
        </row>
        <row r="51">
          <cell r="CN51" t="str">
            <v/>
          </cell>
          <cell r="CO51" t="str">
            <v/>
          </cell>
          <cell r="CP51" t="str">
            <v/>
          </cell>
          <cell r="CQ51" t="str">
            <v/>
          </cell>
          <cell r="CR51" t="str">
            <v/>
          </cell>
          <cell r="CS51" t="str">
            <v/>
          </cell>
          <cell r="CT51" t="str">
            <v/>
          </cell>
          <cell r="CU51" t="str">
            <v/>
          </cell>
          <cell r="CV51" t="str">
            <v/>
          </cell>
          <cell r="CW51" t="str">
            <v/>
          </cell>
        </row>
        <row r="52">
          <cell r="CN52" t="str">
            <v/>
          </cell>
          <cell r="CO52" t="str">
            <v/>
          </cell>
          <cell r="CP52" t="str">
            <v/>
          </cell>
          <cell r="CQ52" t="str">
            <v/>
          </cell>
          <cell r="CR52" t="str">
            <v/>
          </cell>
          <cell r="CS52" t="str">
            <v/>
          </cell>
          <cell r="CT52" t="str">
            <v/>
          </cell>
          <cell r="CU52" t="str">
            <v/>
          </cell>
          <cell r="CV52" t="str">
            <v/>
          </cell>
          <cell r="CW52" t="str">
            <v/>
          </cell>
        </row>
        <row r="53">
          <cell r="CN53" t="str">
            <v/>
          </cell>
          <cell r="CO53" t="str">
            <v/>
          </cell>
          <cell r="CP53" t="str">
            <v/>
          </cell>
          <cell r="CQ53" t="str">
            <v/>
          </cell>
          <cell r="CR53" t="str">
            <v/>
          </cell>
          <cell r="CS53" t="str">
            <v/>
          </cell>
          <cell r="CT53" t="str">
            <v/>
          </cell>
          <cell r="CU53" t="str">
            <v/>
          </cell>
          <cell r="CV53" t="str">
            <v/>
          </cell>
          <cell r="CW53" t="str">
            <v/>
          </cell>
        </row>
        <row r="54">
          <cell r="CN54" t="str">
            <v/>
          </cell>
          <cell r="CO54" t="str">
            <v/>
          </cell>
          <cell r="CP54" t="str">
            <v/>
          </cell>
          <cell r="CQ54" t="str">
            <v/>
          </cell>
          <cell r="CR54" t="str">
            <v/>
          </cell>
          <cell r="CS54" t="str">
            <v/>
          </cell>
          <cell r="CT54" t="str">
            <v/>
          </cell>
          <cell r="CU54" t="str">
            <v/>
          </cell>
          <cell r="CV54" t="str">
            <v/>
          </cell>
          <cell r="CW54" t="str">
            <v/>
          </cell>
        </row>
        <row r="55">
          <cell r="CN55" t="str">
            <v/>
          </cell>
          <cell r="CO55" t="str">
            <v/>
          </cell>
          <cell r="CP55" t="str">
            <v/>
          </cell>
          <cell r="CQ55" t="str">
            <v/>
          </cell>
          <cell r="CR55" t="str">
            <v/>
          </cell>
          <cell r="CS55" t="str">
            <v/>
          </cell>
          <cell r="CT55" t="str">
            <v/>
          </cell>
          <cell r="CU55" t="str">
            <v/>
          </cell>
          <cell r="CV55" t="str">
            <v/>
          </cell>
          <cell r="CW55" t="str">
            <v/>
          </cell>
        </row>
        <row r="56">
          <cell r="CN56" t="str">
            <v/>
          </cell>
          <cell r="CO56" t="str">
            <v/>
          </cell>
          <cell r="CP56" t="str">
            <v/>
          </cell>
          <cell r="CQ56" t="str">
            <v/>
          </cell>
          <cell r="CR56" t="str">
            <v/>
          </cell>
          <cell r="CS56" t="str">
            <v/>
          </cell>
          <cell r="CT56" t="str">
            <v/>
          </cell>
          <cell r="CU56" t="str">
            <v/>
          </cell>
          <cell r="CV56" t="str">
            <v/>
          </cell>
          <cell r="CW56" t="str">
            <v/>
          </cell>
        </row>
        <row r="57">
          <cell r="CN57" t="str">
            <v/>
          </cell>
          <cell r="CO57" t="str">
            <v/>
          </cell>
          <cell r="CP57" t="str">
            <v/>
          </cell>
          <cell r="CQ57" t="str">
            <v/>
          </cell>
          <cell r="CR57" t="str">
            <v/>
          </cell>
          <cell r="CS57" t="str">
            <v/>
          </cell>
          <cell r="CT57" t="str">
            <v/>
          </cell>
          <cell r="CU57" t="str">
            <v/>
          </cell>
          <cell r="CV57" t="str">
            <v/>
          </cell>
          <cell r="CW57" t="str">
            <v/>
          </cell>
        </row>
        <row r="58">
          <cell r="CN58" t="str">
            <v/>
          </cell>
          <cell r="CO58" t="str">
            <v/>
          </cell>
          <cell r="CP58" t="str">
            <v/>
          </cell>
          <cell r="CQ58" t="str">
            <v/>
          </cell>
          <cell r="CR58" t="str">
            <v/>
          </cell>
          <cell r="CS58" t="str">
            <v/>
          </cell>
          <cell r="CT58" t="str">
            <v/>
          </cell>
          <cell r="CU58" t="str">
            <v/>
          </cell>
          <cell r="CV58" t="str">
            <v/>
          </cell>
          <cell r="CW58" t="str">
            <v/>
          </cell>
        </row>
        <row r="59">
          <cell r="CN59" t="str">
            <v/>
          </cell>
          <cell r="CO59" t="str">
            <v/>
          </cell>
          <cell r="CP59" t="str">
            <v/>
          </cell>
          <cell r="CQ59" t="str">
            <v/>
          </cell>
          <cell r="CR59" t="str">
            <v/>
          </cell>
          <cell r="CS59" t="str">
            <v/>
          </cell>
          <cell r="CT59" t="str">
            <v/>
          </cell>
          <cell r="CU59" t="str">
            <v/>
          </cell>
          <cell r="CV59" t="str">
            <v/>
          </cell>
          <cell r="CW59" t="str">
            <v/>
          </cell>
        </row>
        <row r="60">
          <cell r="CN60" t="str">
            <v/>
          </cell>
          <cell r="CO60" t="str">
            <v/>
          </cell>
          <cell r="CP60" t="str">
            <v/>
          </cell>
          <cell r="CQ60" t="str">
            <v/>
          </cell>
          <cell r="CR60" t="str">
            <v/>
          </cell>
          <cell r="CS60" t="str">
            <v/>
          </cell>
          <cell r="CT60" t="str">
            <v/>
          </cell>
          <cell r="CU60" t="str">
            <v/>
          </cell>
          <cell r="CV60" t="str">
            <v/>
          </cell>
          <cell r="CW60" t="str">
            <v/>
          </cell>
        </row>
        <row r="61">
          <cell r="CN61" t="str">
            <v/>
          </cell>
          <cell r="CO61" t="str">
            <v/>
          </cell>
          <cell r="CP61" t="str">
            <v/>
          </cell>
          <cell r="CQ61" t="str">
            <v/>
          </cell>
          <cell r="CR61" t="str">
            <v/>
          </cell>
          <cell r="CS61" t="str">
            <v/>
          </cell>
          <cell r="CT61" t="str">
            <v/>
          </cell>
          <cell r="CU61" t="str">
            <v/>
          </cell>
          <cell r="CV61" t="str">
            <v/>
          </cell>
          <cell r="CW61" t="str">
            <v/>
          </cell>
        </row>
        <row r="62">
          <cell r="CN62" t="str">
            <v/>
          </cell>
          <cell r="CO62" t="str">
            <v/>
          </cell>
          <cell r="CP62" t="str">
            <v/>
          </cell>
          <cell r="CQ62" t="str">
            <v/>
          </cell>
          <cell r="CR62" t="str">
            <v/>
          </cell>
          <cell r="CS62" t="str">
            <v/>
          </cell>
          <cell r="CT62" t="str">
            <v/>
          </cell>
          <cell r="CU62" t="str">
            <v/>
          </cell>
          <cell r="CV62" t="str">
            <v/>
          </cell>
          <cell r="CW62" t="str">
            <v/>
          </cell>
        </row>
        <row r="63">
          <cell r="CN63" t="str">
            <v/>
          </cell>
          <cell r="CO63" t="str">
            <v/>
          </cell>
          <cell r="CP63" t="str">
            <v/>
          </cell>
          <cell r="CQ63" t="str">
            <v/>
          </cell>
          <cell r="CR63" t="str">
            <v/>
          </cell>
          <cell r="CS63" t="str">
            <v/>
          </cell>
          <cell r="CT63" t="str">
            <v/>
          </cell>
          <cell r="CU63" t="str">
            <v/>
          </cell>
          <cell r="CV63" t="str">
            <v/>
          </cell>
          <cell r="CW63" t="str">
            <v/>
          </cell>
        </row>
        <row r="64">
          <cell r="CN64" t="str">
            <v/>
          </cell>
          <cell r="CO64" t="str">
            <v/>
          </cell>
          <cell r="CP64" t="str">
            <v/>
          </cell>
          <cell r="CQ64" t="str">
            <v/>
          </cell>
          <cell r="CR64" t="str">
            <v/>
          </cell>
          <cell r="CS64" t="str">
            <v/>
          </cell>
          <cell r="CT64" t="str">
            <v/>
          </cell>
          <cell r="CU64" t="str">
            <v/>
          </cell>
          <cell r="CV64" t="str">
            <v/>
          </cell>
          <cell r="CW64" t="str">
            <v/>
          </cell>
        </row>
        <row r="65">
          <cell r="CN65" t="str">
            <v/>
          </cell>
          <cell r="CO65" t="str">
            <v/>
          </cell>
          <cell r="CP65" t="str">
            <v/>
          </cell>
          <cell r="CQ65" t="str">
            <v/>
          </cell>
          <cell r="CR65" t="str">
            <v/>
          </cell>
          <cell r="CS65" t="str">
            <v/>
          </cell>
          <cell r="CT65" t="str">
            <v/>
          </cell>
          <cell r="CU65" t="str">
            <v/>
          </cell>
          <cell r="CV65" t="str">
            <v/>
          </cell>
          <cell r="CW65" t="str">
            <v/>
          </cell>
        </row>
        <row r="66">
          <cell r="CN66" t="str">
            <v/>
          </cell>
          <cell r="CO66" t="str">
            <v/>
          </cell>
          <cell r="CP66" t="str">
            <v/>
          </cell>
          <cell r="CQ66" t="str">
            <v/>
          </cell>
          <cell r="CR66" t="str">
            <v/>
          </cell>
          <cell r="CS66" t="str">
            <v/>
          </cell>
          <cell r="CT66" t="str">
            <v/>
          </cell>
          <cell r="CU66" t="str">
            <v/>
          </cell>
          <cell r="CV66" t="str">
            <v/>
          </cell>
          <cell r="CW66" t="str">
            <v/>
          </cell>
        </row>
        <row r="67">
          <cell r="CN67" t="str">
            <v/>
          </cell>
          <cell r="CO67" t="str">
            <v/>
          </cell>
          <cell r="CP67" t="str">
            <v/>
          </cell>
          <cell r="CQ67" t="str">
            <v/>
          </cell>
          <cell r="CR67" t="str">
            <v/>
          </cell>
          <cell r="CS67" t="str">
            <v/>
          </cell>
          <cell r="CT67" t="str">
            <v/>
          </cell>
          <cell r="CU67" t="str">
            <v/>
          </cell>
          <cell r="CV67" t="str">
            <v/>
          </cell>
          <cell r="CW67" t="str">
            <v/>
          </cell>
        </row>
        <row r="68">
          <cell r="CN68" t="str">
            <v/>
          </cell>
          <cell r="CO68" t="str">
            <v/>
          </cell>
          <cell r="CP68" t="str">
            <v/>
          </cell>
          <cell r="CQ68" t="str">
            <v/>
          </cell>
          <cell r="CR68" t="str">
            <v/>
          </cell>
          <cell r="CS68" t="str">
            <v/>
          </cell>
          <cell r="CT68" t="str">
            <v/>
          </cell>
          <cell r="CU68" t="str">
            <v/>
          </cell>
          <cell r="CV68" t="str">
            <v/>
          </cell>
          <cell r="CW68" t="str">
            <v/>
          </cell>
        </row>
        <row r="69">
          <cell r="CN69" t="str">
            <v/>
          </cell>
          <cell r="CO69" t="str">
            <v/>
          </cell>
          <cell r="CP69" t="str">
            <v/>
          </cell>
          <cell r="CQ69" t="str">
            <v/>
          </cell>
          <cell r="CR69" t="str">
            <v/>
          </cell>
          <cell r="CS69" t="str">
            <v/>
          </cell>
          <cell r="CT69" t="str">
            <v/>
          </cell>
          <cell r="CU69" t="str">
            <v/>
          </cell>
          <cell r="CV69" t="str">
            <v/>
          </cell>
          <cell r="CW69" t="str">
            <v/>
          </cell>
        </row>
        <row r="70">
          <cell r="CN70" t="str">
            <v/>
          </cell>
          <cell r="CO70" t="str">
            <v/>
          </cell>
          <cell r="CP70" t="str">
            <v/>
          </cell>
          <cell r="CQ70" t="str">
            <v/>
          </cell>
          <cell r="CR70" t="str">
            <v/>
          </cell>
          <cell r="CS70" t="str">
            <v/>
          </cell>
          <cell r="CT70" t="str">
            <v/>
          </cell>
          <cell r="CU70" t="str">
            <v/>
          </cell>
          <cell r="CV70" t="str">
            <v/>
          </cell>
          <cell r="CW70" t="str">
            <v/>
          </cell>
        </row>
        <row r="71">
          <cell r="CN71" t="str">
            <v/>
          </cell>
          <cell r="CO71" t="str">
            <v/>
          </cell>
          <cell r="CP71" t="str">
            <v/>
          </cell>
          <cell r="CQ71" t="str">
            <v/>
          </cell>
          <cell r="CR71" t="str">
            <v/>
          </cell>
          <cell r="CS71" t="str">
            <v/>
          </cell>
          <cell r="CT71" t="str">
            <v/>
          </cell>
          <cell r="CU71" t="str">
            <v/>
          </cell>
          <cell r="CV71" t="str">
            <v/>
          </cell>
          <cell r="CW71" t="str">
            <v/>
          </cell>
        </row>
        <row r="72">
          <cell r="CN72" t="str">
            <v/>
          </cell>
          <cell r="CO72" t="str">
            <v/>
          </cell>
          <cell r="CP72" t="str">
            <v/>
          </cell>
          <cell r="CQ72" t="str">
            <v/>
          </cell>
          <cell r="CR72" t="str">
            <v/>
          </cell>
          <cell r="CS72" t="str">
            <v/>
          </cell>
          <cell r="CT72" t="str">
            <v/>
          </cell>
          <cell r="CU72" t="str">
            <v/>
          </cell>
          <cell r="CV72" t="str">
            <v/>
          </cell>
          <cell r="CW72" t="str">
            <v/>
          </cell>
        </row>
        <row r="73">
          <cell r="CN73" t="str">
            <v/>
          </cell>
          <cell r="CO73" t="str">
            <v/>
          </cell>
          <cell r="CP73" t="str">
            <v/>
          </cell>
          <cell r="CQ73" t="str">
            <v/>
          </cell>
          <cell r="CR73" t="str">
            <v/>
          </cell>
          <cell r="CS73" t="str">
            <v/>
          </cell>
          <cell r="CT73" t="str">
            <v/>
          </cell>
          <cell r="CU73" t="str">
            <v/>
          </cell>
          <cell r="CV73" t="str">
            <v/>
          </cell>
          <cell r="CW73" t="str">
            <v/>
          </cell>
        </row>
        <row r="74">
          <cell r="CN74" t="str">
            <v/>
          </cell>
          <cell r="CO74" t="str">
            <v/>
          </cell>
          <cell r="CP74" t="str">
            <v/>
          </cell>
          <cell r="CQ74" t="str">
            <v/>
          </cell>
          <cell r="CR74" t="str">
            <v/>
          </cell>
          <cell r="CS74" t="str">
            <v/>
          </cell>
          <cell r="CT74" t="str">
            <v/>
          </cell>
          <cell r="CU74" t="str">
            <v/>
          </cell>
          <cell r="CV74" t="str">
            <v/>
          </cell>
          <cell r="CW74" t="str">
            <v/>
          </cell>
        </row>
        <row r="75">
          <cell r="CN75" t="str">
            <v/>
          </cell>
          <cell r="CO75" t="str">
            <v/>
          </cell>
          <cell r="CP75" t="str">
            <v/>
          </cell>
          <cell r="CQ75" t="str">
            <v/>
          </cell>
          <cell r="CR75" t="str">
            <v/>
          </cell>
          <cell r="CS75" t="str">
            <v/>
          </cell>
          <cell r="CT75" t="str">
            <v/>
          </cell>
          <cell r="CU75" t="str">
            <v/>
          </cell>
          <cell r="CV75" t="str">
            <v/>
          </cell>
          <cell r="CW75" t="str">
            <v/>
          </cell>
        </row>
        <row r="76">
          <cell r="CN76" t="str">
            <v/>
          </cell>
          <cell r="CO76" t="str">
            <v/>
          </cell>
          <cell r="CP76" t="str">
            <v/>
          </cell>
          <cell r="CQ76" t="str">
            <v/>
          </cell>
          <cell r="CR76" t="str">
            <v/>
          </cell>
          <cell r="CS76" t="str">
            <v/>
          </cell>
          <cell r="CT76" t="str">
            <v/>
          </cell>
          <cell r="CU76" t="str">
            <v/>
          </cell>
          <cell r="CV76" t="str">
            <v/>
          </cell>
          <cell r="CW76" t="str">
            <v/>
          </cell>
        </row>
        <row r="77">
          <cell r="CN77" t="str">
            <v/>
          </cell>
          <cell r="CO77" t="str">
            <v/>
          </cell>
          <cell r="CP77" t="str">
            <v/>
          </cell>
          <cell r="CQ77" t="str">
            <v/>
          </cell>
          <cell r="CR77" t="str">
            <v/>
          </cell>
          <cell r="CS77" t="str">
            <v/>
          </cell>
          <cell r="CT77" t="str">
            <v/>
          </cell>
          <cell r="CU77" t="str">
            <v/>
          </cell>
          <cell r="CV77" t="str">
            <v/>
          </cell>
          <cell r="CW77" t="str">
            <v/>
          </cell>
        </row>
        <row r="78">
          <cell r="CN78" t="str">
            <v/>
          </cell>
          <cell r="CO78" t="str">
            <v/>
          </cell>
          <cell r="CP78" t="str">
            <v/>
          </cell>
          <cell r="CQ78" t="str">
            <v/>
          </cell>
          <cell r="CR78" t="str">
            <v/>
          </cell>
          <cell r="CS78" t="str">
            <v/>
          </cell>
          <cell r="CT78" t="str">
            <v/>
          </cell>
          <cell r="CU78" t="str">
            <v/>
          </cell>
          <cell r="CV78" t="str">
            <v/>
          </cell>
          <cell r="CW78" t="str">
            <v/>
          </cell>
        </row>
        <row r="79">
          <cell r="CN79" t="str">
            <v/>
          </cell>
          <cell r="CO79" t="str">
            <v/>
          </cell>
          <cell r="CP79" t="str">
            <v/>
          </cell>
          <cell r="CQ79" t="str">
            <v/>
          </cell>
          <cell r="CR79" t="str">
            <v/>
          </cell>
          <cell r="CS79" t="str">
            <v/>
          </cell>
          <cell r="CT79" t="str">
            <v/>
          </cell>
          <cell r="CU79" t="str">
            <v/>
          </cell>
          <cell r="CV79" t="str">
            <v/>
          </cell>
          <cell r="CW79" t="str">
            <v/>
          </cell>
        </row>
        <row r="80">
          <cell r="CN80" t="str">
            <v/>
          </cell>
          <cell r="CO80" t="str">
            <v/>
          </cell>
          <cell r="CP80" t="str">
            <v/>
          </cell>
          <cell r="CQ80" t="str">
            <v/>
          </cell>
          <cell r="CR80" t="str">
            <v/>
          </cell>
          <cell r="CS80" t="str">
            <v/>
          </cell>
          <cell r="CT80" t="str">
            <v/>
          </cell>
          <cell r="CU80" t="str">
            <v/>
          </cell>
          <cell r="CV80" t="str">
            <v/>
          </cell>
          <cell r="CW80" t="str">
            <v/>
          </cell>
        </row>
        <row r="81">
          <cell r="CN81" t="str">
            <v/>
          </cell>
          <cell r="CO81" t="str">
            <v/>
          </cell>
          <cell r="CP81" t="str">
            <v/>
          </cell>
          <cell r="CQ81" t="str">
            <v/>
          </cell>
          <cell r="CR81" t="str">
            <v/>
          </cell>
          <cell r="CS81" t="str">
            <v/>
          </cell>
          <cell r="CT81" t="str">
            <v/>
          </cell>
          <cell r="CU81" t="str">
            <v/>
          </cell>
          <cell r="CV81" t="str">
            <v/>
          </cell>
          <cell r="CW81" t="str">
            <v/>
          </cell>
        </row>
        <row r="82">
          <cell r="CN82" t="str">
            <v/>
          </cell>
          <cell r="CO82" t="str">
            <v/>
          </cell>
          <cell r="CP82" t="str">
            <v/>
          </cell>
          <cell r="CQ82" t="str">
            <v/>
          </cell>
          <cell r="CR82" t="str">
            <v/>
          </cell>
          <cell r="CS82" t="str">
            <v/>
          </cell>
          <cell r="CT82" t="str">
            <v/>
          </cell>
          <cell r="CU82" t="str">
            <v/>
          </cell>
          <cell r="CV82" t="str">
            <v/>
          </cell>
          <cell r="CW82" t="str">
            <v/>
          </cell>
        </row>
        <row r="83">
          <cell r="CN83" t="str">
            <v/>
          </cell>
          <cell r="CO83" t="str">
            <v/>
          </cell>
          <cell r="CP83" t="str">
            <v/>
          </cell>
          <cell r="CQ83" t="str">
            <v/>
          </cell>
          <cell r="CR83" t="str">
            <v/>
          </cell>
          <cell r="CS83" t="str">
            <v/>
          </cell>
          <cell r="CT83" t="str">
            <v/>
          </cell>
          <cell r="CU83" t="str">
            <v/>
          </cell>
          <cell r="CV83" t="str">
            <v/>
          </cell>
          <cell r="CW83" t="str">
            <v/>
          </cell>
        </row>
        <row r="84">
          <cell r="CN84" t="str">
            <v/>
          </cell>
          <cell r="CO84" t="str">
            <v/>
          </cell>
          <cell r="CP84" t="str">
            <v/>
          </cell>
          <cell r="CQ84" t="str">
            <v/>
          </cell>
          <cell r="CR84" t="str">
            <v/>
          </cell>
          <cell r="CS84" t="str">
            <v/>
          </cell>
          <cell r="CT84" t="str">
            <v/>
          </cell>
          <cell r="CU84" t="str">
            <v/>
          </cell>
          <cell r="CV84" t="str">
            <v/>
          </cell>
          <cell r="CW84" t="str">
            <v/>
          </cell>
        </row>
        <row r="85">
          <cell r="CN85" t="str">
            <v/>
          </cell>
          <cell r="CO85" t="str">
            <v/>
          </cell>
          <cell r="CP85" t="str">
            <v/>
          </cell>
          <cell r="CQ85" t="str">
            <v/>
          </cell>
          <cell r="CR85" t="str">
            <v/>
          </cell>
          <cell r="CS85" t="str">
            <v/>
          </cell>
          <cell r="CT85" t="str">
            <v/>
          </cell>
          <cell r="CU85" t="str">
            <v/>
          </cell>
          <cell r="CV85" t="str">
            <v/>
          </cell>
          <cell r="CW85" t="str">
            <v/>
          </cell>
        </row>
        <row r="86">
          <cell r="CN86" t="str">
            <v/>
          </cell>
          <cell r="CO86" t="str">
            <v/>
          </cell>
          <cell r="CP86" t="str">
            <v/>
          </cell>
          <cell r="CQ86" t="str">
            <v/>
          </cell>
          <cell r="CR86" t="str">
            <v/>
          </cell>
          <cell r="CS86" t="str">
            <v/>
          </cell>
          <cell r="CT86" t="str">
            <v/>
          </cell>
          <cell r="CU86" t="str">
            <v/>
          </cell>
          <cell r="CV86" t="str">
            <v/>
          </cell>
          <cell r="CW86" t="str">
            <v/>
          </cell>
        </row>
        <row r="87">
          <cell r="CN87" t="str">
            <v/>
          </cell>
          <cell r="CO87" t="str">
            <v/>
          </cell>
          <cell r="CP87" t="str">
            <v/>
          </cell>
          <cell r="CQ87" t="str">
            <v/>
          </cell>
          <cell r="CR87" t="str">
            <v/>
          </cell>
          <cell r="CS87" t="str">
            <v/>
          </cell>
          <cell r="CT87" t="str">
            <v/>
          </cell>
          <cell r="CU87" t="str">
            <v/>
          </cell>
          <cell r="CV87" t="str">
            <v/>
          </cell>
          <cell r="CW87" t="str">
            <v/>
          </cell>
        </row>
        <row r="88">
          <cell r="CN88" t="str">
            <v/>
          </cell>
          <cell r="CO88" t="str">
            <v/>
          </cell>
          <cell r="CP88" t="str">
            <v/>
          </cell>
          <cell r="CQ88" t="str">
            <v/>
          </cell>
          <cell r="CR88" t="str">
            <v/>
          </cell>
          <cell r="CS88" t="str">
            <v/>
          </cell>
          <cell r="CT88" t="str">
            <v/>
          </cell>
          <cell r="CU88" t="str">
            <v/>
          </cell>
          <cell r="CV88" t="str">
            <v/>
          </cell>
          <cell r="CW88" t="str">
            <v/>
          </cell>
        </row>
        <row r="89">
          <cell r="CN89" t="str">
            <v/>
          </cell>
          <cell r="CO89" t="str">
            <v/>
          </cell>
          <cell r="CP89" t="str">
            <v/>
          </cell>
          <cell r="CQ89" t="str">
            <v/>
          </cell>
          <cell r="CR89" t="str">
            <v/>
          </cell>
          <cell r="CS89" t="str">
            <v/>
          </cell>
          <cell r="CT89" t="str">
            <v/>
          </cell>
          <cell r="CU89" t="str">
            <v/>
          </cell>
          <cell r="CV89" t="str">
            <v/>
          </cell>
          <cell r="CW89" t="str">
            <v/>
          </cell>
        </row>
        <row r="90">
          <cell r="CN90" t="str">
            <v/>
          </cell>
          <cell r="CO90" t="str">
            <v/>
          </cell>
          <cell r="CP90" t="str">
            <v/>
          </cell>
          <cell r="CQ90" t="str">
            <v/>
          </cell>
          <cell r="CR90" t="str">
            <v/>
          </cell>
          <cell r="CS90" t="str">
            <v/>
          </cell>
          <cell r="CT90" t="str">
            <v/>
          </cell>
          <cell r="CU90" t="str">
            <v/>
          </cell>
          <cell r="CV90" t="str">
            <v/>
          </cell>
          <cell r="CW90" t="str">
            <v/>
          </cell>
        </row>
        <row r="91">
          <cell r="CN91" t="str">
            <v/>
          </cell>
          <cell r="CO91" t="str">
            <v/>
          </cell>
          <cell r="CP91" t="str">
            <v/>
          </cell>
          <cell r="CQ91" t="str">
            <v/>
          </cell>
          <cell r="CR91" t="str">
            <v/>
          </cell>
          <cell r="CS91" t="str">
            <v/>
          </cell>
          <cell r="CT91" t="str">
            <v/>
          </cell>
          <cell r="CU91" t="str">
            <v/>
          </cell>
          <cell r="CV91" t="str">
            <v/>
          </cell>
          <cell r="CW91" t="str">
            <v/>
          </cell>
        </row>
        <row r="92">
          <cell r="CN92" t="str">
            <v/>
          </cell>
          <cell r="CO92" t="str">
            <v/>
          </cell>
          <cell r="CP92" t="str">
            <v/>
          </cell>
          <cell r="CQ92" t="str">
            <v/>
          </cell>
          <cell r="CR92" t="str">
            <v/>
          </cell>
          <cell r="CS92" t="str">
            <v/>
          </cell>
          <cell r="CT92" t="str">
            <v/>
          </cell>
          <cell r="CU92" t="str">
            <v/>
          </cell>
          <cell r="CV92" t="str">
            <v/>
          </cell>
          <cell r="CW92" t="str">
            <v/>
          </cell>
        </row>
        <row r="93">
          <cell r="CN93" t="str">
            <v/>
          </cell>
          <cell r="CO93" t="str">
            <v/>
          </cell>
          <cell r="CP93" t="str">
            <v/>
          </cell>
          <cell r="CQ93" t="str">
            <v/>
          </cell>
          <cell r="CR93" t="str">
            <v/>
          </cell>
          <cell r="CS93" t="str">
            <v/>
          </cell>
          <cell r="CT93" t="str">
            <v/>
          </cell>
          <cell r="CU93" t="str">
            <v/>
          </cell>
          <cell r="CV93" t="str">
            <v/>
          </cell>
          <cell r="CW93" t="str">
            <v/>
          </cell>
        </row>
        <row r="94">
          <cell r="CN94" t="str">
            <v/>
          </cell>
          <cell r="CO94" t="str">
            <v/>
          </cell>
          <cell r="CP94" t="str">
            <v/>
          </cell>
          <cell r="CQ94" t="str">
            <v/>
          </cell>
          <cell r="CR94" t="str">
            <v/>
          </cell>
          <cell r="CS94" t="str">
            <v/>
          </cell>
          <cell r="CT94" t="str">
            <v/>
          </cell>
          <cell r="CU94" t="str">
            <v/>
          </cell>
          <cell r="CV94" t="str">
            <v/>
          </cell>
          <cell r="CW94" t="str">
            <v/>
          </cell>
        </row>
        <row r="95">
          <cell r="CN95" t="str">
            <v/>
          </cell>
          <cell r="CO95" t="str">
            <v/>
          </cell>
          <cell r="CP95" t="str">
            <v/>
          </cell>
          <cell r="CQ95" t="str">
            <v/>
          </cell>
          <cell r="CR95" t="str">
            <v/>
          </cell>
          <cell r="CS95" t="str">
            <v/>
          </cell>
          <cell r="CT95" t="str">
            <v/>
          </cell>
          <cell r="CU95" t="str">
            <v/>
          </cell>
          <cell r="CV95" t="str">
            <v/>
          </cell>
          <cell r="CW95" t="str">
            <v/>
          </cell>
        </row>
        <row r="96">
          <cell r="CN96" t="str">
            <v/>
          </cell>
          <cell r="CO96" t="str">
            <v/>
          </cell>
          <cell r="CP96" t="str">
            <v/>
          </cell>
          <cell r="CQ96" t="str">
            <v/>
          </cell>
          <cell r="CR96" t="str">
            <v/>
          </cell>
          <cell r="CS96" t="str">
            <v/>
          </cell>
          <cell r="CT96" t="str">
            <v/>
          </cell>
          <cell r="CU96" t="str">
            <v/>
          </cell>
          <cell r="CV96" t="str">
            <v/>
          </cell>
          <cell r="CW96" t="str">
            <v/>
          </cell>
        </row>
        <row r="97">
          <cell r="CN97" t="str">
            <v/>
          </cell>
          <cell r="CO97" t="str">
            <v/>
          </cell>
          <cell r="CP97" t="str">
            <v/>
          </cell>
          <cell r="CQ97" t="str">
            <v/>
          </cell>
          <cell r="CR97" t="str">
            <v/>
          </cell>
          <cell r="CS97" t="str">
            <v/>
          </cell>
          <cell r="CT97" t="str">
            <v/>
          </cell>
          <cell r="CU97" t="str">
            <v/>
          </cell>
          <cell r="CV97" t="str">
            <v/>
          </cell>
          <cell r="CW97" t="str">
            <v/>
          </cell>
        </row>
        <row r="98">
          <cell r="CN98" t="str">
            <v/>
          </cell>
          <cell r="CO98" t="str">
            <v/>
          </cell>
          <cell r="CP98" t="str">
            <v/>
          </cell>
          <cell r="CQ98" t="str">
            <v/>
          </cell>
          <cell r="CR98" t="str">
            <v/>
          </cell>
          <cell r="CS98" t="str">
            <v/>
          </cell>
          <cell r="CT98" t="str">
            <v/>
          </cell>
          <cell r="CU98" t="str">
            <v/>
          </cell>
          <cell r="CV98" t="str">
            <v/>
          </cell>
          <cell r="CW98" t="str">
            <v/>
          </cell>
        </row>
        <row r="99">
          <cell r="CN99" t="str">
            <v/>
          </cell>
          <cell r="CO99" t="str">
            <v/>
          </cell>
          <cell r="CP99" t="str">
            <v/>
          </cell>
          <cell r="CQ99" t="str">
            <v/>
          </cell>
          <cell r="CR99" t="str">
            <v/>
          </cell>
          <cell r="CS99" t="str">
            <v/>
          </cell>
          <cell r="CT99" t="str">
            <v/>
          </cell>
          <cell r="CU99" t="str">
            <v/>
          </cell>
          <cell r="CV99" t="str">
            <v/>
          </cell>
          <cell r="CW99" t="str">
            <v/>
          </cell>
        </row>
        <row r="100">
          <cell r="CN100" t="str">
            <v/>
          </cell>
          <cell r="CO100" t="str">
            <v/>
          </cell>
          <cell r="CP100" t="str">
            <v/>
          </cell>
          <cell r="CQ100" t="str">
            <v/>
          </cell>
          <cell r="CR100" t="str">
            <v/>
          </cell>
          <cell r="CS100" t="str">
            <v/>
          </cell>
          <cell r="CT100" t="str">
            <v/>
          </cell>
          <cell r="CU100" t="str">
            <v/>
          </cell>
          <cell r="CV100" t="str">
            <v/>
          </cell>
          <cell r="CW100" t="str">
            <v/>
          </cell>
        </row>
        <row r="101">
          <cell r="CN101" t="str">
            <v/>
          </cell>
          <cell r="CO101" t="str">
            <v/>
          </cell>
          <cell r="CP101" t="str">
            <v/>
          </cell>
          <cell r="CQ101" t="str">
            <v/>
          </cell>
          <cell r="CR101" t="str">
            <v/>
          </cell>
          <cell r="CS101" t="str">
            <v/>
          </cell>
          <cell r="CT101" t="str">
            <v/>
          </cell>
          <cell r="CU101" t="str">
            <v/>
          </cell>
          <cell r="CV101" t="str">
            <v/>
          </cell>
          <cell r="CW101" t="str">
            <v/>
          </cell>
        </row>
        <row r="102">
          <cell r="CN102" t="str">
            <v/>
          </cell>
          <cell r="CO102" t="str">
            <v/>
          </cell>
          <cell r="CP102" t="str">
            <v/>
          </cell>
          <cell r="CQ102" t="str">
            <v/>
          </cell>
          <cell r="CR102" t="str">
            <v/>
          </cell>
          <cell r="CS102" t="str">
            <v/>
          </cell>
          <cell r="CT102" t="str">
            <v/>
          </cell>
          <cell r="CU102" t="str">
            <v/>
          </cell>
          <cell r="CV102" t="str">
            <v/>
          </cell>
          <cell r="CW102" t="str">
            <v/>
          </cell>
        </row>
        <row r="103">
          <cell r="CN103" t="str">
            <v/>
          </cell>
          <cell r="CO103" t="str">
            <v/>
          </cell>
          <cell r="CP103" t="str">
            <v/>
          </cell>
          <cell r="CQ103" t="str">
            <v/>
          </cell>
          <cell r="CR103" t="str">
            <v/>
          </cell>
          <cell r="CS103" t="str">
            <v/>
          </cell>
          <cell r="CT103" t="str">
            <v/>
          </cell>
          <cell r="CU103" t="str">
            <v/>
          </cell>
          <cell r="CV103" t="str">
            <v/>
          </cell>
          <cell r="CW103" t="str">
            <v/>
          </cell>
        </row>
        <row r="104">
          <cell r="CN104" t="str">
            <v/>
          </cell>
          <cell r="CO104" t="str">
            <v/>
          </cell>
          <cell r="CP104" t="str">
            <v/>
          </cell>
          <cell r="CQ104" t="str">
            <v/>
          </cell>
          <cell r="CR104" t="str">
            <v/>
          </cell>
          <cell r="CS104" t="str">
            <v/>
          </cell>
          <cell r="CT104" t="str">
            <v/>
          </cell>
          <cell r="CU104" t="str">
            <v/>
          </cell>
          <cell r="CV104" t="str">
            <v/>
          </cell>
          <cell r="CW104" t="str">
            <v/>
          </cell>
        </row>
        <row r="105">
          <cell r="CN105" t="str">
            <v/>
          </cell>
          <cell r="CO105" t="str">
            <v/>
          </cell>
          <cell r="CP105" t="str">
            <v/>
          </cell>
          <cell r="CQ105" t="str">
            <v/>
          </cell>
          <cell r="CR105" t="str">
            <v/>
          </cell>
          <cell r="CS105" t="str">
            <v/>
          </cell>
          <cell r="CT105" t="str">
            <v/>
          </cell>
          <cell r="CU105" t="str">
            <v/>
          </cell>
          <cell r="CV105" t="str">
            <v/>
          </cell>
          <cell r="CW105" t="str">
            <v/>
          </cell>
        </row>
        <row r="106">
          <cell r="CN106" t="str">
            <v/>
          </cell>
          <cell r="CO106" t="str">
            <v/>
          </cell>
          <cell r="CP106" t="str">
            <v/>
          </cell>
          <cell r="CQ106" t="str">
            <v/>
          </cell>
          <cell r="CR106" t="str">
            <v/>
          </cell>
          <cell r="CS106" t="str">
            <v/>
          </cell>
          <cell r="CT106" t="str">
            <v/>
          </cell>
          <cell r="CU106" t="str">
            <v/>
          </cell>
          <cell r="CV106" t="str">
            <v/>
          </cell>
          <cell r="CW106" t="str">
            <v/>
          </cell>
        </row>
        <row r="107">
          <cell r="CN107" t="str">
            <v/>
          </cell>
          <cell r="CO107" t="str">
            <v/>
          </cell>
          <cell r="CP107" t="str">
            <v/>
          </cell>
          <cell r="CQ107" t="str">
            <v/>
          </cell>
          <cell r="CR107" t="str">
            <v/>
          </cell>
          <cell r="CS107" t="str">
            <v/>
          </cell>
          <cell r="CT107" t="str">
            <v/>
          </cell>
          <cell r="CU107" t="str">
            <v/>
          </cell>
          <cell r="CV107" t="str">
            <v/>
          </cell>
          <cell r="CW107" t="str">
            <v/>
          </cell>
        </row>
        <row r="108">
          <cell r="CN108" t="str">
            <v/>
          </cell>
          <cell r="CO108" t="str">
            <v/>
          </cell>
          <cell r="CP108" t="str">
            <v/>
          </cell>
          <cell r="CQ108" t="str">
            <v/>
          </cell>
          <cell r="CR108" t="str">
            <v/>
          </cell>
          <cell r="CS108" t="str">
            <v/>
          </cell>
          <cell r="CT108" t="str">
            <v/>
          </cell>
          <cell r="CU108" t="str">
            <v/>
          </cell>
          <cell r="CV108" t="str">
            <v/>
          </cell>
          <cell r="CW108" t="str">
            <v/>
          </cell>
        </row>
        <row r="109">
          <cell r="CN109" t="str">
            <v/>
          </cell>
          <cell r="CO109" t="str">
            <v/>
          </cell>
          <cell r="CP109" t="str">
            <v/>
          </cell>
          <cell r="CQ109" t="str">
            <v/>
          </cell>
          <cell r="CR109" t="str">
            <v/>
          </cell>
          <cell r="CS109" t="str">
            <v/>
          </cell>
          <cell r="CT109" t="str">
            <v/>
          </cell>
          <cell r="CU109" t="str">
            <v/>
          </cell>
          <cell r="CV109" t="str">
            <v/>
          </cell>
          <cell r="CW109" t="str">
            <v/>
          </cell>
        </row>
        <row r="110">
          <cell r="CN110" t="str">
            <v/>
          </cell>
          <cell r="CO110" t="str">
            <v/>
          </cell>
          <cell r="CP110" t="str">
            <v/>
          </cell>
          <cell r="CQ110" t="str">
            <v/>
          </cell>
          <cell r="CR110" t="str">
            <v/>
          </cell>
          <cell r="CS110" t="str">
            <v/>
          </cell>
          <cell r="CT110" t="str">
            <v/>
          </cell>
          <cell r="CU110" t="str">
            <v/>
          </cell>
          <cell r="CV110" t="str">
            <v/>
          </cell>
          <cell r="CW110" t="str">
            <v/>
          </cell>
        </row>
        <row r="111">
          <cell r="CN111" t="str">
            <v/>
          </cell>
          <cell r="CO111" t="str">
            <v/>
          </cell>
          <cell r="CP111" t="str">
            <v/>
          </cell>
          <cell r="CQ111" t="str">
            <v/>
          </cell>
          <cell r="CR111" t="str">
            <v/>
          </cell>
          <cell r="CS111" t="str">
            <v/>
          </cell>
          <cell r="CT111" t="str">
            <v/>
          </cell>
          <cell r="CU111" t="str">
            <v/>
          </cell>
          <cell r="CV111" t="str">
            <v/>
          </cell>
          <cell r="CW111" t="str">
            <v/>
          </cell>
        </row>
        <row r="112">
          <cell r="CN112" t="str">
            <v/>
          </cell>
          <cell r="CO112" t="str">
            <v/>
          </cell>
          <cell r="CP112" t="str">
            <v/>
          </cell>
          <cell r="CQ112" t="str">
            <v/>
          </cell>
          <cell r="CR112" t="str">
            <v/>
          </cell>
          <cell r="CS112" t="str">
            <v/>
          </cell>
          <cell r="CT112" t="str">
            <v/>
          </cell>
          <cell r="CU112" t="str">
            <v/>
          </cell>
          <cell r="CV112" t="str">
            <v/>
          </cell>
          <cell r="CW112" t="str">
            <v/>
          </cell>
        </row>
        <row r="113">
          <cell r="CN113" t="str">
            <v/>
          </cell>
          <cell r="CO113" t="str">
            <v/>
          </cell>
          <cell r="CP113" t="str">
            <v/>
          </cell>
          <cell r="CQ113" t="str">
            <v/>
          </cell>
          <cell r="CR113" t="str">
            <v/>
          </cell>
          <cell r="CS113" t="str">
            <v/>
          </cell>
          <cell r="CT113" t="str">
            <v/>
          </cell>
          <cell r="CU113" t="str">
            <v/>
          </cell>
          <cell r="CV113" t="str">
            <v/>
          </cell>
          <cell r="CW113" t="str">
            <v/>
          </cell>
        </row>
        <row r="114">
          <cell r="CN114" t="str">
            <v/>
          </cell>
          <cell r="CO114" t="str">
            <v/>
          </cell>
          <cell r="CP114" t="str">
            <v/>
          </cell>
          <cell r="CQ114" t="str">
            <v/>
          </cell>
          <cell r="CR114" t="str">
            <v/>
          </cell>
          <cell r="CS114" t="str">
            <v/>
          </cell>
          <cell r="CT114" t="str">
            <v/>
          </cell>
          <cell r="CU114" t="str">
            <v/>
          </cell>
          <cell r="CV114" t="str">
            <v/>
          </cell>
          <cell r="CW114" t="str">
            <v/>
          </cell>
        </row>
        <row r="115">
          <cell r="CN115" t="str">
            <v/>
          </cell>
          <cell r="CO115" t="str">
            <v/>
          </cell>
          <cell r="CP115" t="str">
            <v/>
          </cell>
          <cell r="CQ115" t="str">
            <v/>
          </cell>
          <cell r="CR115" t="str">
            <v/>
          </cell>
          <cell r="CS115" t="str">
            <v/>
          </cell>
          <cell r="CT115" t="str">
            <v/>
          </cell>
          <cell r="CU115" t="str">
            <v/>
          </cell>
          <cell r="CV115" t="str">
            <v/>
          </cell>
          <cell r="CW115" t="str">
            <v/>
          </cell>
        </row>
        <row r="116">
          <cell r="CN116" t="str">
            <v/>
          </cell>
          <cell r="CO116" t="str">
            <v/>
          </cell>
          <cell r="CP116" t="str">
            <v/>
          </cell>
          <cell r="CQ116" t="str">
            <v/>
          </cell>
          <cell r="CR116" t="str">
            <v/>
          </cell>
          <cell r="CS116" t="str">
            <v/>
          </cell>
          <cell r="CT116" t="str">
            <v/>
          </cell>
          <cell r="CU116" t="str">
            <v/>
          </cell>
          <cell r="CV116" t="str">
            <v/>
          </cell>
          <cell r="CW116" t="str">
            <v/>
          </cell>
        </row>
        <row r="117">
          <cell r="CN117" t="str">
            <v/>
          </cell>
          <cell r="CO117" t="str">
            <v/>
          </cell>
          <cell r="CP117" t="str">
            <v/>
          </cell>
          <cell r="CQ117" t="str">
            <v/>
          </cell>
          <cell r="CR117" t="str">
            <v/>
          </cell>
          <cell r="CS117" t="str">
            <v/>
          </cell>
          <cell r="CT117" t="str">
            <v/>
          </cell>
          <cell r="CU117" t="str">
            <v/>
          </cell>
          <cell r="CV117" t="str">
            <v/>
          </cell>
          <cell r="CW117" t="str">
            <v/>
          </cell>
        </row>
        <row r="118">
          <cell r="CN118" t="str">
            <v/>
          </cell>
          <cell r="CO118" t="str">
            <v/>
          </cell>
          <cell r="CP118" t="str">
            <v/>
          </cell>
          <cell r="CQ118" t="str">
            <v/>
          </cell>
          <cell r="CR118" t="str">
            <v/>
          </cell>
          <cell r="CS118" t="str">
            <v/>
          </cell>
          <cell r="CT118" t="str">
            <v/>
          </cell>
          <cell r="CU118" t="str">
            <v/>
          </cell>
          <cell r="CV118" t="str">
            <v/>
          </cell>
          <cell r="CW118" t="str">
            <v/>
          </cell>
        </row>
        <row r="119">
          <cell r="CN119" t="str">
            <v/>
          </cell>
          <cell r="CO119" t="str">
            <v/>
          </cell>
          <cell r="CP119" t="str">
            <v/>
          </cell>
          <cell r="CQ119" t="str">
            <v/>
          </cell>
          <cell r="CR119" t="str">
            <v/>
          </cell>
          <cell r="CS119" t="str">
            <v/>
          </cell>
          <cell r="CT119" t="str">
            <v/>
          </cell>
          <cell r="CU119" t="str">
            <v/>
          </cell>
          <cell r="CV119" t="str">
            <v/>
          </cell>
          <cell r="CW119" t="str">
            <v/>
          </cell>
        </row>
        <row r="120">
          <cell r="CN120" t="str">
            <v/>
          </cell>
          <cell r="CO120" t="str">
            <v/>
          </cell>
          <cell r="CP120" t="str">
            <v/>
          </cell>
          <cell r="CQ120" t="str">
            <v/>
          </cell>
          <cell r="CR120" t="str">
            <v/>
          </cell>
          <cell r="CS120" t="str">
            <v/>
          </cell>
          <cell r="CT120" t="str">
            <v/>
          </cell>
          <cell r="CU120" t="str">
            <v/>
          </cell>
          <cell r="CV120" t="str">
            <v/>
          </cell>
          <cell r="CW120" t="str">
            <v/>
          </cell>
        </row>
        <row r="121">
          <cell r="CN121" t="str">
            <v/>
          </cell>
          <cell r="CO121" t="str">
            <v/>
          </cell>
          <cell r="CP121" t="str">
            <v/>
          </cell>
          <cell r="CQ121" t="str">
            <v/>
          </cell>
          <cell r="CR121" t="str">
            <v/>
          </cell>
          <cell r="CS121" t="str">
            <v/>
          </cell>
          <cell r="CT121" t="str">
            <v/>
          </cell>
          <cell r="CU121" t="str">
            <v/>
          </cell>
          <cell r="CV121" t="str">
            <v/>
          </cell>
          <cell r="CW121" t="str">
            <v/>
          </cell>
        </row>
        <row r="122">
          <cell r="CN122" t="str">
            <v/>
          </cell>
          <cell r="CO122" t="str">
            <v/>
          </cell>
          <cell r="CP122" t="str">
            <v/>
          </cell>
          <cell r="CQ122" t="str">
            <v/>
          </cell>
          <cell r="CR122" t="str">
            <v/>
          </cell>
          <cell r="CS122" t="str">
            <v/>
          </cell>
          <cell r="CT122" t="str">
            <v/>
          </cell>
          <cell r="CU122" t="str">
            <v/>
          </cell>
          <cell r="CV122" t="str">
            <v/>
          </cell>
          <cell r="CW122" t="str">
            <v/>
          </cell>
        </row>
        <row r="123">
          <cell r="CN123" t="str">
            <v/>
          </cell>
          <cell r="CO123" t="str">
            <v/>
          </cell>
          <cell r="CP123" t="str">
            <v/>
          </cell>
          <cell r="CQ123" t="str">
            <v/>
          </cell>
          <cell r="CR123" t="str">
            <v/>
          </cell>
          <cell r="CS123" t="str">
            <v/>
          </cell>
          <cell r="CT123" t="str">
            <v/>
          </cell>
          <cell r="CU123" t="str">
            <v/>
          </cell>
          <cell r="CV123" t="str">
            <v/>
          </cell>
          <cell r="CW123" t="str">
            <v/>
          </cell>
        </row>
        <row r="124">
          <cell r="CN124" t="str">
            <v/>
          </cell>
          <cell r="CO124" t="str">
            <v/>
          </cell>
          <cell r="CP124" t="str">
            <v/>
          </cell>
          <cell r="CQ124" t="str">
            <v/>
          </cell>
          <cell r="CR124" t="str">
            <v/>
          </cell>
          <cell r="CS124" t="str">
            <v/>
          </cell>
          <cell r="CT124" t="str">
            <v/>
          </cell>
          <cell r="CU124" t="str">
            <v/>
          </cell>
          <cell r="CV124" t="str">
            <v/>
          </cell>
          <cell r="CW124" t="str">
            <v/>
          </cell>
        </row>
        <row r="125">
          <cell r="CN125" t="str">
            <v/>
          </cell>
          <cell r="CO125" t="str">
            <v/>
          </cell>
          <cell r="CP125" t="str">
            <v/>
          </cell>
          <cell r="CQ125" t="str">
            <v/>
          </cell>
          <cell r="CR125" t="str">
            <v/>
          </cell>
          <cell r="CS125" t="str">
            <v/>
          </cell>
          <cell r="CT125" t="str">
            <v/>
          </cell>
          <cell r="CU125" t="str">
            <v/>
          </cell>
          <cell r="CV125" t="str">
            <v/>
          </cell>
          <cell r="CW125" t="str">
            <v/>
          </cell>
        </row>
        <row r="126">
          <cell r="CN126" t="str">
            <v/>
          </cell>
          <cell r="CO126" t="str">
            <v/>
          </cell>
          <cell r="CP126" t="str">
            <v/>
          </cell>
          <cell r="CQ126" t="str">
            <v/>
          </cell>
          <cell r="CR126" t="str">
            <v/>
          </cell>
          <cell r="CS126" t="str">
            <v/>
          </cell>
          <cell r="CT126" t="str">
            <v/>
          </cell>
          <cell r="CU126" t="str">
            <v/>
          </cell>
          <cell r="CV126" t="str">
            <v/>
          </cell>
          <cell r="CW126" t="str">
            <v/>
          </cell>
        </row>
        <row r="127">
          <cell r="CN127" t="str">
            <v/>
          </cell>
          <cell r="CO127" t="str">
            <v/>
          </cell>
          <cell r="CP127" t="str">
            <v/>
          </cell>
          <cell r="CQ127" t="str">
            <v/>
          </cell>
          <cell r="CR127" t="str">
            <v/>
          </cell>
          <cell r="CS127" t="str">
            <v/>
          </cell>
          <cell r="CT127" t="str">
            <v/>
          </cell>
          <cell r="CU127" t="str">
            <v/>
          </cell>
          <cell r="CV127" t="str">
            <v/>
          </cell>
          <cell r="CW127" t="str">
            <v/>
          </cell>
        </row>
        <row r="128">
          <cell r="CN128" t="str">
            <v/>
          </cell>
          <cell r="CO128" t="str">
            <v/>
          </cell>
          <cell r="CP128" t="str">
            <v/>
          </cell>
          <cell r="CQ128" t="str">
            <v/>
          </cell>
          <cell r="CR128" t="str">
            <v/>
          </cell>
          <cell r="CS128" t="str">
            <v/>
          </cell>
          <cell r="CT128" t="str">
            <v/>
          </cell>
          <cell r="CU128" t="str">
            <v/>
          </cell>
          <cell r="CV128" t="str">
            <v/>
          </cell>
          <cell r="CW128" t="str">
            <v/>
          </cell>
        </row>
        <row r="129">
          <cell r="CN129" t="str">
            <v/>
          </cell>
          <cell r="CO129" t="str">
            <v/>
          </cell>
          <cell r="CP129" t="str">
            <v/>
          </cell>
          <cell r="CQ129" t="str">
            <v/>
          </cell>
          <cell r="CR129" t="str">
            <v/>
          </cell>
          <cell r="CS129" t="str">
            <v/>
          </cell>
          <cell r="CT129" t="str">
            <v/>
          </cell>
          <cell r="CU129" t="str">
            <v/>
          </cell>
          <cell r="CV129" t="str">
            <v/>
          </cell>
          <cell r="CW129" t="str">
            <v/>
          </cell>
        </row>
        <row r="130">
          <cell r="CN130" t="str">
            <v/>
          </cell>
          <cell r="CO130" t="str">
            <v/>
          </cell>
          <cell r="CP130" t="str">
            <v/>
          </cell>
          <cell r="CQ130" t="str">
            <v/>
          </cell>
          <cell r="CR130" t="str">
            <v/>
          </cell>
          <cell r="CS130" t="str">
            <v/>
          </cell>
          <cell r="CT130" t="str">
            <v/>
          </cell>
          <cell r="CU130" t="str">
            <v/>
          </cell>
          <cell r="CV130" t="str">
            <v/>
          </cell>
          <cell r="CW130" t="str">
            <v/>
          </cell>
        </row>
        <row r="131">
          <cell r="CN131" t="str">
            <v/>
          </cell>
          <cell r="CO131" t="str">
            <v/>
          </cell>
          <cell r="CP131" t="str">
            <v/>
          </cell>
          <cell r="CQ131" t="str">
            <v/>
          </cell>
          <cell r="CR131" t="str">
            <v/>
          </cell>
          <cell r="CS131" t="str">
            <v/>
          </cell>
          <cell r="CT131" t="str">
            <v/>
          </cell>
          <cell r="CU131" t="str">
            <v/>
          </cell>
          <cell r="CV131" t="str">
            <v/>
          </cell>
          <cell r="CW131" t="str">
            <v/>
          </cell>
        </row>
        <row r="132">
          <cell r="CN132" t="str">
            <v/>
          </cell>
          <cell r="CO132" t="str">
            <v/>
          </cell>
          <cell r="CP132" t="str">
            <v/>
          </cell>
          <cell r="CQ132" t="str">
            <v/>
          </cell>
          <cell r="CR132" t="str">
            <v/>
          </cell>
          <cell r="CS132" t="str">
            <v/>
          </cell>
          <cell r="CT132" t="str">
            <v/>
          </cell>
          <cell r="CU132" t="str">
            <v/>
          </cell>
          <cell r="CV132" t="str">
            <v/>
          </cell>
          <cell r="CW132" t="str">
            <v/>
          </cell>
        </row>
        <row r="133">
          <cell r="CN133" t="str">
            <v/>
          </cell>
          <cell r="CO133" t="str">
            <v/>
          </cell>
          <cell r="CP133" t="str">
            <v/>
          </cell>
          <cell r="CQ133" t="str">
            <v/>
          </cell>
          <cell r="CR133" t="str">
            <v/>
          </cell>
          <cell r="CS133" t="str">
            <v/>
          </cell>
          <cell r="CT133" t="str">
            <v/>
          </cell>
          <cell r="CU133" t="str">
            <v/>
          </cell>
          <cell r="CV133" t="str">
            <v/>
          </cell>
          <cell r="CW133" t="str">
            <v/>
          </cell>
        </row>
        <row r="134">
          <cell r="CN134" t="str">
            <v/>
          </cell>
          <cell r="CO134" t="str">
            <v/>
          </cell>
          <cell r="CP134" t="str">
            <v/>
          </cell>
          <cell r="CQ134" t="str">
            <v/>
          </cell>
          <cell r="CR134" t="str">
            <v/>
          </cell>
          <cell r="CS134" t="str">
            <v/>
          </cell>
          <cell r="CT134" t="str">
            <v/>
          </cell>
          <cell r="CU134" t="str">
            <v/>
          </cell>
          <cell r="CV134" t="str">
            <v/>
          </cell>
          <cell r="CW134" t="str">
            <v/>
          </cell>
        </row>
        <row r="135">
          <cell r="CN135" t="str">
            <v/>
          </cell>
          <cell r="CO135" t="str">
            <v/>
          </cell>
          <cell r="CP135" t="str">
            <v/>
          </cell>
          <cell r="CQ135" t="str">
            <v/>
          </cell>
          <cell r="CR135" t="str">
            <v/>
          </cell>
          <cell r="CS135" t="str">
            <v/>
          </cell>
          <cell r="CT135" t="str">
            <v/>
          </cell>
          <cell r="CU135" t="str">
            <v/>
          </cell>
          <cell r="CV135" t="str">
            <v/>
          </cell>
          <cell r="CW135" t="str">
            <v/>
          </cell>
        </row>
        <row r="136">
          <cell r="CN136" t="str">
            <v/>
          </cell>
          <cell r="CO136" t="str">
            <v/>
          </cell>
          <cell r="CP136" t="str">
            <v/>
          </cell>
          <cell r="CQ136" t="str">
            <v/>
          </cell>
          <cell r="CR136" t="str">
            <v/>
          </cell>
          <cell r="CS136" t="str">
            <v/>
          </cell>
          <cell r="CT136" t="str">
            <v/>
          </cell>
          <cell r="CU136" t="str">
            <v/>
          </cell>
          <cell r="CV136" t="str">
            <v/>
          </cell>
          <cell r="CW136" t="str">
            <v/>
          </cell>
        </row>
        <row r="137">
          <cell r="CN137" t="str">
            <v/>
          </cell>
          <cell r="CO137" t="str">
            <v/>
          </cell>
          <cell r="CP137" t="str">
            <v/>
          </cell>
          <cell r="CQ137" t="str">
            <v/>
          </cell>
          <cell r="CR137" t="str">
            <v/>
          </cell>
          <cell r="CS137" t="str">
            <v/>
          </cell>
          <cell r="CT137" t="str">
            <v/>
          </cell>
          <cell r="CU137" t="str">
            <v/>
          </cell>
          <cell r="CV137" t="str">
            <v/>
          </cell>
          <cell r="CW137" t="str">
            <v/>
          </cell>
        </row>
        <row r="138">
          <cell r="CN138" t="str">
            <v/>
          </cell>
          <cell r="CO138" t="str">
            <v/>
          </cell>
          <cell r="CP138" t="str">
            <v/>
          </cell>
          <cell r="CQ138" t="str">
            <v/>
          </cell>
          <cell r="CR138" t="str">
            <v/>
          </cell>
          <cell r="CS138" t="str">
            <v/>
          </cell>
          <cell r="CT138" t="str">
            <v/>
          </cell>
          <cell r="CU138" t="str">
            <v/>
          </cell>
          <cell r="CV138" t="str">
            <v/>
          </cell>
          <cell r="CW138" t="str">
            <v/>
          </cell>
        </row>
        <row r="139">
          <cell r="CN139" t="str">
            <v/>
          </cell>
          <cell r="CO139" t="str">
            <v/>
          </cell>
          <cell r="CP139" t="str">
            <v/>
          </cell>
          <cell r="CQ139" t="str">
            <v/>
          </cell>
          <cell r="CR139" t="str">
            <v/>
          </cell>
          <cell r="CS139" t="str">
            <v/>
          </cell>
          <cell r="CT139" t="str">
            <v/>
          </cell>
          <cell r="CU139" t="str">
            <v/>
          </cell>
          <cell r="CV139" t="str">
            <v/>
          </cell>
          <cell r="CW139" t="str">
            <v/>
          </cell>
        </row>
        <row r="140">
          <cell r="CN140" t="str">
            <v/>
          </cell>
          <cell r="CO140" t="str">
            <v/>
          </cell>
          <cell r="CP140" t="str">
            <v/>
          </cell>
          <cell r="CQ140" t="str">
            <v/>
          </cell>
          <cell r="CR140" t="str">
            <v/>
          </cell>
          <cell r="CS140" t="str">
            <v/>
          </cell>
          <cell r="CT140" t="str">
            <v/>
          </cell>
          <cell r="CU140" t="str">
            <v/>
          </cell>
          <cell r="CV140" t="str">
            <v/>
          </cell>
          <cell r="CW140" t="str">
            <v/>
          </cell>
        </row>
        <row r="141">
          <cell r="CN141" t="str">
            <v/>
          </cell>
          <cell r="CO141" t="str">
            <v/>
          </cell>
          <cell r="CP141" t="str">
            <v/>
          </cell>
          <cell r="CQ141" t="str">
            <v/>
          </cell>
          <cell r="CR141" t="str">
            <v/>
          </cell>
          <cell r="CS141" t="str">
            <v/>
          </cell>
          <cell r="CT141" t="str">
            <v/>
          </cell>
          <cell r="CU141" t="str">
            <v/>
          </cell>
          <cell r="CV141" t="str">
            <v/>
          </cell>
          <cell r="CW141" t="str">
            <v/>
          </cell>
        </row>
        <row r="142">
          <cell r="CN142" t="str">
            <v/>
          </cell>
          <cell r="CO142" t="str">
            <v/>
          </cell>
          <cell r="CP142" t="str">
            <v/>
          </cell>
          <cell r="CQ142" t="str">
            <v/>
          </cell>
          <cell r="CR142" t="str">
            <v/>
          </cell>
          <cell r="CS142" t="str">
            <v/>
          </cell>
          <cell r="CT142" t="str">
            <v/>
          </cell>
          <cell r="CU142" t="str">
            <v/>
          </cell>
          <cell r="CV142" t="str">
            <v/>
          </cell>
          <cell r="CW142" t="str">
            <v/>
          </cell>
        </row>
        <row r="143">
          <cell r="CN143" t="str">
            <v/>
          </cell>
          <cell r="CO143" t="str">
            <v/>
          </cell>
          <cell r="CP143" t="str">
            <v/>
          </cell>
          <cell r="CQ143" t="str">
            <v/>
          </cell>
          <cell r="CR143" t="str">
            <v/>
          </cell>
          <cell r="CS143" t="str">
            <v/>
          </cell>
          <cell r="CT143" t="str">
            <v/>
          </cell>
          <cell r="CU143" t="str">
            <v/>
          </cell>
          <cell r="CV143" t="str">
            <v/>
          </cell>
          <cell r="CW143" t="str">
            <v/>
          </cell>
        </row>
        <row r="144">
          <cell r="CN144" t="str">
            <v/>
          </cell>
          <cell r="CO144" t="str">
            <v/>
          </cell>
          <cell r="CP144" t="str">
            <v/>
          </cell>
          <cell r="CQ144" t="str">
            <v/>
          </cell>
          <cell r="CR144" t="str">
            <v/>
          </cell>
          <cell r="CS144" t="str">
            <v/>
          </cell>
          <cell r="CT144" t="str">
            <v/>
          </cell>
          <cell r="CU144" t="str">
            <v/>
          </cell>
          <cell r="CV144" t="str">
            <v/>
          </cell>
          <cell r="CW144" t="str">
            <v/>
          </cell>
        </row>
        <row r="145">
          <cell r="CN145" t="str">
            <v/>
          </cell>
          <cell r="CO145" t="str">
            <v/>
          </cell>
          <cell r="CP145" t="str">
            <v/>
          </cell>
          <cell r="CQ145" t="str">
            <v/>
          </cell>
          <cell r="CR145" t="str">
            <v/>
          </cell>
          <cell r="CS145" t="str">
            <v/>
          </cell>
          <cell r="CT145" t="str">
            <v/>
          </cell>
          <cell r="CU145" t="str">
            <v/>
          </cell>
          <cell r="CV145" t="str">
            <v/>
          </cell>
          <cell r="CW145" t="str">
            <v/>
          </cell>
        </row>
        <row r="146">
          <cell r="CN146" t="str">
            <v/>
          </cell>
          <cell r="CO146" t="str">
            <v/>
          </cell>
          <cell r="CP146" t="str">
            <v/>
          </cell>
          <cell r="CQ146" t="str">
            <v/>
          </cell>
          <cell r="CR146" t="str">
            <v/>
          </cell>
          <cell r="CS146" t="str">
            <v/>
          </cell>
          <cell r="CT146" t="str">
            <v/>
          </cell>
          <cell r="CU146" t="str">
            <v/>
          </cell>
          <cell r="CV146" t="str">
            <v/>
          </cell>
          <cell r="CW146" t="str">
            <v/>
          </cell>
        </row>
        <row r="147">
          <cell r="CN147" t="str">
            <v/>
          </cell>
          <cell r="CO147" t="str">
            <v/>
          </cell>
          <cell r="CP147" t="str">
            <v/>
          </cell>
          <cell r="CQ147" t="str">
            <v/>
          </cell>
          <cell r="CR147" t="str">
            <v/>
          </cell>
          <cell r="CS147" t="str">
            <v/>
          </cell>
          <cell r="CT147" t="str">
            <v/>
          </cell>
          <cell r="CU147" t="str">
            <v/>
          </cell>
          <cell r="CV147" t="str">
            <v/>
          </cell>
          <cell r="CW147" t="str">
            <v/>
          </cell>
        </row>
        <row r="148">
          <cell r="CN148" t="str">
            <v/>
          </cell>
          <cell r="CO148" t="str">
            <v/>
          </cell>
          <cell r="CP148" t="str">
            <v/>
          </cell>
          <cell r="CQ148" t="str">
            <v/>
          </cell>
          <cell r="CR148" t="str">
            <v/>
          </cell>
          <cell r="CS148" t="str">
            <v/>
          </cell>
          <cell r="CT148" t="str">
            <v/>
          </cell>
          <cell r="CU148" t="str">
            <v/>
          </cell>
          <cell r="CV148" t="str">
            <v/>
          </cell>
          <cell r="CW148" t="str">
            <v/>
          </cell>
        </row>
        <row r="149">
          <cell r="CN149" t="str">
            <v/>
          </cell>
          <cell r="CO149" t="str">
            <v/>
          </cell>
          <cell r="CP149" t="str">
            <v/>
          </cell>
          <cell r="CQ149" t="str">
            <v/>
          </cell>
          <cell r="CR149" t="str">
            <v/>
          </cell>
          <cell r="CS149" t="str">
            <v/>
          </cell>
          <cell r="CT149" t="str">
            <v/>
          </cell>
          <cell r="CU149" t="str">
            <v/>
          </cell>
          <cell r="CV149" t="str">
            <v/>
          </cell>
          <cell r="CW149" t="str">
            <v/>
          </cell>
        </row>
        <row r="150">
          <cell r="CN150" t="str">
            <v/>
          </cell>
          <cell r="CO150" t="str">
            <v/>
          </cell>
          <cell r="CP150" t="str">
            <v/>
          </cell>
          <cell r="CQ150" t="str">
            <v/>
          </cell>
          <cell r="CR150" t="str">
            <v/>
          </cell>
          <cell r="CS150" t="str">
            <v/>
          </cell>
          <cell r="CT150" t="str">
            <v/>
          </cell>
          <cell r="CU150" t="str">
            <v/>
          </cell>
          <cell r="CV150" t="str">
            <v/>
          </cell>
          <cell r="CW150" t="str">
            <v/>
          </cell>
        </row>
        <row r="151">
          <cell r="CN151" t="str">
            <v/>
          </cell>
          <cell r="CO151" t="str">
            <v/>
          </cell>
          <cell r="CP151" t="str">
            <v/>
          </cell>
          <cell r="CQ151" t="str">
            <v/>
          </cell>
          <cell r="CR151" t="str">
            <v/>
          </cell>
          <cell r="CS151" t="str">
            <v/>
          </cell>
          <cell r="CT151" t="str">
            <v/>
          </cell>
          <cell r="CU151" t="str">
            <v/>
          </cell>
          <cell r="CV151" t="str">
            <v/>
          </cell>
          <cell r="CW151" t="str">
            <v/>
          </cell>
        </row>
        <row r="152">
          <cell r="CN152" t="str">
            <v/>
          </cell>
          <cell r="CO152" t="str">
            <v/>
          </cell>
          <cell r="CP152" t="str">
            <v/>
          </cell>
          <cell r="CQ152" t="str">
            <v/>
          </cell>
          <cell r="CR152" t="str">
            <v/>
          </cell>
          <cell r="CS152" t="str">
            <v/>
          </cell>
          <cell r="CT152" t="str">
            <v/>
          </cell>
          <cell r="CU152" t="str">
            <v/>
          </cell>
          <cell r="CV152" t="str">
            <v/>
          </cell>
          <cell r="CW152" t="str">
            <v/>
          </cell>
        </row>
        <row r="153">
          <cell r="CN153" t="str">
            <v/>
          </cell>
          <cell r="CO153" t="str">
            <v/>
          </cell>
          <cell r="CP153" t="str">
            <v/>
          </cell>
          <cell r="CQ153" t="str">
            <v/>
          </cell>
          <cell r="CR153" t="str">
            <v/>
          </cell>
          <cell r="CS153" t="str">
            <v/>
          </cell>
          <cell r="CT153" t="str">
            <v/>
          </cell>
          <cell r="CU153" t="str">
            <v/>
          </cell>
          <cell r="CV153" t="str">
            <v/>
          </cell>
          <cell r="CW153" t="str">
            <v/>
          </cell>
        </row>
        <row r="154">
          <cell r="CN154" t="str">
            <v/>
          </cell>
          <cell r="CO154" t="str">
            <v/>
          </cell>
          <cell r="CP154" t="str">
            <v/>
          </cell>
          <cell r="CQ154" t="str">
            <v/>
          </cell>
          <cell r="CR154" t="str">
            <v/>
          </cell>
          <cell r="CS154" t="str">
            <v/>
          </cell>
          <cell r="CT154" t="str">
            <v/>
          </cell>
          <cell r="CU154" t="str">
            <v/>
          </cell>
          <cell r="CV154" t="str">
            <v/>
          </cell>
          <cell r="CW154" t="str">
            <v/>
          </cell>
        </row>
        <row r="155">
          <cell r="CN155" t="str">
            <v/>
          </cell>
          <cell r="CO155" t="str">
            <v/>
          </cell>
          <cell r="CP155" t="str">
            <v/>
          </cell>
          <cell r="CQ155" t="str">
            <v/>
          </cell>
          <cell r="CR155" t="str">
            <v/>
          </cell>
          <cell r="CS155" t="str">
            <v/>
          </cell>
          <cell r="CT155" t="str">
            <v/>
          </cell>
          <cell r="CU155" t="str">
            <v/>
          </cell>
          <cell r="CV155" t="str">
            <v/>
          </cell>
          <cell r="CW155" t="str">
            <v/>
          </cell>
        </row>
        <row r="156">
          <cell r="CN156" t="str">
            <v/>
          </cell>
          <cell r="CO156" t="str">
            <v/>
          </cell>
          <cell r="CP156" t="str">
            <v/>
          </cell>
          <cell r="CQ156" t="str">
            <v/>
          </cell>
          <cell r="CR156" t="str">
            <v/>
          </cell>
          <cell r="CS156" t="str">
            <v/>
          </cell>
          <cell r="CT156" t="str">
            <v/>
          </cell>
          <cell r="CU156" t="str">
            <v/>
          </cell>
          <cell r="CV156" t="str">
            <v/>
          </cell>
          <cell r="CW156" t="str">
            <v/>
          </cell>
        </row>
        <row r="157">
          <cell r="CN157" t="str">
            <v/>
          </cell>
          <cell r="CO157" t="str">
            <v/>
          </cell>
          <cell r="CP157" t="str">
            <v/>
          </cell>
          <cell r="CQ157" t="str">
            <v/>
          </cell>
          <cell r="CR157" t="str">
            <v/>
          </cell>
          <cell r="CS157" t="str">
            <v/>
          </cell>
          <cell r="CT157" t="str">
            <v/>
          </cell>
          <cell r="CU157" t="str">
            <v/>
          </cell>
          <cell r="CV157" t="str">
            <v/>
          </cell>
          <cell r="CW157" t="str">
            <v/>
          </cell>
        </row>
        <row r="158">
          <cell r="CN158" t="str">
            <v/>
          </cell>
          <cell r="CO158" t="str">
            <v/>
          </cell>
          <cell r="CP158" t="str">
            <v/>
          </cell>
          <cell r="CQ158" t="str">
            <v/>
          </cell>
          <cell r="CR158" t="str">
            <v/>
          </cell>
          <cell r="CS158" t="str">
            <v/>
          </cell>
          <cell r="CT158" t="str">
            <v/>
          </cell>
          <cell r="CU158" t="str">
            <v/>
          </cell>
          <cell r="CV158" t="str">
            <v/>
          </cell>
          <cell r="CW158" t="str">
            <v/>
          </cell>
        </row>
        <row r="159">
          <cell r="CN159" t="str">
            <v/>
          </cell>
          <cell r="CO159" t="str">
            <v/>
          </cell>
          <cell r="CP159" t="str">
            <v/>
          </cell>
          <cell r="CQ159" t="str">
            <v/>
          </cell>
          <cell r="CR159" t="str">
            <v/>
          </cell>
          <cell r="CS159" t="str">
            <v/>
          </cell>
          <cell r="CT159" t="str">
            <v/>
          </cell>
          <cell r="CU159" t="str">
            <v/>
          </cell>
          <cell r="CV159" t="str">
            <v/>
          </cell>
          <cell r="CW159" t="str">
            <v/>
          </cell>
        </row>
        <row r="160">
          <cell r="CN160" t="str">
            <v/>
          </cell>
          <cell r="CO160" t="str">
            <v/>
          </cell>
          <cell r="CP160" t="str">
            <v/>
          </cell>
          <cell r="CQ160" t="str">
            <v/>
          </cell>
          <cell r="CR160" t="str">
            <v/>
          </cell>
          <cell r="CS160" t="str">
            <v/>
          </cell>
          <cell r="CT160" t="str">
            <v/>
          </cell>
          <cell r="CU160" t="str">
            <v/>
          </cell>
          <cell r="CV160" t="str">
            <v/>
          </cell>
          <cell r="CW160" t="str">
            <v/>
          </cell>
        </row>
        <row r="161">
          <cell r="CN161" t="str">
            <v/>
          </cell>
          <cell r="CO161" t="str">
            <v/>
          </cell>
          <cell r="CP161" t="str">
            <v/>
          </cell>
          <cell r="CQ161" t="str">
            <v/>
          </cell>
          <cell r="CR161" t="str">
            <v/>
          </cell>
          <cell r="CS161" t="str">
            <v/>
          </cell>
          <cell r="CT161" t="str">
            <v/>
          </cell>
          <cell r="CU161" t="str">
            <v/>
          </cell>
          <cell r="CV161" t="str">
            <v/>
          </cell>
          <cell r="CW161" t="str">
            <v/>
          </cell>
        </row>
        <row r="162">
          <cell r="CN162" t="str">
            <v/>
          </cell>
          <cell r="CO162" t="str">
            <v/>
          </cell>
          <cell r="CP162" t="str">
            <v/>
          </cell>
          <cell r="CQ162" t="str">
            <v/>
          </cell>
          <cell r="CR162" t="str">
            <v/>
          </cell>
          <cell r="CS162" t="str">
            <v/>
          </cell>
          <cell r="CT162" t="str">
            <v/>
          </cell>
          <cell r="CU162" t="str">
            <v/>
          </cell>
          <cell r="CV162" t="str">
            <v/>
          </cell>
          <cell r="CW162" t="str">
            <v/>
          </cell>
        </row>
        <row r="163">
          <cell r="CN163" t="str">
            <v/>
          </cell>
          <cell r="CO163" t="str">
            <v/>
          </cell>
          <cell r="CP163" t="str">
            <v/>
          </cell>
          <cell r="CQ163" t="str">
            <v/>
          </cell>
          <cell r="CR163" t="str">
            <v/>
          </cell>
          <cell r="CS163" t="str">
            <v/>
          </cell>
          <cell r="CT163" t="str">
            <v/>
          </cell>
          <cell r="CU163" t="str">
            <v/>
          </cell>
          <cell r="CV163" t="str">
            <v/>
          </cell>
          <cell r="CW163" t="str">
            <v/>
          </cell>
        </row>
        <row r="164">
          <cell r="CN164" t="str">
            <v/>
          </cell>
          <cell r="CO164" t="str">
            <v/>
          </cell>
          <cell r="CP164" t="str">
            <v/>
          </cell>
          <cell r="CQ164" t="str">
            <v/>
          </cell>
          <cell r="CR164" t="str">
            <v/>
          </cell>
          <cell r="CS164" t="str">
            <v/>
          </cell>
          <cell r="CT164" t="str">
            <v/>
          </cell>
          <cell r="CU164" t="str">
            <v/>
          </cell>
          <cell r="CV164" t="str">
            <v/>
          </cell>
          <cell r="CW164" t="str">
            <v/>
          </cell>
        </row>
        <row r="165">
          <cell r="CN165" t="str">
            <v/>
          </cell>
          <cell r="CO165" t="str">
            <v/>
          </cell>
          <cell r="CP165" t="str">
            <v/>
          </cell>
          <cell r="CQ165" t="str">
            <v/>
          </cell>
          <cell r="CR165" t="str">
            <v/>
          </cell>
          <cell r="CS165" t="str">
            <v/>
          </cell>
          <cell r="CT165" t="str">
            <v/>
          </cell>
          <cell r="CU165" t="str">
            <v/>
          </cell>
          <cell r="CV165" t="str">
            <v/>
          </cell>
          <cell r="CW165" t="str">
            <v/>
          </cell>
        </row>
        <row r="166">
          <cell r="CN166" t="str">
            <v/>
          </cell>
          <cell r="CO166" t="str">
            <v/>
          </cell>
          <cell r="CP166" t="str">
            <v/>
          </cell>
          <cell r="CQ166" t="str">
            <v/>
          </cell>
          <cell r="CR166" t="str">
            <v/>
          </cell>
          <cell r="CS166" t="str">
            <v/>
          </cell>
          <cell r="CT166" t="str">
            <v/>
          </cell>
          <cell r="CU166" t="str">
            <v/>
          </cell>
          <cell r="CV166" t="str">
            <v/>
          </cell>
          <cell r="CW166" t="str">
            <v/>
          </cell>
        </row>
        <row r="167">
          <cell r="CN167" t="str">
            <v/>
          </cell>
          <cell r="CO167" t="str">
            <v/>
          </cell>
          <cell r="CP167" t="str">
            <v/>
          </cell>
          <cell r="CQ167" t="str">
            <v/>
          </cell>
          <cell r="CR167" t="str">
            <v/>
          </cell>
          <cell r="CS167" t="str">
            <v/>
          </cell>
          <cell r="CT167" t="str">
            <v/>
          </cell>
          <cell r="CU167" t="str">
            <v/>
          </cell>
          <cell r="CV167" t="str">
            <v/>
          </cell>
          <cell r="CW167" t="str">
            <v/>
          </cell>
        </row>
        <row r="168">
          <cell r="CN168" t="str">
            <v/>
          </cell>
          <cell r="CO168" t="str">
            <v/>
          </cell>
          <cell r="CP168" t="str">
            <v/>
          </cell>
          <cell r="CQ168" t="str">
            <v/>
          </cell>
          <cell r="CR168" t="str">
            <v/>
          </cell>
          <cell r="CS168" t="str">
            <v/>
          </cell>
          <cell r="CT168" t="str">
            <v/>
          </cell>
          <cell r="CU168" t="str">
            <v/>
          </cell>
          <cell r="CV168" t="str">
            <v/>
          </cell>
          <cell r="CW168" t="str">
            <v/>
          </cell>
        </row>
        <row r="169">
          <cell r="CN169" t="str">
            <v/>
          </cell>
          <cell r="CO169" t="str">
            <v/>
          </cell>
          <cell r="CP169" t="str">
            <v/>
          </cell>
          <cell r="CQ169" t="str">
            <v/>
          </cell>
          <cell r="CR169" t="str">
            <v/>
          </cell>
          <cell r="CS169" t="str">
            <v/>
          </cell>
          <cell r="CT169" t="str">
            <v/>
          </cell>
          <cell r="CU169" t="str">
            <v/>
          </cell>
          <cell r="CV169" t="str">
            <v/>
          </cell>
          <cell r="CW169" t="str">
            <v/>
          </cell>
        </row>
        <row r="170">
          <cell r="CN170" t="str">
            <v/>
          </cell>
          <cell r="CO170" t="str">
            <v/>
          </cell>
          <cell r="CP170" t="str">
            <v/>
          </cell>
          <cell r="CQ170" t="str">
            <v/>
          </cell>
          <cell r="CR170" t="str">
            <v/>
          </cell>
          <cell r="CS170" t="str">
            <v/>
          </cell>
          <cell r="CT170" t="str">
            <v/>
          </cell>
          <cell r="CU170" t="str">
            <v/>
          </cell>
          <cell r="CV170" t="str">
            <v/>
          </cell>
          <cell r="CW170" t="str">
            <v/>
          </cell>
        </row>
        <row r="171">
          <cell r="CN171" t="str">
            <v/>
          </cell>
          <cell r="CO171" t="str">
            <v/>
          </cell>
          <cell r="CP171" t="str">
            <v/>
          </cell>
          <cell r="CQ171" t="str">
            <v/>
          </cell>
          <cell r="CR171" t="str">
            <v/>
          </cell>
          <cell r="CS171" t="str">
            <v/>
          </cell>
          <cell r="CT171" t="str">
            <v/>
          </cell>
          <cell r="CU171" t="str">
            <v/>
          </cell>
          <cell r="CV171" t="str">
            <v/>
          </cell>
          <cell r="CW171" t="str">
            <v/>
          </cell>
        </row>
        <row r="172">
          <cell r="CN172" t="str">
            <v/>
          </cell>
          <cell r="CO172" t="str">
            <v/>
          </cell>
          <cell r="CP172" t="str">
            <v/>
          </cell>
          <cell r="CQ172" t="str">
            <v/>
          </cell>
          <cell r="CR172" t="str">
            <v/>
          </cell>
          <cell r="CS172" t="str">
            <v/>
          </cell>
          <cell r="CT172" t="str">
            <v/>
          </cell>
          <cell r="CU172" t="str">
            <v/>
          </cell>
          <cell r="CV172" t="str">
            <v/>
          </cell>
          <cell r="CW172" t="str">
            <v/>
          </cell>
        </row>
        <row r="173">
          <cell r="CN173" t="str">
            <v/>
          </cell>
          <cell r="CO173" t="str">
            <v/>
          </cell>
          <cell r="CP173" t="str">
            <v/>
          </cell>
          <cell r="CQ173" t="str">
            <v/>
          </cell>
          <cell r="CR173" t="str">
            <v/>
          </cell>
          <cell r="CS173" t="str">
            <v/>
          </cell>
          <cell r="CT173" t="str">
            <v/>
          </cell>
          <cell r="CU173" t="str">
            <v/>
          </cell>
          <cell r="CV173" t="str">
            <v/>
          </cell>
          <cell r="CW173" t="str">
            <v/>
          </cell>
        </row>
        <row r="174">
          <cell r="CN174" t="str">
            <v/>
          </cell>
          <cell r="CO174" t="str">
            <v/>
          </cell>
          <cell r="CP174" t="str">
            <v/>
          </cell>
          <cell r="CQ174" t="str">
            <v/>
          </cell>
          <cell r="CR174" t="str">
            <v/>
          </cell>
          <cell r="CS174" t="str">
            <v/>
          </cell>
          <cell r="CT174" t="str">
            <v/>
          </cell>
          <cell r="CU174" t="str">
            <v/>
          </cell>
          <cell r="CV174" t="str">
            <v/>
          </cell>
          <cell r="CW174" t="str">
            <v/>
          </cell>
        </row>
        <row r="175">
          <cell r="CN175" t="str">
            <v/>
          </cell>
          <cell r="CO175" t="str">
            <v/>
          </cell>
          <cell r="CP175" t="str">
            <v/>
          </cell>
          <cell r="CQ175" t="str">
            <v/>
          </cell>
          <cell r="CR175" t="str">
            <v/>
          </cell>
          <cell r="CS175" t="str">
            <v/>
          </cell>
          <cell r="CT175" t="str">
            <v/>
          </cell>
          <cell r="CU175" t="str">
            <v/>
          </cell>
          <cell r="CV175" t="str">
            <v/>
          </cell>
          <cell r="CW175" t="str">
            <v/>
          </cell>
        </row>
        <row r="176">
          <cell r="CN176" t="str">
            <v/>
          </cell>
          <cell r="CO176" t="str">
            <v/>
          </cell>
          <cell r="CP176" t="str">
            <v/>
          </cell>
          <cell r="CQ176" t="str">
            <v/>
          </cell>
          <cell r="CR176" t="str">
            <v/>
          </cell>
          <cell r="CS176" t="str">
            <v/>
          </cell>
          <cell r="CT176" t="str">
            <v/>
          </cell>
          <cell r="CU176" t="str">
            <v/>
          </cell>
          <cell r="CV176" t="str">
            <v/>
          </cell>
          <cell r="CW176" t="str">
            <v/>
          </cell>
        </row>
        <row r="177">
          <cell r="CN177" t="str">
            <v/>
          </cell>
          <cell r="CO177" t="str">
            <v/>
          </cell>
          <cell r="CP177" t="str">
            <v/>
          </cell>
          <cell r="CQ177" t="str">
            <v/>
          </cell>
          <cell r="CR177" t="str">
            <v/>
          </cell>
          <cell r="CS177" t="str">
            <v/>
          </cell>
          <cell r="CT177" t="str">
            <v/>
          </cell>
          <cell r="CU177" t="str">
            <v/>
          </cell>
          <cell r="CV177" t="str">
            <v/>
          </cell>
          <cell r="CW177" t="str">
            <v/>
          </cell>
        </row>
        <row r="178">
          <cell r="CN178" t="str">
            <v/>
          </cell>
          <cell r="CO178" t="str">
            <v/>
          </cell>
          <cell r="CP178" t="str">
            <v/>
          </cell>
          <cell r="CQ178" t="str">
            <v/>
          </cell>
          <cell r="CR178" t="str">
            <v/>
          </cell>
          <cell r="CS178" t="str">
            <v/>
          </cell>
          <cell r="CT178" t="str">
            <v/>
          </cell>
          <cell r="CU178" t="str">
            <v/>
          </cell>
          <cell r="CV178" t="str">
            <v/>
          </cell>
          <cell r="CW178" t="str">
            <v/>
          </cell>
        </row>
        <row r="179">
          <cell r="CN179" t="str">
            <v/>
          </cell>
          <cell r="CO179" t="str">
            <v/>
          </cell>
          <cell r="CP179" t="str">
            <v/>
          </cell>
          <cell r="CQ179" t="str">
            <v/>
          </cell>
          <cell r="CR179" t="str">
            <v/>
          </cell>
          <cell r="CS179" t="str">
            <v/>
          </cell>
          <cell r="CT179" t="str">
            <v/>
          </cell>
          <cell r="CU179" t="str">
            <v/>
          </cell>
          <cell r="CV179" t="str">
            <v/>
          </cell>
          <cell r="CW179" t="str">
            <v/>
          </cell>
        </row>
        <row r="180">
          <cell r="CN180" t="str">
            <v/>
          </cell>
          <cell r="CO180" t="str">
            <v/>
          </cell>
          <cell r="CP180" t="str">
            <v/>
          </cell>
          <cell r="CQ180" t="str">
            <v/>
          </cell>
          <cell r="CR180" t="str">
            <v/>
          </cell>
          <cell r="CS180" t="str">
            <v/>
          </cell>
          <cell r="CT180" t="str">
            <v/>
          </cell>
          <cell r="CU180" t="str">
            <v/>
          </cell>
          <cell r="CV180" t="str">
            <v/>
          </cell>
          <cell r="CW180" t="str">
            <v/>
          </cell>
        </row>
        <row r="181">
          <cell r="CN181" t="str">
            <v/>
          </cell>
          <cell r="CO181" t="str">
            <v/>
          </cell>
          <cell r="CP181" t="str">
            <v/>
          </cell>
          <cell r="CQ181" t="str">
            <v/>
          </cell>
          <cell r="CR181" t="str">
            <v/>
          </cell>
          <cell r="CS181" t="str">
            <v/>
          </cell>
          <cell r="CT181" t="str">
            <v/>
          </cell>
          <cell r="CU181" t="str">
            <v/>
          </cell>
          <cell r="CV181" t="str">
            <v/>
          </cell>
          <cell r="CW181" t="str">
            <v/>
          </cell>
        </row>
        <row r="182">
          <cell r="CN182" t="str">
            <v/>
          </cell>
          <cell r="CO182" t="str">
            <v/>
          </cell>
          <cell r="CP182" t="str">
            <v/>
          </cell>
          <cell r="CQ182" t="str">
            <v/>
          </cell>
          <cell r="CR182" t="str">
            <v/>
          </cell>
          <cell r="CS182" t="str">
            <v/>
          </cell>
          <cell r="CT182" t="str">
            <v/>
          </cell>
          <cell r="CU182" t="str">
            <v/>
          </cell>
          <cell r="CV182" t="str">
            <v/>
          </cell>
          <cell r="CW182" t="str">
            <v/>
          </cell>
        </row>
        <row r="183">
          <cell r="CN183" t="str">
            <v/>
          </cell>
          <cell r="CO183" t="str">
            <v/>
          </cell>
          <cell r="CP183" t="str">
            <v/>
          </cell>
          <cell r="CQ183" t="str">
            <v/>
          </cell>
          <cell r="CR183" t="str">
            <v/>
          </cell>
          <cell r="CS183" t="str">
            <v/>
          </cell>
          <cell r="CT183" t="str">
            <v/>
          </cell>
          <cell r="CU183" t="str">
            <v/>
          </cell>
          <cell r="CV183" t="str">
            <v/>
          </cell>
          <cell r="CW183" t="str">
            <v/>
          </cell>
        </row>
        <row r="184">
          <cell r="CN184" t="str">
            <v/>
          </cell>
          <cell r="CO184" t="str">
            <v/>
          </cell>
          <cell r="CP184" t="str">
            <v/>
          </cell>
          <cell r="CQ184" t="str">
            <v/>
          </cell>
          <cell r="CR184" t="str">
            <v/>
          </cell>
          <cell r="CS184" t="str">
            <v/>
          </cell>
          <cell r="CT184" t="str">
            <v/>
          </cell>
          <cell r="CU184" t="str">
            <v/>
          </cell>
          <cell r="CV184" t="str">
            <v/>
          </cell>
          <cell r="CW184" t="str">
            <v/>
          </cell>
        </row>
        <row r="185">
          <cell r="CN185" t="str">
            <v/>
          </cell>
          <cell r="CO185" t="str">
            <v/>
          </cell>
          <cell r="CP185" t="str">
            <v/>
          </cell>
          <cell r="CQ185" t="str">
            <v/>
          </cell>
          <cell r="CR185" t="str">
            <v/>
          </cell>
          <cell r="CS185" t="str">
            <v/>
          </cell>
          <cell r="CT185" t="str">
            <v/>
          </cell>
          <cell r="CU185" t="str">
            <v/>
          </cell>
          <cell r="CV185" t="str">
            <v/>
          </cell>
          <cell r="CW185" t="str">
            <v/>
          </cell>
        </row>
        <row r="186">
          <cell r="CN186" t="str">
            <v/>
          </cell>
          <cell r="CO186" t="str">
            <v/>
          </cell>
          <cell r="CP186" t="str">
            <v/>
          </cell>
          <cell r="CQ186" t="str">
            <v/>
          </cell>
          <cell r="CR186" t="str">
            <v/>
          </cell>
          <cell r="CS186" t="str">
            <v/>
          </cell>
          <cell r="CT186" t="str">
            <v/>
          </cell>
          <cell r="CU186" t="str">
            <v/>
          </cell>
          <cell r="CV186" t="str">
            <v/>
          </cell>
          <cell r="CW186" t="str">
            <v/>
          </cell>
        </row>
        <row r="187">
          <cell r="CN187" t="str">
            <v/>
          </cell>
          <cell r="CO187" t="str">
            <v/>
          </cell>
          <cell r="CP187" t="str">
            <v/>
          </cell>
          <cell r="CQ187" t="str">
            <v/>
          </cell>
          <cell r="CR187" t="str">
            <v/>
          </cell>
          <cell r="CS187" t="str">
            <v/>
          </cell>
          <cell r="CT187" t="str">
            <v/>
          </cell>
          <cell r="CU187" t="str">
            <v/>
          </cell>
          <cell r="CV187" t="str">
            <v/>
          </cell>
          <cell r="CW187" t="str">
            <v/>
          </cell>
        </row>
        <row r="188">
          <cell r="CN188" t="str">
            <v/>
          </cell>
          <cell r="CO188" t="str">
            <v/>
          </cell>
          <cell r="CP188" t="str">
            <v/>
          </cell>
          <cell r="CQ188" t="str">
            <v/>
          </cell>
          <cell r="CR188" t="str">
            <v/>
          </cell>
          <cell r="CS188" t="str">
            <v/>
          </cell>
          <cell r="CT188" t="str">
            <v/>
          </cell>
          <cell r="CU188" t="str">
            <v/>
          </cell>
          <cell r="CV188" t="str">
            <v/>
          </cell>
          <cell r="CW188" t="str">
            <v/>
          </cell>
        </row>
        <row r="189">
          <cell r="CN189" t="str">
            <v/>
          </cell>
          <cell r="CO189" t="str">
            <v/>
          </cell>
          <cell r="CP189" t="str">
            <v/>
          </cell>
          <cell r="CQ189" t="str">
            <v/>
          </cell>
          <cell r="CR189" t="str">
            <v/>
          </cell>
          <cell r="CS189" t="str">
            <v/>
          </cell>
          <cell r="CT189" t="str">
            <v/>
          </cell>
          <cell r="CU189" t="str">
            <v/>
          </cell>
          <cell r="CV189" t="str">
            <v/>
          </cell>
          <cell r="CW189" t="str">
            <v/>
          </cell>
        </row>
        <row r="190">
          <cell r="CN190" t="str">
            <v/>
          </cell>
          <cell r="CO190" t="str">
            <v/>
          </cell>
          <cell r="CP190" t="str">
            <v/>
          </cell>
          <cell r="CQ190" t="str">
            <v/>
          </cell>
          <cell r="CR190" t="str">
            <v/>
          </cell>
          <cell r="CS190" t="str">
            <v/>
          </cell>
          <cell r="CT190" t="str">
            <v/>
          </cell>
          <cell r="CU190" t="str">
            <v/>
          </cell>
          <cell r="CV190" t="str">
            <v/>
          </cell>
          <cell r="CW190" t="str">
            <v/>
          </cell>
        </row>
        <row r="191">
          <cell r="CN191" t="str">
            <v/>
          </cell>
          <cell r="CO191" t="str">
            <v/>
          </cell>
          <cell r="CP191" t="str">
            <v/>
          </cell>
          <cell r="CQ191" t="str">
            <v/>
          </cell>
          <cell r="CR191" t="str">
            <v/>
          </cell>
          <cell r="CS191" t="str">
            <v/>
          </cell>
          <cell r="CT191" t="str">
            <v/>
          </cell>
          <cell r="CU191" t="str">
            <v/>
          </cell>
          <cell r="CV191" t="str">
            <v/>
          </cell>
          <cell r="CW191" t="str">
            <v/>
          </cell>
        </row>
        <row r="192">
          <cell r="CN192" t="str">
            <v/>
          </cell>
          <cell r="CO192" t="str">
            <v/>
          </cell>
          <cell r="CP192" t="str">
            <v/>
          </cell>
          <cell r="CQ192" t="str">
            <v/>
          </cell>
          <cell r="CR192" t="str">
            <v/>
          </cell>
          <cell r="CS192" t="str">
            <v/>
          </cell>
          <cell r="CT192" t="str">
            <v/>
          </cell>
          <cell r="CU192" t="str">
            <v/>
          </cell>
          <cell r="CV192" t="str">
            <v/>
          </cell>
          <cell r="CW192" t="str">
            <v/>
          </cell>
        </row>
        <row r="193">
          <cell r="CN193" t="str">
            <v/>
          </cell>
          <cell r="CO193" t="str">
            <v/>
          </cell>
          <cell r="CP193" t="str">
            <v/>
          </cell>
          <cell r="CQ193" t="str">
            <v/>
          </cell>
          <cell r="CR193" t="str">
            <v/>
          </cell>
          <cell r="CS193" t="str">
            <v/>
          </cell>
          <cell r="CT193" t="str">
            <v/>
          </cell>
          <cell r="CU193" t="str">
            <v/>
          </cell>
          <cell r="CV193" t="str">
            <v/>
          </cell>
          <cell r="CW193" t="str">
            <v/>
          </cell>
        </row>
        <row r="194">
          <cell r="CN194" t="str">
            <v/>
          </cell>
          <cell r="CO194" t="str">
            <v/>
          </cell>
          <cell r="CP194" t="str">
            <v/>
          </cell>
          <cell r="CQ194" t="str">
            <v/>
          </cell>
          <cell r="CR194" t="str">
            <v/>
          </cell>
          <cell r="CS194" t="str">
            <v/>
          </cell>
          <cell r="CT194" t="str">
            <v/>
          </cell>
          <cell r="CU194" t="str">
            <v/>
          </cell>
          <cell r="CV194" t="str">
            <v/>
          </cell>
          <cell r="CW194" t="str">
            <v/>
          </cell>
        </row>
        <row r="195">
          <cell r="CN195" t="str">
            <v/>
          </cell>
          <cell r="CO195" t="str">
            <v/>
          </cell>
          <cell r="CP195" t="str">
            <v/>
          </cell>
          <cell r="CQ195" t="str">
            <v/>
          </cell>
          <cell r="CR195" t="str">
            <v/>
          </cell>
          <cell r="CS195" t="str">
            <v/>
          </cell>
          <cell r="CT195" t="str">
            <v/>
          </cell>
          <cell r="CU195" t="str">
            <v/>
          </cell>
          <cell r="CV195" t="str">
            <v/>
          </cell>
          <cell r="CW195" t="str">
            <v/>
          </cell>
        </row>
        <row r="196">
          <cell r="CN196" t="str">
            <v/>
          </cell>
          <cell r="CO196" t="str">
            <v/>
          </cell>
          <cell r="CP196" t="str">
            <v/>
          </cell>
          <cell r="CQ196" t="str">
            <v/>
          </cell>
          <cell r="CR196" t="str">
            <v/>
          </cell>
          <cell r="CS196" t="str">
            <v/>
          </cell>
          <cell r="CT196" t="str">
            <v/>
          </cell>
          <cell r="CU196" t="str">
            <v/>
          </cell>
          <cell r="CV196" t="str">
            <v/>
          </cell>
          <cell r="CW196" t="str">
            <v/>
          </cell>
        </row>
        <row r="197">
          <cell r="CN197" t="str">
            <v/>
          </cell>
          <cell r="CO197" t="str">
            <v/>
          </cell>
          <cell r="CP197" t="str">
            <v/>
          </cell>
          <cell r="CQ197" t="str">
            <v/>
          </cell>
          <cell r="CR197" t="str">
            <v/>
          </cell>
          <cell r="CS197" t="str">
            <v/>
          </cell>
          <cell r="CT197" t="str">
            <v/>
          </cell>
          <cell r="CU197" t="str">
            <v/>
          </cell>
          <cell r="CV197" t="str">
            <v/>
          </cell>
          <cell r="CW197" t="str">
            <v/>
          </cell>
        </row>
        <row r="198">
          <cell r="CN198" t="str">
            <v/>
          </cell>
          <cell r="CO198" t="str">
            <v/>
          </cell>
          <cell r="CP198" t="str">
            <v/>
          </cell>
          <cell r="CQ198" t="str">
            <v/>
          </cell>
          <cell r="CR198" t="str">
            <v/>
          </cell>
          <cell r="CS198" t="str">
            <v/>
          </cell>
          <cell r="CT198" t="str">
            <v/>
          </cell>
          <cell r="CU198" t="str">
            <v/>
          </cell>
          <cell r="CV198" t="str">
            <v/>
          </cell>
          <cell r="CW198" t="str">
            <v/>
          </cell>
        </row>
        <row r="199">
          <cell r="CN199" t="str">
            <v/>
          </cell>
          <cell r="CO199" t="str">
            <v/>
          </cell>
          <cell r="CP199" t="str">
            <v/>
          </cell>
          <cell r="CQ199" t="str">
            <v/>
          </cell>
          <cell r="CR199" t="str">
            <v/>
          </cell>
          <cell r="CS199" t="str">
            <v/>
          </cell>
          <cell r="CT199" t="str">
            <v/>
          </cell>
          <cell r="CU199" t="str">
            <v/>
          </cell>
          <cell r="CV199" t="str">
            <v/>
          </cell>
          <cell r="CW199" t="str">
            <v/>
          </cell>
        </row>
        <row r="200">
          <cell r="CN200" t="str">
            <v/>
          </cell>
          <cell r="CO200" t="str">
            <v/>
          </cell>
          <cell r="CP200" t="str">
            <v/>
          </cell>
          <cell r="CQ200" t="str">
            <v/>
          </cell>
          <cell r="CR200" t="str">
            <v/>
          </cell>
          <cell r="CS200" t="str">
            <v/>
          </cell>
          <cell r="CT200" t="str">
            <v/>
          </cell>
          <cell r="CU200" t="str">
            <v/>
          </cell>
          <cell r="CV200" t="str">
            <v/>
          </cell>
          <cell r="CW200" t="str">
            <v/>
          </cell>
        </row>
        <row r="201">
          <cell r="CN201" t="str">
            <v/>
          </cell>
          <cell r="CO201" t="str">
            <v/>
          </cell>
          <cell r="CP201" t="str">
            <v/>
          </cell>
          <cell r="CQ201" t="str">
            <v/>
          </cell>
          <cell r="CR201" t="str">
            <v/>
          </cell>
          <cell r="CS201" t="str">
            <v/>
          </cell>
          <cell r="CT201" t="str">
            <v/>
          </cell>
          <cell r="CU201" t="str">
            <v/>
          </cell>
          <cell r="CV201" t="str">
            <v/>
          </cell>
          <cell r="CW201" t="str">
            <v/>
          </cell>
        </row>
        <row r="202">
          <cell r="CN202" t="str">
            <v/>
          </cell>
          <cell r="CO202" t="str">
            <v/>
          </cell>
          <cell r="CP202" t="str">
            <v/>
          </cell>
          <cell r="CQ202" t="str">
            <v/>
          </cell>
          <cell r="CR202" t="str">
            <v/>
          </cell>
          <cell r="CS202" t="str">
            <v/>
          </cell>
          <cell r="CT202" t="str">
            <v/>
          </cell>
          <cell r="CU202" t="str">
            <v/>
          </cell>
          <cell r="CV202" t="str">
            <v/>
          </cell>
          <cell r="CW202" t="str">
            <v/>
          </cell>
        </row>
        <row r="203">
          <cell r="CN203" t="str">
            <v/>
          </cell>
          <cell r="CO203" t="str">
            <v/>
          </cell>
          <cell r="CP203" t="str">
            <v/>
          </cell>
          <cell r="CQ203" t="str">
            <v/>
          </cell>
          <cell r="CR203" t="str">
            <v/>
          </cell>
          <cell r="CS203" t="str">
            <v/>
          </cell>
          <cell r="CT203" t="str">
            <v/>
          </cell>
          <cell r="CU203" t="str">
            <v/>
          </cell>
          <cell r="CV203" t="str">
            <v/>
          </cell>
          <cell r="CW203" t="str">
            <v/>
          </cell>
        </row>
        <row r="204">
          <cell r="CN204" t="str">
            <v/>
          </cell>
          <cell r="CO204" t="str">
            <v/>
          </cell>
          <cell r="CP204" t="str">
            <v/>
          </cell>
          <cell r="CQ204" t="str">
            <v/>
          </cell>
          <cell r="CR204" t="str">
            <v/>
          </cell>
          <cell r="CS204" t="str">
            <v/>
          </cell>
          <cell r="CT204" t="str">
            <v/>
          </cell>
          <cell r="CU204" t="str">
            <v/>
          </cell>
          <cell r="CV204" t="str">
            <v/>
          </cell>
          <cell r="CW204" t="str">
            <v/>
          </cell>
        </row>
        <row r="205">
          <cell r="CN205" t="str">
            <v/>
          </cell>
          <cell r="CO205" t="str">
            <v/>
          </cell>
          <cell r="CP205" t="str">
            <v/>
          </cell>
          <cell r="CQ205" t="str">
            <v/>
          </cell>
          <cell r="CR205" t="str">
            <v/>
          </cell>
          <cell r="CS205" t="str">
            <v/>
          </cell>
          <cell r="CT205" t="str">
            <v/>
          </cell>
          <cell r="CU205" t="str">
            <v/>
          </cell>
          <cell r="CV205" t="str">
            <v/>
          </cell>
          <cell r="CW205" t="str">
            <v/>
          </cell>
        </row>
        <row r="206">
          <cell r="CN206" t="str">
            <v/>
          </cell>
          <cell r="CO206" t="str">
            <v/>
          </cell>
          <cell r="CP206" t="str">
            <v/>
          </cell>
          <cell r="CQ206" t="str">
            <v/>
          </cell>
          <cell r="CR206" t="str">
            <v/>
          </cell>
          <cell r="CS206" t="str">
            <v/>
          </cell>
          <cell r="CT206" t="str">
            <v/>
          </cell>
          <cell r="CU206" t="str">
            <v/>
          </cell>
          <cell r="CV206" t="str">
            <v/>
          </cell>
          <cell r="CW206" t="str">
            <v/>
          </cell>
        </row>
        <row r="207">
          <cell r="CN207" t="str">
            <v/>
          </cell>
          <cell r="CO207" t="str">
            <v/>
          </cell>
          <cell r="CP207" t="str">
            <v/>
          </cell>
          <cell r="CQ207" t="str">
            <v/>
          </cell>
          <cell r="CR207" t="str">
            <v/>
          </cell>
          <cell r="CS207" t="str">
            <v/>
          </cell>
          <cell r="CT207" t="str">
            <v/>
          </cell>
          <cell r="CU207" t="str">
            <v/>
          </cell>
          <cell r="CV207" t="str">
            <v/>
          </cell>
          <cell r="CW207" t="str">
            <v/>
          </cell>
        </row>
        <row r="208">
          <cell r="CN208" t="str">
            <v/>
          </cell>
          <cell r="CO208" t="str">
            <v/>
          </cell>
          <cell r="CP208" t="str">
            <v/>
          </cell>
          <cell r="CQ208" t="str">
            <v/>
          </cell>
          <cell r="CR208" t="str">
            <v/>
          </cell>
          <cell r="CS208" t="str">
            <v/>
          </cell>
          <cell r="CT208" t="str">
            <v/>
          </cell>
          <cell r="CU208" t="str">
            <v/>
          </cell>
          <cell r="CV208" t="str">
            <v/>
          </cell>
          <cell r="CW208" t="str">
            <v/>
          </cell>
        </row>
        <row r="209">
          <cell r="CN209" t="str">
            <v/>
          </cell>
          <cell r="CO209" t="str">
            <v/>
          </cell>
          <cell r="CP209" t="str">
            <v/>
          </cell>
          <cell r="CQ209" t="str">
            <v/>
          </cell>
          <cell r="CR209" t="str">
            <v/>
          </cell>
          <cell r="CS209" t="str">
            <v/>
          </cell>
          <cell r="CT209" t="str">
            <v/>
          </cell>
          <cell r="CU209" t="str">
            <v/>
          </cell>
          <cell r="CV209" t="str">
            <v/>
          </cell>
          <cell r="CW209" t="str">
            <v/>
          </cell>
        </row>
        <row r="210">
          <cell r="CN210" t="str">
            <v/>
          </cell>
          <cell r="CO210" t="str">
            <v/>
          </cell>
          <cell r="CP210" t="str">
            <v/>
          </cell>
          <cell r="CQ210" t="str">
            <v/>
          </cell>
          <cell r="CR210" t="str">
            <v/>
          </cell>
          <cell r="CS210" t="str">
            <v/>
          </cell>
          <cell r="CT210" t="str">
            <v/>
          </cell>
          <cell r="CU210" t="str">
            <v/>
          </cell>
          <cell r="CV210" t="str">
            <v/>
          </cell>
          <cell r="CW210" t="str">
            <v/>
          </cell>
        </row>
        <row r="211">
          <cell r="CN211" t="str">
            <v/>
          </cell>
          <cell r="CO211" t="str">
            <v/>
          </cell>
          <cell r="CP211" t="str">
            <v/>
          </cell>
          <cell r="CQ211" t="str">
            <v/>
          </cell>
          <cell r="CR211" t="str">
            <v/>
          </cell>
          <cell r="CS211" t="str">
            <v/>
          </cell>
          <cell r="CT211" t="str">
            <v/>
          </cell>
          <cell r="CU211" t="str">
            <v/>
          </cell>
          <cell r="CV211" t="str">
            <v/>
          </cell>
          <cell r="CW211" t="str">
            <v/>
          </cell>
        </row>
        <row r="212">
          <cell r="CN212" t="str">
            <v/>
          </cell>
          <cell r="CO212" t="str">
            <v/>
          </cell>
          <cell r="CP212" t="str">
            <v/>
          </cell>
          <cell r="CQ212" t="str">
            <v/>
          </cell>
          <cell r="CR212" t="str">
            <v/>
          </cell>
          <cell r="CS212" t="str">
            <v/>
          </cell>
          <cell r="CT212" t="str">
            <v/>
          </cell>
          <cell r="CU212" t="str">
            <v/>
          </cell>
          <cell r="CV212" t="str">
            <v/>
          </cell>
          <cell r="CW212" t="str">
            <v/>
          </cell>
        </row>
        <row r="213">
          <cell r="CN213" t="str">
            <v/>
          </cell>
          <cell r="CO213" t="str">
            <v/>
          </cell>
          <cell r="CP213" t="str">
            <v/>
          </cell>
          <cell r="CQ213" t="str">
            <v/>
          </cell>
          <cell r="CR213" t="str">
            <v/>
          </cell>
          <cell r="CS213" t="str">
            <v/>
          </cell>
          <cell r="CT213" t="str">
            <v/>
          </cell>
          <cell r="CU213" t="str">
            <v/>
          </cell>
          <cell r="CV213" t="str">
            <v/>
          </cell>
          <cell r="CW213" t="str">
            <v/>
          </cell>
        </row>
        <row r="214">
          <cell r="CN214" t="str">
            <v/>
          </cell>
          <cell r="CO214" t="str">
            <v/>
          </cell>
          <cell r="CP214" t="str">
            <v/>
          </cell>
          <cell r="CQ214" t="str">
            <v/>
          </cell>
          <cell r="CR214" t="str">
            <v/>
          </cell>
          <cell r="CS214" t="str">
            <v/>
          </cell>
          <cell r="CT214" t="str">
            <v/>
          </cell>
          <cell r="CU214" t="str">
            <v/>
          </cell>
          <cell r="CV214" t="str">
            <v/>
          </cell>
          <cell r="CW214" t="str">
            <v/>
          </cell>
        </row>
        <row r="215">
          <cell r="CN215" t="str">
            <v/>
          </cell>
          <cell r="CO215" t="str">
            <v/>
          </cell>
          <cell r="CP215" t="str">
            <v/>
          </cell>
          <cell r="CQ215" t="str">
            <v/>
          </cell>
          <cell r="CR215" t="str">
            <v/>
          </cell>
          <cell r="CS215" t="str">
            <v/>
          </cell>
          <cell r="CT215" t="str">
            <v/>
          </cell>
          <cell r="CU215" t="str">
            <v/>
          </cell>
          <cell r="CV215" t="str">
            <v/>
          </cell>
          <cell r="CW215" t="str">
            <v/>
          </cell>
        </row>
        <row r="216">
          <cell r="CN216" t="str">
            <v/>
          </cell>
          <cell r="CO216" t="str">
            <v/>
          </cell>
          <cell r="CP216" t="str">
            <v/>
          </cell>
          <cell r="CQ216" t="str">
            <v/>
          </cell>
          <cell r="CR216" t="str">
            <v/>
          </cell>
          <cell r="CS216" t="str">
            <v/>
          </cell>
          <cell r="CT216" t="str">
            <v/>
          </cell>
          <cell r="CU216" t="str">
            <v/>
          </cell>
          <cell r="CV216" t="str">
            <v/>
          </cell>
          <cell r="CW216" t="str">
            <v/>
          </cell>
        </row>
        <row r="217">
          <cell r="CN217" t="str">
            <v/>
          </cell>
          <cell r="CO217" t="str">
            <v/>
          </cell>
          <cell r="CP217" t="str">
            <v/>
          </cell>
          <cell r="CQ217" t="str">
            <v/>
          </cell>
          <cell r="CR217" t="str">
            <v/>
          </cell>
          <cell r="CS217" t="str">
            <v/>
          </cell>
          <cell r="CT217" t="str">
            <v/>
          </cell>
          <cell r="CU217" t="str">
            <v/>
          </cell>
          <cell r="CV217" t="str">
            <v/>
          </cell>
          <cell r="CW217" t="str">
            <v/>
          </cell>
        </row>
        <row r="218">
          <cell r="CN218" t="str">
            <v/>
          </cell>
          <cell r="CO218" t="str">
            <v/>
          </cell>
          <cell r="CP218" t="str">
            <v/>
          </cell>
          <cell r="CQ218" t="str">
            <v/>
          </cell>
          <cell r="CR218" t="str">
            <v/>
          </cell>
          <cell r="CS218" t="str">
            <v/>
          </cell>
          <cell r="CT218" t="str">
            <v/>
          </cell>
          <cell r="CU218" t="str">
            <v/>
          </cell>
          <cell r="CV218" t="str">
            <v/>
          </cell>
          <cell r="CW218" t="str">
            <v/>
          </cell>
        </row>
        <row r="219">
          <cell r="CN219" t="str">
            <v/>
          </cell>
          <cell r="CO219" t="str">
            <v/>
          </cell>
          <cell r="CP219" t="str">
            <v/>
          </cell>
          <cell r="CQ219" t="str">
            <v/>
          </cell>
          <cell r="CR219" t="str">
            <v/>
          </cell>
          <cell r="CS219" t="str">
            <v/>
          </cell>
          <cell r="CT219" t="str">
            <v/>
          </cell>
          <cell r="CU219" t="str">
            <v/>
          </cell>
          <cell r="CV219" t="str">
            <v/>
          </cell>
          <cell r="CW219" t="str">
            <v/>
          </cell>
        </row>
        <row r="220">
          <cell r="CN220" t="str">
            <v/>
          </cell>
          <cell r="CO220" t="str">
            <v/>
          </cell>
          <cell r="CP220" t="str">
            <v/>
          </cell>
          <cell r="CQ220" t="str">
            <v/>
          </cell>
          <cell r="CR220" t="str">
            <v/>
          </cell>
          <cell r="CS220" t="str">
            <v/>
          </cell>
          <cell r="CT220" t="str">
            <v/>
          </cell>
          <cell r="CU220" t="str">
            <v/>
          </cell>
          <cell r="CV220" t="str">
            <v/>
          </cell>
          <cell r="CW220" t="str">
            <v/>
          </cell>
        </row>
        <row r="221">
          <cell r="CN221" t="str">
            <v/>
          </cell>
          <cell r="CO221" t="str">
            <v/>
          </cell>
          <cell r="CP221" t="str">
            <v/>
          </cell>
          <cell r="CQ221" t="str">
            <v/>
          </cell>
          <cell r="CR221" t="str">
            <v/>
          </cell>
          <cell r="CS221" t="str">
            <v/>
          </cell>
          <cell r="CT221" t="str">
            <v/>
          </cell>
          <cell r="CU221" t="str">
            <v/>
          </cell>
          <cell r="CV221" t="str">
            <v/>
          </cell>
          <cell r="CW221" t="str">
            <v/>
          </cell>
        </row>
        <row r="222">
          <cell r="CN222" t="str">
            <v/>
          </cell>
          <cell r="CO222" t="str">
            <v/>
          </cell>
          <cell r="CP222" t="str">
            <v/>
          </cell>
          <cell r="CQ222" t="str">
            <v/>
          </cell>
          <cell r="CR222" t="str">
            <v/>
          </cell>
          <cell r="CS222" t="str">
            <v/>
          </cell>
          <cell r="CT222" t="str">
            <v/>
          </cell>
          <cell r="CU222" t="str">
            <v/>
          </cell>
          <cell r="CV222" t="str">
            <v/>
          </cell>
          <cell r="CW222" t="str">
            <v/>
          </cell>
        </row>
        <row r="223">
          <cell r="CN223" t="str">
            <v/>
          </cell>
          <cell r="CO223" t="str">
            <v/>
          </cell>
          <cell r="CP223" t="str">
            <v/>
          </cell>
          <cell r="CQ223" t="str">
            <v/>
          </cell>
          <cell r="CR223" t="str">
            <v/>
          </cell>
          <cell r="CS223" t="str">
            <v/>
          </cell>
          <cell r="CT223" t="str">
            <v/>
          </cell>
          <cell r="CU223" t="str">
            <v/>
          </cell>
          <cell r="CV223" t="str">
            <v/>
          </cell>
          <cell r="CW223" t="str">
            <v/>
          </cell>
        </row>
        <row r="224">
          <cell r="CN224" t="str">
            <v/>
          </cell>
          <cell r="CO224" t="str">
            <v/>
          </cell>
          <cell r="CP224" t="str">
            <v/>
          </cell>
          <cell r="CQ224" t="str">
            <v/>
          </cell>
          <cell r="CR224" t="str">
            <v/>
          </cell>
          <cell r="CS224" t="str">
            <v/>
          </cell>
          <cell r="CT224" t="str">
            <v/>
          </cell>
          <cell r="CU224" t="str">
            <v/>
          </cell>
          <cell r="CV224" t="str">
            <v/>
          </cell>
          <cell r="CW224" t="str">
            <v/>
          </cell>
        </row>
        <row r="225">
          <cell r="CN225" t="str">
            <v/>
          </cell>
          <cell r="CO225" t="str">
            <v/>
          </cell>
          <cell r="CP225" t="str">
            <v/>
          </cell>
          <cell r="CQ225" t="str">
            <v/>
          </cell>
          <cell r="CR225" t="str">
            <v/>
          </cell>
          <cell r="CS225" t="str">
            <v/>
          </cell>
          <cell r="CT225" t="str">
            <v/>
          </cell>
          <cell r="CU225" t="str">
            <v/>
          </cell>
          <cell r="CV225" t="str">
            <v/>
          </cell>
          <cell r="CW225" t="str">
            <v/>
          </cell>
        </row>
        <row r="226">
          <cell r="CN226" t="str">
            <v/>
          </cell>
          <cell r="CO226" t="str">
            <v/>
          </cell>
          <cell r="CP226" t="str">
            <v/>
          </cell>
          <cell r="CQ226" t="str">
            <v/>
          </cell>
          <cell r="CR226" t="str">
            <v/>
          </cell>
          <cell r="CS226" t="str">
            <v/>
          </cell>
          <cell r="CT226" t="str">
            <v/>
          </cell>
          <cell r="CU226" t="str">
            <v/>
          </cell>
          <cell r="CV226" t="str">
            <v/>
          </cell>
          <cell r="CW226" t="str">
            <v/>
          </cell>
        </row>
        <row r="227">
          <cell r="CN227" t="str">
            <v/>
          </cell>
          <cell r="CO227" t="str">
            <v/>
          </cell>
          <cell r="CP227" t="str">
            <v/>
          </cell>
          <cell r="CQ227" t="str">
            <v/>
          </cell>
          <cell r="CR227" t="str">
            <v/>
          </cell>
          <cell r="CS227" t="str">
            <v/>
          </cell>
          <cell r="CT227" t="str">
            <v/>
          </cell>
          <cell r="CU227" t="str">
            <v/>
          </cell>
          <cell r="CV227" t="str">
            <v/>
          </cell>
          <cell r="CW227" t="str">
            <v/>
          </cell>
        </row>
        <row r="228">
          <cell r="CN228" t="str">
            <v/>
          </cell>
          <cell r="CO228" t="str">
            <v/>
          </cell>
          <cell r="CP228" t="str">
            <v/>
          </cell>
          <cell r="CQ228" t="str">
            <v/>
          </cell>
          <cell r="CR228" t="str">
            <v/>
          </cell>
          <cell r="CS228" t="str">
            <v/>
          </cell>
          <cell r="CT228" t="str">
            <v/>
          </cell>
          <cell r="CU228" t="str">
            <v/>
          </cell>
          <cell r="CV228" t="str">
            <v/>
          </cell>
          <cell r="CW228" t="str">
            <v/>
          </cell>
        </row>
        <row r="229">
          <cell r="CN229" t="str">
            <v/>
          </cell>
          <cell r="CO229" t="str">
            <v/>
          </cell>
          <cell r="CP229" t="str">
            <v/>
          </cell>
          <cell r="CQ229" t="str">
            <v/>
          </cell>
          <cell r="CR229" t="str">
            <v/>
          </cell>
          <cell r="CS229" t="str">
            <v/>
          </cell>
          <cell r="CT229" t="str">
            <v/>
          </cell>
          <cell r="CU229" t="str">
            <v/>
          </cell>
          <cell r="CV229" t="str">
            <v/>
          </cell>
          <cell r="CW229" t="str">
            <v/>
          </cell>
        </row>
        <row r="230">
          <cell r="CN230" t="str">
            <v/>
          </cell>
          <cell r="CO230" t="str">
            <v/>
          </cell>
          <cell r="CP230" t="str">
            <v/>
          </cell>
          <cell r="CQ230" t="str">
            <v/>
          </cell>
          <cell r="CR230" t="str">
            <v/>
          </cell>
          <cell r="CS230" t="str">
            <v/>
          </cell>
          <cell r="CT230" t="str">
            <v/>
          </cell>
          <cell r="CU230" t="str">
            <v/>
          </cell>
          <cell r="CV230" t="str">
            <v/>
          </cell>
          <cell r="CW230" t="str">
            <v/>
          </cell>
        </row>
        <row r="231">
          <cell r="CN231" t="str">
            <v/>
          </cell>
          <cell r="CO231" t="str">
            <v/>
          </cell>
          <cell r="CP231" t="str">
            <v/>
          </cell>
          <cell r="CQ231" t="str">
            <v/>
          </cell>
          <cell r="CR231" t="str">
            <v/>
          </cell>
          <cell r="CS231" t="str">
            <v/>
          </cell>
          <cell r="CT231" t="str">
            <v/>
          </cell>
          <cell r="CU231" t="str">
            <v/>
          </cell>
          <cell r="CV231" t="str">
            <v/>
          </cell>
          <cell r="CW231" t="str">
            <v/>
          </cell>
        </row>
        <row r="232">
          <cell r="CN232" t="str">
            <v/>
          </cell>
          <cell r="CO232" t="str">
            <v/>
          </cell>
          <cell r="CP232" t="str">
            <v/>
          </cell>
          <cell r="CQ232" t="str">
            <v/>
          </cell>
          <cell r="CR232" t="str">
            <v/>
          </cell>
          <cell r="CS232" t="str">
            <v/>
          </cell>
          <cell r="CT232" t="str">
            <v/>
          </cell>
          <cell r="CU232" t="str">
            <v/>
          </cell>
          <cell r="CV232" t="str">
            <v/>
          </cell>
          <cell r="CW232" t="str">
            <v/>
          </cell>
        </row>
        <row r="233">
          <cell r="CN233" t="str">
            <v/>
          </cell>
          <cell r="CO233" t="str">
            <v/>
          </cell>
          <cell r="CP233" t="str">
            <v/>
          </cell>
          <cell r="CQ233" t="str">
            <v/>
          </cell>
          <cell r="CR233" t="str">
            <v/>
          </cell>
          <cell r="CS233" t="str">
            <v/>
          </cell>
          <cell r="CT233" t="str">
            <v/>
          </cell>
          <cell r="CU233" t="str">
            <v/>
          </cell>
          <cell r="CV233" t="str">
            <v/>
          </cell>
          <cell r="CW233" t="str">
            <v/>
          </cell>
        </row>
        <row r="234">
          <cell r="CN234" t="str">
            <v/>
          </cell>
          <cell r="CO234" t="str">
            <v/>
          </cell>
          <cell r="CP234" t="str">
            <v/>
          </cell>
          <cell r="CQ234" t="str">
            <v/>
          </cell>
          <cell r="CR234" t="str">
            <v/>
          </cell>
          <cell r="CS234" t="str">
            <v/>
          </cell>
          <cell r="CT234" t="str">
            <v/>
          </cell>
          <cell r="CU234" t="str">
            <v/>
          </cell>
          <cell r="CV234" t="str">
            <v/>
          </cell>
          <cell r="CW234" t="str">
            <v/>
          </cell>
        </row>
        <row r="235">
          <cell r="CN235" t="str">
            <v/>
          </cell>
          <cell r="CO235" t="str">
            <v/>
          </cell>
          <cell r="CP235" t="str">
            <v/>
          </cell>
          <cell r="CQ235" t="str">
            <v/>
          </cell>
          <cell r="CR235" t="str">
            <v/>
          </cell>
          <cell r="CS235" t="str">
            <v/>
          </cell>
          <cell r="CT235" t="str">
            <v/>
          </cell>
          <cell r="CU235" t="str">
            <v/>
          </cell>
          <cell r="CV235" t="str">
            <v/>
          </cell>
          <cell r="CW235" t="str">
            <v/>
          </cell>
        </row>
        <row r="236">
          <cell r="CN236" t="str">
            <v/>
          </cell>
          <cell r="CO236" t="str">
            <v/>
          </cell>
          <cell r="CP236" t="str">
            <v/>
          </cell>
          <cell r="CQ236" t="str">
            <v/>
          </cell>
          <cell r="CR236" t="str">
            <v/>
          </cell>
          <cell r="CS236" t="str">
            <v/>
          </cell>
          <cell r="CT236" t="str">
            <v/>
          </cell>
          <cell r="CU236" t="str">
            <v/>
          </cell>
          <cell r="CV236" t="str">
            <v/>
          </cell>
          <cell r="CW236" t="str">
            <v/>
          </cell>
        </row>
        <row r="237">
          <cell r="CN237" t="str">
            <v/>
          </cell>
          <cell r="CO237" t="str">
            <v/>
          </cell>
          <cell r="CP237" t="str">
            <v/>
          </cell>
          <cell r="CQ237" t="str">
            <v/>
          </cell>
          <cell r="CR237" t="str">
            <v/>
          </cell>
          <cell r="CS237" t="str">
            <v/>
          </cell>
          <cell r="CT237" t="str">
            <v/>
          </cell>
          <cell r="CU237" t="str">
            <v/>
          </cell>
          <cell r="CV237" t="str">
            <v/>
          </cell>
          <cell r="CW237" t="str">
            <v/>
          </cell>
        </row>
        <row r="238">
          <cell r="CN238" t="str">
            <v/>
          </cell>
          <cell r="CO238" t="str">
            <v/>
          </cell>
          <cell r="CP238" t="str">
            <v/>
          </cell>
          <cell r="CQ238" t="str">
            <v/>
          </cell>
          <cell r="CR238" t="str">
            <v/>
          </cell>
          <cell r="CS238" t="str">
            <v/>
          </cell>
          <cell r="CT238" t="str">
            <v/>
          </cell>
          <cell r="CU238" t="str">
            <v/>
          </cell>
          <cell r="CV238" t="str">
            <v/>
          </cell>
          <cell r="CW238" t="str">
            <v/>
          </cell>
        </row>
        <row r="239">
          <cell r="CN239" t="str">
            <v/>
          </cell>
          <cell r="CO239" t="str">
            <v/>
          </cell>
          <cell r="CP239" t="str">
            <v/>
          </cell>
          <cell r="CQ239" t="str">
            <v/>
          </cell>
          <cell r="CR239" t="str">
            <v/>
          </cell>
          <cell r="CS239" t="str">
            <v/>
          </cell>
          <cell r="CT239" t="str">
            <v/>
          </cell>
          <cell r="CU239" t="str">
            <v/>
          </cell>
          <cell r="CV239" t="str">
            <v/>
          </cell>
          <cell r="CW239" t="str">
            <v/>
          </cell>
        </row>
        <row r="240">
          <cell r="CN240" t="str">
            <v/>
          </cell>
          <cell r="CO240" t="str">
            <v/>
          </cell>
          <cell r="CP240" t="str">
            <v/>
          </cell>
          <cell r="CQ240" t="str">
            <v/>
          </cell>
          <cell r="CR240" t="str">
            <v/>
          </cell>
          <cell r="CS240" t="str">
            <v/>
          </cell>
          <cell r="CT240" t="str">
            <v/>
          </cell>
          <cell r="CU240" t="str">
            <v/>
          </cell>
          <cell r="CV240" t="str">
            <v/>
          </cell>
          <cell r="CW240" t="str">
            <v/>
          </cell>
        </row>
        <row r="241">
          <cell r="CN241" t="str">
            <v/>
          </cell>
          <cell r="CO241" t="str">
            <v/>
          </cell>
          <cell r="CP241" t="str">
            <v/>
          </cell>
          <cell r="CQ241" t="str">
            <v/>
          </cell>
          <cell r="CR241" t="str">
            <v/>
          </cell>
          <cell r="CS241" t="str">
            <v/>
          </cell>
          <cell r="CT241" t="str">
            <v/>
          </cell>
          <cell r="CU241" t="str">
            <v/>
          </cell>
          <cell r="CV241" t="str">
            <v/>
          </cell>
          <cell r="CW241" t="str">
            <v/>
          </cell>
        </row>
        <row r="242">
          <cell r="CN242" t="str">
            <v/>
          </cell>
          <cell r="CO242" t="str">
            <v/>
          </cell>
          <cell r="CP242" t="str">
            <v/>
          </cell>
          <cell r="CQ242" t="str">
            <v/>
          </cell>
          <cell r="CR242" t="str">
            <v/>
          </cell>
          <cell r="CS242" t="str">
            <v/>
          </cell>
          <cell r="CT242" t="str">
            <v/>
          </cell>
          <cell r="CU242" t="str">
            <v/>
          </cell>
          <cell r="CV242" t="str">
            <v/>
          </cell>
          <cell r="CW242" t="str">
            <v/>
          </cell>
        </row>
        <row r="243">
          <cell r="CN243" t="str">
            <v/>
          </cell>
          <cell r="CO243" t="str">
            <v/>
          </cell>
          <cell r="CP243" t="str">
            <v/>
          </cell>
          <cell r="CQ243" t="str">
            <v/>
          </cell>
          <cell r="CR243" t="str">
            <v/>
          </cell>
          <cell r="CS243" t="str">
            <v/>
          </cell>
          <cell r="CT243" t="str">
            <v/>
          </cell>
          <cell r="CU243" t="str">
            <v/>
          </cell>
          <cell r="CV243" t="str">
            <v/>
          </cell>
          <cell r="CW243" t="str">
            <v/>
          </cell>
        </row>
        <row r="244">
          <cell r="CN244" t="str">
            <v/>
          </cell>
          <cell r="CO244" t="str">
            <v/>
          </cell>
          <cell r="CP244" t="str">
            <v/>
          </cell>
          <cell r="CQ244" t="str">
            <v/>
          </cell>
          <cell r="CR244" t="str">
            <v/>
          </cell>
          <cell r="CS244" t="str">
            <v/>
          </cell>
          <cell r="CT244" t="str">
            <v/>
          </cell>
          <cell r="CU244" t="str">
            <v/>
          </cell>
          <cell r="CV244" t="str">
            <v/>
          </cell>
          <cell r="CW244" t="str">
            <v/>
          </cell>
        </row>
        <row r="245">
          <cell r="CN245" t="str">
            <v/>
          </cell>
          <cell r="CO245" t="str">
            <v/>
          </cell>
          <cell r="CP245" t="str">
            <v/>
          </cell>
          <cell r="CQ245" t="str">
            <v/>
          </cell>
          <cell r="CR245" t="str">
            <v/>
          </cell>
          <cell r="CS245" t="str">
            <v/>
          </cell>
          <cell r="CT245" t="str">
            <v/>
          </cell>
          <cell r="CU245" t="str">
            <v/>
          </cell>
          <cell r="CV245" t="str">
            <v/>
          </cell>
          <cell r="CW245" t="str">
            <v/>
          </cell>
        </row>
        <row r="246">
          <cell r="CN246" t="str">
            <v/>
          </cell>
          <cell r="CO246" t="str">
            <v/>
          </cell>
          <cell r="CP246" t="str">
            <v/>
          </cell>
          <cell r="CQ246" t="str">
            <v/>
          </cell>
          <cell r="CR246" t="str">
            <v/>
          </cell>
          <cell r="CS246" t="str">
            <v/>
          </cell>
          <cell r="CT246" t="str">
            <v/>
          </cell>
          <cell r="CU246" t="str">
            <v/>
          </cell>
          <cell r="CV246" t="str">
            <v/>
          </cell>
          <cell r="CW246" t="str">
            <v/>
          </cell>
        </row>
        <row r="247">
          <cell r="CN247" t="str">
            <v/>
          </cell>
          <cell r="CO247" t="str">
            <v/>
          </cell>
          <cell r="CP247" t="str">
            <v/>
          </cell>
          <cell r="CQ247" t="str">
            <v/>
          </cell>
          <cell r="CR247" t="str">
            <v/>
          </cell>
          <cell r="CS247" t="str">
            <v/>
          </cell>
          <cell r="CT247" t="str">
            <v/>
          </cell>
          <cell r="CU247" t="str">
            <v/>
          </cell>
          <cell r="CV247" t="str">
            <v/>
          </cell>
          <cell r="CW247" t="str">
            <v/>
          </cell>
        </row>
        <row r="248">
          <cell r="CN248" t="str">
            <v/>
          </cell>
          <cell r="CO248" t="str">
            <v/>
          </cell>
          <cell r="CP248" t="str">
            <v/>
          </cell>
          <cell r="CQ248" t="str">
            <v/>
          </cell>
          <cell r="CR248" t="str">
            <v/>
          </cell>
          <cell r="CS248" t="str">
            <v/>
          </cell>
          <cell r="CT248" t="str">
            <v/>
          </cell>
          <cell r="CU248" t="str">
            <v/>
          </cell>
          <cell r="CV248" t="str">
            <v/>
          </cell>
          <cell r="CW248" t="str">
            <v/>
          </cell>
        </row>
        <row r="249">
          <cell r="CN249" t="str">
            <v/>
          </cell>
          <cell r="CO249" t="str">
            <v/>
          </cell>
          <cell r="CP249" t="str">
            <v/>
          </cell>
          <cell r="CQ249" t="str">
            <v/>
          </cell>
          <cell r="CR249" t="str">
            <v/>
          </cell>
          <cell r="CS249" t="str">
            <v/>
          </cell>
          <cell r="CT249" t="str">
            <v/>
          </cell>
          <cell r="CU249" t="str">
            <v/>
          </cell>
          <cell r="CV249" t="str">
            <v/>
          </cell>
          <cell r="CW249" t="str">
            <v/>
          </cell>
        </row>
        <row r="250">
          <cell r="CN250" t="str">
            <v/>
          </cell>
          <cell r="CO250" t="str">
            <v/>
          </cell>
          <cell r="CP250" t="str">
            <v/>
          </cell>
          <cell r="CQ250" t="str">
            <v/>
          </cell>
          <cell r="CR250" t="str">
            <v/>
          </cell>
          <cell r="CS250" t="str">
            <v/>
          </cell>
          <cell r="CT250" t="str">
            <v/>
          </cell>
          <cell r="CU250" t="str">
            <v/>
          </cell>
          <cell r="CV250" t="str">
            <v/>
          </cell>
          <cell r="CW250" t="str">
            <v/>
          </cell>
        </row>
        <row r="251">
          <cell r="CN251" t="str">
            <v/>
          </cell>
          <cell r="CO251" t="str">
            <v/>
          </cell>
          <cell r="CP251" t="str">
            <v/>
          </cell>
          <cell r="CQ251" t="str">
            <v/>
          </cell>
          <cell r="CR251" t="str">
            <v/>
          </cell>
          <cell r="CS251" t="str">
            <v/>
          </cell>
          <cell r="CT251" t="str">
            <v/>
          </cell>
          <cell r="CU251" t="str">
            <v/>
          </cell>
          <cell r="CV251" t="str">
            <v/>
          </cell>
          <cell r="CW251" t="str">
            <v/>
          </cell>
        </row>
        <row r="252">
          <cell r="CN252" t="str">
            <v/>
          </cell>
          <cell r="CO252" t="str">
            <v/>
          </cell>
          <cell r="CP252" t="str">
            <v/>
          </cell>
          <cell r="CQ252" t="str">
            <v/>
          </cell>
          <cell r="CR252" t="str">
            <v/>
          </cell>
          <cell r="CS252" t="str">
            <v/>
          </cell>
          <cell r="CT252" t="str">
            <v/>
          </cell>
          <cell r="CU252" t="str">
            <v/>
          </cell>
          <cell r="CV252" t="str">
            <v/>
          </cell>
          <cell r="CW252" t="str">
            <v/>
          </cell>
        </row>
        <row r="253">
          <cell r="CN253" t="str">
            <v/>
          </cell>
          <cell r="CO253" t="str">
            <v/>
          </cell>
          <cell r="CP253" t="str">
            <v/>
          </cell>
          <cell r="CQ253" t="str">
            <v/>
          </cell>
          <cell r="CR253" t="str">
            <v/>
          </cell>
          <cell r="CS253" t="str">
            <v/>
          </cell>
          <cell r="CT253" t="str">
            <v/>
          </cell>
          <cell r="CU253" t="str">
            <v/>
          </cell>
          <cell r="CV253" t="str">
            <v/>
          </cell>
          <cell r="CW253" t="str">
            <v/>
          </cell>
        </row>
        <row r="254">
          <cell r="CN254" t="str">
            <v/>
          </cell>
          <cell r="CO254" t="str">
            <v/>
          </cell>
          <cell r="CP254" t="str">
            <v/>
          </cell>
          <cell r="CQ254" t="str">
            <v/>
          </cell>
          <cell r="CR254" t="str">
            <v/>
          </cell>
          <cell r="CS254" t="str">
            <v/>
          </cell>
          <cell r="CT254" t="str">
            <v/>
          </cell>
          <cell r="CU254" t="str">
            <v/>
          </cell>
          <cell r="CV254" t="str">
            <v/>
          </cell>
          <cell r="CW254" t="str">
            <v/>
          </cell>
        </row>
        <row r="255">
          <cell r="CN255" t="str">
            <v/>
          </cell>
          <cell r="CO255" t="str">
            <v/>
          </cell>
          <cell r="CP255" t="str">
            <v/>
          </cell>
          <cell r="CQ255" t="str">
            <v/>
          </cell>
          <cell r="CR255" t="str">
            <v/>
          </cell>
          <cell r="CS255" t="str">
            <v/>
          </cell>
          <cell r="CT255" t="str">
            <v/>
          </cell>
          <cell r="CU255" t="str">
            <v/>
          </cell>
          <cell r="CV255" t="str">
            <v/>
          </cell>
          <cell r="CW255" t="str">
            <v/>
          </cell>
        </row>
        <row r="256">
          <cell r="CN256" t="str">
            <v/>
          </cell>
          <cell r="CO256" t="str">
            <v/>
          </cell>
          <cell r="CP256" t="str">
            <v/>
          </cell>
          <cell r="CQ256" t="str">
            <v/>
          </cell>
          <cell r="CR256" t="str">
            <v/>
          </cell>
          <cell r="CS256" t="str">
            <v/>
          </cell>
          <cell r="CT256" t="str">
            <v/>
          </cell>
          <cell r="CU256" t="str">
            <v/>
          </cell>
          <cell r="CV256" t="str">
            <v/>
          </cell>
          <cell r="CW256" t="str">
            <v/>
          </cell>
        </row>
        <row r="257">
          <cell r="CN257" t="str">
            <v/>
          </cell>
          <cell r="CO257" t="str">
            <v/>
          </cell>
          <cell r="CP257" t="str">
            <v/>
          </cell>
          <cell r="CQ257" t="str">
            <v/>
          </cell>
          <cell r="CR257" t="str">
            <v/>
          </cell>
          <cell r="CS257" t="str">
            <v/>
          </cell>
          <cell r="CT257" t="str">
            <v/>
          </cell>
          <cell r="CU257" t="str">
            <v/>
          </cell>
          <cell r="CV257" t="str">
            <v/>
          </cell>
          <cell r="CW257" t="str">
            <v/>
          </cell>
        </row>
        <row r="258">
          <cell r="CN258" t="str">
            <v/>
          </cell>
          <cell r="CO258" t="str">
            <v/>
          </cell>
          <cell r="CP258" t="str">
            <v/>
          </cell>
          <cell r="CQ258" t="str">
            <v/>
          </cell>
          <cell r="CR258" t="str">
            <v/>
          </cell>
          <cell r="CS258" t="str">
            <v/>
          </cell>
          <cell r="CT258" t="str">
            <v/>
          </cell>
          <cell r="CU258" t="str">
            <v/>
          </cell>
          <cell r="CV258" t="str">
            <v/>
          </cell>
          <cell r="CW258" t="str">
            <v/>
          </cell>
        </row>
        <row r="259">
          <cell r="CN259" t="str">
            <v/>
          </cell>
          <cell r="CO259" t="str">
            <v/>
          </cell>
          <cell r="CP259" t="str">
            <v/>
          </cell>
          <cell r="CQ259" t="str">
            <v/>
          </cell>
          <cell r="CR259" t="str">
            <v/>
          </cell>
          <cell r="CS259" t="str">
            <v/>
          </cell>
          <cell r="CT259" t="str">
            <v/>
          </cell>
          <cell r="CU259" t="str">
            <v/>
          </cell>
          <cell r="CV259" t="str">
            <v/>
          </cell>
          <cell r="CW259" t="str">
            <v/>
          </cell>
        </row>
        <row r="260">
          <cell r="CN260" t="str">
            <v/>
          </cell>
          <cell r="CO260" t="str">
            <v/>
          </cell>
          <cell r="CP260" t="str">
            <v/>
          </cell>
          <cell r="CQ260" t="str">
            <v/>
          </cell>
          <cell r="CR260" t="str">
            <v/>
          </cell>
          <cell r="CS260" t="str">
            <v/>
          </cell>
          <cell r="CT260" t="str">
            <v/>
          </cell>
          <cell r="CU260" t="str">
            <v/>
          </cell>
          <cell r="CV260" t="str">
            <v/>
          </cell>
          <cell r="CW260" t="str">
            <v/>
          </cell>
        </row>
        <row r="261">
          <cell r="CN261" t="str">
            <v/>
          </cell>
          <cell r="CO261" t="str">
            <v/>
          </cell>
          <cell r="CP261" t="str">
            <v/>
          </cell>
          <cell r="CQ261" t="str">
            <v/>
          </cell>
          <cell r="CR261" t="str">
            <v/>
          </cell>
          <cell r="CS261" t="str">
            <v/>
          </cell>
          <cell r="CT261" t="str">
            <v/>
          </cell>
          <cell r="CU261" t="str">
            <v/>
          </cell>
          <cell r="CV261" t="str">
            <v/>
          </cell>
          <cell r="CW261" t="str">
            <v/>
          </cell>
        </row>
        <row r="262">
          <cell r="CN262" t="str">
            <v/>
          </cell>
          <cell r="CO262" t="str">
            <v/>
          </cell>
          <cell r="CP262" t="str">
            <v/>
          </cell>
          <cell r="CQ262" t="str">
            <v/>
          </cell>
          <cell r="CR262" t="str">
            <v/>
          </cell>
          <cell r="CS262" t="str">
            <v/>
          </cell>
          <cell r="CT262" t="str">
            <v/>
          </cell>
          <cell r="CU262" t="str">
            <v/>
          </cell>
          <cell r="CV262" t="str">
            <v/>
          </cell>
          <cell r="CW262" t="str">
            <v/>
          </cell>
        </row>
        <row r="263">
          <cell r="CN263" t="str">
            <v/>
          </cell>
          <cell r="CO263" t="str">
            <v/>
          </cell>
          <cell r="CP263" t="str">
            <v/>
          </cell>
          <cell r="CQ263" t="str">
            <v/>
          </cell>
          <cell r="CR263" t="str">
            <v/>
          </cell>
          <cell r="CS263" t="str">
            <v/>
          </cell>
          <cell r="CT263" t="str">
            <v/>
          </cell>
          <cell r="CU263" t="str">
            <v/>
          </cell>
          <cell r="CV263" t="str">
            <v/>
          </cell>
          <cell r="CW263" t="str">
            <v/>
          </cell>
        </row>
        <row r="264">
          <cell r="CN264" t="str">
            <v/>
          </cell>
          <cell r="CO264" t="str">
            <v/>
          </cell>
          <cell r="CP264" t="str">
            <v/>
          </cell>
          <cell r="CQ264" t="str">
            <v/>
          </cell>
          <cell r="CR264" t="str">
            <v/>
          </cell>
          <cell r="CS264" t="str">
            <v/>
          </cell>
          <cell r="CT264" t="str">
            <v/>
          </cell>
          <cell r="CU264" t="str">
            <v/>
          </cell>
          <cell r="CV264" t="str">
            <v/>
          </cell>
          <cell r="CW264" t="str">
            <v/>
          </cell>
        </row>
        <row r="265">
          <cell r="CN265" t="str">
            <v/>
          </cell>
          <cell r="CO265" t="str">
            <v/>
          </cell>
          <cell r="CP265" t="str">
            <v/>
          </cell>
          <cell r="CQ265" t="str">
            <v/>
          </cell>
          <cell r="CR265" t="str">
            <v/>
          </cell>
          <cell r="CS265" t="str">
            <v/>
          </cell>
          <cell r="CT265" t="str">
            <v/>
          </cell>
          <cell r="CU265" t="str">
            <v/>
          </cell>
          <cell r="CV265" t="str">
            <v/>
          </cell>
          <cell r="CW265" t="str">
            <v/>
          </cell>
        </row>
        <row r="266">
          <cell r="CN266" t="str">
            <v/>
          </cell>
          <cell r="CO266" t="str">
            <v/>
          </cell>
          <cell r="CP266" t="str">
            <v/>
          </cell>
          <cell r="CQ266" t="str">
            <v/>
          </cell>
          <cell r="CR266" t="str">
            <v/>
          </cell>
          <cell r="CS266" t="str">
            <v/>
          </cell>
          <cell r="CT266" t="str">
            <v/>
          </cell>
          <cell r="CU266" t="str">
            <v/>
          </cell>
          <cell r="CV266" t="str">
            <v/>
          </cell>
          <cell r="CW266" t="str">
            <v/>
          </cell>
        </row>
        <row r="267">
          <cell r="CN267" t="str">
            <v/>
          </cell>
          <cell r="CO267" t="str">
            <v/>
          </cell>
          <cell r="CP267" t="str">
            <v/>
          </cell>
          <cell r="CQ267" t="str">
            <v/>
          </cell>
          <cell r="CR267" t="str">
            <v/>
          </cell>
          <cell r="CS267" t="str">
            <v/>
          </cell>
          <cell r="CT267" t="str">
            <v/>
          </cell>
          <cell r="CU267" t="str">
            <v/>
          </cell>
          <cell r="CV267" t="str">
            <v/>
          </cell>
          <cell r="CW267" t="str">
            <v/>
          </cell>
        </row>
        <row r="268">
          <cell r="CN268" t="str">
            <v/>
          </cell>
          <cell r="CO268" t="str">
            <v/>
          </cell>
          <cell r="CP268" t="str">
            <v/>
          </cell>
          <cell r="CQ268" t="str">
            <v/>
          </cell>
          <cell r="CR268" t="str">
            <v/>
          </cell>
          <cell r="CS268" t="str">
            <v/>
          </cell>
          <cell r="CT268" t="str">
            <v/>
          </cell>
          <cell r="CU268" t="str">
            <v/>
          </cell>
          <cell r="CV268" t="str">
            <v/>
          </cell>
          <cell r="CW268" t="str">
            <v/>
          </cell>
        </row>
        <row r="269">
          <cell r="CN269" t="str">
            <v/>
          </cell>
          <cell r="CO269" t="str">
            <v/>
          </cell>
          <cell r="CP269" t="str">
            <v/>
          </cell>
          <cell r="CQ269" t="str">
            <v/>
          </cell>
          <cell r="CR269" t="str">
            <v/>
          </cell>
          <cell r="CS269" t="str">
            <v/>
          </cell>
          <cell r="CT269" t="str">
            <v/>
          </cell>
          <cell r="CU269" t="str">
            <v/>
          </cell>
          <cell r="CV269" t="str">
            <v/>
          </cell>
          <cell r="CW269" t="str">
            <v/>
          </cell>
        </row>
        <row r="270">
          <cell r="CN270" t="str">
            <v/>
          </cell>
          <cell r="CO270" t="str">
            <v/>
          </cell>
          <cell r="CP270" t="str">
            <v/>
          </cell>
          <cell r="CQ270" t="str">
            <v/>
          </cell>
          <cell r="CR270" t="str">
            <v/>
          </cell>
          <cell r="CS270" t="str">
            <v/>
          </cell>
          <cell r="CT270" t="str">
            <v/>
          </cell>
          <cell r="CU270" t="str">
            <v/>
          </cell>
          <cell r="CV270" t="str">
            <v/>
          </cell>
          <cell r="CW270" t="str">
            <v/>
          </cell>
        </row>
        <row r="271">
          <cell r="CN271" t="str">
            <v/>
          </cell>
          <cell r="CO271" t="str">
            <v/>
          </cell>
          <cell r="CP271" t="str">
            <v/>
          </cell>
          <cell r="CQ271" t="str">
            <v/>
          </cell>
          <cell r="CR271" t="str">
            <v/>
          </cell>
          <cell r="CS271" t="str">
            <v/>
          </cell>
          <cell r="CT271" t="str">
            <v/>
          </cell>
          <cell r="CU271" t="str">
            <v/>
          </cell>
          <cell r="CV271" t="str">
            <v/>
          </cell>
          <cell r="CW271" t="str">
            <v/>
          </cell>
        </row>
        <row r="272">
          <cell r="CN272" t="str">
            <v/>
          </cell>
          <cell r="CO272" t="str">
            <v/>
          </cell>
          <cell r="CP272" t="str">
            <v/>
          </cell>
          <cell r="CQ272" t="str">
            <v/>
          </cell>
          <cell r="CR272" t="str">
            <v/>
          </cell>
          <cell r="CS272" t="str">
            <v/>
          </cell>
          <cell r="CT272" t="str">
            <v/>
          </cell>
          <cell r="CU272" t="str">
            <v/>
          </cell>
          <cell r="CV272" t="str">
            <v/>
          </cell>
          <cell r="CW272" t="str">
            <v/>
          </cell>
        </row>
        <row r="273">
          <cell r="CN273" t="str">
            <v/>
          </cell>
          <cell r="CO273" t="str">
            <v/>
          </cell>
          <cell r="CP273" t="str">
            <v/>
          </cell>
          <cell r="CQ273" t="str">
            <v/>
          </cell>
          <cell r="CR273" t="str">
            <v/>
          </cell>
          <cell r="CS273" t="str">
            <v/>
          </cell>
          <cell r="CT273" t="str">
            <v/>
          </cell>
          <cell r="CU273" t="str">
            <v/>
          </cell>
          <cell r="CV273" t="str">
            <v/>
          </cell>
          <cell r="CW273" t="str">
            <v/>
          </cell>
        </row>
        <row r="274">
          <cell r="CN274" t="str">
            <v/>
          </cell>
          <cell r="CO274" t="str">
            <v/>
          </cell>
          <cell r="CP274" t="str">
            <v/>
          </cell>
          <cell r="CQ274" t="str">
            <v/>
          </cell>
          <cell r="CR274" t="str">
            <v/>
          </cell>
          <cell r="CS274" t="str">
            <v/>
          </cell>
          <cell r="CT274" t="str">
            <v/>
          </cell>
          <cell r="CU274" t="str">
            <v/>
          </cell>
          <cell r="CV274" t="str">
            <v/>
          </cell>
          <cell r="CW274" t="str">
            <v/>
          </cell>
        </row>
        <row r="275">
          <cell r="CN275" t="str">
            <v/>
          </cell>
          <cell r="CO275" t="str">
            <v/>
          </cell>
          <cell r="CP275" t="str">
            <v/>
          </cell>
          <cell r="CQ275" t="str">
            <v/>
          </cell>
          <cell r="CR275" t="str">
            <v/>
          </cell>
          <cell r="CS275" t="str">
            <v/>
          </cell>
          <cell r="CT275" t="str">
            <v/>
          </cell>
          <cell r="CU275" t="str">
            <v/>
          </cell>
          <cell r="CV275" t="str">
            <v/>
          </cell>
          <cell r="CW275" t="str">
            <v/>
          </cell>
        </row>
        <row r="276">
          <cell r="CN276" t="str">
            <v/>
          </cell>
          <cell r="CO276" t="str">
            <v/>
          </cell>
          <cell r="CP276" t="str">
            <v/>
          </cell>
          <cell r="CQ276" t="str">
            <v/>
          </cell>
          <cell r="CR276" t="str">
            <v/>
          </cell>
          <cell r="CS276" t="str">
            <v/>
          </cell>
          <cell r="CT276" t="str">
            <v/>
          </cell>
          <cell r="CU276" t="str">
            <v/>
          </cell>
          <cell r="CV276" t="str">
            <v/>
          </cell>
          <cell r="CW276" t="str">
            <v/>
          </cell>
        </row>
        <row r="277">
          <cell r="CN277" t="str">
            <v/>
          </cell>
          <cell r="CO277" t="str">
            <v/>
          </cell>
          <cell r="CP277" t="str">
            <v/>
          </cell>
          <cell r="CQ277" t="str">
            <v/>
          </cell>
          <cell r="CR277" t="str">
            <v/>
          </cell>
          <cell r="CS277" t="str">
            <v/>
          </cell>
          <cell r="CT277" t="str">
            <v/>
          </cell>
          <cell r="CU277" t="str">
            <v/>
          </cell>
          <cell r="CV277" t="str">
            <v/>
          </cell>
          <cell r="CW277" t="str">
            <v/>
          </cell>
        </row>
        <row r="278">
          <cell r="CN278" t="str">
            <v/>
          </cell>
          <cell r="CO278" t="str">
            <v/>
          </cell>
          <cell r="CP278" t="str">
            <v/>
          </cell>
          <cell r="CQ278" t="str">
            <v/>
          </cell>
          <cell r="CR278" t="str">
            <v/>
          </cell>
          <cell r="CS278" t="str">
            <v/>
          </cell>
          <cell r="CT278" t="str">
            <v/>
          </cell>
          <cell r="CU278" t="str">
            <v/>
          </cell>
          <cell r="CV278" t="str">
            <v/>
          </cell>
          <cell r="CW278" t="str">
            <v/>
          </cell>
        </row>
        <row r="279">
          <cell r="CN279" t="str">
            <v/>
          </cell>
          <cell r="CO279" t="str">
            <v/>
          </cell>
          <cell r="CP279" t="str">
            <v/>
          </cell>
          <cell r="CQ279" t="str">
            <v/>
          </cell>
          <cell r="CR279" t="str">
            <v/>
          </cell>
          <cell r="CS279" t="str">
            <v/>
          </cell>
          <cell r="CT279" t="str">
            <v/>
          </cell>
          <cell r="CU279" t="str">
            <v/>
          </cell>
          <cell r="CV279" t="str">
            <v/>
          </cell>
          <cell r="CW279" t="str">
            <v/>
          </cell>
        </row>
        <row r="280">
          <cell r="CN280" t="str">
            <v/>
          </cell>
          <cell r="CO280" t="str">
            <v/>
          </cell>
          <cell r="CP280" t="str">
            <v/>
          </cell>
          <cell r="CQ280" t="str">
            <v/>
          </cell>
          <cell r="CR280" t="str">
            <v/>
          </cell>
          <cell r="CS280" t="str">
            <v/>
          </cell>
          <cell r="CT280" t="str">
            <v/>
          </cell>
          <cell r="CU280" t="str">
            <v/>
          </cell>
          <cell r="CV280" t="str">
            <v/>
          </cell>
          <cell r="CW280" t="str">
            <v/>
          </cell>
        </row>
        <row r="281">
          <cell r="CN281" t="str">
            <v/>
          </cell>
          <cell r="CO281" t="str">
            <v/>
          </cell>
          <cell r="CP281" t="str">
            <v/>
          </cell>
          <cell r="CQ281" t="str">
            <v/>
          </cell>
          <cell r="CR281" t="str">
            <v/>
          </cell>
          <cell r="CS281" t="str">
            <v/>
          </cell>
          <cell r="CT281" t="str">
            <v/>
          </cell>
          <cell r="CU281" t="str">
            <v/>
          </cell>
          <cell r="CV281" t="str">
            <v/>
          </cell>
          <cell r="CW281" t="str">
            <v/>
          </cell>
        </row>
        <row r="282">
          <cell r="CN282" t="str">
            <v/>
          </cell>
          <cell r="CO282" t="str">
            <v/>
          </cell>
          <cell r="CP282" t="str">
            <v/>
          </cell>
          <cell r="CQ282" t="str">
            <v/>
          </cell>
          <cell r="CR282" t="str">
            <v/>
          </cell>
          <cell r="CS282" t="str">
            <v/>
          </cell>
          <cell r="CT282" t="str">
            <v/>
          </cell>
          <cell r="CU282" t="str">
            <v/>
          </cell>
          <cell r="CV282" t="str">
            <v/>
          </cell>
          <cell r="CW282" t="str">
            <v/>
          </cell>
        </row>
        <row r="283">
          <cell r="CN283" t="str">
            <v/>
          </cell>
          <cell r="CO283" t="str">
            <v/>
          </cell>
          <cell r="CP283" t="str">
            <v/>
          </cell>
          <cell r="CQ283" t="str">
            <v/>
          </cell>
          <cell r="CR283" t="str">
            <v/>
          </cell>
          <cell r="CS283" t="str">
            <v/>
          </cell>
          <cell r="CT283" t="str">
            <v/>
          </cell>
          <cell r="CU283" t="str">
            <v/>
          </cell>
          <cell r="CV283" t="str">
            <v/>
          </cell>
          <cell r="CW283" t="str">
            <v/>
          </cell>
        </row>
        <row r="284">
          <cell r="CN284" t="str">
            <v/>
          </cell>
          <cell r="CO284" t="str">
            <v/>
          </cell>
          <cell r="CP284" t="str">
            <v/>
          </cell>
          <cell r="CQ284" t="str">
            <v/>
          </cell>
          <cell r="CR284" t="str">
            <v/>
          </cell>
          <cell r="CS284" t="str">
            <v/>
          </cell>
          <cell r="CT284" t="str">
            <v/>
          </cell>
          <cell r="CU284" t="str">
            <v/>
          </cell>
          <cell r="CV284" t="str">
            <v/>
          </cell>
          <cell r="CW284" t="str">
            <v/>
          </cell>
        </row>
        <row r="285">
          <cell r="CN285" t="str">
            <v/>
          </cell>
          <cell r="CO285" t="str">
            <v/>
          </cell>
          <cell r="CP285" t="str">
            <v/>
          </cell>
          <cell r="CQ285" t="str">
            <v/>
          </cell>
          <cell r="CR285" t="str">
            <v/>
          </cell>
          <cell r="CS285" t="str">
            <v/>
          </cell>
          <cell r="CT285" t="str">
            <v/>
          </cell>
          <cell r="CU285" t="str">
            <v/>
          </cell>
          <cell r="CV285" t="str">
            <v/>
          </cell>
          <cell r="CW285" t="str">
            <v/>
          </cell>
        </row>
        <row r="286">
          <cell r="CN286" t="str">
            <v/>
          </cell>
          <cell r="CO286" t="str">
            <v/>
          </cell>
          <cell r="CP286" t="str">
            <v/>
          </cell>
          <cell r="CQ286" t="str">
            <v/>
          </cell>
          <cell r="CR286" t="str">
            <v/>
          </cell>
          <cell r="CS286" t="str">
            <v/>
          </cell>
          <cell r="CT286" t="str">
            <v/>
          </cell>
          <cell r="CU286" t="str">
            <v/>
          </cell>
          <cell r="CV286" t="str">
            <v/>
          </cell>
          <cell r="CW286" t="str">
            <v/>
          </cell>
        </row>
        <row r="287">
          <cell r="CN287" t="str">
            <v/>
          </cell>
          <cell r="CO287" t="str">
            <v/>
          </cell>
          <cell r="CP287" t="str">
            <v/>
          </cell>
          <cell r="CQ287" t="str">
            <v/>
          </cell>
          <cell r="CR287" t="str">
            <v/>
          </cell>
          <cell r="CS287" t="str">
            <v/>
          </cell>
          <cell r="CT287" t="str">
            <v/>
          </cell>
          <cell r="CU287" t="str">
            <v/>
          </cell>
          <cell r="CV287" t="str">
            <v/>
          </cell>
          <cell r="CW287" t="str">
            <v/>
          </cell>
        </row>
        <row r="288">
          <cell r="CN288" t="str">
            <v/>
          </cell>
          <cell r="CO288" t="str">
            <v/>
          </cell>
          <cell r="CP288" t="str">
            <v/>
          </cell>
          <cell r="CQ288" t="str">
            <v/>
          </cell>
          <cell r="CR288" t="str">
            <v/>
          </cell>
          <cell r="CS288" t="str">
            <v/>
          </cell>
          <cell r="CT288" t="str">
            <v/>
          </cell>
          <cell r="CU288" t="str">
            <v/>
          </cell>
          <cell r="CV288" t="str">
            <v/>
          </cell>
          <cell r="CW288" t="str">
            <v/>
          </cell>
        </row>
        <row r="289">
          <cell r="CN289" t="str">
            <v/>
          </cell>
          <cell r="CO289" t="str">
            <v/>
          </cell>
          <cell r="CP289" t="str">
            <v/>
          </cell>
          <cell r="CQ289" t="str">
            <v/>
          </cell>
          <cell r="CR289" t="str">
            <v/>
          </cell>
          <cell r="CS289" t="str">
            <v/>
          </cell>
          <cell r="CT289" t="str">
            <v/>
          </cell>
          <cell r="CU289" t="str">
            <v/>
          </cell>
          <cell r="CV289" t="str">
            <v/>
          </cell>
          <cell r="CW289" t="str">
            <v/>
          </cell>
        </row>
        <row r="290">
          <cell r="CN290" t="str">
            <v/>
          </cell>
          <cell r="CO290" t="str">
            <v/>
          </cell>
          <cell r="CP290" t="str">
            <v/>
          </cell>
          <cell r="CQ290" t="str">
            <v/>
          </cell>
          <cell r="CR290" t="str">
            <v/>
          </cell>
          <cell r="CS290" t="str">
            <v/>
          </cell>
          <cell r="CT290" t="str">
            <v/>
          </cell>
          <cell r="CU290" t="str">
            <v/>
          </cell>
          <cell r="CV290" t="str">
            <v/>
          </cell>
          <cell r="CW290" t="str">
            <v/>
          </cell>
        </row>
        <row r="291">
          <cell r="CN291" t="str">
            <v/>
          </cell>
          <cell r="CO291" t="str">
            <v/>
          </cell>
          <cell r="CP291" t="str">
            <v/>
          </cell>
          <cell r="CQ291" t="str">
            <v/>
          </cell>
          <cell r="CR291" t="str">
            <v/>
          </cell>
          <cell r="CS291" t="str">
            <v/>
          </cell>
          <cell r="CT291" t="str">
            <v/>
          </cell>
          <cell r="CU291" t="str">
            <v/>
          </cell>
          <cell r="CV291" t="str">
            <v/>
          </cell>
          <cell r="CW291" t="str">
            <v/>
          </cell>
        </row>
        <row r="292">
          <cell r="CN292" t="str">
            <v/>
          </cell>
          <cell r="CO292" t="str">
            <v/>
          </cell>
          <cell r="CP292" t="str">
            <v/>
          </cell>
          <cell r="CQ292" t="str">
            <v/>
          </cell>
          <cell r="CR292" t="str">
            <v/>
          </cell>
          <cell r="CS292" t="str">
            <v/>
          </cell>
          <cell r="CT292" t="str">
            <v/>
          </cell>
          <cell r="CU292" t="str">
            <v/>
          </cell>
          <cell r="CV292" t="str">
            <v/>
          </cell>
          <cell r="CW292" t="str">
            <v/>
          </cell>
        </row>
        <row r="293">
          <cell r="CN293" t="str">
            <v/>
          </cell>
          <cell r="CO293" t="str">
            <v/>
          </cell>
          <cell r="CP293" t="str">
            <v/>
          </cell>
          <cell r="CQ293" t="str">
            <v/>
          </cell>
          <cell r="CR293" t="str">
            <v/>
          </cell>
          <cell r="CS293" t="str">
            <v/>
          </cell>
          <cell r="CT293" t="str">
            <v/>
          </cell>
          <cell r="CU293" t="str">
            <v/>
          </cell>
          <cell r="CV293" t="str">
            <v/>
          </cell>
          <cell r="CW293" t="str">
            <v/>
          </cell>
        </row>
        <row r="294">
          <cell r="CN294" t="str">
            <v/>
          </cell>
          <cell r="CO294" t="str">
            <v/>
          </cell>
          <cell r="CP294" t="str">
            <v/>
          </cell>
          <cell r="CQ294" t="str">
            <v/>
          </cell>
          <cell r="CR294" t="str">
            <v/>
          </cell>
          <cell r="CS294" t="str">
            <v/>
          </cell>
          <cell r="CT294" t="str">
            <v/>
          </cell>
          <cell r="CU294" t="str">
            <v/>
          </cell>
          <cell r="CV294" t="str">
            <v/>
          </cell>
          <cell r="CW294" t="str">
            <v/>
          </cell>
        </row>
        <row r="295">
          <cell r="CN295" t="str">
            <v/>
          </cell>
          <cell r="CO295" t="str">
            <v/>
          </cell>
          <cell r="CP295" t="str">
            <v/>
          </cell>
          <cell r="CQ295" t="str">
            <v/>
          </cell>
          <cell r="CR295" t="str">
            <v/>
          </cell>
          <cell r="CS295" t="str">
            <v/>
          </cell>
          <cell r="CT295" t="str">
            <v/>
          </cell>
          <cell r="CU295" t="str">
            <v/>
          </cell>
          <cell r="CV295" t="str">
            <v/>
          </cell>
          <cell r="CW295" t="str">
            <v/>
          </cell>
        </row>
        <row r="296">
          <cell r="CN296" t="str">
            <v/>
          </cell>
          <cell r="CO296" t="str">
            <v/>
          </cell>
          <cell r="CP296" t="str">
            <v/>
          </cell>
          <cell r="CQ296" t="str">
            <v/>
          </cell>
          <cell r="CR296" t="str">
            <v/>
          </cell>
          <cell r="CS296" t="str">
            <v/>
          </cell>
          <cell r="CT296" t="str">
            <v/>
          </cell>
          <cell r="CU296" t="str">
            <v/>
          </cell>
          <cell r="CV296" t="str">
            <v/>
          </cell>
          <cell r="CW296" t="str">
            <v/>
          </cell>
        </row>
        <row r="297">
          <cell r="CN297" t="str">
            <v/>
          </cell>
          <cell r="CO297" t="str">
            <v/>
          </cell>
          <cell r="CP297" t="str">
            <v/>
          </cell>
          <cell r="CQ297" t="str">
            <v/>
          </cell>
          <cell r="CR297" t="str">
            <v/>
          </cell>
          <cell r="CS297" t="str">
            <v/>
          </cell>
          <cell r="CT297" t="str">
            <v/>
          </cell>
          <cell r="CU297" t="str">
            <v/>
          </cell>
          <cell r="CV297" t="str">
            <v/>
          </cell>
          <cell r="CW297" t="str">
            <v/>
          </cell>
        </row>
        <row r="298">
          <cell r="CN298" t="str">
            <v/>
          </cell>
          <cell r="CO298" t="str">
            <v/>
          </cell>
          <cell r="CP298" t="str">
            <v/>
          </cell>
          <cell r="CQ298" t="str">
            <v/>
          </cell>
          <cell r="CR298" t="str">
            <v/>
          </cell>
          <cell r="CS298" t="str">
            <v/>
          </cell>
          <cell r="CT298" t="str">
            <v/>
          </cell>
          <cell r="CU298" t="str">
            <v/>
          </cell>
          <cell r="CV298" t="str">
            <v/>
          </cell>
          <cell r="CW298" t="str">
            <v/>
          </cell>
        </row>
        <row r="299">
          <cell r="CN299" t="str">
            <v/>
          </cell>
          <cell r="CO299" t="str">
            <v/>
          </cell>
          <cell r="CP299" t="str">
            <v/>
          </cell>
          <cell r="CQ299" t="str">
            <v/>
          </cell>
          <cell r="CR299" t="str">
            <v/>
          </cell>
          <cell r="CS299" t="str">
            <v/>
          </cell>
          <cell r="CT299" t="str">
            <v/>
          </cell>
          <cell r="CU299" t="str">
            <v/>
          </cell>
          <cell r="CV299" t="str">
            <v/>
          </cell>
          <cell r="CW299" t="str">
            <v/>
          </cell>
        </row>
        <row r="300">
          <cell r="CN300" t="str">
            <v/>
          </cell>
          <cell r="CO300" t="str">
            <v/>
          </cell>
          <cell r="CP300" t="str">
            <v/>
          </cell>
          <cell r="CQ300" t="str">
            <v/>
          </cell>
          <cell r="CR300" t="str">
            <v/>
          </cell>
          <cell r="CS300" t="str">
            <v/>
          </cell>
          <cell r="CT300" t="str">
            <v/>
          </cell>
          <cell r="CU300" t="str">
            <v/>
          </cell>
          <cell r="CV300" t="str">
            <v/>
          </cell>
          <cell r="CW300" t="str">
            <v/>
          </cell>
        </row>
        <row r="301">
          <cell r="CN301" t="str">
            <v/>
          </cell>
          <cell r="CO301" t="str">
            <v/>
          </cell>
          <cell r="CP301" t="str">
            <v/>
          </cell>
          <cell r="CQ301" t="str">
            <v/>
          </cell>
          <cell r="CR301" t="str">
            <v/>
          </cell>
          <cell r="CS301" t="str">
            <v/>
          </cell>
          <cell r="CT301" t="str">
            <v/>
          </cell>
          <cell r="CU301" t="str">
            <v/>
          </cell>
          <cell r="CV301" t="str">
            <v/>
          </cell>
          <cell r="CW301" t="str">
            <v/>
          </cell>
        </row>
        <row r="302">
          <cell r="CN302" t="str">
            <v/>
          </cell>
          <cell r="CO302" t="str">
            <v/>
          </cell>
          <cell r="CP302" t="str">
            <v/>
          </cell>
          <cell r="CQ302" t="str">
            <v/>
          </cell>
          <cell r="CR302" t="str">
            <v/>
          </cell>
          <cell r="CS302" t="str">
            <v/>
          </cell>
          <cell r="CT302" t="str">
            <v/>
          </cell>
          <cell r="CU302" t="str">
            <v/>
          </cell>
          <cell r="CV302" t="str">
            <v/>
          </cell>
          <cell r="CW302" t="str">
            <v/>
          </cell>
        </row>
        <row r="303">
          <cell r="CN303" t="str">
            <v/>
          </cell>
          <cell r="CO303" t="str">
            <v/>
          </cell>
          <cell r="CP303" t="str">
            <v/>
          </cell>
          <cell r="CQ303" t="str">
            <v/>
          </cell>
          <cell r="CR303" t="str">
            <v/>
          </cell>
          <cell r="CS303" t="str">
            <v/>
          </cell>
          <cell r="CT303" t="str">
            <v/>
          </cell>
          <cell r="CU303" t="str">
            <v/>
          </cell>
          <cell r="CV303" t="str">
            <v/>
          </cell>
          <cell r="CW303" t="str">
            <v/>
          </cell>
        </row>
        <row r="304">
          <cell r="CN304" t="str">
            <v/>
          </cell>
          <cell r="CO304" t="str">
            <v/>
          </cell>
          <cell r="CP304" t="str">
            <v/>
          </cell>
          <cell r="CQ304" t="str">
            <v/>
          </cell>
          <cell r="CR304" t="str">
            <v/>
          </cell>
          <cell r="CS304" t="str">
            <v/>
          </cell>
          <cell r="CT304" t="str">
            <v/>
          </cell>
          <cell r="CU304" t="str">
            <v/>
          </cell>
          <cell r="CV304" t="str">
            <v/>
          </cell>
          <cell r="CW304" t="str">
            <v/>
          </cell>
        </row>
        <row r="305">
          <cell r="CN305" t="str">
            <v/>
          </cell>
          <cell r="CO305" t="str">
            <v/>
          </cell>
          <cell r="CP305" t="str">
            <v/>
          </cell>
          <cell r="CQ305" t="str">
            <v/>
          </cell>
          <cell r="CR305" t="str">
            <v/>
          </cell>
          <cell r="CS305" t="str">
            <v/>
          </cell>
          <cell r="CT305" t="str">
            <v/>
          </cell>
          <cell r="CU305" t="str">
            <v/>
          </cell>
          <cell r="CV305" t="str">
            <v/>
          </cell>
          <cell r="CW305" t="str">
            <v/>
          </cell>
        </row>
        <row r="306">
          <cell r="CN306" t="str">
            <v/>
          </cell>
          <cell r="CO306" t="str">
            <v/>
          </cell>
          <cell r="CP306" t="str">
            <v/>
          </cell>
          <cell r="CQ306" t="str">
            <v/>
          </cell>
          <cell r="CR306" t="str">
            <v/>
          </cell>
          <cell r="CS306" t="str">
            <v/>
          </cell>
          <cell r="CT306" t="str">
            <v/>
          </cell>
          <cell r="CU306" t="str">
            <v/>
          </cell>
          <cell r="CV306" t="str">
            <v/>
          </cell>
          <cell r="CW306" t="str">
            <v/>
          </cell>
        </row>
        <row r="307">
          <cell r="CN307" t="str">
            <v/>
          </cell>
          <cell r="CO307" t="str">
            <v/>
          </cell>
          <cell r="CP307" t="str">
            <v/>
          </cell>
          <cell r="CQ307" t="str">
            <v/>
          </cell>
          <cell r="CR307" t="str">
            <v/>
          </cell>
          <cell r="CS307" t="str">
            <v/>
          </cell>
          <cell r="CT307" t="str">
            <v/>
          </cell>
          <cell r="CU307" t="str">
            <v/>
          </cell>
          <cell r="CV307" t="str">
            <v/>
          </cell>
          <cell r="CW307" t="str">
            <v/>
          </cell>
        </row>
        <row r="308">
          <cell r="CN308" t="str">
            <v/>
          </cell>
          <cell r="CO308" t="str">
            <v/>
          </cell>
          <cell r="CP308" t="str">
            <v/>
          </cell>
          <cell r="CQ308" t="str">
            <v/>
          </cell>
          <cell r="CR308" t="str">
            <v/>
          </cell>
          <cell r="CS308" t="str">
            <v/>
          </cell>
          <cell r="CT308" t="str">
            <v/>
          </cell>
          <cell r="CU308" t="str">
            <v/>
          </cell>
          <cell r="CV308" t="str">
            <v/>
          </cell>
          <cell r="CW308" t="str">
            <v/>
          </cell>
        </row>
        <row r="309">
          <cell r="CN309" t="str">
            <v/>
          </cell>
          <cell r="CO309" t="str">
            <v/>
          </cell>
          <cell r="CP309" t="str">
            <v/>
          </cell>
          <cell r="CQ309" t="str">
            <v/>
          </cell>
          <cell r="CR309" t="str">
            <v/>
          </cell>
          <cell r="CS309" t="str">
            <v/>
          </cell>
          <cell r="CT309" t="str">
            <v/>
          </cell>
          <cell r="CU309" t="str">
            <v/>
          </cell>
          <cell r="CV309" t="str">
            <v/>
          </cell>
          <cell r="CW309" t="str">
            <v/>
          </cell>
        </row>
        <row r="310">
          <cell r="CN310" t="str">
            <v/>
          </cell>
          <cell r="CO310" t="str">
            <v/>
          </cell>
          <cell r="CP310" t="str">
            <v/>
          </cell>
          <cell r="CQ310" t="str">
            <v/>
          </cell>
          <cell r="CR310" t="str">
            <v/>
          </cell>
          <cell r="CS310" t="str">
            <v/>
          </cell>
          <cell r="CT310" t="str">
            <v/>
          </cell>
          <cell r="CU310" t="str">
            <v/>
          </cell>
          <cell r="CV310" t="str">
            <v/>
          </cell>
          <cell r="CW310" t="str">
            <v/>
          </cell>
        </row>
        <row r="311">
          <cell r="CN311" t="str">
            <v/>
          </cell>
          <cell r="CO311" t="str">
            <v/>
          </cell>
          <cell r="CP311" t="str">
            <v/>
          </cell>
          <cell r="CQ311" t="str">
            <v/>
          </cell>
          <cell r="CR311" t="str">
            <v/>
          </cell>
          <cell r="CS311" t="str">
            <v/>
          </cell>
          <cell r="CT311" t="str">
            <v/>
          </cell>
          <cell r="CU311" t="str">
            <v/>
          </cell>
          <cell r="CV311" t="str">
            <v/>
          </cell>
          <cell r="CW311" t="str">
            <v/>
          </cell>
        </row>
        <row r="312">
          <cell r="CN312" t="str">
            <v/>
          </cell>
          <cell r="CO312" t="str">
            <v/>
          </cell>
          <cell r="CP312" t="str">
            <v/>
          </cell>
          <cell r="CQ312" t="str">
            <v/>
          </cell>
          <cell r="CR312" t="str">
            <v/>
          </cell>
          <cell r="CS312" t="str">
            <v/>
          </cell>
          <cell r="CT312" t="str">
            <v/>
          </cell>
          <cell r="CU312" t="str">
            <v/>
          </cell>
          <cell r="CV312" t="str">
            <v/>
          </cell>
          <cell r="CW312" t="str">
            <v/>
          </cell>
        </row>
        <row r="313">
          <cell r="CN313" t="str">
            <v/>
          </cell>
          <cell r="CO313" t="str">
            <v/>
          </cell>
          <cell r="CP313" t="str">
            <v/>
          </cell>
          <cell r="CQ313" t="str">
            <v/>
          </cell>
          <cell r="CR313" t="str">
            <v/>
          </cell>
          <cell r="CS313" t="str">
            <v/>
          </cell>
          <cell r="CT313" t="str">
            <v/>
          </cell>
          <cell r="CU313" t="str">
            <v/>
          </cell>
          <cell r="CV313" t="str">
            <v/>
          </cell>
          <cell r="CW313" t="str">
            <v/>
          </cell>
        </row>
        <row r="314">
          <cell r="CN314" t="str">
            <v/>
          </cell>
          <cell r="CO314" t="str">
            <v/>
          </cell>
          <cell r="CP314" t="str">
            <v/>
          </cell>
          <cell r="CQ314" t="str">
            <v/>
          </cell>
          <cell r="CR314" t="str">
            <v/>
          </cell>
          <cell r="CS314" t="str">
            <v/>
          </cell>
          <cell r="CT314" t="str">
            <v/>
          </cell>
          <cell r="CU314" t="str">
            <v/>
          </cell>
          <cell r="CV314" t="str">
            <v/>
          </cell>
          <cell r="CW314" t="str">
            <v/>
          </cell>
        </row>
        <row r="315">
          <cell r="CN315" t="str">
            <v/>
          </cell>
          <cell r="CO315" t="str">
            <v/>
          </cell>
          <cell r="CP315" t="str">
            <v/>
          </cell>
          <cell r="CQ315" t="str">
            <v/>
          </cell>
          <cell r="CR315" t="str">
            <v/>
          </cell>
          <cell r="CS315" t="str">
            <v/>
          </cell>
          <cell r="CT315" t="str">
            <v/>
          </cell>
          <cell r="CU315" t="str">
            <v/>
          </cell>
          <cell r="CV315" t="str">
            <v/>
          </cell>
          <cell r="CW315" t="str">
            <v/>
          </cell>
        </row>
        <row r="316">
          <cell r="CN316" t="str">
            <v/>
          </cell>
          <cell r="CO316" t="str">
            <v/>
          </cell>
          <cell r="CP316" t="str">
            <v/>
          </cell>
          <cell r="CQ316" t="str">
            <v/>
          </cell>
          <cell r="CR316" t="str">
            <v/>
          </cell>
          <cell r="CS316" t="str">
            <v/>
          </cell>
          <cell r="CT316" t="str">
            <v/>
          </cell>
          <cell r="CU316" t="str">
            <v/>
          </cell>
          <cell r="CV316" t="str">
            <v/>
          </cell>
          <cell r="CW316" t="str">
            <v/>
          </cell>
        </row>
        <row r="317">
          <cell r="CN317" t="str">
            <v/>
          </cell>
          <cell r="CO317" t="str">
            <v/>
          </cell>
          <cell r="CP317" t="str">
            <v/>
          </cell>
          <cell r="CQ317" t="str">
            <v/>
          </cell>
          <cell r="CR317" t="str">
            <v/>
          </cell>
          <cell r="CS317" t="str">
            <v/>
          </cell>
          <cell r="CT317" t="str">
            <v/>
          </cell>
          <cell r="CU317" t="str">
            <v/>
          </cell>
          <cell r="CV317" t="str">
            <v/>
          </cell>
          <cell r="CW317" t="str">
            <v/>
          </cell>
        </row>
        <row r="318">
          <cell r="CN318" t="str">
            <v/>
          </cell>
          <cell r="CO318" t="str">
            <v/>
          </cell>
          <cell r="CP318" t="str">
            <v/>
          </cell>
          <cell r="CQ318" t="str">
            <v/>
          </cell>
          <cell r="CR318" t="str">
            <v/>
          </cell>
          <cell r="CS318" t="str">
            <v/>
          </cell>
          <cell r="CT318" t="str">
            <v/>
          </cell>
          <cell r="CU318" t="str">
            <v/>
          </cell>
          <cell r="CV318" t="str">
            <v/>
          </cell>
          <cell r="CW318" t="str">
            <v/>
          </cell>
        </row>
        <row r="319">
          <cell r="CN319" t="str">
            <v/>
          </cell>
          <cell r="CO319" t="str">
            <v/>
          </cell>
          <cell r="CP319" t="str">
            <v/>
          </cell>
          <cell r="CQ319" t="str">
            <v/>
          </cell>
          <cell r="CR319" t="str">
            <v/>
          </cell>
          <cell r="CS319" t="str">
            <v/>
          </cell>
          <cell r="CT319" t="str">
            <v/>
          </cell>
          <cell r="CU319" t="str">
            <v/>
          </cell>
          <cell r="CV319" t="str">
            <v/>
          </cell>
          <cell r="CW319" t="str">
            <v/>
          </cell>
        </row>
        <row r="320">
          <cell r="CN320" t="str">
            <v/>
          </cell>
          <cell r="CO320" t="str">
            <v/>
          </cell>
          <cell r="CP320" t="str">
            <v/>
          </cell>
          <cell r="CQ320" t="str">
            <v/>
          </cell>
          <cell r="CR320" t="str">
            <v/>
          </cell>
          <cell r="CS320" t="str">
            <v/>
          </cell>
          <cell r="CT320" t="str">
            <v/>
          </cell>
          <cell r="CU320" t="str">
            <v/>
          </cell>
          <cell r="CV320" t="str">
            <v/>
          </cell>
          <cell r="CW320" t="str">
            <v/>
          </cell>
        </row>
        <row r="321">
          <cell r="CN321" t="str">
            <v/>
          </cell>
          <cell r="CO321" t="str">
            <v/>
          </cell>
          <cell r="CP321" t="str">
            <v/>
          </cell>
          <cell r="CQ321" t="str">
            <v/>
          </cell>
          <cell r="CR321" t="str">
            <v/>
          </cell>
          <cell r="CS321" t="str">
            <v/>
          </cell>
          <cell r="CT321" t="str">
            <v/>
          </cell>
          <cell r="CU321" t="str">
            <v/>
          </cell>
          <cell r="CV321" t="str">
            <v/>
          </cell>
          <cell r="CW321" t="str">
            <v/>
          </cell>
        </row>
        <row r="322">
          <cell r="CN322" t="str">
            <v/>
          </cell>
          <cell r="CO322" t="str">
            <v/>
          </cell>
          <cell r="CP322" t="str">
            <v/>
          </cell>
          <cell r="CQ322" t="str">
            <v/>
          </cell>
          <cell r="CR322" t="str">
            <v/>
          </cell>
          <cell r="CS322" t="str">
            <v/>
          </cell>
          <cell r="CT322" t="str">
            <v/>
          </cell>
          <cell r="CU322" t="str">
            <v/>
          </cell>
          <cell r="CV322" t="str">
            <v/>
          </cell>
          <cell r="CW322" t="str">
            <v/>
          </cell>
        </row>
        <row r="323">
          <cell r="CN323" t="str">
            <v/>
          </cell>
          <cell r="CO323" t="str">
            <v/>
          </cell>
          <cell r="CP323" t="str">
            <v/>
          </cell>
          <cell r="CQ323" t="str">
            <v/>
          </cell>
          <cell r="CR323" t="str">
            <v/>
          </cell>
          <cell r="CS323" t="str">
            <v/>
          </cell>
          <cell r="CT323" t="str">
            <v/>
          </cell>
          <cell r="CU323" t="str">
            <v/>
          </cell>
          <cell r="CV323" t="str">
            <v/>
          </cell>
          <cell r="CW323" t="str">
            <v/>
          </cell>
        </row>
        <row r="324">
          <cell r="CN324" t="str">
            <v/>
          </cell>
          <cell r="CO324" t="str">
            <v/>
          </cell>
          <cell r="CP324" t="str">
            <v/>
          </cell>
          <cell r="CQ324" t="str">
            <v/>
          </cell>
          <cell r="CR324" t="str">
            <v/>
          </cell>
          <cell r="CS324" t="str">
            <v/>
          </cell>
          <cell r="CT324" t="str">
            <v/>
          </cell>
          <cell r="CU324" t="str">
            <v/>
          </cell>
          <cell r="CV324" t="str">
            <v/>
          </cell>
          <cell r="CW324" t="str">
            <v/>
          </cell>
        </row>
        <row r="325">
          <cell r="CN325" t="str">
            <v/>
          </cell>
          <cell r="CO325" t="str">
            <v/>
          </cell>
          <cell r="CP325" t="str">
            <v/>
          </cell>
          <cell r="CQ325" t="str">
            <v/>
          </cell>
          <cell r="CR325" t="str">
            <v/>
          </cell>
          <cell r="CS325" t="str">
            <v/>
          </cell>
          <cell r="CT325" t="str">
            <v/>
          </cell>
          <cell r="CU325" t="str">
            <v/>
          </cell>
          <cell r="CV325" t="str">
            <v/>
          </cell>
          <cell r="CW325" t="str">
            <v/>
          </cell>
        </row>
        <row r="326">
          <cell r="CN326" t="str">
            <v/>
          </cell>
          <cell r="CO326" t="str">
            <v/>
          </cell>
          <cell r="CP326" t="str">
            <v/>
          </cell>
          <cell r="CQ326" t="str">
            <v/>
          </cell>
          <cell r="CR326" t="str">
            <v/>
          </cell>
          <cell r="CS326" t="str">
            <v/>
          </cell>
          <cell r="CT326" t="str">
            <v/>
          </cell>
          <cell r="CU326" t="str">
            <v/>
          </cell>
          <cell r="CV326" t="str">
            <v/>
          </cell>
          <cell r="CW326" t="str">
            <v/>
          </cell>
        </row>
        <row r="327">
          <cell r="CN327" t="str">
            <v/>
          </cell>
          <cell r="CO327" t="str">
            <v/>
          </cell>
          <cell r="CP327" t="str">
            <v/>
          </cell>
          <cell r="CQ327" t="str">
            <v/>
          </cell>
          <cell r="CR327" t="str">
            <v/>
          </cell>
          <cell r="CS327" t="str">
            <v/>
          </cell>
          <cell r="CT327" t="str">
            <v/>
          </cell>
          <cell r="CU327" t="str">
            <v/>
          </cell>
          <cell r="CV327" t="str">
            <v/>
          </cell>
          <cell r="CW327" t="str">
            <v/>
          </cell>
        </row>
        <row r="328">
          <cell r="CN328" t="str">
            <v/>
          </cell>
          <cell r="CO328" t="str">
            <v/>
          </cell>
          <cell r="CP328" t="str">
            <v/>
          </cell>
          <cell r="CQ328" t="str">
            <v/>
          </cell>
          <cell r="CR328" t="str">
            <v/>
          </cell>
          <cell r="CS328" t="str">
            <v/>
          </cell>
          <cell r="CT328" t="str">
            <v/>
          </cell>
          <cell r="CU328" t="str">
            <v/>
          </cell>
          <cell r="CV328" t="str">
            <v/>
          </cell>
          <cell r="CW328" t="str">
            <v/>
          </cell>
        </row>
        <row r="329">
          <cell r="CN329" t="str">
            <v/>
          </cell>
          <cell r="CO329" t="str">
            <v/>
          </cell>
          <cell r="CP329" t="str">
            <v/>
          </cell>
          <cell r="CQ329" t="str">
            <v/>
          </cell>
          <cell r="CR329" t="str">
            <v/>
          </cell>
          <cell r="CS329" t="str">
            <v/>
          </cell>
          <cell r="CT329" t="str">
            <v/>
          </cell>
          <cell r="CU329" t="str">
            <v/>
          </cell>
          <cell r="CV329" t="str">
            <v/>
          </cell>
          <cell r="CW329" t="str">
            <v/>
          </cell>
        </row>
        <row r="330">
          <cell r="CN330" t="str">
            <v/>
          </cell>
          <cell r="CO330" t="str">
            <v/>
          </cell>
          <cell r="CP330" t="str">
            <v/>
          </cell>
          <cell r="CQ330" t="str">
            <v/>
          </cell>
          <cell r="CR330" t="str">
            <v/>
          </cell>
          <cell r="CS330" t="str">
            <v/>
          </cell>
          <cell r="CT330" t="str">
            <v/>
          </cell>
          <cell r="CU330" t="str">
            <v/>
          </cell>
          <cell r="CV330" t="str">
            <v/>
          </cell>
          <cell r="CW330" t="str">
            <v/>
          </cell>
        </row>
        <row r="331">
          <cell r="CN331" t="str">
            <v/>
          </cell>
          <cell r="CO331" t="str">
            <v/>
          </cell>
          <cell r="CP331" t="str">
            <v/>
          </cell>
          <cell r="CQ331" t="str">
            <v/>
          </cell>
          <cell r="CR331" t="str">
            <v/>
          </cell>
          <cell r="CS331" t="str">
            <v/>
          </cell>
          <cell r="CT331" t="str">
            <v/>
          </cell>
          <cell r="CU331" t="str">
            <v/>
          </cell>
          <cell r="CV331" t="str">
            <v/>
          </cell>
          <cell r="CW331" t="str">
            <v/>
          </cell>
        </row>
        <row r="332">
          <cell r="CN332" t="str">
            <v/>
          </cell>
          <cell r="CO332" t="str">
            <v/>
          </cell>
          <cell r="CP332" t="str">
            <v/>
          </cell>
          <cell r="CQ332" t="str">
            <v/>
          </cell>
          <cell r="CR332" t="str">
            <v/>
          </cell>
          <cell r="CS332" t="str">
            <v/>
          </cell>
          <cell r="CT332" t="str">
            <v/>
          </cell>
          <cell r="CU332" t="str">
            <v/>
          </cell>
          <cell r="CV332" t="str">
            <v/>
          </cell>
          <cell r="CW332" t="str">
            <v/>
          </cell>
        </row>
        <row r="333">
          <cell r="CN333" t="str">
            <v/>
          </cell>
          <cell r="CO333" t="str">
            <v/>
          </cell>
          <cell r="CP333" t="str">
            <v/>
          </cell>
          <cell r="CQ333" t="str">
            <v/>
          </cell>
          <cell r="CR333" t="str">
            <v/>
          </cell>
          <cell r="CS333" t="str">
            <v/>
          </cell>
          <cell r="CT333" t="str">
            <v/>
          </cell>
          <cell r="CU333" t="str">
            <v/>
          </cell>
          <cell r="CV333" t="str">
            <v/>
          </cell>
          <cell r="CW333" t="str">
            <v/>
          </cell>
        </row>
        <row r="334">
          <cell r="CN334" t="str">
            <v/>
          </cell>
          <cell r="CO334" t="str">
            <v/>
          </cell>
          <cell r="CP334" t="str">
            <v/>
          </cell>
          <cell r="CQ334" t="str">
            <v/>
          </cell>
          <cell r="CR334" t="str">
            <v/>
          </cell>
          <cell r="CS334" t="str">
            <v/>
          </cell>
          <cell r="CT334" t="str">
            <v/>
          </cell>
          <cell r="CU334" t="str">
            <v/>
          </cell>
          <cell r="CV334" t="str">
            <v/>
          </cell>
          <cell r="CW334" t="str">
            <v/>
          </cell>
        </row>
        <row r="335">
          <cell r="CN335" t="str">
            <v/>
          </cell>
          <cell r="CO335" t="str">
            <v/>
          </cell>
          <cell r="CP335" t="str">
            <v/>
          </cell>
          <cell r="CQ335" t="str">
            <v/>
          </cell>
          <cell r="CR335" t="str">
            <v/>
          </cell>
          <cell r="CS335" t="str">
            <v/>
          </cell>
          <cell r="CT335" t="str">
            <v/>
          </cell>
          <cell r="CU335" t="str">
            <v/>
          </cell>
          <cell r="CV335" t="str">
            <v/>
          </cell>
          <cell r="CW335" t="str">
            <v/>
          </cell>
        </row>
        <row r="336">
          <cell r="CN336" t="str">
            <v/>
          </cell>
          <cell r="CO336" t="str">
            <v/>
          </cell>
          <cell r="CP336" t="str">
            <v/>
          </cell>
          <cell r="CQ336" t="str">
            <v/>
          </cell>
          <cell r="CR336" t="str">
            <v/>
          </cell>
          <cell r="CS336" t="str">
            <v/>
          </cell>
          <cell r="CT336" t="str">
            <v/>
          </cell>
          <cell r="CU336" t="str">
            <v/>
          </cell>
          <cell r="CV336" t="str">
            <v/>
          </cell>
          <cell r="CW336" t="str">
            <v/>
          </cell>
        </row>
        <row r="337">
          <cell r="CN337" t="str">
            <v/>
          </cell>
          <cell r="CO337" t="str">
            <v/>
          </cell>
          <cell r="CP337" t="str">
            <v/>
          </cell>
          <cell r="CQ337" t="str">
            <v/>
          </cell>
          <cell r="CR337" t="str">
            <v/>
          </cell>
          <cell r="CS337" t="str">
            <v/>
          </cell>
          <cell r="CT337" t="str">
            <v/>
          </cell>
          <cell r="CU337" t="str">
            <v/>
          </cell>
          <cell r="CV337" t="str">
            <v/>
          </cell>
          <cell r="CW337" t="str">
            <v/>
          </cell>
        </row>
        <row r="338">
          <cell r="CN338" t="str">
            <v/>
          </cell>
          <cell r="CO338" t="str">
            <v/>
          </cell>
          <cell r="CP338" t="str">
            <v/>
          </cell>
          <cell r="CQ338" t="str">
            <v/>
          </cell>
          <cell r="CR338" t="str">
            <v/>
          </cell>
          <cell r="CS338" t="str">
            <v/>
          </cell>
          <cell r="CT338" t="str">
            <v/>
          </cell>
          <cell r="CU338" t="str">
            <v/>
          </cell>
          <cell r="CV338" t="str">
            <v/>
          </cell>
          <cell r="CW338" t="str">
            <v/>
          </cell>
        </row>
        <row r="339">
          <cell r="CN339" t="str">
            <v/>
          </cell>
          <cell r="CO339" t="str">
            <v/>
          </cell>
          <cell r="CP339" t="str">
            <v/>
          </cell>
          <cell r="CQ339" t="str">
            <v/>
          </cell>
          <cell r="CR339" t="str">
            <v/>
          </cell>
          <cell r="CS339" t="str">
            <v/>
          </cell>
          <cell r="CT339" t="str">
            <v/>
          </cell>
          <cell r="CU339" t="str">
            <v/>
          </cell>
          <cell r="CV339" t="str">
            <v/>
          </cell>
          <cell r="CW339" t="str">
            <v/>
          </cell>
        </row>
        <row r="340">
          <cell r="CN340" t="str">
            <v/>
          </cell>
          <cell r="CO340" t="str">
            <v/>
          </cell>
          <cell r="CP340" t="str">
            <v/>
          </cell>
          <cell r="CQ340" t="str">
            <v/>
          </cell>
          <cell r="CR340" t="str">
            <v/>
          </cell>
          <cell r="CS340" t="str">
            <v/>
          </cell>
          <cell r="CT340" t="str">
            <v/>
          </cell>
          <cell r="CU340" t="str">
            <v/>
          </cell>
          <cell r="CV340" t="str">
            <v/>
          </cell>
          <cell r="CW340" t="str">
            <v/>
          </cell>
        </row>
        <row r="341">
          <cell r="CN341" t="str">
            <v/>
          </cell>
          <cell r="CO341" t="str">
            <v/>
          </cell>
          <cell r="CP341" t="str">
            <v/>
          </cell>
          <cell r="CQ341" t="str">
            <v/>
          </cell>
          <cell r="CR341" t="str">
            <v/>
          </cell>
          <cell r="CS341" t="str">
            <v/>
          </cell>
          <cell r="CT341" t="str">
            <v/>
          </cell>
          <cell r="CU341" t="str">
            <v/>
          </cell>
          <cell r="CV341" t="str">
            <v/>
          </cell>
          <cell r="CW341" t="str">
            <v/>
          </cell>
        </row>
        <row r="342">
          <cell r="CN342" t="str">
            <v/>
          </cell>
          <cell r="CO342" t="str">
            <v/>
          </cell>
          <cell r="CP342" t="str">
            <v/>
          </cell>
          <cell r="CQ342" t="str">
            <v/>
          </cell>
          <cell r="CR342" t="str">
            <v/>
          </cell>
          <cell r="CS342" t="str">
            <v/>
          </cell>
          <cell r="CT342" t="str">
            <v/>
          </cell>
          <cell r="CU342" t="str">
            <v/>
          </cell>
          <cell r="CV342" t="str">
            <v/>
          </cell>
          <cell r="CW342" t="str">
            <v/>
          </cell>
        </row>
        <row r="343">
          <cell r="CN343" t="str">
            <v/>
          </cell>
          <cell r="CO343" t="str">
            <v/>
          </cell>
          <cell r="CP343" t="str">
            <v/>
          </cell>
          <cell r="CQ343" t="str">
            <v/>
          </cell>
          <cell r="CR343" t="str">
            <v/>
          </cell>
          <cell r="CS343" t="str">
            <v/>
          </cell>
          <cell r="CT343" t="str">
            <v/>
          </cell>
          <cell r="CU343" t="str">
            <v/>
          </cell>
          <cell r="CV343" t="str">
            <v/>
          </cell>
          <cell r="CW343" t="str">
            <v/>
          </cell>
        </row>
        <row r="344">
          <cell r="CN344" t="str">
            <v/>
          </cell>
          <cell r="CO344" t="str">
            <v/>
          </cell>
          <cell r="CP344" t="str">
            <v/>
          </cell>
          <cell r="CQ344" t="str">
            <v/>
          </cell>
          <cell r="CR344" t="str">
            <v/>
          </cell>
          <cell r="CS344" t="str">
            <v/>
          </cell>
          <cell r="CT344" t="str">
            <v/>
          </cell>
          <cell r="CU344" t="str">
            <v/>
          </cell>
          <cell r="CV344" t="str">
            <v/>
          </cell>
          <cell r="CW344" t="str">
            <v/>
          </cell>
        </row>
        <row r="345">
          <cell r="CN345" t="str">
            <v/>
          </cell>
          <cell r="CO345" t="str">
            <v/>
          </cell>
          <cell r="CP345" t="str">
            <v/>
          </cell>
          <cell r="CQ345" t="str">
            <v/>
          </cell>
          <cell r="CR345" t="str">
            <v/>
          </cell>
          <cell r="CS345" t="str">
            <v/>
          </cell>
          <cell r="CT345" t="str">
            <v/>
          </cell>
          <cell r="CU345" t="str">
            <v/>
          </cell>
          <cell r="CV345" t="str">
            <v/>
          </cell>
          <cell r="CW345" t="str">
            <v/>
          </cell>
        </row>
        <row r="346">
          <cell r="CN346" t="str">
            <v/>
          </cell>
          <cell r="CO346" t="str">
            <v/>
          </cell>
          <cell r="CP346" t="str">
            <v/>
          </cell>
          <cell r="CQ346" t="str">
            <v/>
          </cell>
          <cell r="CR346" t="str">
            <v/>
          </cell>
          <cell r="CS346" t="str">
            <v/>
          </cell>
          <cell r="CT346" t="str">
            <v/>
          </cell>
          <cell r="CU346" t="str">
            <v/>
          </cell>
          <cell r="CV346" t="str">
            <v/>
          </cell>
          <cell r="CW346" t="str">
            <v/>
          </cell>
        </row>
        <row r="347">
          <cell r="CN347" t="str">
            <v/>
          </cell>
          <cell r="CO347" t="str">
            <v/>
          </cell>
          <cell r="CP347" t="str">
            <v/>
          </cell>
          <cell r="CQ347" t="str">
            <v/>
          </cell>
          <cell r="CR347" t="str">
            <v/>
          </cell>
          <cell r="CS347" t="str">
            <v/>
          </cell>
          <cell r="CT347" t="str">
            <v/>
          </cell>
          <cell r="CU347" t="str">
            <v/>
          </cell>
          <cell r="CV347" t="str">
            <v/>
          </cell>
          <cell r="CW347" t="str">
            <v/>
          </cell>
        </row>
        <row r="348">
          <cell r="CN348" t="str">
            <v/>
          </cell>
          <cell r="CO348" t="str">
            <v/>
          </cell>
          <cell r="CP348" t="str">
            <v/>
          </cell>
          <cell r="CQ348" t="str">
            <v/>
          </cell>
          <cell r="CR348" t="str">
            <v/>
          </cell>
          <cell r="CS348" t="str">
            <v/>
          </cell>
          <cell r="CT348" t="str">
            <v/>
          </cell>
          <cell r="CU348" t="str">
            <v/>
          </cell>
          <cell r="CV348" t="str">
            <v/>
          </cell>
          <cell r="CW348" t="str">
            <v/>
          </cell>
        </row>
        <row r="349">
          <cell r="CN349" t="str">
            <v/>
          </cell>
          <cell r="CO349" t="str">
            <v/>
          </cell>
          <cell r="CP349" t="str">
            <v/>
          </cell>
          <cell r="CQ349" t="str">
            <v/>
          </cell>
          <cell r="CR349" t="str">
            <v/>
          </cell>
          <cell r="CS349" t="str">
            <v/>
          </cell>
          <cell r="CT349" t="str">
            <v/>
          </cell>
          <cell r="CU349" t="str">
            <v/>
          </cell>
          <cell r="CV349" t="str">
            <v/>
          </cell>
          <cell r="CW349" t="str">
            <v/>
          </cell>
        </row>
        <row r="350">
          <cell r="CN350" t="str">
            <v/>
          </cell>
          <cell r="CO350" t="str">
            <v/>
          </cell>
          <cell r="CP350" t="str">
            <v/>
          </cell>
          <cell r="CQ350" t="str">
            <v/>
          </cell>
          <cell r="CR350" t="str">
            <v/>
          </cell>
          <cell r="CS350" t="str">
            <v/>
          </cell>
          <cell r="CT350" t="str">
            <v/>
          </cell>
          <cell r="CU350" t="str">
            <v/>
          </cell>
          <cell r="CV350" t="str">
            <v/>
          </cell>
          <cell r="CW350" t="str">
            <v/>
          </cell>
        </row>
        <row r="351">
          <cell r="CN351" t="str">
            <v/>
          </cell>
          <cell r="CO351" t="str">
            <v/>
          </cell>
          <cell r="CP351" t="str">
            <v/>
          </cell>
          <cell r="CQ351" t="str">
            <v/>
          </cell>
          <cell r="CR351" t="str">
            <v/>
          </cell>
          <cell r="CS351" t="str">
            <v/>
          </cell>
          <cell r="CT351" t="str">
            <v/>
          </cell>
          <cell r="CU351" t="str">
            <v/>
          </cell>
          <cell r="CV351" t="str">
            <v/>
          </cell>
          <cell r="CW351" t="str">
            <v/>
          </cell>
        </row>
        <row r="352">
          <cell r="CN352" t="str">
            <v/>
          </cell>
          <cell r="CO352" t="str">
            <v/>
          </cell>
          <cell r="CP352" t="str">
            <v/>
          </cell>
          <cell r="CQ352" t="str">
            <v/>
          </cell>
          <cell r="CR352" t="str">
            <v/>
          </cell>
          <cell r="CS352" t="str">
            <v/>
          </cell>
          <cell r="CT352" t="str">
            <v/>
          </cell>
          <cell r="CU352" t="str">
            <v/>
          </cell>
          <cell r="CV352" t="str">
            <v/>
          </cell>
          <cell r="CW352" t="str">
            <v/>
          </cell>
        </row>
        <row r="353">
          <cell r="CN353" t="str">
            <v/>
          </cell>
          <cell r="CO353" t="str">
            <v/>
          </cell>
          <cell r="CP353" t="str">
            <v/>
          </cell>
          <cell r="CQ353" t="str">
            <v/>
          </cell>
          <cell r="CR353" t="str">
            <v/>
          </cell>
          <cell r="CS353" t="str">
            <v/>
          </cell>
          <cell r="CT353" t="str">
            <v/>
          </cell>
          <cell r="CU353" t="str">
            <v/>
          </cell>
          <cell r="CV353" t="str">
            <v/>
          </cell>
          <cell r="CW353" t="str">
            <v/>
          </cell>
        </row>
        <row r="354">
          <cell r="CN354" t="str">
            <v/>
          </cell>
          <cell r="CO354" t="str">
            <v/>
          </cell>
          <cell r="CP354" t="str">
            <v/>
          </cell>
          <cell r="CQ354" t="str">
            <v/>
          </cell>
          <cell r="CR354" t="str">
            <v/>
          </cell>
          <cell r="CS354" t="str">
            <v/>
          </cell>
          <cell r="CT354" t="str">
            <v/>
          </cell>
          <cell r="CU354" t="str">
            <v/>
          </cell>
          <cell r="CV354" t="str">
            <v/>
          </cell>
          <cell r="CW354" t="str">
            <v/>
          </cell>
        </row>
        <row r="355">
          <cell r="CN355" t="str">
            <v/>
          </cell>
          <cell r="CO355" t="str">
            <v/>
          </cell>
          <cell r="CP355" t="str">
            <v/>
          </cell>
          <cell r="CQ355" t="str">
            <v/>
          </cell>
          <cell r="CR355" t="str">
            <v/>
          </cell>
          <cell r="CS355" t="str">
            <v/>
          </cell>
          <cell r="CT355" t="str">
            <v/>
          </cell>
          <cell r="CU355" t="str">
            <v/>
          </cell>
          <cell r="CV355" t="str">
            <v/>
          </cell>
          <cell r="CW355" t="str">
            <v/>
          </cell>
        </row>
        <row r="356">
          <cell r="CN356" t="str">
            <v/>
          </cell>
          <cell r="CO356" t="str">
            <v/>
          </cell>
          <cell r="CP356" t="str">
            <v/>
          </cell>
          <cell r="CQ356" t="str">
            <v/>
          </cell>
          <cell r="CR356" t="str">
            <v/>
          </cell>
          <cell r="CS356" t="str">
            <v/>
          </cell>
          <cell r="CT356" t="str">
            <v/>
          </cell>
          <cell r="CU356" t="str">
            <v/>
          </cell>
          <cell r="CV356" t="str">
            <v/>
          </cell>
          <cell r="CW356" t="str">
            <v/>
          </cell>
        </row>
        <row r="357">
          <cell r="CN357" t="str">
            <v/>
          </cell>
          <cell r="CO357" t="str">
            <v/>
          </cell>
          <cell r="CP357" t="str">
            <v/>
          </cell>
          <cell r="CQ357" t="str">
            <v/>
          </cell>
          <cell r="CR357" t="str">
            <v/>
          </cell>
          <cell r="CS357" t="str">
            <v/>
          </cell>
          <cell r="CT357" t="str">
            <v/>
          </cell>
          <cell r="CU357" t="str">
            <v/>
          </cell>
          <cell r="CV357" t="str">
            <v/>
          </cell>
          <cell r="CW357" t="str">
            <v/>
          </cell>
        </row>
        <row r="358">
          <cell r="CN358" t="str">
            <v/>
          </cell>
          <cell r="CO358" t="str">
            <v/>
          </cell>
          <cell r="CP358" t="str">
            <v/>
          </cell>
          <cell r="CQ358" t="str">
            <v/>
          </cell>
          <cell r="CR358" t="str">
            <v/>
          </cell>
          <cell r="CS358" t="str">
            <v/>
          </cell>
          <cell r="CT358" t="str">
            <v/>
          </cell>
          <cell r="CU358" t="str">
            <v/>
          </cell>
          <cell r="CV358" t="str">
            <v/>
          </cell>
          <cell r="CW358" t="str">
            <v/>
          </cell>
        </row>
        <row r="359">
          <cell r="CN359" t="str">
            <v/>
          </cell>
          <cell r="CO359" t="str">
            <v/>
          </cell>
          <cell r="CP359" t="str">
            <v/>
          </cell>
          <cell r="CQ359" t="str">
            <v/>
          </cell>
          <cell r="CR359" t="str">
            <v/>
          </cell>
          <cell r="CS359" t="str">
            <v/>
          </cell>
          <cell r="CT359" t="str">
            <v/>
          </cell>
          <cell r="CU359" t="str">
            <v/>
          </cell>
          <cell r="CV359" t="str">
            <v/>
          </cell>
          <cell r="CW359" t="str">
            <v/>
          </cell>
        </row>
        <row r="360">
          <cell r="CN360" t="str">
            <v/>
          </cell>
          <cell r="CO360" t="str">
            <v/>
          </cell>
          <cell r="CP360" t="str">
            <v/>
          </cell>
          <cell r="CQ360" t="str">
            <v/>
          </cell>
          <cell r="CR360" t="str">
            <v/>
          </cell>
          <cell r="CS360" t="str">
            <v/>
          </cell>
          <cell r="CT360" t="str">
            <v/>
          </cell>
          <cell r="CU360" t="str">
            <v/>
          </cell>
          <cell r="CV360" t="str">
            <v/>
          </cell>
          <cell r="CW360" t="str">
            <v/>
          </cell>
        </row>
        <row r="361">
          <cell r="CN361" t="str">
            <v/>
          </cell>
          <cell r="CO361" t="str">
            <v/>
          </cell>
          <cell r="CP361" t="str">
            <v/>
          </cell>
          <cell r="CQ361" t="str">
            <v/>
          </cell>
          <cell r="CR361" t="str">
            <v/>
          </cell>
          <cell r="CS361" t="str">
            <v/>
          </cell>
          <cell r="CT361" t="str">
            <v/>
          </cell>
          <cell r="CU361" t="str">
            <v/>
          </cell>
          <cell r="CV361" t="str">
            <v/>
          </cell>
          <cell r="CW361" t="str">
            <v/>
          </cell>
        </row>
        <row r="362">
          <cell r="CN362" t="str">
            <v/>
          </cell>
          <cell r="CO362" t="str">
            <v/>
          </cell>
          <cell r="CP362" t="str">
            <v/>
          </cell>
          <cell r="CQ362" t="str">
            <v/>
          </cell>
          <cell r="CR362" t="str">
            <v/>
          </cell>
          <cell r="CS362" t="str">
            <v/>
          </cell>
          <cell r="CT362" t="str">
            <v/>
          </cell>
          <cell r="CU362" t="str">
            <v/>
          </cell>
          <cell r="CV362" t="str">
            <v/>
          </cell>
          <cell r="CW362" t="str">
            <v/>
          </cell>
        </row>
        <row r="363">
          <cell r="CN363" t="str">
            <v/>
          </cell>
          <cell r="CO363" t="str">
            <v/>
          </cell>
          <cell r="CP363" t="str">
            <v/>
          </cell>
          <cell r="CQ363" t="str">
            <v/>
          </cell>
          <cell r="CR363" t="str">
            <v/>
          </cell>
          <cell r="CS363" t="str">
            <v/>
          </cell>
          <cell r="CT363" t="str">
            <v/>
          </cell>
          <cell r="CU363" t="str">
            <v/>
          </cell>
          <cell r="CV363" t="str">
            <v/>
          </cell>
          <cell r="CW363" t="str">
            <v/>
          </cell>
        </row>
        <row r="364">
          <cell r="CN364" t="str">
            <v/>
          </cell>
          <cell r="CO364" t="str">
            <v/>
          </cell>
          <cell r="CP364" t="str">
            <v/>
          </cell>
          <cell r="CQ364" t="str">
            <v/>
          </cell>
          <cell r="CR364" t="str">
            <v/>
          </cell>
          <cell r="CS364" t="str">
            <v/>
          </cell>
          <cell r="CT364" t="str">
            <v/>
          </cell>
          <cell r="CU364" t="str">
            <v/>
          </cell>
          <cell r="CV364" t="str">
            <v/>
          </cell>
          <cell r="CW364" t="str">
            <v/>
          </cell>
        </row>
        <row r="365">
          <cell r="CN365" t="str">
            <v/>
          </cell>
          <cell r="CO365" t="str">
            <v/>
          </cell>
          <cell r="CP365" t="str">
            <v/>
          </cell>
          <cell r="CQ365" t="str">
            <v/>
          </cell>
          <cell r="CR365" t="str">
            <v/>
          </cell>
          <cell r="CS365" t="str">
            <v/>
          </cell>
          <cell r="CT365" t="str">
            <v/>
          </cell>
          <cell r="CU365" t="str">
            <v/>
          </cell>
          <cell r="CV365" t="str">
            <v/>
          </cell>
          <cell r="CW365" t="str">
            <v/>
          </cell>
        </row>
        <row r="366">
          <cell r="CN366" t="str">
            <v/>
          </cell>
          <cell r="CO366" t="str">
            <v/>
          </cell>
          <cell r="CP366" t="str">
            <v/>
          </cell>
          <cell r="CQ366" t="str">
            <v/>
          </cell>
          <cell r="CR366" t="str">
            <v/>
          </cell>
          <cell r="CS366" t="str">
            <v/>
          </cell>
          <cell r="CT366" t="str">
            <v/>
          </cell>
          <cell r="CU366" t="str">
            <v/>
          </cell>
          <cell r="CV366" t="str">
            <v/>
          </cell>
          <cell r="CW366" t="str">
            <v/>
          </cell>
        </row>
        <row r="367">
          <cell r="CN367" t="str">
            <v/>
          </cell>
          <cell r="CO367" t="str">
            <v/>
          </cell>
          <cell r="CP367" t="str">
            <v/>
          </cell>
          <cell r="CQ367" t="str">
            <v/>
          </cell>
          <cell r="CR367" t="str">
            <v/>
          </cell>
          <cell r="CS367" t="str">
            <v/>
          </cell>
          <cell r="CT367" t="str">
            <v/>
          </cell>
          <cell r="CU367" t="str">
            <v/>
          </cell>
          <cell r="CV367" t="str">
            <v/>
          </cell>
          <cell r="CW367" t="str">
            <v/>
          </cell>
        </row>
        <row r="368">
          <cell r="CN368" t="str">
            <v/>
          </cell>
          <cell r="CO368" t="str">
            <v/>
          </cell>
          <cell r="CP368" t="str">
            <v/>
          </cell>
          <cell r="CQ368" t="str">
            <v/>
          </cell>
          <cell r="CR368" t="str">
            <v/>
          </cell>
          <cell r="CS368" t="str">
            <v/>
          </cell>
          <cell r="CT368" t="str">
            <v/>
          </cell>
          <cell r="CU368" t="str">
            <v/>
          </cell>
          <cell r="CV368" t="str">
            <v/>
          </cell>
          <cell r="CW368" t="str">
            <v/>
          </cell>
        </row>
        <row r="369">
          <cell r="CN369" t="str">
            <v/>
          </cell>
          <cell r="CO369" t="str">
            <v/>
          </cell>
          <cell r="CP369" t="str">
            <v/>
          </cell>
          <cell r="CQ369" t="str">
            <v/>
          </cell>
          <cell r="CR369" t="str">
            <v/>
          </cell>
          <cell r="CS369" t="str">
            <v/>
          </cell>
          <cell r="CT369" t="str">
            <v/>
          </cell>
          <cell r="CU369" t="str">
            <v/>
          </cell>
          <cell r="CV369" t="str">
            <v/>
          </cell>
          <cell r="CW369" t="str">
            <v/>
          </cell>
        </row>
        <row r="370">
          <cell r="CN370" t="str">
            <v/>
          </cell>
          <cell r="CO370" t="str">
            <v/>
          </cell>
          <cell r="CP370" t="str">
            <v/>
          </cell>
          <cell r="CQ370" t="str">
            <v/>
          </cell>
          <cell r="CR370" t="str">
            <v/>
          </cell>
          <cell r="CS370" t="str">
            <v/>
          </cell>
          <cell r="CT370" t="str">
            <v/>
          </cell>
          <cell r="CU370" t="str">
            <v/>
          </cell>
          <cell r="CV370" t="str">
            <v/>
          </cell>
          <cell r="CW370" t="str">
            <v/>
          </cell>
        </row>
        <row r="371">
          <cell r="CN371" t="str">
            <v/>
          </cell>
          <cell r="CO371" t="str">
            <v/>
          </cell>
          <cell r="CP371" t="str">
            <v/>
          </cell>
          <cell r="CQ371" t="str">
            <v/>
          </cell>
          <cell r="CR371" t="str">
            <v/>
          </cell>
          <cell r="CS371" t="str">
            <v/>
          </cell>
          <cell r="CT371" t="str">
            <v/>
          </cell>
          <cell r="CU371" t="str">
            <v/>
          </cell>
          <cell r="CV371" t="str">
            <v/>
          </cell>
          <cell r="CW371" t="str">
            <v/>
          </cell>
        </row>
        <row r="372">
          <cell r="CN372" t="str">
            <v/>
          </cell>
          <cell r="CO372" t="str">
            <v/>
          </cell>
          <cell r="CP372" t="str">
            <v/>
          </cell>
          <cell r="CQ372" t="str">
            <v/>
          </cell>
          <cell r="CR372" t="str">
            <v/>
          </cell>
          <cell r="CS372" t="str">
            <v/>
          </cell>
          <cell r="CT372" t="str">
            <v/>
          </cell>
          <cell r="CU372" t="str">
            <v/>
          </cell>
          <cell r="CV372" t="str">
            <v/>
          </cell>
          <cell r="CW372" t="str">
            <v/>
          </cell>
        </row>
        <row r="373">
          <cell r="CN373" t="str">
            <v/>
          </cell>
          <cell r="CO373" t="str">
            <v/>
          </cell>
          <cell r="CP373" t="str">
            <v/>
          </cell>
          <cell r="CQ373" t="str">
            <v/>
          </cell>
          <cell r="CR373" t="str">
            <v/>
          </cell>
          <cell r="CS373" t="str">
            <v/>
          </cell>
          <cell r="CT373" t="str">
            <v/>
          </cell>
          <cell r="CU373" t="str">
            <v/>
          </cell>
          <cell r="CV373" t="str">
            <v/>
          </cell>
          <cell r="CW373" t="str">
            <v/>
          </cell>
        </row>
        <row r="374">
          <cell r="CN374" t="str">
            <v/>
          </cell>
          <cell r="CO374" t="str">
            <v/>
          </cell>
          <cell r="CP374" t="str">
            <v/>
          </cell>
          <cell r="CQ374" t="str">
            <v/>
          </cell>
          <cell r="CR374" t="str">
            <v/>
          </cell>
          <cell r="CS374" t="str">
            <v/>
          </cell>
          <cell r="CT374" t="str">
            <v/>
          </cell>
          <cell r="CU374" t="str">
            <v/>
          </cell>
          <cell r="CV374" t="str">
            <v/>
          </cell>
          <cell r="CW374" t="str">
            <v/>
          </cell>
        </row>
        <row r="375">
          <cell r="CN375" t="str">
            <v/>
          </cell>
          <cell r="CO375" t="str">
            <v/>
          </cell>
          <cell r="CP375" t="str">
            <v/>
          </cell>
          <cell r="CQ375" t="str">
            <v/>
          </cell>
          <cell r="CR375" t="str">
            <v/>
          </cell>
          <cell r="CS375" t="str">
            <v/>
          </cell>
          <cell r="CT375" t="str">
            <v/>
          </cell>
          <cell r="CU375" t="str">
            <v/>
          </cell>
          <cell r="CV375" t="str">
            <v/>
          </cell>
          <cell r="CW375" t="str">
            <v/>
          </cell>
        </row>
        <row r="376">
          <cell r="CN376" t="str">
            <v/>
          </cell>
          <cell r="CO376" t="str">
            <v/>
          </cell>
          <cell r="CP376" t="str">
            <v/>
          </cell>
          <cell r="CQ376" t="str">
            <v/>
          </cell>
          <cell r="CR376" t="str">
            <v/>
          </cell>
          <cell r="CS376" t="str">
            <v/>
          </cell>
          <cell r="CT376" t="str">
            <v/>
          </cell>
          <cell r="CU376" t="str">
            <v/>
          </cell>
          <cell r="CV376" t="str">
            <v/>
          </cell>
          <cell r="CW376" t="str">
            <v/>
          </cell>
        </row>
        <row r="377">
          <cell r="CN377" t="str">
            <v/>
          </cell>
          <cell r="CO377" t="str">
            <v/>
          </cell>
          <cell r="CP377" t="str">
            <v/>
          </cell>
          <cell r="CQ377" t="str">
            <v/>
          </cell>
          <cell r="CR377" t="str">
            <v/>
          </cell>
          <cell r="CS377" t="str">
            <v/>
          </cell>
          <cell r="CT377" t="str">
            <v/>
          </cell>
          <cell r="CU377" t="str">
            <v/>
          </cell>
          <cell r="CV377" t="str">
            <v/>
          </cell>
          <cell r="CW377" t="str">
            <v/>
          </cell>
        </row>
        <row r="378">
          <cell r="CN378" t="str">
            <v/>
          </cell>
          <cell r="CO378" t="str">
            <v/>
          </cell>
          <cell r="CP378" t="str">
            <v/>
          </cell>
          <cell r="CQ378" t="str">
            <v/>
          </cell>
          <cell r="CR378" t="str">
            <v/>
          </cell>
          <cell r="CS378" t="str">
            <v/>
          </cell>
          <cell r="CT378" t="str">
            <v/>
          </cell>
          <cell r="CU378" t="str">
            <v/>
          </cell>
          <cell r="CV378" t="str">
            <v/>
          </cell>
          <cell r="CW378" t="str">
            <v/>
          </cell>
        </row>
        <row r="379">
          <cell r="CN379" t="str">
            <v/>
          </cell>
          <cell r="CO379" t="str">
            <v/>
          </cell>
          <cell r="CP379" t="str">
            <v/>
          </cell>
          <cell r="CQ379" t="str">
            <v/>
          </cell>
          <cell r="CR379" t="str">
            <v/>
          </cell>
          <cell r="CS379" t="str">
            <v/>
          </cell>
          <cell r="CT379" t="str">
            <v/>
          </cell>
          <cell r="CU379" t="str">
            <v/>
          </cell>
          <cell r="CV379" t="str">
            <v/>
          </cell>
          <cell r="CW379" t="str">
            <v/>
          </cell>
        </row>
        <row r="380">
          <cell r="CN380" t="str">
            <v/>
          </cell>
          <cell r="CO380" t="str">
            <v/>
          </cell>
          <cell r="CP380" t="str">
            <v/>
          </cell>
          <cell r="CQ380" t="str">
            <v/>
          </cell>
          <cell r="CR380" t="str">
            <v/>
          </cell>
          <cell r="CS380" t="str">
            <v/>
          </cell>
          <cell r="CT380" t="str">
            <v/>
          </cell>
          <cell r="CU380" t="str">
            <v/>
          </cell>
          <cell r="CV380" t="str">
            <v/>
          </cell>
          <cell r="CW380" t="str">
            <v/>
          </cell>
        </row>
        <row r="381">
          <cell r="CN381" t="str">
            <v/>
          </cell>
          <cell r="CO381" t="str">
            <v/>
          </cell>
          <cell r="CP381" t="str">
            <v/>
          </cell>
          <cell r="CQ381" t="str">
            <v/>
          </cell>
          <cell r="CR381" t="str">
            <v/>
          </cell>
          <cell r="CS381" t="str">
            <v/>
          </cell>
          <cell r="CT381" t="str">
            <v/>
          </cell>
          <cell r="CU381" t="str">
            <v/>
          </cell>
          <cell r="CV381" t="str">
            <v/>
          </cell>
          <cell r="CW381" t="str">
            <v/>
          </cell>
        </row>
        <row r="382">
          <cell r="CN382" t="str">
            <v/>
          </cell>
          <cell r="CO382" t="str">
            <v/>
          </cell>
          <cell r="CP382" t="str">
            <v/>
          </cell>
          <cell r="CQ382" t="str">
            <v/>
          </cell>
          <cell r="CR382" t="str">
            <v/>
          </cell>
          <cell r="CS382" t="str">
            <v/>
          </cell>
          <cell r="CT382" t="str">
            <v/>
          </cell>
          <cell r="CU382" t="str">
            <v/>
          </cell>
          <cell r="CV382" t="str">
            <v/>
          </cell>
          <cell r="CW382" t="str">
            <v/>
          </cell>
        </row>
        <row r="383">
          <cell r="CN383" t="str">
            <v/>
          </cell>
          <cell r="CO383" t="str">
            <v/>
          </cell>
          <cell r="CP383" t="str">
            <v/>
          </cell>
          <cell r="CQ383" t="str">
            <v/>
          </cell>
          <cell r="CR383" t="str">
            <v/>
          </cell>
          <cell r="CS383" t="str">
            <v/>
          </cell>
          <cell r="CT383" t="str">
            <v/>
          </cell>
          <cell r="CU383" t="str">
            <v/>
          </cell>
          <cell r="CV383" t="str">
            <v/>
          </cell>
          <cell r="CW383" t="str">
            <v/>
          </cell>
        </row>
        <row r="384">
          <cell r="CN384" t="str">
            <v/>
          </cell>
          <cell r="CO384" t="str">
            <v/>
          </cell>
          <cell r="CP384" t="str">
            <v/>
          </cell>
          <cell r="CQ384" t="str">
            <v/>
          </cell>
          <cell r="CR384" t="str">
            <v/>
          </cell>
          <cell r="CS384" t="str">
            <v/>
          </cell>
          <cell r="CT384" t="str">
            <v/>
          </cell>
          <cell r="CU384" t="str">
            <v/>
          </cell>
          <cell r="CV384" t="str">
            <v/>
          </cell>
          <cell r="CW384" t="str">
            <v/>
          </cell>
        </row>
        <row r="385">
          <cell r="CN385" t="str">
            <v/>
          </cell>
          <cell r="CO385" t="str">
            <v/>
          </cell>
          <cell r="CP385" t="str">
            <v/>
          </cell>
          <cell r="CQ385" t="str">
            <v/>
          </cell>
          <cell r="CR385" t="str">
            <v/>
          </cell>
          <cell r="CS385" t="str">
            <v/>
          </cell>
          <cell r="CT385" t="str">
            <v/>
          </cell>
          <cell r="CU385" t="str">
            <v/>
          </cell>
          <cell r="CV385" t="str">
            <v/>
          </cell>
          <cell r="CW385" t="str">
            <v/>
          </cell>
        </row>
        <row r="386">
          <cell r="CN386" t="str">
            <v/>
          </cell>
          <cell r="CO386" t="str">
            <v/>
          </cell>
          <cell r="CP386" t="str">
            <v/>
          </cell>
          <cell r="CQ386" t="str">
            <v/>
          </cell>
          <cell r="CR386" t="str">
            <v/>
          </cell>
          <cell r="CS386" t="str">
            <v/>
          </cell>
          <cell r="CT386" t="str">
            <v/>
          </cell>
          <cell r="CU386" t="str">
            <v/>
          </cell>
          <cell r="CV386" t="str">
            <v/>
          </cell>
          <cell r="CW386" t="str">
            <v/>
          </cell>
        </row>
        <row r="387">
          <cell r="CN387" t="str">
            <v/>
          </cell>
          <cell r="CO387" t="str">
            <v/>
          </cell>
          <cell r="CP387" t="str">
            <v/>
          </cell>
          <cell r="CQ387" t="str">
            <v/>
          </cell>
          <cell r="CR387" t="str">
            <v/>
          </cell>
          <cell r="CS387" t="str">
            <v/>
          </cell>
          <cell r="CT387" t="str">
            <v/>
          </cell>
          <cell r="CU387" t="str">
            <v/>
          </cell>
          <cell r="CV387" t="str">
            <v/>
          </cell>
          <cell r="CW387" t="str">
            <v/>
          </cell>
        </row>
        <row r="388">
          <cell r="CN388" t="str">
            <v/>
          </cell>
          <cell r="CO388" t="str">
            <v/>
          </cell>
          <cell r="CP388" t="str">
            <v/>
          </cell>
          <cell r="CQ388" t="str">
            <v/>
          </cell>
          <cell r="CR388" t="str">
            <v/>
          </cell>
          <cell r="CS388" t="str">
            <v/>
          </cell>
          <cell r="CT388" t="str">
            <v/>
          </cell>
          <cell r="CU388" t="str">
            <v/>
          </cell>
          <cell r="CV388" t="str">
            <v/>
          </cell>
          <cell r="CW388" t="str">
            <v/>
          </cell>
        </row>
        <row r="389">
          <cell r="CN389" t="str">
            <v/>
          </cell>
          <cell r="CO389" t="str">
            <v/>
          </cell>
          <cell r="CP389" t="str">
            <v/>
          </cell>
          <cell r="CQ389" t="str">
            <v/>
          </cell>
          <cell r="CR389" t="str">
            <v/>
          </cell>
          <cell r="CS389" t="str">
            <v/>
          </cell>
          <cell r="CT389" t="str">
            <v/>
          </cell>
          <cell r="CU389" t="str">
            <v/>
          </cell>
          <cell r="CV389" t="str">
            <v/>
          </cell>
          <cell r="CW389" t="str">
            <v/>
          </cell>
        </row>
        <row r="390">
          <cell r="CN390" t="str">
            <v/>
          </cell>
          <cell r="CO390" t="str">
            <v/>
          </cell>
          <cell r="CP390" t="str">
            <v/>
          </cell>
          <cell r="CQ390" t="str">
            <v/>
          </cell>
          <cell r="CR390" t="str">
            <v/>
          </cell>
          <cell r="CS390" t="str">
            <v/>
          </cell>
          <cell r="CT390" t="str">
            <v/>
          </cell>
          <cell r="CU390" t="str">
            <v/>
          </cell>
          <cell r="CV390" t="str">
            <v/>
          </cell>
          <cell r="CW390" t="str">
            <v/>
          </cell>
        </row>
        <row r="391">
          <cell r="CN391" t="str">
            <v/>
          </cell>
          <cell r="CO391" t="str">
            <v/>
          </cell>
          <cell r="CP391" t="str">
            <v/>
          </cell>
          <cell r="CQ391" t="str">
            <v/>
          </cell>
          <cell r="CR391" t="str">
            <v/>
          </cell>
          <cell r="CS391" t="str">
            <v/>
          </cell>
          <cell r="CT391" t="str">
            <v/>
          </cell>
          <cell r="CU391" t="str">
            <v/>
          </cell>
          <cell r="CV391" t="str">
            <v/>
          </cell>
          <cell r="CW391" t="str">
            <v/>
          </cell>
        </row>
        <row r="392">
          <cell r="CN392" t="str">
            <v/>
          </cell>
          <cell r="CO392" t="str">
            <v/>
          </cell>
          <cell r="CP392" t="str">
            <v/>
          </cell>
          <cell r="CQ392" t="str">
            <v/>
          </cell>
          <cell r="CR392" t="str">
            <v/>
          </cell>
          <cell r="CS392" t="str">
            <v/>
          </cell>
          <cell r="CT392" t="str">
            <v/>
          </cell>
          <cell r="CU392" t="str">
            <v/>
          </cell>
          <cell r="CV392" t="str">
            <v/>
          </cell>
          <cell r="CW392" t="str">
            <v/>
          </cell>
        </row>
        <row r="393">
          <cell r="CN393" t="str">
            <v/>
          </cell>
          <cell r="CO393" t="str">
            <v/>
          </cell>
          <cell r="CP393" t="str">
            <v/>
          </cell>
          <cell r="CQ393" t="str">
            <v/>
          </cell>
          <cell r="CR393" t="str">
            <v/>
          </cell>
          <cell r="CS393" t="str">
            <v/>
          </cell>
          <cell r="CT393" t="str">
            <v/>
          </cell>
          <cell r="CU393" t="str">
            <v/>
          </cell>
          <cell r="CV393" t="str">
            <v/>
          </cell>
          <cell r="CW393" t="str">
            <v/>
          </cell>
        </row>
        <row r="394">
          <cell r="CN394" t="str">
            <v/>
          </cell>
          <cell r="CO394" t="str">
            <v/>
          </cell>
          <cell r="CP394" t="str">
            <v/>
          </cell>
          <cell r="CQ394" t="str">
            <v/>
          </cell>
          <cell r="CR394" t="str">
            <v/>
          </cell>
          <cell r="CS394" t="str">
            <v/>
          </cell>
          <cell r="CT394" t="str">
            <v/>
          </cell>
          <cell r="CU394" t="str">
            <v/>
          </cell>
          <cell r="CV394" t="str">
            <v/>
          </cell>
          <cell r="CW394" t="str">
            <v/>
          </cell>
        </row>
        <row r="395">
          <cell r="CN395" t="str">
            <v/>
          </cell>
          <cell r="CO395" t="str">
            <v/>
          </cell>
          <cell r="CP395" t="str">
            <v/>
          </cell>
          <cell r="CQ395" t="str">
            <v/>
          </cell>
          <cell r="CR395" t="str">
            <v/>
          </cell>
          <cell r="CS395" t="str">
            <v/>
          </cell>
          <cell r="CT395" t="str">
            <v/>
          </cell>
          <cell r="CU395" t="str">
            <v/>
          </cell>
          <cell r="CV395" t="str">
            <v/>
          </cell>
          <cell r="CW395" t="str">
            <v/>
          </cell>
        </row>
        <row r="396">
          <cell r="CN396" t="str">
            <v/>
          </cell>
          <cell r="CO396" t="str">
            <v/>
          </cell>
          <cell r="CP396" t="str">
            <v/>
          </cell>
          <cell r="CQ396" t="str">
            <v/>
          </cell>
          <cell r="CR396" t="str">
            <v/>
          </cell>
          <cell r="CS396" t="str">
            <v/>
          </cell>
          <cell r="CT396" t="str">
            <v/>
          </cell>
          <cell r="CU396" t="str">
            <v/>
          </cell>
          <cell r="CV396" t="str">
            <v/>
          </cell>
          <cell r="CW396" t="str">
            <v/>
          </cell>
        </row>
        <row r="397">
          <cell r="CN397" t="str">
            <v/>
          </cell>
          <cell r="CO397" t="str">
            <v/>
          </cell>
          <cell r="CP397" t="str">
            <v/>
          </cell>
          <cell r="CQ397" t="str">
            <v/>
          </cell>
          <cell r="CR397" t="str">
            <v/>
          </cell>
          <cell r="CS397" t="str">
            <v/>
          </cell>
          <cell r="CT397" t="str">
            <v/>
          </cell>
          <cell r="CU397" t="str">
            <v/>
          </cell>
          <cell r="CV397" t="str">
            <v/>
          </cell>
          <cell r="CW397" t="str">
            <v/>
          </cell>
        </row>
        <row r="398">
          <cell r="CN398" t="str">
            <v/>
          </cell>
          <cell r="CO398" t="str">
            <v/>
          </cell>
          <cell r="CP398" t="str">
            <v/>
          </cell>
          <cell r="CQ398" t="str">
            <v/>
          </cell>
          <cell r="CR398" t="str">
            <v/>
          </cell>
          <cell r="CS398" t="str">
            <v/>
          </cell>
          <cell r="CT398" t="str">
            <v/>
          </cell>
          <cell r="CU398" t="str">
            <v/>
          </cell>
          <cell r="CV398" t="str">
            <v/>
          </cell>
          <cell r="CW398" t="str">
            <v/>
          </cell>
        </row>
        <row r="399">
          <cell r="CN399" t="str">
            <v/>
          </cell>
          <cell r="CO399" t="str">
            <v/>
          </cell>
          <cell r="CP399" t="str">
            <v/>
          </cell>
          <cell r="CQ399" t="str">
            <v/>
          </cell>
          <cell r="CR399" t="str">
            <v/>
          </cell>
          <cell r="CS399" t="str">
            <v/>
          </cell>
          <cell r="CT399" t="str">
            <v/>
          </cell>
          <cell r="CU399" t="str">
            <v/>
          </cell>
          <cell r="CV399" t="str">
            <v/>
          </cell>
          <cell r="CW399" t="str">
            <v/>
          </cell>
        </row>
        <row r="400">
          <cell r="CN400" t="str">
            <v/>
          </cell>
          <cell r="CO400" t="str">
            <v/>
          </cell>
          <cell r="CP400" t="str">
            <v/>
          </cell>
          <cell r="CQ400" t="str">
            <v/>
          </cell>
          <cell r="CR400" t="str">
            <v/>
          </cell>
          <cell r="CS400" t="str">
            <v/>
          </cell>
          <cell r="CT400" t="str">
            <v/>
          </cell>
          <cell r="CU400" t="str">
            <v/>
          </cell>
          <cell r="CV400" t="str">
            <v/>
          </cell>
          <cell r="CW400" t="str">
            <v/>
          </cell>
        </row>
        <row r="401">
          <cell r="CN401" t="str">
            <v/>
          </cell>
          <cell r="CO401" t="str">
            <v/>
          </cell>
          <cell r="CP401" t="str">
            <v/>
          </cell>
          <cell r="CQ401" t="str">
            <v/>
          </cell>
          <cell r="CR401" t="str">
            <v/>
          </cell>
          <cell r="CS401" t="str">
            <v/>
          </cell>
          <cell r="CT401" t="str">
            <v/>
          </cell>
          <cell r="CU401" t="str">
            <v/>
          </cell>
          <cell r="CV401" t="str">
            <v/>
          </cell>
          <cell r="CW401" t="str">
            <v/>
          </cell>
        </row>
        <row r="402">
          <cell r="CN402" t="str">
            <v/>
          </cell>
          <cell r="CO402" t="str">
            <v/>
          </cell>
          <cell r="CP402" t="str">
            <v/>
          </cell>
          <cell r="CQ402" t="str">
            <v/>
          </cell>
          <cell r="CR402" t="str">
            <v/>
          </cell>
          <cell r="CS402" t="str">
            <v/>
          </cell>
          <cell r="CT402" t="str">
            <v/>
          </cell>
          <cell r="CU402" t="str">
            <v/>
          </cell>
          <cell r="CV402" t="str">
            <v/>
          </cell>
          <cell r="CW402" t="str">
            <v/>
          </cell>
        </row>
        <row r="403">
          <cell r="CN403" t="str">
            <v/>
          </cell>
          <cell r="CO403" t="str">
            <v/>
          </cell>
          <cell r="CP403" t="str">
            <v/>
          </cell>
          <cell r="CQ403" t="str">
            <v/>
          </cell>
          <cell r="CR403" t="str">
            <v/>
          </cell>
          <cell r="CS403" t="str">
            <v/>
          </cell>
          <cell r="CT403" t="str">
            <v/>
          </cell>
          <cell r="CU403" t="str">
            <v/>
          </cell>
          <cell r="CV403" t="str">
            <v/>
          </cell>
          <cell r="CW403" t="str">
            <v/>
          </cell>
        </row>
        <row r="404">
          <cell r="CN404" t="str">
            <v/>
          </cell>
          <cell r="CO404" t="str">
            <v/>
          </cell>
          <cell r="CP404" t="str">
            <v/>
          </cell>
          <cell r="CQ404" t="str">
            <v/>
          </cell>
          <cell r="CR404" t="str">
            <v/>
          </cell>
          <cell r="CS404" t="str">
            <v/>
          </cell>
          <cell r="CT404" t="str">
            <v/>
          </cell>
          <cell r="CU404" t="str">
            <v/>
          </cell>
          <cell r="CV404" t="str">
            <v/>
          </cell>
          <cell r="CW404" t="str">
            <v/>
          </cell>
        </row>
        <row r="405">
          <cell r="CN405" t="str">
            <v/>
          </cell>
          <cell r="CO405" t="str">
            <v/>
          </cell>
          <cell r="CP405" t="str">
            <v/>
          </cell>
          <cell r="CQ405" t="str">
            <v/>
          </cell>
          <cell r="CR405" t="str">
            <v/>
          </cell>
          <cell r="CS405" t="str">
            <v/>
          </cell>
          <cell r="CT405" t="str">
            <v/>
          </cell>
          <cell r="CU405" t="str">
            <v/>
          </cell>
          <cell r="CV405" t="str">
            <v/>
          </cell>
          <cell r="CW405" t="str">
            <v/>
          </cell>
        </row>
        <row r="406">
          <cell r="CN406" t="str">
            <v/>
          </cell>
          <cell r="CO406" t="str">
            <v/>
          </cell>
          <cell r="CP406" t="str">
            <v/>
          </cell>
          <cell r="CQ406" t="str">
            <v/>
          </cell>
          <cell r="CR406" t="str">
            <v/>
          </cell>
          <cell r="CS406" t="str">
            <v/>
          </cell>
          <cell r="CT406" t="str">
            <v/>
          </cell>
          <cell r="CU406" t="str">
            <v/>
          </cell>
          <cell r="CV406" t="str">
            <v/>
          </cell>
          <cell r="CW406" t="str">
            <v/>
          </cell>
        </row>
        <row r="407">
          <cell r="CN407" t="str">
            <v/>
          </cell>
          <cell r="CO407" t="str">
            <v/>
          </cell>
          <cell r="CP407" t="str">
            <v/>
          </cell>
          <cell r="CQ407" t="str">
            <v/>
          </cell>
          <cell r="CR407" t="str">
            <v/>
          </cell>
          <cell r="CS407" t="str">
            <v/>
          </cell>
          <cell r="CT407" t="str">
            <v/>
          </cell>
          <cell r="CU407" t="str">
            <v/>
          </cell>
          <cell r="CV407" t="str">
            <v/>
          </cell>
          <cell r="CW407" t="str">
            <v/>
          </cell>
        </row>
        <row r="408">
          <cell r="CN408" t="str">
            <v/>
          </cell>
          <cell r="CO408" t="str">
            <v/>
          </cell>
          <cell r="CP408" t="str">
            <v/>
          </cell>
          <cell r="CQ408" t="str">
            <v/>
          </cell>
          <cell r="CR408" t="str">
            <v/>
          </cell>
          <cell r="CS408" t="str">
            <v/>
          </cell>
          <cell r="CT408" t="str">
            <v/>
          </cell>
          <cell r="CU408" t="str">
            <v/>
          </cell>
          <cell r="CV408" t="str">
            <v/>
          </cell>
          <cell r="CW408" t="str">
            <v/>
          </cell>
        </row>
        <row r="409">
          <cell r="CN409" t="str">
            <v/>
          </cell>
          <cell r="CO409" t="str">
            <v/>
          </cell>
          <cell r="CP409" t="str">
            <v/>
          </cell>
          <cell r="CQ409" t="str">
            <v/>
          </cell>
          <cell r="CR409" t="str">
            <v/>
          </cell>
          <cell r="CS409" t="str">
            <v/>
          </cell>
          <cell r="CT409" t="str">
            <v/>
          </cell>
          <cell r="CU409" t="str">
            <v/>
          </cell>
          <cell r="CV409" t="str">
            <v/>
          </cell>
          <cell r="CW409" t="str">
            <v/>
          </cell>
        </row>
        <row r="410">
          <cell r="CN410" t="str">
            <v/>
          </cell>
          <cell r="CO410" t="str">
            <v/>
          </cell>
          <cell r="CP410" t="str">
            <v/>
          </cell>
          <cell r="CQ410" t="str">
            <v/>
          </cell>
          <cell r="CR410" t="str">
            <v/>
          </cell>
          <cell r="CS410" t="str">
            <v/>
          </cell>
          <cell r="CT410" t="str">
            <v/>
          </cell>
          <cell r="CU410" t="str">
            <v/>
          </cell>
          <cell r="CV410" t="str">
            <v/>
          </cell>
          <cell r="CW410" t="str">
            <v/>
          </cell>
        </row>
        <row r="411">
          <cell r="CN411" t="str">
            <v/>
          </cell>
          <cell r="CO411" t="str">
            <v/>
          </cell>
          <cell r="CP411" t="str">
            <v/>
          </cell>
          <cell r="CQ411" t="str">
            <v/>
          </cell>
          <cell r="CR411" t="str">
            <v/>
          </cell>
          <cell r="CS411" t="str">
            <v/>
          </cell>
          <cell r="CT411" t="str">
            <v/>
          </cell>
          <cell r="CU411" t="str">
            <v/>
          </cell>
          <cell r="CV411" t="str">
            <v/>
          </cell>
          <cell r="CW411" t="str">
            <v/>
          </cell>
        </row>
        <row r="412">
          <cell r="CN412" t="str">
            <v/>
          </cell>
          <cell r="CO412" t="str">
            <v/>
          </cell>
          <cell r="CP412" t="str">
            <v/>
          </cell>
          <cell r="CQ412" t="str">
            <v/>
          </cell>
          <cell r="CR412" t="str">
            <v/>
          </cell>
          <cell r="CS412" t="str">
            <v/>
          </cell>
          <cell r="CT412" t="str">
            <v/>
          </cell>
          <cell r="CU412" t="str">
            <v/>
          </cell>
          <cell r="CV412" t="str">
            <v/>
          </cell>
          <cell r="CW412" t="str">
            <v/>
          </cell>
        </row>
        <row r="413">
          <cell r="CN413" t="str">
            <v/>
          </cell>
          <cell r="CO413" t="str">
            <v/>
          </cell>
          <cell r="CP413" t="str">
            <v/>
          </cell>
          <cell r="CQ413" t="str">
            <v/>
          </cell>
          <cell r="CR413" t="str">
            <v/>
          </cell>
          <cell r="CS413" t="str">
            <v/>
          </cell>
          <cell r="CT413" t="str">
            <v/>
          </cell>
          <cell r="CU413" t="str">
            <v/>
          </cell>
          <cell r="CV413" t="str">
            <v/>
          </cell>
          <cell r="CW413" t="str">
            <v/>
          </cell>
        </row>
        <row r="414">
          <cell r="CN414" t="str">
            <v/>
          </cell>
          <cell r="CO414" t="str">
            <v/>
          </cell>
          <cell r="CP414" t="str">
            <v/>
          </cell>
          <cell r="CQ414" t="str">
            <v/>
          </cell>
          <cell r="CR414" t="str">
            <v/>
          </cell>
          <cell r="CS414" t="str">
            <v/>
          </cell>
          <cell r="CT414" t="str">
            <v/>
          </cell>
          <cell r="CU414" t="str">
            <v/>
          </cell>
          <cell r="CV414" t="str">
            <v/>
          </cell>
          <cell r="CW414" t="str">
            <v/>
          </cell>
        </row>
        <row r="415">
          <cell r="CN415" t="str">
            <v/>
          </cell>
          <cell r="CO415" t="str">
            <v/>
          </cell>
          <cell r="CP415" t="str">
            <v/>
          </cell>
          <cell r="CQ415" t="str">
            <v/>
          </cell>
          <cell r="CR415" t="str">
            <v/>
          </cell>
          <cell r="CS415" t="str">
            <v/>
          </cell>
          <cell r="CT415" t="str">
            <v/>
          </cell>
          <cell r="CU415" t="str">
            <v/>
          </cell>
          <cell r="CV415" t="str">
            <v/>
          </cell>
          <cell r="CW415" t="str">
            <v/>
          </cell>
        </row>
        <row r="416">
          <cell r="CN416" t="str">
            <v/>
          </cell>
          <cell r="CO416" t="str">
            <v/>
          </cell>
          <cell r="CP416" t="str">
            <v/>
          </cell>
          <cell r="CQ416" t="str">
            <v/>
          </cell>
          <cell r="CR416" t="str">
            <v/>
          </cell>
          <cell r="CS416" t="str">
            <v/>
          </cell>
          <cell r="CT416" t="str">
            <v/>
          </cell>
          <cell r="CU416" t="str">
            <v/>
          </cell>
          <cell r="CV416" t="str">
            <v/>
          </cell>
          <cell r="CW416" t="str">
            <v/>
          </cell>
        </row>
        <row r="417">
          <cell r="CN417" t="str">
            <v/>
          </cell>
          <cell r="CO417" t="str">
            <v/>
          </cell>
          <cell r="CP417" t="str">
            <v/>
          </cell>
          <cell r="CQ417" t="str">
            <v/>
          </cell>
          <cell r="CR417" t="str">
            <v/>
          </cell>
          <cell r="CS417" t="str">
            <v/>
          </cell>
          <cell r="CT417" t="str">
            <v/>
          </cell>
          <cell r="CU417" t="str">
            <v/>
          </cell>
          <cell r="CV417" t="str">
            <v/>
          </cell>
          <cell r="CW417" t="str">
            <v/>
          </cell>
        </row>
        <row r="418">
          <cell r="CN418" t="str">
            <v/>
          </cell>
          <cell r="CO418" t="str">
            <v/>
          </cell>
          <cell r="CP418" t="str">
            <v/>
          </cell>
          <cell r="CQ418" t="str">
            <v/>
          </cell>
          <cell r="CR418" t="str">
            <v/>
          </cell>
          <cell r="CS418" t="str">
            <v/>
          </cell>
          <cell r="CT418" t="str">
            <v/>
          </cell>
          <cell r="CU418" t="str">
            <v/>
          </cell>
          <cell r="CV418" t="str">
            <v/>
          </cell>
          <cell r="CW418" t="str">
            <v/>
          </cell>
        </row>
        <row r="419">
          <cell r="CN419" t="str">
            <v/>
          </cell>
          <cell r="CO419" t="str">
            <v/>
          </cell>
          <cell r="CP419" t="str">
            <v/>
          </cell>
          <cell r="CQ419" t="str">
            <v/>
          </cell>
          <cell r="CR419" t="str">
            <v/>
          </cell>
          <cell r="CS419" t="str">
            <v/>
          </cell>
          <cell r="CT419" t="str">
            <v/>
          </cell>
          <cell r="CU419" t="str">
            <v/>
          </cell>
          <cell r="CV419" t="str">
            <v/>
          </cell>
          <cell r="CW419" t="str">
            <v/>
          </cell>
        </row>
        <row r="420">
          <cell r="CN420" t="str">
            <v/>
          </cell>
          <cell r="CO420" t="str">
            <v/>
          </cell>
          <cell r="CP420" t="str">
            <v/>
          </cell>
          <cell r="CQ420" t="str">
            <v/>
          </cell>
          <cell r="CR420" t="str">
            <v/>
          </cell>
          <cell r="CS420" t="str">
            <v/>
          </cell>
          <cell r="CT420" t="str">
            <v/>
          </cell>
          <cell r="CU420" t="str">
            <v/>
          </cell>
          <cell r="CV420" t="str">
            <v/>
          </cell>
          <cell r="CW420" t="str">
            <v/>
          </cell>
        </row>
        <row r="421">
          <cell r="CN421" t="str">
            <v/>
          </cell>
          <cell r="CO421" t="str">
            <v/>
          </cell>
          <cell r="CP421" t="str">
            <v/>
          </cell>
          <cell r="CQ421" t="str">
            <v/>
          </cell>
          <cell r="CR421" t="str">
            <v/>
          </cell>
          <cell r="CS421" t="str">
            <v/>
          </cell>
          <cell r="CT421" t="str">
            <v/>
          </cell>
          <cell r="CU421" t="str">
            <v/>
          </cell>
          <cell r="CV421" t="str">
            <v/>
          </cell>
          <cell r="CW421" t="str">
            <v/>
          </cell>
        </row>
        <row r="422">
          <cell r="CN422" t="str">
            <v/>
          </cell>
          <cell r="CO422" t="str">
            <v/>
          </cell>
          <cell r="CP422" t="str">
            <v/>
          </cell>
          <cell r="CQ422" t="str">
            <v/>
          </cell>
          <cell r="CR422" t="str">
            <v/>
          </cell>
          <cell r="CS422" t="str">
            <v/>
          </cell>
          <cell r="CT422" t="str">
            <v/>
          </cell>
          <cell r="CU422" t="str">
            <v/>
          </cell>
          <cell r="CV422" t="str">
            <v/>
          </cell>
          <cell r="CW422" t="str">
            <v/>
          </cell>
        </row>
        <row r="423">
          <cell r="CN423" t="str">
            <v/>
          </cell>
          <cell r="CO423" t="str">
            <v/>
          </cell>
          <cell r="CP423" t="str">
            <v/>
          </cell>
          <cell r="CQ423" t="str">
            <v/>
          </cell>
          <cell r="CR423" t="str">
            <v/>
          </cell>
          <cell r="CS423" t="str">
            <v/>
          </cell>
          <cell r="CT423" t="str">
            <v/>
          </cell>
          <cell r="CU423" t="str">
            <v/>
          </cell>
          <cell r="CV423" t="str">
            <v/>
          </cell>
          <cell r="CW423" t="str">
            <v/>
          </cell>
        </row>
        <row r="424">
          <cell r="CN424" t="str">
            <v/>
          </cell>
          <cell r="CO424" t="str">
            <v/>
          </cell>
          <cell r="CP424" t="str">
            <v/>
          </cell>
          <cell r="CQ424" t="str">
            <v/>
          </cell>
          <cell r="CR424" t="str">
            <v/>
          </cell>
          <cell r="CS424" t="str">
            <v/>
          </cell>
          <cell r="CT424" t="str">
            <v/>
          </cell>
          <cell r="CU424" t="str">
            <v/>
          </cell>
          <cell r="CV424" t="str">
            <v/>
          </cell>
          <cell r="CW424" t="str">
            <v/>
          </cell>
        </row>
        <row r="425">
          <cell r="CN425" t="str">
            <v/>
          </cell>
          <cell r="CO425" t="str">
            <v/>
          </cell>
          <cell r="CP425" t="str">
            <v/>
          </cell>
          <cell r="CQ425" t="str">
            <v/>
          </cell>
          <cell r="CR425" t="str">
            <v/>
          </cell>
          <cell r="CS425" t="str">
            <v/>
          </cell>
          <cell r="CT425" t="str">
            <v/>
          </cell>
          <cell r="CU425" t="str">
            <v/>
          </cell>
          <cell r="CV425" t="str">
            <v/>
          </cell>
          <cell r="CW425" t="str">
            <v/>
          </cell>
        </row>
        <row r="426">
          <cell r="CN426" t="str">
            <v/>
          </cell>
          <cell r="CO426" t="str">
            <v/>
          </cell>
          <cell r="CP426" t="str">
            <v/>
          </cell>
          <cell r="CQ426" t="str">
            <v/>
          </cell>
          <cell r="CR426" t="str">
            <v/>
          </cell>
          <cell r="CS426" t="str">
            <v/>
          </cell>
          <cell r="CT426" t="str">
            <v/>
          </cell>
          <cell r="CU426" t="str">
            <v/>
          </cell>
          <cell r="CV426" t="str">
            <v/>
          </cell>
          <cell r="CW426" t="str">
            <v/>
          </cell>
        </row>
        <row r="427">
          <cell r="CN427" t="str">
            <v/>
          </cell>
          <cell r="CO427" t="str">
            <v/>
          </cell>
          <cell r="CP427" t="str">
            <v/>
          </cell>
          <cell r="CQ427" t="str">
            <v/>
          </cell>
          <cell r="CR427" t="str">
            <v/>
          </cell>
          <cell r="CS427" t="str">
            <v/>
          </cell>
          <cell r="CT427" t="str">
            <v/>
          </cell>
          <cell r="CU427" t="str">
            <v/>
          </cell>
          <cell r="CV427" t="str">
            <v/>
          </cell>
          <cell r="CW427" t="str">
            <v/>
          </cell>
        </row>
        <row r="428">
          <cell r="CN428" t="str">
            <v/>
          </cell>
          <cell r="CO428" t="str">
            <v/>
          </cell>
          <cell r="CP428" t="str">
            <v/>
          </cell>
          <cell r="CQ428" t="str">
            <v/>
          </cell>
          <cell r="CR428" t="str">
            <v/>
          </cell>
          <cell r="CS428" t="str">
            <v/>
          </cell>
          <cell r="CT428" t="str">
            <v/>
          </cell>
          <cell r="CU428" t="str">
            <v/>
          </cell>
          <cell r="CV428" t="str">
            <v/>
          </cell>
          <cell r="CW428" t="str">
            <v/>
          </cell>
        </row>
        <row r="429">
          <cell r="CN429" t="str">
            <v/>
          </cell>
          <cell r="CO429" t="str">
            <v/>
          </cell>
          <cell r="CP429" t="str">
            <v/>
          </cell>
          <cell r="CQ429" t="str">
            <v/>
          </cell>
          <cell r="CR429" t="str">
            <v/>
          </cell>
          <cell r="CS429" t="str">
            <v/>
          </cell>
          <cell r="CT429" t="str">
            <v/>
          </cell>
          <cell r="CU429" t="str">
            <v/>
          </cell>
          <cell r="CV429" t="str">
            <v/>
          </cell>
          <cell r="CW429" t="str">
            <v/>
          </cell>
        </row>
        <row r="430">
          <cell r="CN430" t="str">
            <v/>
          </cell>
          <cell r="CO430" t="str">
            <v/>
          </cell>
          <cell r="CP430" t="str">
            <v/>
          </cell>
          <cell r="CQ430" t="str">
            <v/>
          </cell>
          <cell r="CR430" t="str">
            <v/>
          </cell>
          <cell r="CS430" t="str">
            <v/>
          </cell>
          <cell r="CT430" t="str">
            <v/>
          </cell>
          <cell r="CU430" t="str">
            <v/>
          </cell>
          <cell r="CV430" t="str">
            <v/>
          </cell>
          <cell r="CW430" t="str">
            <v/>
          </cell>
        </row>
        <row r="431">
          <cell r="CN431" t="str">
            <v/>
          </cell>
          <cell r="CO431" t="str">
            <v/>
          </cell>
          <cell r="CP431" t="str">
            <v/>
          </cell>
          <cell r="CQ431" t="str">
            <v/>
          </cell>
          <cell r="CR431" t="str">
            <v/>
          </cell>
          <cell r="CS431" t="str">
            <v/>
          </cell>
          <cell r="CT431" t="str">
            <v/>
          </cell>
          <cell r="CU431" t="str">
            <v/>
          </cell>
          <cell r="CV431" t="str">
            <v/>
          </cell>
          <cell r="CW431" t="str">
            <v/>
          </cell>
        </row>
        <row r="432">
          <cell r="CN432" t="str">
            <v/>
          </cell>
          <cell r="CO432" t="str">
            <v/>
          </cell>
          <cell r="CP432" t="str">
            <v/>
          </cell>
          <cell r="CQ432" t="str">
            <v/>
          </cell>
          <cell r="CR432" t="str">
            <v/>
          </cell>
          <cell r="CS432" t="str">
            <v/>
          </cell>
          <cell r="CT432" t="str">
            <v/>
          </cell>
          <cell r="CU432" t="str">
            <v/>
          </cell>
          <cell r="CV432" t="str">
            <v/>
          </cell>
          <cell r="CW432" t="str">
            <v/>
          </cell>
        </row>
        <row r="433">
          <cell r="CN433" t="str">
            <v/>
          </cell>
          <cell r="CO433" t="str">
            <v/>
          </cell>
          <cell r="CP433" t="str">
            <v/>
          </cell>
          <cell r="CQ433" t="str">
            <v/>
          </cell>
          <cell r="CR433" t="str">
            <v/>
          </cell>
          <cell r="CS433" t="str">
            <v/>
          </cell>
          <cell r="CT433" t="str">
            <v/>
          </cell>
          <cell r="CU433" t="str">
            <v/>
          </cell>
          <cell r="CV433" t="str">
            <v/>
          </cell>
          <cell r="CW433" t="str">
            <v/>
          </cell>
        </row>
        <row r="434">
          <cell r="CN434" t="str">
            <v/>
          </cell>
          <cell r="CO434" t="str">
            <v/>
          </cell>
          <cell r="CP434" t="str">
            <v/>
          </cell>
          <cell r="CQ434" t="str">
            <v/>
          </cell>
          <cell r="CR434" t="str">
            <v/>
          </cell>
          <cell r="CS434" t="str">
            <v/>
          </cell>
          <cell r="CT434" t="str">
            <v/>
          </cell>
          <cell r="CU434" t="str">
            <v/>
          </cell>
          <cell r="CV434" t="str">
            <v/>
          </cell>
          <cell r="CW434" t="str">
            <v/>
          </cell>
        </row>
        <row r="435">
          <cell r="CN435" t="str">
            <v/>
          </cell>
          <cell r="CO435" t="str">
            <v/>
          </cell>
          <cell r="CP435" t="str">
            <v/>
          </cell>
          <cell r="CQ435" t="str">
            <v/>
          </cell>
          <cell r="CR435" t="str">
            <v/>
          </cell>
          <cell r="CS435" t="str">
            <v/>
          </cell>
          <cell r="CT435" t="str">
            <v/>
          </cell>
          <cell r="CU435" t="str">
            <v/>
          </cell>
          <cell r="CV435" t="str">
            <v/>
          </cell>
          <cell r="CW435" t="str">
            <v/>
          </cell>
        </row>
        <row r="436">
          <cell r="CN436" t="str">
            <v/>
          </cell>
          <cell r="CO436" t="str">
            <v/>
          </cell>
          <cell r="CP436" t="str">
            <v/>
          </cell>
          <cell r="CQ436" t="str">
            <v/>
          </cell>
          <cell r="CR436" t="str">
            <v/>
          </cell>
          <cell r="CS436" t="str">
            <v/>
          </cell>
          <cell r="CT436" t="str">
            <v/>
          </cell>
          <cell r="CU436" t="str">
            <v/>
          </cell>
          <cell r="CV436" t="str">
            <v/>
          </cell>
          <cell r="CW436" t="str">
            <v/>
          </cell>
        </row>
        <row r="437">
          <cell r="CN437" t="str">
            <v/>
          </cell>
          <cell r="CO437" t="str">
            <v/>
          </cell>
          <cell r="CP437" t="str">
            <v/>
          </cell>
          <cell r="CQ437" t="str">
            <v/>
          </cell>
          <cell r="CR437" t="str">
            <v/>
          </cell>
          <cell r="CS437" t="str">
            <v/>
          </cell>
          <cell r="CT437" t="str">
            <v/>
          </cell>
          <cell r="CU437" t="str">
            <v/>
          </cell>
          <cell r="CV437" t="str">
            <v/>
          </cell>
          <cell r="CW437" t="str">
            <v/>
          </cell>
        </row>
        <row r="438">
          <cell r="CN438" t="str">
            <v/>
          </cell>
          <cell r="CO438" t="str">
            <v/>
          </cell>
          <cell r="CP438" t="str">
            <v/>
          </cell>
          <cell r="CQ438" t="str">
            <v/>
          </cell>
          <cell r="CR438" t="str">
            <v/>
          </cell>
          <cell r="CS438" t="str">
            <v/>
          </cell>
          <cell r="CT438" t="str">
            <v/>
          </cell>
          <cell r="CU438" t="str">
            <v/>
          </cell>
          <cell r="CV438" t="str">
            <v/>
          </cell>
          <cell r="CW438" t="str">
            <v/>
          </cell>
        </row>
        <row r="439">
          <cell r="CN439" t="str">
            <v/>
          </cell>
          <cell r="CO439" t="str">
            <v/>
          </cell>
          <cell r="CP439" t="str">
            <v/>
          </cell>
          <cell r="CQ439" t="str">
            <v/>
          </cell>
          <cell r="CR439" t="str">
            <v/>
          </cell>
          <cell r="CS439" t="str">
            <v/>
          </cell>
          <cell r="CT439" t="str">
            <v/>
          </cell>
          <cell r="CU439" t="str">
            <v/>
          </cell>
          <cell r="CV439" t="str">
            <v/>
          </cell>
          <cell r="CW439" t="str">
            <v/>
          </cell>
        </row>
        <row r="440">
          <cell r="CN440" t="str">
            <v/>
          </cell>
          <cell r="CO440" t="str">
            <v/>
          </cell>
          <cell r="CP440" t="str">
            <v/>
          </cell>
          <cell r="CQ440" t="str">
            <v/>
          </cell>
          <cell r="CR440" t="str">
            <v/>
          </cell>
          <cell r="CS440" t="str">
            <v/>
          </cell>
          <cell r="CT440" t="str">
            <v/>
          </cell>
          <cell r="CU440" t="str">
            <v/>
          </cell>
          <cell r="CV440" t="str">
            <v/>
          </cell>
          <cell r="CW440" t="str">
            <v/>
          </cell>
        </row>
        <row r="441">
          <cell r="CN441" t="str">
            <v/>
          </cell>
          <cell r="CO441" t="str">
            <v/>
          </cell>
          <cell r="CP441" t="str">
            <v/>
          </cell>
          <cell r="CQ441" t="str">
            <v/>
          </cell>
          <cell r="CR441" t="str">
            <v/>
          </cell>
          <cell r="CS441" t="str">
            <v/>
          </cell>
          <cell r="CT441" t="str">
            <v/>
          </cell>
          <cell r="CU441" t="str">
            <v/>
          </cell>
          <cell r="CV441" t="str">
            <v/>
          </cell>
          <cell r="CW441" t="str">
            <v/>
          </cell>
        </row>
        <row r="442">
          <cell r="CN442" t="str">
            <v/>
          </cell>
          <cell r="CO442" t="str">
            <v/>
          </cell>
          <cell r="CP442" t="str">
            <v/>
          </cell>
          <cell r="CQ442" t="str">
            <v/>
          </cell>
          <cell r="CR442" t="str">
            <v/>
          </cell>
          <cell r="CS442" t="str">
            <v/>
          </cell>
          <cell r="CT442" t="str">
            <v/>
          </cell>
          <cell r="CU442" t="str">
            <v/>
          </cell>
          <cell r="CV442" t="str">
            <v/>
          </cell>
          <cell r="CW442" t="str">
            <v/>
          </cell>
        </row>
        <row r="443">
          <cell r="CN443" t="str">
            <v/>
          </cell>
          <cell r="CO443" t="str">
            <v/>
          </cell>
          <cell r="CP443" t="str">
            <v/>
          </cell>
          <cell r="CQ443" t="str">
            <v/>
          </cell>
          <cell r="CR443" t="str">
            <v/>
          </cell>
          <cell r="CS443" t="str">
            <v/>
          </cell>
          <cell r="CT443" t="str">
            <v/>
          </cell>
          <cell r="CU443" t="str">
            <v/>
          </cell>
          <cell r="CV443" t="str">
            <v/>
          </cell>
          <cell r="CW443" t="str">
            <v/>
          </cell>
        </row>
        <row r="444">
          <cell r="CN444" t="str">
            <v/>
          </cell>
          <cell r="CO444" t="str">
            <v/>
          </cell>
          <cell r="CP444" t="str">
            <v/>
          </cell>
          <cell r="CQ444" t="str">
            <v/>
          </cell>
          <cell r="CR444" t="str">
            <v/>
          </cell>
          <cell r="CS444" t="str">
            <v/>
          </cell>
          <cell r="CT444" t="str">
            <v/>
          </cell>
          <cell r="CU444" t="str">
            <v/>
          </cell>
          <cell r="CV444" t="str">
            <v/>
          </cell>
          <cell r="CW444" t="str">
            <v/>
          </cell>
        </row>
        <row r="445">
          <cell r="CN445" t="str">
            <v/>
          </cell>
          <cell r="CO445" t="str">
            <v/>
          </cell>
          <cell r="CP445" t="str">
            <v/>
          </cell>
          <cell r="CQ445" t="str">
            <v/>
          </cell>
          <cell r="CR445" t="str">
            <v/>
          </cell>
          <cell r="CS445" t="str">
            <v/>
          </cell>
          <cell r="CT445" t="str">
            <v/>
          </cell>
          <cell r="CU445" t="str">
            <v/>
          </cell>
          <cell r="CV445" t="str">
            <v/>
          </cell>
          <cell r="CW445" t="str">
            <v/>
          </cell>
        </row>
        <row r="446">
          <cell r="CN446" t="str">
            <v/>
          </cell>
          <cell r="CO446" t="str">
            <v/>
          </cell>
          <cell r="CP446" t="str">
            <v/>
          </cell>
          <cell r="CQ446" t="str">
            <v/>
          </cell>
          <cell r="CR446" t="str">
            <v/>
          </cell>
          <cell r="CS446" t="str">
            <v/>
          </cell>
          <cell r="CT446" t="str">
            <v/>
          </cell>
          <cell r="CU446" t="str">
            <v/>
          </cell>
          <cell r="CV446" t="str">
            <v/>
          </cell>
          <cell r="CW446" t="str">
            <v/>
          </cell>
        </row>
        <row r="447">
          <cell r="CN447" t="str">
            <v/>
          </cell>
          <cell r="CO447" t="str">
            <v/>
          </cell>
          <cell r="CP447" t="str">
            <v/>
          </cell>
          <cell r="CQ447" t="str">
            <v/>
          </cell>
          <cell r="CR447" t="str">
            <v/>
          </cell>
          <cell r="CS447" t="str">
            <v/>
          </cell>
          <cell r="CT447" t="str">
            <v/>
          </cell>
          <cell r="CU447" t="str">
            <v/>
          </cell>
          <cell r="CV447" t="str">
            <v/>
          </cell>
          <cell r="CW447" t="str">
            <v/>
          </cell>
        </row>
        <row r="448">
          <cell r="CN448" t="str">
            <v/>
          </cell>
          <cell r="CO448" t="str">
            <v/>
          </cell>
          <cell r="CP448" t="str">
            <v/>
          </cell>
          <cell r="CQ448" t="str">
            <v/>
          </cell>
          <cell r="CR448" t="str">
            <v/>
          </cell>
          <cell r="CS448" t="str">
            <v/>
          </cell>
          <cell r="CT448" t="str">
            <v/>
          </cell>
          <cell r="CU448" t="str">
            <v/>
          </cell>
          <cell r="CV448" t="str">
            <v/>
          </cell>
          <cell r="CW448" t="str">
            <v/>
          </cell>
        </row>
        <row r="449">
          <cell r="CN449" t="str">
            <v/>
          </cell>
          <cell r="CO449" t="str">
            <v/>
          </cell>
          <cell r="CP449" t="str">
            <v/>
          </cell>
          <cell r="CQ449" t="str">
            <v/>
          </cell>
          <cell r="CR449" t="str">
            <v/>
          </cell>
          <cell r="CS449" t="str">
            <v/>
          </cell>
          <cell r="CT449" t="str">
            <v/>
          </cell>
          <cell r="CU449" t="str">
            <v/>
          </cell>
          <cell r="CV449" t="str">
            <v/>
          </cell>
          <cell r="CW449" t="str">
            <v/>
          </cell>
        </row>
        <row r="450">
          <cell r="CN450" t="str">
            <v/>
          </cell>
          <cell r="CO450" t="str">
            <v/>
          </cell>
          <cell r="CP450" t="str">
            <v/>
          </cell>
          <cell r="CQ450" t="str">
            <v/>
          </cell>
          <cell r="CR450" t="str">
            <v/>
          </cell>
          <cell r="CS450" t="str">
            <v/>
          </cell>
          <cell r="CT450" t="str">
            <v/>
          </cell>
          <cell r="CU450" t="str">
            <v/>
          </cell>
          <cell r="CV450" t="str">
            <v/>
          </cell>
          <cell r="CW450" t="str">
            <v/>
          </cell>
        </row>
        <row r="451">
          <cell r="CN451" t="str">
            <v/>
          </cell>
          <cell r="CO451" t="str">
            <v/>
          </cell>
          <cell r="CP451" t="str">
            <v/>
          </cell>
          <cell r="CQ451" t="str">
            <v/>
          </cell>
          <cell r="CR451" t="str">
            <v/>
          </cell>
          <cell r="CS451" t="str">
            <v/>
          </cell>
          <cell r="CT451" t="str">
            <v/>
          </cell>
          <cell r="CU451" t="str">
            <v/>
          </cell>
          <cell r="CV451" t="str">
            <v/>
          </cell>
          <cell r="CW451" t="str">
            <v/>
          </cell>
        </row>
        <row r="452">
          <cell r="CN452" t="str">
            <v/>
          </cell>
          <cell r="CO452" t="str">
            <v/>
          </cell>
          <cell r="CP452" t="str">
            <v/>
          </cell>
          <cell r="CQ452" t="str">
            <v/>
          </cell>
          <cell r="CR452" t="str">
            <v/>
          </cell>
          <cell r="CS452" t="str">
            <v/>
          </cell>
          <cell r="CT452" t="str">
            <v/>
          </cell>
          <cell r="CU452" t="str">
            <v/>
          </cell>
          <cell r="CV452" t="str">
            <v/>
          </cell>
          <cell r="CW452" t="str">
            <v/>
          </cell>
        </row>
        <row r="453">
          <cell r="CN453" t="str">
            <v/>
          </cell>
          <cell r="CO453" t="str">
            <v/>
          </cell>
          <cell r="CP453" t="str">
            <v/>
          </cell>
          <cell r="CQ453" t="str">
            <v/>
          </cell>
          <cell r="CR453" t="str">
            <v/>
          </cell>
          <cell r="CS453" t="str">
            <v/>
          </cell>
          <cell r="CT453" t="str">
            <v/>
          </cell>
          <cell r="CU453" t="str">
            <v/>
          </cell>
          <cell r="CV453" t="str">
            <v/>
          </cell>
          <cell r="CW453" t="str">
            <v/>
          </cell>
        </row>
        <row r="454">
          <cell r="CN454" t="str">
            <v/>
          </cell>
          <cell r="CO454" t="str">
            <v/>
          </cell>
          <cell r="CP454" t="str">
            <v/>
          </cell>
          <cell r="CQ454" t="str">
            <v/>
          </cell>
          <cell r="CR454" t="str">
            <v/>
          </cell>
          <cell r="CS454" t="str">
            <v/>
          </cell>
          <cell r="CT454" t="str">
            <v/>
          </cell>
          <cell r="CU454" t="str">
            <v/>
          </cell>
          <cell r="CV454" t="str">
            <v/>
          </cell>
          <cell r="CW454" t="str">
            <v/>
          </cell>
        </row>
        <row r="455">
          <cell r="CN455" t="str">
            <v/>
          </cell>
          <cell r="CO455" t="str">
            <v/>
          </cell>
          <cell r="CP455" t="str">
            <v/>
          </cell>
          <cell r="CQ455" t="str">
            <v/>
          </cell>
          <cell r="CR455" t="str">
            <v/>
          </cell>
          <cell r="CS455" t="str">
            <v/>
          </cell>
          <cell r="CT455" t="str">
            <v/>
          </cell>
          <cell r="CU455" t="str">
            <v/>
          </cell>
          <cell r="CV455" t="str">
            <v/>
          </cell>
          <cell r="CW455" t="str">
            <v/>
          </cell>
        </row>
        <row r="456">
          <cell r="CN456" t="str">
            <v/>
          </cell>
          <cell r="CO456" t="str">
            <v/>
          </cell>
          <cell r="CP456" t="str">
            <v/>
          </cell>
          <cell r="CQ456" t="str">
            <v/>
          </cell>
          <cell r="CR456" t="str">
            <v/>
          </cell>
          <cell r="CS456" t="str">
            <v/>
          </cell>
          <cell r="CT456" t="str">
            <v/>
          </cell>
          <cell r="CU456" t="str">
            <v/>
          </cell>
          <cell r="CV456" t="str">
            <v/>
          </cell>
          <cell r="CW456" t="str">
            <v/>
          </cell>
        </row>
        <row r="457">
          <cell r="CN457" t="str">
            <v/>
          </cell>
          <cell r="CO457" t="str">
            <v/>
          </cell>
          <cell r="CP457" t="str">
            <v/>
          </cell>
          <cell r="CQ457" t="str">
            <v/>
          </cell>
          <cell r="CR457" t="str">
            <v/>
          </cell>
          <cell r="CS457" t="str">
            <v/>
          </cell>
          <cell r="CT457" t="str">
            <v/>
          </cell>
          <cell r="CU457" t="str">
            <v/>
          </cell>
          <cell r="CV457" t="str">
            <v/>
          </cell>
          <cell r="CW457" t="str">
            <v/>
          </cell>
        </row>
        <row r="458">
          <cell r="CN458" t="str">
            <v/>
          </cell>
          <cell r="CO458" t="str">
            <v/>
          </cell>
          <cell r="CP458" t="str">
            <v/>
          </cell>
          <cell r="CQ458" t="str">
            <v/>
          </cell>
          <cell r="CR458" t="str">
            <v/>
          </cell>
          <cell r="CS458" t="str">
            <v/>
          </cell>
          <cell r="CT458" t="str">
            <v/>
          </cell>
          <cell r="CU458" t="str">
            <v/>
          </cell>
          <cell r="CV458" t="str">
            <v/>
          </cell>
          <cell r="CW458" t="str">
            <v/>
          </cell>
        </row>
        <row r="459">
          <cell r="CN459" t="str">
            <v/>
          </cell>
          <cell r="CO459" t="str">
            <v/>
          </cell>
          <cell r="CP459" t="str">
            <v/>
          </cell>
          <cell r="CQ459" t="str">
            <v/>
          </cell>
          <cell r="CR459" t="str">
            <v/>
          </cell>
          <cell r="CS459" t="str">
            <v/>
          </cell>
          <cell r="CT459" t="str">
            <v/>
          </cell>
          <cell r="CU459" t="str">
            <v/>
          </cell>
          <cell r="CV459" t="str">
            <v/>
          </cell>
          <cell r="CW459" t="str">
            <v/>
          </cell>
        </row>
        <row r="460">
          <cell r="CN460" t="str">
            <v/>
          </cell>
          <cell r="CO460" t="str">
            <v/>
          </cell>
          <cell r="CP460" t="str">
            <v/>
          </cell>
          <cell r="CQ460" t="str">
            <v/>
          </cell>
          <cell r="CR460" t="str">
            <v/>
          </cell>
          <cell r="CS460" t="str">
            <v/>
          </cell>
          <cell r="CT460" t="str">
            <v/>
          </cell>
          <cell r="CU460" t="str">
            <v/>
          </cell>
          <cell r="CV460" t="str">
            <v/>
          </cell>
          <cell r="CW460" t="str">
            <v/>
          </cell>
        </row>
        <row r="461">
          <cell r="CN461" t="str">
            <v/>
          </cell>
          <cell r="CO461" t="str">
            <v/>
          </cell>
          <cell r="CP461" t="str">
            <v/>
          </cell>
          <cell r="CQ461" t="str">
            <v/>
          </cell>
          <cell r="CR461" t="str">
            <v/>
          </cell>
          <cell r="CS461" t="str">
            <v/>
          </cell>
          <cell r="CT461" t="str">
            <v/>
          </cell>
          <cell r="CU461" t="str">
            <v/>
          </cell>
          <cell r="CV461" t="str">
            <v/>
          </cell>
          <cell r="CW461" t="str">
            <v/>
          </cell>
        </row>
        <row r="462">
          <cell r="CN462" t="str">
            <v/>
          </cell>
          <cell r="CO462" t="str">
            <v/>
          </cell>
          <cell r="CP462" t="str">
            <v/>
          </cell>
          <cell r="CQ462" t="str">
            <v/>
          </cell>
          <cell r="CR462" t="str">
            <v/>
          </cell>
          <cell r="CS462" t="str">
            <v/>
          </cell>
          <cell r="CT462" t="str">
            <v/>
          </cell>
          <cell r="CU462" t="str">
            <v/>
          </cell>
          <cell r="CV462" t="str">
            <v/>
          </cell>
          <cell r="CW462" t="str">
            <v/>
          </cell>
        </row>
        <row r="463">
          <cell r="CN463" t="str">
            <v/>
          </cell>
          <cell r="CO463" t="str">
            <v/>
          </cell>
          <cell r="CP463" t="str">
            <v/>
          </cell>
          <cell r="CQ463" t="str">
            <v/>
          </cell>
          <cell r="CR463" t="str">
            <v/>
          </cell>
          <cell r="CS463" t="str">
            <v/>
          </cell>
          <cell r="CT463" t="str">
            <v/>
          </cell>
          <cell r="CU463" t="str">
            <v/>
          </cell>
          <cell r="CV463" t="str">
            <v/>
          </cell>
          <cell r="CW463" t="str">
            <v/>
          </cell>
        </row>
        <row r="464">
          <cell r="CN464" t="str">
            <v/>
          </cell>
          <cell r="CO464" t="str">
            <v/>
          </cell>
          <cell r="CP464" t="str">
            <v/>
          </cell>
          <cell r="CQ464" t="str">
            <v/>
          </cell>
          <cell r="CR464" t="str">
            <v/>
          </cell>
          <cell r="CS464" t="str">
            <v/>
          </cell>
          <cell r="CT464" t="str">
            <v/>
          </cell>
          <cell r="CU464" t="str">
            <v/>
          </cell>
          <cell r="CV464" t="str">
            <v/>
          </cell>
          <cell r="CW464" t="str">
            <v/>
          </cell>
        </row>
        <row r="465">
          <cell r="CN465" t="str">
            <v/>
          </cell>
          <cell r="CO465" t="str">
            <v/>
          </cell>
          <cell r="CP465" t="str">
            <v/>
          </cell>
          <cell r="CQ465" t="str">
            <v/>
          </cell>
          <cell r="CR465" t="str">
            <v/>
          </cell>
          <cell r="CS465" t="str">
            <v/>
          </cell>
          <cell r="CT465" t="str">
            <v/>
          </cell>
          <cell r="CU465" t="str">
            <v/>
          </cell>
          <cell r="CV465" t="str">
            <v/>
          </cell>
          <cell r="CW465" t="str">
            <v/>
          </cell>
        </row>
        <row r="466">
          <cell r="CN466" t="str">
            <v/>
          </cell>
          <cell r="CO466" t="str">
            <v/>
          </cell>
          <cell r="CP466" t="str">
            <v/>
          </cell>
          <cell r="CQ466" t="str">
            <v/>
          </cell>
          <cell r="CR466" t="str">
            <v/>
          </cell>
          <cell r="CS466" t="str">
            <v/>
          </cell>
          <cell r="CT466" t="str">
            <v/>
          </cell>
          <cell r="CU466" t="str">
            <v/>
          </cell>
          <cell r="CV466" t="str">
            <v/>
          </cell>
          <cell r="CW466" t="str">
            <v/>
          </cell>
        </row>
        <row r="467">
          <cell r="CN467" t="str">
            <v/>
          </cell>
          <cell r="CO467" t="str">
            <v/>
          </cell>
          <cell r="CP467" t="str">
            <v/>
          </cell>
          <cell r="CQ467" t="str">
            <v/>
          </cell>
          <cell r="CR467" t="str">
            <v/>
          </cell>
          <cell r="CS467" t="str">
            <v/>
          </cell>
          <cell r="CT467" t="str">
            <v/>
          </cell>
          <cell r="CU467" t="str">
            <v/>
          </cell>
          <cell r="CV467" t="str">
            <v/>
          </cell>
          <cell r="CW467" t="str">
            <v/>
          </cell>
        </row>
        <row r="468">
          <cell r="CN468" t="str">
            <v/>
          </cell>
          <cell r="CO468" t="str">
            <v/>
          </cell>
          <cell r="CP468" t="str">
            <v/>
          </cell>
          <cell r="CQ468" t="str">
            <v/>
          </cell>
          <cell r="CR468" t="str">
            <v/>
          </cell>
          <cell r="CS468" t="str">
            <v/>
          </cell>
          <cell r="CT468" t="str">
            <v/>
          </cell>
          <cell r="CU468" t="str">
            <v/>
          </cell>
          <cell r="CV468" t="str">
            <v/>
          </cell>
          <cell r="CW468" t="str">
            <v/>
          </cell>
        </row>
        <row r="469">
          <cell r="CN469" t="str">
            <v/>
          </cell>
          <cell r="CO469" t="str">
            <v/>
          </cell>
          <cell r="CP469" t="str">
            <v/>
          </cell>
          <cell r="CQ469" t="str">
            <v/>
          </cell>
          <cell r="CR469" t="str">
            <v/>
          </cell>
          <cell r="CS469" t="str">
            <v/>
          </cell>
          <cell r="CT469" t="str">
            <v/>
          </cell>
          <cell r="CU469" t="str">
            <v/>
          </cell>
          <cell r="CV469" t="str">
            <v/>
          </cell>
          <cell r="CW469" t="str">
            <v/>
          </cell>
        </row>
        <row r="470">
          <cell r="CN470" t="str">
            <v/>
          </cell>
          <cell r="CO470" t="str">
            <v/>
          </cell>
          <cell r="CP470" t="str">
            <v/>
          </cell>
          <cell r="CQ470" t="str">
            <v/>
          </cell>
          <cell r="CR470" t="str">
            <v/>
          </cell>
          <cell r="CS470" t="str">
            <v/>
          </cell>
          <cell r="CT470" t="str">
            <v/>
          </cell>
          <cell r="CU470" t="str">
            <v/>
          </cell>
          <cell r="CV470" t="str">
            <v/>
          </cell>
          <cell r="CW470" t="str">
            <v/>
          </cell>
        </row>
        <row r="471">
          <cell r="CN471" t="str">
            <v/>
          </cell>
          <cell r="CO471" t="str">
            <v/>
          </cell>
          <cell r="CP471" t="str">
            <v/>
          </cell>
          <cell r="CQ471" t="str">
            <v/>
          </cell>
          <cell r="CR471" t="str">
            <v/>
          </cell>
          <cell r="CS471" t="str">
            <v/>
          </cell>
          <cell r="CT471" t="str">
            <v/>
          </cell>
          <cell r="CU471" t="str">
            <v/>
          </cell>
          <cell r="CV471" t="str">
            <v/>
          </cell>
          <cell r="CW471" t="str">
            <v/>
          </cell>
        </row>
        <row r="472">
          <cell r="CN472" t="str">
            <v/>
          </cell>
          <cell r="CO472" t="str">
            <v/>
          </cell>
          <cell r="CP472" t="str">
            <v/>
          </cell>
          <cell r="CQ472" t="str">
            <v/>
          </cell>
          <cell r="CR472" t="str">
            <v/>
          </cell>
          <cell r="CS472" t="str">
            <v/>
          </cell>
          <cell r="CT472" t="str">
            <v/>
          </cell>
          <cell r="CU472" t="str">
            <v/>
          </cell>
          <cell r="CV472" t="str">
            <v/>
          </cell>
          <cell r="CW472" t="str">
            <v/>
          </cell>
        </row>
        <row r="473">
          <cell r="CN473" t="str">
            <v/>
          </cell>
          <cell r="CO473" t="str">
            <v/>
          </cell>
          <cell r="CP473" t="str">
            <v/>
          </cell>
          <cell r="CQ473" t="str">
            <v/>
          </cell>
          <cell r="CR473" t="str">
            <v/>
          </cell>
          <cell r="CS473" t="str">
            <v/>
          </cell>
          <cell r="CT473" t="str">
            <v/>
          </cell>
          <cell r="CU473" t="str">
            <v/>
          </cell>
          <cell r="CV473" t="str">
            <v/>
          </cell>
          <cell r="CW473" t="str">
            <v/>
          </cell>
        </row>
        <row r="474">
          <cell r="CN474" t="str">
            <v/>
          </cell>
          <cell r="CO474" t="str">
            <v/>
          </cell>
          <cell r="CP474" t="str">
            <v/>
          </cell>
          <cell r="CQ474" t="str">
            <v/>
          </cell>
          <cell r="CR474" t="str">
            <v/>
          </cell>
          <cell r="CS474" t="str">
            <v/>
          </cell>
          <cell r="CT474" t="str">
            <v/>
          </cell>
          <cell r="CU474" t="str">
            <v/>
          </cell>
          <cell r="CV474" t="str">
            <v/>
          </cell>
          <cell r="CW474" t="str">
            <v/>
          </cell>
        </row>
        <row r="475">
          <cell r="CN475" t="str">
            <v/>
          </cell>
          <cell r="CO475" t="str">
            <v/>
          </cell>
          <cell r="CP475" t="str">
            <v/>
          </cell>
          <cell r="CQ475" t="str">
            <v/>
          </cell>
          <cell r="CR475" t="str">
            <v/>
          </cell>
          <cell r="CS475" t="str">
            <v/>
          </cell>
          <cell r="CT475" t="str">
            <v/>
          </cell>
          <cell r="CU475" t="str">
            <v/>
          </cell>
          <cell r="CV475" t="str">
            <v/>
          </cell>
          <cell r="CW475" t="str">
            <v/>
          </cell>
        </row>
        <row r="476">
          <cell r="CN476" t="str">
            <v/>
          </cell>
          <cell r="CO476" t="str">
            <v/>
          </cell>
          <cell r="CP476" t="str">
            <v/>
          </cell>
          <cell r="CQ476" t="str">
            <v/>
          </cell>
          <cell r="CR476" t="str">
            <v/>
          </cell>
          <cell r="CS476" t="str">
            <v/>
          </cell>
          <cell r="CT476" t="str">
            <v/>
          </cell>
          <cell r="CU476" t="str">
            <v/>
          </cell>
          <cell r="CV476" t="str">
            <v/>
          </cell>
          <cell r="CW476" t="str">
            <v/>
          </cell>
        </row>
        <row r="477">
          <cell r="CN477" t="str">
            <v/>
          </cell>
          <cell r="CO477" t="str">
            <v/>
          </cell>
          <cell r="CP477" t="str">
            <v/>
          </cell>
          <cell r="CQ477" t="str">
            <v/>
          </cell>
          <cell r="CR477" t="str">
            <v/>
          </cell>
          <cell r="CS477" t="str">
            <v/>
          </cell>
          <cell r="CT477" t="str">
            <v/>
          </cell>
          <cell r="CU477" t="str">
            <v/>
          </cell>
          <cell r="CV477" t="str">
            <v/>
          </cell>
          <cell r="CW477" t="str">
            <v/>
          </cell>
        </row>
        <row r="478">
          <cell r="CN478" t="str">
            <v/>
          </cell>
          <cell r="CO478" t="str">
            <v/>
          </cell>
          <cell r="CP478" t="str">
            <v/>
          </cell>
          <cell r="CQ478" t="str">
            <v/>
          </cell>
          <cell r="CR478" t="str">
            <v/>
          </cell>
          <cell r="CS478" t="str">
            <v/>
          </cell>
          <cell r="CT478" t="str">
            <v/>
          </cell>
          <cell r="CU478" t="str">
            <v/>
          </cell>
          <cell r="CV478" t="str">
            <v/>
          </cell>
          <cell r="CW478" t="str">
            <v/>
          </cell>
        </row>
        <row r="479">
          <cell r="CN479" t="str">
            <v/>
          </cell>
          <cell r="CO479" t="str">
            <v/>
          </cell>
          <cell r="CP479" t="str">
            <v/>
          </cell>
          <cell r="CQ479" t="str">
            <v/>
          </cell>
          <cell r="CR479" t="str">
            <v/>
          </cell>
          <cell r="CS479" t="str">
            <v/>
          </cell>
          <cell r="CT479" t="str">
            <v/>
          </cell>
          <cell r="CU479" t="str">
            <v/>
          </cell>
          <cell r="CV479" t="str">
            <v/>
          </cell>
          <cell r="CW479" t="str">
            <v/>
          </cell>
        </row>
        <row r="480">
          <cell r="CN480" t="str">
            <v/>
          </cell>
          <cell r="CO480" t="str">
            <v/>
          </cell>
          <cell r="CP480" t="str">
            <v/>
          </cell>
          <cell r="CQ480" t="str">
            <v/>
          </cell>
          <cell r="CR480" t="str">
            <v/>
          </cell>
          <cell r="CS480" t="str">
            <v/>
          </cell>
          <cell r="CT480" t="str">
            <v/>
          </cell>
          <cell r="CU480" t="str">
            <v/>
          </cell>
          <cell r="CV480" t="str">
            <v/>
          </cell>
          <cell r="CW480" t="str">
            <v/>
          </cell>
        </row>
        <row r="481">
          <cell r="CN481" t="str">
            <v/>
          </cell>
          <cell r="CO481" t="str">
            <v/>
          </cell>
          <cell r="CP481" t="str">
            <v/>
          </cell>
          <cell r="CQ481" t="str">
            <v/>
          </cell>
          <cell r="CR481" t="str">
            <v/>
          </cell>
          <cell r="CS481" t="str">
            <v/>
          </cell>
          <cell r="CT481" t="str">
            <v/>
          </cell>
          <cell r="CU481" t="str">
            <v/>
          </cell>
          <cell r="CV481" t="str">
            <v/>
          </cell>
          <cell r="CW481" t="str">
            <v/>
          </cell>
        </row>
        <row r="482">
          <cell r="CN482" t="str">
            <v/>
          </cell>
          <cell r="CO482" t="str">
            <v/>
          </cell>
          <cell r="CP482" t="str">
            <v/>
          </cell>
          <cell r="CQ482" t="str">
            <v/>
          </cell>
          <cell r="CR482" t="str">
            <v/>
          </cell>
          <cell r="CS482" t="str">
            <v/>
          </cell>
          <cell r="CT482" t="str">
            <v/>
          </cell>
          <cell r="CU482" t="str">
            <v/>
          </cell>
          <cell r="CV482" t="str">
            <v/>
          </cell>
          <cell r="CW482" t="str">
            <v/>
          </cell>
        </row>
        <row r="483">
          <cell r="CN483" t="str">
            <v/>
          </cell>
          <cell r="CO483" t="str">
            <v/>
          </cell>
          <cell r="CP483" t="str">
            <v/>
          </cell>
          <cell r="CQ483" t="str">
            <v/>
          </cell>
          <cell r="CR483" t="str">
            <v/>
          </cell>
          <cell r="CS483" t="str">
            <v/>
          </cell>
          <cell r="CT483" t="str">
            <v/>
          </cell>
          <cell r="CU483" t="str">
            <v/>
          </cell>
          <cell r="CV483" t="str">
            <v/>
          </cell>
          <cell r="CW483" t="str">
            <v/>
          </cell>
        </row>
        <row r="484">
          <cell r="CN484" t="str">
            <v/>
          </cell>
          <cell r="CO484" t="str">
            <v/>
          </cell>
          <cell r="CP484" t="str">
            <v/>
          </cell>
          <cell r="CQ484" t="str">
            <v/>
          </cell>
          <cell r="CR484" t="str">
            <v/>
          </cell>
          <cell r="CS484" t="str">
            <v/>
          </cell>
          <cell r="CT484" t="str">
            <v/>
          </cell>
          <cell r="CU484" t="str">
            <v/>
          </cell>
          <cell r="CV484" t="str">
            <v/>
          </cell>
          <cell r="CW484" t="str">
            <v/>
          </cell>
        </row>
        <row r="485">
          <cell r="CN485" t="str">
            <v/>
          </cell>
          <cell r="CO485" t="str">
            <v/>
          </cell>
          <cell r="CP485" t="str">
            <v/>
          </cell>
          <cell r="CQ485" t="str">
            <v/>
          </cell>
          <cell r="CR485" t="str">
            <v/>
          </cell>
          <cell r="CS485" t="str">
            <v/>
          </cell>
          <cell r="CT485" t="str">
            <v/>
          </cell>
          <cell r="CU485" t="str">
            <v/>
          </cell>
          <cell r="CV485" t="str">
            <v/>
          </cell>
          <cell r="CW485" t="str">
            <v/>
          </cell>
        </row>
        <row r="486">
          <cell r="CN486" t="str">
            <v/>
          </cell>
          <cell r="CO486" t="str">
            <v/>
          </cell>
          <cell r="CP486" t="str">
            <v/>
          </cell>
          <cell r="CQ486" t="str">
            <v/>
          </cell>
          <cell r="CR486" t="str">
            <v/>
          </cell>
          <cell r="CS486" t="str">
            <v/>
          </cell>
          <cell r="CT486" t="str">
            <v/>
          </cell>
          <cell r="CU486" t="str">
            <v/>
          </cell>
          <cell r="CV486" t="str">
            <v/>
          </cell>
          <cell r="CW486" t="str">
            <v/>
          </cell>
        </row>
        <row r="487">
          <cell r="CN487" t="str">
            <v/>
          </cell>
          <cell r="CO487" t="str">
            <v/>
          </cell>
          <cell r="CP487" t="str">
            <v/>
          </cell>
          <cell r="CQ487" t="str">
            <v/>
          </cell>
          <cell r="CR487" t="str">
            <v/>
          </cell>
          <cell r="CS487" t="str">
            <v/>
          </cell>
          <cell r="CT487" t="str">
            <v/>
          </cell>
          <cell r="CU487" t="str">
            <v/>
          </cell>
          <cell r="CV487" t="str">
            <v/>
          </cell>
          <cell r="CW487" t="str">
            <v/>
          </cell>
        </row>
        <row r="488">
          <cell r="CN488" t="str">
            <v/>
          </cell>
          <cell r="CO488" t="str">
            <v/>
          </cell>
          <cell r="CP488" t="str">
            <v/>
          </cell>
          <cell r="CQ488" t="str">
            <v/>
          </cell>
          <cell r="CR488" t="str">
            <v/>
          </cell>
          <cell r="CS488" t="str">
            <v/>
          </cell>
          <cell r="CT488" t="str">
            <v/>
          </cell>
          <cell r="CU488" t="str">
            <v/>
          </cell>
          <cell r="CV488" t="str">
            <v/>
          </cell>
          <cell r="CW488" t="str">
            <v/>
          </cell>
        </row>
        <row r="489">
          <cell r="CN489" t="str">
            <v/>
          </cell>
          <cell r="CO489" t="str">
            <v/>
          </cell>
          <cell r="CP489" t="str">
            <v/>
          </cell>
          <cell r="CQ489" t="str">
            <v/>
          </cell>
          <cell r="CR489" t="str">
            <v/>
          </cell>
          <cell r="CS489" t="str">
            <v/>
          </cell>
          <cell r="CT489" t="str">
            <v/>
          </cell>
          <cell r="CU489" t="str">
            <v/>
          </cell>
          <cell r="CV489" t="str">
            <v/>
          </cell>
          <cell r="CW489" t="str">
            <v/>
          </cell>
        </row>
        <row r="490">
          <cell r="CN490" t="str">
            <v/>
          </cell>
          <cell r="CO490" t="str">
            <v/>
          </cell>
          <cell r="CP490" t="str">
            <v/>
          </cell>
          <cell r="CQ490" t="str">
            <v/>
          </cell>
          <cell r="CR490" t="str">
            <v/>
          </cell>
          <cell r="CS490" t="str">
            <v/>
          </cell>
          <cell r="CT490" t="str">
            <v/>
          </cell>
          <cell r="CU490" t="str">
            <v/>
          </cell>
          <cell r="CV490" t="str">
            <v/>
          </cell>
          <cell r="CW490" t="str">
            <v/>
          </cell>
        </row>
        <row r="491">
          <cell r="CN491" t="str">
            <v/>
          </cell>
          <cell r="CO491" t="str">
            <v/>
          </cell>
          <cell r="CP491" t="str">
            <v/>
          </cell>
          <cell r="CQ491" t="str">
            <v/>
          </cell>
          <cell r="CR491" t="str">
            <v/>
          </cell>
          <cell r="CS491" t="str">
            <v/>
          </cell>
          <cell r="CT491" t="str">
            <v/>
          </cell>
          <cell r="CU491" t="str">
            <v/>
          </cell>
          <cell r="CV491" t="str">
            <v/>
          </cell>
          <cell r="CW491" t="str">
            <v/>
          </cell>
        </row>
        <row r="492">
          <cell r="CN492" t="str">
            <v/>
          </cell>
          <cell r="CO492" t="str">
            <v/>
          </cell>
          <cell r="CP492" t="str">
            <v/>
          </cell>
          <cell r="CQ492" t="str">
            <v/>
          </cell>
          <cell r="CR492" t="str">
            <v/>
          </cell>
          <cell r="CS492" t="str">
            <v/>
          </cell>
          <cell r="CT492" t="str">
            <v/>
          </cell>
          <cell r="CU492" t="str">
            <v/>
          </cell>
          <cell r="CV492" t="str">
            <v/>
          </cell>
          <cell r="CW492" t="str">
            <v/>
          </cell>
        </row>
        <row r="493">
          <cell r="CN493" t="str">
            <v/>
          </cell>
          <cell r="CO493" t="str">
            <v/>
          </cell>
          <cell r="CP493" t="str">
            <v/>
          </cell>
          <cell r="CQ493" t="str">
            <v/>
          </cell>
          <cell r="CR493" t="str">
            <v/>
          </cell>
          <cell r="CS493" t="str">
            <v/>
          </cell>
          <cell r="CT493" t="str">
            <v/>
          </cell>
          <cell r="CU493" t="str">
            <v/>
          </cell>
          <cell r="CV493" t="str">
            <v/>
          </cell>
          <cell r="CW493" t="str">
            <v/>
          </cell>
        </row>
        <row r="494">
          <cell r="CN494" t="str">
            <v/>
          </cell>
          <cell r="CO494" t="str">
            <v/>
          </cell>
          <cell r="CP494" t="str">
            <v/>
          </cell>
          <cell r="CQ494" t="str">
            <v/>
          </cell>
          <cell r="CR494" t="str">
            <v/>
          </cell>
          <cell r="CS494" t="str">
            <v/>
          </cell>
          <cell r="CT494" t="str">
            <v/>
          </cell>
          <cell r="CU494" t="str">
            <v/>
          </cell>
          <cell r="CV494" t="str">
            <v/>
          </cell>
          <cell r="CW494" t="str">
            <v/>
          </cell>
        </row>
        <row r="495">
          <cell r="CN495" t="str">
            <v/>
          </cell>
          <cell r="CO495" t="str">
            <v/>
          </cell>
          <cell r="CP495" t="str">
            <v/>
          </cell>
          <cell r="CQ495" t="str">
            <v/>
          </cell>
          <cell r="CR495" t="str">
            <v/>
          </cell>
          <cell r="CS495" t="str">
            <v/>
          </cell>
          <cell r="CT495" t="str">
            <v/>
          </cell>
          <cell r="CU495" t="str">
            <v/>
          </cell>
          <cell r="CV495" t="str">
            <v/>
          </cell>
          <cell r="CW495" t="str">
            <v/>
          </cell>
        </row>
        <row r="496">
          <cell r="CN496" t="str">
            <v/>
          </cell>
          <cell r="CO496" t="str">
            <v/>
          </cell>
          <cell r="CP496" t="str">
            <v/>
          </cell>
          <cell r="CQ496" t="str">
            <v/>
          </cell>
          <cell r="CR496" t="str">
            <v/>
          </cell>
          <cell r="CS496" t="str">
            <v/>
          </cell>
          <cell r="CT496" t="str">
            <v/>
          </cell>
          <cell r="CU496" t="str">
            <v/>
          </cell>
          <cell r="CV496" t="str">
            <v/>
          </cell>
          <cell r="CW496" t="str">
            <v/>
          </cell>
        </row>
        <row r="497">
          <cell r="CN497" t="str">
            <v/>
          </cell>
          <cell r="CO497" t="str">
            <v/>
          </cell>
          <cell r="CP497" t="str">
            <v/>
          </cell>
          <cell r="CQ497" t="str">
            <v/>
          </cell>
          <cell r="CR497" t="str">
            <v/>
          </cell>
          <cell r="CS497" t="str">
            <v/>
          </cell>
          <cell r="CT497" t="str">
            <v/>
          </cell>
          <cell r="CU497" t="str">
            <v/>
          </cell>
          <cell r="CV497" t="str">
            <v/>
          </cell>
          <cell r="CW497" t="str">
            <v/>
          </cell>
        </row>
        <row r="498">
          <cell r="CN498" t="str">
            <v/>
          </cell>
          <cell r="CO498" t="str">
            <v/>
          </cell>
          <cell r="CP498" t="str">
            <v/>
          </cell>
          <cell r="CQ498" t="str">
            <v/>
          </cell>
          <cell r="CR498" t="str">
            <v/>
          </cell>
          <cell r="CS498" t="str">
            <v/>
          </cell>
          <cell r="CT498" t="str">
            <v/>
          </cell>
          <cell r="CU498" t="str">
            <v/>
          </cell>
          <cell r="CV498" t="str">
            <v/>
          </cell>
          <cell r="CW498" t="str">
            <v/>
          </cell>
        </row>
        <row r="499">
          <cell r="CN499" t="str">
            <v/>
          </cell>
          <cell r="CO499" t="str">
            <v/>
          </cell>
          <cell r="CP499" t="str">
            <v/>
          </cell>
          <cell r="CQ499" t="str">
            <v/>
          </cell>
          <cell r="CR499" t="str">
            <v/>
          </cell>
          <cell r="CS499" t="str">
            <v/>
          </cell>
          <cell r="CT499" t="str">
            <v/>
          </cell>
          <cell r="CU499" t="str">
            <v/>
          </cell>
          <cell r="CV499" t="str">
            <v/>
          </cell>
          <cell r="CW499" t="str">
            <v/>
          </cell>
        </row>
        <row r="500">
          <cell r="CN500" t="str">
            <v/>
          </cell>
          <cell r="CO500" t="str">
            <v/>
          </cell>
          <cell r="CP500" t="str">
            <v/>
          </cell>
          <cell r="CQ500" t="str">
            <v/>
          </cell>
          <cell r="CR500" t="str">
            <v/>
          </cell>
          <cell r="CS500" t="str">
            <v/>
          </cell>
          <cell r="CT500" t="str">
            <v/>
          </cell>
          <cell r="CU500" t="str">
            <v/>
          </cell>
          <cell r="CV500" t="str">
            <v/>
          </cell>
          <cell r="CW500" t="str">
            <v/>
          </cell>
        </row>
        <row r="501">
          <cell r="CN501" t="str">
            <v/>
          </cell>
          <cell r="CO501" t="str">
            <v/>
          </cell>
          <cell r="CP501" t="str">
            <v/>
          </cell>
          <cell r="CQ501" t="str">
            <v/>
          </cell>
          <cell r="CR501" t="str">
            <v/>
          </cell>
          <cell r="CS501" t="str">
            <v/>
          </cell>
          <cell r="CT501" t="str">
            <v/>
          </cell>
          <cell r="CU501" t="str">
            <v/>
          </cell>
          <cell r="CV501" t="str">
            <v/>
          </cell>
          <cell r="CW501" t="str">
            <v/>
          </cell>
        </row>
        <row r="502">
          <cell r="CN502" t="str">
            <v/>
          </cell>
          <cell r="CO502" t="str">
            <v/>
          </cell>
          <cell r="CP502" t="str">
            <v/>
          </cell>
          <cell r="CQ502" t="str">
            <v/>
          </cell>
          <cell r="CR502" t="str">
            <v/>
          </cell>
          <cell r="CS502" t="str">
            <v/>
          </cell>
          <cell r="CT502" t="str">
            <v/>
          </cell>
          <cell r="CU502" t="str">
            <v/>
          </cell>
          <cell r="CV502" t="str">
            <v/>
          </cell>
          <cell r="CW502" t="str">
            <v/>
          </cell>
        </row>
        <row r="503">
          <cell r="CN503" t="str">
            <v/>
          </cell>
          <cell r="CO503" t="str">
            <v/>
          </cell>
          <cell r="CP503" t="str">
            <v/>
          </cell>
          <cell r="CQ503" t="str">
            <v/>
          </cell>
          <cell r="CR503" t="str">
            <v/>
          </cell>
          <cell r="CS503" t="str">
            <v/>
          </cell>
          <cell r="CT503" t="str">
            <v/>
          </cell>
          <cell r="CU503" t="str">
            <v/>
          </cell>
          <cell r="CV503" t="str">
            <v/>
          </cell>
          <cell r="CW503" t="str">
            <v/>
          </cell>
        </row>
        <row r="504">
          <cell r="CN504" t="str">
            <v/>
          </cell>
          <cell r="CO504" t="str">
            <v/>
          </cell>
          <cell r="CP504" t="str">
            <v/>
          </cell>
          <cell r="CQ504" t="str">
            <v/>
          </cell>
          <cell r="CR504" t="str">
            <v/>
          </cell>
          <cell r="CS504" t="str">
            <v/>
          </cell>
          <cell r="CT504" t="str">
            <v/>
          </cell>
          <cell r="CU504" t="str">
            <v/>
          </cell>
          <cell r="CV504" t="str">
            <v/>
          </cell>
          <cell r="CW504" t="str">
            <v/>
          </cell>
        </row>
        <row r="505">
          <cell r="CN505" t="str">
            <v/>
          </cell>
          <cell r="CO505" t="str">
            <v/>
          </cell>
          <cell r="CP505" t="str">
            <v/>
          </cell>
          <cell r="CQ505" t="str">
            <v/>
          </cell>
          <cell r="CR505" t="str">
            <v/>
          </cell>
          <cell r="CS505" t="str">
            <v/>
          </cell>
          <cell r="CT505" t="str">
            <v/>
          </cell>
          <cell r="CU505" t="str">
            <v/>
          </cell>
          <cell r="CV505" t="str">
            <v/>
          </cell>
          <cell r="CW505" t="str">
            <v/>
          </cell>
        </row>
        <row r="506">
          <cell r="CN506" t="str">
            <v/>
          </cell>
          <cell r="CO506" t="str">
            <v/>
          </cell>
          <cell r="CP506" t="str">
            <v/>
          </cell>
          <cell r="CQ506" t="str">
            <v/>
          </cell>
          <cell r="CR506" t="str">
            <v/>
          </cell>
          <cell r="CS506" t="str">
            <v/>
          </cell>
          <cell r="CT506" t="str">
            <v/>
          </cell>
          <cell r="CU506" t="str">
            <v/>
          </cell>
          <cell r="CV506" t="str">
            <v/>
          </cell>
          <cell r="CW506" t="str">
            <v/>
          </cell>
        </row>
        <row r="507">
          <cell r="CN507" t="str">
            <v/>
          </cell>
          <cell r="CO507" t="str">
            <v/>
          </cell>
          <cell r="CP507" t="str">
            <v/>
          </cell>
          <cell r="CQ507" t="str">
            <v/>
          </cell>
          <cell r="CR507" t="str">
            <v/>
          </cell>
          <cell r="CS507" t="str">
            <v/>
          </cell>
          <cell r="CT507" t="str">
            <v/>
          </cell>
          <cell r="CU507" t="str">
            <v/>
          </cell>
          <cell r="CV507" t="str">
            <v/>
          </cell>
          <cell r="CW507" t="str">
            <v/>
          </cell>
        </row>
        <row r="508">
          <cell r="CN508" t="str">
            <v/>
          </cell>
          <cell r="CO508" t="str">
            <v/>
          </cell>
          <cell r="CP508" t="str">
            <v/>
          </cell>
          <cell r="CQ508" t="str">
            <v/>
          </cell>
          <cell r="CR508" t="str">
            <v/>
          </cell>
          <cell r="CS508" t="str">
            <v/>
          </cell>
          <cell r="CT508" t="str">
            <v/>
          </cell>
          <cell r="CU508" t="str">
            <v/>
          </cell>
          <cell r="CV508" t="str">
            <v/>
          </cell>
          <cell r="CW508" t="str">
            <v/>
          </cell>
        </row>
        <row r="509">
          <cell r="CN509" t="str">
            <v/>
          </cell>
          <cell r="CO509" t="str">
            <v/>
          </cell>
          <cell r="CP509" t="str">
            <v/>
          </cell>
          <cell r="CQ509" t="str">
            <v/>
          </cell>
          <cell r="CR509" t="str">
            <v/>
          </cell>
          <cell r="CS509" t="str">
            <v/>
          </cell>
          <cell r="CT509" t="str">
            <v/>
          </cell>
          <cell r="CU509" t="str">
            <v/>
          </cell>
          <cell r="CV509" t="str">
            <v/>
          </cell>
          <cell r="CW509" t="str">
            <v/>
          </cell>
        </row>
        <row r="510">
          <cell r="CN510" t="str">
            <v/>
          </cell>
          <cell r="CO510" t="str">
            <v/>
          </cell>
          <cell r="CP510" t="str">
            <v/>
          </cell>
          <cell r="CQ510" t="str">
            <v/>
          </cell>
          <cell r="CR510" t="str">
            <v/>
          </cell>
          <cell r="CS510" t="str">
            <v/>
          </cell>
          <cell r="CT510" t="str">
            <v/>
          </cell>
          <cell r="CU510" t="str">
            <v/>
          </cell>
          <cell r="CV510" t="str">
            <v/>
          </cell>
          <cell r="CW510" t="str">
            <v/>
          </cell>
        </row>
        <row r="511">
          <cell r="CN511" t="str">
            <v/>
          </cell>
          <cell r="CO511" t="str">
            <v/>
          </cell>
          <cell r="CP511" t="str">
            <v/>
          </cell>
          <cell r="CQ511" t="str">
            <v/>
          </cell>
          <cell r="CR511" t="str">
            <v/>
          </cell>
          <cell r="CS511" t="str">
            <v/>
          </cell>
          <cell r="CT511" t="str">
            <v/>
          </cell>
          <cell r="CU511" t="str">
            <v/>
          </cell>
          <cell r="CV511" t="str">
            <v/>
          </cell>
          <cell r="CW511" t="str">
            <v/>
          </cell>
        </row>
        <row r="512">
          <cell r="CN512" t="str">
            <v/>
          </cell>
          <cell r="CO512" t="str">
            <v/>
          </cell>
          <cell r="CP512" t="str">
            <v/>
          </cell>
          <cell r="CQ512" t="str">
            <v/>
          </cell>
          <cell r="CR512" t="str">
            <v/>
          </cell>
          <cell r="CS512" t="str">
            <v/>
          </cell>
          <cell r="CT512" t="str">
            <v/>
          </cell>
          <cell r="CU512" t="str">
            <v/>
          </cell>
          <cell r="CV512" t="str">
            <v/>
          </cell>
          <cell r="CW512" t="str">
            <v/>
          </cell>
        </row>
        <row r="513">
          <cell r="CN513" t="str">
            <v/>
          </cell>
          <cell r="CO513" t="str">
            <v/>
          </cell>
          <cell r="CP513" t="str">
            <v/>
          </cell>
          <cell r="CQ513" t="str">
            <v/>
          </cell>
          <cell r="CR513" t="str">
            <v/>
          </cell>
          <cell r="CS513" t="str">
            <v/>
          </cell>
          <cell r="CT513" t="str">
            <v/>
          </cell>
          <cell r="CU513" t="str">
            <v/>
          </cell>
          <cell r="CV513" t="str">
            <v/>
          </cell>
          <cell r="CW513" t="str">
            <v/>
          </cell>
        </row>
        <row r="514">
          <cell r="CN514" t="str">
            <v/>
          </cell>
          <cell r="CO514" t="str">
            <v/>
          </cell>
          <cell r="CP514" t="str">
            <v/>
          </cell>
          <cell r="CQ514" t="str">
            <v/>
          </cell>
          <cell r="CR514" t="str">
            <v/>
          </cell>
          <cell r="CS514" t="str">
            <v/>
          </cell>
          <cell r="CT514" t="str">
            <v/>
          </cell>
          <cell r="CU514" t="str">
            <v/>
          </cell>
          <cell r="CV514" t="str">
            <v/>
          </cell>
          <cell r="CW514" t="str">
            <v/>
          </cell>
        </row>
        <row r="515">
          <cell r="CN515" t="str">
            <v/>
          </cell>
          <cell r="CO515" t="str">
            <v/>
          </cell>
          <cell r="CP515" t="str">
            <v/>
          </cell>
          <cell r="CQ515" t="str">
            <v/>
          </cell>
          <cell r="CR515" t="str">
            <v/>
          </cell>
          <cell r="CS515" t="str">
            <v/>
          </cell>
          <cell r="CT515" t="str">
            <v/>
          </cell>
          <cell r="CU515" t="str">
            <v/>
          </cell>
          <cell r="CV515" t="str">
            <v/>
          </cell>
          <cell r="CW515" t="str">
            <v/>
          </cell>
        </row>
        <row r="516">
          <cell r="CN516" t="str">
            <v/>
          </cell>
          <cell r="CO516" t="str">
            <v/>
          </cell>
          <cell r="CP516" t="str">
            <v/>
          </cell>
          <cell r="CQ516" t="str">
            <v/>
          </cell>
          <cell r="CR516" t="str">
            <v/>
          </cell>
          <cell r="CS516" t="str">
            <v/>
          </cell>
          <cell r="CT516" t="str">
            <v/>
          </cell>
          <cell r="CU516" t="str">
            <v/>
          </cell>
          <cell r="CV516" t="str">
            <v/>
          </cell>
          <cell r="CW516" t="str">
            <v/>
          </cell>
        </row>
        <row r="517">
          <cell r="CN517" t="str">
            <v/>
          </cell>
          <cell r="CO517" t="str">
            <v/>
          </cell>
          <cell r="CP517" t="str">
            <v/>
          </cell>
          <cell r="CQ517" t="str">
            <v/>
          </cell>
          <cell r="CR517" t="str">
            <v/>
          </cell>
          <cell r="CS517" t="str">
            <v/>
          </cell>
          <cell r="CT517" t="str">
            <v/>
          </cell>
          <cell r="CU517" t="str">
            <v/>
          </cell>
          <cell r="CV517" t="str">
            <v/>
          </cell>
          <cell r="CW517" t="str">
            <v/>
          </cell>
        </row>
        <row r="518">
          <cell r="CN518" t="str">
            <v/>
          </cell>
          <cell r="CO518" t="str">
            <v/>
          </cell>
          <cell r="CP518" t="str">
            <v/>
          </cell>
          <cell r="CQ518" t="str">
            <v/>
          </cell>
          <cell r="CR518" t="str">
            <v/>
          </cell>
          <cell r="CS518" t="str">
            <v/>
          </cell>
          <cell r="CT518" t="str">
            <v/>
          </cell>
          <cell r="CU518" t="str">
            <v/>
          </cell>
          <cell r="CV518" t="str">
            <v/>
          </cell>
          <cell r="CW518" t="str">
            <v/>
          </cell>
        </row>
        <row r="519">
          <cell r="CN519" t="str">
            <v/>
          </cell>
          <cell r="CO519" t="str">
            <v/>
          </cell>
          <cell r="CP519" t="str">
            <v/>
          </cell>
          <cell r="CQ519" t="str">
            <v/>
          </cell>
          <cell r="CR519" t="str">
            <v/>
          </cell>
          <cell r="CS519" t="str">
            <v/>
          </cell>
          <cell r="CT519" t="str">
            <v/>
          </cell>
          <cell r="CU519" t="str">
            <v/>
          </cell>
          <cell r="CV519" t="str">
            <v/>
          </cell>
          <cell r="CW519" t="str">
            <v/>
          </cell>
        </row>
        <row r="520">
          <cell r="CN520" t="str">
            <v/>
          </cell>
          <cell r="CO520" t="str">
            <v/>
          </cell>
          <cell r="CP520" t="str">
            <v/>
          </cell>
          <cell r="CQ520" t="str">
            <v/>
          </cell>
          <cell r="CR520" t="str">
            <v/>
          </cell>
          <cell r="CS520" t="str">
            <v/>
          </cell>
          <cell r="CT520" t="str">
            <v/>
          </cell>
          <cell r="CU520" t="str">
            <v/>
          </cell>
          <cell r="CV520" t="str">
            <v/>
          </cell>
          <cell r="CW520" t="str">
            <v/>
          </cell>
        </row>
        <row r="521">
          <cell r="CN521" t="str">
            <v/>
          </cell>
          <cell r="CO521" t="str">
            <v/>
          </cell>
          <cell r="CP521" t="str">
            <v/>
          </cell>
          <cell r="CQ521" t="str">
            <v/>
          </cell>
          <cell r="CR521" t="str">
            <v/>
          </cell>
          <cell r="CS521" t="str">
            <v/>
          </cell>
          <cell r="CT521" t="str">
            <v/>
          </cell>
          <cell r="CU521" t="str">
            <v/>
          </cell>
          <cell r="CV521" t="str">
            <v/>
          </cell>
          <cell r="CW521" t="str">
            <v/>
          </cell>
        </row>
        <row r="522">
          <cell r="CN522" t="str">
            <v/>
          </cell>
          <cell r="CO522" t="str">
            <v/>
          </cell>
          <cell r="CP522" t="str">
            <v/>
          </cell>
          <cell r="CQ522" t="str">
            <v/>
          </cell>
          <cell r="CR522" t="str">
            <v/>
          </cell>
          <cell r="CS522" t="str">
            <v/>
          </cell>
          <cell r="CT522" t="str">
            <v/>
          </cell>
          <cell r="CU522" t="str">
            <v/>
          </cell>
          <cell r="CV522" t="str">
            <v/>
          </cell>
          <cell r="CW522" t="str">
            <v/>
          </cell>
        </row>
        <row r="523">
          <cell r="CN523" t="str">
            <v/>
          </cell>
          <cell r="CO523" t="str">
            <v/>
          </cell>
          <cell r="CP523" t="str">
            <v/>
          </cell>
          <cell r="CQ523" t="str">
            <v/>
          </cell>
          <cell r="CR523" t="str">
            <v/>
          </cell>
          <cell r="CS523" t="str">
            <v/>
          </cell>
          <cell r="CT523" t="str">
            <v/>
          </cell>
          <cell r="CU523" t="str">
            <v/>
          </cell>
          <cell r="CV523" t="str">
            <v/>
          </cell>
          <cell r="CW523" t="str">
            <v/>
          </cell>
        </row>
        <row r="524">
          <cell r="CN524" t="str">
            <v/>
          </cell>
          <cell r="CO524" t="str">
            <v/>
          </cell>
          <cell r="CP524" t="str">
            <v/>
          </cell>
          <cell r="CQ524" t="str">
            <v/>
          </cell>
          <cell r="CR524" t="str">
            <v/>
          </cell>
          <cell r="CS524" t="str">
            <v/>
          </cell>
          <cell r="CT524" t="str">
            <v/>
          </cell>
          <cell r="CU524" t="str">
            <v/>
          </cell>
          <cell r="CV524" t="str">
            <v/>
          </cell>
          <cell r="CW524" t="str">
            <v/>
          </cell>
        </row>
        <row r="525">
          <cell r="CN525" t="str">
            <v/>
          </cell>
          <cell r="CO525" t="str">
            <v/>
          </cell>
          <cell r="CP525" t="str">
            <v/>
          </cell>
          <cell r="CQ525" t="str">
            <v/>
          </cell>
          <cell r="CR525" t="str">
            <v/>
          </cell>
          <cell r="CS525" t="str">
            <v/>
          </cell>
          <cell r="CT525" t="str">
            <v/>
          </cell>
          <cell r="CU525" t="str">
            <v/>
          </cell>
          <cell r="CV525" t="str">
            <v/>
          </cell>
          <cell r="CW525" t="str">
            <v/>
          </cell>
        </row>
        <row r="526">
          <cell r="CN526" t="str">
            <v/>
          </cell>
          <cell r="CO526" t="str">
            <v/>
          </cell>
          <cell r="CP526" t="str">
            <v/>
          </cell>
          <cell r="CQ526" t="str">
            <v/>
          </cell>
          <cell r="CR526" t="str">
            <v/>
          </cell>
          <cell r="CS526" t="str">
            <v/>
          </cell>
          <cell r="CT526" t="str">
            <v/>
          </cell>
          <cell r="CU526" t="str">
            <v/>
          </cell>
          <cell r="CV526" t="str">
            <v/>
          </cell>
          <cell r="CW526" t="str">
            <v/>
          </cell>
        </row>
        <row r="527">
          <cell r="CN527" t="str">
            <v/>
          </cell>
          <cell r="CO527" t="str">
            <v/>
          </cell>
          <cell r="CP527" t="str">
            <v/>
          </cell>
          <cell r="CQ527" t="str">
            <v/>
          </cell>
          <cell r="CR527" t="str">
            <v/>
          </cell>
          <cell r="CS527" t="str">
            <v/>
          </cell>
          <cell r="CT527" t="str">
            <v/>
          </cell>
          <cell r="CU527" t="str">
            <v/>
          </cell>
          <cell r="CV527" t="str">
            <v/>
          </cell>
          <cell r="CW527" t="str">
            <v/>
          </cell>
        </row>
        <row r="528">
          <cell r="CN528" t="str">
            <v/>
          </cell>
          <cell r="CO528" t="str">
            <v/>
          </cell>
          <cell r="CP528" t="str">
            <v/>
          </cell>
          <cell r="CQ528" t="str">
            <v/>
          </cell>
          <cell r="CR528" t="str">
            <v/>
          </cell>
          <cell r="CS528" t="str">
            <v/>
          </cell>
          <cell r="CT528" t="str">
            <v/>
          </cell>
          <cell r="CU528" t="str">
            <v/>
          </cell>
          <cell r="CV528" t="str">
            <v/>
          </cell>
          <cell r="CW528" t="str">
            <v/>
          </cell>
        </row>
        <row r="529">
          <cell r="CN529" t="str">
            <v/>
          </cell>
          <cell r="CO529" t="str">
            <v/>
          </cell>
          <cell r="CP529" t="str">
            <v/>
          </cell>
          <cell r="CQ529" t="str">
            <v/>
          </cell>
          <cell r="CR529" t="str">
            <v/>
          </cell>
          <cell r="CS529" t="str">
            <v/>
          </cell>
          <cell r="CT529" t="str">
            <v/>
          </cell>
          <cell r="CU529" t="str">
            <v/>
          </cell>
          <cell r="CV529" t="str">
            <v/>
          </cell>
          <cell r="CW529" t="str">
            <v/>
          </cell>
        </row>
        <row r="530">
          <cell r="CN530" t="str">
            <v/>
          </cell>
          <cell r="CO530" t="str">
            <v/>
          </cell>
          <cell r="CP530" t="str">
            <v/>
          </cell>
          <cell r="CQ530" t="str">
            <v/>
          </cell>
          <cell r="CR530" t="str">
            <v/>
          </cell>
          <cell r="CS530" t="str">
            <v/>
          </cell>
          <cell r="CT530" t="str">
            <v/>
          </cell>
          <cell r="CU530" t="str">
            <v/>
          </cell>
          <cell r="CV530" t="str">
            <v/>
          </cell>
          <cell r="CW530" t="str">
            <v/>
          </cell>
        </row>
        <row r="531">
          <cell r="CN531" t="str">
            <v/>
          </cell>
          <cell r="CO531" t="str">
            <v/>
          </cell>
          <cell r="CP531" t="str">
            <v/>
          </cell>
          <cell r="CQ531" t="str">
            <v/>
          </cell>
          <cell r="CR531" t="str">
            <v/>
          </cell>
          <cell r="CS531" t="str">
            <v/>
          </cell>
          <cell r="CT531" t="str">
            <v/>
          </cell>
          <cell r="CU531" t="str">
            <v/>
          </cell>
          <cell r="CV531" t="str">
            <v/>
          </cell>
          <cell r="CW531" t="str">
            <v/>
          </cell>
        </row>
        <row r="532">
          <cell r="CN532" t="str">
            <v/>
          </cell>
          <cell r="CO532" t="str">
            <v/>
          </cell>
          <cell r="CP532" t="str">
            <v/>
          </cell>
          <cell r="CQ532" t="str">
            <v/>
          </cell>
          <cell r="CR532" t="str">
            <v/>
          </cell>
          <cell r="CS532" t="str">
            <v/>
          </cell>
          <cell r="CT532" t="str">
            <v/>
          </cell>
          <cell r="CU532" t="str">
            <v/>
          </cell>
          <cell r="CV532" t="str">
            <v/>
          </cell>
          <cell r="CW532" t="str">
            <v/>
          </cell>
        </row>
        <row r="533">
          <cell r="CN533" t="str">
            <v/>
          </cell>
          <cell r="CO533" t="str">
            <v/>
          </cell>
          <cell r="CP533" t="str">
            <v/>
          </cell>
          <cell r="CQ533" t="str">
            <v/>
          </cell>
          <cell r="CR533" t="str">
            <v/>
          </cell>
          <cell r="CS533" t="str">
            <v/>
          </cell>
          <cell r="CT533" t="str">
            <v/>
          </cell>
          <cell r="CU533" t="str">
            <v/>
          </cell>
          <cell r="CV533" t="str">
            <v/>
          </cell>
          <cell r="CW533" t="str">
            <v/>
          </cell>
        </row>
        <row r="534">
          <cell r="CN534" t="str">
            <v/>
          </cell>
          <cell r="CO534" t="str">
            <v/>
          </cell>
          <cell r="CP534" t="str">
            <v/>
          </cell>
          <cell r="CQ534" t="str">
            <v/>
          </cell>
          <cell r="CR534" t="str">
            <v/>
          </cell>
          <cell r="CS534" t="str">
            <v/>
          </cell>
          <cell r="CT534" t="str">
            <v/>
          </cell>
          <cell r="CU534" t="str">
            <v/>
          </cell>
          <cell r="CV534" t="str">
            <v/>
          </cell>
          <cell r="CW534" t="str">
            <v/>
          </cell>
        </row>
        <row r="535">
          <cell r="CN535" t="str">
            <v/>
          </cell>
          <cell r="CO535" t="str">
            <v/>
          </cell>
          <cell r="CP535" t="str">
            <v/>
          </cell>
          <cell r="CQ535" t="str">
            <v/>
          </cell>
          <cell r="CR535" t="str">
            <v/>
          </cell>
          <cell r="CS535" t="str">
            <v/>
          </cell>
          <cell r="CT535" t="str">
            <v/>
          </cell>
          <cell r="CU535" t="str">
            <v/>
          </cell>
          <cell r="CV535" t="str">
            <v/>
          </cell>
          <cell r="CW535" t="str">
            <v/>
          </cell>
        </row>
        <row r="536">
          <cell r="CN536" t="str">
            <v/>
          </cell>
          <cell r="CO536" t="str">
            <v/>
          </cell>
          <cell r="CP536" t="str">
            <v/>
          </cell>
          <cell r="CQ536" t="str">
            <v/>
          </cell>
          <cell r="CR536" t="str">
            <v/>
          </cell>
          <cell r="CS536" t="str">
            <v/>
          </cell>
          <cell r="CT536" t="str">
            <v/>
          </cell>
          <cell r="CU536" t="str">
            <v/>
          </cell>
          <cell r="CV536" t="str">
            <v/>
          </cell>
          <cell r="CW536" t="str">
            <v/>
          </cell>
        </row>
        <row r="537">
          <cell r="CN537" t="str">
            <v/>
          </cell>
          <cell r="CO537" t="str">
            <v/>
          </cell>
          <cell r="CP537" t="str">
            <v/>
          </cell>
          <cell r="CQ537" t="str">
            <v/>
          </cell>
          <cell r="CR537" t="str">
            <v/>
          </cell>
          <cell r="CS537" t="str">
            <v/>
          </cell>
          <cell r="CT537" t="str">
            <v/>
          </cell>
          <cell r="CU537" t="str">
            <v/>
          </cell>
          <cell r="CV537" t="str">
            <v/>
          </cell>
          <cell r="CW537" t="str">
            <v/>
          </cell>
        </row>
        <row r="538">
          <cell r="CN538" t="str">
            <v/>
          </cell>
          <cell r="CO538" t="str">
            <v/>
          </cell>
          <cell r="CP538" t="str">
            <v/>
          </cell>
          <cell r="CQ538" t="str">
            <v/>
          </cell>
          <cell r="CR538" t="str">
            <v/>
          </cell>
          <cell r="CS538" t="str">
            <v/>
          </cell>
          <cell r="CT538" t="str">
            <v/>
          </cell>
          <cell r="CU538" t="str">
            <v/>
          </cell>
          <cell r="CV538" t="str">
            <v/>
          </cell>
          <cell r="CW538" t="str">
            <v/>
          </cell>
        </row>
        <row r="539">
          <cell r="CN539" t="str">
            <v/>
          </cell>
          <cell r="CO539" t="str">
            <v/>
          </cell>
          <cell r="CP539" t="str">
            <v/>
          </cell>
          <cell r="CQ539" t="str">
            <v/>
          </cell>
          <cell r="CR539" t="str">
            <v/>
          </cell>
          <cell r="CS539" t="str">
            <v/>
          </cell>
          <cell r="CT539" t="str">
            <v/>
          </cell>
          <cell r="CU539" t="str">
            <v/>
          </cell>
          <cell r="CV539" t="str">
            <v/>
          </cell>
          <cell r="CW539" t="str">
            <v/>
          </cell>
        </row>
        <row r="540">
          <cell r="CN540" t="str">
            <v/>
          </cell>
          <cell r="CO540" t="str">
            <v/>
          </cell>
          <cell r="CP540" t="str">
            <v/>
          </cell>
          <cell r="CQ540" t="str">
            <v/>
          </cell>
          <cell r="CR540" t="str">
            <v/>
          </cell>
          <cell r="CS540" t="str">
            <v/>
          </cell>
          <cell r="CT540" t="str">
            <v/>
          </cell>
          <cell r="CU540" t="str">
            <v/>
          </cell>
          <cell r="CV540" t="str">
            <v/>
          </cell>
          <cell r="CW540" t="str">
            <v/>
          </cell>
        </row>
        <row r="541">
          <cell r="CN541" t="str">
            <v/>
          </cell>
          <cell r="CO541" t="str">
            <v/>
          </cell>
          <cell r="CP541" t="str">
            <v/>
          </cell>
          <cell r="CQ541" t="str">
            <v/>
          </cell>
          <cell r="CR541" t="str">
            <v/>
          </cell>
          <cell r="CS541" t="str">
            <v/>
          </cell>
          <cell r="CT541" t="str">
            <v/>
          </cell>
          <cell r="CU541" t="str">
            <v/>
          </cell>
          <cell r="CV541" t="str">
            <v/>
          </cell>
          <cell r="CW541" t="str">
            <v/>
          </cell>
        </row>
        <row r="542">
          <cell r="CN542" t="str">
            <v/>
          </cell>
          <cell r="CO542" t="str">
            <v/>
          </cell>
          <cell r="CP542" t="str">
            <v/>
          </cell>
          <cell r="CQ542" t="str">
            <v/>
          </cell>
          <cell r="CR542" t="str">
            <v/>
          </cell>
          <cell r="CS542" t="str">
            <v/>
          </cell>
          <cell r="CT542" t="str">
            <v/>
          </cell>
          <cell r="CU542" t="str">
            <v/>
          </cell>
          <cell r="CV542" t="str">
            <v/>
          </cell>
          <cell r="CW542" t="str">
            <v/>
          </cell>
        </row>
        <row r="543">
          <cell r="CN543" t="str">
            <v/>
          </cell>
          <cell r="CO543" t="str">
            <v/>
          </cell>
          <cell r="CP543" t="str">
            <v/>
          </cell>
          <cell r="CQ543" t="str">
            <v/>
          </cell>
          <cell r="CR543" t="str">
            <v/>
          </cell>
          <cell r="CS543" t="str">
            <v/>
          </cell>
          <cell r="CT543" t="str">
            <v/>
          </cell>
          <cell r="CU543" t="str">
            <v/>
          </cell>
          <cell r="CV543" t="str">
            <v/>
          </cell>
          <cell r="CW543" t="str">
            <v/>
          </cell>
        </row>
        <row r="544">
          <cell r="CN544" t="str">
            <v/>
          </cell>
          <cell r="CO544" t="str">
            <v/>
          </cell>
          <cell r="CP544" t="str">
            <v/>
          </cell>
          <cell r="CQ544" t="str">
            <v/>
          </cell>
          <cell r="CR544" t="str">
            <v/>
          </cell>
          <cell r="CS544" t="str">
            <v/>
          </cell>
          <cell r="CT544" t="str">
            <v/>
          </cell>
          <cell r="CU544" t="str">
            <v/>
          </cell>
          <cell r="CV544" t="str">
            <v/>
          </cell>
          <cell r="CW544" t="str">
            <v/>
          </cell>
        </row>
        <row r="545">
          <cell r="CN545" t="str">
            <v/>
          </cell>
          <cell r="CO545" t="str">
            <v/>
          </cell>
          <cell r="CP545" t="str">
            <v/>
          </cell>
          <cell r="CQ545" t="str">
            <v/>
          </cell>
          <cell r="CR545" t="str">
            <v/>
          </cell>
          <cell r="CS545" t="str">
            <v/>
          </cell>
          <cell r="CT545" t="str">
            <v/>
          </cell>
          <cell r="CU545" t="str">
            <v/>
          </cell>
          <cell r="CV545" t="str">
            <v/>
          </cell>
          <cell r="CW545" t="str">
            <v/>
          </cell>
        </row>
        <row r="546">
          <cell r="CN546" t="str">
            <v/>
          </cell>
          <cell r="CO546" t="str">
            <v/>
          </cell>
          <cell r="CP546" t="str">
            <v/>
          </cell>
          <cell r="CQ546" t="str">
            <v/>
          </cell>
          <cell r="CR546" t="str">
            <v/>
          </cell>
          <cell r="CS546" t="str">
            <v/>
          </cell>
          <cell r="CT546" t="str">
            <v/>
          </cell>
          <cell r="CU546" t="str">
            <v/>
          </cell>
          <cell r="CV546" t="str">
            <v/>
          </cell>
          <cell r="CW546" t="str">
            <v/>
          </cell>
        </row>
        <row r="547">
          <cell r="CN547" t="str">
            <v/>
          </cell>
          <cell r="CO547" t="str">
            <v/>
          </cell>
          <cell r="CP547" t="str">
            <v/>
          </cell>
          <cell r="CQ547" t="str">
            <v/>
          </cell>
          <cell r="CR547" t="str">
            <v/>
          </cell>
          <cell r="CS547" t="str">
            <v/>
          </cell>
          <cell r="CT547" t="str">
            <v/>
          </cell>
          <cell r="CU547" t="str">
            <v/>
          </cell>
          <cell r="CV547" t="str">
            <v/>
          </cell>
          <cell r="CW547" t="str">
            <v/>
          </cell>
        </row>
        <row r="548">
          <cell r="CN548" t="str">
            <v/>
          </cell>
          <cell r="CO548" t="str">
            <v/>
          </cell>
          <cell r="CP548" t="str">
            <v/>
          </cell>
          <cell r="CQ548" t="str">
            <v/>
          </cell>
          <cell r="CR548" t="str">
            <v/>
          </cell>
          <cell r="CS548" t="str">
            <v/>
          </cell>
          <cell r="CT548" t="str">
            <v/>
          </cell>
          <cell r="CU548" t="str">
            <v/>
          </cell>
          <cell r="CV548" t="str">
            <v/>
          </cell>
          <cell r="CW548" t="str">
            <v/>
          </cell>
        </row>
        <row r="549">
          <cell r="CN549" t="str">
            <v/>
          </cell>
          <cell r="CO549" t="str">
            <v/>
          </cell>
          <cell r="CP549" t="str">
            <v/>
          </cell>
          <cell r="CQ549" t="str">
            <v/>
          </cell>
          <cell r="CR549" t="str">
            <v/>
          </cell>
          <cell r="CS549" t="str">
            <v/>
          </cell>
          <cell r="CT549" t="str">
            <v/>
          </cell>
          <cell r="CU549" t="str">
            <v/>
          </cell>
          <cell r="CV549" t="str">
            <v/>
          </cell>
          <cell r="CW549" t="str">
            <v/>
          </cell>
        </row>
        <row r="550">
          <cell r="CN550" t="str">
            <v/>
          </cell>
          <cell r="CO550" t="str">
            <v/>
          </cell>
          <cell r="CP550" t="str">
            <v/>
          </cell>
          <cell r="CQ550" t="str">
            <v/>
          </cell>
          <cell r="CR550" t="str">
            <v/>
          </cell>
          <cell r="CS550" t="str">
            <v/>
          </cell>
          <cell r="CT550" t="str">
            <v/>
          </cell>
          <cell r="CU550" t="str">
            <v/>
          </cell>
          <cell r="CV550" t="str">
            <v/>
          </cell>
          <cell r="CW550" t="str">
            <v/>
          </cell>
        </row>
        <row r="551">
          <cell r="CN551" t="str">
            <v/>
          </cell>
          <cell r="CO551" t="str">
            <v/>
          </cell>
          <cell r="CP551" t="str">
            <v/>
          </cell>
          <cell r="CQ551" t="str">
            <v/>
          </cell>
          <cell r="CR551" t="str">
            <v/>
          </cell>
          <cell r="CS551" t="str">
            <v/>
          </cell>
          <cell r="CT551" t="str">
            <v/>
          </cell>
          <cell r="CU551" t="str">
            <v/>
          </cell>
          <cell r="CV551" t="str">
            <v/>
          </cell>
          <cell r="CW551" t="str">
            <v/>
          </cell>
        </row>
        <row r="552">
          <cell r="CN552" t="str">
            <v/>
          </cell>
          <cell r="CO552" t="str">
            <v/>
          </cell>
          <cell r="CP552" t="str">
            <v/>
          </cell>
          <cell r="CQ552" t="str">
            <v/>
          </cell>
          <cell r="CR552" t="str">
            <v/>
          </cell>
          <cell r="CS552" t="str">
            <v/>
          </cell>
          <cell r="CT552" t="str">
            <v/>
          </cell>
          <cell r="CU552" t="str">
            <v/>
          </cell>
          <cell r="CV552" t="str">
            <v/>
          </cell>
          <cell r="CW552" t="str">
            <v/>
          </cell>
        </row>
        <row r="553">
          <cell r="CN553" t="str">
            <v/>
          </cell>
          <cell r="CO553" t="str">
            <v/>
          </cell>
          <cell r="CP553" t="str">
            <v/>
          </cell>
          <cell r="CQ553" t="str">
            <v/>
          </cell>
          <cell r="CR553" t="str">
            <v/>
          </cell>
          <cell r="CS553" t="str">
            <v/>
          </cell>
          <cell r="CT553" t="str">
            <v/>
          </cell>
          <cell r="CU553" t="str">
            <v/>
          </cell>
          <cell r="CV553" t="str">
            <v/>
          </cell>
          <cell r="CW553" t="str">
            <v/>
          </cell>
        </row>
        <row r="554">
          <cell r="CN554" t="str">
            <v/>
          </cell>
          <cell r="CO554" t="str">
            <v/>
          </cell>
          <cell r="CP554" t="str">
            <v/>
          </cell>
          <cell r="CQ554" t="str">
            <v/>
          </cell>
          <cell r="CR554" t="str">
            <v/>
          </cell>
          <cell r="CS554" t="str">
            <v/>
          </cell>
          <cell r="CT554" t="str">
            <v/>
          </cell>
          <cell r="CU554" t="str">
            <v/>
          </cell>
          <cell r="CV554" t="str">
            <v/>
          </cell>
          <cell r="CW554" t="str">
            <v/>
          </cell>
        </row>
        <row r="555">
          <cell r="CN555" t="str">
            <v/>
          </cell>
          <cell r="CO555" t="str">
            <v/>
          </cell>
          <cell r="CP555" t="str">
            <v/>
          </cell>
          <cell r="CQ555" t="str">
            <v/>
          </cell>
          <cell r="CR555" t="str">
            <v/>
          </cell>
          <cell r="CS555" t="str">
            <v/>
          </cell>
          <cell r="CT555" t="str">
            <v/>
          </cell>
          <cell r="CU555" t="str">
            <v/>
          </cell>
          <cell r="CV555" t="str">
            <v/>
          </cell>
          <cell r="CW555" t="str">
            <v/>
          </cell>
        </row>
        <row r="556">
          <cell r="CN556" t="str">
            <v/>
          </cell>
          <cell r="CO556" t="str">
            <v/>
          </cell>
          <cell r="CP556" t="str">
            <v/>
          </cell>
          <cell r="CQ556" t="str">
            <v/>
          </cell>
          <cell r="CR556" t="str">
            <v/>
          </cell>
          <cell r="CS556" t="str">
            <v/>
          </cell>
          <cell r="CT556" t="str">
            <v/>
          </cell>
          <cell r="CU556" t="str">
            <v/>
          </cell>
          <cell r="CV556" t="str">
            <v/>
          </cell>
          <cell r="CW556" t="str">
            <v/>
          </cell>
        </row>
        <row r="557">
          <cell r="CN557" t="str">
            <v/>
          </cell>
          <cell r="CO557" t="str">
            <v/>
          </cell>
          <cell r="CP557" t="str">
            <v/>
          </cell>
          <cell r="CQ557" t="str">
            <v/>
          </cell>
          <cell r="CR557" t="str">
            <v/>
          </cell>
          <cell r="CS557" t="str">
            <v/>
          </cell>
          <cell r="CT557" t="str">
            <v/>
          </cell>
          <cell r="CU557" t="str">
            <v/>
          </cell>
          <cell r="CV557" t="str">
            <v/>
          </cell>
          <cell r="CW557" t="str">
            <v/>
          </cell>
        </row>
        <row r="558">
          <cell r="CN558" t="str">
            <v/>
          </cell>
          <cell r="CO558" t="str">
            <v/>
          </cell>
          <cell r="CP558" t="str">
            <v/>
          </cell>
          <cell r="CQ558" t="str">
            <v/>
          </cell>
          <cell r="CR558" t="str">
            <v/>
          </cell>
          <cell r="CS558" t="str">
            <v/>
          </cell>
          <cell r="CT558" t="str">
            <v/>
          </cell>
          <cell r="CU558" t="str">
            <v/>
          </cell>
          <cell r="CV558" t="str">
            <v/>
          </cell>
          <cell r="CW558" t="str">
            <v/>
          </cell>
        </row>
        <row r="559">
          <cell r="CN559" t="str">
            <v/>
          </cell>
          <cell r="CO559" t="str">
            <v/>
          </cell>
          <cell r="CP559" t="str">
            <v/>
          </cell>
          <cell r="CQ559" t="str">
            <v/>
          </cell>
          <cell r="CR559" t="str">
            <v/>
          </cell>
          <cell r="CS559" t="str">
            <v/>
          </cell>
          <cell r="CT559" t="str">
            <v/>
          </cell>
          <cell r="CU559" t="str">
            <v/>
          </cell>
          <cell r="CV559" t="str">
            <v/>
          </cell>
          <cell r="CW559" t="str">
            <v/>
          </cell>
        </row>
        <row r="560">
          <cell r="CN560" t="str">
            <v/>
          </cell>
          <cell r="CO560" t="str">
            <v/>
          </cell>
          <cell r="CP560" t="str">
            <v/>
          </cell>
          <cell r="CQ560" t="str">
            <v/>
          </cell>
          <cell r="CR560" t="str">
            <v/>
          </cell>
          <cell r="CS560" t="str">
            <v/>
          </cell>
          <cell r="CT560" t="str">
            <v/>
          </cell>
          <cell r="CU560" t="str">
            <v/>
          </cell>
          <cell r="CV560" t="str">
            <v/>
          </cell>
          <cell r="CW560" t="str">
            <v/>
          </cell>
        </row>
        <row r="561">
          <cell r="CN561" t="str">
            <v/>
          </cell>
          <cell r="CO561" t="str">
            <v/>
          </cell>
          <cell r="CP561" t="str">
            <v/>
          </cell>
          <cell r="CQ561" t="str">
            <v/>
          </cell>
          <cell r="CR561" t="str">
            <v/>
          </cell>
          <cell r="CS561" t="str">
            <v/>
          </cell>
          <cell r="CT561" t="str">
            <v/>
          </cell>
          <cell r="CU561" t="str">
            <v/>
          </cell>
          <cell r="CV561" t="str">
            <v/>
          </cell>
          <cell r="CW561" t="str">
            <v/>
          </cell>
        </row>
        <row r="562">
          <cell r="CN562" t="str">
            <v/>
          </cell>
          <cell r="CO562" t="str">
            <v/>
          </cell>
          <cell r="CP562" t="str">
            <v/>
          </cell>
          <cell r="CQ562" t="str">
            <v/>
          </cell>
          <cell r="CR562" t="str">
            <v/>
          </cell>
          <cell r="CS562" t="str">
            <v/>
          </cell>
          <cell r="CT562" t="str">
            <v/>
          </cell>
          <cell r="CU562" t="str">
            <v/>
          </cell>
          <cell r="CV562" t="str">
            <v/>
          </cell>
          <cell r="CW562" t="str">
            <v/>
          </cell>
        </row>
        <row r="563">
          <cell r="CN563" t="str">
            <v/>
          </cell>
          <cell r="CO563" t="str">
            <v/>
          </cell>
          <cell r="CP563" t="str">
            <v/>
          </cell>
          <cell r="CQ563" t="str">
            <v/>
          </cell>
          <cell r="CR563" t="str">
            <v/>
          </cell>
          <cell r="CS563" t="str">
            <v/>
          </cell>
          <cell r="CT563" t="str">
            <v/>
          </cell>
          <cell r="CU563" t="str">
            <v/>
          </cell>
          <cell r="CV563" t="str">
            <v/>
          </cell>
          <cell r="CW563" t="str">
            <v/>
          </cell>
        </row>
        <row r="564">
          <cell r="CN564" t="str">
            <v/>
          </cell>
          <cell r="CO564" t="str">
            <v/>
          </cell>
          <cell r="CP564" t="str">
            <v/>
          </cell>
          <cell r="CQ564" t="str">
            <v/>
          </cell>
          <cell r="CR564" t="str">
            <v/>
          </cell>
          <cell r="CS564" t="str">
            <v/>
          </cell>
          <cell r="CT564" t="str">
            <v/>
          </cell>
          <cell r="CU564" t="str">
            <v/>
          </cell>
          <cell r="CV564" t="str">
            <v/>
          </cell>
          <cell r="CW564" t="str">
            <v/>
          </cell>
        </row>
        <row r="565">
          <cell r="CN565" t="str">
            <v/>
          </cell>
          <cell r="CO565" t="str">
            <v/>
          </cell>
          <cell r="CP565" t="str">
            <v/>
          </cell>
          <cell r="CQ565" t="str">
            <v/>
          </cell>
          <cell r="CR565" t="str">
            <v/>
          </cell>
          <cell r="CS565" t="str">
            <v/>
          </cell>
          <cell r="CT565" t="str">
            <v/>
          </cell>
          <cell r="CU565" t="str">
            <v/>
          </cell>
          <cell r="CV565" t="str">
            <v/>
          </cell>
          <cell r="CW565" t="str">
            <v/>
          </cell>
        </row>
        <row r="566">
          <cell r="CN566" t="str">
            <v/>
          </cell>
          <cell r="CO566" t="str">
            <v/>
          </cell>
          <cell r="CP566" t="str">
            <v/>
          </cell>
          <cell r="CQ566" t="str">
            <v/>
          </cell>
          <cell r="CR566" t="str">
            <v/>
          </cell>
          <cell r="CS566" t="str">
            <v/>
          </cell>
          <cell r="CT566" t="str">
            <v/>
          </cell>
          <cell r="CU566" t="str">
            <v/>
          </cell>
          <cell r="CV566" t="str">
            <v/>
          </cell>
          <cell r="CW566" t="str">
            <v/>
          </cell>
        </row>
        <row r="567">
          <cell r="CN567" t="str">
            <v/>
          </cell>
          <cell r="CO567" t="str">
            <v/>
          </cell>
          <cell r="CP567" t="str">
            <v/>
          </cell>
          <cell r="CQ567" t="str">
            <v/>
          </cell>
          <cell r="CR567" t="str">
            <v/>
          </cell>
          <cell r="CS567" t="str">
            <v/>
          </cell>
          <cell r="CT567" t="str">
            <v/>
          </cell>
          <cell r="CU567" t="str">
            <v/>
          </cell>
          <cell r="CV567" t="str">
            <v/>
          </cell>
          <cell r="CW567" t="str">
            <v/>
          </cell>
        </row>
        <row r="568">
          <cell r="CN568" t="str">
            <v/>
          </cell>
          <cell r="CO568" t="str">
            <v/>
          </cell>
          <cell r="CP568" t="str">
            <v/>
          </cell>
          <cell r="CQ568" t="str">
            <v/>
          </cell>
          <cell r="CR568" t="str">
            <v/>
          </cell>
          <cell r="CS568" t="str">
            <v/>
          </cell>
          <cell r="CT568" t="str">
            <v/>
          </cell>
          <cell r="CU568" t="str">
            <v/>
          </cell>
          <cell r="CV568" t="str">
            <v/>
          </cell>
          <cell r="CW568" t="str">
            <v/>
          </cell>
        </row>
        <row r="569">
          <cell r="CN569" t="str">
            <v/>
          </cell>
          <cell r="CO569" t="str">
            <v/>
          </cell>
          <cell r="CP569" t="str">
            <v/>
          </cell>
          <cell r="CQ569" t="str">
            <v/>
          </cell>
          <cell r="CR569" t="str">
            <v/>
          </cell>
          <cell r="CS569" t="str">
            <v/>
          </cell>
          <cell r="CT569" t="str">
            <v/>
          </cell>
          <cell r="CU569" t="str">
            <v/>
          </cell>
          <cell r="CV569" t="str">
            <v/>
          </cell>
          <cell r="CW569" t="str">
            <v/>
          </cell>
        </row>
        <row r="570">
          <cell r="CN570" t="str">
            <v/>
          </cell>
          <cell r="CO570" t="str">
            <v/>
          </cell>
          <cell r="CP570" t="str">
            <v/>
          </cell>
          <cell r="CQ570" t="str">
            <v/>
          </cell>
          <cell r="CR570" t="str">
            <v/>
          </cell>
          <cell r="CS570" t="str">
            <v/>
          </cell>
          <cell r="CT570" t="str">
            <v/>
          </cell>
          <cell r="CU570" t="str">
            <v/>
          </cell>
          <cell r="CV570" t="str">
            <v/>
          </cell>
          <cell r="CW570" t="str">
            <v/>
          </cell>
        </row>
        <row r="571">
          <cell r="CN571" t="str">
            <v/>
          </cell>
          <cell r="CO571" t="str">
            <v/>
          </cell>
          <cell r="CP571" t="str">
            <v/>
          </cell>
          <cell r="CQ571" t="str">
            <v/>
          </cell>
          <cell r="CR571" t="str">
            <v/>
          </cell>
          <cell r="CS571" t="str">
            <v/>
          </cell>
          <cell r="CT571" t="str">
            <v/>
          </cell>
          <cell r="CU571" t="str">
            <v/>
          </cell>
          <cell r="CV571" t="str">
            <v/>
          </cell>
          <cell r="CW571" t="str">
            <v/>
          </cell>
        </row>
        <row r="572">
          <cell r="CN572" t="str">
            <v/>
          </cell>
          <cell r="CO572" t="str">
            <v/>
          </cell>
          <cell r="CP572" t="str">
            <v/>
          </cell>
          <cell r="CQ572" t="str">
            <v/>
          </cell>
          <cell r="CR572" t="str">
            <v/>
          </cell>
          <cell r="CS572" t="str">
            <v/>
          </cell>
          <cell r="CT572" t="str">
            <v/>
          </cell>
          <cell r="CU572" t="str">
            <v/>
          </cell>
          <cell r="CV572" t="str">
            <v/>
          </cell>
          <cell r="CW572" t="str">
            <v/>
          </cell>
        </row>
        <row r="573">
          <cell r="CN573" t="str">
            <v/>
          </cell>
          <cell r="CO573" t="str">
            <v/>
          </cell>
          <cell r="CP573" t="str">
            <v/>
          </cell>
          <cell r="CQ573" t="str">
            <v/>
          </cell>
          <cell r="CR573" t="str">
            <v/>
          </cell>
          <cell r="CS573" t="str">
            <v/>
          </cell>
          <cell r="CT573" t="str">
            <v/>
          </cell>
          <cell r="CU573" t="str">
            <v/>
          </cell>
          <cell r="CV573" t="str">
            <v/>
          </cell>
          <cell r="CW573" t="str">
            <v/>
          </cell>
        </row>
        <row r="574">
          <cell r="CN574" t="str">
            <v/>
          </cell>
          <cell r="CO574" t="str">
            <v/>
          </cell>
          <cell r="CP574" t="str">
            <v/>
          </cell>
          <cell r="CQ574" t="str">
            <v/>
          </cell>
          <cell r="CR574" t="str">
            <v/>
          </cell>
          <cell r="CS574" t="str">
            <v/>
          </cell>
          <cell r="CT574" t="str">
            <v/>
          </cell>
          <cell r="CU574" t="str">
            <v/>
          </cell>
          <cell r="CV574" t="str">
            <v/>
          </cell>
          <cell r="CW574" t="str">
            <v/>
          </cell>
        </row>
        <row r="575">
          <cell r="CN575" t="str">
            <v/>
          </cell>
          <cell r="CO575" t="str">
            <v/>
          </cell>
          <cell r="CP575" t="str">
            <v/>
          </cell>
          <cell r="CQ575" t="str">
            <v/>
          </cell>
          <cell r="CR575" t="str">
            <v/>
          </cell>
          <cell r="CS575" t="str">
            <v/>
          </cell>
          <cell r="CT575" t="str">
            <v/>
          </cell>
          <cell r="CU575" t="str">
            <v/>
          </cell>
          <cell r="CV575" t="str">
            <v/>
          </cell>
          <cell r="CW575" t="str">
            <v/>
          </cell>
        </row>
        <row r="576">
          <cell r="CN576" t="str">
            <v/>
          </cell>
          <cell r="CO576" t="str">
            <v/>
          </cell>
          <cell r="CP576" t="str">
            <v/>
          </cell>
          <cell r="CQ576" t="str">
            <v/>
          </cell>
          <cell r="CR576" t="str">
            <v/>
          </cell>
          <cell r="CS576" t="str">
            <v/>
          </cell>
          <cell r="CT576" t="str">
            <v/>
          </cell>
          <cell r="CU576" t="str">
            <v/>
          </cell>
          <cell r="CV576" t="str">
            <v/>
          </cell>
          <cell r="CW576" t="str">
            <v/>
          </cell>
        </row>
        <row r="577">
          <cell r="CN577" t="str">
            <v/>
          </cell>
          <cell r="CO577" t="str">
            <v/>
          </cell>
          <cell r="CP577" t="str">
            <v/>
          </cell>
          <cell r="CQ577" t="str">
            <v/>
          </cell>
          <cell r="CR577" t="str">
            <v/>
          </cell>
          <cell r="CS577" t="str">
            <v/>
          </cell>
          <cell r="CT577" t="str">
            <v/>
          </cell>
          <cell r="CU577" t="str">
            <v/>
          </cell>
          <cell r="CV577" t="str">
            <v/>
          </cell>
          <cell r="CW577" t="str">
            <v/>
          </cell>
        </row>
        <row r="578">
          <cell r="CN578" t="str">
            <v/>
          </cell>
          <cell r="CO578" t="str">
            <v/>
          </cell>
          <cell r="CP578" t="str">
            <v/>
          </cell>
          <cell r="CQ578" t="str">
            <v/>
          </cell>
          <cell r="CR578" t="str">
            <v/>
          </cell>
          <cell r="CS578" t="str">
            <v/>
          </cell>
          <cell r="CT578" t="str">
            <v/>
          </cell>
          <cell r="CU578" t="str">
            <v/>
          </cell>
          <cell r="CV578" t="str">
            <v/>
          </cell>
          <cell r="CW578" t="str">
            <v/>
          </cell>
        </row>
        <row r="579">
          <cell r="CN579" t="str">
            <v/>
          </cell>
          <cell r="CO579" t="str">
            <v/>
          </cell>
          <cell r="CP579" t="str">
            <v/>
          </cell>
          <cell r="CQ579" t="str">
            <v/>
          </cell>
          <cell r="CR579" t="str">
            <v/>
          </cell>
          <cell r="CS579" t="str">
            <v/>
          </cell>
          <cell r="CT579" t="str">
            <v/>
          </cell>
          <cell r="CU579" t="str">
            <v/>
          </cell>
          <cell r="CV579" t="str">
            <v/>
          </cell>
          <cell r="CW579" t="str">
            <v/>
          </cell>
        </row>
        <row r="580">
          <cell r="CN580" t="str">
            <v/>
          </cell>
          <cell r="CO580" t="str">
            <v/>
          </cell>
          <cell r="CP580" t="str">
            <v/>
          </cell>
          <cell r="CQ580" t="str">
            <v/>
          </cell>
          <cell r="CR580" t="str">
            <v/>
          </cell>
          <cell r="CS580" t="str">
            <v/>
          </cell>
          <cell r="CT580" t="str">
            <v/>
          </cell>
          <cell r="CU580" t="str">
            <v/>
          </cell>
          <cell r="CV580" t="str">
            <v/>
          </cell>
          <cell r="CW580" t="str">
            <v/>
          </cell>
        </row>
        <row r="581">
          <cell r="CN581" t="str">
            <v/>
          </cell>
          <cell r="CO581" t="str">
            <v/>
          </cell>
          <cell r="CP581" t="str">
            <v/>
          </cell>
          <cell r="CQ581" t="str">
            <v/>
          </cell>
          <cell r="CR581" t="str">
            <v/>
          </cell>
          <cell r="CS581" t="str">
            <v/>
          </cell>
          <cell r="CT581" t="str">
            <v/>
          </cell>
          <cell r="CU581" t="str">
            <v/>
          </cell>
          <cell r="CV581" t="str">
            <v/>
          </cell>
          <cell r="CW581" t="str">
            <v/>
          </cell>
        </row>
        <row r="582">
          <cell r="CN582" t="str">
            <v/>
          </cell>
          <cell r="CO582" t="str">
            <v/>
          </cell>
          <cell r="CP582" t="str">
            <v/>
          </cell>
          <cell r="CQ582" t="str">
            <v/>
          </cell>
          <cell r="CR582" t="str">
            <v/>
          </cell>
          <cell r="CS582" t="str">
            <v/>
          </cell>
          <cell r="CT582" t="str">
            <v/>
          </cell>
          <cell r="CU582" t="str">
            <v/>
          </cell>
          <cell r="CV582" t="str">
            <v/>
          </cell>
          <cell r="CW582" t="str">
            <v/>
          </cell>
        </row>
        <row r="583">
          <cell r="CN583" t="str">
            <v/>
          </cell>
          <cell r="CO583" t="str">
            <v/>
          </cell>
          <cell r="CP583" t="str">
            <v/>
          </cell>
          <cell r="CQ583" t="str">
            <v/>
          </cell>
          <cell r="CR583" t="str">
            <v/>
          </cell>
          <cell r="CS583" t="str">
            <v/>
          </cell>
          <cell r="CT583" t="str">
            <v/>
          </cell>
          <cell r="CU583" t="str">
            <v/>
          </cell>
          <cell r="CV583" t="str">
            <v/>
          </cell>
          <cell r="CW583" t="str">
            <v/>
          </cell>
        </row>
        <row r="584">
          <cell r="CN584" t="str">
            <v/>
          </cell>
          <cell r="CO584" t="str">
            <v/>
          </cell>
          <cell r="CP584" t="str">
            <v/>
          </cell>
          <cell r="CQ584" t="str">
            <v/>
          </cell>
          <cell r="CR584" t="str">
            <v/>
          </cell>
          <cell r="CS584" t="str">
            <v/>
          </cell>
          <cell r="CT584" t="str">
            <v/>
          </cell>
          <cell r="CU584" t="str">
            <v/>
          </cell>
          <cell r="CV584" t="str">
            <v/>
          </cell>
          <cell r="CW584" t="str">
            <v/>
          </cell>
        </row>
        <row r="585">
          <cell r="CN585" t="str">
            <v/>
          </cell>
          <cell r="CO585" t="str">
            <v/>
          </cell>
          <cell r="CP585" t="str">
            <v/>
          </cell>
          <cell r="CQ585" t="str">
            <v/>
          </cell>
          <cell r="CR585" t="str">
            <v/>
          </cell>
          <cell r="CS585" t="str">
            <v/>
          </cell>
          <cell r="CT585" t="str">
            <v/>
          </cell>
          <cell r="CU585" t="str">
            <v/>
          </cell>
          <cell r="CV585" t="str">
            <v/>
          </cell>
          <cell r="CW585" t="str">
            <v/>
          </cell>
        </row>
        <row r="586">
          <cell r="CN586" t="str">
            <v/>
          </cell>
          <cell r="CO586" t="str">
            <v/>
          </cell>
          <cell r="CP586" t="str">
            <v/>
          </cell>
          <cell r="CQ586" t="str">
            <v/>
          </cell>
          <cell r="CR586" t="str">
            <v/>
          </cell>
          <cell r="CS586" t="str">
            <v/>
          </cell>
          <cell r="CT586" t="str">
            <v/>
          </cell>
          <cell r="CU586" t="str">
            <v/>
          </cell>
          <cell r="CV586" t="str">
            <v/>
          </cell>
          <cell r="CW586" t="str">
            <v/>
          </cell>
        </row>
        <row r="587">
          <cell r="CN587" t="str">
            <v/>
          </cell>
          <cell r="CO587" t="str">
            <v/>
          </cell>
          <cell r="CP587" t="str">
            <v/>
          </cell>
          <cell r="CQ587" t="str">
            <v/>
          </cell>
          <cell r="CR587" t="str">
            <v/>
          </cell>
          <cell r="CS587" t="str">
            <v/>
          </cell>
          <cell r="CT587" t="str">
            <v/>
          </cell>
          <cell r="CU587" t="str">
            <v/>
          </cell>
          <cell r="CV587" t="str">
            <v/>
          </cell>
          <cell r="CW587" t="str">
            <v/>
          </cell>
        </row>
        <row r="588">
          <cell r="CN588" t="str">
            <v/>
          </cell>
          <cell r="CO588" t="str">
            <v/>
          </cell>
          <cell r="CP588" t="str">
            <v/>
          </cell>
          <cell r="CQ588" t="str">
            <v/>
          </cell>
          <cell r="CR588" t="str">
            <v/>
          </cell>
          <cell r="CS588" t="str">
            <v/>
          </cell>
          <cell r="CT588" t="str">
            <v/>
          </cell>
          <cell r="CU588" t="str">
            <v/>
          </cell>
          <cell r="CV588" t="str">
            <v/>
          </cell>
          <cell r="CW588" t="str">
            <v/>
          </cell>
        </row>
        <row r="589">
          <cell r="CN589" t="str">
            <v/>
          </cell>
          <cell r="CO589" t="str">
            <v/>
          </cell>
          <cell r="CP589" t="str">
            <v/>
          </cell>
          <cell r="CQ589" t="str">
            <v/>
          </cell>
          <cell r="CR589" t="str">
            <v/>
          </cell>
          <cell r="CS589" t="str">
            <v/>
          </cell>
          <cell r="CT589" t="str">
            <v/>
          </cell>
          <cell r="CU589" t="str">
            <v/>
          </cell>
          <cell r="CV589" t="str">
            <v/>
          </cell>
          <cell r="CW589" t="str">
            <v/>
          </cell>
        </row>
        <row r="590">
          <cell r="CN590" t="str">
            <v/>
          </cell>
          <cell r="CO590" t="str">
            <v/>
          </cell>
          <cell r="CP590" t="str">
            <v/>
          </cell>
          <cell r="CQ590" t="str">
            <v/>
          </cell>
          <cell r="CR590" t="str">
            <v/>
          </cell>
          <cell r="CS590" t="str">
            <v/>
          </cell>
          <cell r="CT590" t="str">
            <v/>
          </cell>
          <cell r="CU590" t="str">
            <v/>
          </cell>
          <cell r="CV590" t="str">
            <v/>
          </cell>
          <cell r="CW590" t="str">
            <v/>
          </cell>
        </row>
        <row r="591">
          <cell r="CN591" t="str">
            <v/>
          </cell>
          <cell r="CO591" t="str">
            <v/>
          </cell>
          <cell r="CP591" t="str">
            <v/>
          </cell>
          <cell r="CQ591" t="str">
            <v/>
          </cell>
          <cell r="CR591" t="str">
            <v/>
          </cell>
          <cell r="CS591" t="str">
            <v/>
          </cell>
          <cell r="CT591" t="str">
            <v/>
          </cell>
          <cell r="CU591" t="str">
            <v/>
          </cell>
          <cell r="CV591" t="str">
            <v/>
          </cell>
          <cell r="CW591" t="str">
            <v/>
          </cell>
        </row>
        <row r="592">
          <cell r="CN592" t="str">
            <v/>
          </cell>
          <cell r="CO592" t="str">
            <v/>
          </cell>
          <cell r="CP592" t="str">
            <v/>
          </cell>
          <cell r="CQ592" t="str">
            <v/>
          </cell>
          <cell r="CR592" t="str">
            <v/>
          </cell>
          <cell r="CS592" t="str">
            <v/>
          </cell>
          <cell r="CT592" t="str">
            <v/>
          </cell>
          <cell r="CU592" t="str">
            <v/>
          </cell>
          <cell r="CV592" t="str">
            <v/>
          </cell>
          <cell r="CW592" t="str">
            <v/>
          </cell>
        </row>
        <row r="593">
          <cell r="CN593" t="str">
            <v/>
          </cell>
          <cell r="CO593" t="str">
            <v/>
          </cell>
          <cell r="CP593" t="str">
            <v/>
          </cell>
          <cell r="CQ593" t="str">
            <v/>
          </cell>
          <cell r="CR593" t="str">
            <v/>
          </cell>
          <cell r="CS593" t="str">
            <v/>
          </cell>
          <cell r="CT593" t="str">
            <v/>
          </cell>
          <cell r="CU593" t="str">
            <v/>
          </cell>
          <cell r="CV593" t="str">
            <v/>
          </cell>
          <cell r="CW593" t="str">
            <v/>
          </cell>
        </row>
        <row r="594">
          <cell r="CN594" t="str">
            <v/>
          </cell>
          <cell r="CO594" t="str">
            <v/>
          </cell>
          <cell r="CP594" t="str">
            <v/>
          </cell>
          <cell r="CQ594" t="str">
            <v/>
          </cell>
          <cell r="CR594" t="str">
            <v/>
          </cell>
          <cell r="CS594" t="str">
            <v/>
          </cell>
          <cell r="CT594" t="str">
            <v/>
          </cell>
          <cell r="CU594" t="str">
            <v/>
          </cell>
          <cell r="CV594" t="str">
            <v/>
          </cell>
          <cell r="CW594" t="str">
            <v/>
          </cell>
        </row>
        <row r="595">
          <cell r="CN595" t="str">
            <v/>
          </cell>
          <cell r="CO595" t="str">
            <v/>
          </cell>
          <cell r="CP595" t="str">
            <v/>
          </cell>
          <cell r="CQ595" t="str">
            <v/>
          </cell>
          <cell r="CR595" t="str">
            <v/>
          </cell>
          <cell r="CS595" t="str">
            <v/>
          </cell>
          <cell r="CT595" t="str">
            <v/>
          </cell>
          <cell r="CU595" t="str">
            <v/>
          </cell>
          <cell r="CV595" t="str">
            <v/>
          </cell>
          <cell r="CW595" t="str">
            <v/>
          </cell>
        </row>
        <row r="596">
          <cell r="CN596" t="str">
            <v/>
          </cell>
          <cell r="CO596" t="str">
            <v/>
          </cell>
          <cell r="CP596" t="str">
            <v/>
          </cell>
          <cell r="CQ596" t="str">
            <v/>
          </cell>
          <cell r="CR596" t="str">
            <v/>
          </cell>
          <cell r="CS596" t="str">
            <v/>
          </cell>
          <cell r="CT596" t="str">
            <v/>
          </cell>
          <cell r="CU596" t="str">
            <v/>
          </cell>
          <cell r="CV596" t="str">
            <v/>
          </cell>
          <cell r="CW596" t="str">
            <v/>
          </cell>
        </row>
        <row r="597">
          <cell r="CN597" t="str">
            <v/>
          </cell>
          <cell r="CO597" t="str">
            <v/>
          </cell>
          <cell r="CP597" t="str">
            <v/>
          </cell>
          <cell r="CQ597" t="str">
            <v/>
          </cell>
          <cell r="CR597" t="str">
            <v/>
          </cell>
          <cell r="CS597" t="str">
            <v/>
          </cell>
          <cell r="CT597" t="str">
            <v/>
          </cell>
          <cell r="CU597" t="str">
            <v/>
          </cell>
          <cell r="CV597" t="str">
            <v/>
          </cell>
          <cell r="CW597" t="str">
            <v/>
          </cell>
        </row>
        <row r="598">
          <cell r="CN598" t="str">
            <v/>
          </cell>
          <cell r="CO598" t="str">
            <v/>
          </cell>
          <cell r="CP598" t="str">
            <v/>
          </cell>
          <cell r="CQ598" t="str">
            <v/>
          </cell>
          <cell r="CR598" t="str">
            <v/>
          </cell>
          <cell r="CS598" t="str">
            <v/>
          </cell>
          <cell r="CT598" t="str">
            <v/>
          </cell>
          <cell r="CU598" t="str">
            <v/>
          </cell>
          <cell r="CV598" t="str">
            <v/>
          </cell>
          <cell r="CW598" t="str">
            <v/>
          </cell>
        </row>
        <row r="599">
          <cell r="CN599" t="str">
            <v/>
          </cell>
          <cell r="CO599" t="str">
            <v/>
          </cell>
          <cell r="CP599" t="str">
            <v/>
          </cell>
          <cell r="CQ599" t="str">
            <v/>
          </cell>
          <cell r="CR599" t="str">
            <v/>
          </cell>
          <cell r="CS599" t="str">
            <v/>
          </cell>
          <cell r="CT599" t="str">
            <v/>
          </cell>
          <cell r="CU599" t="str">
            <v/>
          </cell>
          <cell r="CV599" t="str">
            <v/>
          </cell>
          <cell r="CW599" t="str">
            <v/>
          </cell>
        </row>
        <row r="600">
          <cell r="CN600" t="str">
            <v/>
          </cell>
          <cell r="CO600" t="str">
            <v/>
          </cell>
          <cell r="CP600" t="str">
            <v/>
          </cell>
          <cell r="CQ600" t="str">
            <v/>
          </cell>
          <cell r="CR600" t="str">
            <v/>
          </cell>
          <cell r="CS600" t="str">
            <v/>
          </cell>
          <cell r="CT600" t="str">
            <v/>
          </cell>
          <cell r="CU600" t="str">
            <v/>
          </cell>
          <cell r="CV600" t="str">
            <v/>
          </cell>
          <cell r="CW600" t="str">
            <v/>
          </cell>
        </row>
        <row r="601">
          <cell r="CN601" t="str">
            <v/>
          </cell>
          <cell r="CO601" t="str">
            <v/>
          </cell>
          <cell r="CP601" t="str">
            <v/>
          </cell>
          <cell r="CQ601" t="str">
            <v/>
          </cell>
          <cell r="CR601" t="str">
            <v/>
          </cell>
          <cell r="CS601" t="str">
            <v/>
          </cell>
          <cell r="CT601" t="str">
            <v/>
          </cell>
          <cell r="CU601" t="str">
            <v/>
          </cell>
          <cell r="CV601" t="str">
            <v/>
          </cell>
          <cell r="CW601" t="str">
            <v/>
          </cell>
        </row>
        <row r="602">
          <cell r="CN602" t="str">
            <v/>
          </cell>
          <cell r="CO602" t="str">
            <v/>
          </cell>
          <cell r="CP602" t="str">
            <v/>
          </cell>
          <cell r="CQ602" t="str">
            <v/>
          </cell>
          <cell r="CR602" t="str">
            <v/>
          </cell>
          <cell r="CS602" t="str">
            <v/>
          </cell>
          <cell r="CT602" t="str">
            <v/>
          </cell>
          <cell r="CU602" t="str">
            <v/>
          </cell>
          <cell r="CV602" t="str">
            <v/>
          </cell>
          <cell r="CW602" t="str">
            <v/>
          </cell>
        </row>
        <row r="603">
          <cell r="CN603" t="str">
            <v/>
          </cell>
          <cell r="CO603" t="str">
            <v/>
          </cell>
          <cell r="CP603" t="str">
            <v/>
          </cell>
          <cell r="CQ603" t="str">
            <v/>
          </cell>
          <cell r="CR603" t="str">
            <v/>
          </cell>
          <cell r="CS603" t="str">
            <v/>
          </cell>
          <cell r="CT603" t="str">
            <v/>
          </cell>
          <cell r="CU603" t="str">
            <v/>
          </cell>
          <cell r="CV603" t="str">
            <v/>
          </cell>
          <cell r="CW603" t="str">
            <v/>
          </cell>
        </row>
        <row r="604">
          <cell r="CN604" t="str">
            <v/>
          </cell>
          <cell r="CO604" t="str">
            <v/>
          </cell>
          <cell r="CP604" t="str">
            <v/>
          </cell>
          <cell r="CQ604" t="str">
            <v/>
          </cell>
          <cell r="CR604" t="str">
            <v/>
          </cell>
          <cell r="CS604" t="str">
            <v/>
          </cell>
          <cell r="CT604" t="str">
            <v/>
          </cell>
          <cell r="CU604" t="str">
            <v/>
          </cell>
          <cell r="CV604" t="str">
            <v/>
          </cell>
          <cell r="CW604" t="str">
            <v/>
          </cell>
        </row>
        <row r="605">
          <cell r="CN605" t="str">
            <v/>
          </cell>
          <cell r="CO605" t="str">
            <v/>
          </cell>
          <cell r="CP605" t="str">
            <v/>
          </cell>
          <cell r="CQ605" t="str">
            <v/>
          </cell>
          <cell r="CR605" t="str">
            <v/>
          </cell>
          <cell r="CS605" t="str">
            <v/>
          </cell>
          <cell r="CT605" t="str">
            <v/>
          </cell>
          <cell r="CU605" t="str">
            <v/>
          </cell>
          <cell r="CV605" t="str">
            <v/>
          </cell>
          <cell r="CW605" t="str">
            <v/>
          </cell>
        </row>
        <row r="606">
          <cell r="CN606" t="str">
            <v/>
          </cell>
          <cell r="CO606" t="str">
            <v/>
          </cell>
          <cell r="CP606" t="str">
            <v/>
          </cell>
          <cell r="CQ606" t="str">
            <v/>
          </cell>
          <cell r="CR606" t="str">
            <v/>
          </cell>
          <cell r="CS606" t="str">
            <v/>
          </cell>
          <cell r="CT606" t="str">
            <v/>
          </cell>
          <cell r="CU606" t="str">
            <v/>
          </cell>
          <cell r="CV606" t="str">
            <v/>
          </cell>
          <cell r="CW606" t="str">
            <v/>
          </cell>
        </row>
        <row r="607">
          <cell r="CN607" t="str">
            <v/>
          </cell>
          <cell r="CO607" t="str">
            <v/>
          </cell>
          <cell r="CP607" t="str">
            <v/>
          </cell>
          <cell r="CQ607" t="str">
            <v/>
          </cell>
          <cell r="CR607" t="str">
            <v/>
          </cell>
          <cell r="CS607" t="str">
            <v/>
          </cell>
          <cell r="CT607" t="str">
            <v/>
          </cell>
          <cell r="CU607" t="str">
            <v/>
          </cell>
          <cell r="CV607" t="str">
            <v/>
          </cell>
          <cell r="CW607" t="str">
            <v/>
          </cell>
        </row>
        <row r="608">
          <cell r="CN608" t="str">
            <v/>
          </cell>
          <cell r="CO608" t="str">
            <v/>
          </cell>
          <cell r="CP608" t="str">
            <v/>
          </cell>
          <cell r="CQ608" t="str">
            <v/>
          </cell>
          <cell r="CR608" t="str">
            <v/>
          </cell>
          <cell r="CS608" t="str">
            <v/>
          </cell>
          <cell r="CT608" t="str">
            <v/>
          </cell>
          <cell r="CU608" t="str">
            <v/>
          </cell>
          <cell r="CV608" t="str">
            <v/>
          </cell>
          <cell r="CW608" t="str">
            <v/>
          </cell>
        </row>
        <row r="609">
          <cell r="CN609" t="str">
            <v/>
          </cell>
          <cell r="CO609" t="str">
            <v/>
          </cell>
          <cell r="CP609" t="str">
            <v/>
          </cell>
          <cell r="CQ609" t="str">
            <v/>
          </cell>
          <cell r="CR609" t="str">
            <v/>
          </cell>
          <cell r="CS609" t="str">
            <v/>
          </cell>
          <cell r="CT609" t="str">
            <v/>
          </cell>
          <cell r="CU609" t="str">
            <v/>
          </cell>
          <cell r="CV609" t="str">
            <v/>
          </cell>
          <cell r="CW609" t="str">
            <v/>
          </cell>
        </row>
        <row r="610">
          <cell r="CN610" t="str">
            <v/>
          </cell>
          <cell r="CO610" t="str">
            <v/>
          </cell>
          <cell r="CP610" t="str">
            <v/>
          </cell>
          <cell r="CQ610" t="str">
            <v/>
          </cell>
          <cell r="CR610" t="str">
            <v/>
          </cell>
          <cell r="CS610" t="str">
            <v/>
          </cell>
          <cell r="CT610" t="str">
            <v/>
          </cell>
          <cell r="CU610" t="str">
            <v/>
          </cell>
          <cell r="CV610" t="str">
            <v/>
          </cell>
          <cell r="CW610" t="str">
            <v/>
          </cell>
        </row>
        <row r="611">
          <cell r="CN611" t="str">
            <v/>
          </cell>
          <cell r="CO611" t="str">
            <v/>
          </cell>
          <cell r="CP611" t="str">
            <v/>
          </cell>
          <cell r="CQ611" t="str">
            <v/>
          </cell>
          <cell r="CR611" t="str">
            <v/>
          </cell>
          <cell r="CS611" t="str">
            <v/>
          </cell>
          <cell r="CT611" t="str">
            <v/>
          </cell>
          <cell r="CU611" t="str">
            <v/>
          </cell>
          <cell r="CV611" t="str">
            <v/>
          </cell>
          <cell r="CW611" t="str">
            <v/>
          </cell>
        </row>
        <row r="612">
          <cell r="CN612" t="str">
            <v/>
          </cell>
          <cell r="CO612" t="str">
            <v/>
          </cell>
          <cell r="CP612" t="str">
            <v/>
          </cell>
          <cell r="CQ612" t="str">
            <v/>
          </cell>
          <cell r="CR612" t="str">
            <v/>
          </cell>
          <cell r="CS612" t="str">
            <v/>
          </cell>
          <cell r="CT612" t="str">
            <v/>
          </cell>
          <cell r="CU612" t="str">
            <v/>
          </cell>
          <cell r="CV612" t="str">
            <v/>
          </cell>
          <cell r="CW612" t="str">
            <v/>
          </cell>
        </row>
        <row r="613">
          <cell r="CN613" t="str">
            <v/>
          </cell>
          <cell r="CO613" t="str">
            <v/>
          </cell>
          <cell r="CP613" t="str">
            <v/>
          </cell>
          <cell r="CQ613" t="str">
            <v/>
          </cell>
          <cell r="CR613" t="str">
            <v/>
          </cell>
          <cell r="CS613" t="str">
            <v/>
          </cell>
          <cell r="CT613" t="str">
            <v/>
          </cell>
          <cell r="CU613" t="str">
            <v/>
          </cell>
          <cell r="CV613" t="str">
            <v/>
          </cell>
          <cell r="CW613" t="str">
            <v/>
          </cell>
        </row>
        <row r="614">
          <cell r="CN614" t="str">
            <v/>
          </cell>
          <cell r="CO614" t="str">
            <v/>
          </cell>
          <cell r="CP614" t="str">
            <v/>
          </cell>
          <cell r="CQ614" t="str">
            <v/>
          </cell>
          <cell r="CR614" t="str">
            <v/>
          </cell>
          <cell r="CS614" t="str">
            <v/>
          </cell>
          <cell r="CT614" t="str">
            <v/>
          </cell>
          <cell r="CU614" t="str">
            <v/>
          </cell>
          <cell r="CV614" t="str">
            <v/>
          </cell>
          <cell r="CW614" t="str">
            <v/>
          </cell>
        </row>
        <row r="615">
          <cell r="CN615" t="str">
            <v/>
          </cell>
          <cell r="CO615" t="str">
            <v/>
          </cell>
          <cell r="CP615" t="str">
            <v/>
          </cell>
          <cell r="CQ615" t="str">
            <v/>
          </cell>
          <cell r="CR615" t="str">
            <v/>
          </cell>
          <cell r="CS615" t="str">
            <v/>
          </cell>
          <cell r="CT615" t="str">
            <v/>
          </cell>
          <cell r="CU615" t="str">
            <v/>
          </cell>
          <cell r="CV615" t="str">
            <v/>
          </cell>
          <cell r="CW615" t="str">
            <v/>
          </cell>
        </row>
        <row r="616">
          <cell r="CN616" t="str">
            <v/>
          </cell>
          <cell r="CO616" t="str">
            <v/>
          </cell>
          <cell r="CP616" t="str">
            <v/>
          </cell>
          <cell r="CQ616" t="str">
            <v/>
          </cell>
          <cell r="CR616" t="str">
            <v/>
          </cell>
          <cell r="CS616" t="str">
            <v/>
          </cell>
          <cell r="CT616" t="str">
            <v/>
          </cell>
          <cell r="CU616" t="str">
            <v/>
          </cell>
          <cell r="CV616" t="str">
            <v/>
          </cell>
          <cell r="CW616" t="str">
            <v/>
          </cell>
        </row>
        <row r="617">
          <cell r="CN617" t="str">
            <v/>
          </cell>
          <cell r="CO617" t="str">
            <v/>
          </cell>
          <cell r="CP617" t="str">
            <v/>
          </cell>
          <cell r="CQ617" t="str">
            <v/>
          </cell>
          <cell r="CR617" t="str">
            <v/>
          </cell>
          <cell r="CS617" t="str">
            <v/>
          </cell>
          <cell r="CT617" t="str">
            <v/>
          </cell>
          <cell r="CU617" t="str">
            <v/>
          </cell>
          <cell r="CV617" t="str">
            <v/>
          </cell>
          <cell r="CW617" t="str">
            <v/>
          </cell>
        </row>
        <row r="618">
          <cell r="CN618" t="str">
            <v/>
          </cell>
          <cell r="CO618" t="str">
            <v/>
          </cell>
          <cell r="CP618" t="str">
            <v/>
          </cell>
          <cell r="CQ618" t="str">
            <v/>
          </cell>
          <cell r="CR618" t="str">
            <v/>
          </cell>
          <cell r="CS618" t="str">
            <v/>
          </cell>
          <cell r="CT618" t="str">
            <v/>
          </cell>
          <cell r="CU618" t="str">
            <v/>
          </cell>
          <cell r="CV618" t="str">
            <v/>
          </cell>
          <cell r="CW618" t="str">
            <v/>
          </cell>
        </row>
        <row r="619">
          <cell r="CN619" t="str">
            <v/>
          </cell>
          <cell r="CO619" t="str">
            <v/>
          </cell>
          <cell r="CP619" t="str">
            <v/>
          </cell>
          <cell r="CQ619" t="str">
            <v/>
          </cell>
          <cell r="CR619" t="str">
            <v/>
          </cell>
          <cell r="CS619" t="str">
            <v/>
          </cell>
          <cell r="CT619" t="str">
            <v/>
          </cell>
          <cell r="CU619" t="str">
            <v/>
          </cell>
          <cell r="CV619" t="str">
            <v/>
          </cell>
          <cell r="CW619" t="str">
            <v/>
          </cell>
        </row>
        <row r="620">
          <cell r="CN620" t="str">
            <v/>
          </cell>
          <cell r="CO620" t="str">
            <v/>
          </cell>
          <cell r="CP620" t="str">
            <v/>
          </cell>
          <cell r="CQ620" t="str">
            <v/>
          </cell>
          <cell r="CR620" t="str">
            <v/>
          </cell>
          <cell r="CS620" t="str">
            <v/>
          </cell>
          <cell r="CT620" t="str">
            <v/>
          </cell>
          <cell r="CU620" t="str">
            <v/>
          </cell>
          <cell r="CV620" t="str">
            <v/>
          </cell>
          <cell r="CW620" t="str">
            <v/>
          </cell>
        </row>
        <row r="621">
          <cell r="CN621" t="str">
            <v/>
          </cell>
          <cell r="CO621" t="str">
            <v/>
          </cell>
          <cell r="CP621" t="str">
            <v/>
          </cell>
          <cell r="CQ621" t="str">
            <v/>
          </cell>
          <cell r="CR621" t="str">
            <v/>
          </cell>
          <cell r="CS621" t="str">
            <v/>
          </cell>
          <cell r="CT621" t="str">
            <v/>
          </cell>
          <cell r="CU621" t="str">
            <v/>
          </cell>
          <cell r="CV621" t="str">
            <v/>
          </cell>
          <cell r="CW621" t="str">
            <v/>
          </cell>
        </row>
        <row r="622">
          <cell r="CN622" t="str">
            <v/>
          </cell>
          <cell r="CO622" t="str">
            <v/>
          </cell>
          <cell r="CP622" t="str">
            <v/>
          </cell>
          <cell r="CQ622" t="str">
            <v/>
          </cell>
          <cell r="CR622" t="str">
            <v/>
          </cell>
          <cell r="CS622" t="str">
            <v/>
          </cell>
          <cell r="CT622" t="str">
            <v/>
          </cell>
          <cell r="CU622" t="str">
            <v/>
          </cell>
          <cell r="CV622" t="str">
            <v/>
          </cell>
          <cell r="CW622" t="str">
            <v/>
          </cell>
        </row>
        <row r="623">
          <cell r="CN623" t="str">
            <v/>
          </cell>
          <cell r="CO623" t="str">
            <v/>
          </cell>
          <cell r="CP623" t="str">
            <v/>
          </cell>
          <cell r="CQ623" t="str">
            <v/>
          </cell>
          <cell r="CR623" t="str">
            <v/>
          </cell>
          <cell r="CS623" t="str">
            <v/>
          </cell>
          <cell r="CT623" t="str">
            <v/>
          </cell>
          <cell r="CU623" t="str">
            <v/>
          </cell>
          <cell r="CV623" t="str">
            <v/>
          </cell>
          <cell r="CW623" t="str">
            <v/>
          </cell>
        </row>
        <row r="624">
          <cell r="CN624" t="str">
            <v/>
          </cell>
          <cell r="CO624" t="str">
            <v/>
          </cell>
          <cell r="CP624" t="str">
            <v/>
          </cell>
          <cell r="CQ624" t="str">
            <v/>
          </cell>
          <cell r="CR624" t="str">
            <v/>
          </cell>
          <cell r="CS624" t="str">
            <v/>
          </cell>
          <cell r="CT624" t="str">
            <v/>
          </cell>
          <cell r="CU624" t="str">
            <v/>
          </cell>
          <cell r="CV624" t="str">
            <v/>
          </cell>
          <cell r="CW624" t="str">
            <v/>
          </cell>
        </row>
        <row r="625">
          <cell r="CN625" t="str">
            <v/>
          </cell>
          <cell r="CO625" t="str">
            <v/>
          </cell>
          <cell r="CP625" t="str">
            <v/>
          </cell>
          <cell r="CQ625" t="str">
            <v/>
          </cell>
          <cell r="CR625" t="str">
            <v/>
          </cell>
          <cell r="CS625" t="str">
            <v/>
          </cell>
          <cell r="CT625" t="str">
            <v/>
          </cell>
          <cell r="CU625" t="str">
            <v/>
          </cell>
          <cell r="CV625" t="str">
            <v/>
          </cell>
          <cell r="CW625" t="str">
            <v/>
          </cell>
        </row>
        <row r="626">
          <cell r="CN626" t="str">
            <v/>
          </cell>
          <cell r="CO626" t="str">
            <v/>
          </cell>
          <cell r="CP626" t="str">
            <v/>
          </cell>
          <cell r="CQ626" t="str">
            <v/>
          </cell>
          <cell r="CR626" t="str">
            <v/>
          </cell>
          <cell r="CS626" t="str">
            <v/>
          </cell>
          <cell r="CT626" t="str">
            <v/>
          </cell>
          <cell r="CU626" t="str">
            <v/>
          </cell>
          <cell r="CV626" t="str">
            <v/>
          </cell>
          <cell r="CW626" t="str">
            <v/>
          </cell>
        </row>
        <row r="627">
          <cell r="CN627" t="str">
            <v/>
          </cell>
          <cell r="CO627" t="str">
            <v/>
          </cell>
          <cell r="CP627" t="str">
            <v/>
          </cell>
          <cell r="CQ627" t="str">
            <v/>
          </cell>
          <cell r="CR627" t="str">
            <v/>
          </cell>
          <cell r="CS627" t="str">
            <v/>
          </cell>
          <cell r="CT627" t="str">
            <v/>
          </cell>
          <cell r="CU627" t="str">
            <v/>
          </cell>
          <cell r="CV627" t="str">
            <v/>
          </cell>
          <cell r="CW627" t="str">
            <v/>
          </cell>
        </row>
        <row r="628">
          <cell r="CN628" t="str">
            <v/>
          </cell>
          <cell r="CO628" t="str">
            <v/>
          </cell>
          <cell r="CP628" t="str">
            <v/>
          </cell>
          <cell r="CQ628" t="str">
            <v/>
          </cell>
          <cell r="CR628" t="str">
            <v/>
          </cell>
          <cell r="CS628" t="str">
            <v/>
          </cell>
          <cell r="CT628" t="str">
            <v/>
          </cell>
          <cell r="CU628" t="str">
            <v/>
          </cell>
          <cell r="CV628" t="str">
            <v/>
          </cell>
          <cell r="CW628" t="str">
            <v/>
          </cell>
        </row>
        <row r="629">
          <cell r="CN629" t="str">
            <v/>
          </cell>
          <cell r="CO629" t="str">
            <v/>
          </cell>
          <cell r="CP629" t="str">
            <v/>
          </cell>
          <cell r="CQ629" t="str">
            <v/>
          </cell>
          <cell r="CR629" t="str">
            <v/>
          </cell>
          <cell r="CS629" t="str">
            <v/>
          </cell>
          <cell r="CT629" t="str">
            <v/>
          </cell>
          <cell r="CU629" t="str">
            <v/>
          </cell>
          <cell r="CV629" t="str">
            <v/>
          </cell>
          <cell r="CW629" t="str">
            <v/>
          </cell>
        </row>
        <row r="630">
          <cell r="CN630" t="str">
            <v/>
          </cell>
          <cell r="CO630" t="str">
            <v/>
          </cell>
          <cell r="CP630" t="str">
            <v/>
          </cell>
          <cell r="CQ630" t="str">
            <v/>
          </cell>
          <cell r="CR630" t="str">
            <v/>
          </cell>
          <cell r="CS630" t="str">
            <v/>
          </cell>
          <cell r="CT630" t="str">
            <v/>
          </cell>
          <cell r="CU630" t="str">
            <v/>
          </cell>
          <cell r="CV630" t="str">
            <v/>
          </cell>
          <cell r="CW630" t="str">
            <v/>
          </cell>
        </row>
        <row r="631">
          <cell r="CN631" t="str">
            <v/>
          </cell>
          <cell r="CO631" t="str">
            <v/>
          </cell>
          <cell r="CP631" t="str">
            <v/>
          </cell>
          <cell r="CQ631" t="str">
            <v/>
          </cell>
          <cell r="CR631" t="str">
            <v/>
          </cell>
          <cell r="CS631" t="str">
            <v/>
          </cell>
          <cell r="CT631" t="str">
            <v/>
          </cell>
          <cell r="CU631" t="str">
            <v/>
          </cell>
          <cell r="CV631" t="str">
            <v/>
          </cell>
          <cell r="CW631" t="str">
            <v/>
          </cell>
        </row>
        <row r="632">
          <cell r="CN632" t="str">
            <v/>
          </cell>
          <cell r="CO632" t="str">
            <v/>
          </cell>
          <cell r="CP632" t="str">
            <v/>
          </cell>
          <cell r="CQ632" t="str">
            <v/>
          </cell>
          <cell r="CR632" t="str">
            <v/>
          </cell>
          <cell r="CS632" t="str">
            <v/>
          </cell>
          <cell r="CT632" t="str">
            <v/>
          </cell>
          <cell r="CU632" t="str">
            <v/>
          </cell>
          <cell r="CV632" t="str">
            <v/>
          </cell>
          <cell r="CW632" t="str">
            <v/>
          </cell>
        </row>
        <row r="633">
          <cell r="CN633" t="str">
            <v/>
          </cell>
          <cell r="CO633" t="str">
            <v/>
          </cell>
          <cell r="CP633" t="str">
            <v/>
          </cell>
          <cell r="CQ633" t="str">
            <v/>
          </cell>
          <cell r="CR633" t="str">
            <v/>
          </cell>
          <cell r="CS633" t="str">
            <v/>
          </cell>
          <cell r="CT633" t="str">
            <v/>
          </cell>
          <cell r="CU633" t="str">
            <v/>
          </cell>
          <cell r="CV633" t="str">
            <v/>
          </cell>
          <cell r="CW633" t="str">
            <v/>
          </cell>
        </row>
        <row r="634">
          <cell r="CN634" t="str">
            <v/>
          </cell>
          <cell r="CO634" t="str">
            <v/>
          </cell>
          <cell r="CP634" t="str">
            <v/>
          </cell>
          <cell r="CQ634" t="str">
            <v/>
          </cell>
          <cell r="CR634" t="str">
            <v/>
          </cell>
          <cell r="CS634" t="str">
            <v/>
          </cell>
          <cell r="CT634" t="str">
            <v/>
          </cell>
          <cell r="CU634" t="str">
            <v/>
          </cell>
          <cell r="CV634" t="str">
            <v/>
          </cell>
          <cell r="CW634" t="str">
            <v/>
          </cell>
        </row>
        <row r="635">
          <cell r="CN635" t="str">
            <v/>
          </cell>
          <cell r="CO635" t="str">
            <v/>
          </cell>
          <cell r="CP635" t="str">
            <v/>
          </cell>
          <cell r="CQ635" t="str">
            <v/>
          </cell>
          <cell r="CR635" t="str">
            <v/>
          </cell>
          <cell r="CS635" t="str">
            <v/>
          </cell>
          <cell r="CT635" t="str">
            <v/>
          </cell>
          <cell r="CU635" t="str">
            <v/>
          </cell>
          <cell r="CV635" t="str">
            <v/>
          </cell>
          <cell r="CW635" t="str">
            <v/>
          </cell>
        </row>
        <row r="636">
          <cell r="CN636" t="str">
            <v/>
          </cell>
          <cell r="CO636" t="str">
            <v/>
          </cell>
          <cell r="CP636" t="str">
            <v/>
          </cell>
          <cell r="CQ636" t="str">
            <v/>
          </cell>
          <cell r="CR636" t="str">
            <v/>
          </cell>
          <cell r="CS636" t="str">
            <v/>
          </cell>
          <cell r="CT636" t="str">
            <v/>
          </cell>
          <cell r="CU636" t="str">
            <v/>
          </cell>
          <cell r="CV636" t="str">
            <v/>
          </cell>
          <cell r="CW636" t="str">
            <v/>
          </cell>
        </row>
        <row r="637">
          <cell r="CN637" t="str">
            <v/>
          </cell>
          <cell r="CO637" t="str">
            <v/>
          </cell>
          <cell r="CP637" t="str">
            <v/>
          </cell>
          <cell r="CQ637" t="str">
            <v/>
          </cell>
          <cell r="CR637" t="str">
            <v/>
          </cell>
          <cell r="CS637" t="str">
            <v/>
          </cell>
          <cell r="CT637" t="str">
            <v/>
          </cell>
          <cell r="CU637" t="str">
            <v/>
          </cell>
          <cell r="CV637" t="str">
            <v/>
          </cell>
          <cell r="CW637" t="str">
            <v/>
          </cell>
        </row>
        <row r="638">
          <cell r="CN638" t="str">
            <v/>
          </cell>
          <cell r="CO638" t="str">
            <v/>
          </cell>
          <cell r="CP638" t="str">
            <v/>
          </cell>
          <cell r="CQ638" t="str">
            <v/>
          </cell>
          <cell r="CR638" t="str">
            <v/>
          </cell>
          <cell r="CS638" t="str">
            <v/>
          </cell>
          <cell r="CT638" t="str">
            <v/>
          </cell>
          <cell r="CU638" t="str">
            <v/>
          </cell>
          <cell r="CV638" t="str">
            <v/>
          </cell>
          <cell r="CW638" t="str">
            <v/>
          </cell>
        </row>
        <row r="639">
          <cell r="CN639" t="str">
            <v/>
          </cell>
          <cell r="CO639" t="str">
            <v/>
          </cell>
          <cell r="CP639" t="str">
            <v/>
          </cell>
          <cell r="CQ639" t="str">
            <v/>
          </cell>
          <cell r="CR639" t="str">
            <v/>
          </cell>
          <cell r="CS639" t="str">
            <v/>
          </cell>
          <cell r="CT639" t="str">
            <v/>
          </cell>
          <cell r="CU639" t="str">
            <v/>
          </cell>
          <cell r="CV639" t="str">
            <v/>
          </cell>
          <cell r="CW639" t="str">
            <v/>
          </cell>
        </row>
        <row r="640">
          <cell r="CN640" t="str">
            <v/>
          </cell>
          <cell r="CO640" t="str">
            <v/>
          </cell>
          <cell r="CP640" t="str">
            <v/>
          </cell>
          <cell r="CQ640" t="str">
            <v/>
          </cell>
          <cell r="CR640" t="str">
            <v/>
          </cell>
          <cell r="CS640" t="str">
            <v/>
          </cell>
          <cell r="CT640" t="str">
            <v/>
          </cell>
          <cell r="CU640" t="str">
            <v/>
          </cell>
          <cell r="CV640" t="str">
            <v/>
          </cell>
          <cell r="CW640" t="str">
            <v/>
          </cell>
        </row>
        <row r="641">
          <cell r="CN641" t="str">
            <v/>
          </cell>
          <cell r="CO641" t="str">
            <v/>
          </cell>
          <cell r="CP641" t="str">
            <v/>
          </cell>
          <cell r="CQ641" t="str">
            <v/>
          </cell>
          <cell r="CR641" t="str">
            <v/>
          </cell>
          <cell r="CS641" t="str">
            <v/>
          </cell>
          <cell r="CT641" t="str">
            <v/>
          </cell>
          <cell r="CU641" t="str">
            <v/>
          </cell>
          <cell r="CV641" t="str">
            <v/>
          </cell>
          <cell r="CW641" t="str">
            <v/>
          </cell>
        </row>
        <row r="642">
          <cell r="CN642" t="str">
            <v/>
          </cell>
          <cell r="CO642" t="str">
            <v/>
          </cell>
          <cell r="CP642" t="str">
            <v/>
          </cell>
          <cell r="CQ642" t="str">
            <v/>
          </cell>
          <cell r="CR642" t="str">
            <v/>
          </cell>
          <cell r="CS642" t="str">
            <v/>
          </cell>
          <cell r="CT642" t="str">
            <v/>
          </cell>
          <cell r="CU642" t="str">
            <v/>
          </cell>
          <cell r="CV642" t="str">
            <v/>
          </cell>
          <cell r="CW642" t="str">
            <v/>
          </cell>
        </row>
        <row r="643">
          <cell r="CN643" t="str">
            <v/>
          </cell>
          <cell r="CO643" t="str">
            <v/>
          </cell>
          <cell r="CP643" t="str">
            <v/>
          </cell>
          <cell r="CQ643" t="str">
            <v/>
          </cell>
          <cell r="CR643" t="str">
            <v/>
          </cell>
          <cell r="CS643" t="str">
            <v/>
          </cell>
          <cell r="CT643" t="str">
            <v/>
          </cell>
          <cell r="CU643" t="str">
            <v/>
          </cell>
          <cell r="CV643" t="str">
            <v/>
          </cell>
          <cell r="CW643" t="str">
            <v/>
          </cell>
        </row>
        <row r="644">
          <cell r="CN644" t="str">
            <v/>
          </cell>
          <cell r="CO644" t="str">
            <v/>
          </cell>
          <cell r="CP644" t="str">
            <v/>
          </cell>
          <cell r="CQ644" t="str">
            <v/>
          </cell>
          <cell r="CR644" t="str">
            <v/>
          </cell>
          <cell r="CS644" t="str">
            <v/>
          </cell>
          <cell r="CT644" t="str">
            <v/>
          </cell>
          <cell r="CU644" t="str">
            <v/>
          </cell>
          <cell r="CV644" t="str">
            <v/>
          </cell>
          <cell r="CW644" t="str">
            <v/>
          </cell>
        </row>
        <row r="645">
          <cell r="CN645" t="str">
            <v/>
          </cell>
          <cell r="CO645" t="str">
            <v/>
          </cell>
          <cell r="CP645" t="str">
            <v/>
          </cell>
          <cell r="CQ645" t="str">
            <v/>
          </cell>
          <cell r="CR645" t="str">
            <v/>
          </cell>
          <cell r="CS645" t="str">
            <v/>
          </cell>
          <cell r="CT645" t="str">
            <v/>
          </cell>
          <cell r="CU645" t="str">
            <v/>
          </cell>
          <cell r="CV645" t="str">
            <v/>
          </cell>
          <cell r="CW645" t="str">
            <v/>
          </cell>
        </row>
        <row r="646">
          <cell r="CN646" t="str">
            <v/>
          </cell>
          <cell r="CO646" t="str">
            <v/>
          </cell>
          <cell r="CP646" t="str">
            <v/>
          </cell>
          <cell r="CQ646" t="str">
            <v/>
          </cell>
          <cell r="CR646" t="str">
            <v/>
          </cell>
          <cell r="CS646" t="str">
            <v/>
          </cell>
          <cell r="CT646" t="str">
            <v/>
          </cell>
          <cell r="CU646" t="str">
            <v/>
          </cell>
          <cell r="CV646" t="str">
            <v/>
          </cell>
          <cell r="CW646" t="str">
            <v/>
          </cell>
        </row>
        <row r="647">
          <cell r="CN647" t="str">
            <v/>
          </cell>
          <cell r="CO647" t="str">
            <v/>
          </cell>
          <cell r="CP647" t="str">
            <v/>
          </cell>
          <cell r="CQ647" t="str">
            <v/>
          </cell>
          <cell r="CR647" t="str">
            <v/>
          </cell>
          <cell r="CS647" t="str">
            <v/>
          </cell>
          <cell r="CT647" t="str">
            <v/>
          </cell>
          <cell r="CU647" t="str">
            <v/>
          </cell>
          <cell r="CV647" t="str">
            <v/>
          </cell>
          <cell r="CW647" t="str">
            <v/>
          </cell>
        </row>
        <row r="648">
          <cell r="CN648" t="str">
            <v/>
          </cell>
          <cell r="CO648" t="str">
            <v/>
          </cell>
          <cell r="CP648" t="str">
            <v/>
          </cell>
          <cell r="CQ648" t="str">
            <v/>
          </cell>
          <cell r="CR648" t="str">
            <v/>
          </cell>
          <cell r="CS648" t="str">
            <v/>
          </cell>
          <cell r="CT648" t="str">
            <v/>
          </cell>
          <cell r="CU648" t="str">
            <v/>
          </cell>
          <cell r="CV648" t="str">
            <v/>
          </cell>
          <cell r="CW648" t="str">
            <v/>
          </cell>
        </row>
        <row r="649">
          <cell r="CN649" t="str">
            <v/>
          </cell>
          <cell r="CO649" t="str">
            <v/>
          </cell>
          <cell r="CP649" t="str">
            <v/>
          </cell>
          <cell r="CQ649" t="str">
            <v/>
          </cell>
          <cell r="CR649" t="str">
            <v/>
          </cell>
          <cell r="CS649" t="str">
            <v/>
          </cell>
          <cell r="CT649" t="str">
            <v/>
          </cell>
          <cell r="CU649" t="str">
            <v/>
          </cell>
          <cell r="CV649" t="str">
            <v/>
          </cell>
          <cell r="CW649" t="str">
            <v/>
          </cell>
        </row>
        <row r="650">
          <cell r="CN650" t="str">
            <v/>
          </cell>
          <cell r="CO650" t="str">
            <v/>
          </cell>
          <cell r="CP650" t="str">
            <v/>
          </cell>
          <cell r="CQ650" t="str">
            <v/>
          </cell>
          <cell r="CR650" t="str">
            <v/>
          </cell>
          <cell r="CS650" t="str">
            <v/>
          </cell>
          <cell r="CT650" t="str">
            <v/>
          </cell>
          <cell r="CU650" t="str">
            <v/>
          </cell>
          <cell r="CV650" t="str">
            <v/>
          </cell>
          <cell r="CW650" t="str">
            <v/>
          </cell>
        </row>
        <row r="651">
          <cell r="CN651" t="str">
            <v/>
          </cell>
          <cell r="CO651" t="str">
            <v/>
          </cell>
          <cell r="CP651" t="str">
            <v/>
          </cell>
          <cell r="CQ651" t="str">
            <v/>
          </cell>
          <cell r="CR651" t="str">
            <v/>
          </cell>
          <cell r="CS651" t="str">
            <v/>
          </cell>
          <cell r="CT651" t="str">
            <v/>
          </cell>
          <cell r="CU651" t="str">
            <v/>
          </cell>
          <cell r="CV651" t="str">
            <v/>
          </cell>
          <cell r="CW651" t="str">
            <v/>
          </cell>
        </row>
        <row r="652">
          <cell r="CN652" t="str">
            <v/>
          </cell>
          <cell r="CO652" t="str">
            <v/>
          </cell>
          <cell r="CP652" t="str">
            <v/>
          </cell>
          <cell r="CQ652" t="str">
            <v/>
          </cell>
          <cell r="CR652" t="str">
            <v/>
          </cell>
          <cell r="CS652" t="str">
            <v/>
          </cell>
          <cell r="CT652" t="str">
            <v/>
          </cell>
          <cell r="CU652" t="str">
            <v/>
          </cell>
          <cell r="CV652" t="str">
            <v/>
          </cell>
          <cell r="CW652" t="str">
            <v/>
          </cell>
        </row>
        <row r="653">
          <cell r="CN653" t="str">
            <v/>
          </cell>
          <cell r="CO653" t="str">
            <v/>
          </cell>
          <cell r="CP653" t="str">
            <v/>
          </cell>
          <cell r="CQ653" t="str">
            <v/>
          </cell>
          <cell r="CR653" t="str">
            <v/>
          </cell>
          <cell r="CS653" t="str">
            <v/>
          </cell>
          <cell r="CT653" t="str">
            <v/>
          </cell>
          <cell r="CU653" t="str">
            <v/>
          </cell>
          <cell r="CV653" t="str">
            <v/>
          </cell>
          <cell r="CW653" t="str">
            <v/>
          </cell>
        </row>
        <row r="654">
          <cell r="CN654" t="str">
            <v/>
          </cell>
          <cell r="CO654" t="str">
            <v/>
          </cell>
          <cell r="CP654" t="str">
            <v/>
          </cell>
          <cell r="CQ654" t="str">
            <v/>
          </cell>
          <cell r="CR654" t="str">
            <v/>
          </cell>
          <cell r="CS654" t="str">
            <v/>
          </cell>
          <cell r="CT654" t="str">
            <v/>
          </cell>
          <cell r="CU654" t="str">
            <v/>
          </cell>
          <cell r="CV654" t="str">
            <v/>
          </cell>
          <cell r="CW654" t="str">
            <v/>
          </cell>
        </row>
        <row r="655">
          <cell r="CN655" t="str">
            <v/>
          </cell>
          <cell r="CO655" t="str">
            <v/>
          </cell>
          <cell r="CP655" t="str">
            <v/>
          </cell>
          <cell r="CQ655" t="str">
            <v/>
          </cell>
          <cell r="CR655" t="str">
            <v/>
          </cell>
          <cell r="CS655" t="str">
            <v/>
          </cell>
          <cell r="CT655" t="str">
            <v/>
          </cell>
          <cell r="CU655" t="str">
            <v/>
          </cell>
          <cell r="CV655" t="str">
            <v/>
          </cell>
          <cell r="CW655" t="str">
            <v/>
          </cell>
        </row>
        <row r="656">
          <cell r="CN656" t="str">
            <v/>
          </cell>
          <cell r="CO656" t="str">
            <v/>
          </cell>
          <cell r="CP656" t="str">
            <v/>
          </cell>
          <cell r="CQ656" t="str">
            <v/>
          </cell>
          <cell r="CR656" t="str">
            <v/>
          </cell>
          <cell r="CS656" t="str">
            <v/>
          </cell>
          <cell r="CT656" t="str">
            <v/>
          </cell>
          <cell r="CU656" t="str">
            <v/>
          </cell>
          <cell r="CV656" t="str">
            <v/>
          </cell>
          <cell r="CW656" t="str">
            <v/>
          </cell>
        </row>
        <row r="657">
          <cell r="CN657" t="str">
            <v/>
          </cell>
          <cell r="CO657" t="str">
            <v/>
          </cell>
          <cell r="CP657" t="str">
            <v/>
          </cell>
          <cell r="CQ657" t="str">
            <v/>
          </cell>
          <cell r="CR657" t="str">
            <v/>
          </cell>
          <cell r="CS657" t="str">
            <v/>
          </cell>
          <cell r="CT657" t="str">
            <v/>
          </cell>
          <cell r="CU657" t="str">
            <v/>
          </cell>
          <cell r="CV657" t="str">
            <v/>
          </cell>
          <cell r="CW657" t="str">
            <v/>
          </cell>
        </row>
        <row r="658">
          <cell r="CN658" t="str">
            <v/>
          </cell>
          <cell r="CO658" t="str">
            <v/>
          </cell>
          <cell r="CP658" t="str">
            <v/>
          </cell>
          <cell r="CQ658" t="str">
            <v/>
          </cell>
          <cell r="CR658" t="str">
            <v/>
          </cell>
          <cell r="CS658" t="str">
            <v/>
          </cell>
          <cell r="CT658" t="str">
            <v/>
          </cell>
          <cell r="CU658" t="str">
            <v/>
          </cell>
          <cell r="CV658" t="str">
            <v/>
          </cell>
          <cell r="CW658" t="str">
            <v/>
          </cell>
        </row>
        <row r="659">
          <cell r="CN659" t="str">
            <v/>
          </cell>
          <cell r="CO659" t="str">
            <v/>
          </cell>
          <cell r="CP659" t="str">
            <v/>
          </cell>
          <cell r="CQ659" t="str">
            <v/>
          </cell>
          <cell r="CR659" t="str">
            <v/>
          </cell>
          <cell r="CS659" t="str">
            <v/>
          </cell>
          <cell r="CT659" t="str">
            <v/>
          </cell>
          <cell r="CU659" t="str">
            <v/>
          </cell>
          <cell r="CV659" t="str">
            <v/>
          </cell>
          <cell r="CW659" t="str">
            <v/>
          </cell>
        </row>
        <row r="660">
          <cell r="CN660" t="str">
            <v/>
          </cell>
          <cell r="CO660" t="str">
            <v/>
          </cell>
          <cell r="CP660" t="str">
            <v/>
          </cell>
          <cell r="CQ660" t="str">
            <v/>
          </cell>
          <cell r="CR660" t="str">
            <v/>
          </cell>
          <cell r="CS660" t="str">
            <v/>
          </cell>
          <cell r="CT660" t="str">
            <v/>
          </cell>
          <cell r="CU660" t="str">
            <v/>
          </cell>
          <cell r="CV660" t="str">
            <v/>
          </cell>
          <cell r="CW660" t="str">
            <v/>
          </cell>
        </row>
        <row r="661">
          <cell r="CN661" t="str">
            <v/>
          </cell>
          <cell r="CO661" t="str">
            <v/>
          </cell>
          <cell r="CP661" t="str">
            <v/>
          </cell>
          <cell r="CQ661" t="str">
            <v/>
          </cell>
          <cell r="CR661" t="str">
            <v/>
          </cell>
          <cell r="CS661" t="str">
            <v/>
          </cell>
          <cell r="CT661" t="str">
            <v/>
          </cell>
          <cell r="CU661" t="str">
            <v/>
          </cell>
          <cell r="CV661" t="str">
            <v/>
          </cell>
          <cell r="CW661" t="str">
            <v/>
          </cell>
        </row>
        <row r="662">
          <cell r="CN662" t="str">
            <v/>
          </cell>
          <cell r="CO662" t="str">
            <v/>
          </cell>
          <cell r="CP662" t="str">
            <v/>
          </cell>
          <cell r="CQ662" t="str">
            <v/>
          </cell>
          <cell r="CR662" t="str">
            <v/>
          </cell>
          <cell r="CS662" t="str">
            <v/>
          </cell>
          <cell r="CT662" t="str">
            <v/>
          </cell>
          <cell r="CU662" t="str">
            <v/>
          </cell>
          <cell r="CV662" t="str">
            <v/>
          </cell>
          <cell r="CW662" t="str">
            <v/>
          </cell>
        </row>
        <row r="663">
          <cell r="CN663" t="str">
            <v/>
          </cell>
          <cell r="CO663" t="str">
            <v/>
          </cell>
          <cell r="CP663" t="str">
            <v/>
          </cell>
          <cell r="CQ663" t="str">
            <v/>
          </cell>
          <cell r="CR663" t="str">
            <v/>
          </cell>
          <cell r="CS663" t="str">
            <v/>
          </cell>
          <cell r="CT663" t="str">
            <v/>
          </cell>
          <cell r="CU663" t="str">
            <v/>
          </cell>
          <cell r="CV663" t="str">
            <v/>
          </cell>
          <cell r="CW663" t="str">
            <v/>
          </cell>
        </row>
        <row r="664">
          <cell r="CN664" t="str">
            <v/>
          </cell>
          <cell r="CO664" t="str">
            <v/>
          </cell>
          <cell r="CP664" t="str">
            <v/>
          </cell>
          <cell r="CQ664" t="str">
            <v/>
          </cell>
          <cell r="CR664" t="str">
            <v/>
          </cell>
          <cell r="CS664" t="str">
            <v/>
          </cell>
          <cell r="CT664" t="str">
            <v/>
          </cell>
          <cell r="CU664" t="str">
            <v/>
          </cell>
          <cell r="CV664" t="str">
            <v/>
          </cell>
          <cell r="CW664" t="str">
            <v/>
          </cell>
        </row>
        <row r="665">
          <cell r="CN665" t="str">
            <v/>
          </cell>
          <cell r="CO665" t="str">
            <v/>
          </cell>
          <cell r="CP665" t="str">
            <v/>
          </cell>
          <cell r="CQ665" t="str">
            <v/>
          </cell>
          <cell r="CR665" t="str">
            <v/>
          </cell>
          <cell r="CS665" t="str">
            <v/>
          </cell>
          <cell r="CT665" t="str">
            <v/>
          </cell>
          <cell r="CU665" t="str">
            <v/>
          </cell>
          <cell r="CV665" t="str">
            <v/>
          </cell>
          <cell r="CW665" t="str">
            <v/>
          </cell>
        </row>
        <row r="666">
          <cell r="CN666" t="str">
            <v/>
          </cell>
          <cell r="CO666" t="str">
            <v/>
          </cell>
          <cell r="CP666" t="str">
            <v/>
          </cell>
          <cell r="CQ666" t="str">
            <v/>
          </cell>
          <cell r="CR666" t="str">
            <v/>
          </cell>
          <cell r="CS666" t="str">
            <v/>
          </cell>
          <cell r="CT666" t="str">
            <v/>
          </cell>
          <cell r="CU666" t="str">
            <v/>
          </cell>
          <cell r="CV666" t="str">
            <v/>
          </cell>
          <cell r="CW666" t="str">
            <v/>
          </cell>
        </row>
        <row r="667">
          <cell r="CN667" t="str">
            <v/>
          </cell>
          <cell r="CO667" t="str">
            <v/>
          </cell>
          <cell r="CP667" t="str">
            <v/>
          </cell>
          <cell r="CQ667" t="str">
            <v/>
          </cell>
          <cell r="CR667" t="str">
            <v/>
          </cell>
          <cell r="CS667" t="str">
            <v/>
          </cell>
          <cell r="CT667" t="str">
            <v/>
          </cell>
          <cell r="CU667" t="str">
            <v/>
          </cell>
          <cell r="CV667" t="str">
            <v/>
          </cell>
          <cell r="CW667" t="str">
            <v/>
          </cell>
        </row>
        <row r="668">
          <cell r="CN668" t="str">
            <v/>
          </cell>
          <cell r="CO668" t="str">
            <v/>
          </cell>
          <cell r="CP668" t="str">
            <v/>
          </cell>
          <cell r="CQ668" t="str">
            <v/>
          </cell>
          <cell r="CR668" t="str">
            <v/>
          </cell>
          <cell r="CS668" t="str">
            <v/>
          </cell>
          <cell r="CT668" t="str">
            <v/>
          </cell>
          <cell r="CU668" t="str">
            <v/>
          </cell>
          <cell r="CV668" t="str">
            <v/>
          </cell>
          <cell r="CW668" t="str">
            <v/>
          </cell>
        </row>
        <row r="669">
          <cell r="CN669" t="str">
            <v/>
          </cell>
          <cell r="CO669" t="str">
            <v/>
          </cell>
          <cell r="CP669" t="str">
            <v/>
          </cell>
          <cell r="CQ669" t="str">
            <v/>
          </cell>
          <cell r="CR669" t="str">
            <v/>
          </cell>
          <cell r="CS669" t="str">
            <v/>
          </cell>
          <cell r="CT669" t="str">
            <v/>
          </cell>
          <cell r="CU669" t="str">
            <v/>
          </cell>
          <cell r="CV669" t="str">
            <v/>
          </cell>
          <cell r="CW669" t="str">
            <v/>
          </cell>
        </row>
        <row r="670">
          <cell r="CN670" t="str">
            <v/>
          </cell>
          <cell r="CO670" t="str">
            <v/>
          </cell>
          <cell r="CP670" t="str">
            <v/>
          </cell>
          <cell r="CQ670" t="str">
            <v/>
          </cell>
          <cell r="CR670" t="str">
            <v/>
          </cell>
          <cell r="CS670" t="str">
            <v/>
          </cell>
          <cell r="CT670" t="str">
            <v/>
          </cell>
          <cell r="CU670" t="str">
            <v/>
          </cell>
          <cell r="CV670" t="str">
            <v/>
          </cell>
          <cell r="CW670" t="str">
            <v/>
          </cell>
        </row>
        <row r="671">
          <cell r="CN671" t="str">
            <v/>
          </cell>
          <cell r="CO671" t="str">
            <v/>
          </cell>
          <cell r="CP671" t="str">
            <v/>
          </cell>
          <cell r="CQ671" t="str">
            <v/>
          </cell>
          <cell r="CR671" t="str">
            <v/>
          </cell>
          <cell r="CS671" t="str">
            <v/>
          </cell>
          <cell r="CT671" t="str">
            <v/>
          </cell>
          <cell r="CU671" t="str">
            <v/>
          </cell>
          <cell r="CV671" t="str">
            <v/>
          </cell>
          <cell r="CW671" t="str">
            <v/>
          </cell>
        </row>
        <row r="672">
          <cell r="CN672" t="str">
            <v/>
          </cell>
          <cell r="CO672" t="str">
            <v/>
          </cell>
          <cell r="CP672" t="str">
            <v/>
          </cell>
          <cell r="CQ672" t="str">
            <v/>
          </cell>
          <cell r="CR672" t="str">
            <v/>
          </cell>
          <cell r="CS672" t="str">
            <v/>
          </cell>
          <cell r="CT672" t="str">
            <v/>
          </cell>
          <cell r="CU672" t="str">
            <v/>
          </cell>
          <cell r="CV672" t="str">
            <v/>
          </cell>
          <cell r="CW672" t="str">
            <v/>
          </cell>
        </row>
        <row r="673">
          <cell r="CN673" t="str">
            <v/>
          </cell>
          <cell r="CO673" t="str">
            <v/>
          </cell>
          <cell r="CP673" t="str">
            <v/>
          </cell>
          <cell r="CQ673" t="str">
            <v/>
          </cell>
          <cell r="CR673" t="str">
            <v/>
          </cell>
          <cell r="CS673" t="str">
            <v/>
          </cell>
          <cell r="CT673" t="str">
            <v/>
          </cell>
          <cell r="CU673" t="str">
            <v/>
          </cell>
          <cell r="CV673" t="str">
            <v/>
          </cell>
          <cell r="CW673" t="str">
            <v/>
          </cell>
        </row>
        <row r="674">
          <cell r="CN674" t="str">
            <v/>
          </cell>
          <cell r="CO674" t="str">
            <v/>
          </cell>
          <cell r="CP674" t="str">
            <v/>
          </cell>
          <cell r="CQ674" t="str">
            <v/>
          </cell>
          <cell r="CR674" t="str">
            <v/>
          </cell>
          <cell r="CS674" t="str">
            <v/>
          </cell>
          <cell r="CT674" t="str">
            <v/>
          </cell>
          <cell r="CU674" t="str">
            <v/>
          </cell>
          <cell r="CV674" t="str">
            <v/>
          </cell>
          <cell r="CW674" t="str">
            <v/>
          </cell>
        </row>
        <row r="675">
          <cell r="CN675" t="str">
            <v/>
          </cell>
          <cell r="CO675" t="str">
            <v/>
          </cell>
          <cell r="CP675" t="str">
            <v/>
          </cell>
          <cell r="CQ675" t="str">
            <v/>
          </cell>
          <cell r="CR675" t="str">
            <v/>
          </cell>
          <cell r="CS675" t="str">
            <v/>
          </cell>
          <cell r="CT675" t="str">
            <v/>
          </cell>
          <cell r="CU675" t="str">
            <v/>
          </cell>
          <cell r="CV675" t="str">
            <v/>
          </cell>
          <cell r="CW675" t="str">
            <v/>
          </cell>
        </row>
        <row r="676">
          <cell r="CN676" t="str">
            <v/>
          </cell>
          <cell r="CO676" t="str">
            <v/>
          </cell>
          <cell r="CP676" t="str">
            <v/>
          </cell>
          <cell r="CQ676" t="str">
            <v/>
          </cell>
          <cell r="CR676" t="str">
            <v/>
          </cell>
          <cell r="CS676" t="str">
            <v/>
          </cell>
          <cell r="CT676" t="str">
            <v/>
          </cell>
          <cell r="CU676" t="str">
            <v/>
          </cell>
          <cell r="CV676" t="str">
            <v/>
          </cell>
          <cell r="CW676" t="str">
            <v/>
          </cell>
        </row>
        <row r="677">
          <cell r="CN677" t="str">
            <v/>
          </cell>
          <cell r="CO677" t="str">
            <v/>
          </cell>
          <cell r="CP677" t="str">
            <v/>
          </cell>
          <cell r="CQ677" t="str">
            <v/>
          </cell>
          <cell r="CR677" t="str">
            <v/>
          </cell>
          <cell r="CS677" t="str">
            <v/>
          </cell>
          <cell r="CT677" t="str">
            <v/>
          </cell>
          <cell r="CU677" t="str">
            <v/>
          </cell>
          <cell r="CV677" t="str">
            <v/>
          </cell>
          <cell r="CW677" t="str">
            <v/>
          </cell>
        </row>
        <row r="678">
          <cell r="CN678" t="str">
            <v/>
          </cell>
          <cell r="CO678" t="str">
            <v/>
          </cell>
          <cell r="CP678" t="str">
            <v/>
          </cell>
          <cell r="CQ678" t="str">
            <v/>
          </cell>
          <cell r="CR678" t="str">
            <v/>
          </cell>
          <cell r="CS678" t="str">
            <v/>
          </cell>
          <cell r="CT678" t="str">
            <v/>
          </cell>
          <cell r="CU678" t="str">
            <v/>
          </cell>
          <cell r="CV678" t="str">
            <v/>
          </cell>
          <cell r="CW678" t="str">
            <v/>
          </cell>
        </row>
        <row r="679">
          <cell r="CN679" t="str">
            <v/>
          </cell>
          <cell r="CO679" t="str">
            <v/>
          </cell>
          <cell r="CP679" t="str">
            <v/>
          </cell>
          <cell r="CQ679" t="str">
            <v/>
          </cell>
          <cell r="CR679" t="str">
            <v/>
          </cell>
          <cell r="CS679" t="str">
            <v/>
          </cell>
          <cell r="CT679" t="str">
            <v/>
          </cell>
          <cell r="CU679" t="str">
            <v/>
          </cell>
          <cell r="CV679" t="str">
            <v/>
          </cell>
          <cell r="CW679" t="str">
            <v/>
          </cell>
        </row>
        <row r="680">
          <cell r="CN680" t="str">
            <v/>
          </cell>
          <cell r="CO680" t="str">
            <v/>
          </cell>
          <cell r="CP680" t="str">
            <v/>
          </cell>
          <cell r="CQ680" t="str">
            <v/>
          </cell>
          <cell r="CR680" t="str">
            <v/>
          </cell>
          <cell r="CS680" t="str">
            <v/>
          </cell>
          <cell r="CT680" t="str">
            <v/>
          </cell>
          <cell r="CU680" t="str">
            <v/>
          </cell>
          <cell r="CV680" t="str">
            <v/>
          </cell>
          <cell r="CW680" t="str">
            <v/>
          </cell>
        </row>
        <row r="681">
          <cell r="CN681" t="str">
            <v/>
          </cell>
          <cell r="CO681" t="str">
            <v/>
          </cell>
          <cell r="CP681" t="str">
            <v/>
          </cell>
          <cell r="CQ681" t="str">
            <v/>
          </cell>
          <cell r="CR681" t="str">
            <v/>
          </cell>
          <cell r="CS681" t="str">
            <v/>
          </cell>
          <cell r="CT681" t="str">
            <v/>
          </cell>
          <cell r="CU681" t="str">
            <v/>
          </cell>
          <cell r="CV681" t="str">
            <v/>
          </cell>
          <cell r="CW681" t="str">
            <v/>
          </cell>
        </row>
        <row r="682">
          <cell r="CN682" t="str">
            <v/>
          </cell>
          <cell r="CO682" t="str">
            <v/>
          </cell>
          <cell r="CP682" t="str">
            <v/>
          </cell>
          <cell r="CQ682" t="str">
            <v/>
          </cell>
          <cell r="CR682" t="str">
            <v/>
          </cell>
          <cell r="CS682" t="str">
            <v/>
          </cell>
          <cell r="CT682" t="str">
            <v/>
          </cell>
          <cell r="CU682" t="str">
            <v/>
          </cell>
          <cell r="CV682" t="str">
            <v/>
          </cell>
          <cell r="CW682" t="str">
            <v/>
          </cell>
        </row>
        <row r="683">
          <cell r="CN683" t="str">
            <v/>
          </cell>
          <cell r="CO683" t="str">
            <v/>
          </cell>
          <cell r="CP683" t="str">
            <v/>
          </cell>
          <cell r="CQ683" t="str">
            <v/>
          </cell>
          <cell r="CR683" t="str">
            <v/>
          </cell>
          <cell r="CS683" t="str">
            <v/>
          </cell>
          <cell r="CT683" t="str">
            <v/>
          </cell>
          <cell r="CU683" t="str">
            <v/>
          </cell>
          <cell r="CV683" t="str">
            <v/>
          </cell>
          <cell r="CW683" t="str">
            <v/>
          </cell>
        </row>
        <row r="684">
          <cell r="CN684" t="str">
            <v/>
          </cell>
          <cell r="CO684" t="str">
            <v/>
          </cell>
          <cell r="CP684" t="str">
            <v/>
          </cell>
          <cell r="CQ684" t="str">
            <v/>
          </cell>
          <cell r="CR684" t="str">
            <v/>
          </cell>
          <cell r="CS684" t="str">
            <v/>
          </cell>
          <cell r="CT684" t="str">
            <v/>
          </cell>
          <cell r="CU684" t="str">
            <v/>
          </cell>
          <cell r="CV684" t="str">
            <v/>
          </cell>
          <cell r="CW684" t="str">
            <v/>
          </cell>
        </row>
        <row r="685">
          <cell r="CN685" t="str">
            <v/>
          </cell>
          <cell r="CO685" t="str">
            <v/>
          </cell>
          <cell r="CP685" t="str">
            <v/>
          </cell>
          <cell r="CQ685" t="str">
            <v/>
          </cell>
          <cell r="CR685" t="str">
            <v/>
          </cell>
          <cell r="CS685" t="str">
            <v/>
          </cell>
          <cell r="CT685" t="str">
            <v/>
          </cell>
          <cell r="CU685" t="str">
            <v/>
          </cell>
          <cell r="CV685" t="str">
            <v/>
          </cell>
          <cell r="CW685" t="str">
            <v/>
          </cell>
        </row>
        <row r="686">
          <cell r="CN686" t="str">
            <v/>
          </cell>
          <cell r="CO686" t="str">
            <v/>
          </cell>
          <cell r="CP686" t="str">
            <v/>
          </cell>
          <cell r="CQ686" t="str">
            <v/>
          </cell>
          <cell r="CR686" t="str">
            <v/>
          </cell>
          <cell r="CS686" t="str">
            <v/>
          </cell>
          <cell r="CT686" t="str">
            <v/>
          </cell>
          <cell r="CU686" t="str">
            <v/>
          </cell>
          <cell r="CV686" t="str">
            <v/>
          </cell>
          <cell r="CW686" t="str">
            <v/>
          </cell>
        </row>
        <row r="687">
          <cell r="CN687" t="str">
            <v/>
          </cell>
          <cell r="CO687" t="str">
            <v/>
          </cell>
          <cell r="CP687" t="str">
            <v/>
          </cell>
          <cell r="CQ687" t="str">
            <v/>
          </cell>
          <cell r="CR687" t="str">
            <v/>
          </cell>
          <cell r="CS687" t="str">
            <v/>
          </cell>
          <cell r="CT687" t="str">
            <v/>
          </cell>
          <cell r="CU687" t="str">
            <v/>
          </cell>
          <cell r="CV687" t="str">
            <v/>
          </cell>
          <cell r="CW687" t="str">
            <v/>
          </cell>
        </row>
        <row r="688">
          <cell r="CN688" t="str">
            <v/>
          </cell>
          <cell r="CO688" t="str">
            <v/>
          </cell>
          <cell r="CP688" t="str">
            <v/>
          </cell>
          <cell r="CQ688" t="str">
            <v/>
          </cell>
          <cell r="CR688" t="str">
            <v/>
          </cell>
          <cell r="CS688" t="str">
            <v/>
          </cell>
          <cell r="CT688" t="str">
            <v/>
          </cell>
          <cell r="CU688" t="str">
            <v/>
          </cell>
          <cell r="CV688" t="str">
            <v/>
          </cell>
          <cell r="CW688" t="str">
            <v/>
          </cell>
        </row>
        <row r="689">
          <cell r="CN689" t="str">
            <v/>
          </cell>
          <cell r="CO689" t="str">
            <v/>
          </cell>
          <cell r="CP689" t="str">
            <v/>
          </cell>
          <cell r="CQ689" t="str">
            <v/>
          </cell>
          <cell r="CR689" t="str">
            <v/>
          </cell>
          <cell r="CS689" t="str">
            <v/>
          </cell>
          <cell r="CT689" t="str">
            <v/>
          </cell>
          <cell r="CU689" t="str">
            <v/>
          </cell>
          <cell r="CV689" t="str">
            <v/>
          </cell>
          <cell r="CW689" t="str">
            <v/>
          </cell>
        </row>
        <row r="690">
          <cell r="CN690" t="str">
            <v/>
          </cell>
          <cell r="CO690" t="str">
            <v/>
          </cell>
          <cell r="CP690" t="str">
            <v/>
          </cell>
          <cell r="CQ690" t="str">
            <v/>
          </cell>
          <cell r="CR690" t="str">
            <v/>
          </cell>
          <cell r="CS690" t="str">
            <v/>
          </cell>
          <cell r="CT690" t="str">
            <v/>
          </cell>
          <cell r="CU690" t="str">
            <v/>
          </cell>
          <cell r="CV690" t="str">
            <v/>
          </cell>
          <cell r="CW690" t="str">
            <v/>
          </cell>
        </row>
        <row r="691">
          <cell r="CN691" t="str">
            <v/>
          </cell>
          <cell r="CO691" t="str">
            <v/>
          </cell>
          <cell r="CP691" t="str">
            <v/>
          </cell>
          <cell r="CQ691" t="str">
            <v/>
          </cell>
          <cell r="CR691" t="str">
            <v/>
          </cell>
          <cell r="CS691" t="str">
            <v/>
          </cell>
          <cell r="CT691" t="str">
            <v/>
          </cell>
          <cell r="CU691" t="str">
            <v/>
          </cell>
          <cell r="CV691" t="str">
            <v/>
          </cell>
          <cell r="CW691" t="str">
            <v/>
          </cell>
        </row>
        <row r="692">
          <cell r="CN692" t="str">
            <v/>
          </cell>
          <cell r="CO692" t="str">
            <v/>
          </cell>
          <cell r="CP692" t="str">
            <v/>
          </cell>
          <cell r="CQ692" t="str">
            <v/>
          </cell>
          <cell r="CR692" t="str">
            <v/>
          </cell>
          <cell r="CS692" t="str">
            <v/>
          </cell>
          <cell r="CT692" t="str">
            <v/>
          </cell>
          <cell r="CU692" t="str">
            <v/>
          </cell>
          <cell r="CV692" t="str">
            <v/>
          </cell>
          <cell r="CW692" t="str">
            <v/>
          </cell>
        </row>
        <row r="693">
          <cell r="CN693" t="str">
            <v/>
          </cell>
          <cell r="CO693" t="str">
            <v/>
          </cell>
          <cell r="CP693" t="str">
            <v/>
          </cell>
          <cell r="CQ693" t="str">
            <v/>
          </cell>
          <cell r="CR693" t="str">
            <v/>
          </cell>
          <cell r="CS693" t="str">
            <v/>
          </cell>
          <cell r="CT693" t="str">
            <v/>
          </cell>
          <cell r="CU693" t="str">
            <v/>
          </cell>
          <cell r="CV693" t="str">
            <v/>
          </cell>
          <cell r="CW693" t="str">
            <v/>
          </cell>
        </row>
        <row r="694">
          <cell r="CN694" t="str">
            <v/>
          </cell>
          <cell r="CO694" t="str">
            <v/>
          </cell>
          <cell r="CP694" t="str">
            <v/>
          </cell>
          <cell r="CQ694" t="str">
            <v/>
          </cell>
          <cell r="CR694" t="str">
            <v/>
          </cell>
          <cell r="CS694" t="str">
            <v/>
          </cell>
          <cell r="CT694" t="str">
            <v/>
          </cell>
          <cell r="CU694" t="str">
            <v/>
          </cell>
          <cell r="CV694" t="str">
            <v/>
          </cell>
          <cell r="CW694" t="str">
            <v/>
          </cell>
        </row>
        <row r="695">
          <cell r="CN695" t="str">
            <v/>
          </cell>
          <cell r="CO695" t="str">
            <v/>
          </cell>
          <cell r="CP695" t="str">
            <v/>
          </cell>
          <cell r="CQ695" t="str">
            <v/>
          </cell>
          <cell r="CR695" t="str">
            <v/>
          </cell>
          <cell r="CS695" t="str">
            <v/>
          </cell>
          <cell r="CT695" t="str">
            <v/>
          </cell>
          <cell r="CU695" t="str">
            <v/>
          </cell>
          <cell r="CV695" t="str">
            <v/>
          </cell>
          <cell r="CW695" t="str">
            <v/>
          </cell>
        </row>
        <row r="696">
          <cell r="CN696" t="str">
            <v/>
          </cell>
          <cell r="CO696" t="str">
            <v/>
          </cell>
          <cell r="CP696" t="str">
            <v/>
          </cell>
          <cell r="CQ696" t="str">
            <v/>
          </cell>
          <cell r="CR696" t="str">
            <v/>
          </cell>
          <cell r="CS696" t="str">
            <v/>
          </cell>
          <cell r="CT696" t="str">
            <v/>
          </cell>
          <cell r="CU696" t="str">
            <v/>
          </cell>
          <cell r="CV696" t="str">
            <v/>
          </cell>
          <cell r="CW696" t="str">
            <v/>
          </cell>
        </row>
        <row r="697">
          <cell r="CN697" t="str">
            <v/>
          </cell>
          <cell r="CO697" t="str">
            <v/>
          </cell>
          <cell r="CP697" t="str">
            <v/>
          </cell>
          <cell r="CQ697" t="str">
            <v/>
          </cell>
          <cell r="CR697" t="str">
            <v/>
          </cell>
          <cell r="CS697" t="str">
            <v/>
          </cell>
          <cell r="CT697" t="str">
            <v/>
          </cell>
          <cell r="CU697" t="str">
            <v/>
          </cell>
          <cell r="CV697" t="str">
            <v/>
          </cell>
          <cell r="CW697" t="str">
            <v/>
          </cell>
        </row>
        <row r="698">
          <cell r="CN698" t="str">
            <v/>
          </cell>
          <cell r="CO698" t="str">
            <v/>
          </cell>
          <cell r="CP698" t="str">
            <v/>
          </cell>
          <cell r="CQ698" t="str">
            <v/>
          </cell>
          <cell r="CR698" t="str">
            <v/>
          </cell>
          <cell r="CS698" t="str">
            <v/>
          </cell>
          <cell r="CT698" t="str">
            <v/>
          </cell>
          <cell r="CU698" t="str">
            <v/>
          </cell>
          <cell r="CV698" t="str">
            <v/>
          </cell>
          <cell r="CW698" t="str">
            <v/>
          </cell>
        </row>
        <row r="699">
          <cell r="CN699" t="str">
            <v/>
          </cell>
          <cell r="CO699" t="str">
            <v/>
          </cell>
          <cell r="CP699" t="str">
            <v/>
          </cell>
          <cell r="CQ699" t="str">
            <v/>
          </cell>
          <cell r="CR699" t="str">
            <v/>
          </cell>
          <cell r="CS699" t="str">
            <v/>
          </cell>
          <cell r="CT699" t="str">
            <v/>
          </cell>
          <cell r="CU699" t="str">
            <v/>
          </cell>
          <cell r="CV699" t="str">
            <v/>
          </cell>
          <cell r="CW699" t="str">
            <v/>
          </cell>
        </row>
        <row r="700">
          <cell r="CN700" t="str">
            <v/>
          </cell>
          <cell r="CO700" t="str">
            <v/>
          </cell>
          <cell r="CP700" t="str">
            <v/>
          </cell>
          <cell r="CQ700" t="str">
            <v/>
          </cell>
          <cell r="CR700" t="str">
            <v/>
          </cell>
          <cell r="CS700" t="str">
            <v/>
          </cell>
          <cell r="CT700" t="str">
            <v/>
          </cell>
          <cell r="CU700" t="str">
            <v/>
          </cell>
          <cell r="CV700" t="str">
            <v/>
          </cell>
          <cell r="CW700" t="str">
            <v/>
          </cell>
        </row>
        <row r="701">
          <cell r="CN701" t="str">
            <v/>
          </cell>
          <cell r="CO701" t="str">
            <v/>
          </cell>
          <cell r="CP701" t="str">
            <v/>
          </cell>
          <cell r="CQ701" t="str">
            <v/>
          </cell>
          <cell r="CR701" t="str">
            <v/>
          </cell>
          <cell r="CS701" t="str">
            <v/>
          </cell>
          <cell r="CT701" t="str">
            <v/>
          </cell>
          <cell r="CU701" t="str">
            <v/>
          </cell>
          <cell r="CV701" t="str">
            <v/>
          </cell>
          <cell r="CW701" t="str">
            <v/>
          </cell>
        </row>
        <row r="702">
          <cell r="CN702" t="str">
            <v/>
          </cell>
          <cell r="CO702" t="str">
            <v/>
          </cell>
          <cell r="CP702" t="str">
            <v/>
          </cell>
          <cell r="CQ702" t="str">
            <v/>
          </cell>
          <cell r="CR702" t="str">
            <v/>
          </cell>
          <cell r="CS702" t="str">
            <v/>
          </cell>
          <cell r="CT702" t="str">
            <v/>
          </cell>
          <cell r="CU702" t="str">
            <v/>
          </cell>
          <cell r="CV702" t="str">
            <v/>
          </cell>
          <cell r="CW702" t="str">
            <v/>
          </cell>
        </row>
        <row r="703">
          <cell r="CN703" t="str">
            <v/>
          </cell>
          <cell r="CO703" t="str">
            <v/>
          </cell>
          <cell r="CP703" t="str">
            <v/>
          </cell>
          <cell r="CQ703" t="str">
            <v/>
          </cell>
          <cell r="CR703" t="str">
            <v/>
          </cell>
          <cell r="CS703" t="str">
            <v/>
          </cell>
          <cell r="CT703" t="str">
            <v/>
          </cell>
          <cell r="CU703" t="str">
            <v/>
          </cell>
          <cell r="CV703" t="str">
            <v/>
          </cell>
          <cell r="CW703" t="str">
            <v/>
          </cell>
        </row>
        <row r="704">
          <cell r="CN704" t="str">
            <v/>
          </cell>
          <cell r="CO704" t="str">
            <v/>
          </cell>
          <cell r="CP704" t="str">
            <v/>
          </cell>
          <cell r="CQ704" t="str">
            <v/>
          </cell>
          <cell r="CR704" t="str">
            <v/>
          </cell>
          <cell r="CS704" t="str">
            <v/>
          </cell>
          <cell r="CT704" t="str">
            <v/>
          </cell>
          <cell r="CU704" t="str">
            <v/>
          </cell>
          <cell r="CV704" t="str">
            <v/>
          </cell>
          <cell r="CW704" t="str">
            <v/>
          </cell>
        </row>
        <row r="705">
          <cell r="CN705" t="str">
            <v/>
          </cell>
          <cell r="CO705" t="str">
            <v/>
          </cell>
          <cell r="CP705" t="str">
            <v/>
          </cell>
          <cell r="CQ705" t="str">
            <v/>
          </cell>
          <cell r="CR705" t="str">
            <v/>
          </cell>
          <cell r="CS705" t="str">
            <v/>
          </cell>
          <cell r="CT705" t="str">
            <v/>
          </cell>
          <cell r="CU705" t="str">
            <v/>
          </cell>
          <cell r="CV705" t="str">
            <v/>
          </cell>
          <cell r="CW705" t="str">
            <v/>
          </cell>
        </row>
        <row r="706">
          <cell r="CN706" t="str">
            <v/>
          </cell>
          <cell r="CO706" t="str">
            <v/>
          </cell>
          <cell r="CP706" t="str">
            <v/>
          </cell>
          <cell r="CQ706" t="str">
            <v/>
          </cell>
          <cell r="CR706" t="str">
            <v/>
          </cell>
          <cell r="CS706" t="str">
            <v/>
          </cell>
          <cell r="CT706" t="str">
            <v/>
          </cell>
          <cell r="CU706" t="str">
            <v/>
          </cell>
          <cell r="CV706" t="str">
            <v/>
          </cell>
          <cell r="CW706" t="str">
            <v/>
          </cell>
        </row>
        <row r="707">
          <cell r="CN707" t="str">
            <v/>
          </cell>
          <cell r="CO707" t="str">
            <v/>
          </cell>
          <cell r="CP707" t="str">
            <v/>
          </cell>
          <cell r="CQ707" t="str">
            <v/>
          </cell>
          <cell r="CR707" t="str">
            <v/>
          </cell>
          <cell r="CS707" t="str">
            <v/>
          </cell>
          <cell r="CT707" t="str">
            <v/>
          </cell>
          <cell r="CU707" t="str">
            <v/>
          </cell>
          <cell r="CV707" t="str">
            <v/>
          </cell>
          <cell r="CW707" t="str">
            <v/>
          </cell>
        </row>
        <row r="708">
          <cell r="CN708" t="str">
            <v/>
          </cell>
          <cell r="CO708" t="str">
            <v/>
          </cell>
          <cell r="CP708" t="str">
            <v/>
          </cell>
          <cell r="CQ708" t="str">
            <v/>
          </cell>
          <cell r="CR708" t="str">
            <v/>
          </cell>
          <cell r="CS708" t="str">
            <v/>
          </cell>
          <cell r="CT708" t="str">
            <v/>
          </cell>
          <cell r="CU708" t="str">
            <v/>
          </cell>
          <cell r="CV708" t="str">
            <v/>
          </cell>
          <cell r="CW708" t="str">
            <v/>
          </cell>
        </row>
        <row r="709">
          <cell r="CN709" t="str">
            <v/>
          </cell>
          <cell r="CO709" t="str">
            <v/>
          </cell>
          <cell r="CP709" t="str">
            <v/>
          </cell>
          <cell r="CQ709" t="str">
            <v/>
          </cell>
          <cell r="CR709" t="str">
            <v/>
          </cell>
          <cell r="CS709" t="str">
            <v/>
          </cell>
          <cell r="CT709" t="str">
            <v/>
          </cell>
          <cell r="CU709" t="str">
            <v/>
          </cell>
          <cell r="CV709" t="str">
            <v/>
          </cell>
          <cell r="CW709" t="str">
            <v/>
          </cell>
        </row>
        <row r="710">
          <cell r="CN710" t="str">
            <v/>
          </cell>
          <cell r="CO710" t="str">
            <v/>
          </cell>
          <cell r="CP710" t="str">
            <v/>
          </cell>
          <cell r="CQ710" t="str">
            <v/>
          </cell>
          <cell r="CR710" t="str">
            <v/>
          </cell>
          <cell r="CS710" t="str">
            <v/>
          </cell>
          <cell r="CT710" t="str">
            <v/>
          </cell>
          <cell r="CU710" t="str">
            <v/>
          </cell>
          <cell r="CV710" t="str">
            <v/>
          </cell>
          <cell r="CW710" t="str">
            <v/>
          </cell>
        </row>
        <row r="711">
          <cell r="CN711" t="str">
            <v/>
          </cell>
          <cell r="CO711" t="str">
            <v/>
          </cell>
          <cell r="CP711" t="str">
            <v/>
          </cell>
          <cell r="CQ711" t="str">
            <v/>
          </cell>
          <cell r="CR711" t="str">
            <v/>
          </cell>
          <cell r="CS711" t="str">
            <v/>
          </cell>
          <cell r="CT711" t="str">
            <v/>
          </cell>
          <cell r="CU711" t="str">
            <v/>
          </cell>
          <cell r="CV711" t="str">
            <v/>
          </cell>
          <cell r="CW711" t="str">
            <v/>
          </cell>
        </row>
        <row r="712">
          <cell r="CN712" t="str">
            <v/>
          </cell>
          <cell r="CO712" t="str">
            <v/>
          </cell>
          <cell r="CP712" t="str">
            <v/>
          </cell>
          <cell r="CQ712" t="str">
            <v/>
          </cell>
          <cell r="CR712" t="str">
            <v/>
          </cell>
          <cell r="CS712" t="str">
            <v/>
          </cell>
          <cell r="CT712" t="str">
            <v/>
          </cell>
          <cell r="CU712" t="str">
            <v/>
          </cell>
          <cell r="CV712" t="str">
            <v/>
          </cell>
          <cell r="CW712" t="str">
            <v/>
          </cell>
        </row>
        <row r="713">
          <cell r="CN713" t="str">
            <v/>
          </cell>
          <cell r="CO713" t="str">
            <v/>
          </cell>
          <cell r="CP713" t="str">
            <v/>
          </cell>
          <cell r="CQ713" t="str">
            <v/>
          </cell>
          <cell r="CR713" t="str">
            <v/>
          </cell>
          <cell r="CS713" t="str">
            <v/>
          </cell>
          <cell r="CT713" t="str">
            <v/>
          </cell>
          <cell r="CU713" t="str">
            <v/>
          </cell>
          <cell r="CV713" t="str">
            <v/>
          </cell>
          <cell r="CW713" t="str">
            <v/>
          </cell>
        </row>
        <row r="714">
          <cell r="CN714" t="str">
            <v/>
          </cell>
          <cell r="CO714" t="str">
            <v/>
          </cell>
          <cell r="CP714" t="str">
            <v/>
          </cell>
          <cell r="CQ714" t="str">
            <v/>
          </cell>
          <cell r="CR714" t="str">
            <v/>
          </cell>
          <cell r="CS714" t="str">
            <v/>
          </cell>
          <cell r="CT714" t="str">
            <v/>
          </cell>
          <cell r="CU714" t="str">
            <v/>
          </cell>
          <cell r="CV714" t="str">
            <v/>
          </cell>
          <cell r="CW714" t="str">
            <v/>
          </cell>
        </row>
        <row r="715">
          <cell r="CN715" t="str">
            <v/>
          </cell>
          <cell r="CO715" t="str">
            <v/>
          </cell>
          <cell r="CP715" t="str">
            <v/>
          </cell>
          <cell r="CQ715" t="str">
            <v/>
          </cell>
          <cell r="CR715" t="str">
            <v/>
          </cell>
          <cell r="CS715" t="str">
            <v/>
          </cell>
          <cell r="CT715" t="str">
            <v/>
          </cell>
          <cell r="CU715" t="str">
            <v/>
          </cell>
          <cell r="CV715" t="str">
            <v/>
          </cell>
          <cell r="CW715" t="str">
            <v/>
          </cell>
        </row>
        <row r="716">
          <cell r="CN716" t="str">
            <v/>
          </cell>
          <cell r="CO716" t="str">
            <v/>
          </cell>
          <cell r="CP716" t="str">
            <v/>
          </cell>
          <cell r="CQ716" t="str">
            <v/>
          </cell>
          <cell r="CR716" t="str">
            <v/>
          </cell>
          <cell r="CS716" t="str">
            <v/>
          </cell>
          <cell r="CT716" t="str">
            <v/>
          </cell>
          <cell r="CU716" t="str">
            <v/>
          </cell>
          <cell r="CV716" t="str">
            <v/>
          </cell>
          <cell r="CW716" t="str">
            <v/>
          </cell>
        </row>
        <row r="717">
          <cell r="CN717" t="str">
            <v/>
          </cell>
          <cell r="CO717" t="str">
            <v/>
          </cell>
          <cell r="CP717" t="str">
            <v/>
          </cell>
          <cell r="CQ717" t="str">
            <v/>
          </cell>
          <cell r="CR717" t="str">
            <v/>
          </cell>
          <cell r="CS717" t="str">
            <v/>
          </cell>
          <cell r="CT717" t="str">
            <v/>
          </cell>
          <cell r="CU717" t="str">
            <v/>
          </cell>
          <cell r="CV717" t="str">
            <v/>
          </cell>
          <cell r="CW717" t="str">
            <v/>
          </cell>
        </row>
        <row r="718">
          <cell r="CN718" t="str">
            <v/>
          </cell>
          <cell r="CO718" t="str">
            <v/>
          </cell>
          <cell r="CP718" t="str">
            <v/>
          </cell>
          <cell r="CQ718" t="str">
            <v/>
          </cell>
          <cell r="CR718" t="str">
            <v/>
          </cell>
          <cell r="CS718" t="str">
            <v/>
          </cell>
          <cell r="CT718" t="str">
            <v/>
          </cell>
          <cell r="CU718" t="str">
            <v/>
          </cell>
          <cell r="CV718" t="str">
            <v/>
          </cell>
          <cell r="CW718" t="str">
            <v/>
          </cell>
        </row>
        <row r="719">
          <cell r="CN719" t="str">
            <v/>
          </cell>
          <cell r="CO719" t="str">
            <v/>
          </cell>
          <cell r="CP719" t="str">
            <v/>
          </cell>
          <cell r="CQ719" t="str">
            <v/>
          </cell>
          <cell r="CR719" t="str">
            <v/>
          </cell>
          <cell r="CS719" t="str">
            <v/>
          </cell>
          <cell r="CT719" t="str">
            <v/>
          </cell>
          <cell r="CU719" t="str">
            <v/>
          </cell>
          <cell r="CV719" t="str">
            <v/>
          </cell>
          <cell r="CW719" t="str">
            <v/>
          </cell>
        </row>
        <row r="720">
          <cell r="CN720" t="str">
            <v/>
          </cell>
          <cell r="CO720" t="str">
            <v/>
          </cell>
          <cell r="CP720" t="str">
            <v/>
          </cell>
          <cell r="CQ720" t="str">
            <v/>
          </cell>
          <cell r="CR720" t="str">
            <v/>
          </cell>
          <cell r="CS720" t="str">
            <v/>
          </cell>
          <cell r="CT720" t="str">
            <v/>
          </cell>
          <cell r="CU720" t="str">
            <v/>
          </cell>
          <cell r="CV720" t="str">
            <v/>
          </cell>
          <cell r="CW720" t="str">
            <v/>
          </cell>
        </row>
        <row r="721">
          <cell r="CN721" t="str">
            <v/>
          </cell>
          <cell r="CO721" t="str">
            <v/>
          </cell>
          <cell r="CP721" t="str">
            <v/>
          </cell>
          <cell r="CQ721" t="str">
            <v/>
          </cell>
          <cell r="CR721" t="str">
            <v/>
          </cell>
          <cell r="CS721" t="str">
            <v/>
          </cell>
          <cell r="CT721" t="str">
            <v/>
          </cell>
          <cell r="CU721" t="str">
            <v/>
          </cell>
          <cell r="CV721" t="str">
            <v/>
          </cell>
          <cell r="CW721" t="str">
            <v/>
          </cell>
        </row>
        <row r="722">
          <cell r="CN722" t="str">
            <v/>
          </cell>
          <cell r="CO722" t="str">
            <v/>
          </cell>
          <cell r="CP722" t="str">
            <v/>
          </cell>
          <cell r="CQ722" t="str">
            <v/>
          </cell>
          <cell r="CR722" t="str">
            <v/>
          </cell>
          <cell r="CS722" t="str">
            <v/>
          </cell>
          <cell r="CT722" t="str">
            <v/>
          </cell>
          <cell r="CU722" t="str">
            <v/>
          </cell>
          <cell r="CV722" t="str">
            <v/>
          </cell>
          <cell r="CW722" t="str">
            <v/>
          </cell>
        </row>
        <row r="723">
          <cell r="CN723" t="str">
            <v/>
          </cell>
          <cell r="CO723" t="str">
            <v/>
          </cell>
          <cell r="CP723" t="str">
            <v/>
          </cell>
          <cell r="CQ723" t="str">
            <v/>
          </cell>
          <cell r="CR723" t="str">
            <v/>
          </cell>
          <cell r="CS723" t="str">
            <v/>
          </cell>
          <cell r="CT723" t="str">
            <v/>
          </cell>
          <cell r="CU723" t="str">
            <v/>
          </cell>
          <cell r="CV723" t="str">
            <v/>
          </cell>
          <cell r="CW723" t="str">
            <v/>
          </cell>
        </row>
        <row r="724">
          <cell r="CN724" t="str">
            <v/>
          </cell>
          <cell r="CO724" t="str">
            <v/>
          </cell>
          <cell r="CP724" t="str">
            <v/>
          </cell>
          <cell r="CQ724" t="str">
            <v/>
          </cell>
          <cell r="CR724" t="str">
            <v/>
          </cell>
          <cell r="CS724" t="str">
            <v/>
          </cell>
          <cell r="CT724" t="str">
            <v/>
          </cell>
          <cell r="CU724" t="str">
            <v/>
          </cell>
          <cell r="CV724" t="str">
            <v/>
          </cell>
          <cell r="CW724" t="str">
            <v/>
          </cell>
        </row>
        <row r="725">
          <cell r="CN725" t="str">
            <v/>
          </cell>
          <cell r="CO725" t="str">
            <v/>
          </cell>
          <cell r="CP725" t="str">
            <v/>
          </cell>
          <cell r="CQ725" t="str">
            <v/>
          </cell>
          <cell r="CR725" t="str">
            <v/>
          </cell>
          <cell r="CS725" t="str">
            <v/>
          </cell>
          <cell r="CT725" t="str">
            <v/>
          </cell>
          <cell r="CU725" t="str">
            <v/>
          </cell>
          <cell r="CV725" t="str">
            <v/>
          </cell>
          <cell r="CW725" t="str">
            <v/>
          </cell>
        </row>
        <row r="726">
          <cell r="CN726" t="str">
            <v/>
          </cell>
          <cell r="CO726" t="str">
            <v/>
          </cell>
          <cell r="CP726" t="str">
            <v/>
          </cell>
          <cell r="CQ726" t="str">
            <v/>
          </cell>
          <cell r="CR726" t="str">
            <v/>
          </cell>
          <cell r="CS726" t="str">
            <v/>
          </cell>
          <cell r="CT726" t="str">
            <v/>
          </cell>
          <cell r="CU726" t="str">
            <v/>
          </cell>
          <cell r="CV726" t="str">
            <v/>
          </cell>
          <cell r="CW726" t="str">
            <v/>
          </cell>
        </row>
        <row r="727">
          <cell r="CN727" t="str">
            <v/>
          </cell>
          <cell r="CO727" t="str">
            <v/>
          </cell>
          <cell r="CP727" t="str">
            <v/>
          </cell>
          <cell r="CQ727" t="str">
            <v/>
          </cell>
          <cell r="CR727" t="str">
            <v/>
          </cell>
          <cell r="CS727" t="str">
            <v/>
          </cell>
          <cell r="CT727" t="str">
            <v/>
          </cell>
          <cell r="CU727" t="str">
            <v/>
          </cell>
          <cell r="CV727" t="str">
            <v/>
          </cell>
          <cell r="CW727" t="str">
            <v/>
          </cell>
        </row>
        <row r="728">
          <cell r="CN728" t="str">
            <v/>
          </cell>
          <cell r="CO728" t="str">
            <v/>
          </cell>
          <cell r="CP728" t="str">
            <v/>
          </cell>
          <cell r="CQ728" t="str">
            <v/>
          </cell>
          <cell r="CR728" t="str">
            <v/>
          </cell>
          <cell r="CS728" t="str">
            <v/>
          </cell>
          <cell r="CT728" t="str">
            <v/>
          </cell>
          <cell r="CU728" t="str">
            <v/>
          </cell>
          <cell r="CV728" t="str">
            <v/>
          </cell>
          <cell r="CW728" t="str">
            <v/>
          </cell>
        </row>
        <row r="729">
          <cell r="CN729" t="str">
            <v/>
          </cell>
          <cell r="CO729" t="str">
            <v/>
          </cell>
          <cell r="CP729" t="str">
            <v/>
          </cell>
          <cell r="CQ729" t="str">
            <v/>
          </cell>
          <cell r="CR729" t="str">
            <v/>
          </cell>
          <cell r="CS729" t="str">
            <v/>
          </cell>
          <cell r="CT729" t="str">
            <v/>
          </cell>
          <cell r="CU729" t="str">
            <v/>
          </cell>
          <cell r="CV729" t="str">
            <v/>
          </cell>
          <cell r="CW729" t="str">
            <v/>
          </cell>
        </row>
        <row r="730">
          <cell r="CN730" t="str">
            <v/>
          </cell>
          <cell r="CO730" t="str">
            <v/>
          </cell>
          <cell r="CP730" t="str">
            <v/>
          </cell>
          <cell r="CQ730" t="str">
            <v/>
          </cell>
          <cell r="CR730" t="str">
            <v/>
          </cell>
          <cell r="CS730" t="str">
            <v/>
          </cell>
          <cell r="CT730" t="str">
            <v/>
          </cell>
          <cell r="CU730" t="str">
            <v/>
          </cell>
          <cell r="CV730" t="str">
            <v/>
          </cell>
          <cell r="CW730" t="str">
            <v/>
          </cell>
        </row>
        <row r="731">
          <cell r="CN731" t="str">
            <v/>
          </cell>
          <cell r="CO731" t="str">
            <v/>
          </cell>
          <cell r="CP731" t="str">
            <v/>
          </cell>
          <cell r="CQ731" t="str">
            <v/>
          </cell>
          <cell r="CR731" t="str">
            <v/>
          </cell>
          <cell r="CS731" t="str">
            <v/>
          </cell>
          <cell r="CT731" t="str">
            <v/>
          </cell>
          <cell r="CU731" t="str">
            <v/>
          </cell>
          <cell r="CV731" t="str">
            <v/>
          </cell>
          <cell r="CW731" t="str">
            <v/>
          </cell>
        </row>
        <row r="732">
          <cell r="CN732" t="str">
            <v/>
          </cell>
          <cell r="CO732" t="str">
            <v/>
          </cell>
          <cell r="CP732" t="str">
            <v/>
          </cell>
          <cell r="CQ732" t="str">
            <v/>
          </cell>
          <cell r="CR732" t="str">
            <v/>
          </cell>
          <cell r="CS732" t="str">
            <v/>
          </cell>
          <cell r="CT732" t="str">
            <v/>
          </cell>
          <cell r="CU732" t="str">
            <v/>
          </cell>
          <cell r="CV732" t="str">
            <v/>
          </cell>
          <cell r="CW732" t="str">
            <v/>
          </cell>
        </row>
        <row r="733">
          <cell r="CN733" t="str">
            <v/>
          </cell>
          <cell r="CO733" t="str">
            <v/>
          </cell>
          <cell r="CP733" t="str">
            <v/>
          </cell>
          <cell r="CQ733" t="str">
            <v/>
          </cell>
          <cell r="CR733" t="str">
            <v/>
          </cell>
          <cell r="CS733" t="str">
            <v/>
          </cell>
          <cell r="CT733" t="str">
            <v/>
          </cell>
          <cell r="CU733" t="str">
            <v/>
          </cell>
          <cell r="CV733" t="str">
            <v/>
          </cell>
          <cell r="CW733" t="str">
            <v/>
          </cell>
        </row>
        <row r="734">
          <cell r="CN734" t="str">
            <v/>
          </cell>
          <cell r="CO734" t="str">
            <v/>
          </cell>
          <cell r="CP734" t="str">
            <v/>
          </cell>
          <cell r="CQ734" t="str">
            <v/>
          </cell>
          <cell r="CR734" t="str">
            <v/>
          </cell>
          <cell r="CS734" t="str">
            <v/>
          </cell>
          <cell r="CT734" t="str">
            <v/>
          </cell>
          <cell r="CU734" t="str">
            <v/>
          </cell>
          <cell r="CV734" t="str">
            <v/>
          </cell>
          <cell r="CW734" t="str">
            <v/>
          </cell>
        </row>
        <row r="735">
          <cell r="CN735" t="str">
            <v/>
          </cell>
          <cell r="CO735" t="str">
            <v/>
          </cell>
          <cell r="CP735" t="str">
            <v/>
          </cell>
          <cell r="CQ735" t="str">
            <v/>
          </cell>
          <cell r="CR735" t="str">
            <v/>
          </cell>
          <cell r="CS735" t="str">
            <v/>
          </cell>
          <cell r="CT735" t="str">
            <v/>
          </cell>
          <cell r="CU735" t="str">
            <v/>
          </cell>
          <cell r="CV735" t="str">
            <v/>
          </cell>
          <cell r="CW735" t="str">
            <v/>
          </cell>
        </row>
        <row r="736">
          <cell r="CN736" t="str">
            <v/>
          </cell>
          <cell r="CO736" t="str">
            <v/>
          </cell>
          <cell r="CP736" t="str">
            <v/>
          </cell>
          <cell r="CQ736" t="str">
            <v/>
          </cell>
          <cell r="CR736" t="str">
            <v/>
          </cell>
          <cell r="CS736" t="str">
            <v/>
          </cell>
          <cell r="CT736" t="str">
            <v/>
          </cell>
          <cell r="CU736" t="str">
            <v/>
          </cell>
          <cell r="CV736" t="str">
            <v/>
          </cell>
          <cell r="CW736" t="str">
            <v/>
          </cell>
        </row>
        <row r="737">
          <cell r="CN737" t="str">
            <v/>
          </cell>
          <cell r="CO737" t="str">
            <v/>
          </cell>
          <cell r="CP737" t="str">
            <v/>
          </cell>
          <cell r="CQ737" t="str">
            <v/>
          </cell>
          <cell r="CR737" t="str">
            <v/>
          </cell>
          <cell r="CS737" t="str">
            <v/>
          </cell>
          <cell r="CT737" t="str">
            <v/>
          </cell>
          <cell r="CU737" t="str">
            <v/>
          </cell>
          <cell r="CV737" t="str">
            <v/>
          </cell>
          <cell r="CW737" t="str">
            <v/>
          </cell>
        </row>
        <row r="738">
          <cell r="CN738" t="str">
            <v/>
          </cell>
          <cell r="CO738" t="str">
            <v/>
          </cell>
          <cell r="CP738" t="str">
            <v/>
          </cell>
          <cell r="CQ738" t="str">
            <v/>
          </cell>
          <cell r="CR738" t="str">
            <v/>
          </cell>
          <cell r="CS738" t="str">
            <v/>
          </cell>
          <cell r="CT738" t="str">
            <v/>
          </cell>
          <cell r="CU738" t="str">
            <v/>
          </cell>
          <cell r="CV738" t="str">
            <v/>
          </cell>
          <cell r="CW738" t="str">
            <v/>
          </cell>
        </row>
        <row r="739">
          <cell r="CN739" t="str">
            <v/>
          </cell>
          <cell r="CO739" t="str">
            <v/>
          </cell>
          <cell r="CP739" t="str">
            <v/>
          </cell>
          <cell r="CQ739" t="str">
            <v/>
          </cell>
          <cell r="CR739" t="str">
            <v/>
          </cell>
          <cell r="CS739" t="str">
            <v/>
          </cell>
          <cell r="CT739" t="str">
            <v/>
          </cell>
          <cell r="CU739" t="str">
            <v/>
          </cell>
          <cell r="CV739" t="str">
            <v/>
          </cell>
          <cell r="CW739" t="str">
            <v/>
          </cell>
        </row>
        <row r="740">
          <cell r="CN740" t="str">
            <v/>
          </cell>
          <cell r="CO740" t="str">
            <v/>
          </cell>
          <cell r="CP740" t="str">
            <v/>
          </cell>
          <cell r="CQ740" t="str">
            <v/>
          </cell>
          <cell r="CR740" t="str">
            <v/>
          </cell>
          <cell r="CS740" t="str">
            <v/>
          </cell>
          <cell r="CT740" t="str">
            <v/>
          </cell>
          <cell r="CU740" t="str">
            <v/>
          </cell>
          <cell r="CV740" t="str">
            <v/>
          </cell>
          <cell r="CW740" t="str">
            <v/>
          </cell>
        </row>
        <row r="741">
          <cell r="CN741" t="str">
            <v/>
          </cell>
          <cell r="CO741" t="str">
            <v/>
          </cell>
          <cell r="CP741" t="str">
            <v/>
          </cell>
          <cell r="CQ741" t="str">
            <v/>
          </cell>
          <cell r="CR741" t="str">
            <v/>
          </cell>
          <cell r="CS741" t="str">
            <v/>
          </cell>
          <cell r="CT741" t="str">
            <v/>
          </cell>
          <cell r="CU741" t="str">
            <v/>
          </cell>
          <cell r="CV741" t="str">
            <v/>
          </cell>
          <cell r="CW741" t="str">
            <v/>
          </cell>
        </row>
        <row r="742">
          <cell r="CN742" t="str">
            <v/>
          </cell>
          <cell r="CO742" t="str">
            <v/>
          </cell>
          <cell r="CP742" t="str">
            <v/>
          </cell>
          <cell r="CQ742" t="str">
            <v/>
          </cell>
          <cell r="CR742" t="str">
            <v/>
          </cell>
          <cell r="CS742" t="str">
            <v/>
          </cell>
          <cell r="CT742" t="str">
            <v/>
          </cell>
          <cell r="CU742" t="str">
            <v/>
          </cell>
          <cell r="CV742" t="str">
            <v/>
          </cell>
          <cell r="CW742" t="str">
            <v/>
          </cell>
        </row>
        <row r="743">
          <cell r="CN743" t="str">
            <v/>
          </cell>
          <cell r="CO743" t="str">
            <v/>
          </cell>
          <cell r="CP743" t="str">
            <v/>
          </cell>
          <cell r="CQ743" t="str">
            <v/>
          </cell>
          <cell r="CR743" t="str">
            <v/>
          </cell>
          <cell r="CS743" t="str">
            <v/>
          </cell>
          <cell r="CT743" t="str">
            <v/>
          </cell>
          <cell r="CU743" t="str">
            <v/>
          </cell>
          <cell r="CV743" t="str">
            <v/>
          </cell>
          <cell r="CW743" t="str">
            <v/>
          </cell>
        </row>
        <row r="744">
          <cell r="CN744" t="str">
            <v/>
          </cell>
          <cell r="CO744" t="str">
            <v/>
          </cell>
          <cell r="CP744" t="str">
            <v/>
          </cell>
          <cell r="CQ744" t="str">
            <v/>
          </cell>
          <cell r="CR744" t="str">
            <v/>
          </cell>
          <cell r="CS744" t="str">
            <v/>
          </cell>
          <cell r="CT744" t="str">
            <v/>
          </cell>
          <cell r="CU744" t="str">
            <v/>
          </cell>
          <cell r="CV744" t="str">
            <v/>
          </cell>
          <cell r="CW744" t="str">
            <v/>
          </cell>
        </row>
        <row r="745">
          <cell r="CN745" t="str">
            <v/>
          </cell>
          <cell r="CO745" t="str">
            <v/>
          </cell>
          <cell r="CP745" t="str">
            <v/>
          </cell>
          <cell r="CQ745" t="str">
            <v/>
          </cell>
          <cell r="CR745" t="str">
            <v/>
          </cell>
          <cell r="CS745" t="str">
            <v/>
          </cell>
          <cell r="CT745" t="str">
            <v/>
          </cell>
          <cell r="CU745" t="str">
            <v/>
          </cell>
          <cell r="CV745" t="str">
            <v/>
          </cell>
          <cell r="CW745" t="str">
            <v/>
          </cell>
        </row>
        <row r="746">
          <cell r="CN746" t="str">
            <v/>
          </cell>
          <cell r="CO746" t="str">
            <v/>
          </cell>
          <cell r="CP746" t="str">
            <v/>
          </cell>
          <cell r="CQ746" t="str">
            <v/>
          </cell>
          <cell r="CR746" t="str">
            <v/>
          </cell>
          <cell r="CS746" t="str">
            <v/>
          </cell>
          <cell r="CT746" t="str">
            <v/>
          </cell>
          <cell r="CU746" t="str">
            <v/>
          </cell>
          <cell r="CV746" t="str">
            <v/>
          </cell>
          <cell r="CW746" t="str">
            <v/>
          </cell>
        </row>
        <row r="747">
          <cell r="CN747" t="str">
            <v/>
          </cell>
          <cell r="CO747" t="str">
            <v/>
          </cell>
          <cell r="CP747" t="str">
            <v/>
          </cell>
          <cell r="CQ747" t="str">
            <v/>
          </cell>
          <cell r="CR747" t="str">
            <v/>
          </cell>
          <cell r="CS747" t="str">
            <v/>
          </cell>
          <cell r="CT747" t="str">
            <v/>
          </cell>
          <cell r="CU747" t="str">
            <v/>
          </cell>
          <cell r="CV747" t="str">
            <v/>
          </cell>
          <cell r="CW747" t="str">
            <v/>
          </cell>
        </row>
        <row r="748">
          <cell r="CN748" t="str">
            <v/>
          </cell>
          <cell r="CO748" t="str">
            <v/>
          </cell>
          <cell r="CP748" t="str">
            <v/>
          </cell>
          <cell r="CQ748" t="str">
            <v/>
          </cell>
          <cell r="CR748" t="str">
            <v/>
          </cell>
          <cell r="CS748" t="str">
            <v/>
          </cell>
          <cell r="CT748" t="str">
            <v/>
          </cell>
          <cell r="CU748" t="str">
            <v/>
          </cell>
          <cell r="CV748" t="str">
            <v/>
          </cell>
          <cell r="CW748" t="str">
            <v/>
          </cell>
        </row>
        <row r="749">
          <cell r="CN749" t="str">
            <v/>
          </cell>
          <cell r="CO749" t="str">
            <v/>
          </cell>
          <cell r="CP749" t="str">
            <v/>
          </cell>
          <cell r="CQ749" t="str">
            <v/>
          </cell>
          <cell r="CR749" t="str">
            <v/>
          </cell>
          <cell r="CS749" t="str">
            <v/>
          </cell>
          <cell r="CT749" t="str">
            <v/>
          </cell>
          <cell r="CU749" t="str">
            <v/>
          </cell>
          <cell r="CV749" t="str">
            <v/>
          </cell>
          <cell r="CW749" t="str">
            <v/>
          </cell>
        </row>
        <row r="750">
          <cell r="CN750" t="str">
            <v/>
          </cell>
          <cell r="CO750" t="str">
            <v/>
          </cell>
          <cell r="CP750" t="str">
            <v/>
          </cell>
          <cell r="CQ750" t="str">
            <v/>
          </cell>
          <cell r="CR750" t="str">
            <v/>
          </cell>
          <cell r="CS750" t="str">
            <v/>
          </cell>
          <cell r="CT750" t="str">
            <v/>
          </cell>
          <cell r="CU750" t="str">
            <v/>
          </cell>
          <cell r="CV750" t="str">
            <v/>
          </cell>
          <cell r="CW750" t="str">
            <v/>
          </cell>
        </row>
        <row r="751">
          <cell r="CN751" t="str">
            <v/>
          </cell>
          <cell r="CO751" t="str">
            <v/>
          </cell>
          <cell r="CP751" t="str">
            <v/>
          </cell>
          <cell r="CQ751" t="str">
            <v/>
          </cell>
          <cell r="CR751" t="str">
            <v/>
          </cell>
          <cell r="CS751" t="str">
            <v/>
          </cell>
          <cell r="CT751" t="str">
            <v/>
          </cell>
          <cell r="CU751" t="str">
            <v/>
          </cell>
          <cell r="CV751" t="str">
            <v/>
          </cell>
          <cell r="CW751" t="str">
            <v/>
          </cell>
        </row>
        <row r="752">
          <cell r="CN752" t="str">
            <v/>
          </cell>
          <cell r="CO752" t="str">
            <v/>
          </cell>
          <cell r="CP752" t="str">
            <v/>
          </cell>
          <cell r="CQ752" t="str">
            <v/>
          </cell>
          <cell r="CR752" t="str">
            <v/>
          </cell>
          <cell r="CS752" t="str">
            <v/>
          </cell>
          <cell r="CT752" t="str">
            <v/>
          </cell>
          <cell r="CU752" t="str">
            <v/>
          </cell>
          <cell r="CV752" t="str">
            <v/>
          </cell>
          <cell r="CW752" t="str">
            <v/>
          </cell>
        </row>
        <row r="753">
          <cell r="CN753" t="str">
            <v/>
          </cell>
          <cell r="CO753" t="str">
            <v/>
          </cell>
          <cell r="CP753" t="str">
            <v/>
          </cell>
          <cell r="CQ753" t="str">
            <v/>
          </cell>
          <cell r="CR753" t="str">
            <v/>
          </cell>
          <cell r="CS753" t="str">
            <v/>
          </cell>
          <cell r="CT753" t="str">
            <v/>
          </cell>
          <cell r="CU753" t="str">
            <v/>
          </cell>
          <cell r="CV753" t="str">
            <v/>
          </cell>
          <cell r="CW753" t="str">
            <v/>
          </cell>
        </row>
        <row r="754">
          <cell r="CN754" t="str">
            <v/>
          </cell>
          <cell r="CO754" t="str">
            <v/>
          </cell>
          <cell r="CP754" t="str">
            <v/>
          </cell>
          <cell r="CQ754" t="str">
            <v/>
          </cell>
          <cell r="CR754" t="str">
            <v/>
          </cell>
          <cell r="CS754" t="str">
            <v/>
          </cell>
          <cell r="CT754" t="str">
            <v/>
          </cell>
          <cell r="CU754" t="str">
            <v/>
          </cell>
          <cell r="CV754" t="str">
            <v/>
          </cell>
          <cell r="CW754" t="str">
            <v/>
          </cell>
        </row>
        <row r="755">
          <cell r="CN755" t="str">
            <v/>
          </cell>
          <cell r="CO755" t="str">
            <v/>
          </cell>
          <cell r="CP755" t="str">
            <v/>
          </cell>
          <cell r="CQ755" t="str">
            <v/>
          </cell>
          <cell r="CR755" t="str">
            <v/>
          </cell>
          <cell r="CS755" t="str">
            <v/>
          </cell>
          <cell r="CT755" t="str">
            <v/>
          </cell>
          <cell r="CU755" t="str">
            <v/>
          </cell>
          <cell r="CV755" t="str">
            <v/>
          </cell>
          <cell r="CW755" t="str">
            <v/>
          </cell>
        </row>
        <row r="756">
          <cell r="CN756" t="str">
            <v/>
          </cell>
          <cell r="CO756" t="str">
            <v/>
          </cell>
          <cell r="CP756" t="str">
            <v/>
          </cell>
          <cell r="CQ756" t="str">
            <v/>
          </cell>
          <cell r="CR756" t="str">
            <v/>
          </cell>
          <cell r="CS756" t="str">
            <v/>
          </cell>
          <cell r="CT756" t="str">
            <v/>
          </cell>
          <cell r="CU756" t="str">
            <v/>
          </cell>
          <cell r="CV756" t="str">
            <v/>
          </cell>
          <cell r="CW756" t="str">
            <v/>
          </cell>
        </row>
        <row r="757">
          <cell r="CN757" t="str">
            <v/>
          </cell>
          <cell r="CO757" t="str">
            <v/>
          </cell>
          <cell r="CP757" t="str">
            <v/>
          </cell>
          <cell r="CQ757" t="str">
            <v/>
          </cell>
          <cell r="CR757" t="str">
            <v/>
          </cell>
          <cell r="CS757" t="str">
            <v/>
          </cell>
          <cell r="CT757" t="str">
            <v/>
          </cell>
          <cell r="CU757" t="str">
            <v/>
          </cell>
          <cell r="CV757" t="str">
            <v/>
          </cell>
          <cell r="CW757" t="str">
            <v/>
          </cell>
        </row>
        <row r="758">
          <cell r="CN758" t="str">
            <v/>
          </cell>
          <cell r="CO758" t="str">
            <v/>
          </cell>
          <cell r="CP758" t="str">
            <v/>
          </cell>
          <cell r="CQ758" t="str">
            <v/>
          </cell>
          <cell r="CR758" t="str">
            <v/>
          </cell>
          <cell r="CS758" t="str">
            <v/>
          </cell>
          <cell r="CT758" t="str">
            <v/>
          </cell>
          <cell r="CU758" t="str">
            <v/>
          </cell>
          <cell r="CV758" t="str">
            <v/>
          </cell>
          <cell r="CW758" t="str">
            <v/>
          </cell>
        </row>
        <row r="759">
          <cell r="CN759" t="str">
            <v/>
          </cell>
          <cell r="CO759" t="str">
            <v/>
          </cell>
          <cell r="CP759" t="str">
            <v/>
          </cell>
          <cell r="CQ759" t="str">
            <v/>
          </cell>
          <cell r="CR759" t="str">
            <v/>
          </cell>
          <cell r="CS759" t="str">
            <v/>
          </cell>
          <cell r="CT759" t="str">
            <v/>
          </cell>
          <cell r="CU759" t="str">
            <v/>
          </cell>
          <cell r="CV759" t="str">
            <v/>
          </cell>
          <cell r="CW759" t="str">
            <v/>
          </cell>
        </row>
        <row r="760">
          <cell r="CN760" t="str">
            <v/>
          </cell>
          <cell r="CO760" t="str">
            <v/>
          </cell>
          <cell r="CP760" t="str">
            <v/>
          </cell>
          <cell r="CQ760" t="str">
            <v/>
          </cell>
          <cell r="CR760" t="str">
            <v/>
          </cell>
          <cell r="CS760" t="str">
            <v/>
          </cell>
          <cell r="CT760" t="str">
            <v/>
          </cell>
          <cell r="CU760" t="str">
            <v/>
          </cell>
          <cell r="CV760" t="str">
            <v/>
          </cell>
          <cell r="CW760" t="str">
            <v/>
          </cell>
        </row>
        <row r="761">
          <cell r="CN761" t="str">
            <v/>
          </cell>
          <cell r="CO761" t="str">
            <v/>
          </cell>
          <cell r="CP761" t="str">
            <v/>
          </cell>
          <cell r="CQ761" t="str">
            <v/>
          </cell>
          <cell r="CR761" t="str">
            <v/>
          </cell>
          <cell r="CS761" t="str">
            <v/>
          </cell>
          <cell r="CT761" t="str">
            <v/>
          </cell>
          <cell r="CU761" t="str">
            <v/>
          </cell>
          <cell r="CV761" t="str">
            <v/>
          </cell>
          <cell r="CW761" t="str">
            <v/>
          </cell>
        </row>
        <row r="762">
          <cell r="CN762" t="str">
            <v/>
          </cell>
          <cell r="CO762" t="str">
            <v/>
          </cell>
          <cell r="CP762" t="str">
            <v/>
          </cell>
          <cell r="CQ762" t="str">
            <v/>
          </cell>
          <cell r="CR762" t="str">
            <v/>
          </cell>
          <cell r="CS762" t="str">
            <v/>
          </cell>
          <cell r="CT762" t="str">
            <v/>
          </cell>
          <cell r="CU762" t="str">
            <v/>
          </cell>
          <cell r="CV762" t="str">
            <v/>
          </cell>
          <cell r="CW762" t="str">
            <v/>
          </cell>
        </row>
        <row r="763">
          <cell r="CN763" t="str">
            <v/>
          </cell>
          <cell r="CO763" t="str">
            <v/>
          </cell>
          <cell r="CP763" t="str">
            <v/>
          </cell>
          <cell r="CQ763" t="str">
            <v/>
          </cell>
          <cell r="CR763" t="str">
            <v/>
          </cell>
          <cell r="CS763" t="str">
            <v/>
          </cell>
          <cell r="CT763" t="str">
            <v/>
          </cell>
          <cell r="CU763" t="str">
            <v/>
          </cell>
          <cell r="CV763" t="str">
            <v/>
          </cell>
          <cell r="CW763" t="str">
            <v/>
          </cell>
        </row>
        <row r="764">
          <cell r="CN764" t="str">
            <v/>
          </cell>
          <cell r="CO764" t="str">
            <v/>
          </cell>
          <cell r="CP764" t="str">
            <v/>
          </cell>
          <cell r="CQ764" t="str">
            <v/>
          </cell>
          <cell r="CR764" t="str">
            <v/>
          </cell>
          <cell r="CS764" t="str">
            <v/>
          </cell>
          <cell r="CT764" t="str">
            <v/>
          </cell>
          <cell r="CU764" t="str">
            <v/>
          </cell>
          <cell r="CV764" t="str">
            <v/>
          </cell>
          <cell r="CW764" t="str">
            <v/>
          </cell>
        </row>
        <row r="765">
          <cell r="CN765" t="str">
            <v/>
          </cell>
          <cell r="CO765" t="str">
            <v/>
          </cell>
          <cell r="CP765" t="str">
            <v/>
          </cell>
          <cell r="CQ765" t="str">
            <v/>
          </cell>
          <cell r="CR765" t="str">
            <v/>
          </cell>
          <cell r="CS765" t="str">
            <v/>
          </cell>
          <cell r="CT765" t="str">
            <v/>
          </cell>
          <cell r="CU765" t="str">
            <v/>
          </cell>
          <cell r="CV765" t="str">
            <v/>
          </cell>
          <cell r="CW765" t="str">
            <v/>
          </cell>
        </row>
        <row r="766">
          <cell r="CN766" t="str">
            <v/>
          </cell>
          <cell r="CO766" t="str">
            <v/>
          </cell>
          <cell r="CP766" t="str">
            <v/>
          </cell>
          <cell r="CQ766" t="str">
            <v/>
          </cell>
          <cell r="CR766" t="str">
            <v/>
          </cell>
          <cell r="CS766" t="str">
            <v/>
          </cell>
          <cell r="CT766" t="str">
            <v/>
          </cell>
          <cell r="CU766" t="str">
            <v/>
          </cell>
          <cell r="CV766" t="str">
            <v/>
          </cell>
          <cell r="CW766" t="str">
            <v/>
          </cell>
        </row>
        <row r="767">
          <cell r="CN767" t="str">
            <v/>
          </cell>
          <cell r="CO767" t="str">
            <v/>
          </cell>
          <cell r="CP767" t="str">
            <v/>
          </cell>
          <cell r="CQ767" t="str">
            <v/>
          </cell>
          <cell r="CR767" t="str">
            <v/>
          </cell>
          <cell r="CS767" t="str">
            <v/>
          </cell>
          <cell r="CT767" t="str">
            <v/>
          </cell>
          <cell r="CU767" t="str">
            <v/>
          </cell>
          <cell r="CV767" t="str">
            <v/>
          </cell>
          <cell r="CW767" t="str">
            <v/>
          </cell>
        </row>
        <row r="768">
          <cell r="CN768" t="str">
            <v/>
          </cell>
          <cell r="CO768" t="str">
            <v/>
          </cell>
          <cell r="CP768" t="str">
            <v/>
          </cell>
          <cell r="CQ768" t="str">
            <v/>
          </cell>
          <cell r="CR768" t="str">
            <v/>
          </cell>
          <cell r="CS768" t="str">
            <v/>
          </cell>
          <cell r="CT768" t="str">
            <v/>
          </cell>
          <cell r="CU768" t="str">
            <v/>
          </cell>
          <cell r="CV768" t="str">
            <v/>
          </cell>
          <cell r="CW768" t="str">
            <v/>
          </cell>
        </row>
        <row r="769">
          <cell r="CN769" t="str">
            <v/>
          </cell>
          <cell r="CO769" t="str">
            <v/>
          </cell>
          <cell r="CP769" t="str">
            <v/>
          </cell>
          <cell r="CQ769" t="str">
            <v/>
          </cell>
          <cell r="CR769" t="str">
            <v/>
          </cell>
          <cell r="CS769" t="str">
            <v/>
          </cell>
          <cell r="CT769" t="str">
            <v/>
          </cell>
          <cell r="CU769" t="str">
            <v/>
          </cell>
          <cell r="CV769" t="str">
            <v/>
          </cell>
          <cell r="CW769" t="str">
            <v/>
          </cell>
        </row>
        <row r="770">
          <cell r="CN770" t="str">
            <v/>
          </cell>
          <cell r="CO770" t="str">
            <v/>
          </cell>
          <cell r="CP770" t="str">
            <v/>
          </cell>
          <cell r="CQ770" t="str">
            <v/>
          </cell>
          <cell r="CR770" t="str">
            <v/>
          </cell>
          <cell r="CS770" t="str">
            <v/>
          </cell>
          <cell r="CT770" t="str">
            <v/>
          </cell>
          <cell r="CU770" t="str">
            <v/>
          </cell>
          <cell r="CV770" t="str">
            <v/>
          </cell>
          <cell r="CW770" t="str">
            <v/>
          </cell>
        </row>
        <row r="771">
          <cell r="CN771" t="str">
            <v/>
          </cell>
          <cell r="CO771" t="str">
            <v/>
          </cell>
          <cell r="CP771" t="str">
            <v/>
          </cell>
          <cell r="CQ771" t="str">
            <v/>
          </cell>
          <cell r="CR771" t="str">
            <v/>
          </cell>
          <cell r="CS771" t="str">
            <v/>
          </cell>
          <cell r="CT771" t="str">
            <v/>
          </cell>
          <cell r="CU771" t="str">
            <v/>
          </cell>
          <cell r="CV771" t="str">
            <v/>
          </cell>
          <cell r="CW771" t="str">
            <v/>
          </cell>
        </row>
        <row r="772">
          <cell r="CN772" t="str">
            <v/>
          </cell>
          <cell r="CO772" t="str">
            <v/>
          </cell>
          <cell r="CP772" t="str">
            <v/>
          </cell>
          <cell r="CQ772" t="str">
            <v/>
          </cell>
          <cell r="CR772" t="str">
            <v/>
          </cell>
          <cell r="CS772" t="str">
            <v/>
          </cell>
          <cell r="CT772" t="str">
            <v/>
          </cell>
          <cell r="CU772" t="str">
            <v/>
          </cell>
          <cell r="CV772" t="str">
            <v/>
          </cell>
          <cell r="CW772" t="str">
            <v/>
          </cell>
        </row>
        <row r="773">
          <cell r="CN773" t="str">
            <v/>
          </cell>
          <cell r="CO773" t="str">
            <v/>
          </cell>
          <cell r="CP773" t="str">
            <v/>
          </cell>
          <cell r="CQ773" t="str">
            <v/>
          </cell>
          <cell r="CR773" t="str">
            <v/>
          </cell>
          <cell r="CS773" t="str">
            <v/>
          </cell>
          <cell r="CT773" t="str">
            <v/>
          </cell>
          <cell r="CU773" t="str">
            <v/>
          </cell>
          <cell r="CV773" t="str">
            <v/>
          </cell>
          <cell r="CW773" t="str">
            <v/>
          </cell>
        </row>
        <row r="774">
          <cell r="CN774" t="str">
            <v/>
          </cell>
          <cell r="CO774" t="str">
            <v/>
          </cell>
          <cell r="CP774" t="str">
            <v/>
          </cell>
          <cell r="CQ774" t="str">
            <v/>
          </cell>
          <cell r="CR774" t="str">
            <v/>
          </cell>
          <cell r="CS774" t="str">
            <v/>
          </cell>
          <cell r="CT774" t="str">
            <v/>
          </cell>
          <cell r="CU774" t="str">
            <v/>
          </cell>
          <cell r="CV774" t="str">
            <v/>
          </cell>
          <cell r="CW774" t="str">
            <v/>
          </cell>
        </row>
        <row r="775">
          <cell r="CN775" t="str">
            <v/>
          </cell>
          <cell r="CO775" t="str">
            <v/>
          </cell>
          <cell r="CP775" t="str">
            <v/>
          </cell>
          <cell r="CQ775" t="str">
            <v/>
          </cell>
          <cell r="CR775" t="str">
            <v/>
          </cell>
          <cell r="CS775" t="str">
            <v/>
          </cell>
          <cell r="CT775" t="str">
            <v/>
          </cell>
          <cell r="CU775" t="str">
            <v/>
          </cell>
          <cell r="CV775" t="str">
            <v/>
          </cell>
          <cell r="CW775" t="str">
            <v/>
          </cell>
        </row>
        <row r="776">
          <cell r="CN776" t="str">
            <v/>
          </cell>
          <cell r="CO776" t="str">
            <v/>
          </cell>
          <cell r="CP776" t="str">
            <v/>
          </cell>
          <cell r="CQ776" t="str">
            <v/>
          </cell>
          <cell r="CR776" t="str">
            <v/>
          </cell>
          <cell r="CS776" t="str">
            <v/>
          </cell>
          <cell r="CT776" t="str">
            <v/>
          </cell>
          <cell r="CU776" t="str">
            <v/>
          </cell>
          <cell r="CV776" t="str">
            <v/>
          </cell>
          <cell r="CW776" t="str">
            <v/>
          </cell>
        </row>
        <row r="777">
          <cell r="CN777" t="str">
            <v/>
          </cell>
          <cell r="CO777" t="str">
            <v/>
          </cell>
          <cell r="CP777" t="str">
            <v/>
          </cell>
          <cell r="CQ777" t="str">
            <v/>
          </cell>
          <cell r="CR777" t="str">
            <v/>
          </cell>
          <cell r="CS777" t="str">
            <v/>
          </cell>
          <cell r="CT777" t="str">
            <v/>
          </cell>
          <cell r="CU777" t="str">
            <v/>
          </cell>
          <cell r="CV777" t="str">
            <v/>
          </cell>
          <cell r="CW777" t="str">
            <v/>
          </cell>
        </row>
        <row r="778">
          <cell r="CN778" t="str">
            <v/>
          </cell>
          <cell r="CO778" t="str">
            <v/>
          </cell>
          <cell r="CP778" t="str">
            <v/>
          </cell>
          <cell r="CQ778" t="str">
            <v/>
          </cell>
          <cell r="CR778" t="str">
            <v/>
          </cell>
          <cell r="CS778" t="str">
            <v/>
          </cell>
          <cell r="CT778" t="str">
            <v/>
          </cell>
          <cell r="CU778" t="str">
            <v/>
          </cell>
          <cell r="CV778" t="str">
            <v/>
          </cell>
          <cell r="CW778" t="str">
            <v/>
          </cell>
        </row>
        <row r="779">
          <cell r="CN779" t="str">
            <v/>
          </cell>
          <cell r="CO779" t="str">
            <v/>
          </cell>
          <cell r="CP779" t="str">
            <v/>
          </cell>
          <cell r="CQ779" t="str">
            <v/>
          </cell>
          <cell r="CR779" t="str">
            <v/>
          </cell>
          <cell r="CS779" t="str">
            <v/>
          </cell>
          <cell r="CT779" t="str">
            <v/>
          </cell>
          <cell r="CU779" t="str">
            <v/>
          </cell>
          <cell r="CV779" t="str">
            <v/>
          </cell>
          <cell r="CW779" t="str">
            <v/>
          </cell>
        </row>
        <row r="780">
          <cell r="CN780" t="str">
            <v/>
          </cell>
          <cell r="CO780" t="str">
            <v/>
          </cell>
          <cell r="CP780" t="str">
            <v/>
          </cell>
          <cell r="CQ780" t="str">
            <v/>
          </cell>
          <cell r="CR780" t="str">
            <v/>
          </cell>
          <cell r="CS780" t="str">
            <v/>
          </cell>
          <cell r="CT780" t="str">
            <v/>
          </cell>
          <cell r="CU780" t="str">
            <v/>
          </cell>
          <cell r="CV780" t="str">
            <v/>
          </cell>
          <cell r="CW780" t="str">
            <v/>
          </cell>
        </row>
        <row r="781">
          <cell r="CN781" t="str">
            <v/>
          </cell>
          <cell r="CO781" t="str">
            <v/>
          </cell>
          <cell r="CP781" t="str">
            <v/>
          </cell>
          <cell r="CQ781" t="str">
            <v/>
          </cell>
          <cell r="CR781" t="str">
            <v/>
          </cell>
          <cell r="CS781" t="str">
            <v/>
          </cell>
          <cell r="CT781" t="str">
            <v/>
          </cell>
          <cell r="CU781" t="str">
            <v/>
          </cell>
          <cell r="CV781" t="str">
            <v/>
          </cell>
          <cell r="CW781" t="str">
            <v/>
          </cell>
        </row>
        <row r="782">
          <cell r="CN782" t="str">
            <v/>
          </cell>
          <cell r="CO782" t="str">
            <v/>
          </cell>
          <cell r="CP782" t="str">
            <v/>
          </cell>
          <cell r="CQ782" t="str">
            <v/>
          </cell>
          <cell r="CR782" t="str">
            <v/>
          </cell>
          <cell r="CS782" t="str">
            <v/>
          </cell>
          <cell r="CT782" t="str">
            <v/>
          </cell>
          <cell r="CU782" t="str">
            <v/>
          </cell>
          <cell r="CV782" t="str">
            <v/>
          </cell>
          <cell r="CW782" t="str">
            <v/>
          </cell>
        </row>
        <row r="783">
          <cell r="CN783" t="str">
            <v/>
          </cell>
          <cell r="CO783" t="str">
            <v/>
          </cell>
          <cell r="CP783" t="str">
            <v/>
          </cell>
          <cell r="CQ783" t="str">
            <v/>
          </cell>
          <cell r="CR783" t="str">
            <v/>
          </cell>
          <cell r="CS783" t="str">
            <v/>
          </cell>
          <cell r="CT783" t="str">
            <v/>
          </cell>
          <cell r="CU783" t="str">
            <v/>
          </cell>
          <cell r="CV783" t="str">
            <v/>
          </cell>
          <cell r="CW783" t="str">
            <v/>
          </cell>
        </row>
        <row r="784">
          <cell r="CN784" t="str">
            <v/>
          </cell>
          <cell r="CO784" t="str">
            <v/>
          </cell>
          <cell r="CP784" t="str">
            <v/>
          </cell>
          <cell r="CQ784" t="str">
            <v/>
          </cell>
          <cell r="CR784" t="str">
            <v/>
          </cell>
          <cell r="CS784" t="str">
            <v/>
          </cell>
          <cell r="CT784" t="str">
            <v/>
          </cell>
          <cell r="CU784" t="str">
            <v/>
          </cell>
          <cell r="CV784" t="str">
            <v/>
          </cell>
          <cell r="CW784" t="str">
            <v/>
          </cell>
        </row>
        <row r="785">
          <cell r="CN785" t="str">
            <v/>
          </cell>
          <cell r="CO785" t="str">
            <v/>
          </cell>
          <cell r="CP785" t="str">
            <v/>
          </cell>
          <cell r="CQ785" t="str">
            <v/>
          </cell>
          <cell r="CR785" t="str">
            <v/>
          </cell>
          <cell r="CS785" t="str">
            <v/>
          </cell>
          <cell r="CT785" t="str">
            <v/>
          </cell>
          <cell r="CU785" t="str">
            <v/>
          </cell>
          <cell r="CV785" t="str">
            <v/>
          </cell>
          <cell r="CW785" t="str">
            <v/>
          </cell>
        </row>
        <row r="786">
          <cell r="CN786" t="str">
            <v/>
          </cell>
          <cell r="CO786" t="str">
            <v/>
          </cell>
          <cell r="CP786" t="str">
            <v/>
          </cell>
          <cell r="CQ786" t="str">
            <v/>
          </cell>
          <cell r="CR786" t="str">
            <v/>
          </cell>
          <cell r="CS786" t="str">
            <v/>
          </cell>
          <cell r="CT786" t="str">
            <v/>
          </cell>
          <cell r="CU786" t="str">
            <v/>
          </cell>
          <cell r="CV786" t="str">
            <v/>
          </cell>
          <cell r="CW786" t="str">
            <v/>
          </cell>
        </row>
        <row r="787">
          <cell r="CN787" t="str">
            <v/>
          </cell>
          <cell r="CO787" t="str">
            <v/>
          </cell>
          <cell r="CP787" t="str">
            <v/>
          </cell>
          <cell r="CQ787" t="str">
            <v/>
          </cell>
          <cell r="CR787" t="str">
            <v/>
          </cell>
          <cell r="CS787" t="str">
            <v/>
          </cell>
          <cell r="CT787" t="str">
            <v/>
          </cell>
          <cell r="CU787" t="str">
            <v/>
          </cell>
          <cell r="CV787" t="str">
            <v/>
          </cell>
          <cell r="CW787" t="str">
            <v/>
          </cell>
        </row>
        <row r="788">
          <cell r="CN788" t="str">
            <v/>
          </cell>
          <cell r="CO788" t="str">
            <v/>
          </cell>
          <cell r="CP788" t="str">
            <v/>
          </cell>
          <cell r="CQ788" t="str">
            <v/>
          </cell>
          <cell r="CR788" t="str">
            <v/>
          </cell>
          <cell r="CS788" t="str">
            <v/>
          </cell>
          <cell r="CT788" t="str">
            <v/>
          </cell>
          <cell r="CU788" t="str">
            <v/>
          </cell>
          <cell r="CV788" t="str">
            <v/>
          </cell>
          <cell r="CW788" t="str">
            <v/>
          </cell>
        </row>
        <row r="789">
          <cell r="CN789" t="str">
            <v/>
          </cell>
          <cell r="CO789" t="str">
            <v/>
          </cell>
          <cell r="CP789" t="str">
            <v/>
          </cell>
          <cell r="CQ789" t="str">
            <v/>
          </cell>
          <cell r="CR789" t="str">
            <v/>
          </cell>
          <cell r="CS789" t="str">
            <v/>
          </cell>
          <cell r="CT789" t="str">
            <v/>
          </cell>
          <cell r="CU789" t="str">
            <v/>
          </cell>
          <cell r="CV789" t="str">
            <v/>
          </cell>
          <cell r="CW789" t="str">
            <v/>
          </cell>
        </row>
        <row r="790">
          <cell r="CN790" t="str">
            <v/>
          </cell>
          <cell r="CO790" t="str">
            <v/>
          </cell>
          <cell r="CP790" t="str">
            <v/>
          </cell>
          <cell r="CQ790" t="str">
            <v/>
          </cell>
          <cell r="CR790" t="str">
            <v/>
          </cell>
          <cell r="CS790" t="str">
            <v/>
          </cell>
          <cell r="CT790" t="str">
            <v/>
          </cell>
          <cell r="CU790" t="str">
            <v/>
          </cell>
          <cell r="CV790" t="str">
            <v/>
          </cell>
          <cell r="CW790" t="str">
            <v/>
          </cell>
        </row>
        <row r="791">
          <cell r="CN791" t="str">
            <v/>
          </cell>
          <cell r="CO791" t="str">
            <v/>
          </cell>
          <cell r="CP791" t="str">
            <v/>
          </cell>
          <cell r="CQ791" t="str">
            <v/>
          </cell>
          <cell r="CR791" t="str">
            <v/>
          </cell>
          <cell r="CS791" t="str">
            <v/>
          </cell>
          <cell r="CT791" t="str">
            <v/>
          </cell>
          <cell r="CU791" t="str">
            <v/>
          </cell>
          <cell r="CV791" t="str">
            <v/>
          </cell>
          <cell r="CW791" t="str">
            <v/>
          </cell>
        </row>
        <row r="792">
          <cell r="CN792" t="str">
            <v/>
          </cell>
          <cell r="CO792" t="str">
            <v/>
          </cell>
          <cell r="CP792" t="str">
            <v/>
          </cell>
          <cell r="CQ792" t="str">
            <v/>
          </cell>
          <cell r="CR792" t="str">
            <v/>
          </cell>
          <cell r="CS792" t="str">
            <v/>
          </cell>
          <cell r="CT792" t="str">
            <v/>
          </cell>
          <cell r="CU792" t="str">
            <v/>
          </cell>
          <cell r="CV792" t="str">
            <v/>
          </cell>
          <cell r="CW792" t="str">
            <v/>
          </cell>
        </row>
        <row r="793">
          <cell r="CN793" t="str">
            <v/>
          </cell>
          <cell r="CO793" t="str">
            <v/>
          </cell>
          <cell r="CP793" t="str">
            <v/>
          </cell>
          <cell r="CQ793" t="str">
            <v/>
          </cell>
          <cell r="CR793" t="str">
            <v/>
          </cell>
          <cell r="CS793" t="str">
            <v/>
          </cell>
          <cell r="CT793" t="str">
            <v/>
          </cell>
          <cell r="CU793" t="str">
            <v/>
          </cell>
          <cell r="CV793" t="str">
            <v/>
          </cell>
          <cell r="CW793" t="str">
            <v/>
          </cell>
        </row>
        <row r="794">
          <cell r="CN794" t="str">
            <v/>
          </cell>
          <cell r="CO794" t="str">
            <v/>
          </cell>
          <cell r="CP794" t="str">
            <v/>
          </cell>
          <cell r="CQ794" t="str">
            <v/>
          </cell>
          <cell r="CR794" t="str">
            <v/>
          </cell>
          <cell r="CS794" t="str">
            <v/>
          </cell>
          <cell r="CT794" t="str">
            <v/>
          </cell>
          <cell r="CU794" t="str">
            <v/>
          </cell>
          <cell r="CV794" t="str">
            <v/>
          </cell>
          <cell r="CW794" t="str">
            <v/>
          </cell>
        </row>
        <row r="795">
          <cell r="CN795" t="str">
            <v/>
          </cell>
          <cell r="CO795" t="str">
            <v/>
          </cell>
          <cell r="CP795" t="str">
            <v/>
          </cell>
          <cell r="CQ795" t="str">
            <v/>
          </cell>
          <cell r="CR795" t="str">
            <v/>
          </cell>
          <cell r="CS795" t="str">
            <v/>
          </cell>
          <cell r="CT795" t="str">
            <v/>
          </cell>
          <cell r="CU795" t="str">
            <v/>
          </cell>
          <cell r="CV795" t="str">
            <v/>
          </cell>
          <cell r="CW795" t="str">
            <v/>
          </cell>
        </row>
        <row r="796">
          <cell r="CN796" t="str">
            <v/>
          </cell>
          <cell r="CO796" t="str">
            <v/>
          </cell>
          <cell r="CP796" t="str">
            <v/>
          </cell>
          <cell r="CQ796" t="str">
            <v/>
          </cell>
          <cell r="CR796" t="str">
            <v/>
          </cell>
          <cell r="CS796" t="str">
            <v/>
          </cell>
          <cell r="CT796" t="str">
            <v/>
          </cell>
          <cell r="CU796" t="str">
            <v/>
          </cell>
          <cell r="CV796" t="str">
            <v/>
          </cell>
          <cell r="CW796" t="str">
            <v/>
          </cell>
        </row>
        <row r="797">
          <cell r="CN797" t="str">
            <v/>
          </cell>
          <cell r="CO797" t="str">
            <v/>
          </cell>
          <cell r="CP797" t="str">
            <v/>
          </cell>
          <cell r="CQ797" t="str">
            <v/>
          </cell>
          <cell r="CR797" t="str">
            <v/>
          </cell>
          <cell r="CS797" t="str">
            <v/>
          </cell>
          <cell r="CT797" t="str">
            <v/>
          </cell>
          <cell r="CU797" t="str">
            <v/>
          </cell>
          <cell r="CV797" t="str">
            <v/>
          </cell>
          <cell r="CW797" t="str">
            <v/>
          </cell>
        </row>
        <row r="798">
          <cell r="CN798" t="str">
            <v/>
          </cell>
          <cell r="CO798" t="str">
            <v/>
          </cell>
          <cell r="CP798" t="str">
            <v/>
          </cell>
          <cell r="CQ798" t="str">
            <v/>
          </cell>
          <cell r="CR798" t="str">
            <v/>
          </cell>
          <cell r="CS798" t="str">
            <v/>
          </cell>
          <cell r="CT798" t="str">
            <v/>
          </cell>
          <cell r="CU798" t="str">
            <v/>
          </cell>
          <cell r="CV798" t="str">
            <v/>
          </cell>
          <cell r="CW798" t="str">
            <v/>
          </cell>
        </row>
        <row r="799">
          <cell r="CN799" t="str">
            <v/>
          </cell>
          <cell r="CO799" t="str">
            <v/>
          </cell>
          <cell r="CP799" t="str">
            <v/>
          </cell>
          <cell r="CQ799" t="str">
            <v/>
          </cell>
          <cell r="CR799" t="str">
            <v/>
          </cell>
          <cell r="CS799" t="str">
            <v/>
          </cell>
          <cell r="CT799" t="str">
            <v/>
          </cell>
          <cell r="CU799" t="str">
            <v/>
          </cell>
          <cell r="CV799" t="str">
            <v/>
          </cell>
          <cell r="CW799" t="str">
            <v/>
          </cell>
        </row>
        <row r="800">
          <cell r="CN800" t="str">
            <v/>
          </cell>
          <cell r="CO800" t="str">
            <v/>
          </cell>
          <cell r="CP800" t="str">
            <v/>
          </cell>
          <cell r="CQ800" t="str">
            <v/>
          </cell>
          <cell r="CR800" t="str">
            <v/>
          </cell>
          <cell r="CS800" t="str">
            <v/>
          </cell>
          <cell r="CT800" t="str">
            <v/>
          </cell>
          <cell r="CU800" t="str">
            <v/>
          </cell>
          <cell r="CV800" t="str">
            <v/>
          </cell>
          <cell r="CW800" t="str">
            <v/>
          </cell>
        </row>
        <row r="801">
          <cell r="CN801" t="str">
            <v/>
          </cell>
          <cell r="CO801" t="str">
            <v/>
          </cell>
          <cell r="CP801" t="str">
            <v/>
          </cell>
          <cell r="CQ801" t="str">
            <v/>
          </cell>
          <cell r="CR801" t="str">
            <v/>
          </cell>
          <cell r="CS801" t="str">
            <v/>
          </cell>
          <cell r="CT801" t="str">
            <v/>
          </cell>
          <cell r="CU801" t="str">
            <v/>
          </cell>
          <cell r="CV801" t="str">
            <v/>
          </cell>
          <cell r="CW801" t="str">
            <v/>
          </cell>
        </row>
        <row r="802">
          <cell r="CN802" t="str">
            <v/>
          </cell>
          <cell r="CO802" t="str">
            <v/>
          </cell>
          <cell r="CP802" t="str">
            <v/>
          </cell>
          <cell r="CQ802" t="str">
            <v/>
          </cell>
          <cell r="CR802" t="str">
            <v/>
          </cell>
          <cell r="CS802" t="str">
            <v/>
          </cell>
          <cell r="CT802" t="str">
            <v/>
          </cell>
          <cell r="CU802" t="str">
            <v/>
          </cell>
          <cell r="CV802" t="str">
            <v/>
          </cell>
          <cell r="CW802" t="str">
            <v/>
          </cell>
        </row>
        <row r="803">
          <cell r="CN803" t="str">
            <v/>
          </cell>
          <cell r="CO803" t="str">
            <v/>
          </cell>
          <cell r="CP803" t="str">
            <v/>
          </cell>
          <cell r="CQ803" t="str">
            <v/>
          </cell>
          <cell r="CR803" t="str">
            <v/>
          </cell>
          <cell r="CS803" t="str">
            <v/>
          </cell>
          <cell r="CT803" t="str">
            <v/>
          </cell>
          <cell r="CU803" t="str">
            <v/>
          </cell>
          <cell r="CV803" t="str">
            <v/>
          </cell>
          <cell r="CW803" t="str">
            <v/>
          </cell>
        </row>
        <row r="804">
          <cell r="CN804" t="str">
            <v/>
          </cell>
          <cell r="CO804" t="str">
            <v/>
          </cell>
          <cell r="CP804" t="str">
            <v/>
          </cell>
          <cell r="CQ804" t="str">
            <v/>
          </cell>
          <cell r="CR804" t="str">
            <v/>
          </cell>
          <cell r="CS804" t="str">
            <v/>
          </cell>
          <cell r="CT804" t="str">
            <v/>
          </cell>
          <cell r="CU804" t="str">
            <v/>
          </cell>
          <cell r="CV804" t="str">
            <v/>
          </cell>
          <cell r="CW804" t="str">
            <v/>
          </cell>
        </row>
        <row r="805">
          <cell r="CN805" t="str">
            <v/>
          </cell>
          <cell r="CO805" t="str">
            <v/>
          </cell>
          <cell r="CP805" t="str">
            <v/>
          </cell>
          <cell r="CQ805" t="str">
            <v/>
          </cell>
          <cell r="CR805" t="str">
            <v/>
          </cell>
          <cell r="CS805" t="str">
            <v/>
          </cell>
          <cell r="CT805" t="str">
            <v/>
          </cell>
          <cell r="CU805" t="str">
            <v/>
          </cell>
          <cell r="CV805" t="str">
            <v/>
          </cell>
          <cell r="CW805" t="str">
            <v/>
          </cell>
        </row>
        <row r="806">
          <cell r="CN806" t="str">
            <v/>
          </cell>
          <cell r="CO806" t="str">
            <v/>
          </cell>
          <cell r="CP806" t="str">
            <v/>
          </cell>
          <cell r="CQ806" t="str">
            <v/>
          </cell>
          <cell r="CR806" t="str">
            <v/>
          </cell>
          <cell r="CS806" t="str">
            <v/>
          </cell>
          <cell r="CT806" t="str">
            <v/>
          </cell>
          <cell r="CU806" t="str">
            <v/>
          </cell>
          <cell r="CV806" t="str">
            <v/>
          </cell>
          <cell r="CW806" t="str">
            <v/>
          </cell>
        </row>
        <row r="807">
          <cell r="CN807" t="str">
            <v/>
          </cell>
          <cell r="CO807" t="str">
            <v/>
          </cell>
          <cell r="CP807" t="str">
            <v/>
          </cell>
          <cell r="CQ807" t="str">
            <v/>
          </cell>
          <cell r="CR807" t="str">
            <v/>
          </cell>
          <cell r="CS807" t="str">
            <v/>
          </cell>
          <cell r="CT807" t="str">
            <v/>
          </cell>
          <cell r="CU807" t="str">
            <v/>
          </cell>
          <cell r="CV807" t="str">
            <v/>
          </cell>
          <cell r="CW807" t="str">
            <v/>
          </cell>
        </row>
        <row r="808">
          <cell r="CN808" t="str">
            <v/>
          </cell>
          <cell r="CO808" t="str">
            <v/>
          </cell>
          <cell r="CP808" t="str">
            <v/>
          </cell>
          <cell r="CQ808" t="str">
            <v/>
          </cell>
          <cell r="CR808" t="str">
            <v/>
          </cell>
          <cell r="CS808" t="str">
            <v/>
          </cell>
          <cell r="CT808" t="str">
            <v/>
          </cell>
          <cell r="CU808" t="str">
            <v/>
          </cell>
          <cell r="CV808" t="str">
            <v/>
          </cell>
          <cell r="CW808" t="str">
            <v/>
          </cell>
        </row>
        <row r="809">
          <cell r="CN809" t="str">
            <v/>
          </cell>
          <cell r="CO809" t="str">
            <v/>
          </cell>
          <cell r="CP809" t="str">
            <v/>
          </cell>
          <cell r="CQ809" t="str">
            <v/>
          </cell>
          <cell r="CR809" t="str">
            <v/>
          </cell>
          <cell r="CS809" t="str">
            <v/>
          </cell>
          <cell r="CT809" t="str">
            <v/>
          </cell>
          <cell r="CU809" t="str">
            <v/>
          </cell>
          <cell r="CV809" t="str">
            <v/>
          </cell>
          <cell r="CW809" t="str">
            <v/>
          </cell>
        </row>
        <row r="810">
          <cell r="CN810" t="str">
            <v/>
          </cell>
          <cell r="CO810" t="str">
            <v/>
          </cell>
          <cell r="CP810" t="str">
            <v/>
          </cell>
          <cell r="CQ810" t="str">
            <v/>
          </cell>
          <cell r="CR810" t="str">
            <v/>
          </cell>
          <cell r="CS810" t="str">
            <v/>
          </cell>
          <cell r="CT810" t="str">
            <v/>
          </cell>
          <cell r="CU810" t="str">
            <v/>
          </cell>
          <cell r="CV810" t="str">
            <v/>
          </cell>
          <cell r="CW810" t="str">
            <v/>
          </cell>
        </row>
        <row r="811">
          <cell r="CN811" t="str">
            <v/>
          </cell>
          <cell r="CO811" t="str">
            <v/>
          </cell>
          <cell r="CP811" t="str">
            <v/>
          </cell>
          <cell r="CQ811" t="str">
            <v/>
          </cell>
          <cell r="CR811" t="str">
            <v/>
          </cell>
          <cell r="CS811" t="str">
            <v/>
          </cell>
          <cell r="CT811" t="str">
            <v/>
          </cell>
          <cell r="CU811" t="str">
            <v/>
          </cell>
          <cell r="CV811" t="str">
            <v/>
          </cell>
          <cell r="CW811" t="str">
            <v/>
          </cell>
        </row>
        <row r="812">
          <cell r="CN812" t="str">
            <v/>
          </cell>
          <cell r="CO812" t="str">
            <v/>
          </cell>
          <cell r="CP812" t="str">
            <v/>
          </cell>
          <cell r="CQ812" t="str">
            <v/>
          </cell>
          <cell r="CR812" t="str">
            <v/>
          </cell>
          <cell r="CS812" t="str">
            <v/>
          </cell>
          <cell r="CT812" t="str">
            <v/>
          </cell>
          <cell r="CU812" t="str">
            <v/>
          </cell>
          <cell r="CV812" t="str">
            <v/>
          </cell>
          <cell r="CW812" t="str">
            <v/>
          </cell>
        </row>
        <row r="813">
          <cell r="CN813" t="str">
            <v/>
          </cell>
          <cell r="CO813" t="str">
            <v/>
          </cell>
          <cell r="CP813" t="str">
            <v/>
          </cell>
          <cell r="CQ813" t="str">
            <v/>
          </cell>
          <cell r="CR813" t="str">
            <v/>
          </cell>
          <cell r="CS813" t="str">
            <v/>
          </cell>
          <cell r="CT813" t="str">
            <v/>
          </cell>
          <cell r="CU813" t="str">
            <v/>
          </cell>
          <cell r="CV813" t="str">
            <v/>
          </cell>
          <cell r="CW813" t="str">
            <v/>
          </cell>
        </row>
        <row r="814">
          <cell r="CN814" t="str">
            <v/>
          </cell>
          <cell r="CO814" t="str">
            <v/>
          </cell>
          <cell r="CP814" t="str">
            <v/>
          </cell>
          <cell r="CQ814" t="str">
            <v/>
          </cell>
          <cell r="CR814" t="str">
            <v/>
          </cell>
          <cell r="CS814" t="str">
            <v/>
          </cell>
          <cell r="CT814" t="str">
            <v/>
          </cell>
          <cell r="CU814" t="str">
            <v/>
          </cell>
          <cell r="CV814" t="str">
            <v/>
          </cell>
          <cell r="CW814" t="str">
            <v/>
          </cell>
        </row>
        <row r="815">
          <cell r="CN815" t="str">
            <v/>
          </cell>
          <cell r="CO815" t="str">
            <v/>
          </cell>
          <cell r="CP815" t="str">
            <v/>
          </cell>
          <cell r="CQ815" t="str">
            <v/>
          </cell>
          <cell r="CR815" t="str">
            <v/>
          </cell>
          <cell r="CS815" t="str">
            <v/>
          </cell>
          <cell r="CT815" t="str">
            <v/>
          </cell>
          <cell r="CU815" t="str">
            <v/>
          </cell>
          <cell r="CV815" t="str">
            <v/>
          </cell>
          <cell r="CW815" t="str">
            <v/>
          </cell>
        </row>
        <row r="816">
          <cell r="CN816" t="str">
            <v/>
          </cell>
          <cell r="CO816" t="str">
            <v/>
          </cell>
          <cell r="CP816" t="str">
            <v/>
          </cell>
          <cell r="CQ816" t="str">
            <v/>
          </cell>
          <cell r="CR816" t="str">
            <v/>
          </cell>
          <cell r="CS816" t="str">
            <v/>
          </cell>
          <cell r="CT816" t="str">
            <v/>
          </cell>
          <cell r="CU816" t="str">
            <v/>
          </cell>
          <cell r="CV816" t="str">
            <v/>
          </cell>
          <cell r="CW816" t="str">
            <v/>
          </cell>
        </row>
        <row r="817">
          <cell r="CN817" t="str">
            <v/>
          </cell>
          <cell r="CO817" t="str">
            <v/>
          </cell>
          <cell r="CP817" t="str">
            <v/>
          </cell>
          <cell r="CQ817" t="str">
            <v/>
          </cell>
          <cell r="CR817" t="str">
            <v/>
          </cell>
          <cell r="CS817" t="str">
            <v/>
          </cell>
          <cell r="CT817" t="str">
            <v/>
          </cell>
          <cell r="CU817" t="str">
            <v/>
          </cell>
          <cell r="CV817" t="str">
            <v/>
          </cell>
          <cell r="CW817" t="str">
            <v/>
          </cell>
        </row>
        <row r="818">
          <cell r="CN818" t="str">
            <v/>
          </cell>
          <cell r="CO818" t="str">
            <v/>
          </cell>
          <cell r="CP818" t="str">
            <v/>
          </cell>
          <cell r="CQ818" t="str">
            <v/>
          </cell>
          <cell r="CR818" t="str">
            <v/>
          </cell>
          <cell r="CS818" t="str">
            <v/>
          </cell>
          <cell r="CT818" t="str">
            <v/>
          </cell>
          <cell r="CU818" t="str">
            <v/>
          </cell>
          <cell r="CV818" t="str">
            <v/>
          </cell>
          <cell r="CW818" t="str">
            <v/>
          </cell>
        </row>
        <row r="819">
          <cell r="CN819" t="str">
            <v/>
          </cell>
          <cell r="CO819" t="str">
            <v/>
          </cell>
          <cell r="CP819" t="str">
            <v/>
          </cell>
          <cell r="CQ819" t="str">
            <v/>
          </cell>
          <cell r="CR819" t="str">
            <v/>
          </cell>
          <cell r="CS819" t="str">
            <v/>
          </cell>
          <cell r="CT819" t="str">
            <v/>
          </cell>
          <cell r="CU819" t="str">
            <v/>
          </cell>
          <cell r="CV819" t="str">
            <v/>
          </cell>
          <cell r="CW819" t="str">
            <v/>
          </cell>
        </row>
        <row r="820">
          <cell r="CN820" t="str">
            <v/>
          </cell>
          <cell r="CO820" t="str">
            <v/>
          </cell>
          <cell r="CP820" t="str">
            <v/>
          </cell>
          <cell r="CQ820" t="str">
            <v/>
          </cell>
          <cell r="CR820" t="str">
            <v/>
          </cell>
          <cell r="CS820" t="str">
            <v/>
          </cell>
          <cell r="CT820" t="str">
            <v/>
          </cell>
          <cell r="CU820" t="str">
            <v/>
          </cell>
          <cell r="CV820" t="str">
            <v/>
          </cell>
          <cell r="CW820" t="str">
            <v/>
          </cell>
        </row>
        <row r="821">
          <cell r="CN821" t="str">
            <v/>
          </cell>
          <cell r="CO821" t="str">
            <v/>
          </cell>
          <cell r="CP821" t="str">
            <v/>
          </cell>
          <cell r="CQ821" t="str">
            <v/>
          </cell>
          <cell r="CR821" t="str">
            <v/>
          </cell>
          <cell r="CS821" t="str">
            <v/>
          </cell>
          <cell r="CT821" t="str">
            <v/>
          </cell>
          <cell r="CU821" t="str">
            <v/>
          </cell>
          <cell r="CV821" t="str">
            <v/>
          </cell>
          <cell r="CW821" t="str">
            <v/>
          </cell>
        </row>
        <row r="822">
          <cell r="CN822" t="str">
            <v/>
          </cell>
          <cell r="CO822" t="str">
            <v/>
          </cell>
          <cell r="CP822" t="str">
            <v/>
          </cell>
          <cell r="CQ822" t="str">
            <v/>
          </cell>
          <cell r="CR822" t="str">
            <v/>
          </cell>
          <cell r="CS822" t="str">
            <v/>
          </cell>
          <cell r="CT822" t="str">
            <v/>
          </cell>
          <cell r="CU822" t="str">
            <v/>
          </cell>
          <cell r="CV822" t="str">
            <v/>
          </cell>
          <cell r="CW822" t="str">
            <v/>
          </cell>
        </row>
        <row r="823">
          <cell r="CN823" t="str">
            <v/>
          </cell>
          <cell r="CO823" t="str">
            <v/>
          </cell>
          <cell r="CP823" t="str">
            <v/>
          </cell>
          <cell r="CQ823" t="str">
            <v/>
          </cell>
          <cell r="CR823" t="str">
            <v/>
          </cell>
          <cell r="CS823" t="str">
            <v/>
          </cell>
          <cell r="CT823" t="str">
            <v/>
          </cell>
          <cell r="CU823" t="str">
            <v/>
          </cell>
          <cell r="CV823" t="str">
            <v/>
          </cell>
          <cell r="CW823" t="str">
            <v/>
          </cell>
        </row>
        <row r="824">
          <cell r="CN824" t="str">
            <v/>
          </cell>
          <cell r="CO824" t="str">
            <v/>
          </cell>
          <cell r="CP824" t="str">
            <v/>
          </cell>
          <cell r="CQ824" t="str">
            <v/>
          </cell>
          <cell r="CR824" t="str">
            <v/>
          </cell>
          <cell r="CS824" t="str">
            <v/>
          </cell>
          <cell r="CT824" t="str">
            <v/>
          </cell>
          <cell r="CU824" t="str">
            <v/>
          </cell>
          <cell r="CV824" t="str">
            <v/>
          </cell>
          <cell r="CW824" t="str">
            <v/>
          </cell>
        </row>
        <row r="825">
          <cell r="CN825" t="str">
            <v/>
          </cell>
          <cell r="CO825" t="str">
            <v/>
          </cell>
          <cell r="CP825" t="str">
            <v/>
          </cell>
          <cell r="CQ825" t="str">
            <v/>
          </cell>
          <cell r="CR825" t="str">
            <v/>
          </cell>
          <cell r="CS825" t="str">
            <v/>
          </cell>
          <cell r="CT825" t="str">
            <v/>
          </cell>
          <cell r="CU825" t="str">
            <v/>
          </cell>
          <cell r="CV825" t="str">
            <v/>
          </cell>
          <cell r="CW825" t="str">
            <v/>
          </cell>
        </row>
        <row r="826">
          <cell r="CN826" t="str">
            <v/>
          </cell>
          <cell r="CO826" t="str">
            <v/>
          </cell>
          <cell r="CP826" t="str">
            <v/>
          </cell>
          <cell r="CQ826" t="str">
            <v/>
          </cell>
          <cell r="CR826" t="str">
            <v/>
          </cell>
          <cell r="CS826" t="str">
            <v/>
          </cell>
          <cell r="CT826" t="str">
            <v/>
          </cell>
          <cell r="CU826" t="str">
            <v/>
          </cell>
          <cell r="CV826" t="str">
            <v/>
          </cell>
          <cell r="CW826" t="str">
            <v/>
          </cell>
        </row>
        <row r="827">
          <cell r="CN827" t="str">
            <v/>
          </cell>
          <cell r="CO827" t="str">
            <v/>
          </cell>
          <cell r="CP827" t="str">
            <v/>
          </cell>
          <cell r="CQ827" t="str">
            <v/>
          </cell>
          <cell r="CR827" t="str">
            <v/>
          </cell>
          <cell r="CS827" t="str">
            <v/>
          </cell>
          <cell r="CT827" t="str">
            <v/>
          </cell>
          <cell r="CU827" t="str">
            <v/>
          </cell>
          <cell r="CV827" t="str">
            <v/>
          </cell>
          <cell r="CW827" t="str">
            <v/>
          </cell>
        </row>
        <row r="828">
          <cell r="CN828" t="str">
            <v/>
          </cell>
          <cell r="CO828" t="str">
            <v/>
          </cell>
          <cell r="CP828" t="str">
            <v/>
          </cell>
          <cell r="CQ828" t="str">
            <v/>
          </cell>
          <cell r="CR828" t="str">
            <v/>
          </cell>
          <cell r="CS828" t="str">
            <v/>
          </cell>
          <cell r="CT828" t="str">
            <v/>
          </cell>
          <cell r="CU828" t="str">
            <v/>
          </cell>
          <cell r="CV828" t="str">
            <v/>
          </cell>
          <cell r="CW828" t="str">
            <v/>
          </cell>
        </row>
        <row r="829">
          <cell r="CN829" t="str">
            <v/>
          </cell>
          <cell r="CO829" t="str">
            <v/>
          </cell>
          <cell r="CP829" t="str">
            <v/>
          </cell>
          <cell r="CQ829" t="str">
            <v/>
          </cell>
          <cell r="CR829" t="str">
            <v/>
          </cell>
          <cell r="CS829" t="str">
            <v/>
          </cell>
          <cell r="CT829" t="str">
            <v/>
          </cell>
          <cell r="CU829" t="str">
            <v/>
          </cell>
          <cell r="CV829" t="str">
            <v/>
          </cell>
          <cell r="CW829" t="str">
            <v/>
          </cell>
        </row>
        <row r="830">
          <cell r="CN830" t="str">
            <v/>
          </cell>
          <cell r="CO830" t="str">
            <v/>
          </cell>
          <cell r="CP830" t="str">
            <v/>
          </cell>
          <cell r="CQ830" t="str">
            <v/>
          </cell>
          <cell r="CR830" t="str">
            <v/>
          </cell>
          <cell r="CS830" t="str">
            <v/>
          </cell>
          <cell r="CT830" t="str">
            <v/>
          </cell>
          <cell r="CU830" t="str">
            <v/>
          </cell>
          <cell r="CV830" t="str">
            <v/>
          </cell>
          <cell r="CW830" t="str">
            <v/>
          </cell>
        </row>
        <row r="831">
          <cell r="CN831" t="str">
            <v/>
          </cell>
          <cell r="CO831" t="str">
            <v/>
          </cell>
          <cell r="CP831" t="str">
            <v/>
          </cell>
          <cell r="CQ831" t="str">
            <v/>
          </cell>
          <cell r="CR831" t="str">
            <v/>
          </cell>
          <cell r="CS831" t="str">
            <v/>
          </cell>
          <cell r="CT831" t="str">
            <v/>
          </cell>
          <cell r="CU831" t="str">
            <v/>
          </cell>
          <cell r="CV831" t="str">
            <v/>
          </cell>
          <cell r="CW831" t="str">
            <v/>
          </cell>
        </row>
        <row r="832">
          <cell r="CN832" t="str">
            <v/>
          </cell>
          <cell r="CO832" t="str">
            <v/>
          </cell>
          <cell r="CP832" t="str">
            <v/>
          </cell>
          <cell r="CQ832" t="str">
            <v/>
          </cell>
          <cell r="CR832" t="str">
            <v/>
          </cell>
          <cell r="CS832" t="str">
            <v/>
          </cell>
          <cell r="CT832" t="str">
            <v/>
          </cell>
          <cell r="CU832" t="str">
            <v/>
          </cell>
          <cell r="CV832" t="str">
            <v/>
          </cell>
          <cell r="CW832" t="str">
            <v/>
          </cell>
        </row>
        <row r="833">
          <cell r="CN833" t="str">
            <v/>
          </cell>
          <cell r="CO833" t="str">
            <v/>
          </cell>
          <cell r="CP833" t="str">
            <v/>
          </cell>
          <cell r="CQ833" t="str">
            <v/>
          </cell>
          <cell r="CR833" t="str">
            <v/>
          </cell>
          <cell r="CS833" t="str">
            <v/>
          </cell>
          <cell r="CT833" t="str">
            <v/>
          </cell>
          <cell r="CU833" t="str">
            <v/>
          </cell>
          <cell r="CV833" t="str">
            <v/>
          </cell>
          <cell r="CW833" t="str">
            <v/>
          </cell>
        </row>
        <row r="834">
          <cell r="CN834" t="str">
            <v/>
          </cell>
          <cell r="CO834" t="str">
            <v/>
          </cell>
          <cell r="CP834" t="str">
            <v/>
          </cell>
          <cell r="CQ834" t="str">
            <v/>
          </cell>
          <cell r="CR834" t="str">
            <v/>
          </cell>
          <cell r="CS834" t="str">
            <v/>
          </cell>
          <cell r="CT834" t="str">
            <v/>
          </cell>
          <cell r="CU834" t="str">
            <v/>
          </cell>
          <cell r="CV834" t="str">
            <v/>
          </cell>
          <cell r="CW834" t="str">
            <v/>
          </cell>
        </row>
        <row r="835">
          <cell r="CN835" t="str">
            <v/>
          </cell>
          <cell r="CO835" t="str">
            <v/>
          </cell>
          <cell r="CP835" t="str">
            <v/>
          </cell>
          <cell r="CQ835" t="str">
            <v/>
          </cell>
          <cell r="CR835" t="str">
            <v/>
          </cell>
          <cell r="CS835" t="str">
            <v/>
          </cell>
          <cell r="CT835" t="str">
            <v/>
          </cell>
          <cell r="CU835" t="str">
            <v/>
          </cell>
          <cell r="CV835" t="str">
            <v/>
          </cell>
          <cell r="CW835" t="str">
            <v/>
          </cell>
        </row>
        <row r="836">
          <cell r="CN836" t="str">
            <v/>
          </cell>
          <cell r="CO836" t="str">
            <v/>
          </cell>
          <cell r="CP836" t="str">
            <v/>
          </cell>
          <cell r="CQ836" t="str">
            <v/>
          </cell>
          <cell r="CR836" t="str">
            <v/>
          </cell>
          <cell r="CS836" t="str">
            <v/>
          </cell>
          <cell r="CT836" t="str">
            <v/>
          </cell>
          <cell r="CU836" t="str">
            <v/>
          </cell>
          <cell r="CV836" t="str">
            <v/>
          </cell>
          <cell r="CW836" t="str">
            <v/>
          </cell>
        </row>
        <row r="837">
          <cell r="CN837" t="str">
            <v/>
          </cell>
          <cell r="CO837" t="str">
            <v/>
          </cell>
          <cell r="CP837" t="str">
            <v/>
          </cell>
          <cell r="CQ837" t="str">
            <v/>
          </cell>
          <cell r="CR837" t="str">
            <v/>
          </cell>
          <cell r="CS837" t="str">
            <v/>
          </cell>
          <cell r="CT837" t="str">
            <v/>
          </cell>
          <cell r="CU837" t="str">
            <v/>
          </cell>
          <cell r="CV837" t="str">
            <v/>
          </cell>
          <cell r="CW837" t="str">
            <v/>
          </cell>
        </row>
        <row r="838">
          <cell r="CN838" t="str">
            <v/>
          </cell>
          <cell r="CO838" t="str">
            <v/>
          </cell>
          <cell r="CP838" t="str">
            <v/>
          </cell>
          <cell r="CQ838" t="str">
            <v/>
          </cell>
          <cell r="CR838" t="str">
            <v/>
          </cell>
          <cell r="CS838" t="str">
            <v/>
          </cell>
          <cell r="CT838" t="str">
            <v/>
          </cell>
          <cell r="CU838" t="str">
            <v/>
          </cell>
          <cell r="CV838" t="str">
            <v/>
          </cell>
          <cell r="CW838" t="str">
            <v/>
          </cell>
        </row>
        <row r="839">
          <cell r="CN839" t="str">
            <v/>
          </cell>
          <cell r="CO839" t="str">
            <v/>
          </cell>
          <cell r="CP839" t="str">
            <v/>
          </cell>
          <cell r="CQ839" t="str">
            <v/>
          </cell>
          <cell r="CR839" t="str">
            <v/>
          </cell>
          <cell r="CS839" t="str">
            <v/>
          </cell>
          <cell r="CT839" t="str">
            <v/>
          </cell>
          <cell r="CU839" t="str">
            <v/>
          </cell>
          <cell r="CV839" t="str">
            <v/>
          </cell>
          <cell r="CW839" t="str">
            <v/>
          </cell>
        </row>
        <row r="840">
          <cell r="CN840" t="str">
            <v/>
          </cell>
          <cell r="CO840" t="str">
            <v/>
          </cell>
          <cell r="CP840" t="str">
            <v/>
          </cell>
          <cell r="CQ840" t="str">
            <v/>
          </cell>
          <cell r="CR840" t="str">
            <v/>
          </cell>
          <cell r="CS840" t="str">
            <v/>
          </cell>
          <cell r="CT840" t="str">
            <v/>
          </cell>
          <cell r="CU840" t="str">
            <v/>
          </cell>
          <cell r="CV840" t="str">
            <v/>
          </cell>
          <cell r="CW840" t="str">
            <v/>
          </cell>
        </row>
        <row r="841">
          <cell r="CN841" t="str">
            <v/>
          </cell>
          <cell r="CO841" t="str">
            <v/>
          </cell>
          <cell r="CP841" t="str">
            <v/>
          </cell>
          <cell r="CQ841" t="str">
            <v/>
          </cell>
          <cell r="CR841" t="str">
            <v/>
          </cell>
          <cell r="CS841" t="str">
            <v/>
          </cell>
          <cell r="CT841" t="str">
            <v/>
          </cell>
          <cell r="CU841" t="str">
            <v/>
          </cell>
          <cell r="CV841" t="str">
            <v/>
          </cell>
          <cell r="CW841" t="str">
            <v/>
          </cell>
        </row>
        <row r="842">
          <cell r="CN842" t="str">
            <v/>
          </cell>
          <cell r="CO842" t="str">
            <v/>
          </cell>
          <cell r="CP842" t="str">
            <v/>
          </cell>
          <cell r="CQ842" t="str">
            <v/>
          </cell>
          <cell r="CR842" t="str">
            <v/>
          </cell>
          <cell r="CS842" t="str">
            <v/>
          </cell>
          <cell r="CT842" t="str">
            <v/>
          </cell>
          <cell r="CU842" t="str">
            <v/>
          </cell>
          <cell r="CV842" t="str">
            <v/>
          </cell>
          <cell r="CW842" t="str">
            <v/>
          </cell>
        </row>
        <row r="843">
          <cell r="CN843" t="str">
            <v/>
          </cell>
          <cell r="CO843" t="str">
            <v/>
          </cell>
          <cell r="CP843" t="str">
            <v/>
          </cell>
          <cell r="CQ843" t="str">
            <v/>
          </cell>
          <cell r="CR843" t="str">
            <v/>
          </cell>
          <cell r="CS843" t="str">
            <v/>
          </cell>
          <cell r="CT843" t="str">
            <v/>
          </cell>
          <cell r="CU843" t="str">
            <v/>
          </cell>
          <cell r="CV843" t="str">
            <v/>
          </cell>
          <cell r="CW843" t="str">
            <v/>
          </cell>
        </row>
        <row r="844">
          <cell r="CN844" t="str">
            <v/>
          </cell>
          <cell r="CO844" t="str">
            <v/>
          </cell>
          <cell r="CP844" t="str">
            <v/>
          </cell>
          <cell r="CQ844" t="str">
            <v/>
          </cell>
          <cell r="CR844" t="str">
            <v/>
          </cell>
          <cell r="CS844" t="str">
            <v/>
          </cell>
          <cell r="CT844" t="str">
            <v/>
          </cell>
          <cell r="CU844" t="str">
            <v/>
          </cell>
          <cell r="CV844" t="str">
            <v/>
          </cell>
          <cell r="CW844" t="str">
            <v/>
          </cell>
        </row>
        <row r="845">
          <cell r="CN845" t="str">
            <v/>
          </cell>
          <cell r="CO845" t="str">
            <v/>
          </cell>
          <cell r="CP845" t="str">
            <v/>
          </cell>
          <cell r="CQ845" t="str">
            <v/>
          </cell>
          <cell r="CR845" t="str">
            <v/>
          </cell>
          <cell r="CS845" t="str">
            <v/>
          </cell>
          <cell r="CT845" t="str">
            <v/>
          </cell>
          <cell r="CU845" t="str">
            <v/>
          </cell>
          <cell r="CV845" t="str">
            <v/>
          </cell>
          <cell r="CW845" t="str">
            <v/>
          </cell>
        </row>
        <row r="846">
          <cell r="CN846" t="str">
            <v/>
          </cell>
          <cell r="CO846" t="str">
            <v/>
          </cell>
          <cell r="CP846" t="str">
            <v/>
          </cell>
          <cell r="CQ846" t="str">
            <v/>
          </cell>
          <cell r="CR846" t="str">
            <v/>
          </cell>
          <cell r="CS846" t="str">
            <v/>
          </cell>
          <cell r="CT846" t="str">
            <v/>
          </cell>
          <cell r="CU846" t="str">
            <v/>
          </cell>
          <cell r="CV846" t="str">
            <v/>
          </cell>
          <cell r="CW846" t="str">
            <v/>
          </cell>
        </row>
        <row r="847">
          <cell r="CN847" t="str">
            <v/>
          </cell>
          <cell r="CO847" t="str">
            <v/>
          </cell>
          <cell r="CP847" t="str">
            <v/>
          </cell>
          <cell r="CQ847" t="str">
            <v/>
          </cell>
          <cell r="CR847" t="str">
            <v/>
          </cell>
          <cell r="CS847" t="str">
            <v/>
          </cell>
          <cell r="CT847" t="str">
            <v/>
          </cell>
          <cell r="CU847" t="str">
            <v/>
          </cell>
          <cell r="CV847" t="str">
            <v/>
          </cell>
          <cell r="CW847" t="str">
            <v/>
          </cell>
        </row>
        <row r="848">
          <cell r="CN848" t="str">
            <v/>
          </cell>
          <cell r="CO848" t="str">
            <v/>
          </cell>
          <cell r="CP848" t="str">
            <v/>
          </cell>
          <cell r="CQ848" t="str">
            <v/>
          </cell>
          <cell r="CR848" t="str">
            <v/>
          </cell>
          <cell r="CS848" t="str">
            <v/>
          </cell>
          <cell r="CT848" t="str">
            <v/>
          </cell>
          <cell r="CU848" t="str">
            <v/>
          </cell>
          <cell r="CV848" t="str">
            <v/>
          </cell>
          <cell r="CW848" t="str">
            <v/>
          </cell>
        </row>
        <row r="849">
          <cell r="CN849" t="str">
            <v/>
          </cell>
          <cell r="CO849" t="str">
            <v/>
          </cell>
          <cell r="CP849" t="str">
            <v/>
          </cell>
          <cell r="CQ849" t="str">
            <v/>
          </cell>
          <cell r="CR849" t="str">
            <v/>
          </cell>
          <cell r="CS849" t="str">
            <v/>
          </cell>
          <cell r="CT849" t="str">
            <v/>
          </cell>
          <cell r="CU849" t="str">
            <v/>
          </cell>
          <cell r="CV849" t="str">
            <v/>
          </cell>
          <cell r="CW849" t="str">
            <v/>
          </cell>
        </row>
        <row r="850">
          <cell r="CN850" t="str">
            <v/>
          </cell>
          <cell r="CO850" t="str">
            <v/>
          </cell>
          <cell r="CP850" t="str">
            <v/>
          </cell>
          <cell r="CQ850" t="str">
            <v/>
          </cell>
          <cell r="CR850" t="str">
            <v/>
          </cell>
          <cell r="CS850" t="str">
            <v/>
          </cell>
          <cell r="CT850" t="str">
            <v/>
          </cell>
          <cell r="CU850" t="str">
            <v/>
          </cell>
          <cell r="CV850" t="str">
            <v/>
          </cell>
          <cell r="CW850" t="str">
            <v/>
          </cell>
        </row>
        <row r="851">
          <cell r="CN851" t="str">
            <v/>
          </cell>
          <cell r="CO851" t="str">
            <v/>
          </cell>
          <cell r="CP851" t="str">
            <v/>
          </cell>
          <cell r="CQ851" t="str">
            <v/>
          </cell>
          <cell r="CR851" t="str">
            <v/>
          </cell>
          <cell r="CS851" t="str">
            <v/>
          </cell>
          <cell r="CT851" t="str">
            <v/>
          </cell>
          <cell r="CU851" t="str">
            <v/>
          </cell>
          <cell r="CV851" t="str">
            <v/>
          </cell>
          <cell r="CW851" t="str">
            <v/>
          </cell>
        </row>
        <row r="852">
          <cell r="CN852" t="str">
            <v/>
          </cell>
          <cell r="CO852" t="str">
            <v/>
          </cell>
          <cell r="CP852" t="str">
            <v/>
          </cell>
          <cell r="CQ852" t="str">
            <v/>
          </cell>
          <cell r="CR852" t="str">
            <v/>
          </cell>
          <cell r="CS852" t="str">
            <v/>
          </cell>
          <cell r="CT852" t="str">
            <v/>
          </cell>
          <cell r="CU852" t="str">
            <v/>
          </cell>
          <cell r="CV852" t="str">
            <v/>
          </cell>
          <cell r="CW852" t="str">
            <v/>
          </cell>
        </row>
        <row r="853">
          <cell r="CN853" t="str">
            <v/>
          </cell>
          <cell r="CO853" t="str">
            <v/>
          </cell>
          <cell r="CP853" t="str">
            <v/>
          </cell>
          <cell r="CQ853" t="str">
            <v/>
          </cell>
          <cell r="CR853" t="str">
            <v/>
          </cell>
          <cell r="CS853" t="str">
            <v/>
          </cell>
          <cell r="CT853" t="str">
            <v/>
          </cell>
          <cell r="CU853" t="str">
            <v/>
          </cell>
          <cell r="CV853" t="str">
            <v/>
          </cell>
          <cell r="CW853" t="str">
            <v/>
          </cell>
        </row>
        <row r="854">
          <cell r="CN854" t="str">
            <v/>
          </cell>
          <cell r="CO854" t="str">
            <v/>
          </cell>
          <cell r="CP854" t="str">
            <v/>
          </cell>
          <cell r="CQ854" t="str">
            <v/>
          </cell>
          <cell r="CR854" t="str">
            <v/>
          </cell>
          <cell r="CS854" t="str">
            <v/>
          </cell>
          <cell r="CT854" t="str">
            <v/>
          </cell>
          <cell r="CU854" t="str">
            <v/>
          </cell>
          <cell r="CV854" t="str">
            <v/>
          </cell>
          <cell r="CW854" t="str">
            <v/>
          </cell>
        </row>
        <row r="855">
          <cell r="CN855" t="str">
            <v/>
          </cell>
          <cell r="CO855" t="str">
            <v/>
          </cell>
          <cell r="CP855" t="str">
            <v/>
          </cell>
          <cell r="CQ855" t="str">
            <v/>
          </cell>
          <cell r="CR855" t="str">
            <v/>
          </cell>
          <cell r="CS855" t="str">
            <v/>
          </cell>
          <cell r="CT855" t="str">
            <v/>
          </cell>
          <cell r="CU855" t="str">
            <v/>
          </cell>
          <cell r="CV855" t="str">
            <v/>
          </cell>
          <cell r="CW855" t="str">
            <v/>
          </cell>
        </row>
        <row r="856">
          <cell r="CN856" t="str">
            <v/>
          </cell>
          <cell r="CO856" t="str">
            <v/>
          </cell>
          <cell r="CP856" t="str">
            <v/>
          </cell>
          <cell r="CQ856" t="str">
            <v/>
          </cell>
          <cell r="CR856" t="str">
            <v/>
          </cell>
          <cell r="CS856" t="str">
            <v/>
          </cell>
          <cell r="CT856" t="str">
            <v/>
          </cell>
          <cell r="CU856" t="str">
            <v/>
          </cell>
          <cell r="CV856" t="str">
            <v/>
          </cell>
          <cell r="CW856" t="str">
            <v/>
          </cell>
        </row>
        <row r="857">
          <cell r="CN857" t="str">
            <v/>
          </cell>
          <cell r="CO857" t="str">
            <v/>
          </cell>
          <cell r="CP857" t="str">
            <v/>
          </cell>
          <cell r="CQ857" t="str">
            <v/>
          </cell>
          <cell r="CR857" t="str">
            <v/>
          </cell>
          <cell r="CS857" t="str">
            <v/>
          </cell>
          <cell r="CT857" t="str">
            <v/>
          </cell>
          <cell r="CU857" t="str">
            <v/>
          </cell>
          <cell r="CV857" t="str">
            <v/>
          </cell>
          <cell r="CW857" t="str">
            <v/>
          </cell>
        </row>
        <row r="858">
          <cell r="CN858" t="str">
            <v/>
          </cell>
          <cell r="CO858" t="str">
            <v/>
          </cell>
          <cell r="CP858" t="str">
            <v/>
          </cell>
          <cell r="CQ858" t="str">
            <v/>
          </cell>
          <cell r="CR858" t="str">
            <v/>
          </cell>
          <cell r="CS858" t="str">
            <v/>
          </cell>
          <cell r="CT858" t="str">
            <v/>
          </cell>
          <cell r="CU858" t="str">
            <v/>
          </cell>
          <cell r="CV858" t="str">
            <v/>
          </cell>
          <cell r="CW858" t="str">
            <v/>
          </cell>
        </row>
        <row r="859">
          <cell r="CN859" t="str">
            <v/>
          </cell>
          <cell r="CO859" t="str">
            <v/>
          </cell>
          <cell r="CP859" t="str">
            <v/>
          </cell>
          <cell r="CQ859" t="str">
            <v/>
          </cell>
          <cell r="CR859" t="str">
            <v/>
          </cell>
          <cell r="CS859" t="str">
            <v/>
          </cell>
          <cell r="CT859" t="str">
            <v/>
          </cell>
          <cell r="CU859" t="str">
            <v/>
          </cell>
          <cell r="CV859" t="str">
            <v/>
          </cell>
          <cell r="CW859" t="str">
            <v/>
          </cell>
        </row>
        <row r="860">
          <cell r="CN860" t="str">
            <v/>
          </cell>
          <cell r="CO860" t="str">
            <v/>
          </cell>
          <cell r="CP860" t="str">
            <v/>
          </cell>
          <cell r="CQ860" t="str">
            <v/>
          </cell>
          <cell r="CR860" t="str">
            <v/>
          </cell>
          <cell r="CS860" t="str">
            <v/>
          </cell>
          <cell r="CT860" t="str">
            <v/>
          </cell>
          <cell r="CU860" t="str">
            <v/>
          </cell>
          <cell r="CV860" t="str">
            <v/>
          </cell>
          <cell r="CW860" t="str">
            <v/>
          </cell>
        </row>
        <row r="861">
          <cell r="CN861" t="str">
            <v/>
          </cell>
          <cell r="CO861" t="str">
            <v/>
          </cell>
          <cell r="CP861" t="str">
            <v/>
          </cell>
          <cell r="CQ861" t="str">
            <v/>
          </cell>
          <cell r="CR861" t="str">
            <v/>
          </cell>
          <cell r="CS861" t="str">
            <v/>
          </cell>
          <cell r="CT861" t="str">
            <v/>
          </cell>
          <cell r="CU861" t="str">
            <v/>
          </cell>
          <cell r="CV861" t="str">
            <v/>
          </cell>
          <cell r="CW861" t="str">
            <v/>
          </cell>
        </row>
        <row r="862">
          <cell r="CN862" t="str">
            <v/>
          </cell>
          <cell r="CO862" t="str">
            <v/>
          </cell>
          <cell r="CP862" t="str">
            <v/>
          </cell>
          <cell r="CQ862" t="str">
            <v/>
          </cell>
          <cell r="CR862" t="str">
            <v/>
          </cell>
          <cell r="CS862" t="str">
            <v/>
          </cell>
          <cell r="CT862" t="str">
            <v/>
          </cell>
          <cell r="CU862" t="str">
            <v/>
          </cell>
          <cell r="CV862" t="str">
            <v/>
          </cell>
          <cell r="CW862" t="str">
            <v/>
          </cell>
        </row>
        <row r="863">
          <cell r="CN863" t="str">
            <v/>
          </cell>
          <cell r="CO863" t="str">
            <v/>
          </cell>
          <cell r="CP863" t="str">
            <v/>
          </cell>
          <cell r="CQ863" t="str">
            <v/>
          </cell>
          <cell r="CR863" t="str">
            <v/>
          </cell>
          <cell r="CS863" t="str">
            <v/>
          </cell>
          <cell r="CT863" t="str">
            <v/>
          </cell>
          <cell r="CU863" t="str">
            <v/>
          </cell>
          <cell r="CV863" t="str">
            <v/>
          </cell>
          <cell r="CW863" t="str">
            <v/>
          </cell>
        </row>
        <row r="864">
          <cell r="CN864" t="str">
            <v/>
          </cell>
          <cell r="CO864" t="str">
            <v/>
          </cell>
          <cell r="CP864" t="str">
            <v/>
          </cell>
          <cell r="CQ864" t="str">
            <v/>
          </cell>
          <cell r="CR864" t="str">
            <v/>
          </cell>
          <cell r="CS864" t="str">
            <v/>
          </cell>
          <cell r="CT864" t="str">
            <v/>
          </cell>
          <cell r="CU864" t="str">
            <v/>
          </cell>
          <cell r="CV864" t="str">
            <v/>
          </cell>
          <cell r="CW864" t="str">
            <v/>
          </cell>
        </row>
        <row r="865">
          <cell r="CN865" t="str">
            <v/>
          </cell>
          <cell r="CO865" t="str">
            <v/>
          </cell>
          <cell r="CP865" t="str">
            <v/>
          </cell>
          <cell r="CQ865" t="str">
            <v/>
          </cell>
          <cell r="CR865" t="str">
            <v/>
          </cell>
          <cell r="CS865" t="str">
            <v/>
          </cell>
          <cell r="CT865" t="str">
            <v/>
          </cell>
          <cell r="CU865" t="str">
            <v/>
          </cell>
          <cell r="CV865" t="str">
            <v/>
          </cell>
          <cell r="CW865" t="str">
            <v/>
          </cell>
        </row>
        <row r="866">
          <cell r="CN866" t="str">
            <v/>
          </cell>
          <cell r="CO866" t="str">
            <v/>
          </cell>
          <cell r="CP866" t="str">
            <v/>
          </cell>
          <cell r="CQ866" t="str">
            <v/>
          </cell>
          <cell r="CR866" t="str">
            <v/>
          </cell>
          <cell r="CS866" t="str">
            <v/>
          </cell>
          <cell r="CT866" t="str">
            <v/>
          </cell>
          <cell r="CU866" t="str">
            <v/>
          </cell>
          <cell r="CV866" t="str">
            <v/>
          </cell>
          <cell r="CW866" t="str">
            <v/>
          </cell>
        </row>
        <row r="867">
          <cell r="CN867" t="str">
            <v/>
          </cell>
          <cell r="CO867" t="str">
            <v/>
          </cell>
          <cell r="CP867" t="str">
            <v/>
          </cell>
          <cell r="CQ867" t="str">
            <v/>
          </cell>
          <cell r="CR867" t="str">
            <v/>
          </cell>
          <cell r="CS867" t="str">
            <v/>
          </cell>
          <cell r="CT867" t="str">
            <v/>
          </cell>
          <cell r="CU867" t="str">
            <v/>
          </cell>
          <cell r="CV867" t="str">
            <v/>
          </cell>
          <cell r="CW867" t="str">
            <v/>
          </cell>
        </row>
        <row r="868">
          <cell r="CN868" t="str">
            <v/>
          </cell>
          <cell r="CO868" t="str">
            <v/>
          </cell>
          <cell r="CP868" t="str">
            <v/>
          </cell>
          <cell r="CQ868" t="str">
            <v/>
          </cell>
          <cell r="CR868" t="str">
            <v/>
          </cell>
          <cell r="CS868" t="str">
            <v/>
          </cell>
          <cell r="CT868" t="str">
            <v/>
          </cell>
          <cell r="CU868" t="str">
            <v/>
          </cell>
          <cell r="CV868" t="str">
            <v/>
          </cell>
          <cell r="CW868" t="str">
            <v/>
          </cell>
        </row>
        <row r="869">
          <cell r="CN869" t="str">
            <v/>
          </cell>
          <cell r="CO869" t="str">
            <v/>
          </cell>
          <cell r="CP869" t="str">
            <v/>
          </cell>
          <cell r="CQ869" t="str">
            <v/>
          </cell>
          <cell r="CR869" t="str">
            <v/>
          </cell>
          <cell r="CS869" t="str">
            <v/>
          </cell>
          <cell r="CT869" t="str">
            <v/>
          </cell>
          <cell r="CU869" t="str">
            <v/>
          </cell>
          <cell r="CV869" t="str">
            <v/>
          </cell>
          <cell r="CW869" t="str">
            <v/>
          </cell>
        </row>
        <row r="870">
          <cell r="CN870" t="str">
            <v/>
          </cell>
          <cell r="CO870" t="str">
            <v/>
          </cell>
          <cell r="CP870" t="str">
            <v/>
          </cell>
          <cell r="CQ870" t="str">
            <v/>
          </cell>
          <cell r="CR870" t="str">
            <v/>
          </cell>
          <cell r="CS870" t="str">
            <v/>
          </cell>
          <cell r="CT870" t="str">
            <v/>
          </cell>
          <cell r="CU870" t="str">
            <v/>
          </cell>
          <cell r="CV870" t="str">
            <v/>
          </cell>
          <cell r="CW870" t="str">
            <v/>
          </cell>
        </row>
        <row r="871">
          <cell r="CN871" t="str">
            <v/>
          </cell>
          <cell r="CO871" t="str">
            <v/>
          </cell>
          <cell r="CP871" t="str">
            <v/>
          </cell>
          <cell r="CQ871" t="str">
            <v/>
          </cell>
          <cell r="CR871" t="str">
            <v/>
          </cell>
          <cell r="CS871" t="str">
            <v/>
          </cell>
          <cell r="CT871" t="str">
            <v/>
          </cell>
          <cell r="CU871" t="str">
            <v/>
          </cell>
          <cell r="CV871" t="str">
            <v/>
          </cell>
          <cell r="CW871" t="str">
            <v/>
          </cell>
        </row>
        <row r="872">
          <cell r="CN872" t="str">
            <v/>
          </cell>
          <cell r="CO872" t="str">
            <v/>
          </cell>
          <cell r="CP872" t="str">
            <v/>
          </cell>
          <cell r="CQ872" t="str">
            <v/>
          </cell>
          <cell r="CR872" t="str">
            <v/>
          </cell>
          <cell r="CS872" t="str">
            <v/>
          </cell>
          <cell r="CT872" t="str">
            <v/>
          </cell>
          <cell r="CU872" t="str">
            <v/>
          </cell>
          <cell r="CV872" t="str">
            <v/>
          </cell>
          <cell r="CW872" t="str">
            <v/>
          </cell>
        </row>
        <row r="873">
          <cell r="CN873" t="str">
            <v/>
          </cell>
          <cell r="CO873" t="str">
            <v/>
          </cell>
          <cell r="CP873" t="str">
            <v/>
          </cell>
          <cell r="CQ873" t="str">
            <v/>
          </cell>
          <cell r="CR873" t="str">
            <v/>
          </cell>
          <cell r="CS873" t="str">
            <v/>
          </cell>
          <cell r="CT873" t="str">
            <v/>
          </cell>
          <cell r="CU873" t="str">
            <v/>
          </cell>
          <cell r="CV873" t="str">
            <v/>
          </cell>
          <cell r="CW873" t="str">
            <v/>
          </cell>
        </row>
        <row r="874">
          <cell r="CN874" t="str">
            <v/>
          </cell>
          <cell r="CO874" t="str">
            <v/>
          </cell>
          <cell r="CP874" t="str">
            <v/>
          </cell>
          <cell r="CQ874" t="str">
            <v/>
          </cell>
          <cell r="CR874" t="str">
            <v/>
          </cell>
          <cell r="CS874" t="str">
            <v/>
          </cell>
          <cell r="CT874" t="str">
            <v/>
          </cell>
          <cell r="CU874" t="str">
            <v/>
          </cell>
          <cell r="CV874" t="str">
            <v/>
          </cell>
          <cell r="CW874" t="str">
            <v/>
          </cell>
        </row>
        <row r="875">
          <cell r="CN875" t="str">
            <v/>
          </cell>
          <cell r="CO875" t="str">
            <v/>
          </cell>
          <cell r="CP875" t="str">
            <v/>
          </cell>
          <cell r="CQ875" t="str">
            <v/>
          </cell>
          <cell r="CR875" t="str">
            <v/>
          </cell>
          <cell r="CS875" t="str">
            <v/>
          </cell>
          <cell r="CT875" t="str">
            <v/>
          </cell>
          <cell r="CU875" t="str">
            <v/>
          </cell>
          <cell r="CV875" t="str">
            <v/>
          </cell>
          <cell r="CW875" t="str">
            <v/>
          </cell>
        </row>
        <row r="876">
          <cell r="CN876" t="str">
            <v/>
          </cell>
          <cell r="CO876" t="str">
            <v/>
          </cell>
          <cell r="CP876" t="str">
            <v/>
          </cell>
          <cell r="CQ876" t="str">
            <v/>
          </cell>
          <cell r="CR876" t="str">
            <v/>
          </cell>
          <cell r="CS876" t="str">
            <v/>
          </cell>
          <cell r="CT876" t="str">
            <v/>
          </cell>
          <cell r="CU876" t="str">
            <v/>
          </cell>
          <cell r="CV876" t="str">
            <v/>
          </cell>
          <cell r="CW876" t="str">
            <v/>
          </cell>
        </row>
        <row r="877">
          <cell r="CN877" t="str">
            <v/>
          </cell>
          <cell r="CO877" t="str">
            <v/>
          </cell>
          <cell r="CP877" t="str">
            <v/>
          </cell>
          <cell r="CQ877" t="str">
            <v/>
          </cell>
          <cell r="CR877" t="str">
            <v/>
          </cell>
          <cell r="CS877" t="str">
            <v/>
          </cell>
          <cell r="CT877" t="str">
            <v/>
          </cell>
          <cell r="CU877" t="str">
            <v/>
          </cell>
          <cell r="CV877" t="str">
            <v/>
          </cell>
          <cell r="CW877" t="str">
            <v/>
          </cell>
        </row>
        <row r="878">
          <cell r="CN878" t="str">
            <v/>
          </cell>
          <cell r="CO878" t="str">
            <v/>
          </cell>
          <cell r="CP878" t="str">
            <v/>
          </cell>
          <cell r="CQ878" t="str">
            <v/>
          </cell>
          <cell r="CR878" t="str">
            <v/>
          </cell>
          <cell r="CS878" t="str">
            <v/>
          </cell>
          <cell r="CT878" t="str">
            <v/>
          </cell>
          <cell r="CU878" t="str">
            <v/>
          </cell>
          <cell r="CV878" t="str">
            <v/>
          </cell>
          <cell r="CW878" t="str">
            <v/>
          </cell>
        </row>
        <row r="879">
          <cell r="CN879" t="str">
            <v/>
          </cell>
          <cell r="CO879" t="str">
            <v/>
          </cell>
          <cell r="CP879" t="str">
            <v/>
          </cell>
          <cell r="CQ879" t="str">
            <v/>
          </cell>
          <cell r="CR879" t="str">
            <v/>
          </cell>
          <cell r="CS879" t="str">
            <v/>
          </cell>
          <cell r="CT879" t="str">
            <v/>
          </cell>
          <cell r="CU879" t="str">
            <v/>
          </cell>
          <cell r="CV879" t="str">
            <v/>
          </cell>
          <cell r="CW879" t="str">
            <v/>
          </cell>
        </row>
        <row r="880">
          <cell r="CN880" t="str">
            <v/>
          </cell>
          <cell r="CO880" t="str">
            <v/>
          </cell>
          <cell r="CP880" t="str">
            <v/>
          </cell>
          <cell r="CQ880" t="str">
            <v/>
          </cell>
          <cell r="CR880" t="str">
            <v/>
          </cell>
          <cell r="CS880" t="str">
            <v/>
          </cell>
          <cell r="CT880" t="str">
            <v/>
          </cell>
          <cell r="CU880" t="str">
            <v/>
          </cell>
          <cell r="CV880" t="str">
            <v/>
          </cell>
          <cell r="CW880" t="str">
            <v/>
          </cell>
        </row>
        <row r="881">
          <cell r="CN881" t="str">
            <v/>
          </cell>
          <cell r="CO881" t="str">
            <v/>
          </cell>
          <cell r="CP881" t="str">
            <v/>
          </cell>
          <cell r="CQ881" t="str">
            <v/>
          </cell>
          <cell r="CR881" t="str">
            <v/>
          </cell>
          <cell r="CS881" t="str">
            <v/>
          </cell>
          <cell r="CT881" t="str">
            <v/>
          </cell>
          <cell r="CU881" t="str">
            <v/>
          </cell>
          <cell r="CV881" t="str">
            <v/>
          </cell>
          <cell r="CW881" t="str">
            <v/>
          </cell>
        </row>
        <row r="882">
          <cell r="CN882" t="str">
            <v/>
          </cell>
          <cell r="CO882" t="str">
            <v/>
          </cell>
          <cell r="CP882" t="str">
            <v/>
          </cell>
          <cell r="CQ882" t="str">
            <v/>
          </cell>
          <cell r="CR882" t="str">
            <v/>
          </cell>
          <cell r="CS882" t="str">
            <v/>
          </cell>
          <cell r="CT882" t="str">
            <v/>
          </cell>
          <cell r="CU882" t="str">
            <v/>
          </cell>
          <cell r="CV882" t="str">
            <v/>
          </cell>
          <cell r="CW882" t="str">
            <v/>
          </cell>
        </row>
        <row r="883">
          <cell r="CN883" t="str">
            <v/>
          </cell>
          <cell r="CO883" t="str">
            <v/>
          </cell>
          <cell r="CP883" t="str">
            <v/>
          </cell>
          <cell r="CQ883" t="str">
            <v/>
          </cell>
          <cell r="CR883" t="str">
            <v/>
          </cell>
          <cell r="CS883" t="str">
            <v/>
          </cell>
          <cell r="CT883" t="str">
            <v/>
          </cell>
          <cell r="CU883" t="str">
            <v/>
          </cell>
          <cell r="CV883" t="str">
            <v/>
          </cell>
          <cell r="CW883" t="str">
            <v/>
          </cell>
        </row>
        <row r="884">
          <cell r="CN884" t="str">
            <v/>
          </cell>
          <cell r="CO884" t="str">
            <v/>
          </cell>
          <cell r="CP884" t="str">
            <v/>
          </cell>
          <cell r="CQ884" t="str">
            <v/>
          </cell>
          <cell r="CR884" t="str">
            <v/>
          </cell>
          <cell r="CS884" t="str">
            <v/>
          </cell>
          <cell r="CT884" t="str">
            <v/>
          </cell>
          <cell r="CU884" t="str">
            <v/>
          </cell>
          <cell r="CV884" t="str">
            <v/>
          </cell>
          <cell r="CW884" t="str">
            <v/>
          </cell>
        </row>
        <row r="885">
          <cell r="CN885" t="str">
            <v/>
          </cell>
          <cell r="CO885" t="str">
            <v/>
          </cell>
          <cell r="CP885" t="str">
            <v/>
          </cell>
          <cell r="CQ885" t="str">
            <v/>
          </cell>
          <cell r="CR885" t="str">
            <v/>
          </cell>
          <cell r="CS885" t="str">
            <v/>
          </cell>
          <cell r="CT885" t="str">
            <v/>
          </cell>
          <cell r="CU885" t="str">
            <v/>
          </cell>
          <cell r="CV885" t="str">
            <v/>
          </cell>
          <cell r="CW885" t="str">
            <v/>
          </cell>
        </row>
        <row r="886">
          <cell r="CN886" t="str">
            <v/>
          </cell>
          <cell r="CO886" t="str">
            <v/>
          </cell>
          <cell r="CP886" t="str">
            <v/>
          </cell>
          <cell r="CQ886" t="str">
            <v/>
          </cell>
          <cell r="CR886" t="str">
            <v/>
          </cell>
          <cell r="CS886" t="str">
            <v/>
          </cell>
          <cell r="CT886" t="str">
            <v/>
          </cell>
          <cell r="CU886" t="str">
            <v/>
          </cell>
          <cell r="CV886" t="str">
            <v/>
          </cell>
          <cell r="CW886" t="str">
            <v/>
          </cell>
        </row>
        <row r="887">
          <cell r="CN887" t="str">
            <v/>
          </cell>
          <cell r="CO887" t="str">
            <v/>
          </cell>
          <cell r="CP887" t="str">
            <v/>
          </cell>
          <cell r="CQ887" t="str">
            <v/>
          </cell>
          <cell r="CR887" t="str">
            <v/>
          </cell>
          <cell r="CS887" t="str">
            <v/>
          </cell>
          <cell r="CT887" t="str">
            <v/>
          </cell>
          <cell r="CU887" t="str">
            <v/>
          </cell>
          <cell r="CV887" t="str">
            <v/>
          </cell>
          <cell r="CW887" t="str">
            <v/>
          </cell>
        </row>
        <row r="888">
          <cell r="CN888" t="str">
            <v/>
          </cell>
          <cell r="CO888" t="str">
            <v/>
          </cell>
          <cell r="CP888" t="str">
            <v/>
          </cell>
          <cell r="CQ888" t="str">
            <v/>
          </cell>
          <cell r="CR888" t="str">
            <v/>
          </cell>
          <cell r="CS888" t="str">
            <v/>
          </cell>
          <cell r="CT888" t="str">
            <v/>
          </cell>
          <cell r="CU888" t="str">
            <v/>
          </cell>
          <cell r="CV888" t="str">
            <v/>
          </cell>
          <cell r="CW888" t="str">
            <v/>
          </cell>
        </row>
        <row r="889">
          <cell r="CN889" t="str">
            <v/>
          </cell>
          <cell r="CO889" t="str">
            <v/>
          </cell>
          <cell r="CP889" t="str">
            <v/>
          </cell>
          <cell r="CQ889" t="str">
            <v/>
          </cell>
          <cell r="CR889" t="str">
            <v/>
          </cell>
          <cell r="CS889" t="str">
            <v/>
          </cell>
          <cell r="CT889" t="str">
            <v/>
          </cell>
          <cell r="CU889" t="str">
            <v/>
          </cell>
          <cell r="CV889" t="str">
            <v/>
          </cell>
          <cell r="CW889" t="str">
            <v/>
          </cell>
        </row>
        <row r="890">
          <cell r="CN890" t="str">
            <v/>
          </cell>
          <cell r="CO890" t="str">
            <v/>
          </cell>
          <cell r="CP890" t="str">
            <v/>
          </cell>
          <cell r="CQ890" t="str">
            <v/>
          </cell>
          <cell r="CR890" t="str">
            <v/>
          </cell>
          <cell r="CS890" t="str">
            <v/>
          </cell>
          <cell r="CT890" t="str">
            <v/>
          </cell>
          <cell r="CU890" t="str">
            <v/>
          </cell>
          <cell r="CV890" t="str">
            <v/>
          </cell>
          <cell r="CW890" t="str">
            <v/>
          </cell>
        </row>
        <row r="891">
          <cell r="CN891" t="str">
            <v/>
          </cell>
          <cell r="CO891" t="str">
            <v/>
          </cell>
          <cell r="CP891" t="str">
            <v/>
          </cell>
          <cell r="CQ891" t="str">
            <v/>
          </cell>
          <cell r="CR891" t="str">
            <v/>
          </cell>
          <cell r="CS891" t="str">
            <v/>
          </cell>
          <cell r="CT891" t="str">
            <v/>
          </cell>
          <cell r="CU891" t="str">
            <v/>
          </cell>
          <cell r="CV891" t="str">
            <v/>
          </cell>
          <cell r="CW891" t="str">
            <v/>
          </cell>
        </row>
        <row r="892">
          <cell r="CN892" t="str">
            <v/>
          </cell>
          <cell r="CO892" t="str">
            <v/>
          </cell>
          <cell r="CP892" t="str">
            <v/>
          </cell>
          <cell r="CQ892" t="str">
            <v/>
          </cell>
          <cell r="CR892" t="str">
            <v/>
          </cell>
          <cell r="CS892" t="str">
            <v/>
          </cell>
          <cell r="CT892" t="str">
            <v/>
          </cell>
          <cell r="CU892" t="str">
            <v/>
          </cell>
          <cell r="CV892" t="str">
            <v/>
          </cell>
          <cell r="CW892" t="str">
            <v/>
          </cell>
        </row>
        <row r="893">
          <cell r="CN893" t="str">
            <v/>
          </cell>
          <cell r="CO893" t="str">
            <v/>
          </cell>
          <cell r="CP893" t="str">
            <v/>
          </cell>
          <cell r="CQ893" t="str">
            <v/>
          </cell>
          <cell r="CR893" t="str">
            <v/>
          </cell>
          <cell r="CS893" t="str">
            <v/>
          </cell>
          <cell r="CT893" t="str">
            <v/>
          </cell>
          <cell r="CU893" t="str">
            <v/>
          </cell>
          <cell r="CV893" t="str">
            <v/>
          </cell>
          <cell r="CW893" t="str">
            <v/>
          </cell>
        </row>
        <row r="894">
          <cell r="CN894" t="str">
            <v/>
          </cell>
          <cell r="CO894" t="str">
            <v/>
          </cell>
          <cell r="CP894" t="str">
            <v/>
          </cell>
          <cell r="CQ894" t="str">
            <v/>
          </cell>
          <cell r="CR894" t="str">
            <v/>
          </cell>
          <cell r="CS894" t="str">
            <v/>
          </cell>
          <cell r="CT894" t="str">
            <v/>
          </cell>
          <cell r="CU894" t="str">
            <v/>
          </cell>
          <cell r="CV894" t="str">
            <v/>
          </cell>
          <cell r="CW894" t="str">
            <v/>
          </cell>
        </row>
        <row r="895">
          <cell r="CN895" t="str">
            <v/>
          </cell>
          <cell r="CO895" t="str">
            <v/>
          </cell>
          <cell r="CP895" t="str">
            <v/>
          </cell>
          <cell r="CQ895" t="str">
            <v/>
          </cell>
          <cell r="CR895" t="str">
            <v/>
          </cell>
          <cell r="CS895" t="str">
            <v/>
          </cell>
          <cell r="CT895" t="str">
            <v/>
          </cell>
          <cell r="CU895" t="str">
            <v/>
          </cell>
          <cell r="CV895" t="str">
            <v/>
          </cell>
          <cell r="CW895" t="str">
            <v/>
          </cell>
        </row>
        <row r="896">
          <cell r="CN896" t="str">
            <v/>
          </cell>
          <cell r="CO896" t="str">
            <v/>
          </cell>
          <cell r="CP896" t="str">
            <v/>
          </cell>
          <cell r="CQ896" t="str">
            <v/>
          </cell>
          <cell r="CR896" t="str">
            <v/>
          </cell>
          <cell r="CS896" t="str">
            <v/>
          </cell>
          <cell r="CT896" t="str">
            <v/>
          </cell>
          <cell r="CU896" t="str">
            <v/>
          </cell>
          <cell r="CV896" t="str">
            <v/>
          </cell>
          <cell r="CW896" t="str">
            <v/>
          </cell>
        </row>
        <row r="897">
          <cell r="CN897" t="str">
            <v/>
          </cell>
          <cell r="CO897" t="str">
            <v/>
          </cell>
          <cell r="CP897" t="str">
            <v/>
          </cell>
          <cell r="CQ897" t="str">
            <v/>
          </cell>
          <cell r="CR897" t="str">
            <v/>
          </cell>
          <cell r="CS897" t="str">
            <v/>
          </cell>
          <cell r="CT897" t="str">
            <v/>
          </cell>
          <cell r="CU897" t="str">
            <v/>
          </cell>
          <cell r="CV897" t="str">
            <v/>
          </cell>
          <cell r="CW897" t="str">
            <v/>
          </cell>
        </row>
        <row r="898">
          <cell r="CN898" t="str">
            <v/>
          </cell>
          <cell r="CO898" t="str">
            <v/>
          </cell>
          <cell r="CP898" t="str">
            <v/>
          </cell>
          <cell r="CQ898" t="str">
            <v/>
          </cell>
          <cell r="CR898" t="str">
            <v/>
          </cell>
          <cell r="CS898" t="str">
            <v/>
          </cell>
          <cell r="CT898" t="str">
            <v/>
          </cell>
          <cell r="CU898" t="str">
            <v/>
          </cell>
          <cell r="CV898" t="str">
            <v/>
          </cell>
          <cell r="CW898" t="str">
            <v/>
          </cell>
        </row>
        <row r="899">
          <cell r="CN899" t="str">
            <v/>
          </cell>
          <cell r="CO899" t="str">
            <v/>
          </cell>
          <cell r="CP899" t="str">
            <v/>
          </cell>
          <cell r="CQ899" t="str">
            <v/>
          </cell>
          <cell r="CR899" t="str">
            <v/>
          </cell>
          <cell r="CS899" t="str">
            <v/>
          </cell>
          <cell r="CT899" t="str">
            <v/>
          </cell>
          <cell r="CU899" t="str">
            <v/>
          </cell>
          <cell r="CV899" t="str">
            <v/>
          </cell>
          <cell r="CW899" t="str">
            <v/>
          </cell>
        </row>
        <row r="900">
          <cell r="CN900" t="str">
            <v/>
          </cell>
          <cell r="CO900" t="str">
            <v/>
          </cell>
          <cell r="CP900" t="str">
            <v/>
          </cell>
          <cell r="CQ900" t="str">
            <v/>
          </cell>
          <cell r="CR900" t="str">
            <v/>
          </cell>
          <cell r="CS900" t="str">
            <v/>
          </cell>
          <cell r="CT900" t="str">
            <v/>
          </cell>
          <cell r="CU900" t="str">
            <v/>
          </cell>
          <cell r="CV900" t="str">
            <v/>
          </cell>
          <cell r="CW900" t="str">
            <v/>
          </cell>
        </row>
        <row r="901">
          <cell r="CN901" t="str">
            <v/>
          </cell>
          <cell r="CO901" t="str">
            <v/>
          </cell>
          <cell r="CP901" t="str">
            <v/>
          </cell>
          <cell r="CQ901" t="str">
            <v/>
          </cell>
          <cell r="CR901" t="str">
            <v/>
          </cell>
          <cell r="CS901" t="str">
            <v/>
          </cell>
          <cell r="CT901" t="str">
            <v/>
          </cell>
          <cell r="CU901" t="str">
            <v/>
          </cell>
          <cell r="CV901" t="str">
            <v/>
          </cell>
          <cell r="CW901" t="str">
            <v/>
          </cell>
        </row>
        <row r="902">
          <cell r="CN902" t="str">
            <v/>
          </cell>
          <cell r="CO902" t="str">
            <v/>
          </cell>
          <cell r="CP902" t="str">
            <v/>
          </cell>
          <cell r="CQ902" t="str">
            <v/>
          </cell>
          <cell r="CR902" t="str">
            <v/>
          </cell>
          <cell r="CS902" t="str">
            <v/>
          </cell>
          <cell r="CT902" t="str">
            <v/>
          </cell>
          <cell r="CU902" t="str">
            <v/>
          </cell>
          <cell r="CV902" t="str">
            <v/>
          </cell>
          <cell r="CW902" t="str">
            <v/>
          </cell>
        </row>
        <row r="903">
          <cell r="CN903" t="str">
            <v/>
          </cell>
          <cell r="CO903" t="str">
            <v/>
          </cell>
          <cell r="CP903" t="str">
            <v/>
          </cell>
          <cell r="CQ903" t="str">
            <v/>
          </cell>
          <cell r="CR903" t="str">
            <v/>
          </cell>
          <cell r="CS903" t="str">
            <v/>
          </cell>
          <cell r="CT903" t="str">
            <v/>
          </cell>
          <cell r="CU903" t="str">
            <v/>
          </cell>
          <cell r="CV903" t="str">
            <v/>
          </cell>
          <cell r="CW903" t="str">
            <v/>
          </cell>
        </row>
        <row r="904">
          <cell r="CN904" t="str">
            <v/>
          </cell>
          <cell r="CO904" t="str">
            <v/>
          </cell>
          <cell r="CP904" t="str">
            <v/>
          </cell>
          <cell r="CQ904" t="str">
            <v/>
          </cell>
          <cell r="CR904" t="str">
            <v/>
          </cell>
          <cell r="CS904" t="str">
            <v/>
          </cell>
          <cell r="CT904" t="str">
            <v/>
          </cell>
          <cell r="CU904" t="str">
            <v/>
          </cell>
          <cell r="CV904" t="str">
            <v/>
          </cell>
          <cell r="CW904" t="str">
            <v/>
          </cell>
        </row>
        <row r="905">
          <cell r="CN905" t="str">
            <v/>
          </cell>
          <cell r="CO905" t="str">
            <v/>
          </cell>
          <cell r="CP905" t="str">
            <v/>
          </cell>
          <cell r="CQ905" t="str">
            <v/>
          </cell>
          <cell r="CR905" t="str">
            <v/>
          </cell>
          <cell r="CS905" t="str">
            <v/>
          </cell>
          <cell r="CT905" t="str">
            <v/>
          </cell>
          <cell r="CU905" t="str">
            <v/>
          </cell>
          <cell r="CV905" t="str">
            <v/>
          </cell>
          <cell r="CW905" t="str">
            <v/>
          </cell>
        </row>
        <row r="906">
          <cell r="CN906" t="str">
            <v/>
          </cell>
          <cell r="CO906" t="str">
            <v/>
          </cell>
          <cell r="CP906" t="str">
            <v/>
          </cell>
          <cell r="CQ906" t="str">
            <v/>
          </cell>
          <cell r="CR906" t="str">
            <v/>
          </cell>
          <cell r="CS906" t="str">
            <v/>
          </cell>
          <cell r="CT906" t="str">
            <v/>
          </cell>
          <cell r="CU906" t="str">
            <v/>
          </cell>
          <cell r="CV906" t="str">
            <v/>
          </cell>
          <cell r="CW906" t="str">
            <v/>
          </cell>
        </row>
        <row r="907">
          <cell r="CN907" t="str">
            <v/>
          </cell>
          <cell r="CO907" t="str">
            <v/>
          </cell>
          <cell r="CP907" t="str">
            <v/>
          </cell>
          <cell r="CQ907" t="str">
            <v/>
          </cell>
          <cell r="CR907" t="str">
            <v/>
          </cell>
          <cell r="CS907" t="str">
            <v/>
          </cell>
          <cell r="CT907" t="str">
            <v/>
          </cell>
          <cell r="CU907" t="str">
            <v/>
          </cell>
          <cell r="CV907" t="str">
            <v/>
          </cell>
          <cell r="CW907" t="str">
            <v/>
          </cell>
        </row>
        <row r="908">
          <cell r="CN908" t="str">
            <v/>
          </cell>
          <cell r="CO908" t="str">
            <v/>
          </cell>
          <cell r="CP908" t="str">
            <v/>
          </cell>
          <cell r="CQ908" t="str">
            <v/>
          </cell>
          <cell r="CR908" t="str">
            <v/>
          </cell>
          <cell r="CS908" t="str">
            <v/>
          </cell>
          <cell r="CT908" t="str">
            <v/>
          </cell>
          <cell r="CU908" t="str">
            <v/>
          </cell>
          <cell r="CV908" t="str">
            <v/>
          </cell>
          <cell r="CW908" t="str">
            <v/>
          </cell>
        </row>
        <row r="909">
          <cell r="CN909" t="str">
            <v/>
          </cell>
          <cell r="CO909" t="str">
            <v/>
          </cell>
          <cell r="CP909" t="str">
            <v/>
          </cell>
          <cell r="CQ909" t="str">
            <v/>
          </cell>
          <cell r="CR909" t="str">
            <v/>
          </cell>
          <cell r="CS909" t="str">
            <v/>
          </cell>
          <cell r="CT909" t="str">
            <v/>
          </cell>
          <cell r="CU909" t="str">
            <v/>
          </cell>
          <cell r="CV909" t="str">
            <v/>
          </cell>
          <cell r="CW909" t="str">
            <v/>
          </cell>
        </row>
        <row r="910">
          <cell r="CN910" t="str">
            <v/>
          </cell>
          <cell r="CO910" t="str">
            <v/>
          </cell>
          <cell r="CP910" t="str">
            <v/>
          </cell>
          <cell r="CQ910" t="str">
            <v/>
          </cell>
          <cell r="CR910" t="str">
            <v/>
          </cell>
          <cell r="CS910" t="str">
            <v/>
          </cell>
          <cell r="CT910" t="str">
            <v/>
          </cell>
          <cell r="CU910" t="str">
            <v/>
          </cell>
          <cell r="CV910" t="str">
            <v/>
          </cell>
          <cell r="CW910" t="str">
            <v/>
          </cell>
        </row>
        <row r="911">
          <cell r="CN911" t="str">
            <v/>
          </cell>
          <cell r="CO911" t="str">
            <v/>
          </cell>
          <cell r="CP911" t="str">
            <v/>
          </cell>
          <cell r="CQ911" t="str">
            <v/>
          </cell>
          <cell r="CR911" t="str">
            <v/>
          </cell>
          <cell r="CS911" t="str">
            <v/>
          </cell>
          <cell r="CT911" t="str">
            <v/>
          </cell>
          <cell r="CU911" t="str">
            <v/>
          </cell>
          <cell r="CV911" t="str">
            <v/>
          </cell>
          <cell r="CW911" t="str">
            <v/>
          </cell>
        </row>
        <row r="912">
          <cell r="CN912" t="str">
            <v/>
          </cell>
          <cell r="CO912" t="str">
            <v/>
          </cell>
          <cell r="CP912" t="str">
            <v/>
          </cell>
          <cell r="CQ912" t="str">
            <v/>
          </cell>
          <cell r="CR912" t="str">
            <v/>
          </cell>
          <cell r="CS912" t="str">
            <v/>
          </cell>
          <cell r="CT912" t="str">
            <v/>
          </cell>
          <cell r="CU912" t="str">
            <v/>
          </cell>
          <cell r="CV912" t="str">
            <v/>
          </cell>
          <cell r="CW912" t="str">
            <v/>
          </cell>
        </row>
        <row r="913">
          <cell r="CN913" t="str">
            <v/>
          </cell>
          <cell r="CO913" t="str">
            <v/>
          </cell>
          <cell r="CP913" t="str">
            <v/>
          </cell>
          <cell r="CQ913" t="str">
            <v/>
          </cell>
          <cell r="CR913" t="str">
            <v/>
          </cell>
          <cell r="CS913" t="str">
            <v/>
          </cell>
          <cell r="CT913" t="str">
            <v/>
          </cell>
          <cell r="CU913" t="str">
            <v/>
          </cell>
          <cell r="CV913" t="str">
            <v/>
          </cell>
          <cell r="CW913" t="str">
            <v/>
          </cell>
        </row>
        <row r="914">
          <cell r="CN914" t="str">
            <v/>
          </cell>
          <cell r="CO914" t="str">
            <v/>
          </cell>
          <cell r="CP914" t="str">
            <v/>
          </cell>
          <cell r="CQ914" t="str">
            <v/>
          </cell>
          <cell r="CR914" t="str">
            <v/>
          </cell>
          <cell r="CS914" t="str">
            <v/>
          </cell>
          <cell r="CT914" t="str">
            <v/>
          </cell>
          <cell r="CU914" t="str">
            <v/>
          </cell>
          <cell r="CV914" t="str">
            <v/>
          </cell>
          <cell r="CW914" t="str">
            <v/>
          </cell>
        </row>
        <row r="915">
          <cell r="CN915" t="str">
            <v/>
          </cell>
          <cell r="CO915" t="str">
            <v/>
          </cell>
          <cell r="CP915" t="str">
            <v/>
          </cell>
          <cell r="CQ915" t="str">
            <v/>
          </cell>
          <cell r="CR915" t="str">
            <v/>
          </cell>
          <cell r="CS915" t="str">
            <v/>
          </cell>
          <cell r="CT915" t="str">
            <v/>
          </cell>
          <cell r="CU915" t="str">
            <v/>
          </cell>
          <cell r="CV915" t="str">
            <v/>
          </cell>
          <cell r="CW915" t="str">
            <v/>
          </cell>
        </row>
        <row r="916">
          <cell r="CN916" t="str">
            <v/>
          </cell>
          <cell r="CO916" t="str">
            <v/>
          </cell>
          <cell r="CP916" t="str">
            <v/>
          </cell>
          <cell r="CQ916" t="str">
            <v/>
          </cell>
          <cell r="CR916" t="str">
            <v/>
          </cell>
          <cell r="CS916" t="str">
            <v/>
          </cell>
          <cell r="CT916" t="str">
            <v/>
          </cell>
          <cell r="CU916" t="str">
            <v/>
          </cell>
          <cell r="CV916" t="str">
            <v/>
          </cell>
          <cell r="CW916" t="str">
            <v/>
          </cell>
        </row>
        <row r="917">
          <cell r="CN917" t="str">
            <v/>
          </cell>
          <cell r="CO917" t="str">
            <v/>
          </cell>
          <cell r="CP917" t="str">
            <v/>
          </cell>
          <cell r="CQ917" t="str">
            <v/>
          </cell>
          <cell r="CR917" t="str">
            <v/>
          </cell>
          <cell r="CS917" t="str">
            <v/>
          </cell>
          <cell r="CT917" t="str">
            <v/>
          </cell>
          <cell r="CU917" t="str">
            <v/>
          </cell>
          <cell r="CV917" t="str">
            <v/>
          </cell>
          <cell r="CW917" t="str">
            <v/>
          </cell>
        </row>
        <row r="918">
          <cell r="CN918" t="str">
            <v/>
          </cell>
          <cell r="CO918" t="str">
            <v/>
          </cell>
          <cell r="CP918" t="str">
            <v/>
          </cell>
          <cell r="CQ918" t="str">
            <v/>
          </cell>
          <cell r="CR918" t="str">
            <v/>
          </cell>
          <cell r="CS918" t="str">
            <v/>
          </cell>
          <cell r="CT918" t="str">
            <v/>
          </cell>
          <cell r="CU918" t="str">
            <v/>
          </cell>
          <cell r="CV918" t="str">
            <v/>
          </cell>
          <cell r="CW918" t="str">
            <v/>
          </cell>
        </row>
        <row r="919">
          <cell r="CN919" t="str">
            <v/>
          </cell>
          <cell r="CO919" t="str">
            <v/>
          </cell>
          <cell r="CP919" t="str">
            <v/>
          </cell>
          <cell r="CQ919" t="str">
            <v/>
          </cell>
          <cell r="CR919" t="str">
            <v/>
          </cell>
          <cell r="CS919" t="str">
            <v/>
          </cell>
          <cell r="CT919" t="str">
            <v/>
          </cell>
          <cell r="CU919" t="str">
            <v/>
          </cell>
          <cell r="CV919" t="str">
            <v/>
          </cell>
          <cell r="CW919" t="str">
            <v/>
          </cell>
        </row>
        <row r="920">
          <cell r="CN920" t="str">
            <v/>
          </cell>
          <cell r="CO920" t="str">
            <v/>
          </cell>
          <cell r="CP920" t="str">
            <v/>
          </cell>
          <cell r="CQ920" t="str">
            <v/>
          </cell>
          <cell r="CR920" t="str">
            <v/>
          </cell>
          <cell r="CS920" t="str">
            <v/>
          </cell>
          <cell r="CT920" t="str">
            <v/>
          </cell>
          <cell r="CU920" t="str">
            <v/>
          </cell>
          <cell r="CV920" t="str">
            <v/>
          </cell>
          <cell r="CW920" t="str">
            <v/>
          </cell>
        </row>
        <row r="921">
          <cell r="CN921" t="str">
            <v/>
          </cell>
          <cell r="CO921" t="str">
            <v/>
          </cell>
          <cell r="CP921" t="str">
            <v/>
          </cell>
          <cell r="CQ921" t="str">
            <v/>
          </cell>
          <cell r="CR921" t="str">
            <v/>
          </cell>
          <cell r="CS921" t="str">
            <v/>
          </cell>
          <cell r="CT921" t="str">
            <v/>
          </cell>
          <cell r="CU921" t="str">
            <v/>
          </cell>
          <cell r="CV921" t="str">
            <v/>
          </cell>
          <cell r="CW921" t="str">
            <v/>
          </cell>
        </row>
        <row r="922">
          <cell r="CN922" t="str">
            <v/>
          </cell>
          <cell r="CO922" t="str">
            <v/>
          </cell>
          <cell r="CP922" t="str">
            <v/>
          </cell>
          <cell r="CQ922" t="str">
            <v/>
          </cell>
          <cell r="CR922" t="str">
            <v/>
          </cell>
          <cell r="CS922" t="str">
            <v/>
          </cell>
          <cell r="CT922" t="str">
            <v/>
          </cell>
          <cell r="CU922" t="str">
            <v/>
          </cell>
          <cell r="CV922" t="str">
            <v/>
          </cell>
          <cell r="CW922" t="str">
            <v/>
          </cell>
        </row>
        <row r="923">
          <cell r="CN923" t="str">
            <v/>
          </cell>
          <cell r="CO923" t="str">
            <v/>
          </cell>
          <cell r="CP923" t="str">
            <v/>
          </cell>
          <cell r="CQ923" t="str">
            <v/>
          </cell>
          <cell r="CR923" t="str">
            <v/>
          </cell>
          <cell r="CS923" t="str">
            <v/>
          </cell>
          <cell r="CT923" t="str">
            <v/>
          </cell>
          <cell r="CU923" t="str">
            <v/>
          </cell>
          <cell r="CV923" t="str">
            <v/>
          </cell>
          <cell r="CW923" t="str">
            <v/>
          </cell>
        </row>
        <row r="924">
          <cell r="CN924" t="str">
            <v/>
          </cell>
          <cell r="CO924" t="str">
            <v/>
          </cell>
          <cell r="CP924" t="str">
            <v/>
          </cell>
          <cell r="CQ924" t="str">
            <v/>
          </cell>
          <cell r="CR924" t="str">
            <v/>
          </cell>
          <cell r="CS924" t="str">
            <v/>
          </cell>
          <cell r="CT924" t="str">
            <v/>
          </cell>
          <cell r="CU924" t="str">
            <v/>
          </cell>
          <cell r="CV924" t="str">
            <v/>
          </cell>
          <cell r="CW924" t="str">
            <v/>
          </cell>
        </row>
        <row r="925">
          <cell r="CN925" t="str">
            <v/>
          </cell>
          <cell r="CO925" t="str">
            <v/>
          </cell>
          <cell r="CP925" t="str">
            <v/>
          </cell>
          <cell r="CQ925" t="str">
            <v/>
          </cell>
          <cell r="CR925" t="str">
            <v/>
          </cell>
          <cell r="CS925" t="str">
            <v/>
          </cell>
          <cell r="CT925" t="str">
            <v/>
          </cell>
          <cell r="CU925" t="str">
            <v/>
          </cell>
          <cell r="CV925" t="str">
            <v/>
          </cell>
          <cell r="CW925" t="str">
            <v/>
          </cell>
        </row>
        <row r="926">
          <cell r="CN926" t="str">
            <v/>
          </cell>
          <cell r="CO926" t="str">
            <v/>
          </cell>
          <cell r="CP926" t="str">
            <v/>
          </cell>
          <cell r="CQ926" t="str">
            <v/>
          </cell>
          <cell r="CR926" t="str">
            <v/>
          </cell>
          <cell r="CS926" t="str">
            <v/>
          </cell>
          <cell r="CT926" t="str">
            <v/>
          </cell>
          <cell r="CU926" t="str">
            <v/>
          </cell>
          <cell r="CV926" t="str">
            <v/>
          </cell>
          <cell r="CW926" t="str">
            <v/>
          </cell>
        </row>
        <row r="927">
          <cell r="CN927" t="str">
            <v/>
          </cell>
          <cell r="CO927" t="str">
            <v/>
          </cell>
          <cell r="CP927" t="str">
            <v/>
          </cell>
          <cell r="CQ927" t="str">
            <v/>
          </cell>
          <cell r="CR927" t="str">
            <v/>
          </cell>
          <cell r="CS927" t="str">
            <v/>
          </cell>
          <cell r="CT927" t="str">
            <v/>
          </cell>
          <cell r="CU927" t="str">
            <v/>
          </cell>
          <cell r="CV927" t="str">
            <v/>
          </cell>
          <cell r="CW927" t="str">
            <v/>
          </cell>
        </row>
        <row r="928">
          <cell r="CN928" t="str">
            <v/>
          </cell>
          <cell r="CO928" t="str">
            <v/>
          </cell>
          <cell r="CP928" t="str">
            <v/>
          </cell>
          <cell r="CQ928" t="str">
            <v/>
          </cell>
          <cell r="CR928" t="str">
            <v/>
          </cell>
          <cell r="CS928" t="str">
            <v/>
          </cell>
          <cell r="CT928" t="str">
            <v/>
          </cell>
          <cell r="CU928" t="str">
            <v/>
          </cell>
          <cell r="CV928" t="str">
            <v/>
          </cell>
          <cell r="CW928" t="str">
            <v/>
          </cell>
        </row>
        <row r="929">
          <cell r="CN929" t="str">
            <v/>
          </cell>
          <cell r="CO929" t="str">
            <v/>
          </cell>
          <cell r="CP929" t="str">
            <v/>
          </cell>
          <cell r="CQ929" t="str">
            <v/>
          </cell>
          <cell r="CR929" t="str">
            <v/>
          </cell>
          <cell r="CS929" t="str">
            <v/>
          </cell>
          <cell r="CT929" t="str">
            <v/>
          </cell>
          <cell r="CU929" t="str">
            <v/>
          </cell>
          <cell r="CV929" t="str">
            <v/>
          </cell>
          <cell r="CW929" t="str">
            <v/>
          </cell>
        </row>
        <row r="930">
          <cell r="CN930" t="str">
            <v/>
          </cell>
          <cell r="CO930" t="str">
            <v/>
          </cell>
          <cell r="CP930" t="str">
            <v/>
          </cell>
          <cell r="CQ930" t="str">
            <v/>
          </cell>
          <cell r="CR930" t="str">
            <v/>
          </cell>
          <cell r="CS930" t="str">
            <v/>
          </cell>
          <cell r="CT930" t="str">
            <v/>
          </cell>
          <cell r="CU930" t="str">
            <v/>
          </cell>
          <cell r="CV930" t="str">
            <v/>
          </cell>
          <cell r="CW930" t="str">
            <v/>
          </cell>
        </row>
        <row r="931">
          <cell r="CN931" t="str">
            <v/>
          </cell>
          <cell r="CO931" t="str">
            <v/>
          </cell>
          <cell r="CP931" t="str">
            <v/>
          </cell>
          <cell r="CQ931" t="str">
            <v/>
          </cell>
          <cell r="CR931" t="str">
            <v/>
          </cell>
          <cell r="CS931" t="str">
            <v/>
          </cell>
          <cell r="CT931" t="str">
            <v/>
          </cell>
          <cell r="CU931" t="str">
            <v/>
          </cell>
          <cell r="CV931" t="str">
            <v/>
          </cell>
          <cell r="CW931" t="str">
            <v/>
          </cell>
        </row>
        <row r="932">
          <cell r="CN932" t="str">
            <v/>
          </cell>
          <cell r="CO932" t="str">
            <v/>
          </cell>
          <cell r="CP932" t="str">
            <v/>
          </cell>
          <cell r="CQ932" t="str">
            <v/>
          </cell>
          <cell r="CR932" t="str">
            <v/>
          </cell>
          <cell r="CS932" t="str">
            <v/>
          </cell>
          <cell r="CT932" t="str">
            <v/>
          </cell>
          <cell r="CU932" t="str">
            <v/>
          </cell>
          <cell r="CV932" t="str">
            <v/>
          </cell>
          <cell r="CW932" t="str">
            <v/>
          </cell>
        </row>
        <row r="933">
          <cell r="CN933" t="str">
            <v/>
          </cell>
          <cell r="CO933" t="str">
            <v/>
          </cell>
          <cell r="CP933" t="str">
            <v/>
          </cell>
          <cell r="CQ933" t="str">
            <v/>
          </cell>
          <cell r="CR933" t="str">
            <v/>
          </cell>
          <cell r="CS933" t="str">
            <v/>
          </cell>
          <cell r="CT933" t="str">
            <v/>
          </cell>
          <cell r="CU933" t="str">
            <v/>
          </cell>
          <cell r="CV933" t="str">
            <v/>
          </cell>
          <cell r="CW933" t="str">
            <v/>
          </cell>
        </row>
        <row r="934">
          <cell r="CN934" t="str">
            <v/>
          </cell>
          <cell r="CO934" t="str">
            <v/>
          </cell>
          <cell r="CP934" t="str">
            <v/>
          </cell>
          <cell r="CQ934" t="str">
            <v/>
          </cell>
          <cell r="CR934" t="str">
            <v/>
          </cell>
          <cell r="CS934" t="str">
            <v/>
          </cell>
          <cell r="CT934" t="str">
            <v/>
          </cell>
          <cell r="CU934" t="str">
            <v/>
          </cell>
          <cell r="CV934" t="str">
            <v/>
          </cell>
          <cell r="CW934" t="str">
            <v/>
          </cell>
        </row>
        <row r="935">
          <cell r="CN935" t="str">
            <v/>
          </cell>
          <cell r="CO935" t="str">
            <v/>
          </cell>
          <cell r="CP935" t="str">
            <v/>
          </cell>
          <cell r="CQ935" t="str">
            <v/>
          </cell>
          <cell r="CR935" t="str">
            <v/>
          </cell>
          <cell r="CS935" t="str">
            <v/>
          </cell>
          <cell r="CT935" t="str">
            <v/>
          </cell>
          <cell r="CU935" t="str">
            <v/>
          </cell>
          <cell r="CV935" t="str">
            <v/>
          </cell>
          <cell r="CW935" t="str">
            <v/>
          </cell>
        </row>
        <row r="936">
          <cell r="CN936" t="str">
            <v/>
          </cell>
          <cell r="CO936" t="str">
            <v/>
          </cell>
          <cell r="CP936" t="str">
            <v/>
          </cell>
          <cell r="CQ936" t="str">
            <v/>
          </cell>
          <cell r="CR936" t="str">
            <v/>
          </cell>
          <cell r="CS936" t="str">
            <v/>
          </cell>
          <cell r="CT936" t="str">
            <v/>
          </cell>
          <cell r="CU936" t="str">
            <v/>
          </cell>
          <cell r="CV936" t="str">
            <v/>
          </cell>
          <cell r="CW936" t="str">
            <v/>
          </cell>
        </row>
        <row r="937">
          <cell r="CN937" t="str">
            <v/>
          </cell>
          <cell r="CO937" t="str">
            <v/>
          </cell>
          <cell r="CP937" t="str">
            <v/>
          </cell>
          <cell r="CQ937" t="str">
            <v/>
          </cell>
          <cell r="CR937" t="str">
            <v/>
          </cell>
          <cell r="CS937" t="str">
            <v/>
          </cell>
          <cell r="CT937" t="str">
            <v/>
          </cell>
          <cell r="CU937" t="str">
            <v/>
          </cell>
          <cell r="CV937" t="str">
            <v/>
          </cell>
          <cell r="CW937" t="str">
            <v/>
          </cell>
        </row>
        <row r="938">
          <cell r="CN938" t="str">
            <v/>
          </cell>
          <cell r="CO938" t="str">
            <v/>
          </cell>
          <cell r="CP938" t="str">
            <v/>
          </cell>
          <cell r="CQ938" t="str">
            <v/>
          </cell>
          <cell r="CR938" t="str">
            <v/>
          </cell>
          <cell r="CS938" t="str">
            <v/>
          </cell>
          <cell r="CT938" t="str">
            <v/>
          </cell>
          <cell r="CU938" t="str">
            <v/>
          </cell>
          <cell r="CV938" t="str">
            <v/>
          </cell>
          <cell r="CW938" t="str">
            <v/>
          </cell>
        </row>
        <row r="939">
          <cell r="CN939" t="str">
            <v/>
          </cell>
          <cell r="CO939" t="str">
            <v/>
          </cell>
          <cell r="CP939" t="str">
            <v/>
          </cell>
          <cell r="CQ939" t="str">
            <v/>
          </cell>
          <cell r="CR939" t="str">
            <v/>
          </cell>
          <cell r="CS939" t="str">
            <v/>
          </cell>
          <cell r="CT939" t="str">
            <v/>
          </cell>
          <cell r="CU939" t="str">
            <v/>
          </cell>
          <cell r="CV939" t="str">
            <v/>
          </cell>
          <cell r="CW939" t="str">
            <v/>
          </cell>
        </row>
        <row r="940">
          <cell r="CN940" t="str">
            <v/>
          </cell>
          <cell r="CO940" t="str">
            <v/>
          </cell>
          <cell r="CP940" t="str">
            <v/>
          </cell>
          <cell r="CQ940" t="str">
            <v/>
          </cell>
          <cell r="CR940" t="str">
            <v/>
          </cell>
          <cell r="CS940" t="str">
            <v/>
          </cell>
          <cell r="CT940" t="str">
            <v/>
          </cell>
          <cell r="CU940" t="str">
            <v/>
          </cell>
          <cell r="CV940" t="str">
            <v/>
          </cell>
          <cell r="CW940" t="str">
            <v/>
          </cell>
        </row>
        <row r="941">
          <cell r="CN941" t="str">
            <v/>
          </cell>
          <cell r="CO941" t="str">
            <v/>
          </cell>
          <cell r="CP941" t="str">
            <v/>
          </cell>
          <cell r="CQ941" t="str">
            <v/>
          </cell>
          <cell r="CR941" t="str">
            <v/>
          </cell>
          <cell r="CS941" t="str">
            <v/>
          </cell>
          <cell r="CT941" t="str">
            <v/>
          </cell>
          <cell r="CU941" t="str">
            <v/>
          </cell>
          <cell r="CV941" t="str">
            <v/>
          </cell>
          <cell r="CW941" t="str">
            <v/>
          </cell>
        </row>
        <row r="942">
          <cell r="CN942" t="str">
            <v/>
          </cell>
          <cell r="CO942" t="str">
            <v/>
          </cell>
          <cell r="CP942" t="str">
            <v/>
          </cell>
          <cell r="CQ942" t="str">
            <v/>
          </cell>
          <cell r="CR942" t="str">
            <v/>
          </cell>
          <cell r="CS942" t="str">
            <v/>
          </cell>
          <cell r="CT942" t="str">
            <v/>
          </cell>
          <cell r="CU942" t="str">
            <v/>
          </cell>
          <cell r="CV942" t="str">
            <v/>
          </cell>
          <cell r="CW942" t="str">
            <v/>
          </cell>
        </row>
        <row r="943">
          <cell r="CN943" t="str">
            <v/>
          </cell>
          <cell r="CO943" t="str">
            <v/>
          </cell>
          <cell r="CP943" t="str">
            <v/>
          </cell>
          <cell r="CQ943" t="str">
            <v/>
          </cell>
          <cell r="CR943" t="str">
            <v/>
          </cell>
          <cell r="CS943" t="str">
            <v/>
          </cell>
          <cell r="CT943" t="str">
            <v/>
          </cell>
          <cell r="CU943" t="str">
            <v/>
          </cell>
          <cell r="CV943" t="str">
            <v/>
          </cell>
          <cell r="CW943" t="str">
            <v/>
          </cell>
        </row>
        <row r="944">
          <cell r="CN944" t="str">
            <v/>
          </cell>
          <cell r="CO944" t="str">
            <v/>
          </cell>
          <cell r="CP944" t="str">
            <v/>
          </cell>
          <cell r="CQ944" t="str">
            <v/>
          </cell>
          <cell r="CR944" t="str">
            <v/>
          </cell>
          <cell r="CS944" t="str">
            <v/>
          </cell>
          <cell r="CT944" t="str">
            <v/>
          </cell>
          <cell r="CU944" t="str">
            <v/>
          </cell>
          <cell r="CV944" t="str">
            <v/>
          </cell>
          <cell r="CW944" t="str">
            <v/>
          </cell>
        </row>
        <row r="945">
          <cell r="CN945" t="str">
            <v/>
          </cell>
          <cell r="CO945" t="str">
            <v/>
          </cell>
          <cell r="CP945" t="str">
            <v/>
          </cell>
          <cell r="CQ945" t="str">
            <v/>
          </cell>
          <cell r="CR945" t="str">
            <v/>
          </cell>
          <cell r="CS945" t="str">
            <v/>
          </cell>
          <cell r="CT945" t="str">
            <v/>
          </cell>
          <cell r="CU945" t="str">
            <v/>
          </cell>
          <cell r="CV945" t="str">
            <v/>
          </cell>
          <cell r="CW945" t="str">
            <v/>
          </cell>
        </row>
        <row r="946">
          <cell r="CN946" t="str">
            <v/>
          </cell>
          <cell r="CO946" t="str">
            <v/>
          </cell>
          <cell r="CP946" t="str">
            <v/>
          </cell>
          <cell r="CQ946" t="str">
            <v/>
          </cell>
          <cell r="CR946" t="str">
            <v/>
          </cell>
          <cell r="CS946" t="str">
            <v/>
          </cell>
          <cell r="CT946" t="str">
            <v/>
          </cell>
          <cell r="CU946" t="str">
            <v/>
          </cell>
          <cell r="CV946" t="str">
            <v/>
          </cell>
          <cell r="CW946" t="str">
            <v/>
          </cell>
        </row>
        <row r="947">
          <cell r="CN947" t="str">
            <v/>
          </cell>
          <cell r="CO947" t="str">
            <v/>
          </cell>
          <cell r="CP947" t="str">
            <v/>
          </cell>
          <cell r="CQ947" t="str">
            <v/>
          </cell>
          <cell r="CR947" t="str">
            <v/>
          </cell>
          <cell r="CS947" t="str">
            <v/>
          </cell>
          <cell r="CT947" t="str">
            <v/>
          </cell>
          <cell r="CU947" t="str">
            <v/>
          </cell>
          <cell r="CV947" t="str">
            <v/>
          </cell>
          <cell r="CW947" t="str">
            <v/>
          </cell>
        </row>
        <row r="948">
          <cell r="CN948" t="str">
            <v/>
          </cell>
          <cell r="CO948" t="str">
            <v/>
          </cell>
          <cell r="CP948" t="str">
            <v/>
          </cell>
          <cell r="CQ948" t="str">
            <v/>
          </cell>
          <cell r="CR948" t="str">
            <v/>
          </cell>
          <cell r="CS948" t="str">
            <v/>
          </cell>
          <cell r="CT948" t="str">
            <v/>
          </cell>
          <cell r="CU948" t="str">
            <v/>
          </cell>
          <cell r="CV948" t="str">
            <v/>
          </cell>
          <cell r="CW948" t="str">
            <v/>
          </cell>
        </row>
        <row r="949">
          <cell r="CN949" t="str">
            <v/>
          </cell>
          <cell r="CO949" t="str">
            <v/>
          </cell>
          <cell r="CP949" t="str">
            <v/>
          </cell>
          <cell r="CQ949" t="str">
            <v/>
          </cell>
          <cell r="CR949" t="str">
            <v/>
          </cell>
          <cell r="CS949" t="str">
            <v/>
          </cell>
          <cell r="CT949" t="str">
            <v/>
          </cell>
          <cell r="CU949" t="str">
            <v/>
          </cell>
          <cell r="CV949" t="str">
            <v/>
          </cell>
          <cell r="CW949" t="str">
            <v/>
          </cell>
        </row>
        <row r="950">
          <cell r="CN950" t="str">
            <v/>
          </cell>
          <cell r="CO950" t="str">
            <v/>
          </cell>
          <cell r="CP950" t="str">
            <v/>
          </cell>
          <cell r="CQ950" t="str">
            <v/>
          </cell>
          <cell r="CR950" t="str">
            <v/>
          </cell>
          <cell r="CS950" t="str">
            <v/>
          </cell>
          <cell r="CT950" t="str">
            <v/>
          </cell>
          <cell r="CU950" t="str">
            <v/>
          </cell>
          <cell r="CV950" t="str">
            <v/>
          </cell>
          <cell r="CW950" t="str">
            <v/>
          </cell>
        </row>
        <row r="951">
          <cell r="CN951" t="str">
            <v/>
          </cell>
          <cell r="CO951" t="str">
            <v/>
          </cell>
          <cell r="CP951" t="str">
            <v/>
          </cell>
          <cell r="CQ951" t="str">
            <v/>
          </cell>
          <cell r="CR951" t="str">
            <v/>
          </cell>
          <cell r="CS951" t="str">
            <v/>
          </cell>
          <cell r="CT951" t="str">
            <v/>
          </cell>
          <cell r="CU951" t="str">
            <v/>
          </cell>
          <cell r="CV951" t="str">
            <v/>
          </cell>
          <cell r="CW951" t="str">
            <v/>
          </cell>
        </row>
        <row r="952">
          <cell r="CN952" t="str">
            <v/>
          </cell>
          <cell r="CO952" t="str">
            <v/>
          </cell>
          <cell r="CP952" t="str">
            <v/>
          </cell>
          <cell r="CQ952" t="str">
            <v/>
          </cell>
          <cell r="CR952" t="str">
            <v/>
          </cell>
          <cell r="CS952" t="str">
            <v/>
          </cell>
          <cell r="CT952" t="str">
            <v/>
          </cell>
          <cell r="CU952" t="str">
            <v/>
          </cell>
          <cell r="CV952" t="str">
            <v/>
          </cell>
          <cell r="CW952" t="str">
            <v/>
          </cell>
        </row>
        <row r="953">
          <cell r="CN953" t="str">
            <v/>
          </cell>
          <cell r="CO953" t="str">
            <v/>
          </cell>
          <cell r="CP953" t="str">
            <v/>
          </cell>
          <cell r="CQ953" t="str">
            <v/>
          </cell>
          <cell r="CR953" t="str">
            <v/>
          </cell>
          <cell r="CS953" t="str">
            <v/>
          </cell>
          <cell r="CT953" t="str">
            <v/>
          </cell>
          <cell r="CU953" t="str">
            <v/>
          </cell>
          <cell r="CV953" t="str">
            <v/>
          </cell>
          <cell r="CW953" t="str">
            <v/>
          </cell>
        </row>
        <row r="954">
          <cell r="CN954" t="str">
            <v/>
          </cell>
          <cell r="CO954" t="str">
            <v/>
          </cell>
          <cell r="CP954" t="str">
            <v/>
          </cell>
          <cell r="CQ954" t="str">
            <v/>
          </cell>
          <cell r="CR954" t="str">
            <v/>
          </cell>
          <cell r="CS954" t="str">
            <v/>
          </cell>
          <cell r="CT954" t="str">
            <v/>
          </cell>
          <cell r="CU954" t="str">
            <v/>
          </cell>
          <cell r="CV954" t="str">
            <v/>
          </cell>
          <cell r="CW954" t="str">
            <v/>
          </cell>
        </row>
        <row r="955">
          <cell r="CN955" t="str">
            <v/>
          </cell>
          <cell r="CO955" t="str">
            <v/>
          </cell>
          <cell r="CP955" t="str">
            <v/>
          </cell>
          <cell r="CQ955" t="str">
            <v/>
          </cell>
          <cell r="CR955" t="str">
            <v/>
          </cell>
          <cell r="CS955" t="str">
            <v/>
          </cell>
          <cell r="CT955" t="str">
            <v/>
          </cell>
          <cell r="CU955" t="str">
            <v/>
          </cell>
          <cell r="CV955" t="str">
            <v/>
          </cell>
          <cell r="CW955" t="str">
            <v/>
          </cell>
        </row>
        <row r="956">
          <cell r="CN956" t="str">
            <v/>
          </cell>
          <cell r="CO956" t="str">
            <v/>
          </cell>
          <cell r="CP956" t="str">
            <v/>
          </cell>
          <cell r="CQ956" t="str">
            <v/>
          </cell>
          <cell r="CR956" t="str">
            <v/>
          </cell>
          <cell r="CS956" t="str">
            <v/>
          </cell>
          <cell r="CT956" t="str">
            <v/>
          </cell>
          <cell r="CU956" t="str">
            <v/>
          </cell>
          <cell r="CV956" t="str">
            <v/>
          </cell>
          <cell r="CW956" t="str">
            <v/>
          </cell>
        </row>
        <row r="957">
          <cell r="CN957" t="str">
            <v/>
          </cell>
          <cell r="CO957" t="str">
            <v/>
          </cell>
          <cell r="CP957" t="str">
            <v/>
          </cell>
          <cell r="CQ957" t="str">
            <v/>
          </cell>
          <cell r="CR957" t="str">
            <v/>
          </cell>
          <cell r="CS957" t="str">
            <v/>
          </cell>
          <cell r="CT957" t="str">
            <v/>
          </cell>
          <cell r="CU957" t="str">
            <v/>
          </cell>
          <cell r="CV957" t="str">
            <v/>
          </cell>
          <cell r="CW957" t="str">
            <v/>
          </cell>
        </row>
        <row r="958">
          <cell r="CN958" t="str">
            <v/>
          </cell>
          <cell r="CO958" t="str">
            <v/>
          </cell>
          <cell r="CP958" t="str">
            <v/>
          </cell>
          <cell r="CQ958" t="str">
            <v/>
          </cell>
          <cell r="CR958" t="str">
            <v/>
          </cell>
          <cell r="CS958" t="str">
            <v/>
          </cell>
          <cell r="CT958" t="str">
            <v/>
          </cell>
          <cell r="CU958" t="str">
            <v/>
          </cell>
          <cell r="CV958" t="str">
            <v/>
          </cell>
          <cell r="CW958" t="str">
            <v/>
          </cell>
        </row>
        <row r="959">
          <cell r="CN959" t="str">
            <v/>
          </cell>
          <cell r="CO959" t="str">
            <v/>
          </cell>
          <cell r="CP959" t="str">
            <v/>
          </cell>
          <cell r="CQ959" t="str">
            <v/>
          </cell>
          <cell r="CR959" t="str">
            <v/>
          </cell>
          <cell r="CS959" t="str">
            <v/>
          </cell>
          <cell r="CT959" t="str">
            <v/>
          </cell>
          <cell r="CU959" t="str">
            <v/>
          </cell>
          <cell r="CV959" t="str">
            <v/>
          </cell>
          <cell r="CW959" t="str">
            <v/>
          </cell>
        </row>
        <row r="960">
          <cell r="CN960" t="str">
            <v/>
          </cell>
          <cell r="CO960" t="str">
            <v/>
          </cell>
          <cell r="CP960" t="str">
            <v/>
          </cell>
          <cell r="CQ960" t="str">
            <v/>
          </cell>
          <cell r="CR960" t="str">
            <v/>
          </cell>
          <cell r="CS960" t="str">
            <v/>
          </cell>
          <cell r="CT960" t="str">
            <v/>
          </cell>
          <cell r="CU960" t="str">
            <v/>
          </cell>
          <cell r="CV960" t="str">
            <v/>
          </cell>
          <cell r="CW960" t="str">
            <v/>
          </cell>
        </row>
        <row r="961">
          <cell r="CN961" t="str">
            <v/>
          </cell>
          <cell r="CO961" t="str">
            <v/>
          </cell>
          <cell r="CP961" t="str">
            <v/>
          </cell>
          <cell r="CQ961" t="str">
            <v/>
          </cell>
          <cell r="CR961" t="str">
            <v/>
          </cell>
          <cell r="CS961" t="str">
            <v/>
          </cell>
          <cell r="CT961" t="str">
            <v/>
          </cell>
          <cell r="CU961" t="str">
            <v/>
          </cell>
          <cell r="CV961" t="str">
            <v/>
          </cell>
          <cell r="CW961" t="str">
            <v/>
          </cell>
        </row>
        <row r="962">
          <cell r="CN962" t="str">
            <v/>
          </cell>
          <cell r="CO962" t="str">
            <v/>
          </cell>
          <cell r="CP962" t="str">
            <v/>
          </cell>
          <cell r="CQ962" t="str">
            <v/>
          </cell>
          <cell r="CR962" t="str">
            <v/>
          </cell>
          <cell r="CS962" t="str">
            <v/>
          </cell>
          <cell r="CT962" t="str">
            <v/>
          </cell>
          <cell r="CU962" t="str">
            <v/>
          </cell>
          <cell r="CV962" t="str">
            <v/>
          </cell>
          <cell r="CW962" t="str">
            <v/>
          </cell>
        </row>
        <row r="963">
          <cell r="CN963" t="str">
            <v/>
          </cell>
          <cell r="CO963" t="str">
            <v/>
          </cell>
          <cell r="CP963" t="str">
            <v/>
          </cell>
          <cell r="CQ963" t="str">
            <v/>
          </cell>
          <cell r="CR963" t="str">
            <v/>
          </cell>
          <cell r="CS963" t="str">
            <v/>
          </cell>
          <cell r="CT963" t="str">
            <v/>
          </cell>
          <cell r="CU963" t="str">
            <v/>
          </cell>
          <cell r="CV963" t="str">
            <v/>
          </cell>
          <cell r="CW963" t="str">
            <v/>
          </cell>
        </row>
        <row r="964">
          <cell r="CN964" t="str">
            <v/>
          </cell>
          <cell r="CO964" t="str">
            <v/>
          </cell>
          <cell r="CP964" t="str">
            <v/>
          </cell>
          <cell r="CQ964" t="str">
            <v/>
          </cell>
          <cell r="CR964" t="str">
            <v/>
          </cell>
          <cell r="CS964" t="str">
            <v/>
          </cell>
          <cell r="CT964" t="str">
            <v/>
          </cell>
          <cell r="CU964" t="str">
            <v/>
          </cell>
          <cell r="CV964" t="str">
            <v/>
          </cell>
          <cell r="CW964" t="str">
            <v/>
          </cell>
        </row>
        <row r="965">
          <cell r="CN965" t="str">
            <v/>
          </cell>
          <cell r="CO965" t="str">
            <v/>
          </cell>
          <cell r="CP965" t="str">
            <v/>
          </cell>
          <cell r="CQ965" t="str">
            <v/>
          </cell>
          <cell r="CR965" t="str">
            <v/>
          </cell>
          <cell r="CS965" t="str">
            <v/>
          </cell>
          <cell r="CT965" t="str">
            <v/>
          </cell>
          <cell r="CU965" t="str">
            <v/>
          </cell>
          <cell r="CV965" t="str">
            <v/>
          </cell>
          <cell r="CW965" t="str">
            <v/>
          </cell>
        </row>
        <row r="966">
          <cell r="CN966" t="str">
            <v/>
          </cell>
          <cell r="CO966" t="str">
            <v/>
          </cell>
          <cell r="CP966" t="str">
            <v/>
          </cell>
          <cell r="CQ966" t="str">
            <v/>
          </cell>
          <cell r="CR966" t="str">
            <v/>
          </cell>
          <cell r="CS966" t="str">
            <v/>
          </cell>
          <cell r="CT966" t="str">
            <v/>
          </cell>
          <cell r="CU966" t="str">
            <v/>
          </cell>
          <cell r="CV966" t="str">
            <v/>
          </cell>
          <cell r="CW966" t="str">
            <v/>
          </cell>
        </row>
        <row r="967">
          <cell r="CN967" t="str">
            <v/>
          </cell>
          <cell r="CO967" t="str">
            <v/>
          </cell>
          <cell r="CP967" t="str">
            <v/>
          </cell>
          <cell r="CQ967" t="str">
            <v/>
          </cell>
          <cell r="CR967" t="str">
            <v/>
          </cell>
          <cell r="CS967" t="str">
            <v/>
          </cell>
          <cell r="CT967" t="str">
            <v/>
          </cell>
          <cell r="CU967" t="str">
            <v/>
          </cell>
          <cell r="CV967" t="str">
            <v/>
          </cell>
          <cell r="CW967" t="str">
            <v/>
          </cell>
        </row>
        <row r="968">
          <cell r="CN968" t="str">
            <v/>
          </cell>
          <cell r="CO968" t="str">
            <v/>
          </cell>
          <cell r="CP968" t="str">
            <v/>
          </cell>
          <cell r="CQ968" t="str">
            <v/>
          </cell>
          <cell r="CR968" t="str">
            <v/>
          </cell>
          <cell r="CS968" t="str">
            <v/>
          </cell>
          <cell r="CT968" t="str">
            <v/>
          </cell>
          <cell r="CU968" t="str">
            <v/>
          </cell>
          <cell r="CV968" t="str">
            <v/>
          </cell>
          <cell r="CW968" t="str">
            <v/>
          </cell>
        </row>
        <row r="969">
          <cell r="CN969" t="str">
            <v/>
          </cell>
          <cell r="CO969" t="str">
            <v/>
          </cell>
          <cell r="CP969" t="str">
            <v/>
          </cell>
          <cell r="CQ969" t="str">
            <v/>
          </cell>
          <cell r="CR969" t="str">
            <v/>
          </cell>
          <cell r="CS969" t="str">
            <v/>
          </cell>
          <cell r="CT969" t="str">
            <v/>
          </cell>
          <cell r="CU969" t="str">
            <v/>
          </cell>
          <cell r="CV969" t="str">
            <v/>
          </cell>
          <cell r="CW969" t="str">
            <v/>
          </cell>
        </row>
        <row r="970">
          <cell r="CN970" t="str">
            <v/>
          </cell>
          <cell r="CO970" t="str">
            <v/>
          </cell>
          <cell r="CP970" t="str">
            <v/>
          </cell>
          <cell r="CQ970" t="str">
            <v/>
          </cell>
          <cell r="CR970" t="str">
            <v/>
          </cell>
          <cell r="CS970" t="str">
            <v/>
          </cell>
          <cell r="CT970" t="str">
            <v/>
          </cell>
          <cell r="CU970" t="str">
            <v/>
          </cell>
          <cell r="CV970" t="str">
            <v/>
          </cell>
          <cell r="CW970" t="str">
            <v/>
          </cell>
        </row>
        <row r="971">
          <cell r="CN971" t="str">
            <v/>
          </cell>
          <cell r="CO971" t="str">
            <v/>
          </cell>
          <cell r="CP971" t="str">
            <v/>
          </cell>
          <cell r="CQ971" t="str">
            <v/>
          </cell>
          <cell r="CR971" t="str">
            <v/>
          </cell>
          <cell r="CS971" t="str">
            <v/>
          </cell>
          <cell r="CT971" t="str">
            <v/>
          </cell>
          <cell r="CU971" t="str">
            <v/>
          </cell>
          <cell r="CV971" t="str">
            <v/>
          </cell>
          <cell r="CW971" t="str">
            <v/>
          </cell>
        </row>
        <row r="972">
          <cell r="CN972" t="str">
            <v/>
          </cell>
          <cell r="CO972" t="str">
            <v/>
          </cell>
          <cell r="CP972" t="str">
            <v/>
          </cell>
          <cell r="CQ972" t="str">
            <v/>
          </cell>
          <cell r="CR972" t="str">
            <v/>
          </cell>
          <cell r="CS972" t="str">
            <v/>
          </cell>
          <cell r="CT972" t="str">
            <v/>
          </cell>
          <cell r="CU972" t="str">
            <v/>
          </cell>
          <cell r="CV972" t="str">
            <v/>
          </cell>
          <cell r="CW972" t="str">
            <v/>
          </cell>
        </row>
        <row r="973">
          <cell r="CN973" t="str">
            <v/>
          </cell>
          <cell r="CO973" t="str">
            <v/>
          </cell>
          <cell r="CP973" t="str">
            <v/>
          </cell>
          <cell r="CQ973" t="str">
            <v/>
          </cell>
          <cell r="CR973" t="str">
            <v/>
          </cell>
          <cell r="CS973" t="str">
            <v/>
          </cell>
          <cell r="CT973" t="str">
            <v/>
          </cell>
          <cell r="CU973" t="str">
            <v/>
          </cell>
          <cell r="CV973" t="str">
            <v/>
          </cell>
          <cell r="CW973" t="str">
            <v/>
          </cell>
        </row>
        <row r="974">
          <cell r="CN974" t="str">
            <v/>
          </cell>
          <cell r="CO974" t="str">
            <v/>
          </cell>
          <cell r="CP974" t="str">
            <v/>
          </cell>
          <cell r="CQ974" t="str">
            <v/>
          </cell>
          <cell r="CR974" t="str">
            <v/>
          </cell>
          <cell r="CS974" t="str">
            <v/>
          </cell>
          <cell r="CT974" t="str">
            <v/>
          </cell>
          <cell r="CU974" t="str">
            <v/>
          </cell>
          <cell r="CV974" t="str">
            <v/>
          </cell>
          <cell r="CW974" t="str">
            <v/>
          </cell>
        </row>
        <row r="975">
          <cell r="CN975" t="str">
            <v/>
          </cell>
          <cell r="CO975" t="str">
            <v/>
          </cell>
          <cell r="CP975" t="str">
            <v/>
          </cell>
          <cell r="CQ975" t="str">
            <v/>
          </cell>
          <cell r="CR975" t="str">
            <v/>
          </cell>
          <cell r="CS975" t="str">
            <v/>
          </cell>
          <cell r="CT975" t="str">
            <v/>
          </cell>
          <cell r="CU975" t="str">
            <v/>
          </cell>
          <cell r="CV975" t="str">
            <v/>
          </cell>
          <cell r="CW975" t="str">
            <v/>
          </cell>
        </row>
        <row r="976">
          <cell r="CN976" t="str">
            <v/>
          </cell>
          <cell r="CO976" t="str">
            <v/>
          </cell>
          <cell r="CP976" t="str">
            <v/>
          </cell>
          <cell r="CQ976" t="str">
            <v/>
          </cell>
          <cell r="CR976" t="str">
            <v/>
          </cell>
          <cell r="CS976" t="str">
            <v/>
          </cell>
          <cell r="CT976" t="str">
            <v/>
          </cell>
          <cell r="CU976" t="str">
            <v/>
          </cell>
          <cell r="CV976" t="str">
            <v/>
          </cell>
          <cell r="CW976" t="str">
            <v/>
          </cell>
        </row>
        <row r="977">
          <cell r="CN977" t="str">
            <v/>
          </cell>
          <cell r="CO977" t="str">
            <v/>
          </cell>
          <cell r="CP977" t="str">
            <v/>
          </cell>
          <cell r="CQ977" t="str">
            <v/>
          </cell>
          <cell r="CR977" t="str">
            <v/>
          </cell>
          <cell r="CS977" t="str">
            <v/>
          </cell>
          <cell r="CT977" t="str">
            <v/>
          </cell>
          <cell r="CU977" t="str">
            <v/>
          </cell>
          <cell r="CV977" t="str">
            <v/>
          </cell>
          <cell r="CW977" t="str">
            <v/>
          </cell>
        </row>
        <row r="978">
          <cell r="CN978" t="str">
            <v/>
          </cell>
          <cell r="CO978" t="str">
            <v/>
          </cell>
          <cell r="CP978" t="str">
            <v/>
          </cell>
          <cell r="CQ978" t="str">
            <v/>
          </cell>
          <cell r="CR978" t="str">
            <v/>
          </cell>
          <cell r="CS978" t="str">
            <v/>
          </cell>
          <cell r="CT978" t="str">
            <v/>
          </cell>
          <cell r="CU978" t="str">
            <v/>
          </cell>
          <cell r="CV978" t="str">
            <v/>
          </cell>
          <cell r="CW978" t="str">
            <v/>
          </cell>
        </row>
        <row r="979">
          <cell r="CN979" t="str">
            <v/>
          </cell>
          <cell r="CO979" t="str">
            <v/>
          </cell>
          <cell r="CP979" t="str">
            <v/>
          </cell>
          <cell r="CQ979" t="str">
            <v/>
          </cell>
          <cell r="CR979" t="str">
            <v/>
          </cell>
          <cell r="CS979" t="str">
            <v/>
          </cell>
          <cell r="CT979" t="str">
            <v/>
          </cell>
          <cell r="CU979" t="str">
            <v/>
          </cell>
          <cell r="CV979" t="str">
            <v/>
          </cell>
          <cell r="CW979" t="str">
            <v/>
          </cell>
        </row>
        <row r="980">
          <cell r="CN980" t="str">
            <v/>
          </cell>
          <cell r="CO980" t="str">
            <v/>
          </cell>
          <cell r="CP980" t="str">
            <v/>
          </cell>
          <cell r="CQ980" t="str">
            <v/>
          </cell>
          <cell r="CR980" t="str">
            <v/>
          </cell>
          <cell r="CS980" t="str">
            <v/>
          </cell>
          <cell r="CT980" t="str">
            <v/>
          </cell>
          <cell r="CU980" t="str">
            <v/>
          </cell>
          <cell r="CV980" t="str">
            <v/>
          </cell>
          <cell r="CW980" t="str">
            <v/>
          </cell>
        </row>
        <row r="981">
          <cell r="CN981" t="str">
            <v/>
          </cell>
          <cell r="CO981" t="str">
            <v/>
          </cell>
          <cell r="CP981" t="str">
            <v/>
          </cell>
          <cell r="CQ981" t="str">
            <v/>
          </cell>
          <cell r="CR981" t="str">
            <v/>
          </cell>
          <cell r="CS981" t="str">
            <v/>
          </cell>
          <cell r="CT981" t="str">
            <v/>
          </cell>
          <cell r="CU981" t="str">
            <v/>
          </cell>
          <cell r="CV981" t="str">
            <v/>
          </cell>
          <cell r="CW981" t="str">
            <v/>
          </cell>
        </row>
        <row r="982">
          <cell r="CN982" t="str">
            <v/>
          </cell>
          <cell r="CO982" t="str">
            <v/>
          </cell>
          <cell r="CP982" t="str">
            <v/>
          </cell>
          <cell r="CQ982" t="str">
            <v/>
          </cell>
          <cell r="CR982" t="str">
            <v/>
          </cell>
          <cell r="CS982" t="str">
            <v/>
          </cell>
          <cell r="CT982" t="str">
            <v/>
          </cell>
          <cell r="CU982" t="str">
            <v/>
          </cell>
          <cell r="CV982" t="str">
            <v/>
          </cell>
          <cell r="CW982" t="str">
            <v/>
          </cell>
        </row>
        <row r="983">
          <cell r="CN983" t="str">
            <v/>
          </cell>
          <cell r="CO983" t="str">
            <v/>
          </cell>
          <cell r="CP983" t="str">
            <v/>
          </cell>
          <cell r="CQ983" t="str">
            <v/>
          </cell>
          <cell r="CR983" t="str">
            <v/>
          </cell>
          <cell r="CS983" t="str">
            <v/>
          </cell>
          <cell r="CT983" t="str">
            <v/>
          </cell>
          <cell r="CU983" t="str">
            <v/>
          </cell>
          <cell r="CV983" t="str">
            <v/>
          </cell>
          <cell r="CW983" t="str">
            <v/>
          </cell>
        </row>
        <row r="984">
          <cell r="CN984" t="str">
            <v/>
          </cell>
          <cell r="CO984" t="str">
            <v/>
          </cell>
          <cell r="CP984" t="str">
            <v/>
          </cell>
          <cell r="CQ984" t="str">
            <v/>
          </cell>
          <cell r="CR984" t="str">
            <v/>
          </cell>
          <cell r="CS984" t="str">
            <v/>
          </cell>
          <cell r="CT984" t="str">
            <v/>
          </cell>
          <cell r="CU984" t="str">
            <v/>
          </cell>
          <cell r="CV984" t="str">
            <v/>
          </cell>
          <cell r="CW984" t="str">
            <v/>
          </cell>
        </row>
        <row r="985">
          <cell r="CN985" t="str">
            <v/>
          </cell>
          <cell r="CO985" t="str">
            <v/>
          </cell>
          <cell r="CP985" t="str">
            <v/>
          </cell>
          <cell r="CQ985" t="str">
            <v/>
          </cell>
          <cell r="CR985" t="str">
            <v/>
          </cell>
          <cell r="CS985" t="str">
            <v/>
          </cell>
          <cell r="CT985" t="str">
            <v/>
          </cell>
          <cell r="CU985" t="str">
            <v/>
          </cell>
          <cell r="CV985" t="str">
            <v/>
          </cell>
          <cell r="CW985" t="str">
            <v/>
          </cell>
        </row>
        <row r="986">
          <cell r="CN986" t="str">
            <v/>
          </cell>
          <cell r="CO986" t="str">
            <v/>
          </cell>
          <cell r="CP986" t="str">
            <v/>
          </cell>
          <cell r="CQ986" t="str">
            <v/>
          </cell>
          <cell r="CR986" t="str">
            <v/>
          </cell>
          <cell r="CS986" t="str">
            <v/>
          </cell>
          <cell r="CT986" t="str">
            <v/>
          </cell>
          <cell r="CU986" t="str">
            <v/>
          </cell>
          <cell r="CV986" t="str">
            <v/>
          </cell>
          <cell r="CW986" t="str">
            <v/>
          </cell>
        </row>
        <row r="987">
          <cell r="CN987" t="str">
            <v/>
          </cell>
          <cell r="CO987" t="str">
            <v/>
          </cell>
          <cell r="CP987" t="str">
            <v/>
          </cell>
          <cell r="CQ987" t="str">
            <v/>
          </cell>
          <cell r="CR987" t="str">
            <v/>
          </cell>
          <cell r="CS987" t="str">
            <v/>
          </cell>
          <cell r="CT987" t="str">
            <v/>
          </cell>
          <cell r="CU987" t="str">
            <v/>
          </cell>
          <cell r="CV987" t="str">
            <v/>
          </cell>
          <cell r="CW987" t="str">
            <v/>
          </cell>
        </row>
        <row r="988">
          <cell r="CN988" t="str">
            <v/>
          </cell>
          <cell r="CO988" t="str">
            <v/>
          </cell>
          <cell r="CP988" t="str">
            <v/>
          </cell>
          <cell r="CQ988" t="str">
            <v/>
          </cell>
          <cell r="CR988" t="str">
            <v/>
          </cell>
          <cell r="CS988" t="str">
            <v/>
          </cell>
          <cell r="CT988" t="str">
            <v/>
          </cell>
          <cell r="CU988" t="str">
            <v/>
          </cell>
          <cell r="CV988" t="str">
            <v/>
          </cell>
          <cell r="CW988" t="str">
            <v/>
          </cell>
        </row>
        <row r="989">
          <cell r="CN989" t="str">
            <v/>
          </cell>
          <cell r="CO989" t="str">
            <v/>
          </cell>
          <cell r="CP989" t="str">
            <v/>
          </cell>
          <cell r="CQ989" t="str">
            <v/>
          </cell>
          <cell r="CR989" t="str">
            <v/>
          </cell>
          <cell r="CS989" t="str">
            <v/>
          </cell>
          <cell r="CT989" t="str">
            <v/>
          </cell>
          <cell r="CU989" t="str">
            <v/>
          </cell>
          <cell r="CV989" t="str">
            <v/>
          </cell>
          <cell r="CW989" t="str">
            <v/>
          </cell>
        </row>
        <row r="990">
          <cell r="CN990" t="str">
            <v/>
          </cell>
          <cell r="CO990" t="str">
            <v/>
          </cell>
          <cell r="CP990" t="str">
            <v/>
          </cell>
          <cell r="CQ990" t="str">
            <v/>
          </cell>
          <cell r="CR990" t="str">
            <v/>
          </cell>
          <cell r="CS990" t="str">
            <v/>
          </cell>
          <cell r="CT990" t="str">
            <v/>
          </cell>
          <cell r="CU990" t="str">
            <v/>
          </cell>
          <cell r="CV990" t="str">
            <v/>
          </cell>
          <cell r="CW990" t="str">
            <v/>
          </cell>
        </row>
        <row r="991">
          <cell r="CN991" t="str">
            <v/>
          </cell>
          <cell r="CO991" t="str">
            <v/>
          </cell>
          <cell r="CP991" t="str">
            <v/>
          </cell>
          <cell r="CQ991" t="str">
            <v/>
          </cell>
          <cell r="CR991" t="str">
            <v/>
          </cell>
          <cell r="CS991" t="str">
            <v/>
          </cell>
          <cell r="CT991" t="str">
            <v/>
          </cell>
          <cell r="CU991" t="str">
            <v/>
          </cell>
          <cell r="CV991" t="str">
            <v/>
          </cell>
          <cell r="CW991" t="str">
            <v/>
          </cell>
        </row>
        <row r="992">
          <cell r="CN992" t="str">
            <v/>
          </cell>
          <cell r="CO992" t="str">
            <v/>
          </cell>
          <cell r="CP992" t="str">
            <v/>
          </cell>
          <cell r="CQ992" t="str">
            <v/>
          </cell>
          <cell r="CR992" t="str">
            <v/>
          </cell>
          <cell r="CS992" t="str">
            <v/>
          </cell>
          <cell r="CT992" t="str">
            <v/>
          </cell>
          <cell r="CU992" t="str">
            <v/>
          </cell>
          <cell r="CV992" t="str">
            <v/>
          </cell>
          <cell r="CW992" t="str">
            <v/>
          </cell>
        </row>
        <row r="993">
          <cell r="CN993" t="str">
            <v/>
          </cell>
          <cell r="CO993" t="str">
            <v/>
          </cell>
          <cell r="CP993" t="str">
            <v/>
          </cell>
          <cell r="CQ993" t="str">
            <v/>
          </cell>
          <cell r="CR993" t="str">
            <v/>
          </cell>
          <cell r="CS993" t="str">
            <v/>
          </cell>
          <cell r="CT993" t="str">
            <v/>
          </cell>
          <cell r="CU993" t="str">
            <v/>
          </cell>
          <cell r="CV993" t="str">
            <v/>
          </cell>
          <cell r="CW993" t="str">
            <v/>
          </cell>
        </row>
        <row r="994">
          <cell r="CN994" t="str">
            <v/>
          </cell>
          <cell r="CO994" t="str">
            <v/>
          </cell>
          <cell r="CP994" t="str">
            <v/>
          </cell>
          <cell r="CQ994" t="str">
            <v/>
          </cell>
          <cell r="CR994" t="str">
            <v/>
          </cell>
          <cell r="CS994" t="str">
            <v/>
          </cell>
          <cell r="CT994" t="str">
            <v/>
          </cell>
          <cell r="CU994" t="str">
            <v/>
          </cell>
          <cell r="CV994" t="str">
            <v/>
          </cell>
          <cell r="CW994" t="str">
            <v/>
          </cell>
        </row>
        <row r="995">
          <cell r="CN995" t="str">
            <v/>
          </cell>
          <cell r="CO995" t="str">
            <v/>
          </cell>
          <cell r="CP995" t="str">
            <v/>
          </cell>
          <cell r="CQ995" t="str">
            <v/>
          </cell>
          <cell r="CR995" t="str">
            <v/>
          </cell>
          <cell r="CS995" t="str">
            <v/>
          </cell>
          <cell r="CT995" t="str">
            <v/>
          </cell>
          <cell r="CU995" t="str">
            <v/>
          </cell>
          <cell r="CV995" t="str">
            <v/>
          </cell>
          <cell r="CW995" t="str">
            <v/>
          </cell>
        </row>
        <row r="996">
          <cell r="CN996" t="str">
            <v/>
          </cell>
          <cell r="CO996" t="str">
            <v/>
          </cell>
          <cell r="CP996" t="str">
            <v/>
          </cell>
          <cell r="CQ996" t="str">
            <v/>
          </cell>
          <cell r="CR996" t="str">
            <v/>
          </cell>
          <cell r="CS996" t="str">
            <v/>
          </cell>
          <cell r="CT996" t="str">
            <v/>
          </cell>
          <cell r="CU996" t="str">
            <v/>
          </cell>
          <cell r="CV996" t="str">
            <v/>
          </cell>
          <cell r="CW996" t="str">
            <v/>
          </cell>
        </row>
        <row r="997">
          <cell r="CN997" t="str">
            <v/>
          </cell>
          <cell r="CO997" t="str">
            <v/>
          </cell>
          <cell r="CP997" t="str">
            <v/>
          </cell>
          <cell r="CQ997" t="str">
            <v/>
          </cell>
          <cell r="CR997" t="str">
            <v/>
          </cell>
          <cell r="CS997" t="str">
            <v/>
          </cell>
          <cell r="CT997" t="str">
            <v/>
          </cell>
          <cell r="CU997" t="str">
            <v/>
          </cell>
          <cell r="CV997" t="str">
            <v/>
          </cell>
          <cell r="CW997" t="str">
            <v/>
          </cell>
        </row>
        <row r="998">
          <cell r="CN998" t="str">
            <v/>
          </cell>
          <cell r="CO998" t="str">
            <v/>
          </cell>
          <cell r="CP998" t="str">
            <v/>
          </cell>
          <cell r="CQ998" t="str">
            <v/>
          </cell>
          <cell r="CR998" t="str">
            <v/>
          </cell>
          <cell r="CS998" t="str">
            <v/>
          </cell>
          <cell r="CT998" t="str">
            <v/>
          </cell>
          <cell r="CU998" t="str">
            <v/>
          </cell>
          <cell r="CV998" t="str">
            <v/>
          </cell>
          <cell r="CW998" t="str">
            <v/>
          </cell>
        </row>
        <row r="999">
          <cell r="CN999" t="str">
            <v/>
          </cell>
          <cell r="CO999" t="str">
            <v/>
          </cell>
          <cell r="CP999" t="str">
            <v/>
          </cell>
          <cell r="CQ999" t="str">
            <v/>
          </cell>
          <cell r="CR999" t="str">
            <v/>
          </cell>
          <cell r="CS999" t="str">
            <v/>
          </cell>
          <cell r="CT999" t="str">
            <v/>
          </cell>
          <cell r="CU999" t="str">
            <v/>
          </cell>
          <cell r="CV999" t="str">
            <v/>
          </cell>
          <cell r="CW999" t="str">
            <v/>
          </cell>
        </row>
        <row r="1000">
          <cell r="CN1000" t="str">
            <v/>
          </cell>
          <cell r="CO1000" t="str">
            <v/>
          </cell>
          <cell r="CP1000" t="str">
            <v/>
          </cell>
          <cell r="CQ1000" t="str">
            <v/>
          </cell>
          <cell r="CR1000" t="str">
            <v/>
          </cell>
          <cell r="CS1000" t="str">
            <v/>
          </cell>
          <cell r="CT1000" t="str">
            <v/>
          </cell>
          <cell r="CU1000" t="str">
            <v/>
          </cell>
          <cell r="CV1000" t="str">
            <v/>
          </cell>
          <cell r="CW1000" t="str">
            <v/>
          </cell>
        </row>
        <row r="1001">
          <cell r="CN1001" t="str">
            <v/>
          </cell>
          <cell r="CO1001" t="str">
            <v/>
          </cell>
          <cell r="CP1001" t="str">
            <v/>
          </cell>
          <cell r="CQ1001" t="str">
            <v/>
          </cell>
          <cell r="CR1001" t="str">
            <v/>
          </cell>
          <cell r="CS1001" t="str">
            <v/>
          </cell>
          <cell r="CT1001" t="str">
            <v/>
          </cell>
          <cell r="CU1001" t="str">
            <v/>
          </cell>
          <cell r="CV1001" t="str">
            <v/>
          </cell>
          <cell r="CW1001" t="str">
            <v/>
          </cell>
        </row>
        <row r="1002">
          <cell r="CN1002" t="str">
            <v/>
          </cell>
          <cell r="CO1002" t="str">
            <v/>
          </cell>
          <cell r="CP1002" t="str">
            <v/>
          </cell>
          <cell r="CQ1002" t="str">
            <v/>
          </cell>
          <cell r="CR1002" t="str">
            <v/>
          </cell>
          <cell r="CS1002" t="str">
            <v/>
          </cell>
          <cell r="CT1002" t="str">
            <v/>
          </cell>
          <cell r="CU1002" t="str">
            <v/>
          </cell>
          <cell r="CV1002" t="str">
            <v/>
          </cell>
          <cell r="CW1002" t="str">
            <v/>
          </cell>
        </row>
        <row r="1003">
          <cell r="CN1003" t="str">
            <v/>
          </cell>
          <cell r="CO1003" t="str">
            <v/>
          </cell>
          <cell r="CP1003" t="str">
            <v/>
          </cell>
          <cell r="CQ1003" t="str">
            <v/>
          </cell>
          <cell r="CR1003" t="str">
            <v/>
          </cell>
          <cell r="CS1003" t="str">
            <v/>
          </cell>
          <cell r="CT1003" t="str">
            <v/>
          </cell>
          <cell r="CU1003" t="str">
            <v/>
          </cell>
          <cell r="CV1003" t="str">
            <v/>
          </cell>
          <cell r="CW1003" t="str">
            <v/>
          </cell>
        </row>
        <row r="1004">
          <cell r="CN1004" t="str">
            <v/>
          </cell>
          <cell r="CO1004" t="str">
            <v/>
          </cell>
          <cell r="CP1004" t="str">
            <v/>
          </cell>
          <cell r="CQ1004" t="str">
            <v/>
          </cell>
          <cell r="CR1004" t="str">
            <v/>
          </cell>
          <cell r="CS1004" t="str">
            <v/>
          </cell>
          <cell r="CT1004" t="str">
            <v/>
          </cell>
          <cell r="CU1004" t="str">
            <v/>
          </cell>
          <cell r="CV1004" t="str">
            <v/>
          </cell>
          <cell r="CW1004" t="str">
            <v/>
          </cell>
        </row>
        <row r="1005">
          <cell r="CN1005" t="str">
            <v/>
          </cell>
          <cell r="CO1005" t="str">
            <v/>
          </cell>
          <cell r="CP1005" t="str">
            <v/>
          </cell>
          <cell r="CQ1005" t="str">
            <v/>
          </cell>
          <cell r="CR1005" t="str">
            <v/>
          </cell>
          <cell r="CS1005" t="str">
            <v/>
          </cell>
          <cell r="CT1005" t="str">
            <v/>
          </cell>
          <cell r="CU1005" t="str">
            <v/>
          </cell>
          <cell r="CV1005" t="str">
            <v/>
          </cell>
          <cell r="CW1005" t="str">
            <v/>
          </cell>
        </row>
        <row r="1006">
          <cell r="CN1006" t="str">
            <v/>
          </cell>
          <cell r="CO1006" t="str">
            <v/>
          </cell>
          <cell r="CP1006" t="str">
            <v/>
          </cell>
          <cell r="CQ1006" t="str">
            <v/>
          </cell>
          <cell r="CR1006" t="str">
            <v/>
          </cell>
          <cell r="CS1006" t="str">
            <v/>
          </cell>
          <cell r="CT1006" t="str">
            <v/>
          </cell>
          <cell r="CU1006" t="str">
            <v/>
          </cell>
          <cell r="CV1006" t="str">
            <v/>
          </cell>
          <cell r="CW1006" t="str">
            <v/>
          </cell>
        </row>
        <row r="1007">
          <cell r="CN1007" t="str">
            <v/>
          </cell>
          <cell r="CO1007" t="str">
            <v/>
          </cell>
          <cell r="CP1007" t="str">
            <v/>
          </cell>
          <cell r="CQ1007" t="str">
            <v/>
          </cell>
          <cell r="CR1007" t="str">
            <v/>
          </cell>
          <cell r="CS1007" t="str">
            <v/>
          </cell>
          <cell r="CT1007" t="str">
            <v/>
          </cell>
          <cell r="CU1007" t="str">
            <v/>
          </cell>
          <cell r="CV1007" t="str">
            <v/>
          </cell>
          <cell r="CW1007" t="str">
            <v/>
          </cell>
        </row>
        <row r="1008">
          <cell r="CN1008" t="str">
            <v/>
          </cell>
          <cell r="CO1008" t="str">
            <v/>
          </cell>
          <cell r="CP1008" t="str">
            <v/>
          </cell>
          <cell r="CQ1008" t="str">
            <v/>
          </cell>
          <cell r="CR1008" t="str">
            <v/>
          </cell>
          <cell r="CS1008" t="str">
            <v/>
          </cell>
          <cell r="CT1008" t="str">
            <v/>
          </cell>
          <cell r="CU1008" t="str">
            <v/>
          </cell>
          <cell r="CV1008" t="str">
            <v/>
          </cell>
          <cell r="CW1008" t="str">
            <v/>
          </cell>
        </row>
      </sheetData>
      <sheetData sheetId="2">
        <row r="2">
          <cell r="E2" t="str">
            <v>ALICUOTAS IVA</v>
          </cell>
          <cell r="I2" t="str">
            <v>COMPROBANTES COMPRAS</v>
          </cell>
          <cell r="X2" t="str">
            <v>CODIGO OPERACIÓN COMPRAS</v>
          </cell>
          <cell r="AG2" t="str">
            <v>DOCUMENTOS</v>
          </cell>
          <cell r="AJ2" t="str">
            <v>MONEDAS</v>
          </cell>
        </row>
        <row r="3">
          <cell r="E3">
            <v>0</v>
          </cell>
          <cell r="F3">
            <v>3</v>
          </cell>
          <cell r="G3">
            <v>0</v>
          </cell>
          <cell r="I3">
            <v>1</v>
          </cell>
          <cell r="J3" t="str">
            <v>FACTURAS A</v>
          </cell>
          <cell r="X3">
            <v>0</v>
          </cell>
          <cell r="Y3" t="str">
            <v>NO CORRESPONDE</v>
          </cell>
          <cell r="AG3">
            <v>0</v>
          </cell>
          <cell r="AH3" t="str">
            <v>C I CAPITAL FEDERAL</v>
          </cell>
          <cell r="AJ3">
            <v>2</v>
          </cell>
          <cell r="AK3" t="str">
            <v>DOLAR LIBRE EEUU</v>
          </cell>
        </row>
        <row r="4">
          <cell r="E4">
            <v>10.5</v>
          </cell>
          <cell r="F4">
            <v>4</v>
          </cell>
          <cell r="G4">
            <v>10.5</v>
          </cell>
          <cell r="I4">
            <v>2</v>
          </cell>
          <cell r="J4" t="str">
            <v>NOTAS DE DEBITO A</v>
          </cell>
          <cell r="X4" t="str">
            <v>A</v>
          </cell>
          <cell r="Y4" t="str">
            <v>NO ALCANZADO</v>
          </cell>
          <cell r="AG4">
            <v>1</v>
          </cell>
          <cell r="AH4" t="str">
            <v>C I BUENOS AIRES</v>
          </cell>
          <cell r="AJ4">
            <v>7</v>
          </cell>
          <cell r="AK4" t="str">
            <v>FLORINES HOLANDESES</v>
          </cell>
        </row>
        <row r="5">
          <cell r="E5">
            <v>21</v>
          </cell>
          <cell r="F5">
            <v>5</v>
          </cell>
          <cell r="G5">
            <v>21</v>
          </cell>
          <cell r="I5">
            <v>3</v>
          </cell>
          <cell r="J5" t="str">
            <v>NOTAS DE CREDITO A</v>
          </cell>
          <cell r="X5" t="str">
            <v>C</v>
          </cell>
          <cell r="Y5" t="str">
            <v>OPERACIONES DE CANJE</v>
          </cell>
          <cell r="AG5">
            <v>2</v>
          </cell>
          <cell r="AH5" t="str">
            <v>C I CATAMARCA</v>
          </cell>
          <cell r="AJ5">
            <v>9</v>
          </cell>
          <cell r="AK5" t="str">
            <v>FRANCO SUIZO</v>
          </cell>
        </row>
        <row r="6">
          <cell r="E6">
            <v>27</v>
          </cell>
          <cell r="F6">
            <v>6</v>
          </cell>
          <cell r="G6">
            <v>27</v>
          </cell>
          <cell r="I6">
            <v>4</v>
          </cell>
          <cell r="J6" t="str">
            <v>RECIBOS A</v>
          </cell>
          <cell r="X6" t="str">
            <v>E</v>
          </cell>
          <cell r="Y6" t="str">
            <v>OPERACIONES EXENTAS</v>
          </cell>
          <cell r="AG6">
            <v>3</v>
          </cell>
          <cell r="AH6" t="str">
            <v>C I CORDOBA</v>
          </cell>
          <cell r="AJ6">
            <v>10</v>
          </cell>
          <cell r="AK6" t="str">
            <v>PESOS MEJICANOS</v>
          </cell>
        </row>
        <row r="7">
          <cell r="E7">
            <v>5</v>
          </cell>
          <cell r="F7">
            <v>8</v>
          </cell>
          <cell r="G7">
            <v>5</v>
          </cell>
          <cell r="I7">
            <v>5</v>
          </cell>
          <cell r="J7" t="str">
            <v>NOTAS DE VENTA AL CONTADO A</v>
          </cell>
          <cell r="X7" t="str">
            <v>N</v>
          </cell>
          <cell r="Y7" t="str">
            <v>NO GRAVADO</v>
          </cell>
          <cell r="AG7">
            <v>4</v>
          </cell>
          <cell r="AH7" t="str">
            <v>C I CORRIENTES</v>
          </cell>
          <cell r="AJ7">
            <v>11</v>
          </cell>
          <cell r="AK7" t="str">
            <v>PESOS URUGUAYOS</v>
          </cell>
        </row>
        <row r="8">
          <cell r="E8">
            <v>2.5</v>
          </cell>
          <cell r="F8">
            <v>9</v>
          </cell>
          <cell r="G8">
            <v>2.5</v>
          </cell>
          <cell r="I8">
            <v>6</v>
          </cell>
          <cell r="J8" t="str">
            <v>FACTURAS B</v>
          </cell>
          <cell r="X8" t="str">
            <v>X</v>
          </cell>
          <cell r="Y8" t="str">
            <v>IMPORTACION DEL EXTERIOR</v>
          </cell>
          <cell r="AG8">
            <v>5</v>
          </cell>
          <cell r="AH8" t="str">
            <v>C I ENTRE RIOS</v>
          </cell>
          <cell r="AJ8">
            <v>12</v>
          </cell>
          <cell r="AK8" t="str">
            <v>REAL</v>
          </cell>
        </row>
        <row r="9">
          <cell r="G9" t="str">
            <v>PARA AGREGAR</v>
          </cell>
          <cell r="I9">
            <v>7</v>
          </cell>
          <cell r="J9" t="str">
            <v>NOTAS DE DEBITO B</v>
          </cell>
          <cell r="X9" t="str">
            <v>Z</v>
          </cell>
          <cell r="Y9" t="str">
            <v>IMPORTACION DE ZONA FRANCA</v>
          </cell>
          <cell r="AG9">
            <v>6</v>
          </cell>
          <cell r="AH9" t="str">
            <v>C I JUJUY</v>
          </cell>
          <cell r="AJ9">
            <v>14</v>
          </cell>
          <cell r="AK9" t="str">
            <v>CORONAS DANESAS</v>
          </cell>
        </row>
        <row r="10">
          <cell r="G10" t="str">
            <v>PARA AGREGAR</v>
          </cell>
          <cell r="I10">
            <v>8</v>
          </cell>
          <cell r="J10" t="str">
            <v>NOTAS DE CREDITO B</v>
          </cell>
          <cell r="Y10" t="str">
            <v>PARA AGREGAR</v>
          </cell>
          <cell r="AG10">
            <v>7</v>
          </cell>
          <cell r="AH10" t="str">
            <v>C I MENDOZA</v>
          </cell>
          <cell r="AJ10">
            <v>15</v>
          </cell>
          <cell r="AK10" t="str">
            <v>CORONAS NORUEGAS</v>
          </cell>
        </row>
        <row r="11">
          <cell r="G11" t="str">
            <v>PARA AGREGAR</v>
          </cell>
          <cell r="I11">
            <v>9</v>
          </cell>
          <cell r="J11" t="str">
            <v>RECIBOS B</v>
          </cell>
          <cell r="Y11" t="str">
            <v>PARA AGREGAR</v>
          </cell>
          <cell r="AG11">
            <v>8</v>
          </cell>
          <cell r="AH11" t="str">
            <v>C I LA RIOJA</v>
          </cell>
          <cell r="AJ11">
            <v>16</v>
          </cell>
          <cell r="AK11" t="str">
            <v>CORONAS SUECAS</v>
          </cell>
        </row>
        <row r="12">
          <cell r="G12" t="str">
            <v>PARA AGREGAR</v>
          </cell>
          <cell r="I12">
            <v>10</v>
          </cell>
          <cell r="J12" t="str">
            <v>NOTAS DE VENTA AL CONTADO B</v>
          </cell>
          <cell r="Y12" t="str">
            <v>PARA AGREGAR</v>
          </cell>
          <cell r="AG12">
            <v>9</v>
          </cell>
          <cell r="AH12" t="str">
            <v>C I SALTA</v>
          </cell>
          <cell r="AJ12">
            <v>18</v>
          </cell>
          <cell r="AK12" t="str">
            <v>DOLAR CANADIENSE</v>
          </cell>
        </row>
        <row r="13">
          <cell r="G13" t="str">
            <v>PARA AGREGAR</v>
          </cell>
          <cell r="I13">
            <v>11</v>
          </cell>
          <cell r="J13" t="str">
            <v>FACTURAS C</v>
          </cell>
          <cell r="Y13" t="str">
            <v>PARA AGREGAR</v>
          </cell>
          <cell r="AG13">
            <v>10</v>
          </cell>
          <cell r="AH13" t="str">
            <v>C I SAN JUAN</v>
          </cell>
          <cell r="AJ13">
            <v>19</v>
          </cell>
          <cell r="AK13" t="str">
            <v>YENS</v>
          </cell>
        </row>
        <row r="14">
          <cell r="I14">
            <v>12</v>
          </cell>
          <cell r="J14" t="str">
            <v>NOTAS DE DEBITO C</v>
          </cell>
          <cell r="Y14" t="str">
            <v>PARA AGREGAR</v>
          </cell>
          <cell r="AG14">
            <v>11</v>
          </cell>
          <cell r="AH14" t="str">
            <v>C I SAN LUIS</v>
          </cell>
          <cell r="AJ14">
            <v>21</v>
          </cell>
          <cell r="AK14" t="str">
            <v>LIBRA ESTERLINA</v>
          </cell>
        </row>
        <row r="15">
          <cell r="I15">
            <v>13</v>
          </cell>
          <cell r="J15" t="str">
            <v>NOTAS DE CREDITO C</v>
          </cell>
          <cell r="AG15">
            <v>12</v>
          </cell>
          <cell r="AH15" t="str">
            <v>C I SANTA FE</v>
          </cell>
          <cell r="AJ15">
            <v>23</v>
          </cell>
          <cell r="AK15" t="str">
            <v>BOLIVAR VENEZOLANO</v>
          </cell>
        </row>
        <row r="16">
          <cell r="I16">
            <v>15</v>
          </cell>
          <cell r="J16" t="str">
            <v>RECIBOS C</v>
          </cell>
          <cell r="AG16">
            <v>13</v>
          </cell>
          <cell r="AH16" t="str">
            <v>C I SGO DEL ESTERO</v>
          </cell>
          <cell r="AJ16">
            <v>24</v>
          </cell>
          <cell r="AK16" t="str">
            <v>CORONA CHECA</v>
          </cell>
        </row>
        <row r="17">
          <cell r="I17">
            <v>16</v>
          </cell>
          <cell r="J17" t="str">
            <v>NOTAS DE VENTA AL CONTADO C</v>
          </cell>
          <cell r="AG17">
            <v>14</v>
          </cell>
          <cell r="AH17" t="str">
            <v>C I TUCUMAN</v>
          </cell>
          <cell r="AJ17">
            <v>25</v>
          </cell>
          <cell r="AK17" t="str">
            <v>DINAR YUGOSLAVO</v>
          </cell>
        </row>
        <row r="18">
          <cell r="I18">
            <v>17</v>
          </cell>
          <cell r="J18" t="str">
            <v>LIQUIDACION DE SERVICIOS PUBLICOS CLASE A</v>
          </cell>
          <cell r="AG18">
            <v>16</v>
          </cell>
          <cell r="AH18" t="str">
            <v>C I CHACO</v>
          </cell>
          <cell r="AJ18">
            <v>26</v>
          </cell>
          <cell r="AK18" t="str">
            <v>DOLAR AUSTRALIANO</v>
          </cell>
        </row>
        <row r="19">
          <cell r="I19">
            <v>18</v>
          </cell>
          <cell r="J19" t="str">
            <v>LIQUIDACION DE SERVICIOS PUBLICOS CLASE B</v>
          </cell>
          <cell r="AG19">
            <v>17</v>
          </cell>
          <cell r="AH19" t="str">
            <v>C I CHUBUT</v>
          </cell>
          <cell r="AJ19">
            <v>27</v>
          </cell>
          <cell r="AK19" t="str">
            <v>DRACMA GRIEGO</v>
          </cell>
        </row>
        <row r="20">
          <cell r="I20">
            <v>23</v>
          </cell>
          <cell r="J20" t="str">
            <v>CPTES  A  DE COMPRA PRIMARIA PARA EL SECTOR PESQUERO MARITIMO</v>
          </cell>
          <cell r="AG20">
            <v>18</v>
          </cell>
          <cell r="AH20" t="str">
            <v>C I FORMOSA</v>
          </cell>
          <cell r="AJ20">
            <v>28</v>
          </cell>
          <cell r="AK20" t="str">
            <v>FLORIN  ANTILLAS HOLANDESAS</v>
          </cell>
        </row>
        <row r="21">
          <cell r="I21">
            <v>24</v>
          </cell>
          <cell r="J21" t="str">
            <v>CPTES  A  DE COSIGNACION PRIMARIA PARA EL SECTOR PESQUERO MARITIMO</v>
          </cell>
          <cell r="AG21">
            <v>19</v>
          </cell>
          <cell r="AH21" t="str">
            <v>C I MISIONES</v>
          </cell>
          <cell r="AJ21">
            <v>29</v>
          </cell>
          <cell r="AK21" t="str">
            <v>GUARANI</v>
          </cell>
        </row>
        <row r="22">
          <cell r="I22">
            <v>25</v>
          </cell>
          <cell r="J22" t="str">
            <v>CPTES  B  DE COMPRA PRIMARIA PARA EL SECTOR PESQUERO MARITIMO</v>
          </cell>
          <cell r="AG22">
            <v>20</v>
          </cell>
          <cell r="AH22" t="str">
            <v>C I NEUQUEN</v>
          </cell>
          <cell r="AJ22">
            <v>30</v>
          </cell>
          <cell r="AK22" t="str">
            <v>SHEKEL  ISRAEL</v>
          </cell>
        </row>
        <row r="23">
          <cell r="I23">
            <v>26</v>
          </cell>
          <cell r="J23" t="str">
            <v>CPTES  B  DE CONSIGNACION PRIMARIA PARA EL SECTOR PESQUERO MARITIMO</v>
          </cell>
          <cell r="AG23">
            <v>21</v>
          </cell>
          <cell r="AH23" t="str">
            <v>C I LA PAMPA</v>
          </cell>
          <cell r="AJ23">
            <v>31</v>
          </cell>
          <cell r="AK23" t="str">
            <v>PESO BOLIVIANO</v>
          </cell>
        </row>
        <row r="24">
          <cell r="I24">
            <v>27</v>
          </cell>
          <cell r="J24" t="str">
            <v>LIQUIDACION UNICA COMERCIAL IMPOSITIVA CLASE A</v>
          </cell>
          <cell r="AG24">
            <v>22</v>
          </cell>
          <cell r="AH24" t="str">
            <v>C I RIO NEGRO</v>
          </cell>
          <cell r="AJ24">
            <v>32</v>
          </cell>
          <cell r="AK24" t="str">
            <v>PESO COLOMBIANO</v>
          </cell>
        </row>
        <row r="25">
          <cell r="I25">
            <v>28</v>
          </cell>
          <cell r="J25" t="str">
            <v>LIQUIDACION UNICA COMERCIAL IMPOSITIVA CLASE B</v>
          </cell>
          <cell r="AG25">
            <v>23</v>
          </cell>
          <cell r="AH25" t="str">
            <v>C I SANTA CRUZ</v>
          </cell>
          <cell r="AJ25">
            <v>33</v>
          </cell>
          <cell r="AK25" t="str">
            <v>PESO CHILENO</v>
          </cell>
        </row>
        <row r="26">
          <cell r="I26">
            <v>30</v>
          </cell>
          <cell r="J26" t="str">
            <v>COMPROBANTES DE COMPRA DE BIENES USADOS</v>
          </cell>
          <cell r="AG26">
            <v>24</v>
          </cell>
          <cell r="AH26" t="str">
            <v>C I TIERRA DEL FUEGO</v>
          </cell>
          <cell r="AJ26">
            <v>34</v>
          </cell>
          <cell r="AK26" t="str">
            <v>RAND SUDAFRICANO</v>
          </cell>
        </row>
        <row r="27">
          <cell r="I27">
            <v>32</v>
          </cell>
          <cell r="J27" t="str">
            <v>COMPROBANTES PARA RECICLAR MATERIALES</v>
          </cell>
          <cell r="AG27">
            <v>80</v>
          </cell>
          <cell r="AH27" t="str">
            <v>C U I T</v>
          </cell>
          <cell r="AJ27">
            <v>35</v>
          </cell>
          <cell r="AK27" t="str">
            <v>NUEVO SOL PERUANO</v>
          </cell>
        </row>
        <row r="28">
          <cell r="I28">
            <v>33</v>
          </cell>
          <cell r="J28" t="str">
            <v>LIQUIDACION PRIMARIA DE GRANOS</v>
          </cell>
          <cell r="AG28">
            <v>86</v>
          </cell>
          <cell r="AH28" t="str">
            <v>C U I L</v>
          </cell>
          <cell r="AJ28">
            <v>36</v>
          </cell>
          <cell r="AK28" t="str">
            <v>SUCRE ECUATORIANO</v>
          </cell>
        </row>
        <row r="29">
          <cell r="I29">
            <v>34</v>
          </cell>
          <cell r="J29" t="str">
            <v>COMPROBANTES A DEL APARTADO A  INCISO F  R G  N  1415</v>
          </cell>
          <cell r="AG29">
            <v>87</v>
          </cell>
          <cell r="AH29" t="str">
            <v>C D I</v>
          </cell>
          <cell r="AJ29">
            <v>39</v>
          </cell>
          <cell r="AK29" t="str">
            <v>NUEVO LEV BULGARO</v>
          </cell>
        </row>
        <row r="30">
          <cell r="I30">
            <v>35</v>
          </cell>
          <cell r="J30" t="str">
            <v>COMPROBANTES B DEL ANEXO I  APARTADO A  INC. F   RG N  1415</v>
          </cell>
          <cell r="AG30">
            <v>89</v>
          </cell>
          <cell r="AH30" t="str">
            <v>LIBRETA DE ENROLAMIENTO</v>
          </cell>
          <cell r="AJ30">
            <v>40</v>
          </cell>
          <cell r="AK30" t="str">
            <v>LEI RUMANO</v>
          </cell>
        </row>
        <row r="31">
          <cell r="I31">
            <v>36</v>
          </cell>
          <cell r="J31" t="str">
            <v>COMPROBANTES C DEL ANEXO I  APARTADO A  INC.F   R.G. N  1415</v>
          </cell>
          <cell r="AG31">
            <v>90</v>
          </cell>
          <cell r="AH31" t="str">
            <v>LIBRETA CIVICA</v>
          </cell>
          <cell r="AJ31">
            <v>41</v>
          </cell>
          <cell r="AK31" t="str">
            <v>DERECHOS ESPECIALES DE GIRO</v>
          </cell>
        </row>
        <row r="32">
          <cell r="I32">
            <v>37</v>
          </cell>
          <cell r="J32" t="str">
            <v>NOTAS DE DEBITO O DOCUMENTO EQUIVALENTE QUE CUMPLAN CON LA R.G. N  1415</v>
          </cell>
          <cell r="AG32">
            <v>91</v>
          </cell>
          <cell r="AH32" t="str">
            <v>C I EXTRANJERA</v>
          </cell>
          <cell r="AJ32">
            <v>42</v>
          </cell>
          <cell r="AK32" t="str">
            <v>PESO DOMINICANO</v>
          </cell>
        </row>
        <row r="33">
          <cell r="I33">
            <v>38</v>
          </cell>
          <cell r="J33" t="str">
            <v>NOTAS DE CREDITO O DOCUMENTO EQUIVALENTE QUE CUMPLAN CON LA R.G. N  1415</v>
          </cell>
          <cell r="AG33">
            <v>92</v>
          </cell>
          <cell r="AH33" t="str">
            <v>EN TRAMITE</v>
          </cell>
          <cell r="AJ33">
            <v>43</v>
          </cell>
          <cell r="AK33" t="str">
            <v>BALBOAS PANAMENAS</v>
          </cell>
        </row>
        <row r="34">
          <cell r="I34">
            <v>39</v>
          </cell>
          <cell r="J34" t="str">
            <v>OTROS COMPROBANTES A QUE CUMPLEN CON LA R G  1415</v>
          </cell>
          <cell r="AG34">
            <v>93</v>
          </cell>
          <cell r="AH34" t="str">
            <v>ACTA DE NACIMIENTO</v>
          </cell>
          <cell r="AJ34">
            <v>44</v>
          </cell>
          <cell r="AK34" t="str">
            <v>CORDOBA NICARAGUENSE</v>
          </cell>
        </row>
        <row r="35">
          <cell r="I35">
            <v>40</v>
          </cell>
          <cell r="J35" t="str">
            <v>OTROS COMPROBANTES B QUE CUMPLAN CON LA R.G. 1415</v>
          </cell>
          <cell r="AG35">
            <v>94</v>
          </cell>
          <cell r="AH35" t="str">
            <v>PASAPORTE</v>
          </cell>
          <cell r="AJ35">
            <v>45</v>
          </cell>
          <cell r="AK35" t="str">
            <v>DIRHAM MARROQUI</v>
          </cell>
        </row>
        <row r="36">
          <cell r="I36">
            <v>41</v>
          </cell>
          <cell r="J36" t="str">
            <v>OTROS COMPROBANTES C QUE CUMPLAN CON LA R.G. 1415</v>
          </cell>
          <cell r="AG36">
            <v>95</v>
          </cell>
          <cell r="AH36" t="str">
            <v>C I BS AS R N P</v>
          </cell>
          <cell r="AJ36">
            <v>46</v>
          </cell>
          <cell r="AK36" t="str">
            <v>LIBRA EGIPCIA</v>
          </cell>
        </row>
        <row r="37">
          <cell r="I37">
            <v>43</v>
          </cell>
          <cell r="J37" t="str">
            <v>NOTA DE CREDITO LIQUIDACION UNICA COMERCIAL IMPOSITIVA CLASE B</v>
          </cell>
          <cell r="AG37">
            <v>96</v>
          </cell>
          <cell r="AH37" t="str">
            <v>DOC NACIONAL DE IDENTIDAD</v>
          </cell>
          <cell r="AJ37">
            <v>47</v>
          </cell>
          <cell r="AK37" t="str">
            <v>RIYAL SAUDITA</v>
          </cell>
        </row>
        <row r="38">
          <cell r="I38">
            <v>45</v>
          </cell>
          <cell r="J38" t="str">
            <v>NOTA DE DEBITO LIQUIDACION UNICA COMERCIAL IMPOSITIVA CLASE A</v>
          </cell>
          <cell r="AG38">
            <v>99</v>
          </cell>
          <cell r="AH38" t="str">
            <v>SIN IDENTIFICAR / VENTA GLOBAL DIARIA</v>
          </cell>
          <cell r="AJ38">
            <v>49</v>
          </cell>
          <cell r="AK38" t="str">
            <v>GRAMOS DE ORO FINO</v>
          </cell>
        </row>
        <row r="39">
          <cell r="I39">
            <v>46</v>
          </cell>
          <cell r="J39" t="str">
            <v>NOTA DE DEBITO LIQUIDACION UNICA COMERCIAL IMPOSITIVA CLASE B</v>
          </cell>
          <cell r="AH39" t="str">
            <v>PARA AGREGAR</v>
          </cell>
          <cell r="AJ39">
            <v>51</v>
          </cell>
          <cell r="AK39" t="str">
            <v>DOLAR DE HONG KONG</v>
          </cell>
        </row>
        <row r="40">
          <cell r="I40">
            <v>48</v>
          </cell>
          <cell r="J40" t="str">
            <v>NOTA DE CREDITO LIQUIDACION UNICA COMERCIAL IMPOSITIVA CLASE A</v>
          </cell>
          <cell r="AH40" t="str">
            <v>PARA AGREGAR</v>
          </cell>
          <cell r="AJ40">
            <v>52</v>
          </cell>
          <cell r="AK40" t="str">
            <v>DOLAR DE SINGAPUR</v>
          </cell>
        </row>
        <row r="41">
          <cell r="I41">
            <v>49</v>
          </cell>
          <cell r="J41" t="str">
            <v>COMPROBANTES DE COMPRA DE BIENES NO REGISTRABLES A CONSUMIDORES FINALES</v>
          </cell>
          <cell r="AH41" t="str">
            <v>PARA AGREGAR</v>
          </cell>
          <cell r="AJ41">
            <v>53</v>
          </cell>
          <cell r="AK41" t="str">
            <v>DOLAR DE JAMAICA</v>
          </cell>
        </row>
        <row r="42">
          <cell r="I42">
            <v>50</v>
          </cell>
          <cell r="J42" t="str">
            <v>RECIBO FACTURA A  REGIMEN DE FACTURA DE CREDITO</v>
          </cell>
          <cell r="AH42" t="str">
            <v>PARA AGREGAR</v>
          </cell>
          <cell r="AJ42">
            <v>54</v>
          </cell>
          <cell r="AK42" t="str">
            <v>DOLAR DE TAIWAN</v>
          </cell>
        </row>
        <row r="43">
          <cell r="I43">
            <v>51</v>
          </cell>
          <cell r="J43" t="str">
            <v>FACTURAS M</v>
          </cell>
          <cell r="AH43" t="str">
            <v>PARA AGREGAR</v>
          </cell>
          <cell r="AJ43">
            <v>55</v>
          </cell>
          <cell r="AK43" t="str">
            <v>QUETZAL GUATEMALTECO</v>
          </cell>
        </row>
        <row r="44">
          <cell r="I44">
            <v>52</v>
          </cell>
          <cell r="J44" t="str">
            <v>NOTAS DE DEBITO M</v>
          </cell>
          <cell r="AJ44">
            <v>56</v>
          </cell>
          <cell r="AK44" t="str">
            <v>FORINT  HUNGRIA</v>
          </cell>
        </row>
        <row r="45">
          <cell r="I45">
            <v>53</v>
          </cell>
          <cell r="J45" t="str">
            <v>NOTAS DE CREDITO M</v>
          </cell>
          <cell r="AJ45">
            <v>57</v>
          </cell>
          <cell r="AK45" t="str">
            <v>BAHT  TAILANDIA</v>
          </cell>
        </row>
        <row r="46">
          <cell r="I46">
            <v>54</v>
          </cell>
          <cell r="J46" t="str">
            <v>RECIBOS M</v>
          </cell>
          <cell r="AJ46">
            <v>59</v>
          </cell>
          <cell r="AK46" t="str">
            <v>DINAR KUWAITI</v>
          </cell>
        </row>
        <row r="47">
          <cell r="I47">
            <v>55</v>
          </cell>
          <cell r="J47" t="str">
            <v>NOTAS DE VENTA AL CONTADO M</v>
          </cell>
          <cell r="AJ47">
            <v>60</v>
          </cell>
          <cell r="AK47" t="str">
            <v>EURO</v>
          </cell>
        </row>
        <row r="48">
          <cell r="I48">
            <v>56</v>
          </cell>
          <cell r="J48" t="str">
            <v>COMPROBANTES M DEL ANEXO I  APARTADO A  INC F   R G  N  1415</v>
          </cell>
          <cell r="AJ48">
            <v>61</v>
          </cell>
          <cell r="AK48" t="str">
            <v>ZLOTY POLACO</v>
          </cell>
        </row>
        <row r="49">
          <cell r="I49">
            <v>57</v>
          </cell>
          <cell r="J49" t="str">
            <v>OTROS COMPROBANTES M QUE CUMPLAN CON LA R G  N  1415</v>
          </cell>
          <cell r="AJ49">
            <v>62</v>
          </cell>
          <cell r="AK49" t="str">
            <v>RUPIA HINDU</v>
          </cell>
        </row>
        <row r="50">
          <cell r="I50">
            <v>58</v>
          </cell>
          <cell r="J50" t="str">
            <v>CUENTAS DE VENTA Y LIQUIDO PRODUCTO M</v>
          </cell>
          <cell r="AJ50">
            <v>63</v>
          </cell>
          <cell r="AK50" t="str">
            <v>LEMPIRA HONDURENA</v>
          </cell>
        </row>
        <row r="51">
          <cell r="I51">
            <v>59</v>
          </cell>
          <cell r="J51" t="str">
            <v>LIQUIDACIONES M</v>
          </cell>
          <cell r="AJ51">
            <v>64</v>
          </cell>
          <cell r="AK51" t="str">
            <v>YUAN  REP  POP  CHINA</v>
          </cell>
        </row>
        <row r="52">
          <cell r="I52">
            <v>60</v>
          </cell>
          <cell r="J52" t="str">
            <v>CUENTAS DE VENTA Y LIQUIDO PRODUCTO A</v>
          </cell>
          <cell r="AJ52" t="str">
            <v>DOL</v>
          </cell>
          <cell r="AK52" t="str">
            <v>DOLAR ESTADOUNIDENSE</v>
          </cell>
        </row>
        <row r="53">
          <cell r="I53">
            <v>61</v>
          </cell>
          <cell r="J53" t="str">
            <v>CUENTAS DE VENTA Y LIQUIDO PRODUCTO B</v>
          </cell>
          <cell r="AJ53" t="str">
            <v>PES</v>
          </cell>
          <cell r="AK53" t="str">
            <v>PESOS ARGENTINOS</v>
          </cell>
        </row>
        <row r="54">
          <cell r="I54">
            <v>63</v>
          </cell>
          <cell r="J54" t="str">
            <v>LIQUIDACIONES A</v>
          </cell>
          <cell r="AK54" t="str">
            <v>PARA AGREGAR</v>
          </cell>
        </row>
        <row r="55">
          <cell r="I55">
            <v>64</v>
          </cell>
          <cell r="J55" t="str">
            <v>LIQUIDACIONES B</v>
          </cell>
          <cell r="AK55" t="str">
            <v>PARA AGREGAR</v>
          </cell>
        </row>
        <row r="56">
          <cell r="I56">
            <v>66</v>
          </cell>
          <cell r="J56" t="str">
            <v>DESPACHO DE IMPORTACION</v>
          </cell>
          <cell r="AK56" t="str">
            <v>PARA AGREGAR</v>
          </cell>
        </row>
        <row r="57">
          <cell r="I57">
            <v>70</v>
          </cell>
          <cell r="J57" t="str">
            <v>RECIBOS FACTURA DE CREDITO</v>
          </cell>
          <cell r="AK57" t="str">
            <v>PARA AGREGAR</v>
          </cell>
        </row>
        <row r="58">
          <cell r="I58">
            <v>81</v>
          </cell>
          <cell r="J58" t="str">
            <v>TIQUE FACTURA A   CONTROLADORES FISCALES</v>
          </cell>
          <cell r="AK58" t="str">
            <v>PARA AGREGAR</v>
          </cell>
        </row>
        <row r="59">
          <cell r="I59">
            <v>82</v>
          </cell>
          <cell r="J59" t="str">
            <v>TIQUE - FACTURA B</v>
          </cell>
        </row>
        <row r="60">
          <cell r="I60">
            <v>83</v>
          </cell>
          <cell r="J60" t="str">
            <v>TIQUE</v>
          </cell>
        </row>
        <row r="61">
          <cell r="I61">
            <v>90</v>
          </cell>
          <cell r="J61" t="str">
            <v>NOTA DE CREDITO OTROS COMP  QUE NO CUMPLEN CON LA R G  1415 Y SUS MODIF</v>
          </cell>
        </row>
        <row r="62">
          <cell r="I62">
            <v>99</v>
          </cell>
          <cell r="J62" t="str">
            <v>OTROS COMP  QUE NO CUMPLEN CON LA R G  1415 Y SUS MODIF</v>
          </cell>
        </row>
        <row r="63">
          <cell r="I63">
            <v>110</v>
          </cell>
          <cell r="J63" t="str">
            <v>TIQUE NOTA DE CREDITO</v>
          </cell>
        </row>
        <row r="64">
          <cell r="I64">
            <v>111</v>
          </cell>
          <cell r="J64" t="str">
            <v>TIQUE FACTURA C</v>
          </cell>
        </row>
        <row r="65">
          <cell r="I65">
            <v>112</v>
          </cell>
          <cell r="J65" t="str">
            <v>TIQUE NOTA DE CREDITO A</v>
          </cell>
        </row>
        <row r="66">
          <cell r="I66">
            <v>113</v>
          </cell>
          <cell r="J66" t="str">
            <v>TIQUE NOTA DE CREDITO B</v>
          </cell>
        </row>
        <row r="67">
          <cell r="I67">
            <v>114</v>
          </cell>
          <cell r="J67" t="str">
            <v>TIQUE NOTA DE CREDITO C</v>
          </cell>
        </row>
        <row r="68">
          <cell r="I68">
            <v>115</v>
          </cell>
          <cell r="J68" t="str">
            <v>TIQUE NOTA DE DEBITO A</v>
          </cell>
        </row>
        <row r="69">
          <cell r="I69">
            <v>116</v>
          </cell>
          <cell r="J69" t="str">
            <v>TIQUE NOTA DE DEBITO B</v>
          </cell>
        </row>
        <row r="70">
          <cell r="I70">
            <v>117</v>
          </cell>
          <cell r="J70" t="str">
            <v>TIQUE NOTA DE DEBITO C</v>
          </cell>
        </row>
        <row r="71">
          <cell r="I71">
            <v>118</v>
          </cell>
          <cell r="J71" t="str">
            <v>TIQUE FACTURA M</v>
          </cell>
        </row>
        <row r="72">
          <cell r="I72">
            <v>119</v>
          </cell>
          <cell r="J72" t="str">
            <v>TIQUE NOTA DE CREDITO M</v>
          </cell>
        </row>
        <row r="73">
          <cell r="I73">
            <v>120</v>
          </cell>
          <cell r="J73" t="str">
            <v>TIQUE NOTA DE DEBITO M</v>
          </cell>
        </row>
        <row r="74">
          <cell r="I74">
            <v>331</v>
          </cell>
          <cell r="J74" t="str">
            <v>LIQUIDACION SECUNDARIA DE GRANOS</v>
          </cell>
        </row>
        <row r="75">
          <cell r="I75">
            <v>332</v>
          </cell>
          <cell r="J75" t="str">
            <v>CERTIFICADO DE DEPOSITO DE GRANOS EN PLANTA</v>
          </cell>
        </row>
        <row r="76">
          <cell r="J76" t="str">
            <v>PARA AGREGAR</v>
          </cell>
        </row>
        <row r="77">
          <cell r="J77" t="str">
            <v>PARA AGREGAR</v>
          </cell>
        </row>
        <row r="78">
          <cell r="J78" t="str">
            <v>PARA AGREGAR</v>
          </cell>
        </row>
        <row r="79">
          <cell r="J79" t="str">
            <v>PARA AGREGAR</v>
          </cell>
        </row>
      </sheetData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er"/>
      <sheetName val="Datos Liquid"/>
      <sheetName val="Empleados"/>
      <sheetName val="Conceptos"/>
      <sheetName val="Liquidacion"/>
      <sheetName val="Recibos"/>
    </sheetNames>
    <sheetDataSet>
      <sheetData sheetId="0"/>
      <sheetData sheetId="1">
        <row r="4">
          <cell r="C4" t="str">
            <v>LA PRUEBA 2</v>
          </cell>
        </row>
        <row r="5">
          <cell r="C5" t="str">
            <v>30-88888888-6</v>
          </cell>
        </row>
        <row r="6">
          <cell r="C6" t="str">
            <v>Calle 45 Nro 34 PB - Ciudad Fantasía</v>
          </cell>
        </row>
        <row r="9">
          <cell r="C9">
            <v>42370</v>
          </cell>
        </row>
        <row r="10">
          <cell r="C10" t="str">
            <v>Ciudad Autónoma de Buenos Aires</v>
          </cell>
        </row>
        <row r="11">
          <cell r="C11">
            <v>42405</v>
          </cell>
          <cell r="D11" t="str">
            <v>5 de febrero de 2016</v>
          </cell>
        </row>
        <row r="12">
          <cell r="C12">
            <v>42339</v>
          </cell>
        </row>
        <row r="13">
          <cell r="C13" t="str">
            <v>Banco Executive</v>
          </cell>
        </row>
        <row r="14">
          <cell r="C14">
            <v>42384</v>
          </cell>
        </row>
        <row r="15">
          <cell r="C15">
            <v>1</v>
          </cell>
        </row>
      </sheetData>
      <sheetData sheetId="2">
        <row r="1">
          <cell r="B1">
            <v>2</v>
          </cell>
        </row>
        <row r="2">
          <cell r="B2" t="str">
            <v>ImpRec</v>
          </cell>
          <cell r="C2" t="str">
            <v>Reservado</v>
          </cell>
          <cell r="D2" t="str">
            <v>Reservado</v>
          </cell>
          <cell r="E2" t="str">
            <v>Imprime Recibo (Marca X)</v>
          </cell>
          <cell r="F2" t="str">
            <v>CUIL</v>
          </cell>
          <cell r="G2" t="str">
            <v>CUIL sin guines Oculta</v>
          </cell>
        </row>
        <row r="3">
          <cell r="B3">
            <v>1</v>
          </cell>
          <cell r="E3" t="str">
            <v>x</v>
          </cell>
          <cell r="F3">
            <v>20123456781</v>
          </cell>
          <cell r="G3" t="str">
            <v>20123456781</v>
          </cell>
          <cell r="H3">
            <v>1</v>
          </cell>
          <cell r="I3" t="str">
            <v>Juan Carlos Perez</v>
          </cell>
          <cell r="J3">
            <v>39845</v>
          </cell>
          <cell r="K3">
            <v>10000</v>
          </cell>
          <cell r="L3" t="str">
            <v>Administración</v>
          </cell>
          <cell r="M3" t="str">
            <v>Maestranza</v>
          </cell>
          <cell r="N3" t="str">
            <v>Varias</v>
          </cell>
        </row>
        <row r="4">
          <cell r="B4">
            <v>2</v>
          </cell>
          <cell r="E4" t="str">
            <v>x</v>
          </cell>
          <cell r="F4">
            <v>20000000002</v>
          </cell>
          <cell r="G4" t="str">
            <v>20000000002</v>
          </cell>
          <cell r="H4">
            <v>2</v>
          </cell>
          <cell r="I4" t="str">
            <v>Victoria Ramirez</v>
          </cell>
          <cell r="J4">
            <v>41760</v>
          </cell>
          <cell r="K4">
            <v>12000</v>
          </cell>
          <cell r="L4" t="str">
            <v>Comercial</v>
          </cell>
          <cell r="M4" t="str">
            <v>Vendedor</v>
          </cell>
          <cell r="N4" t="str">
            <v>Ventas</v>
          </cell>
        </row>
        <row r="5">
          <cell r="B5" t="str">
            <v/>
          </cell>
          <cell r="F5">
            <v>20000000003</v>
          </cell>
          <cell r="G5" t="str">
            <v>20000000003</v>
          </cell>
          <cell r="H5">
            <v>3</v>
          </cell>
          <cell r="I5" t="str">
            <v>Pedro Galercio</v>
          </cell>
          <cell r="J5">
            <v>41522</v>
          </cell>
          <cell r="K5">
            <v>15000</v>
          </cell>
          <cell r="L5" t="str">
            <v>Administración</v>
          </cell>
          <cell r="M5" t="str">
            <v>Gerente</v>
          </cell>
          <cell r="N5" t="str">
            <v>Varias</v>
          </cell>
        </row>
        <row r="6">
          <cell r="B6" t="str">
            <v/>
          </cell>
          <cell r="F6">
            <v>20000000004</v>
          </cell>
          <cell r="G6" t="str">
            <v>20000000004</v>
          </cell>
          <cell r="H6">
            <v>4</v>
          </cell>
          <cell r="I6" t="str">
            <v>Raúl Otamendi</v>
          </cell>
          <cell r="J6">
            <v>41384</v>
          </cell>
          <cell r="K6">
            <v>8000</v>
          </cell>
          <cell r="L6" t="str">
            <v>Administración</v>
          </cell>
          <cell r="M6" t="str">
            <v>Administrativa</v>
          </cell>
          <cell r="N6" t="str">
            <v>Administrativas</v>
          </cell>
        </row>
        <row r="7">
          <cell r="B7" t="str">
            <v/>
          </cell>
          <cell r="F7">
            <v>20000000005</v>
          </cell>
          <cell r="G7" t="str">
            <v>20000000005</v>
          </cell>
          <cell r="H7">
            <v>5</v>
          </cell>
          <cell r="I7" t="str">
            <v>Ramona Vilaqua</v>
          </cell>
          <cell r="J7">
            <v>38573</v>
          </cell>
          <cell r="K7">
            <v>12000</v>
          </cell>
          <cell r="L7" t="str">
            <v>Comercial</v>
          </cell>
          <cell r="M7" t="str">
            <v>Vendedor</v>
          </cell>
          <cell r="N7" t="str">
            <v>Ventas</v>
          </cell>
        </row>
        <row r="8">
          <cell r="B8" t="str">
            <v/>
          </cell>
          <cell r="F8">
            <v>20000000006</v>
          </cell>
          <cell r="G8" t="str">
            <v>20000000006</v>
          </cell>
          <cell r="H8">
            <v>6</v>
          </cell>
          <cell r="I8" t="str">
            <v>Hector Picaro</v>
          </cell>
          <cell r="J8">
            <v>38949</v>
          </cell>
          <cell r="K8">
            <v>10000</v>
          </cell>
          <cell r="L8" t="str">
            <v>Administración</v>
          </cell>
          <cell r="M8" t="str">
            <v>Maestranza</v>
          </cell>
          <cell r="N8" t="str">
            <v>Varias</v>
          </cell>
        </row>
        <row r="9">
          <cell r="B9" t="str">
            <v/>
          </cell>
          <cell r="F9">
            <v>20000000007</v>
          </cell>
          <cell r="G9" t="str">
            <v>20000000007</v>
          </cell>
          <cell r="H9">
            <v>7</v>
          </cell>
          <cell r="I9" t="str">
            <v>Pablo Larrea</v>
          </cell>
          <cell r="J9">
            <v>41887</v>
          </cell>
          <cell r="K9">
            <v>8000</v>
          </cell>
          <cell r="L9" t="str">
            <v>Administración</v>
          </cell>
          <cell r="M9" t="str">
            <v>Administrativa</v>
          </cell>
          <cell r="N9" t="str">
            <v>Administrativas</v>
          </cell>
        </row>
        <row r="10">
          <cell r="B10" t="str">
            <v/>
          </cell>
          <cell r="F10">
            <v>20000000008</v>
          </cell>
          <cell r="G10" t="str">
            <v>20000000008</v>
          </cell>
          <cell r="H10">
            <v>8</v>
          </cell>
          <cell r="I10" t="str">
            <v>Domingo Castro</v>
          </cell>
          <cell r="J10">
            <v>35952</v>
          </cell>
          <cell r="K10">
            <v>15000</v>
          </cell>
          <cell r="L10" t="str">
            <v>Administración</v>
          </cell>
          <cell r="M10" t="str">
            <v>Gerente</v>
          </cell>
          <cell r="N10" t="str">
            <v>Varias</v>
          </cell>
        </row>
        <row r="11">
          <cell r="B11" t="str">
            <v/>
          </cell>
          <cell r="F11">
            <v>20000000009</v>
          </cell>
          <cell r="G11" t="str">
            <v>20000000009</v>
          </cell>
          <cell r="H11">
            <v>9</v>
          </cell>
          <cell r="I11" t="str">
            <v>Julio Mitre</v>
          </cell>
          <cell r="J11">
            <v>41857</v>
          </cell>
          <cell r="K11">
            <v>12000</v>
          </cell>
          <cell r="L11" t="str">
            <v>Comercial</v>
          </cell>
          <cell r="M11" t="str">
            <v>Vendedor</v>
          </cell>
          <cell r="N11" t="str">
            <v>Ventas</v>
          </cell>
        </row>
        <row r="12">
          <cell r="B12" t="str">
            <v/>
          </cell>
          <cell r="F12">
            <v>20000000010</v>
          </cell>
          <cell r="G12" t="str">
            <v>20000000010</v>
          </cell>
          <cell r="H12">
            <v>10</v>
          </cell>
          <cell r="I12" t="str">
            <v>Graciela Carla</v>
          </cell>
          <cell r="J12">
            <v>42064</v>
          </cell>
          <cell r="K12">
            <v>8000</v>
          </cell>
          <cell r="L12" t="str">
            <v>Administración</v>
          </cell>
          <cell r="M12" t="str">
            <v>Administrativa</v>
          </cell>
          <cell r="N12" t="str">
            <v>Administrativas</v>
          </cell>
        </row>
        <row r="13">
          <cell r="B13" t="str">
            <v/>
          </cell>
          <cell r="F13">
            <v>20000000011</v>
          </cell>
          <cell r="G13" t="str">
            <v>20000000011</v>
          </cell>
          <cell r="H13">
            <v>11</v>
          </cell>
          <cell r="I13" t="str">
            <v>Alicia Mendichea</v>
          </cell>
          <cell r="J13">
            <v>41887</v>
          </cell>
          <cell r="K13">
            <v>10000</v>
          </cell>
          <cell r="L13" t="str">
            <v>Administración</v>
          </cell>
          <cell r="M13" t="str">
            <v>Maestranza</v>
          </cell>
          <cell r="N13" t="str">
            <v>Varias</v>
          </cell>
        </row>
        <row r="14">
          <cell r="B14" t="str">
            <v/>
          </cell>
          <cell r="F14">
            <v>20000000012</v>
          </cell>
          <cell r="G14" t="str">
            <v>20000000012</v>
          </cell>
          <cell r="H14">
            <v>12</v>
          </cell>
          <cell r="I14" t="str">
            <v>Horacio Cafar</v>
          </cell>
          <cell r="J14">
            <v>42064</v>
          </cell>
          <cell r="K14">
            <v>12000</v>
          </cell>
          <cell r="L14" t="str">
            <v>Comercial</v>
          </cell>
          <cell r="M14" t="str">
            <v>Vendedor</v>
          </cell>
          <cell r="N14" t="str">
            <v>Ventas</v>
          </cell>
        </row>
        <row r="15">
          <cell r="B15" t="str">
            <v/>
          </cell>
          <cell r="F15">
            <v>20000000013</v>
          </cell>
          <cell r="G15" t="str">
            <v>20000000013</v>
          </cell>
          <cell r="H15">
            <v>13</v>
          </cell>
          <cell r="I15" t="str">
            <v>Marcelo Gimenez</v>
          </cell>
          <cell r="J15">
            <v>41887</v>
          </cell>
          <cell r="K15">
            <v>10000</v>
          </cell>
          <cell r="L15" t="str">
            <v>Comercial</v>
          </cell>
          <cell r="M15" t="str">
            <v>Maestranza</v>
          </cell>
          <cell r="N15" t="str">
            <v>Varias</v>
          </cell>
        </row>
        <row r="16">
          <cell r="B16" t="str">
            <v/>
          </cell>
          <cell r="F16">
            <v>20000000014</v>
          </cell>
          <cell r="G16" t="str">
            <v>20000000014</v>
          </cell>
          <cell r="H16">
            <v>14</v>
          </cell>
          <cell r="I16" t="str">
            <v>Carlos Martinez</v>
          </cell>
          <cell r="J16">
            <v>38573</v>
          </cell>
          <cell r="K16">
            <v>8000</v>
          </cell>
          <cell r="L16" t="str">
            <v>Administración</v>
          </cell>
          <cell r="M16" t="str">
            <v>Administrativa</v>
          </cell>
          <cell r="N16" t="str">
            <v>Administrativas</v>
          </cell>
        </row>
        <row r="17">
          <cell r="B17" t="str">
            <v/>
          </cell>
          <cell r="F17">
            <v>20000000015</v>
          </cell>
          <cell r="G17" t="str">
            <v>20000000015</v>
          </cell>
          <cell r="H17">
            <v>15</v>
          </cell>
          <cell r="I17" t="str">
            <v>Alberto Diaguitas</v>
          </cell>
          <cell r="J17">
            <v>42064</v>
          </cell>
          <cell r="K17">
            <v>10000</v>
          </cell>
          <cell r="L17" t="str">
            <v>Administración</v>
          </cell>
          <cell r="M17" t="str">
            <v>Maestranza</v>
          </cell>
          <cell r="N17" t="str">
            <v>Varias</v>
          </cell>
        </row>
        <row r="18">
          <cell r="B18" t="str">
            <v/>
          </cell>
          <cell r="F18">
            <v>20000000016</v>
          </cell>
          <cell r="G18" t="str">
            <v>20000000016</v>
          </cell>
          <cell r="H18">
            <v>16</v>
          </cell>
          <cell r="I18" t="str">
            <v>Julián Mendieta</v>
          </cell>
          <cell r="J18">
            <v>41887</v>
          </cell>
          <cell r="K18">
            <v>12000</v>
          </cell>
          <cell r="L18" t="str">
            <v>Comercial</v>
          </cell>
          <cell r="M18" t="str">
            <v>Vendedor</v>
          </cell>
          <cell r="N18" t="str">
            <v>Ventas</v>
          </cell>
        </row>
        <row r="19">
          <cell r="B19" t="str">
            <v/>
          </cell>
          <cell r="F19">
            <v>20000000017</v>
          </cell>
          <cell r="G19" t="str">
            <v>20000000017</v>
          </cell>
          <cell r="H19">
            <v>17</v>
          </cell>
          <cell r="I19" t="str">
            <v>Cristina Perez</v>
          </cell>
          <cell r="J19">
            <v>38573</v>
          </cell>
          <cell r="K19">
            <v>10000</v>
          </cell>
          <cell r="L19" t="str">
            <v>Administración</v>
          </cell>
          <cell r="M19" t="str">
            <v>Maestranza</v>
          </cell>
          <cell r="N19" t="str">
            <v>Varias</v>
          </cell>
        </row>
        <row r="20">
          <cell r="B20" t="str">
            <v/>
          </cell>
          <cell r="F20">
            <v>20000000018</v>
          </cell>
          <cell r="G20" t="str">
            <v>20000000018</v>
          </cell>
          <cell r="H20">
            <v>18</v>
          </cell>
          <cell r="I20" t="str">
            <v>Claudia Carranza</v>
          </cell>
          <cell r="J20">
            <v>42064</v>
          </cell>
          <cell r="K20">
            <v>12000</v>
          </cell>
          <cell r="L20" t="str">
            <v>Comercial</v>
          </cell>
          <cell r="M20" t="str">
            <v>Vendedor</v>
          </cell>
          <cell r="N20" t="str">
            <v>Ventas</v>
          </cell>
        </row>
        <row r="21">
          <cell r="B21" t="str">
            <v/>
          </cell>
          <cell r="F21">
            <v>20000000019</v>
          </cell>
          <cell r="G21" t="str">
            <v>20000000019</v>
          </cell>
          <cell r="H21">
            <v>19</v>
          </cell>
          <cell r="I21" t="str">
            <v>Estela Lidia</v>
          </cell>
          <cell r="J21">
            <v>38573</v>
          </cell>
          <cell r="K21">
            <v>15000</v>
          </cell>
          <cell r="L21" t="str">
            <v>Administración</v>
          </cell>
          <cell r="M21" t="str">
            <v>Gerente</v>
          </cell>
          <cell r="N21" t="str">
            <v>Varias</v>
          </cell>
        </row>
        <row r="22">
          <cell r="B22" t="str">
            <v/>
          </cell>
          <cell r="F22">
            <v>20000000020</v>
          </cell>
          <cell r="G22" t="str">
            <v>20000000020</v>
          </cell>
          <cell r="H22">
            <v>20</v>
          </cell>
          <cell r="I22" t="str">
            <v>Cristian Impreso</v>
          </cell>
          <cell r="J22">
            <v>38573</v>
          </cell>
          <cell r="K22">
            <v>10000</v>
          </cell>
          <cell r="L22" t="str">
            <v>Administración</v>
          </cell>
          <cell r="M22" t="str">
            <v>Maestranza</v>
          </cell>
          <cell r="N22" t="str">
            <v>Varias</v>
          </cell>
        </row>
        <row r="23">
          <cell r="B23" t="str">
            <v/>
          </cell>
          <cell r="G23" t="str">
            <v/>
          </cell>
        </row>
        <row r="24">
          <cell r="B24" t="str">
            <v/>
          </cell>
          <cell r="G24" t="str">
            <v/>
          </cell>
        </row>
        <row r="25">
          <cell r="B25" t="str">
            <v/>
          </cell>
          <cell r="G25" t="str">
            <v/>
          </cell>
        </row>
        <row r="26">
          <cell r="B26" t="str">
            <v/>
          </cell>
          <cell r="G26" t="str">
            <v/>
          </cell>
        </row>
        <row r="27">
          <cell r="B27" t="str">
            <v/>
          </cell>
          <cell r="G27" t="str">
            <v/>
          </cell>
        </row>
        <row r="28">
          <cell r="B28" t="str">
            <v/>
          </cell>
          <cell r="G28" t="str">
            <v/>
          </cell>
        </row>
        <row r="29">
          <cell r="B29" t="str">
            <v/>
          </cell>
          <cell r="G29" t="str">
            <v/>
          </cell>
        </row>
        <row r="30">
          <cell r="B30" t="str">
            <v/>
          </cell>
          <cell r="G30" t="str">
            <v/>
          </cell>
        </row>
        <row r="31">
          <cell r="B31" t="str">
            <v/>
          </cell>
          <cell r="G31" t="str">
            <v/>
          </cell>
        </row>
        <row r="32">
          <cell r="B32" t="str">
            <v/>
          </cell>
          <cell r="G32" t="str">
            <v/>
          </cell>
        </row>
        <row r="33">
          <cell r="B33" t="str">
            <v/>
          </cell>
          <cell r="G33" t="str">
            <v/>
          </cell>
        </row>
        <row r="34">
          <cell r="B34" t="str">
            <v/>
          </cell>
          <cell r="G34" t="str">
            <v/>
          </cell>
        </row>
        <row r="35">
          <cell r="B35" t="str">
            <v/>
          </cell>
          <cell r="G35" t="str">
            <v/>
          </cell>
        </row>
        <row r="36">
          <cell r="B36" t="str">
            <v/>
          </cell>
          <cell r="G36" t="str">
            <v/>
          </cell>
        </row>
        <row r="37">
          <cell r="B37" t="str">
            <v/>
          </cell>
          <cell r="G37" t="str">
            <v/>
          </cell>
        </row>
        <row r="38">
          <cell r="B38" t="str">
            <v/>
          </cell>
          <cell r="G38" t="str">
            <v/>
          </cell>
        </row>
        <row r="39">
          <cell r="B39" t="str">
            <v/>
          </cell>
          <cell r="G39" t="str">
            <v/>
          </cell>
        </row>
        <row r="40">
          <cell r="B40" t="str">
            <v/>
          </cell>
          <cell r="G40" t="str">
            <v/>
          </cell>
        </row>
        <row r="41">
          <cell r="B41" t="str">
            <v/>
          </cell>
          <cell r="G41" t="str">
            <v/>
          </cell>
        </row>
        <row r="42">
          <cell r="B42" t="str">
            <v/>
          </cell>
          <cell r="G42" t="str">
            <v/>
          </cell>
        </row>
        <row r="43">
          <cell r="B43" t="str">
            <v/>
          </cell>
          <cell r="G43" t="str">
            <v/>
          </cell>
        </row>
        <row r="44">
          <cell r="B44" t="str">
            <v/>
          </cell>
          <cell r="G44" t="str">
            <v/>
          </cell>
        </row>
        <row r="45">
          <cell r="B45" t="str">
            <v/>
          </cell>
          <cell r="G45" t="str">
            <v/>
          </cell>
        </row>
        <row r="46">
          <cell r="B46" t="str">
            <v/>
          </cell>
          <cell r="G46" t="str">
            <v/>
          </cell>
        </row>
        <row r="47">
          <cell r="B47" t="str">
            <v/>
          </cell>
          <cell r="G47" t="str">
            <v/>
          </cell>
        </row>
        <row r="48">
          <cell r="B48" t="str">
            <v/>
          </cell>
          <cell r="G48" t="str">
            <v/>
          </cell>
        </row>
        <row r="49">
          <cell r="B49" t="str">
            <v/>
          </cell>
          <cell r="G49" t="str">
            <v/>
          </cell>
        </row>
        <row r="50">
          <cell r="B50" t="str">
            <v/>
          </cell>
          <cell r="G50" t="str">
            <v/>
          </cell>
        </row>
        <row r="51">
          <cell r="B51" t="str">
            <v/>
          </cell>
          <cell r="G51" t="str">
            <v/>
          </cell>
        </row>
        <row r="52">
          <cell r="B52" t="str">
            <v/>
          </cell>
          <cell r="G52" t="str">
            <v/>
          </cell>
        </row>
      </sheetData>
      <sheetData sheetId="3">
        <row r="2">
          <cell r="B2" t="str">
            <v>REMUNERATIVOS</v>
          </cell>
          <cell r="E2" t="str">
            <v>DESCUENTOS</v>
          </cell>
          <cell r="H2" t="str">
            <v>NO REMUNERATIVOS</v>
          </cell>
        </row>
        <row r="3">
          <cell r="B3">
            <v>1001</v>
          </cell>
          <cell r="C3" t="str">
            <v>Sueldo Básico</v>
          </cell>
          <cell r="E3">
            <v>2001</v>
          </cell>
          <cell r="F3" t="str">
            <v>Jubilación</v>
          </cell>
          <cell r="H3">
            <v>9999</v>
          </cell>
          <cell r="I3" t="str">
            <v>Redondeo</v>
          </cell>
        </row>
        <row r="4">
          <cell r="B4">
            <v>1002</v>
          </cell>
          <cell r="C4" t="str">
            <v>Presentismo</v>
          </cell>
          <cell r="E4">
            <v>2002</v>
          </cell>
          <cell r="F4" t="str">
            <v>Ley 19032</v>
          </cell>
          <cell r="H4">
            <v>3001</v>
          </cell>
          <cell r="I4" t="str">
            <v>Presentismo</v>
          </cell>
        </row>
        <row r="5">
          <cell r="B5">
            <v>1003</v>
          </cell>
          <cell r="C5" t="str">
            <v>Antigüedad</v>
          </cell>
          <cell r="E5">
            <v>2003</v>
          </cell>
          <cell r="F5" t="str">
            <v>Obra Social</v>
          </cell>
          <cell r="H5">
            <v>3002</v>
          </cell>
          <cell r="I5" t="str">
            <v>Antigüedad</v>
          </cell>
        </row>
        <row r="6">
          <cell r="B6">
            <v>1004</v>
          </cell>
          <cell r="C6" t="str">
            <v>Vacaciones</v>
          </cell>
          <cell r="E6">
            <v>2004</v>
          </cell>
          <cell r="F6" t="str">
            <v>Sindicato</v>
          </cell>
          <cell r="H6">
            <v>3003</v>
          </cell>
          <cell r="I6" t="str">
            <v>Vacaciones</v>
          </cell>
        </row>
        <row r="7">
          <cell r="B7">
            <v>1005</v>
          </cell>
          <cell r="C7" t="str">
            <v>SAC</v>
          </cell>
          <cell r="E7">
            <v>2005</v>
          </cell>
          <cell r="F7" t="str">
            <v>Sindicato Afiliado</v>
          </cell>
          <cell r="H7">
            <v>3004</v>
          </cell>
          <cell r="I7" t="str">
            <v>SAC</v>
          </cell>
        </row>
        <row r="8">
          <cell r="B8">
            <v>1006</v>
          </cell>
          <cell r="C8" t="str">
            <v>Inasistencias Injustificadas</v>
          </cell>
          <cell r="E8">
            <v>2006</v>
          </cell>
          <cell r="F8" t="str">
            <v>Descuento nuevo</v>
          </cell>
          <cell r="H8">
            <v>3005</v>
          </cell>
          <cell r="I8" t="str">
            <v>Remu1</v>
          </cell>
        </row>
        <row r="9">
          <cell r="B9">
            <v>1007</v>
          </cell>
          <cell r="C9" t="str">
            <v>Inasistencias Justificadas</v>
          </cell>
          <cell r="E9">
            <v>2007</v>
          </cell>
          <cell r="F9" t="str">
            <v>Desc2</v>
          </cell>
          <cell r="H9">
            <v>3006</v>
          </cell>
          <cell r="I9" t="str">
            <v>Remu2</v>
          </cell>
        </row>
        <row r="10">
          <cell r="B10">
            <v>1008</v>
          </cell>
          <cell r="C10" t="str">
            <v>Remu3</v>
          </cell>
          <cell r="E10">
            <v>2008</v>
          </cell>
          <cell r="F10" t="str">
            <v>Desc3</v>
          </cell>
          <cell r="H10">
            <v>3007</v>
          </cell>
          <cell r="I10" t="str">
            <v>Vacaciones no Gozadas</v>
          </cell>
        </row>
        <row r="11">
          <cell r="B11">
            <v>1009</v>
          </cell>
          <cell r="C11" t="str">
            <v>Remu4</v>
          </cell>
          <cell r="E11">
            <v>2009</v>
          </cell>
          <cell r="F11" t="str">
            <v>Desc4</v>
          </cell>
          <cell r="H11">
            <v>3008</v>
          </cell>
          <cell r="I11" t="str">
            <v>SAC s/Vac.no Goz.</v>
          </cell>
        </row>
        <row r="12">
          <cell r="B12">
            <v>1010</v>
          </cell>
          <cell r="C12" t="str">
            <v>Remu5</v>
          </cell>
          <cell r="E12">
            <v>2010</v>
          </cell>
          <cell r="F12" t="str">
            <v>Desc5</v>
          </cell>
          <cell r="H12">
            <v>3009</v>
          </cell>
          <cell r="I12" t="str">
            <v>Indemnización Antig.</v>
          </cell>
        </row>
        <row r="13">
          <cell r="B13">
            <v>1011</v>
          </cell>
          <cell r="C13" t="str">
            <v>Remu6</v>
          </cell>
          <cell r="E13">
            <v>2011</v>
          </cell>
          <cell r="F13" t="str">
            <v>Desc6</v>
          </cell>
          <cell r="H13">
            <v>3010</v>
          </cell>
          <cell r="I13" t="str">
            <v>SAC s/Indemniz.Antig.</v>
          </cell>
        </row>
        <row r="14">
          <cell r="B14">
            <v>1012</v>
          </cell>
          <cell r="C14" t="str">
            <v>Remu7</v>
          </cell>
          <cell r="E14">
            <v>2012</v>
          </cell>
          <cell r="F14" t="str">
            <v>Desc7</v>
          </cell>
          <cell r="H14">
            <v>3011</v>
          </cell>
          <cell r="I14" t="str">
            <v>Viáticos</v>
          </cell>
        </row>
        <row r="15">
          <cell r="B15">
            <v>1013</v>
          </cell>
          <cell r="C15" t="str">
            <v>Remu8</v>
          </cell>
          <cell r="E15">
            <v>2013</v>
          </cell>
          <cell r="F15" t="str">
            <v>Desc8</v>
          </cell>
          <cell r="H15">
            <v>3012</v>
          </cell>
          <cell r="I15" t="str">
            <v>Adic2</v>
          </cell>
        </row>
        <row r="16">
          <cell r="B16">
            <v>1014</v>
          </cell>
          <cell r="C16" t="str">
            <v>Remu9</v>
          </cell>
          <cell r="E16">
            <v>2014</v>
          </cell>
          <cell r="F16" t="str">
            <v>Desc9</v>
          </cell>
          <cell r="H16">
            <v>3013</v>
          </cell>
          <cell r="I16" t="str">
            <v>Adic3</v>
          </cell>
        </row>
        <row r="17">
          <cell r="B17">
            <v>1015</v>
          </cell>
          <cell r="C17" t="str">
            <v>Remu10</v>
          </cell>
          <cell r="E17">
            <v>2015</v>
          </cell>
          <cell r="F17" t="str">
            <v>Desc10</v>
          </cell>
          <cell r="H17">
            <v>3014</v>
          </cell>
          <cell r="I17" t="str">
            <v>Adic4</v>
          </cell>
        </row>
        <row r="18">
          <cell r="B18">
            <v>1016</v>
          </cell>
          <cell r="C18" t="str">
            <v>Remu11</v>
          </cell>
          <cell r="E18">
            <v>2016</v>
          </cell>
          <cell r="F18" t="str">
            <v>Desc11</v>
          </cell>
          <cell r="H18">
            <v>3015</v>
          </cell>
          <cell r="I18" t="str">
            <v>Adic5</v>
          </cell>
        </row>
        <row r="19">
          <cell r="B19">
            <v>1017</v>
          </cell>
          <cell r="C19" t="str">
            <v>Remu12</v>
          </cell>
          <cell r="E19">
            <v>2017</v>
          </cell>
          <cell r="F19" t="str">
            <v>Desc12</v>
          </cell>
          <cell r="H19">
            <v>3016</v>
          </cell>
          <cell r="I19" t="str">
            <v>Adic6</v>
          </cell>
        </row>
        <row r="20">
          <cell r="B20">
            <v>1018</v>
          </cell>
          <cell r="C20" t="str">
            <v>Remu13</v>
          </cell>
          <cell r="E20">
            <v>2018</v>
          </cell>
          <cell r="F20" t="str">
            <v>Desc13</v>
          </cell>
          <cell r="H20">
            <v>3017</v>
          </cell>
          <cell r="I20" t="str">
            <v>Adic7</v>
          </cell>
        </row>
        <row r="21">
          <cell r="B21">
            <v>1019</v>
          </cell>
          <cell r="C21" t="str">
            <v>Remu14</v>
          </cell>
          <cell r="E21">
            <v>2019</v>
          </cell>
          <cell r="F21" t="str">
            <v>Desc14</v>
          </cell>
          <cell r="H21">
            <v>3018</v>
          </cell>
          <cell r="I21" t="str">
            <v>Adic8</v>
          </cell>
        </row>
        <row r="22">
          <cell r="B22">
            <v>1020</v>
          </cell>
          <cell r="C22" t="str">
            <v>Remu15</v>
          </cell>
          <cell r="E22">
            <v>2020</v>
          </cell>
          <cell r="F22" t="str">
            <v>Desc15</v>
          </cell>
          <cell r="H22">
            <v>3019</v>
          </cell>
          <cell r="I22" t="str">
            <v>Adic9</v>
          </cell>
        </row>
        <row r="23">
          <cell r="B23">
            <v>1021</v>
          </cell>
          <cell r="C23" t="str">
            <v>Remu16</v>
          </cell>
          <cell r="E23">
            <v>2021</v>
          </cell>
          <cell r="F23" t="str">
            <v>Desc16</v>
          </cell>
          <cell r="H23">
            <v>3020</v>
          </cell>
          <cell r="I23" t="str">
            <v>Adic10</v>
          </cell>
        </row>
        <row r="24">
          <cell r="B24">
            <v>1022</v>
          </cell>
          <cell r="C24" t="str">
            <v>Remu17</v>
          </cell>
          <cell r="E24">
            <v>2022</v>
          </cell>
          <cell r="F24" t="str">
            <v>Desc17</v>
          </cell>
          <cell r="H24">
            <v>3021</v>
          </cell>
          <cell r="I24" t="str">
            <v>Adic11</v>
          </cell>
        </row>
        <row r="25">
          <cell r="B25">
            <v>1023</v>
          </cell>
          <cell r="C25" t="str">
            <v>Remu18</v>
          </cell>
          <cell r="E25">
            <v>2023</v>
          </cell>
          <cell r="F25" t="str">
            <v>Desc18</v>
          </cell>
          <cell r="H25">
            <v>3022</v>
          </cell>
          <cell r="I25" t="str">
            <v>Adic12</v>
          </cell>
        </row>
        <row r="26">
          <cell r="B26">
            <v>1024</v>
          </cell>
          <cell r="C26" t="str">
            <v>Remu19</v>
          </cell>
          <cell r="E26">
            <v>2024</v>
          </cell>
          <cell r="F26" t="str">
            <v>Desc19</v>
          </cell>
          <cell r="H26">
            <v>3023</v>
          </cell>
          <cell r="I26" t="str">
            <v>Adic13</v>
          </cell>
        </row>
        <row r="27">
          <cell r="B27">
            <v>1025</v>
          </cell>
          <cell r="C27" t="str">
            <v>Remu20</v>
          </cell>
          <cell r="E27">
            <v>2025</v>
          </cell>
          <cell r="F27" t="str">
            <v>Desc20</v>
          </cell>
          <cell r="H27">
            <v>3024</v>
          </cell>
          <cell r="I27" t="str">
            <v>Adic14</v>
          </cell>
        </row>
        <row r="28">
          <cell r="B28">
            <v>1026</v>
          </cell>
          <cell r="C28" t="str">
            <v>Remu21</v>
          </cell>
          <cell r="E28">
            <v>2026</v>
          </cell>
          <cell r="F28" t="str">
            <v>Desc21</v>
          </cell>
          <cell r="H28">
            <v>3025</v>
          </cell>
          <cell r="I28" t="str">
            <v>Adic15</v>
          </cell>
        </row>
        <row r="29">
          <cell r="B29">
            <v>1027</v>
          </cell>
          <cell r="C29" t="str">
            <v>Remu22</v>
          </cell>
          <cell r="E29">
            <v>2027</v>
          </cell>
          <cell r="F29" t="str">
            <v>Desc22</v>
          </cell>
          <cell r="H29">
            <v>3026</v>
          </cell>
          <cell r="I29" t="str">
            <v>Adic16</v>
          </cell>
        </row>
        <row r="30">
          <cell r="B30">
            <v>1028</v>
          </cell>
          <cell r="C30" t="str">
            <v>Remu23</v>
          </cell>
          <cell r="E30">
            <v>2028</v>
          </cell>
          <cell r="F30" t="str">
            <v>Desc23</v>
          </cell>
          <cell r="H30">
            <v>3027</v>
          </cell>
          <cell r="I30" t="str">
            <v>Adic17</v>
          </cell>
        </row>
        <row r="31">
          <cell r="B31">
            <v>1029</v>
          </cell>
          <cell r="C31" t="str">
            <v>Remu24</v>
          </cell>
          <cell r="E31">
            <v>2029</v>
          </cell>
          <cell r="F31" t="str">
            <v>Desc24</v>
          </cell>
          <cell r="H31">
            <v>3028</v>
          </cell>
          <cell r="I31" t="str">
            <v>Adic18</v>
          </cell>
        </row>
        <row r="32">
          <cell r="B32">
            <v>1030</v>
          </cell>
          <cell r="C32" t="str">
            <v>Remu25</v>
          </cell>
          <cell r="E32">
            <v>2030</v>
          </cell>
          <cell r="F32" t="str">
            <v>Desc25</v>
          </cell>
          <cell r="H32">
            <v>3029</v>
          </cell>
          <cell r="I32" t="str">
            <v>Adic19</v>
          </cell>
        </row>
        <row r="33">
          <cell r="B33">
            <v>1031</v>
          </cell>
          <cell r="C33" t="str">
            <v>Remu26</v>
          </cell>
          <cell r="E33">
            <v>2031</v>
          </cell>
          <cell r="F33" t="str">
            <v>Desc26</v>
          </cell>
          <cell r="H33">
            <v>3030</v>
          </cell>
          <cell r="I33" t="str">
            <v>Adic20</v>
          </cell>
        </row>
        <row r="34">
          <cell r="B34">
            <v>1032</v>
          </cell>
          <cell r="C34" t="str">
            <v>Remu27</v>
          </cell>
          <cell r="E34">
            <v>2032</v>
          </cell>
          <cell r="F34" t="str">
            <v>Desc27</v>
          </cell>
          <cell r="H34">
            <v>3031</v>
          </cell>
          <cell r="I34" t="str">
            <v>Adic21</v>
          </cell>
        </row>
        <row r="35">
          <cell r="B35">
            <v>1033</v>
          </cell>
          <cell r="C35" t="str">
            <v>Remu28</v>
          </cell>
          <cell r="E35">
            <v>2033</v>
          </cell>
          <cell r="F35" t="str">
            <v>Desc28</v>
          </cell>
          <cell r="H35">
            <v>3032</v>
          </cell>
          <cell r="I35" t="str">
            <v>Adic22</v>
          </cell>
        </row>
        <row r="36">
          <cell r="B36">
            <v>1034</v>
          </cell>
          <cell r="C36" t="str">
            <v>Remu29</v>
          </cell>
          <cell r="E36">
            <v>2034</v>
          </cell>
          <cell r="F36" t="str">
            <v>Desc29</v>
          </cell>
          <cell r="H36">
            <v>3033</v>
          </cell>
          <cell r="I36" t="str">
            <v>Adic23</v>
          </cell>
        </row>
        <row r="37">
          <cell r="B37">
            <v>1035</v>
          </cell>
          <cell r="C37" t="str">
            <v>Remu30</v>
          </cell>
          <cell r="E37">
            <v>2035</v>
          </cell>
          <cell r="F37" t="str">
            <v>Desc30</v>
          </cell>
          <cell r="H37">
            <v>3034</v>
          </cell>
          <cell r="I37" t="str">
            <v>Adic24</v>
          </cell>
        </row>
        <row r="38">
          <cell r="B38">
            <v>1036</v>
          </cell>
          <cell r="C38" t="str">
            <v>Remu31</v>
          </cell>
          <cell r="E38">
            <v>2036</v>
          </cell>
          <cell r="F38" t="str">
            <v>Desc31</v>
          </cell>
          <cell r="H38">
            <v>3035</v>
          </cell>
          <cell r="I38" t="str">
            <v>Adic25</v>
          </cell>
        </row>
        <row r="39">
          <cell r="B39">
            <v>1037</v>
          </cell>
          <cell r="C39" t="str">
            <v>Remu32</v>
          </cell>
          <cell r="E39">
            <v>2037</v>
          </cell>
          <cell r="F39" t="str">
            <v>Desc32</v>
          </cell>
          <cell r="H39">
            <v>3036</v>
          </cell>
          <cell r="I39" t="str">
            <v>Adic26</v>
          </cell>
        </row>
        <row r="40">
          <cell r="B40">
            <v>1038</v>
          </cell>
          <cell r="C40" t="str">
            <v>Remu33</v>
          </cell>
          <cell r="E40">
            <v>2038</v>
          </cell>
          <cell r="F40" t="str">
            <v>Desc33</v>
          </cell>
          <cell r="H40">
            <v>3037</v>
          </cell>
          <cell r="I40" t="str">
            <v>Adic27</v>
          </cell>
        </row>
        <row r="41">
          <cell r="B41">
            <v>1039</v>
          </cell>
          <cell r="C41" t="str">
            <v>Remu34</v>
          </cell>
          <cell r="E41">
            <v>2039</v>
          </cell>
          <cell r="F41" t="str">
            <v>Desc34</v>
          </cell>
          <cell r="H41">
            <v>3038</v>
          </cell>
          <cell r="I41" t="str">
            <v>Adic28</v>
          </cell>
        </row>
        <row r="42">
          <cell r="B42">
            <v>1040</v>
          </cell>
          <cell r="C42" t="str">
            <v>Remu35</v>
          </cell>
          <cell r="E42">
            <v>2040</v>
          </cell>
          <cell r="F42" t="str">
            <v>Desc35</v>
          </cell>
          <cell r="H42">
            <v>3039</v>
          </cell>
          <cell r="I42" t="str">
            <v>Adic29</v>
          </cell>
        </row>
        <row r="43">
          <cell r="B43">
            <v>1041</v>
          </cell>
          <cell r="C43" t="str">
            <v>Remu36</v>
          </cell>
          <cell r="E43">
            <v>2041</v>
          </cell>
          <cell r="F43" t="str">
            <v>Desc36</v>
          </cell>
          <cell r="H43">
            <v>3040</v>
          </cell>
          <cell r="I43" t="str">
            <v>Adic30</v>
          </cell>
        </row>
        <row r="44">
          <cell r="B44">
            <v>1042</v>
          </cell>
          <cell r="C44" t="str">
            <v>Remu37</v>
          </cell>
          <cell r="E44">
            <v>2042</v>
          </cell>
          <cell r="F44" t="str">
            <v>Desc37</v>
          </cell>
          <cell r="H44">
            <v>3041</v>
          </cell>
          <cell r="I44" t="str">
            <v>Adic31</v>
          </cell>
        </row>
        <row r="45">
          <cell r="B45">
            <v>1043</v>
          </cell>
          <cell r="C45" t="str">
            <v>Remu38</v>
          </cell>
          <cell r="E45">
            <v>2043</v>
          </cell>
          <cell r="F45" t="str">
            <v>Desc38</v>
          </cell>
          <cell r="H45">
            <v>3042</v>
          </cell>
          <cell r="I45" t="str">
            <v>Adic32</v>
          </cell>
        </row>
        <row r="46">
          <cell r="B46">
            <v>1044</v>
          </cell>
          <cell r="C46" t="str">
            <v>Remu39</v>
          </cell>
          <cell r="E46">
            <v>2044</v>
          </cell>
          <cell r="F46" t="str">
            <v>Desc39</v>
          </cell>
          <cell r="H46">
            <v>3043</v>
          </cell>
          <cell r="I46" t="str">
            <v>Adic33</v>
          </cell>
        </row>
        <row r="47">
          <cell r="B47">
            <v>1045</v>
          </cell>
          <cell r="C47" t="str">
            <v>Remu40</v>
          </cell>
          <cell r="E47">
            <v>2045</v>
          </cell>
          <cell r="F47" t="str">
            <v>Desc40</v>
          </cell>
          <cell r="H47">
            <v>3044</v>
          </cell>
          <cell r="I47" t="str">
            <v>Adic34</v>
          </cell>
        </row>
        <row r="48">
          <cell r="B48">
            <v>1046</v>
          </cell>
          <cell r="C48" t="str">
            <v>Remu41</v>
          </cell>
          <cell r="E48">
            <v>2046</v>
          </cell>
          <cell r="F48" t="str">
            <v>Desc41</v>
          </cell>
          <cell r="H48">
            <v>3045</v>
          </cell>
          <cell r="I48" t="str">
            <v>Adic35</v>
          </cell>
        </row>
        <row r="49">
          <cell r="B49">
            <v>1047</v>
          </cell>
          <cell r="C49" t="str">
            <v>Remu42</v>
          </cell>
          <cell r="E49">
            <v>2047</v>
          </cell>
          <cell r="F49" t="str">
            <v>Desc42</v>
          </cell>
          <cell r="H49">
            <v>3046</v>
          </cell>
          <cell r="I49" t="str">
            <v>Adic36</v>
          </cell>
        </row>
        <row r="50">
          <cell r="B50">
            <v>1048</v>
          </cell>
          <cell r="C50" t="str">
            <v>Remu43</v>
          </cell>
          <cell r="E50">
            <v>2048</v>
          </cell>
          <cell r="F50" t="str">
            <v>Desc43</v>
          </cell>
          <cell r="H50">
            <v>3047</v>
          </cell>
          <cell r="I50" t="str">
            <v>Adic37</v>
          </cell>
        </row>
        <row r="51">
          <cell r="B51">
            <v>1049</v>
          </cell>
          <cell r="C51" t="str">
            <v>Remu44</v>
          </cell>
          <cell r="E51">
            <v>2049</v>
          </cell>
          <cell r="F51" t="str">
            <v>Desc44</v>
          </cell>
          <cell r="H51">
            <v>3048</v>
          </cell>
          <cell r="I51" t="str">
            <v>Adic38</v>
          </cell>
        </row>
        <row r="52">
          <cell r="B52">
            <v>1050</v>
          </cell>
          <cell r="C52" t="str">
            <v>Remu45</v>
          </cell>
          <cell r="E52">
            <v>2050</v>
          </cell>
          <cell r="F52" t="str">
            <v>Desc45</v>
          </cell>
          <cell r="H52">
            <v>3049</v>
          </cell>
          <cell r="I52" t="str">
            <v>Adic39</v>
          </cell>
        </row>
      </sheetData>
      <sheetData sheetId="4">
        <row r="3">
          <cell r="E3" t="str">
            <v>20123456781</v>
          </cell>
          <cell r="I3" t="str">
            <v>20000000002</v>
          </cell>
          <cell r="M3" t="str">
            <v>20000000003</v>
          </cell>
          <cell r="Q3" t="str">
            <v>20000000004</v>
          </cell>
          <cell r="U3" t="str">
            <v>20000000005</v>
          </cell>
          <cell r="Y3" t="str">
            <v>20000000006</v>
          </cell>
          <cell r="AC3" t="str">
            <v>20000000007</v>
          </cell>
          <cell r="AG3" t="str">
            <v>20000000008</v>
          </cell>
          <cell r="AK3" t="str">
            <v>20000000009</v>
          </cell>
          <cell r="AO3" t="str">
            <v>20000000010</v>
          </cell>
          <cell r="AS3" t="str">
            <v>20000000011</v>
          </cell>
          <cell r="AW3" t="str">
            <v>20000000012</v>
          </cell>
          <cell r="BA3" t="str">
            <v>20000000013</v>
          </cell>
          <cell r="BE3" t="str">
            <v>20000000014</v>
          </cell>
          <cell r="BI3" t="str">
            <v>20000000015</v>
          </cell>
          <cell r="BM3" t="str">
            <v>20000000016</v>
          </cell>
          <cell r="BQ3" t="str">
            <v>20000000017</v>
          </cell>
          <cell r="BU3" t="str">
            <v>20000000018</v>
          </cell>
          <cell r="BY3" t="str">
            <v>20000000019</v>
          </cell>
          <cell r="CC3" t="str">
            <v>20000000020</v>
          </cell>
        </row>
        <row r="4">
          <cell r="E4" t="str">
            <v>1*2*4*6*21*22*23*24*41*45*</v>
          </cell>
          <cell r="I4" t="str">
            <v>1*21*22*23*24*25*41*45*</v>
          </cell>
          <cell r="M4" t="str">
            <v/>
          </cell>
          <cell r="Q4" t="str">
            <v/>
          </cell>
          <cell r="U4" t="str">
            <v/>
          </cell>
          <cell r="Y4" t="str">
            <v/>
          </cell>
          <cell r="AC4" t="str">
            <v/>
          </cell>
          <cell r="AG4" t="str">
            <v/>
          </cell>
          <cell r="AK4" t="str">
            <v/>
          </cell>
          <cell r="AO4" t="str">
            <v/>
          </cell>
          <cell r="AS4" t="str">
            <v/>
          </cell>
          <cell r="AW4" t="str">
            <v/>
          </cell>
          <cell r="BA4" t="str">
            <v/>
          </cell>
          <cell r="BE4" t="str">
            <v/>
          </cell>
          <cell r="BI4" t="str">
            <v/>
          </cell>
          <cell r="BM4" t="str">
            <v/>
          </cell>
          <cell r="BQ4" t="str">
            <v/>
          </cell>
          <cell r="BU4" t="str">
            <v/>
          </cell>
          <cell r="BY4" t="str">
            <v/>
          </cell>
          <cell r="CC4" t="str">
            <v/>
          </cell>
        </row>
        <row r="5">
          <cell r="E5">
            <v>7</v>
          </cell>
          <cell r="I5">
            <v>11</v>
          </cell>
          <cell r="M5">
            <v>15</v>
          </cell>
          <cell r="Q5">
            <v>19</v>
          </cell>
          <cell r="U5">
            <v>23</v>
          </cell>
          <cell r="Y5">
            <v>27</v>
          </cell>
          <cell r="AC5">
            <v>31</v>
          </cell>
          <cell r="AG5">
            <v>35</v>
          </cell>
          <cell r="AK5">
            <v>39</v>
          </cell>
          <cell r="AO5">
            <v>43</v>
          </cell>
          <cell r="AS5">
            <v>47</v>
          </cell>
          <cell r="AW5">
            <v>51</v>
          </cell>
          <cell r="BA5">
            <v>55</v>
          </cell>
          <cell r="BE5">
            <v>59</v>
          </cell>
          <cell r="BI5">
            <v>63</v>
          </cell>
          <cell r="BM5">
            <v>67</v>
          </cell>
          <cell r="BQ5">
            <v>71</v>
          </cell>
          <cell r="BU5">
            <v>75</v>
          </cell>
          <cell r="BY5">
            <v>79</v>
          </cell>
          <cell r="CC5">
            <v>83</v>
          </cell>
        </row>
        <row r="7">
          <cell r="B7">
            <v>20</v>
          </cell>
        </row>
        <row r="8">
          <cell r="B8">
            <v>30</v>
          </cell>
        </row>
        <row r="10">
          <cell r="B10">
            <v>1</v>
          </cell>
          <cell r="C10">
            <v>1001</v>
          </cell>
          <cell r="D10" t="str">
            <v>Sueldo Básico</v>
          </cell>
          <cell r="E10">
            <v>10000</v>
          </cell>
          <cell r="F10">
            <v>16</v>
          </cell>
          <cell r="G10" t="str">
            <v>1*</v>
          </cell>
          <cell r="H10">
            <v>5333.333333333333</v>
          </cell>
          <cell r="I10">
            <v>12000</v>
          </cell>
          <cell r="J10">
            <v>30</v>
          </cell>
          <cell r="K10" t="str">
            <v>1*</v>
          </cell>
          <cell r="L10">
            <v>12000</v>
          </cell>
          <cell r="O10" t="str">
            <v/>
          </cell>
          <cell r="S10" t="str">
            <v/>
          </cell>
          <cell r="W10" t="str">
            <v/>
          </cell>
          <cell r="AA10" t="str">
            <v/>
          </cell>
          <cell r="AE10" t="str">
            <v/>
          </cell>
          <cell r="AI10" t="str">
            <v/>
          </cell>
          <cell r="AM10" t="str">
            <v/>
          </cell>
          <cell r="AQ10" t="str">
            <v/>
          </cell>
          <cell r="AU10" t="str">
            <v/>
          </cell>
          <cell r="AY10" t="str">
            <v/>
          </cell>
          <cell r="BC10" t="str">
            <v/>
          </cell>
          <cell r="BG10" t="str">
            <v/>
          </cell>
          <cell r="BK10" t="str">
            <v/>
          </cell>
          <cell r="BO10" t="str">
            <v/>
          </cell>
          <cell r="BS10" t="str">
            <v/>
          </cell>
          <cell r="BW10" t="str">
            <v/>
          </cell>
          <cell r="CA10" t="str">
            <v/>
          </cell>
          <cell r="CE10" t="str">
            <v/>
          </cell>
        </row>
        <row r="11">
          <cell r="B11">
            <v>2</v>
          </cell>
          <cell r="C11">
            <v>1002</v>
          </cell>
          <cell r="D11" t="str">
            <v>Presentismo</v>
          </cell>
          <cell r="E11">
            <v>5333.333333333333</v>
          </cell>
          <cell r="F11">
            <v>8.3299999999999999E-2</v>
          </cell>
          <cell r="G11" t="str">
            <v>1*2*</v>
          </cell>
          <cell r="H11">
            <v>444.26666666666665</v>
          </cell>
          <cell r="K11" t="str">
            <v>1*</v>
          </cell>
          <cell r="O11" t="str">
            <v/>
          </cell>
          <cell r="S11" t="str">
            <v/>
          </cell>
          <cell r="W11" t="str">
            <v/>
          </cell>
          <cell r="AA11" t="str">
            <v/>
          </cell>
          <cell r="AE11" t="str">
            <v/>
          </cell>
          <cell r="AI11" t="str">
            <v/>
          </cell>
          <cell r="AM11" t="str">
            <v/>
          </cell>
          <cell r="AQ11" t="str">
            <v/>
          </cell>
          <cell r="AU11" t="str">
            <v/>
          </cell>
          <cell r="AY11" t="str">
            <v/>
          </cell>
          <cell r="BC11" t="str">
            <v/>
          </cell>
          <cell r="BG11" t="str">
            <v/>
          </cell>
          <cell r="BK11" t="str">
            <v/>
          </cell>
          <cell r="BO11" t="str">
            <v/>
          </cell>
          <cell r="BS11" t="str">
            <v/>
          </cell>
          <cell r="BW11" t="str">
            <v/>
          </cell>
          <cell r="CA11" t="str">
            <v/>
          </cell>
          <cell r="CE11" t="str">
            <v/>
          </cell>
        </row>
        <row r="12">
          <cell r="B12">
            <v>3</v>
          </cell>
          <cell r="C12">
            <v>1003</v>
          </cell>
          <cell r="D12" t="str">
            <v>Antigüedad</v>
          </cell>
          <cell r="G12" t="str">
            <v>1*2*</v>
          </cell>
          <cell r="K12" t="str">
            <v>1*</v>
          </cell>
          <cell r="O12" t="str">
            <v/>
          </cell>
          <cell r="S12" t="str">
            <v/>
          </cell>
          <cell r="W12" t="str">
            <v/>
          </cell>
          <cell r="AA12" t="str">
            <v/>
          </cell>
          <cell r="AE12" t="str">
            <v/>
          </cell>
          <cell r="AI12" t="str">
            <v/>
          </cell>
          <cell r="AM12" t="str">
            <v/>
          </cell>
          <cell r="AQ12" t="str">
            <v/>
          </cell>
          <cell r="AU12" t="str">
            <v/>
          </cell>
          <cell r="AY12" t="str">
            <v/>
          </cell>
          <cell r="BC12" t="str">
            <v/>
          </cell>
          <cell r="BG12" t="str">
            <v/>
          </cell>
          <cell r="BK12" t="str">
            <v/>
          </cell>
          <cell r="BO12" t="str">
            <v/>
          </cell>
          <cell r="BS12" t="str">
            <v/>
          </cell>
          <cell r="BW12" t="str">
            <v/>
          </cell>
          <cell r="CA12" t="str">
            <v/>
          </cell>
          <cell r="CE12" t="str">
            <v/>
          </cell>
        </row>
        <row r="13">
          <cell r="B13">
            <v>4</v>
          </cell>
          <cell r="C13">
            <v>1004</v>
          </cell>
          <cell r="D13" t="str">
            <v>Vacaciones</v>
          </cell>
          <cell r="E13">
            <v>10833</v>
          </cell>
          <cell r="F13">
            <v>14</v>
          </cell>
          <cell r="G13" t="str">
            <v>1*2*4*</v>
          </cell>
          <cell r="H13">
            <v>6066.48</v>
          </cell>
          <cell r="K13" t="str">
            <v>1*</v>
          </cell>
          <cell r="O13" t="str">
            <v/>
          </cell>
          <cell r="S13" t="str">
            <v/>
          </cell>
          <cell r="W13" t="str">
            <v/>
          </cell>
          <cell r="AA13" t="str">
            <v/>
          </cell>
          <cell r="AE13" t="str">
            <v/>
          </cell>
          <cell r="AI13" t="str">
            <v/>
          </cell>
          <cell r="AM13" t="str">
            <v/>
          </cell>
          <cell r="AQ13" t="str">
            <v/>
          </cell>
          <cell r="AU13" t="str">
            <v/>
          </cell>
          <cell r="AY13" t="str">
            <v/>
          </cell>
          <cell r="BC13" t="str">
            <v/>
          </cell>
          <cell r="BG13" t="str">
            <v/>
          </cell>
          <cell r="BK13" t="str">
            <v/>
          </cell>
          <cell r="BO13" t="str">
            <v/>
          </cell>
          <cell r="BS13" t="str">
            <v/>
          </cell>
          <cell r="BW13" t="str">
            <v/>
          </cell>
          <cell r="CA13" t="str">
            <v/>
          </cell>
          <cell r="CE13" t="str">
            <v/>
          </cell>
        </row>
        <row r="14">
          <cell r="B14">
            <v>5</v>
          </cell>
          <cell r="C14">
            <v>1005</v>
          </cell>
          <cell r="D14" t="str">
            <v>SAC</v>
          </cell>
          <cell r="G14" t="str">
            <v>1*2*4*</v>
          </cell>
          <cell r="K14" t="str">
            <v>1*</v>
          </cell>
          <cell r="O14" t="str">
            <v/>
          </cell>
          <cell r="S14" t="str">
            <v/>
          </cell>
          <cell r="W14" t="str">
            <v/>
          </cell>
          <cell r="AA14" t="str">
            <v/>
          </cell>
          <cell r="AE14" t="str">
            <v/>
          </cell>
          <cell r="AI14" t="str">
            <v/>
          </cell>
          <cell r="AM14" t="str">
            <v/>
          </cell>
          <cell r="AQ14" t="str">
            <v/>
          </cell>
          <cell r="AU14" t="str">
            <v/>
          </cell>
          <cell r="AY14" t="str">
            <v/>
          </cell>
          <cell r="BC14" t="str">
            <v/>
          </cell>
          <cell r="BG14" t="str">
            <v/>
          </cell>
          <cell r="BK14" t="str">
            <v/>
          </cell>
          <cell r="BO14" t="str">
            <v/>
          </cell>
          <cell r="BS14" t="str">
            <v/>
          </cell>
          <cell r="BW14" t="str">
            <v/>
          </cell>
          <cell r="CA14" t="str">
            <v/>
          </cell>
          <cell r="CE14" t="str">
            <v/>
          </cell>
        </row>
        <row r="15">
          <cell r="B15">
            <v>6</v>
          </cell>
          <cell r="C15">
            <v>1006</v>
          </cell>
          <cell r="D15" t="str">
            <v>Inasistencias Injustificadas</v>
          </cell>
          <cell r="E15">
            <v>-10000</v>
          </cell>
          <cell r="F15">
            <v>2</v>
          </cell>
          <cell r="G15" t="str">
            <v>1*2*4*6*</v>
          </cell>
          <cell r="H15">
            <v>-666.66666666666663</v>
          </cell>
          <cell r="K15" t="str">
            <v>1*</v>
          </cell>
          <cell r="O15" t="str">
            <v/>
          </cell>
          <cell r="S15" t="str">
            <v/>
          </cell>
          <cell r="W15" t="str">
            <v/>
          </cell>
          <cell r="AA15" t="str">
            <v/>
          </cell>
          <cell r="AE15" t="str">
            <v/>
          </cell>
          <cell r="AI15" t="str">
            <v/>
          </cell>
          <cell r="AM15" t="str">
            <v/>
          </cell>
          <cell r="AQ15" t="str">
            <v/>
          </cell>
          <cell r="AU15" t="str">
            <v/>
          </cell>
          <cell r="AY15" t="str">
            <v/>
          </cell>
          <cell r="BC15" t="str">
            <v/>
          </cell>
          <cell r="BG15" t="str">
            <v/>
          </cell>
          <cell r="BK15" t="str">
            <v/>
          </cell>
          <cell r="BO15" t="str">
            <v/>
          </cell>
          <cell r="BS15" t="str">
            <v/>
          </cell>
          <cell r="BW15" t="str">
            <v/>
          </cell>
          <cell r="CA15" t="str">
            <v/>
          </cell>
          <cell r="CE15" t="str">
            <v/>
          </cell>
        </row>
        <row r="16">
          <cell r="B16">
            <v>7</v>
          </cell>
          <cell r="C16">
            <v>1007</v>
          </cell>
          <cell r="D16" t="str">
            <v>Inasistencias Justificadas</v>
          </cell>
          <cell r="G16" t="str">
            <v>1*2*4*6*</v>
          </cell>
          <cell r="K16" t="str">
            <v>1*</v>
          </cell>
          <cell r="O16" t="str">
            <v/>
          </cell>
          <cell r="S16" t="str">
            <v/>
          </cell>
          <cell r="W16" t="str">
            <v/>
          </cell>
          <cell r="AA16" t="str">
            <v/>
          </cell>
          <cell r="AE16" t="str">
            <v/>
          </cell>
          <cell r="AI16" t="str">
            <v/>
          </cell>
          <cell r="AM16" t="str">
            <v/>
          </cell>
          <cell r="AQ16" t="str">
            <v/>
          </cell>
          <cell r="AU16" t="str">
            <v/>
          </cell>
          <cell r="AY16" t="str">
            <v/>
          </cell>
          <cell r="BC16" t="str">
            <v/>
          </cell>
          <cell r="BG16" t="str">
            <v/>
          </cell>
          <cell r="BK16" t="str">
            <v/>
          </cell>
          <cell r="BO16" t="str">
            <v/>
          </cell>
          <cell r="BS16" t="str">
            <v/>
          </cell>
          <cell r="BW16" t="str">
            <v/>
          </cell>
          <cell r="CA16" t="str">
            <v/>
          </cell>
          <cell r="CE16" t="str">
            <v/>
          </cell>
        </row>
        <row r="17">
          <cell r="B17">
            <v>8</v>
          </cell>
          <cell r="C17">
            <v>1008</v>
          </cell>
          <cell r="D17" t="str">
            <v>Remu3</v>
          </cell>
          <cell r="G17" t="str">
            <v>1*2*4*6*</v>
          </cell>
          <cell r="K17" t="str">
            <v>1*</v>
          </cell>
          <cell r="O17" t="str">
            <v/>
          </cell>
          <cell r="S17" t="str">
            <v/>
          </cell>
          <cell r="W17" t="str">
            <v/>
          </cell>
          <cell r="AA17" t="str">
            <v/>
          </cell>
          <cell r="AE17" t="str">
            <v/>
          </cell>
          <cell r="AI17" t="str">
            <v/>
          </cell>
          <cell r="AM17" t="str">
            <v/>
          </cell>
          <cell r="AQ17" t="str">
            <v/>
          </cell>
          <cell r="AU17" t="str">
            <v/>
          </cell>
          <cell r="AY17" t="str">
            <v/>
          </cell>
          <cell r="BC17" t="str">
            <v/>
          </cell>
          <cell r="BG17" t="str">
            <v/>
          </cell>
          <cell r="BK17" t="str">
            <v/>
          </cell>
          <cell r="BO17" t="str">
            <v/>
          </cell>
          <cell r="BS17" t="str">
            <v/>
          </cell>
          <cell r="BW17" t="str">
            <v/>
          </cell>
          <cell r="CA17" t="str">
            <v/>
          </cell>
          <cell r="CE17" t="str">
            <v/>
          </cell>
        </row>
        <row r="18">
          <cell r="B18">
            <v>9</v>
          </cell>
          <cell r="C18">
            <v>1009</v>
          </cell>
          <cell r="D18" t="str">
            <v>Remu4</v>
          </cell>
          <cell r="G18" t="str">
            <v>1*2*4*6*</v>
          </cell>
          <cell r="K18" t="str">
            <v>1*</v>
          </cell>
          <cell r="O18" t="str">
            <v/>
          </cell>
          <cell r="S18" t="str">
            <v/>
          </cell>
          <cell r="W18" t="str">
            <v/>
          </cell>
          <cell r="AA18" t="str">
            <v/>
          </cell>
          <cell r="AE18" t="str">
            <v/>
          </cell>
          <cell r="AI18" t="str">
            <v/>
          </cell>
          <cell r="AM18" t="str">
            <v/>
          </cell>
          <cell r="AQ18" t="str">
            <v/>
          </cell>
          <cell r="AU18" t="str">
            <v/>
          </cell>
          <cell r="AY18" t="str">
            <v/>
          </cell>
          <cell r="BC18" t="str">
            <v/>
          </cell>
          <cell r="BG18" t="str">
            <v/>
          </cell>
          <cell r="BK18" t="str">
            <v/>
          </cell>
          <cell r="BO18" t="str">
            <v/>
          </cell>
          <cell r="BS18" t="str">
            <v/>
          </cell>
          <cell r="BW18" t="str">
            <v/>
          </cell>
          <cell r="CA18" t="str">
            <v/>
          </cell>
          <cell r="CE18" t="str">
            <v/>
          </cell>
        </row>
        <row r="19">
          <cell r="B19">
            <v>10</v>
          </cell>
          <cell r="C19">
            <v>1010</v>
          </cell>
          <cell r="D19" t="str">
            <v>Remu5</v>
          </cell>
          <cell r="G19" t="str">
            <v>1*2*4*6*</v>
          </cell>
          <cell r="K19" t="str">
            <v>1*</v>
          </cell>
          <cell r="O19" t="str">
            <v/>
          </cell>
          <cell r="S19" t="str">
            <v/>
          </cell>
          <cell r="W19" t="str">
            <v/>
          </cell>
          <cell r="AA19" t="str">
            <v/>
          </cell>
          <cell r="AE19" t="str">
            <v/>
          </cell>
          <cell r="AI19" t="str">
            <v/>
          </cell>
          <cell r="AM19" t="str">
            <v/>
          </cell>
          <cell r="AQ19" t="str">
            <v/>
          </cell>
          <cell r="AU19" t="str">
            <v/>
          </cell>
          <cell r="AY19" t="str">
            <v/>
          </cell>
          <cell r="BC19" t="str">
            <v/>
          </cell>
          <cell r="BG19" t="str">
            <v/>
          </cell>
          <cell r="BK19" t="str">
            <v/>
          </cell>
          <cell r="BO19" t="str">
            <v/>
          </cell>
          <cell r="BS19" t="str">
            <v/>
          </cell>
          <cell r="BW19" t="str">
            <v/>
          </cell>
          <cell r="CA19" t="str">
            <v/>
          </cell>
          <cell r="CE19" t="str">
            <v/>
          </cell>
        </row>
        <row r="20">
          <cell r="B20">
            <v>11</v>
          </cell>
          <cell r="C20">
            <v>1011</v>
          </cell>
          <cell r="D20" t="str">
            <v>Remu6</v>
          </cell>
          <cell r="G20" t="str">
            <v>1*2*4*6*</v>
          </cell>
          <cell r="K20" t="str">
            <v>1*</v>
          </cell>
          <cell r="O20" t="str">
            <v/>
          </cell>
          <cell r="S20" t="str">
            <v/>
          </cell>
          <cell r="W20" t="str">
            <v/>
          </cell>
          <cell r="AA20" t="str">
            <v/>
          </cell>
          <cell r="AE20" t="str">
            <v/>
          </cell>
          <cell r="AI20" t="str">
            <v/>
          </cell>
          <cell r="AM20" t="str">
            <v/>
          </cell>
          <cell r="AQ20" t="str">
            <v/>
          </cell>
          <cell r="AU20" t="str">
            <v/>
          </cell>
          <cell r="AY20" t="str">
            <v/>
          </cell>
          <cell r="BC20" t="str">
            <v/>
          </cell>
          <cell r="BG20" t="str">
            <v/>
          </cell>
          <cell r="BK20" t="str">
            <v/>
          </cell>
          <cell r="BO20" t="str">
            <v/>
          </cell>
          <cell r="BS20" t="str">
            <v/>
          </cell>
          <cell r="BW20" t="str">
            <v/>
          </cell>
          <cell r="CA20" t="str">
            <v/>
          </cell>
          <cell r="CE20" t="str">
            <v/>
          </cell>
        </row>
        <row r="21">
          <cell r="B21">
            <v>12</v>
          </cell>
          <cell r="C21">
            <v>1012</v>
          </cell>
          <cell r="D21" t="str">
            <v>Remu7</v>
          </cell>
          <cell r="G21" t="str">
            <v>1*2*4*6*</v>
          </cell>
          <cell r="K21" t="str">
            <v>1*</v>
          </cell>
          <cell r="O21" t="str">
            <v/>
          </cell>
          <cell r="S21" t="str">
            <v/>
          </cell>
          <cell r="W21" t="str">
            <v/>
          </cell>
          <cell r="AA21" t="str">
            <v/>
          </cell>
          <cell r="AE21" t="str">
            <v/>
          </cell>
          <cell r="AI21" t="str">
            <v/>
          </cell>
          <cell r="AM21" t="str">
            <v/>
          </cell>
          <cell r="AQ21" t="str">
            <v/>
          </cell>
          <cell r="AU21" t="str">
            <v/>
          </cell>
          <cell r="AY21" t="str">
            <v/>
          </cell>
          <cell r="BC21" t="str">
            <v/>
          </cell>
          <cell r="BG21" t="str">
            <v/>
          </cell>
          <cell r="BK21" t="str">
            <v/>
          </cell>
          <cell r="BO21" t="str">
            <v/>
          </cell>
          <cell r="BS21" t="str">
            <v/>
          </cell>
          <cell r="BW21" t="str">
            <v/>
          </cell>
          <cell r="CA21" t="str">
            <v/>
          </cell>
          <cell r="CE21" t="str">
            <v/>
          </cell>
        </row>
        <row r="22">
          <cell r="B22">
            <v>13</v>
          </cell>
          <cell r="C22">
            <v>1013</v>
          </cell>
          <cell r="D22" t="str">
            <v>Remu8</v>
          </cell>
          <cell r="G22" t="str">
            <v>1*2*4*6*</v>
          </cell>
          <cell r="K22" t="str">
            <v>1*</v>
          </cell>
          <cell r="O22" t="str">
            <v/>
          </cell>
          <cell r="S22" t="str">
            <v/>
          </cell>
          <cell r="W22" t="str">
            <v/>
          </cell>
          <cell r="AA22" t="str">
            <v/>
          </cell>
          <cell r="AE22" t="str">
            <v/>
          </cell>
          <cell r="AI22" t="str">
            <v/>
          </cell>
          <cell r="AM22" t="str">
            <v/>
          </cell>
          <cell r="AQ22" t="str">
            <v/>
          </cell>
          <cell r="AU22" t="str">
            <v/>
          </cell>
          <cell r="AY22" t="str">
            <v/>
          </cell>
          <cell r="BC22" t="str">
            <v/>
          </cell>
          <cell r="BG22" t="str">
            <v/>
          </cell>
          <cell r="BK22" t="str">
            <v/>
          </cell>
          <cell r="BO22" t="str">
            <v/>
          </cell>
          <cell r="BS22" t="str">
            <v/>
          </cell>
          <cell r="BW22" t="str">
            <v/>
          </cell>
          <cell r="CA22" t="str">
            <v/>
          </cell>
          <cell r="CE22" t="str">
            <v/>
          </cell>
        </row>
        <row r="23">
          <cell r="B23">
            <v>14</v>
          </cell>
          <cell r="C23">
            <v>1014</v>
          </cell>
          <cell r="D23" t="str">
            <v>Remu9</v>
          </cell>
          <cell r="G23" t="str">
            <v>1*2*4*6*</v>
          </cell>
          <cell r="K23" t="str">
            <v>1*</v>
          </cell>
          <cell r="O23" t="str">
            <v/>
          </cell>
          <cell r="S23" t="str">
            <v/>
          </cell>
          <cell r="W23" t="str">
            <v/>
          </cell>
          <cell r="AA23" t="str">
            <v/>
          </cell>
          <cell r="AE23" t="str">
            <v/>
          </cell>
          <cell r="AI23" t="str">
            <v/>
          </cell>
          <cell r="AM23" t="str">
            <v/>
          </cell>
          <cell r="AQ23" t="str">
            <v/>
          </cell>
          <cell r="AU23" t="str">
            <v/>
          </cell>
          <cell r="AY23" t="str">
            <v/>
          </cell>
          <cell r="BC23" t="str">
            <v/>
          </cell>
          <cell r="BG23" t="str">
            <v/>
          </cell>
          <cell r="BK23" t="str">
            <v/>
          </cell>
          <cell r="BO23" t="str">
            <v/>
          </cell>
          <cell r="BS23" t="str">
            <v/>
          </cell>
          <cell r="BW23" t="str">
            <v/>
          </cell>
          <cell r="CA23" t="str">
            <v/>
          </cell>
          <cell r="CE23" t="str">
            <v/>
          </cell>
        </row>
        <row r="24">
          <cell r="B24">
            <v>15</v>
          </cell>
          <cell r="C24">
            <v>1015</v>
          </cell>
          <cell r="D24" t="str">
            <v>Remu10</v>
          </cell>
          <cell r="G24" t="str">
            <v>1*2*4*6*</v>
          </cell>
          <cell r="K24" t="str">
            <v>1*</v>
          </cell>
          <cell r="O24" t="str">
            <v/>
          </cell>
          <cell r="S24" t="str">
            <v/>
          </cell>
          <cell r="W24" t="str">
            <v/>
          </cell>
          <cell r="AA24" t="str">
            <v/>
          </cell>
          <cell r="AE24" t="str">
            <v/>
          </cell>
          <cell r="AI24" t="str">
            <v/>
          </cell>
          <cell r="AM24" t="str">
            <v/>
          </cell>
          <cell r="AQ24" t="str">
            <v/>
          </cell>
          <cell r="AU24" t="str">
            <v/>
          </cell>
          <cell r="AY24" t="str">
            <v/>
          </cell>
          <cell r="BC24" t="str">
            <v/>
          </cell>
          <cell r="BG24" t="str">
            <v/>
          </cell>
          <cell r="BK24" t="str">
            <v/>
          </cell>
          <cell r="BO24" t="str">
            <v/>
          </cell>
          <cell r="BS24" t="str">
            <v/>
          </cell>
          <cell r="BW24" t="str">
            <v/>
          </cell>
          <cell r="CA24" t="str">
            <v/>
          </cell>
          <cell r="CE24" t="str">
            <v/>
          </cell>
        </row>
        <row r="25">
          <cell r="B25">
            <v>16</v>
          </cell>
          <cell r="C25">
            <v>1016</v>
          </cell>
          <cell r="D25" t="str">
            <v>Remu11</v>
          </cell>
          <cell r="G25" t="str">
            <v>1*2*4*6*</v>
          </cell>
          <cell r="K25" t="str">
            <v>1*</v>
          </cell>
          <cell r="O25" t="str">
            <v/>
          </cell>
          <cell r="S25" t="str">
            <v/>
          </cell>
          <cell r="W25" t="str">
            <v/>
          </cell>
          <cell r="AA25" t="str">
            <v/>
          </cell>
          <cell r="AE25" t="str">
            <v/>
          </cell>
          <cell r="AI25" t="str">
            <v/>
          </cell>
          <cell r="AM25" t="str">
            <v/>
          </cell>
          <cell r="AQ25" t="str">
            <v/>
          </cell>
          <cell r="AU25" t="str">
            <v/>
          </cell>
          <cell r="AY25" t="str">
            <v/>
          </cell>
          <cell r="BC25" t="str">
            <v/>
          </cell>
          <cell r="BG25" t="str">
            <v/>
          </cell>
          <cell r="BK25" t="str">
            <v/>
          </cell>
          <cell r="BO25" t="str">
            <v/>
          </cell>
          <cell r="BS25" t="str">
            <v/>
          </cell>
          <cell r="BW25" t="str">
            <v/>
          </cell>
          <cell r="CA25" t="str">
            <v/>
          </cell>
          <cell r="CE25" t="str">
            <v/>
          </cell>
        </row>
        <row r="26">
          <cell r="B26">
            <v>17</v>
          </cell>
          <cell r="C26">
            <v>1017</v>
          </cell>
          <cell r="D26" t="str">
            <v>Remu12</v>
          </cell>
          <cell r="G26" t="str">
            <v>1*2*4*6*</v>
          </cell>
          <cell r="K26" t="str">
            <v>1*</v>
          </cell>
          <cell r="O26" t="str">
            <v/>
          </cell>
          <cell r="S26" t="str">
            <v/>
          </cell>
          <cell r="W26" t="str">
            <v/>
          </cell>
          <cell r="AA26" t="str">
            <v/>
          </cell>
          <cell r="AE26" t="str">
            <v/>
          </cell>
          <cell r="AI26" t="str">
            <v/>
          </cell>
          <cell r="AM26" t="str">
            <v/>
          </cell>
          <cell r="AQ26" t="str">
            <v/>
          </cell>
          <cell r="AU26" t="str">
            <v/>
          </cell>
          <cell r="AY26" t="str">
            <v/>
          </cell>
          <cell r="BC26" t="str">
            <v/>
          </cell>
          <cell r="BG26" t="str">
            <v/>
          </cell>
          <cell r="BK26" t="str">
            <v/>
          </cell>
          <cell r="BO26" t="str">
            <v/>
          </cell>
          <cell r="BS26" t="str">
            <v/>
          </cell>
          <cell r="BW26" t="str">
            <v/>
          </cell>
          <cell r="CA26" t="str">
            <v/>
          </cell>
          <cell r="CE26" t="str">
            <v/>
          </cell>
        </row>
        <row r="27">
          <cell r="B27">
            <v>18</v>
          </cell>
          <cell r="C27">
            <v>1018</v>
          </cell>
          <cell r="D27" t="str">
            <v>Remu13</v>
          </cell>
          <cell r="G27" t="str">
            <v>1*2*4*6*</v>
          </cell>
          <cell r="K27" t="str">
            <v>1*</v>
          </cell>
          <cell r="O27" t="str">
            <v/>
          </cell>
          <cell r="S27" t="str">
            <v/>
          </cell>
          <cell r="W27" t="str">
            <v/>
          </cell>
          <cell r="AA27" t="str">
            <v/>
          </cell>
          <cell r="AE27" t="str">
            <v/>
          </cell>
          <cell r="AI27" t="str">
            <v/>
          </cell>
          <cell r="AM27" t="str">
            <v/>
          </cell>
          <cell r="AQ27" t="str">
            <v/>
          </cell>
          <cell r="AU27" t="str">
            <v/>
          </cell>
          <cell r="AY27" t="str">
            <v/>
          </cell>
          <cell r="BC27" t="str">
            <v/>
          </cell>
          <cell r="BG27" t="str">
            <v/>
          </cell>
          <cell r="BK27" t="str">
            <v/>
          </cell>
          <cell r="BO27" t="str">
            <v/>
          </cell>
          <cell r="BS27" t="str">
            <v/>
          </cell>
          <cell r="BW27" t="str">
            <v/>
          </cell>
          <cell r="CA27" t="str">
            <v/>
          </cell>
          <cell r="CE27" t="str">
            <v/>
          </cell>
        </row>
        <row r="28">
          <cell r="B28">
            <v>19</v>
          </cell>
          <cell r="C28">
            <v>1019</v>
          </cell>
          <cell r="D28" t="str">
            <v>Remu14</v>
          </cell>
          <cell r="G28" t="str">
            <v>1*2*4*6*</v>
          </cell>
          <cell r="K28" t="str">
            <v>1*</v>
          </cell>
          <cell r="O28" t="str">
            <v/>
          </cell>
          <cell r="S28" t="str">
            <v/>
          </cell>
          <cell r="W28" t="str">
            <v/>
          </cell>
          <cell r="AA28" t="str">
            <v/>
          </cell>
          <cell r="AE28" t="str">
            <v/>
          </cell>
          <cell r="AI28" t="str">
            <v/>
          </cell>
          <cell r="AM28" t="str">
            <v/>
          </cell>
          <cell r="AQ28" t="str">
            <v/>
          </cell>
          <cell r="AU28" t="str">
            <v/>
          </cell>
          <cell r="AY28" t="str">
            <v/>
          </cell>
          <cell r="BC28" t="str">
            <v/>
          </cell>
          <cell r="BG28" t="str">
            <v/>
          </cell>
          <cell r="BK28" t="str">
            <v/>
          </cell>
          <cell r="BO28" t="str">
            <v/>
          </cell>
          <cell r="BS28" t="str">
            <v/>
          </cell>
          <cell r="BW28" t="str">
            <v/>
          </cell>
          <cell r="CA28" t="str">
            <v/>
          </cell>
          <cell r="CE28" t="str">
            <v/>
          </cell>
        </row>
        <row r="29">
          <cell r="B29">
            <v>20</v>
          </cell>
          <cell r="C29">
            <v>1020</v>
          </cell>
          <cell r="D29" t="str">
            <v>Remu15</v>
          </cell>
          <cell r="G29" t="str">
            <v>1*2*4*6*</v>
          </cell>
          <cell r="K29" t="str">
            <v>1*</v>
          </cell>
          <cell r="O29" t="str">
            <v/>
          </cell>
          <cell r="S29" t="str">
            <v/>
          </cell>
          <cell r="W29" t="str">
            <v/>
          </cell>
          <cell r="AA29" t="str">
            <v/>
          </cell>
          <cell r="AE29" t="str">
            <v/>
          </cell>
          <cell r="AI29" t="str">
            <v/>
          </cell>
          <cell r="AM29" t="str">
            <v/>
          </cell>
          <cell r="AQ29" t="str">
            <v/>
          </cell>
          <cell r="AU29" t="str">
            <v/>
          </cell>
          <cell r="AY29" t="str">
            <v/>
          </cell>
          <cell r="BC29" t="str">
            <v/>
          </cell>
          <cell r="BG29" t="str">
            <v/>
          </cell>
          <cell r="BK29" t="str">
            <v/>
          </cell>
          <cell r="BO29" t="str">
            <v/>
          </cell>
          <cell r="BS29" t="str">
            <v/>
          </cell>
          <cell r="BW29" t="str">
            <v/>
          </cell>
          <cell r="CA29" t="str">
            <v/>
          </cell>
          <cell r="CE29" t="str">
            <v/>
          </cell>
        </row>
        <row r="30">
          <cell r="E30" t="str">
            <v>BRUTO:</v>
          </cell>
          <cell r="H30">
            <v>11177.413333333332</v>
          </cell>
          <cell r="I30" t="str">
            <v>BRUTO:</v>
          </cell>
          <cell r="L30">
            <v>12000</v>
          </cell>
          <cell r="M30" t="str">
            <v>BRUTO:</v>
          </cell>
          <cell r="P30">
            <v>0</v>
          </cell>
          <cell r="Q30" t="str">
            <v>BRUTO:</v>
          </cell>
          <cell r="T30">
            <v>0</v>
          </cell>
          <cell r="U30" t="str">
            <v>BRUTO:</v>
          </cell>
          <cell r="X30">
            <v>0</v>
          </cell>
          <cell r="Y30" t="str">
            <v>BRUTO:</v>
          </cell>
          <cell r="AB30">
            <v>0</v>
          </cell>
          <cell r="AC30" t="str">
            <v>BRUTO:</v>
          </cell>
          <cell r="AF30">
            <v>0</v>
          </cell>
          <cell r="AG30" t="str">
            <v>BRUTO:</v>
          </cell>
          <cell r="AJ30">
            <v>0</v>
          </cell>
          <cell r="AK30" t="str">
            <v>BRUTO:</v>
          </cell>
          <cell r="AN30">
            <v>0</v>
          </cell>
          <cell r="AO30" t="str">
            <v>BRUTO:</v>
          </cell>
          <cell r="AR30">
            <v>0</v>
          </cell>
          <cell r="AS30" t="str">
            <v>BRUTO:</v>
          </cell>
          <cell r="AV30">
            <v>0</v>
          </cell>
          <cell r="AW30" t="str">
            <v>BRUTO:</v>
          </cell>
          <cell r="AZ30">
            <v>0</v>
          </cell>
          <cell r="BA30" t="str">
            <v>BRUTO:</v>
          </cell>
          <cell r="BD30">
            <v>0</v>
          </cell>
          <cell r="BE30" t="str">
            <v>BRUTO:</v>
          </cell>
          <cell r="BH30">
            <v>0</v>
          </cell>
          <cell r="BI30" t="str">
            <v>BRUTO:</v>
          </cell>
          <cell r="BL30">
            <v>0</v>
          </cell>
          <cell r="BM30" t="str">
            <v>BRUTO:</v>
          </cell>
          <cell r="BP30">
            <v>0</v>
          </cell>
          <cell r="BQ30" t="str">
            <v>BRUTO:</v>
          </cell>
          <cell r="BT30">
            <v>0</v>
          </cell>
          <cell r="BU30" t="str">
            <v>BRUTO:</v>
          </cell>
          <cell r="BX30">
            <v>0</v>
          </cell>
          <cell r="BY30" t="str">
            <v>BRUTO:</v>
          </cell>
          <cell r="CB30">
            <v>0</v>
          </cell>
          <cell r="CC30" t="str">
            <v>BRUTO:</v>
          </cell>
          <cell r="CF30">
            <v>0</v>
          </cell>
        </row>
        <row r="31">
          <cell r="B31">
            <v>21</v>
          </cell>
          <cell r="C31">
            <v>2001</v>
          </cell>
          <cell r="D31" t="str">
            <v>Jubilación</v>
          </cell>
          <cell r="F31">
            <v>0.11</v>
          </cell>
          <cell r="G31" t="str">
            <v>1*2*4*6*21*</v>
          </cell>
          <cell r="H31">
            <v>1229.5154666666665</v>
          </cell>
          <cell r="J31">
            <v>0.11</v>
          </cell>
          <cell r="K31" t="str">
            <v>1*21*</v>
          </cell>
          <cell r="L31">
            <v>1320</v>
          </cell>
          <cell r="O31" t="str">
            <v/>
          </cell>
          <cell r="S31" t="str">
            <v/>
          </cell>
          <cell r="W31" t="str">
            <v/>
          </cell>
          <cell r="AA31" t="str">
            <v/>
          </cell>
          <cell r="AE31" t="str">
            <v/>
          </cell>
          <cell r="AI31" t="str">
            <v/>
          </cell>
          <cell r="AM31" t="str">
            <v/>
          </cell>
          <cell r="AQ31" t="str">
            <v/>
          </cell>
          <cell r="AU31" t="str">
            <v/>
          </cell>
          <cell r="AY31" t="str">
            <v/>
          </cell>
          <cell r="BC31" t="str">
            <v/>
          </cell>
          <cell r="BG31" t="str">
            <v/>
          </cell>
          <cell r="BK31" t="str">
            <v/>
          </cell>
          <cell r="BO31" t="str">
            <v/>
          </cell>
          <cell r="BS31" t="str">
            <v/>
          </cell>
          <cell r="BW31" t="str">
            <v/>
          </cell>
          <cell r="CA31" t="str">
            <v/>
          </cell>
          <cell r="CE31" t="str">
            <v/>
          </cell>
        </row>
        <row r="32">
          <cell r="B32">
            <v>22</v>
          </cell>
          <cell r="C32">
            <v>2002</v>
          </cell>
          <cell r="D32" t="str">
            <v>Ley 19032</v>
          </cell>
          <cell r="F32">
            <v>0.03</v>
          </cell>
          <cell r="G32" t="str">
            <v>1*2*4*6*21*22*</v>
          </cell>
          <cell r="H32">
            <v>335.32239999999996</v>
          </cell>
          <cell r="J32">
            <v>0.03</v>
          </cell>
          <cell r="K32" t="str">
            <v>1*21*22*</v>
          </cell>
          <cell r="L32">
            <v>360</v>
          </cell>
          <cell r="O32" t="str">
            <v/>
          </cell>
          <cell r="S32" t="str">
            <v/>
          </cell>
          <cell r="W32" t="str">
            <v/>
          </cell>
          <cell r="AA32" t="str">
            <v/>
          </cell>
          <cell r="AE32" t="str">
            <v/>
          </cell>
          <cell r="AI32" t="str">
            <v/>
          </cell>
          <cell r="AM32" t="str">
            <v/>
          </cell>
          <cell r="AQ32" t="str">
            <v/>
          </cell>
          <cell r="AU32" t="str">
            <v/>
          </cell>
          <cell r="AY32" t="str">
            <v/>
          </cell>
          <cell r="BC32" t="str">
            <v/>
          </cell>
          <cell r="BG32" t="str">
            <v/>
          </cell>
          <cell r="BK32" t="str">
            <v/>
          </cell>
          <cell r="BO32" t="str">
            <v/>
          </cell>
          <cell r="BS32" t="str">
            <v/>
          </cell>
          <cell r="BW32" t="str">
            <v/>
          </cell>
          <cell r="CA32" t="str">
            <v/>
          </cell>
          <cell r="CE32" t="str">
            <v/>
          </cell>
        </row>
        <row r="33">
          <cell r="B33">
            <v>23</v>
          </cell>
          <cell r="C33">
            <v>2003</v>
          </cell>
          <cell r="D33" t="str">
            <v>Obra Social</v>
          </cell>
          <cell r="F33">
            <v>0.03</v>
          </cell>
          <cell r="G33" t="str">
            <v>1*2*4*6*21*22*23*</v>
          </cell>
          <cell r="H33">
            <v>335.32239999999996</v>
          </cell>
          <cell r="J33">
            <v>0.03</v>
          </cell>
          <cell r="K33" t="str">
            <v>1*21*22*23*</v>
          </cell>
          <cell r="L33">
            <v>360</v>
          </cell>
          <cell r="O33" t="str">
            <v/>
          </cell>
          <cell r="S33" t="str">
            <v/>
          </cell>
          <cell r="W33" t="str">
            <v/>
          </cell>
          <cell r="AA33" t="str">
            <v/>
          </cell>
          <cell r="AE33" t="str">
            <v/>
          </cell>
          <cell r="AI33" t="str">
            <v/>
          </cell>
          <cell r="AM33" t="str">
            <v/>
          </cell>
          <cell r="AQ33" t="str">
            <v/>
          </cell>
          <cell r="AU33" t="str">
            <v/>
          </cell>
          <cell r="AY33" t="str">
            <v/>
          </cell>
          <cell r="BC33" t="str">
            <v/>
          </cell>
          <cell r="BG33" t="str">
            <v/>
          </cell>
          <cell r="BK33" t="str">
            <v/>
          </cell>
          <cell r="BO33" t="str">
            <v/>
          </cell>
          <cell r="BS33" t="str">
            <v/>
          </cell>
          <cell r="BW33" t="str">
            <v/>
          </cell>
          <cell r="CA33" t="str">
            <v/>
          </cell>
          <cell r="CE33" t="str">
            <v/>
          </cell>
        </row>
        <row r="34">
          <cell r="B34">
            <v>24</v>
          </cell>
          <cell r="C34">
            <v>2004</v>
          </cell>
          <cell r="D34" t="str">
            <v>Sindicato</v>
          </cell>
          <cell r="F34">
            <v>0.02</v>
          </cell>
          <cell r="G34" t="str">
            <v>1*2*4*6*21*22*23*24*</v>
          </cell>
          <cell r="H34">
            <v>223.54826666666665</v>
          </cell>
          <cell r="J34">
            <v>0.02</v>
          </cell>
          <cell r="K34" t="str">
            <v>1*21*22*23*24*</v>
          </cell>
          <cell r="L34">
            <v>240</v>
          </cell>
          <cell r="O34" t="str">
            <v/>
          </cell>
          <cell r="S34" t="str">
            <v/>
          </cell>
          <cell r="W34" t="str">
            <v/>
          </cell>
          <cell r="AA34" t="str">
            <v/>
          </cell>
          <cell r="AE34" t="str">
            <v/>
          </cell>
          <cell r="AI34" t="str">
            <v/>
          </cell>
          <cell r="AM34" t="str">
            <v/>
          </cell>
          <cell r="AQ34" t="str">
            <v/>
          </cell>
          <cell r="AU34" t="str">
            <v/>
          </cell>
          <cell r="AY34" t="str">
            <v/>
          </cell>
          <cell r="BC34" t="str">
            <v/>
          </cell>
          <cell r="BG34" t="str">
            <v/>
          </cell>
          <cell r="BK34" t="str">
            <v/>
          </cell>
          <cell r="BO34" t="str">
            <v/>
          </cell>
          <cell r="BS34" t="str">
            <v/>
          </cell>
          <cell r="BW34" t="str">
            <v/>
          </cell>
          <cell r="CA34" t="str">
            <v/>
          </cell>
          <cell r="CE34" t="str">
            <v/>
          </cell>
        </row>
        <row r="35">
          <cell r="B35">
            <v>25</v>
          </cell>
          <cell r="C35">
            <v>2005</v>
          </cell>
          <cell r="D35" t="str">
            <v>Sindicato Afiliado</v>
          </cell>
          <cell r="G35" t="str">
            <v>1*2*4*6*21*22*23*24*</v>
          </cell>
          <cell r="J35">
            <v>1.4999999999999999E-2</v>
          </cell>
          <cell r="K35" t="str">
            <v>1*21*22*23*24*25*</v>
          </cell>
          <cell r="L35">
            <v>180</v>
          </cell>
          <cell r="O35" t="str">
            <v/>
          </cell>
          <cell r="S35" t="str">
            <v/>
          </cell>
          <cell r="W35" t="str">
            <v/>
          </cell>
          <cell r="AA35" t="str">
            <v/>
          </cell>
          <cell r="AE35" t="str">
            <v/>
          </cell>
          <cell r="AI35" t="str">
            <v/>
          </cell>
          <cell r="AM35" t="str">
            <v/>
          </cell>
          <cell r="AQ35" t="str">
            <v/>
          </cell>
          <cell r="AU35" t="str">
            <v/>
          </cell>
          <cell r="AY35" t="str">
            <v/>
          </cell>
          <cell r="BC35" t="str">
            <v/>
          </cell>
          <cell r="BG35" t="str">
            <v/>
          </cell>
          <cell r="BK35" t="str">
            <v/>
          </cell>
          <cell r="BO35" t="str">
            <v/>
          </cell>
          <cell r="BS35" t="str">
            <v/>
          </cell>
          <cell r="BW35" t="str">
            <v/>
          </cell>
          <cell r="CA35" t="str">
            <v/>
          </cell>
          <cell r="CE35" t="str">
            <v/>
          </cell>
        </row>
        <row r="36">
          <cell r="B36">
            <v>26</v>
          </cell>
          <cell r="C36">
            <v>2006</v>
          </cell>
          <cell r="D36" t="str">
            <v>Descuento nuevo</v>
          </cell>
          <cell r="G36" t="str">
            <v>1*2*4*6*21*22*23*24*</v>
          </cell>
          <cell r="K36" t="str">
            <v>1*21*22*23*24*25*</v>
          </cell>
          <cell r="O36" t="str">
            <v/>
          </cell>
          <cell r="S36" t="str">
            <v/>
          </cell>
          <cell r="W36" t="str">
            <v/>
          </cell>
          <cell r="AA36" t="str">
            <v/>
          </cell>
          <cell r="AE36" t="str">
            <v/>
          </cell>
          <cell r="AI36" t="str">
            <v/>
          </cell>
          <cell r="AM36" t="str">
            <v/>
          </cell>
          <cell r="AQ36" t="str">
            <v/>
          </cell>
          <cell r="AU36" t="str">
            <v/>
          </cell>
          <cell r="AY36" t="str">
            <v/>
          </cell>
          <cell r="BC36" t="str">
            <v/>
          </cell>
          <cell r="BG36" t="str">
            <v/>
          </cell>
          <cell r="BK36" t="str">
            <v/>
          </cell>
          <cell r="BO36" t="str">
            <v/>
          </cell>
          <cell r="BS36" t="str">
            <v/>
          </cell>
          <cell r="BW36" t="str">
            <v/>
          </cell>
          <cell r="CA36" t="str">
            <v/>
          </cell>
          <cell r="CE36" t="str">
            <v/>
          </cell>
        </row>
        <row r="37">
          <cell r="B37">
            <v>27</v>
          </cell>
          <cell r="C37">
            <v>2007</v>
          </cell>
          <cell r="D37" t="str">
            <v>Desc2</v>
          </cell>
          <cell r="G37" t="str">
            <v>1*2*4*6*21*22*23*24*</v>
          </cell>
          <cell r="K37" t="str">
            <v>1*21*22*23*24*25*</v>
          </cell>
          <cell r="O37" t="str">
            <v/>
          </cell>
          <cell r="S37" t="str">
            <v/>
          </cell>
          <cell r="W37" t="str">
            <v/>
          </cell>
          <cell r="AA37" t="str">
            <v/>
          </cell>
          <cell r="AE37" t="str">
            <v/>
          </cell>
          <cell r="AI37" t="str">
            <v/>
          </cell>
          <cell r="AM37" t="str">
            <v/>
          </cell>
          <cell r="AQ37" t="str">
            <v/>
          </cell>
          <cell r="AU37" t="str">
            <v/>
          </cell>
          <cell r="AY37" t="str">
            <v/>
          </cell>
          <cell r="BC37" t="str">
            <v/>
          </cell>
          <cell r="BG37" t="str">
            <v/>
          </cell>
          <cell r="BK37" t="str">
            <v/>
          </cell>
          <cell r="BO37" t="str">
            <v/>
          </cell>
          <cell r="BS37" t="str">
            <v/>
          </cell>
          <cell r="BW37" t="str">
            <v/>
          </cell>
          <cell r="CA37" t="str">
            <v/>
          </cell>
          <cell r="CE37" t="str">
            <v/>
          </cell>
        </row>
        <row r="38">
          <cell r="B38">
            <v>28</v>
          </cell>
          <cell r="C38">
            <v>2008</v>
          </cell>
          <cell r="D38" t="str">
            <v>Desc3</v>
          </cell>
          <cell r="G38" t="str">
            <v>1*2*4*6*21*22*23*24*</v>
          </cell>
          <cell r="K38" t="str">
            <v>1*21*22*23*24*25*</v>
          </cell>
          <cell r="O38" t="str">
            <v/>
          </cell>
          <cell r="S38" t="str">
            <v/>
          </cell>
          <cell r="W38" t="str">
            <v/>
          </cell>
          <cell r="AA38" t="str">
            <v/>
          </cell>
          <cell r="AE38" t="str">
            <v/>
          </cell>
          <cell r="AI38" t="str">
            <v/>
          </cell>
          <cell r="AM38" t="str">
            <v/>
          </cell>
          <cell r="AQ38" t="str">
            <v/>
          </cell>
          <cell r="AU38" t="str">
            <v/>
          </cell>
          <cell r="AY38" t="str">
            <v/>
          </cell>
          <cell r="BC38" t="str">
            <v/>
          </cell>
          <cell r="BG38" t="str">
            <v/>
          </cell>
          <cell r="BK38" t="str">
            <v/>
          </cell>
          <cell r="BO38" t="str">
            <v/>
          </cell>
          <cell r="BS38" t="str">
            <v/>
          </cell>
          <cell r="BW38" t="str">
            <v/>
          </cell>
          <cell r="CA38" t="str">
            <v/>
          </cell>
          <cell r="CE38" t="str">
            <v/>
          </cell>
        </row>
        <row r="39">
          <cell r="B39">
            <v>29</v>
          </cell>
          <cell r="C39">
            <v>2009</v>
          </cell>
          <cell r="D39" t="str">
            <v>Desc4</v>
          </cell>
          <cell r="G39" t="str">
            <v>1*2*4*6*21*22*23*24*</v>
          </cell>
          <cell r="K39" t="str">
            <v>1*21*22*23*24*25*</v>
          </cell>
          <cell r="O39" t="str">
            <v/>
          </cell>
          <cell r="S39" t="str">
            <v/>
          </cell>
          <cell r="W39" t="str">
            <v/>
          </cell>
          <cell r="AA39" t="str">
            <v/>
          </cell>
          <cell r="AE39" t="str">
            <v/>
          </cell>
          <cell r="AI39" t="str">
            <v/>
          </cell>
          <cell r="AM39" t="str">
            <v/>
          </cell>
          <cell r="AQ39" t="str">
            <v/>
          </cell>
          <cell r="AU39" t="str">
            <v/>
          </cell>
          <cell r="AY39" t="str">
            <v/>
          </cell>
          <cell r="BC39" t="str">
            <v/>
          </cell>
          <cell r="BG39" t="str">
            <v/>
          </cell>
          <cell r="BK39" t="str">
            <v/>
          </cell>
          <cell r="BO39" t="str">
            <v/>
          </cell>
          <cell r="BS39" t="str">
            <v/>
          </cell>
          <cell r="BW39" t="str">
            <v/>
          </cell>
          <cell r="CA39" t="str">
            <v/>
          </cell>
          <cell r="CE39" t="str">
            <v/>
          </cell>
        </row>
        <row r="40">
          <cell r="B40">
            <v>30</v>
          </cell>
          <cell r="C40">
            <v>2010</v>
          </cell>
          <cell r="D40" t="str">
            <v>Desc5</v>
          </cell>
          <cell r="G40" t="str">
            <v>1*2*4*6*21*22*23*24*</v>
          </cell>
          <cell r="K40" t="str">
            <v>1*21*22*23*24*25*</v>
          </cell>
          <cell r="O40" t="str">
            <v/>
          </cell>
          <cell r="S40" t="str">
            <v/>
          </cell>
          <cell r="W40" t="str">
            <v/>
          </cell>
          <cell r="AA40" t="str">
            <v/>
          </cell>
          <cell r="AE40" t="str">
            <v/>
          </cell>
          <cell r="AI40" t="str">
            <v/>
          </cell>
          <cell r="AM40" t="str">
            <v/>
          </cell>
          <cell r="AQ40" t="str">
            <v/>
          </cell>
          <cell r="AU40" t="str">
            <v/>
          </cell>
          <cell r="AY40" t="str">
            <v/>
          </cell>
          <cell r="BC40" t="str">
            <v/>
          </cell>
          <cell r="BG40" t="str">
            <v/>
          </cell>
          <cell r="BK40" t="str">
            <v/>
          </cell>
          <cell r="BO40" t="str">
            <v/>
          </cell>
          <cell r="BS40" t="str">
            <v/>
          </cell>
          <cell r="BW40" t="str">
            <v/>
          </cell>
          <cell r="CA40" t="str">
            <v/>
          </cell>
          <cell r="CE40" t="str">
            <v/>
          </cell>
        </row>
        <row r="41">
          <cell r="E41" t="str">
            <v>DESCUENTOS:</v>
          </cell>
          <cell r="H41">
            <v>2123.708533333333</v>
          </cell>
          <cell r="I41" t="str">
            <v>DESCUENTOS:</v>
          </cell>
          <cell r="L41">
            <v>2460</v>
          </cell>
          <cell r="M41" t="str">
            <v>DESCUENTOS:</v>
          </cell>
          <cell r="P41">
            <v>0</v>
          </cell>
          <cell r="Q41" t="str">
            <v>DESCUENTOS:</v>
          </cell>
          <cell r="T41">
            <v>0</v>
          </cell>
          <cell r="U41" t="str">
            <v>DESCUENTOS:</v>
          </cell>
          <cell r="X41">
            <v>0</v>
          </cell>
          <cell r="Y41" t="str">
            <v>DESCUENTOS:</v>
          </cell>
          <cell r="AB41">
            <v>0</v>
          </cell>
          <cell r="AC41" t="str">
            <v>DESCUENTOS:</v>
          </cell>
          <cell r="AF41">
            <v>0</v>
          </cell>
          <cell r="AG41" t="str">
            <v>DESCUENTOS:</v>
          </cell>
          <cell r="AJ41">
            <v>0</v>
          </cell>
          <cell r="AK41" t="str">
            <v>DESCUENTOS:</v>
          </cell>
          <cell r="AN41">
            <v>0</v>
          </cell>
          <cell r="AO41" t="str">
            <v>DESCUENTOS:</v>
          </cell>
          <cell r="AR41">
            <v>0</v>
          </cell>
          <cell r="AS41" t="str">
            <v>DESCUENTOS:</v>
          </cell>
          <cell r="AV41">
            <v>0</v>
          </cell>
          <cell r="AW41" t="str">
            <v>DESCUENTOS:</v>
          </cell>
          <cell r="AZ41">
            <v>0</v>
          </cell>
          <cell r="BA41" t="str">
            <v>DESCUENTOS:</v>
          </cell>
          <cell r="BD41">
            <v>0</v>
          </cell>
          <cell r="BE41" t="str">
            <v>DESCUENTOS:</v>
          </cell>
          <cell r="BH41">
            <v>0</v>
          </cell>
          <cell r="BI41" t="str">
            <v>DESCUENTOS:</v>
          </cell>
          <cell r="BL41">
            <v>0</v>
          </cell>
          <cell r="BM41" t="str">
            <v>DESCUENTOS:</v>
          </cell>
          <cell r="BP41">
            <v>0</v>
          </cell>
          <cell r="BQ41" t="str">
            <v>DESCUENTOS:</v>
          </cell>
          <cell r="BT41">
            <v>0</v>
          </cell>
          <cell r="BU41" t="str">
            <v>DESCUENTOS:</v>
          </cell>
          <cell r="BX41">
            <v>0</v>
          </cell>
          <cell r="BY41" t="str">
            <v>DESCUENTOS:</v>
          </cell>
          <cell r="CB41">
            <v>0</v>
          </cell>
          <cell r="CC41" t="str">
            <v>DESCUENTOS:</v>
          </cell>
          <cell r="CF41">
            <v>0</v>
          </cell>
        </row>
        <row r="42">
          <cell r="B42">
            <v>31</v>
          </cell>
          <cell r="C42">
            <v>3001</v>
          </cell>
          <cell r="D42" t="str">
            <v>Presentismo</v>
          </cell>
          <cell r="G42" t="str">
            <v>1*2*4*6*21*22*23*24*</v>
          </cell>
          <cell r="K42" t="str">
            <v>1*21*22*23*24*25*</v>
          </cell>
          <cell r="O42" t="str">
            <v/>
          </cell>
          <cell r="S42" t="str">
            <v/>
          </cell>
          <cell r="W42" t="str">
            <v/>
          </cell>
          <cell r="AA42" t="str">
            <v/>
          </cell>
          <cell r="AE42" t="str">
            <v/>
          </cell>
          <cell r="AI42" t="str">
            <v/>
          </cell>
          <cell r="AM42" t="str">
            <v/>
          </cell>
          <cell r="AQ42" t="str">
            <v/>
          </cell>
          <cell r="AU42" t="str">
            <v/>
          </cell>
          <cell r="AY42" t="str">
            <v/>
          </cell>
          <cell r="BC42" t="str">
            <v/>
          </cell>
          <cell r="BG42" t="str">
            <v/>
          </cell>
          <cell r="BK42" t="str">
            <v/>
          </cell>
          <cell r="BO42" t="str">
            <v/>
          </cell>
          <cell r="BS42" t="str">
            <v/>
          </cell>
          <cell r="BW42" t="str">
            <v/>
          </cell>
          <cell r="CA42" t="str">
            <v/>
          </cell>
          <cell r="CE42" t="str">
            <v/>
          </cell>
        </row>
        <row r="43">
          <cell r="B43">
            <v>32</v>
          </cell>
          <cell r="C43">
            <v>3002</v>
          </cell>
          <cell r="D43" t="str">
            <v>Antigüedad</v>
          </cell>
          <cell r="G43" t="str">
            <v>1*2*4*6*21*22*23*24*</v>
          </cell>
          <cell r="K43" t="str">
            <v>1*21*22*23*24*25*</v>
          </cell>
          <cell r="O43" t="str">
            <v/>
          </cell>
          <cell r="S43" t="str">
            <v/>
          </cell>
          <cell r="W43" t="str">
            <v/>
          </cell>
          <cell r="AA43" t="str">
            <v/>
          </cell>
          <cell r="AE43" t="str">
            <v/>
          </cell>
          <cell r="AI43" t="str">
            <v/>
          </cell>
          <cell r="AM43" t="str">
            <v/>
          </cell>
          <cell r="AQ43" t="str">
            <v/>
          </cell>
          <cell r="AU43" t="str">
            <v/>
          </cell>
          <cell r="AY43" t="str">
            <v/>
          </cell>
          <cell r="BC43" t="str">
            <v/>
          </cell>
          <cell r="BG43" t="str">
            <v/>
          </cell>
          <cell r="BK43" t="str">
            <v/>
          </cell>
          <cell r="BO43" t="str">
            <v/>
          </cell>
          <cell r="BS43" t="str">
            <v/>
          </cell>
          <cell r="BW43" t="str">
            <v/>
          </cell>
          <cell r="CA43" t="str">
            <v/>
          </cell>
          <cell r="CE43" t="str">
            <v/>
          </cell>
        </row>
        <row r="44">
          <cell r="B44">
            <v>33</v>
          </cell>
          <cell r="C44">
            <v>3003</v>
          </cell>
          <cell r="D44" t="str">
            <v>Vacaciones</v>
          </cell>
          <cell r="G44" t="str">
            <v>1*2*4*6*21*22*23*24*</v>
          </cell>
          <cell r="K44" t="str">
            <v>1*21*22*23*24*25*</v>
          </cell>
          <cell r="O44" t="str">
            <v/>
          </cell>
          <cell r="S44" t="str">
            <v/>
          </cell>
          <cell r="W44" t="str">
            <v/>
          </cell>
          <cell r="AA44" t="str">
            <v/>
          </cell>
          <cell r="AE44" t="str">
            <v/>
          </cell>
          <cell r="AI44" t="str">
            <v/>
          </cell>
          <cell r="AM44" t="str">
            <v/>
          </cell>
          <cell r="AQ44" t="str">
            <v/>
          </cell>
          <cell r="AU44" t="str">
            <v/>
          </cell>
          <cell r="AY44" t="str">
            <v/>
          </cell>
          <cell r="BC44" t="str">
            <v/>
          </cell>
          <cell r="BG44" t="str">
            <v/>
          </cell>
          <cell r="BK44" t="str">
            <v/>
          </cell>
          <cell r="BO44" t="str">
            <v/>
          </cell>
          <cell r="BS44" t="str">
            <v/>
          </cell>
          <cell r="BW44" t="str">
            <v/>
          </cell>
          <cell r="CA44" t="str">
            <v/>
          </cell>
          <cell r="CE44" t="str">
            <v/>
          </cell>
        </row>
        <row r="45">
          <cell r="B45">
            <v>34</v>
          </cell>
          <cell r="C45">
            <v>3004</v>
          </cell>
          <cell r="D45" t="str">
            <v>SAC</v>
          </cell>
          <cell r="G45" t="str">
            <v>1*2*4*6*21*22*23*24*</v>
          </cell>
          <cell r="K45" t="str">
            <v>1*21*22*23*24*25*</v>
          </cell>
          <cell r="O45" t="str">
            <v/>
          </cell>
          <cell r="S45" t="str">
            <v/>
          </cell>
          <cell r="W45" t="str">
            <v/>
          </cell>
          <cell r="AA45" t="str">
            <v/>
          </cell>
          <cell r="AE45" t="str">
            <v/>
          </cell>
          <cell r="AI45" t="str">
            <v/>
          </cell>
          <cell r="AM45" t="str">
            <v/>
          </cell>
          <cell r="AQ45" t="str">
            <v/>
          </cell>
          <cell r="AU45" t="str">
            <v/>
          </cell>
          <cell r="AY45" t="str">
            <v/>
          </cell>
          <cell r="BC45" t="str">
            <v/>
          </cell>
          <cell r="BG45" t="str">
            <v/>
          </cell>
          <cell r="BK45" t="str">
            <v/>
          </cell>
          <cell r="BO45" t="str">
            <v/>
          </cell>
          <cell r="BS45" t="str">
            <v/>
          </cell>
          <cell r="BW45" t="str">
            <v/>
          </cell>
          <cell r="CA45" t="str">
            <v/>
          </cell>
          <cell r="CE45" t="str">
            <v/>
          </cell>
        </row>
        <row r="46">
          <cell r="B46">
            <v>35</v>
          </cell>
          <cell r="C46">
            <v>3005</v>
          </cell>
          <cell r="D46" t="str">
            <v>Remu1</v>
          </cell>
          <cell r="G46" t="str">
            <v>1*2*4*6*21*22*23*24*</v>
          </cell>
          <cell r="K46" t="str">
            <v>1*21*22*23*24*25*</v>
          </cell>
          <cell r="O46" t="str">
            <v/>
          </cell>
          <cell r="S46" t="str">
            <v/>
          </cell>
          <cell r="W46" t="str">
            <v/>
          </cell>
          <cell r="AA46" t="str">
            <v/>
          </cell>
          <cell r="AE46" t="str">
            <v/>
          </cell>
          <cell r="AI46" t="str">
            <v/>
          </cell>
          <cell r="AM46" t="str">
            <v/>
          </cell>
          <cell r="AQ46" t="str">
            <v/>
          </cell>
          <cell r="AU46" t="str">
            <v/>
          </cell>
          <cell r="AY46" t="str">
            <v/>
          </cell>
          <cell r="BC46" t="str">
            <v/>
          </cell>
          <cell r="BG46" t="str">
            <v/>
          </cell>
          <cell r="BK46" t="str">
            <v/>
          </cell>
          <cell r="BO46" t="str">
            <v/>
          </cell>
          <cell r="BS46" t="str">
            <v/>
          </cell>
          <cell r="BW46" t="str">
            <v/>
          </cell>
          <cell r="CA46" t="str">
            <v/>
          </cell>
          <cell r="CE46" t="str">
            <v/>
          </cell>
        </row>
        <row r="47">
          <cell r="B47">
            <v>36</v>
          </cell>
          <cell r="C47">
            <v>3006</v>
          </cell>
          <cell r="D47" t="str">
            <v>Remu2</v>
          </cell>
          <cell r="G47" t="str">
            <v>1*2*4*6*21*22*23*24*</v>
          </cell>
          <cell r="K47" t="str">
            <v>1*21*22*23*24*25*</v>
          </cell>
          <cell r="O47" t="str">
            <v/>
          </cell>
          <cell r="S47" t="str">
            <v/>
          </cell>
          <cell r="W47" t="str">
            <v/>
          </cell>
          <cell r="AA47" t="str">
            <v/>
          </cell>
          <cell r="AE47" t="str">
            <v/>
          </cell>
          <cell r="AI47" t="str">
            <v/>
          </cell>
          <cell r="AM47" t="str">
            <v/>
          </cell>
          <cell r="AQ47" t="str">
            <v/>
          </cell>
          <cell r="AU47" t="str">
            <v/>
          </cell>
          <cell r="AY47" t="str">
            <v/>
          </cell>
          <cell r="BC47" t="str">
            <v/>
          </cell>
          <cell r="BG47" t="str">
            <v/>
          </cell>
          <cell r="BK47" t="str">
            <v/>
          </cell>
          <cell r="BO47" t="str">
            <v/>
          </cell>
          <cell r="BS47" t="str">
            <v/>
          </cell>
          <cell r="BW47" t="str">
            <v/>
          </cell>
          <cell r="CA47" t="str">
            <v/>
          </cell>
          <cell r="CE47" t="str">
            <v/>
          </cell>
        </row>
        <row r="48">
          <cell r="B48">
            <v>37</v>
          </cell>
          <cell r="C48">
            <v>3007</v>
          </cell>
          <cell r="D48" t="str">
            <v>Vacaciones no Gozadas</v>
          </cell>
          <cell r="G48" t="str">
            <v>1*2*4*6*21*22*23*24*</v>
          </cell>
          <cell r="K48" t="str">
            <v>1*21*22*23*24*25*</v>
          </cell>
          <cell r="O48" t="str">
            <v/>
          </cell>
          <cell r="S48" t="str">
            <v/>
          </cell>
          <cell r="W48" t="str">
            <v/>
          </cell>
          <cell r="AA48" t="str">
            <v/>
          </cell>
          <cell r="AE48" t="str">
            <v/>
          </cell>
          <cell r="AI48" t="str">
            <v/>
          </cell>
          <cell r="AM48" t="str">
            <v/>
          </cell>
          <cell r="AQ48" t="str">
            <v/>
          </cell>
          <cell r="AU48" t="str">
            <v/>
          </cell>
          <cell r="AY48" t="str">
            <v/>
          </cell>
          <cell r="BC48" t="str">
            <v/>
          </cell>
          <cell r="BG48" t="str">
            <v/>
          </cell>
          <cell r="BK48" t="str">
            <v/>
          </cell>
          <cell r="BO48" t="str">
            <v/>
          </cell>
          <cell r="BS48" t="str">
            <v/>
          </cell>
          <cell r="BW48" t="str">
            <v/>
          </cell>
          <cell r="CA48" t="str">
            <v/>
          </cell>
          <cell r="CE48" t="str">
            <v/>
          </cell>
        </row>
        <row r="49">
          <cell r="B49">
            <v>38</v>
          </cell>
          <cell r="C49">
            <v>3008</v>
          </cell>
          <cell r="D49" t="str">
            <v>SAC s/Vac.no Goz.</v>
          </cell>
          <cell r="G49" t="str">
            <v>1*2*4*6*21*22*23*24*</v>
          </cell>
          <cell r="K49" t="str">
            <v>1*21*22*23*24*25*</v>
          </cell>
          <cell r="O49" t="str">
            <v/>
          </cell>
          <cell r="S49" t="str">
            <v/>
          </cell>
          <cell r="W49" t="str">
            <v/>
          </cell>
          <cell r="AA49" t="str">
            <v/>
          </cell>
          <cell r="AE49" t="str">
            <v/>
          </cell>
          <cell r="AI49" t="str">
            <v/>
          </cell>
          <cell r="AM49" t="str">
            <v/>
          </cell>
          <cell r="AQ49" t="str">
            <v/>
          </cell>
          <cell r="AU49" t="str">
            <v/>
          </cell>
          <cell r="AY49" t="str">
            <v/>
          </cell>
          <cell r="BC49" t="str">
            <v/>
          </cell>
          <cell r="BG49" t="str">
            <v/>
          </cell>
          <cell r="BK49" t="str">
            <v/>
          </cell>
          <cell r="BO49" t="str">
            <v/>
          </cell>
          <cell r="BS49" t="str">
            <v/>
          </cell>
          <cell r="BW49" t="str">
            <v/>
          </cell>
          <cell r="CA49" t="str">
            <v/>
          </cell>
          <cell r="CE49" t="str">
            <v/>
          </cell>
        </row>
        <row r="50">
          <cell r="B50">
            <v>39</v>
          </cell>
          <cell r="C50">
            <v>3009</v>
          </cell>
          <cell r="D50" t="str">
            <v>Indemnización Antig.</v>
          </cell>
          <cell r="G50" t="str">
            <v>1*2*4*6*21*22*23*24*</v>
          </cell>
          <cell r="K50" t="str">
            <v>1*21*22*23*24*25*</v>
          </cell>
          <cell r="O50" t="str">
            <v/>
          </cell>
          <cell r="S50" t="str">
            <v/>
          </cell>
          <cell r="W50" t="str">
            <v/>
          </cell>
          <cell r="AA50" t="str">
            <v/>
          </cell>
          <cell r="AE50" t="str">
            <v/>
          </cell>
          <cell r="AI50" t="str">
            <v/>
          </cell>
          <cell r="AM50" t="str">
            <v/>
          </cell>
          <cell r="AQ50" t="str">
            <v/>
          </cell>
          <cell r="AU50" t="str">
            <v/>
          </cell>
          <cell r="AY50" t="str">
            <v/>
          </cell>
          <cell r="BC50" t="str">
            <v/>
          </cell>
          <cell r="BG50" t="str">
            <v/>
          </cell>
          <cell r="BK50" t="str">
            <v/>
          </cell>
          <cell r="BO50" t="str">
            <v/>
          </cell>
          <cell r="BS50" t="str">
            <v/>
          </cell>
          <cell r="BW50" t="str">
            <v/>
          </cell>
          <cell r="CA50" t="str">
            <v/>
          </cell>
          <cell r="CE50" t="str">
            <v/>
          </cell>
        </row>
        <row r="51">
          <cell r="B51">
            <v>40</v>
          </cell>
          <cell r="C51">
            <v>3010</v>
          </cell>
          <cell r="D51" t="str">
            <v>SAC s/Indemniz.Antig.</v>
          </cell>
          <cell r="G51" t="str">
            <v>1*2*4*6*21*22*23*24*</v>
          </cell>
          <cell r="K51" t="str">
            <v>1*21*22*23*24*25*</v>
          </cell>
          <cell r="O51" t="str">
            <v/>
          </cell>
          <cell r="S51" t="str">
            <v/>
          </cell>
          <cell r="W51" t="str">
            <v/>
          </cell>
          <cell r="AA51" t="str">
            <v/>
          </cell>
          <cell r="AE51" t="str">
            <v/>
          </cell>
          <cell r="AI51" t="str">
            <v/>
          </cell>
          <cell r="AM51" t="str">
            <v/>
          </cell>
          <cell r="AQ51" t="str">
            <v/>
          </cell>
          <cell r="AU51" t="str">
            <v/>
          </cell>
          <cell r="AY51" t="str">
            <v/>
          </cell>
          <cell r="BC51" t="str">
            <v/>
          </cell>
          <cell r="BG51" t="str">
            <v/>
          </cell>
          <cell r="BK51" t="str">
            <v/>
          </cell>
          <cell r="BO51" t="str">
            <v/>
          </cell>
          <cell r="BS51" t="str">
            <v/>
          </cell>
          <cell r="BW51" t="str">
            <v/>
          </cell>
          <cell r="CA51" t="str">
            <v/>
          </cell>
          <cell r="CE51" t="str">
            <v/>
          </cell>
        </row>
        <row r="52">
          <cell r="B52">
            <v>41</v>
          </cell>
          <cell r="C52">
            <v>3011</v>
          </cell>
          <cell r="D52" t="str">
            <v>Viáticos</v>
          </cell>
          <cell r="G52" t="str">
            <v>1*2*4*6*21*22*23*24*41*</v>
          </cell>
          <cell r="H52">
            <v>60.58</v>
          </cell>
          <cell r="K52" t="str">
            <v>1*21*22*23*24*25*41*</v>
          </cell>
          <cell r="L52">
            <v>60.25</v>
          </cell>
          <cell r="O52" t="str">
            <v/>
          </cell>
          <cell r="S52" t="str">
            <v/>
          </cell>
          <cell r="W52" t="str">
            <v/>
          </cell>
          <cell r="AA52" t="str">
            <v/>
          </cell>
          <cell r="AE52" t="str">
            <v/>
          </cell>
          <cell r="AI52" t="str">
            <v/>
          </cell>
          <cell r="AM52" t="str">
            <v/>
          </cell>
          <cell r="AQ52" t="str">
            <v/>
          </cell>
          <cell r="AU52" t="str">
            <v/>
          </cell>
          <cell r="AY52" t="str">
            <v/>
          </cell>
          <cell r="BC52" t="str">
            <v/>
          </cell>
          <cell r="BG52" t="str">
            <v/>
          </cell>
          <cell r="BK52" t="str">
            <v/>
          </cell>
          <cell r="BO52" t="str">
            <v/>
          </cell>
          <cell r="BS52" t="str">
            <v/>
          </cell>
          <cell r="BW52" t="str">
            <v/>
          </cell>
          <cell r="CA52" t="str">
            <v/>
          </cell>
          <cell r="CE52" t="str">
            <v/>
          </cell>
        </row>
        <row r="53">
          <cell r="B53">
            <v>42</v>
          </cell>
          <cell r="C53">
            <v>3012</v>
          </cell>
          <cell r="D53" t="str">
            <v>Adic2</v>
          </cell>
          <cell r="G53" t="str">
            <v>1*2*4*6*21*22*23*24*41*</v>
          </cell>
          <cell r="K53" t="str">
            <v>1*21*22*23*24*25*41*</v>
          </cell>
          <cell r="O53" t="str">
            <v/>
          </cell>
          <cell r="S53" t="str">
            <v/>
          </cell>
          <cell r="W53" t="str">
            <v/>
          </cell>
          <cell r="AA53" t="str">
            <v/>
          </cell>
          <cell r="AE53" t="str">
            <v/>
          </cell>
          <cell r="AI53" t="str">
            <v/>
          </cell>
          <cell r="AM53" t="str">
            <v/>
          </cell>
          <cell r="AQ53" t="str">
            <v/>
          </cell>
          <cell r="AU53" t="str">
            <v/>
          </cell>
          <cell r="AY53" t="str">
            <v/>
          </cell>
          <cell r="BC53" t="str">
            <v/>
          </cell>
          <cell r="BG53" t="str">
            <v/>
          </cell>
          <cell r="BK53" t="str">
            <v/>
          </cell>
          <cell r="BO53" t="str">
            <v/>
          </cell>
          <cell r="BS53" t="str">
            <v/>
          </cell>
          <cell r="BW53" t="str">
            <v/>
          </cell>
          <cell r="CA53" t="str">
            <v/>
          </cell>
          <cell r="CE53" t="str">
            <v/>
          </cell>
        </row>
        <row r="54">
          <cell r="B54">
            <v>43</v>
          </cell>
          <cell r="C54">
            <v>3013</v>
          </cell>
          <cell r="D54" t="str">
            <v>Adic3</v>
          </cell>
          <cell r="G54" t="str">
            <v>1*2*4*6*21*22*23*24*41*</v>
          </cell>
          <cell r="K54" t="str">
            <v>1*21*22*23*24*25*41*</v>
          </cell>
          <cell r="O54" t="str">
            <v/>
          </cell>
          <cell r="S54" t="str">
            <v/>
          </cell>
          <cell r="W54" t="str">
            <v/>
          </cell>
          <cell r="AA54" t="str">
            <v/>
          </cell>
          <cell r="AE54" t="str">
            <v/>
          </cell>
          <cell r="AI54" t="str">
            <v/>
          </cell>
          <cell r="AM54" t="str">
            <v/>
          </cell>
          <cell r="AQ54" t="str">
            <v/>
          </cell>
          <cell r="AU54" t="str">
            <v/>
          </cell>
          <cell r="AY54" t="str">
            <v/>
          </cell>
          <cell r="BC54" t="str">
            <v/>
          </cell>
          <cell r="BG54" t="str">
            <v/>
          </cell>
          <cell r="BK54" t="str">
            <v/>
          </cell>
          <cell r="BO54" t="str">
            <v/>
          </cell>
          <cell r="BS54" t="str">
            <v/>
          </cell>
          <cell r="BW54" t="str">
            <v/>
          </cell>
          <cell r="CA54" t="str">
            <v/>
          </cell>
          <cell r="CE54" t="str">
            <v/>
          </cell>
        </row>
        <row r="55">
          <cell r="B55">
            <v>44</v>
          </cell>
          <cell r="C55">
            <v>3014</v>
          </cell>
          <cell r="D55" t="str">
            <v>Adic4</v>
          </cell>
          <cell r="G55" t="str">
            <v>1*2*4*6*21*22*23*24*41*</v>
          </cell>
          <cell r="K55" t="str">
            <v>1*21*22*23*24*25*41*</v>
          </cell>
          <cell r="O55" t="str">
            <v/>
          </cell>
          <cell r="S55" t="str">
            <v/>
          </cell>
          <cell r="W55" t="str">
            <v/>
          </cell>
          <cell r="AA55" t="str">
            <v/>
          </cell>
          <cell r="AE55" t="str">
            <v/>
          </cell>
          <cell r="AI55" t="str">
            <v/>
          </cell>
          <cell r="AM55" t="str">
            <v/>
          </cell>
          <cell r="AQ55" t="str">
            <v/>
          </cell>
          <cell r="AU55" t="str">
            <v/>
          </cell>
          <cell r="AY55" t="str">
            <v/>
          </cell>
          <cell r="BC55" t="str">
            <v/>
          </cell>
          <cell r="BG55" t="str">
            <v/>
          </cell>
          <cell r="BK55" t="str">
            <v/>
          </cell>
          <cell r="BO55" t="str">
            <v/>
          </cell>
          <cell r="BS55" t="str">
            <v/>
          </cell>
          <cell r="BW55" t="str">
            <v/>
          </cell>
          <cell r="CA55" t="str">
            <v/>
          </cell>
          <cell r="CE55" t="str">
            <v/>
          </cell>
        </row>
        <row r="56">
          <cell r="B56">
            <v>45</v>
          </cell>
          <cell r="C56">
            <v>9999</v>
          </cell>
          <cell r="D56" t="str">
            <v>Redondeo</v>
          </cell>
          <cell r="G56" t="str">
            <v>1*2*4*6*21*22*23*24*41*45*</v>
          </cell>
          <cell r="H56">
            <v>0.71520000000055006</v>
          </cell>
          <cell r="K56" t="str">
            <v>1*21*22*23*24*25*41*45*</v>
          </cell>
          <cell r="L56">
            <v>0.75</v>
          </cell>
          <cell r="O56" t="str">
            <v/>
          </cell>
          <cell r="S56" t="str">
            <v/>
          </cell>
          <cell r="W56" t="str">
            <v/>
          </cell>
          <cell r="AA56" t="str">
            <v/>
          </cell>
          <cell r="AE56" t="str">
            <v/>
          </cell>
          <cell r="AI56" t="str">
            <v/>
          </cell>
          <cell r="AM56" t="str">
            <v/>
          </cell>
          <cell r="AQ56" t="str">
            <v/>
          </cell>
          <cell r="AU56" t="str">
            <v/>
          </cell>
          <cell r="AY56" t="str">
            <v/>
          </cell>
          <cell r="BC56" t="str">
            <v/>
          </cell>
          <cell r="BG56" t="str">
            <v/>
          </cell>
          <cell r="BK56" t="str">
            <v/>
          </cell>
          <cell r="BO56" t="str">
            <v/>
          </cell>
          <cell r="BS56" t="str">
            <v/>
          </cell>
          <cell r="BW56" t="str">
            <v/>
          </cell>
          <cell r="CA56" t="str">
            <v/>
          </cell>
          <cell r="CE56" t="str">
            <v/>
          </cell>
        </row>
        <row r="57">
          <cell r="E57" t="str">
            <v>NO REMUNERATIVO:</v>
          </cell>
          <cell r="H57">
            <v>61.295200000000548</v>
          </cell>
          <cell r="I57" t="str">
            <v>NO REMUNERATIVO:</v>
          </cell>
          <cell r="L57">
            <v>61</v>
          </cell>
          <cell r="M57" t="str">
            <v>NO REMUNERATIVO:</v>
          </cell>
          <cell r="P57">
            <v>0</v>
          </cell>
          <cell r="Q57" t="str">
            <v>NO REMUNERATIVO:</v>
          </cell>
          <cell r="T57">
            <v>0</v>
          </cell>
          <cell r="U57" t="str">
            <v>NO REMUNERATIVO:</v>
          </cell>
          <cell r="X57">
            <v>0</v>
          </cell>
          <cell r="Y57" t="str">
            <v>NO REMUNERATIVO:</v>
          </cell>
          <cell r="AB57">
            <v>0</v>
          </cell>
          <cell r="AC57" t="str">
            <v>NO REMUNERATIVO:</v>
          </cell>
          <cell r="AF57">
            <v>0</v>
          </cell>
          <cell r="AG57" t="str">
            <v>NO REMUNERATIVO:</v>
          </cell>
          <cell r="AJ57">
            <v>0</v>
          </cell>
          <cell r="AK57" t="str">
            <v>NO REMUNERATIVO:</v>
          </cell>
          <cell r="AN57">
            <v>0</v>
          </cell>
          <cell r="AO57" t="str">
            <v>NO REMUNERATIVO:</v>
          </cell>
          <cell r="AR57">
            <v>0</v>
          </cell>
          <cell r="AS57" t="str">
            <v>NO REMUNERATIVO:</v>
          </cell>
          <cell r="AV57">
            <v>0</v>
          </cell>
          <cell r="AW57" t="str">
            <v>NO REMUNERATIVO:</v>
          </cell>
          <cell r="AZ57">
            <v>0</v>
          </cell>
          <cell r="BA57" t="str">
            <v>NO REMUNERATIVO:</v>
          </cell>
          <cell r="BD57">
            <v>0</v>
          </cell>
          <cell r="BE57" t="str">
            <v>NO REMUNERATIVO:</v>
          </cell>
          <cell r="BH57">
            <v>0</v>
          </cell>
          <cell r="BI57" t="str">
            <v>NO REMUNERATIVO:</v>
          </cell>
          <cell r="BL57">
            <v>0</v>
          </cell>
          <cell r="BM57" t="str">
            <v>NO REMUNERATIVO:</v>
          </cell>
          <cell r="BP57">
            <v>0</v>
          </cell>
          <cell r="BQ57" t="str">
            <v>NO REMUNERATIVO:</v>
          </cell>
          <cell r="BT57">
            <v>0</v>
          </cell>
          <cell r="BU57" t="str">
            <v>NO REMUNERATIVO:</v>
          </cell>
          <cell r="BX57">
            <v>0</v>
          </cell>
          <cell r="BY57" t="str">
            <v>NO REMUNERATIVO:</v>
          </cell>
          <cell r="CB57">
            <v>0</v>
          </cell>
          <cell r="CC57" t="str">
            <v>NO REMUNERATIVO:</v>
          </cell>
          <cell r="CF57">
            <v>0</v>
          </cell>
        </row>
        <row r="58">
          <cell r="E58" t="str">
            <v>NETO A COBRAR:</v>
          </cell>
          <cell r="H58">
            <v>9115</v>
          </cell>
          <cell r="I58" t="str">
            <v>NETO A COBRAR:</v>
          </cell>
          <cell r="L58">
            <v>9601</v>
          </cell>
          <cell r="M58" t="str">
            <v>NETO A COBRAR:</v>
          </cell>
          <cell r="P58">
            <v>0</v>
          </cell>
          <cell r="Q58" t="str">
            <v>NETO A COBRAR:</v>
          </cell>
          <cell r="T58">
            <v>0</v>
          </cell>
          <cell r="U58" t="str">
            <v>NETO A COBRAR:</v>
          </cell>
          <cell r="X58">
            <v>0</v>
          </cell>
          <cell r="Y58" t="str">
            <v>NETO A COBRAR:</v>
          </cell>
          <cell r="AB58">
            <v>0</v>
          </cell>
          <cell r="AC58" t="str">
            <v>NETO A COBRAR:</v>
          </cell>
          <cell r="AF58">
            <v>0</v>
          </cell>
          <cell r="AG58" t="str">
            <v>NETO A COBRAR:</v>
          </cell>
          <cell r="AJ58">
            <v>0</v>
          </cell>
          <cell r="AK58" t="str">
            <v>NETO A COBRAR:</v>
          </cell>
          <cell r="AN58">
            <v>0</v>
          </cell>
          <cell r="AO58" t="str">
            <v>NETO A COBRAR:</v>
          </cell>
          <cell r="AR58">
            <v>0</v>
          </cell>
          <cell r="AS58" t="str">
            <v>NETO A COBRAR:</v>
          </cell>
          <cell r="AV58">
            <v>0</v>
          </cell>
          <cell r="AW58" t="str">
            <v>NETO A COBRAR:</v>
          </cell>
          <cell r="AZ58">
            <v>0</v>
          </cell>
          <cell r="BA58" t="str">
            <v>NETO A COBRAR:</v>
          </cell>
          <cell r="BD58">
            <v>0</v>
          </cell>
          <cell r="BE58" t="str">
            <v>NETO A COBRAR:</v>
          </cell>
          <cell r="BH58">
            <v>0</v>
          </cell>
          <cell r="BI58" t="str">
            <v>NETO A COBRAR:</v>
          </cell>
          <cell r="BL58">
            <v>0</v>
          </cell>
          <cell r="BM58" t="str">
            <v>NETO A COBRAR:</v>
          </cell>
          <cell r="BP58">
            <v>0</v>
          </cell>
          <cell r="BQ58" t="str">
            <v>NETO A COBRAR:</v>
          </cell>
          <cell r="BT58">
            <v>0</v>
          </cell>
          <cell r="BU58" t="str">
            <v>NETO A COBRAR:</v>
          </cell>
          <cell r="BX58">
            <v>0</v>
          </cell>
          <cell r="BY58" t="str">
            <v>NETO A COBRAR:</v>
          </cell>
          <cell r="CB58">
            <v>0</v>
          </cell>
          <cell r="CC58" t="str">
            <v>NETO A COBRAR:</v>
          </cell>
          <cell r="CF58">
            <v>0</v>
          </cell>
        </row>
      </sheetData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er"/>
      <sheetName val="Base de Datos"/>
      <sheetName val="Movimientos"/>
      <sheetName val="Resumen"/>
      <sheetName val="Detalle Producto"/>
    </sheetNames>
    <sheetDataSet>
      <sheetData sheetId="0"/>
      <sheetData sheetId="1">
        <row r="3">
          <cell r="C3" t="str">
            <v>PRODUCTO</v>
          </cell>
          <cell r="G3" t="str">
            <v>MOVIMIENTO</v>
          </cell>
          <cell r="K3" t="str">
            <v>PROVEEDOR / CLIENTE</v>
          </cell>
        </row>
        <row r="4">
          <cell r="C4" t="str">
            <v>COD</v>
          </cell>
          <cell r="D4" t="str">
            <v>DESCRIPCION</v>
          </cell>
          <cell r="E4" t="str">
            <v>UNIDAD</v>
          </cell>
          <cell r="G4" t="str">
            <v>COD</v>
          </cell>
          <cell r="H4" t="str">
            <v>DESCRIPCION</v>
          </cell>
          <cell r="I4" t="str">
            <v>E:Entrada               S:Salida</v>
          </cell>
          <cell r="K4" t="str">
            <v>COD</v>
          </cell>
          <cell r="L4" t="str">
            <v>NOMBRE / RAZON SOCIAL</v>
          </cell>
        </row>
        <row r="5">
          <cell r="B5">
            <v>1</v>
          </cell>
          <cell r="C5">
            <v>1</v>
          </cell>
          <cell r="D5" t="str">
            <v>Yerba</v>
          </cell>
          <cell r="E5" t="str">
            <v>Kilos</v>
          </cell>
          <cell r="G5" t="str">
            <v>SV</v>
          </cell>
          <cell r="H5" t="str">
            <v>Salidas por Ventas</v>
          </cell>
          <cell r="I5" t="str">
            <v>S</v>
          </cell>
          <cell r="K5">
            <v>1</v>
          </cell>
          <cell r="L5" t="str">
            <v>Carlos Alberto Diaz</v>
          </cell>
        </row>
        <row r="6">
          <cell r="B6">
            <v>2</v>
          </cell>
          <cell r="C6">
            <v>2</v>
          </cell>
          <cell r="D6" t="str">
            <v>Azucar</v>
          </cell>
          <cell r="E6" t="str">
            <v>Kilos</v>
          </cell>
          <cell r="G6" t="str">
            <v>EC</v>
          </cell>
          <cell r="H6" t="str">
            <v>Entradas por Compras</v>
          </cell>
          <cell r="I6" t="str">
            <v>E</v>
          </cell>
          <cell r="K6">
            <v>2</v>
          </cell>
          <cell r="L6" t="str">
            <v>La Almacen SA</v>
          </cell>
        </row>
        <row r="7">
          <cell r="B7">
            <v>3</v>
          </cell>
          <cell r="C7">
            <v>3</v>
          </cell>
          <cell r="D7" t="str">
            <v>Galletitas Crackers</v>
          </cell>
          <cell r="E7" t="str">
            <v>Unidades</v>
          </cell>
          <cell r="G7" t="str">
            <v>SD</v>
          </cell>
          <cell r="H7" t="str">
            <v>Salidas por Deterioro</v>
          </cell>
          <cell r="I7" t="str">
            <v>S</v>
          </cell>
          <cell r="K7">
            <v>3</v>
          </cell>
          <cell r="L7" t="str">
            <v>Juan Cruz Gimenez</v>
          </cell>
        </row>
        <row r="8">
          <cell r="B8">
            <v>4</v>
          </cell>
          <cell r="C8">
            <v>4</v>
          </cell>
          <cell r="D8" t="str">
            <v>Galletitas Dulces rellenas</v>
          </cell>
          <cell r="E8" t="str">
            <v>Unidades</v>
          </cell>
          <cell r="G8" t="str">
            <v>ESI</v>
          </cell>
          <cell r="H8" t="str">
            <v>Entradas por Stock Inicial</v>
          </cell>
          <cell r="I8" t="str">
            <v>E</v>
          </cell>
          <cell r="K8">
            <v>4</v>
          </cell>
          <cell r="L8" t="str">
            <v>Pedro Perez</v>
          </cell>
        </row>
        <row r="9">
          <cell r="B9">
            <v>5</v>
          </cell>
          <cell r="C9">
            <v>5</v>
          </cell>
          <cell r="D9" t="str">
            <v>Alfajores 30</v>
          </cell>
          <cell r="E9" t="str">
            <v>Unidades</v>
          </cell>
          <cell r="G9" t="str">
            <v>SR</v>
          </cell>
          <cell r="H9" t="str">
            <v>Salidas por regalos</v>
          </cell>
          <cell r="I9" t="str">
            <v>S</v>
          </cell>
          <cell r="K9">
            <v>5</v>
          </cell>
          <cell r="L9" t="str">
            <v>Carlos Sanchez</v>
          </cell>
        </row>
        <row r="10">
          <cell r="B10">
            <v>6</v>
          </cell>
          <cell r="C10">
            <v>6</v>
          </cell>
          <cell r="D10" t="str">
            <v>Caramelos surtidos</v>
          </cell>
          <cell r="E10" t="str">
            <v>Unidades</v>
          </cell>
          <cell r="K10">
            <v>6</v>
          </cell>
          <cell r="L10" t="str">
            <v>Analía Beltran</v>
          </cell>
        </row>
        <row r="11">
          <cell r="B11">
            <v>7</v>
          </cell>
          <cell r="C11">
            <v>7</v>
          </cell>
          <cell r="D11" t="str">
            <v xml:space="preserve">Pan </v>
          </cell>
          <cell r="E11" t="str">
            <v>Kilos</v>
          </cell>
          <cell r="K11">
            <v>7</v>
          </cell>
          <cell r="L11" t="str">
            <v>Alejandra Ruiz</v>
          </cell>
        </row>
        <row r="12">
          <cell r="B12">
            <v>8</v>
          </cell>
          <cell r="C12">
            <v>8</v>
          </cell>
          <cell r="D12" t="str">
            <v>Helados</v>
          </cell>
          <cell r="E12" t="str">
            <v>Unidades</v>
          </cell>
        </row>
        <row r="13">
          <cell r="B13">
            <v>9</v>
          </cell>
          <cell r="C13">
            <v>9</v>
          </cell>
          <cell r="D13" t="str">
            <v>Dulce de Leche</v>
          </cell>
          <cell r="E13" t="str">
            <v>Kilos</v>
          </cell>
        </row>
        <row r="14">
          <cell r="B14">
            <v>10</v>
          </cell>
          <cell r="C14">
            <v>10</v>
          </cell>
          <cell r="D14" t="str">
            <v>Mermeladas</v>
          </cell>
          <cell r="E14" t="str">
            <v>Unidades</v>
          </cell>
        </row>
        <row r="15">
          <cell r="B15">
            <v>11</v>
          </cell>
          <cell r="C15">
            <v>11</v>
          </cell>
          <cell r="D15" t="str">
            <v>Caramelos menta</v>
          </cell>
          <cell r="E15" t="str">
            <v>Kilos</v>
          </cell>
        </row>
        <row r="16">
          <cell r="B16" t="str">
            <v/>
          </cell>
        </row>
        <row r="17">
          <cell r="B17" t="str">
            <v/>
          </cell>
        </row>
        <row r="18">
          <cell r="B18" t="str">
            <v/>
          </cell>
        </row>
        <row r="19">
          <cell r="B19" t="str">
            <v/>
          </cell>
        </row>
        <row r="20">
          <cell r="B20" t="str">
            <v/>
          </cell>
        </row>
        <row r="21">
          <cell r="B21" t="str">
            <v/>
          </cell>
        </row>
        <row r="22">
          <cell r="B22" t="str">
            <v/>
          </cell>
        </row>
        <row r="23">
          <cell r="B23" t="str">
            <v/>
          </cell>
        </row>
        <row r="24">
          <cell r="B24" t="str">
            <v/>
          </cell>
        </row>
        <row r="25">
          <cell r="B25" t="str">
            <v/>
          </cell>
        </row>
        <row r="26">
          <cell r="B26" t="str">
            <v/>
          </cell>
        </row>
        <row r="27">
          <cell r="B27" t="str">
            <v/>
          </cell>
        </row>
        <row r="28">
          <cell r="B28" t="str">
            <v/>
          </cell>
        </row>
        <row r="29">
          <cell r="B29" t="str">
            <v/>
          </cell>
        </row>
        <row r="30">
          <cell r="B30" t="str">
            <v/>
          </cell>
        </row>
        <row r="31">
          <cell r="B31" t="str">
            <v/>
          </cell>
        </row>
        <row r="32">
          <cell r="B32" t="str">
            <v/>
          </cell>
        </row>
        <row r="33">
          <cell r="B33" t="str">
            <v/>
          </cell>
        </row>
        <row r="34">
          <cell r="B34" t="str">
            <v/>
          </cell>
        </row>
        <row r="35">
          <cell r="B35" t="str">
            <v/>
          </cell>
        </row>
        <row r="36">
          <cell r="B36" t="str">
            <v/>
          </cell>
        </row>
        <row r="37">
          <cell r="B37" t="str">
            <v/>
          </cell>
        </row>
        <row r="38">
          <cell r="B38" t="str">
            <v/>
          </cell>
        </row>
        <row r="39">
          <cell r="B39" t="str">
            <v/>
          </cell>
        </row>
        <row r="40">
          <cell r="B40" t="str">
            <v/>
          </cell>
        </row>
        <row r="41">
          <cell r="B41" t="str">
            <v/>
          </cell>
        </row>
        <row r="42">
          <cell r="B42" t="str">
            <v/>
          </cell>
        </row>
        <row r="43">
          <cell r="B43" t="str">
            <v/>
          </cell>
        </row>
        <row r="44">
          <cell r="B44" t="str">
            <v/>
          </cell>
        </row>
        <row r="45">
          <cell r="B45" t="str">
            <v/>
          </cell>
        </row>
        <row r="46">
          <cell r="B46" t="str">
            <v/>
          </cell>
        </row>
        <row r="47">
          <cell r="B47" t="str">
            <v/>
          </cell>
        </row>
        <row r="48">
          <cell r="B48" t="str">
            <v/>
          </cell>
        </row>
        <row r="49">
          <cell r="B49" t="str">
            <v/>
          </cell>
        </row>
        <row r="50">
          <cell r="B50" t="str">
            <v/>
          </cell>
        </row>
        <row r="51">
          <cell r="B51" t="str">
            <v/>
          </cell>
        </row>
        <row r="52">
          <cell r="B52" t="str">
            <v/>
          </cell>
        </row>
        <row r="53">
          <cell r="B53" t="str">
            <v/>
          </cell>
        </row>
        <row r="54">
          <cell r="B54" t="str">
            <v/>
          </cell>
        </row>
        <row r="55">
          <cell r="B55" t="str">
            <v/>
          </cell>
        </row>
        <row r="56">
          <cell r="B56" t="str">
            <v/>
          </cell>
        </row>
        <row r="57">
          <cell r="B57" t="str">
            <v/>
          </cell>
        </row>
        <row r="58">
          <cell r="B58" t="str">
            <v/>
          </cell>
        </row>
        <row r="59">
          <cell r="B59" t="str">
            <v/>
          </cell>
        </row>
        <row r="60">
          <cell r="B60" t="str">
            <v/>
          </cell>
        </row>
        <row r="61">
          <cell r="B61" t="str">
            <v/>
          </cell>
        </row>
        <row r="62">
          <cell r="B62" t="str">
            <v/>
          </cell>
        </row>
        <row r="63">
          <cell r="B63" t="str">
            <v/>
          </cell>
        </row>
        <row r="64">
          <cell r="B64" t="str">
            <v/>
          </cell>
        </row>
        <row r="65">
          <cell r="B65" t="str">
            <v/>
          </cell>
        </row>
        <row r="66">
          <cell r="B66" t="str">
            <v/>
          </cell>
        </row>
        <row r="67">
          <cell r="B67" t="str">
            <v/>
          </cell>
        </row>
        <row r="68">
          <cell r="B68" t="str">
            <v/>
          </cell>
        </row>
        <row r="69">
          <cell r="B69" t="str">
            <v/>
          </cell>
        </row>
        <row r="70">
          <cell r="B70" t="str">
            <v/>
          </cell>
        </row>
        <row r="71">
          <cell r="B71" t="str">
            <v/>
          </cell>
        </row>
        <row r="72">
          <cell r="B72" t="str">
            <v/>
          </cell>
        </row>
        <row r="73">
          <cell r="B73" t="str">
            <v/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  <row r="87">
          <cell r="B87" t="str">
            <v/>
          </cell>
        </row>
        <row r="88">
          <cell r="B88" t="str">
            <v/>
          </cell>
        </row>
        <row r="89">
          <cell r="B89" t="str">
            <v/>
          </cell>
        </row>
        <row r="90">
          <cell r="B90" t="str">
            <v/>
          </cell>
        </row>
        <row r="91">
          <cell r="B91" t="str">
            <v/>
          </cell>
        </row>
        <row r="92">
          <cell r="B92" t="str">
            <v/>
          </cell>
        </row>
        <row r="93">
          <cell r="B93" t="str">
            <v/>
          </cell>
        </row>
        <row r="94">
          <cell r="B94" t="str">
            <v/>
          </cell>
        </row>
        <row r="95">
          <cell r="B95" t="str">
            <v/>
          </cell>
        </row>
        <row r="96">
          <cell r="B96" t="str">
            <v/>
          </cell>
        </row>
        <row r="97">
          <cell r="B97" t="str">
            <v/>
          </cell>
        </row>
        <row r="98">
          <cell r="B98" t="str">
            <v/>
          </cell>
        </row>
        <row r="99">
          <cell r="B99" t="str">
            <v/>
          </cell>
        </row>
        <row r="100">
          <cell r="B100" t="str">
            <v/>
          </cell>
        </row>
        <row r="101">
          <cell r="B101" t="str">
            <v/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</sheetData>
      <sheetData sheetId="2">
        <row r="5">
          <cell r="B5" t="str">
            <v/>
          </cell>
          <cell r="C5" t="str">
            <v>E1</v>
          </cell>
          <cell r="D5">
            <v>1</v>
          </cell>
          <cell r="E5" t="str">
            <v>Yerba</v>
          </cell>
          <cell r="F5">
            <v>42403</v>
          </cell>
          <cell r="G5" t="str">
            <v>ESI</v>
          </cell>
          <cell r="H5" t="str">
            <v>Entradas por Stock Inicial</v>
          </cell>
          <cell r="I5" t="str">
            <v>E</v>
          </cell>
          <cell r="J5">
            <v>1</v>
          </cell>
          <cell r="K5" t="str">
            <v>Carlos Alberto Diaz</v>
          </cell>
          <cell r="L5" t="str">
            <v>SIN DOCUMENTO</v>
          </cell>
          <cell r="M5">
            <v>100</v>
          </cell>
          <cell r="N5" t="str">
            <v>Kilos</v>
          </cell>
          <cell r="O5">
            <v>20</v>
          </cell>
          <cell r="P5">
            <v>2000</v>
          </cell>
        </row>
        <row r="6">
          <cell r="B6" t="str">
            <v/>
          </cell>
          <cell r="C6" t="str">
            <v>E2</v>
          </cell>
          <cell r="D6">
            <v>2</v>
          </cell>
          <cell r="E6" t="str">
            <v>Azucar</v>
          </cell>
          <cell r="F6">
            <v>42403</v>
          </cell>
          <cell r="G6" t="str">
            <v>ESI</v>
          </cell>
          <cell r="H6" t="str">
            <v>Entradas por Stock Inicial</v>
          </cell>
          <cell r="I6" t="str">
            <v>E</v>
          </cell>
          <cell r="J6">
            <v>1</v>
          </cell>
          <cell r="K6" t="str">
            <v>Carlos Alberto Diaz</v>
          </cell>
          <cell r="L6" t="str">
            <v>FACTURA 1-12</v>
          </cell>
          <cell r="M6">
            <v>200</v>
          </cell>
          <cell r="N6" t="str">
            <v>Kilos</v>
          </cell>
          <cell r="O6">
            <v>1</v>
          </cell>
          <cell r="P6">
            <v>200</v>
          </cell>
        </row>
        <row r="7">
          <cell r="B7" t="str">
            <v/>
          </cell>
          <cell r="C7" t="str">
            <v>E3</v>
          </cell>
          <cell r="D7">
            <v>3</v>
          </cell>
          <cell r="E7" t="str">
            <v>Galletitas Crackers</v>
          </cell>
          <cell r="F7">
            <v>42403</v>
          </cell>
          <cell r="G7" t="str">
            <v>ESI</v>
          </cell>
          <cell r="H7" t="str">
            <v>Entradas por Stock Inicial</v>
          </cell>
          <cell r="I7" t="str">
            <v>E</v>
          </cell>
          <cell r="J7">
            <v>1</v>
          </cell>
          <cell r="K7" t="str">
            <v>Carlos Alberto Diaz</v>
          </cell>
          <cell r="L7" t="str">
            <v>FACTURA 1-13</v>
          </cell>
          <cell r="M7">
            <v>150</v>
          </cell>
          <cell r="N7" t="str">
            <v>Unidades</v>
          </cell>
          <cell r="O7">
            <v>10</v>
          </cell>
          <cell r="P7">
            <v>1500</v>
          </cell>
        </row>
        <row r="8">
          <cell r="B8" t="str">
            <v/>
          </cell>
          <cell r="C8" t="str">
            <v>E4</v>
          </cell>
          <cell r="D8">
            <v>4</v>
          </cell>
          <cell r="E8" t="str">
            <v>Galletitas Dulces rellenas</v>
          </cell>
          <cell r="F8">
            <v>42403</v>
          </cell>
          <cell r="G8" t="str">
            <v>ESI</v>
          </cell>
          <cell r="H8" t="str">
            <v>Entradas por Stock Inicial</v>
          </cell>
          <cell r="I8" t="str">
            <v>E</v>
          </cell>
          <cell r="J8">
            <v>1</v>
          </cell>
          <cell r="K8" t="str">
            <v>Carlos Alberto Diaz</v>
          </cell>
          <cell r="L8" t="str">
            <v>FACTURA 1-14</v>
          </cell>
          <cell r="M8">
            <v>150</v>
          </cell>
          <cell r="N8" t="str">
            <v>Unidades</v>
          </cell>
          <cell r="O8">
            <v>15</v>
          </cell>
          <cell r="P8">
            <v>2250</v>
          </cell>
        </row>
        <row r="9">
          <cell r="B9" t="str">
            <v/>
          </cell>
          <cell r="C9" t="str">
            <v>E5</v>
          </cell>
          <cell r="D9">
            <v>5</v>
          </cell>
          <cell r="E9" t="str">
            <v>Alfajores 30</v>
          </cell>
          <cell r="F9">
            <v>42403</v>
          </cell>
          <cell r="G9" t="str">
            <v>ESI</v>
          </cell>
          <cell r="H9" t="str">
            <v>Entradas por Stock Inicial</v>
          </cell>
          <cell r="I9" t="str">
            <v>E</v>
          </cell>
          <cell r="J9">
            <v>1</v>
          </cell>
          <cell r="K9" t="str">
            <v>Carlos Alberto Diaz</v>
          </cell>
          <cell r="L9" t="str">
            <v>FACTURA 1-15</v>
          </cell>
          <cell r="M9">
            <v>100</v>
          </cell>
          <cell r="N9" t="str">
            <v>Unidades</v>
          </cell>
          <cell r="O9">
            <v>20</v>
          </cell>
          <cell r="P9">
            <v>2000</v>
          </cell>
        </row>
        <row r="10">
          <cell r="B10" t="str">
            <v/>
          </cell>
          <cell r="C10" t="str">
            <v>E6</v>
          </cell>
          <cell r="D10">
            <v>6</v>
          </cell>
          <cell r="E10" t="str">
            <v>Caramelos surtidos</v>
          </cell>
          <cell r="F10">
            <v>42403</v>
          </cell>
          <cell r="G10" t="str">
            <v>ESI</v>
          </cell>
          <cell r="H10" t="str">
            <v>Entradas por Stock Inicial</v>
          </cell>
          <cell r="I10" t="str">
            <v>E</v>
          </cell>
          <cell r="J10">
            <v>1</v>
          </cell>
          <cell r="K10" t="str">
            <v>Carlos Alberto Diaz</v>
          </cell>
          <cell r="L10" t="str">
            <v>FACTURA 1-16</v>
          </cell>
          <cell r="M10">
            <v>200</v>
          </cell>
          <cell r="N10" t="str">
            <v>Unidades</v>
          </cell>
          <cell r="O10">
            <v>12</v>
          </cell>
          <cell r="P10">
            <v>2400</v>
          </cell>
        </row>
        <row r="11">
          <cell r="B11" t="str">
            <v/>
          </cell>
          <cell r="C11" t="str">
            <v>E7</v>
          </cell>
          <cell r="D11">
            <v>7</v>
          </cell>
          <cell r="E11" t="str">
            <v xml:space="preserve">Pan </v>
          </cell>
          <cell r="F11">
            <v>42403</v>
          </cell>
          <cell r="G11" t="str">
            <v>ESI</v>
          </cell>
          <cell r="H11" t="str">
            <v>Entradas por Stock Inicial</v>
          </cell>
          <cell r="I11" t="str">
            <v>E</v>
          </cell>
          <cell r="J11">
            <v>1</v>
          </cell>
          <cell r="K11" t="str">
            <v>Carlos Alberto Diaz</v>
          </cell>
          <cell r="L11" t="str">
            <v>FACTURA 1-17</v>
          </cell>
          <cell r="M11">
            <v>10</v>
          </cell>
          <cell r="N11" t="str">
            <v>Kilos</v>
          </cell>
          <cell r="O11">
            <v>5</v>
          </cell>
          <cell r="P11">
            <v>50</v>
          </cell>
        </row>
        <row r="12">
          <cell r="B12" t="str">
            <v/>
          </cell>
          <cell r="C12" t="str">
            <v>E8</v>
          </cell>
          <cell r="D12">
            <v>8</v>
          </cell>
          <cell r="E12" t="str">
            <v>Helados</v>
          </cell>
          <cell r="F12">
            <v>42403</v>
          </cell>
          <cell r="G12" t="str">
            <v>ESI</v>
          </cell>
          <cell r="H12" t="str">
            <v>Entradas por Stock Inicial</v>
          </cell>
          <cell r="I12" t="str">
            <v>E</v>
          </cell>
          <cell r="J12">
            <v>1</v>
          </cell>
          <cell r="K12" t="str">
            <v>Carlos Alberto Diaz</v>
          </cell>
          <cell r="L12" t="str">
            <v>FACTURA 1-18</v>
          </cell>
          <cell r="M12">
            <v>300</v>
          </cell>
          <cell r="N12" t="str">
            <v>Unidades</v>
          </cell>
          <cell r="O12">
            <v>9</v>
          </cell>
          <cell r="P12">
            <v>2700</v>
          </cell>
        </row>
        <row r="13">
          <cell r="B13">
            <v>1</v>
          </cell>
          <cell r="C13" t="str">
            <v>E9</v>
          </cell>
          <cell r="D13">
            <v>9</v>
          </cell>
          <cell r="E13" t="str">
            <v>Dulce de Leche</v>
          </cell>
          <cell r="F13">
            <v>42403</v>
          </cell>
          <cell r="G13" t="str">
            <v>ESI</v>
          </cell>
          <cell r="H13" t="str">
            <v>Entradas por Stock Inicial</v>
          </cell>
          <cell r="I13" t="str">
            <v>E</v>
          </cell>
          <cell r="J13">
            <v>1</v>
          </cell>
          <cell r="K13" t="str">
            <v>Carlos Alberto Diaz</v>
          </cell>
          <cell r="L13" t="str">
            <v>FACTURA 1-19</v>
          </cell>
          <cell r="M13">
            <v>40</v>
          </cell>
          <cell r="N13" t="str">
            <v>Kilos</v>
          </cell>
          <cell r="O13">
            <v>6</v>
          </cell>
          <cell r="P13">
            <v>240</v>
          </cell>
        </row>
        <row r="14">
          <cell r="B14" t="str">
            <v/>
          </cell>
          <cell r="C14" t="str">
            <v>S10</v>
          </cell>
          <cell r="D14">
            <v>10</v>
          </cell>
          <cell r="E14" t="str">
            <v>Mermeladas</v>
          </cell>
          <cell r="F14">
            <v>42403</v>
          </cell>
          <cell r="G14" t="str">
            <v>SV</v>
          </cell>
          <cell r="H14" t="str">
            <v>Salidas por Ventas</v>
          </cell>
          <cell r="I14" t="str">
            <v>S</v>
          </cell>
          <cell r="J14">
            <v>1</v>
          </cell>
          <cell r="K14" t="str">
            <v>Carlos Alberto Diaz</v>
          </cell>
          <cell r="L14" t="str">
            <v>FACTURA 1-20</v>
          </cell>
          <cell r="M14">
            <v>15</v>
          </cell>
          <cell r="N14" t="str">
            <v>Unidades</v>
          </cell>
          <cell r="O14">
            <v>10</v>
          </cell>
          <cell r="P14">
            <v>150</v>
          </cell>
        </row>
        <row r="15">
          <cell r="B15" t="str">
            <v/>
          </cell>
          <cell r="C15" t="str">
            <v>S1</v>
          </cell>
          <cell r="D15">
            <v>1</v>
          </cell>
          <cell r="E15" t="str">
            <v>Yerba</v>
          </cell>
          <cell r="F15">
            <v>42405</v>
          </cell>
          <cell r="G15" t="str">
            <v>SV</v>
          </cell>
          <cell r="H15" t="str">
            <v>Salidas por Ventas</v>
          </cell>
          <cell r="I15" t="str">
            <v>S</v>
          </cell>
          <cell r="J15">
            <v>3</v>
          </cell>
          <cell r="K15" t="str">
            <v>Juan Cruz Gimenez</v>
          </cell>
          <cell r="L15" t="str">
            <v>FACTURA 3-20</v>
          </cell>
          <cell r="M15">
            <v>10</v>
          </cell>
          <cell r="N15" t="str">
            <v>Kilos</v>
          </cell>
          <cell r="O15">
            <v>30</v>
          </cell>
          <cell r="P15">
            <v>300</v>
          </cell>
        </row>
        <row r="16">
          <cell r="B16" t="str">
            <v/>
          </cell>
          <cell r="C16" t="str">
            <v>S2</v>
          </cell>
          <cell r="D16">
            <v>2</v>
          </cell>
          <cell r="E16" t="str">
            <v>Azucar</v>
          </cell>
          <cell r="F16">
            <v>42405</v>
          </cell>
          <cell r="G16" t="str">
            <v>SV</v>
          </cell>
          <cell r="H16" t="str">
            <v>Salidas por Ventas</v>
          </cell>
          <cell r="I16" t="str">
            <v>S</v>
          </cell>
          <cell r="J16">
            <v>3</v>
          </cell>
          <cell r="K16" t="str">
            <v>Juan Cruz Gimenez</v>
          </cell>
          <cell r="L16" t="str">
            <v>FACTURA 3-20</v>
          </cell>
          <cell r="M16">
            <v>30</v>
          </cell>
          <cell r="N16" t="str">
            <v>Kilos</v>
          </cell>
          <cell r="O16">
            <v>2</v>
          </cell>
          <cell r="P16">
            <v>60</v>
          </cell>
        </row>
        <row r="17">
          <cell r="B17" t="str">
            <v/>
          </cell>
          <cell r="C17" t="str">
            <v>S3</v>
          </cell>
          <cell r="D17">
            <v>3</v>
          </cell>
          <cell r="E17" t="str">
            <v>Galletitas Crackers</v>
          </cell>
          <cell r="F17">
            <v>42405</v>
          </cell>
          <cell r="G17" t="str">
            <v>SV</v>
          </cell>
          <cell r="H17" t="str">
            <v>Salidas por Ventas</v>
          </cell>
          <cell r="I17" t="str">
            <v>S</v>
          </cell>
          <cell r="J17">
            <v>3</v>
          </cell>
          <cell r="K17" t="str">
            <v>Juan Cruz Gimenez</v>
          </cell>
          <cell r="L17" t="str">
            <v>FACTURA 3-20</v>
          </cell>
          <cell r="M17">
            <v>50</v>
          </cell>
          <cell r="N17" t="str">
            <v>Unidades</v>
          </cell>
          <cell r="O17">
            <v>13</v>
          </cell>
          <cell r="P17">
            <v>650</v>
          </cell>
        </row>
        <row r="18">
          <cell r="B18" t="str">
            <v/>
          </cell>
          <cell r="C18" t="str">
            <v>S4</v>
          </cell>
          <cell r="D18">
            <v>4</v>
          </cell>
          <cell r="E18" t="str">
            <v>Galletitas Dulces rellenas</v>
          </cell>
          <cell r="F18">
            <v>42405</v>
          </cell>
          <cell r="G18" t="str">
            <v>SV</v>
          </cell>
          <cell r="H18" t="str">
            <v>Salidas por Ventas</v>
          </cell>
          <cell r="I18" t="str">
            <v>S</v>
          </cell>
          <cell r="J18">
            <v>3</v>
          </cell>
          <cell r="K18" t="str">
            <v>Juan Cruz Gimenez</v>
          </cell>
          <cell r="L18" t="str">
            <v>FACTURA 3-20</v>
          </cell>
          <cell r="M18">
            <v>20</v>
          </cell>
          <cell r="N18" t="str">
            <v>Unidades</v>
          </cell>
          <cell r="O18">
            <v>18</v>
          </cell>
          <cell r="P18">
            <v>360</v>
          </cell>
        </row>
        <row r="19">
          <cell r="B19" t="str">
            <v/>
          </cell>
          <cell r="C19" t="str">
            <v>S5</v>
          </cell>
          <cell r="D19">
            <v>5</v>
          </cell>
          <cell r="E19" t="str">
            <v>Alfajores 30</v>
          </cell>
          <cell r="F19">
            <v>42405</v>
          </cell>
          <cell r="G19" t="str">
            <v>SV</v>
          </cell>
          <cell r="H19" t="str">
            <v>Salidas por Ventas</v>
          </cell>
          <cell r="I19" t="str">
            <v>S</v>
          </cell>
          <cell r="J19">
            <v>3</v>
          </cell>
          <cell r="K19" t="str">
            <v>Juan Cruz Gimenez</v>
          </cell>
          <cell r="L19" t="str">
            <v>FACTURA 3-20</v>
          </cell>
          <cell r="M19">
            <v>50</v>
          </cell>
          <cell r="N19" t="str">
            <v>Unidades</v>
          </cell>
          <cell r="O19">
            <v>24</v>
          </cell>
          <cell r="P19">
            <v>1200</v>
          </cell>
        </row>
        <row r="20">
          <cell r="B20" t="str">
            <v/>
          </cell>
          <cell r="C20" t="str">
            <v>S6</v>
          </cell>
          <cell r="D20">
            <v>6</v>
          </cell>
          <cell r="E20" t="str">
            <v>Caramelos surtidos</v>
          </cell>
          <cell r="F20">
            <v>42405</v>
          </cell>
          <cell r="G20" t="str">
            <v>SV</v>
          </cell>
          <cell r="H20" t="str">
            <v>Salidas por Ventas</v>
          </cell>
          <cell r="I20" t="str">
            <v>S</v>
          </cell>
          <cell r="J20">
            <v>3</v>
          </cell>
          <cell r="K20" t="str">
            <v>Juan Cruz Gimenez</v>
          </cell>
          <cell r="L20" t="str">
            <v>FACTURA 3-20</v>
          </cell>
          <cell r="M20">
            <v>50</v>
          </cell>
          <cell r="N20" t="str">
            <v>Unidades</v>
          </cell>
          <cell r="O20">
            <v>15</v>
          </cell>
          <cell r="P20">
            <v>750</v>
          </cell>
        </row>
        <row r="21">
          <cell r="B21" t="str">
            <v/>
          </cell>
          <cell r="C21" t="str">
            <v>S7</v>
          </cell>
          <cell r="D21">
            <v>7</v>
          </cell>
          <cell r="E21" t="str">
            <v xml:space="preserve">Pan </v>
          </cell>
          <cell r="F21">
            <v>42405</v>
          </cell>
          <cell r="G21" t="str">
            <v>SV</v>
          </cell>
          <cell r="H21" t="str">
            <v>Salidas por Ventas</v>
          </cell>
          <cell r="I21" t="str">
            <v>S</v>
          </cell>
          <cell r="J21">
            <v>3</v>
          </cell>
          <cell r="K21" t="str">
            <v>Juan Cruz Gimenez</v>
          </cell>
          <cell r="L21" t="str">
            <v>FACTURA 3-20</v>
          </cell>
          <cell r="M21">
            <v>5</v>
          </cell>
          <cell r="N21" t="str">
            <v>Kilos</v>
          </cell>
          <cell r="O21">
            <v>7</v>
          </cell>
          <cell r="P21">
            <v>35</v>
          </cell>
        </row>
        <row r="22">
          <cell r="B22" t="str">
            <v/>
          </cell>
          <cell r="C22" t="str">
            <v>S8</v>
          </cell>
          <cell r="D22">
            <v>8</v>
          </cell>
          <cell r="E22" t="str">
            <v>Helados</v>
          </cell>
          <cell r="F22">
            <v>42405</v>
          </cell>
          <cell r="G22" t="str">
            <v>SV</v>
          </cell>
          <cell r="H22" t="str">
            <v>Salidas por Ventas</v>
          </cell>
          <cell r="I22" t="str">
            <v>S</v>
          </cell>
          <cell r="J22">
            <v>3</v>
          </cell>
          <cell r="K22" t="str">
            <v>Juan Cruz Gimenez</v>
          </cell>
          <cell r="L22" t="str">
            <v>FACTURA 3-20</v>
          </cell>
          <cell r="M22">
            <v>10</v>
          </cell>
          <cell r="N22" t="str">
            <v>Unidades</v>
          </cell>
          <cell r="O22">
            <v>13</v>
          </cell>
          <cell r="P22">
            <v>130</v>
          </cell>
        </row>
        <row r="23">
          <cell r="B23">
            <v>2</v>
          </cell>
          <cell r="C23" t="str">
            <v>S9</v>
          </cell>
          <cell r="D23">
            <v>9</v>
          </cell>
          <cell r="E23" t="str">
            <v>Dulce de Leche</v>
          </cell>
          <cell r="F23">
            <v>42405</v>
          </cell>
          <cell r="G23" t="str">
            <v>SV</v>
          </cell>
          <cell r="H23" t="str">
            <v>Salidas por Ventas</v>
          </cell>
          <cell r="I23" t="str">
            <v>S</v>
          </cell>
          <cell r="J23">
            <v>3</v>
          </cell>
          <cell r="K23" t="str">
            <v>Juan Cruz Gimenez</v>
          </cell>
          <cell r="L23" t="str">
            <v>FACTURA 3-20</v>
          </cell>
          <cell r="M23">
            <v>2</v>
          </cell>
          <cell r="N23" t="str">
            <v>Kilos</v>
          </cell>
          <cell r="O23">
            <v>10</v>
          </cell>
          <cell r="P23">
            <v>20</v>
          </cell>
        </row>
        <row r="24">
          <cell r="B24" t="str">
            <v/>
          </cell>
          <cell r="C24" t="str">
            <v>S10</v>
          </cell>
          <cell r="D24">
            <v>10</v>
          </cell>
          <cell r="E24" t="str">
            <v>Mermeladas</v>
          </cell>
          <cell r="F24">
            <v>42405</v>
          </cell>
          <cell r="G24" t="str">
            <v>SV</v>
          </cell>
          <cell r="H24" t="str">
            <v>Salidas por Ventas</v>
          </cell>
          <cell r="I24" t="str">
            <v>S</v>
          </cell>
          <cell r="J24">
            <v>3</v>
          </cell>
          <cell r="K24" t="str">
            <v>Juan Cruz Gimenez</v>
          </cell>
          <cell r="L24" t="str">
            <v>FACTURA 3-20</v>
          </cell>
          <cell r="M24">
            <v>70</v>
          </cell>
          <cell r="N24" t="str">
            <v>Unidades</v>
          </cell>
          <cell r="O24">
            <v>15</v>
          </cell>
          <cell r="P24">
            <v>1050</v>
          </cell>
        </row>
        <row r="25">
          <cell r="B25" t="str">
            <v/>
          </cell>
          <cell r="C25" t="str">
            <v>S10</v>
          </cell>
          <cell r="D25">
            <v>10</v>
          </cell>
          <cell r="E25" t="str">
            <v>Mermeladas</v>
          </cell>
          <cell r="F25">
            <v>42408</v>
          </cell>
          <cell r="G25" t="str">
            <v>SV</v>
          </cell>
          <cell r="H25" t="str">
            <v>Salidas por Ventas</v>
          </cell>
          <cell r="I25" t="str">
            <v>S</v>
          </cell>
          <cell r="J25">
            <v>4</v>
          </cell>
          <cell r="K25" t="str">
            <v>Pedro Perez</v>
          </cell>
          <cell r="L25" t="str">
            <v>FACTURA 3-21</v>
          </cell>
          <cell r="M25">
            <v>130</v>
          </cell>
          <cell r="N25" t="str">
            <v>Unidades</v>
          </cell>
          <cell r="O25">
            <v>15</v>
          </cell>
          <cell r="P25">
            <v>1950</v>
          </cell>
        </row>
        <row r="26">
          <cell r="B26" t="str">
            <v/>
          </cell>
          <cell r="C26" t="str">
            <v>E3</v>
          </cell>
          <cell r="D26">
            <v>3</v>
          </cell>
          <cell r="E26" t="str">
            <v>Galletitas Crackers</v>
          </cell>
          <cell r="F26">
            <v>42409</v>
          </cell>
          <cell r="G26" t="str">
            <v>EC</v>
          </cell>
          <cell r="H26" t="str">
            <v>Entradas por Compras</v>
          </cell>
          <cell r="I26" t="str">
            <v>E</v>
          </cell>
          <cell r="J26">
            <v>7</v>
          </cell>
          <cell r="K26" t="str">
            <v>Alejandra Ruiz</v>
          </cell>
          <cell r="L26" t="str">
            <v>RECIBO 1538</v>
          </cell>
          <cell r="M26">
            <v>1000</v>
          </cell>
          <cell r="N26" t="str">
            <v>Unidades</v>
          </cell>
          <cell r="O26">
            <v>50</v>
          </cell>
          <cell r="P26">
            <v>50000</v>
          </cell>
        </row>
        <row r="27">
          <cell r="B27" t="str">
            <v/>
          </cell>
          <cell r="C27" t="str">
            <v>S3</v>
          </cell>
          <cell r="D27">
            <v>3</v>
          </cell>
          <cell r="E27" t="str">
            <v>Galletitas Crackers</v>
          </cell>
          <cell r="F27">
            <v>42409</v>
          </cell>
          <cell r="G27" t="str">
            <v>SV</v>
          </cell>
          <cell r="H27" t="str">
            <v>Salidas por Ventas</v>
          </cell>
          <cell r="I27" t="str">
            <v>S</v>
          </cell>
          <cell r="J27">
            <v>6</v>
          </cell>
          <cell r="K27" t="str">
            <v>Analía Beltran</v>
          </cell>
          <cell r="L27" t="str">
            <v>FACTURA 3-22</v>
          </cell>
          <cell r="M27">
            <v>10</v>
          </cell>
          <cell r="N27" t="str">
            <v>Unidades</v>
          </cell>
          <cell r="O27">
            <v>60</v>
          </cell>
          <cell r="P27">
            <v>600</v>
          </cell>
        </row>
        <row r="28">
          <cell r="B28" t="str">
            <v/>
          </cell>
          <cell r="C28" t="str">
            <v>E11</v>
          </cell>
          <cell r="D28">
            <v>11</v>
          </cell>
          <cell r="E28" t="str">
            <v>Caramelos menta</v>
          </cell>
          <cell r="F28">
            <v>42410</v>
          </cell>
          <cell r="G28" t="str">
            <v>ESI</v>
          </cell>
          <cell r="H28" t="str">
            <v>Entradas por Stock Inicial</v>
          </cell>
          <cell r="I28" t="str">
            <v>E</v>
          </cell>
          <cell r="J28">
            <v>1</v>
          </cell>
          <cell r="K28" t="str">
            <v>Carlos Alberto Diaz</v>
          </cell>
          <cell r="L28" t="str">
            <v>FACTURA 0001-12345678</v>
          </cell>
          <cell r="M28">
            <v>100</v>
          </cell>
          <cell r="N28" t="str">
            <v>Kilos</v>
          </cell>
          <cell r="O28">
            <v>10</v>
          </cell>
          <cell r="P28">
            <v>1000</v>
          </cell>
        </row>
        <row r="29">
          <cell r="B29" t="str">
            <v/>
          </cell>
          <cell r="C29" t="str">
            <v>S11</v>
          </cell>
          <cell r="D29">
            <v>11</v>
          </cell>
          <cell r="E29" t="str">
            <v>Caramelos menta</v>
          </cell>
          <cell r="F29">
            <v>42410</v>
          </cell>
          <cell r="G29" t="str">
            <v>SV</v>
          </cell>
          <cell r="H29" t="str">
            <v>Salidas por Ventas</v>
          </cell>
          <cell r="I29" t="str">
            <v>S</v>
          </cell>
          <cell r="J29">
            <v>3</v>
          </cell>
          <cell r="K29" t="str">
            <v>Juan Cruz Gimenez</v>
          </cell>
          <cell r="L29" t="str">
            <v>Factura 3-23</v>
          </cell>
          <cell r="M29">
            <v>10</v>
          </cell>
          <cell r="N29" t="str">
            <v>Kilos</v>
          </cell>
          <cell r="O29">
            <v>12</v>
          </cell>
          <cell r="P29">
            <v>120</v>
          </cell>
        </row>
        <row r="30">
          <cell r="B30" t="str">
            <v/>
          </cell>
          <cell r="C30" t="str">
            <v/>
          </cell>
          <cell r="E30" t="str">
            <v/>
          </cell>
          <cell r="H30" t="str">
            <v/>
          </cell>
          <cell r="I30" t="str">
            <v/>
          </cell>
          <cell r="K30" t="str">
            <v/>
          </cell>
          <cell r="N30" t="str">
            <v/>
          </cell>
          <cell r="P30" t="str">
            <v/>
          </cell>
        </row>
        <row r="31">
          <cell r="B31" t="str">
            <v/>
          </cell>
          <cell r="C31" t="str">
            <v/>
          </cell>
          <cell r="E31" t="str">
            <v/>
          </cell>
          <cell r="H31" t="str">
            <v/>
          </cell>
          <cell r="I31" t="str">
            <v/>
          </cell>
          <cell r="K31" t="str">
            <v/>
          </cell>
          <cell r="N31" t="str">
            <v/>
          </cell>
          <cell r="P31" t="str">
            <v/>
          </cell>
        </row>
        <row r="32">
          <cell r="B32" t="str">
            <v/>
          </cell>
          <cell r="C32" t="str">
            <v/>
          </cell>
          <cell r="E32" t="str">
            <v/>
          </cell>
          <cell r="H32" t="str">
            <v/>
          </cell>
          <cell r="I32" t="str">
            <v/>
          </cell>
          <cell r="K32" t="str">
            <v/>
          </cell>
          <cell r="N32" t="str">
            <v/>
          </cell>
          <cell r="P32" t="str">
            <v/>
          </cell>
        </row>
        <row r="33">
          <cell r="B33" t="str">
            <v/>
          </cell>
          <cell r="C33" t="str">
            <v/>
          </cell>
          <cell r="E33" t="str">
            <v/>
          </cell>
          <cell r="H33" t="str">
            <v/>
          </cell>
          <cell r="I33" t="str">
            <v/>
          </cell>
          <cell r="K33" t="str">
            <v/>
          </cell>
          <cell r="N33" t="str">
            <v/>
          </cell>
          <cell r="P33" t="str">
            <v/>
          </cell>
        </row>
        <row r="34">
          <cell r="B34" t="str">
            <v/>
          </cell>
          <cell r="C34" t="str">
            <v/>
          </cell>
          <cell r="E34" t="str">
            <v/>
          </cell>
          <cell r="H34" t="str">
            <v/>
          </cell>
          <cell r="I34" t="str">
            <v/>
          </cell>
          <cell r="K34" t="str">
            <v/>
          </cell>
          <cell r="N34" t="str">
            <v/>
          </cell>
          <cell r="P34" t="str">
            <v/>
          </cell>
        </row>
        <row r="35">
          <cell r="B35" t="str">
            <v/>
          </cell>
          <cell r="C35" t="str">
            <v/>
          </cell>
          <cell r="E35" t="str">
            <v/>
          </cell>
          <cell r="H35" t="str">
            <v/>
          </cell>
          <cell r="I35" t="str">
            <v/>
          </cell>
          <cell r="K35" t="str">
            <v/>
          </cell>
          <cell r="N35" t="str">
            <v/>
          </cell>
          <cell r="P35" t="str">
            <v/>
          </cell>
        </row>
        <row r="36">
          <cell r="B36" t="str">
            <v/>
          </cell>
          <cell r="C36" t="str">
            <v/>
          </cell>
          <cell r="E36" t="str">
            <v/>
          </cell>
          <cell r="H36" t="str">
            <v/>
          </cell>
          <cell r="I36" t="str">
            <v/>
          </cell>
          <cell r="K36" t="str">
            <v/>
          </cell>
          <cell r="N36" t="str">
            <v/>
          </cell>
          <cell r="P36" t="str">
            <v/>
          </cell>
        </row>
        <row r="37">
          <cell r="B37" t="str">
            <v/>
          </cell>
          <cell r="C37" t="str">
            <v/>
          </cell>
          <cell r="E37" t="str">
            <v/>
          </cell>
          <cell r="H37" t="str">
            <v/>
          </cell>
          <cell r="I37" t="str">
            <v/>
          </cell>
          <cell r="K37" t="str">
            <v/>
          </cell>
          <cell r="N37" t="str">
            <v/>
          </cell>
          <cell r="P37" t="str">
            <v/>
          </cell>
        </row>
        <row r="38">
          <cell r="B38" t="str">
            <v/>
          </cell>
          <cell r="C38" t="str">
            <v/>
          </cell>
          <cell r="E38" t="str">
            <v/>
          </cell>
          <cell r="H38" t="str">
            <v/>
          </cell>
          <cell r="I38" t="str">
            <v/>
          </cell>
          <cell r="K38" t="str">
            <v/>
          </cell>
          <cell r="N38" t="str">
            <v/>
          </cell>
          <cell r="P38" t="str">
            <v/>
          </cell>
        </row>
        <row r="39">
          <cell r="B39" t="str">
            <v/>
          </cell>
          <cell r="C39" t="str">
            <v/>
          </cell>
          <cell r="E39" t="str">
            <v/>
          </cell>
          <cell r="H39" t="str">
            <v/>
          </cell>
          <cell r="I39" t="str">
            <v/>
          </cell>
          <cell r="K39" t="str">
            <v/>
          </cell>
          <cell r="N39" t="str">
            <v/>
          </cell>
          <cell r="P39" t="str">
            <v/>
          </cell>
        </row>
        <row r="40">
          <cell r="B40" t="str">
            <v/>
          </cell>
          <cell r="C40" t="str">
            <v/>
          </cell>
          <cell r="E40" t="str">
            <v/>
          </cell>
          <cell r="H40" t="str">
            <v/>
          </cell>
          <cell r="I40" t="str">
            <v/>
          </cell>
          <cell r="K40" t="str">
            <v/>
          </cell>
          <cell r="N40" t="str">
            <v/>
          </cell>
          <cell r="P40" t="str">
            <v/>
          </cell>
        </row>
        <row r="41">
          <cell r="B41" t="str">
            <v/>
          </cell>
          <cell r="C41" t="str">
            <v/>
          </cell>
          <cell r="E41" t="str">
            <v/>
          </cell>
          <cell r="H41" t="str">
            <v/>
          </cell>
          <cell r="I41" t="str">
            <v/>
          </cell>
          <cell r="K41" t="str">
            <v/>
          </cell>
          <cell r="N41" t="str">
            <v/>
          </cell>
          <cell r="P41" t="str">
            <v/>
          </cell>
        </row>
        <row r="42">
          <cell r="B42" t="str">
            <v/>
          </cell>
          <cell r="C42" t="str">
            <v/>
          </cell>
          <cell r="E42" t="str">
            <v/>
          </cell>
          <cell r="H42" t="str">
            <v/>
          </cell>
          <cell r="I42" t="str">
            <v/>
          </cell>
          <cell r="K42" t="str">
            <v/>
          </cell>
          <cell r="N42" t="str">
            <v/>
          </cell>
          <cell r="P42" t="str">
            <v/>
          </cell>
        </row>
        <row r="43">
          <cell r="B43" t="str">
            <v/>
          </cell>
          <cell r="C43" t="str">
            <v/>
          </cell>
          <cell r="E43" t="str">
            <v/>
          </cell>
          <cell r="H43" t="str">
            <v/>
          </cell>
          <cell r="I43" t="str">
            <v/>
          </cell>
          <cell r="K43" t="str">
            <v/>
          </cell>
          <cell r="N43" t="str">
            <v/>
          </cell>
          <cell r="P43" t="str">
            <v/>
          </cell>
        </row>
        <row r="44">
          <cell r="B44" t="str">
            <v/>
          </cell>
          <cell r="C44" t="str">
            <v/>
          </cell>
          <cell r="E44" t="str">
            <v/>
          </cell>
          <cell r="H44" t="str">
            <v/>
          </cell>
          <cell r="I44" t="str">
            <v/>
          </cell>
          <cell r="K44" t="str">
            <v/>
          </cell>
          <cell r="N44" t="str">
            <v/>
          </cell>
          <cell r="P44" t="str">
            <v/>
          </cell>
        </row>
        <row r="45">
          <cell r="B45" t="str">
            <v/>
          </cell>
          <cell r="C45" t="str">
            <v/>
          </cell>
          <cell r="E45" t="str">
            <v/>
          </cell>
          <cell r="H45" t="str">
            <v/>
          </cell>
          <cell r="I45" t="str">
            <v/>
          </cell>
          <cell r="K45" t="str">
            <v/>
          </cell>
          <cell r="N45" t="str">
            <v/>
          </cell>
          <cell r="P45" t="str">
            <v/>
          </cell>
        </row>
        <row r="46">
          <cell r="B46" t="str">
            <v/>
          </cell>
          <cell r="C46" t="str">
            <v/>
          </cell>
          <cell r="E46" t="str">
            <v/>
          </cell>
          <cell r="H46" t="str">
            <v/>
          </cell>
          <cell r="I46" t="str">
            <v/>
          </cell>
          <cell r="K46" t="str">
            <v/>
          </cell>
          <cell r="N46" t="str">
            <v/>
          </cell>
          <cell r="P46" t="str">
            <v/>
          </cell>
        </row>
        <row r="47">
          <cell r="B47" t="str">
            <v/>
          </cell>
          <cell r="C47" t="str">
            <v/>
          </cell>
          <cell r="E47" t="str">
            <v/>
          </cell>
          <cell r="H47" t="str">
            <v/>
          </cell>
          <cell r="I47" t="str">
            <v/>
          </cell>
          <cell r="K47" t="str">
            <v/>
          </cell>
          <cell r="N47" t="str">
            <v/>
          </cell>
          <cell r="P47" t="str">
            <v/>
          </cell>
        </row>
        <row r="48">
          <cell r="B48" t="str">
            <v/>
          </cell>
          <cell r="C48" t="str">
            <v/>
          </cell>
          <cell r="E48" t="str">
            <v/>
          </cell>
          <cell r="H48" t="str">
            <v/>
          </cell>
          <cell r="I48" t="str">
            <v/>
          </cell>
          <cell r="K48" t="str">
            <v/>
          </cell>
          <cell r="N48" t="str">
            <v/>
          </cell>
          <cell r="P48" t="str">
            <v/>
          </cell>
        </row>
        <row r="49">
          <cell r="B49" t="str">
            <v/>
          </cell>
          <cell r="C49" t="str">
            <v/>
          </cell>
          <cell r="E49" t="str">
            <v/>
          </cell>
          <cell r="H49" t="str">
            <v/>
          </cell>
          <cell r="I49" t="str">
            <v/>
          </cell>
          <cell r="K49" t="str">
            <v/>
          </cell>
          <cell r="N49" t="str">
            <v/>
          </cell>
          <cell r="P49" t="str">
            <v/>
          </cell>
        </row>
        <row r="50">
          <cell r="B50" t="str">
            <v/>
          </cell>
          <cell r="C50" t="str">
            <v/>
          </cell>
          <cell r="E50" t="str">
            <v/>
          </cell>
          <cell r="H50" t="str">
            <v/>
          </cell>
          <cell r="I50" t="str">
            <v/>
          </cell>
          <cell r="K50" t="str">
            <v/>
          </cell>
          <cell r="N50" t="str">
            <v/>
          </cell>
          <cell r="P50" t="str">
            <v/>
          </cell>
        </row>
        <row r="51">
          <cell r="B51" t="str">
            <v/>
          </cell>
          <cell r="C51" t="str">
            <v/>
          </cell>
          <cell r="E51" t="str">
            <v/>
          </cell>
          <cell r="H51" t="str">
            <v/>
          </cell>
          <cell r="I51" t="str">
            <v/>
          </cell>
          <cell r="K51" t="str">
            <v/>
          </cell>
          <cell r="N51" t="str">
            <v/>
          </cell>
          <cell r="P51" t="str">
            <v/>
          </cell>
        </row>
        <row r="52">
          <cell r="B52" t="str">
            <v/>
          </cell>
          <cell r="C52" t="str">
            <v/>
          </cell>
          <cell r="E52" t="str">
            <v/>
          </cell>
          <cell r="H52" t="str">
            <v/>
          </cell>
          <cell r="I52" t="str">
            <v/>
          </cell>
          <cell r="K52" t="str">
            <v/>
          </cell>
          <cell r="N52" t="str">
            <v/>
          </cell>
          <cell r="P52" t="str">
            <v/>
          </cell>
        </row>
        <row r="53">
          <cell r="B53" t="str">
            <v/>
          </cell>
          <cell r="C53" t="str">
            <v/>
          </cell>
          <cell r="E53" t="str">
            <v/>
          </cell>
          <cell r="H53" t="str">
            <v/>
          </cell>
          <cell r="I53" t="str">
            <v/>
          </cell>
          <cell r="K53" t="str">
            <v/>
          </cell>
          <cell r="N53" t="str">
            <v/>
          </cell>
          <cell r="P53" t="str">
            <v/>
          </cell>
        </row>
        <row r="54">
          <cell r="B54" t="str">
            <v/>
          </cell>
          <cell r="C54" t="str">
            <v/>
          </cell>
          <cell r="E54" t="str">
            <v/>
          </cell>
          <cell r="H54" t="str">
            <v/>
          </cell>
          <cell r="I54" t="str">
            <v/>
          </cell>
          <cell r="K54" t="str">
            <v/>
          </cell>
          <cell r="N54" t="str">
            <v/>
          </cell>
          <cell r="P54" t="str">
            <v/>
          </cell>
        </row>
        <row r="55">
          <cell r="B55" t="str">
            <v/>
          </cell>
          <cell r="C55" t="str">
            <v/>
          </cell>
          <cell r="E55" t="str">
            <v/>
          </cell>
          <cell r="H55" t="str">
            <v/>
          </cell>
          <cell r="I55" t="str">
            <v/>
          </cell>
          <cell r="K55" t="str">
            <v/>
          </cell>
          <cell r="N55" t="str">
            <v/>
          </cell>
          <cell r="P55" t="str">
            <v/>
          </cell>
        </row>
        <row r="56">
          <cell r="B56" t="str">
            <v/>
          </cell>
          <cell r="C56" t="str">
            <v/>
          </cell>
          <cell r="E56" t="str">
            <v/>
          </cell>
          <cell r="H56" t="str">
            <v/>
          </cell>
          <cell r="I56" t="str">
            <v/>
          </cell>
          <cell r="K56" t="str">
            <v/>
          </cell>
          <cell r="N56" t="str">
            <v/>
          </cell>
          <cell r="P56" t="str">
            <v/>
          </cell>
        </row>
        <row r="57">
          <cell r="B57" t="str">
            <v/>
          </cell>
          <cell r="C57" t="str">
            <v/>
          </cell>
          <cell r="E57" t="str">
            <v/>
          </cell>
          <cell r="H57" t="str">
            <v/>
          </cell>
          <cell r="I57" t="str">
            <v/>
          </cell>
          <cell r="K57" t="str">
            <v/>
          </cell>
          <cell r="N57" t="str">
            <v/>
          </cell>
          <cell r="P57" t="str">
            <v/>
          </cell>
        </row>
        <row r="58">
          <cell r="B58" t="str">
            <v/>
          </cell>
          <cell r="C58" t="str">
            <v/>
          </cell>
          <cell r="E58" t="str">
            <v/>
          </cell>
          <cell r="H58" t="str">
            <v/>
          </cell>
          <cell r="I58" t="str">
            <v/>
          </cell>
          <cell r="K58" t="str">
            <v/>
          </cell>
          <cell r="N58" t="str">
            <v/>
          </cell>
          <cell r="P58" t="str">
            <v/>
          </cell>
        </row>
        <row r="59">
          <cell r="B59" t="str">
            <v/>
          </cell>
          <cell r="C59" t="str">
            <v/>
          </cell>
          <cell r="E59" t="str">
            <v/>
          </cell>
          <cell r="H59" t="str">
            <v/>
          </cell>
          <cell r="I59" t="str">
            <v/>
          </cell>
          <cell r="K59" t="str">
            <v/>
          </cell>
          <cell r="N59" t="str">
            <v/>
          </cell>
          <cell r="P59" t="str">
            <v/>
          </cell>
        </row>
        <row r="60">
          <cell r="B60" t="str">
            <v/>
          </cell>
          <cell r="C60" t="str">
            <v/>
          </cell>
          <cell r="E60" t="str">
            <v/>
          </cell>
          <cell r="H60" t="str">
            <v/>
          </cell>
          <cell r="I60" t="str">
            <v/>
          </cell>
          <cell r="K60" t="str">
            <v/>
          </cell>
          <cell r="N60" t="str">
            <v/>
          </cell>
          <cell r="P60" t="str">
            <v/>
          </cell>
        </row>
        <row r="61">
          <cell r="B61" t="str">
            <v/>
          </cell>
          <cell r="C61" t="str">
            <v/>
          </cell>
          <cell r="E61" t="str">
            <v/>
          </cell>
          <cell r="H61" t="str">
            <v/>
          </cell>
          <cell r="I61" t="str">
            <v/>
          </cell>
          <cell r="K61" t="str">
            <v/>
          </cell>
          <cell r="N61" t="str">
            <v/>
          </cell>
          <cell r="P61" t="str">
            <v/>
          </cell>
        </row>
        <row r="62">
          <cell r="B62" t="str">
            <v/>
          </cell>
          <cell r="C62" t="str">
            <v/>
          </cell>
          <cell r="E62" t="str">
            <v/>
          </cell>
          <cell r="H62" t="str">
            <v/>
          </cell>
          <cell r="I62" t="str">
            <v/>
          </cell>
          <cell r="K62" t="str">
            <v/>
          </cell>
          <cell r="N62" t="str">
            <v/>
          </cell>
          <cell r="P62" t="str">
            <v/>
          </cell>
        </row>
        <row r="63">
          <cell r="B63" t="str">
            <v/>
          </cell>
          <cell r="C63" t="str">
            <v/>
          </cell>
          <cell r="E63" t="str">
            <v/>
          </cell>
          <cell r="H63" t="str">
            <v/>
          </cell>
          <cell r="I63" t="str">
            <v/>
          </cell>
          <cell r="K63" t="str">
            <v/>
          </cell>
          <cell r="N63" t="str">
            <v/>
          </cell>
          <cell r="P63" t="str">
            <v/>
          </cell>
        </row>
        <row r="64">
          <cell r="B64" t="str">
            <v/>
          </cell>
          <cell r="C64" t="str">
            <v/>
          </cell>
          <cell r="E64" t="str">
            <v/>
          </cell>
          <cell r="H64" t="str">
            <v/>
          </cell>
          <cell r="I64" t="str">
            <v/>
          </cell>
          <cell r="K64" t="str">
            <v/>
          </cell>
          <cell r="N64" t="str">
            <v/>
          </cell>
          <cell r="P64" t="str">
            <v/>
          </cell>
        </row>
        <row r="65">
          <cell r="B65" t="str">
            <v/>
          </cell>
          <cell r="C65" t="str">
            <v/>
          </cell>
          <cell r="E65" t="str">
            <v/>
          </cell>
          <cell r="H65" t="str">
            <v/>
          </cell>
          <cell r="I65" t="str">
            <v/>
          </cell>
          <cell r="K65" t="str">
            <v/>
          </cell>
          <cell r="N65" t="str">
            <v/>
          </cell>
          <cell r="P65" t="str">
            <v/>
          </cell>
        </row>
        <row r="66">
          <cell r="B66" t="str">
            <v/>
          </cell>
          <cell r="C66" t="str">
            <v/>
          </cell>
          <cell r="E66" t="str">
            <v/>
          </cell>
          <cell r="H66" t="str">
            <v/>
          </cell>
          <cell r="I66" t="str">
            <v/>
          </cell>
          <cell r="K66" t="str">
            <v/>
          </cell>
          <cell r="N66" t="str">
            <v/>
          </cell>
          <cell r="P66" t="str">
            <v/>
          </cell>
        </row>
        <row r="67">
          <cell r="B67" t="str">
            <v/>
          </cell>
          <cell r="C67" t="str">
            <v/>
          </cell>
          <cell r="E67" t="str">
            <v/>
          </cell>
          <cell r="H67" t="str">
            <v/>
          </cell>
          <cell r="I67" t="str">
            <v/>
          </cell>
          <cell r="K67" t="str">
            <v/>
          </cell>
          <cell r="N67" t="str">
            <v/>
          </cell>
          <cell r="P67" t="str">
            <v/>
          </cell>
        </row>
        <row r="68">
          <cell r="B68" t="str">
            <v/>
          </cell>
          <cell r="C68" t="str">
            <v/>
          </cell>
          <cell r="E68" t="str">
            <v/>
          </cell>
          <cell r="H68" t="str">
            <v/>
          </cell>
          <cell r="I68" t="str">
            <v/>
          </cell>
          <cell r="K68" t="str">
            <v/>
          </cell>
          <cell r="N68" t="str">
            <v/>
          </cell>
          <cell r="P68" t="str">
            <v/>
          </cell>
        </row>
        <row r="69">
          <cell r="B69" t="str">
            <v/>
          </cell>
          <cell r="C69" t="str">
            <v/>
          </cell>
          <cell r="E69" t="str">
            <v/>
          </cell>
          <cell r="H69" t="str">
            <v/>
          </cell>
          <cell r="I69" t="str">
            <v/>
          </cell>
          <cell r="K69" t="str">
            <v/>
          </cell>
          <cell r="N69" t="str">
            <v/>
          </cell>
          <cell r="P69" t="str">
            <v/>
          </cell>
        </row>
        <row r="70">
          <cell r="B70" t="str">
            <v/>
          </cell>
          <cell r="C70" t="str">
            <v/>
          </cell>
          <cell r="E70" t="str">
            <v/>
          </cell>
          <cell r="H70" t="str">
            <v/>
          </cell>
          <cell r="I70" t="str">
            <v/>
          </cell>
          <cell r="K70" t="str">
            <v/>
          </cell>
          <cell r="N70" t="str">
            <v/>
          </cell>
          <cell r="P70" t="str">
            <v/>
          </cell>
        </row>
        <row r="71">
          <cell r="B71" t="str">
            <v/>
          </cell>
          <cell r="C71" t="str">
            <v/>
          </cell>
          <cell r="E71" t="str">
            <v/>
          </cell>
          <cell r="H71" t="str">
            <v/>
          </cell>
          <cell r="I71" t="str">
            <v/>
          </cell>
          <cell r="K71" t="str">
            <v/>
          </cell>
          <cell r="N71" t="str">
            <v/>
          </cell>
          <cell r="P71" t="str">
            <v/>
          </cell>
        </row>
        <row r="72">
          <cell r="B72" t="str">
            <v/>
          </cell>
          <cell r="C72" t="str">
            <v/>
          </cell>
          <cell r="E72" t="str">
            <v/>
          </cell>
          <cell r="H72" t="str">
            <v/>
          </cell>
          <cell r="I72" t="str">
            <v/>
          </cell>
          <cell r="K72" t="str">
            <v/>
          </cell>
          <cell r="N72" t="str">
            <v/>
          </cell>
          <cell r="P72" t="str">
            <v/>
          </cell>
        </row>
        <row r="73">
          <cell r="B73" t="str">
            <v/>
          </cell>
          <cell r="C73" t="str">
            <v/>
          </cell>
          <cell r="E73" t="str">
            <v/>
          </cell>
          <cell r="H73" t="str">
            <v/>
          </cell>
          <cell r="I73" t="str">
            <v/>
          </cell>
          <cell r="K73" t="str">
            <v/>
          </cell>
          <cell r="N73" t="str">
            <v/>
          </cell>
          <cell r="P73" t="str">
            <v/>
          </cell>
        </row>
        <row r="74">
          <cell r="B74" t="str">
            <v/>
          </cell>
          <cell r="C74" t="str">
            <v/>
          </cell>
          <cell r="E74" t="str">
            <v/>
          </cell>
          <cell r="H74" t="str">
            <v/>
          </cell>
          <cell r="I74" t="str">
            <v/>
          </cell>
          <cell r="K74" t="str">
            <v/>
          </cell>
          <cell r="N74" t="str">
            <v/>
          </cell>
          <cell r="P74" t="str">
            <v/>
          </cell>
        </row>
        <row r="75">
          <cell r="B75" t="str">
            <v/>
          </cell>
          <cell r="C75" t="str">
            <v/>
          </cell>
          <cell r="E75" t="str">
            <v/>
          </cell>
          <cell r="H75" t="str">
            <v/>
          </cell>
          <cell r="I75" t="str">
            <v/>
          </cell>
          <cell r="K75" t="str">
            <v/>
          </cell>
          <cell r="N75" t="str">
            <v/>
          </cell>
          <cell r="P75" t="str">
            <v/>
          </cell>
        </row>
        <row r="76">
          <cell r="B76" t="str">
            <v/>
          </cell>
          <cell r="C76" t="str">
            <v/>
          </cell>
          <cell r="E76" t="str">
            <v/>
          </cell>
          <cell r="H76" t="str">
            <v/>
          </cell>
          <cell r="I76" t="str">
            <v/>
          </cell>
          <cell r="K76" t="str">
            <v/>
          </cell>
          <cell r="N76" t="str">
            <v/>
          </cell>
          <cell r="P76" t="str">
            <v/>
          </cell>
        </row>
        <row r="77">
          <cell r="B77" t="str">
            <v/>
          </cell>
          <cell r="C77" t="str">
            <v/>
          </cell>
          <cell r="E77" t="str">
            <v/>
          </cell>
          <cell r="H77" t="str">
            <v/>
          </cell>
          <cell r="I77" t="str">
            <v/>
          </cell>
          <cell r="K77" t="str">
            <v/>
          </cell>
          <cell r="N77" t="str">
            <v/>
          </cell>
          <cell r="P77" t="str">
            <v/>
          </cell>
        </row>
        <row r="78">
          <cell r="B78" t="str">
            <v/>
          </cell>
          <cell r="C78" t="str">
            <v/>
          </cell>
          <cell r="E78" t="str">
            <v/>
          </cell>
          <cell r="H78" t="str">
            <v/>
          </cell>
          <cell r="I78" t="str">
            <v/>
          </cell>
          <cell r="K78" t="str">
            <v/>
          </cell>
          <cell r="N78" t="str">
            <v/>
          </cell>
          <cell r="P78" t="str">
            <v/>
          </cell>
        </row>
        <row r="79">
          <cell r="B79" t="str">
            <v/>
          </cell>
          <cell r="C79" t="str">
            <v/>
          </cell>
          <cell r="E79" t="str">
            <v/>
          </cell>
          <cell r="H79" t="str">
            <v/>
          </cell>
          <cell r="I79" t="str">
            <v/>
          </cell>
          <cell r="K79" t="str">
            <v/>
          </cell>
          <cell r="N79" t="str">
            <v/>
          </cell>
          <cell r="P79" t="str">
            <v/>
          </cell>
        </row>
        <row r="80">
          <cell r="B80" t="str">
            <v/>
          </cell>
          <cell r="C80" t="str">
            <v/>
          </cell>
          <cell r="E80" t="str">
            <v/>
          </cell>
          <cell r="H80" t="str">
            <v/>
          </cell>
          <cell r="I80" t="str">
            <v/>
          </cell>
          <cell r="K80" t="str">
            <v/>
          </cell>
          <cell r="N80" t="str">
            <v/>
          </cell>
          <cell r="P80" t="str">
            <v/>
          </cell>
        </row>
        <row r="81">
          <cell r="B81" t="str">
            <v/>
          </cell>
          <cell r="C81" t="str">
            <v/>
          </cell>
          <cell r="E81" t="str">
            <v/>
          </cell>
          <cell r="H81" t="str">
            <v/>
          </cell>
          <cell r="I81" t="str">
            <v/>
          </cell>
          <cell r="K81" t="str">
            <v/>
          </cell>
          <cell r="N81" t="str">
            <v/>
          </cell>
          <cell r="P81" t="str">
            <v/>
          </cell>
        </row>
        <row r="82">
          <cell r="B82" t="str">
            <v/>
          </cell>
          <cell r="C82" t="str">
            <v/>
          </cell>
          <cell r="E82" t="str">
            <v/>
          </cell>
          <cell r="H82" t="str">
            <v/>
          </cell>
          <cell r="I82" t="str">
            <v/>
          </cell>
          <cell r="K82" t="str">
            <v/>
          </cell>
          <cell r="N82" t="str">
            <v/>
          </cell>
          <cell r="P82" t="str">
            <v/>
          </cell>
        </row>
        <row r="83">
          <cell r="B83" t="str">
            <v/>
          </cell>
          <cell r="C83" t="str">
            <v/>
          </cell>
          <cell r="E83" t="str">
            <v/>
          </cell>
          <cell r="H83" t="str">
            <v/>
          </cell>
          <cell r="I83" t="str">
            <v/>
          </cell>
          <cell r="K83" t="str">
            <v/>
          </cell>
          <cell r="N83" t="str">
            <v/>
          </cell>
          <cell r="P83" t="str">
            <v/>
          </cell>
        </row>
        <row r="84">
          <cell r="B84" t="str">
            <v/>
          </cell>
          <cell r="C84" t="str">
            <v/>
          </cell>
          <cell r="E84" t="str">
            <v/>
          </cell>
          <cell r="H84" t="str">
            <v/>
          </cell>
          <cell r="I84" t="str">
            <v/>
          </cell>
          <cell r="K84" t="str">
            <v/>
          </cell>
          <cell r="N84" t="str">
            <v/>
          </cell>
          <cell r="P84" t="str">
            <v/>
          </cell>
        </row>
        <row r="85">
          <cell r="B85" t="str">
            <v/>
          </cell>
          <cell r="C85" t="str">
            <v/>
          </cell>
          <cell r="E85" t="str">
            <v/>
          </cell>
          <cell r="H85" t="str">
            <v/>
          </cell>
          <cell r="I85" t="str">
            <v/>
          </cell>
          <cell r="K85" t="str">
            <v/>
          </cell>
          <cell r="N85" t="str">
            <v/>
          </cell>
          <cell r="P85" t="str">
            <v/>
          </cell>
        </row>
        <row r="86">
          <cell r="B86" t="str">
            <v/>
          </cell>
          <cell r="C86" t="str">
            <v/>
          </cell>
          <cell r="E86" t="str">
            <v/>
          </cell>
          <cell r="H86" t="str">
            <v/>
          </cell>
          <cell r="I86" t="str">
            <v/>
          </cell>
          <cell r="K86" t="str">
            <v/>
          </cell>
          <cell r="N86" t="str">
            <v/>
          </cell>
          <cell r="P86" t="str">
            <v/>
          </cell>
        </row>
        <row r="87">
          <cell r="B87" t="str">
            <v/>
          </cell>
          <cell r="C87" t="str">
            <v/>
          </cell>
          <cell r="E87" t="str">
            <v/>
          </cell>
          <cell r="H87" t="str">
            <v/>
          </cell>
          <cell r="I87" t="str">
            <v/>
          </cell>
          <cell r="K87" t="str">
            <v/>
          </cell>
          <cell r="N87" t="str">
            <v/>
          </cell>
          <cell r="P87" t="str">
            <v/>
          </cell>
        </row>
        <row r="88">
          <cell r="B88" t="str">
            <v/>
          </cell>
          <cell r="C88" t="str">
            <v/>
          </cell>
          <cell r="E88" t="str">
            <v/>
          </cell>
          <cell r="H88" t="str">
            <v/>
          </cell>
          <cell r="I88" t="str">
            <v/>
          </cell>
          <cell r="K88" t="str">
            <v/>
          </cell>
          <cell r="N88" t="str">
            <v/>
          </cell>
          <cell r="P88" t="str">
            <v/>
          </cell>
        </row>
        <row r="89">
          <cell r="B89" t="str">
            <v/>
          </cell>
          <cell r="C89" t="str">
            <v/>
          </cell>
          <cell r="E89" t="str">
            <v/>
          </cell>
          <cell r="H89" t="str">
            <v/>
          </cell>
          <cell r="I89" t="str">
            <v/>
          </cell>
          <cell r="K89" t="str">
            <v/>
          </cell>
          <cell r="N89" t="str">
            <v/>
          </cell>
          <cell r="P89" t="str">
            <v/>
          </cell>
        </row>
        <row r="90">
          <cell r="B90" t="str">
            <v/>
          </cell>
          <cell r="C90" t="str">
            <v/>
          </cell>
          <cell r="E90" t="str">
            <v/>
          </cell>
          <cell r="H90" t="str">
            <v/>
          </cell>
          <cell r="I90" t="str">
            <v/>
          </cell>
          <cell r="K90" t="str">
            <v/>
          </cell>
          <cell r="N90" t="str">
            <v/>
          </cell>
          <cell r="P90" t="str">
            <v/>
          </cell>
        </row>
        <row r="91">
          <cell r="B91" t="str">
            <v/>
          </cell>
          <cell r="C91" t="str">
            <v/>
          </cell>
          <cell r="E91" t="str">
            <v/>
          </cell>
          <cell r="H91" t="str">
            <v/>
          </cell>
          <cell r="I91" t="str">
            <v/>
          </cell>
          <cell r="K91" t="str">
            <v/>
          </cell>
          <cell r="N91" t="str">
            <v/>
          </cell>
          <cell r="P91" t="str">
            <v/>
          </cell>
        </row>
        <row r="92">
          <cell r="B92" t="str">
            <v/>
          </cell>
          <cell r="C92" t="str">
            <v/>
          </cell>
          <cell r="E92" t="str">
            <v/>
          </cell>
          <cell r="H92" t="str">
            <v/>
          </cell>
          <cell r="I92" t="str">
            <v/>
          </cell>
          <cell r="K92" t="str">
            <v/>
          </cell>
          <cell r="N92" t="str">
            <v/>
          </cell>
          <cell r="P92" t="str">
            <v/>
          </cell>
        </row>
        <row r="93">
          <cell r="B93" t="str">
            <v/>
          </cell>
          <cell r="C93" t="str">
            <v/>
          </cell>
          <cell r="E93" t="str">
            <v/>
          </cell>
          <cell r="H93" t="str">
            <v/>
          </cell>
          <cell r="I93" t="str">
            <v/>
          </cell>
          <cell r="K93" t="str">
            <v/>
          </cell>
          <cell r="N93" t="str">
            <v/>
          </cell>
          <cell r="P93" t="str">
            <v/>
          </cell>
        </row>
        <row r="94">
          <cell r="B94" t="str">
            <v/>
          </cell>
          <cell r="C94" t="str">
            <v/>
          </cell>
          <cell r="E94" t="str">
            <v/>
          </cell>
          <cell r="H94" t="str">
            <v/>
          </cell>
          <cell r="I94" t="str">
            <v/>
          </cell>
          <cell r="K94" t="str">
            <v/>
          </cell>
          <cell r="N94" t="str">
            <v/>
          </cell>
          <cell r="P94" t="str">
            <v/>
          </cell>
        </row>
        <row r="95">
          <cell r="B95" t="str">
            <v/>
          </cell>
          <cell r="C95" t="str">
            <v/>
          </cell>
          <cell r="E95" t="str">
            <v/>
          </cell>
          <cell r="H95" t="str">
            <v/>
          </cell>
          <cell r="I95" t="str">
            <v/>
          </cell>
          <cell r="K95" t="str">
            <v/>
          </cell>
          <cell r="N95" t="str">
            <v/>
          </cell>
          <cell r="P95" t="str">
            <v/>
          </cell>
        </row>
        <row r="96">
          <cell r="B96" t="str">
            <v/>
          </cell>
          <cell r="C96" t="str">
            <v/>
          </cell>
          <cell r="E96" t="str">
            <v/>
          </cell>
          <cell r="H96" t="str">
            <v/>
          </cell>
          <cell r="I96" t="str">
            <v/>
          </cell>
          <cell r="K96" t="str">
            <v/>
          </cell>
          <cell r="N96" t="str">
            <v/>
          </cell>
          <cell r="P96" t="str">
            <v/>
          </cell>
        </row>
        <row r="97">
          <cell r="B97" t="str">
            <v/>
          </cell>
          <cell r="C97" t="str">
            <v/>
          </cell>
          <cell r="E97" t="str">
            <v/>
          </cell>
          <cell r="H97" t="str">
            <v/>
          </cell>
          <cell r="I97" t="str">
            <v/>
          </cell>
          <cell r="K97" t="str">
            <v/>
          </cell>
          <cell r="N97" t="str">
            <v/>
          </cell>
          <cell r="P97" t="str">
            <v/>
          </cell>
        </row>
        <row r="98">
          <cell r="B98" t="str">
            <v/>
          </cell>
          <cell r="C98" t="str">
            <v/>
          </cell>
          <cell r="E98" t="str">
            <v/>
          </cell>
          <cell r="H98" t="str">
            <v/>
          </cell>
          <cell r="I98" t="str">
            <v/>
          </cell>
          <cell r="K98" t="str">
            <v/>
          </cell>
          <cell r="N98" t="str">
            <v/>
          </cell>
          <cell r="P98" t="str">
            <v/>
          </cell>
        </row>
        <row r="99">
          <cell r="B99" t="str">
            <v/>
          </cell>
          <cell r="C99" t="str">
            <v/>
          </cell>
          <cell r="E99" t="str">
            <v/>
          </cell>
          <cell r="H99" t="str">
            <v/>
          </cell>
          <cell r="I99" t="str">
            <v/>
          </cell>
          <cell r="K99" t="str">
            <v/>
          </cell>
          <cell r="N99" t="str">
            <v/>
          </cell>
          <cell r="P99" t="str">
            <v/>
          </cell>
        </row>
        <row r="100">
          <cell r="B100" t="str">
            <v/>
          </cell>
          <cell r="C100" t="str">
            <v/>
          </cell>
          <cell r="E100" t="str">
            <v/>
          </cell>
          <cell r="H100" t="str">
            <v/>
          </cell>
          <cell r="I100" t="str">
            <v/>
          </cell>
          <cell r="K100" t="str">
            <v/>
          </cell>
          <cell r="N100" t="str">
            <v/>
          </cell>
          <cell r="P100" t="str">
            <v/>
          </cell>
        </row>
        <row r="101">
          <cell r="B101" t="str">
            <v/>
          </cell>
          <cell r="C101" t="str">
            <v/>
          </cell>
          <cell r="E101" t="str">
            <v/>
          </cell>
          <cell r="H101" t="str">
            <v/>
          </cell>
          <cell r="I101" t="str">
            <v/>
          </cell>
          <cell r="K101" t="str">
            <v/>
          </cell>
          <cell r="N101" t="str">
            <v/>
          </cell>
          <cell r="P101" t="str">
            <v/>
          </cell>
        </row>
        <row r="102">
          <cell r="B102" t="str">
            <v/>
          </cell>
          <cell r="C102" t="str">
            <v/>
          </cell>
          <cell r="E102" t="str">
            <v/>
          </cell>
          <cell r="H102" t="str">
            <v/>
          </cell>
          <cell r="I102" t="str">
            <v/>
          </cell>
          <cell r="K102" t="str">
            <v/>
          </cell>
          <cell r="N102" t="str">
            <v/>
          </cell>
          <cell r="P102" t="str">
            <v/>
          </cell>
        </row>
        <row r="103">
          <cell r="B103" t="str">
            <v/>
          </cell>
          <cell r="C103" t="str">
            <v/>
          </cell>
          <cell r="E103" t="str">
            <v/>
          </cell>
          <cell r="H103" t="str">
            <v/>
          </cell>
          <cell r="I103" t="str">
            <v/>
          </cell>
          <cell r="K103" t="str">
            <v/>
          </cell>
          <cell r="N103" t="str">
            <v/>
          </cell>
          <cell r="P103" t="str">
            <v/>
          </cell>
        </row>
        <row r="104">
          <cell r="B104" t="str">
            <v/>
          </cell>
          <cell r="C104" t="str">
            <v/>
          </cell>
          <cell r="E104" t="str">
            <v/>
          </cell>
          <cell r="H104" t="str">
            <v/>
          </cell>
          <cell r="I104" t="str">
            <v/>
          </cell>
          <cell r="K104" t="str">
            <v/>
          </cell>
          <cell r="N104" t="str">
            <v/>
          </cell>
          <cell r="P104" t="str">
            <v/>
          </cell>
        </row>
        <row r="105">
          <cell r="B105" t="str">
            <v/>
          </cell>
          <cell r="C105" t="str">
            <v/>
          </cell>
          <cell r="E105" t="str">
            <v/>
          </cell>
          <cell r="H105" t="str">
            <v/>
          </cell>
          <cell r="I105" t="str">
            <v/>
          </cell>
          <cell r="K105" t="str">
            <v/>
          </cell>
          <cell r="N105" t="str">
            <v/>
          </cell>
          <cell r="P105" t="str">
            <v/>
          </cell>
        </row>
        <row r="106">
          <cell r="B106" t="str">
            <v/>
          </cell>
          <cell r="C106" t="str">
            <v/>
          </cell>
          <cell r="E106" t="str">
            <v/>
          </cell>
          <cell r="H106" t="str">
            <v/>
          </cell>
          <cell r="I106" t="str">
            <v/>
          </cell>
          <cell r="K106" t="str">
            <v/>
          </cell>
          <cell r="N106" t="str">
            <v/>
          </cell>
          <cell r="P106" t="str">
            <v/>
          </cell>
        </row>
        <row r="107">
          <cell r="B107" t="str">
            <v/>
          </cell>
          <cell r="C107" t="str">
            <v/>
          </cell>
          <cell r="E107" t="str">
            <v/>
          </cell>
          <cell r="H107" t="str">
            <v/>
          </cell>
          <cell r="I107" t="str">
            <v/>
          </cell>
          <cell r="K107" t="str">
            <v/>
          </cell>
          <cell r="N107" t="str">
            <v/>
          </cell>
          <cell r="P107" t="str">
            <v/>
          </cell>
        </row>
        <row r="108">
          <cell r="B108" t="str">
            <v/>
          </cell>
          <cell r="C108" t="str">
            <v/>
          </cell>
          <cell r="E108" t="str">
            <v/>
          </cell>
          <cell r="H108" t="str">
            <v/>
          </cell>
          <cell r="I108" t="str">
            <v/>
          </cell>
          <cell r="K108" t="str">
            <v/>
          </cell>
          <cell r="N108" t="str">
            <v/>
          </cell>
          <cell r="P108" t="str">
            <v/>
          </cell>
        </row>
        <row r="109">
          <cell r="B109" t="str">
            <v/>
          </cell>
          <cell r="C109" t="str">
            <v/>
          </cell>
          <cell r="E109" t="str">
            <v/>
          </cell>
          <cell r="H109" t="str">
            <v/>
          </cell>
          <cell r="I109" t="str">
            <v/>
          </cell>
          <cell r="K109" t="str">
            <v/>
          </cell>
          <cell r="N109" t="str">
            <v/>
          </cell>
          <cell r="P109" t="str">
            <v/>
          </cell>
        </row>
        <row r="110">
          <cell r="B110" t="str">
            <v/>
          </cell>
          <cell r="C110" t="str">
            <v/>
          </cell>
          <cell r="E110" t="str">
            <v/>
          </cell>
          <cell r="H110" t="str">
            <v/>
          </cell>
          <cell r="I110" t="str">
            <v/>
          </cell>
          <cell r="K110" t="str">
            <v/>
          </cell>
          <cell r="N110" t="str">
            <v/>
          </cell>
          <cell r="P110" t="str">
            <v/>
          </cell>
        </row>
        <row r="111">
          <cell r="B111" t="str">
            <v/>
          </cell>
          <cell r="C111" t="str">
            <v/>
          </cell>
          <cell r="E111" t="str">
            <v/>
          </cell>
          <cell r="H111" t="str">
            <v/>
          </cell>
          <cell r="I111" t="str">
            <v/>
          </cell>
          <cell r="K111" t="str">
            <v/>
          </cell>
          <cell r="N111" t="str">
            <v/>
          </cell>
          <cell r="P111" t="str">
            <v/>
          </cell>
        </row>
        <row r="112">
          <cell r="B112" t="str">
            <v/>
          </cell>
          <cell r="C112" t="str">
            <v/>
          </cell>
          <cell r="E112" t="str">
            <v/>
          </cell>
          <cell r="H112" t="str">
            <v/>
          </cell>
          <cell r="I112" t="str">
            <v/>
          </cell>
          <cell r="K112" t="str">
            <v/>
          </cell>
          <cell r="N112" t="str">
            <v/>
          </cell>
          <cell r="P112" t="str">
            <v/>
          </cell>
        </row>
        <row r="113">
          <cell r="B113" t="str">
            <v/>
          </cell>
          <cell r="C113" t="str">
            <v/>
          </cell>
          <cell r="E113" t="str">
            <v/>
          </cell>
          <cell r="H113" t="str">
            <v/>
          </cell>
          <cell r="I113" t="str">
            <v/>
          </cell>
          <cell r="K113" t="str">
            <v/>
          </cell>
          <cell r="N113" t="str">
            <v/>
          </cell>
          <cell r="P113" t="str">
            <v/>
          </cell>
        </row>
        <row r="114">
          <cell r="B114" t="str">
            <v/>
          </cell>
          <cell r="C114" t="str">
            <v/>
          </cell>
          <cell r="E114" t="str">
            <v/>
          </cell>
          <cell r="H114" t="str">
            <v/>
          </cell>
          <cell r="I114" t="str">
            <v/>
          </cell>
          <cell r="K114" t="str">
            <v/>
          </cell>
          <cell r="N114" t="str">
            <v/>
          </cell>
          <cell r="P114" t="str">
            <v/>
          </cell>
        </row>
        <row r="115">
          <cell r="B115" t="str">
            <v/>
          </cell>
          <cell r="C115" t="str">
            <v/>
          </cell>
          <cell r="E115" t="str">
            <v/>
          </cell>
          <cell r="H115" t="str">
            <v/>
          </cell>
          <cell r="I115" t="str">
            <v/>
          </cell>
          <cell r="K115" t="str">
            <v/>
          </cell>
          <cell r="N115" t="str">
            <v/>
          </cell>
          <cell r="P115" t="str">
            <v/>
          </cell>
        </row>
        <row r="116">
          <cell r="B116" t="str">
            <v/>
          </cell>
          <cell r="C116" t="str">
            <v/>
          </cell>
          <cell r="E116" t="str">
            <v/>
          </cell>
          <cell r="H116" t="str">
            <v/>
          </cell>
          <cell r="I116" t="str">
            <v/>
          </cell>
          <cell r="K116" t="str">
            <v/>
          </cell>
          <cell r="N116" t="str">
            <v/>
          </cell>
          <cell r="P116" t="str">
            <v/>
          </cell>
        </row>
        <row r="117">
          <cell r="B117" t="str">
            <v/>
          </cell>
          <cell r="C117" t="str">
            <v/>
          </cell>
          <cell r="E117" t="str">
            <v/>
          </cell>
          <cell r="H117" t="str">
            <v/>
          </cell>
          <cell r="I117" t="str">
            <v/>
          </cell>
          <cell r="K117" t="str">
            <v/>
          </cell>
          <cell r="N117" t="str">
            <v/>
          </cell>
          <cell r="P117" t="str">
            <v/>
          </cell>
        </row>
        <row r="118">
          <cell r="B118" t="str">
            <v/>
          </cell>
          <cell r="C118" t="str">
            <v/>
          </cell>
          <cell r="E118" t="str">
            <v/>
          </cell>
          <cell r="H118" t="str">
            <v/>
          </cell>
          <cell r="I118" t="str">
            <v/>
          </cell>
          <cell r="K118" t="str">
            <v/>
          </cell>
          <cell r="N118" t="str">
            <v/>
          </cell>
          <cell r="P118" t="str">
            <v/>
          </cell>
        </row>
        <row r="119">
          <cell r="B119" t="str">
            <v/>
          </cell>
          <cell r="C119" t="str">
            <v/>
          </cell>
          <cell r="E119" t="str">
            <v/>
          </cell>
          <cell r="H119" t="str">
            <v/>
          </cell>
          <cell r="I119" t="str">
            <v/>
          </cell>
          <cell r="K119" t="str">
            <v/>
          </cell>
          <cell r="N119" t="str">
            <v/>
          </cell>
          <cell r="P119" t="str">
            <v/>
          </cell>
        </row>
        <row r="120">
          <cell r="B120" t="str">
            <v/>
          </cell>
          <cell r="C120" t="str">
            <v/>
          </cell>
          <cell r="E120" t="str">
            <v/>
          </cell>
          <cell r="H120" t="str">
            <v/>
          </cell>
          <cell r="I120" t="str">
            <v/>
          </cell>
          <cell r="K120" t="str">
            <v/>
          </cell>
          <cell r="N120" t="str">
            <v/>
          </cell>
          <cell r="P120" t="str">
            <v/>
          </cell>
        </row>
        <row r="121">
          <cell r="B121" t="str">
            <v/>
          </cell>
          <cell r="C121" t="str">
            <v/>
          </cell>
          <cell r="E121" t="str">
            <v/>
          </cell>
          <cell r="H121" t="str">
            <v/>
          </cell>
          <cell r="I121" t="str">
            <v/>
          </cell>
          <cell r="K121" t="str">
            <v/>
          </cell>
          <cell r="N121" t="str">
            <v/>
          </cell>
          <cell r="P121" t="str">
            <v/>
          </cell>
        </row>
        <row r="122">
          <cell r="B122" t="str">
            <v/>
          </cell>
          <cell r="C122" t="str">
            <v/>
          </cell>
          <cell r="E122" t="str">
            <v/>
          </cell>
          <cell r="H122" t="str">
            <v/>
          </cell>
          <cell r="I122" t="str">
            <v/>
          </cell>
          <cell r="K122" t="str">
            <v/>
          </cell>
          <cell r="N122" t="str">
            <v/>
          </cell>
          <cell r="P122" t="str">
            <v/>
          </cell>
        </row>
        <row r="123">
          <cell r="B123" t="str">
            <v/>
          </cell>
          <cell r="C123" t="str">
            <v/>
          </cell>
          <cell r="E123" t="str">
            <v/>
          </cell>
          <cell r="H123" t="str">
            <v/>
          </cell>
          <cell r="I123" t="str">
            <v/>
          </cell>
          <cell r="K123" t="str">
            <v/>
          </cell>
          <cell r="N123" t="str">
            <v/>
          </cell>
          <cell r="P123" t="str">
            <v/>
          </cell>
        </row>
        <row r="124">
          <cell r="B124" t="str">
            <v/>
          </cell>
          <cell r="C124" t="str">
            <v/>
          </cell>
          <cell r="E124" t="str">
            <v/>
          </cell>
          <cell r="H124" t="str">
            <v/>
          </cell>
          <cell r="I124" t="str">
            <v/>
          </cell>
          <cell r="K124" t="str">
            <v/>
          </cell>
          <cell r="N124" t="str">
            <v/>
          </cell>
          <cell r="P124" t="str">
            <v/>
          </cell>
        </row>
        <row r="125">
          <cell r="B125" t="str">
            <v/>
          </cell>
          <cell r="C125" t="str">
            <v/>
          </cell>
          <cell r="E125" t="str">
            <v/>
          </cell>
          <cell r="H125" t="str">
            <v/>
          </cell>
          <cell r="I125" t="str">
            <v/>
          </cell>
          <cell r="K125" t="str">
            <v/>
          </cell>
          <cell r="N125" t="str">
            <v/>
          </cell>
          <cell r="P125" t="str">
            <v/>
          </cell>
        </row>
        <row r="126">
          <cell r="B126" t="str">
            <v/>
          </cell>
          <cell r="C126" t="str">
            <v/>
          </cell>
          <cell r="E126" t="str">
            <v/>
          </cell>
          <cell r="H126" t="str">
            <v/>
          </cell>
          <cell r="I126" t="str">
            <v/>
          </cell>
          <cell r="K126" t="str">
            <v/>
          </cell>
          <cell r="N126" t="str">
            <v/>
          </cell>
          <cell r="P126" t="str">
            <v/>
          </cell>
        </row>
        <row r="127">
          <cell r="B127" t="str">
            <v/>
          </cell>
          <cell r="C127" t="str">
            <v/>
          </cell>
          <cell r="E127" t="str">
            <v/>
          </cell>
          <cell r="H127" t="str">
            <v/>
          </cell>
          <cell r="I127" t="str">
            <v/>
          </cell>
          <cell r="K127" t="str">
            <v/>
          </cell>
          <cell r="N127" t="str">
            <v/>
          </cell>
          <cell r="P127" t="str">
            <v/>
          </cell>
        </row>
        <row r="128">
          <cell r="B128" t="str">
            <v/>
          </cell>
          <cell r="C128" t="str">
            <v/>
          </cell>
          <cell r="E128" t="str">
            <v/>
          </cell>
          <cell r="H128" t="str">
            <v/>
          </cell>
          <cell r="I128" t="str">
            <v/>
          </cell>
          <cell r="K128" t="str">
            <v/>
          </cell>
          <cell r="N128" t="str">
            <v/>
          </cell>
          <cell r="P128" t="str">
            <v/>
          </cell>
        </row>
        <row r="129">
          <cell r="B129" t="str">
            <v/>
          </cell>
          <cell r="C129" t="str">
            <v/>
          </cell>
          <cell r="E129" t="str">
            <v/>
          </cell>
          <cell r="H129" t="str">
            <v/>
          </cell>
          <cell r="I129" t="str">
            <v/>
          </cell>
          <cell r="K129" t="str">
            <v/>
          </cell>
          <cell r="N129" t="str">
            <v/>
          </cell>
          <cell r="P129" t="str">
            <v/>
          </cell>
        </row>
        <row r="130">
          <cell r="B130" t="str">
            <v/>
          </cell>
          <cell r="C130" t="str">
            <v/>
          </cell>
          <cell r="E130" t="str">
            <v/>
          </cell>
          <cell r="H130" t="str">
            <v/>
          </cell>
          <cell r="I130" t="str">
            <v/>
          </cell>
          <cell r="K130" t="str">
            <v/>
          </cell>
          <cell r="N130" t="str">
            <v/>
          </cell>
          <cell r="P130" t="str">
            <v/>
          </cell>
        </row>
        <row r="131">
          <cell r="B131" t="str">
            <v/>
          </cell>
          <cell r="C131" t="str">
            <v/>
          </cell>
          <cell r="E131" t="str">
            <v/>
          </cell>
          <cell r="H131" t="str">
            <v/>
          </cell>
          <cell r="I131" t="str">
            <v/>
          </cell>
          <cell r="K131" t="str">
            <v/>
          </cell>
          <cell r="N131" t="str">
            <v/>
          </cell>
          <cell r="P131" t="str">
            <v/>
          </cell>
        </row>
        <row r="132">
          <cell r="B132" t="str">
            <v/>
          </cell>
          <cell r="C132" t="str">
            <v/>
          </cell>
          <cell r="E132" t="str">
            <v/>
          </cell>
          <cell r="H132" t="str">
            <v/>
          </cell>
          <cell r="I132" t="str">
            <v/>
          </cell>
          <cell r="K132" t="str">
            <v/>
          </cell>
          <cell r="N132" t="str">
            <v/>
          </cell>
          <cell r="P132" t="str">
            <v/>
          </cell>
        </row>
        <row r="133">
          <cell r="B133" t="str">
            <v/>
          </cell>
          <cell r="C133" t="str">
            <v/>
          </cell>
          <cell r="E133" t="str">
            <v/>
          </cell>
          <cell r="H133" t="str">
            <v/>
          </cell>
          <cell r="I133" t="str">
            <v/>
          </cell>
          <cell r="K133" t="str">
            <v/>
          </cell>
          <cell r="N133" t="str">
            <v/>
          </cell>
          <cell r="P133" t="str">
            <v/>
          </cell>
        </row>
        <row r="134">
          <cell r="B134" t="str">
            <v/>
          </cell>
          <cell r="C134" t="str">
            <v/>
          </cell>
          <cell r="E134" t="str">
            <v/>
          </cell>
          <cell r="H134" t="str">
            <v/>
          </cell>
          <cell r="I134" t="str">
            <v/>
          </cell>
          <cell r="K134" t="str">
            <v/>
          </cell>
          <cell r="N134" t="str">
            <v/>
          </cell>
          <cell r="P134" t="str">
            <v/>
          </cell>
        </row>
        <row r="135">
          <cell r="B135" t="str">
            <v/>
          </cell>
          <cell r="C135" t="str">
            <v/>
          </cell>
          <cell r="E135" t="str">
            <v/>
          </cell>
          <cell r="H135" t="str">
            <v/>
          </cell>
          <cell r="I135" t="str">
            <v/>
          </cell>
          <cell r="K135" t="str">
            <v/>
          </cell>
          <cell r="N135" t="str">
            <v/>
          </cell>
          <cell r="P135" t="str">
            <v/>
          </cell>
        </row>
        <row r="136">
          <cell r="B136" t="str">
            <v/>
          </cell>
          <cell r="C136" t="str">
            <v/>
          </cell>
          <cell r="E136" t="str">
            <v/>
          </cell>
          <cell r="H136" t="str">
            <v/>
          </cell>
          <cell r="I136" t="str">
            <v/>
          </cell>
          <cell r="K136" t="str">
            <v/>
          </cell>
          <cell r="N136" t="str">
            <v/>
          </cell>
          <cell r="P136" t="str">
            <v/>
          </cell>
        </row>
        <row r="137">
          <cell r="B137" t="str">
            <v/>
          </cell>
          <cell r="C137" t="str">
            <v/>
          </cell>
          <cell r="E137" t="str">
            <v/>
          </cell>
          <cell r="H137" t="str">
            <v/>
          </cell>
          <cell r="I137" t="str">
            <v/>
          </cell>
          <cell r="K137" t="str">
            <v/>
          </cell>
          <cell r="N137" t="str">
            <v/>
          </cell>
          <cell r="P137" t="str">
            <v/>
          </cell>
        </row>
        <row r="138">
          <cell r="B138" t="str">
            <v/>
          </cell>
          <cell r="C138" t="str">
            <v/>
          </cell>
          <cell r="E138" t="str">
            <v/>
          </cell>
          <cell r="H138" t="str">
            <v/>
          </cell>
          <cell r="I138" t="str">
            <v/>
          </cell>
          <cell r="K138" t="str">
            <v/>
          </cell>
          <cell r="N138" t="str">
            <v/>
          </cell>
          <cell r="P138" t="str">
            <v/>
          </cell>
        </row>
        <row r="139">
          <cell r="B139" t="str">
            <v/>
          </cell>
          <cell r="C139" t="str">
            <v/>
          </cell>
          <cell r="E139" t="str">
            <v/>
          </cell>
          <cell r="H139" t="str">
            <v/>
          </cell>
          <cell r="I139" t="str">
            <v/>
          </cell>
          <cell r="K139" t="str">
            <v/>
          </cell>
          <cell r="N139" t="str">
            <v/>
          </cell>
          <cell r="P139" t="str">
            <v/>
          </cell>
        </row>
        <row r="140">
          <cell r="B140" t="str">
            <v/>
          </cell>
          <cell r="C140" t="str">
            <v/>
          </cell>
          <cell r="E140" t="str">
            <v/>
          </cell>
          <cell r="H140" t="str">
            <v/>
          </cell>
          <cell r="I140" t="str">
            <v/>
          </cell>
          <cell r="K140" t="str">
            <v/>
          </cell>
          <cell r="N140" t="str">
            <v/>
          </cell>
          <cell r="P140" t="str">
            <v/>
          </cell>
        </row>
        <row r="141">
          <cell r="B141" t="str">
            <v/>
          </cell>
          <cell r="C141" t="str">
            <v/>
          </cell>
          <cell r="E141" t="str">
            <v/>
          </cell>
          <cell r="H141" t="str">
            <v/>
          </cell>
          <cell r="I141" t="str">
            <v/>
          </cell>
          <cell r="K141" t="str">
            <v/>
          </cell>
          <cell r="N141" t="str">
            <v/>
          </cell>
          <cell r="P141" t="str">
            <v/>
          </cell>
        </row>
        <row r="142">
          <cell r="B142" t="str">
            <v/>
          </cell>
          <cell r="C142" t="str">
            <v/>
          </cell>
          <cell r="E142" t="str">
            <v/>
          </cell>
          <cell r="H142" t="str">
            <v/>
          </cell>
          <cell r="I142" t="str">
            <v/>
          </cell>
          <cell r="K142" t="str">
            <v/>
          </cell>
          <cell r="N142" t="str">
            <v/>
          </cell>
          <cell r="P142" t="str">
            <v/>
          </cell>
        </row>
        <row r="143">
          <cell r="B143" t="str">
            <v/>
          </cell>
          <cell r="C143" t="str">
            <v/>
          </cell>
          <cell r="E143" t="str">
            <v/>
          </cell>
          <cell r="H143" t="str">
            <v/>
          </cell>
          <cell r="I143" t="str">
            <v/>
          </cell>
          <cell r="K143" t="str">
            <v/>
          </cell>
          <cell r="N143" t="str">
            <v/>
          </cell>
          <cell r="P143" t="str">
            <v/>
          </cell>
        </row>
        <row r="144">
          <cell r="B144" t="str">
            <v/>
          </cell>
          <cell r="C144" t="str">
            <v/>
          </cell>
          <cell r="E144" t="str">
            <v/>
          </cell>
          <cell r="H144" t="str">
            <v/>
          </cell>
          <cell r="I144" t="str">
            <v/>
          </cell>
          <cell r="K144" t="str">
            <v/>
          </cell>
          <cell r="N144" t="str">
            <v/>
          </cell>
          <cell r="P144" t="str">
            <v/>
          </cell>
        </row>
        <row r="145">
          <cell r="B145" t="str">
            <v/>
          </cell>
          <cell r="C145" t="str">
            <v/>
          </cell>
          <cell r="E145" t="str">
            <v/>
          </cell>
          <cell r="H145" t="str">
            <v/>
          </cell>
          <cell r="I145" t="str">
            <v/>
          </cell>
          <cell r="K145" t="str">
            <v/>
          </cell>
          <cell r="N145" t="str">
            <v/>
          </cell>
          <cell r="P145" t="str">
            <v/>
          </cell>
        </row>
        <row r="146">
          <cell r="B146" t="str">
            <v/>
          </cell>
          <cell r="C146" t="str">
            <v/>
          </cell>
          <cell r="E146" t="str">
            <v/>
          </cell>
          <cell r="H146" t="str">
            <v/>
          </cell>
          <cell r="I146" t="str">
            <v/>
          </cell>
          <cell r="K146" t="str">
            <v/>
          </cell>
          <cell r="N146" t="str">
            <v/>
          </cell>
          <cell r="P146" t="str">
            <v/>
          </cell>
        </row>
        <row r="147">
          <cell r="B147" t="str">
            <v/>
          </cell>
          <cell r="C147" t="str">
            <v/>
          </cell>
          <cell r="E147" t="str">
            <v/>
          </cell>
          <cell r="H147" t="str">
            <v/>
          </cell>
          <cell r="I147" t="str">
            <v/>
          </cell>
          <cell r="K147" t="str">
            <v/>
          </cell>
          <cell r="N147" t="str">
            <v/>
          </cell>
          <cell r="P147" t="str">
            <v/>
          </cell>
        </row>
        <row r="148">
          <cell r="B148" t="str">
            <v/>
          </cell>
          <cell r="C148" t="str">
            <v/>
          </cell>
          <cell r="E148" t="str">
            <v/>
          </cell>
          <cell r="H148" t="str">
            <v/>
          </cell>
          <cell r="I148" t="str">
            <v/>
          </cell>
          <cell r="K148" t="str">
            <v/>
          </cell>
          <cell r="N148" t="str">
            <v/>
          </cell>
          <cell r="P148" t="str">
            <v/>
          </cell>
        </row>
        <row r="149">
          <cell r="B149" t="str">
            <v/>
          </cell>
          <cell r="C149" t="str">
            <v/>
          </cell>
          <cell r="E149" t="str">
            <v/>
          </cell>
          <cell r="H149" t="str">
            <v/>
          </cell>
          <cell r="I149" t="str">
            <v/>
          </cell>
          <cell r="K149" t="str">
            <v/>
          </cell>
          <cell r="N149" t="str">
            <v/>
          </cell>
          <cell r="P149" t="str">
            <v/>
          </cell>
        </row>
        <row r="150">
          <cell r="B150" t="str">
            <v/>
          </cell>
          <cell r="C150" t="str">
            <v/>
          </cell>
          <cell r="E150" t="str">
            <v/>
          </cell>
          <cell r="H150" t="str">
            <v/>
          </cell>
          <cell r="I150" t="str">
            <v/>
          </cell>
          <cell r="K150" t="str">
            <v/>
          </cell>
          <cell r="N150" t="str">
            <v/>
          </cell>
          <cell r="P150" t="str">
            <v/>
          </cell>
        </row>
        <row r="151">
          <cell r="B151" t="str">
            <v/>
          </cell>
          <cell r="C151" t="str">
            <v/>
          </cell>
          <cell r="E151" t="str">
            <v/>
          </cell>
          <cell r="H151" t="str">
            <v/>
          </cell>
          <cell r="I151" t="str">
            <v/>
          </cell>
          <cell r="K151" t="str">
            <v/>
          </cell>
          <cell r="N151" t="str">
            <v/>
          </cell>
          <cell r="P151" t="str">
            <v/>
          </cell>
        </row>
        <row r="152">
          <cell r="B152" t="str">
            <v/>
          </cell>
          <cell r="C152" t="str">
            <v/>
          </cell>
          <cell r="E152" t="str">
            <v/>
          </cell>
          <cell r="H152" t="str">
            <v/>
          </cell>
          <cell r="I152" t="str">
            <v/>
          </cell>
          <cell r="K152" t="str">
            <v/>
          </cell>
          <cell r="N152" t="str">
            <v/>
          </cell>
          <cell r="P152" t="str">
            <v/>
          </cell>
        </row>
        <row r="153">
          <cell r="B153" t="str">
            <v/>
          </cell>
          <cell r="C153" t="str">
            <v/>
          </cell>
          <cell r="E153" t="str">
            <v/>
          </cell>
          <cell r="H153" t="str">
            <v/>
          </cell>
          <cell r="I153" t="str">
            <v/>
          </cell>
          <cell r="K153" t="str">
            <v/>
          </cell>
          <cell r="N153" t="str">
            <v/>
          </cell>
          <cell r="P153" t="str">
            <v/>
          </cell>
        </row>
        <row r="154">
          <cell r="B154" t="str">
            <v/>
          </cell>
          <cell r="C154" t="str">
            <v/>
          </cell>
          <cell r="E154" t="str">
            <v/>
          </cell>
          <cell r="H154" t="str">
            <v/>
          </cell>
          <cell r="I154" t="str">
            <v/>
          </cell>
          <cell r="K154" t="str">
            <v/>
          </cell>
          <cell r="N154" t="str">
            <v/>
          </cell>
          <cell r="P154" t="str">
            <v/>
          </cell>
        </row>
        <row r="155">
          <cell r="B155" t="str">
            <v/>
          </cell>
          <cell r="C155" t="str">
            <v/>
          </cell>
          <cell r="E155" t="str">
            <v/>
          </cell>
          <cell r="H155" t="str">
            <v/>
          </cell>
          <cell r="I155" t="str">
            <v/>
          </cell>
          <cell r="K155" t="str">
            <v/>
          </cell>
          <cell r="N155" t="str">
            <v/>
          </cell>
          <cell r="P155" t="str">
            <v/>
          </cell>
        </row>
        <row r="156">
          <cell r="B156" t="str">
            <v/>
          </cell>
          <cell r="C156" t="str">
            <v/>
          </cell>
          <cell r="E156" t="str">
            <v/>
          </cell>
          <cell r="H156" t="str">
            <v/>
          </cell>
          <cell r="I156" t="str">
            <v/>
          </cell>
          <cell r="K156" t="str">
            <v/>
          </cell>
          <cell r="N156" t="str">
            <v/>
          </cell>
          <cell r="P156" t="str">
            <v/>
          </cell>
        </row>
        <row r="157">
          <cell r="B157" t="str">
            <v/>
          </cell>
          <cell r="C157" t="str">
            <v/>
          </cell>
          <cell r="E157" t="str">
            <v/>
          </cell>
          <cell r="H157" t="str">
            <v/>
          </cell>
          <cell r="I157" t="str">
            <v/>
          </cell>
          <cell r="K157" t="str">
            <v/>
          </cell>
          <cell r="N157" t="str">
            <v/>
          </cell>
          <cell r="P157" t="str">
            <v/>
          </cell>
        </row>
        <row r="158">
          <cell r="B158" t="str">
            <v/>
          </cell>
          <cell r="C158" t="str">
            <v/>
          </cell>
          <cell r="E158" t="str">
            <v/>
          </cell>
          <cell r="H158" t="str">
            <v/>
          </cell>
          <cell r="I158" t="str">
            <v/>
          </cell>
          <cell r="K158" t="str">
            <v/>
          </cell>
          <cell r="N158" t="str">
            <v/>
          </cell>
          <cell r="P158" t="str">
            <v/>
          </cell>
        </row>
        <row r="159">
          <cell r="B159" t="str">
            <v/>
          </cell>
          <cell r="C159" t="str">
            <v/>
          </cell>
          <cell r="E159" t="str">
            <v/>
          </cell>
          <cell r="H159" t="str">
            <v/>
          </cell>
          <cell r="I159" t="str">
            <v/>
          </cell>
          <cell r="K159" t="str">
            <v/>
          </cell>
          <cell r="N159" t="str">
            <v/>
          </cell>
          <cell r="P159" t="str">
            <v/>
          </cell>
        </row>
        <row r="160">
          <cell r="B160" t="str">
            <v/>
          </cell>
          <cell r="C160" t="str">
            <v/>
          </cell>
          <cell r="E160" t="str">
            <v/>
          </cell>
          <cell r="H160" t="str">
            <v/>
          </cell>
          <cell r="I160" t="str">
            <v/>
          </cell>
          <cell r="K160" t="str">
            <v/>
          </cell>
          <cell r="N160" t="str">
            <v/>
          </cell>
          <cell r="P160" t="str">
            <v/>
          </cell>
        </row>
        <row r="161">
          <cell r="B161" t="str">
            <v/>
          </cell>
          <cell r="C161" t="str">
            <v/>
          </cell>
          <cell r="E161" t="str">
            <v/>
          </cell>
          <cell r="H161" t="str">
            <v/>
          </cell>
          <cell r="I161" t="str">
            <v/>
          </cell>
          <cell r="K161" t="str">
            <v/>
          </cell>
          <cell r="N161" t="str">
            <v/>
          </cell>
          <cell r="P161" t="str">
            <v/>
          </cell>
        </row>
        <row r="162">
          <cell r="B162" t="str">
            <v/>
          </cell>
          <cell r="C162" t="str">
            <v/>
          </cell>
          <cell r="E162" t="str">
            <v/>
          </cell>
          <cell r="H162" t="str">
            <v/>
          </cell>
          <cell r="I162" t="str">
            <v/>
          </cell>
          <cell r="K162" t="str">
            <v/>
          </cell>
          <cell r="N162" t="str">
            <v/>
          </cell>
          <cell r="P162" t="str">
            <v/>
          </cell>
        </row>
        <row r="163">
          <cell r="B163" t="str">
            <v/>
          </cell>
          <cell r="C163" t="str">
            <v/>
          </cell>
          <cell r="E163" t="str">
            <v/>
          </cell>
          <cell r="H163" t="str">
            <v/>
          </cell>
          <cell r="I163" t="str">
            <v/>
          </cell>
          <cell r="K163" t="str">
            <v/>
          </cell>
          <cell r="N163" t="str">
            <v/>
          </cell>
          <cell r="P163" t="str">
            <v/>
          </cell>
        </row>
        <row r="164">
          <cell r="B164" t="str">
            <v/>
          </cell>
          <cell r="C164" t="str">
            <v/>
          </cell>
          <cell r="E164" t="str">
            <v/>
          </cell>
          <cell r="H164" t="str">
            <v/>
          </cell>
          <cell r="I164" t="str">
            <v/>
          </cell>
          <cell r="K164" t="str">
            <v/>
          </cell>
          <cell r="N164" t="str">
            <v/>
          </cell>
          <cell r="P164" t="str">
            <v/>
          </cell>
        </row>
        <row r="165">
          <cell r="B165" t="str">
            <v/>
          </cell>
          <cell r="C165" t="str">
            <v/>
          </cell>
          <cell r="E165" t="str">
            <v/>
          </cell>
          <cell r="H165" t="str">
            <v/>
          </cell>
          <cell r="I165" t="str">
            <v/>
          </cell>
          <cell r="K165" t="str">
            <v/>
          </cell>
          <cell r="N165" t="str">
            <v/>
          </cell>
          <cell r="P165" t="str">
            <v/>
          </cell>
        </row>
        <row r="166">
          <cell r="B166" t="str">
            <v/>
          </cell>
          <cell r="C166" t="str">
            <v/>
          </cell>
          <cell r="E166" t="str">
            <v/>
          </cell>
          <cell r="H166" t="str">
            <v/>
          </cell>
          <cell r="I166" t="str">
            <v/>
          </cell>
          <cell r="K166" t="str">
            <v/>
          </cell>
          <cell r="N166" t="str">
            <v/>
          </cell>
          <cell r="P166" t="str">
            <v/>
          </cell>
        </row>
        <row r="167">
          <cell r="B167" t="str">
            <v/>
          </cell>
          <cell r="C167" t="str">
            <v/>
          </cell>
          <cell r="E167" t="str">
            <v/>
          </cell>
          <cell r="H167" t="str">
            <v/>
          </cell>
          <cell r="I167" t="str">
            <v/>
          </cell>
          <cell r="K167" t="str">
            <v/>
          </cell>
          <cell r="N167" t="str">
            <v/>
          </cell>
          <cell r="P167" t="str">
            <v/>
          </cell>
        </row>
        <row r="168">
          <cell r="B168" t="str">
            <v/>
          </cell>
          <cell r="C168" t="str">
            <v/>
          </cell>
          <cell r="E168" t="str">
            <v/>
          </cell>
          <cell r="H168" t="str">
            <v/>
          </cell>
          <cell r="I168" t="str">
            <v/>
          </cell>
          <cell r="K168" t="str">
            <v/>
          </cell>
          <cell r="N168" t="str">
            <v/>
          </cell>
          <cell r="P168" t="str">
            <v/>
          </cell>
        </row>
        <row r="169">
          <cell r="B169" t="str">
            <v/>
          </cell>
          <cell r="C169" t="str">
            <v/>
          </cell>
          <cell r="E169" t="str">
            <v/>
          </cell>
          <cell r="H169" t="str">
            <v/>
          </cell>
          <cell r="I169" t="str">
            <v/>
          </cell>
          <cell r="K169" t="str">
            <v/>
          </cell>
          <cell r="N169" t="str">
            <v/>
          </cell>
          <cell r="P169" t="str">
            <v/>
          </cell>
        </row>
        <row r="170">
          <cell r="B170" t="str">
            <v/>
          </cell>
          <cell r="C170" t="str">
            <v/>
          </cell>
          <cell r="E170" t="str">
            <v/>
          </cell>
          <cell r="H170" t="str">
            <v/>
          </cell>
          <cell r="I170" t="str">
            <v/>
          </cell>
          <cell r="K170" t="str">
            <v/>
          </cell>
          <cell r="N170" t="str">
            <v/>
          </cell>
          <cell r="P170" t="str">
            <v/>
          </cell>
        </row>
        <row r="171">
          <cell r="B171" t="str">
            <v/>
          </cell>
          <cell r="C171" t="str">
            <v/>
          </cell>
          <cell r="E171" t="str">
            <v/>
          </cell>
          <cell r="H171" t="str">
            <v/>
          </cell>
          <cell r="I171" t="str">
            <v/>
          </cell>
          <cell r="K171" t="str">
            <v/>
          </cell>
          <cell r="N171" t="str">
            <v/>
          </cell>
          <cell r="P171" t="str">
            <v/>
          </cell>
        </row>
        <row r="172">
          <cell r="B172" t="str">
            <v/>
          </cell>
          <cell r="C172" t="str">
            <v/>
          </cell>
          <cell r="E172" t="str">
            <v/>
          </cell>
          <cell r="H172" t="str">
            <v/>
          </cell>
          <cell r="I172" t="str">
            <v/>
          </cell>
          <cell r="K172" t="str">
            <v/>
          </cell>
          <cell r="N172" t="str">
            <v/>
          </cell>
          <cell r="P172" t="str">
            <v/>
          </cell>
        </row>
        <row r="173">
          <cell r="B173" t="str">
            <v/>
          </cell>
          <cell r="C173" t="str">
            <v/>
          </cell>
          <cell r="E173" t="str">
            <v/>
          </cell>
          <cell r="H173" t="str">
            <v/>
          </cell>
          <cell r="I173" t="str">
            <v/>
          </cell>
          <cell r="K173" t="str">
            <v/>
          </cell>
          <cell r="N173" t="str">
            <v/>
          </cell>
          <cell r="P173" t="str">
            <v/>
          </cell>
        </row>
        <row r="174">
          <cell r="B174" t="str">
            <v/>
          </cell>
          <cell r="C174" t="str">
            <v/>
          </cell>
          <cell r="E174" t="str">
            <v/>
          </cell>
          <cell r="H174" t="str">
            <v/>
          </cell>
          <cell r="I174" t="str">
            <v/>
          </cell>
          <cell r="K174" t="str">
            <v/>
          </cell>
          <cell r="N174" t="str">
            <v/>
          </cell>
          <cell r="P174" t="str">
            <v/>
          </cell>
        </row>
        <row r="175">
          <cell r="B175" t="str">
            <v/>
          </cell>
          <cell r="C175" t="str">
            <v/>
          </cell>
          <cell r="E175" t="str">
            <v/>
          </cell>
          <cell r="H175" t="str">
            <v/>
          </cell>
          <cell r="I175" t="str">
            <v/>
          </cell>
          <cell r="K175" t="str">
            <v/>
          </cell>
          <cell r="N175" t="str">
            <v/>
          </cell>
          <cell r="P175" t="str">
            <v/>
          </cell>
        </row>
        <row r="176">
          <cell r="B176" t="str">
            <v/>
          </cell>
          <cell r="C176" t="str">
            <v/>
          </cell>
          <cell r="E176" t="str">
            <v/>
          </cell>
          <cell r="H176" t="str">
            <v/>
          </cell>
          <cell r="I176" t="str">
            <v/>
          </cell>
          <cell r="K176" t="str">
            <v/>
          </cell>
          <cell r="N176" t="str">
            <v/>
          </cell>
          <cell r="P176" t="str">
            <v/>
          </cell>
        </row>
        <row r="177">
          <cell r="B177" t="str">
            <v/>
          </cell>
          <cell r="C177" t="str">
            <v/>
          </cell>
          <cell r="E177" t="str">
            <v/>
          </cell>
          <cell r="H177" t="str">
            <v/>
          </cell>
          <cell r="I177" t="str">
            <v/>
          </cell>
          <cell r="K177" t="str">
            <v/>
          </cell>
          <cell r="N177" t="str">
            <v/>
          </cell>
          <cell r="P177" t="str">
            <v/>
          </cell>
        </row>
        <row r="178">
          <cell r="B178" t="str">
            <v/>
          </cell>
          <cell r="C178" t="str">
            <v/>
          </cell>
          <cell r="E178" t="str">
            <v/>
          </cell>
          <cell r="H178" t="str">
            <v/>
          </cell>
          <cell r="I178" t="str">
            <v/>
          </cell>
          <cell r="K178" t="str">
            <v/>
          </cell>
          <cell r="N178" t="str">
            <v/>
          </cell>
          <cell r="P178" t="str">
            <v/>
          </cell>
        </row>
        <row r="179">
          <cell r="B179" t="str">
            <v/>
          </cell>
          <cell r="C179" t="str">
            <v/>
          </cell>
          <cell r="E179" t="str">
            <v/>
          </cell>
          <cell r="H179" t="str">
            <v/>
          </cell>
          <cell r="I179" t="str">
            <v/>
          </cell>
          <cell r="K179" t="str">
            <v/>
          </cell>
          <cell r="N179" t="str">
            <v/>
          </cell>
          <cell r="P179" t="str">
            <v/>
          </cell>
        </row>
        <row r="180">
          <cell r="B180" t="str">
            <v/>
          </cell>
          <cell r="C180" t="str">
            <v/>
          </cell>
          <cell r="E180" t="str">
            <v/>
          </cell>
          <cell r="H180" t="str">
            <v/>
          </cell>
          <cell r="I180" t="str">
            <v/>
          </cell>
          <cell r="K180" t="str">
            <v/>
          </cell>
          <cell r="N180" t="str">
            <v/>
          </cell>
          <cell r="P180" t="str">
            <v/>
          </cell>
        </row>
        <row r="181">
          <cell r="B181" t="str">
            <v/>
          </cell>
          <cell r="C181" t="str">
            <v/>
          </cell>
          <cell r="E181" t="str">
            <v/>
          </cell>
          <cell r="H181" t="str">
            <v/>
          </cell>
          <cell r="I181" t="str">
            <v/>
          </cell>
          <cell r="K181" t="str">
            <v/>
          </cell>
          <cell r="N181" t="str">
            <v/>
          </cell>
          <cell r="P181" t="str">
            <v/>
          </cell>
        </row>
        <row r="182">
          <cell r="B182" t="str">
            <v/>
          </cell>
          <cell r="C182" t="str">
            <v/>
          </cell>
          <cell r="E182" t="str">
            <v/>
          </cell>
          <cell r="H182" t="str">
            <v/>
          </cell>
          <cell r="I182" t="str">
            <v/>
          </cell>
          <cell r="K182" t="str">
            <v/>
          </cell>
          <cell r="N182" t="str">
            <v/>
          </cell>
          <cell r="P182" t="str">
            <v/>
          </cell>
        </row>
        <row r="183">
          <cell r="B183" t="str">
            <v/>
          </cell>
          <cell r="C183" t="str">
            <v/>
          </cell>
          <cell r="E183" t="str">
            <v/>
          </cell>
          <cell r="H183" t="str">
            <v/>
          </cell>
          <cell r="I183" t="str">
            <v/>
          </cell>
          <cell r="K183" t="str">
            <v/>
          </cell>
          <cell r="N183" t="str">
            <v/>
          </cell>
          <cell r="P183" t="str">
            <v/>
          </cell>
        </row>
        <row r="184">
          <cell r="B184" t="str">
            <v/>
          </cell>
          <cell r="C184" t="str">
            <v/>
          </cell>
          <cell r="E184" t="str">
            <v/>
          </cell>
          <cell r="H184" t="str">
            <v/>
          </cell>
          <cell r="I184" t="str">
            <v/>
          </cell>
          <cell r="K184" t="str">
            <v/>
          </cell>
          <cell r="N184" t="str">
            <v/>
          </cell>
          <cell r="P184" t="str">
            <v/>
          </cell>
        </row>
        <row r="185">
          <cell r="B185" t="str">
            <v/>
          </cell>
          <cell r="C185" t="str">
            <v/>
          </cell>
          <cell r="E185" t="str">
            <v/>
          </cell>
          <cell r="H185" t="str">
            <v/>
          </cell>
          <cell r="I185" t="str">
            <v/>
          </cell>
          <cell r="K185" t="str">
            <v/>
          </cell>
          <cell r="N185" t="str">
            <v/>
          </cell>
          <cell r="P185" t="str">
            <v/>
          </cell>
        </row>
        <row r="186">
          <cell r="B186" t="str">
            <v/>
          </cell>
          <cell r="C186" t="str">
            <v/>
          </cell>
          <cell r="E186" t="str">
            <v/>
          </cell>
          <cell r="H186" t="str">
            <v/>
          </cell>
          <cell r="I186" t="str">
            <v/>
          </cell>
          <cell r="K186" t="str">
            <v/>
          </cell>
          <cell r="N186" t="str">
            <v/>
          </cell>
          <cell r="P186" t="str">
            <v/>
          </cell>
        </row>
        <row r="187">
          <cell r="B187" t="str">
            <v/>
          </cell>
          <cell r="C187" t="str">
            <v/>
          </cell>
          <cell r="E187" t="str">
            <v/>
          </cell>
          <cell r="H187" t="str">
            <v/>
          </cell>
          <cell r="I187" t="str">
            <v/>
          </cell>
          <cell r="K187" t="str">
            <v/>
          </cell>
          <cell r="N187" t="str">
            <v/>
          </cell>
          <cell r="P187" t="str">
            <v/>
          </cell>
        </row>
        <row r="188">
          <cell r="B188" t="str">
            <v/>
          </cell>
          <cell r="C188" t="str">
            <v/>
          </cell>
          <cell r="E188" t="str">
            <v/>
          </cell>
          <cell r="H188" t="str">
            <v/>
          </cell>
          <cell r="I188" t="str">
            <v/>
          </cell>
          <cell r="K188" t="str">
            <v/>
          </cell>
          <cell r="N188" t="str">
            <v/>
          </cell>
          <cell r="P188" t="str">
            <v/>
          </cell>
        </row>
        <row r="189">
          <cell r="B189" t="str">
            <v/>
          </cell>
          <cell r="C189" t="str">
            <v/>
          </cell>
          <cell r="E189" t="str">
            <v/>
          </cell>
          <cell r="H189" t="str">
            <v/>
          </cell>
          <cell r="I189" t="str">
            <v/>
          </cell>
          <cell r="K189" t="str">
            <v/>
          </cell>
          <cell r="N189" t="str">
            <v/>
          </cell>
          <cell r="P189" t="str">
            <v/>
          </cell>
        </row>
        <row r="190">
          <cell r="B190" t="str">
            <v/>
          </cell>
          <cell r="C190" t="str">
            <v/>
          </cell>
          <cell r="E190" t="str">
            <v/>
          </cell>
          <cell r="H190" t="str">
            <v/>
          </cell>
          <cell r="I190" t="str">
            <v/>
          </cell>
          <cell r="K190" t="str">
            <v/>
          </cell>
          <cell r="N190" t="str">
            <v/>
          </cell>
          <cell r="P190" t="str">
            <v/>
          </cell>
        </row>
        <row r="191">
          <cell r="B191" t="str">
            <v/>
          </cell>
          <cell r="C191" t="str">
            <v/>
          </cell>
          <cell r="E191" t="str">
            <v/>
          </cell>
          <cell r="H191" t="str">
            <v/>
          </cell>
          <cell r="I191" t="str">
            <v/>
          </cell>
          <cell r="K191" t="str">
            <v/>
          </cell>
          <cell r="N191" t="str">
            <v/>
          </cell>
          <cell r="P191" t="str">
            <v/>
          </cell>
        </row>
        <row r="192">
          <cell r="B192" t="str">
            <v/>
          </cell>
          <cell r="C192" t="str">
            <v/>
          </cell>
          <cell r="E192" t="str">
            <v/>
          </cell>
          <cell r="H192" t="str">
            <v/>
          </cell>
          <cell r="I192" t="str">
            <v/>
          </cell>
          <cell r="K192" t="str">
            <v/>
          </cell>
          <cell r="N192" t="str">
            <v/>
          </cell>
          <cell r="P192" t="str">
            <v/>
          </cell>
        </row>
        <row r="193">
          <cell r="B193" t="str">
            <v/>
          </cell>
          <cell r="C193" t="str">
            <v/>
          </cell>
          <cell r="E193" t="str">
            <v/>
          </cell>
          <cell r="H193" t="str">
            <v/>
          </cell>
          <cell r="I193" t="str">
            <v/>
          </cell>
          <cell r="K193" t="str">
            <v/>
          </cell>
          <cell r="N193" t="str">
            <v/>
          </cell>
          <cell r="P193" t="str">
            <v/>
          </cell>
        </row>
        <row r="194">
          <cell r="B194" t="str">
            <v/>
          </cell>
          <cell r="C194" t="str">
            <v/>
          </cell>
          <cell r="E194" t="str">
            <v/>
          </cell>
          <cell r="H194" t="str">
            <v/>
          </cell>
          <cell r="I194" t="str">
            <v/>
          </cell>
          <cell r="K194" t="str">
            <v/>
          </cell>
          <cell r="N194" t="str">
            <v/>
          </cell>
          <cell r="P194" t="str">
            <v/>
          </cell>
        </row>
        <row r="195">
          <cell r="B195" t="str">
            <v/>
          </cell>
          <cell r="C195" t="str">
            <v/>
          </cell>
          <cell r="E195" t="str">
            <v/>
          </cell>
          <cell r="H195" t="str">
            <v/>
          </cell>
          <cell r="I195" t="str">
            <v/>
          </cell>
          <cell r="K195" t="str">
            <v/>
          </cell>
          <cell r="N195" t="str">
            <v/>
          </cell>
          <cell r="P195" t="str">
            <v/>
          </cell>
        </row>
        <row r="196">
          <cell r="B196" t="str">
            <v/>
          </cell>
          <cell r="C196" t="str">
            <v/>
          </cell>
          <cell r="E196" t="str">
            <v/>
          </cell>
          <cell r="H196" t="str">
            <v/>
          </cell>
          <cell r="I196" t="str">
            <v/>
          </cell>
          <cell r="K196" t="str">
            <v/>
          </cell>
          <cell r="N196" t="str">
            <v/>
          </cell>
          <cell r="P196" t="str">
            <v/>
          </cell>
        </row>
        <row r="197">
          <cell r="B197" t="str">
            <v/>
          </cell>
          <cell r="C197" t="str">
            <v/>
          </cell>
          <cell r="E197" t="str">
            <v/>
          </cell>
          <cell r="H197" t="str">
            <v/>
          </cell>
          <cell r="I197" t="str">
            <v/>
          </cell>
          <cell r="K197" t="str">
            <v/>
          </cell>
          <cell r="N197" t="str">
            <v/>
          </cell>
          <cell r="P197" t="str">
            <v/>
          </cell>
        </row>
        <row r="198">
          <cell r="B198" t="str">
            <v/>
          </cell>
          <cell r="C198" t="str">
            <v/>
          </cell>
          <cell r="E198" t="str">
            <v/>
          </cell>
          <cell r="H198" t="str">
            <v/>
          </cell>
          <cell r="I198" t="str">
            <v/>
          </cell>
          <cell r="K198" t="str">
            <v/>
          </cell>
          <cell r="N198" t="str">
            <v/>
          </cell>
          <cell r="P198" t="str">
            <v/>
          </cell>
        </row>
        <row r="199">
          <cell r="B199" t="str">
            <v/>
          </cell>
          <cell r="C199" t="str">
            <v/>
          </cell>
          <cell r="E199" t="str">
            <v/>
          </cell>
          <cell r="H199" t="str">
            <v/>
          </cell>
          <cell r="I199" t="str">
            <v/>
          </cell>
          <cell r="K199" t="str">
            <v/>
          </cell>
          <cell r="N199" t="str">
            <v/>
          </cell>
          <cell r="P199" t="str">
            <v/>
          </cell>
        </row>
        <row r="200">
          <cell r="B200" t="str">
            <v/>
          </cell>
          <cell r="C200" t="str">
            <v/>
          </cell>
          <cell r="E200" t="str">
            <v/>
          </cell>
          <cell r="H200" t="str">
            <v/>
          </cell>
          <cell r="I200" t="str">
            <v/>
          </cell>
          <cell r="K200" t="str">
            <v/>
          </cell>
          <cell r="N200" t="str">
            <v/>
          </cell>
          <cell r="P200" t="str">
            <v/>
          </cell>
        </row>
        <row r="201">
          <cell r="B201" t="str">
            <v/>
          </cell>
          <cell r="C201" t="str">
            <v/>
          </cell>
          <cell r="E201" t="str">
            <v/>
          </cell>
          <cell r="H201" t="str">
            <v/>
          </cell>
          <cell r="I201" t="str">
            <v/>
          </cell>
          <cell r="K201" t="str">
            <v/>
          </cell>
          <cell r="N201" t="str">
            <v/>
          </cell>
          <cell r="P201" t="str">
            <v/>
          </cell>
        </row>
        <row r="202">
          <cell r="B202" t="str">
            <v/>
          </cell>
          <cell r="C202" t="str">
            <v/>
          </cell>
          <cell r="E202" t="str">
            <v/>
          </cell>
          <cell r="H202" t="str">
            <v/>
          </cell>
          <cell r="I202" t="str">
            <v/>
          </cell>
          <cell r="K202" t="str">
            <v/>
          </cell>
          <cell r="N202" t="str">
            <v/>
          </cell>
          <cell r="P202" t="str">
            <v/>
          </cell>
        </row>
        <row r="203">
          <cell r="B203" t="str">
            <v/>
          </cell>
          <cell r="C203" t="str">
            <v/>
          </cell>
          <cell r="E203" t="str">
            <v/>
          </cell>
          <cell r="H203" t="str">
            <v/>
          </cell>
          <cell r="I203" t="str">
            <v/>
          </cell>
          <cell r="K203" t="str">
            <v/>
          </cell>
          <cell r="N203" t="str">
            <v/>
          </cell>
          <cell r="P203" t="str">
            <v/>
          </cell>
        </row>
        <row r="204">
          <cell r="B204" t="str">
            <v/>
          </cell>
          <cell r="C204" t="str">
            <v/>
          </cell>
          <cell r="E204" t="str">
            <v/>
          </cell>
          <cell r="H204" t="str">
            <v/>
          </cell>
          <cell r="I204" t="str">
            <v/>
          </cell>
          <cell r="K204" t="str">
            <v/>
          </cell>
          <cell r="N204" t="str">
            <v/>
          </cell>
          <cell r="P204" t="str">
            <v/>
          </cell>
        </row>
        <row r="205">
          <cell r="B205" t="str">
            <v/>
          </cell>
          <cell r="C205" t="str">
            <v/>
          </cell>
          <cell r="E205" t="str">
            <v/>
          </cell>
          <cell r="H205" t="str">
            <v/>
          </cell>
          <cell r="I205" t="str">
            <v/>
          </cell>
          <cell r="K205" t="str">
            <v/>
          </cell>
          <cell r="N205" t="str">
            <v/>
          </cell>
          <cell r="P205" t="str">
            <v/>
          </cell>
        </row>
        <row r="206">
          <cell r="B206" t="str">
            <v/>
          </cell>
          <cell r="C206" t="str">
            <v/>
          </cell>
          <cell r="E206" t="str">
            <v/>
          </cell>
          <cell r="H206" t="str">
            <v/>
          </cell>
          <cell r="I206" t="str">
            <v/>
          </cell>
          <cell r="K206" t="str">
            <v/>
          </cell>
          <cell r="N206" t="str">
            <v/>
          </cell>
          <cell r="P206" t="str">
            <v/>
          </cell>
        </row>
        <row r="207">
          <cell r="B207" t="str">
            <v/>
          </cell>
          <cell r="C207" t="str">
            <v/>
          </cell>
          <cell r="E207" t="str">
            <v/>
          </cell>
          <cell r="H207" t="str">
            <v/>
          </cell>
          <cell r="I207" t="str">
            <v/>
          </cell>
          <cell r="K207" t="str">
            <v/>
          </cell>
          <cell r="N207" t="str">
            <v/>
          </cell>
          <cell r="P207" t="str">
            <v/>
          </cell>
        </row>
        <row r="208">
          <cell r="B208" t="str">
            <v/>
          </cell>
          <cell r="C208" t="str">
            <v/>
          </cell>
          <cell r="E208" t="str">
            <v/>
          </cell>
          <cell r="H208" t="str">
            <v/>
          </cell>
          <cell r="I208" t="str">
            <v/>
          </cell>
          <cell r="K208" t="str">
            <v/>
          </cell>
          <cell r="N208" t="str">
            <v/>
          </cell>
          <cell r="P208" t="str">
            <v/>
          </cell>
        </row>
        <row r="209">
          <cell r="B209" t="str">
            <v/>
          </cell>
          <cell r="C209" t="str">
            <v/>
          </cell>
          <cell r="E209" t="str">
            <v/>
          </cell>
          <cell r="H209" t="str">
            <v/>
          </cell>
          <cell r="I209" t="str">
            <v/>
          </cell>
          <cell r="K209" t="str">
            <v/>
          </cell>
          <cell r="N209" t="str">
            <v/>
          </cell>
          <cell r="P209" t="str">
            <v/>
          </cell>
        </row>
        <row r="210">
          <cell r="B210" t="str">
            <v/>
          </cell>
          <cell r="C210" t="str">
            <v/>
          </cell>
          <cell r="E210" t="str">
            <v/>
          </cell>
          <cell r="H210" t="str">
            <v/>
          </cell>
          <cell r="I210" t="str">
            <v/>
          </cell>
          <cell r="K210" t="str">
            <v/>
          </cell>
          <cell r="N210" t="str">
            <v/>
          </cell>
          <cell r="P210" t="str">
            <v/>
          </cell>
        </row>
        <row r="211">
          <cell r="B211" t="str">
            <v/>
          </cell>
          <cell r="C211" t="str">
            <v/>
          </cell>
          <cell r="E211" t="str">
            <v/>
          </cell>
          <cell r="H211" t="str">
            <v/>
          </cell>
          <cell r="I211" t="str">
            <v/>
          </cell>
          <cell r="K211" t="str">
            <v/>
          </cell>
          <cell r="N211" t="str">
            <v/>
          </cell>
          <cell r="P211" t="str">
            <v/>
          </cell>
        </row>
        <row r="212">
          <cell r="B212" t="str">
            <v/>
          </cell>
          <cell r="C212" t="str">
            <v/>
          </cell>
          <cell r="E212" t="str">
            <v/>
          </cell>
          <cell r="H212" t="str">
            <v/>
          </cell>
          <cell r="I212" t="str">
            <v/>
          </cell>
          <cell r="K212" t="str">
            <v/>
          </cell>
          <cell r="N212" t="str">
            <v/>
          </cell>
          <cell r="P212" t="str">
            <v/>
          </cell>
        </row>
        <row r="213">
          <cell r="B213" t="str">
            <v/>
          </cell>
          <cell r="C213" t="str">
            <v/>
          </cell>
          <cell r="E213" t="str">
            <v/>
          </cell>
          <cell r="H213" t="str">
            <v/>
          </cell>
          <cell r="I213" t="str">
            <v/>
          </cell>
          <cell r="K213" t="str">
            <v/>
          </cell>
          <cell r="N213" t="str">
            <v/>
          </cell>
          <cell r="P213" t="str">
            <v/>
          </cell>
        </row>
        <row r="214">
          <cell r="B214" t="str">
            <v/>
          </cell>
          <cell r="C214" t="str">
            <v/>
          </cell>
          <cell r="E214" t="str">
            <v/>
          </cell>
          <cell r="H214" t="str">
            <v/>
          </cell>
          <cell r="I214" t="str">
            <v/>
          </cell>
          <cell r="K214" t="str">
            <v/>
          </cell>
          <cell r="N214" t="str">
            <v/>
          </cell>
          <cell r="P214" t="str">
            <v/>
          </cell>
        </row>
        <row r="215">
          <cell r="B215" t="str">
            <v/>
          </cell>
          <cell r="C215" t="str">
            <v/>
          </cell>
          <cell r="E215" t="str">
            <v/>
          </cell>
          <cell r="H215" t="str">
            <v/>
          </cell>
          <cell r="I215" t="str">
            <v/>
          </cell>
          <cell r="K215" t="str">
            <v/>
          </cell>
          <cell r="N215" t="str">
            <v/>
          </cell>
          <cell r="P215" t="str">
            <v/>
          </cell>
        </row>
        <row r="216">
          <cell r="B216" t="str">
            <v/>
          </cell>
          <cell r="C216" t="str">
            <v/>
          </cell>
          <cell r="E216" t="str">
            <v/>
          </cell>
          <cell r="H216" t="str">
            <v/>
          </cell>
          <cell r="I216" t="str">
            <v/>
          </cell>
          <cell r="K216" t="str">
            <v/>
          </cell>
          <cell r="N216" t="str">
            <v/>
          </cell>
          <cell r="P216" t="str">
            <v/>
          </cell>
        </row>
        <row r="217">
          <cell r="B217" t="str">
            <v/>
          </cell>
          <cell r="C217" t="str">
            <v/>
          </cell>
          <cell r="E217" t="str">
            <v/>
          </cell>
          <cell r="H217" t="str">
            <v/>
          </cell>
          <cell r="I217" t="str">
            <v/>
          </cell>
          <cell r="K217" t="str">
            <v/>
          </cell>
          <cell r="N217" t="str">
            <v/>
          </cell>
          <cell r="P217" t="str">
            <v/>
          </cell>
        </row>
        <row r="218">
          <cell r="B218" t="str">
            <v/>
          </cell>
          <cell r="C218" t="str">
            <v/>
          </cell>
          <cell r="E218" t="str">
            <v/>
          </cell>
          <cell r="H218" t="str">
            <v/>
          </cell>
          <cell r="I218" t="str">
            <v/>
          </cell>
          <cell r="K218" t="str">
            <v/>
          </cell>
          <cell r="N218" t="str">
            <v/>
          </cell>
          <cell r="P218" t="str">
            <v/>
          </cell>
        </row>
        <row r="219">
          <cell r="B219" t="str">
            <v/>
          </cell>
          <cell r="C219" t="str">
            <v/>
          </cell>
          <cell r="E219" t="str">
            <v/>
          </cell>
          <cell r="H219" t="str">
            <v/>
          </cell>
          <cell r="I219" t="str">
            <v/>
          </cell>
          <cell r="K219" t="str">
            <v/>
          </cell>
          <cell r="N219" t="str">
            <v/>
          </cell>
          <cell r="P219" t="str">
            <v/>
          </cell>
        </row>
        <row r="220">
          <cell r="B220" t="str">
            <v/>
          </cell>
          <cell r="C220" t="str">
            <v/>
          </cell>
          <cell r="E220" t="str">
            <v/>
          </cell>
          <cell r="H220" t="str">
            <v/>
          </cell>
          <cell r="I220" t="str">
            <v/>
          </cell>
          <cell r="K220" t="str">
            <v/>
          </cell>
          <cell r="N220" t="str">
            <v/>
          </cell>
          <cell r="P220" t="str">
            <v/>
          </cell>
        </row>
        <row r="221">
          <cell r="B221" t="str">
            <v/>
          </cell>
          <cell r="C221" t="str">
            <v/>
          </cell>
          <cell r="E221" t="str">
            <v/>
          </cell>
          <cell r="H221" t="str">
            <v/>
          </cell>
          <cell r="I221" t="str">
            <v/>
          </cell>
          <cell r="K221" t="str">
            <v/>
          </cell>
          <cell r="N221" t="str">
            <v/>
          </cell>
          <cell r="P221" t="str">
            <v/>
          </cell>
        </row>
        <row r="222">
          <cell r="B222" t="str">
            <v/>
          </cell>
          <cell r="C222" t="str">
            <v/>
          </cell>
          <cell r="E222" t="str">
            <v/>
          </cell>
          <cell r="H222" t="str">
            <v/>
          </cell>
          <cell r="I222" t="str">
            <v/>
          </cell>
          <cell r="K222" t="str">
            <v/>
          </cell>
          <cell r="N222" t="str">
            <v/>
          </cell>
          <cell r="P222" t="str">
            <v/>
          </cell>
        </row>
        <row r="223">
          <cell r="B223" t="str">
            <v/>
          </cell>
          <cell r="C223" t="str">
            <v/>
          </cell>
          <cell r="E223" t="str">
            <v/>
          </cell>
          <cell r="H223" t="str">
            <v/>
          </cell>
          <cell r="I223" t="str">
            <v/>
          </cell>
          <cell r="K223" t="str">
            <v/>
          </cell>
          <cell r="N223" t="str">
            <v/>
          </cell>
          <cell r="P223" t="str">
            <v/>
          </cell>
        </row>
        <row r="224">
          <cell r="B224" t="str">
            <v/>
          </cell>
          <cell r="C224" t="str">
            <v/>
          </cell>
          <cell r="E224" t="str">
            <v/>
          </cell>
          <cell r="H224" t="str">
            <v/>
          </cell>
          <cell r="I224" t="str">
            <v/>
          </cell>
          <cell r="K224" t="str">
            <v/>
          </cell>
          <cell r="N224" t="str">
            <v/>
          </cell>
          <cell r="P224" t="str">
            <v/>
          </cell>
        </row>
        <row r="225">
          <cell r="B225" t="str">
            <v/>
          </cell>
          <cell r="C225" t="str">
            <v/>
          </cell>
          <cell r="E225" t="str">
            <v/>
          </cell>
          <cell r="H225" t="str">
            <v/>
          </cell>
          <cell r="I225" t="str">
            <v/>
          </cell>
          <cell r="K225" t="str">
            <v/>
          </cell>
          <cell r="N225" t="str">
            <v/>
          </cell>
          <cell r="P225" t="str">
            <v/>
          </cell>
        </row>
        <row r="226">
          <cell r="B226" t="str">
            <v/>
          </cell>
          <cell r="C226" t="str">
            <v/>
          </cell>
          <cell r="E226" t="str">
            <v/>
          </cell>
          <cell r="H226" t="str">
            <v/>
          </cell>
          <cell r="I226" t="str">
            <v/>
          </cell>
          <cell r="K226" t="str">
            <v/>
          </cell>
          <cell r="N226" t="str">
            <v/>
          </cell>
          <cell r="P226" t="str">
            <v/>
          </cell>
        </row>
        <row r="227">
          <cell r="B227" t="str">
            <v/>
          </cell>
          <cell r="C227" t="str">
            <v/>
          </cell>
          <cell r="E227" t="str">
            <v/>
          </cell>
          <cell r="H227" t="str">
            <v/>
          </cell>
          <cell r="I227" t="str">
            <v/>
          </cell>
          <cell r="K227" t="str">
            <v/>
          </cell>
          <cell r="N227" t="str">
            <v/>
          </cell>
          <cell r="P227" t="str">
            <v/>
          </cell>
        </row>
        <row r="228">
          <cell r="B228" t="str">
            <v/>
          </cell>
          <cell r="C228" t="str">
            <v/>
          </cell>
          <cell r="E228" t="str">
            <v/>
          </cell>
          <cell r="H228" t="str">
            <v/>
          </cell>
          <cell r="I228" t="str">
            <v/>
          </cell>
          <cell r="K228" t="str">
            <v/>
          </cell>
          <cell r="N228" t="str">
            <v/>
          </cell>
          <cell r="P228" t="str">
            <v/>
          </cell>
        </row>
        <row r="229">
          <cell r="B229" t="str">
            <v/>
          </cell>
          <cell r="C229" t="str">
            <v/>
          </cell>
          <cell r="E229" t="str">
            <v/>
          </cell>
          <cell r="H229" t="str">
            <v/>
          </cell>
          <cell r="I229" t="str">
            <v/>
          </cell>
          <cell r="K229" t="str">
            <v/>
          </cell>
          <cell r="N229" t="str">
            <v/>
          </cell>
          <cell r="P229" t="str">
            <v/>
          </cell>
        </row>
        <row r="230">
          <cell r="B230" t="str">
            <v/>
          </cell>
          <cell r="C230" t="str">
            <v/>
          </cell>
          <cell r="E230" t="str">
            <v/>
          </cell>
          <cell r="H230" t="str">
            <v/>
          </cell>
          <cell r="I230" t="str">
            <v/>
          </cell>
          <cell r="K230" t="str">
            <v/>
          </cell>
          <cell r="N230" t="str">
            <v/>
          </cell>
          <cell r="P230" t="str">
            <v/>
          </cell>
        </row>
        <row r="231">
          <cell r="B231" t="str">
            <v/>
          </cell>
          <cell r="C231" t="str">
            <v/>
          </cell>
          <cell r="E231" t="str">
            <v/>
          </cell>
          <cell r="H231" t="str">
            <v/>
          </cell>
          <cell r="I231" t="str">
            <v/>
          </cell>
          <cell r="K231" t="str">
            <v/>
          </cell>
          <cell r="N231" t="str">
            <v/>
          </cell>
          <cell r="P231" t="str">
            <v/>
          </cell>
        </row>
        <row r="232">
          <cell r="B232" t="str">
            <v/>
          </cell>
          <cell r="C232" t="str">
            <v/>
          </cell>
          <cell r="E232" t="str">
            <v/>
          </cell>
          <cell r="H232" t="str">
            <v/>
          </cell>
          <cell r="I232" t="str">
            <v/>
          </cell>
          <cell r="K232" t="str">
            <v/>
          </cell>
          <cell r="N232" t="str">
            <v/>
          </cell>
          <cell r="P232" t="str">
            <v/>
          </cell>
        </row>
        <row r="233">
          <cell r="B233" t="str">
            <v/>
          </cell>
          <cell r="C233" t="str">
            <v/>
          </cell>
          <cell r="E233" t="str">
            <v/>
          </cell>
          <cell r="H233" t="str">
            <v/>
          </cell>
          <cell r="I233" t="str">
            <v/>
          </cell>
          <cell r="K233" t="str">
            <v/>
          </cell>
          <cell r="N233" t="str">
            <v/>
          </cell>
          <cell r="P233" t="str">
            <v/>
          </cell>
        </row>
        <row r="234">
          <cell r="B234" t="str">
            <v/>
          </cell>
          <cell r="C234" t="str">
            <v/>
          </cell>
          <cell r="E234" t="str">
            <v/>
          </cell>
          <cell r="H234" t="str">
            <v/>
          </cell>
          <cell r="I234" t="str">
            <v/>
          </cell>
          <cell r="K234" t="str">
            <v/>
          </cell>
          <cell r="N234" t="str">
            <v/>
          </cell>
          <cell r="P234" t="str">
            <v/>
          </cell>
        </row>
        <row r="235">
          <cell r="B235" t="str">
            <v/>
          </cell>
          <cell r="C235" t="str">
            <v/>
          </cell>
          <cell r="E235" t="str">
            <v/>
          </cell>
          <cell r="H235" t="str">
            <v/>
          </cell>
          <cell r="I235" t="str">
            <v/>
          </cell>
          <cell r="K235" t="str">
            <v/>
          </cell>
          <cell r="N235" t="str">
            <v/>
          </cell>
          <cell r="P235" t="str">
            <v/>
          </cell>
        </row>
        <row r="236">
          <cell r="B236" t="str">
            <v/>
          </cell>
          <cell r="C236" t="str">
            <v/>
          </cell>
          <cell r="E236" t="str">
            <v/>
          </cell>
          <cell r="H236" t="str">
            <v/>
          </cell>
          <cell r="I236" t="str">
            <v/>
          </cell>
          <cell r="K236" t="str">
            <v/>
          </cell>
          <cell r="N236" t="str">
            <v/>
          </cell>
          <cell r="P236" t="str">
            <v/>
          </cell>
        </row>
        <row r="237">
          <cell r="B237" t="str">
            <v/>
          </cell>
          <cell r="C237" t="str">
            <v/>
          </cell>
          <cell r="E237" t="str">
            <v/>
          </cell>
          <cell r="H237" t="str">
            <v/>
          </cell>
          <cell r="I237" t="str">
            <v/>
          </cell>
          <cell r="K237" t="str">
            <v/>
          </cell>
          <cell r="N237" t="str">
            <v/>
          </cell>
          <cell r="P237" t="str">
            <v/>
          </cell>
        </row>
        <row r="238">
          <cell r="B238" t="str">
            <v/>
          </cell>
          <cell r="C238" t="str">
            <v/>
          </cell>
          <cell r="E238" t="str">
            <v/>
          </cell>
          <cell r="H238" t="str">
            <v/>
          </cell>
          <cell r="I238" t="str">
            <v/>
          </cell>
          <cell r="K238" t="str">
            <v/>
          </cell>
          <cell r="N238" t="str">
            <v/>
          </cell>
          <cell r="P238" t="str">
            <v/>
          </cell>
        </row>
        <row r="239">
          <cell r="B239" t="str">
            <v/>
          </cell>
          <cell r="C239" t="str">
            <v/>
          </cell>
          <cell r="E239" t="str">
            <v/>
          </cell>
          <cell r="H239" t="str">
            <v/>
          </cell>
          <cell r="I239" t="str">
            <v/>
          </cell>
          <cell r="K239" t="str">
            <v/>
          </cell>
          <cell r="N239" t="str">
            <v/>
          </cell>
          <cell r="P239" t="str">
            <v/>
          </cell>
        </row>
        <row r="240">
          <cell r="B240" t="str">
            <v/>
          </cell>
          <cell r="C240" t="str">
            <v/>
          </cell>
          <cell r="E240" t="str">
            <v/>
          </cell>
          <cell r="H240" t="str">
            <v/>
          </cell>
          <cell r="I240" t="str">
            <v/>
          </cell>
          <cell r="K240" t="str">
            <v/>
          </cell>
          <cell r="N240" t="str">
            <v/>
          </cell>
          <cell r="P240" t="str">
            <v/>
          </cell>
        </row>
        <row r="241">
          <cell r="B241" t="str">
            <v/>
          </cell>
          <cell r="C241" t="str">
            <v/>
          </cell>
          <cell r="E241" t="str">
            <v/>
          </cell>
          <cell r="H241" t="str">
            <v/>
          </cell>
          <cell r="I241" t="str">
            <v/>
          </cell>
          <cell r="K241" t="str">
            <v/>
          </cell>
          <cell r="N241" t="str">
            <v/>
          </cell>
          <cell r="P241" t="str">
            <v/>
          </cell>
        </row>
        <row r="242">
          <cell r="B242" t="str">
            <v/>
          </cell>
          <cell r="C242" t="str">
            <v/>
          </cell>
          <cell r="E242" t="str">
            <v/>
          </cell>
          <cell r="H242" t="str">
            <v/>
          </cell>
          <cell r="I242" t="str">
            <v/>
          </cell>
          <cell r="K242" t="str">
            <v/>
          </cell>
          <cell r="N242" t="str">
            <v/>
          </cell>
          <cell r="P242" t="str">
            <v/>
          </cell>
        </row>
        <row r="243">
          <cell r="B243" t="str">
            <v/>
          </cell>
          <cell r="C243" t="str">
            <v/>
          </cell>
          <cell r="E243" t="str">
            <v/>
          </cell>
          <cell r="H243" t="str">
            <v/>
          </cell>
          <cell r="I243" t="str">
            <v/>
          </cell>
          <cell r="K243" t="str">
            <v/>
          </cell>
          <cell r="N243" t="str">
            <v/>
          </cell>
          <cell r="P243" t="str">
            <v/>
          </cell>
        </row>
        <row r="244">
          <cell r="B244" t="str">
            <v/>
          </cell>
          <cell r="C244" t="str">
            <v/>
          </cell>
          <cell r="E244" t="str">
            <v/>
          </cell>
          <cell r="H244" t="str">
            <v/>
          </cell>
          <cell r="I244" t="str">
            <v/>
          </cell>
          <cell r="K244" t="str">
            <v/>
          </cell>
          <cell r="N244" t="str">
            <v/>
          </cell>
          <cell r="P244" t="str">
            <v/>
          </cell>
        </row>
        <row r="245">
          <cell r="B245" t="str">
            <v/>
          </cell>
          <cell r="C245" t="str">
            <v/>
          </cell>
          <cell r="E245" t="str">
            <v/>
          </cell>
          <cell r="H245" t="str">
            <v/>
          </cell>
          <cell r="I245" t="str">
            <v/>
          </cell>
          <cell r="K245" t="str">
            <v/>
          </cell>
          <cell r="N245" t="str">
            <v/>
          </cell>
          <cell r="P245" t="str">
            <v/>
          </cell>
        </row>
        <row r="246">
          <cell r="B246" t="str">
            <v/>
          </cell>
          <cell r="C246" t="str">
            <v/>
          </cell>
          <cell r="E246" t="str">
            <v/>
          </cell>
          <cell r="H246" t="str">
            <v/>
          </cell>
          <cell r="I246" t="str">
            <v/>
          </cell>
          <cell r="K246" t="str">
            <v/>
          </cell>
          <cell r="N246" t="str">
            <v/>
          </cell>
          <cell r="P246" t="str">
            <v/>
          </cell>
        </row>
        <row r="247">
          <cell r="B247" t="str">
            <v/>
          </cell>
          <cell r="C247" t="str">
            <v/>
          </cell>
          <cell r="E247" t="str">
            <v/>
          </cell>
          <cell r="H247" t="str">
            <v/>
          </cell>
          <cell r="I247" t="str">
            <v/>
          </cell>
          <cell r="K247" t="str">
            <v/>
          </cell>
          <cell r="N247" t="str">
            <v/>
          </cell>
          <cell r="P247" t="str">
            <v/>
          </cell>
        </row>
        <row r="248">
          <cell r="B248" t="str">
            <v/>
          </cell>
          <cell r="C248" t="str">
            <v/>
          </cell>
          <cell r="E248" t="str">
            <v/>
          </cell>
          <cell r="H248" t="str">
            <v/>
          </cell>
          <cell r="I248" t="str">
            <v/>
          </cell>
          <cell r="K248" t="str">
            <v/>
          </cell>
          <cell r="N248" t="str">
            <v/>
          </cell>
          <cell r="P248" t="str">
            <v/>
          </cell>
        </row>
        <row r="249">
          <cell r="B249" t="str">
            <v/>
          </cell>
          <cell r="C249" t="str">
            <v/>
          </cell>
          <cell r="E249" t="str">
            <v/>
          </cell>
          <cell r="H249" t="str">
            <v/>
          </cell>
          <cell r="I249" t="str">
            <v/>
          </cell>
          <cell r="K249" t="str">
            <v/>
          </cell>
          <cell r="N249" t="str">
            <v/>
          </cell>
          <cell r="P249" t="str">
            <v/>
          </cell>
        </row>
        <row r="250">
          <cell r="B250" t="str">
            <v/>
          </cell>
          <cell r="C250" t="str">
            <v/>
          </cell>
          <cell r="E250" t="str">
            <v/>
          </cell>
          <cell r="H250" t="str">
            <v/>
          </cell>
          <cell r="I250" t="str">
            <v/>
          </cell>
          <cell r="K250" t="str">
            <v/>
          </cell>
          <cell r="N250" t="str">
            <v/>
          </cell>
          <cell r="P250" t="str">
            <v/>
          </cell>
        </row>
        <row r="251">
          <cell r="B251" t="str">
            <v/>
          </cell>
          <cell r="C251" t="str">
            <v/>
          </cell>
          <cell r="E251" t="str">
            <v/>
          </cell>
          <cell r="H251" t="str">
            <v/>
          </cell>
          <cell r="I251" t="str">
            <v/>
          </cell>
          <cell r="K251" t="str">
            <v/>
          </cell>
          <cell r="N251" t="str">
            <v/>
          </cell>
          <cell r="P251" t="str">
            <v/>
          </cell>
        </row>
        <row r="252">
          <cell r="B252" t="str">
            <v/>
          </cell>
          <cell r="C252" t="str">
            <v/>
          </cell>
          <cell r="E252" t="str">
            <v/>
          </cell>
          <cell r="H252" t="str">
            <v/>
          </cell>
          <cell r="I252" t="str">
            <v/>
          </cell>
          <cell r="K252" t="str">
            <v/>
          </cell>
          <cell r="N252" t="str">
            <v/>
          </cell>
          <cell r="P252" t="str">
            <v/>
          </cell>
        </row>
        <row r="253">
          <cell r="B253" t="str">
            <v/>
          </cell>
          <cell r="C253" t="str">
            <v/>
          </cell>
          <cell r="E253" t="str">
            <v/>
          </cell>
          <cell r="H253" t="str">
            <v/>
          </cell>
          <cell r="I253" t="str">
            <v/>
          </cell>
          <cell r="K253" t="str">
            <v/>
          </cell>
          <cell r="N253" t="str">
            <v/>
          </cell>
          <cell r="P253" t="str">
            <v/>
          </cell>
        </row>
        <row r="254">
          <cell r="B254" t="str">
            <v/>
          </cell>
          <cell r="C254" t="str">
            <v/>
          </cell>
          <cell r="E254" t="str">
            <v/>
          </cell>
          <cell r="H254" t="str">
            <v/>
          </cell>
          <cell r="I254" t="str">
            <v/>
          </cell>
          <cell r="K254" t="str">
            <v/>
          </cell>
          <cell r="N254" t="str">
            <v/>
          </cell>
          <cell r="P254" t="str">
            <v/>
          </cell>
        </row>
        <row r="255">
          <cell r="B255" t="str">
            <v/>
          </cell>
          <cell r="C255" t="str">
            <v/>
          </cell>
          <cell r="E255" t="str">
            <v/>
          </cell>
          <cell r="H255" t="str">
            <v/>
          </cell>
          <cell r="I255" t="str">
            <v/>
          </cell>
          <cell r="K255" t="str">
            <v/>
          </cell>
          <cell r="N255" t="str">
            <v/>
          </cell>
          <cell r="P255" t="str">
            <v/>
          </cell>
        </row>
        <row r="256">
          <cell r="B256" t="str">
            <v/>
          </cell>
          <cell r="C256" t="str">
            <v/>
          </cell>
          <cell r="E256" t="str">
            <v/>
          </cell>
          <cell r="H256" t="str">
            <v/>
          </cell>
          <cell r="I256" t="str">
            <v/>
          </cell>
          <cell r="K256" t="str">
            <v/>
          </cell>
          <cell r="N256" t="str">
            <v/>
          </cell>
          <cell r="P256" t="str">
            <v/>
          </cell>
        </row>
        <row r="257">
          <cell r="B257" t="str">
            <v/>
          </cell>
          <cell r="C257" t="str">
            <v/>
          </cell>
          <cell r="E257" t="str">
            <v/>
          </cell>
          <cell r="H257" t="str">
            <v/>
          </cell>
          <cell r="I257" t="str">
            <v/>
          </cell>
          <cell r="K257" t="str">
            <v/>
          </cell>
          <cell r="N257" t="str">
            <v/>
          </cell>
          <cell r="P257" t="str">
            <v/>
          </cell>
        </row>
        <row r="258">
          <cell r="B258" t="str">
            <v/>
          </cell>
          <cell r="C258" t="str">
            <v/>
          </cell>
          <cell r="E258" t="str">
            <v/>
          </cell>
          <cell r="H258" t="str">
            <v/>
          </cell>
          <cell r="I258" t="str">
            <v/>
          </cell>
          <cell r="K258" t="str">
            <v/>
          </cell>
          <cell r="N258" t="str">
            <v/>
          </cell>
          <cell r="P258" t="str">
            <v/>
          </cell>
        </row>
        <row r="259">
          <cell r="B259" t="str">
            <v/>
          </cell>
          <cell r="C259" t="str">
            <v/>
          </cell>
          <cell r="E259" t="str">
            <v/>
          </cell>
          <cell r="H259" t="str">
            <v/>
          </cell>
          <cell r="I259" t="str">
            <v/>
          </cell>
          <cell r="K259" t="str">
            <v/>
          </cell>
          <cell r="N259" t="str">
            <v/>
          </cell>
          <cell r="P259" t="str">
            <v/>
          </cell>
        </row>
        <row r="260">
          <cell r="B260" t="str">
            <v/>
          </cell>
          <cell r="C260" t="str">
            <v/>
          </cell>
          <cell r="E260" t="str">
            <v/>
          </cell>
          <cell r="H260" t="str">
            <v/>
          </cell>
          <cell r="I260" t="str">
            <v/>
          </cell>
          <cell r="K260" t="str">
            <v/>
          </cell>
          <cell r="N260" t="str">
            <v/>
          </cell>
          <cell r="P260" t="str">
            <v/>
          </cell>
        </row>
        <row r="261">
          <cell r="B261" t="str">
            <v/>
          </cell>
          <cell r="C261" t="str">
            <v/>
          </cell>
          <cell r="E261" t="str">
            <v/>
          </cell>
          <cell r="H261" t="str">
            <v/>
          </cell>
          <cell r="I261" t="str">
            <v/>
          </cell>
          <cell r="K261" t="str">
            <v/>
          </cell>
          <cell r="N261" t="str">
            <v/>
          </cell>
          <cell r="P261" t="str">
            <v/>
          </cell>
        </row>
        <row r="262">
          <cell r="B262" t="str">
            <v/>
          </cell>
          <cell r="C262" t="str">
            <v/>
          </cell>
          <cell r="E262" t="str">
            <v/>
          </cell>
          <cell r="H262" t="str">
            <v/>
          </cell>
          <cell r="I262" t="str">
            <v/>
          </cell>
          <cell r="K262" t="str">
            <v/>
          </cell>
          <cell r="N262" t="str">
            <v/>
          </cell>
          <cell r="P262" t="str">
            <v/>
          </cell>
        </row>
        <row r="263">
          <cell r="B263" t="str">
            <v/>
          </cell>
          <cell r="C263" t="str">
            <v/>
          </cell>
          <cell r="E263" t="str">
            <v/>
          </cell>
          <cell r="H263" t="str">
            <v/>
          </cell>
          <cell r="I263" t="str">
            <v/>
          </cell>
          <cell r="K263" t="str">
            <v/>
          </cell>
          <cell r="N263" t="str">
            <v/>
          </cell>
          <cell r="P263" t="str">
            <v/>
          </cell>
        </row>
        <row r="264">
          <cell r="B264" t="str">
            <v/>
          </cell>
          <cell r="C264" t="str">
            <v/>
          </cell>
          <cell r="E264" t="str">
            <v/>
          </cell>
          <cell r="H264" t="str">
            <v/>
          </cell>
          <cell r="I264" t="str">
            <v/>
          </cell>
          <cell r="K264" t="str">
            <v/>
          </cell>
          <cell r="N264" t="str">
            <v/>
          </cell>
          <cell r="P264" t="str">
            <v/>
          </cell>
        </row>
        <row r="265">
          <cell r="B265" t="str">
            <v/>
          </cell>
          <cell r="C265" t="str">
            <v/>
          </cell>
          <cell r="E265" t="str">
            <v/>
          </cell>
          <cell r="H265" t="str">
            <v/>
          </cell>
          <cell r="I265" t="str">
            <v/>
          </cell>
          <cell r="K265" t="str">
            <v/>
          </cell>
          <cell r="N265" t="str">
            <v/>
          </cell>
          <cell r="P265" t="str">
            <v/>
          </cell>
        </row>
        <row r="266">
          <cell r="B266" t="str">
            <v/>
          </cell>
          <cell r="C266" t="str">
            <v/>
          </cell>
          <cell r="E266" t="str">
            <v/>
          </cell>
          <cell r="H266" t="str">
            <v/>
          </cell>
          <cell r="I266" t="str">
            <v/>
          </cell>
          <cell r="K266" t="str">
            <v/>
          </cell>
          <cell r="N266" t="str">
            <v/>
          </cell>
          <cell r="P266" t="str">
            <v/>
          </cell>
        </row>
        <row r="267">
          <cell r="B267" t="str">
            <v/>
          </cell>
          <cell r="C267" t="str">
            <v/>
          </cell>
          <cell r="E267" t="str">
            <v/>
          </cell>
          <cell r="H267" t="str">
            <v/>
          </cell>
          <cell r="I267" t="str">
            <v/>
          </cell>
          <cell r="K267" t="str">
            <v/>
          </cell>
          <cell r="N267" t="str">
            <v/>
          </cell>
          <cell r="P267" t="str">
            <v/>
          </cell>
        </row>
        <row r="268">
          <cell r="B268" t="str">
            <v/>
          </cell>
          <cell r="C268" t="str">
            <v/>
          </cell>
          <cell r="E268" t="str">
            <v/>
          </cell>
          <cell r="H268" t="str">
            <v/>
          </cell>
          <cell r="I268" t="str">
            <v/>
          </cell>
          <cell r="K268" t="str">
            <v/>
          </cell>
          <cell r="N268" t="str">
            <v/>
          </cell>
          <cell r="P268" t="str">
            <v/>
          </cell>
        </row>
        <row r="269">
          <cell r="B269" t="str">
            <v/>
          </cell>
          <cell r="C269" t="str">
            <v/>
          </cell>
          <cell r="E269" t="str">
            <v/>
          </cell>
          <cell r="H269" t="str">
            <v/>
          </cell>
          <cell r="I269" t="str">
            <v/>
          </cell>
          <cell r="K269" t="str">
            <v/>
          </cell>
          <cell r="N269" t="str">
            <v/>
          </cell>
          <cell r="P269" t="str">
            <v/>
          </cell>
        </row>
        <row r="270">
          <cell r="B270" t="str">
            <v/>
          </cell>
          <cell r="C270" t="str">
            <v/>
          </cell>
          <cell r="E270" t="str">
            <v/>
          </cell>
          <cell r="H270" t="str">
            <v/>
          </cell>
          <cell r="I270" t="str">
            <v/>
          </cell>
          <cell r="K270" t="str">
            <v/>
          </cell>
          <cell r="N270" t="str">
            <v/>
          </cell>
          <cell r="P270" t="str">
            <v/>
          </cell>
        </row>
        <row r="271">
          <cell r="B271" t="str">
            <v/>
          </cell>
          <cell r="C271" t="str">
            <v/>
          </cell>
          <cell r="E271" t="str">
            <v/>
          </cell>
          <cell r="H271" t="str">
            <v/>
          </cell>
          <cell r="I271" t="str">
            <v/>
          </cell>
          <cell r="K271" t="str">
            <v/>
          </cell>
          <cell r="N271" t="str">
            <v/>
          </cell>
          <cell r="P271" t="str">
            <v/>
          </cell>
        </row>
        <row r="272">
          <cell r="B272" t="str">
            <v/>
          </cell>
          <cell r="C272" t="str">
            <v/>
          </cell>
          <cell r="E272" t="str">
            <v/>
          </cell>
          <cell r="H272" t="str">
            <v/>
          </cell>
          <cell r="I272" t="str">
            <v/>
          </cell>
          <cell r="K272" t="str">
            <v/>
          </cell>
          <cell r="N272" t="str">
            <v/>
          </cell>
          <cell r="P272" t="str">
            <v/>
          </cell>
        </row>
        <row r="273">
          <cell r="B273" t="str">
            <v/>
          </cell>
          <cell r="C273" t="str">
            <v/>
          </cell>
          <cell r="E273" t="str">
            <v/>
          </cell>
          <cell r="H273" t="str">
            <v/>
          </cell>
          <cell r="I273" t="str">
            <v/>
          </cell>
          <cell r="K273" t="str">
            <v/>
          </cell>
          <cell r="N273" t="str">
            <v/>
          </cell>
          <cell r="P273" t="str">
            <v/>
          </cell>
        </row>
        <row r="274">
          <cell r="B274" t="str">
            <v/>
          </cell>
          <cell r="C274" t="str">
            <v/>
          </cell>
          <cell r="E274" t="str">
            <v/>
          </cell>
          <cell r="H274" t="str">
            <v/>
          </cell>
          <cell r="I274" t="str">
            <v/>
          </cell>
          <cell r="K274" t="str">
            <v/>
          </cell>
          <cell r="N274" t="str">
            <v/>
          </cell>
          <cell r="P274" t="str">
            <v/>
          </cell>
        </row>
        <row r="275">
          <cell r="B275" t="str">
            <v/>
          </cell>
          <cell r="C275" t="str">
            <v/>
          </cell>
          <cell r="E275" t="str">
            <v/>
          </cell>
          <cell r="H275" t="str">
            <v/>
          </cell>
          <cell r="I275" t="str">
            <v/>
          </cell>
          <cell r="K275" t="str">
            <v/>
          </cell>
          <cell r="N275" t="str">
            <v/>
          </cell>
          <cell r="P275" t="str">
            <v/>
          </cell>
        </row>
        <row r="276">
          <cell r="B276" t="str">
            <v/>
          </cell>
          <cell r="C276" t="str">
            <v/>
          </cell>
          <cell r="E276" t="str">
            <v/>
          </cell>
          <cell r="H276" t="str">
            <v/>
          </cell>
          <cell r="I276" t="str">
            <v/>
          </cell>
          <cell r="K276" t="str">
            <v/>
          </cell>
          <cell r="N276" t="str">
            <v/>
          </cell>
          <cell r="P276" t="str">
            <v/>
          </cell>
        </row>
        <row r="277">
          <cell r="B277" t="str">
            <v/>
          </cell>
          <cell r="C277" t="str">
            <v/>
          </cell>
          <cell r="E277" t="str">
            <v/>
          </cell>
          <cell r="H277" t="str">
            <v/>
          </cell>
          <cell r="I277" t="str">
            <v/>
          </cell>
          <cell r="K277" t="str">
            <v/>
          </cell>
          <cell r="N277" t="str">
            <v/>
          </cell>
          <cell r="P277" t="str">
            <v/>
          </cell>
        </row>
        <row r="278">
          <cell r="B278" t="str">
            <v/>
          </cell>
          <cell r="C278" t="str">
            <v/>
          </cell>
          <cell r="E278" t="str">
            <v/>
          </cell>
          <cell r="H278" t="str">
            <v/>
          </cell>
          <cell r="I278" t="str">
            <v/>
          </cell>
          <cell r="K278" t="str">
            <v/>
          </cell>
          <cell r="N278" t="str">
            <v/>
          </cell>
          <cell r="P278" t="str">
            <v/>
          </cell>
        </row>
        <row r="279">
          <cell r="B279" t="str">
            <v/>
          </cell>
          <cell r="C279" t="str">
            <v/>
          </cell>
          <cell r="E279" t="str">
            <v/>
          </cell>
          <cell r="H279" t="str">
            <v/>
          </cell>
          <cell r="I279" t="str">
            <v/>
          </cell>
          <cell r="K279" t="str">
            <v/>
          </cell>
          <cell r="N279" t="str">
            <v/>
          </cell>
          <cell r="P279" t="str">
            <v/>
          </cell>
        </row>
        <row r="280">
          <cell r="B280" t="str">
            <v/>
          </cell>
          <cell r="C280" t="str">
            <v/>
          </cell>
          <cell r="E280" t="str">
            <v/>
          </cell>
          <cell r="H280" t="str">
            <v/>
          </cell>
          <cell r="I280" t="str">
            <v/>
          </cell>
          <cell r="K280" t="str">
            <v/>
          </cell>
          <cell r="N280" t="str">
            <v/>
          </cell>
          <cell r="P280" t="str">
            <v/>
          </cell>
        </row>
        <row r="281">
          <cell r="B281" t="str">
            <v/>
          </cell>
          <cell r="C281" t="str">
            <v/>
          </cell>
          <cell r="E281" t="str">
            <v/>
          </cell>
          <cell r="H281" t="str">
            <v/>
          </cell>
          <cell r="I281" t="str">
            <v/>
          </cell>
          <cell r="K281" t="str">
            <v/>
          </cell>
          <cell r="N281" t="str">
            <v/>
          </cell>
          <cell r="P281" t="str">
            <v/>
          </cell>
        </row>
        <row r="282">
          <cell r="B282" t="str">
            <v/>
          </cell>
          <cell r="C282" t="str">
            <v/>
          </cell>
          <cell r="E282" t="str">
            <v/>
          </cell>
          <cell r="H282" t="str">
            <v/>
          </cell>
          <cell r="I282" t="str">
            <v/>
          </cell>
          <cell r="K282" t="str">
            <v/>
          </cell>
          <cell r="N282" t="str">
            <v/>
          </cell>
          <cell r="P282" t="str">
            <v/>
          </cell>
        </row>
        <row r="283">
          <cell r="B283" t="str">
            <v/>
          </cell>
          <cell r="C283" t="str">
            <v/>
          </cell>
          <cell r="E283" t="str">
            <v/>
          </cell>
          <cell r="H283" t="str">
            <v/>
          </cell>
          <cell r="I283" t="str">
            <v/>
          </cell>
          <cell r="K283" t="str">
            <v/>
          </cell>
          <cell r="N283" t="str">
            <v/>
          </cell>
          <cell r="P283" t="str">
            <v/>
          </cell>
        </row>
        <row r="284">
          <cell r="B284" t="str">
            <v/>
          </cell>
          <cell r="C284" t="str">
            <v/>
          </cell>
          <cell r="E284" t="str">
            <v/>
          </cell>
          <cell r="H284" t="str">
            <v/>
          </cell>
          <cell r="I284" t="str">
            <v/>
          </cell>
          <cell r="K284" t="str">
            <v/>
          </cell>
          <cell r="N284" t="str">
            <v/>
          </cell>
          <cell r="P284" t="str">
            <v/>
          </cell>
        </row>
        <row r="285">
          <cell r="B285" t="str">
            <v/>
          </cell>
          <cell r="C285" t="str">
            <v/>
          </cell>
          <cell r="E285" t="str">
            <v/>
          </cell>
          <cell r="H285" t="str">
            <v/>
          </cell>
          <cell r="I285" t="str">
            <v/>
          </cell>
          <cell r="K285" t="str">
            <v/>
          </cell>
          <cell r="N285" t="str">
            <v/>
          </cell>
          <cell r="P285" t="str">
            <v/>
          </cell>
        </row>
        <row r="286">
          <cell r="B286" t="str">
            <v/>
          </cell>
          <cell r="C286" t="str">
            <v/>
          </cell>
          <cell r="E286" t="str">
            <v/>
          </cell>
          <cell r="H286" t="str">
            <v/>
          </cell>
          <cell r="I286" t="str">
            <v/>
          </cell>
          <cell r="K286" t="str">
            <v/>
          </cell>
          <cell r="N286" t="str">
            <v/>
          </cell>
          <cell r="P286" t="str">
            <v/>
          </cell>
        </row>
        <row r="287">
          <cell r="B287" t="str">
            <v/>
          </cell>
          <cell r="C287" t="str">
            <v/>
          </cell>
          <cell r="E287" t="str">
            <v/>
          </cell>
          <cell r="H287" t="str">
            <v/>
          </cell>
          <cell r="I287" t="str">
            <v/>
          </cell>
          <cell r="K287" t="str">
            <v/>
          </cell>
          <cell r="N287" t="str">
            <v/>
          </cell>
          <cell r="P287" t="str">
            <v/>
          </cell>
        </row>
        <row r="288">
          <cell r="B288" t="str">
            <v/>
          </cell>
          <cell r="C288" t="str">
            <v/>
          </cell>
          <cell r="E288" t="str">
            <v/>
          </cell>
          <cell r="H288" t="str">
            <v/>
          </cell>
          <cell r="I288" t="str">
            <v/>
          </cell>
          <cell r="K288" t="str">
            <v/>
          </cell>
          <cell r="N288" t="str">
            <v/>
          </cell>
          <cell r="P288" t="str">
            <v/>
          </cell>
        </row>
        <row r="289">
          <cell r="B289" t="str">
            <v/>
          </cell>
          <cell r="C289" t="str">
            <v/>
          </cell>
          <cell r="E289" t="str">
            <v/>
          </cell>
          <cell r="H289" t="str">
            <v/>
          </cell>
          <cell r="I289" t="str">
            <v/>
          </cell>
          <cell r="K289" t="str">
            <v/>
          </cell>
          <cell r="N289" t="str">
            <v/>
          </cell>
          <cell r="P289" t="str">
            <v/>
          </cell>
        </row>
        <row r="290">
          <cell r="B290" t="str">
            <v/>
          </cell>
          <cell r="C290" t="str">
            <v/>
          </cell>
          <cell r="E290" t="str">
            <v/>
          </cell>
          <cell r="H290" t="str">
            <v/>
          </cell>
          <cell r="I290" t="str">
            <v/>
          </cell>
          <cell r="K290" t="str">
            <v/>
          </cell>
          <cell r="N290" t="str">
            <v/>
          </cell>
          <cell r="P290" t="str">
            <v/>
          </cell>
        </row>
        <row r="291">
          <cell r="B291" t="str">
            <v/>
          </cell>
          <cell r="C291" t="str">
            <v/>
          </cell>
          <cell r="E291" t="str">
            <v/>
          </cell>
          <cell r="H291" t="str">
            <v/>
          </cell>
          <cell r="I291" t="str">
            <v/>
          </cell>
          <cell r="K291" t="str">
            <v/>
          </cell>
          <cell r="N291" t="str">
            <v/>
          </cell>
          <cell r="P291" t="str">
            <v/>
          </cell>
        </row>
        <row r="292">
          <cell r="B292" t="str">
            <v/>
          </cell>
          <cell r="C292" t="str">
            <v/>
          </cell>
          <cell r="E292" t="str">
            <v/>
          </cell>
          <cell r="H292" t="str">
            <v/>
          </cell>
          <cell r="I292" t="str">
            <v/>
          </cell>
          <cell r="K292" t="str">
            <v/>
          </cell>
          <cell r="N292" t="str">
            <v/>
          </cell>
          <cell r="P292" t="str">
            <v/>
          </cell>
        </row>
        <row r="293">
          <cell r="B293" t="str">
            <v/>
          </cell>
          <cell r="C293" t="str">
            <v/>
          </cell>
          <cell r="E293" t="str">
            <v/>
          </cell>
          <cell r="H293" t="str">
            <v/>
          </cell>
          <cell r="I293" t="str">
            <v/>
          </cell>
          <cell r="K293" t="str">
            <v/>
          </cell>
          <cell r="N293" t="str">
            <v/>
          </cell>
          <cell r="P293" t="str">
            <v/>
          </cell>
        </row>
        <row r="294">
          <cell r="B294" t="str">
            <v/>
          </cell>
          <cell r="C294" t="str">
            <v/>
          </cell>
          <cell r="E294" t="str">
            <v/>
          </cell>
          <cell r="H294" t="str">
            <v/>
          </cell>
          <cell r="I294" t="str">
            <v/>
          </cell>
          <cell r="K294" t="str">
            <v/>
          </cell>
          <cell r="N294" t="str">
            <v/>
          </cell>
          <cell r="P294" t="str">
            <v/>
          </cell>
        </row>
        <row r="295">
          <cell r="B295" t="str">
            <v/>
          </cell>
          <cell r="C295" t="str">
            <v/>
          </cell>
          <cell r="E295" t="str">
            <v/>
          </cell>
          <cell r="H295" t="str">
            <v/>
          </cell>
          <cell r="I295" t="str">
            <v/>
          </cell>
          <cell r="K295" t="str">
            <v/>
          </cell>
          <cell r="N295" t="str">
            <v/>
          </cell>
          <cell r="P295" t="str">
            <v/>
          </cell>
        </row>
        <row r="296">
          <cell r="B296" t="str">
            <v/>
          </cell>
          <cell r="C296" t="str">
            <v/>
          </cell>
          <cell r="E296" t="str">
            <v/>
          </cell>
          <cell r="H296" t="str">
            <v/>
          </cell>
          <cell r="I296" t="str">
            <v/>
          </cell>
          <cell r="K296" t="str">
            <v/>
          </cell>
          <cell r="N296" t="str">
            <v/>
          </cell>
          <cell r="P296" t="str">
            <v/>
          </cell>
        </row>
        <row r="297">
          <cell r="B297" t="str">
            <v/>
          </cell>
          <cell r="C297" t="str">
            <v/>
          </cell>
          <cell r="E297" t="str">
            <v/>
          </cell>
          <cell r="H297" t="str">
            <v/>
          </cell>
          <cell r="I297" t="str">
            <v/>
          </cell>
          <cell r="K297" t="str">
            <v/>
          </cell>
          <cell r="N297" t="str">
            <v/>
          </cell>
          <cell r="P297" t="str">
            <v/>
          </cell>
        </row>
        <row r="298">
          <cell r="B298" t="str">
            <v/>
          </cell>
          <cell r="C298" t="str">
            <v/>
          </cell>
          <cell r="E298" t="str">
            <v/>
          </cell>
          <cell r="H298" t="str">
            <v/>
          </cell>
          <cell r="I298" t="str">
            <v/>
          </cell>
          <cell r="K298" t="str">
            <v/>
          </cell>
          <cell r="N298" t="str">
            <v/>
          </cell>
          <cell r="P298" t="str">
            <v/>
          </cell>
        </row>
        <row r="299">
          <cell r="B299" t="str">
            <v/>
          </cell>
          <cell r="C299" t="str">
            <v/>
          </cell>
          <cell r="E299" t="str">
            <v/>
          </cell>
          <cell r="H299" t="str">
            <v/>
          </cell>
          <cell r="I299" t="str">
            <v/>
          </cell>
          <cell r="K299" t="str">
            <v/>
          </cell>
          <cell r="N299" t="str">
            <v/>
          </cell>
          <cell r="P299" t="str">
            <v/>
          </cell>
        </row>
        <row r="300">
          <cell r="B300" t="str">
            <v/>
          </cell>
          <cell r="C300" t="str">
            <v/>
          </cell>
          <cell r="E300" t="str">
            <v/>
          </cell>
          <cell r="H300" t="str">
            <v/>
          </cell>
          <cell r="I300" t="str">
            <v/>
          </cell>
          <cell r="K300" t="str">
            <v/>
          </cell>
          <cell r="N300" t="str">
            <v/>
          </cell>
          <cell r="P300" t="str">
            <v/>
          </cell>
        </row>
        <row r="301">
          <cell r="B301" t="str">
            <v/>
          </cell>
          <cell r="C301" t="str">
            <v/>
          </cell>
          <cell r="E301" t="str">
            <v/>
          </cell>
          <cell r="H301" t="str">
            <v/>
          </cell>
          <cell r="I301" t="str">
            <v/>
          </cell>
          <cell r="K301" t="str">
            <v/>
          </cell>
          <cell r="N301" t="str">
            <v/>
          </cell>
          <cell r="P301" t="str">
            <v/>
          </cell>
        </row>
        <row r="302">
          <cell r="B302" t="str">
            <v/>
          </cell>
          <cell r="C302" t="str">
            <v/>
          </cell>
          <cell r="E302" t="str">
            <v/>
          </cell>
          <cell r="H302" t="str">
            <v/>
          </cell>
          <cell r="I302" t="str">
            <v/>
          </cell>
          <cell r="K302" t="str">
            <v/>
          </cell>
          <cell r="N302" t="str">
            <v/>
          </cell>
          <cell r="P302" t="str">
            <v/>
          </cell>
        </row>
        <row r="303">
          <cell r="B303" t="str">
            <v/>
          </cell>
          <cell r="C303" t="str">
            <v/>
          </cell>
          <cell r="E303" t="str">
            <v/>
          </cell>
          <cell r="H303" t="str">
            <v/>
          </cell>
          <cell r="I303" t="str">
            <v/>
          </cell>
          <cell r="K303" t="str">
            <v/>
          </cell>
          <cell r="N303" t="str">
            <v/>
          </cell>
          <cell r="P303" t="str">
            <v/>
          </cell>
        </row>
        <row r="304">
          <cell r="B304" t="str">
            <v/>
          </cell>
          <cell r="C304" t="str">
            <v/>
          </cell>
          <cell r="E304" t="str">
            <v/>
          </cell>
          <cell r="H304" t="str">
            <v/>
          </cell>
          <cell r="I304" t="str">
            <v/>
          </cell>
          <cell r="K304" t="str">
            <v/>
          </cell>
          <cell r="N304" t="str">
            <v/>
          </cell>
          <cell r="P304" t="str">
            <v/>
          </cell>
        </row>
        <row r="305">
          <cell r="B305" t="str">
            <v/>
          </cell>
          <cell r="C305" t="str">
            <v/>
          </cell>
          <cell r="E305" t="str">
            <v/>
          </cell>
          <cell r="H305" t="str">
            <v/>
          </cell>
          <cell r="I305" t="str">
            <v/>
          </cell>
          <cell r="K305" t="str">
            <v/>
          </cell>
          <cell r="N305" t="str">
            <v/>
          </cell>
          <cell r="P305" t="str">
            <v/>
          </cell>
        </row>
        <row r="306">
          <cell r="B306" t="str">
            <v/>
          </cell>
          <cell r="C306" t="str">
            <v/>
          </cell>
          <cell r="E306" t="str">
            <v/>
          </cell>
          <cell r="H306" t="str">
            <v/>
          </cell>
          <cell r="I306" t="str">
            <v/>
          </cell>
          <cell r="K306" t="str">
            <v/>
          </cell>
          <cell r="N306" t="str">
            <v/>
          </cell>
          <cell r="P306" t="str">
            <v/>
          </cell>
        </row>
        <row r="307">
          <cell r="B307" t="str">
            <v/>
          </cell>
          <cell r="C307" t="str">
            <v/>
          </cell>
          <cell r="E307" t="str">
            <v/>
          </cell>
          <cell r="H307" t="str">
            <v/>
          </cell>
          <cell r="I307" t="str">
            <v/>
          </cell>
          <cell r="K307" t="str">
            <v/>
          </cell>
          <cell r="N307" t="str">
            <v/>
          </cell>
          <cell r="P307" t="str">
            <v/>
          </cell>
        </row>
        <row r="308">
          <cell r="B308" t="str">
            <v/>
          </cell>
          <cell r="C308" t="str">
            <v/>
          </cell>
          <cell r="E308" t="str">
            <v/>
          </cell>
          <cell r="H308" t="str">
            <v/>
          </cell>
          <cell r="I308" t="str">
            <v/>
          </cell>
          <cell r="K308" t="str">
            <v/>
          </cell>
          <cell r="N308" t="str">
            <v/>
          </cell>
          <cell r="P308" t="str">
            <v/>
          </cell>
        </row>
        <row r="309">
          <cell r="B309" t="str">
            <v/>
          </cell>
          <cell r="C309" t="str">
            <v/>
          </cell>
          <cell r="E309" t="str">
            <v/>
          </cell>
          <cell r="H309" t="str">
            <v/>
          </cell>
          <cell r="I309" t="str">
            <v/>
          </cell>
          <cell r="K309" t="str">
            <v/>
          </cell>
          <cell r="N309" t="str">
            <v/>
          </cell>
          <cell r="P309" t="str">
            <v/>
          </cell>
        </row>
        <row r="310">
          <cell r="B310" t="str">
            <v/>
          </cell>
          <cell r="C310" t="str">
            <v/>
          </cell>
          <cell r="E310" t="str">
            <v/>
          </cell>
          <cell r="H310" t="str">
            <v/>
          </cell>
          <cell r="I310" t="str">
            <v/>
          </cell>
          <cell r="K310" t="str">
            <v/>
          </cell>
          <cell r="N310" t="str">
            <v/>
          </cell>
          <cell r="P310" t="str">
            <v/>
          </cell>
        </row>
        <row r="311">
          <cell r="B311" t="str">
            <v/>
          </cell>
          <cell r="C311" t="str">
            <v/>
          </cell>
          <cell r="E311" t="str">
            <v/>
          </cell>
          <cell r="H311" t="str">
            <v/>
          </cell>
          <cell r="I311" t="str">
            <v/>
          </cell>
          <cell r="K311" t="str">
            <v/>
          </cell>
          <cell r="N311" t="str">
            <v/>
          </cell>
          <cell r="P311" t="str">
            <v/>
          </cell>
        </row>
        <row r="312">
          <cell r="B312" t="str">
            <v/>
          </cell>
          <cell r="C312" t="str">
            <v/>
          </cell>
          <cell r="E312" t="str">
            <v/>
          </cell>
          <cell r="H312" t="str">
            <v/>
          </cell>
          <cell r="I312" t="str">
            <v/>
          </cell>
          <cell r="K312" t="str">
            <v/>
          </cell>
          <cell r="N312" t="str">
            <v/>
          </cell>
          <cell r="P312" t="str">
            <v/>
          </cell>
        </row>
        <row r="313">
          <cell r="B313" t="str">
            <v/>
          </cell>
          <cell r="C313" t="str">
            <v/>
          </cell>
          <cell r="E313" t="str">
            <v/>
          </cell>
          <cell r="H313" t="str">
            <v/>
          </cell>
          <cell r="I313" t="str">
            <v/>
          </cell>
          <cell r="K313" t="str">
            <v/>
          </cell>
          <cell r="N313" t="str">
            <v/>
          </cell>
          <cell r="P313" t="str">
            <v/>
          </cell>
        </row>
        <row r="314">
          <cell r="B314" t="str">
            <v/>
          </cell>
          <cell r="C314" t="str">
            <v/>
          </cell>
          <cell r="E314" t="str">
            <v/>
          </cell>
          <cell r="H314" t="str">
            <v/>
          </cell>
          <cell r="I314" t="str">
            <v/>
          </cell>
          <cell r="K314" t="str">
            <v/>
          </cell>
          <cell r="N314" t="str">
            <v/>
          </cell>
          <cell r="P314" t="str">
            <v/>
          </cell>
        </row>
        <row r="315">
          <cell r="B315" t="str">
            <v/>
          </cell>
          <cell r="C315" t="str">
            <v/>
          </cell>
          <cell r="E315" t="str">
            <v/>
          </cell>
          <cell r="H315" t="str">
            <v/>
          </cell>
          <cell r="I315" t="str">
            <v/>
          </cell>
          <cell r="K315" t="str">
            <v/>
          </cell>
          <cell r="N315" t="str">
            <v/>
          </cell>
          <cell r="P315" t="str">
            <v/>
          </cell>
        </row>
        <row r="316">
          <cell r="B316" t="str">
            <v/>
          </cell>
          <cell r="C316" t="str">
            <v/>
          </cell>
          <cell r="E316" t="str">
            <v/>
          </cell>
          <cell r="H316" t="str">
            <v/>
          </cell>
          <cell r="I316" t="str">
            <v/>
          </cell>
          <cell r="K316" t="str">
            <v/>
          </cell>
          <cell r="N316" t="str">
            <v/>
          </cell>
          <cell r="P316" t="str">
            <v/>
          </cell>
        </row>
        <row r="317">
          <cell r="B317" t="str">
            <v/>
          </cell>
          <cell r="C317" t="str">
            <v/>
          </cell>
          <cell r="E317" t="str">
            <v/>
          </cell>
          <cell r="H317" t="str">
            <v/>
          </cell>
          <cell r="I317" t="str">
            <v/>
          </cell>
          <cell r="K317" t="str">
            <v/>
          </cell>
          <cell r="N317" t="str">
            <v/>
          </cell>
          <cell r="P317" t="str">
            <v/>
          </cell>
        </row>
        <row r="318">
          <cell r="B318" t="str">
            <v/>
          </cell>
          <cell r="C318" t="str">
            <v/>
          </cell>
          <cell r="E318" t="str">
            <v/>
          </cell>
          <cell r="H318" t="str">
            <v/>
          </cell>
          <cell r="I318" t="str">
            <v/>
          </cell>
          <cell r="K318" t="str">
            <v/>
          </cell>
          <cell r="N318" t="str">
            <v/>
          </cell>
          <cell r="P318" t="str">
            <v/>
          </cell>
        </row>
        <row r="319">
          <cell r="B319" t="str">
            <v/>
          </cell>
          <cell r="C319" t="str">
            <v/>
          </cell>
          <cell r="E319" t="str">
            <v/>
          </cell>
          <cell r="H319" t="str">
            <v/>
          </cell>
          <cell r="I319" t="str">
            <v/>
          </cell>
          <cell r="K319" t="str">
            <v/>
          </cell>
          <cell r="N319" t="str">
            <v/>
          </cell>
          <cell r="P319" t="str">
            <v/>
          </cell>
        </row>
        <row r="320">
          <cell r="B320" t="str">
            <v/>
          </cell>
          <cell r="C320" t="str">
            <v/>
          </cell>
          <cell r="E320" t="str">
            <v/>
          </cell>
          <cell r="H320" t="str">
            <v/>
          </cell>
          <cell r="I320" t="str">
            <v/>
          </cell>
          <cell r="K320" t="str">
            <v/>
          </cell>
          <cell r="N320" t="str">
            <v/>
          </cell>
          <cell r="P320" t="str">
            <v/>
          </cell>
        </row>
        <row r="321">
          <cell r="B321" t="str">
            <v/>
          </cell>
          <cell r="C321" t="str">
            <v/>
          </cell>
          <cell r="E321" t="str">
            <v/>
          </cell>
          <cell r="H321" t="str">
            <v/>
          </cell>
          <cell r="I321" t="str">
            <v/>
          </cell>
          <cell r="K321" t="str">
            <v/>
          </cell>
          <cell r="N321" t="str">
            <v/>
          </cell>
          <cell r="P321" t="str">
            <v/>
          </cell>
        </row>
        <row r="322">
          <cell r="B322" t="str">
            <v/>
          </cell>
          <cell r="C322" t="str">
            <v/>
          </cell>
          <cell r="E322" t="str">
            <v/>
          </cell>
          <cell r="H322" t="str">
            <v/>
          </cell>
          <cell r="I322" t="str">
            <v/>
          </cell>
          <cell r="K322" t="str">
            <v/>
          </cell>
          <cell r="N322" t="str">
            <v/>
          </cell>
          <cell r="P322" t="str">
            <v/>
          </cell>
        </row>
        <row r="323">
          <cell r="B323" t="str">
            <v/>
          </cell>
          <cell r="C323" t="str">
            <v/>
          </cell>
          <cell r="E323" t="str">
            <v/>
          </cell>
          <cell r="H323" t="str">
            <v/>
          </cell>
          <cell r="I323" t="str">
            <v/>
          </cell>
          <cell r="K323" t="str">
            <v/>
          </cell>
          <cell r="N323" t="str">
            <v/>
          </cell>
          <cell r="P323" t="str">
            <v/>
          </cell>
        </row>
        <row r="324">
          <cell r="B324" t="str">
            <v/>
          </cell>
          <cell r="C324" t="str">
            <v/>
          </cell>
          <cell r="E324" t="str">
            <v/>
          </cell>
          <cell r="H324" t="str">
            <v/>
          </cell>
          <cell r="I324" t="str">
            <v/>
          </cell>
          <cell r="K324" t="str">
            <v/>
          </cell>
          <cell r="N324" t="str">
            <v/>
          </cell>
          <cell r="P324" t="str">
            <v/>
          </cell>
        </row>
        <row r="325">
          <cell r="B325" t="str">
            <v/>
          </cell>
          <cell r="C325" t="str">
            <v/>
          </cell>
          <cell r="E325" t="str">
            <v/>
          </cell>
          <cell r="H325" t="str">
            <v/>
          </cell>
          <cell r="I325" t="str">
            <v/>
          </cell>
          <cell r="K325" t="str">
            <v/>
          </cell>
          <cell r="N325" t="str">
            <v/>
          </cell>
          <cell r="P325" t="str">
            <v/>
          </cell>
        </row>
        <row r="326">
          <cell r="B326" t="str">
            <v/>
          </cell>
          <cell r="C326" t="str">
            <v/>
          </cell>
          <cell r="E326" t="str">
            <v/>
          </cell>
          <cell r="H326" t="str">
            <v/>
          </cell>
          <cell r="I326" t="str">
            <v/>
          </cell>
          <cell r="K326" t="str">
            <v/>
          </cell>
          <cell r="N326" t="str">
            <v/>
          </cell>
          <cell r="P326" t="str">
            <v/>
          </cell>
        </row>
        <row r="327">
          <cell r="B327" t="str">
            <v/>
          </cell>
          <cell r="C327" t="str">
            <v/>
          </cell>
          <cell r="E327" t="str">
            <v/>
          </cell>
          <cell r="H327" t="str">
            <v/>
          </cell>
          <cell r="I327" t="str">
            <v/>
          </cell>
          <cell r="K327" t="str">
            <v/>
          </cell>
          <cell r="N327" t="str">
            <v/>
          </cell>
          <cell r="P327" t="str">
            <v/>
          </cell>
        </row>
        <row r="328">
          <cell r="B328" t="str">
            <v/>
          </cell>
          <cell r="C328" t="str">
            <v/>
          </cell>
          <cell r="E328" t="str">
            <v/>
          </cell>
          <cell r="H328" t="str">
            <v/>
          </cell>
          <cell r="I328" t="str">
            <v/>
          </cell>
          <cell r="K328" t="str">
            <v/>
          </cell>
          <cell r="N328" t="str">
            <v/>
          </cell>
          <cell r="P328" t="str">
            <v/>
          </cell>
        </row>
        <row r="329">
          <cell r="B329" t="str">
            <v/>
          </cell>
          <cell r="C329" t="str">
            <v/>
          </cell>
          <cell r="E329" t="str">
            <v/>
          </cell>
          <cell r="H329" t="str">
            <v/>
          </cell>
          <cell r="I329" t="str">
            <v/>
          </cell>
          <cell r="K329" t="str">
            <v/>
          </cell>
          <cell r="N329" t="str">
            <v/>
          </cell>
          <cell r="P329" t="str">
            <v/>
          </cell>
        </row>
        <row r="330">
          <cell r="B330" t="str">
            <v/>
          </cell>
          <cell r="C330" t="str">
            <v/>
          </cell>
          <cell r="E330" t="str">
            <v/>
          </cell>
          <cell r="H330" t="str">
            <v/>
          </cell>
          <cell r="I330" t="str">
            <v/>
          </cell>
          <cell r="K330" t="str">
            <v/>
          </cell>
          <cell r="N330" t="str">
            <v/>
          </cell>
          <cell r="P330" t="str">
            <v/>
          </cell>
        </row>
        <row r="331">
          <cell r="B331" t="str">
            <v/>
          </cell>
          <cell r="C331" t="str">
            <v/>
          </cell>
          <cell r="E331" t="str">
            <v/>
          </cell>
          <cell r="H331" t="str">
            <v/>
          </cell>
          <cell r="I331" t="str">
            <v/>
          </cell>
          <cell r="K331" t="str">
            <v/>
          </cell>
          <cell r="N331" t="str">
            <v/>
          </cell>
          <cell r="P331" t="str">
            <v/>
          </cell>
        </row>
        <row r="332">
          <cell r="B332" t="str">
            <v/>
          </cell>
          <cell r="C332" t="str">
            <v/>
          </cell>
          <cell r="E332" t="str">
            <v/>
          </cell>
          <cell r="H332" t="str">
            <v/>
          </cell>
          <cell r="I332" t="str">
            <v/>
          </cell>
          <cell r="K332" t="str">
            <v/>
          </cell>
          <cell r="N332" t="str">
            <v/>
          </cell>
          <cell r="P332" t="str">
            <v/>
          </cell>
        </row>
        <row r="333">
          <cell r="B333" t="str">
            <v/>
          </cell>
          <cell r="C333" t="str">
            <v/>
          </cell>
          <cell r="E333" t="str">
            <v/>
          </cell>
          <cell r="H333" t="str">
            <v/>
          </cell>
          <cell r="I333" t="str">
            <v/>
          </cell>
          <cell r="K333" t="str">
            <v/>
          </cell>
          <cell r="N333" t="str">
            <v/>
          </cell>
          <cell r="P333" t="str">
            <v/>
          </cell>
        </row>
        <row r="334">
          <cell r="B334" t="str">
            <v/>
          </cell>
          <cell r="C334" t="str">
            <v/>
          </cell>
          <cell r="E334" t="str">
            <v/>
          </cell>
          <cell r="H334" t="str">
            <v/>
          </cell>
          <cell r="I334" t="str">
            <v/>
          </cell>
          <cell r="K334" t="str">
            <v/>
          </cell>
          <cell r="N334" t="str">
            <v/>
          </cell>
          <cell r="P334" t="str">
            <v/>
          </cell>
        </row>
        <row r="335">
          <cell r="B335" t="str">
            <v/>
          </cell>
          <cell r="C335" t="str">
            <v/>
          </cell>
          <cell r="E335" t="str">
            <v/>
          </cell>
          <cell r="H335" t="str">
            <v/>
          </cell>
          <cell r="I335" t="str">
            <v/>
          </cell>
          <cell r="K335" t="str">
            <v/>
          </cell>
          <cell r="N335" t="str">
            <v/>
          </cell>
          <cell r="P335" t="str">
            <v/>
          </cell>
        </row>
        <row r="336">
          <cell r="B336" t="str">
            <v/>
          </cell>
          <cell r="C336" t="str">
            <v/>
          </cell>
          <cell r="E336" t="str">
            <v/>
          </cell>
          <cell r="H336" t="str">
            <v/>
          </cell>
          <cell r="I336" t="str">
            <v/>
          </cell>
          <cell r="K336" t="str">
            <v/>
          </cell>
          <cell r="N336" t="str">
            <v/>
          </cell>
          <cell r="P336" t="str">
            <v/>
          </cell>
        </row>
        <row r="337">
          <cell r="B337" t="str">
            <v/>
          </cell>
          <cell r="C337" t="str">
            <v/>
          </cell>
          <cell r="E337" t="str">
            <v/>
          </cell>
          <cell r="H337" t="str">
            <v/>
          </cell>
          <cell r="I337" t="str">
            <v/>
          </cell>
          <cell r="K337" t="str">
            <v/>
          </cell>
          <cell r="N337" t="str">
            <v/>
          </cell>
          <cell r="P337" t="str">
            <v/>
          </cell>
        </row>
        <row r="338">
          <cell r="B338" t="str">
            <v/>
          </cell>
          <cell r="C338" t="str">
            <v/>
          </cell>
          <cell r="E338" t="str">
            <v/>
          </cell>
          <cell r="H338" t="str">
            <v/>
          </cell>
          <cell r="I338" t="str">
            <v/>
          </cell>
          <cell r="K338" t="str">
            <v/>
          </cell>
          <cell r="N338" t="str">
            <v/>
          </cell>
          <cell r="P338" t="str">
            <v/>
          </cell>
        </row>
        <row r="339">
          <cell r="B339" t="str">
            <v/>
          </cell>
          <cell r="C339" t="str">
            <v/>
          </cell>
          <cell r="E339" t="str">
            <v/>
          </cell>
          <cell r="H339" t="str">
            <v/>
          </cell>
          <cell r="I339" t="str">
            <v/>
          </cell>
          <cell r="K339" t="str">
            <v/>
          </cell>
          <cell r="N339" t="str">
            <v/>
          </cell>
          <cell r="P339" t="str">
            <v/>
          </cell>
        </row>
        <row r="340">
          <cell r="B340" t="str">
            <v/>
          </cell>
          <cell r="C340" t="str">
            <v/>
          </cell>
          <cell r="E340" t="str">
            <v/>
          </cell>
          <cell r="H340" t="str">
            <v/>
          </cell>
          <cell r="I340" t="str">
            <v/>
          </cell>
          <cell r="K340" t="str">
            <v/>
          </cell>
          <cell r="N340" t="str">
            <v/>
          </cell>
          <cell r="P340" t="str">
            <v/>
          </cell>
        </row>
        <row r="341">
          <cell r="B341" t="str">
            <v/>
          </cell>
          <cell r="C341" t="str">
            <v/>
          </cell>
          <cell r="E341" t="str">
            <v/>
          </cell>
          <cell r="H341" t="str">
            <v/>
          </cell>
          <cell r="I341" t="str">
            <v/>
          </cell>
          <cell r="K341" t="str">
            <v/>
          </cell>
          <cell r="N341" t="str">
            <v/>
          </cell>
          <cell r="P341" t="str">
            <v/>
          </cell>
        </row>
        <row r="342">
          <cell r="B342" t="str">
            <v/>
          </cell>
          <cell r="C342" t="str">
            <v/>
          </cell>
          <cell r="E342" t="str">
            <v/>
          </cell>
          <cell r="H342" t="str">
            <v/>
          </cell>
          <cell r="I342" t="str">
            <v/>
          </cell>
          <cell r="K342" t="str">
            <v/>
          </cell>
          <cell r="N342" t="str">
            <v/>
          </cell>
          <cell r="P342" t="str">
            <v/>
          </cell>
        </row>
        <row r="343">
          <cell r="B343" t="str">
            <v/>
          </cell>
          <cell r="C343" t="str">
            <v/>
          </cell>
          <cell r="E343" t="str">
            <v/>
          </cell>
          <cell r="H343" t="str">
            <v/>
          </cell>
          <cell r="I343" t="str">
            <v/>
          </cell>
          <cell r="K343" t="str">
            <v/>
          </cell>
          <cell r="N343" t="str">
            <v/>
          </cell>
          <cell r="P343" t="str">
            <v/>
          </cell>
        </row>
        <row r="344">
          <cell r="B344" t="str">
            <v/>
          </cell>
          <cell r="C344" t="str">
            <v/>
          </cell>
          <cell r="E344" t="str">
            <v/>
          </cell>
          <cell r="H344" t="str">
            <v/>
          </cell>
          <cell r="I344" t="str">
            <v/>
          </cell>
          <cell r="K344" t="str">
            <v/>
          </cell>
          <cell r="N344" t="str">
            <v/>
          </cell>
          <cell r="P344" t="str">
            <v/>
          </cell>
        </row>
        <row r="345">
          <cell r="B345" t="str">
            <v/>
          </cell>
          <cell r="C345" t="str">
            <v/>
          </cell>
          <cell r="E345" t="str">
            <v/>
          </cell>
          <cell r="H345" t="str">
            <v/>
          </cell>
          <cell r="I345" t="str">
            <v/>
          </cell>
          <cell r="K345" t="str">
            <v/>
          </cell>
          <cell r="N345" t="str">
            <v/>
          </cell>
          <cell r="P345" t="str">
            <v/>
          </cell>
        </row>
        <row r="346">
          <cell r="B346" t="str">
            <v/>
          </cell>
          <cell r="C346" t="str">
            <v/>
          </cell>
          <cell r="E346" t="str">
            <v/>
          </cell>
          <cell r="H346" t="str">
            <v/>
          </cell>
          <cell r="I346" t="str">
            <v/>
          </cell>
          <cell r="K346" t="str">
            <v/>
          </cell>
          <cell r="N346" t="str">
            <v/>
          </cell>
          <cell r="P346" t="str">
            <v/>
          </cell>
        </row>
        <row r="347">
          <cell r="B347" t="str">
            <v/>
          </cell>
          <cell r="C347" t="str">
            <v/>
          </cell>
          <cell r="E347" t="str">
            <v/>
          </cell>
          <cell r="H347" t="str">
            <v/>
          </cell>
          <cell r="I347" t="str">
            <v/>
          </cell>
          <cell r="K347" t="str">
            <v/>
          </cell>
          <cell r="N347" t="str">
            <v/>
          </cell>
          <cell r="P347" t="str">
            <v/>
          </cell>
        </row>
        <row r="348">
          <cell r="B348" t="str">
            <v/>
          </cell>
          <cell r="C348" t="str">
            <v/>
          </cell>
          <cell r="E348" t="str">
            <v/>
          </cell>
          <cell r="H348" t="str">
            <v/>
          </cell>
          <cell r="I348" t="str">
            <v/>
          </cell>
          <cell r="K348" t="str">
            <v/>
          </cell>
          <cell r="N348" t="str">
            <v/>
          </cell>
          <cell r="P348" t="str">
            <v/>
          </cell>
        </row>
        <row r="349">
          <cell r="B349" t="str">
            <v/>
          </cell>
          <cell r="C349" t="str">
            <v/>
          </cell>
          <cell r="E349" t="str">
            <v/>
          </cell>
          <cell r="H349" t="str">
            <v/>
          </cell>
          <cell r="I349" t="str">
            <v/>
          </cell>
          <cell r="K349" t="str">
            <v/>
          </cell>
          <cell r="N349" t="str">
            <v/>
          </cell>
          <cell r="P349" t="str">
            <v/>
          </cell>
        </row>
        <row r="350">
          <cell r="B350" t="str">
            <v/>
          </cell>
          <cell r="C350" t="str">
            <v/>
          </cell>
          <cell r="E350" t="str">
            <v/>
          </cell>
          <cell r="H350" t="str">
            <v/>
          </cell>
          <cell r="I350" t="str">
            <v/>
          </cell>
          <cell r="K350" t="str">
            <v/>
          </cell>
          <cell r="N350" t="str">
            <v/>
          </cell>
          <cell r="P350" t="str">
            <v/>
          </cell>
        </row>
        <row r="351">
          <cell r="B351" t="str">
            <v/>
          </cell>
          <cell r="C351" t="str">
            <v/>
          </cell>
          <cell r="E351" t="str">
            <v/>
          </cell>
          <cell r="H351" t="str">
            <v/>
          </cell>
          <cell r="I351" t="str">
            <v/>
          </cell>
          <cell r="K351" t="str">
            <v/>
          </cell>
          <cell r="N351" t="str">
            <v/>
          </cell>
          <cell r="P351" t="str">
            <v/>
          </cell>
        </row>
        <row r="352">
          <cell r="B352" t="str">
            <v/>
          </cell>
          <cell r="C352" t="str">
            <v/>
          </cell>
          <cell r="E352" t="str">
            <v/>
          </cell>
          <cell r="H352" t="str">
            <v/>
          </cell>
          <cell r="I352" t="str">
            <v/>
          </cell>
          <cell r="K352" t="str">
            <v/>
          </cell>
          <cell r="N352" t="str">
            <v/>
          </cell>
          <cell r="P352" t="str">
            <v/>
          </cell>
        </row>
        <row r="353">
          <cell r="B353" t="str">
            <v/>
          </cell>
          <cell r="C353" t="str">
            <v/>
          </cell>
          <cell r="E353" t="str">
            <v/>
          </cell>
          <cell r="H353" t="str">
            <v/>
          </cell>
          <cell r="I353" t="str">
            <v/>
          </cell>
          <cell r="K353" t="str">
            <v/>
          </cell>
          <cell r="N353" t="str">
            <v/>
          </cell>
          <cell r="P353" t="str">
            <v/>
          </cell>
        </row>
        <row r="354">
          <cell r="B354" t="str">
            <v/>
          </cell>
          <cell r="C354" t="str">
            <v/>
          </cell>
          <cell r="E354" t="str">
            <v/>
          </cell>
          <cell r="H354" t="str">
            <v/>
          </cell>
          <cell r="I354" t="str">
            <v/>
          </cell>
          <cell r="K354" t="str">
            <v/>
          </cell>
          <cell r="N354" t="str">
            <v/>
          </cell>
          <cell r="P354" t="str">
            <v/>
          </cell>
        </row>
        <row r="355">
          <cell r="B355" t="str">
            <v/>
          </cell>
          <cell r="C355" t="str">
            <v/>
          </cell>
          <cell r="E355" t="str">
            <v/>
          </cell>
          <cell r="H355" t="str">
            <v/>
          </cell>
          <cell r="I355" t="str">
            <v/>
          </cell>
          <cell r="K355" t="str">
            <v/>
          </cell>
          <cell r="N355" t="str">
            <v/>
          </cell>
          <cell r="P355" t="str">
            <v/>
          </cell>
        </row>
        <row r="356">
          <cell r="B356" t="str">
            <v/>
          </cell>
          <cell r="C356" t="str">
            <v/>
          </cell>
          <cell r="E356" t="str">
            <v/>
          </cell>
          <cell r="H356" t="str">
            <v/>
          </cell>
          <cell r="I356" t="str">
            <v/>
          </cell>
          <cell r="K356" t="str">
            <v/>
          </cell>
          <cell r="N356" t="str">
            <v/>
          </cell>
          <cell r="P356" t="str">
            <v/>
          </cell>
        </row>
        <row r="357">
          <cell r="B357" t="str">
            <v/>
          </cell>
          <cell r="C357" t="str">
            <v/>
          </cell>
          <cell r="E357" t="str">
            <v/>
          </cell>
          <cell r="H357" t="str">
            <v/>
          </cell>
          <cell r="I357" t="str">
            <v/>
          </cell>
          <cell r="K357" t="str">
            <v/>
          </cell>
          <cell r="N357" t="str">
            <v/>
          </cell>
          <cell r="P357" t="str">
            <v/>
          </cell>
        </row>
        <row r="358">
          <cell r="B358" t="str">
            <v/>
          </cell>
          <cell r="C358" t="str">
            <v/>
          </cell>
          <cell r="E358" t="str">
            <v/>
          </cell>
          <cell r="H358" t="str">
            <v/>
          </cell>
          <cell r="I358" t="str">
            <v/>
          </cell>
          <cell r="K358" t="str">
            <v/>
          </cell>
          <cell r="N358" t="str">
            <v/>
          </cell>
          <cell r="P358" t="str">
            <v/>
          </cell>
        </row>
        <row r="359">
          <cell r="B359" t="str">
            <v/>
          </cell>
          <cell r="C359" t="str">
            <v/>
          </cell>
          <cell r="E359" t="str">
            <v/>
          </cell>
          <cell r="H359" t="str">
            <v/>
          </cell>
          <cell r="I359" t="str">
            <v/>
          </cell>
          <cell r="K359" t="str">
            <v/>
          </cell>
          <cell r="N359" t="str">
            <v/>
          </cell>
          <cell r="P359" t="str">
            <v/>
          </cell>
        </row>
        <row r="360">
          <cell r="B360" t="str">
            <v/>
          </cell>
          <cell r="C360" t="str">
            <v/>
          </cell>
          <cell r="E360" t="str">
            <v/>
          </cell>
          <cell r="H360" t="str">
            <v/>
          </cell>
          <cell r="I360" t="str">
            <v/>
          </cell>
          <cell r="K360" t="str">
            <v/>
          </cell>
          <cell r="N360" t="str">
            <v/>
          </cell>
          <cell r="P360" t="str">
            <v/>
          </cell>
        </row>
        <row r="361">
          <cell r="B361" t="str">
            <v/>
          </cell>
          <cell r="C361" t="str">
            <v/>
          </cell>
          <cell r="E361" t="str">
            <v/>
          </cell>
          <cell r="H361" t="str">
            <v/>
          </cell>
          <cell r="I361" t="str">
            <v/>
          </cell>
          <cell r="K361" t="str">
            <v/>
          </cell>
          <cell r="N361" t="str">
            <v/>
          </cell>
          <cell r="P361" t="str">
            <v/>
          </cell>
        </row>
        <row r="362">
          <cell r="B362" t="str">
            <v/>
          </cell>
          <cell r="C362" t="str">
            <v/>
          </cell>
          <cell r="E362" t="str">
            <v/>
          </cell>
          <cell r="H362" t="str">
            <v/>
          </cell>
          <cell r="I362" t="str">
            <v/>
          </cell>
          <cell r="K362" t="str">
            <v/>
          </cell>
          <cell r="N362" t="str">
            <v/>
          </cell>
          <cell r="P362" t="str">
            <v/>
          </cell>
        </row>
        <row r="363">
          <cell r="B363" t="str">
            <v/>
          </cell>
          <cell r="C363" t="str">
            <v/>
          </cell>
          <cell r="E363" t="str">
            <v/>
          </cell>
          <cell r="H363" t="str">
            <v/>
          </cell>
          <cell r="I363" t="str">
            <v/>
          </cell>
          <cell r="K363" t="str">
            <v/>
          </cell>
          <cell r="N363" t="str">
            <v/>
          </cell>
          <cell r="P363" t="str">
            <v/>
          </cell>
        </row>
        <row r="364">
          <cell r="B364" t="str">
            <v/>
          </cell>
          <cell r="C364" t="str">
            <v/>
          </cell>
          <cell r="E364" t="str">
            <v/>
          </cell>
          <cell r="H364" t="str">
            <v/>
          </cell>
          <cell r="I364" t="str">
            <v/>
          </cell>
          <cell r="K364" t="str">
            <v/>
          </cell>
          <cell r="N364" t="str">
            <v/>
          </cell>
          <cell r="P364" t="str">
            <v/>
          </cell>
        </row>
        <row r="365">
          <cell r="B365" t="str">
            <v/>
          </cell>
          <cell r="C365" t="str">
            <v/>
          </cell>
          <cell r="E365" t="str">
            <v/>
          </cell>
          <cell r="H365" t="str">
            <v/>
          </cell>
          <cell r="I365" t="str">
            <v/>
          </cell>
          <cell r="K365" t="str">
            <v/>
          </cell>
          <cell r="N365" t="str">
            <v/>
          </cell>
          <cell r="P365" t="str">
            <v/>
          </cell>
        </row>
        <row r="366">
          <cell r="B366" t="str">
            <v/>
          </cell>
          <cell r="C366" t="str">
            <v/>
          </cell>
          <cell r="E366" t="str">
            <v/>
          </cell>
          <cell r="H366" t="str">
            <v/>
          </cell>
          <cell r="I366" t="str">
            <v/>
          </cell>
          <cell r="K366" t="str">
            <v/>
          </cell>
          <cell r="N366" t="str">
            <v/>
          </cell>
          <cell r="P366" t="str">
            <v/>
          </cell>
        </row>
        <row r="367">
          <cell r="B367" t="str">
            <v/>
          </cell>
          <cell r="C367" t="str">
            <v/>
          </cell>
          <cell r="E367" t="str">
            <v/>
          </cell>
          <cell r="H367" t="str">
            <v/>
          </cell>
          <cell r="I367" t="str">
            <v/>
          </cell>
          <cell r="K367" t="str">
            <v/>
          </cell>
          <cell r="N367" t="str">
            <v/>
          </cell>
          <cell r="P367" t="str">
            <v/>
          </cell>
        </row>
        <row r="368">
          <cell r="B368" t="str">
            <v/>
          </cell>
          <cell r="C368" t="str">
            <v/>
          </cell>
          <cell r="E368" t="str">
            <v/>
          </cell>
          <cell r="H368" t="str">
            <v/>
          </cell>
          <cell r="I368" t="str">
            <v/>
          </cell>
          <cell r="K368" t="str">
            <v/>
          </cell>
          <cell r="N368" t="str">
            <v/>
          </cell>
          <cell r="P368" t="str">
            <v/>
          </cell>
        </row>
        <row r="369">
          <cell r="B369" t="str">
            <v/>
          </cell>
          <cell r="C369" t="str">
            <v/>
          </cell>
          <cell r="E369" t="str">
            <v/>
          </cell>
          <cell r="H369" t="str">
            <v/>
          </cell>
          <cell r="I369" t="str">
            <v/>
          </cell>
          <cell r="K369" t="str">
            <v/>
          </cell>
          <cell r="N369" t="str">
            <v/>
          </cell>
          <cell r="P369" t="str">
            <v/>
          </cell>
        </row>
        <row r="370">
          <cell r="B370" t="str">
            <v/>
          </cell>
          <cell r="C370" t="str">
            <v/>
          </cell>
          <cell r="E370" t="str">
            <v/>
          </cell>
          <cell r="H370" t="str">
            <v/>
          </cell>
          <cell r="I370" t="str">
            <v/>
          </cell>
          <cell r="K370" t="str">
            <v/>
          </cell>
          <cell r="N370" t="str">
            <v/>
          </cell>
          <cell r="P370" t="str">
            <v/>
          </cell>
        </row>
        <row r="371">
          <cell r="B371" t="str">
            <v/>
          </cell>
          <cell r="C371" t="str">
            <v/>
          </cell>
          <cell r="E371" t="str">
            <v/>
          </cell>
          <cell r="H371" t="str">
            <v/>
          </cell>
          <cell r="I371" t="str">
            <v/>
          </cell>
          <cell r="K371" t="str">
            <v/>
          </cell>
          <cell r="N371" t="str">
            <v/>
          </cell>
          <cell r="P371" t="str">
            <v/>
          </cell>
        </row>
        <row r="372">
          <cell r="B372" t="str">
            <v/>
          </cell>
          <cell r="C372" t="str">
            <v/>
          </cell>
          <cell r="E372" t="str">
            <v/>
          </cell>
          <cell r="H372" t="str">
            <v/>
          </cell>
          <cell r="I372" t="str">
            <v/>
          </cell>
          <cell r="K372" t="str">
            <v/>
          </cell>
          <cell r="N372" t="str">
            <v/>
          </cell>
          <cell r="P372" t="str">
            <v/>
          </cell>
        </row>
        <row r="373">
          <cell r="B373" t="str">
            <v/>
          </cell>
          <cell r="C373" t="str">
            <v/>
          </cell>
          <cell r="E373" t="str">
            <v/>
          </cell>
          <cell r="H373" t="str">
            <v/>
          </cell>
          <cell r="I373" t="str">
            <v/>
          </cell>
          <cell r="K373" t="str">
            <v/>
          </cell>
          <cell r="N373" t="str">
            <v/>
          </cell>
          <cell r="P373" t="str">
            <v/>
          </cell>
        </row>
        <row r="374">
          <cell r="B374" t="str">
            <v/>
          </cell>
          <cell r="C374" t="str">
            <v/>
          </cell>
          <cell r="E374" t="str">
            <v/>
          </cell>
          <cell r="H374" t="str">
            <v/>
          </cell>
          <cell r="I374" t="str">
            <v/>
          </cell>
          <cell r="K374" t="str">
            <v/>
          </cell>
          <cell r="N374" t="str">
            <v/>
          </cell>
          <cell r="P374" t="str">
            <v/>
          </cell>
        </row>
        <row r="375">
          <cell r="B375" t="str">
            <v/>
          </cell>
          <cell r="C375" t="str">
            <v/>
          </cell>
          <cell r="E375" t="str">
            <v/>
          </cell>
          <cell r="H375" t="str">
            <v/>
          </cell>
          <cell r="I375" t="str">
            <v/>
          </cell>
          <cell r="K375" t="str">
            <v/>
          </cell>
          <cell r="N375" t="str">
            <v/>
          </cell>
          <cell r="P375" t="str">
            <v/>
          </cell>
        </row>
        <row r="376">
          <cell r="B376" t="str">
            <v/>
          </cell>
          <cell r="C376" t="str">
            <v/>
          </cell>
          <cell r="E376" t="str">
            <v/>
          </cell>
          <cell r="H376" t="str">
            <v/>
          </cell>
          <cell r="I376" t="str">
            <v/>
          </cell>
          <cell r="K376" t="str">
            <v/>
          </cell>
          <cell r="N376" t="str">
            <v/>
          </cell>
          <cell r="P376" t="str">
            <v/>
          </cell>
        </row>
        <row r="377">
          <cell r="B377" t="str">
            <v/>
          </cell>
          <cell r="C377" t="str">
            <v/>
          </cell>
          <cell r="E377" t="str">
            <v/>
          </cell>
          <cell r="H377" t="str">
            <v/>
          </cell>
          <cell r="I377" t="str">
            <v/>
          </cell>
          <cell r="K377" t="str">
            <v/>
          </cell>
          <cell r="N377" t="str">
            <v/>
          </cell>
          <cell r="P377" t="str">
            <v/>
          </cell>
        </row>
        <row r="378">
          <cell r="B378" t="str">
            <v/>
          </cell>
          <cell r="C378" t="str">
            <v/>
          </cell>
          <cell r="E378" t="str">
            <v/>
          </cell>
          <cell r="H378" t="str">
            <v/>
          </cell>
          <cell r="I378" t="str">
            <v/>
          </cell>
          <cell r="K378" t="str">
            <v/>
          </cell>
          <cell r="N378" t="str">
            <v/>
          </cell>
          <cell r="P378" t="str">
            <v/>
          </cell>
        </row>
        <row r="379">
          <cell r="B379" t="str">
            <v/>
          </cell>
          <cell r="C379" t="str">
            <v/>
          </cell>
          <cell r="E379" t="str">
            <v/>
          </cell>
          <cell r="H379" t="str">
            <v/>
          </cell>
          <cell r="I379" t="str">
            <v/>
          </cell>
          <cell r="K379" t="str">
            <v/>
          </cell>
          <cell r="N379" t="str">
            <v/>
          </cell>
          <cell r="P379" t="str">
            <v/>
          </cell>
        </row>
        <row r="380">
          <cell r="B380" t="str">
            <v/>
          </cell>
          <cell r="C380" t="str">
            <v/>
          </cell>
          <cell r="E380" t="str">
            <v/>
          </cell>
          <cell r="H380" t="str">
            <v/>
          </cell>
          <cell r="I380" t="str">
            <v/>
          </cell>
          <cell r="K380" t="str">
            <v/>
          </cell>
          <cell r="N380" t="str">
            <v/>
          </cell>
          <cell r="P380" t="str">
            <v/>
          </cell>
        </row>
        <row r="381">
          <cell r="B381" t="str">
            <v/>
          </cell>
          <cell r="C381" t="str">
            <v/>
          </cell>
          <cell r="E381" t="str">
            <v/>
          </cell>
          <cell r="H381" t="str">
            <v/>
          </cell>
          <cell r="I381" t="str">
            <v/>
          </cell>
          <cell r="K381" t="str">
            <v/>
          </cell>
          <cell r="N381" t="str">
            <v/>
          </cell>
          <cell r="P381" t="str">
            <v/>
          </cell>
        </row>
        <row r="382">
          <cell r="B382" t="str">
            <v/>
          </cell>
          <cell r="C382" t="str">
            <v/>
          </cell>
          <cell r="E382" t="str">
            <v/>
          </cell>
          <cell r="H382" t="str">
            <v/>
          </cell>
          <cell r="I382" t="str">
            <v/>
          </cell>
          <cell r="K382" t="str">
            <v/>
          </cell>
          <cell r="N382" t="str">
            <v/>
          </cell>
          <cell r="P382" t="str">
            <v/>
          </cell>
        </row>
        <row r="383">
          <cell r="B383" t="str">
            <v/>
          </cell>
          <cell r="C383" t="str">
            <v/>
          </cell>
          <cell r="E383" t="str">
            <v/>
          </cell>
          <cell r="H383" t="str">
            <v/>
          </cell>
          <cell r="I383" t="str">
            <v/>
          </cell>
          <cell r="K383" t="str">
            <v/>
          </cell>
          <cell r="N383" t="str">
            <v/>
          </cell>
          <cell r="P383" t="str">
            <v/>
          </cell>
        </row>
        <row r="384">
          <cell r="B384" t="str">
            <v/>
          </cell>
          <cell r="C384" t="str">
            <v/>
          </cell>
          <cell r="E384" t="str">
            <v/>
          </cell>
          <cell r="H384" t="str">
            <v/>
          </cell>
          <cell r="I384" t="str">
            <v/>
          </cell>
          <cell r="K384" t="str">
            <v/>
          </cell>
          <cell r="N384" t="str">
            <v/>
          </cell>
          <cell r="P384" t="str">
            <v/>
          </cell>
        </row>
        <row r="385">
          <cell r="B385" t="str">
            <v/>
          </cell>
          <cell r="C385" t="str">
            <v/>
          </cell>
          <cell r="E385" t="str">
            <v/>
          </cell>
          <cell r="H385" t="str">
            <v/>
          </cell>
          <cell r="I385" t="str">
            <v/>
          </cell>
          <cell r="K385" t="str">
            <v/>
          </cell>
          <cell r="N385" t="str">
            <v/>
          </cell>
          <cell r="P385" t="str">
            <v/>
          </cell>
        </row>
        <row r="386">
          <cell r="B386" t="str">
            <v/>
          </cell>
          <cell r="C386" t="str">
            <v/>
          </cell>
          <cell r="E386" t="str">
            <v/>
          </cell>
          <cell r="H386" t="str">
            <v/>
          </cell>
          <cell r="I386" t="str">
            <v/>
          </cell>
          <cell r="K386" t="str">
            <v/>
          </cell>
          <cell r="N386" t="str">
            <v/>
          </cell>
          <cell r="P386" t="str">
            <v/>
          </cell>
        </row>
        <row r="387">
          <cell r="B387" t="str">
            <v/>
          </cell>
          <cell r="C387" t="str">
            <v/>
          </cell>
          <cell r="E387" t="str">
            <v/>
          </cell>
          <cell r="H387" t="str">
            <v/>
          </cell>
          <cell r="I387" t="str">
            <v/>
          </cell>
          <cell r="K387" t="str">
            <v/>
          </cell>
          <cell r="N387" t="str">
            <v/>
          </cell>
          <cell r="P387" t="str">
            <v/>
          </cell>
        </row>
        <row r="388">
          <cell r="B388" t="str">
            <v/>
          </cell>
          <cell r="C388" t="str">
            <v/>
          </cell>
          <cell r="E388" t="str">
            <v/>
          </cell>
          <cell r="H388" t="str">
            <v/>
          </cell>
          <cell r="I388" t="str">
            <v/>
          </cell>
          <cell r="K388" t="str">
            <v/>
          </cell>
          <cell r="N388" t="str">
            <v/>
          </cell>
          <cell r="P388" t="str">
            <v/>
          </cell>
        </row>
        <row r="389">
          <cell r="B389" t="str">
            <v/>
          </cell>
          <cell r="C389" t="str">
            <v/>
          </cell>
          <cell r="E389" t="str">
            <v/>
          </cell>
          <cell r="H389" t="str">
            <v/>
          </cell>
          <cell r="I389" t="str">
            <v/>
          </cell>
          <cell r="K389" t="str">
            <v/>
          </cell>
          <cell r="N389" t="str">
            <v/>
          </cell>
          <cell r="P389" t="str">
            <v/>
          </cell>
        </row>
        <row r="390">
          <cell r="B390" t="str">
            <v/>
          </cell>
          <cell r="C390" t="str">
            <v/>
          </cell>
          <cell r="E390" t="str">
            <v/>
          </cell>
          <cell r="H390" t="str">
            <v/>
          </cell>
          <cell r="I390" t="str">
            <v/>
          </cell>
          <cell r="K390" t="str">
            <v/>
          </cell>
          <cell r="N390" t="str">
            <v/>
          </cell>
          <cell r="P390" t="str">
            <v/>
          </cell>
        </row>
        <row r="391">
          <cell r="B391" t="str">
            <v/>
          </cell>
          <cell r="C391" t="str">
            <v/>
          </cell>
          <cell r="E391" t="str">
            <v/>
          </cell>
          <cell r="H391" t="str">
            <v/>
          </cell>
          <cell r="I391" t="str">
            <v/>
          </cell>
          <cell r="K391" t="str">
            <v/>
          </cell>
          <cell r="N391" t="str">
            <v/>
          </cell>
          <cell r="P391" t="str">
            <v/>
          </cell>
        </row>
        <row r="392">
          <cell r="B392" t="str">
            <v/>
          </cell>
          <cell r="C392" t="str">
            <v/>
          </cell>
          <cell r="E392" t="str">
            <v/>
          </cell>
          <cell r="H392" t="str">
            <v/>
          </cell>
          <cell r="I392" t="str">
            <v/>
          </cell>
          <cell r="K392" t="str">
            <v/>
          </cell>
          <cell r="N392" t="str">
            <v/>
          </cell>
          <cell r="P392" t="str">
            <v/>
          </cell>
        </row>
        <row r="393">
          <cell r="B393" t="str">
            <v/>
          </cell>
          <cell r="C393" t="str">
            <v/>
          </cell>
          <cell r="E393" t="str">
            <v/>
          </cell>
          <cell r="H393" t="str">
            <v/>
          </cell>
          <cell r="I393" t="str">
            <v/>
          </cell>
          <cell r="K393" t="str">
            <v/>
          </cell>
          <cell r="N393" t="str">
            <v/>
          </cell>
          <cell r="P393" t="str">
            <v/>
          </cell>
        </row>
        <row r="394">
          <cell r="B394" t="str">
            <v/>
          </cell>
          <cell r="C394" t="str">
            <v/>
          </cell>
          <cell r="E394" t="str">
            <v/>
          </cell>
          <cell r="H394" t="str">
            <v/>
          </cell>
          <cell r="I394" t="str">
            <v/>
          </cell>
          <cell r="K394" t="str">
            <v/>
          </cell>
          <cell r="N394" t="str">
            <v/>
          </cell>
          <cell r="P394" t="str">
            <v/>
          </cell>
        </row>
        <row r="395">
          <cell r="B395" t="str">
            <v/>
          </cell>
          <cell r="C395" t="str">
            <v/>
          </cell>
          <cell r="E395" t="str">
            <v/>
          </cell>
          <cell r="H395" t="str">
            <v/>
          </cell>
          <cell r="I395" t="str">
            <v/>
          </cell>
          <cell r="K395" t="str">
            <v/>
          </cell>
          <cell r="N395" t="str">
            <v/>
          </cell>
          <cell r="P395" t="str">
            <v/>
          </cell>
        </row>
        <row r="396">
          <cell r="B396" t="str">
            <v/>
          </cell>
          <cell r="C396" t="str">
            <v/>
          </cell>
          <cell r="E396" t="str">
            <v/>
          </cell>
          <cell r="H396" t="str">
            <v/>
          </cell>
          <cell r="I396" t="str">
            <v/>
          </cell>
          <cell r="K396" t="str">
            <v/>
          </cell>
          <cell r="N396" t="str">
            <v/>
          </cell>
          <cell r="P396" t="str">
            <v/>
          </cell>
        </row>
        <row r="397">
          <cell r="B397" t="str">
            <v/>
          </cell>
          <cell r="C397" t="str">
            <v/>
          </cell>
          <cell r="E397" t="str">
            <v/>
          </cell>
          <cell r="H397" t="str">
            <v/>
          </cell>
          <cell r="I397" t="str">
            <v/>
          </cell>
          <cell r="K397" t="str">
            <v/>
          </cell>
          <cell r="N397" t="str">
            <v/>
          </cell>
          <cell r="P397" t="str">
            <v/>
          </cell>
        </row>
        <row r="398">
          <cell r="B398" t="str">
            <v/>
          </cell>
          <cell r="C398" t="str">
            <v/>
          </cell>
          <cell r="E398" t="str">
            <v/>
          </cell>
          <cell r="H398" t="str">
            <v/>
          </cell>
          <cell r="I398" t="str">
            <v/>
          </cell>
          <cell r="K398" t="str">
            <v/>
          </cell>
          <cell r="N398" t="str">
            <v/>
          </cell>
          <cell r="P398" t="str">
            <v/>
          </cell>
        </row>
        <row r="399">
          <cell r="B399" t="str">
            <v/>
          </cell>
          <cell r="C399" t="str">
            <v/>
          </cell>
          <cell r="E399" t="str">
            <v/>
          </cell>
          <cell r="H399" t="str">
            <v/>
          </cell>
          <cell r="I399" t="str">
            <v/>
          </cell>
          <cell r="K399" t="str">
            <v/>
          </cell>
          <cell r="N399" t="str">
            <v/>
          </cell>
          <cell r="P399" t="str">
            <v/>
          </cell>
        </row>
        <row r="400">
          <cell r="B400" t="str">
            <v/>
          </cell>
          <cell r="C400" t="str">
            <v/>
          </cell>
          <cell r="E400" t="str">
            <v/>
          </cell>
          <cell r="H400" t="str">
            <v/>
          </cell>
          <cell r="I400" t="str">
            <v/>
          </cell>
          <cell r="K400" t="str">
            <v/>
          </cell>
          <cell r="N400" t="str">
            <v/>
          </cell>
          <cell r="P400" t="str">
            <v/>
          </cell>
        </row>
        <row r="401">
          <cell r="B401" t="str">
            <v/>
          </cell>
          <cell r="C401" t="str">
            <v/>
          </cell>
          <cell r="E401" t="str">
            <v/>
          </cell>
          <cell r="H401" t="str">
            <v/>
          </cell>
          <cell r="I401" t="str">
            <v/>
          </cell>
          <cell r="K401" t="str">
            <v/>
          </cell>
          <cell r="N401" t="str">
            <v/>
          </cell>
          <cell r="P401" t="str">
            <v/>
          </cell>
        </row>
        <row r="402">
          <cell r="B402" t="str">
            <v/>
          </cell>
          <cell r="C402" t="str">
            <v/>
          </cell>
          <cell r="E402" t="str">
            <v/>
          </cell>
          <cell r="H402" t="str">
            <v/>
          </cell>
          <cell r="I402" t="str">
            <v/>
          </cell>
          <cell r="K402" t="str">
            <v/>
          </cell>
          <cell r="N402" t="str">
            <v/>
          </cell>
          <cell r="P402" t="str">
            <v/>
          </cell>
        </row>
        <row r="403">
          <cell r="B403" t="str">
            <v/>
          </cell>
          <cell r="C403" t="str">
            <v/>
          </cell>
          <cell r="E403" t="str">
            <v/>
          </cell>
          <cell r="H403" t="str">
            <v/>
          </cell>
          <cell r="I403" t="str">
            <v/>
          </cell>
          <cell r="K403" t="str">
            <v/>
          </cell>
          <cell r="N403" t="str">
            <v/>
          </cell>
          <cell r="P403" t="str">
            <v/>
          </cell>
        </row>
        <row r="404">
          <cell r="B404" t="str">
            <v/>
          </cell>
          <cell r="C404" t="str">
            <v/>
          </cell>
          <cell r="E404" t="str">
            <v/>
          </cell>
          <cell r="H404" t="str">
            <v/>
          </cell>
          <cell r="I404" t="str">
            <v/>
          </cell>
          <cell r="K404" t="str">
            <v/>
          </cell>
          <cell r="N404" t="str">
            <v/>
          </cell>
          <cell r="P404" t="str">
            <v/>
          </cell>
        </row>
        <row r="405">
          <cell r="B405" t="str">
            <v/>
          </cell>
          <cell r="C405" t="str">
            <v/>
          </cell>
          <cell r="E405" t="str">
            <v/>
          </cell>
          <cell r="H405" t="str">
            <v/>
          </cell>
          <cell r="I405" t="str">
            <v/>
          </cell>
          <cell r="K405" t="str">
            <v/>
          </cell>
          <cell r="N405" t="str">
            <v/>
          </cell>
          <cell r="P405" t="str">
            <v/>
          </cell>
        </row>
        <row r="406">
          <cell r="B406" t="str">
            <v/>
          </cell>
          <cell r="C406" t="str">
            <v/>
          </cell>
          <cell r="E406" t="str">
            <v/>
          </cell>
          <cell r="H406" t="str">
            <v/>
          </cell>
          <cell r="I406" t="str">
            <v/>
          </cell>
          <cell r="K406" t="str">
            <v/>
          </cell>
          <cell r="N406" t="str">
            <v/>
          </cell>
          <cell r="P406" t="str">
            <v/>
          </cell>
        </row>
        <row r="407">
          <cell r="B407" t="str">
            <v/>
          </cell>
          <cell r="C407" t="str">
            <v/>
          </cell>
          <cell r="E407" t="str">
            <v/>
          </cell>
          <cell r="H407" t="str">
            <v/>
          </cell>
          <cell r="I407" t="str">
            <v/>
          </cell>
          <cell r="K407" t="str">
            <v/>
          </cell>
          <cell r="N407" t="str">
            <v/>
          </cell>
          <cell r="P407" t="str">
            <v/>
          </cell>
        </row>
        <row r="408">
          <cell r="B408" t="str">
            <v/>
          </cell>
          <cell r="C408" t="str">
            <v/>
          </cell>
          <cell r="E408" t="str">
            <v/>
          </cell>
          <cell r="H408" t="str">
            <v/>
          </cell>
          <cell r="I408" t="str">
            <v/>
          </cell>
          <cell r="K408" t="str">
            <v/>
          </cell>
          <cell r="N408" t="str">
            <v/>
          </cell>
          <cell r="P408" t="str">
            <v/>
          </cell>
        </row>
        <row r="409">
          <cell r="B409" t="str">
            <v/>
          </cell>
          <cell r="C409" t="str">
            <v/>
          </cell>
          <cell r="E409" t="str">
            <v/>
          </cell>
          <cell r="H409" t="str">
            <v/>
          </cell>
          <cell r="I409" t="str">
            <v/>
          </cell>
          <cell r="K409" t="str">
            <v/>
          </cell>
          <cell r="N409" t="str">
            <v/>
          </cell>
          <cell r="P409" t="str">
            <v/>
          </cell>
        </row>
        <row r="410">
          <cell r="B410" t="str">
            <v/>
          </cell>
          <cell r="C410" t="str">
            <v/>
          </cell>
          <cell r="E410" t="str">
            <v/>
          </cell>
          <cell r="H410" t="str">
            <v/>
          </cell>
          <cell r="I410" t="str">
            <v/>
          </cell>
          <cell r="K410" t="str">
            <v/>
          </cell>
          <cell r="N410" t="str">
            <v/>
          </cell>
          <cell r="P410" t="str">
            <v/>
          </cell>
        </row>
        <row r="411">
          <cell r="B411" t="str">
            <v/>
          </cell>
          <cell r="C411" t="str">
            <v/>
          </cell>
          <cell r="E411" t="str">
            <v/>
          </cell>
          <cell r="H411" t="str">
            <v/>
          </cell>
          <cell r="I411" t="str">
            <v/>
          </cell>
          <cell r="K411" t="str">
            <v/>
          </cell>
          <cell r="N411" t="str">
            <v/>
          </cell>
          <cell r="P411" t="str">
            <v/>
          </cell>
        </row>
        <row r="412">
          <cell r="B412" t="str">
            <v/>
          </cell>
          <cell r="C412" t="str">
            <v/>
          </cell>
          <cell r="E412" t="str">
            <v/>
          </cell>
          <cell r="H412" t="str">
            <v/>
          </cell>
          <cell r="I412" t="str">
            <v/>
          </cell>
          <cell r="K412" t="str">
            <v/>
          </cell>
          <cell r="N412" t="str">
            <v/>
          </cell>
          <cell r="P412" t="str">
            <v/>
          </cell>
        </row>
        <row r="413">
          <cell r="B413" t="str">
            <v/>
          </cell>
          <cell r="C413" t="str">
            <v/>
          </cell>
          <cell r="E413" t="str">
            <v/>
          </cell>
          <cell r="H413" t="str">
            <v/>
          </cell>
          <cell r="I413" t="str">
            <v/>
          </cell>
          <cell r="K413" t="str">
            <v/>
          </cell>
          <cell r="N413" t="str">
            <v/>
          </cell>
          <cell r="P413" t="str">
            <v/>
          </cell>
        </row>
        <row r="414">
          <cell r="B414" t="str">
            <v/>
          </cell>
          <cell r="C414" t="str">
            <v/>
          </cell>
          <cell r="E414" t="str">
            <v/>
          </cell>
          <cell r="H414" t="str">
            <v/>
          </cell>
          <cell r="I414" t="str">
            <v/>
          </cell>
          <cell r="K414" t="str">
            <v/>
          </cell>
          <cell r="N414" t="str">
            <v/>
          </cell>
          <cell r="P414" t="str">
            <v/>
          </cell>
        </row>
        <row r="415">
          <cell r="B415" t="str">
            <v/>
          </cell>
          <cell r="C415" t="str">
            <v/>
          </cell>
          <cell r="E415" t="str">
            <v/>
          </cell>
          <cell r="H415" t="str">
            <v/>
          </cell>
          <cell r="I415" t="str">
            <v/>
          </cell>
          <cell r="K415" t="str">
            <v/>
          </cell>
          <cell r="N415" t="str">
            <v/>
          </cell>
          <cell r="P415" t="str">
            <v/>
          </cell>
        </row>
        <row r="416">
          <cell r="B416" t="str">
            <v/>
          </cell>
          <cell r="C416" t="str">
            <v/>
          </cell>
          <cell r="E416" t="str">
            <v/>
          </cell>
          <cell r="H416" t="str">
            <v/>
          </cell>
          <cell r="I416" t="str">
            <v/>
          </cell>
          <cell r="K416" t="str">
            <v/>
          </cell>
          <cell r="N416" t="str">
            <v/>
          </cell>
          <cell r="P416" t="str">
            <v/>
          </cell>
        </row>
        <row r="417">
          <cell r="B417" t="str">
            <v/>
          </cell>
          <cell r="C417" t="str">
            <v/>
          </cell>
          <cell r="E417" t="str">
            <v/>
          </cell>
          <cell r="H417" t="str">
            <v/>
          </cell>
          <cell r="I417" t="str">
            <v/>
          </cell>
          <cell r="K417" t="str">
            <v/>
          </cell>
          <cell r="N417" t="str">
            <v/>
          </cell>
          <cell r="P417" t="str">
            <v/>
          </cell>
        </row>
        <row r="418">
          <cell r="B418" t="str">
            <v/>
          </cell>
          <cell r="C418" t="str">
            <v/>
          </cell>
          <cell r="E418" t="str">
            <v/>
          </cell>
          <cell r="H418" t="str">
            <v/>
          </cell>
          <cell r="I418" t="str">
            <v/>
          </cell>
          <cell r="K418" t="str">
            <v/>
          </cell>
          <cell r="N418" t="str">
            <v/>
          </cell>
          <cell r="P418" t="str">
            <v/>
          </cell>
        </row>
        <row r="419">
          <cell r="B419" t="str">
            <v/>
          </cell>
          <cell r="C419" t="str">
            <v/>
          </cell>
          <cell r="E419" t="str">
            <v/>
          </cell>
          <cell r="H419" t="str">
            <v/>
          </cell>
          <cell r="I419" t="str">
            <v/>
          </cell>
          <cell r="K419" t="str">
            <v/>
          </cell>
          <cell r="N419" t="str">
            <v/>
          </cell>
          <cell r="P419" t="str">
            <v/>
          </cell>
        </row>
        <row r="420">
          <cell r="B420" t="str">
            <v/>
          </cell>
          <cell r="C420" t="str">
            <v/>
          </cell>
          <cell r="E420" t="str">
            <v/>
          </cell>
          <cell r="H420" t="str">
            <v/>
          </cell>
          <cell r="I420" t="str">
            <v/>
          </cell>
          <cell r="K420" t="str">
            <v/>
          </cell>
          <cell r="N420" t="str">
            <v/>
          </cell>
          <cell r="P420" t="str">
            <v/>
          </cell>
        </row>
        <row r="421">
          <cell r="B421" t="str">
            <v/>
          </cell>
          <cell r="C421" t="str">
            <v/>
          </cell>
          <cell r="E421" t="str">
            <v/>
          </cell>
          <cell r="H421" t="str">
            <v/>
          </cell>
          <cell r="I421" t="str">
            <v/>
          </cell>
          <cell r="K421" t="str">
            <v/>
          </cell>
          <cell r="N421" t="str">
            <v/>
          </cell>
          <cell r="P421" t="str">
            <v/>
          </cell>
        </row>
        <row r="422">
          <cell r="B422" t="str">
            <v/>
          </cell>
          <cell r="C422" t="str">
            <v/>
          </cell>
          <cell r="E422" t="str">
            <v/>
          </cell>
          <cell r="H422" t="str">
            <v/>
          </cell>
          <cell r="I422" t="str">
            <v/>
          </cell>
          <cell r="K422" t="str">
            <v/>
          </cell>
          <cell r="N422" t="str">
            <v/>
          </cell>
          <cell r="P422" t="str">
            <v/>
          </cell>
        </row>
        <row r="423">
          <cell r="B423" t="str">
            <v/>
          </cell>
          <cell r="C423" t="str">
            <v/>
          </cell>
          <cell r="E423" t="str">
            <v/>
          </cell>
          <cell r="H423" t="str">
            <v/>
          </cell>
          <cell r="I423" t="str">
            <v/>
          </cell>
          <cell r="K423" t="str">
            <v/>
          </cell>
          <cell r="N423" t="str">
            <v/>
          </cell>
          <cell r="P423" t="str">
            <v/>
          </cell>
        </row>
        <row r="424">
          <cell r="B424" t="str">
            <v/>
          </cell>
          <cell r="C424" t="str">
            <v/>
          </cell>
          <cell r="E424" t="str">
            <v/>
          </cell>
          <cell r="H424" t="str">
            <v/>
          </cell>
          <cell r="I424" t="str">
            <v/>
          </cell>
          <cell r="K424" t="str">
            <v/>
          </cell>
          <cell r="N424" t="str">
            <v/>
          </cell>
          <cell r="P424" t="str">
            <v/>
          </cell>
        </row>
        <row r="425">
          <cell r="B425" t="str">
            <v/>
          </cell>
          <cell r="C425" t="str">
            <v/>
          </cell>
          <cell r="E425" t="str">
            <v/>
          </cell>
          <cell r="H425" t="str">
            <v/>
          </cell>
          <cell r="I425" t="str">
            <v/>
          </cell>
          <cell r="K425" t="str">
            <v/>
          </cell>
          <cell r="N425" t="str">
            <v/>
          </cell>
          <cell r="P425" t="str">
            <v/>
          </cell>
        </row>
        <row r="426">
          <cell r="B426" t="str">
            <v/>
          </cell>
          <cell r="C426" t="str">
            <v/>
          </cell>
          <cell r="E426" t="str">
            <v/>
          </cell>
          <cell r="H426" t="str">
            <v/>
          </cell>
          <cell r="I426" t="str">
            <v/>
          </cell>
          <cell r="K426" t="str">
            <v/>
          </cell>
          <cell r="N426" t="str">
            <v/>
          </cell>
          <cell r="P426" t="str">
            <v/>
          </cell>
        </row>
        <row r="427">
          <cell r="B427" t="str">
            <v/>
          </cell>
          <cell r="C427" t="str">
            <v/>
          </cell>
          <cell r="E427" t="str">
            <v/>
          </cell>
          <cell r="H427" t="str">
            <v/>
          </cell>
          <cell r="I427" t="str">
            <v/>
          </cell>
          <cell r="K427" t="str">
            <v/>
          </cell>
          <cell r="N427" t="str">
            <v/>
          </cell>
          <cell r="P427" t="str">
            <v/>
          </cell>
        </row>
        <row r="428">
          <cell r="B428" t="str">
            <v/>
          </cell>
          <cell r="C428" t="str">
            <v/>
          </cell>
          <cell r="E428" t="str">
            <v/>
          </cell>
          <cell r="H428" t="str">
            <v/>
          </cell>
          <cell r="I428" t="str">
            <v/>
          </cell>
          <cell r="K428" t="str">
            <v/>
          </cell>
          <cell r="N428" t="str">
            <v/>
          </cell>
          <cell r="P428" t="str">
            <v/>
          </cell>
        </row>
        <row r="429">
          <cell r="B429" t="str">
            <v/>
          </cell>
          <cell r="C429" t="str">
            <v/>
          </cell>
          <cell r="E429" t="str">
            <v/>
          </cell>
          <cell r="H429" t="str">
            <v/>
          </cell>
          <cell r="I429" t="str">
            <v/>
          </cell>
          <cell r="K429" t="str">
            <v/>
          </cell>
          <cell r="N429" t="str">
            <v/>
          </cell>
          <cell r="P429" t="str">
            <v/>
          </cell>
        </row>
        <row r="430">
          <cell r="B430" t="str">
            <v/>
          </cell>
          <cell r="C430" t="str">
            <v/>
          </cell>
          <cell r="E430" t="str">
            <v/>
          </cell>
          <cell r="H430" t="str">
            <v/>
          </cell>
          <cell r="I430" t="str">
            <v/>
          </cell>
          <cell r="K430" t="str">
            <v/>
          </cell>
          <cell r="N430" t="str">
            <v/>
          </cell>
          <cell r="P430" t="str">
            <v/>
          </cell>
        </row>
        <row r="431">
          <cell r="B431" t="str">
            <v/>
          </cell>
          <cell r="C431" t="str">
            <v/>
          </cell>
          <cell r="E431" t="str">
            <v/>
          </cell>
          <cell r="H431" t="str">
            <v/>
          </cell>
          <cell r="I431" t="str">
            <v/>
          </cell>
          <cell r="K431" t="str">
            <v/>
          </cell>
          <cell r="N431" t="str">
            <v/>
          </cell>
          <cell r="P431" t="str">
            <v/>
          </cell>
        </row>
        <row r="432">
          <cell r="B432" t="str">
            <v/>
          </cell>
          <cell r="C432" t="str">
            <v/>
          </cell>
          <cell r="E432" t="str">
            <v/>
          </cell>
          <cell r="H432" t="str">
            <v/>
          </cell>
          <cell r="I432" t="str">
            <v/>
          </cell>
          <cell r="K432" t="str">
            <v/>
          </cell>
          <cell r="N432" t="str">
            <v/>
          </cell>
          <cell r="P432" t="str">
            <v/>
          </cell>
        </row>
        <row r="433">
          <cell r="B433" t="str">
            <v/>
          </cell>
          <cell r="C433" t="str">
            <v/>
          </cell>
          <cell r="E433" t="str">
            <v/>
          </cell>
          <cell r="H433" t="str">
            <v/>
          </cell>
          <cell r="I433" t="str">
            <v/>
          </cell>
          <cell r="K433" t="str">
            <v/>
          </cell>
          <cell r="N433" t="str">
            <v/>
          </cell>
          <cell r="P433" t="str">
            <v/>
          </cell>
        </row>
        <row r="434">
          <cell r="B434" t="str">
            <v/>
          </cell>
          <cell r="C434" t="str">
            <v/>
          </cell>
          <cell r="E434" t="str">
            <v/>
          </cell>
          <cell r="H434" t="str">
            <v/>
          </cell>
          <cell r="I434" t="str">
            <v/>
          </cell>
          <cell r="K434" t="str">
            <v/>
          </cell>
          <cell r="N434" t="str">
            <v/>
          </cell>
          <cell r="P434" t="str">
            <v/>
          </cell>
        </row>
        <row r="435">
          <cell r="B435" t="str">
            <v/>
          </cell>
          <cell r="C435" t="str">
            <v/>
          </cell>
          <cell r="E435" t="str">
            <v/>
          </cell>
          <cell r="H435" t="str">
            <v/>
          </cell>
          <cell r="I435" t="str">
            <v/>
          </cell>
          <cell r="K435" t="str">
            <v/>
          </cell>
          <cell r="N435" t="str">
            <v/>
          </cell>
          <cell r="P435" t="str">
            <v/>
          </cell>
        </row>
        <row r="436">
          <cell r="B436" t="str">
            <v/>
          </cell>
          <cell r="C436" t="str">
            <v/>
          </cell>
          <cell r="E436" t="str">
            <v/>
          </cell>
          <cell r="H436" t="str">
            <v/>
          </cell>
          <cell r="I436" t="str">
            <v/>
          </cell>
          <cell r="K436" t="str">
            <v/>
          </cell>
          <cell r="N436" t="str">
            <v/>
          </cell>
          <cell r="P436" t="str">
            <v/>
          </cell>
        </row>
        <row r="437">
          <cell r="B437" t="str">
            <v/>
          </cell>
          <cell r="C437" t="str">
            <v/>
          </cell>
          <cell r="E437" t="str">
            <v/>
          </cell>
          <cell r="H437" t="str">
            <v/>
          </cell>
          <cell r="I437" t="str">
            <v/>
          </cell>
          <cell r="K437" t="str">
            <v/>
          </cell>
          <cell r="N437" t="str">
            <v/>
          </cell>
          <cell r="P437" t="str">
            <v/>
          </cell>
        </row>
        <row r="438">
          <cell r="B438" t="str">
            <v/>
          </cell>
          <cell r="C438" t="str">
            <v/>
          </cell>
          <cell r="E438" t="str">
            <v/>
          </cell>
          <cell r="H438" t="str">
            <v/>
          </cell>
          <cell r="I438" t="str">
            <v/>
          </cell>
          <cell r="K438" t="str">
            <v/>
          </cell>
          <cell r="N438" t="str">
            <v/>
          </cell>
          <cell r="P438" t="str">
            <v/>
          </cell>
        </row>
        <row r="439">
          <cell r="B439" t="str">
            <v/>
          </cell>
          <cell r="C439" t="str">
            <v/>
          </cell>
          <cell r="E439" t="str">
            <v/>
          </cell>
          <cell r="H439" t="str">
            <v/>
          </cell>
          <cell r="I439" t="str">
            <v/>
          </cell>
          <cell r="K439" t="str">
            <v/>
          </cell>
          <cell r="N439" t="str">
            <v/>
          </cell>
          <cell r="P439" t="str">
            <v/>
          </cell>
        </row>
        <row r="440">
          <cell r="B440" t="str">
            <v/>
          </cell>
          <cell r="C440" t="str">
            <v/>
          </cell>
          <cell r="E440" t="str">
            <v/>
          </cell>
          <cell r="H440" t="str">
            <v/>
          </cell>
          <cell r="I440" t="str">
            <v/>
          </cell>
          <cell r="K440" t="str">
            <v/>
          </cell>
          <cell r="N440" t="str">
            <v/>
          </cell>
          <cell r="P440" t="str">
            <v/>
          </cell>
        </row>
        <row r="441">
          <cell r="B441" t="str">
            <v/>
          </cell>
          <cell r="C441" t="str">
            <v/>
          </cell>
          <cell r="E441" t="str">
            <v/>
          </cell>
          <cell r="H441" t="str">
            <v/>
          </cell>
          <cell r="I441" t="str">
            <v/>
          </cell>
          <cell r="K441" t="str">
            <v/>
          </cell>
          <cell r="N441" t="str">
            <v/>
          </cell>
          <cell r="P441" t="str">
            <v/>
          </cell>
        </row>
        <row r="442">
          <cell r="B442" t="str">
            <v/>
          </cell>
          <cell r="C442" t="str">
            <v/>
          </cell>
          <cell r="E442" t="str">
            <v/>
          </cell>
          <cell r="H442" t="str">
            <v/>
          </cell>
          <cell r="I442" t="str">
            <v/>
          </cell>
          <cell r="K442" t="str">
            <v/>
          </cell>
          <cell r="N442" t="str">
            <v/>
          </cell>
          <cell r="P442" t="str">
            <v/>
          </cell>
        </row>
        <row r="443">
          <cell r="B443" t="str">
            <v/>
          </cell>
          <cell r="C443" t="str">
            <v/>
          </cell>
          <cell r="E443" t="str">
            <v/>
          </cell>
          <cell r="H443" t="str">
            <v/>
          </cell>
          <cell r="I443" t="str">
            <v/>
          </cell>
          <cell r="K443" t="str">
            <v/>
          </cell>
          <cell r="N443" t="str">
            <v/>
          </cell>
          <cell r="P443" t="str">
            <v/>
          </cell>
        </row>
        <row r="444">
          <cell r="B444" t="str">
            <v/>
          </cell>
          <cell r="C444" t="str">
            <v/>
          </cell>
          <cell r="E444" t="str">
            <v/>
          </cell>
          <cell r="H444" t="str">
            <v/>
          </cell>
          <cell r="I444" t="str">
            <v/>
          </cell>
          <cell r="K444" t="str">
            <v/>
          </cell>
          <cell r="N444" t="str">
            <v/>
          </cell>
          <cell r="P444" t="str">
            <v/>
          </cell>
        </row>
        <row r="445">
          <cell r="B445" t="str">
            <v/>
          </cell>
          <cell r="C445" t="str">
            <v/>
          </cell>
          <cell r="E445" t="str">
            <v/>
          </cell>
          <cell r="H445" t="str">
            <v/>
          </cell>
          <cell r="I445" t="str">
            <v/>
          </cell>
          <cell r="K445" t="str">
            <v/>
          </cell>
          <cell r="N445" t="str">
            <v/>
          </cell>
          <cell r="P445" t="str">
            <v/>
          </cell>
        </row>
        <row r="446">
          <cell r="B446" t="str">
            <v/>
          </cell>
          <cell r="C446" t="str">
            <v/>
          </cell>
          <cell r="E446" t="str">
            <v/>
          </cell>
          <cell r="H446" t="str">
            <v/>
          </cell>
          <cell r="I446" t="str">
            <v/>
          </cell>
          <cell r="K446" t="str">
            <v/>
          </cell>
          <cell r="N446" t="str">
            <v/>
          </cell>
          <cell r="P446" t="str">
            <v/>
          </cell>
        </row>
        <row r="447">
          <cell r="B447" t="str">
            <v/>
          </cell>
          <cell r="C447" t="str">
            <v/>
          </cell>
          <cell r="E447" t="str">
            <v/>
          </cell>
          <cell r="H447" t="str">
            <v/>
          </cell>
          <cell r="I447" t="str">
            <v/>
          </cell>
          <cell r="K447" t="str">
            <v/>
          </cell>
          <cell r="N447" t="str">
            <v/>
          </cell>
          <cell r="P447" t="str">
            <v/>
          </cell>
        </row>
        <row r="448">
          <cell r="B448" t="str">
            <v/>
          </cell>
          <cell r="C448" t="str">
            <v/>
          </cell>
          <cell r="E448" t="str">
            <v/>
          </cell>
          <cell r="H448" t="str">
            <v/>
          </cell>
          <cell r="I448" t="str">
            <v/>
          </cell>
          <cell r="K448" t="str">
            <v/>
          </cell>
          <cell r="N448" t="str">
            <v/>
          </cell>
          <cell r="P448" t="str">
            <v/>
          </cell>
        </row>
        <row r="449">
          <cell r="B449" t="str">
            <v/>
          </cell>
          <cell r="C449" t="str">
            <v/>
          </cell>
          <cell r="E449" t="str">
            <v/>
          </cell>
          <cell r="H449" t="str">
            <v/>
          </cell>
          <cell r="I449" t="str">
            <v/>
          </cell>
          <cell r="K449" t="str">
            <v/>
          </cell>
          <cell r="N449" t="str">
            <v/>
          </cell>
          <cell r="P449" t="str">
            <v/>
          </cell>
        </row>
        <row r="450">
          <cell r="B450" t="str">
            <v/>
          </cell>
          <cell r="C450" t="str">
            <v/>
          </cell>
          <cell r="E450" t="str">
            <v/>
          </cell>
          <cell r="H450" t="str">
            <v/>
          </cell>
          <cell r="I450" t="str">
            <v/>
          </cell>
          <cell r="K450" t="str">
            <v/>
          </cell>
          <cell r="N450" t="str">
            <v/>
          </cell>
          <cell r="P450" t="str">
            <v/>
          </cell>
        </row>
        <row r="451">
          <cell r="B451" t="str">
            <v/>
          </cell>
          <cell r="C451" t="str">
            <v/>
          </cell>
          <cell r="E451" t="str">
            <v/>
          </cell>
          <cell r="H451" t="str">
            <v/>
          </cell>
          <cell r="I451" t="str">
            <v/>
          </cell>
          <cell r="K451" t="str">
            <v/>
          </cell>
          <cell r="N451" t="str">
            <v/>
          </cell>
          <cell r="P451" t="str">
            <v/>
          </cell>
        </row>
        <row r="452">
          <cell r="B452" t="str">
            <v/>
          </cell>
          <cell r="C452" t="str">
            <v/>
          </cell>
          <cell r="E452" t="str">
            <v/>
          </cell>
          <cell r="H452" t="str">
            <v/>
          </cell>
          <cell r="I452" t="str">
            <v/>
          </cell>
          <cell r="K452" t="str">
            <v/>
          </cell>
          <cell r="N452" t="str">
            <v/>
          </cell>
          <cell r="P452" t="str">
            <v/>
          </cell>
        </row>
        <row r="453">
          <cell r="B453" t="str">
            <v/>
          </cell>
          <cell r="C453" t="str">
            <v/>
          </cell>
          <cell r="E453" t="str">
            <v/>
          </cell>
          <cell r="H453" t="str">
            <v/>
          </cell>
          <cell r="I453" t="str">
            <v/>
          </cell>
          <cell r="K453" t="str">
            <v/>
          </cell>
          <cell r="N453" t="str">
            <v/>
          </cell>
          <cell r="P453" t="str">
            <v/>
          </cell>
        </row>
        <row r="454">
          <cell r="B454" t="str">
            <v/>
          </cell>
          <cell r="C454" t="str">
            <v/>
          </cell>
          <cell r="E454" t="str">
            <v/>
          </cell>
          <cell r="H454" t="str">
            <v/>
          </cell>
          <cell r="I454" t="str">
            <v/>
          </cell>
          <cell r="K454" t="str">
            <v/>
          </cell>
          <cell r="N454" t="str">
            <v/>
          </cell>
          <cell r="P454" t="str">
            <v/>
          </cell>
        </row>
        <row r="455">
          <cell r="B455" t="str">
            <v/>
          </cell>
          <cell r="C455" t="str">
            <v/>
          </cell>
          <cell r="E455" t="str">
            <v/>
          </cell>
          <cell r="H455" t="str">
            <v/>
          </cell>
          <cell r="I455" t="str">
            <v/>
          </cell>
          <cell r="K455" t="str">
            <v/>
          </cell>
          <cell r="N455" t="str">
            <v/>
          </cell>
          <cell r="P455" t="str">
            <v/>
          </cell>
        </row>
        <row r="456">
          <cell r="B456" t="str">
            <v/>
          </cell>
          <cell r="C456" t="str">
            <v/>
          </cell>
          <cell r="E456" t="str">
            <v/>
          </cell>
          <cell r="H456" t="str">
            <v/>
          </cell>
          <cell r="I456" t="str">
            <v/>
          </cell>
          <cell r="K456" t="str">
            <v/>
          </cell>
          <cell r="N456" t="str">
            <v/>
          </cell>
          <cell r="P456" t="str">
            <v/>
          </cell>
        </row>
        <row r="457">
          <cell r="B457" t="str">
            <v/>
          </cell>
          <cell r="C457" t="str">
            <v/>
          </cell>
          <cell r="E457" t="str">
            <v/>
          </cell>
          <cell r="H457" t="str">
            <v/>
          </cell>
          <cell r="I457" t="str">
            <v/>
          </cell>
          <cell r="K457" t="str">
            <v/>
          </cell>
          <cell r="N457" t="str">
            <v/>
          </cell>
          <cell r="P457" t="str">
            <v/>
          </cell>
        </row>
        <row r="458">
          <cell r="B458" t="str">
            <v/>
          </cell>
          <cell r="C458" t="str">
            <v/>
          </cell>
          <cell r="E458" t="str">
            <v/>
          </cell>
          <cell r="H458" t="str">
            <v/>
          </cell>
          <cell r="I458" t="str">
            <v/>
          </cell>
          <cell r="K458" t="str">
            <v/>
          </cell>
          <cell r="N458" t="str">
            <v/>
          </cell>
          <cell r="P458" t="str">
            <v/>
          </cell>
        </row>
        <row r="459">
          <cell r="B459" t="str">
            <v/>
          </cell>
          <cell r="C459" t="str">
            <v/>
          </cell>
          <cell r="E459" t="str">
            <v/>
          </cell>
          <cell r="H459" t="str">
            <v/>
          </cell>
          <cell r="I459" t="str">
            <v/>
          </cell>
          <cell r="K459" t="str">
            <v/>
          </cell>
          <cell r="N459" t="str">
            <v/>
          </cell>
          <cell r="P459" t="str">
            <v/>
          </cell>
        </row>
        <row r="460">
          <cell r="B460" t="str">
            <v/>
          </cell>
          <cell r="C460" t="str">
            <v/>
          </cell>
          <cell r="E460" t="str">
            <v/>
          </cell>
          <cell r="H460" t="str">
            <v/>
          </cell>
          <cell r="I460" t="str">
            <v/>
          </cell>
          <cell r="K460" t="str">
            <v/>
          </cell>
          <cell r="N460" t="str">
            <v/>
          </cell>
          <cell r="P460" t="str">
            <v/>
          </cell>
        </row>
        <row r="461">
          <cell r="B461" t="str">
            <v/>
          </cell>
          <cell r="C461" t="str">
            <v/>
          </cell>
          <cell r="E461" t="str">
            <v/>
          </cell>
          <cell r="H461" t="str">
            <v/>
          </cell>
          <cell r="I461" t="str">
            <v/>
          </cell>
          <cell r="K461" t="str">
            <v/>
          </cell>
          <cell r="N461" t="str">
            <v/>
          </cell>
          <cell r="P461" t="str">
            <v/>
          </cell>
        </row>
        <row r="462">
          <cell r="B462" t="str">
            <v/>
          </cell>
          <cell r="C462" t="str">
            <v/>
          </cell>
          <cell r="E462" t="str">
            <v/>
          </cell>
          <cell r="H462" t="str">
            <v/>
          </cell>
          <cell r="I462" t="str">
            <v/>
          </cell>
          <cell r="K462" t="str">
            <v/>
          </cell>
          <cell r="N462" t="str">
            <v/>
          </cell>
          <cell r="P462" t="str">
            <v/>
          </cell>
        </row>
        <row r="463">
          <cell r="B463" t="str">
            <v/>
          </cell>
          <cell r="C463" t="str">
            <v/>
          </cell>
          <cell r="E463" t="str">
            <v/>
          </cell>
          <cell r="H463" t="str">
            <v/>
          </cell>
          <cell r="I463" t="str">
            <v/>
          </cell>
          <cell r="K463" t="str">
            <v/>
          </cell>
          <cell r="N463" t="str">
            <v/>
          </cell>
          <cell r="P463" t="str">
            <v/>
          </cell>
        </row>
        <row r="464">
          <cell r="B464" t="str">
            <v/>
          </cell>
          <cell r="C464" t="str">
            <v/>
          </cell>
          <cell r="E464" t="str">
            <v/>
          </cell>
          <cell r="H464" t="str">
            <v/>
          </cell>
          <cell r="I464" t="str">
            <v/>
          </cell>
          <cell r="K464" t="str">
            <v/>
          </cell>
          <cell r="N464" t="str">
            <v/>
          </cell>
          <cell r="P464" t="str">
            <v/>
          </cell>
        </row>
        <row r="465">
          <cell r="B465" t="str">
            <v/>
          </cell>
          <cell r="C465" t="str">
            <v/>
          </cell>
          <cell r="E465" t="str">
            <v/>
          </cell>
          <cell r="H465" t="str">
            <v/>
          </cell>
          <cell r="I465" t="str">
            <v/>
          </cell>
          <cell r="K465" t="str">
            <v/>
          </cell>
          <cell r="N465" t="str">
            <v/>
          </cell>
          <cell r="P465" t="str">
            <v/>
          </cell>
        </row>
        <row r="466">
          <cell r="B466" t="str">
            <v/>
          </cell>
          <cell r="C466" t="str">
            <v/>
          </cell>
          <cell r="E466" t="str">
            <v/>
          </cell>
          <cell r="H466" t="str">
            <v/>
          </cell>
          <cell r="I466" t="str">
            <v/>
          </cell>
          <cell r="K466" t="str">
            <v/>
          </cell>
          <cell r="N466" t="str">
            <v/>
          </cell>
          <cell r="P466" t="str">
            <v/>
          </cell>
        </row>
        <row r="467">
          <cell r="B467" t="str">
            <v/>
          </cell>
          <cell r="C467" t="str">
            <v/>
          </cell>
          <cell r="E467" t="str">
            <v/>
          </cell>
          <cell r="H467" t="str">
            <v/>
          </cell>
          <cell r="I467" t="str">
            <v/>
          </cell>
          <cell r="K467" t="str">
            <v/>
          </cell>
          <cell r="N467" t="str">
            <v/>
          </cell>
          <cell r="P467" t="str">
            <v/>
          </cell>
        </row>
        <row r="468">
          <cell r="B468" t="str">
            <v/>
          </cell>
          <cell r="C468" t="str">
            <v/>
          </cell>
          <cell r="E468" t="str">
            <v/>
          </cell>
          <cell r="H468" t="str">
            <v/>
          </cell>
          <cell r="I468" t="str">
            <v/>
          </cell>
          <cell r="K468" t="str">
            <v/>
          </cell>
          <cell r="N468" t="str">
            <v/>
          </cell>
          <cell r="P468" t="str">
            <v/>
          </cell>
        </row>
        <row r="469">
          <cell r="B469" t="str">
            <v/>
          </cell>
          <cell r="C469" t="str">
            <v/>
          </cell>
          <cell r="E469" t="str">
            <v/>
          </cell>
          <cell r="H469" t="str">
            <v/>
          </cell>
          <cell r="I469" t="str">
            <v/>
          </cell>
          <cell r="K469" t="str">
            <v/>
          </cell>
          <cell r="N469" t="str">
            <v/>
          </cell>
          <cell r="P469" t="str">
            <v/>
          </cell>
        </row>
        <row r="470">
          <cell r="B470" t="str">
            <v/>
          </cell>
          <cell r="C470" t="str">
            <v/>
          </cell>
          <cell r="E470" t="str">
            <v/>
          </cell>
          <cell r="H470" t="str">
            <v/>
          </cell>
          <cell r="I470" t="str">
            <v/>
          </cell>
          <cell r="K470" t="str">
            <v/>
          </cell>
          <cell r="N470" t="str">
            <v/>
          </cell>
          <cell r="P470" t="str">
            <v/>
          </cell>
        </row>
        <row r="471">
          <cell r="B471" t="str">
            <v/>
          </cell>
          <cell r="C471" t="str">
            <v/>
          </cell>
          <cell r="E471" t="str">
            <v/>
          </cell>
          <cell r="H471" t="str">
            <v/>
          </cell>
          <cell r="I471" t="str">
            <v/>
          </cell>
          <cell r="K471" t="str">
            <v/>
          </cell>
          <cell r="N471" t="str">
            <v/>
          </cell>
          <cell r="P471" t="str">
            <v/>
          </cell>
        </row>
        <row r="472">
          <cell r="B472" t="str">
            <v/>
          </cell>
          <cell r="C472" t="str">
            <v/>
          </cell>
          <cell r="E472" t="str">
            <v/>
          </cell>
          <cell r="H472" t="str">
            <v/>
          </cell>
          <cell r="I472" t="str">
            <v/>
          </cell>
          <cell r="K472" t="str">
            <v/>
          </cell>
          <cell r="N472" t="str">
            <v/>
          </cell>
          <cell r="P472" t="str">
            <v/>
          </cell>
        </row>
        <row r="473">
          <cell r="B473" t="str">
            <v/>
          </cell>
          <cell r="C473" t="str">
            <v/>
          </cell>
          <cell r="E473" t="str">
            <v/>
          </cell>
          <cell r="H473" t="str">
            <v/>
          </cell>
          <cell r="I473" t="str">
            <v/>
          </cell>
          <cell r="K473" t="str">
            <v/>
          </cell>
          <cell r="N473" t="str">
            <v/>
          </cell>
          <cell r="P473" t="str">
            <v/>
          </cell>
        </row>
        <row r="474">
          <cell r="B474" t="str">
            <v/>
          </cell>
          <cell r="C474" t="str">
            <v/>
          </cell>
          <cell r="E474" t="str">
            <v/>
          </cell>
          <cell r="H474" t="str">
            <v/>
          </cell>
          <cell r="I474" t="str">
            <v/>
          </cell>
          <cell r="K474" t="str">
            <v/>
          </cell>
          <cell r="N474" t="str">
            <v/>
          </cell>
          <cell r="P474" t="str">
            <v/>
          </cell>
        </row>
        <row r="475">
          <cell r="B475" t="str">
            <v/>
          </cell>
          <cell r="C475" t="str">
            <v/>
          </cell>
          <cell r="E475" t="str">
            <v/>
          </cell>
          <cell r="H475" t="str">
            <v/>
          </cell>
          <cell r="I475" t="str">
            <v/>
          </cell>
          <cell r="K475" t="str">
            <v/>
          </cell>
          <cell r="N475" t="str">
            <v/>
          </cell>
          <cell r="P475" t="str">
            <v/>
          </cell>
        </row>
        <row r="476">
          <cell r="B476" t="str">
            <v/>
          </cell>
          <cell r="C476" t="str">
            <v/>
          </cell>
          <cell r="E476" t="str">
            <v/>
          </cell>
          <cell r="H476" t="str">
            <v/>
          </cell>
          <cell r="I476" t="str">
            <v/>
          </cell>
          <cell r="K476" t="str">
            <v/>
          </cell>
          <cell r="N476" t="str">
            <v/>
          </cell>
          <cell r="P476" t="str">
            <v/>
          </cell>
        </row>
        <row r="477">
          <cell r="B477" t="str">
            <v/>
          </cell>
          <cell r="C477" t="str">
            <v/>
          </cell>
          <cell r="E477" t="str">
            <v/>
          </cell>
          <cell r="H477" t="str">
            <v/>
          </cell>
          <cell r="I477" t="str">
            <v/>
          </cell>
          <cell r="K477" t="str">
            <v/>
          </cell>
          <cell r="N477" t="str">
            <v/>
          </cell>
          <cell r="P477" t="str">
            <v/>
          </cell>
        </row>
        <row r="478">
          <cell r="B478" t="str">
            <v/>
          </cell>
          <cell r="C478" t="str">
            <v/>
          </cell>
          <cell r="E478" t="str">
            <v/>
          </cell>
          <cell r="H478" t="str">
            <v/>
          </cell>
          <cell r="I478" t="str">
            <v/>
          </cell>
          <cell r="K478" t="str">
            <v/>
          </cell>
          <cell r="N478" t="str">
            <v/>
          </cell>
          <cell r="P478" t="str">
            <v/>
          </cell>
        </row>
        <row r="479">
          <cell r="B479" t="str">
            <v/>
          </cell>
          <cell r="C479" t="str">
            <v/>
          </cell>
          <cell r="E479" t="str">
            <v/>
          </cell>
          <cell r="H479" t="str">
            <v/>
          </cell>
          <cell r="I479" t="str">
            <v/>
          </cell>
          <cell r="K479" t="str">
            <v/>
          </cell>
          <cell r="N479" t="str">
            <v/>
          </cell>
          <cell r="P479" t="str">
            <v/>
          </cell>
        </row>
        <row r="480">
          <cell r="B480" t="str">
            <v/>
          </cell>
          <cell r="C480" t="str">
            <v/>
          </cell>
          <cell r="E480" t="str">
            <v/>
          </cell>
          <cell r="H480" t="str">
            <v/>
          </cell>
          <cell r="I480" t="str">
            <v/>
          </cell>
          <cell r="K480" t="str">
            <v/>
          </cell>
          <cell r="N480" t="str">
            <v/>
          </cell>
          <cell r="P480" t="str">
            <v/>
          </cell>
        </row>
        <row r="481">
          <cell r="B481" t="str">
            <v/>
          </cell>
          <cell r="C481" t="str">
            <v/>
          </cell>
          <cell r="E481" t="str">
            <v/>
          </cell>
          <cell r="H481" t="str">
            <v/>
          </cell>
          <cell r="I481" t="str">
            <v/>
          </cell>
          <cell r="K481" t="str">
            <v/>
          </cell>
          <cell r="N481" t="str">
            <v/>
          </cell>
          <cell r="P481" t="str">
            <v/>
          </cell>
        </row>
        <row r="482">
          <cell r="B482" t="str">
            <v/>
          </cell>
          <cell r="C482" t="str">
            <v/>
          </cell>
          <cell r="E482" t="str">
            <v/>
          </cell>
          <cell r="H482" t="str">
            <v/>
          </cell>
          <cell r="I482" t="str">
            <v/>
          </cell>
          <cell r="K482" t="str">
            <v/>
          </cell>
          <cell r="N482" t="str">
            <v/>
          </cell>
          <cell r="P482" t="str">
            <v/>
          </cell>
        </row>
        <row r="483">
          <cell r="B483" t="str">
            <v/>
          </cell>
          <cell r="C483" t="str">
            <v/>
          </cell>
          <cell r="E483" t="str">
            <v/>
          </cell>
          <cell r="H483" t="str">
            <v/>
          </cell>
          <cell r="I483" t="str">
            <v/>
          </cell>
          <cell r="K483" t="str">
            <v/>
          </cell>
          <cell r="N483" t="str">
            <v/>
          </cell>
          <cell r="P483" t="str">
            <v/>
          </cell>
        </row>
        <row r="484">
          <cell r="B484" t="str">
            <v/>
          </cell>
          <cell r="C484" t="str">
            <v/>
          </cell>
          <cell r="E484" t="str">
            <v/>
          </cell>
          <cell r="H484" t="str">
            <v/>
          </cell>
          <cell r="I484" t="str">
            <v/>
          </cell>
          <cell r="K484" t="str">
            <v/>
          </cell>
          <cell r="N484" t="str">
            <v/>
          </cell>
          <cell r="P484" t="str">
            <v/>
          </cell>
        </row>
        <row r="485">
          <cell r="B485" t="str">
            <v/>
          </cell>
          <cell r="C485" t="str">
            <v/>
          </cell>
          <cell r="E485" t="str">
            <v/>
          </cell>
          <cell r="H485" t="str">
            <v/>
          </cell>
          <cell r="I485" t="str">
            <v/>
          </cell>
          <cell r="K485" t="str">
            <v/>
          </cell>
          <cell r="N485" t="str">
            <v/>
          </cell>
          <cell r="P485" t="str">
            <v/>
          </cell>
        </row>
        <row r="486">
          <cell r="B486" t="str">
            <v/>
          </cell>
          <cell r="C486" t="str">
            <v/>
          </cell>
          <cell r="E486" t="str">
            <v/>
          </cell>
          <cell r="H486" t="str">
            <v/>
          </cell>
          <cell r="I486" t="str">
            <v/>
          </cell>
          <cell r="K486" t="str">
            <v/>
          </cell>
          <cell r="N486" t="str">
            <v/>
          </cell>
          <cell r="P486" t="str">
            <v/>
          </cell>
        </row>
        <row r="487">
          <cell r="B487" t="str">
            <v/>
          </cell>
          <cell r="C487" t="str">
            <v/>
          </cell>
          <cell r="E487" t="str">
            <v/>
          </cell>
          <cell r="H487" t="str">
            <v/>
          </cell>
          <cell r="I487" t="str">
            <v/>
          </cell>
          <cell r="K487" t="str">
            <v/>
          </cell>
          <cell r="N487" t="str">
            <v/>
          </cell>
          <cell r="P487" t="str">
            <v/>
          </cell>
        </row>
        <row r="488">
          <cell r="B488" t="str">
            <v/>
          </cell>
          <cell r="C488" t="str">
            <v/>
          </cell>
          <cell r="E488" t="str">
            <v/>
          </cell>
          <cell r="H488" t="str">
            <v/>
          </cell>
          <cell r="I488" t="str">
            <v/>
          </cell>
          <cell r="K488" t="str">
            <v/>
          </cell>
          <cell r="N488" t="str">
            <v/>
          </cell>
          <cell r="P488" t="str">
            <v/>
          </cell>
        </row>
        <row r="489">
          <cell r="B489" t="str">
            <v/>
          </cell>
          <cell r="C489" t="str">
            <v/>
          </cell>
          <cell r="E489" t="str">
            <v/>
          </cell>
          <cell r="H489" t="str">
            <v/>
          </cell>
          <cell r="I489" t="str">
            <v/>
          </cell>
          <cell r="K489" t="str">
            <v/>
          </cell>
          <cell r="N489" t="str">
            <v/>
          </cell>
          <cell r="P489" t="str">
            <v/>
          </cell>
        </row>
        <row r="490">
          <cell r="B490" t="str">
            <v/>
          </cell>
          <cell r="C490" t="str">
            <v/>
          </cell>
          <cell r="E490" t="str">
            <v/>
          </cell>
          <cell r="H490" t="str">
            <v/>
          </cell>
          <cell r="I490" t="str">
            <v/>
          </cell>
          <cell r="K490" t="str">
            <v/>
          </cell>
          <cell r="N490" t="str">
            <v/>
          </cell>
          <cell r="P490" t="str">
            <v/>
          </cell>
        </row>
        <row r="491">
          <cell r="B491" t="str">
            <v/>
          </cell>
          <cell r="C491" t="str">
            <v/>
          </cell>
          <cell r="E491" t="str">
            <v/>
          </cell>
          <cell r="H491" t="str">
            <v/>
          </cell>
          <cell r="I491" t="str">
            <v/>
          </cell>
          <cell r="K491" t="str">
            <v/>
          </cell>
          <cell r="N491" t="str">
            <v/>
          </cell>
          <cell r="P491" t="str">
            <v/>
          </cell>
        </row>
        <row r="492">
          <cell r="B492" t="str">
            <v/>
          </cell>
          <cell r="C492" t="str">
            <v/>
          </cell>
          <cell r="E492" t="str">
            <v/>
          </cell>
          <cell r="H492" t="str">
            <v/>
          </cell>
          <cell r="I492" t="str">
            <v/>
          </cell>
          <cell r="K492" t="str">
            <v/>
          </cell>
          <cell r="N492" t="str">
            <v/>
          </cell>
          <cell r="P492" t="str">
            <v/>
          </cell>
        </row>
        <row r="493">
          <cell r="B493" t="str">
            <v/>
          </cell>
          <cell r="C493" t="str">
            <v/>
          </cell>
          <cell r="E493" t="str">
            <v/>
          </cell>
          <cell r="H493" t="str">
            <v/>
          </cell>
          <cell r="I493" t="str">
            <v/>
          </cell>
          <cell r="K493" t="str">
            <v/>
          </cell>
          <cell r="N493" t="str">
            <v/>
          </cell>
          <cell r="P493" t="str">
            <v/>
          </cell>
        </row>
        <row r="494">
          <cell r="B494" t="str">
            <v/>
          </cell>
          <cell r="C494" t="str">
            <v/>
          </cell>
          <cell r="E494" t="str">
            <v/>
          </cell>
          <cell r="H494" t="str">
            <v/>
          </cell>
          <cell r="I494" t="str">
            <v/>
          </cell>
          <cell r="K494" t="str">
            <v/>
          </cell>
          <cell r="N494" t="str">
            <v/>
          </cell>
          <cell r="P494" t="str">
            <v/>
          </cell>
        </row>
        <row r="495">
          <cell r="B495" t="str">
            <v/>
          </cell>
          <cell r="C495" t="str">
            <v/>
          </cell>
          <cell r="E495" t="str">
            <v/>
          </cell>
          <cell r="H495" t="str">
            <v/>
          </cell>
          <cell r="I495" t="str">
            <v/>
          </cell>
          <cell r="K495" t="str">
            <v/>
          </cell>
          <cell r="N495" t="str">
            <v/>
          </cell>
          <cell r="P495" t="str">
            <v/>
          </cell>
        </row>
        <row r="496">
          <cell r="B496" t="str">
            <v/>
          </cell>
          <cell r="C496" t="str">
            <v/>
          </cell>
          <cell r="E496" t="str">
            <v/>
          </cell>
          <cell r="H496" t="str">
            <v/>
          </cell>
          <cell r="I496" t="str">
            <v/>
          </cell>
          <cell r="K496" t="str">
            <v/>
          </cell>
          <cell r="N496" t="str">
            <v/>
          </cell>
          <cell r="P496" t="str">
            <v/>
          </cell>
        </row>
        <row r="497">
          <cell r="B497" t="str">
            <v/>
          </cell>
          <cell r="C497" t="str">
            <v/>
          </cell>
          <cell r="E497" t="str">
            <v/>
          </cell>
          <cell r="H497" t="str">
            <v/>
          </cell>
          <cell r="I497" t="str">
            <v/>
          </cell>
          <cell r="K497" t="str">
            <v/>
          </cell>
          <cell r="N497" t="str">
            <v/>
          </cell>
          <cell r="P497" t="str">
            <v/>
          </cell>
        </row>
        <row r="498">
          <cell r="B498" t="str">
            <v/>
          </cell>
          <cell r="C498" t="str">
            <v/>
          </cell>
          <cell r="E498" t="str">
            <v/>
          </cell>
          <cell r="H498" t="str">
            <v/>
          </cell>
          <cell r="I498" t="str">
            <v/>
          </cell>
          <cell r="K498" t="str">
            <v/>
          </cell>
          <cell r="N498" t="str">
            <v/>
          </cell>
          <cell r="P498" t="str">
            <v/>
          </cell>
        </row>
        <row r="499">
          <cell r="B499" t="str">
            <v/>
          </cell>
          <cell r="C499" t="str">
            <v/>
          </cell>
          <cell r="E499" t="str">
            <v/>
          </cell>
          <cell r="H499" t="str">
            <v/>
          </cell>
          <cell r="I499" t="str">
            <v/>
          </cell>
          <cell r="K499" t="str">
            <v/>
          </cell>
          <cell r="N499" t="str">
            <v/>
          </cell>
          <cell r="P499" t="str">
            <v/>
          </cell>
        </row>
        <row r="500">
          <cell r="B500" t="str">
            <v/>
          </cell>
          <cell r="C500" t="str">
            <v/>
          </cell>
          <cell r="E500" t="str">
            <v/>
          </cell>
          <cell r="H500" t="str">
            <v/>
          </cell>
          <cell r="I500" t="str">
            <v/>
          </cell>
          <cell r="K500" t="str">
            <v/>
          </cell>
          <cell r="N500" t="str">
            <v/>
          </cell>
          <cell r="P500" t="str">
            <v/>
          </cell>
        </row>
        <row r="501">
          <cell r="B501" t="str">
            <v/>
          </cell>
          <cell r="C501" t="str">
            <v/>
          </cell>
          <cell r="E501" t="str">
            <v/>
          </cell>
          <cell r="H501" t="str">
            <v/>
          </cell>
          <cell r="I501" t="str">
            <v/>
          </cell>
          <cell r="K501" t="str">
            <v/>
          </cell>
          <cell r="N501" t="str">
            <v/>
          </cell>
          <cell r="P501" t="str">
            <v/>
          </cell>
        </row>
        <row r="502">
          <cell r="B502" t="str">
            <v/>
          </cell>
          <cell r="C502" t="str">
            <v/>
          </cell>
          <cell r="E502" t="str">
            <v/>
          </cell>
          <cell r="H502" t="str">
            <v/>
          </cell>
          <cell r="I502" t="str">
            <v/>
          </cell>
          <cell r="K502" t="str">
            <v/>
          </cell>
          <cell r="N502" t="str">
            <v/>
          </cell>
          <cell r="P502" t="str">
            <v/>
          </cell>
        </row>
        <row r="503">
          <cell r="B503" t="str">
            <v/>
          </cell>
          <cell r="C503" t="str">
            <v/>
          </cell>
          <cell r="E503" t="str">
            <v/>
          </cell>
          <cell r="H503" t="str">
            <v/>
          </cell>
          <cell r="I503" t="str">
            <v/>
          </cell>
          <cell r="K503" t="str">
            <v/>
          </cell>
          <cell r="N503" t="str">
            <v/>
          </cell>
          <cell r="P503" t="str">
            <v/>
          </cell>
        </row>
        <row r="504">
          <cell r="B504" t="str">
            <v/>
          </cell>
          <cell r="C504" t="str">
            <v/>
          </cell>
          <cell r="E504" t="str">
            <v/>
          </cell>
          <cell r="H504" t="str">
            <v/>
          </cell>
          <cell r="I504" t="str">
            <v/>
          </cell>
          <cell r="K504" t="str">
            <v/>
          </cell>
          <cell r="N504" t="str">
            <v/>
          </cell>
          <cell r="P504" t="str">
            <v/>
          </cell>
        </row>
        <row r="505">
          <cell r="B505" t="str">
            <v/>
          </cell>
          <cell r="C505" t="str">
            <v/>
          </cell>
          <cell r="E505" t="str">
            <v/>
          </cell>
          <cell r="H505" t="str">
            <v/>
          </cell>
          <cell r="I505" t="str">
            <v/>
          </cell>
          <cell r="K505" t="str">
            <v/>
          </cell>
          <cell r="N505" t="str">
            <v/>
          </cell>
          <cell r="P505" t="str">
            <v/>
          </cell>
        </row>
        <row r="506">
          <cell r="B506" t="str">
            <v/>
          </cell>
          <cell r="C506" t="str">
            <v/>
          </cell>
          <cell r="E506" t="str">
            <v/>
          </cell>
          <cell r="H506" t="str">
            <v/>
          </cell>
          <cell r="I506" t="str">
            <v/>
          </cell>
          <cell r="K506" t="str">
            <v/>
          </cell>
          <cell r="N506" t="str">
            <v/>
          </cell>
          <cell r="P506" t="str">
            <v/>
          </cell>
        </row>
        <row r="507">
          <cell r="B507" t="str">
            <v/>
          </cell>
          <cell r="C507" t="str">
            <v/>
          </cell>
          <cell r="E507" t="str">
            <v/>
          </cell>
          <cell r="H507" t="str">
            <v/>
          </cell>
          <cell r="I507" t="str">
            <v/>
          </cell>
          <cell r="K507" t="str">
            <v/>
          </cell>
          <cell r="N507" t="str">
            <v/>
          </cell>
          <cell r="P507" t="str">
            <v/>
          </cell>
        </row>
        <row r="508">
          <cell r="B508" t="str">
            <v/>
          </cell>
          <cell r="C508" t="str">
            <v/>
          </cell>
          <cell r="E508" t="str">
            <v/>
          </cell>
          <cell r="H508" t="str">
            <v/>
          </cell>
          <cell r="I508" t="str">
            <v/>
          </cell>
          <cell r="K508" t="str">
            <v/>
          </cell>
          <cell r="N508" t="str">
            <v/>
          </cell>
          <cell r="P508" t="str">
            <v/>
          </cell>
        </row>
        <row r="509">
          <cell r="B509" t="str">
            <v/>
          </cell>
          <cell r="C509" t="str">
            <v/>
          </cell>
          <cell r="E509" t="str">
            <v/>
          </cell>
          <cell r="H509" t="str">
            <v/>
          </cell>
          <cell r="I509" t="str">
            <v/>
          </cell>
          <cell r="K509" t="str">
            <v/>
          </cell>
          <cell r="N509" t="str">
            <v/>
          </cell>
          <cell r="P509" t="str">
            <v/>
          </cell>
        </row>
        <row r="510">
          <cell r="B510" t="str">
            <v/>
          </cell>
          <cell r="C510" t="str">
            <v/>
          </cell>
          <cell r="E510" t="str">
            <v/>
          </cell>
          <cell r="H510" t="str">
            <v/>
          </cell>
          <cell r="I510" t="str">
            <v/>
          </cell>
          <cell r="K510" t="str">
            <v/>
          </cell>
          <cell r="N510" t="str">
            <v/>
          </cell>
          <cell r="P510" t="str">
            <v/>
          </cell>
        </row>
        <row r="511">
          <cell r="B511" t="str">
            <v/>
          </cell>
          <cell r="C511" t="str">
            <v/>
          </cell>
          <cell r="E511" t="str">
            <v/>
          </cell>
          <cell r="H511" t="str">
            <v/>
          </cell>
          <cell r="I511" t="str">
            <v/>
          </cell>
          <cell r="K511" t="str">
            <v/>
          </cell>
          <cell r="N511" t="str">
            <v/>
          </cell>
          <cell r="P511" t="str">
            <v/>
          </cell>
        </row>
        <row r="512">
          <cell r="B512" t="str">
            <v/>
          </cell>
          <cell r="C512" t="str">
            <v/>
          </cell>
          <cell r="E512" t="str">
            <v/>
          </cell>
          <cell r="H512" t="str">
            <v/>
          </cell>
          <cell r="I512" t="str">
            <v/>
          </cell>
          <cell r="K512" t="str">
            <v/>
          </cell>
          <cell r="N512" t="str">
            <v/>
          </cell>
          <cell r="P512" t="str">
            <v/>
          </cell>
        </row>
        <row r="513">
          <cell r="B513" t="str">
            <v/>
          </cell>
          <cell r="C513" t="str">
            <v/>
          </cell>
          <cell r="E513" t="str">
            <v/>
          </cell>
          <cell r="H513" t="str">
            <v/>
          </cell>
          <cell r="I513" t="str">
            <v/>
          </cell>
          <cell r="K513" t="str">
            <v/>
          </cell>
          <cell r="N513" t="str">
            <v/>
          </cell>
          <cell r="P513" t="str">
            <v/>
          </cell>
        </row>
        <row r="514">
          <cell r="B514" t="str">
            <v/>
          </cell>
          <cell r="C514" t="str">
            <v/>
          </cell>
          <cell r="E514" t="str">
            <v/>
          </cell>
          <cell r="H514" t="str">
            <v/>
          </cell>
          <cell r="I514" t="str">
            <v/>
          </cell>
          <cell r="K514" t="str">
            <v/>
          </cell>
          <cell r="N514" t="str">
            <v/>
          </cell>
          <cell r="P514" t="str">
            <v/>
          </cell>
        </row>
        <row r="515">
          <cell r="B515" t="str">
            <v/>
          </cell>
          <cell r="C515" t="str">
            <v/>
          </cell>
          <cell r="E515" t="str">
            <v/>
          </cell>
          <cell r="H515" t="str">
            <v/>
          </cell>
          <cell r="I515" t="str">
            <v/>
          </cell>
          <cell r="K515" t="str">
            <v/>
          </cell>
          <cell r="N515" t="str">
            <v/>
          </cell>
          <cell r="P515" t="str">
            <v/>
          </cell>
        </row>
        <row r="516">
          <cell r="B516" t="str">
            <v/>
          </cell>
          <cell r="C516" t="str">
            <v/>
          </cell>
          <cell r="E516" t="str">
            <v/>
          </cell>
          <cell r="H516" t="str">
            <v/>
          </cell>
          <cell r="I516" t="str">
            <v/>
          </cell>
          <cell r="K516" t="str">
            <v/>
          </cell>
          <cell r="N516" t="str">
            <v/>
          </cell>
          <cell r="P516" t="str">
            <v/>
          </cell>
        </row>
        <row r="517">
          <cell r="B517" t="str">
            <v/>
          </cell>
          <cell r="C517" t="str">
            <v/>
          </cell>
          <cell r="E517" t="str">
            <v/>
          </cell>
          <cell r="H517" t="str">
            <v/>
          </cell>
          <cell r="I517" t="str">
            <v/>
          </cell>
          <cell r="K517" t="str">
            <v/>
          </cell>
          <cell r="N517" t="str">
            <v/>
          </cell>
          <cell r="P517" t="str">
            <v/>
          </cell>
        </row>
        <row r="518">
          <cell r="B518" t="str">
            <v/>
          </cell>
          <cell r="C518" t="str">
            <v/>
          </cell>
          <cell r="E518" t="str">
            <v/>
          </cell>
          <cell r="H518" t="str">
            <v/>
          </cell>
          <cell r="I518" t="str">
            <v/>
          </cell>
          <cell r="K518" t="str">
            <v/>
          </cell>
          <cell r="N518" t="str">
            <v/>
          </cell>
          <cell r="P518" t="str">
            <v/>
          </cell>
        </row>
        <row r="519">
          <cell r="B519" t="str">
            <v/>
          </cell>
          <cell r="C519" t="str">
            <v/>
          </cell>
          <cell r="E519" t="str">
            <v/>
          </cell>
          <cell r="H519" t="str">
            <v/>
          </cell>
          <cell r="I519" t="str">
            <v/>
          </cell>
          <cell r="K519" t="str">
            <v/>
          </cell>
          <cell r="N519" t="str">
            <v/>
          </cell>
          <cell r="P519" t="str">
            <v/>
          </cell>
        </row>
        <row r="520">
          <cell r="B520" t="str">
            <v/>
          </cell>
          <cell r="C520" t="str">
            <v/>
          </cell>
          <cell r="E520" t="str">
            <v/>
          </cell>
          <cell r="H520" t="str">
            <v/>
          </cell>
          <cell r="I520" t="str">
            <v/>
          </cell>
          <cell r="K520" t="str">
            <v/>
          </cell>
          <cell r="N520" t="str">
            <v/>
          </cell>
          <cell r="P520" t="str">
            <v/>
          </cell>
        </row>
        <row r="521">
          <cell r="B521" t="str">
            <v/>
          </cell>
          <cell r="C521" t="str">
            <v/>
          </cell>
          <cell r="E521" t="str">
            <v/>
          </cell>
          <cell r="H521" t="str">
            <v/>
          </cell>
          <cell r="I521" t="str">
            <v/>
          </cell>
          <cell r="K521" t="str">
            <v/>
          </cell>
          <cell r="N521" t="str">
            <v/>
          </cell>
          <cell r="P521" t="str">
            <v/>
          </cell>
        </row>
        <row r="522">
          <cell r="B522" t="str">
            <v/>
          </cell>
          <cell r="C522" t="str">
            <v/>
          </cell>
          <cell r="E522" t="str">
            <v/>
          </cell>
          <cell r="H522" t="str">
            <v/>
          </cell>
          <cell r="I522" t="str">
            <v/>
          </cell>
          <cell r="K522" t="str">
            <v/>
          </cell>
          <cell r="N522" t="str">
            <v/>
          </cell>
          <cell r="P522" t="str">
            <v/>
          </cell>
        </row>
        <row r="523">
          <cell r="B523" t="str">
            <v/>
          </cell>
          <cell r="C523" t="str">
            <v/>
          </cell>
          <cell r="E523" t="str">
            <v/>
          </cell>
          <cell r="H523" t="str">
            <v/>
          </cell>
          <cell r="I523" t="str">
            <v/>
          </cell>
          <cell r="K523" t="str">
            <v/>
          </cell>
          <cell r="N523" t="str">
            <v/>
          </cell>
          <cell r="P523" t="str">
            <v/>
          </cell>
        </row>
        <row r="524">
          <cell r="B524" t="str">
            <v/>
          </cell>
          <cell r="C524" t="str">
            <v/>
          </cell>
          <cell r="E524" t="str">
            <v/>
          </cell>
          <cell r="H524" t="str">
            <v/>
          </cell>
          <cell r="I524" t="str">
            <v/>
          </cell>
          <cell r="K524" t="str">
            <v/>
          </cell>
          <cell r="N524" t="str">
            <v/>
          </cell>
          <cell r="P524" t="str">
            <v/>
          </cell>
        </row>
        <row r="525">
          <cell r="B525" t="str">
            <v/>
          </cell>
          <cell r="C525" t="str">
            <v/>
          </cell>
          <cell r="E525" t="str">
            <v/>
          </cell>
          <cell r="H525" t="str">
            <v/>
          </cell>
          <cell r="I525" t="str">
            <v/>
          </cell>
          <cell r="K525" t="str">
            <v/>
          </cell>
          <cell r="N525" t="str">
            <v/>
          </cell>
          <cell r="P525" t="str">
            <v/>
          </cell>
        </row>
        <row r="526">
          <cell r="B526" t="str">
            <v/>
          </cell>
          <cell r="C526" t="str">
            <v/>
          </cell>
          <cell r="E526" t="str">
            <v/>
          </cell>
          <cell r="H526" t="str">
            <v/>
          </cell>
          <cell r="I526" t="str">
            <v/>
          </cell>
          <cell r="K526" t="str">
            <v/>
          </cell>
          <cell r="N526" t="str">
            <v/>
          </cell>
          <cell r="P526" t="str">
            <v/>
          </cell>
        </row>
        <row r="527">
          <cell r="B527" t="str">
            <v/>
          </cell>
          <cell r="C527" t="str">
            <v/>
          </cell>
          <cell r="E527" t="str">
            <v/>
          </cell>
          <cell r="H527" t="str">
            <v/>
          </cell>
          <cell r="I527" t="str">
            <v/>
          </cell>
          <cell r="K527" t="str">
            <v/>
          </cell>
          <cell r="N527" t="str">
            <v/>
          </cell>
          <cell r="P527" t="str">
            <v/>
          </cell>
        </row>
        <row r="528">
          <cell r="B528" t="str">
            <v/>
          </cell>
          <cell r="C528" t="str">
            <v/>
          </cell>
          <cell r="E528" t="str">
            <v/>
          </cell>
          <cell r="H528" t="str">
            <v/>
          </cell>
          <cell r="I528" t="str">
            <v/>
          </cell>
          <cell r="K528" t="str">
            <v/>
          </cell>
          <cell r="N528" t="str">
            <v/>
          </cell>
          <cell r="P528" t="str">
            <v/>
          </cell>
        </row>
        <row r="529">
          <cell r="B529" t="str">
            <v/>
          </cell>
          <cell r="C529" t="str">
            <v/>
          </cell>
          <cell r="E529" t="str">
            <v/>
          </cell>
          <cell r="H529" t="str">
            <v/>
          </cell>
          <cell r="I529" t="str">
            <v/>
          </cell>
          <cell r="K529" t="str">
            <v/>
          </cell>
          <cell r="N529" t="str">
            <v/>
          </cell>
          <cell r="P529" t="str">
            <v/>
          </cell>
        </row>
        <row r="530">
          <cell r="B530" t="str">
            <v/>
          </cell>
          <cell r="C530" t="str">
            <v/>
          </cell>
          <cell r="E530" t="str">
            <v/>
          </cell>
          <cell r="H530" t="str">
            <v/>
          </cell>
          <cell r="I530" t="str">
            <v/>
          </cell>
          <cell r="K530" t="str">
            <v/>
          </cell>
          <cell r="N530" t="str">
            <v/>
          </cell>
          <cell r="P530" t="str">
            <v/>
          </cell>
        </row>
        <row r="531">
          <cell r="B531" t="str">
            <v/>
          </cell>
          <cell r="C531" t="str">
            <v/>
          </cell>
          <cell r="E531" t="str">
            <v/>
          </cell>
          <cell r="H531" t="str">
            <v/>
          </cell>
          <cell r="I531" t="str">
            <v/>
          </cell>
          <cell r="K531" t="str">
            <v/>
          </cell>
          <cell r="N531" t="str">
            <v/>
          </cell>
          <cell r="P531" t="str">
            <v/>
          </cell>
        </row>
        <row r="532">
          <cell r="B532" t="str">
            <v/>
          </cell>
          <cell r="C532" t="str">
            <v/>
          </cell>
          <cell r="E532" t="str">
            <v/>
          </cell>
          <cell r="H532" t="str">
            <v/>
          </cell>
          <cell r="I532" t="str">
            <v/>
          </cell>
          <cell r="K532" t="str">
            <v/>
          </cell>
          <cell r="N532" t="str">
            <v/>
          </cell>
          <cell r="P532" t="str">
            <v/>
          </cell>
        </row>
        <row r="533">
          <cell r="B533" t="str">
            <v/>
          </cell>
          <cell r="C533" t="str">
            <v/>
          </cell>
          <cell r="E533" t="str">
            <v/>
          </cell>
          <cell r="H533" t="str">
            <v/>
          </cell>
          <cell r="I533" t="str">
            <v/>
          </cell>
          <cell r="K533" t="str">
            <v/>
          </cell>
          <cell r="N533" t="str">
            <v/>
          </cell>
          <cell r="P533" t="str">
            <v/>
          </cell>
        </row>
        <row r="534">
          <cell r="B534" t="str">
            <v/>
          </cell>
          <cell r="C534" t="str">
            <v/>
          </cell>
          <cell r="E534" t="str">
            <v/>
          </cell>
          <cell r="H534" t="str">
            <v/>
          </cell>
          <cell r="I534" t="str">
            <v/>
          </cell>
          <cell r="K534" t="str">
            <v/>
          </cell>
          <cell r="N534" t="str">
            <v/>
          </cell>
          <cell r="P534" t="str">
            <v/>
          </cell>
        </row>
        <row r="535">
          <cell r="B535" t="str">
            <v/>
          </cell>
          <cell r="C535" t="str">
            <v/>
          </cell>
          <cell r="E535" t="str">
            <v/>
          </cell>
          <cell r="H535" t="str">
            <v/>
          </cell>
          <cell r="I535" t="str">
            <v/>
          </cell>
          <cell r="K535" t="str">
            <v/>
          </cell>
          <cell r="N535" t="str">
            <v/>
          </cell>
          <cell r="P535" t="str">
            <v/>
          </cell>
        </row>
        <row r="536">
          <cell r="B536" t="str">
            <v/>
          </cell>
          <cell r="C536" t="str">
            <v/>
          </cell>
          <cell r="E536" t="str">
            <v/>
          </cell>
          <cell r="H536" t="str">
            <v/>
          </cell>
          <cell r="I536" t="str">
            <v/>
          </cell>
          <cell r="K536" t="str">
            <v/>
          </cell>
          <cell r="N536" t="str">
            <v/>
          </cell>
          <cell r="P536" t="str">
            <v/>
          </cell>
        </row>
        <row r="537">
          <cell r="B537" t="str">
            <v/>
          </cell>
          <cell r="C537" t="str">
            <v/>
          </cell>
          <cell r="E537" t="str">
            <v/>
          </cell>
          <cell r="H537" t="str">
            <v/>
          </cell>
          <cell r="I537" t="str">
            <v/>
          </cell>
          <cell r="K537" t="str">
            <v/>
          </cell>
          <cell r="N537" t="str">
            <v/>
          </cell>
          <cell r="P537" t="str">
            <v/>
          </cell>
        </row>
        <row r="538">
          <cell r="B538" t="str">
            <v/>
          </cell>
          <cell r="C538" t="str">
            <v/>
          </cell>
          <cell r="E538" t="str">
            <v/>
          </cell>
          <cell r="H538" t="str">
            <v/>
          </cell>
          <cell r="I538" t="str">
            <v/>
          </cell>
          <cell r="K538" t="str">
            <v/>
          </cell>
          <cell r="N538" t="str">
            <v/>
          </cell>
          <cell r="P538" t="str">
            <v/>
          </cell>
        </row>
        <row r="539">
          <cell r="B539" t="str">
            <v/>
          </cell>
          <cell r="C539" t="str">
            <v/>
          </cell>
          <cell r="E539" t="str">
            <v/>
          </cell>
          <cell r="H539" t="str">
            <v/>
          </cell>
          <cell r="I539" t="str">
            <v/>
          </cell>
          <cell r="K539" t="str">
            <v/>
          </cell>
          <cell r="N539" t="str">
            <v/>
          </cell>
          <cell r="P539" t="str">
            <v/>
          </cell>
        </row>
        <row r="540">
          <cell r="B540" t="str">
            <v/>
          </cell>
          <cell r="C540" t="str">
            <v/>
          </cell>
          <cell r="E540" t="str">
            <v/>
          </cell>
          <cell r="H540" t="str">
            <v/>
          </cell>
          <cell r="I540" t="str">
            <v/>
          </cell>
          <cell r="K540" t="str">
            <v/>
          </cell>
          <cell r="N540" t="str">
            <v/>
          </cell>
          <cell r="P540" t="str">
            <v/>
          </cell>
        </row>
        <row r="541">
          <cell r="B541" t="str">
            <v/>
          </cell>
          <cell r="C541" t="str">
            <v/>
          </cell>
          <cell r="E541" t="str">
            <v/>
          </cell>
          <cell r="H541" t="str">
            <v/>
          </cell>
          <cell r="I541" t="str">
            <v/>
          </cell>
          <cell r="K541" t="str">
            <v/>
          </cell>
          <cell r="N541" t="str">
            <v/>
          </cell>
          <cell r="P541" t="str">
            <v/>
          </cell>
        </row>
        <row r="542">
          <cell r="B542" t="str">
            <v/>
          </cell>
          <cell r="C542" t="str">
            <v/>
          </cell>
          <cell r="E542" t="str">
            <v/>
          </cell>
          <cell r="H542" t="str">
            <v/>
          </cell>
          <cell r="I542" t="str">
            <v/>
          </cell>
          <cell r="K542" t="str">
            <v/>
          </cell>
          <cell r="N542" t="str">
            <v/>
          </cell>
          <cell r="P542" t="str">
            <v/>
          </cell>
        </row>
        <row r="543">
          <cell r="B543" t="str">
            <v/>
          </cell>
          <cell r="C543" t="str">
            <v/>
          </cell>
          <cell r="E543" t="str">
            <v/>
          </cell>
          <cell r="H543" t="str">
            <v/>
          </cell>
          <cell r="I543" t="str">
            <v/>
          </cell>
          <cell r="K543" t="str">
            <v/>
          </cell>
          <cell r="N543" t="str">
            <v/>
          </cell>
          <cell r="P543" t="str">
            <v/>
          </cell>
        </row>
        <row r="544">
          <cell r="B544" t="str">
            <v/>
          </cell>
          <cell r="C544" t="str">
            <v/>
          </cell>
          <cell r="E544" t="str">
            <v/>
          </cell>
          <cell r="H544" t="str">
            <v/>
          </cell>
          <cell r="I544" t="str">
            <v/>
          </cell>
          <cell r="K544" t="str">
            <v/>
          </cell>
          <cell r="N544" t="str">
            <v/>
          </cell>
          <cell r="P544" t="str">
            <v/>
          </cell>
        </row>
        <row r="545">
          <cell r="B545" t="str">
            <v/>
          </cell>
          <cell r="C545" t="str">
            <v/>
          </cell>
          <cell r="E545" t="str">
            <v/>
          </cell>
          <cell r="H545" t="str">
            <v/>
          </cell>
          <cell r="I545" t="str">
            <v/>
          </cell>
          <cell r="K545" t="str">
            <v/>
          </cell>
          <cell r="N545" t="str">
            <v/>
          </cell>
          <cell r="P545" t="str">
            <v/>
          </cell>
        </row>
        <row r="546">
          <cell r="B546" t="str">
            <v/>
          </cell>
          <cell r="C546" t="str">
            <v/>
          </cell>
          <cell r="E546" t="str">
            <v/>
          </cell>
          <cell r="H546" t="str">
            <v/>
          </cell>
          <cell r="I546" t="str">
            <v/>
          </cell>
          <cell r="K546" t="str">
            <v/>
          </cell>
          <cell r="N546" t="str">
            <v/>
          </cell>
          <cell r="P546" t="str">
            <v/>
          </cell>
        </row>
        <row r="547">
          <cell r="B547" t="str">
            <v/>
          </cell>
          <cell r="C547" t="str">
            <v/>
          </cell>
          <cell r="E547" t="str">
            <v/>
          </cell>
          <cell r="H547" t="str">
            <v/>
          </cell>
          <cell r="I547" t="str">
            <v/>
          </cell>
          <cell r="K547" t="str">
            <v/>
          </cell>
          <cell r="N547" t="str">
            <v/>
          </cell>
          <cell r="P547" t="str">
            <v/>
          </cell>
        </row>
        <row r="548">
          <cell r="B548" t="str">
            <v/>
          </cell>
          <cell r="C548" t="str">
            <v/>
          </cell>
          <cell r="E548" t="str">
            <v/>
          </cell>
          <cell r="H548" t="str">
            <v/>
          </cell>
          <cell r="I548" t="str">
            <v/>
          </cell>
          <cell r="K548" t="str">
            <v/>
          </cell>
          <cell r="N548" t="str">
            <v/>
          </cell>
          <cell r="P548" t="str">
            <v/>
          </cell>
        </row>
        <row r="549">
          <cell r="B549" t="str">
            <v/>
          </cell>
          <cell r="C549" t="str">
            <v/>
          </cell>
          <cell r="E549" t="str">
            <v/>
          </cell>
          <cell r="H549" t="str">
            <v/>
          </cell>
          <cell r="I549" t="str">
            <v/>
          </cell>
          <cell r="K549" t="str">
            <v/>
          </cell>
          <cell r="N549" t="str">
            <v/>
          </cell>
          <cell r="P549" t="str">
            <v/>
          </cell>
        </row>
        <row r="550">
          <cell r="B550" t="str">
            <v/>
          </cell>
          <cell r="C550" t="str">
            <v/>
          </cell>
          <cell r="E550" t="str">
            <v/>
          </cell>
          <cell r="H550" t="str">
            <v/>
          </cell>
          <cell r="I550" t="str">
            <v/>
          </cell>
          <cell r="K550" t="str">
            <v/>
          </cell>
          <cell r="N550" t="str">
            <v/>
          </cell>
          <cell r="P550" t="str">
            <v/>
          </cell>
        </row>
        <row r="551">
          <cell r="B551" t="str">
            <v/>
          </cell>
          <cell r="C551" t="str">
            <v/>
          </cell>
          <cell r="E551" t="str">
            <v/>
          </cell>
          <cell r="H551" t="str">
            <v/>
          </cell>
          <cell r="I551" t="str">
            <v/>
          </cell>
          <cell r="K551" t="str">
            <v/>
          </cell>
          <cell r="N551" t="str">
            <v/>
          </cell>
          <cell r="P551" t="str">
            <v/>
          </cell>
        </row>
        <row r="552">
          <cell r="B552" t="str">
            <v/>
          </cell>
          <cell r="C552" t="str">
            <v/>
          </cell>
          <cell r="E552" t="str">
            <v/>
          </cell>
          <cell r="H552" t="str">
            <v/>
          </cell>
          <cell r="I552" t="str">
            <v/>
          </cell>
          <cell r="K552" t="str">
            <v/>
          </cell>
          <cell r="N552" t="str">
            <v/>
          </cell>
          <cell r="P552" t="str">
            <v/>
          </cell>
        </row>
        <row r="553">
          <cell r="B553" t="str">
            <v/>
          </cell>
          <cell r="C553" t="str">
            <v/>
          </cell>
          <cell r="E553" t="str">
            <v/>
          </cell>
          <cell r="H553" t="str">
            <v/>
          </cell>
          <cell r="I553" t="str">
            <v/>
          </cell>
          <cell r="K553" t="str">
            <v/>
          </cell>
          <cell r="N553" t="str">
            <v/>
          </cell>
          <cell r="P553" t="str">
            <v/>
          </cell>
        </row>
        <row r="554">
          <cell r="B554" t="str">
            <v/>
          </cell>
          <cell r="C554" t="str">
            <v/>
          </cell>
          <cell r="E554" t="str">
            <v/>
          </cell>
          <cell r="H554" t="str">
            <v/>
          </cell>
          <cell r="I554" t="str">
            <v/>
          </cell>
          <cell r="K554" t="str">
            <v/>
          </cell>
          <cell r="N554" t="str">
            <v/>
          </cell>
          <cell r="P554" t="str">
            <v/>
          </cell>
        </row>
        <row r="555">
          <cell r="B555" t="str">
            <v/>
          </cell>
          <cell r="C555" t="str">
            <v/>
          </cell>
          <cell r="E555" t="str">
            <v/>
          </cell>
          <cell r="H555" t="str">
            <v/>
          </cell>
          <cell r="I555" t="str">
            <v/>
          </cell>
          <cell r="K555" t="str">
            <v/>
          </cell>
          <cell r="N555" t="str">
            <v/>
          </cell>
          <cell r="P555" t="str">
            <v/>
          </cell>
        </row>
        <row r="556">
          <cell r="B556" t="str">
            <v/>
          </cell>
          <cell r="C556" t="str">
            <v/>
          </cell>
          <cell r="E556" t="str">
            <v/>
          </cell>
          <cell r="H556" t="str">
            <v/>
          </cell>
          <cell r="I556" t="str">
            <v/>
          </cell>
          <cell r="K556" t="str">
            <v/>
          </cell>
          <cell r="N556" t="str">
            <v/>
          </cell>
          <cell r="P556" t="str">
            <v/>
          </cell>
        </row>
        <row r="557">
          <cell r="B557" t="str">
            <v/>
          </cell>
          <cell r="C557" t="str">
            <v/>
          </cell>
          <cell r="E557" t="str">
            <v/>
          </cell>
          <cell r="H557" t="str">
            <v/>
          </cell>
          <cell r="I557" t="str">
            <v/>
          </cell>
          <cell r="K557" t="str">
            <v/>
          </cell>
          <cell r="N557" t="str">
            <v/>
          </cell>
          <cell r="P557" t="str">
            <v/>
          </cell>
        </row>
        <row r="558">
          <cell r="B558" t="str">
            <v/>
          </cell>
          <cell r="C558" t="str">
            <v/>
          </cell>
          <cell r="E558" t="str">
            <v/>
          </cell>
          <cell r="H558" t="str">
            <v/>
          </cell>
          <cell r="I558" t="str">
            <v/>
          </cell>
          <cell r="K558" t="str">
            <v/>
          </cell>
          <cell r="N558" t="str">
            <v/>
          </cell>
          <cell r="P558" t="str">
            <v/>
          </cell>
        </row>
        <row r="559">
          <cell r="B559" t="str">
            <v/>
          </cell>
          <cell r="C559" t="str">
            <v/>
          </cell>
          <cell r="E559" t="str">
            <v/>
          </cell>
          <cell r="H559" t="str">
            <v/>
          </cell>
          <cell r="I559" t="str">
            <v/>
          </cell>
          <cell r="K559" t="str">
            <v/>
          </cell>
          <cell r="N559" t="str">
            <v/>
          </cell>
          <cell r="P559" t="str">
            <v/>
          </cell>
        </row>
        <row r="560">
          <cell r="B560" t="str">
            <v/>
          </cell>
          <cell r="C560" t="str">
            <v/>
          </cell>
          <cell r="E560" t="str">
            <v/>
          </cell>
          <cell r="H560" t="str">
            <v/>
          </cell>
          <cell r="I560" t="str">
            <v/>
          </cell>
          <cell r="K560" t="str">
            <v/>
          </cell>
          <cell r="N560" t="str">
            <v/>
          </cell>
          <cell r="P560" t="str">
            <v/>
          </cell>
        </row>
        <row r="561">
          <cell r="B561" t="str">
            <v/>
          </cell>
          <cell r="C561" t="str">
            <v/>
          </cell>
          <cell r="E561" t="str">
            <v/>
          </cell>
          <cell r="H561" t="str">
            <v/>
          </cell>
          <cell r="I561" t="str">
            <v/>
          </cell>
          <cell r="K561" t="str">
            <v/>
          </cell>
          <cell r="N561" t="str">
            <v/>
          </cell>
          <cell r="P561" t="str">
            <v/>
          </cell>
        </row>
        <row r="562">
          <cell r="B562" t="str">
            <v/>
          </cell>
          <cell r="C562" t="str">
            <v/>
          </cell>
          <cell r="E562" t="str">
            <v/>
          </cell>
          <cell r="H562" t="str">
            <v/>
          </cell>
          <cell r="I562" t="str">
            <v/>
          </cell>
          <cell r="K562" t="str">
            <v/>
          </cell>
          <cell r="N562" t="str">
            <v/>
          </cell>
          <cell r="P562" t="str">
            <v/>
          </cell>
        </row>
        <row r="563">
          <cell r="B563" t="str">
            <v/>
          </cell>
          <cell r="C563" t="str">
            <v/>
          </cell>
          <cell r="E563" t="str">
            <v/>
          </cell>
          <cell r="H563" t="str">
            <v/>
          </cell>
          <cell r="I563" t="str">
            <v/>
          </cell>
          <cell r="K563" t="str">
            <v/>
          </cell>
          <cell r="N563" t="str">
            <v/>
          </cell>
          <cell r="P563" t="str">
            <v/>
          </cell>
        </row>
        <row r="564">
          <cell r="B564" t="str">
            <v/>
          </cell>
          <cell r="C564" t="str">
            <v/>
          </cell>
          <cell r="E564" t="str">
            <v/>
          </cell>
          <cell r="H564" t="str">
            <v/>
          </cell>
          <cell r="I564" t="str">
            <v/>
          </cell>
          <cell r="K564" t="str">
            <v/>
          </cell>
          <cell r="N564" t="str">
            <v/>
          </cell>
          <cell r="P564" t="str">
            <v/>
          </cell>
        </row>
        <row r="565">
          <cell r="B565" t="str">
            <v/>
          </cell>
          <cell r="C565" t="str">
            <v/>
          </cell>
          <cell r="E565" t="str">
            <v/>
          </cell>
          <cell r="H565" t="str">
            <v/>
          </cell>
          <cell r="I565" t="str">
            <v/>
          </cell>
          <cell r="K565" t="str">
            <v/>
          </cell>
          <cell r="N565" t="str">
            <v/>
          </cell>
          <cell r="P565" t="str">
            <v/>
          </cell>
        </row>
        <row r="566">
          <cell r="B566" t="str">
            <v/>
          </cell>
          <cell r="C566" t="str">
            <v/>
          </cell>
          <cell r="E566" t="str">
            <v/>
          </cell>
          <cell r="H566" t="str">
            <v/>
          </cell>
          <cell r="I566" t="str">
            <v/>
          </cell>
          <cell r="K566" t="str">
            <v/>
          </cell>
          <cell r="N566" t="str">
            <v/>
          </cell>
          <cell r="P566" t="str">
            <v/>
          </cell>
        </row>
        <row r="567">
          <cell r="B567" t="str">
            <v/>
          </cell>
          <cell r="C567" t="str">
            <v/>
          </cell>
          <cell r="E567" t="str">
            <v/>
          </cell>
          <cell r="H567" t="str">
            <v/>
          </cell>
          <cell r="I567" t="str">
            <v/>
          </cell>
          <cell r="K567" t="str">
            <v/>
          </cell>
          <cell r="N567" t="str">
            <v/>
          </cell>
          <cell r="P567" t="str">
            <v/>
          </cell>
        </row>
        <row r="568">
          <cell r="B568" t="str">
            <v/>
          </cell>
          <cell r="C568" t="str">
            <v/>
          </cell>
          <cell r="E568" t="str">
            <v/>
          </cell>
          <cell r="H568" t="str">
            <v/>
          </cell>
          <cell r="I568" t="str">
            <v/>
          </cell>
          <cell r="K568" t="str">
            <v/>
          </cell>
          <cell r="N568" t="str">
            <v/>
          </cell>
          <cell r="P568" t="str">
            <v/>
          </cell>
        </row>
        <row r="569">
          <cell r="B569" t="str">
            <v/>
          </cell>
          <cell r="C569" t="str">
            <v/>
          </cell>
          <cell r="E569" t="str">
            <v/>
          </cell>
          <cell r="H569" t="str">
            <v/>
          </cell>
          <cell r="I569" t="str">
            <v/>
          </cell>
          <cell r="K569" t="str">
            <v/>
          </cell>
          <cell r="N569" t="str">
            <v/>
          </cell>
          <cell r="P569" t="str">
            <v/>
          </cell>
        </row>
        <row r="570">
          <cell r="B570" t="str">
            <v/>
          </cell>
          <cell r="C570" t="str">
            <v/>
          </cell>
          <cell r="E570" t="str">
            <v/>
          </cell>
          <cell r="H570" t="str">
            <v/>
          </cell>
          <cell r="I570" t="str">
            <v/>
          </cell>
          <cell r="K570" t="str">
            <v/>
          </cell>
          <cell r="N570" t="str">
            <v/>
          </cell>
          <cell r="P570" t="str">
            <v/>
          </cell>
        </row>
        <row r="571">
          <cell r="B571" t="str">
            <v/>
          </cell>
          <cell r="C571" t="str">
            <v/>
          </cell>
          <cell r="E571" t="str">
            <v/>
          </cell>
          <cell r="H571" t="str">
            <v/>
          </cell>
          <cell r="I571" t="str">
            <v/>
          </cell>
          <cell r="K571" t="str">
            <v/>
          </cell>
          <cell r="N571" t="str">
            <v/>
          </cell>
          <cell r="P571" t="str">
            <v/>
          </cell>
        </row>
        <row r="572">
          <cell r="B572" t="str">
            <v/>
          </cell>
          <cell r="C572" t="str">
            <v/>
          </cell>
          <cell r="E572" t="str">
            <v/>
          </cell>
          <cell r="H572" t="str">
            <v/>
          </cell>
          <cell r="I572" t="str">
            <v/>
          </cell>
          <cell r="K572" t="str">
            <v/>
          </cell>
          <cell r="N572" t="str">
            <v/>
          </cell>
          <cell r="P572" t="str">
            <v/>
          </cell>
        </row>
        <row r="573">
          <cell r="B573" t="str">
            <v/>
          </cell>
          <cell r="C573" t="str">
            <v/>
          </cell>
          <cell r="E573" t="str">
            <v/>
          </cell>
          <cell r="H573" t="str">
            <v/>
          </cell>
          <cell r="I573" t="str">
            <v/>
          </cell>
          <cell r="K573" t="str">
            <v/>
          </cell>
          <cell r="N573" t="str">
            <v/>
          </cell>
          <cell r="P573" t="str">
            <v/>
          </cell>
        </row>
        <row r="574">
          <cell r="B574" t="str">
            <v/>
          </cell>
          <cell r="C574" t="str">
            <v/>
          </cell>
          <cell r="E574" t="str">
            <v/>
          </cell>
          <cell r="H574" t="str">
            <v/>
          </cell>
          <cell r="I574" t="str">
            <v/>
          </cell>
          <cell r="K574" t="str">
            <v/>
          </cell>
          <cell r="N574" t="str">
            <v/>
          </cell>
          <cell r="P574" t="str">
            <v/>
          </cell>
        </row>
        <row r="575">
          <cell r="B575" t="str">
            <v/>
          </cell>
          <cell r="C575" t="str">
            <v/>
          </cell>
          <cell r="E575" t="str">
            <v/>
          </cell>
          <cell r="H575" t="str">
            <v/>
          </cell>
          <cell r="I575" t="str">
            <v/>
          </cell>
          <cell r="K575" t="str">
            <v/>
          </cell>
          <cell r="N575" t="str">
            <v/>
          </cell>
          <cell r="P575" t="str">
            <v/>
          </cell>
        </row>
        <row r="576">
          <cell r="B576" t="str">
            <v/>
          </cell>
          <cell r="C576" t="str">
            <v/>
          </cell>
          <cell r="E576" t="str">
            <v/>
          </cell>
          <cell r="H576" t="str">
            <v/>
          </cell>
          <cell r="I576" t="str">
            <v/>
          </cell>
          <cell r="K576" t="str">
            <v/>
          </cell>
          <cell r="N576" t="str">
            <v/>
          </cell>
          <cell r="P576" t="str">
            <v/>
          </cell>
        </row>
        <row r="577">
          <cell r="B577" t="str">
            <v/>
          </cell>
          <cell r="C577" t="str">
            <v/>
          </cell>
          <cell r="E577" t="str">
            <v/>
          </cell>
          <cell r="H577" t="str">
            <v/>
          </cell>
          <cell r="I577" t="str">
            <v/>
          </cell>
          <cell r="K577" t="str">
            <v/>
          </cell>
          <cell r="N577" t="str">
            <v/>
          </cell>
          <cell r="P577" t="str">
            <v/>
          </cell>
        </row>
        <row r="578">
          <cell r="B578" t="str">
            <v/>
          </cell>
          <cell r="C578" t="str">
            <v/>
          </cell>
          <cell r="E578" t="str">
            <v/>
          </cell>
          <cell r="H578" t="str">
            <v/>
          </cell>
          <cell r="I578" t="str">
            <v/>
          </cell>
          <cell r="K578" t="str">
            <v/>
          </cell>
          <cell r="N578" t="str">
            <v/>
          </cell>
          <cell r="P578" t="str">
            <v/>
          </cell>
        </row>
        <row r="579">
          <cell r="B579" t="str">
            <v/>
          </cell>
          <cell r="C579" t="str">
            <v/>
          </cell>
          <cell r="E579" t="str">
            <v/>
          </cell>
          <cell r="H579" t="str">
            <v/>
          </cell>
          <cell r="I579" t="str">
            <v/>
          </cell>
          <cell r="K579" t="str">
            <v/>
          </cell>
          <cell r="N579" t="str">
            <v/>
          </cell>
          <cell r="P579" t="str">
            <v/>
          </cell>
        </row>
        <row r="580">
          <cell r="B580" t="str">
            <v/>
          </cell>
          <cell r="C580" t="str">
            <v/>
          </cell>
          <cell r="E580" t="str">
            <v/>
          </cell>
          <cell r="H580" t="str">
            <v/>
          </cell>
          <cell r="I580" t="str">
            <v/>
          </cell>
          <cell r="K580" t="str">
            <v/>
          </cell>
          <cell r="N580" t="str">
            <v/>
          </cell>
          <cell r="P580" t="str">
            <v/>
          </cell>
        </row>
        <row r="581">
          <cell r="B581" t="str">
            <v/>
          </cell>
          <cell r="C581" t="str">
            <v/>
          </cell>
          <cell r="E581" t="str">
            <v/>
          </cell>
          <cell r="H581" t="str">
            <v/>
          </cell>
          <cell r="I581" t="str">
            <v/>
          </cell>
          <cell r="K581" t="str">
            <v/>
          </cell>
          <cell r="N581" t="str">
            <v/>
          </cell>
          <cell r="P581" t="str">
            <v/>
          </cell>
        </row>
        <row r="582">
          <cell r="B582" t="str">
            <v/>
          </cell>
          <cell r="C582" t="str">
            <v/>
          </cell>
          <cell r="E582" t="str">
            <v/>
          </cell>
          <cell r="H582" t="str">
            <v/>
          </cell>
          <cell r="I582" t="str">
            <v/>
          </cell>
          <cell r="K582" t="str">
            <v/>
          </cell>
          <cell r="N582" t="str">
            <v/>
          </cell>
          <cell r="P582" t="str">
            <v/>
          </cell>
        </row>
        <row r="583">
          <cell r="B583" t="str">
            <v/>
          </cell>
          <cell r="C583" t="str">
            <v/>
          </cell>
          <cell r="E583" t="str">
            <v/>
          </cell>
          <cell r="H583" t="str">
            <v/>
          </cell>
          <cell r="I583" t="str">
            <v/>
          </cell>
          <cell r="K583" t="str">
            <v/>
          </cell>
          <cell r="N583" t="str">
            <v/>
          </cell>
          <cell r="P583" t="str">
            <v/>
          </cell>
        </row>
        <row r="584">
          <cell r="B584" t="str">
            <v/>
          </cell>
          <cell r="C584" t="str">
            <v/>
          </cell>
          <cell r="E584" t="str">
            <v/>
          </cell>
          <cell r="H584" t="str">
            <v/>
          </cell>
          <cell r="I584" t="str">
            <v/>
          </cell>
          <cell r="K584" t="str">
            <v/>
          </cell>
          <cell r="N584" t="str">
            <v/>
          </cell>
          <cell r="P584" t="str">
            <v/>
          </cell>
        </row>
        <row r="585">
          <cell r="B585" t="str">
            <v/>
          </cell>
          <cell r="C585" t="str">
            <v/>
          </cell>
          <cell r="E585" t="str">
            <v/>
          </cell>
          <cell r="H585" t="str">
            <v/>
          </cell>
          <cell r="I585" t="str">
            <v/>
          </cell>
          <cell r="K585" t="str">
            <v/>
          </cell>
          <cell r="N585" t="str">
            <v/>
          </cell>
          <cell r="P585" t="str">
            <v/>
          </cell>
        </row>
        <row r="586">
          <cell r="B586" t="str">
            <v/>
          </cell>
          <cell r="C586" t="str">
            <v/>
          </cell>
          <cell r="E586" t="str">
            <v/>
          </cell>
          <cell r="H586" t="str">
            <v/>
          </cell>
          <cell r="I586" t="str">
            <v/>
          </cell>
          <cell r="K586" t="str">
            <v/>
          </cell>
          <cell r="N586" t="str">
            <v/>
          </cell>
          <cell r="P586" t="str">
            <v/>
          </cell>
        </row>
        <row r="587">
          <cell r="B587" t="str">
            <v/>
          </cell>
          <cell r="C587" t="str">
            <v/>
          </cell>
          <cell r="E587" t="str">
            <v/>
          </cell>
          <cell r="H587" t="str">
            <v/>
          </cell>
          <cell r="I587" t="str">
            <v/>
          </cell>
          <cell r="K587" t="str">
            <v/>
          </cell>
          <cell r="N587" t="str">
            <v/>
          </cell>
          <cell r="P587" t="str">
            <v/>
          </cell>
        </row>
        <row r="588">
          <cell r="B588" t="str">
            <v/>
          </cell>
          <cell r="C588" t="str">
            <v/>
          </cell>
          <cell r="E588" t="str">
            <v/>
          </cell>
          <cell r="H588" t="str">
            <v/>
          </cell>
          <cell r="I588" t="str">
            <v/>
          </cell>
          <cell r="K588" t="str">
            <v/>
          </cell>
          <cell r="N588" t="str">
            <v/>
          </cell>
          <cell r="P588" t="str">
            <v/>
          </cell>
        </row>
        <row r="589">
          <cell r="B589" t="str">
            <v/>
          </cell>
          <cell r="C589" t="str">
            <v/>
          </cell>
          <cell r="E589" t="str">
            <v/>
          </cell>
          <cell r="H589" t="str">
            <v/>
          </cell>
          <cell r="I589" t="str">
            <v/>
          </cell>
          <cell r="K589" t="str">
            <v/>
          </cell>
          <cell r="N589" t="str">
            <v/>
          </cell>
          <cell r="P589" t="str">
            <v/>
          </cell>
        </row>
        <row r="590">
          <cell r="B590" t="str">
            <v/>
          </cell>
          <cell r="C590" t="str">
            <v/>
          </cell>
          <cell r="E590" t="str">
            <v/>
          </cell>
          <cell r="H590" t="str">
            <v/>
          </cell>
          <cell r="I590" t="str">
            <v/>
          </cell>
          <cell r="K590" t="str">
            <v/>
          </cell>
          <cell r="N590" t="str">
            <v/>
          </cell>
          <cell r="P590" t="str">
            <v/>
          </cell>
        </row>
        <row r="591">
          <cell r="B591" t="str">
            <v/>
          </cell>
          <cell r="C591" t="str">
            <v/>
          </cell>
          <cell r="E591" t="str">
            <v/>
          </cell>
          <cell r="H591" t="str">
            <v/>
          </cell>
          <cell r="I591" t="str">
            <v/>
          </cell>
          <cell r="K591" t="str">
            <v/>
          </cell>
          <cell r="N591" t="str">
            <v/>
          </cell>
          <cell r="P591" t="str">
            <v/>
          </cell>
        </row>
        <row r="592">
          <cell r="B592" t="str">
            <v/>
          </cell>
          <cell r="C592" t="str">
            <v/>
          </cell>
          <cell r="E592" t="str">
            <v/>
          </cell>
          <cell r="H592" t="str">
            <v/>
          </cell>
          <cell r="I592" t="str">
            <v/>
          </cell>
          <cell r="K592" t="str">
            <v/>
          </cell>
          <cell r="N592" t="str">
            <v/>
          </cell>
          <cell r="P592" t="str">
            <v/>
          </cell>
        </row>
        <row r="593">
          <cell r="B593" t="str">
            <v/>
          </cell>
          <cell r="C593" t="str">
            <v/>
          </cell>
          <cell r="E593" t="str">
            <v/>
          </cell>
          <cell r="H593" t="str">
            <v/>
          </cell>
          <cell r="I593" t="str">
            <v/>
          </cell>
          <cell r="K593" t="str">
            <v/>
          </cell>
          <cell r="N593" t="str">
            <v/>
          </cell>
          <cell r="P593" t="str">
            <v/>
          </cell>
        </row>
        <row r="594">
          <cell r="B594" t="str">
            <v/>
          </cell>
          <cell r="C594" t="str">
            <v/>
          </cell>
          <cell r="E594" t="str">
            <v/>
          </cell>
          <cell r="H594" t="str">
            <v/>
          </cell>
          <cell r="I594" t="str">
            <v/>
          </cell>
          <cell r="K594" t="str">
            <v/>
          </cell>
          <cell r="N594" t="str">
            <v/>
          </cell>
          <cell r="P594" t="str">
            <v/>
          </cell>
        </row>
        <row r="595">
          <cell r="B595" t="str">
            <v/>
          </cell>
          <cell r="C595" t="str">
            <v/>
          </cell>
          <cell r="E595" t="str">
            <v/>
          </cell>
          <cell r="H595" t="str">
            <v/>
          </cell>
          <cell r="I595" t="str">
            <v/>
          </cell>
          <cell r="K595" t="str">
            <v/>
          </cell>
          <cell r="N595" t="str">
            <v/>
          </cell>
          <cell r="P595" t="str">
            <v/>
          </cell>
        </row>
        <row r="596">
          <cell r="B596" t="str">
            <v/>
          </cell>
          <cell r="C596" t="str">
            <v/>
          </cell>
          <cell r="E596" t="str">
            <v/>
          </cell>
          <cell r="H596" t="str">
            <v/>
          </cell>
          <cell r="I596" t="str">
            <v/>
          </cell>
          <cell r="K596" t="str">
            <v/>
          </cell>
          <cell r="N596" t="str">
            <v/>
          </cell>
          <cell r="P596" t="str">
            <v/>
          </cell>
        </row>
        <row r="597">
          <cell r="B597" t="str">
            <v/>
          </cell>
          <cell r="C597" t="str">
            <v/>
          </cell>
          <cell r="E597" t="str">
            <v/>
          </cell>
          <cell r="H597" t="str">
            <v/>
          </cell>
          <cell r="I597" t="str">
            <v/>
          </cell>
          <cell r="K597" t="str">
            <v/>
          </cell>
          <cell r="N597" t="str">
            <v/>
          </cell>
          <cell r="P597" t="str">
            <v/>
          </cell>
        </row>
        <row r="598">
          <cell r="B598" t="str">
            <v/>
          </cell>
          <cell r="C598" t="str">
            <v/>
          </cell>
          <cell r="E598" t="str">
            <v/>
          </cell>
          <cell r="H598" t="str">
            <v/>
          </cell>
          <cell r="I598" t="str">
            <v/>
          </cell>
          <cell r="K598" t="str">
            <v/>
          </cell>
          <cell r="N598" t="str">
            <v/>
          </cell>
          <cell r="P598" t="str">
            <v/>
          </cell>
        </row>
        <row r="599">
          <cell r="B599" t="str">
            <v/>
          </cell>
          <cell r="C599" t="str">
            <v/>
          </cell>
          <cell r="E599" t="str">
            <v/>
          </cell>
          <cell r="H599" t="str">
            <v/>
          </cell>
          <cell r="I599" t="str">
            <v/>
          </cell>
          <cell r="K599" t="str">
            <v/>
          </cell>
          <cell r="N599" t="str">
            <v/>
          </cell>
          <cell r="P599" t="str">
            <v/>
          </cell>
        </row>
        <row r="600">
          <cell r="B600" t="str">
            <v/>
          </cell>
          <cell r="C600" t="str">
            <v/>
          </cell>
          <cell r="E600" t="str">
            <v/>
          </cell>
          <cell r="H600" t="str">
            <v/>
          </cell>
          <cell r="I600" t="str">
            <v/>
          </cell>
          <cell r="K600" t="str">
            <v/>
          </cell>
          <cell r="N600" t="str">
            <v/>
          </cell>
          <cell r="P600" t="str">
            <v/>
          </cell>
        </row>
        <row r="601">
          <cell r="B601" t="str">
            <v/>
          </cell>
          <cell r="C601" t="str">
            <v/>
          </cell>
          <cell r="E601" t="str">
            <v/>
          </cell>
          <cell r="H601" t="str">
            <v/>
          </cell>
          <cell r="I601" t="str">
            <v/>
          </cell>
          <cell r="K601" t="str">
            <v/>
          </cell>
          <cell r="N601" t="str">
            <v/>
          </cell>
          <cell r="P601" t="str">
            <v/>
          </cell>
        </row>
        <row r="602">
          <cell r="B602" t="str">
            <v/>
          </cell>
          <cell r="C602" t="str">
            <v/>
          </cell>
          <cell r="E602" t="str">
            <v/>
          </cell>
          <cell r="H602" t="str">
            <v/>
          </cell>
          <cell r="I602" t="str">
            <v/>
          </cell>
          <cell r="K602" t="str">
            <v/>
          </cell>
          <cell r="N602" t="str">
            <v/>
          </cell>
          <cell r="P602" t="str">
            <v/>
          </cell>
        </row>
        <row r="603">
          <cell r="B603" t="str">
            <v/>
          </cell>
          <cell r="C603" t="str">
            <v/>
          </cell>
          <cell r="E603" t="str">
            <v/>
          </cell>
          <cell r="H603" t="str">
            <v/>
          </cell>
          <cell r="I603" t="str">
            <v/>
          </cell>
          <cell r="K603" t="str">
            <v/>
          </cell>
          <cell r="N603" t="str">
            <v/>
          </cell>
          <cell r="P603" t="str">
            <v/>
          </cell>
        </row>
        <row r="604">
          <cell r="B604" t="str">
            <v/>
          </cell>
          <cell r="C604" t="str">
            <v/>
          </cell>
          <cell r="E604" t="str">
            <v/>
          </cell>
          <cell r="H604" t="str">
            <v/>
          </cell>
          <cell r="I604" t="str">
            <v/>
          </cell>
          <cell r="K604" t="str">
            <v/>
          </cell>
          <cell r="N604" t="str">
            <v/>
          </cell>
          <cell r="P604" t="str">
            <v/>
          </cell>
        </row>
        <row r="605">
          <cell r="B605" t="str">
            <v/>
          </cell>
          <cell r="C605" t="str">
            <v/>
          </cell>
          <cell r="E605" t="str">
            <v/>
          </cell>
          <cell r="H605" t="str">
            <v/>
          </cell>
          <cell r="I605" t="str">
            <v/>
          </cell>
          <cell r="K605" t="str">
            <v/>
          </cell>
          <cell r="N605" t="str">
            <v/>
          </cell>
          <cell r="P605" t="str">
            <v/>
          </cell>
        </row>
        <row r="606">
          <cell r="B606" t="str">
            <v/>
          </cell>
          <cell r="C606" t="str">
            <v/>
          </cell>
          <cell r="E606" t="str">
            <v/>
          </cell>
          <cell r="H606" t="str">
            <v/>
          </cell>
          <cell r="I606" t="str">
            <v/>
          </cell>
          <cell r="K606" t="str">
            <v/>
          </cell>
          <cell r="N606" t="str">
            <v/>
          </cell>
          <cell r="P606" t="str">
            <v/>
          </cell>
        </row>
        <row r="607">
          <cell r="B607" t="str">
            <v/>
          </cell>
          <cell r="C607" t="str">
            <v/>
          </cell>
          <cell r="E607" t="str">
            <v/>
          </cell>
          <cell r="H607" t="str">
            <v/>
          </cell>
          <cell r="I607" t="str">
            <v/>
          </cell>
          <cell r="K607" t="str">
            <v/>
          </cell>
          <cell r="N607" t="str">
            <v/>
          </cell>
          <cell r="P607" t="str">
            <v/>
          </cell>
        </row>
        <row r="608">
          <cell r="B608" t="str">
            <v/>
          </cell>
          <cell r="C608" t="str">
            <v/>
          </cell>
          <cell r="E608" t="str">
            <v/>
          </cell>
          <cell r="H608" t="str">
            <v/>
          </cell>
          <cell r="I608" t="str">
            <v/>
          </cell>
          <cell r="K608" t="str">
            <v/>
          </cell>
          <cell r="N608" t="str">
            <v/>
          </cell>
          <cell r="P608" t="str">
            <v/>
          </cell>
        </row>
        <row r="609">
          <cell r="B609" t="str">
            <v/>
          </cell>
          <cell r="C609" t="str">
            <v/>
          </cell>
          <cell r="E609" t="str">
            <v/>
          </cell>
          <cell r="H609" t="str">
            <v/>
          </cell>
          <cell r="I609" t="str">
            <v/>
          </cell>
          <cell r="K609" t="str">
            <v/>
          </cell>
          <cell r="N609" t="str">
            <v/>
          </cell>
          <cell r="P609" t="str">
            <v/>
          </cell>
        </row>
        <row r="610">
          <cell r="B610" t="str">
            <v/>
          </cell>
          <cell r="C610" t="str">
            <v/>
          </cell>
          <cell r="E610" t="str">
            <v/>
          </cell>
          <cell r="H610" t="str">
            <v/>
          </cell>
          <cell r="I610" t="str">
            <v/>
          </cell>
          <cell r="K610" t="str">
            <v/>
          </cell>
          <cell r="N610" t="str">
            <v/>
          </cell>
          <cell r="P610" t="str">
            <v/>
          </cell>
        </row>
        <row r="611">
          <cell r="B611" t="str">
            <v/>
          </cell>
          <cell r="C611" t="str">
            <v/>
          </cell>
          <cell r="E611" t="str">
            <v/>
          </cell>
          <cell r="H611" t="str">
            <v/>
          </cell>
          <cell r="I611" t="str">
            <v/>
          </cell>
          <cell r="K611" t="str">
            <v/>
          </cell>
          <cell r="N611" t="str">
            <v/>
          </cell>
          <cell r="P611" t="str">
            <v/>
          </cell>
        </row>
        <row r="612">
          <cell r="B612" t="str">
            <v/>
          </cell>
          <cell r="C612" t="str">
            <v/>
          </cell>
          <cell r="E612" t="str">
            <v/>
          </cell>
          <cell r="H612" t="str">
            <v/>
          </cell>
          <cell r="I612" t="str">
            <v/>
          </cell>
          <cell r="K612" t="str">
            <v/>
          </cell>
          <cell r="N612" t="str">
            <v/>
          </cell>
          <cell r="P612" t="str">
            <v/>
          </cell>
        </row>
        <row r="613">
          <cell r="B613" t="str">
            <v/>
          </cell>
          <cell r="C613" t="str">
            <v/>
          </cell>
          <cell r="E613" t="str">
            <v/>
          </cell>
          <cell r="H613" t="str">
            <v/>
          </cell>
          <cell r="I613" t="str">
            <v/>
          </cell>
          <cell r="K613" t="str">
            <v/>
          </cell>
          <cell r="N613" t="str">
            <v/>
          </cell>
          <cell r="P613" t="str">
            <v/>
          </cell>
        </row>
        <row r="614">
          <cell r="B614" t="str">
            <v/>
          </cell>
          <cell r="C614" t="str">
            <v/>
          </cell>
          <cell r="E614" t="str">
            <v/>
          </cell>
          <cell r="H614" t="str">
            <v/>
          </cell>
          <cell r="I614" t="str">
            <v/>
          </cell>
          <cell r="K614" t="str">
            <v/>
          </cell>
          <cell r="N614" t="str">
            <v/>
          </cell>
          <cell r="P614" t="str">
            <v/>
          </cell>
        </row>
        <row r="615">
          <cell r="B615" t="str">
            <v/>
          </cell>
          <cell r="C615" t="str">
            <v/>
          </cell>
          <cell r="E615" t="str">
            <v/>
          </cell>
          <cell r="H615" t="str">
            <v/>
          </cell>
          <cell r="I615" t="str">
            <v/>
          </cell>
          <cell r="K615" t="str">
            <v/>
          </cell>
          <cell r="N615" t="str">
            <v/>
          </cell>
          <cell r="P615" t="str">
            <v/>
          </cell>
        </row>
        <row r="616">
          <cell r="B616" t="str">
            <v/>
          </cell>
          <cell r="C616" t="str">
            <v/>
          </cell>
          <cell r="E616" t="str">
            <v/>
          </cell>
          <cell r="H616" t="str">
            <v/>
          </cell>
          <cell r="I616" t="str">
            <v/>
          </cell>
          <cell r="K616" t="str">
            <v/>
          </cell>
          <cell r="N616" t="str">
            <v/>
          </cell>
          <cell r="P616" t="str">
            <v/>
          </cell>
        </row>
        <row r="617">
          <cell r="B617" t="str">
            <v/>
          </cell>
          <cell r="C617" t="str">
            <v/>
          </cell>
          <cell r="E617" t="str">
            <v/>
          </cell>
          <cell r="H617" t="str">
            <v/>
          </cell>
          <cell r="I617" t="str">
            <v/>
          </cell>
          <cell r="K617" t="str">
            <v/>
          </cell>
          <cell r="N617" t="str">
            <v/>
          </cell>
          <cell r="P617" t="str">
            <v/>
          </cell>
        </row>
        <row r="618">
          <cell r="B618" t="str">
            <v/>
          </cell>
          <cell r="C618" t="str">
            <v/>
          </cell>
          <cell r="E618" t="str">
            <v/>
          </cell>
          <cell r="H618" t="str">
            <v/>
          </cell>
          <cell r="I618" t="str">
            <v/>
          </cell>
          <cell r="K618" t="str">
            <v/>
          </cell>
          <cell r="N618" t="str">
            <v/>
          </cell>
          <cell r="P618" t="str">
            <v/>
          </cell>
        </row>
        <row r="619">
          <cell r="B619" t="str">
            <v/>
          </cell>
          <cell r="C619" t="str">
            <v/>
          </cell>
          <cell r="E619" t="str">
            <v/>
          </cell>
          <cell r="H619" t="str">
            <v/>
          </cell>
          <cell r="I619" t="str">
            <v/>
          </cell>
          <cell r="K619" t="str">
            <v/>
          </cell>
          <cell r="N619" t="str">
            <v/>
          </cell>
          <cell r="P619" t="str">
            <v/>
          </cell>
        </row>
        <row r="620">
          <cell r="B620" t="str">
            <v/>
          </cell>
          <cell r="C620" t="str">
            <v/>
          </cell>
          <cell r="E620" t="str">
            <v/>
          </cell>
          <cell r="H620" t="str">
            <v/>
          </cell>
          <cell r="I620" t="str">
            <v/>
          </cell>
          <cell r="K620" t="str">
            <v/>
          </cell>
          <cell r="N620" t="str">
            <v/>
          </cell>
          <cell r="P620" t="str">
            <v/>
          </cell>
        </row>
        <row r="621">
          <cell r="B621" t="str">
            <v/>
          </cell>
          <cell r="C621" t="str">
            <v/>
          </cell>
          <cell r="E621" t="str">
            <v/>
          </cell>
          <cell r="H621" t="str">
            <v/>
          </cell>
          <cell r="I621" t="str">
            <v/>
          </cell>
          <cell r="K621" t="str">
            <v/>
          </cell>
          <cell r="N621" t="str">
            <v/>
          </cell>
          <cell r="P621" t="str">
            <v/>
          </cell>
        </row>
        <row r="622">
          <cell r="B622" t="str">
            <v/>
          </cell>
          <cell r="C622" t="str">
            <v/>
          </cell>
          <cell r="E622" t="str">
            <v/>
          </cell>
          <cell r="H622" t="str">
            <v/>
          </cell>
          <cell r="I622" t="str">
            <v/>
          </cell>
          <cell r="K622" t="str">
            <v/>
          </cell>
          <cell r="N622" t="str">
            <v/>
          </cell>
          <cell r="P622" t="str">
            <v/>
          </cell>
        </row>
        <row r="623">
          <cell r="B623" t="str">
            <v/>
          </cell>
          <cell r="C623" t="str">
            <v/>
          </cell>
          <cell r="E623" t="str">
            <v/>
          </cell>
          <cell r="H623" t="str">
            <v/>
          </cell>
          <cell r="I623" t="str">
            <v/>
          </cell>
          <cell r="K623" t="str">
            <v/>
          </cell>
          <cell r="N623" t="str">
            <v/>
          </cell>
          <cell r="P623" t="str">
            <v/>
          </cell>
        </row>
        <row r="624">
          <cell r="B624" t="str">
            <v/>
          </cell>
          <cell r="C624" t="str">
            <v/>
          </cell>
          <cell r="E624" t="str">
            <v/>
          </cell>
          <cell r="H624" t="str">
            <v/>
          </cell>
          <cell r="I624" t="str">
            <v/>
          </cell>
          <cell r="K624" t="str">
            <v/>
          </cell>
          <cell r="N624" t="str">
            <v/>
          </cell>
          <cell r="P624" t="str">
            <v/>
          </cell>
        </row>
        <row r="625">
          <cell r="B625" t="str">
            <v/>
          </cell>
          <cell r="C625" t="str">
            <v/>
          </cell>
          <cell r="E625" t="str">
            <v/>
          </cell>
          <cell r="H625" t="str">
            <v/>
          </cell>
          <cell r="I625" t="str">
            <v/>
          </cell>
          <cell r="K625" t="str">
            <v/>
          </cell>
          <cell r="N625" t="str">
            <v/>
          </cell>
          <cell r="P625" t="str">
            <v/>
          </cell>
        </row>
        <row r="626">
          <cell r="B626" t="str">
            <v/>
          </cell>
          <cell r="C626" t="str">
            <v/>
          </cell>
          <cell r="E626" t="str">
            <v/>
          </cell>
          <cell r="H626" t="str">
            <v/>
          </cell>
          <cell r="I626" t="str">
            <v/>
          </cell>
          <cell r="K626" t="str">
            <v/>
          </cell>
          <cell r="N626" t="str">
            <v/>
          </cell>
          <cell r="P626" t="str">
            <v/>
          </cell>
        </row>
        <row r="627">
          <cell r="B627" t="str">
            <v/>
          </cell>
          <cell r="C627" t="str">
            <v/>
          </cell>
          <cell r="E627" t="str">
            <v/>
          </cell>
          <cell r="H627" t="str">
            <v/>
          </cell>
          <cell r="I627" t="str">
            <v/>
          </cell>
          <cell r="K627" t="str">
            <v/>
          </cell>
          <cell r="N627" t="str">
            <v/>
          </cell>
          <cell r="P627" t="str">
            <v/>
          </cell>
        </row>
        <row r="628">
          <cell r="B628" t="str">
            <v/>
          </cell>
          <cell r="C628" t="str">
            <v/>
          </cell>
          <cell r="E628" t="str">
            <v/>
          </cell>
          <cell r="H628" t="str">
            <v/>
          </cell>
          <cell r="I628" t="str">
            <v/>
          </cell>
          <cell r="K628" t="str">
            <v/>
          </cell>
          <cell r="N628" t="str">
            <v/>
          </cell>
          <cell r="P628" t="str">
            <v/>
          </cell>
        </row>
        <row r="629">
          <cell r="B629" t="str">
            <v/>
          </cell>
          <cell r="C629" t="str">
            <v/>
          </cell>
          <cell r="E629" t="str">
            <v/>
          </cell>
          <cell r="H629" t="str">
            <v/>
          </cell>
          <cell r="I629" t="str">
            <v/>
          </cell>
          <cell r="K629" t="str">
            <v/>
          </cell>
          <cell r="N629" t="str">
            <v/>
          </cell>
          <cell r="P629" t="str">
            <v/>
          </cell>
        </row>
        <row r="630">
          <cell r="B630" t="str">
            <v/>
          </cell>
          <cell r="C630" t="str">
            <v/>
          </cell>
          <cell r="E630" t="str">
            <v/>
          </cell>
          <cell r="H630" t="str">
            <v/>
          </cell>
          <cell r="I630" t="str">
            <v/>
          </cell>
          <cell r="K630" t="str">
            <v/>
          </cell>
          <cell r="N630" t="str">
            <v/>
          </cell>
          <cell r="P630" t="str">
            <v/>
          </cell>
        </row>
        <row r="631">
          <cell r="B631" t="str">
            <v/>
          </cell>
          <cell r="C631" t="str">
            <v/>
          </cell>
          <cell r="E631" t="str">
            <v/>
          </cell>
          <cell r="H631" t="str">
            <v/>
          </cell>
          <cell r="I631" t="str">
            <v/>
          </cell>
          <cell r="K631" t="str">
            <v/>
          </cell>
          <cell r="N631" t="str">
            <v/>
          </cell>
          <cell r="P631" t="str">
            <v/>
          </cell>
        </row>
        <row r="632">
          <cell r="B632" t="str">
            <v/>
          </cell>
          <cell r="C632" t="str">
            <v/>
          </cell>
          <cell r="E632" t="str">
            <v/>
          </cell>
          <cell r="H632" t="str">
            <v/>
          </cell>
          <cell r="I632" t="str">
            <v/>
          </cell>
          <cell r="K632" t="str">
            <v/>
          </cell>
          <cell r="N632" t="str">
            <v/>
          </cell>
          <cell r="P632" t="str">
            <v/>
          </cell>
        </row>
        <row r="633">
          <cell r="B633" t="str">
            <v/>
          </cell>
          <cell r="C633" t="str">
            <v/>
          </cell>
          <cell r="E633" t="str">
            <v/>
          </cell>
          <cell r="H633" t="str">
            <v/>
          </cell>
          <cell r="I633" t="str">
            <v/>
          </cell>
          <cell r="K633" t="str">
            <v/>
          </cell>
          <cell r="N633" t="str">
            <v/>
          </cell>
          <cell r="P633" t="str">
            <v/>
          </cell>
        </row>
        <row r="634">
          <cell r="B634" t="str">
            <v/>
          </cell>
          <cell r="C634" t="str">
            <v/>
          </cell>
          <cell r="E634" t="str">
            <v/>
          </cell>
          <cell r="H634" t="str">
            <v/>
          </cell>
          <cell r="I634" t="str">
            <v/>
          </cell>
          <cell r="K634" t="str">
            <v/>
          </cell>
          <cell r="N634" t="str">
            <v/>
          </cell>
          <cell r="P634" t="str">
            <v/>
          </cell>
        </row>
        <row r="635">
          <cell r="B635" t="str">
            <v/>
          </cell>
          <cell r="C635" t="str">
            <v/>
          </cell>
          <cell r="E635" t="str">
            <v/>
          </cell>
          <cell r="H635" t="str">
            <v/>
          </cell>
          <cell r="I635" t="str">
            <v/>
          </cell>
          <cell r="K635" t="str">
            <v/>
          </cell>
          <cell r="N635" t="str">
            <v/>
          </cell>
          <cell r="P635" t="str">
            <v/>
          </cell>
        </row>
        <row r="636">
          <cell r="B636" t="str">
            <v/>
          </cell>
          <cell r="C636" t="str">
            <v/>
          </cell>
          <cell r="E636" t="str">
            <v/>
          </cell>
          <cell r="H636" t="str">
            <v/>
          </cell>
          <cell r="I636" t="str">
            <v/>
          </cell>
          <cell r="K636" t="str">
            <v/>
          </cell>
          <cell r="N636" t="str">
            <v/>
          </cell>
          <cell r="P636" t="str">
            <v/>
          </cell>
        </row>
        <row r="637">
          <cell r="B637" t="str">
            <v/>
          </cell>
          <cell r="C637" t="str">
            <v/>
          </cell>
          <cell r="E637" t="str">
            <v/>
          </cell>
          <cell r="H637" t="str">
            <v/>
          </cell>
          <cell r="I637" t="str">
            <v/>
          </cell>
          <cell r="K637" t="str">
            <v/>
          </cell>
          <cell r="N637" t="str">
            <v/>
          </cell>
          <cell r="P637" t="str">
            <v/>
          </cell>
        </row>
        <row r="638">
          <cell r="B638" t="str">
            <v/>
          </cell>
          <cell r="C638" t="str">
            <v/>
          </cell>
          <cell r="E638" t="str">
            <v/>
          </cell>
          <cell r="H638" t="str">
            <v/>
          </cell>
          <cell r="I638" t="str">
            <v/>
          </cell>
          <cell r="K638" t="str">
            <v/>
          </cell>
          <cell r="N638" t="str">
            <v/>
          </cell>
          <cell r="P638" t="str">
            <v/>
          </cell>
        </row>
        <row r="639">
          <cell r="B639" t="str">
            <v/>
          </cell>
          <cell r="C639" t="str">
            <v/>
          </cell>
          <cell r="E639" t="str">
            <v/>
          </cell>
          <cell r="H639" t="str">
            <v/>
          </cell>
          <cell r="I639" t="str">
            <v/>
          </cell>
          <cell r="K639" t="str">
            <v/>
          </cell>
          <cell r="N639" t="str">
            <v/>
          </cell>
          <cell r="P639" t="str">
            <v/>
          </cell>
        </row>
        <row r="640">
          <cell r="B640" t="str">
            <v/>
          </cell>
          <cell r="C640" t="str">
            <v/>
          </cell>
          <cell r="E640" t="str">
            <v/>
          </cell>
          <cell r="H640" t="str">
            <v/>
          </cell>
          <cell r="I640" t="str">
            <v/>
          </cell>
          <cell r="K640" t="str">
            <v/>
          </cell>
          <cell r="N640" t="str">
            <v/>
          </cell>
          <cell r="P640" t="str">
            <v/>
          </cell>
        </row>
        <row r="641">
          <cell r="B641" t="str">
            <v/>
          </cell>
          <cell r="C641" t="str">
            <v/>
          </cell>
          <cell r="E641" t="str">
            <v/>
          </cell>
          <cell r="H641" t="str">
            <v/>
          </cell>
          <cell r="I641" t="str">
            <v/>
          </cell>
          <cell r="K641" t="str">
            <v/>
          </cell>
          <cell r="N641" t="str">
            <v/>
          </cell>
          <cell r="P641" t="str">
            <v/>
          </cell>
        </row>
        <row r="642">
          <cell r="B642" t="str">
            <v/>
          </cell>
          <cell r="C642" t="str">
            <v/>
          </cell>
          <cell r="E642" t="str">
            <v/>
          </cell>
          <cell r="H642" t="str">
            <v/>
          </cell>
          <cell r="I642" t="str">
            <v/>
          </cell>
          <cell r="K642" t="str">
            <v/>
          </cell>
          <cell r="N642" t="str">
            <v/>
          </cell>
          <cell r="P642" t="str">
            <v/>
          </cell>
        </row>
        <row r="643">
          <cell r="B643" t="str">
            <v/>
          </cell>
          <cell r="C643" t="str">
            <v/>
          </cell>
          <cell r="E643" t="str">
            <v/>
          </cell>
          <cell r="H643" t="str">
            <v/>
          </cell>
          <cell r="I643" t="str">
            <v/>
          </cell>
          <cell r="K643" t="str">
            <v/>
          </cell>
          <cell r="N643" t="str">
            <v/>
          </cell>
          <cell r="P643" t="str">
            <v/>
          </cell>
        </row>
        <row r="644">
          <cell r="B644" t="str">
            <v/>
          </cell>
          <cell r="C644" t="str">
            <v/>
          </cell>
          <cell r="E644" t="str">
            <v/>
          </cell>
          <cell r="H644" t="str">
            <v/>
          </cell>
          <cell r="I644" t="str">
            <v/>
          </cell>
          <cell r="K644" t="str">
            <v/>
          </cell>
          <cell r="N644" t="str">
            <v/>
          </cell>
          <cell r="P644" t="str">
            <v/>
          </cell>
        </row>
        <row r="645">
          <cell r="B645" t="str">
            <v/>
          </cell>
          <cell r="C645" t="str">
            <v/>
          </cell>
          <cell r="E645" t="str">
            <v/>
          </cell>
          <cell r="H645" t="str">
            <v/>
          </cell>
          <cell r="I645" t="str">
            <v/>
          </cell>
          <cell r="K645" t="str">
            <v/>
          </cell>
          <cell r="N645" t="str">
            <v/>
          </cell>
          <cell r="P645" t="str">
            <v/>
          </cell>
        </row>
        <row r="646">
          <cell r="B646" t="str">
            <v/>
          </cell>
          <cell r="C646" t="str">
            <v/>
          </cell>
          <cell r="E646" t="str">
            <v/>
          </cell>
          <cell r="H646" t="str">
            <v/>
          </cell>
          <cell r="I646" t="str">
            <v/>
          </cell>
          <cell r="K646" t="str">
            <v/>
          </cell>
          <cell r="N646" t="str">
            <v/>
          </cell>
          <cell r="P646" t="str">
            <v/>
          </cell>
        </row>
        <row r="647">
          <cell r="B647" t="str">
            <v/>
          </cell>
          <cell r="C647" t="str">
            <v/>
          </cell>
          <cell r="E647" t="str">
            <v/>
          </cell>
          <cell r="H647" t="str">
            <v/>
          </cell>
          <cell r="I647" t="str">
            <v/>
          </cell>
          <cell r="K647" t="str">
            <v/>
          </cell>
          <cell r="N647" t="str">
            <v/>
          </cell>
          <cell r="P647" t="str">
            <v/>
          </cell>
        </row>
        <row r="648">
          <cell r="B648" t="str">
            <v/>
          </cell>
          <cell r="C648" t="str">
            <v/>
          </cell>
          <cell r="E648" t="str">
            <v/>
          </cell>
          <cell r="H648" t="str">
            <v/>
          </cell>
          <cell r="I648" t="str">
            <v/>
          </cell>
          <cell r="K648" t="str">
            <v/>
          </cell>
          <cell r="N648" t="str">
            <v/>
          </cell>
          <cell r="P648" t="str">
            <v/>
          </cell>
        </row>
        <row r="649">
          <cell r="B649" t="str">
            <v/>
          </cell>
          <cell r="C649" t="str">
            <v/>
          </cell>
          <cell r="E649" t="str">
            <v/>
          </cell>
          <cell r="H649" t="str">
            <v/>
          </cell>
          <cell r="I649" t="str">
            <v/>
          </cell>
          <cell r="K649" t="str">
            <v/>
          </cell>
          <cell r="N649" t="str">
            <v/>
          </cell>
          <cell r="P649" t="str">
            <v/>
          </cell>
        </row>
        <row r="650">
          <cell r="B650" t="str">
            <v/>
          </cell>
          <cell r="C650" t="str">
            <v/>
          </cell>
          <cell r="E650" t="str">
            <v/>
          </cell>
          <cell r="H650" t="str">
            <v/>
          </cell>
          <cell r="I650" t="str">
            <v/>
          </cell>
          <cell r="K650" t="str">
            <v/>
          </cell>
          <cell r="N650" t="str">
            <v/>
          </cell>
          <cell r="P650" t="str">
            <v/>
          </cell>
        </row>
        <row r="651">
          <cell r="B651" t="str">
            <v/>
          </cell>
          <cell r="C651" t="str">
            <v/>
          </cell>
          <cell r="E651" t="str">
            <v/>
          </cell>
          <cell r="H651" t="str">
            <v/>
          </cell>
          <cell r="I651" t="str">
            <v/>
          </cell>
          <cell r="K651" t="str">
            <v/>
          </cell>
          <cell r="N651" t="str">
            <v/>
          </cell>
          <cell r="P651" t="str">
            <v/>
          </cell>
        </row>
        <row r="652">
          <cell r="B652" t="str">
            <v/>
          </cell>
          <cell r="C652" t="str">
            <v/>
          </cell>
          <cell r="E652" t="str">
            <v/>
          </cell>
          <cell r="H652" t="str">
            <v/>
          </cell>
          <cell r="I652" t="str">
            <v/>
          </cell>
          <cell r="K652" t="str">
            <v/>
          </cell>
          <cell r="N652" t="str">
            <v/>
          </cell>
          <cell r="P652" t="str">
            <v/>
          </cell>
        </row>
        <row r="653">
          <cell r="B653" t="str">
            <v/>
          </cell>
          <cell r="C653" t="str">
            <v/>
          </cell>
          <cell r="E653" t="str">
            <v/>
          </cell>
          <cell r="H653" t="str">
            <v/>
          </cell>
          <cell r="I653" t="str">
            <v/>
          </cell>
          <cell r="K653" t="str">
            <v/>
          </cell>
          <cell r="N653" t="str">
            <v/>
          </cell>
          <cell r="P653" t="str">
            <v/>
          </cell>
        </row>
        <row r="654">
          <cell r="B654" t="str">
            <v/>
          </cell>
          <cell r="C654" t="str">
            <v/>
          </cell>
          <cell r="E654" t="str">
            <v/>
          </cell>
          <cell r="H654" t="str">
            <v/>
          </cell>
          <cell r="I654" t="str">
            <v/>
          </cell>
          <cell r="K654" t="str">
            <v/>
          </cell>
          <cell r="N654" t="str">
            <v/>
          </cell>
          <cell r="P654" t="str">
            <v/>
          </cell>
        </row>
        <row r="655">
          <cell r="B655" t="str">
            <v/>
          </cell>
          <cell r="C655" t="str">
            <v/>
          </cell>
          <cell r="E655" t="str">
            <v/>
          </cell>
          <cell r="H655" t="str">
            <v/>
          </cell>
          <cell r="I655" t="str">
            <v/>
          </cell>
          <cell r="K655" t="str">
            <v/>
          </cell>
          <cell r="N655" t="str">
            <v/>
          </cell>
          <cell r="P655" t="str">
            <v/>
          </cell>
        </row>
        <row r="656">
          <cell r="B656" t="str">
            <v/>
          </cell>
          <cell r="C656" t="str">
            <v/>
          </cell>
          <cell r="E656" t="str">
            <v/>
          </cell>
          <cell r="H656" t="str">
            <v/>
          </cell>
          <cell r="I656" t="str">
            <v/>
          </cell>
          <cell r="K656" t="str">
            <v/>
          </cell>
          <cell r="N656" t="str">
            <v/>
          </cell>
          <cell r="P656" t="str">
            <v/>
          </cell>
        </row>
        <row r="657">
          <cell r="B657" t="str">
            <v/>
          </cell>
          <cell r="C657" t="str">
            <v/>
          </cell>
          <cell r="E657" t="str">
            <v/>
          </cell>
          <cell r="H657" t="str">
            <v/>
          </cell>
          <cell r="I657" t="str">
            <v/>
          </cell>
          <cell r="K657" t="str">
            <v/>
          </cell>
          <cell r="N657" t="str">
            <v/>
          </cell>
          <cell r="P657" t="str">
            <v/>
          </cell>
        </row>
        <row r="658">
          <cell r="B658" t="str">
            <v/>
          </cell>
          <cell r="C658" t="str">
            <v/>
          </cell>
          <cell r="E658" t="str">
            <v/>
          </cell>
          <cell r="H658" t="str">
            <v/>
          </cell>
          <cell r="I658" t="str">
            <v/>
          </cell>
          <cell r="K658" t="str">
            <v/>
          </cell>
          <cell r="N658" t="str">
            <v/>
          </cell>
          <cell r="P658" t="str">
            <v/>
          </cell>
        </row>
        <row r="659">
          <cell r="B659" t="str">
            <v/>
          </cell>
          <cell r="C659" t="str">
            <v/>
          </cell>
          <cell r="E659" t="str">
            <v/>
          </cell>
          <cell r="H659" t="str">
            <v/>
          </cell>
          <cell r="I659" t="str">
            <v/>
          </cell>
          <cell r="K659" t="str">
            <v/>
          </cell>
          <cell r="N659" t="str">
            <v/>
          </cell>
          <cell r="P659" t="str">
            <v/>
          </cell>
        </row>
        <row r="660">
          <cell r="B660" t="str">
            <v/>
          </cell>
          <cell r="C660" t="str">
            <v/>
          </cell>
          <cell r="E660" t="str">
            <v/>
          </cell>
          <cell r="H660" t="str">
            <v/>
          </cell>
          <cell r="I660" t="str">
            <v/>
          </cell>
          <cell r="K660" t="str">
            <v/>
          </cell>
          <cell r="N660" t="str">
            <v/>
          </cell>
          <cell r="P660" t="str">
            <v/>
          </cell>
        </row>
        <row r="661">
          <cell r="B661" t="str">
            <v/>
          </cell>
          <cell r="C661" t="str">
            <v/>
          </cell>
          <cell r="E661" t="str">
            <v/>
          </cell>
          <cell r="H661" t="str">
            <v/>
          </cell>
          <cell r="I661" t="str">
            <v/>
          </cell>
          <cell r="K661" t="str">
            <v/>
          </cell>
          <cell r="N661" t="str">
            <v/>
          </cell>
          <cell r="P661" t="str">
            <v/>
          </cell>
        </row>
        <row r="662">
          <cell r="B662" t="str">
            <v/>
          </cell>
          <cell r="C662" t="str">
            <v/>
          </cell>
          <cell r="E662" t="str">
            <v/>
          </cell>
          <cell r="H662" t="str">
            <v/>
          </cell>
          <cell r="I662" t="str">
            <v/>
          </cell>
          <cell r="K662" t="str">
            <v/>
          </cell>
          <cell r="N662" t="str">
            <v/>
          </cell>
          <cell r="P662" t="str">
            <v/>
          </cell>
        </row>
        <row r="663">
          <cell r="B663" t="str">
            <v/>
          </cell>
          <cell r="C663" t="str">
            <v/>
          </cell>
          <cell r="E663" t="str">
            <v/>
          </cell>
          <cell r="H663" t="str">
            <v/>
          </cell>
          <cell r="I663" t="str">
            <v/>
          </cell>
          <cell r="K663" t="str">
            <v/>
          </cell>
          <cell r="N663" t="str">
            <v/>
          </cell>
          <cell r="P663" t="str">
            <v/>
          </cell>
        </row>
        <row r="664">
          <cell r="B664" t="str">
            <v/>
          </cell>
          <cell r="C664" t="str">
            <v/>
          </cell>
          <cell r="E664" t="str">
            <v/>
          </cell>
          <cell r="H664" t="str">
            <v/>
          </cell>
          <cell r="I664" t="str">
            <v/>
          </cell>
          <cell r="K664" t="str">
            <v/>
          </cell>
          <cell r="N664" t="str">
            <v/>
          </cell>
          <cell r="P664" t="str">
            <v/>
          </cell>
        </row>
        <row r="665">
          <cell r="B665" t="str">
            <v/>
          </cell>
          <cell r="C665" t="str">
            <v/>
          </cell>
          <cell r="E665" t="str">
            <v/>
          </cell>
          <cell r="H665" t="str">
            <v/>
          </cell>
          <cell r="I665" t="str">
            <v/>
          </cell>
          <cell r="K665" t="str">
            <v/>
          </cell>
          <cell r="N665" t="str">
            <v/>
          </cell>
          <cell r="P665" t="str">
            <v/>
          </cell>
        </row>
        <row r="666">
          <cell r="B666" t="str">
            <v/>
          </cell>
          <cell r="C666" t="str">
            <v/>
          </cell>
          <cell r="E666" t="str">
            <v/>
          </cell>
          <cell r="H666" t="str">
            <v/>
          </cell>
          <cell r="I666" t="str">
            <v/>
          </cell>
          <cell r="K666" t="str">
            <v/>
          </cell>
          <cell r="N666" t="str">
            <v/>
          </cell>
          <cell r="P666" t="str">
            <v/>
          </cell>
        </row>
        <row r="667">
          <cell r="B667" t="str">
            <v/>
          </cell>
          <cell r="C667" t="str">
            <v/>
          </cell>
          <cell r="E667" t="str">
            <v/>
          </cell>
          <cell r="H667" t="str">
            <v/>
          </cell>
          <cell r="I667" t="str">
            <v/>
          </cell>
          <cell r="K667" t="str">
            <v/>
          </cell>
          <cell r="N667" t="str">
            <v/>
          </cell>
          <cell r="P667" t="str">
            <v/>
          </cell>
        </row>
        <row r="668">
          <cell r="B668" t="str">
            <v/>
          </cell>
          <cell r="C668" t="str">
            <v/>
          </cell>
          <cell r="E668" t="str">
            <v/>
          </cell>
          <cell r="H668" t="str">
            <v/>
          </cell>
          <cell r="I668" t="str">
            <v/>
          </cell>
          <cell r="K668" t="str">
            <v/>
          </cell>
          <cell r="N668" t="str">
            <v/>
          </cell>
          <cell r="P668" t="str">
            <v/>
          </cell>
        </row>
        <row r="669">
          <cell r="B669" t="str">
            <v/>
          </cell>
          <cell r="C669" t="str">
            <v/>
          </cell>
          <cell r="E669" t="str">
            <v/>
          </cell>
          <cell r="H669" t="str">
            <v/>
          </cell>
          <cell r="I669" t="str">
            <v/>
          </cell>
          <cell r="K669" t="str">
            <v/>
          </cell>
          <cell r="N669" t="str">
            <v/>
          </cell>
          <cell r="P669" t="str">
            <v/>
          </cell>
        </row>
        <row r="670">
          <cell r="B670" t="str">
            <v/>
          </cell>
          <cell r="C670" t="str">
            <v/>
          </cell>
          <cell r="E670" t="str">
            <v/>
          </cell>
          <cell r="H670" t="str">
            <v/>
          </cell>
          <cell r="I670" t="str">
            <v/>
          </cell>
          <cell r="K670" t="str">
            <v/>
          </cell>
          <cell r="N670" t="str">
            <v/>
          </cell>
          <cell r="P670" t="str">
            <v/>
          </cell>
        </row>
        <row r="671">
          <cell r="B671" t="str">
            <v/>
          </cell>
          <cell r="C671" t="str">
            <v/>
          </cell>
          <cell r="E671" t="str">
            <v/>
          </cell>
          <cell r="H671" t="str">
            <v/>
          </cell>
          <cell r="I671" t="str">
            <v/>
          </cell>
          <cell r="K671" t="str">
            <v/>
          </cell>
          <cell r="N671" t="str">
            <v/>
          </cell>
          <cell r="P671" t="str">
            <v/>
          </cell>
        </row>
        <row r="672">
          <cell r="B672" t="str">
            <v/>
          </cell>
          <cell r="C672" t="str">
            <v/>
          </cell>
          <cell r="E672" t="str">
            <v/>
          </cell>
          <cell r="H672" t="str">
            <v/>
          </cell>
          <cell r="I672" t="str">
            <v/>
          </cell>
          <cell r="K672" t="str">
            <v/>
          </cell>
          <cell r="N672" t="str">
            <v/>
          </cell>
          <cell r="P672" t="str">
            <v/>
          </cell>
        </row>
        <row r="673">
          <cell r="B673" t="str">
            <v/>
          </cell>
          <cell r="C673" t="str">
            <v/>
          </cell>
          <cell r="E673" t="str">
            <v/>
          </cell>
          <cell r="H673" t="str">
            <v/>
          </cell>
          <cell r="I673" t="str">
            <v/>
          </cell>
          <cell r="K673" t="str">
            <v/>
          </cell>
          <cell r="N673" t="str">
            <v/>
          </cell>
          <cell r="P673" t="str">
            <v/>
          </cell>
        </row>
        <row r="674">
          <cell r="B674" t="str">
            <v/>
          </cell>
          <cell r="C674" t="str">
            <v/>
          </cell>
          <cell r="E674" t="str">
            <v/>
          </cell>
          <cell r="H674" t="str">
            <v/>
          </cell>
          <cell r="I674" t="str">
            <v/>
          </cell>
          <cell r="K674" t="str">
            <v/>
          </cell>
          <cell r="N674" t="str">
            <v/>
          </cell>
          <cell r="P674" t="str">
            <v/>
          </cell>
        </row>
        <row r="675">
          <cell r="B675" t="str">
            <v/>
          </cell>
          <cell r="C675" t="str">
            <v/>
          </cell>
          <cell r="E675" t="str">
            <v/>
          </cell>
          <cell r="H675" t="str">
            <v/>
          </cell>
          <cell r="I675" t="str">
            <v/>
          </cell>
          <cell r="K675" t="str">
            <v/>
          </cell>
          <cell r="N675" t="str">
            <v/>
          </cell>
          <cell r="P675" t="str">
            <v/>
          </cell>
        </row>
        <row r="676">
          <cell r="B676" t="str">
            <v/>
          </cell>
          <cell r="C676" t="str">
            <v/>
          </cell>
          <cell r="E676" t="str">
            <v/>
          </cell>
          <cell r="H676" t="str">
            <v/>
          </cell>
          <cell r="I676" t="str">
            <v/>
          </cell>
          <cell r="K676" t="str">
            <v/>
          </cell>
          <cell r="N676" t="str">
            <v/>
          </cell>
          <cell r="P676" t="str">
            <v/>
          </cell>
        </row>
        <row r="677">
          <cell r="B677" t="str">
            <v/>
          </cell>
          <cell r="C677" t="str">
            <v/>
          </cell>
          <cell r="E677" t="str">
            <v/>
          </cell>
          <cell r="H677" t="str">
            <v/>
          </cell>
          <cell r="I677" t="str">
            <v/>
          </cell>
          <cell r="K677" t="str">
            <v/>
          </cell>
          <cell r="N677" t="str">
            <v/>
          </cell>
          <cell r="P677" t="str">
            <v/>
          </cell>
        </row>
        <row r="678">
          <cell r="B678" t="str">
            <v/>
          </cell>
          <cell r="C678" t="str">
            <v/>
          </cell>
          <cell r="E678" t="str">
            <v/>
          </cell>
          <cell r="H678" t="str">
            <v/>
          </cell>
          <cell r="I678" t="str">
            <v/>
          </cell>
          <cell r="K678" t="str">
            <v/>
          </cell>
          <cell r="N678" t="str">
            <v/>
          </cell>
          <cell r="P678" t="str">
            <v/>
          </cell>
        </row>
        <row r="679">
          <cell r="B679" t="str">
            <v/>
          </cell>
          <cell r="C679" t="str">
            <v/>
          </cell>
          <cell r="E679" t="str">
            <v/>
          </cell>
          <cell r="H679" t="str">
            <v/>
          </cell>
          <cell r="I679" t="str">
            <v/>
          </cell>
          <cell r="K679" t="str">
            <v/>
          </cell>
          <cell r="N679" t="str">
            <v/>
          </cell>
          <cell r="P679" t="str">
            <v/>
          </cell>
        </row>
        <row r="680">
          <cell r="B680" t="str">
            <v/>
          </cell>
          <cell r="C680" t="str">
            <v/>
          </cell>
          <cell r="E680" t="str">
            <v/>
          </cell>
          <cell r="H680" t="str">
            <v/>
          </cell>
          <cell r="I680" t="str">
            <v/>
          </cell>
          <cell r="K680" t="str">
            <v/>
          </cell>
          <cell r="N680" t="str">
            <v/>
          </cell>
          <cell r="P680" t="str">
            <v/>
          </cell>
        </row>
        <row r="681">
          <cell r="B681" t="str">
            <v/>
          </cell>
          <cell r="C681" t="str">
            <v/>
          </cell>
          <cell r="E681" t="str">
            <v/>
          </cell>
          <cell r="H681" t="str">
            <v/>
          </cell>
          <cell r="I681" t="str">
            <v/>
          </cell>
          <cell r="K681" t="str">
            <v/>
          </cell>
          <cell r="N681" t="str">
            <v/>
          </cell>
          <cell r="P681" t="str">
            <v/>
          </cell>
        </row>
        <row r="682">
          <cell r="B682" t="str">
            <v/>
          </cell>
          <cell r="C682" t="str">
            <v/>
          </cell>
          <cell r="E682" t="str">
            <v/>
          </cell>
          <cell r="H682" t="str">
            <v/>
          </cell>
          <cell r="I682" t="str">
            <v/>
          </cell>
          <cell r="K682" t="str">
            <v/>
          </cell>
          <cell r="N682" t="str">
            <v/>
          </cell>
          <cell r="P682" t="str">
            <v/>
          </cell>
        </row>
        <row r="683">
          <cell r="B683" t="str">
            <v/>
          </cell>
          <cell r="C683" t="str">
            <v/>
          </cell>
          <cell r="E683" t="str">
            <v/>
          </cell>
          <cell r="H683" t="str">
            <v/>
          </cell>
          <cell r="I683" t="str">
            <v/>
          </cell>
          <cell r="K683" t="str">
            <v/>
          </cell>
          <cell r="N683" t="str">
            <v/>
          </cell>
          <cell r="P683" t="str">
            <v/>
          </cell>
        </row>
        <row r="684">
          <cell r="B684" t="str">
            <v/>
          </cell>
          <cell r="C684" t="str">
            <v/>
          </cell>
          <cell r="E684" t="str">
            <v/>
          </cell>
          <cell r="H684" t="str">
            <v/>
          </cell>
          <cell r="I684" t="str">
            <v/>
          </cell>
          <cell r="K684" t="str">
            <v/>
          </cell>
          <cell r="N684" t="str">
            <v/>
          </cell>
          <cell r="P684" t="str">
            <v/>
          </cell>
        </row>
        <row r="685">
          <cell r="B685" t="str">
            <v/>
          </cell>
          <cell r="C685" t="str">
            <v/>
          </cell>
          <cell r="E685" t="str">
            <v/>
          </cell>
          <cell r="H685" t="str">
            <v/>
          </cell>
          <cell r="I685" t="str">
            <v/>
          </cell>
          <cell r="K685" t="str">
            <v/>
          </cell>
          <cell r="N685" t="str">
            <v/>
          </cell>
          <cell r="P685" t="str">
            <v/>
          </cell>
        </row>
        <row r="686">
          <cell r="B686" t="str">
            <v/>
          </cell>
          <cell r="C686" t="str">
            <v/>
          </cell>
          <cell r="E686" t="str">
            <v/>
          </cell>
          <cell r="H686" t="str">
            <v/>
          </cell>
          <cell r="I686" t="str">
            <v/>
          </cell>
          <cell r="K686" t="str">
            <v/>
          </cell>
          <cell r="N686" t="str">
            <v/>
          </cell>
          <cell r="P686" t="str">
            <v/>
          </cell>
        </row>
        <row r="687">
          <cell r="B687" t="str">
            <v/>
          </cell>
          <cell r="C687" t="str">
            <v/>
          </cell>
          <cell r="E687" t="str">
            <v/>
          </cell>
          <cell r="H687" t="str">
            <v/>
          </cell>
          <cell r="I687" t="str">
            <v/>
          </cell>
          <cell r="K687" t="str">
            <v/>
          </cell>
          <cell r="N687" t="str">
            <v/>
          </cell>
          <cell r="P687" t="str">
            <v/>
          </cell>
        </row>
        <row r="688">
          <cell r="B688" t="str">
            <v/>
          </cell>
          <cell r="C688" t="str">
            <v/>
          </cell>
          <cell r="E688" t="str">
            <v/>
          </cell>
          <cell r="H688" t="str">
            <v/>
          </cell>
          <cell r="I688" t="str">
            <v/>
          </cell>
          <cell r="K688" t="str">
            <v/>
          </cell>
          <cell r="N688" t="str">
            <v/>
          </cell>
          <cell r="P688" t="str">
            <v/>
          </cell>
        </row>
        <row r="689">
          <cell r="B689" t="str">
            <v/>
          </cell>
          <cell r="C689" t="str">
            <v/>
          </cell>
          <cell r="E689" t="str">
            <v/>
          </cell>
          <cell r="H689" t="str">
            <v/>
          </cell>
          <cell r="I689" t="str">
            <v/>
          </cell>
          <cell r="K689" t="str">
            <v/>
          </cell>
          <cell r="N689" t="str">
            <v/>
          </cell>
          <cell r="P689" t="str">
            <v/>
          </cell>
        </row>
        <row r="690">
          <cell r="B690" t="str">
            <v/>
          </cell>
          <cell r="C690" t="str">
            <v/>
          </cell>
          <cell r="E690" t="str">
            <v/>
          </cell>
          <cell r="H690" t="str">
            <v/>
          </cell>
          <cell r="I690" t="str">
            <v/>
          </cell>
          <cell r="K690" t="str">
            <v/>
          </cell>
          <cell r="N690" t="str">
            <v/>
          </cell>
          <cell r="P690" t="str">
            <v/>
          </cell>
        </row>
        <row r="691">
          <cell r="B691" t="str">
            <v/>
          </cell>
          <cell r="C691" t="str">
            <v/>
          </cell>
          <cell r="E691" t="str">
            <v/>
          </cell>
          <cell r="H691" t="str">
            <v/>
          </cell>
          <cell r="I691" t="str">
            <v/>
          </cell>
          <cell r="K691" t="str">
            <v/>
          </cell>
          <cell r="N691" t="str">
            <v/>
          </cell>
          <cell r="P691" t="str">
            <v/>
          </cell>
        </row>
        <row r="692">
          <cell r="B692" t="str">
            <v/>
          </cell>
          <cell r="C692" t="str">
            <v/>
          </cell>
          <cell r="E692" t="str">
            <v/>
          </cell>
          <cell r="H692" t="str">
            <v/>
          </cell>
          <cell r="I692" t="str">
            <v/>
          </cell>
          <cell r="K692" t="str">
            <v/>
          </cell>
          <cell r="N692" t="str">
            <v/>
          </cell>
          <cell r="P692" t="str">
            <v/>
          </cell>
        </row>
        <row r="693">
          <cell r="B693" t="str">
            <v/>
          </cell>
          <cell r="C693" t="str">
            <v/>
          </cell>
          <cell r="E693" t="str">
            <v/>
          </cell>
          <cell r="H693" t="str">
            <v/>
          </cell>
          <cell r="I693" t="str">
            <v/>
          </cell>
          <cell r="K693" t="str">
            <v/>
          </cell>
          <cell r="N693" t="str">
            <v/>
          </cell>
          <cell r="P693" t="str">
            <v/>
          </cell>
        </row>
        <row r="694">
          <cell r="B694" t="str">
            <v/>
          </cell>
          <cell r="C694" t="str">
            <v/>
          </cell>
          <cell r="E694" t="str">
            <v/>
          </cell>
          <cell r="H694" t="str">
            <v/>
          </cell>
          <cell r="I694" t="str">
            <v/>
          </cell>
          <cell r="K694" t="str">
            <v/>
          </cell>
          <cell r="N694" t="str">
            <v/>
          </cell>
          <cell r="P694" t="str">
            <v/>
          </cell>
        </row>
        <row r="695">
          <cell r="B695" t="str">
            <v/>
          </cell>
          <cell r="C695" t="str">
            <v/>
          </cell>
          <cell r="E695" t="str">
            <v/>
          </cell>
          <cell r="H695" t="str">
            <v/>
          </cell>
          <cell r="I695" t="str">
            <v/>
          </cell>
          <cell r="K695" t="str">
            <v/>
          </cell>
          <cell r="N695" t="str">
            <v/>
          </cell>
          <cell r="P695" t="str">
            <v/>
          </cell>
        </row>
        <row r="696">
          <cell r="B696" t="str">
            <v/>
          </cell>
          <cell r="C696" t="str">
            <v/>
          </cell>
          <cell r="E696" t="str">
            <v/>
          </cell>
          <cell r="H696" t="str">
            <v/>
          </cell>
          <cell r="I696" t="str">
            <v/>
          </cell>
          <cell r="K696" t="str">
            <v/>
          </cell>
          <cell r="N696" t="str">
            <v/>
          </cell>
          <cell r="P696" t="str">
            <v/>
          </cell>
        </row>
        <row r="697">
          <cell r="B697" t="str">
            <v/>
          </cell>
          <cell r="C697" t="str">
            <v/>
          </cell>
          <cell r="E697" t="str">
            <v/>
          </cell>
          <cell r="H697" t="str">
            <v/>
          </cell>
          <cell r="I697" t="str">
            <v/>
          </cell>
          <cell r="K697" t="str">
            <v/>
          </cell>
          <cell r="N697" t="str">
            <v/>
          </cell>
          <cell r="P697" t="str">
            <v/>
          </cell>
        </row>
        <row r="698">
          <cell r="B698" t="str">
            <v/>
          </cell>
          <cell r="C698" t="str">
            <v/>
          </cell>
          <cell r="E698" t="str">
            <v/>
          </cell>
          <cell r="H698" t="str">
            <v/>
          </cell>
          <cell r="I698" t="str">
            <v/>
          </cell>
          <cell r="K698" t="str">
            <v/>
          </cell>
          <cell r="N698" t="str">
            <v/>
          </cell>
          <cell r="P698" t="str">
            <v/>
          </cell>
        </row>
        <row r="699">
          <cell r="B699" t="str">
            <v/>
          </cell>
          <cell r="C699" t="str">
            <v/>
          </cell>
          <cell r="E699" t="str">
            <v/>
          </cell>
          <cell r="H699" t="str">
            <v/>
          </cell>
          <cell r="I699" t="str">
            <v/>
          </cell>
          <cell r="K699" t="str">
            <v/>
          </cell>
          <cell r="N699" t="str">
            <v/>
          </cell>
          <cell r="P699" t="str">
            <v/>
          </cell>
        </row>
        <row r="700">
          <cell r="B700" t="str">
            <v/>
          </cell>
          <cell r="C700" t="str">
            <v/>
          </cell>
          <cell r="E700" t="str">
            <v/>
          </cell>
          <cell r="H700" t="str">
            <v/>
          </cell>
          <cell r="I700" t="str">
            <v/>
          </cell>
          <cell r="K700" t="str">
            <v/>
          </cell>
          <cell r="N700" t="str">
            <v/>
          </cell>
          <cell r="P700" t="str">
            <v/>
          </cell>
        </row>
        <row r="701">
          <cell r="B701" t="str">
            <v/>
          </cell>
          <cell r="C701" t="str">
            <v/>
          </cell>
          <cell r="E701" t="str">
            <v/>
          </cell>
          <cell r="H701" t="str">
            <v/>
          </cell>
          <cell r="I701" t="str">
            <v/>
          </cell>
          <cell r="K701" t="str">
            <v/>
          </cell>
          <cell r="N701" t="str">
            <v/>
          </cell>
          <cell r="P701" t="str">
            <v/>
          </cell>
        </row>
        <row r="702">
          <cell r="B702" t="str">
            <v/>
          </cell>
          <cell r="C702" t="str">
            <v/>
          </cell>
          <cell r="E702" t="str">
            <v/>
          </cell>
          <cell r="H702" t="str">
            <v/>
          </cell>
          <cell r="I702" t="str">
            <v/>
          </cell>
          <cell r="K702" t="str">
            <v/>
          </cell>
          <cell r="N702" t="str">
            <v/>
          </cell>
          <cell r="P702" t="str">
            <v/>
          </cell>
        </row>
        <row r="703">
          <cell r="B703" t="str">
            <v/>
          </cell>
          <cell r="C703" t="str">
            <v/>
          </cell>
          <cell r="E703" t="str">
            <v/>
          </cell>
          <cell r="H703" t="str">
            <v/>
          </cell>
          <cell r="I703" t="str">
            <v/>
          </cell>
          <cell r="K703" t="str">
            <v/>
          </cell>
          <cell r="N703" t="str">
            <v/>
          </cell>
          <cell r="P703" t="str">
            <v/>
          </cell>
        </row>
        <row r="704">
          <cell r="B704" t="str">
            <v/>
          </cell>
          <cell r="C704" t="str">
            <v/>
          </cell>
          <cell r="E704" t="str">
            <v/>
          </cell>
          <cell r="H704" t="str">
            <v/>
          </cell>
          <cell r="I704" t="str">
            <v/>
          </cell>
          <cell r="K704" t="str">
            <v/>
          </cell>
          <cell r="N704" t="str">
            <v/>
          </cell>
          <cell r="P704" t="str">
            <v/>
          </cell>
        </row>
        <row r="705">
          <cell r="B705" t="str">
            <v/>
          </cell>
          <cell r="C705" t="str">
            <v/>
          </cell>
          <cell r="E705" t="str">
            <v/>
          </cell>
          <cell r="H705" t="str">
            <v/>
          </cell>
          <cell r="I705" t="str">
            <v/>
          </cell>
          <cell r="K705" t="str">
            <v/>
          </cell>
          <cell r="N705" t="str">
            <v/>
          </cell>
          <cell r="P705" t="str">
            <v/>
          </cell>
        </row>
        <row r="706">
          <cell r="B706" t="str">
            <v/>
          </cell>
          <cell r="C706" t="str">
            <v/>
          </cell>
          <cell r="E706" t="str">
            <v/>
          </cell>
          <cell r="H706" t="str">
            <v/>
          </cell>
          <cell r="I706" t="str">
            <v/>
          </cell>
          <cell r="K706" t="str">
            <v/>
          </cell>
          <cell r="N706" t="str">
            <v/>
          </cell>
          <cell r="P706" t="str">
            <v/>
          </cell>
        </row>
        <row r="707">
          <cell r="B707" t="str">
            <v/>
          </cell>
          <cell r="C707" t="str">
            <v/>
          </cell>
          <cell r="E707" t="str">
            <v/>
          </cell>
          <cell r="H707" t="str">
            <v/>
          </cell>
          <cell r="I707" t="str">
            <v/>
          </cell>
          <cell r="K707" t="str">
            <v/>
          </cell>
          <cell r="N707" t="str">
            <v/>
          </cell>
          <cell r="P707" t="str">
            <v/>
          </cell>
        </row>
        <row r="708">
          <cell r="B708" t="str">
            <v/>
          </cell>
          <cell r="C708" t="str">
            <v/>
          </cell>
          <cell r="E708" t="str">
            <v/>
          </cell>
          <cell r="H708" t="str">
            <v/>
          </cell>
          <cell r="I708" t="str">
            <v/>
          </cell>
          <cell r="K708" t="str">
            <v/>
          </cell>
          <cell r="N708" t="str">
            <v/>
          </cell>
          <cell r="P708" t="str">
            <v/>
          </cell>
        </row>
        <row r="709">
          <cell r="B709" t="str">
            <v/>
          </cell>
          <cell r="C709" t="str">
            <v/>
          </cell>
          <cell r="E709" t="str">
            <v/>
          </cell>
          <cell r="H709" t="str">
            <v/>
          </cell>
          <cell r="I709" t="str">
            <v/>
          </cell>
          <cell r="K709" t="str">
            <v/>
          </cell>
          <cell r="N709" t="str">
            <v/>
          </cell>
          <cell r="P709" t="str">
            <v/>
          </cell>
        </row>
        <row r="710">
          <cell r="B710" t="str">
            <v/>
          </cell>
          <cell r="C710" t="str">
            <v/>
          </cell>
          <cell r="E710" t="str">
            <v/>
          </cell>
          <cell r="H710" t="str">
            <v/>
          </cell>
          <cell r="I710" t="str">
            <v/>
          </cell>
          <cell r="K710" t="str">
            <v/>
          </cell>
          <cell r="N710" t="str">
            <v/>
          </cell>
          <cell r="P710" t="str">
            <v/>
          </cell>
        </row>
        <row r="711">
          <cell r="B711" t="str">
            <v/>
          </cell>
          <cell r="C711" t="str">
            <v/>
          </cell>
          <cell r="E711" t="str">
            <v/>
          </cell>
          <cell r="H711" t="str">
            <v/>
          </cell>
          <cell r="I711" t="str">
            <v/>
          </cell>
          <cell r="K711" t="str">
            <v/>
          </cell>
          <cell r="N711" t="str">
            <v/>
          </cell>
          <cell r="P711" t="str">
            <v/>
          </cell>
        </row>
        <row r="712">
          <cell r="B712" t="str">
            <v/>
          </cell>
          <cell r="C712" t="str">
            <v/>
          </cell>
          <cell r="E712" t="str">
            <v/>
          </cell>
          <cell r="H712" t="str">
            <v/>
          </cell>
          <cell r="I712" t="str">
            <v/>
          </cell>
          <cell r="K712" t="str">
            <v/>
          </cell>
          <cell r="N712" t="str">
            <v/>
          </cell>
          <cell r="P712" t="str">
            <v/>
          </cell>
        </row>
        <row r="713">
          <cell r="B713" t="str">
            <v/>
          </cell>
          <cell r="C713" t="str">
            <v/>
          </cell>
          <cell r="E713" t="str">
            <v/>
          </cell>
          <cell r="H713" t="str">
            <v/>
          </cell>
          <cell r="I713" t="str">
            <v/>
          </cell>
          <cell r="K713" t="str">
            <v/>
          </cell>
          <cell r="N713" t="str">
            <v/>
          </cell>
          <cell r="P713" t="str">
            <v/>
          </cell>
        </row>
        <row r="714">
          <cell r="B714" t="str">
            <v/>
          </cell>
          <cell r="C714" t="str">
            <v/>
          </cell>
          <cell r="E714" t="str">
            <v/>
          </cell>
          <cell r="H714" t="str">
            <v/>
          </cell>
          <cell r="I714" t="str">
            <v/>
          </cell>
          <cell r="K714" t="str">
            <v/>
          </cell>
          <cell r="N714" t="str">
            <v/>
          </cell>
          <cell r="P714" t="str">
            <v/>
          </cell>
        </row>
        <row r="715">
          <cell r="B715" t="str">
            <v/>
          </cell>
          <cell r="C715" t="str">
            <v/>
          </cell>
          <cell r="E715" t="str">
            <v/>
          </cell>
          <cell r="H715" t="str">
            <v/>
          </cell>
          <cell r="I715" t="str">
            <v/>
          </cell>
          <cell r="K715" t="str">
            <v/>
          </cell>
          <cell r="N715" t="str">
            <v/>
          </cell>
          <cell r="P715" t="str">
            <v/>
          </cell>
        </row>
        <row r="716">
          <cell r="B716" t="str">
            <v/>
          </cell>
          <cell r="C716" t="str">
            <v/>
          </cell>
          <cell r="E716" t="str">
            <v/>
          </cell>
          <cell r="H716" t="str">
            <v/>
          </cell>
          <cell r="I716" t="str">
            <v/>
          </cell>
          <cell r="K716" t="str">
            <v/>
          </cell>
          <cell r="N716" t="str">
            <v/>
          </cell>
          <cell r="P716" t="str">
            <v/>
          </cell>
        </row>
        <row r="717">
          <cell r="B717" t="str">
            <v/>
          </cell>
          <cell r="C717" t="str">
            <v/>
          </cell>
          <cell r="E717" t="str">
            <v/>
          </cell>
          <cell r="H717" t="str">
            <v/>
          </cell>
          <cell r="I717" t="str">
            <v/>
          </cell>
          <cell r="K717" t="str">
            <v/>
          </cell>
          <cell r="N717" t="str">
            <v/>
          </cell>
          <cell r="P717" t="str">
            <v/>
          </cell>
        </row>
        <row r="718">
          <cell r="B718" t="str">
            <v/>
          </cell>
          <cell r="C718" t="str">
            <v/>
          </cell>
          <cell r="E718" t="str">
            <v/>
          </cell>
          <cell r="H718" t="str">
            <v/>
          </cell>
          <cell r="I718" t="str">
            <v/>
          </cell>
          <cell r="K718" t="str">
            <v/>
          </cell>
          <cell r="N718" t="str">
            <v/>
          </cell>
          <cell r="P718" t="str">
            <v/>
          </cell>
        </row>
        <row r="719">
          <cell r="B719" t="str">
            <v/>
          </cell>
          <cell r="C719" t="str">
            <v/>
          </cell>
          <cell r="E719" t="str">
            <v/>
          </cell>
          <cell r="H719" t="str">
            <v/>
          </cell>
          <cell r="I719" t="str">
            <v/>
          </cell>
          <cell r="K719" t="str">
            <v/>
          </cell>
          <cell r="N719" t="str">
            <v/>
          </cell>
          <cell r="P719" t="str">
            <v/>
          </cell>
        </row>
        <row r="720">
          <cell r="B720" t="str">
            <v/>
          </cell>
          <cell r="C720" t="str">
            <v/>
          </cell>
          <cell r="E720" t="str">
            <v/>
          </cell>
          <cell r="H720" t="str">
            <v/>
          </cell>
          <cell r="I720" t="str">
            <v/>
          </cell>
          <cell r="K720" t="str">
            <v/>
          </cell>
          <cell r="N720" t="str">
            <v/>
          </cell>
          <cell r="P720" t="str">
            <v/>
          </cell>
        </row>
        <row r="721">
          <cell r="B721" t="str">
            <v/>
          </cell>
          <cell r="C721" t="str">
            <v/>
          </cell>
          <cell r="E721" t="str">
            <v/>
          </cell>
          <cell r="H721" t="str">
            <v/>
          </cell>
          <cell r="I721" t="str">
            <v/>
          </cell>
          <cell r="K721" t="str">
            <v/>
          </cell>
          <cell r="N721" t="str">
            <v/>
          </cell>
          <cell r="P721" t="str">
            <v/>
          </cell>
        </row>
        <row r="722">
          <cell r="B722" t="str">
            <v/>
          </cell>
          <cell r="C722" t="str">
            <v/>
          </cell>
          <cell r="E722" t="str">
            <v/>
          </cell>
          <cell r="H722" t="str">
            <v/>
          </cell>
          <cell r="I722" t="str">
            <v/>
          </cell>
          <cell r="K722" t="str">
            <v/>
          </cell>
          <cell r="N722" t="str">
            <v/>
          </cell>
          <cell r="P722" t="str">
            <v/>
          </cell>
        </row>
        <row r="723">
          <cell r="B723" t="str">
            <v/>
          </cell>
          <cell r="C723" t="str">
            <v/>
          </cell>
          <cell r="E723" t="str">
            <v/>
          </cell>
          <cell r="H723" t="str">
            <v/>
          </cell>
          <cell r="I723" t="str">
            <v/>
          </cell>
          <cell r="K723" t="str">
            <v/>
          </cell>
          <cell r="N723" t="str">
            <v/>
          </cell>
          <cell r="P723" t="str">
            <v/>
          </cell>
        </row>
        <row r="724">
          <cell r="B724" t="str">
            <v/>
          </cell>
          <cell r="C724" t="str">
            <v/>
          </cell>
          <cell r="E724" t="str">
            <v/>
          </cell>
          <cell r="H724" t="str">
            <v/>
          </cell>
          <cell r="I724" t="str">
            <v/>
          </cell>
          <cell r="K724" t="str">
            <v/>
          </cell>
          <cell r="N724" t="str">
            <v/>
          </cell>
          <cell r="P724" t="str">
            <v/>
          </cell>
        </row>
        <row r="725">
          <cell r="B725" t="str">
            <v/>
          </cell>
          <cell r="C725" t="str">
            <v/>
          </cell>
          <cell r="E725" t="str">
            <v/>
          </cell>
          <cell r="H725" t="str">
            <v/>
          </cell>
          <cell r="I725" t="str">
            <v/>
          </cell>
          <cell r="K725" t="str">
            <v/>
          </cell>
          <cell r="N725" t="str">
            <v/>
          </cell>
          <cell r="P725" t="str">
            <v/>
          </cell>
        </row>
        <row r="726">
          <cell r="B726" t="str">
            <v/>
          </cell>
          <cell r="C726" t="str">
            <v/>
          </cell>
          <cell r="E726" t="str">
            <v/>
          </cell>
          <cell r="H726" t="str">
            <v/>
          </cell>
          <cell r="I726" t="str">
            <v/>
          </cell>
          <cell r="K726" t="str">
            <v/>
          </cell>
          <cell r="N726" t="str">
            <v/>
          </cell>
          <cell r="P726" t="str">
            <v/>
          </cell>
        </row>
        <row r="727">
          <cell r="B727" t="str">
            <v/>
          </cell>
          <cell r="C727" t="str">
            <v/>
          </cell>
          <cell r="E727" t="str">
            <v/>
          </cell>
          <cell r="H727" t="str">
            <v/>
          </cell>
          <cell r="I727" t="str">
            <v/>
          </cell>
          <cell r="K727" t="str">
            <v/>
          </cell>
          <cell r="N727" t="str">
            <v/>
          </cell>
          <cell r="P727" t="str">
            <v/>
          </cell>
        </row>
        <row r="728">
          <cell r="B728" t="str">
            <v/>
          </cell>
          <cell r="C728" t="str">
            <v/>
          </cell>
          <cell r="E728" t="str">
            <v/>
          </cell>
          <cell r="H728" t="str">
            <v/>
          </cell>
          <cell r="I728" t="str">
            <v/>
          </cell>
          <cell r="K728" t="str">
            <v/>
          </cell>
          <cell r="N728" t="str">
            <v/>
          </cell>
          <cell r="P728" t="str">
            <v/>
          </cell>
        </row>
        <row r="729">
          <cell r="B729" t="str">
            <v/>
          </cell>
          <cell r="C729" t="str">
            <v/>
          </cell>
          <cell r="E729" t="str">
            <v/>
          </cell>
          <cell r="H729" t="str">
            <v/>
          </cell>
          <cell r="I729" t="str">
            <v/>
          </cell>
          <cell r="K729" t="str">
            <v/>
          </cell>
          <cell r="N729" t="str">
            <v/>
          </cell>
          <cell r="P729" t="str">
            <v/>
          </cell>
        </row>
        <row r="730">
          <cell r="B730" t="str">
            <v/>
          </cell>
          <cell r="C730" t="str">
            <v/>
          </cell>
          <cell r="E730" t="str">
            <v/>
          </cell>
          <cell r="H730" t="str">
            <v/>
          </cell>
          <cell r="I730" t="str">
            <v/>
          </cell>
          <cell r="K730" t="str">
            <v/>
          </cell>
          <cell r="N730" t="str">
            <v/>
          </cell>
          <cell r="P730" t="str">
            <v/>
          </cell>
        </row>
        <row r="731">
          <cell r="B731" t="str">
            <v/>
          </cell>
          <cell r="C731" t="str">
            <v/>
          </cell>
          <cell r="E731" t="str">
            <v/>
          </cell>
          <cell r="H731" t="str">
            <v/>
          </cell>
          <cell r="I731" t="str">
            <v/>
          </cell>
          <cell r="K731" t="str">
            <v/>
          </cell>
          <cell r="N731" t="str">
            <v/>
          </cell>
          <cell r="P731" t="str">
            <v/>
          </cell>
        </row>
        <row r="732">
          <cell r="B732" t="str">
            <v/>
          </cell>
          <cell r="C732" t="str">
            <v/>
          </cell>
          <cell r="E732" t="str">
            <v/>
          </cell>
          <cell r="H732" t="str">
            <v/>
          </cell>
          <cell r="I732" t="str">
            <v/>
          </cell>
          <cell r="K732" t="str">
            <v/>
          </cell>
          <cell r="N732" t="str">
            <v/>
          </cell>
          <cell r="P732" t="str">
            <v/>
          </cell>
        </row>
        <row r="733">
          <cell r="B733" t="str">
            <v/>
          </cell>
          <cell r="C733" t="str">
            <v/>
          </cell>
          <cell r="E733" t="str">
            <v/>
          </cell>
          <cell r="H733" t="str">
            <v/>
          </cell>
          <cell r="I733" t="str">
            <v/>
          </cell>
          <cell r="K733" t="str">
            <v/>
          </cell>
          <cell r="N733" t="str">
            <v/>
          </cell>
          <cell r="P733" t="str">
            <v/>
          </cell>
        </row>
        <row r="734">
          <cell r="B734" t="str">
            <v/>
          </cell>
          <cell r="C734" t="str">
            <v/>
          </cell>
          <cell r="E734" t="str">
            <v/>
          </cell>
          <cell r="H734" t="str">
            <v/>
          </cell>
          <cell r="I734" t="str">
            <v/>
          </cell>
          <cell r="K734" t="str">
            <v/>
          </cell>
          <cell r="N734" t="str">
            <v/>
          </cell>
          <cell r="P734" t="str">
            <v/>
          </cell>
        </row>
        <row r="735">
          <cell r="B735" t="str">
            <v/>
          </cell>
          <cell r="C735" t="str">
            <v/>
          </cell>
          <cell r="E735" t="str">
            <v/>
          </cell>
          <cell r="H735" t="str">
            <v/>
          </cell>
          <cell r="I735" t="str">
            <v/>
          </cell>
          <cell r="K735" t="str">
            <v/>
          </cell>
          <cell r="N735" t="str">
            <v/>
          </cell>
          <cell r="P735" t="str">
            <v/>
          </cell>
        </row>
        <row r="736">
          <cell r="B736" t="str">
            <v/>
          </cell>
          <cell r="C736" t="str">
            <v/>
          </cell>
          <cell r="E736" t="str">
            <v/>
          </cell>
          <cell r="H736" t="str">
            <v/>
          </cell>
          <cell r="I736" t="str">
            <v/>
          </cell>
          <cell r="K736" t="str">
            <v/>
          </cell>
          <cell r="N736" t="str">
            <v/>
          </cell>
          <cell r="P736" t="str">
            <v/>
          </cell>
        </row>
        <row r="737">
          <cell r="B737" t="str">
            <v/>
          </cell>
          <cell r="C737" t="str">
            <v/>
          </cell>
          <cell r="E737" t="str">
            <v/>
          </cell>
          <cell r="H737" t="str">
            <v/>
          </cell>
          <cell r="I737" t="str">
            <v/>
          </cell>
          <cell r="K737" t="str">
            <v/>
          </cell>
          <cell r="N737" t="str">
            <v/>
          </cell>
          <cell r="P737" t="str">
            <v/>
          </cell>
        </row>
        <row r="738">
          <cell r="B738" t="str">
            <v/>
          </cell>
          <cell r="C738" t="str">
            <v/>
          </cell>
          <cell r="E738" t="str">
            <v/>
          </cell>
          <cell r="H738" t="str">
            <v/>
          </cell>
          <cell r="I738" t="str">
            <v/>
          </cell>
          <cell r="K738" t="str">
            <v/>
          </cell>
          <cell r="N738" t="str">
            <v/>
          </cell>
          <cell r="P738" t="str">
            <v/>
          </cell>
        </row>
        <row r="739">
          <cell r="B739" t="str">
            <v/>
          </cell>
          <cell r="C739" t="str">
            <v/>
          </cell>
          <cell r="E739" t="str">
            <v/>
          </cell>
          <cell r="H739" t="str">
            <v/>
          </cell>
          <cell r="I739" t="str">
            <v/>
          </cell>
          <cell r="K739" t="str">
            <v/>
          </cell>
          <cell r="N739" t="str">
            <v/>
          </cell>
          <cell r="P739" t="str">
            <v/>
          </cell>
        </row>
        <row r="740">
          <cell r="B740" t="str">
            <v/>
          </cell>
          <cell r="C740" t="str">
            <v/>
          </cell>
          <cell r="E740" t="str">
            <v/>
          </cell>
          <cell r="H740" t="str">
            <v/>
          </cell>
          <cell r="I740" t="str">
            <v/>
          </cell>
          <cell r="K740" t="str">
            <v/>
          </cell>
          <cell r="N740" t="str">
            <v/>
          </cell>
          <cell r="P740" t="str">
            <v/>
          </cell>
        </row>
        <row r="741">
          <cell r="B741" t="str">
            <v/>
          </cell>
          <cell r="C741" t="str">
            <v/>
          </cell>
          <cell r="E741" t="str">
            <v/>
          </cell>
          <cell r="H741" t="str">
            <v/>
          </cell>
          <cell r="I741" t="str">
            <v/>
          </cell>
          <cell r="K741" t="str">
            <v/>
          </cell>
          <cell r="N741" t="str">
            <v/>
          </cell>
          <cell r="P741" t="str">
            <v/>
          </cell>
        </row>
        <row r="742">
          <cell r="B742" t="str">
            <v/>
          </cell>
          <cell r="C742" t="str">
            <v/>
          </cell>
          <cell r="E742" t="str">
            <v/>
          </cell>
          <cell r="H742" t="str">
            <v/>
          </cell>
          <cell r="I742" t="str">
            <v/>
          </cell>
          <cell r="K742" t="str">
            <v/>
          </cell>
          <cell r="N742" t="str">
            <v/>
          </cell>
          <cell r="P742" t="str">
            <v/>
          </cell>
        </row>
        <row r="743">
          <cell r="B743" t="str">
            <v/>
          </cell>
          <cell r="C743" t="str">
            <v/>
          </cell>
          <cell r="E743" t="str">
            <v/>
          </cell>
          <cell r="H743" t="str">
            <v/>
          </cell>
          <cell r="I743" t="str">
            <v/>
          </cell>
          <cell r="K743" t="str">
            <v/>
          </cell>
          <cell r="N743" t="str">
            <v/>
          </cell>
          <cell r="P743" t="str">
            <v/>
          </cell>
        </row>
        <row r="744">
          <cell r="B744" t="str">
            <v/>
          </cell>
          <cell r="C744" t="str">
            <v/>
          </cell>
          <cell r="E744" t="str">
            <v/>
          </cell>
          <cell r="H744" t="str">
            <v/>
          </cell>
          <cell r="I744" t="str">
            <v/>
          </cell>
          <cell r="K744" t="str">
            <v/>
          </cell>
          <cell r="N744" t="str">
            <v/>
          </cell>
          <cell r="P744" t="str">
            <v/>
          </cell>
        </row>
        <row r="745">
          <cell r="B745" t="str">
            <v/>
          </cell>
          <cell r="C745" t="str">
            <v/>
          </cell>
          <cell r="E745" t="str">
            <v/>
          </cell>
          <cell r="H745" t="str">
            <v/>
          </cell>
          <cell r="I745" t="str">
            <v/>
          </cell>
          <cell r="K745" t="str">
            <v/>
          </cell>
          <cell r="N745" t="str">
            <v/>
          </cell>
          <cell r="P745" t="str">
            <v/>
          </cell>
        </row>
        <row r="746">
          <cell r="B746" t="str">
            <v/>
          </cell>
          <cell r="C746" t="str">
            <v/>
          </cell>
          <cell r="E746" t="str">
            <v/>
          </cell>
          <cell r="H746" t="str">
            <v/>
          </cell>
          <cell r="I746" t="str">
            <v/>
          </cell>
          <cell r="K746" t="str">
            <v/>
          </cell>
          <cell r="N746" t="str">
            <v/>
          </cell>
          <cell r="P746" t="str">
            <v/>
          </cell>
        </row>
        <row r="747">
          <cell r="B747" t="str">
            <v/>
          </cell>
          <cell r="C747" t="str">
            <v/>
          </cell>
          <cell r="E747" t="str">
            <v/>
          </cell>
          <cell r="H747" t="str">
            <v/>
          </cell>
          <cell r="I747" t="str">
            <v/>
          </cell>
          <cell r="K747" t="str">
            <v/>
          </cell>
          <cell r="N747" t="str">
            <v/>
          </cell>
          <cell r="P747" t="str">
            <v/>
          </cell>
        </row>
        <row r="748">
          <cell r="B748" t="str">
            <v/>
          </cell>
          <cell r="C748" t="str">
            <v/>
          </cell>
          <cell r="E748" t="str">
            <v/>
          </cell>
          <cell r="H748" t="str">
            <v/>
          </cell>
          <cell r="I748" t="str">
            <v/>
          </cell>
          <cell r="K748" t="str">
            <v/>
          </cell>
          <cell r="N748" t="str">
            <v/>
          </cell>
          <cell r="P748" t="str">
            <v/>
          </cell>
        </row>
        <row r="749">
          <cell r="B749" t="str">
            <v/>
          </cell>
          <cell r="C749" t="str">
            <v/>
          </cell>
          <cell r="E749" t="str">
            <v/>
          </cell>
          <cell r="H749" t="str">
            <v/>
          </cell>
          <cell r="I749" t="str">
            <v/>
          </cell>
          <cell r="K749" t="str">
            <v/>
          </cell>
          <cell r="N749" t="str">
            <v/>
          </cell>
          <cell r="P749" t="str">
            <v/>
          </cell>
        </row>
        <row r="750">
          <cell r="B750" t="str">
            <v/>
          </cell>
          <cell r="C750" t="str">
            <v/>
          </cell>
          <cell r="E750" t="str">
            <v/>
          </cell>
          <cell r="H750" t="str">
            <v/>
          </cell>
          <cell r="I750" t="str">
            <v/>
          </cell>
          <cell r="K750" t="str">
            <v/>
          </cell>
          <cell r="N750" t="str">
            <v/>
          </cell>
          <cell r="P750" t="str">
            <v/>
          </cell>
        </row>
        <row r="751">
          <cell r="B751" t="str">
            <v/>
          </cell>
          <cell r="C751" t="str">
            <v/>
          </cell>
          <cell r="E751" t="str">
            <v/>
          </cell>
          <cell r="H751" t="str">
            <v/>
          </cell>
          <cell r="I751" t="str">
            <v/>
          </cell>
          <cell r="K751" t="str">
            <v/>
          </cell>
          <cell r="N751" t="str">
            <v/>
          </cell>
          <cell r="P751" t="str">
            <v/>
          </cell>
        </row>
        <row r="752">
          <cell r="B752" t="str">
            <v/>
          </cell>
          <cell r="C752" t="str">
            <v/>
          </cell>
          <cell r="E752" t="str">
            <v/>
          </cell>
          <cell r="H752" t="str">
            <v/>
          </cell>
          <cell r="I752" t="str">
            <v/>
          </cell>
          <cell r="K752" t="str">
            <v/>
          </cell>
          <cell r="N752" t="str">
            <v/>
          </cell>
          <cell r="P752" t="str">
            <v/>
          </cell>
        </row>
        <row r="753">
          <cell r="B753" t="str">
            <v/>
          </cell>
          <cell r="C753" t="str">
            <v/>
          </cell>
          <cell r="E753" t="str">
            <v/>
          </cell>
          <cell r="H753" t="str">
            <v/>
          </cell>
          <cell r="I753" t="str">
            <v/>
          </cell>
          <cell r="K753" t="str">
            <v/>
          </cell>
          <cell r="N753" t="str">
            <v/>
          </cell>
          <cell r="P753" t="str">
            <v/>
          </cell>
        </row>
        <row r="754">
          <cell r="B754" t="str">
            <v/>
          </cell>
          <cell r="C754" t="str">
            <v/>
          </cell>
          <cell r="E754" t="str">
            <v/>
          </cell>
          <cell r="H754" t="str">
            <v/>
          </cell>
          <cell r="I754" t="str">
            <v/>
          </cell>
          <cell r="K754" t="str">
            <v/>
          </cell>
          <cell r="N754" t="str">
            <v/>
          </cell>
          <cell r="P754" t="str">
            <v/>
          </cell>
        </row>
        <row r="755">
          <cell r="B755" t="str">
            <v/>
          </cell>
          <cell r="C755" t="str">
            <v/>
          </cell>
          <cell r="E755" t="str">
            <v/>
          </cell>
          <cell r="H755" t="str">
            <v/>
          </cell>
          <cell r="I755" t="str">
            <v/>
          </cell>
          <cell r="K755" t="str">
            <v/>
          </cell>
          <cell r="N755" t="str">
            <v/>
          </cell>
          <cell r="P755" t="str">
            <v/>
          </cell>
        </row>
        <row r="756">
          <cell r="B756" t="str">
            <v/>
          </cell>
          <cell r="C756" t="str">
            <v/>
          </cell>
          <cell r="E756" t="str">
            <v/>
          </cell>
          <cell r="H756" t="str">
            <v/>
          </cell>
          <cell r="I756" t="str">
            <v/>
          </cell>
          <cell r="K756" t="str">
            <v/>
          </cell>
          <cell r="N756" t="str">
            <v/>
          </cell>
          <cell r="P756" t="str">
            <v/>
          </cell>
        </row>
        <row r="757">
          <cell r="B757" t="str">
            <v/>
          </cell>
          <cell r="C757" t="str">
            <v/>
          </cell>
          <cell r="E757" t="str">
            <v/>
          </cell>
          <cell r="H757" t="str">
            <v/>
          </cell>
          <cell r="I757" t="str">
            <v/>
          </cell>
          <cell r="K757" t="str">
            <v/>
          </cell>
          <cell r="N757" t="str">
            <v/>
          </cell>
          <cell r="P757" t="str">
            <v/>
          </cell>
        </row>
        <row r="758">
          <cell r="B758" t="str">
            <v/>
          </cell>
          <cell r="C758" t="str">
            <v/>
          </cell>
          <cell r="E758" t="str">
            <v/>
          </cell>
          <cell r="H758" t="str">
            <v/>
          </cell>
          <cell r="I758" t="str">
            <v/>
          </cell>
          <cell r="K758" t="str">
            <v/>
          </cell>
          <cell r="N758" t="str">
            <v/>
          </cell>
          <cell r="P758" t="str">
            <v/>
          </cell>
        </row>
        <row r="759">
          <cell r="B759" t="str">
            <v/>
          </cell>
          <cell r="C759" t="str">
            <v/>
          </cell>
          <cell r="E759" t="str">
            <v/>
          </cell>
          <cell r="H759" t="str">
            <v/>
          </cell>
          <cell r="I759" t="str">
            <v/>
          </cell>
          <cell r="K759" t="str">
            <v/>
          </cell>
          <cell r="N759" t="str">
            <v/>
          </cell>
          <cell r="P759" t="str">
            <v/>
          </cell>
        </row>
        <row r="760">
          <cell r="B760" t="str">
            <v/>
          </cell>
          <cell r="C760" t="str">
            <v/>
          </cell>
          <cell r="E760" t="str">
            <v/>
          </cell>
          <cell r="H760" t="str">
            <v/>
          </cell>
          <cell r="I760" t="str">
            <v/>
          </cell>
          <cell r="K760" t="str">
            <v/>
          </cell>
          <cell r="N760" t="str">
            <v/>
          </cell>
          <cell r="P760" t="str">
            <v/>
          </cell>
        </row>
        <row r="761">
          <cell r="B761" t="str">
            <v/>
          </cell>
          <cell r="C761" t="str">
            <v/>
          </cell>
          <cell r="E761" t="str">
            <v/>
          </cell>
          <cell r="H761" t="str">
            <v/>
          </cell>
          <cell r="I761" t="str">
            <v/>
          </cell>
          <cell r="K761" t="str">
            <v/>
          </cell>
          <cell r="N761" t="str">
            <v/>
          </cell>
          <cell r="P761" t="str">
            <v/>
          </cell>
        </row>
        <row r="762">
          <cell r="B762" t="str">
            <v/>
          </cell>
          <cell r="C762" t="str">
            <v/>
          </cell>
          <cell r="E762" t="str">
            <v/>
          </cell>
          <cell r="H762" t="str">
            <v/>
          </cell>
          <cell r="I762" t="str">
            <v/>
          </cell>
          <cell r="K762" t="str">
            <v/>
          </cell>
          <cell r="N762" t="str">
            <v/>
          </cell>
          <cell r="P762" t="str">
            <v/>
          </cell>
        </row>
        <row r="763">
          <cell r="B763" t="str">
            <v/>
          </cell>
          <cell r="C763" t="str">
            <v/>
          </cell>
          <cell r="E763" t="str">
            <v/>
          </cell>
          <cell r="H763" t="str">
            <v/>
          </cell>
          <cell r="I763" t="str">
            <v/>
          </cell>
          <cell r="K763" t="str">
            <v/>
          </cell>
          <cell r="N763" t="str">
            <v/>
          </cell>
          <cell r="P763" t="str">
            <v/>
          </cell>
        </row>
        <row r="764">
          <cell r="B764" t="str">
            <v/>
          </cell>
          <cell r="C764" t="str">
            <v/>
          </cell>
          <cell r="E764" t="str">
            <v/>
          </cell>
          <cell r="H764" t="str">
            <v/>
          </cell>
          <cell r="I764" t="str">
            <v/>
          </cell>
          <cell r="K764" t="str">
            <v/>
          </cell>
          <cell r="N764" t="str">
            <v/>
          </cell>
          <cell r="P764" t="str">
            <v/>
          </cell>
        </row>
        <row r="765">
          <cell r="B765" t="str">
            <v/>
          </cell>
          <cell r="C765" t="str">
            <v/>
          </cell>
          <cell r="E765" t="str">
            <v/>
          </cell>
          <cell r="H765" t="str">
            <v/>
          </cell>
          <cell r="I765" t="str">
            <v/>
          </cell>
          <cell r="K765" t="str">
            <v/>
          </cell>
          <cell r="N765" t="str">
            <v/>
          </cell>
          <cell r="P765" t="str">
            <v/>
          </cell>
        </row>
        <row r="766">
          <cell r="B766" t="str">
            <v/>
          </cell>
          <cell r="C766" t="str">
            <v/>
          </cell>
          <cell r="E766" t="str">
            <v/>
          </cell>
          <cell r="H766" t="str">
            <v/>
          </cell>
          <cell r="I766" t="str">
            <v/>
          </cell>
          <cell r="K766" t="str">
            <v/>
          </cell>
          <cell r="N766" t="str">
            <v/>
          </cell>
          <cell r="P766" t="str">
            <v/>
          </cell>
        </row>
        <row r="767">
          <cell r="B767" t="str">
            <v/>
          </cell>
          <cell r="C767" t="str">
            <v/>
          </cell>
          <cell r="E767" t="str">
            <v/>
          </cell>
          <cell r="H767" t="str">
            <v/>
          </cell>
          <cell r="I767" t="str">
            <v/>
          </cell>
          <cell r="K767" t="str">
            <v/>
          </cell>
          <cell r="N767" t="str">
            <v/>
          </cell>
          <cell r="P767" t="str">
            <v/>
          </cell>
        </row>
        <row r="768">
          <cell r="B768" t="str">
            <v/>
          </cell>
          <cell r="C768" t="str">
            <v/>
          </cell>
          <cell r="E768" t="str">
            <v/>
          </cell>
          <cell r="H768" t="str">
            <v/>
          </cell>
          <cell r="I768" t="str">
            <v/>
          </cell>
          <cell r="K768" t="str">
            <v/>
          </cell>
          <cell r="N768" t="str">
            <v/>
          </cell>
          <cell r="P768" t="str">
            <v/>
          </cell>
        </row>
        <row r="769">
          <cell r="B769" t="str">
            <v/>
          </cell>
          <cell r="C769" t="str">
            <v/>
          </cell>
          <cell r="E769" t="str">
            <v/>
          </cell>
          <cell r="H769" t="str">
            <v/>
          </cell>
          <cell r="I769" t="str">
            <v/>
          </cell>
          <cell r="K769" t="str">
            <v/>
          </cell>
          <cell r="N769" t="str">
            <v/>
          </cell>
          <cell r="P769" t="str">
            <v/>
          </cell>
        </row>
        <row r="770">
          <cell r="B770" t="str">
            <v/>
          </cell>
          <cell r="C770" t="str">
            <v/>
          </cell>
          <cell r="E770" t="str">
            <v/>
          </cell>
          <cell r="H770" t="str">
            <v/>
          </cell>
          <cell r="I770" t="str">
            <v/>
          </cell>
          <cell r="K770" t="str">
            <v/>
          </cell>
          <cell r="N770" t="str">
            <v/>
          </cell>
          <cell r="P770" t="str">
            <v/>
          </cell>
        </row>
        <row r="771">
          <cell r="B771" t="str">
            <v/>
          </cell>
          <cell r="C771" t="str">
            <v/>
          </cell>
          <cell r="E771" t="str">
            <v/>
          </cell>
          <cell r="H771" t="str">
            <v/>
          </cell>
          <cell r="I771" t="str">
            <v/>
          </cell>
          <cell r="K771" t="str">
            <v/>
          </cell>
          <cell r="N771" t="str">
            <v/>
          </cell>
          <cell r="P771" t="str">
            <v/>
          </cell>
        </row>
        <row r="772">
          <cell r="B772" t="str">
            <v/>
          </cell>
          <cell r="C772" t="str">
            <v/>
          </cell>
          <cell r="E772" t="str">
            <v/>
          </cell>
          <cell r="H772" t="str">
            <v/>
          </cell>
          <cell r="I772" t="str">
            <v/>
          </cell>
          <cell r="K772" t="str">
            <v/>
          </cell>
          <cell r="N772" t="str">
            <v/>
          </cell>
          <cell r="P772" t="str">
            <v/>
          </cell>
        </row>
        <row r="773">
          <cell r="B773" t="str">
            <v/>
          </cell>
          <cell r="C773" t="str">
            <v/>
          </cell>
          <cell r="E773" t="str">
            <v/>
          </cell>
          <cell r="H773" t="str">
            <v/>
          </cell>
          <cell r="I773" t="str">
            <v/>
          </cell>
          <cell r="K773" t="str">
            <v/>
          </cell>
          <cell r="N773" t="str">
            <v/>
          </cell>
          <cell r="P773" t="str">
            <v/>
          </cell>
        </row>
        <row r="774">
          <cell r="B774" t="str">
            <v/>
          </cell>
          <cell r="C774" t="str">
            <v/>
          </cell>
          <cell r="E774" t="str">
            <v/>
          </cell>
          <cell r="H774" t="str">
            <v/>
          </cell>
          <cell r="I774" t="str">
            <v/>
          </cell>
          <cell r="K774" t="str">
            <v/>
          </cell>
          <cell r="N774" t="str">
            <v/>
          </cell>
          <cell r="P774" t="str">
            <v/>
          </cell>
        </row>
        <row r="775">
          <cell r="B775" t="str">
            <v/>
          </cell>
          <cell r="C775" t="str">
            <v/>
          </cell>
          <cell r="E775" t="str">
            <v/>
          </cell>
          <cell r="H775" t="str">
            <v/>
          </cell>
          <cell r="I775" t="str">
            <v/>
          </cell>
          <cell r="K775" t="str">
            <v/>
          </cell>
          <cell r="N775" t="str">
            <v/>
          </cell>
          <cell r="P775" t="str">
            <v/>
          </cell>
        </row>
        <row r="776">
          <cell r="B776" t="str">
            <v/>
          </cell>
          <cell r="C776" t="str">
            <v/>
          </cell>
          <cell r="E776" t="str">
            <v/>
          </cell>
          <cell r="H776" t="str">
            <v/>
          </cell>
          <cell r="I776" t="str">
            <v/>
          </cell>
          <cell r="K776" t="str">
            <v/>
          </cell>
          <cell r="N776" t="str">
            <v/>
          </cell>
          <cell r="P776" t="str">
            <v/>
          </cell>
        </row>
        <row r="777">
          <cell r="B777" t="str">
            <v/>
          </cell>
          <cell r="C777" t="str">
            <v/>
          </cell>
          <cell r="E777" t="str">
            <v/>
          </cell>
          <cell r="H777" t="str">
            <v/>
          </cell>
          <cell r="I777" t="str">
            <v/>
          </cell>
          <cell r="K777" t="str">
            <v/>
          </cell>
          <cell r="N777" t="str">
            <v/>
          </cell>
          <cell r="P777" t="str">
            <v/>
          </cell>
        </row>
        <row r="778">
          <cell r="B778" t="str">
            <v/>
          </cell>
          <cell r="C778" t="str">
            <v/>
          </cell>
          <cell r="E778" t="str">
            <v/>
          </cell>
          <cell r="H778" t="str">
            <v/>
          </cell>
          <cell r="I778" t="str">
            <v/>
          </cell>
          <cell r="K778" t="str">
            <v/>
          </cell>
          <cell r="N778" t="str">
            <v/>
          </cell>
          <cell r="P778" t="str">
            <v/>
          </cell>
        </row>
        <row r="779">
          <cell r="B779" t="str">
            <v/>
          </cell>
          <cell r="C779" t="str">
            <v/>
          </cell>
          <cell r="E779" t="str">
            <v/>
          </cell>
          <cell r="H779" t="str">
            <v/>
          </cell>
          <cell r="I779" t="str">
            <v/>
          </cell>
          <cell r="K779" t="str">
            <v/>
          </cell>
          <cell r="N779" t="str">
            <v/>
          </cell>
          <cell r="P779" t="str">
            <v/>
          </cell>
        </row>
        <row r="780">
          <cell r="B780" t="str">
            <v/>
          </cell>
          <cell r="C780" t="str">
            <v/>
          </cell>
          <cell r="E780" t="str">
            <v/>
          </cell>
          <cell r="H780" t="str">
            <v/>
          </cell>
          <cell r="I780" t="str">
            <v/>
          </cell>
          <cell r="K780" t="str">
            <v/>
          </cell>
          <cell r="N780" t="str">
            <v/>
          </cell>
          <cell r="P780" t="str">
            <v/>
          </cell>
        </row>
        <row r="781">
          <cell r="B781" t="str">
            <v/>
          </cell>
          <cell r="C781" t="str">
            <v/>
          </cell>
          <cell r="E781" t="str">
            <v/>
          </cell>
          <cell r="H781" t="str">
            <v/>
          </cell>
          <cell r="I781" t="str">
            <v/>
          </cell>
          <cell r="K781" t="str">
            <v/>
          </cell>
          <cell r="N781" t="str">
            <v/>
          </cell>
          <cell r="P781" t="str">
            <v/>
          </cell>
        </row>
        <row r="782">
          <cell r="B782" t="str">
            <v/>
          </cell>
          <cell r="C782" t="str">
            <v/>
          </cell>
          <cell r="E782" t="str">
            <v/>
          </cell>
          <cell r="H782" t="str">
            <v/>
          </cell>
          <cell r="I782" t="str">
            <v/>
          </cell>
          <cell r="K782" t="str">
            <v/>
          </cell>
          <cell r="N782" t="str">
            <v/>
          </cell>
          <cell r="P782" t="str">
            <v/>
          </cell>
        </row>
        <row r="783">
          <cell r="B783" t="str">
            <v/>
          </cell>
          <cell r="C783" t="str">
            <v/>
          </cell>
          <cell r="E783" t="str">
            <v/>
          </cell>
          <cell r="H783" t="str">
            <v/>
          </cell>
          <cell r="I783" t="str">
            <v/>
          </cell>
          <cell r="K783" t="str">
            <v/>
          </cell>
          <cell r="N783" t="str">
            <v/>
          </cell>
          <cell r="P783" t="str">
            <v/>
          </cell>
        </row>
        <row r="784">
          <cell r="B784" t="str">
            <v/>
          </cell>
          <cell r="C784" t="str">
            <v/>
          </cell>
          <cell r="E784" t="str">
            <v/>
          </cell>
          <cell r="H784" t="str">
            <v/>
          </cell>
          <cell r="I784" t="str">
            <v/>
          </cell>
          <cell r="K784" t="str">
            <v/>
          </cell>
          <cell r="N784" t="str">
            <v/>
          </cell>
          <cell r="P784" t="str">
            <v/>
          </cell>
        </row>
        <row r="785">
          <cell r="B785" t="str">
            <v/>
          </cell>
          <cell r="C785" t="str">
            <v/>
          </cell>
          <cell r="E785" t="str">
            <v/>
          </cell>
          <cell r="H785" t="str">
            <v/>
          </cell>
          <cell r="I785" t="str">
            <v/>
          </cell>
          <cell r="K785" t="str">
            <v/>
          </cell>
          <cell r="N785" t="str">
            <v/>
          </cell>
          <cell r="P785" t="str">
            <v/>
          </cell>
        </row>
        <row r="786">
          <cell r="B786" t="str">
            <v/>
          </cell>
          <cell r="C786" t="str">
            <v/>
          </cell>
          <cell r="E786" t="str">
            <v/>
          </cell>
          <cell r="H786" t="str">
            <v/>
          </cell>
          <cell r="I786" t="str">
            <v/>
          </cell>
          <cell r="K786" t="str">
            <v/>
          </cell>
          <cell r="N786" t="str">
            <v/>
          </cell>
          <cell r="P786" t="str">
            <v/>
          </cell>
        </row>
        <row r="787">
          <cell r="B787" t="str">
            <v/>
          </cell>
          <cell r="C787" t="str">
            <v/>
          </cell>
          <cell r="E787" t="str">
            <v/>
          </cell>
          <cell r="H787" t="str">
            <v/>
          </cell>
          <cell r="I787" t="str">
            <v/>
          </cell>
          <cell r="K787" t="str">
            <v/>
          </cell>
          <cell r="N787" t="str">
            <v/>
          </cell>
          <cell r="P787" t="str">
            <v/>
          </cell>
        </row>
        <row r="788">
          <cell r="B788" t="str">
            <v/>
          </cell>
          <cell r="C788" t="str">
            <v/>
          </cell>
          <cell r="E788" t="str">
            <v/>
          </cell>
          <cell r="H788" t="str">
            <v/>
          </cell>
          <cell r="I788" t="str">
            <v/>
          </cell>
          <cell r="K788" t="str">
            <v/>
          </cell>
          <cell r="N788" t="str">
            <v/>
          </cell>
          <cell r="P788" t="str">
            <v/>
          </cell>
        </row>
        <row r="789">
          <cell r="B789" t="str">
            <v/>
          </cell>
          <cell r="C789" t="str">
            <v/>
          </cell>
          <cell r="E789" t="str">
            <v/>
          </cell>
          <cell r="H789" t="str">
            <v/>
          </cell>
          <cell r="I789" t="str">
            <v/>
          </cell>
          <cell r="K789" t="str">
            <v/>
          </cell>
          <cell r="N789" t="str">
            <v/>
          </cell>
          <cell r="P789" t="str">
            <v/>
          </cell>
        </row>
        <row r="790">
          <cell r="B790" t="str">
            <v/>
          </cell>
          <cell r="C790" t="str">
            <v/>
          </cell>
          <cell r="E790" t="str">
            <v/>
          </cell>
          <cell r="H790" t="str">
            <v/>
          </cell>
          <cell r="I790" t="str">
            <v/>
          </cell>
          <cell r="K790" t="str">
            <v/>
          </cell>
          <cell r="N790" t="str">
            <v/>
          </cell>
          <cell r="P790" t="str">
            <v/>
          </cell>
        </row>
        <row r="791">
          <cell r="B791" t="str">
            <v/>
          </cell>
          <cell r="C791" t="str">
            <v/>
          </cell>
          <cell r="E791" t="str">
            <v/>
          </cell>
          <cell r="H791" t="str">
            <v/>
          </cell>
          <cell r="I791" t="str">
            <v/>
          </cell>
          <cell r="K791" t="str">
            <v/>
          </cell>
          <cell r="N791" t="str">
            <v/>
          </cell>
          <cell r="P791" t="str">
            <v/>
          </cell>
        </row>
        <row r="792">
          <cell r="B792" t="str">
            <v/>
          </cell>
          <cell r="C792" t="str">
            <v/>
          </cell>
          <cell r="E792" t="str">
            <v/>
          </cell>
          <cell r="H792" t="str">
            <v/>
          </cell>
          <cell r="I792" t="str">
            <v/>
          </cell>
          <cell r="K792" t="str">
            <v/>
          </cell>
          <cell r="N792" t="str">
            <v/>
          </cell>
          <cell r="P792" t="str">
            <v/>
          </cell>
        </row>
        <row r="793">
          <cell r="B793" t="str">
            <v/>
          </cell>
          <cell r="C793" t="str">
            <v/>
          </cell>
          <cell r="E793" t="str">
            <v/>
          </cell>
          <cell r="H793" t="str">
            <v/>
          </cell>
          <cell r="I793" t="str">
            <v/>
          </cell>
          <cell r="K793" t="str">
            <v/>
          </cell>
          <cell r="N793" t="str">
            <v/>
          </cell>
          <cell r="P793" t="str">
            <v/>
          </cell>
        </row>
        <row r="794">
          <cell r="B794" t="str">
            <v/>
          </cell>
          <cell r="C794" t="str">
            <v/>
          </cell>
          <cell r="E794" t="str">
            <v/>
          </cell>
          <cell r="H794" t="str">
            <v/>
          </cell>
          <cell r="I794" t="str">
            <v/>
          </cell>
          <cell r="K794" t="str">
            <v/>
          </cell>
          <cell r="N794" t="str">
            <v/>
          </cell>
          <cell r="P794" t="str">
            <v/>
          </cell>
        </row>
        <row r="795">
          <cell r="B795" t="str">
            <v/>
          </cell>
          <cell r="C795" t="str">
            <v/>
          </cell>
          <cell r="E795" t="str">
            <v/>
          </cell>
          <cell r="H795" t="str">
            <v/>
          </cell>
          <cell r="I795" t="str">
            <v/>
          </cell>
          <cell r="K795" t="str">
            <v/>
          </cell>
          <cell r="N795" t="str">
            <v/>
          </cell>
          <cell r="P795" t="str">
            <v/>
          </cell>
        </row>
        <row r="796">
          <cell r="B796" t="str">
            <v/>
          </cell>
          <cell r="C796" t="str">
            <v/>
          </cell>
          <cell r="E796" t="str">
            <v/>
          </cell>
          <cell r="H796" t="str">
            <v/>
          </cell>
          <cell r="I796" t="str">
            <v/>
          </cell>
          <cell r="K796" t="str">
            <v/>
          </cell>
          <cell r="N796" t="str">
            <v/>
          </cell>
          <cell r="P796" t="str">
            <v/>
          </cell>
        </row>
        <row r="797">
          <cell r="B797" t="str">
            <v/>
          </cell>
          <cell r="C797" t="str">
            <v/>
          </cell>
          <cell r="E797" t="str">
            <v/>
          </cell>
          <cell r="H797" t="str">
            <v/>
          </cell>
          <cell r="I797" t="str">
            <v/>
          </cell>
          <cell r="K797" t="str">
            <v/>
          </cell>
          <cell r="N797" t="str">
            <v/>
          </cell>
          <cell r="P797" t="str">
            <v/>
          </cell>
        </row>
        <row r="798">
          <cell r="B798" t="str">
            <v/>
          </cell>
          <cell r="C798" t="str">
            <v/>
          </cell>
          <cell r="E798" t="str">
            <v/>
          </cell>
          <cell r="H798" t="str">
            <v/>
          </cell>
          <cell r="I798" t="str">
            <v/>
          </cell>
          <cell r="K798" t="str">
            <v/>
          </cell>
          <cell r="N798" t="str">
            <v/>
          </cell>
          <cell r="P798" t="str">
            <v/>
          </cell>
        </row>
        <row r="799">
          <cell r="B799" t="str">
            <v/>
          </cell>
          <cell r="C799" t="str">
            <v/>
          </cell>
          <cell r="E799" t="str">
            <v/>
          </cell>
          <cell r="H799" t="str">
            <v/>
          </cell>
          <cell r="I799" t="str">
            <v/>
          </cell>
          <cell r="K799" t="str">
            <v/>
          </cell>
          <cell r="N799" t="str">
            <v/>
          </cell>
          <cell r="P799" t="str">
            <v/>
          </cell>
        </row>
        <row r="800">
          <cell r="B800" t="str">
            <v/>
          </cell>
          <cell r="C800" t="str">
            <v/>
          </cell>
          <cell r="E800" t="str">
            <v/>
          </cell>
          <cell r="H800" t="str">
            <v/>
          </cell>
          <cell r="I800" t="str">
            <v/>
          </cell>
          <cell r="K800" t="str">
            <v/>
          </cell>
          <cell r="N800" t="str">
            <v/>
          </cell>
          <cell r="P800" t="str">
            <v/>
          </cell>
        </row>
        <row r="801">
          <cell r="B801" t="str">
            <v/>
          </cell>
          <cell r="C801" t="str">
            <v/>
          </cell>
          <cell r="E801" t="str">
            <v/>
          </cell>
          <cell r="H801" t="str">
            <v/>
          </cell>
          <cell r="I801" t="str">
            <v/>
          </cell>
          <cell r="K801" t="str">
            <v/>
          </cell>
          <cell r="N801" t="str">
            <v/>
          </cell>
          <cell r="P801" t="str">
            <v/>
          </cell>
        </row>
        <row r="802">
          <cell r="B802" t="str">
            <v/>
          </cell>
          <cell r="C802" t="str">
            <v/>
          </cell>
          <cell r="E802" t="str">
            <v/>
          </cell>
          <cell r="H802" t="str">
            <v/>
          </cell>
          <cell r="I802" t="str">
            <v/>
          </cell>
          <cell r="K802" t="str">
            <v/>
          </cell>
          <cell r="N802" t="str">
            <v/>
          </cell>
          <cell r="P802" t="str">
            <v/>
          </cell>
        </row>
        <row r="803">
          <cell r="B803" t="str">
            <v/>
          </cell>
          <cell r="C803" t="str">
            <v/>
          </cell>
          <cell r="E803" t="str">
            <v/>
          </cell>
          <cell r="H803" t="str">
            <v/>
          </cell>
          <cell r="I803" t="str">
            <v/>
          </cell>
          <cell r="K803" t="str">
            <v/>
          </cell>
          <cell r="N803" t="str">
            <v/>
          </cell>
          <cell r="P803" t="str">
            <v/>
          </cell>
        </row>
        <row r="804">
          <cell r="B804" t="str">
            <v/>
          </cell>
          <cell r="C804" t="str">
            <v/>
          </cell>
          <cell r="E804" t="str">
            <v/>
          </cell>
          <cell r="H804" t="str">
            <v/>
          </cell>
          <cell r="I804" t="str">
            <v/>
          </cell>
          <cell r="K804" t="str">
            <v/>
          </cell>
          <cell r="N804" t="str">
            <v/>
          </cell>
          <cell r="P804" t="str">
            <v/>
          </cell>
        </row>
        <row r="805">
          <cell r="B805" t="str">
            <v/>
          </cell>
          <cell r="C805" t="str">
            <v/>
          </cell>
          <cell r="E805" t="str">
            <v/>
          </cell>
          <cell r="H805" t="str">
            <v/>
          </cell>
          <cell r="I805" t="str">
            <v/>
          </cell>
          <cell r="K805" t="str">
            <v/>
          </cell>
          <cell r="N805" t="str">
            <v/>
          </cell>
          <cell r="P805" t="str">
            <v/>
          </cell>
        </row>
        <row r="806">
          <cell r="B806" t="str">
            <v/>
          </cell>
          <cell r="C806" t="str">
            <v/>
          </cell>
          <cell r="E806" t="str">
            <v/>
          </cell>
          <cell r="H806" t="str">
            <v/>
          </cell>
          <cell r="I806" t="str">
            <v/>
          </cell>
          <cell r="K806" t="str">
            <v/>
          </cell>
          <cell r="N806" t="str">
            <v/>
          </cell>
          <cell r="P806" t="str">
            <v/>
          </cell>
        </row>
        <row r="807">
          <cell r="B807" t="str">
            <v/>
          </cell>
          <cell r="C807" t="str">
            <v/>
          </cell>
          <cell r="E807" t="str">
            <v/>
          </cell>
          <cell r="H807" t="str">
            <v/>
          </cell>
          <cell r="I807" t="str">
            <v/>
          </cell>
          <cell r="K807" t="str">
            <v/>
          </cell>
          <cell r="N807" t="str">
            <v/>
          </cell>
          <cell r="P807" t="str">
            <v/>
          </cell>
        </row>
        <row r="808">
          <cell r="B808" t="str">
            <v/>
          </cell>
          <cell r="C808" t="str">
            <v/>
          </cell>
          <cell r="E808" t="str">
            <v/>
          </cell>
          <cell r="H808" t="str">
            <v/>
          </cell>
          <cell r="I808" t="str">
            <v/>
          </cell>
          <cell r="K808" t="str">
            <v/>
          </cell>
          <cell r="N808" t="str">
            <v/>
          </cell>
          <cell r="P808" t="str">
            <v/>
          </cell>
        </row>
        <row r="809">
          <cell r="B809" t="str">
            <v/>
          </cell>
          <cell r="C809" t="str">
            <v/>
          </cell>
          <cell r="E809" t="str">
            <v/>
          </cell>
          <cell r="H809" t="str">
            <v/>
          </cell>
          <cell r="I809" t="str">
            <v/>
          </cell>
          <cell r="K809" t="str">
            <v/>
          </cell>
          <cell r="N809" t="str">
            <v/>
          </cell>
          <cell r="P809" t="str">
            <v/>
          </cell>
        </row>
        <row r="810">
          <cell r="B810" t="str">
            <v/>
          </cell>
          <cell r="C810" t="str">
            <v/>
          </cell>
          <cell r="E810" t="str">
            <v/>
          </cell>
          <cell r="H810" t="str">
            <v/>
          </cell>
          <cell r="I810" t="str">
            <v/>
          </cell>
          <cell r="K810" t="str">
            <v/>
          </cell>
          <cell r="N810" t="str">
            <v/>
          </cell>
          <cell r="P810" t="str">
            <v/>
          </cell>
        </row>
        <row r="811">
          <cell r="B811" t="str">
            <v/>
          </cell>
          <cell r="C811" t="str">
            <v/>
          </cell>
          <cell r="E811" t="str">
            <v/>
          </cell>
          <cell r="H811" t="str">
            <v/>
          </cell>
          <cell r="I811" t="str">
            <v/>
          </cell>
          <cell r="K811" t="str">
            <v/>
          </cell>
          <cell r="N811" t="str">
            <v/>
          </cell>
          <cell r="P811" t="str">
            <v/>
          </cell>
        </row>
        <row r="812">
          <cell r="B812" t="str">
            <v/>
          </cell>
          <cell r="C812" t="str">
            <v/>
          </cell>
          <cell r="E812" t="str">
            <v/>
          </cell>
          <cell r="H812" t="str">
            <v/>
          </cell>
          <cell r="I812" t="str">
            <v/>
          </cell>
          <cell r="K812" t="str">
            <v/>
          </cell>
          <cell r="N812" t="str">
            <v/>
          </cell>
          <cell r="P812" t="str">
            <v/>
          </cell>
        </row>
        <row r="813">
          <cell r="B813" t="str">
            <v/>
          </cell>
          <cell r="C813" t="str">
            <v/>
          </cell>
          <cell r="E813" t="str">
            <v/>
          </cell>
          <cell r="H813" t="str">
            <v/>
          </cell>
          <cell r="I813" t="str">
            <v/>
          </cell>
          <cell r="K813" t="str">
            <v/>
          </cell>
          <cell r="N813" t="str">
            <v/>
          </cell>
          <cell r="P813" t="str">
            <v/>
          </cell>
        </row>
        <row r="814">
          <cell r="B814" t="str">
            <v/>
          </cell>
          <cell r="C814" t="str">
            <v/>
          </cell>
          <cell r="E814" t="str">
            <v/>
          </cell>
          <cell r="H814" t="str">
            <v/>
          </cell>
          <cell r="I814" t="str">
            <v/>
          </cell>
          <cell r="K814" t="str">
            <v/>
          </cell>
          <cell r="N814" t="str">
            <v/>
          </cell>
          <cell r="P814" t="str">
            <v/>
          </cell>
        </row>
        <row r="815">
          <cell r="B815" t="str">
            <v/>
          </cell>
          <cell r="C815" t="str">
            <v/>
          </cell>
          <cell r="E815" t="str">
            <v/>
          </cell>
          <cell r="H815" t="str">
            <v/>
          </cell>
          <cell r="I815" t="str">
            <v/>
          </cell>
          <cell r="K815" t="str">
            <v/>
          </cell>
          <cell r="N815" t="str">
            <v/>
          </cell>
          <cell r="P815" t="str">
            <v/>
          </cell>
        </row>
        <row r="816">
          <cell r="B816" t="str">
            <v/>
          </cell>
          <cell r="C816" t="str">
            <v/>
          </cell>
          <cell r="E816" t="str">
            <v/>
          </cell>
          <cell r="H816" t="str">
            <v/>
          </cell>
          <cell r="I816" t="str">
            <v/>
          </cell>
          <cell r="K816" t="str">
            <v/>
          </cell>
          <cell r="N816" t="str">
            <v/>
          </cell>
          <cell r="P816" t="str">
            <v/>
          </cell>
        </row>
        <row r="817">
          <cell r="B817" t="str">
            <v/>
          </cell>
          <cell r="C817" t="str">
            <v/>
          </cell>
          <cell r="E817" t="str">
            <v/>
          </cell>
          <cell r="H817" t="str">
            <v/>
          </cell>
          <cell r="I817" t="str">
            <v/>
          </cell>
          <cell r="K817" t="str">
            <v/>
          </cell>
          <cell r="N817" t="str">
            <v/>
          </cell>
          <cell r="P817" t="str">
            <v/>
          </cell>
        </row>
        <row r="818">
          <cell r="B818" t="str">
            <v/>
          </cell>
          <cell r="C818" t="str">
            <v/>
          </cell>
          <cell r="E818" t="str">
            <v/>
          </cell>
          <cell r="H818" t="str">
            <v/>
          </cell>
          <cell r="I818" t="str">
            <v/>
          </cell>
          <cell r="K818" t="str">
            <v/>
          </cell>
          <cell r="N818" t="str">
            <v/>
          </cell>
          <cell r="P818" t="str">
            <v/>
          </cell>
        </row>
        <row r="819">
          <cell r="B819" t="str">
            <v/>
          </cell>
          <cell r="C819" t="str">
            <v/>
          </cell>
          <cell r="E819" t="str">
            <v/>
          </cell>
          <cell r="H819" t="str">
            <v/>
          </cell>
          <cell r="I819" t="str">
            <v/>
          </cell>
          <cell r="K819" t="str">
            <v/>
          </cell>
          <cell r="N819" t="str">
            <v/>
          </cell>
          <cell r="P819" t="str">
            <v/>
          </cell>
        </row>
        <row r="820">
          <cell r="B820" t="str">
            <v/>
          </cell>
          <cell r="C820" t="str">
            <v/>
          </cell>
          <cell r="E820" t="str">
            <v/>
          </cell>
          <cell r="H820" t="str">
            <v/>
          </cell>
          <cell r="I820" t="str">
            <v/>
          </cell>
          <cell r="K820" t="str">
            <v/>
          </cell>
          <cell r="N820" t="str">
            <v/>
          </cell>
          <cell r="P820" t="str">
            <v/>
          </cell>
        </row>
        <row r="821">
          <cell r="B821" t="str">
            <v/>
          </cell>
          <cell r="C821" t="str">
            <v/>
          </cell>
          <cell r="E821" t="str">
            <v/>
          </cell>
          <cell r="H821" t="str">
            <v/>
          </cell>
          <cell r="I821" t="str">
            <v/>
          </cell>
          <cell r="K821" t="str">
            <v/>
          </cell>
          <cell r="N821" t="str">
            <v/>
          </cell>
          <cell r="P821" t="str">
            <v/>
          </cell>
        </row>
        <row r="822">
          <cell r="B822" t="str">
            <v/>
          </cell>
          <cell r="C822" t="str">
            <v/>
          </cell>
          <cell r="E822" t="str">
            <v/>
          </cell>
          <cell r="H822" t="str">
            <v/>
          </cell>
          <cell r="I822" t="str">
            <v/>
          </cell>
          <cell r="K822" t="str">
            <v/>
          </cell>
          <cell r="N822" t="str">
            <v/>
          </cell>
          <cell r="P822" t="str">
            <v/>
          </cell>
        </row>
        <row r="823">
          <cell r="B823" t="str">
            <v/>
          </cell>
          <cell r="C823" t="str">
            <v/>
          </cell>
          <cell r="E823" t="str">
            <v/>
          </cell>
          <cell r="H823" t="str">
            <v/>
          </cell>
          <cell r="I823" t="str">
            <v/>
          </cell>
          <cell r="K823" t="str">
            <v/>
          </cell>
          <cell r="N823" t="str">
            <v/>
          </cell>
          <cell r="P823" t="str">
            <v/>
          </cell>
        </row>
        <row r="824">
          <cell r="B824" t="str">
            <v/>
          </cell>
          <cell r="C824" t="str">
            <v/>
          </cell>
          <cell r="E824" t="str">
            <v/>
          </cell>
          <cell r="H824" t="str">
            <v/>
          </cell>
          <cell r="I824" t="str">
            <v/>
          </cell>
          <cell r="K824" t="str">
            <v/>
          </cell>
          <cell r="N824" t="str">
            <v/>
          </cell>
          <cell r="P824" t="str">
            <v/>
          </cell>
        </row>
        <row r="825">
          <cell r="B825" t="str">
            <v/>
          </cell>
          <cell r="C825" t="str">
            <v/>
          </cell>
          <cell r="E825" t="str">
            <v/>
          </cell>
          <cell r="H825" t="str">
            <v/>
          </cell>
          <cell r="I825" t="str">
            <v/>
          </cell>
          <cell r="K825" t="str">
            <v/>
          </cell>
          <cell r="N825" t="str">
            <v/>
          </cell>
          <cell r="P825" t="str">
            <v/>
          </cell>
        </row>
        <row r="826">
          <cell r="B826" t="str">
            <v/>
          </cell>
          <cell r="C826" t="str">
            <v/>
          </cell>
          <cell r="E826" t="str">
            <v/>
          </cell>
          <cell r="H826" t="str">
            <v/>
          </cell>
          <cell r="I826" t="str">
            <v/>
          </cell>
          <cell r="K826" t="str">
            <v/>
          </cell>
          <cell r="N826" t="str">
            <v/>
          </cell>
          <cell r="P826" t="str">
            <v/>
          </cell>
        </row>
        <row r="827">
          <cell r="B827" t="str">
            <v/>
          </cell>
          <cell r="C827" t="str">
            <v/>
          </cell>
          <cell r="E827" t="str">
            <v/>
          </cell>
          <cell r="H827" t="str">
            <v/>
          </cell>
          <cell r="I827" t="str">
            <v/>
          </cell>
          <cell r="K827" t="str">
            <v/>
          </cell>
          <cell r="N827" t="str">
            <v/>
          </cell>
          <cell r="P827" t="str">
            <v/>
          </cell>
        </row>
        <row r="828">
          <cell r="B828" t="str">
            <v/>
          </cell>
          <cell r="C828" t="str">
            <v/>
          </cell>
          <cell r="E828" t="str">
            <v/>
          </cell>
          <cell r="H828" t="str">
            <v/>
          </cell>
          <cell r="I828" t="str">
            <v/>
          </cell>
          <cell r="K828" t="str">
            <v/>
          </cell>
          <cell r="N828" t="str">
            <v/>
          </cell>
          <cell r="P828" t="str">
            <v/>
          </cell>
        </row>
        <row r="829">
          <cell r="B829" t="str">
            <v/>
          </cell>
          <cell r="C829" t="str">
            <v/>
          </cell>
          <cell r="E829" t="str">
            <v/>
          </cell>
          <cell r="H829" t="str">
            <v/>
          </cell>
          <cell r="I829" t="str">
            <v/>
          </cell>
          <cell r="K829" t="str">
            <v/>
          </cell>
          <cell r="N829" t="str">
            <v/>
          </cell>
          <cell r="P829" t="str">
            <v/>
          </cell>
        </row>
        <row r="830">
          <cell r="B830" t="str">
            <v/>
          </cell>
          <cell r="C830" t="str">
            <v/>
          </cell>
          <cell r="E830" t="str">
            <v/>
          </cell>
          <cell r="H830" t="str">
            <v/>
          </cell>
          <cell r="I830" t="str">
            <v/>
          </cell>
          <cell r="K830" t="str">
            <v/>
          </cell>
          <cell r="N830" t="str">
            <v/>
          </cell>
          <cell r="P830" t="str">
            <v/>
          </cell>
        </row>
        <row r="831">
          <cell r="B831" t="str">
            <v/>
          </cell>
          <cell r="C831" t="str">
            <v/>
          </cell>
          <cell r="E831" t="str">
            <v/>
          </cell>
          <cell r="H831" t="str">
            <v/>
          </cell>
          <cell r="I831" t="str">
            <v/>
          </cell>
          <cell r="K831" t="str">
            <v/>
          </cell>
          <cell r="N831" t="str">
            <v/>
          </cell>
          <cell r="P831" t="str">
            <v/>
          </cell>
        </row>
        <row r="832">
          <cell r="B832" t="str">
            <v/>
          </cell>
          <cell r="C832" t="str">
            <v/>
          </cell>
          <cell r="E832" t="str">
            <v/>
          </cell>
          <cell r="H832" t="str">
            <v/>
          </cell>
          <cell r="I832" t="str">
            <v/>
          </cell>
          <cell r="K832" t="str">
            <v/>
          </cell>
          <cell r="N832" t="str">
            <v/>
          </cell>
          <cell r="P832" t="str">
            <v/>
          </cell>
        </row>
        <row r="833">
          <cell r="B833" t="str">
            <v/>
          </cell>
          <cell r="C833" t="str">
            <v/>
          </cell>
          <cell r="E833" t="str">
            <v/>
          </cell>
          <cell r="H833" t="str">
            <v/>
          </cell>
          <cell r="I833" t="str">
            <v/>
          </cell>
          <cell r="K833" t="str">
            <v/>
          </cell>
          <cell r="N833" t="str">
            <v/>
          </cell>
          <cell r="P833" t="str">
            <v/>
          </cell>
        </row>
        <row r="834">
          <cell r="B834" t="str">
            <v/>
          </cell>
          <cell r="C834" t="str">
            <v/>
          </cell>
          <cell r="E834" t="str">
            <v/>
          </cell>
          <cell r="H834" t="str">
            <v/>
          </cell>
          <cell r="I834" t="str">
            <v/>
          </cell>
          <cell r="K834" t="str">
            <v/>
          </cell>
          <cell r="N834" t="str">
            <v/>
          </cell>
          <cell r="P834" t="str">
            <v/>
          </cell>
        </row>
        <row r="835">
          <cell r="B835" t="str">
            <v/>
          </cell>
          <cell r="C835" t="str">
            <v/>
          </cell>
          <cell r="E835" t="str">
            <v/>
          </cell>
          <cell r="H835" t="str">
            <v/>
          </cell>
          <cell r="I835" t="str">
            <v/>
          </cell>
          <cell r="K835" t="str">
            <v/>
          </cell>
          <cell r="N835" t="str">
            <v/>
          </cell>
          <cell r="P835" t="str">
            <v/>
          </cell>
        </row>
        <row r="836">
          <cell r="B836" t="str">
            <v/>
          </cell>
          <cell r="C836" t="str">
            <v/>
          </cell>
          <cell r="E836" t="str">
            <v/>
          </cell>
          <cell r="H836" t="str">
            <v/>
          </cell>
          <cell r="I836" t="str">
            <v/>
          </cell>
          <cell r="K836" t="str">
            <v/>
          </cell>
          <cell r="N836" t="str">
            <v/>
          </cell>
          <cell r="P836" t="str">
            <v/>
          </cell>
        </row>
        <row r="837">
          <cell r="B837" t="str">
            <v/>
          </cell>
          <cell r="C837" t="str">
            <v/>
          </cell>
          <cell r="E837" t="str">
            <v/>
          </cell>
          <cell r="H837" t="str">
            <v/>
          </cell>
          <cell r="I837" t="str">
            <v/>
          </cell>
          <cell r="K837" t="str">
            <v/>
          </cell>
          <cell r="N837" t="str">
            <v/>
          </cell>
          <cell r="P837" t="str">
            <v/>
          </cell>
        </row>
        <row r="838">
          <cell r="B838" t="str">
            <v/>
          </cell>
          <cell r="C838" t="str">
            <v/>
          </cell>
          <cell r="E838" t="str">
            <v/>
          </cell>
          <cell r="H838" t="str">
            <v/>
          </cell>
          <cell r="I838" t="str">
            <v/>
          </cell>
          <cell r="K838" t="str">
            <v/>
          </cell>
          <cell r="N838" t="str">
            <v/>
          </cell>
          <cell r="P838" t="str">
            <v/>
          </cell>
        </row>
        <row r="839">
          <cell r="B839" t="str">
            <v/>
          </cell>
          <cell r="C839" t="str">
            <v/>
          </cell>
          <cell r="E839" t="str">
            <v/>
          </cell>
          <cell r="H839" t="str">
            <v/>
          </cell>
          <cell r="I839" t="str">
            <v/>
          </cell>
          <cell r="K839" t="str">
            <v/>
          </cell>
          <cell r="N839" t="str">
            <v/>
          </cell>
          <cell r="P839" t="str">
            <v/>
          </cell>
        </row>
        <row r="840">
          <cell r="B840" t="str">
            <v/>
          </cell>
          <cell r="C840" t="str">
            <v/>
          </cell>
          <cell r="E840" t="str">
            <v/>
          </cell>
          <cell r="H840" t="str">
            <v/>
          </cell>
          <cell r="I840" t="str">
            <v/>
          </cell>
          <cell r="K840" t="str">
            <v/>
          </cell>
          <cell r="N840" t="str">
            <v/>
          </cell>
          <cell r="P840" t="str">
            <v/>
          </cell>
        </row>
        <row r="841">
          <cell r="B841" t="str">
            <v/>
          </cell>
          <cell r="C841" t="str">
            <v/>
          </cell>
          <cell r="E841" t="str">
            <v/>
          </cell>
          <cell r="H841" t="str">
            <v/>
          </cell>
          <cell r="I841" t="str">
            <v/>
          </cell>
          <cell r="K841" t="str">
            <v/>
          </cell>
          <cell r="N841" t="str">
            <v/>
          </cell>
          <cell r="P841" t="str">
            <v/>
          </cell>
        </row>
        <row r="842">
          <cell r="B842" t="str">
            <v/>
          </cell>
          <cell r="C842" t="str">
            <v/>
          </cell>
          <cell r="E842" t="str">
            <v/>
          </cell>
          <cell r="H842" t="str">
            <v/>
          </cell>
          <cell r="I842" t="str">
            <v/>
          </cell>
          <cell r="K842" t="str">
            <v/>
          </cell>
          <cell r="N842" t="str">
            <v/>
          </cell>
          <cell r="P842" t="str">
            <v/>
          </cell>
        </row>
        <row r="843">
          <cell r="B843" t="str">
            <v/>
          </cell>
          <cell r="C843" t="str">
            <v/>
          </cell>
          <cell r="E843" t="str">
            <v/>
          </cell>
          <cell r="H843" t="str">
            <v/>
          </cell>
          <cell r="I843" t="str">
            <v/>
          </cell>
          <cell r="K843" t="str">
            <v/>
          </cell>
          <cell r="N843" t="str">
            <v/>
          </cell>
          <cell r="P843" t="str">
            <v/>
          </cell>
        </row>
        <row r="844">
          <cell r="B844" t="str">
            <v/>
          </cell>
          <cell r="C844" t="str">
            <v/>
          </cell>
          <cell r="E844" t="str">
            <v/>
          </cell>
          <cell r="H844" t="str">
            <v/>
          </cell>
          <cell r="I844" t="str">
            <v/>
          </cell>
          <cell r="K844" t="str">
            <v/>
          </cell>
          <cell r="N844" t="str">
            <v/>
          </cell>
          <cell r="P844" t="str">
            <v/>
          </cell>
        </row>
        <row r="845">
          <cell r="B845" t="str">
            <v/>
          </cell>
          <cell r="C845" t="str">
            <v/>
          </cell>
          <cell r="E845" t="str">
            <v/>
          </cell>
          <cell r="H845" t="str">
            <v/>
          </cell>
          <cell r="I845" t="str">
            <v/>
          </cell>
          <cell r="K845" t="str">
            <v/>
          </cell>
          <cell r="N845" t="str">
            <v/>
          </cell>
          <cell r="P845" t="str">
            <v/>
          </cell>
        </row>
        <row r="846">
          <cell r="B846" t="str">
            <v/>
          </cell>
          <cell r="C846" t="str">
            <v/>
          </cell>
          <cell r="E846" t="str">
            <v/>
          </cell>
          <cell r="H846" t="str">
            <v/>
          </cell>
          <cell r="I846" t="str">
            <v/>
          </cell>
          <cell r="K846" t="str">
            <v/>
          </cell>
          <cell r="N846" t="str">
            <v/>
          </cell>
          <cell r="P846" t="str">
            <v/>
          </cell>
        </row>
        <row r="847">
          <cell r="B847" t="str">
            <v/>
          </cell>
          <cell r="C847" t="str">
            <v/>
          </cell>
          <cell r="E847" t="str">
            <v/>
          </cell>
          <cell r="H847" t="str">
            <v/>
          </cell>
          <cell r="I847" t="str">
            <v/>
          </cell>
          <cell r="K847" t="str">
            <v/>
          </cell>
          <cell r="N847" t="str">
            <v/>
          </cell>
          <cell r="P847" t="str">
            <v/>
          </cell>
        </row>
        <row r="848">
          <cell r="B848" t="str">
            <v/>
          </cell>
          <cell r="C848" t="str">
            <v/>
          </cell>
          <cell r="E848" t="str">
            <v/>
          </cell>
          <cell r="H848" t="str">
            <v/>
          </cell>
          <cell r="I848" t="str">
            <v/>
          </cell>
          <cell r="K848" t="str">
            <v/>
          </cell>
          <cell r="N848" t="str">
            <v/>
          </cell>
          <cell r="P848" t="str">
            <v/>
          </cell>
        </row>
        <row r="849">
          <cell r="B849" t="str">
            <v/>
          </cell>
          <cell r="C849" t="str">
            <v/>
          </cell>
          <cell r="E849" t="str">
            <v/>
          </cell>
          <cell r="H849" t="str">
            <v/>
          </cell>
          <cell r="I849" t="str">
            <v/>
          </cell>
          <cell r="K849" t="str">
            <v/>
          </cell>
          <cell r="N849" t="str">
            <v/>
          </cell>
          <cell r="P849" t="str">
            <v/>
          </cell>
        </row>
        <row r="850">
          <cell r="B850" t="str">
            <v/>
          </cell>
          <cell r="C850" t="str">
            <v/>
          </cell>
          <cell r="E850" t="str">
            <v/>
          </cell>
          <cell r="H850" t="str">
            <v/>
          </cell>
          <cell r="I850" t="str">
            <v/>
          </cell>
          <cell r="K850" t="str">
            <v/>
          </cell>
          <cell r="N850" t="str">
            <v/>
          </cell>
          <cell r="P850" t="str">
            <v/>
          </cell>
        </row>
        <row r="851">
          <cell r="B851" t="str">
            <v/>
          </cell>
          <cell r="C851" t="str">
            <v/>
          </cell>
          <cell r="E851" t="str">
            <v/>
          </cell>
          <cell r="H851" t="str">
            <v/>
          </cell>
          <cell r="I851" t="str">
            <v/>
          </cell>
          <cell r="K851" t="str">
            <v/>
          </cell>
          <cell r="N851" t="str">
            <v/>
          </cell>
          <cell r="P851" t="str">
            <v/>
          </cell>
        </row>
        <row r="852">
          <cell r="B852" t="str">
            <v/>
          </cell>
          <cell r="C852" t="str">
            <v/>
          </cell>
          <cell r="E852" t="str">
            <v/>
          </cell>
          <cell r="H852" t="str">
            <v/>
          </cell>
          <cell r="I852" t="str">
            <v/>
          </cell>
          <cell r="K852" t="str">
            <v/>
          </cell>
          <cell r="N852" t="str">
            <v/>
          </cell>
          <cell r="P852" t="str">
            <v/>
          </cell>
        </row>
        <row r="853">
          <cell r="B853" t="str">
            <v/>
          </cell>
          <cell r="C853" t="str">
            <v/>
          </cell>
          <cell r="E853" t="str">
            <v/>
          </cell>
          <cell r="H853" t="str">
            <v/>
          </cell>
          <cell r="I853" t="str">
            <v/>
          </cell>
          <cell r="K853" t="str">
            <v/>
          </cell>
          <cell r="N853" t="str">
            <v/>
          </cell>
          <cell r="P853" t="str">
            <v/>
          </cell>
        </row>
        <row r="854">
          <cell r="B854" t="str">
            <v/>
          </cell>
          <cell r="C854" t="str">
            <v/>
          </cell>
          <cell r="E854" t="str">
            <v/>
          </cell>
          <cell r="H854" t="str">
            <v/>
          </cell>
          <cell r="I854" t="str">
            <v/>
          </cell>
          <cell r="K854" t="str">
            <v/>
          </cell>
          <cell r="N854" t="str">
            <v/>
          </cell>
          <cell r="P854" t="str">
            <v/>
          </cell>
        </row>
        <row r="855">
          <cell r="B855" t="str">
            <v/>
          </cell>
          <cell r="C855" t="str">
            <v/>
          </cell>
          <cell r="E855" t="str">
            <v/>
          </cell>
          <cell r="H855" t="str">
            <v/>
          </cell>
          <cell r="I855" t="str">
            <v/>
          </cell>
          <cell r="K855" t="str">
            <v/>
          </cell>
          <cell r="N855" t="str">
            <v/>
          </cell>
          <cell r="P855" t="str">
            <v/>
          </cell>
        </row>
        <row r="856">
          <cell r="B856" t="str">
            <v/>
          </cell>
          <cell r="C856" t="str">
            <v/>
          </cell>
          <cell r="E856" t="str">
            <v/>
          </cell>
          <cell r="H856" t="str">
            <v/>
          </cell>
          <cell r="I856" t="str">
            <v/>
          </cell>
          <cell r="K856" t="str">
            <v/>
          </cell>
          <cell r="N856" t="str">
            <v/>
          </cell>
          <cell r="P856" t="str">
            <v/>
          </cell>
        </row>
        <row r="857">
          <cell r="B857" t="str">
            <v/>
          </cell>
          <cell r="C857" t="str">
            <v/>
          </cell>
          <cell r="E857" t="str">
            <v/>
          </cell>
          <cell r="H857" t="str">
            <v/>
          </cell>
          <cell r="I857" t="str">
            <v/>
          </cell>
          <cell r="K857" t="str">
            <v/>
          </cell>
          <cell r="N857" t="str">
            <v/>
          </cell>
          <cell r="P857" t="str">
            <v/>
          </cell>
        </row>
        <row r="858">
          <cell r="B858" t="str">
            <v/>
          </cell>
          <cell r="C858" t="str">
            <v/>
          </cell>
          <cell r="E858" t="str">
            <v/>
          </cell>
          <cell r="H858" t="str">
            <v/>
          </cell>
          <cell r="I858" t="str">
            <v/>
          </cell>
          <cell r="K858" t="str">
            <v/>
          </cell>
          <cell r="N858" t="str">
            <v/>
          </cell>
          <cell r="P858" t="str">
            <v/>
          </cell>
        </row>
        <row r="859">
          <cell r="B859" t="str">
            <v/>
          </cell>
          <cell r="C859" t="str">
            <v/>
          </cell>
          <cell r="E859" t="str">
            <v/>
          </cell>
          <cell r="H859" t="str">
            <v/>
          </cell>
          <cell r="I859" t="str">
            <v/>
          </cell>
          <cell r="K859" t="str">
            <v/>
          </cell>
          <cell r="N859" t="str">
            <v/>
          </cell>
          <cell r="P859" t="str">
            <v/>
          </cell>
        </row>
        <row r="860">
          <cell r="B860" t="str">
            <v/>
          </cell>
          <cell r="C860" t="str">
            <v/>
          </cell>
          <cell r="E860" t="str">
            <v/>
          </cell>
          <cell r="H860" t="str">
            <v/>
          </cell>
          <cell r="I860" t="str">
            <v/>
          </cell>
          <cell r="K860" t="str">
            <v/>
          </cell>
          <cell r="N860" t="str">
            <v/>
          </cell>
          <cell r="P860" t="str">
            <v/>
          </cell>
        </row>
        <row r="861">
          <cell r="B861" t="str">
            <v/>
          </cell>
          <cell r="C861" t="str">
            <v/>
          </cell>
          <cell r="E861" t="str">
            <v/>
          </cell>
          <cell r="H861" t="str">
            <v/>
          </cell>
          <cell r="I861" t="str">
            <v/>
          </cell>
          <cell r="K861" t="str">
            <v/>
          </cell>
          <cell r="N861" t="str">
            <v/>
          </cell>
          <cell r="P861" t="str">
            <v/>
          </cell>
        </row>
        <row r="862">
          <cell r="B862" t="str">
            <v/>
          </cell>
          <cell r="C862" t="str">
            <v/>
          </cell>
          <cell r="E862" t="str">
            <v/>
          </cell>
          <cell r="H862" t="str">
            <v/>
          </cell>
          <cell r="I862" t="str">
            <v/>
          </cell>
          <cell r="K862" t="str">
            <v/>
          </cell>
          <cell r="N862" t="str">
            <v/>
          </cell>
          <cell r="P862" t="str">
            <v/>
          </cell>
        </row>
        <row r="863">
          <cell r="B863" t="str">
            <v/>
          </cell>
          <cell r="C863" t="str">
            <v/>
          </cell>
          <cell r="E863" t="str">
            <v/>
          </cell>
          <cell r="H863" t="str">
            <v/>
          </cell>
          <cell r="I863" t="str">
            <v/>
          </cell>
          <cell r="K863" t="str">
            <v/>
          </cell>
          <cell r="N863" t="str">
            <v/>
          </cell>
          <cell r="P863" t="str">
            <v/>
          </cell>
        </row>
        <row r="864">
          <cell r="B864" t="str">
            <v/>
          </cell>
          <cell r="C864" t="str">
            <v/>
          </cell>
          <cell r="E864" t="str">
            <v/>
          </cell>
          <cell r="H864" t="str">
            <v/>
          </cell>
          <cell r="I864" t="str">
            <v/>
          </cell>
          <cell r="K864" t="str">
            <v/>
          </cell>
          <cell r="N864" t="str">
            <v/>
          </cell>
          <cell r="P864" t="str">
            <v/>
          </cell>
        </row>
        <row r="865">
          <cell r="B865" t="str">
            <v/>
          </cell>
          <cell r="C865" t="str">
            <v/>
          </cell>
          <cell r="E865" t="str">
            <v/>
          </cell>
          <cell r="H865" t="str">
            <v/>
          </cell>
          <cell r="I865" t="str">
            <v/>
          </cell>
          <cell r="K865" t="str">
            <v/>
          </cell>
          <cell r="N865" t="str">
            <v/>
          </cell>
          <cell r="P865" t="str">
            <v/>
          </cell>
        </row>
        <row r="866">
          <cell r="B866" t="str">
            <v/>
          </cell>
          <cell r="C866" t="str">
            <v/>
          </cell>
          <cell r="E866" t="str">
            <v/>
          </cell>
          <cell r="H866" t="str">
            <v/>
          </cell>
          <cell r="I866" t="str">
            <v/>
          </cell>
          <cell r="K866" t="str">
            <v/>
          </cell>
          <cell r="N866" t="str">
            <v/>
          </cell>
          <cell r="P866" t="str">
            <v/>
          </cell>
        </row>
        <row r="867">
          <cell r="B867" t="str">
            <v/>
          </cell>
          <cell r="C867" t="str">
            <v/>
          </cell>
          <cell r="E867" t="str">
            <v/>
          </cell>
          <cell r="H867" t="str">
            <v/>
          </cell>
          <cell r="I867" t="str">
            <v/>
          </cell>
          <cell r="K867" t="str">
            <v/>
          </cell>
          <cell r="N867" t="str">
            <v/>
          </cell>
          <cell r="P867" t="str">
            <v/>
          </cell>
        </row>
        <row r="868">
          <cell r="B868" t="str">
            <v/>
          </cell>
          <cell r="C868" t="str">
            <v/>
          </cell>
          <cell r="E868" t="str">
            <v/>
          </cell>
          <cell r="H868" t="str">
            <v/>
          </cell>
          <cell r="I868" t="str">
            <v/>
          </cell>
          <cell r="K868" t="str">
            <v/>
          </cell>
          <cell r="N868" t="str">
            <v/>
          </cell>
          <cell r="P868" t="str">
            <v/>
          </cell>
        </row>
        <row r="869">
          <cell r="B869" t="str">
            <v/>
          </cell>
          <cell r="C869" t="str">
            <v/>
          </cell>
          <cell r="E869" t="str">
            <v/>
          </cell>
          <cell r="H869" t="str">
            <v/>
          </cell>
          <cell r="I869" t="str">
            <v/>
          </cell>
          <cell r="K869" t="str">
            <v/>
          </cell>
          <cell r="N869" t="str">
            <v/>
          </cell>
          <cell r="P869" t="str">
            <v/>
          </cell>
        </row>
        <row r="870">
          <cell r="B870" t="str">
            <v/>
          </cell>
          <cell r="C870" t="str">
            <v/>
          </cell>
          <cell r="E870" t="str">
            <v/>
          </cell>
          <cell r="H870" t="str">
            <v/>
          </cell>
          <cell r="I870" t="str">
            <v/>
          </cell>
          <cell r="K870" t="str">
            <v/>
          </cell>
          <cell r="N870" t="str">
            <v/>
          </cell>
          <cell r="P870" t="str">
            <v/>
          </cell>
        </row>
        <row r="871">
          <cell r="B871" t="str">
            <v/>
          </cell>
          <cell r="C871" t="str">
            <v/>
          </cell>
          <cell r="E871" t="str">
            <v/>
          </cell>
          <cell r="H871" t="str">
            <v/>
          </cell>
          <cell r="I871" t="str">
            <v/>
          </cell>
          <cell r="K871" t="str">
            <v/>
          </cell>
          <cell r="N871" t="str">
            <v/>
          </cell>
          <cell r="P871" t="str">
            <v/>
          </cell>
        </row>
        <row r="872">
          <cell r="B872" t="str">
            <v/>
          </cell>
          <cell r="C872" t="str">
            <v/>
          </cell>
          <cell r="E872" t="str">
            <v/>
          </cell>
          <cell r="H872" t="str">
            <v/>
          </cell>
          <cell r="I872" t="str">
            <v/>
          </cell>
          <cell r="K872" t="str">
            <v/>
          </cell>
          <cell r="N872" t="str">
            <v/>
          </cell>
          <cell r="P872" t="str">
            <v/>
          </cell>
        </row>
        <row r="873">
          <cell r="B873" t="str">
            <v/>
          </cell>
          <cell r="C873" t="str">
            <v/>
          </cell>
          <cell r="E873" t="str">
            <v/>
          </cell>
          <cell r="H873" t="str">
            <v/>
          </cell>
          <cell r="I873" t="str">
            <v/>
          </cell>
          <cell r="K873" t="str">
            <v/>
          </cell>
          <cell r="N873" t="str">
            <v/>
          </cell>
          <cell r="P873" t="str">
            <v/>
          </cell>
        </row>
        <row r="874">
          <cell r="B874" t="str">
            <v/>
          </cell>
          <cell r="C874" t="str">
            <v/>
          </cell>
          <cell r="E874" t="str">
            <v/>
          </cell>
          <cell r="H874" t="str">
            <v/>
          </cell>
          <cell r="I874" t="str">
            <v/>
          </cell>
          <cell r="K874" t="str">
            <v/>
          </cell>
          <cell r="N874" t="str">
            <v/>
          </cell>
          <cell r="P874" t="str">
            <v/>
          </cell>
        </row>
        <row r="875">
          <cell r="B875" t="str">
            <v/>
          </cell>
          <cell r="C875" t="str">
            <v/>
          </cell>
          <cell r="E875" t="str">
            <v/>
          </cell>
          <cell r="H875" t="str">
            <v/>
          </cell>
          <cell r="I875" t="str">
            <v/>
          </cell>
          <cell r="K875" t="str">
            <v/>
          </cell>
          <cell r="N875" t="str">
            <v/>
          </cell>
          <cell r="P875" t="str">
            <v/>
          </cell>
        </row>
        <row r="876">
          <cell r="B876" t="str">
            <v/>
          </cell>
          <cell r="C876" t="str">
            <v/>
          </cell>
          <cell r="E876" t="str">
            <v/>
          </cell>
          <cell r="H876" t="str">
            <v/>
          </cell>
          <cell r="I876" t="str">
            <v/>
          </cell>
          <cell r="K876" t="str">
            <v/>
          </cell>
          <cell r="N876" t="str">
            <v/>
          </cell>
          <cell r="P876" t="str">
            <v/>
          </cell>
        </row>
        <row r="877">
          <cell r="B877" t="str">
            <v/>
          </cell>
          <cell r="C877" t="str">
            <v/>
          </cell>
          <cell r="E877" t="str">
            <v/>
          </cell>
          <cell r="H877" t="str">
            <v/>
          </cell>
          <cell r="I877" t="str">
            <v/>
          </cell>
          <cell r="K877" t="str">
            <v/>
          </cell>
          <cell r="N877" t="str">
            <v/>
          </cell>
          <cell r="P877" t="str">
            <v/>
          </cell>
        </row>
        <row r="878">
          <cell r="B878" t="str">
            <v/>
          </cell>
          <cell r="C878" t="str">
            <v/>
          </cell>
          <cell r="E878" t="str">
            <v/>
          </cell>
          <cell r="H878" t="str">
            <v/>
          </cell>
          <cell r="I878" t="str">
            <v/>
          </cell>
          <cell r="K878" t="str">
            <v/>
          </cell>
          <cell r="N878" t="str">
            <v/>
          </cell>
          <cell r="P878" t="str">
            <v/>
          </cell>
        </row>
        <row r="879">
          <cell r="B879" t="str">
            <v/>
          </cell>
          <cell r="C879" t="str">
            <v/>
          </cell>
          <cell r="E879" t="str">
            <v/>
          </cell>
          <cell r="H879" t="str">
            <v/>
          </cell>
          <cell r="I879" t="str">
            <v/>
          </cell>
          <cell r="K879" t="str">
            <v/>
          </cell>
          <cell r="N879" t="str">
            <v/>
          </cell>
          <cell r="P879" t="str">
            <v/>
          </cell>
        </row>
        <row r="880">
          <cell r="B880" t="str">
            <v/>
          </cell>
          <cell r="C880" t="str">
            <v/>
          </cell>
          <cell r="E880" t="str">
            <v/>
          </cell>
          <cell r="H880" t="str">
            <v/>
          </cell>
          <cell r="I880" t="str">
            <v/>
          </cell>
          <cell r="K880" t="str">
            <v/>
          </cell>
          <cell r="N880" t="str">
            <v/>
          </cell>
          <cell r="P880" t="str">
            <v/>
          </cell>
        </row>
        <row r="881">
          <cell r="B881" t="str">
            <v/>
          </cell>
          <cell r="C881" t="str">
            <v/>
          </cell>
          <cell r="E881" t="str">
            <v/>
          </cell>
          <cell r="H881" t="str">
            <v/>
          </cell>
          <cell r="I881" t="str">
            <v/>
          </cell>
          <cell r="K881" t="str">
            <v/>
          </cell>
          <cell r="N881" t="str">
            <v/>
          </cell>
          <cell r="P881" t="str">
            <v/>
          </cell>
        </row>
        <row r="882">
          <cell r="B882" t="str">
            <v/>
          </cell>
          <cell r="C882" t="str">
            <v/>
          </cell>
          <cell r="E882" t="str">
            <v/>
          </cell>
          <cell r="H882" t="str">
            <v/>
          </cell>
          <cell r="I882" t="str">
            <v/>
          </cell>
          <cell r="K882" t="str">
            <v/>
          </cell>
          <cell r="N882" t="str">
            <v/>
          </cell>
          <cell r="P882" t="str">
            <v/>
          </cell>
        </row>
        <row r="883">
          <cell r="B883" t="str">
            <v/>
          </cell>
          <cell r="C883" t="str">
            <v/>
          </cell>
          <cell r="E883" t="str">
            <v/>
          </cell>
          <cell r="H883" t="str">
            <v/>
          </cell>
          <cell r="I883" t="str">
            <v/>
          </cell>
          <cell r="K883" t="str">
            <v/>
          </cell>
          <cell r="N883" t="str">
            <v/>
          </cell>
          <cell r="P883" t="str">
            <v/>
          </cell>
        </row>
        <row r="884">
          <cell r="B884" t="str">
            <v/>
          </cell>
          <cell r="C884" t="str">
            <v/>
          </cell>
          <cell r="E884" t="str">
            <v/>
          </cell>
          <cell r="H884" t="str">
            <v/>
          </cell>
          <cell r="I884" t="str">
            <v/>
          </cell>
          <cell r="K884" t="str">
            <v/>
          </cell>
          <cell r="N884" t="str">
            <v/>
          </cell>
          <cell r="P884" t="str">
            <v/>
          </cell>
        </row>
        <row r="885">
          <cell r="B885" t="str">
            <v/>
          </cell>
          <cell r="C885" t="str">
            <v/>
          </cell>
          <cell r="E885" t="str">
            <v/>
          </cell>
          <cell r="H885" t="str">
            <v/>
          </cell>
          <cell r="I885" t="str">
            <v/>
          </cell>
          <cell r="K885" t="str">
            <v/>
          </cell>
          <cell r="N885" t="str">
            <v/>
          </cell>
          <cell r="P885" t="str">
            <v/>
          </cell>
        </row>
        <row r="886">
          <cell r="B886" t="str">
            <v/>
          </cell>
          <cell r="C886" t="str">
            <v/>
          </cell>
          <cell r="E886" t="str">
            <v/>
          </cell>
          <cell r="H886" t="str">
            <v/>
          </cell>
          <cell r="I886" t="str">
            <v/>
          </cell>
          <cell r="K886" t="str">
            <v/>
          </cell>
          <cell r="N886" t="str">
            <v/>
          </cell>
          <cell r="P886" t="str">
            <v/>
          </cell>
        </row>
        <row r="887">
          <cell r="B887" t="str">
            <v/>
          </cell>
          <cell r="C887" t="str">
            <v/>
          </cell>
          <cell r="E887" t="str">
            <v/>
          </cell>
          <cell r="H887" t="str">
            <v/>
          </cell>
          <cell r="I887" t="str">
            <v/>
          </cell>
          <cell r="K887" t="str">
            <v/>
          </cell>
          <cell r="N887" t="str">
            <v/>
          </cell>
          <cell r="P887" t="str">
            <v/>
          </cell>
        </row>
        <row r="888">
          <cell r="B888" t="str">
            <v/>
          </cell>
          <cell r="C888" t="str">
            <v/>
          </cell>
          <cell r="E888" t="str">
            <v/>
          </cell>
          <cell r="H888" t="str">
            <v/>
          </cell>
          <cell r="I888" t="str">
            <v/>
          </cell>
          <cell r="K888" t="str">
            <v/>
          </cell>
          <cell r="N888" t="str">
            <v/>
          </cell>
          <cell r="P888" t="str">
            <v/>
          </cell>
        </row>
        <row r="889">
          <cell r="B889" t="str">
            <v/>
          </cell>
          <cell r="C889" t="str">
            <v/>
          </cell>
          <cell r="E889" t="str">
            <v/>
          </cell>
          <cell r="H889" t="str">
            <v/>
          </cell>
          <cell r="I889" t="str">
            <v/>
          </cell>
          <cell r="K889" t="str">
            <v/>
          </cell>
          <cell r="N889" t="str">
            <v/>
          </cell>
          <cell r="P889" t="str">
            <v/>
          </cell>
        </row>
        <row r="890">
          <cell r="B890" t="str">
            <v/>
          </cell>
          <cell r="C890" t="str">
            <v/>
          </cell>
          <cell r="E890" t="str">
            <v/>
          </cell>
          <cell r="H890" t="str">
            <v/>
          </cell>
          <cell r="I890" t="str">
            <v/>
          </cell>
          <cell r="K890" t="str">
            <v/>
          </cell>
          <cell r="N890" t="str">
            <v/>
          </cell>
          <cell r="P890" t="str">
            <v/>
          </cell>
        </row>
        <row r="891">
          <cell r="B891" t="str">
            <v/>
          </cell>
          <cell r="C891" t="str">
            <v/>
          </cell>
          <cell r="E891" t="str">
            <v/>
          </cell>
          <cell r="H891" t="str">
            <v/>
          </cell>
          <cell r="I891" t="str">
            <v/>
          </cell>
          <cell r="K891" t="str">
            <v/>
          </cell>
          <cell r="N891" t="str">
            <v/>
          </cell>
          <cell r="P891" t="str">
            <v/>
          </cell>
        </row>
        <row r="892">
          <cell r="B892" t="str">
            <v/>
          </cell>
          <cell r="C892" t="str">
            <v/>
          </cell>
          <cell r="E892" t="str">
            <v/>
          </cell>
          <cell r="H892" t="str">
            <v/>
          </cell>
          <cell r="I892" t="str">
            <v/>
          </cell>
          <cell r="K892" t="str">
            <v/>
          </cell>
          <cell r="N892" t="str">
            <v/>
          </cell>
          <cell r="P892" t="str">
            <v/>
          </cell>
        </row>
        <row r="893">
          <cell r="B893" t="str">
            <v/>
          </cell>
          <cell r="C893" t="str">
            <v/>
          </cell>
          <cell r="E893" t="str">
            <v/>
          </cell>
          <cell r="H893" t="str">
            <v/>
          </cell>
          <cell r="I893" t="str">
            <v/>
          </cell>
          <cell r="K893" t="str">
            <v/>
          </cell>
          <cell r="N893" t="str">
            <v/>
          </cell>
          <cell r="P893" t="str">
            <v/>
          </cell>
        </row>
        <row r="894">
          <cell r="B894" t="str">
            <v/>
          </cell>
          <cell r="C894" t="str">
            <v/>
          </cell>
          <cell r="E894" t="str">
            <v/>
          </cell>
          <cell r="H894" t="str">
            <v/>
          </cell>
          <cell r="I894" t="str">
            <v/>
          </cell>
          <cell r="K894" t="str">
            <v/>
          </cell>
          <cell r="N894" t="str">
            <v/>
          </cell>
          <cell r="P894" t="str">
            <v/>
          </cell>
        </row>
        <row r="895">
          <cell r="B895" t="str">
            <v/>
          </cell>
          <cell r="C895" t="str">
            <v/>
          </cell>
          <cell r="E895" t="str">
            <v/>
          </cell>
          <cell r="H895" t="str">
            <v/>
          </cell>
          <cell r="I895" t="str">
            <v/>
          </cell>
          <cell r="K895" t="str">
            <v/>
          </cell>
          <cell r="N895" t="str">
            <v/>
          </cell>
          <cell r="P895" t="str">
            <v/>
          </cell>
        </row>
        <row r="896">
          <cell r="B896" t="str">
            <v/>
          </cell>
          <cell r="C896" t="str">
            <v/>
          </cell>
          <cell r="E896" t="str">
            <v/>
          </cell>
          <cell r="H896" t="str">
            <v/>
          </cell>
          <cell r="I896" t="str">
            <v/>
          </cell>
          <cell r="K896" t="str">
            <v/>
          </cell>
          <cell r="N896" t="str">
            <v/>
          </cell>
          <cell r="P896" t="str">
            <v/>
          </cell>
        </row>
        <row r="897">
          <cell r="B897" t="str">
            <v/>
          </cell>
          <cell r="C897" t="str">
            <v/>
          </cell>
          <cell r="E897" t="str">
            <v/>
          </cell>
          <cell r="H897" t="str">
            <v/>
          </cell>
          <cell r="I897" t="str">
            <v/>
          </cell>
          <cell r="K897" t="str">
            <v/>
          </cell>
          <cell r="N897" t="str">
            <v/>
          </cell>
          <cell r="P897" t="str">
            <v/>
          </cell>
        </row>
        <row r="898">
          <cell r="B898" t="str">
            <v/>
          </cell>
          <cell r="C898" t="str">
            <v/>
          </cell>
          <cell r="E898" t="str">
            <v/>
          </cell>
          <cell r="H898" t="str">
            <v/>
          </cell>
          <cell r="I898" t="str">
            <v/>
          </cell>
          <cell r="K898" t="str">
            <v/>
          </cell>
          <cell r="N898" t="str">
            <v/>
          </cell>
          <cell r="P898" t="str">
            <v/>
          </cell>
        </row>
        <row r="899">
          <cell r="B899" t="str">
            <v/>
          </cell>
          <cell r="C899" t="str">
            <v/>
          </cell>
          <cell r="E899" t="str">
            <v/>
          </cell>
          <cell r="H899" t="str">
            <v/>
          </cell>
          <cell r="I899" t="str">
            <v/>
          </cell>
          <cell r="K899" t="str">
            <v/>
          </cell>
          <cell r="N899" t="str">
            <v/>
          </cell>
          <cell r="P899" t="str">
            <v/>
          </cell>
        </row>
        <row r="900">
          <cell r="B900" t="str">
            <v/>
          </cell>
          <cell r="C900" t="str">
            <v/>
          </cell>
          <cell r="E900" t="str">
            <v/>
          </cell>
          <cell r="H900" t="str">
            <v/>
          </cell>
          <cell r="I900" t="str">
            <v/>
          </cell>
          <cell r="K900" t="str">
            <v/>
          </cell>
          <cell r="N900" t="str">
            <v/>
          </cell>
          <cell r="P900" t="str">
            <v/>
          </cell>
        </row>
        <row r="901">
          <cell r="B901" t="str">
            <v/>
          </cell>
          <cell r="C901" t="str">
            <v/>
          </cell>
          <cell r="E901" t="str">
            <v/>
          </cell>
          <cell r="H901" t="str">
            <v/>
          </cell>
          <cell r="I901" t="str">
            <v/>
          </cell>
          <cell r="K901" t="str">
            <v/>
          </cell>
          <cell r="N901" t="str">
            <v/>
          </cell>
          <cell r="P901" t="str">
            <v/>
          </cell>
        </row>
        <row r="902">
          <cell r="B902" t="str">
            <v/>
          </cell>
          <cell r="C902" t="str">
            <v/>
          </cell>
          <cell r="E902" t="str">
            <v/>
          </cell>
          <cell r="H902" t="str">
            <v/>
          </cell>
          <cell r="I902" t="str">
            <v/>
          </cell>
          <cell r="K902" t="str">
            <v/>
          </cell>
          <cell r="N902" t="str">
            <v/>
          </cell>
          <cell r="P902" t="str">
            <v/>
          </cell>
        </row>
        <row r="903">
          <cell r="B903" t="str">
            <v/>
          </cell>
          <cell r="C903" t="str">
            <v/>
          </cell>
          <cell r="E903" t="str">
            <v/>
          </cell>
          <cell r="H903" t="str">
            <v/>
          </cell>
          <cell r="I903" t="str">
            <v/>
          </cell>
          <cell r="K903" t="str">
            <v/>
          </cell>
          <cell r="N903" t="str">
            <v/>
          </cell>
          <cell r="P903" t="str">
            <v/>
          </cell>
        </row>
        <row r="904">
          <cell r="B904" t="str">
            <v/>
          </cell>
          <cell r="C904" t="str">
            <v/>
          </cell>
          <cell r="E904" t="str">
            <v/>
          </cell>
          <cell r="H904" t="str">
            <v/>
          </cell>
          <cell r="I904" t="str">
            <v/>
          </cell>
          <cell r="K904" t="str">
            <v/>
          </cell>
          <cell r="N904" t="str">
            <v/>
          </cell>
          <cell r="P904" t="str">
            <v/>
          </cell>
        </row>
        <row r="905">
          <cell r="B905" t="str">
            <v/>
          </cell>
          <cell r="C905" t="str">
            <v/>
          </cell>
          <cell r="E905" t="str">
            <v/>
          </cell>
          <cell r="H905" t="str">
            <v/>
          </cell>
          <cell r="I905" t="str">
            <v/>
          </cell>
          <cell r="K905" t="str">
            <v/>
          </cell>
          <cell r="N905" t="str">
            <v/>
          </cell>
          <cell r="P905" t="str">
            <v/>
          </cell>
        </row>
        <row r="906">
          <cell r="B906" t="str">
            <v/>
          </cell>
          <cell r="C906" t="str">
            <v/>
          </cell>
          <cell r="E906" t="str">
            <v/>
          </cell>
          <cell r="H906" t="str">
            <v/>
          </cell>
          <cell r="I906" t="str">
            <v/>
          </cell>
          <cell r="K906" t="str">
            <v/>
          </cell>
          <cell r="N906" t="str">
            <v/>
          </cell>
          <cell r="P906" t="str">
            <v/>
          </cell>
        </row>
        <row r="907">
          <cell r="B907" t="str">
            <v/>
          </cell>
          <cell r="C907" t="str">
            <v/>
          </cell>
          <cell r="E907" t="str">
            <v/>
          </cell>
          <cell r="H907" t="str">
            <v/>
          </cell>
          <cell r="I907" t="str">
            <v/>
          </cell>
          <cell r="K907" t="str">
            <v/>
          </cell>
          <cell r="N907" t="str">
            <v/>
          </cell>
          <cell r="P907" t="str">
            <v/>
          </cell>
        </row>
        <row r="908">
          <cell r="B908" t="str">
            <v/>
          </cell>
          <cell r="C908" t="str">
            <v/>
          </cell>
          <cell r="E908" t="str">
            <v/>
          </cell>
          <cell r="H908" t="str">
            <v/>
          </cell>
          <cell r="I908" t="str">
            <v/>
          </cell>
          <cell r="K908" t="str">
            <v/>
          </cell>
          <cell r="N908" t="str">
            <v/>
          </cell>
          <cell r="P908" t="str">
            <v/>
          </cell>
        </row>
        <row r="909">
          <cell r="B909" t="str">
            <v/>
          </cell>
          <cell r="C909" t="str">
            <v/>
          </cell>
          <cell r="E909" t="str">
            <v/>
          </cell>
          <cell r="H909" t="str">
            <v/>
          </cell>
          <cell r="I909" t="str">
            <v/>
          </cell>
          <cell r="K909" t="str">
            <v/>
          </cell>
          <cell r="N909" t="str">
            <v/>
          </cell>
          <cell r="P909" t="str">
            <v/>
          </cell>
        </row>
        <row r="910">
          <cell r="B910" t="str">
            <v/>
          </cell>
          <cell r="C910" t="str">
            <v/>
          </cell>
          <cell r="E910" t="str">
            <v/>
          </cell>
          <cell r="H910" t="str">
            <v/>
          </cell>
          <cell r="I910" t="str">
            <v/>
          </cell>
          <cell r="K910" t="str">
            <v/>
          </cell>
          <cell r="N910" t="str">
            <v/>
          </cell>
          <cell r="P910" t="str">
            <v/>
          </cell>
        </row>
        <row r="911">
          <cell r="B911" t="str">
            <v/>
          </cell>
          <cell r="C911" t="str">
            <v/>
          </cell>
          <cell r="E911" t="str">
            <v/>
          </cell>
          <cell r="H911" t="str">
            <v/>
          </cell>
          <cell r="I911" t="str">
            <v/>
          </cell>
          <cell r="K911" t="str">
            <v/>
          </cell>
          <cell r="N911" t="str">
            <v/>
          </cell>
          <cell r="P911" t="str">
            <v/>
          </cell>
        </row>
        <row r="912">
          <cell r="B912" t="str">
            <v/>
          </cell>
          <cell r="C912" t="str">
            <v/>
          </cell>
          <cell r="E912" t="str">
            <v/>
          </cell>
          <cell r="H912" t="str">
            <v/>
          </cell>
          <cell r="I912" t="str">
            <v/>
          </cell>
          <cell r="K912" t="str">
            <v/>
          </cell>
          <cell r="N912" t="str">
            <v/>
          </cell>
          <cell r="P912" t="str">
            <v/>
          </cell>
        </row>
        <row r="913">
          <cell r="B913" t="str">
            <v/>
          </cell>
          <cell r="C913" t="str">
            <v/>
          </cell>
          <cell r="E913" t="str">
            <v/>
          </cell>
          <cell r="H913" t="str">
            <v/>
          </cell>
          <cell r="I913" t="str">
            <v/>
          </cell>
          <cell r="K913" t="str">
            <v/>
          </cell>
          <cell r="N913" t="str">
            <v/>
          </cell>
          <cell r="P913" t="str">
            <v/>
          </cell>
        </row>
        <row r="914">
          <cell r="B914" t="str">
            <v/>
          </cell>
          <cell r="C914" t="str">
            <v/>
          </cell>
          <cell r="E914" t="str">
            <v/>
          </cell>
          <cell r="H914" t="str">
            <v/>
          </cell>
          <cell r="I914" t="str">
            <v/>
          </cell>
          <cell r="K914" t="str">
            <v/>
          </cell>
          <cell r="N914" t="str">
            <v/>
          </cell>
          <cell r="P914" t="str">
            <v/>
          </cell>
        </row>
        <row r="915">
          <cell r="B915" t="str">
            <v/>
          </cell>
          <cell r="C915" t="str">
            <v/>
          </cell>
          <cell r="E915" t="str">
            <v/>
          </cell>
          <cell r="H915" t="str">
            <v/>
          </cell>
          <cell r="I915" t="str">
            <v/>
          </cell>
          <cell r="K915" t="str">
            <v/>
          </cell>
          <cell r="N915" t="str">
            <v/>
          </cell>
          <cell r="P915" t="str">
            <v/>
          </cell>
        </row>
        <row r="916">
          <cell r="B916" t="str">
            <v/>
          </cell>
          <cell r="C916" t="str">
            <v/>
          </cell>
          <cell r="E916" t="str">
            <v/>
          </cell>
          <cell r="H916" t="str">
            <v/>
          </cell>
          <cell r="I916" t="str">
            <v/>
          </cell>
          <cell r="K916" t="str">
            <v/>
          </cell>
          <cell r="N916" t="str">
            <v/>
          </cell>
          <cell r="P916" t="str">
            <v/>
          </cell>
        </row>
        <row r="917">
          <cell r="B917" t="str">
            <v/>
          </cell>
          <cell r="C917" t="str">
            <v/>
          </cell>
          <cell r="E917" t="str">
            <v/>
          </cell>
          <cell r="H917" t="str">
            <v/>
          </cell>
          <cell r="I917" t="str">
            <v/>
          </cell>
          <cell r="K917" t="str">
            <v/>
          </cell>
          <cell r="N917" t="str">
            <v/>
          </cell>
          <cell r="P917" t="str">
            <v/>
          </cell>
        </row>
        <row r="918">
          <cell r="B918" t="str">
            <v/>
          </cell>
          <cell r="C918" t="str">
            <v/>
          </cell>
          <cell r="E918" t="str">
            <v/>
          </cell>
          <cell r="H918" t="str">
            <v/>
          </cell>
          <cell r="I918" t="str">
            <v/>
          </cell>
          <cell r="K918" t="str">
            <v/>
          </cell>
          <cell r="N918" t="str">
            <v/>
          </cell>
          <cell r="P918" t="str">
            <v/>
          </cell>
        </row>
        <row r="919">
          <cell r="B919" t="str">
            <v/>
          </cell>
          <cell r="C919" t="str">
            <v/>
          </cell>
          <cell r="E919" t="str">
            <v/>
          </cell>
          <cell r="H919" t="str">
            <v/>
          </cell>
          <cell r="I919" t="str">
            <v/>
          </cell>
          <cell r="K919" t="str">
            <v/>
          </cell>
          <cell r="N919" t="str">
            <v/>
          </cell>
          <cell r="P919" t="str">
            <v/>
          </cell>
        </row>
        <row r="920">
          <cell r="B920" t="str">
            <v/>
          </cell>
          <cell r="C920" t="str">
            <v/>
          </cell>
          <cell r="E920" t="str">
            <v/>
          </cell>
          <cell r="H920" t="str">
            <v/>
          </cell>
          <cell r="I920" t="str">
            <v/>
          </cell>
          <cell r="K920" t="str">
            <v/>
          </cell>
          <cell r="N920" t="str">
            <v/>
          </cell>
          <cell r="P920" t="str">
            <v/>
          </cell>
        </row>
        <row r="921">
          <cell r="B921" t="str">
            <v/>
          </cell>
          <cell r="C921" t="str">
            <v/>
          </cell>
          <cell r="E921" t="str">
            <v/>
          </cell>
          <cell r="H921" t="str">
            <v/>
          </cell>
          <cell r="I921" t="str">
            <v/>
          </cell>
          <cell r="K921" t="str">
            <v/>
          </cell>
          <cell r="N921" t="str">
            <v/>
          </cell>
          <cell r="P921" t="str">
            <v/>
          </cell>
        </row>
        <row r="922">
          <cell r="B922" t="str">
            <v/>
          </cell>
          <cell r="C922" t="str">
            <v/>
          </cell>
          <cell r="E922" t="str">
            <v/>
          </cell>
          <cell r="H922" t="str">
            <v/>
          </cell>
          <cell r="I922" t="str">
            <v/>
          </cell>
          <cell r="K922" t="str">
            <v/>
          </cell>
          <cell r="N922" t="str">
            <v/>
          </cell>
          <cell r="P922" t="str">
            <v/>
          </cell>
        </row>
        <row r="923">
          <cell r="B923" t="str">
            <v/>
          </cell>
          <cell r="C923" t="str">
            <v/>
          </cell>
          <cell r="E923" t="str">
            <v/>
          </cell>
          <cell r="H923" t="str">
            <v/>
          </cell>
          <cell r="I923" t="str">
            <v/>
          </cell>
          <cell r="K923" t="str">
            <v/>
          </cell>
          <cell r="N923" t="str">
            <v/>
          </cell>
          <cell r="P923" t="str">
            <v/>
          </cell>
        </row>
        <row r="924">
          <cell r="B924" t="str">
            <v/>
          </cell>
          <cell r="C924" t="str">
            <v/>
          </cell>
          <cell r="E924" t="str">
            <v/>
          </cell>
          <cell r="H924" t="str">
            <v/>
          </cell>
          <cell r="I924" t="str">
            <v/>
          </cell>
          <cell r="K924" t="str">
            <v/>
          </cell>
          <cell r="N924" t="str">
            <v/>
          </cell>
          <cell r="P924" t="str">
            <v/>
          </cell>
        </row>
        <row r="925">
          <cell r="B925" t="str">
            <v/>
          </cell>
          <cell r="C925" t="str">
            <v/>
          </cell>
          <cell r="E925" t="str">
            <v/>
          </cell>
          <cell r="H925" t="str">
            <v/>
          </cell>
          <cell r="I925" t="str">
            <v/>
          </cell>
          <cell r="K925" t="str">
            <v/>
          </cell>
          <cell r="N925" t="str">
            <v/>
          </cell>
          <cell r="P925" t="str">
            <v/>
          </cell>
        </row>
        <row r="926">
          <cell r="B926" t="str">
            <v/>
          </cell>
          <cell r="C926" t="str">
            <v/>
          </cell>
          <cell r="E926" t="str">
            <v/>
          </cell>
          <cell r="H926" t="str">
            <v/>
          </cell>
          <cell r="I926" t="str">
            <v/>
          </cell>
          <cell r="K926" t="str">
            <v/>
          </cell>
          <cell r="N926" t="str">
            <v/>
          </cell>
          <cell r="P926" t="str">
            <v/>
          </cell>
        </row>
        <row r="927">
          <cell r="B927" t="str">
            <v/>
          </cell>
          <cell r="C927" t="str">
            <v/>
          </cell>
          <cell r="E927" t="str">
            <v/>
          </cell>
          <cell r="H927" t="str">
            <v/>
          </cell>
          <cell r="I927" t="str">
            <v/>
          </cell>
          <cell r="K927" t="str">
            <v/>
          </cell>
          <cell r="N927" t="str">
            <v/>
          </cell>
          <cell r="P927" t="str">
            <v/>
          </cell>
        </row>
        <row r="928">
          <cell r="B928" t="str">
            <v/>
          </cell>
          <cell r="C928" t="str">
            <v/>
          </cell>
          <cell r="E928" t="str">
            <v/>
          </cell>
          <cell r="H928" t="str">
            <v/>
          </cell>
          <cell r="I928" t="str">
            <v/>
          </cell>
          <cell r="K928" t="str">
            <v/>
          </cell>
          <cell r="N928" t="str">
            <v/>
          </cell>
          <cell r="P928" t="str">
            <v/>
          </cell>
        </row>
        <row r="929">
          <cell r="B929" t="str">
            <v/>
          </cell>
          <cell r="C929" t="str">
            <v/>
          </cell>
          <cell r="E929" t="str">
            <v/>
          </cell>
          <cell r="H929" t="str">
            <v/>
          </cell>
          <cell r="I929" t="str">
            <v/>
          </cell>
          <cell r="K929" t="str">
            <v/>
          </cell>
          <cell r="N929" t="str">
            <v/>
          </cell>
          <cell r="P929" t="str">
            <v/>
          </cell>
        </row>
        <row r="930">
          <cell r="B930" t="str">
            <v/>
          </cell>
          <cell r="C930" t="str">
            <v/>
          </cell>
          <cell r="E930" t="str">
            <v/>
          </cell>
          <cell r="H930" t="str">
            <v/>
          </cell>
          <cell r="I930" t="str">
            <v/>
          </cell>
          <cell r="K930" t="str">
            <v/>
          </cell>
          <cell r="N930" t="str">
            <v/>
          </cell>
          <cell r="P930" t="str">
            <v/>
          </cell>
        </row>
        <row r="931">
          <cell r="B931" t="str">
            <v/>
          </cell>
          <cell r="C931" t="str">
            <v/>
          </cell>
          <cell r="E931" t="str">
            <v/>
          </cell>
          <cell r="H931" t="str">
            <v/>
          </cell>
          <cell r="I931" t="str">
            <v/>
          </cell>
          <cell r="K931" t="str">
            <v/>
          </cell>
          <cell r="N931" t="str">
            <v/>
          </cell>
          <cell r="P931" t="str">
            <v/>
          </cell>
        </row>
        <row r="932">
          <cell r="B932" t="str">
            <v/>
          </cell>
          <cell r="C932" t="str">
            <v/>
          </cell>
          <cell r="E932" t="str">
            <v/>
          </cell>
          <cell r="H932" t="str">
            <v/>
          </cell>
          <cell r="I932" t="str">
            <v/>
          </cell>
          <cell r="K932" t="str">
            <v/>
          </cell>
          <cell r="N932" t="str">
            <v/>
          </cell>
          <cell r="P932" t="str">
            <v/>
          </cell>
        </row>
        <row r="933">
          <cell r="B933" t="str">
            <v/>
          </cell>
          <cell r="C933" t="str">
            <v/>
          </cell>
          <cell r="E933" t="str">
            <v/>
          </cell>
          <cell r="H933" t="str">
            <v/>
          </cell>
          <cell r="I933" t="str">
            <v/>
          </cell>
          <cell r="K933" t="str">
            <v/>
          </cell>
          <cell r="N933" t="str">
            <v/>
          </cell>
          <cell r="P933" t="str">
            <v/>
          </cell>
        </row>
        <row r="934">
          <cell r="B934" t="str">
            <v/>
          </cell>
          <cell r="C934" t="str">
            <v/>
          </cell>
          <cell r="E934" t="str">
            <v/>
          </cell>
          <cell r="H934" t="str">
            <v/>
          </cell>
          <cell r="I934" t="str">
            <v/>
          </cell>
          <cell r="K934" t="str">
            <v/>
          </cell>
          <cell r="N934" t="str">
            <v/>
          </cell>
          <cell r="P934" t="str">
            <v/>
          </cell>
        </row>
        <row r="935">
          <cell r="B935" t="str">
            <v/>
          </cell>
          <cell r="C935" t="str">
            <v/>
          </cell>
          <cell r="E935" t="str">
            <v/>
          </cell>
          <cell r="H935" t="str">
            <v/>
          </cell>
          <cell r="I935" t="str">
            <v/>
          </cell>
          <cell r="K935" t="str">
            <v/>
          </cell>
          <cell r="N935" t="str">
            <v/>
          </cell>
          <cell r="P935" t="str">
            <v/>
          </cell>
        </row>
        <row r="936">
          <cell r="B936" t="str">
            <v/>
          </cell>
          <cell r="C936" t="str">
            <v/>
          </cell>
          <cell r="E936" t="str">
            <v/>
          </cell>
          <cell r="H936" t="str">
            <v/>
          </cell>
          <cell r="I936" t="str">
            <v/>
          </cell>
          <cell r="K936" t="str">
            <v/>
          </cell>
          <cell r="N936" t="str">
            <v/>
          </cell>
          <cell r="P936" t="str">
            <v/>
          </cell>
        </row>
        <row r="937">
          <cell r="B937" t="str">
            <v/>
          </cell>
          <cell r="C937" t="str">
            <v/>
          </cell>
          <cell r="E937" t="str">
            <v/>
          </cell>
          <cell r="H937" t="str">
            <v/>
          </cell>
          <cell r="I937" t="str">
            <v/>
          </cell>
          <cell r="K937" t="str">
            <v/>
          </cell>
          <cell r="N937" t="str">
            <v/>
          </cell>
          <cell r="P937" t="str">
            <v/>
          </cell>
        </row>
        <row r="938">
          <cell r="B938" t="str">
            <v/>
          </cell>
          <cell r="C938" t="str">
            <v/>
          </cell>
          <cell r="E938" t="str">
            <v/>
          </cell>
          <cell r="H938" t="str">
            <v/>
          </cell>
          <cell r="I938" t="str">
            <v/>
          </cell>
          <cell r="K938" t="str">
            <v/>
          </cell>
          <cell r="N938" t="str">
            <v/>
          </cell>
          <cell r="P938" t="str">
            <v/>
          </cell>
        </row>
        <row r="939">
          <cell r="B939" t="str">
            <v/>
          </cell>
          <cell r="C939" t="str">
            <v/>
          </cell>
          <cell r="E939" t="str">
            <v/>
          </cell>
          <cell r="H939" t="str">
            <v/>
          </cell>
          <cell r="I939" t="str">
            <v/>
          </cell>
          <cell r="K939" t="str">
            <v/>
          </cell>
          <cell r="N939" t="str">
            <v/>
          </cell>
          <cell r="P939" t="str">
            <v/>
          </cell>
        </row>
        <row r="940">
          <cell r="B940" t="str">
            <v/>
          </cell>
          <cell r="C940" t="str">
            <v/>
          </cell>
          <cell r="E940" t="str">
            <v/>
          </cell>
          <cell r="H940" t="str">
            <v/>
          </cell>
          <cell r="I940" t="str">
            <v/>
          </cell>
          <cell r="K940" t="str">
            <v/>
          </cell>
          <cell r="N940" t="str">
            <v/>
          </cell>
          <cell r="P940" t="str">
            <v/>
          </cell>
        </row>
        <row r="941">
          <cell r="B941" t="str">
            <v/>
          </cell>
          <cell r="C941" t="str">
            <v/>
          </cell>
          <cell r="E941" t="str">
            <v/>
          </cell>
          <cell r="H941" t="str">
            <v/>
          </cell>
          <cell r="I941" t="str">
            <v/>
          </cell>
          <cell r="K941" t="str">
            <v/>
          </cell>
          <cell r="N941" t="str">
            <v/>
          </cell>
          <cell r="P941" t="str">
            <v/>
          </cell>
        </row>
        <row r="942">
          <cell r="B942" t="str">
            <v/>
          </cell>
          <cell r="C942" t="str">
            <v/>
          </cell>
          <cell r="E942" t="str">
            <v/>
          </cell>
          <cell r="H942" t="str">
            <v/>
          </cell>
          <cell r="I942" t="str">
            <v/>
          </cell>
          <cell r="K942" t="str">
            <v/>
          </cell>
          <cell r="N942" t="str">
            <v/>
          </cell>
          <cell r="P942" t="str">
            <v/>
          </cell>
        </row>
        <row r="943">
          <cell r="B943" t="str">
            <v/>
          </cell>
          <cell r="C943" t="str">
            <v/>
          </cell>
          <cell r="E943" t="str">
            <v/>
          </cell>
          <cell r="H943" t="str">
            <v/>
          </cell>
          <cell r="I943" t="str">
            <v/>
          </cell>
          <cell r="K943" t="str">
            <v/>
          </cell>
          <cell r="N943" t="str">
            <v/>
          </cell>
          <cell r="P943" t="str">
            <v/>
          </cell>
        </row>
        <row r="944">
          <cell r="B944" t="str">
            <v/>
          </cell>
          <cell r="C944" t="str">
            <v/>
          </cell>
          <cell r="E944" t="str">
            <v/>
          </cell>
          <cell r="H944" t="str">
            <v/>
          </cell>
          <cell r="I944" t="str">
            <v/>
          </cell>
          <cell r="K944" t="str">
            <v/>
          </cell>
          <cell r="N944" t="str">
            <v/>
          </cell>
          <cell r="P944" t="str">
            <v/>
          </cell>
        </row>
        <row r="945">
          <cell r="B945" t="str">
            <v/>
          </cell>
          <cell r="C945" t="str">
            <v/>
          </cell>
          <cell r="E945" t="str">
            <v/>
          </cell>
          <cell r="H945" t="str">
            <v/>
          </cell>
          <cell r="I945" t="str">
            <v/>
          </cell>
          <cell r="K945" t="str">
            <v/>
          </cell>
          <cell r="N945" t="str">
            <v/>
          </cell>
          <cell r="P945" t="str">
            <v/>
          </cell>
        </row>
        <row r="946">
          <cell r="B946" t="str">
            <v/>
          </cell>
          <cell r="C946" t="str">
            <v/>
          </cell>
          <cell r="E946" t="str">
            <v/>
          </cell>
          <cell r="H946" t="str">
            <v/>
          </cell>
          <cell r="I946" t="str">
            <v/>
          </cell>
          <cell r="K946" t="str">
            <v/>
          </cell>
          <cell r="N946" t="str">
            <v/>
          </cell>
          <cell r="P946" t="str">
            <v/>
          </cell>
        </row>
        <row r="947">
          <cell r="B947" t="str">
            <v/>
          </cell>
          <cell r="C947" t="str">
            <v/>
          </cell>
          <cell r="E947" t="str">
            <v/>
          </cell>
          <cell r="H947" t="str">
            <v/>
          </cell>
          <cell r="I947" t="str">
            <v/>
          </cell>
          <cell r="K947" t="str">
            <v/>
          </cell>
          <cell r="N947" t="str">
            <v/>
          </cell>
          <cell r="P947" t="str">
            <v/>
          </cell>
        </row>
        <row r="948">
          <cell r="B948" t="str">
            <v/>
          </cell>
          <cell r="C948" t="str">
            <v/>
          </cell>
          <cell r="E948" t="str">
            <v/>
          </cell>
          <cell r="H948" t="str">
            <v/>
          </cell>
          <cell r="I948" t="str">
            <v/>
          </cell>
          <cell r="K948" t="str">
            <v/>
          </cell>
          <cell r="N948" t="str">
            <v/>
          </cell>
          <cell r="P948" t="str">
            <v/>
          </cell>
        </row>
        <row r="949">
          <cell r="B949" t="str">
            <v/>
          </cell>
          <cell r="C949" t="str">
            <v/>
          </cell>
          <cell r="E949" t="str">
            <v/>
          </cell>
          <cell r="H949" t="str">
            <v/>
          </cell>
          <cell r="I949" t="str">
            <v/>
          </cell>
          <cell r="K949" t="str">
            <v/>
          </cell>
          <cell r="N949" t="str">
            <v/>
          </cell>
          <cell r="P949" t="str">
            <v/>
          </cell>
        </row>
        <row r="950">
          <cell r="B950" t="str">
            <v/>
          </cell>
          <cell r="C950" t="str">
            <v/>
          </cell>
          <cell r="E950" t="str">
            <v/>
          </cell>
          <cell r="H950" t="str">
            <v/>
          </cell>
          <cell r="I950" t="str">
            <v/>
          </cell>
          <cell r="K950" t="str">
            <v/>
          </cell>
          <cell r="N950" t="str">
            <v/>
          </cell>
          <cell r="P950" t="str">
            <v/>
          </cell>
        </row>
        <row r="951">
          <cell r="B951" t="str">
            <v/>
          </cell>
          <cell r="C951" t="str">
            <v/>
          </cell>
          <cell r="E951" t="str">
            <v/>
          </cell>
          <cell r="H951" t="str">
            <v/>
          </cell>
          <cell r="I951" t="str">
            <v/>
          </cell>
          <cell r="K951" t="str">
            <v/>
          </cell>
          <cell r="N951" t="str">
            <v/>
          </cell>
          <cell r="P951" t="str">
            <v/>
          </cell>
        </row>
        <row r="952">
          <cell r="B952" t="str">
            <v/>
          </cell>
          <cell r="C952" t="str">
            <v/>
          </cell>
          <cell r="E952" t="str">
            <v/>
          </cell>
          <cell r="H952" t="str">
            <v/>
          </cell>
          <cell r="I952" t="str">
            <v/>
          </cell>
          <cell r="K952" t="str">
            <v/>
          </cell>
          <cell r="N952" t="str">
            <v/>
          </cell>
          <cell r="P952" t="str">
            <v/>
          </cell>
        </row>
        <row r="953">
          <cell r="B953" t="str">
            <v/>
          </cell>
          <cell r="C953" t="str">
            <v/>
          </cell>
          <cell r="E953" t="str">
            <v/>
          </cell>
          <cell r="H953" t="str">
            <v/>
          </cell>
          <cell r="I953" t="str">
            <v/>
          </cell>
          <cell r="K953" t="str">
            <v/>
          </cell>
          <cell r="N953" t="str">
            <v/>
          </cell>
          <cell r="P953" t="str">
            <v/>
          </cell>
        </row>
        <row r="954">
          <cell r="B954" t="str">
            <v/>
          </cell>
          <cell r="C954" t="str">
            <v/>
          </cell>
          <cell r="E954" t="str">
            <v/>
          </cell>
          <cell r="H954" t="str">
            <v/>
          </cell>
          <cell r="I954" t="str">
            <v/>
          </cell>
          <cell r="K954" t="str">
            <v/>
          </cell>
          <cell r="N954" t="str">
            <v/>
          </cell>
          <cell r="P954" t="str">
            <v/>
          </cell>
        </row>
        <row r="955">
          <cell r="B955" t="str">
            <v/>
          </cell>
          <cell r="C955" t="str">
            <v/>
          </cell>
          <cell r="E955" t="str">
            <v/>
          </cell>
          <cell r="H955" t="str">
            <v/>
          </cell>
          <cell r="I955" t="str">
            <v/>
          </cell>
          <cell r="K955" t="str">
            <v/>
          </cell>
          <cell r="N955" t="str">
            <v/>
          </cell>
          <cell r="P955" t="str">
            <v/>
          </cell>
        </row>
        <row r="956">
          <cell r="B956" t="str">
            <v/>
          </cell>
          <cell r="C956" t="str">
            <v/>
          </cell>
          <cell r="E956" t="str">
            <v/>
          </cell>
          <cell r="H956" t="str">
            <v/>
          </cell>
          <cell r="I956" t="str">
            <v/>
          </cell>
          <cell r="K956" t="str">
            <v/>
          </cell>
          <cell r="N956" t="str">
            <v/>
          </cell>
          <cell r="P956" t="str">
            <v/>
          </cell>
        </row>
        <row r="957">
          <cell r="B957" t="str">
            <v/>
          </cell>
          <cell r="C957" t="str">
            <v/>
          </cell>
          <cell r="E957" t="str">
            <v/>
          </cell>
          <cell r="H957" t="str">
            <v/>
          </cell>
          <cell r="I957" t="str">
            <v/>
          </cell>
          <cell r="K957" t="str">
            <v/>
          </cell>
          <cell r="N957" t="str">
            <v/>
          </cell>
          <cell r="P957" t="str">
            <v/>
          </cell>
        </row>
        <row r="958">
          <cell r="B958" t="str">
            <v/>
          </cell>
          <cell r="C958" t="str">
            <v/>
          </cell>
          <cell r="E958" t="str">
            <v/>
          </cell>
          <cell r="H958" t="str">
            <v/>
          </cell>
          <cell r="I958" t="str">
            <v/>
          </cell>
          <cell r="K958" t="str">
            <v/>
          </cell>
          <cell r="N958" t="str">
            <v/>
          </cell>
          <cell r="P958" t="str">
            <v/>
          </cell>
        </row>
        <row r="959">
          <cell r="B959" t="str">
            <v/>
          </cell>
          <cell r="C959" t="str">
            <v/>
          </cell>
          <cell r="E959" t="str">
            <v/>
          </cell>
          <cell r="H959" t="str">
            <v/>
          </cell>
          <cell r="I959" t="str">
            <v/>
          </cell>
          <cell r="K959" t="str">
            <v/>
          </cell>
          <cell r="N959" t="str">
            <v/>
          </cell>
          <cell r="P959" t="str">
            <v/>
          </cell>
        </row>
        <row r="960">
          <cell r="B960" t="str">
            <v/>
          </cell>
          <cell r="C960" t="str">
            <v/>
          </cell>
          <cell r="E960" t="str">
            <v/>
          </cell>
          <cell r="H960" t="str">
            <v/>
          </cell>
          <cell r="I960" t="str">
            <v/>
          </cell>
          <cell r="K960" t="str">
            <v/>
          </cell>
          <cell r="N960" t="str">
            <v/>
          </cell>
          <cell r="P960" t="str">
            <v/>
          </cell>
        </row>
        <row r="961">
          <cell r="B961" t="str">
            <v/>
          </cell>
          <cell r="C961" t="str">
            <v/>
          </cell>
          <cell r="E961" t="str">
            <v/>
          </cell>
          <cell r="H961" t="str">
            <v/>
          </cell>
          <cell r="I961" t="str">
            <v/>
          </cell>
          <cell r="K961" t="str">
            <v/>
          </cell>
          <cell r="N961" t="str">
            <v/>
          </cell>
          <cell r="P961" t="str">
            <v/>
          </cell>
        </row>
        <row r="962">
          <cell r="B962" t="str">
            <v/>
          </cell>
          <cell r="C962" t="str">
            <v/>
          </cell>
          <cell r="E962" t="str">
            <v/>
          </cell>
          <cell r="H962" t="str">
            <v/>
          </cell>
          <cell r="I962" t="str">
            <v/>
          </cell>
          <cell r="K962" t="str">
            <v/>
          </cell>
          <cell r="N962" t="str">
            <v/>
          </cell>
          <cell r="P962" t="str">
            <v/>
          </cell>
        </row>
        <row r="963">
          <cell r="B963" t="str">
            <v/>
          </cell>
          <cell r="C963" t="str">
            <v/>
          </cell>
          <cell r="E963" t="str">
            <v/>
          </cell>
          <cell r="H963" t="str">
            <v/>
          </cell>
          <cell r="I963" t="str">
            <v/>
          </cell>
          <cell r="K963" t="str">
            <v/>
          </cell>
          <cell r="N963" t="str">
            <v/>
          </cell>
          <cell r="P963" t="str">
            <v/>
          </cell>
        </row>
        <row r="964">
          <cell r="B964" t="str">
            <v/>
          </cell>
          <cell r="C964" t="str">
            <v/>
          </cell>
          <cell r="E964" t="str">
            <v/>
          </cell>
          <cell r="H964" t="str">
            <v/>
          </cell>
          <cell r="I964" t="str">
            <v/>
          </cell>
          <cell r="K964" t="str">
            <v/>
          </cell>
          <cell r="N964" t="str">
            <v/>
          </cell>
          <cell r="P964" t="str">
            <v/>
          </cell>
        </row>
        <row r="965">
          <cell r="B965" t="str">
            <v/>
          </cell>
          <cell r="C965" t="str">
            <v/>
          </cell>
          <cell r="E965" t="str">
            <v/>
          </cell>
          <cell r="H965" t="str">
            <v/>
          </cell>
          <cell r="I965" t="str">
            <v/>
          </cell>
          <cell r="K965" t="str">
            <v/>
          </cell>
          <cell r="N965" t="str">
            <v/>
          </cell>
          <cell r="P965" t="str">
            <v/>
          </cell>
        </row>
        <row r="966">
          <cell r="B966" t="str">
            <v/>
          </cell>
          <cell r="C966" t="str">
            <v/>
          </cell>
          <cell r="E966" t="str">
            <v/>
          </cell>
          <cell r="H966" t="str">
            <v/>
          </cell>
          <cell r="I966" t="str">
            <v/>
          </cell>
          <cell r="K966" t="str">
            <v/>
          </cell>
          <cell r="N966" t="str">
            <v/>
          </cell>
          <cell r="P966" t="str">
            <v/>
          </cell>
        </row>
        <row r="967">
          <cell r="B967" t="str">
            <v/>
          </cell>
          <cell r="C967" t="str">
            <v/>
          </cell>
          <cell r="E967" t="str">
            <v/>
          </cell>
          <cell r="H967" t="str">
            <v/>
          </cell>
          <cell r="I967" t="str">
            <v/>
          </cell>
          <cell r="K967" t="str">
            <v/>
          </cell>
          <cell r="N967" t="str">
            <v/>
          </cell>
          <cell r="P967" t="str">
            <v/>
          </cell>
        </row>
        <row r="968">
          <cell r="B968" t="str">
            <v/>
          </cell>
          <cell r="C968" t="str">
            <v/>
          </cell>
          <cell r="E968" t="str">
            <v/>
          </cell>
          <cell r="H968" t="str">
            <v/>
          </cell>
          <cell r="I968" t="str">
            <v/>
          </cell>
          <cell r="K968" t="str">
            <v/>
          </cell>
          <cell r="N968" t="str">
            <v/>
          </cell>
          <cell r="P968" t="str">
            <v/>
          </cell>
        </row>
        <row r="969">
          <cell r="B969" t="str">
            <v/>
          </cell>
          <cell r="C969" t="str">
            <v/>
          </cell>
          <cell r="E969" t="str">
            <v/>
          </cell>
          <cell r="H969" t="str">
            <v/>
          </cell>
          <cell r="I969" t="str">
            <v/>
          </cell>
          <cell r="K969" t="str">
            <v/>
          </cell>
          <cell r="N969" t="str">
            <v/>
          </cell>
          <cell r="P969" t="str">
            <v/>
          </cell>
        </row>
        <row r="970">
          <cell r="B970" t="str">
            <v/>
          </cell>
          <cell r="C970" t="str">
            <v/>
          </cell>
          <cell r="E970" t="str">
            <v/>
          </cell>
          <cell r="H970" t="str">
            <v/>
          </cell>
          <cell r="I970" t="str">
            <v/>
          </cell>
          <cell r="K970" t="str">
            <v/>
          </cell>
          <cell r="N970" t="str">
            <v/>
          </cell>
          <cell r="P970" t="str">
            <v/>
          </cell>
        </row>
        <row r="971">
          <cell r="B971" t="str">
            <v/>
          </cell>
          <cell r="C971" t="str">
            <v/>
          </cell>
          <cell r="E971" t="str">
            <v/>
          </cell>
          <cell r="H971" t="str">
            <v/>
          </cell>
          <cell r="I971" t="str">
            <v/>
          </cell>
          <cell r="K971" t="str">
            <v/>
          </cell>
          <cell r="N971" t="str">
            <v/>
          </cell>
          <cell r="P971" t="str">
            <v/>
          </cell>
        </row>
        <row r="972">
          <cell r="B972" t="str">
            <v/>
          </cell>
          <cell r="C972" t="str">
            <v/>
          </cell>
          <cell r="E972" t="str">
            <v/>
          </cell>
          <cell r="H972" t="str">
            <v/>
          </cell>
          <cell r="I972" t="str">
            <v/>
          </cell>
          <cell r="K972" t="str">
            <v/>
          </cell>
          <cell r="N972" t="str">
            <v/>
          </cell>
          <cell r="P972" t="str">
            <v/>
          </cell>
        </row>
        <row r="973">
          <cell r="B973" t="str">
            <v/>
          </cell>
          <cell r="C973" t="str">
            <v/>
          </cell>
          <cell r="E973" t="str">
            <v/>
          </cell>
          <cell r="H973" t="str">
            <v/>
          </cell>
          <cell r="I973" t="str">
            <v/>
          </cell>
          <cell r="K973" t="str">
            <v/>
          </cell>
          <cell r="N973" t="str">
            <v/>
          </cell>
          <cell r="P973" t="str">
            <v/>
          </cell>
        </row>
        <row r="974">
          <cell r="B974" t="str">
            <v/>
          </cell>
          <cell r="C974" t="str">
            <v/>
          </cell>
          <cell r="E974" t="str">
            <v/>
          </cell>
          <cell r="H974" t="str">
            <v/>
          </cell>
          <cell r="I974" t="str">
            <v/>
          </cell>
          <cell r="K974" t="str">
            <v/>
          </cell>
          <cell r="N974" t="str">
            <v/>
          </cell>
          <cell r="P974" t="str">
            <v/>
          </cell>
        </row>
        <row r="975">
          <cell r="B975" t="str">
            <v/>
          </cell>
          <cell r="C975" t="str">
            <v/>
          </cell>
          <cell r="E975" t="str">
            <v/>
          </cell>
          <cell r="H975" t="str">
            <v/>
          </cell>
          <cell r="I975" t="str">
            <v/>
          </cell>
          <cell r="K975" t="str">
            <v/>
          </cell>
          <cell r="N975" t="str">
            <v/>
          </cell>
          <cell r="P975" t="str">
            <v/>
          </cell>
        </row>
        <row r="976">
          <cell r="B976" t="str">
            <v/>
          </cell>
          <cell r="C976" t="str">
            <v/>
          </cell>
          <cell r="E976" t="str">
            <v/>
          </cell>
          <cell r="H976" t="str">
            <v/>
          </cell>
          <cell r="I976" t="str">
            <v/>
          </cell>
          <cell r="K976" t="str">
            <v/>
          </cell>
          <cell r="N976" t="str">
            <v/>
          </cell>
          <cell r="P976" t="str">
            <v/>
          </cell>
        </row>
        <row r="977">
          <cell r="B977" t="str">
            <v/>
          </cell>
          <cell r="C977" t="str">
            <v/>
          </cell>
          <cell r="E977" t="str">
            <v/>
          </cell>
          <cell r="H977" t="str">
            <v/>
          </cell>
          <cell r="I977" t="str">
            <v/>
          </cell>
          <cell r="K977" t="str">
            <v/>
          </cell>
          <cell r="N977" t="str">
            <v/>
          </cell>
          <cell r="P977" t="str">
            <v/>
          </cell>
        </row>
        <row r="978">
          <cell r="B978" t="str">
            <v/>
          </cell>
          <cell r="C978" t="str">
            <v/>
          </cell>
          <cell r="E978" t="str">
            <v/>
          </cell>
          <cell r="H978" t="str">
            <v/>
          </cell>
          <cell r="I978" t="str">
            <v/>
          </cell>
          <cell r="K978" t="str">
            <v/>
          </cell>
          <cell r="N978" t="str">
            <v/>
          </cell>
          <cell r="P978" t="str">
            <v/>
          </cell>
        </row>
        <row r="979">
          <cell r="B979" t="str">
            <v/>
          </cell>
          <cell r="C979" t="str">
            <v/>
          </cell>
          <cell r="E979" t="str">
            <v/>
          </cell>
          <cell r="H979" t="str">
            <v/>
          </cell>
          <cell r="I979" t="str">
            <v/>
          </cell>
          <cell r="K979" t="str">
            <v/>
          </cell>
          <cell r="N979" t="str">
            <v/>
          </cell>
          <cell r="P979" t="str">
            <v/>
          </cell>
        </row>
        <row r="980">
          <cell r="B980" t="str">
            <v/>
          </cell>
          <cell r="C980" t="str">
            <v/>
          </cell>
          <cell r="E980" t="str">
            <v/>
          </cell>
          <cell r="H980" t="str">
            <v/>
          </cell>
          <cell r="I980" t="str">
            <v/>
          </cell>
          <cell r="K980" t="str">
            <v/>
          </cell>
          <cell r="N980" t="str">
            <v/>
          </cell>
          <cell r="P980" t="str">
            <v/>
          </cell>
        </row>
        <row r="981">
          <cell r="B981" t="str">
            <v/>
          </cell>
          <cell r="C981" t="str">
            <v/>
          </cell>
          <cell r="E981" t="str">
            <v/>
          </cell>
          <cell r="H981" t="str">
            <v/>
          </cell>
          <cell r="I981" t="str">
            <v/>
          </cell>
          <cell r="K981" t="str">
            <v/>
          </cell>
          <cell r="N981" t="str">
            <v/>
          </cell>
          <cell r="P981" t="str">
            <v/>
          </cell>
        </row>
        <row r="982">
          <cell r="B982" t="str">
            <v/>
          </cell>
          <cell r="C982" t="str">
            <v/>
          </cell>
          <cell r="E982" t="str">
            <v/>
          </cell>
          <cell r="H982" t="str">
            <v/>
          </cell>
          <cell r="I982" t="str">
            <v/>
          </cell>
          <cell r="K982" t="str">
            <v/>
          </cell>
          <cell r="N982" t="str">
            <v/>
          </cell>
          <cell r="P982" t="str">
            <v/>
          </cell>
        </row>
        <row r="983">
          <cell r="B983" t="str">
            <v/>
          </cell>
          <cell r="C983" t="str">
            <v/>
          </cell>
          <cell r="E983" t="str">
            <v/>
          </cell>
          <cell r="H983" t="str">
            <v/>
          </cell>
          <cell r="I983" t="str">
            <v/>
          </cell>
          <cell r="K983" t="str">
            <v/>
          </cell>
          <cell r="N983" t="str">
            <v/>
          </cell>
          <cell r="P983" t="str">
            <v/>
          </cell>
        </row>
        <row r="984">
          <cell r="B984" t="str">
            <v/>
          </cell>
          <cell r="C984" t="str">
            <v/>
          </cell>
          <cell r="E984" t="str">
            <v/>
          </cell>
          <cell r="H984" t="str">
            <v/>
          </cell>
          <cell r="I984" t="str">
            <v/>
          </cell>
          <cell r="K984" t="str">
            <v/>
          </cell>
          <cell r="N984" t="str">
            <v/>
          </cell>
          <cell r="P984" t="str">
            <v/>
          </cell>
        </row>
        <row r="985">
          <cell r="B985" t="str">
            <v/>
          </cell>
          <cell r="C985" t="str">
            <v/>
          </cell>
          <cell r="E985" t="str">
            <v/>
          </cell>
          <cell r="H985" t="str">
            <v/>
          </cell>
          <cell r="I985" t="str">
            <v/>
          </cell>
          <cell r="K985" t="str">
            <v/>
          </cell>
          <cell r="N985" t="str">
            <v/>
          </cell>
          <cell r="P985" t="str">
            <v/>
          </cell>
        </row>
        <row r="986">
          <cell r="B986" t="str">
            <v/>
          </cell>
          <cell r="C986" t="str">
            <v/>
          </cell>
          <cell r="E986" t="str">
            <v/>
          </cell>
          <cell r="H986" t="str">
            <v/>
          </cell>
          <cell r="I986" t="str">
            <v/>
          </cell>
          <cell r="K986" t="str">
            <v/>
          </cell>
          <cell r="N986" t="str">
            <v/>
          </cell>
          <cell r="P986" t="str">
            <v/>
          </cell>
        </row>
        <row r="987">
          <cell r="B987" t="str">
            <v/>
          </cell>
          <cell r="C987" t="str">
            <v/>
          </cell>
          <cell r="E987" t="str">
            <v/>
          </cell>
          <cell r="H987" t="str">
            <v/>
          </cell>
          <cell r="I987" t="str">
            <v/>
          </cell>
          <cell r="K987" t="str">
            <v/>
          </cell>
          <cell r="N987" t="str">
            <v/>
          </cell>
          <cell r="P987" t="str">
            <v/>
          </cell>
        </row>
        <row r="988">
          <cell r="B988" t="str">
            <v/>
          </cell>
          <cell r="C988" t="str">
            <v/>
          </cell>
          <cell r="E988" t="str">
            <v/>
          </cell>
          <cell r="H988" t="str">
            <v/>
          </cell>
          <cell r="I988" t="str">
            <v/>
          </cell>
          <cell r="K988" t="str">
            <v/>
          </cell>
          <cell r="N988" t="str">
            <v/>
          </cell>
          <cell r="P988" t="str">
            <v/>
          </cell>
        </row>
        <row r="989">
          <cell r="B989" t="str">
            <v/>
          </cell>
          <cell r="C989" t="str">
            <v/>
          </cell>
          <cell r="E989" t="str">
            <v/>
          </cell>
          <cell r="H989" t="str">
            <v/>
          </cell>
          <cell r="I989" t="str">
            <v/>
          </cell>
          <cell r="K989" t="str">
            <v/>
          </cell>
          <cell r="N989" t="str">
            <v/>
          </cell>
          <cell r="P989" t="str">
            <v/>
          </cell>
        </row>
        <row r="990">
          <cell r="B990" t="str">
            <v/>
          </cell>
          <cell r="C990" t="str">
            <v/>
          </cell>
          <cell r="E990" t="str">
            <v/>
          </cell>
          <cell r="H990" t="str">
            <v/>
          </cell>
          <cell r="I990" t="str">
            <v/>
          </cell>
          <cell r="K990" t="str">
            <v/>
          </cell>
          <cell r="N990" t="str">
            <v/>
          </cell>
          <cell r="P990" t="str">
            <v/>
          </cell>
        </row>
        <row r="991">
          <cell r="B991" t="str">
            <v/>
          </cell>
          <cell r="C991" t="str">
            <v/>
          </cell>
          <cell r="E991" t="str">
            <v/>
          </cell>
          <cell r="H991" t="str">
            <v/>
          </cell>
          <cell r="I991" t="str">
            <v/>
          </cell>
          <cell r="K991" t="str">
            <v/>
          </cell>
          <cell r="N991" t="str">
            <v/>
          </cell>
          <cell r="P991" t="str">
            <v/>
          </cell>
        </row>
        <row r="992">
          <cell r="B992" t="str">
            <v/>
          </cell>
          <cell r="C992" t="str">
            <v/>
          </cell>
          <cell r="E992" t="str">
            <v/>
          </cell>
          <cell r="H992" t="str">
            <v/>
          </cell>
          <cell r="I992" t="str">
            <v/>
          </cell>
          <cell r="K992" t="str">
            <v/>
          </cell>
          <cell r="N992" t="str">
            <v/>
          </cell>
          <cell r="P992" t="str">
            <v/>
          </cell>
        </row>
        <row r="993">
          <cell r="B993" t="str">
            <v/>
          </cell>
          <cell r="C993" t="str">
            <v/>
          </cell>
          <cell r="E993" t="str">
            <v/>
          </cell>
          <cell r="H993" t="str">
            <v/>
          </cell>
          <cell r="I993" t="str">
            <v/>
          </cell>
          <cell r="K993" t="str">
            <v/>
          </cell>
          <cell r="N993" t="str">
            <v/>
          </cell>
          <cell r="P993" t="str">
            <v/>
          </cell>
        </row>
        <row r="994">
          <cell r="B994" t="str">
            <v/>
          </cell>
          <cell r="C994" t="str">
            <v/>
          </cell>
          <cell r="E994" t="str">
            <v/>
          </cell>
          <cell r="H994" t="str">
            <v/>
          </cell>
          <cell r="I994" t="str">
            <v/>
          </cell>
          <cell r="K994" t="str">
            <v/>
          </cell>
          <cell r="N994" t="str">
            <v/>
          </cell>
          <cell r="P994" t="str">
            <v/>
          </cell>
        </row>
        <row r="995">
          <cell r="B995" t="str">
            <v/>
          </cell>
          <cell r="C995" t="str">
            <v/>
          </cell>
          <cell r="E995" t="str">
            <v/>
          </cell>
          <cell r="H995" t="str">
            <v/>
          </cell>
          <cell r="I995" t="str">
            <v/>
          </cell>
          <cell r="K995" t="str">
            <v/>
          </cell>
          <cell r="N995" t="str">
            <v/>
          </cell>
          <cell r="P995" t="str">
            <v/>
          </cell>
        </row>
        <row r="996">
          <cell r="B996" t="str">
            <v/>
          </cell>
          <cell r="C996" t="str">
            <v/>
          </cell>
          <cell r="E996" t="str">
            <v/>
          </cell>
          <cell r="H996" t="str">
            <v/>
          </cell>
          <cell r="I996" t="str">
            <v/>
          </cell>
          <cell r="K996" t="str">
            <v/>
          </cell>
          <cell r="N996" t="str">
            <v/>
          </cell>
          <cell r="P996" t="str">
            <v/>
          </cell>
        </row>
        <row r="997">
          <cell r="B997" t="str">
            <v/>
          </cell>
          <cell r="C997" t="str">
            <v/>
          </cell>
          <cell r="E997" t="str">
            <v/>
          </cell>
          <cell r="H997" t="str">
            <v/>
          </cell>
          <cell r="I997" t="str">
            <v/>
          </cell>
          <cell r="K997" t="str">
            <v/>
          </cell>
          <cell r="N997" t="str">
            <v/>
          </cell>
          <cell r="P997" t="str">
            <v/>
          </cell>
        </row>
        <row r="998">
          <cell r="B998" t="str">
            <v/>
          </cell>
          <cell r="C998" t="str">
            <v/>
          </cell>
          <cell r="E998" t="str">
            <v/>
          </cell>
          <cell r="H998" t="str">
            <v/>
          </cell>
          <cell r="I998" t="str">
            <v/>
          </cell>
          <cell r="K998" t="str">
            <v/>
          </cell>
          <cell r="N998" t="str">
            <v/>
          </cell>
          <cell r="P998" t="str">
            <v/>
          </cell>
        </row>
        <row r="999">
          <cell r="B999" t="str">
            <v/>
          </cell>
          <cell r="C999" t="str">
            <v/>
          </cell>
          <cell r="E999" t="str">
            <v/>
          </cell>
          <cell r="H999" t="str">
            <v/>
          </cell>
          <cell r="I999" t="str">
            <v/>
          </cell>
          <cell r="K999" t="str">
            <v/>
          </cell>
          <cell r="N999" t="str">
            <v/>
          </cell>
          <cell r="P999" t="str">
            <v/>
          </cell>
        </row>
        <row r="1000">
          <cell r="B1000" t="str">
            <v/>
          </cell>
          <cell r="C1000" t="str">
            <v/>
          </cell>
          <cell r="E1000" t="str">
            <v/>
          </cell>
          <cell r="H1000" t="str">
            <v/>
          </cell>
          <cell r="I1000" t="str">
            <v/>
          </cell>
          <cell r="K1000" t="str">
            <v/>
          </cell>
          <cell r="N1000" t="str">
            <v/>
          </cell>
          <cell r="P1000" t="str">
            <v/>
          </cell>
        </row>
        <row r="1001">
          <cell r="B1001" t="str">
            <v/>
          </cell>
          <cell r="C1001" t="str">
            <v/>
          </cell>
          <cell r="E1001" t="str">
            <v/>
          </cell>
          <cell r="H1001" t="str">
            <v/>
          </cell>
          <cell r="I1001" t="str">
            <v/>
          </cell>
          <cell r="K1001" t="str">
            <v/>
          </cell>
          <cell r="N1001" t="str">
            <v/>
          </cell>
          <cell r="P1001" t="str">
            <v/>
          </cell>
        </row>
        <row r="1002">
          <cell r="B1002" t="str">
            <v/>
          </cell>
          <cell r="C1002" t="str">
            <v/>
          </cell>
          <cell r="E1002" t="str">
            <v/>
          </cell>
          <cell r="H1002" t="str">
            <v/>
          </cell>
          <cell r="I1002" t="str">
            <v/>
          </cell>
          <cell r="K1002" t="str">
            <v/>
          </cell>
          <cell r="N1002" t="str">
            <v/>
          </cell>
          <cell r="P1002" t="str">
            <v/>
          </cell>
        </row>
        <row r="1003">
          <cell r="B1003" t="str">
            <v/>
          </cell>
          <cell r="C1003" t="str">
            <v/>
          </cell>
          <cell r="E1003" t="str">
            <v/>
          </cell>
          <cell r="H1003" t="str">
            <v/>
          </cell>
          <cell r="I1003" t="str">
            <v/>
          </cell>
          <cell r="K1003" t="str">
            <v/>
          </cell>
          <cell r="N1003" t="str">
            <v/>
          </cell>
          <cell r="P1003" t="str">
            <v/>
          </cell>
        </row>
        <row r="1004">
          <cell r="B1004" t="str">
            <v/>
          </cell>
          <cell r="C1004" t="str">
            <v/>
          </cell>
          <cell r="E1004" t="str">
            <v/>
          </cell>
          <cell r="H1004" t="str">
            <v/>
          </cell>
          <cell r="I1004" t="str">
            <v/>
          </cell>
          <cell r="K1004" t="str">
            <v/>
          </cell>
          <cell r="N1004" t="str">
            <v/>
          </cell>
          <cell r="P1004" t="str">
            <v/>
          </cell>
        </row>
        <row r="1005">
          <cell r="B1005" t="str">
            <v/>
          </cell>
          <cell r="C1005" t="str">
            <v/>
          </cell>
          <cell r="E1005" t="str">
            <v/>
          </cell>
          <cell r="H1005" t="str">
            <v/>
          </cell>
          <cell r="I1005" t="str">
            <v/>
          </cell>
          <cell r="K1005" t="str">
            <v/>
          </cell>
          <cell r="N1005" t="str">
            <v/>
          </cell>
          <cell r="P1005" t="str">
            <v/>
          </cell>
        </row>
        <row r="1006">
          <cell r="B1006" t="str">
            <v/>
          </cell>
          <cell r="C1006" t="str">
            <v/>
          </cell>
          <cell r="E1006" t="str">
            <v/>
          </cell>
          <cell r="H1006" t="str">
            <v/>
          </cell>
          <cell r="I1006" t="str">
            <v/>
          </cell>
          <cell r="K1006" t="str">
            <v/>
          </cell>
          <cell r="N1006" t="str">
            <v/>
          </cell>
          <cell r="P1006" t="str">
            <v/>
          </cell>
        </row>
        <row r="1007">
          <cell r="B1007" t="str">
            <v/>
          </cell>
          <cell r="C1007" t="str">
            <v/>
          </cell>
          <cell r="E1007" t="str">
            <v/>
          </cell>
          <cell r="H1007" t="str">
            <v/>
          </cell>
          <cell r="I1007" t="str">
            <v/>
          </cell>
          <cell r="K1007" t="str">
            <v/>
          </cell>
          <cell r="N1007" t="str">
            <v/>
          </cell>
          <cell r="P1007" t="str">
            <v/>
          </cell>
        </row>
        <row r="1008">
          <cell r="B1008" t="str">
            <v/>
          </cell>
          <cell r="C1008" t="str">
            <v/>
          </cell>
          <cell r="E1008" t="str">
            <v/>
          </cell>
          <cell r="H1008" t="str">
            <v/>
          </cell>
          <cell r="I1008" t="str">
            <v/>
          </cell>
          <cell r="K1008" t="str">
            <v/>
          </cell>
          <cell r="N1008" t="str">
            <v/>
          </cell>
          <cell r="P1008" t="str">
            <v/>
          </cell>
        </row>
        <row r="1009">
          <cell r="B1009" t="str">
            <v/>
          </cell>
          <cell r="C1009" t="str">
            <v/>
          </cell>
          <cell r="E1009" t="str">
            <v/>
          </cell>
          <cell r="H1009" t="str">
            <v/>
          </cell>
          <cell r="I1009" t="str">
            <v/>
          </cell>
          <cell r="K1009" t="str">
            <v/>
          </cell>
          <cell r="N1009" t="str">
            <v/>
          </cell>
          <cell r="P1009" t="str">
            <v/>
          </cell>
        </row>
        <row r="1010">
          <cell r="B1010" t="str">
            <v/>
          </cell>
          <cell r="C1010" t="str">
            <v/>
          </cell>
          <cell r="E1010" t="str">
            <v/>
          </cell>
          <cell r="H1010" t="str">
            <v/>
          </cell>
          <cell r="I1010" t="str">
            <v/>
          </cell>
          <cell r="K1010" t="str">
            <v/>
          </cell>
          <cell r="N1010" t="str">
            <v/>
          </cell>
          <cell r="P1010" t="str">
            <v/>
          </cell>
        </row>
        <row r="1011">
          <cell r="B1011" t="str">
            <v/>
          </cell>
          <cell r="C1011" t="str">
            <v/>
          </cell>
          <cell r="E1011" t="str">
            <v/>
          </cell>
          <cell r="H1011" t="str">
            <v/>
          </cell>
          <cell r="I1011" t="str">
            <v/>
          </cell>
          <cell r="K1011" t="str">
            <v/>
          </cell>
          <cell r="N1011" t="str">
            <v/>
          </cell>
          <cell r="P1011" t="str">
            <v/>
          </cell>
        </row>
        <row r="1012">
          <cell r="B1012" t="str">
            <v/>
          </cell>
          <cell r="C1012" t="str">
            <v/>
          </cell>
          <cell r="E1012" t="str">
            <v/>
          </cell>
          <cell r="H1012" t="str">
            <v/>
          </cell>
          <cell r="I1012" t="str">
            <v/>
          </cell>
          <cell r="K1012" t="str">
            <v/>
          </cell>
          <cell r="N1012" t="str">
            <v/>
          </cell>
          <cell r="P1012" t="str">
            <v/>
          </cell>
        </row>
        <row r="1013">
          <cell r="B1013" t="str">
            <v/>
          </cell>
          <cell r="C1013" t="str">
            <v/>
          </cell>
          <cell r="E1013" t="str">
            <v/>
          </cell>
          <cell r="H1013" t="str">
            <v/>
          </cell>
          <cell r="I1013" t="str">
            <v/>
          </cell>
          <cell r="K1013" t="str">
            <v/>
          </cell>
          <cell r="N1013" t="str">
            <v/>
          </cell>
          <cell r="P1013" t="str">
            <v/>
          </cell>
        </row>
        <row r="1014">
          <cell r="B1014" t="str">
            <v/>
          </cell>
          <cell r="C1014" t="str">
            <v/>
          </cell>
          <cell r="E1014" t="str">
            <v/>
          </cell>
          <cell r="H1014" t="str">
            <v/>
          </cell>
          <cell r="I1014" t="str">
            <v/>
          </cell>
          <cell r="K1014" t="str">
            <v/>
          </cell>
          <cell r="N1014" t="str">
            <v/>
          </cell>
          <cell r="P1014" t="str">
            <v/>
          </cell>
        </row>
        <row r="1015">
          <cell r="B1015" t="str">
            <v/>
          </cell>
          <cell r="C1015" t="str">
            <v/>
          </cell>
          <cell r="E1015" t="str">
            <v/>
          </cell>
          <cell r="H1015" t="str">
            <v/>
          </cell>
          <cell r="I1015" t="str">
            <v/>
          </cell>
          <cell r="K1015" t="str">
            <v/>
          </cell>
          <cell r="N1015" t="str">
            <v/>
          </cell>
          <cell r="P1015" t="str">
            <v/>
          </cell>
        </row>
        <row r="1016">
          <cell r="B1016" t="str">
            <v/>
          </cell>
          <cell r="C1016" t="str">
            <v/>
          </cell>
          <cell r="E1016" t="str">
            <v/>
          </cell>
          <cell r="H1016" t="str">
            <v/>
          </cell>
          <cell r="I1016" t="str">
            <v/>
          </cell>
          <cell r="K1016" t="str">
            <v/>
          </cell>
          <cell r="N1016" t="str">
            <v/>
          </cell>
          <cell r="P1016" t="str">
            <v/>
          </cell>
        </row>
        <row r="1017">
          <cell r="B1017" t="str">
            <v/>
          </cell>
          <cell r="C1017" t="str">
            <v/>
          </cell>
          <cell r="E1017" t="str">
            <v/>
          </cell>
          <cell r="H1017" t="str">
            <v/>
          </cell>
          <cell r="I1017" t="str">
            <v/>
          </cell>
          <cell r="K1017" t="str">
            <v/>
          </cell>
          <cell r="N1017" t="str">
            <v/>
          </cell>
          <cell r="P1017" t="str">
            <v/>
          </cell>
        </row>
        <row r="1018">
          <cell r="B1018" t="str">
            <v/>
          </cell>
          <cell r="C1018" t="str">
            <v/>
          </cell>
          <cell r="E1018" t="str">
            <v/>
          </cell>
          <cell r="H1018" t="str">
            <v/>
          </cell>
          <cell r="I1018" t="str">
            <v/>
          </cell>
          <cell r="K1018" t="str">
            <v/>
          </cell>
          <cell r="N1018" t="str">
            <v/>
          </cell>
          <cell r="P1018" t="str">
            <v/>
          </cell>
        </row>
        <row r="1019">
          <cell r="B1019" t="str">
            <v/>
          </cell>
          <cell r="C1019" t="str">
            <v/>
          </cell>
          <cell r="E1019" t="str">
            <v/>
          </cell>
          <cell r="H1019" t="str">
            <v/>
          </cell>
          <cell r="I1019" t="str">
            <v/>
          </cell>
          <cell r="K1019" t="str">
            <v/>
          </cell>
          <cell r="N1019" t="str">
            <v/>
          </cell>
          <cell r="P1019" t="str">
            <v/>
          </cell>
        </row>
        <row r="1020">
          <cell r="B1020" t="str">
            <v/>
          </cell>
          <cell r="C1020" t="str">
            <v/>
          </cell>
          <cell r="E1020" t="str">
            <v/>
          </cell>
          <cell r="H1020" t="str">
            <v/>
          </cell>
          <cell r="I1020" t="str">
            <v/>
          </cell>
          <cell r="K1020" t="str">
            <v/>
          </cell>
          <cell r="N1020" t="str">
            <v/>
          </cell>
          <cell r="P1020" t="str">
            <v/>
          </cell>
        </row>
        <row r="1021">
          <cell r="B1021" t="str">
            <v/>
          </cell>
          <cell r="C1021" t="str">
            <v/>
          </cell>
          <cell r="E1021" t="str">
            <v/>
          </cell>
          <cell r="H1021" t="str">
            <v/>
          </cell>
          <cell r="I1021" t="str">
            <v/>
          </cell>
          <cell r="K1021" t="str">
            <v/>
          </cell>
          <cell r="N1021" t="str">
            <v/>
          </cell>
          <cell r="P1021" t="str">
            <v/>
          </cell>
        </row>
        <row r="1022">
          <cell r="B1022" t="str">
            <v/>
          </cell>
          <cell r="C1022" t="str">
            <v/>
          </cell>
          <cell r="E1022" t="str">
            <v/>
          </cell>
          <cell r="H1022" t="str">
            <v/>
          </cell>
          <cell r="I1022" t="str">
            <v/>
          </cell>
          <cell r="K1022" t="str">
            <v/>
          </cell>
          <cell r="N1022" t="str">
            <v/>
          </cell>
          <cell r="P1022" t="str">
            <v/>
          </cell>
        </row>
        <row r="1023">
          <cell r="B1023" t="str">
            <v/>
          </cell>
          <cell r="C1023" t="str">
            <v/>
          </cell>
          <cell r="E1023" t="str">
            <v/>
          </cell>
          <cell r="H1023" t="str">
            <v/>
          </cell>
          <cell r="I1023" t="str">
            <v/>
          </cell>
          <cell r="K1023" t="str">
            <v/>
          </cell>
          <cell r="N1023" t="str">
            <v/>
          </cell>
          <cell r="P1023" t="str">
            <v/>
          </cell>
        </row>
        <row r="1024">
          <cell r="B1024" t="str">
            <v/>
          </cell>
          <cell r="C1024" t="str">
            <v/>
          </cell>
          <cell r="E1024" t="str">
            <v/>
          </cell>
          <cell r="H1024" t="str">
            <v/>
          </cell>
          <cell r="I1024" t="str">
            <v/>
          </cell>
          <cell r="K1024" t="str">
            <v/>
          </cell>
          <cell r="N1024" t="str">
            <v/>
          </cell>
          <cell r="P1024" t="str">
            <v/>
          </cell>
        </row>
        <row r="1025">
          <cell r="B1025" t="str">
            <v/>
          </cell>
          <cell r="C1025" t="str">
            <v/>
          </cell>
          <cell r="E1025" t="str">
            <v/>
          </cell>
          <cell r="H1025" t="str">
            <v/>
          </cell>
          <cell r="I1025" t="str">
            <v/>
          </cell>
          <cell r="K1025" t="str">
            <v/>
          </cell>
          <cell r="N1025" t="str">
            <v/>
          </cell>
          <cell r="P1025" t="str">
            <v/>
          </cell>
        </row>
        <row r="1026">
          <cell r="B1026" t="str">
            <v/>
          </cell>
          <cell r="C1026" t="str">
            <v/>
          </cell>
          <cell r="E1026" t="str">
            <v/>
          </cell>
          <cell r="H1026" t="str">
            <v/>
          </cell>
          <cell r="I1026" t="str">
            <v/>
          </cell>
          <cell r="K1026" t="str">
            <v/>
          </cell>
          <cell r="N1026" t="str">
            <v/>
          </cell>
          <cell r="P1026" t="str">
            <v/>
          </cell>
        </row>
        <row r="1027">
          <cell r="B1027" t="str">
            <v/>
          </cell>
          <cell r="C1027" t="str">
            <v/>
          </cell>
          <cell r="E1027" t="str">
            <v/>
          </cell>
          <cell r="H1027" t="str">
            <v/>
          </cell>
          <cell r="I1027" t="str">
            <v/>
          </cell>
          <cell r="K1027" t="str">
            <v/>
          </cell>
          <cell r="N1027" t="str">
            <v/>
          </cell>
          <cell r="P1027" t="str">
            <v/>
          </cell>
        </row>
        <row r="1028">
          <cell r="B1028" t="str">
            <v/>
          </cell>
          <cell r="C1028" t="str">
            <v/>
          </cell>
          <cell r="E1028" t="str">
            <v/>
          </cell>
          <cell r="H1028" t="str">
            <v/>
          </cell>
          <cell r="I1028" t="str">
            <v/>
          </cell>
          <cell r="K1028" t="str">
            <v/>
          </cell>
          <cell r="N1028" t="str">
            <v/>
          </cell>
          <cell r="P1028" t="str">
            <v/>
          </cell>
        </row>
        <row r="1029">
          <cell r="B1029" t="str">
            <v/>
          </cell>
          <cell r="C1029" t="str">
            <v/>
          </cell>
          <cell r="E1029" t="str">
            <v/>
          </cell>
          <cell r="H1029" t="str">
            <v/>
          </cell>
          <cell r="I1029" t="str">
            <v/>
          </cell>
          <cell r="K1029" t="str">
            <v/>
          </cell>
          <cell r="N1029" t="str">
            <v/>
          </cell>
          <cell r="P1029" t="str">
            <v/>
          </cell>
        </row>
        <row r="1030">
          <cell r="B1030" t="str">
            <v/>
          </cell>
          <cell r="C1030" t="str">
            <v/>
          </cell>
          <cell r="E1030" t="str">
            <v/>
          </cell>
          <cell r="H1030" t="str">
            <v/>
          </cell>
          <cell r="I1030" t="str">
            <v/>
          </cell>
          <cell r="K1030" t="str">
            <v/>
          </cell>
          <cell r="N1030" t="str">
            <v/>
          </cell>
          <cell r="P1030" t="str">
            <v/>
          </cell>
        </row>
        <row r="1031">
          <cell r="B1031" t="str">
            <v/>
          </cell>
          <cell r="C1031" t="str">
            <v/>
          </cell>
          <cell r="E1031" t="str">
            <v/>
          </cell>
          <cell r="H1031" t="str">
            <v/>
          </cell>
          <cell r="I1031" t="str">
            <v/>
          </cell>
          <cell r="K1031" t="str">
            <v/>
          </cell>
          <cell r="N1031" t="str">
            <v/>
          </cell>
          <cell r="P1031" t="str">
            <v/>
          </cell>
        </row>
        <row r="1032">
          <cell r="B1032" t="str">
            <v/>
          </cell>
          <cell r="C1032" t="str">
            <v/>
          </cell>
          <cell r="E1032" t="str">
            <v/>
          </cell>
          <cell r="H1032" t="str">
            <v/>
          </cell>
          <cell r="I1032" t="str">
            <v/>
          </cell>
          <cell r="K1032" t="str">
            <v/>
          </cell>
          <cell r="N1032" t="str">
            <v/>
          </cell>
          <cell r="P1032" t="str">
            <v/>
          </cell>
        </row>
        <row r="1033">
          <cell r="B1033" t="str">
            <v/>
          </cell>
          <cell r="C1033" t="str">
            <v/>
          </cell>
          <cell r="E1033" t="str">
            <v/>
          </cell>
          <cell r="H1033" t="str">
            <v/>
          </cell>
          <cell r="I1033" t="str">
            <v/>
          </cell>
          <cell r="K1033" t="str">
            <v/>
          </cell>
          <cell r="N1033" t="str">
            <v/>
          </cell>
          <cell r="P1033" t="str">
            <v/>
          </cell>
        </row>
        <row r="1034">
          <cell r="B1034" t="str">
            <v/>
          </cell>
          <cell r="C1034" t="str">
            <v/>
          </cell>
          <cell r="E1034" t="str">
            <v/>
          </cell>
          <cell r="H1034" t="str">
            <v/>
          </cell>
          <cell r="I1034" t="str">
            <v/>
          </cell>
          <cell r="K1034" t="str">
            <v/>
          </cell>
          <cell r="N1034" t="str">
            <v/>
          </cell>
          <cell r="P1034" t="str">
            <v/>
          </cell>
        </row>
        <row r="1035">
          <cell r="B1035" t="str">
            <v/>
          </cell>
          <cell r="C1035" t="str">
            <v/>
          </cell>
          <cell r="E1035" t="str">
            <v/>
          </cell>
          <cell r="H1035" t="str">
            <v/>
          </cell>
          <cell r="I1035" t="str">
            <v/>
          </cell>
          <cell r="K1035" t="str">
            <v/>
          </cell>
          <cell r="N1035" t="str">
            <v/>
          </cell>
          <cell r="P1035" t="str">
            <v/>
          </cell>
        </row>
        <row r="1036">
          <cell r="B1036" t="str">
            <v/>
          </cell>
          <cell r="C1036" t="str">
            <v/>
          </cell>
          <cell r="E1036" t="str">
            <v/>
          </cell>
          <cell r="H1036" t="str">
            <v/>
          </cell>
          <cell r="I1036" t="str">
            <v/>
          </cell>
          <cell r="K1036" t="str">
            <v/>
          </cell>
          <cell r="N1036" t="str">
            <v/>
          </cell>
          <cell r="P1036" t="str">
            <v/>
          </cell>
        </row>
        <row r="1037">
          <cell r="B1037" t="str">
            <v/>
          </cell>
          <cell r="C1037" t="str">
            <v/>
          </cell>
          <cell r="E1037" t="str">
            <v/>
          </cell>
          <cell r="H1037" t="str">
            <v/>
          </cell>
          <cell r="I1037" t="str">
            <v/>
          </cell>
          <cell r="K1037" t="str">
            <v/>
          </cell>
          <cell r="N1037" t="str">
            <v/>
          </cell>
          <cell r="P1037" t="str">
            <v/>
          </cell>
        </row>
        <row r="1038">
          <cell r="B1038" t="str">
            <v/>
          </cell>
          <cell r="C1038" t="str">
            <v/>
          </cell>
          <cell r="E1038" t="str">
            <v/>
          </cell>
          <cell r="H1038" t="str">
            <v/>
          </cell>
          <cell r="I1038" t="str">
            <v/>
          </cell>
          <cell r="K1038" t="str">
            <v/>
          </cell>
          <cell r="N1038" t="str">
            <v/>
          </cell>
          <cell r="P1038" t="str">
            <v/>
          </cell>
        </row>
        <row r="1039">
          <cell r="B1039" t="str">
            <v/>
          </cell>
          <cell r="C1039" t="str">
            <v/>
          </cell>
          <cell r="E1039" t="str">
            <v/>
          </cell>
          <cell r="H1039" t="str">
            <v/>
          </cell>
          <cell r="I1039" t="str">
            <v/>
          </cell>
          <cell r="K1039" t="str">
            <v/>
          </cell>
          <cell r="N1039" t="str">
            <v/>
          </cell>
          <cell r="P1039" t="str">
            <v/>
          </cell>
        </row>
        <row r="1040">
          <cell r="B1040" t="str">
            <v/>
          </cell>
          <cell r="C1040" t="str">
            <v/>
          </cell>
          <cell r="E1040" t="str">
            <v/>
          </cell>
          <cell r="H1040" t="str">
            <v/>
          </cell>
          <cell r="I1040" t="str">
            <v/>
          </cell>
          <cell r="K1040" t="str">
            <v/>
          </cell>
          <cell r="N1040" t="str">
            <v/>
          </cell>
          <cell r="P1040" t="str">
            <v/>
          </cell>
        </row>
        <row r="1041">
          <cell r="B1041" t="str">
            <v/>
          </cell>
          <cell r="C1041" t="str">
            <v/>
          </cell>
          <cell r="E1041" t="str">
            <v/>
          </cell>
          <cell r="H1041" t="str">
            <v/>
          </cell>
          <cell r="I1041" t="str">
            <v/>
          </cell>
          <cell r="K1041" t="str">
            <v/>
          </cell>
          <cell r="N1041" t="str">
            <v/>
          </cell>
          <cell r="P1041" t="str">
            <v/>
          </cell>
        </row>
        <row r="1042">
          <cell r="B1042" t="str">
            <v/>
          </cell>
          <cell r="C1042" t="str">
            <v/>
          </cell>
          <cell r="E1042" t="str">
            <v/>
          </cell>
          <cell r="H1042" t="str">
            <v/>
          </cell>
          <cell r="I1042" t="str">
            <v/>
          </cell>
          <cell r="K1042" t="str">
            <v/>
          </cell>
          <cell r="N1042" t="str">
            <v/>
          </cell>
          <cell r="P1042" t="str">
            <v/>
          </cell>
        </row>
        <row r="1043">
          <cell r="B1043" t="str">
            <v/>
          </cell>
          <cell r="C1043" t="str">
            <v/>
          </cell>
          <cell r="E1043" t="str">
            <v/>
          </cell>
          <cell r="H1043" t="str">
            <v/>
          </cell>
          <cell r="I1043" t="str">
            <v/>
          </cell>
          <cell r="K1043" t="str">
            <v/>
          </cell>
          <cell r="N1043" t="str">
            <v/>
          </cell>
          <cell r="P1043" t="str">
            <v/>
          </cell>
        </row>
        <row r="1044">
          <cell r="B1044" t="str">
            <v/>
          </cell>
          <cell r="C1044" t="str">
            <v/>
          </cell>
          <cell r="E1044" t="str">
            <v/>
          </cell>
          <cell r="H1044" t="str">
            <v/>
          </cell>
          <cell r="I1044" t="str">
            <v/>
          </cell>
          <cell r="K1044" t="str">
            <v/>
          </cell>
          <cell r="N1044" t="str">
            <v/>
          </cell>
          <cell r="P1044" t="str">
            <v/>
          </cell>
        </row>
        <row r="1045">
          <cell r="B1045" t="str">
            <v/>
          </cell>
          <cell r="C1045" t="str">
            <v/>
          </cell>
          <cell r="E1045" t="str">
            <v/>
          </cell>
          <cell r="H1045" t="str">
            <v/>
          </cell>
          <cell r="I1045" t="str">
            <v/>
          </cell>
          <cell r="K1045" t="str">
            <v/>
          </cell>
          <cell r="N1045" t="str">
            <v/>
          </cell>
          <cell r="P1045" t="str">
            <v/>
          </cell>
        </row>
        <row r="1046">
          <cell r="B1046" t="str">
            <v/>
          </cell>
          <cell r="C1046" t="str">
            <v/>
          </cell>
          <cell r="E1046" t="str">
            <v/>
          </cell>
          <cell r="H1046" t="str">
            <v/>
          </cell>
          <cell r="I1046" t="str">
            <v/>
          </cell>
          <cell r="K1046" t="str">
            <v/>
          </cell>
          <cell r="N1046" t="str">
            <v/>
          </cell>
          <cell r="P1046" t="str">
            <v/>
          </cell>
        </row>
        <row r="1047">
          <cell r="B1047" t="str">
            <v/>
          </cell>
          <cell r="C1047" t="str">
            <v/>
          </cell>
          <cell r="E1047" t="str">
            <v/>
          </cell>
          <cell r="H1047" t="str">
            <v/>
          </cell>
          <cell r="I1047" t="str">
            <v/>
          </cell>
          <cell r="K1047" t="str">
            <v/>
          </cell>
          <cell r="N1047" t="str">
            <v/>
          </cell>
          <cell r="P1047" t="str">
            <v/>
          </cell>
        </row>
        <row r="1048">
          <cell r="B1048" t="str">
            <v/>
          </cell>
          <cell r="C1048" t="str">
            <v/>
          </cell>
          <cell r="E1048" t="str">
            <v/>
          </cell>
          <cell r="H1048" t="str">
            <v/>
          </cell>
          <cell r="I1048" t="str">
            <v/>
          </cell>
          <cell r="K1048" t="str">
            <v/>
          </cell>
          <cell r="N1048" t="str">
            <v/>
          </cell>
          <cell r="P1048" t="str">
            <v/>
          </cell>
        </row>
        <row r="1049">
          <cell r="B1049" t="str">
            <v/>
          </cell>
          <cell r="C1049" t="str">
            <v/>
          </cell>
          <cell r="E1049" t="str">
            <v/>
          </cell>
          <cell r="H1049" t="str">
            <v/>
          </cell>
          <cell r="I1049" t="str">
            <v/>
          </cell>
          <cell r="K1049" t="str">
            <v/>
          </cell>
          <cell r="N1049" t="str">
            <v/>
          </cell>
          <cell r="P1049" t="str">
            <v/>
          </cell>
        </row>
        <row r="1050">
          <cell r="B1050" t="str">
            <v/>
          </cell>
          <cell r="C1050" t="str">
            <v/>
          </cell>
          <cell r="E1050" t="str">
            <v/>
          </cell>
          <cell r="H1050" t="str">
            <v/>
          </cell>
          <cell r="I1050" t="str">
            <v/>
          </cell>
          <cell r="K1050" t="str">
            <v/>
          </cell>
          <cell r="N1050" t="str">
            <v/>
          </cell>
          <cell r="P1050" t="str">
            <v/>
          </cell>
        </row>
        <row r="1051">
          <cell r="B1051" t="str">
            <v/>
          </cell>
          <cell r="C1051" t="str">
            <v/>
          </cell>
          <cell r="E1051" t="str">
            <v/>
          </cell>
          <cell r="H1051" t="str">
            <v/>
          </cell>
          <cell r="I1051" t="str">
            <v/>
          </cell>
          <cell r="K1051" t="str">
            <v/>
          </cell>
          <cell r="N1051" t="str">
            <v/>
          </cell>
          <cell r="P1051" t="str">
            <v/>
          </cell>
        </row>
        <row r="1052">
          <cell r="B1052" t="str">
            <v/>
          </cell>
          <cell r="C1052" t="str">
            <v/>
          </cell>
          <cell r="E1052" t="str">
            <v/>
          </cell>
          <cell r="H1052" t="str">
            <v/>
          </cell>
          <cell r="I1052" t="str">
            <v/>
          </cell>
          <cell r="K1052" t="str">
            <v/>
          </cell>
          <cell r="N1052" t="str">
            <v/>
          </cell>
          <cell r="P1052" t="str">
            <v/>
          </cell>
        </row>
        <row r="1053">
          <cell r="B1053" t="str">
            <v/>
          </cell>
          <cell r="C1053" t="str">
            <v/>
          </cell>
          <cell r="E1053" t="str">
            <v/>
          </cell>
          <cell r="H1053" t="str">
            <v/>
          </cell>
          <cell r="I1053" t="str">
            <v/>
          </cell>
          <cell r="K1053" t="str">
            <v/>
          </cell>
          <cell r="N1053" t="str">
            <v/>
          </cell>
          <cell r="P1053" t="str">
            <v/>
          </cell>
        </row>
        <row r="1054">
          <cell r="B1054" t="str">
            <v/>
          </cell>
          <cell r="C1054" t="str">
            <v/>
          </cell>
          <cell r="E1054" t="str">
            <v/>
          </cell>
          <cell r="H1054" t="str">
            <v/>
          </cell>
          <cell r="I1054" t="str">
            <v/>
          </cell>
          <cell r="K1054" t="str">
            <v/>
          </cell>
          <cell r="N1054" t="str">
            <v/>
          </cell>
          <cell r="P1054" t="str">
            <v/>
          </cell>
        </row>
        <row r="1055">
          <cell r="B1055" t="str">
            <v/>
          </cell>
          <cell r="C1055" t="str">
            <v/>
          </cell>
          <cell r="E1055" t="str">
            <v/>
          </cell>
          <cell r="H1055" t="str">
            <v/>
          </cell>
          <cell r="I1055" t="str">
            <v/>
          </cell>
          <cell r="K1055" t="str">
            <v/>
          </cell>
          <cell r="N1055" t="str">
            <v/>
          </cell>
          <cell r="P1055" t="str">
            <v/>
          </cell>
        </row>
        <row r="1056">
          <cell r="B1056" t="str">
            <v/>
          </cell>
          <cell r="C1056" t="str">
            <v/>
          </cell>
          <cell r="E1056" t="str">
            <v/>
          </cell>
          <cell r="H1056" t="str">
            <v/>
          </cell>
          <cell r="I1056" t="str">
            <v/>
          </cell>
          <cell r="K1056" t="str">
            <v/>
          </cell>
          <cell r="N1056" t="str">
            <v/>
          </cell>
          <cell r="P1056" t="str">
            <v/>
          </cell>
        </row>
        <row r="1057">
          <cell r="B1057" t="str">
            <v/>
          </cell>
          <cell r="C1057" t="str">
            <v/>
          </cell>
          <cell r="E1057" t="str">
            <v/>
          </cell>
          <cell r="H1057" t="str">
            <v/>
          </cell>
          <cell r="I1057" t="str">
            <v/>
          </cell>
          <cell r="K1057" t="str">
            <v/>
          </cell>
          <cell r="N1057" t="str">
            <v/>
          </cell>
          <cell r="P1057" t="str">
            <v/>
          </cell>
        </row>
        <row r="1058">
          <cell r="B1058" t="str">
            <v/>
          </cell>
          <cell r="C1058" t="str">
            <v/>
          </cell>
          <cell r="E1058" t="str">
            <v/>
          </cell>
          <cell r="H1058" t="str">
            <v/>
          </cell>
          <cell r="I1058" t="str">
            <v/>
          </cell>
          <cell r="K1058" t="str">
            <v/>
          </cell>
          <cell r="N1058" t="str">
            <v/>
          </cell>
          <cell r="P1058" t="str">
            <v/>
          </cell>
        </row>
        <row r="1059">
          <cell r="B1059" t="str">
            <v/>
          </cell>
          <cell r="C1059" t="str">
            <v/>
          </cell>
          <cell r="E1059" t="str">
            <v/>
          </cell>
          <cell r="H1059" t="str">
            <v/>
          </cell>
          <cell r="I1059" t="str">
            <v/>
          </cell>
          <cell r="K1059" t="str">
            <v/>
          </cell>
          <cell r="N1059" t="str">
            <v/>
          </cell>
          <cell r="P1059" t="str">
            <v/>
          </cell>
        </row>
        <row r="1060">
          <cell r="B1060" t="str">
            <v/>
          </cell>
          <cell r="C1060" t="str">
            <v/>
          </cell>
          <cell r="E1060" t="str">
            <v/>
          </cell>
          <cell r="H1060" t="str">
            <v/>
          </cell>
          <cell r="I1060" t="str">
            <v/>
          </cell>
          <cell r="K1060" t="str">
            <v/>
          </cell>
          <cell r="N1060" t="str">
            <v/>
          </cell>
          <cell r="P1060" t="str">
            <v/>
          </cell>
        </row>
        <row r="1061">
          <cell r="B1061" t="str">
            <v/>
          </cell>
          <cell r="C1061" t="str">
            <v/>
          </cell>
          <cell r="E1061" t="str">
            <v/>
          </cell>
          <cell r="H1061" t="str">
            <v/>
          </cell>
          <cell r="I1061" t="str">
            <v/>
          </cell>
          <cell r="K1061" t="str">
            <v/>
          </cell>
          <cell r="N1061" t="str">
            <v/>
          </cell>
          <cell r="P1061" t="str">
            <v/>
          </cell>
        </row>
        <row r="1062">
          <cell r="B1062" t="str">
            <v/>
          </cell>
          <cell r="C1062" t="str">
            <v/>
          </cell>
          <cell r="E1062" t="str">
            <v/>
          </cell>
          <cell r="H1062" t="str">
            <v/>
          </cell>
          <cell r="I1062" t="str">
            <v/>
          </cell>
          <cell r="K1062" t="str">
            <v/>
          </cell>
          <cell r="N1062" t="str">
            <v/>
          </cell>
          <cell r="P1062" t="str">
            <v/>
          </cell>
        </row>
        <row r="1063">
          <cell r="B1063" t="str">
            <v/>
          </cell>
          <cell r="C1063" t="str">
            <v/>
          </cell>
          <cell r="E1063" t="str">
            <v/>
          </cell>
          <cell r="H1063" t="str">
            <v/>
          </cell>
          <cell r="I1063" t="str">
            <v/>
          </cell>
          <cell r="K1063" t="str">
            <v/>
          </cell>
          <cell r="N1063" t="str">
            <v/>
          </cell>
          <cell r="P1063" t="str">
            <v/>
          </cell>
        </row>
        <row r="1064">
          <cell r="B1064" t="str">
            <v/>
          </cell>
          <cell r="C1064" t="str">
            <v/>
          </cell>
          <cell r="E1064" t="str">
            <v/>
          </cell>
          <cell r="H1064" t="str">
            <v/>
          </cell>
          <cell r="I1064" t="str">
            <v/>
          </cell>
          <cell r="K1064" t="str">
            <v/>
          </cell>
          <cell r="N1064" t="str">
            <v/>
          </cell>
          <cell r="P1064" t="str">
            <v/>
          </cell>
        </row>
        <row r="1065">
          <cell r="B1065" t="str">
            <v/>
          </cell>
          <cell r="C1065" t="str">
            <v/>
          </cell>
          <cell r="E1065" t="str">
            <v/>
          </cell>
          <cell r="H1065" t="str">
            <v/>
          </cell>
          <cell r="I1065" t="str">
            <v/>
          </cell>
          <cell r="K1065" t="str">
            <v/>
          </cell>
          <cell r="N1065" t="str">
            <v/>
          </cell>
          <cell r="P1065" t="str">
            <v/>
          </cell>
        </row>
        <row r="1066">
          <cell r="B1066" t="str">
            <v/>
          </cell>
          <cell r="C1066" t="str">
            <v/>
          </cell>
          <cell r="E1066" t="str">
            <v/>
          </cell>
          <cell r="H1066" t="str">
            <v/>
          </cell>
          <cell r="I1066" t="str">
            <v/>
          </cell>
          <cell r="K1066" t="str">
            <v/>
          </cell>
          <cell r="N1066" t="str">
            <v/>
          </cell>
          <cell r="P1066" t="str">
            <v/>
          </cell>
        </row>
        <row r="1067">
          <cell r="B1067" t="str">
            <v/>
          </cell>
          <cell r="C1067" t="str">
            <v/>
          </cell>
          <cell r="E1067" t="str">
            <v/>
          </cell>
          <cell r="H1067" t="str">
            <v/>
          </cell>
          <cell r="I1067" t="str">
            <v/>
          </cell>
          <cell r="K1067" t="str">
            <v/>
          </cell>
          <cell r="N1067" t="str">
            <v/>
          </cell>
          <cell r="P1067" t="str">
            <v/>
          </cell>
        </row>
        <row r="1068">
          <cell r="B1068" t="str">
            <v/>
          </cell>
          <cell r="C1068" t="str">
            <v/>
          </cell>
          <cell r="E1068" t="str">
            <v/>
          </cell>
          <cell r="H1068" t="str">
            <v/>
          </cell>
          <cell r="I1068" t="str">
            <v/>
          </cell>
          <cell r="K1068" t="str">
            <v/>
          </cell>
          <cell r="N1068" t="str">
            <v/>
          </cell>
          <cell r="P1068" t="str">
            <v/>
          </cell>
        </row>
        <row r="1069">
          <cell r="B1069" t="str">
            <v/>
          </cell>
          <cell r="C1069" t="str">
            <v/>
          </cell>
          <cell r="E1069" t="str">
            <v/>
          </cell>
          <cell r="H1069" t="str">
            <v/>
          </cell>
          <cell r="I1069" t="str">
            <v/>
          </cell>
          <cell r="K1069" t="str">
            <v/>
          </cell>
          <cell r="N1069" t="str">
            <v/>
          </cell>
          <cell r="P1069" t="str">
            <v/>
          </cell>
        </row>
        <row r="1070">
          <cell r="B1070" t="str">
            <v/>
          </cell>
          <cell r="C1070" t="str">
            <v/>
          </cell>
          <cell r="E1070" t="str">
            <v/>
          </cell>
          <cell r="H1070" t="str">
            <v/>
          </cell>
          <cell r="I1070" t="str">
            <v/>
          </cell>
          <cell r="K1070" t="str">
            <v/>
          </cell>
          <cell r="N1070" t="str">
            <v/>
          </cell>
          <cell r="P1070" t="str">
            <v/>
          </cell>
        </row>
        <row r="1071">
          <cell r="B1071" t="str">
            <v/>
          </cell>
          <cell r="C1071" t="str">
            <v/>
          </cell>
          <cell r="E1071" t="str">
            <v/>
          </cell>
          <cell r="H1071" t="str">
            <v/>
          </cell>
          <cell r="I1071" t="str">
            <v/>
          </cell>
          <cell r="K1071" t="str">
            <v/>
          </cell>
          <cell r="N1071" t="str">
            <v/>
          </cell>
          <cell r="P1071" t="str">
            <v/>
          </cell>
        </row>
        <row r="1072">
          <cell r="B1072" t="str">
            <v/>
          </cell>
          <cell r="C1072" t="str">
            <v/>
          </cell>
          <cell r="E1072" t="str">
            <v/>
          </cell>
          <cell r="H1072" t="str">
            <v/>
          </cell>
          <cell r="I1072" t="str">
            <v/>
          </cell>
          <cell r="K1072" t="str">
            <v/>
          </cell>
          <cell r="N1072" t="str">
            <v/>
          </cell>
          <cell r="P1072" t="str">
            <v/>
          </cell>
        </row>
        <row r="1073">
          <cell r="B1073" t="str">
            <v/>
          </cell>
          <cell r="C1073" t="str">
            <v/>
          </cell>
          <cell r="E1073" t="str">
            <v/>
          </cell>
          <cell r="H1073" t="str">
            <v/>
          </cell>
          <cell r="I1073" t="str">
            <v/>
          </cell>
          <cell r="K1073" t="str">
            <v/>
          </cell>
          <cell r="N1073" t="str">
            <v/>
          </cell>
          <cell r="P1073" t="str">
            <v/>
          </cell>
        </row>
        <row r="1074">
          <cell r="B1074" t="str">
            <v/>
          </cell>
          <cell r="C1074" t="str">
            <v/>
          </cell>
          <cell r="E1074" t="str">
            <v/>
          </cell>
          <cell r="H1074" t="str">
            <v/>
          </cell>
          <cell r="I1074" t="str">
            <v/>
          </cell>
          <cell r="K1074" t="str">
            <v/>
          </cell>
          <cell r="N1074" t="str">
            <v/>
          </cell>
          <cell r="P1074" t="str">
            <v/>
          </cell>
        </row>
        <row r="1075">
          <cell r="B1075" t="str">
            <v/>
          </cell>
          <cell r="C1075" t="str">
            <v/>
          </cell>
          <cell r="E1075" t="str">
            <v/>
          </cell>
          <cell r="H1075" t="str">
            <v/>
          </cell>
          <cell r="I1075" t="str">
            <v/>
          </cell>
          <cell r="K1075" t="str">
            <v/>
          </cell>
          <cell r="N1075" t="str">
            <v/>
          </cell>
          <cell r="P1075" t="str">
            <v/>
          </cell>
        </row>
        <row r="1076">
          <cell r="B1076" t="str">
            <v/>
          </cell>
          <cell r="C1076" t="str">
            <v/>
          </cell>
          <cell r="E1076" t="str">
            <v/>
          </cell>
          <cell r="H1076" t="str">
            <v/>
          </cell>
          <cell r="I1076" t="str">
            <v/>
          </cell>
          <cell r="K1076" t="str">
            <v/>
          </cell>
          <cell r="N1076" t="str">
            <v/>
          </cell>
          <cell r="P1076" t="str">
            <v/>
          </cell>
        </row>
        <row r="1077">
          <cell r="B1077" t="str">
            <v/>
          </cell>
          <cell r="C1077" t="str">
            <v/>
          </cell>
          <cell r="E1077" t="str">
            <v/>
          </cell>
          <cell r="H1077" t="str">
            <v/>
          </cell>
          <cell r="I1077" t="str">
            <v/>
          </cell>
          <cell r="K1077" t="str">
            <v/>
          </cell>
          <cell r="N1077" t="str">
            <v/>
          </cell>
          <cell r="P1077" t="str">
            <v/>
          </cell>
        </row>
        <row r="1078">
          <cell r="B1078" t="str">
            <v/>
          </cell>
          <cell r="C1078" t="str">
            <v/>
          </cell>
          <cell r="E1078" t="str">
            <v/>
          </cell>
          <cell r="H1078" t="str">
            <v/>
          </cell>
          <cell r="I1078" t="str">
            <v/>
          </cell>
          <cell r="K1078" t="str">
            <v/>
          </cell>
          <cell r="N1078" t="str">
            <v/>
          </cell>
          <cell r="P1078" t="str">
            <v/>
          </cell>
        </row>
        <row r="1079">
          <cell r="B1079" t="str">
            <v/>
          </cell>
          <cell r="C1079" t="str">
            <v/>
          </cell>
          <cell r="E1079" t="str">
            <v/>
          </cell>
          <cell r="H1079" t="str">
            <v/>
          </cell>
          <cell r="I1079" t="str">
            <v/>
          </cell>
          <cell r="K1079" t="str">
            <v/>
          </cell>
          <cell r="N1079" t="str">
            <v/>
          </cell>
          <cell r="P1079" t="str">
            <v/>
          </cell>
        </row>
        <row r="1080">
          <cell r="B1080" t="str">
            <v/>
          </cell>
          <cell r="C1080" t="str">
            <v/>
          </cell>
          <cell r="E1080" t="str">
            <v/>
          </cell>
          <cell r="H1080" t="str">
            <v/>
          </cell>
          <cell r="I1080" t="str">
            <v/>
          </cell>
          <cell r="K1080" t="str">
            <v/>
          </cell>
          <cell r="N1080" t="str">
            <v/>
          </cell>
          <cell r="P1080" t="str">
            <v/>
          </cell>
        </row>
        <row r="1081">
          <cell r="B1081" t="str">
            <v/>
          </cell>
          <cell r="C1081" t="str">
            <v/>
          </cell>
          <cell r="E1081" t="str">
            <v/>
          </cell>
          <cell r="H1081" t="str">
            <v/>
          </cell>
          <cell r="I1081" t="str">
            <v/>
          </cell>
          <cell r="K1081" t="str">
            <v/>
          </cell>
          <cell r="N1081" t="str">
            <v/>
          </cell>
          <cell r="P1081" t="str">
            <v/>
          </cell>
        </row>
        <row r="1082">
          <cell r="B1082" t="str">
            <v/>
          </cell>
          <cell r="C1082" t="str">
            <v/>
          </cell>
          <cell r="E1082" t="str">
            <v/>
          </cell>
          <cell r="H1082" t="str">
            <v/>
          </cell>
          <cell r="I1082" t="str">
            <v/>
          </cell>
          <cell r="K1082" t="str">
            <v/>
          </cell>
          <cell r="N1082" t="str">
            <v/>
          </cell>
          <cell r="P1082" t="str">
            <v/>
          </cell>
        </row>
        <row r="1083">
          <cell r="B1083" t="str">
            <v/>
          </cell>
          <cell r="C1083" t="str">
            <v/>
          </cell>
          <cell r="E1083" t="str">
            <v/>
          </cell>
          <cell r="H1083" t="str">
            <v/>
          </cell>
          <cell r="I1083" t="str">
            <v/>
          </cell>
          <cell r="K1083" t="str">
            <v/>
          </cell>
          <cell r="N1083" t="str">
            <v/>
          </cell>
          <cell r="P1083" t="str">
            <v/>
          </cell>
        </row>
        <row r="1084">
          <cell r="B1084" t="str">
            <v/>
          </cell>
          <cell r="C1084" t="str">
            <v/>
          </cell>
          <cell r="E1084" t="str">
            <v/>
          </cell>
          <cell r="H1084" t="str">
            <v/>
          </cell>
          <cell r="I1084" t="str">
            <v/>
          </cell>
          <cell r="K1084" t="str">
            <v/>
          </cell>
          <cell r="N1084" t="str">
            <v/>
          </cell>
          <cell r="P1084" t="str">
            <v/>
          </cell>
        </row>
        <row r="1085">
          <cell r="B1085" t="str">
            <v/>
          </cell>
          <cell r="C1085" t="str">
            <v/>
          </cell>
          <cell r="E1085" t="str">
            <v/>
          </cell>
          <cell r="H1085" t="str">
            <v/>
          </cell>
          <cell r="I1085" t="str">
            <v/>
          </cell>
          <cell r="K1085" t="str">
            <v/>
          </cell>
          <cell r="N1085" t="str">
            <v/>
          </cell>
          <cell r="P1085" t="str">
            <v/>
          </cell>
        </row>
        <row r="1086">
          <cell r="B1086" t="str">
            <v/>
          </cell>
          <cell r="C1086" t="str">
            <v/>
          </cell>
          <cell r="E1086" t="str">
            <v/>
          </cell>
          <cell r="H1086" t="str">
            <v/>
          </cell>
          <cell r="I1086" t="str">
            <v/>
          </cell>
          <cell r="K1086" t="str">
            <v/>
          </cell>
          <cell r="N1086" t="str">
            <v/>
          </cell>
          <cell r="P1086" t="str">
            <v/>
          </cell>
        </row>
        <row r="1087">
          <cell r="B1087" t="str">
            <v/>
          </cell>
          <cell r="C1087" t="str">
            <v/>
          </cell>
          <cell r="E1087" t="str">
            <v/>
          </cell>
          <cell r="H1087" t="str">
            <v/>
          </cell>
          <cell r="I1087" t="str">
            <v/>
          </cell>
          <cell r="K1087" t="str">
            <v/>
          </cell>
          <cell r="N1087" t="str">
            <v/>
          </cell>
          <cell r="P1087" t="str">
            <v/>
          </cell>
        </row>
        <row r="1088">
          <cell r="B1088" t="str">
            <v/>
          </cell>
          <cell r="C1088" t="str">
            <v/>
          </cell>
          <cell r="E1088" t="str">
            <v/>
          </cell>
          <cell r="H1088" t="str">
            <v/>
          </cell>
          <cell r="I1088" t="str">
            <v/>
          </cell>
          <cell r="K1088" t="str">
            <v/>
          </cell>
          <cell r="N1088" t="str">
            <v/>
          </cell>
          <cell r="P1088" t="str">
            <v/>
          </cell>
        </row>
        <row r="1089">
          <cell r="B1089" t="str">
            <v/>
          </cell>
          <cell r="C1089" t="str">
            <v/>
          </cell>
          <cell r="E1089" t="str">
            <v/>
          </cell>
          <cell r="H1089" t="str">
            <v/>
          </cell>
          <cell r="I1089" t="str">
            <v/>
          </cell>
          <cell r="K1089" t="str">
            <v/>
          </cell>
          <cell r="N1089" t="str">
            <v/>
          </cell>
          <cell r="P1089" t="str">
            <v/>
          </cell>
        </row>
        <row r="1090">
          <cell r="B1090" t="str">
            <v/>
          </cell>
          <cell r="C1090" t="str">
            <v/>
          </cell>
          <cell r="E1090" t="str">
            <v/>
          </cell>
          <cell r="H1090" t="str">
            <v/>
          </cell>
          <cell r="I1090" t="str">
            <v/>
          </cell>
          <cell r="K1090" t="str">
            <v/>
          </cell>
          <cell r="N1090" t="str">
            <v/>
          </cell>
          <cell r="P1090" t="str">
            <v/>
          </cell>
        </row>
        <row r="1091">
          <cell r="B1091" t="str">
            <v/>
          </cell>
          <cell r="C1091" t="str">
            <v/>
          </cell>
          <cell r="E1091" t="str">
            <v/>
          </cell>
          <cell r="H1091" t="str">
            <v/>
          </cell>
          <cell r="I1091" t="str">
            <v/>
          </cell>
          <cell r="K1091" t="str">
            <v/>
          </cell>
          <cell r="N1091" t="str">
            <v/>
          </cell>
          <cell r="P1091" t="str">
            <v/>
          </cell>
        </row>
        <row r="1092">
          <cell r="B1092" t="str">
            <v/>
          </cell>
          <cell r="C1092" t="str">
            <v/>
          </cell>
          <cell r="E1092" t="str">
            <v/>
          </cell>
          <cell r="H1092" t="str">
            <v/>
          </cell>
          <cell r="I1092" t="str">
            <v/>
          </cell>
          <cell r="K1092" t="str">
            <v/>
          </cell>
          <cell r="N1092" t="str">
            <v/>
          </cell>
          <cell r="P1092" t="str">
            <v/>
          </cell>
        </row>
        <row r="1093">
          <cell r="B1093" t="str">
            <v/>
          </cell>
          <cell r="C1093" t="str">
            <v/>
          </cell>
          <cell r="E1093" t="str">
            <v/>
          </cell>
          <cell r="H1093" t="str">
            <v/>
          </cell>
          <cell r="I1093" t="str">
            <v/>
          </cell>
          <cell r="K1093" t="str">
            <v/>
          </cell>
          <cell r="N1093" t="str">
            <v/>
          </cell>
          <cell r="P1093" t="str">
            <v/>
          </cell>
        </row>
        <row r="1094">
          <cell r="B1094" t="str">
            <v/>
          </cell>
          <cell r="C1094" t="str">
            <v/>
          </cell>
          <cell r="E1094" t="str">
            <v/>
          </cell>
          <cell r="H1094" t="str">
            <v/>
          </cell>
          <cell r="I1094" t="str">
            <v/>
          </cell>
          <cell r="K1094" t="str">
            <v/>
          </cell>
          <cell r="N1094" t="str">
            <v/>
          </cell>
          <cell r="P1094" t="str">
            <v/>
          </cell>
        </row>
        <row r="1095">
          <cell r="B1095" t="str">
            <v/>
          </cell>
          <cell r="C1095" t="str">
            <v/>
          </cell>
          <cell r="E1095" t="str">
            <v/>
          </cell>
          <cell r="H1095" t="str">
            <v/>
          </cell>
          <cell r="I1095" t="str">
            <v/>
          </cell>
          <cell r="K1095" t="str">
            <v/>
          </cell>
          <cell r="N1095" t="str">
            <v/>
          </cell>
          <cell r="P1095" t="str">
            <v/>
          </cell>
        </row>
        <row r="1096">
          <cell r="B1096" t="str">
            <v/>
          </cell>
          <cell r="C1096" t="str">
            <v/>
          </cell>
          <cell r="E1096" t="str">
            <v/>
          </cell>
          <cell r="H1096" t="str">
            <v/>
          </cell>
          <cell r="I1096" t="str">
            <v/>
          </cell>
          <cell r="K1096" t="str">
            <v/>
          </cell>
          <cell r="N1096" t="str">
            <v/>
          </cell>
          <cell r="P1096" t="str">
            <v/>
          </cell>
        </row>
        <row r="1097">
          <cell r="B1097" t="str">
            <v/>
          </cell>
          <cell r="C1097" t="str">
            <v/>
          </cell>
          <cell r="E1097" t="str">
            <v/>
          </cell>
          <cell r="H1097" t="str">
            <v/>
          </cell>
          <cell r="I1097" t="str">
            <v/>
          </cell>
          <cell r="K1097" t="str">
            <v/>
          </cell>
          <cell r="N1097" t="str">
            <v/>
          </cell>
          <cell r="P1097" t="str">
            <v/>
          </cell>
        </row>
        <row r="1098">
          <cell r="B1098" t="str">
            <v/>
          </cell>
          <cell r="C1098" t="str">
            <v/>
          </cell>
          <cell r="E1098" t="str">
            <v/>
          </cell>
          <cell r="H1098" t="str">
            <v/>
          </cell>
          <cell r="I1098" t="str">
            <v/>
          </cell>
          <cell r="K1098" t="str">
            <v/>
          </cell>
          <cell r="N1098" t="str">
            <v/>
          </cell>
          <cell r="P1098" t="str">
            <v/>
          </cell>
        </row>
        <row r="1099">
          <cell r="B1099" t="str">
            <v/>
          </cell>
          <cell r="C1099" t="str">
            <v/>
          </cell>
          <cell r="E1099" t="str">
            <v/>
          </cell>
          <cell r="H1099" t="str">
            <v/>
          </cell>
          <cell r="I1099" t="str">
            <v/>
          </cell>
          <cell r="K1099" t="str">
            <v/>
          </cell>
          <cell r="N1099" t="str">
            <v/>
          </cell>
          <cell r="P1099" t="str">
            <v/>
          </cell>
        </row>
        <row r="1100">
          <cell r="B1100" t="str">
            <v/>
          </cell>
          <cell r="C1100" t="str">
            <v/>
          </cell>
          <cell r="E1100" t="str">
            <v/>
          </cell>
          <cell r="H1100" t="str">
            <v/>
          </cell>
          <cell r="I1100" t="str">
            <v/>
          </cell>
          <cell r="K1100" t="str">
            <v/>
          </cell>
          <cell r="N1100" t="str">
            <v/>
          </cell>
          <cell r="P1100" t="str">
            <v/>
          </cell>
        </row>
        <row r="1101">
          <cell r="B1101" t="str">
            <v/>
          </cell>
          <cell r="C1101" t="str">
            <v/>
          </cell>
          <cell r="E1101" t="str">
            <v/>
          </cell>
          <cell r="H1101" t="str">
            <v/>
          </cell>
          <cell r="I1101" t="str">
            <v/>
          </cell>
          <cell r="K1101" t="str">
            <v/>
          </cell>
          <cell r="N1101" t="str">
            <v/>
          </cell>
          <cell r="P1101" t="str">
            <v/>
          </cell>
        </row>
        <row r="1102">
          <cell r="B1102" t="str">
            <v/>
          </cell>
          <cell r="C1102" t="str">
            <v/>
          </cell>
          <cell r="E1102" t="str">
            <v/>
          </cell>
          <cell r="H1102" t="str">
            <v/>
          </cell>
          <cell r="I1102" t="str">
            <v/>
          </cell>
          <cell r="K1102" t="str">
            <v/>
          </cell>
          <cell r="N1102" t="str">
            <v/>
          </cell>
          <cell r="P1102" t="str">
            <v/>
          </cell>
        </row>
        <row r="1103">
          <cell r="B1103" t="str">
            <v/>
          </cell>
          <cell r="C1103" t="str">
            <v/>
          </cell>
          <cell r="E1103" t="str">
            <v/>
          </cell>
          <cell r="H1103" t="str">
            <v/>
          </cell>
          <cell r="I1103" t="str">
            <v/>
          </cell>
          <cell r="K1103" t="str">
            <v/>
          </cell>
          <cell r="N1103" t="str">
            <v/>
          </cell>
          <cell r="P1103" t="str">
            <v/>
          </cell>
        </row>
        <row r="1104">
          <cell r="B1104" t="str">
            <v/>
          </cell>
          <cell r="C1104" t="str">
            <v/>
          </cell>
          <cell r="E1104" t="str">
            <v/>
          </cell>
          <cell r="H1104" t="str">
            <v/>
          </cell>
          <cell r="I1104" t="str">
            <v/>
          </cell>
          <cell r="K1104" t="str">
            <v/>
          </cell>
          <cell r="N1104" t="str">
            <v/>
          </cell>
          <cell r="P1104" t="str">
            <v/>
          </cell>
        </row>
        <row r="1105">
          <cell r="B1105" t="str">
            <v/>
          </cell>
          <cell r="C1105" t="str">
            <v/>
          </cell>
          <cell r="E1105" t="str">
            <v/>
          </cell>
          <cell r="H1105" t="str">
            <v/>
          </cell>
          <cell r="I1105" t="str">
            <v/>
          </cell>
          <cell r="K1105" t="str">
            <v/>
          </cell>
          <cell r="N1105" t="str">
            <v/>
          </cell>
          <cell r="P1105" t="str">
            <v/>
          </cell>
        </row>
        <row r="1106">
          <cell r="B1106" t="str">
            <v/>
          </cell>
          <cell r="C1106" t="str">
            <v/>
          </cell>
          <cell r="E1106" t="str">
            <v/>
          </cell>
          <cell r="H1106" t="str">
            <v/>
          </cell>
          <cell r="I1106" t="str">
            <v/>
          </cell>
          <cell r="K1106" t="str">
            <v/>
          </cell>
          <cell r="N1106" t="str">
            <v/>
          </cell>
          <cell r="P1106" t="str">
            <v/>
          </cell>
        </row>
        <row r="1107">
          <cell r="B1107" t="str">
            <v/>
          </cell>
          <cell r="C1107" t="str">
            <v/>
          </cell>
          <cell r="E1107" t="str">
            <v/>
          </cell>
          <cell r="H1107" t="str">
            <v/>
          </cell>
          <cell r="I1107" t="str">
            <v/>
          </cell>
          <cell r="K1107" t="str">
            <v/>
          </cell>
          <cell r="N1107" t="str">
            <v/>
          </cell>
          <cell r="P1107" t="str">
            <v/>
          </cell>
        </row>
        <row r="1108">
          <cell r="B1108" t="str">
            <v/>
          </cell>
          <cell r="C1108" t="str">
            <v/>
          </cell>
          <cell r="E1108" t="str">
            <v/>
          </cell>
          <cell r="H1108" t="str">
            <v/>
          </cell>
          <cell r="I1108" t="str">
            <v/>
          </cell>
          <cell r="K1108" t="str">
            <v/>
          </cell>
          <cell r="N1108" t="str">
            <v/>
          </cell>
          <cell r="P1108" t="str">
            <v/>
          </cell>
        </row>
        <row r="1109">
          <cell r="B1109" t="str">
            <v/>
          </cell>
          <cell r="C1109" t="str">
            <v/>
          </cell>
          <cell r="E1109" t="str">
            <v/>
          </cell>
          <cell r="H1109" t="str">
            <v/>
          </cell>
          <cell r="I1109" t="str">
            <v/>
          </cell>
          <cell r="K1109" t="str">
            <v/>
          </cell>
          <cell r="N1109" t="str">
            <v/>
          </cell>
          <cell r="P1109" t="str">
            <v/>
          </cell>
        </row>
        <row r="1110">
          <cell r="B1110" t="str">
            <v/>
          </cell>
          <cell r="C1110" t="str">
            <v/>
          </cell>
          <cell r="E1110" t="str">
            <v/>
          </cell>
          <cell r="H1110" t="str">
            <v/>
          </cell>
          <cell r="I1110" t="str">
            <v/>
          </cell>
          <cell r="K1110" t="str">
            <v/>
          </cell>
          <cell r="N1110" t="str">
            <v/>
          </cell>
          <cell r="P1110" t="str">
            <v/>
          </cell>
        </row>
        <row r="1111">
          <cell r="B1111" t="str">
            <v/>
          </cell>
          <cell r="C1111" t="str">
            <v/>
          </cell>
          <cell r="E1111" t="str">
            <v/>
          </cell>
          <cell r="H1111" t="str">
            <v/>
          </cell>
          <cell r="I1111" t="str">
            <v/>
          </cell>
          <cell r="K1111" t="str">
            <v/>
          </cell>
          <cell r="N1111" t="str">
            <v/>
          </cell>
          <cell r="P1111" t="str">
            <v/>
          </cell>
        </row>
        <row r="1112">
          <cell r="B1112" t="str">
            <v/>
          </cell>
          <cell r="C1112" t="str">
            <v/>
          </cell>
          <cell r="E1112" t="str">
            <v/>
          </cell>
          <cell r="H1112" t="str">
            <v/>
          </cell>
          <cell r="I1112" t="str">
            <v/>
          </cell>
          <cell r="K1112" t="str">
            <v/>
          </cell>
          <cell r="N1112" t="str">
            <v/>
          </cell>
          <cell r="P1112" t="str">
            <v/>
          </cell>
        </row>
        <row r="1113">
          <cell r="B1113" t="str">
            <v/>
          </cell>
          <cell r="C1113" t="str">
            <v/>
          </cell>
          <cell r="E1113" t="str">
            <v/>
          </cell>
          <cell r="H1113" t="str">
            <v/>
          </cell>
          <cell r="I1113" t="str">
            <v/>
          </cell>
          <cell r="K1113" t="str">
            <v/>
          </cell>
          <cell r="N1113" t="str">
            <v/>
          </cell>
          <cell r="P1113" t="str">
            <v/>
          </cell>
        </row>
        <row r="1114">
          <cell r="B1114" t="str">
            <v/>
          </cell>
          <cell r="C1114" t="str">
            <v/>
          </cell>
          <cell r="E1114" t="str">
            <v/>
          </cell>
          <cell r="H1114" t="str">
            <v/>
          </cell>
          <cell r="I1114" t="str">
            <v/>
          </cell>
          <cell r="K1114" t="str">
            <v/>
          </cell>
          <cell r="N1114" t="str">
            <v/>
          </cell>
          <cell r="P1114" t="str">
            <v/>
          </cell>
        </row>
        <row r="1115">
          <cell r="B1115" t="str">
            <v/>
          </cell>
          <cell r="C1115" t="str">
            <v/>
          </cell>
          <cell r="E1115" t="str">
            <v/>
          </cell>
          <cell r="H1115" t="str">
            <v/>
          </cell>
          <cell r="I1115" t="str">
            <v/>
          </cell>
          <cell r="K1115" t="str">
            <v/>
          </cell>
          <cell r="N1115" t="str">
            <v/>
          </cell>
          <cell r="P1115" t="str">
            <v/>
          </cell>
        </row>
        <row r="1116">
          <cell r="B1116" t="str">
            <v/>
          </cell>
          <cell r="C1116" t="str">
            <v/>
          </cell>
          <cell r="E1116" t="str">
            <v/>
          </cell>
          <cell r="H1116" t="str">
            <v/>
          </cell>
          <cell r="I1116" t="str">
            <v/>
          </cell>
          <cell r="K1116" t="str">
            <v/>
          </cell>
          <cell r="N1116" t="str">
            <v/>
          </cell>
          <cell r="P1116" t="str">
            <v/>
          </cell>
        </row>
        <row r="1117">
          <cell r="B1117" t="str">
            <v/>
          </cell>
          <cell r="C1117" t="str">
            <v/>
          </cell>
          <cell r="E1117" t="str">
            <v/>
          </cell>
          <cell r="H1117" t="str">
            <v/>
          </cell>
          <cell r="I1117" t="str">
            <v/>
          </cell>
          <cell r="K1117" t="str">
            <v/>
          </cell>
          <cell r="N1117" t="str">
            <v/>
          </cell>
          <cell r="P1117" t="str">
            <v/>
          </cell>
        </row>
        <row r="1118">
          <cell r="B1118" t="str">
            <v/>
          </cell>
          <cell r="C1118" t="str">
            <v/>
          </cell>
          <cell r="E1118" t="str">
            <v/>
          </cell>
          <cell r="H1118" t="str">
            <v/>
          </cell>
          <cell r="I1118" t="str">
            <v/>
          </cell>
          <cell r="K1118" t="str">
            <v/>
          </cell>
          <cell r="N1118" t="str">
            <v/>
          </cell>
          <cell r="P1118" t="str">
            <v/>
          </cell>
        </row>
        <row r="1119">
          <cell r="B1119" t="str">
            <v/>
          </cell>
          <cell r="C1119" t="str">
            <v/>
          </cell>
          <cell r="E1119" t="str">
            <v/>
          </cell>
          <cell r="H1119" t="str">
            <v/>
          </cell>
          <cell r="I1119" t="str">
            <v/>
          </cell>
          <cell r="K1119" t="str">
            <v/>
          </cell>
          <cell r="N1119" t="str">
            <v/>
          </cell>
          <cell r="P1119" t="str">
            <v/>
          </cell>
        </row>
        <row r="1120">
          <cell r="B1120" t="str">
            <v/>
          </cell>
          <cell r="C1120" t="str">
            <v/>
          </cell>
          <cell r="E1120" t="str">
            <v/>
          </cell>
          <cell r="H1120" t="str">
            <v/>
          </cell>
          <cell r="I1120" t="str">
            <v/>
          </cell>
          <cell r="K1120" t="str">
            <v/>
          </cell>
          <cell r="N1120" t="str">
            <v/>
          </cell>
          <cell r="P1120" t="str">
            <v/>
          </cell>
        </row>
        <row r="1121">
          <cell r="B1121" t="str">
            <v/>
          </cell>
          <cell r="C1121" t="str">
            <v/>
          </cell>
          <cell r="E1121" t="str">
            <v/>
          </cell>
          <cell r="H1121" t="str">
            <v/>
          </cell>
          <cell r="I1121" t="str">
            <v/>
          </cell>
          <cell r="K1121" t="str">
            <v/>
          </cell>
          <cell r="N1121" t="str">
            <v/>
          </cell>
          <cell r="P1121" t="str">
            <v/>
          </cell>
        </row>
        <row r="1122">
          <cell r="B1122" t="str">
            <v/>
          </cell>
          <cell r="C1122" t="str">
            <v/>
          </cell>
          <cell r="E1122" t="str">
            <v/>
          </cell>
          <cell r="H1122" t="str">
            <v/>
          </cell>
          <cell r="I1122" t="str">
            <v/>
          </cell>
          <cell r="K1122" t="str">
            <v/>
          </cell>
          <cell r="N1122" t="str">
            <v/>
          </cell>
          <cell r="P1122" t="str">
            <v/>
          </cell>
        </row>
        <row r="1123">
          <cell r="B1123" t="str">
            <v/>
          </cell>
          <cell r="C1123" t="str">
            <v/>
          </cell>
          <cell r="E1123" t="str">
            <v/>
          </cell>
          <cell r="H1123" t="str">
            <v/>
          </cell>
          <cell r="I1123" t="str">
            <v/>
          </cell>
          <cell r="K1123" t="str">
            <v/>
          </cell>
          <cell r="N1123" t="str">
            <v/>
          </cell>
          <cell r="P1123" t="str">
            <v/>
          </cell>
        </row>
        <row r="1124">
          <cell r="B1124" t="str">
            <v/>
          </cell>
          <cell r="C1124" t="str">
            <v/>
          </cell>
          <cell r="E1124" t="str">
            <v/>
          </cell>
          <cell r="H1124" t="str">
            <v/>
          </cell>
          <cell r="I1124" t="str">
            <v/>
          </cell>
          <cell r="K1124" t="str">
            <v/>
          </cell>
          <cell r="N1124" t="str">
            <v/>
          </cell>
          <cell r="P1124" t="str">
            <v/>
          </cell>
        </row>
        <row r="1125">
          <cell r="B1125" t="str">
            <v/>
          </cell>
          <cell r="C1125" t="str">
            <v/>
          </cell>
          <cell r="E1125" t="str">
            <v/>
          </cell>
          <cell r="H1125" t="str">
            <v/>
          </cell>
          <cell r="I1125" t="str">
            <v/>
          </cell>
          <cell r="K1125" t="str">
            <v/>
          </cell>
          <cell r="N1125" t="str">
            <v/>
          </cell>
          <cell r="P1125" t="str">
            <v/>
          </cell>
        </row>
        <row r="1126">
          <cell r="B1126" t="str">
            <v/>
          </cell>
          <cell r="C1126" t="str">
            <v/>
          </cell>
          <cell r="E1126" t="str">
            <v/>
          </cell>
          <cell r="H1126" t="str">
            <v/>
          </cell>
          <cell r="I1126" t="str">
            <v/>
          </cell>
          <cell r="K1126" t="str">
            <v/>
          </cell>
          <cell r="N1126" t="str">
            <v/>
          </cell>
          <cell r="P1126" t="str">
            <v/>
          </cell>
        </row>
        <row r="1127">
          <cell r="B1127" t="str">
            <v/>
          </cell>
          <cell r="C1127" t="str">
            <v/>
          </cell>
          <cell r="E1127" t="str">
            <v/>
          </cell>
          <cell r="H1127" t="str">
            <v/>
          </cell>
          <cell r="I1127" t="str">
            <v/>
          </cell>
          <cell r="K1127" t="str">
            <v/>
          </cell>
          <cell r="N1127" t="str">
            <v/>
          </cell>
          <cell r="P1127" t="str">
            <v/>
          </cell>
        </row>
        <row r="1128">
          <cell r="B1128" t="str">
            <v/>
          </cell>
          <cell r="C1128" t="str">
            <v/>
          </cell>
          <cell r="E1128" t="str">
            <v/>
          </cell>
          <cell r="H1128" t="str">
            <v/>
          </cell>
          <cell r="I1128" t="str">
            <v/>
          </cell>
          <cell r="K1128" t="str">
            <v/>
          </cell>
          <cell r="N1128" t="str">
            <v/>
          </cell>
          <cell r="P1128" t="str">
            <v/>
          </cell>
        </row>
        <row r="1129">
          <cell r="B1129" t="str">
            <v/>
          </cell>
          <cell r="C1129" t="str">
            <v/>
          </cell>
          <cell r="E1129" t="str">
            <v/>
          </cell>
          <cell r="H1129" t="str">
            <v/>
          </cell>
          <cell r="I1129" t="str">
            <v/>
          </cell>
          <cell r="K1129" t="str">
            <v/>
          </cell>
          <cell r="N1129" t="str">
            <v/>
          </cell>
          <cell r="P1129" t="str">
            <v/>
          </cell>
        </row>
        <row r="1130">
          <cell r="B1130" t="str">
            <v/>
          </cell>
          <cell r="C1130" t="str">
            <v/>
          </cell>
          <cell r="E1130" t="str">
            <v/>
          </cell>
          <cell r="H1130" t="str">
            <v/>
          </cell>
          <cell r="I1130" t="str">
            <v/>
          </cell>
          <cell r="K1130" t="str">
            <v/>
          </cell>
          <cell r="N1130" t="str">
            <v/>
          </cell>
          <cell r="P1130" t="str">
            <v/>
          </cell>
        </row>
        <row r="1131">
          <cell r="B1131" t="str">
            <v/>
          </cell>
          <cell r="C1131" t="str">
            <v/>
          </cell>
          <cell r="E1131" t="str">
            <v/>
          </cell>
          <cell r="H1131" t="str">
            <v/>
          </cell>
          <cell r="I1131" t="str">
            <v/>
          </cell>
          <cell r="K1131" t="str">
            <v/>
          </cell>
          <cell r="N1131" t="str">
            <v/>
          </cell>
          <cell r="P1131" t="str">
            <v/>
          </cell>
        </row>
        <row r="1132">
          <cell r="B1132" t="str">
            <v/>
          </cell>
          <cell r="C1132" t="str">
            <v/>
          </cell>
          <cell r="E1132" t="str">
            <v/>
          </cell>
          <cell r="H1132" t="str">
            <v/>
          </cell>
          <cell r="I1132" t="str">
            <v/>
          </cell>
          <cell r="K1132" t="str">
            <v/>
          </cell>
          <cell r="N1132" t="str">
            <v/>
          </cell>
          <cell r="P1132" t="str">
            <v/>
          </cell>
        </row>
        <row r="1133">
          <cell r="B1133" t="str">
            <v/>
          </cell>
          <cell r="C1133" t="str">
            <v/>
          </cell>
          <cell r="E1133" t="str">
            <v/>
          </cell>
          <cell r="H1133" t="str">
            <v/>
          </cell>
          <cell r="I1133" t="str">
            <v/>
          </cell>
          <cell r="K1133" t="str">
            <v/>
          </cell>
          <cell r="N1133" t="str">
            <v/>
          </cell>
          <cell r="P1133" t="str">
            <v/>
          </cell>
        </row>
        <row r="1134">
          <cell r="B1134" t="str">
            <v/>
          </cell>
          <cell r="C1134" t="str">
            <v/>
          </cell>
          <cell r="E1134" t="str">
            <v/>
          </cell>
          <cell r="H1134" t="str">
            <v/>
          </cell>
          <cell r="I1134" t="str">
            <v/>
          </cell>
          <cell r="K1134" t="str">
            <v/>
          </cell>
          <cell r="N1134" t="str">
            <v/>
          </cell>
          <cell r="P1134" t="str">
            <v/>
          </cell>
        </row>
        <row r="1135">
          <cell r="B1135" t="str">
            <v/>
          </cell>
          <cell r="C1135" t="str">
            <v/>
          </cell>
          <cell r="E1135" t="str">
            <v/>
          </cell>
          <cell r="H1135" t="str">
            <v/>
          </cell>
          <cell r="I1135" t="str">
            <v/>
          </cell>
          <cell r="K1135" t="str">
            <v/>
          </cell>
          <cell r="N1135" t="str">
            <v/>
          </cell>
          <cell r="P1135" t="str">
            <v/>
          </cell>
        </row>
        <row r="1136">
          <cell r="B1136" t="str">
            <v/>
          </cell>
          <cell r="C1136" t="str">
            <v/>
          </cell>
          <cell r="E1136" t="str">
            <v/>
          </cell>
          <cell r="H1136" t="str">
            <v/>
          </cell>
          <cell r="I1136" t="str">
            <v/>
          </cell>
          <cell r="K1136" t="str">
            <v/>
          </cell>
          <cell r="N1136" t="str">
            <v/>
          </cell>
          <cell r="P1136" t="str">
            <v/>
          </cell>
        </row>
        <row r="1137">
          <cell r="B1137" t="str">
            <v/>
          </cell>
          <cell r="C1137" t="str">
            <v/>
          </cell>
          <cell r="E1137" t="str">
            <v/>
          </cell>
          <cell r="H1137" t="str">
            <v/>
          </cell>
          <cell r="I1137" t="str">
            <v/>
          </cell>
          <cell r="K1137" t="str">
            <v/>
          </cell>
          <cell r="N1137" t="str">
            <v/>
          </cell>
          <cell r="P1137" t="str">
            <v/>
          </cell>
        </row>
        <row r="1138">
          <cell r="B1138" t="str">
            <v/>
          </cell>
          <cell r="C1138" t="str">
            <v/>
          </cell>
          <cell r="E1138" t="str">
            <v/>
          </cell>
          <cell r="H1138" t="str">
            <v/>
          </cell>
          <cell r="I1138" t="str">
            <v/>
          </cell>
          <cell r="K1138" t="str">
            <v/>
          </cell>
          <cell r="N1138" t="str">
            <v/>
          </cell>
          <cell r="P1138" t="str">
            <v/>
          </cell>
        </row>
        <row r="1139">
          <cell r="B1139" t="str">
            <v/>
          </cell>
          <cell r="C1139" t="str">
            <v/>
          </cell>
          <cell r="E1139" t="str">
            <v/>
          </cell>
          <cell r="H1139" t="str">
            <v/>
          </cell>
          <cell r="I1139" t="str">
            <v/>
          </cell>
          <cell r="K1139" t="str">
            <v/>
          </cell>
          <cell r="N1139" t="str">
            <v/>
          </cell>
          <cell r="P1139" t="str">
            <v/>
          </cell>
        </row>
        <row r="1140">
          <cell r="B1140" t="str">
            <v/>
          </cell>
          <cell r="C1140" t="str">
            <v/>
          </cell>
          <cell r="E1140" t="str">
            <v/>
          </cell>
          <cell r="H1140" t="str">
            <v/>
          </cell>
          <cell r="I1140" t="str">
            <v/>
          </cell>
          <cell r="K1140" t="str">
            <v/>
          </cell>
          <cell r="N1140" t="str">
            <v/>
          </cell>
          <cell r="P1140" t="str">
            <v/>
          </cell>
        </row>
        <row r="1141">
          <cell r="B1141" t="str">
            <v/>
          </cell>
          <cell r="C1141" t="str">
            <v/>
          </cell>
          <cell r="E1141" t="str">
            <v/>
          </cell>
          <cell r="H1141" t="str">
            <v/>
          </cell>
          <cell r="I1141" t="str">
            <v/>
          </cell>
          <cell r="K1141" t="str">
            <v/>
          </cell>
          <cell r="N1141" t="str">
            <v/>
          </cell>
          <cell r="P1141" t="str">
            <v/>
          </cell>
        </row>
        <row r="1142">
          <cell r="B1142" t="str">
            <v/>
          </cell>
          <cell r="C1142" t="str">
            <v/>
          </cell>
          <cell r="E1142" t="str">
            <v/>
          </cell>
          <cell r="H1142" t="str">
            <v/>
          </cell>
          <cell r="I1142" t="str">
            <v/>
          </cell>
          <cell r="K1142" t="str">
            <v/>
          </cell>
          <cell r="N1142" t="str">
            <v/>
          </cell>
          <cell r="P1142" t="str">
            <v/>
          </cell>
        </row>
        <row r="1143">
          <cell r="B1143" t="str">
            <v/>
          </cell>
          <cell r="C1143" t="str">
            <v/>
          </cell>
          <cell r="E1143" t="str">
            <v/>
          </cell>
          <cell r="H1143" t="str">
            <v/>
          </cell>
          <cell r="I1143" t="str">
            <v/>
          </cell>
          <cell r="K1143" t="str">
            <v/>
          </cell>
          <cell r="N1143" t="str">
            <v/>
          </cell>
          <cell r="P1143" t="str">
            <v/>
          </cell>
        </row>
        <row r="1144">
          <cell r="B1144" t="str">
            <v/>
          </cell>
          <cell r="C1144" t="str">
            <v/>
          </cell>
          <cell r="E1144" t="str">
            <v/>
          </cell>
          <cell r="H1144" t="str">
            <v/>
          </cell>
          <cell r="I1144" t="str">
            <v/>
          </cell>
          <cell r="K1144" t="str">
            <v/>
          </cell>
          <cell r="N1144" t="str">
            <v/>
          </cell>
          <cell r="P1144" t="str">
            <v/>
          </cell>
        </row>
        <row r="1145">
          <cell r="B1145" t="str">
            <v/>
          </cell>
          <cell r="C1145" t="str">
            <v/>
          </cell>
          <cell r="E1145" t="str">
            <v/>
          </cell>
          <cell r="H1145" t="str">
            <v/>
          </cell>
          <cell r="I1145" t="str">
            <v/>
          </cell>
          <cell r="K1145" t="str">
            <v/>
          </cell>
          <cell r="N1145" t="str">
            <v/>
          </cell>
          <cell r="P1145" t="str">
            <v/>
          </cell>
        </row>
        <row r="1146">
          <cell r="B1146" t="str">
            <v/>
          </cell>
          <cell r="C1146" t="str">
            <v/>
          </cell>
          <cell r="E1146" t="str">
            <v/>
          </cell>
          <cell r="H1146" t="str">
            <v/>
          </cell>
          <cell r="I1146" t="str">
            <v/>
          </cell>
          <cell r="K1146" t="str">
            <v/>
          </cell>
          <cell r="N1146" t="str">
            <v/>
          </cell>
          <cell r="P1146" t="str">
            <v/>
          </cell>
        </row>
        <row r="1147">
          <cell r="B1147" t="str">
            <v/>
          </cell>
          <cell r="C1147" t="str">
            <v/>
          </cell>
          <cell r="E1147" t="str">
            <v/>
          </cell>
          <cell r="H1147" t="str">
            <v/>
          </cell>
          <cell r="I1147" t="str">
            <v/>
          </cell>
          <cell r="K1147" t="str">
            <v/>
          </cell>
          <cell r="N1147" t="str">
            <v/>
          </cell>
          <cell r="P1147" t="str">
            <v/>
          </cell>
        </row>
        <row r="1148">
          <cell r="B1148" t="str">
            <v/>
          </cell>
          <cell r="C1148" t="str">
            <v/>
          </cell>
          <cell r="E1148" t="str">
            <v/>
          </cell>
          <cell r="H1148" t="str">
            <v/>
          </cell>
          <cell r="I1148" t="str">
            <v/>
          </cell>
          <cell r="K1148" t="str">
            <v/>
          </cell>
          <cell r="N1148" t="str">
            <v/>
          </cell>
          <cell r="P1148" t="str">
            <v/>
          </cell>
        </row>
        <row r="1149">
          <cell r="B1149" t="str">
            <v/>
          </cell>
          <cell r="C1149" t="str">
            <v/>
          </cell>
          <cell r="E1149" t="str">
            <v/>
          </cell>
          <cell r="H1149" t="str">
            <v/>
          </cell>
          <cell r="I1149" t="str">
            <v/>
          </cell>
          <cell r="K1149" t="str">
            <v/>
          </cell>
          <cell r="N1149" t="str">
            <v/>
          </cell>
          <cell r="P1149" t="str">
            <v/>
          </cell>
        </row>
        <row r="1150">
          <cell r="B1150" t="str">
            <v/>
          </cell>
          <cell r="C1150" t="str">
            <v/>
          </cell>
          <cell r="E1150" t="str">
            <v/>
          </cell>
          <cell r="H1150" t="str">
            <v/>
          </cell>
          <cell r="I1150" t="str">
            <v/>
          </cell>
          <cell r="K1150" t="str">
            <v/>
          </cell>
          <cell r="N1150" t="str">
            <v/>
          </cell>
          <cell r="P1150" t="str">
            <v/>
          </cell>
        </row>
        <row r="1151">
          <cell r="B1151" t="str">
            <v/>
          </cell>
          <cell r="C1151" t="str">
            <v/>
          </cell>
          <cell r="E1151" t="str">
            <v/>
          </cell>
          <cell r="H1151" t="str">
            <v/>
          </cell>
          <cell r="I1151" t="str">
            <v/>
          </cell>
          <cell r="K1151" t="str">
            <v/>
          </cell>
          <cell r="N1151" t="str">
            <v/>
          </cell>
          <cell r="P1151" t="str">
            <v/>
          </cell>
        </row>
        <row r="1152">
          <cell r="B1152" t="str">
            <v/>
          </cell>
          <cell r="C1152" t="str">
            <v/>
          </cell>
          <cell r="E1152" t="str">
            <v/>
          </cell>
          <cell r="H1152" t="str">
            <v/>
          </cell>
          <cell r="I1152" t="str">
            <v/>
          </cell>
          <cell r="K1152" t="str">
            <v/>
          </cell>
          <cell r="N1152" t="str">
            <v/>
          </cell>
          <cell r="P1152" t="str">
            <v/>
          </cell>
        </row>
        <row r="1153">
          <cell r="B1153" t="str">
            <v/>
          </cell>
          <cell r="C1153" t="str">
            <v/>
          </cell>
          <cell r="E1153" t="str">
            <v/>
          </cell>
          <cell r="H1153" t="str">
            <v/>
          </cell>
          <cell r="I1153" t="str">
            <v/>
          </cell>
          <cell r="K1153" t="str">
            <v/>
          </cell>
          <cell r="N1153" t="str">
            <v/>
          </cell>
          <cell r="P1153" t="str">
            <v/>
          </cell>
        </row>
        <row r="1154">
          <cell r="B1154" t="str">
            <v/>
          </cell>
          <cell r="C1154" t="str">
            <v/>
          </cell>
          <cell r="E1154" t="str">
            <v/>
          </cell>
          <cell r="H1154" t="str">
            <v/>
          </cell>
          <cell r="I1154" t="str">
            <v/>
          </cell>
          <cell r="K1154" t="str">
            <v/>
          </cell>
          <cell r="N1154" t="str">
            <v/>
          </cell>
          <cell r="P1154" t="str">
            <v/>
          </cell>
        </row>
        <row r="1155">
          <cell r="B1155" t="str">
            <v/>
          </cell>
          <cell r="C1155" t="str">
            <v/>
          </cell>
          <cell r="E1155" t="str">
            <v/>
          </cell>
          <cell r="H1155" t="str">
            <v/>
          </cell>
          <cell r="I1155" t="str">
            <v/>
          </cell>
          <cell r="K1155" t="str">
            <v/>
          </cell>
          <cell r="N1155" t="str">
            <v/>
          </cell>
          <cell r="P1155" t="str">
            <v/>
          </cell>
        </row>
        <row r="1156">
          <cell r="B1156" t="str">
            <v/>
          </cell>
          <cell r="C1156" t="str">
            <v/>
          </cell>
          <cell r="E1156" t="str">
            <v/>
          </cell>
          <cell r="H1156" t="str">
            <v/>
          </cell>
          <cell r="I1156" t="str">
            <v/>
          </cell>
          <cell r="K1156" t="str">
            <v/>
          </cell>
          <cell r="N1156" t="str">
            <v/>
          </cell>
          <cell r="P1156" t="str">
            <v/>
          </cell>
        </row>
        <row r="1157">
          <cell r="B1157" t="str">
            <v/>
          </cell>
          <cell r="C1157" t="str">
            <v/>
          </cell>
          <cell r="E1157" t="str">
            <v/>
          </cell>
          <cell r="H1157" t="str">
            <v/>
          </cell>
          <cell r="I1157" t="str">
            <v/>
          </cell>
          <cell r="K1157" t="str">
            <v/>
          </cell>
          <cell r="N1157" t="str">
            <v/>
          </cell>
          <cell r="P1157" t="str">
            <v/>
          </cell>
        </row>
        <row r="1158">
          <cell r="B1158" t="str">
            <v/>
          </cell>
          <cell r="C1158" t="str">
            <v/>
          </cell>
          <cell r="E1158" t="str">
            <v/>
          </cell>
          <cell r="H1158" t="str">
            <v/>
          </cell>
          <cell r="I1158" t="str">
            <v/>
          </cell>
          <cell r="K1158" t="str">
            <v/>
          </cell>
          <cell r="N1158" t="str">
            <v/>
          </cell>
          <cell r="P1158" t="str">
            <v/>
          </cell>
        </row>
        <row r="1159">
          <cell r="B1159" t="str">
            <v/>
          </cell>
          <cell r="C1159" t="str">
            <v/>
          </cell>
          <cell r="E1159" t="str">
            <v/>
          </cell>
          <cell r="H1159" t="str">
            <v/>
          </cell>
          <cell r="I1159" t="str">
            <v/>
          </cell>
          <cell r="K1159" t="str">
            <v/>
          </cell>
          <cell r="N1159" t="str">
            <v/>
          </cell>
          <cell r="P1159" t="str">
            <v/>
          </cell>
        </row>
        <row r="1160">
          <cell r="B1160" t="str">
            <v/>
          </cell>
          <cell r="C1160" t="str">
            <v/>
          </cell>
          <cell r="E1160" t="str">
            <v/>
          </cell>
          <cell r="H1160" t="str">
            <v/>
          </cell>
          <cell r="I1160" t="str">
            <v/>
          </cell>
          <cell r="K1160" t="str">
            <v/>
          </cell>
          <cell r="N1160" t="str">
            <v/>
          </cell>
          <cell r="P1160" t="str">
            <v/>
          </cell>
        </row>
        <row r="1161">
          <cell r="B1161" t="str">
            <v/>
          </cell>
          <cell r="C1161" t="str">
            <v/>
          </cell>
          <cell r="E1161" t="str">
            <v/>
          </cell>
          <cell r="H1161" t="str">
            <v/>
          </cell>
          <cell r="I1161" t="str">
            <v/>
          </cell>
          <cell r="K1161" t="str">
            <v/>
          </cell>
          <cell r="N1161" t="str">
            <v/>
          </cell>
          <cell r="P1161" t="str">
            <v/>
          </cell>
        </row>
        <row r="1162">
          <cell r="B1162" t="str">
            <v/>
          </cell>
          <cell r="C1162" t="str">
            <v/>
          </cell>
          <cell r="E1162" t="str">
            <v/>
          </cell>
          <cell r="H1162" t="str">
            <v/>
          </cell>
          <cell r="I1162" t="str">
            <v/>
          </cell>
          <cell r="K1162" t="str">
            <v/>
          </cell>
          <cell r="N1162" t="str">
            <v/>
          </cell>
          <cell r="P1162" t="str">
            <v/>
          </cell>
        </row>
        <row r="1163">
          <cell r="B1163" t="str">
            <v/>
          </cell>
          <cell r="C1163" t="str">
            <v/>
          </cell>
          <cell r="E1163" t="str">
            <v/>
          </cell>
          <cell r="H1163" t="str">
            <v/>
          </cell>
          <cell r="I1163" t="str">
            <v/>
          </cell>
          <cell r="K1163" t="str">
            <v/>
          </cell>
          <cell r="N1163" t="str">
            <v/>
          </cell>
          <cell r="P1163" t="str">
            <v/>
          </cell>
        </row>
        <row r="1164">
          <cell r="B1164" t="str">
            <v/>
          </cell>
          <cell r="C1164" t="str">
            <v/>
          </cell>
          <cell r="E1164" t="str">
            <v/>
          </cell>
          <cell r="H1164" t="str">
            <v/>
          </cell>
          <cell r="I1164" t="str">
            <v/>
          </cell>
          <cell r="K1164" t="str">
            <v/>
          </cell>
          <cell r="N1164" t="str">
            <v/>
          </cell>
          <cell r="P1164" t="str">
            <v/>
          </cell>
        </row>
        <row r="1165">
          <cell r="B1165" t="str">
            <v/>
          </cell>
          <cell r="C1165" t="str">
            <v/>
          </cell>
          <cell r="E1165" t="str">
            <v/>
          </cell>
          <cell r="H1165" t="str">
            <v/>
          </cell>
          <cell r="I1165" t="str">
            <v/>
          </cell>
          <cell r="K1165" t="str">
            <v/>
          </cell>
          <cell r="N1165" t="str">
            <v/>
          </cell>
          <cell r="P1165" t="str">
            <v/>
          </cell>
        </row>
        <row r="1166">
          <cell r="B1166" t="str">
            <v/>
          </cell>
          <cell r="C1166" t="str">
            <v/>
          </cell>
          <cell r="E1166" t="str">
            <v/>
          </cell>
          <cell r="H1166" t="str">
            <v/>
          </cell>
          <cell r="I1166" t="str">
            <v/>
          </cell>
          <cell r="K1166" t="str">
            <v/>
          </cell>
          <cell r="N1166" t="str">
            <v/>
          </cell>
          <cell r="P1166" t="str">
            <v/>
          </cell>
        </row>
        <row r="1167">
          <cell r="B1167" t="str">
            <v/>
          </cell>
          <cell r="C1167" t="str">
            <v/>
          </cell>
          <cell r="E1167" t="str">
            <v/>
          </cell>
          <cell r="H1167" t="str">
            <v/>
          </cell>
          <cell r="I1167" t="str">
            <v/>
          </cell>
          <cell r="K1167" t="str">
            <v/>
          </cell>
          <cell r="N1167" t="str">
            <v/>
          </cell>
          <cell r="P1167" t="str">
            <v/>
          </cell>
        </row>
        <row r="1168">
          <cell r="B1168" t="str">
            <v/>
          </cell>
          <cell r="C1168" t="str">
            <v/>
          </cell>
          <cell r="E1168" t="str">
            <v/>
          </cell>
          <cell r="H1168" t="str">
            <v/>
          </cell>
          <cell r="I1168" t="str">
            <v/>
          </cell>
          <cell r="K1168" t="str">
            <v/>
          </cell>
          <cell r="N1168" t="str">
            <v/>
          </cell>
          <cell r="P1168" t="str">
            <v/>
          </cell>
        </row>
        <row r="1169">
          <cell r="B1169" t="str">
            <v/>
          </cell>
          <cell r="C1169" t="str">
            <v/>
          </cell>
          <cell r="E1169" t="str">
            <v/>
          </cell>
          <cell r="H1169" t="str">
            <v/>
          </cell>
          <cell r="I1169" t="str">
            <v/>
          </cell>
          <cell r="K1169" t="str">
            <v/>
          </cell>
          <cell r="N1169" t="str">
            <v/>
          </cell>
          <cell r="P1169" t="str">
            <v/>
          </cell>
        </row>
        <row r="1170">
          <cell r="B1170" t="str">
            <v/>
          </cell>
          <cell r="C1170" t="str">
            <v/>
          </cell>
          <cell r="E1170" t="str">
            <v/>
          </cell>
          <cell r="H1170" t="str">
            <v/>
          </cell>
          <cell r="I1170" t="str">
            <v/>
          </cell>
          <cell r="K1170" t="str">
            <v/>
          </cell>
          <cell r="N1170" t="str">
            <v/>
          </cell>
          <cell r="P1170" t="str">
            <v/>
          </cell>
        </row>
        <row r="1171">
          <cell r="B1171" t="str">
            <v/>
          </cell>
          <cell r="C1171" t="str">
            <v/>
          </cell>
          <cell r="E1171" t="str">
            <v/>
          </cell>
          <cell r="H1171" t="str">
            <v/>
          </cell>
          <cell r="I1171" t="str">
            <v/>
          </cell>
          <cell r="K1171" t="str">
            <v/>
          </cell>
          <cell r="N1171" t="str">
            <v/>
          </cell>
          <cell r="P1171" t="str">
            <v/>
          </cell>
        </row>
        <row r="1172">
          <cell r="B1172" t="str">
            <v/>
          </cell>
          <cell r="C1172" t="str">
            <v/>
          </cell>
          <cell r="E1172" t="str">
            <v/>
          </cell>
          <cell r="H1172" t="str">
            <v/>
          </cell>
          <cell r="I1172" t="str">
            <v/>
          </cell>
          <cell r="K1172" t="str">
            <v/>
          </cell>
          <cell r="N1172" t="str">
            <v/>
          </cell>
          <cell r="P1172" t="str">
            <v/>
          </cell>
        </row>
        <row r="1173">
          <cell r="B1173" t="str">
            <v/>
          </cell>
          <cell r="C1173" t="str">
            <v/>
          </cell>
          <cell r="E1173" t="str">
            <v/>
          </cell>
          <cell r="H1173" t="str">
            <v/>
          </cell>
          <cell r="I1173" t="str">
            <v/>
          </cell>
          <cell r="K1173" t="str">
            <v/>
          </cell>
          <cell r="N1173" t="str">
            <v/>
          </cell>
          <cell r="P1173" t="str">
            <v/>
          </cell>
        </row>
        <row r="1174">
          <cell r="B1174" t="str">
            <v/>
          </cell>
          <cell r="C1174" t="str">
            <v/>
          </cell>
          <cell r="E1174" t="str">
            <v/>
          </cell>
          <cell r="H1174" t="str">
            <v/>
          </cell>
          <cell r="I1174" t="str">
            <v/>
          </cell>
          <cell r="K1174" t="str">
            <v/>
          </cell>
          <cell r="N1174" t="str">
            <v/>
          </cell>
          <cell r="P1174" t="str">
            <v/>
          </cell>
        </row>
        <row r="1175">
          <cell r="B1175" t="str">
            <v/>
          </cell>
          <cell r="C1175" t="str">
            <v/>
          </cell>
          <cell r="E1175" t="str">
            <v/>
          </cell>
          <cell r="H1175" t="str">
            <v/>
          </cell>
          <cell r="I1175" t="str">
            <v/>
          </cell>
          <cell r="K1175" t="str">
            <v/>
          </cell>
          <cell r="N1175" t="str">
            <v/>
          </cell>
          <cell r="P1175" t="str">
            <v/>
          </cell>
        </row>
        <row r="1176">
          <cell r="B1176" t="str">
            <v/>
          </cell>
          <cell r="C1176" t="str">
            <v/>
          </cell>
          <cell r="E1176" t="str">
            <v/>
          </cell>
          <cell r="H1176" t="str">
            <v/>
          </cell>
          <cell r="I1176" t="str">
            <v/>
          </cell>
          <cell r="K1176" t="str">
            <v/>
          </cell>
          <cell r="N1176" t="str">
            <v/>
          </cell>
          <cell r="P1176" t="str">
            <v/>
          </cell>
        </row>
        <row r="1177">
          <cell r="B1177" t="str">
            <v/>
          </cell>
          <cell r="C1177" t="str">
            <v/>
          </cell>
          <cell r="E1177" t="str">
            <v/>
          </cell>
          <cell r="H1177" t="str">
            <v/>
          </cell>
          <cell r="I1177" t="str">
            <v/>
          </cell>
          <cell r="K1177" t="str">
            <v/>
          </cell>
          <cell r="N1177" t="str">
            <v/>
          </cell>
          <cell r="P1177" t="str">
            <v/>
          </cell>
        </row>
        <row r="1178">
          <cell r="B1178" t="str">
            <v/>
          </cell>
          <cell r="C1178" t="str">
            <v/>
          </cell>
          <cell r="E1178" t="str">
            <v/>
          </cell>
          <cell r="H1178" t="str">
            <v/>
          </cell>
          <cell r="I1178" t="str">
            <v/>
          </cell>
          <cell r="K1178" t="str">
            <v/>
          </cell>
          <cell r="N1178" t="str">
            <v/>
          </cell>
          <cell r="P1178" t="str">
            <v/>
          </cell>
        </row>
        <row r="1179">
          <cell r="B1179" t="str">
            <v/>
          </cell>
          <cell r="C1179" t="str">
            <v/>
          </cell>
          <cell r="E1179" t="str">
            <v/>
          </cell>
          <cell r="H1179" t="str">
            <v/>
          </cell>
          <cell r="I1179" t="str">
            <v/>
          </cell>
          <cell r="K1179" t="str">
            <v/>
          </cell>
          <cell r="N1179" t="str">
            <v/>
          </cell>
          <cell r="P1179" t="str">
            <v/>
          </cell>
        </row>
        <row r="1180">
          <cell r="B1180" t="str">
            <v/>
          </cell>
          <cell r="C1180" t="str">
            <v/>
          </cell>
          <cell r="E1180" t="str">
            <v/>
          </cell>
          <cell r="H1180" t="str">
            <v/>
          </cell>
          <cell r="I1180" t="str">
            <v/>
          </cell>
          <cell r="K1180" t="str">
            <v/>
          </cell>
          <cell r="N1180" t="str">
            <v/>
          </cell>
          <cell r="P1180" t="str">
            <v/>
          </cell>
        </row>
        <row r="1181">
          <cell r="B1181" t="str">
            <v/>
          </cell>
          <cell r="C1181" t="str">
            <v/>
          </cell>
          <cell r="E1181" t="str">
            <v/>
          </cell>
          <cell r="H1181" t="str">
            <v/>
          </cell>
          <cell r="I1181" t="str">
            <v/>
          </cell>
          <cell r="K1181" t="str">
            <v/>
          </cell>
          <cell r="N1181" t="str">
            <v/>
          </cell>
          <cell r="P1181" t="str">
            <v/>
          </cell>
        </row>
        <row r="1182">
          <cell r="B1182" t="str">
            <v/>
          </cell>
          <cell r="C1182" t="str">
            <v/>
          </cell>
          <cell r="E1182" t="str">
            <v/>
          </cell>
          <cell r="H1182" t="str">
            <v/>
          </cell>
          <cell r="I1182" t="str">
            <v/>
          </cell>
          <cell r="K1182" t="str">
            <v/>
          </cell>
          <cell r="N1182" t="str">
            <v/>
          </cell>
          <cell r="P1182" t="str">
            <v/>
          </cell>
        </row>
        <row r="1183">
          <cell r="B1183" t="str">
            <v/>
          </cell>
          <cell r="C1183" t="str">
            <v/>
          </cell>
          <cell r="E1183" t="str">
            <v/>
          </cell>
          <cell r="H1183" t="str">
            <v/>
          </cell>
          <cell r="I1183" t="str">
            <v/>
          </cell>
          <cell r="K1183" t="str">
            <v/>
          </cell>
          <cell r="N1183" t="str">
            <v/>
          </cell>
          <cell r="P1183" t="str">
            <v/>
          </cell>
        </row>
        <row r="1184">
          <cell r="B1184" t="str">
            <v/>
          </cell>
          <cell r="C1184" t="str">
            <v/>
          </cell>
          <cell r="E1184" t="str">
            <v/>
          </cell>
          <cell r="H1184" t="str">
            <v/>
          </cell>
          <cell r="I1184" t="str">
            <v/>
          </cell>
          <cell r="K1184" t="str">
            <v/>
          </cell>
          <cell r="N1184" t="str">
            <v/>
          </cell>
          <cell r="P1184" t="str">
            <v/>
          </cell>
        </row>
        <row r="1185">
          <cell r="B1185" t="str">
            <v/>
          </cell>
          <cell r="C1185" t="str">
            <v/>
          </cell>
          <cell r="E1185" t="str">
            <v/>
          </cell>
          <cell r="H1185" t="str">
            <v/>
          </cell>
          <cell r="I1185" t="str">
            <v/>
          </cell>
          <cell r="K1185" t="str">
            <v/>
          </cell>
          <cell r="N1185" t="str">
            <v/>
          </cell>
          <cell r="P1185" t="str">
            <v/>
          </cell>
        </row>
        <row r="1186">
          <cell r="B1186" t="str">
            <v/>
          </cell>
          <cell r="C1186" t="str">
            <v/>
          </cell>
          <cell r="E1186" t="str">
            <v/>
          </cell>
          <cell r="H1186" t="str">
            <v/>
          </cell>
          <cell r="I1186" t="str">
            <v/>
          </cell>
          <cell r="K1186" t="str">
            <v/>
          </cell>
          <cell r="N1186" t="str">
            <v/>
          </cell>
          <cell r="P1186" t="str">
            <v/>
          </cell>
        </row>
        <row r="1187">
          <cell r="B1187" t="str">
            <v/>
          </cell>
          <cell r="C1187" t="str">
            <v/>
          </cell>
          <cell r="E1187" t="str">
            <v/>
          </cell>
          <cell r="H1187" t="str">
            <v/>
          </cell>
          <cell r="I1187" t="str">
            <v/>
          </cell>
          <cell r="K1187" t="str">
            <v/>
          </cell>
          <cell r="N1187" t="str">
            <v/>
          </cell>
          <cell r="P1187" t="str">
            <v/>
          </cell>
        </row>
        <row r="1188">
          <cell r="B1188" t="str">
            <v/>
          </cell>
          <cell r="C1188" t="str">
            <v/>
          </cell>
          <cell r="E1188" t="str">
            <v/>
          </cell>
          <cell r="H1188" t="str">
            <v/>
          </cell>
          <cell r="I1188" t="str">
            <v/>
          </cell>
          <cell r="K1188" t="str">
            <v/>
          </cell>
          <cell r="N1188" t="str">
            <v/>
          </cell>
          <cell r="P1188" t="str">
            <v/>
          </cell>
        </row>
        <row r="1189">
          <cell r="B1189" t="str">
            <v/>
          </cell>
          <cell r="C1189" t="str">
            <v/>
          </cell>
          <cell r="E1189" t="str">
            <v/>
          </cell>
          <cell r="H1189" t="str">
            <v/>
          </cell>
          <cell r="I1189" t="str">
            <v/>
          </cell>
          <cell r="K1189" t="str">
            <v/>
          </cell>
          <cell r="N1189" t="str">
            <v/>
          </cell>
          <cell r="P1189" t="str">
            <v/>
          </cell>
        </row>
        <row r="1190">
          <cell r="B1190" t="str">
            <v/>
          </cell>
          <cell r="C1190" t="str">
            <v/>
          </cell>
          <cell r="E1190" t="str">
            <v/>
          </cell>
          <cell r="H1190" t="str">
            <v/>
          </cell>
          <cell r="I1190" t="str">
            <v/>
          </cell>
          <cell r="K1190" t="str">
            <v/>
          </cell>
          <cell r="N1190" t="str">
            <v/>
          </cell>
          <cell r="P1190" t="str">
            <v/>
          </cell>
        </row>
        <row r="1191">
          <cell r="B1191" t="str">
            <v/>
          </cell>
          <cell r="C1191" t="str">
            <v/>
          </cell>
          <cell r="E1191" t="str">
            <v/>
          </cell>
          <cell r="H1191" t="str">
            <v/>
          </cell>
          <cell r="I1191" t="str">
            <v/>
          </cell>
          <cell r="K1191" t="str">
            <v/>
          </cell>
          <cell r="N1191" t="str">
            <v/>
          </cell>
          <cell r="P1191" t="str">
            <v/>
          </cell>
        </row>
        <row r="1192">
          <cell r="B1192" t="str">
            <v/>
          </cell>
          <cell r="C1192" t="str">
            <v/>
          </cell>
          <cell r="E1192" t="str">
            <v/>
          </cell>
          <cell r="H1192" t="str">
            <v/>
          </cell>
          <cell r="I1192" t="str">
            <v/>
          </cell>
          <cell r="K1192" t="str">
            <v/>
          </cell>
          <cell r="N1192" t="str">
            <v/>
          </cell>
          <cell r="P1192" t="str">
            <v/>
          </cell>
        </row>
        <row r="1193">
          <cell r="B1193" t="str">
            <v/>
          </cell>
          <cell r="C1193" t="str">
            <v/>
          </cell>
          <cell r="E1193" t="str">
            <v/>
          </cell>
          <cell r="H1193" t="str">
            <v/>
          </cell>
          <cell r="I1193" t="str">
            <v/>
          </cell>
          <cell r="K1193" t="str">
            <v/>
          </cell>
          <cell r="N1193" t="str">
            <v/>
          </cell>
          <cell r="P1193" t="str">
            <v/>
          </cell>
        </row>
        <row r="1194">
          <cell r="B1194" t="str">
            <v/>
          </cell>
          <cell r="C1194" t="str">
            <v/>
          </cell>
          <cell r="E1194" t="str">
            <v/>
          </cell>
          <cell r="H1194" t="str">
            <v/>
          </cell>
          <cell r="I1194" t="str">
            <v/>
          </cell>
          <cell r="K1194" t="str">
            <v/>
          </cell>
          <cell r="N1194" t="str">
            <v/>
          </cell>
          <cell r="P1194" t="str">
            <v/>
          </cell>
        </row>
        <row r="1195">
          <cell r="B1195" t="str">
            <v/>
          </cell>
          <cell r="C1195" t="str">
            <v/>
          </cell>
          <cell r="E1195" t="str">
            <v/>
          </cell>
          <cell r="H1195" t="str">
            <v/>
          </cell>
          <cell r="I1195" t="str">
            <v/>
          </cell>
          <cell r="K1195" t="str">
            <v/>
          </cell>
          <cell r="N1195" t="str">
            <v/>
          </cell>
          <cell r="P1195" t="str">
            <v/>
          </cell>
        </row>
        <row r="1196">
          <cell r="B1196" t="str">
            <v/>
          </cell>
          <cell r="C1196" t="str">
            <v/>
          </cell>
          <cell r="E1196" t="str">
            <v/>
          </cell>
          <cell r="H1196" t="str">
            <v/>
          </cell>
          <cell r="I1196" t="str">
            <v/>
          </cell>
          <cell r="K1196" t="str">
            <v/>
          </cell>
          <cell r="N1196" t="str">
            <v/>
          </cell>
          <cell r="P1196" t="str">
            <v/>
          </cell>
        </row>
        <row r="1197">
          <cell r="B1197" t="str">
            <v/>
          </cell>
          <cell r="C1197" t="str">
            <v/>
          </cell>
          <cell r="E1197" t="str">
            <v/>
          </cell>
          <cell r="H1197" t="str">
            <v/>
          </cell>
          <cell r="I1197" t="str">
            <v/>
          </cell>
          <cell r="K1197" t="str">
            <v/>
          </cell>
          <cell r="N1197" t="str">
            <v/>
          </cell>
          <cell r="P1197" t="str">
            <v/>
          </cell>
        </row>
        <row r="1198">
          <cell r="B1198" t="str">
            <v/>
          </cell>
          <cell r="C1198" t="str">
            <v/>
          </cell>
          <cell r="E1198" t="str">
            <v/>
          </cell>
          <cell r="H1198" t="str">
            <v/>
          </cell>
          <cell r="I1198" t="str">
            <v/>
          </cell>
          <cell r="K1198" t="str">
            <v/>
          </cell>
          <cell r="N1198" t="str">
            <v/>
          </cell>
          <cell r="P1198" t="str">
            <v/>
          </cell>
        </row>
        <row r="1199">
          <cell r="B1199" t="str">
            <v/>
          </cell>
          <cell r="C1199" t="str">
            <v/>
          </cell>
          <cell r="E1199" t="str">
            <v/>
          </cell>
          <cell r="H1199" t="str">
            <v/>
          </cell>
          <cell r="I1199" t="str">
            <v/>
          </cell>
          <cell r="K1199" t="str">
            <v/>
          </cell>
          <cell r="N1199" t="str">
            <v/>
          </cell>
          <cell r="P1199" t="str">
            <v/>
          </cell>
        </row>
        <row r="1200">
          <cell r="B1200" t="str">
            <v/>
          </cell>
          <cell r="C1200" t="str">
            <v/>
          </cell>
          <cell r="E1200" t="str">
            <v/>
          </cell>
          <cell r="H1200" t="str">
            <v/>
          </cell>
          <cell r="I1200" t="str">
            <v/>
          </cell>
          <cell r="K1200" t="str">
            <v/>
          </cell>
          <cell r="N1200" t="str">
            <v/>
          </cell>
          <cell r="P1200" t="str">
            <v/>
          </cell>
        </row>
        <row r="1201">
          <cell r="B1201" t="str">
            <v/>
          </cell>
          <cell r="C1201" t="str">
            <v/>
          </cell>
          <cell r="E1201" t="str">
            <v/>
          </cell>
          <cell r="H1201" t="str">
            <v/>
          </cell>
          <cell r="I1201" t="str">
            <v/>
          </cell>
          <cell r="K1201" t="str">
            <v/>
          </cell>
          <cell r="N1201" t="str">
            <v/>
          </cell>
          <cell r="P1201" t="str">
            <v/>
          </cell>
        </row>
        <row r="1202">
          <cell r="B1202" t="str">
            <v/>
          </cell>
          <cell r="C1202" t="str">
            <v/>
          </cell>
          <cell r="E1202" t="str">
            <v/>
          </cell>
          <cell r="H1202" t="str">
            <v/>
          </cell>
          <cell r="I1202" t="str">
            <v/>
          </cell>
          <cell r="K1202" t="str">
            <v/>
          </cell>
          <cell r="N1202" t="str">
            <v/>
          </cell>
          <cell r="P1202" t="str">
            <v/>
          </cell>
        </row>
        <row r="1203">
          <cell r="B1203" t="str">
            <v/>
          </cell>
          <cell r="C1203" t="str">
            <v/>
          </cell>
          <cell r="E1203" t="str">
            <v/>
          </cell>
          <cell r="H1203" t="str">
            <v/>
          </cell>
          <cell r="I1203" t="str">
            <v/>
          </cell>
          <cell r="K1203" t="str">
            <v/>
          </cell>
          <cell r="N1203" t="str">
            <v/>
          </cell>
          <cell r="P1203" t="str">
            <v/>
          </cell>
        </row>
        <row r="1204">
          <cell r="B1204" t="str">
            <v/>
          </cell>
          <cell r="C1204" t="str">
            <v/>
          </cell>
          <cell r="E1204" t="str">
            <v/>
          </cell>
          <cell r="H1204" t="str">
            <v/>
          </cell>
          <cell r="I1204" t="str">
            <v/>
          </cell>
          <cell r="K1204" t="str">
            <v/>
          </cell>
          <cell r="N1204" t="str">
            <v/>
          </cell>
          <cell r="P1204" t="str">
            <v/>
          </cell>
        </row>
      </sheetData>
      <sheetData sheetId="3" refreshError="1"/>
      <sheetData sheetId="4">
        <row r="3">
          <cell r="D3">
            <v>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er"/>
      <sheetName val="Compras"/>
      <sheetName val="Importar Compras"/>
      <sheetName val="Tablas"/>
    </sheetNames>
    <sheetDataSet>
      <sheetData sheetId="0"/>
      <sheetData sheetId="1">
        <row r="9">
          <cell r="CN9">
            <v>5</v>
          </cell>
          <cell r="CV9">
            <v>1</v>
          </cell>
        </row>
        <row r="12">
          <cell r="CN12">
            <v>1</v>
          </cell>
          <cell r="CO12" t="str">
            <v>201501020010000200000000000000000023                8000000000030111111118PruebaFCAcon2Alic             000000000023150000000000000000000000000000000000000000000000000000000000000000000000000000000000000000000000000000000000PES00010000002000000000000000000000000000000000000000000                              000000000000000</v>
          </cell>
          <cell r="CT12" t="str">
            <v/>
          </cell>
          <cell r="CU12" t="str">
            <v/>
          </cell>
          <cell r="CV12" t="str">
            <v/>
          </cell>
          <cell r="CW12" t="str">
            <v/>
          </cell>
        </row>
        <row r="13">
          <cell r="CN13">
            <v>2</v>
          </cell>
          <cell r="CO13" t="str">
            <v>201501070010000300000000000000000345                8000000000030222222229PruebaFCA                     000000000270000000000000008000000000000000000000000000015000000000000005000000000000000000000000000000000000000000000000PES00010000001000000000000000000000000000000000000000000                              000000000000000</v>
          </cell>
          <cell r="CT13" t="str">
            <v/>
          </cell>
          <cell r="CU13" t="str">
            <v/>
          </cell>
          <cell r="CV13" t="str">
            <v/>
          </cell>
          <cell r="CW13" t="str">
            <v/>
          </cell>
        </row>
        <row r="14">
          <cell r="CN14">
            <v>3</v>
          </cell>
          <cell r="CO14" t="str">
            <v>201501080110000400000000000000000005                8000000000030555555551PruebaFCC                     000000000500000000000000000000000000000000000000000000000000000000000000000000000000000000000000000000000000000000000000PES00010000000A00000000000000000000000000000000000000000                              000000000000000</v>
          </cell>
          <cell r="CT14" t="str">
            <v/>
          </cell>
          <cell r="CU14" t="str">
            <v/>
          </cell>
          <cell r="CV14" t="str">
            <v/>
          </cell>
          <cell r="CW14" t="str">
            <v/>
          </cell>
        </row>
        <row r="15">
          <cell r="CN15">
            <v>4</v>
          </cell>
          <cell r="CO15" t="str">
            <v>20150110066000000000000000000000000007001IC04003546M8000000000030555555551PruebaIMPO                    000000020000000000000000500000000000000000000000000007400000000000000000000000000000000000000000000000000000000000000000DOL00086540001X00000000000000000000000000000000000000000                              000000000000000</v>
          </cell>
          <cell r="CT15">
            <v>1</v>
          </cell>
          <cell r="CU15" t="str">
            <v>07001IC04003546M0000000100000000005000000002100000</v>
          </cell>
          <cell r="CV15" t="str">
            <v/>
          </cell>
          <cell r="CW15" t="str">
            <v/>
          </cell>
        </row>
        <row r="16">
          <cell r="CN16">
            <v>5</v>
          </cell>
          <cell r="CO16" t="str">
            <v>201501050010000500000000000000000015                8000000000030555555551PruebaFCAnoALCANZ             000000001000000000000000000000000000001000000000000000000000000000000000000000000000000000000000000000000000000000000000PES00010000001E00000000000000000000000000000000000000000                              000000000000000</v>
          </cell>
          <cell r="CT16" t="str">
            <v/>
          </cell>
          <cell r="CU16" t="str">
            <v/>
          </cell>
          <cell r="CV16" t="str">
            <v/>
          </cell>
          <cell r="CW16" t="str">
            <v/>
          </cell>
        </row>
        <row r="17">
          <cell r="CN17" t="str">
            <v/>
          </cell>
          <cell r="CO17" t="str">
            <v/>
          </cell>
          <cell r="CT17" t="str">
            <v/>
          </cell>
          <cell r="CU17" t="str">
            <v/>
          </cell>
          <cell r="CV17" t="str">
            <v/>
          </cell>
          <cell r="CW17" t="str">
            <v/>
          </cell>
        </row>
        <row r="18">
          <cell r="CN18" t="str">
            <v/>
          </cell>
          <cell r="CO18" t="str">
            <v/>
          </cell>
          <cell r="CT18" t="str">
            <v/>
          </cell>
          <cell r="CU18" t="str">
            <v/>
          </cell>
          <cell r="CV18" t="str">
            <v/>
          </cell>
          <cell r="CW18" t="str">
            <v/>
          </cell>
        </row>
        <row r="19">
          <cell r="CN19" t="str">
            <v/>
          </cell>
          <cell r="CO19" t="str">
            <v/>
          </cell>
          <cell r="CT19" t="str">
            <v/>
          </cell>
          <cell r="CU19" t="str">
            <v/>
          </cell>
          <cell r="CV19" t="str">
            <v/>
          </cell>
          <cell r="CW19" t="str">
            <v/>
          </cell>
        </row>
        <row r="20">
          <cell r="CN20" t="str">
            <v/>
          </cell>
          <cell r="CO20" t="str">
            <v/>
          </cell>
          <cell r="CT20" t="str">
            <v/>
          </cell>
          <cell r="CU20" t="str">
            <v/>
          </cell>
          <cell r="CV20" t="str">
            <v/>
          </cell>
          <cell r="CW20" t="str">
            <v/>
          </cell>
        </row>
        <row r="21">
          <cell r="CN21" t="str">
            <v/>
          </cell>
          <cell r="CO21" t="str">
            <v/>
          </cell>
          <cell r="CT21" t="str">
            <v/>
          </cell>
          <cell r="CU21" t="str">
            <v/>
          </cell>
          <cell r="CV21" t="str">
            <v/>
          </cell>
          <cell r="CW21" t="str">
            <v/>
          </cell>
        </row>
        <row r="22">
          <cell r="CN22" t="str">
            <v/>
          </cell>
          <cell r="CO22" t="str">
            <v/>
          </cell>
          <cell r="CT22" t="str">
            <v/>
          </cell>
          <cell r="CU22" t="str">
            <v/>
          </cell>
          <cell r="CV22" t="str">
            <v/>
          </cell>
          <cell r="CW22" t="str">
            <v/>
          </cell>
        </row>
        <row r="23">
          <cell r="CN23" t="str">
            <v/>
          </cell>
          <cell r="CO23" t="str">
            <v/>
          </cell>
          <cell r="CT23" t="str">
            <v/>
          </cell>
          <cell r="CU23" t="str">
            <v/>
          </cell>
          <cell r="CV23" t="str">
            <v/>
          </cell>
          <cell r="CW23" t="str">
            <v/>
          </cell>
        </row>
        <row r="24">
          <cell r="CN24" t="str">
            <v/>
          </cell>
          <cell r="CO24" t="str">
            <v/>
          </cell>
          <cell r="CT24" t="str">
            <v/>
          </cell>
          <cell r="CU24" t="str">
            <v/>
          </cell>
          <cell r="CV24" t="str">
            <v/>
          </cell>
          <cell r="CW24" t="str">
            <v/>
          </cell>
        </row>
        <row r="25">
          <cell r="CN25" t="str">
            <v/>
          </cell>
          <cell r="CO25" t="str">
            <v/>
          </cell>
          <cell r="CT25" t="str">
            <v/>
          </cell>
          <cell r="CU25" t="str">
            <v/>
          </cell>
          <cell r="CV25" t="str">
            <v/>
          </cell>
          <cell r="CW25" t="str">
            <v/>
          </cell>
        </row>
        <row r="26">
          <cell r="CN26" t="str">
            <v/>
          </cell>
          <cell r="CO26" t="str">
            <v/>
          </cell>
          <cell r="CT26" t="str">
            <v/>
          </cell>
          <cell r="CU26" t="str">
            <v/>
          </cell>
          <cell r="CV26" t="str">
            <v/>
          </cell>
          <cell r="CW26" t="str">
            <v/>
          </cell>
        </row>
        <row r="27">
          <cell r="CN27" t="str">
            <v/>
          </cell>
          <cell r="CO27" t="str">
            <v/>
          </cell>
          <cell r="CT27" t="str">
            <v/>
          </cell>
          <cell r="CU27" t="str">
            <v/>
          </cell>
          <cell r="CV27" t="str">
            <v/>
          </cell>
          <cell r="CW27" t="str">
            <v/>
          </cell>
        </row>
        <row r="28">
          <cell r="CN28" t="str">
            <v/>
          </cell>
          <cell r="CO28" t="str">
            <v/>
          </cell>
          <cell r="CT28" t="str">
            <v/>
          </cell>
          <cell r="CU28" t="str">
            <v/>
          </cell>
          <cell r="CV28" t="str">
            <v/>
          </cell>
          <cell r="CW28" t="str">
            <v/>
          </cell>
        </row>
        <row r="29">
          <cell r="CN29" t="str">
            <v/>
          </cell>
          <cell r="CO29" t="str">
            <v/>
          </cell>
          <cell r="CT29" t="str">
            <v/>
          </cell>
          <cell r="CU29" t="str">
            <v/>
          </cell>
          <cell r="CV29" t="str">
            <v/>
          </cell>
          <cell r="CW29" t="str">
            <v/>
          </cell>
        </row>
        <row r="30">
          <cell r="CN30" t="str">
            <v/>
          </cell>
          <cell r="CO30" t="str">
            <v/>
          </cell>
          <cell r="CT30" t="str">
            <v/>
          </cell>
          <cell r="CU30" t="str">
            <v/>
          </cell>
          <cell r="CV30" t="str">
            <v/>
          </cell>
          <cell r="CW30" t="str">
            <v/>
          </cell>
        </row>
        <row r="31">
          <cell r="CN31" t="str">
            <v/>
          </cell>
          <cell r="CO31" t="str">
            <v/>
          </cell>
          <cell r="CT31" t="str">
            <v/>
          </cell>
          <cell r="CU31" t="str">
            <v/>
          </cell>
          <cell r="CV31" t="str">
            <v/>
          </cell>
          <cell r="CW31" t="str">
            <v/>
          </cell>
        </row>
        <row r="32">
          <cell r="CN32" t="str">
            <v/>
          </cell>
          <cell r="CO32" t="str">
            <v/>
          </cell>
          <cell r="CT32" t="str">
            <v/>
          </cell>
          <cell r="CU32" t="str">
            <v/>
          </cell>
          <cell r="CV32" t="str">
            <v/>
          </cell>
          <cell r="CW32" t="str">
            <v/>
          </cell>
        </row>
        <row r="33">
          <cell r="CN33" t="str">
            <v/>
          </cell>
          <cell r="CO33" t="str">
            <v/>
          </cell>
          <cell r="CT33" t="str">
            <v/>
          </cell>
          <cell r="CU33" t="str">
            <v/>
          </cell>
          <cell r="CV33" t="str">
            <v/>
          </cell>
          <cell r="CW33" t="str">
            <v/>
          </cell>
        </row>
        <row r="34">
          <cell r="CN34" t="str">
            <v/>
          </cell>
          <cell r="CO34" t="str">
            <v/>
          </cell>
          <cell r="CT34" t="str">
            <v/>
          </cell>
          <cell r="CU34" t="str">
            <v/>
          </cell>
          <cell r="CV34" t="str">
            <v/>
          </cell>
          <cell r="CW34" t="str">
            <v/>
          </cell>
        </row>
        <row r="35">
          <cell r="CN35" t="str">
            <v/>
          </cell>
          <cell r="CO35" t="str">
            <v/>
          </cell>
          <cell r="CT35" t="str">
            <v/>
          </cell>
          <cell r="CU35" t="str">
            <v/>
          </cell>
          <cell r="CV35" t="str">
            <v/>
          </cell>
          <cell r="CW35" t="str">
            <v/>
          </cell>
        </row>
        <row r="36">
          <cell r="CN36" t="str">
            <v/>
          </cell>
          <cell r="CO36" t="str">
            <v/>
          </cell>
          <cell r="CT36" t="str">
            <v/>
          </cell>
          <cell r="CU36" t="str">
            <v/>
          </cell>
          <cell r="CV36" t="str">
            <v/>
          </cell>
          <cell r="CW36" t="str">
            <v/>
          </cell>
        </row>
        <row r="37">
          <cell r="CN37" t="str">
            <v/>
          </cell>
          <cell r="CO37" t="str">
            <v/>
          </cell>
          <cell r="CT37" t="str">
            <v/>
          </cell>
          <cell r="CU37" t="str">
            <v/>
          </cell>
          <cell r="CV37" t="str">
            <v/>
          </cell>
          <cell r="CW37" t="str">
            <v/>
          </cell>
        </row>
        <row r="38">
          <cell r="CN38" t="str">
            <v/>
          </cell>
          <cell r="CO38" t="str">
            <v/>
          </cell>
          <cell r="CT38" t="str">
            <v/>
          </cell>
          <cell r="CU38" t="str">
            <v/>
          </cell>
          <cell r="CV38" t="str">
            <v/>
          </cell>
          <cell r="CW38" t="str">
            <v/>
          </cell>
        </row>
        <row r="39">
          <cell r="CN39" t="str">
            <v/>
          </cell>
          <cell r="CO39" t="str">
            <v/>
          </cell>
          <cell r="CT39" t="str">
            <v/>
          </cell>
          <cell r="CU39" t="str">
            <v/>
          </cell>
          <cell r="CV39" t="str">
            <v/>
          </cell>
          <cell r="CW39" t="str">
            <v/>
          </cell>
        </row>
        <row r="40">
          <cell r="CN40" t="str">
            <v/>
          </cell>
          <cell r="CO40" t="str">
            <v/>
          </cell>
          <cell r="CT40" t="str">
            <v/>
          </cell>
          <cell r="CU40" t="str">
            <v/>
          </cell>
          <cell r="CV40" t="str">
            <v/>
          </cell>
          <cell r="CW40" t="str">
            <v/>
          </cell>
        </row>
        <row r="41">
          <cell r="CN41" t="str">
            <v/>
          </cell>
          <cell r="CO41" t="str">
            <v/>
          </cell>
          <cell r="CT41" t="str">
            <v/>
          </cell>
          <cell r="CU41" t="str">
            <v/>
          </cell>
          <cell r="CV41" t="str">
            <v/>
          </cell>
          <cell r="CW41" t="str">
            <v/>
          </cell>
        </row>
        <row r="42">
          <cell r="CN42" t="str">
            <v/>
          </cell>
          <cell r="CO42" t="str">
            <v/>
          </cell>
          <cell r="CT42" t="str">
            <v/>
          </cell>
          <cell r="CU42" t="str">
            <v/>
          </cell>
          <cell r="CV42" t="str">
            <v/>
          </cell>
          <cell r="CW42" t="str">
            <v/>
          </cell>
        </row>
        <row r="43">
          <cell r="CN43" t="str">
            <v/>
          </cell>
          <cell r="CO43" t="str">
            <v/>
          </cell>
          <cell r="CT43" t="str">
            <v/>
          </cell>
          <cell r="CU43" t="str">
            <v/>
          </cell>
          <cell r="CV43" t="str">
            <v/>
          </cell>
          <cell r="CW43" t="str">
            <v/>
          </cell>
        </row>
        <row r="44">
          <cell r="CN44" t="str">
            <v/>
          </cell>
          <cell r="CO44" t="str">
            <v/>
          </cell>
          <cell r="CT44" t="str">
            <v/>
          </cell>
          <cell r="CU44" t="str">
            <v/>
          </cell>
          <cell r="CV44" t="str">
            <v/>
          </cell>
          <cell r="CW44" t="str">
            <v/>
          </cell>
        </row>
        <row r="45">
          <cell r="CN45" t="str">
            <v/>
          </cell>
          <cell r="CO45" t="str">
            <v/>
          </cell>
          <cell r="CT45" t="str">
            <v/>
          </cell>
          <cell r="CU45" t="str">
            <v/>
          </cell>
          <cell r="CV45" t="str">
            <v/>
          </cell>
          <cell r="CW45" t="str">
            <v/>
          </cell>
        </row>
        <row r="46">
          <cell r="CN46" t="str">
            <v/>
          </cell>
          <cell r="CO46" t="str">
            <v/>
          </cell>
          <cell r="CT46" t="str">
            <v/>
          </cell>
          <cell r="CU46" t="str">
            <v/>
          </cell>
          <cell r="CV46" t="str">
            <v/>
          </cell>
          <cell r="CW46" t="str">
            <v/>
          </cell>
        </row>
        <row r="47">
          <cell r="CN47" t="str">
            <v/>
          </cell>
          <cell r="CO47" t="str">
            <v/>
          </cell>
          <cell r="CT47" t="str">
            <v/>
          </cell>
          <cell r="CU47" t="str">
            <v/>
          </cell>
          <cell r="CV47" t="str">
            <v/>
          </cell>
          <cell r="CW47" t="str">
            <v/>
          </cell>
        </row>
        <row r="48">
          <cell r="CN48" t="str">
            <v/>
          </cell>
          <cell r="CO48" t="str">
            <v/>
          </cell>
          <cell r="CT48" t="str">
            <v/>
          </cell>
          <cell r="CU48" t="str">
            <v/>
          </cell>
          <cell r="CV48" t="str">
            <v/>
          </cell>
          <cell r="CW48" t="str">
            <v/>
          </cell>
        </row>
        <row r="49">
          <cell r="CN49" t="str">
            <v/>
          </cell>
          <cell r="CO49" t="str">
            <v/>
          </cell>
          <cell r="CT49" t="str">
            <v/>
          </cell>
          <cell r="CU49" t="str">
            <v/>
          </cell>
          <cell r="CV49" t="str">
            <v/>
          </cell>
          <cell r="CW49" t="str">
            <v/>
          </cell>
        </row>
        <row r="50">
          <cell r="CN50" t="str">
            <v/>
          </cell>
          <cell r="CO50" t="str">
            <v/>
          </cell>
          <cell r="CT50" t="str">
            <v/>
          </cell>
          <cell r="CU50" t="str">
            <v/>
          </cell>
          <cell r="CV50" t="str">
            <v/>
          </cell>
          <cell r="CW50" t="str">
            <v/>
          </cell>
        </row>
        <row r="51">
          <cell r="CN51" t="str">
            <v/>
          </cell>
          <cell r="CO51" t="str">
            <v/>
          </cell>
          <cell r="CT51" t="str">
            <v/>
          </cell>
          <cell r="CU51" t="str">
            <v/>
          </cell>
          <cell r="CV51" t="str">
            <v/>
          </cell>
          <cell r="CW51" t="str">
            <v/>
          </cell>
        </row>
        <row r="52">
          <cell r="CN52" t="str">
            <v/>
          </cell>
          <cell r="CO52" t="str">
            <v/>
          </cell>
          <cell r="CT52" t="str">
            <v/>
          </cell>
          <cell r="CU52" t="str">
            <v/>
          </cell>
          <cell r="CV52" t="str">
            <v/>
          </cell>
          <cell r="CW52" t="str">
            <v/>
          </cell>
        </row>
        <row r="53">
          <cell r="CN53" t="str">
            <v/>
          </cell>
          <cell r="CO53" t="str">
            <v/>
          </cell>
          <cell r="CT53" t="str">
            <v/>
          </cell>
          <cell r="CU53" t="str">
            <v/>
          </cell>
          <cell r="CV53" t="str">
            <v/>
          </cell>
          <cell r="CW53" t="str">
            <v/>
          </cell>
        </row>
        <row r="54">
          <cell r="CN54" t="str">
            <v/>
          </cell>
          <cell r="CO54" t="str">
            <v/>
          </cell>
          <cell r="CT54" t="str">
            <v/>
          </cell>
          <cell r="CU54" t="str">
            <v/>
          </cell>
          <cell r="CV54" t="str">
            <v/>
          </cell>
          <cell r="CW54" t="str">
            <v/>
          </cell>
        </row>
        <row r="55">
          <cell r="CN55" t="str">
            <v/>
          </cell>
          <cell r="CO55" t="str">
            <v/>
          </cell>
          <cell r="CT55" t="str">
            <v/>
          </cell>
          <cell r="CU55" t="str">
            <v/>
          </cell>
          <cell r="CV55" t="str">
            <v/>
          </cell>
          <cell r="CW55" t="str">
            <v/>
          </cell>
        </row>
        <row r="56">
          <cell r="CN56" t="str">
            <v/>
          </cell>
          <cell r="CO56" t="str">
            <v/>
          </cell>
          <cell r="CT56" t="str">
            <v/>
          </cell>
          <cell r="CU56" t="str">
            <v/>
          </cell>
          <cell r="CV56" t="str">
            <v/>
          </cell>
          <cell r="CW56" t="str">
            <v/>
          </cell>
        </row>
        <row r="57">
          <cell r="CN57" t="str">
            <v/>
          </cell>
          <cell r="CO57" t="str">
            <v/>
          </cell>
          <cell r="CT57" t="str">
            <v/>
          </cell>
          <cell r="CU57" t="str">
            <v/>
          </cell>
          <cell r="CV57" t="str">
            <v/>
          </cell>
          <cell r="CW57" t="str">
            <v/>
          </cell>
        </row>
        <row r="58">
          <cell r="CN58" t="str">
            <v/>
          </cell>
          <cell r="CO58" t="str">
            <v/>
          </cell>
          <cell r="CT58" t="str">
            <v/>
          </cell>
          <cell r="CU58" t="str">
            <v/>
          </cell>
          <cell r="CV58" t="str">
            <v/>
          </cell>
          <cell r="CW58" t="str">
            <v/>
          </cell>
        </row>
        <row r="59">
          <cell r="CN59" t="str">
            <v/>
          </cell>
          <cell r="CO59" t="str">
            <v/>
          </cell>
          <cell r="CT59" t="str">
            <v/>
          </cell>
          <cell r="CU59" t="str">
            <v/>
          </cell>
          <cell r="CV59" t="str">
            <v/>
          </cell>
          <cell r="CW59" t="str">
            <v/>
          </cell>
        </row>
        <row r="60">
          <cell r="CN60" t="str">
            <v/>
          </cell>
          <cell r="CO60" t="str">
            <v/>
          </cell>
          <cell r="CT60" t="str">
            <v/>
          </cell>
          <cell r="CU60" t="str">
            <v/>
          </cell>
          <cell r="CV60" t="str">
            <v/>
          </cell>
          <cell r="CW60" t="str">
            <v/>
          </cell>
        </row>
        <row r="61">
          <cell r="CN61" t="str">
            <v/>
          </cell>
          <cell r="CO61" t="str">
            <v/>
          </cell>
          <cell r="CT61" t="str">
            <v/>
          </cell>
          <cell r="CU61" t="str">
            <v/>
          </cell>
          <cell r="CV61" t="str">
            <v/>
          </cell>
          <cell r="CW61" t="str">
            <v/>
          </cell>
        </row>
        <row r="62">
          <cell r="CN62" t="str">
            <v/>
          </cell>
          <cell r="CO62" t="str">
            <v/>
          </cell>
          <cell r="CT62" t="str">
            <v/>
          </cell>
          <cell r="CU62" t="str">
            <v/>
          </cell>
          <cell r="CV62" t="str">
            <v/>
          </cell>
          <cell r="CW62" t="str">
            <v/>
          </cell>
        </row>
        <row r="63">
          <cell r="CN63" t="str">
            <v/>
          </cell>
          <cell r="CO63" t="str">
            <v/>
          </cell>
          <cell r="CT63" t="str">
            <v/>
          </cell>
          <cell r="CU63" t="str">
            <v/>
          </cell>
          <cell r="CV63" t="str">
            <v/>
          </cell>
          <cell r="CW63" t="str">
            <v/>
          </cell>
        </row>
        <row r="64">
          <cell r="CN64" t="str">
            <v/>
          </cell>
          <cell r="CO64" t="str">
            <v/>
          </cell>
          <cell r="CT64" t="str">
            <v/>
          </cell>
          <cell r="CU64" t="str">
            <v/>
          </cell>
          <cell r="CV64" t="str">
            <v/>
          </cell>
          <cell r="CW64" t="str">
            <v/>
          </cell>
        </row>
        <row r="65">
          <cell r="CN65" t="str">
            <v/>
          </cell>
          <cell r="CO65" t="str">
            <v/>
          </cell>
          <cell r="CT65" t="str">
            <v/>
          </cell>
          <cell r="CU65" t="str">
            <v/>
          </cell>
          <cell r="CV65" t="str">
            <v/>
          </cell>
          <cell r="CW65" t="str">
            <v/>
          </cell>
        </row>
        <row r="66">
          <cell r="CN66" t="str">
            <v/>
          </cell>
          <cell r="CO66" t="str">
            <v/>
          </cell>
          <cell r="CT66" t="str">
            <v/>
          </cell>
          <cell r="CU66" t="str">
            <v/>
          </cell>
          <cell r="CV66" t="str">
            <v/>
          </cell>
          <cell r="CW66" t="str">
            <v/>
          </cell>
        </row>
        <row r="67">
          <cell r="CN67" t="str">
            <v/>
          </cell>
          <cell r="CO67" t="str">
            <v/>
          </cell>
          <cell r="CT67" t="str">
            <v/>
          </cell>
          <cell r="CU67" t="str">
            <v/>
          </cell>
          <cell r="CV67" t="str">
            <v/>
          </cell>
          <cell r="CW67" t="str">
            <v/>
          </cell>
        </row>
        <row r="68">
          <cell r="CN68" t="str">
            <v/>
          </cell>
          <cell r="CO68" t="str">
            <v/>
          </cell>
          <cell r="CT68" t="str">
            <v/>
          </cell>
          <cell r="CU68" t="str">
            <v/>
          </cell>
          <cell r="CV68" t="str">
            <v/>
          </cell>
          <cell r="CW68" t="str">
            <v/>
          </cell>
        </row>
        <row r="69">
          <cell r="CN69" t="str">
            <v/>
          </cell>
          <cell r="CO69" t="str">
            <v/>
          </cell>
          <cell r="CT69" t="str">
            <v/>
          </cell>
          <cell r="CU69" t="str">
            <v/>
          </cell>
          <cell r="CV69" t="str">
            <v/>
          </cell>
          <cell r="CW69" t="str">
            <v/>
          </cell>
        </row>
        <row r="70">
          <cell r="CN70" t="str">
            <v/>
          </cell>
          <cell r="CO70" t="str">
            <v/>
          </cell>
          <cell r="CT70" t="str">
            <v/>
          </cell>
          <cell r="CU70" t="str">
            <v/>
          </cell>
          <cell r="CV70" t="str">
            <v/>
          </cell>
          <cell r="CW70" t="str">
            <v/>
          </cell>
        </row>
        <row r="71">
          <cell r="CN71" t="str">
            <v/>
          </cell>
          <cell r="CO71" t="str">
            <v/>
          </cell>
          <cell r="CT71" t="str">
            <v/>
          </cell>
          <cell r="CU71" t="str">
            <v/>
          </cell>
          <cell r="CV71" t="str">
            <v/>
          </cell>
          <cell r="CW71" t="str">
            <v/>
          </cell>
        </row>
        <row r="72">
          <cell r="CN72" t="str">
            <v/>
          </cell>
          <cell r="CO72" t="str">
            <v/>
          </cell>
          <cell r="CT72" t="str">
            <v/>
          </cell>
          <cell r="CU72" t="str">
            <v/>
          </cell>
          <cell r="CV72" t="str">
            <v/>
          </cell>
          <cell r="CW72" t="str">
            <v/>
          </cell>
        </row>
        <row r="73">
          <cell r="CN73" t="str">
            <v/>
          </cell>
          <cell r="CO73" t="str">
            <v/>
          </cell>
          <cell r="CT73" t="str">
            <v/>
          </cell>
          <cell r="CU73" t="str">
            <v/>
          </cell>
          <cell r="CV73" t="str">
            <v/>
          </cell>
          <cell r="CW73" t="str">
            <v/>
          </cell>
        </row>
        <row r="74">
          <cell r="CN74" t="str">
            <v/>
          </cell>
          <cell r="CO74" t="str">
            <v/>
          </cell>
          <cell r="CT74" t="str">
            <v/>
          </cell>
          <cell r="CU74" t="str">
            <v/>
          </cell>
          <cell r="CV74" t="str">
            <v/>
          </cell>
          <cell r="CW74" t="str">
            <v/>
          </cell>
        </row>
        <row r="75">
          <cell r="CN75" t="str">
            <v/>
          </cell>
          <cell r="CO75" t="str">
            <v/>
          </cell>
          <cell r="CT75" t="str">
            <v/>
          </cell>
          <cell r="CU75" t="str">
            <v/>
          </cell>
          <cell r="CV75" t="str">
            <v/>
          </cell>
          <cell r="CW75" t="str">
            <v/>
          </cell>
        </row>
        <row r="76">
          <cell r="CN76" t="str">
            <v/>
          </cell>
          <cell r="CO76" t="str">
            <v/>
          </cell>
          <cell r="CT76" t="str">
            <v/>
          </cell>
          <cell r="CU76" t="str">
            <v/>
          </cell>
          <cell r="CV76" t="str">
            <v/>
          </cell>
          <cell r="CW76" t="str">
            <v/>
          </cell>
        </row>
        <row r="77">
          <cell r="CN77" t="str">
            <v/>
          </cell>
          <cell r="CO77" t="str">
            <v/>
          </cell>
          <cell r="CT77" t="str">
            <v/>
          </cell>
          <cell r="CU77" t="str">
            <v/>
          </cell>
          <cell r="CV77" t="str">
            <v/>
          </cell>
          <cell r="CW77" t="str">
            <v/>
          </cell>
        </row>
        <row r="78">
          <cell r="CN78" t="str">
            <v/>
          </cell>
          <cell r="CO78" t="str">
            <v/>
          </cell>
          <cell r="CT78" t="str">
            <v/>
          </cell>
          <cell r="CU78" t="str">
            <v/>
          </cell>
          <cell r="CV78" t="str">
            <v/>
          </cell>
          <cell r="CW78" t="str">
            <v/>
          </cell>
        </row>
        <row r="79">
          <cell r="CN79" t="str">
            <v/>
          </cell>
          <cell r="CO79" t="str">
            <v/>
          </cell>
          <cell r="CT79" t="str">
            <v/>
          </cell>
          <cell r="CU79" t="str">
            <v/>
          </cell>
          <cell r="CV79" t="str">
            <v/>
          </cell>
          <cell r="CW79" t="str">
            <v/>
          </cell>
        </row>
        <row r="80">
          <cell r="CN80" t="str">
            <v/>
          </cell>
          <cell r="CO80" t="str">
            <v/>
          </cell>
          <cell r="CT80" t="str">
            <v/>
          </cell>
          <cell r="CU80" t="str">
            <v/>
          </cell>
          <cell r="CV80" t="str">
            <v/>
          </cell>
          <cell r="CW80" t="str">
            <v/>
          </cell>
        </row>
        <row r="81">
          <cell r="CN81" t="str">
            <v/>
          </cell>
          <cell r="CO81" t="str">
            <v/>
          </cell>
          <cell r="CT81" t="str">
            <v/>
          </cell>
          <cell r="CU81" t="str">
            <v/>
          </cell>
          <cell r="CV81" t="str">
            <v/>
          </cell>
          <cell r="CW81" t="str">
            <v/>
          </cell>
        </row>
        <row r="82">
          <cell r="CN82" t="str">
            <v/>
          </cell>
          <cell r="CO82" t="str">
            <v/>
          </cell>
          <cell r="CT82" t="str">
            <v/>
          </cell>
          <cell r="CU82" t="str">
            <v/>
          </cell>
          <cell r="CV82" t="str">
            <v/>
          </cell>
          <cell r="CW82" t="str">
            <v/>
          </cell>
        </row>
        <row r="83">
          <cell r="CN83" t="str">
            <v/>
          </cell>
          <cell r="CO83" t="str">
            <v/>
          </cell>
          <cell r="CT83" t="str">
            <v/>
          </cell>
          <cell r="CU83" t="str">
            <v/>
          </cell>
          <cell r="CV83" t="str">
            <v/>
          </cell>
          <cell r="CW83" t="str">
            <v/>
          </cell>
        </row>
        <row r="84">
          <cell r="CN84" t="str">
            <v/>
          </cell>
          <cell r="CO84" t="str">
            <v/>
          </cell>
          <cell r="CT84" t="str">
            <v/>
          </cell>
          <cell r="CU84" t="str">
            <v/>
          </cell>
          <cell r="CV84" t="str">
            <v/>
          </cell>
          <cell r="CW84" t="str">
            <v/>
          </cell>
        </row>
        <row r="85">
          <cell r="CN85" t="str">
            <v/>
          </cell>
          <cell r="CO85" t="str">
            <v/>
          </cell>
          <cell r="CT85" t="str">
            <v/>
          </cell>
          <cell r="CU85" t="str">
            <v/>
          </cell>
          <cell r="CV85" t="str">
            <v/>
          </cell>
          <cell r="CW85" t="str">
            <v/>
          </cell>
        </row>
        <row r="86">
          <cell r="CN86" t="str">
            <v/>
          </cell>
          <cell r="CO86" t="str">
            <v/>
          </cell>
          <cell r="CT86" t="str">
            <v/>
          </cell>
          <cell r="CU86" t="str">
            <v/>
          </cell>
          <cell r="CV86" t="str">
            <v/>
          </cell>
          <cell r="CW86" t="str">
            <v/>
          </cell>
        </row>
        <row r="87">
          <cell r="CN87" t="str">
            <v/>
          </cell>
          <cell r="CO87" t="str">
            <v/>
          </cell>
          <cell r="CT87" t="str">
            <v/>
          </cell>
          <cell r="CU87" t="str">
            <v/>
          </cell>
          <cell r="CV87" t="str">
            <v/>
          </cell>
          <cell r="CW87" t="str">
            <v/>
          </cell>
        </row>
        <row r="88">
          <cell r="CN88" t="str">
            <v/>
          </cell>
          <cell r="CO88" t="str">
            <v/>
          </cell>
          <cell r="CT88" t="str">
            <v/>
          </cell>
          <cell r="CU88" t="str">
            <v/>
          </cell>
          <cell r="CV88" t="str">
            <v/>
          </cell>
          <cell r="CW88" t="str">
            <v/>
          </cell>
        </row>
        <row r="89">
          <cell r="CN89" t="str">
            <v/>
          </cell>
          <cell r="CO89" t="str">
            <v/>
          </cell>
          <cell r="CT89" t="str">
            <v/>
          </cell>
          <cell r="CU89" t="str">
            <v/>
          </cell>
          <cell r="CV89" t="str">
            <v/>
          </cell>
          <cell r="CW89" t="str">
            <v/>
          </cell>
        </row>
        <row r="90">
          <cell r="CN90" t="str">
            <v/>
          </cell>
          <cell r="CO90" t="str">
            <v/>
          </cell>
          <cell r="CT90" t="str">
            <v/>
          </cell>
          <cell r="CU90" t="str">
            <v/>
          </cell>
          <cell r="CV90" t="str">
            <v/>
          </cell>
          <cell r="CW90" t="str">
            <v/>
          </cell>
        </row>
        <row r="91">
          <cell r="CN91" t="str">
            <v/>
          </cell>
          <cell r="CO91" t="str">
            <v/>
          </cell>
          <cell r="CT91" t="str">
            <v/>
          </cell>
          <cell r="CU91" t="str">
            <v/>
          </cell>
          <cell r="CV91" t="str">
            <v/>
          </cell>
          <cell r="CW91" t="str">
            <v/>
          </cell>
        </row>
        <row r="92">
          <cell r="CN92" t="str">
            <v/>
          </cell>
          <cell r="CO92" t="str">
            <v/>
          </cell>
          <cell r="CT92" t="str">
            <v/>
          </cell>
          <cell r="CU92" t="str">
            <v/>
          </cell>
          <cell r="CV92" t="str">
            <v/>
          </cell>
          <cell r="CW92" t="str">
            <v/>
          </cell>
        </row>
        <row r="93">
          <cell r="CN93" t="str">
            <v/>
          </cell>
          <cell r="CO93" t="str">
            <v/>
          </cell>
          <cell r="CT93" t="str">
            <v/>
          </cell>
          <cell r="CU93" t="str">
            <v/>
          </cell>
          <cell r="CV93" t="str">
            <v/>
          </cell>
          <cell r="CW93" t="str">
            <v/>
          </cell>
        </row>
        <row r="94">
          <cell r="CN94" t="str">
            <v/>
          </cell>
          <cell r="CO94" t="str">
            <v/>
          </cell>
          <cell r="CT94" t="str">
            <v/>
          </cell>
          <cell r="CU94" t="str">
            <v/>
          </cell>
          <cell r="CV94" t="str">
            <v/>
          </cell>
          <cell r="CW94" t="str">
            <v/>
          </cell>
        </row>
        <row r="95">
          <cell r="CN95" t="str">
            <v/>
          </cell>
          <cell r="CO95" t="str">
            <v/>
          </cell>
          <cell r="CT95" t="str">
            <v/>
          </cell>
          <cell r="CU95" t="str">
            <v/>
          </cell>
          <cell r="CV95" t="str">
            <v/>
          </cell>
          <cell r="CW95" t="str">
            <v/>
          </cell>
        </row>
        <row r="96">
          <cell r="CN96" t="str">
            <v/>
          </cell>
          <cell r="CO96" t="str">
            <v/>
          </cell>
          <cell r="CT96" t="str">
            <v/>
          </cell>
          <cell r="CU96" t="str">
            <v/>
          </cell>
          <cell r="CV96" t="str">
            <v/>
          </cell>
          <cell r="CW96" t="str">
            <v/>
          </cell>
        </row>
        <row r="97">
          <cell r="CN97" t="str">
            <v/>
          </cell>
          <cell r="CO97" t="str">
            <v/>
          </cell>
          <cell r="CT97" t="str">
            <v/>
          </cell>
          <cell r="CU97" t="str">
            <v/>
          </cell>
          <cell r="CV97" t="str">
            <v/>
          </cell>
          <cell r="CW97" t="str">
            <v/>
          </cell>
        </row>
        <row r="98">
          <cell r="CN98" t="str">
            <v/>
          </cell>
          <cell r="CO98" t="str">
            <v/>
          </cell>
          <cell r="CT98" t="str">
            <v/>
          </cell>
          <cell r="CU98" t="str">
            <v/>
          </cell>
          <cell r="CV98" t="str">
            <v/>
          </cell>
          <cell r="CW98" t="str">
            <v/>
          </cell>
        </row>
        <row r="99">
          <cell r="CN99" t="str">
            <v/>
          </cell>
          <cell r="CO99" t="str">
            <v/>
          </cell>
          <cell r="CT99" t="str">
            <v/>
          </cell>
          <cell r="CU99" t="str">
            <v/>
          </cell>
          <cell r="CV99" t="str">
            <v/>
          </cell>
          <cell r="CW99" t="str">
            <v/>
          </cell>
        </row>
        <row r="100">
          <cell r="CN100" t="str">
            <v/>
          </cell>
          <cell r="CO100" t="str">
            <v/>
          </cell>
          <cell r="CT100" t="str">
            <v/>
          </cell>
          <cell r="CU100" t="str">
            <v/>
          </cell>
          <cell r="CV100" t="str">
            <v/>
          </cell>
          <cell r="CW100" t="str">
            <v/>
          </cell>
        </row>
        <row r="101">
          <cell r="CN101" t="str">
            <v/>
          </cell>
          <cell r="CO101" t="str">
            <v/>
          </cell>
          <cell r="CT101" t="str">
            <v/>
          </cell>
          <cell r="CU101" t="str">
            <v/>
          </cell>
          <cell r="CV101" t="str">
            <v/>
          </cell>
          <cell r="CW101" t="str">
            <v/>
          </cell>
        </row>
        <row r="102">
          <cell r="CN102" t="str">
            <v/>
          </cell>
          <cell r="CO102" t="str">
            <v/>
          </cell>
          <cell r="CT102" t="str">
            <v/>
          </cell>
          <cell r="CU102" t="str">
            <v/>
          </cell>
          <cell r="CV102" t="str">
            <v/>
          </cell>
          <cell r="CW102" t="str">
            <v/>
          </cell>
        </row>
        <row r="103">
          <cell r="CN103" t="str">
            <v/>
          </cell>
          <cell r="CO103" t="str">
            <v/>
          </cell>
          <cell r="CT103" t="str">
            <v/>
          </cell>
          <cell r="CU103" t="str">
            <v/>
          </cell>
          <cell r="CV103" t="str">
            <v/>
          </cell>
          <cell r="CW103" t="str">
            <v/>
          </cell>
        </row>
        <row r="104">
          <cell r="CN104" t="str">
            <v/>
          </cell>
          <cell r="CO104" t="str">
            <v/>
          </cell>
          <cell r="CT104" t="str">
            <v/>
          </cell>
          <cell r="CU104" t="str">
            <v/>
          </cell>
          <cell r="CV104" t="str">
            <v/>
          </cell>
          <cell r="CW104" t="str">
            <v/>
          </cell>
        </row>
        <row r="105">
          <cell r="CN105" t="str">
            <v/>
          </cell>
          <cell r="CO105" t="str">
            <v/>
          </cell>
          <cell r="CT105" t="str">
            <v/>
          </cell>
          <cell r="CU105" t="str">
            <v/>
          </cell>
          <cell r="CV105" t="str">
            <v/>
          </cell>
          <cell r="CW105" t="str">
            <v/>
          </cell>
        </row>
        <row r="106">
          <cell r="CN106" t="str">
            <v/>
          </cell>
          <cell r="CO106" t="str">
            <v/>
          </cell>
          <cell r="CT106" t="str">
            <v/>
          </cell>
          <cell r="CU106" t="str">
            <v/>
          </cell>
          <cell r="CV106" t="str">
            <v/>
          </cell>
          <cell r="CW106" t="str">
            <v/>
          </cell>
        </row>
        <row r="107">
          <cell r="CN107" t="str">
            <v/>
          </cell>
          <cell r="CO107" t="str">
            <v/>
          </cell>
          <cell r="CT107" t="str">
            <v/>
          </cell>
          <cell r="CU107" t="str">
            <v/>
          </cell>
          <cell r="CV107" t="str">
            <v/>
          </cell>
          <cell r="CW107" t="str">
            <v/>
          </cell>
        </row>
        <row r="108">
          <cell r="CN108" t="str">
            <v/>
          </cell>
          <cell r="CO108" t="str">
            <v/>
          </cell>
          <cell r="CT108" t="str">
            <v/>
          </cell>
          <cell r="CU108" t="str">
            <v/>
          </cell>
          <cell r="CV108" t="str">
            <v/>
          </cell>
          <cell r="CW108" t="str">
            <v/>
          </cell>
        </row>
        <row r="109">
          <cell r="CN109" t="str">
            <v/>
          </cell>
          <cell r="CO109" t="str">
            <v/>
          </cell>
          <cell r="CT109" t="str">
            <v/>
          </cell>
          <cell r="CU109" t="str">
            <v/>
          </cell>
          <cell r="CV109" t="str">
            <v/>
          </cell>
          <cell r="CW109" t="str">
            <v/>
          </cell>
        </row>
        <row r="110">
          <cell r="CN110" t="str">
            <v/>
          </cell>
          <cell r="CO110" t="str">
            <v/>
          </cell>
          <cell r="CT110" t="str">
            <v/>
          </cell>
          <cell r="CU110" t="str">
            <v/>
          </cell>
          <cell r="CV110" t="str">
            <v/>
          </cell>
          <cell r="CW110" t="str">
            <v/>
          </cell>
        </row>
        <row r="111">
          <cell r="CN111" t="str">
            <v/>
          </cell>
          <cell r="CO111" t="str">
            <v/>
          </cell>
          <cell r="CT111" t="str">
            <v/>
          </cell>
          <cell r="CU111" t="str">
            <v/>
          </cell>
          <cell r="CV111" t="str">
            <v/>
          </cell>
          <cell r="CW111" t="str">
            <v/>
          </cell>
        </row>
        <row r="112">
          <cell r="CN112" t="str">
            <v/>
          </cell>
          <cell r="CO112" t="str">
            <v/>
          </cell>
          <cell r="CT112" t="str">
            <v/>
          </cell>
          <cell r="CU112" t="str">
            <v/>
          </cell>
          <cell r="CV112" t="str">
            <v/>
          </cell>
          <cell r="CW112" t="str">
            <v/>
          </cell>
        </row>
        <row r="113">
          <cell r="CN113" t="str">
            <v/>
          </cell>
          <cell r="CO113" t="str">
            <v/>
          </cell>
          <cell r="CT113" t="str">
            <v/>
          </cell>
          <cell r="CU113" t="str">
            <v/>
          </cell>
          <cell r="CV113" t="str">
            <v/>
          </cell>
          <cell r="CW113" t="str">
            <v/>
          </cell>
        </row>
        <row r="114">
          <cell r="CN114" t="str">
            <v/>
          </cell>
          <cell r="CO114" t="str">
            <v/>
          </cell>
          <cell r="CT114" t="str">
            <v/>
          </cell>
          <cell r="CU114" t="str">
            <v/>
          </cell>
          <cell r="CV114" t="str">
            <v/>
          </cell>
          <cell r="CW114" t="str">
            <v/>
          </cell>
        </row>
        <row r="115">
          <cell r="CN115" t="str">
            <v/>
          </cell>
          <cell r="CO115" t="str">
            <v/>
          </cell>
          <cell r="CT115" t="str">
            <v/>
          </cell>
          <cell r="CU115" t="str">
            <v/>
          </cell>
          <cell r="CV115" t="str">
            <v/>
          </cell>
          <cell r="CW115" t="str">
            <v/>
          </cell>
        </row>
        <row r="116">
          <cell r="CN116" t="str">
            <v/>
          </cell>
          <cell r="CO116" t="str">
            <v/>
          </cell>
          <cell r="CT116" t="str">
            <v/>
          </cell>
          <cell r="CU116" t="str">
            <v/>
          </cell>
          <cell r="CV116" t="str">
            <v/>
          </cell>
          <cell r="CW116" t="str">
            <v/>
          </cell>
        </row>
        <row r="117">
          <cell r="CN117" t="str">
            <v/>
          </cell>
          <cell r="CO117" t="str">
            <v/>
          </cell>
          <cell r="CT117" t="str">
            <v/>
          </cell>
          <cell r="CU117" t="str">
            <v/>
          </cell>
          <cell r="CV117" t="str">
            <v/>
          </cell>
          <cell r="CW117" t="str">
            <v/>
          </cell>
        </row>
        <row r="118">
          <cell r="CN118" t="str">
            <v/>
          </cell>
          <cell r="CO118" t="str">
            <v/>
          </cell>
          <cell r="CT118" t="str">
            <v/>
          </cell>
          <cell r="CU118" t="str">
            <v/>
          </cell>
          <cell r="CV118" t="str">
            <v/>
          </cell>
          <cell r="CW118" t="str">
            <v/>
          </cell>
        </row>
        <row r="119">
          <cell r="CN119" t="str">
            <v/>
          </cell>
          <cell r="CO119" t="str">
            <v/>
          </cell>
          <cell r="CT119" t="str">
            <v/>
          </cell>
          <cell r="CU119" t="str">
            <v/>
          </cell>
          <cell r="CV119" t="str">
            <v/>
          </cell>
          <cell r="CW119" t="str">
            <v/>
          </cell>
        </row>
        <row r="120">
          <cell r="CN120" t="str">
            <v/>
          </cell>
          <cell r="CO120" t="str">
            <v/>
          </cell>
          <cell r="CT120" t="str">
            <v/>
          </cell>
          <cell r="CU120" t="str">
            <v/>
          </cell>
          <cell r="CV120" t="str">
            <v/>
          </cell>
          <cell r="CW120" t="str">
            <v/>
          </cell>
        </row>
        <row r="121">
          <cell r="CN121" t="str">
            <v/>
          </cell>
          <cell r="CO121" t="str">
            <v/>
          </cell>
          <cell r="CT121" t="str">
            <v/>
          </cell>
          <cell r="CU121" t="str">
            <v/>
          </cell>
          <cell r="CV121" t="str">
            <v/>
          </cell>
          <cell r="CW121" t="str">
            <v/>
          </cell>
        </row>
        <row r="122">
          <cell r="CN122" t="str">
            <v/>
          </cell>
          <cell r="CO122" t="str">
            <v/>
          </cell>
          <cell r="CT122" t="str">
            <v/>
          </cell>
          <cell r="CU122" t="str">
            <v/>
          </cell>
          <cell r="CV122" t="str">
            <v/>
          </cell>
          <cell r="CW122" t="str">
            <v/>
          </cell>
        </row>
        <row r="123">
          <cell r="CN123" t="str">
            <v/>
          </cell>
          <cell r="CO123" t="str">
            <v/>
          </cell>
          <cell r="CT123" t="str">
            <v/>
          </cell>
          <cell r="CU123" t="str">
            <v/>
          </cell>
          <cell r="CV123" t="str">
            <v/>
          </cell>
          <cell r="CW123" t="str">
            <v/>
          </cell>
        </row>
        <row r="124">
          <cell r="CN124" t="str">
            <v/>
          </cell>
          <cell r="CO124" t="str">
            <v/>
          </cell>
          <cell r="CT124" t="str">
            <v/>
          </cell>
          <cell r="CU124" t="str">
            <v/>
          </cell>
          <cell r="CV124" t="str">
            <v/>
          </cell>
          <cell r="CW124" t="str">
            <v/>
          </cell>
        </row>
        <row r="125">
          <cell r="CN125" t="str">
            <v/>
          </cell>
          <cell r="CO125" t="str">
            <v/>
          </cell>
          <cell r="CT125" t="str">
            <v/>
          </cell>
          <cell r="CU125" t="str">
            <v/>
          </cell>
          <cell r="CV125" t="str">
            <v/>
          </cell>
          <cell r="CW125" t="str">
            <v/>
          </cell>
        </row>
        <row r="126">
          <cell r="CN126" t="str">
            <v/>
          </cell>
          <cell r="CO126" t="str">
            <v/>
          </cell>
          <cell r="CT126" t="str">
            <v/>
          </cell>
          <cell r="CU126" t="str">
            <v/>
          </cell>
          <cell r="CV126" t="str">
            <v/>
          </cell>
          <cell r="CW126" t="str">
            <v/>
          </cell>
        </row>
        <row r="127">
          <cell r="CN127" t="str">
            <v/>
          </cell>
          <cell r="CO127" t="str">
            <v/>
          </cell>
          <cell r="CT127" t="str">
            <v/>
          </cell>
          <cell r="CU127" t="str">
            <v/>
          </cell>
          <cell r="CV127" t="str">
            <v/>
          </cell>
          <cell r="CW127" t="str">
            <v/>
          </cell>
        </row>
        <row r="128">
          <cell r="CN128" t="str">
            <v/>
          </cell>
          <cell r="CO128" t="str">
            <v/>
          </cell>
          <cell r="CT128" t="str">
            <v/>
          </cell>
          <cell r="CU128" t="str">
            <v/>
          </cell>
          <cell r="CV128" t="str">
            <v/>
          </cell>
          <cell r="CW128" t="str">
            <v/>
          </cell>
        </row>
        <row r="129">
          <cell r="CN129" t="str">
            <v/>
          </cell>
          <cell r="CO129" t="str">
            <v/>
          </cell>
          <cell r="CT129" t="str">
            <v/>
          </cell>
          <cell r="CU129" t="str">
            <v/>
          </cell>
          <cell r="CV129" t="str">
            <v/>
          </cell>
          <cell r="CW129" t="str">
            <v/>
          </cell>
        </row>
        <row r="130">
          <cell r="CN130" t="str">
            <v/>
          </cell>
          <cell r="CO130" t="str">
            <v/>
          </cell>
          <cell r="CT130" t="str">
            <v/>
          </cell>
          <cell r="CU130" t="str">
            <v/>
          </cell>
          <cell r="CV130" t="str">
            <v/>
          </cell>
          <cell r="CW130" t="str">
            <v/>
          </cell>
        </row>
        <row r="131">
          <cell r="CN131" t="str">
            <v/>
          </cell>
          <cell r="CO131" t="str">
            <v/>
          </cell>
          <cell r="CT131" t="str">
            <v/>
          </cell>
          <cell r="CU131" t="str">
            <v/>
          </cell>
          <cell r="CV131" t="str">
            <v/>
          </cell>
          <cell r="CW131" t="str">
            <v/>
          </cell>
        </row>
        <row r="132">
          <cell r="CN132" t="str">
            <v/>
          </cell>
          <cell r="CO132" t="str">
            <v/>
          </cell>
          <cell r="CT132" t="str">
            <v/>
          </cell>
          <cell r="CU132" t="str">
            <v/>
          </cell>
          <cell r="CV132" t="str">
            <v/>
          </cell>
          <cell r="CW132" t="str">
            <v/>
          </cell>
        </row>
        <row r="133">
          <cell r="CN133" t="str">
            <v/>
          </cell>
          <cell r="CO133" t="str">
            <v/>
          </cell>
          <cell r="CT133" t="str">
            <v/>
          </cell>
          <cell r="CU133" t="str">
            <v/>
          </cell>
          <cell r="CV133" t="str">
            <v/>
          </cell>
          <cell r="CW133" t="str">
            <v/>
          </cell>
        </row>
        <row r="134">
          <cell r="CN134" t="str">
            <v/>
          </cell>
          <cell r="CO134" t="str">
            <v/>
          </cell>
          <cell r="CT134" t="str">
            <v/>
          </cell>
          <cell r="CU134" t="str">
            <v/>
          </cell>
          <cell r="CV134" t="str">
            <v/>
          </cell>
          <cell r="CW134" t="str">
            <v/>
          </cell>
        </row>
        <row r="135">
          <cell r="CN135" t="str">
            <v/>
          </cell>
          <cell r="CO135" t="str">
            <v/>
          </cell>
          <cell r="CT135" t="str">
            <v/>
          </cell>
          <cell r="CU135" t="str">
            <v/>
          </cell>
          <cell r="CV135" t="str">
            <v/>
          </cell>
          <cell r="CW135" t="str">
            <v/>
          </cell>
        </row>
        <row r="136">
          <cell r="CN136" t="str">
            <v/>
          </cell>
          <cell r="CO136" t="str">
            <v/>
          </cell>
          <cell r="CT136" t="str">
            <v/>
          </cell>
          <cell r="CU136" t="str">
            <v/>
          </cell>
          <cell r="CV136" t="str">
            <v/>
          </cell>
          <cell r="CW136" t="str">
            <v/>
          </cell>
        </row>
        <row r="137">
          <cell r="CN137" t="str">
            <v/>
          </cell>
          <cell r="CO137" t="str">
            <v/>
          </cell>
          <cell r="CT137" t="str">
            <v/>
          </cell>
          <cell r="CU137" t="str">
            <v/>
          </cell>
          <cell r="CV137" t="str">
            <v/>
          </cell>
          <cell r="CW137" t="str">
            <v/>
          </cell>
        </row>
        <row r="138">
          <cell r="CN138" t="str">
            <v/>
          </cell>
          <cell r="CO138" t="str">
            <v/>
          </cell>
          <cell r="CT138" t="str">
            <v/>
          </cell>
          <cell r="CU138" t="str">
            <v/>
          </cell>
          <cell r="CV138" t="str">
            <v/>
          </cell>
          <cell r="CW138" t="str">
            <v/>
          </cell>
        </row>
        <row r="139">
          <cell r="CN139" t="str">
            <v/>
          </cell>
          <cell r="CO139" t="str">
            <v/>
          </cell>
          <cell r="CT139" t="str">
            <v/>
          </cell>
          <cell r="CU139" t="str">
            <v/>
          </cell>
          <cell r="CV139" t="str">
            <v/>
          </cell>
          <cell r="CW139" t="str">
            <v/>
          </cell>
        </row>
        <row r="140">
          <cell r="CN140" t="str">
            <v/>
          </cell>
          <cell r="CO140" t="str">
            <v/>
          </cell>
          <cell r="CT140" t="str">
            <v/>
          </cell>
          <cell r="CU140" t="str">
            <v/>
          </cell>
          <cell r="CV140" t="str">
            <v/>
          </cell>
          <cell r="CW140" t="str">
            <v/>
          </cell>
        </row>
        <row r="141">
          <cell r="CN141" t="str">
            <v/>
          </cell>
          <cell r="CO141" t="str">
            <v/>
          </cell>
          <cell r="CT141" t="str">
            <v/>
          </cell>
          <cell r="CU141" t="str">
            <v/>
          </cell>
          <cell r="CV141" t="str">
            <v/>
          </cell>
          <cell r="CW141" t="str">
            <v/>
          </cell>
        </row>
        <row r="142">
          <cell r="CN142" t="str">
            <v/>
          </cell>
          <cell r="CO142" t="str">
            <v/>
          </cell>
          <cell r="CT142" t="str">
            <v/>
          </cell>
          <cell r="CU142" t="str">
            <v/>
          </cell>
          <cell r="CV142" t="str">
            <v/>
          </cell>
          <cell r="CW142" t="str">
            <v/>
          </cell>
        </row>
        <row r="143">
          <cell r="CN143" t="str">
            <v/>
          </cell>
          <cell r="CO143" t="str">
            <v/>
          </cell>
          <cell r="CT143" t="str">
            <v/>
          </cell>
          <cell r="CU143" t="str">
            <v/>
          </cell>
          <cell r="CV143" t="str">
            <v/>
          </cell>
          <cell r="CW143" t="str">
            <v/>
          </cell>
        </row>
        <row r="144">
          <cell r="CN144" t="str">
            <v/>
          </cell>
          <cell r="CO144" t="str">
            <v/>
          </cell>
          <cell r="CT144" t="str">
            <v/>
          </cell>
          <cell r="CU144" t="str">
            <v/>
          </cell>
          <cell r="CV144" t="str">
            <v/>
          </cell>
          <cell r="CW144" t="str">
            <v/>
          </cell>
        </row>
        <row r="145">
          <cell r="CN145" t="str">
            <v/>
          </cell>
          <cell r="CO145" t="str">
            <v/>
          </cell>
          <cell r="CT145" t="str">
            <v/>
          </cell>
          <cell r="CU145" t="str">
            <v/>
          </cell>
          <cell r="CV145" t="str">
            <v/>
          </cell>
          <cell r="CW145" t="str">
            <v/>
          </cell>
        </row>
        <row r="146">
          <cell r="CN146" t="str">
            <v/>
          </cell>
          <cell r="CO146" t="str">
            <v/>
          </cell>
          <cell r="CT146" t="str">
            <v/>
          </cell>
          <cell r="CU146" t="str">
            <v/>
          </cell>
          <cell r="CV146" t="str">
            <v/>
          </cell>
          <cell r="CW146" t="str">
            <v/>
          </cell>
        </row>
        <row r="147">
          <cell r="CN147" t="str">
            <v/>
          </cell>
          <cell r="CO147" t="str">
            <v/>
          </cell>
          <cell r="CT147" t="str">
            <v/>
          </cell>
          <cell r="CU147" t="str">
            <v/>
          </cell>
          <cell r="CV147" t="str">
            <v/>
          </cell>
          <cell r="CW147" t="str">
            <v/>
          </cell>
        </row>
        <row r="148">
          <cell r="CN148" t="str">
            <v/>
          </cell>
          <cell r="CO148" t="str">
            <v/>
          </cell>
          <cell r="CT148" t="str">
            <v/>
          </cell>
          <cell r="CU148" t="str">
            <v/>
          </cell>
          <cell r="CV148" t="str">
            <v/>
          </cell>
          <cell r="CW148" t="str">
            <v/>
          </cell>
        </row>
        <row r="149">
          <cell r="CN149" t="str">
            <v/>
          </cell>
          <cell r="CO149" t="str">
            <v/>
          </cell>
          <cell r="CT149" t="str">
            <v/>
          </cell>
          <cell r="CU149" t="str">
            <v/>
          </cell>
          <cell r="CV149" t="str">
            <v/>
          </cell>
          <cell r="CW149" t="str">
            <v/>
          </cell>
        </row>
        <row r="150">
          <cell r="CN150" t="str">
            <v/>
          </cell>
          <cell r="CO150" t="str">
            <v/>
          </cell>
          <cell r="CT150" t="str">
            <v/>
          </cell>
          <cell r="CU150" t="str">
            <v/>
          </cell>
          <cell r="CV150" t="str">
            <v/>
          </cell>
          <cell r="CW150" t="str">
            <v/>
          </cell>
        </row>
        <row r="151">
          <cell r="CN151" t="str">
            <v/>
          </cell>
          <cell r="CO151" t="str">
            <v/>
          </cell>
          <cell r="CT151" t="str">
            <v/>
          </cell>
          <cell r="CU151" t="str">
            <v/>
          </cell>
          <cell r="CV151" t="str">
            <v/>
          </cell>
          <cell r="CW151" t="str">
            <v/>
          </cell>
        </row>
        <row r="152">
          <cell r="CN152" t="str">
            <v/>
          </cell>
          <cell r="CO152" t="str">
            <v/>
          </cell>
          <cell r="CT152" t="str">
            <v/>
          </cell>
          <cell r="CU152" t="str">
            <v/>
          </cell>
          <cell r="CV152" t="str">
            <v/>
          </cell>
          <cell r="CW152" t="str">
            <v/>
          </cell>
        </row>
        <row r="153">
          <cell r="CN153" t="str">
            <v/>
          </cell>
          <cell r="CO153" t="str">
            <v/>
          </cell>
          <cell r="CT153" t="str">
            <v/>
          </cell>
          <cell r="CU153" t="str">
            <v/>
          </cell>
          <cell r="CV153" t="str">
            <v/>
          </cell>
          <cell r="CW153" t="str">
            <v/>
          </cell>
        </row>
        <row r="154">
          <cell r="CN154" t="str">
            <v/>
          </cell>
          <cell r="CO154" t="str">
            <v/>
          </cell>
          <cell r="CT154" t="str">
            <v/>
          </cell>
          <cell r="CU154" t="str">
            <v/>
          </cell>
          <cell r="CV154" t="str">
            <v/>
          </cell>
          <cell r="CW154" t="str">
            <v/>
          </cell>
        </row>
        <row r="155">
          <cell r="CN155" t="str">
            <v/>
          </cell>
          <cell r="CO155" t="str">
            <v/>
          </cell>
          <cell r="CT155" t="str">
            <v/>
          </cell>
          <cell r="CU155" t="str">
            <v/>
          </cell>
          <cell r="CV155" t="str">
            <v/>
          </cell>
          <cell r="CW155" t="str">
            <v/>
          </cell>
        </row>
        <row r="156">
          <cell r="CN156" t="str">
            <v/>
          </cell>
          <cell r="CO156" t="str">
            <v/>
          </cell>
          <cell r="CT156" t="str">
            <v/>
          </cell>
          <cell r="CU156" t="str">
            <v/>
          </cell>
          <cell r="CV156" t="str">
            <v/>
          </cell>
          <cell r="CW156" t="str">
            <v/>
          </cell>
        </row>
        <row r="157">
          <cell r="CN157" t="str">
            <v/>
          </cell>
          <cell r="CO157" t="str">
            <v/>
          </cell>
          <cell r="CT157" t="str">
            <v/>
          </cell>
          <cell r="CU157" t="str">
            <v/>
          </cell>
          <cell r="CV157" t="str">
            <v/>
          </cell>
          <cell r="CW157" t="str">
            <v/>
          </cell>
        </row>
        <row r="158">
          <cell r="CN158" t="str">
            <v/>
          </cell>
          <cell r="CO158" t="str">
            <v/>
          </cell>
          <cell r="CT158" t="str">
            <v/>
          </cell>
          <cell r="CU158" t="str">
            <v/>
          </cell>
          <cell r="CV158" t="str">
            <v/>
          </cell>
          <cell r="CW158" t="str">
            <v/>
          </cell>
        </row>
        <row r="159">
          <cell r="CN159" t="str">
            <v/>
          </cell>
          <cell r="CO159" t="str">
            <v/>
          </cell>
          <cell r="CT159" t="str">
            <v/>
          </cell>
          <cell r="CU159" t="str">
            <v/>
          </cell>
          <cell r="CV159" t="str">
            <v/>
          </cell>
          <cell r="CW159" t="str">
            <v/>
          </cell>
        </row>
        <row r="160">
          <cell r="CN160" t="str">
            <v/>
          </cell>
          <cell r="CO160" t="str">
            <v/>
          </cell>
          <cell r="CT160" t="str">
            <v/>
          </cell>
          <cell r="CU160" t="str">
            <v/>
          </cell>
          <cell r="CV160" t="str">
            <v/>
          </cell>
          <cell r="CW160" t="str">
            <v/>
          </cell>
        </row>
        <row r="161">
          <cell r="CN161" t="str">
            <v/>
          </cell>
          <cell r="CO161" t="str">
            <v/>
          </cell>
          <cell r="CT161" t="str">
            <v/>
          </cell>
          <cell r="CU161" t="str">
            <v/>
          </cell>
          <cell r="CV161" t="str">
            <v/>
          </cell>
          <cell r="CW161" t="str">
            <v/>
          </cell>
        </row>
        <row r="162">
          <cell r="CN162" t="str">
            <v/>
          </cell>
          <cell r="CO162" t="str">
            <v/>
          </cell>
          <cell r="CT162" t="str">
            <v/>
          </cell>
          <cell r="CU162" t="str">
            <v/>
          </cell>
          <cell r="CV162" t="str">
            <v/>
          </cell>
          <cell r="CW162" t="str">
            <v/>
          </cell>
        </row>
        <row r="163">
          <cell r="CN163" t="str">
            <v/>
          </cell>
          <cell r="CO163" t="str">
            <v/>
          </cell>
          <cell r="CT163" t="str">
            <v/>
          </cell>
          <cell r="CU163" t="str">
            <v/>
          </cell>
          <cell r="CV163" t="str">
            <v/>
          </cell>
          <cell r="CW163" t="str">
            <v/>
          </cell>
        </row>
        <row r="164">
          <cell r="CN164" t="str">
            <v/>
          </cell>
          <cell r="CO164" t="str">
            <v/>
          </cell>
          <cell r="CT164" t="str">
            <v/>
          </cell>
          <cell r="CU164" t="str">
            <v/>
          </cell>
          <cell r="CV164" t="str">
            <v/>
          </cell>
          <cell r="CW164" t="str">
            <v/>
          </cell>
        </row>
        <row r="165">
          <cell r="CN165" t="str">
            <v/>
          </cell>
          <cell r="CO165" t="str">
            <v/>
          </cell>
          <cell r="CT165" t="str">
            <v/>
          </cell>
          <cell r="CU165" t="str">
            <v/>
          </cell>
          <cell r="CV165" t="str">
            <v/>
          </cell>
          <cell r="CW165" t="str">
            <v/>
          </cell>
        </row>
        <row r="166">
          <cell r="CN166" t="str">
            <v/>
          </cell>
          <cell r="CO166" t="str">
            <v/>
          </cell>
          <cell r="CT166" t="str">
            <v/>
          </cell>
          <cell r="CU166" t="str">
            <v/>
          </cell>
          <cell r="CV166" t="str">
            <v/>
          </cell>
          <cell r="CW166" t="str">
            <v/>
          </cell>
        </row>
        <row r="167">
          <cell r="CN167" t="str">
            <v/>
          </cell>
          <cell r="CO167" t="str">
            <v/>
          </cell>
          <cell r="CT167" t="str">
            <v/>
          </cell>
          <cell r="CU167" t="str">
            <v/>
          </cell>
          <cell r="CV167" t="str">
            <v/>
          </cell>
          <cell r="CW167" t="str">
            <v/>
          </cell>
        </row>
        <row r="168">
          <cell r="CN168" t="str">
            <v/>
          </cell>
          <cell r="CO168" t="str">
            <v/>
          </cell>
          <cell r="CT168" t="str">
            <v/>
          </cell>
          <cell r="CU168" t="str">
            <v/>
          </cell>
          <cell r="CV168" t="str">
            <v/>
          </cell>
          <cell r="CW168" t="str">
            <v/>
          </cell>
        </row>
        <row r="169">
          <cell r="CN169" t="str">
            <v/>
          </cell>
          <cell r="CO169" t="str">
            <v/>
          </cell>
          <cell r="CT169" t="str">
            <v/>
          </cell>
          <cell r="CU169" t="str">
            <v/>
          </cell>
          <cell r="CV169" t="str">
            <v/>
          </cell>
          <cell r="CW169" t="str">
            <v/>
          </cell>
        </row>
        <row r="170">
          <cell r="CN170" t="str">
            <v/>
          </cell>
          <cell r="CO170" t="str">
            <v/>
          </cell>
          <cell r="CT170" t="str">
            <v/>
          </cell>
          <cell r="CU170" t="str">
            <v/>
          </cell>
          <cell r="CV170" t="str">
            <v/>
          </cell>
          <cell r="CW170" t="str">
            <v/>
          </cell>
        </row>
        <row r="171">
          <cell r="CN171" t="str">
            <v/>
          </cell>
          <cell r="CO171" t="str">
            <v/>
          </cell>
          <cell r="CT171" t="str">
            <v/>
          </cell>
          <cell r="CU171" t="str">
            <v/>
          </cell>
          <cell r="CV171" t="str">
            <v/>
          </cell>
          <cell r="CW171" t="str">
            <v/>
          </cell>
        </row>
        <row r="172">
          <cell r="CN172" t="str">
            <v/>
          </cell>
          <cell r="CO172" t="str">
            <v/>
          </cell>
          <cell r="CT172" t="str">
            <v/>
          </cell>
          <cell r="CU172" t="str">
            <v/>
          </cell>
          <cell r="CV172" t="str">
            <v/>
          </cell>
          <cell r="CW172" t="str">
            <v/>
          </cell>
        </row>
        <row r="173">
          <cell r="CN173" t="str">
            <v/>
          </cell>
          <cell r="CO173" t="str">
            <v/>
          </cell>
          <cell r="CT173" t="str">
            <v/>
          </cell>
          <cell r="CU173" t="str">
            <v/>
          </cell>
          <cell r="CV173" t="str">
            <v/>
          </cell>
          <cell r="CW173" t="str">
            <v/>
          </cell>
        </row>
        <row r="174">
          <cell r="CN174" t="str">
            <v/>
          </cell>
          <cell r="CO174" t="str">
            <v/>
          </cell>
          <cell r="CT174" t="str">
            <v/>
          </cell>
          <cell r="CU174" t="str">
            <v/>
          </cell>
          <cell r="CV174" t="str">
            <v/>
          </cell>
          <cell r="CW174" t="str">
            <v/>
          </cell>
        </row>
        <row r="175">
          <cell r="CN175" t="str">
            <v/>
          </cell>
          <cell r="CO175" t="str">
            <v/>
          </cell>
          <cell r="CT175" t="str">
            <v/>
          </cell>
          <cell r="CU175" t="str">
            <v/>
          </cell>
          <cell r="CV175" t="str">
            <v/>
          </cell>
          <cell r="CW175" t="str">
            <v/>
          </cell>
        </row>
        <row r="176">
          <cell r="CN176" t="str">
            <v/>
          </cell>
          <cell r="CO176" t="str">
            <v/>
          </cell>
          <cell r="CT176" t="str">
            <v/>
          </cell>
          <cell r="CU176" t="str">
            <v/>
          </cell>
          <cell r="CV176" t="str">
            <v/>
          </cell>
          <cell r="CW176" t="str">
            <v/>
          </cell>
        </row>
        <row r="177">
          <cell r="CN177" t="str">
            <v/>
          </cell>
          <cell r="CO177" t="str">
            <v/>
          </cell>
          <cell r="CT177" t="str">
            <v/>
          </cell>
          <cell r="CU177" t="str">
            <v/>
          </cell>
          <cell r="CV177" t="str">
            <v/>
          </cell>
          <cell r="CW177" t="str">
            <v/>
          </cell>
        </row>
        <row r="178">
          <cell r="CN178" t="str">
            <v/>
          </cell>
          <cell r="CO178" t="str">
            <v/>
          </cell>
          <cell r="CT178" t="str">
            <v/>
          </cell>
          <cell r="CU178" t="str">
            <v/>
          </cell>
          <cell r="CV178" t="str">
            <v/>
          </cell>
          <cell r="CW178" t="str">
            <v/>
          </cell>
        </row>
        <row r="179">
          <cell r="CN179" t="str">
            <v/>
          </cell>
          <cell r="CO179" t="str">
            <v/>
          </cell>
          <cell r="CT179" t="str">
            <v/>
          </cell>
          <cell r="CU179" t="str">
            <v/>
          </cell>
          <cell r="CV179" t="str">
            <v/>
          </cell>
          <cell r="CW179" t="str">
            <v/>
          </cell>
        </row>
        <row r="180">
          <cell r="CN180" t="str">
            <v/>
          </cell>
          <cell r="CO180" t="str">
            <v/>
          </cell>
          <cell r="CT180" t="str">
            <v/>
          </cell>
          <cell r="CU180" t="str">
            <v/>
          </cell>
          <cell r="CV180" t="str">
            <v/>
          </cell>
          <cell r="CW180" t="str">
            <v/>
          </cell>
        </row>
        <row r="181">
          <cell r="CN181" t="str">
            <v/>
          </cell>
          <cell r="CO181" t="str">
            <v/>
          </cell>
          <cell r="CT181" t="str">
            <v/>
          </cell>
          <cell r="CU181" t="str">
            <v/>
          </cell>
          <cell r="CV181" t="str">
            <v/>
          </cell>
          <cell r="CW181" t="str">
            <v/>
          </cell>
        </row>
        <row r="182">
          <cell r="CN182" t="str">
            <v/>
          </cell>
          <cell r="CO182" t="str">
            <v/>
          </cell>
          <cell r="CT182" t="str">
            <v/>
          </cell>
          <cell r="CU182" t="str">
            <v/>
          </cell>
          <cell r="CV182" t="str">
            <v/>
          </cell>
          <cell r="CW182" t="str">
            <v/>
          </cell>
        </row>
        <row r="183">
          <cell r="CN183" t="str">
            <v/>
          </cell>
          <cell r="CO183" t="str">
            <v/>
          </cell>
          <cell r="CT183" t="str">
            <v/>
          </cell>
          <cell r="CU183" t="str">
            <v/>
          </cell>
          <cell r="CV183" t="str">
            <v/>
          </cell>
          <cell r="CW183" t="str">
            <v/>
          </cell>
        </row>
        <row r="184">
          <cell r="CN184" t="str">
            <v/>
          </cell>
          <cell r="CO184" t="str">
            <v/>
          </cell>
          <cell r="CT184" t="str">
            <v/>
          </cell>
          <cell r="CU184" t="str">
            <v/>
          </cell>
          <cell r="CV184" t="str">
            <v/>
          </cell>
          <cell r="CW184" t="str">
            <v/>
          </cell>
        </row>
        <row r="185">
          <cell r="CN185" t="str">
            <v/>
          </cell>
          <cell r="CO185" t="str">
            <v/>
          </cell>
          <cell r="CT185" t="str">
            <v/>
          </cell>
          <cell r="CU185" t="str">
            <v/>
          </cell>
          <cell r="CV185" t="str">
            <v/>
          </cell>
          <cell r="CW185" t="str">
            <v/>
          </cell>
        </row>
        <row r="186">
          <cell r="CN186" t="str">
            <v/>
          </cell>
          <cell r="CO186" t="str">
            <v/>
          </cell>
          <cell r="CT186" t="str">
            <v/>
          </cell>
          <cell r="CU186" t="str">
            <v/>
          </cell>
          <cell r="CV186" t="str">
            <v/>
          </cell>
          <cell r="CW186" t="str">
            <v/>
          </cell>
        </row>
        <row r="187">
          <cell r="CN187" t="str">
            <v/>
          </cell>
          <cell r="CO187" t="str">
            <v/>
          </cell>
          <cell r="CT187" t="str">
            <v/>
          </cell>
          <cell r="CU187" t="str">
            <v/>
          </cell>
          <cell r="CV187" t="str">
            <v/>
          </cell>
          <cell r="CW187" t="str">
            <v/>
          </cell>
        </row>
        <row r="188">
          <cell r="CN188" t="str">
            <v/>
          </cell>
          <cell r="CO188" t="str">
            <v/>
          </cell>
          <cell r="CT188" t="str">
            <v/>
          </cell>
          <cell r="CU188" t="str">
            <v/>
          </cell>
          <cell r="CV188" t="str">
            <v/>
          </cell>
          <cell r="CW188" t="str">
            <v/>
          </cell>
        </row>
        <row r="189">
          <cell r="CN189" t="str">
            <v/>
          </cell>
          <cell r="CO189" t="str">
            <v/>
          </cell>
          <cell r="CT189" t="str">
            <v/>
          </cell>
          <cell r="CU189" t="str">
            <v/>
          </cell>
          <cell r="CV189" t="str">
            <v/>
          </cell>
          <cell r="CW189" t="str">
            <v/>
          </cell>
        </row>
        <row r="190">
          <cell r="CN190" t="str">
            <v/>
          </cell>
          <cell r="CO190" t="str">
            <v/>
          </cell>
          <cell r="CT190" t="str">
            <v/>
          </cell>
          <cell r="CU190" t="str">
            <v/>
          </cell>
          <cell r="CV190" t="str">
            <v/>
          </cell>
          <cell r="CW190" t="str">
            <v/>
          </cell>
        </row>
        <row r="191">
          <cell r="CN191" t="str">
            <v/>
          </cell>
          <cell r="CO191" t="str">
            <v/>
          </cell>
          <cell r="CT191" t="str">
            <v/>
          </cell>
          <cell r="CU191" t="str">
            <v/>
          </cell>
          <cell r="CV191" t="str">
            <v/>
          </cell>
          <cell r="CW191" t="str">
            <v/>
          </cell>
        </row>
        <row r="192">
          <cell r="CN192" t="str">
            <v/>
          </cell>
          <cell r="CO192" t="str">
            <v/>
          </cell>
          <cell r="CT192" t="str">
            <v/>
          </cell>
          <cell r="CU192" t="str">
            <v/>
          </cell>
          <cell r="CV192" t="str">
            <v/>
          </cell>
          <cell r="CW192" t="str">
            <v/>
          </cell>
        </row>
        <row r="193">
          <cell r="CN193" t="str">
            <v/>
          </cell>
          <cell r="CO193" t="str">
            <v/>
          </cell>
          <cell r="CT193" t="str">
            <v/>
          </cell>
          <cell r="CU193" t="str">
            <v/>
          </cell>
          <cell r="CV193" t="str">
            <v/>
          </cell>
          <cell r="CW193" t="str">
            <v/>
          </cell>
        </row>
        <row r="194">
          <cell r="CN194" t="str">
            <v/>
          </cell>
          <cell r="CO194" t="str">
            <v/>
          </cell>
          <cell r="CT194" t="str">
            <v/>
          </cell>
          <cell r="CU194" t="str">
            <v/>
          </cell>
          <cell r="CV194" t="str">
            <v/>
          </cell>
          <cell r="CW194" t="str">
            <v/>
          </cell>
        </row>
        <row r="195">
          <cell r="CN195" t="str">
            <v/>
          </cell>
          <cell r="CO195" t="str">
            <v/>
          </cell>
          <cell r="CT195" t="str">
            <v/>
          </cell>
          <cell r="CU195" t="str">
            <v/>
          </cell>
          <cell r="CV195" t="str">
            <v/>
          </cell>
          <cell r="CW195" t="str">
            <v/>
          </cell>
        </row>
        <row r="196">
          <cell r="CN196" t="str">
            <v/>
          </cell>
          <cell r="CO196" t="str">
            <v/>
          </cell>
          <cell r="CT196" t="str">
            <v/>
          </cell>
          <cell r="CU196" t="str">
            <v/>
          </cell>
          <cell r="CV196" t="str">
            <v/>
          </cell>
          <cell r="CW196" t="str">
            <v/>
          </cell>
        </row>
        <row r="197">
          <cell r="CN197" t="str">
            <v/>
          </cell>
          <cell r="CO197" t="str">
            <v/>
          </cell>
          <cell r="CT197" t="str">
            <v/>
          </cell>
          <cell r="CU197" t="str">
            <v/>
          </cell>
          <cell r="CV197" t="str">
            <v/>
          </cell>
          <cell r="CW197" t="str">
            <v/>
          </cell>
        </row>
        <row r="198">
          <cell r="CN198" t="str">
            <v/>
          </cell>
          <cell r="CO198" t="str">
            <v/>
          </cell>
          <cell r="CT198" t="str">
            <v/>
          </cell>
          <cell r="CU198" t="str">
            <v/>
          </cell>
          <cell r="CV198" t="str">
            <v/>
          </cell>
          <cell r="CW198" t="str">
            <v/>
          </cell>
        </row>
        <row r="199">
          <cell r="CN199" t="str">
            <v/>
          </cell>
          <cell r="CO199" t="str">
            <v/>
          </cell>
          <cell r="CT199" t="str">
            <v/>
          </cell>
          <cell r="CU199" t="str">
            <v/>
          </cell>
          <cell r="CV199" t="str">
            <v/>
          </cell>
          <cell r="CW199" t="str">
            <v/>
          </cell>
        </row>
        <row r="200">
          <cell r="CN200" t="str">
            <v/>
          </cell>
          <cell r="CO200" t="str">
            <v/>
          </cell>
          <cell r="CT200" t="str">
            <v/>
          </cell>
          <cell r="CU200" t="str">
            <v/>
          </cell>
          <cell r="CV200" t="str">
            <v/>
          </cell>
          <cell r="CW200" t="str">
            <v/>
          </cell>
        </row>
        <row r="201">
          <cell r="CN201" t="str">
            <v/>
          </cell>
          <cell r="CO201" t="str">
            <v/>
          </cell>
          <cell r="CT201" t="str">
            <v/>
          </cell>
          <cell r="CU201" t="str">
            <v/>
          </cell>
          <cell r="CV201" t="str">
            <v/>
          </cell>
          <cell r="CW201" t="str">
            <v/>
          </cell>
        </row>
        <row r="202">
          <cell r="CN202" t="str">
            <v/>
          </cell>
          <cell r="CO202" t="str">
            <v/>
          </cell>
          <cell r="CT202" t="str">
            <v/>
          </cell>
          <cell r="CU202" t="str">
            <v/>
          </cell>
          <cell r="CV202" t="str">
            <v/>
          </cell>
          <cell r="CW202" t="str">
            <v/>
          </cell>
        </row>
        <row r="203">
          <cell r="CN203" t="str">
            <v/>
          </cell>
          <cell r="CO203" t="str">
            <v/>
          </cell>
          <cell r="CT203" t="str">
            <v/>
          </cell>
          <cell r="CU203" t="str">
            <v/>
          </cell>
          <cell r="CV203" t="str">
            <v/>
          </cell>
          <cell r="CW203" t="str">
            <v/>
          </cell>
        </row>
        <row r="204">
          <cell r="CN204" t="str">
            <v/>
          </cell>
          <cell r="CO204" t="str">
            <v/>
          </cell>
          <cell r="CT204" t="str">
            <v/>
          </cell>
          <cell r="CU204" t="str">
            <v/>
          </cell>
          <cell r="CV204" t="str">
            <v/>
          </cell>
          <cell r="CW204" t="str">
            <v/>
          </cell>
        </row>
        <row r="205">
          <cell r="CN205" t="str">
            <v/>
          </cell>
          <cell r="CO205" t="str">
            <v/>
          </cell>
          <cell r="CT205" t="str">
            <v/>
          </cell>
          <cell r="CU205" t="str">
            <v/>
          </cell>
          <cell r="CV205" t="str">
            <v/>
          </cell>
          <cell r="CW205" t="str">
            <v/>
          </cell>
        </row>
        <row r="206">
          <cell r="CN206" t="str">
            <v/>
          </cell>
          <cell r="CO206" t="str">
            <v/>
          </cell>
          <cell r="CT206" t="str">
            <v/>
          </cell>
          <cell r="CU206" t="str">
            <v/>
          </cell>
          <cell r="CV206" t="str">
            <v/>
          </cell>
          <cell r="CW206" t="str">
            <v/>
          </cell>
        </row>
        <row r="207">
          <cell r="CN207" t="str">
            <v/>
          </cell>
          <cell r="CO207" t="str">
            <v/>
          </cell>
          <cell r="CT207" t="str">
            <v/>
          </cell>
          <cell r="CU207" t="str">
            <v/>
          </cell>
          <cell r="CV207" t="str">
            <v/>
          </cell>
          <cell r="CW207" t="str">
            <v/>
          </cell>
        </row>
        <row r="208">
          <cell r="CN208" t="str">
            <v/>
          </cell>
          <cell r="CO208" t="str">
            <v/>
          </cell>
          <cell r="CT208" t="str">
            <v/>
          </cell>
          <cell r="CU208" t="str">
            <v/>
          </cell>
          <cell r="CV208" t="str">
            <v/>
          </cell>
          <cell r="CW208" t="str">
            <v/>
          </cell>
        </row>
        <row r="209">
          <cell r="CN209" t="str">
            <v/>
          </cell>
          <cell r="CO209" t="str">
            <v/>
          </cell>
          <cell r="CT209" t="str">
            <v/>
          </cell>
          <cell r="CU209" t="str">
            <v/>
          </cell>
          <cell r="CV209" t="str">
            <v/>
          </cell>
          <cell r="CW209" t="str">
            <v/>
          </cell>
        </row>
        <row r="210">
          <cell r="CN210" t="str">
            <v/>
          </cell>
          <cell r="CO210" t="str">
            <v/>
          </cell>
          <cell r="CT210" t="str">
            <v/>
          </cell>
          <cell r="CU210" t="str">
            <v/>
          </cell>
          <cell r="CV210" t="str">
            <v/>
          </cell>
          <cell r="CW210" t="str">
            <v/>
          </cell>
        </row>
        <row r="211">
          <cell r="CN211" t="str">
            <v/>
          </cell>
          <cell r="CO211" t="str">
            <v/>
          </cell>
          <cell r="CT211" t="str">
            <v/>
          </cell>
          <cell r="CU211" t="str">
            <v/>
          </cell>
          <cell r="CV211" t="str">
            <v/>
          </cell>
          <cell r="CW211" t="str">
            <v/>
          </cell>
        </row>
        <row r="212">
          <cell r="CN212" t="str">
            <v/>
          </cell>
          <cell r="CO212" t="str">
            <v/>
          </cell>
          <cell r="CT212" t="str">
            <v/>
          </cell>
          <cell r="CU212" t="str">
            <v/>
          </cell>
          <cell r="CV212" t="str">
            <v/>
          </cell>
          <cell r="CW212" t="str">
            <v/>
          </cell>
        </row>
        <row r="213">
          <cell r="CN213" t="str">
            <v/>
          </cell>
          <cell r="CO213" t="str">
            <v/>
          </cell>
          <cell r="CT213" t="str">
            <v/>
          </cell>
          <cell r="CU213" t="str">
            <v/>
          </cell>
          <cell r="CV213" t="str">
            <v/>
          </cell>
          <cell r="CW213" t="str">
            <v/>
          </cell>
        </row>
        <row r="214">
          <cell r="CN214" t="str">
            <v/>
          </cell>
          <cell r="CO214" t="str">
            <v/>
          </cell>
          <cell r="CT214" t="str">
            <v/>
          </cell>
          <cell r="CU214" t="str">
            <v/>
          </cell>
          <cell r="CV214" t="str">
            <v/>
          </cell>
          <cell r="CW214" t="str">
            <v/>
          </cell>
        </row>
        <row r="215">
          <cell r="CN215" t="str">
            <v/>
          </cell>
          <cell r="CO215" t="str">
            <v/>
          </cell>
          <cell r="CT215" t="str">
            <v/>
          </cell>
          <cell r="CU215" t="str">
            <v/>
          </cell>
          <cell r="CV215" t="str">
            <v/>
          </cell>
          <cell r="CW215" t="str">
            <v/>
          </cell>
        </row>
        <row r="216">
          <cell r="CN216" t="str">
            <v/>
          </cell>
          <cell r="CO216" t="str">
            <v/>
          </cell>
          <cell r="CT216" t="str">
            <v/>
          </cell>
          <cell r="CU216" t="str">
            <v/>
          </cell>
          <cell r="CV216" t="str">
            <v/>
          </cell>
          <cell r="CW216" t="str">
            <v/>
          </cell>
        </row>
        <row r="217">
          <cell r="CN217" t="str">
            <v/>
          </cell>
          <cell r="CO217" t="str">
            <v/>
          </cell>
          <cell r="CT217" t="str">
            <v/>
          </cell>
          <cell r="CU217" t="str">
            <v/>
          </cell>
          <cell r="CV217" t="str">
            <v/>
          </cell>
          <cell r="CW217" t="str">
            <v/>
          </cell>
        </row>
        <row r="218">
          <cell r="CN218" t="str">
            <v/>
          </cell>
          <cell r="CO218" t="str">
            <v/>
          </cell>
          <cell r="CT218" t="str">
            <v/>
          </cell>
          <cell r="CU218" t="str">
            <v/>
          </cell>
          <cell r="CV218" t="str">
            <v/>
          </cell>
          <cell r="CW218" t="str">
            <v/>
          </cell>
        </row>
        <row r="219">
          <cell r="CN219" t="str">
            <v/>
          </cell>
          <cell r="CO219" t="str">
            <v/>
          </cell>
          <cell r="CT219" t="str">
            <v/>
          </cell>
          <cell r="CU219" t="str">
            <v/>
          </cell>
          <cell r="CV219" t="str">
            <v/>
          </cell>
          <cell r="CW219" t="str">
            <v/>
          </cell>
        </row>
        <row r="220">
          <cell r="CN220" t="str">
            <v/>
          </cell>
          <cell r="CO220" t="str">
            <v/>
          </cell>
          <cell r="CT220" t="str">
            <v/>
          </cell>
          <cell r="CU220" t="str">
            <v/>
          </cell>
          <cell r="CV220" t="str">
            <v/>
          </cell>
          <cell r="CW220" t="str">
            <v/>
          </cell>
        </row>
        <row r="221">
          <cell r="CN221" t="str">
            <v/>
          </cell>
          <cell r="CO221" t="str">
            <v/>
          </cell>
          <cell r="CT221" t="str">
            <v/>
          </cell>
          <cell r="CU221" t="str">
            <v/>
          </cell>
          <cell r="CV221" t="str">
            <v/>
          </cell>
          <cell r="CW221" t="str">
            <v/>
          </cell>
        </row>
        <row r="222">
          <cell r="CN222" t="str">
            <v/>
          </cell>
          <cell r="CO222" t="str">
            <v/>
          </cell>
          <cell r="CT222" t="str">
            <v/>
          </cell>
          <cell r="CU222" t="str">
            <v/>
          </cell>
          <cell r="CV222" t="str">
            <v/>
          </cell>
          <cell r="CW222" t="str">
            <v/>
          </cell>
        </row>
        <row r="223">
          <cell r="CN223" t="str">
            <v/>
          </cell>
          <cell r="CO223" t="str">
            <v/>
          </cell>
          <cell r="CT223" t="str">
            <v/>
          </cell>
          <cell r="CU223" t="str">
            <v/>
          </cell>
          <cell r="CV223" t="str">
            <v/>
          </cell>
          <cell r="CW223" t="str">
            <v/>
          </cell>
        </row>
        <row r="224">
          <cell r="CN224" t="str">
            <v/>
          </cell>
          <cell r="CO224" t="str">
            <v/>
          </cell>
          <cell r="CT224" t="str">
            <v/>
          </cell>
          <cell r="CU224" t="str">
            <v/>
          </cell>
          <cell r="CV224" t="str">
            <v/>
          </cell>
          <cell r="CW224" t="str">
            <v/>
          </cell>
        </row>
        <row r="225">
          <cell r="CN225" t="str">
            <v/>
          </cell>
          <cell r="CO225" t="str">
            <v/>
          </cell>
          <cell r="CT225" t="str">
            <v/>
          </cell>
          <cell r="CU225" t="str">
            <v/>
          </cell>
          <cell r="CV225" t="str">
            <v/>
          </cell>
          <cell r="CW225" t="str">
            <v/>
          </cell>
        </row>
        <row r="226">
          <cell r="CN226" t="str">
            <v/>
          </cell>
          <cell r="CO226" t="str">
            <v/>
          </cell>
          <cell r="CT226" t="str">
            <v/>
          </cell>
          <cell r="CU226" t="str">
            <v/>
          </cell>
          <cell r="CV226" t="str">
            <v/>
          </cell>
          <cell r="CW226" t="str">
            <v/>
          </cell>
        </row>
        <row r="227">
          <cell r="CN227" t="str">
            <v/>
          </cell>
          <cell r="CO227" t="str">
            <v/>
          </cell>
          <cell r="CT227" t="str">
            <v/>
          </cell>
          <cell r="CU227" t="str">
            <v/>
          </cell>
          <cell r="CV227" t="str">
            <v/>
          </cell>
          <cell r="CW227" t="str">
            <v/>
          </cell>
        </row>
        <row r="228">
          <cell r="CN228" t="str">
            <v/>
          </cell>
          <cell r="CO228" t="str">
            <v/>
          </cell>
          <cell r="CT228" t="str">
            <v/>
          </cell>
          <cell r="CU228" t="str">
            <v/>
          </cell>
          <cell r="CV228" t="str">
            <v/>
          </cell>
          <cell r="CW228" t="str">
            <v/>
          </cell>
        </row>
        <row r="229">
          <cell r="CN229" t="str">
            <v/>
          </cell>
          <cell r="CO229" t="str">
            <v/>
          </cell>
          <cell r="CT229" t="str">
            <v/>
          </cell>
          <cell r="CU229" t="str">
            <v/>
          </cell>
          <cell r="CV229" t="str">
            <v/>
          </cell>
          <cell r="CW229" t="str">
            <v/>
          </cell>
        </row>
        <row r="230">
          <cell r="CN230" t="str">
            <v/>
          </cell>
          <cell r="CO230" t="str">
            <v/>
          </cell>
          <cell r="CT230" t="str">
            <v/>
          </cell>
          <cell r="CU230" t="str">
            <v/>
          </cell>
          <cell r="CV230" t="str">
            <v/>
          </cell>
          <cell r="CW230" t="str">
            <v/>
          </cell>
        </row>
        <row r="231">
          <cell r="CN231" t="str">
            <v/>
          </cell>
          <cell r="CO231" t="str">
            <v/>
          </cell>
          <cell r="CT231" t="str">
            <v/>
          </cell>
          <cell r="CU231" t="str">
            <v/>
          </cell>
          <cell r="CV231" t="str">
            <v/>
          </cell>
          <cell r="CW231" t="str">
            <v/>
          </cell>
        </row>
        <row r="232">
          <cell r="CN232" t="str">
            <v/>
          </cell>
          <cell r="CO232" t="str">
            <v/>
          </cell>
          <cell r="CT232" t="str">
            <v/>
          </cell>
          <cell r="CU232" t="str">
            <v/>
          </cell>
          <cell r="CV232" t="str">
            <v/>
          </cell>
          <cell r="CW232" t="str">
            <v/>
          </cell>
        </row>
        <row r="233">
          <cell r="CN233" t="str">
            <v/>
          </cell>
          <cell r="CO233" t="str">
            <v/>
          </cell>
          <cell r="CT233" t="str">
            <v/>
          </cell>
          <cell r="CU233" t="str">
            <v/>
          </cell>
          <cell r="CV233" t="str">
            <v/>
          </cell>
          <cell r="CW233" t="str">
            <v/>
          </cell>
        </row>
        <row r="234">
          <cell r="CN234" t="str">
            <v/>
          </cell>
          <cell r="CO234" t="str">
            <v/>
          </cell>
          <cell r="CT234" t="str">
            <v/>
          </cell>
          <cell r="CU234" t="str">
            <v/>
          </cell>
          <cell r="CV234" t="str">
            <v/>
          </cell>
          <cell r="CW234" t="str">
            <v/>
          </cell>
        </row>
        <row r="235">
          <cell r="CN235" t="str">
            <v/>
          </cell>
          <cell r="CO235" t="str">
            <v/>
          </cell>
          <cell r="CT235" t="str">
            <v/>
          </cell>
          <cell r="CU235" t="str">
            <v/>
          </cell>
          <cell r="CV235" t="str">
            <v/>
          </cell>
          <cell r="CW235" t="str">
            <v/>
          </cell>
        </row>
        <row r="236">
          <cell r="CN236" t="str">
            <v/>
          </cell>
          <cell r="CO236" t="str">
            <v/>
          </cell>
          <cell r="CT236" t="str">
            <v/>
          </cell>
          <cell r="CU236" t="str">
            <v/>
          </cell>
          <cell r="CV236" t="str">
            <v/>
          </cell>
          <cell r="CW236" t="str">
            <v/>
          </cell>
        </row>
        <row r="237">
          <cell r="CN237" t="str">
            <v/>
          </cell>
          <cell r="CO237" t="str">
            <v/>
          </cell>
          <cell r="CT237" t="str">
            <v/>
          </cell>
          <cell r="CU237" t="str">
            <v/>
          </cell>
          <cell r="CV237" t="str">
            <v/>
          </cell>
          <cell r="CW237" t="str">
            <v/>
          </cell>
        </row>
        <row r="238">
          <cell r="CN238" t="str">
            <v/>
          </cell>
          <cell r="CO238" t="str">
            <v/>
          </cell>
          <cell r="CT238" t="str">
            <v/>
          </cell>
          <cell r="CU238" t="str">
            <v/>
          </cell>
          <cell r="CV238" t="str">
            <v/>
          </cell>
          <cell r="CW238" t="str">
            <v/>
          </cell>
        </row>
        <row r="239">
          <cell r="CN239" t="str">
            <v/>
          </cell>
          <cell r="CO239" t="str">
            <v/>
          </cell>
          <cell r="CT239" t="str">
            <v/>
          </cell>
          <cell r="CU239" t="str">
            <v/>
          </cell>
          <cell r="CV239" t="str">
            <v/>
          </cell>
          <cell r="CW239" t="str">
            <v/>
          </cell>
        </row>
        <row r="240">
          <cell r="CN240" t="str">
            <v/>
          </cell>
          <cell r="CO240" t="str">
            <v/>
          </cell>
          <cell r="CT240" t="str">
            <v/>
          </cell>
          <cell r="CU240" t="str">
            <v/>
          </cell>
          <cell r="CV240" t="str">
            <v/>
          </cell>
          <cell r="CW240" t="str">
            <v/>
          </cell>
        </row>
        <row r="241">
          <cell r="CN241" t="str">
            <v/>
          </cell>
          <cell r="CO241" t="str">
            <v/>
          </cell>
          <cell r="CT241" t="str">
            <v/>
          </cell>
          <cell r="CU241" t="str">
            <v/>
          </cell>
          <cell r="CV241" t="str">
            <v/>
          </cell>
          <cell r="CW241" t="str">
            <v/>
          </cell>
        </row>
        <row r="242">
          <cell r="CN242" t="str">
            <v/>
          </cell>
          <cell r="CO242" t="str">
            <v/>
          </cell>
          <cell r="CT242" t="str">
            <v/>
          </cell>
          <cell r="CU242" t="str">
            <v/>
          </cell>
          <cell r="CV242" t="str">
            <v/>
          </cell>
          <cell r="CW242" t="str">
            <v/>
          </cell>
        </row>
        <row r="243">
          <cell r="CN243" t="str">
            <v/>
          </cell>
          <cell r="CO243" t="str">
            <v/>
          </cell>
          <cell r="CT243" t="str">
            <v/>
          </cell>
          <cell r="CU243" t="str">
            <v/>
          </cell>
          <cell r="CV243" t="str">
            <v/>
          </cell>
          <cell r="CW243" t="str">
            <v/>
          </cell>
        </row>
        <row r="244">
          <cell r="CN244" t="str">
            <v/>
          </cell>
          <cell r="CO244" t="str">
            <v/>
          </cell>
          <cell r="CT244" t="str">
            <v/>
          </cell>
          <cell r="CU244" t="str">
            <v/>
          </cell>
          <cell r="CV244" t="str">
            <v/>
          </cell>
          <cell r="CW244" t="str">
            <v/>
          </cell>
        </row>
        <row r="245">
          <cell r="CN245" t="str">
            <v/>
          </cell>
          <cell r="CO245" t="str">
            <v/>
          </cell>
          <cell r="CT245" t="str">
            <v/>
          </cell>
          <cell r="CU245" t="str">
            <v/>
          </cell>
          <cell r="CV245" t="str">
            <v/>
          </cell>
          <cell r="CW245" t="str">
            <v/>
          </cell>
        </row>
        <row r="246">
          <cell r="CN246" t="str">
            <v/>
          </cell>
          <cell r="CO246" t="str">
            <v/>
          </cell>
          <cell r="CT246" t="str">
            <v/>
          </cell>
          <cell r="CU246" t="str">
            <v/>
          </cell>
          <cell r="CV246" t="str">
            <v/>
          </cell>
          <cell r="CW246" t="str">
            <v/>
          </cell>
        </row>
        <row r="247">
          <cell r="CN247" t="str">
            <v/>
          </cell>
          <cell r="CO247" t="str">
            <v/>
          </cell>
          <cell r="CT247" t="str">
            <v/>
          </cell>
          <cell r="CU247" t="str">
            <v/>
          </cell>
          <cell r="CV247" t="str">
            <v/>
          </cell>
          <cell r="CW247" t="str">
            <v/>
          </cell>
        </row>
        <row r="248">
          <cell r="CN248" t="str">
            <v/>
          </cell>
          <cell r="CO248" t="str">
            <v/>
          </cell>
          <cell r="CT248" t="str">
            <v/>
          </cell>
          <cell r="CU248" t="str">
            <v/>
          </cell>
          <cell r="CV248" t="str">
            <v/>
          </cell>
          <cell r="CW248" t="str">
            <v/>
          </cell>
        </row>
        <row r="249">
          <cell r="CN249" t="str">
            <v/>
          </cell>
          <cell r="CO249" t="str">
            <v/>
          </cell>
          <cell r="CT249" t="str">
            <v/>
          </cell>
          <cell r="CU249" t="str">
            <v/>
          </cell>
          <cell r="CV249" t="str">
            <v/>
          </cell>
          <cell r="CW249" t="str">
            <v/>
          </cell>
        </row>
        <row r="250">
          <cell r="CN250" t="str">
            <v/>
          </cell>
          <cell r="CO250" t="str">
            <v/>
          </cell>
          <cell r="CT250" t="str">
            <v/>
          </cell>
          <cell r="CU250" t="str">
            <v/>
          </cell>
          <cell r="CV250" t="str">
            <v/>
          </cell>
          <cell r="CW250" t="str">
            <v/>
          </cell>
        </row>
        <row r="251">
          <cell r="CN251" t="str">
            <v/>
          </cell>
          <cell r="CO251" t="str">
            <v/>
          </cell>
          <cell r="CT251" t="str">
            <v/>
          </cell>
          <cell r="CU251" t="str">
            <v/>
          </cell>
          <cell r="CV251" t="str">
            <v/>
          </cell>
          <cell r="CW251" t="str">
            <v/>
          </cell>
        </row>
        <row r="252">
          <cell r="CN252" t="str">
            <v/>
          </cell>
          <cell r="CO252" t="str">
            <v/>
          </cell>
          <cell r="CT252" t="str">
            <v/>
          </cell>
          <cell r="CU252" t="str">
            <v/>
          </cell>
          <cell r="CV252" t="str">
            <v/>
          </cell>
          <cell r="CW252" t="str">
            <v/>
          </cell>
        </row>
        <row r="253">
          <cell r="CN253" t="str">
            <v/>
          </cell>
          <cell r="CO253" t="str">
            <v/>
          </cell>
          <cell r="CT253" t="str">
            <v/>
          </cell>
          <cell r="CU253" t="str">
            <v/>
          </cell>
          <cell r="CV253" t="str">
            <v/>
          </cell>
          <cell r="CW253" t="str">
            <v/>
          </cell>
        </row>
        <row r="254">
          <cell r="CN254" t="str">
            <v/>
          </cell>
          <cell r="CO254" t="str">
            <v/>
          </cell>
          <cell r="CT254" t="str">
            <v/>
          </cell>
          <cell r="CU254" t="str">
            <v/>
          </cell>
          <cell r="CV254" t="str">
            <v/>
          </cell>
          <cell r="CW254" t="str">
            <v/>
          </cell>
        </row>
        <row r="255">
          <cell r="CN255" t="str">
            <v/>
          </cell>
          <cell r="CO255" t="str">
            <v/>
          </cell>
          <cell r="CT255" t="str">
            <v/>
          </cell>
          <cell r="CU255" t="str">
            <v/>
          </cell>
          <cell r="CV255" t="str">
            <v/>
          </cell>
          <cell r="CW255" t="str">
            <v/>
          </cell>
        </row>
        <row r="256">
          <cell r="CN256" t="str">
            <v/>
          </cell>
          <cell r="CO256" t="str">
            <v/>
          </cell>
          <cell r="CT256" t="str">
            <v/>
          </cell>
          <cell r="CU256" t="str">
            <v/>
          </cell>
          <cell r="CV256" t="str">
            <v/>
          </cell>
          <cell r="CW256" t="str">
            <v/>
          </cell>
        </row>
        <row r="257">
          <cell r="CN257" t="str">
            <v/>
          </cell>
          <cell r="CO257" t="str">
            <v/>
          </cell>
          <cell r="CT257" t="str">
            <v/>
          </cell>
          <cell r="CU257" t="str">
            <v/>
          </cell>
          <cell r="CV257" t="str">
            <v/>
          </cell>
          <cell r="CW257" t="str">
            <v/>
          </cell>
        </row>
        <row r="258">
          <cell r="CN258" t="str">
            <v/>
          </cell>
          <cell r="CO258" t="str">
            <v/>
          </cell>
          <cell r="CT258" t="str">
            <v/>
          </cell>
          <cell r="CU258" t="str">
            <v/>
          </cell>
          <cell r="CV258" t="str">
            <v/>
          </cell>
          <cell r="CW258" t="str">
            <v/>
          </cell>
        </row>
        <row r="259">
          <cell r="CN259" t="str">
            <v/>
          </cell>
          <cell r="CO259" t="str">
            <v/>
          </cell>
          <cell r="CT259" t="str">
            <v/>
          </cell>
          <cell r="CU259" t="str">
            <v/>
          </cell>
          <cell r="CV259" t="str">
            <v/>
          </cell>
          <cell r="CW259" t="str">
            <v/>
          </cell>
        </row>
        <row r="260">
          <cell r="CN260" t="str">
            <v/>
          </cell>
          <cell r="CO260" t="str">
            <v/>
          </cell>
          <cell r="CT260" t="str">
            <v/>
          </cell>
          <cell r="CU260" t="str">
            <v/>
          </cell>
          <cell r="CV260" t="str">
            <v/>
          </cell>
          <cell r="CW260" t="str">
            <v/>
          </cell>
        </row>
        <row r="261">
          <cell r="CN261" t="str">
            <v/>
          </cell>
          <cell r="CO261" t="str">
            <v/>
          </cell>
          <cell r="CT261" t="str">
            <v/>
          </cell>
          <cell r="CU261" t="str">
            <v/>
          </cell>
          <cell r="CV261" t="str">
            <v/>
          </cell>
          <cell r="CW261" t="str">
            <v/>
          </cell>
        </row>
        <row r="262">
          <cell r="CN262" t="str">
            <v/>
          </cell>
          <cell r="CO262" t="str">
            <v/>
          </cell>
          <cell r="CT262" t="str">
            <v/>
          </cell>
          <cell r="CU262" t="str">
            <v/>
          </cell>
          <cell r="CV262" t="str">
            <v/>
          </cell>
          <cell r="CW262" t="str">
            <v/>
          </cell>
        </row>
        <row r="263">
          <cell r="CN263" t="str">
            <v/>
          </cell>
          <cell r="CO263" t="str">
            <v/>
          </cell>
          <cell r="CT263" t="str">
            <v/>
          </cell>
          <cell r="CU263" t="str">
            <v/>
          </cell>
          <cell r="CV263" t="str">
            <v/>
          </cell>
          <cell r="CW263" t="str">
            <v/>
          </cell>
        </row>
        <row r="264">
          <cell r="CN264" t="str">
            <v/>
          </cell>
          <cell r="CO264" t="str">
            <v/>
          </cell>
          <cell r="CT264" t="str">
            <v/>
          </cell>
          <cell r="CU264" t="str">
            <v/>
          </cell>
          <cell r="CV264" t="str">
            <v/>
          </cell>
          <cell r="CW264" t="str">
            <v/>
          </cell>
        </row>
        <row r="265">
          <cell r="CN265" t="str">
            <v/>
          </cell>
          <cell r="CO265" t="str">
            <v/>
          </cell>
          <cell r="CT265" t="str">
            <v/>
          </cell>
          <cell r="CU265" t="str">
            <v/>
          </cell>
          <cell r="CV265" t="str">
            <v/>
          </cell>
          <cell r="CW265" t="str">
            <v/>
          </cell>
        </row>
        <row r="266">
          <cell r="CN266" t="str">
            <v/>
          </cell>
          <cell r="CO266" t="str">
            <v/>
          </cell>
          <cell r="CT266" t="str">
            <v/>
          </cell>
          <cell r="CU266" t="str">
            <v/>
          </cell>
          <cell r="CV266" t="str">
            <v/>
          </cell>
          <cell r="CW266" t="str">
            <v/>
          </cell>
        </row>
        <row r="267">
          <cell r="CN267" t="str">
            <v/>
          </cell>
          <cell r="CO267" t="str">
            <v/>
          </cell>
          <cell r="CT267" t="str">
            <v/>
          </cell>
          <cell r="CU267" t="str">
            <v/>
          </cell>
          <cell r="CV267" t="str">
            <v/>
          </cell>
          <cell r="CW267" t="str">
            <v/>
          </cell>
        </row>
        <row r="268">
          <cell r="CN268" t="str">
            <v/>
          </cell>
          <cell r="CO268" t="str">
            <v/>
          </cell>
          <cell r="CT268" t="str">
            <v/>
          </cell>
          <cell r="CU268" t="str">
            <v/>
          </cell>
          <cell r="CV268" t="str">
            <v/>
          </cell>
          <cell r="CW268" t="str">
            <v/>
          </cell>
        </row>
        <row r="269">
          <cell r="CN269" t="str">
            <v/>
          </cell>
          <cell r="CO269" t="str">
            <v/>
          </cell>
          <cell r="CT269" t="str">
            <v/>
          </cell>
          <cell r="CU269" t="str">
            <v/>
          </cell>
          <cell r="CV269" t="str">
            <v/>
          </cell>
          <cell r="CW269" t="str">
            <v/>
          </cell>
        </row>
        <row r="270">
          <cell r="CN270" t="str">
            <v/>
          </cell>
          <cell r="CO270" t="str">
            <v/>
          </cell>
          <cell r="CT270" t="str">
            <v/>
          </cell>
          <cell r="CU270" t="str">
            <v/>
          </cell>
          <cell r="CV270" t="str">
            <v/>
          </cell>
          <cell r="CW270" t="str">
            <v/>
          </cell>
        </row>
        <row r="271">
          <cell r="CN271" t="str">
            <v/>
          </cell>
          <cell r="CO271" t="str">
            <v/>
          </cell>
          <cell r="CT271" t="str">
            <v/>
          </cell>
          <cell r="CU271" t="str">
            <v/>
          </cell>
          <cell r="CV271" t="str">
            <v/>
          </cell>
          <cell r="CW271" t="str">
            <v/>
          </cell>
        </row>
        <row r="272">
          <cell r="CN272" t="str">
            <v/>
          </cell>
          <cell r="CO272" t="str">
            <v/>
          </cell>
          <cell r="CT272" t="str">
            <v/>
          </cell>
          <cell r="CU272" t="str">
            <v/>
          </cell>
          <cell r="CV272" t="str">
            <v/>
          </cell>
          <cell r="CW272" t="str">
            <v/>
          </cell>
        </row>
        <row r="273">
          <cell r="CN273" t="str">
            <v/>
          </cell>
          <cell r="CO273" t="str">
            <v/>
          </cell>
          <cell r="CT273" t="str">
            <v/>
          </cell>
          <cell r="CU273" t="str">
            <v/>
          </cell>
          <cell r="CV273" t="str">
            <v/>
          </cell>
          <cell r="CW273" t="str">
            <v/>
          </cell>
        </row>
        <row r="274">
          <cell r="CN274" t="str">
            <v/>
          </cell>
          <cell r="CO274" t="str">
            <v/>
          </cell>
          <cell r="CT274" t="str">
            <v/>
          </cell>
          <cell r="CU274" t="str">
            <v/>
          </cell>
          <cell r="CV274" t="str">
            <v/>
          </cell>
          <cell r="CW274" t="str">
            <v/>
          </cell>
        </row>
        <row r="275">
          <cell r="CN275" t="str">
            <v/>
          </cell>
          <cell r="CO275" t="str">
            <v/>
          </cell>
          <cell r="CT275" t="str">
            <v/>
          </cell>
          <cell r="CU275" t="str">
            <v/>
          </cell>
          <cell r="CV275" t="str">
            <v/>
          </cell>
          <cell r="CW275" t="str">
            <v/>
          </cell>
        </row>
        <row r="276">
          <cell r="CN276" t="str">
            <v/>
          </cell>
          <cell r="CO276" t="str">
            <v/>
          </cell>
          <cell r="CT276" t="str">
            <v/>
          </cell>
          <cell r="CU276" t="str">
            <v/>
          </cell>
          <cell r="CV276" t="str">
            <v/>
          </cell>
          <cell r="CW276" t="str">
            <v/>
          </cell>
        </row>
        <row r="277">
          <cell r="CN277" t="str">
            <v/>
          </cell>
          <cell r="CO277" t="str">
            <v/>
          </cell>
          <cell r="CT277" t="str">
            <v/>
          </cell>
          <cell r="CU277" t="str">
            <v/>
          </cell>
          <cell r="CV277" t="str">
            <v/>
          </cell>
          <cell r="CW277" t="str">
            <v/>
          </cell>
        </row>
        <row r="278">
          <cell r="CN278" t="str">
            <v/>
          </cell>
          <cell r="CO278" t="str">
            <v/>
          </cell>
          <cell r="CT278" t="str">
            <v/>
          </cell>
          <cell r="CU278" t="str">
            <v/>
          </cell>
          <cell r="CV278" t="str">
            <v/>
          </cell>
          <cell r="CW278" t="str">
            <v/>
          </cell>
        </row>
        <row r="279">
          <cell r="CN279" t="str">
            <v/>
          </cell>
          <cell r="CO279" t="str">
            <v/>
          </cell>
          <cell r="CT279" t="str">
            <v/>
          </cell>
          <cell r="CU279" t="str">
            <v/>
          </cell>
          <cell r="CV279" t="str">
            <v/>
          </cell>
          <cell r="CW279" t="str">
            <v/>
          </cell>
        </row>
        <row r="280">
          <cell r="CN280" t="str">
            <v/>
          </cell>
          <cell r="CO280" t="str">
            <v/>
          </cell>
          <cell r="CT280" t="str">
            <v/>
          </cell>
          <cell r="CU280" t="str">
            <v/>
          </cell>
          <cell r="CV280" t="str">
            <v/>
          </cell>
          <cell r="CW280" t="str">
            <v/>
          </cell>
        </row>
        <row r="281">
          <cell r="CN281" t="str">
            <v/>
          </cell>
          <cell r="CO281" t="str">
            <v/>
          </cell>
          <cell r="CT281" t="str">
            <v/>
          </cell>
          <cell r="CU281" t="str">
            <v/>
          </cell>
          <cell r="CV281" t="str">
            <v/>
          </cell>
          <cell r="CW281" t="str">
            <v/>
          </cell>
        </row>
        <row r="282">
          <cell r="CN282" t="str">
            <v/>
          </cell>
          <cell r="CO282" t="str">
            <v/>
          </cell>
          <cell r="CT282" t="str">
            <v/>
          </cell>
          <cell r="CU282" t="str">
            <v/>
          </cell>
          <cell r="CV282" t="str">
            <v/>
          </cell>
          <cell r="CW282" t="str">
            <v/>
          </cell>
        </row>
        <row r="283">
          <cell r="CN283" t="str">
            <v/>
          </cell>
          <cell r="CO283" t="str">
            <v/>
          </cell>
          <cell r="CT283" t="str">
            <v/>
          </cell>
          <cell r="CU283" t="str">
            <v/>
          </cell>
          <cell r="CV283" t="str">
            <v/>
          </cell>
          <cell r="CW283" t="str">
            <v/>
          </cell>
        </row>
        <row r="284">
          <cell r="CN284" t="str">
            <v/>
          </cell>
          <cell r="CO284" t="str">
            <v/>
          </cell>
          <cell r="CT284" t="str">
            <v/>
          </cell>
          <cell r="CU284" t="str">
            <v/>
          </cell>
          <cell r="CV284" t="str">
            <v/>
          </cell>
          <cell r="CW284" t="str">
            <v/>
          </cell>
        </row>
        <row r="285">
          <cell r="CN285" t="str">
            <v/>
          </cell>
          <cell r="CO285" t="str">
            <v/>
          </cell>
          <cell r="CT285" t="str">
            <v/>
          </cell>
          <cell r="CU285" t="str">
            <v/>
          </cell>
          <cell r="CV285" t="str">
            <v/>
          </cell>
          <cell r="CW285" t="str">
            <v/>
          </cell>
        </row>
        <row r="286">
          <cell r="CN286" t="str">
            <v/>
          </cell>
          <cell r="CO286" t="str">
            <v/>
          </cell>
          <cell r="CT286" t="str">
            <v/>
          </cell>
          <cell r="CU286" t="str">
            <v/>
          </cell>
          <cell r="CV286" t="str">
            <v/>
          </cell>
          <cell r="CW286" t="str">
            <v/>
          </cell>
        </row>
        <row r="287">
          <cell r="CN287" t="str">
            <v/>
          </cell>
          <cell r="CO287" t="str">
            <v/>
          </cell>
          <cell r="CT287" t="str">
            <v/>
          </cell>
          <cell r="CU287" t="str">
            <v/>
          </cell>
          <cell r="CV287" t="str">
            <v/>
          </cell>
          <cell r="CW287" t="str">
            <v/>
          </cell>
        </row>
        <row r="288">
          <cell r="CN288" t="str">
            <v/>
          </cell>
          <cell r="CO288" t="str">
            <v/>
          </cell>
          <cell r="CT288" t="str">
            <v/>
          </cell>
          <cell r="CU288" t="str">
            <v/>
          </cell>
          <cell r="CV288" t="str">
            <v/>
          </cell>
          <cell r="CW288" t="str">
            <v/>
          </cell>
        </row>
        <row r="289">
          <cell r="CN289" t="str">
            <v/>
          </cell>
          <cell r="CO289" t="str">
            <v/>
          </cell>
          <cell r="CT289" t="str">
            <v/>
          </cell>
          <cell r="CU289" t="str">
            <v/>
          </cell>
          <cell r="CV289" t="str">
            <v/>
          </cell>
          <cell r="CW289" t="str">
            <v/>
          </cell>
        </row>
        <row r="290">
          <cell r="CN290" t="str">
            <v/>
          </cell>
          <cell r="CO290" t="str">
            <v/>
          </cell>
          <cell r="CT290" t="str">
            <v/>
          </cell>
          <cell r="CU290" t="str">
            <v/>
          </cell>
          <cell r="CV290" t="str">
            <v/>
          </cell>
          <cell r="CW290" t="str">
            <v/>
          </cell>
        </row>
        <row r="291">
          <cell r="CN291" t="str">
            <v/>
          </cell>
          <cell r="CO291" t="str">
            <v/>
          </cell>
          <cell r="CT291" t="str">
            <v/>
          </cell>
          <cell r="CU291" t="str">
            <v/>
          </cell>
          <cell r="CV291" t="str">
            <v/>
          </cell>
          <cell r="CW291" t="str">
            <v/>
          </cell>
        </row>
        <row r="292">
          <cell r="CN292" t="str">
            <v/>
          </cell>
          <cell r="CO292" t="str">
            <v/>
          </cell>
          <cell r="CT292" t="str">
            <v/>
          </cell>
          <cell r="CU292" t="str">
            <v/>
          </cell>
          <cell r="CV292" t="str">
            <v/>
          </cell>
          <cell r="CW292" t="str">
            <v/>
          </cell>
        </row>
        <row r="293">
          <cell r="CN293" t="str">
            <v/>
          </cell>
          <cell r="CO293" t="str">
            <v/>
          </cell>
          <cell r="CT293" t="str">
            <v/>
          </cell>
          <cell r="CU293" t="str">
            <v/>
          </cell>
          <cell r="CV293" t="str">
            <v/>
          </cell>
          <cell r="CW293" t="str">
            <v/>
          </cell>
        </row>
        <row r="294">
          <cell r="CN294" t="str">
            <v/>
          </cell>
          <cell r="CO294" t="str">
            <v/>
          </cell>
          <cell r="CT294" t="str">
            <v/>
          </cell>
          <cell r="CU294" t="str">
            <v/>
          </cell>
          <cell r="CV294" t="str">
            <v/>
          </cell>
          <cell r="CW294" t="str">
            <v/>
          </cell>
        </row>
        <row r="295">
          <cell r="CN295" t="str">
            <v/>
          </cell>
          <cell r="CO295" t="str">
            <v/>
          </cell>
          <cell r="CT295" t="str">
            <v/>
          </cell>
          <cell r="CU295" t="str">
            <v/>
          </cell>
          <cell r="CV295" t="str">
            <v/>
          </cell>
          <cell r="CW295" t="str">
            <v/>
          </cell>
        </row>
        <row r="296">
          <cell r="CN296" t="str">
            <v/>
          </cell>
          <cell r="CO296" t="str">
            <v/>
          </cell>
          <cell r="CT296" t="str">
            <v/>
          </cell>
          <cell r="CU296" t="str">
            <v/>
          </cell>
          <cell r="CV296" t="str">
            <v/>
          </cell>
          <cell r="CW296" t="str">
            <v/>
          </cell>
        </row>
        <row r="297">
          <cell r="CN297" t="str">
            <v/>
          </cell>
          <cell r="CO297" t="str">
            <v/>
          </cell>
          <cell r="CT297" t="str">
            <v/>
          </cell>
          <cell r="CU297" t="str">
            <v/>
          </cell>
          <cell r="CV297" t="str">
            <v/>
          </cell>
          <cell r="CW297" t="str">
            <v/>
          </cell>
        </row>
        <row r="298">
          <cell r="CN298" t="str">
            <v/>
          </cell>
          <cell r="CO298" t="str">
            <v/>
          </cell>
          <cell r="CT298" t="str">
            <v/>
          </cell>
          <cell r="CU298" t="str">
            <v/>
          </cell>
          <cell r="CV298" t="str">
            <v/>
          </cell>
          <cell r="CW298" t="str">
            <v/>
          </cell>
        </row>
        <row r="299">
          <cell r="CN299" t="str">
            <v/>
          </cell>
          <cell r="CO299" t="str">
            <v/>
          </cell>
          <cell r="CT299" t="str">
            <v/>
          </cell>
          <cell r="CU299" t="str">
            <v/>
          </cell>
          <cell r="CV299" t="str">
            <v/>
          </cell>
          <cell r="CW299" t="str">
            <v/>
          </cell>
        </row>
        <row r="300">
          <cell r="CN300" t="str">
            <v/>
          </cell>
          <cell r="CO300" t="str">
            <v/>
          </cell>
          <cell r="CT300" t="str">
            <v/>
          </cell>
          <cell r="CU300" t="str">
            <v/>
          </cell>
          <cell r="CV300" t="str">
            <v/>
          </cell>
          <cell r="CW300" t="str">
            <v/>
          </cell>
        </row>
        <row r="301">
          <cell r="CN301" t="str">
            <v/>
          </cell>
          <cell r="CO301" t="str">
            <v/>
          </cell>
          <cell r="CT301" t="str">
            <v/>
          </cell>
          <cell r="CU301" t="str">
            <v/>
          </cell>
          <cell r="CV301" t="str">
            <v/>
          </cell>
          <cell r="CW301" t="str">
            <v/>
          </cell>
        </row>
        <row r="302">
          <cell r="CN302" t="str">
            <v/>
          </cell>
          <cell r="CO302" t="str">
            <v/>
          </cell>
          <cell r="CT302" t="str">
            <v/>
          </cell>
          <cell r="CU302" t="str">
            <v/>
          </cell>
          <cell r="CV302" t="str">
            <v/>
          </cell>
          <cell r="CW302" t="str">
            <v/>
          </cell>
        </row>
        <row r="303">
          <cell r="CN303" t="str">
            <v/>
          </cell>
          <cell r="CO303" t="str">
            <v/>
          </cell>
          <cell r="CT303" t="str">
            <v/>
          </cell>
          <cell r="CU303" t="str">
            <v/>
          </cell>
          <cell r="CV303" t="str">
            <v/>
          </cell>
          <cell r="CW303" t="str">
            <v/>
          </cell>
        </row>
        <row r="304">
          <cell r="CN304" t="str">
            <v/>
          </cell>
          <cell r="CO304" t="str">
            <v/>
          </cell>
          <cell r="CT304" t="str">
            <v/>
          </cell>
          <cell r="CU304" t="str">
            <v/>
          </cell>
          <cell r="CV304" t="str">
            <v/>
          </cell>
          <cell r="CW304" t="str">
            <v/>
          </cell>
        </row>
        <row r="305">
          <cell r="CN305" t="str">
            <v/>
          </cell>
          <cell r="CO305" t="str">
            <v/>
          </cell>
          <cell r="CT305" t="str">
            <v/>
          </cell>
          <cell r="CU305" t="str">
            <v/>
          </cell>
          <cell r="CV305" t="str">
            <v/>
          </cell>
          <cell r="CW305" t="str">
            <v/>
          </cell>
        </row>
        <row r="306">
          <cell r="CN306" t="str">
            <v/>
          </cell>
          <cell r="CO306" t="str">
            <v/>
          </cell>
          <cell r="CT306" t="str">
            <v/>
          </cell>
          <cell r="CU306" t="str">
            <v/>
          </cell>
          <cell r="CV306" t="str">
            <v/>
          </cell>
          <cell r="CW306" t="str">
            <v/>
          </cell>
        </row>
        <row r="307">
          <cell r="CN307" t="str">
            <v/>
          </cell>
          <cell r="CO307" t="str">
            <v/>
          </cell>
          <cell r="CT307" t="str">
            <v/>
          </cell>
          <cell r="CU307" t="str">
            <v/>
          </cell>
          <cell r="CV307" t="str">
            <v/>
          </cell>
          <cell r="CW307" t="str">
            <v/>
          </cell>
        </row>
        <row r="308">
          <cell r="CN308" t="str">
            <v/>
          </cell>
          <cell r="CO308" t="str">
            <v/>
          </cell>
          <cell r="CT308" t="str">
            <v/>
          </cell>
          <cell r="CU308" t="str">
            <v/>
          </cell>
          <cell r="CV308" t="str">
            <v/>
          </cell>
          <cell r="CW308" t="str">
            <v/>
          </cell>
        </row>
        <row r="309">
          <cell r="CN309" t="str">
            <v/>
          </cell>
          <cell r="CO309" t="str">
            <v/>
          </cell>
          <cell r="CT309" t="str">
            <v/>
          </cell>
          <cell r="CU309" t="str">
            <v/>
          </cell>
          <cell r="CV309" t="str">
            <v/>
          </cell>
          <cell r="CW309" t="str">
            <v/>
          </cell>
        </row>
        <row r="310">
          <cell r="CN310" t="str">
            <v/>
          </cell>
          <cell r="CO310" t="str">
            <v/>
          </cell>
          <cell r="CT310" t="str">
            <v/>
          </cell>
          <cell r="CU310" t="str">
            <v/>
          </cell>
          <cell r="CV310" t="str">
            <v/>
          </cell>
          <cell r="CW310" t="str">
            <v/>
          </cell>
        </row>
        <row r="311">
          <cell r="CN311" t="str">
            <v/>
          </cell>
          <cell r="CO311" t="str">
            <v/>
          </cell>
          <cell r="CT311" t="str">
            <v/>
          </cell>
          <cell r="CU311" t="str">
            <v/>
          </cell>
          <cell r="CV311" t="str">
            <v/>
          </cell>
          <cell r="CW311" t="str">
            <v/>
          </cell>
        </row>
        <row r="312">
          <cell r="CN312" t="str">
            <v/>
          </cell>
          <cell r="CO312" t="str">
            <v/>
          </cell>
          <cell r="CT312" t="str">
            <v/>
          </cell>
          <cell r="CU312" t="str">
            <v/>
          </cell>
          <cell r="CV312" t="str">
            <v/>
          </cell>
          <cell r="CW312" t="str">
            <v/>
          </cell>
        </row>
        <row r="313">
          <cell r="CN313" t="str">
            <v/>
          </cell>
          <cell r="CO313" t="str">
            <v/>
          </cell>
          <cell r="CT313" t="str">
            <v/>
          </cell>
          <cell r="CU313" t="str">
            <v/>
          </cell>
          <cell r="CV313" t="str">
            <v/>
          </cell>
          <cell r="CW313" t="str">
            <v/>
          </cell>
        </row>
        <row r="314">
          <cell r="CN314" t="str">
            <v/>
          </cell>
          <cell r="CO314" t="str">
            <v/>
          </cell>
          <cell r="CT314" t="str">
            <v/>
          </cell>
          <cell r="CU314" t="str">
            <v/>
          </cell>
          <cell r="CV314" t="str">
            <v/>
          </cell>
          <cell r="CW314" t="str">
            <v/>
          </cell>
        </row>
        <row r="315">
          <cell r="CN315" t="str">
            <v/>
          </cell>
          <cell r="CO315" t="str">
            <v/>
          </cell>
          <cell r="CT315" t="str">
            <v/>
          </cell>
          <cell r="CU315" t="str">
            <v/>
          </cell>
          <cell r="CV315" t="str">
            <v/>
          </cell>
          <cell r="CW315" t="str">
            <v/>
          </cell>
        </row>
        <row r="316">
          <cell r="CN316" t="str">
            <v/>
          </cell>
          <cell r="CO316" t="str">
            <v/>
          </cell>
          <cell r="CT316" t="str">
            <v/>
          </cell>
          <cell r="CU316" t="str">
            <v/>
          </cell>
          <cell r="CV316" t="str">
            <v/>
          </cell>
          <cell r="CW316" t="str">
            <v/>
          </cell>
        </row>
        <row r="317">
          <cell r="CN317" t="str">
            <v/>
          </cell>
          <cell r="CO317" t="str">
            <v/>
          </cell>
          <cell r="CT317" t="str">
            <v/>
          </cell>
          <cell r="CU317" t="str">
            <v/>
          </cell>
          <cell r="CV317" t="str">
            <v/>
          </cell>
          <cell r="CW317" t="str">
            <v/>
          </cell>
        </row>
        <row r="318">
          <cell r="CN318" t="str">
            <v/>
          </cell>
          <cell r="CO318" t="str">
            <v/>
          </cell>
          <cell r="CT318" t="str">
            <v/>
          </cell>
          <cell r="CU318" t="str">
            <v/>
          </cell>
          <cell r="CV318" t="str">
            <v/>
          </cell>
          <cell r="CW318" t="str">
            <v/>
          </cell>
        </row>
        <row r="319">
          <cell r="CN319" t="str">
            <v/>
          </cell>
          <cell r="CO319" t="str">
            <v/>
          </cell>
          <cell r="CT319" t="str">
            <v/>
          </cell>
          <cell r="CU319" t="str">
            <v/>
          </cell>
          <cell r="CV319" t="str">
            <v/>
          </cell>
          <cell r="CW319" t="str">
            <v/>
          </cell>
        </row>
        <row r="320">
          <cell r="CN320" t="str">
            <v/>
          </cell>
          <cell r="CO320" t="str">
            <v/>
          </cell>
          <cell r="CT320" t="str">
            <v/>
          </cell>
          <cell r="CU320" t="str">
            <v/>
          </cell>
          <cell r="CV320" t="str">
            <v/>
          </cell>
          <cell r="CW320" t="str">
            <v/>
          </cell>
        </row>
        <row r="321">
          <cell r="CN321" t="str">
            <v/>
          </cell>
          <cell r="CO321" t="str">
            <v/>
          </cell>
          <cell r="CT321" t="str">
            <v/>
          </cell>
          <cell r="CU321" t="str">
            <v/>
          </cell>
          <cell r="CV321" t="str">
            <v/>
          </cell>
          <cell r="CW321" t="str">
            <v/>
          </cell>
        </row>
        <row r="322">
          <cell r="CN322" t="str">
            <v/>
          </cell>
          <cell r="CO322" t="str">
            <v/>
          </cell>
          <cell r="CT322" t="str">
            <v/>
          </cell>
          <cell r="CU322" t="str">
            <v/>
          </cell>
          <cell r="CV322" t="str">
            <v/>
          </cell>
          <cell r="CW322" t="str">
            <v/>
          </cell>
        </row>
        <row r="323">
          <cell r="CN323" t="str">
            <v/>
          </cell>
          <cell r="CO323" t="str">
            <v/>
          </cell>
          <cell r="CT323" t="str">
            <v/>
          </cell>
          <cell r="CU323" t="str">
            <v/>
          </cell>
          <cell r="CV323" t="str">
            <v/>
          </cell>
          <cell r="CW323" t="str">
            <v/>
          </cell>
        </row>
        <row r="324">
          <cell r="CN324" t="str">
            <v/>
          </cell>
          <cell r="CO324" t="str">
            <v/>
          </cell>
          <cell r="CT324" t="str">
            <v/>
          </cell>
          <cell r="CU324" t="str">
            <v/>
          </cell>
          <cell r="CV324" t="str">
            <v/>
          </cell>
          <cell r="CW324" t="str">
            <v/>
          </cell>
        </row>
        <row r="325">
          <cell r="CN325" t="str">
            <v/>
          </cell>
          <cell r="CO325" t="str">
            <v/>
          </cell>
          <cell r="CT325" t="str">
            <v/>
          </cell>
          <cell r="CU325" t="str">
            <v/>
          </cell>
          <cell r="CV325" t="str">
            <v/>
          </cell>
          <cell r="CW325" t="str">
            <v/>
          </cell>
        </row>
        <row r="326">
          <cell r="CN326" t="str">
            <v/>
          </cell>
          <cell r="CO326" t="str">
            <v/>
          </cell>
          <cell r="CT326" t="str">
            <v/>
          </cell>
          <cell r="CU326" t="str">
            <v/>
          </cell>
          <cell r="CV326" t="str">
            <v/>
          </cell>
          <cell r="CW326" t="str">
            <v/>
          </cell>
        </row>
        <row r="327">
          <cell r="CN327" t="str">
            <v/>
          </cell>
          <cell r="CO327" t="str">
            <v/>
          </cell>
          <cell r="CT327" t="str">
            <v/>
          </cell>
          <cell r="CU327" t="str">
            <v/>
          </cell>
          <cell r="CV327" t="str">
            <v/>
          </cell>
          <cell r="CW327" t="str">
            <v/>
          </cell>
        </row>
        <row r="328">
          <cell r="CN328" t="str">
            <v/>
          </cell>
          <cell r="CO328" t="str">
            <v/>
          </cell>
          <cell r="CT328" t="str">
            <v/>
          </cell>
          <cell r="CU328" t="str">
            <v/>
          </cell>
          <cell r="CV328" t="str">
            <v/>
          </cell>
          <cell r="CW328" t="str">
            <v/>
          </cell>
        </row>
        <row r="329">
          <cell r="CN329" t="str">
            <v/>
          </cell>
          <cell r="CO329" t="str">
            <v/>
          </cell>
          <cell r="CT329" t="str">
            <v/>
          </cell>
          <cell r="CU329" t="str">
            <v/>
          </cell>
          <cell r="CV329" t="str">
            <v/>
          </cell>
          <cell r="CW329" t="str">
            <v/>
          </cell>
        </row>
        <row r="330">
          <cell r="CN330" t="str">
            <v/>
          </cell>
          <cell r="CO330" t="str">
            <v/>
          </cell>
          <cell r="CT330" t="str">
            <v/>
          </cell>
          <cell r="CU330" t="str">
            <v/>
          </cell>
          <cell r="CV330" t="str">
            <v/>
          </cell>
          <cell r="CW330" t="str">
            <v/>
          </cell>
        </row>
        <row r="331">
          <cell r="CN331" t="str">
            <v/>
          </cell>
          <cell r="CO331" t="str">
            <v/>
          </cell>
          <cell r="CT331" t="str">
            <v/>
          </cell>
          <cell r="CU331" t="str">
            <v/>
          </cell>
          <cell r="CV331" t="str">
            <v/>
          </cell>
          <cell r="CW331" t="str">
            <v/>
          </cell>
        </row>
        <row r="332">
          <cell r="CN332" t="str">
            <v/>
          </cell>
          <cell r="CO332" t="str">
            <v/>
          </cell>
          <cell r="CT332" t="str">
            <v/>
          </cell>
          <cell r="CU332" t="str">
            <v/>
          </cell>
          <cell r="CV332" t="str">
            <v/>
          </cell>
          <cell r="CW332" t="str">
            <v/>
          </cell>
        </row>
        <row r="333">
          <cell r="CN333" t="str">
            <v/>
          </cell>
          <cell r="CO333" t="str">
            <v/>
          </cell>
          <cell r="CT333" t="str">
            <v/>
          </cell>
          <cell r="CU333" t="str">
            <v/>
          </cell>
          <cell r="CV333" t="str">
            <v/>
          </cell>
          <cell r="CW333" t="str">
            <v/>
          </cell>
        </row>
        <row r="334">
          <cell r="CN334" t="str">
            <v/>
          </cell>
          <cell r="CO334" t="str">
            <v/>
          </cell>
          <cell r="CT334" t="str">
            <v/>
          </cell>
          <cell r="CU334" t="str">
            <v/>
          </cell>
          <cell r="CV334" t="str">
            <v/>
          </cell>
          <cell r="CW334" t="str">
            <v/>
          </cell>
        </row>
        <row r="335">
          <cell r="CN335" t="str">
            <v/>
          </cell>
          <cell r="CO335" t="str">
            <v/>
          </cell>
          <cell r="CT335" t="str">
            <v/>
          </cell>
          <cell r="CU335" t="str">
            <v/>
          </cell>
          <cell r="CV335" t="str">
            <v/>
          </cell>
          <cell r="CW335" t="str">
            <v/>
          </cell>
        </row>
        <row r="336">
          <cell r="CN336" t="str">
            <v/>
          </cell>
          <cell r="CO336" t="str">
            <v/>
          </cell>
          <cell r="CT336" t="str">
            <v/>
          </cell>
          <cell r="CU336" t="str">
            <v/>
          </cell>
          <cell r="CV336" t="str">
            <v/>
          </cell>
          <cell r="CW336" t="str">
            <v/>
          </cell>
        </row>
        <row r="337">
          <cell r="CN337" t="str">
            <v/>
          </cell>
          <cell r="CO337" t="str">
            <v/>
          </cell>
          <cell r="CT337" t="str">
            <v/>
          </cell>
          <cell r="CU337" t="str">
            <v/>
          </cell>
          <cell r="CV337" t="str">
            <v/>
          </cell>
          <cell r="CW337" t="str">
            <v/>
          </cell>
        </row>
        <row r="338">
          <cell r="CN338" t="str">
            <v/>
          </cell>
          <cell r="CO338" t="str">
            <v/>
          </cell>
          <cell r="CT338" t="str">
            <v/>
          </cell>
          <cell r="CU338" t="str">
            <v/>
          </cell>
          <cell r="CV338" t="str">
            <v/>
          </cell>
          <cell r="CW338" t="str">
            <v/>
          </cell>
        </row>
        <row r="339">
          <cell r="CN339" t="str">
            <v/>
          </cell>
          <cell r="CO339" t="str">
            <v/>
          </cell>
          <cell r="CT339" t="str">
            <v/>
          </cell>
          <cell r="CU339" t="str">
            <v/>
          </cell>
          <cell r="CV339" t="str">
            <v/>
          </cell>
          <cell r="CW339" t="str">
            <v/>
          </cell>
        </row>
        <row r="340">
          <cell r="CN340" t="str">
            <v/>
          </cell>
          <cell r="CO340" t="str">
            <v/>
          </cell>
          <cell r="CT340" t="str">
            <v/>
          </cell>
          <cell r="CU340" t="str">
            <v/>
          </cell>
          <cell r="CV340" t="str">
            <v/>
          </cell>
          <cell r="CW340" t="str">
            <v/>
          </cell>
        </row>
        <row r="341">
          <cell r="CN341" t="str">
            <v/>
          </cell>
          <cell r="CO341" t="str">
            <v/>
          </cell>
          <cell r="CT341" t="str">
            <v/>
          </cell>
          <cell r="CU341" t="str">
            <v/>
          </cell>
          <cell r="CV341" t="str">
            <v/>
          </cell>
          <cell r="CW341" t="str">
            <v/>
          </cell>
        </row>
        <row r="342">
          <cell r="CN342" t="str">
            <v/>
          </cell>
          <cell r="CO342" t="str">
            <v/>
          </cell>
          <cell r="CT342" t="str">
            <v/>
          </cell>
          <cell r="CU342" t="str">
            <v/>
          </cell>
          <cell r="CV342" t="str">
            <v/>
          </cell>
          <cell r="CW342" t="str">
            <v/>
          </cell>
        </row>
        <row r="343">
          <cell r="CN343" t="str">
            <v/>
          </cell>
          <cell r="CO343" t="str">
            <v/>
          </cell>
          <cell r="CT343" t="str">
            <v/>
          </cell>
          <cell r="CU343" t="str">
            <v/>
          </cell>
          <cell r="CV343" t="str">
            <v/>
          </cell>
          <cell r="CW343" t="str">
            <v/>
          </cell>
        </row>
        <row r="344">
          <cell r="CN344" t="str">
            <v/>
          </cell>
          <cell r="CO344" t="str">
            <v/>
          </cell>
          <cell r="CT344" t="str">
            <v/>
          </cell>
          <cell r="CU344" t="str">
            <v/>
          </cell>
          <cell r="CV344" t="str">
            <v/>
          </cell>
          <cell r="CW344" t="str">
            <v/>
          </cell>
        </row>
        <row r="345">
          <cell r="CN345" t="str">
            <v/>
          </cell>
          <cell r="CO345" t="str">
            <v/>
          </cell>
          <cell r="CT345" t="str">
            <v/>
          </cell>
          <cell r="CU345" t="str">
            <v/>
          </cell>
          <cell r="CV345" t="str">
            <v/>
          </cell>
          <cell r="CW345" t="str">
            <v/>
          </cell>
        </row>
        <row r="346">
          <cell r="CN346" t="str">
            <v/>
          </cell>
          <cell r="CO346" t="str">
            <v/>
          </cell>
          <cell r="CT346" t="str">
            <v/>
          </cell>
          <cell r="CU346" t="str">
            <v/>
          </cell>
          <cell r="CV346" t="str">
            <v/>
          </cell>
          <cell r="CW346" t="str">
            <v/>
          </cell>
        </row>
        <row r="347">
          <cell r="CN347" t="str">
            <v/>
          </cell>
          <cell r="CO347" t="str">
            <v/>
          </cell>
          <cell r="CT347" t="str">
            <v/>
          </cell>
          <cell r="CU347" t="str">
            <v/>
          </cell>
          <cell r="CV347" t="str">
            <v/>
          </cell>
          <cell r="CW347" t="str">
            <v/>
          </cell>
        </row>
        <row r="348">
          <cell r="CN348" t="str">
            <v/>
          </cell>
          <cell r="CO348" t="str">
            <v/>
          </cell>
          <cell r="CT348" t="str">
            <v/>
          </cell>
          <cell r="CU348" t="str">
            <v/>
          </cell>
          <cell r="CV348" t="str">
            <v/>
          </cell>
          <cell r="CW348" t="str">
            <v/>
          </cell>
        </row>
        <row r="349">
          <cell r="CN349" t="str">
            <v/>
          </cell>
          <cell r="CO349" t="str">
            <v/>
          </cell>
          <cell r="CT349" t="str">
            <v/>
          </cell>
          <cell r="CU349" t="str">
            <v/>
          </cell>
          <cell r="CV349" t="str">
            <v/>
          </cell>
          <cell r="CW349" t="str">
            <v/>
          </cell>
        </row>
        <row r="350">
          <cell r="CN350" t="str">
            <v/>
          </cell>
          <cell r="CO350" t="str">
            <v/>
          </cell>
          <cell r="CT350" t="str">
            <v/>
          </cell>
          <cell r="CU350" t="str">
            <v/>
          </cell>
          <cell r="CV350" t="str">
            <v/>
          </cell>
          <cell r="CW350" t="str">
            <v/>
          </cell>
        </row>
        <row r="351">
          <cell r="CN351" t="str">
            <v/>
          </cell>
          <cell r="CO351" t="str">
            <v/>
          </cell>
          <cell r="CT351" t="str">
            <v/>
          </cell>
          <cell r="CU351" t="str">
            <v/>
          </cell>
          <cell r="CV351" t="str">
            <v/>
          </cell>
          <cell r="CW351" t="str">
            <v/>
          </cell>
        </row>
        <row r="352">
          <cell r="CN352" t="str">
            <v/>
          </cell>
          <cell r="CO352" t="str">
            <v/>
          </cell>
          <cell r="CT352" t="str">
            <v/>
          </cell>
          <cell r="CU352" t="str">
            <v/>
          </cell>
          <cell r="CV352" t="str">
            <v/>
          </cell>
          <cell r="CW352" t="str">
            <v/>
          </cell>
        </row>
        <row r="353">
          <cell r="CN353" t="str">
            <v/>
          </cell>
          <cell r="CO353" t="str">
            <v/>
          </cell>
          <cell r="CT353" t="str">
            <v/>
          </cell>
          <cell r="CU353" t="str">
            <v/>
          </cell>
          <cell r="CV353" t="str">
            <v/>
          </cell>
          <cell r="CW353" t="str">
            <v/>
          </cell>
        </row>
        <row r="354">
          <cell r="CN354" t="str">
            <v/>
          </cell>
          <cell r="CO354" t="str">
            <v/>
          </cell>
          <cell r="CT354" t="str">
            <v/>
          </cell>
          <cell r="CU354" t="str">
            <v/>
          </cell>
          <cell r="CV354" t="str">
            <v/>
          </cell>
          <cell r="CW354" t="str">
            <v/>
          </cell>
        </row>
        <row r="355">
          <cell r="CN355" t="str">
            <v/>
          </cell>
          <cell r="CO355" t="str">
            <v/>
          </cell>
          <cell r="CT355" t="str">
            <v/>
          </cell>
          <cell r="CU355" t="str">
            <v/>
          </cell>
          <cell r="CV355" t="str">
            <v/>
          </cell>
          <cell r="CW355" t="str">
            <v/>
          </cell>
        </row>
        <row r="356">
          <cell r="CN356" t="str">
            <v/>
          </cell>
          <cell r="CO356" t="str">
            <v/>
          </cell>
          <cell r="CT356" t="str">
            <v/>
          </cell>
          <cell r="CU356" t="str">
            <v/>
          </cell>
          <cell r="CV356" t="str">
            <v/>
          </cell>
          <cell r="CW356" t="str">
            <v/>
          </cell>
        </row>
        <row r="357">
          <cell r="CN357" t="str">
            <v/>
          </cell>
          <cell r="CO357" t="str">
            <v/>
          </cell>
          <cell r="CT357" t="str">
            <v/>
          </cell>
          <cell r="CU357" t="str">
            <v/>
          </cell>
          <cell r="CV357" t="str">
            <v/>
          </cell>
          <cell r="CW357" t="str">
            <v/>
          </cell>
        </row>
        <row r="358">
          <cell r="CN358" t="str">
            <v/>
          </cell>
          <cell r="CO358" t="str">
            <v/>
          </cell>
          <cell r="CT358" t="str">
            <v/>
          </cell>
          <cell r="CU358" t="str">
            <v/>
          </cell>
          <cell r="CV358" t="str">
            <v/>
          </cell>
          <cell r="CW358" t="str">
            <v/>
          </cell>
        </row>
        <row r="359">
          <cell r="CN359" t="str">
            <v/>
          </cell>
          <cell r="CO359" t="str">
            <v/>
          </cell>
          <cell r="CT359" t="str">
            <v/>
          </cell>
          <cell r="CU359" t="str">
            <v/>
          </cell>
          <cell r="CV359" t="str">
            <v/>
          </cell>
          <cell r="CW359" t="str">
            <v/>
          </cell>
        </row>
        <row r="360">
          <cell r="CN360" t="str">
            <v/>
          </cell>
          <cell r="CO360" t="str">
            <v/>
          </cell>
          <cell r="CT360" t="str">
            <v/>
          </cell>
          <cell r="CU360" t="str">
            <v/>
          </cell>
          <cell r="CV360" t="str">
            <v/>
          </cell>
          <cell r="CW360" t="str">
            <v/>
          </cell>
        </row>
        <row r="361">
          <cell r="CN361" t="str">
            <v/>
          </cell>
          <cell r="CO361" t="str">
            <v/>
          </cell>
          <cell r="CT361" t="str">
            <v/>
          </cell>
          <cell r="CU361" t="str">
            <v/>
          </cell>
          <cell r="CV361" t="str">
            <v/>
          </cell>
          <cell r="CW361" t="str">
            <v/>
          </cell>
        </row>
        <row r="362">
          <cell r="CN362" t="str">
            <v/>
          </cell>
          <cell r="CO362" t="str">
            <v/>
          </cell>
          <cell r="CT362" t="str">
            <v/>
          </cell>
          <cell r="CU362" t="str">
            <v/>
          </cell>
          <cell r="CV362" t="str">
            <v/>
          </cell>
          <cell r="CW362" t="str">
            <v/>
          </cell>
        </row>
        <row r="363">
          <cell r="CN363" t="str">
            <v/>
          </cell>
          <cell r="CO363" t="str">
            <v/>
          </cell>
          <cell r="CT363" t="str">
            <v/>
          </cell>
          <cell r="CU363" t="str">
            <v/>
          </cell>
          <cell r="CV363" t="str">
            <v/>
          </cell>
          <cell r="CW363" t="str">
            <v/>
          </cell>
        </row>
        <row r="364">
          <cell r="CN364" t="str">
            <v/>
          </cell>
          <cell r="CO364" t="str">
            <v/>
          </cell>
          <cell r="CT364" t="str">
            <v/>
          </cell>
          <cell r="CU364" t="str">
            <v/>
          </cell>
          <cell r="CV364" t="str">
            <v/>
          </cell>
          <cell r="CW364" t="str">
            <v/>
          </cell>
        </row>
        <row r="365">
          <cell r="CN365" t="str">
            <v/>
          </cell>
          <cell r="CO365" t="str">
            <v/>
          </cell>
          <cell r="CT365" t="str">
            <v/>
          </cell>
          <cell r="CU365" t="str">
            <v/>
          </cell>
          <cell r="CV365" t="str">
            <v/>
          </cell>
          <cell r="CW365" t="str">
            <v/>
          </cell>
        </row>
        <row r="366">
          <cell r="CN366" t="str">
            <v/>
          </cell>
          <cell r="CO366" t="str">
            <v/>
          </cell>
          <cell r="CT366" t="str">
            <v/>
          </cell>
          <cell r="CU366" t="str">
            <v/>
          </cell>
          <cell r="CV366" t="str">
            <v/>
          </cell>
          <cell r="CW366" t="str">
            <v/>
          </cell>
        </row>
        <row r="367">
          <cell r="CN367" t="str">
            <v/>
          </cell>
          <cell r="CO367" t="str">
            <v/>
          </cell>
          <cell r="CT367" t="str">
            <v/>
          </cell>
          <cell r="CU367" t="str">
            <v/>
          </cell>
          <cell r="CV367" t="str">
            <v/>
          </cell>
          <cell r="CW367" t="str">
            <v/>
          </cell>
        </row>
        <row r="368">
          <cell r="CN368" t="str">
            <v/>
          </cell>
          <cell r="CO368" t="str">
            <v/>
          </cell>
          <cell r="CT368" t="str">
            <v/>
          </cell>
          <cell r="CU368" t="str">
            <v/>
          </cell>
          <cell r="CV368" t="str">
            <v/>
          </cell>
          <cell r="CW368" t="str">
            <v/>
          </cell>
        </row>
        <row r="369">
          <cell r="CN369" t="str">
            <v/>
          </cell>
          <cell r="CO369" t="str">
            <v/>
          </cell>
          <cell r="CT369" t="str">
            <v/>
          </cell>
          <cell r="CU369" t="str">
            <v/>
          </cell>
          <cell r="CV369" t="str">
            <v/>
          </cell>
          <cell r="CW369" t="str">
            <v/>
          </cell>
        </row>
        <row r="370">
          <cell r="CN370" t="str">
            <v/>
          </cell>
          <cell r="CO370" t="str">
            <v/>
          </cell>
          <cell r="CT370" t="str">
            <v/>
          </cell>
          <cell r="CU370" t="str">
            <v/>
          </cell>
          <cell r="CV370" t="str">
            <v/>
          </cell>
          <cell r="CW370" t="str">
            <v/>
          </cell>
        </row>
        <row r="371">
          <cell r="CN371" t="str">
            <v/>
          </cell>
          <cell r="CO371" t="str">
            <v/>
          </cell>
          <cell r="CT371" t="str">
            <v/>
          </cell>
          <cell r="CU371" t="str">
            <v/>
          </cell>
          <cell r="CV371" t="str">
            <v/>
          </cell>
          <cell r="CW371" t="str">
            <v/>
          </cell>
        </row>
        <row r="372">
          <cell r="CN372" t="str">
            <v/>
          </cell>
          <cell r="CO372" t="str">
            <v/>
          </cell>
          <cell r="CT372" t="str">
            <v/>
          </cell>
          <cell r="CU372" t="str">
            <v/>
          </cell>
          <cell r="CV372" t="str">
            <v/>
          </cell>
          <cell r="CW372" t="str">
            <v/>
          </cell>
        </row>
        <row r="373">
          <cell r="CN373" t="str">
            <v/>
          </cell>
          <cell r="CO373" t="str">
            <v/>
          </cell>
          <cell r="CT373" t="str">
            <v/>
          </cell>
          <cell r="CU373" t="str">
            <v/>
          </cell>
          <cell r="CV373" t="str">
            <v/>
          </cell>
          <cell r="CW373" t="str">
            <v/>
          </cell>
        </row>
        <row r="374">
          <cell r="CN374" t="str">
            <v/>
          </cell>
          <cell r="CO374" t="str">
            <v/>
          </cell>
          <cell r="CT374" t="str">
            <v/>
          </cell>
          <cell r="CU374" t="str">
            <v/>
          </cell>
          <cell r="CV374" t="str">
            <v/>
          </cell>
          <cell r="CW374" t="str">
            <v/>
          </cell>
        </row>
        <row r="375">
          <cell r="CN375" t="str">
            <v/>
          </cell>
          <cell r="CO375" t="str">
            <v/>
          </cell>
          <cell r="CT375" t="str">
            <v/>
          </cell>
          <cell r="CU375" t="str">
            <v/>
          </cell>
          <cell r="CV375" t="str">
            <v/>
          </cell>
          <cell r="CW375" t="str">
            <v/>
          </cell>
        </row>
        <row r="376">
          <cell r="CN376" t="str">
            <v/>
          </cell>
          <cell r="CO376" t="str">
            <v/>
          </cell>
          <cell r="CT376" t="str">
            <v/>
          </cell>
          <cell r="CU376" t="str">
            <v/>
          </cell>
          <cell r="CV376" t="str">
            <v/>
          </cell>
          <cell r="CW376" t="str">
            <v/>
          </cell>
        </row>
        <row r="377">
          <cell r="CN377" t="str">
            <v/>
          </cell>
          <cell r="CO377" t="str">
            <v/>
          </cell>
          <cell r="CT377" t="str">
            <v/>
          </cell>
          <cell r="CU377" t="str">
            <v/>
          </cell>
          <cell r="CV377" t="str">
            <v/>
          </cell>
          <cell r="CW377" t="str">
            <v/>
          </cell>
        </row>
        <row r="378">
          <cell r="CN378" t="str">
            <v/>
          </cell>
          <cell r="CO378" t="str">
            <v/>
          </cell>
          <cell r="CT378" t="str">
            <v/>
          </cell>
          <cell r="CU378" t="str">
            <v/>
          </cell>
          <cell r="CV378" t="str">
            <v/>
          </cell>
          <cell r="CW378" t="str">
            <v/>
          </cell>
        </row>
        <row r="379">
          <cell r="CN379" t="str">
            <v/>
          </cell>
          <cell r="CO379" t="str">
            <v/>
          </cell>
          <cell r="CT379" t="str">
            <v/>
          </cell>
          <cell r="CU379" t="str">
            <v/>
          </cell>
          <cell r="CV379" t="str">
            <v/>
          </cell>
          <cell r="CW379" t="str">
            <v/>
          </cell>
        </row>
        <row r="380">
          <cell r="CN380" t="str">
            <v/>
          </cell>
          <cell r="CO380" t="str">
            <v/>
          </cell>
          <cell r="CT380" t="str">
            <v/>
          </cell>
          <cell r="CU380" t="str">
            <v/>
          </cell>
          <cell r="CV380" t="str">
            <v/>
          </cell>
          <cell r="CW380" t="str">
            <v/>
          </cell>
        </row>
        <row r="381">
          <cell r="CN381" t="str">
            <v/>
          </cell>
          <cell r="CO381" t="str">
            <v/>
          </cell>
          <cell r="CT381" t="str">
            <v/>
          </cell>
          <cell r="CU381" t="str">
            <v/>
          </cell>
          <cell r="CV381" t="str">
            <v/>
          </cell>
          <cell r="CW381" t="str">
            <v/>
          </cell>
        </row>
        <row r="382">
          <cell r="CN382" t="str">
            <v/>
          </cell>
          <cell r="CO382" t="str">
            <v/>
          </cell>
          <cell r="CT382" t="str">
            <v/>
          </cell>
          <cell r="CU382" t="str">
            <v/>
          </cell>
          <cell r="CV382" t="str">
            <v/>
          </cell>
          <cell r="CW382" t="str">
            <v/>
          </cell>
        </row>
        <row r="383">
          <cell r="CN383" t="str">
            <v/>
          </cell>
          <cell r="CO383" t="str">
            <v/>
          </cell>
          <cell r="CT383" t="str">
            <v/>
          </cell>
          <cell r="CU383" t="str">
            <v/>
          </cell>
          <cell r="CV383" t="str">
            <v/>
          </cell>
          <cell r="CW383" t="str">
            <v/>
          </cell>
        </row>
        <row r="384">
          <cell r="CN384" t="str">
            <v/>
          </cell>
          <cell r="CO384" t="str">
            <v/>
          </cell>
          <cell r="CT384" t="str">
            <v/>
          </cell>
          <cell r="CU384" t="str">
            <v/>
          </cell>
          <cell r="CV384" t="str">
            <v/>
          </cell>
          <cell r="CW384" t="str">
            <v/>
          </cell>
        </row>
        <row r="385">
          <cell r="CN385" t="str">
            <v/>
          </cell>
          <cell r="CO385" t="str">
            <v/>
          </cell>
          <cell r="CT385" t="str">
            <v/>
          </cell>
          <cell r="CU385" t="str">
            <v/>
          </cell>
          <cell r="CV385" t="str">
            <v/>
          </cell>
          <cell r="CW385" t="str">
            <v/>
          </cell>
        </row>
        <row r="386">
          <cell r="CN386" t="str">
            <v/>
          </cell>
          <cell r="CO386" t="str">
            <v/>
          </cell>
          <cell r="CT386" t="str">
            <v/>
          </cell>
          <cell r="CU386" t="str">
            <v/>
          </cell>
          <cell r="CV386" t="str">
            <v/>
          </cell>
          <cell r="CW386" t="str">
            <v/>
          </cell>
        </row>
        <row r="387">
          <cell r="CN387" t="str">
            <v/>
          </cell>
          <cell r="CO387" t="str">
            <v/>
          </cell>
          <cell r="CT387" t="str">
            <v/>
          </cell>
          <cell r="CU387" t="str">
            <v/>
          </cell>
          <cell r="CV387" t="str">
            <v/>
          </cell>
          <cell r="CW387" t="str">
            <v/>
          </cell>
        </row>
        <row r="388">
          <cell r="CN388" t="str">
            <v/>
          </cell>
          <cell r="CO388" t="str">
            <v/>
          </cell>
          <cell r="CT388" t="str">
            <v/>
          </cell>
          <cell r="CU388" t="str">
            <v/>
          </cell>
          <cell r="CV388" t="str">
            <v/>
          </cell>
          <cell r="CW388" t="str">
            <v/>
          </cell>
        </row>
        <row r="389">
          <cell r="CN389" t="str">
            <v/>
          </cell>
          <cell r="CO389" t="str">
            <v/>
          </cell>
          <cell r="CT389" t="str">
            <v/>
          </cell>
          <cell r="CU389" t="str">
            <v/>
          </cell>
          <cell r="CV389" t="str">
            <v/>
          </cell>
          <cell r="CW389" t="str">
            <v/>
          </cell>
        </row>
        <row r="390">
          <cell r="CN390" t="str">
            <v/>
          </cell>
          <cell r="CO390" t="str">
            <v/>
          </cell>
          <cell r="CT390" t="str">
            <v/>
          </cell>
          <cell r="CU390" t="str">
            <v/>
          </cell>
          <cell r="CV390" t="str">
            <v/>
          </cell>
          <cell r="CW390" t="str">
            <v/>
          </cell>
        </row>
        <row r="391">
          <cell r="CN391" t="str">
            <v/>
          </cell>
          <cell r="CO391" t="str">
            <v/>
          </cell>
          <cell r="CT391" t="str">
            <v/>
          </cell>
          <cell r="CU391" t="str">
            <v/>
          </cell>
          <cell r="CV391" t="str">
            <v/>
          </cell>
          <cell r="CW391" t="str">
            <v/>
          </cell>
        </row>
        <row r="392">
          <cell r="CN392" t="str">
            <v/>
          </cell>
          <cell r="CO392" t="str">
            <v/>
          </cell>
          <cell r="CT392" t="str">
            <v/>
          </cell>
          <cell r="CU392" t="str">
            <v/>
          </cell>
          <cell r="CV392" t="str">
            <v/>
          </cell>
          <cell r="CW392" t="str">
            <v/>
          </cell>
        </row>
        <row r="393">
          <cell r="CN393" t="str">
            <v/>
          </cell>
          <cell r="CO393" t="str">
            <v/>
          </cell>
          <cell r="CT393" t="str">
            <v/>
          </cell>
          <cell r="CU393" t="str">
            <v/>
          </cell>
          <cell r="CV393" t="str">
            <v/>
          </cell>
          <cell r="CW393" t="str">
            <v/>
          </cell>
        </row>
        <row r="394">
          <cell r="CN394" t="str">
            <v/>
          </cell>
          <cell r="CO394" t="str">
            <v/>
          </cell>
          <cell r="CT394" t="str">
            <v/>
          </cell>
          <cell r="CU394" t="str">
            <v/>
          </cell>
          <cell r="CV394" t="str">
            <v/>
          </cell>
          <cell r="CW394" t="str">
            <v/>
          </cell>
        </row>
        <row r="395">
          <cell r="CN395" t="str">
            <v/>
          </cell>
          <cell r="CO395" t="str">
            <v/>
          </cell>
          <cell r="CT395" t="str">
            <v/>
          </cell>
          <cell r="CU395" t="str">
            <v/>
          </cell>
          <cell r="CV395" t="str">
            <v/>
          </cell>
          <cell r="CW395" t="str">
            <v/>
          </cell>
        </row>
        <row r="396">
          <cell r="CN396" t="str">
            <v/>
          </cell>
          <cell r="CO396" t="str">
            <v/>
          </cell>
          <cell r="CT396" t="str">
            <v/>
          </cell>
          <cell r="CU396" t="str">
            <v/>
          </cell>
          <cell r="CV396" t="str">
            <v/>
          </cell>
          <cell r="CW396" t="str">
            <v/>
          </cell>
        </row>
        <row r="397">
          <cell r="CN397" t="str">
            <v/>
          </cell>
          <cell r="CO397" t="str">
            <v/>
          </cell>
          <cell r="CT397" t="str">
            <v/>
          </cell>
          <cell r="CU397" t="str">
            <v/>
          </cell>
          <cell r="CV397" t="str">
            <v/>
          </cell>
          <cell r="CW397" t="str">
            <v/>
          </cell>
        </row>
        <row r="398">
          <cell r="CN398" t="str">
            <v/>
          </cell>
          <cell r="CO398" t="str">
            <v/>
          </cell>
          <cell r="CT398" t="str">
            <v/>
          </cell>
          <cell r="CU398" t="str">
            <v/>
          </cell>
          <cell r="CV398" t="str">
            <v/>
          </cell>
          <cell r="CW398" t="str">
            <v/>
          </cell>
        </row>
        <row r="399">
          <cell r="CN399" t="str">
            <v/>
          </cell>
          <cell r="CO399" t="str">
            <v/>
          </cell>
          <cell r="CT399" t="str">
            <v/>
          </cell>
          <cell r="CU399" t="str">
            <v/>
          </cell>
          <cell r="CV399" t="str">
            <v/>
          </cell>
          <cell r="CW399" t="str">
            <v/>
          </cell>
        </row>
        <row r="400">
          <cell r="CN400" t="str">
            <v/>
          </cell>
          <cell r="CO400" t="str">
            <v/>
          </cell>
          <cell r="CT400" t="str">
            <v/>
          </cell>
          <cell r="CU400" t="str">
            <v/>
          </cell>
          <cell r="CV400" t="str">
            <v/>
          </cell>
          <cell r="CW400" t="str">
            <v/>
          </cell>
        </row>
        <row r="401">
          <cell r="CN401" t="str">
            <v/>
          </cell>
          <cell r="CO401" t="str">
            <v/>
          </cell>
          <cell r="CT401" t="str">
            <v/>
          </cell>
          <cell r="CU401" t="str">
            <v/>
          </cell>
          <cell r="CV401" t="str">
            <v/>
          </cell>
          <cell r="CW401" t="str">
            <v/>
          </cell>
        </row>
        <row r="402">
          <cell r="CN402" t="str">
            <v/>
          </cell>
          <cell r="CO402" t="str">
            <v/>
          </cell>
          <cell r="CT402" t="str">
            <v/>
          </cell>
          <cell r="CU402" t="str">
            <v/>
          </cell>
          <cell r="CV402" t="str">
            <v/>
          </cell>
          <cell r="CW402" t="str">
            <v/>
          </cell>
        </row>
        <row r="403">
          <cell r="CN403" t="str">
            <v/>
          </cell>
          <cell r="CO403" t="str">
            <v/>
          </cell>
          <cell r="CT403" t="str">
            <v/>
          </cell>
          <cell r="CU403" t="str">
            <v/>
          </cell>
          <cell r="CV403" t="str">
            <v/>
          </cell>
          <cell r="CW403" t="str">
            <v/>
          </cell>
        </row>
        <row r="404">
          <cell r="CN404" t="str">
            <v/>
          </cell>
          <cell r="CO404" t="str">
            <v/>
          </cell>
          <cell r="CT404" t="str">
            <v/>
          </cell>
          <cell r="CU404" t="str">
            <v/>
          </cell>
          <cell r="CV404" t="str">
            <v/>
          </cell>
          <cell r="CW404" t="str">
            <v/>
          </cell>
        </row>
        <row r="405">
          <cell r="CN405" t="str">
            <v/>
          </cell>
          <cell r="CO405" t="str">
            <v/>
          </cell>
          <cell r="CT405" t="str">
            <v/>
          </cell>
          <cell r="CU405" t="str">
            <v/>
          </cell>
          <cell r="CV405" t="str">
            <v/>
          </cell>
          <cell r="CW405" t="str">
            <v/>
          </cell>
        </row>
        <row r="406">
          <cell r="CN406" t="str">
            <v/>
          </cell>
          <cell r="CO406" t="str">
            <v/>
          </cell>
          <cell r="CT406" t="str">
            <v/>
          </cell>
          <cell r="CU406" t="str">
            <v/>
          </cell>
          <cell r="CV406" t="str">
            <v/>
          </cell>
          <cell r="CW406" t="str">
            <v/>
          </cell>
        </row>
        <row r="407">
          <cell r="CN407" t="str">
            <v/>
          </cell>
          <cell r="CO407" t="str">
            <v/>
          </cell>
          <cell r="CT407" t="str">
            <v/>
          </cell>
          <cell r="CU407" t="str">
            <v/>
          </cell>
          <cell r="CV407" t="str">
            <v/>
          </cell>
          <cell r="CW407" t="str">
            <v/>
          </cell>
        </row>
        <row r="408">
          <cell r="CN408" t="str">
            <v/>
          </cell>
          <cell r="CO408" t="str">
            <v/>
          </cell>
          <cell r="CT408" t="str">
            <v/>
          </cell>
          <cell r="CU408" t="str">
            <v/>
          </cell>
          <cell r="CV408" t="str">
            <v/>
          </cell>
          <cell r="CW408" t="str">
            <v/>
          </cell>
        </row>
        <row r="409">
          <cell r="CN409" t="str">
            <v/>
          </cell>
          <cell r="CO409" t="str">
            <v/>
          </cell>
          <cell r="CT409" t="str">
            <v/>
          </cell>
          <cell r="CU409" t="str">
            <v/>
          </cell>
          <cell r="CV409" t="str">
            <v/>
          </cell>
          <cell r="CW409" t="str">
            <v/>
          </cell>
        </row>
        <row r="410">
          <cell r="CN410" t="str">
            <v/>
          </cell>
          <cell r="CO410" t="str">
            <v/>
          </cell>
          <cell r="CT410" t="str">
            <v/>
          </cell>
          <cell r="CU410" t="str">
            <v/>
          </cell>
          <cell r="CV410" t="str">
            <v/>
          </cell>
          <cell r="CW410" t="str">
            <v/>
          </cell>
        </row>
        <row r="411">
          <cell r="CN411" t="str">
            <v/>
          </cell>
          <cell r="CO411" t="str">
            <v/>
          </cell>
          <cell r="CT411" t="str">
            <v/>
          </cell>
          <cell r="CU411" t="str">
            <v/>
          </cell>
          <cell r="CV411" t="str">
            <v/>
          </cell>
          <cell r="CW411" t="str">
            <v/>
          </cell>
        </row>
        <row r="412">
          <cell r="CN412" t="str">
            <v/>
          </cell>
          <cell r="CO412" t="str">
            <v/>
          </cell>
          <cell r="CT412" t="str">
            <v/>
          </cell>
          <cell r="CU412" t="str">
            <v/>
          </cell>
          <cell r="CV412" t="str">
            <v/>
          </cell>
          <cell r="CW412" t="str">
            <v/>
          </cell>
        </row>
        <row r="413">
          <cell r="CN413" t="str">
            <v/>
          </cell>
          <cell r="CO413" t="str">
            <v/>
          </cell>
          <cell r="CT413" t="str">
            <v/>
          </cell>
          <cell r="CU413" t="str">
            <v/>
          </cell>
          <cell r="CV413" t="str">
            <v/>
          </cell>
          <cell r="CW413" t="str">
            <v/>
          </cell>
        </row>
        <row r="414">
          <cell r="CN414" t="str">
            <v/>
          </cell>
          <cell r="CO414" t="str">
            <v/>
          </cell>
          <cell r="CT414" t="str">
            <v/>
          </cell>
          <cell r="CU414" t="str">
            <v/>
          </cell>
          <cell r="CV414" t="str">
            <v/>
          </cell>
          <cell r="CW414" t="str">
            <v/>
          </cell>
        </row>
        <row r="415">
          <cell r="CN415" t="str">
            <v/>
          </cell>
          <cell r="CO415" t="str">
            <v/>
          </cell>
          <cell r="CT415" t="str">
            <v/>
          </cell>
          <cell r="CU415" t="str">
            <v/>
          </cell>
          <cell r="CV415" t="str">
            <v/>
          </cell>
          <cell r="CW415" t="str">
            <v/>
          </cell>
        </row>
        <row r="416">
          <cell r="CN416" t="str">
            <v/>
          </cell>
          <cell r="CO416" t="str">
            <v/>
          </cell>
          <cell r="CT416" t="str">
            <v/>
          </cell>
          <cell r="CU416" t="str">
            <v/>
          </cell>
          <cell r="CV416" t="str">
            <v/>
          </cell>
          <cell r="CW416" t="str">
            <v/>
          </cell>
        </row>
        <row r="417">
          <cell r="CN417" t="str">
            <v/>
          </cell>
          <cell r="CO417" t="str">
            <v/>
          </cell>
          <cell r="CT417" t="str">
            <v/>
          </cell>
          <cell r="CU417" t="str">
            <v/>
          </cell>
          <cell r="CV417" t="str">
            <v/>
          </cell>
          <cell r="CW417" t="str">
            <v/>
          </cell>
        </row>
        <row r="418">
          <cell r="CN418" t="str">
            <v/>
          </cell>
          <cell r="CO418" t="str">
            <v/>
          </cell>
          <cell r="CT418" t="str">
            <v/>
          </cell>
          <cell r="CU418" t="str">
            <v/>
          </cell>
          <cell r="CV418" t="str">
            <v/>
          </cell>
          <cell r="CW418" t="str">
            <v/>
          </cell>
        </row>
        <row r="419">
          <cell r="CN419" t="str">
            <v/>
          </cell>
          <cell r="CO419" t="str">
            <v/>
          </cell>
          <cell r="CT419" t="str">
            <v/>
          </cell>
          <cell r="CU419" t="str">
            <v/>
          </cell>
          <cell r="CV419" t="str">
            <v/>
          </cell>
          <cell r="CW419" t="str">
            <v/>
          </cell>
        </row>
        <row r="420">
          <cell r="CN420" t="str">
            <v/>
          </cell>
          <cell r="CO420" t="str">
            <v/>
          </cell>
          <cell r="CT420" t="str">
            <v/>
          </cell>
          <cell r="CU420" t="str">
            <v/>
          </cell>
          <cell r="CV420" t="str">
            <v/>
          </cell>
          <cell r="CW420" t="str">
            <v/>
          </cell>
        </row>
        <row r="421">
          <cell r="CN421" t="str">
            <v/>
          </cell>
          <cell r="CO421" t="str">
            <v/>
          </cell>
          <cell r="CT421" t="str">
            <v/>
          </cell>
          <cell r="CU421" t="str">
            <v/>
          </cell>
          <cell r="CV421" t="str">
            <v/>
          </cell>
          <cell r="CW421" t="str">
            <v/>
          </cell>
        </row>
        <row r="422">
          <cell r="CN422" t="str">
            <v/>
          </cell>
          <cell r="CO422" t="str">
            <v/>
          </cell>
          <cell r="CT422" t="str">
            <v/>
          </cell>
          <cell r="CU422" t="str">
            <v/>
          </cell>
          <cell r="CV422" t="str">
            <v/>
          </cell>
          <cell r="CW422" t="str">
            <v/>
          </cell>
        </row>
        <row r="423">
          <cell r="CN423" t="str">
            <v/>
          </cell>
          <cell r="CO423" t="str">
            <v/>
          </cell>
          <cell r="CT423" t="str">
            <v/>
          </cell>
          <cell r="CU423" t="str">
            <v/>
          </cell>
          <cell r="CV423" t="str">
            <v/>
          </cell>
          <cell r="CW423" t="str">
            <v/>
          </cell>
        </row>
        <row r="424">
          <cell r="CN424" t="str">
            <v/>
          </cell>
          <cell r="CO424" t="str">
            <v/>
          </cell>
          <cell r="CT424" t="str">
            <v/>
          </cell>
          <cell r="CU424" t="str">
            <v/>
          </cell>
          <cell r="CV424" t="str">
            <v/>
          </cell>
          <cell r="CW424" t="str">
            <v/>
          </cell>
        </row>
        <row r="425">
          <cell r="CN425" t="str">
            <v/>
          </cell>
          <cell r="CO425" t="str">
            <v/>
          </cell>
          <cell r="CT425" t="str">
            <v/>
          </cell>
          <cell r="CU425" t="str">
            <v/>
          </cell>
          <cell r="CV425" t="str">
            <v/>
          </cell>
          <cell r="CW425" t="str">
            <v/>
          </cell>
        </row>
        <row r="426">
          <cell r="CN426" t="str">
            <v/>
          </cell>
          <cell r="CO426" t="str">
            <v/>
          </cell>
          <cell r="CT426" t="str">
            <v/>
          </cell>
          <cell r="CU426" t="str">
            <v/>
          </cell>
          <cell r="CV426" t="str">
            <v/>
          </cell>
          <cell r="CW426" t="str">
            <v/>
          </cell>
        </row>
        <row r="427">
          <cell r="CN427" t="str">
            <v/>
          </cell>
          <cell r="CO427" t="str">
            <v/>
          </cell>
          <cell r="CT427" t="str">
            <v/>
          </cell>
          <cell r="CU427" t="str">
            <v/>
          </cell>
          <cell r="CV427" t="str">
            <v/>
          </cell>
          <cell r="CW427" t="str">
            <v/>
          </cell>
        </row>
        <row r="428">
          <cell r="CN428" t="str">
            <v/>
          </cell>
          <cell r="CO428" t="str">
            <v/>
          </cell>
          <cell r="CT428" t="str">
            <v/>
          </cell>
          <cell r="CU428" t="str">
            <v/>
          </cell>
          <cell r="CV428" t="str">
            <v/>
          </cell>
          <cell r="CW428" t="str">
            <v/>
          </cell>
        </row>
        <row r="429">
          <cell r="CN429" t="str">
            <v/>
          </cell>
          <cell r="CO429" t="str">
            <v/>
          </cell>
          <cell r="CT429" t="str">
            <v/>
          </cell>
          <cell r="CU429" t="str">
            <v/>
          </cell>
          <cell r="CV429" t="str">
            <v/>
          </cell>
          <cell r="CW429" t="str">
            <v/>
          </cell>
        </row>
        <row r="430">
          <cell r="CN430" t="str">
            <v/>
          </cell>
          <cell r="CO430" t="str">
            <v/>
          </cell>
          <cell r="CT430" t="str">
            <v/>
          </cell>
          <cell r="CU430" t="str">
            <v/>
          </cell>
          <cell r="CV430" t="str">
            <v/>
          </cell>
          <cell r="CW430" t="str">
            <v/>
          </cell>
        </row>
        <row r="431">
          <cell r="CN431" t="str">
            <v/>
          </cell>
          <cell r="CO431" t="str">
            <v/>
          </cell>
          <cell r="CT431" t="str">
            <v/>
          </cell>
          <cell r="CU431" t="str">
            <v/>
          </cell>
          <cell r="CV431" t="str">
            <v/>
          </cell>
          <cell r="CW431" t="str">
            <v/>
          </cell>
        </row>
        <row r="432">
          <cell r="CN432" t="str">
            <v/>
          </cell>
          <cell r="CO432" t="str">
            <v/>
          </cell>
          <cell r="CT432" t="str">
            <v/>
          </cell>
          <cell r="CU432" t="str">
            <v/>
          </cell>
          <cell r="CV432" t="str">
            <v/>
          </cell>
          <cell r="CW432" t="str">
            <v/>
          </cell>
        </row>
        <row r="433">
          <cell r="CN433" t="str">
            <v/>
          </cell>
          <cell r="CO433" t="str">
            <v/>
          </cell>
          <cell r="CT433" t="str">
            <v/>
          </cell>
          <cell r="CU433" t="str">
            <v/>
          </cell>
          <cell r="CV433" t="str">
            <v/>
          </cell>
          <cell r="CW433" t="str">
            <v/>
          </cell>
        </row>
        <row r="434">
          <cell r="CN434" t="str">
            <v/>
          </cell>
          <cell r="CO434" t="str">
            <v/>
          </cell>
          <cell r="CT434" t="str">
            <v/>
          </cell>
          <cell r="CU434" t="str">
            <v/>
          </cell>
          <cell r="CV434" t="str">
            <v/>
          </cell>
          <cell r="CW434" t="str">
            <v/>
          </cell>
        </row>
        <row r="435">
          <cell r="CN435" t="str">
            <v/>
          </cell>
          <cell r="CO435" t="str">
            <v/>
          </cell>
          <cell r="CT435" t="str">
            <v/>
          </cell>
          <cell r="CU435" t="str">
            <v/>
          </cell>
          <cell r="CV435" t="str">
            <v/>
          </cell>
          <cell r="CW435" t="str">
            <v/>
          </cell>
        </row>
        <row r="436">
          <cell r="CN436" t="str">
            <v/>
          </cell>
          <cell r="CO436" t="str">
            <v/>
          </cell>
          <cell r="CT436" t="str">
            <v/>
          </cell>
          <cell r="CU436" t="str">
            <v/>
          </cell>
          <cell r="CV436" t="str">
            <v/>
          </cell>
          <cell r="CW436" t="str">
            <v/>
          </cell>
        </row>
        <row r="437">
          <cell r="CN437" t="str">
            <v/>
          </cell>
          <cell r="CO437" t="str">
            <v/>
          </cell>
          <cell r="CT437" t="str">
            <v/>
          </cell>
          <cell r="CU437" t="str">
            <v/>
          </cell>
          <cell r="CV437" t="str">
            <v/>
          </cell>
          <cell r="CW437" t="str">
            <v/>
          </cell>
        </row>
        <row r="438">
          <cell r="CN438" t="str">
            <v/>
          </cell>
          <cell r="CO438" t="str">
            <v/>
          </cell>
          <cell r="CT438" t="str">
            <v/>
          </cell>
          <cell r="CU438" t="str">
            <v/>
          </cell>
          <cell r="CV438" t="str">
            <v/>
          </cell>
          <cell r="CW438" t="str">
            <v/>
          </cell>
        </row>
        <row r="439">
          <cell r="CN439" t="str">
            <v/>
          </cell>
          <cell r="CO439" t="str">
            <v/>
          </cell>
          <cell r="CT439" t="str">
            <v/>
          </cell>
          <cell r="CU439" t="str">
            <v/>
          </cell>
          <cell r="CV439" t="str">
            <v/>
          </cell>
          <cell r="CW439" t="str">
            <v/>
          </cell>
        </row>
        <row r="440">
          <cell r="CN440" t="str">
            <v/>
          </cell>
          <cell r="CO440" t="str">
            <v/>
          </cell>
          <cell r="CT440" t="str">
            <v/>
          </cell>
          <cell r="CU440" t="str">
            <v/>
          </cell>
          <cell r="CV440" t="str">
            <v/>
          </cell>
          <cell r="CW440" t="str">
            <v/>
          </cell>
        </row>
        <row r="441">
          <cell r="CN441" t="str">
            <v/>
          </cell>
          <cell r="CO441" t="str">
            <v/>
          </cell>
          <cell r="CT441" t="str">
            <v/>
          </cell>
          <cell r="CU441" t="str">
            <v/>
          </cell>
          <cell r="CV441" t="str">
            <v/>
          </cell>
          <cell r="CW441" t="str">
            <v/>
          </cell>
        </row>
        <row r="442">
          <cell r="CN442" t="str">
            <v/>
          </cell>
          <cell r="CO442" t="str">
            <v/>
          </cell>
          <cell r="CT442" t="str">
            <v/>
          </cell>
          <cell r="CU442" t="str">
            <v/>
          </cell>
          <cell r="CV442" t="str">
            <v/>
          </cell>
          <cell r="CW442" t="str">
            <v/>
          </cell>
        </row>
        <row r="443">
          <cell r="CN443" t="str">
            <v/>
          </cell>
          <cell r="CO443" t="str">
            <v/>
          </cell>
          <cell r="CT443" t="str">
            <v/>
          </cell>
          <cell r="CU443" t="str">
            <v/>
          </cell>
          <cell r="CV443" t="str">
            <v/>
          </cell>
          <cell r="CW443" t="str">
            <v/>
          </cell>
        </row>
        <row r="444">
          <cell r="CN444" t="str">
            <v/>
          </cell>
          <cell r="CO444" t="str">
            <v/>
          </cell>
          <cell r="CT444" t="str">
            <v/>
          </cell>
          <cell r="CU444" t="str">
            <v/>
          </cell>
          <cell r="CV444" t="str">
            <v/>
          </cell>
          <cell r="CW444" t="str">
            <v/>
          </cell>
        </row>
        <row r="445">
          <cell r="CN445" t="str">
            <v/>
          </cell>
          <cell r="CO445" t="str">
            <v/>
          </cell>
          <cell r="CT445" t="str">
            <v/>
          </cell>
          <cell r="CU445" t="str">
            <v/>
          </cell>
          <cell r="CV445" t="str">
            <v/>
          </cell>
          <cell r="CW445" t="str">
            <v/>
          </cell>
        </row>
        <row r="446">
          <cell r="CN446" t="str">
            <v/>
          </cell>
          <cell r="CO446" t="str">
            <v/>
          </cell>
          <cell r="CT446" t="str">
            <v/>
          </cell>
          <cell r="CU446" t="str">
            <v/>
          </cell>
          <cell r="CV446" t="str">
            <v/>
          </cell>
          <cell r="CW446" t="str">
            <v/>
          </cell>
        </row>
        <row r="447">
          <cell r="CN447" t="str">
            <v/>
          </cell>
          <cell r="CO447" t="str">
            <v/>
          </cell>
          <cell r="CT447" t="str">
            <v/>
          </cell>
          <cell r="CU447" t="str">
            <v/>
          </cell>
          <cell r="CV447" t="str">
            <v/>
          </cell>
          <cell r="CW447" t="str">
            <v/>
          </cell>
        </row>
        <row r="448">
          <cell r="CN448" t="str">
            <v/>
          </cell>
          <cell r="CO448" t="str">
            <v/>
          </cell>
          <cell r="CT448" t="str">
            <v/>
          </cell>
          <cell r="CU448" t="str">
            <v/>
          </cell>
          <cell r="CV448" t="str">
            <v/>
          </cell>
          <cell r="CW448" t="str">
            <v/>
          </cell>
        </row>
        <row r="449">
          <cell r="CN449" t="str">
            <v/>
          </cell>
          <cell r="CO449" t="str">
            <v/>
          </cell>
          <cell r="CT449" t="str">
            <v/>
          </cell>
          <cell r="CU449" t="str">
            <v/>
          </cell>
          <cell r="CV449" t="str">
            <v/>
          </cell>
          <cell r="CW449" t="str">
            <v/>
          </cell>
        </row>
        <row r="450">
          <cell r="CN450" t="str">
            <v/>
          </cell>
          <cell r="CO450" t="str">
            <v/>
          </cell>
          <cell r="CT450" t="str">
            <v/>
          </cell>
          <cell r="CU450" t="str">
            <v/>
          </cell>
          <cell r="CV450" t="str">
            <v/>
          </cell>
          <cell r="CW450" t="str">
            <v/>
          </cell>
        </row>
        <row r="451">
          <cell r="CN451" t="str">
            <v/>
          </cell>
          <cell r="CO451" t="str">
            <v/>
          </cell>
          <cell r="CT451" t="str">
            <v/>
          </cell>
          <cell r="CU451" t="str">
            <v/>
          </cell>
          <cell r="CV451" t="str">
            <v/>
          </cell>
          <cell r="CW451" t="str">
            <v/>
          </cell>
        </row>
        <row r="452">
          <cell r="CN452" t="str">
            <v/>
          </cell>
          <cell r="CO452" t="str">
            <v/>
          </cell>
          <cell r="CT452" t="str">
            <v/>
          </cell>
          <cell r="CU452" t="str">
            <v/>
          </cell>
          <cell r="CV452" t="str">
            <v/>
          </cell>
          <cell r="CW452" t="str">
            <v/>
          </cell>
        </row>
        <row r="453">
          <cell r="CN453" t="str">
            <v/>
          </cell>
          <cell r="CO453" t="str">
            <v/>
          </cell>
          <cell r="CT453" t="str">
            <v/>
          </cell>
          <cell r="CU453" t="str">
            <v/>
          </cell>
          <cell r="CV453" t="str">
            <v/>
          </cell>
          <cell r="CW453" t="str">
            <v/>
          </cell>
        </row>
        <row r="454">
          <cell r="CN454" t="str">
            <v/>
          </cell>
          <cell r="CO454" t="str">
            <v/>
          </cell>
          <cell r="CT454" t="str">
            <v/>
          </cell>
          <cell r="CU454" t="str">
            <v/>
          </cell>
          <cell r="CV454" t="str">
            <v/>
          </cell>
          <cell r="CW454" t="str">
            <v/>
          </cell>
        </row>
        <row r="455">
          <cell r="CN455" t="str">
            <v/>
          </cell>
          <cell r="CO455" t="str">
            <v/>
          </cell>
          <cell r="CT455" t="str">
            <v/>
          </cell>
          <cell r="CU455" t="str">
            <v/>
          </cell>
          <cell r="CV455" t="str">
            <v/>
          </cell>
          <cell r="CW455" t="str">
            <v/>
          </cell>
        </row>
        <row r="456">
          <cell r="CN456" t="str">
            <v/>
          </cell>
          <cell r="CO456" t="str">
            <v/>
          </cell>
          <cell r="CT456" t="str">
            <v/>
          </cell>
          <cell r="CU456" t="str">
            <v/>
          </cell>
          <cell r="CV456" t="str">
            <v/>
          </cell>
          <cell r="CW456" t="str">
            <v/>
          </cell>
        </row>
        <row r="457">
          <cell r="CN457" t="str">
            <v/>
          </cell>
          <cell r="CO457" t="str">
            <v/>
          </cell>
          <cell r="CT457" t="str">
            <v/>
          </cell>
          <cell r="CU457" t="str">
            <v/>
          </cell>
          <cell r="CV457" t="str">
            <v/>
          </cell>
          <cell r="CW457" t="str">
            <v/>
          </cell>
        </row>
        <row r="458">
          <cell r="CN458" t="str">
            <v/>
          </cell>
          <cell r="CO458" t="str">
            <v/>
          </cell>
          <cell r="CT458" t="str">
            <v/>
          </cell>
          <cell r="CU458" t="str">
            <v/>
          </cell>
          <cell r="CV458" t="str">
            <v/>
          </cell>
          <cell r="CW458" t="str">
            <v/>
          </cell>
        </row>
        <row r="459">
          <cell r="CN459" t="str">
            <v/>
          </cell>
          <cell r="CO459" t="str">
            <v/>
          </cell>
          <cell r="CT459" t="str">
            <v/>
          </cell>
          <cell r="CU459" t="str">
            <v/>
          </cell>
          <cell r="CV459" t="str">
            <v/>
          </cell>
          <cell r="CW459" t="str">
            <v/>
          </cell>
        </row>
        <row r="460">
          <cell r="CN460" t="str">
            <v/>
          </cell>
          <cell r="CO460" t="str">
            <v/>
          </cell>
          <cell r="CT460" t="str">
            <v/>
          </cell>
          <cell r="CU460" t="str">
            <v/>
          </cell>
          <cell r="CV460" t="str">
            <v/>
          </cell>
          <cell r="CW460" t="str">
            <v/>
          </cell>
        </row>
        <row r="461">
          <cell r="CN461" t="str">
            <v/>
          </cell>
          <cell r="CO461" t="str">
            <v/>
          </cell>
          <cell r="CT461" t="str">
            <v/>
          </cell>
          <cell r="CU461" t="str">
            <v/>
          </cell>
          <cell r="CV461" t="str">
            <v/>
          </cell>
          <cell r="CW461" t="str">
            <v/>
          </cell>
        </row>
        <row r="462">
          <cell r="CN462" t="str">
            <v/>
          </cell>
          <cell r="CO462" t="str">
            <v/>
          </cell>
          <cell r="CT462" t="str">
            <v/>
          </cell>
          <cell r="CU462" t="str">
            <v/>
          </cell>
          <cell r="CV462" t="str">
            <v/>
          </cell>
          <cell r="CW462" t="str">
            <v/>
          </cell>
        </row>
        <row r="463">
          <cell r="CN463" t="str">
            <v/>
          </cell>
          <cell r="CO463" t="str">
            <v/>
          </cell>
          <cell r="CT463" t="str">
            <v/>
          </cell>
          <cell r="CU463" t="str">
            <v/>
          </cell>
          <cell r="CV463" t="str">
            <v/>
          </cell>
          <cell r="CW463" t="str">
            <v/>
          </cell>
        </row>
        <row r="464">
          <cell r="CN464" t="str">
            <v/>
          </cell>
          <cell r="CO464" t="str">
            <v/>
          </cell>
          <cell r="CT464" t="str">
            <v/>
          </cell>
          <cell r="CU464" t="str">
            <v/>
          </cell>
          <cell r="CV464" t="str">
            <v/>
          </cell>
          <cell r="CW464" t="str">
            <v/>
          </cell>
        </row>
        <row r="465">
          <cell r="CN465" t="str">
            <v/>
          </cell>
          <cell r="CO465" t="str">
            <v/>
          </cell>
          <cell r="CT465" t="str">
            <v/>
          </cell>
          <cell r="CU465" t="str">
            <v/>
          </cell>
          <cell r="CV465" t="str">
            <v/>
          </cell>
          <cell r="CW465" t="str">
            <v/>
          </cell>
        </row>
        <row r="466">
          <cell r="CN466" t="str">
            <v/>
          </cell>
          <cell r="CO466" t="str">
            <v/>
          </cell>
          <cell r="CT466" t="str">
            <v/>
          </cell>
          <cell r="CU466" t="str">
            <v/>
          </cell>
          <cell r="CV466" t="str">
            <v/>
          </cell>
          <cell r="CW466" t="str">
            <v/>
          </cell>
        </row>
        <row r="467">
          <cell r="CN467" t="str">
            <v/>
          </cell>
          <cell r="CO467" t="str">
            <v/>
          </cell>
          <cell r="CT467" t="str">
            <v/>
          </cell>
          <cell r="CU467" t="str">
            <v/>
          </cell>
          <cell r="CV467" t="str">
            <v/>
          </cell>
          <cell r="CW467" t="str">
            <v/>
          </cell>
        </row>
        <row r="468">
          <cell r="CN468" t="str">
            <v/>
          </cell>
          <cell r="CO468" t="str">
            <v/>
          </cell>
          <cell r="CT468" t="str">
            <v/>
          </cell>
          <cell r="CU468" t="str">
            <v/>
          </cell>
          <cell r="CV468" t="str">
            <v/>
          </cell>
          <cell r="CW468" t="str">
            <v/>
          </cell>
        </row>
        <row r="469">
          <cell r="CN469" t="str">
            <v/>
          </cell>
          <cell r="CO469" t="str">
            <v/>
          </cell>
          <cell r="CT469" t="str">
            <v/>
          </cell>
          <cell r="CU469" t="str">
            <v/>
          </cell>
          <cell r="CV469" t="str">
            <v/>
          </cell>
          <cell r="CW469" t="str">
            <v/>
          </cell>
        </row>
        <row r="470">
          <cell r="CN470" t="str">
            <v/>
          </cell>
          <cell r="CO470" t="str">
            <v/>
          </cell>
          <cell r="CT470" t="str">
            <v/>
          </cell>
          <cell r="CU470" t="str">
            <v/>
          </cell>
          <cell r="CV470" t="str">
            <v/>
          </cell>
          <cell r="CW470" t="str">
            <v/>
          </cell>
        </row>
        <row r="471">
          <cell r="CN471" t="str">
            <v/>
          </cell>
          <cell r="CO471" t="str">
            <v/>
          </cell>
          <cell r="CT471" t="str">
            <v/>
          </cell>
          <cell r="CU471" t="str">
            <v/>
          </cell>
          <cell r="CV471" t="str">
            <v/>
          </cell>
          <cell r="CW471" t="str">
            <v/>
          </cell>
        </row>
        <row r="472">
          <cell r="CN472" t="str">
            <v/>
          </cell>
          <cell r="CO472" t="str">
            <v/>
          </cell>
          <cell r="CT472" t="str">
            <v/>
          </cell>
          <cell r="CU472" t="str">
            <v/>
          </cell>
          <cell r="CV472" t="str">
            <v/>
          </cell>
          <cell r="CW472" t="str">
            <v/>
          </cell>
        </row>
        <row r="473">
          <cell r="CN473" t="str">
            <v/>
          </cell>
          <cell r="CO473" t="str">
            <v/>
          </cell>
          <cell r="CT473" t="str">
            <v/>
          </cell>
          <cell r="CU473" t="str">
            <v/>
          </cell>
          <cell r="CV473" t="str">
            <v/>
          </cell>
          <cell r="CW473" t="str">
            <v/>
          </cell>
        </row>
        <row r="474">
          <cell r="CN474" t="str">
            <v/>
          </cell>
          <cell r="CO474" t="str">
            <v/>
          </cell>
          <cell r="CT474" t="str">
            <v/>
          </cell>
          <cell r="CU474" t="str">
            <v/>
          </cell>
          <cell r="CV474" t="str">
            <v/>
          </cell>
          <cell r="CW474" t="str">
            <v/>
          </cell>
        </row>
        <row r="475">
          <cell r="CN475" t="str">
            <v/>
          </cell>
          <cell r="CO475" t="str">
            <v/>
          </cell>
          <cell r="CT475" t="str">
            <v/>
          </cell>
          <cell r="CU475" t="str">
            <v/>
          </cell>
          <cell r="CV475" t="str">
            <v/>
          </cell>
          <cell r="CW475" t="str">
            <v/>
          </cell>
        </row>
        <row r="476">
          <cell r="CN476" t="str">
            <v/>
          </cell>
          <cell r="CO476" t="str">
            <v/>
          </cell>
          <cell r="CT476" t="str">
            <v/>
          </cell>
          <cell r="CU476" t="str">
            <v/>
          </cell>
          <cell r="CV476" t="str">
            <v/>
          </cell>
          <cell r="CW476" t="str">
            <v/>
          </cell>
        </row>
        <row r="477">
          <cell r="CN477" t="str">
            <v/>
          </cell>
          <cell r="CO477" t="str">
            <v/>
          </cell>
          <cell r="CT477" t="str">
            <v/>
          </cell>
          <cell r="CU477" t="str">
            <v/>
          </cell>
          <cell r="CV477" t="str">
            <v/>
          </cell>
          <cell r="CW477" t="str">
            <v/>
          </cell>
        </row>
        <row r="478">
          <cell r="CN478" t="str">
            <v/>
          </cell>
          <cell r="CO478" t="str">
            <v/>
          </cell>
          <cell r="CT478" t="str">
            <v/>
          </cell>
          <cell r="CU478" t="str">
            <v/>
          </cell>
          <cell r="CV478" t="str">
            <v/>
          </cell>
          <cell r="CW478" t="str">
            <v/>
          </cell>
        </row>
        <row r="479">
          <cell r="CN479" t="str">
            <v/>
          </cell>
          <cell r="CO479" t="str">
            <v/>
          </cell>
          <cell r="CT479" t="str">
            <v/>
          </cell>
          <cell r="CU479" t="str">
            <v/>
          </cell>
          <cell r="CV479" t="str">
            <v/>
          </cell>
          <cell r="CW479" t="str">
            <v/>
          </cell>
        </row>
        <row r="480">
          <cell r="CN480" t="str">
            <v/>
          </cell>
          <cell r="CO480" t="str">
            <v/>
          </cell>
          <cell r="CT480" t="str">
            <v/>
          </cell>
          <cell r="CU480" t="str">
            <v/>
          </cell>
          <cell r="CV480" t="str">
            <v/>
          </cell>
          <cell r="CW480" t="str">
            <v/>
          </cell>
        </row>
        <row r="481">
          <cell r="CN481" t="str">
            <v/>
          </cell>
          <cell r="CO481" t="str">
            <v/>
          </cell>
          <cell r="CT481" t="str">
            <v/>
          </cell>
          <cell r="CU481" t="str">
            <v/>
          </cell>
          <cell r="CV481" t="str">
            <v/>
          </cell>
          <cell r="CW481" t="str">
            <v/>
          </cell>
        </row>
        <row r="482">
          <cell r="CN482" t="str">
            <v/>
          </cell>
          <cell r="CO482" t="str">
            <v/>
          </cell>
          <cell r="CT482" t="str">
            <v/>
          </cell>
          <cell r="CU482" t="str">
            <v/>
          </cell>
          <cell r="CV482" t="str">
            <v/>
          </cell>
          <cell r="CW482" t="str">
            <v/>
          </cell>
        </row>
        <row r="483">
          <cell r="CN483" t="str">
            <v/>
          </cell>
          <cell r="CO483" t="str">
            <v/>
          </cell>
          <cell r="CT483" t="str">
            <v/>
          </cell>
          <cell r="CU483" t="str">
            <v/>
          </cell>
          <cell r="CV483" t="str">
            <v/>
          </cell>
          <cell r="CW483" t="str">
            <v/>
          </cell>
        </row>
        <row r="484">
          <cell r="CN484" t="str">
            <v/>
          </cell>
          <cell r="CO484" t="str">
            <v/>
          </cell>
          <cell r="CT484" t="str">
            <v/>
          </cell>
          <cell r="CU484" t="str">
            <v/>
          </cell>
          <cell r="CV484" t="str">
            <v/>
          </cell>
          <cell r="CW484" t="str">
            <v/>
          </cell>
        </row>
        <row r="485">
          <cell r="CN485" t="str">
            <v/>
          </cell>
          <cell r="CO485" t="str">
            <v/>
          </cell>
          <cell r="CT485" t="str">
            <v/>
          </cell>
          <cell r="CU485" t="str">
            <v/>
          </cell>
          <cell r="CV485" t="str">
            <v/>
          </cell>
          <cell r="CW485" t="str">
            <v/>
          </cell>
        </row>
        <row r="486">
          <cell r="CN486" t="str">
            <v/>
          </cell>
          <cell r="CO486" t="str">
            <v/>
          </cell>
          <cell r="CT486" t="str">
            <v/>
          </cell>
          <cell r="CU486" t="str">
            <v/>
          </cell>
          <cell r="CV486" t="str">
            <v/>
          </cell>
          <cell r="CW486" t="str">
            <v/>
          </cell>
        </row>
        <row r="487">
          <cell r="CN487" t="str">
            <v/>
          </cell>
          <cell r="CO487" t="str">
            <v/>
          </cell>
          <cell r="CT487" t="str">
            <v/>
          </cell>
          <cell r="CU487" t="str">
            <v/>
          </cell>
          <cell r="CV487" t="str">
            <v/>
          </cell>
          <cell r="CW487" t="str">
            <v/>
          </cell>
        </row>
        <row r="488">
          <cell r="CN488" t="str">
            <v/>
          </cell>
          <cell r="CO488" t="str">
            <v/>
          </cell>
          <cell r="CT488" t="str">
            <v/>
          </cell>
          <cell r="CU488" t="str">
            <v/>
          </cell>
          <cell r="CV488" t="str">
            <v/>
          </cell>
          <cell r="CW488" t="str">
            <v/>
          </cell>
        </row>
        <row r="489">
          <cell r="CN489" t="str">
            <v/>
          </cell>
          <cell r="CO489" t="str">
            <v/>
          </cell>
          <cell r="CT489" t="str">
            <v/>
          </cell>
          <cell r="CU489" t="str">
            <v/>
          </cell>
          <cell r="CV489" t="str">
            <v/>
          </cell>
          <cell r="CW489" t="str">
            <v/>
          </cell>
        </row>
        <row r="490">
          <cell r="CN490" t="str">
            <v/>
          </cell>
          <cell r="CO490" t="str">
            <v/>
          </cell>
          <cell r="CT490" t="str">
            <v/>
          </cell>
          <cell r="CU490" t="str">
            <v/>
          </cell>
          <cell r="CV490" t="str">
            <v/>
          </cell>
          <cell r="CW490" t="str">
            <v/>
          </cell>
        </row>
        <row r="491">
          <cell r="CN491" t="str">
            <v/>
          </cell>
          <cell r="CO491" t="str">
            <v/>
          </cell>
          <cell r="CT491" t="str">
            <v/>
          </cell>
          <cell r="CU491" t="str">
            <v/>
          </cell>
          <cell r="CV491" t="str">
            <v/>
          </cell>
          <cell r="CW491" t="str">
            <v/>
          </cell>
        </row>
        <row r="492">
          <cell r="CN492" t="str">
            <v/>
          </cell>
          <cell r="CO492" t="str">
            <v/>
          </cell>
          <cell r="CT492" t="str">
            <v/>
          </cell>
          <cell r="CU492" t="str">
            <v/>
          </cell>
          <cell r="CV492" t="str">
            <v/>
          </cell>
          <cell r="CW492" t="str">
            <v/>
          </cell>
        </row>
        <row r="493">
          <cell r="CN493" t="str">
            <v/>
          </cell>
          <cell r="CO493" t="str">
            <v/>
          </cell>
          <cell r="CT493" t="str">
            <v/>
          </cell>
          <cell r="CU493" t="str">
            <v/>
          </cell>
          <cell r="CV493" t="str">
            <v/>
          </cell>
          <cell r="CW493" t="str">
            <v/>
          </cell>
        </row>
        <row r="494">
          <cell r="CN494" t="str">
            <v/>
          </cell>
          <cell r="CO494" t="str">
            <v/>
          </cell>
          <cell r="CT494" t="str">
            <v/>
          </cell>
          <cell r="CU494" t="str">
            <v/>
          </cell>
          <cell r="CV494" t="str">
            <v/>
          </cell>
          <cell r="CW494" t="str">
            <v/>
          </cell>
        </row>
        <row r="495">
          <cell r="CN495" t="str">
            <v/>
          </cell>
          <cell r="CO495" t="str">
            <v/>
          </cell>
          <cell r="CT495" t="str">
            <v/>
          </cell>
          <cell r="CU495" t="str">
            <v/>
          </cell>
          <cell r="CV495" t="str">
            <v/>
          </cell>
          <cell r="CW495" t="str">
            <v/>
          </cell>
        </row>
        <row r="496">
          <cell r="CN496" t="str">
            <v/>
          </cell>
          <cell r="CO496" t="str">
            <v/>
          </cell>
          <cell r="CT496" t="str">
            <v/>
          </cell>
          <cell r="CU496" t="str">
            <v/>
          </cell>
          <cell r="CV496" t="str">
            <v/>
          </cell>
          <cell r="CW496" t="str">
            <v/>
          </cell>
        </row>
        <row r="497">
          <cell r="CN497" t="str">
            <v/>
          </cell>
          <cell r="CO497" t="str">
            <v/>
          </cell>
          <cell r="CT497" t="str">
            <v/>
          </cell>
          <cell r="CU497" t="str">
            <v/>
          </cell>
          <cell r="CV497" t="str">
            <v/>
          </cell>
          <cell r="CW497" t="str">
            <v/>
          </cell>
        </row>
        <row r="498">
          <cell r="CN498" t="str">
            <v/>
          </cell>
          <cell r="CO498" t="str">
            <v/>
          </cell>
          <cell r="CT498" t="str">
            <v/>
          </cell>
          <cell r="CU498" t="str">
            <v/>
          </cell>
          <cell r="CV498" t="str">
            <v/>
          </cell>
          <cell r="CW498" t="str">
            <v/>
          </cell>
        </row>
        <row r="499">
          <cell r="CN499" t="str">
            <v/>
          </cell>
          <cell r="CO499" t="str">
            <v/>
          </cell>
          <cell r="CT499" t="str">
            <v/>
          </cell>
          <cell r="CU499" t="str">
            <v/>
          </cell>
          <cell r="CV499" t="str">
            <v/>
          </cell>
          <cell r="CW499" t="str">
            <v/>
          </cell>
        </row>
        <row r="500">
          <cell r="CN500" t="str">
            <v/>
          </cell>
          <cell r="CO500" t="str">
            <v/>
          </cell>
          <cell r="CT500" t="str">
            <v/>
          </cell>
          <cell r="CU500" t="str">
            <v/>
          </cell>
          <cell r="CV500" t="str">
            <v/>
          </cell>
          <cell r="CW500" t="str">
            <v/>
          </cell>
        </row>
        <row r="501">
          <cell r="CN501" t="str">
            <v/>
          </cell>
          <cell r="CO501" t="str">
            <v/>
          </cell>
          <cell r="CT501" t="str">
            <v/>
          </cell>
          <cell r="CU501" t="str">
            <v/>
          </cell>
          <cell r="CV501" t="str">
            <v/>
          </cell>
          <cell r="CW501" t="str">
            <v/>
          </cell>
        </row>
        <row r="502">
          <cell r="CN502" t="str">
            <v/>
          </cell>
          <cell r="CO502" t="str">
            <v/>
          </cell>
          <cell r="CT502" t="str">
            <v/>
          </cell>
          <cell r="CU502" t="str">
            <v/>
          </cell>
          <cell r="CV502" t="str">
            <v/>
          </cell>
          <cell r="CW502" t="str">
            <v/>
          </cell>
        </row>
        <row r="503">
          <cell r="CN503" t="str">
            <v/>
          </cell>
          <cell r="CO503" t="str">
            <v/>
          </cell>
          <cell r="CT503" t="str">
            <v/>
          </cell>
          <cell r="CU503" t="str">
            <v/>
          </cell>
          <cell r="CV503" t="str">
            <v/>
          </cell>
          <cell r="CW503" t="str">
            <v/>
          </cell>
        </row>
        <row r="504">
          <cell r="CN504" t="str">
            <v/>
          </cell>
          <cell r="CO504" t="str">
            <v/>
          </cell>
          <cell r="CT504" t="str">
            <v/>
          </cell>
          <cell r="CU504" t="str">
            <v/>
          </cell>
          <cell r="CV504" t="str">
            <v/>
          </cell>
          <cell r="CW504" t="str">
            <v/>
          </cell>
        </row>
        <row r="505">
          <cell r="CN505" t="str">
            <v/>
          </cell>
          <cell r="CO505" t="str">
            <v/>
          </cell>
          <cell r="CT505" t="str">
            <v/>
          </cell>
          <cell r="CU505" t="str">
            <v/>
          </cell>
          <cell r="CV505" t="str">
            <v/>
          </cell>
          <cell r="CW505" t="str">
            <v/>
          </cell>
        </row>
        <row r="506">
          <cell r="CN506" t="str">
            <v/>
          </cell>
          <cell r="CO506" t="str">
            <v/>
          </cell>
          <cell r="CT506" t="str">
            <v/>
          </cell>
          <cell r="CU506" t="str">
            <v/>
          </cell>
          <cell r="CV506" t="str">
            <v/>
          </cell>
          <cell r="CW506" t="str">
            <v/>
          </cell>
        </row>
        <row r="507">
          <cell r="CN507" t="str">
            <v/>
          </cell>
          <cell r="CO507" t="str">
            <v/>
          </cell>
          <cell r="CT507" t="str">
            <v/>
          </cell>
          <cell r="CU507" t="str">
            <v/>
          </cell>
          <cell r="CV507" t="str">
            <v/>
          </cell>
          <cell r="CW507" t="str">
            <v/>
          </cell>
        </row>
        <row r="508">
          <cell r="CN508" t="str">
            <v/>
          </cell>
          <cell r="CO508" t="str">
            <v/>
          </cell>
          <cell r="CT508" t="str">
            <v/>
          </cell>
          <cell r="CU508" t="str">
            <v/>
          </cell>
          <cell r="CV508" t="str">
            <v/>
          </cell>
          <cell r="CW508" t="str">
            <v/>
          </cell>
        </row>
        <row r="509">
          <cell r="CN509" t="str">
            <v/>
          </cell>
          <cell r="CO509" t="str">
            <v/>
          </cell>
          <cell r="CT509" t="str">
            <v/>
          </cell>
          <cell r="CU509" t="str">
            <v/>
          </cell>
          <cell r="CV509" t="str">
            <v/>
          </cell>
          <cell r="CW509" t="str">
            <v/>
          </cell>
        </row>
        <row r="510">
          <cell r="CN510" t="str">
            <v/>
          </cell>
          <cell r="CO510" t="str">
            <v/>
          </cell>
          <cell r="CT510" t="str">
            <v/>
          </cell>
          <cell r="CU510" t="str">
            <v/>
          </cell>
          <cell r="CV510" t="str">
            <v/>
          </cell>
          <cell r="CW510" t="str">
            <v/>
          </cell>
        </row>
        <row r="511">
          <cell r="CN511" t="str">
            <v/>
          </cell>
          <cell r="CO511" t="str">
            <v/>
          </cell>
          <cell r="CT511" t="str">
            <v/>
          </cell>
          <cell r="CU511" t="str">
            <v/>
          </cell>
          <cell r="CV511" t="str">
            <v/>
          </cell>
          <cell r="CW511" t="str">
            <v/>
          </cell>
        </row>
        <row r="512">
          <cell r="CN512" t="str">
            <v/>
          </cell>
          <cell r="CO512" t="str">
            <v/>
          </cell>
          <cell r="CT512" t="str">
            <v/>
          </cell>
          <cell r="CU512" t="str">
            <v/>
          </cell>
          <cell r="CV512" t="str">
            <v/>
          </cell>
          <cell r="CW512" t="str">
            <v/>
          </cell>
        </row>
        <row r="513">
          <cell r="CN513" t="str">
            <v/>
          </cell>
          <cell r="CO513" t="str">
            <v/>
          </cell>
          <cell r="CT513" t="str">
            <v/>
          </cell>
          <cell r="CU513" t="str">
            <v/>
          </cell>
          <cell r="CV513" t="str">
            <v/>
          </cell>
          <cell r="CW513" t="str">
            <v/>
          </cell>
        </row>
        <row r="514">
          <cell r="CN514" t="str">
            <v/>
          </cell>
          <cell r="CO514" t="str">
            <v/>
          </cell>
          <cell r="CT514" t="str">
            <v/>
          </cell>
          <cell r="CU514" t="str">
            <v/>
          </cell>
          <cell r="CV514" t="str">
            <v/>
          </cell>
          <cell r="CW514" t="str">
            <v/>
          </cell>
        </row>
        <row r="515">
          <cell r="CN515" t="str">
            <v/>
          </cell>
          <cell r="CO515" t="str">
            <v/>
          </cell>
          <cell r="CT515" t="str">
            <v/>
          </cell>
          <cell r="CU515" t="str">
            <v/>
          </cell>
          <cell r="CV515" t="str">
            <v/>
          </cell>
          <cell r="CW515" t="str">
            <v/>
          </cell>
        </row>
        <row r="516">
          <cell r="CN516" t="str">
            <v/>
          </cell>
          <cell r="CO516" t="str">
            <v/>
          </cell>
          <cell r="CT516" t="str">
            <v/>
          </cell>
          <cell r="CU516" t="str">
            <v/>
          </cell>
          <cell r="CV516" t="str">
            <v/>
          </cell>
          <cell r="CW516" t="str">
            <v/>
          </cell>
        </row>
        <row r="517">
          <cell r="CN517" t="str">
            <v/>
          </cell>
          <cell r="CO517" t="str">
            <v/>
          </cell>
          <cell r="CT517" t="str">
            <v/>
          </cell>
          <cell r="CU517" t="str">
            <v/>
          </cell>
          <cell r="CV517" t="str">
            <v/>
          </cell>
          <cell r="CW517" t="str">
            <v/>
          </cell>
        </row>
        <row r="518">
          <cell r="CN518" t="str">
            <v/>
          </cell>
          <cell r="CO518" t="str">
            <v/>
          </cell>
          <cell r="CT518" t="str">
            <v/>
          </cell>
          <cell r="CU518" t="str">
            <v/>
          </cell>
          <cell r="CV518" t="str">
            <v/>
          </cell>
          <cell r="CW518" t="str">
            <v/>
          </cell>
        </row>
        <row r="519">
          <cell r="CN519" t="str">
            <v/>
          </cell>
          <cell r="CO519" t="str">
            <v/>
          </cell>
          <cell r="CT519" t="str">
            <v/>
          </cell>
          <cell r="CU519" t="str">
            <v/>
          </cell>
          <cell r="CV519" t="str">
            <v/>
          </cell>
          <cell r="CW519" t="str">
            <v/>
          </cell>
        </row>
        <row r="520">
          <cell r="CN520" t="str">
            <v/>
          </cell>
          <cell r="CO520" t="str">
            <v/>
          </cell>
          <cell r="CT520" t="str">
            <v/>
          </cell>
          <cell r="CU520" t="str">
            <v/>
          </cell>
          <cell r="CV520" t="str">
            <v/>
          </cell>
          <cell r="CW520" t="str">
            <v/>
          </cell>
        </row>
        <row r="521">
          <cell r="CN521" t="str">
            <v/>
          </cell>
          <cell r="CO521" t="str">
            <v/>
          </cell>
          <cell r="CT521" t="str">
            <v/>
          </cell>
          <cell r="CU521" t="str">
            <v/>
          </cell>
          <cell r="CV521" t="str">
            <v/>
          </cell>
          <cell r="CW521" t="str">
            <v/>
          </cell>
        </row>
        <row r="522">
          <cell r="CN522" t="str">
            <v/>
          </cell>
          <cell r="CO522" t="str">
            <v/>
          </cell>
          <cell r="CT522" t="str">
            <v/>
          </cell>
          <cell r="CU522" t="str">
            <v/>
          </cell>
          <cell r="CV522" t="str">
            <v/>
          </cell>
          <cell r="CW522" t="str">
            <v/>
          </cell>
        </row>
        <row r="523">
          <cell r="CN523" t="str">
            <v/>
          </cell>
          <cell r="CO523" t="str">
            <v/>
          </cell>
          <cell r="CT523" t="str">
            <v/>
          </cell>
          <cell r="CU523" t="str">
            <v/>
          </cell>
          <cell r="CV523" t="str">
            <v/>
          </cell>
          <cell r="CW523" t="str">
            <v/>
          </cell>
        </row>
        <row r="524">
          <cell r="CN524" t="str">
            <v/>
          </cell>
          <cell r="CO524" t="str">
            <v/>
          </cell>
          <cell r="CT524" t="str">
            <v/>
          </cell>
          <cell r="CU524" t="str">
            <v/>
          </cell>
          <cell r="CV524" t="str">
            <v/>
          </cell>
          <cell r="CW524" t="str">
            <v/>
          </cell>
        </row>
        <row r="525">
          <cell r="CN525" t="str">
            <v/>
          </cell>
          <cell r="CO525" t="str">
            <v/>
          </cell>
          <cell r="CT525" t="str">
            <v/>
          </cell>
          <cell r="CU525" t="str">
            <v/>
          </cell>
          <cell r="CV525" t="str">
            <v/>
          </cell>
          <cell r="CW525" t="str">
            <v/>
          </cell>
        </row>
        <row r="526">
          <cell r="CN526" t="str">
            <v/>
          </cell>
          <cell r="CO526" t="str">
            <v/>
          </cell>
          <cell r="CT526" t="str">
            <v/>
          </cell>
          <cell r="CU526" t="str">
            <v/>
          </cell>
          <cell r="CV526" t="str">
            <v/>
          </cell>
          <cell r="CW526" t="str">
            <v/>
          </cell>
        </row>
        <row r="527">
          <cell r="CN527" t="str">
            <v/>
          </cell>
          <cell r="CO527" t="str">
            <v/>
          </cell>
          <cell r="CT527" t="str">
            <v/>
          </cell>
          <cell r="CU527" t="str">
            <v/>
          </cell>
          <cell r="CV527" t="str">
            <v/>
          </cell>
          <cell r="CW527" t="str">
            <v/>
          </cell>
        </row>
        <row r="528">
          <cell r="CN528" t="str">
            <v/>
          </cell>
          <cell r="CO528" t="str">
            <v/>
          </cell>
          <cell r="CT528" t="str">
            <v/>
          </cell>
          <cell r="CU528" t="str">
            <v/>
          </cell>
          <cell r="CV528" t="str">
            <v/>
          </cell>
          <cell r="CW528" t="str">
            <v/>
          </cell>
        </row>
        <row r="529">
          <cell r="CN529" t="str">
            <v/>
          </cell>
          <cell r="CO529" t="str">
            <v/>
          </cell>
          <cell r="CT529" t="str">
            <v/>
          </cell>
          <cell r="CU529" t="str">
            <v/>
          </cell>
          <cell r="CV529" t="str">
            <v/>
          </cell>
          <cell r="CW529" t="str">
            <v/>
          </cell>
        </row>
        <row r="530">
          <cell r="CN530" t="str">
            <v/>
          </cell>
          <cell r="CO530" t="str">
            <v/>
          </cell>
          <cell r="CT530" t="str">
            <v/>
          </cell>
          <cell r="CU530" t="str">
            <v/>
          </cell>
          <cell r="CV530" t="str">
            <v/>
          </cell>
          <cell r="CW530" t="str">
            <v/>
          </cell>
        </row>
        <row r="531">
          <cell r="CN531" t="str">
            <v/>
          </cell>
          <cell r="CO531" t="str">
            <v/>
          </cell>
          <cell r="CT531" t="str">
            <v/>
          </cell>
          <cell r="CU531" t="str">
            <v/>
          </cell>
          <cell r="CV531" t="str">
            <v/>
          </cell>
          <cell r="CW531" t="str">
            <v/>
          </cell>
        </row>
        <row r="532">
          <cell r="CN532" t="str">
            <v/>
          </cell>
          <cell r="CO532" t="str">
            <v/>
          </cell>
          <cell r="CT532" t="str">
            <v/>
          </cell>
          <cell r="CU532" t="str">
            <v/>
          </cell>
          <cell r="CV532" t="str">
            <v/>
          </cell>
          <cell r="CW532" t="str">
            <v/>
          </cell>
        </row>
        <row r="533">
          <cell r="CN533" t="str">
            <v/>
          </cell>
          <cell r="CO533" t="str">
            <v/>
          </cell>
          <cell r="CT533" t="str">
            <v/>
          </cell>
          <cell r="CU533" t="str">
            <v/>
          </cell>
          <cell r="CV533" t="str">
            <v/>
          </cell>
          <cell r="CW533" t="str">
            <v/>
          </cell>
        </row>
        <row r="534">
          <cell r="CN534" t="str">
            <v/>
          </cell>
          <cell r="CO534" t="str">
            <v/>
          </cell>
          <cell r="CT534" t="str">
            <v/>
          </cell>
          <cell r="CU534" t="str">
            <v/>
          </cell>
          <cell r="CV534" t="str">
            <v/>
          </cell>
          <cell r="CW534" t="str">
            <v/>
          </cell>
        </row>
        <row r="535">
          <cell r="CN535" t="str">
            <v/>
          </cell>
          <cell r="CO535" t="str">
            <v/>
          </cell>
          <cell r="CT535" t="str">
            <v/>
          </cell>
          <cell r="CU535" t="str">
            <v/>
          </cell>
          <cell r="CV535" t="str">
            <v/>
          </cell>
          <cell r="CW535" t="str">
            <v/>
          </cell>
        </row>
        <row r="536">
          <cell r="CN536" t="str">
            <v/>
          </cell>
          <cell r="CO536" t="str">
            <v/>
          </cell>
          <cell r="CT536" t="str">
            <v/>
          </cell>
          <cell r="CU536" t="str">
            <v/>
          </cell>
          <cell r="CV536" t="str">
            <v/>
          </cell>
          <cell r="CW536" t="str">
            <v/>
          </cell>
        </row>
        <row r="537">
          <cell r="CN537" t="str">
            <v/>
          </cell>
          <cell r="CO537" t="str">
            <v/>
          </cell>
          <cell r="CT537" t="str">
            <v/>
          </cell>
          <cell r="CU537" t="str">
            <v/>
          </cell>
          <cell r="CV537" t="str">
            <v/>
          </cell>
          <cell r="CW537" t="str">
            <v/>
          </cell>
        </row>
        <row r="538">
          <cell r="CN538" t="str">
            <v/>
          </cell>
          <cell r="CO538" t="str">
            <v/>
          </cell>
          <cell r="CT538" t="str">
            <v/>
          </cell>
          <cell r="CU538" t="str">
            <v/>
          </cell>
          <cell r="CV538" t="str">
            <v/>
          </cell>
          <cell r="CW538" t="str">
            <v/>
          </cell>
        </row>
        <row r="539">
          <cell r="CN539" t="str">
            <v/>
          </cell>
          <cell r="CO539" t="str">
            <v/>
          </cell>
          <cell r="CT539" t="str">
            <v/>
          </cell>
          <cell r="CU539" t="str">
            <v/>
          </cell>
          <cell r="CV539" t="str">
            <v/>
          </cell>
          <cell r="CW539" t="str">
            <v/>
          </cell>
        </row>
        <row r="540">
          <cell r="CN540" t="str">
            <v/>
          </cell>
          <cell r="CO540" t="str">
            <v/>
          </cell>
          <cell r="CT540" t="str">
            <v/>
          </cell>
          <cell r="CU540" t="str">
            <v/>
          </cell>
          <cell r="CV540" t="str">
            <v/>
          </cell>
          <cell r="CW540" t="str">
            <v/>
          </cell>
        </row>
        <row r="541">
          <cell r="CN541" t="str">
            <v/>
          </cell>
          <cell r="CO541" t="str">
            <v/>
          </cell>
          <cell r="CT541" t="str">
            <v/>
          </cell>
          <cell r="CU541" t="str">
            <v/>
          </cell>
          <cell r="CV541" t="str">
            <v/>
          </cell>
          <cell r="CW541" t="str">
            <v/>
          </cell>
        </row>
        <row r="542">
          <cell r="CN542" t="str">
            <v/>
          </cell>
          <cell r="CO542" t="str">
            <v/>
          </cell>
          <cell r="CT542" t="str">
            <v/>
          </cell>
          <cell r="CU542" t="str">
            <v/>
          </cell>
          <cell r="CV542" t="str">
            <v/>
          </cell>
          <cell r="CW542" t="str">
            <v/>
          </cell>
        </row>
        <row r="543">
          <cell r="CN543" t="str">
            <v/>
          </cell>
          <cell r="CO543" t="str">
            <v/>
          </cell>
          <cell r="CT543" t="str">
            <v/>
          </cell>
          <cell r="CU543" t="str">
            <v/>
          </cell>
          <cell r="CV543" t="str">
            <v/>
          </cell>
          <cell r="CW543" t="str">
            <v/>
          </cell>
        </row>
        <row r="544">
          <cell r="CN544" t="str">
            <v/>
          </cell>
          <cell r="CO544" t="str">
            <v/>
          </cell>
          <cell r="CT544" t="str">
            <v/>
          </cell>
          <cell r="CU544" t="str">
            <v/>
          </cell>
          <cell r="CV544" t="str">
            <v/>
          </cell>
          <cell r="CW544" t="str">
            <v/>
          </cell>
        </row>
        <row r="545">
          <cell r="CN545" t="str">
            <v/>
          </cell>
          <cell r="CO545" t="str">
            <v/>
          </cell>
          <cell r="CT545" t="str">
            <v/>
          </cell>
          <cell r="CU545" t="str">
            <v/>
          </cell>
          <cell r="CV545" t="str">
            <v/>
          </cell>
          <cell r="CW545" t="str">
            <v/>
          </cell>
        </row>
        <row r="546">
          <cell r="CN546" t="str">
            <v/>
          </cell>
          <cell r="CO546" t="str">
            <v/>
          </cell>
          <cell r="CT546" t="str">
            <v/>
          </cell>
          <cell r="CU546" t="str">
            <v/>
          </cell>
          <cell r="CV546" t="str">
            <v/>
          </cell>
          <cell r="CW546" t="str">
            <v/>
          </cell>
        </row>
        <row r="547">
          <cell r="CN547" t="str">
            <v/>
          </cell>
          <cell r="CO547" t="str">
            <v/>
          </cell>
          <cell r="CT547" t="str">
            <v/>
          </cell>
          <cell r="CU547" t="str">
            <v/>
          </cell>
          <cell r="CV547" t="str">
            <v/>
          </cell>
          <cell r="CW547" t="str">
            <v/>
          </cell>
        </row>
        <row r="548">
          <cell r="CN548" t="str">
            <v/>
          </cell>
          <cell r="CO548" t="str">
            <v/>
          </cell>
          <cell r="CT548" t="str">
            <v/>
          </cell>
          <cell r="CU548" t="str">
            <v/>
          </cell>
          <cell r="CV548" t="str">
            <v/>
          </cell>
          <cell r="CW548" t="str">
            <v/>
          </cell>
        </row>
        <row r="549">
          <cell r="CN549" t="str">
            <v/>
          </cell>
          <cell r="CO549" t="str">
            <v/>
          </cell>
          <cell r="CT549" t="str">
            <v/>
          </cell>
          <cell r="CU549" t="str">
            <v/>
          </cell>
          <cell r="CV549" t="str">
            <v/>
          </cell>
          <cell r="CW549" t="str">
            <v/>
          </cell>
        </row>
        <row r="550">
          <cell r="CN550" t="str">
            <v/>
          </cell>
          <cell r="CO550" t="str">
            <v/>
          </cell>
          <cell r="CT550" t="str">
            <v/>
          </cell>
          <cell r="CU550" t="str">
            <v/>
          </cell>
          <cell r="CV550" t="str">
            <v/>
          </cell>
          <cell r="CW550" t="str">
            <v/>
          </cell>
        </row>
        <row r="551">
          <cell r="CN551" t="str">
            <v/>
          </cell>
          <cell r="CO551" t="str">
            <v/>
          </cell>
          <cell r="CT551" t="str">
            <v/>
          </cell>
          <cell r="CU551" t="str">
            <v/>
          </cell>
          <cell r="CV551" t="str">
            <v/>
          </cell>
          <cell r="CW551" t="str">
            <v/>
          </cell>
        </row>
        <row r="552">
          <cell r="CN552" t="str">
            <v/>
          </cell>
          <cell r="CO552" t="str">
            <v/>
          </cell>
          <cell r="CT552" t="str">
            <v/>
          </cell>
          <cell r="CU552" t="str">
            <v/>
          </cell>
          <cell r="CV552" t="str">
            <v/>
          </cell>
          <cell r="CW552" t="str">
            <v/>
          </cell>
        </row>
        <row r="553">
          <cell r="CN553" t="str">
            <v/>
          </cell>
          <cell r="CO553" t="str">
            <v/>
          </cell>
          <cell r="CT553" t="str">
            <v/>
          </cell>
          <cell r="CU553" t="str">
            <v/>
          </cell>
          <cell r="CV553" t="str">
            <v/>
          </cell>
          <cell r="CW553" t="str">
            <v/>
          </cell>
        </row>
        <row r="554">
          <cell r="CN554" t="str">
            <v/>
          </cell>
          <cell r="CO554" t="str">
            <v/>
          </cell>
          <cell r="CT554" t="str">
            <v/>
          </cell>
          <cell r="CU554" t="str">
            <v/>
          </cell>
          <cell r="CV554" t="str">
            <v/>
          </cell>
          <cell r="CW554" t="str">
            <v/>
          </cell>
        </row>
        <row r="555">
          <cell r="CN555" t="str">
            <v/>
          </cell>
          <cell r="CO555" t="str">
            <v/>
          </cell>
          <cell r="CT555" t="str">
            <v/>
          </cell>
          <cell r="CU555" t="str">
            <v/>
          </cell>
          <cell r="CV555" t="str">
            <v/>
          </cell>
          <cell r="CW555" t="str">
            <v/>
          </cell>
        </row>
        <row r="556">
          <cell r="CN556" t="str">
            <v/>
          </cell>
          <cell r="CO556" t="str">
            <v/>
          </cell>
          <cell r="CT556" t="str">
            <v/>
          </cell>
          <cell r="CU556" t="str">
            <v/>
          </cell>
          <cell r="CV556" t="str">
            <v/>
          </cell>
          <cell r="CW556" t="str">
            <v/>
          </cell>
        </row>
        <row r="557">
          <cell r="CN557" t="str">
            <v/>
          </cell>
          <cell r="CO557" t="str">
            <v/>
          </cell>
          <cell r="CT557" t="str">
            <v/>
          </cell>
          <cell r="CU557" t="str">
            <v/>
          </cell>
          <cell r="CV557" t="str">
            <v/>
          </cell>
          <cell r="CW557" t="str">
            <v/>
          </cell>
        </row>
        <row r="558">
          <cell r="CN558" t="str">
            <v/>
          </cell>
          <cell r="CO558" t="str">
            <v/>
          </cell>
          <cell r="CT558" t="str">
            <v/>
          </cell>
          <cell r="CU558" t="str">
            <v/>
          </cell>
          <cell r="CV558" t="str">
            <v/>
          </cell>
          <cell r="CW558" t="str">
            <v/>
          </cell>
        </row>
        <row r="559">
          <cell r="CN559" t="str">
            <v/>
          </cell>
          <cell r="CO559" t="str">
            <v/>
          </cell>
          <cell r="CT559" t="str">
            <v/>
          </cell>
          <cell r="CU559" t="str">
            <v/>
          </cell>
          <cell r="CV559" t="str">
            <v/>
          </cell>
          <cell r="CW559" t="str">
            <v/>
          </cell>
        </row>
        <row r="560">
          <cell r="CN560" t="str">
            <v/>
          </cell>
          <cell r="CO560" t="str">
            <v/>
          </cell>
          <cell r="CT560" t="str">
            <v/>
          </cell>
          <cell r="CU560" t="str">
            <v/>
          </cell>
          <cell r="CV560" t="str">
            <v/>
          </cell>
          <cell r="CW560" t="str">
            <v/>
          </cell>
        </row>
        <row r="561">
          <cell r="CN561" t="str">
            <v/>
          </cell>
          <cell r="CO561" t="str">
            <v/>
          </cell>
          <cell r="CT561" t="str">
            <v/>
          </cell>
          <cell r="CU561" t="str">
            <v/>
          </cell>
          <cell r="CV561" t="str">
            <v/>
          </cell>
          <cell r="CW561" t="str">
            <v/>
          </cell>
        </row>
        <row r="562">
          <cell r="CN562" t="str">
            <v/>
          </cell>
          <cell r="CO562" t="str">
            <v/>
          </cell>
          <cell r="CT562" t="str">
            <v/>
          </cell>
          <cell r="CU562" t="str">
            <v/>
          </cell>
          <cell r="CV562" t="str">
            <v/>
          </cell>
          <cell r="CW562" t="str">
            <v/>
          </cell>
        </row>
        <row r="563">
          <cell r="CN563" t="str">
            <v/>
          </cell>
          <cell r="CO563" t="str">
            <v/>
          </cell>
          <cell r="CT563" t="str">
            <v/>
          </cell>
          <cell r="CU563" t="str">
            <v/>
          </cell>
          <cell r="CV563" t="str">
            <v/>
          </cell>
          <cell r="CW563" t="str">
            <v/>
          </cell>
        </row>
        <row r="564">
          <cell r="CN564" t="str">
            <v/>
          </cell>
          <cell r="CO564" t="str">
            <v/>
          </cell>
          <cell r="CT564" t="str">
            <v/>
          </cell>
          <cell r="CU564" t="str">
            <v/>
          </cell>
          <cell r="CV564" t="str">
            <v/>
          </cell>
          <cell r="CW564" t="str">
            <v/>
          </cell>
        </row>
        <row r="565">
          <cell r="CN565" t="str">
            <v/>
          </cell>
          <cell r="CO565" t="str">
            <v/>
          </cell>
          <cell r="CT565" t="str">
            <v/>
          </cell>
          <cell r="CU565" t="str">
            <v/>
          </cell>
          <cell r="CV565" t="str">
            <v/>
          </cell>
          <cell r="CW565" t="str">
            <v/>
          </cell>
        </row>
        <row r="566">
          <cell r="CN566" t="str">
            <v/>
          </cell>
          <cell r="CO566" t="str">
            <v/>
          </cell>
          <cell r="CT566" t="str">
            <v/>
          </cell>
          <cell r="CU566" t="str">
            <v/>
          </cell>
          <cell r="CV566" t="str">
            <v/>
          </cell>
          <cell r="CW566" t="str">
            <v/>
          </cell>
        </row>
        <row r="567">
          <cell r="CN567" t="str">
            <v/>
          </cell>
          <cell r="CO567" t="str">
            <v/>
          </cell>
          <cell r="CT567" t="str">
            <v/>
          </cell>
          <cell r="CU567" t="str">
            <v/>
          </cell>
          <cell r="CV567" t="str">
            <v/>
          </cell>
          <cell r="CW567" t="str">
            <v/>
          </cell>
        </row>
        <row r="568">
          <cell r="CN568" t="str">
            <v/>
          </cell>
          <cell r="CO568" t="str">
            <v/>
          </cell>
          <cell r="CT568" t="str">
            <v/>
          </cell>
          <cell r="CU568" t="str">
            <v/>
          </cell>
          <cell r="CV568" t="str">
            <v/>
          </cell>
          <cell r="CW568" t="str">
            <v/>
          </cell>
        </row>
        <row r="569">
          <cell r="CN569" t="str">
            <v/>
          </cell>
          <cell r="CO569" t="str">
            <v/>
          </cell>
          <cell r="CT569" t="str">
            <v/>
          </cell>
          <cell r="CU569" t="str">
            <v/>
          </cell>
          <cell r="CV569" t="str">
            <v/>
          </cell>
          <cell r="CW569" t="str">
            <v/>
          </cell>
        </row>
        <row r="570">
          <cell r="CN570" t="str">
            <v/>
          </cell>
          <cell r="CO570" t="str">
            <v/>
          </cell>
          <cell r="CT570" t="str">
            <v/>
          </cell>
          <cell r="CU570" t="str">
            <v/>
          </cell>
          <cell r="CV570" t="str">
            <v/>
          </cell>
          <cell r="CW570" t="str">
            <v/>
          </cell>
        </row>
        <row r="571">
          <cell r="CN571" t="str">
            <v/>
          </cell>
          <cell r="CO571" t="str">
            <v/>
          </cell>
          <cell r="CT571" t="str">
            <v/>
          </cell>
          <cell r="CU571" t="str">
            <v/>
          </cell>
          <cell r="CV571" t="str">
            <v/>
          </cell>
          <cell r="CW571" t="str">
            <v/>
          </cell>
        </row>
        <row r="572">
          <cell r="CN572" t="str">
            <v/>
          </cell>
          <cell r="CO572" t="str">
            <v/>
          </cell>
          <cell r="CT572" t="str">
            <v/>
          </cell>
          <cell r="CU572" t="str">
            <v/>
          </cell>
          <cell r="CV572" t="str">
            <v/>
          </cell>
          <cell r="CW572" t="str">
            <v/>
          </cell>
        </row>
        <row r="573">
          <cell r="CN573" t="str">
            <v/>
          </cell>
          <cell r="CO573" t="str">
            <v/>
          </cell>
          <cell r="CT573" t="str">
            <v/>
          </cell>
          <cell r="CU573" t="str">
            <v/>
          </cell>
          <cell r="CV573" t="str">
            <v/>
          </cell>
          <cell r="CW573" t="str">
            <v/>
          </cell>
        </row>
        <row r="574">
          <cell r="CN574" t="str">
            <v/>
          </cell>
          <cell r="CO574" t="str">
            <v/>
          </cell>
          <cell r="CT574" t="str">
            <v/>
          </cell>
          <cell r="CU574" t="str">
            <v/>
          </cell>
          <cell r="CV574" t="str">
            <v/>
          </cell>
          <cell r="CW574" t="str">
            <v/>
          </cell>
        </row>
        <row r="575">
          <cell r="CN575" t="str">
            <v/>
          </cell>
          <cell r="CO575" t="str">
            <v/>
          </cell>
          <cell r="CT575" t="str">
            <v/>
          </cell>
          <cell r="CU575" t="str">
            <v/>
          </cell>
          <cell r="CV575" t="str">
            <v/>
          </cell>
          <cell r="CW575" t="str">
            <v/>
          </cell>
        </row>
        <row r="576">
          <cell r="CN576" t="str">
            <v/>
          </cell>
          <cell r="CO576" t="str">
            <v/>
          </cell>
          <cell r="CT576" t="str">
            <v/>
          </cell>
          <cell r="CU576" t="str">
            <v/>
          </cell>
          <cell r="CV576" t="str">
            <v/>
          </cell>
          <cell r="CW576" t="str">
            <v/>
          </cell>
        </row>
        <row r="577">
          <cell r="CN577" t="str">
            <v/>
          </cell>
          <cell r="CO577" t="str">
            <v/>
          </cell>
          <cell r="CT577" t="str">
            <v/>
          </cell>
          <cell r="CU577" t="str">
            <v/>
          </cell>
          <cell r="CV577" t="str">
            <v/>
          </cell>
          <cell r="CW577" t="str">
            <v/>
          </cell>
        </row>
        <row r="578">
          <cell r="CN578" t="str">
            <v/>
          </cell>
          <cell r="CO578" t="str">
            <v/>
          </cell>
          <cell r="CT578" t="str">
            <v/>
          </cell>
          <cell r="CU578" t="str">
            <v/>
          </cell>
          <cell r="CV578" t="str">
            <v/>
          </cell>
          <cell r="CW578" t="str">
            <v/>
          </cell>
        </row>
        <row r="579">
          <cell r="CN579" t="str">
            <v/>
          </cell>
          <cell r="CO579" t="str">
            <v/>
          </cell>
          <cell r="CT579" t="str">
            <v/>
          </cell>
          <cell r="CU579" t="str">
            <v/>
          </cell>
          <cell r="CV579" t="str">
            <v/>
          </cell>
          <cell r="CW579" t="str">
            <v/>
          </cell>
        </row>
        <row r="580">
          <cell r="CN580" t="str">
            <v/>
          </cell>
          <cell r="CO580" t="str">
            <v/>
          </cell>
          <cell r="CT580" t="str">
            <v/>
          </cell>
          <cell r="CU580" t="str">
            <v/>
          </cell>
          <cell r="CV580" t="str">
            <v/>
          </cell>
          <cell r="CW580" t="str">
            <v/>
          </cell>
        </row>
        <row r="581">
          <cell r="CN581" t="str">
            <v/>
          </cell>
          <cell r="CO581" t="str">
            <v/>
          </cell>
          <cell r="CT581" t="str">
            <v/>
          </cell>
          <cell r="CU581" t="str">
            <v/>
          </cell>
          <cell r="CV581" t="str">
            <v/>
          </cell>
          <cell r="CW581" t="str">
            <v/>
          </cell>
        </row>
        <row r="582">
          <cell r="CN582" t="str">
            <v/>
          </cell>
          <cell r="CO582" t="str">
            <v/>
          </cell>
          <cell r="CT582" t="str">
            <v/>
          </cell>
          <cell r="CU582" t="str">
            <v/>
          </cell>
          <cell r="CV582" t="str">
            <v/>
          </cell>
          <cell r="CW582" t="str">
            <v/>
          </cell>
        </row>
        <row r="583">
          <cell r="CN583" t="str">
            <v/>
          </cell>
          <cell r="CO583" t="str">
            <v/>
          </cell>
          <cell r="CT583" t="str">
            <v/>
          </cell>
          <cell r="CU583" t="str">
            <v/>
          </cell>
          <cell r="CV583" t="str">
            <v/>
          </cell>
          <cell r="CW583" t="str">
            <v/>
          </cell>
        </row>
        <row r="584">
          <cell r="CN584" t="str">
            <v/>
          </cell>
          <cell r="CO584" t="str">
            <v/>
          </cell>
          <cell r="CT584" t="str">
            <v/>
          </cell>
          <cell r="CU584" t="str">
            <v/>
          </cell>
          <cell r="CV584" t="str">
            <v/>
          </cell>
          <cell r="CW584" t="str">
            <v/>
          </cell>
        </row>
        <row r="585">
          <cell r="CN585" t="str">
            <v/>
          </cell>
          <cell r="CO585" t="str">
            <v/>
          </cell>
          <cell r="CT585" t="str">
            <v/>
          </cell>
          <cell r="CU585" t="str">
            <v/>
          </cell>
          <cell r="CV585" t="str">
            <v/>
          </cell>
          <cell r="CW585" t="str">
            <v/>
          </cell>
        </row>
        <row r="586">
          <cell r="CN586" t="str">
            <v/>
          </cell>
          <cell r="CO586" t="str">
            <v/>
          </cell>
          <cell r="CT586" t="str">
            <v/>
          </cell>
          <cell r="CU586" t="str">
            <v/>
          </cell>
          <cell r="CV586" t="str">
            <v/>
          </cell>
          <cell r="CW586" t="str">
            <v/>
          </cell>
        </row>
        <row r="587">
          <cell r="CN587" t="str">
            <v/>
          </cell>
          <cell r="CO587" t="str">
            <v/>
          </cell>
          <cell r="CT587" t="str">
            <v/>
          </cell>
          <cell r="CU587" t="str">
            <v/>
          </cell>
          <cell r="CV587" t="str">
            <v/>
          </cell>
          <cell r="CW587" t="str">
            <v/>
          </cell>
        </row>
        <row r="588">
          <cell r="CN588" t="str">
            <v/>
          </cell>
          <cell r="CO588" t="str">
            <v/>
          </cell>
          <cell r="CT588" t="str">
            <v/>
          </cell>
          <cell r="CU588" t="str">
            <v/>
          </cell>
          <cell r="CV588" t="str">
            <v/>
          </cell>
          <cell r="CW588" t="str">
            <v/>
          </cell>
        </row>
        <row r="589">
          <cell r="CN589" t="str">
            <v/>
          </cell>
          <cell r="CO589" t="str">
            <v/>
          </cell>
          <cell r="CT589" t="str">
            <v/>
          </cell>
          <cell r="CU589" t="str">
            <v/>
          </cell>
          <cell r="CV589" t="str">
            <v/>
          </cell>
          <cell r="CW589" t="str">
            <v/>
          </cell>
        </row>
        <row r="590">
          <cell r="CN590" t="str">
            <v/>
          </cell>
          <cell r="CO590" t="str">
            <v/>
          </cell>
          <cell r="CT590" t="str">
            <v/>
          </cell>
          <cell r="CU590" t="str">
            <v/>
          </cell>
          <cell r="CV590" t="str">
            <v/>
          </cell>
          <cell r="CW590" t="str">
            <v/>
          </cell>
        </row>
        <row r="591">
          <cell r="CN591" t="str">
            <v/>
          </cell>
          <cell r="CO591" t="str">
            <v/>
          </cell>
          <cell r="CT591" t="str">
            <v/>
          </cell>
          <cell r="CU591" t="str">
            <v/>
          </cell>
          <cell r="CV591" t="str">
            <v/>
          </cell>
          <cell r="CW591" t="str">
            <v/>
          </cell>
        </row>
        <row r="592">
          <cell r="CN592" t="str">
            <v/>
          </cell>
          <cell r="CO592" t="str">
            <v/>
          </cell>
          <cell r="CT592" t="str">
            <v/>
          </cell>
          <cell r="CU592" t="str">
            <v/>
          </cell>
          <cell r="CV592" t="str">
            <v/>
          </cell>
          <cell r="CW592" t="str">
            <v/>
          </cell>
        </row>
        <row r="593">
          <cell r="CN593" t="str">
            <v/>
          </cell>
          <cell r="CO593" t="str">
            <v/>
          </cell>
          <cell r="CT593" t="str">
            <v/>
          </cell>
          <cell r="CU593" t="str">
            <v/>
          </cell>
          <cell r="CV593" t="str">
            <v/>
          </cell>
          <cell r="CW593" t="str">
            <v/>
          </cell>
        </row>
        <row r="594">
          <cell r="CN594" t="str">
            <v/>
          </cell>
          <cell r="CO594" t="str">
            <v/>
          </cell>
          <cell r="CT594" t="str">
            <v/>
          </cell>
          <cell r="CU594" t="str">
            <v/>
          </cell>
          <cell r="CV594" t="str">
            <v/>
          </cell>
          <cell r="CW594" t="str">
            <v/>
          </cell>
        </row>
        <row r="595">
          <cell r="CN595" t="str">
            <v/>
          </cell>
          <cell r="CO595" t="str">
            <v/>
          </cell>
          <cell r="CT595" t="str">
            <v/>
          </cell>
          <cell r="CU595" t="str">
            <v/>
          </cell>
          <cell r="CV595" t="str">
            <v/>
          </cell>
          <cell r="CW595" t="str">
            <v/>
          </cell>
        </row>
        <row r="596">
          <cell r="CN596" t="str">
            <v/>
          </cell>
          <cell r="CO596" t="str">
            <v/>
          </cell>
          <cell r="CT596" t="str">
            <v/>
          </cell>
          <cell r="CU596" t="str">
            <v/>
          </cell>
          <cell r="CV596" t="str">
            <v/>
          </cell>
          <cell r="CW596" t="str">
            <v/>
          </cell>
        </row>
        <row r="597">
          <cell r="CN597" t="str">
            <v/>
          </cell>
          <cell r="CO597" t="str">
            <v/>
          </cell>
          <cell r="CT597" t="str">
            <v/>
          </cell>
          <cell r="CU597" t="str">
            <v/>
          </cell>
          <cell r="CV597" t="str">
            <v/>
          </cell>
          <cell r="CW597" t="str">
            <v/>
          </cell>
        </row>
        <row r="598">
          <cell r="CN598" t="str">
            <v/>
          </cell>
          <cell r="CO598" t="str">
            <v/>
          </cell>
          <cell r="CT598" t="str">
            <v/>
          </cell>
          <cell r="CU598" t="str">
            <v/>
          </cell>
          <cell r="CV598" t="str">
            <v/>
          </cell>
          <cell r="CW598" t="str">
            <v/>
          </cell>
        </row>
        <row r="599">
          <cell r="CN599" t="str">
            <v/>
          </cell>
          <cell r="CO599" t="str">
            <v/>
          </cell>
          <cell r="CT599" t="str">
            <v/>
          </cell>
          <cell r="CU599" t="str">
            <v/>
          </cell>
          <cell r="CV599" t="str">
            <v/>
          </cell>
          <cell r="CW599" t="str">
            <v/>
          </cell>
        </row>
        <row r="600">
          <cell r="CN600" t="str">
            <v/>
          </cell>
          <cell r="CO600" t="str">
            <v/>
          </cell>
          <cell r="CT600" t="str">
            <v/>
          </cell>
          <cell r="CU600" t="str">
            <v/>
          </cell>
          <cell r="CV600" t="str">
            <v/>
          </cell>
          <cell r="CW600" t="str">
            <v/>
          </cell>
        </row>
        <row r="601">
          <cell r="CN601" t="str">
            <v/>
          </cell>
          <cell r="CO601" t="str">
            <v/>
          </cell>
          <cell r="CT601" t="str">
            <v/>
          </cell>
          <cell r="CU601" t="str">
            <v/>
          </cell>
          <cell r="CV601" t="str">
            <v/>
          </cell>
          <cell r="CW601" t="str">
            <v/>
          </cell>
        </row>
        <row r="602">
          <cell r="CN602" t="str">
            <v/>
          </cell>
          <cell r="CO602" t="str">
            <v/>
          </cell>
          <cell r="CT602" t="str">
            <v/>
          </cell>
          <cell r="CU602" t="str">
            <v/>
          </cell>
          <cell r="CV602" t="str">
            <v/>
          </cell>
          <cell r="CW602" t="str">
            <v/>
          </cell>
        </row>
        <row r="603">
          <cell r="CN603" t="str">
            <v/>
          </cell>
          <cell r="CO603" t="str">
            <v/>
          </cell>
          <cell r="CT603" t="str">
            <v/>
          </cell>
          <cell r="CU603" t="str">
            <v/>
          </cell>
          <cell r="CV603" t="str">
            <v/>
          </cell>
          <cell r="CW603" t="str">
            <v/>
          </cell>
        </row>
        <row r="604">
          <cell r="CN604" t="str">
            <v/>
          </cell>
          <cell r="CO604" t="str">
            <v/>
          </cell>
          <cell r="CT604" t="str">
            <v/>
          </cell>
          <cell r="CU604" t="str">
            <v/>
          </cell>
          <cell r="CV604" t="str">
            <v/>
          </cell>
          <cell r="CW604" t="str">
            <v/>
          </cell>
        </row>
        <row r="605">
          <cell r="CN605" t="str">
            <v/>
          </cell>
          <cell r="CO605" t="str">
            <v/>
          </cell>
          <cell r="CT605" t="str">
            <v/>
          </cell>
          <cell r="CU605" t="str">
            <v/>
          </cell>
          <cell r="CV605" t="str">
            <v/>
          </cell>
          <cell r="CW605" t="str">
            <v/>
          </cell>
        </row>
        <row r="606">
          <cell r="CN606" t="str">
            <v/>
          </cell>
          <cell r="CO606" t="str">
            <v/>
          </cell>
          <cell r="CT606" t="str">
            <v/>
          </cell>
          <cell r="CU606" t="str">
            <v/>
          </cell>
          <cell r="CV606" t="str">
            <v/>
          </cell>
          <cell r="CW606" t="str">
            <v/>
          </cell>
        </row>
        <row r="607">
          <cell r="CN607" t="str">
            <v/>
          </cell>
          <cell r="CO607" t="str">
            <v/>
          </cell>
          <cell r="CT607" t="str">
            <v/>
          </cell>
          <cell r="CU607" t="str">
            <v/>
          </cell>
          <cell r="CV607" t="str">
            <v/>
          </cell>
          <cell r="CW607" t="str">
            <v/>
          </cell>
        </row>
        <row r="608">
          <cell r="CN608" t="str">
            <v/>
          </cell>
          <cell r="CO608" t="str">
            <v/>
          </cell>
          <cell r="CT608" t="str">
            <v/>
          </cell>
          <cell r="CU608" t="str">
            <v/>
          </cell>
          <cell r="CV608" t="str">
            <v/>
          </cell>
          <cell r="CW608" t="str">
            <v/>
          </cell>
        </row>
        <row r="609">
          <cell r="CN609" t="str">
            <v/>
          </cell>
          <cell r="CO609" t="str">
            <v/>
          </cell>
          <cell r="CT609" t="str">
            <v/>
          </cell>
          <cell r="CU609" t="str">
            <v/>
          </cell>
          <cell r="CV609" t="str">
            <v/>
          </cell>
          <cell r="CW609" t="str">
            <v/>
          </cell>
        </row>
        <row r="610">
          <cell r="CN610" t="str">
            <v/>
          </cell>
          <cell r="CO610" t="str">
            <v/>
          </cell>
          <cell r="CT610" t="str">
            <v/>
          </cell>
          <cell r="CU610" t="str">
            <v/>
          </cell>
          <cell r="CV610" t="str">
            <v/>
          </cell>
          <cell r="CW610" t="str">
            <v/>
          </cell>
        </row>
        <row r="611">
          <cell r="CN611" t="str">
            <v/>
          </cell>
          <cell r="CO611" t="str">
            <v/>
          </cell>
          <cell r="CT611" t="str">
            <v/>
          </cell>
          <cell r="CU611" t="str">
            <v/>
          </cell>
          <cell r="CV611" t="str">
            <v/>
          </cell>
          <cell r="CW611" t="str">
            <v/>
          </cell>
        </row>
        <row r="612">
          <cell r="CN612" t="str">
            <v/>
          </cell>
          <cell r="CO612" t="str">
            <v/>
          </cell>
          <cell r="CT612" t="str">
            <v/>
          </cell>
          <cell r="CU612" t="str">
            <v/>
          </cell>
          <cell r="CV612" t="str">
            <v/>
          </cell>
          <cell r="CW612" t="str">
            <v/>
          </cell>
        </row>
        <row r="613">
          <cell r="CN613" t="str">
            <v/>
          </cell>
          <cell r="CO613" t="str">
            <v/>
          </cell>
          <cell r="CT613" t="str">
            <v/>
          </cell>
          <cell r="CU613" t="str">
            <v/>
          </cell>
          <cell r="CV613" t="str">
            <v/>
          </cell>
          <cell r="CW613" t="str">
            <v/>
          </cell>
        </row>
        <row r="614">
          <cell r="CN614" t="str">
            <v/>
          </cell>
          <cell r="CO614" t="str">
            <v/>
          </cell>
          <cell r="CT614" t="str">
            <v/>
          </cell>
          <cell r="CU614" t="str">
            <v/>
          </cell>
          <cell r="CV614" t="str">
            <v/>
          </cell>
          <cell r="CW614" t="str">
            <v/>
          </cell>
        </row>
        <row r="615">
          <cell r="CN615" t="str">
            <v/>
          </cell>
          <cell r="CO615" t="str">
            <v/>
          </cell>
          <cell r="CT615" t="str">
            <v/>
          </cell>
          <cell r="CU615" t="str">
            <v/>
          </cell>
          <cell r="CV615" t="str">
            <v/>
          </cell>
          <cell r="CW615" t="str">
            <v/>
          </cell>
        </row>
        <row r="616">
          <cell r="CN616" t="str">
            <v/>
          </cell>
          <cell r="CO616" t="str">
            <v/>
          </cell>
          <cell r="CT616" t="str">
            <v/>
          </cell>
          <cell r="CU616" t="str">
            <v/>
          </cell>
          <cell r="CV616" t="str">
            <v/>
          </cell>
          <cell r="CW616" t="str">
            <v/>
          </cell>
        </row>
        <row r="617">
          <cell r="CN617" t="str">
            <v/>
          </cell>
          <cell r="CO617" t="str">
            <v/>
          </cell>
          <cell r="CT617" t="str">
            <v/>
          </cell>
          <cell r="CU617" t="str">
            <v/>
          </cell>
          <cell r="CV617" t="str">
            <v/>
          </cell>
          <cell r="CW617" t="str">
            <v/>
          </cell>
        </row>
        <row r="618">
          <cell r="CN618" t="str">
            <v/>
          </cell>
          <cell r="CO618" t="str">
            <v/>
          </cell>
          <cell r="CT618" t="str">
            <v/>
          </cell>
          <cell r="CU618" t="str">
            <v/>
          </cell>
          <cell r="CV618" t="str">
            <v/>
          </cell>
          <cell r="CW618" t="str">
            <v/>
          </cell>
        </row>
        <row r="619">
          <cell r="CN619" t="str">
            <v/>
          </cell>
          <cell r="CO619" t="str">
            <v/>
          </cell>
          <cell r="CT619" t="str">
            <v/>
          </cell>
          <cell r="CU619" t="str">
            <v/>
          </cell>
          <cell r="CV619" t="str">
            <v/>
          </cell>
          <cell r="CW619" t="str">
            <v/>
          </cell>
        </row>
        <row r="620">
          <cell r="CN620" t="str">
            <v/>
          </cell>
          <cell r="CO620" t="str">
            <v/>
          </cell>
          <cell r="CT620" t="str">
            <v/>
          </cell>
          <cell r="CU620" t="str">
            <v/>
          </cell>
          <cell r="CV620" t="str">
            <v/>
          </cell>
          <cell r="CW620" t="str">
            <v/>
          </cell>
        </row>
        <row r="621">
          <cell r="CN621" t="str">
            <v/>
          </cell>
          <cell r="CO621" t="str">
            <v/>
          </cell>
          <cell r="CT621" t="str">
            <v/>
          </cell>
          <cell r="CU621" t="str">
            <v/>
          </cell>
          <cell r="CV621" t="str">
            <v/>
          </cell>
          <cell r="CW621" t="str">
            <v/>
          </cell>
        </row>
        <row r="622">
          <cell r="CN622" t="str">
            <v/>
          </cell>
          <cell r="CO622" t="str">
            <v/>
          </cell>
          <cell r="CT622" t="str">
            <v/>
          </cell>
          <cell r="CU622" t="str">
            <v/>
          </cell>
          <cell r="CV622" t="str">
            <v/>
          </cell>
          <cell r="CW622" t="str">
            <v/>
          </cell>
        </row>
        <row r="623">
          <cell r="CN623" t="str">
            <v/>
          </cell>
          <cell r="CO623" t="str">
            <v/>
          </cell>
          <cell r="CT623" t="str">
            <v/>
          </cell>
          <cell r="CU623" t="str">
            <v/>
          </cell>
          <cell r="CV623" t="str">
            <v/>
          </cell>
          <cell r="CW623" t="str">
            <v/>
          </cell>
        </row>
        <row r="624">
          <cell r="CN624" t="str">
            <v/>
          </cell>
          <cell r="CO624" t="str">
            <v/>
          </cell>
          <cell r="CT624" t="str">
            <v/>
          </cell>
          <cell r="CU624" t="str">
            <v/>
          </cell>
          <cell r="CV624" t="str">
            <v/>
          </cell>
          <cell r="CW624" t="str">
            <v/>
          </cell>
        </row>
        <row r="625">
          <cell r="CN625" t="str">
            <v/>
          </cell>
          <cell r="CO625" t="str">
            <v/>
          </cell>
          <cell r="CT625" t="str">
            <v/>
          </cell>
          <cell r="CU625" t="str">
            <v/>
          </cell>
          <cell r="CV625" t="str">
            <v/>
          </cell>
          <cell r="CW625" t="str">
            <v/>
          </cell>
        </row>
        <row r="626">
          <cell r="CN626" t="str">
            <v/>
          </cell>
          <cell r="CO626" t="str">
            <v/>
          </cell>
          <cell r="CT626" t="str">
            <v/>
          </cell>
          <cell r="CU626" t="str">
            <v/>
          </cell>
          <cell r="CV626" t="str">
            <v/>
          </cell>
          <cell r="CW626" t="str">
            <v/>
          </cell>
        </row>
        <row r="627">
          <cell r="CN627" t="str">
            <v/>
          </cell>
          <cell r="CO627" t="str">
            <v/>
          </cell>
          <cell r="CT627" t="str">
            <v/>
          </cell>
          <cell r="CU627" t="str">
            <v/>
          </cell>
          <cell r="CV627" t="str">
            <v/>
          </cell>
          <cell r="CW627" t="str">
            <v/>
          </cell>
        </row>
        <row r="628">
          <cell r="CN628" t="str">
            <v/>
          </cell>
          <cell r="CO628" t="str">
            <v/>
          </cell>
          <cell r="CT628" t="str">
            <v/>
          </cell>
          <cell r="CU628" t="str">
            <v/>
          </cell>
          <cell r="CV628" t="str">
            <v/>
          </cell>
          <cell r="CW628" t="str">
            <v/>
          </cell>
        </row>
        <row r="629">
          <cell r="CN629" t="str">
            <v/>
          </cell>
          <cell r="CO629" t="str">
            <v/>
          </cell>
          <cell r="CT629" t="str">
            <v/>
          </cell>
          <cell r="CU629" t="str">
            <v/>
          </cell>
          <cell r="CV629" t="str">
            <v/>
          </cell>
          <cell r="CW629" t="str">
            <v/>
          </cell>
        </row>
        <row r="630">
          <cell r="CN630" t="str">
            <v/>
          </cell>
          <cell r="CO630" t="str">
            <v/>
          </cell>
          <cell r="CT630" t="str">
            <v/>
          </cell>
          <cell r="CU630" t="str">
            <v/>
          </cell>
          <cell r="CV630" t="str">
            <v/>
          </cell>
          <cell r="CW630" t="str">
            <v/>
          </cell>
        </row>
        <row r="631">
          <cell r="CN631" t="str">
            <v/>
          </cell>
          <cell r="CO631" t="str">
            <v/>
          </cell>
          <cell r="CT631" t="str">
            <v/>
          </cell>
          <cell r="CU631" t="str">
            <v/>
          </cell>
          <cell r="CV631" t="str">
            <v/>
          </cell>
          <cell r="CW631" t="str">
            <v/>
          </cell>
        </row>
        <row r="632">
          <cell r="CN632" t="str">
            <v/>
          </cell>
          <cell r="CO632" t="str">
            <v/>
          </cell>
          <cell r="CT632" t="str">
            <v/>
          </cell>
          <cell r="CU632" t="str">
            <v/>
          </cell>
          <cell r="CV632" t="str">
            <v/>
          </cell>
          <cell r="CW632" t="str">
            <v/>
          </cell>
        </row>
        <row r="633">
          <cell r="CN633" t="str">
            <v/>
          </cell>
          <cell r="CO633" t="str">
            <v/>
          </cell>
          <cell r="CT633" t="str">
            <v/>
          </cell>
          <cell r="CU633" t="str">
            <v/>
          </cell>
          <cell r="CV633" t="str">
            <v/>
          </cell>
          <cell r="CW633" t="str">
            <v/>
          </cell>
        </row>
        <row r="634">
          <cell r="CN634" t="str">
            <v/>
          </cell>
          <cell r="CO634" t="str">
            <v/>
          </cell>
          <cell r="CT634" t="str">
            <v/>
          </cell>
          <cell r="CU634" t="str">
            <v/>
          </cell>
          <cell r="CV634" t="str">
            <v/>
          </cell>
          <cell r="CW634" t="str">
            <v/>
          </cell>
        </row>
        <row r="635">
          <cell r="CN635" t="str">
            <v/>
          </cell>
          <cell r="CO635" t="str">
            <v/>
          </cell>
          <cell r="CT635" t="str">
            <v/>
          </cell>
          <cell r="CU635" t="str">
            <v/>
          </cell>
          <cell r="CV635" t="str">
            <v/>
          </cell>
          <cell r="CW635" t="str">
            <v/>
          </cell>
        </row>
        <row r="636">
          <cell r="CN636" t="str">
            <v/>
          </cell>
          <cell r="CO636" t="str">
            <v/>
          </cell>
          <cell r="CT636" t="str">
            <v/>
          </cell>
          <cell r="CU636" t="str">
            <v/>
          </cell>
          <cell r="CV636" t="str">
            <v/>
          </cell>
          <cell r="CW636" t="str">
            <v/>
          </cell>
        </row>
        <row r="637">
          <cell r="CN637" t="str">
            <v/>
          </cell>
          <cell r="CO637" t="str">
            <v/>
          </cell>
          <cell r="CT637" t="str">
            <v/>
          </cell>
          <cell r="CU637" t="str">
            <v/>
          </cell>
          <cell r="CV637" t="str">
            <v/>
          </cell>
          <cell r="CW637" t="str">
            <v/>
          </cell>
        </row>
        <row r="638">
          <cell r="CN638" t="str">
            <v/>
          </cell>
          <cell r="CO638" t="str">
            <v/>
          </cell>
          <cell r="CT638" t="str">
            <v/>
          </cell>
          <cell r="CU638" t="str">
            <v/>
          </cell>
          <cell r="CV638" t="str">
            <v/>
          </cell>
          <cell r="CW638" t="str">
            <v/>
          </cell>
        </row>
        <row r="639">
          <cell r="CN639" t="str">
            <v/>
          </cell>
          <cell r="CO639" t="str">
            <v/>
          </cell>
          <cell r="CT639" t="str">
            <v/>
          </cell>
          <cell r="CU639" t="str">
            <v/>
          </cell>
          <cell r="CV639" t="str">
            <v/>
          </cell>
          <cell r="CW639" t="str">
            <v/>
          </cell>
        </row>
        <row r="640">
          <cell r="CN640" t="str">
            <v/>
          </cell>
          <cell r="CO640" t="str">
            <v/>
          </cell>
          <cell r="CT640" t="str">
            <v/>
          </cell>
          <cell r="CU640" t="str">
            <v/>
          </cell>
          <cell r="CV640" t="str">
            <v/>
          </cell>
          <cell r="CW640" t="str">
            <v/>
          </cell>
        </row>
        <row r="641">
          <cell r="CN641" t="str">
            <v/>
          </cell>
          <cell r="CO641" t="str">
            <v/>
          </cell>
          <cell r="CT641" t="str">
            <v/>
          </cell>
          <cell r="CU641" t="str">
            <v/>
          </cell>
          <cell r="CV641" t="str">
            <v/>
          </cell>
          <cell r="CW641" t="str">
            <v/>
          </cell>
        </row>
        <row r="642">
          <cell r="CN642" t="str">
            <v/>
          </cell>
          <cell r="CO642" t="str">
            <v/>
          </cell>
          <cell r="CT642" t="str">
            <v/>
          </cell>
          <cell r="CU642" t="str">
            <v/>
          </cell>
          <cell r="CV642" t="str">
            <v/>
          </cell>
          <cell r="CW642" t="str">
            <v/>
          </cell>
        </row>
        <row r="643">
          <cell r="CN643" t="str">
            <v/>
          </cell>
          <cell r="CO643" t="str">
            <v/>
          </cell>
          <cell r="CT643" t="str">
            <v/>
          </cell>
          <cell r="CU643" t="str">
            <v/>
          </cell>
          <cell r="CV643" t="str">
            <v/>
          </cell>
          <cell r="CW643" t="str">
            <v/>
          </cell>
        </row>
        <row r="644">
          <cell r="CN644" t="str">
            <v/>
          </cell>
          <cell r="CO644" t="str">
            <v/>
          </cell>
          <cell r="CT644" t="str">
            <v/>
          </cell>
          <cell r="CU644" t="str">
            <v/>
          </cell>
          <cell r="CV644" t="str">
            <v/>
          </cell>
          <cell r="CW644" t="str">
            <v/>
          </cell>
        </row>
        <row r="645">
          <cell r="CN645" t="str">
            <v/>
          </cell>
          <cell r="CO645" t="str">
            <v/>
          </cell>
          <cell r="CT645" t="str">
            <v/>
          </cell>
          <cell r="CU645" t="str">
            <v/>
          </cell>
          <cell r="CV645" t="str">
            <v/>
          </cell>
          <cell r="CW645" t="str">
            <v/>
          </cell>
        </row>
        <row r="646">
          <cell r="CN646" t="str">
            <v/>
          </cell>
          <cell r="CO646" t="str">
            <v/>
          </cell>
          <cell r="CT646" t="str">
            <v/>
          </cell>
          <cell r="CU646" t="str">
            <v/>
          </cell>
          <cell r="CV646" t="str">
            <v/>
          </cell>
          <cell r="CW646" t="str">
            <v/>
          </cell>
        </row>
        <row r="647">
          <cell r="CN647" t="str">
            <v/>
          </cell>
          <cell r="CO647" t="str">
            <v/>
          </cell>
          <cell r="CT647" t="str">
            <v/>
          </cell>
          <cell r="CU647" t="str">
            <v/>
          </cell>
          <cell r="CV647" t="str">
            <v/>
          </cell>
          <cell r="CW647" t="str">
            <v/>
          </cell>
        </row>
        <row r="648">
          <cell r="CN648" t="str">
            <v/>
          </cell>
          <cell r="CO648" t="str">
            <v/>
          </cell>
          <cell r="CT648" t="str">
            <v/>
          </cell>
          <cell r="CU648" t="str">
            <v/>
          </cell>
          <cell r="CV648" t="str">
            <v/>
          </cell>
          <cell r="CW648" t="str">
            <v/>
          </cell>
        </row>
        <row r="649">
          <cell r="CN649" t="str">
            <v/>
          </cell>
          <cell r="CO649" t="str">
            <v/>
          </cell>
          <cell r="CT649" t="str">
            <v/>
          </cell>
          <cell r="CU649" t="str">
            <v/>
          </cell>
          <cell r="CV649" t="str">
            <v/>
          </cell>
          <cell r="CW649" t="str">
            <v/>
          </cell>
        </row>
        <row r="650">
          <cell r="CN650" t="str">
            <v/>
          </cell>
          <cell r="CO650" t="str">
            <v/>
          </cell>
          <cell r="CT650" t="str">
            <v/>
          </cell>
          <cell r="CU650" t="str">
            <v/>
          </cell>
          <cell r="CV650" t="str">
            <v/>
          </cell>
          <cell r="CW650" t="str">
            <v/>
          </cell>
        </row>
        <row r="651">
          <cell r="CN651" t="str">
            <v/>
          </cell>
          <cell r="CO651" t="str">
            <v/>
          </cell>
          <cell r="CT651" t="str">
            <v/>
          </cell>
          <cell r="CU651" t="str">
            <v/>
          </cell>
          <cell r="CV651" t="str">
            <v/>
          </cell>
          <cell r="CW651" t="str">
            <v/>
          </cell>
        </row>
        <row r="652">
          <cell r="CN652" t="str">
            <v/>
          </cell>
          <cell r="CO652" t="str">
            <v/>
          </cell>
          <cell r="CT652" t="str">
            <v/>
          </cell>
          <cell r="CU652" t="str">
            <v/>
          </cell>
          <cell r="CV652" t="str">
            <v/>
          </cell>
          <cell r="CW652" t="str">
            <v/>
          </cell>
        </row>
        <row r="653">
          <cell r="CN653" t="str">
            <v/>
          </cell>
          <cell r="CO653" t="str">
            <v/>
          </cell>
          <cell r="CT653" t="str">
            <v/>
          </cell>
          <cell r="CU653" t="str">
            <v/>
          </cell>
          <cell r="CV653" t="str">
            <v/>
          </cell>
          <cell r="CW653" t="str">
            <v/>
          </cell>
        </row>
        <row r="654">
          <cell r="CN654" t="str">
            <v/>
          </cell>
          <cell r="CO654" t="str">
            <v/>
          </cell>
          <cell r="CT654" t="str">
            <v/>
          </cell>
          <cell r="CU654" t="str">
            <v/>
          </cell>
          <cell r="CV654" t="str">
            <v/>
          </cell>
          <cell r="CW654" t="str">
            <v/>
          </cell>
        </row>
        <row r="655">
          <cell r="CN655" t="str">
            <v/>
          </cell>
          <cell r="CO655" t="str">
            <v/>
          </cell>
          <cell r="CT655" t="str">
            <v/>
          </cell>
          <cell r="CU655" t="str">
            <v/>
          </cell>
          <cell r="CV655" t="str">
            <v/>
          </cell>
          <cell r="CW655" t="str">
            <v/>
          </cell>
        </row>
        <row r="656">
          <cell r="CN656" t="str">
            <v/>
          </cell>
          <cell r="CO656" t="str">
            <v/>
          </cell>
          <cell r="CT656" t="str">
            <v/>
          </cell>
          <cell r="CU656" t="str">
            <v/>
          </cell>
          <cell r="CV656" t="str">
            <v/>
          </cell>
          <cell r="CW656" t="str">
            <v/>
          </cell>
        </row>
        <row r="657">
          <cell r="CN657" t="str">
            <v/>
          </cell>
          <cell r="CO657" t="str">
            <v/>
          </cell>
          <cell r="CT657" t="str">
            <v/>
          </cell>
          <cell r="CU657" t="str">
            <v/>
          </cell>
          <cell r="CV657" t="str">
            <v/>
          </cell>
          <cell r="CW657" t="str">
            <v/>
          </cell>
        </row>
        <row r="658">
          <cell r="CN658" t="str">
            <v/>
          </cell>
          <cell r="CO658" t="str">
            <v/>
          </cell>
          <cell r="CT658" t="str">
            <v/>
          </cell>
          <cell r="CU658" t="str">
            <v/>
          </cell>
          <cell r="CV658" t="str">
            <v/>
          </cell>
          <cell r="CW658" t="str">
            <v/>
          </cell>
        </row>
        <row r="659">
          <cell r="CN659" t="str">
            <v/>
          </cell>
          <cell r="CO659" t="str">
            <v/>
          </cell>
          <cell r="CT659" t="str">
            <v/>
          </cell>
          <cell r="CU659" t="str">
            <v/>
          </cell>
          <cell r="CV659" t="str">
            <v/>
          </cell>
          <cell r="CW659" t="str">
            <v/>
          </cell>
        </row>
        <row r="660">
          <cell r="CN660" t="str">
            <v/>
          </cell>
          <cell r="CO660" t="str">
            <v/>
          </cell>
          <cell r="CT660" t="str">
            <v/>
          </cell>
          <cell r="CU660" t="str">
            <v/>
          </cell>
          <cell r="CV660" t="str">
            <v/>
          </cell>
          <cell r="CW660" t="str">
            <v/>
          </cell>
        </row>
        <row r="661">
          <cell r="CN661" t="str">
            <v/>
          </cell>
          <cell r="CO661" t="str">
            <v/>
          </cell>
          <cell r="CT661" t="str">
            <v/>
          </cell>
          <cell r="CU661" t="str">
            <v/>
          </cell>
          <cell r="CV661" t="str">
            <v/>
          </cell>
          <cell r="CW661" t="str">
            <v/>
          </cell>
        </row>
        <row r="662">
          <cell r="CN662" t="str">
            <v/>
          </cell>
          <cell r="CO662" t="str">
            <v/>
          </cell>
          <cell r="CT662" t="str">
            <v/>
          </cell>
          <cell r="CU662" t="str">
            <v/>
          </cell>
          <cell r="CV662" t="str">
            <v/>
          </cell>
          <cell r="CW662" t="str">
            <v/>
          </cell>
        </row>
        <row r="663">
          <cell r="CN663" t="str">
            <v/>
          </cell>
          <cell r="CO663" t="str">
            <v/>
          </cell>
          <cell r="CT663" t="str">
            <v/>
          </cell>
          <cell r="CU663" t="str">
            <v/>
          </cell>
          <cell r="CV663" t="str">
            <v/>
          </cell>
          <cell r="CW663" t="str">
            <v/>
          </cell>
        </row>
        <row r="664">
          <cell r="CN664" t="str">
            <v/>
          </cell>
          <cell r="CO664" t="str">
            <v/>
          </cell>
          <cell r="CT664" t="str">
            <v/>
          </cell>
          <cell r="CU664" t="str">
            <v/>
          </cell>
          <cell r="CV664" t="str">
            <v/>
          </cell>
          <cell r="CW664" t="str">
            <v/>
          </cell>
        </row>
        <row r="665">
          <cell r="CN665" t="str">
            <v/>
          </cell>
          <cell r="CO665" t="str">
            <v/>
          </cell>
          <cell r="CT665" t="str">
            <v/>
          </cell>
          <cell r="CU665" t="str">
            <v/>
          </cell>
          <cell r="CV665" t="str">
            <v/>
          </cell>
          <cell r="CW665" t="str">
            <v/>
          </cell>
        </row>
        <row r="666">
          <cell r="CN666" t="str">
            <v/>
          </cell>
          <cell r="CO666" t="str">
            <v/>
          </cell>
          <cell r="CT666" t="str">
            <v/>
          </cell>
          <cell r="CU666" t="str">
            <v/>
          </cell>
          <cell r="CV666" t="str">
            <v/>
          </cell>
          <cell r="CW666" t="str">
            <v/>
          </cell>
        </row>
        <row r="667">
          <cell r="CN667" t="str">
            <v/>
          </cell>
          <cell r="CO667" t="str">
            <v/>
          </cell>
          <cell r="CT667" t="str">
            <v/>
          </cell>
          <cell r="CU667" t="str">
            <v/>
          </cell>
          <cell r="CV667" t="str">
            <v/>
          </cell>
          <cell r="CW667" t="str">
            <v/>
          </cell>
        </row>
        <row r="668">
          <cell r="CN668" t="str">
            <v/>
          </cell>
          <cell r="CO668" t="str">
            <v/>
          </cell>
          <cell r="CT668" t="str">
            <v/>
          </cell>
          <cell r="CU668" t="str">
            <v/>
          </cell>
          <cell r="CV668" t="str">
            <v/>
          </cell>
          <cell r="CW668" t="str">
            <v/>
          </cell>
        </row>
        <row r="669">
          <cell r="CN669" t="str">
            <v/>
          </cell>
          <cell r="CO669" t="str">
            <v/>
          </cell>
          <cell r="CT669" t="str">
            <v/>
          </cell>
          <cell r="CU669" t="str">
            <v/>
          </cell>
          <cell r="CV669" t="str">
            <v/>
          </cell>
          <cell r="CW669" t="str">
            <v/>
          </cell>
        </row>
        <row r="670">
          <cell r="CN670" t="str">
            <v/>
          </cell>
          <cell r="CO670" t="str">
            <v/>
          </cell>
          <cell r="CT670" t="str">
            <v/>
          </cell>
          <cell r="CU670" t="str">
            <v/>
          </cell>
          <cell r="CV670" t="str">
            <v/>
          </cell>
          <cell r="CW670" t="str">
            <v/>
          </cell>
        </row>
        <row r="671">
          <cell r="CN671" t="str">
            <v/>
          </cell>
          <cell r="CO671" t="str">
            <v/>
          </cell>
          <cell r="CT671" t="str">
            <v/>
          </cell>
          <cell r="CU671" t="str">
            <v/>
          </cell>
          <cell r="CV671" t="str">
            <v/>
          </cell>
          <cell r="CW671" t="str">
            <v/>
          </cell>
        </row>
        <row r="672">
          <cell r="CN672" t="str">
            <v/>
          </cell>
          <cell r="CO672" t="str">
            <v/>
          </cell>
          <cell r="CT672" t="str">
            <v/>
          </cell>
          <cell r="CU672" t="str">
            <v/>
          </cell>
          <cell r="CV672" t="str">
            <v/>
          </cell>
          <cell r="CW672" t="str">
            <v/>
          </cell>
        </row>
        <row r="673">
          <cell r="CN673" t="str">
            <v/>
          </cell>
          <cell r="CO673" t="str">
            <v/>
          </cell>
          <cell r="CT673" t="str">
            <v/>
          </cell>
          <cell r="CU673" t="str">
            <v/>
          </cell>
          <cell r="CV673" t="str">
            <v/>
          </cell>
          <cell r="CW673" t="str">
            <v/>
          </cell>
        </row>
        <row r="674">
          <cell r="CN674" t="str">
            <v/>
          </cell>
          <cell r="CO674" t="str">
            <v/>
          </cell>
          <cell r="CT674" t="str">
            <v/>
          </cell>
          <cell r="CU674" t="str">
            <v/>
          </cell>
          <cell r="CV674" t="str">
            <v/>
          </cell>
          <cell r="CW674" t="str">
            <v/>
          </cell>
        </row>
        <row r="675">
          <cell r="CN675" t="str">
            <v/>
          </cell>
          <cell r="CO675" t="str">
            <v/>
          </cell>
          <cell r="CT675" t="str">
            <v/>
          </cell>
          <cell r="CU675" t="str">
            <v/>
          </cell>
          <cell r="CV675" t="str">
            <v/>
          </cell>
          <cell r="CW675" t="str">
            <v/>
          </cell>
        </row>
        <row r="676">
          <cell r="CN676" t="str">
            <v/>
          </cell>
          <cell r="CO676" t="str">
            <v/>
          </cell>
          <cell r="CT676" t="str">
            <v/>
          </cell>
          <cell r="CU676" t="str">
            <v/>
          </cell>
          <cell r="CV676" t="str">
            <v/>
          </cell>
          <cell r="CW676" t="str">
            <v/>
          </cell>
        </row>
        <row r="677">
          <cell r="CN677" t="str">
            <v/>
          </cell>
          <cell r="CO677" t="str">
            <v/>
          </cell>
          <cell r="CT677" t="str">
            <v/>
          </cell>
          <cell r="CU677" t="str">
            <v/>
          </cell>
          <cell r="CV677" t="str">
            <v/>
          </cell>
          <cell r="CW677" t="str">
            <v/>
          </cell>
        </row>
        <row r="678">
          <cell r="CN678" t="str">
            <v/>
          </cell>
          <cell r="CO678" t="str">
            <v/>
          </cell>
          <cell r="CT678" t="str">
            <v/>
          </cell>
          <cell r="CU678" t="str">
            <v/>
          </cell>
          <cell r="CV678" t="str">
            <v/>
          </cell>
          <cell r="CW678" t="str">
            <v/>
          </cell>
        </row>
        <row r="679">
          <cell r="CN679" t="str">
            <v/>
          </cell>
          <cell r="CO679" t="str">
            <v/>
          </cell>
          <cell r="CT679" t="str">
            <v/>
          </cell>
          <cell r="CU679" t="str">
            <v/>
          </cell>
          <cell r="CV679" t="str">
            <v/>
          </cell>
          <cell r="CW679" t="str">
            <v/>
          </cell>
        </row>
        <row r="680">
          <cell r="CN680" t="str">
            <v/>
          </cell>
          <cell r="CO680" t="str">
            <v/>
          </cell>
          <cell r="CT680" t="str">
            <v/>
          </cell>
          <cell r="CU680" t="str">
            <v/>
          </cell>
          <cell r="CV680" t="str">
            <v/>
          </cell>
          <cell r="CW680" t="str">
            <v/>
          </cell>
        </row>
        <row r="681">
          <cell r="CN681" t="str">
            <v/>
          </cell>
          <cell r="CO681" t="str">
            <v/>
          </cell>
          <cell r="CT681" t="str">
            <v/>
          </cell>
          <cell r="CU681" t="str">
            <v/>
          </cell>
          <cell r="CV681" t="str">
            <v/>
          </cell>
          <cell r="CW681" t="str">
            <v/>
          </cell>
        </row>
        <row r="682">
          <cell r="CN682" t="str">
            <v/>
          </cell>
          <cell r="CO682" t="str">
            <v/>
          </cell>
          <cell r="CT682" t="str">
            <v/>
          </cell>
          <cell r="CU682" t="str">
            <v/>
          </cell>
          <cell r="CV682" t="str">
            <v/>
          </cell>
          <cell r="CW682" t="str">
            <v/>
          </cell>
        </row>
        <row r="683">
          <cell r="CN683" t="str">
            <v/>
          </cell>
          <cell r="CO683" t="str">
            <v/>
          </cell>
          <cell r="CT683" t="str">
            <v/>
          </cell>
          <cell r="CU683" t="str">
            <v/>
          </cell>
          <cell r="CV683" t="str">
            <v/>
          </cell>
          <cell r="CW683" t="str">
            <v/>
          </cell>
        </row>
        <row r="684">
          <cell r="CN684" t="str">
            <v/>
          </cell>
          <cell r="CO684" t="str">
            <v/>
          </cell>
          <cell r="CT684" t="str">
            <v/>
          </cell>
          <cell r="CU684" t="str">
            <v/>
          </cell>
          <cell r="CV684" t="str">
            <v/>
          </cell>
          <cell r="CW684" t="str">
            <v/>
          </cell>
        </row>
        <row r="685">
          <cell r="CN685" t="str">
            <v/>
          </cell>
          <cell r="CO685" t="str">
            <v/>
          </cell>
          <cell r="CT685" t="str">
            <v/>
          </cell>
          <cell r="CU685" t="str">
            <v/>
          </cell>
          <cell r="CV685" t="str">
            <v/>
          </cell>
          <cell r="CW685" t="str">
            <v/>
          </cell>
        </row>
        <row r="686">
          <cell r="CN686" t="str">
            <v/>
          </cell>
          <cell r="CO686" t="str">
            <v/>
          </cell>
          <cell r="CT686" t="str">
            <v/>
          </cell>
          <cell r="CU686" t="str">
            <v/>
          </cell>
          <cell r="CV686" t="str">
            <v/>
          </cell>
          <cell r="CW686" t="str">
            <v/>
          </cell>
        </row>
        <row r="687">
          <cell r="CN687" t="str">
            <v/>
          </cell>
          <cell r="CO687" t="str">
            <v/>
          </cell>
          <cell r="CT687" t="str">
            <v/>
          </cell>
          <cell r="CU687" t="str">
            <v/>
          </cell>
          <cell r="CV687" t="str">
            <v/>
          </cell>
          <cell r="CW687" t="str">
            <v/>
          </cell>
        </row>
        <row r="688">
          <cell r="CN688" t="str">
            <v/>
          </cell>
          <cell r="CO688" t="str">
            <v/>
          </cell>
          <cell r="CT688" t="str">
            <v/>
          </cell>
          <cell r="CU688" t="str">
            <v/>
          </cell>
          <cell r="CV688" t="str">
            <v/>
          </cell>
          <cell r="CW688" t="str">
            <v/>
          </cell>
        </row>
        <row r="689">
          <cell r="CN689" t="str">
            <v/>
          </cell>
          <cell r="CO689" t="str">
            <v/>
          </cell>
          <cell r="CT689" t="str">
            <v/>
          </cell>
          <cell r="CU689" t="str">
            <v/>
          </cell>
          <cell r="CV689" t="str">
            <v/>
          </cell>
          <cell r="CW689" t="str">
            <v/>
          </cell>
        </row>
        <row r="690">
          <cell r="CN690" t="str">
            <v/>
          </cell>
          <cell r="CO690" t="str">
            <v/>
          </cell>
          <cell r="CT690" t="str">
            <v/>
          </cell>
          <cell r="CU690" t="str">
            <v/>
          </cell>
          <cell r="CV690" t="str">
            <v/>
          </cell>
          <cell r="CW690" t="str">
            <v/>
          </cell>
        </row>
        <row r="691">
          <cell r="CN691" t="str">
            <v/>
          </cell>
          <cell r="CO691" t="str">
            <v/>
          </cell>
          <cell r="CT691" t="str">
            <v/>
          </cell>
          <cell r="CU691" t="str">
            <v/>
          </cell>
          <cell r="CV691" t="str">
            <v/>
          </cell>
          <cell r="CW691" t="str">
            <v/>
          </cell>
        </row>
        <row r="692">
          <cell r="CN692" t="str">
            <v/>
          </cell>
          <cell r="CO692" t="str">
            <v/>
          </cell>
          <cell r="CT692" t="str">
            <v/>
          </cell>
          <cell r="CU692" t="str">
            <v/>
          </cell>
          <cell r="CV692" t="str">
            <v/>
          </cell>
          <cell r="CW692" t="str">
            <v/>
          </cell>
        </row>
        <row r="693">
          <cell r="CN693" t="str">
            <v/>
          </cell>
          <cell r="CO693" t="str">
            <v/>
          </cell>
          <cell r="CT693" t="str">
            <v/>
          </cell>
          <cell r="CU693" t="str">
            <v/>
          </cell>
          <cell r="CV693" t="str">
            <v/>
          </cell>
          <cell r="CW693" t="str">
            <v/>
          </cell>
        </row>
        <row r="694">
          <cell r="CN694" t="str">
            <v/>
          </cell>
          <cell r="CO694" t="str">
            <v/>
          </cell>
          <cell r="CT694" t="str">
            <v/>
          </cell>
          <cell r="CU694" t="str">
            <v/>
          </cell>
          <cell r="CV694" t="str">
            <v/>
          </cell>
          <cell r="CW694" t="str">
            <v/>
          </cell>
        </row>
        <row r="695">
          <cell r="CN695" t="str">
            <v/>
          </cell>
          <cell r="CO695" t="str">
            <v/>
          </cell>
          <cell r="CT695" t="str">
            <v/>
          </cell>
          <cell r="CU695" t="str">
            <v/>
          </cell>
          <cell r="CV695" t="str">
            <v/>
          </cell>
          <cell r="CW695" t="str">
            <v/>
          </cell>
        </row>
        <row r="696">
          <cell r="CN696" t="str">
            <v/>
          </cell>
          <cell r="CO696" t="str">
            <v/>
          </cell>
          <cell r="CT696" t="str">
            <v/>
          </cell>
          <cell r="CU696" t="str">
            <v/>
          </cell>
          <cell r="CV696" t="str">
            <v/>
          </cell>
          <cell r="CW696" t="str">
            <v/>
          </cell>
        </row>
        <row r="697">
          <cell r="CN697" t="str">
            <v/>
          </cell>
          <cell r="CO697" t="str">
            <v/>
          </cell>
          <cell r="CT697" t="str">
            <v/>
          </cell>
          <cell r="CU697" t="str">
            <v/>
          </cell>
          <cell r="CV697" t="str">
            <v/>
          </cell>
          <cell r="CW697" t="str">
            <v/>
          </cell>
        </row>
        <row r="698">
          <cell r="CN698" t="str">
            <v/>
          </cell>
          <cell r="CO698" t="str">
            <v/>
          </cell>
          <cell r="CT698" t="str">
            <v/>
          </cell>
          <cell r="CU698" t="str">
            <v/>
          </cell>
          <cell r="CV698" t="str">
            <v/>
          </cell>
          <cell r="CW698" t="str">
            <v/>
          </cell>
        </row>
        <row r="699">
          <cell r="CN699" t="str">
            <v/>
          </cell>
          <cell r="CO699" t="str">
            <v/>
          </cell>
          <cell r="CT699" t="str">
            <v/>
          </cell>
          <cell r="CU699" t="str">
            <v/>
          </cell>
          <cell r="CV699" t="str">
            <v/>
          </cell>
          <cell r="CW699" t="str">
            <v/>
          </cell>
        </row>
        <row r="700">
          <cell r="CN700" t="str">
            <v/>
          </cell>
          <cell r="CO700" t="str">
            <v/>
          </cell>
          <cell r="CT700" t="str">
            <v/>
          </cell>
          <cell r="CU700" t="str">
            <v/>
          </cell>
          <cell r="CV700" t="str">
            <v/>
          </cell>
          <cell r="CW700" t="str">
            <v/>
          </cell>
        </row>
        <row r="701">
          <cell r="CN701" t="str">
            <v/>
          </cell>
          <cell r="CO701" t="str">
            <v/>
          </cell>
          <cell r="CT701" t="str">
            <v/>
          </cell>
          <cell r="CU701" t="str">
            <v/>
          </cell>
          <cell r="CV701" t="str">
            <v/>
          </cell>
          <cell r="CW701" t="str">
            <v/>
          </cell>
        </row>
        <row r="702">
          <cell r="CN702" t="str">
            <v/>
          </cell>
          <cell r="CO702" t="str">
            <v/>
          </cell>
          <cell r="CT702" t="str">
            <v/>
          </cell>
          <cell r="CU702" t="str">
            <v/>
          </cell>
          <cell r="CV702" t="str">
            <v/>
          </cell>
          <cell r="CW702" t="str">
            <v/>
          </cell>
        </row>
        <row r="703">
          <cell r="CN703" t="str">
            <v/>
          </cell>
          <cell r="CO703" t="str">
            <v/>
          </cell>
          <cell r="CT703" t="str">
            <v/>
          </cell>
          <cell r="CU703" t="str">
            <v/>
          </cell>
          <cell r="CV703" t="str">
            <v/>
          </cell>
          <cell r="CW703" t="str">
            <v/>
          </cell>
        </row>
        <row r="704">
          <cell r="CN704" t="str">
            <v/>
          </cell>
          <cell r="CO704" t="str">
            <v/>
          </cell>
          <cell r="CT704" t="str">
            <v/>
          </cell>
          <cell r="CU704" t="str">
            <v/>
          </cell>
          <cell r="CV704" t="str">
            <v/>
          </cell>
          <cell r="CW704" t="str">
            <v/>
          </cell>
        </row>
        <row r="705">
          <cell r="CN705" t="str">
            <v/>
          </cell>
          <cell r="CO705" t="str">
            <v/>
          </cell>
          <cell r="CT705" t="str">
            <v/>
          </cell>
          <cell r="CU705" t="str">
            <v/>
          </cell>
          <cell r="CV705" t="str">
            <v/>
          </cell>
          <cell r="CW705" t="str">
            <v/>
          </cell>
        </row>
        <row r="706">
          <cell r="CN706" t="str">
            <v/>
          </cell>
          <cell r="CO706" t="str">
            <v/>
          </cell>
          <cell r="CT706" t="str">
            <v/>
          </cell>
          <cell r="CU706" t="str">
            <v/>
          </cell>
          <cell r="CV706" t="str">
            <v/>
          </cell>
          <cell r="CW706" t="str">
            <v/>
          </cell>
        </row>
        <row r="707">
          <cell r="CN707" t="str">
            <v/>
          </cell>
          <cell r="CO707" t="str">
            <v/>
          </cell>
          <cell r="CT707" t="str">
            <v/>
          </cell>
          <cell r="CU707" t="str">
            <v/>
          </cell>
          <cell r="CV707" t="str">
            <v/>
          </cell>
          <cell r="CW707" t="str">
            <v/>
          </cell>
        </row>
        <row r="708">
          <cell r="CN708" t="str">
            <v/>
          </cell>
          <cell r="CO708" t="str">
            <v/>
          </cell>
          <cell r="CT708" t="str">
            <v/>
          </cell>
          <cell r="CU708" t="str">
            <v/>
          </cell>
          <cell r="CV708" t="str">
            <v/>
          </cell>
          <cell r="CW708" t="str">
            <v/>
          </cell>
        </row>
        <row r="709">
          <cell r="CN709" t="str">
            <v/>
          </cell>
          <cell r="CO709" t="str">
            <v/>
          </cell>
          <cell r="CT709" t="str">
            <v/>
          </cell>
          <cell r="CU709" t="str">
            <v/>
          </cell>
          <cell r="CV709" t="str">
            <v/>
          </cell>
          <cell r="CW709" t="str">
            <v/>
          </cell>
        </row>
        <row r="710">
          <cell r="CN710" t="str">
            <v/>
          </cell>
          <cell r="CO710" t="str">
            <v/>
          </cell>
          <cell r="CT710" t="str">
            <v/>
          </cell>
          <cell r="CU710" t="str">
            <v/>
          </cell>
          <cell r="CV710" t="str">
            <v/>
          </cell>
          <cell r="CW710" t="str">
            <v/>
          </cell>
        </row>
        <row r="711">
          <cell r="CN711" t="str">
            <v/>
          </cell>
          <cell r="CO711" t="str">
            <v/>
          </cell>
          <cell r="CT711" t="str">
            <v/>
          </cell>
          <cell r="CU711" t="str">
            <v/>
          </cell>
          <cell r="CV711" t="str">
            <v/>
          </cell>
          <cell r="CW711" t="str">
            <v/>
          </cell>
        </row>
        <row r="712">
          <cell r="CN712" t="str">
            <v/>
          </cell>
          <cell r="CO712" t="str">
            <v/>
          </cell>
          <cell r="CT712" t="str">
            <v/>
          </cell>
          <cell r="CU712" t="str">
            <v/>
          </cell>
          <cell r="CV712" t="str">
            <v/>
          </cell>
          <cell r="CW712" t="str">
            <v/>
          </cell>
        </row>
        <row r="713">
          <cell r="CN713" t="str">
            <v/>
          </cell>
          <cell r="CO713" t="str">
            <v/>
          </cell>
          <cell r="CT713" t="str">
            <v/>
          </cell>
          <cell r="CU713" t="str">
            <v/>
          </cell>
          <cell r="CV713" t="str">
            <v/>
          </cell>
          <cell r="CW713" t="str">
            <v/>
          </cell>
        </row>
        <row r="714">
          <cell r="CN714" t="str">
            <v/>
          </cell>
          <cell r="CO714" t="str">
            <v/>
          </cell>
          <cell r="CT714" t="str">
            <v/>
          </cell>
          <cell r="CU714" t="str">
            <v/>
          </cell>
          <cell r="CV714" t="str">
            <v/>
          </cell>
          <cell r="CW714" t="str">
            <v/>
          </cell>
        </row>
        <row r="715">
          <cell r="CN715" t="str">
            <v/>
          </cell>
          <cell r="CO715" t="str">
            <v/>
          </cell>
          <cell r="CT715" t="str">
            <v/>
          </cell>
          <cell r="CU715" t="str">
            <v/>
          </cell>
          <cell r="CV715" t="str">
            <v/>
          </cell>
          <cell r="CW715" t="str">
            <v/>
          </cell>
        </row>
        <row r="716">
          <cell r="CN716" t="str">
            <v/>
          </cell>
          <cell r="CO716" t="str">
            <v/>
          </cell>
          <cell r="CT716" t="str">
            <v/>
          </cell>
          <cell r="CU716" t="str">
            <v/>
          </cell>
          <cell r="CV716" t="str">
            <v/>
          </cell>
          <cell r="CW716" t="str">
            <v/>
          </cell>
        </row>
        <row r="717">
          <cell r="CN717" t="str">
            <v/>
          </cell>
          <cell r="CO717" t="str">
            <v/>
          </cell>
          <cell r="CT717" t="str">
            <v/>
          </cell>
          <cell r="CU717" t="str">
            <v/>
          </cell>
          <cell r="CV717" t="str">
            <v/>
          </cell>
          <cell r="CW717" t="str">
            <v/>
          </cell>
        </row>
        <row r="718">
          <cell r="CN718" t="str">
            <v/>
          </cell>
          <cell r="CO718" t="str">
            <v/>
          </cell>
          <cell r="CT718" t="str">
            <v/>
          </cell>
          <cell r="CU718" t="str">
            <v/>
          </cell>
          <cell r="CV718" t="str">
            <v/>
          </cell>
          <cell r="CW718" t="str">
            <v/>
          </cell>
        </row>
        <row r="719">
          <cell r="CN719" t="str">
            <v/>
          </cell>
          <cell r="CO719" t="str">
            <v/>
          </cell>
          <cell r="CT719" t="str">
            <v/>
          </cell>
          <cell r="CU719" t="str">
            <v/>
          </cell>
          <cell r="CV719" t="str">
            <v/>
          </cell>
          <cell r="CW719" t="str">
            <v/>
          </cell>
        </row>
        <row r="720">
          <cell r="CN720" t="str">
            <v/>
          </cell>
          <cell r="CO720" t="str">
            <v/>
          </cell>
          <cell r="CT720" t="str">
            <v/>
          </cell>
          <cell r="CU720" t="str">
            <v/>
          </cell>
          <cell r="CV720" t="str">
            <v/>
          </cell>
          <cell r="CW720" t="str">
            <v/>
          </cell>
        </row>
        <row r="721">
          <cell r="CN721" t="str">
            <v/>
          </cell>
          <cell r="CO721" t="str">
            <v/>
          </cell>
          <cell r="CT721" t="str">
            <v/>
          </cell>
          <cell r="CU721" t="str">
            <v/>
          </cell>
          <cell r="CV721" t="str">
            <v/>
          </cell>
          <cell r="CW721" t="str">
            <v/>
          </cell>
        </row>
        <row r="722">
          <cell r="CN722" t="str">
            <v/>
          </cell>
          <cell r="CO722" t="str">
            <v/>
          </cell>
          <cell r="CT722" t="str">
            <v/>
          </cell>
          <cell r="CU722" t="str">
            <v/>
          </cell>
          <cell r="CV722" t="str">
            <v/>
          </cell>
          <cell r="CW722" t="str">
            <v/>
          </cell>
        </row>
        <row r="723">
          <cell r="CN723" t="str">
            <v/>
          </cell>
          <cell r="CO723" t="str">
            <v/>
          </cell>
          <cell r="CT723" t="str">
            <v/>
          </cell>
          <cell r="CU723" t="str">
            <v/>
          </cell>
          <cell r="CV723" t="str">
            <v/>
          </cell>
          <cell r="CW723" t="str">
            <v/>
          </cell>
        </row>
        <row r="724">
          <cell r="CN724" t="str">
            <v/>
          </cell>
          <cell r="CO724" t="str">
            <v/>
          </cell>
          <cell r="CT724" t="str">
            <v/>
          </cell>
          <cell r="CU724" t="str">
            <v/>
          </cell>
          <cell r="CV724" t="str">
            <v/>
          </cell>
          <cell r="CW724" t="str">
            <v/>
          </cell>
        </row>
        <row r="725">
          <cell r="CN725" t="str">
            <v/>
          </cell>
          <cell r="CO725" t="str">
            <v/>
          </cell>
          <cell r="CT725" t="str">
            <v/>
          </cell>
          <cell r="CU725" t="str">
            <v/>
          </cell>
          <cell r="CV725" t="str">
            <v/>
          </cell>
          <cell r="CW725" t="str">
            <v/>
          </cell>
        </row>
        <row r="726">
          <cell r="CN726" t="str">
            <v/>
          </cell>
          <cell r="CO726" t="str">
            <v/>
          </cell>
          <cell r="CT726" t="str">
            <v/>
          </cell>
          <cell r="CU726" t="str">
            <v/>
          </cell>
          <cell r="CV726" t="str">
            <v/>
          </cell>
          <cell r="CW726" t="str">
            <v/>
          </cell>
        </row>
        <row r="727">
          <cell r="CN727" t="str">
            <v/>
          </cell>
          <cell r="CO727" t="str">
            <v/>
          </cell>
          <cell r="CT727" t="str">
            <v/>
          </cell>
          <cell r="CU727" t="str">
            <v/>
          </cell>
          <cell r="CV727" t="str">
            <v/>
          </cell>
          <cell r="CW727" t="str">
            <v/>
          </cell>
        </row>
        <row r="728">
          <cell r="CN728" t="str">
            <v/>
          </cell>
          <cell r="CO728" t="str">
            <v/>
          </cell>
          <cell r="CT728" t="str">
            <v/>
          </cell>
          <cell r="CU728" t="str">
            <v/>
          </cell>
          <cell r="CV728" t="str">
            <v/>
          </cell>
          <cell r="CW728" t="str">
            <v/>
          </cell>
        </row>
        <row r="729">
          <cell r="CN729" t="str">
            <v/>
          </cell>
          <cell r="CO729" t="str">
            <v/>
          </cell>
          <cell r="CT729" t="str">
            <v/>
          </cell>
          <cell r="CU729" t="str">
            <v/>
          </cell>
          <cell r="CV729" t="str">
            <v/>
          </cell>
          <cell r="CW729" t="str">
            <v/>
          </cell>
        </row>
        <row r="730">
          <cell r="CN730" t="str">
            <v/>
          </cell>
          <cell r="CO730" t="str">
            <v/>
          </cell>
          <cell r="CT730" t="str">
            <v/>
          </cell>
          <cell r="CU730" t="str">
            <v/>
          </cell>
          <cell r="CV730" t="str">
            <v/>
          </cell>
          <cell r="CW730" t="str">
            <v/>
          </cell>
        </row>
        <row r="731">
          <cell r="CN731" t="str">
            <v/>
          </cell>
          <cell r="CO731" t="str">
            <v/>
          </cell>
          <cell r="CT731" t="str">
            <v/>
          </cell>
          <cell r="CU731" t="str">
            <v/>
          </cell>
          <cell r="CV731" t="str">
            <v/>
          </cell>
          <cell r="CW731" t="str">
            <v/>
          </cell>
        </row>
        <row r="732">
          <cell r="CN732" t="str">
            <v/>
          </cell>
          <cell r="CO732" t="str">
            <v/>
          </cell>
          <cell r="CT732" t="str">
            <v/>
          </cell>
          <cell r="CU732" t="str">
            <v/>
          </cell>
          <cell r="CV732" t="str">
            <v/>
          </cell>
          <cell r="CW732" t="str">
            <v/>
          </cell>
        </row>
        <row r="733">
          <cell r="CN733" t="str">
            <v/>
          </cell>
          <cell r="CO733" t="str">
            <v/>
          </cell>
          <cell r="CT733" t="str">
            <v/>
          </cell>
          <cell r="CU733" t="str">
            <v/>
          </cell>
          <cell r="CV733" t="str">
            <v/>
          </cell>
          <cell r="CW733" t="str">
            <v/>
          </cell>
        </row>
        <row r="734">
          <cell r="CN734" t="str">
            <v/>
          </cell>
          <cell r="CO734" t="str">
            <v/>
          </cell>
          <cell r="CT734" t="str">
            <v/>
          </cell>
          <cell r="CU734" t="str">
            <v/>
          </cell>
          <cell r="CV734" t="str">
            <v/>
          </cell>
          <cell r="CW734" t="str">
            <v/>
          </cell>
        </row>
        <row r="735">
          <cell r="CN735" t="str">
            <v/>
          </cell>
          <cell r="CO735" t="str">
            <v/>
          </cell>
          <cell r="CT735" t="str">
            <v/>
          </cell>
          <cell r="CU735" t="str">
            <v/>
          </cell>
          <cell r="CV735" t="str">
            <v/>
          </cell>
          <cell r="CW735" t="str">
            <v/>
          </cell>
        </row>
        <row r="736">
          <cell r="CN736" t="str">
            <v/>
          </cell>
          <cell r="CO736" t="str">
            <v/>
          </cell>
          <cell r="CT736" t="str">
            <v/>
          </cell>
          <cell r="CU736" t="str">
            <v/>
          </cell>
          <cell r="CV736" t="str">
            <v/>
          </cell>
          <cell r="CW736" t="str">
            <v/>
          </cell>
        </row>
        <row r="737">
          <cell r="CN737" t="str">
            <v/>
          </cell>
          <cell r="CO737" t="str">
            <v/>
          </cell>
          <cell r="CT737" t="str">
            <v/>
          </cell>
          <cell r="CU737" t="str">
            <v/>
          </cell>
          <cell r="CV737" t="str">
            <v/>
          </cell>
          <cell r="CW737" t="str">
            <v/>
          </cell>
        </row>
        <row r="738">
          <cell r="CN738" t="str">
            <v/>
          </cell>
          <cell r="CO738" t="str">
            <v/>
          </cell>
          <cell r="CT738" t="str">
            <v/>
          </cell>
          <cell r="CU738" t="str">
            <v/>
          </cell>
          <cell r="CV738" t="str">
            <v/>
          </cell>
          <cell r="CW738" t="str">
            <v/>
          </cell>
        </row>
        <row r="739">
          <cell r="CN739" t="str">
            <v/>
          </cell>
          <cell r="CO739" t="str">
            <v/>
          </cell>
          <cell r="CT739" t="str">
            <v/>
          </cell>
          <cell r="CU739" t="str">
            <v/>
          </cell>
          <cell r="CV739" t="str">
            <v/>
          </cell>
          <cell r="CW739" t="str">
            <v/>
          </cell>
        </row>
        <row r="740">
          <cell r="CN740" t="str">
            <v/>
          </cell>
          <cell r="CO740" t="str">
            <v/>
          </cell>
          <cell r="CT740" t="str">
            <v/>
          </cell>
          <cell r="CU740" t="str">
            <v/>
          </cell>
          <cell r="CV740" t="str">
            <v/>
          </cell>
          <cell r="CW740" t="str">
            <v/>
          </cell>
        </row>
        <row r="741">
          <cell r="CN741" t="str">
            <v/>
          </cell>
          <cell r="CO741" t="str">
            <v/>
          </cell>
          <cell r="CT741" t="str">
            <v/>
          </cell>
          <cell r="CU741" t="str">
            <v/>
          </cell>
          <cell r="CV741" t="str">
            <v/>
          </cell>
          <cell r="CW741" t="str">
            <v/>
          </cell>
        </row>
        <row r="742">
          <cell r="CN742" t="str">
            <v/>
          </cell>
          <cell r="CO742" t="str">
            <v/>
          </cell>
          <cell r="CT742" t="str">
            <v/>
          </cell>
          <cell r="CU742" t="str">
            <v/>
          </cell>
          <cell r="CV742" t="str">
            <v/>
          </cell>
          <cell r="CW742" t="str">
            <v/>
          </cell>
        </row>
        <row r="743">
          <cell r="CN743" t="str">
            <v/>
          </cell>
          <cell r="CO743" t="str">
            <v/>
          </cell>
          <cell r="CT743" t="str">
            <v/>
          </cell>
          <cell r="CU743" t="str">
            <v/>
          </cell>
          <cell r="CV743" t="str">
            <v/>
          </cell>
          <cell r="CW743" t="str">
            <v/>
          </cell>
        </row>
        <row r="744">
          <cell r="CN744" t="str">
            <v/>
          </cell>
          <cell r="CO744" t="str">
            <v/>
          </cell>
          <cell r="CT744" t="str">
            <v/>
          </cell>
          <cell r="CU744" t="str">
            <v/>
          </cell>
          <cell r="CV744" t="str">
            <v/>
          </cell>
          <cell r="CW744" t="str">
            <v/>
          </cell>
        </row>
        <row r="745">
          <cell r="CN745" t="str">
            <v/>
          </cell>
          <cell r="CO745" t="str">
            <v/>
          </cell>
          <cell r="CT745" t="str">
            <v/>
          </cell>
          <cell r="CU745" t="str">
            <v/>
          </cell>
          <cell r="CV745" t="str">
            <v/>
          </cell>
          <cell r="CW745" t="str">
            <v/>
          </cell>
        </row>
        <row r="746">
          <cell r="CN746" t="str">
            <v/>
          </cell>
          <cell r="CO746" t="str">
            <v/>
          </cell>
          <cell r="CT746" t="str">
            <v/>
          </cell>
          <cell r="CU746" t="str">
            <v/>
          </cell>
          <cell r="CV746" t="str">
            <v/>
          </cell>
          <cell r="CW746" t="str">
            <v/>
          </cell>
        </row>
        <row r="747">
          <cell r="CN747" t="str">
            <v/>
          </cell>
          <cell r="CO747" t="str">
            <v/>
          </cell>
          <cell r="CT747" t="str">
            <v/>
          </cell>
          <cell r="CU747" t="str">
            <v/>
          </cell>
          <cell r="CV747" t="str">
            <v/>
          </cell>
          <cell r="CW747" t="str">
            <v/>
          </cell>
        </row>
        <row r="748">
          <cell r="CN748" t="str">
            <v/>
          </cell>
          <cell r="CO748" t="str">
            <v/>
          </cell>
          <cell r="CT748" t="str">
            <v/>
          </cell>
          <cell r="CU748" t="str">
            <v/>
          </cell>
          <cell r="CV748" t="str">
            <v/>
          </cell>
          <cell r="CW748" t="str">
            <v/>
          </cell>
        </row>
        <row r="749">
          <cell r="CN749" t="str">
            <v/>
          </cell>
          <cell r="CO749" t="str">
            <v/>
          </cell>
          <cell r="CT749" t="str">
            <v/>
          </cell>
          <cell r="CU749" t="str">
            <v/>
          </cell>
          <cell r="CV749" t="str">
            <v/>
          </cell>
          <cell r="CW749" t="str">
            <v/>
          </cell>
        </row>
        <row r="750">
          <cell r="CN750" t="str">
            <v/>
          </cell>
          <cell r="CO750" t="str">
            <v/>
          </cell>
          <cell r="CT750" t="str">
            <v/>
          </cell>
          <cell r="CU750" t="str">
            <v/>
          </cell>
          <cell r="CV750" t="str">
            <v/>
          </cell>
          <cell r="CW750" t="str">
            <v/>
          </cell>
        </row>
        <row r="751">
          <cell r="CN751" t="str">
            <v/>
          </cell>
          <cell r="CO751" t="str">
            <v/>
          </cell>
          <cell r="CT751" t="str">
            <v/>
          </cell>
          <cell r="CU751" t="str">
            <v/>
          </cell>
          <cell r="CV751" t="str">
            <v/>
          </cell>
          <cell r="CW751" t="str">
            <v/>
          </cell>
        </row>
        <row r="752">
          <cell r="CN752" t="str">
            <v/>
          </cell>
          <cell r="CO752" t="str">
            <v/>
          </cell>
          <cell r="CT752" t="str">
            <v/>
          </cell>
          <cell r="CU752" t="str">
            <v/>
          </cell>
          <cell r="CV752" t="str">
            <v/>
          </cell>
          <cell r="CW752" t="str">
            <v/>
          </cell>
        </row>
        <row r="753">
          <cell r="CN753" t="str">
            <v/>
          </cell>
          <cell r="CO753" t="str">
            <v/>
          </cell>
          <cell r="CT753" t="str">
            <v/>
          </cell>
          <cell r="CU753" t="str">
            <v/>
          </cell>
          <cell r="CV753" t="str">
            <v/>
          </cell>
          <cell r="CW753" t="str">
            <v/>
          </cell>
        </row>
        <row r="754">
          <cell r="CN754" t="str">
            <v/>
          </cell>
          <cell r="CO754" t="str">
            <v/>
          </cell>
          <cell r="CT754" t="str">
            <v/>
          </cell>
          <cell r="CU754" t="str">
            <v/>
          </cell>
          <cell r="CV754" t="str">
            <v/>
          </cell>
          <cell r="CW754" t="str">
            <v/>
          </cell>
        </row>
        <row r="755">
          <cell r="CN755" t="str">
            <v/>
          </cell>
          <cell r="CO755" t="str">
            <v/>
          </cell>
          <cell r="CT755" t="str">
            <v/>
          </cell>
          <cell r="CU755" t="str">
            <v/>
          </cell>
          <cell r="CV755" t="str">
            <v/>
          </cell>
          <cell r="CW755" t="str">
            <v/>
          </cell>
        </row>
        <row r="756">
          <cell r="CN756" t="str">
            <v/>
          </cell>
          <cell r="CO756" t="str">
            <v/>
          </cell>
          <cell r="CT756" t="str">
            <v/>
          </cell>
          <cell r="CU756" t="str">
            <v/>
          </cell>
          <cell r="CV756" t="str">
            <v/>
          </cell>
          <cell r="CW756" t="str">
            <v/>
          </cell>
        </row>
        <row r="757">
          <cell r="CN757" t="str">
            <v/>
          </cell>
          <cell r="CO757" t="str">
            <v/>
          </cell>
          <cell r="CT757" t="str">
            <v/>
          </cell>
          <cell r="CU757" t="str">
            <v/>
          </cell>
          <cell r="CV757" t="str">
            <v/>
          </cell>
          <cell r="CW757" t="str">
            <v/>
          </cell>
        </row>
        <row r="758">
          <cell r="CN758" t="str">
            <v/>
          </cell>
          <cell r="CO758" t="str">
            <v/>
          </cell>
          <cell r="CT758" t="str">
            <v/>
          </cell>
          <cell r="CU758" t="str">
            <v/>
          </cell>
          <cell r="CV758" t="str">
            <v/>
          </cell>
          <cell r="CW758" t="str">
            <v/>
          </cell>
        </row>
        <row r="759">
          <cell r="CN759" t="str">
            <v/>
          </cell>
          <cell r="CO759" t="str">
            <v/>
          </cell>
          <cell r="CT759" t="str">
            <v/>
          </cell>
          <cell r="CU759" t="str">
            <v/>
          </cell>
          <cell r="CV759" t="str">
            <v/>
          </cell>
          <cell r="CW759" t="str">
            <v/>
          </cell>
        </row>
        <row r="760">
          <cell r="CN760" t="str">
            <v/>
          </cell>
          <cell r="CO760" t="str">
            <v/>
          </cell>
          <cell r="CT760" t="str">
            <v/>
          </cell>
          <cell r="CU760" t="str">
            <v/>
          </cell>
          <cell r="CV760" t="str">
            <v/>
          </cell>
          <cell r="CW760" t="str">
            <v/>
          </cell>
        </row>
        <row r="761">
          <cell r="CN761" t="str">
            <v/>
          </cell>
          <cell r="CO761" t="str">
            <v/>
          </cell>
          <cell r="CT761" t="str">
            <v/>
          </cell>
          <cell r="CU761" t="str">
            <v/>
          </cell>
          <cell r="CV761" t="str">
            <v/>
          </cell>
          <cell r="CW761" t="str">
            <v/>
          </cell>
        </row>
        <row r="762">
          <cell r="CN762" t="str">
            <v/>
          </cell>
          <cell r="CO762" t="str">
            <v/>
          </cell>
          <cell r="CT762" t="str">
            <v/>
          </cell>
          <cell r="CU762" t="str">
            <v/>
          </cell>
          <cell r="CV762" t="str">
            <v/>
          </cell>
          <cell r="CW762" t="str">
            <v/>
          </cell>
        </row>
        <row r="763">
          <cell r="CN763" t="str">
            <v/>
          </cell>
          <cell r="CO763" t="str">
            <v/>
          </cell>
          <cell r="CT763" t="str">
            <v/>
          </cell>
          <cell r="CU763" t="str">
            <v/>
          </cell>
          <cell r="CV763" t="str">
            <v/>
          </cell>
          <cell r="CW763" t="str">
            <v/>
          </cell>
        </row>
        <row r="764">
          <cell r="CN764" t="str">
            <v/>
          </cell>
          <cell r="CO764" t="str">
            <v/>
          </cell>
          <cell r="CT764" t="str">
            <v/>
          </cell>
          <cell r="CU764" t="str">
            <v/>
          </cell>
          <cell r="CV764" t="str">
            <v/>
          </cell>
          <cell r="CW764" t="str">
            <v/>
          </cell>
        </row>
        <row r="765">
          <cell r="CN765" t="str">
            <v/>
          </cell>
          <cell r="CO765" t="str">
            <v/>
          </cell>
          <cell r="CT765" t="str">
            <v/>
          </cell>
          <cell r="CU765" t="str">
            <v/>
          </cell>
          <cell r="CV765" t="str">
            <v/>
          </cell>
          <cell r="CW765" t="str">
            <v/>
          </cell>
        </row>
        <row r="766">
          <cell r="CN766" t="str">
            <v/>
          </cell>
          <cell r="CO766" t="str">
            <v/>
          </cell>
          <cell r="CT766" t="str">
            <v/>
          </cell>
          <cell r="CU766" t="str">
            <v/>
          </cell>
          <cell r="CV766" t="str">
            <v/>
          </cell>
          <cell r="CW766" t="str">
            <v/>
          </cell>
        </row>
        <row r="767">
          <cell r="CN767" t="str">
            <v/>
          </cell>
          <cell r="CO767" t="str">
            <v/>
          </cell>
          <cell r="CT767" t="str">
            <v/>
          </cell>
          <cell r="CU767" t="str">
            <v/>
          </cell>
          <cell r="CV767" t="str">
            <v/>
          </cell>
          <cell r="CW767" t="str">
            <v/>
          </cell>
        </row>
        <row r="768">
          <cell r="CN768" t="str">
            <v/>
          </cell>
          <cell r="CO768" t="str">
            <v/>
          </cell>
          <cell r="CT768" t="str">
            <v/>
          </cell>
          <cell r="CU768" t="str">
            <v/>
          </cell>
          <cell r="CV768" t="str">
            <v/>
          </cell>
          <cell r="CW768" t="str">
            <v/>
          </cell>
        </row>
        <row r="769">
          <cell r="CN769" t="str">
            <v/>
          </cell>
          <cell r="CO769" t="str">
            <v/>
          </cell>
          <cell r="CT769" t="str">
            <v/>
          </cell>
          <cell r="CU769" t="str">
            <v/>
          </cell>
          <cell r="CV769" t="str">
            <v/>
          </cell>
          <cell r="CW769" t="str">
            <v/>
          </cell>
        </row>
        <row r="770">
          <cell r="CN770" t="str">
            <v/>
          </cell>
          <cell r="CO770" t="str">
            <v/>
          </cell>
          <cell r="CT770" t="str">
            <v/>
          </cell>
          <cell r="CU770" t="str">
            <v/>
          </cell>
          <cell r="CV770" t="str">
            <v/>
          </cell>
          <cell r="CW770" t="str">
            <v/>
          </cell>
        </row>
        <row r="771">
          <cell r="CN771" t="str">
            <v/>
          </cell>
          <cell r="CO771" t="str">
            <v/>
          </cell>
          <cell r="CT771" t="str">
            <v/>
          </cell>
          <cell r="CU771" t="str">
            <v/>
          </cell>
          <cell r="CV771" t="str">
            <v/>
          </cell>
          <cell r="CW771" t="str">
            <v/>
          </cell>
        </row>
        <row r="772">
          <cell r="CN772" t="str">
            <v/>
          </cell>
          <cell r="CO772" t="str">
            <v/>
          </cell>
          <cell r="CT772" t="str">
            <v/>
          </cell>
          <cell r="CU772" t="str">
            <v/>
          </cell>
          <cell r="CV772" t="str">
            <v/>
          </cell>
          <cell r="CW772" t="str">
            <v/>
          </cell>
        </row>
        <row r="773">
          <cell r="CN773" t="str">
            <v/>
          </cell>
          <cell r="CO773" t="str">
            <v/>
          </cell>
          <cell r="CT773" t="str">
            <v/>
          </cell>
          <cell r="CU773" t="str">
            <v/>
          </cell>
          <cell r="CV773" t="str">
            <v/>
          </cell>
          <cell r="CW773" t="str">
            <v/>
          </cell>
        </row>
        <row r="774">
          <cell r="CN774" t="str">
            <v/>
          </cell>
          <cell r="CO774" t="str">
            <v/>
          </cell>
          <cell r="CT774" t="str">
            <v/>
          </cell>
          <cell r="CU774" t="str">
            <v/>
          </cell>
          <cell r="CV774" t="str">
            <v/>
          </cell>
          <cell r="CW774" t="str">
            <v/>
          </cell>
        </row>
        <row r="775">
          <cell r="CN775" t="str">
            <v/>
          </cell>
          <cell r="CO775" t="str">
            <v/>
          </cell>
          <cell r="CT775" t="str">
            <v/>
          </cell>
          <cell r="CU775" t="str">
            <v/>
          </cell>
          <cell r="CV775" t="str">
            <v/>
          </cell>
          <cell r="CW775" t="str">
            <v/>
          </cell>
        </row>
        <row r="776">
          <cell r="CN776" t="str">
            <v/>
          </cell>
          <cell r="CO776" t="str">
            <v/>
          </cell>
          <cell r="CT776" t="str">
            <v/>
          </cell>
          <cell r="CU776" t="str">
            <v/>
          </cell>
          <cell r="CV776" t="str">
            <v/>
          </cell>
          <cell r="CW776" t="str">
            <v/>
          </cell>
        </row>
        <row r="777">
          <cell r="CN777" t="str">
            <v/>
          </cell>
          <cell r="CO777" t="str">
            <v/>
          </cell>
          <cell r="CT777" t="str">
            <v/>
          </cell>
          <cell r="CU777" t="str">
            <v/>
          </cell>
          <cell r="CV777" t="str">
            <v/>
          </cell>
          <cell r="CW777" t="str">
            <v/>
          </cell>
        </row>
        <row r="778">
          <cell r="CN778" t="str">
            <v/>
          </cell>
          <cell r="CO778" t="str">
            <v/>
          </cell>
          <cell r="CT778" t="str">
            <v/>
          </cell>
          <cell r="CU778" t="str">
            <v/>
          </cell>
          <cell r="CV778" t="str">
            <v/>
          </cell>
          <cell r="CW778" t="str">
            <v/>
          </cell>
        </row>
        <row r="779">
          <cell r="CN779" t="str">
            <v/>
          </cell>
          <cell r="CO779" t="str">
            <v/>
          </cell>
          <cell r="CT779" t="str">
            <v/>
          </cell>
          <cell r="CU779" t="str">
            <v/>
          </cell>
          <cell r="CV779" t="str">
            <v/>
          </cell>
          <cell r="CW779" t="str">
            <v/>
          </cell>
        </row>
        <row r="780">
          <cell r="CN780" t="str">
            <v/>
          </cell>
          <cell r="CO780" t="str">
            <v/>
          </cell>
          <cell r="CT780" t="str">
            <v/>
          </cell>
          <cell r="CU780" t="str">
            <v/>
          </cell>
          <cell r="CV780" t="str">
            <v/>
          </cell>
          <cell r="CW780" t="str">
            <v/>
          </cell>
        </row>
        <row r="781">
          <cell r="CN781" t="str">
            <v/>
          </cell>
          <cell r="CO781" t="str">
            <v/>
          </cell>
          <cell r="CT781" t="str">
            <v/>
          </cell>
          <cell r="CU781" t="str">
            <v/>
          </cell>
          <cell r="CV781" t="str">
            <v/>
          </cell>
          <cell r="CW781" t="str">
            <v/>
          </cell>
        </row>
        <row r="782">
          <cell r="CN782" t="str">
            <v/>
          </cell>
          <cell r="CO782" t="str">
            <v/>
          </cell>
          <cell r="CT782" t="str">
            <v/>
          </cell>
          <cell r="CU782" t="str">
            <v/>
          </cell>
          <cell r="CV782" t="str">
            <v/>
          </cell>
          <cell r="CW782" t="str">
            <v/>
          </cell>
        </row>
        <row r="783">
          <cell r="CN783" t="str">
            <v/>
          </cell>
          <cell r="CO783" t="str">
            <v/>
          </cell>
          <cell r="CT783" t="str">
            <v/>
          </cell>
          <cell r="CU783" t="str">
            <v/>
          </cell>
          <cell r="CV783" t="str">
            <v/>
          </cell>
          <cell r="CW783" t="str">
            <v/>
          </cell>
        </row>
        <row r="784">
          <cell r="CN784" t="str">
            <v/>
          </cell>
          <cell r="CO784" t="str">
            <v/>
          </cell>
          <cell r="CT784" t="str">
            <v/>
          </cell>
          <cell r="CU784" t="str">
            <v/>
          </cell>
          <cell r="CV784" t="str">
            <v/>
          </cell>
          <cell r="CW784" t="str">
            <v/>
          </cell>
        </row>
        <row r="785">
          <cell r="CN785" t="str">
            <v/>
          </cell>
          <cell r="CO785" t="str">
            <v/>
          </cell>
          <cell r="CT785" t="str">
            <v/>
          </cell>
          <cell r="CU785" t="str">
            <v/>
          </cell>
          <cell r="CV785" t="str">
            <v/>
          </cell>
          <cell r="CW785" t="str">
            <v/>
          </cell>
        </row>
        <row r="786">
          <cell r="CN786" t="str">
            <v/>
          </cell>
          <cell r="CO786" t="str">
            <v/>
          </cell>
          <cell r="CT786" t="str">
            <v/>
          </cell>
          <cell r="CU786" t="str">
            <v/>
          </cell>
          <cell r="CV786" t="str">
            <v/>
          </cell>
          <cell r="CW786" t="str">
            <v/>
          </cell>
        </row>
        <row r="787">
          <cell r="CN787" t="str">
            <v/>
          </cell>
          <cell r="CO787" t="str">
            <v/>
          </cell>
          <cell r="CT787" t="str">
            <v/>
          </cell>
          <cell r="CU787" t="str">
            <v/>
          </cell>
          <cell r="CV787" t="str">
            <v/>
          </cell>
          <cell r="CW787" t="str">
            <v/>
          </cell>
        </row>
        <row r="788">
          <cell r="CN788" t="str">
            <v/>
          </cell>
          <cell r="CO788" t="str">
            <v/>
          </cell>
          <cell r="CT788" t="str">
            <v/>
          </cell>
          <cell r="CU788" t="str">
            <v/>
          </cell>
          <cell r="CV788" t="str">
            <v/>
          </cell>
          <cell r="CW788" t="str">
            <v/>
          </cell>
        </row>
        <row r="789">
          <cell r="CN789" t="str">
            <v/>
          </cell>
          <cell r="CO789" t="str">
            <v/>
          </cell>
          <cell r="CT789" t="str">
            <v/>
          </cell>
          <cell r="CU789" t="str">
            <v/>
          </cell>
          <cell r="CV789" t="str">
            <v/>
          </cell>
          <cell r="CW789" t="str">
            <v/>
          </cell>
        </row>
        <row r="790">
          <cell r="CN790" t="str">
            <v/>
          </cell>
          <cell r="CO790" t="str">
            <v/>
          </cell>
          <cell r="CT790" t="str">
            <v/>
          </cell>
          <cell r="CU790" t="str">
            <v/>
          </cell>
          <cell r="CV790" t="str">
            <v/>
          </cell>
          <cell r="CW790" t="str">
            <v/>
          </cell>
        </row>
        <row r="791">
          <cell r="CN791" t="str">
            <v/>
          </cell>
          <cell r="CO791" t="str">
            <v/>
          </cell>
          <cell r="CT791" t="str">
            <v/>
          </cell>
          <cell r="CU791" t="str">
            <v/>
          </cell>
          <cell r="CV791" t="str">
            <v/>
          </cell>
          <cell r="CW791" t="str">
            <v/>
          </cell>
        </row>
        <row r="792">
          <cell r="CN792" t="str">
            <v/>
          </cell>
          <cell r="CO792" t="str">
            <v/>
          </cell>
          <cell r="CT792" t="str">
            <v/>
          </cell>
          <cell r="CU792" t="str">
            <v/>
          </cell>
          <cell r="CV792" t="str">
            <v/>
          </cell>
          <cell r="CW792" t="str">
            <v/>
          </cell>
        </row>
        <row r="793">
          <cell r="CN793" t="str">
            <v/>
          </cell>
          <cell r="CO793" t="str">
            <v/>
          </cell>
          <cell r="CT793" t="str">
            <v/>
          </cell>
          <cell r="CU793" t="str">
            <v/>
          </cell>
          <cell r="CV793" t="str">
            <v/>
          </cell>
          <cell r="CW793" t="str">
            <v/>
          </cell>
        </row>
        <row r="794">
          <cell r="CN794" t="str">
            <v/>
          </cell>
          <cell r="CO794" t="str">
            <v/>
          </cell>
          <cell r="CT794" t="str">
            <v/>
          </cell>
          <cell r="CU794" t="str">
            <v/>
          </cell>
          <cell r="CV794" t="str">
            <v/>
          </cell>
          <cell r="CW794" t="str">
            <v/>
          </cell>
        </row>
        <row r="795">
          <cell r="CN795" t="str">
            <v/>
          </cell>
          <cell r="CO795" t="str">
            <v/>
          </cell>
          <cell r="CT795" t="str">
            <v/>
          </cell>
          <cell r="CU795" t="str">
            <v/>
          </cell>
          <cell r="CV795" t="str">
            <v/>
          </cell>
          <cell r="CW795" t="str">
            <v/>
          </cell>
        </row>
        <row r="796">
          <cell r="CN796" t="str">
            <v/>
          </cell>
          <cell r="CO796" t="str">
            <v/>
          </cell>
          <cell r="CT796" t="str">
            <v/>
          </cell>
          <cell r="CU796" t="str">
            <v/>
          </cell>
          <cell r="CV796" t="str">
            <v/>
          </cell>
          <cell r="CW796" t="str">
            <v/>
          </cell>
        </row>
        <row r="797">
          <cell r="CN797" t="str">
            <v/>
          </cell>
          <cell r="CO797" t="str">
            <v/>
          </cell>
          <cell r="CT797" t="str">
            <v/>
          </cell>
          <cell r="CU797" t="str">
            <v/>
          </cell>
          <cell r="CV797" t="str">
            <v/>
          </cell>
          <cell r="CW797" t="str">
            <v/>
          </cell>
        </row>
        <row r="798">
          <cell r="CN798" t="str">
            <v/>
          </cell>
          <cell r="CO798" t="str">
            <v/>
          </cell>
          <cell r="CT798" t="str">
            <v/>
          </cell>
          <cell r="CU798" t="str">
            <v/>
          </cell>
          <cell r="CV798" t="str">
            <v/>
          </cell>
          <cell r="CW798" t="str">
            <v/>
          </cell>
        </row>
        <row r="799">
          <cell r="CN799" t="str">
            <v/>
          </cell>
          <cell r="CO799" t="str">
            <v/>
          </cell>
          <cell r="CT799" t="str">
            <v/>
          </cell>
          <cell r="CU799" t="str">
            <v/>
          </cell>
          <cell r="CV799" t="str">
            <v/>
          </cell>
          <cell r="CW799" t="str">
            <v/>
          </cell>
        </row>
        <row r="800">
          <cell r="CN800" t="str">
            <v/>
          </cell>
          <cell r="CO800" t="str">
            <v/>
          </cell>
          <cell r="CT800" t="str">
            <v/>
          </cell>
          <cell r="CU800" t="str">
            <v/>
          </cell>
          <cell r="CV800" t="str">
            <v/>
          </cell>
          <cell r="CW800" t="str">
            <v/>
          </cell>
        </row>
        <row r="801">
          <cell r="CN801" t="str">
            <v/>
          </cell>
          <cell r="CO801" t="str">
            <v/>
          </cell>
          <cell r="CT801" t="str">
            <v/>
          </cell>
          <cell r="CU801" t="str">
            <v/>
          </cell>
          <cell r="CV801" t="str">
            <v/>
          </cell>
          <cell r="CW801" t="str">
            <v/>
          </cell>
        </row>
        <row r="802">
          <cell r="CN802" t="str">
            <v/>
          </cell>
          <cell r="CO802" t="str">
            <v/>
          </cell>
          <cell r="CT802" t="str">
            <v/>
          </cell>
          <cell r="CU802" t="str">
            <v/>
          </cell>
          <cell r="CV802" t="str">
            <v/>
          </cell>
          <cell r="CW802" t="str">
            <v/>
          </cell>
        </row>
        <row r="803">
          <cell r="CN803" t="str">
            <v/>
          </cell>
          <cell r="CO803" t="str">
            <v/>
          </cell>
          <cell r="CT803" t="str">
            <v/>
          </cell>
          <cell r="CU803" t="str">
            <v/>
          </cell>
          <cell r="CV803" t="str">
            <v/>
          </cell>
          <cell r="CW803" t="str">
            <v/>
          </cell>
        </row>
        <row r="804">
          <cell r="CN804" t="str">
            <v/>
          </cell>
          <cell r="CO804" t="str">
            <v/>
          </cell>
          <cell r="CT804" t="str">
            <v/>
          </cell>
          <cell r="CU804" t="str">
            <v/>
          </cell>
          <cell r="CV804" t="str">
            <v/>
          </cell>
          <cell r="CW804" t="str">
            <v/>
          </cell>
        </row>
        <row r="805">
          <cell r="CN805" t="str">
            <v/>
          </cell>
          <cell r="CO805" t="str">
            <v/>
          </cell>
          <cell r="CT805" t="str">
            <v/>
          </cell>
          <cell r="CU805" t="str">
            <v/>
          </cell>
          <cell r="CV805" t="str">
            <v/>
          </cell>
          <cell r="CW805" t="str">
            <v/>
          </cell>
        </row>
        <row r="806">
          <cell r="CN806" t="str">
            <v/>
          </cell>
          <cell r="CO806" t="str">
            <v/>
          </cell>
          <cell r="CT806" t="str">
            <v/>
          </cell>
          <cell r="CU806" t="str">
            <v/>
          </cell>
          <cell r="CV806" t="str">
            <v/>
          </cell>
          <cell r="CW806" t="str">
            <v/>
          </cell>
        </row>
        <row r="807">
          <cell r="CN807" t="str">
            <v/>
          </cell>
          <cell r="CO807" t="str">
            <v/>
          </cell>
          <cell r="CT807" t="str">
            <v/>
          </cell>
          <cell r="CU807" t="str">
            <v/>
          </cell>
          <cell r="CV807" t="str">
            <v/>
          </cell>
          <cell r="CW807" t="str">
            <v/>
          </cell>
        </row>
        <row r="808">
          <cell r="CN808" t="str">
            <v/>
          </cell>
          <cell r="CO808" t="str">
            <v/>
          </cell>
          <cell r="CT808" t="str">
            <v/>
          </cell>
          <cell r="CU808" t="str">
            <v/>
          </cell>
          <cell r="CV808" t="str">
            <v/>
          </cell>
          <cell r="CW808" t="str">
            <v/>
          </cell>
        </row>
        <row r="809">
          <cell r="CN809" t="str">
            <v/>
          </cell>
          <cell r="CO809" t="str">
            <v/>
          </cell>
          <cell r="CT809" t="str">
            <v/>
          </cell>
          <cell r="CU809" t="str">
            <v/>
          </cell>
          <cell r="CV809" t="str">
            <v/>
          </cell>
          <cell r="CW809" t="str">
            <v/>
          </cell>
        </row>
        <row r="810">
          <cell r="CN810" t="str">
            <v/>
          </cell>
          <cell r="CO810" t="str">
            <v/>
          </cell>
          <cell r="CT810" t="str">
            <v/>
          </cell>
          <cell r="CU810" t="str">
            <v/>
          </cell>
          <cell r="CV810" t="str">
            <v/>
          </cell>
          <cell r="CW810" t="str">
            <v/>
          </cell>
        </row>
        <row r="811">
          <cell r="CN811" t="str">
            <v/>
          </cell>
          <cell r="CO811" t="str">
            <v/>
          </cell>
          <cell r="CT811" t="str">
            <v/>
          </cell>
          <cell r="CU811" t="str">
            <v/>
          </cell>
          <cell r="CV811" t="str">
            <v/>
          </cell>
          <cell r="CW811" t="str">
            <v/>
          </cell>
        </row>
        <row r="812">
          <cell r="CN812" t="str">
            <v/>
          </cell>
          <cell r="CO812" t="str">
            <v/>
          </cell>
          <cell r="CT812" t="str">
            <v/>
          </cell>
          <cell r="CU812" t="str">
            <v/>
          </cell>
          <cell r="CV812" t="str">
            <v/>
          </cell>
          <cell r="CW812" t="str">
            <v/>
          </cell>
        </row>
        <row r="813">
          <cell r="CN813" t="str">
            <v/>
          </cell>
          <cell r="CO813" t="str">
            <v/>
          </cell>
          <cell r="CT813" t="str">
            <v/>
          </cell>
          <cell r="CU813" t="str">
            <v/>
          </cell>
          <cell r="CV813" t="str">
            <v/>
          </cell>
          <cell r="CW813" t="str">
            <v/>
          </cell>
        </row>
        <row r="814">
          <cell r="CN814" t="str">
            <v/>
          </cell>
          <cell r="CO814" t="str">
            <v/>
          </cell>
          <cell r="CT814" t="str">
            <v/>
          </cell>
          <cell r="CU814" t="str">
            <v/>
          </cell>
          <cell r="CV814" t="str">
            <v/>
          </cell>
          <cell r="CW814" t="str">
            <v/>
          </cell>
        </row>
        <row r="815">
          <cell r="CN815" t="str">
            <v/>
          </cell>
          <cell r="CO815" t="str">
            <v/>
          </cell>
          <cell r="CT815" t="str">
            <v/>
          </cell>
          <cell r="CU815" t="str">
            <v/>
          </cell>
          <cell r="CV815" t="str">
            <v/>
          </cell>
          <cell r="CW815" t="str">
            <v/>
          </cell>
        </row>
        <row r="816">
          <cell r="CN816" t="str">
            <v/>
          </cell>
          <cell r="CO816" t="str">
            <v/>
          </cell>
          <cell r="CT816" t="str">
            <v/>
          </cell>
          <cell r="CU816" t="str">
            <v/>
          </cell>
          <cell r="CV816" t="str">
            <v/>
          </cell>
          <cell r="CW816" t="str">
            <v/>
          </cell>
        </row>
        <row r="817">
          <cell r="CN817" t="str">
            <v/>
          </cell>
          <cell r="CO817" t="str">
            <v/>
          </cell>
          <cell r="CT817" t="str">
            <v/>
          </cell>
          <cell r="CU817" t="str">
            <v/>
          </cell>
          <cell r="CV817" t="str">
            <v/>
          </cell>
          <cell r="CW817" t="str">
            <v/>
          </cell>
        </row>
        <row r="818">
          <cell r="CN818" t="str">
            <v/>
          </cell>
          <cell r="CO818" t="str">
            <v/>
          </cell>
          <cell r="CT818" t="str">
            <v/>
          </cell>
          <cell r="CU818" t="str">
            <v/>
          </cell>
          <cell r="CV818" t="str">
            <v/>
          </cell>
          <cell r="CW818" t="str">
            <v/>
          </cell>
        </row>
        <row r="819">
          <cell r="CN819" t="str">
            <v/>
          </cell>
          <cell r="CO819" t="str">
            <v/>
          </cell>
          <cell r="CT819" t="str">
            <v/>
          </cell>
          <cell r="CU819" t="str">
            <v/>
          </cell>
          <cell r="CV819" t="str">
            <v/>
          </cell>
          <cell r="CW819" t="str">
            <v/>
          </cell>
        </row>
        <row r="820">
          <cell r="CN820" t="str">
            <v/>
          </cell>
          <cell r="CO820" t="str">
            <v/>
          </cell>
          <cell r="CT820" t="str">
            <v/>
          </cell>
          <cell r="CU820" t="str">
            <v/>
          </cell>
          <cell r="CV820" t="str">
            <v/>
          </cell>
          <cell r="CW820" t="str">
            <v/>
          </cell>
        </row>
        <row r="821">
          <cell r="CN821" t="str">
            <v/>
          </cell>
          <cell r="CO821" t="str">
            <v/>
          </cell>
          <cell r="CT821" t="str">
            <v/>
          </cell>
          <cell r="CU821" t="str">
            <v/>
          </cell>
          <cell r="CV821" t="str">
            <v/>
          </cell>
          <cell r="CW821" t="str">
            <v/>
          </cell>
        </row>
        <row r="822">
          <cell r="CN822" t="str">
            <v/>
          </cell>
          <cell r="CO822" t="str">
            <v/>
          </cell>
          <cell r="CT822" t="str">
            <v/>
          </cell>
          <cell r="CU822" t="str">
            <v/>
          </cell>
          <cell r="CV822" t="str">
            <v/>
          </cell>
          <cell r="CW822" t="str">
            <v/>
          </cell>
        </row>
        <row r="823">
          <cell r="CN823" t="str">
            <v/>
          </cell>
          <cell r="CO823" t="str">
            <v/>
          </cell>
          <cell r="CT823" t="str">
            <v/>
          </cell>
          <cell r="CU823" t="str">
            <v/>
          </cell>
          <cell r="CV823" t="str">
            <v/>
          </cell>
          <cell r="CW823" t="str">
            <v/>
          </cell>
        </row>
        <row r="824">
          <cell r="CN824" t="str">
            <v/>
          </cell>
          <cell r="CO824" t="str">
            <v/>
          </cell>
          <cell r="CT824" t="str">
            <v/>
          </cell>
          <cell r="CU824" t="str">
            <v/>
          </cell>
          <cell r="CV824" t="str">
            <v/>
          </cell>
          <cell r="CW824" t="str">
            <v/>
          </cell>
        </row>
        <row r="825">
          <cell r="CN825" t="str">
            <v/>
          </cell>
          <cell r="CO825" t="str">
            <v/>
          </cell>
          <cell r="CT825" t="str">
            <v/>
          </cell>
          <cell r="CU825" t="str">
            <v/>
          </cell>
          <cell r="CV825" t="str">
            <v/>
          </cell>
          <cell r="CW825" t="str">
            <v/>
          </cell>
        </row>
        <row r="826">
          <cell r="CN826" t="str">
            <v/>
          </cell>
          <cell r="CO826" t="str">
            <v/>
          </cell>
          <cell r="CT826" t="str">
            <v/>
          </cell>
          <cell r="CU826" t="str">
            <v/>
          </cell>
          <cell r="CV826" t="str">
            <v/>
          </cell>
          <cell r="CW826" t="str">
            <v/>
          </cell>
        </row>
        <row r="827">
          <cell r="CN827" t="str">
            <v/>
          </cell>
          <cell r="CO827" t="str">
            <v/>
          </cell>
          <cell r="CT827" t="str">
            <v/>
          </cell>
          <cell r="CU827" t="str">
            <v/>
          </cell>
          <cell r="CV827" t="str">
            <v/>
          </cell>
          <cell r="CW827" t="str">
            <v/>
          </cell>
        </row>
        <row r="828">
          <cell r="CN828" t="str">
            <v/>
          </cell>
          <cell r="CO828" t="str">
            <v/>
          </cell>
          <cell r="CT828" t="str">
            <v/>
          </cell>
          <cell r="CU828" t="str">
            <v/>
          </cell>
          <cell r="CV828" t="str">
            <v/>
          </cell>
          <cell r="CW828" t="str">
            <v/>
          </cell>
        </row>
        <row r="829">
          <cell r="CN829" t="str">
            <v/>
          </cell>
          <cell r="CO829" t="str">
            <v/>
          </cell>
          <cell r="CT829" t="str">
            <v/>
          </cell>
          <cell r="CU829" t="str">
            <v/>
          </cell>
          <cell r="CV829" t="str">
            <v/>
          </cell>
          <cell r="CW829" t="str">
            <v/>
          </cell>
        </row>
        <row r="830">
          <cell r="CN830" t="str">
            <v/>
          </cell>
          <cell r="CO830" t="str">
            <v/>
          </cell>
          <cell r="CT830" t="str">
            <v/>
          </cell>
          <cell r="CU830" t="str">
            <v/>
          </cell>
          <cell r="CV830" t="str">
            <v/>
          </cell>
          <cell r="CW830" t="str">
            <v/>
          </cell>
        </row>
        <row r="831">
          <cell r="CN831" t="str">
            <v/>
          </cell>
          <cell r="CO831" t="str">
            <v/>
          </cell>
          <cell r="CT831" t="str">
            <v/>
          </cell>
          <cell r="CU831" t="str">
            <v/>
          </cell>
          <cell r="CV831" t="str">
            <v/>
          </cell>
          <cell r="CW831" t="str">
            <v/>
          </cell>
        </row>
        <row r="832">
          <cell r="CN832" t="str">
            <v/>
          </cell>
          <cell r="CO832" t="str">
            <v/>
          </cell>
          <cell r="CT832" t="str">
            <v/>
          </cell>
          <cell r="CU832" t="str">
            <v/>
          </cell>
          <cell r="CV832" t="str">
            <v/>
          </cell>
          <cell r="CW832" t="str">
            <v/>
          </cell>
        </row>
        <row r="833">
          <cell r="CN833" t="str">
            <v/>
          </cell>
          <cell r="CO833" t="str">
            <v/>
          </cell>
          <cell r="CT833" t="str">
            <v/>
          </cell>
          <cell r="CU833" t="str">
            <v/>
          </cell>
          <cell r="CV833" t="str">
            <v/>
          </cell>
          <cell r="CW833" t="str">
            <v/>
          </cell>
        </row>
        <row r="834">
          <cell r="CN834" t="str">
            <v/>
          </cell>
          <cell r="CO834" t="str">
            <v/>
          </cell>
          <cell r="CT834" t="str">
            <v/>
          </cell>
          <cell r="CU834" t="str">
            <v/>
          </cell>
          <cell r="CV834" t="str">
            <v/>
          </cell>
          <cell r="CW834" t="str">
            <v/>
          </cell>
        </row>
        <row r="835">
          <cell r="CN835" t="str">
            <v/>
          </cell>
          <cell r="CO835" t="str">
            <v/>
          </cell>
          <cell r="CT835" t="str">
            <v/>
          </cell>
          <cell r="CU835" t="str">
            <v/>
          </cell>
          <cell r="CV835" t="str">
            <v/>
          </cell>
          <cell r="CW835" t="str">
            <v/>
          </cell>
        </row>
        <row r="836">
          <cell r="CN836" t="str">
            <v/>
          </cell>
          <cell r="CO836" t="str">
            <v/>
          </cell>
          <cell r="CT836" t="str">
            <v/>
          </cell>
          <cell r="CU836" t="str">
            <v/>
          </cell>
          <cell r="CV836" t="str">
            <v/>
          </cell>
          <cell r="CW836" t="str">
            <v/>
          </cell>
        </row>
        <row r="837">
          <cell r="CN837" t="str">
            <v/>
          </cell>
          <cell r="CO837" t="str">
            <v/>
          </cell>
          <cell r="CT837" t="str">
            <v/>
          </cell>
          <cell r="CU837" t="str">
            <v/>
          </cell>
          <cell r="CV837" t="str">
            <v/>
          </cell>
          <cell r="CW837" t="str">
            <v/>
          </cell>
        </row>
        <row r="838">
          <cell r="CN838" t="str">
            <v/>
          </cell>
          <cell r="CO838" t="str">
            <v/>
          </cell>
          <cell r="CT838" t="str">
            <v/>
          </cell>
          <cell r="CU838" t="str">
            <v/>
          </cell>
          <cell r="CV838" t="str">
            <v/>
          </cell>
          <cell r="CW838" t="str">
            <v/>
          </cell>
        </row>
        <row r="839">
          <cell r="CN839" t="str">
            <v/>
          </cell>
          <cell r="CO839" t="str">
            <v/>
          </cell>
          <cell r="CT839" t="str">
            <v/>
          </cell>
          <cell r="CU839" t="str">
            <v/>
          </cell>
          <cell r="CV839" t="str">
            <v/>
          </cell>
          <cell r="CW839" t="str">
            <v/>
          </cell>
        </row>
        <row r="840">
          <cell r="CN840" t="str">
            <v/>
          </cell>
          <cell r="CO840" t="str">
            <v/>
          </cell>
          <cell r="CT840" t="str">
            <v/>
          </cell>
          <cell r="CU840" t="str">
            <v/>
          </cell>
          <cell r="CV840" t="str">
            <v/>
          </cell>
          <cell r="CW840" t="str">
            <v/>
          </cell>
        </row>
        <row r="841">
          <cell r="CN841" t="str">
            <v/>
          </cell>
          <cell r="CO841" t="str">
            <v/>
          </cell>
          <cell r="CT841" t="str">
            <v/>
          </cell>
          <cell r="CU841" t="str">
            <v/>
          </cell>
          <cell r="CV841" t="str">
            <v/>
          </cell>
          <cell r="CW841" t="str">
            <v/>
          </cell>
        </row>
        <row r="842">
          <cell r="CN842" t="str">
            <v/>
          </cell>
          <cell r="CO842" t="str">
            <v/>
          </cell>
          <cell r="CT842" t="str">
            <v/>
          </cell>
          <cell r="CU842" t="str">
            <v/>
          </cell>
          <cell r="CV842" t="str">
            <v/>
          </cell>
          <cell r="CW842" t="str">
            <v/>
          </cell>
        </row>
        <row r="843">
          <cell r="CN843" t="str">
            <v/>
          </cell>
          <cell r="CO843" t="str">
            <v/>
          </cell>
          <cell r="CT843" t="str">
            <v/>
          </cell>
          <cell r="CU843" t="str">
            <v/>
          </cell>
          <cell r="CV843" t="str">
            <v/>
          </cell>
          <cell r="CW843" t="str">
            <v/>
          </cell>
        </row>
        <row r="844">
          <cell r="CN844" t="str">
            <v/>
          </cell>
          <cell r="CO844" t="str">
            <v/>
          </cell>
          <cell r="CT844" t="str">
            <v/>
          </cell>
          <cell r="CU844" t="str">
            <v/>
          </cell>
          <cell r="CV844" t="str">
            <v/>
          </cell>
          <cell r="CW844" t="str">
            <v/>
          </cell>
        </row>
        <row r="845">
          <cell r="CN845" t="str">
            <v/>
          </cell>
          <cell r="CO845" t="str">
            <v/>
          </cell>
          <cell r="CT845" t="str">
            <v/>
          </cell>
          <cell r="CU845" t="str">
            <v/>
          </cell>
          <cell r="CV845" t="str">
            <v/>
          </cell>
          <cell r="CW845" t="str">
            <v/>
          </cell>
        </row>
        <row r="846">
          <cell r="CN846" t="str">
            <v/>
          </cell>
          <cell r="CO846" t="str">
            <v/>
          </cell>
          <cell r="CT846" t="str">
            <v/>
          </cell>
          <cell r="CU846" t="str">
            <v/>
          </cell>
          <cell r="CV846" t="str">
            <v/>
          </cell>
          <cell r="CW846" t="str">
            <v/>
          </cell>
        </row>
        <row r="847">
          <cell r="CN847" t="str">
            <v/>
          </cell>
          <cell r="CO847" t="str">
            <v/>
          </cell>
          <cell r="CT847" t="str">
            <v/>
          </cell>
          <cell r="CU847" t="str">
            <v/>
          </cell>
          <cell r="CV847" t="str">
            <v/>
          </cell>
          <cell r="CW847" t="str">
            <v/>
          </cell>
        </row>
        <row r="848">
          <cell r="CN848" t="str">
            <v/>
          </cell>
          <cell r="CO848" t="str">
            <v/>
          </cell>
          <cell r="CT848" t="str">
            <v/>
          </cell>
          <cell r="CU848" t="str">
            <v/>
          </cell>
          <cell r="CV848" t="str">
            <v/>
          </cell>
          <cell r="CW848" t="str">
            <v/>
          </cell>
        </row>
        <row r="849">
          <cell r="CN849" t="str">
            <v/>
          </cell>
          <cell r="CO849" t="str">
            <v/>
          </cell>
          <cell r="CT849" t="str">
            <v/>
          </cell>
          <cell r="CU849" t="str">
            <v/>
          </cell>
          <cell r="CV849" t="str">
            <v/>
          </cell>
          <cell r="CW849" t="str">
            <v/>
          </cell>
        </row>
        <row r="850">
          <cell r="CN850" t="str">
            <v/>
          </cell>
          <cell r="CO850" t="str">
            <v/>
          </cell>
          <cell r="CT850" t="str">
            <v/>
          </cell>
          <cell r="CU850" t="str">
            <v/>
          </cell>
          <cell r="CV850" t="str">
            <v/>
          </cell>
          <cell r="CW850" t="str">
            <v/>
          </cell>
        </row>
        <row r="851">
          <cell r="CN851" t="str">
            <v/>
          </cell>
          <cell r="CO851" t="str">
            <v/>
          </cell>
          <cell r="CT851" t="str">
            <v/>
          </cell>
          <cell r="CU851" t="str">
            <v/>
          </cell>
          <cell r="CV851" t="str">
            <v/>
          </cell>
          <cell r="CW851" t="str">
            <v/>
          </cell>
        </row>
        <row r="852">
          <cell r="CN852" t="str">
            <v/>
          </cell>
          <cell r="CO852" t="str">
            <v/>
          </cell>
          <cell r="CT852" t="str">
            <v/>
          </cell>
          <cell r="CU852" t="str">
            <v/>
          </cell>
          <cell r="CV852" t="str">
            <v/>
          </cell>
          <cell r="CW852" t="str">
            <v/>
          </cell>
        </row>
        <row r="853">
          <cell r="CN853" t="str">
            <v/>
          </cell>
          <cell r="CO853" t="str">
            <v/>
          </cell>
          <cell r="CT853" t="str">
            <v/>
          </cell>
          <cell r="CU853" t="str">
            <v/>
          </cell>
          <cell r="CV853" t="str">
            <v/>
          </cell>
          <cell r="CW853" t="str">
            <v/>
          </cell>
        </row>
        <row r="854">
          <cell r="CN854" t="str">
            <v/>
          </cell>
          <cell r="CO854" t="str">
            <v/>
          </cell>
          <cell r="CT854" t="str">
            <v/>
          </cell>
          <cell r="CU854" t="str">
            <v/>
          </cell>
          <cell r="CV854" t="str">
            <v/>
          </cell>
          <cell r="CW854" t="str">
            <v/>
          </cell>
        </row>
        <row r="855">
          <cell r="CN855" t="str">
            <v/>
          </cell>
          <cell r="CO855" t="str">
            <v/>
          </cell>
          <cell r="CT855" t="str">
            <v/>
          </cell>
          <cell r="CU855" t="str">
            <v/>
          </cell>
          <cell r="CV855" t="str">
            <v/>
          </cell>
          <cell r="CW855" t="str">
            <v/>
          </cell>
        </row>
        <row r="856">
          <cell r="CN856" t="str">
            <v/>
          </cell>
          <cell r="CO856" t="str">
            <v/>
          </cell>
          <cell r="CT856" t="str">
            <v/>
          </cell>
          <cell r="CU856" t="str">
            <v/>
          </cell>
          <cell r="CV856" t="str">
            <v/>
          </cell>
          <cell r="CW856" t="str">
            <v/>
          </cell>
        </row>
        <row r="857">
          <cell r="CN857" t="str">
            <v/>
          </cell>
          <cell r="CO857" t="str">
            <v/>
          </cell>
          <cell r="CT857" t="str">
            <v/>
          </cell>
          <cell r="CU857" t="str">
            <v/>
          </cell>
          <cell r="CV857" t="str">
            <v/>
          </cell>
          <cell r="CW857" t="str">
            <v/>
          </cell>
        </row>
        <row r="858">
          <cell r="CN858" t="str">
            <v/>
          </cell>
          <cell r="CO858" t="str">
            <v/>
          </cell>
          <cell r="CT858" t="str">
            <v/>
          </cell>
          <cell r="CU858" t="str">
            <v/>
          </cell>
          <cell r="CV858" t="str">
            <v/>
          </cell>
          <cell r="CW858" t="str">
            <v/>
          </cell>
        </row>
        <row r="859">
          <cell r="CN859" t="str">
            <v/>
          </cell>
          <cell r="CO859" t="str">
            <v/>
          </cell>
          <cell r="CT859" t="str">
            <v/>
          </cell>
          <cell r="CU859" t="str">
            <v/>
          </cell>
          <cell r="CV859" t="str">
            <v/>
          </cell>
          <cell r="CW859" t="str">
            <v/>
          </cell>
        </row>
        <row r="860">
          <cell r="CN860" t="str">
            <v/>
          </cell>
          <cell r="CO860" t="str">
            <v/>
          </cell>
          <cell r="CT860" t="str">
            <v/>
          </cell>
          <cell r="CU860" t="str">
            <v/>
          </cell>
          <cell r="CV860" t="str">
            <v/>
          </cell>
          <cell r="CW860" t="str">
            <v/>
          </cell>
        </row>
        <row r="861">
          <cell r="CN861" t="str">
            <v/>
          </cell>
          <cell r="CO861" t="str">
            <v/>
          </cell>
          <cell r="CT861" t="str">
            <v/>
          </cell>
          <cell r="CU861" t="str">
            <v/>
          </cell>
          <cell r="CV861" t="str">
            <v/>
          </cell>
          <cell r="CW861" t="str">
            <v/>
          </cell>
        </row>
        <row r="862">
          <cell r="CN862" t="str">
            <v/>
          </cell>
          <cell r="CO862" t="str">
            <v/>
          </cell>
          <cell r="CT862" t="str">
            <v/>
          </cell>
          <cell r="CU862" t="str">
            <v/>
          </cell>
          <cell r="CV862" t="str">
            <v/>
          </cell>
          <cell r="CW862" t="str">
            <v/>
          </cell>
        </row>
        <row r="863">
          <cell r="CN863" t="str">
            <v/>
          </cell>
          <cell r="CO863" t="str">
            <v/>
          </cell>
          <cell r="CT863" t="str">
            <v/>
          </cell>
          <cell r="CU863" t="str">
            <v/>
          </cell>
          <cell r="CV863" t="str">
            <v/>
          </cell>
          <cell r="CW863" t="str">
            <v/>
          </cell>
        </row>
        <row r="864">
          <cell r="CN864" t="str">
            <v/>
          </cell>
          <cell r="CO864" t="str">
            <v/>
          </cell>
          <cell r="CT864" t="str">
            <v/>
          </cell>
          <cell r="CU864" t="str">
            <v/>
          </cell>
          <cell r="CV864" t="str">
            <v/>
          </cell>
          <cell r="CW864" t="str">
            <v/>
          </cell>
        </row>
        <row r="865">
          <cell r="CN865" t="str">
            <v/>
          </cell>
          <cell r="CO865" t="str">
            <v/>
          </cell>
          <cell r="CT865" t="str">
            <v/>
          </cell>
          <cell r="CU865" t="str">
            <v/>
          </cell>
          <cell r="CV865" t="str">
            <v/>
          </cell>
          <cell r="CW865" t="str">
            <v/>
          </cell>
        </row>
        <row r="866">
          <cell r="CN866" t="str">
            <v/>
          </cell>
          <cell r="CO866" t="str">
            <v/>
          </cell>
          <cell r="CT866" t="str">
            <v/>
          </cell>
          <cell r="CU866" t="str">
            <v/>
          </cell>
          <cell r="CV866" t="str">
            <v/>
          </cell>
          <cell r="CW866" t="str">
            <v/>
          </cell>
        </row>
        <row r="867">
          <cell r="CN867" t="str">
            <v/>
          </cell>
          <cell r="CO867" t="str">
            <v/>
          </cell>
          <cell r="CT867" t="str">
            <v/>
          </cell>
          <cell r="CU867" t="str">
            <v/>
          </cell>
          <cell r="CV867" t="str">
            <v/>
          </cell>
          <cell r="CW867" t="str">
            <v/>
          </cell>
        </row>
        <row r="868">
          <cell r="CN868" t="str">
            <v/>
          </cell>
          <cell r="CO868" t="str">
            <v/>
          </cell>
          <cell r="CT868" t="str">
            <v/>
          </cell>
          <cell r="CU868" t="str">
            <v/>
          </cell>
          <cell r="CV868" t="str">
            <v/>
          </cell>
          <cell r="CW868" t="str">
            <v/>
          </cell>
        </row>
        <row r="869">
          <cell r="CN869" t="str">
            <v/>
          </cell>
          <cell r="CO869" t="str">
            <v/>
          </cell>
          <cell r="CT869" t="str">
            <v/>
          </cell>
          <cell r="CU869" t="str">
            <v/>
          </cell>
          <cell r="CV869" t="str">
            <v/>
          </cell>
          <cell r="CW869" t="str">
            <v/>
          </cell>
        </row>
        <row r="870">
          <cell r="CN870" t="str">
            <v/>
          </cell>
          <cell r="CO870" t="str">
            <v/>
          </cell>
          <cell r="CT870" t="str">
            <v/>
          </cell>
          <cell r="CU870" t="str">
            <v/>
          </cell>
          <cell r="CV870" t="str">
            <v/>
          </cell>
          <cell r="CW870" t="str">
            <v/>
          </cell>
        </row>
        <row r="871">
          <cell r="CN871" t="str">
            <v/>
          </cell>
          <cell r="CO871" t="str">
            <v/>
          </cell>
          <cell r="CT871" t="str">
            <v/>
          </cell>
          <cell r="CU871" t="str">
            <v/>
          </cell>
          <cell r="CV871" t="str">
            <v/>
          </cell>
          <cell r="CW871" t="str">
            <v/>
          </cell>
        </row>
        <row r="872">
          <cell r="CN872" t="str">
            <v/>
          </cell>
          <cell r="CO872" t="str">
            <v/>
          </cell>
          <cell r="CT872" t="str">
            <v/>
          </cell>
          <cell r="CU872" t="str">
            <v/>
          </cell>
          <cell r="CV872" t="str">
            <v/>
          </cell>
          <cell r="CW872" t="str">
            <v/>
          </cell>
        </row>
        <row r="873">
          <cell r="CN873" t="str">
            <v/>
          </cell>
          <cell r="CO873" t="str">
            <v/>
          </cell>
          <cell r="CT873" t="str">
            <v/>
          </cell>
          <cell r="CU873" t="str">
            <v/>
          </cell>
          <cell r="CV873" t="str">
            <v/>
          </cell>
          <cell r="CW873" t="str">
            <v/>
          </cell>
        </row>
        <row r="874">
          <cell r="CN874" t="str">
            <v/>
          </cell>
          <cell r="CO874" t="str">
            <v/>
          </cell>
          <cell r="CT874" t="str">
            <v/>
          </cell>
          <cell r="CU874" t="str">
            <v/>
          </cell>
          <cell r="CV874" t="str">
            <v/>
          </cell>
          <cell r="CW874" t="str">
            <v/>
          </cell>
        </row>
        <row r="875">
          <cell r="CN875" t="str">
            <v/>
          </cell>
          <cell r="CO875" t="str">
            <v/>
          </cell>
          <cell r="CT875" t="str">
            <v/>
          </cell>
          <cell r="CU875" t="str">
            <v/>
          </cell>
          <cell r="CV875" t="str">
            <v/>
          </cell>
          <cell r="CW875" t="str">
            <v/>
          </cell>
        </row>
        <row r="876">
          <cell r="CN876" t="str">
            <v/>
          </cell>
          <cell r="CO876" t="str">
            <v/>
          </cell>
          <cell r="CT876" t="str">
            <v/>
          </cell>
          <cell r="CU876" t="str">
            <v/>
          </cell>
          <cell r="CV876" t="str">
            <v/>
          </cell>
          <cell r="CW876" t="str">
            <v/>
          </cell>
        </row>
        <row r="877">
          <cell r="CN877" t="str">
            <v/>
          </cell>
          <cell r="CO877" t="str">
            <v/>
          </cell>
          <cell r="CT877" t="str">
            <v/>
          </cell>
          <cell r="CU877" t="str">
            <v/>
          </cell>
          <cell r="CV877" t="str">
            <v/>
          </cell>
          <cell r="CW877" t="str">
            <v/>
          </cell>
        </row>
        <row r="878">
          <cell r="CN878" t="str">
            <v/>
          </cell>
          <cell r="CO878" t="str">
            <v/>
          </cell>
          <cell r="CT878" t="str">
            <v/>
          </cell>
          <cell r="CU878" t="str">
            <v/>
          </cell>
          <cell r="CV878" t="str">
            <v/>
          </cell>
          <cell r="CW878" t="str">
            <v/>
          </cell>
        </row>
        <row r="879">
          <cell r="CN879" t="str">
            <v/>
          </cell>
          <cell r="CO879" t="str">
            <v/>
          </cell>
          <cell r="CT879" t="str">
            <v/>
          </cell>
          <cell r="CU879" t="str">
            <v/>
          </cell>
          <cell r="CV879" t="str">
            <v/>
          </cell>
          <cell r="CW879" t="str">
            <v/>
          </cell>
        </row>
        <row r="880">
          <cell r="CN880" t="str">
            <v/>
          </cell>
          <cell r="CO880" t="str">
            <v/>
          </cell>
          <cell r="CT880" t="str">
            <v/>
          </cell>
          <cell r="CU880" t="str">
            <v/>
          </cell>
          <cell r="CV880" t="str">
            <v/>
          </cell>
          <cell r="CW880" t="str">
            <v/>
          </cell>
        </row>
        <row r="881">
          <cell r="CN881" t="str">
            <v/>
          </cell>
          <cell r="CO881" t="str">
            <v/>
          </cell>
          <cell r="CT881" t="str">
            <v/>
          </cell>
          <cell r="CU881" t="str">
            <v/>
          </cell>
          <cell r="CV881" t="str">
            <v/>
          </cell>
          <cell r="CW881" t="str">
            <v/>
          </cell>
        </row>
        <row r="882">
          <cell r="CN882" t="str">
            <v/>
          </cell>
          <cell r="CO882" t="str">
            <v/>
          </cell>
          <cell r="CT882" t="str">
            <v/>
          </cell>
          <cell r="CU882" t="str">
            <v/>
          </cell>
          <cell r="CV882" t="str">
            <v/>
          </cell>
          <cell r="CW882" t="str">
            <v/>
          </cell>
        </row>
        <row r="883">
          <cell r="CN883" t="str">
            <v/>
          </cell>
          <cell r="CO883" t="str">
            <v/>
          </cell>
          <cell r="CT883" t="str">
            <v/>
          </cell>
          <cell r="CU883" t="str">
            <v/>
          </cell>
          <cell r="CV883" t="str">
            <v/>
          </cell>
          <cell r="CW883" t="str">
            <v/>
          </cell>
        </row>
        <row r="884">
          <cell r="CN884" t="str">
            <v/>
          </cell>
          <cell r="CO884" t="str">
            <v/>
          </cell>
          <cell r="CT884" t="str">
            <v/>
          </cell>
          <cell r="CU884" t="str">
            <v/>
          </cell>
          <cell r="CV884" t="str">
            <v/>
          </cell>
          <cell r="CW884" t="str">
            <v/>
          </cell>
        </row>
        <row r="885">
          <cell r="CN885" t="str">
            <v/>
          </cell>
          <cell r="CO885" t="str">
            <v/>
          </cell>
          <cell r="CT885" t="str">
            <v/>
          </cell>
          <cell r="CU885" t="str">
            <v/>
          </cell>
          <cell r="CV885" t="str">
            <v/>
          </cell>
          <cell r="CW885" t="str">
            <v/>
          </cell>
        </row>
        <row r="886">
          <cell r="CN886" t="str">
            <v/>
          </cell>
          <cell r="CO886" t="str">
            <v/>
          </cell>
          <cell r="CT886" t="str">
            <v/>
          </cell>
          <cell r="CU886" t="str">
            <v/>
          </cell>
          <cell r="CV886" t="str">
            <v/>
          </cell>
          <cell r="CW886" t="str">
            <v/>
          </cell>
        </row>
        <row r="887">
          <cell r="CN887" t="str">
            <v/>
          </cell>
          <cell r="CO887" t="str">
            <v/>
          </cell>
          <cell r="CT887" t="str">
            <v/>
          </cell>
          <cell r="CU887" t="str">
            <v/>
          </cell>
          <cell r="CV887" t="str">
            <v/>
          </cell>
          <cell r="CW887" t="str">
            <v/>
          </cell>
        </row>
        <row r="888">
          <cell r="CN888" t="str">
            <v/>
          </cell>
          <cell r="CO888" t="str">
            <v/>
          </cell>
          <cell r="CT888" t="str">
            <v/>
          </cell>
          <cell r="CU888" t="str">
            <v/>
          </cell>
          <cell r="CV888" t="str">
            <v/>
          </cell>
          <cell r="CW888" t="str">
            <v/>
          </cell>
        </row>
        <row r="889">
          <cell r="CN889" t="str">
            <v/>
          </cell>
          <cell r="CO889" t="str">
            <v/>
          </cell>
          <cell r="CT889" t="str">
            <v/>
          </cell>
          <cell r="CU889" t="str">
            <v/>
          </cell>
          <cell r="CV889" t="str">
            <v/>
          </cell>
          <cell r="CW889" t="str">
            <v/>
          </cell>
        </row>
        <row r="890">
          <cell r="CN890" t="str">
            <v/>
          </cell>
          <cell r="CO890" t="str">
            <v/>
          </cell>
          <cell r="CT890" t="str">
            <v/>
          </cell>
          <cell r="CU890" t="str">
            <v/>
          </cell>
          <cell r="CV890" t="str">
            <v/>
          </cell>
          <cell r="CW890" t="str">
            <v/>
          </cell>
        </row>
        <row r="891">
          <cell r="CN891" t="str">
            <v/>
          </cell>
          <cell r="CO891" t="str">
            <v/>
          </cell>
          <cell r="CT891" t="str">
            <v/>
          </cell>
          <cell r="CU891" t="str">
            <v/>
          </cell>
          <cell r="CV891" t="str">
            <v/>
          </cell>
          <cell r="CW891" t="str">
            <v/>
          </cell>
        </row>
        <row r="892">
          <cell r="CN892" t="str">
            <v/>
          </cell>
          <cell r="CO892" t="str">
            <v/>
          </cell>
          <cell r="CT892" t="str">
            <v/>
          </cell>
          <cell r="CU892" t="str">
            <v/>
          </cell>
          <cell r="CV892" t="str">
            <v/>
          </cell>
          <cell r="CW892" t="str">
            <v/>
          </cell>
        </row>
        <row r="893">
          <cell r="CN893" t="str">
            <v/>
          </cell>
          <cell r="CO893" t="str">
            <v/>
          </cell>
          <cell r="CT893" t="str">
            <v/>
          </cell>
          <cell r="CU893" t="str">
            <v/>
          </cell>
          <cell r="CV893" t="str">
            <v/>
          </cell>
          <cell r="CW893" t="str">
            <v/>
          </cell>
        </row>
        <row r="894">
          <cell r="CN894" t="str">
            <v/>
          </cell>
          <cell r="CO894" t="str">
            <v/>
          </cell>
          <cell r="CT894" t="str">
            <v/>
          </cell>
          <cell r="CU894" t="str">
            <v/>
          </cell>
          <cell r="CV894" t="str">
            <v/>
          </cell>
          <cell r="CW894" t="str">
            <v/>
          </cell>
        </row>
        <row r="895">
          <cell r="CN895" t="str">
            <v/>
          </cell>
          <cell r="CO895" t="str">
            <v/>
          </cell>
          <cell r="CT895" t="str">
            <v/>
          </cell>
          <cell r="CU895" t="str">
            <v/>
          </cell>
          <cell r="CV895" t="str">
            <v/>
          </cell>
          <cell r="CW895" t="str">
            <v/>
          </cell>
        </row>
        <row r="896">
          <cell r="CN896" t="str">
            <v/>
          </cell>
          <cell r="CO896" t="str">
            <v/>
          </cell>
          <cell r="CT896" t="str">
            <v/>
          </cell>
          <cell r="CU896" t="str">
            <v/>
          </cell>
          <cell r="CV896" t="str">
            <v/>
          </cell>
          <cell r="CW896" t="str">
            <v/>
          </cell>
        </row>
        <row r="897">
          <cell r="CN897" t="str">
            <v/>
          </cell>
          <cell r="CO897" t="str">
            <v/>
          </cell>
          <cell r="CT897" t="str">
            <v/>
          </cell>
          <cell r="CU897" t="str">
            <v/>
          </cell>
          <cell r="CV897" t="str">
            <v/>
          </cell>
          <cell r="CW897" t="str">
            <v/>
          </cell>
        </row>
        <row r="898">
          <cell r="CN898" t="str">
            <v/>
          </cell>
          <cell r="CO898" t="str">
            <v/>
          </cell>
          <cell r="CT898" t="str">
            <v/>
          </cell>
          <cell r="CU898" t="str">
            <v/>
          </cell>
          <cell r="CV898" t="str">
            <v/>
          </cell>
          <cell r="CW898" t="str">
            <v/>
          </cell>
        </row>
        <row r="899">
          <cell r="CN899" t="str">
            <v/>
          </cell>
          <cell r="CO899" t="str">
            <v/>
          </cell>
          <cell r="CT899" t="str">
            <v/>
          </cell>
          <cell r="CU899" t="str">
            <v/>
          </cell>
          <cell r="CV899" t="str">
            <v/>
          </cell>
          <cell r="CW899" t="str">
            <v/>
          </cell>
        </row>
        <row r="900">
          <cell r="CN900" t="str">
            <v/>
          </cell>
          <cell r="CO900" t="str">
            <v/>
          </cell>
          <cell r="CT900" t="str">
            <v/>
          </cell>
          <cell r="CU900" t="str">
            <v/>
          </cell>
          <cell r="CV900" t="str">
            <v/>
          </cell>
          <cell r="CW900" t="str">
            <v/>
          </cell>
        </row>
        <row r="901">
          <cell r="CN901" t="str">
            <v/>
          </cell>
          <cell r="CO901" t="str">
            <v/>
          </cell>
          <cell r="CT901" t="str">
            <v/>
          </cell>
          <cell r="CU901" t="str">
            <v/>
          </cell>
          <cell r="CV901" t="str">
            <v/>
          </cell>
          <cell r="CW901" t="str">
            <v/>
          </cell>
        </row>
        <row r="902">
          <cell r="CN902" t="str">
            <v/>
          </cell>
          <cell r="CO902" t="str">
            <v/>
          </cell>
          <cell r="CT902" t="str">
            <v/>
          </cell>
          <cell r="CU902" t="str">
            <v/>
          </cell>
          <cell r="CV902" t="str">
            <v/>
          </cell>
          <cell r="CW902" t="str">
            <v/>
          </cell>
        </row>
        <row r="903">
          <cell r="CN903" t="str">
            <v/>
          </cell>
          <cell r="CO903" t="str">
            <v/>
          </cell>
          <cell r="CT903" t="str">
            <v/>
          </cell>
          <cell r="CU903" t="str">
            <v/>
          </cell>
          <cell r="CV903" t="str">
            <v/>
          </cell>
          <cell r="CW903" t="str">
            <v/>
          </cell>
        </row>
        <row r="904">
          <cell r="CN904" t="str">
            <v/>
          </cell>
          <cell r="CO904" t="str">
            <v/>
          </cell>
          <cell r="CT904" t="str">
            <v/>
          </cell>
          <cell r="CU904" t="str">
            <v/>
          </cell>
          <cell r="CV904" t="str">
            <v/>
          </cell>
          <cell r="CW904" t="str">
            <v/>
          </cell>
        </row>
        <row r="905">
          <cell r="CN905" t="str">
            <v/>
          </cell>
          <cell r="CO905" t="str">
            <v/>
          </cell>
          <cell r="CT905" t="str">
            <v/>
          </cell>
          <cell r="CU905" t="str">
            <v/>
          </cell>
          <cell r="CV905" t="str">
            <v/>
          </cell>
          <cell r="CW905" t="str">
            <v/>
          </cell>
        </row>
        <row r="906">
          <cell r="CN906" t="str">
            <v/>
          </cell>
          <cell r="CO906" t="str">
            <v/>
          </cell>
          <cell r="CT906" t="str">
            <v/>
          </cell>
          <cell r="CU906" t="str">
            <v/>
          </cell>
          <cell r="CV906" t="str">
            <v/>
          </cell>
          <cell r="CW906" t="str">
            <v/>
          </cell>
        </row>
        <row r="907">
          <cell r="CN907" t="str">
            <v/>
          </cell>
          <cell r="CO907" t="str">
            <v/>
          </cell>
          <cell r="CT907" t="str">
            <v/>
          </cell>
          <cell r="CU907" t="str">
            <v/>
          </cell>
          <cell r="CV907" t="str">
            <v/>
          </cell>
          <cell r="CW907" t="str">
            <v/>
          </cell>
        </row>
        <row r="908">
          <cell r="CN908" t="str">
            <v/>
          </cell>
          <cell r="CO908" t="str">
            <v/>
          </cell>
          <cell r="CT908" t="str">
            <v/>
          </cell>
          <cell r="CU908" t="str">
            <v/>
          </cell>
          <cell r="CV908" t="str">
            <v/>
          </cell>
          <cell r="CW908" t="str">
            <v/>
          </cell>
        </row>
        <row r="909">
          <cell r="CN909" t="str">
            <v/>
          </cell>
          <cell r="CO909" t="str">
            <v/>
          </cell>
          <cell r="CT909" t="str">
            <v/>
          </cell>
          <cell r="CU909" t="str">
            <v/>
          </cell>
          <cell r="CV909" t="str">
            <v/>
          </cell>
          <cell r="CW909" t="str">
            <v/>
          </cell>
        </row>
        <row r="910">
          <cell r="CN910" t="str">
            <v/>
          </cell>
          <cell r="CO910" t="str">
            <v/>
          </cell>
          <cell r="CT910" t="str">
            <v/>
          </cell>
          <cell r="CU910" t="str">
            <v/>
          </cell>
          <cell r="CV910" t="str">
            <v/>
          </cell>
          <cell r="CW910" t="str">
            <v/>
          </cell>
        </row>
        <row r="911">
          <cell r="CN911" t="str">
            <v/>
          </cell>
          <cell r="CO911" t="str">
            <v/>
          </cell>
          <cell r="CT911" t="str">
            <v/>
          </cell>
          <cell r="CU911" t="str">
            <v/>
          </cell>
          <cell r="CV911" t="str">
            <v/>
          </cell>
          <cell r="CW911" t="str">
            <v/>
          </cell>
        </row>
        <row r="912">
          <cell r="CN912" t="str">
            <v/>
          </cell>
          <cell r="CO912" t="str">
            <v/>
          </cell>
          <cell r="CT912" t="str">
            <v/>
          </cell>
          <cell r="CU912" t="str">
            <v/>
          </cell>
          <cell r="CV912" t="str">
            <v/>
          </cell>
          <cell r="CW912" t="str">
            <v/>
          </cell>
        </row>
        <row r="913">
          <cell r="CN913" t="str">
            <v/>
          </cell>
          <cell r="CO913" t="str">
            <v/>
          </cell>
          <cell r="CT913" t="str">
            <v/>
          </cell>
          <cell r="CU913" t="str">
            <v/>
          </cell>
          <cell r="CV913" t="str">
            <v/>
          </cell>
          <cell r="CW913" t="str">
            <v/>
          </cell>
        </row>
        <row r="914">
          <cell r="CN914" t="str">
            <v/>
          </cell>
          <cell r="CO914" t="str">
            <v/>
          </cell>
          <cell r="CT914" t="str">
            <v/>
          </cell>
          <cell r="CU914" t="str">
            <v/>
          </cell>
          <cell r="CV914" t="str">
            <v/>
          </cell>
          <cell r="CW914" t="str">
            <v/>
          </cell>
        </row>
        <row r="915">
          <cell r="CN915" t="str">
            <v/>
          </cell>
          <cell r="CO915" t="str">
            <v/>
          </cell>
          <cell r="CT915" t="str">
            <v/>
          </cell>
          <cell r="CU915" t="str">
            <v/>
          </cell>
          <cell r="CV915" t="str">
            <v/>
          </cell>
          <cell r="CW915" t="str">
            <v/>
          </cell>
        </row>
        <row r="916">
          <cell r="CN916" t="str">
            <v/>
          </cell>
          <cell r="CO916" t="str">
            <v/>
          </cell>
          <cell r="CT916" t="str">
            <v/>
          </cell>
          <cell r="CU916" t="str">
            <v/>
          </cell>
          <cell r="CV916" t="str">
            <v/>
          </cell>
          <cell r="CW916" t="str">
            <v/>
          </cell>
        </row>
        <row r="917">
          <cell r="CN917" t="str">
            <v/>
          </cell>
          <cell r="CO917" t="str">
            <v/>
          </cell>
          <cell r="CT917" t="str">
            <v/>
          </cell>
          <cell r="CU917" t="str">
            <v/>
          </cell>
          <cell r="CV917" t="str">
            <v/>
          </cell>
          <cell r="CW917" t="str">
            <v/>
          </cell>
        </row>
        <row r="918">
          <cell r="CN918" t="str">
            <v/>
          </cell>
          <cell r="CO918" t="str">
            <v/>
          </cell>
          <cell r="CT918" t="str">
            <v/>
          </cell>
          <cell r="CU918" t="str">
            <v/>
          </cell>
          <cell r="CV918" t="str">
            <v/>
          </cell>
          <cell r="CW918" t="str">
            <v/>
          </cell>
        </row>
        <row r="919">
          <cell r="CN919" t="str">
            <v/>
          </cell>
          <cell r="CO919" t="str">
            <v/>
          </cell>
          <cell r="CT919" t="str">
            <v/>
          </cell>
          <cell r="CU919" t="str">
            <v/>
          </cell>
          <cell r="CV919" t="str">
            <v/>
          </cell>
          <cell r="CW919" t="str">
            <v/>
          </cell>
        </row>
        <row r="920">
          <cell r="CN920" t="str">
            <v/>
          </cell>
          <cell r="CO920" t="str">
            <v/>
          </cell>
          <cell r="CT920" t="str">
            <v/>
          </cell>
          <cell r="CU920" t="str">
            <v/>
          </cell>
          <cell r="CV920" t="str">
            <v/>
          </cell>
          <cell r="CW920" t="str">
            <v/>
          </cell>
        </row>
        <row r="921">
          <cell r="CN921" t="str">
            <v/>
          </cell>
          <cell r="CO921" t="str">
            <v/>
          </cell>
          <cell r="CT921" t="str">
            <v/>
          </cell>
          <cell r="CU921" t="str">
            <v/>
          </cell>
          <cell r="CV921" t="str">
            <v/>
          </cell>
          <cell r="CW921" t="str">
            <v/>
          </cell>
        </row>
        <row r="922">
          <cell r="CN922" t="str">
            <v/>
          </cell>
          <cell r="CO922" t="str">
            <v/>
          </cell>
          <cell r="CT922" t="str">
            <v/>
          </cell>
          <cell r="CU922" t="str">
            <v/>
          </cell>
          <cell r="CV922" t="str">
            <v/>
          </cell>
          <cell r="CW922" t="str">
            <v/>
          </cell>
        </row>
        <row r="923">
          <cell r="CN923" t="str">
            <v/>
          </cell>
          <cell r="CO923" t="str">
            <v/>
          </cell>
          <cell r="CT923" t="str">
            <v/>
          </cell>
          <cell r="CU923" t="str">
            <v/>
          </cell>
          <cell r="CV923" t="str">
            <v/>
          </cell>
          <cell r="CW923" t="str">
            <v/>
          </cell>
        </row>
        <row r="924">
          <cell r="CN924" t="str">
            <v/>
          </cell>
          <cell r="CO924" t="str">
            <v/>
          </cell>
          <cell r="CT924" t="str">
            <v/>
          </cell>
          <cell r="CU924" t="str">
            <v/>
          </cell>
          <cell r="CV924" t="str">
            <v/>
          </cell>
          <cell r="CW924" t="str">
            <v/>
          </cell>
        </row>
        <row r="925">
          <cell r="CN925" t="str">
            <v/>
          </cell>
          <cell r="CO925" t="str">
            <v/>
          </cell>
          <cell r="CT925" t="str">
            <v/>
          </cell>
          <cell r="CU925" t="str">
            <v/>
          </cell>
          <cell r="CV925" t="str">
            <v/>
          </cell>
          <cell r="CW925" t="str">
            <v/>
          </cell>
        </row>
        <row r="926">
          <cell r="CN926" t="str">
            <v/>
          </cell>
          <cell r="CO926" t="str">
            <v/>
          </cell>
          <cell r="CT926" t="str">
            <v/>
          </cell>
          <cell r="CU926" t="str">
            <v/>
          </cell>
          <cell r="CV926" t="str">
            <v/>
          </cell>
          <cell r="CW926" t="str">
            <v/>
          </cell>
        </row>
        <row r="927">
          <cell r="CN927" t="str">
            <v/>
          </cell>
          <cell r="CO927" t="str">
            <v/>
          </cell>
          <cell r="CT927" t="str">
            <v/>
          </cell>
          <cell r="CU927" t="str">
            <v/>
          </cell>
          <cell r="CV927" t="str">
            <v/>
          </cell>
          <cell r="CW927" t="str">
            <v/>
          </cell>
        </row>
        <row r="928">
          <cell r="CN928" t="str">
            <v/>
          </cell>
          <cell r="CO928" t="str">
            <v/>
          </cell>
          <cell r="CT928" t="str">
            <v/>
          </cell>
          <cell r="CU928" t="str">
            <v/>
          </cell>
          <cell r="CV928" t="str">
            <v/>
          </cell>
          <cell r="CW928" t="str">
            <v/>
          </cell>
        </row>
        <row r="929">
          <cell r="CN929" t="str">
            <v/>
          </cell>
          <cell r="CO929" t="str">
            <v/>
          </cell>
          <cell r="CT929" t="str">
            <v/>
          </cell>
          <cell r="CU929" t="str">
            <v/>
          </cell>
          <cell r="CV929" t="str">
            <v/>
          </cell>
          <cell r="CW929" t="str">
            <v/>
          </cell>
        </row>
        <row r="930">
          <cell r="CN930" t="str">
            <v/>
          </cell>
          <cell r="CO930" t="str">
            <v/>
          </cell>
          <cell r="CT930" t="str">
            <v/>
          </cell>
          <cell r="CU930" t="str">
            <v/>
          </cell>
          <cell r="CV930" t="str">
            <v/>
          </cell>
          <cell r="CW930" t="str">
            <v/>
          </cell>
        </row>
        <row r="931">
          <cell r="CN931" t="str">
            <v/>
          </cell>
          <cell r="CO931" t="str">
            <v/>
          </cell>
          <cell r="CT931" t="str">
            <v/>
          </cell>
          <cell r="CU931" t="str">
            <v/>
          </cell>
          <cell r="CV931" t="str">
            <v/>
          </cell>
          <cell r="CW931" t="str">
            <v/>
          </cell>
        </row>
        <row r="932">
          <cell r="CN932" t="str">
            <v/>
          </cell>
          <cell r="CO932" t="str">
            <v/>
          </cell>
          <cell r="CT932" t="str">
            <v/>
          </cell>
          <cell r="CU932" t="str">
            <v/>
          </cell>
          <cell r="CV932" t="str">
            <v/>
          </cell>
          <cell r="CW932" t="str">
            <v/>
          </cell>
        </row>
        <row r="933">
          <cell r="CN933" t="str">
            <v/>
          </cell>
          <cell r="CO933" t="str">
            <v/>
          </cell>
          <cell r="CT933" t="str">
            <v/>
          </cell>
          <cell r="CU933" t="str">
            <v/>
          </cell>
          <cell r="CV933" t="str">
            <v/>
          </cell>
          <cell r="CW933" t="str">
            <v/>
          </cell>
        </row>
        <row r="934">
          <cell r="CN934" t="str">
            <v/>
          </cell>
          <cell r="CO934" t="str">
            <v/>
          </cell>
          <cell r="CT934" t="str">
            <v/>
          </cell>
          <cell r="CU934" t="str">
            <v/>
          </cell>
          <cell r="CV934" t="str">
            <v/>
          </cell>
          <cell r="CW934" t="str">
            <v/>
          </cell>
        </row>
        <row r="935">
          <cell r="CN935" t="str">
            <v/>
          </cell>
          <cell r="CO935" t="str">
            <v/>
          </cell>
          <cell r="CT935" t="str">
            <v/>
          </cell>
          <cell r="CU935" t="str">
            <v/>
          </cell>
          <cell r="CV935" t="str">
            <v/>
          </cell>
          <cell r="CW935" t="str">
            <v/>
          </cell>
        </row>
        <row r="936">
          <cell r="CN936" t="str">
            <v/>
          </cell>
          <cell r="CO936" t="str">
            <v/>
          </cell>
          <cell r="CT936" t="str">
            <v/>
          </cell>
          <cell r="CU936" t="str">
            <v/>
          </cell>
          <cell r="CV936" t="str">
            <v/>
          </cell>
          <cell r="CW936" t="str">
            <v/>
          </cell>
        </row>
        <row r="937">
          <cell r="CN937" t="str">
            <v/>
          </cell>
          <cell r="CO937" t="str">
            <v/>
          </cell>
          <cell r="CT937" t="str">
            <v/>
          </cell>
          <cell r="CU937" t="str">
            <v/>
          </cell>
          <cell r="CV937" t="str">
            <v/>
          </cell>
          <cell r="CW937" t="str">
            <v/>
          </cell>
        </row>
        <row r="938">
          <cell r="CN938" t="str">
            <v/>
          </cell>
          <cell r="CO938" t="str">
            <v/>
          </cell>
          <cell r="CT938" t="str">
            <v/>
          </cell>
          <cell r="CU938" t="str">
            <v/>
          </cell>
          <cell r="CV938" t="str">
            <v/>
          </cell>
          <cell r="CW938" t="str">
            <v/>
          </cell>
        </row>
        <row r="939">
          <cell r="CN939" t="str">
            <v/>
          </cell>
          <cell r="CO939" t="str">
            <v/>
          </cell>
          <cell r="CT939" t="str">
            <v/>
          </cell>
          <cell r="CU939" t="str">
            <v/>
          </cell>
          <cell r="CV939" t="str">
            <v/>
          </cell>
          <cell r="CW939" t="str">
            <v/>
          </cell>
        </row>
        <row r="940">
          <cell r="CN940" t="str">
            <v/>
          </cell>
          <cell r="CO940" t="str">
            <v/>
          </cell>
          <cell r="CT940" t="str">
            <v/>
          </cell>
          <cell r="CU940" t="str">
            <v/>
          </cell>
          <cell r="CV940" t="str">
            <v/>
          </cell>
          <cell r="CW940" t="str">
            <v/>
          </cell>
        </row>
        <row r="941">
          <cell r="CN941" t="str">
            <v/>
          </cell>
          <cell r="CO941" t="str">
            <v/>
          </cell>
          <cell r="CT941" t="str">
            <v/>
          </cell>
          <cell r="CU941" t="str">
            <v/>
          </cell>
          <cell r="CV941" t="str">
            <v/>
          </cell>
          <cell r="CW941" t="str">
            <v/>
          </cell>
        </row>
        <row r="942">
          <cell r="CN942" t="str">
            <v/>
          </cell>
          <cell r="CO942" t="str">
            <v/>
          </cell>
          <cell r="CT942" t="str">
            <v/>
          </cell>
          <cell r="CU942" t="str">
            <v/>
          </cell>
          <cell r="CV942" t="str">
            <v/>
          </cell>
          <cell r="CW942" t="str">
            <v/>
          </cell>
        </row>
        <row r="943">
          <cell r="CN943" t="str">
            <v/>
          </cell>
          <cell r="CO943" t="str">
            <v/>
          </cell>
          <cell r="CT943" t="str">
            <v/>
          </cell>
          <cell r="CU943" t="str">
            <v/>
          </cell>
          <cell r="CV943" t="str">
            <v/>
          </cell>
          <cell r="CW943" t="str">
            <v/>
          </cell>
        </row>
        <row r="944">
          <cell r="CN944" t="str">
            <v/>
          </cell>
          <cell r="CO944" t="str">
            <v/>
          </cell>
          <cell r="CT944" t="str">
            <v/>
          </cell>
          <cell r="CU944" t="str">
            <v/>
          </cell>
          <cell r="CV944" t="str">
            <v/>
          </cell>
          <cell r="CW944" t="str">
            <v/>
          </cell>
        </row>
        <row r="945">
          <cell r="CN945" t="str">
            <v/>
          </cell>
          <cell r="CO945" t="str">
            <v/>
          </cell>
          <cell r="CT945" t="str">
            <v/>
          </cell>
          <cell r="CU945" t="str">
            <v/>
          </cell>
          <cell r="CV945" t="str">
            <v/>
          </cell>
          <cell r="CW945" t="str">
            <v/>
          </cell>
        </row>
        <row r="946">
          <cell r="CN946" t="str">
            <v/>
          </cell>
          <cell r="CO946" t="str">
            <v/>
          </cell>
          <cell r="CT946" t="str">
            <v/>
          </cell>
          <cell r="CU946" t="str">
            <v/>
          </cell>
          <cell r="CV946" t="str">
            <v/>
          </cell>
          <cell r="CW946" t="str">
            <v/>
          </cell>
        </row>
        <row r="947">
          <cell r="CN947" t="str">
            <v/>
          </cell>
          <cell r="CO947" t="str">
            <v/>
          </cell>
          <cell r="CT947" t="str">
            <v/>
          </cell>
          <cell r="CU947" t="str">
            <v/>
          </cell>
          <cell r="CV947" t="str">
            <v/>
          </cell>
          <cell r="CW947" t="str">
            <v/>
          </cell>
        </row>
        <row r="948">
          <cell r="CN948" t="str">
            <v/>
          </cell>
          <cell r="CO948" t="str">
            <v/>
          </cell>
          <cell r="CT948" t="str">
            <v/>
          </cell>
          <cell r="CU948" t="str">
            <v/>
          </cell>
          <cell r="CV948" t="str">
            <v/>
          </cell>
          <cell r="CW948" t="str">
            <v/>
          </cell>
        </row>
        <row r="949">
          <cell r="CN949" t="str">
            <v/>
          </cell>
          <cell r="CO949" t="str">
            <v/>
          </cell>
          <cell r="CT949" t="str">
            <v/>
          </cell>
          <cell r="CU949" t="str">
            <v/>
          </cell>
          <cell r="CV949" t="str">
            <v/>
          </cell>
          <cell r="CW949" t="str">
            <v/>
          </cell>
        </row>
        <row r="950">
          <cell r="CN950" t="str">
            <v/>
          </cell>
          <cell r="CO950" t="str">
            <v/>
          </cell>
          <cell r="CT950" t="str">
            <v/>
          </cell>
          <cell r="CU950" t="str">
            <v/>
          </cell>
          <cell r="CV950" t="str">
            <v/>
          </cell>
          <cell r="CW950" t="str">
            <v/>
          </cell>
        </row>
        <row r="951">
          <cell r="CN951" t="str">
            <v/>
          </cell>
          <cell r="CO951" t="str">
            <v/>
          </cell>
          <cell r="CT951" t="str">
            <v/>
          </cell>
          <cell r="CU951" t="str">
            <v/>
          </cell>
          <cell r="CV951" t="str">
            <v/>
          </cell>
          <cell r="CW951" t="str">
            <v/>
          </cell>
        </row>
        <row r="952">
          <cell r="CN952" t="str">
            <v/>
          </cell>
          <cell r="CO952" t="str">
            <v/>
          </cell>
          <cell r="CT952" t="str">
            <v/>
          </cell>
          <cell r="CU952" t="str">
            <v/>
          </cell>
          <cell r="CV952" t="str">
            <v/>
          </cell>
          <cell r="CW952" t="str">
            <v/>
          </cell>
        </row>
        <row r="953">
          <cell r="CN953" t="str">
            <v/>
          </cell>
          <cell r="CO953" t="str">
            <v/>
          </cell>
          <cell r="CT953" t="str">
            <v/>
          </cell>
          <cell r="CU953" t="str">
            <v/>
          </cell>
          <cell r="CV953" t="str">
            <v/>
          </cell>
          <cell r="CW953" t="str">
            <v/>
          </cell>
        </row>
        <row r="954">
          <cell r="CN954" t="str">
            <v/>
          </cell>
          <cell r="CO954" t="str">
            <v/>
          </cell>
          <cell r="CT954" t="str">
            <v/>
          </cell>
          <cell r="CU954" t="str">
            <v/>
          </cell>
          <cell r="CV954" t="str">
            <v/>
          </cell>
          <cell r="CW954" t="str">
            <v/>
          </cell>
        </row>
        <row r="955">
          <cell r="CN955" t="str">
            <v/>
          </cell>
          <cell r="CO955" t="str">
            <v/>
          </cell>
          <cell r="CT955" t="str">
            <v/>
          </cell>
          <cell r="CU955" t="str">
            <v/>
          </cell>
          <cell r="CV955" t="str">
            <v/>
          </cell>
          <cell r="CW955" t="str">
            <v/>
          </cell>
        </row>
        <row r="956">
          <cell r="CN956" t="str">
            <v/>
          </cell>
          <cell r="CO956" t="str">
            <v/>
          </cell>
          <cell r="CT956" t="str">
            <v/>
          </cell>
          <cell r="CU956" t="str">
            <v/>
          </cell>
          <cell r="CV956" t="str">
            <v/>
          </cell>
          <cell r="CW956" t="str">
            <v/>
          </cell>
        </row>
        <row r="957">
          <cell r="CN957" t="str">
            <v/>
          </cell>
          <cell r="CO957" t="str">
            <v/>
          </cell>
          <cell r="CT957" t="str">
            <v/>
          </cell>
          <cell r="CU957" t="str">
            <v/>
          </cell>
          <cell r="CV957" t="str">
            <v/>
          </cell>
          <cell r="CW957" t="str">
            <v/>
          </cell>
        </row>
        <row r="958">
          <cell r="CN958" t="str">
            <v/>
          </cell>
          <cell r="CO958" t="str">
            <v/>
          </cell>
          <cell r="CT958" t="str">
            <v/>
          </cell>
          <cell r="CU958" t="str">
            <v/>
          </cell>
          <cell r="CV958" t="str">
            <v/>
          </cell>
          <cell r="CW958" t="str">
            <v/>
          </cell>
        </row>
        <row r="959">
          <cell r="CN959" t="str">
            <v/>
          </cell>
          <cell r="CO959" t="str">
            <v/>
          </cell>
          <cell r="CT959" t="str">
            <v/>
          </cell>
          <cell r="CU959" t="str">
            <v/>
          </cell>
          <cell r="CV959" t="str">
            <v/>
          </cell>
          <cell r="CW959" t="str">
            <v/>
          </cell>
        </row>
        <row r="960">
          <cell r="CN960" t="str">
            <v/>
          </cell>
          <cell r="CO960" t="str">
            <v/>
          </cell>
          <cell r="CT960" t="str">
            <v/>
          </cell>
          <cell r="CU960" t="str">
            <v/>
          </cell>
          <cell r="CV960" t="str">
            <v/>
          </cell>
          <cell r="CW960" t="str">
            <v/>
          </cell>
        </row>
        <row r="961">
          <cell r="CN961" t="str">
            <v/>
          </cell>
          <cell r="CO961" t="str">
            <v/>
          </cell>
          <cell r="CT961" t="str">
            <v/>
          </cell>
          <cell r="CU961" t="str">
            <v/>
          </cell>
          <cell r="CV961" t="str">
            <v/>
          </cell>
          <cell r="CW961" t="str">
            <v/>
          </cell>
        </row>
        <row r="962">
          <cell r="CN962" t="str">
            <v/>
          </cell>
          <cell r="CO962" t="str">
            <v/>
          </cell>
          <cell r="CT962" t="str">
            <v/>
          </cell>
          <cell r="CU962" t="str">
            <v/>
          </cell>
          <cell r="CV962" t="str">
            <v/>
          </cell>
          <cell r="CW962" t="str">
            <v/>
          </cell>
        </row>
        <row r="963">
          <cell r="CN963" t="str">
            <v/>
          </cell>
          <cell r="CO963" t="str">
            <v/>
          </cell>
          <cell r="CT963" t="str">
            <v/>
          </cell>
          <cell r="CU963" t="str">
            <v/>
          </cell>
          <cell r="CV963" t="str">
            <v/>
          </cell>
          <cell r="CW963" t="str">
            <v/>
          </cell>
        </row>
        <row r="964">
          <cell r="CN964" t="str">
            <v/>
          </cell>
          <cell r="CO964" t="str">
            <v/>
          </cell>
          <cell r="CT964" t="str">
            <v/>
          </cell>
          <cell r="CU964" t="str">
            <v/>
          </cell>
          <cell r="CV964" t="str">
            <v/>
          </cell>
          <cell r="CW964" t="str">
            <v/>
          </cell>
        </row>
        <row r="965">
          <cell r="CN965" t="str">
            <v/>
          </cell>
          <cell r="CO965" t="str">
            <v/>
          </cell>
          <cell r="CT965" t="str">
            <v/>
          </cell>
          <cell r="CU965" t="str">
            <v/>
          </cell>
          <cell r="CV965" t="str">
            <v/>
          </cell>
          <cell r="CW965" t="str">
            <v/>
          </cell>
        </row>
        <row r="966">
          <cell r="CN966" t="str">
            <v/>
          </cell>
          <cell r="CO966" t="str">
            <v/>
          </cell>
          <cell r="CT966" t="str">
            <v/>
          </cell>
          <cell r="CU966" t="str">
            <v/>
          </cell>
          <cell r="CV966" t="str">
            <v/>
          </cell>
          <cell r="CW966" t="str">
            <v/>
          </cell>
        </row>
        <row r="967">
          <cell r="CN967" t="str">
            <v/>
          </cell>
          <cell r="CO967" t="str">
            <v/>
          </cell>
          <cell r="CT967" t="str">
            <v/>
          </cell>
          <cell r="CU967" t="str">
            <v/>
          </cell>
          <cell r="CV967" t="str">
            <v/>
          </cell>
          <cell r="CW967" t="str">
            <v/>
          </cell>
        </row>
        <row r="968">
          <cell r="CN968" t="str">
            <v/>
          </cell>
          <cell r="CO968" t="str">
            <v/>
          </cell>
          <cell r="CT968" t="str">
            <v/>
          </cell>
          <cell r="CU968" t="str">
            <v/>
          </cell>
          <cell r="CV968" t="str">
            <v/>
          </cell>
          <cell r="CW968" t="str">
            <v/>
          </cell>
        </row>
        <row r="969">
          <cell r="CN969" t="str">
            <v/>
          </cell>
          <cell r="CO969" t="str">
            <v/>
          </cell>
          <cell r="CT969" t="str">
            <v/>
          </cell>
          <cell r="CU969" t="str">
            <v/>
          </cell>
          <cell r="CV969" t="str">
            <v/>
          </cell>
          <cell r="CW969" t="str">
            <v/>
          </cell>
        </row>
        <row r="970">
          <cell r="CN970" t="str">
            <v/>
          </cell>
          <cell r="CO970" t="str">
            <v/>
          </cell>
          <cell r="CT970" t="str">
            <v/>
          </cell>
          <cell r="CU970" t="str">
            <v/>
          </cell>
          <cell r="CV970" t="str">
            <v/>
          </cell>
          <cell r="CW970" t="str">
            <v/>
          </cell>
        </row>
        <row r="971">
          <cell r="CN971" t="str">
            <v/>
          </cell>
          <cell r="CO971" t="str">
            <v/>
          </cell>
          <cell r="CT971" t="str">
            <v/>
          </cell>
          <cell r="CU971" t="str">
            <v/>
          </cell>
          <cell r="CV971" t="str">
            <v/>
          </cell>
          <cell r="CW971" t="str">
            <v/>
          </cell>
        </row>
        <row r="972">
          <cell r="CN972" t="str">
            <v/>
          </cell>
          <cell r="CO972" t="str">
            <v/>
          </cell>
          <cell r="CT972" t="str">
            <v/>
          </cell>
          <cell r="CU972" t="str">
            <v/>
          </cell>
          <cell r="CV972" t="str">
            <v/>
          </cell>
          <cell r="CW972" t="str">
            <v/>
          </cell>
        </row>
        <row r="973">
          <cell r="CN973" t="str">
            <v/>
          </cell>
          <cell r="CO973" t="str">
            <v/>
          </cell>
          <cell r="CT973" t="str">
            <v/>
          </cell>
          <cell r="CU973" t="str">
            <v/>
          </cell>
          <cell r="CV973" t="str">
            <v/>
          </cell>
          <cell r="CW973" t="str">
            <v/>
          </cell>
        </row>
        <row r="974">
          <cell r="CN974" t="str">
            <v/>
          </cell>
          <cell r="CO974" t="str">
            <v/>
          </cell>
          <cell r="CT974" t="str">
            <v/>
          </cell>
          <cell r="CU974" t="str">
            <v/>
          </cell>
          <cell r="CV974" t="str">
            <v/>
          </cell>
          <cell r="CW974" t="str">
            <v/>
          </cell>
        </row>
        <row r="975">
          <cell r="CN975" t="str">
            <v/>
          </cell>
          <cell r="CO975" t="str">
            <v/>
          </cell>
          <cell r="CT975" t="str">
            <v/>
          </cell>
          <cell r="CU975" t="str">
            <v/>
          </cell>
          <cell r="CV975" t="str">
            <v/>
          </cell>
          <cell r="CW975" t="str">
            <v/>
          </cell>
        </row>
        <row r="976">
          <cell r="CN976" t="str">
            <v/>
          </cell>
          <cell r="CO976" t="str">
            <v/>
          </cell>
          <cell r="CT976" t="str">
            <v/>
          </cell>
          <cell r="CU976" t="str">
            <v/>
          </cell>
          <cell r="CV976" t="str">
            <v/>
          </cell>
          <cell r="CW976" t="str">
            <v/>
          </cell>
        </row>
        <row r="977">
          <cell r="CN977" t="str">
            <v/>
          </cell>
          <cell r="CO977" t="str">
            <v/>
          </cell>
          <cell r="CT977" t="str">
            <v/>
          </cell>
          <cell r="CU977" t="str">
            <v/>
          </cell>
          <cell r="CV977" t="str">
            <v/>
          </cell>
          <cell r="CW977" t="str">
            <v/>
          </cell>
        </row>
        <row r="978">
          <cell r="CN978" t="str">
            <v/>
          </cell>
          <cell r="CO978" t="str">
            <v/>
          </cell>
          <cell r="CT978" t="str">
            <v/>
          </cell>
          <cell r="CU978" t="str">
            <v/>
          </cell>
          <cell r="CV978" t="str">
            <v/>
          </cell>
          <cell r="CW978" t="str">
            <v/>
          </cell>
        </row>
        <row r="979">
          <cell r="CN979" t="str">
            <v/>
          </cell>
          <cell r="CO979" t="str">
            <v/>
          </cell>
          <cell r="CT979" t="str">
            <v/>
          </cell>
          <cell r="CU979" t="str">
            <v/>
          </cell>
          <cell r="CV979" t="str">
            <v/>
          </cell>
          <cell r="CW979" t="str">
            <v/>
          </cell>
        </row>
        <row r="980">
          <cell r="CN980" t="str">
            <v/>
          </cell>
          <cell r="CO980" t="str">
            <v/>
          </cell>
          <cell r="CT980" t="str">
            <v/>
          </cell>
          <cell r="CU980" t="str">
            <v/>
          </cell>
          <cell r="CV980" t="str">
            <v/>
          </cell>
          <cell r="CW980" t="str">
            <v/>
          </cell>
        </row>
        <row r="981">
          <cell r="CN981" t="str">
            <v/>
          </cell>
          <cell r="CO981" t="str">
            <v/>
          </cell>
          <cell r="CT981" t="str">
            <v/>
          </cell>
          <cell r="CU981" t="str">
            <v/>
          </cell>
          <cell r="CV981" t="str">
            <v/>
          </cell>
          <cell r="CW981" t="str">
            <v/>
          </cell>
        </row>
        <row r="982">
          <cell r="CN982" t="str">
            <v/>
          </cell>
          <cell r="CO982" t="str">
            <v/>
          </cell>
          <cell r="CT982" t="str">
            <v/>
          </cell>
          <cell r="CU982" t="str">
            <v/>
          </cell>
          <cell r="CV982" t="str">
            <v/>
          </cell>
          <cell r="CW982" t="str">
            <v/>
          </cell>
        </row>
        <row r="983">
          <cell r="CN983" t="str">
            <v/>
          </cell>
          <cell r="CO983" t="str">
            <v/>
          </cell>
          <cell r="CT983" t="str">
            <v/>
          </cell>
          <cell r="CU983" t="str">
            <v/>
          </cell>
          <cell r="CV983" t="str">
            <v/>
          </cell>
          <cell r="CW983" t="str">
            <v/>
          </cell>
        </row>
        <row r="984">
          <cell r="CN984" t="str">
            <v/>
          </cell>
          <cell r="CO984" t="str">
            <v/>
          </cell>
          <cell r="CT984" t="str">
            <v/>
          </cell>
          <cell r="CU984" t="str">
            <v/>
          </cell>
          <cell r="CV984" t="str">
            <v/>
          </cell>
          <cell r="CW984" t="str">
            <v/>
          </cell>
        </row>
        <row r="985">
          <cell r="CN985" t="str">
            <v/>
          </cell>
          <cell r="CO985" t="str">
            <v/>
          </cell>
          <cell r="CT985" t="str">
            <v/>
          </cell>
          <cell r="CU985" t="str">
            <v/>
          </cell>
          <cell r="CV985" t="str">
            <v/>
          </cell>
          <cell r="CW985" t="str">
            <v/>
          </cell>
        </row>
        <row r="986">
          <cell r="CN986" t="str">
            <v/>
          </cell>
          <cell r="CO986" t="str">
            <v/>
          </cell>
          <cell r="CT986" t="str">
            <v/>
          </cell>
          <cell r="CU986" t="str">
            <v/>
          </cell>
          <cell r="CV986" t="str">
            <v/>
          </cell>
          <cell r="CW986" t="str">
            <v/>
          </cell>
        </row>
        <row r="987">
          <cell r="CN987" t="str">
            <v/>
          </cell>
          <cell r="CO987" t="str">
            <v/>
          </cell>
          <cell r="CT987" t="str">
            <v/>
          </cell>
          <cell r="CU987" t="str">
            <v/>
          </cell>
          <cell r="CV987" t="str">
            <v/>
          </cell>
          <cell r="CW987" t="str">
            <v/>
          </cell>
        </row>
        <row r="988">
          <cell r="CN988" t="str">
            <v/>
          </cell>
          <cell r="CO988" t="str">
            <v/>
          </cell>
          <cell r="CT988" t="str">
            <v/>
          </cell>
          <cell r="CU988" t="str">
            <v/>
          </cell>
          <cell r="CV988" t="str">
            <v/>
          </cell>
          <cell r="CW988" t="str">
            <v/>
          </cell>
        </row>
        <row r="989">
          <cell r="CN989" t="str">
            <v/>
          </cell>
          <cell r="CO989" t="str">
            <v/>
          </cell>
          <cell r="CT989" t="str">
            <v/>
          </cell>
          <cell r="CU989" t="str">
            <v/>
          </cell>
          <cell r="CV989" t="str">
            <v/>
          </cell>
          <cell r="CW989" t="str">
            <v/>
          </cell>
        </row>
        <row r="990">
          <cell r="CN990" t="str">
            <v/>
          </cell>
          <cell r="CO990" t="str">
            <v/>
          </cell>
          <cell r="CT990" t="str">
            <v/>
          </cell>
          <cell r="CU990" t="str">
            <v/>
          </cell>
          <cell r="CV990" t="str">
            <v/>
          </cell>
          <cell r="CW990" t="str">
            <v/>
          </cell>
        </row>
        <row r="991">
          <cell r="CN991" t="str">
            <v/>
          </cell>
          <cell r="CO991" t="str">
            <v/>
          </cell>
          <cell r="CT991" t="str">
            <v/>
          </cell>
          <cell r="CU991" t="str">
            <v/>
          </cell>
          <cell r="CV991" t="str">
            <v/>
          </cell>
          <cell r="CW991" t="str">
            <v/>
          </cell>
        </row>
        <row r="992">
          <cell r="CN992" t="str">
            <v/>
          </cell>
          <cell r="CO992" t="str">
            <v/>
          </cell>
          <cell r="CT992" t="str">
            <v/>
          </cell>
          <cell r="CU992" t="str">
            <v/>
          </cell>
          <cell r="CV992" t="str">
            <v/>
          </cell>
          <cell r="CW992" t="str">
            <v/>
          </cell>
        </row>
        <row r="993">
          <cell r="CN993" t="str">
            <v/>
          </cell>
          <cell r="CO993" t="str">
            <v/>
          </cell>
          <cell r="CT993" t="str">
            <v/>
          </cell>
          <cell r="CU993" t="str">
            <v/>
          </cell>
          <cell r="CV993" t="str">
            <v/>
          </cell>
          <cell r="CW993" t="str">
            <v/>
          </cell>
        </row>
        <row r="994">
          <cell r="CN994" t="str">
            <v/>
          </cell>
          <cell r="CO994" t="str">
            <v/>
          </cell>
          <cell r="CT994" t="str">
            <v/>
          </cell>
          <cell r="CU994" t="str">
            <v/>
          </cell>
          <cell r="CV994" t="str">
            <v/>
          </cell>
          <cell r="CW994" t="str">
            <v/>
          </cell>
        </row>
        <row r="995">
          <cell r="CN995" t="str">
            <v/>
          </cell>
          <cell r="CO995" t="str">
            <v/>
          </cell>
          <cell r="CT995" t="str">
            <v/>
          </cell>
          <cell r="CU995" t="str">
            <v/>
          </cell>
          <cell r="CV995" t="str">
            <v/>
          </cell>
          <cell r="CW995" t="str">
            <v/>
          </cell>
        </row>
        <row r="996">
          <cell r="CN996" t="str">
            <v/>
          </cell>
          <cell r="CO996" t="str">
            <v/>
          </cell>
          <cell r="CT996" t="str">
            <v/>
          </cell>
          <cell r="CU996" t="str">
            <v/>
          </cell>
          <cell r="CV996" t="str">
            <v/>
          </cell>
          <cell r="CW996" t="str">
            <v/>
          </cell>
        </row>
        <row r="997">
          <cell r="CN997" t="str">
            <v/>
          </cell>
          <cell r="CO997" t="str">
            <v/>
          </cell>
          <cell r="CT997" t="str">
            <v/>
          </cell>
          <cell r="CU997" t="str">
            <v/>
          </cell>
          <cell r="CV997" t="str">
            <v/>
          </cell>
          <cell r="CW997" t="str">
            <v/>
          </cell>
        </row>
        <row r="998">
          <cell r="CN998" t="str">
            <v/>
          </cell>
          <cell r="CO998" t="str">
            <v/>
          </cell>
          <cell r="CT998" t="str">
            <v/>
          </cell>
          <cell r="CU998" t="str">
            <v/>
          </cell>
          <cell r="CV998" t="str">
            <v/>
          </cell>
          <cell r="CW998" t="str">
            <v/>
          </cell>
        </row>
        <row r="999">
          <cell r="CN999" t="str">
            <v/>
          </cell>
          <cell r="CO999" t="str">
            <v/>
          </cell>
          <cell r="CT999" t="str">
            <v/>
          </cell>
          <cell r="CU999" t="str">
            <v/>
          </cell>
          <cell r="CV999" t="str">
            <v/>
          </cell>
          <cell r="CW999" t="str">
            <v/>
          </cell>
        </row>
        <row r="1000">
          <cell r="CN1000" t="str">
            <v/>
          </cell>
          <cell r="CO1000" t="str">
            <v/>
          </cell>
          <cell r="CT1000" t="str">
            <v/>
          </cell>
          <cell r="CU1000" t="str">
            <v/>
          </cell>
          <cell r="CV1000" t="str">
            <v/>
          </cell>
          <cell r="CW1000" t="str">
            <v/>
          </cell>
        </row>
        <row r="1001">
          <cell r="CN1001" t="str">
            <v/>
          </cell>
          <cell r="CO1001" t="str">
            <v/>
          </cell>
          <cell r="CT1001" t="str">
            <v/>
          </cell>
          <cell r="CU1001" t="str">
            <v/>
          </cell>
          <cell r="CV1001" t="str">
            <v/>
          </cell>
          <cell r="CW1001" t="str">
            <v/>
          </cell>
        </row>
        <row r="1002">
          <cell r="CN1002" t="str">
            <v/>
          </cell>
          <cell r="CO1002" t="str">
            <v/>
          </cell>
          <cell r="CT1002" t="str">
            <v/>
          </cell>
          <cell r="CU1002" t="str">
            <v/>
          </cell>
          <cell r="CV1002" t="str">
            <v/>
          </cell>
          <cell r="CW1002" t="str">
            <v/>
          </cell>
        </row>
        <row r="1003">
          <cell r="CN1003" t="str">
            <v/>
          </cell>
          <cell r="CO1003" t="str">
            <v/>
          </cell>
          <cell r="CT1003" t="str">
            <v/>
          </cell>
          <cell r="CU1003" t="str">
            <v/>
          </cell>
          <cell r="CV1003" t="str">
            <v/>
          </cell>
          <cell r="CW1003" t="str">
            <v/>
          </cell>
        </row>
        <row r="1004">
          <cell r="CN1004" t="str">
            <v/>
          </cell>
          <cell r="CO1004" t="str">
            <v/>
          </cell>
          <cell r="CT1004" t="str">
            <v/>
          </cell>
          <cell r="CU1004" t="str">
            <v/>
          </cell>
          <cell r="CV1004" t="str">
            <v/>
          </cell>
          <cell r="CW1004" t="str">
            <v/>
          </cell>
        </row>
        <row r="1005">
          <cell r="CN1005" t="str">
            <v/>
          </cell>
          <cell r="CO1005" t="str">
            <v/>
          </cell>
          <cell r="CT1005" t="str">
            <v/>
          </cell>
          <cell r="CU1005" t="str">
            <v/>
          </cell>
          <cell r="CV1005" t="str">
            <v/>
          </cell>
          <cell r="CW1005" t="str">
            <v/>
          </cell>
        </row>
        <row r="1006">
          <cell r="CN1006" t="str">
            <v/>
          </cell>
          <cell r="CO1006" t="str">
            <v/>
          </cell>
          <cell r="CT1006" t="str">
            <v/>
          </cell>
          <cell r="CU1006" t="str">
            <v/>
          </cell>
          <cell r="CV1006" t="str">
            <v/>
          </cell>
          <cell r="CW1006" t="str">
            <v/>
          </cell>
        </row>
        <row r="1007">
          <cell r="CN1007" t="str">
            <v/>
          </cell>
          <cell r="CO1007" t="str">
            <v/>
          </cell>
          <cell r="CT1007" t="str">
            <v/>
          </cell>
          <cell r="CU1007" t="str">
            <v/>
          </cell>
          <cell r="CV1007" t="str">
            <v/>
          </cell>
          <cell r="CW1007" t="str">
            <v/>
          </cell>
        </row>
        <row r="1008">
          <cell r="CN1008" t="str">
            <v/>
          </cell>
          <cell r="CO1008" t="str">
            <v/>
          </cell>
          <cell r="CT1008" t="str">
            <v/>
          </cell>
          <cell r="CU1008" t="str">
            <v/>
          </cell>
          <cell r="CV1008" t="str">
            <v/>
          </cell>
          <cell r="CW1008" t="str">
            <v/>
          </cell>
        </row>
        <row r="1009">
          <cell r="CN1009" t="str">
            <v/>
          </cell>
          <cell r="CO1009" t="str">
            <v/>
          </cell>
          <cell r="CT1009" t="str">
            <v/>
          </cell>
          <cell r="CU1009" t="str">
            <v/>
          </cell>
          <cell r="CV1009" t="str">
            <v/>
          </cell>
          <cell r="CW1009" t="str">
            <v/>
          </cell>
        </row>
        <row r="1010">
          <cell r="CN1010" t="str">
            <v/>
          </cell>
          <cell r="CO1010" t="str">
            <v/>
          </cell>
          <cell r="CT1010" t="str">
            <v/>
          </cell>
          <cell r="CU1010" t="str">
            <v/>
          </cell>
          <cell r="CV1010" t="str">
            <v/>
          </cell>
          <cell r="CW1010" t="str">
            <v/>
          </cell>
        </row>
        <row r="1011">
          <cell r="CN1011" t="str">
            <v/>
          </cell>
          <cell r="CO1011" t="str">
            <v/>
          </cell>
          <cell r="CT1011" t="str">
            <v/>
          </cell>
          <cell r="CU1011" t="str">
            <v/>
          </cell>
          <cell r="CV1011" t="str">
            <v/>
          </cell>
          <cell r="CW1011" t="str">
            <v/>
          </cell>
        </row>
      </sheetData>
      <sheetData sheetId="2"/>
      <sheetData sheetId="3">
        <row r="2">
          <cell r="E2" t="str">
            <v>ALICUOTAS IVA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er"/>
      <sheetName val="Retenciones"/>
      <sheetName val="Percepciones"/>
      <sheetName val="Percepciones Aduaneras"/>
      <sheetName val="Aux"/>
    </sheetNames>
    <sheetDataSet>
      <sheetData sheetId="0"/>
      <sheetData sheetId="1" refreshError="1"/>
      <sheetData sheetId="2" refreshError="1"/>
      <sheetData sheetId="3" refreshError="1"/>
      <sheetData sheetId="4">
        <row r="2">
          <cell r="B2" t="str">
            <v>Cod</v>
          </cell>
          <cell r="C2" t="str">
            <v>Jurisdicción</v>
          </cell>
        </row>
        <row r="3">
          <cell r="B3">
            <v>901</v>
          </cell>
          <cell r="C3" t="str">
            <v>Capital Federal</v>
          </cell>
        </row>
        <row r="4">
          <cell r="B4">
            <v>902</v>
          </cell>
          <cell r="C4" t="str">
            <v>Buenos Aires</v>
          </cell>
        </row>
        <row r="5">
          <cell r="B5">
            <v>903</v>
          </cell>
          <cell r="C5" t="str">
            <v>Catamarca</v>
          </cell>
        </row>
        <row r="6">
          <cell r="B6">
            <v>904</v>
          </cell>
          <cell r="C6" t="str">
            <v>Córdoba</v>
          </cell>
        </row>
        <row r="7">
          <cell r="B7">
            <v>905</v>
          </cell>
          <cell r="C7" t="str">
            <v>Corrientes</v>
          </cell>
        </row>
        <row r="8">
          <cell r="B8">
            <v>906</v>
          </cell>
          <cell r="C8" t="str">
            <v>Chaco</v>
          </cell>
        </row>
        <row r="9">
          <cell r="B9">
            <v>907</v>
          </cell>
          <cell r="C9" t="str">
            <v>Chubut</v>
          </cell>
        </row>
        <row r="10">
          <cell r="B10">
            <v>908</v>
          </cell>
          <cell r="C10" t="str">
            <v>Entre Ríos</v>
          </cell>
        </row>
        <row r="11">
          <cell r="B11">
            <v>909</v>
          </cell>
          <cell r="C11" t="str">
            <v>Formosa</v>
          </cell>
        </row>
        <row r="12">
          <cell r="B12">
            <v>910</v>
          </cell>
          <cell r="C12" t="str">
            <v>Jujuy</v>
          </cell>
        </row>
        <row r="13">
          <cell r="B13">
            <v>911</v>
          </cell>
          <cell r="C13" t="str">
            <v>La Pampa</v>
          </cell>
        </row>
        <row r="14">
          <cell r="B14">
            <v>912</v>
          </cell>
          <cell r="C14" t="str">
            <v>La Rioja</v>
          </cell>
        </row>
        <row r="15">
          <cell r="B15">
            <v>913</v>
          </cell>
          <cell r="C15" t="str">
            <v>Mendoza</v>
          </cell>
        </row>
        <row r="16">
          <cell r="B16">
            <v>914</v>
          </cell>
          <cell r="C16" t="str">
            <v>Misiones</v>
          </cell>
        </row>
        <row r="17">
          <cell r="B17">
            <v>915</v>
          </cell>
          <cell r="C17" t="str">
            <v>Neuquén</v>
          </cell>
        </row>
        <row r="18">
          <cell r="B18">
            <v>916</v>
          </cell>
          <cell r="C18" t="str">
            <v>Río Negro</v>
          </cell>
        </row>
        <row r="19">
          <cell r="B19">
            <v>917</v>
          </cell>
          <cell r="C19" t="str">
            <v>Salta</v>
          </cell>
        </row>
        <row r="20">
          <cell r="B20">
            <v>918</v>
          </cell>
          <cell r="C20" t="str">
            <v>San Juan</v>
          </cell>
        </row>
        <row r="21">
          <cell r="B21">
            <v>919</v>
          </cell>
          <cell r="C21" t="str">
            <v>San Luis</v>
          </cell>
        </row>
        <row r="22">
          <cell r="B22">
            <v>920</v>
          </cell>
          <cell r="C22" t="str">
            <v>Santa Cruz</v>
          </cell>
        </row>
        <row r="23">
          <cell r="B23">
            <v>921</v>
          </cell>
          <cell r="C23" t="str">
            <v>Santa Fe</v>
          </cell>
        </row>
        <row r="24">
          <cell r="B24">
            <v>922</v>
          </cell>
          <cell r="C24" t="str">
            <v>Santiago del Estero</v>
          </cell>
        </row>
        <row r="25">
          <cell r="B25">
            <v>923</v>
          </cell>
          <cell r="C25" t="str">
            <v>Tierra del Fuego</v>
          </cell>
        </row>
        <row r="26">
          <cell r="B26">
            <v>924</v>
          </cell>
          <cell r="C26" t="str">
            <v>Tucumán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twitter.com/exceldiario" TargetMode="External"/><Relationship Id="rId3" Type="http://schemas.openxmlformats.org/officeDocument/2006/relationships/hyperlink" Target="http://exceldiario.blogspot.com.ar/search/label/Futbol" TargetMode="External"/><Relationship Id="rId7" Type="http://schemas.openxmlformats.org/officeDocument/2006/relationships/hyperlink" Target="http://exceldiario.blogspot.com.ar/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http://exceldiario.blogspot.com.ar/search/label/Excel%20Contable" TargetMode="External"/><Relationship Id="rId1" Type="http://schemas.openxmlformats.org/officeDocument/2006/relationships/hyperlink" Target="http://exceldiario.blogspot.com.ar/" TargetMode="External"/><Relationship Id="rId6" Type="http://schemas.openxmlformats.org/officeDocument/2006/relationships/hyperlink" Target="http://exceldiario.blogspot.com.ar/" TargetMode="External"/><Relationship Id="rId11" Type="http://schemas.openxmlformats.org/officeDocument/2006/relationships/hyperlink" Target="https://www.facebook.com/ExcelDiario/" TargetMode="External"/><Relationship Id="rId5" Type="http://schemas.openxmlformats.org/officeDocument/2006/relationships/hyperlink" Target="http://exceldiario.blogspot.com.ar/p/blog-page_21.html" TargetMode="External"/><Relationship Id="rId10" Type="http://schemas.openxmlformats.org/officeDocument/2006/relationships/hyperlink" Target="http://exceldiario.blogspot.com.ar/" TargetMode="External"/><Relationship Id="rId4" Type="http://schemas.openxmlformats.org/officeDocument/2006/relationships/hyperlink" Target="http://exceldiario.blogspot.com.ar/search/label/Funciones" TargetMode="External"/><Relationship Id="rId9" Type="http://schemas.openxmlformats.org/officeDocument/2006/relationships/hyperlink" Target="https://www.youtube.com/channel/UCen-PvNoZWTpfnx19Pe_y0Q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exceldiario.com.ar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F20"/>
  <sheetViews>
    <sheetView workbookViewId="0">
      <selection activeCell="C14" sqref="C14:E14"/>
    </sheetView>
  </sheetViews>
  <sheetFormatPr baseColWidth="10" defaultRowHeight="15" x14ac:dyDescent="0.25"/>
  <cols>
    <col min="1" max="1" width="1.5703125" style="59" customWidth="1"/>
    <col min="2" max="2" width="1.140625" style="59" customWidth="1"/>
    <col min="3" max="3" width="32.5703125" style="59" customWidth="1"/>
    <col min="4" max="4" width="14.5703125" style="59" customWidth="1"/>
    <col min="5" max="5" width="11.28515625" style="59" customWidth="1"/>
    <col min="6" max="6" width="1.140625" style="59" customWidth="1"/>
    <col min="7" max="16384" width="11.42578125" style="59"/>
  </cols>
  <sheetData>
    <row r="1" spans="2:6" ht="14.25" customHeight="1" thickBot="1" x14ac:dyDescent="0.3"/>
    <row r="2" spans="2:6" ht="6.95" customHeight="1" thickBot="1" x14ac:dyDescent="0.3">
      <c r="B2" s="60"/>
      <c r="C2" s="61"/>
      <c r="D2" s="61"/>
      <c r="E2" s="61"/>
      <c r="F2" s="62"/>
    </row>
    <row r="3" spans="2:6" x14ac:dyDescent="0.25">
      <c r="B3" s="63"/>
      <c r="C3" s="88"/>
      <c r="D3" s="89"/>
      <c r="E3" s="90"/>
      <c r="F3" s="64"/>
    </row>
    <row r="4" spans="2:6" x14ac:dyDescent="0.25">
      <c r="B4" s="63"/>
      <c r="C4" s="65" t="s">
        <v>962</v>
      </c>
      <c r="D4" s="66"/>
      <c r="E4" s="67"/>
      <c r="F4" s="64"/>
    </row>
    <row r="5" spans="2:6" x14ac:dyDescent="0.25">
      <c r="B5" s="63"/>
      <c r="C5" s="68" t="s">
        <v>963</v>
      </c>
      <c r="D5" s="66"/>
      <c r="E5" s="67"/>
      <c r="F5" s="64"/>
    </row>
    <row r="6" spans="2:6" ht="9.75" customHeight="1" x14ac:dyDescent="0.4">
      <c r="B6" s="63"/>
      <c r="C6" s="69"/>
      <c r="D6" s="70"/>
      <c r="E6" s="71"/>
      <c r="F6" s="64"/>
    </row>
    <row r="7" spans="2:6" ht="19.5" x14ac:dyDescent="0.4">
      <c r="B7" s="63"/>
      <c r="C7" s="91" t="s">
        <v>964</v>
      </c>
      <c r="D7" s="92"/>
      <c r="E7" s="93"/>
      <c r="F7" s="64"/>
    </row>
    <row r="8" spans="2:6" ht="18.75" x14ac:dyDescent="0.4">
      <c r="B8" s="63"/>
      <c r="C8" s="85" t="s">
        <v>965</v>
      </c>
      <c r="D8" s="86"/>
      <c r="E8" s="87"/>
      <c r="F8" s="64"/>
    </row>
    <row r="9" spans="2:6" ht="18.75" x14ac:dyDescent="0.4">
      <c r="B9" s="63"/>
      <c r="C9" s="85" t="s">
        <v>966</v>
      </c>
      <c r="D9" s="86"/>
      <c r="E9" s="87"/>
      <c r="F9" s="64"/>
    </row>
    <row r="10" spans="2:6" ht="18.75" x14ac:dyDescent="0.4">
      <c r="B10" s="63"/>
      <c r="C10" s="85" t="s">
        <v>967</v>
      </c>
      <c r="D10" s="86"/>
      <c r="E10" s="87"/>
      <c r="F10" s="64"/>
    </row>
    <row r="11" spans="2:6" ht="18.75" x14ac:dyDescent="0.4">
      <c r="B11" s="63"/>
      <c r="C11" s="85" t="s">
        <v>968</v>
      </c>
      <c r="D11" s="86"/>
      <c r="E11" s="87"/>
      <c r="F11" s="64"/>
    </row>
    <row r="12" spans="2:6" ht="18.75" x14ac:dyDescent="0.4">
      <c r="B12" s="63"/>
      <c r="C12" s="85" t="s">
        <v>969</v>
      </c>
      <c r="D12" s="86"/>
      <c r="E12" s="87"/>
      <c r="F12" s="64"/>
    </row>
    <row r="13" spans="2:6" ht="18.75" x14ac:dyDescent="0.4">
      <c r="B13" s="63"/>
      <c r="C13" s="85" t="s">
        <v>970</v>
      </c>
      <c r="D13" s="86"/>
      <c r="E13" s="87"/>
      <c r="F13" s="64"/>
    </row>
    <row r="14" spans="2:6" ht="18.75" x14ac:dyDescent="0.4">
      <c r="B14" s="63"/>
      <c r="C14" s="85" t="s">
        <v>971</v>
      </c>
      <c r="D14" s="86"/>
      <c r="E14" s="87"/>
      <c r="F14" s="64"/>
    </row>
    <row r="15" spans="2:6" ht="4.5" customHeight="1" x14ac:dyDescent="0.25">
      <c r="B15" s="63"/>
      <c r="C15" s="97"/>
      <c r="D15" s="98"/>
      <c r="E15" s="99"/>
      <c r="F15" s="64"/>
    </row>
    <row r="16" spans="2:6" x14ac:dyDescent="0.25">
      <c r="B16" s="63"/>
      <c r="C16" s="97" t="s">
        <v>972</v>
      </c>
      <c r="D16" s="98"/>
      <c r="E16" s="99"/>
      <c r="F16" s="64"/>
    </row>
    <row r="17" spans="2:6" x14ac:dyDescent="0.25">
      <c r="B17" s="63"/>
      <c r="C17" s="97"/>
      <c r="D17" s="98"/>
      <c r="E17" s="99"/>
      <c r="F17" s="64"/>
    </row>
    <row r="18" spans="2:6" x14ac:dyDescent="0.25">
      <c r="B18" s="63"/>
      <c r="C18" s="68" t="s">
        <v>973</v>
      </c>
      <c r="D18" s="66"/>
      <c r="E18" s="67"/>
      <c r="F18" s="64"/>
    </row>
    <row r="19" spans="2:6" ht="15.75" thickBot="1" x14ac:dyDescent="0.3">
      <c r="B19" s="63"/>
      <c r="C19" s="94"/>
      <c r="D19" s="95"/>
      <c r="E19" s="96"/>
      <c r="F19" s="64"/>
    </row>
    <row r="20" spans="2:6" ht="6.95" customHeight="1" thickBot="1" x14ac:dyDescent="0.3">
      <c r="B20" s="72"/>
      <c r="C20" s="73"/>
      <c r="D20" s="73"/>
      <c r="E20" s="73"/>
      <c r="F20" s="74"/>
    </row>
  </sheetData>
  <mergeCells count="13">
    <mergeCell ref="C19:E19"/>
    <mergeCell ref="C12:E12"/>
    <mergeCell ref="C13:E13"/>
    <mergeCell ref="C14:E14"/>
    <mergeCell ref="C15:E15"/>
    <mergeCell ref="C16:E16"/>
    <mergeCell ref="C17:E17"/>
    <mergeCell ref="C11:E11"/>
    <mergeCell ref="C3:E3"/>
    <mergeCell ref="C7:E7"/>
    <mergeCell ref="C8:E8"/>
    <mergeCell ref="C9:E9"/>
    <mergeCell ref="C10:E10"/>
  </mergeCells>
  <hyperlinks>
    <hyperlink ref="C10" r:id="rId1" display="&gt; NUESTRO BLOG"/>
    <hyperlink ref="C12" r:id="rId2" display="&gt; SECCION CONTABLE"/>
    <hyperlink ref="C13" r:id="rId3" display="&gt; SECCION DE FUTBOL"/>
    <hyperlink ref="C14" r:id="rId4" display="&gt; SECCION DE FORMULAS Y FUNCIONES"/>
    <hyperlink ref="C7" r:id="rId5" display="&gt; FORMAS DE COLABORAR CON NOSOTROS"/>
    <hyperlink ref="C11" r:id="rId6" display="&gt; NUESTRO BLOG"/>
    <hyperlink ref="C8" r:id="rId7" display="&gt; NUESTRO BLOG"/>
    <hyperlink ref="C8:E8" r:id="rId8" display="→ NUESTRO TWITTER"/>
    <hyperlink ref="C10:E10" r:id="rId9" display="→ NUESTRO CANAL DE YOUTUBE"/>
    <hyperlink ref="C9" r:id="rId10" display="&gt; NUESTRO BLOG"/>
    <hyperlink ref="C9:E9" r:id="rId11" display="→ NUESTRA PAGINA DE FACEBOOK"/>
  </hyperlinks>
  <pageMargins left="0.7" right="0.7" top="0.75" bottom="0.75" header="0.3" footer="0.3"/>
  <pageSetup orientation="portrait" r:id="rId1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CJ1012"/>
  <sheetViews>
    <sheetView tabSelected="1" workbookViewId="0">
      <selection activeCell="J2" sqref="J2"/>
    </sheetView>
  </sheetViews>
  <sheetFormatPr baseColWidth="10" defaultRowHeight="15" x14ac:dyDescent="0.25"/>
  <cols>
    <col min="1" max="1" width="2.85546875" customWidth="1"/>
    <col min="2" max="2" width="18" customWidth="1"/>
    <col min="3" max="3" width="6.5703125" customWidth="1"/>
    <col min="4" max="4" width="22.5703125" customWidth="1"/>
    <col min="5" max="5" width="10.42578125" customWidth="1"/>
    <col min="6" max="6" width="24.140625" customWidth="1"/>
    <col min="7" max="7" width="22.140625" customWidth="1"/>
    <col min="8" max="8" width="7.5703125" customWidth="1"/>
    <col min="9" max="9" width="37.42578125" customWidth="1"/>
    <col min="10" max="10" width="18" customWidth="1"/>
    <col min="11" max="11" width="34.42578125" customWidth="1"/>
    <col min="12" max="16" width="18" customWidth="1"/>
    <col min="17" max="17" width="16.5703125" customWidth="1"/>
    <col min="18" max="18" width="15" customWidth="1"/>
    <col min="19" max="19" width="14.85546875" customWidth="1"/>
    <col min="20" max="20" width="8.28515625" customWidth="1"/>
    <col min="21" max="21" width="21.140625" customWidth="1"/>
    <col min="22" max="22" width="18" customWidth="1"/>
    <col min="23" max="23" width="14" customWidth="1"/>
    <col min="24" max="24" width="9" customWidth="1"/>
    <col min="25" max="26" width="19.28515625" customWidth="1"/>
    <col min="27" max="27" width="16" customWidth="1"/>
    <col min="28" max="28" width="6.28515625" customWidth="1"/>
    <col min="29" max="29" width="14.85546875" customWidth="1"/>
    <col min="30" max="30" width="8" customWidth="1"/>
    <col min="31" max="31" width="7.140625" bestFit="1" customWidth="1"/>
    <col min="32" max="32" width="13.28515625" customWidth="1"/>
    <col min="33" max="33" width="14.85546875" customWidth="1"/>
    <col min="34" max="34" width="8" customWidth="1"/>
    <col min="35" max="35" width="7.140625" bestFit="1" customWidth="1"/>
    <col min="36" max="36" width="13.28515625" customWidth="1"/>
    <col min="39" max="39" width="5.5703125" customWidth="1"/>
    <col min="42" max="44" width="11.42578125" hidden="1" customWidth="1"/>
    <col min="45" max="45" width="21.140625" hidden="1" customWidth="1"/>
    <col min="46" max="46" width="21.7109375" hidden="1" customWidth="1"/>
    <col min="47" max="47" width="11.42578125" hidden="1" customWidth="1"/>
    <col min="48" max="48" width="21.28515625" hidden="1" customWidth="1"/>
    <col min="49" max="50" width="12.140625" hidden="1" customWidth="1"/>
    <col min="51" max="52" width="21" hidden="1" customWidth="1"/>
    <col min="53" max="53" width="18.42578125" hidden="1" customWidth="1"/>
    <col min="54" max="65" width="11.42578125" hidden="1" customWidth="1"/>
    <col min="66" max="66" width="8.28515625" hidden="1" customWidth="1"/>
    <col min="67" max="71" width="11.42578125" hidden="1" customWidth="1"/>
    <col min="72" max="72" width="10.140625" hidden="1" customWidth="1"/>
    <col min="73" max="73" width="16.140625" hidden="1" customWidth="1"/>
    <col min="74" max="74" width="13.85546875" hidden="1" customWidth="1"/>
    <col min="75" max="75" width="6.140625" hidden="1" customWidth="1"/>
    <col min="76" max="79" width="13.85546875" hidden="1" customWidth="1"/>
    <col min="80" max="80" width="7.42578125" hidden="1" customWidth="1"/>
    <col min="81" max="82" width="13.85546875" hidden="1" customWidth="1"/>
    <col min="83" max="83" width="13.85546875" style="19" hidden="1" customWidth="1"/>
    <col min="84" max="84" width="12.85546875" hidden="1" customWidth="1"/>
    <col min="85" max="85" width="5.28515625" style="19" hidden="1" customWidth="1"/>
    <col min="86" max="86" width="11.42578125" hidden="1" customWidth="1"/>
    <col min="87" max="87" width="7.42578125" style="19" hidden="1" customWidth="1"/>
    <col min="88" max="88" width="11.42578125" hidden="1" customWidth="1"/>
  </cols>
  <sheetData>
    <row r="1" spans="2:88" ht="15.75" thickBot="1" x14ac:dyDescent="0.3">
      <c r="B1" s="36" t="s">
        <v>961</v>
      </c>
      <c r="F1" s="75"/>
      <c r="AP1">
        <v>1</v>
      </c>
      <c r="AQ1">
        <f t="shared" ref="AQ1:BQ1" si="0">+AP2+1</f>
        <v>9</v>
      </c>
      <c r="AR1">
        <f t="shared" si="0"/>
        <v>12</v>
      </c>
      <c r="AS1">
        <f t="shared" si="0"/>
        <v>17</v>
      </c>
      <c r="AT1">
        <f t="shared" si="0"/>
        <v>30</v>
      </c>
      <c r="AU1">
        <f t="shared" si="0"/>
        <v>43</v>
      </c>
      <c r="AV1">
        <f t="shared" si="0"/>
        <v>45</v>
      </c>
      <c r="AW1">
        <f t="shared" si="0"/>
        <v>45</v>
      </c>
      <c r="AY1">
        <f>+AW2+1</f>
        <v>75</v>
      </c>
      <c r="BA1">
        <f>+AY2+1</f>
        <v>90</v>
      </c>
      <c r="BC1">
        <f>+BA2+1</f>
        <v>105</v>
      </c>
      <c r="BE1">
        <f>+BC2+1</f>
        <v>120</v>
      </c>
      <c r="BG1">
        <f>+BE2+1</f>
        <v>135</v>
      </c>
      <c r="BI1">
        <f>+BG2+1</f>
        <v>150</v>
      </c>
      <c r="BK1">
        <f>+BI2+1</f>
        <v>165</v>
      </c>
      <c r="BM1">
        <f>+BK2+1</f>
        <v>180</v>
      </c>
      <c r="BN1">
        <f t="shared" si="0"/>
        <v>195</v>
      </c>
      <c r="BO1">
        <f t="shared" si="0"/>
        <v>198</v>
      </c>
      <c r="BP1">
        <f t="shared" si="0"/>
        <v>208</v>
      </c>
      <c r="BQ1">
        <f t="shared" si="0"/>
        <v>209</v>
      </c>
      <c r="BS1">
        <f>+BQ2+1</f>
        <v>210</v>
      </c>
      <c r="BT1">
        <f>+BS2+1</f>
        <v>225</v>
      </c>
    </row>
    <row r="2" spans="2:88" ht="15.75" thickBot="1" x14ac:dyDescent="0.3">
      <c r="B2" s="46" t="s">
        <v>956</v>
      </c>
      <c r="C2" s="47" t="s">
        <v>960</v>
      </c>
      <c r="D2" s="47"/>
      <c r="AP2">
        <f>LEN(AP12)</f>
        <v>8</v>
      </c>
      <c r="AQ2">
        <f>LEN(AQ12)+AP2</f>
        <v>11</v>
      </c>
      <c r="AR2">
        <f t="shared" ref="AR2:BQ2" si="1">LEN(AR12)+AQ2</f>
        <v>16</v>
      </c>
      <c r="AS2">
        <f t="shared" si="1"/>
        <v>29</v>
      </c>
      <c r="AT2">
        <f t="shared" si="1"/>
        <v>42</v>
      </c>
      <c r="AU2">
        <f t="shared" si="1"/>
        <v>44</v>
      </c>
      <c r="AV2">
        <f t="shared" si="1"/>
        <v>44</v>
      </c>
      <c r="AW2">
        <f t="shared" si="1"/>
        <v>74</v>
      </c>
      <c r="AY2">
        <f>LEN(AY12)+AW2</f>
        <v>89</v>
      </c>
      <c r="BA2">
        <f>LEN(BA12)+AY2</f>
        <v>104</v>
      </c>
      <c r="BC2">
        <f>LEN(BC12)+BA2</f>
        <v>119</v>
      </c>
      <c r="BE2">
        <f>LEN(BE12)+BC2</f>
        <v>134</v>
      </c>
      <c r="BG2">
        <f>LEN(BG12)+BE2</f>
        <v>149</v>
      </c>
      <c r="BI2">
        <f>LEN(BI12)+BG2</f>
        <v>164</v>
      </c>
      <c r="BK2">
        <f>LEN(BK12)+BI2</f>
        <v>179</v>
      </c>
      <c r="BM2">
        <f>LEN(BM12)+BK2</f>
        <v>194</v>
      </c>
      <c r="BN2">
        <f t="shared" si="1"/>
        <v>197</v>
      </c>
      <c r="BO2">
        <f t="shared" si="1"/>
        <v>207</v>
      </c>
      <c r="BP2">
        <f t="shared" si="1"/>
        <v>208</v>
      </c>
      <c r="BQ2">
        <f t="shared" si="1"/>
        <v>209</v>
      </c>
      <c r="BS2">
        <f>LEN(BS12)+BQ2</f>
        <v>224</v>
      </c>
      <c r="BT2">
        <f>LEN(BT12)+BS2</f>
        <v>232</v>
      </c>
    </row>
    <row r="3" spans="2:88" x14ac:dyDescent="0.25">
      <c r="B3" s="48" t="s">
        <v>974</v>
      </c>
    </row>
    <row r="4" spans="2:88" x14ac:dyDescent="0.25">
      <c r="B4" s="48" t="s">
        <v>957</v>
      </c>
    </row>
    <row r="5" spans="2:88" x14ac:dyDescent="0.25">
      <c r="B5" s="48"/>
    </row>
    <row r="6" spans="2:88" x14ac:dyDescent="0.25">
      <c r="B6" s="58"/>
      <c r="F6" s="121" t="s">
        <v>975</v>
      </c>
      <c r="G6" s="121"/>
      <c r="H6" s="121"/>
      <c r="I6" s="121"/>
    </row>
    <row r="7" spans="2:88" ht="15.75" thickBot="1" x14ac:dyDescent="0.3">
      <c r="F7" s="121"/>
      <c r="G7" s="121"/>
      <c r="H7" s="121"/>
      <c r="I7" s="121"/>
    </row>
    <row r="8" spans="2:88" x14ac:dyDescent="0.25">
      <c r="B8" s="120"/>
      <c r="C8" s="120"/>
      <c r="D8" s="120"/>
      <c r="E8" s="120"/>
      <c r="F8" s="120"/>
      <c r="AC8" s="102" t="s">
        <v>901</v>
      </c>
      <c r="AD8" s="103"/>
      <c r="AE8" s="103"/>
      <c r="AF8" s="104"/>
      <c r="AG8" s="102" t="s">
        <v>905</v>
      </c>
      <c r="AH8" s="103"/>
      <c r="AI8" s="103"/>
      <c r="AJ8" s="104"/>
      <c r="AK8" s="117" t="s">
        <v>906</v>
      </c>
      <c r="AL8" s="117" t="s">
        <v>907</v>
      </c>
      <c r="AN8" s="117" t="s">
        <v>932</v>
      </c>
      <c r="AO8" s="18"/>
      <c r="AP8" s="6" t="str">
        <f>B2</f>
        <v>yyyymmdd</v>
      </c>
    </row>
    <row r="9" spans="2:88" s="2" customFormat="1" ht="15" customHeight="1" thickBot="1" x14ac:dyDescent="0.3">
      <c r="B9" s="100" t="s">
        <v>888</v>
      </c>
      <c r="C9" s="100" t="s">
        <v>889</v>
      </c>
      <c r="D9" s="100"/>
      <c r="E9" s="100" t="s">
        <v>896</v>
      </c>
      <c r="F9" s="100"/>
      <c r="G9" s="100"/>
      <c r="H9" s="100" t="s">
        <v>940</v>
      </c>
      <c r="I9" s="100"/>
      <c r="J9" s="100" t="s">
        <v>941</v>
      </c>
      <c r="K9" s="100" t="s">
        <v>942</v>
      </c>
      <c r="L9" s="100" t="s">
        <v>890</v>
      </c>
      <c r="M9" s="100" t="s">
        <v>909</v>
      </c>
      <c r="N9" s="100" t="s">
        <v>943</v>
      </c>
      <c r="O9" s="100" t="s">
        <v>944</v>
      </c>
      <c r="P9" s="100" t="s">
        <v>891</v>
      </c>
      <c r="Q9" s="100" t="s">
        <v>892</v>
      </c>
      <c r="R9" s="100" t="s">
        <v>893</v>
      </c>
      <c r="S9" s="100" t="s">
        <v>910</v>
      </c>
      <c r="T9" s="100" t="s">
        <v>0</v>
      </c>
      <c r="U9" s="100"/>
      <c r="V9" s="100" t="s">
        <v>1</v>
      </c>
      <c r="W9" s="113" t="s">
        <v>899</v>
      </c>
      <c r="X9" s="105" t="s">
        <v>2</v>
      </c>
      <c r="Y9" s="106"/>
      <c r="Z9" s="101" t="s">
        <v>955</v>
      </c>
      <c r="AA9" s="114" t="s">
        <v>945</v>
      </c>
      <c r="AC9" s="109" t="s">
        <v>902</v>
      </c>
      <c r="AD9" s="107" t="s">
        <v>903</v>
      </c>
      <c r="AE9" s="108"/>
      <c r="AF9" s="111" t="s">
        <v>904</v>
      </c>
      <c r="AG9" s="109" t="s">
        <v>902</v>
      </c>
      <c r="AH9" s="107" t="s">
        <v>903</v>
      </c>
      <c r="AI9" s="108"/>
      <c r="AJ9" s="115" t="s">
        <v>904</v>
      </c>
      <c r="AK9" s="118"/>
      <c r="AL9" s="118"/>
      <c r="AN9" s="118"/>
      <c r="AO9" s="18"/>
      <c r="AP9" s="11" t="s">
        <v>924</v>
      </c>
      <c r="AQ9" s="11" t="s">
        <v>925</v>
      </c>
      <c r="AR9" s="11" t="s">
        <v>926</v>
      </c>
      <c r="AS9" s="11" t="s">
        <v>926</v>
      </c>
      <c r="AT9" s="11"/>
      <c r="AU9" s="11" t="s">
        <v>927</v>
      </c>
      <c r="AV9" s="11" t="s">
        <v>928</v>
      </c>
      <c r="AW9" s="11" t="s">
        <v>926</v>
      </c>
      <c r="AX9" s="11"/>
      <c r="AY9" s="11" t="s">
        <v>929</v>
      </c>
      <c r="AZ9" s="11"/>
      <c r="BA9" s="11" t="s">
        <v>929</v>
      </c>
      <c r="BB9" s="11"/>
      <c r="BC9" s="11" t="s">
        <v>929</v>
      </c>
      <c r="BD9" s="11"/>
      <c r="BE9" s="11" t="s">
        <v>929</v>
      </c>
      <c r="BF9" s="11"/>
      <c r="BG9" s="11" t="s">
        <v>929</v>
      </c>
      <c r="BH9" s="11"/>
      <c r="BI9" s="11" t="s">
        <v>929</v>
      </c>
      <c r="BJ9" s="11"/>
      <c r="BK9" s="11" t="s">
        <v>929</v>
      </c>
      <c r="BL9" s="11"/>
      <c r="BM9" s="11" t="s">
        <v>929</v>
      </c>
      <c r="BN9" s="11" t="s">
        <v>930</v>
      </c>
      <c r="BO9" s="11" t="s">
        <v>926</v>
      </c>
      <c r="BP9" s="11" t="s">
        <v>926</v>
      </c>
      <c r="BQ9" s="11" t="s">
        <v>931</v>
      </c>
      <c r="BR9" s="11"/>
      <c r="BS9" s="11"/>
      <c r="BT9" s="11" t="s">
        <v>929</v>
      </c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21">
        <f>MAX(CE10:CE1011)</f>
        <v>1</v>
      </c>
      <c r="CF9" s="11" t="s">
        <v>926</v>
      </c>
      <c r="CG9" s="20"/>
      <c r="CI9" s="21">
        <f>MAX(CI10:CI1011)</f>
        <v>0</v>
      </c>
    </row>
    <row r="10" spans="2:88" ht="15" customHeight="1" thickBot="1" x14ac:dyDescent="0.3">
      <c r="B10" s="100"/>
      <c r="C10" s="12" t="s">
        <v>894</v>
      </c>
      <c r="D10" s="33" t="s">
        <v>895</v>
      </c>
      <c r="E10" s="13" t="s">
        <v>898</v>
      </c>
      <c r="F10" s="13" t="s">
        <v>897</v>
      </c>
      <c r="G10" s="45" t="s">
        <v>939</v>
      </c>
      <c r="H10" s="12" t="s">
        <v>894</v>
      </c>
      <c r="I10" s="33" t="s">
        <v>895</v>
      </c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2" t="s">
        <v>894</v>
      </c>
      <c r="U10" s="33" t="s">
        <v>895</v>
      </c>
      <c r="V10" s="100"/>
      <c r="W10" s="113"/>
      <c r="X10" s="1" t="s">
        <v>894</v>
      </c>
      <c r="Y10" s="33" t="s">
        <v>895</v>
      </c>
      <c r="Z10" s="101"/>
      <c r="AA10" s="114"/>
      <c r="AC10" s="110"/>
      <c r="AD10" s="10" t="s">
        <v>900</v>
      </c>
      <c r="AE10" s="34" t="s">
        <v>908</v>
      </c>
      <c r="AF10" s="112"/>
      <c r="AG10" s="110"/>
      <c r="AH10" s="10" t="s">
        <v>900</v>
      </c>
      <c r="AI10" s="34" t="s">
        <v>908</v>
      </c>
      <c r="AJ10" s="116"/>
      <c r="AK10" s="119"/>
      <c r="AL10" s="119"/>
      <c r="AN10" s="119"/>
      <c r="AO10" s="18"/>
      <c r="AP10" t="s">
        <v>888</v>
      </c>
      <c r="AQ10" t="s">
        <v>911</v>
      </c>
      <c r="AR10" t="s">
        <v>923</v>
      </c>
      <c r="AS10" t="s">
        <v>912</v>
      </c>
      <c r="AT10" t="s">
        <v>946</v>
      </c>
      <c r="AU10" t="s">
        <v>947</v>
      </c>
      <c r="AV10" t="s">
        <v>948</v>
      </c>
      <c r="AW10" t="s">
        <v>949</v>
      </c>
      <c r="AX10" s="124" t="s">
        <v>913</v>
      </c>
      <c r="AY10" s="125"/>
      <c r="AZ10" s="124" t="s">
        <v>914</v>
      </c>
      <c r="BA10" s="125"/>
      <c r="BB10" s="124" t="s">
        <v>950</v>
      </c>
      <c r="BC10" s="125"/>
      <c r="BD10" s="124" t="s">
        <v>951</v>
      </c>
      <c r="BE10" s="125"/>
      <c r="BF10" s="124" t="s">
        <v>915</v>
      </c>
      <c r="BG10" s="125"/>
      <c r="BH10" s="124" t="s">
        <v>916</v>
      </c>
      <c r="BI10" s="125"/>
      <c r="BJ10" s="124" t="s">
        <v>917</v>
      </c>
      <c r="BK10" s="125"/>
      <c r="BL10" s="124" t="s">
        <v>918</v>
      </c>
      <c r="BM10" s="125"/>
      <c r="BN10" t="s">
        <v>919</v>
      </c>
      <c r="BO10" t="s">
        <v>920</v>
      </c>
      <c r="BP10" t="s">
        <v>921</v>
      </c>
      <c r="BQ10" t="s">
        <v>922</v>
      </c>
      <c r="BR10" s="124" t="s">
        <v>958</v>
      </c>
      <c r="BS10" s="125"/>
      <c r="BT10" s="51" t="s">
        <v>952</v>
      </c>
      <c r="BU10" s="126" t="s">
        <v>936</v>
      </c>
      <c r="BV10" s="127"/>
      <c r="BW10" s="54" t="s">
        <v>937</v>
      </c>
      <c r="BX10" s="126" t="s">
        <v>933</v>
      </c>
      <c r="BY10" s="128"/>
      <c r="BZ10" s="122" t="s">
        <v>938</v>
      </c>
      <c r="CA10" s="123"/>
      <c r="CB10" s="55" t="s">
        <v>959</v>
      </c>
      <c r="CC10" s="122" t="s">
        <v>934</v>
      </c>
      <c r="CD10" s="123"/>
      <c r="CE10" s="57">
        <v>0</v>
      </c>
      <c r="CF10" s="6" t="s">
        <v>935</v>
      </c>
      <c r="CG10" s="25">
        <v>0</v>
      </c>
      <c r="CH10" s="25" t="s">
        <v>933</v>
      </c>
      <c r="CI10" s="25">
        <f>MAX(CG10:CG1011)</f>
        <v>0</v>
      </c>
      <c r="CJ10" s="25" t="s">
        <v>934</v>
      </c>
    </row>
    <row r="11" spans="2:88" ht="15.75" hidden="1" thickBot="1" x14ac:dyDescent="0.3">
      <c r="B11" s="8"/>
      <c r="C11" s="9"/>
      <c r="D11" s="9"/>
      <c r="E11" s="8"/>
      <c r="F11" s="8"/>
      <c r="G11" s="8"/>
      <c r="H11" s="9"/>
      <c r="I11" s="9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C11" s="8"/>
      <c r="AD11" s="8"/>
      <c r="AE11" s="8"/>
      <c r="AF11" s="8"/>
      <c r="AG11" s="8"/>
      <c r="AH11" s="8"/>
      <c r="AI11" s="8"/>
      <c r="AJ11" s="8"/>
      <c r="CG11" s="22"/>
      <c r="CH11" s="22"/>
      <c r="CI11" s="22"/>
      <c r="CJ11" s="22"/>
    </row>
    <row r="12" spans="2:88" x14ac:dyDescent="0.25">
      <c r="B12" s="37">
        <v>45271</v>
      </c>
      <c r="C12" s="3">
        <v>6</v>
      </c>
      <c r="D12" s="77"/>
      <c r="E12" s="38">
        <v>1</v>
      </c>
      <c r="F12" s="38" t="s">
        <v>976</v>
      </c>
      <c r="G12" s="78" t="str">
        <f t="shared" ref="G12:G43" si="2">+F12</f>
        <v>0605-00000184</v>
      </c>
      <c r="H12" s="3">
        <v>99</v>
      </c>
      <c r="I12" s="77" t="str">
        <f t="shared" ref="I12:I43" si="3">IF(B12="","",IF(H12="","",IF(ISERROR(VLOOKUP(H12,T_Documentos,2,FALSE)),"",VLOOKUP(H12,T_Documentos,2,FALSE))))</f>
        <v>SIN IDENTIFICAR / VENTA GLOBAL DIARIA</v>
      </c>
      <c r="J12" s="76"/>
      <c r="K12" s="3"/>
      <c r="L12" s="39">
        <v>1000</v>
      </c>
      <c r="M12" s="39">
        <v>0</v>
      </c>
      <c r="N12" s="39">
        <v>0</v>
      </c>
      <c r="O12" s="39">
        <v>0</v>
      </c>
      <c r="P12" s="39">
        <v>0</v>
      </c>
      <c r="Q12" s="39">
        <v>0</v>
      </c>
      <c r="R12" s="39">
        <v>0</v>
      </c>
      <c r="S12" s="39">
        <v>0</v>
      </c>
      <c r="T12" s="3" t="s">
        <v>645</v>
      </c>
      <c r="U12" s="77" t="str">
        <f t="shared" ref="U12:U43" si="4">IF(B12="","",IF(ISERROR(VLOOKUP(T12,T_Monedas,2,FALSE)),"",VLOOKUP(T12,T_Monedas,2,FALSE)))</f>
        <v>PESOS ARGENTINOS</v>
      </c>
      <c r="V12" s="39">
        <v>1</v>
      </c>
      <c r="W12" s="79">
        <f t="shared" ref="W12:W43" si="5">IF(AD12="",0,1)+IF(OR(AH12=""),0,1)</f>
        <v>0</v>
      </c>
      <c r="X12" s="3">
        <v>0</v>
      </c>
      <c r="Y12" s="77" t="str">
        <f t="shared" ref="Y12:Y43" si="6">IF(B12="","",IF(ISERROR(VLOOKUP(X12,T_CodOperVentas,2,FALSE)),"",VLOOKUP(X12,T_CodOperVentas,2,FALSE)))</f>
        <v>NO CORRESPONDE</v>
      </c>
      <c r="Z12" s="3"/>
      <c r="AA12" s="37">
        <f t="shared" ref="AA12:AA43" si="7">IF(OR(B12="",C12=82),"",B12)</f>
        <v>45271</v>
      </c>
      <c r="AC12" s="40"/>
      <c r="AD12" s="7"/>
      <c r="AE12" s="77" t="str">
        <f t="shared" ref="AE12:AE43" si="8">IF(B12="","",IF(AD12="","",IF(ISERROR(VLOOKUP(AD12,T_Alicuotas,2,FALSE)),"",VLOOKUP(AD12,T_Alicuotas,2,FALSE))))</f>
        <v/>
      </c>
      <c r="AF12" s="81">
        <f t="shared" ref="AF12:AF43" si="9">ROUND(AC12*AD12/100,2)</f>
        <v>0</v>
      </c>
      <c r="AG12" s="40"/>
      <c r="AH12" s="7"/>
      <c r="AI12" s="77" t="str">
        <f t="shared" ref="AI12:AI43" si="10">IF(B12="","",IF(AH12="","",IF(ISERROR(VLOOKUP(AH12,T_Alicuotas,2,FALSE)),"",VLOOKUP(AH12,T_Alicuotas,2,FALSE))))</f>
        <v/>
      </c>
      <c r="AJ12" s="81">
        <f t="shared" ref="AJ12:AJ43" si="11">ROUND(AG12*AH12/100,2)</f>
        <v>0</v>
      </c>
      <c r="AK12" s="83">
        <f t="shared" ref="AK12:AK43" si="12">+AC12+AG12</f>
        <v>0</v>
      </c>
      <c r="AL12" s="83">
        <f t="shared" ref="AL12:AL43" si="13">+AF12+AJ12</f>
        <v>0</v>
      </c>
      <c r="AN12" s="43">
        <f t="shared" ref="AN12:AN43" si="14">+L12-M12-N12-O12-P12-Q12-R12-S12-AC12-AF12-AG12-AJ12</f>
        <v>1000</v>
      </c>
      <c r="AP12" t="str">
        <f t="shared" ref="AP12:AP43" si="15">IF(B12="","",TEXT(B12,$AP$8))</f>
        <v>20231211</v>
      </c>
      <c r="AQ12" t="str">
        <f t="shared" ref="AQ12:AQ43" si="16">IF(B12="","",IF(C12="","",TEXT(C12,"000")))</f>
        <v>006</v>
      </c>
      <c r="AR12" t="str">
        <f t="shared" ref="AR12:AR43" si="17">IF(B12="","",IF(E12="","00000",TEXT(RIGHT(E12,5),"00000")))</f>
        <v>00001</v>
      </c>
      <c r="AS12" t="str">
        <f t="shared" ref="AS12:AS43" si="18">IF(B12="","",IF(F12="","00000000000000000000",TEXT(RIGHT(F12,20),"00000000000000000000")))</f>
        <v>0605-00000184</v>
      </c>
      <c r="AT12" t="str">
        <f t="shared" ref="AT12:AT43" si="19">IF(B12="","",IF(G12="","00000000000000000000",TEXT(RIGHT(G12,20),"00000000000000000000")))</f>
        <v>0605-00000184</v>
      </c>
      <c r="AU12" t="str">
        <f t="shared" ref="AU12:AU43" si="20">IF(B12="","",IF(C12="","",TEXT(RIGHT(H12,4),"00")))</f>
        <v>99</v>
      </c>
      <c r="AV12" t="str">
        <f t="shared" ref="AV12:AV43" si="21">IF(B12="","",TEXT(SUBSTITUTE(J12,"-",""),"00000000000000000000"))</f>
        <v/>
      </c>
      <c r="AW12" t="str">
        <f t="shared" ref="AW12:AW43" si="22">IF(LEN(K12)&gt;30,LEFT(K12,30),K12&amp;REPT(" ",30-LEN(K12)))</f>
        <v xml:space="preserve">                              </v>
      </c>
      <c r="AX12" s="23">
        <f t="shared" ref="AX12:AX43" si="23">IF(TRIM(L12)="",0,TRUNC(L12,2))</f>
        <v>1000</v>
      </c>
      <c r="AY12" s="49" t="str">
        <f t="shared" ref="AY12:AY43" si="24">IF(AX12&lt;0,SUBSTITUTE(TEXT(AX12,"000000000000,00"),",",""),SUBSTITUTE(TEXT(AX12,"0000000000000,00"),",",""))</f>
        <v>000000000100000</v>
      </c>
      <c r="AZ12" s="23">
        <f t="shared" ref="AZ12:AZ43" si="25">IF(TRIM(M12)="",0,TRUNC(M12,2))</f>
        <v>0</v>
      </c>
      <c r="BA12" s="49" t="str">
        <f t="shared" ref="BA12:BA43" si="26">IF(AZ12&lt;0,SUBSTITUTE(TEXT(AZ12,"000000000000,00"),",",""),SUBSTITUTE(TEXT(AZ12,"0000000000000,00"),",",""))</f>
        <v>000000000000000</v>
      </c>
      <c r="BB12" s="23">
        <f t="shared" ref="BB12:BB43" si="27">IF(TRIM(N12)="",0,TRUNC(N12,2))</f>
        <v>0</v>
      </c>
      <c r="BC12" s="49" t="str">
        <f t="shared" ref="BC12:BC43" si="28">IF(BB12&lt;0,SUBSTITUTE(TEXT(BB12,"000000000000,00"),",",""),SUBSTITUTE(TEXT(BB12,"0000000000000,00"),",",""))</f>
        <v>000000000000000</v>
      </c>
      <c r="BD12" s="23">
        <f t="shared" ref="BD12:BD43" si="29">IF(TRIM(O12)="",0,TRUNC(O12,2))</f>
        <v>0</v>
      </c>
      <c r="BE12" s="49" t="str">
        <f t="shared" ref="BE12:BE43" si="30">IF(BD12&lt;0,SUBSTITUTE(TEXT(BD12,"000000000000,00"),",",""),SUBSTITUTE(TEXT(BD12,"0000000000000,00"),",",""))</f>
        <v>000000000000000</v>
      </c>
      <c r="BF12" s="23">
        <f t="shared" ref="BF12:BF43" si="31">IF(TRIM(P12)="",0,TRUNC(P12,2))</f>
        <v>0</v>
      </c>
      <c r="BG12" s="49" t="str">
        <f t="shared" ref="BG12:BG43" si="32">IF(BF12&lt;0,SUBSTITUTE(TEXT(BF12,"000000000000,00"),",",""),SUBSTITUTE(TEXT(BF12,"0000000000000,00"),",",""))</f>
        <v>000000000000000</v>
      </c>
      <c r="BH12" s="23">
        <f t="shared" ref="BH12:BH43" si="33">IF(TRIM(Q12)="",0,TRUNC(Q12,2))</f>
        <v>0</v>
      </c>
      <c r="BI12" s="49" t="str">
        <f t="shared" ref="BI12:BI43" si="34">IF(BH12&lt;0,SUBSTITUTE(TEXT(BH12,"000000000000,00"),",",""),SUBSTITUTE(TEXT(BH12,"0000000000000,00"),",",""))</f>
        <v>000000000000000</v>
      </c>
      <c r="BJ12" s="23">
        <f t="shared" ref="BJ12:BJ43" si="35">IF(TRIM(R12)="",0,TRUNC(R12,2))</f>
        <v>0</v>
      </c>
      <c r="BK12" s="49" t="str">
        <f t="shared" ref="BK12:BK43" si="36">IF(BJ12&lt;0,SUBSTITUTE(TEXT(BJ12,"000000000000,00"),",",""),SUBSTITUTE(TEXT(BJ12,"0000000000000,00"),",",""))</f>
        <v>000000000000000</v>
      </c>
      <c r="BL12" s="23">
        <f t="shared" ref="BL12:BL43" si="37">IF(TRIM(S12)="",0,TRUNC(S12,2))</f>
        <v>0</v>
      </c>
      <c r="BM12" s="49" t="str">
        <f t="shared" ref="BM12:BM43" si="38">IF(BL12&lt;0,SUBSTITUTE(TEXT(BL12,"000000000000,00"),",",""),SUBSTITUTE(TEXT(BL12,"0000000000000,00"),",",""))</f>
        <v>000000000000000</v>
      </c>
      <c r="BN12" t="str">
        <f t="shared" ref="BN12:BN43" si="39">TEXT(T12,"000")</f>
        <v>PES</v>
      </c>
      <c r="BO12" t="str">
        <f t="shared" ref="BO12:BO43" si="40">IF(V12&lt;0,SUBSTITUTE(TEXT(V12,"000,000000"),",",""),SUBSTITUTE(TEXT(V12,"0000,000000"),",",""))</f>
        <v>0001000000</v>
      </c>
      <c r="BP12">
        <f t="shared" ref="BP12:BP43" si="41">W12</f>
        <v>0</v>
      </c>
      <c r="BQ12">
        <f t="shared" ref="BQ12:BQ43" si="42">X12</f>
        <v>0</v>
      </c>
      <c r="BR12" s="23">
        <f t="shared" ref="BR12:BR43" si="43">IF(TRIM(Z12)="",0,TRUNC(Z12,2))</f>
        <v>0</v>
      </c>
      <c r="BS12" s="49" t="str">
        <f t="shared" ref="BS12:BS43" si="44">IF(BR12&lt;0,SUBSTITUTE(TEXT(BR12,"000000000000,00"),",",""),SUBSTITUTE(TEXT(BR12,"0000000000000,00"),",",""))</f>
        <v>000000000000000</v>
      </c>
      <c r="BT12" t="str">
        <f t="shared" ref="BT12:BT43" si="45">IF(AA12="","00000000",TEXT(AA12,$AP$8))</f>
        <v>20231211</v>
      </c>
      <c r="BU12" s="23">
        <f t="shared" ref="BU12:BU43" si="46">IF(TRIM(AC12)="",0,TRUNC(AC12,2))</f>
        <v>0</v>
      </c>
      <c r="BV12" s="49" t="str">
        <f t="shared" ref="BV12:BV43" si="47">IF(BW12="","",IF(BU12&lt;0,SUBSTITUTE(TEXT(BU12,"000000000000,00"),",",""),SUBSTITUTE(TEXT(BU12,"0000000000000,00"),",","")))</f>
        <v/>
      </c>
      <c r="BW12" s="52" t="str">
        <f t="shared" ref="BW12:BW43" si="48">IF(AE12="","",TEXT(AE12,"0000"))</f>
        <v/>
      </c>
      <c r="BX12" s="23">
        <f t="shared" ref="BX12:BX43" si="49">IF(TRIM(AF12)="",0,TRUNC(AF12,2))</f>
        <v>0</v>
      </c>
      <c r="BY12" s="49" t="str">
        <f t="shared" ref="BY12:BY43" si="50">IF(BW12="","",IF(BX12&lt;0,SUBSTITUTE(TEXT(BX12,"000000000000,00"),",",""),SUBSTITUTE(TEXT(BX12,"0000000000000,00"),",","")))</f>
        <v/>
      </c>
      <c r="BZ12" s="23">
        <f t="shared" ref="BZ12:BZ43" si="51">IF(TRIM(AG12)="",0,TRUNC(AG12,2))</f>
        <v>0</v>
      </c>
      <c r="CA12" s="49" t="str">
        <f t="shared" ref="CA12:CA43" si="52">IF(CB12="","",IF(BZ12&lt;0,SUBSTITUTE(TEXT(BZ12,"000000000000,00"),",",""),SUBSTITUTE(TEXT(BZ12,"0000000000000,00"),",","")))</f>
        <v/>
      </c>
      <c r="CB12" s="52" t="str">
        <f t="shared" ref="CB12:CB43" si="53">IF(AI12="","",TEXT(AI12,"0000"))</f>
        <v/>
      </c>
      <c r="CC12" s="23">
        <f t="shared" ref="CC12:CC43" si="54">IF(TRIM(AJ12)="",0,TRUNC(AJ12,2))</f>
        <v>0</v>
      </c>
      <c r="CD12" s="49" t="str">
        <f t="shared" ref="CD12:CD43" si="55">IF(CB12="","",IF(CC12&lt;0,SUBSTITUTE(TEXT(CC12,"000000000000,00"),",",""),SUBSTITUTE(TEXT(CC12,"0000000000000,00"),",","")))</f>
        <v/>
      </c>
      <c r="CE12" s="56">
        <f>IF(CF12="","",MAX(CE$10:$CE11)+1)</f>
        <v>1</v>
      </c>
      <c r="CF12" t="str">
        <f t="shared" ref="CF12:CF43" si="56">IF(B12="","",AP12&amp;AQ12&amp;AR12&amp;AS12&amp;AT12&amp;AU12&amp;AV12&amp;AW12&amp;AY12&amp;BA12&amp;BC12&amp;BE12&amp;BG12&amp;BI12&amp;BK12&amp;BM12&amp;BN12&amp;BO12&amp;BP12&amp;BQ12&amp;BS12&amp;BT12)</f>
        <v>20231211006000010605-000001840605-0000018499                              000000000100000000000000000000000000000000000000000000000000000000000000000000000000000000000000000000000000000000000000PES00010000000000000000000000020231211</v>
      </c>
      <c r="CG12" s="22" t="str">
        <f>IF(CH12="","",MAX($CG$10:CG11)+1)</f>
        <v/>
      </c>
      <c r="CH12" s="22" t="str">
        <f t="shared" ref="CH12:CH43" si="57">IF(BV12="","",AQ12&amp;AR12&amp;AS12&amp;BV12&amp;BW12&amp;BY12)</f>
        <v/>
      </c>
      <c r="CI12" s="22" t="str">
        <f>IF(CJ12="","",MAX($CI$10:CI11)+1)</f>
        <v/>
      </c>
      <c r="CJ12" s="22" t="str">
        <f t="shared" ref="CJ12:CJ43" si="58">IF(CA12="","",AQ12&amp;AR12&amp;AS12&amp;CA12&amp;CB12&amp;CD12)</f>
        <v/>
      </c>
    </row>
    <row r="13" spans="2:88" x14ac:dyDescent="0.25">
      <c r="B13" s="37"/>
      <c r="C13" s="3"/>
      <c r="D13" s="77" t="str">
        <f t="shared" ref="D12:D43" si="59">IF(B13="","",IF(ISERROR(VLOOKUP(C13,T_CompVentas,2,FALSE)),"",VLOOKUP(C13,T_CompVentas,2,FALSE)))</f>
        <v/>
      </c>
      <c r="E13" s="38"/>
      <c r="F13" s="38"/>
      <c r="G13" s="78">
        <f t="shared" si="2"/>
        <v>0</v>
      </c>
      <c r="H13" s="3">
        <v>80</v>
      </c>
      <c r="I13" s="77" t="str">
        <f t="shared" si="3"/>
        <v/>
      </c>
      <c r="J13" s="76"/>
      <c r="K13" s="3"/>
      <c r="L13" s="39"/>
      <c r="M13" s="39"/>
      <c r="N13" s="39"/>
      <c r="O13" s="39"/>
      <c r="P13" s="39"/>
      <c r="Q13" s="39"/>
      <c r="R13" s="39"/>
      <c r="S13" s="39"/>
      <c r="T13" s="3" t="s">
        <v>645</v>
      </c>
      <c r="U13" s="77" t="str">
        <f t="shared" si="4"/>
        <v/>
      </c>
      <c r="V13" s="39">
        <v>1</v>
      </c>
      <c r="W13" s="79">
        <f t="shared" si="5"/>
        <v>0</v>
      </c>
      <c r="X13" s="3">
        <v>0</v>
      </c>
      <c r="Y13" s="77" t="str">
        <f t="shared" si="6"/>
        <v/>
      </c>
      <c r="Z13" s="3"/>
      <c r="AA13" s="37" t="str">
        <f t="shared" si="7"/>
        <v/>
      </c>
      <c r="AC13" s="40"/>
      <c r="AD13" s="7"/>
      <c r="AE13" s="77" t="str">
        <f t="shared" si="8"/>
        <v/>
      </c>
      <c r="AF13" s="81">
        <f t="shared" si="9"/>
        <v>0</v>
      </c>
      <c r="AG13" s="40"/>
      <c r="AH13" s="7"/>
      <c r="AI13" s="77" t="str">
        <f t="shared" si="10"/>
        <v/>
      </c>
      <c r="AJ13" s="81">
        <f t="shared" si="11"/>
        <v>0</v>
      </c>
      <c r="AK13" s="83">
        <f t="shared" si="12"/>
        <v>0</v>
      </c>
      <c r="AL13" s="83">
        <f t="shared" si="13"/>
        <v>0</v>
      </c>
      <c r="AN13" s="43">
        <f t="shared" si="14"/>
        <v>0</v>
      </c>
      <c r="AP13" t="str">
        <f t="shared" si="15"/>
        <v/>
      </c>
      <c r="AQ13" t="str">
        <f t="shared" si="16"/>
        <v/>
      </c>
      <c r="AR13" t="str">
        <f t="shared" si="17"/>
        <v/>
      </c>
      <c r="AS13" t="str">
        <f t="shared" si="18"/>
        <v/>
      </c>
      <c r="AT13" t="str">
        <f t="shared" si="19"/>
        <v/>
      </c>
      <c r="AU13" t="str">
        <f t="shared" si="20"/>
        <v/>
      </c>
      <c r="AV13" t="str">
        <f t="shared" si="21"/>
        <v/>
      </c>
      <c r="AW13" t="str">
        <f t="shared" si="22"/>
        <v xml:space="preserve">                              </v>
      </c>
      <c r="AX13" s="23">
        <f t="shared" si="23"/>
        <v>0</v>
      </c>
      <c r="AY13" s="49" t="str">
        <f t="shared" si="24"/>
        <v>000000000000000</v>
      </c>
      <c r="AZ13" s="23">
        <f t="shared" si="25"/>
        <v>0</v>
      </c>
      <c r="BA13" s="49" t="str">
        <f t="shared" si="26"/>
        <v>000000000000000</v>
      </c>
      <c r="BB13" s="23">
        <f t="shared" si="27"/>
        <v>0</v>
      </c>
      <c r="BC13" s="49" t="str">
        <f t="shared" si="28"/>
        <v>000000000000000</v>
      </c>
      <c r="BD13" s="23">
        <f t="shared" si="29"/>
        <v>0</v>
      </c>
      <c r="BE13" s="49" t="str">
        <f t="shared" si="30"/>
        <v>000000000000000</v>
      </c>
      <c r="BF13" s="23">
        <f t="shared" si="31"/>
        <v>0</v>
      </c>
      <c r="BG13" s="49" t="str">
        <f t="shared" si="32"/>
        <v>000000000000000</v>
      </c>
      <c r="BH13" s="23">
        <f t="shared" si="33"/>
        <v>0</v>
      </c>
      <c r="BI13" s="49" t="str">
        <f t="shared" si="34"/>
        <v>000000000000000</v>
      </c>
      <c r="BJ13" s="23">
        <f t="shared" si="35"/>
        <v>0</v>
      </c>
      <c r="BK13" s="49" t="str">
        <f t="shared" si="36"/>
        <v>000000000000000</v>
      </c>
      <c r="BL13" s="23">
        <f t="shared" si="37"/>
        <v>0</v>
      </c>
      <c r="BM13" s="49" t="str">
        <f t="shared" si="38"/>
        <v>000000000000000</v>
      </c>
      <c r="BN13" t="str">
        <f t="shared" si="39"/>
        <v>PES</v>
      </c>
      <c r="BO13" t="str">
        <f t="shared" si="40"/>
        <v>0001000000</v>
      </c>
      <c r="BP13">
        <f t="shared" si="41"/>
        <v>0</v>
      </c>
      <c r="BQ13">
        <f t="shared" si="42"/>
        <v>0</v>
      </c>
      <c r="BR13" s="23">
        <f t="shared" si="43"/>
        <v>0</v>
      </c>
      <c r="BS13" s="49" t="str">
        <f t="shared" si="44"/>
        <v>000000000000000</v>
      </c>
      <c r="BT13" t="str">
        <f t="shared" si="45"/>
        <v>00000000</v>
      </c>
      <c r="BU13" s="23">
        <f t="shared" si="46"/>
        <v>0</v>
      </c>
      <c r="BV13" s="49" t="str">
        <f t="shared" si="47"/>
        <v/>
      </c>
      <c r="BW13" s="52" t="str">
        <f t="shared" si="48"/>
        <v/>
      </c>
      <c r="BX13" s="23">
        <f t="shared" si="49"/>
        <v>0</v>
      </c>
      <c r="BY13" s="49" t="str">
        <f t="shared" si="50"/>
        <v/>
      </c>
      <c r="BZ13" s="23">
        <f t="shared" si="51"/>
        <v>0</v>
      </c>
      <c r="CA13" s="49" t="str">
        <f t="shared" si="52"/>
        <v/>
      </c>
      <c r="CB13" s="52" t="str">
        <f t="shared" si="53"/>
        <v/>
      </c>
      <c r="CC13" s="23">
        <f t="shared" si="54"/>
        <v>0</v>
      </c>
      <c r="CD13" s="49" t="str">
        <f t="shared" si="55"/>
        <v/>
      </c>
      <c r="CE13" s="56" t="str">
        <f>IF(CF13="","",MAX(CE$10:$CE12)+1)</f>
        <v/>
      </c>
      <c r="CF13" t="str">
        <f t="shared" si="56"/>
        <v/>
      </c>
      <c r="CG13" s="22" t="str">
        <f>IF(CH13="","",MAX($CG$10:CG12)+1)</f>
        <v/>
      </c>
      <c r="CH13" s="22" t="str">
        <f t="shared" si="57"/>
        <v/>
      </c>
      <c r="CI13" s="22" t="str">
        <f>IF(CJ13="","",MAX($CI$10:CI12)+1)</f>
        <v/>
      </c>
      <c r="CJ13" s="22" t="str">
        <f t="shared" si="58"/>
        <v/>
      </c>
    </row>
    <row r="14" spans="2:88" x14ac:dyDescent="0.25">
      <c r="B14" s="37"/>
      <c r="C14" s="3"/>
      <c r="D14" s="77" t="str">
        <f t="shared" si="59"/>
        <v/>
      </c>
      <c r="E14" s="38"/>
      <c r="F14" s="38"/>
      <c r="G14" s="78">
        <f t="shared" si="2"/>
        <v>0</v>
      </c>
      <c r="H14" s="3">
        <v>80</v>
      </c>
      <c r="I14" s="77" t="str">
        <f t="shared" si="3"/>
        <v/>
      </c>
      <c r="J14" s="76"/>
      <c r="K14" s="3"/>
      <c r="L14" s="39"/>
      <c r="M14" s="39"/>
      <c r="N14" s="39"/>
      <c r="O14" s="39"/>
      <c r="P14" s="39"/>
      <c r="Q14" s="39"/>
      <c r="R14" s="39"/>
      <c r="S14" s="39"/>
      <c r="T14" s="3" t="s">
        <v>645</v>
      </c>
      <c r="U14" s="77" t="str">
        <f t="shared" si="4"/>
        <v/>
      </c>
      <c r="V14" s="39">
        <v>1</v>
      </c>
      <c r="W14" s="79">
        <f t="shared" si="5"/>
        <v>0</v>
      </c>
      <c r="X14" s="3">
        <v>0</v>
      </c>
      <c r="Y14" s="77" t="str">
        <f t="shared" si="6"/>
        <v/>
      </c>
      <c r="Z14" s="3"/>
      <c r="AA14" s="37" t="str">
        <f t="shared" si="7"/>
        <v/>
      </c>
      <c r="AC14" s="40"/>
      <c r="AD14" s="7"/>
      <c r="AE14" s="77" t="str">
        <f t="shared" si="8"/>
        <v/>
      </c>
      <c r="AF14" s="81">
        <f t="shared" si="9"/>
        <v>0</v>
      </c>
      <c r="AG14" s="40"/>
      <c r="AH14" s="7"/>
      <c r="AI14" s="77" t="str">
        <f t="shared" si="10"/>
        <v/>
      </c>
      <c r="AJ14" s="81">
        <f t="shared" si="11"/>
        <v>0</v>
      </c>
      <c r="AK14" s="83">
        <f t="shared" si="12"/>
        <v>0</v>
      </c>
      <c r="AL14" s="83">
        <f t="shared" si="13"/>
        <v>0</v>
      </c>
      <c r="AN14" s="43">
        <f t="shared" si="14"/>
        <v>0</v>
      </c>
      <c r="AP14" t="str">
        <f t="shared" si="15"/>
        <v/>
      </c>
      <c r="AQ14" t="str">
        <f t="shared" si="16"/>
        <v/>
      </c>
      <c r="AR14" t="str">
        <f t="shared" si="17"/>
        <v/>
      </c>
      <c r="AS14" t="str">
        <f t="shared" si="18"/>
        <v/>
      </c>
      <c r="AT14" t="str">
        <f t="shared" si="19"/>
        <v/>
      </c>
      <c r="AU14" t="str">
        <f t="shared" si="20"/>
        <v/>
      </c>
      <c r="AV14" t="str">
        <f t="shared" si="21"/>
        <v/>
      </c>
      <c r="AW14" t="str">
        <f t="shared" si="22"/>
        <v xml:space="preserve">                              </v>
      </c>
      <c r="AX14" s="23">
        <f t="shared" si="23"/>
        <v>0</v>
      </c>
      <c r="AY14" s="49" t="str">
        <f t="shared" si="24"/>
        <v>000000000000000</v>
      </c>
      <c r="AZ14" s="23">
        <f t="shared" si="25"/>
        <v>0</v>
      </c>
      <c r="BA14" s="49" t="str">
        <f t="shared" si="26"/>
        <v>000000000000000</v>
      </c>
      <c r="BB14" s="23">
        <f t="shared" si="27"/>
        <v>0</v>
      </c>
      <c r="BC14" s="49" t="str">
        <f t="shared" si="28"/>
        <v>000000000000000</v>
      </c>
      <c r="BD14" s="23">
        <f t="shared" si="29"/>
        <v>0</v>
      </c>
      <c r="BE14" s="49" t="str">
        <f t="shared" si="30"/>
        <v>000000000000000</v>
      </c>
      <c r="BF14" s="23">
        <f t="shared" si="31"/>
        <v>0</v>
      </c>
      <c r="BG14" s="49" t="str">
        <f t="shared" si="32"/>
        <v>000000000000000</v>
      </c>
      <c r="BH14" s="23">
        <f t="shared" si="33"/>
        <v>0</v>
      </c>
      <c r="BI14" s="49" t="str">
        <f t="shared" si="34"/>
        <v>000000000000000</v>
      </c>
      <c r="BJ14" s="23">
        <f t="shared" si="35"/>
        <v>0</v>
      </c>
      <c r="BK14" s="49" t="str">
        <f t="shared" si="36"/>
        <v>000000000000000</v>
      </c>
      <c r="BL14" s="23">
        <f t="shared" si="37"/>
        <v>0</v>
      </c>
      <c r="BM14" s="49" t="str">
        <f t="shared" si="38"/>
        <v>000000000000000</v>
      </c>
      <c r="BN14" t="str">
        <f t="shared" si="39"/>
        <v>PES</v>
      </c>
      <c r="BO14" t="str">
        <f t="shared" si="40"/>
        <v>0001000000</v>
      </c>
      <c r="BP14">
        <f t="shared" si="41"/>
        <v>0</v>
      </c>
      <c r="BQ14">
        <f t="shared" si="42"/>
        <v>0</v>
      </c>
      <c r="BR14" s="23">
        <f t="shared" si="43"/>
        <v>0</v>
      </c>
      <c r="BS14" s="49" t="str">
        <f t="shared" si="44"/>
        <v>000000000000000</v>
      </c>
      <c r="BT14" t="str">
        <f t="shared" si="45"/>
        <v>00000000</v>
      </c>
      <c r="BU14" s="23">
        <f t="shared" si="46"/>
        <v>0</v>
      </c>
      <c r="BV14" s="49" t="str">
        <f t="shared" si="47"/>
        <v/>
      </c>
      <c r="BW14" s="52" t="str">
        <f t="shared" si="48"/>
        <v/>
      </c>
      <c r="BX14" s="23">
        <f t="shared" si="49"/>
        <v>0</v>
      </c>
      <c r="BY14" s="49" t="str">
        <f t="shared" si="50"/>
        <v/>
      </c>
      <c r="BZ14" s="23">
        <f t="shared" si="51"/>
        <v>0</v>
      </c>
      <c r="CA14" s="49" t="str">
        <f t="shared" si="52"/>
        <v/>
      </c>
      <c r="CB14" s="52" t="str">
        <f t="shared" si="53"/>
        <v/>
      </c>
      <c r="CC14" s="23">
        <f t="shared" si="54"/>
        <v>0</v>
      </c>
      <c r="CD14" s="49" t="str">
        <f t="shared" si="55"/>
        <v/>
      </c>
      <c r="CE14" s="56" t="str">
        <f>IF(CF14="","",MAX(CE$10:$CE13)+1)</f>
        <v/>
      </c>
      <c r="CF14" t="str">
        <f t="shared" si="56"/>
        <v/>
      </c>
      <c r="CG14" s="22" t="str">
        <f>IF(CH14="","",MAX($CG$10:CG13)+1)</f>
        <v/>
      </c>
      <c r="CH14" s="22" t="str">
        <f t="shared" si="57"/>
        <v/>
      </c>
      <c r="CI14" s="22" t="str">
        <f>IF(CJ14="","",MAX($CI$10:CI13)+1)</f>
        <v/>
      </c>
      <c r="CJ14" s="22" t="str">
        <f t="shared" si="58"/>
        <v/>
      </c>
    </row>
    <row r="15" spans="2:88" x14ac:dyDescent="0.25">
      <c r="B15" s="37"/>
      <c r="C15" s="3"/>
      <c r="D15" s="77" t="str">
        <f t="shared" si="59"/>
        <v/>
      </c>
      <c r="E15" s="38"/>
      <c r="F15" s="38"/>
      <c r="G15" s="78">
        <f t="shared" si="2"/>
        <v>0</v>
      </c>
      <c r="H15" s="3">
        <v>80</v>
      </c>
      <c r="I15" s="77" t="str">
        <f t="shared" si="3"/>
        <v/>
      </c>
      <c r="J15" s="76"/>
      <c r="K15" s="3"/>
      <c r="L15" s="39"/>
      <c r="M15" s="39"/>
      <c r="N15" s="39"/>
      <c r="O15" s="39"/>
      <c r="P15" s="39"/>
      <c r="Q15" s="39"/>
      <c r="R15" s="39"/>
      <c r="S15" s="39"/>
      <c r="T15" s="3" t="s">
        <v>645</v>
      </c>
      <c r="U15" s="77" t="str">
        <f t="shared" si="4"/>
        <v/>
      </c>
      <c r="V15" s="39">
        <v>1</v>
      </c>
      <c r="W15" s="79">
        <f t="shared" si="5"/>
        <v>0</v>
      </c>
      <c r="X15" s="3">
        <v>0</v>
      </c>
      <c r="Y15" s="77" t="str">
        <f t="shared" si="6"/>
        <v/>
      </c>
      <c r="Z15" s="3"/>
      <c r="AA15" s="37" t="str">
        <f t="shared" si="7"/>
        <v/>
      </c>
      <c r="AC15" s="40"/>
      <c r="AD15" s="7"/>
      <c r="AE15" s="77" t="str">
        <f t="shared" si="8"/>
        <v/>
      </c>
      <c r="AF15" s="81">
        <f t="shared" si="9"/>
        <v>0</v>
      </c>
      <c r="AG15" s="40"/>
      <c r="AH15" s="7"/>
      <c r="AI15" s="77" t="str">
        <f t="shared" si="10"/>
        <v/>
      </c>
      <c r="AJ15" s="81">
        <f t="shared" si="11"/>
        <v>0</v>
      </c>
      <c r="AK15" s="83">
        <f t="shared" si="12"/>
        <v>0</v>
      </c>
      <c r="AL15" s="83">
        <f t="shared" si="13"/>
        <v>0</v>
      </c>
      <c r="AN15" s="43">
        <f t="shared" si="14"/>
        <v>0</v>
      </c>
      <c r="AP15" t="str">
        <f t="shared" si="15"/>
        <v/>
      </c>
      <c r="AQ15" t="str">
        <f t="shared" si="16"/>
        <v/>
      </c>
      <c r="AR15" t="str">
        <f t="shared" si="17"/>
        <v/>
      </c>
      <c r="AS15" t="str">
        <f t="shared" si="18"/>
        <v/>
      </c>
      <c r="AT15" t="str">
        <f t="shared" si="19"/>
        <v/>
      </c>
      <c r="AU15" t="str">
        <f t="shared" si="20"/>
        <v/>
      </c>
      <c r="AV15" t="str">
        <f t="shared" si="21"/>
        <v/>
      </c>
      <c r="AW15" t="str">
        <f t="shared" si="22"/>
        <v xml:space="preserve">                              </v>
      </c>
      <c r="AX15" s="23">
        <f t="shared" si="23"/>
        <v>0</v>
      </c>
      <c r="AY15" s="49" t="str">
        <f t="shared" si="24"/>
        <v>000000000000000</v>
      </c>
      <c r="AZ15" s="23">
        <f t="shared" si="25"/>
        <v>0</v>
      </c>
      <c r="BA15" s="49" t="str">
        <f t="shared" si="26"/>
        <v>000000000000000</v>
      </c>
      <c r="BB15" s="23">
        <f t="shared" si="27"/>
        <v>0</v>
      </c>
      <c r="BC15" s="49" t="str">
        <f t="shared" si="28"/>
        <v>000000000000000</v>
      </c>
      <c r="BD15" s="23">
        <f t="shared" si="29"/>
        <v>0</v>
      </c>
      <c r="BE15" s="49" t="str">
        <f t="shared" si="30"/>
        <v>000000000000000</v>
      </c>
      <c r="BF15" s="23">
        <f t="shared" si="31"/>
        <v>0</v>
      </c>
      <c r="BG15" s="49" t="str">
        <f t="shared" si="32"/>
        <v>000000000000000</v>
      </c>
      <c r="BH15" s="23">
        <f t="shared" si="33"/>
        <v>0</v>
      </c>
      <c r="BI15" s="49" t="str">
        <f t="shared" si="34"/>
        <v>000000000000000</v>
      </c>
      <c r="BJ15" s="23">
        <f t="shared" si="35"/>
        <v>0</v>
      </c>
      <c r="BK15" s="49" t="str">
        <f t="shared" si="36"/>
        <v>000000000000000</v>
      </c>
      <c r="BL15" s="23">
        <f t="shared" si="37"/>
        <v>0</v>
      </c>
      <c r="BM15" s="49" t="str">
        <f t="shared" si="38"/>
        <v>000000000000000</v>
      </c>
      <c r="BN15" t="str">
        <f t="shared" si="39"/>
        <v>PES</v>
      </c>
      <c r="BO15" t="str">
        <f t="shared" si="40"/>
        <v>0001000000</v>
      </c>
      <c r="BP15">
        <f t="shared" si="41"/>
        <v>0</v>
      </c>
      <c r="BQ15">
        <f t="shared" si="42"/>
        <v>0</v>
      </c>
      <c r="BR15" s="23">
        <f t="shared" si="43"/>
        <v>0</v>
      </c>
      <c r="BS15" s="49" t="str">
        <f t="shared" si="44"/>
        <v>000000000000000</v>
      </c>
      <c r="BT15" t="str">
        <f t="shared" si="45"/>
        <v>00000000</v>
      </c>
      <c r="BU15" s="23">
        <f t="shared" si="46"/>
        <v>0</v>
      </c>
      <c r="BV15" s="49" t="str">
        <f t="shared" si="47"/>
        <v/>
      </c>
      <c r="BW15" s="52" t="str">
        <f t="shared" si="48"/>
        <v/>
      </c>
      <c r="BX15" s="23">
        <f t="shared" si="49"/>
        <v>0</v>
      </c>
      <c r="BY15" s="49" t="str">
        <f t="shared" si="50"/>
        <v/>
      </c>
      <c r="BZ15" s="23">
        <f t="shared" si="51"/>
        <v>0</v>
      </c>
      <c r="CA15" s="49" t="str">
        <f t="shared" si="52"/>
        <v/>
      </c>
      <c r="CB15" s="52" t="str">
        <f t="shared" si="53"/>
        <v/>
      </c>
      <c r="CC15" s="23">
        <f t="shared" si="54"/>
        <v>0</v>
      </c>
      <c r="CD15" s="49" t="str">
        <f t="shared" si="55"/>
        <v/>
      </c>
      <c r="CE15" s="56" t="str">
        <f>IF(CF15="","",MAX(CE$10:$CE14)+1)</f>
        <v/>
      </c>
      <c r="CF15" t="str">
        <f t="shared" si="56"/>
        <v/>
      </c>
      <c r="CG15" s="22" t="str">
        <f>IF(CH15="","",MAX($CG$10:CG14)+1)</f>
        <v/>
      </c>
      <c r="CH15" s="22" t="str">
        <f t="shared" si="57"/>
        <v/>
      </c>
      <c r="CI15" s="22" t="str">
        <f>IF(CJ15="","",MAX($CI$10:CI14)+1)</f>
        <v/>
      </c>
      <c r="CJ15" s="22" t="str">
        <f t="shared" si="58"/>
        <v/>
      </c>
    </row>
    <row r="16" spans="2:88" x14ac:dyDescent="0.25">
      <c r="B16" s="37"/>
      <c r="C16" s="3"/>
      <c r="D16" s="77" t="str">
        <f t="shared" si="59"/>
        <v/>
      </c>
      <c r="E16" s="38"/>
      <c r="F16" s="38"/>
      <c r="G16" s="78">
        <f t="shared" si="2"/>
        <v>0</v>
      </c>
      <c r="H16" s="3">
        <v>80</v>
      </c>
      <c r="I16" s="77" t="str">
        <f t="shared" si="3"/>
        <v/>
      </c>
      <c r="J16" s="76"/>
      <c r="K16" s="3"/>
      <c r="L16" s="39"/>
      <c r="M16" s="39"/>
      <c r="N16" s="39"/>
      <c r="O16" s="39"/>
      <c r="P16" s="39"/>
      <c r="Q16" s="39"/>
      <c r="R16" s="39"/>
      <c r="S16" s="39"/>
      <c r="T16" s="3" t="s">
        <v>645</v>
      </c>
      <c r="U16" s="77" t="str">
        <f t="shared" si="4"/>
        <v/>
      </c>
      <c r="V16" s="39">
        <v>1</v>
      </c>
      <c r="W16" s="79">
        <f t="shared" si="5"/>
        <v>0</v>
      </c>
      <c r="X16" s="3">
        <v>0</v>
      </c>
      <c r="Y16" s="77" t="str">
        <f t="shared" si="6"/>
        <v/>
      </c>
      <c r="Z16" s="3"/>
      <c r="AA16" s="37" t="str">
        <f t="shared" si="7"/>
        <v/>
      </c>
      <c r="AC16" s="40"/>
      <c r="AD16" s="7"/>
      <c r="AE16" s="77" t="str">
        <f t="shared" si="8"/>
        <v/>
      </c>
      <c r="AF16" s="81">
        <f t="shared" si="9"/>
        <v>0</v>
      </c>
      <c r="AG16" s="40"/>
      <c r="AH16" s="7"/>
      <c r="AI16" s="77" t="str">
        <f t="shared" si="10"/>
        <v/>
      </c>
      <c r="AJ16" s="81">
        <f t="shared" si="11"/>
        <v>0</v>
      </c>
      <c r="AK16" s="83">
        <f t="shared" si="12"/>
        <v>0</v>
      </c>
      <c r="AL16" s="83">
        <f t="shared" si="13"/>
        <v>0</v>
      </c>
      <c r="AN16" s="43">
        <f t="shared" si="14"/>
        <v>0</v>
      </c>
      <c r="AP16" t="str">
        <f t="shared" si="15"/>
        <v/>
      </c>
      <c r="AQ16" t="str">
        <f t="shared" si="16"/>
        <v/>
      </c>
      <c r="AR16" t="str">
        <f t="shared" si="17"/>
        <v/>
      </c>
      <c r="AS16" t="str">
        <f t="shared" si="18"/>
        <v/>
      </c>
      <c r="AT16" t="str">
        <f t="shared" si="19"/>
        <v/>
      </c>
      <c r="AU16" t="str">
        <f t="shared" si="20"/>
        <v/>
      </c>
      <c r="AV16" t="str">
        <f t="shared" si="21"/>
        <v/>
      </c>
      <c r="AW16" t="str">
        <f t="shared" si="22"/>
        <v xml:space="preserve">                              </v>
      </c>
      <c r="AX16" s="23">
        <f t="shared" si="23"/>
        <v>0</v>
      </c>
      <c r="AY16" s="49" t="str">
        <f t="shared" si="24"/>
        <v>000000000000000</v>
      </c>
      <c r="AZ16" s="23">
        <f t="shared" si="25"/>
        <v>0</v>
      </c>
      <c r="BA16" s="49" t="str">
        <f t="shared" si="26"/>
        <v>000000000000000</v>
      </c>
      <c r="BB16" s="23">
        <f t="shared" si="27"/>
        <v>0</v>
      </c>
      <c r="BC16" s="49" t="str">
        <f t="shared" si="28"/>
        <v>000000000000000</v>
      </c>
      <c r="BD16" s="23">
        <f t="shared" si="29"/>
        <v>0</v>
      </c>
      <c r="BE16" s="49" t="str">
        <f t="shared" si="30"/>
        <v>000000000000000</v>
      </c>
      <c r="BF16" s="23">
        <f t="shared" si="31"/>
        <v>0</v>
      </c>
      <c r="BG16" s="49" t="str">
        <f t="shared" si="32"/>
        <v>000000000000000</v>
      </c>
      <c r="BH16" s="23">
        <f t="shared" si="33"/>
        <v>0</v>
      </c>
      <c r="BI16" s="49" t="str">
        <f t="shared" si="34"/>
        <v>000000000000000</v>
      </c>
      <c r="BJ16" s="23">
        <f t="shared" si="35"/>
        <v>0</v>
      </c>
      <c r="BK16" s="49" t="str">
        <f t="shared" si="36"/>
        <v>000000000000000</v>
      </c>
      <c r="BL16" s="23">
        <f t="shared" si="37"/>
        <v>0</v>
      </c>
      <c r="BM16" s="49" t="str">
        <f t="shared" si="38"/>
        <v>000000000000000</v>
      </c>
      <c r="BN16" t="str">
        <f t="shared" si="39"/>
        <v>PES</v>
      </c>
      <c r="BO16" t="str">
        <f t="shared" si="40"/>
        <v>0001000000</v>
      </c>
      <c r="BP16">
        <f t="shared" si="41"/>
        <v>0</v>
      </c>
      <c r="BQ16">
        <f t="shared" si="42"/>
        <v>0</v>
      </c>
      <c r="BR16" s="23">
        <f t="shared" si="43"/>
        <v>0</v>
      </c>
      <c r="BS16" s="49" t="str">
        <f t="shared" si="44"/>
        <v>000000000000000</v>
      </c>
      <c r="BT16" t="str">
        <f t="shared" si="45"/>
        <v>00000000</v>
      </c>
      <c r="BU16" s="23">
        <f t="shared" si="46"/>
        <v>0</v>
      </c>
      <c r="BV16" s="49" t="str">
        <f t="shared" si="47"/>
        <v/>
      </c>
      <c r="BW16" s="52" t="str">
        <f t="shared" si="48"/>
        <v/>
      </c>
      <c r="BX16" s="23">
        <f t="shared" si="49"/>
        <v>0</v>
      </c>
      <c r="BY16" s="49" t="str">
        <f t="shared" si="50"/>
        <v/>
      </c>
      <c r="BZ16" s="23">
        <f t="shared" si="51"/>
        <v>0</v>
      </c>
      <c r="CA16" s="49" t="str">
        <f t="shared" si="52"/>
        <v/>
      </c>
      <c r="CB16" s="52" t="str">
        <f t="shared" si="53"/>
        <v/>
      </c>
      <c r="CC16" s="23">
        <f t="shared" si="54"/>
        <v>0</v>
      </c>
      <c r="CD16" s="49" t="str">
        <f t="shared" si="55"/>
        <v/>
      </c>
      <c r="CE16" s="56" t="str">
        <f>IF(CF16="","",MAX(CE$10:$CE15)+1)</f>
        <v/>
      </c>
      <c r="CF16" t="str">
        <f t="shared" si="56"/>
        <v/>
      </c>
      <c r="CG16" s="22" t="str">
        <f>IF(CH16="","",MAX($CG$10:CG15)+1)</f>
        <v/>
      </c>
      <c r="CH16" s="22" t="str">
        <f t="shared" si="57"/>
        <v/>
      </c>
      <c r="CI16" s="22" t="str">
        <f>IF(CJ16="","",MAX($CI$10:CI15)+1)</f>
        <v/>
      </c>
      <c r="CJ16" s="22" t="str">
        <f t="shared" si="58"/>
        <v/>
      </c>
    </row>
    <row r="17" spans="2:88" x14ac:dyDescent="0.25">
      <c r="B17" s="37"/>
      <c r="C17" s="3"/>
      <c r="D17" s="77" t="str">
        <f t="shared" si="59"/>
        <v/>
      </c>
      <c r="E17" s="38"/>
      <c r="F17" s="38"/>
      <c r="G17" s="78">
        <f t="shared" si="2"/>
        <v>0</v>
      </c>
      <c r="H17" s="3">
        <v>80</v>
      </c>
      <c r="I17" s="77" t="str">
        <f t="shared" si="3"/>
        <v/>
      </c>
      <c r="J17" s="76"/>
      <c r="K17" s="3"/>
      <c r="L17" s="39"/>
      <c r="M17" s="39"/>
      <c r="N17" s="39"/>
      <c r="O17" s="39"/>
      <c r="P17" s="39"/>
      <c r="Q17" s="39"/>
      <c r="R17" s="39"/>
      <c r="S17" s="39"/>
      <c r="T17" s="3" t="s">
        <v>645</v>
      </c>
      <c r="U17" s="77" t="str">
        <f t="shared" si="4"/>
        <v/>
      </c>
      <c r="V17" s="39">
        <v>1</v>
      </c>
      <c r="W17" s="79">
        <f t="shared" si="5"/>
        <v>0</v>
      </c>
      <c r="X17" s="3">
        <v>0</v>
      </c>
      <c r="Y17" s="77" t="str">
        <f t="shared" si="6"/>
        <v/>
      </c>
      <c r="Z17" s="3"/>
      <c r="AA17" s="37" t="str">
        <f t="shared" si="7"/>
        <v/>
      </c>
      <c r="AC17" s="40"/>
      <c r="AD17" s="7"/>
      <c r="AE17" s="77" t="str">
        <f t="shared" si="8"/>
        <v/>
      </c>
      <c r="AF17" s="81">
        <f t="shared" si="9"/>
        <v>0</v>
      </c>
      <c r="AG17" s="40"/>
      <c r="AH17" s="7"/>
      <c r="AI17" s="77" t="str">
        <f t="shared" si="10"/>
        <v/>
      </c>
      <c r="AJ17" s="81">
        <f t="shared" si="11"/>
        <v>0</v>
      </c>
      <c r="AK17" s="83">
        <f t="shared" si="12"/>
        <v>0</v>
      </c>
      <c r="AL17" s="83">
        <f t="shared" si="13"/>
        <v>0</v>
      </c>
      <c r="AN17" s="43">
        <f t="shared" si="14"/>
        <v>0</v>
      </c>
      <c r="AP17" t="str">
        <f t="shared" si="15"/>
        <v/>
      </c>
      <c r="AQ17" t="str">
        <f t="shared" si="16"/>
        <v/>
      </c>
      <c r="AR17" t="str">
        <f t="shared" si="17"/>
        <v/>
      </c>
      <c r="AS17" t="str">
        <f t="shared" si="18"/>
        <v/>
      </c>
      <c r="AT17" t="str">
        <f t="shared" si="19"/>
        <v/>
      </c>
      <c r="AU17" t="str">
        <f t="shared" si="20"/>
        <v/>
      </c>
      <c r="AV17" t="str">
        <f t="shared" si="21"/>
        <v/>
      </c>
      <c r="AW17" t="str">
        <f t="shared" si="22"/>
        <v xml:space="preserve">                              </v>
      </c>
      <c r="AX17" s="23">
        <f t="shared" si="23"/>
        <v>0</v>
      </c>
      <c r="AY17" s="49" t="str">
        <f t="shared" si="24"/>
        <v>000000000000000</v>
      </c>
      <c r="AZ17" s="23">
        <f t="shared" si="25"/>
        <v>0</v>
      </c>
      <c r="BA17" s="49" t="str">
        <f t="shared" si="26"/>
        <v>000000000000000</v>
      </c>
      <c r="BB17" s="23">
        <f t="shared" si="27"/>
        <v>0</v>
      </c>
      <c r="BC17" s="49" t="str">
        <f t="shared" si="28"/>
        <v>000000000000000</v>
      </c>
      <c r="BD17" s="23">
        <f t="shared" si="29"/>
        <v>0</v>
      </c>
      <c r="BE17" s="49" t="str">
        <f t="shared" si="30"/>
        <v>000000000000000</v>
      </c>
      <c r="BF17" s="23">
        <f t="shared" si="31"/>
        <v>0</v>
      </c>
      <c r="BG17" s="49" t="str">
        <f t="shared" si="32"/>
        <v>000000000000000</v>
      </c>
      <c r="BH17" s="23">
        <f t="shared" si="33"/>
        <v>0</v>
      </c>
      <c r="BI17" s="49" t="str">
        <f t="shared" si="34"/>
        <v>000000000000000</v>
      </c>
      <c r="BJ17" s="23">
        <f t="shared" si="35"/>
        <v>0</v>
      </c>
      <c r="BK17" s="49" t="str">
        <f t="shared" si="36"/>
        <v>000000000000000</v>
      </c>
      <c r="BL17" s="23">
        <f t="shared" si="37"/>
        <v>0</v>
      </c>
      <c r="BM17" s="49" t="str">
        <f t="shared" si="38"/>
        <v>000000000000000</v>
      </c>
      <c r="BN17" t="str">
        <f t="shared" si="39"/>
        <v>PES</v>
      </c>
      <c r="BO17" t="str">
        <f t="shared" si="40"/>
        <v>0001000000</v>
      </c>
      <c r="BP17">
        <f t="shared" si="41"/>
        <v>0</v>
      </c>
      <c r="BQ17">
        <f t="shared" si="42"/>
        <v>0</v>
      </c>
      <c r="BR17" s="23">
        <f t="shared" si="43"/>
        <v>0</v>
      </c>
      <c r="BS17" s="49" t="str">
        <f t="shared" si="44"/>
        <v>000000000000000</v>
      </c>
      <c r="BT17" t="str">
        <f t="shared" si="45"/>
        <v>00000000</v>
      </c>
      <c r="BU17" s="23">
        <f t="shared" si="46"/>
        <v>0</v>
      </c>
      <c r="BV17" s="49" t="str">
        <f t="shared" si="47"/>
        <v/>
      </c>
      <c r="BW17" s="52" t="str">
        <f t="shared" si="48"/>
        <v/>
      </c>
      <c r="BX17" s="23">
        <f t="shared" si="49"/>
        <v>0</v>
      </c>
      <c r="BY17" s="49" t="str">
        <f t="shared" si="50"/>
        <v/>
      </c>
      <c r="BZ17" s="23">
        <f t="shared" si="51"/>
        <v>0</v>
      </c>
      <c r="CA17" s="49" t="str">
        <f t="shared" si="52"/>
        <v/>
      </c>
      <c r="CB17" s="52" t="str">
        <f t="shared" si="53"/>
        <v/>
      </c>
      <c r="CC17" s="23">
        <f t="shared" si="54"/>
        <v>0</v>
      </c>
      <c r="CD17" s="49" t="str">
        <f t="shared" si="55"/>
        <v/>
      </c>
      <c r="CE17" s="56" t="str">
        <f>IF(CF17="","",MAX(CE$10:$CE16)+1)</f>
        <v/>
      </c>
      <c r="CF17" t="str">
        <f t="shared" si="56"/>
        <v/>
      </c>
      <c r="CG17" s="22" t="str">
        <f>IF(CH17="","",MAX($CG$10:CG16)+1)</f>
        <v/>
      </c>
      <c r="CH17" s="22" t="str">
        <f t="shared" si="57"/>
        <v/>
      </c>
      <c r="CI17" s="22" t="str">
        <f>IF(CJ17="","",MAX($CI$10:CI16)+1)</f>
        <v/>
      </c>
      <c r="CJ17" s="22" t="str">
        <f t="shared" si="58"/>
        <v/>
      </c>
    </row>
    <row r="18" spans="2:88" x14ac:dyDescent="0.25">
      <c r="B18" s="37"/>
      <c r="C18" s="3"/>
      <c r="D18" s="77" t="str">
        <f t="shared" si="59"/>
        <v/>
      </c>
      <c r="E18" s="38"/>
      <c r="F18" s="38"/>
      <c r="G18" s="78">
        <f t="shared" si="2"/>
        <v>0</v>
      </c>
      <c r="H18" s="3">
        <v>80</v>
      </c>
      <c r="I18" s="77" t="str">
        <f t="shared" si="3"/>
        <v/>
      </c>
      <c r="J18" s="76"/>
      <c r="K18" s="3"/>
      <c r="L18" s="39"/>
      <c r="M18" s="39"/>
      <c r="N18" s="39"/>
      <c r="O18" s="39"/>
      <c r="P18" s="39"/>
      <c r="Q18" s="39"/>
      <c r="R18" s="39"/>
      <c r="S18" s="39"/>
      <c r="T18" s="3" t="s">
        <v>645</v>
      </c>
      <c r="U18" s="77" t="str">
        <f t="shared" si="4"/>
        <v/>
      </c>
      <c r="V18" s="39">
        <v>1</v>
      </c>
      <c r="W18" s="79">
        <f t="shared" si="5"/>
        <v>0</v>
      </c>
      <c r="X18" s="3">
        <v>0</v>
      </c>
      <c r="Y18" s="77" t="str">
        <f t="shared" si="6"/>
        <v/>
      </c>
      <c r="Z18" s="3"/>
      <c r="AA18" s="37" t="str">
        <f t="shared" si="7"/>
        <v/>
      </c>
      <c r="AC18" s="40"/>
      <c r="AD18" s="7"/>
      <c r="AE18" s="77" t="str">
        <f t="shared" si="8"/>
        <v/>
      </c>
      <c r="AF18" s="81">
        <f t="shared" si="9"/>
        <v>0</v>
      </c>
      <c r="AG18" s="40"/>
      <c r="AH18" s="7"/>
      <c r="AI18" s="77" t="str">
        <f t="shared" si="10"/>
        <v/>
      </c>
      <c r="AJ18" s="81">
        <f t="shared" si="11"/>
        <v>0</v>
      </c>
      <c r="AK18" s="83">
        <f t="shared" si="12"/>
        <v>0</v>
      </c>
      <c r="AL18" s="83">
        <f t="shared" si="13"/>
        <v>0</v>
      </c>
      <c r="AN18" s="43">
        <f t="shared" si="14"/>
        <v>0</v>
      </c>
      <c r="AP18" t="str">
        <f t="shared" si="15"/>
        <v/>
      </c>
      <c r="AQ18" t="str">
        <f t="shared" si="16"/>
        <v/>
      </c>
      <c r="AR18" t="str">
        <f t="shared" si="17"/>
        <v/>
      </c>
      <c r="AS18" t="str">
        <f t="shared" si="18"/>
        <v/>
      </c>
      <c r="AT18" t="str">
        <f t="shared" si="19"/>
        <v/>
      </c>
      <c r="AU18" t="str">
        <f t="shared" si="20"/>
        <v/>
      </c>
      <c r="AV18" t="str">
        <f t="shared" si="21"/>
        <v/>
      </c>
      <c r="AW18" t="str">
        <f t="shared" si="22"/>
        <v xml:space="preserve">                              </v>
      </c>
      <c r="AX18" s="23">
        <f t="shared" si="23"/>
        <v>0</v>
      </c>
      <c r="AY18" s="49" t="str">
        <f t="shared" si="24"/>
        <v>000000000000000</v>
      </c>
      <c r="AZ18" s="23">
        <f t="shared" si="25"/>
        <v>0</v>
      </c>
      <c r="BA18" s="49" t="str">
        <f t="shared" si="26"/>
        <v>000000000000000</v>
      </c>
      <c r="BB18" s="23">
        <f t="shared" si="27"/>
        <v>0</v>
      </c>
      <c r="BC18" s="49" t="str">
        <f t="shared" si="28"/>
        <v>000000000000000</v>
      </c>
      <c r="BD18" s="23">
        <f t="shared" si="29"/>
        <v>0</v>
      </c>
      <c r="BE18" s="49" t="str">
        <f t="shared" si="30"/>
        <v>000000000000000</v>
      </c>
      <c r="BF18" s="23">
        <f t="shared" si="31"/>
        <v>0</v>
      </c>
      <c r="BG18" s="49" t="str">
        <f t="shared" si="32"/>
        <v>000000000000000</v>
      </c>
      <c r="BH18" s="23">
        <f t="shared" si="33"/>
        <v>0</v>
      </c>
      <c r="BI18" s="49" t="str">
        <f t="shared" si="34"/>
        <v>000000000000000</v>
      </c>
      <c r="BJ18" s="23">
        <f t="shared" si="35"/>
        <v>0</v>
      </c>
      <c r="BK18" s="49" t="str">
        <f t="shared" si="36"/>
        <v>000000000000000</v>
      </c>
      <c r="BL18" s="23">
        <f t="shared" si="37"/>
        <v>0</v>
      </c>
      <c r="BM18" s="49" t="str">
        <f t="shared" si="38"/>
        <v>000000000000000</v>
      </c>
      <c r="BN18" t="str">
        <f t="shared" si="39"/>
        <v>PES</v>
      </c>
      <c r="BO18" t="str">
        <f t="shared" si="40"/>
        <v>0001000000</v>
      </c>
      <c r="BP18">
        <f t="shared" si="41"/>
        <v>0</v>
      </c>
      <c r="BQ18">
        <f t="shared" si="42"/>
        <v>0</v>
      </c>
      <c r="BR18" s="23">
        <f t="shared" si="43"/>
        <v>0</v>
      </c>
      <c r="BS18" s="49" t="str">
        <f t="shared" si="44"/>
        <v>000000000000000</v>
      </c>
      <c r="BT18" t="str">
        <f t="shared" si="45"/>
        <v>00000000</v>
      </c>
      <c r="BU18" s="23">
        <f t="shared" si="46"/>
        <v>0</v>
      </c>
      <c r="BV18" s="49" t="str">
        <f t="shared" si="47"/>
        <v/>
      </c>
      <c r="BW18" s="52" t="str">
        <f t="shared" si="48"/>
        <v/>
      </c>
      <c r="BX18" s="23">
        <f t="shared" si="49"/>
        <v>0</v>
      </c>
      <c r="BY18" s="49" t="str">
        <f t="shared" si="50"/>
        <v/>
      </c>
      <c r="BZ18" s="23">
        <f t="shared" si="51"/>
        <v>0</v>
      </c>
      <c r="CA18" s="49" t="str">
        <f t="shared" si="52"/>
        <v/>
      </c>
      <c r="CB18" s="52" t="str">
        <f t="shared" si="53"/>
        <v/>
      </c>
      <c r="CC18" s="23">
        <f t="shared" si="54"/>
        <v>0</v>
      </c>
      <c r="CD18" s="49" t="str">
        <f t="shared" si="55"/>
        <v/>
      </c>
      <c r="CE18" s="56" t="str">
        <f>IF(CF18="","",MAX(CE$10:$CE17)+1)</f>
        <v/>
      </c>
      <c r="CF18" t="str">
        <f t="shared" si="56"/>
        <v/>
      </c>
      <c r="CG18" s="22" t="str">
        <f>IF(CH18="","",MAX($CG$10:CG17)+1)</f>
        <v/>
      </c>
      <c r="CH18" s="22" t="str">
        <f t="shared" si="57"/>
        <v/>
      </c>
      <c r="CI18" s="22" t="str">
        <f>IF(CJ18="","",MAX($CI$10:CI17)+1)</f>
        <v/>
      </c>
      <c r="CJ18" s="22" t="str">
        <f t="shared" si="58"/>
        <v/>
      </c>
    </row>
    <row r="19" spans="2:88" x14ac:dyDescent="0.25">
      <c r="B19" s="37"/>
      <c r="C19" s="3"/>
      <c r="D19" s="77" t="str">
        <f t="shared" si="59"/>
        <v/>
      </c>
      <c r="E19" s="38"/>
      <c r="F19" s="38"/>
      <c r="G19" s="78">
        <f t="shared" si="2"/>
        <v>0</v>
      </c>
      <c r="H19" s="3">
        <v>80</v>
      </c>
      <c r="I19" s="77" t="str">
        <f t="shared" si="3"/>
        <v/>
      </c>
      <c r="J19" s="76"/>
      <c r="K19" s="3"/>
      <c r="L19" s="39"/>
      <c r="M19" s="39"/>
      <c r="N19" s="39"/>
      <c r="O19" s="39"/>
      <c r="P19" s="39"/>
      <c r="Q19" s="39"/>
      <c r="R19" s="39"/>
      <c r="S19" s="39"/>
      <c r="T19" s="3" t="s">
        <v>645</v>
      </c>
      <c r="U19" s="77" t="str">
        <f t="shared" si="4"/>
        <v/>
      </c>
      <c r="V19" s="39">
        <v>1</v>
      </c>
      <c r="W19" s="79">
        <f t="shared" si="5"/>
        <v>0</v>
      </c>
      <c r="X19" s="3">
        <v>0</v>
      </c>
      <c r="Y19" s="77" t="str">
        <f t="shared" si="6"/>
        <v/>
      </c>
      <c r="Z19" s="3"/>
      <c r="AA19" s="37" t="str">
        <f t="shared" si="7"/>
        <v/>
      </c>
      <c r="AC19" s="40"/>
      <c r="AD19" s="7"/>
      <c r="AE19" s="77" t="str">
        <f t="shared" si="8"/>
        <v/>
      </c>
      <c r="AF19" s="81">
        <f t="shared" si="9"/>
        <v>0</v>
      </c>
      <c r="AG19" s="40"/>
      <c r="AH19" s="7"/>
      <c r="AI19" s="77" t="str">
        <f t="shared" si="10"/>
        <v/>
      </c>
      <c r="AJ19" s="81">
        <f t="shared" si="11"/>
        <v>0</v>
      </c>
      <c r="AK19" s="83">
        <f t="shared" si="12"/>
        <v>0</v>
      </c>
      <c r="AL19" s="83">
        <f t="shared" si="13"/>
        <v>0</v>
      </c>
      <c r="AN19" s="43">
        <f t="shared" si="14"/>
        <v>0</v>
      </c>
      <c r="AP19" t="str">
        <f t="shared" si="15"/>
        <v/>
      </c>
      <c r="AQ19" t="str">
        <f t="shared" si="16"/>
        <v/>
      </c>
      <c r="AR19" t="str">
        <f t="shared" si="17"/>
        <v/>
      </c>
      <c r="AS19" t="str">
        <f t="shared" si="18"/>
        <v/>
      </c>
      <c r="AT19" t="str">
        <f t="shared" si="19"/>
        <v/>
      </c>
      <c r="AU19" t="str">
        <f t="shared" si="20"/>
        <v/>
      </c>
      <c r="AV19" t="str">
        <f t="shared" si="21"/>
        <v/>
      </c>
      <c r="AW19" t="str">
        <f t="shared" si="22"/>
        <v xml:space="preserve">                              </v>
      </c>
      <c r="AX19" s="23">
        <f t="shared" si="23"/>
        <v>0</v>
      </c>
      <c r="AY19" s="49" t="str">
        <f t="shared" si="24"/>
        <v>000000000000000</v>
      </c>
      <c r="AZ19" s="23">
        <f t="shared" si="25"/>
        <v>0</v>
      </c>
      <c r="BA19" s="49" t="str">
        <f t="shared" si="26"/>
        <v>000000000000000</v>
      </c>
      <c r="BB19" s="23">
        <f t="shared" si="27"/>
        <v>0</v>
      </c>
      <c r="BC19" s="49" t="str">
        <f t="shared" si="28"/>
        <v>000000000000000</v>
      </c>
      <c r="BD19" s="23">
        <f t="shared" si="29"/>
        <v>0</v>
      </c>
      <c r="BE19" s="49" t="str">
        <f t="shared" si="30"/>
        <v>000000000000000</v>
      </c>
      <c r="BF19" s="23">
        <f t="shared" si="31"/>
        <v>0</v>
      </c>
      <c r="BG19" s="49" t="str">
        <f t="shared" si="32"/>
        <v>000000000000000</v>
      </c>
      <c r="BH19" s="23">
        <f t="shared" si="33"/>
        <v>0</v>
      </c>
      <c r="BI19" s="49" t="str">
        <f t="shared" si="34"/>
        <v>000000000000000</v>
      </c>
      <c r="BJ19" s="23">
        <f t="shared" si="35"/>
        <v>0</v>
      </c>
      <c r="BK19" s="49" t="str">
        <f t="shared" si="36"/>
        <v>000000000000000</v>
      </c>
      <c r="BL19" s="23">
        <f t="shared" si="37"/>
        <v>0</v>
      </c>
      <c r="BM19" s="49" t="str">
        <f t="shared" si="38"/>
        <v>000000000000000</v>
      </c>
      <c r="BN19" t="str">
        <f t="shared" si="39"/>
        <v>PES</v>
      </c>
      <c r="BO19" t="str">
        <f t="shared" si="40"/>
        <v>0001000000</v>
      </c>
      <c r="BP19">
        <f t="shared" si="41"/>
        <v>0</v>
      </c>
      <c r="BQ19">
        <f t="shared" si="42"/>
        <v>0</v>
      </c>
      <c r="BR19" s="23">
        <f t="shared" si="43"/>
        <v>0</v>
      </c>
      <c r="BS19" s="49" t="str">
        <f t="shared" si="44"/>
        <v>000000000000000</v>
      </c>
      <c r="BT19" t="str">
        <f t="shared" si="45"/>
        <v>00000000</v>
      </c>
      <c r="BU19" s="23">
        <f t="shared" si="46"/>
        <v>0</v>
      </c>
      <c r="BV19" s="49" t="str">
        <f t="shared" si="47"/>
        <v/>
      </c>
      <c r="BW19" s="52" t="str">
        <f t="shared" si="48"/>
        <v/>
      </c>
      <c r="BX19" s="23">
        <f t="shared" si="49"/>
        <v>0</v>
      </c>
      <c r="BY19" s="49" t="str">
        <f t="shared" si="50"/>
        <v/>
      </c>
      <c r="BZ19" s="23">
        <f t="shared" si="51"/>
        <v>0</v>
      </c>
      <c r="CA19" s="49" t="str">
        <f t="shared" si="52"/>
        <v/>
      </c>
      <c r="CB19" s="52" t="str">
        <f t="shared" si="53"/>
        <v/>
      </c>
      <c r="CC19" s="23">
        <f t="shared" si="54"/>
        <v>0</v>
      </c>
      <c r="CD19" s="49" t="str">
        <f t="shared" si="55"/>
        <v/>
      </c>
      <c r="CE19" s="56" t="str">
        <f>IF(CF19="","",MAX(CE$10:$CE18)+1)</f>
        <v/>
      </c>
      <c r="CF19" t="str">
        <f t="shared" si="56"/>
        <v/>
      </c>
      <c r="CG19" s="22" t="str">
        <f>IF(CH19="","",MAX($CG$10:CG18)+1)</f>
        <v/>
      </c>
      <c r="CH19" s="22" t="str">
        <f t="shared" si="57"/>
        <v/>
      </c>
      <c r="CI19" s="22" t="str">
        <f>IF(CJ19="","",MAX($CI$10:CI18)+1)</f>
        <v/>
      </c>
      <c r="CJ19" s="22" t="str">
        <f t="shared" si="58"/>
        <v/>
      </c>
    </row>
    <row r="20" spans="2:88" x14ac:dyDescent="0.25">
      <c r="B20" s="37"/>
      <c r="C20" s="3"/>
      <c r="D20" s="77" t="str">
        <f t="shared" si="59"/>
        <v/>
      </c>
      <c r="E20" s="38"/>
      <c r="F20" s="38"/>
      <c r="G20" s="78">
        <f t="shared" si="2"/>
        <v>0</v>
      </c>
      <c r="H20" s="3">
        <v>80</v>
      </c>
      <c r="I20" s="77" t="str">
        <f t="shared" si="3"/>
        <v/>
      </c>
      <c r="J20" s="76"/>
      <c r="K20" s="3"/>
      <c r="L20" s="39"/>
      <c r="M20" s="39"/>
      <c r="N20" s="39"/>
      <c r="O20" s="39"/>
      <c r="P20" s="39"/>
      <c r="Q20" s="39"/>
      <c r="R20" s="39"/>
      <c r="S20" s="39"/>
      <c r="T20" s="3" t="s">
        <v>645</v>
      </c>
      <c r="U20" s="77" t="str">
        <f t="shared" si="4"/>
        <v/>
      </c>
      <c r="V20" s="39">
        <v>1</v>
      </c>
      <c r="W20" s="79">
        <f t="shared" si="5"/>
        <v>0</v>
      </c>
      <c r="X20" s="3">
        <v>0</v>
      </c>
      <c r="Y20" s="77" t="str">
        <f t="shared" si="6"/>
        <v/>
      </c>
      <c r="Z20" s="3"/>
      <c r="AA20" s="37" t="str">
        <f t="shared" si="7"/>
        <v/>
      </c>
      <c r="AC20" s="40"/>
      <c r="AD20" s="7"/>
      <c r="AE20" s="77" t="str">
        <f t="shared" si="8"/>
        <v/>
      </c>
      <c r="AF20" s="81">
        <f t="shared" si="9"/>
        <v>0</v>
      </c>
      <c r="AG20" s="40"/>
      <c r="AH20" s="7"/>
      <c r="AI20" s="77" t="str">
        <f t="shared" si="10"/>
        <v/>
      </c>
      <c r="AJ20" s="81">
        <f t="shared" si="11"/>
        <v>0</v>
      </c>
      <c r="AK20" s="83">
        <f t="shared" si="12"/>
        <v>0</v>
      </c>
      <c r="AL20" s="83">
        <f t="shared" si="13"/>
        <v>0</v>
      </c>
      <c r="AN20" s="43">
        <f t="shared" si="14"/>
        <v>0</v>
      </c>
      <c r="AP20" t="str">
        <f t="shared" si="15"/>
        <v/>
      </c>
      <c r="AQ20" t="str">
        <f t="shared" si="16"/>
        <v/>
      </c>
      <c r="AR20" t="str">
        <f t="shared" si="17"/>
        <v/>
      </c>
      <c r="AS20" t="str">
        <f t="shared" si="18"/>
        <v/>
      </c>
      <c r="AT20" t="str">
        <f t="shared" si="19"/>
        <v/>
      </c>
      <c r="AU20" t="str">
        <f t="shared" si="20"/>
        <v/>
      </c>
      <c r="AV20" t="str">
        <f t="shared" si="21"/>
        <v/>
      </c>
      <c r="AW20" t="str">
        <f t="shared" si="22"/>
        <v xml:space="preserve">                              </v>
      </c>
      <c r="AX20" s="23">
        <f t="shared" si="23"/>
        <v>0</v>
      </c>
      <c r="AY20" s="49" t="str">
        <f t="shared" si="24"/>
        <v>000000000000000</v>
      </c>
      <c r="AZ20" s="23">
        <f t="shared" si="25"/>
        <v>0</v>
      </c>
      <c r="BA20" s="49" t="str">
        <f t="shared" si="26"/>
        <v>000000000000000</v>
      </c>
      <c r="BB20" s="23">
        <f t="shared" si="27"/>
        <v>0</v>
      </c>
      <c r="BC20" s="49" t="str">
        <f t="shared" si="28"/>
        <v>000000000000000</v>
      </c>
      <c r="BD20" s="23">
        <f t="shared" si="29"/>
        <v>0</v>
      </c>
      <c r="BE20" s="49" t="str">
        <f t="shared" si="30"/>
        <v>000000000000000</v>
      </c>
      <c r="BF20" s="23">
        <f t="shared" si="31"/>
        <v>0</v>
      </c>
      <c r="BG20" s="49" t="str">
        <f t="shared" si="32"/>
        <v>000000000000000</v>
      </c>
      <c r="BH20" s="23">
        <f t="shared" si="33"/>
        <v>0</v>
      </c>
      <c r="BI20" s="49" t="str">
        <f t="shared" si="34"/>
        <v>000000000000000</v>
      </c>
      <c r="BJ20" s="23">
        <f t="shared" si="35"/>
        <v>0</v>
      </c>
      <c r="BK20" s="49" t="str">
        <f t="shared" si="36"/>
        <v>000000000000000</v>
      </c>
      <c r="BL20" s="23">
        <f t="shared" si="37"/>
        <v>0</v>
      </c>
      <c r="BM20" s="49" t="str">
        <f t="shared" si="38"/>
        <v>000000000000000</v>
      </c>
      <c r="BN20" t="str">
        <f t="shared" si="39"/>
        <v>PES</v>
      </c>
      <c r="BO20" t="str">
        <f t="shared" si="40"/>
        <v>0001000000</v>
      </c>
      <c r="BP20">
        <f t="shared" si="41"/>
        <v>0</v>
      </c>
      <c r="BQ20">
        <f t="shared" si="42"/>
        <v>0</v>
      </c>
      <c r="BR20" s="23">
        <f t="shared" si="43"/>
        <v>0</v>
      </c>
      <c r="BS20" s="49" t="str">
        <f t="shared" si="44"/>
        <v>000000000000000</v>
      </c>
      <c r="BT20" t="str">
        <f t="shared" si="45"/>
        <v>00000000</v>
      </c>
      <c r="BU20" s="23">
        <f t="shared" si="46"/>
        <v>0</v>
      </c>
      <c r="BV20" s="49" t="str">
        <f t="shared" si="47"/>
        <v/>
      </c>
      <c r="BW20" s="52" t="str">
        <f t="shared" si="48"/>
        <v/>
      </c>
      <c r="BX20" s="23">
        <f t="shared" si="49"/>
        <v>0</v>
      </c>
      <c r="BY20" s="49" t="str">
        <f t="shared" si="50"/>
        <v/>
      </c>
      <c r="BZ20" s="23">
        <f t="shared" si="51"/>
        <v>0</v>
      </c>
      <c r="CA20" s="49" t="str">
        <f t="shared" si="52"/>
        <v/>
      </c>
      <c r="CB20" s="52" t="str">
        <f t="shared" si="53"/>
        <v/>
      </c>
      <c r="CC20" s="23">
        <f t="shared" si="54"/>
        <v>0</v>
      </c>
      <c r="CD20" s="49" t="str">
        <f t="shared" si="55"/>
        <v/>
      </c>
      <c r="CE20" s="56" t="str">
        <f>IF(CF20="","",MAX(CE$10:$CE19)+1)</f>
        <v/>
      </c>
      <c r="CF20" t="str">
        <f t="shared" si="56"/>
        <v/>
      </c>
      <c r="CG20" s="22" t="str">
        <f>IF(CH20="","",MAX($CG$10:CG19)+1)</f>
        <v/>
      </c>
      <c r="CH20" s="22" t="str">
        <f t="shared" si="57"/>
        <v/>
      </c>
      <c r="CI20" s="22" t="str">
        <f>IF(CJ20="","",MAX($CI$10:CI19)+1)</f>
        <v/>
      </c>
      <c r="CJ20" s="22" t="str">
        <f t="shared" si="58"/>
        <v/>
      </c>
    </row>
    <row r="21" spans="2:88" x14ac:dyDescent="0.25">
      <c r="B21" s="37"/>
      <c r="C21" s="3"/>
      <c r="D21" s="77" t="str">
        <f t="shared" si="59"/>
        <v/>
      </c>
      <c r="E21" s="38"/>
      <c r="F21" s="38"/>
      <c r="G21" s="78">
        <f t="shared" si="2"/>
        <v>0</v>
      </c>
      <c r="H21" s="3">
        <v>80</v>
      </c>
      <c r="I21" s="77" t="str">
        <f t="shared" si="3"/>
        <v/>
      </c>
      <c r="J21" s="76"/>
      <c r="K21" s="3"/>
      <c r="L21" s="39"/>
      <c r="M21" s="39"/>
      <c r="N21" s="39"/>
      <c r="O21" s="39"/>
      <c r="P21" s="39"/>
      <c r="Q21" s="39"/>
      <c r="R21" s="39"/>
      <c r="S21" s="39"/>
      <c r="T21" s="3" t="s">
        <v>645</v>
      </c>
      <c r="U21" s="77" t="str">
        <f t="shared" si="4"/>
        <v/>
      </c>
      <c r="V21" s="39">
        <v>1</v>
      </c>
      <c r="W21" s="79">
        <f t="shared" si="5"/>
        <v>0</v>
      </c>
      <c r="X21" s="3">
        <v>0</v>
      </c>
      <c r="Y21" s="77" t="str">
        <f t="shared" si="6"/>
        <v/>
      </c>
      <c r="Z21" s="3"/>
      <c r="AA21" s="37" t="str">
        <f t="shared" si="7"/>
        <v/>
      </c>
      <c r="AC21" s="40"/>
      <c r="AD21" s="7"/>
      <c r="AE21" s="77" t="str">
        <f t="shared" si="8"/>
        <v/>
      </c>
      <c r="AF21" s="81">
        <f t="shared" si="9"/>
        <v>0</v>
      </c>
      <c r="AG21" s="40"/>
      <c r="AH21" s="7"/>
      <c r="AI21" s="77" t="str">
        <f t="shared" si="10"/>
        <v/>
      </c>
      <c r="AJ21" s="81">
        <f t="shared" si="11"/>
        <v>0</v>
      </c>
      <c r="AK21" s="83">
        <f t="shared" si="12"/>
        <v>0</v>
      </c>
      <c r="AL21" s="83">
        <f t="shared" si="13"/>
        <v>0</v>
      </c>
      <c r="AN21" s="43">
        <f t="shared" si="14"/>
        <v>0</v>
      </c>
      <c r="AP21" t="str">
        <f t="shared" si="15"/>
        <v/>
      </c>
      <c r="AQ21" t="str">
        <f t="shared" si="16"/>
        <v/>
      </c>
      <c r="AR21" t="str">
        <f t="shared" si="17"/>
        <v/>
      </c>
      <c r="AS21" t="str">
        <f t="shared" si="18"/>
        <v/>
      </c>
      <c r="AT21" t="str">
        <f t="shared" si="19"/>
        <v/>
      </c>
      <c r="AU21" t="str">
        <f t="shared" si="20"/>
        <v/>
      </c>
      <c r="AV21" t="str">
        <f t="shared" si="21"/>
        <v/>
      </c>
      <c r="AW21" t="str">
        <f t="shared" si="22"/>
        <v xml:space="preserve">                              </v>
      </c>
      <c r="AX21" s="23">
        <f t="shared" si="23"/>
        <v>0</v>
      </c>
      <c r="AY21" s="49" t="str">
        <f t="shared" si="24"/>
        <v>000000000000000</v>
      </c>
      <c r="AZ21" s="23">
        <f t="shared" si="25"/>
        <v>0</v>
      </c>
      <c r="BA21" s="49" t="str">
        <f t="shared" si="26"/>
        <v>000000000000000</v>
      </c>
      <c r="BB21" s="23">
        <f t="shared" si="27"/>
        <v>0</v>
      </c>
      <c r="BC21" s="49" t="str">
        <f t="shared" si="28"/>
        <v>000000000000000</v>
      </c>
      <c r="BD21" s="23">
        <f t="shared" si="29"/>
        <v>0</v>
      </c>
      <c r="BE21" s="49" t="str">
        <f t="shared" si="30"/>
        <v>000000000000000</v>
      </c>
      <c r="BF21" s="23">
        <f t="shared" si="31"/>
        <v>0</v>
      </c>
      <c r="BG21" s="49" t="str">
        <f t="shared" si="32"/>
        <v>000000000000000</v>
      </c>
      <c r="BH21" s="23">
        <f t="shared" si="33"/>
        <v>0</v>
      </c>
      <c r="BI21" s="49" t="str">
        <f t="shared" si="34"/>
        <v>000000000000000</v>
      </c>
      <c r="BJ21" s="23">
        <f t="shared" si="35"/>
        <v>0</v>
      </c>
      <c r="BK21" s="49" t="str">
        <f t="shared" si="36"/>
        <v>000000000000000</v>
      </c>
      <c r="BL21" s="23">
        <f t="shared" si="37"/>
        <v>0</v>
      </c>
      <c r="BM21" s="49" t="str">
        <f t="shared" si="38"/>
        <v>000000000000000</v>
      </c>
      <c r="BN21" t="str">
        <f t="shared" si="39"/>
        <v>PES</v>
      </c>
      <c r="BO21" t="str">
        <f t="shared" si="40"/>
        <v>0001000000</v>
      </c>
      <c r="BP21">
        <f t="shared" si="41"/>
        <v>0</v>
      </c>
      <c r="BQ21">
        <f t="shared" si="42"/>
        <v>0</v>
      </c>
      <c r="BR21" s="23">
        <f t="shared" si="43"/>
        <v>0</v>
      </c>
      <c r="BS21" s="49" t="str">
        <f t="shared" si="44"/>
        <v>000000000000000</v>
      </c>
      <c r="BT21" t="str">
        <f t="shared" si="45"/>
        <v>00000000</v>
      </c>
      <c r="BU21" s="23">
        <f t="shared" si="46"/>
        <v>0</v>
      </c>
      <c r="BV21" s="49" t="str">
        <f t="shared" si="47"/>
        <v/>
      </c>
      <c r="BW21" s="52" t="str">
        <f t="shared" si="48"/>
        <v/>
      </c>
      <c r="BX21" s="23">
        <f t="shared" si="49"/>
        <v>0</v>
      </c>
      <c r="BY21" s="49" t="str">
        <f t="shared" si="50"/>
        <v/>
      </c>
      <c r="BZ21" s="23">
        <f t="shared" si="51"/>
        <v>0</v>
      </c>
      <c r="CA21" s="49" t="str">
        <f t="shared" si="52"/>
        <v/>
      </c>
      <c r="CB21" s="52" t="str">
        <f t="shared" si="53"/>
        <v/>
      </c>
      <c r="CC21" s="23">
        <f t="shared" si="54"/>
        <v>0</v>
      </c>
      <c r="CD21" s="49" t="str">
        <f t="shared" si="55"/>
        <v/>
      </c>
      <c r="CE21" s="56" t="str">
        <f>IF(CF21="","",MAX(CE$10:$CE20)+1)</f>
        <v/>
      </c>
      <c r="CF21" t="str">
        <f t="shared" si="56"/>
        <v/>
      </c>
      <c r="CG21" s="22" t="str">
        <f>IF(CH21="","",MAX($CG$10:CG20)+1)</f>
        <v/>
      </c>
      <c r="CH21" s="22" t="str">
        <f t="shared" si="57"/>
        <v/>
      </c>
      <c r="CI21" s="22" t="str">
        <f>IF(CJ21="","",MAX($CI$10:CI20)+1)</f>
        <v/>
      </c>
      <c r="CJ21" s="22" t="str">
        <f t="shared" si="58"/>
        <v/>
      </c>
    </row>
    <row r="22" spans="2:88" x14ac:dyDescent="0.25">
      <c r="B22" s="37"/>
      <c r="C22" s="3"/>
      <c r="D22" s="77" t="str">
        <f t="shared" si="59"/>
        <v/>
      </c>
      <c r="E22" s="38"/>
      <c r="F22" s="38"/>
      <c r="G22" s="78">
        <f t="shared" si="2"/>
        <v>0</v>
      </c>
      <c r="H22" s="3">
        <v>80</v>
      </c>
      <c r="I22" s="77" t="str">
        <f t="shared" si="3"/>
        <v/>
      </c>
      <c r="J22" s="76"/>
      <c r="K22" s="3"/>
      <c r="L22" s="39"/>
      <c r="M22" s="39"/>
      <c r="N22" s="39"/>
      <c r="O22" s="39"/>
      <c r="P22" s="39"/>
      <c r="Q22" s="39"/>
      <c r="R22" s="39"/>
      <c r="S22" s="39"/>
      <c r="T22" s="3" t="s">
        <v>645</v>
      </c>
      <c r="U22" s="77" t="str">
        <f t="shared" si="4"/>
        <v/>
      </c>
      <c r="V22" s="39">
        <v>1</v>
      </c>
      <c r="W22" s="79">
        <f t="shared" si="5"/>
        <v>0</v>
      </c>
      <c r="X22" s="3">
        <v>0</v>
      </c>
      <c r="Y22" s="77" t="str">
        <f t="shared" si="6"/>
        <v/>
      </c>
      <c r="Z22" s="3"/>
      <c r="AA22" s="37" t="str">
        <f t="shared" si="7"/>
        <v/>
      </c>
      <c r="AC22" s="40"/>
      <c r="AD22" s="7"/>
      <c r="AE22" s="77" t="str">
        <f t="shared" si="8"/>
        <v/>
      </c>
      <c r="AF22" s="81">
        <f t="shared" si="9"/>
        <v>0</v>
      </c>
      <c r="AG22" s="40"/>
      <c r="AH22" s="7"/>
      <c r="AI22" s="77" t="str">
        <f t="shared" si="10"/>
        <v/>
      </c>
      <c r="AJ22" s="81">
        <f t="shared" si="11"/>
        <v>0</v>
      </c>
      <c r="AK22" s="83">
        <f t="shared" si="12"/>
        <v>0</v>
      </c>
      <c r="AL22" s="83">
        <f t="shared" si="13"/>
        <v>0</v>
      </c>
      <c r="AN22" s="43">
        <f t="shared" si="14"/>
        <v>0</v>
      </c>
      <c r="AP22" t="str">
        <f t="shared" si="15"/>
        <v/>
      </c>
      <c r="AQ22" t="str">
        <f t="shared" si="16"/>
        <v/>
      </c>
      <c r="AR22" t="str">
        <f t="shared" si="17"/>
        <v/>
      </c>
      <c r="AS22" t="str">
        <f t="shared" si="18"/>
        <v/>
      </c>
      <c r="AT22" t="str">
        <f t="shared" si="19"/>
        <v/>
      </c>
      <c r="AU22" t="str">
        <f t="shared" si="20"/>
        <v/>
      </c>
      <c r="AV22" t="str">
        <f t="shared" si="21"/>
        <v/>
      </c>
      <c r="AW22" t="str">
        <f t="shared" si="22"/>
        <v xml:space="preserve">                              </v>
      </c>
      <c r="AX22" s="23">
        <f t="shared" si="23"/>
        <v>0</v>
      </c>
      <c r="AY22" s="49" t="str">
        <f t="shared" si="24"/>
        <v>000000000000000</v>
      </c>
      <c r="AZ22" s="23">
        <f t="shared" si="25"/>
        <v>0</v>
      </c>
      <c r="BA22" s="49" t="str">
        <f t="shared" si="26"/>
        <v>000000000000000</v>
      </c>
      <c r="BB22" s="23">
        <f t="shared" si="27"/>
        <v>0</v>
      </c>
      <c r="BC22" s="49" t="str">
        <f t="shared" si="28"/>
        <v>000000000000000</v>
      </c>
      <c r="BD22" s="23">
        <f t="shared" si="29"/>
        <v>0</v>
      </c>
      <c r="BE22" s="49" t="str">
        <f t="shared" si="30"/>
        <v>000000000000000</v>
      </c>
      <c r="BF22" s="23">
        <f t="shared" si="31"/>
        <v>0</v>
      </c>
      <c r="BG22" s="49" t="str">
        <f t="shared" si="32"/>
        <v>000000000000000</v>
      </c>
      <c r="BH22" s="23">
        <f t="shared" si="33"/>
        <v>0</v>
      </c>
      <c r="BI22" s="49" t="str">
        <f t="shared" si="34"/>
        <v>000000000000000</v>
      </c>
      <c r="BJ22" s="23">
        <f t="shared" si="35"/>
        <v>0</v>
      </c>
      <c r="BK22" s="49" t="str">
        <f t="shared" si="36"/>
        <v>000000000000000</v>
      </c>
      <c r="BL22" s="23">
        <f t="shared" si="37"/>
        <v>0</v>
      </c>
      <c r="BM22" s="49" t="str">
        <f t="shared" si="38"/>
        <v>000000000000000</v>
      </c>
      <c r="BN22" t="str">
        <f t="shared" si="39"/>
        <v>PES</v>
      </c>
      <c r="BO22" t="str">
        <f t="shared" si="40"/>
        <v>0001000000</v>
      </c>
      <c r="BP22">
        <f t="shared" si="41"/>
        <v>0</v>
      </c>
      <c r="BQ22">
        <f t="shared" si="42"/>
        <v>0</v>
      </c>
      <c r="BR22" s="23">
        <f t="shared" si="43"/>
        <v>0</v>
      </c>
      <c r="BS22" s="49" t="str">
        <f t="shared" si="44"/>
        <v>000000000000000</v>
      </c>
      <c r="BT22" t="str">
        <f t="shared" si="45"/>
        <v>00000000</v>
      </c>
      <c r="BU22" s="23">
        <f t="shared" si="46"/>
        <v>0</v>
      </c>
      <c r="BV22" s="49" t="str">
        <f t="shared" si="47"/>
        <v/>
      </c>
      <c r="BW22" s="52" t="str">
        <f t="shared" si="48"/>
        <v/>
      </c>
      <c r="BX22" s="23">
        <f t="shared" si="49"/>
        <v>0</v>
      </c>
      <c r="BY22" s="49" t="str">
        <f t="shared" si="50"/>
        <v/>
      </c>
      <c r="BZ22" s="23">
        <f t="shared" si="51"/>
        <v>0</v>
      </c>
      <c r="CA22" s="49" t="str">
        <f t="shared" si="52"/>
        <v/>
      </c>
      <c r="CB22" s="52" t="str">
        <f t="shared" si="53"/>
        <v/>
      </c>
      <c r="CC22" s="23">
        <f t="shared" si="54"/>
        <v>0</v>
      </c>
      <c r="CD22" s="49" t="str">
        <f t="shared" si="55"/>
        <v/>
      </c>
      <c r="CE22" s="56" t="str">
        <f>IF(CF22="","",MAX(CE$10:$CE21)+1)</f>
        <v/>
      </c>
      <c r="CF22" t="str">
        <f t="shared" si="56"/>
        <v/>
      </c>
      <c r="CG22" s="22" t="str">
        <f>IF(CH22="","",MAX($CG$10:CG21)+1)</f>
        <v/>
      </c>
      <c r="CH22" s="22" t="str">
        <f t="shared" si="57"/>
        <v/>
      </c>
      <c r="CI22" s="22" t="str">
        <f>IF(CJ22="","",MAX($CI$10:CI21)+1)</f>
        <v/>
      </c>
      <c r="CJ22" s="22" t="str">
        <f t="shared" si="58"/>
        <v/>
      </c>
    </row>
    <row r="23" spans="2:88" x14ac:dyDescent="0.25">
      <c r="B23" s="37"/>
      <c r="C23" s="3"/>
      <c r="D23" s="77" t="str">
        <f t="shared" si="59"/>
        <v/>
      </c>
      <c r="E23" s="38"/>
      <c r="F23" s="38"/>
      <c r="G23" s="78">
        <f t="shared" si="2"/>
        <v>0</v>
      </c>
      <c r="H23" s="3">
        <v>80</v>
      </c>
      <c r="I23" s="77" t="str">
        <f t="shared" si="3"/>
        <v/>
      </c>
      <c r="J23" s="76"/>
      <c r="K23" s="3"/>
      <c r="L23" s="39"/>
      <c r="M23" s="39"/>
      <c r="N23" s="39"/>
      <c r="O23" s="39"/>
      <c r="P23" s="39"/>
      <c r="Q23" s="39"/>
      <c r="R23" s="39"/>
      <c r="S23" s="39"/>
      <c r="T23" s="3" t="s">
        <v>645</v>
      </c>
      <c r="U23" s="77" t="str">
        <f t="shared" si="4"/>
        <v/>
      </c>
      <c r="V23" s="39">
        <v>1</v>
      </c>
      <c r="W23" s="79">
        <f t="shared" si="5"/>
        <v>0</v>
      </c>
      <c r="X23" s="3">
        <v>0</v>
      </c>
      <c r="Y23" s="77" t="str">
        <f t="shared" si="6"/>
        <v/>
      </c>
      <c r="Z23" s="3"/>
      <c r="AA23" s="37" t="str">
        <f t="shared" si="7"/>
        <v/>
      </c>
      <c r="AC23" s="40"/>
      <c r="AD23" s="7"/>
      <c r="AE23" s="77" t="str">
        <f t="shared" si="8"/>
        <v/>
      </c>
      <c r="AF23" s="81">
        <f t="shared" si="9"/>
        <v>0</v>
      </c>
      <c r="AG23" s="40"/>
      <c r="AH23" s="7"/>
      <c r="AI23" s="77" t="str">
        <f t="shared" si="10"/>
        <v/>
      </c>
      <c r="AJ23" s="81">
        <f t="shared" si="11"/>
        <v>0</v>
      </c>
      <c r="AK23" s="83">
        <f t="shared" si="12"/>
        <v>0</v>
      </c>
      <c r="AL23" s="83">
        <f t="shared" si="13"/>
        <v>0</v>
      </c>
      <c r="AN23" s="43">
        <f t="shared" si="14"/>
        <v>0</v>
      </c>
      <c r="AP23" t="str">
        <f t="shared" si="15"/>
        <v/>
      </c>
      <c r="AQ23" t="str">
        <f t="shared" si="16"/>
        <v/>
      </c>
      <c r="AR23" t="str">
        <f t="shared" si="17"/>
        <v/>
      </c>
      <c r="AS23" t="str">
        <f t="shared" si="18"/>
        <v/>
      </c>
      <c r="AT23" t="str">
        <f t="shared" si="19"/>
        <v/>
      </c>
      <c r="AU23" t="str">
        <f t="shared" si="20"/>
        <v/>
      </c>
      <c r="AV23" t="str">
        <f t="shared" si="21"/>
        <v/>
      </c>
      <c r="AW23" t="str">
        <f t="shared" si="22"/>
        <v xml:space="preserve">                              </v>
      </c>
      <c r="AX23" s="23">
        <f t="shared" si="23"/>
        <v>0</v>
      </c>
      <c r="AY23" s="49" t="str">
        <f t="shared" si="24"/>
        <v>000000000000000</v>
      </c>
      <c r="AZ23" s="23">
        <f t="shared" si="25"/>
        <v>0</v>
      </c>
      <c r="BA23" s="49" t="str">
        <f t="shared" si="26"/>
        <v>000000000000000</v>
      </c>
      <c r="BB23" s="23">
        <f t="shared" si="27"/>
        <v>0</v>
      </c>
      <c r="BC23" s="49" t="str">
        <f t="shared" si="28"/>
        <v>000000000000000</v>
      </c>
      <c r="BD23" s="23">
        <f t="shared" si="29"/>
        <v>0</v>
      </c>
      <c r="BE23" s="49" t="str">
        <f t="shared" si="30"/>
        <v>000000000000000</v>
      </c>
      <c r="BF23" s="23">
        <f t="shared" si="31"/>
        <v>0</v>
      </c>
      <c r="BG23" s="49" t="str">
        <f t="shared" si="32"/>
        <v>000000000000000</v>
      </c>
      <c r="BH23" s="23">
        <f t="shared" si="33"/>
        <v>0</v>
      </c>
      <c r="BI23" s="49" t="str">
        <f t="shared" si="34"/>
        <v>000000000000000</v>
      </c>
      <c r="BJ23" s="23">
        <f t="shared" si="35"/>
        <v>0</v>
      </c>
      <c r="BK23" s="49" t="str">
        <f t="shared" si="36"/>
        <v>000000000000000</v>
      </c>
      <c r="BL23" s="23">
        <f t="shared" si="37"/>
        <v>0</v>
      </c>
      <c r="BM23" s="49" t="str">
        <f t="shared" si="38"/>
        <v>000000000000000</v>
      </c>
      <c r="BN23" t="str">
        <f t="shared" si="39"/>
        <v>PES</v>
      </c>
      <c r="BO23" t="str">
        <f t="shared" si="40"/>
        <v>0001000000</v>
      </c>
      <c r="BP23">
        <f t="shared" si="41"/>
        <v>0</v>
      </c>
      <c r="BQ23">
        <f t="shared" si="42"/>
        <v>0</v>
      </c>
      <c r="BR23" s="23">
        <f t="shared" si="43"/>
        <v>0</v>
      </c>
      <c r="BS23" s="49" t="str">
        <f t="shared" si="44"/>
        <v>000000000000000</v>
      </c>
      <c r="BT23" t="str">
        <f t="shared" si="45"/>
        <v>00000000</v>
      </c>
      <c r="BU23" s="23">
        <f t="shared" si="46"/>
        <v>0</v>
      </c>
      <c r="BV23" s="49" t="str">
        <f t="shared" si="47"/>
        <v/>
      </c>
      <c r="BW23" s="52" t="str">
        <f t="shared" si="48"/>
        <v/>
      </c>
      <c r="BX23" s="23">
        <f t="shared" si="49"/>
        <v>0</v>
      </c>
      <c r="BY23" s="49" t="str">
        <f t="shared" si="50"/>
        <v/>
      </c>
      <c r="BZ23" s="23">
        <f t="shared" si="51"/>
        <v>0</v>
      </c>
      <c r="CA23" s="49" t="str">
        <f t="shared" si="52"/>
        <v/>
      </c>
      <c r="CB23" s="52" t="str">
        <f t="shared" si="53"/>
        <v/>
      </c>
      <c r="CC23" s="23">
        <f t="shared" si="54"/>
        <v>0</v>
      </c>
      <c r="CD23" s="49" t="str">
        <f t="shared" si="55"/>
        <v/>
      </c>
      <c r="CE23" s="56" t="str">
        <f>IF(CF23="","",MAX(CE$10:$CE22)+1)</f>
        <v/>
      </c>
      <c r="CF23" t="str">
        <f t="shared" si="56"/>
        <v/>
      </c>
      <c r="CG23" s="22" t="str">
        <f>IF(CH23="","",MAX($CG$10:CG22)+1)</f>
        <v/>
      </c>
      <c r="CH23" s="22" t="str">
        <f t="shared" si="57"/>
        <v/>
      </c>
      <c r="CI23" s="22" t="str">
        <f>IF(CJ23="","",MAX($CI$10:CI22)+1)</f>
        <v/>
      </c>
      <c r="CJ23" s="22" t="str">
        <f t="shared" si="58"/>
        <v/>
      </c>
    </row>
    <row r="24" spans="2:88" x14ac:dyDescent="0.25">
      <c r="B24" s="37"/>
      <c r="C24" s="3"/>
      <c r="D24" s="77" t="str">
        <f t="shared" si="59"/>
        <v/>
      </c>
      <c r="E24" s="38"/>
      <c r="F24" s="38"/>
      <c r="G24" s="78">
        <f t="shared" si="2"/>
        <v>0</v>
      </c>
      <c r="H24" s="3">
        <v>80</v>
      </c>
      <c r="I24" s="77" t="str">
        <f t="shared" si="3"/>
        <v/>
      </c>
      <c r="J24" s="76"/>
      <c r="K24" s="3"/>
      <c r="L24" s="39"/>
      <c r="M24" s="39"/>
      <c r="N24" s="39"/>
      <c r="O24" s="39"/>
      <c r="P24" s="39"/>
      <c r="Q24" s="39"/>
      <c r="R24" s="39"/>
      <c r="S24" s="39"/>
      <c r="T24" s="3" t="s">
        <v>645</v>
      </c>
      <c r="U24" s="77" t="str">
        <f t="shared" si="4"/>
        <v/>
      </c>
      <c r="V24" s="39">
        <v>1</v>
      </c>
      <c r="W24" s="79">
        <f t="shared" si="5"/>
        <v>0</v>
      </c>
      <c r="X24" s="3">
        <v>0</v>
      </c>
      <c r="Y24" s="77" t="str">
        <f t="shared" si="6"/>
        <v/>
      </c>
      <c r="Z24" s="3"/>
      <c r="AA24" s="37" t="str">
        <f t="shared" si="7"/>
        <v/>
      </c>
      <c r="AC24" s="40"/>
      <c r="AD24" s="7"/>
      <c r="AE24" s="77" t="str">
        <f t="shared" si="8"/>
        <v/>
      </c>
      <c r="AF24" s="81">
        <f t="shared" si="9"/>
        <v>0</v>
      </c>
      <c r="AG24" s="40"/>
      <c r="AH24" s="7"/>
      <c r="AI24" s="77" t="str">
        <f t="shared" si="10"/>
        <v/>
      </c>
      <c r="AJ24" s="81">
        <f t="shared" si="11"/>
        <v>0</v>
      </c>
      <c r="AK24" s="83">
        <f t="shared" si="12"/>
        <v>0</v>
      </c>
      <c r="AL24" s="83">
        <f t="shared" si="13"/>
        <v>0</v>
      </c>
      <c r="AN24" s="43">
        <f t="shared" si="14"/>
        <v>0</v>
      </c>
      <c r="AP24" t="str">
        <f t="shared" si="15"/>
        <v/>
      </c>
      <c r="AQ24" t="str">
        <f t="shared" si="16"/>
        <v/>
      </c>
      <c r="AR24" t="str">
        <f t="shared" si="17"/>
        <v/>
      </c>
      <c r="AS24" t="str">
        <f t="shared" si="18"/>
        <v/>
      </c>
      <c r="AT24" t="str">
        <f t="shared" si="19"/>
        <v/>
      </c>
      <c r="AU24" t="str">
        <f t="shared" si="20"/>
        <v/>
      </c>
      <c r="AV24" t="str">
        <f t="shared" si="21"/>
        <v/>
      </c>
      <c r="AW24" t="str">
        <f t="shared" si="22"/>
        <v xml:space="preserve">                              </v>
      </c>
      <c r="AX24" s="23">
        <f t="shared" si="23"/>
        <v>0</v>
      </c>
      <c r="AY24" s="49" t="str">
        <f t="shared" si="24"/>
        <v>000000000000000</v>
      </c>
      <c r="AZ24" s="23">
        <f t="shared" si="25"/>
        <v>0</v>
      </c>
      <c r="BA24" s="49" t="str">
        <f t="shared" si="26"/>
        <v>000000000000000</v>
      </c>
      <c r="BB24" s="23">
        <f t="shared" si="27"/>
        <v>0</v>
      </c>
      <c r="BC24" s="49" t="str">
        <f t="shared" si="28"/>
        <v>000000000000000</v>
      </c>
      <c r="BD24" s="23">
        <f t="shared" si="29"/>
        <v>0</v>
      </c>
      <c r="BE24" s="49" t="str">
        <f t="shared" si="30"/>
        <v>000000000000000</v>
      </c>
      <c r="BF24" s="23">
        <f t="shared" si="31"/>
        <v>0</v>
      </c>
      <c r="BG24" s="49" t="str">
        <f t="shared" si="32"/>
        <v>000000000000000</v>
      </c>
      <c r="BH24" s="23">
        <f t="shared" si="33"/>
        <v>0</v>
      </c>
      <c r="BI24" s="49" t="str">
        <f t="shared" si="34"/>
        <v>000000000000000</v>
      </c>
      <c r="BJ24" s="23">
        <f t="shared" si="35"/>
        <v>0</v>
      </c>
      <c r="BK24" s="49" t="str">
        <f t="shared" si="36"/>
        <v>000000000000000</v>
      </c>
      <c r="BL24" s="23">
        <f t="shared" si="37"/>
        <v>0</v>
      </c>
      <c r="BM24" s="49" t="str">
        <f t="shared" si="38"/>
        <v>000000000000000</v>
      </c>
      <c r="BN24" t="str">
        <f t="shared" si="39"/>
        <v>PES</v>
      </c>
      <c r="BO24" t="str">
        <f t="shared" si="40"/>
        <v>0001000000</v>
      </c>
      <c r="BP24">
        <f t="shared" si="41"/>
        <v>0</v>
      </c>
      <c r="BQ24">
        <f t="shared" si="42"/>
        <v>0</v>
      </c>
      <c r="BR24" s="23">
        <f t="shared" si="43"/>
        <v>0</v>
      </c>
      <c r="BS24" s="49" t="str">
        <f t="shared" si="44"/>
        <v>000000000000000</v>
      </c>
      <c r="BT24" t="str">
        <f t="shared" si="45"/>
        <v>00000000</v>
      </c>
      <c r="BU24" s="23">
        <f t="shared" si="46"/>
        <v>0</v>
      </c>
      <c r="BV24" s="49" t="str">
        <f t="shared" si="47"/>
        <v/>
      </c>
      <c r="BW24" s="52" t="str">
        <f t="shared" si="48"/>
        <v/>
      </c>
      <c r="BX24" s="23">
        <f t="shared" si="49"/>
        <v>0</v>
      </c>
      <c r="BY24" s="49" t="str">
        <f t="shared" si="50"/>
        <v/>
      </c>
      <c r="BZ24" s="23">
        <f t="shared" si="51"/>
        <v>0</v>
      </c>
      <c r="CA24" s="49" t="str">
        <f t="shared" si="52"/>
        <v/>
      </c>
      <c r="CB24" s="52" t="str">
        <f t="shared" si="53"/>
        <v/>
      </c>
      <c r="CC24" s="23">
        <f t="shared" si="54"/>
        <v>0</v>
      </c>
      <c r="CD24" s="49" t="str">
        <f t="shared" si="55"/>
        <v/>
      </c>
      <c r="CE24" s="56" t="str">
        <f>IF(CF24="","",MAX(CE$10:$CE23)+1)</f>
        <v/>
      </c>
      <c r="CF24" t="str">
        <f t="shared" si="56"/>
        <v/>
      </c>
      <c r="CG24" s="22" t="str">
        <f>IF(CH24="","",MAX($CG$10:CG23)+1)</f>
        <v/>
      </c>
      <c r="CH24" s="22" t="str">
        <f t="shared" si="57"/>
        <v/>
      </c>
      <c r="CI24" s="22" t="str">
        <f>IF(CJ24="","",MAX($CI$10:CI23)+1)</f>
        <v/>
      </c>
      <c r="CJ24" s="22" t="str">
        <f t="shared" si="58"/>
        <v/>
      </c>
    </row>
    <row r="25" spans="2:88" x14ac:dyDescent="0.25">
      <c r="B25" s="37"/>
      <c r="C25" s="3"/>
      <c r="D25" s="77" t="str">
        <f t="shared" si="59"/>
        <v/>
      </c>
      <c r="E25" s="38"/>
      <c r="F25" s="38"/>
      <c r="G25" s="78">
        <f t="shared" si="2"/>
        <v>0</v>
      </c>
      <c r="H25" s="3">
        <v>80</v>
      </c>
      <c r="I25" s="77" t="str">
        <f t="shared" si="3"/>
        <v/>
      </c>
      <c r="J25" s="76"/>
      <c r="K25" s="3"/>
      <c r="L25" s="39"/>
      <c r="M25" s="39"/>
      <c r="N25" s="39"/>
      <c r="O25" s="39"/>
      <c r="P25" s="39"/>
      <c r="Q25" s="39"/>
      <c r="R25" s="39"/>
      <c r="S25" s="39"/>
      <c r="T25" s="3" t="s">
        <v>645</v>
      </c>
      <c r="U25" s="77" t="str">
        <f t="shared" si="4"/>
        <v/>
      </c>
      <c r="V25" s="39">
        <v>1</v>
      </c>
      <c r="W25" s="79">
        <f t="shared" si="5"/>
        <v>0</v>
      </c>
      <c r="X25" s="3">
        <v>0</v>
      </c>
      <c r="Y25" s="77" t="str">
        <f t="shared" si="6"/>
        <v/>
      </c>
      <c r="Z25" s="3"/>
      <c r="AA25" s="37" t="str">
        <f t="shared" si="7"/>
        <v/>
      </c>
      <c r="AC25" s="40"/>
      <c r="AD25" s="7"/>
      <c r="AE25" s="77" t="str">
        <f t="shared" si="8"/>
        <v/>
      </c>
      <c r="AF25" s="81">
        <f t="shared" si="9"/>
        <v>0</v>
      </c>
      <c r="AG25" s="40"/>
      <c r="AH25" s="7"/>
      <c r="AI25" s="77" t="str">
        <f t="shared" si="10"/>
        <v/>
      </c>
      <c r="AJ25" s="81">
        <f t="shared" si="11"/>
        <v>0</v>
      </c>
      <c r="AK25" s="83">
        <f t="shared" si="12"/>
        <v>0</v>
      </c>
      <c r="AL25" s="83">
        <f t="shared" si="13"/>
        <v>0</v>
      </c>
      <c r="AN25" s="43">
        <f t="shared" si="14"/>
        <v>0</v>
      </c>
      <c r="AP25" t="str">
        <f t="shared" si="15"/>
        <v/>
      </c>
      <c r="AQ25" t="str">
        <f t="shared" si="16"/>
        <v/>
      </c>
      <c r="AR25" t="str">
        <f t="shared" si="17"/>
        <v/>
      </c>
      <c r="AS25" t="str">
        <f t="shared" si="18"/>
        <v/>
      </c>
      <c r="AT25" t="str">
        <f t="shared" si="19"/>
        <v/>
      </c>
      <c r="AU25" t="str">
        <f t="shared" si="20"/>
        <v/>
      </c>
      <c r="AV25" t="str">
        <f t="shared" si="21"/>
        <v/>
      </c>
      <c r="AW25" t="str">
        <f t="shared" si="22"/>
        <v xml:space="preserve">                              </v>
      </c>
      <c r="AX25" s="23">
        <f t="shared" si="23"/>
        <v>0</v>
      </c>
      <c r="AY25" s="49" t="str">
        <f t="shared" si="24"/>
        <v>000000000000000</v>
      </c>
      <c r="AZ25" s="23">
        <f t="shared" si="25"/>
        <v>0</v>
      </c>
      <c r="BA25" s="49" t="str">
        <f t="shared" si="26"/>
        <v>000000000000000</v>
      </c>
      <c r="BB25" s="23">
        <f t="shared" si="27"/>
        <v>0</v>
      </c>
      <c r="BC25" s="49" t="str">
        <f t="shared" si="28"/>
        <v>000000000000000</v>
      </c>
      <c r="BD25" s="23">
        <f t="shared" si="29"/>
        <v>0</v>
      </c>
      <c r="BE25" s="49" t="str">
        <f t="shared" si="30"/>
        <v>000000000000000</v>
      </c>
      <c r="BF25" s="23">
        <f t="shared" si="31"/>
        <v>0</v>
      </c>
      <c r="BG25" s="49" t="str">
        <f t="shared" si="32"/>
        <v>000000000000000</v>
      </c>
      <c r="BH25" s="23">
        <f t="shared" si="33"/>
        <v>0</v>
      </c>
      <c r="BI25" s="49" t="str">
        <f t="shared" si="34"/>
        <v>000000000000000</v>
      </c>
      <c r="BJ25" s="23">
        <f t="shared" si="35"/>
        <v>0</v>
      </c>
      <c r="BK25" s="49" t="str">
        <f t="shared" si="36"/>
        <v>000000000000000</v>
      </c>
      <c r="BL25" s="23">
        <f t="shared" si="37"/>
        <v>0</v>
      </c>
      <c r="BM25" s="49" t="str">
        <f t="shared" si="38"/>
        <v>000000000000000</v>
      </c>
      <c r="BN25" t="str">
        <f t="shared" si="39"/>
        <v>PES</v>
      </c>
      <c r="BO25" t="str">
        <f t="shared" si="40"/>
        <v>0001000000</v>
      </c>
      <c r="BP25">
        <f t="shared" si="41"/>
        <v>0</v>
      </c>
      <c r="BQ25">
        <f t="shared" si="42"/>
        <v>0</v>
      </c>
      <c r="BR25" s="23">
        <f t="shared" si="43"/>
        <v>0</v>
      </c>
      <c r="BS25" s="49" t="str">
        <f t="shared" si="44"/>
        <v>000000000000000</v>
      </c>
      <c r="BT25" t="str">
        <f t="shared" si="45"/>
        <v>00000000</v>
      </c>
      <c r="BU25" s="23">
        <f t="shared" si="46"/>
        <v>0</v>
      </c>
      <c r="BV25" s="49" t="str">
        <f t="shared" si="47"/>
        <v/>
      </c>
      <c r="BW25" s="52" t="str">
        <f t="shared" si="48"/>
        <v/>
      </c>
      <c r="BX25" s="23">
        <f t="shared" si="49"/>
        <v>0</v>
      </c>
      <c r="BY25" s="49" t="str">
        <f t="shared" si="50"/>
        <v/>
      </c>
      <c r="BZ25" s="23">
        <f t="shared" si="51"/>
        <v>0</v>
      </c>
      <c r="CA25" s="49" t="str">
        <f t="shared" si="52"/>
        <v/>
      </c>
      <c r="CB25" s="52" t="str">
        <f t="shared" si="53"/>
        <v/>
      </c>
      <c r="CC25" s="23">
        <f t="shared" si="54"/>
        <v>0</v>
      </c>
      <c r="CD25" s="49" t="str">
        <f t="shared" si="55"/>
        <v/>
      </c>
      <c r="CE25" s="56" t="str">
        <f>IF(CF25="","",MAX(CE$10:$CE24)+1)</f>
        <v/>
      </c>
      <c r="CF25" t="str">
        <f t="shared" si="56"/>
        <v/>
      </c>
      <c r="CG25" s="22" t="str">
        <f>IF(CH25="","",MAX($CG$10:CG24)+1)</f>
        <v/>
      </c>
      <c r="CH25" s="22" t="str">
        <f t="shared" si="57"/>
        <v/>
      </c>
      <c r="CI25" s="22" t="str">
        <f>IF(CJ25="","",MAX($CI$10:CI24)+1)</f>
        <v/>
      </c>
      <c r="CJ25" s="22" t="str">
        <f t="shared" si="58"/>
        <v/>
      </c>
    </row>
    <row r="26" spans="2:88" x14ac:dyDescent="0.25">
      <c r="B26" s="37"/>
      <c r="C26" s="3"/>
      <c r="D26" s="77" t="str">
        <f t="shared" si="59"/>
        <v/>
      </c>
      <c r="E26" s="38"/>
      <c r="F26" s="38"/>
      <c r="G26" s="78">
        <f t="shared" si="2"/>
        <v>0</v>
      </c>
      <c r="H26" s="3">
        <v>80</v>
      </c>
      <c r="I26" s="77" t="str">
        <f t="shared" si="3"/>
        <v/>
      </c>
      <c r="J26" s="76"/>
      <c r="K26" s="3"/>
      <c r="L26" s="39"/>
      <c r="M26" s="39"/>
      <c r="N26" s="39"/>
      <c r="O26" s="39"/>
      <c r="P26" s="39"/>
      <c r="Q26" s="39"/>
      <c r="R26" s="39"/>
      <c r="S26" s="39"/>
      <c r="T26" s="3" t="s">
        <v>645</v>
      </c>
      <c r="U26" s="77" t="str">
        <f t="shared" si="4"/>
        <v/>
      </c>
      <c r="V26" s="39">
        <v>1</v>
      </c>
      <c r="W26" s="79">
        <f t="shared" si="5"/>
        <v>0</v>
      </c>
      <c r="X26" s="3">
        <v>0</v>
      </c>
      <c r="Y26" s="77" t="str">
        <f t="shared" si="6"/>
        <v/>
      </c>
      <c r="Z26" s="3"/>
      <c r="AA26" s="37" t="str">
        <f t="shared" si="7"/>
        <v/>
      </c>
      <c r="AC26" s="40"/>
      <c r="AD26" s="7"/>
      <c r="AE26" s="77" t="str">
        <f t="shared" si="8"/>
        <v/>
      </c>
      <c r="AF26" s="81">
        <f t="shared" si="9"/>
        <v>0</v>
      </c>
      <c r="AG26" s="40"/>
      <c r="AH26" s="7"/>
      <c r="AI26" s="77" t="str">
        <f t="shared" si="10"/>
        <v/>
      </c>
      <c r="AJ26" s="81">
        <f t="shared" si="11"/>
        <v>0</v>
      </c>
      <c r="AK26" s="83">
        <f t="shared" si="12"/>
        <v>0</v>
      </c>
      <c r="AL26" s="83">
        <f t="shared" si="13"/>
        <v>0</v>
      </c>
      <c r="AN26" s="43">
        <f t="shared" si="14"/>
        <v>0</v>
      </c>
      <c r="AP26" t="str">
        <f t="shared" si="15"/>
        <v/>
      </c>
      <c r="AQ26" t="str">
        <f t="shared" si="16"/>
        <v/>
      </c>
      <c r="AR26" t="str">
        <f t="shared" si="17"/>
        <v/>
      </c>
      <c r="AS26" t="str">
        <f t="shared" si="18"/>
        <v/>
      </c>
      <c r="AT26" t="str">
        <f t="shared" si="19"/>
        <v/>
      </c>
      <c r="AU26" t="str">
        <f t="shared" si="20"/>
        <v/>
      </c>
      <c r="AV26" t="str">
        <f t="shared" si="21"/>
        <v/>
      </c>
      <c r="AW26" t="str">
        <f t="shared" si="22"/>
        <v xml:space="preserve">                              </v>
      </c>
      <c r="AX26" s="23">
        <f t="shared" si="23"/>
        <v>0</v>
      </c>
      <c r="AY26" s="49" t="str">
        <f t="shared" si="24"/>
        <v>000000000000000</v>
      </c>
      <c r="AZ26" s="23">
        <f t="shared" si="25"/>
        <v>0</v>
      </c>
      <c r="BA26" s="49" t="str">
        <f t="shared" si="26"/>
        <v>000000000000000</v>
      </c>
      <c r="BB26" s="23">
        <f t="shared" si="27"/>
        <v>0</v>
      </c>
      <c r="BC26" s="49" t="str">
        <f t="shared" si="28"/>
        <v>000000000000000</v>
      </c>
      <c r="BD26" s="23">
        <f t="shared" si="29"/>
        <v>0</v>
      </c>
      <c r="BE26" s="49" t="str">
        <f t="shared" si="30"/>
        <v>000000000000000</v>
      </c>
      <c r="BF26" s="23">
        <f t="shared" si="31"/>
        <v>0</v>
      </c>
      <c r="BG26" s="49" t="str">
        <f t="shared" si="32"/>
        <v>000000000000000</v>
      </c>
      <c r="BH26" s="23">
        <f t="shared" si="33"/>
        <v>0</v>
      </c>
      <c r="BI26" s="49" t="str">
        <f t="shared" si="34"/>
        <v>000000000000000</v>
      </c>
      <c r="BJ26" s="23">
        <f t="shared" si="35"/>
        <v>0</v>
      </c>
      <c r="BK26" s="49" t="str">
        <f t="shared" si="36"/>
        <v>000000000000000</v>
      </c>
      <c r="BL26" s="23">
        <f t="shared" si="37"/>
        <v>0</v>
      </c>
      <c r="BM26" s="49" t="str">
        <f t="shared" si="38"/>
        <v>000000000000000</v>
      </c>
      <c r="BN26" t="str">
        <f t="shared" si="39"/>
        <v>PES</v>
      </c>
      <c r="BO26" t="str">
        <f t="shared" si="40"/>
        <v>0001000000</v>
      </c>
      <c r="BP26">
        <f t="shared" si="41"/>
        <v>0</v>
      </c>
      <c r="BQ26">
        <f t="shared" si="42"/>
        <v>0</v>
      </c>
      <c r="BR26" s="23">
        <f t="shared" si="43"/>
        <v>0</v>
      </c>
      <c r="BS26" s="49" t="str">
        <f t="shared" si="44"/>
        <v>000000000000000</v>
      </c>
      <c r="BT26" t="str">
        <f t="shared" si="45"/>
        <v>00000000</v>
      </c>
      <c r="BU26" s="23">
        <f t="shared" si="46"/>
        <v>0</v>
      </c>
      <c r="BV26" s="49" t="str">
        <f t="shared" si="47"/>
        <v/>
      </c>
      <c r="BW26" s="52" t="str">
        <f t="shared" si="48"/>
        <v/>
      </c>
      <c r="BX26" s="23">
        <f t="shared" si="49"/>
        <v>0</v>
      </c>
      <c r="BY26" s="49" t="str">
        <f t="shared" si="50"/>
        <v/>
      </c>
      <c r="BZ26" s="23">
        <f t="shared" si="51"/>
        <v>0</v>
      </c>
      <c r="CA26" s="49" t="str">
        <f t="shared" si="52"/>
        <v/>
      </c>
      <c r="CB26" s="52" t="str">
        <f t="shared" si="53"/>
        <v/>
      </c>
      <c r="CC26" s="23">
        <f t="shared" si="54"/>
        <v>0</v>
      </c>
      <c r="CD26" s="49" t="str">
        <f t="shared" si="55"/>
        <v/>
      </c>
      <c r="CE26" s="56" t="str">
        <f>IF(CF26="","",MAX(CE$10:$CE25)+1)</f>
        <v/>
      </c>
      <c r="CF26" t="str">
        <f t="shared" si="56"/>
        <v/>
      </c>
      <c r="CG26" s="22" t="str">
        <f>IF(CH26="","",MAX($CG$10:CG25)+1)</f>
        <v/>
      </c>
      <c r="CH26" s="22" t="str">
        <f t="shared" si="57"/>
        <v/>
      </c>
      <c r="CI26" s="22" t="str">
        <f>IF(CJ26="","",MAX($CI$10:CI25)+1)</f>
        <v/>
      </c>
      <c r="CJ26" s="22" t="str">
        <f t="shared" si="58"/>
        <v/>
      </c>
    </row>
    <row r="27" spans="2:88" x14ac:dyDescent="0.25">
      <c r="B27" s="37"/>
      <c r="C27" s="3"/>
      <c r="D27" s="77" t="str">
        <f t="shared" si="59"/>
        <v/>
      </c>
      <c r="E27" s="38"/>
      <c r="F27" s="38"/>
      <c r="G27" s="78">
        <f t="shared" si="2"/>
        <v>0</v>
      </c>
      <c r="H27" s="3">
        <v>80</v>
      </c>
      <c r="I27" s="77" t="str">
        <f t="shared" si="3"/>
        <v/>
      </c>
      <c r="J27" s="76"/>
      <c r="K27" s="3"/>
      <c r="L27" s="39"/>
      <c r="M27" s="39"/>
      <c r="N27" s="39"/>
      <c r="O27" s="39"/>
      <c r="P27" s="39"/>
      <c r="Q27" s="39"/>
      <c r="R27" s="39"/>
      <c r="S27" s="39"/>
      <c r="T27" s="3" t="s">
        <v>645</v>
      </c>
      <c r="U27" s="77" t="str">
        <f t="shared" si="4"/>
        <v/>
      </c>
      <c r="V27" s="39">
        <v>1</v>
      </c>
      <c r="W27" s="79">
        <f t="shared" si="5"/>
        <v>0</v>
      </c>
      <c r="X27" s="3">
        <v>0</v>
      </c>
      <c r="Y27" s="77" t="str">
        <f t="shared" si="6"/>
        <v/>
      </c>
      <c r="Z27" s="3"/>
      <c r="AA27" s="37" t="str">
        <f t="shared" si="7"/>
        <v/>
      </c>
      <c r="AC27" s="40"/>
      <c r="AD27" s="7"/>
      <c r="AE27" s="77" t="str">
        <f t="shared" si="8"/>
        <v/>
      </c>
      <c r="AF27" s="81">
        <f t="shared" si="9"/>
        <v>0</v>
      </c>
      <c r="AG27" s="40"/>
      <c r="AH27" s="7"/>
      <c r="AI27" s="77" t="str">
        <f t="shared" si="10"/>
        <v/>
      </c>
      <c r="AJ27" s="81">
        <f t="shared" si="11"/>
        <v>0</v>
      </c>
      <c r="AK27" s="83">
        <f t="shared" si="12"/>
        <v>0</v>
      </c>
      <c r="AL27" s="83">
        <f t="shared" si="13"/>
        <v>0</v>
      </c>
      <c r="AN27" s="43">
        <f t="shared" si="14"/>
        <v>0</v>
      </c>
      <c r="AP27" t="str">
        <f t="shared" si="15"/>
        <v/>
      </c>
      <c r="AQ27" t="str">
        <f t="shared" si="16"/>
        <v/>
      </c>
      <c r="AR27" t="str">
        <f t="shared" si="17"/>
        <v/>
      </c>
      <c r="AS27" t="str">
        <f t="shared" si="18"/>
        <v/>
      </c>
      <c r="AT27" t="str">
        <f t="shared" si="19"/>
        <v/>
      </c>
      <c r="AU27" t="str">
        <f t="shared" si="20"/>
        <v/>
      </c>
      <c r="AV27" t="str">
        <f t="shared" si="21"/>
        <v/>
      </c>
      <c r="AW27" t="str">
        <f t="shared" si="22"/>
        <v xml:space="preserve">                              </v>
      </c>
      <c r="AX27" s="23">
        <f t="shared" si="23"/>
        <v>0</v>
      </c>
      <c r="AY27" s="49" t="str">
        <f t="shared" si="24"/>
        <v>000000000000000</v>
      </c>
      <c r="AZ27" s="23">
        <f t="shared" si="25"/>
        <v>0</v>
      </c>
      <c r="BA27" s="49" t="str">
        <f t="shared" si="26"/>
        <v>000000000000000</v>
      </c>
      <c r="BB27" s="23">
        <f t="shared" si="27"/>
        <v>0</v>
      </c>
      <c r="BC27" s="49" t="str">
        <f t="shared" si="28"/>
        <v>000000000000000</v>
      </c>
      <c r="BD27" s="23">
        <f t="shared" si="29"/>
        <v>0</v>
      </c>
      <c r="BE27" s="49" t="str">
        <f t="shared" si="30"/>
        <v>000000000000000</v>
      </c>
      <c r="BF27" s="23">
        <f t="shared" si="31"/>
        <v>0</v>
      </c>
      <c r="BG27" s="49" t="str">
        <f t="shared" si="32"/>
        <v>000000000000000</v>
      </c>
      <c r="BH27" s="23">
        <f t="shared" si="33"/>
        <v>0</v>
      </c>
      <c r="BI27" s="49" t="str">
        <f t="shared" si="34"/>
        <v>000000000000000</v>
      </c>
      <c r="BJ27" s="23">
        <f t="shared" si="35"/>
        <v>0</v>
      </c>
      <c r="BK27" s="49" t="str">
        <f t="shared" si="36"/>
        <v>000000000000000</v>
      </c>
      <c r="BL27" s="23">
        <f t="shared" si="37"/>
        <v>0</v>
      </c>
      <c r="BM27" s="49" t="str">
        <f t="shared" si="38"/>
        <v>000000000000000</v>
      </c>
      <c r="BN27" t="str">
        <f t="shared" si="39"/>
        <v>PES</v>
      </c>
      <c r="BO27" t="str">
        <f t="shared" si="40"/>
        <v>0001000000</v>
      </c>
      <c r="BP27">
        <f t="shared" si="41"/>
        <v>0</v>
      </c>
      <c r="BQ27">
        <f t="shared" si="42"/>
        <v>0</v>
      </c>
      <c r="BR27" s="23">
        <f t="shared" si="43"/>
        <v>0</v>
      </c>
      <c r="BS27" s="49" t="str">
        <f t="shared" si="44"/>
        <v>000000000000000</v>
      </c>
      <c r="BT27" t="str">
        <f t="shared" si="45"/>
        <v>00000000</v>
      </c>
      <c r="BU27" s="23">
        <f t="shared" si="46"/>
        <v>0</v>
      </c>
      <c r="BV27" s="49" t="str">
        <f t="shared" si="47"/>
        <v/>
      </c>
      <c r="BW27" s="52" t="str">
        <f t="shared" si="48"/>
        <v/>
      </c>
      <c r="BX27" s="23">
        <f t="shared" si="49"/>
        <v>0</v>
      </c>
      <c r="BY27" s="49" t="str">
        <f t="shared" si="50"/>
        <v/>
      </c>
      <c r="BZ27" s="23">
        <f t="shared" si="51"/>
        <v>0</v>
      </c>
      <c r="CA27" s="49" t="str">
        <f t="shared" si="52"/>
        <v/>
      </c>
      <c r="CB27" s="52" t="str">
        <f t="shared" si="53"/>
        <v/>
      </c>
      <c r="CC27" s="23">
        <f t="shared" si="54"/>
        <v>0</v>
      </c>
      <c r="CD27" s="49" t="str">
        <f t="shared" si="55"/>
        <v/>
      </c>
      <c r="CE27" s="56" t="str">
        <f>IF(CF27="","",MAX(CE$10:$CE26)+1)</f>
        <v/>
      </c>
      <c r="CF27" t="str">
        <f t="shared" si="56"/>
        <v/>
      </c>
      <c r="CG27" s="22" t="str">
        <f>IF(CH27="","",MAX($CG$10:CG26)+1)</f>
        <v/>
      </c>
      <c r="CH27" s="22" t="str">
        <f t="shared" si="57"/>
        <v/>
      </c>
      <c r="CI27" s="22" t="str">
        <f>IF(CJ27="","",MAX($CI$10:CI26)+1)</f>
        <v/>
      </c>
      <c r="CJ27" s="22" t="str">
        <f t="shared" si="58"/>
        <v/>
      </c>
    </row>
    <row r="28" spans="2:88" x14ac:dyDescent="0.25">
      <c r="B28" s="37"/>
      <c r="C28" s="3"/>
      <c r="D28" s="77" t="str">
        <f t="shared" si="59"/>
        <v/>
      </c>
      <c r="E28" s="38"/>
      <c r="F28" s="38"/>
      <c r="G28" s="78">
        <f t="shared" si="2"/>
        <v>0</v>
      </c>
      <c r="H28" s="3">
        <v>80</v>
      </c>
      <c r="I28" s="77" t="str">
        <f t="shared" si="3"/>
        <v/>
      </c>
      <c r="J28" s="76"/>
      <c r="K28" s="3"/>
      <c r="L28" s="39"/>
      <c r="M28" s="39"/>
      <c r="N28" s="39"/>
      <c r="O28" s="39"/>
      <c r="P28" s="39"/>
      <c r="Q28" s="39"/>
      <c r="R28" s="39"/>
      <c r="S28" s="39"/>
      <c r="T28" s="3" t="s">
        <v>645</v>
      </c>
      <c r="U28" s="77" t="str">
        <f t="shared" si="4"/>
        <v/>
      </c>
      <c r="V28" s="39">
        <v>1</v>
      </c>
      <c r="W28" s="79">
        <f t="shared" si="5"/>
        <v>0</v>
      </c>
      <c r="X28" s="3">
        <v>0</v>
      </c>
      <c r="Y28" s="77" t="str">
        <f t="shared" si="6"/>
        <v/>
      </c>
      <c r="Z28" s="3"/>
      <c r="AA28" s="37" t="str">
        <f t="shared" si="7"/>
        <v/>
      </c>
      <c r="AC28" s="40"/>
      <c r="AD28" s="7"/>
      <c r="AE28" s="77" t="str">
        <f t="shared" si="8"/>
        <v/>
      </c>
      <c r="AF28" s="81">
        <f t="shared" si="9"/>
        <v>0</v>
      </c>
      <c r="AG28" s="40"/>
      <c r="AH28" s="7"/>
      <c r="AI28" s="77" t="str">
        <f t="shared" si="10"/>
        <v/>
      </c>
      <c r="AJ28" s="81">
        <f t="shared" si="11"/>
        <v>0</v>
      </c>
      <c r="AK28" s="83">
        <f t="shared" si="12"/>
        <v>0</v>
      </c>
      <c r="AL28" s="83">
        <f t="shared" si="13"/>
        <v>0</v>
      </c>
      <c r="AN28" s="43">
        <f t="shared" si="14"/>
        <v>0</v>
      </c>
      <c r="AP28" t="str">
        <f t="shared" si="15"/>
        <v/>
      </c>
      <c r="AQ28" t="str">
        <f t="shared" si="16"/>
        <v/>
      </c>
      <c r="AR28" t="str">
        <f t="shared" si="17"/>
        <v/>
      </c>
      <c r="AS28" t="str">
        <f t="shared" si="18"/>
        <v/>
      </c>
      <c r="AT28" t="str">
        <f t="shared" si="19"/>
        <v/>
      </c>
      <c r="AU28" t="str">
        <f t="shared" si="20"/>
        <v/>
      </c>
      <c r="AV28" t="str">
        <f t="shared" si="21"/>
        <v/>
      </c>
      <c r="AW28" t="str">
        <f t="shared" si="22"/>
        <v xml:space="preserve">                              </v>
      </c>
      <c r="AX28" s="23">
        <f t="shared" si="23"/>
        <v>0</v>
      </c>
      <c r="AY28" s="49" t="str">
        <f t="shared" si="24"/>
        <v>000000000000000</v>
      </c>
      <c r="AZ28" s="23">
        <f t="shared" si="25"/>
        <v>0</v>
      </c>
      <c r="BA28" s="49" t="str">
        <f t="shared" si="26"/>
        <v>000000000000000</v>
      </c>
      <c r="BB28" s="23">
        <f t="shared" si="27"/>
        <v>0</v>
      </c>
      <c r="BC28" s="49" t="str">
        <f t="shared" si="28"/>
        <v>000000000000000</v>
      </c>
      <c r="BD28" s="23">
        <f t="shared" si="29"/>
        <v>0</v>
      </c>
      <c r="BE28" s="49" t="str">
        <f t="shared" si="30"/>
        <v>000000000000000</v>
      </c>
      <c r="BF28" s="23">
        <f t="shared" si="31"/>
        <v>0</v>
      </c>
      <c r="BG28" s="49" t="str">
        <f t="shared" si="32"/>
        <v>000000000000000</v>
      </c>
      <c r="BH28" s="23">
        <f t="shared" si="33"/>
        <v>0</v>
      </c>
      <c r="BI28" s="49" t="str">
        <f t="shared" si="34"/>
        <v>000000000000000</v>
      </c>
      <c r="BJ28" s="23">
        <f t="shared" si="35"/>
        <v>0</v>
      </c>
      <c r="BK28" s="49" t="str">
        <f t="shared" si="36"/>
        <v>000000000000000</v>
      </c>
      <c r="BL28" s="23">
        <f t="shared" si="37"/>
        <v>0</v>
      </c>
      <c r="BM28" s="49" t="str">
        <f t="shared" si="38"/>
        <v>000000000000000</v>
      </c>
      <c r="BN28" t="str">
        <f t="shared" si="39"/>
        <v>PES</v>
      </c>
      <c r="BO28" t="str">
        <f t="shared" si="40"/>
        <v>0001000000</v>
      </c>
      <c r="BP28">
        <f t="shared" si="41"/>
        <v>0</v>
      </c>
      <c r="BQ28">
        <f t="shared" si="42"/>
        <v>0</v>
      </c>
      <c r="BR28" s="23">
        <f t="shared" si="43"/>
        <v>0</v>
      </c>
      <c r="BS28" s="49" t="str">
        <f t="shared" si="44"/>
        <v>000000000000000</v>
      </c>
      <c r="BT28" t="str">
        <f t="shared" si="45"/>
        <v>00000000</v>
      </c>
      <c r="BU28" s="23">
        <f t="shared" si="46"/>
        <v>0</v>
      </c>
      <c r="BV28" s="49" t="str">
        <f t="shared" si="47"/>
        <v/>
      </c>
      <c r="BW28" s="52" t="str">
        <f t="shared" si="48"/>
        <v/>
      </c>
      <c r="BX28" s="23">
        <f t="shared" si="49"/>
        <v>0</v>
      </c>
      <c r="BY28" s="49" t="str">
        <f t="shared" si="50"/>
        <v/>
      </c>
      <c r="BZ28" s="23">
        <f t="shared" si="51"/>
        <v>0</v>
      </c>
      <c r="CA28" s="49" t="str">
        <f t="shared" si="52"/>
        <v/>
      </c>
      <c r="CB28" s="52" t="str">
        <f t="shared" si="53"/>
        <v/>
      </c>
      <c r="CC28" s="23">
        <f t="shared" si="54"/>
        <v>0</v>
      </c>
      <c r="CD28" s="49" t="str">
        <f t="shared" si="55"/>
        <v/>
      </c>
      <c r="CE28" s="56" t="str">
        <f>IF(CF28="","",MAX(CE$10:$CE27)+1)</f>
        <v/>
      </c>
      <c r="CF28" t="str">
        <f t="shared" si="56"/>
        <v/>
      </c>
      <c r="CG28" s="22" t="str">
        <f>IF(CH28="","",MAX($CG$10:CG27)+1)</f>
        <v/>
      </c>
      <c r="CH28" s="22" t="str">
        <f t="shared" si="57"/>
        <v/>
      </c>
      <c r="CI28" s="22" t="str">
        <f>IF(CJ28="","",MAX($CI$10:CI27)+1)</f>
        <v/>
      </c>
      <c r="CJ28" s="22" t="str">
        <f t="shared" si="58"/>
        <v/>
      </c>
    </row>
    <row r="29" spans="2:88" x14ac:dyDescent="0.25">
      <c r="B29" s="37"/>
      <c r="C29" s="3"/>
      <c r="D29" s="77" t="str">
        <f t="shared" si="59"/>
        <v/>
      </c>
      <c r="E29" s="38"/>
      <c r="F29" s="38"/>
      <c r="G29" s="78">
        <f t="shared" si="2"/>
        <v>0</v>
      </c>
      <c r="H29" s="3">
        <v>80</v>
      </c>
      <c r="I29" s="77" t="str">
        <f t="shared" si="3"/>
        <v/>
      </c>
      <c r="J29" s="76"/>
      <c r="K29" s="3"/>
      <c r="L29" s="39"/>
      <c r="M29" s="39"/>
      <c r="N29" s="39"/>
      <c r="O29" s="39"/>
      <c r="P29" s="39"/>
      <c r="Q29" s="39"/>
      <c r="R29" s="39"/>
      <c r="S29" s="39"/>
      <c r="T29" s="3" t="s">
        <v>645</v>
      </c>
      <c r="U29" s="77" t="str">
        <f t="shared" si="4"/>
        <v/>
      </c>
      <c r="V29" s="39">
        <v>1</v>
      </c>
      <c r="W29" s="79">
        <f t="shared" si="5"/>
        <v>0</v>
      </c>
      <c r="X29" s="3">
        <v>0</v>
      </c>
      <c r="Y29" s="77" t="str">
        <f t="shared" si="6"/>
        <v/>
      </c>
      <c r="Z29" s="3"/>
      <c r="AA29" s="37" t="str">
        <f t="shared" si="7"/>
        <v/>
      </c>
      <c r="AC29" s="40"/>
      <c r="AD29" s="7"/>
      <c r="AE29" s="77" t="str">
        <f t="shared" si="8"/>
        <v/>
      </c>
      <c r="AF29" s="81">
        <f t="shared" si="9"/>
        <v>0</v>
      </c>
      <c r="AG29" s="40"/>
      <c r="AH29" s="7"/>
      <c r="AI29" s="77" t="str">
        <f t="shared" si="10"/>
        <v/>
      </c>
      <c r="AJ29" s="81">
        <f t="shared" si="11"/>
        <v>0</v>
      </c>
      <c r="AK29" s="83">
        <f t="shared" si="12"/>
        <v>0</v>
      </c>
      <c r="AL29" s="83">
        <f t="shared" si="13"/>
        <v>0</v>
      </c>
      <c r="AN29" s="43">
        <f t="shared" si="14"/>
        <v>0</v>
      </c>
      <c r="AP29" t="str">
        <f t="shared" si="15"/>
        <v/>
      </c>
      <c r="AQ29" t="str">
        <f t="shared" si="16"/>
        <v/>
      </c>
      <c r="AR29" t="str">
        <f t="shared" si="17"/>
        <v/>
      </c>
      <c r="AS29" t="str">
        <f t="shared" si="18"/>
        <v/>
      </c>
      <c r="AT29" t="str">
        <f t="shared" si="19"/>
        <v/>
      </c>
      <c r="AU29" t="str">
        <f t="shared" si="20"/>
        <v/>
      </c>
      <c r="AV29" t="str">
        <f t="shared" si="21"/>
        <v/>
      </c>
      <c r="AW29" t="str">
        <f t="shared" si="22"/>
        <v xml:space="preserve">                              </v>
      </c>
      <c r="AX29" s="23">
        <f t="shared" si="23"/>
        <v>0</v>
      </c>
      <c r="AY29" s="49" t="str">
        <f t="shared" si="24"/>
        <v>000000000000000</v>
      </c>
      <c r="AZ29" s="23">
        <f t="shared" si="25"/>
        <v>0</v>
      </c>
      <c r="BA29" s="49" t="str">
        <f t="shared" si="26"/>
        <v>000000000000000</v>
      </c>
      <c r="BB29" s="23">
        <f t="shared" si="27"/>
        <v>0</v>
      </c>
      <c r="BC29" s="49" t="str">
        <f t="shared" si="28"/>
        <v>000000000000000</v>
      </c>
      <c r="BD29" s="23">
        <f t="shared" si="29"/>
        <v>0</v>
      </c>
      <c r="BE29" s="49" t="str">
        <f t="shared" si="30"/>
        <v>000000000000000</v>
      </c>
      <c r="BF29" s="23">
        <f t="shared" si="31"/>
        <v>0</v>
      </c>
      <c r="BG29" s="49" t="str">
        <f t="shared" si="32"/>
        <v>000000000000000</v>
      </c>
      <c r="BH29" s="23">
        <f t="shared" si="33"/>
        <v>0</v>
      </c>
      <c r="BI29" s="49" t="str">
        <f t="shared" si="34"/>
        <v>000000000000000</v>
      </c>
      <c r="BJ29" s="23">
        <f t="shared" si="35"/>
        <v>0</v>
      </c>
      <c r="BK29" s="49" t="str">
        <f t="shared" si="36"/>
        <v>000000000000000</v>
      </c>
      <c r="BL29" s="23">
        <f t="shared" si="37"/>
        <v>0</v>
      </c>
      <c r="BM29" s="49" t="str">
        <f t="shared" si="38"/>
        <v>000000000000000</v>
      </c>
      <c r="BN29" t="str">
        <f t="shared" si="39"/>
        <v>PES</v>
      </c>
      <c r="BO29" t="str">
        <f t="shared" si="40"/>
        <v>0001000000</v>
      </c>
      <c r="BP29">
        <f t="shared" si="41"/>
        <v>0</v>
      </c>
      <c r="BQ29">
        <f t="shared" si="42"/>
        <v>0</v>
      </c>
      <c r="BR29" s="23">
        <f t="shared" si="43"/>
        <v>0</v>
      </c>
      <c r="BS29" s="49" t="str">
        <f t="shared" si="44"/>
        <v>000000000000000</v>
      </c>
      <c r="BT29" t="str">
        <f t="shared" si="45"/>
        <v>00000000</v>
      </c>
      <c r="BU29" s="23">
        <f t="shared" si="46"/>
        <v>0</v>
      </c>
      <c r="BV29" s="49" t="str">
        <f t="shared" si="47"/>
        <v/>
      </c>
      <c r="BW29" s="52" t="str">
        <f t="shared" si="48"/>
        <v/>
      </c>
      <c r="BX29" s="23">
        <f t="shared" si="49"/>
        <v>0</v>
      </c>
      <c r="BY29" s="49" t="str">
        <f t="shared" si="50"/>
        <v/>
      </c>
      <c r="BZ29" s="23">
        <f t="shared" si="51"/>
        <v>0</v>
      </c>
      <c r="CA29" s="49" t="str">
        <f t="shared" si="52"/>
        <v/>
      </c>
      <c r="CB29" s="52" t="str">
        <f t="shared" si="53"/>
        <v/>
      </c>
      <c r="CC29" s="23">
        <f t="shared" si="54"/>
        <v>0</v>
      </c>
      <c r="CD29" s="49" t="str">
        <f t="shared" si="55"/>
        <v/>
      </c>
      <c r="CE29" s="56" t="str">
        <f>IF(CF29="","",MAX(CE$10:$CE28)+1)</f>
        <v/>
      </c>
      <c r="CF29" t="str">
        <f t="shared" si="56"/>
        <v/>
      </c>
      <c r="CG29" s="22" t="str">
        <f>IF(CH29="","",MAX($CG$10:CG28)+1)</f>
        <v/>
      </c>
      <c r="CH29" s="22" t="str">
        <f t="shared" si="57"/>
        <v/>
      </c>
      <c r="CI29" s="22" t="str">
        <f>IF(CJ29="","",MAX($CI$10:CI28)+1)</f>
        <v/>
      </c>
      <c r="CJ29" s="22" t="str">
        <f t="shared" si="58"/>
        <v/>
      </c>
    </row>
    <row r="30" spans="2:88" x14ac:dyDescent="0.25">
      <c r="B30" s="37"/>
      <c r="C30" s="3"/>
      <c r="D30" s="77" t="str">
        <f t="shared" si="59"/>
        <v/>
      </c>
      <c r="E30" s="38"/>
      <c r="F30" s="38"/>
      <c r="G30" s="78">
        <f t="shared" si="2"/>
        <v>0</v>
      </c>
      <c r="H30" s="3">
        <v>80</v>
      </c>
      <c r="I30" s="77" t="str">
        <f t="shared" si="3"/>
        <v/>
      </c>
      <c r="J30" s="76"/>
      <c r="K30" s="3"/>
      <c r="L30" s="39"/>
      <c r="M30" s="39"/>
      <c r="N30" s="39"/>
      <c r="O30" s="39"/>
      <c r="P30" s="39"/>
      <c r="Q30" s="39"/>
      <c r="R30" s="39"/>
      <c r="S30" s="39"/>
      <c r="T30" s="3" t="s">
        <v>645</v>
      </c>
      <c r="U30" s="77" t="str">
        <f t="shared" si="4"/>
        <v/>
      </c>
      <c r="V30" s="39">
        <v>1</v>
      </c>
      <c r="W30" s="79">
        <f t="shared" si="5"/>
        <v>0</v>
      </c>
      <c r="X30" s="3">
        <v>0</v>
      </c>
      <c r="Y30" s="77" t="str">
        <f t="shared" si="6"/>
        <v/>
      </c>
      <c r="Z30" s="3"/>
      <c r="AA30" s="37" t="str">
        <f t="shared" si="7"/>
        <v/>
      </c>
      <c r="AC30" s="40"/>
      <c r="AD30" s="7"/>
      <c r="AE30" s="77" t="str">
        <f t="shared" si="8"/>
        <v/>
      </c>
      <c r="AF30" s="81">
        <f t="shared" si="9"/>
        <v>0</v>
      </c>
      <c r="AG30" s="40"/>
      <c r="AH30" s="7"/>
      <c r="AI30" s="77" t="str">
        <f t="shared" si="10"/>
        <v/>
      </c>
      <c r="AJ30" s="81">
        <f t="shared" si="11"/>
        <v>0</v>
      </c>
      <c r="AK30" s="83">
        <f t="shared" si="12"/>
        <v>0</v>
      </c>
      <c r="AL30" s="83">
        <f t="shared" si="13"/>
        <v>0</v>
      </c>
      <c r="AN30" s="43">
        <f t="shared" si="14"/>
        <v>0</v>
      </c>
      <c r="AP30" t="str">
        <f t="shared" si="15"/>
        <v/>
      </c>
      <c r="AQ30" t="str">
        <f t="shared" si="16"/>
        <v/>
      </c>
      <c r="AR30" t="str">
        <f t="shared" si="17"/>
        <v/>
      </c>
      <c r="AS30" t="str">
        <f t="shared" si="18"/>
        <v/>
      </c>
      <c r="AT30" t="str">
        <f t="shared" si="19"/>
        <v/>
      </c>
      <c r="AU30" t="str">
        <f t="shared" si="20"/>
        <v/>
      </c>
      <c r="AV30" t="str">
        <f t="shared" si="21"/>
        <v/>
      </c>
      <c r="AW30" t="str">
        <f t="shared" si="22"/>
        <v xml:space="preserve">                              </v>
      </c>
      <c r="AX30" s="23">
        <f t="shared" si="23"/>
        <v>0</v>
      </c>
      <c r="AY30" s="49" t="str">
        <f t="shared" si="24"/>
        <v>000000000000000</v>
      </c>
      <c r="AZ30" s="23">
        <f t="shared" si="25"/>
        <v>0</v>
      </c>
      <c r="BA30" s="49" t="str">
        <f t="shared" si="26"/>
        <v>000000000000000</v>
      </c>
      <c r="BB30" s="23">
        <f t="shared" si="27"/>
        <v>0</v>
      </c>
      <c r="BC30" s="49" t="str">
        <f t="shared" si="28"/>
        <v>000000000000000</v>
      </c>
      <c r="BD30" s="23">
        <f t="shared" si="29"/>
        <v>0</v>
      </c>
      <c r="BE30" s="49" t="str">
        <f t="shared" si="30"/>
        <v>000000000000000</v>
      </c>
      <c r="BF30" s="23">
        <f t="shared" si="31"/>
        <v>0</v>
      </c>
      <c r="BG30" s="49" t="str">
        <f t="shared" si="32"/>
        <v>000000000000000</v>
      </c>
      <c r="BH30" s="23">
        <f t="shared" si="33"/>
        <v>0</v>
      </c>
      <c r="BI30" s="49" t="str">
        <f t="shared" si="34"/>
        <v>000000000000000</v>
      </c>
      <c r="BJ30" s="23">
        <f t="shared" si="35"/>
        <v>0</v>
      </c>
      <c r="BK30" s="49" t="str">
        <f t="shared" si="36"/>
        <v>000000000000000</v>
      </c>
      <c r="BL30" s="23">
        <f t="shared" si="37"/>
        <v>0</v>
      </c>
      <c r="BM30" s="49" t="str">
        <f t="shared" si="38"/>
        <v>000000000000000</v>
      </c>
      <c r="BN30" t="str">
        <f t="shared" si="39"/>
        <v>PES</v>
      </c>
      <c r="BO30" t="str">
        <f t="shared" si="40"/>
        <v>0001000000</v>
      </c>
      <c r="BP30">
        <f t="shared" si="41"/>
        <v>0</v>
      </c>
      <c r="BQ30">
        <f t="shared" si="42"/>
        <v>0</v>
      </c>
      <c r="BR30" s="23">
        <f t="shared" si="43"/>
        <v>0</v>
      </c>
      <c r="BS30" s="49" t="str">
        <f t="shared" si="44"/>
        <v>000000000000000</v>
      </c>
      <c r="BT30" t="str">
        <f t="shared" si="45"/>
        <v>00000000</v>
      </c>
      <c r="BU30" s="23">
        <f t="shared" si="46"/>
        <v>0</v>
      </c>
      <c r="BV30" s="49" t="str">
        <f t="shared" si="47"/>
        <v/>
      </c>
      <c r="BW30" s="52" t="str">
        <f t="shared" si="48"/>
        <v/>
      </c>
      <c r="BX30" s="23">
        <f t="shared" si="49"/>
        <v>0</v>
      </c>
      <c r="BY30" s="49" t="str">
        <f t="shared" si="50"/>
        <v/>
      </c>
      <c r="BZ30" s="23">
        <f t="shared" si="51"/>
        <v>0</v>
      </c>
      <c r="CA30" s="49" t="str">
        <f t="shared" si="52"/>
        <v/>
      </c>
      <c r="CB30" s="52" t="str">
        <f t="shared" si="53"/>
        <v/>
      </c>
      <c r="CC30" s="23">
        <f t="shared" si="54"/>
        <v>0</v>
      </c>
      <c r="CD30" s="49" t="str">
        <f t="shared" si="55"/>
        <v/>
      </c>
      <c r="CE30" s="56" t="str">
        <f>IF(CF30="","",MAX(CE$10:$CE29)+1)</f>
        <v/>
      </c>
      <c r="CF30" t="str">
        <f t="shared" si="56"/>
        <v/>
      </c>
      <c r="CG30" s="22" t="str">
        <f>IF(CH30="","",MAX($CG$10:CG29)+1)</f>
        <v/>
      </c>
      <c r="CH30" s="22" t="str">
        <f t="shared" si="57"/>
        <v/>
      </c>
      <c r="CI30" s="22" t="str">
        <f>IF(CJ30="","",MAX($CI$10:CI29)+1)</f>
        <v/>
      </c>
      <c r="CJ30" s="22" t="str">
        <f t="shared" si="58"/>
        <v/>
      </c>
    </row>
    <row r="31" spans="2:88" x14ac:dyDescent="0.25">
      <c r="B31" s="37"/>
      <c r="C31" s="3"/>
      <c r="D31" s="77" t="str">
        <f t="shared" si="59"/>
        <v/>
      </c>
      <c r="E31" s="38"/>
      <c r="F31" s="38"/>
      <c r="G31" s="78">
        <f t="shared" si="2"/>
        <v>0</v>
      </c>
      <c r="H31" s="3">
        <v>80</v>
      </c>
      <c r="I31" s="77" t="str">
        <f t="shared" si="3"/>
        <v/>
      </c>
      <c r="J31" s="76"/>
      <c r="K31" s="3"/>
      <c r="L31" s="39"/>
      <c r="M31" s="39"/>
      <c r="N31" s="39"/>
      <c r="O31" s="39"/>
      <c r="P31" s="39"/>
      <c r="Q31" s="39"/>
      <c r="R31" s="39"/>
      <c r="S31" s="39"/>
      <c r="T31" s="3" t="s">
        <v>645</v>
      </c>
      <c r="U31" s="77" t="str">
        <f t="shared" si="4"/>
        <v/>
      </c>
      <c r="V31" s="39">
        <v>1</v>
      </c>
      <c r="W31" s="79">
        <f t="shared" si="5"/>
        <v>0</v>
      </c>
      <c r="X31" s="3">
        <v>0</v>
      </c>
      <c r="Y31" s="77" t="str">
        <f t="shared" si="6"/>
        <v/>
      </c>
      <c r="Z31" s="3"/>
      <c r="AA31" s="37" t="str">
        <f t="shared" si="7"/>
        <v/>
      </c>
      <c r="AC31" s="40"/>
      <c r="AD31" s="7"/>
      <c r="AE31" s="77" t="str">
        <f t="shared" si="8"/>
        <v/>
      </c>
      <c r="AF31" s="81">
        <f t="shared" si="9"/>
        <v>0</v>
      </c>
      <c r="AG31" s="40"/>
      <c r="AH31" s="7"/>
      <c r="AI31" s="77" t="str">
        <f t="shared" si="10"/>
        <v/>
      </c>
      <c r="AJ31" s="81">
        <f t="shared" si="11"/>
        <v>0</v>
      </c>
      <c r="AK31" s="83">
        <f t="shared" si="12"/>
        <v>0</v>
      </c>
      <c r="AL31" s="83">
        <f t="shared" si="13"/>
        <v>0</v>
      </c>
      <c r="AN31" s="43">
        <f t="shared" si="14"/>
        <v>0</v>
      </c>
      <c r="AP31" t="str">
        <f t="shared" si="15"/>
        <v/>
      </c>
      <c r="AQ31" t="str">
        <f t="shared" si="16"/>
        <v/>
      </c>
      <c r="AR31" t="str">
        <f t="shared" si="17"/>
        <v/>
      </c>
      <c r="AS31" t="str">
        <f t="shared" si="18"/>
        <v/>
      </c>
      <c r="AT31" t="str">
        <f t="shared" si="19"/>
        <v/>
      </c>
      <c r="AU31" t="str">
        <f t="shared" si="20"/>
        <v/>
      </c>
      <c r="AV31" t="str">
        <f t="shared" si="21"/>
        <v/>
      </c>
      <c r="AW31" t="str">
        <f t="shared" si="22"/>
        <v xml:space="preserve">                              </v>
      </c>
      <c r="AX31" s="23">
        <f t="shared" si="23"/>
        <v>0</v>
      </c>
      <c r="AY31" s="49" t="str">
        <f t="shared" si="24"/>
        <v>000000000000000</v>
      </c>
      <c r="AZ31" s="23">
        <f t="shared" si="25"/>
        <v>0</v>
      </c>
      <c r="BA31" s="49" t="str">
        <f t="shared" si="26"/>
        <v>000000000000000</v>
      </c>
      <c r="BB31" s="23">
        <f t="shared" si="27"/>
        <v>0</v>
      </c>
      <c r="BC31" s="49" t="str">
        <f t="shared" si="28"/>
        <v>000000000000000</v>
      </c>
      <c r="BD31" s="23">
        <f t="shared" si="29"/>
        <v>0</v>
      </c>
      <c r="BE31" s="49" t="str">
        <f t="shared" si="30"/>
        <v>000000000000000</v>
      </c>
      <c r="BF31" s="23">
        <f t="shared" si="31"/>
        <v>0</v>
      </c>
      <c r="BG31" s="49" t="str">
        <f t="shared" si="32"/>
        <v>000000000000000</v>
      </c>
      <c r="BH31" s="23">
        <f t="shared" si="33"/>
        <v>0</v>
      </c>
      <c r="BI31" s="49" t="str">
        <f t="shared" si="34"/>
        <v>000000000000000</v>
      </c>
      <c r="BJ31" s="23">
        <f t="shared" si="35"/>
        <v>0</v>
      </c>
      <c r="BK31" s="49" t="str">
        <f t="shared" si="36"/>
        <v>000000000000000</v>
      </c>
      <c r="BL31" s="23">
        <f t="shared" si="37"/>
        <v>0</v>
      </c>
      <c r="BM31" s="49" t="str">
        <f t="shared" si="38"/>
        <v>000000000000000</v>
      </c>
      <c r="BN31" t="str">
        <f t="shared" si="39"/>
        <v>PES</v>
      </c>
      <c r="BO31" t="str">
        <f t="shared" si="40"/>
        <v>0001000000</v>
      </c>
      <c r="BP31">
        <f t="shared" si="41"/>
        <v>0</v>
      </c>
      <c r="BQ31">
        <f t="shared" si="42"/>
        <v>0</v>
      </c>
      <c r="BR31" s="23">
        <f t="shared" si="43"/>
        <v>0</v>
      </c>
      <c r="BS31" s="49" t="str">
        <f t="shared" si="44"/>
        <v>000000000000000</v>
      </c>
      <c r="BT31" t="str">
        <f t="shared" si="45"/>
        <v>00000000</v>
      </c>
      <c r="BU31" s="23">
        <f t="shared" si="46"/>
        <v>0</v>
      </c>
      <c r="BV31" s="49" t="str">
        <f t="shared" si="47"/>
        <v/>
      </c>
      <c r="BW31" s="52" t="str">
        <f t="shared" si="48"/>
        <v/>
      </c>
      <c r="BX31" s="23">
        <f t="shared" si="49"/>
        <v>0</v>
      </c>
      <c r="BY31" s="49" t="str">
        <f t="shared" si="50"/>
        <v/>
      </c>
      <c r="BZ31" s="23">
        <f t="shared" si="51"/>
        <v>0</v>
      </c>
      <c r="CA31" s="49" t="str">
        <f t="shared" si="52"/>
        <v/>
      </c>
      <c r="CB31" s="52" t="str">
        <f t="shared" si="53"/>
        <v/>
      </c>
      <c r="CC31" s="23">
        <f t="shared" si="54"/>
        <v>0</v>
      </c>
      <c r="CD31" s="49" t="str">
        <f t="shared" si="55"/>
        <v/>
      </c>
      <c r="CE31" s="56" t="str">
        <f>IF(CF31="","",MAX(CE$10:$CE30)+1)</f>
        <v/>
      </c>
      <c r="CF31" t="str">
        <f t="shared" si="56"/>
        <v/>
      </c>
      <c r="CG31" s="22" t="str">
        <f>IF(CH31="","",MAX($CG$10:CG30)+1)</f>
        <v/>
      </c>
      <c r="CH31" s="22" t="str">
        <f t="shared" si="57"/>
        <v/>
      </c>
      <c r="CI31" s="22" t="str">
        <f>IF(CJ31="","",MAX($CI$10:CI30)+1)</f>
        <v/>
      </c>
      <c r="CJ31" s="22" t="str">
        <f t="shared" si="58"/>
        <v/>
      </c>
    </row>
    <row r="32" spans="2:88" x14ac:dyDescent="0.25">
      <c r="B32" s="37"/>
      <c r="C32" s="3"/>
      <c r="D32" s="77" t="str">
        <f t="shared" si="59"/>
        <v/>
      </c>
      <c r="E32" s="38"/>
      <c r="F32" s="38"/>
      <c r="G32" s="78">
        <f t="shared" si="2"/>
        <v>0</v>
      </c>
      <c r="H32" s="3">
        <v>80</v>
      </c>
      <c r="I32" s="77" t="str">
        <f t="shared" si="3"/>
        <v/>
      </c>
      <c r="J32" s="76"/>
      <c r="K32" s="3"/>
      <c r="L32" s="39"/>
      <c r="M32" s="39"/>
      <c r="N32" s="39"/>
      <c r="O32" s="39"/>
      <c r="P32" s="39"/>
      <c r="Q32" s="39"/>
      <c r="R32" s="39"/>
      <c r="S32" s="39"/>
      <c r="T32" s="3" t="s">
        <v>645</v>
      </c>
      <c r="U32" s="77" t="str">
        <f t="shared" si="4"/>
        <v/>
      </c>
      <c r="V32" s="39">
        <v>1</v>
      </c>
      <c r="W32" s="79">
        <f t="shared" si="5"/>
        <v>0</v>
      </c>
      <c r="X32" s="3">
        <v>0</v>
      </c>
      <c r="Y32" s="77" t="str">
        <f t="shared" si="6"/>
        <v/>
      </c>
      <c r="Z32" s="3"/>
      <c r="AA32" s="37" t="str">
        <f t="shared" si="7"/>
        <v/>
      </c>
      <c r="AC32" s="40"/>
      <c r="AD32" s="7"/>
      <c r="AE32" s="77" t="str">
        <f t="shared" si="8"/>
        <v/>
      </c>
      <c r="AF32" s="81">
        <f t="shared" si="9"/>
        <v>0</v>
      </c>
      <c r="AG32" s="40"/>
      <c r="AH32" s="7"/>
      <c r="AI32" s="77" t="str">
        <f t="shared" si="10"/>
        <v/>
      </c>
      <c r="AJ32" s="81">
        <f t="shared" si="11"/>
        <v>0</v>
      </c>
      <c r="AK32" s="83">
        <f t="shared" si="12"/>
        <v>0</v>
      </c>
      <c r="AL32" s="83">
        <f t="shared" si="13"/>
        <v>0</v>
      </c>
      <c r="AN32" s="43">
        <f t="shared" si="14"/>
        <v>0</v>
      </c>
      <c r="AP32" t="str">
        <f t="shared" si="15"/>
        <v/>
      </c>
      <c r="AQ32" t="str">
        <f t="shared" si="16"/>
        <v/>
      </c>
      <c r="AR32" t="str">
        <f t="shared" si="17"/>
        <v/>
      </c>
      <c r="AS32" t="str">
        <f t="shared" si="18"/>
        <v/>
      </c>
      <c r="AT32" t="str">
        <f t="shared" si="19"/>
        <v/>
      </c>
      <c r="AU32" t="str">
        <f t="shared" si="20"/>
        <v/>
      </c>
      <c r="AV32" t="str">
        <f t="shared" si="21"/>
        <v/>
      </c>
      <c r="AW32" t="str">
        <f t="shared" si="22"/>
        <v xml:space="preserve">                              </v>
      </c>
      <c r="AX32" s="23">
        <f t="shared" si="23"/>
        <v>0</v>
      </c>
      <c r="AY32" s="49" t="str">
        <f t="shared" si="24"/>
        <v>000000000000000</v>
      </c>
      <c r="AZ32" s="23">
        <f t="shared" si="25"/>
        <v>0</v>
      </c>
      <c r="BA32" s="49" t="str">
        <f t="shared" si="26"/>
        <v>000000000000000</v>
      </c>
      <c r="BB32" s="23">
        <f t="shared" si="27"/>
        <v>0</v>
      </c>
      <c r="BC32" s="49" t="str">
        <f t="shared" si="28"/>
        <v>000000000000000</v>
      </c>
      <c r="BD32" s="23">
        <f t="shared" si="29"/>
        <v>0</v>
      </c>
      <c r="BE32" s="49" t="str">
        <f t="shared" si="30"/>
        <v>000000000000000</v>
      </c>
      <c r="BF32" s="23">
        <f t="shared" si="31"/>
        <v>0</v>
      </c>
      <c r="BG32" s="49" t="str">
        <f t="shared" si="32"/>
        <v>000000000000000</v>
      </c>
      <c r="BH32" s="23">
        <f t="shared" si="33"/>
        <v>0</v>
      </c>
      <c r="BI32" s="49" t="str">
        <f t="shared" si="34"/>
        <v>000000000000000</v>
      </c>
      <c r="BJ32" s="23">
        <f t="shared" si="35"/>
        <v>0</v>
      </c>
      <c r="BK32" s="49" t="str">
        <f t="shared" si="36"/>
        <v>000000000000000</v>
      </c>
      <c r="BL32" s="23">
        <f t="shared" si="37"/>
        <v>0</v>
      </c>
      <c r="BM32" s="49" t="str">
        <f t="shared" si="38"/>
        <v>000000000000000</v>
      </c>
      <c r="BN32" t="str">
        <f t="shared" si="39"/>
        <v>PES</v>
      </c>
      <c r="BO32" t="str">
        <f t="shared" si="40"/>
        <v>0001000000</v>
      </c>
      <c r="BP32">
        <f t="shared" si="41"/>
        <v>0</v>
      </c>
      <c r="BQ32">
        <f t="shared" si="42"/>
        <v>0</v>
      </c>
      <c r="BR32" s="23">
        <f t="shared" si="43"/>
        <v>0</v>
      </c>
      <c r="BS32" s="49" t="str">
        <f t="shared" si="44"/>
        <v>000000000000000</v>
      </c>
      <c r="BT32" t="str">
        <f t="shared" si="45"/>
        <v>00000000</v>
      </c>
      <c r="BU32" s="23">
        <f t="shared" si="46"/>
        <v>0</v>
      </c>
      <c r="BV32" s="49" t="str">
        <f t="shared" si="47"/>
        <v/>
      </c>
      <c r="BW32" s="52" t="str">
        <f t="shared" si="48"/>
        <v/>
      </c>
      <c r="BX32" s="23">
        <f t="shared" si="49"/>
        <v>0</v>
      </c>
      <c r="BY32" s="49" t="str">
        <f t="shared" si="50"/>
        <v/>
      </c>
      <c r="BZ32" s="23">
        <f t="shared" si="51"/>
        <v>0</v>
      </c>
      <c r="CA32" s="49" t="str">
        <f t="shared" si="52"/>
        <v/>
      </c>
      <c r="CB32" s="52" t="str">
        <f t="shared" si="53"/>
        <v/>
      </c>
      <c r="CC32" s="23">
        <f t="shared" si="54"/>
        <v>0</v>
      </c>
      <c r="CD32" s="49" t="str">
        <f t="shared" si="55"/>
        <v/>
      </c>
      <c r="CE32" s="56" t="str">
        <f>IF(CF32="","",MAX(CE$10:$CE31)+1)</f>
        <v/>
      </c>
      <c r="CF32" t="str">
        <f t="shared" si="56"/>
        <v/>
      </c>
      <c r="CG32" s="22" t="str">
        <f>IF(CH32="","",MAX($CG$10:CG31)+1)</f>
        <v/>
      </c>
      <c r="CH32" s="22" t="str">
        <f t="shared" si="57"/>
        <v/>
      </c>
      <c r="CI32" s="22" t="str">
        <f>IF(CJ32="","",MAX($CI$10:CI31)+1)</f>
        <v/>
      </c>
      <c r="CJ32" s="22" t="str">
        <f t="shared" si="58"/>
        <v/>
      </c>
    </row>
    <row r="33" spans="2:88" x14ac:dyDescent="0.25">
      <c r="B33" s="37"/>
      <c r="C33" s="3"/>
      <c r="D33" s="77" t="str">
        <f t="shared" si="59"/>
        <v/>
      </c>
      <c r="E33" s="38"/>
      <c r="F33" s="38"/>
      <c r="G33" s="78">
        <f t="shared" si="2"/>
        <v>0</v>
      </c>
      <c r="H33" s="3">
        <v>80</v>
      </c>
      <c r="I33" s="77" t="str">
        <f t="shared" si="3"/>
        <v/>
      </c>
      <c r="J33" s="76"/>
      <c r="K33" s="3"/>
      <c r="L33" s="39"/>
      <c r="M33" s="39"/>
      <c r="N33" s="39"/>
      <c r="O33" s="39"/>
      <c r="P33" s="39"/>
      <c r="Q33" s="39"/>
      <c r="R33" s="39"/>
      <c r="S33" s="39"/>
      <c r="T33" s="3" t="s">
        <v>645</v>
      </c>
      <c r="U33" s="77" t="str">
        <f t="shared" si="4"/>
        <v/>
      </c>
      <c r="V33" s="39">
        <v>1</v>
      </c>
      <c r="W33" s="79">
        <f t="shared" si="5"/>
        <v>0</v>
      </c>
      <c r="X33" s="3">
        <v>0</v>
      </c>
      <c r="Y33" s="77" t="str">
        <f t="shared" si="6"/>
        <v/>
      </c>
      <c r="Z33" s="3"/>
      <c r="AA33" s="37" t="str">
        <f t="shared" si="7"/>
        <v/>
      </c>
      <c r="AC33" s="40"/>
      <c r="AD33" s="7"/>
      <c r="AE33" s="77" t="str">
        <f t="shared" si="8"/>
        <v/>
      </c>
      <c r="AF33" s="81">
        <f t="shared" si="9"/>
        <v>0</v>
      </c>
      <c r="AG33" s="40"/>
      <c r="AH33" s="7"/>
      <c r="AI33" s="77" t="str">
        <f t="shared" si="10"/>
        <v/>
      </c>
      <c r="AJ33" s="81">
        <f t="shared" si="11"/>
        <v>0</v>
      </c>
      <c r="AK33" s="83">
        <f t="shared" si="12"/>
        <v>0</v>
      </c>
      <c r="AL33" s="83">
        <f t="shared" si="13"/>
        <v>0</v>
      </c>
      <c r="AN33" s="43">
        <f t="shared" si="14"/>
        <v>0</v>
      </c>
      <c r="AP33" t="str">
        <f t="shared" si="15"/>
        <v/>
      </c>
      <c r="AQ33" t="str">
        <f t="shared" si="16"/>
        <v/>
      </c>
      <c r="AR33" t="str">
        <f t="shared" si="17"/>
        <v/>
      </c>
      <c r="AS33" t="str">
        <f t="shared" si="18"/>
        <v/>
      </c>
      <c r="AT33" t="str">
        <f t="shared" si="19"/>
        <v/>
      </c>
      <c r="AU33" t="str">
        <f t="shared" si="20"/>
        <v/>
      </c>
      <c r="AV33" t="str">
        <f t="shared" si="21"/>
        <v/>
      </c>
      <c r="AW33" t="str">
        <f t="shared" si="22"/>
        <v xml:space="preserve">                              </v>
      </c>
      <c r="AX33" s="23">
        <f t="shared" si="23"/>
        <v>0</v>
      </c>
      <c r="AY33" s="49" t="str">
        <f t="shared" si="24"/>
        <v>000000000000000</v>
      </c>
      <c r="AZ33" s="23">
        <f t="shared" si="25"/>
        <v>0</v>
      </c>
      <c r="BA33" s="49" t="str">
        <f t="shared" si="26"/>
        <v>000000000000000</v>
      </c>
      <c r="BB33" s="23">
        <f t="shared" si="27"/>
        <v>0</v>
      </c>
      <c r="BC33" s="49" t="str">
        <f t="shared" si="28"/>
        <v>000000000000000</v>
      </c>
      <c r="BD33" s="23">
        <f t="shared" si="29"/>
        <v>0</v>
      </c>
      <c r="BE33" s="49" t="str">
        <f t="shared" si="30"/>
        <v>000000000000000</v>
      </c>
      <c r="BF33" s="23">
        <f t="shared" si="31"/>
        <v>0</v>
      </c>
      <c r="BG33" s="49" t="str">
        <f t="shared" si="32"/>
        <v>000000000000000</v>
      </c>
      <c r="BH33" s="23">
        <f t="shared" si="33"/>
        <v>0</v>
      </c>
      <c r="BI33" s="49" t="str">
        <f t="shared" si="34"/>
        <v>000000000000000</v>
      </c>
      <c r="BJ33" s="23">
        <f t="shared" si="35"/>
        <v>0</v>
      </c>
      <c r="BK33" s="49" t="str">
        <f t="shared" si="36"/>
        <v>000000000000000</v>
      </c>
      <c r="BL33" s="23">
        <f t="shared" si="37"/>
        <v>0</v>
      </c>
      <c r="BM33" s="49" t="str">
        <f t="shared" si="38"/>
        <v>000000000000000</v>
      </c>
      <c r="BN33" t="str">
        <f t="shared" si="39"/>
        <v>PES</v>
      </c>
      <c r="BO33" t="str">
        <f t="shared" si="40"/>
        <v>0001000000</v>
      </c>
      <c r="BP33">
        <f t="shared" si="41"/>
        <v>0</v>
      </c>
      <c r="BQ33">
        <f t="shared" si="42"/>
        <v>0</v>
      </c>
      <c r="BR33" s="23">
        <f t="shared" si="43"/>
        <v>0</v>
      </c>
      <c r="BS33" s="49" t="str">
        <f t="shared" si="44"/>
        <v>000000000000000</v>
      </c>
      <c r="BT33" t="str">
        <f t="shared" si="45"/>
        <v>00000000</v>
      </c>
      <c r="BU33" s="23">
        <f t="shared" si="46"/>
        <v>0</v>
      </c>
      <c r="BV33" s="49" t="str">
        <f t="shared" si="47"/>
        <v/>
      </c>
      <c r="BW33" s="52" t="str">
        <f t="shared" si="48"/>
        <v/>
      </c>
      <c r="BX33" s="23">
        <f t="shared" si="49"/>
        <v>0</v>
      </c>
      <c r="BY33" s="49" t="str">
        <f t="shared" si="50"/>
        <v/>
      </c>
      <c r="BZ33" s="23">
        <f t="shared" si="51"/>
        <v>0</v>
      </c>
      <c r="CA33" s="49" t="str">
        <f t="shared" si="52"/>
        <v/>
      </c>
      <c r="CB33" s="52" t="str">
        <f t="shared" si="53"/>
        <v/>
      </c>
      <c r="CC33" s="23">
        <f t="shared" si="54"/>
        <v>0</v>
      </c>
      <c r="CD33" s="49" t="str">
        <f t="shared" si="55"/>
        <v/>
      </c>
      <c r="CE33" s="56" t="str">
        <f>IF(CF33="","",MAX(CE$10:$CE32)+1)</f>
        <v/>
      </c>
      <c r="CF33" t="str">
        <f t="shared" si="56"/>
        <v/>
      </c>
      <c r="CG33" s="22" t="str">
        <f>IF(CH33="","",MAX($CG$10:CG32)+1)</f>
        <v/>
      </c>
      <c r="CH33" s="22" t="str">
        <f t="shared" si="57"/>
        <v/>
      </c>
      <c r="CI33" s="22" t="str">
        <f>IF(CJ33="","",MAX($CI$10:CI32)+1)</f>
        <v/>
      </c>
      <c r="CJ33" s="22" t="str">
        <f t="shared" si="58"/>
        <v/>
      </c>
    </row>
    <row r="34" spans="2:88" x14ac:dyDescent="0.25">
      <c r="B34" s="37"/>
      <c r="C34" s="3"/>
      <c r="D34" s="77" t="str">
        <f t="shared" si="59"/>
        <v/>
      </c>
      <c r="E34" s="38"/>
      <c r="F34" s="38"/>
      <c r="G34" s="78">
        <f t="shared" si="2"/>
        <v>0</v>
      </c>
      <c r="H34" s="3">
        <v>80</v>
      </c>
      <c r="I34" s="77" t="str">
        <f t="shared" si="3"/>
        <v/>
      </c>
      <c r="J34" s="76"/>
      <c r="K34" s="3"/>
      <c r="L34" s="39"/>
      <c r="M34" s="39"/>
      <c r="N34" s="39"/>
      <c r="O34" s="39"/>
      <c r="P34" s="39"/>
      <c r="Q34" s="39"/>
      <c r="R34" s="39"/>
      <c r="S34" s="39"/>
      <c r="T34" s="3" t="s">
        <v>645</v>
      </c>
      <c r="U34" s="77" t="str">
        <f t="shared" si="4"/>
        <v/>
      </c>
      <c r="V34" s="39">
        <v>1</v>
      </c>
      <c r="W34" s="79">
        <f t="shared" si="5"/>
        <v>0</v>
      </c>
      <c r="X34" s="3">
        <v>0</v>
      </c>
      <c r="Y34" s="77" t="str">
        <f t="shared" si="6"/>
        <v/>
      </c>
      <c r="Z34" s="3"/>
      <c r="AA34" s="37" t="str">
        <f t="shared" si="7"/>
        <v/>
      </c>
      <c r="AC34" s="40"/>
      <c r="AD34" s="7"/>
      <c r="AE34" s="77" t="str">
        <f t="shared" si="8"/>
        <v/>
      </c>
      <c r="AF34" s="81">
        <f t="shared" si="9"/>
        <v>0</v>
      </c>
      <c r="AG34" s="40"/>
      <c r="AH34" s="7"/>
      <c r="AI34" s="77" t="str">
        <f t="shared" si="10"/>
        <v/>
      </c>
      <c r="AJ34" s="81">
        <f t="shared" si="11"/>
        <v>0</v>
      </c>
      <c r="AK34" s="83">
        <f t="shared" si="12"/>
        <v>0</v>
      </c>
      <c r="AL34" s="83">
        <f t="shared" si="13"/>
        <v>0</v>
      </c>
      <c r="AN34" s="43">
        <f t="shared" si="14"/>
        <v>0</v>
      </c>
      <c r="AP34" t="str">
        <f t="shared" si="15"/>
        <v/>
      </c>
      <c r="AQ34" t="str">
        <f t="shared" si="16"/>
        <v/>
      </c>
      <c r="AR34" t="str">
        <f t="shared" si="17"/>
        <v/>
      </c>
      <c r="AS34" t="str">
        <f t="shared" si="18"/>
        <v/>
      </c>
      <c r="AT34" t="str">
        <f t="shared" si="19"/>
        <v/>
      </c>
      <c r="AU34" t="str">
        <f t="shared" si="20"/>
        <v/>
      </c>
      <c r="AV34" t="str">
        <f t="shared" si="21"/>
        <v/>
      </c>
      <c r="AW34" t="str">
        <f t="shared" si="22"/>
        <v xml:space="preserve">                              </v>
      </c>
      <c r="AX34" s="23">
        <f t="shared" si="23"/>
        <v>0</v>
      </c>
      <c r="AY34" s="49" t="str">
        <f t="shared" si="24"/>
        <v>000000000000000</v>
      </c>
      <c r="AZ34" s="23">
        <f t="shared" si="25"/>
        <v>0</v>
      </c>
      <c r="BA34" s="49" t="str">
        <f t="shared" si="26"/>
        <v>000000000000000</v>
      </c>
      <c r="BB34" s="23">
        <f t="shared" si="27"/>
        <v>0</v>
      </c>
      <c r="BC34" s="49" t="str">
        <f t="shared" si="28"/>
        <v>000000000000000</v>
      </c>
      <c r="BD34" s="23">
        <f t="shared" si="29"/>
        <v>0</v>
      </c>
      <c r="BE34" s="49" t="str">
        <f t="shared" si="30"/>
        <v>000000000000000</v>
      </c>
      <c r="BF34" s="23">
        <f t="shared" si="31"/>
        <v>0</v>
      </c>
      <c r="BG34" s="49" t="str">
        <f t="shared" si="32"/>
        <v>000000000000000</v>
      </c>
      <c r="BH34" s="23">
        <f t="shared" si="33"/>
        <v>0</v>
      </c>
      <c r="BI34" s="49" t="str">
        <f t="shared" si="34"/>
        <v>000000000000000</v>
      </c>
      <c r="BJ34" s="23">
        <f t="shared" si="35"/>
        <v>0</v>
      </c>
      <c r="BK34" s="49" t="str">
        <f t="shared" si="36"/>
        <v>000000000000000</v>
      </c>
      <c r="BL34" s="23">
        <f t="shared" si="37"/>
        <v>0</v>
      </c>
      <c r="BM34" s="49" t="str">
        <f t="shared" si="38"/>
        <v>000000000000000</v>
      </c>
      <c r="BN34" t="str">
        <f t="shared" si="39"/>
        <v>PES</v>
      </c>
      <c r="BO34" t="str">
        <f t="shared" si="40"/>
        <v>0001000000</v>
      </c>
      <c r="BP34">
        <f t="shared" si="41"/>
        <v>0</v>
      </c>
      <c r="BQ34">
        <f t="shared" si="42"/>
        <v>0</v>
      </c>
      <c r="BR34" s="23">
        <f t="shared" si="43"/>
        <v>0</v>
      </c>
      <c r="BS34" s="49" t="str">
        <f t="shared" si="44"/>
        <v>000000000000000</v>
      </c>
      <c r="BT34" t="str">
        <f t="shared" si="45"/>
        <v>00000000</v>
      </c>
      <c r="BU34" s="23">
        <f t="shared" si="46"/>
        <v>0</v>
      </c>
      <c r="BV34" s="49" t="str">
        <f t="shared" si="47"/>
        <v/>
      </c>
      <c r="BW34" s="52" t="str">
        <f t="shared" si="48"/>
        <v/>
      </c>
      <c r="BX34" s="23">
        <f t="shared" si="49"/>
        <v>0</v>
      </c>
      <c r="BY34" s="49" t="str">
        <f t="shared" si="50"/>
        <v/>
      </c>
      <c r="BZ34" s="23">
        <f t="shared" si="51"/>
        <v>0</v>
      </c>
      <c r="CA34" s="49" t="str">
        <f t="shared" si="52"/>
        <v/>
      </c>
      <c r="CB34" s="52" t="str">
        <f t="shared" si="53"/>
        <v/>
      </c>
      <c r="CC34" s="23">
        <f t="shared" si="54"/>
        <v>0</v>
      </c>
      <c r="CD34" s="49" t="str">
        <f t="shared" si="55"/>
        <v/>
      </c>
      <c r="CE34" s="56" t="str">
        <f>IF(CF34="","",MAX(CE$10:$CE33)+1)</f>
        <v/>
      </c>
      <c r="CF34" t="str">
        <f t="shared" si="56"/>
        <v/>
      </c>
      <c r="CG34" s="22" t="str">
        <f>IF(CH34="","",MAX($CG$10:CG33)+1)</f>
        <v/>
      </c>
      <c r="CH34" s="22" t="str">
        <f t="shared" si="57"/>
        <v/>
      </c>
      <c r="CI34" s="22" t="str">
        <f>IF(CJ34="","",MAX($CI$10:CI33)+1)</f>
        <v/>
      </c>
      <c r="CJ34" s="22" t="str">
        <f t="shared" si="58"/>
        <v/>
      </c>
    </row>
    <row r="35" spans="2:88" x14ac:dyDescent="0.25">
      <c r="B35" s="37"/>
      <c r="C35" s="3"/>
      <c r="D35" s="77" t="str">
        <f t="shared" si="59"/>
        <v/>
      </c>
      <c r="E35" s="38"/>
      <c r="F35" s="38"/>
      <c r="G35" s="78">
        <f t="shared" si="2"/>
        <v>0</v>
      </c>
      <c r="H35" s="3">
        <v>80</v>
      </c>
      <c r="I35" s="77" t="str">
        <f t="shared" si="3"/>
        <v/>
      </c>
      <c r="J35" s="76"/>
      <c r="K35" s="3"/>
      <c r="L35" s="39"/>
      <c r="M35" s="39"/>
      <c r="N35" s="39"/>
      <c r="O35" s="39"/>
      <c r="P35" s="39"/>
      <c r="Q35" s="39"/>
      <c r="R35" s="39"/>
      <c r="S35" s="39"/>
      <c r="T35" s="3" t="s">
        <v>645</v>
      </c>
      <c r="U35" s="77" t="str">
        <f t="shared" si="4"/>
        <v/>
      </c>
      <c r="V35" s="39">
        <v>1</v>
      </c>
      <c r="W35" s="79">
        <f t="shared" si="5"/>
        <v>0</v>
      </c>
      <c r="X35" s="3">
        <v>0</v>
      </c>
      <c r="Y35" s="77" t="str">
        <f t="shared" si="6"/>
        <v/>
      </c>
      <c r="Z35" s="3"/>
      <c r="AA35" s="37" t="str">
        <f t="shared" si="7"/>
        <v/>
      </c>
      <c r="AC35" s="40"/>
      <c r="AD35" s="7"/>
      <c r="AE35" s="77" t="str">
        <f t="shared" si="8"/>
        <v/>
      </c>
      <c r="AF35" s="81">
        <f t="shared" si="9"/>
        <v>0</v>
      </c>
      <c r="AG35" s="40"/>
      <c r="AH35" s="7"/>
      <c r="AI35" s="77" t="str">
        <f t="shared" si="10"/>
        <v/>
      </c>
      <c r="AJ35" s="81">
        <f t="shared" si="11"/>
        <v>0</v>
      </c>
      <c r="AK35" s="83">
        <f t="shared" si="12"/>
        <v>0</v>
      </c>
      <c r="AL35" s="83">
        <f t="shared" si="13"/>
        <v>0</v>
      </c>
      <c r="AN35" s="43">
        <f t="shared" si="14"/>
        <v>0</v>
      </c>
      <c r="AP35" t="str">
        <f t="shared" si="15"/>
        <v/>
      </c>
      <c r="AQ35" t="str">
        <f t="shared" si="16"/>
        <v/>
      </c>
      <c r="AR35" t="str">
        <f t="shared" si="17"/>
        <v/>
      </c>
      <c r="AS35" t="str">
        <f t="shared" si="18"/>
        <v/>
      </c>
      <c r="AT35" t="str">
        <f t="shared" si="19"/>
        <v/>
      </c>
      <c r="AU35" t="str">
        <f t="shared" si="20"/>
        <v/>
      </c>
      <c r="AV35" t="str">
        <f t="shared" si="21"/>
        <v/>
      </c>
      <c r="AW35" t="str">
        <f t="shared" si="22"/>
        <v xml:space="preserve">                              </v>
      </c>
      <c r="AX35" s="23">
        <f t="shared" si="23"/>
        <v>0</v>
      </c>
      <c r="AY35" s="49" t="str">
        <f t="shared" si="24"/>
        <v>000000000000000</v>
      </c>
      <c r="AZ35" s="23">
        <f t="shared" si="25"/>
        <v>0</v>
      </c>
      <c r="BA35" s="49" t="str">
        <f t="shared" si="26"/>
        <v>000000000000000</v>
      </c>
      <c r="BB35" s="23">
        <f t="shared" si="27"/>
        <v>0</v>
      </c>
      <c r="BC35" s="49" t="str">
        <f t="shared" si="28"/>
        <v>000000000000000</v>
      </c>
      <c r="BD35" s="23">
        <f t="shared" si="29"/>
        <v>0</v>
      </c>
      <c r="BE35" s="49" t="str">
        <f t="shared" si="30"/>
        <v>000000000000000</v>
      </c>
      <c r="BF35" s="23">
        <f t="shared" si="31"/>
        <v>0</v>
      </c>
      <c r="BG35" s="49" t="str">
        <f t="shared" si="32"/>
        <v>000000000000000</v>
      </c>
      <c r="BH35" s="23">
        <f t="shared" si="33"/>
        <v>0</v>
      </c>
      <c r="BI35" s="49" t="str">
        <f t="shared" si="34"/>
        <v>000000000000000</v>
      </c>
      <c r="BJ35" s="23">
        <f t="shared" si="35"/>
        <v>0</v>
      </c>
      <c r="BK35" s="49" t="str">
        <f t="shared" si="36"/>
        <v>000000000000000</v>
      </c>
      <c r="BL35" s="23">
        <f t="shared" si="37"/>
        <v>0</v>
      </c>
      <c r="BM35" s="49" t="str">
        <f t="shared" si="38"/>
        <v>000000000000000</v>
      </c>
      <c r="BN35" t="str">
        <f t="shared" si="39"/>
        <v>PES</v>
      </c>
      <c r="BO35" t="str">
        <f t="shared" si="40"/>
        <v>0001000000</v>
      </c>
      <c r="BP35">
        <f t="shared" si="41"/>
        <v>0</v>
      </c>
      <c r="BQ35">
        <f t="shared" si="42"/>
        <v>0</v>
      </c>
      <c r="BR35" s="23">
        <f t="shared" si="43"/>
        <v>0</v>
      </c>
      <c r="BS35" s="49" t="str">
        <f t="shared" si="44"/>
        <v>000000000000000</v>
      </c>
      <c r="BT35" t="str">
        <f t="shared" si="45"/>
        <v>00000000</v>
      </c>
      <c r="BU35" s="23">
        <f t="shared" si="46"/>
        <v>0</v>
      </c>
      <c r="BV35" s="49" t="str">
        <f t="shared" si="47"/>
        <v/>
      </c>
      <c r="BW35" s="52" t="str">
        <f t="shared" si="48"/>
        <v/>
      </c>
      <c r="BX35" s="23">
        <f t="shared" si="49"/>
        <v>0</v>
      </c>
      <c r="BY35" s="49" t="str">
        <f t="shared" si="50"/>
        <v/>
      </c>
      <c r="BZ35" s="23">
        <f t="shared" si="51"/>
        <v>0</v>
      </c>
      <c r="CA35" s="49" t="str">
        <f t="shared" si="52"/>
        <v/>
      </c>
      <c r="CB35" s="52" t="str">
        <f t="shared" si="53"/>
        <v/>
      </c>
      <c r="CC35" s="23">
        <f t="shared" si="54"/>
        <v>0</v>
      </c>
      <c r="CD35" s="49" t="str">
        <f t="shared" si="55"/>
        <v/>
      </c>
      <c r="CE35" s="56" t="str">
        <f>IF(CF35="","",MAX(CE$10:$CE34)+1)</f>
        <v/>
      </c>
      <c r="CF35" t="str">
        <f t="shared" si="56"/>
        <v/>
      </c>
      <c r="CG35" s="22" t="str">
        <f>IF(CH35="","",MAX($CG$10:CG34)+1)</f>
        <v/>
      </c>
      <c r="CH35" s="22" t="str">
        <f t="shared" si="57"/>
        <v/>
      </c>
      <c r="CI35" s="22" t="str">
        <f>IF(CJ35="","",MAX($CI$10:CI34)+1)</f>
        <v/>
      </c>
      <c r="CJ35" s="22" t="str">
        <f t="shared" si="58"/>
        <v/>
      </c>
    </row>
    <row r="36" spans="2:88" x14ac:dyDescent="0.25">
      <c r="B36" s="37"/>
      <c r="C36" s="3"/>
      <c r="D36" s="77" t="str">
        <f t="shared" si="59"/>
        <v/>
      </c>
      <c r="E36" s="38"/>
      <c r="F36" s="38"/>
      <c r="G36" s="78">
        <f t="shared" si="2"/>
        <v>0</v>
      </c>
      <c r="H36" s="3">
        <v>80</v>
      </c>
      <c r="I36" s="77" t="str">
        <f t="shared" si="3"/>
        <v/>
      </c>
      <c r="J36" s="76"/>
      <c r="K36" s="3"/>
      <c r="L36" s="39"/>
      <c r="M36" s="39"/>
      <c r="N36" s="39"/>
      <c r="O36" s="39"/>
      <c r="P36" s="39"/>
      <c r="Q36" s="39"/>
      <c r="R36" s="39"/>
      <c r="S36" s="39"/>
      <c r="T36" s="3" t="s">
        <v>645</v>
      </c>
      <c r="U36" s="77" t="str">
        <f t="shared" si="4"/>
        <v/>
      </c>
      <c r="V36" s="39">
        <v>1</v>
      </c>
      <c r="W36" s="79">
        <f t="shared" si="5"/>
        <v>0</v>
      </c>
      <c r="X36" s="3">
        <v>0</v>
      </c>
      <c r="Y36" s="77" t="str">
        <f t="shared" si="6"/>
        <v/>
      </c>
      <c r="Z36" s="3"/>
      <c r="AA36" s="37" t="str">
        <f t="shared" si="7"/>
        <v/>
      </c>
      <c r="AC36" s="40"/>
      <c r="AD36" s="7"/>
      <c r="AE36" s="77" t="str">
        <f t="shared" si="8"/>
        <v/>
      </c>
      <c r="AF36" s="81">
        <f t="shared" si="9"/>
        <v>0</v>
      </c>
      <c r="AG36" s="40"/>
      <c r="AH36" s="7"/>
      <c r="AI36" s="77" t="str">
        <f t="shared" si="10"/>
        <v/>
      </c>
      <c r="AJ36" s="81">
        <f t="shared" si="11"/>
        <v>0</v>
      </c>
      <c r="AK36" s="83">
        <f t="shared" si="12"/>
        <v>0</v>
      </c>
      <c r="AL36" s="83">
        <f t="shared" si="13"/>
        <v>0</v>
      </c>
      <c r="AN36" s="43">
        <f t="shared" si="14"/>
        <v>0</v>
      </c>
      <c r="AP36" t="str">
        <f t="shared" si="15"/>
        <v/>
      </c>
      <c r="AQ36" t="str">
        <f t="shared" si="16"/>
        <v/>
      </c>
      <c r="AR36" t="str">
        <f t="shared" si="17"/>
        <v/>
      </c>
      <c r="AS36" t="str">
        <f t="shared" si="18"/>
        <v/>
      </c>
      <c r="AT36" t="str">
        <f t="shared" si="19"/>
        <v/>
      </c>
      <c r="AU36" t="str">
        <f t="shared" si="20"/>
        <v/>
      </c>
      <c r="AV36" t="str">
        <f t="shared" si="21"/>
        <v/>
      </c>
      <c r="AW36" t="str">
        <f t="shared" si="22"/>
        <v xml:space="preserve">                              </v>
      </c>
      <c r="AX36" s="23">
        <f t="shared" si="23"/>
        <v>0</v>
      </c>
      <c r="AY36" s="49" t="str">
        <f t="shared" si="24"/>
        <v>000000000000000</v>
      </c>
      <c r="AZ36" s="23">
        <f t="shared" si="25"/>
        <v>0</v>
      </c>
      <c r="BA36" s="49" t="str">
        <f t="shared" si="26"/>
        <v>000000000000000</v>
      </c>
      <c r="BB36" s="23">
        <f t="shared" si="27"/>
        <v>0</v>
      </c>
      <c r="BC36" s="49" t="str">
        <f t="shared" si="28"/>
        <v>000000000000000</v>
      </c>
      <c r="BD36" s="23">
        <f t="shared" si="29"/>
        <v>0</v>
      </c>
      <c r="BE36" s="49" t="str">
        <f t="shared" si="30"/>
        <v>000000000000000</v>
      </c>
      <c r="BF36" s="23">
        <f t="shared" si="31"/>
        <v>0</v>
      </c>
      <c r="BG36" s="49" t="str">
        <f t="shared" si="32"/>
        <v>000000000000000</v>
      </c>
      <c r="BH36" s="23">
        <f t="shared" si="33"/>
        <v>0</v>
      </c>
      <c r="BI36" s="49" t="str">
        <f t="shared" si="34"/>
        <v>000000000000000</v>
      </c>
      <c r="BJ36" s="23">
        <f t="shared" si="35"/>
        <v>0</v>
      </c>
      <c r="BK36" s="49" t="str">
        <f t="shared" si="36"/>
        <v>000000000000000</v>
      </c>
      <c r="BL36" s="23">
        <f t="shared" si="37"/>
        <v>0</v>
      </c>
      <c r="BM36" s="49" t="str">
        <f t="shared" si="38"/>
        <v>000000000000000</v>
      </c>
      <c r="BN36" t="str">
        <f t="shared" si="39"/>
        <v>PES</v>
      </c>
      <c r="BO36" t="str">
        <f t="shared" si="40"/>
        <v>0001000000</v>
      </c>
      <c r="BP36">
        <f t="shared" si="41"/>
        <v>0</v>
      </c>
      <c r="BQ36">
        <f t="shared" si="42"/>
        <v>0</v>
      </c>
      <c r="BR36" s="23">
        <f t="shared" si="43"/>
        <v>0</v>
      </c>
      <c r="BS36" s="49" t="str">
        <f t="shared" si="44"/>
        <v>000000000000000</v>
      </c>
      <c r="BT36" t="str">
        <f t="shared" si="45"/>
        <v>00000000</v>
      </c>
      <c r="BU36" s="23">
        <f t="shared" si="46"/>
        <v>0</v>
      </c>
      <c r="BV36" s="49" t="str">
        <f t="shared" si="47"/>
        <v/>
      </c>
      <c r="BW36" s="52" t="str">
        <f t="shared" si="48"/>
        <v/>
      </c>
      <c r="BX36" s="23">
        <f t="shared" si="49"/>
        <v>0</v>
      </c>
      <c r="BY36" s="49" t="str">
        <f t="shared" si="50"/>
        <v/>
      </c>
      <c r="BZ36" s="23">
        <f t="shared" si="51"/>
        <v>0</v>
      </c>
      <c r="CA36" s="49" t="str">
        <f t="shared" si="52"/>
        <v/>
      </c>
      <c r="CB36" s="52" t="str">
        <f t="shared" si="53"/>
        <v/>
      </c>
      <c r="CC36" s="23">
        <f t="shared" si="54"/>
        <v>0</v>
      </c>
      <c r="CD36" s="49" t="str">
        <f t="shared" si="55"/>
        <v/>
      </c>
      <c r="CE36" s="56" t="str">
        <f>IF(CF36="","",MAX(CE$10:$CE35)+1)</f>
        <v/>
      </c>
      <c r="CF36" t="str">
        <f t="shared" si="56"/>
        <v/>
      </c>
      <c r="CG36" s="22" t="str">
        <f>IF(CH36="","",MAX($CG$10:CG35)+1)</f>
        <v/>
      </c>
      <c r="CH36" s="22" t="str">
        <f t="shared" si="57"/>
        <v/>
      </c>
      <c r="CI36" s="22" t="str">
        <f>IF(CJ36="","",MAX($CI$10:CI35)+1)</f>
        <v/>
      </c>
      <c r="CJ36" s="22" t="str">
        <f t="shared" si="58"/>
        <v/>
      </c>
    </row>
    <row r="37" spans="2:88" x14ac:dyDescent="0.25">
      <c r="B37" s="37"/>
      <c r="C37" s="3"/>
      <c r="D37" s="77" t="str">
        <f t="shared" si="59"/>
        <v/>
      </c>
      <c r="E37" s="38"/>
      <c r="F37" s="38"/>
      <c r="G37" s="78">
        <f t="shared" si="2"/>
        <v>0</v>
      </c>
      <c r="H37" s="3">
        <v>80</v>
      </c>
      <c r="I37" s="77" t="str">
        <f t="shared" si="3"/>
        <v/>
      </c>
      <c r="J37" s="76"/>
      <c r="K37" s="3"/>
      <c r="L37" s="39"/>
      <c r="M37" s="39"/>
      <c r="N37" s="39"/>
      <c r="O37" s="39"/>
      <c r="P37" s="39"/>
      <c r="Q37" s="39"/>
      <c r="R37" s="39"/>
      <c r="S37" s="39"/>
      <c r="T37" s="3" t="s">
        <v>645</v>
      </c>
      <c r="U37" s="77" t="str">
        <f t="shared" si="4"/>
        <v/>
      </c>
      <c r="V37" s="39">
        <v>1</v>
      </c>
      <c r="W37" s="79">
        <f t="shared" si="5"/>
        <v>0</v>
      </c>
      <c r="X37" s="3">
        <v>0</v>
      </c>
      <c r="Y37" s="77" t="str">
        <f t="shared" si="6"/>
        <v/>
      </c>
      <c r="Z37" s="3"/>
      <c r="AA37" s="37" t="str">
        <f t="shared" si="7"/>
        <v/>
      </c>
      <c r="AC37" s="40"/>
      <c r="AD37" s="7"/>
      <c r="AE37" s="77" t="str">
        <f t="shared" si="8"/>
        <v/>
      </c>
      <c r="AF37" s="81">
        <f t="shared" si="9"/>
        <v>0</v>
      </c>
      <c r="AG37" s="40"/>
      <c r="AH37" s="7"/>
      <c r="AI37" s="77" t="str">
        <f t="shared" si="10"/>
        <v/>
      </c>
      <c r="AJ37" s="81">
        <f t="shared" si="11"/>
        <v>0</v>
      </c>
      <c r="AK37" s="83">
        <f t="shared" si="12"/>
        <v>0</v>
      </c>
      <c r="AL37" s="83">
        <f t="shared" si="13"/>
        <v>0</v>
      </c>
      <c r="AN37" s="43">
        <f t="shared" si="14"/>
        <v>0</v>
      </c>
      <c r="AP37" t="str">
        <f t="shared" si="15"/>
        <v/>
      </c>
      <c r="AQ37" t="str">
        <f t="shared" si="16"/>
        <v/>
      </c>
      <c r="AR37" t="str">
        <f t="shared" si="17"/>
        <v/>
      </c>
      <c r="AS37" t="str">
        <f t="shared" si="18"/>
        <v/>
      </c>
      <c r="AT37" t="str">
        <f t="shared" si="19"/>
        <v/>
      </c>
      <c r="AU37" t="str">
        <f t="shared" si="20"/>
        <v/>
      </c>
      <c r="AV37" t="str">
        <f t="shared" si="21"/>
        <v/>
      </c>
      <c r="AW37" t="str">
        <f t="shared" si="22"/>
        <v xml:space="preserve">                              </v>
      </c>
      <c r="AX37" s="23">
        <f t="shared" si="23"/>
        <v>0</v>
      </c>
      <c r="AY37" s="49" t="str">
        <f t="shared" si="24"/>
        <v>000000000000000</v>
      </c>
      <c r="AZ37" s="23">
        <f t="shared" si="25"/>
        <v>0</v>
      </c>
      <c r="BA37" s="49" t="str">
        <f t="shared" si="26"/>
        <v>000000000000000</v>
      </c>
      <c r="BB37" s="23">
        <f t="shared" si="27"/>
        <v>0</v>
      </c>
      <c r="BC37" s="49" t="str">
        <f t="shared" si="28"/>
        <v>000000000000000</v>
      </c>
      <c r="BD37" s="23">
        <f t="shared" si="29"/>
        <v>0</v>
      </c>
      <c r="BE37" s="49" t="str">
        <f t="shared" si="30"/>
        <v>000000000000000</v>
      </c>
      <c r="BF37" s="23">
        <f t="shared" si="31"/>
        <v>0</v>
      </c>
      <c r="BG37" s="49" t="str">
        <f t="shared" si="32"/>
        <v>000000000000000</v>
      </c>
      <c r="BH37" s="23">
        <f t="shared" si="33"/>
        <v>0</v>
      </c>
      <c r="BI37" s="49" t="str">
        <f t="shared" si="34"/>
        <v>000000000000000</v>
      </c>
      <c r="BJ37" s="23">
        <f t="shared" si="35"/>
        <v>0</v>
      </c>
      <c r="BK37" s="49" t="str">
        <f t="shared" si="36"/>
        <v>000000000000000</v>
      </c>
      <c r="BL37" s="23">
        <f t="shared" si="37"/>
        <v>0</v>
      </c>
      <c r="BM37" s="49" t="str">
        <f t="shared" si="38"/>
        <v>000000000000000</v>
      </c>
      <c r="BN37" t="str">
        <f t="shared" si="39"/>
        <v>PES</v>
      </c>
      <c r="BO37" t="str">
        <f t="shared" si="40"/>
        <v>0001000000</v>
      </c>
      <c r="BP37">
        <f t="shared" si="41"/>
        <v>0</v>
      </c>
      <c r="BQ37">
        <f t="shared" si="42"/>
        <v>0</v>
      </c>
      <c r="BR37" s="23">
        <f t="shared" si="43"/>
        <v>0</v>
      </c>
      <c r="BS37" s="49" t="str">
        <f t="shared" si="44"/>
        <v>000000000000000</v>
      </c>
      <c r="BT37" t="str">
        <f t="shared" si="45"/>
        <v>00000000</v>
      </c>
      <c r="BU37" s="23">
        <f t="shared" si="46"/>
        <v>0</v>
      </c>
      <c r="BV37" s="49" t="str">
        <f t="shared" si="47"/>
        <v/>
      </c>
      <c r="BW37" s="52" t="str">
        <f t="shared" si="48"/>
        <v/>
      </c>
      <c r="BX37" s="23">
        <f t="shared" si="49"/>
        <v>0</v>
      </c>
      <c r="BY37" s="49" t="str">
        <f t="shared" si="50"/>
        <v/>
      </c>
      <c r="BZ37" s="23">
        <f t="shared" si="51"/>
        <v>0</v>
      </c>
      <c r="CA37" s="49" t="str">
        <f t="shared" si="52"/>
        <v/>
      </c>
      <c r="CB37" s="52" t="str">
        <f t="shared" si="53"/>
        <v/>
      </c>
      <c r="CC37" s="23">
        <f t="shared" si="54"/>
        <v>0</v>
      </c>
      <c r="CD37" s="49" t="str">
        <f t="shared" si="55"/>
        <v/>
      </c>
      <c r="CE37" s="56" t="str">
        <f>IF(CF37="","",MAX(CE$10:$CE36)+1)</f>
        <v/>
      </c>
      <c r="CF37" t="str">
        <f t="shared" si="56"/>
        <v/>
      </c>
      <c r="CG37" s="22" t="str">
        <f>IF(CH37="","",MAX($CG$10:CG36)+1)</f>
        <v/>
      </c>
      <c r="CH37" s="22" t="str">
        <f t="shared" si="57"/>
        <v/>
      </c>
      <c r="CI37" s="22" t="str">
        <f>IF(CJ37="","",MAX($CI$10:CI36)+1)</f>
        <v/>
      </c>
      <c r="CJ37" s="22" t="str">
        <f t="shared" si="58"/>
        <v/>
      </c>
    </row>
    <row r="38" spans="2:88" x14ac:dyDescent="0.25">
      <c r="B38" s="37"/>
      <c r="C38" s="3"/>
      <c r="D38" s="77" t="str">
        <f t="shared" si="59"/>
        <v/>
      </c>
      <c r="E38" s="38"/>
      <c r="F38" s="38"/>
      <c r="G38" s="78">
        <f t="shared" si="2"/>
        <v>0</v>
      </c>
      <c r="H38" s="3">
        <v>80</v>
      </c>
      <c r="I38" s="77" t="str">
        <f t="shared" si="3"/>
        <v/>
      </c>
      <c r="J38" s="76"/>
      <c r="K38" s="3"/>
      <c r="L38" s="39"/>
      <c r="M38" s="39"/>
      <c r="N38" s="39"/>
      <c r="O38" s="39"/>
      <c r="P38" s="39"/>
      <c r="Q38" s="39"/>
      <c r="R38" s="39"/>
      <c r="S38" s="39"/>
      <c r="T38" s="3" t="s">
        <v>645</v>
      </c>
      <c r="U38" s="77" t="str">
        <f t="shared" si="4"/>
        <v/>
      </c>
      <c r="V38" s="39">
        <v>1</v>
      </c>
      <c r="W38" s="79">
        <f t="shared" si="5"/>
        <v>0</v>
      </c>
      <c r="X38" s="3">
        <v>0</v>
      </c>
      <c r="Y38" s="77" t="str">
        <f t="shared" si="6"/>
        <v/>
      </c>
      <c r="Z38" s="3"/>
      <c r="AA38" s="37" t="str">
        <f t="shared" si="7"/>
        <v/>
      </c>
      <c r="AC38" s="40"/>
      <c r="AD38" s="7"/>
      <c r="AE38" s="77" t="str">
        <f t="shared" si="8"/>
        <v/>
      </c>
      <c r="AF38" s="81">
        <f t="shared" si="9"/>
        <v>0</v>
      </c>
      <c r="AG38" s="40"/>
      <c r="AH38" s="7"/>
      <c r="AI38" s="77" t="str">
        <f t="shared" si="10"/>
        <v/>
      </c>
      <c r="AJ38" s="81">
        <f t="shared" si="11"/>
        <v>0</v>
      </c>
      <c r="AK38" s="83">
        <f t="shared" si="12"/>
        <v>0</v>
      </c>
      <c r="AL38" s="83">
        <f t="shared" si="13"/>
        <v>0</v>
      </c>
      <c r="AN38" s="43">
        <f t="shared" si="14"/>
        <v>0</v>
      </c>
      <c r="AP38" t="str">
        <f t="shared" si="15"/>
        <v/>
      </c>
      <c r="AQ38" t="str">
        <f t="shared" si="16"/>
        <v/>
      </c>
      <c r="AR38" t="str">
        <f t="shared" si="17"/>
        <v/>
      </c>
      <c r="AS38" t="str">
        <f t="shared" si="18"/>
        <v/>
      </c>
      <c r="AT38" t="str">
        <f t="shared" si="19"/>
        <v/>
      </c>
      <c r="AU38" t="str">
        <f t="shared" si="20"/>
        <v/>
      </c>
      <c r="AV38" t="str">
        <f t="shared" si="21"/>
        <v/>
      </c>
      <c r="AW38" t="str">
        <f t="shared" si="22"/>
        <v xml:space="preserve">                              </v>
      </c>
      <c r="AX38" s="23">
        <f t="shared" si="23"/>
        <v>0</v>
      </c>
      <c r="AY38" s="49" t="str">
        <f t="shared" si="24"/>
        <v>000000000000000</v>
      </c>
      <c r="AZ38" s="23">
        <f t="shared" si="25"/>
        <v>0</v>
      </c>
      <c r="BA38" s="49" t="str">
        <f t="shared" si="26"/>
        <v>000000000000000</v>
      </c>
      <c r="BB38" s="23">
        <f t="shared" si="27"/>
        <v>0</v>
      </c>
      <c r="BC38" s="49" t="str">
        <f t="shared" si="28"/>
        <v>000000000000000</v>
      </c>
      <c r="BD38" s="23">
        <f t="shared" si="29"/>
        <v>0</v>
      </c>
      <c r="BE38" s="49" t="str">
        <f t="shared" si="30"/>
        <v>000000000000000</v>
      </c>
      <c r="BF38" s="23">
        <f t="shared" si="31"/>
        <v>0</v>
      </c>
      <c r="BG38" s="49" t="str">
        <f t="shared" si="32"/>
        <v>000000000000000</v>
      </c>
      <c r="BH38" s="23">
        <f t="shared" si="33"/>
        <v>0</v>
      </c>
      <c r="BI38" s="49" t="str">
        <f t="shared" si="34"/>
        <v>000000000000000</v>
      </c>
      <c r="BJ38" s="23">
        <f t="shared" si="35"/>
        <v>0</v>
      </c>
      <c r="BK38" s="49" t="str">
        <f t="shared" si="36"/>
        <v>000000000000000</v>
      </c>
      <c r="BL38" s="23">
        <f t="shared" si="37"/>
        <v>0</v>
      </c>
      <c r="BM38" s="49" t="str">
        <f t="shared" si="38"/>
        <v>000000000000000</v>
      </c>
      <c r="BN38" t="str">
        <f t="shared" si="39"/>
        <v>PES</v>
      </c>
      <c r="BO38" t="str">
        <f t="shared" si="40"/>
        <v>0001000000</v>
      </c>
      <c r="BP38">
        <f t="shared" si="41"/>
        <v>0</v>
      </c>
      <c r="BQ38">
        <f t="shared" si="42"/>
        <v>0</v>
      </c>
      <c r="BR38" s="23">
        <f t="shared" si="43"/>
        <v>0</v>
      </c>
      <c r="BS38" s="49" t="str">
        <f t="shared" si="44"/>
        <v>000000000000000</v>
      </c>
      <c r="BT38" t="str">
        <f t="shared" si="45"/>
        <v>00000000</v>
      </c>
      <c r="BU38" s="23">
        <f t="shared" si="46"/>
        <v>0</v>
      </c>
      <c r="BV38" s="49" t="str">
        <f t="shared" si="47"/>
        <v/>
      </c>
      <c r="BW38" s="52" t="str">
        <f t="shared" si="48"/>
        <v/>
      </c>
      <c r="BX38" s="23">
        <f t="shared" si="49"/>
        <v>0</v>
      </c>
      <c r="BY38" s="49" t="str">
        <f t="shared" si="50"/>
        <v/>
      </c>
      <c r="BZ38" s="23">
        <f t="shared" si="51"/>
        <v>0</v>
      </c>
      <c r="CA38" s="49" t="str">
        <f t="shared" si="52"/>
        <v/>
      </c>
      <c r="CB38" s="52" t="str">
        <f t="shared" si="53"/>
        <v/>
      </c>
      <c r="CC38" s="23">
        <f t="shared" si="54"/>
        <v>0</v>
      </c>
      <c r="CD38" s="49" t="str">
        <f t="shared" si="55"/>
        <v/>
      </c>
      <c r="CE38" s="56" t="str">
        <f>IF(CF38="","",MAX(CE$10:$CE37)+1)</f>
        <v/>
      </c>
      <c r="CF38" t="str">
        <f t="shared" si="56"/>
        <v/>
      </c>
      <c r="CG38" s="22" t="str">
        <f>IF(CH38="","",MAX($CG$10:CG37)+1)</f>
        <v/>
      </c>
      <c r="CH38" s="22" t="str">
        <f t="shared" si="57"/>
        <v/>
      </c>
      <c r="CI38" s="22" t="str">
        <f>IF(CJ38="","",MAX($CI$10:CI37)+1)</f>
        <v/>
      </c>
      <c r="CJ38" s="22" t="str">
        <f t="shared" si="58"/>
        <v/>
      </c>
    </row>
    <row r="39" spans="2:88" x14ac:dyDescent="0.25">
      <c r="B39" s="37"/>
      <c r="C39" s="3"/>
      <c r="D39" s="77" t="str">
        <f t="shared" si="59"/>
        <v/>
      </c>
      <c r="E39" s="38"/>
      <c r="F39" s="38"/>
      <c r="G39" s="78">
        <f t="shared" si="2"/>
        <v>0</v>
      </c>
      <c r="H39" s="3">
        <v>80</v>
      </c>
      <c r="I39" s="77" t="str">
        <f t="shared" si="3"/>
        <v/>
      </c>
      <c r="J39" s="76"/>
      <c r="K39" s="3"/>
      <c r="L39" s="39"/>
      <c r="M39" s="39"/>
      <c r="N39" s="39"/>
      <c r="O39" s="39"/>
      <c r="P39" s="39"/>
      <c r="Q39" s="39"/>
      <c r="R39" s="39"/>
      <c r="S39" s="39"/>
      <c r="T39" s="3" t="s">
        <v>645</v>
      </c>
      <c r="U39" s="77" t="str">
        <f t="shared" si="4"/>
        <v/>
      </c>
      <c r="V39" s="39">
        <v>1</v>
      </c>
      <c r="W39" s="79">
        <f t="shared" si="5"/>
        <v>0</v>
      </c>
      <c r="X39" s="3">
        <v>0</v>
      </c>
      <c r="Y39" s="77" t="str">
        <f t="shared" si="6"/>
        <v/>
      </c>
      <c r="Z39" s="3"/>
      <c r="AA39" s="37" t="str">
        <f t="shared" si="7"/>
        <v/>
      </c>
      <c r="AC39" s="40"/>
      <c r="AD39" s="7"/>
      <c r="AE39" s="77" t="str">
        <f t="shared" si="8"/>
        <v/>
      </c>
      <c r="AF39" s="81">
        <f t="shared" si="9"/>
        <v>0</v>
      </c>
      <c r="AG39" s="40"/>
      <c r="AH39" s="7"/>
      <c r="AI39" s="77" t="str">
        <f t="shared" si="10"/>
        <v/>
      </c>
      <c r="AJ39" s="81">
        <f t="shared" si="11"/>
        <v>0</v>
      </c>
      <c r="AK39" s="83">
        <f t="shared" si="12"/>
        <v>0</v>
      </c>
      <c r="AL39" s="83">
        <f t="shared" si="13"/>
        <v>0</v>
      </c>
      <c r="AN39" s="43">
        <f t="shared" si="14"/>
        <v>0</v>
      </c>
      <c r="AP39" t="str">
        <f t="shared" si="15"/>
        <v/>
      </c>
      <c r="AQ39" t="str">
        <f t="shared" si="16"/>
        <v/>
      </c>
      <c r="AR39" t="str">
        <f t="shared" si="17"/>
        <v/>
      </c>
      <c r="AS39" t="str">
        <f t="shared" si="18"/>
        <v/>
      </c>
      <c r="AT39" t="str">
        <f t="shared" si="19"/>
        <v/>
      </c>
      <c r="AU39" t="str">
        <f t="shared" si="20"/>
        <v/>
      </c>
      <c r="AV39" t="str">
        <f t="shared" si="21"/>
        <v/>
      </c>
      <c r="AW39" t="str">
        <f t="shared" si="22"/>
        <v xml:space="preserve">                              </v>
      </c>
      <c r="AX39" s="23">
        <f t="shared" si="23"/>
        <v>0</v>
      </c>
      <c r="AY39" s="49" t="str">
        <f t="shared" si="24"/>
        <v>000000000000000</v>
      </c>
      <c r="AZ39" s="23">
        <f t="shared" si="25"/>
        <v>0</v>
      </c>
      <c r="BA39" s="49" t="str">
        <f t="shared" si="26"/>
        <v>000000000000000</v>
      </c>
      <c r="BB39" s="23">
        <f t="shared" si="27"/>
        <v>0</v>
      </c>
      <c r="BC39" s="49" t="str">
        <f t="shared" si="28"/>
        <v>000000000000000</v>
      </c>
      <c r="BD39" s="23">
        <f t="shared" si="29"/>
        <v>0</v>
      </c>
      <c r="BE39" s="49" t="str">
        <f t="shared" si="30"/>
        <v>000000000000000</v>
      </c>
      <c r="BF39" s="23">
        <f t="shared" si="31"/>
        <v>0</v>
      </c>
      <c r="BG39" s="49" t="str">
        <f t="shared" si="32"/>
        <v>000000000000000</v>
      </c>
      <c r="BH39" s="23">
        <f t="shared" si="33"/>
        <v>0</v>
      </c>
      <c r="BI39" s="49" t="str">
        <f t="shared" si="34"/>
        <v>000000000000000</v>
      </c>
      <c r="BJ39" s="23">
        <f t="shared" si="35"/>
        <v>0</v>
      </c>
      <c r="BK39" s="49" t="str">
        <f t="shared" si="36"/>
        <v>000000000000000</v>
      </c>
      <c r="BL39" s="23">
        <f t="shared" si="37"/>
        <v>0</v>
      </c>
      <c r="BM39" s="49" t="str">
        <f t="shared" si="38"/>
        <v>000000000000000</v>
      </c>
      <c r="BN39" t="str">
        <f t="shared" si="39"/>
        <v>PES</v>
      </c>
      <c r="BO39" t="str">
        <f t="shared" si="40"/>
        <v>0001000000</v>
      </c>
      <c r="BP39">
        <f t="shared" si="41"/>
        <v>0</v>
      </c>
      <c r="BQ39">
        <f t="shared" si="42"/>
        <v>0</v>
      </c>
      <c r="BR39" s="23">
        <f t="shared" si="43"/>
        <v>0</v>
      </c>
      <c r="BS39" s="49" t="str">
        <f t="shared" si="44"/>
        <v>000000000000000</v>
      </c>
      <c r="BT39" t="str">
        <f t="shared" si="45"/>
        <v>00000000</v>
      </c>
      <c r="BU39" s="23">
        <f t="shared" si="46"/>
        <v>0</v>
      </c>
      <c r="BV39" s="49" t="str">
        <f t="shared" si="47"/>
        <v/>
      </c>
      <c r="BW39" s="52" t="str">
        <f t="shared" si="48"/>
        <v/>
      </c>
      <c r="BX39" s="23">
        <f t="shared" si="49"/>
        <v>0</v>
      </c>
      <c r="BY39" s="49" t="str">
        <f t="shared" si="50"/>
        <v/>
      </c>
      <c r="BZ39" s="23">
        <f t="shared" si="51"/>
        <v>0</v>
      </c>
      <c r="CA39" s="49" t="str">
        <f t="shared" si="52"/>
        <v/>
      </c>
      <c r="CB39" s="52" t="str">
        <f t="shared" si="53"/>
        <v/>
      </c>
      <c r="CC39" s="23">
        <f t="shared" si="54"/>
        <v>0</v>
      </c>
      <c r="CD39" s="49" t="str">
        <f t="shared" si="55"/>
        <v/>
      </c>
      <c r="CE39" s="56" t="str">
        <f>IF(CF39="","",MAX(CE$10:$CE38)+1)</f>
        <v/>
      </c>
      <c r="CF39" t="str">
        <f t="shared" si="56"/>
        <v/>
      </c>
      <c r="CG39" s="22" t="str">
        <f>IF(CH39="","",MAX($CG$10:CG38)+1)</f>
        <v/>
      </c>
      <c r="CH39" s="22" t="str">
        <f t="shared" si="57"/>
        <v/>
      </c>
      <c r="CI39" s="22" t="str">
        <f>IF(CJ39="","",MAX($CI$10:CI38)+1)</f>
        <v/>
      </c>
      <c r="CJ39" s="22" t="str">
        <f t="shared" si="58"/>
        <v/>
      </c>
    </row>
    <row r="40" spans="2:88" x14ac:dyDescent="0.25">
      <c r="B40" s="37"/>
      <c r="C40" s="3"/>
      <c r="D40" s="77" t="str">
        <f t="shared" si="59"/>
        <v/>
      </c>
      <c r="E40" s="38"/>
      <c r="F40" s="38"/>
      <c r="G40" s="78">
        <f t="shared" si="2"/>
        <v>0</v>
      </c>
      <c r="H40" s="3">
        <v>80</v>
      </c>
      <c r="I40" s="77" t="str">
        <f t="shared" si="3"/>
        <v/>
      </c>
      <c r="J40" s="76"/>
      <c r="K40" s="3"/>
      <c r="L40" s="39"/>
      <c r="M40" s="39"/>
      <c r="N40" s="39"/>
      <c r="O40" s="39"/>
      <c r="P40" s="39"/>
      <c r="Q40" s="39"/>
      <c r="R40" s="39"/>
      <c r="S40" s="39"/>
      <c r="T40" s="3" t="s">
        <v>645</v>
      </c>
      <c r="U40" s="77" t="str">
        <f t="shared" si="4"/>
        <v/>
      </c>
      <c r="V40" s="39">
        <v>1</v>
      </c>
      <c r="W40" s="79">
        <f t="shared" si="5"/>
        <v>0</v>
      </c>
      <c r="X40" s="3">
        <v>0</v>
      </c>
      <c r="Y40" s="77" t="str">
        <f t="shared" si="6"/>
        <v/>
      </c>
      <c r="Z40" s="3"/>
      <c r="AA40" s="37" t="str">
        <f t="shared" si="7"/>
        <v/>
      </c>
      <c r="AC40" s="40"/>
      <c r="AD40" s="7"/>
      <c r="AE40" s="77" t="str">
        <f t="shared" si="8"/>
        <v/>
      </c>
      <c r="AF40" s="81">
        <f t="shared" si="9"/>
        <v>0</v>
      </c>
      <c r="AG40" s="40"/>
      <c r="AH40" s="7"/>
      <c r="AI40" s="77" t="str">
        <f t="shared" si="10"/>
        <v/>
      </c>
      <c r="AJ40" s="81">
        <f t="shared" si="11"/>
        <v>0</v>
      </c>
      <c r="AK40" s="83">
        <f t="shared" si="12"/>
        <v>0</v>
      </c>
      <c r="AL40" s="83">
        <f t="shared" si="13"/>
        <v>0</v>
      </c>
      <c r="AN40" s="43">
        <f t="shared" si="14"/>
        <v>0</v>
      </c>
      <c r="AP40" t="str">
        <f t="shared" si="15"/>
        <v/>
      </c>
      <c r="AQ40" t="str">
        <f t="shared" si="16"/>
        <v/>
      </c>
      <c r="AR40" t="str">
        <f t="shared" si="17"/>
        <v/>
      </c>
      <c r="AS40" t="str">
        <f t="shared" si="18"/>
        <v/>
      </c>
      <c r="AT40" t="str">
        <f t="shared" si="19"/>
        <v/>
      </c>
      <c r="AU40" t="str">
        <f t="shared" si="20"/>
        <v/>
      </c>
      <c r="AV40" t="str">
        <f t="shared" si="21"/>
        <v/>
      </c>
      <c r="AW40" t="str">
        <f t="shared" si="22"/>
        <v xml:space="preserve">                              </v>
      </c>
      <c r="AX40" s="23">
        <f t="shared" si="23"/>
        <v>0</v>
      </c>
      <c r="AY40" s="49" t="str">
        <f t="shared" si="24"/>
        <v>000000000000000</v>
      </c>
      <c r="AZ40" s="23">
        <f t="shared" si="25"/>
        <v>0</v>
      </c>
      <c r="BA40" s="49" t="str">
        <f t="shared" si="26"/>
        <v>000000000000000</v>
      </c>
      <c r="BB40" s="23">
        <f t="shared" si="27"/>
        <v>0</v>
      </c>
      <c r="BC40" s="49" t="str">
        <f t="shared" si="28"/>
        <v>000000000000000</v>
      </c>
      <c r="BD40" s="23">
        <f t="shared" si="29"/>
        <v>0</v>
      </c>
      <c r="BE40" s="49" t="str">
        <f t="shared" si="30"/>
        <v>000000000000000</v>
      </c>
      <c r="BF40" s="23">
        <f t="shared" si="31"/>
        <v>0</v>
      </c>
      <c r="BG40" s="49" t="str">
        <f t="shared" si="32"/>
        <v>000000000000000</v>
      </c>
      <c r="BH40" s="23">
        <f t="shared" si="33"/>
        <v>0</v>
      </c>
      <c r="BI40" s="49" t="str">
        <f t="shared" si="34"/>
        <v>000000000000000</v>
      </c>
      <c r="BJ40" s="23">
        <f t="shared" si="35"/>
        <v>0</v>
      </c>
      <c r="BK40" s="49" t="str">
        <f t="shared" si="36"/>
        <v>000000000000000</v>
      </c>
      <c r="BL40" s="23">
        <f t="shared" si="37"/>
        <v>0</v>
      </c>
      <c r="BM40" s="49" t="str">
        <f t="shared" si="38"/>
        <v>000000000000000</v>
      </c>
      <c r="BN40" t="str">
        <f t="shared" si="39"/>
        <v>PES</v>
      </c>
      <c r="BO40" t="str">
        <f t="shared" si="40"/>
        <v>0001000000</v>
      </c>
      <c r="BP40">
        <f t="shared" si="41"/>
        <v>0</v>
      </c>
      <c r="BQ40">
        <f t="shared" si="42"/>
        <v>0</v>
      </c>
      <c r="BR40" s="23">
        <f t="shared" si="43"/>
        <v>0</v>
      </c>
      <c r="BS40" s="49" t="str">
        <f t="shared" si="44"/>
        <v>000000000000000</v>
      </c>
      <c r="BT40" t="str">
        <f t="shared" si="45"/>
        <v>00000000</v>
      </c>
      <c r="BU40" s="23">
        <f t="shared" si="46"/>
        <v>0</v>
      </c>
      <c r="BV40" s="49" t="str">
        <f t="shared" si="47"/>
        <v/>
      </c>
      <c r="BW40" s="52" t="str">
        <f t="shared" si="48"/>
        <v/>
      </c>
      <c r="BX40" s="23">
        <f t="shared" si="49"/>
        <v>0</v>
      </c>
      <c r="BY40" s="49" t="str">
        <f t="shared" si="50"/>
        <v/>
      </c>
      <c r="BZ40" s="23">
        <f t="shared" si="51"/>
        <v>0</v>
      </c>
      <c r="CA40" s="49" t="str">
        <f t="shared" si="52"/>
        <v/>
      </c>
      <c r="CB40" s="52" t="str">
        <f t="shared" si="53"/>
        <v/>
      </c>
      <c r="CC40" s="23">
        <f t="shared" si="54"/>
        <v>0</v>
      </c>
      <c r="CD40" s="49" t="str">
        <f t="shared" si="55"/>
        <v/>
      </c>
      <c r="CE40" s="56" t="str">
        <f>IF(CF40="","",MAX(CE$10:$CE39)+1)</f>
        <v/>
      </c>
      <c r="CF40" t="str">
        <f t="shared" si="56"/>
        <v/>
      </c>
      <c r="CG40" s="22" t="str">
        <f>IF(CH40="","",MAX($CG$10:CG39)+1)</f>
        <v/>
      </c>
      <c r="CH40" s="22" t="str">
        <f t="shared" si="57"/>
        <v/>
      </c>
      <c r="CI40" s="22" t="str">
        <f>IF(CJ40="","",MAX($CI$10:CI39)+1)</f>
        <v/>
      </c>
      <c r="CJ40" s="22" t="str">
        <f t="shared" si="58"/>
        <v/>
      </c>
    </row>
    <row r="41" spans="2:88" x14ac:dyDescent="0.25">
      <c r="B41" s="37"/>
      <c r="C41" s="3"/>
      <c r="D41" s="77" t="str">
        <f t="shared" si="59"/>
        <v/>
      </c>
      <c r="E41" s="38"/>
      <c r="F41" s="38"/>
      <c r="G41" s="78">
        <f t="shared" si="2"/>
        <v>0</v>
      </c>
      <c r="H41" s="3">
        <v>80</v>
      </c>
      <c r="I41" s="77" t="str">
        <f t="shared" si="3"/>
        <v/>
      </c>
      <c r="J41" s="76"/>
      <c r="K41" s="3"/>
      <c r="L41" s="39"/>
      <c r="M41" s="39"/>
      <c r="N41" s="39"/>
      <c r="O41" s="39"/>
      <c r="P41" s="39"/>
      <c r="Q41" s="39"/>
      <c r="R41" s="39"/>
      <c r="S41" s="39"/>
      <c r="T41" s="3" t="s">
        <v>645</v>
      </c>
      <c r="U41" s="77" t="str">
        <f t="shared" si="4"/>
        <v/>
      </c>
      <c r="V41" s="39">
        <v>1</v>
      </c>
      <c r="W41" s="79">
        <f t="shared" si="5"/>
        <v>0</v>
      </c>
      <c r="X41" s="3">
        <v>0</v>
      </c>
      <c r="Y41" s="77" t="str">
        <f t="shared" si="6"/>
        <v/>
      </c>
      <c r="Z41" s="3"/>
      <c r="AA41" s="37" t="str">
        <f t="shared" si="7"/>
        <v/>
      </c>
      <c r="AC41" s="40"/>
      <c r="AD41" s="7"/>
      <c r="AE41" s="77" t="str">
        <f t="shared" si="8"/>
        <v/>
      </c>
      <c r="AF41" s="81">
        <f t="shared" si="9"/>
        <v>0</v>
      </c>
      <c r="AG41" s="40"/>
      <c r="AH41" s="7"/>
      <c r="AI41" s="77" t="str">
        <f t="shared" si="10"/>
        <v/>
      </c>
      <c r="AJ41" s="81">
        <f t="shared" si="11"/>
        <v>0</v>
      </c>
      <c r="AK41" s="83">
        <f t="shared" si="12"/>
        <v>0</v>
      </c>
      <c r="AL41" s="83">
        <f t="shared" si="13"/>
        <v>0</v>
      </c>
      <c r="AN41" s="43">
        <f t="shared" si="14"/>
        <v>0</v>
      </c>
      <c r="AP41" t="str">
        <f t="shared" si="15"/>
        <v/>
      </c>
      <c r="AQ41" t="str">
        <f t="shared" si="16"/>
        <v/>
      </c>
      <c r="AR41" t="str">
        <f t="shared" si="17"/>
        <v/>
      </c>
      <c r="AS41" t="str">
        <f t="shared" si="18"/>
        <v/>
      </c>
      <c r="AT41" t="str">
        <f t="shared" si="19"/>
        <v/>
      </c>
      <c r="AU41" t="str">
        <f t="shared" si="20"/>
        <v/>
      </c>
      <c r="AV41" t="str">
        <f t="shared" si="21"/>
        <v/>
      </c>
      <c r="AW41" t="str">
        <f t="shared" si="22"/>
        <v xml:space="preserve">                              </v>
      </c>
      <c r="AX41" s="23">
        <f t="shared" si="23"/>
        <v>0</v>
      </c>
      <c r="AY41" s="49" t="str">
        <f t="shared" si="24"/>
        <v>000000000000000</v>
      </c>
      <c r="AZ41" s="23">
        <f t="shared" si="25"/>
        <v>0</v>
      </c>
      <c r="BA41" s="49" t="str">
        <f t="shared" si="26"/>
        <v>000000000000000</v>
      </c>
      <c r="BB41" s="23">
        <f t="shared" si="27"/>
        <v>0</v>
      </c>
      <c r="BC41" s="49" t="str">
        <f t="shared" si="28"/>
        <v>000000000000000</v>
      </c>
      <c r="BD41" s="23">
        <f t="shared" si="29"/>
        <v>0</v>
      </c>
      <c r="BE41" s="49" t="str">
        <f t="shared" si="30"/>
        <v>000000000000000</v>
      </c>
      <c r="BF41" s="23">
        <f t="shared" si="31"/>
        <v>0</v>
      </c>
      <c r="BG41" s="49" t="str">
        <f t="shared" si="32"/>
        <v>000000000000000</v>
      </c>
      <c r="BH41" s="23">
        <f t="shared" si="33"/>
        <v>0</v>
      </c>
      <c r="BI41" s="49" t="str">
        <f t="shared" si="34"/>
        <v>000000000000000</v>
      </c>
      <c r="BJ41" s="23">
        <f t="shared" si="35"/>
        <v>0</v>
      </c>
      <c r="BK41" s="49" t="str">
        <f t="shared" si="36"/>
        <v>000000000000000</v>
      </c>
      <c r="BL41" s="23">
        <f t="shared" si="37"/>
        <v>0</v>
      </c>
      <c r="BM41" s="49" t="str">
        <f t="shared" si="38"/>
        <v>000000000000000</v>
      </c>
      <c r="BN41" t="str">
        <f t="shared" si="39"/>
        <v>PES</v>
      </c>
      <c r="BO41" t="str">
        <f t="shared" si="40"/>
        <v>0001000000</v>
      </c>
      <c r="BP41">
        <f t="shared" si="41"/>
        <v>0</v>
      </c>
      <c r="BQ41">
        <f t="shared" si="42"/>
        <v>0</v>
      </c>
      <c r="BR41" s="23">
        <f t="shared" si="43"/>
        <v>0</v>
      </c>
      <c r="BS41" s="49" t="str">
        <f t="shared" si="44"/>
        <v>000000000000000</v>
      </c>
      <c r="BT41" t="str">
        <f t="shared" si="45"/>
        <v>00000000</v>
      </c>
      <c r="BU41" s="23">
        <f t="shared" si="46"/>
        <v>0</v>
      </c>
      <c r="BV41" s="49" t="str">
        <f t="shared" si="47"/>
        <v/>
      </c>
      <c r="BW41" s="52" t="str">
        <f t="shared" si="48"/>
        <v/>
      </c>
      <c r="BX41" s="23">
        <f t="shared" si="49"/>
        <v>0</v>
      </c>
      <c r="BY41" s="49" t="str">
        <f t="shared" si="50"/>
        <v/>
      </c>
      <c r="BZ41" s="23">
        <f t="shared" si="51"/>
        <v>0</v>
      </c>
      <c r="CA41" s="49" t="str">
        <f t="shared" si="52"/>
        <v/>
      </c>
      <c r="CB41" s="52" t="str">
        <f t="shared" si="53"/>
        <v/>
      </c>
      <c r="CC41" s="23">
        <f t="shared" si="54"/>
        <v>0</v>
      </c>
      <c r="CD41" s="49" t="str">
        <f t="shared" si="55"/>
        <v/>
      </c>
      <c r="CE41" s="56" t="str">
        <f>IF(CF41="","",MAX(CE$10:$CE40)+1)</f>
        <v/>
      </c>
      <c r="CF41" t="str">
        <f t="shared" si="56"/>
        <v/>
      </c>
      <c r="CG41" s="22" t="str">
        <f>IF(CH41="","",MAX($CG$10:CG40)+1)</f>
        <v/>
      </c>
      <c r="CH41" s="22" t="str">
        <f t="shared" si="57"/>
        <v/>
      </c>
      <c r="CI41" s="22" t="str">
        <f>IF(CJ41="","",MAX($CI$10:CI40)+1)</f>
        <v/>
      </c>
      <c r="CJ41" s="22" t="str">
        <f t="shared" si="58"/>
        <v/>
      </c>
    </row>
    <row r="42" spans="2:88" x14ac:dyDescent="0.25">
      <c r="B42" s="37"/>
      <c r="C42" s="3"/>
      <c r="D42" s="77" t="str">
        <f t="shared" si="59"/>
        <v/>
      </c>
      <c r="E42" s="38"/>
      <c r="F42" s="38"/>
      <c r="G42" s="78">
        <f t="shared" si="2"/>
        <v>0</v>
      </c>
      <c r="H42" s="3">
        <v>80</v>
      </c>
      <c r="I42" s="77" t="str">
        <f t="shared" si="3"/>
        <v/>
      </c>
      <c r="J42" s="76"/>
      <c r="K42" s="3"/>
      <c r="L42" s="39"/>
      <c r="M42" s="39"/>
      <c r="N42" s="39"/>
      <c r="O42" s="39"/>
      <c r="P42" s="39"/>
      <c r="Q42" s="39"/>
      <c r="R42" s="39"/>
      <c r="S42" s="39"/>
      <c r="T42" s="3" t="s">
        <v>645</v>
      </c>
      <c r="U42" s="77" t="str">
        <f t="shared" si="4"/>
        <v/>
      </c>
      <c r="V42" s="39">
        <v>1</v>
      </c>
      <c r="W42" s="79">
        <f t="shared" si="5"/>
        <v>0</v>
      </c>
      <c r="X42" s="3">
        <v>0</v>
      </c>
      <c r="Y42" s="77" t="str">
        <f t="shared" si="6"/>
        <v/>
      </c>
      <c r="Z42" s="3"/>
      <c r="AA42" s="37" t="str">
        <f t="shared" si="7"/>
        <v/>
      </c>
      <c r="AC42" s="40"/>
      <c r="AD42" s="7"/>
      <c r="AE42" s="77" t="str">
        <f t="shared" si="8"/>
        <v/>
      </c>
      <c r="AF42" s="81">
        <f t="shared" si="9"/>
        <v>0</v>
      </c>
      <c r="AG42" s="40"/>
      <c r="AH42" s="7"/>
      <c r="AI42" s="77" t="str">
        <f t="shared" si="10"/>
        <v/>
      </c>
      <c r="AJ42" s="81">
        <f t="shared" si="11"/>
        <v>0</v>
      </c>
      <c r="AK42" s="83">
        <f t="shared" si="12"/>
        <v>0</v>
      </c>
      <c r="AL42" s="83">
        <f t="shared" si="13"/>
        <v>0</v>
      </c>
      <c r="AN42" s="43">
        <f t="shared" si="14"/>
        <v>0</v>
      </c>
      <c r="AP42" t="str">
        <f t="shared" si="15"/>
        <v/>
      </c>
      <c r="AQ42" t="str">
        <f t="shared" si="16"/>
        <v/>
      </c>
      <c r="AR42" t="str">
        <f t="shared" si="17"/>
        <v/>
      </c>
      <c r="AS42" t="str">
        <f t="shared" si="18"/>
        <v/>
      </c>
      <c r="AT42" t="str">
        <f t="shared" si="19"/>
        <v/>
      </c>
      <c r="AU42" t="str">
        <f t="shared" si="20"/>
        <v/>
      </c>
      <c r="AV42" t="str">
        <f t="shared" si="21"/>
        <v/>
      </c>
      <c r="AW42" t="str">
        <f t="shared" si="22"/>
        <v xml:space="preserve">                              </v>
      </c>
      <c r="AX42" s="23">
        <f t="shared" si="23"/>
        <v>0</v>
      </c>
      <c r="AY42" s="49" t="str">
        <f t="shared" si="24"/>
        <v>000000000000000</v>
      </c>
      <c r="AZ42" s="23">
        <f t="shared" si="25"/>
        <v>0</v>
      </c>
      <c r="BA42" s="49" t="str">
        <f t="shared" si="26"/>
        <v>000000000000000</v>
      </c>
      <c r="BB42" s="23">
        <f t="shared" si="27"/>
        <v>0</v>
      </c>
      <c r="BC42" s="49" t="str">
        <f t="shared" si="28"/>
        <v>000000000000000</v>
      </c>
      <c r="BD42" s="23">
        <f t="shared" si="29"/>
        <v>0</v>
      </c>
      <c r="BE42" s="49" t="str">
        <f t="shared" si="30"/>
        <v>000000000000000</v>
      </c>
      <c r="BF42" s="23">
        <f t="shared" si="31"/>
        <v>0</v>
      </c>
      <c r="BG42" s="49" t="str">
        <f t="shared" si="32"/>
        <v>000000000000000</v>
      </c>
      <c r="BH42" s="23">
        <f t="shared" si="33"/>
        <v>0</v>
      </c>
      <c r="BI42" s="49" t="str">
        <f t="shared" si="34"/>
        <v>000000000000000</v>
      </c>
      <c r="BJ42" s="23">
        <f t="shared" si="35"/>
        <v>0</v>
      </c>
      <c r="BK42" s="49" t="str">
        <f t="shared" si="36"/>
        <v>000000000000000</v>
      </c>
      <c r="BL42" s="23">
        <f t="shared" si="37"/>
        <v>0</v>
      </c>
      <c r="BM42" s="49" t="str">
        <f t="shared" si="38"/>
        <v>000000000000000</v>
      </c>
      <c r="BN42" t="str">
        <f t="shared" si="39"/>
        <v>PES</v>
      </c>
      <c r="BO42" t="str">
        <f t="shared" si="40"/>
        <v>0001000000</v>
      </c>
      <c r="BP42">
        <f t="shared" si="41"/>
        <v>0</v>
      </c>
      <c r="BQ42">
        <f t="shared" si="42"/>
        <v>0</v>
      </c>
      <c r="BR42" s="23">
        <f t="shared" si="43"/>
        <v>0</v>
      </c>
      <c r="BS42" s="49" t="str">
        <f t="shared" si="44"/>
        <v>000000000000000</v>
      </c>
      <c r="BT42" t="str">
        <f t="shared" si="45"/>
        <v>00000000</v>
      </c>
      <c r="BU42" s="23">
        <f t="shared" si="46"/>
        <v>0</v>
      </c>
      <c r="BV42" s="49" t="str">
        <f t="shared" si="47"/>
        <v/>
      </c>
      <c r="BW42" s="52" t="str">
        <f t="shared" si="48"/>
        <v/>
      </c>
      <c r="BX42" s="23">
        <f t="shared" si="49"/>
        <v>0</v>
      </c>
      <c r="BY42" s="49" t="str">
        <f t="shared" si="50"/>
        <v/>
      </c>
      <c r="BZ42" s="23">
        <f t="shared" si="51"/>
        <v>0</v>
      </c>
      <c r="CA42" s="49" t="str">
        <f t="shared" si="52"/>
        <v/>
      </c>
      <c r="CB42" s="52" t="str">
        <f t="shared" si="53"/>
        <v/>
      </c>
      <c r="CC42" s="23">
        <f t="shared" si="54"/>
        <v>0</v>
      </c>
      <c r="CD42" s="49" t="str">
        <f t="shared" si="55"/>
        <v/>
      </c>
      <c r="CE42" s="56" t="str">
        <f>IF(CF42="","",MAX(CE$10:$CE41)+1)</f>
        <v/>
      </c>
      <c r="CF42" t="str">
        <f t="shared" si="56"/>
        <v/>
      </c>
      <c r="CG42" s="22" t="str">
        <f>IF(CH42="","",MAX($CG$10:CG41)+1)</f>
        <v/>
      </c>
      <c r="CH42" s="22" t="str">
        <f t="shared" si="57"/>
        <v/>
      </c>
      <c r="CI42" s="22" t="str">
        <f>IF(CJ42="","",MAX($CI$10:CI41)+1)</f>
        <v/>
      </c>
      <c r="CJ42" s="22" t="str">
        <f t="shared" si="58"/>
        <v/>
      </c>
    </row>
    <row r="43" spans="2:88" x14ac:dyDescent="0.25">
      <c r="B43" s="37"/>
      <c r="C43" s="3"/>
      <c r="D43" s="77" t="str">
        <f t="shared" si="59"/>
        <v/>
      </c>
      <c r="E43" s="38"/>
      <c r="F43" s="38"/>
      <c r="G43" s="78">
        <f t="shared" si="2"/>
        <v>0</v>
      </c>
      <c r="H43" s="3">
        <v>80</v>
      </c>
      <c r="I43" s="77" t="str">
        <f t="shared" si="3"/>
        <v/>
      </c>
      <c r="J43" s="76"/>
      <c r="K43" s="3"/>
      <c r="L43" s="39"/>
      <c r="M43" s="39"/>
      <c r="N43" s="39"/>
      <c r="O43" s="39"/>
      <c r="P43" s="39"/>
      <c r="Q43" s="39"/>
      <c r="R43" s="39"/>
      <c r="S43" s="39"/>
      <c r="T43" s="3" t="s">
        <v>645</v>
      </c>
      <c r="U43" s="77" t="str">
        <f t="shared" si="4"/>
        <v/>
      </c>
      <c r="V43" s="39">
        <v>1</v>
      </c>
      <c r="W43" s="79">
        <f t="shared" si="5"/>
        <v>0</v>
      </c>
      <c r="X43" s="3">
        <v>0</v>
      </c>
      <c r="Y43" s="77" t="str">
        <f t="shared" si="6"/>
        <v/>
      </c>
      <c r="Z43" s="3"/>
      <c r="AA43" s="37" t="str">
        <f t="shared" si="7"/>
        <v/>
      </c>
      <c r="AC43" s="40"/>
      <c r="AD43" s="7"/>
      <c r="AE43" s="77" t="str">
        <f t="shared" si="8"/>
        <v/>
      </c>
      <c r="AF43" s="81">
        <f t="shared" si="9"/>
        <v>0</v>
      </c>
      <c r="AG43" s="40"/>
      <c r="AH43" s="7"/>
      <c r="AI43" s="77" t="str">
        <f t="shared" si="10"/>
        <v/>
      </c>
      <c r="AJ43" s="81">
        <f t="shared" si="11"/>
        <v>0</v>
      </c>
      <c r="AK43" s="83">
        <f t="shared" si="12"/>
        <v>0</v>
      </c>
      <c r="AL43" s="83">
        <f t="shared" si="13"/>
        <v>0</v>
      </c>
      <c r="AN43" s="43">
        <f t="shared" si="14"/>
        <v>0</v>
      </c>
      <c r="AP43" t="str">
        <f t="shared" si="15"/>
        <v/>
      </c>
      <c r="AQ43" t="str">
        <f t="shared" si="16"/>
        <v/>
      </c>
      <c r="AR43" t="str">
        <f t="shared" si="17"/>
        <v/>
      </c>
      <c r="AS43" t="str">
        <f t="shared" si="18"/>
        <v/>
      </c>
      <c r="AT43" t="str">
        <f t="shared" si="19"/>
        <v/>
      </c>
      <c r="AU43" t="str">
        <f t="shared" si="20"/>
        <v/>
      </c>
      <c r="AV43" t="str">
        <f t="shared" si="21"/>
        <v/>
      </c>
      <c r="AW43" t="str">
        <f t="shared" si="22"/>
        <v xml:space="preserve">                              </v>
      </c>
      <c r="AX43" s="23">
        <f t="shared" si="23"/>
        <v>0</v>
      </c>
      <c r="AY43" s="49" t="str">
        <f t="shared" si="24"/>
        <v>000000000000000</v>
      </c>
      <c r="AZ43" s="23">
        <f t="shared" si="25"/>
        <v>0</v>
      </c>
      <c r="BA43" s="49" t="str">
        <f t="shared" si="26"/>
        <v>000000000000000</v>
      </c>
      <c r="BB43" s="23">
        <f t="shared" si="27"/>
        <v>0</v>
      </c>
      <c r="BC43" s="49" t="str">
        <f t="shared" si="28"/>
        <v>000000000000000</v>
      </c>
      <c r="BD43" s="23">
        <f t="shared" si="29"/>
        <v>0</v>
      </c>
      <c r="BE43" s="49" t="str">
        <f t="shared" si="30"/>
        <v>000000000000000</v>
      </c>
      <c r="BF43" s="23">
        <f t="shared" si="31"/>
        <v>0</v>
      </c>
      <c r="BG43" s="49" t="str">
        <f t="shared" si="32"/>
        <v>000000000000000</v>
      </c>
      <c r="BH43" s="23">
        <f t="shared" si="33"/>
        <v>0</v>
      </c>
      <c r="BI43" s="49" t="str">
        <f t="shared" si="34"/>
        <v>000000000000000</v>
      </c>
      <c r="BJ43" s="23">
        <f t="shared" si="35"/>
        <v>0</v>
      </c>
      <c r="BK43" s="49" t="str">
        <f t="shared" si="36"/>
        <v>000000000000000</v>
      </c>
      <c r="BL43" s="23">
        <f t="shared" si="37"/>
        <v>0</v>
      </c>
      <c r="BM43" s="49" t="str">
        <f t="shared" si="38"/>
        <v>000000000000000</v>
      </c>
      <c r="BN43" t="str">
        <f t="shared" si="39"/>
        <v>PES</v>
      </c>
      <c r="BO43" t="str">
        <f t="shared" si="40"/>
        <v>0001000000</v>
      </c>
      <c r="BP43">
        <f t="shared" si="41"/>
        <v>0</v>
      </c>
      <c r="BQ43">
        <f t="shared" si="42"/>
        <v>0</v>
      </c>
      <c r="BR43" s="23">
        <f t="shared" si="43"/>
        <v>0</v>
      </c>
      <c r="BS43" s="49" t="str">
        <f t="shared" si="44"/>
        <v>000000000000000</v>
      </c>
      <c r="BT43" t="str">
        <f t="shared" si="45"/>
        <v>00000000</v>
      </c>
      <c r="BU43" s="23">
        <f t="shared" si="46"/>
        <v>0</v>
      </c>
      <c r="BV43" s="49" t="str">
        <f t="shared" si="47"/>
        <v/>
      </c>
      <c r="BW43" s="52" t="str">
        <f t="shared" si="48"/>
        <v/>
      </c>
      <c r="BX43" s="23">
        <f t="shared" si="49"/>
        <v>0</v>
      </c>
      <c r="BY43" s="49" t="str">
        <f t="shared" si="50"/>
        <v/>
      </c>
      <c r="BZ43" s="23">
        <f t="shared" si="51"/>
        <v>0</v>
      </c>
      <c r="CA43" s="49" t="str">
        <f t="shared" si="52"/>
        <v/>
      </c>
      <c r="CB43" s="52" t="str">
        <f t="shared" si="53"/>
        <v/>
      </c>
      <c r="CC43" s="23">
        <f t="shared" si="54"/>
        <v>0</v>
      </c>
      <c r="CD43" s="49" t="str">
        <f t="shared" si="55"/>
        <v/>
      </c>
      <c r="CE43" s="56" t="str">
        <f>IF(CF43="","",MAX(CE$10:$CE42)+1)</f>
        <v/>
      </c>
      <c r="CF43" t="str">
        <f t="shared" si="56"/>
        <v/>
      </c>
      <c r="CG43" s="22" t="str">
        <f>IF(CH43="","",MAX($CG$10:CG42)+1)</f>
        <v/>
      </c>
      <c r="CH43" s="22" t="str">
        <f t="shared" si="57"/>
        <v/>
      </c>
      <c r="CI43" s="22" t="str">
        <f>IF(CJ43="","",MAX($CI$10:CI42)+1)</f>
        <v/>
      </c>
      <c r="CJ43" s="22" t="str">
        <f t="shared" si="58"/>
        <v/>
      </c>
    </row>
    <row r="44" spans="2:88" x14ac:dyDescent="0.25">
      <c r="B44" s="37"/>
      <c r="C44" s="3"/>
      <c r="D44" s="77" t="str">
        <f t="shared" ref="D44:D75" si="60">IF(B44="","",IF(ISERROR(VLOOKUP(C44,T_CompVentas,2,FALSE)),"",VLOOKUP(C44,T_CompVentas,2,FALSE)))</f>
        <v/>
      </c>
      <c r="E44" s="38"/>
      <c r="F44" s="38"/>
      <c r="G44" s="78">
        <f t="shared" ref="G44:G76" si="61">+F44</f>
        <v>0</v>
      </c>
      <c r="H44" s="3">
        <v>80</v>
      </c>
      <c r="I44" s="77" t="str">
        <f t="shared" ref="I44:I75" si="62">IF(B44="","",IF(H44="","",IF(ISERROR(VLOOKUP(H44,T_Documentos,2,FALSE)),"",VLOOKUP(H44,T_Documentos,2,FALSE))))</f>
        <v/>
      </c>
      <c r="J44" s="32"/>
      <c r="K44" s="3"/>
      <c r="L44" s="39"/>
      <c r="M44" s="39"/>
      <c r="N44" s="39"/>
      <c r="O44" s="39"/>
      <c r="P44" s="39"/>
      <c r="Q44" s="39"/>
      <c r="R44" s="39"/>
      <c r="S44" s="39"/>
      <c r="T44" s="3" t="s">
        <v>645</v>
      </c>
      <c r="U44" s="77" t="str">
        <f t="shared" ref="U44:U75" si="63">IF(B44="","",IF(ISERROR(VLOOKUP(T44,T_Monedas,2,FALSE)),"",VLOOKUP(T44,T_Monedas,2,FALSE)))</f>
        <v/>
      </c>
      <c r="V44" s="39">
        <v>1</v>
      </c>
      <c r="W44" s="79">
        <f t="shared" ref="W44:W76" si="64">IF(AD44="",0,1)+IF(OR(AH44=""),0,1)</f>
        <v>0</v>
      </c>
      <c r="X44" s="3">
        <v>0</v>
      </c>
      <c r="Y44" s="77" t="str">
        <f t="shared" ref="Y44:Y75" si="65">IF(B44="","",IF(ISERROR(VLOOKUP(X44,T_CodOperVentas,2,FALSE)),"",VLOOKUP(X44,T_CodOperVentas,2,FALSE)))</f>
        <v/>
      </c>
      <c r="Z44" s="3"/>
      <c r="AA44" s="37" t="str">
        <f t="shared" ref="AA44:AA76" si="66">IF(OR(B44="",C44=82),"",B44)</f>
        <v/>
      </c>
      <c r="AC44" s="40"/>
      <c r="AD44" s="7"/>
      <c r="AE44" s="77" t="str">
        <f t="shared" ref="AE44:AE75" si="67">IF(B44="","",IF(AD44="","",IF(ISERROR(VLOOKUP(AD44,T_Alicuotas,2,FALSE)),"",VLOOKUP(AD44,T_Alicuotas,2,FALSE))))</f>
        <v/>
      </c>
      <c r="AF44" s="81">
        <f t="shared" ref="AF44:AF77" si="68">ROUND(AC44*AD44/100,2)</f>
        <v>0</v>
      </c>
      <c r="AG44" s="40"/>
      <c r="AH44" s="7"/>
      <c r="AI44" s="77" t="str">
        <f t="shared" ref="AI44:AI75" si="69">IF(B44="","",IF(AH44="","",IF(ISERROR(VLOOKUP(AH44,T_Alicuotas,2,FALSE)),"",VLOOKUP(AH44,T_Alicuotas,2,FALSE))))</f>
        <v/>
      </c>
      <c r="AJ44" s="81">
        <f t="shared" ref="AJ44:AJ77" si="70">ROUND(AG44*AH44/100,2)</f>
        <v>0</v>
      </c>
      <c r="AK44" s="83">
        <f t="shared" ref="AK44:AK77" si="71">+AC44+AG44</f>
        <v>0</v>
      </c>
      <c r="AL44" s="83">
        <f t="shared" ref="AL44:AL77" si="72">+AF44+AJ44</f>
        <v>0</v>
      </c>
      <c r="AN44" s="43">
        <f t="shared" ref="AN44:AN75" si="73">+L44-M44-N44-O44-P44-Q44-R44-S44-AC44-AF44-AG44-AJ44</f>
        <v>0</v>
      </c>
      <c r="AP44" t="str">
        <f t="shared" ref="AP44:AP77" si="74">IF(B44="","",TEXT(B44,$AP$8))</f>
        <v/>
      </c>
      <c r="AQ44" t="str">
        <f t="shared" ref="AQ44:AQ77" si="75">IF(B44="","",IF(C44="","",TEXT(C44,"000")))</f>
        <v/>
      </c>
      <c r="AR44" t="str">
        <f t="shared" ref="AR44:AR77" si="76">IF(B44="","",IF(E44="","00000",TEXT(RIGHT(E44,5),"00000")))</f>
        <v/>
      </c>
      <c r="AS44" t="str">
        <f t="shared" ref="AS44:AS77" si="77">IF(B44="","",IF(F44="","00000000000000000000",TEXT(RIGHT(F44,20),"00000000000000000000")))</f>
        <v/>
      </c>
      <c r="AT44" t="str">
        <f t="shared" ref="AT44:AT77" si="78">IF(B44="","",IF(G44="","00000000000000000000",TEXT(RIGHT(G44,20),"00000000000000000000")))</f>
        <v/>
      </c>
      <c r="AU44" t="str">
        <f t="shared" ref="AU44:AU77" si="79">IF(B44="","",IF(C44="","",TEXT(RIGHT(H44,4),"00")))</f>
        <v/>
      </c>
      <c r="AV44" t="str">
        <f t="shared" ref="AV44:AV77" si="80">IF(B44="","",TEXT(SUBSTITUTE(J44,"-",""),"00000000000000000000"))</f>
        <v/>
      </c>
      <c r="AW44" t="str">
        <f t="shared" ref="AW44:AW77" si="81">IF(LEN(K44)&gt;30,LEFT(K44,30),K44&amp;REPT(" ",30-LEN(K44)))</f>
        <v xml:space="preserve">                              </v>
      </c>
      <c r="AX44" s="23">
        <f t="shared" ref="AX44:AX77" si="82">IF(TRIM(L44)="",0,TRUNC(L44,2))</f>
        <v>0</v>
      </c>
      <c r="AY44" s="49" t="str">
        <f t="shared" ref="AY44:BA76" si="83">IF(AX44&lt;0,SUBSTITUTE(TEXT(AX44,"000000000000,00"),",",""),SUBSTITUTE(TEXT(AX44,"0000000000000,00"),",",""))</f>
        <v>000000000000000</v>
      </c>
      <c r="AZ44" s="23">
        <f t="shared" ref="AZ44:AZ77" si="84">IF(TRIM(M44)="",0,TRUNC(M44,2))</f>
        <v>0</v>
      </c>
      <c r="BA44" s="49" t="str">
        <f t="shared" si="83"/>
        <v>000000000000000</v>
      </c>
      <c r="BB44" s="23">
        <f t="shared" ref="BB44:BB77" si="85">IF(TRIM(N44)="",0,TRUNC(N44,2))</f>
        <v>0</v>
      </c>
      <c r="BC44" s="49" t="str">
        <f t="shared" ref="BC44" si="86">IF(BB44&lt;0,SUBSTITUTE(TEXT(BB44,"000000000000,00"),",",""),SUBSTITUTE(TEXT(BB44,"0000000000000,00"),",",""))</f>
        <v>000000000000000</v>
      </c>
      <c r="BD44" s="23">
        <f t="shared" ref="BD44:BD77" si="87">IF(TRIM(O44)="",0,TRUNC(O44,2))</f>
        <v>0</v>
      </c>
      <c r="BE44" s="49" t="str">
        <f t="shared" ref="BE44" si="88">IF(BD44&lt;0,SUBSTITUTE(TEXT(BD44,"000000000000,00"),",",""),SUBSTITUTE(TEXT(BD44,"0000000000000,00"),",",""))</f>
        <v>000000000000000</v>
      </c>
      <c r="BF44" s="23">
        <f t="shared" ref="BF44:BF77" si="89">IF(TRIM(P44)="",0,TRUNC(P44,2))</f>
        <v>0</v>
      </c>
      <c r="BG44" s="49" t="str">
        <f t="shared" ref="BG44" si="90">IF(BF44&lt;0,SUBSTITUTE(TEXT(BF44,"000000000000,00"),",",""),SUBSTITUTE(TEXT(BF44,"0000000000000,00"),",",""))</f>
        <v>000000000000000</v>
      </c>
      <c r="BH44" s="23">
        <f t="shared" ref="BH44:BH77" si="91">IF(TRIM(Q44)="",0,TRUNC(Q44,2))</f>
        <v>0</v>
      </c>
      <c r="BI44" s="49" t="str">
        <f t="shared" ref="BI44" si="92">IF(BH44&lt;0,SUBSTITUTE(TEXT(BH44,"000000000000,00"),",",""),SUBSTITUTE(TEXT(BH44,"0000000000000,00"),",",""))</f>
        <v>000000000000000</v>
      </c>
      <c r="BJ44" s="23">
        <f t="shared" ref="BJ44:BJ77" si="93">IF(TRIM(R44)="",0,TRUNC(R44,2))</f>
        <v>0</v>
      </c>
      <c r="BK44" s="49" t="str">
        <f t="shared" ref="BK44" si="94">IF(BJ44&lt;0,SUBSTITUTE(TEXT(BJ44,"000000000000,00"),",",""),SUBSTITUTE(TEXT(BJ44,"0000000000000,00"),",",""))</f>
        <v>000000000000000</v>
      </c>
      <c r="BL44" s="23">
        <f t="shared" ref="BL44:BL77" si="95">IF(TRIM(S44)="",0,TRUNC(S44,2))</f>
        <v>0</v>
      </c>
      <c r="BM44" s="49" t="str">
        <f t="shared" ref="BM44" si="96">IF(BL44&lt;0,SUBSTITUTE(TEXT(BL44,"000000000000,00"),",",""),SUBSTITUTE(TEXT(BL44,"0000000000000,00"),",",""))</f>
        <v>000000000000000</v>
      </c>
      <c r="BN44" t="str">
        <f t="shared" ref="BN44:BN77" si="97">TEXT(T44,"000")</f>
        <v>PES</v>
      </c>
      <c r="BO44" t="str">
        <f t="shared" ref="BO44:BO77" si="98">IF(V44&lt;0,SUBSTITUTE(TEXT(V44,"000,000000"),",",""),SUBSTITUTE(TEXT(V44,"0000,000000"),",",""))</f>
        <v>0001000000</v>
      </c>
      <c r="BP44">
        <f t="shared" ref="BP44:BP77" si="99">W44</f>
        <v>0</v>
      </c>
      <c r="BQ44">
        <f t="shared" ref="BQ44:BQ77" si="100">X44</f>
        <v>0</v>
      </c>
      <c r="BR44" s="23">
        <f t="shared" ref="BR44:BR77" si="101">IF(TRIM(Z44)="",0,TRUNC(Z44,2))</f>
        <v>0</v>
      </c>
      <c r="BS44" s="49" t="str">
        <f t="shared" ref="BS44:BS76" si="102">IF(BR44&lt;0,SUBSTITUTE(TEXT(BR44,"000000000000,00"),",",""),SUBSTITUTE(TEXT(BR44,"0000000000000,00"),",",""))</f>
        <v>000000000000000</v>
      </c>
      <c r="BT44" t="str">
        <f t="shared" ref="BT44:BT77" si="103">IF(AA44="","00000000",TEXT(AA44,$AP$8))</f>
        <v>00000000</v>
      </c>
      <c r="BU44" s="23">
        <f t="shared" ref="BU44:BU77" si="104">IF(TRIM(AC44)="",0,TRUNC(AC44,2))</f>
        <v>0</v>
      </c>
      <c r="BV44" s="49" t="str">
        <f t="shared" ref="BV44:BV76" si="105">IF(BW44="","",IF(BU44&lt;0,SUBSTITUTE(TEXT(BU44,"000000000000,00"),",",""),SUBSTITUTE(TEXT(BU44,"0000000000000,00"),",","")))</f>
        <v/>
      </c>
      <c r="BW44" s="52" t="str">
        <f t="shared" ref="BW44:BW77" si="106">IF(AE44="","",TEXT(AE44,"0000"))</f>
        <v/>
      </c>
      <c r="BX44" s="23">
        <f t="shared" ref="BX44:BX77" si="107">IF(TRIM(AF44)="",0,TRUNC(AF44,2))</f>
        <v>0</v>
      </c>
      <c r="BY44" s="49" t="str">
        <f t="shared" ref="BY44:BY76" si="108">IF(BW44="","",IF(BX44&lt;0,SUBSTITUTE(TEXT(BX44,"000000000000,00"),",",""),SUBSTITUTE(TEXT(BX44,"0000000000000,00"),",","")))</f>
        <v/>
      </c>
      <c r="BZ44" s="23">
        <f t="shared" ref="BZ44:BZ77" si="109">IF(TRIM(AG44)="",0,TRUNC(AG44,2))</f>
        <v>0</v>
      </c>
      <c r="CA44" s="49" t="str">
        <f t="shared" ref="CA44:CA76" si="110">IF(CB44="","",IF(BZ44&lt;0,SUBSTITUTE(TEXT(BZ44,"000000000000,00"),",",""),SUBSTITUTE(TEXT(BZ44,"0000000000000,00"),",","")))</f>
        <v/>
      </c>
      <c r="CB44" s="52" t="str">
        <f t="shared" ref="CB44:CB77" si="111">IF(AI44="","",TEXT(AI44,"0000"))</f>
        <v/>
      </c>
      <c r="CC44" s="23">
        <f t="shared" ref="CC44:CC77" si="112">IF(TRIM(AJ44)="",0,TRUNC(AJ44,2))</f>
        <v>0</v>
      </c>
      <c r="CD44" s="49" t="str">
        <f t="shared" ref="CD44:CD76" si="113">IF(CB44="","",IF(CC44&lt;0,SUBSTITUTE(TEXT(CC44,"000000000000,00"),",",""),SUBSTITUTE(TEXT(CC44,"0000000000000,00"),",","")))</f>
        <v/>
      </c>
      <c r="CE44" s="56" t="str">
        <f>IF(CF44="","",MAX(CE$10:$CE43)+1)</f>
        <v/>
      </c>
      <c r="CF44" t="str">
        <f t="shared" ref="CF44:CF77" si="114">IF(B44="","",AP44&amp;AQ44&amp;AR44&amp;AS44&amp;AT44&amp;AU44&amp;AV44&amp;AW44&amp;AY44&amp;BA44&amp;BC44&amp;BE44&amp;BG44&amp;BI44&amp;BK44&amp;BM44&amp;BN44&amp;BO44&amp;BP44&amp;BQ44&amp;BS44&amp;BT44)</f>
        <v/>
      </c>
      <c r="CG44" s="22" t="str">
        <f>IF(CH44="","",MAX($CG$10:CG43)+1)</f>
        <v/>
      </c>
      <c r="CH44" s="22" t="str">
        <f t="shared" ref="CH44:CH75" si="115">IF(BV44="","",AQ44&amp;AR44&amp;AS44&amp;BV44&amp;BW44&amp;BY44)</f>
        <v/>
      </c>
      <c r="CI44" s="22" t="str">
        <f>IF(CJ44="","",MAX($CI$10:CI43)+1)</f>
        <v/>
      </c>
      <c r="CJ44" s="22" t="str">
        <f t="shared" ref="CJ44:CJ75" si="116">IF(CA44="","",AQ44&amp;AR44&amp;AS44&amp;CA44&amp;CB44&amp;CD44)</f>
        <v/>
      </c>
    </row>
    <row r="45" spans="2:88" x14ac:dyDescent="0.25">
      <c r="B45" s="37"/>
      <c r="C45" s="3"/>
      <c r="D45" s="77" t="str">
        <f t="shared" si="60"/>
        <v/>
      </c>
      <c r="E45" s="38"/>
      <c r="F45" s="38"/>
      <c r="G45" s="78">
        <f t="shared" si="61"/>
        <v>0</v>
      </c>
      <c r="H45" s="3">
        <v>80</v>
      </c>
      <c r="I45" s="77" t="str">
        <f t="shared" si="62"/>
        <v/>
      </c>
      <c r="J45" s="32"/>
      <c r="K45" s="3"/>
      <c r="L45" s="39"/>
      <c r="M45" s="39"/>
      <c r="N45" s="39"/>
      <c r="O45" s="39"/>
      <c r="P45" s="39"/>
      <c r="Q45" s="39"/>
      <c r="R45" s="39"/>
      <c r="S45" s="39"/>
      <c r="T45" s="3" t="s">
        <v>645</v>
      </c>
      <c r="U45" s="77" t="str">
        <f t="shared" si="63"/>
        <v/>
      </c>
      <c r="V45" s="39">
        <v>1</v>
      </c>
      <c r="W45" s="79">
        <f t="shared" si="64"/>
        <v>0</v>
      </c>
      <c r="X45" s="3">
        <v>0</v>
      </c>
      <c r="Y45" s="77" t="str">
        <f t="shared" si="65"/>
        <v/>
      </c>
      <c r="Z45" s="3"/>
      <c r="AA45" s="37" t="str">
        <f t="shared" si="66"/>
        <v/>
      </c>
      <c r="AC45" s="40"/>
      <c r="AD45" s="7"/>
      <c r="AE45" s="77" t="str">
        <f t="shared" si="67"/>
        <v/>
      </c>
      <c r="AF45" s="81">
        <f t="shared" si="68"/>
        <v>0</v>
      </c>
      <c r="AG45" s="40"/>
      <c r="AH45" s="7"/>
      <c r="AI45" s="77" t="str">
        <f t="shared" si="69"/>
        <v/>
      </c>
      <c r="AJ45" s="81">
        <f t="shared" si="70"/>
        <v>0</v>
      </c>
      <c r="AK45" s="83">
        <f t="shared" si="71"/>
        <v>0</v>
      </c>
      <c r="AL45" s="83">
        <f t="shared" si="72"/>
        <v>0</v>
      </c>
      <c r="AN45" s="43">
        <f t="shared" si="73"/>
        <v>0</v>
      </c>
      <c r="AP45" t="str">
        <f t="shared" si="74"/>
        <v/>
      </c>
      <c r="AQ45" t="str">
        <f t="shared" si="75"/>
        <v/>
      </c>
      <c r="AR45" t="str">
        <f t="shared" si="76"/>
        <v/>
      </c>
      <c r="AS45" t="str">
        <f t="shared" si="77"/>
        <v/>
      </c>
      <c r="AT45" t="str">
        <f t="shared" si="78"/>
        <v/>
      </c>
      <c r="AU45" t="str">
        <f t="shared" si="79"/>
        <v/>
      </c>
      <c r="AV45" t="str">
        <f t="shared" si="80"/>
        <v/>
      </c>
      <c r="AW45" t="str">
        <f t="shared" si="81"/>
        <v xml:space="preserve">                              </v>
      </c>
      <c r="AX45" s="23">
        <f t="shared" si="82"/>
        <v>0</v>
      </c>
      <c r="AY45" s="49" t="str">
        <f t="shared" si="83"/>
        <v>000000000000000</v>
      </c>
      <c r="AZ45" s="23">
        <f t="shared" si="84"/>
        <v>0</v>
      </c>
      <c r="BA45" s="49" t="str">
        <f t="shared" si="83"/>
        <v>000000000000000</v>
      </c>
      <c r="BB45" s="23">
        <f t="shared" si="85"/>
        <v>0</v>
      </c>
      <c r="BC45" s="49" t="str">
        <f t="shared" ref="BC45" si="117">IF(BB45&lt;0,SUBSTITUTE(TEXT(BB45,"000000000000,00"),",",""),SUBSTITUTE(TEXT(BB45,"0000000000000,00"),",",""))</f>
        <v>000000000000000</v>
      </c>
      <c r="BD45" s="23">
        <f t="shared" si="87"/>
        <v>0</v>
      </c>
      <c r="BE45" s="49" t="str">
        <f t="shared" ref="BE45" si="118">IF(BD45&lt;0,SUBSTITUTE(TEXT(BD45,"000000000000,00"),",",""),SUBSTITUTE(TEXT(BD45,"0000000000000,00"),",",""))</f>
        <v>000000000000000</v>
      </c>
      <c r="BF45" s="23">
        <f t="shared" si="89"/>
        <v>0</v>
      </c>
      <c r="BG45" s="49" t="str">
        <f t="shared" ref="BG45" si="119">IF(BF45&lt;0,SUBSTITUTE(TEXT(BF45,"000000000000,00"),",",""),SUBSTITUTE(TEXT(BF45,"0000000000000,00"),",",""))</f>
        <v>000000000000000</v>
      </c>
      <c r="BH45" s="23">
        <f t="shared" si="91"/>
        <v>0</v>
      </c>
      <c r="BI45" s="49" t="str">
        <f t="shared" ref="BI45" si="120">IF(BH45&lt;0,SUBSTITUTE(TEXT(BH45,"000000000000,00"),",",""),SUBSTITUTE(TEXT(BH45,"0000000000000,00"),",",""))</f>
        <v>000000000000000</v>
      </c>
      <c r="BJ45" s="23">
        <f t="shared" si="93"/>
        <v>0</v>
      </c>
      <c r="BK45" s="49" t="str">
        <f t="shared" ref="BK45" si="121">IF(BJ45&lt;0,SUBSTITUTE(TEXT(BJ45,"000000000000,00"),",",""),SUBSTITUTE(TEXT(BJ45,"0000000000000,00"),",",""))</f>
        <v>000000000000000</v>
      </c>
      <c r="BL45" s="23">
        <f t="shared" si="95"/>
        <v>0</v>
      </c>
      <c r="BM45" s="49" t="str">
        <f t="shared" ref="BM45" si="122">IF(BL45&lt;0,SUBSTITUTE(TEXT(BL45,"000000000000,00"),",",""),SUBSTITUTE(TEXT(BL45,"0000000000000,00"),",",""))</f>
        <v>000000000000000</v>
      </c>
      <c r="BN45" t="str">
        <f t="shared" si="97"/>
        <v>PES</v>
      </c>
      <c r="BO45" t="str">
        <f t="shared" si="98"/>
        <v>0001000000</v>
      </c>
      <c r="BP45">
        <f t="shared" si="99"/>
        <v>0</v>
      </c>
      <c r="BQ45">
        <f t="shared" si="100"/>
        <v>0</v>
      </c>
      <c r="BR45" s="23">
        <f t="shared" si="101"/>
        <v>0</v>
      </c>
      <c r="BS45" s="49" t="str">
        <f t="shared" si="102"/>
        <v>000000000000000</v>
      </c>
      <c r="BT45" t="str">
        <f t="shared" si="103"/>
        <v>00000000</v>
      </c>
      <c r="BU45" s="23">
        <f t="shared" si="104"/>
        <v>0</v>
      </c>
      <c r="BV45" s="49" t="str">
        <f t="shared" si="105"/>
        <v/>
      </c>
      <c r="BW45" s="52" t="str">
        <f t="shared" si="106"/>
        <v/>
      </c>
      <c r="BX45" s="23">
        <f t="shared" si="107"/>
        <v>0</v>
      </c>
      <c r="BY45" s="49" t="str">
        <f t="shared" si="108"/>
        <v/>
      </c>
      <c r="BZ45" s="23">
        <f t="shared" si="109"/>
        <v>0</v>
      </c>
      <c r="CA45" s="49" t="str">
        <f t="shared" si="110"/>
        <v/>
      </c>
      <c r="CB45" s="52" t="str">
        <f t="shared" si="111"/>
        <v/>
      </c>
      <c r="CC45" s="23">
        <f t="shared" si="112"/>
        <v>0</v>
      </c>
      <c r="CD45" s="49" t="str">
        <f t="shared" si="113"/>
        <v/>
      </c>
      <c r="CE45" s="56" t="str">
        <f>IF(CF45="","",MAX(CE$10:$CE44)+1)</f>
        <v/>
      </c>
      <c r="CF45" t="str">
        <f t="shared" si="114"/>
        <v/>
      </c>
      <c r="CG45" s="22" t="str">
        <f>IF(CH45="","",MAX($CG$10:CG44)+1)</f>
        <v/>
      </c>
      <c r="CH45" s="22" t="str">
        <f t="shared" si="115"/>
        <v/>
      </c>
      <c r="CI45" s="22" t="str">
        <f>IF(CJ45="","",MAX($CI$10:CI44)+1)</f>
        <v/>
      </c>
      <c r="CJ45" s="22" t="str">
        <f t="shared" si="116"/>
        <v/>
      </c>
    </row>
    <row r="46" spans="2:88" x14ac:dyDescent="0.25">
      <c r="B46" s="37"/>
      <c r="C46" s="3"/>
      <c r="D46" s="77" t="str">
        <f t="shared" si="60"/>
        <v/>
      </c>
      <c r="E46" s="38"/>
      <c r="F46" s="38"/>
      <c r="G46" s="78">
        <f t="shared" si="61"/>
        <v>0</v>
      </c>
      <c r="H46" s="3">
        <v>80</v>
      </c>
      <c r="I46" s="77" t="str">
        <f t="shared" si="62"/>
        <v/>
      </c>
      <c r="J46" s="32"/>
      <c r="K46" s="3"/>
      <c r="L46" s="39"/>
      <c r="M46" s="39"/>
      <c r="N46" s="39"/>
      <c r="O46" s="39"/>
      <c r="P46" s="39"/>
      <c r="Q46" s="39"/>
      <c r="R46" s="39"/>
      <c r="S46" s="39"/>
      <c r="T46" s="3" t="s">
        <v>645</v>
      </c>
      <c r="U46" s="77" t="str">
        <f t="shared" si="63"/>
        <v/>
      </c>
      <c r="V46" s="39">
        <v>1</v>
      </c>
      <c r="W46" s="79">
        <f t="shared" si="64"/>
        <v>0</v>
      </c>
      <c r="X46" s="3">
        <v>0</v>
      </c>
      <c r="Y46" s="77" t="str">
        <f t="shared" si="65"/>
        <v/>
      </c>
      <c r="Z46" s="3"/>
      <c r="AA46" s="37" t="str">
        <f t="shared" si="66"/>
        <v/>
      </c>
      <c r="AC46" s="40"/>
      <c r="AD46" s="7"/>
      <c r="AE46" s="77" t="str">
        <f t="shared" si="67"/>
        <v/>
      </c>
      <c r="AF46" s="81">
        <f t="shared" si="68"/>
        <v>0</v>
      </c>
      <c r="AG46" s="40"/>
      <c r="AH46" s="7"/>
      <c r="AI46" s="77" t="str">
        <f t="shared" si="69"/>
        <v/>
      </c>
      <c r="AJ46" s="81">
        <f t="shared" si="70"/>
        <v>0</v>
      </c>
      <c r="AK46" s="83">
        <f t="shared" si="71"/>
        <v>0</v>
      </c>
      <c r="AL46" s="83">
        <f t="shared" si="72"/>
        <v>0</v>
      </c>
      <c r="AN46" s="43">
        <f t="shared" si="73"/>
        <v>0</v>
      </c>
      <c r="AP46" t="str">
        <f t="shared" si="74"/>
        <v/>
      </c>
      <c r="AQ46" t="str">
        <f t="shared" si="75"/>
        <v/>
      </c>
      <c r="AR46" t="str">
        <f t="shared" si="76"/>
        <v/>
      </c>
      <c r="AS46" t="str">
        <f t="shared" si="77"/>
        <v/>
      </c>
      <c r="AT46" t="str">
        <f t="shared" si="78"/>
        <v/>
      </c>
      <c r="AU46" t="str">
        <f t="shared" si="79"/>
        <v/>
      </c>
      <c r="AV46" t="str">
        <f t="shared" si="80"/>
        <v/>
      </c>
      <c r="AW46" t="str">
        <f t="shared" si="81"/>
        <v xml:space="preserve">                              </v>
      </c>
      <c r="AX46" s="23">
        <f t="shared" si="82"/>
        <v>0</v>
      </c>
      <c r="AY46" s="49" t="str">
        <f t="shared" si="83"/>
        <v>000000000000000</v>
      </c>
      <c r="AZ46" s="23">
        <f t="shared" si="84"/>
        <v>0</v>
      </c>
      <c r="BA46" s="49" t="str">
        <f t="shared" si="83"/>
        <v>000000000000000</v>
      </c>
      <c r="BB46" s="23">
        <f t="shared" si="85"/>
        <v>0</v>
      </c>
      <c r="BC46" s="49" t="str">
        <f t="shared" ref="BC46" si="123">IF(BB46&lt;0,SUBSTITUTE(TEXT(BB46,"000000000000,00"),",",""),SUBSTITUTE(TEXT(BB46,"0000000000000,00"),",",""))</f>
        <v>000000000000000</v>
      </c>
      <c r="BD46" s="23">
        <f t="shared" si="87"/>
        <v>0</v>
      </c>
      <c r="BE46" s="49" t="str">
        <f t="shared" ref="BE46" si="124">IF(BD46&lt;0,SUBSTITUTE(TEXT(BD46,"000000000000,00"),",",""),SUBSTITUTE(TEXT(BD46,"0000000000000,00"),",",""))</f>
        <v>000000000000000</v>
      </c>
      <c r="BF46" s="23">
        <f t="shared" si="89"/>
        <v>0</v>
      </c>
      <c r="BG46" s="49" t="str">
        <f t="shared" ref="BG46" si="125">IF(BF46&lt;0,SUBSTITUTE(TEXT(BF46,"000000000000,00"),",",""),SUBSTITUTE(TEXT(BF46,"0000000000000,00"),",",""))</f>
        <v>000000000000000</v>
      </c>
      <c r="BH46" s="23">
        <f t="shared" si="91"/>
        <v>0</v>
      </c>
      <c r="BI46" s="49" t="str">
        <f t="shared" ref="BI46" si="126">IF(BH46&lt;0,SUBSTITUTE(TEXT(BH46,"000000000000,00"),",",""),SUBSTITUTE(TEXT(BH46,"0000000000000,00"),",",""))</f>
        <v>000000000000000</v>
      </c>
      <c r="BJ46" s="23">
        <f t="shared" si="93"/>
        <v>0</v>
      </c>
      <c r="BK46" s="49" t="str">
        <f t="shared" ref="BK46" si="127">IF(BJ46&lt;0,SUBSTITUTE(TEXT(BJ46,"000000000000,00"),",",""),SUBSTITUTE(TEXT(BJ46,"0000000000000,00"),",",""))</f>
        <v>000000000000000</v>
      </c>
      <c r="BL46" s="23">
        <f t="shared" si="95"/>
        <v>0</v>
      </c>
      <c r="BM46" s="49" t="str">
        <f t="shared" ref="BM46" si="128">IF(BL46&lt;0,SUBSTITUTE(TEXT(BL46,"000000000000,00"),",",""),SUBSTITUTE(TEXT(BL46,"0000000000000,00"),",",""))</f>
        <v>000000000000000</v>
      </c>
      <c r="BN46" t="str">
        <f t="shared" si="97"/>
        <v>PES</v>
      </c>
      <c r="BO46" t="str">
        <f t="shared" si="98"/>
        <v>0001000000</v>
      </c>
      <c r="BP46">
        <f t="shared" si="99"/>
        <v>0</v>
      </c>
      <c r="BQ46">
        <f t="shared" si="100"/>
        <v>0</v>
      </c>
      <c r="BR46" s="23">
        <f t="shared" si="101"/>
        <v>0</v>
      </c>
      <c r="BS46" s="49" t="str">
        <f t="shared" si="102"/>
        <v>000000000000000</v>
      </c>
      <c r="BT46" t="str">
        <f t="shared" si="103"/>
        <v>00000000</v>
      </c>
      <c r="BU46" s="23">
        <f t="shared" si="104"/>
        <v>0</v>
      </c>
      <c r="BV46" s="49" t="str">
        <f t="shared" si="105"/>
        <v/>
      </c>
      <c r="BW46" s="52" t="str">
        <f t="shared" si="106"/>
        <v/>
      </c>
      <c r="BX46" s="23">
        <f t="shared" si="107"/>
        <v>0</v>
      </c>
      <c r="BY46" s="49" t="str">
        <f t="shared" si="108"/>
        <v/>
      </c>
      <c r="BZ46" s="23">
        <f t="shared" si="109"/>
        <v>0</v>
      </c>
      <c r="CA46" s="49" t="str">
        <f t="shared" si="110"/>
        <v/>
      </c>
      <c r="CB46" s="52" t="str">
        <f t="shared" si="111"/>
        <v/>
      </c>
      <c r="CC46" s="23">
        <f t="shared" si="112"/>
        <v>0</v>
      </c>
      <c r="CD46" s="49" t="str">
        <f t="shared" si="113"/>
        <v/>
      </c>
      <c r="CE46" s="56" t="str">
        <f>IF(CF46="","",MAX(CE$10:$CE45)+1)</f>
        <v/>
      </c>
      <c r="CF46" t="str">
        <f t="shared" si="114"/>
        <v/>
      </c>
      <c r="CG46" s="22" t="str">
        <f>IF(CH46="","",MAX($CG$10:CG45)+1)</f>
        <v/>
      </c>
      <c r="CH46" s="22" t="str">
        <f t="shared" si="115"/>
        <v/>
      </c>
      <c r="CI46" s="22" t="str">
        <f>IF(CJ46="","",MAX($CI$10:CI45)+1)</f>
        <v/>
      </c>
      <c r="CJ46" s="22" t="str">
        <f t="shared" si="116"/>
        <v/>
      </c>
    </row>
    <row r="47" spans="2:88" x14ac:dyDescent="0.25">
      <c r="B47" s="37"/>
      <c r="C47" s="3"/>
      <c r="D47" s="77" t="str">
        <f t="shared" si="60"/>
        <v/>
      </c>
      <c r="E47" s="38"/>
      <c r="F47" s="38"/>
      <c r="G47" s="78">
        <f t="shared" si="61"/>
        <v>0</v>
      </c>
      <c r="H47" s="3">
        <v>80</v>
      </c>
      <c r="I47" s="77" t="str">
        <f t="shared" si="62"/>
        <v/>
      </c>
      <c r="J47" s="32"/>
      <c r="K47" s="3"/>
      <c r="L47" s="39"/>
      <c r="M47" s="39"/>
      <c r="N47" s="39"/>
      <c r="O47" s="39"/>
      <c r="P47" s="39"/>
      <c r="Q47" s="39"/>
      <c r="R47" s="39"/>
      <c r="S47" s="39"/>
      <c r="T47" s="3" t="s">
        <v>645</v>
      </c>
      <c r="U47" s="77" t="str">
        <f t="shared" si="63"/>
        <v/>
      </c>
      <c r="V47" s="39">
        <v>1</v>
      </c>
      <c r="W47" s="79">
        <f t="shared" si="64"/>
        <v>0</v>
      </c>
      <c r="X47" s="3">
        <v>0</v>
      </c>
      <c r="Y47" s="77" t="str">
        <f t="shared" si="65"/>
        <v/>
      </c>
      <c r="Z47" s="3"/>
      <c r="AA47" s="37" t="str">
        <f t="shared" si="66"/>
        <v/>
      </c>
      <c r="AC47" s="40"/>
      <c r="AD47" s="7"/>
      <c r="AE47" s="77" t="str">
        <f t="shared" si="67"/>
        <v/>
      </c>
      <c r="AF47" s="81">
        <f t="shared" si="68"/>
        <v>0</v>
      </c>
      <c r="AG47" s="40"/>
      <c r="AH47" s="7"/>
      <c r="AI47" s="77" t="str">
        <f t="shared" si="69"/>
        <v/>
      </c>
      <c r="AJ47" s="81">
        <f t="shared" si="70"/>
        <v>0</v>
      </c>
      <c r="AK47" s="83">
        <f t="shared" si="71"/>
        <v>0</v>
      </c>
      <c r="AL47" s="83">
        <f t="shared" si="72"/>
        <v>0</v>
      </c>
      <c r="AN47" s="43">
        <f t="shared" si="73"/>
        <v>0</v>
      </c>
      <c r="AP47" t="str">
        <f t="shared" si="74"/>
        <v/>
      </c>
      <c r="AQ47" t="str">
        <f t="shared" si="75"/>
        <v/>
      </c>
      <c r="AR47" t="str">
        <f t="shared" si="76"/>
        <v/>
      </c>
      <c r="AS47" t="str">
        <f t="shared" si="77"/>
        <v/>
      </c>
      <c r="AT47" t="str">
        <f t="shared" si="78"/>
        <v/>
      </c>
      <c r="AU47" t="str">
        <f t="shared" si="79"/>
        <v/>
      </c>
      <c r="AV47" t="str">
        <f t="shared" si="80"/>
        <v/>
      </c>
      <c r="AW47" t="str">
        <f t="shared" si="81"/>
        <v xml:space="preserve">                              </v>
      </c>
      <c r="AX47" s="23">
        <f t="shared" si="82"/>
        <v>0</v>
      </c>
      <c r="AY47" s="49" t="str">
        <f t="shared" si="83"/>
        <v>000000000000000</v>
      </c>
      <c r="AZ47" s="23">
        <f t="shared" si="84"/>
        <v>0</v>
      </c>
      <c r="BA47" s="49" t="str">
        <f t="shared" si="83"/>
        <v>000000000000000</v>
      </c>
      <c r="BB47" s="23">
        <f t="shared" si="85"/>
        <v>0</v>
      </c>
      <c r="BC47" s="49" t="str">
        <f t="shared" ref="BC47" si="129">IF(BB47&lt;0,SUBSTITUTE(TEXT(BB47,"000000000000,00"),",",""),SUBSTITUTE(TEXT(BB47,"0000000000000,00"),",",""))</f>
        <v>000000000000000</v>
      </c>
      <c r="BD47" s="23">
        <f t="shared" si="87"/>
        <v>0</v>
      </c>
      <c r="BE47" s="49" t="str">
        <f t="shared" ref="BE47" si="130">IF(BD47&lt;0,SUBSTITUTE(TEXT(BD47,"000000000000,00"),",",""),SUBSTITUTE(TEXT(BD47,"0000000000000,00"),",",""))</f>
        <v>000000000000000</v>
      </c>
      <c r="BF47" s="23">
        <f t="shared" si="89"/>
        <v>0</v>
      </c>
      <c r="BG47" s="49" t="str">
        <f t="shared" ref="BG47" si="131">IF(BF47&lt;0,SUBSTITUTE(TEXT(BF47,"000000000000,00"),",",""),SUBSTITUTE(TEXT(BF47,"0000000000000,00"),",",""))</f>
        <v>000000000000000</v>
      </c>
      <c r="BH47" s="23">
        <f t="shared" si="91"/>
        <v>0</v>
      </c>
      <c r="BI47" s="49" t="str">
        <f t="shared" ref="BI47" si="132">IF(BH47&lt;0,SUBSTITUTE(TEXT(BH47,"000000000000,00"),",",""),SUBSTITUTE(TEXT(BH47,"0000000000000,00"),",",""))</f>
        <v>000000000000000</v>
      </c>
      <c r="BJ47" s="23">
        <f t="shared" si="93"/>
        <v>0</v>
      </c>
      <c r="BK47" s="49" t="str">
        <f t="shared" ref="BK47" si="133">IF(BJ47&lt;0,SUBSTITUTE(TEXT(BJ47,"000000000000,00"),",",""),SUBSTITUTE(TEXT(BJ47,"0000000000000,00"),",",""))</f>
        <v>000000000000000</v>
      </c>
      <c r="BL47" s="23">
        <f t="shared" si="95"/>
        <v>0</v>
      </c>
      <c r="BM47" s="49" t="str">
        <f t="shared" ref="BM47" si="134">IF(BL47&lt;0,SUBSTITUTE(TEXT(BL47,"000000000000,00"),",",""),SUBSTITUTE(TEXT(BL47,"0000000000000,00"),",",""))</f>
        <v>000000000000000</v>
      </c>
      <c r="BN47" t="str">
        <f t="shared" si="97"/>
        <v>PES</v>
      </c>
      <c r="BO47" t="str">
        <f t="shared" si="98"/>
        <v>0001000000</v>
      </c>
      <c r="BP47">
        <f t="shared" si="99"/>
        <v>0</v>
      </c>
      <c r="BQ47">
        <f t="shared" si="100"/>
        <v>0</v>
      </c>
      <c r="BR47" s="23">
        <f t="shared" si="101"/>
        <v>0</v>
      </c>
      <c r="BS47" s="49" t="str">
        <f t="shared" si="102"/>
        <v>000000000000000</v>
      </c>
      <c r="BT47" t="str">
        <f t="shared" si="103"/>
        <v>00000000</v>
      </c>
      <c r="BU47" s="23">
        <f t="shared" si="104"/>
        <v>0</v>
      </c>
      <c r="BV47" s="49" t="str">
        <f t="shared" si="105"/>
        <v/>
      </c>
      <c r="BW47" s="52" t="str">
        <f t="shared" si="106"/>
        <v/>
      </c>
      <c r="BX47" s="23">
        <f t="shared" si="107"/>
        <v>0</v>
      </c>
      <c r="BY47" s="49" t="str">
        <f t="shared" si="108"/>
        <v/>
      </c>
      <c r="BZ47" s="23">
        <f t="shared" si="109"/>
        <v>0</v>
      </c>
      <c r="CA47" s="49" t="str">
        <f t="shared" si="110"/>
        <v/>
      </c>
      <c r="CB47" s="52" t="str">
        <f t="shared" si="111"/>
        <v/>
      </c>
      <c r="CC47" s="23">
        <f t="shared" si="112"/>
        <v>0</v>
      </c>
      <c r="CD47" s="49" t="str">
        <f t="shared" si="113"/>
        <v/>
      </c>
      <c r="CE47" s="56" t="str">
        <f>IF(CF47="","",MAX(CE$10:$CE46)+1)</f>
        <v/>
      </c>
      <c r="CF47" t="str">
        <f t="shared" si="114"/>
        <v/>
      </c>
      <c r="CG47" s="22" t="str">
        <f>IF(CH47="","",MAX($CG$10:CG46)+1)</f>
        <v/>
      </c>
      <c r="CH47" s="22" t="str">
        <f t="shared" si="115"/>
        <v/>
      </c>
      <c r="CI47" s="22" t="str">
        <f>IF(CJ47="","",MAX($CI$10:CI46)+1)</f>
        <v/>
      </c>
      <c r="CJ47" s="22" t="str">
        <f t="shared" si="116"/>
        <v/>
      </c>
    </row>
    <row r="48" spans="2:88" x14ac:dyDescent="0.25">
      <c r="B48" s="37"/>
      <c r="C48" s="3"/>
      <c r="D48" s="77" t="str">
        <f t="shared" si="60"/>
        <v/>
      </c>
      <c r="E48" s="38"/>
      <c r="F48" s="38"/>
      <c r="G48" s="78">
        <f t="shared" si="61"/>
        <v>0</v>
      </c>
      <c r="H48" s="3">
        <v>80</v>
      </c>
      <c r="I48" s="77" t="str">
        <f t="shared" si="62"/>
        <v/>
      </c>
      <c r="J48" s="32"/>
      <c r="K48" s="3"/>
      <c r="L48" s="39"/>
      <c r="M48" s="39"/>
      <c r="N48" s="39"/>
      <c r="O48" s="39"/>
      <c r="P48" s="39"/>
      <c r="Q48" s="39"/>
      <c r="R48" s="39"/>
      <c r="S48" s="39"/>
      <c r="T48" s="3" t="s">
        <v>645</v>
      </c>
      <c r="U48" s="77" t="str">
        <f t="shared" si="63"/>
        <v/>
      </c>
      <c r="V48" s="39">
        <v>1</v>
      </c>
      <c r="W48" s="79">
        <f t="shared" si="64"/>
        <v>0</v>
      </c>
      <c r="X48" s="3">
        <v>0</v>
      </c>
      <c r="Y48" s="77" t="str">
        <f t="shared" si="65"/>
        <v/>
      </c>
      <c r="Z48" s="3"/>
      <c r="AA48" s="37" t="str">
        <f t="shared" si="66"/>
        <v/>
      </c>
      <c r="AC48" s="40"/>
      <c r="AD48" s="7"/>
      <c r="AE48" s="77" t="str">
        <f t="shared" si="67"/>
        <v/>
      </c>
      <c r="AF48" s="81">
        <f t="shared" si="68"/>
        <v>0</v>
      </c>
      <c r="AG48" s="40"/>
      <c r="AH48" s="7"/>
      <c r="AI48" s="77" t="str">
        <f t="shared" si="69"/>
        <v/>
      </c>
      <c r="AJ48" s="81">
        <f t="shared" si="70"/>
        <v>0</v>
      </c>
      <c r="AK48" s="83">
        <f t="shared" si="71"/>
        <v>0</v>
      </c>
      <c r="AL48" s="83">
        <f t="shared" si="72"/>
        <v>0</v>
      </c>
      <c r="AN48" s="43">
        <f t="shared" si="73"/>
        <v>0</v>
      </c>
      <c r="AP48" t="str">
        <f t="shared" si="74"/>
        <v/>
      </c>
      <c r="AQ48" t="str">
        <f t="shared" si="75"/>
        <v/>
      </c>
      <c r="AR48" t="str">
        <f t="shared" si="76"/>
        <v/>
      </c>
      <c r="AS48" t="str">
        <f t="shared" si="77"/>
        <v/>
      </c>
      <c r="AT48" t="str">
        <f t="shared" si="78"/>
        <v/>
      </c>
      <c r="AU48" t="str">
        <f t="shared" si="79"/>
        <v/>
      </c>
      <c r="AV48" t="str">
        <f t="shared" si="80"/>
        <v/>
      </c>
      <c r="AW48" t="str">
        <f t="shared" si="81"/>
        <v xml:space="preserve">                              </v>
      </c>
      <c r="AX48" s="23">
        <f t="shared" si="82"/>
        <v>0</v>
      </c>
      <c r="AY48" s="49" t="str">
        <f t="shared" si="83"/>
        <v>000000000000000</v>
      </c>
      <c r="AZ48" s="23">
        <f t="shared" si="84"/>
        <v>0</v>
      </c>
      <c r="BA48" s="49" t="str">
        <f t="shared" si="83"/>
        <v>000000000000000</v>
      </c>
      <c r="BB48" s="23">
        <f t="shared" si="85"/>
        <v>0</v>
      </c>
      <c r="BC48" s="49" t="str">
        <f t="shared" ref="BC48" si="135">IF(BB48&lt;0,SUBSTITUTE(TEXT(BB48,"000000000000,00"),",",""),SUBSTITUTE(TEXT(BB48,"0000000000000,00"),",",""))</f>
        <v>000000000000000</v>
      </c>
      <c r="BD48" s="23">
        <f t="shared" si="87"/>
        <v>0</v>
      </c>
      <c r="BE48" s="49" t="str">
        <f t="shared" ref="BE48" si="136">IF(BD48&lt;0,SUBSTITUTE(TEXT(BD48,"000000000000,00"),",",""),SUBSTITUTE(TEXT(BD48,"0000000000000,00"),",",""))</f>
        <v>000000000000000</v>
      </c>
      <c r="BF48" s="23">
        <f t="shared" si="89"/>
        <v>0</v>
      </c>
      <c r="BG48" s="49" t="str">
        <f t="shared" ref="BG48" si="137">IF(BF48&lt;0,SUBSTITUTE(TEXT(BF48,"000000000000,00"),",",""),SUBSTITUTE(TEXT(BF48,"0000000000000,00"),",",""))</f>
        <v>000000000000000</v>
      </c>
      <c r="BH48" s="23">
        <f t="shared" si="91"/>
        <v>0</v>
      </c>
      <c r="BI48" s="49" t="str">
        <f t="shared" ref="BI48" si="138">IF(BH48&lt;0,SUBSTITUTE(TEXT(BH48,"000000000000,00"),",",""),SUBSTITUTE(TEXT(BH48,"0000000000000,00"),",",""))</f>
        <v>000000000000000</v>
      </c>
      <c r="BJ48" s="23">
        <f t="shared" si="93"/>
        <v>0</v>
      </c>
      <c r="BK48" s="49" t="str">
        <f t="shared" ref="BK48" si="139">IF(BJ48&lt;0,SUBSTITUTE(TEXT(BJ48,"000000000000,00"),",",""),SUBSTITUTE(TEXT(BJ48,"0000000000000,00"),",",""))</f>
        <v>000000000000000</v>
      </c>
      <c r="BL48" s="23">
        <f t="shared" si="95"/>
        <v>0</v>
      </c>
      <c r="BM48" s="49" t="str">
        <f t="shared" ref="BM48" si="140">IF(BL48&lt;0,SUBSTITUTE(TEXT(BL48,"000000000000,00"),",",""),SUBSTITUTE(TEXT(BL48,"0000000000000,00"),",",""))</f>
        <v>000000000000000</v>
      </c>
      <c r="BN48" t="str">
        <f t="shared" si="97"/>
        <v>PES</v>
      </c>
      <c r="BO48" t="str">
        <f t="shared" si="98"/>
        <v>0001000000</v>
      </c>
      <c r="BP48">
        <f t="shared" si="99"/>
        <v>0</v>
      </c>
      <c r="BQ48">
        <f t="shared" si="100"/>
        <v>0</v>
      </c>
      <c r="BR48" s="23">
        <f t="shared" si="101"/>
        <v>0</v>
      </c>
      <c r="BS48" s="49" t="str">
        <f t="shared" si="102"/>
        <v>000000000000000</v>
      </c>
      <c r="BT48" t="str">
        <f t="shared" si="103"/>
        <v>00000000</v>
      </c>
      <c r="BU48" s="23">
        <f t="shared" si="104"/>
        <v>0</v>
      </c>
      <c r="BV48" s="49" t="str">
        <f t="shared" si="105"/>
        <v/>
      </c>
      <c r="BW48" s="52" t="str">
        <f t="shared" si="106"/>
        <v/>
      </c>
      <c r="BX48" s="23">
        <f t="shared" si="107"/>
        <v>0</v>
      </c>
      <c r="BY48" s="49" t="str">
        <f t="shared" si="108"/>
        <v/>
      </c>
      <c r="BZ48" s="23">
        <f t="shared" si="109"/>
        <v>0</v>
      </c>
      <c r="CA48" s="49" t="str">
        <f t="shared" si="110"/>
        <v/>
      </c>
      <c r="CB48" s="52" t="str">
        <f t="shared" si="111"/>
        <v/>
      </c>
      <c r="CC48" s="23">
        <f t="shared" si="112"/>
        <v>0</v>
      </c>
      <c r="CD48" s="49" t="str">
        <f t="shared" si="113"/>
        <v/>
      </c>
      <c r="CE48" s="56" t="str">
        <f>IF(CF48="","",MAX(CE$10:$CE47)+1)</f>
        <v/>
      </c>
      <c r="CF48" t="str">
        <f t="shared" si="114"/>
        <v/>
      </c>
      <c r="CG48" s="22" t="str">
        <f>IF(CH48="","",MAX($CG$10:CG47)+1)</f>
        <v/>
      </c>
      <c r="CH48" s="22" t="str">
        <f t="shared" si="115"/>
        <v/>
      </c>
      <c r="CI48" s="22" t="str">
        <f>IF(CJ48="","",MAX($CI$10:CI47)+1)</f>
        <v/>
      </c>
      <c r="CJ48" s="22" t="str">
        <f t="shared" si="116"/>
        <v/>
      </c>
    </row>
    <row r="49" spans="2:88" x14ac:dyDescent="0.25">
      <c r="B49" s="37"/>
      <c r="C49" s="3"/>
      <c r="D49" s="77" t="str">
        <f t="shared" si="60"/>
        <v/>
      </c>
      <c r="E49" s="38"/>
      <c r="F49" s="38"/>
      <c r="G49" s="78">
        <f t="shared" si="61"/>
        <v>0</v>
      </c>
      <c r="H49" s="3">
        <v>80</v>
      </c>
      <c r="I49" s="77" t="str">
        <f t="shared" si="62"/>
        <v/>
      </c>
      <c r="J49" s="32"/>
      <c r="K49" s="3"/>
      <c r="L49" s="39"/>
      <c r="M49" s="39"/>
      <c r="N49" s="39"/>
      <c r="O49" s="39"/>
      <c r="P49" s="39"/>
      <c r="Q49" s="39"/>
      <c r="R49" s="39"/>
      <c r="S49" s="39"/>
      <c r="T49" s="3" t="s">
        <v>645</v>
      </c>
      <c r="U49" s="77" t="str">
        <f t="shared" si="63"/>
        <v/>
      </c>
      <c r="V49" s="39">
        <v>1</v>
      </c>
      <c r="W49" s="79">
        <f t="shared" si="64"/>
        <v>0</v>
      </c>
      <c r="X49" s="3">
        <v>0</v>
      </c>
      <c r="Y49" s="77" t="str">
        <f t="shared" si="65"/>
        <v/>
      </c>
      <c r="Z49" s="3"/>
      <c r="AA49" s="37" t="str">
        <f t="shared" si="66"/>
        <v/>
      </c>
      <c r="AC49" s="40"/>
      <c r="AD49" s="7"/>
      <c r="AE49" s="77" t="str">
        <f t="shared" si="67"/>
        <v/>
      </c>
      <c r="AF49" s="81">
        <f t="shared" si="68"/>
        <v>0</v>
      </c>
      <c r="AG49" s="40"/>
      <c r="AH49" s="7"/>
      <c r="AI49" s="77" t="str">
        <f t="shared" si="69"/>
        <v/>
      </c>
      <c r="AJ49" s="81">
        <f t="shared" si="70"/>
        <v>0</v>
      </c>
      <c r="AK49" s="83">
        <f t="shared" si="71"/>
        <v>0</v>
      </c>
      <c r="AL49" s="83">
        <f t="shared" si="72"/>
        <v>0</v>
      </c>
      <c r="AN49" s="43">
        <f t="shared" si="73"/>
        <v>0</v>
      </c>
      <c r="AP49" t="str">
        <f t="shared" si="74"/>
        <v/>
      </c>
      <c r="AQ49" t="str">
        <f t="shared" si="75"/>
        <v/>
      </c>
      <c r="AR49" t="str">
        <f t="shared" si="76"/>
        <v/>
      </c>
      <c r="AS49" t="str">
        <f t="shared" si="77"/>
        <v/>
      </c>
      <c r="AT49" t="str">
        <f t="shared" si="78"/>
        <v/>
      </c>
      <c r="AU49" t="str">
        <f t="shared" si="79"/>
        <v/>
      </c>
      <c r="AV49" t="str">
        <f t="shared" si="80"/>
        <v/>
      </c>
      <c r="AW49" t="str">
        <f t="shared" si="81"/>
        <v xml:space="preserve">                              </v>
      </c>
      <c r="AX49" s="23">
        <f t="shared" si="82"/>
        <v>0</v>
      </c>
      <c r="AY49" s="49" t="str">
        <f t="shared" si="83"/>
        <v>000000000000000</v>
      </c>
      <c r="AZ49" s="23">
        <f t="shared" si="84"/>
        <v>0</v>
      </c>
      <c r="BA49" s="49" t="str">
        <f t="shared" si="83"/>
        <v>000000000000000</v>
      </c>
      <c r="BB49" s="23">
        <f t="shared" si="85"/>
        <v>0</v>
      </c>
      <c r="BC49" s="49" t="str">
        <f t="shared" ref="BC49" si="141">IF(BB49&lt;0,SUBSTITUTE(TEXT(BB49,"000000000000,00"),",",""),SUBSTITUTE(TEXT(BB49,"0000000000000,00"),",",""))</f>
        <v>000000000000000</v>
      </c>
      <c r="BD49" s="23">
        <f t="shared" si="87"/>
        <v>0</v>
      </c>
      <c r="BE49" s="49" t="str">
        <f t="shared" ref="BE49" si="142">IF(BD49&lt;0,SUBSTITUTE(TEXT(BD49,"000000000000,00"),",",""),SUBSTITUTE(TEXT(BD49,"0000000000000,00"),",",""))</f>
        <v>000000000000000</v>
      </c>
      <c r="BF49" s="23">
        <f t="shared" si="89"/>
        <v>0</v>
      </c>
      <c r="BG49" s="49" t="str">
        <f t="shared" ref="BG49" si="143">IF(BF49&lt;0,SUBSTITUTE(TEXT(BF49,"000000000000,00"),",",""),SUBSTITUTE(TEXT(BF49,"0000000000000,00"),",",""))</f>
        <v>000000000000000</v>
      </c>
      <c r="BH49" s="23">
        <f t="shared" si="91"/>
        <v>0</v>
      </c>
      <c r="BI49" s="49" t="str">
        <f t="shared" ref="BI49" si="144">IF(BH49&lt;0,SUBSTITUTE(TEXT(BH49,"000000000000,00"),",",""),SUBSTITUTE(TEXT(BH49,"0000000000000,00"),",",""))</f>
        <v>000000000000000</v>
      </c>
      <c r="BJ49" s="23">
        <f t="shared" si="93"/>
        <v>0</v>
      </c>
      <c r="BK49" s="49" t="str">
        <f t="shared" ref="BK49" si="145">IF(BJ49&lt;0,SUBSTITUTE(TEXT(BJ49,"000000000000,00"),",",""),SUBSTITUTE(TEXT(BJ49,"0000000000000,00"),",",""))</f>
        <v>000000000000000</v>
      </c>
      <c r="BL49" s="23">
        <f t="shared" si="95"/>
        <v>0</v>
      </c>
      <c r="BM49" s="49" t="str">
        <f t="shared" ref="BM49" si="146">IF(BL49&lt;0,SUBSTITUTE(TEXT(BL49,"000000000000,00"),",",""),SUBSTITUTE(TEXT(BL49,"0000000000000,00"),",",""))</f>
        <v>000000000000000</v>
      </c>
      <c r="BN49" t="str">
        <f t="shared" si="97"/>
        <v>PES</v>
      </c>
      <c r="BO49" t="str">
        <f t="shared" si="98"/>
        <v>0001000000</v>
      </c>
      <c r="BP49">
        <f t="shared" si="99"/>
        <v>0</v>
      </c>
      <c r="BQ49">
        <f t="shared" si="100"/>
        <v>0</v>
      </c>
      <c r="BR49" s="23">
        <f t="shared" si="101"/>
        <v>0</v>
      </c>
      <c r="BS49" s="49" t="str">
        <f t="shared" si="102"/>
        <v>000000000000000</v>
      </c>
      <c r="BT49" t="str">
        <f t="shared" si="103"/>
        <v>00000000</v>
      </c>
      <c r="BU49" s="23">
        <f t="shared" si="104"/>
        <v>0</v>
      </c>
      <c r="BV49" s="49" t="str">
        <f t="shared" si="105"/>
        <v/>
      </c>
      <c r="BW49" s="52" t="str">
        <f t="shared" si="106"/>
        <v/>
      </c>
      <c r="BX49" s="23">
        <f t="shared" si="107"/>
        <v>0</v>
      </c>
      <c r="BY49" s="49" t="str">
        <f t="shared" si="108"/>
        <v/>
      </c>
      <c r="BZ49" s="23">
        <f t="shared" si="109"/>
        <v>0</v>
      </c>
      <c r="CA49" s="49" t="str">
        <f t="shared" si="110"/>
        <v/>
      </c>
      <c r="CB49" s="52" t="str">
        <f t="shared" si="111"/>
        <v/>
      </c>
      <c r="CC49" s="23">
        <f t="shared" si="112"/>
        <v>0</v>
      </c>
      <c r="CD49" s="49" t="str">
        <f t="shared" si="113"/>
        <v/>
      </c>
      <c r="CE49" s="56" t="str">
        <f>IF(CF49="","",MAX(CE$10:$CE48)+1)</f>
        <v/>
      </c>
      <c r="CF49" t="str">
        <f t="shared" si="114"/>
        <v/>
      </c>
      <c r="CG49" s="22" t="str">
        <f>IF(CH49="","",MAX($CG$10:CG48)+1)</f>
        <v/>
      </c>
      <c r="CH49" s="22" t="str">
        <f t="shared" si="115"/>
        <v/>
      </c>
      <c r="CI49" s="22" t="str">
        <f>IF(CJ49="","",MAX($CI$10:CI48)+1)</f>
        <v/>
      </c>
      <c r="CJ49" s="22" t="str">
        <f t="shared" si="116"/>
        <v/>
      </c>
    </row>
    <row r="50" spans="2:88" x14ac:dyDescent="0.25">
      <c r="B50" s="37"/>
      <c r="C50" s="3"/>
      <c r="D50" s="77" t="str">
        <f t="shared" si="60"/>
        <v/>
      </c>
      <c r="E50" s="38"/>
      <c r="F50" s="38"/>
      <c r="G50" s="78">
        <f t="shared" si="61"/>
        <v>0</v>
      </c>
      <c r="H50" s="3">
        <v>80</v>
      </c>
      <c r="I50" s="77" t="str">
        <f t="shared" si="62"/>
        <v/>
      </c>
      <c r="J50" s="32"/>
      <c r="K50" s="3"/>
      <c r="L50" s="39"/>
      <c r="M50" s="39"/>
      <c r="N50" s="39"/>
      <c r="O50" s="39"/>
      <c r="P50" s="39"/>
      <c r="Q50" s="39"/>
      <c r="R50" s="39"/>
      <c r="S50" s="39"/>
      <c r="T50" s="3" t="s">
        <v>645</v>
      </c>
      <c r="U50" s="77" t="str">
        <f t="shared" si="63"/>
        <v/>
      </c>
      <c r="V50" s="39">
        <v>1</v>
      </c>
      <c r="W50" s="79">
        <f t="shared" si="64"/>
        <v>0</v>
      </c>
      <c r="X50" s="3">
        <v>0</v>
      </c>
      <c r="Y50" s="77" t="str">
        <f t="shared" si="65"/>
        <v/>
      </c>
      <c r="Z50" s="3"/>
      <c r="AA50" s="37" t="str">
        <f t="shared" si="66"/>
        <v/>
      </c>
      <c r="AC50" s="40"/>
      <c r="AD50" s="7"/>
      <c r="AE50" s="77" t="str">
        <f t="shared" si="67"/>
        <v/>
      </c>
      <c r="AF50" s="81">
        <f t="shared" si="68"/>
        <v>0</v>
      </c>
      <c r="AG50" s="40"/>
      <c r="AH50" s="7"/>
      <c r="AI50" s="77" t="str">
        <f t="shared" si="69"/>
        <v/>
      </c>
      <c r="AJ50" s="81">
        <f t="shared" si="70"/>
        <v>0</v>
      </c>
      <c r="AK50" s="83">
        <f t="shared" si="71"/>
        <v>0</v>
      </c>
      <c r="AL50" s="83">
        <f t="shared" si="72"/>
        <v>0</v>
      </c>
      <c r="AN50" s="43">
        <f t="shared" si="73"/>
        <v>0</v>
      </c>
      <c r="AP50" t="str">
        <f t="shared" si="74"/>
        <v/>
      </c>
      <c r="AQ50" t="str">
        <f t="shared" si="75"/>
        <v/>
      </c>
      <c r="AR50" t="str">
        <f t="shared" si="76"/>
        <v/>
      </c>
      <c r="AS50" t="str">
        <f t="shared" si="77"/>
        <v/>
      </c>
      <c r="AT50" t="str">
        <f t="shared" si="78"/>
        <v/>
      </c>
      <c r="AU50" t="str">
        <f t="shared" si="79"/>
        <v/>
      </c>
      <c r="AV50" t="str">
        <f t="shared" si="80"/>
        <v/>
      </c>
      <c r="AW50" t="str">
        <f t="shared" si="81"/>
        <v xml:space="preserve">                              </v>
      </c>
      <c r="AX50" s="23">
        <f t="shared" si="82"/>
        <v>0</v>
      </c>
      <c r="AY50" s="49" t="str">
        <f t="shared" si="83"/>
        <v>000000000000000</v>
      </c>
      <c r="AZ50" s="23">
        <f t="shared" si="84"/>
        <v>0</v>
      </c>
      <c r="BA50" s="49" t="str">
        <f t="shared" si="83"/>
        <v>000000000000000</v>
      </c>
      <c r="BB50" s="23">
        <f t="shared" si="85"/>
        <v>0</v>
      </c>
      <c r="BC50" s="49" t="str">
        <f t="shared" ref="BC50" si="147">IF(BB50&lt;0,SUBSTITUTE(TEXT(BB50,"000000000000,00"),",",""),SUBSTITUTE(TEXT(BB50,"0000000000000,00"),",",""))</f>
        <v>000000000000000</v>
      </c>
      <c r="BD50" s="23">
        <f t="shared" si="87"/>
        <v>0</v>
      </c>
      <c r="BE50" s="49" t="str">
        <f t="shared" ref="BE50" si="148">IF(BD50&lt;0,SUBSTITUTE(TEXT(BD50,"000000000000,00"),",",""),SUBSTITUTE(TEXT(BD50,"0000000000000,00"),",",""))</f>
        <v>000000000000000</v>
      </c>
      <c r="BF50" s="23">
        <f t="shared" si="89"/>
        <v>0</v>
      </c>
      <c r="BG50" s="49" t="str">
        <f t="shared" ref="BG50" si="149">IF(BF50&lt;0,SUBSTITUTE(TEXT(BF50,"000000000000,00"),",",""),SUBSTITUTE(TEXT(BF50,"0000000000000,00"),",",""))</f>
        <v>000000000000000</v>
      </c>
      <c r="BH50" s="23">
        <f t="shared" si="91"/>
        <v>0</v>
      </c>
      <c r="BI50" s="49" t="str">
        <f t="shared" ref="BI50" si="150">IF(BH50&lt;0,SUBSTITUTE(TEXT(BH50,"000000000000,00"),",",""),SUBSTITUTE(TEXT(BH50,"0000000000000,00"),",",""))</f>
        <v>000000000000000</v>
      </c>
      <c r="BJ50" s="23">
        <f t="shared" si="93"/>
        <v>0</v>
      </c>
      <c r="BK50" s="49" t="str">
        <f t="shared" ref="BK50" si="151">IF(BJ50&lt;0,SUBSTITUTE(TEXT(BJ50,"000000000000,00"),",",""),SUBSTITUTE(TEXT(BJ50,"0000000000000,00"),",",""))</f>
        <v>000000000000000</v>
      </c>
      <c r="BL50" s="23">
        <f t="shared" si="95"/>
        <v>0</v>
      </c>
      <c r="BM50" s="49" t="str">
        <f t="shared" ref="BM50" si="152">IF(BL50&lt;0,SUBSTITUTE(TEXT(BL50,"000000000000,00"),",",""),SUBSTITUTE(TEXT(BL50,"0000000000000,00"),",",""))</f>
        <v>000000000000000</v>
      </c>
      <c r="BN50" t="str">
        <f t="shared" si="97"/>
        <v>PES</v>
      </c>
      <c r="BO50" t="str">
        <f t="shared" si="98"/>
        <v>0001000000</v>
      </c>
      <c r="BP50">
        <f t="shared" si="99"/>
        <v>0</v>
      </c>
      <c r="BQ50">
        <f t="shared" si="100"/>
        <v>0</v>
      </c>
      <c r="BR50" s="23">
        <f t="shared" si="101"/>
        <v>0</v>
      </c>
      <c r="BS50" s="49" t="str">
        <f t="shared" si="102"/>
        <v>000000000000000</v>
      </c>
      <c r="BT50" t="str">
        <f t="shared" si="103"/>
        <v>00000000</v>
      </c>
      <c r="BU50" s="23">
        <f t="shared" si="104"/>
        <v>0</v>
      </c>
      <c r="BV50" s="49" t="str">
        <f t="shared" si="105"/>
        <v/>
      </c>
      <c r="BW50" s="52" t="str">
        <f t="shared" si="106"/>
        <v/>
      </c>
      <c r="BX50" s="23">
        <f t="shared" si="107"/>
        <v>0</v>
      </c>
      <c r="BY50" s="49" t="str">
        <f t="shared" si="108"/>
        <v/>
      </c>
      <c r="BZ50" s="23">
        <f t="shared" si="109"/>
        <v>0</v>
      </c>
      <c r="CA50" s="49" t="str">
        <f t="shared" si="110"/>
        <v/>
      </c>
      <c r="CB50" s="52" t="str">
        <f t="shared" si="111"/>
        <v/>
      </c>
      <c r="CC50" s="23">
        <f t="shared" si="112"/>
        <v>0</v>
      </c>
      <c r="CD50" s="49" t="str">
        <f t="shared" si="113"/>
        <v/>
      </c>
      <c r="CE50" s="56" t="str">
        <f>IF(CF50="","",MAX(CE$10:$CE49)+1)</f>
        <v/>
      </c>
      <c r="CF50" t="str">
        <f t="shared" si="114"/>
        <v/>
      </c>
      <c r="CG50" s="22" t="str">
        <f>IF(CH50="","",MAX($CG$10:CG49)+1)</f>
        <v/>
      </c>
      <c r="CH50" s="22" t="str">
        <f t="shared" si="115"/>
        <v/>
      </c>
      <c r="CI50" s="22" t="str">
        <f>IF(CJ50="","",MAX($CI$10:CI49)+1)</f>
        <v/>
      </c>
      <c r="CJ50" s="22" t="str">
        <f t="shared" si="116"/>
        <v/>
      </c>
    </row>
    <row r="51" spans="2:88" x14ac:dyDescent="0.25">
      <c r="B51" s="37"/>
      <c r="C51" s="3"/>
      <c r="D51" s="77" t="str">
        <f t="shared" si="60"/>
        <v/>
      </c>
      <c r="E51" s="38"/>
      <c r="F51" s="38"/>
      <c r="G51" s="78">
        <f t="shared" si="61"/>
        <v>0</v>
      </c>
      <c r="H51" s="3">
        <v>80</v>
      </c>
      <c r="I51" s="77" t="str">
        <f t="shared" si="62"/>
        <v/>
      </c>
      <c r="J51" s="32"/>
      <c r="K51" s="3"/>
      <c r="L51" s="39"/>
      <c r="M51" s="39"/>
      <c r="N51" s="39"/>
      <c r="O51" s="39"/>
      <c r="P51" s="39"/>
      <c r="Q51" s="39"/>
      <c r="R51" s="39"/>
      <c r="S51" s="39"/>
      <c r="T51" s="3" t="s">
        <v>645</v>
      </c>
      <c r="U51" s="77" t="str">
        <f t="shared" si="63"/>
        <v/>
      </c>
      <c r="V51" s="39">
        <v>1</v>
      </c>
      <c r="W51" s="79">
        <f t="shared" si="64"/>
        <v>0</v>
      </c>
      <c r="X51" s="3">
        <v>0</v>
      </c>
      <c r="Y51" s="77" t="str">
        <f t="shared" si="65"/>
        <v/>
      </c>
      <c r="Z51" s="3"/>
      <c r="AA51" s="37" t="str">
        <f t="shared" si="66"/>
        <v/>
      </c>
      <c r="AC51" s="40"/>
      <c r="AD51" s="7"/>
      <c r="AE51" s="77" t="str">
        <f t="shared" si="67"/>
        <v/>
      </c>
      <c r="AF51" s="81">
        <f t="shared" si="68"/>
        <v>0</v>
      </c>
      <c r="AG51" s="40"/>
      <c r="AH51" s="7"/>
      <c r="AI51" s="77" t="str">
        <f t="shared" si="69"/>
        <v/>
      </c>
      <c r="AJ51" s="81">
        <f t="shared" si="70"/>
        <v>0</v>
      </c>
      <c r="AK51" s="83">
        <f t="shared" si="71"/>
        <v>0</v>
      </c>
      <c r="AL51" s="83">
        <f t="shared" si="72"/>
        <v>0</v>
      </c>
      <c r="AN51" s="43">
        <f t="shared" si="73"/>
        <v>0</v>
      </c>
      <c r="AP51" t="str">
        <f t="shared" si="74"/>
        <v/>
      </c>
      <c r="AQ51" t="str">
        <f t="shared" si="75"/>
        <v/>
      </c>
      <c r="AR51" t="str">
        <f t="shared" si="76"/>
        <v/>
      </c>
      <c r="AS51" t="str">
        <f t="shared" si="77"/>
        <v/>
      </c>
      <c r="AT51" t="str">
        <f t="shared" si="78"/>
        <v/>
      </c>
      <c r="AU51" t="str">
        <f t="shared" si="79"/>
        <v/>
      </c>
      <c r="AV51" t="str">
        <f t="shared" si="80"/>
        <v/>
      </c>
      <c r="AW51" t="str">
        <f t="shared" si="81"/>
        <v xml:space="preserve">                              </v>
      </c>
      <c r="AX51" s="23">
        <f t="shared" si="82"/>
        <v>0</v>
      </c>
      <c r="AY51" s="49" t="str">
        <f t="shared" si="83"/>
        <v>000000000000000</v>
      </c>
      <c r="AZ51" s="23">
        <f t="shared" si="84"/>
        <v>0</v>
      </c>
      <c r="BA51" s="49" t="str">
        <f t="shared" si="83"/>
        <v>000000000000000</v>
      </c>
      <c r="BB51" s="23">
        <f t="shared" si="85"/>
        <v>0</v>
      </c>
      <c r="BC51" s="49" t="str">
        <f t="shared" ref="BC51" si="153">IF(BB51&lt;0,SUBSTITUTE(TEXT(BB51,"000000000000,00"),",",""),SUBSTITUTE(TEXT(BB51,"0000000000000,00"),",",""))</f>
        <v>000000000000000</v>
      </c>
      <c r="BD51" s="23">
        <f t="shared" si="87"/>
        <v>0</v>
      </c>
      <c r="BE51" s="49" t="str">
        <f t="shared" ref="BE51" si="154">IF(BD51&lt;0,SUBSTITUTE(TEXT(BD51,"000000000000,00"),",",""),SUBSTITUTE(TEXT(BD51,"0000000000000,00"),",",""))</f>
        <v>000000000000000</v>
      </c>
      <c r="BF51" s="23">
        <f t="shared" si="89"/>
        <v>0</v>
      </c>
      <c r="BG51" s="49" t="str">
        <f t="shared" ref="BG51" si="155">IF(BF51&lt;0,SUBSTITUTE(TEXT(BF51,"000000000000,00"),",",""),SUBSTITUTE(TEXT(BF51,"0000000000000,00"),",",""))</f>
        <v>000000000000000</v>
      </c>
      <c r="BH51" s="23">
        <f t="shared" si="91"/>
        <v>0</v>
      </c>
      <c r="BI51" s="49" t="str">
        <f t="shared" ref="BI51" si="156">IF(BH51&lt;0,SUBSTITUTE(TEXT(BH51,"000000000000,00"),",",""),SUBSTITUTE(TEXT(BH51,"0000000000000,00"),",",""))</f>
        <v>000000000000000</v>
      </c>
      <c r="BJ51" s="23">
        <f t="shared" si="93"/>
        <v>0</v>
      </c>
      <c r="BK51" s="49" t="str">
        <f t="shared" ref="BK51" si="157">IF(BJ51&lt;0,SUBSTITUTE(TEXT(BJ51,"000000000000,00"),",",""),SUBSTITUTE(TEXT(BJ51,"0000000000000,00"),",",""))</f>
        <v>000000000000000</v>
      </c>
      <c r="BL51" s="23">
        <f t="shared" si="95"/>
        <v>0</v>
      </c>
      <c r="BM51" s="49" t="str">
        <f t="shared" ref="BM51" si="158">IF(BL51&lt;0,SUBSTITUTE(TEXT(BL51,"000000000000,00"),",",""),SUBSTITUTE(TEXT(BL51,"0000000000000,00"),",",""))</f>
        <v>000000000000000</v>
      </c>
      <c r="BN51" t="str">
        <f t="shared" si="97"/>
        <v>PES</v>
      </c>
      <c r="BO51" t="str">
        <f t="shared" si="98"/>
        <v>0001000000</v>
      </c>
      <c r="BP51">
        <f t="shared" si="99"/>
        <v>0</v>
      </c>
      <c r="BQ51">
        <f t="shared" si="100"/>
        <v>0</v>
      </c>
      <c r="BR51" s="23">
        <f t="shared" si="101"/>
        <v>0</v>
      </c>
      <c r="BS51" s="49" t="str">
        <f t="shared" si="102"/>
        <v>000000000000000</v>
      </c>
      <c r="BT51" t="str">
        <f t="shared" si="103"/>
        <v>00000000</v>
      </c>
      <c r="BU51" s="23">
        <f t="shared" si="104"/>
        <v>0</v>
      </c>
      <c r="BV51" s="49" t="str">
        <f t="shared" si="105"/>
        <v/>
      </c>
      <c r="BW51" s="52" t="str">
        <f t="shared" si="106"/>
        <v/>
      </c>
      <c r="BX51" s="23">
        <f t="shared" si="107"/>
        <v>0</v>
      </c>
      <c r="BY51" s="49" t="str">
        <f t="shared" si="108"/>
        <v/>
      </c>
      <c r="BZ51" s="23">
        <f t="shared" si="109"/>
        <v>0</v>
      </c>
      <c r="CA51" s="49" t="str">
        <f t="shared" si="110"/>
        <v/>
      </c>
      <c r="CB51" s="52" t="str">
        <f t="shared" si="111"/>
        <v/>
      </c>
      <c r="CC51" s="23">
        <f t="shared" si="112"/>
        <v>0</v>
      </c>
      <c r="CD51" s="49" t="str">
        <f t="shared" si="113"/>
        <v/>
      </c>
      <c r="CE51" s="56" t="str">
        <f>IF(CF51="","",MAX(CE$10:$CE50)+1)</f>
        <v/>
      </c>
      <c r="CF51" t="str">
        <f t="shared" si="114"/>
        <v/>
      </c>
      <c r="CG51" s="22" t="str">
        <f>IF(CH51="","",MAX($CG$10:CG50)+1)</f>
        <v/>
      </c>
      <c r="CH51" s="22" t="str">
        <f t="shared" si="115"/>
        <v/>
      </c>
      <c r="CI51" s="22" t="str">
        <f>IF(CJ51="","",MAX($CI$10:CI50)+1)</f>
        <v/>
      </c>
      <c r="CJ51" s="22" t="str">
        <f t="shared" si="116"/>
        <v/>
      </c>
    </row>
    <row r="52" spans="2:88" x14ac:dyDescent="0.25">
      <c r="B52" s="37"/>
      <c r="C52" s="3"/>
      <c r="D52" s="77" t="str">
        <f t="shared" si="60"/>
        <v/>
      </c>
      <c r="E52" s="38"/>
      <c r="F52" s="38"/>
      <c r="G52" s="78">
        <f t="shared" si="61"/>
        <v>0</v>
      </c>
      <c r="H52" s="3">
        <v>80</v>
      </c>
      <c r="I52" s="77" t="str">
        <f t="shared" si="62"/>
        <v/>
      </c>
      <c r="J52" s="32"/>
      <c r="K52" s="3"/>
      <c r="L52" s="39"/>
      <c r="M52" s="39"/>
      <c r="N52" s="39"/>
      <c r="O52" s="39"/>
      <c r="P52" s="39"/>
      <c r="Q52" s="39"/>
      <c r="R52" s="39"/>
      <c r="S52" s="39"/>
      <c r="T52" s="3" t="s">
        <v>645</v>
      </c>
      <c r="U52" s="77" t="str">
        <f t="shared" si="63"/>
        <v/>
      </c>
      <c r="V52" s="39">
        <v>1</v>
      </c>
      <c r="W52" s="79">
        <f t="shared" si="64"/>
        <v>0</v>
      </c>
      <c r="X52" s="3">
        <v>0</v>
      </c>
      <c r="Y52" s="77" t="str">
        <f t="shared" si="65"/>
        <v/>
      </c>
      <c r="Z52" s="3"/>
      <c r="AA52" s="37" t="str">
        <f t="shared" si="66"/>
        <v/>
      </c>
      <c r="AC52" s="40"/>
      <c r="AD52" s="7"/>
      <c r="AE52" s="77" t="str">
        <f t="shared" si="67"/>
        <v/>
      </c>
      <c r="AF52" s="81">
        <f t="shared" si="68"/>
        <v>0</v>
      </c>
      <c r="AG52" s="40"/>
      <c r="AH52" s="7"/>
      <c r="AI52" s="77" t="str">
        <f t="shared" si="69"/>
        <v/>
      </c>
      <c r="AJ52" s="81">
        <f t="shared" si="70"/>
        <v>0</v>
      </c>
      <c r="AK52" s="83">
        <f t="shared" si="71"/>
        <v>0</v>
      </c>
      <c r="AL52" s="83">
        <f t="shared" si="72"/>
        <v>0</v>
      </c>
      <c r="AN52" s="43">
        <f t="shared" si="73"/>
        <v>0</v>
      </c>
      <c r="AP52" t="str">
        <f t="shared" si="74"/>
        <v/>
      </c>
      <c r="AQ52" t="str">
        <f t="shared" si="75"/>
        <v/>
      </c>
      <c r="AR52" t="str">
        <f t="shared" si="76"/>
        <v/>
      </c>
      <c r="AS52" t="str">
        <f t="shared" si="77"/>
        <v/>
      </c>
      <c r="AT52" t="str">
        <f t="shared" si="78"/>
        <v/>
      </c>
      <c r="AU52" t="str">
        <f t="shared" si="79"/>
        <v/>
      </c>
      <c r="AV52" t="str">
        <f t="shared" si="80"/>
        <v/>
      </c>
      <c r="AW52" t="str">
        <f t="shared" si="81"/>
        <v xml:space="preserve">                              </v>
      </c>
      <c r="AX52" s="23">
        <f t="shared" si="82"/>
        <v>0</v>
      </c>
      <c r="AY52" s="49" t="str">
        <f t="shared" si="83"/>
        <v>000000000000000</v>
      </c>
      <c r="AZ52" s="23">
        <f t="shared" si="84"/>
        <v>0</v>
      </c>
      <c r="BA52" s="49" t="str">
        <f t="shared" si="83"/>
        <v>000000000000000</v>
      </c>
      <c r="BB52" s="23">
        <f t="shared" si="85"/>
        <v>0</v>
      </c>
      <c r="BC52" s="49" t="str">
        <f t="shared" ref="BC52" si="159">IF(BB52&lt;0,SUBSTITUTE(TEXT(BB52,"000000000000,00"),",",""),SUBSTITUTE(TEXT(BB52,"0000000000000,00"),",",""))</f>
        <v>000000000000000</v>
      </c>
      <c r="BD52" s="23">
        <f t="shared" si="87"/>
        <v>0</v>
      </c>
      <c r="BE52" s="49" t="str">
        <f t="shared" ref="BE52" si="160">IF(BD52&lt;0,SUBSTITUTE(TEXT(BD52,"000000000000,00"),",",""),SUBSTITUTE(TEXT(BD52,"0000000000000,00"),",",""))</f>
        <v>000000000000000</v>
      </c>
      <c r="BF52" s="23">
        <f t="shared" si="89"/>
        <v>0</v>
      </c>
      <c r="BG52" s="49" t="str">
        <f t="shared" ref="BG52" si="161">IF(BF52&lt;0,SUBSTITUTE(TEXT(BF52,"000000000000,00"),",",""),SUBSTITUTE(TEXT(BF52,"0000000000000,00"),",",""))</f>
        <v>000000000000000</v>
      </c>
      <c r="BH52" s="23">
        <f t="shared" si="91"/>
        <v>0</v>
      </c>
      <c r="BI52" s="49" t="str">
        <f t="shared" ref="BI52" si="162">IF(BH52&lt;0,SUBSTITUTE(TEXT(BH52,"000000000000,00"),",",""),SUBSTITUTE(TEXT(BH52,"0000000000000,00"),",",""))</f>
        <v>000000000000000</v>
      </c>
      <c r="BJ52" s="23">
        <f t="shared" si="93"/>
        <v>0</v>
      </c>
      <c r="BK52" s="49" t="str">
        <f t="shared" ref="BK52" si="163">IF(BJ52&lt;0,SUBSTITUTE(TEXT(BJ52,"000000000000,00"),",",""),SUBSTITUTE(TEXT(BJ52,"0000000000000,00"),",",""))</f>
        <v>000000000000000</v>
      </c>
      <c r="BL52" s="23">
        <f t="shared" si="95"/>
        <v>0</v>
      </c>
      <c r="BM52" s="49" t="str">
        <f t="shared" ref="BM52" si="164">IF(BL52&lt;0,SUBSTITUTE(TEXT(BL52,"000000000000,00"),",",""),SUBSTITUTE(TEXT(BL52,"0000000000000,00"),",",""))</f>
        <v>000000000000000</v>
      </c>
      <c r="BN52" t="str">
        <f t="shared" si="97"/>
        <v>PES</v>
      </c>
      <c r="BO52" t="str">
        <f t="shared" si="98"/>
        <v>0001000000</v>
      </c>
      <c r="BP52">
        <f t="shared" si="99"/>
        <v>0</v>
      </c>
      <c r="BQ52">
        <f t="shared" si="100"/>
        <v>0</v>
      </c>
      <c r="BR52" s="23">
        <f t="shared" si="101"/>
        <v>0</v>
      </c>
      <c r="BS52" s="49" t="str">
        <f t="shared" si="102"/>
        <v>000000000000000</v>
      </c>
      <c r="BT52" t="str">
        <f t="shared" si="103"/>
        <v>00000000</v>
      </c>
      <c r="BU52" s="23">
        <f t="shared" si="104"/>
        <v>0</v>
      </c>
      <c r="BV52" s="49" t="str">
        <f t="shared" si="105"/>
        <v/>
      </c>
      <c r="BW52" s="52" t="str">
        <f t="shared" si="106"/>
        <v/>
      </c>
      <c r="BX52" s="23">
        <f t="shared" si="107"/>
        <v>0</v>
      </c>
      <c r="BY52" s="49" t="str">
        <f t="shared" si="108"/>
        <v/>
      </c>
      <c r="BZ52" s="23">
        <f t="shared" si="109"/>
        <v>0</v>
      </c>
      <c r="CA52" s="49" t="str">
        <f t="shared" si="110"/>
        <v/>
      </c>
      <c r="CB52" s="52" t="str">
        <f t="shared" si="111"/>
        <v/>
      </c>
      <c r="CC52" s="23">
        <f t="shared" si="112"/>
        <v>0</v>
      </c>
      <c r="CD52" s="49" t="str">
        <f t="shared" si="113"/>
        <v/>
      </c>
      <c r="CE52" s="56" t="str">
        <f>IF(CF52="","",MAX(CE$10:$CE51)+1)</f>
        <v/>
      </c>
      <c r="CF52" t="str">
        <f t="shared" si="114"/>
        <v/>
      </c>
      <c r="CG52" s="22" t="str">
        <f>IF(CH52="","",MAX($CG$10:CG51)+1)</f>
        <v/>
      </c>
      <c r="CH52" s="22" t="str">
        <f t="shared" si="115"/>
        <v/>
      </c>
      <c r="CI52" s="22" t="str">
        <f>IF(CJ52="","",MAX($CI$10:CI51)+1)</f>
        <v/>
      </c>
      <c r="CJ52" s="22" t="str">
        <f t="shared" si="116"/>
        <v/>
      </c>
    </row>
    <row r="53" spans="2:88" x14ac:dyDescent="0.25">
      <c r="B53" s="37"/>
      <c r="C53" s="3"/>
      <c r="D53" s="77" t="str">
        <f t="shared" si="60"/>
        <v/>
      </c>
      <c r="E53" s="38"/>
      <c r="F53" s="38"/>
      <c r="G53" s="78">
        <f t="shared" si="61"/>
        <v>0</v>
      </c>
      <c r="H53" s="3">
        <v>80</v>
      </c>
      <c r="I53" s="77" t="str">
        <f t="shared" si="62"/>
        <v/>
      </c>
      <c r="J53" s="32"/>
      <c r="K53" s="3"/>
      <c r="L53" s="39"/>
      <c r="M53" s="39"/>
      <c r="N53" s="39"/>
      <c r="O53" s="39"/>
      <c r="P53" s="39"/>
      <c r="Q53" s="39"/>
      <c r="R53" s="39"/>
      <c r="S53" s="39"/>
      <c r="T53" s="3" t="s">
        <v>645</v>
      </c>
      <c r="U53" s="77" t="str">
        <f t="shared" si="63"/>
        <v/>
      </c>
      <c r="V53" s="39">
        <v>1</v>
      </c>
      <c r="W53" s="79">
        <f t="shared" si="64"/>
        <v>0</v>
      </c>
      <c r="X53" s="3">
        <v>0</v>
      </c>
      <c r="Y53" s="77" t="str">
        <f t="shared" si="65"/>
        <v/>
      </c>
      <c r="Z53" s="3"/>
      <c r="AA53" s="37" t="str">
        <f t="shared" si="66"/>
        <v/>
      </c>
      <c r="AC53" s="40"/>
      <c r="AD53" s="7"/>
      <c r="AE53" s="77" t="str">
        <f t="shared" si="67"/>
        <v/>
      </c>
      <c r="AF53" s="81">
        <f t="shared" si="68"/>
        <v>0</v>
      </c>
      <c r="AG53" s="40"/>
      <c r="AH53" s="7"/>
      <c r="AI53" s="77" t="str">
        <f t="shared" si="69"/>
        <v/>
      </c>
      <c r="AJ53" s="81">
        <f t="shared" si="70"/>
        <v>0</v>
      </c>
      <c r="AK53" s="83">
        <f t="shared" si="71"/>
        <v>0</v>
      </c>
      <c r="AL53" s="83">
        <f t="shared" si="72"/>
        <v>0</v>
      </c>
      <c r="AN53" s="43">
        <f t="shared" si="73"/>
        <v>0</v>
      </c>
      <c r="AP53" t="str">
        <f t="shared" si="74"/>
        <v/>
      </c>
      <c r="AQ53" t="str">
        <f t="shared" si="75"/>
        <v/>
      </c>
      <c r="AR53" t="str">
        <f t="shared" si="76"/>
        <v/>
      </c>
      <c r="AS53" t="str">
        <f t="shared" si="77"/>
        <v/>
      </c>
      <c r="AT53" t="str">
        <f t="shared" si="78"/>
        <v/>
      </c>
      <c r="AU53" t="str">
        <f t="shared" si="79"/>
        <v/>
      </c>
      <c r="AV53" t="str">
        <f t="shared" si="80"/>
        <v/>
      </c>
      <c r="AW53" t="str">
        <f t="shared" si="81"/>
        <v xml:space="preserve">                              </v>
      </c>
      <c r="AX53" s="23">
        <f t="shared" si="82"/>
        <v>0</v>
      </c>
      <c r="AY53" s="49" t="str">
        <f t="shared" si="83"/>
        <v>000000000000000</v>
      </c>
      <c r="AZ53" s="23">
        <f t="shared" si="84"/>
        <v>0</v>
      </c>
      <c r="BA53" s="49" t="str">
        <f t="shared" si="83"/>
        <v>000000000000000</v>
      </c>
      <c r="BB53" s="23">
        <f t="shared" si="85"/>
        <v>0</v>
      </c>
      <c r="BC53" s="49" t="str">
        <f t="shared" ref="BC53" si="165">IF(BB53&lt;0,SUBSTITUTE(TEXT(BB53,"000000000000,00"),",",""),SUBSTITUTE(TEXT(BB53,"0000000000000,00"),",",""))</f>
        <v>000000000000000</v>
      </c>
      <c r="BD53" s="23">
        <f t="shared" si="87"/>
        <v>0</v>
      </c>
      <c r="BE53" s="49" t="str">
        <f t="shared" ref="BE53" si="166">IF(BD53&lt;0,SUBSTITUTE(TEXT(BD53,"000000000000,00"),",",""),SUBSTITUTE(TEXT(BD53,"0000000000000,00"),",",""))</f>
        <v>000000000000000</v>
      </c>
      <c r="BF53" s="23">
        <f t="shared" si="89"/>
        <v>0</v>
      </c>
      <c r="BG53" s="49" t="str">
        <f t="shared" ref="BG53" si="167">IF(BF53&lt;0,SUBSTITUTE(TEXT(BF53,"000000000000,00"),",",""),SUBSTITUTE(TEXT(BF53,"0000000000000,00"),",",""))</f>
        <v>000000000000000</v>
      </c>
      <c r="BH53" s="23">
        <f t="shared" si="91"/>
        <v>0</v>
      </c>
      <c r="BI53" s="49" t="str">
        <f t="shared" ref="BI53" si="168">IF(BH53&lt;0,SUBSTITUTE(TEXT(BH53,"000000000000,00"),",",""),SUBSTITUTE(TEXT(BH53,"0000000000000,00"),",",""))</f>
        <v>000000000000000</v>
      </c>
      <c r="BJ53" s="23">
        <f t="shared" si="93"/>
        <v>0</v>
      </c>
      <c r="BK53" s="49" t="str">
        <f t="shared" ref="BK53" si="169">IF(BJ53&lt;0,SUBSTITUTE(TEXT(BJ53,"000000000000,00"),",",""),SUBSTITUTE(TEXT(BJ53,"0000000000000,00"),",",""))</f>
        <v>000000000000000</v>
      </c>
      <c r="BL53" s="23">
        <f t="shared" si="95"/>
        <v>0</v>
      </c>
      <c r="BM53" s="49" t="str">
        <f t="shared" ref="BM53" si="170">IF(BL53&lt;0,SUBSTITUTE(TEXT(BL53,"000000000000,00"),",",""),SUBSTITUTE(TEXT(BL53,"0000000000000,00"),",",""))</f>
        <v>000000000000000</v>
      </c>
      <c r="BN53" t="str">
        <f t="shared" si="97"/>
        <v>PES</v>
      </c>
      <c r="BO53" t="str">
        <f t="shared" si="98"/>
        <v>0001000000</v>
      </c>
      <c r="BP53">
        <f t="shared" si="99"/>
        <v>0</v>
      </c>
      <c r="BQ53">
        <f t="shared" si="100"/>
        <v>0</v>
      </c>
      <c r="BR53" s="23">
        <f t="shared" si="101"/>
        <v>0</v>
      </c>
      <c r="BS53" s="49" t="str">
        <f t="shared" si="102"/>
        <v>000000000000000</v>
      </c>
      <c r="BT53" t="str">
        <f t="shared" si="103"/>
        <v>00000000</v>
      </c>
      <c r="BU53" s="23">
        <f t="shared" si="104"/>
        <v>0</v>
      </c>
      <c r="BV53" s="49" t="str">
        <f t="shared" si="105"/>
        <v/>
      </c>
      <c r="BW53" s="52" t="str">
        <f t="shared" si="106"/>
        <v/>
      </c>
      <c r="BX53" s="23">
        <f t="shared" si="107"/>
        <v>0</v>
      </c>
      <c r="BY53" s="49" t="str">
        <f t="shared" si="108"/>
        <v/>
      </c>
      <c r="BZ53" s="23">
        <f t="shared" si="109"/>
        <v>0</v>
      </c>
      <c r="CA53" s="49" t="str">
        <f t="shared" si="110"/>
        <v/>
      </c>
      <c r="CB53" s="52" t="str">
        <f t="shared" si="111"/>
        <v/>
      </c>
      <c r="CC53" s="23">
        <f t="shared" si="112"/>
        <v>0</v>
      </c>
      <c r="CD53" s="49" t="str">
        <f t="shared" si="113"/>
        <v/>
      </c>
      <c r="CE53" s="56" t="str">
        <f>IF(CF53="","",MAX(CE$10:$CE52)+1)</f>
        <v/>
      </c>
      <c r="CF53" t="str">
        <f t="shared" si="114"/>
        <v/>
      </c>
      <c r="CG53" s="22" t="str">
        <f>IF(CH53="","",MAX($CG$10:CG52)+1)</f>
        <v/>
      </c>
      <c r="CH53" s="22" t="str">
        <f t="shared" si="115"/>
        <v/>
      </c>
      <c r="CI53" s="22" t="str">
        <f>IF(CJ53="","",MAX($CI$10:CI52)+1)</f>
        <v/>
      </c>
      <c r="CJ53" s="22" t="str">
        <f t="shared" si="116"/>
        <v/>
      </c>
    </row>
    <row r="54" spans="2:88" x14ac:dyDescent="0.25">
      <c r="B54" s="37"/>
      <c r="C54" s="3"/>
      <c r="D54" s="77" t="str">
        <f t="shared" si="60"/>
        <v/>
      </c>
      <c r="E54" s="38"/>
      <c r="F54" s="38"/>
      <c r="G54" s="78">
        <f t="shared" si="61"/>
        <v>0</v>
      </c>
      <c r="H54" s="3">
        <v>80</v>
      </c>
      <c r="I54" s="77" t="str">
        <f t="shared" si="62"/>
        <v/>
      </c>
      <c r="J54" s="32"/>
      <c r="K54" s="3"/>
      <c r="L54" s="39"/>
      <c r="M54" s="39"/>
      <c r="N54" s="39"/>
      <c r="O54" s="39"/>
      <c r="P54" s="39"/>
      <c r="Q54" s="39"/>
      <c r="R54" s="39"/>
      <c r="S54" s="39"/>
      <c r="T54" s="3" t="s">
        <v>645</v>
      </c>
      <c r="U54" s="77" t="str">
        <f t="shared" si="63"/>
        <v/>
      </c>
      <c r="V54" s="39">
        <v>1</v>
      </c>
      <c r="W54" s="79">
        <f t="shared" si="64"/>
        <v>0</v>
      </c>
      <c r="X54" s="3">
        <v>0</v>
      </c>
      <c r="Y54" s="77" t="str">
        <f t="shared" si="65"/>
        <v/>
      </c>
      <c r="Z54" s="3"/>
      <c r="AA54" s="37" t="str">
        <f t="shared" si="66"/>
        <v/>
      </c>
      <c r="AC54" s="40"/>
      <c r="AD54" s="7"/>
      <c r="AE54" s="77" t="str">
        <f t="shared" si="67"/>
        <v/>
      </c>
      <c r="AF54" s="81">
        <f t="shared" si="68"/>
        <v>0</v>
      </c>
      <c r="AG54" s="40"/>
      <c r="AH54" s="7"/>
      <c r="AI54" s="77" t="str">
        <f t="shared" si="69"/>
        <v/>
      </c>
      <c r="AJ54" s="81">
        <f t="shared" si="70"/>
        <v>0</v>
      </c>
      <c r="AK54" s="83">
        <f t="shared" si="71"/>
        <v>0</v>
      </c>
      <c r="AL54" s="83">
        <f t="shared" si="72"/>
        <v>0</v>
      </c>
      <c r="AN54" s="43">
        <f t="shared" si="73"/>
        <v>0</v>
      </c>
      <c r="AP54" t="str">
        <f t="shared" si="74"/>
        <v/>
      </c>
      <c r="AQ54" t="str">
        <f t="shared" si="75"/>
        <v/>
      </c>
      <c r="AR54" t="str">
        <f t="shared" si="76"/>
        <v/>
      </c>
      <c r="AS54" t="str">
        <f t="shared" si="77"/>
        <v/>
      </c>
      <c r="AT54" t="str">
        <f t="shared" si="78"/>
        <v/>
      </c>
      <c r="AU54" t="str">
        <f t="shared" si="79"/>
        <v/>
      </c>
      <c r="AV54" t="str">
        <f t="shared" si="80"/>
        <v/>
      </c>
      <c r="AW54" t="str">
        <f t="shared" si="81"/>
        <v xml:space="preserve">                              </v>
      </c>
      <c r="AX54" s="23">
        <f t="shared" si="82"/>
        <v>0</v>
      </c>
      <c r="AY54" s="49" t="str">
        <f t="shared" si="83"/>
        <v>000000000000000</v>
      </c>
      <c r="AZ54" s="23">
        <f t="shared" si="84"/>
        <v>0</v>
      </c>
      <c r="BA54" s="49" t="str">
        <f t="shared" si="83"/>
        <v>000000000000000</v>
      </c>
      <c r="BB54" s="23">
        <f t="shared" si="85"/>
        <v>0</v>
      </c>
      <c r="BC54" s="49" t="str">
        <f t="shared" ref="BC54" si="171">IF(BB54&lt;0,SUBSTITUTE(TEXT(BB54,"000000000000,00"),",",""),SUBSTITUTE(TEXT(BB54,"0000000000000,00"),",",""))</f>
        <v>000000000000000</v>
      </c>
      <c r="BD54" s="23">
        <f t="shared" si="87"/>
        <v>0</v>
      </c>
      <c r="BE54" s="49" t="str">
        <f t="shared" ref="BE54" si="172">IF(BD54&lt;0,SUBSTITUTE(TEXT(BD54,"000000000000,00"),",",""),SUBSTITUTE(TEXT(BD54,"0000000000000,00"),",",""))</f>
        <v>000000000000000</v>
      </c>
      <c r="BF54" s="23">
        <f t="shared" si="89"/>
        <v>0</v>
      </c>
      <c r="BG54" s="49" t="str">
        <f t="shared" ref="BG54" si="173">IF(BF54&lt;0,SUBSTITUTE(TEXT(BF54,"000000000000,00"),",",""),SUBSTITUTE(TEXT(BF54,"0000000000000,00"),",",""))</f>
        <v>000000000000000</v>
      </c>
      <c r="BH54" s="23">
        <f t="shared" si="91"/>
        <v>0</v>
      </c>
      <c r="BI54" s="49" t="str">
        <f t="shared" ref="BI54" si="174">IF(BH54&lt;0,SUBSTITUTE(TEXT(BH54,"000000000000,00"),",",""),SUBSTITUTE(TEXT(BH54,"0000000000000,00"),",",""))</f>
        <v>000000000000000</v>
      </c>
      <c r="BJ54" s="23">
        <f t="shared" si="93"/>
        <v>0</v>
      </c>
      <c r="BK54" s="49" t="str">
        <f t="shared" ref="BK54" si="175">IF(BJ54&lt;0,SUBSTITUTE(TEXT(BJ54,"000000000000,00"),",",""),SUBSTITUTE(TEXT(BJ54,"0000000000000,00"),",",""))</f>
        <v>000000000000000</v>
      </c>
      <c r="BL54" s="23">
        <f t="shared" si="95"/>
        <v>0</v>
      </c>
      <c r="BM54" s="49" t="str">
        <f t="shared" ref="BM54" si="176">IF(BL54&lt;0,SUBSTITUTE(TEXT(BL54,"000000000000,00"),",",""),SUBSTITUTE(TEXT(BL54,"0000000000000,00"),",",""))</f>
        <v>000000000000000</v>
      </c>
      <c r="BN54" t="str">
        <f t="shared" si="97"/>
        <v>PES</v>
      </c>
      <c r="BO54" t="str">
        <f t="shared" si="98"/>
        <v>0001000000</v>
      </c>
      <c r="BP54">
        <f t="shared" si="99"/>
        <v>0</v>
      </c>
      <c r="BQ54">
        <f t="shared" si="100"/>
        <v>0</v>
      </c>
      <c r="BR54" s="23">
        <f t="shared" si="101"/>
        <v>0</v>
      </c>
      <c r="BS54" s="49" t="str">
        <f t="shared" si="102"/>
        <v>000000000000000</v>
      </c>
      <c r="BT54" t="str">
        <f t="shared" si="103"/>
        <v>00000000</v>
      </c>
      <c r="BU54" s="23">
        <f t="shared" si="104"/>
        <v>0</v>
      </c>
      <c r="BV54" s="49" t="str">
        <f t="shared" si="105"/>
        <v/>
      </c>
      <c r="BW54" s="52" t="str">
        <f t="shared" si="106"/>
        <v/>
      </c>
      <c r="BX54" s="23">
        <f t="shared" si="107"/>
        <v>0</v>
      </c>
      <c r="BY54" s="49" t="str">
        <f t="shared" si="108"/>
        <v/>
      </c>
      <c r="BZ54" s="23">
        <f t="shared" si="109"/>
        <v>0</v>
      </c>
      <c r="CA54" s="49" t="str">
        <f t="shared" si="110"/>
        <v/>
      </c>
      <c r="CB54" s="52" t="str">
        <f t="shared" si="111"/>
        <v/>
      </c>
      <c r="CC54" s="23">
        <f t="shared" si="112"/>
        <v>0</v>
      </c>
      <c r="CD54" s="49" t="str">
        <f t="shared" si="113"/>
        <v/>
      </c>
      <c r="CE54" s="56" t="str">
        <f>IF(CF54="","",MAX(CE$10:$CE53)+1)</f>
        <v/>
      </c>
      <c r="CF54" t="str">
        <f t="shared" si="114"/>
        <v/>
      </c>
      <c r="CG54" s="22" t="str">
        <f>IF(CH54="","",MAX($CG$10:CG53)+1)</f>
        <v/>
      </c>
      <c r="CH54" s="22" t="str">
        <f t="shared" si="115"/>
        <v/>
      </c>
      <c r="CI54" s="22" t="str">
        <f>IF(CJ54="","",MAX($CI$10:CI53)+1)</f>
        <v/>
      </c>
      <c r="CJ54" s="22" t="str">
        <f t="shared" si="116"/>
        <v/>
      </c>
    </row>
    <row r="55" spans="2:88" x14ac:dyDescent="0.25">
      <c r="B55" s="37"/>
      <c r="C55" s="3"/>
      <c r="D55" s="77" t="str">
        <f t="shared" si="60"/>
        <v/>
      </c>
      <c r="E55" s="38"/>
      <c r="F55" s="38"/>
      <c r="G55" s="78">
        <f t="shared" si="61"/>
        <v>0</v>
      </c>
      <c r="H55" s="3">
        <v>80</v>
      </c>
      <c r="I55" s="77" t="str">
        <f t="shared" si="62"/>
        <v/>
      </c>
      <c r="J55" s="32"/>
      <c r="K55" s="3"/>
      <c r="L55" s="39"/>
      <c r="M55" s="39"/>
      <c r="N55" s="39"/>
      <c r="O55" s="39"/>
      <c r="P55" s="39"/>
      <c r="Q55" s="39"/>
      <c r="R55" s="39"/>
      <c r="S55" s="39"/>
      <c r="T55" s="3" t="s">
        <v>645</v>
      </c>
      <c r="U55" s="77" t="str">
        <f t="shared" si="63"/>
        <v/>
      </c>
      <c r="V55" s="39">
        <v>1</v>
      </c>
      <c r="W55" s="79">
        <f t="shared" si="64"/>
        <v>0</v>
      </c>
      <c r="X55" s="3">
        <v>0</v>
      </c>
      <c r="Y55" s="77" t="str">
        <f t="shared" si="65"/>
        <v/>
      </c>
      <c r="Z55" s="3"/>
      <c r="AA55" s="37" t="str">
        <f t="shared" si="66"/>
        <v/>
      </c>
      <c r="AC55" s="40"/>
      <c r="AD55" s="7"/>
      <c r="AE55" s="77" t="str">
        <f t="shared" si="67"/>
        <v/>
      </c>
      <c r="AF55" s="81">
        <f t="shared" si="68"/>
        <v>0</v>
      </c>
      <c r="AG55" s="40"/>
      <c r="AH55" s="7"/>
      <c r="AI55" s="77" t="str">
        <f t="shared" si="69"/>
        <v/>
      </c>
      <c r="AJ55" s="81">
        <f t="shared" si="70"/>
        <v>0</v>
      </c>
      <c r="AK55" s="83">
        <f t="shared" si="71"/>
        <v>0</v>
      </c>
      <c r="AL55" s="83">
        <f t="shared" si="72"/>
        <v>0</v>
      </c>
      <c r="AN55" s="43">
        <f t="shared" si="73"/>
        <v>0</v>
      </c>
      <c r="AP55" t="str">
        <f t="shared" si="74"/>
        <v/>
      </c>
      <c r="AQ55" t="str">
        <f t="shared" si="75"/>
        <v/>
      </c>
      <c r="AR55" t="str">
        <f t="shared" si="76"/>
        <v/>
      </c>
      <c r="AS55" t="str">
        <f t="shared" si="77"/>
        <v/>
      </c>
      <c r="AT55" t="str">
        <f t="shared" si="78"/>
        <v/>
      </c>
      <c r="AU55" t="str">
        <f t="shared" si="79"/>
        <v/>
      </c>
      <c r="AV55" t="str">
        <f t="shared" si="80"/>
        <v/>
      </c>
      <c r="AW55" t="str">
        <f t="shared" si="81"/>
        <v xml:space="preserve">                              </v>
      </c>
      <c r="AX55" s="23">
        <f t="shared" si="82"/>
        <v>0</v>
      </c>
      <c r="AY55" s="49" t="str">
        <f t="shared" si="83"/>
        <v>000000000000000</v>
      </c>
      <c r="AZ55" s="23">
        <f t="shared" si="84"/>
        <v>0</v>
      </c>
      <c r="BA55" s="49" t="str">
        <f t="shared" si="83"/>
        <v>000000000000000</v>
      </c>
      <c r="BB55" s="23">
        <f t="shared" si="85"/>
        <v>0</v>
      </c>
      <c r="BC55" s="49" t="str">
        <f t="shared" ref="BC55" si="177">IF(BB55&lt;0,SUBSTITUTE(TEXT(BB55,"000000000000,00"),",",""),SUBSTITUTE(TEXT(BB55,"0000000000000,00"),",",""))</f>
        <v>000000000000000</v>
      </c>
      <c r="BD55" s="23">
        <f t="shared" si="87"/>
        <v>0</v>
      </c>
      <c r="BE55" s="49" t="str">
        <f t="shared" ref="BE55" si="178">IF(BD55&lt;0,SUBSTITUTE(TEXT(BD55,"000000000000,00"),",",""),SUBSTITUTE(TEXT(BD55,"0000000000000,00"),",",""))</f>
        <v>000000000000000</v>
      </c>
      <c r="BF55" s="23">
        <f t="shared" si="89"/>
        <v>0</v>
      </c>
      <c r="BG55" s="49" t="str">
        <f t="shared" ref="BG55" si="179">IF(BF55&lt;0,SUBSTITUTE(TEXT(BF55,"000000000000,00"),",",""),SUBSTITUTE(TEXT(BF55,"0000000000000,00"),",",""))</f>
        <v>000000000000000</v>
      </c>
      <c r="BH55" s="23">
        <f t="shared" si="91"/>
        <v>0</v>
      </c>
      <c r="BI55" s="49" t="str">
        <f t="shared" ref="BI55" si="180">IF(BH55&lt;0,SUBSTITUTE(TEXT(BH55,"000000000000,00"),",",""),SUBSTITUTE(TEXT(BH55,"0000000000000,00"),",",""))</f>
        <v>000000000000000</v>
      </c>
      <c r="BJ55" s="23">
        <f t="shared" si="93"/>
        <v>0</v>
      </c>
      <c r="BK55" s="49" t="str">
        <f t="shared" ref="BK55" si="181">IF(BJ55&lt;0,SUBSTITUTE(TEXT(BJ55,"000000000000,00"),",",""),SUBSTITUTE(TEXT(BJ55,"0000000000000,00"),",",""))</f>
        <v>000000000000000</v>
      </c>
      <c r="BL55" s="23">
        <f t="shared" si="95"/>
        <v>0</v>
      </c>
      <c r="BM55" s="49" t="str">
        <f t="shared" ref="BM55" si="182">IF(BL55&lt;0,SUBSTITUTE(TEXT(BL55,"000000000000,00"),",",""),SUBSTITUTE(TEXT(BL55,"0000000000000,00"),",",""))</f>
        <v>000000000000000</v>
      </c>
      <c r="BN55" t="str">
        <f t="shared" si="97"/>
        <v>PES</v>
      </c>
      <c r="BO55" t="str">
        <f t="shared" si="98"/>
        <v>0001000000</v>
      </c>
      <c r="BP55">
        <f t="shared" si="99"/>
        <v>0</v>
      </c>
      <c r="BQ55">
        <f t="shared" si="100"/>
        <v>0</v>
      </c>
      <c r="BR55" s="23">
        <f t="shared" si="101"/>
        <v>0</v>
      </c>
      <c r="BS55" s="49" t="str">
        <f t="shared" si="102"/>
        <v>000000000000000</v>
      </c>
      <c r="BT55" t="str">
        <f t="shared" si="103"/>
        <v>00000000</v>
      </c>
      <c r="BU55" s="23">
        <f t="shared" si="104"/>
        <v>0</v>
      </c>
      <c r="BV55" s="49" t="str">
        <f t="shared" si="105"/>
        <v/>
      </c>
      <c r="BW55" s="52" t="str">
        <f t="shared" si="106"/>
        <v/>
      </c>
      <c r="BX55" s="23">
        <f t="shared" si="107"/>
        <v>0</v>
      </c>
      <c r="BY55" s="49" t="str">
        <f t="shared" si="108"/>
        <v/>
      </c>
      <c r="BZ55" s="23">
        <f t="shared" si="109"/>
        <v>0</v>
      </c>
      <c r="CA55" s="49" t="str">
        <f t="shared" si="110"/>
        <v/>
      </c>
      <c r="CB55" s="52" t="str">
        <f t="shared" si="111"/>
        <v/>
      </c>
      <c r="CC55" s="23">
        <f t="shared" si="112"/>
        <v>0</v>
      </c>
      <c r="CD55" s="49" t="str">
        <f t="shared" si="113"/>
        <v/>
      </c>
      <c r="CE55" s="56" t="str">
        <f>IF(CF55="","",MAX(CE$10:$CE54)+1)</f>
        <v/>
      </c>
      <c r="CF55" t="str">
        <f t="shared" si="114"/>
        <v/>
      </c>
      <c r="CG55" s="22" t="str">
        <f>IF(CH55="","",MAX($CG$10:CG54)+1)</f>
        <v/>
      </c>
      <c r="CH55" s="22" t="str">
        <f t="shared" si="115"/>
        <v/>
      </c>
      <c r="CI55" s="22" t="str">
        <f>IF(CJ55="","",MAX($CI$10:CI54)+1)</f>
        <v/>
      </c>
      <c r="CJ55" s="22" t="str">
        <f t="shared" si="116"/>
        <v/>
      </c>
    </row>
    <row r="56" spans="2:88" x14ac:dyDescent="0.25">
      <c r="B56" s="37"/>
      <c r="C56" s="3"/>
      <c r="D56" s="77" t="str">
        <f t="shared" si="60"/>
        <v/>
      </c>
      <c r="E56" s="38"/>
      <c r="F56" s="38"/>
      <c r="G56" s="78">
        <f t="shared" si="61"/>
        <v>0</v>
      </c>
      <c r="H56" s="3">
        <v>80</v>
      </c>
      <c r="I56" s="77" t="str">
        <f t="shared" si="62"/>
        <v/>
      </c>
      <c r="J56" s="32"/>
      <c r="K56" s="3"/>
      <c r="L56" s="39"/>
      <c r="M56" s="39"/>
      <c r="N56" s="39"/>
      <c r="O56" s="39"/>
      <c r="P56" s="39"/>
      <c r="Q56" s="39"/>
      <c r="R56" s="39"/>
      <c r="S56" s="39"/>
      <c r="T56" s="3" t="s">
        <v>645</v>
      </c>
      <c r="U56" s="77" t="str">
        <f t="shared" si="63"/>
        <v/>
      </c>
      <c r="V56" s="39">
        <v>1</v>
      </c>
      <c r="W56" s="79">
        <f t="shared" si="64"/>
        <v>0</v>
      </c>
      <c r="X56" s="3">
        <v>0</v>
      </c>
      <c r="Y56" s="77" t="str">
        <f t="shared" si="65"/>
        <v/>
      </c>
      <c r="Z56" s="3"/>
      <c r="AA56" s="37" t="str">
        <f t="shared" si="66"/>
        <v/>
      </c>
      <c r="AC56" s="40"/>
      <c r="AD56" s="7"/>
      <c r="AE56" s="77" t="str">
        <f t="shared" si="67"/>
        <v/>
      </c>
      <c r="AF56" s="81">
        <f t="shared" si="68"/>
        <v>0</v>
      </c>
      <c r="AG56" s="40"/>
      <c r="AH56" s="7"/>
      <c r="AI56" s="77" t="str">
        <f t="shared" si="69"/>
        <v/>
      </c>
      <c r="AJ56" s="81">
        <f t="shared" si="70"/>
        <v>0</v>
      </c>
      <c r="AK56" s="83">
        <f t="shared" si="71"/>
        <v>0</v>
      </c>
      <c r="AL56" s="83">
        <f t="shared" si="72"/>
        <v>0</v>
      </c>
      <c r="AN56" s="43">
        <f t="shared" si="73"/>
        <v>0</v>
      </c>
      <c r="AP56" t="str">
        <f t="shared" si="74"/>
        <v/>
      </c>
      <c r="AQ56" t="str">
        <f t="shared" si="75"/>
        <v/>
      </c>
      <c r="AR56" t="str">
        <f t="shared" si="76"/>
        <v/>
      </c>
      <c r="AS56" t="str">
        <f t="shared" si="77"/>
        <v/>
      </c>
      <c r="AT56" t="str">
        <f t="shared" si="78"/>
        <v/>
      </c>
      <c r="AU56" t="str">
        <f t="shared" si="79"/>
        <v/>
      </c>
      <c r="AV56" t="str">
        <f t="shared" si="80"/>
        <v/>
      </c>
      <c r="AW56" t="str">
        <f t="shared" si="81"/>
        <v xml:space="preserve">                              </v>
      </c>
      <c r="AX56" s="23">
        <f t="shared" si="82"/>
        <v>0</v>
      </c>
      <c r="AY56" s="49" t="str">
        <f t="shared" si="83"/>
        <v>000000000000000</v>
      </c>
      <c r="AZ56" s="23">
        <f t="shared" si="84"/>
        <v>0</v>
      </c>
      <c r="BA56" s="49" t="str">
        <f t="shared" si="83"/>
        <v>000000000000000</v>
      </c>
      <c r="BB56" s="23">
        <f t="shared" si="85"/>
        <v>0</v>
      </c>
      <c r="BC56" s="49" t="str">
        <f t="shared" ref="BC56" si="183">IF(BB56&lt;0,SUBSTITUTE(TEXT(BB56,"000000000000,00"),",",""),SUBSTITUTE(TEXT(BB56,"0000000000000,00"),",",""))</f>
        <v>000000000000000</v>
      </c>
      <c r="BD56" s="23">
        <f t="shared" si="87"/>
        <v>0</v>
      </c>
      <c r="BE56" s="49" t="str">
        <f t="shared" ref="BE56" si="184">IF(BD56&lt;0,SUBSTITUTE(TEXT(BD56,"000000000000,00"),",",""),SUBSTITUTE(TEXT(BD56,"0000000000000,00"),",",""))</f>
        <v>000000000000000</v>
      </c>
      <c r="BF56" s="23">
        <f t="shared" si="89"/>
        <v>0</v>
      </c>
      <c r="BG56" s="49" t="str">
        <f t="shared" ref="BG56" si="185">IF(BF56&lt;0,SUBSTITUTE(TEXT(BF56,"000000000000,00"),",",""),SUBSTITUTE(TEXT(BF56,"0000000000000,00"),",",""))</f>
        <v>000000000000000</v>
      </c>
      <c r="BH56" s="23">
        <f t="shared" si="91"/>
        <v>0</v>
      </c>
      <c r="BI56" s="49" t="str">
        <f t="shared" ref="BI56" si="186">IF(BH56&lt;0,SUBSTITUTE(TEXT(BH56,"000000000000,00"),",",""),SUBSTITUTE(TEXT(BH56,"0000000000000,00"),",",""))</f>
        <v>000000000000000</v>
      </c>
      <c r="BJ56" s="23">
        <f t="shared" si="93"/>
        <v>0</v>
      </c>
      <c r="BK56" s="49" t="str">
        <f t="shared" ref="BK56" si="187">IF(BJ56&lt;0,SUBSTITUTE(TEXT(BJ56,"000000000000,00"),",",""),SUBSTITUTE(TEXT(BJ56,"0000000000000,00"),",",""))</f>
        <v>000000000000000</v>
      </c>
      <c r="BL56" s="23">
        <f t="shared" si="95"/>
        <v>0</v>
      </c>
      <c r="BM56" s="49" t="str">
        <f t="shared" ref="BM56" si="188">IF(BL56&lt;0,SUBSTITUTE(TEXT(BL56,"000000000000,00"),",",""),SUBSTITUTE(TEXT(BL56,"0000000000000,00"),",",""))</f>
        <v>000000000000000</v>
      </c>
      <c r="BN56" t="str">
        <f t="shared" si="97"/>
        <v>PES</v>
      </c>
      <c r="BO56" t="str">
        <f t="shared" si="98"/>
        <v>0001000000</v>
      </c>
      <c r="BP56">
        <f t="shared" si="99"/>
        <v>0</v>
      </c>
      <c r="BQ56">
        <f t="shared" si="100"/>
        <v>0</v>
      </c>
      <c r="BR56" s="23">
        <f t="shared" si="101"/>
        <v>0</v>
      </c>
      <c r="BS56" s="49" t="str">
        <f t="shared" si="102"/>
        <v>000000000000000</v>
      </c>
      <c r="BT56" t="str">
        <f t="shared" si="103"/>
        <v>00000000</v>
      </c>
      <c r="BU56" s="23">
        <f t="shared" si="104"/>
        <v>0</v>
      </c>
      <c r="BV56" s="49" t="str">
        <f t="shared" si="105"/>
        <v/>
      </c>
      <c r="BW56" s="52" t="str">
        <f t="shared" si="106"/>
        <v/>
      </c>
      <c r="BX56" s="23">
        <f t="shared" si="107"/>
        <v>0</v>
      </c>
      <c r="BY56" s="49" t="str">
        <f t="shared" si="108"/>
        <v/>
      </c>
      <c r="BZ56" s="23">
        <f t="shared" si="109"/>
        <v>0</v>
      </c>
      <c r="CA56" s="49" t="str">
        <f t="shared" si="110"/>
        <v/>
      </c>
      <c r="CB56" s="52" t="str">
        <f t="shared" si="111"/>
        <v/>
      </c>
      <c r="CC56" s="23">
        <f t="shared" si="112"/>
        <v>0</v>
      </c>
      <c r="CD56" s="49" t="str">
        <f t="shared" si="113"/>
        <v/>
      </c>
      <c r="CE56" s="56" t="str">
        <f>IF(CF56="","",MAX(CE$10:$CE55)+1)</f>
        <v/>
      </c>
      <c r="CF56" t="str">
        <f t="shared" si="114"/>
        <v/>
      </c>
      <c r="CG56" s="22" t="str">
        <f>IF(CH56="","",MAX($CG$10:CG55)+1)</f>
        <v/>
      </c>
      <c r="CH56" s="22" t="str">
        <f t="shared" si="115"/>
        <v/>
      </c>
      <c r="CI56" s="22" t="str">
        <f>IF(CJ56="","",MAX($CI$10:CI55)+1)</f>
        <v/>
      </c>
      <c r="CJ56" s="22" t="str">
        <f t="shared" si="116"/>
        <v/>
      </c>
    </row>
    <row r="57" spans="2:88" x14ac:dyDescent="0.25">
      <c r="B57" s="37"/>
      <c r="C57" s="3"/>
      <c r="D57" s="77" t="str">
        <f t="shared" si="60"/>
        <v/>
      </c>
      <c r="E57" s="38"/>
      <c r="F57" s="38"/>
      <c r="G57" s="78">
        <f t="shared" si="61"/>
        <v>0</v>
      </c>
      <c r="H57" s="3">
        <v>80</v>
      </c>
      <c r="I57" s="77" t="str">
        <f t="shared" si="62"/>
        <v/>
      </c>
      <c r="J57" s="32"/>
      <c r="K57" s="3"/>
      <c r="L57" s="39"/>
      <c r="M57" s="39"/>
      <c r="N57" s="39"/>
      <c r="O57" s="39"/>
      <c r="P57" s="39"/>
      <c r="Q57" s="39"/>
      <c r="R57" s="39"/>
      <c r="S57" s="39"/>
      <c r="T57" s="3" t="s">
        <v>645</v>
      </c>
      <c r="U57" s="77" t="str">
        <f t="shared" si="63"/>
        <v/>
      </c>
      <c r="V57" s="39">
        <v>1</v>
      </c>
      <c r="W57" s="79">
        <f t="shared" si="64"/>
        <v>0</v>
      </c>
      <c r="X57" s="3">
        <v>0</v>
      </c>
      <c r="Y57" s="77" t="str">
        <f t="shared" si="65"/>
        <v/>
      </c>
      <c r="Z57" s="3"/>
      <c r="AA57" s="37" t="str">
        <f t="shared" si="66"/>
        <v/>
      </c>
      <c r="AC57" s="40"/>
      <c r="AD57" s="7"/>
      <c r="AE57" s="77" t="str">
        <f t="shared" si="67"/>
        <v/>
      </c>
      <c r="AF57" s="81">
        <f t="shared" si="68"/>
        <v>0</v>
      </c>
      <c r="AG57" s="40"/>
      <c r="AH57" s="7"/>
      <c r="AI57" s="77" t="str">
        <f t="shared" si="69"/>
        <v/>
      </c>
      <c r="AJ57" s="81">
        <f t="shared" si="70"/>
        <v>0</v>
      </c>
      <c r="AK57" s="83">
        <f t="shared" si="71"/>
        <v>0</v>
      </c>
      <c r="AL57" s="83">
        <f t="shared" si="72"/>
        <v>0</v>
      </c>
      <c r="AN57" s="43">
        <f t="shared" si="73"/>
        <v>0</v>
      </c>
      <c r="AP57" t="str">
        <f t="shared" si="74"/>
        <v/>
      </c>
      <c r="AQ57" t="str">
        <f t="shared" si="75"/>
        <v/>
      </c>
      <c r="AR57" t="str">
        <f t="shared" si="76"/>
        <v/>
      </c>
      <c r="AS57" t="str">
        <f t="shared" si="77"/>
        <v/>
      </c>
      <c r="AT57" t="str">
        <f t="shared" si="78"/>
        <v/>
      </c>
      <c r="AU57" t="str">
        <f t="shared" si="79"/>
        <v/>
      </c>
      <c r="AV57" t="str">
        <f t="shared" si="80"/>
        <v/>
      </c>
      <c r="AW57" t="str">
        <f t="shared" si="81"/>
        <v xml:space="preserve">                              </v>
      </c>
      <c r="AX57" s="23">
        <f t="shared" si="82"/>
        <v>0</v>
      </c>
      <c r="AY57" s="49" t="str">
        <f t="shared" si="83"/>
        <v>000000000000000</v>
      </c>
      <c r="AZ57" s="23">
        <f t="shared" si="84"/>
        <v>0</v>
      </c>
      <c r="BA57" s="49" t="str">
        <f t="shared" si="83"/>
        <v>000000000000000</v>
      </c>
      <c r="BB57" s="23">
        <f t="shared" si="85"/>
        <v>0</v>
      </c>
      <c r="BC57" s="49" t="str">
        <f t="shared" ref="BC57" si="189">IF(BB57&lt;0,SUBSTITUTE(TEXT(BB57,"000000000000,00"),",",""),SUBSTITUTE(TEXT(BB57,"0000000000000,00"),",",""))</f>
        <v>000000000000000</v>
      </c>
      <c r="BD57" s="23">
        <f t="shared" si="87"/>
        <v>0</v>
      </c>
      <c r="BE57" s="49" t="str">
        <f t="shared" ref="BE57" si="190">IF(BD57&lt;0,SUBSTITUTE(TEXT(BD57,"000000000000,00"),",",""),SUBSTITUTE(TEXT(BD57,"0000000000000,00"),",",""))</f>
        <v>000000000000000</v>
      </c>
      <c r="BF57" s="23">
        <f t="shared" si="89"/>
        <v>0</v>
      </c>
      <c r="BG57" s="49" t="str">
        <f t="shared" ref="BG57" si="191">IF(BF57&lt;0,SUBSTITUTE(TEXT(BF57,"000000000000,00"),",",""),SUBSTITUTE(TEXT(BF57,"0000000000000,00"),",",""))</f>
        <v>000000000000000</v>
      </c>
      <c r="BH57" s="23">
        <f t="shared" si="91"/>
        <v>0</v>
      </c>
      <c r="BI57" s="49" t="str">
        <f t="shared" ref="BI57" si="192">IF(BH57&lt;0,SUBSTITUTE(TEXT(BH57,"000000000000,00"),",",""),SUBSTITUTE(TEXT(BH57,"0000000000000,00"),",",""))</f>
        <v>000000000000000</v>
      </c>
      <c r="BJ57" s="23">
        <f t="shared" si="93"/>
        <v>0</v>
      </c>
      <c r="BK57" s="49" t="str">
        <f t="shared" ref="BK57" si="193">IF(BJ57&lt;0,SUBSTITUTE(TEXT(BJ57,"000000000000,00"),",",""),SUBSTITUTE(TEXT(BJ57,"0000000000000,00"),",",""))</f>
        <v>000000000000000</v>
      </c>
      <c r="BL57" s="23">
        <f t="shared" si="95"/>
        <v>0</v>
      </c>
      <c r="BM57" s="49" t="str">
        <f t="shared" ref="BM57" si="194">IF(BL57&lt;0,SUBSTITUTE(TEXT(BL57,"000000000000,00"),",",""),SUBSTITUTE(TEXT(BL57,"0000000000000,00"),",",""))</f>
        <v>000000000000000</v>
      </c>
      <c r="BN57" t="str">
        <f t="shared" si="97"/>
        <v>PES</v>
      </c>
      <c r="BO57" t="str">
        <f t="shared" si="98"/>
        <v>0001000000</v>
      </c>
      <c r="BP57">
        <f t="shared" si="99"/>
        <v>0</v>
      </c>
      <c r="BQ57">
        <f t="shared" si="100"/>
        <v>0</v>
      </c>
      <c r="BR57" s="23">
        <f t="shared" si="101"/>
        <v>0</v>
      </c>
      <c r="BS57" s="49" t="str">
        <f t="shared" si="102"/>
        <v>000000000000000</v>
      </c>
      <c r="BT57" t="str">
        <f t="shared" si="103"/>
        <v>00000000</v>
      </c>
      <c r="BU57" s="23">
        <f t="shared" si="104"/>
        <v>0</v>
      </c>
      <c r="BV57" s="49" t="str">
        <f t="shared" si="105"/>
        <v/>
      </c>
      <c r="BW57" s="52" t="str">
        <f t="shared" si="106"/>
        <v/>
      </c>
      <c r="BX57" s="23">
        <f t="shared" si="107"/>
        <v>0</v>
      </c>
      <c r="BY57" s="49" t="str">
        <f t="shared" si="108"/>
        <v/>
      </c>
      <c r="BZ57" s="23">
        <f t="shared" si="109"/>
        <v>0</v>
      </c>
      <c r="CA57" s="49" t="str">
        <f t="shared" si="110"/>
        <v/>
      </c>
      <c r="CB57" s="52" t="str">
        <f t="shared" si="111"/>
        <v/>
      </c>
      <c r="CC57" s="23">
        <f t="shared" si="112"/>
        <v>0</v>
      </c>
      <c r="CD57" s="49" t="str">
        <f t="shared" si="113"/>
        <v/>
      </c>
      <c r="CE57" s="56" t="str">
        <f>IF(CF57="","",MAX(CE$10:$CE56)+1)</f>
        <v/>
      </c>
      <c r="CF57" t="str">
        <f t="shared" si="114"/>
        <v/>
      </c>
      <c r="CG57" s="22" t="str">
        <f>IF(CH57="","",MAX($CG$10:CG56)+1)</f>
        <v/>
      </c>
      <c r="CH57" s="22" t="str">
        <f t="shared" si="115"/>
        <v/>
      </c>
      <c r="CI57" s="22" t="str">
        <f>IF(CJ57="","",MAX($CI$10:CI56)+1)</f>
        <v/>
      </c>
      <c r="CJ57" s="22" t="str">
        <f t="shared" si="116"/>
        <v/>
      </c>
    </row>
    <row r="58" spans="2:88" x14ac:dyDescent="0.25">
      <c r="B58" s="37"/>
      <c r="C58" s="3"/>
      <c r="D58" s="77" t="str">
        <f t="shared" si="60"/>
        <v/>
      </c>
      <c r="E58" s="38"/>
      <c r="F58" s="38"/>
      <c r="G58" s="78">
        <f t="shared" si="61"/>
        <v>0</v>
      </c>
      <c r="H58" s="3">
        <v>80</v>
      </c>
      <c r="I58" s="77" t="str">
        <f t="shared" si="62"/>
        <v/>
      </c>
      <c r="J58" s="32"/>
      <c r="K58" s="3"/>
      <c r="L58" s="39"/>
      <c r="M58" s="39"/>
      <c r="N58" s="39"/>
      <c r="O58" s="39"/>
      <c r="P58" s="39"/>
      <c r="Q58" s="39"/>
      <c r="R58" s="39"/>
      <c r="S58" s="39"/>
      <c r="T58" s="3" t="s">
        <v>645</v>
      </c>
      <c r="U58" s="77" t="str">
        <f t="shared" si="63"/>
        <v/>
      </c>
      <c r="V58" s="39">
        <v>1</v>
      </c>
      <c r="W58" s="79">
        <f t="shared" si="64"/>
        <v>0</v>
      </c>
      <c r="X58" s="3">
        <v>0</v>
      </c>
      <c r="Y58" s="77" t="str">
        <f t="shared" si="65"/>
        <v/>
      </c>
      <c r="Z58" s="3"/>
      <c r="AA58" s="37" t="str">
        <f t="shared" si="66"/>
        <v/>
      </c>
      <c r="AC58" s="40"/>
      <c r="AD58" s="7"/>
      <c r="AE58" s="77" t="str">
        <f t="shared" si="67"/>
        <v/>
      </c>
      <c r="AF58" s="81">
        <f t="shared" si="68"/>
        <v>0</v>
      </c>
      <c r="AG58" s="40"/>
      <c r="AH58" s="7"/>
      <c r="AI58" s="77" t="str">
        <f t="shared" si="69"/>
        <v/>
      </c>
      <c r="AJ58" s="81">
        <f t="shared" si="70"/>
        <v>0</v>
      </c>
      <c r="AK58" s="83">
        <f t="shared" si="71"/>
        <v>0</v>
      </c>
      <c r="AL58" s="83">
        <f t="shared" si="72"/>
        <v>0</v>
      </c>
      <c r="AN58" s="43">
        <f t="shared" si="73"/>
        <v>0</v>
      </c>
      <c r="AP58" t="str">
        <f t="shared" si="74"/>
        <v/>
      </c>
      <c r="AQ58" t="str">
        <f t="shared" si="75"/>
        <v/>
      </c>
      <c r="AR58" t="str">
        <f t="shared" si="76"/>
        <v/>
      </c>
      <c r="AS58" t="str">
        <f t="shared" si="77"/>
        <v/>
      </c>
      <c r="AT58" t="str">
        <f t="shared" si="78"/>
        <v/>
      </c>
      <c r="AU58" t="str">
        <f t="shared" si="79"/>
        <v/>
      </c>
      <c r="AV58" t="str">
        <f t="shared" si="80"/>
        <v/>
      </c>
      <c r="AW58" t="str">
        <f t="shared" si="81"/>
        <v xml:space="preserve">                              </v>
      </c>
      <c r="AX58" s="23">
        <f t="shared" si="82"/>
        <v>0</v>
      </c>
      <c r="AY58" s="49" t="str">
        <f t="shared" si="83"/>
        <v>000000000000000</v>
      </c>
      <c r="AZ58" s="23">
        <f t="shared" si="84"/>
        <v>0</v>
      </c>
      <c r="BA58" s="49" t="str">
        <f t="shared" si="83"/>
        <v>000000000000000</v>
      </c>
      <c r="BB58" s="23">
        <f t="shared" si="85"/>
        <v>0</v>
      </c>
      <c r="BC58" s="49" t="str">
        <f t="shared" ref="BC58" si="195">IF(BB58&lt;0,SUBSTITUTE(TEXT(BB58,"000000000000,00"),",",""),SUBSTITUTE(TEXT(BB58,"0000000000000,00"),",",""))</f>
        <v>000000000000000</v>
      </c>
      <c r="BD58" s="23">
        <f t="shared" si="87"/>
        <v>0</v>
      </c>
      <c r="BE58" s="49" t="str">
        <f t="shared" ref="BE58" si="196">IF(BD58&lt;0,SUBSTITUTE(TEXT(BD58,"000000000000,00"),",",""),SUBSTITUTE(TEXT(BD58,"0000000000000,00"),",",""))</f>
        <v>000000000000000</v>
      </c>
      <c r="BF58" s="23">
        <f t="shared" si="89"/>
        <v>0</v>
      </c>
      <c r="BG58" s="49" t="str">
        <f t="shared" ref="BG58" si="197">IF(BF58&lt;0,SUBSTITUTE(TEXT(BF58,"000000000000,00"),",",""),SUBSTITUTE(TEXT(BF58,"0000000000000,00"),",",""))</f>
        <v>000000000000000</v>
      </c>
      <c r="BH58" s="23">
        <f t="shared" si="91"/>
        <v>0</v>
      </c>
      <c r="BI58" s="49" t="str">
        <f t="shared" ref="BI58" si="198">IF(BH58&lt;0,SUBSTITUTE(TEXT(BH58,"000000000000,00"),",",""),SUBSTITUTE(TEXT(BH58,"0000000000000,00"),",",""))</f>
        <v>000000000000000</v>
      </c>
      <c r="BJ58" s="23">
        <f t="shared" si="93"/>
        <v>0</v>
      </c>
      <c r="BK58" s="49" t="str">
        <f t="shared" ref="BK58" si="199">IF(BJ58&lt;0,SUBSTITUTE(TEXT(BJ58,"000000000000,00"),",",""),SUBSTITUTE(TEXT(BJ58,"0000000000000,00"),",",""))</f>
        <v>000000000000000</v>
      </c>
      <c r="BL58" s="23">
        <f t="shared" si="95"/>
        <v>0</v>
      </c>
      <c r="BM58" s="49" t="str">
        <f t="shared" ref="BM58" si="200">IF(BL58&lt;0,SUBSTITUTE(TEXT(BL58,"000000000000,00"),",",""),SUBSTITUTE(TEXT(BL58,"0000000000000,00"),",",""))</f>
        <v>000000000000000</v>
      </c>
      <c r="BN58" t="str">
        <f t="shared" si="97"/>
        <v>PES</v>
      </c>
      <c r="BO58" t="str">
        <f t="shared" si="98"/>
        <v>0001000000</v>
      </c>
      <c r="BP58">
        <f t="shared" si="99"/>
        <v>0</v>
      </c>
      <c r="BQ58">
        <f t="shared" si="100"/>
        <v>0</v>
      </c>
      <c r="BR58" s="23">
        <f t="shared" si="101"/>
        <v>0</v>
      </c>
      <c r="BS58" s="49" t="str">
        <f t="shared" si="102"/>
        <v>000000000000000</v>
      </c>
      <c r="BT58" t="str">
        <f t="shared" si="103"/>
        <v>00000000</v>
      </c>
      <c r="BU58" s="23">
        <f t="shared" si="104"/>
        <v>0</v>
      </c>
      <c r="BV58" s="49" t="str">
        <f t="shared" si="105"/>
        <v/>
      </c>
      <c r="BW58" s="52" t="str">
        <f t="shared" si="106"/>
        <v/>
      </c>
      <c r="BX58" s="23">
        <f t="shared" si="107"/>
        <v>0</v>
      </c>
      <c r="BY58" s="49" t="str">
        <f t="shared" si="108"/>
        <v/>
      </c>
      <c r="BZ58" s="23">
        <f t="shared" si="109"/>
        <v>0</v>
      </c>
      <c r="CA58" s="49" t="str">
        <f t="shared" si="110"/>
        <v/>
      </c>
      <c r="CB58" s="52" t="str">
        <f t="shared" si="111"/>
        <v/>
      </c>
      <c r="CC58" s="23">
        <f t="shared" si="112"/>
        <v>0</v>
      </c>
      <c r="CD58" s="49" t="str">
        <f t="shared" si="113"/>
        <v/>
      </c>
      <c r="CE58" s="56" t="str">
        <f>IF(CF58="","",MAX(CE$10:$CE57)+1)</f>
        <v/>
      </c>
      <c r="CF58" t="str">
        <f t="shared" si="114"/>
        <v/>
      </c>
      <c r="CG58" s="22" t="str">
        <f>IF(CH58="","",MAX($CG$10:CG57)+1)</f>
        <v/>
      </c>
      <c r="CH58" s="22" t="str">
        <f t="shared" si="115"/>
        <v/>
      </c>
      <c r="CI58" s="22" t="str">
        <f>IF(CJ58="","",MAX($CI$10:CI57)+1)</f>
        <v/>
      </c>
      <c r="CJ58" s="22" t="str">
        <f t="shared" si="116"/>
        <v/>
      </c>
    </row>
    <row r="59" spans="2:88" x14ac:dyDescent="0.25">
      <c r="B59" s="37"/>
      <c r="C59" s="3"/>
      <c r="D59" s="77" t="str">
        <f t="shared" si="60"/>
        <v/>
      </c>
      <c r="E59" s="38"/>
      <c r="F59" s="38"/>
      <c r="G59" s="78">
        <f t="shared" si="61"/>
        <v>0</v>
      </c>
      <c r="H59" s="3">
        <v>80</v>
      </c>
      <c r="I59" s="77" t="str">
        <f t="shared" si="62"/>
        <v/>
      </c>
      <c r="J59" s="32"/>
      <c r="K59" s="3"/>
      <c r="L59" s="39"/>
      <c r="M59" s="39"/>
      <c r="N59" s="39"/>
      <c r="O59" s="39"/>
      <c r="P59" s="39"/>
      <c r="Q59" s="39"/>
      <c r="R59" s="39"/>
      <c r="S59" s="39"/>
      <c r="T59" s="3" t="s">
        <v>645</v>
      </c>
      <c r="U59" s="77" t="str">
        <f t="shared" si="63"/>
        <v/>
      </c>
      <c r="V59" s="39">
        <v>1</v>
      </c>
      <c r="W59" s="79">
        <f t="shared" si="64"/>
        <v>0</v>
      </c>
      <c r="X59" s="3">
        <v>0</v>
      </c>
      <c r="Y59" s="77" t="str">
        <f t="shared" si="65"/>
        <v/>
      </c>
      <c r="Z59" s="3"/>
      <c r="AA59" s="37" t="str">
        <f t="shared" si="66"/>
        <v/>
      </c>
      <c r="AC59" s="40"/>
      <c r="AD59" s="7"/>
      <c r="AE59" s="77" t="str">
        <f t="shared" si="67"/>
        <v/>
      </c>
      <c r="AF59" s="81">
        <f t="shared" si="68"/>
        <v>0</v>
      </c>
      <c r="AG59" s="40"/>
      <c r="AH59" s="7"/>
      <c r="AI59" s="77" t="str">
        <f t="shared" si="69"/>
        <v/>
      </c>
      <c r="AJ59" s="81">
        <f t="shared" si="70"/>
        <v>0</v>
      </c>
      <c r="AK59" s="83">
        <f t="shared" si="71"/>
        <v>0</v>
      </c>
      <c r="AL59" s="83">
        <f t="shared" si="72"/>
        <v>0</v>
      </c>
      <c r="AN59" s="43">
        <f t="shared" si="73"/>
        <v>0</v>
      </c>
      <c r="AP59" t="str">
        <f t="shared" si="74"/>
        <v/>
      </c>
      <c r="AQ59" t="str">
        <f t="shared" si="75"/>
        <v/>
      </c>
      <c r="AR59" t="str">
        <f t="shared" si="76"/>
        <v/>
      </c>
      <c r="AS59" t="str">
        <f t="shared" si="77"/>
        <v/>
      </c>
      <c r="AT59" t="str">
        <f t="shared" si="78"/>
        <v/>
      </c>
      <c r="AU59" t="str">
        <f t="shared" si="79"/>
        <v/>
      </c>
      <c r="AV59" t="str">
        <f t="shared" si="80"/>
        <v/>
      </c>
      <c r="AW59" t="str">
        <f t="shared" si="81"/>
        <v xml:space="preserve">                              </v>
      </c>
      <c r="AX59" s="23">
        <f t="shared" si="82"/>
        <v>0</v>
      </c>
      <c r="AY59" s="49" t="str">
        <f t="shared" si="83"/>
        <v>000000000000000</v>
      </c>
      <c r="AZ59" s="23">
        <f t="shared" si="84"/>
        <v>0</v>
      </c>
      <c r="BA59" s="49" t="str">
        <f t="shared" si="83"/>
        <v>000000000000000</v>
      </c>
      <c r="BB59" s="23">
        <f t="shared" si="85"/>
        <v>0</v>
      </c>
      <c r="BC59" s="49" t="str">
        <f t="shared" ref="BC59" si="201">IF(BB59&lt;0,SUBSTITUTE(TEXT(BB59,"000000000000,00"),",",""),SUBSTITUTE(TEXT(BB59,"0000000000000,00"),",",""))</f>
        <v>000000000000000</v>
      </c>
      <c r="BD59" s="23">
        <f t="shared" si="87"/>
        <v>0</v>
      </c>
      <c r="BE59" s="49" t="str">
        <f t="shared" ref="BE59" si="202">IF(BD59&lt;0,SUBSTITUTE(TEXT(BD59,"000000000000,00"),",",""),SUBSTITUTE(TEXT(BD59,"0000000000000,00"),",",""))</f>
        <v>000000000000000</v>
      </c>
      <c r="BF59" s="23">
        <f t="shared" si="89"/>
        <v>0</v>
      </c>
      <c r="BG59" s="49" t="str">
        <f t="shared" ref="BG59" si="203">IF(BF59&lt;0,SUBSTITUTE(TEXT(BF59,"000000000000,00"),",",""),SUBSTITUTE(TEXT(BF59,"0000000000000,00"),",",""))</f>
        <v>000000000000000</v>
      </c>
      <c r="BH59" s="23">
        <f t="shared" si="91"/>
        <v>0</v>
      </c>
      <c r="BI59" s="49" t="str">
        <f t="shared" ref="BI59" si="204">IF(BH59&lt;0,SUBSTITUTE(TEXT(BH59,"000000000000,00"),",",""),SUBSTITUTE(TEXT(BH59,"0000000000000,00"),",",""))</f>
        <v>000000000000000</v>
      </c>
      <c r="BJ59" s="23">
        <f t="shared" si="93"/>
        <v>0</v>
      </c>
      <c r="BK59" s="49" t="str">
        <f t="shared" ref="BK59" si="205">IF(BJ59&lt;0,SUBSTITUTE(TEXT(BJ59,"000000000000,00"),",",""),SUBSTITUTE(TEXT(BJ59,"0000000000000,00"),",",""))</f>
        <v>000000000000000</v>
      </c>
      <c r="BL59" s="23">
        <f t="shared" si="95"/>
        <v>0</v>
      </c>
      <c r="BM59" s="49" t="str">
        <f t="shared" ref="BM59" si="206">IF(BL59&lt;0,SUBSTITUTE(TEXT(BL59,"000000000000,00"),",",""),SUBSTITUTE(TEXT(BL59,"0000000000000,00"),",",""))</f>
        <v>000000000000000</v>
      </c>
      <c r="BN59" t="str">
        <f t="shared" si="97"/>
        <v>PES</v>
      </c>
      <c r="BO59" t="str">
        <f t="shared" si="98"/>
        <v>0001000000</v>
      </c>
      <c r="BP59">
        <f t="shared" si="99"/>
        <v>0</v>
      </c>
      <c r="BQ59">
        <f t="shared" si="100"/>
        <v>0</v>
      </c>
      <c r="BR59" s="23">
        <f t="shared" si="101"/>
        <v>0</v>
      </c>
      <c r="BS59" s="49" t="str">
        <f t="shared" si="102"/>
        <v>000000000000000</v>
      </c>
      <c r="BT59" t="str">
        <f t="shared" si="103"/>
        <v>00000000</v>
      </c>
      <c r="BU59" s="23">
        <f t="shared" si="104"/>
        <v>0</v>
      </c>
      <c r="BV59" s="49" t="str">
        <f t="shared" si="105"/>
        <v/>
      </c>
      <c r="BW59" s="52" t="str">
        <f t="shared" si="106"/>
        <v/>
      </c>
      <c r="BX59" s="23">
        <f t="shared" si="107"/>
        <v>0</v>
      </c>
      <c r="BY59" s="49" t="str">
        <f t="shared" si="108"/>
        <v/>
      </c>
      <c r="BZ59" s="23">
        <f t="shared" si="109"/>
        <v>0</v>
      </c>
      <c r="CA59" s="49" t="str">
        <f t="shared" si="110"/>
        <v/>
      </c>
      <c r="CB59" s="52" t="str">
        <f t="shared" si="111"/>
        <v/>
      </c>
      <c r="CC59" s="23">
        <f t="shared" si="112"/>
        <v>0</v>
      </c>
      <c r="CD59" s="49" t="str">
        <f t="shared" si="113"/>
        <v/>
      </c>
      <c r="CE59" s="56" t="str">
        <f>IF(CF59="","",MAX(CE$10:$CE58)+1)</f>
        <v/>
      </c>
      <c r="CF59" t="str">
        <f t="shared" si="114"/>
        <v/>
      </c>
      <c r="CG59" s="22" t="str">
        <f>IF(CH59="","",MAX($CG$10:CG58)+1)</f>
        <v/>
      </c>
      <c r="CH59" s="22" t="str">
        <f t="shared" si="115"/>
        <v/>
      </c>
      <c r="CI59" s="22" t="str">
        <f>IF(CJ59="","",MAX($CI$10:CI58)+1)</f>
        <v/>
      </c>
      <c r="CJ59" s="22" t="str">
        <f t="shared" si="116"/>
        <v/>
      </c>
    </row>
    <row r="60" spans="2:88" x14ac:dyDescent="0.25">
      <c r="B60" s="37"/>
      <c r="C60" s="3"/>
      <c r="D60" s="77" t="str">
        <f t="shared" si="60"/>
        <v/>
      </c>
      <c r="E60" s="38"/>
      <c r="F60" s="38"/>
      <c r="G60" s="78">
        <f t="shared" si="61"/>
        <v>0</v>
      </c>
      <c r="H60" s="3">
        <v>80</v>
      </c>
      <c r="I60" s="77" t="str">
        <f t="shared" si="62"/>
        <v/>
      </c>
      <c r="J60" s="32"/>
      <c r="K60" s="3"/>
      <c r="L60" s="39"/>
      <c r="M60" s="39"/>
      <c r="N60" s="39"/>
      <c r="O60" s="39"/>
      <c r="P60" s="39"/>
      <c r="Q60" s="39"/>
      <c r="R60" s="39"/>
      <c r="S60" s="39"/>
      <c r="T60" s="3" t="s">
        <v>645</v>
      </c>
      <c r="U60" s="77" t="str">
        <f t="shared" si="63"/>
        <v/>
      </c>
      <c r="V60" s="39">
        <v>1</v>
      </c>
      <c r="W60" s="79">
        <f t="shared" si="64"/>
        <v>0</v>
      </c>
      <c r="X60" s="3">
        <v>0</v>
      </c>
      <c r="Y60" s="77" t="str">
        <f t="shared" si="65"/>
        <v/>
      </c>
      <c r="Z60" s="3"/>
      <c r="AA60" s="37" t="str">
        <f t="shared" si="66"/>
        <v/>
      </c>
      <c r="AC60" s="40"/>
      <c r="AD60" s="7"/>
      <c r="AE60" s="77" t="str">
        <f t="shared" si="67"/>
        <v/>
      </c>
      <c r="AF60" s="81">
        <f t="shared" si="68"/>
        <v>0</v>
      </c>
      <c r="AG60" s="40"/>
      <c r="AH60" s="7"/>
      <c r="AI60" s="77" t="str">
        <f t="shared" si="69"/>
        <v/>
      </c>
      <c r="AJ60" s="81">
        <f t="shared" si="70"/>
        <v>0</v>
      </c>
      <c r="AK60" s="83">
        <f t="shared" si="71"/>
        <v>0</v>
      </c>
      <c r="AL60" s="83">
        <f t="shared" si="72"/>
        <v>0</v>
      </c>
      <c r="AN60" s="43">
        <f t="shared" si="73"/>
        <v>0</v>
      </c>
      <c r="AP60" t="str">
        <f t="shared" si="74"/>
        <v/>
      </c>
      <c r="AQ60" t="str">
        <f t="shared" si="75"/>
        <v/>
      </c>
      <c r="AR60" t="str">
        <f t="shared" si="76"/>
        <v/>
      </c>
      <c r="AS60" t="str">
        <f t="shared" si="77"/>
        <v/>
      </c>
      <c r="AT60" t="str">
        <f t="shared" si="78"/>
        <v/>
      </c>
      <c r="AU60" t="str">
        <f t="shared" si="79"/>
        <v/>
      </c>
      <c r="AV60" t="str">
        <f t="shared" si="80"/>
        <v/>
      </c>
      <c r="AW60" t="str">
        <f t="shared" si="81"/>
        <v xml:space="preserve">                              </v>
      </c>
      <c r="AX60" s="23">
        <f t="shared" si="82"/>
        <v>0</v>
      </c>
      <c r="AY60" s="49" t="str">
        <f t="shared" si="83"/>
        <v>000000000000000</v>
      </c>
      <c r="AZ60" s="23">
        <f t="shared" si="84"/>
        <v>0</v>
      </c>
      <c r="BA60" s="49" t="str">
        <f t="shared" si="83"/>
        <v>000000000000000</v>
      </c>
      <c r="BB60" s="23">
        <f t="shared" si="85"/>
        <v>0</v>
      </c>
      <c r="BC60" s="49" t="str">
        <f t="shared" ref="BC60" si="207">IF(BB60&lt;0,SUBSTITUTE(TEXT(BB60,"000000000000,00"),",",""),SUBSTITUTE(TEXT(BB60,"0000000000000,00"),",",""))</f>
        <v>000000000000000</v>
      </c>
      <c r="BD60" s="23">
        <f t="shared" si="87"/>
        <v>0</v>
      </c>
      <c r="BE60" s="49" t="str">
        <f t="shared" ref="BE60" si="208">IF(BD60&lt;0,SUBSTITUTE(TEXT(BD60,"000000000000,00"),",",""),SUBSTITUTE(TEXT(BD60,"0000000000000,00"),",",""))</f>
        <v>000000000000000</v>
      </c>
      <c r="BF60" s="23">
        <f t="shared" si="89"/>
        <v>0</v>
      </c>
      <c r="BG60" s="49" t="str">
        <f t="shared" ref="BG60" si="209">IF(BF60&lt;0,SUBSTITUTE(TEXT(BF60,"000000000000,00"),",",""),SUBSTITUTE(TEXT(BF60,"0000000000000,00"),",",""))</f>
        <v>000000000000000</v>
      </c>
      <c r="BH60" s="23">
        <f t="shared" si="91"/>
        <v>0</v>
      </c>
      <c r="BI60" s="49" t="str">
        <f t="shared" ref="BI60" si="210">IF(BH60&lt;0,SUBSTITUTE(TEXT(BH60,"000000000000,00"),",",""),SUBSTITUTE(TEXT(BH60,"0000000000000,00"),",",""))</f>
        <v>000000000000000</v>
      </c>
      <c r="BJ60" s="23">
        <f t="shared" si="93"/>
        <v>0</v>
      </c>
      <c r="BK60" s="49" t="str">
        <f t="shared" ref="BK60" si="211">IF(BJ60&lt;0,SUBSTITUTE(TEXT(BJ60,"000000000000,00"),",",""),SUBSTITUTE(TEXT(BJ60,"0000000000000,00"),",",""))</f>
        <v>000000000000000</v>
      </c>
      <c r="BL60" s="23">
        <f t="shared" si="95"/>
        <v>0</v>
      </c>
      <c r="BM60" s="49" t="str">
        <f t="shared" ref="BM60" si="212">IF(BL60&lt;0,SUBSTITUTE(TEXT(BL60,"000000000000,00"),",",""),SUBSTITUTE(TEXT(BL60,"0000000000000,00"),",",""))</f>
        <v>000000000000000</v>
      </c>
      <c r="BN60" t="str">
        <f t="shared" si="97"/>
        <v>PES</v>
      </c>
      <c r="BO60" t="str">
        <f t="shared" si="98"/>
        <v>0001000000</v>
      </c>
      <c r="BP60">
        <f t="shared" si="99"/>
        <v>0</v>
      </c>
      <c r="BQ60">
        <f t="shared" si="100"/>
        <v>0</v>
      </c>
      <c r="BR60" s="23">
        <f t="shared" si="101"/>
        <v>0</v>
      </c>
      <c r="BS60" s="49" t="str">
        <f t="shared" si="102"/>
        <v>000000000000000</v>
      </c>
      <c r="BT60" t="str">
        <f t="shared" si="103"/>
        <v>00000000</v>
      </c>
      <c r="BU60" s="23">
        <f t="shared" si="104"/>
        <v>0</v>
      </c>
      <c r="BV60" s="49" t="str">
        <f t="shared" si="105"/>
        <v/>
      </c>
      <c r="BW60" s="52" t="str">
        <f t="shared" si="106"/>
        <v/>
      </c>
      <c r="BX60" s="23">
        <f t="shared" si="107"/>
        <v>0</v>
      </c>
      <c r="BY60" s="49" t="str">
        <f t="shared" si="108"/>
        <v/>
      </c>
      <c r="BZ60" s="23">
        <f t="shared" si="109"/>
        <v>0</v>
      </c>
      <c r="CA60" s="49" t="str">
        <f t="shared" si="110"/>
        <v/>
      </c>
      <c r="CB60" s="52" t="str">
        <f t="shared" si="111"/>
        <v/>
      </c>
      <c r="CC60" s="23">
        <f t="shared" si="112"/>
        <v>0</v>
      </c>
      <c r="CD60" s="49" t="str">
        <f t="shared" si="113"/>
        <v/>
      </c>
      <c r="CE60" s="56" t="str">
        <f>IF(CF60="","",MAX(CE$10:$CE59)+1)</f>
        <v/>
      </c>
      <c r="CF60" t="str">
        <f t="shared" si="114"/>
        <v/>
      </c>
      <c r="CG60" s="22" t="str">
        <f>IF(CH60="","",MAX($CG$10:CG59)+1)</f>
        <v/>
      </c>
      <c r="CH60" s="22" t="str">
        <f t="shared" si="115"/>
        <v/>
      </c>
      <c r="CI60" s="22" t="str">
        <f>IF(CJ60="","",MAX($CI$10:CI59)+1)</f>
        <v/>
      </c>
      <c r="CJ60" s="22" t="str">
        <f t="shared" si="116"/>
        <v/>
      </c>
    </row>
    <row r="61" spans="2:88" x14ac:dyDescent="0.25">
      <c r="B61" s="37"/>
      <c r="C61" s="3"/>
      <c r="D61" s="77" t="str">
        <f t="shared" si="60"/>
        <v/>
      </c>
      <c r="E61" s="38"/>
      <c r="F61" s="38"/>
      <c r="G61" s="78">
        <f t="shared" si="61"/>
        <v>0</v>
      </c>
      <c r="H61" s="3">
        <v>80</v>
      </c>
      <c r="I61" s="77" t="str">
        <f t="shared" si="62"/>
        <v/>
      </c>
      <c r="J61" s="32"/>
      <c r="K61" s="3"/>
      <c r="L61" s="39"/>
      <c r="M61" s="39"/>
      <c r="N61" s="39"/>
      <c r="O61" s="39"/>
      <c r="P61" s="39"/>
      <c r="Q61" s="39"/>
      <c r="R61" s="39"/>
      <c r="S61" s="39"/>
      <c r="T61" s="3" t="s">
        <v>645</v>
      </c>
      <c r="U61" s="77" t="str">
        <f t="shared" si="63"/>
        <v/>
      </c>
      <c r="V61" s="39">
        <v>1</v>
      </c>
      <c r="W61" s="79">
        <f t="shared" si="64"/>
        <v>0</v>
      </c>
      <c r="X61" s="3">
        <v>0</v>
      </c>
      <c r="Y61" s="77" t="str">
        <f t="shared" si="65"/>
        <v/>
      </c>
      <c r="Z61" s="3"/>
      <c r="AA61" s="37" t="str">
        <f t="shared" si="66"/>
        <v/>
      </c>
      <c r="AC61" s="40"/>
      <c r="AD61" s="7"/>
      <c r="AE61" s="77" t="str">
        <f t="shared" si="67"/>
        <v/>
      </c>
      <c r="AF61" s="81">
        <f t="shared" si="68"/>
        <v>0</v>
      </c>
      <c r="AG61" s="40"/>
      <c r="AH61" s="7"/>
      <c r="AI61" s="77" t="str">
        <f t="shared" si="69"/>
        <v/>
      </c>
      <c r="AJ61" s="81">
        <f t="shared" si="70"/>
        <v>0</v>
      </c>
      <c r="AK61" s="83">
        <f t="shared" si="71"/>
        <v>0</v>
      </c>
      <c r="AL61" s="83">
        <f t="shared" si="72"/>
        <v>0</v>
      </c>
      <c r="AN61" s="43">
        <f t="shared" si="73"/>
        <v>0</v>
      </c>
      <c r="AP61" t="str">
        <f t="shared" si="74"/>
        <v/>
      </c>
      <c r="AQ61" t="str">
        <f t="shared" si="75"/>
        <v/>
      </c>
      <c r="AR61" t="str">
        <f t="shared" si="76"/>
        <v/>
      </c>
      <c r="AS61" t="str">
        <f t="shared" si="77"/>
        <v/>
      </c>
      <c r="AT61" t="str">
        <f t="shared" si="78"/>
        <v/>
      </c>
      <c r="AU61" t="str">
        <f t="shared" si="79"/>
        <v/>
      </c>
      <c r="AV61" t="str">
        <f t="shared" si="80"/>
        <v/>
      </c>
      <c r="AW61" t="str">
        <f t="shared" si="81"/>
        <v xml:space="preserve">                              </v>
      </c>
      <c r="AX61" s="23">
        <f t="shared" si="82"/>
        <v>0</v>
      </c>
      <c r="AY61" s="49" t="str">
        <f t="shared" si="83"/>
        <v>000000000000000</v>
      </c>
      <c r="AZ61" s="23">
        <f t="shared" si="84"/>
        <v>0</v>
      </c>
      <c r="BA61" s="49" t="str">
        <f t="shared" si="83"/>
        <v>000000000000000</v>
      </c>
      <c r="BB61" s="23">
        <f t="shared" si="85"/>
        <v>0</v>
      </c>
      <c r="BC61" s="49" t="str">
        <f t="shared" ref="BC61" si="213">IF(BB61&lt;0,SUBSTITUTE(TEXT(BB61,"000000000000,00"),",",""),SUBSTITUTE(TEXT(BB61,"0000000000000,00"),",",""))</f>
        <v>000000000000000</v>
      </c>
      <c r="BD61" s="23">
        <f t="shared" si="87"/>
        <v>0</v>
      </c>
      <c r="BE61" s="49" t="str">
        <f t="shared" ref="BE61" si="214">IF(BD61&lt;0,SUBSTITUTE(TEXT(BD61,"000000000000,00"),",",""),SUBSTITUTE(TEXT(BD61,"0000000000000,00"),",",""))</f>
        <v>000000000000000</v>
      </c>
      <c r="BF61" s="23">
        <f t="shared" si="89"/>
        <v>0</v>
      </c>
      <c r="BG61" s="49" t="str">
        <f t="shared" ref="BG61" si="215">IF(BF61&lt;0,SUBSTITUTE(TEXT(BF61,"000000000000,00"),",",""),SUBSTITUTE(TEXT(BF61,"0000000000000,00"),",",""))</f>
        <v>000000000000000</v>
      </c>
      <c r="BH61" s="23">
        <f t="shared" si="91"/>
        <v>0</v>
      </c>
      <c r="BI61" s="49" t="str">
        <f t="shared" ref="BI61" si="216">IF(BH61&lt;0,SUBSTITUTE(TEXT(BH61,"000000000000,00"),",",""),SUBSTITUTE(TEXT(BH61,"0000000000000,00"),",",""))</f>
        <v>000000000000000</v>
      </c>
      <c r="BJ61" s="23">
        <f t="shared" si="93"/>
        <v>0</v>
      </c>
      <c r="BK61" s="49" t="str">
        <f t="shared" ref="BK61" si="217">IF(BJ61&lt;0,SUBSTITUTE(TEXT(BJ61,"000000000000,00"),",",""),SUBSTITUTE(TEXT(BJ61,"0000000000000,00"),",",""))</f>
        <v>000000000000000</v>
      </c>
      <c r="BL61" s="23">
        <f t="shared" si="95"/>
        <v>0</v>
      </c>
      <c r="BM61" s="49" t="str">
        <f t="shared" ref="BM61" si="218">IF(BL61&lt;0,SUBSTITUTE(TEXT(BL61,"000000000000,00"),",",""),SUBSTITUTE(TEXT(BL61,"0000000000000,00"),",",""))</f>
        <v>000000000000000</v>
      </c>
      <c r="BN61" t="str">
        <f t="shared" si="97"/>
        <v>PES</v>
      </c>
      <c r="BO61" t="str">
        <f t="shared" si="98"/>
        <v>0001000000</v>
      </c>
      <c r="BP61">
        <f t="shared" si="99"/>
        <v>0</v>
      </c>
      <c r="BQ61">
        <f t="shared" si="100"/>
        <v>0</v>
      </c>
      <c r="BR61" s="23">
        <f t="shared" si="101"/>
        <v>0</v>
      </c>
      <c r="BS61" s="49" t="str">
        <f t="shared" si="102"/>
        <v>000000000000000</v>
      </c>
      <c r="BT61" t="str">
        <f t="shared" si="103"/>
        <v>00000000</v>
      </c>
      <c r="BU61" s="23">
        <f t="shared" si="104"/>
        <v>0</v>
      </c>
      <c r="BV61" s="49" t="str">
        <f t="shared" si="105"/>
        <v/>
      </c>
      <c r="BW61" s="52" t="str">
        <f t="shared" si="106"/>
        <v/>
      </c>
      <c r="BX61" s="23">
        <f t="shared" si="107"/>
        <v>0</v>
      </c>
      <c r="BY61" s="49" t="str">
        <f t="shared" si="108"/>
        <v/>
      </c>
      <c r="BZ61" s="23">
        <f t="shared" si="109"/>
        <v>0</v>
      </c>
      <c r="CA61" s="49" t="str">
        <f t="shared" si="110"/>
        <v/>
      </c>
      <c r="CB61" s="52" t="str">
        <f t="shared" si="111"/>
        <v/>
      </c>
      <c r="CC61" s="23">
        <f t="shared" si="112"/>
        <v>0</v>
      </c>
      <c r="CD61" s="49" t="str">
        <f t="shared" si="113"/>
        <v/>
      </c>
      <c r="CE61" s="56" t="str">
        <f>IF(CF61="","",MAX(CE$10:$CE60)+1)</f>
        <v/>
      </c>
      <c r="CF61" t="str">
        <f t="shared" si="114"/>
        <v/>
      </c>
      <c r="CG61" s="22" t="str">
        <f>IF(CH61="","",MAX($CG$10:CG60)+1)</f>
        <v/>
      </c>
      <c r="CH61" s="22" t="str">
        <f t="shared" si="115"/>
        <v/>
      </c>
      <c r="CI61" s="22" t="str">
        <f>IF(CJ61="","",MAX($CI$10:CI60)+1)</f>
        <v/>
      </c>
      <c r="CJ61" s="22" t="str">
        <f t="shared" si="116"/>
        <v/>
      </c>
    </row>
    <row r="62" spans="2:88" x14ac:dyDescent="0.25">
      <c r="B62" s="37"/>
      <c r="C62" s="3"/>
      <c r="D62" s="77" t="str">
        <f t="shared" si="60"/>
        <v/>
      </c>
      <c r="E62" s="38"/>
      <c r="F62" s="38"/>
      <c r="G62" s="78">
        <f t="shared" si="61"/>
        <v>0</v>
      </c>
      <c r="H62" s="3">
        <v>80</v>
      </c>
      <c r="I62" s="77" t="str">
        <f t="shared" si="62"/>
        <v/>
      </c>
      <c r="J62" s="32"/>
      <c r="K62" s="3"/>
      <c r="L62" s="39"/>
      <c r="M62" s="39"/>
      <c r="N62" s="39"/>
      <c r="O62" s="39"/>
      <c r="P62" s="39"/>
      <c r="Q62" s="39"/>
      <c r="R62" s="39"/>
      <c r="S62" s="39"/>
      <c r="T62" s="3" t="s">
        <v>645</v>
      </c>
      <c r="U62" s="77" t="str">
        <f t="shared" si="63"/>
        <v/>
      </c>
      <c r="V62" s="39">
        <v>1</v>
      </c>
      <c r="W62" s="79">
        <f t="shared" si="64"/>
        <v>0</v>
      </c>
      <c r="X62" s="3">
        <v>0</v>
      </c>
      <c r="Y62" s="77" t="str">
        <f t="shared" si="65"/>
        <v/>
      </c>
      <c r="Z62" s="3"/>
      <c r="AA62" s="37" t="str">
        <f t="shared" si="66"/>
        <v/>
      </c>
      <c r="AC62" s="40"/>
      <c r="AD62" s="7"/>
      <c r="AE62" s="77" t="str">
        <f t="shared" si="67"/>
        <v/>
      </c>
      <c r="AF62" s="81">
        <f t="shared" si="68"/>
        <v>0</v>
      </c>
      <c r="AG62" s="40"/>
      <c r="AH62" s="7"/>
      <c r="AI62" s="77" t="str">
        <f t="shared" si="69"/>
        <v/>
      </c>
      <c r="AJ62" s="81">
        <f t="shared" si="70"/>
        <v>0</v>
      </c>
      <c r="AK62" s="83">
        <f t="shared" si="71"/>
        <v>0</v>
      </c>
      <c r="AL62" s="83">
        <f t="shared" si="72"/>
        <v>0</v>
      </c>
      <c r="AN62" s="43">
        <f t="shared" si="73"/>
        <v>0</v>
      </c>
      <c r="AP62" t="str">
        <f t="shared" si="74"/>
        <v/>
      </c>
      <c r="AQ62" t="str">
        <f t="shared" si="75"/>
        <v/>
      </c>
      <c r="AR62" t="str">
        <f t="shared" si="76"/>
        <v/>
      </c>
      <c r="AS62" t="str">
        <f t="shared" si="77"/>
        <v/>
      </c>
      <c r="AT62" t="str">
        <f t="shared" si="78"/>
        <v/>
      </c>
      <c r="AU62" t="str">
        <f t="shared" si="79"/>
        <v/>
      </c>
      <c r="AV62" t="str">
        <f t="shared" si="80"/>
        <v/>
      </c>
      <c r="AW62" t="str">
        <f t="shared" si="81"/>
        <v xml:space="preserve">                              </v>
      </c>
      <c r="AX62" s="23">
        <f t="shared" si="82"/>
        <v>0</v>
      </c>
      <c r="AY62" s="49" t="str">
        <f t="shared" si="83"/>
        <v>000000000000000</v>
      </c>
      <c r="AZ62" s="23">
        <f t="shared" si="84"/>
        <v>0</v>
      </c>
      <c r="BA62" s="49" t="str">
        <f t="shared" si="83"/>
        <v>000000000000000</v>
      </c>
      <c r="BB62" s="23">
        <f t="shared" si="85"/>
        <v>0</v>
      </c>
      <c r="BC62" s="49" t="str">
        <f t="shared" ref="BC62" si="219">IF(BB62&lt;0,SUBSTITUTE(TEXT(BB62,"000000000000,00"),",",""),SUBSTITUTE(TEXT(BB62,"0000000000000,00"),",",""))</f>
        <v>000000000000000</v>
      </c>
      <c r="BD62" s="23">
        <f t="shared" si="87"/>
        <v>0</v>
      </c>
      <c r="BE62" s="49" t="str">
        <f t="shared" ref="BE62" si="220">IF(BD62&lt;0,SUBSTITUTE(TEXT(BD62,"000000000000,00"),",",""),SUBSTITUTE(TEXT(BD62,"0000000000000,00"),",",""))</f>
        <v>000000000000000</v>
      </c>
      <c r="BF62" s="23">
        <f t="shared" si="89"/>
        <v>0</v>
      </c>
      <c r="BG62" s="49" t="str">
        <f t="shared" ref="BG62" si="221">IF(BF62&lt;0,SUBSTITUTE(TEXT(BF62,"000000000000,00"),",",""),SUBSTITUTE(TEXT(BF62,"0000000000000,00"),",",""))</f>
        <v>000000000000000</v>
      </c>
      <c r="BH62" s="23">
        <f t="shared" si="91"/>
        <v>0</v>
      </c>
      <c r="BI62" s="49" t="str">
        <f t="shared" ref="BI62" si="222">IF(BH62&lt;0,SUBSTITUTE(TEXT(BH62,"000000000000,00"),",",""),SUBSTITUTE(TEXT(BH62,"0000000000000,00"),",",""))</f>
        <v>000000000000000</v>
      </c>
      <c r="BJ62" s="23">
        <f t="shared" si="93"/>
        <v>0</v>
      </c>
      <c r="BK62" s="49" t="str">
        <f t="shared" ref="BK62" si="223">IF(BJ62&lt;0,SUBSTITUTE(TEXT(BJ62,"000000000000,00"),",",""),SUBSTITUTE(TEXT(BJ62,"0000000000000,00"),",",""))</f>
        <v>000000000000000</v>
      </c>
      <c r="BL62" s="23">
        <f t="shared" si="95"/>
        <v>0</v>
      </c>
      <c r="BM62" s="49" t="str">
        <f t="shared" ref="BM62" si="224">IF(BL62&lt;0,SUBSTITUTE(TEXT(BL62,"000000000000,00"),",",""),SUBSTITUTE(TEXT(BL62,"0000000000000,00"),",",""))</f>
        <v>000000000000000</v>
      </c>
      <c r="BN62" t="str">
        <f t="shared" si="97"/>
        <v>PES</v>
      </c>
      <c r="BO62" t="str">
        <f t="shared" si="98"/>
        <v>0001000000</v>
      </c>
      <c r="BP62">
        <f t="shared" si="99"/>
        <v>0</v>
      </c>
      <c r="BQ62">
        <f t="shared" si="100"/>
        <v>0</v>
      </c>
      <c r="BR62" s="23">
        <f t="shared" si="101"/>
        <v>0</v>
      </c>
      <c r="BS62" s="49" t="str">
        <f t="shared" si="102"/>
        <v>000000000000000</v>
      </c>
      <c r="BT62" t="str">
        <f t="shared" si="103"/>
        <v>00000000</v>
      </c>
      <c r="BU62" s="23">
        <f t="shared" si="104"/>
        <v>0</v>
      </c>
      <c r="BV62" s="49" t="str">
        <f t="shared" si="105"/>
        <v/>
      </c>
      <c r="BW62" s="52" t="str">
        <f t="shared" si="106"/>
        <v/>
      </c>
      <c r="BX62" s="23">
        <f t="shared" si="107"/>
        <v>0</v>
      </c>
      <c r="BY62" s="49" t="str">
        <f t="shared" si="108"/>
        <v/>
      </c>
      <c r="BZ62" s="23">
        <f t="shared" si="109"/>
        <v>0</v>
      </c>
      <c r="CA62" s="49" t="str">
        <f t="shared" si="110"/>
        <v/>
      </c>
      <c r="CB62" s="52" t="str">
        <f t="shared" si="111"/>
        <v/>
      </c>
      <c r="CC62" s="23">
        <f t="shared" si="112"/>
        <v>0</v>
      </c>
      <c r="CD62" s="49" t="str">
        <f t="shared" si="113"/>
        <v/>
      </c>
      <c r="CE62" s="56" t="str">
        <f>IF(CF62="","",MAX(CE$10:$CE61)+1)</f>
        <v/>
      </c>
      <c r="CF62" t="str">
        <f t="shared" si="114"/>
        <v/>
      </c>
      <c r="CG62" s="22" t="str">
        <f>IF(CH62="","",MAX($CG$10:CG61)+1)</f>
        <v/>
      </c>
      <c r="CH62" s="22" t="str">
        <f t="shared" si="115"/>
        <v/>
      </c>
      <c r="CI62" s="22" t="str">
        <f>IF(CJ62="","",MAX($CI$10:CI61)+1)</f>
        <v/>
      </c>
      <c r="CJ62" s="22" t="str">
        <f t="shared" si="116"/>
        <v/>
      </c>
    </row>
    <row r="63" spans="2:88" x14ac:dyDescent="0.25">
      <c r="B63" s="37"/>
      <c r="C63" s="3"/>
      <c r="D63" s="77" t="str">
        <f t="shared" si="60"/>
        <v/>
      </c>
      <c r="E63" s="38"/>
      <c r="F63" s="38"/>
      <c r="G63" s="78">
        <f t="shared" si="61"/>
        <v>0</v>
      </c>
      <c r="H63" s="3">
        <v>80</v>
      </c>
      <c r="I63" s="77" t="str">
        <f t="shared" si="62"/>
        <v/>
      </c>
      <c r="J63" s="32"/>
      <c r="K63" s="3"/>
      <c r="L63" s="39"/>
      <c r="M63" s="39"/>
      <c r="N63" s="39"/>
      <c r="O63" s="39"/>
      <c r="P63" s="39"/>
      <c r="Q63" s="39"/>
      <c r="R63" s="39"/>
      <c r="S63" s="39"/>
      <c r="T63" s="3" t="s">
        <v>645</v>
      </c>
      <c r="U63" s="77" t="str">
        <f t="shared" si="63"/>
        <v/>
      </c>
      <c r="V63" s="39">
        <v>1</v>
      </c>
      <c r="W63" s="79">
        <f t="shared" si="64"/>
        <v>0</v>
      </c>
      <c r="X63" s="3">
        <v>0</v>
      </c>
      <c r="Y63" s="77" t="str">
        <f t="shared" si="65"/>
        <v/>
      </c>
      <c r="Z63" s="3"/>
      <c r="AA63" s="37" t="str">
        <f t="shared" si="66"/>
        <v/>
      </c>
      <c r="AC63" s="40"/>
      <c r="AD63" s="7"/>
      <c r="AE63" s="77" t="str">
        <f t="shared" si="67"/>
        <v/>
      </c>
      <c r="AF63" s="81">
        <f t="shared" si="68"/>
        <v>0</v>
      </c>
      <c r="AG63" s="40"/>
      <c r="AH63" s="7"/>
      <c r="AI63" s="77" t="str">
        <f t="shared" si="69"/>
        <v/>
      </c>
      <c r="AJ63" s="81">
        <f t="shared" si="70"/>
        <v>0</v>
      </c>
      <c r="AK63" s="83">
        <f t="shared" si="71"/>
        <v>0</v>
      </c>
      <c r="AL63" s="83">
        <f t="shared" si="72"/>
        <v>0</v>
      </c>
      <c r="AN63" s="43">
        <f t="shared" si="73"/>
        <v>0</v>
      </c>
      <c r="AP63" t="str">
        <f t="shared" si="74"/>
        <v/>
      </c>
      <c r="AQ63" t="str">
        <f t="shared" si="75"/>
        <v/>
      </c>
      <c r="AR63" t="str">
        <f t="shared" si="76"/>
        <v/>
      </c>
      <c r="AS63" t="str">
        <f t="shared" si="77"/>
        <v/>
      </c>
      <c r="AT63" t="str">
        <f t="shared" si="78"/>
        <v/>
      </c>
      <c r="AU63" t="str">
        <f t="shared" si="79"/>
        <v/>
      </c>
      <c r="AV63" t="str">
        <f t="shared" si="80"/>
        <v/>
      </c>
      <c r="AW63" t="str">
        <f t="shared" si="81"/>
        <v xml:space="preserve">                              </v>
      </c>
      <c r="AX63" s="23">
        <f t="shared" si="82"/>
        <v>0</v>
      </c>
      <c r="AY63" s="49" t="str">
        <f t="shared" si="83"/>
        <v>000000000000000</v>
      </c>
      <c r="AZ63" s="23">
        <f t="shared" si="84"/>
        <v>0</v>
      </c>
      <c r="BA63" s="49" t="str">
        <f t="shared" si="83"/>
        <v>000000000000000</v>
      </c>
      <c r="BB63" s="23">
        <f t="shared" si="85"/>
        <v>0</v>
      </c>
      <c r="BC63" s="49" t="str">
        <f t="shared" ref="BC63" si="225">IF(BB63&lt;0,SUBSTITUTE(TEXT(BB63,"000000000000,00"),",",""),SUBSTITUTE(TEXT(BB63,"0000000000000,00"),",",""))</f>
        <v>000000000000000</v>
      </c>
      <c r="BD63" s="23">
        <f t="shared" si="87"/>
        <v>0</v>
      </c>
      <c r="BE63" s="49" t="str">
        <f t="shared" ref="BE63" si="226">IF(BD63&lt;0,SUBSTITUTE(TEXT(BD63,"000000000000,00"),",",""),SUBSTITUTE(TEXT(BD63,"0000000000000,00"),",",""))</f>
        <v>000000000000000</v>
      </c>
      <c r="BF63" s="23">
        <f t="shared" si="89"/>
        <v>0</v>
      </c>
      <c r="BG63" s="49" t="str">
        <f t="shared" ref="BG63" si="227">IF(BF63&lt;0,SUBSTITUTE(TEXT(BF63,"000000000000,00"),",",""),SUBSTITUTE(TEXT(BF63,"0000000000000,00"),",",""))</f>
        <v>000000000000000</v>
      </c>
      <c r="BH63" s="23">
        <f t="shared" si="91"/>
        <v>0</v>
      </c>
      <c r="BI63" s="49" t="str">
        <f t="shared" ref="BI63" si="228">IF(BH63&lt;0,SUBSTITUTE(TEXT(BH63,"000000000000,00"),",",""),SUBSTITUTE(TEXT(BH63,"0000000000000,00"),",",""))</f>
        <v>000000000000000</v>
      </c>
      <c r="BJ63" s="23">
        <f t="shared" si="93"/>
        <v>0</v>
      </c>
      <c r="BK63" s="49" t="str">
        <f t="shared" ref="BK63" si="229">IF(BJ63&lt;0,SUBSTITUTE(TEXT(BJ63,"000000000000,00"),",",""),SUBSTITUTE(TEXT(BJ63,"0000000000000,00"),",",""))</f>
        <v>000000000000000</v>
      </c>
      <c r="BL63" s="23">
        <f t="shared" si="95"/>
        <v>0</v>
      </c>
      <c r="BM63" s="49" t="str">
        <f t="shared" ref="BM63" si="230">IF(BL63&lt;0,SUBSTITUTE(TEXT(BL63,"000000000000,00"),",",""),SUBSTITUTE(TEXT(BL63,"0000000000000,00"),",",""))</f>
        <v>000000000000000</v>
      </c>
      <c r="BN63" t="str">
        <f t="shared" si="97"/>
        <v>PES</v>
      </c>
      <c r="BO63" t="str">
        <f t="shared" si="98"/>
        <v>0001000000</v>
      </c>
      <c r="BP63">
        <f t="shared" si="99"/>
        <v>0</v>
      </c>
      <c r="BQ63">
        <f t="shared" si="100"/>
        <v>0</v>
      </c>
      <c r="BR63" s="23">
        <f t="shared" si="101"/>
        <v>0</v>
      </c>
      <c r="BS63" s="49" t="str">
        <f t="shared" si="102"/>
        <v>000000000000000</v>
      </c>
      <c r="BT63" t="str">
        <f t="shared" si="103"/>
        <v>00000000</v>
      </c>
      <c r="BU63" s="23">
        <f t="shared" si="104"/>
        <v>0</v>
      </c>
      <c r="BV63" s="49" t="str">
        <f t="shared" si="105"/>
        <v/>
      </c>
      <c r="BW63" s="52" t="str">
        <f t="shared" si="106"/>
        <v/>
      </c>
      <c r="BX63" s="23">
        <f t="shared" si="107"/>
        <v>0</v>
      </c>
      <c r="BY63" s="49" t="str">
        <f t="shared" si="108"/>
        <v/>
      </c>
      <c r="BZ63" s="23">
        <f t="shared" si="109"/>
        <v>0</v>
      </c>
      <c r="CA63" s="49" t="str">
        <f t="shared" si="110"/>
        <v/>
      </c>
      <c r="CB63" s="52" t="str">
        <f t="shared" si="111"/>
        <v/>
      </c>
      <c r="CC63" s="23">
        <f t="shared" si="112"/>
        <v>0</v>
      </c>
      <c r="CD63" s="49" t="str">
        <f t="shared" si="113"/>
        <v/>
      </c>
      <c r="CE63" s="56" t="str">
        <f>IF(CF63="","",MAX(CE$10:$CE62)+1)</f>
        <v/>
      </c>
      <c r="CF63" t="str">
        <f t="shared" si="114"/>
        <v/>
      </c>
      <c r="CG63" s="22" t="str">
        <f>IF(CH63="","",MAX($CG$10:CG62)+1)</f>
        <v/>
      </c>
      <c r="CH63" s="22" t="str">
        <f t="shared" si="115"/>
        <v/>
      </c>
      <c r="CI63" s="22" t="str">
        <f>IF(CJ63="","",MAX($CI$10:CI62)+1)</f>
        <v/>
      </c>
      <c r="CJ63" s="22" t="str">
        <f t="shared" si="116"/>
        <v/>
      </c>
    </row>
    <row r="64" spans="2:88" x14ac:dyDescent="0.25">
      <c r="B64" s="37"/>
      <c r="C64" s="3"/>
      <c r="D64" s="77" t="str">
        <f t="shared" si="60"/>
        <v/>
      </c>
      <c r="E64" s="38"/>
      <c r="F64" s="38"/>
      <c r="G64" s="78">
        <f t="shared" si="61"/>
        <v>0</v>
      </c>
      <c r="H64" s="3">
        <v>80</v>
      </c>
      <c r="I64" s="77" t="str">
        <f t="shared" si="62"/>
        <v/>
      </c>
      <c r="J64" s="32"/>
      <c r="K64" s="3"/>
      <c r="L64" s="39"/>
      <c r="M64" s="39"/>
      <c r="N64" s="39"/>
      <c r="O64" s="39"/>
      <c r="P64" s="39"/>
      <c r="Q64" s="39"/>
      <c r="R64" s="39"/>
      <c r="S64" s="39"/>
      <c r="T64" s="3" t="s">
        <v>645</v>
      </c>
      <c r="U64" s="77" t="str">
        <f t="shared" si="63"/>
        <v/>
      </c>
      <c r="V64" s="39">
        <v>1</v>
      </c>
      <c r="W64" s="79">
        <f t="shared" si="64"/>
        <v>0</v>
      </c>
      <c r="X64" s="3">
        <v>0</v>
      </c>
      <c r="Y64" s="77" t="str">
        <f t="shared" si="65"/>
        <v/>
      </c>
      <c r="Z64" s="3"/>
      <c r="AA64" s="37" t="str">
        <f t="shared" si="66"/>
        <v/>
      </c>
      <c r="AC64" s="40"/>
      <c r="AD64" s="7"/>
      <c r="AE64" s="77" t="str">
        <f t="shared" si="67"/>
        <v/>
      </c>
      <c r="AF64" s="81">
        <f t="shared" si="68"/>
        <v>0</v>
      </c>
      <c r="AG64" s="40"/>
      <c r="AH64" s="7"/>
      <c r="AI64" s="77" t="str">
        <f t="shared" si="69"/>
        <v/>
      </c>
      <c r="AJ64" s="81">
        <f t="shared" si="70"/>
        <v>0</v>
      </c>
      <c r="AK64" s="83">
        <f t="shared" si="71"/>
        <v>0</v>
      </c>
      <c r="AL64" s="83">
        <f t="shared" si="72"/>
        <v>0</v>
      </c>
      <c r="AN64" s="43">
        <f t="shared" si="73"/>
        <v>0</v>
      </c>
      <c r="AP64" t="str">
        <f t="shared" si="74"/>
        <v/>
      </c>
      <c r="AQ64" t="str">
        <f t="shared" si="75"/>
        <v/>
      </c>
      <c r="AR64" t="str">
        <f t="shared" si="76"/>
        <v/>
      </c>
      <c r="AS64" t="str">
        <f t="shared" si="77"/>
        <v/>
      </c>
      <c r="AT64" t="str">
        <f t="shared" si="78"/>
        <v/>
      </c>
      <c r="AU64" t="str">
        <f t="shared" si="79"/>
        <v/>
      </c>
      <c r="AV64" t="str">
        <f t="shared" si="80"/>
        <v/>
      </c>
      <c r="AW64" t="str">
        <f t="shared" si="81"/>
        <v xml:space="preserve">                              </v>
      </c>
      <c r="AX64" s="23">
        <f t="shared" si="82"/>
        <v>0</v>
      </c>
      <c r="AY64" s="49" t="str">
        <f t="shared" si="83"/>
        <v>000000000000000</v>
      </c>
      <c r="AZ64" s="23">
        <f t="shared" si="84"/>
        <v>0</v>
      </c>
      <c r="BA64" s="49" t="str">
        <f t="shared" si="83"/>
        <v>000000000000000</v>
      </c>
      <c r="BB64" s="23">
        <f t="shared" si="85"/>
        <v>0</v>
      </c>
      <c r="BC64" s="49" t="str">
        <f t="shared" ref="BC64" si="231">IF(BB64&lt;0,SUBSTITUTE(TEXT(BB64,"000000000000,00"),",",""),SUBSTITUTE(TEXT(BB64,"0000000000000,00"),",",""))</f>
        <v>000000000000000</v>
      </c>
      <c r="BD64" s="23">
        <f t="shared" si="87"/>
        <v>0</v>
      </c>
      <c r="BE64" s="49" t="str">
        <f t="shared" ref="BE64" si="232">IF(BD64&lt;0,SUBSTITUTE(TEXT(BD64,"000000000000,00"),",",""),SUBSTITUTE(TEXT(BD64,"0000000000000,00"),",",""))</f>
        <v>000000000000000</v>
      </c>
      <c r="BF64" s="23">
        <f t="shared" si="89"/>
        <v>0</v>
      </c>
      <c r="BG64" s="49" t="str">
        <f t="shared" ref="BG64" si="233">IF(BF64&lt;0,SUBSTITUTE(TEXT(BF64,"000000000000,00"),",",""),SUBSTITUTE(TEXT(BF64,"0000000000000,00"),",",""))</f>
        <v>000000000000000</v>
      </c>
      <c r="BH64" s="23">
        <f t="shared" si="91"/>
        <v>0</v>
      </c>
      <c r="BI64" s="49" t="str">
        <f t="shared" ref="BI64" si="234">IF(BH64&lt;0,SUBSTITUTE(TEXT(BH64,"000000000000,00"),",",""),SUBSTITUTE(TEXT(BH64,"0000000000000,00"),",",""))</f>
        <v>000000000000000</v>
      </c>
      <c r="BJ64" s="23">
        <f t="shared" si="93"/>
        <v>0</v>
      </c>
      <c r="BK64" s="49" t="str">
        <f t="shared" ref="BK64" si="235">IF(BJ64&lt;0,SUBSTITUTE(TEXT(BJ64,"000000000000,00"),",",""),SUBSTITUTE(TEXT(BJ64,"0000000000000,00"),",",""))</f>
        <v>000000000000000</v>
      </c>
      <c r="BL64" s="23">
        <f t="shared" si="95"/>
        <v>0</v>
      </c>
      <c r="BM64" s="49" t="str">
        <f t="shared" ref="BM64" si="236">IF(BL64&lt;0,SUBSTITUTE(TEXT(BL64,"000000000000,00"),",",""),SUBSTITUTE(TEXT(BL64,"0000000000000,00"),",",""))</f>
        <v>000000000000000</v>
      </c>
      <c r="BN64" t="str">
        <f t="shared" si="97"/>
        <v>PES</v>
      </c>
      <c r="BO64" t="str">
        <f t="shared" si="98"/>
        <v>0001000000</v>
      </c>
      <c r="BP64">
        <f t="shared" si="99"/>
        <v>0</v>
      </c>
      <c r="BQ64">
        <f t="shared" si="100"/>
        <v>0</v>
      </c>
      <c r="BR64" s="23">
        <f t="shared" si="101"/>
        <v>0</v>
      </c>
      <c r="BS64" s="49" t="str">
        <f t="shared" si="102"/>
        <v>000000000000000</v>
      </c>
      <c r="BT64" t="str">
        <f t="shared" si="103"/>
        <v>00000000</v>
      </c>
      <c r="BU64" s="23">
        <f t="shared" si="104"/>
        <v>0</v>
      </c>
      <c r="BV64" s="49" t="str">
        <f t="shared" si="105"/>
        <v/>
      </c>
      <c r="BW64" s="52" t="str">
        <f t="shared" si="106"/>
        <v/>
      </c>
      <c r="BX64" s="23">
        <f t="shared" si="107"/>
        <v>0</v>
      </c>
      <c r="BY64" s="49" t="str">
        <f t="shared" si="108"/>
        <v/>
      </c>
      <c r="BZ64" s="23">
        <f t="shared" si="109"/>
        <v>0</v>
      </c>
      <c r="CA64" s="49" t="str">
        <f t="shared" si="110"/>
        <v/>
      </c>
      <c r="CB64" s="52" t="str">
        <f t="shared" si="111"/>
        <v/>
      </c>
      <c r="CC64" s="23">
        <f t="shared" si="112"/>
        <v>0</v>
      </c>
      <c r="CD64" s="49" t="str">
        <f t="shared" si="113"/>
        <v/>
      </c>
      <c r="CE64" s="56" t="str">
        <f>IF(CF64="","",MAX(CE$10:$CE63)+1)</f>
        <v/>
      </c>
      <c r="CF64" t="str">
        <f t="shared" si="114"/>
        <v/>
      </c>
      <c r="CG64" s="22" t="str">
        <f>IF(CH64="","",MAX($CG$10:CG63)+1)</f>
        <v/>
      </c>
      <c r="CH64" s="22" t="str">
        <f t="shared" si="115"/>
        <v/>
      </c>
      <c r="CI64" s="22" t="str">
        <f>IF(CJ64="","",MAX($CI$10:CI63)+1)</f>
        <v/>
      </c>
      <c r="CJ64" s="22" t="str">
        <f t="shared" si="116"/>
        <v/>
      </c>
    </row>
    <row r="65" spans="2:88" x14ac:dyDescent="0.25">
      <c r="B65" s="37"/>
      <c r="C65" s="3"/>
      <c r="D65" s="77" t="str">
        <f t="shared" si="60"/>
        <v/>
      </c>
      <c r="E65" s="38"/>
      <c r="F65" s="38"/>
      <c r="G65" s="78">
        <f t="shared" si="61"/>
        <v>0</v>
      </c>
      <c r="H65" s="3">
        <v>80</v>
      </c>
      <c r="I65" s="77" t="str">
        <f t="shared" si="62"/>
        <v/>
      </c>
      <c r="J65" s="32"/>
      <c r="K65" s="3"/>
      <c r="L65" s="39"/>
      <c r="M65" s="39"/>
      <c r="N65" s="39"/>
      <c r="O65" s="39"/>
      <c r="P65" s="39"/>
      <c r="Q65" s="39"/>
      <c r="R65" s="39"/>
      <c r="S65" s="39"/>
      <c r="T65" s="3" t="s">
        <v>645</v>
      </c>
      <c r="U65" s="77" t="str">
        <f t="shared" si="63"/>
        <v/>
      </c>
      <c r="V65" s="39">
        <v>1</v>
      </c>
      <c r="W65" s="79">
        <f t="shared" si="64"/>
        <v>0</v>
      </c>
      <c r="X65" s="3">
        <v>0</v>
      </c>
      <c r="Y65" s="77" t="str">
        <f t="shared" si="65"/>
        <v/>
      </c>
      <c r="Z65" s="3"/>
      <c r="AA65" s="37" t="str">
        <f t="shared" si="66"/>
        <v/>
      </c>
      <c r="AC65" s="40"/>
      <c r="AD65" s="7"/>
      <c r="AE65" s="77" t="str">
        <f t="shared" si="67"/>
        <v/>
      </c>
      <c r="AF65" s="81">
        <f t="shared" si="68"/>
        <v>0</v>
      </c>
      <c r="AG65" s="40"/>
      <c r="AH65" s="7"/>
      <c r="AI65" s="77" t="str">
        <f t="shared" si="69"/>
        <v/>
      </c>
      <c r="AJ65" s="81">
        <f t="shared" si="70"/>
        <v>0</v>
      </c>
      <c r="AK65" s="83">
        <f t="shared" si="71"/>
        <v>0</v>
      </c>
      <c r="AL65" s="83">
        <f t="shared" si="72"/>
        <v>0</v>
      </c>
      <c r="AN65" s="43">
        <f t="shared" si="73"/>
        <v>0</v>
      </c>
      <c r="AP65" t="str">
        <f t="shared" si="74"/>
        <v/>
      </c>
      <c r="AQ65" t="str">
        <f t="shared" si="75"/>
        <v/>
      </c>
      <c r="AR65" t="str">
        <f t="shared" si="76"/>
        <v/>
      </c>
      <c r="AS65" t="str">
        <f t="shared" si="77"/>
        <v/>
      </c>
      <c r="AT65" t="str">
        <f t="shared" si="78"/>
        <v/>
      </c>
      <c r="AU65" t="str">
        <f t="shared" si="79"/>
        <v/>
      </c>
      <c r="AV65" t="str">
        <f t="shared" si="80"/>
        <v/>
      </c>
      <c r="AW65" t="str">
        <f t="shared" si="81"/>
        <v xml:space="preserve">                              </v>
      </c>
      <c r="AX65" s="23">
        <f t="shared" si="82"/>
        <v>0</v>
      </c>
      <c r="AY65" s="49" t="str">
        <f t="shared" si="83"/>
        <v>000000000000000</v>
      </c>
      <c r="AZ65" s="23">
        <f t="shared" si="84"/>
        <v>0</v>
      </c>
      <c r="BA65" s="49" t="str">
        <f t="shared" si="83"/>
        <v>000000000000000</v>
      </c>
      <c r="BB65" s="23">
        <f t="shared" si="85"/>
        <v>0</v>
      </c>
      <c r="BC65" s="49" t="str">
        <f t="shared" ref="BC65" si="237">IF(BB65&lt;0,SUBSTITUTE(TEXT(BB65,"000000000000,00"),",",""),SUBSTITUTE(TEXT(BB65,"0000000000000,00"),",",""))</f>
        <v>000000000000000</v>
      </c>
      <c r="BD65" s="23">
        <f t="shared" si="87"/>
        <v>0</v>
      </c>
      <c r="BE65" s="49" t="str">
        <f t="shared" ref="BE65" si="238">IF(BD65&lt;0,SUBSTITUTE(TEXT(BD65,"000000000000,00"),",",""),SUBSTITUTE(TEXT(BD65,"0000000000000,00"),",",""))</f>
        <v>000000000000000</v>
      </c>
      <c r="BF65" s="23">
        <f t="shared" si="89"/>
        <v>0</v>
      </c>
      <c r="BG65" s="49" t="str">
        <f t="shared" ref="BG65" si="239">IF(BF65&lt;0,SUBSTITUTE(TEXT(BF65,"000000000000,00"),",",""),SUBSTITUTE(TEXT(BF65,"0000000000000,00"),",",""))</f>
        <v>000000000000000</v>
      </c>
      <c r="BH65" s="23">
        <f t="shared" si="91"/>
        <v>0</v>
      </c>
      <c r="BI65" s="49" t="str">
        <f t="shared" ref="BI65" si="240">IF(BH65&lt;0,SUBSTITUTE(TEXT(BH65,"000000000000,00"),",",""),SUBSTITUTE(TEXT(BH65,"0000000000000,00"),",",""))</f>
        <v>000000000000000</v>
      </c>
      <c r="BJ65" s="23">
        <f t="shared" si="93"/>
        <v>0</v>
      </c>
      <c r="BK65" s="49" t="str">
        <f t="shared" ref="BK65" si="241">IF(BJ65&lt;0,SUBSTITUTE(TEXT(BJ65,"000000000000,00"),",",""),SUBSTITUTE(TEXT(BJ65,"0000000000000,00"),",",""))</f>
        <v>000000000000000</v>
      </c>
      <c r="BL65" s="23">
        <f t="shared" si="95"/>
        <v>0</v>
      </c>
      <c r="BM65" s="49" t="str">
        <f t="shared" ref="BM65" si="242">IF(BL65&lt;0,SUBSTITUTE(TEXT(BL65,"000000000000,00"),",",""),SUBSTITUTE(TEXT(BL65,"0000000000000,00"),",",""))</f>
        <v>000000000000000</v>
      </c>
      <c r="BN65" t="str">
        <f t="shared" si="97"/>
        <v>PES</v>
      </c>
      <c r="BO65" t="str">
        <f t="shared" si="98"/>
        <v>0001000000</v>
      </c>
      <c r="BP65">
        <f t="shared" si="99"/>
        <v>0</v>
      </c>
      <c r="BQ65">
        <f t="shared" si="100"/>
        <v>0</v>
      </c>
      <c r="BR65" s="23">
        <f t="shared" si="101"/>
        <v>0</v>
      </c>
      <c r="BS65" s="49" t="str">
        <f t="shared" si="102"/>
        <v>000000000000000</v>
      </c>
      <c r="BT65" t="str">
        <f t="shared" si="103"/>
        <v>00000000</v>
      </c>
      <c r="BU65" s="23">
        <f t="shared" si="104"/>
        <v>0</v>
      </c>
      <c r="BV65" s="49" t="str">
        <f t="shared" si="105"/>
        <v/>
      </c>
      <c r="BW65" s="52" t="str">
        <f t="shared" si="106"/>
        <v/>
      </c>
      <c r="BX65" s="23">
        <f t="shared" si="107"/>
        <v>0</v>
      </c>
      <c r="BY65" s="49" t="str">
        <f t="shared" si="108"/>
        <v/>
      </c>
      <c r="BZ65" s="23">
        <f t="shared" si="109"/>
        <v>0</v>
      </c>
      <c r="CA65" s="49" t="str">
        <f t="shared" si="110"/>
        <v/>
      </c>
      <c r="CB65" s="52" t="str">
        <f t="shared" si="111"/>
        <v/>
      </c>
      <c r="CC65" s="23">
        <f t="shared" si="112"/>
        <v>0</v>
      </c>
      <c r="CD65" s="49" t="str">
        <f t="shared" si="113"/>
        <v/>
      </c>
      <c r="CE65" s="56" t="str">
        <f>IF(CF65="","",MAX(CE$10:$CE64)+1)</f>
        <v/>
      </c>
      <c r="CF65" t="str">
        <f t="shared" si="114"/>
        <v/>
      </c>
      <c r="CG65" s="22" t="str">
        <f>IF(CH65="","",MAX($CG$10:CG64)+1)</f>
        <v/>
      </c>
      <c r="CH65" s="22" t="str">
        <f t="shared" si="115"/>
        <v/>
      </c>
      <c r="CI65" s="22" t="str">
        <f>IF(CJ65="","",MAX($CI$10:CI64)+1)</f>
        <v/>
      </c>
      <c r="CJ65" s="22" t="str">
        <f t="shared" si="116"/>
        <v/>
      </c>
    </row>
    <row r="66" spans="2:88" x14ac:dyDescent="0.25">
      <c r="B66" s="37"/>
      <c r="C66" s="3"/>
      <c r="D66" s="77" t="str">
        <f t="shared" si="60"/>
        <v/>
      </c>
      <c r="E66" s="38"/>
      <c r="F66" s="38"/>
      <c r="G66" s="78">
        <f t="shared" si="61"/>
        <v>0</v>
      </c>
      <c r="H66" s="3">
        <v>80</v>
      </c>
      <c r="I66" s="77" t="str">
        <f t="shared" si="62"/>
        <v/>
      </c>
      <c r="J66" s="32"/>
      <c r="K66" s="3"/>
      <c r="L66" s="39"/>
      <c r="M66" s="39"/>
      <c r="N66" s="39"/>
      <c r="O66" s="39"/>
      <c r="P66" s="39"/>
      <c r="Q66" s="39"/>
      <c r="R66" s="39"/>
      <c r="S66" s="39"/>
      <c r="T66" s="3" t="s">
        <v>645</v>
      </c>
      <c r="U66" s="77" t="str">
        <f t="shared" si="63"/>
        <v/>
      </c>
      <c r="V66" s="39">
        <v>1</v>
      </c>
      <c r="W66" s="79">
        <f t="shared" si="64"/>
        <v>0</v>
      </c>
      <c r="X66" s="3">
        <v>0</v>
      </c>
      <c r="Y66" s="77" t="str">
        <f t="shared" si="65"/>
        <v/>
      </c>
      <c r="Z66" s="3"/>
      <c r="AA66" s="37" t="str">
        <f t="shared" si="66"/>
        <v/>
      </c>
      <c r="AC66" s="40"/>
      <c r="AD66" s="7"/>
      <c r="AE66" s="77" t="str">
        <f t="shared" si="67"/>
        <v/>
      </c>
      <c r="AF66" s="81">
        <f t="shared" si="68"/>
        <v>0</v>
      </c>
      <c r="AG66" s="40"/>
      <c r="AH66" s="7"/>
      <c r="AI66" s="77" t="str">
        <f t="shared" si="69"/>
        <v/>
      </c>
      <c r="AJ66" s="81">
        <f t="shared" si="70"/>
        <v>0</v>
      </c>
      <c r="AK66" s="83">
        <f t="shared" si="71"/>
        <v>0</v>
      </c>
      <c r="AL66" s="83">
        <f t="shared" si="72"/>
        <v>0</v>
      </c>
      <c r="AN66" s="43">
        <f t="shared" si="73"/>
        <v>0</v>
      </c>
      <c r="AP66" t="str">
        <f t="shared" si="74"/>
        <v/>
      </c>
      <c r="AQ66" t="str">
        <f t="shared" si="75"/>
        <v/>
      </c>
      <c r="AR66" t="str">
        <f t="shared" si="76"/>
        <v/>
      </c>
      <c r="AS66" t="str">
        <f t="shared" si="77"/>
        <v/>
      </c>
      <c r="AT66" t="str">
        <f t="shared" si="78"/>
        <v/>
      </c>
      <c r="AU66" t="str">
        <f t="shared" si="79"/>
        <v/>
      </c>
      <c r="AV66" t="str">
        <f t="shared" si="80"/>
        <v/>
      </c>
      <c r="AW66" t="str">
        <f t="shared" si="81"/>
        <v xml:space="preserve">                              </v>
      </c>
      <c r="AX66" s="23">
        <f t="shared" si="82"/>
        <v>0</v>
      </c>
      <c r="AY66" s="49" t="str">
        <f t="shared" si="83"/>
        <v>000000000000000</v>
      </c>
      <c r="AZ66" s="23">
        <f t="shared" si="84"/>
        <v>0</v>
      </c>
      <c r="BA66" s="49" t="str">
        <f t="shared" si="83"/>
        <v>000000000000000</v>
      </c>
      <c r="BB66" s="23">
        <f t="shared" si="85"/>
        <v>0</v>
      </c>
      <c r="BC66" s="49" t="str">
        <f t="shared" ref="BC66" si="243">IF(BB66&lt;0,SUBSTITUTE(TEXT(BB66,"000000000000,00"),",",""),SUBSTITUTE(TEXT(BB66,"0000000000000,00"),",",""))</f>
        <v>000000000000000</v>
      </c>
      <c r="BD66" s="23">
        <f t="shared" si="87"/>
        <v>0</v>
      </c>
      <c r="BE66" s="49" t="str">
        <f t="shared" ref="BE66" si="244">IF(BD66&lt;0,SUBSTITUTE(TEXT(BD66,"000000000000,00"),",",""),SUBSTITUTE(TEXT(BD66,"0000000000000,00"),",",""))</f>
        <v>000000000000000</v>
      </c>
      <c r="BF66" s="23">
        <f t="shared" si="89"/>
        <v>0</v>
      </c>
      <c r="BG66" s="49" t="str">
        <f t="shared" ref="BG66" si="245">IF(BF66&lt;0,SUBSTITUTE(TEXT(BF66,"000000000000,00"),",",""),SUBSTITUTE(TEXT(BF66,"0000000000000,00"),",",""))</f>
        <v>000000000000000</v>
      </c>
      <c r="BH66" s="23">
        <f t="shared" si="91"/>
        <v>0</v>
      </c>
      <c r="BI66" s="49" t="str">
        <f t="shared" ref="BI66" si="246">IF(BH66&lt;0,SUBSTITUTE(TEXT(BH66,"000000000000,00"),",",""),SUBSTITUTE(TEXT(BH66,"0000000000000,00"),",",""))</f>
        <v>000000000000000</v>
      </c>
      <c r="BJ66" s="23">
        <f t="shared" si="93"/>
        <v>0</v>
      </c>
      <c r="BK66" s="49" t="str">
        <f t="shared" ref="BK66" si="247">IF(BJ66&lt;0,SUBSTITUTE(TEXT(BJ66,"000000000000,00"),",",""),SUBSTITUTE(TEXT(BJ66,"0000000000000,00"),",",""))</f>
        <v>000000000000000</v>
      </c>
      <c r="BL66" s="23">
        <f t="shared" si="95"/>
        <v>0</v>
      </c>
      <c r="BM66" s="49" t="str">
        <f t="shared" ref="BM66" si="248">IF(BL66&lt;0,SUBSTITUTE(TEXT(BL66,"000000000000,00"),",",""),SUBSTITUTE(TEXT(BL66,"0000000000000,00"),",",""))</f>
        <v>000000000000000</v>
      </c>
      <c r="BN66" t="str">
        <f t="shared" si="97"/>
        <v>PES</v>
      </c>
      <c r="BO66" t="str">
        <f t="shared" si="98"/>
        <v>0001000000</v>
      </c>
      <c r="BP66">
        <f t="shared" si="99"/>
        <v>0</v>
      </c>
      <c r="BQ66">
        <f t="shared" si="100"/>
        <v>0</v>
      </c>
      <c r="BR66" s="23">
        <f t="shared" si="101"/>
        <v>0</v>
      </c>
      <c r="BS66" s="49" t="str">
        <f t="shared" si="102"/>
        <v>000000000000000</v>
      </c>
      <c r="BT66" t="str">
        <f t="shared" si="103"/>
        <v>00000000</v>
      </c>
      <c r="BU66" s="23">
        <f t="shared" si="104"/>
        <v>0</v>
      </c>
      <c r="BV66" s="49" t="str">
        <f t="shared" si="105"/>
        <v/>
      </c>
      <c r="BW66" s="52" t="str">
        <f t="shared" si="106"/>
        <v/>
      </c>
      <c r="BX66" s="23">
        <f t="shared" si="107"/>
        <v>0</v>
      </c>
      <c r="BY66" s="49" t="str">
        <f t="shared" si="108"/>
        <v/>
      </c>
      <c r="BZ66" s="23">
        <f t="shared" si="109"/>
        <v>0</v>
      </c>
      <c r="CA66" s="49" t="str">
        <f t="shared" si="110"/>
        <v/>
      </c>
      <c r="CB66" s="52" t="str">
        <f t="shared" si="111"/>
        <v/>
      </c>
      <c r="CC66" s="23">
        <f t="shared" si="112"/>
        <v>0</v>
      </c>
      <c r="CD66" s="49" t="str">
        <f t="shared" si="113"/>
        <v/>
      </c>
      <c r="CE66" s="56" t="str">
        <f>IF(CF66="","",MAX(CE$10:$CE65)+1)</f>
        <v/>
      </c>
      <c r="CF66" t="str">
        <f t="shared" si="114"/>
        <v/>
      </c>
      <c r="CG66" s="22" t="str">
        <f>IF(CH66="","",MAX($CG$10:CG65)+1)</f>
        <v/>
      </c>
      <c r="CH66" s="22" t="str">
        <f t="shared" si="115"/>
        <v/>
      </c>
      <c r="CI66" s="22" t="str">
        <f>IF(CJ66="","",MAX($CI$10:CI65)+1)</f>
        <v/>
      </c>
      <c r="CJ66" s="22" t="str">
        <f t="shared" si="116"/>
        <v/>
      </c>
    </row>
    <row r="67" spans="2:88" x14ac:dyDescent="0.25">
      <c r="B67" s="37"/>
      <c r="C67" s="3"/>
      <c r="D67" s="77" t="str">
        <f t="shared" si="60"/>
        <v/>
      </c>
      <c r="E67" s="38"/>
      <c r="F67" s="38"/>
      <c r="G67" s="78">
        <f t="shared" si="61"/>
        <v>0</v>
      </c>
      <c r="H67" s="3">
        <v>80</v>
      </c>
      <c r="I67" s="77" t="str">
        <f t="shared" si="62"/>
        <v/>
      </c>
      <c r="J67" s="32"/>
      <c r="K67" s="3"/>
      <c r="L67" s="39"/>
      <c r="M67" s="39"/>
      <c r="N67" s="39"/>
      <c r="O67" s="39"/>
      <c r="P67" s="39"/>
      <c r="Q67" s="39"/>
      <c r="R67" s="39"/>
      <c r="S67" s="39"/>
      <c r="T67" s="3" t="s">
        <v>645</v>
      </c>
      <c r="U67" s="77" t="str">
        <f t="shared" si="63"/>
        <v/>
      </c>
      <c r="V67" s="39">
        <v>1</v>
      </c>
      <c r="W67" s="79">
        <f t="shared" si="64"/>
        <v>0</v>
      </c>
      <c r="X67" s="3">
        <v>0</v>
      </c>
      <c r="Y67" s="77" t="str">
        <f t="shared" si="65"/>
        <v/>
      </c>
      <c r="Z67" s="3"/>
      <c r="AA67" s="37" t="str">
        <f t="shared" si="66"/>
        <v/>
      </c>
      <c r="AC67" s="40"/>
      <c r="AD67" s="7"/>
      <c r="AE67" s="77" t="str">
        <f t="shared" si="67"/>
        <v/>
      </c>
      <c r="AF67" s="81">
        <f t="shared" si="68"/>
        <v>0</v>
      </c>
      <c r="AG67" s="40"/>
      <c r="AH67" s="7"/>
      <c r="AI67" s="77" t="str">
        <f t="shared" si="69"/>
        <v/>
      </c>
      <c r="AJ67" s="81">
        <f t="shared" si="70"/>
        <v>0</v>
      </c>
      <c r="AK67" s="83">
        <f t="shared" si="71"/>
        <v>0</v>
      </c>
      <c r="AL67" s="83">
        <f t="shared" si="72"/>
        <v>0</v>
      </c>
      <c r="AN67" s="43">
        <f t="shared" si="73"/>
        <v>0</v>
      </c>
      <c r="AP67" t="str">
        <f t="shared" si="74"/>
        <v/>
      </c>
      <c r="AQ67" t="str">
        <f t="shared" si="75"/>
        <v/>
      </c>
      <c r="AR67" t="str">
        <f t="shared" si="76"/>
        <v/>
      </c>
      <c r="AS67" t="str">
        <f t="shared" si="77"/>
        <v/>
      </c>
      <c r="AT67" t="str">
        <f t="shared" si="78"/>
        <v/>
      </c>
      <c r="AU67" t="str">
        <f t="shared" si="79"/>
        <v/>
      </c>
      <c r="AV67" t="str">
        <f t="shared" si="80"/>
        <v/>
      </c>
      <c r="AW67" t="str">
        <f t="shared" si="81"/>
        <v xml:space="preserve">                              </v>
      </c>
      <c r="AX67" s="23">
        <f t="shared" si="82"/>
        <v>0</v>
      </c>
      <c r="AY67" s="49" t="str">
        <f t="shared" si="83"/>
        <v>000000000000000</v>
      </c>
      <c r="AZ67" s="23">
        <f t="shared" si="84"/>
        <v>0</v>
      </c>
      <c r="BA67" s="49" t="str">
        <f t="shared" si="83"/>
        <v>000000000000000</v>
      </c>
      <c r="BB67" s="23">
        <f t="shared" si="85"/>
        <v>0</v>
      </c>
      <c r="BC67" s="49" t="str">
        <f t="shared" ref="BC67" si="249">IF(BB67&lt;0,SUBSTITUTE(TEXT(BB67,"000000000000,00"),",",""),SUBSTITUTE(TEXT(BB67,"0000000000000,00"),",",""))</f>
        <v>000000000000000</v>
      </c>
      <c r="BD67" s="23">
        <f t="shared" si="87"/>
        <v>0</v>
      </c>
      <c r="BE67" s="49" t="str">
        <f t="shared" ref="BE67" si="250">IF(BD67&lt;0,SUBSTITUTE(TEXT(BD67,"000000000000,00"),",",""),SUBSTITUTE(TEXT(BD67,"0000000000000,00"),",",""))</f>
        <v>000000000000000</v>
      </c>
      <c r="BF67" s="23">
        <f t="shared" si="89"/>
        <v>0</v>
      </c>
      <c r="BG67" s="49" t="str">
        <f t="shared" ref="BG67" si="251">IF(BF67&lt;0,SUBSTITUTE(TEXT(BF67,"000000000000,00"),",",""),SUBSTITUTE(TEXT(BF67,"0000000000000,00"),",",""))</f>
        <v>000000000000000</v>
      </c>
      <c r="BH67" s="23">
        <f t="shared" si="91"/>
        <v>0</v>
      </c>
      <c r="BI67" s="49" t="str">
        <f t="shared" ref="BI67" si="252">IF(BH67&lt;0,SUBSTITUTE(TEXT(BH67,"000000000000,00"),",",""),SUBSTITUTE(TEXT(BH67,"0000000000000,00"),",",""))</f>
        <v>000000000000000</v>
      </c>
      <c r="BJ67" s="23">
        <f t="shared" si="93"/>
        <v>0</v>
      </c>
      <c r="BK67" s="49" t="str">
        <f t="shared" ref="BK67" si="253">IF(BJ67&lt;0,SUBSTITUTE(TEXT(BJ67,"000000000000,00"),",",""),SUBSTITUTE(TEXT(BJ67,"0000000000000,00"),",",""))</f>
        <v>000000000000000</v>
      </c>
      <c r="BL67" s="23">
        <f t="shared" si="95"/>
        <v>0</v>
      </c>
      <c r="BM67" s="49" t="str">
        <f t="shared" ref="BM67" si="254">IF(BL67&lt;0,SUBSTITUTE(TEXT(BL67,"000000000000,00"),",",""),SUBSTITUTE(TEXT(BL67,"0000000000000,00"),",",""))</f>
        <v>000000000000000</v>
      </c>
      <c r="BN67" t="str">
        <f t="shared" si="97"/>
        <v>PES</v>
      </c>
      <c r="BO67" t="str">
        <f t="shared" si="98"/>
        <v>0001000000</v>
      </c>
      <c r="BP67">
        <f t="shared" si="99"/>
        <v>0</v>
      </c>
      <c r="BQ67">
        <f t="shared" si="100"/>
        <v>0</v>
      </c>
      <c r="BR67" s="23">
        <f t="shared" si="101"/>
        <v>0</v>
      </c>
      <c r="BS67" s="49" t="str">
        <f t="shared" si="102"/>
        <v>000000000000000</v>
      </c>
      <c r="BT67" t="str">
        <f t="shared" si="103"/>
        <v>00000000</v>
      </c>
      <c r="BU67" s="23">
        <f t="shared" si="104"/>
        <v>0</v>
      </c>
      <c r="BV67" s="49" t="str">
        <f t="shared" si="105"/>
        <v/>
      </c>
      <c r="BW67" s="52" t="str">
        <f t="shared" si="106"/>
        <v/>
      </c>
      <c r="BX67" s="23">
        <f t="shared" si="107"/>
        <v>0</v>
      </c>
      <c r="BY67" s="49" t="str">
        <f t="shared" si="108"/>
        <v/>
      </c>
      <c r="BZ67" s="23">
        <f t="shared" si="109"/>
        <v>0</v>
      </c>
      <c r="CA67" s="49" t="str">
        <f t="shared" si="110"/>
        <v/>
      </c>
      <c r="CB67" s="52" t="str">
        <f t="shared" si="111"/>
        <v/>
      </c>
      <c r="CC67" s="23">
        <f t="shared" si="112"/>
        <v>0</v>
      </c>
      <c r="CD67" s="49" t="str">
        <f t="shared" si="113"/>
        <v/>
      </c>
      <c r="CE67" s="56" t="str">
        <f>IF(CF67="","",MAX(CE$10:$CE66)+1)</f>
        <v/>
      </c>
      <c r="CF67" t="str">
        <f t="shared" si="114"/>
        <v/>
      </c>
      <c r="CG67" s="22" t="str">
        <f>IF(CH67="","",MAX($CG$10:CG66)+1)</f>
        <v/>
      </c>
      <c r="CH67" s="22" t="str">
        <f t="shared" si="115"/>
        <v/>
      </c>
      <c r="CI67" s="22" t="str">
        <f>IF(CJ67="","",MAX($CI$10:CI66)+1)</f>
        <v/>
      </c>
      <c r="CJ67" s="22" t="str">
        <f t="shared" si="116"/>
        <v/>
      </c>
    </row>
    <row r="68" spans="2:88" x14ac:dyDescent="0.25">
      <c r="B68" s="37"/>
      <c r="C68" s="3"/>
      <c r="D68" s="77" t="str">
        <f t="shared" si="60"/>
        <v/>
      </c>
      <c r="E68" s="38"/>
      <c r="F68" s="38"/>
      <c r="G68" s="78">
        <f t="shared" si="61"/>
        <v>0</v>
      </c>
      <c r="H68" s="3">
        <v>80</v>
      </c>
      <c r="I68" s="77" t="str">
        <f t="shared" si="62"/>
        <v/>
      </c>
      <c r="J68" s="32"/>
      <c r="K68" s="3"/>
      <c r="L68" s="39"/>
      <c r="M68" s="39"/>
      <c r="N68" s="39"/>
      <c r="O68" s="39"/>
      <c r="P68" s="39"/>
      <c r="Q68" s="39"/>
      <c r="R68" s="39"/>
      <c r="S68" s="39"/>
      <c r="T68" s="3" t="s">
        <v>645</v>
      </c>
      <c r="U68" s="77" t="str">
        <f t="shared" si="63"/>
        <v/>
      </c>
      <c r="V68" s="39">
        <v>1</v>
      </c>
      <c r="W68" s="79">
        <f t="shared" si="64"/>
        <v>0</v>
      </c>
      <c r="X68" s="3">
        <v>0</v>
      </c>
      <c r="Y68" s="77" t="str">
        <f t="shared" si="65"/>
        <v/>
      </c>
      <c r="Z68" s="3"/>
      <c r="AA68" s="37" t="str">
        <f t="shared" si="66"/>
        <v/>
      </c>
      <c r="AC68" s="40"/>
      <c r="AD68" s="7"/>
      <c r="AE68" s="77" t="str">
        <f t="shared" si="67"/>
        <v/>
      </c>
      <c r="AF68" s="81">
        <f t="shared" si="68"/>
        <v>0</v>
      </c>
      <c r="AG68" s="40"/>
      <c r="AH68" s="7"/>
      <c r="AI68" s="77" t="str">
        <f t="shared" si="69"/>
        <v/>
      </c>
      <c r="AJ68" s="81">
        <f t="shared" si="70"/>
        <v>0</v>
      </c>
      <c r="AK68" s="83">
        <f t="shared" si="71"/>
        <v>0</v>
      </c>
      <c r="AL68" s="83">
        <f t="shared" si="72"/>
        <v>0</v>
      </c>
      <c r="AN68" s="43">
        <f t="shared" si="73"/>
        <v>0</v>
      </c>
      <c r="AP68" t="str">
        <f t="shared" si="74"/>
        <v/>
      </c>
      <c r="AQ68" t="str">
        <f t="shared" si="75"/>
        <v/>
      </c>
      <c r="AR68" t="str">
        <f t="shared" si="76"/>
        <v/>
      </c>
      <c r="AS68" t="str">
        <f t="shared" si="77"/>
        <v/>
      </c>
      <c r="AT68" t="str">
        <f t="shared" si="78"/>
        <v/>
      </c>
      <c r="AU68" t="str">
        <f t="shared" si="79"/>
        <v/>
      </c>
      <c r="AV68" t="str">
        <f t="shared" si="80"/>
        <v/>
      </c>
      <c r="AW68" t="str">
        <f t="shared" si="81"/>
        <v xml:space="preserve">                              </v>
      </c>
      <c r="AX68" s="23">
        <f t="shared" si="82"/>
        <v>0</v>
      </c>
      <c r="AY68" s="49" t="str">
        <f t="shared" si="83"/>
        <v>000000000000000</v>
      </c>
      <c r="AZ68" s="23">
        <f t="shared" si="84"/>
        <v>0</v>
      </c>
      <c r="BA68" s="49" t="str">
        <f t="shared" si="83"/>
        <v>000000000000000</v>
      </c>
      <c r="BB68" s="23">
        <f t="shared" si="85"/>
        <v>0</v>
      </c>
      <c r="BC68" s="49" t="str">
        <f t="shared" ref="BC68" si="255">IF(BB68&lt;0,SUBSTITUTE(TEXT(BB68,"000000000000,00"),",",""),SUBSTITUTE(TEXT(BB68,"0000000000000,00"),",",""))</f>
        <v>000000000000000</v>
      </c>
      <c r="BD68" s="23">
        <f t="shared" si="87"/>
        <v>0</v>
      </c>
      <c r="BE68" s="49" t="str">
        <f t="shared" ref="BE68" si="256">IF(BD68&lt;0,SUBSTITUTE(TEXT(BD68,"000000000000,00"),",",""),SUBSTITUTE(TEXT(BD68,"0000000000000,00"),",",""))</f>
        <v>000000000000000</v>
      </c>
      <c r="BF68" s="23">
        <f t="shared" si="89"/>
        <v>0</v>
      </c>
      <c r="BG68" s="49" t="str">
        <f t="shared" ref="BG68" si="257">IF(BF68&lt;0,SUBSTITUTE(TEXT(BF68,"000000000000,00"),",",""),SUBSTITUTE(TEXT(BF68,"0000000000000,00"),",",""))</f>
        <v>000000000000000</v>
      </c>
      <c r="BH68" s="23">
        <f t="shared" si="91"/>
        <v>0</v>
      </c>
      <c r="BI68" s="49" t="str">
        <f t="shared" ref="BI68" si="258">IF(BH68&lt;0,SUBSTITUTE(TEXT(BH68,"000000000000,00"),",",""),SUBSTITUTE(TEXT(BH68,"0000000000000,00"),",",""))</f>
        <v>000000000000000</v>
      </c>
      <c r="BJ68" s="23">
        <f t="shared" si="93"/>
        <v>0</v>
      </c>
      <c r="BK68" s="49" t="str">
        <f t="shared" ref="BK68" si="259">IF(BJ68&lt;0,SUBSTITUTE(TEXT(BJ68,"000000000000,00"),",",""),SUBSTITUTE(TEXT(BJ68,"0000000000000,00"),",",""))</f>
        <v>000000000000000</v>
      </c>
      <c r="BL68" s="23">
        <f t="shared" si="95"/>
        <v>0</v>
      </c>
      <c r="BM68" s="49" t="str">
        <f t="shared" ref="BM68" si="260">IF(BL68&lt;0,SUBSTITUTE(TEXT(BL68,"000000000000,00"),",",""),SUBSTITUTE(TEXT(BL68,"0000000000000,00"),",",""))</f>
        <v>000000000000000</v>
      </c>
      <c r="BN68" t="str">
        <f t="shared" si="97"/>
        <v>PES</v>
      </c>
      <c r="BO68" t="str">
        <f t="shared" si="98"/>
        <v>0001000000</v>
      </c>
      <c r="BP68">
        <f t="shared" si="99"/>
        <v>0</v>
      </c>
      <c r="BQ68">
        <f t="shared" si="100"/>
        <v>0</v>
      </c>
      <c r="BR68" s="23">
        <f t="shared" si="101"/>
        <v>0</v>
      </c>
      <c r="BS68" s="49" t="str">
        <f t="shared" si="102"/>
        <v>000000000000000</v>
      </c>
      <c r="BT68" t="str">
        <f t="shared" si="103"/>
        <v>00000000</v>
      </c>
      <c r="BU68" s="23">
        <f t="shared" si="104"/>
        <v>0</v>
      </c>
      <c r="BV68" s="49" t="str">
        <f t="shared" si="105"/>
        <v/>
      </c>
      <c r="BW68" s="52" t="str">
        <f t="shared" si="106"/>
        <v/>
      </c>
      <c r="BX68" s="23">
        <f t="shared" si="107"/>
        <v>0</v>
      </c>
      <c r="BY68" s="49" t="str">
        <f t="shared" si="108"/>
        <v/>
      </c>
      <c r="BZ68" s="23">
        <f t="shared" si="109"/>
        <v>0</v>
      </c>
      <c r="CA68" s="49" t="str">
        <f t="shared" si="110"/>
        <v/>
      </c>
      <c r="CB68" s="52" t="str">
        <f t="shared" si="111"/>
        <v/>
      </c>
      <c r="CC68" s="23">
        <f t="shared" si="112"/>
        <v>0</v>
      </c>
      <c r="CD68" s="49" t="str">
        <f t="shared" si="113"/>
        <v/>
      </c>
      <c r="CE68" s="56" t="str">
        <f>IF(CF68="","",MAX(CE$10:$CE67)+1)</f>
        <v/>
      </c>
      <c r="CF68" t="str">
        <f t="shared" si="114"/>
        <v/>
      </c>
      <c r="CG68" s="22" t="str">
        <f>IF(CH68="","",MAX($CG$10:CG67)+1)</f>
        <v/>
      </c>
      <c r="CH68" s="22" t="str">
        <f t="shared" si="115"/>
        <v/>
      </c>
      <c r="CI68" s="22" t="str">
        <f>IF(CJ68="","",MAX($CI$10:CI67)+1)</f>
        <v/>
      </c>
      <c r="CJ68" s="22" t="str">
        <f t="shared" si="116"/>
        <v/>
      </c>
    </row>
    <row r="69" spans="2:88" x14ac:dyDescent="0.25">
      <c r="B69" s="37"/>
      <c r="C69" s="3"/>
      <c r="D69" s="77" t="str">
        <f t="shared" si="60"/>
        <v/>
      </c>
      <c r="E69" s="38"/>
      <c r="F69" s="38"/>
      <c r="G69" s="78">
        <f t="shared" si="61"/>
        <v>0</v>
      </c>
      <c r="H69" s="3">
        <v>80</v>
      </c>
      <c r="I69" s="77" t="str">
        <f t="shared" si="62"/>
        <v/>
      </c>
      <c r="J69" s="32"/>
      <c r="K69" s="3"/>
      <c r="L69" s="39"/>
      <c r="M69" s="39"/>
      <c r="N69" s="39"/>
      <c r="O69" s="39"/>
      <c r="P69" s="39"/>
      <c r="Q69" s="39"/>
      <c r="R69" s="39"/>
      <c r="S69" s="39"/>
      <c r="T69" s="3" t="s">
        <v>645</v>
      </c>
      <c r="U69" s="77" t="str">
        <f t="shared" si="63"/>
        <v/>
      </c>
      <c r="V69" s="39">
        <v>1</v>
      </c>
      <c r="W69" s="79">
        <f t="shared" si="64"/>
        <v>0</v>
      </c>
      <c r="X69" s="3">
        <v>0</v>
      </c>
      <c r="Y69" s="77" t="str">
        <f t="shared" si="65"/>
        <v/>
      </c>
      <c r="Z69" s="3"/>
      <c r="AA69" s="37" t="str">
        <f t="shared" si="66"/>
        <v/>
      </c>
      <c r="AC69" s="40"/>
      <c r="AD69" s="7"/>
      <c r="AE69" s="77" t="str">
        <f t="shared" si="67"/>
        <v/>
      </c>
      <c r="AF69" s="81">
        <f t="shared" si="68"/>
        <v>0</v>
      </c>
      <c r="AG69" s="40"/>
      <c r="AH69" s="7"/>
      <c r="AI69" s="77" t="str">
        <f t="shared" si="69"/>
        <v/>
      </c>
      <c r="AJ69" s="81">
        <f t="shared" si="70"/>
        <v>0</v>
      </c>
      <c r="AK69" s="83">
        <f t="shared" si="71"/>
        <v>0</v>
      </c>
      <c r="AL69" s="83">
        <f t="shared" si="72"/>
        <v>0</v>
      </c>
      <c r="AN69" s="43">
        <f t="shared" si="73"/>
        <v>0</v>
      </c>
      <c r="AP69" t="str">
        <f t="shared" si="74"/>
        <v/>
      </c>
      <c r="AQ69" t="str">
        <f t="shared" si="75"/>
        <v/>
      </c>
      <c r="AR69" t="str">
        <f t="shared" si="76"/>
        <v/>
      </c>
      <c r="AS69" t="str">
        <f t="shared" si="77"/>
        <v/>
      </c>
      <c r="AT69" t="str">
        <f t="shared" si="78"/>
        <v/>
      </c>
      <c r="AU69" t="str">
        <f t="shared" si="79"/>
        <v/>
      </c>
      <c r="AV69" t="str">
        <f t="shared" si="80"/>
        <v/>
      </c>
      <c r="AW69" t="str">
        <f t="shared" si="81"/>
        <v xml:space="preserve">                              </v>
      </c>
      <c r="AX69" s="23">
        <f t="shared" si="82"/>
        <v>0</v>
      </c>
      <c r="AY69" s="49" t="str">
        <f t="shared" si="83"/>
        <v>000000000000000</v>
      </c>
      <c r="AZ69" s="23">
        <f t="shared" si="84"/>
        <v>0</v>
      </c>
      <c r="BA69" s="49" t="str">
        <f t="shared" si="83"/>
        <v>000000000000000</v>
      </c>
      <c r="BB69" s="23">
        <f t="shared" si="85"/>
        <v>0</v>
      </c>
      <c r="BC69" s="49" t="str">
        <f t="shared" ref="BC69" si="261">IF(BB69&lt;0,SUBSTITUTE(TEXT(BB69,"000000000000,00"),",",""),SUBSTITUTE(TEXT(BB69,"0000000000000,00"),",",""))</f>
        <v>000000000000000</v>
      </c>
      <c r="BD69" s="23">
        <f t="shared" si="87"/>
        <v>0</v>
      </c>
      <c r="BE69" s="49" t="str">
        <f t="shared" ref="BE69" si="262">IF(BD69&lt;0,SUBSTITUTE(TEXT(BD69,"000000000000,00"),",",""),SUBSTITUTE(TEXT(BD69,"0000000000000,00"),",",""))</f>
        <v>000000000000000</v>
      </c>
      <c r="BF69" s="23">
        <f t="shared" si="89"/>
        <v>0</v>
      </c>
      <c r="BG69" s="49" t="str">
        <f t="shared" ref="BG69" si="263">IF(BF69&lt;0,SUBSTITUTE(TEXT(BF69,"000000000000,00"),",",""),SUBSTITUTE(TEXT(BF69,"0000000000000,00"),",",""))</f>
        <v>000000000000000</v>
      </c>
      <c r="BH69" s="23">
        <f t="shared" si="91"/>
        <v>0</v>
      </c>
      <c r="BI69" s="49" t="str">
        <f t="shared" ref="BI69" si="264">IF(BH69&lt;0,SUBSTITUTE(TEXT(BH69,"000000000000,00"),",",""),SUBSTITUTE(TEXT(BH69,"0000000000000,00"),",",""))</f>
        <v>000000000000000</v>
      </c>
      <c r="BJ69" s="23">
        <f t="shared" si="93"/>
        <v>0</v>
      </c>
      <c r="BK69" s="49" t="str">
        <f t="shared" ref="BK69" si="265">IF(BJ69&lt;0,SUBSTITUTE(TEXT(BJ69,"000000000000,00"),",",""),SUBSTITUTE(TEXT(BJ69,"0000000000000,00"),",",""))</f>
        <v>000000000000000</v>
      </c>
      <c r="BL69" s="23">
        <f t="shared" si="95"/>
        <v>0</v>
      </c>
      <c r="BM69" s="49" t="str">
        <f t="shared" ref="BM69" si="266">IF(BL69&lt;0,SUBSTITUTE(TEXT(BL69,"000000000000,00"),",",""),SUBSTITUTE(TEXT(BL69,"0000000000000,00"),",",""))</f>
        <v>000000000000000</v>
      </c>
      <c r="BN69" t="str">
        <f t="shared" si="97"/>
        <v>PES</v>
      </c>
      <c r="BO69" t="str">
        <f t="shared" si="98"/>
        <v>0001000000</v>
      </c>
      <c r="BP69">
        <f t="shared" si="99"/>
        <v>0</v>
      </c>
      <c r="BQ69">
        <f t="shared" si="100"/>
        <v>0</v>
      </c>
      <c r="BR69" s="23">
        <f t="shared" si="101"/>
        <v>0</v>
      </c>
      <c r="BS69" s="49" t="str">
        <f t="shared" si="102"/>
        <v>000000000000000</v>
      </c>
      <c r="BT69" t="str">
        <f t="shared" si="103"/>
        <v>00000000</v>
      </c>
      <c r="BU69" s="23">
        <f t="shared" si="104"/>
        <v>0</v>
      </c>
      <c r="BV69" s="49" t="str">
        <f t="shared" si="105"/>
        <v/>
      </c>
      <c r="BW69" s="52" t="str">
        <f t="shared" si="106"/>
        <v/>
      </c>
      <c r="BX69" s="23">
        <f t="shared" si="107"/>
        <v>0</v>
      </c>
      <c r="BY69" s="49" t="str">
        <f t="shared" si="108"/>
        <v/>
      </c>
      <c r="BZ69" s="23">
        <f t="shared" si="109"/>
        <v>0</v>
      </c>
      <c r="CA69" s="49" t="str">
        <f t="shared" si="110"/>
        <v/>
      </c>
      <c r="CB69" s="52" t="str">
        <f t="shared" si="111"/>
        <v/>
      </c>
      <c r="CC69" s="23">
        <f t="shared" si="112"/>
        <v>0</v>
      </c>
      <c r="CD69" s="49" t="str">
        <f t="shared" si="113"/>
        <v/>
      </c>
      <c r="CE69" s="56" t="str">
        <f>IF(CF69="","",MAX(CE$10:$CE68)+1)</f>
        <v/>
      </c>
      <c r="CF69" t="str">
        <f t="shared" si="114"/>
        <v/>
      </c>
      <c r="CG69" s="22" t="str">
        <f>IF(CH69="","",MAX($CG$10:CG68)+1)</f>
        <v/>
      </c>
      <c r="CH69" s="22" t="str">
        <f t="shared" si="115"/>
        <v/>
      </c>
      <c r="CI69" s="22" t="str">
        <f>IF(CJ69="","",MAX($CI$10:CI68)+1)</f>
        <v/>
      </c>
      <c r="CJ69" s="22" t="str">
        <f t="shared" si="116"/>
        <v/>
      </c>
    </row>
    <row r="70" spans="2:88" x14ac:dyDescent="0.25">
      <c r="B70" s="37"/>
      <c r="C70" s="3"/>
      <c r="D70" s="77" t="str">
        <f t="shared" si="60"/>
        <v/>
      </c>
      <c r="E70" s="38"/>
      <c r="F70" s="38"/>
      <c r="G70" s="78">
        <f t="shared" si="61"/>
        <v>0</v>
      </c>
      <c r="H70" s="3">
        <v>80</v>
      </c>
      <c r="I70" s="77" t="str">
        <f t="shared" si="62"/>
        <v/>
      </c>
      <c r="J70" s="32"/>
      <c r="K70" s="3"/>
      <c r="L70" s="39"/>
      <c r="M70" s="39"/>
      <c r="N70" s="39"/>
      <c r="O70" s="39"/>
      <c r="P70" s="39"/>
      <c r="Q70" s="39"/>
      <c r="R70" s="39"/>
      <c r="S70" s="39"/>
      <c r="T70" s="3" t="s">
        <v>645</v>
      </c>
      <c r="U70" s="77" t="str">
        <f t="shared" si="63"/>
        <v/>
      </c>
      <c r="V70" s="39">
        <v>1</v>
      </c>
      <c r="W70" s="79">
        <f t="shared" si="64"/>
        <v>0</v>
      </c>
      <c r="X70" s="3">
        <v>0</v>
      </c>
      <c r="Y70" s="77" t="str">
        <f t="shared" si="65"/>
        <v/>
      </c>
      <c r="Z70" s="3"/>
      <c r="AA70" s="37" t="str">
        <f t="shared" si="66"/>
        <v/>
      </c>
      <c r="AC70" s="40"/>
      <c r="AD70" s="7"/>
      <c r="AE70" s="77" t="str">
        <f t="shared" si="67"/>
        <v/>
      </c>
      <c r="AF70" s="81">
        <f t="shared" si="68"/>
        <v>0</v>
      </c>
      <c r="AG70" s="40"/>
      <c r="AH70" s="7"/>
      <c r="AI70" s="77" t="str">
        <f t="shared" si="69"/>
        <v/>
      </c>
      <c r="AJ70" s="81">
        <f t="shared" si="70"/>
        <v>0</v>
      </c>
      <c r="AK70" s="83">
        <f t="shared" si="71"/>
        <v>0</v>
      </c>
      <c r="AL70" s="83">
        <f t="shared" si="72"/>
        <v>0</v>
      </c>
      <c r="AN70" s="43">
        <f t="shared" si="73"/>
        <v>0</v>
      </c>
      <c r="AP70" t="str">
        <f t="shared" si="74"/>
        <v/>
      </c>
      <c r="AQ70" t="str">
        <f t="shared" si="75"/>
        <v/>
      </c>
      <c r="AR70" t="str">
        <f t="shared" si="76"/>
        <v/>
      </c>
      <c r="AS70" t="str">
        <f t="shared" si="77"/>
        <v/>
      </c>
      <c r="AT70" t="str">
        <f t="shared" si="78"/>
        <v/>
      </c>
      <c r="AU70" t="str">
        <f t="shared" si="79"/>
        <v/>
      </c>
      <c r="AV70" t="str">
        <f t="shared" si="80"/>
        <v/>
      </c>
      <c r="AW70" t="str">
        <f t="shared" si="81"/>
        <v xml:space="preserve">                              </v>
      </c>
      <c r="AX70" s="23">
        <f t="shared" si="82"/>
        <v>0</v>
      </c>
      <c r="AY70" s="49" t="str">
        <f t="shared" si="83"/>
        <v>000000000000000</v>
      </c>
      <c r="AZ70" s="23">
        <f t="shared" si="84"/>
        <v>0</v>
      </c>
      <c r="BA70" s="49" t="str">
        <f t="shared" si="83"/>
        <v>000000000000000</v>
      </c>
      <c r="BB70" s="23">
        <f t="shared" si="85"/>
        <v>0</v>
      </c>
      <c r="BC70" s="49" t="str">
        <f t="shared" ref="BC70" si="267">IF(BB70&lt;0,SUBSTITUTE(TEXT(BB70,"000000000000,00"),",",""),SUBSTITUTE(TEXT(BB70,"0000000000000,00"),",",""))</f>
        <v>000000000000000</v>
      </c>
      <c r="BD70" s="23">
        <f t="shared" si="87"/>
        <v>0</v>
      </c>
      <c r="BE70" s="49" t="str">
        <f t="shared" ref="BE70" si="268">IF(BD70&lt;0,SUBSTITUTE(TEXT(BD70,"000000000000,00"),",",""),SUBSTITUTE(TEXT(BD70,"0000000000000,00"),",",""))</f>
        <v>000000000000000</v>
      </c>
      <c r="BF70" s="23">
        <f t="shared" si="89"/>
        <v>0</v>
      </c>
      <c r="BG70" s="49" t="str">
        <f t="shared" ref="BG70" si="269">IF(BF70&lt;0,SUBSTITUTE(TEXT(BF70,"000000000000,00"),",",""),SUBSTITUTE(TEXT(BF70,"0000000000000,00"),",",""))</f>
        <v>000000000000000</v>
      </c>
      <c r="BH70" s="23">
        <f t="shared" si="91"/>
        <v>0</v>
      </c>
      <c r="BI70" s="49" t="str">
        <f t="shared" ref="BI70" si="270">IF(BH70&lt;0,SUBSTITUTE(TEXT(BH70,"000000000000,00"),",",""),SUBSTITUTE(TEXT(BH70,"0000000000000,00"),",",""))</f>
        <v>000000000000000</v>
      </c>
      <c r="BJ70" s="23">
        <f t="shared" si="93"/>
        <v>0</v>
      </c>
      <c r="BK70" s="49" t="str">
        <f t="shared" ref="BK70" si="271">IF(BJ70&lt;0,SUBSTITUTE(TEXT(BJ70,"000000000000,00"),",",""),SUBSTITUTE(TEXT(BJ70,"0000000000000,00"),",",""))</f>
        <v>000000000000000</v>
      </c>
      <c r="BL70" s="23">
        <f t="shared" si="95"/>
        <v>0</v>
      </c>
      <c r="BM70" s="49" t="str">
        <f t="shared" ref="BM70" si="272">IF(BL70&lt;0,SUBSTITUTE(TEXT(BL70,"000000000000,00"),",",""),SUBSTITUTE(TEXT(BL70,"0000000000000,00"),",",""))</f>
        <v>000000000000000</v>
      </c>
      <c r="BN70" t="str">
        <f t="shared" si="97"/>
        <v>PES</v>
      </c>
      <c r="BO70" t="str">
        <f t="shared" si="98"/>
        <v>0001000000</v>
      </c>
      <c r="BP70">
        <f t="shared" si="99"/>
        <v>0</v>
      </c>
      <c r="BQ70">
        <f t="shared" si="100"/>
        <v>0</v>
      </c>
      <c r="BR70" s="23">
        <f t="shared" si="101"/>
        <v>0</v>
      </c>
      <c r="BS70" s="49" t="str">
        <f t="shared" si="102"/>
        <v>000000000000000</v>
      </c>
      <c r="BT70" t="str">
        <f t="shared" si="103"/>
        <v>00000000</v>
      </c>
      <c r="BU70" s="23">
        <f t="shared" si="104"/>
        <v>0</v>
      </c>
      <c r="BV70" s="49" t="str">
        <f t="shared" si="105"/>
        <v/>
      </c>
      <c r="BW70" s="52" t="str">
        <f t="shared" si="106"/>
        <v/>
      </c>
      <c r="BX70" s="23">
        <f t="shared" si="107"/>
        <v>0</v>
      </c>
      <c r="BY70" s="49" t="str">
        <f t="shared" si="108"/>
        <v/>
      </c>
      <c r="BZ70" s="23">
        <f t="shared" si="109"/>
        <v>0</v>
      </c>
      <c r="CA70" s="49" t="str">
        <f t="shared" si="110"/>
        <v/>
      </c>
      <c r="CB70" s="52" t="str">
        <f t="shared" si="111"/>
        <v/>
      </c>
      <c r="CC70" s="23">
        <f t="shared" si="112"/>
        <v>0</v>
      </c>
      <c r="CD70" s="49" t="str">
        <f t="shared" si="113"/>
        <v/>
      </c>
      <c r="CE70" s="56" t="str">
        <f>IF(CF70="","",MAX(CE$10:$CE69)+1)</f>
        <v/>
      </c>
      <c r="CF70" t="str">
        <f t="shared" si="114"/>
        <v/>
      </c>
      <c r="CG70" s="22" t="str">
        <f>IF(CH70="","",MAX($CG$10:CG69)+1)</f>
        <v/>
      </c>
      <c r="CH70" s="22" t="str">
        <f t="shared" si="115"/>
        <v/>
      </c>
      <c r="CI70" s="22" t="str">
        <f>IF(CJ70="","",MAX($CI$10:CI69)+1)</f>
        <v/>
      </c>
      <c r="CJ70" s="22" t="str">
        <f t="shared" si="116"/>
        <v/>
      </c>
    </row>
    <row r="71" spans="2:88" x14ac:dyDescent="0.25">
      <c r="B71" s="37"/>
      <c r="C71" s="3"/>
      <c r="D71" s="77" t="str">
        <f t="shared" si="60"/>
        <v/>
      </c>
      <c r="E71" s="38"/>
      <c r="F71" s="38"/>
      <c r="G71" s="78">
        <f t="shared" si="61"/>
        <v>0</v>
      </c>
      <c r="H71" s="3">
        <v>80</v>
      </c>
      <c r="I71" s="77" t="str">
        <f t="shared" si="62"/>
        <v/>
      </c>
      <c r="J71" s="32"/>
      <c r="K71" s="3"/>
      <c r="L71" s="39"/>
      <c r="M71" s="39"/>
      <c r="N71" s="39"/>
      <c r="O71" s="39"/>
      <c r="P71" s="39"/>
      <c r="Q71" s="39"/>
      <c r="R71" s="39"/>
      <c r="S71" s="39"/>
      <c r="T71" s="3" t="s">
        <v>645</v>
      </c>
      <c r="U71" s="77" t="str">
        <f t="shared" si="63"/>
        <v/>
      </c>
      <c r="V71" s="39">
        <v>1</v>
      </c>
      <c r="W71" s="79">
        <f t="shared" si="64"/>
        <v>0</v>
      </c>
      <c r="X71" s="3">
        <v>0</v>
      </c>
      <c r="Y71" s="77" t="str">
        <f t="shared" si="65"/>
        <v/>
      </c>
      <c r="Z71" s="3"/>
      <c r="AA71" s="37" t="str">
        <f t="shared" si="66"/>
        <v/>
      </c>
      <c r="AC71" s="40"/>
      <c r="AD71" s="7"/>
      <c r="AE71" s="77" t="str">
        <f t="shared" si="67"/>
        <v/>
      </c>
      <c r="AF71" s="81">
        <f t="shared" si="68"/>
        <v>0</v>
      </c>
      <c r="AG71" s="40"/>
      <c r="AH71" s="7"/>
      <c r="AI71" s="77" t="str">
        <f t="shared" si="69"/>
        <v/>
      </c>
      <c r="AJ71" s="81">
        <f t="shared" si="70"/>
        <v>0</v>
      </c>
      <c r="AK71" s="83">
        <f t="shared" si="71"/>
        <v>0</v>
      </c>
      <c r="AL71" s="83">
        <f t="shared" si="72"/>
        <v>0</v>
      </c>
      <c r="AN71" s="43">
        <f t="shared" si="73"/>
        <v>0</v>
      </c>
      <c r="AP71" t="str">
        <f t="shared" si="74"/>
        <v/>
      </c>
      <c r="AQ71" t="str">
        <f t="shared" si="75"/>
        <v/>
      </c>
      <c r="AR71" t="str">
        <f t="shared" si="76"/>
        <v/>
      </c>
      <c r="AS71" t="str">
        <f t="shared" si="77"/>
        <v/>
      </c>
      <c r="AT71" t="str">
        <f t="shared" si="78"/>
        <v/>
      </c>
      <c r="AU71" t="str">
        <f t="shared" si="79"/>
        <v/>
      </c>
      <c r="AV71" t="str">
        <f t="shared" si="80"/>
        <v/>
      </c>
      <c r="AW71" t="str">
        <f t="shared" si="81"/>
        <v xml:space="preserve">                              </v>
      </c>
      <c r="AX71" s="23">
        <f t="shared" si="82"/>
        <v>0</v>
      </c>
      <c r="AY71" s="49" t="str">
        <f t="shared" si="83"/>
        <v>000000000000000</v>
      </c>
      <c r="AZ71" s="23">
        <f t="shared" si="84"/>
        <v>0</v>
      </c>
      <c r="BA71" s="49" t="str">
        <f t="shared" si="83"/>
        <v>000000000000000</v>
      </c>
      <c r="BB71" s="23">
        <f t="shared" si="85"/>
        <v>0</v>
      </c>
      <c r="BC71" s="49" t="str">
        <f t="shared" ref="BC71" si="273">IF(BB71&lt;0,SUBSTITUTE(TEXT(BB71,"000000000000,00"),",",""),SUBSTITUTE(TEXT(BB71,"0000000000000,00"),",",""))</f>
        <v>000000000000000</v>
      </c>
      <c r="BD71" s="23">
        <f t="shared" si="87"/>
        <v>0</v>
      </c>
      <c r="BE71" s="49" t="str">
        <f t="shared" ref="BE71" si="274">IF(BD71&lt;0,SUBSTITUTE(TEXT(BD71,"000000000000,00"),",",""),SUBSTITUTE(TEXT(BD71,"0000000000000,00"),",",""))</f>
        <v>000000000000000</v>
      </c>
      <c r="BF71" s="23">
        <f t="shared" si="89"/>
        <v>0</v>
      </c>
      <c r="BG71" s="49" t="str">
        <f t="shared" ref="BG71" si="275">IF(BF71&lt;0,SUBSTITUTE(TEXT(BF71,"000000000000,00"),",",""),SUBSTITUTE(TEXT(BF71,"0000000000000,00"),",",""))</f>
        <v>000000000000000</v>
      </c>
      <c r="BH71" s="23">
        <f t="shared" si="91"/>
        <v>0</v>
      </c>
      <c r="BI71" s="49" t="str">
        <f t="shared" ref="BI71" si="276">IF(BH71&lt;0,SUBSTITUTE(TEXT(BH71,"000000000000,00"),",",""),SUBSTITUTE(TEXT(BH71,"0000000000000,00"),",",""))</f>
        <v>000000000000000</v>
      </c>
      <c r="BJ71" s="23">
        <f t="shared" si="93"/>
        <v>0</v>
      </c>
      <c r="BK71" s="49" t="str">
        <f t="shared" ref="BK71" si="277">IF(BJ71&lt;0,SUBSTITUTE(TEXT(BJ71,"000000000000,00"),",",""),SUBSTITUTE(TEXT(BJ71,"0000000000000,00"),",",""))</f>
        <v>000000000000000</v>
      </c>
      <c r="BL71" s="23">
        <f t="shared" si="95"/>
        <v>0</v>
      </c>
      <c r="BM71" s="49" t="str">
        <f t="shared" ref="BM71" si="278">IF(BL71&lt;0,SUBSTITUTE(TEXT(BL71,"000000000000,00"),",",""),SUBSTITUTE(TEXT(BL71,"0000000000000,00"),",",""))</f>
        <v>000000000000000</v>
      </c>
      <c r="BN71" t="str">
        <f t="shared" si="97"/>
        <v>PES</v>
      </c>
      <c r="BO71" t="str">
        <f t="shared" si="98"/>
        <v>0001000000</v>
      </c>
      <c r="BP71">
        <f t="shared" si="99"/>
        <v>0</v>
      </c>
      <c r="BQ71">
        <f t="shared" si="100"/>
        <v>0</v>
      </c>
      <c r="BR71" s="23">
        <f t="shared" si="101"/>
        <v>0</v>
      </c>
      <c r="BS71" s="49" t="str">
        <f t="shared" si="102"/>
        <v>000000000000000</v>
      </c>
      <c r="BT71" t="str">
        <f t="shared" si="103"/>
        <v>00000000</v>
      </c>
      <c r="BU71" s="23">
        <f t="shared" si="104"/>
        <v>0</v>
      </c>
      <c r="BV71" s="49" t="str">
        <f t="shared" si="105"/>
        <v/>
      </c>
      <c r="BW71" s="52" t="str">
        <f t="shared" si="106"/>
        <v/>
      </c>
      <c r="BX71" s="23">
        <f t="shared" si="107"/>
        <v>0</v>
      </c>
      <c r="BY71" s="49" t="str">
        <f t="shared" si="108"/>
        <v/>
      </c>
      <c r="BZ71" s="23">
        <f t="shared" si="109"/>
        <v>0</v>
      </c>
      <c r="CA71" s="49" t="str">
        <f t="shared" si="110"/>
        <v/>
      </c>
      <c r="CB71" s="52" t="str">
        <f t="shared" si="111"/>
        <v/>
      </c>
      <c r="CC71" s="23">
        <f t="shared" si="112"/>
        <v>0</v>
      </c>
      <c r="CD71" s="49" t="str">
        <f t="shared" si="113"/>
        <v/>
      </c>
      <c r="CE71" s="56" t="str">
        <f>IF(CF71="","",MAX(CE$10:$CE70)+1)</f>
        <v/>
      </c>
      <c r="CF71" t="str">
        <f t="shared" si="114"/>
        <v/>
      </c>
      <c r="CG71" s="22" t="str">
        <f>IF(CH71="","",MAX($CG$10:CG70)+1)</f>
        <v/>
      </c>
      <c r="CH71" s="22" t="str">
        <f t="shared" si="115"/>
        <v/>
      </c>
      <c r="CI71" s="22" t="str">
        <f>IF(CJ71="","",MAX($CI$10:CI70)+1)</f>
        <v/>
      </c>
      <c r="CJ71" s="22" t="str">
        <f t="shared" si="116"/>
        <v/>
      </c>
    </row>
    <row r="72" spans="2:88" x14ac:dyDescent="0.25">
      <c r="B72" s="37"/>
      <c r="C72" s="3"/>
      <c r="D72" s="77" t="str">
        <f t="shared" si="60"/>
        <v/>
      </c>
      <c r="E72" s="38"/>
      <c r="F72" s="38"/>
      <c r="G72" s="78">
        <f t="shared" si="61"/>
        <v>0</v>
      </c>
      <c r="H72" s="3">
        <v>80</v>
      </c>
      <c r="I72" s="77" t="str">
        <f t="shared" si="62"/>
        <v/>
      </c>
      <c r="J72" s="32"/>
      <c r="K72" s="3"/>
      <c r="L72" s="39"/>
      <c r="M72" s="39"/>
      <c r="N72" s="39"/>
      <c r="O72" s="39"/>
      <c r="P72" s="39"/>
      <c r="Q72" s="39"/>
      <c r="R72" s="39"/>
      <c r="S72" s="39"/>
      <c r="T72" s="3" t="s">
        <v>645</v>
      </c>
      <c r="U72" s="77" t="str">
        <f t="shared" si="63"/>
        <v/>
      </c>
      <c r="V72" s="39">
        <v>1</v>
      </c>
      <c r="W72" s="79">
        <f t="shared" si="64"/>
        <v>0</v>
      </c>
      <c r="X72" s="3">
        <v>0</v>
      </c>
      <c r="Y72" s="77" t="str">
        <f t="shared" si="65"/>
        <v/>
      </c>
      <c r="Z72" s="3"/>
      <c r="AA72" s="37" t="str">
        <f t="shared" si="66"/>
        <v/>
      </c>
      <c r="AC72" s="40"/>
      <c r="AD72" s="7"/>
      <c r="AE72" s="77" t="str">
        <f t="shared" si="67"/>
        <v/>
      </c>
      <c r="AF72" s="81">
        <f t="shared" si="68"/>
        <v>0</v>
      </c>
      <c r="AG72" s="40"/>
      <c r="AH72" s="7"/>
      <c r="AI72" s="77" t="str">
        <f t="shared" si="69"/>
        <v/>
      </c>
      <c r="AJ72" s="81">
        <f t="shared" si="70"/>
        <v>0</v>
      </c>
      <c r="AK72" s="83">
        <f t="shared" si="71"/>
        <v>0</v>
      </c>
      <c r="AL72" s="83">
        <f t="shared" si="72"/>
        <v>0</v>
      </c>
      <c r="AN72" s="43">
        <f t="shared" si="73"/>
        <v>0</v>
      </c>
      <c r="AP72" t="str">
        <f t="shared" si="74"/>
        <v/>
      </c>
      <c r="AQ72" t="str">
        <f t="shared" si="75"/>
        <v/>
      </c>
      <c r="AR72" t="str">
        <f t="shared" si="76"/>
        <v/>
      </c>
      <c r="AS72" t="str">
        <f t="shared" si="77"/>
        <v/>
      </c>
      <c r="AT72" t="str">
        <f t="shared" si="78"/>
        <v/>
      </c>
      <c r="AU72" t="str">
        <f t="shared" si="79"/>
        <v/>
      </c>
      <c r="AV72" t="str">
        <f t="shared" si="80"/>
        <v/>
      </c>
      <c r="AW72" t="str">
        <f t="shared" si="81"/>
        <v xml:space="preserve">                              </v>
      </c>
      <c r="AX72" s="23">
        <f t="shared" si="82"/>
        <v>0</v>
      </c>
      <c r="AY72" s="49" t="str">
        <f t="shared" si="83"/>
        <v>000000000000000</v>
      </c>
      <c r="AZ72" s="23">
        <f t="shared" si="84"/>
        <v>0</v>
      </c>
      <c r="BA72" s="49" t="str">
        <f t="shared" si="83"/>
        <v>000000000000000</v>
      </c>
      <c r="BB72" s="23">
        <f t="shared" si="85"/>
        <v>0</v>
      </c>
      <c r="BC72" s="49" t="str">
        <f t="shared" ref="BC72" si="279">IF(BB72&lt;0,SUBSTITUTE(TEXT(BB72,"000000000000,00"),",",""),SUBSTITUTE(TEXT(BB72,"0000000000000,00"),",",""))</f>
        <v>000000000000000</v>
      </c>
      <c r="BD72" s="23">
        <f t="shared" si="87"/>
        <v>0</v>
      </c>
      <c r="BE72" s="49" t="str">
        <f t="shared" ref="BE72" si="280">IF(BD72&lt;0,SUBSTITUTE(TEXT(BD72,"000000000000,00"),",",""),SUBSTITUTE(TEXT(BD72,"0000000000000,00"),",",""))</f>
        <v>000000000000000</v>
      </c>
      <c r="BF72" s="23">
        <f t="shared" si="89"/>
        <v>0</v>
      </c>
      <c r="BG72" s="49" t="str">
        <f t="shared" ref="BG72" si="281">IF(BF72&lt;0,SUBSTITUTE(TEXT(BF72,"000000000000,00"),",",""),SUBSTITUTE(TEXT(BF72,"0000000000000,00"),",",""))</f>
        <v>000000000000000</v>
      </c>
      <c r="BH72" s="23">
        <f t="shared" si="91"/>
        <v>0</v>
      </c>
      <c r="BI72" s="49" t="str">
        <f t="shared" ref="BI72" si="282">IF(BH72&lt;0,SUBSTITUTE(TEXT(BH72,"000000000000,00"),",",""),SUBSTITUTE(TEXT(BH72,"0000000000000,00"),",",""))</f>
        <v>000000000000000</v>
      </c>
      <c r="BJ72" s="23">
        <f t="shared" si="93"/>
        <v>0</v>
      </c>
      <c r="BK72" s="49" t="str">
        <f t="shared" ref="BK72" si="283">IF(BJ72&lt;0,SUBSTITUTE(TEXT(BJ72,"000000000000,00"),",",""),SUBSTITUTE(TEXT(BJ72,"0000000000000,00"),",",""))</f>
        <v>000000000000000</v>
      </c>
      <c r="BL72" s="23">
        <f t="shared" si="95"/>
        <v>0</v>
      </c>
      <c r="BM72" s="49" t="str">
        <f t="shared" ref="BM72" si="284">IF(BL72&lt;0,SUBSTITUTE(TEXT(BL72,"000000000000,00"),",",""),SUBSTITUTE(TEXT(BL72,"0000000000000,00"),",",""))</f>
        <v>000000000000000</v>
      </c>
      <c r="BN72" t="str">
        <f t="shared" si="97"/>
        <v>PES</v>
      </c>
      <c r="BO72" t="str">
        <f t="shared" si="98"/>
        <v>0001000000</v>
      </c>
      <c r="BP72">
        <f t="shared" si="99"/>
        <v>0</v>
      </c>
      <c r="BQ72">
        <f t="shared" si="100"/>
        <v>0</v>
      </c>
      <c r="BR72" s="23">
        <f t="shared" si="101"/>
        <v>0</v>
      </c>
      <c r="BS72" s="49" t="str">
        <f t="shared" si="102"/>
        <v>000000000000000</v>
      </c>
      <c r="BT72" t="str">
        <f t="shared" si="103"/>
        <v>00000000</v>
      </c>
      <c r="BU72" s="23">
        <f t="shared" si="104"/>
        <v>0</v>
      </c>
      <c r="BV72" s="49" t="str">
        <f t="shared" si="105"/>
        <v/>
      </c>
      <c r="BW72" s="52" t="str">
        <f t="shared" si="106"/>
        <v/>
      </c>
      <c r="BX72" s="23">
        <f t="shared" si="107"/>
        <v>0</v>
      </c>
      <c r="BY72" s="49" t="str">
        <f t="shared" si="108"/>
        <v/>
      </c>
      <c r="BZ72" s="23">
        <f t="shared" si="109"/>
        <v>0</v>
      </c>
      <c r="CA72" s="49" t="str">
        <f t="shared" si="110"/>
        <v/>
      </c>
      <c r="CB72" s="52" t="str">
        <f t="shared" si="111"/>
        <v/>
      </c>
      <c r="CC72" s="23">
        <f t="shared" si="112"/>
        <v>0</v>
      </c>
      <c r="CD72" s="49" t="str">
        <f t="shared" si="113"/>
        <v/>
      </c>
      <c r="CE72" s="56" t="str">
        <f>IF(CF72="","",MAX(CE$10:$CE71)+1)</f>
        <v/>
      </c>
      <c r="CF72" t="str">
        <f t="shared" si="114"/>
        <v/>
      </c>
      <c r="CG72" s="22" t="str">
        <f>IF(CH72="","",MAX($CG$10:CG71)+1)</f>
        <v/>
      </c>
      <c r="CH72" s="22" t="str">
        <f t="shared" si="115"/>
        <v/>
      </c>
      <c r="CI72" s="22" t="str">
        <f>IF(CJ72="","",MAX($CI$10:CI71)+1)</f>
        <v/>
      </c>
      <c r="CJ72" s="22" t="str">
        <f t="shared" si="116"/>
        <v/>
      </c>
    </row>
    <row r="73" spans="2:88" x14ac:dyDescent="0.25">
      <c r="B73" s="37"/>
      <c r="C73" s="3"/>
      <c r="D73" s="77" t="str">
        <f t="shared" si="60"/>
        <v/>
      </c>
      <c r="E73" s="38"/>
      <c r="F73" s="38"/>
      <c r="G73" s="78">
        <f t="shared" si="61"/>
        <v>0</v>
      </c>
      <c r="H73" s="3">
        <v>80</v>
      </c>
      <c r="I73" s="77" t="str">
        <f t="shared" si="62"/>
        <v/>
      </c>
      <c r="J73" s="32"/>
      <c r="K73" s="3"/>
      <c r="L73" s="39"/>
      <c r="M73" s="39"/>
      <c r="N73" s="39"/>
      <c r="O73" s="39"/>
      <c r="P73" s="39"/>
      <c r="Q73" s="39"/>
      <c r="R73" s="39"/>
      <c r="S73" s="39"/>
      <c r="T73" s="3" t="s">
        <v>645</v>
      </c>
      <c r="U73" s="77" t="str">
        <f t="shared" si="63"/>
        <v/>
      </c>
      <c r="V73" s="39">
        <v>1</v>
      </c>
      <c r="W73" s="79">
        <f t="shared" si="64"/>
        <v>0</v>
      </c>
      <c r="X73" s="3">
        <v>0</v>
      </c>
      <c r="Y73" s="77" t="str">
        <f t="shared" si="65"/>
        <v/>
      </c>
      <c r="Z73" s="3"/>
      <c r="AA73" s="37" t="str">
        <f t="shared" si="66"/>
        <v/>
      </c>
      <c r="AC73" s="40"/>
      <c r="AD73" s="7"/>
      <c r="AE73" s="77" t="str">
        <f t="shared" si="67"/>
        <v/>
      </c>
      <c r="AF73" s="81">
        <f t="shared" si="68"/>
        <v>0</v>
      </c>
      <c r="AG73" s="40"/>
      <c r="AH73" s="7"/>
      <c r="AI73" s="77" t="str">
        <f t="shared" si="69"/>
        <v/>
      </c>
      <c r="AJ73" s="81">
        <f t="shared" si="70"/>
        <v>0</v>
      </c>
      <c r="AK73" s="83">
        <f t="shared" si="71"/>
        <v>0</v>
      </c>
      <c r="AL73" s="83">
        <f t="shared" si="72"/>
        <v>0</v>
      </c>
      <c r="AN73" s="43">
        <f t="shared" si="73"/>
        <v>0</v>
      </c>
      <c r="AP73" t="str">
        <f t="shared" si="74"/>
        <v/>
      </c>
      <c r="AQ73" t="str">
        <f t="shared" si="75"/>
        <v/>
      </c>
      <c r="AR73" t="str">
        <f t="shared" si="76"/>
        <v/>
      </c>
      <c r="AS73" t="str">
        <f t="shared" si="77"/>
        <v/>
      </c>
      <c r="AT73" t="str">
        <f t="shared" si="78"/>
        <v/>
      </c>
      <c r="AU73" t="str">
        <f t="shared" si="79"/>
        <v/>
      </c>
      <c r="AV73" t="str">
        <f t="shared" si="80"/>
        <v/>
      </c>
      <c r="AW73" t="str">
        <f t="shared" si="81"/>
        <v xml:space="preserve">                              </v>
      </c>
      <c r="AX73" s="23">
        <f t="shared" si="82"/>
        <v>0</v>
      </c>
      <c r="AY73" s="49" t="str">
        <f t="shared" si="83"/>
        <v>000000000000000</v>
      </c>
      <c r="AZ73" s="23">
        <f t="shared" si="84"/>
        <v>0</v>
      </c>
      <c r="BA73" s="49" t="str">
        <f t="shared" si="83"/>
        <v>000000000000000</v>
      </c>
      <c r="BB73" s="23">
        <f t="shared" si="85"/>
        <v>0</v>
      </c>
      <c r="BC73" s="49" t="str">
        <f t="shared" ref="BC73" si="285">IF(BB73&lt;0,SUBSTITUTE(TEXT(BB73,"000000000000,00"),",",""),SUBSTITUTE(TEXT(BB73,"0000000000000,00"),",",""))</f>
        <v>000000000000000</v>
      </c>
      <c r="BD73" s="23">
        <f t="shared" si="87"/>
        <v>0</v>
      </c>
      <c r="BE73" s="49" t="str">
        <f t="shared" ref="BE73" si="286">IF(BD73&lt;0,SUBSTITUTE(TEXT(BD73,"000000000000,00"),",",""),SUBSTITUTE(TEXT(BD73,"0000000000000,00"),",",""))</f>
        <v>000000000000000</v>
      </c>
      <c r="BF73" s="23">
        <f t="shared" si="89"/>
        <v>0</v>
      </c>
      <c r="BG73" s="49" t="str">
        <f t="shared" ref="BG73" si="287">IF(BF73&lt;0,SUBSTITUTE(TEXT(BF73,"000000000000,00"),",",""),SUBSTITUTE(TEXT(BF73,"0000000000000,00"),",",""))</f>
        <v>000000000000000</v>
      </c>
      <c r="BH73" s="23">
        <f t="shared" si="91"/>
        <v>0</v>
      </c>
      <c r="BI73" s="49" t="str">
        <f t="shared" ref="BI73" si="288">IF(BH73&lt;0,SUBSTITUTE(TEXT(BH73,"000000000000,00"),",",""),SUBSTITUTE(TEXT(BH73,"0000000000000,00"),",",""))</f>
        <v>000000000000000</v>
      </c>
      <c r="BJ73" s="23">
        <f t="shared" si="93"/>
        <v>0</v>
      </c>
      <c r="BK73" s="49" t="str">
        <f t="shared" ref="BK73" si="289">IF(BJ73&lt;0,SUBSTITUTE(TEXT(BJ73,"000000000000,00"),",",""),SUBSTITUTE(TEXT(BJ73,"0000000000000,00"),",",""))</f>
        <v>000000000000000</v>
      </c>
      <c r="BL73" s="23">
        <f t="shared" si="95"/>
        <v>0</v>
      </c>
      <c r="BM73" s="49" t="str">
        <f t="shared" ref="BM73" si="290">IF(BL73&lt;0,SUBSTITUTE(TEXT(BL73,"000000000000,00"),",",""),SUBSTITUTE(TEXT(BL73,"0000000000000,00"),",",""))</f>
        <v>000000000000000</v>
      </c>
      <c r="BN73" t="str">
        <f t="shared" si="97"/>
        <v>PES</v>
      </c>
      <c r="BO73" t="str">
        <f t="shared" si="98"/>
        <v>0001000000</v>
      </c>
      <c r="BP73">
        <f t="shared" si="99"/>
        <v>0</v>
      </c>
      <c r="BQ73">
        <f t="shared" si="100"/>
        <v>0</v>
      </c>
      <c r="BR73" s="23">
        <f t="shared" si="101"/>
        <v>0</v>
      </c>
      <c r="BS73" s="49" t="str">
        <f t="shared" si="102"/>
        <v>000000000000000</v>
      </c>
      <c r="BT73" t="str">
        <f t="shared" si="103"/>
        <v>00000000</v>
      </c>
      <c r="BU73" s="23">
        <f t="shared" si="104"/>
        <v>0</v>
      </c>
      <c r="BV73" s="49" t="str">
        <f t="shared" si="105"/>
        <v/>
      </c>
      <c r="BW73" s="52" t="str">
        <f t="shared" si="106"/>
        <v/>
      </c>
      <c r="BX73" s="23">
        <f t="shared" si="107"/>
        <v>0</v>
      </c>
      <c r="BY73" s="49" t="str">
        <f t="shared" si="108"/>
        <v/>
      </c>
      <c r="BZ73" s="23">
        <f t="shared" si="109"/>
        <v>0</v>
      </c>
      <c r="CA73" s="49" t="str">
        <f t="shared" si="110"/>
        <v/>
      </c>
      <c r="CB73" s="52" t="str">
        <f t="shared" si="111"/>
        <v/>
      </c>
      <c r="CC73" s="23">
        <f t="shared" si="112"/>
        <v>0</v>
      </c>
      <c r="CD73" s="49" t="str">
        <f t="shared" si="113"/>
        <v/>
      </c>
      <c r="CE73" s="56" t="str">
        <f>IF(CF73="","",MAX(CE$10:$CE72)+1)</f>
        <v/>
      </c>
      <c r="CF73" t="str">
        <f t="shared" si="114"/>
        <v/>
      </c>
      <c r="CG73" s="22" t="str">
        <f>IF(CH73="","",MAX($CG$10:CG72)+1)</f>
        <v/>
      </c>
      <c r="CH73" s="22" t="str">
        <f t="shared" si="115"/>
        <v/>
      </c>
      <c r="CI73" s="22" t="str">
        <f>IF(CJ73="","",MAX($CI$10:CI72)+1)</f>
        <v/>
      </c>
      <c r="CJ73" s="22" t="str">
        <f t="shared" si="116"/>
        <v/>
      </c>
    </row>
    <row r="74" spans="2:88" x14ac:dyDescent="0.25">
      <c r="B74" s="37"/>
      <c r="C74" s="3"/>
      <c r="D74" s="77" t="str">
        <f t="shared" si="60"/>
        <v/>
      </c>
      <c r="E74" s="38"/>
      <c r="F74" s="38"/>
      <c r="G74" s="78">
        <f t="shared" si="61"/>
        <v>0</v>
      </c>
      <c r="H74" s="3">
        <v>80</v>
      </c>
      <c r="I74" s="77" t="str">
        <f t="shared" si="62"/>
        <v/>
      </c>
      <c r="J74" s="32"/>
      <c r="K74" s="3"/>
      <c r="L74" s="39"/>
      <c r="M74" s="39"/>
      <c r="N74" s="39"/>
      <c r="O74" s="39"/>
      <c r="P74" s="39"/>
      <c r="Q74" s="39"/>
      <c r="R74" s="39"/>
      <c r="S74" s="39"/>
      <c r="T74" s="3" t="s">
        <v>645</v>
      </c>
      <c r="U74" s="77" t="str">
        <f t="shared" si="63"/>
        <v/>
      </c>
      <c r="V74" s="39">
        <v>1</v>
      </c>
      <c r="W74" s="79">
        <f t="shared" si="64"/>
        <v>0</v>
      </c>
      <c r="X74" s="3">
        <v>0</v>
      </c>
      <c r="Y74" s="77" t="str">
        <f t="shared" si="65"/>
        <v/>
      </c>
      <c r="Z74" s="3"/>
      <c r="AA74" s="37" t="str">
        <f t="shared" si="66"/>
        <v/>
      </c>
      <c r="AC74" s="40"/>
      <c r="AD74" s="7"/>
      <c r="AE74" s="77" t="str">
        <f t="shared" si="67"/>
        <v/>
      </c>
      <c r="AF74" s="81">
        <f t="shared" si="68"/>
        <v>0</v>
      </c>
      <c r="AG74" s="40"/>
      <c r="AH74" s="7"/>
      <c r="AI74" s="77" t="str">
        <f t="shared" si="69"/>
        <v/>
      </c>
      <c r="AJ74" s="81">
        <f t="shared" si="70"/>
        <v>0</v>
      </c>
      <c r="AK74" s="83">
        <f t="shared" si="71"/>
        <v>0</v>
      </c>
      <c r="AL74" s="83">
        <f t="shared" si="72"/>
        <v>0</v>
      </c>
      <c r="AN74" s="43">
        <f t="shared" si="73"/>
        <v>0</v>
      </c>
      <c r="AP74" t="str">
        <f t="shared" si="74"/>
        <v/>
      </c>
      <c r="AQ74" t="str">
        <f t="shared" si="75"/>
        <v/>
      </c>
      <c r="AR74" t="str">
        <f t="shared" si="76"/>
        <v/>
      </c>
      <c r="AS74" t="str">
        <f t="shared" si="77"/>
        <v/>
      </c>
      <c r="AT74" t="str">
        <f t="shared" si="78"/>
        <v/>
      </c>
      <c r="AU74" t="str">
        <f t="shared" si="79"/>
        <v/>
      </c>
      <c r="AV74" t="str">
        <f t="shared" si="80"/>
        <v/>
      </c>
      <c r="AW74" t="str">
        <f t="shared" si="81"/>
        <v xml:space="preserve">                              </v>
      </c>
      <c r="AX74" s="23">
        <f t="shared" si="82"/>
        <v>0</v>
      </c>
      <c r="AY74" s="49" t="str">
        <f t="shared" si="83"/>
        <v>000000000000000</v>
      </c>
      <c r="AZ74" s="23">
        <f t="shared" si="84"/>
        <v>0</v>
      </c>
      <c r="BA74" s="49" t="str">
        <f t="shared" si="83"/>
        <v>000000000000000</v>
      </c>
      <c r="BB74" s="23">
        <f t="shared" si="85"/>
        <v>0</v>
      </c>
      <c r="BC74" s="49" t="str">
        <f t="shared" ref="BC74" si="291">IF(BB74&lt;0,SUBSTITUTE(TEXT(BB74,"000000000000,00"),",",""),SUBSTITUTE(TEXT(BB74,"0000000000000,00"),",",""))</f>
        <v>000000000000000</v>
      </c>
      <c r="BD74" s="23">
        <f t="shared" si="87"/>
        <v>0</v>
      </c>
      <c r="BE74" s="49" t="str">
        <f t="shared" ref="BE74" si="292">IF(BD74&lt;0,SUBSTITUTE(TEXT(BD74,"000000000000,00"),",",""),SUBSTITUTE(TEXT(BD74,"0000000000000,00"),",",""))</f>
        <v>000000000000000</v>
      </c>
      <c r="BF74" s="23">
        <f t="shared" si="89"/>
        <v>0</v>
      </c>
      <c r="BG74" s="49" t="str">
        <f t="shared" ref="BG74" si="293">IF(BF74&lt;0,SUBSTITUTE(TEXT(BF74,"000000000000,00"),",",""),SUBSTITUTE(TEXT(BF74,"0000000000000,00"),",",""))</f>
        <v>000000000000000</v>
      </c>
      <c r="BH74" s="23">
        <f t="shared" si="91"/>
        <v>0</v>
      </c>
      <c r="BI74" s="49" t="str">
        <f t="shared" ref="BI74" si="294">IF(BH74&lt;0,SUBSTITUTE(TEXT(BH74,"000000000000,00"),",",""),SUBSTITUTE(TEXT(BH74,"0000000000000,00"),",",""))</f>
        <v>000000000000000</v>
      </c>
      <c r="BJ74" s="23">
        <f t="shared" si="93"/>
        <v>0</v>
      </c>
      <c r="BK74" s="49" t="str">
        <f t="shared" ref="BK74" si="295">IF(BJ74&lt;0,SUBSTITUTE(TEXT(BJ74,"000000000000,00"),",",""),SUBSTITUTE(TEXT(BJ74,"0000000000000,00"),",",""))</f>
        <v>000000000000000</v>
      </c>
      <c r="BL74" s="23">
        <f t="shared" si="95"/>
        <v>0</v>
      </c>
      <c r="BM74" s="49" t="str">
        <f t="shared" ref="BM74" si="296">IF(BL74&lt;0,SUBSTITUTE(TEXT(BL74,"000000000000,00"),",",""),SUBSTITUTE(TEXT(BL74,"0000000000000,00"),",",""))</f>
        <v>000000000000000</v>
      </c>
      <c r="BN74" t="str">
        <f t="shared" si="97"/>
        <v>PES</v>
      </c>
      <c r="BO74" t="str">
        <f t="shared" si="98"/>
        <v>0001000000</v>
      </c>
      <c r="BP74">
        <f t="shared" si="99"/>
        <v>0</v>
      </c>
      <c r="BQ74">
        <f t="shared" si="100"/>
        <v>0</v>
      </c>
      <c r="BR74" s="23">
        <f t="shared" si="101"/>
        <v>0</v>
      </c>
      <c r="BS74" s="49" t="str">
        <f t="shared" si="102"/>
        <v>000000000000000</v>
      </c>
      <c r="BT74" t="str">
        <f t="shared" si="103"/>
        <v>00000000</v>
      </c>
      <c r="BU74" s="23">
        <f t="shared" si="104"/>
        <v>0</v>
      </c>
      <c r="BV74" s="49" t="str">
        <f t="shared" si="105"/>
        <v/>
      </c>
      <c r="BW74" s="52" t="str">
        <f t="shared" si="106"/>
        <v/>
      </c>
      <c r="BX74" s="23">
        <f t="shared" si="107"/>
        <v>0</v>
      </c>
      <c r="BY74" s="49" t="str">
        <f t="shared" si="108"/>
        <v/>
      </c>
      <c r="BZ74" s="23">
        <f t="shared" si="109"/>
        <v>0</v>
      </c>
      <c r="CA74" s="49" t="str">
        <f t="shared" si="110"/>
        <v/>
      </c>
      <c r="CB74" s="52" t="str">
        <f t="shared" si="111"/>
        <v/>
      </c>
      <c r="CC74" s="23">
        <f t="shared" si="112"/>
        <v>0</v>
      </c>
      <c r="CD74" s="49" t="str">
        <f t="shared" si="113"/>
        <v/>
      </c>
      <c r="CE74" s="56" t="str">
        <f>IF(CF74="","",MAX(CE$10:$CE73)+1)</f>
        <v/>
      </c>
      <c r="CF74" t="str">
        <f t="shared" si="114"/>
        <v/>
      </c>
      <c r="CG74" s="22" t="str">
        <f>IF(CH74="","",MAX($CG$10:CG73)+1)</f>
        <v/>
      </c>
      <c r="CH74" s="22" t="str">
        <f t="shared" si="115"/>
        <v/>
      </c>
      <c r="CI74" s="22" t="str">
        <f>IF(CJ74="","",MAX($CI$10:CI73)+1)</f>
        <v/>
      </c>
      <c r="CJ74" s="22" t="str">
        <f t="shared" si="116"/>
        <v/>
      </c>
    </row>
    <row r="75" spans="2:88" x14ac:dyDescent="0.25">
      <c r="B75" s="37"/>
      <c r="C75" s="3"/>
      <c r="D75" s="77" t="str">
        <f t="shared" si="60"/>
        <v/>
      </c>
      <c r="E75" s="38"/>
      <c r="F75" s="38"/>
      <c r="G75" s="78">
        <f t="shared" si="61"/>
        <v>0</v>
      </c>
      <c r="H75" s="3">
        <v>80</v>
      </c>
      <c r="I75" s="77" t="str">
        <f t="shared" si="62"/>
        <v/>
      </c>
      <c r="J75" s="32"/>
      <c r="K75" s="3"/>
      <c r="L75" s="39"/>
      <c r="M75" s="39"/>
      <c r="N75" s="39"/>
      <c r="O75" s="39"/>
      <c r="P75" s="39"/>
      <c r="Q75" s="39"/>
      <c r="R75" s="39"/>
      <c r="S75" s="39"/>
      <c r="T75" s="3" t="s">
        <v>645</v>
      </c>
      <c r="U75" s="77" t="str">
        <f t="shared" si="63"/>
        <v/>
      </c>
      <c r="V75" s="39">
        <v>1</v>
      </c>
      <c r="W75" s="79">
        <f t="shared" si="64"/>
        <v>0</v>
      </c>
      <c r="X75" s="3">
        <v>0</v>
      </c>
      <c r="Y75" s="77" t="str">
        <f t="shared" si="65"/>
        <v/>
      </c>
      <c r="Z75" s="3"/>
      <c r="AA75" s="37" t="str">
        <f t="shared" si="66"/>
        <v/>
      </c>
      <c r="AC75" s="40"/>
      <c r="AD75" s="7"/>
      <c r="AE75" s="77" t="str">
        <f t="shared" si="67"/>
        <v/>
      </c>
      <c r="AF75" s="81">
        <f t="shared" si="68"/>
        <v>0</v>
      </c>
      <c r="AG75" s="40"/>
      <c r="AH75" s="7"/>
      <c r="AI75" s="77" t="str">
        <f t="shared" si="69"/>
        <v/>
      </c>
      <c r="AJ75" s="81">
        <f t="shared" si="70"/>
        <v>0</v>
      </c>
      <c r="AK75" s="83">
        <f t="shared" si="71"/>
        <v>0</v>
      </c>
      <c r="AL75" s="83">
        <f t="shared" si="72"/>
        <v>0</v>
      </c>
      <c r="AN75" s="43">
        <f t="shared" si="73"/>
        <v>0</v>
      </c>
      <c r="AP75" t="str">
        <f t="shared" si="74"/>
        <v/>
      </c>
      <c r="AQ75" t="str">
        <f t="shared" si="75"/>
        <v/>
      </c>
      <c r="AR75" t="str">
        <f t="shared" si="76"/>
        <v/>
      </c>
      <c r="AS75" t="str">
        <f t="shared" si="77"/>
        <v/>
      </c>
      <c r="AT75" t="str">
        <f t="shared" si="78"/>
        <v/>
      </c>
      <c r="AU75" t="str">
        <f t="shared" si="79"/>
        <v/>
      </c>
      <c r="AV75" t="str">
        <f t="shared" si="80"/>
        <v/>
      </c>
      <c r="AW75" t="str">
        <f t="shared" si="81"/>
        <v xml:space="preserve">                              </v>
      </c>
      <c r="AX75" s="23">
        <f t="shared" si="82"/>
        <v>0</v>
      </c>
      <c r="AY75" s="49" t="str">
        <f t="shared" si="83"/>
        <v>000000000000000</v>
      </c>
      <c r="AZ75" s="23">
        <f t="shared" si="84"/>
        <v>0</v>
      </c>
      <c r="BA75" s="49" t="str">
        <f t="shared" si="83"/>
        <v>000000000000000</v>
      </c>
      <c r="BB75" s="23">
        <f t="shared" si="85"/>
        <v>0</v>
      </c>
      <c r="BC75" s="49" t="str">
        <f t="shared" ref="BC75" si="297">IF(BB75&lt;0,SUBSTITUTE(TEXT(BB75,"000000000000,00"),",",""),SUBSTITUTE(TEXT(BB75,"0000000000000,00"),",",""))</f>
        <v>000000000000000</v>
      </c>
      <c r="BD75" s="23">
        <f t="shared" si="87"/>
        <v>0</v>
      </c>
      <c r="BE75" s="49" t="str">
        <f t="shared" ref="BE75" si="298">IF(BD75&lt;0,SUBSTITUTE(TEXT(BD75,"000000000000,00"),",",""),SUBSTITUTE(TEXT(BD75,"0000000000000,00"),",",""))</f>
        <v>000000000000000</v>
      </c>
      <c r="BF75" s="23">
        <f t="shared" si="89"/>
        <v>0</v>
      </c>
      <c r="BG75" s="49" t="str">
        <f t="shared" ref="BG75" si="299">IF(BF75&lt;0,SUBSTITUTE(TEXT(BF75,"000000000000,00"),",",""),SUBSTITUTE(TEXT(BF75,"0000000000000,00"),",",""))</f>
        <v>000000000000000</v>
      </c>
      <c r="BH75" s="23">
        <f t="shared" si="91"/>
        <v>0</v>
      </c>
      <c r="BI75" s="49" t="str">
        <f t="shared" ref="BI75" si="300">IF(BH75&lt;0,SUBSTITUTE(TEXT(BH75,"000000000000,00"),",",""),SUBSTITUTE(TEXT(BH75,"0000000000000,00"),",",""))</f>
        <v>000000000000000</v>
      </c>
      <c r="BJ75" s="23">
        <f t="shared" si="93"/>
        <v>0</v>
      </c>
      <c r="BK75" s="49" t="str">
        <f t="shared" ref="BK75" si="301">IF(BJ75&lt;0,SUBSTITUTE(TEXT(BJ75,"000000000000,00"),",",""),SUBSTITUTE(TEXT(BJ75,"0000000000000,00"),",",""))</f>
        <v>000000000000000</v>
      </c>
      <c r="BL75" s="23">
        <f t="shared" si="95"/>
        <v>0</v>
      </c>
      <c r="BM75" s="49" t="str">
        <f t="shared" ref="BM75" si="302">IF(BL75&lt;0,SUBSTITUTE(TEXT(BL75,"000000000000,00"),",",""),SUBSTITUTE(TEXT(BL75,"0000000000000,00"),",",""))</f>
        <v>000000000000000</v>
      </c>
      <c r="BN75" t="str">
        <f t="shared" si="97"/>
        <v>PES</v>
      </c>
      <c r="BO75" t="str">
        <f t="shared" si="98"/>
        <v>0001000000</v>
      </c>
      <c r="BP75">
        <f t="shared" si="99"/>
        <v>0</v>
      </c>
      <c r="BQ75">
        <f t="shared" si="100"/>
        <v>0</v>
      </c>
      <c r="BR75" s="23">
        <f t="shared" si="101"/>
        <v>0</v>
      </c>
      <c r="BS75" s="49" t="str">
        <f t="shared" si="102"/>
        <v>000000000000000</v>
      </c>
      <c r="BT75" t="str">
        <f t="shared" si="103"/>
        <v>00000000</v>
      </c>
      <c r="BU75" s="23">
        <f t="shared" si="104"/>
        <v>0</v>
      </c>
      <c r="BV75" s="49" t="str">
        <f t="shared" si="105"/>
        <v/>
      </c>
      <c r="BW75" s="52" t="str">
        <f t="shared" si="106"/>
        <v/>
      </c>
      <c r="BX75" s="23">
        <f t="shared" si="107"/>
        <v>0</v>
      </c>
      <c r="BY75" s="49" t="str">
        <f t="shared" si="108"/>
        <v/>
      </c>
      <c r="BZ75" s="23">
        <f t="shared" si="109"/>
        <v>0</v>
      </c>
      <c r="CA75" s="49" t="str">
        <f t="shared" si="110"/>
        <v/>
      </c>
      <c r="CB75" s="52" t="str">
        <f t="shared" si="111"/>
        <v/>
      </c>
      <c r="CC75" s="23">
        <f t="shared" si="112"/>
        <v>0</v>
      </c>
      <c r="CD75" s="49" t="str">
        <f t="shared" si="113"/>
        <v/>
      </c>
      <c r="CE75" s="56" t="str">
        <f>IF(CF75="","",MAX(CE$10:$CE74)+1)</f>
        <v/>
      </c>
      <c r="CF75" t="str">
        <f t="shared" si="114"/>
        <v/>
      </c>
      <c r="CG75" s="22" t="str">
        <f>IF(CH75="","",MAX($CG$10:CG74)+1)</f>
        <v/>
      </c>
      <c r="CH75" s="22" t="str">
        <f t="shared" si="115"/>
        <v/>
      </c>
      <c r="CI75" s="22" t="str">
        <f>IF(CJ75="","",MAX($CI$10:CI74)+1)</f>
        <v/>
      </c>
      <c r="CJ75" s="22" t="str">
        <f t="shared" si="116"/>
        <v/>
      </c>
    </row>
    <row r="76" spans="2:88" x14ac:dyDescent="0.25">
      <c r="B76" s="37"/>
      <c r="C76" s="3"/>
      <c r="D76" s="77" t="str">
        <f t="shared" ref="D76:D139" si="303">IF(B76="","",IF(ISERROR(VLOOKUP(C76,T_CompVentas,2,FALSE)),"",VLOOKUP(C76,T_CompVentas,2,FALSE)))</f>
        <v/>
      </c>
      <c r="E76" s="38"/>
      <c r="F76" s="38"/>
      <c r="G76" s="78">
        <f t="shared" si="61"/>
        <v>0</v>
      </c>
      <c r="H76" s="3">
        <v>80</v>
      </c>
      <c r="I76" s="77" t="str">
        <f t="shared" ref="I76:I139" si="304">IF(B76="","",IF(H76="","",IF(ISERROR(VLOOKUP(H76,T_Documentos,2,FALSE)),"",VLOOKUP(H76,T_Documentos,2,FALSE))))</f>
        <v/>
      </c>
      <c r="J76" s="32"/>
      <c r="K76" s="3"/>
      <c r="L76" s="39"/>
      <c r="M76" s="39"/>
      <c r="N76" s="39"/>
      <c r="O76" s="39"/>
      <c r="P76" s="39"/>
      <c r="Q76" s="39"/>
      <c r="R76" s="39"/>
      <c r="S76" s="39"/>
      <c r="T76" s="3" t="s">
        <v>645</v>
      </c>
      <c r="U76" s="77" t="str">
        <f t="shared" ref="U76:U139" si="305">IF(B76="","",IF(ISERROR(VLOOKUP(T76,T_Monedas,2,FALSE)),"",VLOOKUP(T76,T_Monedas,2,FALSE)))</f>
        <v/>
      </c>
      <c r="V76" s="39">
        <v>1</v>
      </c>
      <c r="W76" s="79">
        <f t="shared" si="64"/>
        <v>0</v>
      </c>
      <c r="X76" s="3">
        <v>0</v>
      </c>
      <c r="Y76" s="77" t="str">
        <f t="shared" ref="Y76:Y139" si="306">IF(B76="","",IF(ISERROR(VLOOKUP(X76,T_CodOperVentas,2,FALSE)),"",VLOOKUP(X76,T_CodOperVentas,2,FALSE)))</f>
        <v/>
      </c>
      <c r="Z76" s="3"/>
      <c r="AA76" s="37" t="str">
        <f t="shared" si="66"/>
        <v/>
      </c>
      <c r="AC76" s="40"/>
      <c r="AD76" s="7"/>
      <c r="AE76" s="77" t="str">
        <f t="shared" ref="AE76:AE139" si="307">IF(B76="","",IF(AD76="","",IF(ISERROR(VLOOKUP(AD76,T_Alicuotas,2,FALSE)),"",VLOOKUP(AD76,T_Alicuotas,2,FALSE))))</f>
        <v/>
      </c>
      <c r="AF76" s="81">
        <f t="shared" si="68"/>
        <v>0</v>
      </c>
      <c r="AG76" s="40"/>
      <c r="AH76" s="7"/>
      <c r="AI76" s="77" t="str">
        <f t="shared" ref="AI76:AI139" si="308">IF(B76="","",IF(AH76="","",IF(ISERROR(VLOOKUP(AH76,T_Alicuotas,2,FALSE)),"",VLOOKUP(AH76,T_Alicuotas,2,FALSE))))</f>
        <v/>
      </c>
      <c r="AJ76" s="81">
        <f t="shared" si="70"/>
        <v>0</v>
      </c>
      <c r="AK76" s="83">
        <f t="shared" si="71"/>
        <v>0</v>
      </c>
      <c r="AL76" s="83">
        <f t="shared" si="72"/>
        <v>0</v>
      </c>
      <c r="AN76" s="43">
        <f t="shared" ref="AN76:AN139" si="309">+L76-M76-N76-O76-P76-Q76-R76-S76-AC76-AF76-AG76-AJ76</f>
        <v>0</v>
      </c>
      <c r="AP76" t="str">
        <f t="shared" si="74"/>
        <v/>
      </c>
      <c r="AQ76" t="str">
        <f t="shared" si="75"/>
        <v/>
      </c>
      <c r="AR76" t="str">
        <f t="shared" si="76"/>
        <v/>
      </c>
      <c r="AS76" t="str">
        <f t="shared" si="77"/>
        <v/>
      </c>
      <c r="AT76" t="str">
        <f t="shared" si="78"/>
        <v/>
      </c>
      <c r="AU76" t="str">
        <f t="shared" si="79"/>
        <v/>
      </c>
      <c r="AV76" t="str">
        <f t="shared" si="80"/>
        <v/>
      </c>
      <c r="AW76" t="str">
        <f t="shared" si="81"/>
        <v xml:space="preserve">                              </v>
      </c>
      <c r="AX76" s="23">
        <f t="shared" si="82"/>
        <v>0</v>
      </c>
      <c r="AY76" s="49" t="str">
        <f t="shared" si="83"/>
        <v>000000000000000</v>
      </c>
      <c r="AZ76" s="23">
        <f t="shared" si="84"/>
        <v>0</v>
      </c>
      <c r="BA76" s="49" t="str">
        <f t="shared" si="83"/>
        <v>000000000000000</v>
      </c>
      <c r="BB76" s="23">
        <f t="shared" si="85"/>
        <v>0</v>
      </c>
      <c r="BC76" s="49" t="str">
        <f t="shared" ref="BC76" si="310">IF(BB76&lt;0,SUBSTITUTE(TEXT(BB76,"000000000000,00"),",",""),SUBSTITUTE(TEXT(BB76,"0000000000000,00"),",",""))</f>
        <v>000000000000000</v>
      </c>
      <c r="BD76" s="23">
        <f t="shared" si="87"/>
        <v>0</v>
      </c>
      <c r="BE76" s="49" t="str">
        <f t="shared" ref="BE76" si="311">IF(BD76&lt;0,SUBSTITUTE(TEXT(BD76,"000000000000,00"),",",""),SUBSTITUTE(TEXT(BD76,"0000000000000,00"),",",""))</f>
        <v>000000000000000</v>
      </c>
      <c r="BF76" s="23">
        <f t="shared" si="89"/>
        <v>0</v>
      </c>
      <c r="BG76" s="49" t="str">
        <f t="shared" ref="BG76" si="312">IF(BF76&lt;0,SUBSTITUTE(TEXT(BF76,"000000000000,00"),",",""),SUBSTITUTE(TEXT(BF76,"0000000000000,00"),",",""))</f>
        <v>000000000000000</v>
      </c>
      <c r="BH76" s="23">
        <f t="shared" si="91"/>
        <v>0</v>
      </c>
      <c r="BI76" s="49" t="str">
        <f t="shared" ref="BI76" si="313">IF(BH76&lt;0,SUBSTITUTE(TEXT(BH76,"000000000000,00"),",",""),SUBSTITUTE(TEXT(BH76,"0000000000000,00"),",",""))</f>
        <v>000000000000000</v>
      </c>
      <c r="BJ76" s="23">
        <f t="shared" si="93"/>
        <v>0</v>
      </c>
      <c r="BK76" s="49" t="str">
        <f t="shared" ref="BK76" si="314">IF(BJ76&lt;0,SUBSTITUTE(TEXT(BJ76,"000000000000,00"),",",""),SUBSTITUTE(TEXT(BJ76,"0000000000000,00"),",",""))</f>
        <v>000000000000000</v>
      </c>
      <c r="BL76" s="23">
        <f t="shared" si="95"/>
        <v>0</v>
      </c>
      <c r="BM76" s="49" t="str">
        <f t="shared" ref="BM76" si="315">IF(BL76&lt;0,SUBSTITUTE(TEXT(BL76,"000000000000,00"),",",""),SUBSTITUTE(TEXT(BL76,"0000000000000,00"),",",""))</f>
        <v>000000000000000</v>
      </c>
      <c r="BN76" t="str">
        <f t="shared" si="97"/>
        <v>PES</v>
      </c>
      <c r="BO76" t="str">
        <f t="shared" si="98"/>
        <v>0001000000</v>
      </c>
      <c r="BP76">
        <f t="shared" si="99"/>
        <v>0</v>
      </c>
      <c r="BQ76">
        <f t="shared" si="100"/>
        <v>0</v>
      </c>
      <c r="BR76" s="23">
        <f t="shared" si="101"/>
        <v>0</v>
      </c>
      <c r="BS76" s="49" t="str">
        <f t="shared" si="102"/>
        <v>000000000000000</v>
      </c>
      <c r="BT76" t="str">
        <f t="shared" si="103"/>
        <v>00000000</v>
      </c>
      <c r="BU76" s="23">
        <f t="shared" si="104"/>
        <v>0</v>
      </c>
      <c r="BV76" s="49" t="str">
        <f t="shared" si="105"/>
        <v/>
      </c>
      <c r="BW76" s="52" t="str">
        <f t="shared" si="106"/>
        <v/>
      </c>
      <c r="BX76" s="23">
        <f t="shared" si="107"/>
        <v>0</v>
      </c>
      <c r="BY76" s="49" t="str">
        <f t="shared" si="108"/>
        <v/>
      </c>
      <c r="BZ76" s="23">
        <f t="shared" si="109"/>
        <v>0</v>
      </c>
      <c r="CA76" s="49" t="str">
        <f t="shared" si="110"/>
        <v/>
      </c>
      <c r="CB76" s="52" t="str">
        <f t="shared" si="111"/>
        <v/>
      </c>
      <c r="CC76" s="23">
        <f t="shared" si="112"/>
        <v>0</v>
      </c>
      <c r="CD76" s="49" t="str">
        <f t="shared" si="113"/>
        <v/>
      </c>
      <c r="CE76" s="56" t="str">
        <f>IF(CF76="","",MAX(CE$10:$CE75)+1)</f>
        <v/>
      </c>
      <c r="CF76" t="str">
        <f t="shared" si="114"/>
        <v/>
      </c>
      <c r="CG76" s="22" t="str">
        <f>IF(CH76="","",MAX($CG$10:CG75)+1)</f>
        <v/>
      </c>
      <c r="CH76" s="22" t="str">
        <f t="shared" ref="CH76:CH139" si="316">IF(BV76="","",AQ76&amp;AR76&amp;AS76&amp;BV76&amp;BW76&amp;BY76)</f>
        <v/>
      </c>
      <c r="CI76" s="22" t="str">
        <f>IF(CJ76="","",MAX($CI$10:CI75)+1)</f>
        <v/>
      </c>
      <c r="CJ76" s="22" t="str">
        <f t="shared" ref="CJ76:CJ139" si="317">IF(CA76="","",AQ76&amp;AR76&amp;AS76&amp;CA76&amp;CB76&amp;CD76)</f>
        <v/>
      </c>
    </row>
    <row r="77" spans="2:88" x14ac:dyDescent="0.25">
      <c r="B77" s="37"/>
      <c r="C77" s="3"/>
      <c r="D77" s="77" t="str">
        <f t="shared" si="303"/>
        <v/>
      </c>
      <c r="E77" s="38"/>
      <c r="F77" s="38"/>
      <c r="G77" s="78">
        <f t="shared" ref="G77:G140" si="318">+F77</f>
        <v>0</v>
      </c>
      <c r="H77" s="3">
        <v>80</v>
      </c>
      <c r="I77" s="77" t="str">
        <f t="shared" si="304"/>
        <v/>
      </c>
      <c r="J77" s="32"/>
      <c r="K77" s="3"/>
      <c r="L77" s="39"/>
      <c r="M77" s="39"/>
      <c r="N77" s="39"/>
      <c r="O77" s="39"/>
      <c r="P77" s="39"/>
      <c r="Q77" s="39"/>
      <c r="R77" s="39"/>
      <c r="S77" s="39"/>
      <c r="T77" s="3" t="s">
        <v>645</v>
      </c>
      <c r="U77" s="77" t="str">
        <f t="shared" si="305"/>
        <v/>
      </c>
      <c r="V77" s="39">
        <v>1</v>
      </c>
      <c r="W77" s="79">
        <f t="shared" ref="W77:W140" si="319">IF(AD77="",0,1)+IF(OR(AH77=""),0,1)</f>
        <v>0</v>
      </c>
      <c r="X77" s="3">
        <v>0</v>
      </c>
      <c r="Y77" s="77" t="str">
        <f t="shared" si="306"/>
        <v/>
      </c>
      <c r="Z77" s="3"/>
      <c r="AA77" s="37" t="str">
        <f t="shared" ref="AA77:AA140" si="320">IF(OR(B77="",C77=82),"",B77)</f>
        <v/>
      </c>
      <c r="AC77" s="40"/>
      <c r="AD77" s="7"/>
      <c r="AE77" s="77" t="str">
        <f t="shared" si="307"/>
        <v/>
      </c>
      <c r="AF77" s="81">
        <f t="shared" si="68"/>
        <v>0</v>
      </c>
      <c r="AG77" s="40"/>
      <c r="AH77" s="7"/>
      <c r="AI77" s="77" t="str">
        <f t="shared" si="308"/>
        <v/>
      </c>
      <c r="AJ77" s="81">
        <f t="shared" si="70"/>
        <v>0</v>
      </c>
      <c r="AK77" s="83">
        <f t="shared" si="71"/>
        <v>0</v>
      </c>
      <c r="AL77" s="83">
        <f t="shared" si="72"/>
        <v>0</v>
      </c>
      <c r="AN77" s="43">
        <f t="shared" si="309"/>
        <v>0</v>
      </c>
      <c r="AP77" t="str">
        <f t="shared" si="74"/>
        <v/>
      </c>
      <c r="AQ77" t="str">
        <f t="shared" si="75"/>
        <v/>
      </c>
      <c r="AR77" t="str">
        <f t="shared" si="76"/>
        <v/>
      </c>
      <c r="AS77" t="str">
        <f t="shared" si="77"/>
        <v/>
      </c>
      <c r="AT77" t="str">
        <f t="shared" si="78"/>
        <v/>
      </c>
      <c r="AU77" t="str">
        <f t="shared" si="79"/>
        <v/>
      </c>
      <c r="AV77" t="str">
        <f t="shared" si="80"/>
        <v/>
      </c>
      <c r="AW77" t="str">
        <f t="shared" si="81"/>
        <v xml:space="preserve">                              </v>
      </c>
      <c r="AX77" s="23">
        <f t="shared" si="82"/>
        <v>0</v>
      </c>
      <c r="AY77" s="49" t="str">
        <f t="shared" ref="AY77:BA140" si="321">IF(AX77&lt;0,SUBSTITUTE(TEXT(AX77,"000000000000,00"),",",""),SUBSTITUTE(TEXT(AX77,"0000000000000,00"),",",""))</f>
        <v>000000000000000</v>
      </c>
      <c r="AZ77" s="23">
        <f t="shared" si="84"/>
        <v>0</v>
      </c>
      <c r="BA77" s="49" t="str">
        <f t="shared" si="321"/>
        <v>000000000000000</v>
      </c>
      <c r="BB77" s="23">
        <f t="shared" si="85"/>
        <v>0</v>
      </c>
      <c r="BC77" s="49" t="str">
        <f t="shared" ref="BC77" si="322">IF(BB77&lt;0,SUBSTITUTE(TEXT(BB77,"000000000000,00"),",",""),SUBSTITUTE(TEXT(BB77,"0000000000000,00"),",",""))</f>
        <v>000000000000000</v>
      </c>
      <c r="BD77" s="23">
        <f t="shared" si="87"/>
        <v>0</v>
      </c>
      <c r="BE77" s="49" t="str">
        <f t="shared" ref="BE77" si="323">IF(BD77&lt;0,SUBSTITUTE(TEXT(BD77,"000000000000,00"),",",""),SUBSTITUTE(TEXT(BD77,"0000000000000,00"),",",""))</f>
        <v>000000000000000</v>
      </c>
      <c r="BF77" s="23">
        <f t="shared" si="89"/>
        <v>0</v>
      </c>
      <c r="BG77" s="49" t="str">
        <f t="shared" ref="BG77" si="324">IF(BF77&lt;0,SUBSTITUTE(TEXT(BF77,"000000000000,00"),",",""),SUBSTITUTE(TEXT(BF77,"0000000000000,00"),",",""))</f>
        <v>000000000000000</v>
      </c>
      <c r="BH77" s="23">
        <f t="shared" si="91"/>
        <v>0</v>
      </c>
      <c r="BI77" s="49" t="str">
        <f t="shared" ref="BI77" si="325">IF(BH77&lt;0,SUBSTITUTE(TEXT(BH77,"000000000000,00"),",",""),SUBSTITUTE(TEXT(BH77,"0000000000000,00"),",",""))</f>
        <v>000000000000000</v>
      </c>
      <c r="BJ77" s="23">
        <f t="shared" si="93"/>
        <v>0</v>
      </c>
      <c r="BK77" s="49" t="str">
        <f t="shared" ref="BK77" si="326">IF(BJ77&lt;0,SUBSTITUTE(TEXT(BJ77,"000000000000,00"),",",""),SUBSTITUTE(TEXT(BJ77,"0000000000000,00"),",",""))</f>
        <v>000000000000000</v>
      </c>
      <c r="BL77" s="23">
        <f t="shared" si="95"/>
        <v>0</v>
      </c>
      <c r="BM77" s="49" t="str">
        <f t="shared" ref="BM77" si="327">IF(BL77&lt;0,SUBSTITUTE(TEXT(BL77,"000000000000,00"),",",""),SUBSTITUTE(TEXT(BL77,"0000000000000,00"),",",""))</f>
        <v>000000000000000</v>
      </c>
      <c r="BN77" t="str">
        <f t="shared" si="97"/>
        <v>PES</v>
      </c>
      <c r="BO77" t="str">
        <f t="shared" si="98"/>
        <v>0001000000</v>
      </c>
      <c r="BP77">
        <f t="shared" si="99"/>
        <v>0</v>
      </c>
      <c r="BQ77">
        <f t="shared" si="100"/>
        <v>0</v>
      </c>
      <c r="BR77" s="23">
        <f t="shared" si="101"/>
        <v>0</v>
      </c>
      <c r="BS77" s="49" t="str">
        <f t="shared" ref="BS77:BS140" si="328">IF(BR77&lt;0,SUBSTITUTE(TEXT(BR77,"000000000000,00"),",",""),SUBSTITUTE(TEXT(BR77,"0000000000000,00"),",",""))</f>
        <v>000000000000000</v>
      </c>
      <c r="BT77" t="str">
        <f t="shared" si="103"/>
        <v>00000000</v>
      </c>
      <c r="BU77" s="23">
        <f t="shared" si="104"/>
        <v>0</v>
      </c>
      <c r="BV77" s="49" t="str">
        <f t="shared" ref="BV77:BV140" si="329">IF(BW77="","",IF(BU77&lt;0,SUBSTITUTE(TEXT(BU77,"000000000000,00"),",",""),SUBSTITUTE(TEXT(BU77,"0000000000000,00"),",","")))</f>
        <v/>
      </c>
      <c r="BW77" s="52" t="str">
        <f t="shared" si="106"/>
        <v/>
      </c>
      <c r="BX77" s="23">
        <f t="shared" si="107"/>
        <v>0</v>
      </c>
      <c r="BY77" s="49" t="str">
        <f t="shared" ref="BY77:BY140" si="330">IF(BW77="","",IF(BX77&lt;0,SUBSTITUTE(TEXT(BX77,"000000000000,00"),",",""),SUBSTITUTE(TEXT(BX77,"0000000000000,00"),",","")))</f>
        <v/>
      </c>
      <c r="BZ77" s="23">
        <f t="shared" si="109"/>
        <v>0</v>
      </c>
      <c r="CA77" s="49" t="str">
        <f t="shared" ref="CA77:CA140" si="331">IF(CB77="","",IF(BZ77&lt;0,SUBSTITUTE(TEXT(BZ77,"000000000000,00"),",",""),SUBSTITUTE(TEXT(BZ77,"0000000000000,00"),",","")))</f>
        <v/>
      </c>
      <c r="CB77" s="52" t="str">
        <f t="shared" si="111"/>
        <v/>
      </c>
      <c r="CC77" s="23">
        <f t="shared" si="112"/>
        <v>0</v>
      </c>
      <c r="CD77" s="49" t="str">
        <f t="shared" ref="CD77:CD140" si="332">IF(CB77="","",IF(CC77&lt;0,SUBSTITUTE(TEXT(CC77,"000000000000,00"),",",""),SUBSTITUTE(TEXT(CC77,"0000000000000,00"),",","")))</f>
        <v/>
      </c>
      <c r="CE77" s="56" t="str">
        <f>IF(CF77="","",MAX(CE$10:$CE76)+1)</f>
        <v/>
      </c>
      <c r="CF77" t="str">
        <f t="shared" si="114"/>
        <v/>
      </c>
      <c r="CG77" s="22" t="str">
        <f>IF(CH77="","",MAX($CG$10:CG76)+1)</f>
        <v/>
      </c>
      <c r="CH77" s="22" t="str">
        <f t="shared" si="316"/>
        <v/>
      </c>
      <c r="CI77" s="22" t="str">
        <f>IF(CJ77="","",MAX($CI$10:CI76)+1)</f>
        <v/>
      </c>
      <c r="CJ77" s="22" t="str">
        <f t="shared" si="317"/>
        <v/>
      </c>
    </row>
    <row r="78" spans="2:88" x14ac:dyDescent="0.25">
      <c r="B78" s="37"/>
      <c r="C78" s="3"/>
      <c r="D78" s="77" t="str">
        <f t="shared" si="303"/>
        <v/>
      </c>
      <c r="E78" s="38"/>
      <c r="F78" s="38"/>
      <c r="G78" s="78">
        <f t="shared" si="318"/>
        <v>0</v>
      </c>
      <c r="H78" s="3">
        <v>80</v>
      </c>
      <c r="I78" s="77" t="str">
        <f t="shared" si="304"/>
        <v/>
      </c>
      <c r="J78" s="32"/>
      <c r="K78" s="3"/>
      <c r="L78" s="39"/>
      <c r="M78" s="39"/>
      <c r="N78" s="39"/>
      <c r="O78" s="39"/>
      <c r="P78" s="39"/>
      <c r="Q78" s="39"/>
      <c r="R78" s="39"/>
      <c r="S78" s="39"/>
      <c r="T78" s="3" t="s">
        <v>645</v>
      </c>
      <c r="U78" s="77" t="str">
        <f t="shared" si="305"/>
        <v/>
      </c>
      <c r="V78" s="39">
        <v>1</v>
      </c>
      <c r="W78" s="79">
        <f t="shared" si="319"/>
        <v>0</v>
      </c>
      <c r="X78" s="3">
        <v>0</v>
      </c>
      <c r="Y78" s="77" t="str">
        <f t="shared" si="306"/>
        <v/>
      </c>
      <c r="Z78" s="3"/>
      <c r="AA78" s="37" t="str">
        <f t="shared" si="320"/>
        <v/>
      </c>
      <c r="AC78" s="40"/>
      <c r="AD78" s="7"/>
      <c r="AE78" s="77" t="str">
        <f t="shared" si="307"/>
        <v/>
      </c>
      <c r="AF78" s="81">
        <f t="shared" ref="AF78:AF141" si="333">ROUND(AC78*AD78/100,2)</f>
        <v>0</v>
      </c>
      <c r="AG78" s="40"/>
      <c r="AH78" s="7"/>
      <c r="AI78" s="77" t="str">
        <f t="shared" si="308"/>
        <v/>
      </c>
      <c r="AJ78" s="81">
        <f t="shared" ref="AJ78:AJ141" si="334">ROUND(AG78*AH78/100,2)</f>
        <v>0</v>
      </c>
      <c r="AK78" s="83">
        <f t="shared" ref="AK78:AK141" si="335">+AC78+AG78</f>
        <v>0</v>
      </c>
      <c r="AL78" s="83">
        <f t="shared" ref="AL78:AL141" si="336">+AF78+AJ78</f>
        <v>0</v>
      </c>
      <c r="AN78" s="43">
        <f t="shared" si="309"/>
        <v>0</v>
      </c>
      <c r="AP78" t="str">
        <f t="shared" ref="AP78:AP141" si="337">IF(B78="","",TEXT(B78,$AP$8))</f>
        <v/>
      </c>
      <c r="AQ78" t="str">
        <f t="shared" ref="AQ78:AQ141" si="338">IF(B78="","",IF(C78="","",TEXT(C78,"000")))</f>
        <v/>
      </c>
      <c r="AR78" t="str">
        <f t="shared" ref="AR78:AR141" si="339">IF(B78="","",IF(E78="","00000",TEXT(RIGHT(E78,5),"00000")))</f>
        <v/>
      </c>
      <c r="AS78" t="str">
        <f t="shared" ref="AS78:AS141" si="340">IF(B78="","",IF(F78="","00000000000000000000",TEXT(RIGHT(F78,20),"00000000000000000000")))</f>
        <v/>
      </c>
      <c r="AT78" t="str">
        <f t="shared" ref="AT78:AT141" si="341">IF(B78="","",IF(G78="","00000000000000000000",TEXT(RIGHT(G78,20),"00000000000000000000")))</f>
        <v/>
      </c>
      <c r="AU78" t="str">
        <f t="shared" ref="AU78:AU141" si="342">IF(B78="","",IF(C78="","",TEXT(RIGHT(H78,4),"00")))</f>
        <v/>
      </c>
      <c r="AV78" t="str">
        <f t="shared" ref="AV78:AV141" si="343">IF(B78="","",TEXT(SUBSTITUTE(J78,"-",""),"00000000000000000000"))</f>
        <v/>
      </c>
      <c r="AW78" t="str">
        <f t="shared" ref="AW78:AW141" si="344">IF(LEN(K78)&gt;30,LEFT(K78,30),K78&amp;REPT(" ",30-LEN(K78)))</f>
        <v xml:space="preserve">                              </v>
      </c>
      <c r="AX78" s="23">
        <f t="shared" ref="AX78:AX141" si="345">IF(TRIM(L78)="",0,TRUNC(L78,2))</f>
        <v>0</v>
      </c>
      <c r="AY78" s="49" t="str">
        <f t="shared" si="321"/>
        <v>000000000000000</v>
      </c>
      <c r="AZ78" s="23">
        <f t="shared" ref="AZ78:AZ141" si="346">IF(TRIM(M78)="",0,TRUNC(M78,2))</f>
        <v>0</v>
      </c>
      <c r="BA78" s="49" t="str">
        <f t="shared" si="321"/>
        <v>000000000000000</v>
      </c>
      <c r="BB78" s="23">
        <f t="shared" ref="BB78:BB141" si="347">IF(TRIM(N78)="",0,TRUNC(N78,2))</f>
        <v>0</v>
      </c>
      <c r="BC78" s="49" t="str">
        <f t="shared" ref="BC78" si="348">IF(BB78&lt;0,SUBSTITUTE(TEXT(BB78,"000000000000,00"),",",""),SUBSTITUTE(TEXT(BB78,"0000000000000,00"),",",""))</f>
        <v>000000000000000</v>
      </c>
      <c r="BD78" s="23">
        <f t="shared" ref="BD78:BD141" si="349">IF(TRIM(O78)="",0,TRUNC(O78,2))</f>
        <v>0</v>
      </c>
      <c r="BE78" s="49" t="str">
        <f t="shared" ref="BE78" si="350">IF(BD78&lt;0,SUBSTITUTE(TEXT(BD78,"000000000000,00"),",",""),SUBSTITUTE(TEXT(BD78,"0000000000000,00"),",",""))</f>
        <v>000000000000000</v>
      </c>
      <c r="BF78" s="23">
        <f t="shared" ref="BF78:BF141" si="351">IF(TRIM(P78)="",0,TRUNC(P78,2))</f>
        <v>0</v>
      </c>
      <c r="BG78" s="49" t="str">
        <f t="shared" ref="BG78" si="352">IF(BF78&lt;0,SUBSTITUTE(TEXT(BF78,"000000000000,00"),",",""),SUBSTITUTE(TEXT(BF78,"0000000000000,00"),",",""))</f>
        <v>000000000000000</v>
      </c>
      <c r="BH78" s="23">
        <f t="shared" ref="BH78:BH141" si="353">IF(TRIM(Q78)="",0,TRUNC(Q78,2))</f>
        <v>0</v>
      </c>
      <c r="BI78" s="49" t="str">
        <f t="shared" ref="BI78" si="354">IF(BH78&lt;0,SUBSTITUTE(TEXT(BH78,"000000000000,00"),",",""),SUBSTITUTE(TEXT(BH78,"0000000000000,00"),",",""))</f>
        <v>000000000000000</v>
      </c>
      <c r="BJ78" s="23">
        <f t="shared" ref="BJ78:BJ141" si="355">IF(TRIM(R78)="",0,TRUNC(R78,2))</f>
        <v>0</v>
      </c>
      <c r="BK78" s="49" t="str">
        <f t="shared" ref="BK78" si="356">IF(BJ78&lt;0,SUBSTITUTE(TEXT(BJ78,"000000000000,00"),",",""),SUBSTITUTE(TEXT(BJ78,"0000000000000,00"),",",""))</f>
        <v>000000000000000</v>
      </c>
      <c r="BL78" s="23">
        <f t="shared" ref="BL78:BL141" si="357">IF(TRIM(S78)="",0,TRUNC(S78,2))</f>
        <v>0</v>
      </c>
      <c r="BM78" s="49" t="str">
        <f t="shared" ref="BM78" si="358">IF(BL78&lt;0,SUBSTITUTE(TEXT(BL78,"000000000000,00"),",",""),SUBSTITUTE(TEXT(BL78,"0000000000000,00"),",",""))</f>
        <v>000000000000000</v>
      </c>
      <c r="BN78" t="str">
        <f t="shared" ref="BN78:BN141" si="359">TEXT(T78,"000")</f>
        <v>PES</v>
      </c>
      <c r="BO78" t="str">
        <f t="shared" ref="BO78:BO141" si="360">IF(V78&lt;0,SUBSTITUTE(TEXT(V78,"000,000000"),",",""),SUBSTITUTE(TEXT(V78,"0000,000000"),",",""))</f>
        <v>0001000000</v>
      </c>
      <c r="BP78">
        <f t="shared" ref="BP78:BP141" si="361">W78</f>
        <v>0</v>
      </c>
      <c r="BQ78">
        <f t="shared" ref="BQ78:BQ141" si="362">X78</f>
        <v>0</v>
      </c>
      <c r="BR78" s="23">
        <f t="shared" ref="BR78:BR141" si="363">IF(TRIM(Z78)="",0,TRUNC(Z78,2))</f>
        <v>0</v>
      </c>
      <c r="BS78" s="49" t="str">
        <f t="shared" si="328"/>
        <v>000000000000000</v>
      </c>
      <c r="BT78" t="str">
        <f t="shared" ref="BT78:BT141" si="364">IF(AA78="","00000000",TEXT(AA78,$AP$8))</f>
        <v>00000000</v>
      </c>
      <c r="BU78" s="23">
        <f t="shared" ref="BU78:BU141" si="365">IF(TRIM(AC78)="",0,TRUNC(AC78,2))</f>
        <v>0</v>
      </c>
      <c r="BV78" s="49" t="str">
        <f t="shared" si="329"/>
        <v/>
      </c>
      <c r="BW78" s="52" t="str">
        <f t="shared" ref="BW78:BW141" si="366">IF(AE78="","",TEXT(AE78,"0000"))</f>
        <v/>
      </c>
      <c r="BX78" s="23">
        <f t="shared" ref="BX78:BX141" si="367">IF(TRIM(AF78)="",0,TRUNC(AF78,2))</f>
        <v>0</v>
      </c>
      <c r="BY78" s="49" t="str">
        <f t="shared" si="330"/>
        <v/>
      </c>
      <c r="BZ78" s="23">
        <f t="shared" ref="BZ78:BZ141" si="368">IF(TRIM(AG78)="",0,TRUNC(AG78,2))</f>
        <v>0</v>
      </c>
      <c r="CA78" s="49" t="str">
        <f t="shared" si="331"/>
        <v/>
      </c>
      <c r="CB78" s="52" t="str">
        <f t="shared" ref="CB78:CB141" si="369">IF(AI78="","",TEXT(AI78,"0000"))</f>
        <v/>
      </c>
      <c r="CC78" s="23">
        <f t="shared" ref="CC78:CC141" si="370">IF(TRIM(AJ78)="",0,TRUNC(AJ78,2))</f>
        <v>0</v>
      </c>
      <c r="CD78" s="49" t="str">
        <f t="shared" si="332"/>
        <v/>
      </c>
      <c r="CE78" s="56" t="str">
        <f>IF(CF78="","",MAX(CE$10:$CE77)+1)</f>
        <v/>
      </c>
      <c r="CF78" t="str">
        <f t="shared" ref="CF78:CF141" si="371">IF(B78="","",AP78&amp;AQ78&amp;AR78&amp;AS78&amp;AT78&amp;AU78&amp;AV78&amp;AW78&amp;AY78&amp;BA78&amp;BC78&amp;BE78&amp;BG78&amp;BI78&amp;BK78&amp;BM78&amp;BN78&amp;BO78&amp;BP78&amp;BQ78&amp;BS78&amp;BT78)</f>
        <v/>
      </c>
      <c r="CG78" s="22" t="str">
        <f>IF(CH78="","",MAX($CG$10:CG77)+1)</f>
        <v/>
      </c>
      <c r="CH78" s="22" t="str">
        <f t="shared" si="316"/>
        <v/>
      </c>
      <c r="CI78" s="22" t="str">
        <f>IF(CJ78="","",MAX($CI$10:CI77)+1)</f>
        <v/>
      </c>
      <c r="CJ78" s="22" t="str">
        <f t="shared" si="317"/>
        <v/>
      </c>
    </row>
    <row r="79" spans="2:88" x14ac:dyDescent="0.25">
      <c r="B79" s="37"/>
      <c r="C79" s="3"/>
      <c r="D79" s="77" t="str">
        <f t="shared" si="303"/>
        <v/>
      </c>
      <c r="E79" s="38"/>
      <c r="F79" s="38"/>
      <c r="G79" s="78">
        <f t="shared" si="318"/>
        <v>0</v>
      </c>
      <c r="H79" s="3">
        <v>80</v>
      </c>
      <c r="I79" s="77" t="str">
        <f t="shared" si="304"/>
        <v/>
      </c>
      <c r="J79" s="32"/>
      <c r="K79" s="3"/>
      <c r="L79" s="39"/>
      <c r="M79" s="39"/>
      <c r="N79" s="39"/>
      <c r="O79" s="39"/>
      <c r="P79" s="39"/>
      <c r="Q79" s="39"/>
      <c r="R79" s="39"/>
      <c r="S79" s="39"/>
      <c r="T79" s="3" t="s">
        <v>645</v>
      </c>
      <c r="U79" s="77" t="str">
        <f t="shared" si="305"/>
        <v/>
      </c>
      <c r="V79" s="39">
        <v>1</v>
      </c>
      <c r="W79" s="79">
        <f t="shared" si="319"/>
        <v>0</v>
      </c>
      <c r="X79" s="3">
        <v>0</v>
      </c>
      <c r="Y79" s="77" t="str">
        <f t="shared" si="306"/>
        <v/>
      </c>
      <c r="Z79" s="3"/>
      <c r="AA79" s="37" t="str">
        <f t="shared" si="320"/>
        <v/>
      </c>
      <c r="AC79" s="40"/>
      <c r="AD79" s="7"/>
      <c r="AE79" s="77" t="str">
        <f t="shared" si="307"/>
        <v/>
      </c>
      <c r="AF79" s="81">
        <f t="shared" si="333"/>
        <v>0</v>
      </c>
      <c r="AG79" s="40"/>
      <c r="AH79" s="7"/>
      <c r="AI79" s="77" t="str">
        <f t="shared" si="308"/>
        <v/>
      </c>
      <c r="AJ79" s="81">
        <f t="shared" si="334"/>
        <v>0</v>
      </c>
      <c r="AK79" s="83">
        <f t="shared" si="335"/>
        <v>0</v>
      </c>
      <c r="AL79" s="83">
        <f t="shared" si="336"/>
        <v>0</v>
      </c>
      <c r="AN79" s="43">
        <f t="shared" si="309"/>
        <v>0</v>
      </c>
      <c r="AP79" t="str">
        <f t="shared" si="337"/>
        <v/>
      </c>
      <c r="AQ79" t="str">
        <f t="shared" si="338"/>
        <v/>
      </c>
      <c r="AR79" t="str">
        <f t="shared" si="339"/>
        <v/>
      </c>
      <c r="AS79" t="str">
        <f t="shared" si="340"/>
        <v/>
      </c>
      <c r="AT79" t="str">
        <f t="shared" si="341"/>
        <v/>
      </c>
      <c r="AU79" t="str">
        <f t="shared" si="342"/>
        <v/>
      </c>
      <c r="AV79" t="str">
        <f t="shared" si="343"/>
        <v/>
      </c>
      <c r="AW79" t="str">
        <f t="shared" si="344"/>
        <v xml:space="preserve">                              </v>
      </c>
      <c r="AX79" s="23">
        <f t="shared" si="345"/>
        <v>0</v>
      </c>
      <c r="AY79" s="49" t="str">
        <f t="shared" si="321"/>
        <v>000000000000000</v>
      </c>
      <c r="AZ79" s="23">
        <f t="shared" si="346"/>
        <v>0</v>
      </c>
      <c r="BA79" s="49" t="str">
        <f t="shared" si="321"/>
        <v>000000000000000</v>
      </c>
      <c r="BB79" s="23">
        <f t="shared" si="347"/>
        <v>0</v>
      </c>
      <c r="BC79" s="49" t="str">
        <f t="shared" ref="BC79" si="372">IF(BB79&lt;0,SUBSTITUTE(TEXT(BB79,"000000000000,00"),",",""),SUBSTITUTE(TEXT(BB79,"0000000000000,00"),",",""))</f>
        <v>000000000000000</v>
      </c>
      <c r="BD79" s="23">
        <f t="shared" si="349"/>
        <v>0</v>
      </c>
      <c r="BE79" s="49" t="str">
        <f t="shared" ref="BE79" si="373">IF(BD79&lt;0,SUBSTITUTE(TEXT(BD79,"000000000000,00"),",",""),SUBSTITUTE(TEXT(BD79,"0000000000000,00"),",",""))</f>
        <v>000000000000000</v>
      </c>
      <c r="BF79" s="23">
        <f t="shared" si="351"/>
        <v>0</v>
      </c>
      <c r="BG79" s="49" t="str">
        <f t="shared" ref="BG79" si="374">IF(BF79&lt;0,SUBSTITUTE(TEXT(BF79,"000000000000,00"),",",""),SUBSTITUTE(TEXT(BF79,"0000000000000,00"),",",""))</f>
        <v>000000000000000</v>
      </c>
      <c r="BH79" s="23">
        <f t="shared" si="353"/>
        <v>0</v>
      </c>
      <c r="BI79" s="49" t="str">
        <f t="shared" ref="BI79" si="375">IF(BH79&lt;0,SUBSTITUTE(TEXT(BH79,"000000000000,00"),",",""),SUBSTITUTE(TEXT(BH79,"0000000000000,00"),",",""))</f>
        <v>000000000000000</v>
      </c>
      <c r="BJ79" s="23">
        <f t="shared" si="355"/>
        <v>0</v>
      </c>
      <c r="BK79" s="49" t="str">
        <f t="shared" ref="BK79" si="376">IF(BJ79&lt;0,SUBSTITUTE(TEXT(BJ79,"000000000000,00"),",",""),SUBSTITUTE(TEXT(BJ79,"0000000000000,00"),",",""))</f>
        <v>000000000000000</v>
      </c>
      <c r="BL79" s="23">
        <f t="shared" si="357"/>
        <v>0</v>
      </c>
      <c r="BM79" s="49" t="str">
        <f t="shared" ref="BM79" si="377">IF(BL79&lt;0,SUBSTITUTE(TEXT(BL79,"000000000000,00"),",",""),SUBSTITUTE(TEXT(BL79,"0000000000000,00"),",",""))</f>
        <v>000000000000000</v>
      </c>
      <c r="BN79" t="str">
        <f t="shared" si="359"/>
        <v>PES</v>
      </c>
      <c r="BO79" t="str">
        <f t="shared" si="360"/>
        <v>0001000000</v>
      </c>
      <c r="BP79">
        <f t="shared" si="361"/>
        <v>0</v>
      </c>
      <c r="BQ79">
        <f t="shared" si="362"/>
        <v>0</v>
      </c>
      <c r="BR79" s="23">
        <f t="shared" si="363"/>
        <v>0</v>
      </c>
      <c r="BS79" s="49" t="str">
        <f t="shared" si="328"/>
        <v>000000000000000</v>
      </c>
      <c r="BT79" t="str">
        <f t="shared" si="364"/>
        <v>00000000</v>
      </c>
      <c r="BU79" s="23">
        <f t="shared" si="365"/>
        <v>0</v>
      </c>
      <c r="BV79" s="49" t="str">
        <f t="shared" si="329"/>
        <v/>
      </c>
      <c r="BW79" s="52" t="str">
        <f t="shared" si="366"/>
        <v/>
      </c>
      <c r="BX79" s="23">
        <f t="shared" si="367"/>
        <v>0</v>
      </c>
      <c r="BY79" s="49" t="str">
        <f t="shared" si="330"/>
        <v/>
      </c>
      <c r="BZ79" s="23">
        <f t="shared" si="368"/>
        <v>0</v>
      </c>
      <c r="CA79" s="49" t="str">
        <f t="shared" si="331"/>
        <v/>
      </c>
      <c r="CB79" s="52" t="str">
        <f t="shared" si="369"/>
        <v/>
      </c>
      <c r="CC79" s="23">
        <f t="shared" si="370"/>
        <v>0</v>
      </c>
      <c r="CD79" s="49" t="str">
        <f t="shared" si="332"/>
        <v/>
      </c>
      <c r="CE79" s="56" t="str">
        <f>IF(CF79="","",MAX(CE$10:$CE78)+1)</f>
        <v/>
      </c>
      <c r="CF79" t="str">
        <f t="shared" si="371"/>
        <v/>
      </c>
      <c r="CG79" s="22" t="str">
        <f>IF(CH79="","",MAX($CG$10:CG78)+1)</f>
        <v/>
      </c>
      <c r="CH79" s="22" t="str">
        <f t="shared" si="316"/>
        <v/>
      </c>
      <c r="CI79" s="22" t="str">
        <f>IF(CJ79="","",MAX($CI$10:CI78)+1)</f>
        <v/>
      </c>
      <c r="CJ79" s="22" t="str">
        <f t="shared" si="317"/>
        <v/>
      </c>
    </row>
    <row r="80" spans="2:88" x14ac:dyDescent="0.25">
      <c r="B80" s="37"/>
      <c r="C80" s="3"/>
      <c r="D80" s="77" t="str">
        <f t="shared" si="303"/>
        <v/>
      </c>
      <c r="E80" s="38"/>
      <c r="F80" s="38"/>
      <c r="G80" s="78">
        <f t="shared" si="318"/>
        <v>0</v>
      </c>
      <c r="H80" s="3">
        <v>80</v>
      </c>
      <c r="I80" s="77" t="str">
        <f t="shared" si="304"/>
        <v/>
      </c>
      <c r="J80" s="32"/>
      <c r="K80" s="3"/>
      <c r="L80" s="39"/>
      <c r="M80" s="39"/>
      <c r="N80" s="39"/>
      <c r="O80" s="39"/>
      <c r="P80" s="39"/>
      <c r="Q80" s="39"/>
      <c r="R80" s="39"/>
      <c r="S80" s="39"/>
      <c r="T80" s="3" t="s">
        <v>645</v>
      </c>
      <c r="U80" s="77" t="str">
        <f t="shared" si="305"/>
        <v/>
      </c>
      <c r="V80" s="39">
        <v>1</v>
      </c>
      <c r="W80" s="79">
        <f t="shared" si="319"/>
        <v>0</v>
      </c>
      <c r="X80" s="3">
        <v>0</v>
      </c>
      <c r="Y80" s="77" t="str">
        <f t="shared" si="306"/>
        <v/>
      </c>
      <c r="Z80" s="3"/>
      <c r="AA80" s="37" t="str">
        <f t="shared" si="320"/>
        <v/>
      </c>
      <c r="AC80" s="40"/>
      <c r="AD80" s="7"/>
      <c r="AE80" s="77" t="str">
        <f t="shared" si="307"/>
        <v/>
      </c>
      <c r="AF80" s="81">
        <f t="shared" si="333"/>
        <v>0</v>
      </c>
      <c r="AG80" s="40"/>
      <c r="AH80" s="7"/>
      <c r="AI80" s="77" t="str">
        <f t="shared" si="308"/>
        <v/>
      </c>
      <c r="AJ80" s="81">
        <f t="shared" si="334"/>
        <v>0</v>
      </c>
      <c r="AK80" s="83">
        <f t="shared" si="335"/>
        <v>0</v>
      </c>
      <c r="AL80" s="83">
        <f t="shared" si="336"/>
        <v>0</v>
      </c>
      <c r="AN80" s="43">
        <f t="shared" si="309"/>
        <v>0</v>
      </c>
      <c r="AP80" t="str">
        <f t="shared" si="337"/>
        <v/>
      </c>
      <c r="AQ80" t="str">
        <f t="shared" si="338"/>
        <v/>
      </c>
      <c r="AR80" t="str">
        <f t="shared" si="339"/>
        <v/>
      </c>
      <c r="AS80" t="str">
        <f t="shared" si="340"/>
        <v/>
      </c>
      <c r="AT80" t="str">
        <f t="shared" si="341"/>
        <v/>
      </c>
      <c r="AU80" t="str">
        <f t="shared" si="342"/>
        <v/>
      </c>
      <c r="AV80" t="str">
        <f t="shared" si="343"/>
        <v/>
      </c>
      <c r="AW80" t="str">
        <f t="shared" si="344"/>
        <v xml:space="preserve">                              </v>
      </c>
      <c r="AX80" s="23">
        <f t="shared" si="345"/>
        <v>0</v>
      </c>
      <c r="AY80" s="49" t="str">
        <f t="shared" si="321"/>
        <v>000000000000000</v>
      </c>
      <c r="AZ80" s="23">
        <f t="shared" si="346"/>
        <v>0</v>
      </c>
      <c r="BA80" s="49" t="str">
        <f t="shared" si="321"/>
        <v>000000000000000</v>
      </c>
      <c r="BB80" s="23">
        <f t="shared" si="347"/>
        <v>0</v>
      </c>
      <c r="BC80" s="49" t="str">
        <f t="shared" ref="BC80" si="378">IF(BB80&lt;0,SUBSTITUTE(TEXT(BB80,"000000000000,00"),",",""),SUBSTITUTE(TEXT(BB80,"0000000000000,00"),",",""))</f>
        <v>000000000000000</v>
      </c>
      <c r="BD80" s="23">
        <f t="shared" si="349"/>
        <v>0</v>
      </c>
      <c r="BE80" s="49" t="str">
        <f t="shared" ref="BE80" si="379">IF(BD80&lt;0,SUBSTITUTE(TEXT(BD80,"000000000000,00"),",",""),SUBSTITUTE(TEXT(BD80,"0000000000000,00"),",",""))</f>
        <v>000000000000000</v>
      </c>
      <c r="BF80" s="23">
        <f t="shared" si="351"/>
        <v>0</v>
      </c>
      <c r="BG80" s="49" t="str">
        <f t="shared" ref="BG80" si="380">IF(BF80&lt;0,SUBSTITUTE(TEXT(BF80,"000000000000,00"),",",""),SUBSTITUTE(TEXT(BF80,"0000000000000,00"),",",""))</f>
        <v>000000000000000</v>
      </c>
      <c r="BH80" s="23">
        <f t="shared" si="353"/>
        <v>0</v>
      </c>
      <c r="BI80" s="49" t="str">
        <f t="shared" ref="BI80" si="381">IF(BH80&lt;0,SUBSTITUTE(TEXT(BH80,"000000000000,00"),",",""),SUBSTITUTE(TEXT(BH80,"0000000000000,00"),",",""))</f>
        <v>000000000000000</v>
      </c>
      <c r="BJ80" s="23">
        <f t="shared" si="355"/>
        <v>0</v>
      </c>
      <c r="BK80" s="49" t="str">
        <f t="shared" ref="BK80" si="382">IF(BJ80&lt;0,SUBSTITUTE(TEXT(BJ80,"000000000000,00"),",",""),SUBSTITUTE(TEXT(BJ80,"0000000000000,00"),",",""))</f>
        <v>000000000000000</v>
      </c>
      <c r="BL80" s="23">
        <f t="shared" si="357"/>
        <v>0</v>
      </c>
      <c r="BM80" s="49" t="str">
        <f t="shared" ref="BM80" si="383">IF(BL80&lt;0,SUBSTITUTE(TEXT(BL80,"000000000000,00"),",",""),SUBSTITUTE(TEXT(BL80,"0000000000000,00"),",",""))</f>
        <v>000000000000000</v>
      </c>
      <c r="BN80" t="str">
        <f t="shared" si="359"/>
        <v>PES</v>
      </c>
      <c r="BO80" t="str">
        <f t="shared" si="360"/>
        <v>0001000000</v>
      </c>
      <c r="BP80">
        <f t="shared" si="361"/>
        <v>0</v>
      </c>
      <c r="BQ80">
        <f t="shared" si="362"/>
        <v>0</v>
      </c>
      <c r="BR80" s="23">
        <f t="shared" si="363"/>
        <v>0</v>
      </c>
      <c r="BS80" s="49" t="str">
        <f t="shared" si="328"/>
        <v>000000000000000</v>
      </c>
      <c r="BT80" t="str">
        <f t="shared" si="364"/>
        <v>00000000</v>
      </c>
      <c r="BU80" s="23">
        <f t="shared" si="365"/>
        <v>0</v>
      </c>
      <c r="BV80" s="49" t="str">
        <f t="shared" si="329"/>
        <v/>
      </c>
      <c r="BW80" s="52" t="str">
        <f t="shared" si="366"/>
        <v/>
      </c>
      <c r="BX80" s="23">
        <f t="shared" si="367"/>
        <v>0</v>
      </c>
      <c r="BY80" s="49" t="str">
        <f t="shared" si="330"/>
        <v/>
      </c>
      <c r="BZ80" s="23">
        <f t="shared" si="368"/>
        <v>0</v>
      </c>
      <c r="CA80" s="49" t="str">
        <f t="shared" si="331"/>
        <v/>
      </c>
      <c r="CB80" s="52" t="str">
        <f t="shared" si="369"/>
        <v/>
      </c>
      <c r="CC80" s="23">
        <f t="shared" si="370"/>
        <v>0</v>
      </c>
      <c r="CD80" s="49" t="str">
        <f t="shared" si="332"/>
        <v/>
      </c>
      <c r="CE80" s="56" t="str">
        <f>IF(CF80="","",MAX(CE$10:$CE79)+1)</f>
        <v/>
      </c>
      <c r="CF80" t="str">
        <f t="shared" si="371"/>
        <v/>
      </c>
      <c r="CG80" s="22" t="str">
        <f>IF(CH80="","",MAX($CG$10:CG79)+1)</f>
        <v/>
      </c>
      <c r="CH80" s="22" t="str">
        <f t="shared" si="316"/>
        <v/>
      </c>
      <c r="CI80" s="22" t="str">
        <f>IF(CJ80="","",MAX($CI$10:CI79)+1)</f>
        <v/>
      </c>
      <c r="CJ80" s="22" t="str">
        <f t="shared" si="317"/>
        <v/>
      </c>
    </row>
    <row r="81" spans="2:88" x14ac:dyDescent="0.25">
      <c r="B81" s="37"/>
      <c r="C81" s="3"/>
      <c r="D81" s="77" t="str">
        <f t="shared" si="303"/>
        <v/>
      </c>
      <c r="E81" s="38"/>
      <c r="F81" s="38"/>
      <c r="G81" s="78">
        <f t="shared" si="318"/>
        <v>0</v>
      </c>
      <c r="H81" s="3">
        <v>80</v>
      </c>
      <c r="I81" s="77" t="str">
        <f t="shared" si="304"/>
        <v/>
      </c>
      <c r="J81" s="32"/>
      <c r="K81" s="3"/>
      <c r="L81" s="39"/>
      <c r="M81" s="39"/>
      <c r="N81" s="39"/>
      <c r="O81" s="39"/>
      <c r="P81" s="39"/>
      <c r="Q81" s="39"/>
      <c r="R81" s="39"/>
      <c r="S81" s="39"/>
      <c r="T81" s="3" t="s">
        <v>645</v>
      </c>
      <c r="U81" s="77" t="str">
        <f t="shared" si="305"/>
        <v/>
      </c>
      <c r="V81" s="39">
        <v>1</v>
      </c>
      <c r="W81" s="79">
        <f t="shared" si="319"/>
        <v>0</v>
      </c>
      <c r="X81" s="3">
        <v>0</v>
      </c>
      <c r="Y81" s="77" t="str">
        <f t="shared" si="306"/>
        <v/>
      </c>
      <c r="Z81" s="3"/>
      <c r="AA81" s="37" t="str">
        <f t="shared" si="320"/>
        <v/>
      </c>
      <c r="AC81" s="40"/>
      <c r="AD81" s="7"/>
      <c r="AE81" s="77" t="str">
        <f t="shared" si="307"/>
        <v/>
      </c>
      <c r="AF81" s="81">
        <f t="shared" si="333"/>
        <v>0</v>
      </c>
      <c r="AG81" s="40"/>
      <c r="AH81" s="7"/>
      <c r="AI81" s="77" t="str">
        <f t="shared" si="308"/>
        <v/>
      </c>
      <c r="AJ81" s="81">
        <f t="shared" si="334"/>
        <v>0</v>
      </c>
      <c r="AK81" s="83">
        <f t="shared" si="335"/>
        <v>0</v>
      </c>
      <c r="AL81" s="83">
        <f t="shared" si="336"/>
        <v>0</v>
      </c>
      <c r="AN81" s="43">
        <f t="shared" si="309"/>
        <v>0</v>
      </c>
      <c r="AP81" t="str">
        <f t="shared" si="337"/>
        <v/>
      </c>
      <c r="AQ81" t="str">
        <f t="shared" si="338"/>
        <v/>
      </c>
      <c r="AR81" t="str">
        <f t="shared" si="339"/>
        <v/>
      </c>
      <c r="AS81" t="str">
        <f t="shared" si="340"/>
        <v/>
      </c>
      <c r="AT81" t="str">
        <f t="shared" si="341"/>
        <v/>
      </c>
      <c r="AU81" t="str">
        <f t="shared" si="342"/>
        <v/>
      </c>
      <c r="AV81" t="str">
        <f t="shared" si="343"/>
        <v/>
      </c>
      <c r="AW81" t="str">
        <f t="shared" si="344"/>
        <v xml:space="preserve">                              </v>
      </c>
      <c r="AX81" s="23">
        <f t="shared" si="345"/>
        <v>0</v>
      </c>
      <c r="AY81" s="49" t="str">
        <f t="shared" si="321"/>
        <v>000000000000000</v>
      </c>
      <c r="AZ81" s="23">
        <f t="shared" si="346"/>
        <v>0</v>
      </c>
      <c r="BA81" s="49" t="str">
        <f t="shared" si="321"/>
        <v>000000000000000</v>
      </c>
      <c r="BB81" s="23">
        <f t="shared" si="347"/>
        <v>0</v>
      </c>
      <c r="BC81" s="49" t="str">
        <f t="shared" ref="BC81" si="384">IF(BB81&lt;0,SUBSTITUTE(TEXT(BB81,"000000000000,00"),",",""),SUBSTITUTE(TEXT(BB81,"0000000000000,00"),",",""))</f>
        <v>000000000000000</v>
      </c>
      <c r="BD81" s="23">
        <f t="shared" si="349"/>
        <v>0</v>
      </c>
      <c r="BE81" s="49" t="str">
        <f t="shared" ref="BE81" si="385">IF(BD81&lt;0,SUBSTITUTE(TEXT(BD81,"000000000000,00"),",",""),SUBSTITUTE(TEXT(BD81,"0000000000000,00"),",",""))</f>
        <v>000000000000000</v>
      </c>
      <c r="BF81" s="23">
        <f t="shared" si="351"/>
        <v>0</v>
      </c>
      <c r="BG81" s="49" t="str">
        <f t="shared" ref="BG81" si="386">IF(BF81&lt;0,SUBSTITUTE(TEXT(BF81,"000000000000,00"),",",""),SUBSTITUTE(TEXT(BF81,"0000000000000,00"),",",""))</f>
        <v>000000000000000</v>
      </c>
      <c r="BH81" s="23">
        <f t="shared" si="353"/>
        <v>0</v>
      </c>
      <c r="BI81" s="49" t="str">
        <f t="shared" ref="BI81" si="387">IF(BH81&lt;0,SUBSTITUTE(TEXT(BH81,"000000000000,00"),",",""),SUBSTITUTE(TEXT(BH81,"0000000000000,00"),",",""))</f>
        <v>000000000000000</v>
      </c>
      <c r="BJ81" s="23">
        <f t="shared" si="355"/>
        <v>0</v>
      </c>
      <c r="BK81" s="49" t="str">
        <f t="shared" ref="BK81" si="388">IF(BJ81&lt;0,SUBSTITUTE(TEXT(BJ81,"000000000000,00"),",",""),SUBSTITUTE(TEXT(BJ81,"0000000000000,00"),",",""))</f>
        <v>000000000000000</v>
      </c>
      <c r="BL81" s="23">
        <f t="shared" si="357"/>
        <v>0</v>
      </c>
      <c r="BM81" s="49" t="str">
        <f t="shared" ref="BM81" si="389">IF(BL81&lt;0,SUBSTITUTE(TEXT(BL81,"000000000000,00"),",",""),SUBSTITUTE(TEXT(BL81,"0000000000000,00"),",",""))</f>
        <v>000000000000000</v>
      </c>
      <c r="BN81" t="str">
        <f t="shared" si="359"/>
        <v>PES</v>
      </c>
      <c r="BO81" t="str">
        <f t="shared" si="360"/>
        <v>0001000000</v>
      </c>
      <c r="BP81">
        <f t="shared" si="361"/>
        <v>0</v>
      </c>
      <c r="BQ81">
        <f t="shared" si="362"/>
        <v>0</v>
      </c>
      <c r="BR81" s="23">
        <f t="shared" si="363"/>
        <v>0</v>
      </c>
      <c r="BS81" s="49" t="str">
        <f t="shared" si="328"/>
        <v>000000000000000</v>
      </c>
      <c r="BT81" t="str">
        <f t="shared" si="364"/>
        <v>00000000</v>
      </c>
      <c r="BU81" s="23">
        <f t="shared" si="365"/>
        <v>0</v>
      </c>
      <c r="BV81" s="49" t="str">
        <f t="shared" si="329"/>
        <v/>
      </c>
      <c r="BW81" s="52" t="str">
        <f t="shared" si="366"/>
        <v/>
      </c>
      <c r="BX81" s="23">
        <f t="shared" si="367"/>
        <v>0</v>
      </c>
      <c r="BY81" s="49" t="str">
        <f t="shared" si="330"/>
        <v/>
      </c>
      <c r="BZ81" s="23">
        <f t="shared" si="368"/>
        <v>0</v>
      </c>
      <c r="CA81" s="49" t="str">
        <f t="shared" si="331"/>
        <v/>
      </c>
      <c r="CB81" s="52" t="str">
        <f t="shared" si="369"/>
        <v/>
      </c>
      <c r="CC81" s="23">
        <f t="shared" si="370"/>
        <v>0</v>
      </c>
      <c r="CD81" s="49" t="str">
        <f t="shared" si="332"/>
        <v/>
      </c>
      <c r="CE81" s="56" t="str">
        <f>IF(CF81="","",MAX(CE$10:$CE80)+1)</f>
        <v/>
      </c>
      <c r="CF81" t="str">
        <f t="shared" si="371"/>
        <v/>
      </c>
      <c r="CG81" s="22" t="str">
        <f>IF(CH81="","",MAX($CG$10:CG80)+1)</f>
        <v/>
      </c>
      <c r="CH81" s="22" t="str">
        <f t="shared" si="316"/>
        <v/>
      </c>
      <c r="CI81" s="22" t="str">
        <f>IF(CJ81="","",MAX($CI$10:CI80)+1)</f>
        <v/>
      </c>
      <c r="CJ81" s="22" t="str">
        <f t="shared" si="317"/>
        <v/>
      </c>
    </row>
    <row r="82" spans="2:88" x14ac:dyDescent="0.25">
      <c r="B82" s="37"/>
      <c r="C82" s="3"/>
      <c r="D82" s="77" t="str">
        <f t="shared" si="303"/>
        <v/>
      </c>
      <c r="E82" s="38"/>
      <c r="F82" s="38"/>
      <c r="G82" s="78">
        <f t="shared" si="318"/>
        <v>0</v>
      </c>
      <c r="H82" s="3">
        <v>80</v>
      </c>
      <c r="I82" s="77" t="str">
        <f t="shared" si="304"/>
        <v/>
      </c>
      <c r="J82" s="32"/>
      <c r="K82" s="3"/>
      <c r="L82" s="39"/>
      <c r="M82" s="39"/>
      <c r="N82" s="39"/>
      <c r="O82" s="39"/>
      <c r="P82" s="39"/>
      <c r="Q82" s="39"/>
      <c r="R82" s="39"/>
      <c r="S82" s="39"/>
      <c r="T82" s="3" t="s">
        <v>645</v>
      </c>
      <c r="U82" s="77" t="str">
        <f t="shared" si="305"/>
        <v/>
      </c>
      <c r="V82" s="39">
        <v>1</v>
      </c>
      <c r="W82" s="79">
        <f t="shared" si="319"/>
        <v>0</v>
      </c>
      <c r="X82" s="3">
        <v>0</v>
      </c>
      <c r="Y82" s="77" t="str">
        <f t="shared" si="306"/>
        <v/>
      </c>
      <c r="Z82" s="3"/>
      <c r="AA82" s="37" t="str">
        <f t="shared" si="320"/>
        <v/>
      </c>
      <c r="AC82" s="40"/>
      <c r="AD82" s="7"/>
      <c r="AE82" s="77" t="str">
        <f t="shared" si="307"/>
        <v/>
      </c>
      <c r="AF82" s="81">
        <f t="shared" si="333"/>
        <v>0</v>
      </c>
      <c r="AG82" s="40"/>
      <c r="AH82" s="7"/>
      <c r="AI82" s="77" t="str">
        <f t="shared" si="308"/>
        <v/>
      </c>
      <c r="AJ82" s="81">
        <f t="shared" si="334"/>
        <v>0</v>
      </c>
      <c r="AK82" s="83">
        <f t="shared" si="335"/>
        <v>0</v>
      </c>
      <c r="AL82" s="83">
        <f t="shared" si="336"/>
        <v>0</v>
      </c>
      <c r="AN82" s="43">
        <f t="shared" si="309"/>
        <v>0</v>
      </c>
      <c r="AP82" t="str">
        <f t="shared" si="337"/>
        <v/>
      </c>
      <c r="AQ82" t="str">
        <f t="shared" si="338"/>
        <v/>
      </c>
      <c r="AR82" t="str">
        <f t="shared" si="339"/>
        <v/>
      </c>
      <c r="AS82" t="str">
        <f t="shared" si="340"/>
        <v/>
      </c>
      <c r="AT82" t="str">
        <f t="shared" si="341"/>
        <v/>
      </c>
      <c r="AU82" t="str">
        <f t="shared" si="342"/>
        <v/>
      </c>
      <c r="AV82" t="str">
        <f t="shared" si="343"/>
        <v/>
      </c>
      <c r="AW82" t="str">
        <f t="shared" si="344"/>
        <v xml:space="preserve">                              </v>
      </c>
      <c r="AX82" s="23">
        <f t="shared" si="345"/>
        <v>0</v>
      </c>
      <c r="AY82" s="49" t="str">
        <f t="shared" si="321"/>
        <v>000000000000000</v>
      </c>
      <c r="AZ82" s="23">
        <f t="shared" si="346"/>
        <v>0</v>
      </c>
      <c r="BA82" s="49" t="str">
        <f t="shared" si="321"/>
        <v>000000000000000</v>
      </c>
      <c r="BB82" s="23">
        <f t="shared" si="347"/>
        <v>0</v>
      </c>
      <c r="BC82" s="49" t="str">
        <f t="shared" ref="BC82" si="390">IF(BB82&lt;0,SUBSTITUTE(TEXT(BB82,"000000000000,00"),",",""),SUBSTITUTE(TEXT(BB82,"0000000000000,00"),",",""))</f>
        <v>000000000000000</v>
      </c>
      <c r="BD82" s="23">
        <f t="shared" si="349"/>
        <v>0</v>
      </c>
      <c r="BE82" s="49" t="str">
        <f t="shared" ref="BE82" si="391">IF(BD82&lt;0,SUBSTITUTE(TEXT(BD82,"000000000000,00"),",",""),SUBSTITUTE(TEXT(BD82,"0000000000000,00"),",",""))</f>
        <v>000000000000000</v>
      </c>
      <c r="BF82" s="23">
        <f t="shared" si="351"/>
        <v>0</v>
      </c>
      <c r="BG82" s="49" t="str">
        <f t="shared" ref="BG82" si="392">IF(BF82&lt;0,SUBSTITUTE(TEXT(BF82,"000000000000,00"),",",""),SUBSTITUTE(TEXT(BF82,"0000000000000,00"),",",""))</f>
        <v>000000000000000</v>
      </c>
      <c r="BH82" s="23">
        <f t="shared" si="353"/>
        <v>0</v>
      </c>
      <c r="BI82" s="49" t="str">
        <f t="shared" ref="BI82" si="393">IF(BH82&lt;0,SUBSTITUTE(TEXT(BH82,"000000000000,00"),",",""),SUBSTITUTE(TEXT(BH82,"0000000000000,00"),",",""))</f>
        <v>000000000000000</v>
      </c>
      <c r="BJ82" s="23">
        <f t="shared" si="355"/>
        <v>0</v>
      </c>
      <c r="BK82" s="49" t="str">
        <f t="shared" ref="BK82" si="394">IF(BJ82&lt;0,SUBSTITUTE(TEXT(BJ82,"000000000000,00"),",",""),SUBSTITUTE(TEXT(BJ82,"0000000000000,00"),",",""))</f>
        <v>000000000000000</v>
      </c>
      <c r="BL82" s="23">
        <f t="shared" si="357"/>
        <v>0</v>
      </c>
      <c r="BM82" s="49" t="str">
        <f t="shared" ref="BM82" si="395">IF(BL82&lt;0,SUBSTITUTE(TEXT(BL82,"000000000000,00"),",",""),SUBSTITUTE(TEXT(BL82,"0000000000000,00"),",",""))</f>
        <v>000000000000000</v>
      </c>
      <c r="BN82" t="str">
        <f t="shared" si="359"/>
        <v>PES</v>
      </c>
      <c r="BO82" t="str">
        <f t="shared" si="360"/>
        <v>0001000000</v>
      </c>
      <c r="BP82">
        <f t="shared" si="361"/>
        <v>0</v>
      </c>
      <c r="BQ82">
        <f t="shared" si="362"/>
        <v>0</v>
      </c>
      <c r="BR82" s="23">
        <f t="shared" si="363"/>
        <v>0</v>
      </c>
      <c r="BS82" s="49" t="str">
        <f t="shared" si="328"/>
        <v>000000000000000</v>
      </c>
      <c r="BT82" t="str">
        <f t="shared" si="364"/>
        <v>00000000</v>
      </c>
      <c r="BU82" s="23">
        <f t="shared" si="365"/>
        <v>0</v>
      </c>
      <c r="BV82" s="49" t="str">
        <f t="shared" si="329"/>
        <v/>
      </c>
      <c r="BW82" s="52" t="str">
        <f t="shared" si="366"/>
        <v/>
      </c>
      <c r="BX82" s="23">
        <f t="shared" si="367"/>
        <v>0</v>
      </c>
      <c r="BY82" s="49" t="str">
        <f t="shared" si="330"/>
        <v/>
      </c>
      <c r="BZ82" s="23">
        <f t="shared" si="368"/>
        <v>0</v>
      </c>
      <c r="CA82" s="49" t="str">
        <f t="shared" si="331"/>
        <v/>
      </c>
      <c r="CB82" s="52" t="str">
        <f t="shared" si="369"/>
        <v/>
      </c>
      <c r="CC82" s="23">
        <f t="shared" si="370"/>
        <v>0</v>
      </c>
      <c r="CD82" s="49" t="str">
        <f t="shared" si="332"/>
        <v/>
      </c>
      <c r="CE82" s="56" t="str">
        <f>IF(CF82="","",MAX(CE$10:$CE81)+1)</f>
        <v/>
      </c>
      <c r="CF82" t="str">
        <f t="shared" si="371"/>
        <v/>
      </c>
      <c r="CG82" s="22" t="str">
        <f>IF(CH82="","",MAX($CG$10:CG81)+1)</f>
        <v/>
      </c>
      <c r="CH82" s="22" t="str">
        <f t="shared" si="316"/>
        <v/>
      </c>
      <c r="CI82" s="22" t="str">
        <f>IF(CJ82="","",MAX($CI$10:CI81)+1)</f>
        <v/>
      </c>
      <c r="CJ82" s="22" t="str">
        <f t="shared" si="317"/>
        <v/>
      </c>
    </row>
    <row r="83" spans="2:88" x14ac:dyDescent="0.25">
      <c r="B83" s="37"/>
      <c r="C83" s="3"/>
      <c r="D83" s="77" t="str">
        <f t="shared" si="303"/>
        <v/>
      </c>
      <c r="E83" s="38"/>
      <c r="F83" s="38"/>
      <c r="G83" s="78">
        <f t="shared" si="318"/>
        <v>0</v>
      </c>
      <c r="H83" s="3">
        <v>80</v>
      </c>
      <c r="I83" s="77" t="str">
        <f t="shared" si="304"/>
        <v/>
      </c>
      <c r="J83" s="32"/>
      <c r="K83" s="3"/>
      <c r="L83" s="39"/>
      <c r="M83" s="39"/>
      <c r="N83" s="39"/>
      <c r="O83" s="39"/>
      <c r="P83" s="39"/>
      <c r="Q83" s="39"/>
      <c r="R83" s="39"/>
      <c r="S83" s="39"/>
      <c r="T83" s="3" t="s">
        <v>645</v>
      </c>
      <c r="U83" s="77" t="str">
        <f t="shared" si="305"/>
        <v/>
      </c>
      <c r="V83" s="39">
        <v>1</v>
      </c>
      <c r="W83" s="79">
        <f t="shared" si="319"/>
        <v>0</v>
      </c>
      <c r="X83" s="3">
        <v>0</v>
      </c>
      <c r="Y83" s="77" t="str">
        <f t="shared" si="306"/>
        <v/>
      </c>
      <c r="Z83" s="3"/>
      <c r="AA83" s="37" t="str">
        <f t="shared" si="320"/>
        <v/>
      </c>
      <c r="AC83" s="40"/>
      <c r="AD83" s="7"/>
      <c r="AE83" s="77" t="str">
        <f t="shared" si="307"/>
        <v/>
      </c>
      <c r="AF83" s="81">
        <f t="shared" si="333"/>
        <v>0</v>
      </c>
      <c r="AG83" s="40"/>
      <c r="AH83" s="7"/>
      <c r="AI83" s="77" t="str">
        <f t="shared" si="308"/>
        <v/>
      </c>
      <c r="AJ83" s="81">
        <f t="shared" si="334"/>
        <v>0</v>
      </c>
      <c r="AK83" s="83">
        <f t="shared" si="335"/>
        <v>0</v>
      </c>
      <c r="AL83" s="83">
        <f t="shared" si="336"/>
        <v>0</v>
      </c>
      <c r="AN83" s="43">
        <f t="shared" si="309"/>
        <v>0</v>
      </c>
      <c r="AP83" t="str">
        <f t="shared" si="337"/>
        <v/>
      </c>
      <c r="AQ83" t="str">
        <f t="shared" si="338"/>
        <v/>
      </c>
      <c r="AR83" t="str">
        <f t="shared" si="339"/>
        <v/>
      </c>
      <c r="AS83" t="str">
        <f t="shared" si="340"/>
        <v/>
      </c>
      <c r="AT83" t="str">
        <f t="shared" si="341"/>
        <v/>
      </c>
      <c r="AU83" t="str">
        <f t="shared" si="342"/>
        <v/>
      </c>
      <c r="AV83" t="str">
        <f t="shared" si="343"/>
        <v/>
      </c>
      <c r="AW83" t="str">
        <f t="shared" si="344"/>
        <v xml:space="preserve">                              </v>
      </c>
      <c r="AX83" s="23">
        <f t="shared" si="345"/>
        <v>0</v>
      </c>
      <c r="AY83" s="49" t="str">
        <f t="shared" si="321"/>
        <v>000000000000000</v>
      </c>
      <c r="AZ83" s="23">
        <f t="shared" si="346"/>
        <v>0</v>
      </c>
      <c r="BA83" s="49" t="str">
        <f t="shared" si="321"/>
        <v>000000000000000</v>
      </c>
      <c r="BB83" s="23">
        <f t="shared" si="347"/>
        <v>0</v>
      </c>
      <c r="BC83" s="49" t="str">
        <f t="shared" ref="BC83" si="396">IF(BB83&lt;0,SUBSTITUTE(TEXT(BB83,"000000000000,00"),",",""),SUBSTITUTE(TEXT(BB83,"0000000000000,00"),",",""))</f>
        <v>000000000000000</v>
      </c>
      <c r="BD83" s="23">
        <f t="shared" si="349"/>
        <v>0</v>
      </c>
      <c r="BE83" s="49" t="str">
        <f t="shared" ref="BE83" si="397">IF(BD83&lt;0,SUBSTITUTE(TEXT(BD83,"000000000000,00"),",",""),SUBSTITUTE(TEXT(BD83,"0000000000000,00"),",",""))</f>
        <v>000000000000000</v>
      </c>
      <c r="BF83" s="23">
        <f t="shared" si="351"/>
        <v>0</v>
      </c>
      <c r="BG83" s="49" t="str">
        <f t="shared" ref="BG83" si="398">IF(BF83&lt;0,SUBSTITUTE(TEXT(BF83,"000000000000,00"),",",""),SUBSTITUTE(TEXT(BF83,"0000000000000,00"),",",""))</f>
        <v>000000000000000</v>
      </c>
      <c r="BH83" s="23">
        <f t="shared" si="353"/>
        <v>0</v>
      </c>
      <c r="BI83" s="49" t="str">
        <f t="shared" ref="BI83" si="399">IF(BH83&lt;0,SUBSTITUTE(TEXT(BH83,"000000000000,00"),",",""),SUBSTITUTE(TEXT(BH83,"0000000000000,00"),",",""))</f>
        <v>000000000000000</v>
      </c>
      <c r="BJ83" s="23">
        <f t="shared" si="355"/>
        <v>0</v>
      </c>
      <c r="BK83" s="49" t="str">
        <f t="shared" ref="BK83" si="400">IF(BJ83&lt;0,SUBSTITUTE(TEXT(BJ83,"000000000000,00"),",",""),SUBSTITUTE(TEXT(BJ83,"0000000000000,00"),",",""))</f>
        <v>000000000000000</v>
      </c>
      <c r="BL83" s="23">
        <f t="shared" si="357"/>
        <v>0</v>
      </c>
      <c r="BM83" s="49" t="str">
        <f t="shared" ref="BM83" si="401">IF(BL83&lt;0,SUBSTITUTE(TEXT(BL83,"000000000000,00"),",",""),SUBSTITUTE(TEXT(BL83,"0000000000000,00"),",",""))</f>
        <v>000000000000000</v>
      </c>
      <c r="BN83" t="str">
        <f t="shared" si="359"/>
        <v>PES</v>
      </c>
      <c r="BO83" t="str">
        <f t="shared" si="360"/>
        <v>0001000000</v>
      </c>
      <c r="BP83">
        <f t="shared" si="361"/>
        <v>0</v>
      </c>
      <c r="BQ83">
        <f t="shared" si="362"/>
        <v>0</v>
      </c>
      <c r="BR83" s="23">
        <f t="shared" si="363"/>
        <v>0</v>
      </c>
      <c r="BS83" s="49" t="str">
        <f t="shared" si="328"/>
        <v>000000000000000</v>
      </c>
      <c r="BT83" t="str">
        <f t="shared" si="364"/>
        <v>00000000</v>
      </c>
      <c r="BU83" s="23">
        <f t="shared" si="365"/>
        <v>0</v>
      </c>
      <c r="BV83" s="49" t="str">
        <f t="shared" si="329"/>
        <v/>
      </c>
      <c r="BW83" s="52" t="str">
        <f t="shared" si="366"/>
        <v/>
      </c>
      <c r="BX83" s="23">
        <f t="shared" si="367"/>
        <v>0</v>
      </c>
      <c r="BY83" s="49" t="str">
        <f t="shared" si="330"/>
        <v/>
      </c>
      <c r="BZ83" s="23">
        <f t="shared" si="368"/>
        <v>0</v>
      </c>
      <c r="CA83" s="49" t="str">
        <f t="shared" si="331"/>
        <v/>
      </c>
      <c r="CB83" s="52" t="str">
        <f t="shared" si="369"/>
        <v/>
      </c>
      <c r="CC83" s="23">
        <f t="shared" si="370"/>
        <v>0</v>
      </c>
      <c r="CD83" s="49" t="str">
        <f t="shared" si="332"/>
        <v/>
      </c>
      <c r="CE83" s="56" t="str">
        <f>IF(CF83="","",MAX(CE$10:$CE82)+1)</f>
        <v/>
      </c>
      <c r="CF83" t="str">
        <f t="shared" si="371"/>
        <v/>
      </c>
      <c r="CG83" s="22" t="str">
        <f>IF(CH83="","",MAX($CG$10:CG82)+1)</f>
        <v/>
      </c>
      <c r="CH83" s="22" t="str">
        <f t="shared" si="316"/>
        <v/>
      </c>
      <c r="CI83" s="22" t="str">
        <f>IF(CJ83="","",MAX($CI$10:CI82)+1)</f>
        <v/>
      </c>
      <c r="CJ83" s="22" t="str">
        <f t="shared" si="317"/>
        <v/>
      </c>
    </row>
    <row r="84" spans="2:88" x14ac:dyDescent="0.25">
      <c r="B84" s="37"/>
      <c r="C84" s="3"/>
      <c r="D84" s="77" t="str">
        <f t="shared" si="303"/>
        <v/>
      </c>
      <c r="E84" s="38"/>
      <c r="F84" s="38"/>
      <c r="G84" s="78">
        <f t="shared" si="318"/>
        <v>0</v>
      </c>
      <c r="H84" s="3">
        <v>80</v>
      </c>
      <c r="I84" s="77" t="str">
        <f t="shared" si="304"/>
        <v/>
      </c>
      <c r="J84" s="32"/>
      <c r="K84" s="3"/>
      <c r="L84" s="39"/>
      <c r="M84" s="39"/>
      <c r="N84" s="39"/>
      <c r="O84" s="39"/>
      <c r="P84" s="39"/>
      <c r="Q84" s="39"/>
      <c r="R84" s="39"/>
      <c r="S84" s="39"/>
      <c r="T84" s="3" t="s">
        <v>645</v>
      </c>
      <c r="U84" s="77" t="str">
        <f t="shared" si="305"/>
        <v/>
      </c>
      <c r="V84" s="39">
        <v>1</v>
      </c>
      <c r="W84" s="79">
        <f t="shared" si="319"/>
        <v>0</v>
      </c>
      <c r="X84" s="3">
        <v>0</v>
      </c>
      <c r="Y84" s="77" t="str">
        <f t="shared" si="306"/>
        <v/>
      </c>
      <c r="Z84" s="3"/>
      <c r="AA84" s="37" t="str">
        <f t="shared" si="320"/>
        <v/>
      </c>
      <c r="AC84" s="40"/>
      <c r="AD84" s="7"/>
      <c r="AE84" s="77" t="str">
        <f t="shared" si="307"/>
        <v/>
      </c>
      <c r="AF84" s="81">
        <f t="shared" si="333"/>
        <v>0</v>
      </c>
      <c r="AG84" s="40"/>
      <c r="AH84" s="7"/>
      <c r="AI84" s="77" t="str">
        <f t="shared" si="308"/>
        <v/>
      </c>
      <c r="AJ84" s="81">
        <f t="shared" si="334"/>
        <v>0</v>
      </c>
      <c r="AK84" s="83">
        <f t="shared" si="335"/>
        <v>0</v>
      </c>
      <c r="AL84" s="83">
        <f t="shared" si="336"/>
        <v>0</v>
      </c>
      <c r="AN84" s="43">
        <f t="shared" si="309"/>
        <v>0</v>
      </c>
      <c r="AP84" t="str">
        <f t="shared" si="337"/>
        <v/>
      </c>
      <c r="AQ84" t="str">
        <f t="shared" si="338"/>
        <v/>
      </c>
      <c r="AR84" t="str">
        <f t="shared" si="339"/>
        <v/>
      </c>
      <c r="AS84" t="str">
        <f t="shared" si="340"/>
        <v/>
      </c>
      <c r="AT84" t="str">
        <f t="shared" si="341"/>
        <v/>
      </c>
      <c r="AU84" t="str">
        <f t="shared" si="342"/>
        <v/>
      </c>
      <c r="AV84" t="str">
        <f t="shared" si="343"/>
        <v/>
      </c>
      <c r="AW84" t="str">
        <f t="shared" si="344"/>
        <v xml:space="preserve">                              </v>
      </c>
      <c r="AX84" s="23">
        <f t="shared" si="345"/>
        <v>0</v>
      </c>
      <c r="AY84" s="49" t="str">
        <f t="shared" si="321"/>
        <v>000000000000000</v>
      </c>
      <c r="AZ84" s="23">
        <f t="shared" si="346"/>
        <v>0</v>
      </c>
      <c r="BA84" s="49" t="str">
        <f t="shared" si="321"/>
        <v>000000000000000</v>
      </c>
      <c r="BB84" s="23">
        <f t="shared" si="347"/>
        <v>0</v>
      </c>
      <c r="BC84" s="49" t="str">
        <f t="shared" ref="BC84" si="402">IF(BB84&lt;0,SUBSTITUTE(TEXT(BB84,"000000000000,00"),",",""),SUBSTITUTE(TEXT(BB84,"0000000000000,00"),",",""))</f>
        <v>000000000000000</v>
      </c>
      <c r="BD84" s="23">
        <f t="shared" si="349"/>
        <v>0</v>
      </c>
      <c r="BE84" s="49" t="str">
        <f t="shared" ref="BE84" si="403">IF(BD84&lt;0,SUBSTITUTE(TEXT(BD84,"000000000000,00"),",",""),SUBSTITUTE(TEXT(BD84,"0000000000000,00"),",",""))</f>
        <v>000000000000000</v>
      </c>
      <c r="BF84" s="23">
        <f t="shared" si="351"/>
        <v>0</v>
      </c>
      <c r="BG84" s="49" t="str">
        <f t="shared" ref="BG84" si="404">IF(BF84&lt;0,SUBSTITUTE(TEXT(BF84,"000000000000,00"),",",""),SUBSTITUTE(TEXT(BF84,"0000000000000,00"),",",""))</f>
        <v>000000000000000</v>
      </c>
      <c r="BH84" s="23">
        <f t="shared" si="353"/>
        <v>0</v>
      </c>
      <c r="BI84" s="49" t="str">
        <f t="shared" ref="BI84" si="405">IF(BH84&lt;0,SUBSTITUTE(TEXT(BH84,"000000000000,00"),",",""),SUBSTITUTE(TEXT(BH84,"0000000000000,00"),",",""))</f>
        <v>000000000000000</v>
      </c>
      <c r="BJ84" s="23">
        <f t="shared" si="355"/>
        <v>0</v>
      </c>
      <c r="BK84" s="49" t="str">
        <f t="shared" ref="BK84" si="406">IF(BJ84&lt;0,SUBSTITUTE(TEXT(BJ84,"000000000000,00"),",",""),SUBSTITUTE(TEXT(BJ84,"0000000000000,00"),",",""))</f>
        <v>000000000000000</v>
      </c>
      <c r="BL84" s="23">
        <f t="shared" si="357"/>
        <v>0</v>
      </c>
      <c r="BM84" s="49" t="str">
        <f t="shared" ref="BM84" si="407">IF(BL84&lt;0,SUBSTITUTE(TEXT(BL84,"000000000000,00"),",",""),SUBSTITUTE(TEXT(BL84,"0000000000000,00"),",",""))</f>
        <v>000000000000000</v>
      </c>
      <c r="BN84" t="str">
        <f t="shared" si="359"/>
        <v>PES</v>
      </c>
      <c r="BO84" t="str">
        <f t="shared" si="360"/>
        <v>0001000000</v>
      </c>
      <c r="BP84">
        <f t="shared" si="361"/>
        <v>0</v>
      </c>
      <c r="BQ84">
        <f t="shared" si="362"/>
        <v>0</v>
      </c>
      <c r="BR84" s="23">
        <f t="shared" si="363"/>
        <v>0</v>
      </c>
      <c r="BS84" s="49" t="str">
        <f t="shared" si="328"/>
        <v>000000000000000</v>
      </c>
      <c r="BT84" t="str">
        <f t="shared" si="364"/>
        <v>00000000</v>
      </c>
      <c r="BU84" s="23">
        <f t="shared" si="365"/>
        <v>0</v>
      </c>
      <c r="BV84" s="49" t="str">
        <f t="shared" si="329"/>
        <v/>
      </c>
      <c r="BW84" s="52" t="str">
        <f t="shared" si="366"/>
        <v/>
      </c>
      <c r="BX84" s="23">
        <f t="shared" si="367"/>
        <v>0</v>
      </c>
      <c r="BY84" s="49" t="str">
        <f t="shared" si="330"/>
        <v/>
      </c>
      <c r="BZ84" s="23">
        <f t="shared" si="368"/>
        <v>0</v>
      </c>
      <c r="CA84" s="49" t="str">
        <f t="shared" si="331"/>
        <v/>
      </c>
      <c r="CB84" s="52" t="str">
        <f t="shared" si="369"/>
        <v/>
      </c>
      <c r="CC84" s="23">
        <f t="shared" si="370"/>
        <v>0</v>
      </c>
      <c r="CD84" s="49" t="str">
        <f t="shared" si="332"/>
        <v/>
      </c>
      <c r="CE84" s="56" t="str">
        <f>IF(CF84="","",MAX(CE$10:$CE83)+1)</f>
        <v/>
      </c>
      <c r="CF84" t="str">
        <f t="shared" si="371"/>
        <v/>
      </c>
      <c r="CG84" s="22" t="str">
        <f>IF(CH84="","",MAX($CG$10:CG83)+1)</f>
        <v/>
      </c>
      <c r="CH84" s="22" t="str">
        <f t="shared" si="316"/>
        <v/>
      </c>
      <c r="CI84" s="22" t="str">
        <f>IF(CJ84="","",MAX($CI$10:CI83)+1)</f>
        <v/>
      </c>
      <c r="CJ84" s="22" t="str">
        <f t="shared" si="317"/>
        <v/>
      </c>
    </row>
    <row r="85" spans="2:88" x14ac:dyDescent="0.25">
      <c r="B85" s="37"/>
      <c r="C85" s="3"/>
      <c r="D85" s="77" t="str">
        <f t="shared" si="303"/>
        <v/>
      </c>
      <c r="E85" s="38"/>
      <c r="F85" s="38"/>
      <c r="G85" s="78">
        <f t="shared" si="318"/>
        <v>0</v>
      </c>
      <c r="H85" s="3">
        <v>80</v>
      </c>
      <c r="I85" s="77" t="str">
        <f t="shared" si="304"/>
        <v/>
      </c>
      <c r="J85" s="32"/>
      <c r="K85" s="3"/>
      <c r="L85" s="39"/>
      <c r="M85" s="39"/>
      <c r="N85" s="39"/>
      <c r="O85" s="39"/>
      <c r="P85" s="39"/>
      <c r="Q85" s="39"/>
      <c r="R85" s="39"/>
      <c r="S85" s="39"/>
      <c r="T85" s="3" t="s">
        <v>645</v>
      </c>
      <c r="U85" s="77" t="str">
        <f t="shared" si="305"/>
        <v/>
      </c>
      <c r="V85" s="39">
        <v>1</v>
      </c>
      <c r="W85" s="79">
        <f t="shared" si="319"/>
        <v>0</v>
      </c>
      <c r="X85" s="3">
        <v>0</v>
      </c>
      <c r="Y85" s="77" t="str">
        <f t="shared" si="306"/>
        <v/>
      </c>
      <c r="Z85" s="3"/>
      <c r="AA85" s="37" t="str">
        <f t="shared" si="320"/>
        <v/>
      </c>
      <c r="AC85" s="40"/>
      <c r="AD85" s="7"/>
      <c r="AE85" s="77" t="str">
        <f t="shared" si="307"/>
        <v/>
      </c>
      <c r="AF85" s="81">
        <f t="shared" si="333"/>
        <v>0</v>
      </c>
      <c r="AG85" s="40"/>
      <c r="AH85" s="7"/>
      <c r="AI85" s="77" t="str">
        <f t="shared" si="308"/>
        <v/>
      </c>
      <c r="AJ85" s="81">
        <f t="shared" si="334"/>
        <v>0</v>
      </c>
      <c r="AK85" s="83">
        <f t="shared" si="335"/>
        <v>0</v>
      </c>
      <c r="AL85" s="83">
        <f t="shared" si="336"/>
        <v>0</v>
      </c>
      <c r="AN85" s="43">
        <f t="shared" si="309"/>
        <v>0</v>
      </c>
      <c r="AP85" t="str">
        <f t="shared" si="337"/>
        <v/>
      </c>
      <c r="AQ85" t="str">
        <f t="shared" si="338"/>
        <v/>
      </c>
      <c r="AR85" t="str">
        <f t="shared" si="339"/>
        <v/>
      </c>
      <c r="AS85" t="str">
        <f t="shared" si="340"/>
        <v/>
      </c>
      <c r="AT85" t="str">
        <f t="shared" si="341"/>
        <v/>
      </c>
      <c r="AU85" t="str">
        <f t="shared" si="342"/>
        <v/>
      </c>
      <c r="AV85" t="str">
        <f t="shared" si="343"/>
        <v/>
      </c>
      <c r="AW85" t="str">
        <f t="shared" si="344"/>
        <v xml:space="preserve">                              </v>
      </c>
      <c r="AX85" s="23">
        <f t="shared" si="345"/>
        <v>0</v>
      </c>
      <c r="AY85" s="49" t="str">
        <f t="shared" si="321"/>
        <v>000000000000000</v>
      </c>
      <c r="AZ85" s="23">
        <f t="shared" si="346"/>
        <v>0</v>
      </c>
      <c r="BA85" s="49" t="str">
        <f t="shared" si="321"/>
        <v>000000000000000</v>
      </c>
      <c r="BB85" s="23">
        <f t="shared" si="347"/>
        <v>0</v>
      </c>
      <c r="BC85" s="49" t="str">
        <f t="shared" ref="BC85" si="408">IF(BB85&lt;0,SUBSTITUTE(TEXT(BB85,"000000000000,00"),",",""),SUBSTITUTE(TEXT(BB85,"0000000000000,00"),",",""))</f>
        <v>000000000000000</v>
      </c>
      <c r="BD85" s="23">
        <f t="shared" si="349"/>
        <v>0</v>
      </c>
      <c r="BE85" s="49" t="str">
        <f t="shared" ref="BE85" si="409">IF(BD85&lt;0,SUBSTITUTE(TEXT(BD85,"000000000000,00"),",",""),SUBSTITUTE(TEXT(BD85,"0000000000000,00"),",",""))</f>
        <v>000000000000000</v>
      </c>
      <c r="BF85" s="23">
        <f t="shared" si="351"/>
        <v>0</v>
      </c>
      <c r="BG85" s="49" t="str">
        <f t="shared" ref="BG85" si="410">IF(BF85&lt;0,SUBSTITUTE(TEXT(BF85,"000000000000,00"),",",""),SUBSTITUTE(TEXT(BF85,"0000000000000,00"),",",""))</f>
        <v>000000000000000</v>
      </c>
      <c r="BH85" s="23">
        <f t="shared" si="353"/>
        <v>0</v>
      </c>
      <c r="BI85" s="49" t="str">
        <f t="shared" ref="BI85" si="411">IF(BH85&lt;0,SUBSTITUTE(TEXT(BH85,"000000000000,00"),",",""),SUBSTITUTE(TEXT(BH85,"0000000000000,00"),",",""))</f>
        <v>000000000000000</v>
      </c>
      <c r="BJ85" s="23">
        <f t="shared" si="355"/>
        <v>0</v>
      </c>
      <c r="BK85" s="49" t="str">
        <f t="shared" ref="BK85" si="412">IF(BJ85&lt;0,SUBSTITUTE(TEXT(BJ85,"000000000000,00"),",",""),SUBSTITUTE(TEXT(BJ85,"0000000000000,00"),",",""))</f>
        <v>000000000000000</v>
      </c>
      <c r="BL85" s="23">
        <f t="shared" si="357"/>
        <v>0</v>
      </c>
      <c r="BM85" s="49" t="str">
        <f t="shared" ref="BM85" si="413">IF(BL85&lt;0,SUBSTITUTE(TEXT(BL85,"000000000000,00"),",",""),SUBSTITUTE(TEXT(BL85,"0000000000000,00"),",",""))</f>
        <v>000000000000000</v>
      </c>
      <c r="BN85" t="str">
        <f t="shared" si="359"/>
        <v>PES</v>
      </c>
      <c r="BO85" t="str">
        <f t="shared" si="360"/>
        <v>0001000000</v>
      </c>
      <c r="BP85">
        <f t="shared" si="361"/>
        <v>0</v>
      </c>
      <c r="BQ85">
        <f t="shared" si="362"/>
        <v>0</v>
      </c>
      <c r="BR85" s="23">
        <f t="shared" si="363"/>
        <v>0</v>
      </c>
      <c r="BS85" s="49" t="str">
        <f t="shared" si="328"/>
        <v>000000000000000</v>
      </c>
      <c r="BT85" t="str">
        <f t="shared" si="364"/>
        <v>00000000</v>
      </c>
      <c r="BU85" s="23">
        <f t="shared" si="365"/>
        <v>0</v>
      </c>
      <c r="BV85" s="49" t="str">
        <f t="shared" si="329"/>
        <v/>
      </c>
      <c r="BW85" s="52" t="str">
        <f t="shared" si="366"/>
        <v/>
      </c>
      <c r="BX85" s="23">
        <f t="shared" si="367"/>
        <v>0</v>
      </c>
      <c r="BY85" s="49" t="str">
        <f t="shared" si="330"/>
        <v/>
      </c>
      <c r="BZ85" s="23">
        <f t="shared" si="368"/>
        <v>0</v>
      </c>
      <c r="CA85" s="49" t="str">
        <f t="shared" si="331"/>
        <v/>
      </c>
      <c r="CB85" s="52" t="str">
        <f t="shared" si="369"/>
        <v/>
      </c>
      <c r="CC85" s="23">
        <f t="shared" si="370"/>
        <v>0</v>
      </c>
      <c r="CD85" s="49" t="str">
        <f t="shared" si="332"/>
        <v/>
      </c>
      <c r="CE85" s="56" t="str">
        <f>IF(CF85="","",MAX(CE$10:$CE84)+1)</f>
        <v/>
      </c>
      <c r="CF85" t="str">
        <f t="shared" si="371"/>
        <v/>
      </c>
      <c r="CG85" s="22" t="str">
        <f>IF(CH85="","",MAX($CG$10:CG84)+1)</f>
        <v/>
      </c>
      <c r="CH85" s="22" t="str">
        <f t="shared" si="316"/>
        <v/>
      </c>
      <c r="CI85" s="22" t="str">
        <f>IF(CJ85="","",MAX($CI$10:CI84)+1)</f>
        <v/>
      </c>
      <c r="CJ85" s="22" t="str">
        <f t="shared" si="317"/>
        <v/>
      </c>
    </row>
    <row r="86" spans="2:88" x14ac:dyDescent="0.25">
      <c r="B86" s="37"/>
      <c r="C86" s="3"/>
      <c r="D86" s="77" t="str">
        <f t="shared" si="303"/>
        <v/>
      </c>
      <c r="E86" s="38"/>
      <c r="F86" s="38"/>
      <c r="G86" s="78">
        <f t="shared" si="318"/>
        <v>0</v>
      </c>
      <c r="H86" s="3">
        <v>80</v>
      </c>
      <c r="I86" s="77" t="str">
        <f t="shared" si="304"/>
        <v/>
      </c>
      <c r="J86" s="32"/>
      <c r="K86" s="3"/>
      <c r="L86" s="39"/>
      <c r="M86" s="39"/>
      <c r="N86" s="39"/>
      <c r="O86" s="39"/>
      <c r="P86" s="39"/>
      <c r="Q86" s="39"/>
      <c r="R86" s="39"/>
      <c r="S86" s="39"/>
      <c r="T86" s="3" t="s">
        <v>645</v>
      </c>
      <c r="U86" s="77" t="str">
        <f t="shared" si="305"/>
        <v/>
      </c>
      <c r="V86" s="39">
        <v>1</v>
      </c>
      <c r="W86" s="79">
        <f t="shared" si="319"/>
        <v>0</v>
      </c>
      <c r="X86" s="3">
        <v>0</v>
      </c>
      <c r="Y86" s="77" t="str">
        <f t="shared" si="306"/>
        <v/>
      </c>
      <c r="Z86" s="3"/>
      <c r="AA86" s="37" t="str">
        <f t="shared" si="320"/>
        <v/>
      </c>
      <c r="AC86" s="40"/>
      <c r="AD86" s="7"/>
      <c r="AE86" s="77" t="str">
        <f t="shared" si="307"/>
        <v/>
      </c>
      <c r="AF86" s="81">
        <f t="shared" si="333"/>
        <v>0</v>
      </c>
      <c r="AG86" s="40"/>
      <c r="AH86" s="7"/>
      <c r="AI86" s="77" t="str">
        <f t="shared" si="308"/>
        <v/>
      </c>
      <c r="AJ86" s="81">
        <f t="shared" si="334"/>
        <v>0</v>
      </c>
      <c r="AK86" s="83">
        <f t="shared" si="335"/>
        <v>0</v>
      </c>
      <c r="AL86" s="83">
        <f t="shared" si="336"/>
        <v>0</v>
      </c>
      <c r="AN86" s="43">
        <f t="shared" si="309"/>
        <v>0</v>
      </c>
      <c r="AP86" t="str">
        <f t="shared" si="337"/>
        <v/>
      </c>
      <c r="AQ86" t="str">
        <f t="shared" si="338"/>
        <v/>
      </c>
      <c r="AR86" t="str">
        <f t="shared" si="339"/>
        <v/>
      </c>
      <c r="AS86" t="str">
        <f t="shared" si="340"/>
        <v/>
      </c>
      <c r="AT86" t="str">
        <f t="shared" si="341"/>
        <v/>
      </c>
      <c r="AU86" t="str">
        <f t="shared" si="342"/>
        <v/>
      </c>
      <c r="AV86" t="str">
        <f t="shared" si="343"/>
        <v/>
      </c>
      <c r="AW86" t="str">
        <f t="shared" si="344"/>
        <v xml:space="preserve">                              </v>
      </c>
      <c r="AX86" s="23">
        <f t="shared" si="345"/>
        <v>0</v>
      </c>
      <c r="AY86" s="49" t="str">
        <f t="shared" si="321"/>
        <v>000000000000000</v>
      </c>
      <c r="AZ86" s="23">
        <f t="shared" si="346"/>
        <v>0</v>
      </c>
      <c r="BA86" s="49" t="str">
        <f t="shared" si="321"/>
        <v>000000000000000</v>
      </c>
      <c r="BB86" s="23">
        <f t="shared" si="347"/>
        <v>0</v>
      </c>
      <c r="BC86" s="49" t="str">
        <f t="shared" ref="BC86" si="414">IF(BB86&lt;0,SUBSTITUTE(TEXT(BB86,"000000000000,00"),",",""),SUBSTITUTE(TEXT(BB86,"0000000000000,00"),",",""))</f>
        <v>000000000000000</v>
      </c>
      <c r="BD86" s="23">
        <f t="shared" si="349"/>
        <v>0</v>
      </c>
      <c r="BE86" s="49" t="str">
        <f t="shared" ref="BE86" si="415">IF(BD86&lt;0,SUBSTITUTE(TEXT(BD86,"000000000000,00"),",",""),SUBSTITUTE(TEXT(BD86,"0000000000000,00"),",",""))</f>
        <v>000000000000000</v>
      </c>
      <c r="BF86" s="23">
        <f t="shared" si="351"/>
        <v>0</v>
      </c>
      <c r="BG86" s="49" t="str">
        <f t="shared" ref="BG86" si="416">IF(BF86&lt;0,SUBSTITUTE(TEXT(BF86,"000000000000,00"),",",""),SUBSTITUTE(TEXT(BF86,"0000000000000,00"),",",""))</f>
        <v>000000000000000</v>
      </c>
      <c r="BH86" s="23">
        <f t="shared" si="353"/>
        <v>0</v>
      </c>
      <c r="BI86" s="49" t="str">
        <f t="shared" ref="BI86" si="417">IF(BH86&lt;0,SUBSTITUTE(TEXT(BH86,"000000000000,00"),",",""),SUBSTITUTE(TEXT(BH86,"0000000000000,00"),",",""))</f>
        <v>000000000000000</v>
      </c>
      <c r="BJ86" s="23">
        <f t="shared" si="355"/>
        <v>0</v>
      </c>
      <c r="BK86" s="49" t="str">
        <f t="shared" ref="BK86" si="418">IF(BJ86&lt;0,SUBSTITUTE(TEXT(BJ86,"000000000000,00"),",",""),SUBSTITUTE(TEXT(BJ86,"0000000000000,00"),",",""))</f>
        <v>000000000000000</v>
      </c>
      <c r="BL86" s="23">
        <f t="shared" si="357"/>
        <v>0</v>
      </c>
      <c r="BM86" s="49" t="str">
        <f t="shared" ref="BM86" si="419">IF(BL86&lt;0,SUBSTITUTE(TEXT(BL86,"000000000000,00"),",",""),SUBSTITUTE(TEXT(BL86,"0000000000000,00"),",",""))</f>
        <v>000000000000000</v>
      </c>
      <c r="BN86" t="str">
        <f t="shared" si="359"/>
        <v>PES</v>
      </c>
      <c r="BO86" t="str">
        <f t="shared" si="360"/>
        <v>0001000000</v>
      </c>
      <c r="BP86">
        <f t="shared" si="361"/>
        <v>0</v>
      </c>
      <c r="BQ86">
        <f t="shared" si="362"/>
        <v>0</v>
      </c>
      <c r="BR86" s="23">
        <f t="shared" si="363"/>
        <v>0</v>
      </c>
      <c r="BS86" s="49" t="str">
        <f t="shared" si="328"/>
        <v>000000000000000</v>
      </c>
      <c r="BT86" t="str">
        <f t="shared" si="364"/>
        <v>00000000</v>
      </c>
      <c r="BU86" s="23">
        <f t="shared" si="365"/>
        <v>0</v>
      </c>
      <c r="BV86" s="49" t="str">
        <f t="shared" si="329"/>
        <v/>
      </c>
      <c r="BW86" s="52" t="str">
        <f t="shared" si="366"/>
        <v/>
      </c>
      <c r="BX86" s="23">
        <f t="shared" si="367"/>
        <v>0</v>
      </c>
      <c r="BY86" s="49" t="str">
        <f t="shared" si="330"/>
        <v/>
      </c>
      <c r="BZ86" s="23">
        <f t="shared" si="368"/>
        <v>0</v>
      </c>
      <c r="CA86" s="49" t="str">
        <f t="shared" si="331"/>
        <v/>
      </c>
      <c r="CB86" s="52" t="str">
        <f t="shared" si="369"/>
        <v/>
      </c>
      <c r="CC86" s="23">
        <f t="shared" si="370"/>
        <v>0</v>
      </c>
      <c r="CD86" s="49" t="str">
        <f t="shared" si="332"/>
        <v/>
      </c>
      <c r="CE86" s="56" t="str">
        <f>IF(CF86="","",MAX(CE$10:$CE85)+1)</f>
        <v/>
      </c>
      <c r="CF86" t="str">
        <f t="shared" si="371"/>
        <v/>
      </c>
      <c r="CG86" s="22" t="str">
        <f>IF(CH86="","",MAX($CG$10:CG85)+1)</f>
        <v/>
      </c>
      <c r="CH86" s="22" t="str">
        <f t="shared" si="316"/>
        <v/>
      </c>
      <c r="CI86" s="22" t="str">
        <f>IF(CJ86="","",MAX($CI$10:CI85)+1)</f>
        <v/>
      </c>
      <c r="CJ86" s="22" t="str">
        <f t="shared" si="317"/>
        <v/>
      </c>
    </row>
    <row r="87" spans="2:88" x14ac:dyDescent="0.25">
      <c r="B87" s="37"/>
      <c r="C87" s="3"/>
      <c r="D87" s="77" t="str">
        <f t="shared" si="303"/>
        <v/>
      </c>
      <c r="E87" s="38"/>
      <c r="F87" s="38"/>
      <c r="G87" s="78">
        <f t="shared" si="318"/>
        <v>0</v>
      </c>
      <c r="H87" s="3">
        <v>80</v>
      </c>
      <c r="I87" s="77" t="str">
        <f t="shared" si="304"/>
        <v/>
      </c>
      <c r="J87" s="32"/>
      <c r="K87" s="3"/>
      <c r="L87" s="39"/>
      <c r="M87" s="39"/>
      <c r="N87" s="39"/>
      <c r="O87" s="39"/>
      <c r="P87" s="39"/>
      <c r="Q87" s="39"/>
      <c r="R87" s="39"/>
      <c r="S87" s="39"/>
      <c r="T87" s="3" t="s">
        <v>645</v>
      </c>
      <c r="U87" s="77" t="str">
        <f t="shared" si="305"/>
        <v/>
      </c>
      <c r="V87" s="39">
        <v>1</v>
      </c>
      <c r="W87" s="79">
        <f t="shared" si="319"/>
        <v>0</v>
      </c>
      <c r="X87" s="3">
        <v>0</v>
      </c>
      <c r="Y87" s="77" t="str">
        <f t="shared" si="306"/>
        <v/>
      </c>
      <c r="Z87" s="3"/>
      <c r="AA87" s="37" t="str">
        <f t="shared" si="320"/>
        <v/>
      </c>
      <c r="AC87" s="40"/>
      <c r="AD87" s="7"/>
      <c r="AE87" s="77" t="str">
        <f t="shared" si="307"/>
        <v/>
      </c>
      <c r="AF87" s="81">
        <f t="shared" si="333"/>
        <v>0</v>
      </c>
      <c r="AG87" s="40"/>
      <c r="AH87" s="7"/>
      <c r="AI87" s="77" t="str">
        <f t="shared" si="308"/>
        <v/>
      </c>
      <c r="AJ87" s="81">
        <f t="shared" si="334"/>
        <v>0</v>
      </c>
      <c r="AK87" s="83">
        <f t="shared" si="335"/>
        <v>0</v>
      </c>
      <c r="AL87" s="83">
        <f t="shared" si="336"/>
        <v>0</v>
      </c>
      <c r="AN87" s="43">
        <f t="shared" si="309"/>
        <v>0</v>
      </c>
      <c r="AP87" t="str">
        <f t="shared" si="337"/>
        <v/>
      </c>
      <c r="AQ87" t="str">
        <f t="shared" si="338"/>
        <v/>
      </c>
      <c r="AR87" t="str">
        <f t="shared" si="339"/>
        <v/>
      </c>
      <c r="AS87" t="str">
        <f t="shared" si="340"/>
        <v/>
      </c>
      <c r="AT87" t="str">
        <f t="shared" si="341"/>
        <v/>
      </c>
      <c r="AU87" t="str">
        <f t="shared" si="342"/>
        <v/>
      </c>
      <c r="AV87" t="str">
        <f t="shared" si="343"/>
        <v/>
      </c>
      <c r="AW87" t="str">
        <f t="shared" si="344"/>
        <v xml:space="preserve">                              </v>
      </c>
      <c r="AX87" s="23">
        <f t="shared" si="345"/>
        <v>0</v>
      </c>
      <c r="AY87" s="49" t="str">
        <f t="shared" si="321"/>
        <v>000000000000000</v>
      </c>
      <c r="AZ87" s="23">
        <f t="shared" si="346"/>
        <v>0</v>
      </c>
      <c r="BA87" s="49" t="str">
        <f t="shared" si="321"/>
        <v>000000000000000</v>
      </c>
      <c r="BB87" s="23">
        <f t="shared" si="347"/>
        <v>0</v>
      </c>
      <c r="BC87" s="49" t="str">
        <f t="shared" ref="BC87" si="420">IF(BB87&lt;0,SUBSTITUTE(TEXT(BB87,"000000000000,00"),",",""),SUBSTITUTE(TEXT(BB87,"0000000000000,00"),",",""))</f>
        <v>000000000000000</v>
      </c>
      <c r="BD87" s="23">
        <f t="shared" si="349"/>
        <v>0</v>
      </c>
      <c r="BE87" s="49" t="str">
        <f t="shared" ref="BE87" si="421">IF(BD87&lt;0,SUBSTITUTE(TEXT(BD87,"000000000000,00"),",",""),SUBSTITUTE(TEXT(BD87,"0000000000000,00"),",",""))</f>
        <v>000000000000000</v>
      </c>
      <c r="BF87" s="23">
        <f t="shared" si="351"/>
        <v>0</v>
      </c>
      <c r="BG87" s="49" t="str">
        <f t="shared" ref="BG87" si="422">IF(BF87&lt;0,SUBSTITUTE(TEXT(BF87,"000000000000,00"),",",""),SUBSTITUTE(TEXT(BF87,"0000000000000,00"),",",""))</f>
        <v>000000000000000</v>
      </c>
      <c r="BH87" s="23">
        <f t="shared" si="353"/>
        <v>0</v>
      </c>
      <c r="BI87" s="49" t="str">
        <f t="shared" ref="BI87" si="423">IF(BH87&lt;0,SUBSTITUTE(TEXT(BH87,"000000000000,00"),",",""),SUBSTITUTE(TEXT(BH87,"0000000000000,00"),",",""))</f>
        <v>000000000000000</v>
      </c>
      <c r="BJ87" s="23">
        <f t="shared" si="355"/>
        <v>0</v>
      </c>
      <c r="BK87" s="49" t="str">
        <f t="shared" ref="BK87" si="424">IF(BJ87&lt;0,SUBSTITUTE(TEXT(BJ87,"000000000000,00"),",",""),SUBSTITUTE(TEXT(BJ87,"0000000000000,00"),",",""))</f>
        <v>000000000000000</v>
      </c>
      <c r="BL87" s="23">
        <f t="shared" si="357"/>
        <v>0</v>
      </c>
      <c r="BM87" s="49" t="str">
        <f t="shared" ref="BM87" si="425">IF(BL87&lt;0,SUBSTITUTE(TEXT(BL87,"000000000000,00"),",",""),SUBSTITUTE(TEXT(BL87,"0000000000000,00"),",",""))</f>
        <v>000000000000000</v>
      </c>
      <c r="BN87" t="str">
        <f t="shared" si="359"/>
        <v>PES</v>
      </c>
      <c r="BO87" t="str">
        <f t="shared" si="360"/>
        <v>0001000000</v>
      </c>
      <c r="BP87">
        <f t="shared" si="361"/>
        <v>0</v>
      </c>
      <c r="BQ87">
        <f t="shared" si="362"/>
        <v>0</v>
      </c>
      <c r="BR87" s="23">
        <f t="shared" si="363"/>
        <v>0</v>
      </c>
      <c r="BS87" s="49" t="str">
        <f t="shared" si="328"/>
        <v>000000000000000</v>
      </c>
      <c r="BT87" t="str">
        <f t="shared" si="364"/>
        <v>00000000</v>
      </c>
      <c r="BU87" s="23">
        <f t="shared" si="365"/>
        <v>0</v>
      </c>
      <c r="BV87" s="49" t="str">
        <f t="shared" si="329"/>
        <v/>
      </c>
      <c r="BW87" s="52" t="str">
        <f t="shared" si="366"/>
        <v/>
      </c>
      <c r="BX87" s="23">
        <f t="shared" si="367"/>
        <v>0</v>
      </c>
      <c r="BY87" s="49" t="str">
        <f t="shared" si="330"/>
        <v/>
      </c>
      <c r="BZ87" s="23">
        <f t="shared" si="368"/>
        <v>0</v>
      </c>
      <c r="CA87" s="49" t="str">
        <f t="shared" si="331"/>
        <v/>
      </c>
      <c r="CB87" s="52" t="str">
        <f t="shared" si="369"/>
        <v/>
      </c>
      <c r="CC87" s="23">
        <f t="shared" si="370"/>
        <v>0</v>
      </c>
      <c r="CD87" s="49" t="str">
        <f t="shared" si="332"/>
        <v/>
      </c>
      <c r="CE87" s="56" t="str">
        <f>IF(CF87="","",MAX(CE$10:$CE86)+1)</f>
        <v/>
      </c>
      <c r="CF87" t="str">
        <f t="shared" si="371"/>
        <v/>
      </c>
      <c r="CG87" s="22" t="str">
        <f>IF(CH87="","",MAX($CG$10:CG86)+1)</f>
        <v/>
      </c>
      <c r="CH87" s="22" t="str">
        <f t="shared" si="316"/>
        <v/>
      </c>
      <c r="CI87" s="22" t="str">
        <f>IF(CJ87="","",MAX($CI$10:CI86)+1)</f>
        <v/>
      </c>
      <c r="CJ87" s="22" t="str">
        <f t="shared" si="317"/>
        <v/>
      </c>
    </row>
    <row r="88" spans="2:88" x14ac:dyDescent="0.25">
      <c r="B88" s="37"/>
      <c r="C88" s="3"/>
      <c r="D88" s="77" t="str">
        <f t="shared" si="303"/>
        <v/>
      </c>
      <c r="E88" s="38"/>
      <c r="F88" s="38"/>
      <c r="G88" s="78">
        <f t="shared" si="318"/>
        <v>0</v>
      </c>
      <c r="H88" s="3">
        <v>80</v>
      </c>
      <c r="I88" s="77" t="str">
        <f t="shared" si="304"/>
        <v/>
      </c>
      <c r="J88" s="32"/>
      <c r="K88" s="3"/>
      <c r="L88" s="39"/>
      <c r="M88" s="39"/>
      <c r="N88" s="39"/>
      <c r="O88" s="39"/>
      <c r="P88" s="39"/>
      <c r="Q88" s="39"/>
      <c r="R88" s="39"/>
      <c r="S88" s="39"/>
      <c r="T88" s="3" t="s">
        <v>645</v>
      </c>
      <c r="U88" s="77" t="str">
        <f t="shared" si="305"/>
        <v/>
      </c>
      <c r="V88" s="39">
        <v>1</v>
      </c>
      <c r="W88" s="79">
        <f t="shared" si="319"/>
        <v>0</v>
      </c>
      <c r="X88" s="3">
        <v>0</v>
      </c>
      <c r="Y88" s="77" t="str">
        <f t="shared" si="306"/>
        <v/>
      </c>
      <c r="Z88" s="3"/>
      <c r="AA88" s="37" t="str">
        <f t="shared" si="320"/>
        <v/>
      </c>
      <c r="AC88" s="40"/>
      <c r="AD88" s="7"/>
      <c r="AE88" s="77" t="str">
        <f t="shared" si="307"/>
        <v/>
      </c>
      <c r="AF88" s="81">
        <f t="shared" si="333"/>
        <v>0</v>
      </c>
      <c r="AG88" s="40"/>
      <c r="AH88" s="7"/>
      <c r="AI88" s="77" t="str">
        <f t="shared" si="308"/>
        <v/>
      </c>
      <c r="AJ88" s="81">
        <f t="shared" si="334"/>
        <v>0</v>
      </c>
      <c r="AK88" s="83">
        <f t="shared" si="335"/>
        <v>0</v>
      </c>
      <c r="AL88" s="83">
        <f t="shared" si="336"/>
        <v>0</v>
      </c>
      <c r="AN88" s="43">
        <f t="shared" si="309"/>
        <v>0</v>
      </c>
      <c r="AP88" t="str">
        <f t="shared" si="337"/>
        <v/>
      </c>
      <c r="AQ88" t="str">
        <f t="shared" si="338"/>
        <v/>
      </c>
      <c r="AR88" t="str">
        <f t="shared" si="339"/>
        <v/>
      </c>
      <c r="AS88" t="str">
        <f t="shared" si="340"/>
        <v/>
      </c>
      <c r="AT88" t="str">
        <f t="shared" si="341"/>
        <v/>
      </c>
      <c r="AU88" t="str">
        <f t="shared" si="342"/>
        <v/>
      </c>
      <c r="AV88" t="str">
        <f t="shared" si="343"/>
        <v/>
      </c>
      <c r="AW88" t="str">
        <f t="shared" si="344"/>
        <v xml:space="preserve">                              </v>
      </c>
      <c r="AX88" s="23">
        <f t="shared" si="345"/>
        <v>0</v>
      </c>
      <c r="AY88" s="49" t="str">
        <f t="shared" si="321"/>
        <v>000000000000000</v>
      </c>
      <c r="AZ88" s="23">
        <f t="shared" si="346"/>
        <v>0</v>
      </c>
      <c r="BA88" s="49" t="str">
        <f t="shared" si="321"/>
        <v>000000000000000</v>
      </c>
      <c r="BB88" s="23">
        <f t="shared" si="347"/>
        <v>0</v>
      </c>
      <c r="BC88" s="49" t="str">
        <f t="shared" ref="BC88" si="426">IF(BB88&lt;0,SUBSTITUTE(TEXT(BB88,"000000000000,00"),",",""),SUBSTITUTE(TEXT(BB88,"0000000000000,00"),",",""))</f>
        <v>000000000000000</v>
      </c>
      <c r="BD88" s="23">
        <f t="shared" si="349"/>
        <v>0</v>
      </c>
      <c r="BE88" s="49" t="str">
        <f t="shared" ref="BE88" si="427">IF(BD88&lt;0,SUBSTITUTE(TEXT(BD88,"000000000000,00"),",",""),SUBSTITUTE(TEXT(BD88,"0000000000000,00"),",",""))</f>
        <v>000000000000000</v>
      </c>
      <c r="BF88" s="23">
        <f t="shared" si="351"/>
        <v>0</v>
      </c>
      <c r="BG88" s="49" t="str">
        <f t="shared" ref="BG88" si="428">IF(BF88&lt;0,SUBSTITUTE(TEXT(BF88,"000000000000,00"),",",""),SUBSTITUTE(TEXT(BF88,"0000000000000,00"),",",""))</f>
        <v>000000000000000</v>
      </c>
      <c r="BH88" s="23">
        <f t="shared" si="353"/>
        <v>0</v>
      </c>
      <c r="BI88" s="49" t="str">
        <f t="shared" ref="BI88" si="429">IF(BH88&lt;0,SUBSTITUTE(TEXT(BH88,"000000000000,00"),",",""),SUBSTITUTE(TEXT(BH88,"0000000000000,00"),",",""))</f>
        <v>000000000000000</v>
      </c>
      <c r="BJ88" s="23">
        <f t="shared" si="355"/>
        <v>0</v>
      </c>
      <c r="BK88" s="49" t="str">
        <f t="shared" ref="BK88" si="430">IF(BJ88&lt;0,SUBSTITUTE(TEXT(BJ88,"000000000000,00"),",",""),SUBSTITUTE(TEXT(BJ88,"0000000000000,00"),",",""))</f>
        <v>000000000000000</v>
      </c>
      <c r="BL88" s="23">
        <f t="shared" si="357"/>
        <v>0</v>
      </c>
      <c r="BM88" s="49" t="str">
        <f t="shared" ref="BM88" si="431">IF(BL88&lt;0,SUBSTITUTE(TEXT(BL88,"000000000000,00"),",",""),SUBSTITUTE(TEXT(BL88,"0000000000000,00"),",",""))</f>
        <v>000000000000000</v>
      </c>
      <c r="BN88" t="str">
        <f t="shared" si="359"/>
        <v>PES</v>
      </c>
      <c r="BO88" t="str">
        <f t="shared" si="360"/>
        <v>0001000000</v>
      </c>
      <c r="BP88">
        <f t="shared" si="361"/>
        <v>0</v>
      </c>
      <c r="BQ88">
        <f t="shared" si="362"/>
        <v>0</v>
      </c>
      <c r="BR88" s="23">
        <f t="shared" si="363"/>
        <v>0</v>
      </c>
      <c r="BS88" s="49" t="str">
        <f t="shared" si="328"/>
        <v>000000000000000</v>
      </c>
      <c r="BT88" t="str">
        <f t="shared" si="364"/>
        <v>00000000</v>
      </c>
      <c r="BU88" s="23">
        <f t="shared" si="365"/>
        <v>0</v>
      </c>
      <c r="BV88" s="49" t="str">
        <f t="shared" si="329"/>
        <v/>
      </c>
      <c r="BW88" s="52" t="str">
        <f t="shared" si="366"/>
        <v/>
      </c>
      <c r="BX88" s="23">
        <f t="shared" si="367"/>
        <v>0</v>
      </c>
      <c r="BY88" s="49" t="str">
        <f t="shared" si="330"/>
        <v/>
      </c>
      <c r="BZ88" s="23">
        <f t="shared" si="368"/>
        <v>0</v>
      </c>
      <c r="CA88" s="49" t="str">
        <f t="shared" si="331"/>
        <v/>
      </c>
      <c r="CB88" s="52" t="str">
        <f t="shared" si="369"/>
        <v/>
      </c>
      <c r="CC88" s="23">
        <f t="shared" si="370"/>
        <v>0</v>
      </c>
      <c r="CD88" s="49" t="str">
        <f t="shared" si="332"/>
        <v/>
      </c>
      <c r="CE88" s="56" t="str">
        <f>IF(CF88="","",MAX(CE$10:$CE87)+1)</f>
        <v/>
      </c>
      <c r="CF88" t="str">
        <f t="shared" si="371"/>
        <v/>
      </c>
      <c r="CG88" s="22" t="str">
        <f>IF(CH88="","",MAX($CG$10:CG87)+1)</f>
        <v/>
      </c>
      <c r="CH88" s="22" t="str">
        <f t="shared" si="316"/>
        <v/>
      </c>
      <c r="CI88" s="22" t="str">
        <f>IF(CJ88="","",MAX($CI$10:CI87)+1)</f>
        <v/>
      </c>
      <c r="CJ88" s="22" t="str">
        <f t="shared" si="317"/>
        <v/>
      </c>
    </row>
    <row r="89" spans="2:88" x14ac:dyDescent="0.25">
      <c r="B89" s="37"/>
      <c r="C89" s="3"/>
      <c r="D89" s="77" t="str">
        <f t="shared" si="303"/>
        <v/>
      </c>
      <c r="E89" s="38"/>
      <c r="F89" s="38"/>
      <c r="G89" s="78">
        <f t="shared" si="318"/>
        <v>0</v>
      </c>
      <c r="H89" s="3">
        <v>80</v>
      </c>
      <c r="I89" s="77" t="str">
        <f t="shared" si="304"/>
        <v/>
      </c>
      <c r="J89" s="32"/>
      <c r="K89" s="3"/>
      <c r="L89" s="39"/>
      <c r="M89" s="39"/>
      <c r="N89" s="39"/>
      <c r="O89" s="39"/>
      <c r="P89" s="39"/>
      <c r="Q89" s="39"/>
      <c r="R89" s="39"/>
      <c r="S89" s="39"/>
      <c r="T89" s="3" t="s">
        <v>645</v>
      </c>
      <c r="U89" s="77" t="str">
        <f t="shared" si="305"/>
        <v/>
      </c>
      <c r="V89" s="39">
        <v>1</v>
      </c>
      <c r="W89" s="79">
        <f t="shared" si="319"/>
        <v>0</v>
      </c>
      <c r="X89" s="3">
        <v>0</v>
      </c>
      <c r="Y89" s="77" t="str">
        <f t="shared" si="306"/>
        <v/>
      </c>
      <c r="Z89" s="3"/>
      <c r="AA89" s="37" t="str">
        <f t="shared" si="320"/>
        <v/>
      </c>
      <c r="AC89" s="40"/>
      <c r="AD89" s="7"/>
      <c r="AE89" s="77" t="str">
        <f t="shared" si="307"/>
        <v/>
      </c>
      <c r="AF89" s="81">
        <f t="shared" si="333"/>
        <v>0</v>
      </c>
      <c r="AG89" s="40"/>
      <c r="AH89" s="7"/>
      <c r="AI89" s="77" t="str">
        <f t="shared" si="308"/>
        <v/>
      </c>
      <c r="AJ89" s="81">
        <f t="shared" si="334"/>
        <v>0</v>
      </c>
      <c r="AK89" s="83">
        <f t="shared" si="335"/>
        <v>0</v>
      </c>
      <c r="AL89" s="83">
        <f t="shared" si="336"/>
        <v>0</v>
      </c>
      <c r="AN89" s="43">
        <f t="shared" si="309"/>
        <v>0</v>
      </c>
      <c r="AP89" t="str">
        <f t="shared" si="337"/>
        <v/>
      </c>
      <c r="AQ89" t="str">
        <f t="shared" si="338"/>
        <v/>
      </c>
      <c r="AR89" t="str">
        <f t="shared" si="339"/>
        <v/>
      </c>
      <c r="AS89" t="str">
        <f t="shared" si="340"/>
        <v/>
      </c>
      <c r="AT89" t="str">
        <f t="shared" si="341"/>
        <v/>
      </c>
      <c r="AU89" t="str">
        <f t="shared" si="342"/>
        <v/>
      </c>
      <c r="AV89" t="str">
        <f t="shared" si="343"/>
        <v/>
      </c>
      <c r="AW89" t="str">
        <f t="shared" si="344"/>
        <v xml:space="preserve">                              </v>
      </c>
      <c r="AX89" s="23">
        <f t="shared" si="345"/>
        <v>0</v>
      </c>
      <c r="AY89" s="49" t="str">
        <f t="shared" si="321"/>
        <v>000000000000000</v>
      </c>
      <c r="AZ89" s="23">
        <f t="shared" si="346"/>
        <v>0</v>
      </c>
      <c r="BA89" s="49" t="str">
        <f t="shared" si="321"/>
        <v>000000000000000</v>
      </c>
      <c r="BB89" s="23">
        <f t="shared" si="347"/>
        <v>0</v>
      </c>
      <c r="BC89" s="49" t="str">
        <f t="shared" ref="BC89" si="432">IF(BB89&lt;0,SUBSTITUTE(TEXT(BB89,"000000000000,00"),",",""),SUBSTITUTE(TEXT(BB89,"0000000000000,00"),",",""))</f>
        <v>000000000000000</v>
      </c>
      <c r="BD89" s="23">
        <f t="shared" si="349"/>
        <v>0</v>
      </c>
      <c r="BE89" s="49" t="str">
        <f t="shared" ref="BE89" si="433">IF(BD89&lt;0,SUBSTITUTE(TEXT(BD89,"000000000000,00"),",",""),SUBSTITUTE(TEXT(BD89,"0000000000000,00"),",",""))</f>
        <v>000000000000000</v>
      </c>
      <c r="BF89" s="23">
        <f t="shared" si="351"/>
        <v>0</v>
      </c>
      <c r="BG89" s="49" t="str">
        <f t="shared" ref="BG89" si="434">IF(BF89&lt;0,SUBSTITUTE(TEXT(BF89,"000000000000,00"),",",""),SUBSTITUTE(TEXT(BF89,"0000000000000,00"),",",""))</f>
        <v>000000000000000</v>
      </c>
      <c r="BH89" s="23">
        <f t="shared" si="353"/>
        <v>0</v>
      </c>
      <c r="BI89" s="49" t="str">
        <f t="shared" ref="BI89" si="435">IF(BH89&lt;0,SUBSTITUTE(TEXT(BH89,"000000000000,00"),",",""),SUBSTITUTE(TEXT(BH89,"0000000000000,00"),",",""))</f>
        <v>000000000000000</v>
      </c>
      <c r="BJ89" s="23">
        <f t="shared" si="355"/>
        <v>0</v>
      </c>
      <c r="BK89" s="49" t="str">
        <f t="shared" ref="BK89" si="436">IF(BJ89&lt;0,SUBSTITUTE(TEXT(BJ89,"000000000000,00"),",",""),SUBSTITUTE(TEXT(BJ89,"0000000000000,00"),",",""))</f>
        <v>000000000000000</v>
      </c>
      <c r="BL89" s="23">
        <f t="shared" si="357"/>
        <v>0</v>
      </c>
      <c r="BM89" s="49" t="str">
        <f t="shared" ref="BM89" si="437">IF(BL89&lt;0,SUBSTITUTE(TEXT(BL89,"000000000000,00"),",",""),SUBSTITUTE(TEXT(BL89,"0000000000000,00"),",",""))</f>
        <v>000000000000000</v>
      </c>
      <c r="BN89" t="str">
        <f t="shared" si="359"/>
        <v>PES</v>
      </c>
      <c r="BO89" t="str">
        <f t="shared" si="360"/>
        <v>0001000000</v>
      </c>
      <c r="BP89">
        <f t="shared" si="361"/>
        <v>0</v>
      </c>
      <c r="BQ89">
        <f t="shared" si="362"/>
        <v>0</v>
      </c>
      <c r="BR89" s="23">
        <f t="shared" si="363"/>
        <v>0</v>
      </c>
      <c r="BS89" s="49" t="str">
        <f t="shared" si="328"/>
        <v>000000000000000</v>
      </c>
      <c r="BT89" t="str">
        <f t="shared" si="364"/>
        <v>00000000</v>
      </c>
      <c r="BU89" s="23">
        <f t="shared" si="365"/>
        <v>0</v>
      </c>
      <c r="BV89" s="49" t="str">
        <f t="shared" si="329"/>
        <v/>
      </c>
      <c r="BW89" s="52" t="str">
        <f t="shared" si="366"/>
        <v/>
      </c>
      <c r="BX89" s="23">
        <f t="shared" si="367"/>
        <v>0</v>
      </c>
      <c r="BY89" s="49" t="str">
        <f t="shared" si="330"/>
        <v/>
      </c>
      <c r="BZ89" s="23">
        <f t="shared" si="368"/>
        <v>0</v>
      </c>
      <c r="CA89" s="49" t="str">
        <f t="shared" si="331"/>
        <v/>
      </c>
      <c r="CB89" s="52" t="str">
        <f t="shared" si="369"/>
        <v/>
      </c>
      <c r="CC89" s="23">
        <f t="shared" si="370"/>
        <v>0</v>
      </c>
      <c r="CD89" s="49" t="str">
        <f t="shared" si="332"/>
        <v/>
      </c>
      <c r="CE89" s="56" t="str">
        <f>IF(CF89="","",MAX(CE$10:$CE88)+1)</f>
        <v/>
      </c>
      <c r="CF89" t="str">
        <f t="shared" si="371"/>
        <v/>
      </c>
      <c r="CG89" s="22" t="str">
        <f>IF(CH89="","",MAX($CG$10:CG88)+1)</f>
        <v/>
      </c>
      <c r="CH89" s="22" t="str">
        <f t="shared" si="316"/>
        <v/>
      </c>
      <c r="CI89" s="22" t="str">
        <f>IF(CJ89="","",MAX($CI$10:CI88)+1)</f>
        <v/>
      </c>
      <c r="CJ89" s="22" t="str">
        <f t="shared" si="317"/>
        <v/>
      </c>
    </row>
    <row r="90" spans="2:88" x14ac:dyDescent="0.25">
      <c r="B90" s="37"/>
      <c r="C90" s="3"/>
      <c r="D90" s="77" t="str">
        <f t="shared" si="303"/>
        <v/>
      </c>
      <c r="E90" s="38"/>
      <c r="F90" s="38"/>
      <c r="G90" s="78">
        <f t="shared" si="318"/>
        <v>0</v>
      </c>
      <c r="H90" s="3">
        <v>80</v>
      </c>
      <c r="I90" s="77" t="str">
        <f t="shared" si="304"/>
        <v/>
      </c>
      <c r="J90" s="32"/>
      <c r="K90" s="3"/>
      <c r="L90" s="39"/>
      <c r="M90" s="39"/>
      <c r="N90" s="39"/>
      <c r="O90" s="39"/>
      <c r="P90" s="39"/>
      <c r="Q90" s="39"/>
      <c r="R90" s="39"/>
      <c r="S90" s="39"/>
      <c r="T90" s="3" t="s">
        <v>645</v>
      </c>
      <c r="U90" s="77" t="str">
        <f t="shared" si="305"/>
        <v/>
      </c>
      <c r="V90" s="39">
        <v>1</v>
      </c>
      <c r="W90" s="79">
        <f t="shared" si="319"/>
        <v>0</v>
      </c>
      <c r="X90" s="3">
        <v>0</v>
      </c>
      <c r="Y90" s="77" t="str">
        <f t="shared" si="306"/>
        <v/>
      </c>
      <c r="Z90" s="3"/>
      <c r="AA90" s="37" t="str">
        <f t="shared" si="320"/>
        <v/>
      </c>
      <c r="AC90" s="40"/>
      <c r="AD90" s="7"/>
      <c r="AE90" s="77" t="str">
        <f t="shared" si="307"/>
        <v/>
      </c>
      <c r="AF90" s="81">
        <f t="shared" si="333"/>
        <v>0</v>
      </c>
      <c r="AG90" s="40"/>
      <c r="AH90" s="7"/>
      <c r="AI90" s="77" t="str">
        <f t="shared" si="308"/>
        <v/>
      </c>
      <c r="AJ90" s="81">
        <f t="shared" si="334"/>
        <v>0</v>
      </c>
      <c r="AK90" s="83">
        <f t="shared" si="335"/>
        <v>0</v>
      </c>
      <c r="AL90" s="83">
        <f t="shared" si="336"/>
        <v>0</v>
      </c>
      <c r="AN90" s="43">
        <f t="shared" si="309"/>
        <v>0</v>
      </c>
      <c r="AP90" t="str">
        <f t="shared" si="337"/>
        <v/>
      </c>
      <c r="AQ90" t="str">
        <f t="shared" si="338"/>
        <v/>
      </c>
      <c r="AR90" t="str">
        <f t="shared" si="339"/>
        <v/>
      </c>
      <c r="AS90" t="str">
        <f t="shared" si="340"/>
        <v/>
      </c>
      <c r="AT90" t="str">
        <f t="shared" si="341"/>
        <v/>
      </c>
      <c r="AU90" t="str">
        <f t="shared" si="342"/>
        <v/>
      </c>
      <c r="AV90" t="str">
        <f t="shared" si="343"/>
        <v/>
      </c>
      <c r="AW90" t="str">
        <f t="shared" si="344"/>
        <v xml:space="preserve">                              </v>
      </c>
      <c r="AX90" s="23">
        <f t="shared" si="345"/>
        <v>0</v>
      </c>
      <c r="AY90" s="49" t="str">
        <f t="shared" si="321"/>
        <v>000000000000000</v>
      </c>
      <c r="AZ90" s="23">
        <f t="shared" si="346"/>
        <v>0</v>
      </c>
      <c r="BA90" s="49" t="str">
        <f t="shared" si="321"/>
        <v>000000000000000</v>
      </c>
      <c r="BB90" s="23">
        <f t="shared" si="347"/>
        <v>0</v>
      </c>
      <c r="BC90" s="49" t="str">
        <f t="shared" ref="BC90" si="438">IF(BB90&lt;0,SUBSTITUTE(TEXT(BB90,"000000000000,00"),",",""),SUBSTITUTE(TEXT(BB90,"0000000000000,00"),",",""))</f>
        <v>000000000000000</v>
      </c>
      <c r="BD90" s="23">
        <f t="shared" si="349"/>
        <v>0</v>
      </c>
      <c r="BE90" s="49" t="str">
        <f t="shared" ref="BE90" si="439">IF(BD90&lt;0,SUBSTITUTE(TEXT(BD90,"000000000000,00"),",",""),SUBSTITUTE(TEXT(BD90,"0000000000000,00"),",",""))</f>
        <v>000000000000000</v>
      </c>
      <c r="BF90" s="23">
        <f t="shared" si="351"/>
        <v>0</v>
      </c>
      <c r="BG90" s="49" t="str">
        <f t="shared" ref="BG90" si="440">IF(BF90&lt;0,SUBSTITUTE(TEXT(BF90,"000000000000,00"),",",""),SUBSTITUTE(TEXT(BF90,"0000000000000,00"),",",""))</f>
        <v>000000000000000</v>
      </c>
      <c r="BH90" s="23">
        <f t="shared" si="353"/>
        <v>0</v>
      </c>
      <c r="BI90" s="49" t="str">
        <f t="shared" ref="BI90" si="441">IF(BH90&lt;0,SUBSTITUTE(TEXT(BH90,"000000000000,00"),",",""),SUBSTITUTE(TEXT(BH90,"0000000000000,00"),",",""))</f>
        <v>000000000000000</v>
      </c>
      <c r="BJ90" s="23">
        <f t="shared" si="355"/>
        <v>0</v>
      </c>
      <c r="BK90" s="49" t="str">
        <f t="shared" ref="BK90" si="442">IF(BJ90&lt;0,SUBSTITUTE(TEXT(BJ90,"000000000000,00"),",",""),SUBSTITUTE(TEXT(BJ90,"0000000000000,00"),",",""))</f>
        <v>000000000000000</v>
      </c>
      <c r="BL90" s="23">
        <f t="shared" si="357"/>
        <v>0</v>
      </c>
      <c r="BM90" s="49" t="str">
        <f t="shared" ref="BM90" si="443">IF(BL90&lt;0,SUBSTITUTE(TEXT(BL90,"000000000000,00"),",",""),SUBSTITUTE(TEXT(BL90,"0000000000000,00"),",",""))</f>
        <v>000000000000000</v>
      </c>
      <c r="BN90" t="str">
        <f t="shared" si="359"/>
        <v>PES</v>
      </c>
      <c r="BO90" t="str">
        <f t="shared" si="360"/>
        <v>0001000000</v>
      </c>
      <c r="BP90">
        <f t="shared" si="361"/>
        <v>0</v>
      </c>
      <c r="BQ90">
        <f t="shared" si="362"/>
        <v>0</v>
      </c>
      <c r="BR90" s="23">
        <f t="shared" si="363"/>
        <v>0</v>
      </c>
      <c r="BS90" s="49" t="str">
        <f t="shared" si="328"/>
        <v>000000000000000</v>
      </c>
      <c r="BT90" t="str">
        <f t="shared" si="364"/>
        <v>00000000</v>
      </c>
      <c r="BU90" s="23">
        <f t="shared" si="365"/>
        <v>0</v>
      </c>
      <c r="BV90" s="49" t="str">
        <f t="shared" si="329"/>
        <v/>
      </c>
      <c r="BW90" s="52" t="str">
        <f t="shared" si="366"/>
        <v/>
      </c>
      <c r="BX90" s="23">
        <f t="shared" si="367"/>
        <v>0</v>
      </c>
      <c r="BY90" s="49" t="str">
        <f t="shared" si="330"/>
        <v/>
      </c>
      <c r="BZ90" s="23">
        <f t="shared" si="368"/>
        <v>0</v>
      </c>
      <c r="CA90" s="49" t="str">
        <f t="shared" si="331"/>
        <v/>
      </c>
      <c r="CB90" s="52" t="str">
        <f t="shared" si="369"/>
        <v/>
      </c>
      <c r="CC90" s="23">
        <f t="shared" si="370"/>
        <v>0</v>
      </c>
      <c r="CD90" s="49" t="str">
        <f t="shared" si="332"/>
        <v/>
      </c>
      <c r="CE90" s="56" t="str">
        <f>IF(CF90="","",MAX(CE$10:$CE89)+1)</f>
        <v/>
      </c>
      <c r="CF90" t="str">
        <f t="shared" si="371"/>
        <v/>
      </c>
      <c r="CG90" s="22" t="str">
        <f>IF(CH90="","",MAX($CG$10:CG89)+1)</f>
        <v/>
      </c>
      <c r="CH90" s="22" t="str">
        <f t="shared" si="316"/>
        <v/>
      </c>
      <c r="CI90" s="22" t="str">
        <f>IF(CJ90="","",MAX($CI$10:CI89)+1)</f>
        <v/>
      </c>
      <c r="CJ90" s="22" t="str">
        <f t="shared" si="317"/>
        <v/>
      </c>
    </row>
    <row r="91" spans="2:88" x14ac:dyDescent="0.25">
      <c r="B91" s="37"/>
      <c r="C91" s="3"/>
      <c r="D91" s="77" t="str">
        <f t="shared" si="303"/>
        <v/>
      </c>
      <c r="E91" s="38"/>
      <c r="F91" s="38"/>
      <c r="G91" s="78">
        <f t="shared" si="318"/>
        <v>0</v>
      </c>
      <c r="H91" s="3">
        <v>80</v>
      </c>
      <c r="I91" s="77" t="str">
        <f t="shared" si="304"/>
        <v/>
      </c>
      <c r="J91" s="32"/>
      <c r="K91" s="3"/>
      <c r="L91" s="39"/>
      <c r="M91" s="39"/>
      <c r="N91" s="39"/>
      <c r="O91" s="39"/>
      <c r="P91" s="39"/>
      <c r="Q91" s="39"/>
      <c r="R91" s="39"/>
      <c r="S91" s="39"/>
      <c r="T91" s="3" t="s">
        <v>645</v>
      </c>
      <c r="U91" s="77" t="str">
        <f t="shared" si="305"/>
        <v/>
      </c>
      <c r="V91" s="39">
        <v>1</v>
      </c>
      <c r="W91" s="79">
        <f t="shared" si="319"/>
        <v>0</v>
      </c>
      <c r="X91" s="3">
        <v>0</v>
      </c>
      <c r="Y91" s="77" t="str">
        <f t="shared" si="306"/>
        <v/>
      </c>
      <c r="Z91" s="3"/>
      <c r="AA91" s="37" t="str">
        <f t="shared" si="320"/>
        <v/>
      </c>
      <c r="AC91" s="40"/>
      <c r="AD91" s="7"/>
      <c r="AE91" s="77" t="str">
        <f t="shared" si="307"/>
        <v/>
      </c>
      <c r="AF91" s="81">
        <f t="shared" si="333"/>
        <v>0</v>
      </c>
      <c r="AG91" s="40"/>
      <c r="AH91" s="7"/>
      <c r="AI91" s="77" t="str">
        <f t="shared" si="308"/>
        <v/>
      </c>
      <c r="AJ91" s="81">
        <f t="shared" si="334"/>
        <v>0</v>
      </c>
      <c r="AK91" s="83">
        <f t="shared" si="335"/>
        <v>0</v>
      </c>
      <c r="AL91" s="83">
        <f t="shared" si="336"/>
        <v>0</v>
      </c>
      <c r="AN91" s="43">
        <f t="shared" si="309"/>
        <v>0</v>
      </c>
      <c r="AP91" t="str">
        <f t="shared" si="337"/>
        <v/>
      </c>
      <c r="AQ91" t="str">
        <f t="shared" si="338"/>
        <v/>
      </c>
      <c r="AR91" t="str">
        <f t="shared" si="339"/>
        <v/>
      </c>
      <c r="AS91" t="str">
        <f t="shared" si="340"/>
        <v/>
      </c>
      <c r="AT91" t="str">
        <f t="shared" si="341"/>
        <v/>
      </c>
      <c r="AU91" t="str">
        <f t="shared" si="342"/>
        <v/>
      </c>
      <c r="AV91" t="str">
        <f t="shared" si="343"/>
        <v/>
      </c>
      <c r="AW91" t="str">
        <f t="shared" si="344"/>
        <v xml:space="preserve">                              </v>
      </c>
      <c r="AX91" s="23">
        <f t="shared" si="345"/>
        <v>0</v>
      </c>
      <c r="AY91" s="49" t="str">
        <f t="shared" si="321"/>
        <v>000000000000000</v>
      </c>
      <c r="AZ91" s="23">
        <f t="shared" si="346"/>
        <v>0</v>
      </c>
      <c r="BA91" s="49" t="str">
        <f t="shared" si="321"/>
        <v>000000000000000</v>
      </c>
      <c r="BB91" s="23">
        <f t="shared" si="347"/>
        <v>0</v>
      </c>
      <c r="BC91" s="49" t="str">
        <f t="shared" ref="BC91" si="444">IF(BB91&lt;0,SUBSTITUTE(TEXT(BB91,"000000000000,00"),",",""),SUBSTITUTE(TEXT(BB91,"0000000000000,00"),",",""))</f>
        <v>000000000000000</v>
      </c>
      <c r="BD91" s="23">
        <f t="shared" si="349"/>
        <v>0</v>
      </c>
      <c r="BE91" s="49" t="str">
        <f t="shared" ref="BE91" si="445">IF(BD91&lt;0,SUBSTITUTE(TEXT(BD91,"000000000000,00"),",",""),SUBSTITUTE(TEXT(BD91,"0000000000000,00"),",",""))</f>
        <v>000000000000000</v>
      </c>
      <c r="BF91" s="23">
        <f t="shared" si="351"/>
        <v>0</v>
      </c>
      <c r="BG91" s="49" t="str">
        <f t="shared" ref="BG91" si="446">IF(BF91&lt;0,SUBSTITUTE(TEXT(BF91,"000000000000,00"),",",""),SUBSTITUTE(TEXT(BF91,"0000000000000,00"),",",""))</f>
        <v>000000000000000</v>
      </c>
      <c r="BH91" s="23">
        <f t="shared" si="353"/>
        <v>0</v>
      </c>
      <c r="BI91" s="49" t="str">
        <f t="shared" ref="BI91" si="447">IF(BH91&lt;0,SUBSTITUTE(TEXT(BH91,"000000000000,00"),",",""),SUBSTITUTE(TEXT(BH91,"0000000000000,00"),",",""))</f>
        <v>000000000000000</v>
      </c>
      <c r="BJ91" s="23">
        <f t="shared" si="355"/>
        <v>0</v>
      </c>
      <c r="BK91" s="49" t="str">
        <f t="shared" ref="BK91" si="448">IF(BJ91&lt;0,SUBSTITUTE(TEXT(BJ91,"000000000000,00"),",",""),SUBSTITUTE(TEXT(BJ91,"0000000000000,00"),",",""))</f>
        <v>000000000000000</v>
      </c>
      <c r="BL91" s="23">
        <f t="shared" si="357"/>
        <v>0</v>
      </c>
      <c r="BM91" s="49" t="str">
        <f t="shared" ref="BM91" si="449">IF(BL91&lt;0,SUBSTITUTE(TEXT(BL91,"000000000000,00"),",",""),SUBSTITUTE(TEXT(BL91,"0000000000000,00"),",",""))</f>
        <v>000000000000000</v>
      </c>
      <c r="BN91" t="str">
        <f t="shared" si="359"/>
        <v>PES</v>
      </c>
      <c r="BO91" t="str">
        <f t="shared" si="360"/>
        <v>0001000000</v>
      </c>
      <c r="BP91">
        <f t="shared" si="361"/>
        <v>0</v>
      </c>
      <c r="BQ91">
        <f t="shared" si="362"/>
        <v>0</v>
      </c>
      <c r="BR91" s="23">
        <f t="shared" si="363"/>
        <v>0</v>
      </c>
      <c r="BS91" s="49" t="str">
        <f t="shared" si="328"/>
        <v>000000000000000</v>
      </c>
      <c r="BT91" t="str">
        <f t="shared" si="364"/>
        <v>00000000</v>
      </c>
      <c r="BU91" s="23">
        <f t="shared" si="365"/>
        <v>0</v>
      </c>
      <c r="BV91" s="49" t="str">
        <f t="shared" si="329"/>
        <v/>
      </c>
      <c r="BW91" s="52" t="str">
        <f t="shared" si="366"/>
        <v/>
      </c>
      <c r="BX91" s="23">
        <f t="shared" si="367"/>
        <v>0</v>
      </c>
      <c r="BY91" s="49" t="str">
        <f t="shared" si="330"/>
        <v/>
      </c>
      <c r="BZ91" s="23">
        <f t="shared" si="368"/>
        <v>0</v>
      </c>
      <c r="CA91" s="49" t="str">
        <f t="shared" si="331"/>
        <v/>
      </c>
      <c r="CB91" s="52" t="str">
        <f t="shared" si="369"/>
        <v/>
      </c>
      <c r="CC91" s="23">
        <f t="shared" si="370"/>
        <v>0</v>
      </c>
      <c r="CD91" s="49" t="str">
        <f t="shared" si="332"/>
        <v/>
      </c>
      <c r="CE91" s="56" t="str">
        <f>IF(CF91="","",MAX(CE$10:$CE90)+1)</f>
        <v/>
      </c>
      <c r="CF91" t="str">
        <f t="shared" si="371"/>
        <v/>
      </c>
      <c r="CG91" s="22" t="str">
        <f>IF(CH91="","",MAX($CG$10:CG90)+1)</f>
        <v/>
      </c>
      <c r="CH91" s="22" t="str">
        <f t="shared" si="316"/>
        <v/>
      </c>
      <c r="CI91" s="22" t="str">
        <f>IF(CJ91="","",MAX($CI$10:CI90)+1)</f>
        <v/>
      </c>
      <c r="CJ91" s="22" t="str">
        <f t="shared" si="317"/>
        <v/>
      </c>
    </row>
    <row r="92" spans="2:88" x14ac:dyDescent="0.25">
      <c r="B92" s="37"/>
      <c r="C92" s="3"/>
      <c r="D92" s="77" t="str">
        <f t="shared" si="303"/>
        <v/>
      </c>
      <c r="E92" s="38"/>
      <c r="F92" s="38"/>
      <c r="G92" s="78">
        <f t="shared" si="318"/>
        <v>0</v>
      </c>
      <c r="H92" s="3">
        <v>80</v>
      </c>
      <c r="I92" s="77" t="str">
        <f t="shared" si="304"/>
        <v/>
      </c>
      <c r="J92" s="32"/>
      <c r="K92" s="3"/>
      <c r="L92" s="39"/>
      <c r="M92" s="39"/>
      <c r="N92" s="39"/>
      <c r="O92" s="39"/>
      <c r="P92" s="39"/>
      <c r="Q92" s="39"/>
      <c r="R92" s="39"/>
      <c r="S92" s="39"/>
      <c r="T92" s="3" t="s">
        <v>645</v>
      </c>
      <c r="U92" s="77" t="str">
        <f t="shared" si="305"/>
        <v/>
      </c>
      <c r="V92" s="39">
        <v>1</v>
      </c>
      <c r="W92" s="79">
        <f t="shared" si="319"/>
        <v>0</v>
      </c>
      <c r="X92" s="3">
        <v>0</v>
      </c>
      <c r="Y92" s="77" t="str">
        <f t="shared" si="306"/>
        <v/>
      </c>
      <c r="Z92" s="3"/>
      <c r="AA92" s="37" t="str">
        <f t="shared" si="320"/>
        <v/>
      </c>
      <c r="AC92" s="40"/>
      <c r="AD92" s="7"/>
      <c r="AE92" s="77" t="str">
        <f t="shared" si="307"/>
        <v/>
      </c>
      <c r="AF92" s="81">
        <f t="shared" si="333"/>
        <v>0</v>
      </c>
      <c r="AG92" s="40"/>
      <c r="AH92" s="7"/>
      <c r="AI92" s="77" t="str">
        <f t="shared" si="308"/>
        <v/>
      </c>
      <c r="AJ92" s="81">
        <f t="shared" si="334"/>
        <v>0</v>
      </c>
      <c r="AK92" s="83">
        <f t="shared" si="335"/>
        <v>0</v>
      </c>
      <c r="AL92" s="83">
        <f t="shared" si="336"/>
        <v>0</v>
      </c>
      <c r="AN92" s="43">
        <f t="shared" si="309"/>
        <v>0</v>
      </c>
      <c r="AP92" t="str">
        <f t="shared" si="337"/>
        <v/>
      </c>
      <c r="AQ92" t="str">
        <f t="shared" si="338"/>
        <v/>
      </c>
      <c r="AR92" t="str">
        <f t="shared" si="339"/>
        <v/>
      </c>
      <c r="AS92" t="str">
        <f t="shared" si="340"/>
        <v/>
      </c>
      <c r="AT92" t="str">
        <f t="shared" si="341"/>
        <v/>
      </c>
      <c r="AU92" t="str">
        <f t="shared" si="342"/>
        <v/>
      </c>
      <c r="AV92" t="str">
        <f t="shared" si="343"/>
        <v/>
      </c>
      <c r="AW92" t="str">
        <f t="shared" si="344"/>
        <v xml:space="preserve">                              </v>
      </c>
      <c r="AX92" s="23">
        <f t="shared" si="345"/>
        <v>0</v>
      </c>
      <c r="AY92" s="49" t="str">
        <f t="shared" si="321"/>
        <v>000000000000000</v>
      </c>
      <c r="AZ92" s="23">
        <f t="shared" si="346"/>
        <v>0</v>
      </c>
      <c r="BA92" s="49" t="str">
        <f t="shared" si="321"/>
        <v>000000000000000</v>
      </c>
      <c r="BB92" s="23">
        <f t="shared" si="347"/>
        <v>0</v>
      </c>
      <c r="BC92" s="49" t="str">
        <f t="shared" ref="BC92" si="450">IF(BB92&lt;0,SUBSTITUTE(TEXT(BB92,"000000000000,00"),",",""),SUBSTITUTE(TEXT(BB92,"0000000000000,00"),",",""))</f>
        <v>000000000000000</v>
      </c>
      <c r="BD92" s="23">
        <f t="shared" si="349"/>
        <v>0</v>
      </c>
      <c r="BE92" s="49" t="str">
        <f t="shared" ref="BE92" si="451">IF(BD92&lt;0,SUBSTITUTE(TEXT(BD92,"000000000000,00"),",",""),SUBSTITUTE(TEXT(BD92,"0000000000000,00"),",",""))</f>
        <v>000000000000000</v>
      </c>
      <c r="BF92" s="23">
        <f t="shared" si="351"/>
        <v>0</v>
      </c>
      <c r="BG92" s="49" t="str">
        <f t="shared" ref="BG92" si="452">IF(BF92&lt;0,SUBSTITUTE(TEXT(BF92,"000000000000,00"),",",""),SUBSTITUTE(TEXT(BF92,"0000000000000,00"),",",""))</f>
        <v>000000000000000</v>
      </c>
      <c r="BH92" s="23">
        <f t="shared" si="353"/>
        <v>0</v>
      </c>
      <c r="BI92" s="49" t="str">
        <f t="shared" ref="BI92" si="453">IF(BH92&lt;0,SUBSTITUTE(TEXT(BH92,"000000000000,00"),",",""),SUBSTITUTE(TEXT(BH92,"0000000000000,00"),",",""))</f>
        <v>000000000000000</v>
      </c>
      <c r="BJ92" s="23">
        <f t="shared" si="355"/>
        <v>0</v>
      </c>
      <c r="BK92" s="49" t="str">
        <f t="shared" ref="BK92" si="454">IF(BJ92&lt;0,SUBSTITUTE(TEXT(BJ92,"000000000000,00"),",",""),SUBSTITUTE(TEXT(BJ92,"0000000000000,00"),",",""))</f>
        <v>000000000000000</v>
      </c>
      <c r="BL92" s="23">
        <f t="shared" si="357"/>
        <v>0</v>
      </c>
      <c r="BM92" s="49" t="str">
        <f t="shared" ref="BM92" si="455">IF(BL92&lt;0,SUBSTITUTE(TEXT(BL92,"000000000000,00"),",",""),SUBSTITUTE(TEXT(BL92,"0000000000000,00"),",",""))</f>
        <v>000000000000000</v>
      </c>
      <c r="BN92" t="str">
        <f t="shared" si="359"/>
        <v>PES</v>
      </c>
      <c r="BO92" t="str">
        <f t="shared" si="360"/>
        <v>0001000000</v>
      </c>
      <c r="BP92">
        <f t="shared" si="361"/>
        <v>0</v>
      </c>
      <c r="BQ92">
        <f t="shared" si="362"/>
        <v>0</v>
      </c>
      <c r="BR92" s="23">
        <f t="shared" si="363"/>
        <v>0</v>
      </c>
      <c r="BS92" s="49" t="str">
        <f t="shared" si="328"/>
        <v>000000000000000</v>
      </c>
      <c r="BT92" t="str">
        <f t="shared" si="364"/>
        <v>00000000</v>
      </c>
      <c r="BU92" s="23">
        <f t="shared" si="365"/>
        <v>0</v>
      </c>
      <c r="BV92" s="49" t="str">
        <f t="shared" si="329"/>
        <v/>
      </c>
      <c r="BW92" s="52" t="str">
        <f t="shared" si="366"/>
        <v/>
      </c>
      <c r="BX92" s="23">
        <f t="shared" si="367"/>
        <v>0</v>
      </c>
      <c r="BY92" s="49" t="str">
        <f t="shared" si="330"/>
        <v/>
      </c>
      <c r="BZ92" s="23">
        <f t="shared" si="368"/>
        <v>0</v>
      </c>
      <c r="CA92" s="49" t="str">
        <f t="shared" si="331"/>
        <v/>
      </c>
      <c r="CB92" s="52" t="str">
        <f t="shared" si="369"/>
        <v/>
      </c>
      <c r="CC92" s="23">
        <f t="shared" si="370"/>
        <v>0</v>
      </c>
      <c r="CD92" s="49" t="str">
        <f t="shared" si="332"/>
        <v/>
      </c>
      <c r="CE92" s="56" t="str">
        <f>IF(CF92="","",MAX(CE$10:$CE91)+1)</f>
        <v/>
      </c>
      <c r="CF92" t="str">
        <f t="shared" si="371"/>
        <v/>
      </c>
      <c r="CG92" s="22" t="str">
        <f>IF(CH92="","",MAX($CG$10:CG91)+1)</f>
        <v/>
      </c>
      <c r="CH92" s="22" t="str">
        <f t="shared" si="316"/>
        <v/>
      </c>
      <c r="CI92" s="22" t="str">
        <f>IF(CJ92="","",MAX($CI$10:CI91)+1)</f>
        <v/>
      </c>
      <c r="CJ92" s="22" t="str">
        <f t="shared" si="317"/>
        <v/>
      </c>
    </row>
    <row r="93" spans="2:88" x14ac:dyDescent="0.25">
      <c r="B93" s="37"/>
      <c r="C93" s="3"/>
      <c r="D93" s="77" t="str">
        <f t="shared" si="303"/>
        <v/>
      </c>
      <c r="E93" s="38"/>
      <c r="F93" s="38"/>
      <c r="G93" s="78">
        <f t="shared" si="318"/>
        <v>0</v>
      </c>
      <c r="H93" s="3">
        <v>80</v>
      </c>
      <c r="I93" s="77" t="str">
        <f t="shared" si="304"/>
        <v/>
      </c>
      <c r="J93" s="32"/>
      <c r="K93" s="3"/>
      <c r="L93" s="39"/>
      <c r="M93" s="39"/>
      <c r="N93" s="39"/>
      <c r="O93" s="39"/>
      <c r="P93" s="39"/>
      <c r="Q93" s="39"/>
      <c r="R93" s="39"/>
      <c r="S93" s="39"/>
      <c r="T93" s="3" t="s">
        <v>645</v>
      </c>
      <c r="U93" s="77" t="str">
        <f t="shared" si="305"/>
        <v/>
      </c>
      <c r="V93" s="39">
        <v>1</v>
      </c>
      <c r="W93" s="79">
        <f t="shared" si="319"/>
        <v>0</v>
      </c>
      <c r="X93" s="3">
        <v>0</v>
      </c>
      <c r="Y93" s="77" t="str">
        <f t="shared" si="306"/>
        <v/>
      </c>
      <c r="Z93" s="3"/>
      <c r="AA93" s="37" t="str">
        <f t="shared" si="320"/>
        <v/>
      </c>
      <c r="AC93" s="40"/>
      <c r="AD93" s="7"/>
      <c r="AE93" s="77" t="str">
        <f t="shared" si="307"/>
        <v/>
      </c>
      <c r="AF93" s="81">
        <f t="shared" si="333"/>
        <v>0</v>
      </c>
      <c r="AG93" s="40"/>
      <c r="AH93" s="7"/>
      <c r="AI93" s="77" t="str">
        <f t="shared" si="308"/>
        <v/>
      </c>
      <c r="AJ93" s="81">
        <f t="shared" si="334"/>
        <v>0</v>
      </c>
      <c r="AK93" s="83">
        <f t="shared" si="335"/>
        <v>0</v>
      </c>
      <c r="AL93" s="83">
        <f t="shared" si="336"/>
        <v>0</v>
      </c>
      <c r="AN93" s="43">
        <f t="shared" si="309"/>
        <v>0</v>
      </c>
      <c r="AP93" t="str">
        <f t="shared" si="337"/>
        <v/>
      </c>
      <c r="AQ93" t="str">
        <f t="shared" si="338"/>
        <v/>
      </c>
      <c r="AR93" t="str">
        <f t="shared" si="339"/>
        <v/>
      </c>
      <c r="AS93" t="str">
        <f t="shared" si="340"/>
        <v/>
      </c>
      <c r="AT93" t="str">
        <f t="shared" si="341"/>
        <v/>
      </c>
      <c r="AU93" t="str">
        <f t="shared" si="342"/>
        <v/>
      </c>
      <c r="AV93" t="str">
        <f t="shared" si="343"/>
        <v/>
      </c>
      <c r="AW93" t="str">
        <f t="shared" si="344"/>
        <v xml:space="preserve">                              </v>
      </c>
      <c r="AX93" s="23">
        <f t="shared" si="345"/>
        <v>0</v>
      </c>
      <c r="AY93" s="49" t="str">
        <f t="shared" si="321"/>
        <v>000000000000000</v>
      </c>
      <c r="AZ93" s="23">
        <f t="shared" si="346"/>
        <v>0</v>
      </c>
      <c r="BA93" s="49" t="str">
        <f t="shared" si="321"/>
        <v>000000000000000</v>
      </c>
      <c r="BB93" s="23">
        <f t="shared" si="347"/>
        <v>0</v>
      </c>
      <c r="BC93" s="49" t="str">
        <f t="shared" ref="BC93" si="456">IF(BB93&lt;0,SUBSTITUTE(TEXT(BB93,"000000000000,00"),",",""),SUBSTITUTE(TEXT(BB93,"0000000000000,00"),",",""))</f>
        <v>000000000000000</v>
      </c>
      <c r="BD93" s="23">
        <f t="shared" si="349"/>
        <v>0</v>
      </c>
      <c r="BE93" s="49" t="str">
        <f t="shared" ref="BE93" si="457">IF(BD93&lt;0,SUBSTITUTE(TEXT(BD93,"000000000000,00"),",",""),SUBSTITUTE(TEXT(BD93,"0000000000000,00"),",",""))</f>
        <v>000000000000000</v>
      </c>
      <c r="BF93" s="23">
        <f t="shared" si="351"/>
        <v>0</v>
      </c>
      <c r="BG93" s="49" t="str">
        <f t="shared" ref="BG93" si="458">IF(BF93&lt;0,SUBSTITUTE(TEXT(BF93,"000000000000,00"),",",""),SUBSTITUTE(TEXT(BF93,"0000000000000,00"),",",""))</f>
        <v>000000000000000</v>
      </c>
      <c r="BH93" s="23">
        <f t="shared" si="353"/>
        <v>0</v>
      </c>
      <c r="BI93" s="49" t="str">
        <f t="shared" ref="BI93" si="459">IF(BH93&lt;0,SUBSTITUTE(TEXT(BH93,"000000000000,00"),",",""),SUBSTITUTE(TEXT(BH93,"0000000000000,00"),",",""))</f>
        <v>000000000000000</v>
      </c>
      <c r="BJ93" s="23">
        <f t="shared" si="355"/>
        <v>0</v>
      </c>
      <c r="BK93" s="49" t="str">
        <f t="shared" ref="BK93" si="460">IF(BJ93&lt;0,SUBSTITUTE(TEXT(BJ93,"000000000000,00"),",",""),SUBSTITUTE(TEXT(BJ93,"0000000000000,00"),",",""))</f>
        <v>000000000000000</v>
      </c>
      <c r="BL93" s="23">
        <f t="shared" si="357"/>
        <v>0</v>
      </c>
      <c r="BM93" s="49" t="str">
        <f t="shared" ref="BM93" si="461">IF(BL93&lt;0,SUBSTITUTE(TEXT(BL93,"000000000000,00"),",",""),SUBSTITUTE(TEXT(BL93,"0000000000000,00"),",",""))</f>
        <v>000000000000000</v>
      </c>
      <c r="BN93" t="str">
        <f t="shared" si="359"/>
        <v>PES</v>
      </c>
      <c r="BO93" t="str">
        <f t="shared" si="360"/>
        <v>0001000000</v>
      </c>
      <c r="BP93">
        <f t="shared" si="361"/>
        <v>0</v>
      </c>
      <c r="BQ93">
        <f t="shared" si="362"/>
        <v>0</v>
      </c>
      <c r="BR93" s="23">
        <f t="shared" si="363"/>
        <v>0</v>
      </c>
      <c r="BS93" s="49" t="str">
        <f t="shared" si="328"/>
        <v>000000000000000</v>
      </c>
      <c r="BT93" t="str">
        <f t="shared" si="364"/>
        <v>00000000</v>
      </c>
      <c r="BU93" s="23">
        <f t="shared" si="365"/>
        <v>0</v>
      </c>
      <c r="BV93" s="49" t="str">
        <f t="shared" si="329"/>
        <v/>
      </c>
      <c r="BW93" s="52" t="str">
        <f t="shared" si="366"/>
        <v/>
      </c>
      <c r="BX93" s="23">
        <f t="shared" si="367"/>
        <v>0</v>
      </c>
      <c r="BY93" s="49" t="str">
        <f t="shared" si="330"/>
        <v/>
      </c>
      <c r="BZ93" s="23">
        <f t="shared" si="368"/>
        <v>0</v>
      </c>
      <c r="CA93" s="49" t="str">
        <f t="shared" si="331"/>
        <v/>
      </c>
      <c r="CB93" s="52" t="str">
        <f t="shared" si="369"/>
        <v/>
      </c>
      <c r="CC93" s="23">
        <f t="shared" si="370"/>
        <v>0</v>
      </c>
      <c r="CD93" s="49" t="str">
        <f t="shared" si="332"/>
        <v/>
      </c>
      <c r="CE93" s="56" t="str">
        <f>IF(CF93="","",MAX(CE$10:$CE92)+1)</f>
        <v/>
      </c>
      <c r="CF93" t="str">
        <f t="shared" si="371"/>
        <v/>
      </c>
      <c r="CG93" s="22" t="str">
        <f>IF(CH93="","",MAX($CG$10:CG92)+1)</f>
        <v/>
      </c>
      <c r="CH93" s="22" t="str">
        <f t="shared" si="316"/>
        <v/>
      </c>
      <c r="CI93" s="22" t="str">
        <f>IF(CJ93="","",MAX($CI$10:CI92)+1)</f>
        <v/>
      </c>
      <c r="CJ93" s="22" t="str">
        <f t="shared" si="317"/>
        <v/>
      </c>
    </row>
    <row r="94" spans="2:88" x14ac:dyDescent="0.25">
      <c r="B94" s="37"/>
      <c r="C94" s="3"/>
      <c r="D94" s="77" t="str">
        <f t="shared" si="303"/>
        <v/>
      </c>
      <c r="E94" s="38"/>
      <c r="F94" s="38"/>
      <c r="G94" s="78">
        <f t="shared" si="318"/>
        <v>0</v>
      </c>
      <c r="H94" s="3">
        <v>80</v>
      </c>
      <c r="I94" s="77" t="str">
        <f t="shared" si="304"/>
        <v/>
      </c>
      <c r="J94" s="32"/>
      <c r="K94" s="3"/>
      <c r="L94" s="39"/>
      <c r="M94" s="39"/>
      <c r="N94" s="39"/>
      <c r="O94" s="39"/>
      <c r="P94" s="39"/>
      <c r="Q94" s="39"/>
      <c r="R94" s="39"/>
      <c r="S94" s="39"/>
      <c r="T94" s="3" t="s">
        <v>645</v>
      </c>
      <c r="U94" s="77" t="str">
        <f t="shared" si="305"/>
        <v/>
      </c>
      <c r="V94" s="39">
        <v>1</v>
      </c>
      <c r="W94" s="79">
        <f t="shared" si="319"/>
        <v>0</v>
      </c>
      <c r="X94" s="3">
        <v>0</v>
      </c>
      <c r="Y94" s="77" t="str">
        <f t="shared" si="306"/>
        <v/>
      </c>
      <c r="Z94" s="3"/>
      <c r="AA94" s="37" t="str">
        <f t="shared" si="320"/>
        <v/>
      </c>
      <c r="AC94" s="40"/>
      <c r="AD94" s="7"/>
      <c r="AE94" s="77" t="str">
        <f t="shared" si="307"/>
        <v/>
      </c>
      <c r="AF94" s="81">
        <f t="shared" si="333"/>
        <v>0</v>
      </c>
      <c r="AG94" s="40"/>
      <c r="AH94" s="7"/>
      <c r="AI94" s="77" t="str">
        <f t="shared" si="308"/>
        <v/>
      </c>
      <c r="AJ94" s="81">
        <f t="shared" si="334"/>
        <v>0</v>
      </c>
      <c r="AK94" s="83">
        <f t="shared" si="335"/>
        <v>0</v>
      </c>
      <c r="AL94" s="83">
        <f t="shared" si="336"/>
        <v>0</v>
      </c>
      <c r="AN94" s="43">
        <f t="shared" si="309"/>
        <v>0</v>
      </c>
      <c r="AP94" t="str">
        <f t="shared" si="337"/>
        <v/>
      </c>
      <c r="AQ94" t="str">
        <f t="shared" si="338"/>
        <v/>
      </c>
      <c r="AR94" t="str">
        <f t="shared" si="339"/>
        <v/>
      </c>
      <c r="AS94" t="str">
        <f t="shared" si="340"/>
        <v/>
      </c>
      <c r="AT94" t="str">
        <f t="shared" si="341"/>
        <v/>
      </c>
      <c r="AU94" t="str">
        <f t="shared" si="342"/>
        <v/>
      </c>
      <c r="AV94" t="str">
        <f t="shared" si="343"/>
        <v/>
      </c>
      <c r="AW94" t="str">
        <f t="shared" si="344"/>
        <v xml:space="preserve">                              </v>
      </c>
      <c r="AX94" s="23">
        <f t="shared" si="345"/>
        <v>0</v>
      </c>
      <c r="AY94" s="49" t="str">
        <f t="shared" si="321"/>
        <v>000000000000000</v>
      </c>
      <c r="AZ94" s="23">
        <f t="shared" si="346"/>
        <v>0</v>
      </c>
      <c r="BA94" s="49" t="str">
        <f t="shared" si="321"/>
        <v>000000000000000</v>
      </c>
      <c r="BB94" s="23">
        <f t="shared" si="347"/>
        <v>0</v>
      </c>
      <c r="BC94" s="49" t="str">
        <f t="shared" ref="BC94" si="462">IF(BB94&lt;0,SUBSTITUTE(TEXT(BB94,"000000000000,00"),",",""),SUBSTITUTE(TEXT(BB94,"0000000000000,00"),",",""))</f>
        <v>000000000000000</v>
      </c>
      <c r="BD94" s="23">
        <f t="shared" si="349"/>
        <v>0</v>
      </c>
      <c r="BE94" s="49" t="str">
        <f t="shared" ref="BE94" si="463">IF(BD94&lt;0,SUBSTITUTE(TEXT(BD94,"000000000000,00"),",",""),SUBSTITUTE(TEXT(BD94,"0000000000000,00"),",",""))</f>
        <v>000000000000000</v>
      </c>
      <c r="BF94" s="23">
        <f t="shared" si="351"/>
        <v>0</v>
      </c>
      <c r="BG94" s="49" t="str">
        <f t="shared" ref="BG94" si="464">IF(BF94&lt;0,SUBSTITUTE(TEXT(BF94,"000000000000,00"),",",""),SUBSTITUTE(TEXT(BF94,"0000000000000,00"),",",""))</f>
        <v>000000000000000</v>
      </c>
      <c r="BH94" s="23">
        <f t="shared" si="353"/>
        <v>0</v>
      </c>
      <c r="BI94" s="49" t="str">
        <f t="shared" ref="BI94" si="465">IF(BH94&lt;0,SUBSTITUTE(TEXT(BH94,"000000000000,00"),",",""),SUBSTITUTE(TEXT(BH94,"0000000000000,00"),",",""))</f>
        <v>000000000000000</v>
      </c>
      <c r="BJ94" s="23">
        <f t="shared" si="355"/>
        <v>0</v>
      </c>
      <c r="BK94" s="49" t="str">
        <f t="shared" ref="BK94" si="466">IF(BJ94&lt;0,SUBSTITUTE(TEXT(BJ94,"000000000000,00"),",",""),SUBSTITUTE(TEXT(BJ94,"0000000000000,00"),",",""))</f>
        <v>000000000000000</v>
      </c>
      <c r="BL94" s="23">
        <f t="shared" si="357"/>
        <v>0</v>
      </c>
      <c r="BM94" s="49" t="str">
        <f t="shared" ref="BM94" si="467">IF(BL94&lt;0,SUBSTITUTE(TEXT(BL94,"000000000000,00"),",",""),SUBSTITUTE(TEXT(BL94,"0000000000000,00"),",",""))</f>
        <v>000000000000000</v>
      </c>
      <c r="BN94" t="str">
        <f t="shared" si="359"/>
        <v>PES</v>
      </c>
      <c r="BO94" t="str">
        <f t="shared" si="360"/>
        <v>0001000000</v>
      </c>
      <c r="BP94">
        <f t="shared" si="361"/>
        <v>0</v>
      </c>
      <c r="BQ94">
        <f t="shared" si="362"/>
        <v>0</v>
      </c>
      <c r="BR94" s="23">
        <f t="shared" si="363"/>
        <v>0</v>
      </c>
      <c r="BS94" s="49" t="str">
        <f t="shared" si="328"/>
        <v>000000000000000</v>
      </c>
      <c r="BT94" t="str">
        <f t="shared" si="364"/>
        <v>00000000</v>
      </c>
      <c r="BU94" s="23">
        <f t="shared" si="365"/>
        <v>0</v>
      </c>
      <c r="BV94" s="49" t="str">
        <f t="shared" si="329"/>
        <v/>
      </c>
      <c r="BW94" s="52" t="str">
        <f t="shared" si="366"/>
        <v/>
      </c>
      <c r="BX94" s="23">
        <f t="shared" si="367"/>
        <v>0</v>
      </c>
      <c r="BY94" s="49" t="str">
        <f t="shared" si="330"/>
        <v/>
      </c>
      <c r="BZ94" s="23">
        <f t="shared" si="368"/>
        <v>0</v>
      </c>
      <c r="CA94" s="49" t="str">
        <f t="shared" si="331"/>
        <v/>
      </c>
      <c r="CB94" s="52" t="str">
        <f t="shared" si="369"/>
        <v/>
      </c>
      <c r="CC94" s="23">
        <f t="shared" si="370"/>
        <v>0</v>
      </c>
      <c r="CD94" s="49" t="str">
        <f t="shared" si="332"/>
        <v/>
      </c>
      <c r="CE94" s="56" t="str">
        <f>IF(CF94="","",MAX(CE$10:$CE93)+1)</f>
        <v/>
      </c>
      <c r="CF94" t="str">
        <f t="shared" si="371"/>
        <v/>
      </c>
      <c r="CG94" s="22" t="str">
        <f>IF(CH94="","",MAX($CG$10:CG93)+1)</f>
        <v/>
      </c>
      <c r="CH94" s="22" t="str">
        <f t="shared" si="316"/>
        <v/>
      </c>
      <c r="CI94" s="22" t="str">
        <f>IF(CJ94="","",MAX($CI$10:CI93)+1)</f>
        <v/>
      </c>
      <c r="CJ94" s="22" t="str">
        <f t="shared" si="317"/>
        <v/>
      </c>
    </row>
    <row r="95" spans="2:88" x14ac:dyDescent="0.25">
      <c r="B95" s="37"/>
      <c r="C95" s="3"/>
      <c r="D95" s="77" t="str">
        <f t="shared" si="303"/>
        <v/>
      </c>
      <c r="E95" s="38"/>
      <c r="F95" s="38"/>
      <c r="G95" s="78">
        <f t="shared" si="318"/>
        <v>0</v>
      </c>
      <c r="H95" s="3">
        <v>80</v>
      </c>
      <c r="I95" s="77" t="str">
        <f t="shared" si="304"/>
        <v/>
      </c>
      <c r="J95" s="32"/>
      <c r="K95" s="3"/>
      <c r="L95" s="39"/>
      <c r="M95" s="39"/>
      <c r="N95" s="39"/>
      <c r="O95" s="39"/>
      <c r="P95" s="39"/>
      <c r="Q95" s="39"/>
      <c r="R95" s="39"/>
      <c r="S95" s="39"/>
      <c r="T95" s="3" t="s">
        <v>645</v>
      </c>
      <c r="U95" s="77" t="str">
        <f t="shared" si="305"/>
        <v/>
      </c>
      <c r="V95" s="39">
        <v>1</v>
      </c>
      <c r="W95" s="79">
        <f t="shared" si="319"/>
        <v>0</v>
      </c>
      <c r="X95" s="3">
        <v>0</v>
      </c>
      <c r="Y95" s="77" t="str">
        <f t="shared" si="306"/>
        <v/>
      </c>
      <c r="Z95" s="3"/>
      <c r="AA95" s="37" t="str">
        <f t="shared" si="320"/>
        <v/>
      </c>
      <c r="AC95" s="40"/>
      <c r="AD95" s="7"/>
      <c r="AE95" s="77" t="str">
        <f t="shared" si="307"/>
        <v/>
      </c>
      <c r="AF95" s="81">
        <f t="shared" si="333"/>
        <v>0</v>
      </c>
      <c r="AG95" s="40"/>
      <c r="AH95" s="7"/>
      <c r="AI95" s="77" t="str">
        <f t="shared" si="308"/>
        <v/>
      </c>
      <c r="AJ95" s="81">
        <f t="shared" si="334"/>
        <v>0</v>
      </c>
      <c r="AK95" s="83">
        <f t="shared" si="335"/>
        <v>0</v>
      </c>
      <c r="AL95" s="83">
        <f t="shared" si="336"/>
        <v>0</v>
      </c>
      <c r="AN95" s="43">
        <f t="shared" si="309"/>
        <v>0</v>
      </c>
      <c r="AP95" t="str">
        <f t="shared" si="337"/>
        <v/>
      </c>
      <c r="AQ95" t="str">
        <f t="shared" si="338"/>
        <v/>
      </c>
      <c r="AR95" t="str">
        <f t="shared" si="339"/>
        <v/>
      </c>
      <c r="AS95" t="str">
        <f t="shared" si="340"/>
        <v/>
      </c>
      <c r="AT95" t="str">
        <f t="shared" si="341"/>
        <v/>
      </c>
      <c r="AU95" t="str">
        <f t="shared" si="342"/>
        <v/>
      </c>
      <c r="AV95" t="str">
        <f t="shared" si="343"/>
        <v/>
      </c>
      <c r="AW95" t="str">
        <f t="shared" si="344"/>
        <v xml:space="preserve">                              </v>
      </c>
      <c r="AX95" s="23">
        <f t="shared" si="345"/>
        <v>0</v>
      </c>
      <c r="AY95" s="49" t="str">
        <f t="shared" si="321"/>
        <v>000000000000000</v>
      </c>
      <c r="AZ95" s="23">
        <f t="shared" si="346"/>
        <v>0</v>
      </c>
      <c r="BA95" s="49" t="str">
        <f t="shared" si="321"/>
        <v>000000000000000</v>
      </c>
      <c r="BB95" s="23">
        <f t="shared" si="347"/>
        <v>0</v>
      </c>
      <c r="BC95" s="49" t="str">
        <f t="shared" ref="BC95" si="468">IF(BB95&lt;0,SUBSTITUTE(TEXT(BB95,"000000000000,00"),",",""),SUBSTITUTE(TEXT(BB95,"0000000000000,00"),",",""))</f>
        <v>000000000000000</v>
      </c>
      <c r="BD95" s="23">
        <f t="shared" si="349"/>
        <v>0</v>
      </c>
      <c r="BE95" s="49" t="str">
        <f t="shared" ref="BE95" si="469">IF(BD95&lt;0,SUBSTITUTE(TEXT(BD95,"000000000000,00"),",",""),SUBSTITUTE(TEXT(BD95,"0000000000000,00"),",",""))</f>
        <v>000000000000000</v>
      </c>
      <c r="BF95" s="23">
        <f t="shared" si="351"/>
        <v>0</v>
      </c>
      <c r="BG95" s="49" t="str">
        <f t="shared" ref="BG95" si="470">IF(BF95&lt;0,SUBSTITUTE(TEXT(BF95,"000000000000,00"),",",""),SUBSTITUTE(TEXT(BF95,"0000000000000,00"),",",""))</f>
        <v>000000000000000</v>
      </c>
      <c r="BH95" s="23">
        <f t="shared" si="353"/>
        <v>0</v>
      </c>
      <c r="BI95" s="49" t="str">
        <f t="shared" ref="BI95" si="471">IF(BH95&lt;0,SUBSTITUTE(TEXT(BH95,"000000000000,00"),",",""),SUBSTITUTE(TEXT(BH95,"0000000000000,00"),",",""))</f>
        <v>000000000000000</v>
      </c>
      <c r="BJ95" s="23">
        <f t="shared" si="355"/>
        <v>0</v>
      </c>
      <c r="BK95" s="49" t="str">
        <f t="shared" ref="BK95" si="472">IF(BJ95&lt;0,SUBSTITUTE(TEXT(BJ95,"000000000000,00"),",",""),SUBSTITUTE(TEXT(BJ95,"0000000000000,00"),",",""))</f>
        <v>000000000000000</v>
      </c>
      <c r="BL95" s="23">
        <f t="shared" si="357"/>
        <v>0</v>
      </c>
      <c r="BM95" s="49" t="str">
        <f t="shared" ref="BM95" si="473">IF(BL95&lt;0,SUBSTITUTE(TEXT(BL95,"000000000000,00"),",",""),SUBSTITUTE(TEXT(BL95,"0000000000000,00"),",",""))</f>
        <v>000000000000000</v>
      </c>
      <c r="BN95" t="str">
        <f t="shared" si="359"/>
        <v>PES</v>
      </c>
      <c r="BO95" t="str">
        <f t="shared" si="360"/>
        <v>0001000000</v>
      </c>
      <c r="BP95">
        <f t="shared" si="361"/>
        <v>0</v>
      </c>
      <c r="BQ95">
        <f t="shared" si="362"/>
        <v>0</v>
      </c>
      <c r="BR95" s="23">
        <f t="shared" si="363"/>
        <v>0</v>
      </c>
      <c r="BS95" s="49" t="str">
        <f t="shared" si="328"/>
        <v>000000000000000</v>
      </c>
      <c r="BT95" t="str">
        <f t="shared" si="364"/>
        <v>00000000</v>
      </c>
      <c r="BU95" s="23">
        <f t="shared" si="365"/>
        <v>0</v>
      </c>
      <c r="BV95" s="49" t="str">
        <f t="shared" si="329"/>
        <v/>
      </c>
      <c r="BW95" s="52" t="str">
        <f t="shared" si="366"/>
        <v/>
      </c>
      <c r="BX95" s="23">
        <f t="shared" si="367"/>
        <v>0</v>
      </c>
      <c r="BY95" s="49" t="str">
        <f t="shared" si="330"/>
        <v/>
      </c>
      <c r="BZ95" s="23">
        <f t="shared" si="368"/>
        <v>0</v>
      </c>
      <c r="CA95" s="49" t="str">
        <f t="shared" si="331"/>
        <v/>
      </c>
      <c r="CB95" s="52" t="str">
        <f t="shared" si="369"/>
        <v/>
      </c>
      <c r="CC95" s="23">
        <f t="shared" si="370"/>
        <v>0</v>
      </c>
      <c r="CD95" s="49" t="str">
        <f t="shared" si="332"/>
        <v/>
      </c>
      <c r="CE95" s="56" t="str">
        <f>IF(CF95="","",MAX(CE$10:$CE94)+1)</f>
        <v/>
      </c>
      <c r="CF95" t="str">
        <f t="shared" si="371"/>
        <v/>
      </c>
      <c r="CG95" s="22" t="str">
        <f>IF(CH95="","",MAX($CG$10:CG94)+1)</f>
        <v/>
      </c>
      <c r="CH95" s="22" t="str">
        <f t="shared" si="316"/>
        <v/>
      </c>
      <c r="CI95" s="22" t="str">
        <f>IF(CJ95="","",MAX($CI$10:CI94)+1)</f>
        <v/>
      </c>
      <c r="CJ95" s="22" t="str">
        <f t="shared" si="317"/>
        <v/>
      </c>
    </row>
    <row r="96" spans="2:88" x14ac:dyDescent="0.25">
      <c r="B96" s="37"/>
      <c r="C96" s="3"/>
      <c r="D96" s="77" t="str">
        <f t="shared" si="303"/>
        <v/>
      </c>
      <c r="E96" s="38"/>
      <c r="F96" s="38"/>
      <c r="G96" s="78">
        <f t="shared" si="318"/>
        <v>0</v>
      </c>
      <c r="H96" s="3">
        <v>80</v>
      </c>
      <c r="I96" s="77" t="str">
        <f t="shared" si="304"/>
        <v/>
      </c>
      <c r="J96" s="32"/>
      <c r="K96" s="3"/>
      <c r="L96" s="39"/>
      <c r="M96" s="39"/>
      <c r="N96" s="39"/>
      <c r="O96" s="39"/>
      <c r="P96" s="39"/>
      <c r="Q96" s="39"/>
      <c r="R96" s="39"/>
      <c r="S96" s="39"/>
      <c r="T96" s="3" t="s">
        <v>645</v>
      </c>
      <c r="U96" s="77" t="str">
        <f t="shared" si="305"/>
        <v/>
      </c>
      <c r="V96" s="39">
        <v>1</v>
      </c>
      <c r="W96" s="79">
        <f t="shared" si="319"/>
        <v>0</v>
      </c>
      <c r="X96" s="3">
        <v>0</v>
      </c>
      <c r="Y96" s="77" t="str">
        <f t="shared" si="306"/>
        <v/>
      </c>
      <c r="Z96" s="3"/>
      <c r="AA96" s="37" t="str">
        <f t="shared" si="320"/>
        <v/>
      </c>
      <c r="AC96" s="40"/>
      <c r="AD96" s="7"/>
      <c r="AE96" s="77" t="str">
        <f t="shared" si="307"/>
        <v/>
      </c>
      <c r="AF96" s="81">
        <f t="shared" si="333"/>
        <v>0</v>
      </c>
      <c r="AG96" s="40"/>
      <c r="AH96" s="7"/>
      <c r="AI96" s="77" t="str">
        <f t="shared" si="308"/>
        <v/>
      </c>
      <c r="AJ96" s="81">
        <f t="shared" si="334"/>
        <v>0</v>
      </c>
      <c r="AK96" s="83">
        <f t="shared" si="335"/>
        <v>0</v>
      </c>
      <c r="AL96" s="83">
        <f t="shared" si="336"/>
        <v>0</v>
      </c>
      <c r="AN96" s="43">
        <f t="shared" si="309"/>
        <v>0</v>
      </c>
      <c r="AP96" t="str">
        <f t="shared" si="337"/>
        <v/>
      </c>
      <c r="AQ96" t="str">
        <f t="shared" si="338"/>
        <v/>
      </c>
      <c r="AR96" t="str">
        <f t="shared" si="339"/>
        <v/>
      </c>
      <c r="AS96" t="str">
        <f t="shared" si="340"/>
        <v/>
      </c>
      <c r="AT96" t="str">
        <f t="shared" si="341"/>
        <v/>
      </c>
      <c r="AU96" t="str">
        <f t="shared" si="342"/>
        <v/>
      </c>
      <c r="AV96" t="str">
        <f t="shared" si="343"/>
        <v/>
      </c>
      <c r="AW96" t="str">
        <f t="shared" si="344"/>
        <v xml:space="preserve">                              </v>
      </c>
      <c r="AX96" s="23">
        <f t="shared" si="345"/>
        <v>0</v>
      </c>
      <c r="AY96" s="49" t="str">
        <f t="shared" si="321"/>
        <v>000000000000000</v>
      </c>
      <c r="AZ96" s="23">
        <f t="shared" si="346"/>
        <v>0</v>
      </c>
      <c r="BA96" s="49" t="str">
        <f t="shared" si="321"/>
        <v>000000000000000</v>
      </c>
      <c r="BB96" s="23">
        <f t="shared" si="347"/>
        <v>0</v>
      </c>
      <c r="BC96" s="49" t="str">
        <f t="shared" ref="BC96" si="474">IF(BB96&lt;0,SUBSTITUTE(TEXT(BB96,"000000000000,00"),",",""),SUBSTITUTE(TEXT(BB96,"0000000000000,00"),",",""))</f>
        <v>000000000000000</v>
      </c>
      <c r="BD96" s="23">
        <f t="shared" si="349"/>
        <v>0</v>
      </c>
      <c r="BE96" s="49" t="str">
        <f t="shared" ref="BE96" si="475">IF(BD96&lt;0,SUBSTITUTE(TEXT(BD96,"000000000000,00"),",",""),SUBSTITUTE(TEXT(BD96,"0000000000000,00"),",",""))</f>
        <v>000000000000000</v>
      </c>
      <c r="BF96" s="23">
        <f t="shared" si="351"/>
        <v>0</v>
      </c>
      <c r="BG96" s="49" t="str">
        <f t="shared" ref="BG96" si="476">IF(BF96&lt;0,SUBSTITUTE(TEXT(BF96,"000000000000,00"),",",""),SUBSTITUTE(TEXT(BF96,"0000000000000,00"),",",""))</f>
        <v>000000000000000</v>
      </c>
      <c r="BH96" s="23">
        <f t="shared" si="353"/>
        <v>0</v>
      </c>
      <c r="BI96" s="49" t="str">
        <f t="shared" ref="BI96" si="477">IF(BH96&lt;0,SUBSTITUTE(TEXT(BH96,"000000000000,00"),",",""),SUBSTITUTE(TEXT(BH96,"0000000000000,00"),",",""))</f>
        <v>000000000000000</v>
      </c>
      <c r="BJ96" s="23">
        <f t="shared" si="355"/>
        <v>0</v>
      </c>
      <c r="BK96" s="49" t="str">
        <f t="shared" ref="BK96" si="478">IF(BJ96&lt;0,SUBSTITUTE(TEXT(BJ96,"000000000000,00"),",",""),SUBSTITUTE(TEXT(BJ96,"0000000000000,00"),",",""))</f>
        <v>000000000000000</v>
      </c>
      <c r="BL96" s="23">
        <f t="shared" si="357"/>
        <v>0</v>
      </c>
      <c r="BM96" s="49" t="str">
        <f t="shared" ref="BM96" si="479">IF(BL96&lt;0,SUBSTITUTE(TEXT(BL96,"000000000000,00"),",",""),SUBSTITUTE(TEXT(BL96,"0000000000000,00"),",",""))</f>
        <v>000000000000000</v>
      </c>
      <c r="BN96" t="str">
        <f t="shared" si="359"/>
        <v>PES</v>
      </c>
      <c r="BO96" t="str">
        <f t="shared" si="360"/>
        <v>0001000000</v>
      </c>
      <c r="BP96">
        <f t="shared" si="361"/>
        <v>0</v>
      </c>
      <c r="BQ96">
        <f t="shared" si="362"/>
        <v>0</v>
      </c>
      <c r="BR96" s="23">
        <f t="shared" si="363"/>
        <v>0</v>
      </c>
      <c r="BS96" s="49" t="str">
        <f t="shared" si="328"/>
        <v>000000000000000</v>
      </c>
      <c r="BT96" t="str">
        <f t="shared" si="364"/>
        <v>00000000</v>
      </c>
      <c r="BU96" s="23">
        <f t="shared" si="365"/>
        <v>0</v>
      </c>
      <c r="BV96" s="49" t="str">
        <f t="shared" si="329"/>
        <v/>
      </c>
      <c r="BW96" s="52" t="str">
        <f t="shared" si="366"/>
        <v/>
      </c>
      <c r="BX96" s="23">
        <f t="shared" si="367"/>
        <v>0</v>
      </c>
      <c r="BY96" s="49" t="str">
        <f t="shared" si="330"/>
        <v/>
      </c>
      <c r="BZ96" s="23">
        <f t="shared" si="368"/>
        <v>0</v>
      </c>
      <c r="CA96" s="49" t="str">
        <f t="shared" si="331"/>
        <v/>
      </c>
      <c r="CB96" s="52" t="str">
        <f t="shared" si="369"/>
        <v/>
      </c>
      <c r="CC96" s="23">
        <f t="shared" si="370"/>
        <v>0</v>
      </c>
      <c r="CD96" s="49" t="str">
        <f t="shared" si="332"/>
        <v/>
      </c>
      <c r="CE96" s="56" t="str">
        <f>IF(CF96="","",MAX(CE$10:$CE95)+1)</f>
        <v/>
      </c>
      <c r="CF96" t="str">
        <f t="shared" si="371"/>
        <v/>
      </c>
      <c r="CG96" s="22" t="str">
        <f>IF(CH96="","",MAX($CG$10:CG95)+1)</f>
        <v/>
      </c>
      <c r="CH96" s="22" t="str">
        <f t="shared" si="316"/>
        <v/>
      </c>
      <c r="CI96" s="22" t="str">
        <f>IF(CJ96="","",MAX($CI$10:CI95)+1)</f>
        <v/>
      </c>
      <c r="CJ96" s="22" t="str">
        <f t="shared" si="317"/>
        <v/>
      </c>
    </row>
    <row r="97" spans="2:88" x14ac:dyDescent="0.25">
      <c r="B97" s="37"/>
      <c r="C97" s="3"/>
      <c r="D97" s="77" t="str">
        <f t="shared" si="303"/>
        <v/>
      </c>
      <c r="E97" s="38"/>
      <c r="F97" s="38"/>
      <c r="G97" s="78">
        <f t="shared" si="318"/>
        <v>0</v>
      </c>
      <c r="H97" s="3">
        <v>80</v>
      </c>
      <c r="I97" s="77" t="str">
        <f t="shared" si="304"/>
        <v/>
      </c>
      <c r="J97" s="32"/>
      <c r="K97" s="3"/>
      <c r="L97" s="39"/>
      <c r="M97" s="39"/>
      <c r="N97" s="39"/>
      <c r="O97" s="39"/>
      <c r="P97" s="39"/>
      <c r="Q97" s="39"/>
      <c r="R97" s="39"/>
      <c r="S97" s="39"/>
      <c r="T97" s="3" t="s">
        <v>645</v>
      </c>
      <c r="U97" s="77" t="str">
        <f t="shared" si="305"/>
        <v/>
      </c>
      <c r="V97" s="39">
        <v>1</v>
      </c>
      <c r="W97" s="79">
        <f t="shared" si="319"/>
        <v>0</v>
      </c>
      <c r="X97" s="3">
        <v>0</v>
      </c>
      <c r="Y97" s="77" t="str">
        <f t="shared" si="306"/>
        <v/>
      </c>
      <c r="Z97" s="3"/>
      <c r="AA97" s="37" t="str">
        <f t="shared" si="320"/>
        <v/>
      </c>
      <c r="AC97" s="40"/>
      <c r="AD97" s="7"/>
      <c r="AE97" s="77" t="str">
        <f t="shared" si="307"/>
        <v/>
      </c>
      <c r="AF97" s="81">
        <f t="shared" si="333"/>
        <v>0</v>
      </c>
      <c r="AG97" s="40"/>
      <c r="AH97" s="7"/>
      <c r="AI97" s="77" t="str">
        <f t="shared" si="308"/>
        <v/>
      </c>
      <c r="AJ97" s="81">
        <f t="shared" si="334"/>
        <v>0</v>
      </c>
      <c r="AK97" s="83">
        <f t="shared" si="335"/>
        <v>0</v>
      </c>
      <c r="AL97" s="83">
        <f t="shared" si="336"/>
        <v>0</v>
      </c>
      <c r="AN97" s="43">
        <f t="shared" si="309"/>
        <v>0</v>
      </c>
      <c r="AP97" t="str">
        <f t="shared" si="337"/>
        <v/>
      </c>
      <c r="AQ97" t="str">
        <f t="shared" si="338"/>
        <v/>
      </c>
      <c r="AR97" t="str">
        <f t="shared" si="339"/>
        <v/>
      </c>
      <c r="AS97" t="str">
        <f t="shared" si="340"/>
        <v/>
      </c>
      <c r="AT97" t="str">
        <f t="shared" si="341"/>
        <v/>
      </c>
      <c r="AU97" t="str">
        <f t="shared" si="342"/>
        <v/>
      </c>
      <c r="AV97" t="str">
        <f t="shared" si="343"/>
        <v/>
      </c>
      <c r="AW97" t="str">
        <f t="shared" si="344"/>
        <v xml:space="preserve">                              </v>
      </c>
      <c r="AX97" s="23">
        <f t="shared" si="345"/>
        <v>0</v>
      </c>
      <c r="AY97" s="49" t="str">
        <f t="shared" si="321"/>
        <v>000000000000000</v>
      </c>
      <c r="AZ97" s="23">
        <f t="shared" si="346"/>
        <v>0</v>
      </c>
      <c r="BA97" s="49" t="str">
        <f t="shared" si="321"/>
        <v>000000000000000</v>
      </c>
      <c r="BB97" s="23">
        <f t="shared" si="347"/>
        <v>0</v>
      </c>
      <c r="BC97" s="49" t="str">
        <f t="shared" ref="BC97" si="480">IF(BB97&lt;0,SUBSTITUTE(TEXT(BB97,"000000000000,00"),",",""),SUBSTITUTE(TEXT(BB97,"0000000000000,00"),",",""))</f>
        <v>000000000000000</v>
      </c>
      <c r="BD97" s="23">
        <f t="shared" si="349"/>
        <v>0</v>
      </c>
      <c r="BE97" s="49" t="str">
        <f t="shared" ref="BE97" si="481">IF(BD97&lt;0,SUBSTITUTE(TEXT(BD97,"000000000000,00"),",",""),SUBSTITUTE(TEXT(BD97,"0000000000000,00"),",",""))</f>
        <v>000000000000000</v>
      </c>
      <c r="BF97" s="23">
        <f t="shared" si="351"/>
        <v>0</v>
      </c>
      <c r="BG97" s="49" t="str">
        <f t="shared" ref="BG97" si="482">IF(BF97&lt;0,SUBSTITUTE(TEXT(BF97,"000000000000,00"),",",""),SUBSTITUTE(TEXT(BF97,"0000000000000,00"),",",""))</f>
        <v>000000000000000</v>
      </c>
      <c r="BH97" s="23">
        <f t="shared" si="353"/>
        <v>0</v>
      </c>
      <c r="BI97" s="49" t="str">
        <f t="shared" ref="BI97" si="483">IF(BH97&lt;0,SUBSTITUTE(TEXT(BH97,"000000000000,00"),",",""),SUBSTITUTE(TEXT(BH97,"0000000000000,00"),",",""))</f>
        <v>000000000000000</v>
      </c>
      <c r="BJ97" s="23">
        <f t="shared" si="355"/>
        <v>0</v>
      </c>
      <c r="BK97" s="49" t="str">
        <f t="shared" ref="BK97" si="484">IF(BJ97&lt;0,SUBSTITUTE(TEXT(BJ97,"000000000000,00"),",",""),SUBSTITUTE(TEXT(BJ97,"0000000000000,00"),",",""))</f>
        <v>000000000000000</v>
      </c>
      <c r="BL97" s="23">
        <f t="shared" si="357"/>
        <v>0</v>
      </c>
      <c r="BM97" s="49" t="str">
        <f t="shared" ref="BM97" si="485">IF(BL97&lt;0,SUBSTITUTE(TEXT(BL97,"000000000000,00"),",",""),SUBSTITUTE(TEXT(BL97,"0000000000000,00"),",",""))</f>
        <v>000000000000000</v>
      </c>
      <c r="BN97" t="str">
        <f t="shared" si="359"/>
        <v>PES</v>
      </c>
      <c r="BO97" t="str">
        <f t="shared" si="360"/>
        <v>0001000000</v>
      </c>
      <c r="BP97">
        <f t="shared" si="361"/>
        <v>0</v>
      </c>
      <c r="BQ97">
        <f t="shared" si="362"/>
        <v>0</v>
      </c>
      <c r="BR97" s="23">
        <f t="shared" si="363"/>
        <v>0</v>
      </c>
      <c r="BS97" s="49" t="str">
        <f t="shared" si="328"/>
        <v>000000000000000</v>
      </c>
      <c r="BT97" t="str">
        <f t="shared" si="364"/>
        <v>00000000</v>
      </c>
      <c r="BU97" s="23">
        <f t="shared" si="365"/>
        <v>0</v>
      </c>
      <c r="BV97" s="49" t="str">
        <f t="shared" si="329"/>
        <v/>
      </c>
      <c r="BW97" s="52" t="str">
        <f t="shared" si="366"/>
        <v/>
      </c>
      <c r="BX97" s="23">
        <f t="shared" si="367"/>
        <v>0</v>
      </c>
      <c r="BY97" s="49" t="str">
        <f t="shared" si="330"/>
        <v/>
      </c>
      <c r="BZ97" s="23">
        <f t="shared" si="368"/>
        <v>0</v>
      </c>
      <c r="CA97" s="49" t="str">
        <f t="shared" si="331"/>
        <v/>
      </c>
      <c r="CB97" s="52" t="str">
        <f t="shared" si="369"/>
        <v/>
      </c>
      <c r="CC97" s="23">
        <f t="shared" si="370"/>
        <v>0</v>
      </c>
      <c r="CD97" s="49" t="str">
        <f t="shared" si="332"/>
        <v/>
      </c>
      <c r="CE97" s="56" t="str">
        <f>IF(CF97="","",MAX(CE$10:$CE96)+1)</f>
        <v/>
      </c>
      <c r="CF97" t="str">
        <f t="shared" si="371"/>
        <v/>
      </c>
      <c r="CG97" s="22" t="str">
        <f>IF(CH97="","",MAX($CG$10:CG96)+1)</f>
        <v/>
      </c>
      <c r="CH97" s="22" t="str">
        <f t="shared" si="316"/>
        <v/>
      </c>
      <c r="CI97" s="22" t="str">
        <f>IF(CJ97="","",MAX($CI$10:CI96)+1)</f>
        <v/>
      </c>
      <c r="CJ97" s="22" t="str">
        <f t="shared" si="317"/>
        <v/>
      </c>
    </row>
    <row r="98" spans="2:88" x14ac:dyDescent="0.25">
      <c r="B98" s="37"/>
      <c r="C98" s="3"/>
      <c r="D98" s="77" t="str">
        <f t="shared" si="303"/>
        <v/>
      </c>
      <c r="E98" s="38"/>
      <c r="F98" s="38"/>
      <c r="G98" s="78">
        <f t="shared" si="318"/>
        <v>0</v>
      </c>
      <c r="H98" s="3">
        <v>80</v>
      </c>
      <c r="I98" s="77" t="str">
        <f t="shared" si="304"/>
        <v/>
      </c>
      <c r="J98" s="32"/>
      <c r="K98" s="3"/>
      <c r="L98" s="39"/>
      <c r="M98" s="39"/>
      <c r="N98" s="39"/>
      <c r="O98" s="39"/>
      <c r="P98" s="39"/>
      <c r="Q98" s="39"/>
      <c r="R98" s="39"/>
      <c r="S98" s="39"/>
      <c r="T98" s="3" t="s">
        <v>645</v>
      </c>
      <c r="U98" s="77" t="str">
        <f t="shared" si="305"/>
        <v/>
      </c>
      <c r="V98" s="39">
        <v>1</v>
      </c>
      <c r="W98" s="79">
        <f t="shared" si="319"/>
        <v>0</v>
      </c>
      <c r="X98" s="3">
        <v>0</v>
      </c>
      <c r="Y98" s="77" t="str">
        <f t="shared" si="306"/>
        <v/>
      </c>
      <c r="Z98" s="3"/>
      <c r="AA98" s="37" t="str">
        <f t="shared" si="320"/>
        <v/>
      </c>
      <c r="AC98" s="40"/>
      <c r="AD98" s="7"/>
      <c r="AE98" s="77" t="str">
        <f t="shared" si="307"/>
        <v/>
      </c>
      <c r="AF98" s="81">
        <f t="shared" si="333"/>
        <v>0</v>
      </c>
      <c r="AG98" s="40"/>
      <c r="AH98" s="7"/>
      <c r="AI98" s="77" t="str">
        <f t="shared" si="308"/>
        <v/>
      </c>
      <c r="AJ98" s="81">
        <f t="shared" si="334"/>
        <v>0</v>
      </c>
      <c r="AK98" s="83">
        <f t="shared" si="335"/>
        <v>0</v>
      </c>
      <c r="AL98" s="83">
        <f t="shared" si="336"/>
        <v>0</v>
      </c>
      <c r="AN98" s="43">
        <f t="shared" si="309"/>
        <v>0</v>
      </c>
      <c r="AP98" t="str">
        <f t="shared" si="337"/>
        <v/>
      </c>
      <c r="AQ98" t="str">
        <f t="shared" si="338"/>
        <v/>
      </c>
      <c r="AR98" t="str">
        <f t="shared" si="339"/>
        <v/>
      </c>
      <c r="AS98" t="str">
        <f t="shared" si="340"/>
        <v/>
      </c>
      <c r="AT98" t="str">
        <f t="shared" si="341"/>
        <v/>
      </c>
      <c r="AU98" t="str">
        <f t="shared" si="342"/>
        <v/>
      </c>
      <c r="AV98" t="str">
        <f t="shared" si="343"/>
        <v/>
      </c>
      <c r="AW98" t="str">
        <f t="shared" si="344"/>
        <v xml:space="preserve">                              </v>
      </c>
      <c r="AX98" s="23">
        <f t="shared" si="345"/>
        <v>0</v>
      </c>
      <c r="AY98" s="49" t="str">
        <f t="shared" si="321"/>
        <v>000000000000000</v>
      </c>
      <c r="AZ98" s="23">
        <f t="shared" si="346"/>
        <v>0</v>
      </c>
      <c r="BA98" s="49" t="str">
        <f t="shared" si="321"/>
        <v>000000000000000</v>
      </c>
      <c r="BB98" s="23">
        <f t="shared" si="347"/>
        <v>0</v>
      </c>
      <c r="BC98" s="49" t="str">
        <f t="shared" ref="BC98" si="486">IF(BB98&lt;0,SUBSTITUTE(TEXT(BB98,"000000000000,00"),",",""),SUBSTITUTE(TEXT(BB98,"0000000000000,00"),",",""))</f>
        <v>000000000000000</v>
      </c>
      <c r="BD98" s="23">
        <f t="shared" si="349"/>
        <v>0</v>
      </c>
      <c r="BE98" s="49" t="str">
        <f t="shared" ref="BE98" si="487">IF(BD98&lt;0,SUBSTITUTE(TEXT(BD98,"000000000000,00"),",",""),SUBSTITUTE(TEXT(BD98,"0000000000000,00"),",",""))</f>
        <v>000000000000000</v>
      </c>
      <c r="BF98" s="23">
        <f t="shared" si="351"/>
        <v>0</v>
      </c>
      <c r="BG98" s="49" t="str">
        <f t="shared" ref="BG98" si="488">IF(BF98&lt;0,SUBSTITUTE(TEXT(BF98,"000000000000,00"),",",""),SUBSTITUTE(TEXT(BF98,"0000000000000,00"),",",""))</f>
        <v>000000000000000</v>
      </c>
      <c r="BH98" s="23">
        <f t="shared" si="353"/>
        <v>0</v>
      </c>
      <c r="BI98" s="49" t="str">
        <f t="shared" ref="BI98" si="489">IF(BH98&lt;0,SUBSTITUTE(TEXT(BH98,"000000000000,00"),",",""),SUBSTITUTE(TEXT(BH98,"0000000000000,00"),",",""))</f>
        <v>000000000000000</v>
      </c>
      <c r="BJ98" s="23">
        <f t="shared" si="355"/>
        <v>0</v>
      </c>
      <c r="BK98" s="49" t="str">
        <f t="shared" ref="BK98" si="490">IF(BJ98&lt;0,SUBSTITUTE(TEXT(BJ98,"000000000000,00"),",",""),SUBSTITUTE(TEXT(BJ98,"0000000000000,00"),",",""))</f>
        <v>000000000000000</v>
      </c>
      <c r="BL98" s="23">
        <f t="shared" si="357"/>
        <v>0</v>
      </c>
      <c r="BM98" s="49" t="str">
        <f t="shared" ref="BM98" si="491">IF(BL98&lt;0,SUBSTITUTE(TEXT(BL98,"000000000000,00"),",",""),SUBSTITUTE(TEXT(BL98,"0000000000000,00"),",",""))</f>
        <v>000000000000000</v>
      </c>
      <c r="BN98" t="str">
        <f t="shared" si="359"/>
        <v>PES</v>
      </c>
      <c r="BO98" t="str">
        <f t="shared" si="360"/>
        <v>0001000000</v>
      </c>
      <c r="BP98">
        <f t="shared" si="361"/>
        <v>0</v>
      </c>
      <c r="BQ98">
        <f t="shared" si="362"/>
        <v>0</v>
      </c>
      <c r="BR98" s="23">
        <f t="shared" si="363"/>
        <v>0</v>
      </c>
      <c r="BS98" s="49" t="str">
        <f t="shared" si="328"/>
        <v>000000000000000</v>
      </c>
      <c r="BT98" t="str">
        <f t="shared" si="364"/>
        <v>00000000</v>
      </c>
      <c r="BU98" s="23">
        <f t="shared" si="365"/>
        <v>0</v>
      </c>
      <c r="BV98" s="49" t="str">
        <f t="shared" si="329"/>
        <v/>
      </c>
      <c r="BW98" s="52" t="str">
        <f t="shared" si="366"/>
        <v/>
      </c>
      <c r="BX98" s="23">
        <f t="shared" si="367"/>
        <v>0</v>
      </c>
      <c r="BY98" s="49" t="str">
        <f t="shared" si="330"/>
        <v/>
      </c>
      <c r="BZ98" s="23">
        <f t="shared" si="368"/>
        <v>0</v>
      </c>
      <c r="CA98" s="49" t="str">
        <f t="shared" si="331"/>
        <v/>
      </c>
      <c r="CB98" s="52" t="str">
        <f t="shared" si="369"/>
        <v/>
      </c>
      <c r="CC98" s="23">
        <f t="shared" si="370"/>
        <v>0</v>
      </c>
      <c r="CD98" s="49" t="str">
        <f t="shared" si="332"/>
        <v/>
      </c>
      <c r="CE98" s="56" t="str">
        <f>IF(CF98="","",MAX(CE$10:$CE97)+1)</f>
        <v/>
      </c>
      <c r="CF98" t="str">
        <f t="shared" si="371"/>
        <v/>
      </c>
      <c r="CG98" s="22" t="str">
        <f>IF(CH98="","",MAX($CG$10:CG97)+1)</f>
        <v/>
      </c>
      <c r="CH98" s="22" t="str">
        <f t="shared" si="316"/>
        <v/>
      </c>
      <c r="CI98" s="22" t="str">
        <f>IF(CJ98="","",MAX($CI$10:CI97)+1)</f>
        <v/>
      </c>
      <c r="CJ98" s="22" t="str">
        <f t="shared" si="317"/>
        <v/>
      </c>
    </row>
    <row r="99" spans="2:88" x14ac:dyDescent="0.25">
      <c r="B99" s="37"/>
      <c r="C99" s="3"/>
      <c r="D99" s="77" t="str">
        <f t="shared" si="303"/>
        <v/>
      </c>
      <c r="E99" s="38"/>
      <c r="F99" s="38"/>
      <c r="G99" s="78">
        <f t="shared" si="318"/>
        <v>0</v>
      </c>
      <c r="H99" s="3">
        <v>80</v>
      </c>
      <c r="I99" s="77" t="str">
        <f t="shared" si="304"/>
        <v/>
      </c>
      <c r="J99" s="32"/>
      <c r="K99" s="3"/>
      <c r="L99" s="39"/>
      <c r="M99" s="39"/>
      <c r="N99" s="39"/>
      <c r="O99" s="39"/>
      <c r="P99" s="39"/>
      <c r="Q99" s="39"/>
      <c r="R99" s="39"/>
      <c r="S99" s="39"/>
      <c r="T99" s="3" t="s">
        <v>645</v>
      </c>
      <c r="U99" s="77" t="str">
        <f t="shared" si="305"/>
        <v/>
      </c>
      <c r="V99" s="39">
        <v>1</v>
      </c>
      <c r="W99" s="79">
        <f t="shared" si="319"/>
        <v>0</v>
      </c>
      <c r="X99" s="3">
        <v>0</v>
      </c>
      <c r="Y99" s="77" t="str">
        <f t="shared" si="306"/>
        <v/>
      </c>
      <c r="Z99" s="3"/>
      <c r="AA99" s="37" t="str">
        <f t="shared" si="320"/>
        <v/>
      </c>
      <c r="AC99" s="40"/>
      <c r="AD99" s="7"/>
      <c r="AE99" s="77" t="str">
        <f t="shared" si="307"/>
        <v/>
      </c>
      <c r="AF99" s="81">
        <f t="shared" si="333"/>
        <v>0</v>
      </c>
      <c r="AG99" s="40"/>
      <c r="AH99" s="7"/>
      <c r="AI99" s="77" t="str">
        <f t="shared" si="308"/>
        <v/>
      </c>
      <c r="AJ99" s="81">
        <f t="shared" si="334"/>
        <v>0</v>
      </c>
      <c r="AK99" s="83">
        <f t="shared" si="335"/>
        <v>0</v>
      </c>
      <c r="AL99" s="83">
        <f t="shared" si="336"/>
        <v>0</v>
      </c>
      <c r="AN99" s="43">
        <f t="shared" si="309"/>
        <v>0</v>
      </c>
      <c r="AP99" t="str">
        <f t="shared" si="337"/>
        <v/>
      </c>
      <c r="AQ99" t="str">
        <f t="shared" si="338"/>
        <v/>
      </c>
      <c r="AR99" t="str">
        <f t="shared" si="339"/>
        <v/>
      </c>
      <c r="AS99" t="str">
        <f t="shared" si="340"/>
        <v/>
      </c>
      <c r="AT99" t="str">
        <f t="shared" si="341"/>
        <v/>
      </c>
      <c r="AU99" t="str">
        <f t="shared" si="342"/>
        <v/>
      </c>
      <c r="AV99" t="str">
        <f t="shared" si="343"/>
        <v/>
      </c>
      <c r="AW99" t="str">
        <f t="shared" si="344"/>
        <v xml:space="preserve">                              </v>
      </c>
      <c r="AX99" s="23">
        <f t="shared" si="345"/>
        <v>0</v>
      </c>
      <c r="AY99" s="49" t="str">
        <f t="shared" si="321"/>
        <v>000000000000000</v>
      </c>
      <c r="AZ99" s="23">
        <f t="shared" si="346"/>
        <v>0</v>
      </c>
      <c r="BA99" s="49" t="str">
        <f t="shared" si="321"/>
        <v>000000000000000</v>
      </c>
      <c r="BB99" s="23">
        <f t="shared" si="347"/>
        <v>0</v>
      </c>
      <c r="BC99" s="49" t="str">
        <f t="shared" ref="BC99" si="492">IF(BB99&lt;0,SUBSTITUTE(TEXT(BB99,"000000000000,00"),",",""),SUBSTITUTE(TEXT(BB99,"0000000000000,00"),",",""))</f>
        <v>000000000000000</v>
      </c>
      <c r="BD99" s="23">
        <f t="shared" si="349"/>
        <v>0</v>
      </c>
      <c r="BE99" s="49" t="str">
        <f t="shared" ref="BE99" si="493">IF(BD99&lt;0,SUBSTITUTE(TEXT(BD99,"000000000000,00"),",",""),SUBSTITUTE(TEXT(BD99,"0000000000000,00"),",",""))</f>
        <v>000000000000000</v>
      </c>
      <c r="BF99" s="23">
        <f t="shared" si="351"/>
        <v>0</v>
      </c>
      <c r="BG99" s="49" t="str">
        <f t="shared" ref="BG99" si="494">IF(BF99&lt;0,SUBSTITUTE(TEXT(BF99,"000000000000,00"),",",""),SUBSTITUTE(TEXT(BF99,"0000000000000,00"),",",""))</f>
        <v>000000000000000</v>
      </c>
      <c r="BH99" s="23">
        <f t="shared" si="353"/>
        <v>0</v>
      </c>
      <c r="BI99" s="49" t="str">
        <f t="shared" ref="BI99" si="495">IF(BH99&lt;0,SUBSTITUTE(TEXT(BH99,"000000000000,00"),",",""),SUBSTITUTE(TEXT(BH99,"0000000000000,00"),",",""))</f>
        <v>000000000000000</v>
      </c>
      <c r="BJ99" s="23">
        <f t="shared" si="355"/>
        <v>0</v>
      </c>
      <c r="BK99" s="49" t="str">
        <f t="shared" ref="BK99" si="496">IF(BJ99&lt;0,SUBSTITUTE(TEXT(BJ99,"000000000000,00"),",",""),SUBSTITUTE(TEXT(BJ99,"0000000000000,00"),",",""))</f>
        <v>000000000000000</v>
      </c>
      <c r="BL99" s="23">
        <f t="shared" si="357"/>
        <v>0</v>
      </c>
      <c r="BM99" s="49" t="str">
        <f t="shared" ref="BM99" si="497">IF(BL99&lt;0,SUBSTITUTE(TEXT(BL99,"000000000000,00"),",",""),SUBSTITUTE(TEXT(BL99,"0000000000000,00"),",",""))</f>
        <v>000000000000000</v>
      </c>
      <c r="BN99" t="str">
        <f t="shared" si="359"/>
        <v>PES</v>
      </c>
      <c r="BO99" t="str">
        <f t="shared" si="360"/>
        <v>0001000000</v>
      </c>
      <c r="BP99">
        <f t="shared" si="361"/>
        <v>0</v>
      </c>
      <c r="BQ99">
        <f t="shared" si="362"/>
        <v>0</v>
      </c>
      <c r="BR99" s="23">
        <f t="shared" si="363"/>
        <v>0</v>
      </c>
      <c r="BS99" s="49" t="str">
        <f t="shared" si="328"/>
        <v>000000000000000</v>
      </c>
      <c r="BT99" t="str">
        <f t="shared" si="364"/>
        <v>00000000</v>
      </c>
      <c r="BU99" s="23">
        <f t="shared" si="365"/>
        <v>0</v>
      </c>
      <c r="BV99" s="49" t="str">
        <f t="shared" si="329"/>
        <v/>
      </c>
      <c r="BW99" s="52" t="str">
        <f t="shared" si="366"/>
        <v/>
      </c>
      <c r="BX99" s="23">
        <f t="shared" si="367"/>
        <v>0</v>
      </c>
      <c r="BY99" s="49" t="str">
        <f t="shared" si="330"/>
        <v/>
      </c>
      <c r="BZ99" s="23">
        <f t="shared" si="368"/>
        <v>0</v>
      </c>
      <c r="CA99" s="49" t="str">
        <f t="shared" si="331"/>
        <v/>
      </c>
      <c r="CB99" s="52" t="str">
        <f t="shared" si="369"/>
        <v/>
      </c>
      <c r="CC99" s="23">
        <f t="shared" si="370"/>
        <v>0</v>
      </c>
      <c r="CD99" s="49" t="str">
        <f t="shared" si="332"/>
        <v/>
      </c>
      <c r="CE99" s="56" t="str">
        <f>IF(CF99="","",MAX(CE$10:$CE98)+1)</f>
        <v/>
      </c>
      <c r="CF99" t="str">
        <f t="shared" si="371"/>
        <v/>
      </c>
      <c r="CG99" s="22" t="str">
        <f>IF(CH99="","",MAX($CG$10:CG98)+1)</f>
        <v/>
      </c>
      <c r="CH99" s="22" t="str">
        <f t="shared" si="316"/>
        <v/>
      </c>
      <c r="CI99" s="22" t="str">
        <f>IF(CJ99="","",MAX($CI$10:CI98)+1)</f>
        <v/>
      </c>
      <c r="CJ99" s="22" t="str">
        <f t="shared" si="317"/>
        <v/>
      </c>
    </row>
    <row r="100" spans="2:88" x14ac:dyDescent="0.25">
      <c r="B100" s="37"/>
      <c r="C100" s="3"/>
      <c r="D100" s="77" t="str">
        <f t="shared" si="303"/>
        <v/>
      </c>
      <c r="E100" s="38"/>
      <c r="F100" s="38"/>
      <c r="G100" s="78">
        <f t="shared" si="318"/>
        <v>0</v>
      </c>
      <c r="H100" s="3">
        <v>80</v>
      </c>
      <c r="I100" s="77" t="str">
        <f t="shared" si="304"/>
        <v/>
      </c>
      <c r="J100" s="32"/>
      <c r="K100" s="3"/>
      <c r="L100" s="39"/>
      <c r="M100" s="39"/>
      <c r="N100" s="39"/>
      <c r="O100" s="39"/>
      <c r="P100" s="39"/>
      <c r="Q100" s="39"/>
      <c r="R100" s="39"/>
      <c r="S100" s="39"/>
      <c r="T100" s="3" t="s">
        <v>645</v>
      </c>
      <c r="U100" s="77" t="str">
        <f t="shared" si="305"/>
        <v/>
      </c>
      <c r="V100" s="39">
        <v>1</v>
      </c>
      <c r="W100" s="79">
        <f t="shared" si="319"/>
        <v>0</v>
      </c>
      <c r="X100" s="3">
        <v>0</v>
      </c>
      <c r="Y100" s="77" t="str">
        <f t="shared" si="306"/>
        <v/>
      </c>
      <c r="Z100" s="3"/>
      <c r="AA100" s="37" t="str">
        <f t="shared" si="320"/>
        <v/>
      </c>
      <c r="AC100" s="40"/>
      <c r="AD100" s="7"/>
      <c r="AE100" s="77" t="str">
        <f t="shared" si="307"/>
        <v/>
      </c>
      <c r="AF100" s="81">
        <f t="shared" si="333"/>
        <v>0</v>
      </c>
      <c r="AG100" s="40"/>
      <c r="AH100" s="7"/>
      <c r="AI100" s="77" t="str">
        <f t="shared" si="308"/>
        <v/>
      </c>
      <c r="AJ100" s="81">
        <f t="shared" si="334"/>
        <v>0</v>
      </c>
      <c r="AK100" s="83">
        <f t="shared" si="335"/>
        <v>0</v>
      </c>
      <c r="AL100" s="83">
        <f t="shared" si="336"/>
        <v>0</v>
      </c>
      <c r="AN100" s="43">
        <f t="shared" si="309"/>
        <v>0</v>
      </c>
      <c r="AP100" t="str">
        <f t="shared" si="337"/>
        <v/>
      </c>
      <c r="AQ100" t="str">
        <f t="shared" si="338"/>
        <v/>
      </c>
      <c r="AR100" t="str">
        <f t="shared" si="339"/>
        <v/>
      </c>
      <c r="AS100" t="str">
        <f t="shared" si="340"/>
        <v/>
      </c>
      <c r="AT100" t="str">
        <f t="shared" si="341"/>
        <v/>
      </c>
      <c r="AU100" t="str">
        <f t="shared" si="342"/>
        <v/>
      </c>
      <c r="AV100" t="str">
        <f t="shared" si="343"/>
        <v/>
      </c>
      <c r="AW100" t="str">
        <f t="shared" si="344"/>
        <v xml:space="preserve">                              </v>
      </c>
      <c r="AX100" s="23">
        <f t="shared" si="345"/>
        <v>0</v>
      </c>
      <c r="AY100" s="49" t="str">
        <f t="shared" si="321"/>
        <v>000000000000000</v>
      </c>
      <c r="AZ100" s="23">
        <f t="shared" si="346"/>
        <v>0</v>
      </c>
      <c r="BA100" s="49" t="str">
        <f t="shared" si="321"/>
        <v>000000000000000</v>
      </c>
      <c r="BB100" s="23">
        <f t="shared" si="347"/>
        <v>0</v>
      </c>
      <c r="BC100" s="49" t="str">
        <f t="shared" ref="BC100" si="498">IF(BB100&lt;0,SUBSTITUTE(TEXT(BB100,"000000000000,00"),",",""),SUBSTITUTE(TEXT(BB100,"0000000000000,00"),",",""))</f>
        <v>000000000000000</v>
      </c>
      <c r="BD100" s="23">
        <f t="shared" si="349"/>
        <v>0</v>
      </c>
      <c r="BE100" s="49" t="str">
        <f t="shared" ref="BE100" si="499">IF(BD100&lt;0,SUBSTITUTE(TEXT(BD100,"000000000000,00"),",",""),SUBSTITUTE(TEXT(BD100,"0000000000000,00"),",",""))</f>
        <v>000000000000000</v>
      </c>
      <c r="BF100" s="23">
        <f t="shared" si="351"/>
        <v>0</v>
      </c>
      <c r="BG100" s="49" t="str">
        <f t="shared" ref="BG100" si="500">IF(BF100&lt;0,SUBSTITUTE(TEXT(BF100,"000000000000,00"),",",""),SUBSTITUTE(TEXT(BF100,"0000000000000,00"),",",""))</f>
        <v>000000000000000</v>
      </c>
      <c r="BH100" s="23">
        <f t="shared" si="353"/>
        <v>0</v>
      </c>
      <c r="BI100" s="49" t="str">
        <f t="shared" ref="BI100" si="501">IF(BH100&lt;0,SUBSTITUTE(TEXT(BH100,"000000000000,00"),",",""),SUBSTITUTE(TEXT(BH100,"0000000000000,00"),",",""))</f>
        <v>000000000000000</v>
      </c>
      <c r="BJ100" s="23">
        <f t="shared" si="355"/>
        <v>0</v>
      </c>
      <c r="BK100" s="49" t="str">
        <f t="shared" ref="BK100" si="502">IF(BJ100&lt;0,SUBSTITUTE(TEXT(BJ100,"000000000000,00"),",",""),SUBSTITUTE(TEXT(BJ100,"0000000000000,00"),",",""))</f>
        <v>000000000000000</v>
      </c>
      <c r="BL100" s="23">
        <f t="shared" si="357"/>
        <v>0</v>
      </c>
      <c r="BM100" s="49" t="str">
        <f t="shared" ref="BM100" si="503">IF(BL100&lt;0,SUBSTITUTE(TEXT(BL100,"000000000000,00"),",",""),SUBSTITUTE(TEXT(BL100,"0000000000000,00"),",",""))</f>
        <v>000000000000000</v>
      </c>
      <c r="BN100" t="str">
        <f t="shared" si="359"/>
        <v>PES</v>
      </c>
      <c r="BO100" t="str">
        <f t="shared" si="360"/>
        <v>0001000000</v>
      </c>
      <c r="BP100">
        <f t="shared" si="361"/>
        <v>0</v>
      </c>
      <c r="BQ100">
        <f t="shared" si="362"/>
        <v>0</v>
      </c>
      <c r="BR100" s="23">
        <f t="shared" si="363"/>
        <v>0</v>
      </c>
      <c r="BS100" s="49" t="str">
        <f t="shared" si="328"/>
        <v>000000000000000</v>
      </c>
      <c r="BT100" t="str">
        <f t="shared" si="364"/>
        <v>00000000</v>
      </c>
      <c r="BU100" s="23">
        <f t="shared" si="365"/>
        <v>0</v>
      </c>
      <c r="BV100" s="49" t="str">
        <f t="shared" si="329"/>
        <v/>
      </c>
      <c r="BW100" s="52" t="str">
        <f t="shared" si="366"/>
        <v/>
      </c>
      <c r="BX100" s="23">
        <f t="shared" si="367"/>
        <v>0</v>
      </c>
      <c r="BY100" s="49" t="str">
        <f t="shared" si="330"/>
        <v/>
      </c>
      <c r="BZ100" s="23">
        <f t="shared" si="368"/>
        <v>0</v>
      </c>
      <c r="CA100" s="49" t="str">
        <f t="shared" si="331"/>
        <v/>
      </c>
      <c r="CB100" s="52" t="str">
        <f t="shared" si="369"/>
        <v/>
      </c>
      <c r="CC100" s="23">
        <f t="shared" si="370"/>
        <v>0</v>
      </c>
      <c r="CD100" s="49" t="str">
        <f t="shared" si="332"/>
        <v/>
      </c>
      <c r="CE100" s="56" t="str">
        <f>IF(CF100="","",MAX(CE$10:$CE99)+1)</f>
        <v/>
      </c>
      <c r="CF100" t="str">
        <f t="shared" si="371"/>
        <v/>
      </c>
      <c r="CG100" s="22" t="str">
        <f>IF(CH100="","",MAX($CG$10:CG99)+1)</f>
        <v/>
      </c>
      <c r="CH100" s="22" t="str">
        <f t="shared" si="316"/>
        <v/>
      </c>
      <c r="CI100" s="22" t="str">
        <f>IF(CJ100="","",MAX($CI$10:CI99)+1)</f>
        <v/>
      </c>
      <c r="CJ100" s="22" t="str">
        <f t="shared" si="317"/>
        <v/>
      </c>
    </row>
    <row r="101" spans="2:88" x14ac:dyDescent="0.25">
      <c r="B101" s="37"/>
      <c r="C101" s="3"/>
      <c r="D101" s="77" t="str">
        <f t="shared" si="303"/>
        <v/>
      </c>
      <c r="E101" s="38"/>
      <c r="F101" s="38"/>
      <c r="G101" s="78">
        <f t="shared" si="318"/>
        <v>0</v>
      </c>
      <c r="H101" s="3">
        <v>80</v>
      </c>
      <c r="I101" s="77" t="str">
        <f t="shared" si="304"/>
        <v/>
      </c>
      <c r="J101" s="32"/>
      <c r="K101" s="3"/>
      <c r="L101" s="39"/>
      <c r="M101" s="39"/>
      <c r="N101" s="39"/>
      <c r="O101" s="39"/>
      <c r="P101" s="39"/>
      <c r="Q101" s="39"/>
      <c r="R101" s="39"/>
      <c r="S101" s="39"/>
      <c r="T101" s="3" t="s">
        <v>645</v>
      </c>
      <c r="U101" s="77" t="str">
        <f t="shared" si="305"/>
        <v/>
      </c>
      <c r="V101" s="39">
        <v>1</v>
      </c>
      <c r="W101" s="79">
        <f t="shared" si="319"/>
        <v>0</v>
      </c>
      <c r="X101" s="3">
        <v>0</v>
      </c>
      <c r="Y101" s="77" t="str">
        <f t="shared" si="306"/>
        <v/>
      </c>
      <c r="Z101" s="3"/>
      <c r="AA101" s="37" t="str">
        <f t="shared" si="320"/>
        <v/>
      </c>
      <c r="AC101" s="40"/>
      <c r="AD101" s="7"/>
      <c r="AE101" s="77" t="str">
        <f t="shared" si="307"/>
        <v/>
      </c>
      <c r="AF101" s="81">
        <f t="shared" si="333"/>
        <v>0</v>
      </c>
      <c r="AG101" s="40"/>
      <c r="AH101" s="7"/>
      <c r="AI101" s="77" t="str">
        <f t="shared" si="308"/>
        <v/>
      </c>
      <c r="AJ101" s="81">
        <f t="shared" si="334"/>
        <v>0</v>
      </c>
      <c r="AK101" s="83">
        <f t="shared" si="335"/>
        <v>0</v>
      </c>
      <c r="AL101" s="83">
        <f t="shared" si="336"/>
        <v>0</v>
      </c>
      <c r="AN101" s="43">
        <f t="shared" si="309"/>
        <v>0</v>
      </c>
      <c r="AP101" t="str">
        <f t="shared" si="337"/>
        <v/>
      </c>
      <c r="AQ101" t="str">
        <f t="shared" si="338"/>
        <v/>
      </c>
      <c r="AR101" t="str">
        <f t="shared" si="339"/>
        <v/>
      </c>
      <c r="AS101" t="str">
        <f t="shared" si="340"/>
        <v/>
      </c>
      <c r="AT101" t="str">
        <f t="shared" si="341"/>
        <v/>
      </c>
      <c r="AU101" t="str">
        <f t="shared" si="342"/>
        <v/>
      </c>
      <c r="AV101" t="str">
        <f t="shared" si="343"/>
        <v/>
      </c>
      <c r="AW101" t="str">
        <f t="shared" si="344"/>
        <v xml:space="preserve">                              </v>
      </c>
      <c r="AX101" s="23">
        <f t="shared" si="345"/>
        <v>0</v>
      </c>
      <c r="AY101" s="49" t="str">
        <f t="shared" si="321"/>
        <v>000000000000000</v>
      </c>
      <c r="AZ101" s="23">
        <f t="shared" si="346"/>
        <v>0</v>
      </c>
      <c r="BA101" s="49" t="str">
        <f t="shared" si="321"/>
        <v>000000000000000</v>
      </c>
      <c r="BB101" s="23">
        <f t="shared" si="347"/>
        <v>0</v>
      </c>
      <c r="BC101" s="49" t="str">
        <f t="shared" ref="BC101" si="504">IF(BB101&lt;0,SUBSTITUTE(TEXT(BB101,"000000000000,00"),",",""),SUBSTITUTE(TEXT(BB101,"0000000000000,00"),",",""))</f>
        <v>000000000000000</v>
      </c>
      <c r="BD101" s="23">
        <f t="shared" si="349"/>
        <v>0</v>
      </c>
      <c r="BE101" s="49" t="str">
        <f t="shared" ref="BE101" si="505">IF(BD101&lt;0,SUBSTITUTE(TEXT(BD101,"000000000000,00"),",",""),SUBSTITUTE(TEXT(BD101,"0000000000000,00"),",",""))</f>
        <v>000000000000000</v>
      </c>
      <c r="BF101" s="23">
        <f t="shared" si="351"/>
        <v>0</v>
      </c>
      <c r="BG101" s="49" t="str">
        <f t="shared" ref="BG101" si="506">IF(BF101&lt;0,SUBSTITUTE(TEXT(BF101,"000000000000,00"),",",""),SUBSTITUTE(TEXT(BF101,"0000000000000,00"),",",""))</f>
        <v>000000000000000</v>
      </c>
      <c r="BH101" s="23">
        <f t="shared" si="353"/>
        <v>0</v>
      </c>
      <c r="BI101" s="49" t="str">
        <f t="shared" ref="BI101" si="507">IF(BH101&lt;0,SUBSTITUTE(TEXT(BH101,"000000000000,00"),",",""),SUBSTITUTE(TEXT(BH101,"0000000000000,00"),",",""))</f>
        <v>000000000000000</v>
      </c>
      <c r="BJ101" s="23">
        <f t="shared" si="355"/>
        <v>0</v>
      </c>
      <c r="BK101" s="49" t="str">
        <f t="shared" ref="BK101" si="508">IF(BJ101&lt;0,SUBSTITUTE(TEXT(BJ101,"000000000000,00"),",",""),SUBSTITUTE(TEXT(BJ101,"0000000000000,00"),",",""))</f>
        <v>000000000000000</v>
      </c>
      <c r="BL101" s="23">
        <f t="shared" si="357"/>
        <v>0</v>
      </c>
      <c r="BM101" s="49" t="str">
        <f t="shared" ref="BM101" si="509">IF(BL101&lt;0,SUBSTITUTE(TEXT(BL101,"000000000000,00"),",",""),SUBSTITUTE(TEXT(BL101,"0000000000000,00"),",",""))</f>
        <v>000000000000000</v>
      </c>
      <c r="BN101" t="str">
        <f t="shared" si="359"/>
        <v>PES</v>
      </c>
      <c r="BO101" t="str">
        <f t="shared" si="360"/>
        <v>0001000000</v>
      </c>
      <c r="BP101">
        <f t="shared" si="361"/>
        <v>0</v>
      </c>
      <c r="BQ101">
        <f t="shared" si="362"/>
        <v>0</v>
      </c>
      <c r="BR101" s="23">
        <f t="shared" si="363"/>
        <v>0</v>
      </c>
      <c r="BS101" s="49" t="str">
        <f t="shared" si="328"/>
        <v>000000000000000</v>
      </c>
      <c r="BT101" t="str">
        <f t="shared" si="364"/>
        <v>00000000</v>
      </c>
      <c r="BU101" s="23">
        <f t="shared" si="365"/>
        <v>0</v>
      </c>
      <c r="BV101" s="49" t="str">
        <f t="shared" si="329"/>
        <v/>
      </c>
      <c r="BW101" s="52" t="str">
        <f t="shared" si="366"/>
        <v/>
      </c>
      <c r="BX101" s="23">
        <f t="shared" si="367"/>
        <v>0</v>
      </c>
      <c r="BY101" s="49" t="str">
        <f t="shared" si="330"/>
        <v/>
      </c>
      <c r="BZ101" s="23">
        <f t="shared" si="368"/>
        <v>0</v>
      </c>
      <c r="CA101" s="49" t="str">
        <f t="shared" si="331"/>
        <v/>
      </c>
      <c r="CB101" s="52" t="str">
        <f t="shared" si="369"/>
        <v/>
      </c>
      <c r="CC101" s="23">
        <f t="shared" si="370"/>
        <v>0</v>
      </c>
      <c r="CD101" s="49" t="str">
        <f t="shared" si="332"/>
        <v/>
      </c>
      <c r="CE101" s="56" t="str">
        <f>IF(CF101="","",MAX(CE$10:$CE100)+1)</f>
        <v/>
      </c>
      <c r="CF101" t="str">
        <f t="shared" si="371"/>
        <v/>
      </c>
      <c r="CG101" s="22" t="str">
        <f>IF(CH101="","",MAX($CG$10:CG100)+1)</f>
        <v/>
      </c>
      <c r="CH101" s="22" t="str">
        <f t="shared" si="316"/>
        <v/>
      </c>
      <c r="CI101" s="22" t="str">
        <f>IF(CJ101="","",MAX($CI$10:CI100)+1)</f>
        <v/>
      </c>
      <c r="CJ101" s="22" t="str">
        <f t="shared" si="317"/>
        <v/>
      </c>
    </row>
    <row r="102" spans="2:88" x14ac:dyDescent="0.25">
      <c r="B102" s="37"/>
      <c r="C102" s="3"/>
      <c r="D102" s="77" t="str">
        <f t="shared" si="303"/>
        <v/>
      </c>
      <c r="E102" s="38"/>
      <c r="F102" s="38"/>
      <c r="G102" s="78">
        <f t="shared" si="318"/>
        <v>0</v>
      </c>
      <c r="H102" s="3">
        <v>80</v>
      </c>
      <c r="I102" s="77" t="str">
        <f t="shared" si="304"/>
        <v/>
      </c>
      <c r="J102" s="32"/>
      <c r="K102" s="3"/>
      <c r="L102" s="39"/>
      <c r="M102" s="39"/>
      <c r="N102" s="39"/>
      <c r="O102" s="39"/>
      <c r="P102" s="39"/>
      <c r="Q102" s="39"/>
      <c r="R102" s="39"/>
      <c r="S102" s="39"/>
      <c r="T102" s="3" t="s">
        <v>645</v>
      </c>
      <c r="U102" s="77" t="str">
        <f t="shared" si="305"/>
        <v/>
      </c>
      <c r="V102" s="39">
        <v>1</v>
      </c>
      <c r="W102" s="79">
        <f t="shared" si="319"/>
        <v>0</v>
      </c>
      <c r="X102" s="3">
        <v>0</v>
      </c>
      <c r="Y102" s="77" t="str">
        <f t="shared" si="306"/>
        <v/>
      </c>
      <c r="Z102" s="3"/>
      <c r="AA102" s="37" t="str">
        <f t="shared" si="320"/>
        <v/>
      </c>
      <c r="AC102" s="40"/>
      <c r="AD102" s="7"/>
      <c r="AE102" s="77" t="str">
        <f t="shared" si="307"/>
        <v/>
      </c>
      <c r="AF102" s="81">
        <f t="shared" si="333"/>
        <v>0</v>
      </c>
      <c r="AG102" s="40"/>
      <c r="AH102" s="7"/>
      <c r="AI102" s="77" t="str">
        <f t="shared" si="308"/>
        <v/>
      </c>
      <c r="AJ102" s="81">
        <f t="shared" si="334"/>
        <v>0</v>
      </c>
      <c r="AK102" s="83">
        <f t="shared" si="335"/>
        <v>0</v>
      </c>
      <c r="AL102" s="83">
        <f t="shared" si="336"/>
        <v>0</v>
      </c>
      <c r="AN102" s="43">
        <f t="shared" si="309"/>
        <v>0</v>
      </c>
      <c r="AP102" t="str">
        <f t="shared" si="337"/>
        <v/>
      </c>
      <c r="AQ102" t="str">
        <f t="shared" si="338"/>
        <v/>
      </c>
      <c r="AR102" t="str">
        <f t="shared" si="339"/>
        <v/>
      </c>
      <c r="AS102" t="str">
        <f t="shared" si="340"/>
        <v/>
      </c>
      <c r="AT102" t="str">
        <f t="shared" si="341"/>
        <v/>
      </c>
      <c r="AU102" t="str">
        <f t="shared" si="342"/>
        <v/>
      </c>
      <c r="AV102" t="str">
        <f t="shared" si="343"/>
        <v/>
      </c>
      <c r="AW102" t="str">
        <f t="shared" si="344"/>
        <v xml:space="preserve">                              </v>
      </c>
      <c r="AX102" s="23">
        <f t="shared" si="345"/>
        <v>0</v>
      </c>
      <c r="AY102" s="49" t="str">
        <f t="shared" si="321"/>
        <v>000000000000000</v>
      </c>
      <c r="AZ102" s="23">
        <f t="shared" si="346"/>
        <v>0</v>
      </c>
      <c r="BA102" s="49" t="str">
        <f t="shared" si="321"/>
        <v>000000000000000</v>
      </c>
      <c r="BB102" s="23">
        <f t="shared" si="347"/>
        <v>0</v>
      </c>
      <c r="BC102" s="49" t="str">
        <f t="shared" ref="BC102" si="510">IF(BB102&lt;0,SUBSTITUTE(TEXT(BB102,"000000000000,00"),",",""),SUBSTITUTE(TEXT(BB102,"0000000000000,00"),",",""))</f>
        <v>000000000000000</v>
      </c>
      <c r="BD102" s="23">
        <f t="shared" si="349"/>
        <v>0</v>
      </c>
      <c r="BE102" s="49" t="str">
        <f t="shared" ref="BE102" si="511">IF(BD102&lt;0,SUBSTITUTE(TEXT(BD102,"000000000000,00"),",",""),SUBSTITUTE(TEXT(BD102,"0000000000000,00"),",",""))</f>
        <v>000000000000000</v>
      </c>
      <c r="BF102" s="23">
        <f t="shared" si="351"/>
        <v>0</v>
      </c>
      <c r="BG102" s="49" t="str">
        <f t="shared" ref="BG102" si="512">IF(BF102&lt;0,SUBSTITUTE(TEXT(BF102,"000000000000,00"),",",""),SUBSTITUTE(TEXT(BF102,"0000000000000,00"),",",""))</f>
        <v>000000000000000</v>
      </c>
      <c r="BH102" s="23">
        <f t="shared" si="353"/>
        <v>0</v>
      </c>
      <c r="BI102" s="49" t="str">
        <f t="shared" ref="BI102" si="513">IF(BH102&lt;0,SUBSTITUTE(TEXT(BH102,"000000000000,00"),",",""),SUBSTITUTE(TEXT(BH102,"0000000000000,00"),",",""))</f>
        <v>000000000000000</v>
      </c>
      <c r="BJ102" s="23">
        <f t="shared" si="355"/>
        <v>0</v>
      </c>
      <c r="BK102" s="49" t="str">
        <f t="shared" ref="BK102" si="514">IF(BJ102&lt;0,SUBSTITUTE(TEXT(BJ102,"000000000000,00"),",",""),SUBSTITUTE(TEXT(BJ102,"0000000000000,00"),",",""))</f>
        <v>000000000000000</v>
      </c>
      <c r="BL102" s="23">
        <f t="shared" si="357"/>
        <v>0</v>
      </c>
      <c r="BM102" s="49" t="str">
        <f t="shared" ref="BM102" si="515">IF(BL102&lt;0,SUBSTITUTE(TEXT(BL102,"000000000000,00"),",",""),SUBSTITUTE(TEXT(BL102,"0000000000000,00"),",",""))</f>
        <v>000000000000000</v>
      </c>
      <c r="BN102" t="str">
        <f t="shared" si="359"/>
        <v>PES</v>
      </c>
      <c r="BO102" t="str">
        <f t="shared" si="360"/>
        <v>0001000000</v>
      </c>
      <c r="BP102">
        <f t="shared" si="361"/>
        <v>0</v>
      </c>
      <c r="BQ102">
        <f t="shared" si="362"/>
        <v>0</v>
      </c>
      <c r="BR102" s="23">
        <f t="shared" si="363"/>
        <v>0</v>
      </c>
      <c r="BS102" s="49" t="str">
        <f t="shared" si="328"/>
        <v>000000000000000</v>
      </c>
      <c r="BT102" t="str">
        <f t="shared" si="364"/>
        <v>00000000</v>
      </c>
      <c r="BU102" s="23">
        <f t="shared" si="365"/>
        <v>0</v>
      </c>
      <c r="BV102" s="49" t="str">
        <f t="shared" si="329"/>
        <v/>
      </c>
      <c r="BW102" s="52" t="str">
        <f t="shared" si="366"/>
        <v/>
      </c>
      <c r="BX102" s="23">
        <f t="shared" si="367"/>
        <v>0</v>
      </c>
      <c r="BY102" s="49" t="str">
        <f t="shared" si="330"/>
        <v/>
      </c>
      <c r="BZ102" s="23">
        <f t="shared" si="368"/>
        <v>0</v>
      </c>
      <c r="CA102" s="49" t="str">
        <f t="shared" si="331"/>
        <v/>
      </c>
      <c r="CB102" s="52" t="str">
        <f t="shared" si="369"/>
        <v/>
      </c>
      <c r="CC102" s="23">
        <f t="shared" si="370"/>
        <v>0</v>
      </c>
      <c r="CD102" s="49" t="str">
        <f t="shared" si="332"/>
        <v/>
      </c>
      <c r="CE102" s="56" t="str">
        <f>IF(CF102="","",MAX(CE$10:$CE101)+1)</f>
        <v/>
      </c>
      <c r="CF102" t="str">
        <f t="shared" si="371"/>
        <v/>
      </c>
      <c r="CG102" s="22" t="str">
        <f>IF(CH102="","",MAX($CG$10:CG101)+1)</f>
        <v/>
      </c>
      <c r="CH102" s="22" t="str">
        <f t="shared" si="316"/>
        <v/>
      </c>
      <c r="CI102" s="22" t="str">
        <f>IF(CJ102="","",MAX($CI$10:CI101)+1)</f>
        <v/>
      </c>
      <c r="CJ102" s="22" t="str">
        <f t="shared" si="317"/>
        <v/>
      </c>
    </row>
    <row r="103" spans="2:88" x14ac:dyDescent="0.25">
      <c r="B103" s="37"/>
      <c r="C103" s="3"/>
      <c r="D103" s="77" t="str">
        <f t="shared" si="303"/>
        <v/>
      </c>
      <c r="E103" s="38"/>
      <c r="F103" s="38"/>
      <c r="G103" s="78">
        <f t="shared" si="318"/>
        <v>0</v>
      </c>
      <c r="H103" s="3">
        <v>80</v>
      </c>
      <c r="I103" s="77" t="str">
        <f t="shared" si="304"/>
        <v/>
      </c>
      <c r="J103" s="32"/>
      <c r="K103" s="3"/>
      <c r="L103" s="39"/>
      <c r="M103" s="39"/>
      <c r="N103" s="39"/>
      <c r="O103" s="39"/>
      <c r="P103" s="39"/>
      <c r="Q103" s="39"/>
      <c r="R103" s="39"/>
      <c r="S103" s="39"/>
      <c r="T103" s="3" t="s">
        <v>645</v>
      </c>
      <c r="U103" s="77" t="str">
        <f t="shared" si="305"/>
        <v/>
      </c>
      <c r="V103" s="39">
        <v>1</v>
      </c>
      <c r="W103" s="79">
        <f t="shared" si="319"/>
        <v>0</v>
      </c>
      <c r="X103" s="3">
        <v>0</v>
      </c>
      <c r="Y103" s="77" t="str">
        <f t="shared" si="306"/>
        <v/>
      </c>
      <c r="Z103" s="3"/>
      <c r="AA103" s="37" t="str">
        <f t="shared" si="320"/>
        <v/>
      </c>
      <c r="AC103" s="40"/>
      <c r="AD103" s="7"/>
      <c r="AE103" s="77" t="str">
        <f t="shared" si="307"/>
        <v/>
      </c>
      <c r="AF103" s="81">
        <f t="shared" si="333"/>
        <v>0</v>
      </c>
      <c r="AG103" s="40"/>
      <c r="AH103" s="7"/>
      <c r="AI103" s="77" t="str">
        <f t="shared" si="308"/>
        <v/>
      </c>
      <c r="AJ103" s="81">
        <f t="shared" si="334"/>
        <v>0</v>
      </c>
      <c r="AK103" s="83">
        <f t="shared" si="335"/>
        <v>0</v>
      </c>
      <c r="AL103" s="83">
        <f t="shared" si="336"/>
        <v>0</v>
      </c>
      <c r="AN103" s="43">
        <f t="shared" si="309"/>
        <v>0</v>
      </c>
      <c r="AP103" t="str">
        <f t="shared" si="337"/>
        <v/>
      </c>
      <c r="AQ103" t="str">
        <f t="shared" si="338"/>
        <v/>
      </c>
      <c r="AR103" t="str">
        <f t="shared" si="339"/>
        <v/>
      </c>
      <c r="AS103" t="str">
        <f t="shared" si="340"/>
        <v/>
      </c>
      <c r="AT103" t="str">
        <f t="shared" si="341"/>
        <v/>
      </c>
      <c r="AU103" t="str">
        <f t="shared" si="342"/>
        <v/>
      </c>
      <c r="AV103" t="str">
        <f t="shared" si="343"/>
        <v/>
      </c>
      <c r="AW103" t="str">
        <f t="shared" si="344"/>
        <v xml:space="preserve">                              </v>
      </c>
      <c r="AX103" s="23">
        <f t="shared" si="345"/>
        <v>0</v>
      </c>
      <c r="AY103" s="49" t="str">
        <f t="shared" si="321"/>
        <v>000000000000000</v>
      </c>
      <c r="AZ103" s="23">
        <f t="shared" si="346"/>
        <v>0</v>
      </c>
      <c r="BA103" s="49" t="str">
        <f t="shared" si="321"/>
        <v>000000000000000</v>
      </c>
      <c r="BB103" s="23">
        <f t="shared" si="347"/>
        <v>0</v>
      </c>
      <c r="BC103" s="49" t="str">
        <f t="shared" ref="BC103" si="516">IF(BB103&lt;0,SUBSTITUTE(TEXT(BB103,"000000000000,00"),",",""),SUBSTITUTE(TEXT(BB103,"0000000000000,00"),",",""))</f>
        <v>000000000000000</v>
      </c>
      <c r="BD103" s="23">
        <f t="shared" si="349"/>
        <v>0</v>
      </c>
      <c r="BE103" s="49" t="str">
        <f t="shared" ref="BE103" si="517">IF(BD103&lt;0,SUBSTITUTE(TEXT(BD103,"000000000000,00"),",",""),SUBSTITUTE(TEXT(BD103,"0000000000000,00"),",",""))</f>
        <v>000000000000000</v>
      </c>
      <c r="BF103" s="23">
        <f t="shared" si="351"/>
        <v>0</v>
      </c>
      <c r="BG103" s="49" t="str">
        <f t="shared" ref="BG103" si="518">IF(BF103&lt;0,SUBSTITUTE(TEXT(BF103,"000000000000,00"),",",""),SUBSTITUTE(TEXT(BF103,"0000000000000,00"),",",""))</f>
        <v>000000000000000</v>
      </c>
      <c r="BH103" s="23">
        <f t="shared" si="353"/>
        <v>0</v>
      </c>
      <c r="BI103" s="49" t="str">
        <f t="shared" ref="BI103" si="519">IF(BH103&lt;0,SUBSTITUTE(TEXT(BH103,"000000000000,00"),",",""),SUBSTITUTE(TEXT(BH103,"0000000000000,00"),",",""))</f>
        <v>000000000000000</v>
      </c>
      <c r="BJ103" s="23">
        <f t="shared" si="355"/>
        <v>0</v>
      </c>
      <c r="BK103" s="49" t="str">
        <f t="shared" ref="BK103" si="520">IF(BJ103&lt;0,SUBSTITUTE(TEXT(BJ103,"000000000000,00"),",",""),SUBSTITUTE(TEXT(BJ103,"0000000000000,00"),",",""))</f>
        <v>000000000000000</v>
      </c>
      <c r="BL103" s="23">
        <f t="shared" si="357"/>
        <v>0</v>
      </c>
      <c r="BM103" s="49" t="str">
        <f t="shared" ref="BM103" si="521">IF(BL103&lt;0,SUBSTITUTE(TEXT(BL103,"000000000000,00"),",",""),SUBSTITUTE(TEXT(BL103,"0000000000000,00"),",",""))</f>
        <v>000000000000000</v>
      </c>
      <c r="BN103" t="str">
        <f t="shared" si="359"/>
        <v>PES</v>
      </c>
      <c r="BO103" t="str">
        <f t="shared" si="360"/>
        <v>0001000000</v>
      </c>
      <c r="BP103">
        <f t="shared" si="361"/>
        <v>0</v>
      </c>
      <c r="BQ103">
        <f t="shared" si="362"/>
        <v>0</v>
      </c>
      <c r="BR103" s="23">
        <f t="shared" si="363"/>
        <v>0</v>
      </c>
      <c r="BS103" s="49" t="str">
        <f t="shared" si="328"/>
        <v>000000000000000</v>
      </c>
      <c r="BT103" t="str">
        <f t="shared" si="364"/>
        <v>00000000</v>
      </c>
      <c r="BU103" s="23">
        <f t="shared" si="365"/>
        <v>0</v>
      </c>
      <c r="BV103" s="49" t="str">
        <f t="shared" si="329"/>
        <v/>
      </c>
      <c r="BW103" s="52" t="str">
        <f t="shared" si="366"/>
        <v/>
      </c>
      <c r="BX103" s="23">
        <f t="shared" si="367"/>
        <v>0</v>
      </c>
      <c r="BY103" s="49" t="str">
        <f t="shared" si="330"/>
        <v/>
      </c>
      <c r="BZ103" s="23">
        <f t="shared" si="368"/>
        <v>0</v>
      </c>
      <c r="CA103" s="49" t="str">
        <f t="shared" si="331"/>
        <v/>
      </c>
      <c r="CB103" s="52" t="str">
        <f t="shared" si="369"/>
        <v/>
      </c>
      <c r="CC103" s="23">
        <f t="shared" si="370"/>
        <v>0</v>
      </c>
      <c r="CD103" s="49" t="str">
        <f t="shared" si="332"/>
        <v/>
      </c>
      <c r="CE103" s="56" t="str">
        <f>IF(CF103="","",MAX(CE$10:$CE102)+1)</f>
        <v/>
      </c>
      <c r="CF103" t="str">
        <f t="shared" si="371"/>
        <v/>
      </c>
      <c r="CG103" s="22" t="str">
        <f>IF(CH103="","",MAX($CG$10:CG102)+1)</f>
        <v/>
      </c>
      <c r="CH103" s="22" t="str">
        <f t="shared" si="316"/>
        <v/>
      </c>
      <c r="CI103" s="22" t="str">
        <f>IF(CJ103="","",MAX($CI$10:CI102)+1)</f>
        <v/>
      </c>
      <c r="CJ103" s="22" t="str">
        <f t="shared" si="317"/>
        <v/>
      </c>
    </row>
    <row r="104" spans="2:88" x14ac:dyDescent="0.25">
      <c r="B104" s="37"/>
      <c r="C104" s="3"/>
      <c r="D104" s="77" t="str">
        <f t="shared" si="303"/>
        <v/>
      </c>
      <c r="E104" s="38"/>
      <c r="F104" s="38"/>
      <c r="G104" s="78">
        <f t="shared" si="318"/>
        <v>0</v>
      </c>
      <c r="H104" s="3">
        <v>80</v>
      </c>
      <c r="I104" s="77" t="str">
        <f t="shared" si="304"/>
        <v/>
      </c>
      <c r="J104" s="32"/>
      <c r="K104" s="3"/>
      <c r="L104" s="39"/>
      <c r="M104" s="39"/>
      <c r="N104" s="39"/>
      <c r="O104" s="39"/>
      <c r="P104" s="39"/>
      <c r="Q104" s="39"/>
      <c r="R104" s="39"/>
      <c r="S104" s="39"/>
      <c r="T104" s="3" t="s">
        <v>645</v>
      </c>
      <c r="U104" s="77" t="str">
        <f t="shared" si="305"/>
        <v/>
      </c>
      <c r="V104" s="39">
        <v>1</v>
      </c>
      <c r="W104" s="79">
        <f t="shared" si="319"/>
        <v>0</v>
      </c>
      <c r="X104" s="3">
        <v>0</v>
      </c>
      <c r="Y104" s="77" t="str">
        <f t="shared" si="306"/>
        <v/>
      </c>
      <c r="Z104" s="3"/>
      <c r="AA104" s="37" t="str">
        <f t="shared" si="320"/>
        <v/>
      </c>
      <c r="AC104" s="40"/>
      <c r="AD104" s="7"/>
      <c r="AE104" s="77" t="str">
        <f t="shared" si="307"/>
        <v/>
      </c>
      <c r="AF104" s="81">
        <f t="shared" si="333"/>
        <v>0</v>
      </c>
      <c r="AG104" s="40"/>
      <c r="AH104" s="7"/>
      <c r="AI104" s="77" t="str">
        <f t="shared" si="308"/>
        <v/>
      </c>
      <c r="AJ104" s="81">
        <f t="shared" si="334"/>
        <v>0</v>
      </c>
      <c r="AK104" s="83">
        <f t="shared" si="335"/>
        <v>0</v>
      </c>
      <c r="AL104" s="83">
        <f t="shared" si="336"/>
        <v>0</v>
      </c>
      <c r="AN104" s="43">
        <f t="shared" si="309"/>
        <v>0</v>
      </c>
      <c r="AP104" t="str">
        <f t="shared" si="337"/>
        <v/>
      </c>
      <c r="AQ104" t="str">
        <f t="shared" si="338"/>
        <v/>
      </c>
      <c r="AR104" t="str">
        <f t="shared" si="339"/>
        <v/>
      </c>
      <c r="AS104" t="str">
        <f t="shared" si="340"/>
        <v/>
      </c>
      <c r="AT104" t="str">
        <f t="shared" si="341"/>
        <v/>
      </c>
      <c r="AU104" t="str">
        <f t="shared" si="342"/>
        <v/>
      </c>
      <c r="AV104" t="str">
        <f t="shared" si="343"/>
        <v/>
      </c>
      <c r="AW104" t="str">
        <f t="shared" si="344"/>
        <v xml:space="preserve">                              </v>
      </c>
      <c r="AX104" s="23">
        <f t="shared" si="345"/>
        <v>0</v>
      </c>
      <c r="AY104" s="49" t="str">
        <f t="shared" si="321"/>
        <v>000000000000000</v>
      </c>
      <c r="AZ104" s="23">
        <f t="shared" si="346"/>
        <v>0</v>
      </c>
      <c r="BA104" s="49" t="str">
        <f t="shared" si="321"/>
        <v>000000000000000</v>
      </c>
      <c r="BB104" s="23">
        <f t="shared" si="347"/>
        <v>0</v>
      </c>
      <c r="BC104" s="49" t="str">
        <f t="shared" ref="BC104" si="522">IF(BB104&lt;0,SUBSTITUTE(TEXT(BB104,"000000000000,00"),",",""),SUBSTITUTE(TEXT(BB104,"0000000000000,00"),",",""))</f>
        <v>000000000000000</v>
      </c>
      <c r="BD104" s="23">
        <f t="shared" si="349"/>
        <v>0</v>
      </c>
      <c r="BE104" s="49" t="str">
        <f t="shared" ref="BE104" si="523">IF(BD104&lt;0,SUBSTITUTE(TEXT(BD104,"000000000000,00"),",",""),SUBSTITUTE(TEXT(BD104,"0000000000000,00"),",",""))</f>
        <v>000000000000000</v>
      </c>
      <c r="BF104" s="23">
        <f t="shared" si="351"/>
        <v>0</v>
      </c>
      <c r="BG104" s="49" t="str">
        <f t="shared" ref="BG104" si="524">IF(BF104&lt;0,SUBSTITUTE(TEXT(BF104,"000000000000,00"),",",""),SUBSTITUTE(TEXT(BF104,"0000000000000,00"),",",""))</f>
        <v>000000000000000</v>
      </c>
      <c r="BH104" s="23">
        <f t="shared" si="353"/>
        <v>0</v>
      </c>
      <c r="BI104" s="49" t="str">
        <f t="shared" ref="BI104" si="525">IF(BH104&lt;0,SUBSTITUTE(TEXT(BH104,"000000000000,00"),",",""),SUBSTITUTE(TEXT(BH104,"0000000000000,00"),",",""))</f>
        <v>000000000000000</v>
      </c>
      <c r="BJ104" s="23">
        <f t="shared" si="355"/>
        <v>0</v>
      </c>
      <c r="BK104" s="49" t="str">
        <f t="shared" ref="BK104" si="526">IF(BJ104&lt;0,SUBSTITUTE(TEXT(BJ104,"000000000000,00"),",",""),SUBSTITUTE(TEXT(BJ104,"0000000000000,00"),",",""))</f>
        <v>000000000000000</v>
      </c>
      <c r="BL104" s="23">
        <f t="shared" si="357"/>
        <v>0</v>
      </c>
      <c r="BM104" s="49" t="str">
        <f t="shared" ref="BM104" si="527">IF(BL104&lt;0,SUBSTITUTE(TEXT(BL104,"000000000000,00"),",",""),SUBSTITUTE(TEXT(BL104,"0000000000000,00"),",",""))</f>
        <v>000000000000000</v>
      </c>
      <c r="BN104" t="str">
        <f t="shared" si="359"/>
        <v>PES</v>
      </c>
      <c r="BO104" t="str">
        <f t="shared" si="360"/>
        <v>0001000000</v>
      </c>
      <c r="BP104">
        <f t="shared" si="361"/>
        <v>0</v>
      </c>
      <c r="BQ104">
        <f t="shared" si="362"/>
        <v>0</v>
      </c>
      <c r="BR104" s="23">
        <f t="shared" si="363"/>
        <v>0</v>
      </c>
      <c r="BS104" s="49" t="str">
        <f t="shared" si="328"/>
        <v>000000000000000</v>
      </c>
      <c r="BT104" t="str">
        <f t="shared" si="364"/>
        <v>00000000</v>
      </c>
      <c r="BU104" s="23">
        <f t="shared" si="365"/>
        <v>0</v>
      </c>
      <c r="BV104" s="49" t="str">
        <f t="shared" si="329"/>
        <v/>
      </c>
      <c r="BW104" s="52" t="str">
        <f t="shared" si="366"/>
        <v/>
      </c>
      <c r="BX104" s="23">
        <f t="shared" si="367"/>
        <v>0</v>
      </c>
      <c r="BY104" s="49" t="str">
        <f t="shared" si="330"/>
        <v/>
      </c>
      <c r="BZ104" s="23">
        <f t="shared" si="368"/>
        <v>0</v>
      </c>
      <c r="CA104" s="49" t="str">
        <f t="shared" si="331"/>
        <v/>
      </c>
      <c r="CB104" s="52" t="str">
        <f t="shared" si="369"/>
        <v/>
      </c>
      <c r="CC104" s="23">
        <f t="shared" si="370"/>
        <v>0</v>
      </c>
      <c r="CD104" s="49" t="str">
        <f t="shared" si="332"/>
        <v/>
      </c>
      <c r="CE104" s="56" t="str">
        <f>IF(CF104="","",MAX(CE$10:$CE103)+1)</f>
        <v/>
      </c>
      <c r="CF104" t="str">
        <f t="shared" si="371"/>
        <v/>
      </c>
      <c r="CG104" s="22" t="str">
        <f>IF(CH104="","",MAX($CG$10:CG103)+1)</f>
        <v/>
      </c>
      <c r="CH104" s="22" t="str">
        <f t="shared" si="316"/>
        <v/>
      </c>
      <c r="CI104" s="22" t="str">
        <f>IF(CJ104="","",MAX($CI$10:CI103)+1)</f>
        <v/>
      </c>
      <c r="CJ104" s="22" t="str">
        <f t="shared" si="317"/>
        <v/>
      </c>
    </row>
    <row r="105" spans="2:88" x14ac:dyDescent="0.25">
      <c r="B105" s="37"/>
      <c r="C105" s="3"/>
      <c r="D105" s="77" t="str">
        <f t="shared" si="303"/>
        <v/>
      </c>
      <c r="E105" s="38"/>
      <c r="F105" s="38"/>
      <c r="G105" s="78">
        <f t="shared" si="318"/>
        <v>0</v>
      </c>
      <c r="H105" s="3">
        <v>80</v>
      </c>
      <c r="I105" s="77" t="str">
        <f t="shared" si="304"/>
        <v/>
      </c>
      <c r="J105" s="32"/>
      <c r="K105" s="3"/>
      <c r="L105" s="39"/>
      <c r="M105" s="39"/>
      <c r="N105" s="39"/>
      <c r="O105" s="39"/>
      <c r="P105" s="39"/>
      <c r="Q105" s="39"/>
      <c r="R105" s="39"/>
      <c r="S105" s="39"/>
      <c r="T105" s="3" t="s">
        <v>645</v>
      </c>
      <c r="U105" s="77" t="str">
        <f t="shared" si="305"/>
        <v/>
      </c>
      <c r="V105" s="39">
        <v>1</v>
      </c>
      <c r="W105" s="79">
        <f t="shared" si="319"/>
        <v>0</v>
      </c>
      <c r="X105" s="3">
        <v>0</v>
      </c>
      <c r="Y105" s="77" t="str">
        <f t="shared" si="306"/>
        <v/>
      </c>
      <c r="Z105" s="3"/>
      <c r="AA105" s="37" t="str">
        <f t="shared" si="320"/>
        <v/>
      </c>
      <c r="AC105" s="40"/>
      <c r="AD105" s="7"/>
      <c r="AE105" s="77" t="str">
        <f t="shared" si="307"/>
        <v/>
      </c>
      <c r="AF105" s="81">
        <f t="shared" si="333"/>
        <v>0</v>
      </c>
      <c r="AG105" s="40"/>
      <c r="AH105" s="7"/>
      <c r="AI105" s="77" t="str">
        <f t="shared" si="308"/>
        <v/>
      </c>
      <c r="AJ105" s="81">
        <f t="shared" si="334"/>
        <v>0</v>
      </c>
      <c r="AK105" s="83">
        <f t="shared" si="335"/>
        <v>0</v>
      </c>
      <c r="AL105" s="83">
        <f t="shared" si="336"/>
        <v>0</v>
      </c>
      <c r="AN105" s="43">
        <f t="shared" si="309"/>
        <v>0</v>
      </c>
      <c r="AP105" t="str">
        <f t="shared" si="337"/>
        <v/>
      </c>
      <c r="AQ105" t="str">
        <f t="shared" si="338"/>
        <v/>
      </c>
      <c r="AR105" t="str">
        <f t="shared" si="339"/>
        <v/>
      </c>
      <c r="AS105" t="str">
        <f t="shared" si="340"/>
        <v/>
      </c>
      <c r="AT105" t="str">
        <f t="shared" si="341"/>
        <v/>
      </c>
      <c r="AU105" t="str">
        <f t="shared" si="342"/>
        <v/>
      </c>
      <c r="AV105" t="str">
        <f t="shared" si="343"/>
        <v/>
      </c>
      <c r="AW105" t="str">
        <f t="shared" si="344"/>
        <v xml:space="preserve">                              </v>
      </c>
      <c r="AX105" s="23">
        <f t="shared" si="345"/>
        <v>0</v>
      </c>
      <c r="AY105" s="49" t="str">
        <f t="shared" si="321"/>
        <v>000000000000000</v>
      </c>
      <c r="AZ105" s="23">
        <f t="shared" si="346"/>
        <v>0</v>
      </c>
      <c r="BA105" s="49" t="str">
        <f t="shared" si="321"/>
        <v>000000000000000</v>
      </c>
      <c r="BB105" s="23">
        <f t="shared" si="347"/>
        <v>0</v>
      </c>
      <c r="BC105" s="49" t="str">
        <f t="shared" ref="BC105" si="528">IF(BB105&lt;0,SUBSTITUTE(TEXT(BB105,"000000000000,00"),",",""),SUBSTITUTE(TEXT(BB105,"0000000000000,00"),",",""))</f>
        <v>000000000000000</v>
      </c>
      <c r="BD105" s="23">
        <f t="shared" si="349"/>
        <v>0</v>
      </c>
      <c r="BE105" s="49" t="str">
        <f t="shared" ref="BE105" si="529">IF(BD105&lt;0,SUBSTITUTE(TEXT(BD105,"000000000000,00"),",",""),SUBSTITUTE(TEXT(BD105,"0000000000000,00"),",",""))</f>
        <v>000000000000000</v>
      </c>
      <c r="BF105" s="23">
        <f t="shared" si="351"/>
        <v>0</v>
      </c>
      <c r="BG105" s="49" t="str">
        <f t="shared" ref="BG105" si="530">IF(BF105&lt;0,SUBSTITUTE(TEXT(BF105,"000000000000,00"),",",""),SUBSTITUTE(TEXT(BF105,"0000000000000,00"),",",""))</f>
        <v>000000000000000</v>
      </c>
      <c r="BH105" s="23">
        <f t="shared" si="353"/>
        <v>0</v>
      </c>
      <c r="BI105" s="49" t="str">
        <f t="shared" ref="BI105" si="531">IF(BH105&lt;0,SUBSTITUTE(TEXT(BH105,"000000000000,00"),",",""),SUBSTITUTE(TEXT(BH105,"0000000000000,00"),",",""))</f>
        <v>000000000000000</v>
      </c>
      <c r="BJ105" s="23">
        <f t="shared" si="355"/>
        <v>0</v>
      </c>
      <c r="BK105" s="49" t="str">
        <f t="shared" ref="BK105" si="532">IF(BJ105&lt;0,SUBSTITUTE(TEXT(BJ105,"000000000000,00"),",",""),SUBSTITUTE(TEXT(BJ105,"0000000000000,00"),",",""))</f>
        <v>000000000000000</v>
      </c>
      <c r="BL105" s="23">
        <f t="shared" si="357"/>
        <v>0</v>
      </c>
      <c r="BM105" s="49" t="str">
        <f t="shared" ref="BM105" si="533">IF(BL105&lt;0,SUBSTITUTE(TEXT(BL105,"000000000000,00"),",",""),SUBSTITUTE(TEXT(BL105,"0000000000000,00"),",",""))</f>
        <v>000000000000000</v>
      </c>
      <c r="BN105" t="str">
        <f t="shared" si="359"/>
        <v>PES</v>
      </c>
      <c r="BO105" t="str">
        <f t="shared" si="360"/>
        <v>0001000000</v>
      </c>
      <c r="BP105">
        <f t="shared" si="361"/>
        <v>0</v>
      </c>
      <c r="BQ105">
        <f t="shared" si="362"/>
        <v>0</v>
      </c>
      <c r="BR105" s="23">
        <f t="shared" si="363"/>
        <v>0</v>
      </c>
      <c r="BS105" s="49" t="str">
        <f t="shared" si="328"/>
        <v>000000000000000</v>
      </c>
      <c r="BT105" t="str">
        <f t="shared" si="364"/>
        <v>00000000</v>
      </c>
      <c r="BU105" s="23">
        <f t="shared" si="365"/>
        <v>0</v>
      </c>
      <c r="BV105" s="49" t="str">
        <f t="shared" si="329"/>
        <v/>
      </c>
      <c r="BW105" s="52" t="str">
        <f t="shared" si="366"/>
        <v/>
      </c>
      <c r="BX105" s="23">
        <f t="shared" si="367"/>
        <v>0</v>
      </c>
      <c r="BY105" s="49" t="str">
        <f t="shared" si="330"/>
        <v/>
      </c>
      <c r="BZ105" s="23">
        <f t="shared" si="368"/>
        <v>0</v>
      </c>
      <c r="CA105" s="49" t="str">
        <f t="shared" si="331"/>
        <v/>
      </c>
      <c r="CB105" s="52" t="str">
        <f t="shared" si="369"/>
        <v/>
      </c>
      <c r="CC105" s="23">
        <f t="shared" si="370"/>
        <v>0</v>
      </c>
      <c r="CD105" s="49" t="str">
        <f t="shared" si="332"/>
        <v/>
      </c>
      <c r="CE105" s="56" t="str">
        <f>IF(CF105="","",MAX(CE$10:$CE104)+1)</f>
        <v/>
      </c>
      <c r="CF105" t="str">
        <f t="shared" si="371"/>
        <v/>
      </c>
      <c r="CG105" s="22" t="str">
        <f>IF(CH105="","",MAX($CG$10:CG104)+1)</f>
        <v/>
      </c>
      <c r="CH105" s="22" t="str">
        <f t="shared" si="316"/>
        <v/>
      </c>
      <c r="CI105" s="22" t="str">
        <f>IF(CJ105="","",MAX($CI$10:CI104)+1)</f>
        <v/>
      </c>
      <c r="CJ105" s="22" t="str">
        <f t="shared" si="317"/>
        <v/>
      </c>
    </row>
    <row r="106" spans="2:88" x14ac:dyDescent="0.25">
      <c r="B106" s="37"/>
      <c r="C106" s="3"/>
      <c r="D106" s="77" t="str">
        <f t="shared" si="303"/>
        <v/>
      </c>
      <c r="E106" s="38"/>
      <c r="F106" s="38"/>
      <c r="G106" s="78">
        <f t="shared" si="318"/>
        <v>0</v>
      </c>
      <c r="H106" s="3">
        <v>80</v>
      </c>
      <c r="I106" s="77" t="str">
        <f t="shared" si="304"/>
        <v/>
      </c>
      <c r="J106" s="32"/>
      <c r="K106" s="3"/>
      <c r="L106" s="39"/>
      <c r="M106" s="39"/>
      <c r="N106" s="39"/>
      <c r="O106" s="39"/>
      <c r="P106" s="39"/>
      <c r="Q106" s="39"/>
      <c r="R106" s="39"/>
      <c r="S106" s="39"/>
      <c r="T106" s="3" t="s">
        <v>645</v>
      </c>
      <c r="U106" s="77" t="str">
        <f t="shared" si="305"/>
        <v/>
      </c>
      <c r="V106" s="39">
        <v>1</v>
      </c>
      <c r="W106" s="79">
        <f t="shared" si="319"/>
        <v>0</v>
      </c>
      <c r="X106" s="3">
        <v>0</v>
      </c>
      <c r="Y106" s="77" t="str">
        <f t="shared" si="306"/>
        <v/>
      </c>
      <c r="Z106" s="3"/>
      <c r="AA106" s="37" t="str">
        <f t="shared" si="320"/>
        <v/>
      </c>
      <c r="AC106" s="40"/>
      <c r="AD106" s="7"/>
      <c r="AE106" s="77" t="str">
        <f t="shared" si="307"/>
        <v/>
      </c>
      <c r="AF106" s="81">
        <f t="shared" si="333"/>
        <v>0</v>
      </c>
      <c r="AG106" s="40"/>
      <c r="AH106" s="7"/>
      <c r="AI106" s="77" t="str">
        <f t="shared" si="308"/>
        <v/>
      </c>
      <c r="AJ106" s="81">
        <f t="shared" si="334"/>
        <v>0</v>
      </c>
      <c r="AK106" s="83">
        <f t="shared" si="335"/>
        <v>0</v>
      </c>
      <c r="AL106" s="83">
        <f t="shared" si="336"/>
        <v>0</v>
      </c>
      <c r="AN106" s="43">
        <f t="shared" si="309"/>
        <v>0</v>
      </c>
      <c r="AP106" t="str">
        <f t="shared" si="337"/>
        <v/>
      </c>
      <c r="AQ106" t="str">
        <f t="shared" si="338"/>
        <v/>
      </c>
      <c r="AR106" t="str">
        <f t="shared" si="339"/>
        <v/>
      </c>
      <c r="AS106" t="str">
        <f t="shared" si="340"/>
        <v/>
      </c>
      <c r="AT106" t="str">
        <f t="shared" si="341"/>
        <v/>
      </c>
      <c r="AU106" t="str">
        <f t="shared" si="342"/>
        <v/>
      </c>
      <c r="AV106" t="str">
        <f t="shared" si="343"/>
        <v/>
      </c>
      <c r="AW106" t="str">
        <f t="shared" si="344"/>
        <v xml:space="preserve">                              </v>
      </c>
      <c r="AX106" s="23">
        <f t="shared" si="345"/>
        <v>0</v>
      </c>
      <c r="AY106" s="49" t="str">
        <f t="shared" si="321"/>
        <v>000000000000000</v>
      </c>
      <c r="AZ106" s="23">
        <f t="shared" si="346"/>
        <v>0</v>
      </c>
      <c r="BA106" s="49" t="str">
        <f t="shared" si="321"/>
        <v>000000000000000</v>
      </c>
      <c r="BB106" s="23">
        <f t="shared" si="347"/>
        <v>0</v>
      </c>
      <c r="BC106" s="49" t="str">
        <f t="shared" ref="BC106" si="534">IF(BB106&lt;0,SUBSTITUTE(TEXT(BB106,"000000000000,00"),",",""),SUBSTITUTE(TEXT(BB106,"0000000000000,00"),",",""))</f>
        <v>000000000000000</v>
      </c>
      <c r="BD106" s="23">
        <f t="shared" si="349"/>
        <v>0</v>
      </c>
      <c r="BE106" s="49" t="str">
        <f t="shared" ref="BE106" si="535">IF(BD106&lt;0,SUBSTITUTE(TEXT(BD106,"000000000000,00"),",",""),SUBSTITUTE(TEXT(BD106,"0000000000000,00"),",",""))</f>
        <v>000000000000000</v>
      </c>
      <c r="BF106" s="23">
        <f t="shared" si="351"/>
        <v>0</v>
      </c>
      <c r="BG106" s="49" t="str">
        <f t="shared" ref="BG106" si="536">IF(BF106&lt;0,SUBSTITUTE(TEXT(BF106,"000000000000,00"),",",""),SUBSTITUTE(TEXT(BF106,"0000000000000,00"),",",""))</f>
        <v>000000000000000</v>
      </c>
      <c r="BH106" s="23">
        <f t="shared" si="353"/>
        <v>0</v>
      </c>
      <c r="BI106" s="49" t="str">
        <f t="shared" ref="BI106" si="537">IF(BH106&lt;0,SUBSTITUTE(TEXT(BH106,"000000000000,00"),",",""),SUBSTITUTE(TEXT(BH106,"0000000000000,00"),",",""))</f>
        <v>000000000000000</v>
      </c>
      <c r="BJ106" s="23">
        <f t="shared" si="355"/>
        <v>0</v>
      </c>
      <c r="BK106" s="49" t="str">
        <f t="shared" ref="BK106" si="538">IF(BJ106&lt;0,SUBSTITUTE(TEXT(BJ106,"000000000000,00"),",",""),SUBSTITUTE(TEXT(BJ106,"0000000000000,00"),",",""))</f>
        <v>000000000000000</v>
      </c>
      <c r="BL106" s="23">
        <f t="shared" si="357"/>
        <v>0</v>
      </c>
      <c r="BM106" s="49" t="str">
        <f t="shared" ref="BM106" si="539">IF(BL106&lt;0,SUBSTITUTE(TEXT(BL106,"000000000000,00"),",",""),SUBSTITUTE(TEXT(BL106,"0000000000000,00"),",",""))</f>
        <v>000000000000000</v>
      </c>
      <c r="BN106" t="str">
        <f t="shared" si="359"/>
        <v>PES</v>
      </c>
      <c r="BO106" t="str">
        <f t="shared" si="360"/>
        <v>0001000000</v>
      </c>
      <c r="BP106">
        <f t="shared" si="361"/>
        <v>0</v>
      </c>
      <c r="BQ106">
        <f t="shared" si="362"/>
        <v>0</v>
      </c>
      <c r="BR106" s="23">
        <f t="shared" si="363"/>
        <v>0</v>
      </c>
      <c r="BS106" s="49" t="str">
        <f t="shared" si="328"/>
        <v>000000000000000</v>
      </c>
      <c r="BT106" t="str">
        <f t="shared" si="364"/>
        <v>00000000</v>
      </c>
      <c r="BU106" s="23">
        <f t="shared" si="365"/>
        <v>0</v>
      </c>
      <c r="BV106" s="49" t="str">
        <f t="shared" si="329"/>
        <v/>
      </c>
      <c r="BW106" s="52" t="str">
        <f t="shared" si="366"/>
        <v/>
      </c>
      <c r="BX106" s="23">
        <f t="shared" si="367"/>
        <v>0</v>
      </c>
      <c r="BY106" s="49" t="str">
        <f t="shared" si="330"/>
        <v/>
      </c>
      <c r="BZ106" s="23">
        <f t="shared" si="368"/>
        <v>0</v>
      </c>
      <c r="CA106" s="49" t="str">
        <f t="shared" si="331"/>
        <v/>
      </c>
      <c r="CB106" s="52" t="str">
        <f t="shared" si="369"/>
        <v/>
      </c>
      <c r="CC106" s="23">
        <f t="shared" si="370"/>
        <v>0</v>
      </c>
      <c r="CD106" s="49" t="str">
        <f t="shared" si="332"/>
        <v/>
      </c>
      <c r="CE106" s="56" t="str">
        <f>IF(CF106="","",MAX(CE$10:$CE105)+1)</f>
        <v/>
      </c>
      <c r="CF106" t="str">
        <f t="shared" si="371"/>
        <v/>
      </c>
      <c r="CG106" s="22" t="str">
        <f>IF(CH106="","",MAX($CG$10:CG105)+1)</f>
        <v/>
      </c>
      <c r="CH106" s="22" t="str">
        <f t="shared" si="316"/>
        <v/>
      </c>
      <c r="CI106" s="22" t="str">
        <f>IF(CJ106="","",MAX($CI$10:CI105)+1)</f>
        <v/>
      </c>
      <c r="CJ106" s="22" t="str">
        <f t="shared" si="317"/>
        <v/>
      </c>
    </row>
    <row r="107" spans="2:88" x14ac:dyDescent="0.25">
      <c r="B107" s="37"/>
      <c r="C107" s="3"/>
      <c r="D107" s="77" t="str">
        <f t="shared" si="303"/>
        <v/>
      </c>
      <c r="E107" s="38"/>
      <c r="F107" s="38"/>
      <c r="G107" s="78">
        <f t="shared" si="318"/>
        <v>0</v>
      </c>
      <c r="H107" s="3">
        <v>80</v>
      </c>
      <c r="I107" s="77" t="str">
        <f t="shared" si="304"/>
        <v/>
      </c>
      <c r="J107" s="32"/>
      <c r="K107" s="3"/>
      <c r="L107" s="39"/>
      <c r="M107" s="39"/>
      <c r="N107" s="39"/>
      <c r="O107" s="39"/>
      <c r="P107" s="39"/>
      <c r="Q107" s="39"/>
      <c r="R107" s="39"/>
      <c r="S107" s="39"/>
      <c r="T107" s="3" t="s">
        <v>645</v>
      </c>
      <c r="U107" s="77" t="str">
        <f t="shared" si="305"/>
        <v/>
      </c>
      <c r="V107" s="39">
        <v>1</v>
      </c>
      <c r="W107" s="79">
        <f t="shared" si="319"/>
        <v>0</v>
      </c>
      <c r="X107" s="3">
        <v>0</v>
      </c>
      <c r="Y107" s="77" t="str">
        <f t="shared" si="306"/>
        <v/>
      </c>
      <c r="Z107" s="3"/>
      <c r="AA107" s="37" t="str">
        <f t="shared" si="320"/>
        <v/>
      </c>
      <c r="AC107" s="40"/>
      <c r="AD107" s="7"/>
      <c r="AE107" s="77" t="str">
        <f t="shared" si="307"/>
        <v/>
      </c>
      <c r="AF107" s="81">
        <f t="shared" si="333"/>
        <v>0</v>
      </c>
      <c r="AG107" s="40"/>
      <c r="AH107" s="7"/>
      <c r="AI107" s="77" t="str">
        <f t="shared" si="308"/>
        <v/>
      </c>
      <c r="AJ107" s="81">
        <f t="shared" si="334"/>
        <v>0</v>
      </c>
      <c r="AK107" s="83">
        <f t="shared" si="335"/>
        <v>0</v>
      </c>
      <c r="AL107" s="83">
        <f t="shared" si="336"/>
        <v>0</v>
      </c>
      <c r="AN107" s="43">
        <f t="shared" si="309"/>
        <v>0</v>
      </c>
      <c r="AP107" t="str">
        <f t="shared" si="337"/>
        <v/>
      </c>
      <c r="AQ107" t="str">
        <f t="shared" si="338"/>
        <v/>
      </c>
      <c r="AR107" t="str">
        <f t="shared" si="339"/>
        <v/>
      </c>
      <c r="AS107" t="str">
        <f t="shared" si="340"/>
        <v/>
      </c>
      <c r="AT107" t="str">
        <f t="shared" si="341"/>
        <v/>
      </c>
      <c r="AU107" t="str">
        <f t="shared" si="342"/>
        <v/>
      </c>
      <c r="AV107" t="str">
        <f t="shared" si="343"/>
        <v/>
      </c>
      <c r="AW107" t="str">
        <f t="shared" si="344"/>
        <v xml:space="preserve">                              </v>
      </c>
      <c r="AX107" s="23">
        <f t="shared" si="345"/>
        <v>0</v>
      </c>
      <c r="AY107" s="49" t="str">
        <f t="shared" si="321"/>
        <v>000000000000000</v>
      </c>
      <c r="AZ107" s="23">
        <f t="shared" si="346"/>
        <v>0</v>
      </c>
      <c r="BA107" s="49" t="str">
        <f t="shared" si="321"/>
        <v>000000000000000</v>
      </c>
      <c r="BB107" s="23">
        <f t="shared" si="347"/>
        <v>0</v>
      </c>
      <c r="BC107" s="49" t="str">
        <f t="shared" ref="BC107" si="540">IF(BB107&lt;0,SUBSTITUTE(TEXT(BB107,"000000000000,00"),",",""),SUBSTITUTE(TEXT(BB107,"0000000000000,00"),",",""))</f>
        <v>000000000000000</v>
      </c>
      <c r="BD107" s="23">
        <f t="shared" si="349"/>
        <v>0</v>
      </c>
      <c r="BE107" s="49" t="str">
        <f t="shared" ref="BE107" si="541">IF(BD107&lt;0,SUBSTITUTE(TEXT(BD107,"000000000000,00"),",",""),SUBSTITUTE(TEXT(BD107,"0000000000000,00"),",",""))</f>
        <v>000000000000000</v>
      </c>
      <c r="BF107" s="23">
        <f t="shared" si="351"/>
        <v>0</v>
      </c>
      <c r="BG107" s="49" t="str">
        <f t="shared" ref="BG107" si="542">IF(BF107&lt;0,SUBSTITUTE(TEXT(BF107,"000000000000,00"),",",""),SUBSTITUTE(TEXT(BF107,"0000000000000,00"),",",""))</f>
        <v>000000000000000</v>
      </c>
      <c r="BH107" s="23">
        <f t="shared" si="353"/>
        <v>0</v>
      </c>
      <c r="BI107" s="49" t="str">
        <f t="shared" ref="BI107" si="543">IF(BH107&lt;0,SUBSTITUTE(TEXT(BH107,"000000000000,00"),",",""),SUBSTITUTE(TEXT(BH107,"0000000000000,00"),",",""))</f>
        <v>000000000000000</v>
      </c>
      <c r="BJ107" s="23">
        <f t="shared" si="355"/>
        <v>0</v>
      </c>
      <c r="BK107" s="49" t="str">
        <f t="shared" ref="BK107" si="544">IF(BJ107&lt;0,SUBSTITUTE(TEXT(BJ107,"000000000000,00"),",",""),SUBSTITUTE(TEXT(BJ107,"0000000000000,00"),",",""))</f>
        <v>000000000000000</v>
      </c>
      <c r="BL107" s="23">
        <f t="shared" si="357"/>
        <v>0</v>
      </c>
      <c r="BM107" s="49" t="str">
        <f t="shared" ref="BM107" si="545">IF(BL107&lt;0,SUBSTITUTE(TEXT(BL107,"000000000000,00"),",",""),SUBSTITUTE(TEXT(BL107,"0000000000000,00"),",",""))</f>
        <v>000000000000000</v>
      </c>
      <c r="BN107" t="str">
        <f t="shared" si="359"/>
        <v>PES</v>
      </c>
      <c r="BO107" t="str">
        <f t="shared" si="360"/>
        <v>0001000000</v>
      </c>
      <c r="BP107">
        <f t="shared" si="361"/>
        <v>0</v>
      </c>
      <c r="BQ107">
        <f t="shared" si="362"/>
        <v>0</v>
      </c>
      <c r="BR107" s="23">
        <f t="shared" si="363"/>
        <v>0</v>
      </c>
      <c r="BS107" s="49" t="str">
        <f t="shared" si="328"/>
        <v>000000000000000</v>
      </c>
      <c r="BT107" t="str">
        <f t="shared" si="364"/>
        <v>00000000</v>
      </c>
      <c r="BU107" s="23">
        <f t="shared" si="365"/>
        <v>0</v>
      </c>
      <c r="BV107" s="49" t="str">
        <f t="shared" si="329"/>
        <v/>
      </c>
      <c r="BW107" s="52" t="str">
        <f t="shared" si="366"/>
        <v/>
      </c>
      <c r="BX107" s="23">
        <f t="shared" si="367"/>
        <v>0</v>
      </c>
      <c r="BY107" s="49" t="str">
        <f t="shared" si="330"/>
        <v/>
      </c>
      <c r="BZ107" s="23">
        <f t="shared" si="368"/>
        <v>0</v>
      </c>
      <c r="CA107" s="49" t="str">
        <f t="shared" si="331"/>
        <v/>
      </c>
      <c r="CB107" s="52" t="str">
        <f t="shared" si="369"/>
        <v/>
      </c>
      <c r="CC107" s="23">
        <f t="shared" si="370"/>
        <v>0</v>
      </c>
      <c r="CD107" s="49" t="str">
        <f t="shared" si="332"/>
        <v/>
      </c>
      <c r="CE107" s="56" t="str">
        <f>IF(CF107="","",MAX(CE$10:$CE106)+1)</f>
        <v/>
      </c>
      <c r="CF107" t="str">
        <f t="shared" si="371"/>
        <v/>
      </c>
      <c r="CG107" s="22" t="str">
        <f>IF(CH107="","",MAX($CG$10:CG106)+1)</f>
        <v/>
      </c>
      <c r="CH107" s="22" t="str">
        <f t="shared" si="316"/>
        <v/>
      </c>
      <c r="CI107" s="22" t="str">
        <f>IF(CJ107="","",MAX($CI$10:CI106)+1)</f>
        <v/>
      </c>
      <c r="CJ107" s="22" t="str">
        <f t="shared" si="317"/>
        <v/>
      </c>
    </row>
    <row r="108" spans="2:88" x14ac:dyDescent="0.25">
      <c r="B108" s="37"/>
      <c r="C108" s="3"/>
      <c r="D108" s="77" t="str">
        <f t="shared" si="303"/>
        <v/>
      </c>
      <c r="E108" s="38"/>
      <c r="F108" s="38"/>
      <c r="G108" s="78">
        <f t="shared" si="318"/>
        <v>0</v>
      </c>
      <c r="H108" s="3">
        <v>80</v>
      </c>
      <c r="I108" s="77" t="str">
        <f t="shared" si="304"/>
        <v/>
      </c>
      <c r="J108" s="32"/>
      <c r="K108" s="3"/>
      <c r="L108" s="39"/>
      <c r="M108" s="39"/>
      <c r="N108" s="39"/>
      <c r="O108" s="39"/>
      <c r="P108" s="39"/>
      <c r="Q108" s="39"/>
      <c r="R108" s="39"/>
      <c r="S108" s="39"/>
      <c r="T108" s="3" t="s">
        <v>645</v>
      </c>
      <c r="U108" s="77" t="str">
        <f t="shared" si="305"/>
        <v/>
      </c>
      <c r="V108" s="39">
        <v>1</v>
      </c>
      <c r="W108" s="79">
        <f t="shared" si="319"/>
        <v>0</v>
      </c>
      <c r="X108" s="3">
        <v>0</v>
      </c>
      <c r="Y108" s="77" t="str">
        <f t="shared" si="306"/>
        <v/>
      </c>
      <c r="Z108" s="3"/>
      <c r="AA108" s="37" t="str">
        <f t="shared" si="320"/>
        <v/>
      </c>
      <c r="AC108" s="40"/>
      <c r="AD108" s="7"/>
      <c r="AE108" s="77" t="str">
        <f t="shared" si="307"/>
        <v/>
      </c>
      <c r="AF108" s="81">
        <f t="shared" si="333"/>
        <v>0</v>
      </c>
      <c r="AG108" s="40"/>
      <c r="AH108" s="7"/>
      <c r="AI108" s="77" t="str">
        <f t="shared" si="308"/>
        <v/>
      </c>
      <c r="AJ108" s="81">
        <f t="shared" si="334"/>
        <v>0</v>
      </c>
      <c r="AK108" s="83">
        <f t="shared" si="335"/>
        <v>0</v>
      </c>
      <c r="AL108" s="83">
        <f t="shared" si="336"/>
        <v>0</v>
      </c>
      <c r="AN108" s="43">
        <f t="shared" si="309"/>
        <v>0</v>
      </c>
      <c r="AP108" t="str">
        <f t="shared" si="337"/>
        <v/>
      </c>
      <c r="AQ108" t="str">
        <f t="shared" si="338"/>
        <v/>
      </c>
      <c r="AR108" t="str">
        <f t="shared" si="339"/>
        <v/>
      </c>
      <c r="AS108" t="str">
        <f t="shared" si="340"/>
        <v/>
      </c>
      <c r="AT108" t="str">
        <f t="shared" si="341"/>
        <v/>
      </c>
      <c r="AU108" t="str">
        <f t="shared" si="342"/>
        <v/>
      </c>
      <c r="AV108" t="str">
        <f t="shared" si="343"/>
        <v/>
      </c>
      <c r="AW108" t="str">
        <f t="shared" si="344"/>
        <v xml:space="preserve">                              </v>
      </c>
      <c r="AX108" s="23">
        <f t="shared" si="345"/>
        <v>0</v>
      </c>
      <c r="AY108" s="49" t="str">
        <f t="shared" si="321"/>
        <v>000000000000000</v>
      </c>
      <c r="AZ108" s="23">
        <f t="shared" si="346"/>
        <v>0</v>
      </c>
      <c r="BA108" s="49" t="str">
        <f t="shared" si="321"/>
        <v>000000000000000</v>
      </c>
      <c r="BB108" s="23">
        <f t="shared" si="347"/>
        <v>0</v>
      </c>
      <c r="BC108" s="49" t="str">
        <f t="shared" ref="BC108" si="546">IF(BB108&lt;0,SUBSTITUTE(TEXT(BB108,"000000000000,00"),",",""),SUBSTITUTE(TEXT(BB108,"0000000000000,00"),",",""))</f>
        <v>000000000000000</v>
      </c>
      <c r="BD108" s="23">
        <f t="shared" si="349"/>
        <v>0</v>
      </c>
      <c r="BE108" s="49" t="str">
        <f t="shared" ref="BE108" si="547">IF(BD108&lt;0,SUBSTITUTE(TEXT(BD108,"000000000000,00"),",",""),SUBSTITUTE(TEXT(BD108,"0000000000000,00"),",",""))</f>
        <v>000000000000000</v>
      </c>
      <c r="BF108" s="23">
        <f t="shared" si="351"/>
        <v>0</v>
      </c>
      <c r="BG108" s="49" t="str">
        <f t="shared" ref="BG108" si="548">IF(BF108&lt;0,SUBSTITUTE(TEXT(BF108,"000000000000,00"),",",""),SUBSTITUTE(TEXT(BF108,"0000000000000,00"),",",""))</f>
        <v>000000000000000</v>
      </c>
      <c r="BH108" s="23">
        <f t="shared" si="353"/>
        <v>0</v>
      </c>
      <c r="BI108" s="49" t="str">
        <f t="shared" ref="BI108" si="549">IF(BH108&lt;0,SUBSTITUTE(TEXT(BH108,"000000000000,00"),",",""),SUBSTITUTE(TEXT(BH108,"0000000000000,00"),",",""))</f>
        <v>000000000000000</v>
      </c>
      <c r="BJ108" s="23">
        <f t="shared" si="355"/>
        <v>0</v>
      </c>
      <c r="BK108" s="49" t="str">
        <f t="shared" ref="BK108" si="550">IF(BJ108&lt;0,SUBSTITUTE(TEXT(BJ108,"000000000000,00"),",",""),SUBSTITUTE(TEXT(BJ108,"0000000000000,00"),",",""))</f>
        <v>000000000000000</v>
      </c>
      <c r="BL108" s="23">
        <f t="shared" si="357"/>
        <v>0</v>
      </c>
      <c r="BM108" s="49" t="str">
        <f t="shared" ref="BM108" si="551">IF(BL108&lt;0,SUBSTITUTE(TEXT(BL108,"000000000000,00"),",",""),SUBSTITUTE(TEXT(BL108,"0000000000000,00"),",",""))</f>
        <v>000000000000000</v>
      </c>
      <c r="BN108" t="str">
        <f t="shared" si="359"/>
        <v>PES</v>
      </c>
      <c r="BO108" t="str">
        <f t="shared" si="360"/>
        <v>0001000000</v>
      </c>
      <c r="BP108">
        <f t="shared" si="361"/>
        <v>0</v>
      </c>
      <c r="BQ108">
        <f t="shared" si="362"/>
        <v>0</v>
      </c>
      <c r="BR108" s="23">
        <f t="shared" si="363"/>
        <v>0</v>
      </c>
      <c r="BS108" s="49" t="str">
        <f t="shared" si="328"/>
        <v>000000000000000</v>
      </c>
      <c r="BT108" t="str">
        <f t="shared" si="364"/>
        <v>00000000</v>
      </c>
      <c r="BU108" s="23">
        <f t="shared" si="365"/>
        <v>0</v>
      </c>
      <c r="BV108" s="49" t="str">
        <f t="shared" si="329"/>
        <v/>
      </c>
      <c r="BW108" s="52" t="str">
        <f t="shared" si="366"/>
        <v/>
      </c>
      <c r="BX108" s="23">
        <f t="shared" si="367"/>
        <v>0</v>
      </c>
      <c r="BY108" s="49" t="str">
        <f t="shared" si="330"/>
        <v/>
      </c>
      <c r="BZ108" s="23">
        <f t="shared" si="368"/>
        <v>0</v>
      </c>
      <c r="CA108" s="49" t="str">
        <f t="shared" si="331"/>
        <v/>
      </c>
      <c r="CB108" s="52" t="str">
        <f t="shared" si="369"/>
        <v/>
      </c>
      <c r="CC108" s="23">
        <f t="shared" si="370"/>
        <v>0</v>
      </c>
      <c r="CD108" s="49" t="str">
        <f t="shared" si="332"/>
        <v/>
      </c>
      <c r="CE108" s="56" t="str">
        <f>IF(CF108="","",MAX(CE$10:$CE107)+1)</f>
        <v/>
      </c>
      <c r="CF108" t="str">
        <f t="shared" si="371"/>
        <v/>
      </c>
      <c r="CG108" s="22" t="str">
        <f>IF(CH108="","",MAX($CG$10:CG107)+1)</f>
        <v/>
      </c>
      <c r="CH108" s="22" t="str">
        <f t="shared" si="316"/>
        <v/>
      </c>
      <c r="CI108" s="22" t="str">
        <f>IF(CJ108="","",MAX($CI$10:CI107)+1)</f>
        <v/>
      </c>
      <c r="CJ108" s="22" t="str">
        <f t="shared" si="317"/>
        <v/>
      </c>
    </row>
    <row r="109" spans="2:88" x14ac:dyDescent="0.25">
      <c r="B109" s="37"/>
      <c r="C109" s="3"/>
      <c r="D109" s="77" t="str">
        <f t="shared" si="303"/>
        <v/>
      </c>
      <c r="E109" s="38"/>
      <c r="F109" s="38"/>
      <c r="G109" s="78">
        <f t="shared" si="318"/>
        <v>0</v>
      </c>
      <c r="H109" s="3">
        <v>80</v>
      </c>
      <c r="I109" s="77" t="str">
        <f t="shared" si="304"/>
        <v/>
      </c>
      <c r="J109" s="32"/>
      <c r="K109" s="3"/>
      <c r="L109" s="39"/>
      <c r="M109" s="39"/>
      <c r="N109" s="39"/>
      <c r="O109" s="39"/>
      <c r="P109" s="39"/>
      <c r="Q109" s="39"/>
      <c r="R109" s="39"/>
      <c r="S109" s="39"/>
      <c r="T109" s="3" t="s">
        <v>645</v>
      </c>
      <c r="U109" s="77" t="str">
        <f t="shared" si="305"/>
        <v/>
      </c>
      <c r="V109" s="39">
        <v>1</v>
      </c>
      <c r="W109" s="79">
        <f t="shared" si="319"/>
        <v>0</v>
      </c>
      <c r="X109" s="3">
        <v>0</v>
      </c>
      <c r="Y109" s="77" t="str">
        <f t="shared" si="306"/>
        <v/>
      </c>
      <c r="Z109" s="3"/>
      <c r="AA109" s="37" t="str">
        <f t="shared" si="320"/>
        <v/>
      </c>
      <c r="AC109" s="40"/>
      <c r="AD109" s="7"/>
      <c r="AE109" s="77" t="str">
        <f t="shared" si="307"/>
        <v/>
      </c>
      <c r="AF109" s="81">
        <f t="shared" si="333"/>
        <v>0</v>
      </c>
      <c r="AG109" s="40"/>
      <c r="AH109" s="7"/>
      <c r="AI109" s="77" t="str">
        <f t="shared" si="308"/>
        <v/>
      </c>
      <c r="AJ109" s="81">
        <f t="shared" si="334"/>
        <v>0</v>
      </c>
      <c r="AK109" s="83">
        <f t="shared" si="335"/>
        <v>0</v>
      </c>
      <c r="AL109" s="83">
        <f t="shared" si="336"/>
        <v>0</v>
      </c>
      <c r="AN109" s="43">
        <f t="shared" si="309"/>
        <v>0</v>
      </c>
      <c r="AP109" t="str">
        <f t="shared" si="337"/>
        <v/>
      </c>
      <c r="AQ109" t="str">
        <f t="shared" si="338"/>
        <v/>
      </c>
      <c r="AR109" t="str">
        <f t="shared" si="339"/>
        <v/>
      </c>
      <c r="AS109" t="str">
        <f t="shared" si="340"/>
        <v/>
      </c>
      <c r="AT109" t="str">
        <f t="shared" si="341"/>
        <v/>
      </c>
      <c r="AU109" t="str">
        <f t="shared" si="342"/>
        <v/>
      </c>
      <c r="AV109" t="str">
        <f t="shared" si="343"/>
        <v/>
      </c>
      <c r="AW109" t="str">
        <f t="shared" si="344"/>
        <v xml:space="preserve">                              </v>
      </c>
      <c r="AX109" s="23">
        <f t="shared" si="345"/>
        <v>0</v>
      </c>
      <c r="AY109" s="49" t="str">
        <f t="shared" si="321"/>
        <v>000000000000000</v>
      </c>
      <c r="AZ109" s="23">
        <f t="shared" si="346"/>
        <v>0</v>
      </c>
      <c r="BA109" s="49" t="str">
        <f t="shared" si="321"/>
        <v>000000000000000</v>
      </c>
      <c r="BB109" s="23">
        <f t="shared" si="347"/>
        <v>0</v>
      </c>
      <c r="BC109" s="49" t="str">
        <f t="shared" ref="BC109" si="552">IF(BB109&lt;0,SUBSTITUTE(TEXT(BB109,"000000000000,00"),",",""),SUBSTITUTE(TEXT(BB109,"0000000000000,00"),",",""))</f>
        <v>000000000000000</v>
      </c>
      <c r="BD109" s="23">
        <f t="shared" si="349"/>
        <v>0</v>
      </c>
      <c r="BE109" s="49" t="str">
        <f t="shared" ref="BE109" si="553">IF(BD109&lt;0,SUBSTITUTE(TEXT(BD109,"000000000000,00"),",",""),SUBSTITUTE(TEXT(BD109,"0000000000000,00"),",",""))</f>
        <v>000000000000000</v>
      </c>
      <c r="BF109" s="23">
        <f t="shared" si="351"/>
        <v>0</v>
      </c>
      <c r="BG109" s="49" t="str">
        <f t="shared" ref="BG109" si="554">IF(BF109&lt;0,SUBSTITUTE(TEXT(BF109,"000000000000,00"),",",""),SUBSTITUTE(TEXT(BF109,"0000000000000,00"),",",""))</f>
        <v>000000000000000</v>
      </c>
      <c r="BH109" s="23">
        <f t="shared" si="353"/>
        <v>0</v>
      </c>
      <c r="BI109" s="49" t="str">
        <f t="shared" ref="BI109" si="555">IF(BH109&lt;0,SUBSTITUTE(TEXT(BH109,"000000000000,00"),",",""),SUBSTITUTE(TEXT(BH109,"0000000000000,00"),",",""))</f>
        <v>000000000000000</v>
      </c>
      <c r="BJ109" s="23">
        <f t="shared" si="355"/>
        <v>0</v>
      </c>
      <c r="BK109" s="49" t="str">
        <f t="shared" ref="BK109" si="556">IF(BJ109&lt;0,SUBSTITUTE(TEXT(BJ109,"000000000000,00"),",",""),SUBSTITUTE(TEXT(BJ109,"0000000000000,00"),",",""))</f>
        <v>000000000000000</v>
      </c>
      <c r="BL109" s="23">
        <f t="shared" si="357"/>
        <v>0</v>
      </c>
      <c r="BM109" s="49" t="str">
        <f t="shared" ref="BM109" si="557">IF(BL109&lt;0,SUBSTITUTE(TEXT(BL109,"000000000000,00"),",",""),SUBSTITUTE(TEXT(BL109,"0000000000000,00"),",",""))</f>
        <v>000000000000000</v>
      </c>
      <c r="BN109" t="str">
        <f t="shared" si="359"/>
        <v>PES</v>
      </c>
      <c r="BO109" t="str">
        <f t="shared" si="360"/>
        <v>0001000000</v>
      </c>
      <c r="BP109">
        <f t="shared" si="361"/>
        <v>0</v>
      </c>
      <c r="BQ109">
        <f t="shared" si="362"/>
        <v>0</v>
      </c>
      <c r="BR109" s="23">
        <f t="shared" si="363"/>
        <v>0</v>
      </c>
      <c r="BS109" s="49" t="str">
        <f t="shared" si="328"/>
        <v>000000000000000</v>
      </c>
      <c r="BT109" t="str">
        <f t="shared" si="364"/>
        <v>00000000</v>
      </c>
      <c r="BU109" s="23">
        <f t="shared" si="365"/>
        <v>0</v>
      </c>
      <c r="BV109" s="49" t="str">
        <f t="shared" si="329"/>
        <v/>
      </c>
      <c r="BW109" s="52" t="str">
        <f t="shared" si="366"/>
        <v/>
      </c>
      <c r="BX109" s="23">
        <f t="shared" si="367"/>
        <v>0</v>
      </c>
      <c r="BY109" s="49" t="str">
        <f t="shared" si="330"/>
        <v/>
      </c>
      <c r="BZ109" s="23">
        <f t="shared" si="368"/>
        <v>0</v>
      </c>
      <c r="CA109" s="49" t="str">
        <f t="shared" si="331"/>
        <v/>
      </c>
      <c r="CB109" s="52" t="str">
        <f t="shared" si="369"/>
        <v/>
      </c>
      <c r="CC109" s="23">
        <f t="shared" si="370"/>
        <v>0</v>
      </c>
      <c r="CD109" s="49" t="str">
        <f t="shared" si="332"/>
        <v/>
      </c>
      <c r="CE109" s="56" t="str">
        <f>IF(CF109="","",MAX(CE$10:$CE108)+1)</f>
        <v/>
      </c>
      <c r="CF109" t="str">
        <f t="shared" si="371"/>
        <v/>
      </c>
      <c r="CG109" s="22" t="str">
        <f>IF(CH109="","",MAX($CG$10:CG108)+1)</f>
        <v/>
      </c>
      <c r="CH109" s="22" t="str">
        <f t="shared" si="316"/>
        <v/>
      </c>
      <c r="CI109" s="22" t="str">
        <f>IF(CJ109="","",MAX($CI$10:CI108)+1)</f>
        <v/>
      </c>
      <c r="CJ109" s="22" t="str">
        <f t="shared" si="317"/>
        <v/>
      </c>
    </row>
    <row r="110" spans="2:88" x14ac:dyDescent="0.25">
      <c r="B110" s="37"/>
      <c r="C110" s="3"/>
      <c r="D110" s="77" t="str">
        <f t="shared" si="303"/>
        <v/>
      </c>
      <c r="E110" s="38"/>
      <c r="F110" s="38"/>
      <c r="G110" s="78">
        <f t="shared" si="318"/>
        <v>0</v>
      </c>
      <c r="H110" s="3">
        <v>80</v>
      </c>
      <c r="I110" s="77" t="str">
        <f t="shared" si="304"/>
        <v/>
      </c>
      <c r="J110" s="32"/>
      <c r="K110" s="3"/>
      <c r="L110" s="39"/>
      <c r="M110" s="39"/>
      <c r="N110" s="39"/>
      <c r="O110" s="39"/>
      <c r="P110" s="39"/>
      <c r="Q110" s="39"/>
      <c r="R110" s="39"/>
      <c r="S110" s="39"/>
      <c r="T110" s="3" t="s">
        <v>645</v>
      </c>
      <c r="U110" s="77" t="str">
        <f t="shared" si="305"/>
        <v/>
      </c>
      <c r="V110" s="39">
        <v>1</v>
      </c>
      <c r="W110" s="79">
        <f t="shared" si="319"/>
        <v>0</v>
      </c>
      <c r="X110" s="3">
        <v>0</v>
      </c>
      <c r="Y110" s="77" t="str">
        <f t="shared" si="306"/>
        <v/>
      </c>
      <c r="Z110" s="3"/>
      <c r="AA110" s="37" t="str">
        <f t="shared" si="320"/>
        <v/>
      </c>
      <c r="AC110" s="40"/>
      <c r="AD110" s="7"/>
      <c r="AE110" s="77" t="str">
        <f t="shared" si="307"/>
        <v/>
      </c>
      <c r="AF110" s="81">
        <f t="shared" si="333"/>
        <v>0</v>
      </c>
      <c r="AG110" s="40"/>
      <c r="AH110" s="7"/>
      <c r="AI110" s="77" t="str">
        <f t="shared" si="308"/>
        <v/>
      </c>
      <c r="AJ110" s="81">
        <f t="shared" si="334"/>
        <v>0</v>
      </c>
      <c r="AK110" s="83">
        <f t="shared" si="335"/>
        <v>0</v>
      </c>
      <c r="AL110" s="83">
        <f t="shared" si="336"/>
        <v>0</v>
      </c>
      <c r="AN110" s="43">
        <f t="shared" si="309"/>
        <v>0</v>
      </c>
      <c r="AP110" t="str">
        <f t="shared" si="337"/>
        <v/>
      </c>
      <c r="AQ110" t="str">
        <f t="shared" si="338"/>
        <v/>
      </c>
      <c r="AR110" t="str">
        <f t="shared" si="339"/>
        <v/>
      </c>
      <c r="AS110" t="str">
        <f t="shared" si="340"/>
        <v/>
      </c>
      <c r="AT110" t="str">
        <f t="shared" si="341"/>
        <v/>
      </c>
      <c r="AU110" t="str">
        <f t="shared" si="342"/>
        <v/>
      </c>
      <c r="AV110" t="str">
        <f t="shared" si="343"/>
        <v/>
      </c>
      <c r="AW110" t="str">
        <f t="shared" si="344"/>
        <v xml:space="preserve">                              </v>
      </c>
      <c r="AX110" s="23">
        <f t="shared" si="345"/>
        <v>0</v>
      </c>
      <c r="AY110" s="49" t="str">
        <f t="shared" si="321"/>
        <v>000000000000000</v>
      </c>
      <c r="AZ110" s="23">
        <f t="shared" si="346"/>
        <v>0</v>
      </c>
      <c r="BA110" s="49" t="str">
        <f t="shared" si="321"/>
        <v>000000000000000</v>
      </c>
      <c r="BB110" s="23">
        <f t="shared" si="347"/>
        <v>0</v>
      </c>
      <c r="BC110" s="49" t="str">
        <f t="shared" ref="BC110" si="558">IF(BB110&lt;0,SUBSTITUTE(TEXT(BB110,"000000000000,00"),",",""),SUBSTITUTE(TEXT(BB110,"0000000000000,00"),",",""))</f>
        <v>000000000000000</v>
      </c>
      <c r="BD110" s="23">
        <f t="shared" si="349"/>
        <v>0</v>
      </c>
      <c r="BE110" s="49" t="str">
        <f t="shared" ref="BE110" si="559">IF(BD110&lt;0,SUBSTITUTE(TEXT(BD110,"000000000000,00"),",",""),SUBSTITUTE(TEXT(BD110,"0000000000000,00"),",",""))</f>
        <v>000000000000000</v>
      </c>
      <c r="BF110" s="23">
        <f t="shared" si="351"/>
        <v>0</v>
      </c>
      <c r="BG110" s="49" t="str">
        <f t="shared" ref="BG110" si="560">IF(BF110&lt;0,SUBSTITUTE(TEXT(BF110,"000000000000,00"),",",""),SUBSTITUTE(TEXT(BF110,"0000000000000,00"),",",""))</f>
        <v>000000000000000</v>
      </c>
      <c r="BH110" s="23">
        <f t="shared" si="353"/>
        <v>0</v>
      </c>
      <c r="BI110" s="49" t="str">
        <f t="shared" ref="BI110" si="561">IF(BH110&lt;0,SUBSTITUTE(TEXT(BH110,"000000000000,00"),",",""),SUBSTITUTE(TEXT(BH110,"0000000000000,00"),",",""))</f>
        <v>000000000000000</v>
      </c>
      <c r="BJ110" s="23">
        <f t="shared" si="355"/>
        <v>0</v>
      </c>
      <c r="BK110" s="49" t="str">
        <f t="shared" ref="BK110" si="562">IF(BJ110&lt;0,SUBSTITUTE(TEXT(BJ110,"000000000000,00"),",",""),SUBSTITUTE(TEXT(BJ110,"0000000000000,00"),",",""))</f>
        <v>000000000000000</v>
      </c>
      <c r="BL110" s="23">
        <f t="shared" si="357"/>
        <v>0</v>
      </c>
      <c r="BM110" s="49" t="str">
        <f t="shared" ref="BM110" si="563">IF(BL110&lt;0,SUBSTITUTE(TEXT(BL110,"000000000000,00"),",",""),SUBSTITUTE(TEXT(BL110,"0000000000000,00"),",",""))</f>
        <v>000000000000000</v>
      </c>
      <c r="BN110" t="str">
        <f t="shared" si="359"/>
        <v>PES</v>
      </c>
      <c r="BO110" t="str">
        <f t="shared" si="360"/>
        <v>0001000000</v>
      </c>
      <c r="BP110">
        <f t="shared" si="361"/>
        <v>0</v>
      </c>
      <c r="BQ110">
        <f t="shared" si="362"/>
        <v>0</v>
      </c>
      <c r="BR110" s="23">
        <f t="shared" si="363"/>
        <v>0</v>
      </c>
      <c r="BS110" s="49" t="str">
        <f t="shared" si="328"/>
        <v>000000000000000</v>
      </c>
      <c r="BT110" t="str">
        <f t="shared" si="364"/>
        <v>00000000</v>
      </c>
      <c r="BU110" s="23">
        <f t="shared" si="365"/>
        <v>0</v>
      </c>
      <c r="BV110" s="49" t="str">
        <f t="shared" si="329"/>
        <v/>
      </c>
      <c r="BW110" s="52" t="str">
        <f t="shared" si="366"/>
        <v/>
      </c>
      <c r="BX110" s="23">
        <f t="shared" si="367"/>
        <v>0</v>
      </c>
      <c r="BY110" s="49" t="str">
        <f t="shared" si="330"/>
        <v/>
      </c>
      <c r="BZ110" s="23">
        <f t="shared" si="368"/>
        <v>0</v>
      </c>
      <c r="CA110" s="49" t="str">
        <f t="shared" si="331"/>
        <v/>
      </c>
      <c r="CB110" s="52" t="str">
        <f t="shared" si="369"/>
        <v/>
      </c>
      <c r="CC110" s="23">
        <f t="shared" si="370"/>
        <v>0</v>
      </c>
      <c r="CD110" s="49" t="str">
        <f t="shared" si="332"/>
        <v/>
      </c>
      <c r="CE110" s="56" t="str">
        <f>IF(CF110="","",MAX(CE$10:$CE109)+1)</f>
        <v/>
      </c>
      <c r="CF110" t="str">
        <f t="shared" si="371"/>
        <v/>
      </c>
      <c r="CG110" s="22" t="str">
        <f>IF(CH110="","",MAX($CG$10:CG109)+1)</f>
        <v/>
      </c>
      <c r="CH110" s="22" t="str">
        <f t="shared" si="316"/>
        <v/>
      </c>
      <c r="CI110" s="22" t="str">
        <f>IF(CJ110="","",MAX($CI$10:CI109)+1)</f>
        <v/>
      </c>
      <c r="CJ110" s="22" t="str">
        <f t="shared" si="317"/>
        <v/>
      </c>
    </row>
    <row r="111" spans="2:88" x14ac:dyDescent="0.25">
      <c r="B111" s="37"/>
      <c r="C111" s="3"/>
      <c r="D111" s="77" t="str">
        <f t="shared" si="303"/>
        <v/>
      </c>
      <c r="E111" s="38"/>
      <c r="F111" s="38"/>
      <c r="G111" s="78">
        <f t="shared" si="318"/>
        <v>0</v>
      </c>
      <c r="H111" s="3">
        <v>80</v>
      </c>
      <c r="I111" s="77" t="str">
        <f t="shared" si="304"/>
        <v/>
      </c>
      <c r="J111" s="32"/>
      <c r="K111" s="3"/>
      <c r="L111" s="39"/>
      <c r="M111" s="39"/>
      <c r="N111" s="39"/>
      <c r="O111" s="39"/>
      <c r="P111" s="39"/>
      <c r="Q111" s="39"/>
      <c r="R111" s="39"/>
      <c r="S111" s="39"/>
      <c r="T111" s="3" t="s">
        <v>645</v>
      </c>
      <c r="U111" s="77" t="str">
        <f t="shared" si="305"/>
        <v/>
      </c>
      <c r="V111" s="39">
        <v>1</v>
      </c>
      <c r="W111" s="79">
        <f t="shared" si="319"/>
        <v>0</v>
      </c>
      <c r="X111" s="3">
        <v>0</v>
      </c>
      <c r="Y111" s="77" t="str">
        <f t="shared" si="306"/>
        <v/>
      </c>
      <c r="Z111" s="3"/>
      <c r="AA111" s="37" t="str">
        <f t="shared" si="320"/>
        <v/>
      </c>
      <c r="AC111" s="40"/>
      <c r="AD111" s="7"/>
      <c r="AE111" s="77" t="str">
        <f t="shared" si="307"/>
        <v/>
      </c>
      <c r="AF111" s="81">
        <f t="shared" si="333"/>
        <v>0</v>
      </c>
      <c r="AG111" s="40"/>
      <c r="AH111" s="7"/>
      <c r="AI111" s="77" t="str">
        <f t="shared" si="308"/>
        <v/>
      </c>
      <c r="AJ111" s="81">
        <f t="shared" si="334"/>
        <v>0</v>
      </c>
      <c r="AK111" s="83">
        <f t="shared" si="335"/>
        <v>0</v>
      </c>
      <c r="AL111" s="83">
        <f t="shared" si="336"/>
        <v>0</v>
      </c>
      <c r="AN111" s="43">
        <f t="shared" si="309"/>
        <v>0</v>
      </c>
      <c r="AP111" t="str">
        <f t="shared" si="337"/>
        <v/>
      </c>
      <c r="AQ111" t="str">
        <f t="shared" si="338"/>
        <v/>
      </c>
      <c r="AR111" t="str">
        <f t="shared" si="339"/>
        <v/>
      </c>
      <c r="AS111" t="str">
        <f t="shared" si="340"/>
        <v/>
      </c>
      <c r="AT111" t="str">
        <f t="shared" si="341"/>
        <v/>
      </c>
      <c r="AU111" t="str">
        <f t="shared" si="342"/>
        <v/>
      </c>
      <c r="AV111" t="str">
        <f t="shared" si="343"/>
        <v/>
      </c>
      <c r="AW111" t="str">
        <f t="shared" si="344"/>
        <v xml:space="preserve">                              </v>
      </c>
      <c r="AX111" s="23">
        <f t="shared" si="345"/>
        <v>0</v>
      </c>
      <c r="AY111" s="49" t="str">
        <f t="shared" si="321"/>
        <v>000000000000000</v>
      </c>
      <c r="AZ111" s="23">
        <f t="shared" si="346"/>
        <v>0</v>
      </c>
      <c r="BA111" s="49" t="str">
        <f t="shared" si="321"/>
        <v>000000000000000</v>
      </c>
      <c r="BB111" s="23">
        <f t="shared" si="347"/>
        <v>0</v>
      </c>
      <c r="BC111" s="49" t="str">
        <f t="shared" ref="BC111" si="564">IF(BB111&lt;0,SUBSTITUTE(TEXT(BB111,"000000000000,00"),",",""),SUBSTITUTE(TEXT(BB111,"0000000000000,00"),",",""))</f>
        <v>000000000000000</v>
      </c>
      <c r="BD111" s="23">
        <f t="shared" si="349"/>
        <v>0</v>
      </c>
      <c r="BE111" s="49" t="str">
        <f t="shared" ref="BE111" si="565">IF(BD111&lt;0,SUBSTITUTE(TEXT(BD111,"000000000000,00"),",",""),SUBSTITUTE(TEXT(BD111,"0000000000000,00"),",",""))</f>
        <v>000000000000000</v>
      </c>
      <c r="BF111" s="23">
        <f t="shared" si="351"/>
        <v>0</v>
      </c>
      <c r="BG111" s="49" t="str">
        <f t="shared" ref="BG111" si="566">IF(BF111&lt;0,SUBSTITUTE(TEXT(BF111,"000000000000,00"),",",""),SUBSTITUTE(TEXT(BF111,"0000000000000,00"),",",""))</f>
        <v>000000000000000</v>
      </c>
      <c r="BH111" s="23">
        <f t="shared" si="353"/>
        <v>0</v>
      </c>
      <c r="BI111" s="49" t="str">
        <f t="shared" ref="BI111" si="567">IF(BH111&lt;0,SUBSTITUTE(TEXT(BH111,"000000000000,00"),",",""),SUBSTITUTE(TEXT(BH111,"0000000000000,00"),",",""))</f>
        <v>000000000000000</v>
      </c>
      <c r="BJ111" s="23">
        <f t="shared" si="355"/>
        <v>0</v>
      </c>
      <c r="BK111" s="49" t="str">
        <f t="shared" ref="BK111" si="568">IF(BJ111&lt;0,SUBSTITUTE(TEXT(BJ111,"000000000000,00"),",",""),SUBSTITUTE(TEXT(BJ111,"0000000000000,00"),",",""))</f>
        <v>000000000000000</v>
      </c>
      <c r="BL111" s="23">
        <f t="shared" si="357"/>
        <v>0</v>
      </c>
      <c r="BM111" s="49" t="str">
        <f t="shared" ref="BM111" si="569">IF(BL111&lt;0,SUBSTITUTE(TEXT(BL111,"000000000000,00"),",",""),SUBSTITUTE(TEXT(BL111,"0000000000000,00"),",",""))</f>
        <v>000000000000000</v>
      </c>
      <c r="BN111" t="str">
        <f t="shared" si="359"/>
        <v>PES</v>
      </c>
      <c r="BO111" t="str">
        <f t="shared" si="360"/>
        <v>0001000000</v>
      </c>
      <c r="BP111">
        <f t="shared" si="361"/>
        <v>0</v>
      </c>
      <c r="BQ111">
        <f t="shared" si="362"/>
        <v>0</v>
      </c>
      <c r="BR111" s="23">
        <f t="shared" si="363"/>
        <v>0</v>
      </c>
      <c r="BS111" s="49" t="str">
        <f t="shared" si="328"/>
        <v>000000000000000</v>
      </c>
      <c r="BT111" t="str">
        <f t="shared" si="364"/>
        <v>00000000</v>
      </c>
      <c r="BU111" s="23">
        <f t="shared" si="365"/>
        <v>0</v>
      </c>
      <c r="BV111" s="49" t="str">
        <f t="shared" si="329"/>
        <v/>
      </c>
      <c r="BW111" s="52" t="str">
        <f t="shared" si="366"/>
        <v/>
      </c>
      <c r="BX111" s="23">
        <f t="shared" si="367"/>
        <v>0</v>
      </c>
      <c r="BY111" s="49" t="str">
        <f t="shared" si="330"/>
        <v/>
      </c>
      <c r="BZ111" s="23">
        <f t="shared" si="368"/>
        <v>0</v>
      </c>
      <c r="CA111" s="49" t="str">
        <f t="shared" si="331"/>
        <v/>
      </c>
      <c r="CB111" s="52" t="str">
        <f t="shared" si="369"/>
        <v/>
      </c>
      <c r="CC111" s="23">
        <f t="shared" si="370"/>
        <v>0</v>
      </c>
      <c r="CD111" s="49" t="str">
        <f t="shared" si="332"/>
        <v/>
      </c>
      <c r="CE111" s="56" t="str">
        <f>IF(CF111="","",MAX(CE$10:$CE110)+1)</f>
        <v/>
      </c>
      <c r="CF111" t="str">
        <f t="shared" si="371"/>
        <v/>
      </c>
      <c r="CG111" s="22" t="str">
        <f>IF(CH111="","",MAX($CG$10:CG110)+1)</f>
        <v/>
      </c>
      <c r="CH111" s="22" t="str">
        <f t="shared" si="316"/>
        <v/>
      </c>
      <c r="CI111" s="22" t="str">
        <f>IF(CJ111="","",MAX($CI$10:CI110)+1)</f>
        <v/>
      </c>
      <c r="CJ111" s="22" t="str">
        <f t="shared" si="317"/>
        <v/>
      </c>
    </row>
    <row r="112" spans="2:88" x14ac:dyDescent="0.25">
      <c r="B112" s="37"/>
      <c r="C112" s="3"/>
      <c r="D112" s="77" t="str">
        <f t="shared" si="303"/>
        <v/>
      </c>
      <c r="E112" s="38"/>
      <c r="F112" s="38"/>
      <c r="G112" s="78">
        <f t="shared" si="318"/>
        <v>0</v>
      </c>
      <c r="H112" s="3">
        <v>80</v>
      </c>
      <c r="I112" s="77" t="str">
        <f t="shared" si="304"/>
        <v/>
      </c>
      <c r="J112" s="32"/>
      <c r="K112" s="3"/>
      <c r="L112" s="39"/>
      <c r="M112" s="39"/>
      <c r="N112" s="39"/>
      <c r="O112" s="39"/>
      <c r="P112" s="39"/>
      <c r="Q112" s="39"/>
      <c r="R112" s="39"/>
      <c r="S112" s="39"/>
      <c r="T112" s="3" t="s">
        <v>645</v>
      </c>
      <c r="U112" s="77" t="str">
        <f t="shared" si="305"/>
        <v/>
      </c>
      <c r="V112" s="39">
        <v>1</v>
      </c>
      <c r="W112" s="79">
        <f t="shared" si="319"/>
        <v>0</v>
      </c>
      <c r="X112" s="3">
        <v>0</v>
      </c>
      <c r="Y112" s="77" t="str">
        <f t="shared" si="306"/>
        <v/>
      </c>
      <c r="Z112" s="3"/>
      <c r="AA112" s="37" t="str">
        <f t="shared" si="320"/>
        <v/>
      </c>
      <c r="AC112" s="40"/>
      <c r="AD112" s="7"/>
      <c r="AE112" s="77" t="str">
        <f t="shared" si="307"/>
        <v/>
      </c>
      <c r="AF112" s="81">
        <f t="shared" si="333"/>
        <v>0</v>
      </c>
      <c r="AG112" s="40"/>
      <c r="AH112" s="7"/>
      <c r="AI112" s="77" t="str">
        <f t="shared" si="308"/>
        <v/>
      </c>
      <c r="AJ112" s="81">
        <f t="shared" si="334"/>
        <v>0</v>
      </c>
      <c r="AK112" s="83">
        <f t="shared" si="335"/>
        <v>0</v>
      </c>
      <c r="AL112" s="83">
        <f t="shared" si="336"/>
        <v>0</v>
      </c>
      <c r="AN112" s="43">
        <f t="shared" si="309"/>
        <v>0</v>
      </c>
      <c r="AP112" t="str">
        <f t="shared" si="337"/>
        <v/>
      </c>
      <c r="AQ112" t="str">
        <f t="shared" si="338"/>
        <v/>
      </c>
      <c r="AR112" t="str">
        <f t="shared" si="339"/>
        <v/>
      </c>
      <c r="AS112" t="str">
        <f t="shared" si="340"/>
        <v/>
      </c>
      <c r="AT112" t="str">
        <f t="shared" si="341"/>
        <v/>
      </c>
      <c r="AU112" t="str">
        <f t="shared" si="342"/>
        <v/>
      </c>
      <c r="AV112" t="str">
        <f t="shared" si="343"/>
        <v/>
      </c>
      <c r="AW112" t="str">
        <f t="shared" si="344"/>
        <v xml:space="preserve">                              </v>
      </c>
      <c r="AX112" s="23">
        <f t="shared" si="345"/>
        <v>0</v>
      </c>
      <c r="AY112" s="49" t="str">
        <f t="shared" si="321"/>
        <v>000000000000000</v>
      </c>
      <c r="AZ112" s="23">
        <f t="shared" si="346"/>
        <v>0</v>
      </c>
      <c r="BA112" s="49" t="str">
        <f t="shared" si="321"/>
        <v>000000000000000</v>
      </c>
      <c r="BB112" s="23">
        <f t="shared" si="347"/>
        <v>0</v>
      </c>
      <c r="BC112" s="49" t="str">
        <f t="shared" ref="BC112" si="570">IF(BB112&lt;0,SUBSTITUTE(TEXT(BB112,"000000000000,00"),",",""),SUBSTITUTE(TEXT(BB112,"0000000000000,00"),",",""))</f>
        <v>000000000000000</v>
      </c>
      <c r="BD112" s="23">
        <f t="shared" si="349"/>
        <v>0</v>
      </c>
      <c r="BE112" s="49" t="str">
        <f t="shared" ref="BE112" si="571">IF(BD112&lt;0,SUBSTITUTE(TEXT(BD112,"000000000000,00"),",",""),SUBSTITUTE(TEXT(BD112,"0000000000000,00"),",",""))</f>
        <v>000000000000000</v>
      </c>
      <c r="BF112" s="23">
        <f t="shared" si="351"/>
        <v>0</v>
      </c>
      <c r="BG112" s="49" t="str">
        <f t="shared" ref="BG112" si="572">IF(BF112&lt;0,SUBSTITUTE(TEXT(BF112,"000000000000,00"),",",""),SUBSTITUTE(TEXT(BF112,"0000000000000,00"),",",""))</f>
        <v>000000000000000</v>
      </c>
      <c r="BH112" s="23">
        <f t="shared" si="353"/>
        <v>0</v>
      </c>
      <c r="BI112" s="49" t="str">
        <f t="shared" ref="BI112" si="573">IF(BH112&lt;0,SUBSTITUTE(TEXT(BH112,"000000000000,00"),",",""),SUBSTITUTE(TEXT(BH112,"0000000000000,00"),",",""))</f>
        <v>000000000000000</v>
      </c>
      <c r="BJ112" s="23">
        <f t="shared" si="355"/>
        <v>0</v>
      </c>
      <c r="BK112" s="49" t="str">
        <f t="shared" ref="BK112" si="574">IF(BJ112&lt;0,SUBSTITUTE(TEXT(BJ112,"000000000000,00"),",",""),SUBSTITUTE(TEXT(BJ112,"0000000000000,00"),",",""))</f>
        <v>000000000000000</v>
      </c>
      <c r="BL112" s="23">
        <f t="shared" si="357"/>
        <v>0</v>
      </c>
      <c r="BM112" s="49" t="str">
        <f t="shared" ref="BM112" si="575">IF(BL112&lt;0,SUBSTITUTE(TEXT(BL112,"000000000000,00"),",",""),SUBSTITUTE(TEXT(BL112,"0000000000000,00"),",",""))</f>
        <v>000000000000000</v>
      </c>
      <c r="BN112" t="str">
        <f t="shared" si="359"/>
        <v>PES</v>
      </c>
      <c r="BO112" t="str">
        <f t="shared" si="360"/>
        <v>0001000000</v>
      </c>
      <c r="BP112">
        <f t="shared" si="361"/>
        <v>0</v>
      </c>
      <c r="BQ112">
        <f t="shared" si="362"/>
        <v>0</v>
      </c>
      <c r="BR112" s="23">
        <f t="shared" si="363"/>
        <v>0</v>
      </c>
      <c r="BS112" s="49" t="str">
        <f t="shared" si="328"/>
        <v>000000000000000</v>
      </c>
      <c r="BT112" t="str">
        <f t="shared" si="364"/>
        <v>00000000</v>
      </c>
      <c r="BU112" s="23">
        <f t="shared" si="365"/>
        <v>0</v>
      </c>
      <c r="BV112" s="49" t="str">
        <f t="shared" si="329"/>
        <v/>
      </c>
      <c r="BW112" s="52" t="str">
        <f t="shared" si="366"/>
        <v/>
      </c>
      <c r="BX112" s="23">
        <f t="shared" si="367"/>
        <v>0</v>
      </c>
      <c r="BY112" s="49" t="str">
        <f t="shared" si="330"/>
        <v/>
      </c>
      <c r="BZ112" s="23">
        <f t="shared" si="368"/>
        <v>0</v>
      </c>
      <c r="CA112" s="49" t="str">
        <f t="shared" si="331"/>
        <v/>
      </c>
      <c r="CB112" s="52" t="str">
        <f t="shared" si="369"/>
        <v/>
      </c>
      <c r="CC112" s="23">
        <f t="shared" si="370"/>
        <v>0</v>
      </c>
      <c r="CD112" s="49" t="str">
        <f t="shared" si="332"/>
        <v/>
      </c>
      <c r="CE112" s="56" t="str">
        <f>IF(CF112="","",MAX(CE$10:$CE111)+1)</f>
        <v/>
      </c>
      <c r="CF112" t="str">
        <f t="shared" si="371"/>
        <v/>
      </c>
      <c r="CG112" s="22" t="str">
        <f>IF(CH112="","",MAX($CG$10:CG111)+1)</f>
        <v/>
      </c>
      <c r="CH112" s="22" t="str">
        <f t="shared" si="316"/>
        <v/>
      </c>
      <c r="CI112" s="22" t="str">
        <f>IF(CJ112="","",MAX($CI$10:CI111)+1)</f>
        <v/>
      </c>
      <c r="CJ112" s="22" t="str">
        <f t="shared" si="317"/>
        <v/>
      </c>
    </row>
    <row r="113" spans="2:88" x14ac:dyDescent="0.25">
      <c r="B113" s="37"/>
      <c r="C113" s="3"/>
      <c r="D113" s="77" t="str">
        <f t="shared" si="303"/>
        <v/>
      </c>
      <c r="E113" s="38"/>
      <c r="F113" s="38"/>
      <c r="G113" s="78">
        <f t="shared" si="318"/>
        <v>0</v>
      </c>
      <c r="H113" s="3">
        <v>80</v>
      </c>
      <c r="I113" s="77" t="str">
        <f t="shared" si="304"/>
        <v/>
      </c>
      <c r="J113" s="32"/>
      <c r="K113" s="3"/>
      <c r="L113" s="39"/>
      <c r="M113" s="39"/>
      <c r="N113" s="39"/>
      <c r="O113" s="39"/>
      <c r="P113" s="39"/>
      <c r="Q113" s="39"/>
      <c r="R113" s="39"/>
      <c r="S113" s="39"/>
      <c r="T113" s="3" t="s">
        <v>645</v>
      </c>
      <c r="U113" s="77" t="str">
        <f t="shared" si="305"/>
        <v/>
      </c>
      <c r="V113" s="39">
        <v>1</v>
      </c>
      <c r="W113" s="79">
        <f t="shared" si="319"/>
        <v>0</v>
      </c>
      <c r="X113" s="3">
        <v>0</v>
      </c>
      <c r="Y113" s="77" t="str">
        <f t="shared" si="306"/>
        <v/>
      </c>
      <c r="Z113" s="3"/>
      <c r="AA113" s="37" t="str">
        <f t="shared" si="320"/>
        <v/>
      </c>
      <c r="AC113" s="40"/>
      <c r="AD113" s="7"/>
      <c r="AE113" s="77" t="str">
        <f t="shared" si="307"/>
        <v/>
      </c>
      <c r="AF113" s="81">
        <f t="shared" si="333"/>
        <v>0</v>
      </c>
      <c r="AG113" s="40"/>
      <c r="AH113" s="7"/>
      <c r="AI113" s="77" t="str">
        <f t="shared" si="308"/>
        <v/>
      </c>
      <c r="AJ113" s="81">
        <f t="shared" si="334"/>
        <v>0</v>
      </c>
      <c r="AK113" s="83">
        <f t="shared" si="335"/>
        <v>0</v>
      </c>
      <c r="AL113" s="83">
        <f t="shared" si="336"/>
        <v>0</v>
      </c>
      <c r="AN113" s="43">
        <f t="shared" si="309"/>
        <v>0</v>
      </c>
      <c r="AP113" t="str">
        <f t="shared" si="337"/>
        <v/>
      </c>
      <c r="AQ113" t="str">
        <f t="shared" si="338"/>
        <v/>
      </c>
      <c r="AR113" t="str">
        <f t="shared" si="339"/>
        <v/>
      </c>
      <c r="AS113" t="str">
        <f t="shared" si="340"/>
        <v/>
      </c>
      <c r="AT113" t="str">
        <f t="shared" si="341"/>
        <v/>
      </c>
      <c r="AU113" t="str">
        <f t="shared" si="342"/>
        <v/>
      </c>
      <c r="AV113" t="str">
        <f t="shared" si="343"/>
        <v/>
      </c>
      <c r="AW113" t="str">
        <f t="shared" si="344"/>
        <v xml:space="preserve">                              </v>
      </c>
      <c r="AX113" s="23">
        <f t="shared" si="345"/>
        <v>0</v>
      </c>
      <c r="AY113" s="49" t="str">
        <f t="shared" si="321"/>
        <v>000000000000000</v>
      </c>
      <c r="AZ113" s="23">
        <f t="shared" si="346"/>
        <v>0</v>
      </c>
      <c r="BA113" s="49" t="str">
        <f t="shared" si="321"/>
        <v>000000000000000</v>
      </c>
      <c r="BB113" s="23">
        <f t="shared" si="347"/>
        <v>0</v>
      </c>
      <c r="BC113" s="49" t="str">
        <f t="shared" ref="BC113" si="576">IF(BB113&lt;0,SUBSTITUTE(TEXT(BB113,"000000000000,00"),",",""),SUBSTITUTE(TEXT(BB113,"0000000000000,00"),",",""))</f>
        <v>000000000000000</v>
      </c>
      <c r="BD113" s="23">
        <f t="shared" si="349"/>
        <v>0</v>
      </c>
      <c r="BE113" s="49" t="str">
        <f t="shared" ref="BE113" si="577">IF(BD113&lt;0,SUBSTITUTE(TEXT(BD113,"000000000000,00"),",",""),SUBSTITUTE(TEXT(BD113,"0000000000000,00"),",",""))</f>
        <v>000000000000000</v>
      </c>
      <c r="BF113" s="23">
        <f t="shared" si="351"/>
        <v>0</v>
      </c>
      <c r="BG113" s="49" t="str">
        <f t="shared" ref="BG113" si="578">IF(BF113&lt;0,SUBSTITUTE(TEXT(BF113,"000000000000,00"),",",""),SUBSTITUTE(TEXT(BF113,"0000000000000,00"),",",""))</f>
        <v>000000000000000</v>
      </c>
      <c r="BH113" s="23">
        <f t="shared" si="353"/>
        <v>0</v>
      </c>
      <c r="BI113" s="49" t="str">
        <f t="shared" ref="BI113" si="579">IF(BH113&lt;0,SUBSTITUTE(TEXT(BH113,"000000000000,00"),",",""),SUBSTITUTE(TEXT(BH113,"0000000000000,00"),",",""))</f>
        <v>000000000000000</v>
      </c>
      <c r="BJ113" s="23">
        <f t="shared" si="355"/>
        <v>0</v>
      </c>
      <c r="BK113" s="49" t="str">
        <f t="shared" ref="BK113" si="580">IF(BJ113&lt;0,SUBSTITUTE(TEXT(BJ113,"000000000000,00"),",",""),SUBSTITUTE(TEXT(BJ113,"0000000000000,00"),",",""))</f>
        <v>000000000000000</v>
      </c>
      <c r="BL113" s="23">
        <f t="shared" si="357"/>
        <v>0</v>
      </c>
      <c r="BM113" s="49" t="str">
        <f t="shared" ref="BM113" si="581">IF(BL113&lt;0,SUBSTITUTE(TEXT(BL113,"000000000000,00"),",",""),SUBSTITUTE(TEXT(BL113,"0000000000000,00"),",",""))</f>
        <v>000000000000000</v>
      </c>
      <c r="BN113" t="str">
        <f t="shared" si="359"/>
        <v>PES</v>
      </c>
      <c r="BO113" t="str">
        <f t="shared" si="360"/>
        <v>0001000000</v>
      </c>
      <c r="BP113">
        <f t="shared" si="361"/>
        <v>0</v>
      </c>
      <c r="BQ113">
        <f t="shared" si="362"/>
        <v>0</v>
      </c>
      <c r="BR113" s="23">
        <f t="shared" si="363"/>
        <v>0</v>
      </c>
      <c r="BS113" s="49" t="str">
        <f t="shared" si="328"/>
        <v>000000000000000</v>
      </c>
      <c r="BT113" t="str">
        <f t="shared" si="364"/>
        <v>00000000</v>
      </c>
      <c r="BU113" s="23">
        <f t="shared" si="365"/>
        <v>0</v>
      </c>
      <c r="BV113" s="49" t="str">
        <f t="shared" si="329"/>
        <v/>
      </c>
      <c r="BW113" s="52" t="str">
        <f t="shared" si="366"/>
        <v/>
      </c>
      <c r="BX113" s="23">
        <f t="shared" si="367"/>
        <v>0</v>
      </c>
      <c r="BY113" s="49" t="str">
        <f t="shared" si="330"/>
        <v/>
      </c>
      <c r="BZ113" s="23">
        <f t="shared" si="368"/>
        <v>0</v>
      </c>
      <c r="CA113" s="49" t="str">
        <f t="shared" si="331"/>
        <v/>
      </c>
      <c r="CB113" s="52" t="str">
        <f t="shared" si="369"/>
        <v/>
      </c>
      <c r="CC113" s="23">
        <f t="shared" si="370"/>
        <v>0</v>
      </c>
      <c r="CD113" s="49" t="str">
        <f t="shared" si="332"/>
        <v/>
      </c>
      <c r="CE113" s="56" t="str">
        <f>IF(CF113="","",MAX(CE$10:$CE112)+1)</f>
        <v/>
      </c>
      <c r="CF113" t="str">
        <f t="shared" si="371"/>
        <v/>
      </c>
      <c r="CG113" s="22" t="str">
        <f>IF(CH113="","",MAX($CG$10:CG112)+1)</f>
        <v/>
      </c>
      <c r="CH113" s="22" t="str">
        <f t="shared" si="316"/>
        <v/>
      </c>
      <c r="CI113" s="22" t="str">
        <f>IF(CJ113="","",MAX($CI$10:CI112)+1)</f>
        <v/>
      </c>
      <c r="CJ113" s="22" t="str">
        <f t="shared" si="317"/>
        <v/>
      </c>
    </row>
    <row r="114" spans="2:88" x14ac:dyDescent="0.25">
      <c r="B114" s="37"/>
      <c r="C114" s="3"/>
      <c r="D114" s="77" t="str">
        <f t="shared" si="303"/>
        <v/>
      </c>
      <c r="E114" s="38"/>
      <c r="F114" s="38"/>
      <c r="G114" s="78">
        <f t="shared" si="318"/>
        <v>0</v>
      </c>
      <c r="H114" s="3">
        <v>80</v>
      </c>
      <c r="I114" s="77" t="str">
        <f t="shared" si="304"/>
        <v/>
      </c>
      <c r="J114" s="32"/>
      <c r="K114" s="3"/>
      <c r="L114" s="39"/>
      <c r="M114" s="39"/>
      <c r="N114" s="39"/>
      <c r="O114" s="39"/>
      <c r="P114" s="39"/>
      <c r="Q114" s="39"/>
      <c r="R114" s="39"/>
      <c r="S114" s="39"/>
      <c r="T114" s="3" t="s">
        <v>645</v>
      </c>
      <c r="U114" s="77" t="str">
        <f t="shared" si="305"/>
        <v/>
      </c>
      <c r="V114" s="39">
        <v>1</v>
      </c>
      <c r="W114" s="79">
        <f t="shared" si="319"/>
        <v>0</v>
      </c>
      <c r="X114" s="3">
        <v>0</v>
      </c>
      <c r="Y114" s="77" t="str">
        <f t="shared" si="306"/>
        <v/>
      </c>
      <c r="Z114" s="3"/>
      <c r="AA114" s="37" t="str">
        <f t="shared" si="320"/>
        <v/>
      </c>
      <c r="AC114" s="40"/>
      <c r="AD114" s="7"/>
      <c r="AE114" s="77" t="str">
        <f t="shared" si="307"/>
        <v/>
      </c>
      <c r="AF114" s="81">
        <f t="shared" si="333"/>
        <v>0</v>
      </c>
      <c r="AG114" s="40"/>
      <c r="AH114" s="7"/>
      <c r="AI114" s="77" t="str">
        <f t="shared" si="308"/>
        <v/>
      </c>
      <c r="AJ114" s="81">
        <f t="shared" si="334"/>
        <v>0</v>
      </c>
      <c r="AK114" s="83">
        <f t="shared" si="335"/>
        <v>0</v>
      </c>
      <c r="AL114" s="83">
        <f t="shared" si="336"/>
        <v>0</v>
      </c>
      <c r="AN114" s="43">
        <f t="shared" si="309"/>
        <v>0</v>
      </c>
      <c r="AP114" t="str">
        <f t="shared" si="337"/>
        <v/>
      </c>
      <c r="AQ114" t="str">
        <f t="shared" si="338"/>
        <v/>
      </c>
      <c r="AR114" t="str">
        <f t="shared" si="339"/>
        <v/>
      </c>
      <c r="AS114" t="str">
        <f t="shared" si="340"/>
        <v/>
      </c>
      <c r="AT114" t="str">
        <f t="shared" si="341"/>
        <v/>
      </c>
      <c r="AU114" t="str">
        <f t="shared" si="342"/>
        <v/>
      </c>
      <c r="AV114" t="str">
        <f t="shared" si="343"/>
        <v/>
      </c>
      <c r="AW114" t="str">
        <f t="shared" si="344"/>
        <v xml:space="preserve">                              </v>
      </c>
      <c r="AX114" s="23">
        <f t="shared" si="345"/>
        <v>0</v>
      </c>
      <c r="AY114" s="49" t="str">
        <f t="shared" si="321"/>
        <v>000000000000000</v>
      </c>
      <c r="AZ114" s="23">
        <f t="shared" si="346"/>
        <v>0</v>
      </c>
      <c r="BA114" s="49" t="str">
        <f t="shared" si="321"/>
        <v>000000000000000</v>
      </c>
      <c r="BB114" s="23">
        <f t="shared" si="347"/>
        <v>0</v>
      </c>
      <c r="BC114" s="49" t="str">
        <f t="shared" ref="BC114" si="582">IF(BB114&lt;0,SUBSTITUTE(TEXT(BB114,"000000000000,00"),",",""),SUBSTITUTE(TEXT(BB114,"0000000000000,00"),",",""))</f>
        <v>000000000000000</v>
      </c>
      <c r="BD114" s="23">
        <f t="shared" si="349"/>
        <v>0</v>
      </c>
      <c r="BE114" s="49" t="str">
        <f t="shared" ref="BE114" si="583">IF(BD114&lt;0,SUBSTITUTE(TEXT(BD114,"000000000000,00"),",",""),SUBSTITUTE(TEXT(BD114,"0000000000000,00"),",",""))</f>
        <v>000000000000000</v>
      </c>
      <c r="BF114" s="23">
        <f t="shared" si="351"/>
        <v>0</v>
      </c>
      <c r="BG114" s="49" t="str">
        <f t="shared" ref="BG114" si="584">IF(BF114&lt;0,SUBSTITUTE(TEXT(BF114,"000000000000,00"),",",""),SUBSTITUTE(TEXT(BF114,"0000000000000,00"),",",""))</f>
        <v>000000000000000</v>
      </c>
      <c r="BH114" s="23">
        <f t="shared" si="353"/>
        <v>0</v>
      </c>
      <c r="BI114" s="49" t="str">
        <f t="shared" ref="BI114" si="585">IF(BH114&lt;0,SUBSTITUTE(TEXT(BH114,"000000000000,00"),",",""),SUBSTITUTE(TEXT(BH114,"0000000000000,00"),",",""))</f>
        <v>000000000000000</v>
      </c>
      <c r="BJ114" s="23">
        <f t="shared" si="355"/>
        <v>0</v>
      </c>
      <c r="BK114" s="49" t="str">
        <f t="shared" ref="BK114" si="586">IF(BJ114&lt;0,SUBSTITUTE(TEXT(BJ114,"000000000000,00"),",",""),SUBSTITUTE(TEXT(BJ114,"0000000000000,00"),",",""))</f>
        <v>000000000000000</v>
      </c>
      <c r="BL114" s="23">
        <f t="shared" si="357"/>
        <v>0</v>
      </c>
      <c r="BM114" s="49" t="str">
        <f t="shared" ref="BM114" si="587">IF(BL114&lt;0,SUBSTITUTE(TEXT(BL114,"000000000000,00"),",",""),SUBSTITUTE(TEXT(BL114,"0000000000000,00"),",",""))</f>
        <v>000000000000000</v>
      </c>
      <c r="BN114" t="str">
        <f t="shared" si="359"/>
        <v>PES</v>
      </c>
      <c r="BO114" t="str">
        <f t="shared" si="360"/>
        <v>0001000000</v>
      </c>
      <c r="BP114">
        <f t="shared" si="361"/>
        <v>0</v>
      </c>
      <c r="BQ114">
        <f t="shared" si="362"/>
        <v>0</v>
      </c>
      <c r="BR114" s="23">
        <f t="shared" si="363"/>
        <v>0</v>
      </c>
      <c r="BS114" s="49" t="str">
        <f t="shared" si="328"/>
        <v>000000000000000</v>
      </c>
      <c r="BT114" t="str">
        <f t="shared" si="364"/>
        <v>00000000</v>
      </c>
      <c r="BU114" s="23">
        <f t="shared" si="365"/>
        <v>0</v>
      </c>
      <c r="BV114" s="49" t="str">
        <f t="shared" si="329"/>
        <v/>
      </c>
      <c r="BW114" s="52" t="str">
        <f t="shared" si="366"/>
        <v/>
      </c>
      <c r="BX114" s="23">
        <f t="shared" si="367"/>
        <v>0</v>
      </c>
      <c r="BY114" s="49" t="str">
        <f t="shared" si="330"/>
        <v/>
      </c>
      <c r="BZ114" s="23">
        <f t="shared" si="368"/>
        <v>0</v>
      </c>
      <c r="CA114" s="49" t="str">
        <f t="shared" si="331"/>
        <v/>
      </c>
      <c r="CB114" s="52" t="str">
        <f t="shared" si="369"/>
        <v/>
      </c>
      <c r="CC114" s="23">
        <f t="shared" si="370"/>
        <v>0</v>
      </c>
      <c r="CD114" s="49" t="str">
        <f t="shared" si="332"/>
        <v/>
      </c>
      <c r="CE114" s="56" t="str">
        <f>IF(CF114="","",MAX(CE$10:$CE113)+1)</f>
        <v/>
      </c>
      <c r="CF114" t="str">
        <f t="shared" si="371"/>
        <v/>
      </c>
      <c r="CG114" s="22" t="str">
        <f>IF(CH114="","",MAX($CG$10:CG113)+1)</f>
        <v/>
      </c>
      <c r="CH114" s="22" t="str">
        <f t="shared" si="316"/>
        <v/>
      </c>
      <c r="CI114" s="22" t="str">
        <f>IF(CJ114="","",MAX($CI$10:CI113)+1)</f>
        <v/>
      </c>
      <c r="CJ114" s="22" t="str">
        <f t="shared" si="317"/>
        <v/>
      </c>
    </row>
    <row r="115" spans="2:88" x14ac:dyDescent="0.25">
      <c r="B115" s="37"/>
      <c r="C115" s="3"/>
      <c r="D115" s="77" t="str">
        <f t="shared" si="303"/>
        <v/>
      </c>
      <c r="E115" s="38"/>
      <c r="F115" s="38"/>
      <c r="G115" s="78">
        <f t="shared" si="318"/>
        <v>0</v>
      </c>
      <c r="H115" s="3">
        <v>80</v>
      </c>
      <c r="I115" s="77" t="str">
        <f t="shared" si="304"/>
        <v/>
      </c>
      <c r="J115" s="32"/>
      <c r="K115" s="3"/>
      <c r="L115" s="39"/>
      <c r="M115" s="39"/>
      <c r="N115" s="39"/>
      <c r="O115" s="39"/>
      <c r="P115" s="39"/>
      <c r="Q115" s="39"/>
      <c r="R115" s="39"/>
      <c r="S115" s="39"/>
      <c r="T115" s="3" t="s">
        <v>645</v>
      </c>
      <c r="U115" s="77" t="str">
        <f t="shared" si="305"/>
        <v/>
      </c>
      <c r="V115" s="39">
        <v>1</v>
      </c>
      <c r="W115" s="79">
        <f t="shared" si="319"/>
        <v>0</v>
      </c>
      <c r="X115" s="3">
        <v>0</v>
      </c>
      <c r="Y115" s="77" t="str">
        <f t="shared" si="306"/>
        <v/>
      </c>
      <c r="Z115" s="3"/>
      <c r="AA115" s="37" t="str">
        <f t="shared" si="320"/>
        <v/>
      </c>
      <c r="AC115" s="40"/>
      <c r="AD115" s="7"/>
      <c r="AE115" s="77" t="str">
        <f t="shared" si="307"/>
        <v/>
      </c>
      <c r="AF115" s="81">
        <f t="shared" si="333"/>
        <v>0</v>
      </c>
      <c r="AG115" s="40"/>
      <c r="AH115" s="7"/>
      <c r="AI115" s="77" t="str">
        <f t="shared" si="308"/>
        <v/>
      </c>
      <c r="AJ115" s="81">
        <f t="shared" si="334"/>
        <v>0</v>
      </c>
      <c r="AK115" s="83">
        <f t="shared" si="335"/>
        <v>0</v>
      </c>
      <c r="AL115" s="83">
        <f t="shared" si="336"/>
        <v>0</v>
      </c>
      <c r="AN115" s="43">
        <f t="shared" si="309"/>
        <v>0</v>
      </c>
      <c r="AP115" t="str">
        <f t="shared" si="337"/>
        <v/>
      </c>
      <c r="AQ115" t="str">
        <f t="shared" si="338"/>
        <v/>
      </c>
      <c r="AR115" t="str">
        <f t="shared" si="339"/>
        <v/>
      </c>
      <c r="AS115" t="str">
        <f t="shared" si="340"/>
        <v/>
      </c>
      <c r="AT115" t="str">
        <f t="shared" si="341"/>
        <v/>
      </c>
      <c r="AU115" t="str">
        <f t="shared" si="342"/>
        <v/>
      </c>
      <c r="AV115" t="str">
        <f t="shared" si="343"/>
        <v/>
      </c>
      <c r="AW115" t="str">
        <f t="shared" si="344"/>
        <v xml:space="preserve">                              </v>
      </c>
      <c r="AX115" s="23">
        <f t="shared" si="345"/>
        <v>0</v>
      </c>
      <c r="AY115" s="49" t="str">
        <f t="shared" si="321"/>
        <v>000000000000000</v>
      </c>
      <c r="AZ115" s="23">
        <f t="shared" si="346"/>
        <v>0</v>
      </c>
      <c r="BA115" s="49" t="str">
        <f t="shared" si="321"/>
        <v>000000000000000</v>
      </c>
      <c r="BB115" s="23">
        <f t="shared" si="347"/>
        <v>0</v>
      </c>
      <c r="BC115" s="49" t="str">
        <f t="shared" ref="BC115" si="588">IF(BB115&lt;0,SUBSTITUTE(TEXT(BB115,"000000000000,00"),",",""),SUBSTITUTE(TEXT(BB115,"0000000000000,00"),",",""))</f>
        <v>000000000000000</v>
      </c>
      <c r="BD115" s="23">
        <f t="shared" si="349"/>
        <v>0</v>
      </c>
      <c r="BE115" s="49" t="str">
        <f t="shared" ref="BE115" si="589">IF(BD115&lt;0,SUBSTITUTE(TEXT(BD115,"000000000000,00"),",",""),SUBSTITUTE(TEXT(BD115,"0000000000000,00"),",",""))</f>
        <v>000000000000000</v>
      </c>
      <c r="BF115" s="23">
        <f t="shared" si="351"/>
        <v>0</v>
      </c>
      <c r="BG115" s="49" t="str">
        <f t="shared" ref="BG115" si="590">IF(BF115&lt;0,SUBSTITUTE(TEXT(BF115,"000000000000,00"),",",""),SUBSTITUTE(TEXT(BF115,"0000000000000,00"),",",""))</f>
        <v>000000000000000</v>
      </c>
      <c r="BH115" s="23">
        <f t="shared" si="353"/>
        <v>0</v>
      </c>
      <c r="BI115" s="49" t="str">
        <f t="shared" ref="BI115" si="591">IF(BH115&lt;0,SUBSTITUTE(TEXT(BH115,"000000000000,00"),",",""),SUBSTITUTE(TEXT(BH115,"0000000000000,00"),",",""))</f>
        <v>000000000000000</v>
      </c>
      <c r="BJ115" s="23">
        <f t="shared" si="355"/>
        <v>0</v>
      </c>
      <c r="BK115" s="49" t="str">
        <f t="shared" ref="BK115" si="592">IF(BJ115&lt;0,SUBSTITUTE(TEXT(BJ115,"000000000000,00"),",",""),SUBSTITUTE(TEXT(BJ115,"0000000000000,00"),",",""))</f>
        <v>000000000000000</v>
      </c>
      <c r="BL115" s="23">
        <f t="shared" si="357"/>
        <v>0</v>
      </c>
      <c r="BM115" s="49" t="str">
        <f t="shared" ref="BM115" si="593">IF(BL115&lt;0,SUBSTITUTE(TEXT(BL115,"000000000000,00"),",",""),SUBSTITUTE(TEXT(BL115,"0000000000000,00"),",",""))</f>
        <v>000000000000000</v>
      </c>
      <c r="BN115" t="str">
        <f t="shared" si="359"/>
        <v>PES</v>
      </c>
      <c r="BO115" t="str">
        <f t="shared" si="360"/>
        <v>0001000000</v>
      </c>
      <c r="BP115">
        <f t="shared" si="361"/>
        <v>0</v>
      </c>
      <c r="BQ115">
        <f t="shared" si="362"/>
        <v>0</v>
      </c>
      <c r="BR115" s="23">
        <f t="shared" si="363"/>
        <v>0</v>
      </c>
      <c r="BS115" s="49" t="str">
        <f t="shared" si="328"/>
        <v>000000000000000</v>
      </c>
      <c r="BT115" t="str">
        <f t="shared" si="364"/>
        <v>00000000</v>
      </c>
      <c r="BU115" s="23">
        <f t="shared" si="365"/>
        <v>0</v>
      </c>
      <c r="BV115" s="49" t="str">
        <f t="shared" si="329"/>
        <v/>
      </c>
      <c r="BW115" s="52" t="str">
        <f t="shared" si="366"/>
        <v/>
      </c>
      <c r="BX115" s="23">
        <f t="shared" si="367"/>
        <v>0</v>
      </c>
      <c r="BY115" s="49" t="str">
        <f t="shared" si="330"/>
        <v/>
      </c>
      <c r="BZ115" s="23">
        <f t="shared" si="368"/>
        <v>0</v>
      </c>
      <c r="CA115" s="49" t="str">
        <f t="shared" si="331"/>
        <v/>
      </c>
      <c r="CB115" s="52" t="str">
        <f t="shared" si="369"/>
        <v/>
      </c>
      <c r="CC115" s="23">
        <f t="shared" si="370"/>
        <v>0</v>
      </c>
      <c r="CD115" s="49" t="str">
        <f t="shared" si="332"/>
        <v/>
      </c>
      <c r="CE115" s="56" t="str">
        <f>IF(CF115="","",MAX(CE$10:$CE114)+1)</f>
        <v/>
      </c>
      <c r="CF115" t="str">
        <f t="shared" si="371"/>
        <v/>
      </c>
      <c r="CG115" s="22" t="str">
        <f>IF(CH115="","",MAX($CG$10:CG114)+1)</f>
        <v/>
      </c>
      <c r="CH115" s="22" t="str">
        <f t="shared" si="316"/>
        <v/>
      </c>
      <c r="CI115" s="22" t="str">
        <f>IF(CJ115="","",MAX($CI$10:CI114)+1)</f>
        <v/>
      </c>
      <c r="CJ115" s="22" t="str">
        <f t="shared" si="317"/>
        <v/>
      </c>
    </row>
    <row r="116" spans="2:88" x14ac:dyDescent="0.25">
      <c r="B116" s="37"/>
      <c r="C116" s="3"/>
      <c r="D116" s="77" t="str">
        <f t="shared" si="303"/>
        <v/>
      </c>
      <c r="E116" s="38"/>
      <c r="F116" s="38"/>
      <c r="G116" s="78">
        <f t="shared" si="318"/>
        <v>0</v>
      </c>
      <c r="H116" s="3">
        <v>80</v>
      </c>
      <c r="I116" s="77" t="str">
        <f t="shared" si="304"/>
        <v/>
      </c>
      <c r="J116" s="32"/>
      <c r="K116" s="3"/>
      <c r="L116" s="39"/>
      <c r="M116" s="39"/>
      <c r="N116" s="39"/>
      <c r="O116" s="39"/>
      <c r="P116" s="39"/>
      <c r="Q116" s="39"/>
      <c r="R116" s="39"/>
      <c r="S116" s="39"/>
      <c r="T116" s="3" t="s">
        <v>645</v>
      </c>
      <c r="U116" s="77" t="str">
        <f t="shared" si="305"/>
        <v/>
      </c>
      <c r="V116" s="39">
        <v>1</v>
      </c>
      <c r="W116" s="79">
        <f t="shared" si="319"/>
        <v>0</v>
      </c>
      <c r="X116" s="3">
        <v>0</v>
      </c>
      <c r="Y116" s="77" t="str">
        <f t="shared" si="306"/>
        <v/>
      </c>
      <c r="Z116" s="3"/>
      <c r="AA116" s="37" t="str">
        <f t="shared" si="320"/>
        <v/>
      </c>
      <c r="AC116" s="40"/>
      <c r="AD116" s="7"/>
      <c r="AE116" s="77" t="str">
        <f t="shared" si="307"/>
        <v/>
      </c>
      <c r="AF116" s="81">
        <f t="shared" si="333"/>
        <v>0</v>
      </c>
      <c r="AG116" s="40"/>
      <c r="AH116" s="7"/>
      <c r="AI116" s="77" t="str">
        <f t="shared" si="308"/>
        <v/>
      </c>
      <c r="AJ116" s="81">
        <f t="shared" si="334"/>
        <v>0</v>
      </c>
      <c r="AK116" s="83">
        <f t="shared" si="335"/>
        <v>0</v>
      </c>
      <c r="AL116" s="83">
        <f t="shared" si="336"/>
        <v>0</v>
      </c>
      <c r="AN116" s="43">
        <f t="shared" si="309"/>
        <v>0</v>
      </c>
      <c r="AP116" t="str">
        <f t="shared" si="337"/>
        <v/>
      </c>
      <c r="AQ116" t="str">
        <f t="shared" si="338"/>
        <v/>
      </c>
      <c r="AR116" t="str">
        <f t="shared" si="339"/>
        <v/>
      </c>
      <c r="AS116" t="str">
        <f t="shared" si="340"/>
        <v/>
      </c>
      <c r="AT116" t="str">
        <f t="shared" si="341"/>
        <v/>
      </c>
      <c r="AU116" t="str">
        <f t="shared" si="342"/>
        <v/>
      </c>
      <c r="AV116" t="str">
        <f t="shared" si="343"/>
        <v/>
      </c>
      <c r="AW116" t="str">
        <f t="shared" si="344"/>
        <v xml:space="preserve">                              </v>
      </c>
      <c r="AX116" s="23">
        <f t="shared" si="345"/>
        <v>0</v>
      </c>
      <c r="AY116" s="49" t="str">
        <f t="shared" si="321"/>
        <v>000000000000000</v>
      </c>
      <c r="AZ116" s="23">
        <f t="shared" si="346"/>
        <v>0</v>
      </c>
      <c r="BA116" s="49" t="str">
        <f t="shared" si="321"/>
        <v>000000000000000</v>
      </c>
      <c r="BB116" s="23">
        <f t="shared" si="347"/>
        <v>0</v>
      </c>
      <c r="BC116" s="49" t="str">
        <f t="shared" ref="BC116" si="594">IF(BB116&lt;0,SUBSTITUTE(TEXT(BB116,"000000000000,00"),",",""),SUBSTITUTE(TEXT(BB116,"0000000000000,00"),",",""))</f>
        <v>000000000000000</v>
      </c>
      <c r="BD116" s="23">
        <f t="shared" si="349"/>
        <v>0</v>
      </c>
      <c r="BE116" s="49" t="str">
        <f t="shared" ref="BE116" si="595">IF(BD116&lt;0,SUBSTITUTE(TEXT(BD116,"000000000000,00"),",",""),SUBSTITUTE(TEXT(BD116,"0000000000000,00"),",",""))</f>
        <v>000000000000000</v>
      </c>
      <c r="BF116" s="23">
        <f t="shared" si="351"/>
        <v>0</v>
      </c>
      <c r="BG116" s="49" t="str">
        <f t="shared" ref="BG116" si="596">IF(BF116&lt;0,SUBSTITUTE(TEXT(BF116,"000000000000,00"),",",""),SUBSTITUTE(TEXT(BF116,"0000000000000,00"),",",""))</f>
        <v>000000000000000</v>
      </c>
      <c r="BH116" s="23">
        <f t="shared" si="353"/>
        <v>0</v>
      </c>
      <c r="BI116" s="49" t="str">
        <f t="shared" ref="BI116" si="597">IF(BH116&lt;0,SUBSTITUTE(TEXT(BH116,"000000000000,00"),",",""),SUBSTITUTE(TEXT(BH116,"0000000000000,00"),",",""))</f>
        <v>000000000000000</v>
      </c>
      <c r="BJ116" s="23">
        <f t="shared" si="355"/>
        <v>0</v>
      </c>
      <c r="BK116" s="49" t="str">
        <f t="shared" ref="BK116" si="598">IF(BJ116&lt;0,SUBSTITUTE(TEXT(BJ116,"000000000000,00"),",",""),SUBSTITUTE(TEXT(BJ116,"0000000000000,00"),",",""))</f>
        <v>000000000000000</v>
      </c>
      <c r="BL116" s="23">
        <f t="shared" si="357"/>
        <v>0</v>
      </c>
      <c r="BM116" s="49" t="str">
        <f t="shared" ref="BM116" si="599">IF(BL116&lt;0,SUBSTITUTE(TEXT(BL116,"000000000000,00"),",",""),SUBSTITUTE(TEXT(BL116,"0000000000000,00"),",",""))</f>
        <v>000000000000000</v>
      </c>
      <c r="BN116" t="str">
        <f t="shared" si="359"/>
        <v>PES</v>
      </c>
      <c r="BO116" t="str">
        <f t="shared" si="360"/>
        <v>0001000000</v>
      </c>
      <c r="BP116">
        <f t="shared" si="361"/>
        <v>0</v>
      </c>
      <c r="BQ116">
        <f t="shared" si="362"/>
        <v>0</v>
      </c>
      <c r="BR116" s="23">
        <f t="shared" si="363"/>
        <v>0</v>
      </c>
      <c r="BS116" s="49" t="str">
        <f t="shared" si="328"/>
        <v>000000000000000</v>
      </c>
      <c r="BT116" t="str">
        <f t="shared" si="364"/>
        <v>00000000</v>
      </c>
      <c r="BU116" s="23">
        <f t="shared" si="365"/>
        <v>0</v>
      </c>
      <c r="BV116" s="49" t="str">
        <f t="shared" si="329"/>
        <v/>
      </c>
      <c r="BW116" s="52" t="str">
        <f t="shared" si="366"/>
        <v/>
      </c>
      <c r="BX116" s="23">
        <f t="shared" si="367"/>
        <v>0</v>
      </c>
      <c r="BY116" s="49" t="str">
        <f t="shared" si="330"/>
        <v/>
      </c>
      <c r="BZ116" s="23">
        <f t="shared" si="368"/>
        <v>0</v>
      </c>
      <c r="CA116" s="49" t="str">
        <f t="shared" si="331"/>
        <v/>
      </c>
      <c r="CB116" s="52" t="str">
        <f t="shared" si="369"/>
        <v/>
      </c>
      <c r="CC116" s="23">
        <f t="shared" si="370"/>
        <v>0</v>
      </c>
      <c r="CD116" s="49" t="str">
        <f t="shared" si="332"/>
        <v/>
      </c>
      <c r="CE116" s="56" t="str">
        <f>IF(CF116="","",MAX(CE$10:$CE115)+1)</f>
        <v/>
      </c>
      <c r="CF116" t="str">
        <f t="shared" si="371"/>
        <v/>
      </c>
      <c r="CG116" s="22" t="str">
        <f>IF(CH116="","",MAX($CG$10:CG115)+1)</f>
        <v/>
      </c>
      <c r="CH116" s="22" t="str">
        <f t="shared" si="316"/>
        <v/>
      </c>
      <c r="CI116" s="22" t="str">
        <f>IF(CJ116="","",MAX($CI$10:CI115)+1)</f>
        <v/>
      </c>
      <c r="CJ116" s="22" t="str">
        <f t="shared" si="317"/>
        <v/>
      </c>
    </row>
    <row r="117" spans="2:88" x14ac:dyDescent="0.25">
      <c r="B117" s="37"/>
      <c r="C117" s="3"/>
      <c r="D117" s="77" t="str">
        <f t="shared" si="303"/>
        <v/>
      </c>
      <c r="E117" s="38"/>
      <c r="F117" s="38"/>
      <c r="G117" s="78">
        <f t="shared" si="318"/>
        <v>0</v>
      </c>
      <c r="H117" s="3">
        <v>80</v>
      </c>
      <c r="I117" s="77" t="str">
        <f t="shared" si="304"/>
        <v/>
      </c>
      <c r="J117" s="32"/>
      <c r="K117" s="3"/>
      <c r="L117" s="39"/>
      <c r="M117" s="39"/>
      <c r="N117" s="39"/>
      <c r="O117" s="39"/>
      <c r="P117" s="39"/>
      <c r="Q117" s="39"/>
      <c r="R117" s="39"/>
      <c r="S117" s="39"/>
      <c r="T117" s="3" t="s">
        <v>645</v>
      </c>
      <c r="U117" s="77" t="str">
        <f t="shared" si="305"/>
        <v/>
      </c>
      <c r="V117" s="39">
        <v>1</v>
      </c>
      <c r="W117" s="79">
        <f t="shared" si="319"/>
        <v>0</v>
      </c>
      <c r="X117" s="3">
        <v>0</v>
      </c>
      <c r="Y117" s="77" t="str">
        <f t="shared" si="306"/>
        <v/>
      </c>
      <c r="Z117" s="3"/>
      <c r="AA117" s="37" t="str">
        <f t="shared" si="320"/>
        <v/>
      </c>
      <c r="AC117" s="40"/>
      <c r="AD117" s="7"/>
      <c r="AE117" s="77" t="str">
        <f t="shared" si="307"/>
        <v/>
      </c>
      <c r="AF117" s="81">
        <f t="shared" si="333"/>
        <v>0</v>
      </c>
      <c r="AG117" s="40"/>
      <c r="AH117" s="7"/>
      <c r="AI117" s="77" t="str">
        <f t="shared" si="308"/>
        <v/>
      </c>
      <c r="AJ117" s="81">
        <f t="shared" si="334"/>
        <v>0</v>
      </c>
      <c r="AK117" s="83">
        <f t="shared" si="335"/>
        <v>0</v>
      </c>
      <c r="AL117" s="83">
        <f t="shared" si="336"/>
        <v>0</v>
      </c>
      <c r="AN117" s="43">
        <f t="shared" si="309"/>
        <v>0</v>
      </c>
      <c r="AP117" t="str">
        <f t="shared" si="337"/>
        <v/>
      </c>
      <c r="AQ117" t="str">
        <f t="shared" si="338"/>
        <v/>
      </c>
      <c r="AR117" t="str">
        <f t="shared" si="339"/>
        <v/>
      </c>
      <c r="AS117" t="str">
        <f t="shared" si="340"/>
        <v/>
      </c>
      <c r="AT117" t="str">
        <f t="shared" si="341"/>
        <v/>
      </c>
      <c r="AU117" t="str">
        <f t="shared" si="342"/>
        <v/>
      </c>
      <c r="AV117" t="str">
        <f t="shared" si="343"/>
        <v/>
      </c>
      <c r="AW117" t="str">
        <f t="shared" si="344"/>
        <v xml:space="preserve">                              </v>
      </c>
      <c r="AX117" s="23">
        <f t="shared" si="345"/>
        <v>0</v>
      </c>
      <c r="AY117" s="49" t="str">
        <f t="shared" si="321"/>
        <v>000000000000000</v>
      </c>
      <c r="AZ117" s="23">
        <f t="shared" si="346"/>
        <v>0</v>
      </c>
      <c r="BA117" s="49" t="str">
        <f t="shared" si="321"/>
        <v>000000000000000</v>
      </c>
      <c r="BB117" s="23">
        <f t="shared" si="347"/>
        <v>0</v>
      </c>
      <c r="BC117" s="49" t="str">
        <f t="shared" ref="BC117" si="600">IF(BB117&lt;0,SUBSTITUTE(TEXT(BB117,"000000000000,00"),",",""),SUBSTITUTE(TEXT(BB117,"0000000000000,00"),",",""))</f>
        <v>000000000000000</v>
      </c>
      <c r="BD117" s="23">
        <f t="shared" si="349"/>
        <v>0</v>
      </c>
      <c r="BE117" s="49" t="str">
        <f t="shared" ref="BE117" si="601">IF(BD117&lt;0,SUBSTITUTE(TEXT(BD117,"000000000000,00"),",",""),SUBSTITUTE(TEXT(BD117,"0000000000000,00"),",",""))</f>
        <v>000000000000000</v>
      </c>
      <c r="BF117" s="23">
        <f t="shared" si="351"/>
        <v>0</v>
      </c>
      <c r="BG117" s="49" t="str">
        <f t="shared" ref="BG117" si="602">IF(BF117&lt;0,SUBSTITUTE(TEXT(BF117,"000000000000,00"),",",""),SUBSTITUTE(TEXT(BF117,"0000000000000,00"),",",""))</f>
        <v>000000000000000</v>
      </c>
      <c r="BH117" s="23">
        <f t="shared" si="353"/>
        <v>0</v>
      </c>
      <c r="BI117" s="49" t="str">
        <f t="shared" ref="BI117" si="603">IF(BH117&lt;0,SUBSTITUTE(TEXT(BH117,"000000000000,00"),",",""),SUBSTITUTE(TEXT(BH117,"0000000000000,00"),",",""))</f>
        <v>000000000000000</v>
      </c>
      <c r="BJ117" s="23">
        <f t="shared" si="355"/>
        <v>0</v>
      </c>
      <c r="BK117" s="49" t="str">
        <f t="shared" ref="BK117" si="604">IF(BJ117&lt;0,SUBSTITUTE(TEXT(BJ117,"000000000000,00"),",",""),SUBSTITUTE(TEXT(BJ117,"0000000000000,00"),",",""))</f>
        <v>000000000000000</v>
      </c>
      <c r="BL117" s="23">
        <f t="shared" si="357"/>
        <v>0</v>
      </c>
      <c r="BM117" s="49" t="str">
        <f t="shared" ref="BM117" si="605">IF(BL117&lt;0,SUBSTITUTE(TEXT(BL117,"000000000000,00"),",",""),SUBSTITUTE(TEXT(BL117,"0000000000000,00"),",",""))</f>
        <v>000000000000000</v>
      </c>
      <c r="BN117" t="str">
        <f t="shared" si="359"/>
        <v>PES</v>
      </c>
      <c r="BO117" t="str">
        <f t="shared" si="360"/>
        <v>0001000000</v>
      </c>
      <c r="BP117">
        <f t="shared" si="361"/>
        <v>0</v>
      </c>
      <c r="BQ117">
        <f t="shared" si="362"/>
        <v>0</v>
      </c>
      <c r="BR117" s="23">
        <f t="shared" si="363"/>
        <v>0</v>
      </c>
      <c r="BS117" s="49" t="str">
        <f t="shared" si="328"/>
        <v>000000000000000</v>
      </c>
      <c r="BT117" t="str">
        <f t="shared" si="364"/>
        <v>00000000</v>
      </c>
      <c r="BU117" s="23">
        <f t="shared" si="365"/>
        <v>0</v>
      </c>
      <c r="BV117" s="49" t="str">
        <f t="shared" si="329"/>
        <v/>
      </c>
      <c r="BW117" s="52" t="str">
        <f t="shared" si="366"/>
        <v/>
      </c>
      <c r="BX117" s="23">
        <f t="shared" si="367"/>
        <v>0</v>
      </c>
      <c r="BY117" s="49" t="str">
        <f t="shared" si="330"/>
        <v/>
      </c>
      <c r="BZ117" s="23">
        <f t="shared" si="368"/>
        <v>0</v>
      </c>
      <c r="CA117" s="49" t="str">
        <f t="shared" si="331"/>
        <v/>
      </c>
      <c r="CB117" s="52" t="str">
        <f t="shared" si="369"/>
        <v/>
      </c>
      <c r="CC117" s="23">
        <f t="shared" si="370"/>
        <v>0</v>
      </c>
      <c r="CD117" s="49" t="str">
        <f t="shared" si="332"/>
        <v/>
      </c>
      <c r="CE117" s="56" t="str">
        <f>IF(CF117="","",MAX(CE$10:$CE116)+1)</f>
        <v/>
      </c>
      <c r="CF117" t="str">
        <f t="shared" si="371"/>
        <v/>
      </c>
      <c r="CG117" s="22" t="str">
        <f>IF(CH117="","",MAX($CG$10:CG116)+1)</f>
        <v/>
      </c>
      <c r="CH117" s="22" t="str">
        <f t="shared" si="316"/>
        <v/>
      </c>
      <c r="CI117" s="22" t="str">
        <f>IF(CJ117="","",MAX($CI$10:CI116)+1)</f>
        <v/>
      </c>
      <c r="CJ117" s="22" t="str">
        <f t="shared" si="317"/>
        <v/>
      </c>
    </row>
    <row r="118" spans="2:88" x14ac:dyDescent="0.25">
      <c r="B118" s="37"/>
      <c r="C118" s="3"/>
      <c r="D118" s="77" t="str">
        <f t="shared" si="303"/>
        <v/>
      </c>
      <c r="E118" s="38"/>
      <c r="F118" s="38"/>
      <c r="G118" s="78">
        <f t="shared" si="318"/>
        <v>0</v>
      </c>
      <c r="H118" s="3">
        <v>80</v>
      </c>
      <c r="I118" s="77" t="str">
        <f t="shared" si="304"/>
        <v/>
      </c>
      <c r="J118" s="32"/>
      <c r="K118" s="3"/>
      <c r="L118" s="39"/>
      <c r="M118" s="39"/>
      <c r="N118" s="39"/>
      <c r="O118" s="39"/>
      <c r="P118" s="39"/>
      <c r="Q118" s="39"/>
      <c r="R118" s="39"/>
      <c r="S118" s="39"/>
      <c r="T118" s="3" t="s">
        <v>645</v>
      </c>
      <c r="U118" s="77" t="str">
        <f t="shared" si="305"/>
        <v/>
      </c>
      <c r="V118" s="39">
        <v>1</v>
      </c>
      <c r="W118" s="79">
        <f t="shared" si="319"/>
        <v>0</v>
      </c>
      <c r="X118" s="3">
        <v>0</v>
      </c>
      <c r="Y118" s="77" t="str">
        <f t="shared" si="306"/>
        <v/>
      </c>
      <c r="Z118" s="3"/>
      <c r="AA118" s="37" t="str">
        <f t="shared" si="320"/>
        <v/>
      </c>
      <c r="AC118" s="40"/>
      <c r="AD118" s="7"/>
      <c r="AE118" s="77" t="str">
        <f t="shared" si="307"/>
        <v/>
      </c>
      <c r="AF118" s="81">
        <f t="shared" si="333"/>
        <v>0</v>
      </c>
      <c r="AG118" s="40"/>
      <c r="AH118" s="7"/>
      <c r="AI118" s="77" t="str">
        <f t="shared" si="308"/>
        <v/>
      </c>
      <c r="AJ118" s="81">
        <f t="shared" si="334"/>
        <v>0</v>
      </c>
      <c r="AK118" s="83">
        <f t="shared" si="335"/>
        <v>0</v>
      </c>
      <c r="AL118" s="83">
        <f t="shared" si="336"/>
        <v>0</v>
      </c>
      <c r="AN118" s="43">
        <f t="shared" si="309"/>
        <v>0</v>
      </c>
      <c r="AP118" t="str">
        <f t="shared" si="337"/>
        <v/>
      </c>
      <c r="AQ118" t="str">
        <f t="shared" si="338"/>
        <v/>
      </c>
      <c r="AR118" t="str">
        <f t="shared" si="339"/>
        <v/>
      </c>
      <c r="AS118" t="str">
        <f t="shared" si="340"/>
        <v/>
      </c>
      <c r="AT118" t="str">
        <f t="shared" si="341"/>
        <v/>
      </c>
      <c r="AU118" t="str">
        <f t="shared" si="342"/>
        <v/>
      </c>
      <c r="AV118" t="str">
        <f t="shared" si="343"/>
        <v/>
      </c>
      <c r="AW118" t="str">
        <f t="shared" si="344"/>
        <v xml:space="preserve">                              </v>
      </c>
      <c r="AX118" s="23">
        <f t="shared" si="345"/>
        <v>0</v>
      </c>
      <c r="AY118" s="49" t="str">
        <f t="shared" si="321"/>
        <v>000000000000000</v>
      </c>
      <c r="AZ118" s="23">
        <f t="shared" si="346"/>
        <v>0</v>
      </c>
      <c r="BA118" s="49" t="str">
        <f t="shared" si="321"/>
        <v>000000000000000</v>
      </c>
      <c r="BB118" s="23">
        <f t="shared" si="347"/>
        <v>0</v>
      </c>
      <c r="BC118" s="49" t="str">
        <f t="shared" ref="BC118" si="606">IF(BB118&lt;0,SUBSTITUTE(TEXT(BB118,"000000000000,00"),",",""),SUBSTITUTE(TEXT(BB118,"0000000000000,00"),",",""))</f>
        <v>000000000000000</v>
      </c>
      <c r="BD118" s="23">
        <f t="shared" si="349"/>
        <v>0</v>
      </c>
      <c r="BE118" s="49" t="str">
        <f t="shared" ref="BE118" si="607">IF(BD118&lt;0,SUBSTITUTE(TEXT(BD118,"000000000000,00"),",",""),SUBSTITUTE(TEXT(BD118,"0000000000000,00"),",",""))</f>
        <v>000000000000000</v>
      </c>
      <c r="BF118" s="23">
        <f t="shared" si="351"/>
        <v>0</v>
      </c>
      <c r="BG118" s="49" t="str">
        <f t="shared" ref="BG118" si="608">IF(BF118&lt;0,SUBSTITUTE(TEXT(BF118,"000000000000,00"),",",""),SUBSTITUTE(TEXT(BF118,"0000000000000,00"),",",""))</f>
        <v>000000000000000</v>
      </c>
      <c r="BH118" s="23">
        <f t="shared" si="353"/>
        <v>0</v>
      </c>
      <c r="BI118" s="49" t="str">
        <f t="shared" ref="BI118" si="609">IF(BH118&lt;0,SUBSTITUTE(TEXT(BH118,"000000000000,00"),",",""),SUBSTITUTE(TEXT(BH118,"0000000000000,00"),",",""))</f>
        <v>000000000000000</v>
      </c>
      <c r="BJ118" s="23">
        <f t="shared" si="355"/>
        <v>0</v>
      </c>
      <c r="BK118" s="49" t="str">
        <f t="shared" ref="BK118" si="610">IF(BJ118&lt;0,SUBSTITUTE(TEXT(BJ118,"000000000000,00"),",",""),SUBSTITUTE(TEXT(BJ118,"0000000000000,00"),",",""))</f>
        <v>000000000000000</v>
      </c>
      <c r="BL118" s="23">
        <f t="shared" si="357"/>
        <v>0</v>
      </c>
      <c r="BM118" s="49" t="str">
        <f t="shared" ref="BM118" si="611">IF(BL118&lt;0,SUBSTITUTE(TEXT(BL118,"000000000000,00"),",",""),SUBSTITUTE(TEXT(BL118,"0000000000000,00"),",",""))</f>
        <v>000000000000000</v>
      </c>
      <c r="BN118" t="str">
        <f t="shared" si="359"/>
        <v>PES</v>
      </c>
      <c r="BO118" t="str">
        <f t="shared" si="360"/>
        <v>0001000000</v>
      </c>
      <c r="BP118">
        <f t="shared" si="361"/>
        <v>0</v>
      </c>
      <c r="BQ118">
        <f t="shared" si="362"/>
        <v>0</v>
      </c>
      <c r="BR118" s="23">
        <f t="shared" si="363"/>
        <v>0</v>
      </c>
      <c r="BS118" s="49" t="str">
        <f t="shared" si="328"/>
        <v>000000000000000</v>
      </c>
      <c r="BT118" t="str">
        <f t="shared" si="364"/>
        <v>00000000</v>
      </c>
      <c r="BU118" s="23">
        <f t="shared" si="365"/>
        <v>0</v>
      </c>
      <c r="BV118" s="49" t="str">
        <f t="shared" si="329"/>
        <v/>
      </c>
      <c r="BW118" s="52" t="str">
        <f t="shared" si="366"/>
        <v/>
      </c>
      <c r="BX118" s="23">
        <f t="shared" si="367"/>
        <v>0</v>
      </c>
      <c r="BY118" s="49" t="str">
        <f t="shared" si="330"/>
        <v/>
      </c>
      <c r="BZ118" s="23">
        <f t="shared" si="368"/>
        <v>0</v>
      </c>
      <c r="CA118" s="49" t="str">
        <f t="shared" si="331"/>
        <v/>
      </c>
      <c r="CB118" s="52" t="str">
        <f t="shared" si="369"/>
        <v/>
      </c>
      <c r="CC118" s="23">
        <f t="shared" si="370"/>
        <v>0</v>
      </c>
      <c r="CD118" s="49" t="str">
        <f t="shared" si="332"/>
        <v/>
      </c>
      <c r="CE118" s="56" t="str">
        <f>IF(CF118="","",MAX(CE$10:$CE117)+1)</f>
        <v/>
      </c>
      <c r="CF118" t="str">
        <f t="shared" si="371"/>
        <v/>
      </c>
      <c r="CG118" s="22" t="str">
        <f>IF(CH118="","",MAX($CG$10:CG117)+1)</f>
        <v/>
      </c>
      <c r="CH118" s="22" t="str">
        <f t="shared" si="316"/>
        <v/>
      </c>
      <c r="CI118" s="22" t="str">
        <f>IF(CJ118="","",MAX($CI$10:CI117)+1)</f>
        <v/>
      </c>
      <c r="CJ118" s="22" t="str">
        <f t="shared" si="317"/>
        <v/>
      </c>
    </row>
    <row r="119" spans="2:88" x14ac:dyDescent="0.25">
      <c r="B119" s="37"/>
      <c r="C119" s="3"/>
      <c r="D119" s="77" t="str">
        <f t="shared" si="303"/>
        <v/>
      </c>
      <c r="E119" s="38"/>
      <c r="F119" s="38"/>
      <c r="G119" s="78">
        <f t="shared" si="318"/>
        <v>0</v>
      </c>
      <c r="H119" s="3">
        <v>80</v>
      </c>
      <c r="I119" s="77" t="str">
        <f t="shared" si="304"/>
        <v/>
      </c>
      <c r="J119" s="32"/>
      <c r="K119" s="3"/>
      <c r="L119" s="39"/>
      <c r="M119" s="39"/>
      <c r="N119" s="39"/>
      <c r="O119" s="39"/>
      <c r="P119" s="39"/>
      <c r="Q119" s="39"/>
      <c r="R119" s="39"/>
      <c r="S119" s="39"/>
      <c r="T119" s="3" t="s">
        <v>645</v>
      </c>
      <c r="U119" s="77" t="str">
        <f t="shared" si="305"/>
        <v/>
      </c>
      <c r="V119" s="39">
        <v>1</v>
      </c>
      <c r="W119" s="79">
        <f t="shared" si="319"/>
        <v>0</v>
      </c>
      <c r="X119" s="3">
        <v>0</v>
      </c>
      <c r="Y119" s="77" t="str">
        <f t="shared" si="306"/>
        <v/>
      </c>
      <c r="Z119" s="3"/>
      <c r="AA119" s="37" t="str">
        <f t="shared" si="320"/>
        <v/>
      </c>
      <c r="AC119" s="40"/>
      <c r="AD119" s="7"/>
      <c r="AE119" s="77" t="str">
        <f t="shared" si="307"/>
        <v/>
      </c>
      <c r="AF119" s="81">
        <f t="shared" si="333"/>
        <v>0</v>
      </c>
      <c r="AG119" s="40"/>
      <c r="AH119" s="7"/>
      <c r="AI119" s="77" t="str">
        <f t="shared" si="308"/>
        <v/>
      </c>
      <c r="AJ119" s="81">
        <f t="shared" si="334"/>
        <v>0</v>
      </c>
      <c r="AK119" s="83">
        <f t="shared" si="335"/>
        <v>0</v>
      </c>
      <c r="AL119" s="83">
        <f t="shared" si="336"/>
        <v>0</v>
      </c>
      <c r="AN119" s="43">
        <f t="shared" si="309"/>
        <v>0</v>
      </c>
      <c r="AP119" t="str">
        <f t="shared" si="337"/>
        <v/>
      </c>
      <c r="AQ119" t="str">
        <f t="shared" si="338"/>
        <v/>
      </c>
      <c r="AR119" t="str">
        <f t="shared" si="339"/>
        <v/>
      </c>
      <c r="AS119" t="str">
        <f t="shared" si="340"/>
        <v/>
      </c>
      <c r="AT119" t="str">
        <f t="shared" si="341"/>
        <v/>
      </c>
      <c r="AU119" t="str">
        <f t="shared" si="342"/>
        <v/>
      </c>
      <c r="AV119" t="str">
        <f t="shared" si="343"/>
        <v/>
      </c>
      <c r="AW119" t="str">
        <f t="shared" si="344"/>
        <v xml:space="preserve">                              </v>
      </c>
      <c r="AX119" s="23">
        <f t="shared" si="345"/>
        <v>0</v>
      </c>
      <c r="AY119" s="49" t="str">
        <f t="shared" si="321"/>
        <v>000000000000000</v>
      </c>
      <c r="AZ119" s="23">
        <f t="shared" si="346"/>
        <v>0</v>
      </c>
      <c r="BA119" s="49" t="str">
        <f t="shared" si="321"/>
        <v>000000000000000</v>
      </c>
      <c r="BB119" s="23">
        <f t="shared" si="347"/>
        <v>0</v>
      </c>
      <c r="BC119" s="49" t="str">
        <f t="shared" ref="BC119" si="612">IF(BB119&lt;0,SUBSTITUTE(TEXT(BB119,"000000000000,00"),",",""),SUBSTITUTE(TEXT(BB119,"0000000000000,00"),",",""))</f>
        <v>000000000000000</v>
      </c>
      <c r="BD119" s="23">
        <f t="shared" si="349"/>
        <v>0</v>
      </c>
      <c r="BE119" s="49" t="str">
        <f t="shared" ref="BE119" si="613">IF(BD119&lt;0,SUBSTITUTE(TEXT(BD119,"000000000000,00"),",",""),SUBSTITUTE(TEXT(BD119,"0000000000000,00"),",",""))</f>
        <v>000000000000000</v>
      </c>
      <c r="BF119" s="23">
        <f t="shared" si="351"/>
        <v>0</v>
      </c>
      <c r="BG119" s="49" t="str">
        <f t="shared" ref="BG119" si="614">IF(BF119&lt;0,SUBSTITUTE(TEXT(BF119,"000000000000,00"),",",""),SUBSTITUTE(TEXT(BF119,"0000000000000,00"),",",""))</f>
        <v>000000000000000</v>
      </c>
      <c r="BH119" s="23">
        <f t="shared" si="353"/>
        <v>0</v>
      </c>
      <c r="BI119" s="49" t="str">
        <f t="shared" ref="BI119" si="615">IF(BH119&lt;0,SUBSTITUTE(TEXT(BH119,"000000000000,00"),",",""),SUBSTITUTE(TEXT(BH119,"0000000000000,00"),",",""))</f>
        <v>000000000000000</v>
      </c>
      <c r="BJ119" s="23">
        <f t="shared" si="355"/>
        <v>0</v>
      </c>
      <c r="BK119" s="49" t="str">
        <f t="shared" ref="BK119" si="616">IF(BJ119&lt;0,SUBSTITUTE(TEXT(BJ119,"000000000000,00"),",",""),SUBSTITUTE(TEXT(BJ119,"0000000000000,00"),",",""))</f>
        <v>000000000000000</v>
      </c>
      <c r="BL119" s="23">
        <f t="shared" si="357"/>
        <v>0</v>
      </c>
      <c r="BM119" s="49" t="str">
        <f t="shared" ref="BM119" si="617">IF(BL119&lt;0,SUBSTITUTE(TEXT(BL119,"000000000000,00"),",",""),SUBSTITUTE(TEXT(BL119,"0000000000000,00"),",",""))</f>
        <v>000000000000000</v>
      </c>
      <c r="BN119" t="str">
        <f t="shared" si="359"/>
        <v>PES</v>
      </c>
      <c r="BO119" t="str">
        <f t="shared" si="360"/>
        <v>0001000000</v>
      </c>
      <c r="BP119">
        <f t="shared" si="361"/>
        <v>0</v>
      </c>
      <c r="BQ119">
        <f t="shared" si="362"/>
        <v>0</v>
      </c>
      <c r="BR119" s="23">
        <f t="shared" si="363"/>
        <v>0</v>
      </c>
      <c r="BS119" s="49" t="str">
        <f t="shared" si="328"/>
        <v>000000000000000</v>
      </c>
      <c r="BT119" t="str">
        <f t="shared" si="364"/>
        <v>00000000</v>
      </c>
      <c r="BU119" s="23">
        <f t="shared" si="365"/>
        <v>0</v>
      </c>
      <c r="BV119" s="49" t="str">
        <f t="shared" si="329"/>
        <v/>
      </c>
      <c r="BW119" s="52" t="str">
        <f t="shared" si="366"/>
        <v/>
      </c>
      <c r="BX119" s="23">
        <f t="shared" si="367"/>
        <v>0</v>
      </c>
      <c r="BY119" s="49" t="str">
        <f t="shared" si="330"/>
        <v/>
      </c>
      <c r="BZ119" s="23">
        <f t="shared" si="368"/>
        <v>0</v>
      </c>
      <c r="CA119" s="49" t="str">
        <f t="shared" si="331"/>
        <v/>
      </c>
      <c r="CB119" s="52" t="str">
        <f t="shared" si="369"/>
        <v/>
      </c>
      <c r="CC119" s="23">
        <f t="shared" si="370"/>
        <v>0</v>
      </c>
      <c r="CD119" s="49" t="str">
        <f t="shared" si="332"/>
        <v/>
      </c>
      <c r="CE119" s="56" t="str">
        <f>IF(CF119="","",MAX(CE$10:$CE118)+1)</f>
        <v/>
      </c>
      <c r="CF119" t="str">
        <f t="shared" si="371"/>
        <v/>
      </c>
      <c r="CG119" s="22" t="str">
        <f>IF(CH119="","",MAX($CG$10:CG118)+1)</f>
        <v/>
      </c>
      <c r="CH119" s="22" t="str">
        <f t="shared" si="316"/>
        <v/>
      </c>
      <c r="CI119" s="22" t="str">
        <f>IF(CJ119="","",MAX($CI$10:CI118)+1)</f>
        <v/>
      </c>
      <c r="CJ119" s="22" t="str">
        <f t="shared" si="317"/>
        <v/>
      </c>
    </row>
    <row r="120" spans="2:88" x14ac:dyDescent="0.25">
      <c r="B120" s="37"/>
      <c r="C120" s="3"/>
      <c r="D120" s="77" t="str">
        <f t="shared" si="303"/>
        <v/>
      </c>
      <c r="E120" s="38"/>
      <c r="F120" s="38"/>
      <c r="G120" s="78">
        <f t="shared" si="318"/>
        <v>0</v>
      </c>
      <c r="H120" s="3">
        <v>80</v>
      </c>
      <c r="I120" s="77" t="str">
        <f t="shared" si="304"/>
        <v/>
      </c>
      <c r="J120" s="32"/>
      <c r="K120" s="3"/>
      <c r="L120" s="39"/>
      <c r="M120" s="39"/>
      <c r="N120" s="39"/>
      <c r="O120" s="39"/>
      <c r="P120" s="39"/>
      <c r="Q120" s="39"/>
      <c r="R120" s="39"/>
      <c r="S120" s="39"/>
      <c r="T120" s="3" t="s">
        <v>645</v>
      </c>
      <c r="U120" s="77" t="str">
        <f t="shared" si="305"/>
        <v/>
      </c>
      <c r="V120" s="39">
        <v>1</v>
      </c>
      <c r="W120" s="79">
        <f t="shared" si="319"/>
        <v>0</v>
      </c>
      <c r="X120" s="3">
        <v>0</v>
      </c>
      <c r="Y120" s="77" t="str">
        <f t="shared" si="306"/>
        <v/>
      </c>
      <c r="Z120" s="3"/>
      <c r="AA120" s="37" t="str">
        <f t="shared" si="320"/>
        <v/>
      </c>
      <c r="AC120" s="40"/>
      <c r="AD120" s="7"/>
      <c r="AE120" s="77" t="str">
        <f t="shared" si="307"/>
        <v/>
      </c>
      <c r="AF120" s="81">
        <f t="shared" si="333"/>
        <v>0</v>
      </c>
      <c r="AG120" s="40"/>
      <c r="AH120" s="7"/>
      <c r="AI120" s="77" t="str">
        <f t="shared" si="308"/>
        <v/>
      </c>
      <c r="AJ120" s="81">
        <f t="shared" si="334"/>
        <v>0</v>
      </c>
      <c r="AK120" s="83">
        <f t="shared" si="335"/>
        <v>0</v>
      </c>
      <c r="AL120" s="83">
        <f t="shared" si="336"/>
        <v>0</v>
      </c>
      <c r="AN120" s="43">
        <f t="shared" si="309"/>
        <v>0</v>
      </c>
      <c r="AP120" t="str">
        <f t="shared" si="337"/>
        <v/>
      </c>
      <c r="AQ120" t="str">
        <f t="shared" si="338"/>
        <v/>
      </c>
      <c r="AR120" t="str">
        <f t="shared" si="339"/>
        <v/>
      </c>
      <c r="AS120" t="str">
        <f t="shared" si="340"/>
        <v/>
      </c>
      <c r="AT120" t="str">
        <f t="shared" si="341"/>
        <v/>
      </c>
      <c r="AU120" t="str">
        <f t="shared" si="342"/>
        <v/>
      </c>
      <c r="AV120" t="str">
        <f t="shared" si="343"/>
        <v/>
      </c>
      <c r="AW120" t="str">
        <f t="shared" si="344"/>
        <v xml:space="preserve">                              </v>
      </c>
      <c r="AX120" s="23">
        <f t="shared" si="345"/>
        <v>0</v>
      </c>
      <c r="AY120" s="49" t="str">
        <f t="shared" si="321"/>
        <v>000000000000000</v>
      </c>
      <c r="AZ120" s="23">
        <f t="shared" si="346"/>
        <v>0</v>
      </c>
      <c r="BA120" s="49" t="str">
        <f t="shared" si="321"/>
        <v>000000000000000</v>
      </c>
      <c r="BB120" s="23">
        <f t="shared" si="347"/>
        <v>0</v>
      </c>
      <c r="BC120" s="49" t="str">
        <f t="shared" ref="BC120" si="618">IF(BB120&lt;0,SUBSTITUTE(TEXT(BB120,"000000000000,00"),",",""),SUBSTITUTE(TEXT(BB120,"0000000000000,00"),",",""))</f>
        <v>000000000000000</v>
      </c>
      <c r="BD120" s="23">
        <f t="shared" si="349"/>
        <v>0</v>
      </c>
      <c r="BE120" s="49" t="str">
        <f t="shared" ref="BE120" si="619">IF(BD120&lt;0,SUBSTITUTE(TEXT(BD120,"000000000000,00"),",",""),SUBSTITUTE(TEXT(BD120,"0000000000000,00"),",",""))</f>
        <v>000000000000000</v>
      </c>
      <c r="BF120" s="23">
        <f t="shared" si="351"/>
        <v>0</v>
      </c>
      <c r="BG120" s="49" t="str">
        <f t="shared" ref="BG120" si="620">IF(BF120&lt;0,SUBSTITUTE(TEXT(BF120,"000000000000,00"),",",""),SUBSTITUTE(TEXT(BF120,"0000000000000,00"),",",""))</f>
        <v>000000000000000</v>
      </c>
      <c r="BH120" s="23">
        <f t="shared" si="353"/>
        <v>0</v>
      </c>
      <c r="BI120" s="49" t="str">
        <f t="shared" ref="BI120" si="621">IF(BH120&lt;0,SUBSTITUTE(TEXT(BH120,"000000000000,00"),",",""),SUBSTITUTE(TEXT(BH120,"0000000000000,00"),",",""))</f>
        <v>000000000000000</v>
      </c>
      <c r="BJ120" s="23">
        <f t="shared" si="355"/>
        <v>0</v>
      </c>
      <c r="BK120" s="49" t="str">
        <f t="shared" ref="BK120" si="622">IF(BJ120&lt;0,SUBSTITUTE(TEXT(BJ120,"000000000000,00"),",",""),SUBSTITUTE(TEXT(BJ120,"0000000000000,00"),",",""))</f>
        <v>000000000000000</v>
      </c>
      <c r="BL120" s="23">
        <f t="shared" si="357"/>
        <v>0</v>
      </c>
      <c r="BM120" s="49" t="str">
        <f t="shared" ref="BM120" si="623">IF(BL120&lt;0,SUBSTITUTE(TEXT(BL120,"000000000000,00"),",",""),SUBSTITUTE(TEXT(BL120,"0000000000000,00"),",",""))</f>
        <v>000000000000000</v>
      </c>
      <c r="BN120" t="str">
        <f t="shared" si="359"/>
        <v>PES</v>
      </c>
      <c r="BO120" t="str">
        <f t="shared" si="360"/>
        <v>0001000000</v>
      </c>
      <c r="BP120">
        <f t="shared" si="361"/>
        <v>0</v>
      </c>
      <c r="BQ120">
        <f t="shared" si="362"/>
        <v>0</v>
      </c>
      <c r="BR120" s="23">
        <f t="shared" si="363"/>
        <v>0</v>
      </c>
      <c r="BS120" s="49" t="str">
        <f t="shared" si="328"/>
        <v>000000000000000</v>
      </c>
      <c r="BT120" t="str">
        <f t="shared" si="364"/>
        <v>00000000</v>
      </c>
      <c r="BU120" s="23">
        <f t="shared" si="365"/>
        <v>0</v>
      </c>
      <c r="BV120" s="49" t="str">
        <f t="shared" si="329"/>
        <v/>
      </c>
      <c r="BW120" s="52" t="str">
        <f t="shared" si="366"/>
        <v/>
      </c>
      <c r="BX120" s="23">
        <f t="shared" si="367"/>
        <v>0</v>
      </c>
      <c r="BY120" s="49" t="str">
        <f t="shared" si="330"/>
        <v/>
      </c>
      <c r="BZ120" s="23">
        <f t="shared" si="368"/>
        <v>0</v>
      </c>
      <c r="CA120" s="49" t="str">
        <f t="shared" si="331"/>
        <v/>
      </c>
      <c r="CB120" s="52" t="str">
        <f t="shared" si="369"/>
        <v/>
      </c>
      <c r="CC120" s="23">
        <f t="shared" si="370"/>
        <v>0</v>
      </c>
      <c r="CD120" s="49" t="str">
        <f t="shared" si="332"/>
        <v/>
      </c>
      <c r="CE120" s="56" t="str">
        <f>IF(CF120="","",MAX(CE$10:$CE119)+1)</f>
        <v/>
      </c>
      <c r="CF120" t="str">
        <f t="shared" si="371"/>
        <v/>
      </c>
      <c r="CG120" s="22" t="str">
        <f>IF(CH120="","",MAX($CG$10:CG119)+1)</f>
        <v/>
      </c>
      <c r="CH120" s="22" t="str">
        <f t="shared" si="316"/>
        <v/>
      </c>
      <c r="CI120" s="22" t="str">
        <f>IF(CJ120="","",MAX($CI$10:CI119)+1)</f>
        <v/>
      </c>
      <c r="CJ120" s="22" t="str">
        <f t="shared" si="317"/>
        <v/>
      </c>
    </row>
    <row r="121" spans="2:88" x14ac:dyDescent="0.25">
      <c r="B121" s="37"/>
      <c r="C121" s="3"/>
      <c r="D121" s="77" t="str">
        <f t="shared" si="303"/>
        <v/>
      </c>
      <c r="E121" s="38"/>
      <c r="F121" s="38"/>
      <c r="G121" s="78">
        <f t="shared" si="318"/>
        <v>0</v>
      </c>
      <c r="H121" s="3">
        <v>80</v>
      </c>
      <c r="I121" s="77" t="str">
        <f t="shared" si="304"/>
        <v/>
      </c>
      <c r="J121" s="32"/>
      <c r="K121" s="3"/>
      <c r="L121" s="39"/>
      <c r="M121" s="39"/>
      <c r="N121" s="39"/>
      <c r="O121" s="39"/>
      <c r="P121" s="39"/>
      <c r="Q121" s="39"/>
      <c r="R121" s="39"/>
      <c r="S121" s="39"/>
      <c r="T121" s="3" t="s">
        <v>645</v>
      </c>
      <c r="U121" s="77" t="str">
        <f t="shared" si="305"/>
        <v/>
      </c>
      <c r="V121" s="39">
        <v>1</v>
      </c>
      <c r="W121" s="79">
        <f t="shared" si="319"/>
        <v>0</v>
      </c>
      <c r="X121" s="3">
        <v>0</v>
      </c>
      <c r="Y121" s="77" t="str">
        <f t="shared" si="306"/>
        <v/>
      </c>
      <c r="Z121" s="3"/>
      <c r="AA121" s="37" t="str">
        <f t="shared" si="320"/>
        <v/>
      </c>
      <c r="AC121" s="40"/>
      <c r="AD121" s="7"/>
      <c r="AE121" s="77" t="str">
        <f t="shared" si="307"/>
        <v/>
      </c>
      <c r="AF121" s="81">
        <f t="shared" si="333"/>
        <v>0</v>
      </c>
      <c r="AG121" s="40"/>
      <c r="AH121" s="7"/>
      <c r="AI121" s="77" t="str">
        <f t="shared" si="308"/>
        <v/>
      </c>
      <c r="AJ121" s="81">
        <f t="shared" si="334"/>
        <v>0</v>
      </c>
      <c r="AK121" s="83">
        <f t="shared" si="335"/>
        <v>0</v>
      </c>
      <c r="AL121" s="83">
        <f t="shared" si="336"/>
        <v>0</v>
      </c>
      <c r="AN121" s="43">
        <f t="shared" si="309"/>
        <v>0</v>
      </c>
      <c r="AP121" t="str">
        <f t="shared" si="337"/>
        <v/>
      </c>
      <c r="AQ121" t="str">
        <f t="shared" si="338"/>
        <v/>
      </c>
      <c r="AR121" t="str">
        <f t="shared" si="339"/>
        <v/>
      </c>
      <c r="AS121" t="str">
        <f t="shared" si="340"/>
        <v/>
      </c>
      <c r="AT121" t="str">
        <f t="shared" si="341"/>
        <v/>
      </c>
      <c r="AU121" t="str">
        <f t="shared" si="342"/>
        <v/>
      </c>
      <c r="AV121" t="str">
        <f t="shared" si="343"/>
        <v/>
      </c>
      <c r="AW121" t="str">
        <f t="shared" si="344"/>
        <v xml:space="preserve">                              </v>
      </c>
      <c r="AX121" s="23">
        <f t="shared" si="345"/>
        <v>0</v>
      </c>
      <c r="AY121" s="49" t="str">
        <f t="shared" si="321"/>
        <v>000000000000000</v>
      </c>
      <c r="AZ121" s="23">
        <f t="shared" si="346"/>
        <v>0</v>
      </c>
      <c r="BA121" s="49" t="str">
        <f t="shared" si="321"/>
        <v>000000000000000</v>
      </c>
      <c r="BB121" s="23">
        <f t="shared" si="347"/>
        <v>0</v>
      </c>
      <c r="BC121" s="49" t="str">
        <f t="shared" ref="BC121" si="624">IF(BB121&lt;0,SUBSTITUTE(TEXT(BB121,"000000000000,00"),",",""),SUBSTITUTE(TEXT(BB121,"0000000000000,00"),",",""))</f>
        <v>000000000000000</v>
      </c>
      <c r="BD121" s="23">
        <f t="shared" si="349"/>
        <v>0</v>
      </c>
      <c r="BE121" s="49" t="str">
        <f t="shared" ref="BE121" si="625">IF(BD121&lt;0,SUBSTITUTE(TEXT(BD121,"000000000000,00"),",",""),SUBSTITUTE(TEXT(BD121,"0000000000000,00"),",",""))</f>
        <v>000000000000000</v>
      </c>
      <c r="BF121" s="23">
        <f t="shared" si="351"/>
        <v>0</v>
      </c>
      <c r="BG121" s="49" t="str">
        <f t="shared" ref="BG121" si="626">IF(BF121&lt;0,SUBSTITUTE(TEXT(BF121,"000000000000,00"),",",""),SUBSTITUTE(TEXT(BF121,"0000000000000,00"),",",""))</f>
        <v>000000000000000</v>
      </c>
      <c r="BH121" s="23">
        <f t="shared" si="353"/>
        <v>0</v>
      </c>
      <c r="BI121" s="49" t="str">
        <f t="shared" ref="BI121" si="627">IF(BH121&lt;0,SUBSTITUTE(TEXT(BH121,"000000000000,00"),",",""),SUBSTITUTE(TEXT(BH121,"0000000000000,00"),",",""))</f>
        <v>000000000000000</v>
      </c>
      <c r="BJ121" s="23">
        <f t="shared" si="355"/>
        <v>0</v>
      </c>
      <c r="BK121" s="49" t="str">
        <f t="shared" ref="BK121" si="628">IF(BJ121&lt;0,SUBSTITUTE(TEXT(BJ121,"000000000000,00"),",",""),SUBSTITUTE(TEXT(BJ121,"0000000000000,00"),",",""))</f>
        <v>000000000000000</v>
      </c>
      <c r="BL121" s="23">
        <f t="shared" si="357"/>
        <v>0</v>
      </c>
      <c r="BM121" s="49" t="str">
        <f t="shared" ref="BM121" si="629">IF(BL121&lt;0,SUBSTITUTE(TEXT(BL121,"000000000000,00"),",",""),SUBSTITUTE(TEXT(BL121,"0000000000000,00"),",",""))</f>
        <v>000000000000000</v>
      </c>
      <c r="BN121" t="str">
        <f t="shared" si="359"/>
        <v>PES</v>
      </c>
      <c r="BO121" t="str">
        <f t="shared" si="360"/>
        <v>0001000000</v>
      </c>
      <c r="BP121">
        <f t="shared" si="361"/>
        <v>0</v>
      </c>
      <c r="BQ121">
        <f t="shared" si="362"/>
        <v>0</v>
      </c>
      <c r="BR121" s="23">
        <f t="shared" si="363"/>
        <v>0</v>
      </c>
      <c r="BS121" s="49" t="str">
        <f t="shared" si="328"/>
        <v>000000000000000</v>
      </c>
      <c r="BT121" t="str">
        <f t="shared" si="364"/>
        <v>00000000</v>
      </c>
      <c r="BU121" s="23">
        <f t="shared" si="365"/>
        <v>0</v>
      </c>
      <c r="BV121" s="49" t="str">
        <f t="shared" si="329"/>
        <v/>
      </c>
      <c r="BW121" s="52" t="str">
        <f t="shared" si="366"/>
        <v/>
      </c>
      <c r="BX121" s="23">
        <f t="shared" si="367"/>
        <v>0</v>
      </c>
      <c r="BY121" s="49" t="str">
        <f t="shared" si="330"/>
        <v/>
      </c>
      <c r="BZ121" s="23">
        <f t="shared" si="368"/>
        <v>0</v>
      </c>
      <c r="CA121" s="49" t="str">
        <f t="shared" si="331"/>
        <v/>
      </c>
      <c r="CB121" s="52" t="str">
        <f t="shared" si="369"/>
        <v/>
      </c>
      <c r="CC121" s="23">
        <f t="shared" si="370"/>
        <v>0</v>
      </c>
      <c r="CD121" s="49" t="str">
        <f t="shared" si="332"/>
        <v/>
      </c>
      <c r="CE121" s="56" t="str">
        <f>IF(CF121="","",MAX(CE$10:$CE120)+1)</f>
        <v/>
      </c>
      <c r="CF121" t="str">
        <f t="shared" si="371"/>
        <v/>
      </c>
      <c r="CG121" s="22" t="str">
        <f>IF(CH121="","",MAX($CG$10:CG120)+1)</f>
        <v/>
      </c>
      <c r="CH121" s="22" t="str">
        <f t="shared" si="316"/>
        <v/>
      </c>
      <c r="CI121" s="22" t="str">
        <f>IF(CJ121="","",MAX($CI$10:CI120)+1)</f>
        <v/>
      </c>
      <c r="CJ121" s="22" t="str">
        <f t="shared" si="317"/>
        <v/>
      </c>
    </row>
    <row r="122" spans="2:88" x14ac:dyDescent="0.25">
      <c r="B122" s="37"/>
      <c r="C122" s="3"/>
      <c r="D122" s="77" t="str">
        <f t="shared" si="303"/>
        <v/>
      </c>
      <c r="E122" s="38"/>
      <c r="F122" s="38"/>
      <c r="G122" s="78">
        <f t="shared" si="318"/>
        <v>0</v>
      </c>
      <c r="H122" s="3">
        <v>80</v>
      </c>
      <c r="I122" s="77" t="str">
        <f t="shared" si="304"/>
        <v/>
      </c>
      <c r="J122" s="32"/>
      <c r="K122" s="3"/>
      <c r="L122" s="39"/>
      <c r="M122" s="39"/>
      <c r="N122" s="39"/>
      <c r="O122" s="39"/>
      <c r="P122" s="39"/>
      <c r="Q122" s="39"/>
      <c r="R122" s="39"/>
      <c r="S122" s="39"/>
      <c r="T122" s="3" t="s">
        <v>645</v>
      </c>
      <c r="U122" s="77" t="str">
        <f t="shared" si="305"/>
        <v/>
      </c>
      <c r="V122" s="39">
        <v>1</v>
      </c>
      <c r="W122" s="79">
        <f t="shared" si="319"/>
        <v>0</v>
      </c>
      <c r="X122" s="3">
        <v>0</v>
      </c>
      <c r="Y122" s="77" t="str">
        <f t="shared" si="306"/>
        <v/>
      </c>
      <c r="Z122" s="3"/>
      <c r="AA122" s="37" t="str">
        <f t="shared" si="320"/>
        <v/>
      </c>
      <c r="AC122" s="40"/>
      <c r="AD122" s="7"/>
      <c r="AE122" s="77" t="str">
        <f t="shared" si="307"/>
        <v/>
      </c>
      <c r="AF122" s="81">
        <f t="shared" si="333"/>
        <v>0</v>
      </c>
      <c r="AG122" s="40"/>
      <c r="AH122" s="7"/>
      <c r="AI122" s="77" t="str">
        <f t="shared" si="308"/>
        <v/>
      </c>
      <c r="AJ122" s="81">
        <f t="shared" si="334"/>
        <v>0</v>
      </c>
      <c r="AK122" s="83">
        <f t="shared" si="335"/>
        <v>0</v>
      </c>
      <c r="AL122" s="83">
        <f t="shared" si="336"/>
        <v>0</v>
      </c>
      <c r="AN122" s="43">
        <f t="shared" si="309"/>
        <v>0</v>
      </c>
      <c r="AP122" t="str">
        <f t="shared" si="337"/>
        <v/>
      </c>
      <c r="AQ122" t="str">
        <f t="shared" si="338"/>
        <v/>
      </c>
      <c r="AR122" t="str">
        <f t="shared" si="339"/>
        <v/>
      </c>
      <c r="AS122" t="str">
        <f t="shared" si="340"/>
        <v/>
      </c>
      <c r="AT122" t="str">
        <f t="shared" si="341"/>
        <v/>
      </c>
      <c r="AU122" t="str">
        <f t="shared" si="342"/>
        <v/>
      </c>
      <c r="AV122" t="str">
        <f t="shared" si="343"/>
        <v/>
      </c>
      <c r="AW122" t="str">
        <f t="shared" si="344"/>
        <v xml:space="preserve">                              </v>
      </c>
      <c r="AX122" s="23">
        <f t="shared" si="345"/>
        <v>0</v>
      </c>
      <c r="AY122" s="49" t="str">
        <f t="shared" si="321"/>
        <v>000000000000000</v>
      </c>
      <c r="AZ122" s="23">
        <f t="shared" si="346"/>
        <v>0</v>
      </c>
      <c r="BA122" s="49" t="str">
        <f t="shared" si="321"/>
        <v>000000000000000</v>
      </c>
      <c r="BB122" s="23">
        <f t="shared" si="347"/>
        <v>0</v>
      </c>
      <c r="BC122" s="49" t="str">
        <f t="shared" ref="BC122" si="630">IF(BB122&lt;0,SUBSTITUTE(TEXT(BB122,"000000000000,00"),",",""),SUBSTITUTE(TEXT(BB122,"0000000000000,00"),",",""))</f>
        <v>000000000000000</v>
      </c>
      <c r="BD122" s="23">
        <f t="shared" si="349"/>
        <v>0</v>
      </c>
      <c r="BE122" s="49" t="str">
        <f t="shared" ref="BE122" si="631">IF(BD122&lt;0,SUBSTITUTE(TEXT(BD122,"000000000000,00"),",",""),SUBSTITUTE(TEXT(BD122,"0000000000000,00"),",",""))</f>
        <v>000000000000000</v>
      </c>
      <c r="BF122" s="23">
        <f t="shared" si="351"/>
        <v>0</v>
      </c>
      <c r="BG122" s="49" t="str">
        <f t="shared" ref="BG122" si="632">IF(BF122&lt;0,SUBSTITUTE(TEXT(BF122,"000000000000,00"),",",""),SUBSTITUTE(TEXT(BF122,"0000000000000,00"),",",""))</f>
        <v>000000000000000</v>
      </c>
      <c r="BH122" s="23">
        <f t="shared" si="353"/>
        <v>0</v>
      </c>
      <c r="BI122" s="49" t="str">
        <f t="shared" ref="BI122" si="633">IF(BH122&lt;0,SUBSTITUTE(TEXT(BH122,"000000000000,00"),",",""),SUBSTITUTE(TEXT(BH122,"0000000000000,00"),",",""))</f>
        <v>000000000000000</v>
      </c>
      <c r="BJ122" s="23">
        <f t="shared" si="355"/>
        <v>0</v>
      </c>
      <c r="BK122" s="49" t="str">
        <f t="shared" ref="BK122" si="634">IF(BJ122&lt;0,SUBSTITUTE(TEXT(BJ122,"000000000000,00"),",",""),SUBSTITUTE(TEXT(BJ122,"0000000000000,00"),",",""))</f>
        <v>000000000000000</v>
      </c>
      <c r="BL122" s="23">
        <f t="shared" si="357"/>
        <v>0</v>
      </c>
      <c r="BM122" s="49" t="str">
        <f t="shared" ref="BM122" si="635">IF(BL122&lt;0,SUBSTITUTE(TEXT(BL122,"000000000000,00"),",",""),SUBSTITUTE(TEXT(BL122,"0000000000000,00"),",",""))</f>
        <v>000000000000000</v>
      </c>
      <c r="BN122" t="str">
        <f t="shared" si="359"/>
        <v>PES</v>
      </c>
      <c r="BO122" t="str">
        <f t="shared" si="360"/>
        <v>0001000000</v>
      </c>
      <c r="BP122">
        <f t="shared" si="361"/>
        <v>0</v>
      </c>
      <c r="BQ122">
        <f t="shared" si="362"/>
        <v>0</v>
      </c>
      <c r="BR122" s="23">
        <f t="shared" si="363"/>
        <v>0</v>
      </c>
      <c r="BS122" s="49" t="str">
        <f t="shared" si="328"/>
        <v>000000000000000</v>
      </c>
      <c r="BT122" t="str">
        <f t="shared" si="364"/>
        <v>00000000</v>
      </c>
      <c r="BU122" s="23">
        <f t="shared" si="365"/>
        <v>0</v>
      </c>
      <c r="BV122" s="49" t="str">
        <f t="shared" si="329"/>
        <v/>
      </c>
      <c r="BW122" s="52" t="str">
        <f t="shared" si="366"/>
        <v/>
      </c>
      <c r="BX122" s="23">
        <f t="shared" si="367"/>
        <v>0</v>
      </c>
      <c r="BY122" s="49" t="str">
        <f t="shared" si="330"/>
        <v/>
      </c>
      <c r="BZ122" s="23">
        <f t="shared" si="368"/>
        <v>0</v>
      </c>
      <c r="CA122" s="49" t="str">
        <f t="shared" si="331"/>
        <v/>
      </c>
      <c r="CB122" s="52" t="str">
        <f t="shared" si="369"/>
        <v/>
      </c>
      <c r="CC122" s="23">
        <f t="shared" si="370"/>
        <v>0</v>
      </c>
      <c r="CD122" s="49" t="str">
        <f t="shared" si="332"/>
        <v/>
      </c>
      <c r="CE122" s="56" t="str">
        <f>IF(CF122="","",MAX(CE$10:$CE121)+1)</f>
        <v/>
      </c>
      <c r="CF122" t="str">
        <f t="shared" si="371"/>
        <v/>
      </c>
      <c r="CG122" s="22" t="str">
        <f>IF(CH122="","",MAX($CG$10:CG121)+1)</f>
        <v/>
      </c>
      <c r="CH122" s="22" t="str">
        <f t="shared" si="316"/>
        <v/>
      </c>
      <c r="CI122" s="22" t="str">
        <f>IF(CJ122="","",MAX($CI$10:CI121)+1)</f>
        <v/>
      </c>
      <c r="CJ122" s="22" t="str">
        <f t="shared" si="317"/>
        <v/>
      </c>
    </row>
    <row r="123" spans="2:88" x14ac:dyDescent="0.25">
      <c r="B123" s="37"/>
      <c r="C123" s="3"/>
      <c r="D123" s="77" t="str">
        <f t="shared" si="303"/>
        <v/>
      </c>
      <c r="E123" s="38"/>
      <c r="F123" s="38"/>
      <c r="G123" s="78">
        <f t="shared" si="318"/>
        <v>0</v>
      </c>
      <c r="H123" s="3">
        <v>80</v>
      </c>
      <c r="I123" s="77" t="str">
        <f t="shared" si="304"/>
        <v/>
      </c>
      <c r="J123" s="32"/>
      <c r="K123" s="3"/>
      <c r="L123" s="39"/>
      <c r="M123" s="39"/>
      <c r="N123" s="39"/>
      <c r="O123" s="39"/>
      <c r="P123" s="39"/>
      <c r="Q123" s="39"/>
      <c r="R123" s="39"/>
      <c r="S123" s="39"/>
      <c r="T123" s="3" t="s">
        <v>645</v>
      </c>
      <c r="U123" s="77" t="str">
        <f t="shared" si="305"/>
        <v/>
      </c>
      <c r="V123" s="39">
        <v>1</v>
      </c>
      <c r="W123" s="79">
        <f t="shared" si="319"/>
        <v>0</v>
      </c>
      <c r="X123" s="3">
        <v>0</v>
      </c>
      <c r="Y123" s="77" t="str">
        <f t="shared" si="306"/>
        <v/>
      </c>
      <c r="Z123" s="3"/>
      <c r="AA123" s="37" t="str">
        <f t="shared" si="320"/>
        <v/>
      </c>
      <c r="AC123" s="40"/>
      <c r="AD123" s="7"/>
      <c r="AE123" s="77" t="str">
        <f t="shared" si="307"/>
        <v/>
      </c>
      <c r="AF123" s="81">
        <f t="shared" si="333"/>
        <v>0</v>
      </c>
      <c r="AG123" s="40"/>
      <c r="AH123" s="7"/>
      <c r="AI123" s="77" t="str">
        <f t="shared" si="308"/>
        <v/>
      </c>
      <c r="AJ123" s="81">
        <f t="shared" si="334"/>
        <v>0</v>
      </c>
      <c r="AK123" s="83">
        <f t="shared" si="335"/>
        <v>0</v>
      </c>
      <c r="AL123" s="83">
        <f t="shared" si="336"/>
        <v>0</v>
      </c>
      <c r="AN123" s="43">
        <f t="shared" si="309"/>
        <v>0</v>
      </c>
      <c r="AP123" t="str">
        <f t="shared" si="337"/>
        <v/>
      </c>
      <c r="AQ123" t="str">
        <f t="shared" si="338"/>
        <v/>
      </c>
      <c r="AR123" t="str">
        <f t="shared" si="339"/>
        <v/>
      </c>
      <c r="AS123" t="str">
        <f t="shared" si="340"/>
        <v/>
      </c>
      <c r="AT123" t="str">
        <f t="shared" si="341"/>
        <v/>
      </c>
      <c r="AU123" t="str">
        <f t="shared" si="342"/>
        <v/>
      </c>
      <c r="AV123" t="str">
        <f t="shared" si="343"/>
        <v/>
      </c>
      <c r="AW123" t="str">
        <f t="shared" si="344"/>
        <v xml:space="preserve">                              </v>
      </c>
      <c r="AX123" s="23">
        <f t="shared" si="345"/>
        <v>0</v>
      </c>
      <c r="AY123" s="49" t="str">
        <f t="shared" si="321"/>
        <v>000000000000000</v>
      </c>
      <c r="AZ123" s="23">
        <f t="shared" si="346"/>
        <v>0</v>
      </c>
      <c r="BA123" s="49" t="str">
        <f t="shared" si="321"/>
        <v>000000000000000</v>
      </c>
      <c r="BB123" s="23">
        <f t="shared" si="347"/>
        <v>0</v>
      </c>
      <c r="BC123" s="49" t="str">
        <f t="shared" ref="BC123" si="636">IF(BB123&lt;0,SUBSTITUTE(TEXT(BB123,"000000000000,00"),",",""),SUBSTITUTE(TEXT(BB123,"0000000000000,00"),",",""))</f>
        <v>000000000000000</v>
      </c>
      <c r="BD123" s="23">
        <f t="shared" si="349"/>
        <v>0</v>
      </c>
      <c r="BE123" s="49" t="str">
        <f t="shared" ref="BE123" si="637">IF(BD123&lt;0,SUBSTITUTE(TEXT(BD123,"000000000000,00"),",",""),SUBSTITUTE(TEXT(BD123,"0000000000000,00"),",",""))</f>
        <v>000000000000000</v>
      </c>
      <c r="BF123" s="23">
        <f t="shared" si="351"/>
        <v>0</v>
      </c>
      <c r="BG123" s="49" t="str">
        <f t="shared" ref="BG123" si="638">IF(BF123&lt;0,SUBSTITUTE(TEXT(BF123,"000000000000,00"),",",""),SUBSTITUTE(TEXT(BF123,"0000000000000,00"),",",""))</f>
        <v>000000000000000</v>
      </c>
      <c r="BH123" s="23">
        <f t="shared" si="353"/>
        <v>0</v>
      </c>
      <c r="BI123" s="49" t="str">
        <f t="shared" ref="BI123" si="639">IF(BH123&lt;0,SUBSTITUTE(TEXT(BH123,"000000000000,00"),",",""),SUBSTITUTE(TEXT(BH123,"0000000000000,00"),",",""))</f>
        <v>000000000000000</v>
      </c>
      <c r="BJ123" s="23">
        <f t="shared" si="355"/>
        <v>0</v>
      </c>
      <c r="BK123" s="49" t="str">
        <f t="shared" ref="BK123" si="640">IF(BJ123&lt;0,SUBSTITUTE(TEXT(BJ123,"000000000000,00"),",",""),SUBSTITUTE(TEXT(BJ123,"0000000000000,00"),",",""))</f>
        <v>000000000000000</v>
      </c>
      <c r="BL123" s="23">
        <f t="shared" si="357"/>
        <v>0</v>
      </c>
      <c r="BM123" s="49" t="str">
        <f t="shared" ref="BM123" si="641">IF(BL123&lt;0,SUBSTITUTE(TEXT(BL123,"000000000000,00"),",",""),SUBSTITUTE(TEXT(BL123,"0000000000000,00"),",",""))</f>
        <v>000000000000000</v>
      </c>
      <c r="BN123" t="str">
        <f t="shared" si="359"/>
        <v>PES</v>
      </c>
      <c r="BO123" t="str">
        <f t="shared" si="360"/>
        <v>0001000000</v>
      </c>
      <c r="BP123">
        <f t="shared" si="361"/>
        <v>0</v>
      </c>
      <c r="BQ123">
        <f t="shared" si="362"/>
        <v>0</v>
      </c>
      <c r="BR123" s="23">
        <f t="shared" si="363"/>
        <v>0</v>
      </c>
      <c r="BS123" s="49" t="str">
        <f t="shared" si="328"/>
        <v>000000000000000</v>
      </c>
      <c r="BT123" t="str">
        <f t="shared" si="364"/>
        <v>00000000</v>
      </c>
      <c r="BU123" s="23">
        <f t="shared" si="365"/>
        <v>0</v>
      </c>
      <c r="BV123" s="49" t="str">
        <f t="shared" si="329"/>
        <v/>
      </c>
      <c r="BW123" s="52" t="str">
        <f t="shared" si="366"/>
        <v/>
      </c>
      <c r="BX123" s="23">
        <f t="shared" si="367"/>
        <v>0</v>
      </c>
      <c r="BY123" s="49" t="str">
        <f t="shared" si="330"/>
        <v/>
      </c>
      <c r="BZ123" s="23">
        <f t="shared" si="368"/>
        <v>0</v>
      </c>
      <c r="CA123" s="49" t="str">
        <f t="shared" si="331"/>
        <v/>
      </c>
      <c r="CB123" s="52" t="str">
        <f t="shared" si="369"/>
        <v/>
      </c>
      <c r="CC123" s="23">
        <f t="shared" si="370"/>
        <v>0</v>
      </c>
      <c r="CD123" s="49" t="str">
        <f t="shared" si="332"/>
        <v/>
      </c>
      <c r="CE123" s="56" t="str">
        <f>IF(CF123="","",MAX(CE$10:$CE122)+1)</f>
        <v/>
      </c>
      <c r="CF123" t="str">
        <f t="shared" si="371"/>
        <v/>
      </c>
      <c r="CG123" s="22" t="str">
        <f>IF(CH123="","",MAX($CG$10:CG122)+1)</f>
        <v/>
      </c>
      <c r="CH123" s="22" t="str">
        <f t="shared" si="316"/>
        <v/>
      </c>
      <c r="CI123" s="22" t="str">
        <f>IF(CJ123="","",MAX($CI$10:CI122)+1)</f>
        <v/>
      </c>
      <c r="CJ123" s="22" t="str">
        <f t="shared" si="317"/>
        <v/>
      </c>
    </row>
    <row r="124" spans="2:88" x14ac:dyDescent="0.25">
      <c r="B124" s="37"/>
      <c r="C124" s="3"/>
      <c r="D124" s="77" t="str">
        <f t="shared" si="303"/>
        <v/>
      </c>
      <c r="E124" s="38"/>
      <c r="F124" s="38"/>
      <c r="G124" s="78">
        <f t="shared" si="318"/>
        <v>0</v>
      </c>
      <c r="H124" s="3">
        <v>80</v>
      </c>
      <c r="I124" s="77" t="str">
        <f t="shared" si="304"/>
        <v/>
      </c>
      <c r="J124" s="32"/>
      <c r="K124" s="3"/>
      <c r="L124" s="39"/>
      <c r="M124" s="39"/>
      <c r="N124" s="39"/>
      <c r="O124" s="39"/>
      <c r="P124" s="39"/>
      <c r="Q124" s="39"/>
      <c r="R124" s="39"/>
      <c r="S124" s="39"/>
      <c r="T124" s="3" t="s">
        <v>645</v>
      </c>
      <c r="U124" s="77" t="str">
        <f t="shared" si="305"/>
        <v/>
      </c>
      <c r="V124" s="39">
        <v>1</v>
      </c>
      <c r="W124" s="79">
        <f t="shared" si="319"/>
        <v>0</v>
      </c>
      <c r="X124" s="3">
        <v>0</v>
      </c>
      <c r="Y124" s="77" t="str">
        <f t="shared" si="306"/>
        <v/>
      </c>
      <c r="Z124" s="3"/>
      <c r="AA124" s="37" t="str">
        <f t="shared" si="320"/>
        <v/>
      </c>
      <c r="AC124" s="40"/>
      <c r="AD124" s="7"/>
      <c r="AE124" s="77" t="str">
        <f t="shared" si="307"/>
        <v/>
      </c>
      <c r="AF124" s="81">
        <f t="shared" si="333"/>
        <v>0</v>
      </c>
      <c r="AG124" s="40"/>
      <c r="AH124" s="7"/>
      <c r="AI124" s="77" t="str">
        <f t="shared" si="308"/>
        <v/>
      </c>
      <c r="AJ124" s="81">
        <f t="shared" si="334"/>
        <v>0</v>
      </c>
      <c r="AK124" s="83">
        <f t="shared" si="335"/>
        <v>0</v>
      </c>
      <c r="AL124" s="83">
        <f t="shared" si="336"/>
        <v>0</v>
      </c>
      <c r="AN124" s="43">
        <f t="shared" si="309"/>
        <v>0</v>
      </c>
      <c r="AP124" t="str">
        <f t="shared" si="337"/>
        <v/>
      </c>
      <c r="AQ124" t="str">
        <f t="shared" si="338"/>
        <v/>
      </c>
      <c r="AR124" t="str">
        <f t="shared" si="339"/>
        <v/>
      </c>
      <c r="AS124" t="str">
        <f t="shared" si="340"/>
        <v/>
      </c>
      <c r="AT124" t="str">
        <f t="shared" si="341"/>
        <v/>
      </c>
      <c r="AU124" t="str">
        <f t="shared" si="342"/>
        <v/>
      </c>
      <c r="AV124" t="str">
        <f t="shared" si="343"/>
        <v/>
      </c>
      <c r="AW124" t="str">
        <f t="shared" si="344"/>
        <v xml:space="preserve">                              </v>
      </c>
      <c r="AX124" s="23">
        <f t="shared" si="345"/>
        <v>0</v>
      </c>
      <c r="AY124" s="49" t="str">
        <f t="shared" si="321"/>
        <v>000000000000000</v>
      </c>
      <c r="AZ124" s="23">
        <f t="shared" si="346"/>
        <v>0</v>
      </c>
      <c r="BA124" s="49" t="str">
        <f t="shared" si="321"/>
        <v>000000000000000</v>
      </c>
      <c r="BB124" s="23">
        <f t="shared" si="347"/>
        <v>0</v>
      </c>
      <c r="BC124" s="49" t="str">
        <f t="shared" ref="BC124" si="642">IF(BB124&lt;0,SUBSTITUTE(TEXT(BB124,"000000000000,00"),",",""),SUBSTITUTE(TEXT(BB124,"0000000000000,00"),",",""))</f>
        <v>000000000000000</v>
      </c>
      <c r="BD124" s="23">
        <f t="shared" si="349"/>
        <v>0</v>
      </c>
      <c r="BE124" s="49" t="str">
        <f t="shared" ref="BE124" si="643">IF(BD124&lt;0,SUBSTITUTE(TEXT(BD124,"000000000000,00"),",",""),SUBSTITUTE(TEXT(BD124,"0000000000000,00"),",",""))</f>
        <v>000000000000000</v>
      </c>
      <c r="BF124" s="23">
        <f t="shared" si="351"/>
        <v>0</v>
      </c>
      <c r="BG124" s="49" t="str">
        <f t="shared" ref="BG124" si="644">IF(BF124&lt;0,SUBSTITUTE(TEXT(BF124,"000000000000,00"),",",""),SUBSTITUTE(TEXT(BF124,"0000000000000,00"),",",""))</f>
        <v>000000000000000</v>
      </c>
      <c r="BH124" s="23">
        <f t="shared" si="353"/>
        <v>0</v>
      </c>
      <c r="BI124" s="49" t="str">
        <f t="shared" ref="BI124" si="645">IF(BH124&lt;0,SUBSTITUTE(TEXT(BH124,"000000000000,00"),",",""),SUBSTITUTE(TEXT(BH124,"0000000000000,00"),",",""))</f>
        <v>000000000000000</v>
      </c>
      <c r="BJ124" s="23">
        <f t="shared" si="355"/>
        <v>0</v>
      </c>
      <c r="BK124" s="49" t="str">
        <f t="shared" ref="BK124" si="646">IF(BJ124&lt;0,SUBSTITUTE(TEXT(BJ124,"000000000000,00"),",",""),SUBSTITUTE(TEXT(BJ124,"0000000000000,00"),",",""))</f>
        <v>000000000000000</v>
      </c>
      <c r="BL124" s="23">
        <f t="shared" si="357"/>
        <v>0</v>
      </c>
      <c r="BM124" s="49" t="str">
        <f t="shared" ref="BM124" si="647">IF(BL124&lt;0,SUBSTITUTE(TEXT(BL124,"000000000000,00"),",",""),SUBSTITUTE(TEXT(BL124,"0000000000000,00"),",",""))</f>
        <v>000000000000000</v>
      </c>
      <c r="BN124" t="str">
        <f t="shared" si="359"/>
        <v>PES</v>
      </c>
      <c r="BO124" t="str">
        <f t="shared" si="360"/>
        <v>0001000000</v>
      </c>
      <c r="BP124">
        <f t="shared" si="361"/>
        <v>0</v>
      </c>
      <c r="BQ124">
        <f t="shared" si="362"/>
        <v>0</v>
      </c>
      <c r="BR124" s="23">
        <f t="shared" si="363"/>
        <v>0</v>
      </c>
      <c r="BS124" s="49" t="str">
        <f t="shared" si="328"/>
        <v>000000000000000</v>
      </c>
      <c r="BT124" t="str">
        <f t="shared" si="364"/>
        <v>00000000</v>
      </c>
      <c r="BU124" s="23">
        <f t="shared" si="365"/>
        <v>0</v>
      </c>
      <c r="BV124" s="49" t="str">
        <f t="shared" si="329"/>
        <v/>
      </c>
      <c r="BW124" s="52" t="str">
        <f t="shared" si="366"/>
        <v/>
      </c>
      <c r="BX124" s="23">
        <f t="shared" si="367"/>
        <v>0</v>
      </c>
      <c r="BY124" s="49" t="str">
        <f t="shared" si="330"/>
        <v/>
      </c>
      <c r="BZ124" s="23">
        <f t="shared" si="368"/>
        <v>0</v>
      </c>
      <c r="CA124" s="49" t="str">
        <f t="shared" si="331"/>
        <v/>
      </c>
      <c r="CB124" s="52" t="str">
        <f t="shared" si="369"/>
        <v/>
      </c>
      <c r="CC124" s="23">
        <f t="shared" si="370"/>
        <v>0</v>
      </c>
      <c r="CD124" s="49" t="str">
        <f t="shared" si="332"/>
        <v/>
      </c>
      <c r="CE124" s="56" t="str">
        <f>IF(CF124="","",MAX(CE$10:$CE123)+1)</f>
        <v/>
      </c>
      <c r="CF124" t="str">
        <f t="shared" si="371"/>
        <v/>
      </c>
      <c r="CG124" s="22" t="str">
        <f>IF(CH124="","",MAX($CG$10:CG123)+1)</f>
        <v/>
      </c>
      <c r="CH124" s="22" t="str">
        <f t="shared" si="316"/>
        <v/>
      </c>
      <c r="CI124" s="22" t="str">
        <f>IF(CJ124="","",MAX($CI$10:CI123)+1)</f>
        <v/>
      </c>
      <c r="CJ124" s="22" t="str">
        <f t="shared" si="317"/>
        <v/>
      </c>
    </row>
    <row r="125" spans="2:88" x14ac:dyDescent="0.25">
      <c r="B125" s="37"/>
      <c r="C125" s="3"/>
      <c r="D125" s="77" t="str">
        <f t="shared" si="303"/>
        <v/>
      </c>
      <c r="E125" s="38"/>
      <c r="F125" s="38"/>
      <c r="G125" s="78">
        <f t="shared" si="318"/>
        <v>0</v>
      </c>
      <c r="H125" s="3">
        <v>80</v>
      </c>
      <c r="I125" s="77" t="str">
        <f t="shared" si="304"/>
        <v/>
      </c>
      <c r="J125" s="32"/>
      <c r="K125" s="3"/>
      <c r="L125" s="39"/>
      <c r="M125" s="39"/>
      <c r="N125" s="39"/>
      <c r="O125" s="39"/>
      <c r="P125" s="39"/>
      <c r="Q125" s="39"/>
      <c r="R125" s="39"/>
      <c r="S125" s="39"/>
      <c r="T125" s="3" t="s">
        <v>645</v>
      </c>
      <c r="U125" s="77" t="str">
        <f t="shared" si="305"/>
        <v/>
      </c>
      <c r="V125" s="39">
        <v>1</v>
      </c>
      <c r="W125" s="79">
        <f t="shared" si="319"/>
        <v>0</v>
      </c>
      <c r="X125" s="3">
        <v>0</v>
      </c>
      <c r="Y125" s="77" t="str">
        <f t="shared" si="306"/>
        <v/>
      </c>
      <c r="Z125" s="3"/>
      <c r="AA125" s="37" t="str">
        <f t="shared" si="320"/>
        <v/>
      </c>
      <c r="AC125" s="40"/>
      <c r="AD125" s="7"/>
      <c r="AE125" s="77" t="str">
        <f t="shared" si="307"/>
        <v/>
      </c>
      <c r="AF125" s="81">
        <f t="shared" si="333"/>
        <v>0</v>
      </c>
      <c r="AG125" s="40"/>
      <c r="AH125" s="7"/>
      <c r="AI125" s="77" t="str">
        <f t="shared" si="308"/>
        <v/>
      </c>
      <c r="AJ125" s="81">
        <f t="shared" si="334"/>
        <v>0</v>
      </c>
      <c r="AK125" s="83">
        <f t="shared" si="335"/>
        <v>0</v>
      </c>
      <c r="AL125" s="83">
        <f t="shared" si="336"/>
        <v>0</v>
      </c>
      <c r="AN125" s="43">
        <f t="shared" si="309"/>
        <v>0</v>
      </c>
      <c r="AP125" t="str">
        <f t="shared" si="337"/>
        <v/>
      </c>
      <c r="AQ125" t="str">
        <f t="shared" si="338"/>
        <v/>
      </c>
      <c r="AR125" t="str">
        <f t="shared" si="339"/>
        <v/>
      </c>
      <c r="AS125" t="str">
        <f t="shared" si="340"/>
        <v/>
      </c>
      <c r="AT125" t="str">
        <f t="shared" si="341"/>
        <v/>
      </c>
      <c r="AU125" t="str">
        <f t="shared" si="342"/>
        <v/>
      </c>
      <c r="AV125" t="str">
        <f t="shared" si="343"/>
        <v/>
      </c>
      <c r="AW125" t="str">
        <f t="shared" si="344"/>
        <v xml:space="preserve">                              </v>
      </c>
      <c r="AX125" s="23">
        <f t="shared" si="345"/>
        <v>0</v>
      </c>
      <c r="AY125" s="49" t="str">
        <f t="shared" si="321"/>
        <v>000000000000000</v>
      </c>
      <c r="AZ125" s="23">
        <f t="shared" si="346"/>
        <v>0</v>
      </c>
      <c r="BA125" s="49" t="str">
        <f t="shared" si="321"/>
        <v>000000000000000</v>
      </c>
      <c r="BB125" s="23">
        <f t="shared" si="347"/>
        <v>0</v>
      </c>
      <c r="BC125" s="49" t="str">
        <f t="shared" ref="BC125" si="648">IF(BB125&lt;0,SUBSTITUTE(TEXT(BB125,"000000000000,00"),",",""),SUBSTITUTE(TEXT(BB125,"0000000000000,00"),",",""))</f>
        <v>000000000000000</v>
      </c>
      <c r="BD125" s="23">
        <f t="shared" si="349"/>
        <v>0</v>
      </c>
      <c r="BE125" s="49" t="str">
        <f t="shared" ref="BE125" si="649">IF(BD125&lt;0,SUBSTITUTE(TEXT(BD125,"000000000000,00"),",",""),SUBSTITUTE(TEXT(BD125,"0000000000000,00"),",",""))</f>
        <v>000000000000000</v>
      </c>
      <c r="BF125" s="23">
        <f t="shared" si="351"/>
        <v>0</v>
      </c>
      <c r="BG125" s="49" t="str">
        <f t="shared" ref="BG125" si="650">IF(BF125&lt;0,SUBSTITUTE(TEXT(BF125,"000000000000,00"),",",""),SUBSTITUTE(TEXT(BF125,"0000000000000,00"),",",""))</f>
        <v>000000000000000</v>
      </c>
      <c r="BH125" s="23">
        <f t="shared" si="353"/>
        <v>0</v>
      </c>
      <c r="BI125" s="49" t="str">
        <f t="shared" ref="BI125" si="651">IF(BH125&lt;0,SUBSTITUTE(TEXT(BH125,"000000000000,00"),",",""),SUBSTITUTE(TEXT(BH125,"0000000000000,00"),",",""))</f>
        <v>000000000000000</v>
      </c>
      <c r="BJ125" s="23">
        <f t="shared" si="355"/>
        <v>0</v>
      </c>
      <c r="BK125" s="49" t="str">
        <f t="shared" ref="BK125" si="652">IF(BJ125&lt;0,SUBSTITUTE(TEXT(BJ125,"000000000000,00"),",",""),SUBSTITUTE(TEXT(BJ125,"0000000000000,00"),",",""))</f>
        <v>000000000000000</v>
      </c>
      <c r="BL125" s="23">
        <f t="shared" si="357"/>
        <v>0</v>
      </c>
      <c r="BM125" s="49" t="str">
        <f t="shared" ref="BM125" si="653">IF(BL125&lt;0,SUBSTITUTE(TEXT(BL125,"000000000000,00"),",",""),SUBSTITUTE(TEXT(BL125,"0000000000000,00"),",",""))</f>
        <v>000000000000000</v>
      </c>
      <c r="BN125" t="str">
        <f t="shared" si="359"/>
        <v>PES</v>
      </c>
      <c r="BO125" t="str">
        <f t="shared" si="360"/>
        <v>0001000000</v>
      </c>
      <c r="BP125">
        <f t="shared" si="361"/>
        <v>0</v>
      </c>
      <c r="BQ125">
        <f t="shared" si="362"/>
        <v>0</v>
      </c>
      <c r="BR125" s="23">
        <f t="shared" si="363"/>
        <v>0</v>
      </c>
      <c r="BS125" s="49" t="str">
        <f t="shared" si="328"/>
        <v>000000000000000</v>
      </c>
      <c r="BT125" t="str">
        <f t="shared" si="364"/>
        <v>00000000</v>
      </c>
      <c r="BU125" s="23">
        <f t="shared" si="365"/>
        <v>0</v>
      </c>
      <c r="BV125" s="49" t="str">
        <f t="shared" si="329"/>
        <v/>
      </c>
      <c r="BW125" s="52" t="str">
        <f t="shared" si="366"/>
        <v/>
      </c>
      <c r="BX125" s="23">
        <f t="shared" si="367"/>
        <v>0</v>
      </c>
      <c r="BY125" s="49" t="str">
        <f t="shared" si="330"/>
        <v/>
      </c>
      <c r="BZ125" s="23">
        <f t="shared" si="368"/>
        <v>0</v>
      </c>
      <c r="CA125" s="49" t="str">
        <f t="shared" si="331"/>
        <v/>
      </c>
      <c r="CB125" s="52" t="str">
        <f t="shared" si="369"/>
        <v/>
      </c>
      <c r="CC125" s="23">
        <f t="shared" si="370"/>
        <v>0</v>
      </c>
      <c r="CD125" s="49" t="str">
        <f t="shared" si="332"/>
        <v/>
      </c>
      <c r="CE125" s="56" t="str">
        <f>IF(CF125="","",MAX(CE$10:$CE124)+1)</f>
        <v/>
      </c>
      <c r="CF125" t="str">
        <f t="shared" si="371"/>
        <v/>
      </c>
      <c r="CG125" s="22" t="str">
        <f>IF(CH125="","",MAX($CG$10:CG124)+1)</f>
        <v/>
      </c>
      <c r="CH125" s="22" t="str">
        <f t="shared" si="316"/>
        <v/>
      </c>
      <c r="CI125" s="22" t="str">
        <f>IF(CJ125="","",MAX($CI$10:CI124)+1)</f>
        <v/>
      </c>
      <c r="CJ125" s="22" t="str">
        <f t="shared" si="317"/>
        <v/>
      </c>
    </row>
    <row r="126" spans="2:88" x14ac:dyDescent="0.25">
      <c r="B126" s="37"/>
      <c r="C126" s="3"/>
      <c r="D126" s="77" t="str">
        <f t="shared" si="303"/>
        <v/>
      </c>
      <c r="E126" s="38"/>
      <c r="F126" s="38"/>
      <c r="G126" s="78">
        <f t="shared" si="318"/>
        <v>0</v>
      </c>
      <c r="H126" s="3">
        <v>80</v>
      </c>
      <c r="I126" s="77" t="str">
        <f t="shared" si="304"/>
        <v/>
      </c>
      <c r="J126" s="32"/>
      <c r="K126" s="3"/>
      <c r="L126" s="39"/>
      <c r="M126" s="39"/>
      <c r="N126" s="39"/>
      <c r="O126" s="39"/>
      <c r="P126" s="39"/>
      <c r="Q126" s="39"/>
      <c r="R126" s="39"/>
      <c r="S126" s="39"/>
      <c r="T126" s="3" t="s">
        <v>645</v>
      </c>
      <c r="U126" s="77" t="str">
        <f t="shared" si="305"/>
        <v/>
      </c>
      <c r="V126" s="39">
        <v>1</v>
      </c>
      <c r="W126" s="79">
        <f t="shared" si="319"/>
        <v>0</v>
      </c>
      <c r="X126" s="3">
        <v>0</v>
      </c>
      <c r="Y126" s="77" t="str">
        <f t="shared" si="306"/>
        <v/>
      </c>
      <c r="Z126" s="3"/>
      <c r="AA126" s="37" t="str">
        <f t="shared" si="320"/>
        <v/>
      </c>
      <c r="AC126" s="40"/>
      <c r="AD126" s="7"/>
      <c r="AE126" s="77" t="str">
        <f t="shared" si="307"/>
        <v/>
      </c>
      <c r="AF126" s="81">
        <f t="shared" si="333"/>
        <v>0</v>
      </c>
      <c r="AG126" s="40"/>
      <c r="AH126" s="7"/>
      <c r="AI126" s="77" t="str">
        <f t="shared" si="308"/>
        <v/>
      </c>
      <c r="AJ126" s="81">
        <f t="shared" si="334"/>
        <v>0</v>
      </c>
      <c r="AK126" s="83">
        <f t="shared" si="335"/>
        <v>0</v>
      </c>
      <c r="AL126" s="83">
        <f t="shared" si="336"/>
        <v>0</v>
      </c>
      <c r="AN126" s="43">
        <f t="shared" si="309"/>
        <v>0</v>
      </c>
      <c r="AP126" t="str">
        <f t="shared" si="337"/>
        <v/>
      </c>
      <c r="AQ126" t="str">
        <f t="shared" si="338"/>
        <v/>
      </c>
      <c r="AR126" t="str">
        <f t="shared" si="339"/>
        <v/>
      </c>
      <c r="AS126" t="str">
        <f t="shared" si="340"/>
        <v/>
      </c>
      <c r="AT126" t="str">
        <f t="shared" si="341"/>
        <v/>
      </c>
      <c r="AU126" t="str">
        <f t="shared" si="342"/>
        <v/>
      </c>
      <c r="AV126" t="str">
        <f t="shared" si="343"/>
        <v/>
      </c>
      <c r="AW126" t="str">
        <f t="shared" si="344"/>
        <v xml:space="preserve">                              </v>
      </c>
      <c r="AX126" s="23">
        <f t="shared" si="345"/>
        <v>0</v>
      </c>
      <c r="AY126" s="49" t="str">
        <f t="shared" si="321"/>
        <v>000000000000000</v>
      </c>
      <c r="AZ126" s="23">
        <f t="shared" si="346"/>
        <v>0</v>
      </c>
      <c r="BA126" s="49" t="str">
        <f t="shared" si="321"/>
        <v>000000000000000</v>
      </c>
      <c r="BB126" s="23">
        <f t="shared" si="347"/>
        <v>0</v>
      </c>
      <c r="BC126" s="49" t="str">
        <f t="shared" ref="BC126" si="654">IF(BB126&lt;0,SUBSTITUTE(TEXT(BB126,"000000000000,00"),",",""),SUBSTITUTE(TEXT(BB126,"0000000000000,00"),",",""))</f>
        <v>000000000000000</v>
      </c>
      <c r="BD126" s="23">
        <f t="shared" si="349"/>
        <v>0</v>
      </c>
      <c r="BE126" s="49" t="str">
        <f t="shared" ref="BE126" si="655">IF(BD126&lt;0,SUBSTITUTE(TEXT(BD126,"000000000000,00"),",",""),SUBSTITUTE(TEXT(BD126,"0000000000000,00"),",",""))</f>
        <v>000000000000000</v>
      </c>
      <c r="BF126" s="23">
        <f t="shared" si="351"/>
        <v>0</v>
      </c>
      <c r="BG126" s="49" t="str">
        <f t="shared" ref="BG126" si="656">IF(BF126&lt;0,SUBSTITUTE(TEXT(BF126,"000000000000,00"),",",""),SUBSTITUTE(TEXT(BF126,"0000000000000,00"),",",""))</f>
        <v>000000000000000</v>
      </c>
      <c r="BH126" s="23">
        <f t="shared" si="353"/>
        <v>0</v>
      </c>
      <c r="BI126" s="49" t="str">
        <f t="shared" ref="BI126" si="657">IF(BH126&lt;0,SUBSTITUTE(TEXT(BH126,"000000000000,00"),",",""),SUBSTITUTE(TEXT(BH126,"0000000000000,00"),",",""))</f>
        <v>000000000000000</v>
      </c>
      <c r="BJ126" s="23">
        <f t="shared" si="355"/>
        <v>0</v>
      </c>
      <c r="BK126" s="49" t="str">
        <f t="shared" ref="BK126" si="658">IF(BJ126&lt;0,SUBSTITUTE(TEXT(BJ126,"000000000000,00"),",",""),SUBSTITUTE(TEXT(BJ126,"0000000000000,00"),",",""))</f>
        <v>000000000000000</v>
      </c>
      <c r="BL126" s="23">
        <f t="shared" si="357"/>
        <v>0</v>
      </c>
      <c r="BM126" s="49" t="str">
        <f t="shared" ref="BM126" si="659">IF(BL126&lt;0,SUBSTITUTE(TEXT(BL126,"000000000000,00"),",",""),SUBSTITUTE(TEXT(BL126,"0000000000000,00"),",",""))</f>
        <v>000000000000000</v>
      </c>
      <c r="BN126" t="str">
        <f t="shared" si="359"/>
        <v>PES</v>
      </c>
      <c r="BO126" t="str">
        <f t="shared" si="360"/>
        <v>0001000000</v>
      </c>
      <c r="BP126">
        <f t="shared" si="361"/>
        <v>0</v>
      </c>
      <c r="BQ126">
        <f t="shared" si="362"/>
        <v>0</v>
      </c>
      <c r="BR126" s="23">
        <f t="shared" si="363"/>
        <v>0</v>
      </c>
      <c r="BS126" s="49" t="str">
        <f t="shared" si="328"/>
        <v>000000000000000</v>
      </c>
      <c r="BT126" t="str">
        <f t="shared" si="364"/>
        <v>00000000</v>
      </c>
      <c r="BU126" s="23">
        <f t="shared" si="365"/>
        <v>0</v>
      </c>
      <c r="BV126" s="49" t="str">
        <f t="shared" si="329"/>
        <v/>
      </c>
      <c r="BW126" s="52" t="str">
        <f t="shared" si="366"/>
        <v/>
      </c>
      <c r="BX126" s="23">
        <f t="shared" si="367"/>
        <v>0</v>
      </c>
      <c r="BY126" s="49" t="str">
        <f t="shared" si="330"/>
        <v/>
      </c>
      <c r="BZ126" s="23">
        <f t="shared" si="368"/>
        <v>0</v>
      </c>
      <c r="CA126" s="49" t="str">
        <f t="shared" si="331"/>
        <v/>
      </c>
      <c r="CB126" s="52" t="str">
        <f t="shared" si="369"/>
        <v/>
      </c>
      <c r="CC126" s="23">
        <f t="shared" si="370"/>
        <v>0</v>
      </c>
      <c r="CD126" s="49" t="str">
        <f t="shared" si="332"/>
        <v/>
      </c>
      <c r="CE126" s="56" t="str">
        <f>IF(CF126="","",MAX(CE$10:$CE125)+1)</f>
        <v/>
      </c>
      <c r="CF126" t="str">
        <f t="shared" si="371"/>
        <v/>
      </c>
      <c r="CG126" s="22" t="str">
        <f>IF(CH126="","",MAX($CG$10:CG125)+1)</f>
        <v/>
      </c>
      <c r="CH126" s="22" t="str">
        <f t="shared" si="316"/>
        <v/>
      </c>
      <c r="CI126" s="22" t="str">
        <f>IF(CJ126="","",MAX($CI$10:CI125)+1)</f>
        <v/>
      </c>
      <c r="CJ126" s="22" t="str">
        <f t="shared" si="317"/>
        <v/>
      </c>
    </row>
    <row r="127" spans="2:88" x14ac:dyDescent="0.25">
      <c r="B127" s="37"/>
      <c r="C127" s="3"/>
      <c r="D127" s="77" t="str">
        <f t="shared" si="303"/>
        <v/>
      </c>
      <c r="E127" s="38"/>
      <c r="F127" s="38"/>
      <c r="G127" s="78">
        <f t="shared" si="318"/>
        <v>0</v>
      </c>
      <c r="H127" s="3">
        <v>80</v>
      </c>
      <c r="I127" s="77" t="str">
        <f t="shared" si="304"/>
        <v/>
      </c>
      <c r="J127" s="32"/>
      <c r="K127" s="3"/>
      <c r="L127" s="39"/>
      <c r="M127" s="39"/>
      <c r="N127" s="39"/>
      <c r="O127" s="39"/>
      <c r="P127" s="39"/>
      <c r="Q127" s="39"/>
      <c r="R127" s="39"/>
      <c r="S127" s="39"/>
      <c r="T127" s="3" t="s">
        <v>645</v>
      </c>
      <c r="U127" s="77" t="str">
        <f t="shared" si="305"/>
        <v/>
      </c>
      <c r="V127" s="39">
        <v>1</v>
      </c>
      <c r="W127" s="79">
        <f t="shared" si="319"/>
        <v>0</v>
      </c>
      <c r="X127" s="3">
        <v>0</v>
      </c>
      <c r="Y127" s="77" t="str">
        <f t="shared" si="306"/>
        <v/>
      </c>
      <c r="Z127" s="3"/>
      <c r="AA127" s="37" t="str">
        <f t="shared" si="320"/>
        <v/>
      </c>
      <c r="AC127" s="40"/>
      <c r="AD127" s="7"/>
      <c r="AE127" s="77" t="str">
        <f t="shared" si="307"/>
        <v/>
      </c>
      <c r="AF127" s="81">
        <f t="shared" si="333"/>
        <v>0</v>
      </c>
      <c r="AG127" s="40"/>
      <c r="AH127" s="7"/>
      <c r="AI127" s="77" t="str">
        <f t="shared" si="308"/>
        <v/>
      </c>
      <c r="AJ127" s="81">
        <f t="shared" si="334"/>
        <v>0</v>
      </c>
      <c r="AK127" s="83">
        <f t="shared" si="335"/>
        <v>0</v>
      </c>
      <c r="AL127" s="83">
        <f t="shared" si="336"/>
        <v>0</v>
      </c>
      <c r="AN127" s="43">
        <f t="shared" si="309"/>
        <v>0</v>
      </c>
      <c r="AP127" t="str">
        <f t="shared" si="337"/>
        <v/>
      </c>
      <c r="AQ127" t="str">
        <f t="shared" si="338"/>
        <v/>
      </c>
      <c r="AR127" t="str">
        <f t="shared" si="339"/>
        <v/>
      </c>
      <c r="AS127" t="str">
        <f t="shared" si="340"/>
        <v/>
      </c>
      <c r="AT127" t="str">
        <f t="shared" si="341"/>
        <v/>
      </c>
      <c r="AU127" t="str">
        <f t="shared" si="342"/>
        <v/>
      </c>
      <c r="AV127" t="str">
        <f t="shared" si="343"/>
        <v/>
      </c>
      <c r="AW127" t="str">
        <f t="shared" si="344"/>
        <v xml:space="preserve">                              </v>
      </c>
      <c r="AX127" s="23">
        <f t="shared" si="345"/>
        <v>0</v>
      </c>
      <c r="AY127" s="49" t="str">
        <f t="shared" si="321"/>
        <v>000000000000000</v>
      </c>
      <c r="AZ127" s="23">
        <f t="shared" si="346"/>
        <v>0</v>
      </c>
      <c r="BA127" s="49" t="str">
        <f t="shared" si="321"/>
        <v>000000000000000</v>
      </c>
      <c r="BB127" s="23">
        <f t="shared" si="347"/>
        <v>0</v>
      </c>
      <c r="BC127" s="49" t="str">
        <f t="shared" ref="BC127" si="660">IF(BB127&lt;0,SUBSTITUTE(TEXT(BB127,"000000000000,00"),",",""),SUBSTITUTE(TEXT(BB127,"0000000000000,00"),",",""))</f>
        <v>000000000000000</v>
      </c>
      <c r="BD127" s="23">
        <f t="shared" si="349"/>
        <v>0</v>
      </c>
      <c r="BE127" s="49" t="str">
        <f t="shared" ref="BE127" si="661">IF(BD127&lt;0,SUBSTITUTE(TEXT(BD127,"000000000000,00"),",",""),SUBSTITUTE(TEXT(BD127,"0000000000000,00"),",",""))</f>
        <v>000000000000000</v>
      </c>
      <c r="BF127" s="23">
        <f t="shared" si="351"/>
        <v>0</v>
      </c>
      <c r="BG127" s="49" t="str">
        <f t="shared" ref="BG127" si="662">IF(BF127&lt;0,SUBSTITUTE(TEXT(BF127,"000000000000,00"),",",""),SUBSTITUTE(TEXT(BF127,"0000000000000,00"),",",""))</f>
        <v>000000000000000</v>
      </c>
      <c r="BH127" s="23">
        <f t="shared" si="353"/>
        <v>0</v>
      </c>
      <c r="BI127" s="49" t="str">
        <f t="shared" ref="BI127" si="663">IF(BH127&lt;0,SUBSTITUTE(TEXT(BH127,"000000000000,00"),",",""),SUBSTITUTE(TEXT(BH127,"0000000000000,00"),",",""))</f>
        <v>000000000000000</v>
      </c>
      <c r="BJ127" s="23">
        <f t="shared" si="355"/>
        <v>0</v>
      </c>
      <c r="BK127" s="49" t="str">
        <f t="shared" ref="BK127" si="664">IF(BJ127&lt;0,SUBSTITUTE(TEXT(BJ127,"000000000000,00"),",",""),SUBSTITUTE(TEXT(BJ127,"0000000000000,00"),",",""))</f>
        <v>000000000000000</v>
      </c>
      <c r="BL127" s="23">
        <f t="shared" si="357"/>
        <v>0</v>
      </c>
      <c r="BM127" s="49" t="str">
        <f t="shared" ref="BM127" si="665">IF(BL127&lt;0,SUBSTITUTE(TEXT(BL127,"000000000000,00"),",",""),SUBSTITUTE(TEXT(BL127,"0000000000000,00"),",",""))</f>
        <v>000000000000000</v>
      </c>
      <c r="BN127" t="str">
        <f t="shared" si="359"/>
        <v>PES</v>
      </c>
      <c r="BO127" t="str">
        <f t="shared" si="360"/>
        <v>0001000000</v>
      </c>
      <c r="BP127">
        <f t="shared" si="361"/>
        <v>0</v>
      </c>
      <c r="BQ127">
        <f t="shared" si="362"/>
        <v>0</v>
      </c>
      <c r="BR127" s="23">
        <f t="shared" si="363"/>
        <v>0</v>
      </c>
      <c r="BS127" s="49" t="str">
        <f t="shared" si="328"/>
        <v>000000000000000</v>
      </c>
      <c r="BT127" t="str">
        <f t="shared" si="364"/>
        <v>00000000</v>
      </c>
      <c r="BU127" s="23">
        <f t="shared" si="365"/>
        <v>0</v>
      </c>
      <c r="BV127" s="49" t="str">
        <f t="shared" si="329"/>
        <v/>
      </c>
      <c r="BW127" s="52" t="str">
        <f t="shared" si="366"/>
        <v/>
      </c>
      <c r="BX127" s="23">
        <f t="shared" si="367"/>
        <v>0</v>
      </c>
      <c r="BY127" s="49" t="str">
        <f t="shared" si="330"/>
        <v/>
      </c>
      <c r="BZ127" s="23">
        <f t="shared" si="368"/>
        <v>0</v>
      </c>
      <c r="CA127" s="49" t="str">
        <f t="shared" si="331"/>
        <v/>
      </c>
      <c r="CB127" s="52" t="str">
        <f t="shared" si="369"/>
        <v/>
      </c>
      <c r="CC127" s="23">
        <f t="shared" si="370"/>
        <v>0</v>
      </c>
      <c r="CD127" s="49" t="str">
        <f t="shared" si="332"/>
        <v/>
      </c>
      <c r="CE127" s="56" t="str">
        <f>IF(CF127="","",MAX(CE$10:$CE126)+1)</f>
        <v/>
      </c>
      <c r="CF127" t="str">
        <f t="shared" si="371"/>
        <v/>
      </c>
      <c r="CG127" s="22" t="str">
        <f>IF(CH127="","",MAX($CG$10:CG126)+1)</f>
        <v/>
      </c>
      <c r="CH127" s="22" t="str">
        <f t="shared" si="316"/>
        <v/>
      </c>
      <c r="CI127" s="22" t="str">
        <f>IF(CJ127="","",MAX($CI$10:CI126)+1)</f>
        <v/>
      </c>
      <c r="CJ127" s="22" t="str">
        <f t="shared" si="317"/>
        <v/>
      </c>
    </row>
    <row r="128" spans="2:88" x14ac:dyDescent="0.25">
      <c r="B128" s="37"/>
      <c r="C128" s="3"/>
      <c r="D128" s="77" t="str">
        <f t="shared" si="303"/>
        <v/>
      </c>
      <c r="E128" s="38"/>
      <c r="F128" s="38"/>
      <c r="G128" s="78">
        <f t="shared" si="318"/>
        <v>0</v>
      </c>
      <c r="H128" s="3">
        <v>80</v>
      </c>
      <c r="I128" s="77" t="str">
        <f t="shared" si="304"/>
        <v/>
      </c>
      <c r="J128" s="32"/>
      <c r="K128" s="3"/>
      <c r="L128" s="39"/>
      <c r="M128" s="39"/>
      <c r="N128" s="39"/>
      <c r="O128" s="39"/>
      <c r="P128" s="39"/>
      <c r="Q128" s="39"/>
      <c r="R128" s="39"/>
      <c r="S128" s="39"/>
      <c r="T128" s="3" t="s">
        <v>645</v>
      </c>
      <c r="U128" s="77" t="str">
        <f t="shared" si="305"/>
        <v/>
      </c>
      <c r="V128" s="39">
        <v>1</v>
      </c>
      <c r="W128" s="79">
        <f t="shared" si="319"/>
        <v>0</v>
      </c>
      <c r="X128" s="3">
        <v>0</v>
      </c>
      <c r="Y128" s="77" t="str">
        <f t="shared" si="306"/>
        <v/>
      </c>
      <c r="Z128" s="3"/>
      <c r="AA128" s="37" t="str">
        <f t="shared" si="320"/>
        <v/>
      </c>
      <c r="AC128" s="40"/>
      <c r="AD128" s="7"/>
      <c r="AE128" s="77" t="str">
        <f t="shared" si="307"/>
        <v/>
      </c>
      <c r="AF128" s="81">
        <f t="shared" si="333"/>
        <v>0</v>
      </c>
      <c r="AG128" s="40"/>
      <c r="AH128" s="7"/>
      <c r="AI128" s="77" t="str">
        <f t="shared" si="308"/>
        <v/>
      </c>
      <c r="AJ128" s="81">
        <f t="shared" si="334"/>
        <v>0</v>
      </c>
      <c r="AK128" s="83">
        <f t="shared" si="335"/>
        <v>0</v>
      </c>
      <c r="AL128" s="83">
        <f t="shared" si="336"/>
        <v>0</v>
      </c>
      <c r="AN128" s="43">
        <f t="shared" si="309"/>
        <v>0</v>
      </c>
      <c r="AP128" t="str">
        <f t="shared" si="337"/>
        <v/>
      </c>
      <c r="AQ128" t="str">
        <f t="shared" si="338"/>
        <v/>
      </c>
      <c r="AR128" t="str">
        <f t="shared" si="339"/>
        <v/>
      </c>
      <c r="AS128" t="str">
        <f t="shared" si="340"/>
        <v/>
      </c>
      <c r="AT128" t="str">
        <f t="shared" si="341"/>
        <v/>
      </c>
      <c r="AU128" t="str">
        <f t="shared" si="342"/>
        <v/>
      </c>
      <c r="AV128" t="str">
        <f t="shared" si="343"/>
        <v/>
      </c>
      <c r="AW128" t="str">
        <f t="shared" si="344"/>
        <v xml:space="preserve">                              </v>
      </c>
      <c r="AX128" s="23">
        <f t="shared" si="345"/>
        <v>0</v>
      </c>
      <c r="AY128" s="49" t="str">
        <f t="shared" si="321"/>
        <v>000000000000000</v>
      </c>
      <c r="AZ128" s="23">
        <f t="shared" si="346"/>
        <v>0</v>
      </c>
      <c r="BA128" s="49" t="str">
        <f t="shared" si="321"/>
        <v>000000000000000</v>
      </c>
      <c r="BB128" s="23">
        <f t="shared" si="347"/>
        <v>0</v>
      </c>
      <c r="BC128" s="49" t="str">
        <f t="shared" ref="BC128" si="666">IF(BB128&lt;0,SUBSTITUTE(TEXT(BB128,"000000000000,00"),",",""),SUBSTITUTE(TEXT(BB128,"0000000000000,00"),",",""))</f>
        <v>000000000000000</v>
      </c>
      <c r="BD128" s="23">
        <f t="shared" si="349"/>
        <v>0</v>
      </c>
      <c r="BE128" s="49" t="str">
        <f t="shared" ref="BE128" si="667">IF(BD128&lt;0,SUBSTITUTE(TEXT(BD128,"000000000000,00"),",",""),SUBSTITUTE(TEXT(BD128,"0000000000000,00"),",",""))</f>
        <v>000000000000000</v>
      </c>
      <c r="BF128" s="23">
        <f t="shared" si="351"/>
        <v>0</v>
      </c>
      <c r="BG128" s="49" t="str">
        <f t="shared" ref="BG128" si="668">IF(BF128&lt;0,SUBSTITUTE(TEXT(BF128,"000000000000,00"),",",""),SUBSTITUTE(TEXT(BF128,"0000000000000,00"),",",""))</f>
        <v>000000000000000</v>
      </c>
      <c r="BH128" s="23">
        <f t="shared" si="353"/>
        <v>0</v>
      </c>
      <c r="BI128" s="49" t="str">
        <f t="shared" ref="BI128" si="669">IF(BH128&lt;0,SUBSTITUTE(TEXT(BH128,"000000000000,00"),",",""),SUBSTITUTE(TEXT(BH128,"0000000000000,00"),",",""))</f>
        <v>000000000000000</v>
      </c>
      <c r="BJ128" s="23">
        <f t="shared" si="355"/>
        <v>0</v>
      </c>
      <c r="BK128" s="49" t="str">
        <f t="shared" ref="BK128" si="670">IF(BJ128&lt;0,SUBSTITUTE(TEXT(BJ128,"000000000000,00"),",",""),SUBSTITUTE(TEXT(BJ128,"0000000000000,00"),",",""))</f>
        <v>000000000000000</v>
      </c>
      <c r="BL128" s="23">
        <f t="shared" si="357"/>
        <v>0</v>
      </c>
      <c r="BM128" s="49" t="str">
        <f t="shared" ref="BM128" si="671">IF(BL128&lt;0,SUBSTITUTE(TEXT(BL128,"000000000000,00"),",",""),SUBSTITUTE(TEXT(BL128,"0000000000000,00"),",",""))</f>
        <v>000000000000000</v>
      </c>
      <c r="BN128" t="str">
        <f t="shared" si="359"/>
        <v>PES</v>
      </c>
      <c r="BO128" t="str">
        <f t="shared" si="360"/>
        <v>0001000000</v>
      </c>
      <c r="BP128">
        <f t="shared" si="361"/>
        <v>0</v>
      </c>
      <c r="BQ128">
        <f t="shared" si="362"/>
        <v>0</v>
      </c>
      <c r="BR128" s="23">
        <f t="shared" si="363"/>
        <v>0</v>
      </c>
      <c r="BS128" s="49" t="str">
        <f t="shared" si="328"/>
        <v>000000000000000</v>
      </c>
      <c r="BT128" t="str">
        <f t="shared" si="364"/>
        <v>00000000</v>
      </c>
      <c r="BU128" s="23">
        <f t="shared" si="365"/>
        <v>0</v>
      </c>
      <c r="BV128" s="49" t="str">
        <f t="shared" si="329"/>
        <v/>
      </c>
      <c r="BW128" s="52" t="str">
        <f t="shared" si="366"/>
        <v/>
      </c>
      <c r="BX128" s="23">
        <f t="shared" si="367"/>
        <v>0</v>
      </c>
      <c r="BY128" s="49" t="str">
        <f t="shared" si="330"/>
        <v/>
      </c>
      <c r="BZ128" s="23">
        <f t="shared" si="368"/>
        <v>0</v>
      </c>
      <c r="CA128" s="49" t="str">
        <f t="shared" si="331"/>
        <v/>
      </c>
      <c r="CB128" s="52" t="str">
        <f t="shared" si="369"/>
        <v/>
      </c>
      <c r="CC128" s="23">
        <f t="shared" si="370"/>
        <v>0</v>
      </c>
      <c r="CD128" s="49" t="str">
        <f t="shared" si="332"/>
        <v/>
      </c>
      <c r="CE128" s="56" t="str">
        <f>IF(CF128="","",MAX(CE$10:$CE127)+1)</f>
        <v/>
      </c>
      <c r="CF128" t="str">
        <f t="shared" si="371"/>
        <v/>
      </c>
      <c r="CG128" s="22" t="str">
        <f>IF(CH128="","",MAX($CG$10:CG127)+1)</f>
        <v/>
      </c>
      <c r="CH128" s="22" t="str">
        <f t="shared" si="316"/>
        <v/>
      </c>
      <c r="CI128" s="22" t="str">
        <f>IF(CJ128="","",MAX($CI$10:CI127)+1)</f>
        <v/>
      </c>
      <c r="CJ128" s="22" t="str">
        <f t="shared" si="317"/>
        <v/>
      </c>
    </row>
    <row r="129" spans="2:88" x14ac:dyDescent="0.25">
      <c r="B129" s="37"/>
      <c r="C129" s="3"/>
      <c r="D129" s="77" t="str">
        <f t="shared" si="303"/>
        <v/>
      </c>
      <c r="E129" s="38"/>
      <c r="F129" s="38"/>
      <c r="G129" s="78">
        <f t="shared" si="318"/>
        <v>0</v>
      </c>
      <c r="H129" s="3">
        <v>80</v>
      </c>
      <c r="I129" s="77" t="str">
        <f t="shared" si="304"/>
        <v/>
      </c>
      <c r="J129" s="32"/>
      <c r="K129" s="3"/>
      <c r="L129" s="39"/>
      <c r="M129" s="39"/>
      <c r="N129" s="39"/>
      <c r="O129" s="39"/>
      <c r="P129" s="39"/>
      <c r="Q129" s="39"/>
      <c r="R129" s="39"/>
      <c r="S129" s="39"/>
      <c r="T129" s="3" t="s">
        <v>645</v>
      </c>
      <c r="U129" s="77" t="str">
        <f t="shared" si="305"/>
        <v/>
      </c>
      <c r="V129" s="39">
        <v>1</v>
      </c>
      <c r="W129" s="79">
        <f t="shared" si="319"/>
        <v>0</v>
      </c>
      <c r="X129" s="3">
        <v>0</v>
      </c>
      <c r="Y129" s="77" t="str">
        <f t="shared" si="306"/>
        <v/>
      </c>
      <c r="Z129" s="3"/>
      <c r="AA129" s="37" t="str">
        <f t="shared" si="320"/>
        <v/>
      </c>
      <c r="AC129" s="40"/>
      <c r="AD129" s="7"/>
      <c r="AE129" s="77" t="str">
        <f t="shared" si="307"/>
        <v/>
      </c>
      <c r="AF129" s="81">
        <f t="shared" si="333"/>
        <v>0</v>
      </c>
      <c r="AG129" s="40"/>
      <c r="AH129" s="7"/>
      <c r="AI129" s="77" t="str">
        <f t="shared" si="308"/>
        <v/>
      </c>
      <c r="AJ129" s="81">
        <f t="shared" si="334"/>
        <v>0</v>
      </c>
      <c r="AK129" s="83">
        <f t="shared" si="335"/>
        <v>0</v>
      </c>
      <c r="AL129" s="83">
        <f t="shared" si="336"/>
        <v>0</v>
      </c>
      <c r="AN129" s="43">
        <f t="shared" si="309"/>
        <v>0</v>
      </c>
      <c r="AP129" t="str">
        <f t="shared" si="337"/>
        <v/>
      </c>
      <c r="AQ129" t="str">
        <f t="shared" si="338"/>
        <v/>
      </c>
      <c r="AR129" t="str">
        <f t="shared" si="339"/>
        <v/>
      </c>
      <c r="AS129" t="str">
        <f t="shared" si="340"/>
        <v/>
      </c>
      <c r="AT129" t="str">
        <f t="shared" si="341"/>
        <v/>
      </c>
      <c r="AU129" t="str">
        <f t="shared" si="342"/>
        <v/>
      </c>
      <c r="AV129" t="str">
        <f t="shared" si="343"/>
        <v/>
      </c>
      <c r="AW129" t="str">
        <f t="shared" si="344"/>
        <v xml:space="preserve">                              </v>
      </c>
      <c r="AX129" s="23">
        <f t="shared" si="345"/>
        <v>0</v>
      </c>
      <c r="AY129" s="49" t="str">
        <f t="shared" si="321"/>
        <v>000000000000000</v>
      </c>
      <c r="AZ129" s="23">
        <f t="shared" si="346"/>
        <v>0</v>
      </c>
      <c r="BA129" s="49" t="str">
        <f t="shared" si="321"/>
        <v>000000000000000</v>
      </c>
      <c r="BB129" s="23">
        <f t="shared" si="347"/>
        <v>0</v>
      </c>
      <c r="BC129" s="49" t="str">
        <f t="shared" ref="BC129" si="672">IF(BB129&lt;0,SUBSTITUTE(TEXT(BB129,"000000000000,00"),",",""),SUBSTITUTE(TEXT(BB129,"0000000000000,00"),",",""))</f>
        <v>000000000000000</v>
      </c>
      <c r="BD129" s="23">
        <f t="shared" si="349"/>
        <v>0</v>
      </c>
      <c r="BE129" s="49" t="str">
        <f t="shared" ref="BE129" si="673">IF(BD129&lt;0,SUBSTITUTE(TEXT(BD129,"000000000000,00"),",",""),SUBSTITUTE(TEXT(BD129,"0000000000000,00"),",",""))</f>
        <v>000000000000000</v>
      </c>
      <c r="BF129" s="23">
        <f t="shared" si="351"/>
        <v>0</v>
      </c>
      <c r="BG129" s="49" t="str">
        <f t="shared" ref="BG129" si="674">IF(BF129&lt;0,SUBSTITUTE(TEXT(BF129,"000000000000,00"),",",""),SUBSTITUTE(TEXT(BF129,"0000000000000,00"),",",""))</f>
        <v>000000000000000</v>
      </c>
      <c r="BH129" s="23">
        <f t="shared" si="353"/>
        <v>0</v>
      </c>
      <c r="BI129" s="49" t="str">
        <f t="shared" ref="BI129" si="675">IF(BH129&lt;0,SUBSTITUTE(TEXT(BH129,"000000000000,00"),",",""),SUBSTITUTE(TEXT(BH129,"0000000000000,00"),",",""))</f>
        <v>000000000000000</v>
      </c>
      <c r="BJ129" s="23">
        <f t="shared" si="355"/>
        <v>0</v>
      </c>
      <c r="BK129" s="49" t="str">
        <f t="shared" ref="BK129" si="676">IF(BJ129&lt;0,SUBSTITUTE(TEXT(BJ129,"000000000000,00"),",",""),SUBSTITUTE(TEXT(BJ129,"0000000000000,00"),",",""))</f>
        <v>000000000000000</v>
      </c>
      <c r="BL129" s="23">
        <f t="shared" si="357"/>
        <v>0</v>
      </c>
      <c r="BM129" s="49" t="str">
        <f t="shared" ref="BM129" si="677">IF(BL129&lt;0,SUBSTITUTE(TEXT(BL129,"000000000000,00"),",",""),SUBSTITUTE(TEXT(BL129,"0000000000000,00"),",",""))</f>
        <v>000000000000000</v>
      </c>
      <c r="BN129" t="str">
        <f t="shared" si="359"/>
        <v>PES</v>
      </c>
      <c r="BO129" t="str">
        <f t="shared" si="360"/>
        <v>0001000000</v>
      </c>
      <c r="BP129">
        <f t="shared" si="361"/>
        <v>0</v>
      </c>
      <c r="BQ129">
        <f t="shared" si="362"/>
        <v>0</v>
      </c>
      <c r="BR129" s="23">
        <f t="shared" si="363"/>
        <v>0</v>
      </c>
      <c r="BS129" s="49" t="str">
        <f t="shared" si="328"/>
        <v>000000000000000</v>
      </c>
      <c r="BT129" t="str">
        <f t="shared" si="364"/>
        <v>00000000</v>
      </c>
      <c r="BU129" s="23">
        <f t="shared" si="365"/>
        <v>0</v>
      </c>
      <c r="BV129" s="49" t="str">
        <f t="shared" si="329"/>
        <v/>
      </c>
      <c r="BW129" s="52" t="str">
        <f t="shared" si="366"/>
        <v/>
      </c>
      <c r="BX129" s="23">
        <f t="shared" si="367"/>
        <v>0</v>
      </c>
      <c r="BY129" s="49" t="str">
        <f t="shared" si="330"/>
        <v/>
      </c>
      <c r="BZ129" s="23">
        <f t="shared" si="368"/>
        <v>0</v>
      </c>
      <c r="CA129" s="49" t="str">
        <f t="shared" si="331"/>
        <v/>
      </c>
      <c r="CB129" s="52" t="str">
        <f t="shared" si="369"/>
        <v/>
      </c>
      <c r="CC129" s="23">
        <f t="shared" si="370"/>
        <v>0</v>
      </c>
      <c r="CD129" s="49" t="str">
        <f t="shared" si="332"/>
        <v/>
      </c>
      <c r="CE129" s="56" t="str">
        <f>IF(CF129="","",MAX(CE$10:$CE128)+1)</f>
        <v/>
      </c>
      <c r="CF129" t="str">
        <f t="shared" si="371"/>
        <v/>
      </c>
      <c r="CG129" s="22" t="str">
        <f>IF(CH129="","",MAX($CG$10:CG128)+1)</f>
        <v/>
      </c>
      <c r="CH129" s="22" t="str">
        <f t="shared" si="316"/>
        <v/>
      </c>
      <c r="CI129" s="22" t="str">
        <f>IF(CJ129="","",MAX($CI$10:CI128)+1)</f>
        <v/>
      </c>
      <c r="CJ129" s="22" t="str">
        <f t="shared" si="317"/>
        <v/>
      </c>
    </row>
    <row r="130" spans="2:88" x14ac:dyDescent="0.25">
      <c r="B130" s="37"/>
      <c r="C130" s="3"/>
      <c r="D130" s="77" t="str">
        <f t="shared" si="303"/>
        <v/>
      </c>
      <c r="E130" s="38"/>
      <c r="F130" s="38"/>
      <c r="G130" s="78">
        <f t="shared" si="318"/>
        <v>0</v>
      </c>
      <c r="H130" s="3">
        <v>80</v>
      </c>
      <c r="I130" s="77" t="str">
        <f t="shared" si="304"/>
        <v/>
      </c>
      <c r="J130" s="32"/>
      <c r="K130" s="3"/>
      <c r="L130" s="39"/>
      <c r="M130" s="39"/>
      <c r="N130" s="39"/>
      <c r="O130" s="39"/>
      <c r="P130" s="39"/>
      <c r="Q130" s="39"/>
      <c r="R130" s="39"/>
      <c r="S130" s="39"/>
      <c r="T130" s="3" t="s">
        <v>645</v>
      </c>
      <c r="U130" s="77" t="str">
        <f t="shared" si="305"/>
        <v/>
      </c>
      <c r="V130" s="39">
        <v>1</v>
      </c>
      <c r="W130" s="79">
        <f t="shared" si="319"/>
        <v>0</v>
      </c>
      <c r="X130" s="3">
        <v>0</v>
      </c>
      <c r="Y130" s="77" t="str">
        <f t="shared" si="306"/>
        <v/>
      </c>
      <c r="Z130" s="3"/>
      <c r="AA130" s="37" t="str">
        <f t="shared" si="320"/>
        <v/>
      </c>
      <c r="AC130" s="40"/>
      <c r="AD130" s="7"/>
      <c r="AE130" s="77" t="str">
        <f t="shared" si="307"/>
        <v/>
      </c>
      <c r="AF130" s="81">
        <f t="shared" si="333"/>
        <v>0</v>
      </c>
      <c r="AG130" s="40"/>
      <c r="AH130" s="7"/>
      <c r="AI130" s="77" t="str">
        <f t="shared" si="308"/>
        <v/>
      </c>
      <c r="AJ130" s="81">
        <f t="shared" si="334"/>
        <v>0</v>
      </c>
      <c r="AK130" s="83">
        <f t="shared" si="335"/>
        <v>0</v>
      </c>
      <c r="AL130" s="83">
        <f t="shared" si="336"/>
        <v>0</v>
      </c>
      <c r="AN130" s="43">
        <f t="shared" si="309"/>
        <v>0</v>
      </c>
      <c r="AP130" t="str">
        <f t="shared" si="337"/>
        <v/>
      </c>
      <c r="AQ130" t="str">
        <f t="shared" si="338"/>
        <v/>
      </c>
      <c r="AR130" t="str">
        <f t="shared" si="339"/>
        <v/>
      </c>
      <c r="AS130" t="str">
        <f t="shared" si="340"/>
        <v/>
      </c>
      <c r="AT130" t="str">
        <f t="shared" si="341"/>
        <v/>
      </c>
      <c r="AU130" t="str">
        <f t="shared" si="342"/>
        <v/>
      </c>
      <c r="AV130" t="str">
        <f t="shared" si="343"/>
        <v/>
      </c>
      <c r="AW130" t="str">
        <f t="shared" si="344"/>
        <v xml:space="preserve">                              </v>
      </c>
      <c r="AX130" s="23">
        <f t="shared" si="345"/>
        <v>0</v>
      </c>
      <c r="AY130" s="49" t="str">
        <f t="shared" si="321"/>
        <v>000000000000000</v>
      </c>
      <c r="AZ130" s="23">
        <f t="shared" si="346"/>
        <v>0</v>
      </c>
      <c r="BA130" s="49" t="str">
        <f t="shared" si="321"/>
        <v>000000000000000</v>
      </c>
      <c r="BB130" s="23">
        <f t="shared" si="347"/>
        <v>0</v>
      </c>
      <c r="BC130" s="49" t="str">
        <f t="shared" ref="BC130" si="678">IF(BB130&lt;0,SUBSTITUTE(TEXT(BB130,"000000000000,00"),",",""),SUBSTITUTE(TEXT(BB130,"0000000000000,00"),",",""))</f>
        <v>000000000000000</v>
      </c>
      <c r="BD130" s="23">
        <f t="shared" si="349"/>
        <v>0</v>
      </c>
      <c r="BE130" s="49" t="str">
        <f t="shared" ref="BE130" si="679">IF(BD130&lt;0,SUBSTITUTE(TEXT(BD130,"000000000000,00"),",",""),SUBSTITUTE(TEXT(BD130,"0000000000000,00"),",",""))</f>
        <v>000000000000000</v>
      </c>
      <c r="BF130" s="23">
        <f t="shared" si="351"/>
        <v>0</v>
      </c>
      <c r="BG130" s="49" t="str">
        <f t="shared" ref="BG130" si="680">IF(BF130&lt;0,SUBSTITUTE(TEXT(BF130,"000000000000,00"),",",""),SUBSTITUTE(TEXT(BF130,"0000000000000,00"),",",""))</f>
        <v>000000000000000</v>
      </c>
      <c r="BH130" s="23">
        <f t="shared" si="353"/>
        <v>0</v>
      </c>
      <c r="BI130" s="49" t="str">
        <f t="shared" ref="BI130" si="681">IF(BH130&lt;0,SUBSTITUTE(TEXT(BH130,"000000000000,00"),",",""),SUBSTITUTE(TEXT(BH130,"0000000000000,00"),",",""))</f>
        <v>000000000000000</v>
      </c>
      <c r="BJ130" s="23">
        <f t="shared" si="355"/>
        <v>0</v>
      </c>
      <c r="BK130" s="49" t="str">
        <f t="shared" ref="BK130" si="682">IF(BJ130&lt;0,SUBSTITUTE(TEXT(BJ130,"000000000000,00"),",",""),SUBSTITUTE(TEXT(BJ130,"0000000000000,00"),",",""))</f>
        <v>000000000000000</v>
      </c>
      <c r="BL130" s="23">
        <f t="shared" si="357"/>
        <v>0</v>
      </c>
      <c r="BM130" s="49" t="str">
        <f t="shared" ref="BM130" si="683">IF(BL130&lt;0,SUBSTITUTE(TEXT(BL130,"000000000000,00"),",",""),SUBSTITUTE(TEXT(BL130,"0000000000000,00"),",",""))</f>
        <v>000000000000000</v>
      </c>
      <c r="BN130" t="str">
        <f t="shared" si="359"/>
        <v>PES</v>
      </c>
      <c r="BO130" t="str">
        <f t="shared" si="360"/>
        <v>0001000000</v>
      </c>
      <c r="BP130">
        <f t="shared" si="361"/>
        <v>0</v>
      </c>
      <c r="BQ130">
        <f t="shared" si="362"/>
        <v>0</v>
      </c>
      <c r="BR130" s="23">
        <f t="shared" si="363"/>
        <v>0</v>
      </c>
      <c r="BS130" s="49" t="str">
        <f t="shared" si="328"/>
        <v>000000000000000</v>
      </c>
      <c r="BT130" t="str">
        <f t="shared" si="364"/>
        <v>00000000</v>
      </c>
      <c r="BU130" s="23">
        <f t="shared" si="365"/>
        <v>0</v>
      </c>
      <c r="BV130" s="49" t="str">
        <f t="shared" si="329"/>
        <v/>
      </c>
      <c r="BW130" s="52" t="str">
        <f t="shared" si="366"/>
        <v/>
      </c>
      <c r="BX130" s="23">
        <f t="shared" si="367"/>
        <v>0</v>
      </c>
      <c r="BY130" s="49" t="str">
        <f t="shared" si="330"/>
        <v/>
      </c>
      <c r="BZ130" s="23">
        <f t="shared" si="368"/>
        <v>0</v>
      </c>
      <c r="CA130" s="49" t="str">
        <f t="shared" si="331"/>
        <v/>
      </c>
      <c r="CB130" s="52" t="str">
        <f t="shared" si="369"/>
        <v/>
      </c>
      <c r="CC130" s="23">
        <f t="shared" si="370"/>
        <v>0</v>
      </c>
      <c r="CD130" s="49" t="str">
        <f t="shared" si="332"/>
        <v/>
      </c>
      <c r="CE130" s="56" t="str">
        <f>IF(CF130="","",MAX(CE$10:$CE129)+1)</f>
        <v/>
      </c>
      <c r="CF130" t="str">
        <f t="shared" si="371"/>
        <v/>
      </c>
      <c r="CG130" s="22" t="str">
        <f>IF(CH130="","",MAX($CG$10:CG129)+1)</f>
        <v/>
      </c>
      <c r="CH130" s="22" t="str">
        <f t="shared" si="316"/>
        <v/>
      </c>
      <c r="CI130" s="22" t="str">
        <f>IF(CJ130="","",MAX($CI$10:CI129)+1)</f>
        <v/>
      </c>
      <c r="CJ130" s="22" t="str">
        <f t="shared" si="317"/>
        <v/>
      </c>
    </row>
    <row r="131" spans="2:88" x14ac:dyDescent="0.25">
      <c r="B131" s="37"/>
      <c r="C131" s="3"/>
      <c r="D131" s="77" t="str">
        <f t="shared" si="303"/>
        <v/>
      </c>
      <c r="E131" s="38"/>
      <c r="F131" s="38"/>
      <c r="G131" s="78">
        <f t="shared" si="318"/>
        <v>0</v>
      </c>
      <c r="H131" s="3">
        <v>80</v>
      </c>
      <c r="I131" s="77" t="str">
        <f t="shared" si="304"/>
        <v/>
      </c>
      <c r="J131" s="32"/>
      <c r="K131" s="3"/>
      <c r="L131" s="39"/>
      <c r="M131" s="39"/>
      <c r="N131" s="39"/>
      <c r="O131" s="39"/>
      <c r="P131" s="39"/>
      <c r="Q131" s="39"/>
      <c r="R131" s="39"/>
      <c r="S131" s="39"/>
      <c r="T131" s="3" t="s">
        <v>645</v>
      </c>
      <c r="U131" s="77" t="str">
        <f t="shared" si="305"/>
        <v/>
      </c>
      <c r="V131" s="39">
        <v>1</v>
      </c>
      <c r="W131" s="79">
        <f t="shared" si="319"/>
        <v>0</v>
      </c>
      <c r="X131" s="3">
        <v>0</v>
      </c>
      <c r="Y131" s="77" t="str">
        <f t="shared" si="306"/>
        <v/>
      </c>
      <c r="Z131" s="3"/>
      <c r="AA131" s="37" t="str">
        <f t="shared" si="320"/>
        <v/>
      </c>
      <c r="AC131" s="40"/>
      <c r="AD131" s="7"/>
      <c r="AE131" s="77" t="str">
        <f t="shared" si="307"/>
        <v/>
      </c>
      <c r="AF131" s="81">
        <f t="shared" si="333"/>
        <v>0</v>
      </c>
      <c r="AG131" s="40"/>
      <c r="AH131" s="7"/>
      <c r="AI131" s="77" t="str">
        <f t="shared" si="308"/>
        <v/>
      </c>
      <c r="AJ131" s="81">
        <f t="shared" si="334"/>
        <v>0</v>
      </c>
      <c r="AK131" s="83">
        <f t="shared" si="335"/>
        <v>0</v>
      </c>
      <c r="AL131" s="83">
        <f t="shared" si="336"/>
        <v>0</v>
      </c>
      <c r="AN131" s="43">
        <f t="shared" si="309"/>
        <v>0</v>
      </c>
      <c r="AP131" t="str">
        <f t="shared" si="337"/>
        <v/>
      </c>
      <c r="AQ131" t="str">
        <f t="shared" si="338"/>
        <v/>
      </c>
      <c r="AR131" t="str">
        <f t="shared" si="339"/>
        <v/>
      </c>
      <c r="AS131" t="str">
        <f t="shared" si="340"/>
        <v/>
      </c>
      <c r="AT131" t="str">
        <f t="shared" si="341"/>
        <v/>
      </c>
      <c r="AU131" t="str">
        <f t="shared" si="342"/>
        <v/>
      </c>
      <c r="AV131" t="str">
        <f t="shared" si="343"/>
        <v/>
      </c>
      <c r="AW131" t="str">
        <f t="shared" si="344"/>
        <v xml:space="preserve">                              </v>
      </c>
      <c r="AX131" s="23">
        <f t="shared" si="345"/>
        <v>0</v>
      </c>
      <c r="AY131" s="49" t="str">
        <f t="shared" si="321"/>
        <v>000000000000000</v>
      </c>
      <c r="AZ131" s="23">
        <f t="shared" si="346"/>
        <v>0</v>
      </c>
      <c r="BA131" s="49" t="str">
        <f t="shared" si="321"/>
        <v>000000000000000</v>
      </c>
      <c r="BB131" s="23">
        <f t="shared" si="347"/>
        <v>0</v>
      </c>
      <c r="BC131" s="49" t="str">
        <f t="shared" ref="BC131" si="684">IF(BB131&lt;0,SUBSTITUTE(TEXT(BB131,"000000000000,00"),",",""),SUBSTITUTE(TEXT(BB131,"0000000000000,00"),",",""))</f>
        <v>000000000000000</v>
      </c>
      <c r="BD131" s="23">
        <f t="shared" si="349"/>
        <v>0</v>
      </c>
      <c r="BE131" s="49" t="str">
        <f t="shared" ref="BE131" si="685">IF(BD131&lt;0,SUBSTITUTE(TEXT(BD131,"000000000000,00"),",",""),SUBSTITUTE(TEXT(BD131,"0000000000000,00"),",",""))</f>
        <v>000000000000000</v>
      </c>
      <c r="BF131" s="23">
        <f t="shared" si="351"/>
        <v>0</v>
      </c>
      <c r="BG131" s="49" t="str">
        <f t="shared" ref="BG131" si="686">IF(BF131&lt;0,SUBSTITUTE(TEXT(BF131,"000000000000,00"),",",""),SUBSTITUTE(TEXT(BF131,"0000000000000,00"),",",""))</f>
        <v>000000000000000</v>
      </c>
      <c r="BH131" s="23">
        <f t="shared" si="353"/>
        <v>0</v>
      </c>
      <c r="BI131" s="49" t="str">
        <f t="shared" ref="BI131" si="687">IF(BH131&lt;0,SUBSTITUTE(TEXT(BH131,"000000000000,00"),",",""),SUBSTITUTE(TEXT(BH131,"0000000000000,00"),",",""))</f>
        <v>000000000000000</v>
      </c>
      <c r="BJ131" s="23">
        <f t="shared" si="355"/>
        <v>0</v>
      </c>
      <c r="BK131" s="49" t="str">
        <f t="shared" ref="BK131" si="688">IF(BJ131&lt;0,SUBSTITUTE(TEXT(BJ131,"000000000000,00"),",",""),SUBSTITUTE(TEXT(BJ131,"0000000000000,00"),",",""))</f>
        <v>000000000000000</v>
      </c>
      <c r="BL131" s="23">
        <f t="shared" si="357"/>
        <v>0</v>
      </c>
      <c r="BM131" s="49" t="str">
        <f t="shared" ref="BM131" si="689">IF(BL131&lt;0,SUBSTITUTE(TEXT(BL131,"000000000000,00"),",",""),SUBSTITUTE(TEXT(BL131,"0000000000000,00"),",",""))</f>
        <v>000000000000000</v>
      </c>
      <c r="BN131" t="str">
        <f t="shared" si="359"/>
        <v>PES</v>
      </c>
      <c r="BO131" t="str">
        <f t="shared" si="360"/>
        <v>0001000000</v>
      </c>
      <c r="BP131">
        <f t="shared" si="361"/>
        <v>0</v>
      </c>
      <c r="BQ131">
        <f t="shared" si="362"/>
        <v>0</v>
      </c>
      <c r="BR131" s="23">
        <f t="shared" si="363"/>
        <v>0</v>
      </c>
      <c r="BS131" s="49" t="str">
        <f t="shared" si="328"/>
        <v>000000000000000</v>
      </c>
      <c r="BT131" t="str">
        <f t="shared" si="364"/>
        <v>00000000</v>
      </c>
      <c r="BU131" s="23">
        <f t="shared" si="365"/>
        <v>0</v>
      </c>
      <c r="BV131" s="49" t="str">
        <f t="shared" si="329"/>
        <v/>
      </c>
      <c r="BW131" s="52" t="str">
        <f t="shared" si="366"/>
        <v/>
      </c>
      <c r="BX131" s="23">
        <f t="shared" si="367"/>
        <v>0</v>
      </c>
      <c r="BY131" s="49" t="str">
        <f t="shared" si="330"/>
        <v/>
      </c>
      <c r="BZ131" s="23">
        <f t="shared" si="368"/>
        <v>0</v>
      </c>
      <c r="CA131" s="49" t="str">
        <f t="shared" si="331"/>
        <v/>
      </c>
      <c r="CB131" s="52" t="str">
        <f t="shared" si="369"/>
        <v/>
      </c>
      <c r="CC131" s="23">
        <f t="shared" si="370"/>
        <v>0</v>
      </c>
      <c r="CD131" s="49" t="str">
        <f t="shared" si="332"/>
        <v/>
      </c>
      <c r="CE131" s="56" t="str">
        <f>IF(CF131="","",MAX(CE$10:$CE130)+1)</f>
        <v/>
      </c>
      <c r="CF131" t="str">
        <f t="shared" si="371"/>
        <v/>
      </c>
      <c r="CG131" s="22" t="str">
        <f>IF(CH131="","",MAX($CG$10:CG130)+1)</f>
        <v/>
      </c>
      <c r="CH131" s="22" t="str">
        <f t="shared" si="316"/>
        <v/>
      </c>
      <c r="CI131" s="22" t="str">
        <f>IF(CJ131="","",MAX($CI$10:CI130)+1)</f>
        <v/>
      </c>
      <c r="CJ131" s="22" t="str">
        <f t="shared" si="317"/>
        <v/>
      </c>
    </row>
    <row r="132" spans="2:88" x14ac:dyDescent="0.25">
      <c r="B132" s="37"/>
      <c r="C132" s="3"/>
      <c r="D132" s="77" t="str">
        <f t="shared" si="303"/>
        <v/>
      </c>
      <c r="E132" s="38"/>
      <c r="F132" s="38"/>
      <c r="G132" s="78">
        <f t="shared" si="318"/>
        <v>0</v>
      </c>
      <c r="H132" s="3">
        <v>80</v>
      </c>
      <c r="I132" s="77" t="str">
        <f t="shared" si="304"/>
        <v/>
      </c>
      <c r="J132" s="32"/>
      <c r="K132" s="3"/>
      <c r="L132" s="39"/>
      <c r="M132" s="39"/>
      <c r="N132" s="39"/>
      <c r="O132" s="39"/>
      <c r="P132" s="39"/>
      <c r="Q132" s="39"/>
      <c r="R132" s="39"/>
      <c r="S132" s="39"/>
      <c r="T132" s="3" t="s">
        <v>645</v>
      </c>
      <c r="U132" s="77" t="str">
        <f t="shared" si="305"/>
        <v/>
      </c>
      <c r="V132" s="39">
        <v>1</v>
      </c>
      <c r="W132" s="79">
        <f t="shared" si="319"/>
        <v>0</v>
      </c>
      <c r="X132" s="3">
        <v>0</v>
      </c>
      <c r="Y132" s="77" t="str">
        <f t="shared" si="306"/>
        <v/>
      </c>
      <c r="Z132" s="3"/>
      <c r="AA132" s="37" t="str">
        <f t="shared" si="320"/>
        <v/>
      </c>
      <c r="AC132" s="40"/>
      <c r="AD132" s="7"/>
      <c r="AE132" s="77" t="str">
        <f t="shared" si="307"/>
        <v/>
      </c>
      <c r="AF132" s="81">
        <f t="shared" si="333"/>
        <v>0</v>
      </c>
      <c r="AG132" s="40"/>
      <c r="AH132" s="7"/>
      <c r="AI132" s="77" t="str">
        <f t="shared" si="308"/>
        <v/>
      </c>
      <c r="AJ132" s="81">
        <f t="shared" si="334"/>
        <v>0</v>
      </c>
      <c r="AK132" s="83">
        <f t="shared" si="335"/>
        <v>0</v>
      </c>
      <c r="AL132" s="83">
        <f t="shared" si="336"/>
        <v>0</v>
      </c>
      <c r="AN132" s="43">
        <f t="shared" si="309"/>
        <v>0</v>
      </c>
      <c r="AP132" t="str">
        <f t="shared" si="337"/>
        <v/>
      </c>
      <c r="AQ132" t="str">
        <f t="shared" si="338"/>
        <v/>
      </c>
      <c r="AR132" t="str">
        <f t="shared" si="339"/>
        <v/>
      </c>
      <c r="AS132" t="str">
        <f t="shared" si="340"/>
        <v/>
      </c>
      <c r="AT132" t="str">
        <f t="shared" si="341"/>
        <v/>
      </c>
      <c r="AU132" t="str">
        <f t="shared" si="342"/>
        <v/>
      </c>
      <c r="AV132" t="str">
        <f t="shared" si="343"/>
        <v/>
      </c>
      <c r="AW132" t="str">
        <f t="shared" si="344"/>
        <v xml:space="preserve">                              </v>
      </c>
      <c r="AX132" s="23">
        <f t="shared" si="345"/>
        <v>0</v>
      </c>
      <c r="AY132" s="49" t="str">
        <f t="shared" si="321"/>
        <v>000000000000000</v>
      </c>
      <c r="AZ132" s="23">
        <f t="shared" si="346"/>
        <v>0</v>
      </c>
      <c r="BA132" s="49" t="str">
        <f t="shared" si="321"/>
        <v>000000000000000</v>
      </c>
      <c r="BB132" s="23">
        <f t="shared" si="347"/>
        <v>0</v>
      </c>
      <c r="BC132" s="49" t="str">
        <f t="shared" ref="BC132" si="690">IF(BB132&lt;0,SUBSTITUTE(TEXT(BB132,"000000000000,00"),",",""),SUBSTITUTE(TEXT(BB132,"0000000000000,00"),",",""))</f>
        <v>000000000000000</v>
      </c>
      <c r="BD132" s="23">
        <f t="shared" si="349"/>
        <v>0</v>
      </c>
      <c r="BE132" s="49" t="str">
        <f t="shared" ref="BE132" si="691">IF(BD132&lt;0,SUBSTITUTE(TEXT(BD132,"000000000000,00"),",",""),SUBSTITUTE(TEXT(BD132,"0000000000000,00"),",",""))</f>
        <v>000000000000000</v>
      </c>
      <c r="BF132" s="23">
        <f t="shared" si="351"/>
        <v>0</v>
      </c>
      <c r="BG132" s="49" t="str">
        <f t="shared" ref="BG132" si="692">IF(BF132&lt;0,SUBSTITUTE(TEXT(BF132,"000000000000,00"),",",""),SUBSTITUTE(TEXT(BF132,"0000000000000,00"),",",""))</f>
        <v>000000000000000</v>
      </c>
      <c r="BH132" s="23">
        <f t="shared" si="353"/>
        <v>0</v>
      </c>
      <c r="BI132" s="49" t="str">
        <f t="shared" ref="BI132" si="693">IF(BH132&lt;0,SUBSTITUTE(TEXT(BH132,"000000000000,00"),",",""),SUBSTITUTE(TEXT(BH132,"0000000000000,00"),",",""))</f>
        <v>000000000000000</v>
      </c>
      <c r="BJ132" s="23">
        <f t="shared" si="355"/>
        <v>0</v>
      </c>
      <c r="BK132" s="49" t="str">
        <f t="shared" ref="BK132" si="694">IF(BJ132&lt;0,SUBSTITUTE(TEXT(BJ132,"000000000000,00"),",",""),SUBSTITUTE(TEXT(BJ132,"0000000000000,00"),",",""))</f>
        <v>000000000000000</v>
      </c>
      <c r="BL132" s="23">
        <f t="shared" si="357"/>
        <v>0</v>
      </c>
      <c r="BM132" s="49" t="str">
        <f t="shared" ref="BM132" si="695">IF(BL132&lt;0,SUBSTITUTE(TEXT(BL132,"000000000000,00"),",",""),SUBSTITUTE(TEXT(BL132,"0000000000000,00"),",",""))</f>
        <v>000000000000000</v>
      </c>
      <c r="BN132" t="str">
        <f t="shared" si="359"/>
        <v>PES</v>
      </c>
      <c r="BO132" t="str">
        <f t="shared" si="360"/>
        <v>0001000000</v>
      </c>
      <c r="BP132">
        <f t="shared" si="361"/>
        <v>0</v>
      </c>
      <c r="BQ132">
        <f t="shared" si="362"/>
        <v>0</v>
      </c>
      <c r="BR132" s="23">
        <f t="shared" si="363"/>
        <v>0</v>
      </c>
      <c r="BS132" s="49" t="str">
        <f t="shared" si="328"/>
        <v>000000000000000</v>
      </c>
      <c r="BT132" t="str">
        <f t="shared" si="364"/>
        <v>00000000</v>
      </c>
      <c r="BU132" s="23">
        <f t="shared" si="365"/>
        <v>0</v>
      </c>
      <c r="BV132" s="49" t="str">
        <f t="shared" si="329"/>
        <v/>
      </c>
      <c r="BW132" s="52" t="str">
        <f t="shared" si="366"/>
        <v/>
      </c>
      <c r="BX132" s="23">
        <f t="shared" si="367"/>
        <v>0</v>
      </c>
      <c r="BY132" s="49" t="str">
        <f t="shared" si="330"/>
        <v/>
      </c>
      <c r="BZ132" s="23">
        <f t="shared" si="368"/>
        <v>0</v>
      </c>
      <c r="CA132" s="49" t="str">
        <f t="shared" si="331"/>
        <v/>
      </c>
      <c r="CB132" s="52" t="str">
        <f t="shared" si="369"/>
        <v/>
      </c>
      <c r="CC132" s="23">
        <f t="shared" si="370"/>
        <v>0</v>
      </c>
      <c r="CD132" s="49" t="str">
        <f t="shared" si="332"/>
        <v/>
      </c>
      <c r="CE132" s="56" t="str">
        <f>IF(CF132="","",MAX(CE$10:$CE131)+1)</f>
        <v/>
      </c>
      <c r="CF132" t="str">
        <f t="shared" si="371"/>
        <v/>
      </c>
      <c r="CG132" s="22" t="str">
        <f>IF(CH132="","",MAX($CG$10:CG131)+1)</f>
        <v/>
      </c>
      <c r="CH132" s="22" t="str">
        <f t="shared" si="316"/>
        <v/>
      </c>
      <c r="CI132" s="22" t="str">
        <f>IF(CJ132="","",MAX($CI$10:CI131)+1)</f>
        <v/>
      </c>
      <c r="CJ132" s="22" t="str">
        <f t="shared" si="317"/>
        <v/>
      </c>
    </row>
    <row r="133" spans="2:88" x14ac:dyDescent="0.25">
      <c r="B133" s="37"/>
      <c r="C133" s="3"/>
      <c r="D133" s="77" t="str">
        <f t="shared" si="303"/>
        <v/>
      </c>
      <c r="E133" s="38"/>
      <c r="F133" s="38"/>
      <c r="G133" s="78">
        <f t="shared" si="318"/>
        <v>0</v>
      </c>
      <c r="H133" s="3">
        <v>80</v>
      </c>
      <c r="I133" s="77" t="str">
        <f t="shared" si="304"/>
        <v/>
      </c>
      <c r="J133" s="32"/>
      <c r="K133" s="3"/>
      <c r="L133" s="39"/>
      <c r="M133" s="39"/>
      <c r="N133" s="39"/>
      <c r="O133" s="39"/>
      <c r="P133" s="39"/>
      <c r="Q133" s="39"/>
      <c r="R133" s="39"/>
      <c r="S133" s="39"/>
      <c r="T133" s="3" t="s">
        <v>645</v>
      </c>
      <c r="U133" s="77" t="str">
        <f t="shared" si="305"/>
        <v/>
      </c>
      <c r="V133" s="39">
        <v>1</v>
      </c>
      <c r="W133" s="79">
        <f t="shared" si="319"/>
        <v>0</v>
      </c>
      <c r="X133" s="3">
        <v>0</v>
      </c>
      <c r="Y133" s="77" t="str">
        <f t="shared" si="306"/>
        <v/>
      </c>
      <c r="Z133" s="3"/>
      <c r="AA133" s="37" t="str">
        <f t="shared" si="320"/>
        <v/>
      </c>
      <c r="AC133" s="40"/>
      <c r="AD133" s="7"/>
      <c r="AE133" s="77" t="str">
        <f t="shared" si="307"/>
        <v/>
      </c>
      <c r="AF133" s="81">
        <f t="shared" si="333"/>
        <v>0</v>
      </c>
      <c r="AG133" s="40"/>
      <c r="AH133" s="7"/>
      <c r="AI133" s="77" t="str">
        <f t="shared" si="308"/>
        <v/>
      </c>
      <c r="AJ133" s="81">
        <f t="shared" si="334"/>
        <v>0</v>
      </c>
      <c r="AK133" s="83">
        <f t="shared" si="335"/>
        <v>0</v>
      </c>
      <c r="AL133" s="83">
        <f t="shared" si="336"/>
        <v>0</v>
      </c>
      <c r="AN133" s="43">
        <f t="shared" si="309"/>
        <v>0</v>
      </c>
      <c r="AP133" t="str">
        <f t="shared" si="337"/>
        <v/>
      </c>
      <c r="AQ133" t="str">
        <f t="shared" si="338"/>
        <v/>
      </c>
      <c r="AR133" t="str">
        <f t="shared" si="339"/>
        <v/>
      </c>
      <c r="AS133" t="str">
        <f t="shared" si="340"/>
        <v/>
      </c>
      <c r="AT133" t="str">
        <f t="shared" si="341"/>
        <v/>
      </c>
      <c r="AU133" t="str">
        <f t="shared" si="342"/>
        <v/>
      </c>
      <c r="AV133" t="str">
        <f t="shared" si="343"/>
        <v/>
      </c>
      <c r="AW133" t="str">
        <f t="shared" si="344"/>
        <v xml:space="preserve">                              </v>
      </c>
      <c r="AX133" s="23">
        <f t="shared" si="345"/>
        <v>0</v>
      </c>
      <c r="AY133" s="49" t="str">
        <f t="shared" si="321"/>
        <v>000000000000000</v>
      </c>
      <c r="AZ133" s="23">
        <f t="shared" si="346"/>
        <v>0</v>
      </c>
      <c r="BA133" s="49" t="str">
        <f t="shared" si="321"/>
        <v>000000000000000</v>
      </c>
      <c r="BB133" s="23">
        <f t="shared" si="347"/>
        <v>0</v>
      </c>
      <c r="BC133" s="49" t="str">
        <f t="shared" ref="BC133" si="696">IF(BB133&lt;0,SUBSTITUTE(TEXT(BB133,"000000000000,00"),",",""),SUBSTITUTE(TEXT(BB133,"0000000000000,00"),",",""))</f>
        <v>000000000000000</v>
      </c>
      <c r="BD133" s="23">
        <f t="shared" si="349"/>
        <v>0</v>
      </c>
      <c r="BE133" s="49" t="str">
        <f t="shared" ref="BE133" si="697">IF(BD133&lt;0,SUBSTITUTE(TEXT(BD133,"000000000000,00"),",",""),SUBSTITUTE(TEXT(BD133,"0000000000000,00"),",",""))</f>
        <v>000000000000000</v>
      </c>
      <c r="BF133" s="23">
        <f t="shared" si="351"/>
        <v>0</v>
      </c>
      <c r="BG133" s="49" t="str">
        <f t="shared" ref="BG133" si="698">IF(BF133&lt;0,SUBSTITUTE(TEXT(BF133,"000000000000,00"),",",""),SUBSTITUTE(TEXT(BF133,"0000000000000,00"),",",""))</f>
        <v>000000000000000</v>
      </c>
      <c r="BH133" s="23">
        <f t="shared" si="353"/>
        <v>0</v>
      </c>
      <c r="BI133" s="49" t="str">
        <f t="shared" ref="BI133" si="699">IF(BH133&lt;0,SUBSTITUTE(TEXT(BH133,"000000000000,00"),",",""),SUBSTITUTE(TEXT(BH133,"0000000000000,00"),",",""))</f>
        <v>000000000000000</v>
      </c>
      <c r="BJ133" s="23">
        <f t="shared" si="355"/>
        <v>0</v>
      </c>
      <c r="BK133" s="49" t="str">
        <f t="shared" ref="BK133" si="700">IF(BJ133&lt;0,SUBSTITUTE(TEXT(BJ133,"000000000000,00"),",",""),SUBSTITUTE(TEXT(BJ133,"0000000000000,00"),",",""))</f>
        <v>000000000000000</v>
      </c>
      <c r="BL133" s="23">
        <f t="shared" si="357"/>
        <v>0</v>
      </c>
      <c r="BM133" s="49" t="str">
        <f t="shared" ref="BM133" si="701">IF(BL133&lt;0,SUBSTITUTE(TEXT(BL133,"000000000000,00"),",",""),SUBSTITUTE(TEXT(BL133,"0000000000000,00"),",",""))</f>
        <v>000000000000000</v>
      </c>
      <c r="BN133" t="str">
        <f t="shared" si="359"/>
        <v>PES</v>
      </c>
      <c r="BO133" t="str">
        <f t="shared" si="360"/>
        <v>0001000000</v>
      </c>
      <c r="BP133">
        <f t="shared" si="361"/>
        <v>0</v>
      </c>
      <c r="BQ133">
        <f t="shared" si="362"/>
        <v>0</v>
      </c>
      <c r="BR133" s="23">
        <f t="shared" si="363"/>
        <v>0</v>
      </c>
      <c r="BS133" s="49" t="str">
        <f t="shared" si="328"/>
        <v>000000000000000</v>
      </c>
      <c r="BT133" t="str">
        <f t="shared" si="364"/>
        <v>00000000</v>
      </c>
      <c r="BU133" s="23">
        <f t="shared" si="365"/>
        <v>0</v>
      </c>
      <c r="BV133" s="49" t="str">
        <f t="shared" si="329"/>
        <v/>
      </c>
      <c r="BW133" s="52" t="str">
        <f t="shared" si="366"/>
        <v/>
      </c>
      <c r="BX133" s="23">
        <f t="shared" si="367"/>
        <v>0</v>
      </c>
      <c r="BY133" s="49" t="str">
        <f t="shared" si="330"/>
        <v/>
      </c>
      <c r="BZ133" s="23">
        <f t="shared" si="368"/>
        <v>0</v>
      </c>
      <c r="CA133" s="49" t="str">
        <f t="shared" si="331"/>
        <v/>
      </c>
      <c r="CB133" s="52" t="str">
        <f t="shared" si="369"/>
        <v/>
      </c>
      <c r="CC133" s="23">
        <f t="shared" si="370"/>
        <v>0</v>
      </c>
      <c r="CD133" s="49" t="str">
        <f t="shared" si="332"/>
        <v/>
      </c>
      <c r="CE133" s="56" t="str">
        <f>IF(CF133="","",MAX(CE$10:$CE132)+1)</f>
        <v/>
      </c>
      <c r="CF133" t="str">
        <f t="shared" si="371"/>
        <v/>
      </c>
      <c r="CG133" s="22" t="str">
        <f>IF(CH133="","",MAX($CG$10:CG132)+1)</f>
        <v/>
      </c>
      <c r="CH133" s="22" t="str">
        <f t="shared" si="316"/>
        <v/>
      </c>
      <c r="CI133" s="22" t="str">
        <f>IF(CJ133="","",MAX($CI$10:CI132)+1)</f>
        <v/>
      </c>
      <c r="CJ133" s="22" t="str">
        <f t="shared" si="317"/>
        <v/>
      </c>
    </row>
    <row r="134" spans="2:88" x14ac:dyDescent="0.25">
      <c r="B134" s="37"/>
      <c r="C134" s="3"/>
      <c r="D134" s="77" t="str">
        <f t="shared" si="303"/>
        <v/>
      </c>
      <c r="E134" s="38"/>
      <c r="F134" s="38"/>
      <c r="G134" s="78">
        <f t="shared" si="318"/>
        <v>0</v>
      </c>
      <c r="H134" s="3">
        <v>80</v>
      </c>
      <c r="I134" s="77" t="str">
        <f t="shared" si="304"/>
        <v/>
      </c>
      <c r="J134" s="32"/>
      <c r="K134" s="3"/>
      <c r="L134" s="39"/>
      <c r="M134" s="39"/>
      <c r="N134" s="39"/>
      <c r="O134" s="39"/>
      <c r="P134" s="39"/>
      <c r="Q134" s="39"/>
      <c r="R134" s="39"/>
      <c r="S134" s="39"/>
      <c r="T134" s="3" t="s">
        <v>645</v>
      </c>
      <c r="U134" s="77" t="str">
        <f t="shared" si="305"/>
        <v/>
      </c>
      <c r="V134" s="39">
        <v>1</v>
      </c>
      <c r="W134" s="79">
        <f t="shared" si="319"/>
        <v>0</v>
      </c>
      <c r="X134" s="3">
        <v>0</v>
      </c>
      <c r="Y134" s="77" t="str">
        <f t="shared" si="306"/>
        <v/>
      </c>
      <c r="Z134" s="3"/>
      <c r="AA134" s="37" t="str">
        <f t="shared" si="320"/>
        <v/>
      </c>
      <c r="AC134" s="40"/>
      <c r="AD134" s="7"/>
      <c r="AE134" s="77" t="str">
        <f t="shared" si="307"/>
        <v/>
      </c>
      <c r="AF134" s="81">
        <f t="shared" si="333"/>
        <v>0</v>
      </c>
      <c r="AG134" s="40"/>
      <c r="AH134" s="7"/>
      <c r="AI134" s="77" t="str">
        <f t="shared" si="308"/>
        <v/>
      </c>
      <c r="AJ134" s="81">
        <f t="shared" si="334"/>
        <v>0</v>
      </c>
      <c r="AK134" s="83">
        <f t="shared" si="335"/>
        <v>0</v>
      </c>
      <c r="AL134" s="83">
        <f t="shared" si="336"/>
        <v>0</v>
      </c>
      <c r="AN134" s="43">
        <f t="shared" si="309"/>
        <v>0</v>
      </c>
      <c r="AP134" t="str">
        <f t="shared" si="337"/>
        <v/>
      </c>
      <c r="AQ134" t="str">
        <f t="shared" si="338"/>
        <v/>
      </c>
      <c r="AR134" t="str">
        <f t="shared" si="339"/>
        <v/>
      </c>
      <c r="AS134" t="str">
        <f t="shared" si="340"/>
        <v/>
      </c>
      <c r="AT134" t="str">
        <f t="shared" si="341"/>
        <v/>
      </c>
      <c r="AU134" t="str">
        <f t="shared" si="342"/>
        <v/>
      </c>
      <c r="AV134" t="str">
        <f t="shared" si="343"/>
        <v/>
      </c>
      <c r="AW134" t="str">
        <f t="shared" si="344"/>
        <v xml:space="preserve">                              </v>
      </c>
      <c r="AX134" s="23">
        <f t="shared" si="345"/>
        <v>0</v>
      </c>
      <c r="AY134" s="49" t="str">
        <f t="shared" si="321"/>
        <v>000000000000000</v>
      </c>
      <c r="AZ134" s="23">
        <f t="shared" si="346"/>
        <v>0</v>
      </c>
      <c r="BA134" s="49" t="str">
        <f t="shared" si="321"/>
        <v>000000000000000</v>
      </c>
      <c r="BB134" s="23">
        <f t="shared" si="347"/>
        <v>0</v>
      </c>
      <c r="BC134" s="49" t="str">
        <f t="shared" ref="BC134" si="702">IF(BB134&lt;0,SUBSTITUTE(TEXT(BB134,"000000000000,00"),",",""),SUBSTITUTE(TEXT(BB134,"0000000000000,00"),",",""))</f>
        <v>000000000000000</v>
      </c>
      <c r="BD134" s="23">
        <f t="shared" si="349"/>
        <v>0</v>
      </c>
      <c r="BE134" s="49" t="str">
        <f t="shared" ref="BE134" si="703">IF(BD134&lt;0,SUBSTITUTE(TEXT(BD134,"000000000000,00"),",",""),SUBSTITUTE(TEXT(BD134,"0000000000000,00"),",",""))</f>
        <v>000000000000000</v>
      </c>
      <c r="BF134" s="23">
        <f t="shared" si="351"/>
        <v>0</v>
      </c>
      <c r="BG134" s="49" t="str">
        <f t="shared" ref="BG134" si="704">IF(BF134&lt;0,SUBSTITUTE(TEXT(BF134,"000000000000,00"),",",""),SUBSTITUTE(TEXT(BF134,"0000000000000,00"),",",""))</f>
        <v>000000000000000</v>
      </c>
      <c r="BH134" s="23">
        <f t="shared" si="353"/>
        <v>0</v>
      </c>
      <c r="BI134" s="49" t="str">
        <f t="shared" ref="BI134" si="705">IF(BH134&lt;0,SUBSTITUTE(TEXT(BH134,"000000000000,00"),",",""),SUBSTITUTE(TEXT(BH134,"0000000000000,00"),",",""))</f>
        <v>000000000000000</v>
      </c>
      <c r="BJ134" s="23">
        <f t="shared" si="355"/>
        <v>0</v>
      </c>
      <c r="BK134" s="49" t="str">
        <f t="shared" ref="BK134" si="706">IF(BJ134&lt;0,SUBSTITUTE(TEXT(BJ134,"000000000000,00"),",",""),SUBSTITUTE(TEXT(BJ134,"0000000000000,00"),",",""))</f>
        <v>000000000000000</v>
      </c>
      <c r="BL134" s="23">
        <f t="shared" si="357"/>
        <v>0</v>
      </c>
      <c r="BM134" s="49" t="str">
        <f t="shared" ref="BM134" si="707">IF(BL134&lt;0,SUBSTITUTE(TEXT(BL134,"000000000000,00"),",",""),SUBSTITUTE(TEXT(BL134,"0000000000000,00"),",",""))</f>
        <v>000000000000000</v>
      </c>
      <c r="BN134" t="str">
        <f t="shared" si="359"/>
        <v>PES</v>
      </c>
      <c r="BO134" t="str">
        <f t="shared" si="360"/>
        <v>0001000000</v>
      </c>
      <c r="BP134">
        <f t="shared" si="361"/>
        <v>0</v>
      </c>
      <c r="BQ134">
        <f t="shared" si="362"/>
        <v>0</v>
      </c>
      <c r="BR134" s="23">
        <f t="shared" si="363"/>
        <v>0</v>
      </c>
      <c r="BS134" s="49" t="str">
        <f t="shared" si="328"/>
        <v>000000000000000</v>
      </c>
      <c r="BT134" t="str">
        <f t="shared" si="364"/>
        <v>00000000</v>
      </c>
      <c r="BU134" s="23">
        <f t="shared" si="365"/>
        <v>0</v>
      </c>
      <c r="BV134" s="49" t="str">
        <f t="shared" si="329"/>
        <v/>
      </c>
      <c r="BW134" s="52" t="str">
        <f t="shared" si="366"/>
        <v/>
      </c>
      <c r="BX134" s="23">
        <f t="shared" si="367"/>
        <v>0</v>
      </c>
      <c r="BY134" s="49" t="str">
        <f t="shared" si="330"/>
        <v/>
      </c>
      <c r="BZ134" s="23">
        <f t="shared" si="368"/>
        <v>0</v>
      </c>
      <c r="CA134" s="49" t="str">
        <f t="shared" si="331"/>
        <v/>
      </c>
      <c r="CB134" s="52" t="str">
        <f t="shared" si="369"/>
        <v/>
      </c>
      <c r="CC134" s="23">
        <f t="shared" si="370"/>
        <v>0</v>
      </c>
      <c r="CD134" s="49" t="str">
        <f t="shared" si="332"/>
        <v/>
      </c>
      <c r="CE134" s="56" t="str">
        <f>IF(CF134="","",MAX(CE$10:$CE133)+1)</f>
        <v/>
      </c>
      <c r="CF134" t="str">
        <f t="shared" si="371"/>
        <v/>
      </c>
      <c r="CG134" s="22" t="str">
        <f>IF(CH134="","",MAX($CG$10:CG133)+1)</f>
        <v/>
      </c>
      <c r="CH134" s="22" t="str">
        <f t="shared" si="316"/>
        <v/>
      </c>
      <c r="CI134" s="22" t="str">
        <f>IF(CJ134="","",MAX($CI$10:CI133)+1)</f>
        <v/>
      </c>
      <c r="CJ134" s="22" t="str">
        <f t="shared" si="317"/>
        <v/>
      </c>
    </row>
    <row r="135" spans="2:88" x14ac:dyDescent="0.25">
      <c r="B135" s="37"/>
      <c r="C135" s="3"/>
      <c r="D135" s="77" t="str">
        <f t="shared" si="303"/>
        <v/>
      </c>
      <c r="E135" s="38"/>
      <c r="F135" s="38"/>
      <c r="G135" s="78">
        <f t="shared" si="318"/>
        <v>0</v>
      </c>
      <c r="H135" s="3">
        <v>80</v>
      </c>
      <c r="I135" s="77" t="str">
        <f t="shared" si="304"/>
        <v/>
      </c>
      <c r="J135" s="32"/>
      <c r="K135" s="3"/>
      <c r="L135" s="39"/>
      <c r="M135" s="39"/>
      <c r="N135" s="39"/>
      <c r="O135" s="39"/>
      <c r="P135" s="39"/>
      <c r="Q135" s="39"/>
      <c r="R135" s="39"/>
      <c r="S135" s="39"/>
      <c r="T135" s="3" t="s">
        <v>645</v>
      </c>
      <c r="U135" s="77" t="str">
        <f t="shared" si="305"/>
        <v/>
      </c>
      <c r="V135" s="39">
        <v>1</v>
      </c>
      <c r="W135" s="79">
        <f t="shared" si="319"/>
        <v>0</v>
      </c>
      <c r="X135" s="3">
        <v>0</v>
      </c>
      <c r="Y135" s="77" t="str">
        <f t="shared" si="306"/>
        <v/>
      </c>
      <c r="Z135" s="3"/>
      <c r="AA135" s="37" t="str">
        <f t="shared" si="320"/>
        <v/>
      </c>
      <c r="AC135" s="40"/>
      <c r="AD135" s="7"/>
      <c r="AE135" s="77" t="str">
        <f t="shared" si="307"/>
        <v/>
      </c>
      <c r="AF135" s="81">
        <f t="shared" si="333"/>
        <v>0</v>
      </c>
      <c r="AG135" s="40"/>
      <c r="AH135" s="7"/>
      <c r="AI135" s="77" t="str">
        <f t="shared" si="308"/>
        <v/>
      </c>
      <c r="AJ135" s="81">
        <f t="shared" si="334"/>
        <v>0</v>
      </c>
      <c r="AK135" s="83">
        <f t="shared" si="335"/>
        <v>0</v>
      </c>
      <c r="AL135" s="83">
        <f t="shared" si="336"/>
        <v>0</v>
      </c>
      <c r="AN135" s="43">
        <f t="shared" si="309"/>
        <v>0</v>
      </c>
      <c r="AP135" t="str">
        <f t="shared" si="337"/>
        <v/>
      </c>
      <c r="AQ135" t="str">
        <f t="shared" si="338"/>
        <v/>
      </c>
      <c r="AR135" t="str">
        <f t="shared" si="339"/>
        <v/>
      </c>
      <c r="AS135" t="str">
        <f t="shared" si="340"/>
        <v/>
      </c>
      <c r="AT135" t="str">
        <f t="shared" si="341"/>
        <v/>
      </c>
      <c r="AU135" t="str">
        <f t="shared" si="342"/>
        <v/>
      </c>
      <c r="AV135" t="str">
        <f t="shared" si="343"/>
        <v/>
      </c>
      <c r="AW135" t="str">
        <f t="shared" si="344"/>
        <v xml:space="preserve">                              </v>
      </c>
      <c r="AX135" s="23">
        <f t="shared" si="345"/>
        <v>0</v>
      </c>
      <c r="AY135" s="49" t="str">
        <f t="shared" si="321"/>
        <v>000000000000000</v>
      </c>
      <c r="AZ135" s="23">
        <f t="shared" si="346"/>
        <v>0</v>
      </c>
      <c r="BA135" s="49" t="str">
        <f t="shared" si="321"/>
        <v>000000000000000</v>
      </c>
      <c r="BB135" s="23">
        <f t="shared" si="347"/>
        <v>0</v>
      </c>
      <c r="BC135" s="49" t="str">
        <f t="shared" ref="BC135" si="708">IF(BB135&lt;0,SUBSTITUTE(TEXT(BB135,"000000000000,00"),",",""),SUBSTITUTE(TEXT(BB135,"0000000000000,00"),",",""))</f>
        <v>000000000000000</v>
      </c>
      <c r="BD135" s="23">
        <f t="shared" si="349"/>
        <v>0</v>
      </c>
      <c r="BE135" s="49" t="str">
        <f t="shared" ref="BE135" si="709">IF(BD135&lt;0,SUBSTITUTE(TEXT(BD135,"000000000000,00"),",",""),SUBSTITUTE(TEXT(BD135,"0000000000000,00"),",",""))</f>
        <v>000000000000000</v>
      </c>
      <c r="BF135" s="23">
        <f t="shared" si="351"/>
        <v>0</v>
      </c>
      <c r="BG135" s="49" t="str">
        <f t="shared" ref="BG135" si="710">IF(BF135&lt;0,SUBSTITUTE(TEXT(BF135,"000000000000,00"),",",""),SUBSTITUTE(TEXT(BF135,"0000000000000,00"),",",""))</f>
        <v>000000000000000</v>
      </c>
      <c r="BH135" s="23">
        <f t="shared" si="353"/>
        <v>0</v>
      </c>
      <c r="BI135" s="49" t="str">
        <f t="shared" ref="BI135" si="711">IF(BH135&lt;0,SUBSTITUTE(TEXT(BH135,"000000000000,00"),",",""),SUBSTITUTE(TEXT(BH135,"0000000000000,00"),",",""))</f>
        <v>000000000000000</v>
      </c>
      <c r="BJ135" s="23">
        <f t="shared" si="355"/>
        <v>0</v>
      </c>
      <c r="BK135" s="49" t="str">
        <f t="shared" ref="BK135" si="712">IF(BJ135&lt;0,SUBSTITUTE(TEXT(BJ135,"000000000000,00"),",",""),SUBSTITUTE(TEXT(BJ135,"0000000000000,00"),",",""))</f>
        <v>000000000000000</v>
      </c>
      <c r="BL135" s="23">
        <f t="shared" si="357"/>
        <v>0</v>
      </c>
      <c r="BM135" s="49" t="str">
        <f t="shared" ref="BM135" si="713">IF(BL135&lt;0,SUBSTITUTE(TEXT(BL135,"000000000000,00"),",",""),SUBSTITUTE(TEXT(BL135,"0000000000000,00"),",",""))</f>
        <v>000000000000000</v>
      </c>
      <c r="BN135" t="str">
        <f t="shared" si="359"/>
        <v>PES</v>
      </c>
      <c r="BO135" t="str">
        <f t="shared" si="360"/>
        <v>0001000000</v>
      </c>
      <c r="BP135">
        <f t="shared" si="361"/>
        <v>0</v>
      </c>
      <c r="BQ135">
        <f t="shared" si="362"/>
        <v>0</v>
      </c>
      <c r="BR135" s="23">
        <f t="shared" si="363"/>
        <v>0</v>
      </c>
      <c r="BS135" s="49" t="str">
        <f t="shared" si="328"/>
        <v>000000000000000</v>
      </c>
      <c r="BT135" t="str">
        <f t="shared" si="364"/>
        <v>00000000</v>
      </c>
      <c r="BU135" s="23">
        <f t="shared" si="365"/>
        <v>0</v>
      </c>
      <c r="BV135" s="49" t="str">
        <f t="shared" si="329"/>
        <v/>
      </c>
      <c r="BW135" s="52" t="str">
        <f t="shared" si="366"/>
        <v/>
      </c>
      <c r="BX135" s="23">
        <f t="shared" si="367"/>
        <v>0</v>
      </c>
      <c r="BY135" s="49" t="str">
        <f t="shared" si="330"/>
        <v/>
      </c>
      <c r="BZ135" s="23">
        <f t="shared" si="368"/>
        <v>0</v>
      </c>
      <c r="CA135" s="49" t="str">
        <f t="shared" si="331"/>
        <v/>
      </c>
      <c r="CB135" s="52" t="str">
        <f t="shared" si="369"/>
        <v/>
      </c>
      <c r="CC135" s="23">
        <f t="shared" si="370"/>
        <v>0</v>
      </c>
      <c r="CD135" s="49" t="str">
        <f t="shared" si="332"/>
        <v/>
      </c>
      <c r="CE135" s="56" t="str">
        <f>IF(CF135="","",MAX(CE$10:$CE134)+1)</f>
        <v/>
      </c>
      <c r="CF135" t="str">
        <f t="shared" si="371"/>
        <v/>
      </c>
      <c r="CG135" s="22" t="str">
        <f>IF(CH135="","",MAX($CG$10:CG134)+1)</f>
        <v/>
      </c>
      <c r="CH135" s="22" t="str">
        <f t="shared" si="316"/>
        <v/>
      </c>
      <c r="CI135" s="22" t="str">
        <f>IF(CJ135="","",MAX($CI$10:CI134)+1)</f>
        <v/>
      </c>
      <c r="CJ135" s="22" t="str">
        <f t="shared" si="317"/>
        <v/>
      </c>
    </row>
    <row r="136" spans="2:88" x14ac:dyDescent="0.25">
      <c r="B136" s="37"/>
      <c r="C136" s="3"/>
      <c r="D136" s="77" t="str">
        <f t="shared" si="303"/>
        <v/>
      </c>
      <c r="E136" s="38"/>
      <c r="F136" s="38"/>
      <c r="G136" s="78">
        <f t="shared" si="318"/>
        <v>0</v>
      </c>
      <c r="H136" s="3">
        <v>80</v>
      </c>
      <c r="I136" s="77" t="str">
        <f t="shared" si="304"/>
        <v/>
      </c>
      <c r="J136" s="32"/>
      <c r="K136" s="3"/>
      <c r="L136" s="39"/>
      <c r="M136" s="39"/>
      <c r="N136" s="39"/>
      <c r="O136" s="39"/>
      <c r="P136" s="39"/>
      <c r="Q136" s="39"/>
      <c r="R136" s="39"/>
      <c r="S136" s="39"/>
      <c r="T136" s="3" t="s">
        <v>645</v>
      </c>
      <c r="U136" s="77" t="str">
        <f t="shared" si="305"/>
        <v/>
      </c>
      <c r="V136" s="39">
        <v>1</v>
      </c>
      <c r="W136" s="79">
        <f t="shared" si="319"/>
        <v>0</v>
      </c>
      <c r="X136" s="3">
        <v>0</v>
      </c>
      <c r="Y136" s="77" t="str">
        <f t="shared" si="306"/>
        <v/>
      </c>
      <c r="Z136" s="3"/>
      <c r="AA136" s="37" t="str">
        <f t="shared" si="320"/>
        <v/>
      </c>
      <c r="AC136" s="40"/>
      <c r="AD136" s="7"/>
      <c r="AE136" s="77" t="str">
        <f t="shared" si="307"/>
        <v/>
      </c>
      <c r="AF136" s="81">
        <f t="shared" si="333"/>
        <v>0</v>
      </c>
      <c r="AG136" s="40"/>
      <c r="AH136" s="7"/>
      <c r="AI136" s="77" t="str">
        <f t="shared" si="308"/>
        <v/>
      </c>
      <c r="AJ136" s="81">
        <f t="shared" si="334"/>
        <v>0</v>
      </c>
      <c r="AK136" s="83">
        <f t="shared" si="335"/>
        <v>0</v>
      </c>
      <c r="AL136" s="83">
        <f t="shared" si="336"/>
        <v>0</v>
      </c>
      <c r="AN136" s="43">
        <f t="shared" si="309"/>
        <v>0</v>
      </c>
      <c r="AP136" t="str">
        <f t="shared" si="337"/>
        <v/>
      </c>
      <c r="AQ136" t="str">
        <f t="shared" si="338"/>
        <v/>
      </c>
      <c r="AR136" t="str">
        <f t="shared" si="339"/>
        <v/>
      </c>
      <c r="AS136" t="str">
        <f t="shared" si="340"/>
        <v/>
      </c>
      <c r="AT136" t="str">
        <f t="shared" si="341"/>
        <v/>
      </c>
      <c r="AU136" t="str">
        <f t="shared" si="342"/>
        <v/>
      </c>
      <c r="AV136" t="str">
        <f t="shared" si="343"/>
        <v/>
      </c>
      <c r="AW136" t="str">
        <f t="shared" si="344"/>
        <v xml:space="preserve">                              </v>
      </c>
      <c r="AX136" s="23">
        <f t="shared" si="345"/>
        <v>0</v>
      </c>
      <c r="AY136" s="49" t="str">
        <f t="shared" si="321"/>
        <v>000000000000000</v>
      </c>
      <c r="AZ136" s="23">
        <f t="shared" si="346"/>
        <v>0</v>
      </c>
      <c r="BA136" s="49" t="str">
        <f t="shared" si="321"/>
        <v>000000000000000</v>
      </c>
      <c r="BB136" s="23">
        <f t="shared" si="347"/>
        <v>0</v>
      </c>
      <c r="BC136" s="49" t="str">
        <f t="shared" ref="BC136" si="714">IF(BB136&lt;0,SUBSTITUTE(TEXT(BB136,"000000000000,00"),",",""),SUBSTITUTE(TEXT(BB136,"0000000000000,00"),",",""))</f>
        <v>000000000000000</v>
      </c>
      <c r="BD136" s="23">
        <f t="shared" si="349"/>
        <v>0</v>
      </c>
      <c r="BE136" s="49" t="str">
        <f t="shared" ref="BE136" si="715">IF(BD136&lt;0,SUBSTITUTE(TEXT(BD136,"000000000000,00"),",",""),SUBSTITUTE(TEXT(BD136,"0000000000000,00"),",",""))</f>
        <v>000000000000000</v>
      </c>
      <c r="BF136" s="23">
        <f t="shared" si="351"/>
        <v>0</v>
      </c>
      <c r="BG136" s="49" t="str">
        <f t="shared" ref="BG136" si="716">IF(BF136&lt;0,SUBSTITUTE(TEXT(BF136,"000000000000,00"),",",""),SUBSTITUTE(TEXT(BF136,"0000000000000,00"),",",""))</f>
        <v>000000000000000</v>
      </c>
      <c r="BH136" s="23">
        <f t="shared" si="353"/>
        <v>0</v>
      </c>
      <c r="BI136" s="49" t="str">
        <f t="shared" ref="BI136" si="717">IF(BH136&lt;0,SUBSTITUTE(TEXT(BH136,"000000000000,00"),",",""),SUBSTITUTE(TEXT(BH136,"0000000000000,00"),",",""))</f>
        <v>000000000000000</v>
      </c>
      <c r="BJ136" s="23">
        <f t="shared" si="355"/>
        <v>0</v>
      </c>
      <c r="BK136" s="49" t="str">
        <f t="shared" ref="BK136" si="718">IF(BJ136&lt;0,SUBSTITUTE(TEXT(BJ136,"000000000000,00"),",",""),SUBSTITUTE(TEXT(BJ136,"0000000000000,00"),",",""))</f>
        <v>000000000000000</v>
      </c>
      <c r="BL136" s="23">
        <f t="shared" si="357"/>
        <v>0</v>
      </c>
      <c r="BM136" s="49" t="str">
        <f t="shared" ref="BM136" si="719">IF(BL136&lt;0,SUBSTITUTE(TEXT(BL136,"000000000000,00"),",",""),SUBSTITUTE(TEXT(BL136,"0000000000000,00"),",",""))</f>
        <v>000000000000000</v>
      </c>
      <c r="BN136" t="str">
        <f t="shared" si="359"/>
        <v>PES</v>
      </c>
      <c r="BO136" t="str">
        <f t="shared" si="360"/>
        <v>0001000000</v>
      </c>
      <c r="BP136">
        <f t="shared" si="361"/>
        <v>0</v>
      </c>
      <c r="BQ136">
        <f t="shared" si="362"/>
        <v>0</v>
      </c>
      <c r="BR136" s="23">
        <f t="shared" si="363"/>
        <v>0</v>
      </c>
      <c r="BS136" s="49" t="str">
        <f t="shared" si="328"/>
        <v>000000000000000</v>
      </c>
      <c r="BT136" t="str">
        <f t="shared" si="364"/>
        <v>00000000</v>
      </c>
      <c r="BU136" s="23">
        <f t="shared" si="365"/>
        <v>0</v>
      </c>
      <c r="BV136" s="49" t="str">
        <f t="shared" si="329"/>
        <v/>
      </c>
      <c r="BW136" s="52" t="str">
        <f t="shared" si="366"/>
        <v/>
      </c>
      <c r="BX136" s="23">
        <f t="shared" si="367"/>
        <v>0</v>
      </c>
      <c r="BY136" s="49" t="str">
        <f t="shared" si="330"/>
        <v/>
      </c>
      <c r="BZ136" s="23">
        <f t="shared" si="368"/>
        <v>0</v>
      </c>
      <c r="CA136" s="49" t="str">
        <f t="shared" si="331"/>
        <v/>
      </c>
      <c r="CB136" s="52" t="str">
        <f t="shared" si="369"/>
        <v/>
      </c>
      <c r="CC136" s="23">
        <f t="shared" si="370"/>
        <v>0</v>
      </c>
      <c r="CD136" s="49" t="str">
        <f t="shared" si="332"/>
        <v/>
      </c>
      <c r="CE136" s="56" t="str">
        <f>IF(CF136="","",MAX(CE$10:$CE135)+1)</f>
        <v/>
      </c>
      <c r="CF136" t="str">
        <f t="shared" si="371"/>
        <v/>
      </c>
      <c r="CG136" s="22" t="str">
        <f>IF(CH136="","",MAX($CG$10:CG135)+1)</f>
        <v/>
      </c>
      <c r="CH136" s="22" t="str">
        <f t="shared" si="316"/>
        <v/>
      </c>
      <c r="CI136" s="22" t="str">
        <f>IF(CJ136="","",MAX($CI$10:CI135)+1)</f>
        <v/>
      </c>
      <c r="CJ136" s="22" t="str">
        <f t="shared" si="317"/>
        <v/>
      </c>
    </row>
    <row r="137" spans="2:88" x14ac:dyDescent="0.25">
      <c r="B137" s="37"/>
      <c r="C137" s="3"/>
      <c r="D137" s="77" t="str">
        <f t="shared" si="303"/>
        <v/>
      </c>
      <c r="E137" s="38"/>
      <c r="F137" s="38"/>
      <c r="G137" s="78">
        <f t="shared" si="318"/>
        <v>0</v>
      </c>
      <c r="H137" s="3">
        <v>80</v>
      </c>
      <c r="I137" s="77" t="str">
        <f t="shared" si="304"/>
        <v/>
      </c>
      <c r="J137" s="32"/>
      <c r="K137" s="3"/>
      <c r="L137" s="39"/>
      <c r="M137" s="39"/>
      <c r="N137" s="39"/>
      <c r="O137" s="39"/>
      <c r="P137" s="39"/>
      <c r="Q137" s="39"/>
      <c r="R137" s="39"/>
      <c r="S137" s="39"/>
      <c r="T137" s="3" t="s">
        <v>645</v>
      </c>
      <c r="U137" s="77" t="str">
        <f t="shared" si="305"/>
        <v/>
      </c>
      <c r="V137" s="39">
        <v>1</v>
      </c>
      <c r="W137" s="79">
        <f t="shared" si="319"/>
        <v>0</v>
      </c>
      <c r="X137" s="3">
        <v>0</v>
      </c>
      <c r="Y137" s="77" t="str">
        <f t="shared" si="306"/>
        <v/>
      </c>
      <c r="Z137" s="3"/>
      <c r="AA137" s="37" t="str">
        <f t="shared" si="320"/>
        <v/>
      </c>
      <c r="AC137" s="40"/>
      <c r="AD137" s="7"/>
      <c r="AE137" s="77" t="str">
        <f t="shared" si="307"/>
        <v/>
      </c>
      <c r="AF137" s="81">
        <f t="shared" si="333"/>
        <v>0</v>
      </c>
      <c r="AG137" s="40"/>
      <c r="AH137" s="7"/>
      <c r="AI137" s="77" t="str">
        <f t="shared" si="308"/>
        <v/>
      </c>
      <c r="AJ137" s="81">
        <f t="shared" si="334"/>
        <v>0</v>
      </c>
      <c r="AK137" s="83">
        <f t="shared" si="335"/>
        <v>0</v>
      </c>
      <c r="AL137" s="83">
        <f t="shared" si="336"/>
        <v>0</v>
      </c>
      <c r="AN137" s="43">
        <f t="shared" si="309"/>
        <v>0</v>
      </c>
      <c r="AP137" t="str">
        <f t="shared" si="337"/>
        <v/>
      </c>
      <c r="AQ137" t="str">
        <f t="shared" si="338"/>
        <v/>
      </c>
      <c r="AR137" t="str">
        <f t="shared" si="339"/>
        <v/>
      </c>
      <c r="AS137" t="str">
        <f t="shared" si="340"/>
        <v/>
      </c>
      <c r="AT137" t="str">
        <f t="shared" si="341"/>
        <v/>
      </c>
      <c r="AU137" t="str">
        <f t="shared" si="342"/>
        <v/>
      </c>
      <c r="AV137" t="str">
        <f t="shared" si="343"/>
        <v/>
      </c>
      <c r="AW137" t="str">
        <f t="shared" si="344"/>
        <v xml:space="preserve">                              </v>
      </c>
      <c r="AX137" s="23">
        <f t="shared" si="345"/>
        <v>0</v>
      </c>
      <c r="AY137" s="49" t="str">
        <f t="shared" si="321"/>
        <v>000000000000000</v>
      </c>
      <c r="AZ137" s="23">
        <f t="shared" si="346"/>
        <v>0</v>
      </c>
      <c r="BA137" s="49" t="str">
        <f t="shared" si="321"/>
        <v>000000000000000</v>
      </c>
      <c r="BB137" s="23">
        <f t="shared" si="347"/>
        <v>0</v>
      </c>
      <c r="BC137" s="49" t="str">
        <f t="shared" ref="BC137" si="720">IF(BB137&lt;0,SUBSTITUTE(TEXT(BB137,"000000000000,00"),",",""),SUBSTITUTE(TEXT(BB137,"0000000000000,00"),",",""))</f>
        <v>000000000000000</v>
      </c>
      <c r="BD137" s="23">
        <f t="shared" si="349"/>
        <v>0</v>
      </c>
      <c r="BE137" s="49" t="str">
        <f t="shared" ref="BE137" si="721">IF(BD137&lt;0,SUBSTITUTE(TEXT(BD137,"000000000000,00"),",",""),SUBSTITUTE(TEXT(BD137,"0000000000000,00"),",",""))</f>
        <v>000000000000000</v>
      </c>
      <c r="BF137" s="23">
        <f t="shared" si="351"/>
        <v>0</v>
      </c>
      <c r="BG137" s="49" t="str">
        <f t="shared" ref="BG137" si="722">IF(BF137&lt;0,SUBSTITUTE(TEXT(BF137,"000000000000,00"),",",""),SUBSTITUTE(TEXT(BF137,"0000000000000,00"),",",""))</f>
        <v>000000000000000</v>
      </c>
      <c r="BH137" s="23">
        <f t="shared" si="353"/>
        <v>0</v>
      </c>
      <c r="BI137" s="49" t="str">
        <f t="shared" ref="BI137" si="723">IF(BH137&lt;0,SUBSTITUTE(TEXT(BH137,"000000000000,00"),",",""),SUBSTITUTE(TEXT(BH137,"0000000000000,00"),",",""))</f>
        <v>000000000000000</v>
      </c>
      <c r="BJ137" s="23">
        <f t="shared" si="355"/>
        <v>0</v>
      </c>
      <c r="BK137" s="49" t="str">
        <f t="shared" ref="BK137" si="724">IF(BJ137&lt;0,SUBSTITUTE(TEXT(BJ137,"000000000000,00"),",",""),SUBSTITUTE(TEXT(BJ137,"0000000000000,00"),",",""))</f>
        <v>000000000000000</v>
      </c>
      <c r="BL137" s="23">
        <f t="shared" si="357"/>
        <v>0</v>
      </c>
      <c r="BM137" s="49" t="str">
        <f t="shared" ref="BM137" si="725">IF(BL137&lt;0,SUBSTITUTE(TEXT(BL137,"000000000000,00"),",",""),SUBSTITUTE(TEXT(BL137,"0000000000000,00"),",",""))</f>
        <v>000000000000000</v>
      </c>
      <c r="BN137" t="str">
        <f t="shared" si="359"/>
        <v>PES</v>
      </c>
      <c r="BO137" t="str">
        <f t="shared" si="360"/>
        <v>0001000000</v>
      </c>
      <c r="BP137">
        <f t="shared" si="361"/>
        <v>0</v>
      </c>
      <c r="BQ137">
        <f t="shared" si="362"/>
        <v>0</v>
      </c>
      <c r="BR137" s="23">
        <f t="shared" si="363"/>
        <v>0</v>
      </c>
      <c r="BS137" s="49" t="str">
        <f t="shared" si="328"/>
        <v>000000000000000</v>
      </c>
      <c r="BT137" t="str">
        <f t="shared" si="364"/>
        <v>00000000</v>
      </c>
      <c r="BU137" s="23">
        <f t="shared" si="365"/>
        <v>0</v>
      </c>
      <c r="BV137" s="49" t="str">
        <f t="shared" si="329"/>
        <v/>
      </c>
      <c r="BW137" s="52" t="str">
        <f t="shared" si="366"/>
        <v/>
      </c>
      <c r="BX137" s="23">
        <f t="shared" si="367"/>
        <v>0</v>
      </c>
      <c r="BY137" s="49" t="str">
        <f t="shared" si="330"/>
        <v/>
      </c>
      <c r="BZ137" s="23">
        <f t="shared" si="368"/>
        <v>0</v>
      </c>
      <c r="CA137" s="49" t="str">
        <f t="shared" si="331"/>
        <v/>
      </c>
      <c r="CB137" s="52" t="str">
        <f t="shared" si="369"/>
        <v/>
      </c>
      <c r="CC137" s="23">
        <f t="shared" si="370"/>
        <v>0</v>
      </c>
      <c r="CD137" s="49" t="str">
        <f t="shared" si="332"/>
        <v/>
      </c>
      <c r="CE137" s="56" t="str">
        <f>IF(CF137="","",MAX(CE$10:$CE136)+1)</f>
        <v/>
      </c>
      <c r="CF137" t="str">
        <f t="shared" si="371"/>
        <v/>
      </c>
      <c r="CG137" s="22" t="str">
        <f>IF(CH137="","",MAX($CG$10:CG136)+1)</f>
        <v/>
      </c>
      <c r="CH137" s="22" t="str">
        <f t="shared" si="316"/>
        <v/>
      </c>
      <c r="CI137" s="22" t="str">
        <f>IF(CJ137="","",MAX($CI$10:CI136)+1)</f>
        <v/>
      </c>
      <c r="CJ137" s="22" t="str">
        <f t="shared" si="317"/>
        <v/>
      </c>
    </row>
    <row r="138" spans="2:88" x14ac:dyDescent="0.25">
      <c r="B138" s="37"/>
      <c r="C138" s="3"/>
      <c r="D138" s="77" t="str">
        <f t="shared" si="303"/>
        <v/>
      </c>
      <c r="E138" s="38"/>
      <c r="F138" s="38"/>
      <c r="G138" s="78">
        <f t="shared" si="318"/>
        <v>0</v>
      </c>
      <c r="H138" s="3">
        <v>80</v>
      </c>
      <c r="I138" s="77" t="str">
        <f t="shared" si="304"/>
        <v/>
      </c>
      <c r="J138" s="32"/>
      <c r="K138" s="3"/>
      <c r="L138" s="39"/>
      <c r="M138" s="39"/>
      <c r="N138" s="39"/>
      <c r="O138" s="39"/>
      <c r="P138" s="39"/>
      <c r="Q138" s="39"/>
      <c r="R138" s="39"/>
      <c r="S138" s="39"/>
      <c r="T138" s="3" t="s">
        <v>645</v>
      </c>
      <c r="U138" s="77" t="str">
        <f t="shared" si="305"/>
        <v/>
      </c>
      <c r="V138" s="39">
        <v>1</v>
      </c>
      <c r="W138" s="79">
        <f t="shared" si="319"/>
        <v>0</v>
      </c>
      <c r="X138" s="3">
        <v>0</v>
      </c>
      <c r="Y138" s="77" t="str">
        <f t="shared" si="306"/>
        <v/>
      </c>
      <c r="Z138" s="3"/>
      <c r="AA138" s="37" t="str">
        <f t="shared" si="320"/>
        <v/>
      </c>
      <c r="AC138" s="40"/>
      <c r="AD138" s="7"/>
      <c r="AE138" s="77" t="str">
        <f t="shared" si="307"/>
        <v/>
      </c>
      <c r="AF138" s="81">
        <f t="shared" si="333"/>
        <v>0</v>
      </c>
      <c r="AG138" s="40"/>
      <c r="AH138" s="7"/>
      <c r="AI138" s="77" t="str">
        <f t="shared" si="308"/>
        <v/>
      </c>
      <c r="AJ138" s="81">
        <f t="shared" si="334"/>
        <v>0</v>
      </c>
      <c r="AK138" s="83">
        <f t="shared" si="335"/>
        <v>0</v>
      </c>
      <c r="AL138" s="83">
        <f t="shared" si="336"/>
        <v>0</v>
      </c>
      <c r="AN138" s="43">
        <f t="shared" si="309"/>
        <v>0</v>
      </c>
      <c r="AP138" t="str">
        <f t="shared" si="337"/>
        <v/>
      </c>
      <c r="AQ138" t="str">
        <f t="shared" si="338"/>
        <v/>
      </c>
      <c r="AR138" t="str">
        <f t="shared" si="339"/>
        <v/>
      </c>
      <c r="AS138" t="str">
        <f t="shared" si="340"/>
        <v/>
      </c>
      <c r="AT138" t="str">
        <f t="shared" si="341"/>
        <v/>
      </c>
      <c r="AU138" t="str">
        <f t="shared" si="342"/>
        <v/>
      </c>
      <c r="AV138" t="str">
        <f t="shared" si="343"/>
        <v/>
      </c>
      <c r="AW138" t="str">
        <f t="shared" si="344"/>
        <v xml:space="preserve">                              </v>
      </c>
      <c r="AX138" s="23">
        <f t="shared" si="345"/>
        <v>0</v>
      </c>
      <c r="AY138" s="49" t="str">
        <f t="shared" si="321"/>
        <v>000000000000000</v>
      </c>
      <c r="AZ138" s="23">
        <f t="shared" si="346"/>
        <v>0</v>
      </c>
      <c r="BA138" s="49" t="str">
        <f t="shared" si="321"/>
        <v>000000000000000</v>
      </c>
      <c r="BB138" s="23">
        <f t="shared" si="347"/>
        <v>0</v>
      </c>
      <c r="BC138" s="49" t="str">
        <f t="shared" ref="BC138" si="726">IF(BB138&lt;0,SUBSTITUTE(TEXT(BB138,"000000000000,00"),",",""),SUBSTITUTE(TEXT(BB138,"0000000000000,00"),",",""))</f>
        <v>000000000000000</v>
      </c>
      <c r="BD138" s="23">
        <f t="shared" si="349"/>
        <v>0</v>
      </c>
      <c r="BE138" s="49" t="str">
        <f t="shared" ref="BE138" si="727">IF(BD138&lt;0,SUBSTITUTE(TEXT(BD138,"000000000000,00"),",",""),SUBSTITUTE(TEXT(BD138,"0000000000000,00"),",",""))</f>
        <v>000000000000000</v>
      </c>
      <c r="BF138" s="23">
        <f t="shared" si="351"/>
        <v>0</v>
      </c>
      <c r="BG138" s="49" t="str">
        <f t="shared" ref="BG138" si="728">IF(BF138&lt;0,SUBSTITUTE(TEXT(BF138,"000000000000,00"),",",""),SUBSTITUTE(TEXT(BF138,"0000000000000,00"),",",""))</f>
        <v>000000000000000</v>
      </c>
      <c r="BH138" s="23">
        <f t="shared" si="353"/>
        <v>0</v>
      </c>
      <c r="BI138" s="49" t="str">
        <f t="shared" ref="BI138" si="729">IF(BH138&lt;0,SUBSTITUTE(TEXT(BH138,"000000000000,00"),",",""),SUBSTITUTE(TEXT(BH138,"0000000000000,00"),",",""))</f>
        <v>000000000000000</v>
      </c>
      <c r="BJ138" s="23">
        <f t="shared" si="355"/>
        <v>0</v>
      </c>
      <c r="BK138" s="49" t="str">
        <f t="shared" ref="BK138" si="730">IF(BJ138&lt;0,SUBSTITUTE(TEXT(BJ138,"000000000000,00"),",",""),SUBSTITUTE(TEXT(BJ138,"0000000000000,00"),",",""))</f>
        <v>000000000000000</v>
      </c>
      <c r="BL138" s="23">
        <f t="shared" si="357"/>
        <v>0</v>
      </c>
      <c r="BM138" s="49" t="str">
        <f t="shared" ref="BM138" si="731">IF(BL138&lt;0,SUBSTITUTE(TEXT(BL138,"000000000000,00"),",",""),SUBSTITUTE(TEXT(BL138,"0000000000000,00"),",",""))</f>
        <v>000000000000000</v>
      </c>
      <c r="BN138" t="str">
        <f t="shared" si="359"/>
        <v>PES</v>
      </c>
      <c r="BO138" t="str">
        <f t="shared" si="360"/>
        <v>0001000000</v>
      </c>
      <c r="BP138">
        <f t="shared" si="361"/>
        <v>0</v>
      </c>
      <c r="BQ138">
        <f t="shared" si="362"/>
        <v>0</v>
      </c>
      <c r="BR138" s="23">
        <f t="shared" si="363"/>
        <v>0</v>
      </c>
      <c r="BS138" s="49" t="str">
        <f t="shared" si="328"/>
        <v>000000000000000</v>
      </c>
      <c r="BT138" t="str">
        <f t="shared" si="364"/>
        <v>00000000</v>
      </c>
      <c r="BU138" s="23">
        <f t="shared" si="365"/>
        <v>0</v>
      </c>
      <c r="BV138" s="49" t="str">
        <f t="shared" si="329"/>
        <v/>
      </c>
      <c r="BW138" s="52" t="str">
        <f t="shared" si="366"/>
        <v/>
      </c>
      <c r="BX138" s="23">
        <f t="shared" si="367"/>
        <v>0</v>
      </c>
      <c r="BY138" s="49" t="str">
        <f t="shared" si="330"/>
        <v/>
      </c>
      <c r="BZ138" s="23">
        <f t="shared" si="368"/>
        <v>0</v>
      </c>
      <c r="CA138" s="49" t="str">
        <f t="shared" si="331"/>
        <v/>
      </c>
      <c r="CB138" s="52" t="str">
        <f t="shared" si="369"/>
        <v/>
      </c>
      <c r="CC138" s="23">
        <f t="shared" si="370"/>
        <v>0</v>
      </c>
      <c r="CD138" s="49" t="str">
        <f t="shared" si="332"/>
        <v/>
      </c>
      <c r="CE138" s="56" t="str">
        <f>IF(CF138="","",MAX(CE$10:$CE137)+1)</f>
        <v/>
      </c>
      <c r="CF138" t="str">
        <f t="shared" si="371"/>
        <v/>
      </c>
      <c r="CG138" s="22" t="str">
        <f>IF(CH138="","",MAX($CG$10:CG137)+1)</f>
        <v/>
      </c>
      <c r="CH138" s="22" t="str">
        <f t="shared" si="316"/>
        <v/>
      </c>
      <c r="CI138" s="22" t="str">
        <f>IF(CJ138="","",MAX($CI$10:CI137)+1)</f>
        <v/>
      </c>
      <c r="CJ138" s="22" t="str">
        <f t="shared" si="317"/>
        <v/>
      </c>
    </row>
    <row r="139" spans="2:88" x14ac:dyDescent="0.25">
      <c r="B139" s="37"/>
      <c r="C139" s="3"/>
      <c r="D139" s="77" t="str">
        <f t="shared" si="303"/>
        <v/>
      </c>
      <c r="E139" s="38"/>
      <c r="F139" s="38"/>
      <c r="G139" s="78">
        <f t="shared" si="318"/>
        <v>0</v>
      </c>
      <c r="H139" s="3">
        <v>80</v>
      </c>
      <c r="I139" s="77" t="str">
        <f t="shared" si="304"/>
        <v/>
      </c>
      <c r="J139" s="32"/>
      <c r="K139" s="3"/>
      <c r="L139" s="39"/>
      <c r="M139" s="39"/>
      <c r="N139" s="39"/>
      <c r="O139" s="39"/>
      <c r="P139" s="39"/>
      <c r="Q139" s="39"/>
      <c r="R139" s="39"/>
      <c r="S139" s="39"/>
      <c r="T139" s="3" t="s">
        <v>645</v>
      </c>
      <c r="U139" s="77" t="str">
        <f t="shared" si="305"/>
        <v/>
      </c>
      <c r="V139" s="39">
        <v>1</v>
      </c>
      <c r="W139" s="79">
        <f t="shared" si="319"/>
        <v>0</v>
      </c>
      <c r="X139" s="3">
        <v>0</v>
      </c>
      <c r="Y139" s="77" t="str">
        <f t="shared" si="306"/>
        <v/>
      </c>
      <c r="Z139" s="3"/>
      <c r="AA139" s="37" t="str">
        <f t="shared" si="320"/>
        <v/>
      </c>
      <c r="AC139" s="40"/>
      <c r="AD139" s="7"/>
      <c r="AE139" s="77" t="str">
        <f t="shared" si="307"/>
        <v/>
      </c>
      <c r="AF139" s="81">
        <f t="shared" si="333"/>
        <v>0</v>
      </c>
      <c r="AG139" s="40"/>
      <c r="AH139" s="7"/>
      <c r="AI139" s="77" t="str">
        <f t="shared" si="308"/>
        <v/>
      </c>
      <c r="AJ139" s="81">
        <f t="shared" si="334"/>
        <v>0</v>
      </c>
      <c r="AK139" s="83">
        <f t="shared" si="335"/>
        <v>0</v>
      </c>
      <c r="AL139" s="83">
        <f t="shared" si="336"/>
        <v>0</v>
      </c>
      <c r="AN139" s="43">
        <f t="shared" si="309"/>
        <v>0</v>
      </c>
      <c r="AP139" t="str">
        <f t="shared" si="337"/>
        <v/>
      </c>
      <c r="AQ139" t="str">
        <f t="shared" si="338"/>
        <v/>
      </c>
      <c r="AR139" t="str">
        <f t="shared" si="339"/>
        <v/>
      </c>
      <c r="AS139" t="str">
        <f t="shared" si="340"/>
        <v/>
      </c>
      <c r="AT139" t="str">
        <f t="shared" si="341"/>
        <v/>
      </c>
      <c r="AU139" t="str">
        <f t="shared" si="342"/>
        <v/>
      </c>
      <c r="AV139" t="str">
        <f t="shared" si="343"/>
        <v/>
      </c>
      <c r="AW139" t="str">
        <f t="shared" si="344"/>
        <v xml:space="preserve">                              </v>
      </c>
      <c r="AX139" s="23">
        <f t="shared" si="345"/>
        <v>0</v>
      </c>
      <c r="AY139" s="49" t="str">
        <f t="shared" si="321"/>
        <v>000000000000000</v>
      </c>
      <c r="AZ139" s="23">
        <f t="shared" si="346"/>
        <v>0</v>
      </c>
      <c r="BA139" s="49" t="str">
        <f t="shared" si="321"/>
        <v>000000000000000</v>
      </c>
      <c r="BB139" s="23">
        <f t="shared" si="347"/>
        <v>0</v>
      </c>
      <c r="BC139" s="49" t="str">
        <f t="shared" ref="BC139" si="732">IF(BB139&lt;0,SUBSTITUTE(TEXT(BB139,"000000000000,00"),",",""),SUBSTITUTE(TEXT(BB139,"0000000000000,00"),",",""))</f>
        <v>000000000000000</v>
      </c>
      <c r="BD139" s="23">
        <f t="shared" si="349"/>
        <v>0</v>
      </c>
      <c r="BE139" s="49" t="str">
        <f t="shared" ref="BE139" si="733">IF(BD139&lt;0,SUBSTITUTE(TEXT(BD139,"000000000000,00"),",",""),SUBSTITUTE(TEXT(BD139,"0000000000000,00"),",",""))</f>
        <v>000000000000000</v>
      </c>
      <c r="BF139" s="23">
        <f t="shared" si="351"/>
        <v>0</v>
      </c>
      <c r="BG139" s="49" t="str">
        <f t="shared" ref="BG139" si="734">IF(BF139&lt;0,SUBSTITUTE(TEXT(BF139,"000000000000,00"),",",""),SUBSTITUTE(TEXT(BF139,"0000000000000,00"),",",""))</f>
        <v>000000000000000</v>
      </c>
      <c r="BH139" s="23">
        <f t="shared" si="353"/>
        <v>0</v>
      </c>
      <c r="BI139" s="49" t="str">
        <f t="shared" ref="BI139" si="735">IF(BH139&lt;0,SUBSTITUTE(TEXT(BH139,"000000000000,00"),",",""),SUBSTITUTE(TEXT(BH139,"0000000000000,00"),",",""))</f>
        <v>000000000000000</v>
      </c>
      <c r="BJ139" s="23">
        <f t="shared" si="355"/>
        <v>0</v>
      </c>
      <c r="BK139" s="49" t="str">
        <f t="shared" ref="BK139" si="736">IF(BJ139&lt;0,SUBSTITUTE(TEXT(BJ139,"000000000000,00"),",",""),SUBSTITUTE(TEXT(BJ139,"0000000000000,00"),",",""))</f>
        <v>000000000000000</v>
      </c>
      <c r="BL139" s="23">
        <f t="shared" si="357"/>
        <v>0</v>
      </c>
      <c r="BM139" s="49" t="str">
        <f t="shared" ref="BM139" si="737">IF(BL139&lt;0,SUBSTITUTE(TEXT(BL139,"000000000000,00"),",",""),SUBSTITUTE(TEXT(BL139,"0000000000000,00"),",",""))</f>
        <v>000000000000000</v>
      </c>
      <c r="BN139" t="str">
        <f t="shared" si="359"/>
        <v>PES</v>
      </c>
      <c r="BO139" t="str">
        <f t="shared" si="360"/>
        <v>0001000000</v>
      </c>
      <c r="BP139">
        <f t="shared" si="361"/>
        <v>0</v>
      </c>
      <c r="BQ139">
        <f t="shared" si="362"/>
        <v>0</v>
      </c>
      <c r="BR139" s="23">
        <f t="shared" si="363"/>
        <v>0</v>
      </c>
      <c r="BS139" s="49" t="str">
        <f t="shared" si="328"/>
        <v>000000000000000</v>
      </c>
      <c r="BT139" t="str">
        <f t="shared" si="364"/>
        <v>00000000</v>
      </c>
      <c r="BU139" s="23">
        <f t="shared" si="365"/>
        <v>0</v>
      </c>
      <c r="BV139" s="49" t="str">
        <f t="shared" si="329"/>
        <v/>
      </c>
      <c r="BW139" s="52" t="str">
        <f t="shared" si="366"/>
        <v/>
      </c>
      <c r="BX139" s="23">
        <f t="shared" si="367"/>
        <v>0</v>
      </c>
      <c r="BY139" s="49" t="str">
        <f t="shared" si="330"/>
        <v/>
      </c>
      <c r="BZ139" s="23">
        <f t="shared" si="368"/>
        <v>0</v>
      </c>
      <c r="CA139" s="49" t="str">
        <f t="shared" si="331"/>
        <v/>
      </c>
      <c r="CB139" s="52" t="str">
        <f t="shared" si="369"/>
        <v/>
      </c>
      <c r="CC139" s="23">
        <f t="shared" si="370"/>
        <v>0</v>
      </c>
      <c r="CD139" s="49" t="str">
        <f t="shared" si="332"/>
        <v/>
      </c>
      <c r="CE139" s="56" t="str">
        <f>IF(CF139="","",MAX(CE$10:$CE138)+1)</f>
        <v/>
      </c>
      <c r="CF139" t="str">
        <f t="shared" si="371"/>
        <v/>
      </c>
      <c r="CG139" s="22" t="str">
        <f>IF(CH139="","",MAX($CG$10:CG138)+1)</f>
        <v/>
      </c>
      <c r="CH139" s="22" t="str">
        <f t="shared" si="316"/>
        <v/>
      </c>
      <c r="CI139" s="22" t="str">
        <f>IF(CJ139="","",MAX($CI$10:CI138)+1)</f>
        <v/>
      </c>
      <c r="CJ139" s="22" t="str">
        <f t="shared" si="317"/>
        <v/>
      </c>
    </row>
    <row r="140" spans="2:88" x14ac:dyDescent="0.25">
      <c r="B140" s="37"/>
      <c r="C140" s="3"/>
      <c r="D140" s="77" t="str">
        <f t="shared" ref="D140:D203" si="738">IF(B140="","",IF(ISERROR(VLOOKUP(C140,T_CompVentas,2,FALSE)),"",VLOOKUP(C140,T_CompVentas,2,FALSE)))</f>
        <v/>
      </c>
      <c r="E140" s="38"/>
      <c r="F140" s="38"/>
      <c r="G140" s="78">
        <f t="shared" si="318"/>
        <v>0</v>
      </c>
      <c r="H140" s="3">
        <v>80</v>
      </c>
      <c r="I140" s="77" t="str">
        <f t="shared" ref="I140:I203" si="739">IF(B140="","",IF(H140="","",IF(ISERROR(VLOOKUP(H140,T_Documentos,2,FALSE)),"",VLOOKUP(H140,T_Documentos,2,FALSE))))</f>
        <v/>
      </c>
      <c r="J140" s="32"/>
      <c r="K140" s="3"/>
      <c r="L140" s="39"/>
      <c r="M140" s="39"/>
      <c r="N140" s="39"/>
      <c r="O140" s="39"/>
      <c r="P140" s="39"/>
      <c r="Q140" s="39"/>
      <c r="R140" s="39"/>
      <c r="S140" s="39"/>
      <c r="T140" s="3" t="s">
        <v>645</v>
      </c>
      <c r="U140" s="77" t="str">
        <f t="shared" ref="U140:U203" si="740">IF(B140="","",IF(ISERROR(VLOOKUP(T140,T_Monedas,2,FALSE)),"",VLOOKUP(T140,T_Monedas,2,FALSE)))</f>
        <v/>
      </c>
      <c r="V140" s="39">
        <v>1</v>
      </c>
      <c r="W140" s="79">
        <f t="shared" si="319"/>
        <v>0</v>
      </c>
      <c r="X140" s="3">
        <v>0</v>
      </c>
      <c r="Y140" s="77" t="str">
        <f t="shared" ref="Y140:Y203" si="741">IF(B140="","",IF(ISERROR(VLOOKUP(X140,T_CodOperVentas,2,FALSE)),"",VLOOKUP(X140,T_CodOperVentas,2,FALSE)))</f>
        <v/>
      </c>
      <c r="Z140" s="3"/>
      <c r="AA140" s="37" t="str">
        <f t="shared" si="320"/>
        <v/>
      </c>
      <c r="AC140" s="40"/>
      <c r="AD140" s="7"/>
      <c r="AE140" s="77" t="str">
        <f t="shared" ref="AE140:AE203" si="742">IF(B140="","",IF(AD140="","",IF(ISERROR(VLOOKUP(AD140,T_Alicuotas,2,FALSE)),"",VLOOKUP(AD140,T_Alicuotas,2,FALSE))))</f>
        <v/>
      </c>
      <c r="AF140" s="81">
        <f t="shared" si="333"/>
        <v>0</v>
      </c>
      <c r="AG140" s="40"/>
      <c r="AH140" s="7"/>
      <c r="AI140" s="77" t="str">
        <f t="shared" ref="AI140:AI203" si="743">IF(B140="","",IF(AH140="","",IF(ISERROR(VLOOKUP(AH140,T_Alicuotas,2,FALSE)),"",VLOOKUP(AH140,T_Alicuotas,2,FALSE))))</f>
        <v/>
      </c>
      <c r="AJ140" s="81">
        <f t="shared" si="334"/>
        <v>0</v>
      </c>
      <c r="AK140" s="83">
        <f t="shared" si="335"/>
        <v>0</v>
      </c>
      <c r="AL140" s="83">
        <f t="shared" si="336"/>
        <v>0</v>
      </c>
      <c r="AN140" s="43">
        <f t="shared" ref="AN140:AN203" si="744">+L140-M140-N140-O140-P140-Q140-R140-S140-AC140-AF140-AG140-AJ140</f>
        <v>0</v>
      </c>
      <c r="AP140" t="str">
        <f t="shared" si="337"/>
        <v/>
      </c>
      <c r="AQ140" t="str">
        <f t="shared" si="338"/>
        <v/>
      </c>
      <c r="AR140" t="str">
        <f t="shared" si="339"/>
        <v/>
      </c>
      <c r="AS140" t="str">
        <f t="shared" si="340"/>
        <v/>
      </c>
      <c r="AT140" t="str">
        <f t="shared" si="341"/>
        <v/>
      </c>
      <c r="AU140" t="str">
        <f t="shared" si="342"/>
        <v/>
      </c>
      <c r="AV140" t="str">
        <f t="shared" si="343"/>
        <v/>
      </c>
      <c r="AW140" t="str">
        <f t="shared" si="344"/>
        <v xml:space="preserve">                              </v>
      </c>
      <c r="AX140" s="23">
        <f t="shared" si="345"/>
        <v>0</v>
      </c>
      <c r="AY140" s="49" t="str">
        <f t="shared" si="321"/>
        <v>000000000000000</v>
      </c>
      <c r="AZ140" s="23">
        <f t="shared" si="346"/>
        <v>0</v>
      </c>
      <c r="BA140" s="49" t="str">
        <f t="shared" si="321"/>
        <v>000000000000000</v>
      </c>
      <c r="BB140" s="23">
        <f t="shared" si="347"/>
        <v>0</v>
      </c>
      <c r="BC140" s="49" t="str">
        <f t="shared" ref="BC140" si="745">IF(BB140&lt;0,SUBSTITUTE(TEXT(BB140,"000000000000,00"),",",""),SUBSTITUTE(TEXT(BB140,"0000000000000,00"),",",""))</f>
        <v>000000000000000</v>
      </c>
      <c r="BD140" s="23">
        <f t="shared" si="349"/>
        <v>0</v>
      </c>
      <c r="BE140" s="49" t="str">
        <f t="shared" ref="BE140" si="746">IF(BD140&lt;0,SUBSTITUTE(TEXT(BD140,"000000000000,00"),",",""),SUBSTITUTE(TEXT(BD140,"0000000000000,00"),",",""))</f>
        <v>000000000000000</v>
      </c>
      <c r="BF140" s="23">
        <f t="shared" si="351"/>
        <v>0</v>
      </c>
      <c r="BG140" s="49" t="str">
        <f t="shared" ref="BG140" si="747">IF(BF140&lt;0,SUBSTITUTE(TEXT(BF140,"000000000000,00"),",",""),SUBSTITUTE(TEXT(BF140,"0000000000000,00"),",",""))</f>
        <v>000000000000000</v>
      </c>
      <c r="BH140" s="23">
        <f t="shared" si="353"/>
        <v>0</v>
      </c>
      <c r="BI140" s="49" t="str">
        <f t="shared" ref="BI140" si="748">IF(BH140&lt;0,SUBSTITUTE(TEXT(BH140,"000000000000,00"),",",""),SUBSTITUTE(TEXT(BH140,"0000000000000,00"),",",""))</f>
        <v>000000000000000</v>
      </c>
      <c r="BJ140" s="23">
        <f t="shared" si="355"/>
        <v>0</v>
      </c>
      <c r="BK140" s="49" t="str">
        <f t="shared" ref="BK140" si="749">IF(BJ140&lt;0,SUBSTITUTE(TEXT(BJ140,"000000000000,00"),",",""),SUBSTITUTE(TEXT(BJ140,"0000000000000,00"),",",""))</f>
        <v>000000000000000</v>
      </c>
      <c r="BL140" s="23">
        <f t="shared" si="357"/>
        <v>0</v>
      </c>
      <c r="BM140" s="49" t="str">
        <f t="shared" ref="BM140" si="750">IF(BL140&lt;0,SUBSTITUTE(TEXT(BL140,"000000000000,00"),",",""),SUBSTITUTE(TEXT(BL140,"0000000000000,00"),",",""))</f>
        <v>000000000000000</v>
      </c>
      <c r="BN140" t="str">
        <f t="shared" si="359"/>
        <v>PES</v>
      </c>
      <c r="BO140" t="str">
        <f t="shared" si="360"/>
        <v>0001000000</v>
      </c>
      <c r="BP140">
        <f t="shared" si="361"/>
        <v>0</v>
      </c>
      <c r="BQ140">
        <f t="shared" si="362"/>
        <v>0</v>
      </c>
      <c r="BR140" s="23">
        <f t="shared" si="363"/>
        <v>0</v>
      </c>
      <c r="BS140" s="49" t="str">
        <f t="shared" si="328"/>
        <v>000000000000000</v>
      </c>
      <c r="BT140" t="str">
        <f t="shared" si="364"/>
        <v>00000000</v>
      </c>
      <c r="BU140" s="23">
        <f t="shared" si="365"/>
        <v>0</v>
      </c>
      <c r="BV140" s="49" t="str">
        <f t="shared" si="329"/>
        <v/>
      </c>
      <c r="BW140" s="52" t="str">
        <f t="shared" si="366"/>
        <v/>
      </c>
      <c r="BX140" s="23">
        <f t="shared" si="367"/>
        <v>0</v>
      </c>
      <c r="BY140" s="49" t="str">
        <f t="shared" si="330"/>
        <v/>
      </c>
      <c r="BZ140" s="23">
        <f t="shared" si="368"/>
        <v>0</v>
      </c>
      <c r="CA140" s="49" t="str">
        <f t="shared" si="331"/>
        <v/>
      </c>
      <c r="CB140" s="52" t="str">
        <f t="shared" si="369"/>
        <v/>
      </c>
      <c r="CC140" s="23">
        <f t="shared" si="370"/>
        <v>0</v>
      </c>
      <c r="CD140" s="49" t="str">
        <f t="shared" si="332"/>
        <v/>
      </c>
      <c r="CE140" s="56" t="str">
        <f>IF(CF140="","",MAX(CE$10:$CE139)+1)</f>
        <v/>
      </c>
      <c r="CF140" t="str">
        <f t="shared" si="371"/>
        <v/>
      </c>
      <c r="CG140" s="22" t="str">
        <f>IF(CH140="","",MAX($CG$10:CG139)+1)</f>
        <v/>
      </c>
      <c r="CH140" s="22" t="str">
        <f t="shared" ref="CH140:CH203" si="751">IF(BV140="","",AQ140&amp;AR140&amp;AS140&amp;BV140&amp;BW140&amp;BY140)</f>
        <v/>
      </c>
      <c r="CI140" s="22" t="str">
        <f>IF(CJ140="","",MAX($CI$10:CI139)+1)</f>
        <v/>
      </c>
      <c r="CJ140" s="22" t="str">
        <f t="shared" ref="CJ140:CJ203" si="752">IF(CA140="","",AQ140&amp;AR140&amp;AS140&amp;CA140&amp;CB140&amp;CD140)</f>
        <v/>
      </c>
    </row>
    <row r="141" spans="2:88" x14ac:dyDescent="0.25">
      <c r="B141" s="37"/>
      <c r="C141" s="3"/>
      <c r="D141" s="77" t="str">
        <f t="shared" si="738"/>
        <v/>
      </c>
      <c r="E141" s="38"/>
      <c r="F141" s="38"/>
      <c r="G141" s="78">
        <f t="shared" ref="G141:G204" si="753">+F141</f>
        <v>0</v>
      </c>
      <c r="H141" s="3">
        <v>80</v>
      </c>
      <c r="I141" s="77" t="str">
        <f t="shared" si="739"/>
        <v/>
      </c>
      <c r="J141" s="32"/>
      <c r="K141" s="3"/>
      <c r="L141" s="39"/>
      <c r="M141" s="39"/>
      <c r="N141" s="39"/>
      <c r="O141" s="39"/>
      <c r="P141" s="39"/>
      <c r="Q141" s="39"/>
      <c r="R141" s="39"/>
      <c r="S141" s="39"/>
      <c r="T141" s="3" t="s">
        <v>645</v>
      </c>
      <c r="U141" s="77" t="str">
        <f t="shared" si="740"/>
        <v/>
      </c>
      <c r="V141" s="39">
        <v>1</v>
      </c>
      <c r="W141" s="79">
        <f t="shared" ref="W141:W204" si="754">IF(AD141="",0,1)+IF(OR(AH141=""),0,1)</f>
        <v>0</v>
      </c>
      <c r="X141" s="3">
        <v>0</v>
      </c>
      <c r="Y141" s="77" t="str">
        <f t="shared" si="741"/>
        <v/>
      </c>
      <c r="Z141" s="3"/>
      <c r="AA141" s="37" t="str">
        <f t="shared" ref="AA141:AA204" si="755">IF(OR(B141="",C141=82),"",B141)</f>
        <v/>
      </c>
      <c r="AC141" s="40"/>
      <c r="AD141" s="7"/>
      <c r="AE141" s="77" t="str">
        <f t="shared" si="742"/>
        <v/>
      </c>
      <c r="AF141" s="81">
        <f t="shared" si="333"/>
        <v>0</v>
      </c>
      <c r="AG141" s="40"/>
      <c r="AH141" s="7"/>
      <c r="AI141" s="77" t="str">
        <f t="shared" si="743"/>
        <v/>
      </c>
      <c r="AJ141" s="81">
        <f t="shared" si="334"/>
        <v>0</v>
      </c>
      <c r="AK141" s="83">
        <f t="shared" si="335"/>
        <v>0</v>
      </c>
      <c r="AL141" s="83">
        <f t="shared" si="336"/>
        <v>0</v>
      </c>
      <c r="AN141" s="43">
        <f t="shared" si="744"/>
        <v>0</v>
      </c>
      <c r="AP141" t="str">
        <f t="shared" si="337"/>
        <v/>
      </c>
      <c r="AQ141" t="str">
        <f t="shared" si="338"/>
        <v/>
      </c>
      <c r="AR141" t="str">
        <f t="shared" si="339"/>
        <v/>
      </c>
      <c r="AS141" t="str">
        <f t="shared" si="340"/>
        <v/>
      </c>
      <c r="AT141" t="str">
        <f t="shared" si="341"/>
        <v/>
      </c>
      <c r="AU141" t="str">
        <f t="shared" si="342"/>
        <v/>
      </c>
      <c r="AV141" t="str">
        <f t="shared" si="343"/>
        <v/>
      </c>
      <c r="AW141" t="str">
        <f t="shared" si="344"/>
        <v xml:space="preserve">                              </v>
      </c>
      <c r="AX141" s="23">
        <f t="shared" si="345"/>
        <v>0</v>
      </c>
      <c r="AY141" s="49" t="str">
        <f t="shared" ref="AY141:BA204" si="756">IF(AX141&lt;0,SUBSTITUTE(TEXT(AX141,"000000000000,00"),",",""),SUBSTITUTE(TEXT(AX141,"0000000000000,00"),",",""))</f>
        <v>000000000000000</v>
      </c>
      <c r="AZ141" s="23">
        <f t="shared" si="346"/>
        <v>0</v>
      </c>
      <c r="BA141" s="49" t="str">
        <f t="shared" si="756"/>
        <v>000000000000000</v>
      </c>
      <c r="BB141" s="23">
        <f t="shared" si="347"/>
        <v>0</v>
      </c>
      <c r="BC141" s="49" t="str">
        <f t="shared" ref="BC141" si="757">IF(BB141&lt;0,SUBSTITUTE(TEXT(BB141,"000000000000,00"),",",""),SUBSTITUTE(TEXT(BB141,"0000000000000,00"),",",""))</f>
        <v>000000000000000</v>
      </c>
      <c r="BD141" s="23">
        <f t="shared" si="349"/>
        <v>0</v>
      </c>
      <c r="BE141" s="49" t="str">
        <f t="shared" ref="BE141" si="758">IF(BD141&lt;0,SUBSTITUTE(TEXT(BD141,"000000000000,00"),",",""),SUBSTITUTE(TEXT(BD141,"0000000000000,00"),",",""))</f>
        <v>000000000000000</v>
      </c>
      <c r="BF141" s="23">
        <f t="shared" si="351"/>
        <v>0</v>
      </c>
      <c r="BG141" s="49" t="str">
        <f t="shared" ref="BG141" si="759">IF(BF141&lt;0,SUBSTITUTE(TEXT(BF141,"000000000000,00"),",",""),SUBSTITUTE(TEXT(BF141,"0000000000000,00"),",",""))</f>
        <v>000000000000000</v>
      </c>
      <c r="BH141" s="23">
        <f t="shared" si="353"/>
        <v>0</v>
      </c>
      <c r="BI141" s="49" t="str">
        <f t="shared" ref="BI141" si="760">IF(BH141&lt;0,SUBSTITUTE(TEXT(BH141,"000000000000,00"),",",""),SUBSTITUTE(TEXT(BH141,"0000000000000,00"),",",""))</f>
        <v>000000000000000</v>
      </c>
      <c r="BJ141" s="23">
        <f t="shared" si="355"/>
        <v>0</v>
      </c>
      <c r="BK141" s="49" t="str">
        <f t="shared" ref="BK141" si="761">IF(BJ141&lt;0,SUBSTITUTE(TEXT(BJ141,"000000000000,00"),",",""),SUBSTITUTE(TEXT(BJ141,"0000000000000,00"),",",""))</f>
        <v>000000000000000</v>
      </c>
      <c r="BL141" s="23">
        <f t="shared" si="357"/>
        <v>0</v>
      </c>
      <c r="BM141" s="49" t="str">
        <f t="shared" ref="BM141" si="762">IF(BL141&lt;0,SUBSTITUTE(TEXT(BL141,"000000000000,00"),",",""),SUBSTITUTE(TEXT(BL141,"0000000000000,00"),",",""))</f>
        <v>000000000000000</v>
      </c>
      <c r="BN141" t="str">
        <f t="shared" si="359"/>
        <v>PES</v>
      </c>
      <c r="BO141" t="str">
        <f t="shared" si="360"/>
        <v>0001000000</v>
      </c>
      <c r="BP141">
        <f t="shared" si="361"/>
        <v>0</v>
      </c>
      <c r="BQ141">
        <f t="shared" si="362"/>
        <v>0</v>
      </c>
      <c r="BR141" s="23">
        <f t="shared" si="363"/>
        <v>0</v>
      </c>
      <c r="BS141" s="49" t="str">
        <f t="shared" ref="BS141:BS204" si="763">IF(BR141&lt;0,SUBSTITUTE(TEXT(BR141,"000000000000,00"),",",""),SUBSTITUTE(TEXT(BR141,"0000000000000,00"),",",""))</f>
        <v>000000000000000</v>
      </c>
      <c r="BT141" t="str">
        <f t="shared" si="364"/>
        <v>00000000</v>
      </c>
      <c r="BU141" s="23">
        <f t="shared" si="365"/>
        <v>0</v>
      </c>
      <c r="BV141" s="49" t="str">
        <f t="shared" ref="BV141:BV204" si="764">IF(BW141="","",IF(BU141&lt;0,SUBSTITUTE(TEXT(BU141,"000000000000,00"),",",""),SUBSTITUTE(TEXT(BU141,"0000000000000,00"),",","")))</f>
        <v/>
      </c>
      <c r="BW141" s="52" t="str">
        <f t="shared" si="366"/>
        <v/>
      </c>
      <c r="BX141" s="23">
        <f t="shared" si="367"/>
        <v>0</v>
      </c>
      <c r="BY141" s="49" t="str">
        <f t="shared" ref="BY141:BY204" si="765">IF(BW141="","",IF(BX141&lt;0,SUBSTITUTE(TEXT(BX141,"000000000000,00"),",",""),SUBSTITUTE(TEXT(BX141,"0000000000000,00"),",","")))</f>
        <v/>
      </c>
      <c r="BZ141" s="23">
        <f t="shared" si="368"/>
        <v>0</v>
      </c>
      <c r="CA141" s="49" t="str">
        <f t="shared" ref="CA141:CA204" si="766">IF(CB141="","",IF(BZ141&lt;0,SUBSTITUTE(TEXT(BZ141,"000000000000,00"),",",""),SUBSTITUTE(TEXT(BZ141,"0000000000000,00"),",","")))</f>
        <v/>
      </c>
      <c r="CB141" s="52" t="str">
        <f t="shared" si="369"/>
        <v/>
      </c>
      <c r="CC141" s="23">
        <f t="shared" si="370"/>
        <v>0</v>
      </c>
      <c r="CD141" s="49" t="str">
        <f t="shared" ref="CD141:CD204" si="767">IF(CB141="","",IF(CC141&lt;0,SUBSTITUTE(TEXT(CC141,"000000000000,00"),",",""),SUBSTITUTE(TEXT(CC141,"0000000000000,00"),",","")))</f>
        <v/>
      </c>
      <c r="CE141" s="56" t="str">
        <f>IF(CF141="","",MAX(CE$10:$CE140)+1)</f>
        <v/>
      </c>
      <c r="CF141" t="str">
        <f t="shared" si="371"/>
        <v/>
      </c>
      <c r="CG141" s="22" t="str">
        <f>IF(CH141="","",MAX($CG$10:CG140)+1)</f>
        <v/>
      </c>
      <c r="CH141" s="22" t="str">
        <f t="shared" si="751"/>
        <v/>
      </c>
      <c r="CI141" s="22" t="str">
        <f>IF(CJ141="","",MAX($CI$10:CI140)+1)</f>
        <v/>
      </c>
      <c r="CJ141" s="22" t="str">
        <f t="shared" si="752"/>
        <v/>
      </c>
    </row>
    <row r="142" spans="2:88" x14ac:dyDescent="0.25">
      <c r="B142" s="37"/>
      <c r="C142" s="3"/>
      <c r="D142" s="77" t="str">
        <f t="shared" si="738"/>
        <v/>
      </c>
      <c r="E142" s="38"/>
      <c r="F142" s="38"/>
      <c r="G142" s="78">
        <f t="shared" si="753"/>
        <v>0</v>
      </c>
      <c r="H142" s="3">
        <v>80</v>
      </c>
      <c r="I142" s="77" t="str">
        <f t="shared" si="739"/>
        <v/>
      </c>
      <c r="J142" s="32"/>
      <c r="K142" s="3"/>
      <c r="L142" s="39"/>
      <c r="M142" s="39"/>
      <c r="N142" s="39"/>
      <c r="O142" s="39"/>
      <c r="P142" s="39"/>
      <c r="Q142" s="39"/>
      <c r="R142" s="39"/>
      <c r="S142" s="39"/>
      <c r="T142" s="3" t="s">
        <v>645</v>
      </c>
      <c r="U142" s="77" t="str">
        <f t="shared" si="740"/>
        <v/>
      </c>
      <c r="V142" s="39">
        <v>1</v>
      </c>
      <c r="W142" s="79">
        <f t="shared" si="754"/>
        <v>0</v>
      </c>
      <c r="X142" s="3">
        <v>0</v>
      </c>
      <c r="Y142" s="77" t="str">
        <f t="shared" si="741"/>
        <v/>
      </c>
      <c r="Z142" s="3"/>
      <c r="AA142" s="37" t="str">
        <f t="shared" si="755"/>
        <v/>
      </c>
      <c r="AC142" s="40"/>
      <c r="AD142" s="7"/>
      <c r="AE142" s="77" t="str">
        <f t="shared" si="742"/>
        <v/>
      </c>
      <c r="AF142" s="81">
        <f t="shared" ref="AF142:AF205" si="768">ROUND(AC142*AD142/100,2)</f>
        <v>0</v>
      </c>
      <c r="AG142" s="40"/>
      <c r="AH142" s="7"/>
      <c r="AI142" s="77" t="str">
        <f t="shared" si="743"/>
        <v/>
      </c>
      <c r="AJ142" s="81">
        <f t="shared" ref="AJ142:AJ205" si="769">ROUND(AG142*AH142/100,2)</f>
        <v>0</v>
      </c>
      <c r="AK142" s="83">
        <f t="shared" ref="AK142:AK205" si="770">+AC142+AG142</f>
        <v>0</v>
      </c>
      <c r="AL142" s="83">
        <f t="shared" ref="AL142:AL205" si="771">+AF142+AJ142</f>
        <v>0</v>
      </c>
      <c r="AN142" s="43">
        <f t="shared" si="744"/>
        <v>0</v>
      </c>
      <c r="AP142" t="str">
        <f t="shared" ref="AP142:AP205" si="772">IF(B142="","",TEXT(B142,$AP$8))</f>
        <v/>
      </c>
      <c r="AQ142" t="str">
        <f t="shared" ref="AQ142:AQ205" si="773">IF(B142="","",IF(C142="","",TEXT(C142,"000")))</f>
        <v/>
      </c>
      <c r="AR142" t="str">
        <f t="shared" ref="AR142:AR205" si="774">IF(B142="","",IF(E142="","00000",TEXT(RIGHT(E142,5),"00000")))</f>
        <v/>
      </c>
      <c r="AS142" t="str">
        <f t="shared" ref="AS142:AS205" si="775">IF(B142="","",IF(F142="","00000000000000000000",TEXT(RIGHT(F142,20),"00000000000000000000")))</f>
        <v/>
      </c>
      <c r="AT142" t="str">
        <f t="shared" ref="AT142:AT205" si="776">IF(B142="","",IF(G142="","00000000000000000000",TEXT(RIGHT(G142,20),"00000000000000000000")))</f>
        <v/>
      </c>
      <c r="AU142" t="str">
        <f t="shared" ref="AU142:AU205" si="777">IF(B142="","",IF(C142="","",TEXT(RIGHT(H142,4),"00")))</f>
        <v/>
      </c>
      <c r="AV142" t="str">
        <f t="shared" ref="AV142:AV205" si="778">IF(B142="","",TEXT(SUBSTITUTE(J142,"-",""),"00000000000000000000"))</f>
        <v/>
      </c>
      <c r="AW142" t="str">
        <f t="shared" ref="AW142:AW205" si="779">IF(LEN(K142)&gt;30,LEFT(K142,30),K142&amp;REPT(" ",30-LEN(K142)))</f>
        <v xml:space="preserve">                              </v>
      </c>
      <c r="AX142" s="23">
        <f t="shared" ref="AX142:AX205" si="780">IF(TRIM(L142)="",0,TRUNC(L142,2))</f>
        <v>0</v>
      </c>
      <c r="AY142" s="49" t="str">
        <f t="shared" si="756"/>
        <v>000000000000000</v>
      </c>
      <c r="AZ142" s="23">
        <f t="shared" ref="AZ142:AZ205" si="781">IF(TRIM(M142)="",0,TRUNC(M142,2))</f>
        <v>0</v>
      </c>
      <c r="BA142" s="49" t="str">
        <f t="shared" si="756"/>
        <v>000000000000000</v>
      </c>
      <c r="BB142" s="23">
        <f t="shared" ref="BB142:BB205" si="782">IF(TRIM(N142)="",0,TRUNC(N142,2))</f>
        <v>0</v>
      </c>
      <c r="BC142" s="49" t="str">
        <f t="shared" ref="BC142" si="783">IF(BB142&lt;0,SUBSTITUTE(TEXT(BB142,"000000000000,00"),",",""),SUBSTITUTE(TEXT(BB142,"0000000000000,00"),",",""))</f>
        <v>000000000000000</v>
      </c>
      <c r="BD142" s="23">
        <f t="shared" ref="BD142:BD205" si="784">IF(TRIM(O142)="",0,TRUNC(O142,2))</f>
        <v>0</v>
      </c>
      <c r="BE142" s="49" t="str">
        <f t="shared" ref="BE142" si="785">IF(BD142&lt;0,SUBSTITUTE(TEXT(BD142,"000000000000,00"),",",""),SUBSTITUTE(TEXT(BD142,"0000000000000,00"),",",""))</f>
        <v>000000000000000</v>
      </c>
      <c r="BF142" s="23">
        <f t="shared" ref="BF142:BF205" si="786">IF(TRIM(P142)="",0,TRUNC(P142,2))</f>
        <v>0</v>
      </c>
      <c r="BG142" s="49" t="str">
        <f t="shared" ref="BG142" si="787">IF(BF142&lt;0,SUBSTITUTE(TEXT(BF142,"000000000000,00"),",",""),SUBSTITUTE(TEXT(BF142,"0000000000000,00"),",",""))</f>
        <v>000000000000000</v>
      </c>
      <c r="BH142" s="23">
        <f t="shared" ref="BH142:BH205" si="788">IF(TRIM(Q142)="",0,TRUNC(Q142,2))</f>
        <v>0</v>
      </c>
      <c r="BI142" s="49" t="str">
        <f t="shared" ref="BI142" si="789">IF(BH142&lt;0,SUBSTITUTE(TEXT(BH142,"000000000000,00"),",",""),SUBSTITUTE(TEXT(BH142,"0000000000000,00"),",",""))</f>
        <v>000000000000000</v>
      </c>
      <c r="BJ142" s="23">
        <f t="shared" ref="BJ142:BJ205" si="790">IF(TRIM(R142)="",0,TRUNC(R142,2))</f>
        <v>0</v>
      </c>
      <c r="BK142" s="49" t="str">
        <f t="shared" ref="BK142" si="791">IF(BJ142&lt;0,SUBSTITUTE(TEXT(BJ142,"000000000000,00"),",",""),SUBSTITUTE(TEXT(BJ142,"0000000000000,00"),",",""))</f>
        <v>000000000000000</v>
      </c>
      <c r="BL142" s="23">
        <f t="shared" ref="BL142:BL205" si="792">IF(TRIM(S142)="",0,TRUNC(S142,2))</f>
        <v>0</v>
      </c>
      <c r="BM142" s="49" t="str">
        <f t="shared" ref="BM142" si="793">IF(BL142&lt;0,SUBSTITUTE(TEXT(BL142,"000000000000,00"),",",""),SUBSTITUTE(TEXT(BL142,"0000000000000,00"),",",""))</f>
        <v>000000000000000</v>
      </c>
      <c r="BN142" t="str">
        <f t="shared" ref="BN142:BN205" si="794">TEXT(T142,"000")</f>
        <v>PES</v>
      </c>
      <c r="BO142" t="str">
        <f t="shared" ref="BO142:BO205" si="795">IF(V142&lt;0,SUBSTITUTE(TEXT(V142,"000,000000"),",",""),SUBSTITUTE(TEXT(V142,"0000,000000"),",",""))</f>
        <v>0001000000</v>
      </c>
      <c r="BP142">
        <f t="shared" ref="BP142:BP205" si="796">W142</f>
        <v>0</v>
      </c>
      <c r="BQ142">
        <f t="shared" ref="BQ142:BQ205" si="797">X142</f>
        <v>0</v>
      </c>
      <c r="BR142" s="23">
        <f t="shared" ref="BR142:BR205" si="798">IF(TRIM(Z142)="",0,TRUNC(Z142,2))</f>
        <v>0</v>
      </c>
      <c r="BS142" s="49" t="str">
        <f t="shared" si="763"/>
        <v>000000000000000</v>
      </c>
      <c r="BT142" t="str">
        <f t="shared" ref="BT142:BT205" si="799">IF(AA142="","00000000",TEXT(AA142,$AP$8))</f>
        <v>00000000</v>
      </c>
      <c r="BU142" s="23">
        <f t="shared" ref="BU142:BU205" si="800">IF(TRIM(AC142)="",0,TRUNC(AC142,2))</f>
        <v>0</v>
      </c>
      <c r="BV142" s="49" t="str">
        <f t="shared" si="764"/>
        <v/>
      </c>
      <c r="BW142" s="52" t="str">
        <f t="shared" ref="BW142:BW205" si="801">IF(AE142="","",TEXT(AE142,"0000"))</f>
        <v/>
      </c>
      <c r="BX142" s="23">
        <f t="shared" ref="BX142:BX205" si="802">IF(TRIM(AF142)="",0,TRUNC(AF142,2))</f>
        <v>0</v>
      </c>
      <c r="BY142" s="49" t="str">
        <f t="shared" si="765"/>
        <v/>
      </c>
      <c r="BZ142" s="23">
        <f t="shared" ref="BZ142:BZ205" si="803">IF(TRIM(AG142)="",0,TRUNC(AG142,2))</f>
        <v>0</v>
      </c>
      <c r="CA142" s="49" t="str">
        <f t="shared" si="766"/>
        <v/>
      </c>
      <c r="CB142" s="52" t="str">
        <f t="shared" ref="CB142:CB205" si="804">IF(AI142="","",TEXT(AI142,"0000"))</f>
        <v/>
      </c>
      <c r="CC142" s="23">
        <f t="shared" ref="CC142:CC205" si="805">IF(TRIM(AJ142)="",0,TRUNC(AJ142,2))</f>
        <v>0</v>
      </c>
      <c r="CD142" s="49" t="str">
        <f t="shared" si="767"/>
        <v/>
      </c>
      <c r="CE142" s="56" t="str">
        <f>IF(CF142="","",MAX(CE$10:$CE141)+1)</f>
        <v/>
      </c>
      <c r="CF142" t="str">
        <f t="shared" ref="CF142:CF205" si="806">IF(B142="","",AP142&amp;AQ142&amp;AR142&amp;AS142&amp;AT142&amp;AU142&amp;AV142&amp;AW142&amp;AY142&amp;BA142&amp;BC142&amp;BE142&amp;BG142&amp;BI142&amp;BK142&amp;BM142&amp;BN142&amp;BO142&amp;BP142&amp;BQ142&amp;BS142&amp;BT142)</f>
        <v/>
      </c>
      <c r="CG142" s="22" t="str">
        <f>IF(CH142="","",MAX($CG$10:CG141)+1)</f>
        <v/>
      </c>
      <c r="CH142" s="22" t="str">
        <f t="shared" si="751"/>
        <v/>
      </c>
      <c r="CI142" s="22" t="str">
        <f>IF(CJ142="","",MAX($CI$10:CI141)+1)</f>
        <v/>
      </c>
      <c r="CJ142" s="22" t="str">
        <f t="shared" si="752"/>
        <v/>
      </c>
    </row>
    <row r="143" spans="2:88" x14ac:dyDescent="0.25">
      <c r="B143" s="37"/>
      <c r="C143" s="3"/>
      <c r="D143" s="77" t="str">
        <f t="shared" si="738"/>
        <v/>
      </c>
      <c r="E143" s="38"/>
      <c r="F143" s="38"/>
      <c r="G143" s="78">
        <f t="shared" si="753"/>
        <v>0</v>
      </c>
      <c r="H143" s="3">
        <v>80</v>
      </c>
      <c r="I143" s="77" t="str">
        <f t="shared" si="739"/>
        <v/>
      </c>
      <c r="J143" s="32"/>
      <c r="K143" s="3"/>
      <c r="L143" s="39"/>
      <c r="M143" s="39"/>
      <c r="N143" s="39"/>
      <c r="O143" s="39"/>
      <c r="P143" s="39"/>
      <c r="Q143" s="39"/>
      <c r="R143" s="39"/>
      <c r="S143" s="39"/>
      <c r="T143" s="3" t="s">
        <v>645</v>
      </c>
      <c r="U143" s="77" t="str">
        <f t="shared" si="740"/>
        <v/>
      </c>
      <c r="V143" s="39">
        <v>1</v>
      </c>
      <c r="W143" s="79">
        <f t="shared" si="754"/>
        <v>0</v>
      </c>
      <c r="X143" s="3">
        <v>0</v>
      </c>
      <c r="Y143" s="77" t="str">
        <f t="shared" si="741"/>
        <v/>
      </c>
      <c r="Z143" s="3"/>
      <c r="AA143" s="37" t="str">
        <f t="shared" si="755"/>
        <v/>
      </c>
      <c r="AC143" s="40"/>
      <c r="AD143" s="7"/>
      <c r="AE143" s="77" t="str">
        <f t="shared" si="742"/>
        <v/>
      </c>
      <c r="AF143" s="81">
        <f t="shared" si="768"/>
        <v>0</v>
      </c>
      <c r="AG143" s="40"/>
      <c r="AH143" s="7"/>
      <c r="AI143" s="77" t="str">
        <f t="shared" si="743"/>
        <v/>
      </c>
      <c r="AJ143" s="81">
        <f t="shared" si="769"/>
        <v>0</v>
      </c>
      <c r="AK143" s="83">
        <f t="shared" si="770"/>
        <v>0</v>
      </c>
      <c r="AL143" s="83">
        <f t="shared" si="771"/>
        <v>0</v>
      </c>
      <c r="AN143" s="43">
        <f t="shared" si="744"/>
        <v>0</v>
      </c>
      <c r="AP143" t="str">
        <f t="shared" si="772"/>
        <v/>
      </c>
      <c r="AQ143" t="str">
        <f t="shared" si="773"/>
        <v/>
      </c>
      <c r="AR143" t="str">
        <f t="shared" si="774"/>
        <v/>
      </c>
      <c r="AS143" t="str">
        <f t="shared" si="775"/>
        <v/>
      </c>
      <c r="AT143" t="str">
        <f t="shared" si="776"/>
        <v/>
      </c>
      <c r="AU143" t="str">
        <f t="shared" si="777"/>
        <v/>
      </c>
      <c r="AV143" t="str">
        <f t="shared" si="778"/>
        <v/>
      </c>
      <c r="AW143" t="str">
        <f t="shared" si="779"/>
        <v xml:space="preserve">                              </v>
      </c>
      <c r="AX143" s="23">
        <f t="shared" si="780"/>
        <v>0</v>
      </c>
      <c r="AY143" s="49" t="str">
        <f t="shared" si="756"/>
        <v>000000000000000</v>
      </c>
      <c r="AZ143" s="23">
        <f t="shared" si="781"/>
        <v>0</v>
      </c>
      <c r="BA143" s="49" t="str">
        <f t="shared" si="756"/>
        <v>000000000000000</v>
      </c>
      <c r="BB143" s="23">
        <f t="shared" si="782"/>
        <v>0</v>
      </c>
      <c r="BC143" s="49" t="str">
        <f t="shared" ref="BC143" si="807">IF(BB143&lt;0,SUBSTITUTE(TEXT(BB143,"000000000000,00"),",",""),SUBSTITUTE(TEXT(BB143,"0000000000000,00"),",",""))</f>
        <v>000000000000000</v>
      </c>
      <c r="BD143" s="23">
        <f t="shared" si="784"/>
        <v>0</v>
      </c>
      <c r="BE143" s="49" t="str">
        <f t="shared" ref="BE143" si="808">IF(BD143&lt;0,SUBSTITUTE(TEXT(BD143,"000000000000,00"),",",""),SUBSTITUTE(TEXT(BD143,"0000000000000,00"),",",""))</f>
        <v>000000000000000</v>
      </c>
      <c r="BF143" s="23">
        <f t="shared" si="786"/>
        <v>0</v>
      </c>
      <c r="BG143" s="49" t="str">
        <f t="shared" ref="BG143" si="809">IF(BF143&lt;0,SUBSTITUTE(TEXT(BF143,"000000000000,00"),",",""),SUBSTITUTE(TEXT(BF143,"0000000000000,00"),",",""))</f>
        <v>000000000000000</v>
      </c>
      <c r="BH143" s="23">
        <f t="shared" si="788"/>
        <v>0</v>
      </c>
      <c r="BI143" s="49" t="str">
        <f t="shared" ref="BI143" si="810">IF(BH143&lt;0,SUBSTITUTE(TEXT(BH143,"000000000000,00"),",",""),SUBSTITUTE(TEXT(BH143,"0000000000000,00"),",",""))</f>
        <v>000000000000000</v>
      </c>
      <c r="BJ143" s="23">
        <f t="shared" si="790"/>
        <v>0</v>
      </c>
      <c r="BK143" s="49" t="str">
        <f t="shared" ref="BK143" si="811">IF(BJ143&lt;0,SUBSTITUTE(TEXT(BJ143,"000000000000,00"),",",""),SUBSTITUTE(TEXT(BJ143,"0000000000000,00"),",",""))</f>
        <v>000000000000000</v>
      </c>
      <c r="BL143" s="23">
        <f t="shared" si="792"/>
        <v>0</v>
      </c>
      <c r="BM143" s="49" t="str">
        <f t="shared" ref="BM143" si="812">IF(BL143&lt;0,SUBSTITUTE(TEXT(BL143,"000000000000,00"),",",""),SUBSTITUTE(TEXT(BL143,"0000000000000,00"),",",""))</f>
        <v>000000000000000</v>
      </c>
      <c r="BN143" t="str">
        <f t="shared" si="794"/>
        <v>PES</v>
      </c>
      <c r="BO143" t="str">
        <f t="shared" si="795"/>
        <v>0001000000</v>
      </c>
      <c r="BP143">
        <f t="shared" si="796"/>
        <v>0</v>
      </c>
      <c r="BQ143">
        <f t="shared" si="797"/>
        <v>0</v>
      </c>
      <c r="BR143" s="23">
        <f t="shared" si="798"/>
        <v>0</v>
      </c>
      <c r="BS143" s="49" t="str">
        <f t="shared" si="763"/>
        <v>000000000000000</v>
      </c>
      <c r="BT143" t="str">
        <f t="shared" si="799"/>
        <v>00000000</v>
      </c>
      <c r="BU143" s="23">
        <f t="shared" si="800"/>
        <v>0</v>
      </c>
      <c r="BV143" s="49" t="str">
        <f t="shared" si="764"/>
        <v/>
      </c>
      <c r="BW143" s="52" t="str">
        <f t="shared" si="801"/>
        <v/>
      </c>
      <c r="BX143" s="23">
        <f t="shared" si="802"/>
        <v>0</v>
      </c>
      <c r="BY143" s="49" t="str">
        <f t="shared" si="765"/>
        <v/>
      </c>
      <c r="BZ143" s="23">
        <f t="shared" si="803"/>
        <v>0</v>
      </c>
      <c r="CA143" s="49" t="str">
        <f t="shared" si="766"/>
        <v/>
      </c>
      <c r="CB143" s="52" t="str">
        <f t="shared" si="804"/>
        <v/>
      </c>
      <c r="CC143" s="23">
        <f t="shared" si="805"/>
        <v>0</v>
      </c>
      <c r="CD143" s="49" t="str">
        <f t="shared" si="767"/>
        <v/>
      </c>
      <c r="CE143" s="56" t="str">
        <f>IF(CF143="","",MAX(CE$10:$CE142)+1)</f>
        <v/>
      </c>
      <c r="CF143" t="str">
        <f t="shared" si="806"/>
        <v/>
      </c>
      <c r="CG143" s="22" t="str">
        <f>IF(CH143="","",MAX($CG$10:CG142)+1)</f>
        <v/>
      </c>
      <c r="CH143" s="22" t="str">
        <f t="shared" si="751"/>
        <v/>
      </c>
      <c r="CI143" s="22" t="str">
        <f>IF(CJ143="","",MAX($CI$10:CI142)+1)</f>
        <v/>
      </c>
      <c r="CJ143" s="22" t="str">
        <f t="shared" si="752"/>
        <v/>
      </c>
    </row>
    <row r="144" spans="2:88" x14ac:dyDescent="0.25">
      <c r="B144" s="37"/>
      <c r="C144" s="3"/>
      <c r="D144" s="77" t="str">
        <f t="shared" si="738"/>
        <v/>
      </c>
      <c r="E144" s="38"/>
      <c r="F144" s="38"/>
      <c r="G144" s="78">
        <f t="shared" si="753"/>
        <v>0</v>
      </c>
      <c r="H144" s="3">
        <v>80</v>
      </c>
      <c r="I144" s="77" t="str">
        <f t="shared" si="739"/>
        <v/>
      </c>
      <c r="J144" s="32"/>
      <c r="K144" s="3"/>
      <c r="L144" s="39"/>
      <c r="M144" s="39"/>
      <c r="N144" s="39"/>
      <c r="O144" s="39"/>
      <c r="P144" s="39"/>
      <c r="Q144" s="39"/>
      <c r="R144" s="39"/>
      <c r="S144" s="39"/>
      <c r="T144" s="3" t="s">
        <v>645</v>
      </c>
      <c r="U144" s="77" t="str">
        <f t="shared" si="740"/>
        <v/>
      </c>
      <c r="V144" s="39">
        <v>1</v>
      </c>
      <c r="W144" s="79">
        <f t="shared" si="754"/>
        <v>0</v>
      </c>
      <c r="X144" s="3">
        <v>0</v>
      </c>
      <c r="Y144" s="77" t="str">
        <f t="shared" si="741"/>
        <v/>
      </c>
      <c r="Z144" s="3"/>
      <c r="AA144" s="37" t="str">
        <f t="shared" si="755"/>
        <v/>
      </c>
      <c r="AC144" s="40"/>
      <c r="AD144" s="7"/>
      <c r="AE144" s="77" t="str">
        <f t="shared" si="742"/>
        <v/>
      </c>
      <c r="AF144" s="81">
        <f t="shared" si="768"/>
        <v>0</v>
      </c>
      <c r="AG144" s="40"/>
      <c r="AH144" s="7"/>
      <c r="AI144" s="77" t="str">
        <f t="shared" si="743"/>
        <v/>
      </c>
      <c r="AJ144" s="81">
        <f t="shared" si="769"/>
        <v>0</v>
      </c>
      <c r="AK144" s="83">
        <f t="shared" si="770"/>
        <v>0</v>
      </c>
      <c r="AL144" s="83">
        <f t="shared" si="771"/>
        <v>0</v>
      </c>
      <c r="AN144" s="43">
        <f t="shared" si="744"/>
        <v>0</v>
      </c>
      <c r="AP144" t="str">
        <f t="shared" si="772"/>
        <v/>
      </c>
      <c r="AQ144" t="str">
        <f t="shared" si="773"/>
        <v/>
      </c>
      <c r="AR144" t="str">
        <f t="shared" si="774"/>
        <v/>
      </c>
      <c r="AS144" t="str">
        <f t="shared" si="775"/>
        <v/>
      </c>
      <c r="AT144" t="str">
        <f t="shared" si="776"/>
        <v/>
      </c>
      <c r="AU144" t="str">
        <f t="shared" si="777"/>
        <v/>
      </c>
      <c r="AV144" t="str">
        <f t="shared" si="778"/>
        <v/>
      </c>
      <c r="AW144" t="str">
        <f t="shared" si="779"/>
        <v xml:space="preserve">                              </v>
      </c>
      <c r="AX144" s="23">
        <f t="shared" si="780"/>
        <v>0</v>
      </c>
      <c r="AY144" s="49" t="str">
        <f t="shared" si="756"/>
        <v>000000000000000</v>
      </c>
      <c r="AZ144" s="23">
        <f t="shared" si="781"/>
        <v>0</v>
      </c>
      <c r="BA144" s="49" t="str">
        <f t="shared" si="756"/>
        <v>000000000000000</v>
      </c>
      <c r="BB144" s="23">
        <f t="shared" si="782"/>
        <v>0</v>
      </c>
      <c r="BC144" s="49" t="str">
        <f t="shared" ref="BC144" si="813">IF(BB144&lt;0,SUBSTITUTE(TEXT(BB144,"000000000000,00"),",",""),SUBSTITUTE(TEXT(BB144,"0000000000000,00"),",",""))</f>
        <v>000000000000000</v>
      </c>
      <c r="BD144" s="23">
        <f t="shared" si="784"/>
        <v>0</v>
      </c>
      <c r="BE144" s="49" t="str">
        <f t="shared" ref="BE144" si="814">IF(BD144&lt;0,SUBSTITUTE(TEXT(BD144,"000000000000,00"),",",""),SUBSTITUTE(TEXT(BD144,"0000000000000,00"),",",""))</f>
        <v>000000000000000</v>
      </c>
      <c r="BF144" s="23">
        <f t="shared" si="786"/>
        <v>0</v>
      </c>
      <c r="BG144" s="49" t="str">
        <f t="shared" ref="BG144" si="815">IF(BF144&lt;0,SUBSTITUTE(TEXT(BF144,"000000000000,00"),",",""),SUBSTITUTE(TEXT(BF144,"0000000000000,00"),",",""))</f>
        <v>000000000000000</v>
      </c>
      <c r="BH144" s="23">
        <f t="shared" si="788"/>
        <v>0</v>
      </c>
      <c r="BI144" s="49" t="str">
        <f t="shared" ref="BI144" si="816">IF(BH144&lt;0,SUBSTITUTE(TEXT(BH144,"000000000000,00"),",",""),SUBSTITUTE(TEXT(BH144,"0000000000000,00"),",",""))</f>
        <v>000000000000000</v>
      </c>
      <c r="BJ144" s="23">
        <f t="shared" si="790"/>
        <v>0</v>
      </c>
      <c r="BK144" s="49" t="str">
        <f t="shared" ref="BK144" si="817">IF(BJ144&lt;0,SUBSTITUTE(TEXT(BJ144,"000000000000,00"),",",""),SUBSTITUTE(TEXT(BJ144,"0000000000000,00"),",",""))</f>
        <v>000000000000000</v>
      </c>
      <c r="BL144" s="23">
        <f t="shared" si="792"/>
        <v>0</v>
      </c>
      <c r="BM144" s="49" t="str">
        <f t="shared" ref="BM144" si="818">IF(BL144&lt;0,SUBSTITUTE(TEXT(BL144,"000000000000,00"),",",""),SUBSTITUTE(TEXT(BL144,"0000000000000,00"),",",""))</f>
        <v>000000000000000</v>
      </c>
      <c r="BN144" t="str">
        <f t="shared" si="794"/>
        <v>PES</v>
      </c>
      <c r="BO144" t="str">
        <f t="shared" si="795"/>
        <v>0001000000</v>
      </c>
      <c r="BP144">
        <f t="shared" si="796"/>
        <v>0</v>
      </c>
      <c r="BQ144">
        <f t="shared" si="797"/>
        <v>0</v>
      </c>
      <c r="BR144" s="23">
        <f t="shared" si="798"/>
        <v>0</v>
      </c>
      <c r="BS144" s="49" t="str">
        <f t="shared" si="763"/>
        <v>000000000000000</v>
      </c>
      <c r="BT144" t="str">
        <f t="shared" si="799"/>
        <v>00000000</v>
      </c>
      <c r="BU144" s="23">
        <f t="shared" si="800"/>
        <v>0</v>
      </c>
      <c r="BV144" s="49" t="str">
        <f t="shared" si="764"/>
        <v/>
      </c>
      <c r="BW144" s="52" t="str">
        <f t="shared" si="801"/>
        <v/>
      </c>
      <c r="BX144" s="23">
        <f t="shared" si="802"/>
        <v>0</v>
      </c>
      <c r="BY144" s="49" t="str">
        <f t="shared" si="765"/>
        <v/>
      </c>
      <c r="BZ144" s="23">
        <f t="shared" si="803"/>
        <v>0</v>
      </c>
      <c r="CA144" s="49" t="str">
        <f t="shared" si="766"/>
        <v/>
      </c>
      <c r="CB144" s="52" t="str">
        <f t="shared" si="804"/>
        <v/>
      </c>
      <c r="CC144" s="23">
        <f t="shared" si="805"/>
        <v>0</v>
      </c>
      <c r="CD144" s="49" t="str">
        <f t="shared" si="767"/>
        <v/>
      </c>
      <c r="CE144" s="56" t="str">
        <f>IF(CF144="","",MAX(CE$10:$CE143)+1)</f>
        <v/>
      </c>
      <c r="CF144" t="str">
        <f t="shared" si="806"/>
        <v/>
      </c>
      <c r="CG144" s="22" t="str">
        <f>IF(CH144="","",MAX($CG$10:CG143)+1)</f>
        <v/>
      </c>
      <c r="CH144" s="22" t="str">
        <f t="shared" si="751"/>
        <v/>
      </c>
      <c r="CI144" s="22" t="str">
        <f>IF(CJ144="","",MAX($CI$10:CI143)+1)</f>
        <v/>
      </c>
      <c r="CJ144" s="22" t="str">
        <f t="shared" si="752"/>
        <v/>
      </c>
    </row>
    <row r="145" spans="2:88" x14ac:dyDescent="0.25">
      <c r="B145" s="37"/>
      <c r="C145" s="3"/>
      <c r="D145" s="77" t="str">
        <f t="shared" si="738"/>
        <v/>
      </c>
      <c r="E145" s="38"/>
      <c r="F145" s="38"/>
      <c r="G145" s="78">
        <f t="shared" si="753"/>
        <v>0</v>
      </c>
      <c r="H145" s="3">
        <v>80</v>
      </c>
      <c r="I145" s="77" t="str">
        <f t="shared" si="739"/>
        <v/>
      </c>
      <c r="J145" s="32"/>
      <c r="K145" s="3"/>
      <c r="L145" s="39"/>
      <c r="M145" s="39"/>
      <c r="N145" s="39"/>
      <c r="O145" s="39"/>
      <c r="P145" s="39"/>
      <c r="Q145" s="39"/>
      <c r="R145" s="39"/>
      <c r="S145" s="39"/>
      <c r="T145" s="3" t="s">
        <v>645</v>
      </c>
      <c r="U145" s="77" t="str">
        <f t="shared" si="740"/>
        <v/>
      </c>
      <c r="V145" s="39">
        <v>1</v>
      </c>
      <c r="W145" s="79">
        <f t="shared" si="754"/>
        <v>0</v>
      </c>
      <c r="X145" s="3">
        <v>0</v>
      </c>
      <c r="Y145" s="77" t="str">
        <f t="shared" si="741"/>
        <v/>
      </c>
      <c r="Z145" s="3"/>
      <c r="AA145" s="37" t="str">
        <f t="shared" si="755"/>
        <v/>
      </c>
      <c r="AC145" s="40"/>
      <c r="AD145" s="7"/>
      <c r="AE145" s="77" t="str">
        <f t="shared" si="742"/>
        <v/>
      </c>
      <c r="AF145" s="81">
        <f t="shared" si="768"/>
        <v>0</v>
      </c>
      <c r="AG145" s="40"/>
      <c r="AH145" s="7"/>
      <c r="AI145" s="77" t="str">
        <f t="shared" si="743"/>
        <v/>
      </c>
      <c r="AJ145" s="81">
        <f t="shared" si="769"/>
        <v>0</v>
      </c>
      <c r="AK145" s="83">
        <f t="shared" si="770"/>
        <v>0</v>
      </c>
      <c r="AL145" s="83">
        <f t="shared" si="771"/>
        <v>0</v>
      </c>
      <c r="AN145" s="43">
        <f t="shared" si="744"/>
        <v>0</v>
      </c>
      <c r="AP145" t="str">
        <f t="shared" si="772"/>
        <v/>
      </c>
      <c r="AQ145" t="str">
        <f t="shared" si="773"/>
        <v/>
      </c>
      <c r="AR145" t="str">
        <f t="shared" si="774"/>
        <v/>
      </c>
      <c r="AS145" t="str">
        <f t="shared" si="775"/>
        <v/>
      </c>
      <c r="AT145" t="str">
        <f t="shared" si="776"/>
        <v/>
      </c>
      <c r="AU145" t="str">
        <f t="shared" si="777"/>
        <v/>
      </c>
      <c r="AV145" t="str">
        <f t="shared" si="778"/>
        <v/>
      </c>
      <c r="AW145" t="str">
        <f t="shared" si="779"/>
        <v xml:space="preserve">                              </v>
      </c>
      <c r="AX145" s="23">
        <f t="shared" si="780"/>
        <v>0</v>
      </c>
      <c r="AY145" s="49" t="str">
        <f t="shared" si="756"/>
        <v>000000000000000</v>
      </c>
      <c r="AZ145" s="23">
        <f t="shared" si="781"/>
        <v>0</v>
      </c>
      <c r="BA145" s="49" t="str">
        <f t="shared" si="756"/>
        <v>000000000000000</v>
      </c>
      <c r="BB145" s="23">
        <f t="shared" si="782"/>
        <v>0</v>
      </c>
      <c r="BC145" s="49" t="str">
        <f t="shared" ref="BC145" si="819">IF(BB145&lt;0,SUBSTITUTE(TEXT(BB145,"000000000000,00"),",",""),SUBSTITUTE(TEXT(BB145,"0000000000000,00"),",",""))</f>
        <v>000000000000000</v>
      </c>
      <c r="BD145" s="23">
        <f t="shared" si="784"/>
        <v>0</v>
      </c>
      <c r="BE145" s="49" t="str">
        <f t="shared" ref="BE145" si="820">IF(BD145&lt;0,SUBSTITUTE(TEXT(BD145,"000000000000,00"),",",""),SUBSTITUTE(TEXT(BD145,"0000000000000,00"),",",""))</f>
        <v>000000000000000</v>
      </c>
      <c r="BF145" s="23">
        <f t="shared" si="786"/>
        <v>0</v>
      </c>
      <c r="BG145" s="49" t="str">
        <f t="shared" ref="BG145" si="821">IF(BF145&lt;0,SUBSTITUTE(TEXT(BF145,"000000000000,00"),",",""),SUBSTITUTE(TEXT(BF145,"0000000000000,00"),",",""))</f>
        <v>000000000000000</v>
      </c>
      <c r="BH145" s="23">
        <f t="shared" si="788"/>
        <v>0</v>
      </c>
      <c r="BI145" s="49" t="str">
        <f t="shared" ref="BI145" si="822">IF(BH145&lt;0,SUBSTITUTE(TEXT(BH145,"000000000000,00"),",",""),SUBSTITUTE(TEXT(BH145,"0000000000000,00"),",",""))</f>
        <v>000000000000000</v>
      </c>
      <c r="BJ145" s="23">
        <f t="shared" si="790"/>
        <v>0</v>
      </c>
      <c r="BK145" s="49" t="str">
        <f t="shared" ref="BK145" si="823">IF(BJ145&lt;0,SUBSTITUTE(TEXT(BJ145,"000000000000,00"),",",""),SUBSTITUTE(TEXT(BJ145,"0000000000000,00"),",",""))</f>
        <v>000000000000000</v>
      </c>
      <c r="BL145" s="23">
        <f t="shared" si="792"/>
        <v>0</v>
      </c>
      <c r="BM145" s="49" t="str">
        <f t="shared" ref="BM145" si="824">IF(BL145&lt;0,SUBSTITUTE(TEXT(BL145,"000000000000,00"),",",""),SUBSTITUTE(TEXT(BL145,"0000000000000,00"),",",""))</f>
        <v>000000000000000</v>
      </c>
      <c r="BN145" t="str">
        <f t="shared" si="794"/>
        <v>PES</v>
      </c>
      <c r="BO145" t="str">
        <f t="shared" si="795"/>
        <v>0001000000</v>
      </c>
      <c r="BP145">
        <f t="shared" si="796"/>
        <v>0</v>
      </c>
      <c r="BQ145">
        <f t="shared" si="797"/>
        <v>0</v>
      </c>
      <c r="BR145" s="23">
        <f t="shared" si="798"/>
        <v>0</v>
      </c>
      <c r="BS145" s="49" t="str">
        <f t="shared" si="763"/>
        <v>000000000000000</v>
      </c>
      <c r="BT145" t="str">
        <f t="shared" si="799"/>
        <v>00000000</v>
      </c>
      <c r="BU145" s="23">
        <f t="shared" si="800"/>
        <v>0</v>
      </c>
      <c r="BV145" s="49" t="str">
        <f t="shared" si="764"/>
        <v/>
      </c>
      <c r="BW145" s="52" t="str">
        <f t="shared" si="801"/>
        <v/>
      </c>
      <c r="BX145" s="23">
        <f t="shared" si="802"/>
        <v>0</v>
      </c>
      <c r="BY145" s="49" t="str">
        <f t="shared" si="765"/>
        <v/>
      </c>
      <c r="BZ145" s="23">
        <f t="shared" si="803"/>
        <v>0</v>
      </c>
      <c r="CA145" s="49" t="str">
        <f t="shared" si="766"/>
        <v/>
      </c>
      <c r="CB145" s="52" t="str">
        <f t="shared" si="804"/>
        <v/>
      </c>
      <c r="CC145" s="23">
        <f t="shared" si="805"/>
        <v>0</v>
      </c>
      <c r="CD145" s="49" t="str">
        <f t="shared" si="767"/>
        <v/>
      </c>
      <c r="CE145" s="56" t="str">
        <f>IF(CF145="","",MAX(CE$10:$CE144)+1)</f>
        <v/>
      </c>
      <c r="CF145" t="str">
        <f t="shared" si="806"/>
        <v/>
      </c>
      <c r="CG145" s="22" t="str">
        <f>IF(CH145="","",MAX($CG$10:CG144)+1)</f>
        <v/>
      </c>
      <c r="CH145" s="22" t="str">
        <f t="shared" si="751"/>
        <v/>
      </c>
      <c r="CI145" s="22" t="str">
        <f>IF(CJ145="","",MAX($CI$10:CI144)+1)</f>
        <v/>
      </c>
      <c r="CJ145" s="22" t="str">
        <f t="shared" si="752"/>
        <v/>
      </c>
    </row>
    <row r="146" spans="2:88" x14ac:dyDescent="0.25">
      <c r="B146" s="37"/>
      <c r="C146" s="3"/>
      <c r="D146" s="77" t="str">
        <f t="shared" si="738"/>
        <v/>
      </c>
      <c r="E146" s="38"/>
      <c r="F146" s="38"/>
      <c r="G146" s="78">
        <f t="shared" si="753"/>
        <v>0</v>
      </c>
      <c r="H146" s="3">
        <v>80</v>
      </c>
      <c r="I146" s="77" t="str">
        <f t="shared" si="739"/>
        <v/>
      </c>
      <c r="J146" s="32"/>
      <c r="K146" s="3"/>
      <c r="L146" s="39"/>
      <c r="M146" s="39"/>
      <c r="N146" s="39"/>
      <c r="O146" s="39"/>
      <c r="P146" s="39"/>
      <c r="Q146" s="39"/>
      <c r="R146" s="39"/>
      <c r="S146" s="39"/>
      <c r="T146" s="3" t="s">
        <v>645</v>
      </c>
      <c r="U146" s="77" t="str">
        <f t="shared" si="740"/>
        <v/>
      </c>
      <c r="V146" s="39">
        <v>1</v>
      </c>
      <c r="W146" s="79">
        <f t="shared" si="754"/>
        <v>0</v>
      </c>
      <c r="X146" s="3">
        <v>0</v>
      </c>
      <c r="Y146" s="77" t="str">
        <f t="shared" si="741"/>
        <v/>
      </c>
      <c r="Z146" s="3"/>
      <c r="AA146" s="37" t="str">
        <f t="shared" si="755"/>
        <v/>
      </c>
      <c r="AC146" s="40"/>
      <c r="AD146" s="7"/>
      <c r="AE146" s="77" t="str">
        <f t="shared" si="742"/>
        <v/>
      </c>
      <c r="AF146" s="81">
        <f t="shared" si="768"/>
        <v>0</v>
      </c>
      <c r="AG146" s="40"/>
      <c r="AH146" s="7"/>
      <c r="AI146" s="77" t="str">
        <f t="shared" si="743"/>
        <v/>
      </c>
      <c r="AJ146" s="81">
        <f t="shared" si="769"/>
        <v>0</v>
      </c>
      <c r="AK146" s="83">
        <f t="shared" si="770"/>
        <v>0</v>
      </c>
      <c r="AL146" s="83">
        <f t="shared" si="771"/>
        <v>0</v>
      </c>
      <c r="AN146" s="43">
        <f t="shared" si="744"/>
        <v>0</v>
      </c>
      <c r="AP146" t="str">
        <f t="shared" si="772"/>
        <v/>
      </c>
      <c r="AQ146" t="str">
        <f t="shared" si="773"/>
        <v/>
      </c>
      <c r="AR146" t="str">
        <f t="shared" si="774"/>
        <v/>
      </c>
      <c r="AS146" t="str">
        <f t="shared" si="775"/>
        <v/>
      </c>
      <c r="AT146" t="str">
        <f t="shared" si="776"/>
        <v/>
      </c>
      <c r="AU146" t="str">
        <f t="shared" si="777"/>
        <v/>
      </c>
      <c r="AV146" t="str">
        <f t="shared" si="778"/>
        <v/>
      </c>
      <c r="AW146" t="str">
        <f t="shared" si="779"/>
        <v xml:space="preserve">                              </v>
      </c>
      <c r="AX146" s="23">
        <f t="shared" si="780"/>
        <v>0</v>
      </c>
      <c r="AY146" s="49" t="str">
        <f t="shared" si="756"/>
        <v>000000000000000</v>
      </c>
      <c r="AZ146" s="23">
        <f t="shared" si="781"/>
        <v>0</v>
      </c>
      <c r="BA146" s="49" t="str">
        <f t="shared" si="756"/>
        <v>000000000000000</v>
      </c>
      <c r="BB146" s="23">
        <f t="shared" si="782"/>
        <v>0</v>
      </c>
      <c r="BC146" s="49" t="str">
        <f t="shared" ref="BC146" si="825">IF(BB146&lt;0,SUBSTITUTE(TEXT(BB146,"000000000000,00"),",",""),SUBSTITUTE(TEXT(BB146,"0000000000000,00"),",",""))</f>
        <v>000000000000000</v>
      </c>
      <c r="BD146" s="23">
        <f t="shared" si="784"/>
        <v>0</v>
      </c>
      <c r="BE146" s="49" t="str">
        <f t="shared" ref="BE146" si="826">IF(BD146&lt;0,SUBSTITUTE(TEXT(BD146,"000000000000,00"),",",""),SUBSTITUTE(TEXT(BD146,"0000000000000,00"),",",""))</f>
        <v>000000000000000</v>
      </c>
      <c r="BF146" s="23">
        <f t="shared" si="786"/>
        <v>0</v>
      </c>
      <c r="BG146" s="49" t="str">
        <f t="shared" ref="BG146" si="827">IF(BF146&lt;0,SUBSTITUTE(TEXT(BF146,"000000000000,00"),",",""),SUBSTITUTE(TEXT(BF146,"0000000000000,00"),",",""))</f>
        <v>000000000000000</v>
      </c>
      <c r="BH146" s="23">
        <f t="shared" si="788"/>
        <v>0</v>
      </c>
      <c r="BI146" s="49" t="str">
        <f t="shared" ref="BI146" si="828">IF(BH146&lt;0,SUBSTITUTE(TEXT(BH146,"000000000000,00"),",",""),SUBSTITUTE(TEXT(BH146,"0000000000000,00"),",",""))</f>
        <v>000000000000000</v>
      </c>
      <c r="BJ146" s="23">
        <f t="shared" si="790"/>
        <v>0</v>
      </c>
      <c r="BK146" s="49" t="str">
        <f t="shared" ref="BK146" si="829">IF(BJ146&lt;0,SUBSTITUTE(TEXT(BJ146,"000000000000,00"),",",""),SUBSTITUTE(TEXT(BJ146,"0000000000000,00"),",",""))</f>
        <v>000000000000000</v>
      </c>
      <c r="BL146" s="23">
        <f t="shared" si="792"/>
        <v>0</v>
      </c>
      <c r="BM146" s="49" t="str">
        <f t="shared" ref="BM146" si="830">IF(BL146&lt;0,SUBSTITUTE(TEXT(BL146,"000000000000,00"),",",""),SUBSTITUTE(TEXT(BL146,"0000000000000,00"),",",""))</f>
        <v>000000000000000</v>
      </c>
      <c r="BN146" t="str">
        <f t="shared" si="794"/>
        <v>PES</v>
      </c>
      <c r="BO146" t="str">
        <f t="shared" si="795"/>
        <v>0001000000</v>
      </c>
      <c r="BP146">
        <f t="shared" si="796"/>
        <v>0</v>
      </c>
      <c r="BQ146">
        <f t="shared" si="797"/>
        <v>0</v>
      </c>
      <c r="BR146" s="23">
        <f t="shared" si="798"/>
        <v>0</v>
      </c>
      <c r="BS146" s="49" t="str">
        <f t="shared" si="763"/>
        <v>000000000000000</v>
      </c>
      <c r="BT146" t="str">
        <f t="shared" si="799"/>
        <v>00000000</v>
      </c>
      <c r="BU146" s="23">
        <f t="shared" si="800"/>
        <v>0</v>
      </c>
      <c r="BV146" s="49" t="str">
        <f t="shared" si="764"/>
        <v/>
      </c>
      <c r="BW146" s="52" t="str">
        <f t="shared" si="801"/>
        <v/>
      </c>
      <c r="BX146" s="23">
        <f t="shared" si="802"/>
        <v>0</v>
      </c>
      <c r="BY146" s="49" t="str">
        <f t="shared" si="765"/>
        <v/>
      </c>
      <c r="BZ146" s="23">
        <f t="shared" si="803"/>
        <v>0</v>
      </c>
      <c r="CA146" s="49" t="str">
        <f t="shared" si="766"/>
        <v/>
      </c>
      <c r="CB146" s="52" t="str">
        <f t="shared" si="804"/>
        <v/>
      </c>
      <c r="CC146" s="23">
        <f t="shared" si="805"/>
        <v>0</v>
      </c>
      <c r="CD146" s="49" t="str">
        <f t="shared" si="767"/>
        <v/>
      </c>
      <c r="CE146" s="56" t="str">
        <f>IF(CF146="","",MAX(CE$10:$CE145)+1)</f>
        <v/>
      </c>
      <c r="CF146" t="str">
        <f t="shared" si="806"/>
        <v/>
      </c>
      <c r="CG146" s="22" t="str">
        <f>IF(CH146="","",MAX($CG$10:CG145)+1)</f>
        <v/>
      </c>
      <c r="CH146" s="22" t="str">
        <f t="shared" si="751"/>
        <v/>
      </c>
      <c r="CI146" s="22" t="str">
        <f>IF(CJ146="","",MAX($CI$10:CI145)+1)</f>
        <v/>
      </c>
      <c r="CJ146" s="22" t="str">
        <f t="shared" si="752"/>
        <v/>
      </c>
    </row>
    <row r="147" spans="2:88" x14ac:dyDescent="0.25">
      <c r="B147" s="37"/>
      <c r="C147" s="3"/>
      <c r="D147" s="77" t="str">
        <f t="shared" si="738"/>
        <v/>
      </c>
      <c r="E147" s="38"/>
      <c r="F147" s="38"/>
      <c r="G147" s="78">
        <f t="shared" si="753"/>
        <v>0</v>
      </c>
      <c r="H147" s="3">
        <v>80</v>
      </c>
      <c r="I147" s="77" t="str">
        <f t="shared" si="739"/>
        <v/>
      </c>
      <c r="J147" s="32"/>
      <c r="K147" s="3"/>
      <c r="L147" s="39"/>
      <c r="M147" s="39"/>
      <c r="N147" s="39"/>
      <c r="O147" s="39"/>
      <c r="P147" s="39"/>
      <c r="Q147" s="39"/>
      <c r="R147" s="39"/>
      <c r="S147" s="39"/>
      <c r="T147" s="3" t="s">
        <v>645</v>
      </c>
      <c r="U147" s="77" t="str">
        <f t="shared" si="740"/>
        <v/>
      </c>
      <c r="V147" s="39">
        <v>1</v>
      </c>
      <c r="W147" s="79">
        <f t="shared" si="754"/>
        <v>0</v>
      </c>
      <c r="X147" s="3">
        <v>0</v>
      </c>
      <c r="Y147" s="77" t="str">
        <f t="shared" si="741"/>
        <v/>
      </c>
      <c r="Z147" s="3"/>
      <c r="AA147" s="37" t="str">
        <f t="shared" si="755"/>
        <v/>
      </c>
      <c r="AC147" s="40"/>
      <c r="AD147" s="7"/>
      <c r="AE147" s="77" t="str">
        <f t="shared" si="742"/>
        <v/>
      </c>
      <c r="AF147" s="81">
        <f t="shared" si="768"/>
        <v>0</v>
      </c>
      <c r="AG147" s="40"/>
      <c r="AH147" s="7"/>
      <c r="AI147" s="77" t="str">
        <f t="shared" si="743"/>
        <v/>
      </c>
      <c r="AJ147" s="81">
        <f t="shared" si="769"/>
        <v>0</v>
      </c>
      <c r="AK147" s="83">
        <f t="shared" si="770"/>
        <v>0</v>
      </c>
      <c r="AL147" s="83">
        <f t="shared" si="771"/>
        <v>0</v>
      </c>
      <c r="AN147" s="43">
        <f t="shared" si="744"/>
        <v>0</v>
      </c>
      <c r="AP147" t="str">
        <f t="shared" si="772"/>
        <v/>
      </c>
      <c r="AQ147" t="str">
        <f t="shared" si="773"/>
        <v/>
      </c>
      <c r="AR147" t="str">
        <f t="shared" si="774"/>
        <v/>
      </c>
      <c r="AS147" t="str">
        <f t="shared" si="775"/>
        <v/>
      </c>
      <c r="AT147" t="str">
        <f t="shared" si="776"/>
        <v/>
      </c>
      <c r="AU147" t="str">
        <f t="shared" si="777"/>
        <v/>
      </c>
      <c r="AV147" t="str">
        <f t="shared" si="778"/>
        <v/>
      </c>
      <c r="AW147" t="str">
        <f t="shared" si="779"/>
        <v xml:space="preserve">                              </v>
      </c>
      <c r="AX147" s="23">
        <f t="shared" si="780"/>
        <v>0</v>
      </c>
      <c r="AY147" s="49" t="str">
        <f t="shared" si="756"/>
        <v>000000000000000</v>
      </c>
      <c r="AZ147" s="23">
        <f t="shared" si="781"/>
        <v>0</v>
      </c>
      <c r="BA147" s="49" t="str">
        <f t="shared" si="756"/>
        <v>000000000000000</v>
      </c>
      <c r="BB147" s="23">
        <f t="shared" si="782"/>
        <v>0</v>
      </c>
      <c r="BC147" s="49" t="str">
        <f t="shared" ref="BC147" si="831">IF(BB147&lt;0,SUBSTITUTE(TEXT(BB147,"000000000000,00"),",",""),SUBSTITUTE(TEXT(BB147,"0000000000000,00"),",",""))</f>
        <v>000000000000000</v>
      </c>
      <c r="BD147" s="23">
        <f t="shared" si="784"/>
        <v>0</v>
      </c>
      <c r="BE147" s="49" t="str">
        <f t="shared" ref="BE147" si="832">IF(BD147&lt;0,SUBSTITUTE(TEXT(BD147,"000000000000,00"),",",""),SUBSTITUTE(TEXT(BD147,"0000000000000,00"),",",""))</f>
        <v>000000000000000</v>
      </c>
      <c r="BF147" s="23">
        <f t="shared" si="786"/>
        <v>0</v>
      </c>
      <c r="BG147" s="49" t="str">
        <f t="shared" ref="BG147" si="833">IF(BF147&lt;0,SUBSTITUTE(TEXT(BF147,"000000000000,00"),",",""),SUBSTITUTE(TEXT(BF147,"0000000000000,00"),",",""))</f>
        <v>000000000000000</v>
      </c>
      <c r="BH147" s="23">
        <f t="shared" si="788"/>
        <v>0</v>
      </c>
      <c r="BI147" s="49" t="str">
        <f t="shared" ref="BI147" si="834">IF(BH147&lt;0,SUBSTITUTE(TEXT(BH147,"000000000000,00"),",",""),SUBSTITUTE(TEXT(BH147,"0000000000000,00"),",",""))</f>
        <v>000000000000000</v>
      </c>
      <c r="BJ147" s="23">
        <f t="shared" si="790"/>
        <v>0</v>
      </c>
      <c r="BK147" s="49" t="str">
        <f t="shared" ref="BK147" si="835">IF(BJ147&lt;0,SUBSTITUTE(TEXT(BJ147,"000000000000,00"),",",""),SUBSTITUTE(TEXT(BJ147,"0000000000000,00"),",",""))</f>
        <v>000000000000000</v>
      </c>
      <c r="BL147" s="23">
        <f t="shared" si="792"/>
        <v>0</v>
      </c>
      <c r="BM147" s="49" t="str">
        <f t="shared" ref="BM147" si="836">IF(BL147&lt;0,SUBSTITUTE(TEXT(BL147,"000000000000,00"),",",""),SUBSTITUTE(TEXT(BL147,"0000000000000,00"),",",""))</f>
        <v>000000000000000</v>
      </c>
      <c r="BN147" t="str">
        <f t="shared" si="794"/>
        <v>PES</v>
      </c>
      <c r="BO147" t="str">
        <f t="shared" si="795"/>
        <v>0001000000</v>
      </c>
      <c r="BP147">
        <f t="shared" si="796"/>
        <v>0</v>
      </c>
      <c r="BQ147">
        <f t="shared" si="797"/>
        <v>0</v>
      </c>
      <c r="BR147" s="23">
        <f t="shared" si="798"/>
        <v>0</v>
      </c>
      <c r="BS147" s="49" t="str">
        <f t="shared" si="763"/>
        <v>000000000000000</v>
      </c>
      <c r="BT147" t="str">
        <f t="shared" si="799"/>
        <v>00000000</v>
      </c>
      <c r="BU147" s="23">
        <f t="shared" si="800"/>
        <v>0</v>
      </c>
      <c r="BV147" s="49" t="str">
        <f t="shared" si="764"/>
        <v/>
      </c>
      <c r="BW147" s="52" t="str">
        <f t="shared" si="801"/>
        <v/>
      </c>
      <c r="BX147" s="23">
        <f t="shared" si="802"/>
        <v>0</v>
      </c>
      <c r="BY147" s="49" t="str">
        <f t="shared" si="765"/>
        <v/>
      </c>
      <c r="BZ147" s="23">
        <f t="shared" si="803"/>
        <v>0</v>
      </c>
      <c r="CA147" s="49" t="str">
        <f t="shared" si="766"/>
        <v/>
      </c>
      <c r="CB147" s="52" t="str">
        <f t="shared" si="804"/>
        <v/>
      </c>
      <c r="CC147" s="23">
        <f t="shared" si="805"/>
        <v>0</v>
      </c>
      <c r="CD147" s="49" t="str">
        <f t="shared" si="767"/>
        <v/>
      </c>
      <c r="CE147" s="56" t="str">
        <f>IF(CF147="","",MAX(CE$10:$CE146)+1)</f>
        <v/>
      </c>
      <c r="CF147" t="str">
        <f t="shared" si="806"/>
        <v/>
      </c>
      <c r="CG147" s="22" t="str">
        <f>IF(CH147="","",MAX($CG$10:CG146)+1)</f>
        <v/>
      </c>
      <c r="CH147" s="22" t="str">
        <f t="shared" si="751"/>
        <v/>
      </c>
      <c r="CI147" s="22" t="str">
        <f>IF(CJ147="","",MAX($CI$10:CI146)+1)</f>
        <v/>
      </c>
      <c r="CJ147" s="22" t="str">
        <f t="shared" si="752"/>
        <v/>
      </c>
    </row>
    <row r="148" spans="2:88" x14ac:dyDescent="0.25">
      <c r="B148" s="37"/>
      <c r="C148" s="3"/>
      <c r="D148" s="77" t="str">
        <f t="shared" si="738"/>
        <v/>
      </c>
      <c r="E148" s="38"/>
      <c r="F148" s="38"/>
      <c r="G148" s="78">
        <f t="shared" si="753"/>
        <v>0</v>
      </c>
      <c r="H148" s="3">
        <v>80</v>
      </c>
      <c r="I148" s="77" t="str">
        <f t="shared" si="739"/>
        <v/>
      </c>
      <c r="J148" s="32"/>
      <c r="K148" s="3"/>
      <c r="L148" s="39"/>
      <c r="M148" s="39"/>
      <c r="N148" s="39"/>
      <c r="O148" s="39"/>
      <c r="P148" s="39"/>
      <c r="Q148" s="39"/>
      <c r="R148" s="39"/>
      <c r="S148" s="39"/>
      <c r="T148" s="3" t="s">
        <v>645</v>
      </c>
      <c r="U148" s="77" t="str">
        <f t="shared" si="740"/>
        <v/>
      </c>
      <c r="V148" s="39">
        <v>1</v>
      </c>
      <c r="W148" s="79">
        <f t="shared" si="754"/>
        <v>0</v>
      </c>
      <c r="X148" s="3">
        <v>0</v>
      </c>
      <c r="Y148" s="77" t="str">
        <f t="shared" si="741"/>
        <v/>
      </c>
      <c r="Z148" s="3"/>
      <c r="AA148" s="37" t="str">
        <f t="shared" si="755"/>
        <v/>
      </c>
      <c r="AC148" s="40"/>
      <c r="AD148" s="7"/>
      <c r="AE148" s="77" t="str">
        <f t="shared" si="742"/>
        <v/>
      </c>
      <c r="AF148" s="81">
        <f t="shared" si="768"/>
        <v>0</v>
      </c>
      <c r="AG148" s="40"/>
      <c r="AH148" s="7"/>
      <c r="AI148" s="77" t="str">
        <f t="shared" si="743"/>
        <v/>
      </c>
      <c r="AJ148" s="81">
        <f t="shared" si="769"/>
        <v>0</v>
      </c>
      <c r="AK148" s="83">
        <f t="shared" si="770"/>
        <v>0</v>
      </c>
      <c r="AL148" s="83">
        <f t="shared" si="771"/>
        <v>0</v>
      </c>
      <c r="AN148" s="43">
        <f t="shared" si="744"/>
        <v>0</v>
      </c>
      <c r="AP148" t="str">
        <f t="shared" si="772"/>
        <v/>
      </c>
      <c r="AQ148" t="str">
        <f t="shared" si="773"/>
        <v/>
      </c>
      <c r="AR148" t="str">
        <f t="shared" si="774"/>
        <v/>
      </c>
      <c r="AS148" t="str">
        <f t="shared" si="775"/>
        <v/>
      </c>
      <c r="AT148" t="str">
        <f t="shared" si="776"/>
        <v/>
      </c>
      <c r="AU148" t="str">
        <f t="shared" si="777"/>
        <v/>
      </c>
      <c r="AV148" t="str">
        <f t="shared" si="778"/>
        <v/>
      </c>
      <c r="AW148" t="str">
        <f t="shared" si="779"/>
        <v xml:space="preserve">                              </v>
      </c>
      <c r="AX148" s="23">
        <f t="shared" si="780"/>
        <v>0</v>
      </c>
      <c r="AY148" s="49" t="str">
        <f t="shared" si="756"/>
        <v>000000000000000</v>
      </c>
      <c r="AZ148" s="23">
        <f t="shared" si="781"/>
        <v>0</v>
      </c>
      <c r="BA148" s="49" t="str">
        <f t="shared" si="756"/>
        <v>000000000000000</v>
      </c>
      <c r="BB148" s="23">
        <f t="shared" si="782"/>
        <v>0</v>
      </c>
      <c r="BC148" s="49" t="str">
        <f t="shared" ref="BC148" si="837">IF(BB148&lt;0,SUBSTITUTE(TEXT(BB148,"000000000000,00"),",",""),SUBSTITUTE(TEXT(BB148,"0000000000000,00"),",",""))</f>
        <v>000000000000000</v>
      </c>
      <c r="BD148" s="23">
        <f t="shared" si="784"/>
        <v>0</v>
      </c>
      <c r="BE148" s="49" t="str">
        <f t="shared" ref="BE148" si="838">IF(BD148&lt;0,SUBSTITUTE(TEXT(BD148,"000000000000,00"),",",""),SUBSTITUTE(TEXT(BD148,"0000000000000,00"),",",""))</f>
        <v>000000000000000</v>
      </c>
      <c r="BF148" s="23">
        <f t="shared" si="786"/>
        <v>0</v>
      </c>
      <c r="BG148" s="49" t="str">
        <f t="shared" ref="BG148" si="839">IF(BF148&lt;0,SUBSTITUTE(TEXT(BF148,"000000000000,00"),",",""),SUBSTITUTE(TEXT(BF148,"0000000000000,00"),",",""))</f>
        <v>000000000000000</v>
      </c>
      <c r="BH148" s="23">
        <f t="shared" si="788"/>
        <v>0</v>
      </c>
      <c r="BI148" s="49" t="str">
        <f t="shared" ref="BI148" si="840">IF(BH148&lt;0,SUBSTITUTE(TEXT(BH148,"000000000000,00"),",",""),SUBSTITUTE(TEXT(BH148,"0000000000000,00"),",",""))</f>
        <v>000000000000000</v>
      </c>
      <c r="BJ148" s="23">
        <f t="shared" si="790"/>
        <v>0</v>
      </c>
      <c r="BK148" s="49" t="str">
        <f t="shared" ref="BK148" si="841">IF(BJ148&lt;0,SUBSTITUTE(TEXT(BJ148,"000000000000,00"),",",""),SUBSTITUTE(TEXT(BJ148,"0000000000000,00"),",",""))</f>
        <v>000000000000000</v>
      </c>
      <c r="BL148" s="23">
        <f t="shared" si="792"/>
        <v>0</v>
      </c>
      <c r="BM148" s="49" t="str">
        <f t="shared" ref="BM148" si="842">IF(BL148&lt;0,SUBSTITUTE(TEXT(BL148,"000000000000,00"),",",""),SUBSTITUTE(TEXT(BL148,"0000000000000,00"),",",""))</f>
        <v>000000000000000</v>
      </c>
      <c r="BN148" t="str">
        <f t="shared" si="794"/>
        <v>PES</v>
      </c>
      <c r="BO148" t="str">
        <f t="shared" si="795"/>
        <v>0001000000</v>
      </c>
      <c r="BP148">
        <f t="shared" si="796"/>
        <v>0</v>
      </c>
      <c r="BQ148">
        <f t="shared" si="797"/>
        <v>0</v>
      </c>
      <c r="BR148" s="23">
        <f t="shared" si="798"/>
        <v>0</v>
      </c>
      <c r="BS148" s="49" t="str">
        <f t="shared" si="763"/>
        <v>000000000000000</v>
      </c>
      <c r="BT148" t="str">
        <f t="shared" si="799"/>
        <v>00000000</v>
      </c>
      <c r="BU148" s="23">
        <f t="shared" si="800"/>
        <v>0</v>
      </c>
      <c r="BV148" s="49" t="str">
        <f t="shared" si="764"/>
        <v/>
      </c>
      <c r="BW148" s="52" t="str">
        <f t="shared" si="801"/>
        <v/>
      </c>
      <c r="BX148" s="23">
        <f t="shared" si="802"/>
        <v>0</v>
      </c>
      <c r="BY148" s="49" t="str">
        <f t="shared" si="765"/>
        <v/>
      </c>
      <c r="BZ148" s="23">
        <f t="shared" si="803"/>
        <v>0</v>
      </c>
      <c r="CA148" s="49" t="str">
        <f t="shared" si="766"/>
        <v/>
      </c>
      <c r="CB148" s="52" t="str">
        <f t="shared" si="804"/>
        <v/>
      </c>
      <c r="CC148" s="23">
        <f t="shared" si="805"/>
        <v>0</v>
      </c>
      <c r="CD148" s="49" t="str">
        <f t="shared" si="767"/>
        <v/>
      </c>
      <c r="CE148" s="56" t="str">
        <f>IF(CF148="","",MAX(CE$10:$CE147)+1)</f>
        <v/>
      </c>
      <c r="CF148" t="str">
        <f t="shared" si="806"/>
        <v/>
      </c>
      <c r="CG148" s="22" t="str">
        <f>IF(CH148="","",MAX($CG$10:CG147)+1)</f>
        <v/>
      </c>
      <c r="CH148" s="22" t="str">
        <f t="shared" si="751"/>
        <v/>
      </c>
      <c r="CI148" s="22" t="str">
        <f>IF(CJ148="","",MAX($CI$10:CI147)+1)</f>
        <v/>
      </c>
      <c r="CJ148" s="22" t="str">
        <f t="shared" si="752"/>
        <v/>
      </c>
    </row>
    <row r="149" spans="2:88" x14ac:dyDescent="0.25">
      <c r="B149" s="37"/>
      <c r="C149" s="3"/>
      <c r="D149" s="77" t="str">
        <f t="shared" si="738"/>
        <v/>
      </c>
      <c r="E149" s="38"/>
      <c r="F149" s="38"/>
      <c r="G149" s="78">
        <f t="shared" si="753"/>
        <v>0</v>
      </c>
      <c r="H149" s="3">
        <v>80</v>
      </c>
      <c r="I149" s="77" t="str">
        <f t="shared" si="739"/>
        <v/>
      </c>
      <c r="J149" s="32"/>
      <c r="K149" s="3"/>
      <c r="L149" s="39"/>
      <c r="M149" s="39"/>
      <c r="N149" s="39"/>
      <c r="O149" s="39"/>
      <c r="P149" s="39"/>
      <c r="Q149" s="39"/>
      <c r="R149" s="39"/>
      <c r="S149" s="39"/>
      <c r="T149" s="3" t="s">
        <v>645</v>
      </c>
      <c r="U149" s="77" t="str">
        <f t="shared" si="740"/>
        <v/>
      </c>
      <c r="V149" s="39">
        <v>1</v>
      </c>
      <c r="W149" s="79">
        <f t="shared" si="754"/>
        <v>0</v>
      </c>
      <c r="X149" s="3">
        <v>0</v>
      </c>
      <c r="Y149" s="77" t="str">
        <f t="shared" si="741"/>
        <v/>
      </c>
      <c r="Z149" s="3"/>
      <c r="AA149" s="37" t="str">
        <f t="shared" si="755"/>
        <v/>
      </c>
      <c r="AC149" s="40"/>
      <c r="AD149" s="7"/>
      <c r="AE149" s="77" t="str">
        <f t="shared" si="742"/>
        <v/>
      </c>
      <c r="AF149" s="81">
        <f t="shared" si="768"/>
        <v>0</v>
      </c>
      <c r="AG149" s="40"/>
      <c r="AH149" s="7"/>
      <c r="AI149" s="77" t="str">
        <f t="shared" si="743"/>
        <v/>
      </c>
      <c r="AJ149" s="81">
        <f t="shared" si="769"/>
        <v>0</v>
      </c>
      <c r="AK149" s="83">
        <f t="shared" si="770"/>
        <v>0</v>
      </c>
      <c r="AL149" s="83">
        <f t="shared" si="771"/>
        <v>0</v>
      </c>
      <c r="AN149" s="43">
        <f t="shared" si="744"/>
        <v>0</v>
      </c>
      <c r="AP149" t="str">
        <f t="shared" si="772"/>
        <v/>
      </c>
      <c r="AQ149" t="str">
        <f t="shared" si="773"/>
        <v/>
      </c>
      <c r="AR149" t="str">
        <f t="shared" si="774"/>
        <v/>
      </c>
      <c r="AS149" t="str">
        <f t="shared" si="775"/>
        <v/>
      </c>
      <c r="AT149" t="str">
        <f t="shared" si="776"/>
        <v/>
      </c>
      <c r="AU149" t="str">
        <f t="shared" si="777"/>
        <v/>
      </c>
      <c r="AV149" t="str">
        <f t="shared" si="778"/>
        <v/>
      </c>
      <c r="AW149" t="str">
        <f t="shared" si="779"/>
        <v xml:space="preserve">                              </v>
      </c>
      <c r="AX149" s="23">
        <f t="shared" si="780"/>
        <v>0</v>
      </c>
      <c r="AY149" s="49" t="str">
        <f t="shared" si="756"/>
        <v>000000000000000</v>
      </c>
      <c r="AZ149" s="23">
        <f t="shared" si="781"/>
        <v>0</v>
      </c>
      <c r="BA149" s="49" t="str">
        <f t="shared" si="756"/>
        <v>000000000000000</v>
      </c>
      <c r="BB149" s="23">
        <f t="shared" si="782"/>
        <v>0</v>
      </c>
      <c r="BC149" s="49" t="str">
        <f t="shared" ref="BC149" si="843">IF(BB149&lt;0,SUBSTITUTE(TEXT(BB149,"000000000000,00"),",",""),SUBSTITUTE(TEXT(BB149,"0000000000000,00"),",",""))</f>
        <v>000000000000000</v>
      </c>
      <c r="BD149" s="23">
        <f t="shared" si="784"/>
        <v>0</v>
      </c>
      <c r="BE149" s="49" t="str">
        <f t="shared" ref="BE149" si="844">IF(BD149&lt;0,SUBSTITUTE(TEXT(BD149,"000000000000,00"),",",""),SUBSTITUTE(TEXT(BD149,"0000000000000,00"),",",""))</f>
        <v>000000000000000</v>
      </c>
      <c r="BF149" s="23">
        <f t="shared" si="786"/>
        <v>0</v>
      </c>
      <c r="BG149" s="49" t="str">
        <f t="shared" ref="BG149" si="845">IF(BF149&lt;0,SUBSTITUTE(TEXT(BF149,"000000000000,00"),",",""),SUBSTITUTE(TEXT(BF149,"0000000000000,00"),",",""))</f>
        <v>000000000000000</v>
      </c>
      <c r="BH149" s="23">
        <f t="shared" si="788"/>
        <v>0</v>
      </c>
      <c r="BI149" s="49" t="str">
        <f t="shared" ref="BI149" si="846">IF(BH149&lt;0,SUBSTITUTE(TEXT(BH149,"000000000000,00"),",",""),SUBSTITUTE(TEXT(BH149,"0000000000000,00"),",",""))</f>
        <v>000000000000000</v>
      </c>
      <c r="BJ149" s="23">
        <f t="shared" si="790"/>
        <v>0</v>
      </c>
      <c r="BK149" s="49" t="str">
        <f t="shared" ref="BK149" si="847">IF(BJ149&lt;0,SUBSTITUTE(TEXT(BJ149,"000000000000,00"),",",""),SUBSTITUTE(TEXT(BJ149,"0000000000000,00"),",",""))</f>
        <v>000000000000000</v>
      </c>
      <c r="BL149" s="23">
        <f t="shared" si="792"/>
        <v>0</v>
      </c>
      <c r="BM149" s="49" t="str">
        <f t="shared" ref="BM149" si="848">IF(BL149&lt;0,SUBSTITUTE(TEXT(BL149,"000000000000,00"),",",""),SUBSTITUTE(TEXT(BL149,"0000000000000,00"),",",""))</f>
        <v>000000000000000</v>
      </c>
      <c r="BN149" t="str">
        <f t="shared" si="794"/>
        <v>PES</v>
      </c>
      <c r="BO149" t="str">
        <f t="shared" si="795"/>
        <v>0001000000</v>
      </c>
      <c r="BP149">
        <f t="shared" si="796"/>
        <v>0</v>
      </c>
      <c r="BQ149">
        <f t="shared" si="797"/>
        <v>0</v>
      </c>
      <c r="BR149" s="23">
        <f t="shared" si="798"/>
        <v>0</v>
      </c>
      <c r="BS149" s="49" t="str">
        <f t="shared" si="763"/>
        <v>000000000000000</v>
      </c>
      <c r="BT149" t="str">
        <f t="shared" si="799"/>
        <v>00000000</v>
      </c>
      <c r="BU149" s="23">
        <f t="shared" si="800"/>
        <v>0</v>
      </c>
      <c r="BV149" s="49" t="str">
        <f t="shared" si="764"/>
        <v/>
      </c>
      <c r="BW149" s="52" t="str">
        <f t="shared" si="801"/>
        <v/>
      </c>
      <c r="BX149" s="23">
        <f t="shared" si="802"/>
        <v>0</v>
      </c>
      <c r="BY149" s="49" t="str">
        <f t="shared" si="765"/>
        <v/>
      </c>
      <c r="BZ149" s="23">
        <f t="shared" si="803"/>
        <v>0</v>
      </c>
      <c r="CA149" s="49" t="str">
        <f t="shared" si="766"/>
        <v/>
      </c>
      <c r="CB149" s="52" t="str">
        <f t="shared" si="804"/>
        <v/>
      </c>
      <c r="CC149" s="23">
        <f t="shared" si="805"/>
        <v>0</v>
      </c>
      <c r="CD149" s="49" t="str">
        <f t="shared" si="767"/>
        <v/>
      </c>
      <c r="CE149" s="56" t="str">
        <f>IF(CF149="","",MAX(CE$10:$CE148)+1)</f>
        <v/>
      </c>
      <c r="CF149" t="str">
        <f t="shared" si="806"/>
        <v/>
      </c>
      <c r="CG149" s="22" t="str">
        <f>IF(CH149="","",MAX($CG$10:CG148)+1)</f>
        <v/>
      </c>
      <c r="CH149" s="22" t="str">
        <f t="shared" si="751"/>
        <v/>
      </c>
      <c r="CI149" s="22" t="str">
        <f>IF(CJ149="","",MAX($CI$10:CI148)+1)</f>
        <v/>
      </c>
      <c r="CJ149" s="22" t="str">
        <f t="shared" si="752"/>
        <v/>
      </c>
    </row>
    <row r="150" spans="2:88" x14ac:dyDescent="0.25">
      <c r="B150" s="37"/>
      <c r="C150" s="3"/>
      <c r="D150" s="77" t="str">
        <f t="shared" si="738"/>
        <v/>
      </c>
      <c r="E150" s="38"/>
      <c r="F150" s="38"/>
      <c r="G150" s="78">
        <f t="shared" si="753"/>
        <v>0</v>
      </c>
      <c r="H150" s="3">
        <v>80</v>
      </c>
      <c r="I150" s="77" t="str">
        <f t="shared" si="739"/>
        <v/>
      </c>
      <c r="J150" s="32"/>
      <c r="K150" s="3"/>
      <c r="L150" s="39"/>
      <c r="M150" s="39"/>
      <c r="N150" s="39"/>
      <c r="O150" s="39"/>
      <c r="P150" s="39"/>
      <c r="Q150" s="39"/>
      <c r="R150" s="39"/>
      <c r="S150" s="39"/>
      <c r="T150" s="3" t="s">
        <v>645</v>
      </c>
      <c r="U150" s="77" t="str">
        <f t="shared" si="740"/>
        <v/>
      </c>
      <c r="V150" s="39">
        <v>1</v>
      </c>
      <c r="W150" s="79">
        <f t="shared" si="754"/>
        <v>0</v>
      </c>
      <c r="X150" s="3">
        <v>0</v>
      </c>
      <c r="Y150" s="77" t="str">
        <f t="shared" si="741"/>
        <v/>
      </c>
      <c r="Z150" s="3"/>
      <c r="AA150" s="37" t="str">
        <f t="shared" si="755"/>
        <v/>
      </c>
      <c r="AC150" s="40"/>
      <c r="AD150" s="7"/>
      <c r="AE150" s="77" t="str">
        <f t="shared" si="742"/>
        <v/>
      </c>
      <c r="AF150" s="81">
        <f t="shared" si="768"/>
        <v>0</v>
      </c>
      <c r="AG150" s="40"/>
      <c r="AH150" s="7"/>
      <c r="AI150" s="77" t="str">
        <f t="shared" si="743"/>
        <v/>
      </c>
      <c r="AJ150" s="81">
        <f t="shared" si="769"/>
        <v>0</v>
      </c>
      <c r="AK150" s="83">
        <f t="shared" si="770"/>
        <v>0</v>
      </c>
      <c r="AL150" s="83">
        <f t="shared" si="771"/>
        <v>0</v>
      </c>
      <c r="AN150" s="43">
        <f t="shared" si="744"/>
        <v>0</v>
      </c>
      <c r="AP150" t="str">
        <f t="shared" si="772"/>
        <v/>
      </c>
      <c r="AQ150" t="str">
        <f t="shared" si="773"/>
        <v/>
      </c>
      <c r="AR150" t="str">
        <f t="shared" si="774"/>
        <v/>
      </c>
      <c r="AS150" t="str">
        <f t="shared" si="775"/>
        <v/>
      </c>
      <c r="AT150" t="str">
        <f t="shared" si="776"/>
        <v/>
      </c>
      <c r="AU150" t="str">
        <f t="shared" si="777"/>
        <v/>
      </c>
      <c r="AV150" t="str">
        <f t="shared" si="778"/>
        <v/>
      </c>
      <c r="AW150" t="str">
        <f t="shared" si="779"/>
        <v xml:space="preserve">                              </v>
      </c>
      <c r="AX150" s="23">
        <f t="shared" si="780"/>
        <v>0</v>
      </c>
      <c r="AY150" s="49" t="str">
        <f t="shared" si="756"/>
        <v>000000000000000</v>
      </c>
      <c r="AZ150" s="23">
        <f t="shared" si="781"/>
        <v>0</v>
      </c>
      <c r="BA150" s="49" t="str">
        <f t="shared" si="756"/>
        <v>000000000000000</v>
      </c>
      <c r="BB150" s="23">
        <f t="shared" si="782"/>
        <v>0</v>
      </c>
      <c r="BC150" s="49" t="str">
        <f t="shared" ref="BC150" si="849">IF(BB150&lt;0,SUBSTITUTE(TEXT(BB150,"000000000000,00"),",",""),SUBSTITUTE(TEXT(BB150,"0000000000000,00"),",",""))</f>
        <v>000000000000000</v>
      </c>
      <c r="BD150" s="23">
        <f t="shared" si="784"/>
        <v>0</v>
      </c>
      <c r="BE150" s="49" t="str">
        <f t="shared" ref="BE150" si="850">IF(BD150&lt;0,SUBSTITUTE(TEXT(BD150,"000000000000,00"),",",""),SUBSTITUTE(TEXT(BD150,"0000000000000,00"),",",""))</f>
        <v>000000000000000</v>
      </c>
      <c r="BF150" s="23">
        <f t="shared" si="786"/>
        <v>0</v>
      </c>
      <c r="BG150" s="49" t="str">
        <f t="shared" ref="BG150" si="851">IF(BF150&lt;0,SUBSTITUTE(TEXT(BF150,"000000000000,00"),",",""),SUBSTITUTE(TEXT(BF150,"0000000000000,00"),",",""))</f>
        <v>000000000000000</v>
      </c>
      <c r="BH150" s="23">
        <f t="shared" si="788"/>
        <v>0</v>
      </c>
      <c r="BI150" s="49" t="str">
        <f t="shared" ref="BI150" si="852">IF(BH150&lt;0,SUBSTITUTE(TEXT(BH150,"000000000000,00"),",",""),SUBSTITUTE(TEXT(BH150,"0000000000000,00"),",",""))</f>
        <v>000000000000000</v>
      </c>
      <c r="BJ150" s="23">
        <f t="shared" si="790"/>
        <v>0</v>
      </c>
      <c r="BK150" s="49" t="str">
        <f t="shared" ref="BK150" si="853">IF(BJ150&lt;0,SUBSTITUTE(TEXT(BJ150,"000000000000,00"),",",""),SUBSTITUTE(TEXT(BJ150,"0000000000000,00"),",",""))</f>
        <v>000000000000000</v>
      </c>
      <c r="BL150" s="23">
        <f t="shared" si="792"/>
        <v>0</v>
      </c>
      <c r="BM150" s="49" t="str">
        <f t="shared" ref="BM150" si="854">IF(BL150&lt;0,SUBSTITUTE(TEXT(BL150,"000000000000,00"),",",""),SUBSTITUTE(TEXT(BL150,"0000000000000,00"),",",""))</f>
        <v>000000000000000</v>
      </c>
      <c r="BN150" t="str">
        <f t="shared" si="794"/>
        <v>PES</v>
      </c>
      <c r="BO150" t="str">
        <f t="shared" si="795"/>
        <v>0001000000</v>
      </c>
      <c r="BP150">
        <f t="shared" si="796"/>
        <v>0</v>
      </c>
      <c r="BQ150">
        <f t="shared" si="797"/>
        <v>0</v>
      </c>
      <c r="BR150" s="23">
        <f t="shared" si="798"/>
        <v>0</v>
      </c>
      <c r="BS150" s="49" t="str">
        <f t="shared" si="763"/>
        <v>000000000000000</v>
      </c>
      <c r="BT150" t="str">
        <f t="shared" si="799"/>
        <v>00000000</v>
      </c>
      <c r="BU150" s="23">
        <f t="shared" si="800"/>
        <v>0</v>
      </c>
      <c r="BV150" s="49" t="str">
        <f t="shared" si="764"/>
        <v/>
      </c>
      <c r="BW150" s="52" t="str">
        <f t="shared" si="801"/>
        <v/>
      </c>
      <c r="BX150" s="23">
        <f t="shared" si="802"/>
        <v>0</v>
      </c>
      <c r="BY150" s="49" t="str">
        <f t="shared" si="765"/>
        <v/>
      </c>
      <c r="BZ150" s="23">
        <f t="shared" si="803"/>
        <v>0</v>
      </c>
      <c r="CA150" s="49" t="str">
        <f t="shared" si="766"/>
        <v/>
      </c>
      <c r="CB150" s="52" t="str">
        <f t="shared" si="804"/>
        <v/>
      </c>
      <c r="CC150" s="23">
        <f t="shared" si="805"/>
        <v>0</v>
      </c>
      <c r="CD150" s="49" t="str">
        <f t="shared" si="767"/>
        <v/>
      </c>
      <c r="CE150" s="56" t="str">
        <f>IF(CF150="","",MAX(CE$10:$CE149)+1)</f>
        <v/>
      </c>
      <c r="CF150" t="str">
        <f t="shared" si="806"/>
        <v/>
      </c>
      <c r="CG150" s="22" t="str">
        <f>IF(CH150="","",MAX($CG$10:CG149)+1)</f>
        <v/>
      </c>
      <c r="CH150" s="22" t="str">
        <f t="shared" si="751"/>
        <v/>
      </c>
      <c r="CI150" s="22" t="str">
        <f>IF(CJ150="","",MAX($CI$10:CI149)+1)</f>
        <v/>
      </c>
      <c r="CJ150" s="22" t="str">
        <f t="shared" si="752"/>
        <v/>
      </c>
    </row>
    <row r="151" spans="2:88" x14ac:dyDescent="0.25">
      <c r="B151" s="37"/>
      <c r="C151" s="3"/>
      <c r="D151" s="77" t="str">
        <f t="shared" si="738"/>
        <v/>
      </c>
      <c r="E151" s="38"/>
      <c r="F151" s="38"/>
      <c r="G151" s="78">
        <f t="shared" si="753"/>
        <v>0</v>
      </c>
      <c r="H151" s="3">
        <v>80</v>
      </c>
      <c r="I151" s="77" t="str">
        <f t="shared" si="739"/>
        <v/>
      </c>
      <c r="J151" s="32"/>
      <c r="K151" s="3"/>
      <c r="L151" s="39"/>
      <c r="M151" s="39"/>
      <c r="N151" s="39"/>
      <c r="O151" s="39"/>
      <c r="P151" s="39"/>
      <c r="Q151" s="39"/>
      <c r="R151" s="39"/>
      <c r="S151" s="39"/>
      <c r="T151" s="3" t="s">
        <v>645</v>
      </c>
      <c r="U151" s="77" t="str">
        <f t="shared" si="740"/>
        <v/>
      </c>
      <c r="V151" s="39">
        <v>1</v>
      </c>
      <c r="W151" s="79">
        <f t="shared" si="754"/>
        <v>0</v>
      </c>
      <c r="X151" s="3">
        <v>0</v>
      </c>
      <c r="Y151" s="77" t="str">
        <f t="shared" si="741"/>
        <v/>
      </c>
      <c r="Z151" s="3"/>
      <c r="AA151" s="37" t="str">
        <f t="shared" si="755"/>
        <v/>
      </c>
      <c r="AC151" s="40"/>
      <c r="AD151" s="7"/>
      <c r="AE151" s="77" t="str">
        <f t="shared" si="742"/>
        <v/>
      </c>
      <c r="AF151" s="81">
        <f t="shared" si="768"/>
        <v>0</v>
      </c>
      <c r="AG151" s="40"/>
      <c r="AH151" s="7"/>
      <c r="AI151" s="77" t="str">
        <f t="shared" si="743"/>
        <v/>
      </c>
      <c r="AJ151" s="81">
        <f t="shared" si="769"/>
        <v>0</v>
      </c>
      <c r="AK151" s="83">
        <f t="shared" si="770"/>
        <v>0</v>
      </c>
      <c r="AL151" s="83">
        <f t="shared" si="771"/>
        <v>0</v>
      </c>
      <c r="AN151" s="43">
        <f t="shared" si="744"/>
        <v>0</v>
      </c>
      <c r="AP151" t="str">
        <f t="shared" si="772"/>
        <v/>
      </c>
      <c r="AQ151" t="str">
        <f t="shared" si="773"/>
        <v/>
      </c>
      <c r="AR151" t="str">
        <f t="shared" si="774"/>
        <v/>
      </c>
      <c r="AS151" t="str">
        <f t="shared" si="775"/>
        <v/>
      </c>
      <c r="AT151" t="str">
        <f t="shared" si="776"/>
        <v/>
      </c>
      <c r="AU151" t="str">
        <f t="shared" si="777"/>
        <v/>
      </c>
      <c r="AV151" t="str">
        <f t="shared" si="778"/>
        <v/>
      </c>
      <c r="AW151" t="str">
        <f t="shared" si="779"/>
        <v xml:space="preserve">                              </v>
      </c>
      <c r="AX151" s="23">
        <f t="shared" si="780"/>
        <v>0</v>
      </c>
      <c r="AY151" s="49" t="str">
        <f t="shared" si="756"/>
        <v>000000000000000</v>
      </c>
      <c r="AZ151" s="23">
        <f t="shared" si="781"/>
        <v>0</v>
      </c>
      <c r="BA151" s="49" t="str">
        <f t="shared" si="756"/>
        <v>000000000000000</v>
      </c>
      <c r="BB151" s="23">
        <f t="shared" si="782"/>
        <v>0</v>
      </c>
      <c r="BC151" s="49" t="str">
        <f t="shared" ref="BC151" si="855">IF(BB151&lt;0,SUBSTITUTE(TEXT(BB151,"000000000000,00"),",",""),SUBSTITUTE(TEXT(BB151,"0000000000000,00"),",",""))</f>
        <v>000000000000000</v>
      </c>
      <c r="BD151" s="23">
        <f t="shared" si="784"/>
        <v>0</v>
      </c>
      <c r="BE151" s="49" t="str">
        <f t="shared" ref="BE151" si="856">IF(BD151&lt;0,SUBSTITUTE(TEXT(BD151,"000000000000,00"),",",""),SUBSTITUTE(TEXT(BD151,"0000000000000,00"),",",""))</f>
        <v>000000000000000</v>
      </c>
      <c r="BF151" s="23">
        <f t="shared" si="786"/>
        <v>0</v>
      </c>
      <c r="BG151" s="49" t="str">
        <f t="shared" ref="BG151" si="857">IF(BF151&lt;0,SUBSTITUTE(TEXT(BF151,"000000000000,00"),",",""),SUBSTITUTE(TEXT(BF151,"0000000000000,00"),",",""))</f>
        <v>000000000000000</v>
      </c>
      <c r="BH151" s="23">
        <f t="shared" si="788"/>
        <v>0</v>
      </c>
      <c r="BI151" s="49" t="str">
        <f t="shared" ref="BI151" si="858">IF(BH151&lt;0,SUBSTITUTE(TEXT(BH151,"000000000000,00"),",",""),SUBSTITUTE(TEXT(BH151,"0000000000000,00"),",",""))</f>
        <v>000000000000000</v>
      </c>
      <c r="BJ151" s="23">
        <f t="shared" si="790"/>
        <v>0</v>
      </c>
      <c r="BK151" s="49" t="str">
        <f t="shared" ref="BK151" si="859">IF(BJ151&lt;0,SUBSTITUTE(TEXT(BJ151,"000000000000,00"),",",""),SUBSTITUTE(TEXT(BJ151,"0000000000000,00"),",",""))</f>
        <v>000000000000000</v>
      </c>
      <c r="BL151" s="23">
        <f t="shared" si="792"/>
        <v>0</v>
      </c>
      <c r="BM151" s="49" t="str">
        <f t="shared" ref="BM151" si="860">IF(BL151&lt;0,SUBSTITUTE(TEXT(BL151,"000000000000,00"),",",""),SUBSTITUTE(TEXT(BL151,"0000000000000,00"),",",""))</f>
        <v>000000000000000</v>
      </c>
      <c r="BN151" t="str">
        <f t="shared" si="794"/>
        <v>PES</v>
      </c>
      <c r="BO151" t="str">
        <f t="shared" si="795"/>
        <v>0001000000</v>
      </c>
      <c r="BP151">
        <f t="shared" si="796"/>
        <v>0</v>
      </c>
      <c r="BQ151">
        <f t="shared" si="797"/>
        <v>0</v>
      </c>
      <c r="BR151" s="23">
        <f t="shared" si="798"/>
        <v>0</v>
      </c>
      <c r="BS151" s="49" t="str">
        <f t="shared" si="763"/>
        <v>000000000000000</v>
      </c>
      <c r="BT151" t="str">
        <f t="shared" si="799"/>
        <v>00000000</v>
      </c>
      <c r="BU151" s="23">
        <f t="shared" si="800"/>
        <v>0</v>
      </c>
      <c r="BV151" s="49" t="str">
        <f t="shared" si="764"/>
        <v/>
      </c>
      <c r="BW151" s="52" t="str">
        <f t="shared" si="801"/>
        <v/>
      </c>
      <c r="BX151" s="23">
        <f t="shared" si="802"/>
        <v>0</v>
      </c>
      <c r="BY151" s="49" t="str">
        <f t="shared" si="765"/>
        <v/>
      </c>
      <c r="BZ151" s="23">
        <f t="shared" si="803"/>
        <v>0</v>
      </c>
      <c r="CA151" s="49" t="str">
        <f t="shared" si="766"/>
        <v/>
      </c>
      <c r="CB151" s="52" t="str">
        <f t="shared" si="804"/>
        <v/>
      </c>
      <c r="CC151" s="23">
        <f t="shared" si="805"/>
        <v>0</v>
      </c>
      <c r="CD151" s="49" t="str">
        <f t="shared" si="767"/>
        <v/>
      </c>
      <c r="CE151" s="56" t="str">
        <f>IF(CF151="","",MAX(CE$10:$CE150)+1)</f>
        <v/>
      </c>
      <c r="CF151" t="str">
        <f t="shared" si="806"/>
        <v/>
      </c>
      <c r="CG151" s="22" t="str">
        <f>IF(CH151="","",MAX($CG$10:CG150)+1)</f>
        <v/>
      </c>
      <c r="CH151" s="22" t="str">
        <f t="shared" si="751"/>
        <v/>
      </c>
      <c r="CI151" s="22" t="str">
        <f>IF(CJ151="","",MAX($CI$10:CI150)+1)</f>
        <v/>
      </c>
      <c r="CJ151" s="22" t="str">
        <f t="shared" si="752"/>
        <v/>
      </c>
    </row>
    <row r="152" spans="2:88" x14ac:dyDescent="0.25">
      <c r="B152" s="37"/>
      <c r="C152" s="3"/>
      <c r="D152" s="77" t="str">
        <f t="shared" si="738"/>
        <v/>
      </c>
      <c r="E152" s="38"/>
      <c r="F152" s="38"/>
      <c r="G152" s="78">
        <f t="shared" si="753"/>
        <v>0</v>
      </c>
      <c r="H152" s="3">
        <v>80</v>
      </c>
      <c r="I152" s="77" t="str">
        <f t="shared" si="739"/>
        <v/>
      </c>
      <c r="J152" s="32"/>
      <c r="K152" s="3"/>
      <c r="L152" s="39"/>
      <c r="M152" s="39"/>
      <c r="N152" s="39"/>
      <c r="O152" s="39"/>
      <c r="P152" s="39"/>
      <c r="Q152" s="39"/>
      <c r="R152" s="39"/>
      <c r="S152" s="39"/>
      <c r="T152" s="3" t="s">
        <v>645</v>
      </c>
      <c r="U152" s="77" t="str">
        <f t="shared" si="740"/>
        <v/>
      </c>
      <c r="V152" s="39">
        <v>1</v>
      </c>
      <c r="W152" s="79">
        <f t="shared" si="754"/>
        <v>0</v>
      </c>
      <c r="X152" s="3">
        <v>0</v>
      </c>
      <c r="Y152" s="77" t="str">
        <f t="shared" si="741"/>
        <v/>
      </c>
      <c r="Z152" s="3"/>
      <c r="AA152" s="37" t="str">
        <f t="shared" si="755"/>
        <v/>
      </c>
      <c r="AC152" s="40"/>
      <c r="AD152" s="7"/>
      <c r="AE152" s="77" t="str">
        <f t="shared" si="742"/>
        <v/>
      </c>
      <c r="AF152" s="81">
        <f t="shared" si="768"/>
        <v>0</v>
      </c>
      <c r="AG152" s="40"/>
      <c r="AH152" s="7"/>
      <c r="AI152" s="77" t="str">
        <f t="shared" si="743"/>
        <v/>
      </c>
      <c r="AJ152" s="81">
        <f t="shared" si="769"/>
        <v>0</v>
      </c>
      <c r="AK152" s="83">
        <f t="shared" si="770"/>
        <v>0</v>
      </c>
      <c r="AL152" s="83">
        <f t="shared" si="771"/>
        <v>0</v>
      </c>
      <c r="AN152" s="43">
        <f t="shared" si="744"/>
        <v>0</v>
      </c>
      <c r="AP152" t="str">
        <f t="shared" si="772"/>
        <v/>
      </c>
      <c r="AQ152" t="str">
        <f t="shared" si="773"/>
        <v/>
      </c>
      <c r="AR152" t="str">
        <f t="shared" si="774"/>
        <v/>
      </c>
      <c r="AS152" t="str">
        <f t="shared" si="775"/>
        <v/>
      </c>
      <c r="AT152" t="str">
        <f t="shared" si="776"/>
        <v/>
      </c>
      <c r="AU152" t="str">
        <f t="shared" si="777"/>
        <v/>
      </c>
      <c r="AV152" t="str">
        <f t="shared" si="778"/>
        <v/>
      </c>
      <c r="AW152" t="str">
        <f t="shared" si="779"/>
        <v xml:space="preserve">                              </v>
      </c>
      <c r="AX152" s="23">
        <f t="shared" si="780"/>
        <v>0</v>
      </c>
      <c r="AY152" s="49" t="str">
        <f t="shared" si="756"/>
        <v>000000000000000</v>
      </c>
      <c r="AZ152" s="23">
        <f t="shared" si="781"/>
        <v>0</v>
      </c>
      <c r="BA152" s="49" t="str">
        <f t="shared" si="756"/>
        <v>000000000000000</v>
      </c>
      <c r="BB152" s="23">
        <f t="shared" si="782"/>
        <v>0</v>
      </c>
      <c r="BC152" s="49" t="str">
        <f t="shared" ref="BC152" si="861">IF(BB152&lt;0,SUBSTITUTE(TEXT(BB152,"000000000000,00"),",",""),SUBSTITUTE(TEXT(BB152,"0000000000000,00"),",",""))</f>
        <v>000000000000000</v>
      </c>
      <c r="BD152" s="23">
        <f t="shared" si="784"/>
        <v>0</v>
      </c>
      <c r="BE152" s="49" t="str">
        <f t="shared" ref="BE152" si="862">IF(BD152&lt;0,SUBSTITUTE(TEXT(BD152,"000000000000,00"),",",""),SUBSTITUTE(TEXT(BD152,"0000000000000,00"),",",""))</f>
        <v>000000000000000</v>
      </c>
      <c r="BF152" s="23">
        <f t="shared" si="786"/>
        <v>0</v>
      </c>
      <c r="BG152" s="49" t="str">
        <f t="shared" ref="BG152" si="863">IF(BF152&lt;0,SUBSTITUTE(TEXT(BF152,"000000000000,00"),",",""),SUBSTITUTE(TEXT(BF152,"0000000000000,00"),",",""))</f>
        <v>000000000000000</v>
      </c>
      <c r="BH152" s="23">
        <f t="shared" si="788"/>
        <v>0</v>
      </c>
      <c r="BI152" s="49" t="str">
        <f t="shared" ref="BI152" si="864">IF(BH152&lt;0,SUBSTITUTE(TEXT(BH152,"000000000000,00"),",",""),SUBSTITUTE(TEXT(BH152,"0000000000000,00"),",",""))</f>
        <v>000000000000000</v>
      </c>
      <c r="BJ152" s="23">
        <f t="shared" si="790"/>
        <v>0</v>
      </c>
      <c r="BK152" s="49" t="str">
        <f t="shared" ref="BK152" si="865">IF(BJ152&lt;0,SUBSTITUTE(TEXT(BJ152,"000000000000,00"),",",""),SUBSTITUTE(TEXT(BJ152,"0000000000000,00"),",",""))</f>
        <v>000000000000000</v>
      </c>
      <c r="BL152" s="23">
        <f t="shared" si="792"/>
        <v>0</v>
      </c>
      <c r="BM152" s="49" t="str">
        <f t="shared" ref="BM152" si="866">IF(BL152&lt;0,SUBSTITUTE(TEXT(BL152,"000000000000,00"),",",""),SUBSTITUTE(TEXT(BL152,"0000000000000,00"),",",""))</f>
        <v>000000000000000</v>
      </c>
      <c r="BN152" t="str">
        <f t="shared" si="794"/>
        <v>PES</v>
      </c>
      <c r="BO152" t="str">
        <f t="shared" si="795"/>
        <v>0001000000</v>
      </c>
      <c r="BP152">
        <f t="shared" si="796"/>
        <v>0</v>
      </c>
      <c r="BQ152">
        <f t="shared" si="797"/>
        <v>0</v>
      </c>
      <c r="BR152" s="23">
        <f t="shared" si="798"/>
        <v>0</v>
      </c>
      <c r="BS152" s="49" t="str">
        <f t="shared" si="763"/>
        <v>000000000000000</v>
      </c>
      <c r="BT152" t="str">
        <f t="shared" si="799"/>
        <v>00000000</v>
      </c>
      <c r="BU152" s="23">
        <f t="shared" si="800"/>
        <v>0</v>
      </c>
      <c r="BV152" s="49" t="str">
        <f t="shared" si="764"/>
        <v/>
      </c>
      <c r="BW152" s="52" t="str">
        <f t="shared" si="801"/>
        <v/>
      </c>
      <c r="BX152" s="23">
        <f t="shared" si="802"/>
        <v>0</v>
      </c>
      <c r="BY152" s="49" t="str">
        <f t="shared" si="765"/>
        <v/>
      </c>
      <c r="BZ152" s="23">
        <f t="shared" si="803"/>
        <v>0</v>
      </c>
      <c r="CA152" s="49" t="str">
        <f t="shared" si="766"/>
        <v/>
      </c>
      <c r="CB152" s="52" t="str">
        <f t="shared" si="804"/>
        <v/>
      </c>
      <c r="CC152" s="23">
        <f t="shared" si="805"/>
        <v>0</v>
      </c>
      <c r="CD152" s="49" t="str">
        <f t="shared" si="767"/>
        <v/>
      </c>
      <c r="CE152" s="56" t="str">
        <f>IF(CF152="","",MAX(CE$10:$CE151)+1)</f>
        <v/>
      </c>
      <c r="CF152" t="str">
        <f t="shared" si="806"/>
        <v/>
      </c>
      <c r="CG152" s="22" t="str">
        <f>IF(CH152="","",MAX($CG$10:CG151)+1)</f>
        <v/>
      </c>
      <c r="CH152" s="22" t="str">
        <f t="shared" si="751"/>
        <v/>
      </c>
      <c r="CI152" s="22" t="str">
        <f>IF(CJ152="","",MAX($CI$10:CI151)+1)</f>
        <v/>
      </c>
      <c r="CJ152" s="22" t="str">
        <f t="shared" si="752"/>
        <v/>
      </c>
    </row>
    <row r="153" spans="2:88" x14ac:dyDescent="0.25">
      <c r="B153" s="37"/>
      <c r="C153" s="3"/>
      <c r="D153" s="77" t="str">
        <f t="shared" si="738"/>
        <v/>
      </c>
      <c r="E153" s="38"/>
      <c r="F153" s="38"/>
      <c r="G153" s="78">
        <f t="shared" si="753"/>
        <v>0</v>
      </c>
      <c r="H153" s="3">
        <v>80</v>
      </c>
      <c r="I153" s="77" t="str">
        <f t="shared" si="739"/>
        <v/>
      </c>
      <c r="J153" s="32"/>
      <c r="K153" s="3"/>
      <c r="L153" s="39"/>
      <c r="M153" s="39"/>
      <c r="N153" s="39"/>
      <c r="O153" s="39"/>
      <c r="P153" s="39"/>
      <c r="Q153" s="39"/>
      <c r="R153" s="39"/>
      <c r="S153" s="39"/>
      <c r="T153" s="3" t="s">
        <v>645</v>
      </c>
      <c r="U153" s="77" t="str">
        <f t="shared" si="740"/>
        <v/>
      </c>
      <c r="V153" s="39">
        <v>1</v>
      </c>
      <c r="W153" s="79">
        <f t="shared" si="754"/>
        <v>0</v>
      </c>
      <c r="X153" s="3">
        <v>0</v>
      </c>
      <c r="Y153" s="77" t="str">
        <f t="shared" si="741"/>
        <v/>
      </c>
      <c r="Z153" s="3"/>
      <c r="AA153" s="37" t="str">
        <f t="shared" si="755"/>
        <v/>
      </c>
      <c r="AC153" s="40"/>
      <c r="AD153" s="7"/>
      <c r="AE153" s="77" t="str">
        <f t="shared" si="742"/>
        <v/>
      </c>
      <c r="AF153" s="81">
        <f t="shared" si="768"/>
        <v>0</v>
      </c>
      <c r="AG153" s="40"/>
      <c r="AH153" s="7"/>
      <c r="AI153" s="77" t="str">
        <f t="shared" si="743"/>
        <v/>
      </c>
      <c r="AJ153" s="81">
        <f t="shared" si="769"/>
        <v>0</v>
      </c>
      <c r="AK153" s="83">
        <f t="shared" si="770"/>
        <v>0</v>
      </c>
      <c r="AL153" s="83">
        <f t="shared" si="771"/>
        <v>0</v>
      </c>
      <c r="AN153" s="43">
        <f t="shared" si="744"/>
        <v>0</v>
      </c>
      <c r="AP153" t="str">
        <f t="shared" si="772"/>
        <v/>
      </c>
      <c r="AQ153" t="str">
        <f t="shared" si="773"/>
        <v/>
      </c>
      <c r="AR153" t="str">
        <f t="shared" si="774"/>
        <v/>
      </c>
      <c r="AS153" t="str">
        <f t="shared" si="775"/>
        <v/>
      </c>
      <c r="AT153" t="str">
        <f t="shared" si="776"/>
        <v/>
      </c>
      <c r="AU153" t="str">
        <f t="shared" si="777"/>
        <v/>
      </c>
      <c r="AV153" t="str">
        <f t="shared" si="778"/>
        <v/>
      </c>
      <c r="AW153" t="str">
        <f t="shared" si="779"/>
        <v xml:space="preserve">                              </v>
      </c>
      <c r="AX153" s="23">
        <f t="shared" si="780"/>
        <v>0</v>
      </c>
      <c r="AY153" s="49" t="str">
        <f t="shared" si="756"/>
        <v>000000000000000</v>
      </c>
      <c r="AZ153" s="23">
        <f t="shared" si="781"/>
        <v>0</v>
      </c>
      <c r="BA153" s="49" t="str">
        <f t="shared" si="756"/>
        <v>000000000000000</v>
      </c>
      <c r="BB153" s="23">
        <f t="shared" si="782"/>
        <v>0</v>
      </c>
      <c r="BC153" s="49" t="str">
        <f t="shared" ref="BC153" si="867">IF(BB153&lt;0,SUBSTITUTE(TEXT(BB153,"000000000000,00"),",",""),SUBSTITUTE(TEXT(BB153,"0000000000000,00"),",",""))</f>
        <v>000000000000000</v>
      </c>
      <c r="BD153" s="23">
        <f t="shared" si="784"/>
        <v>0</v>
      </c>
      <c r="BE153" s="49" t="str">
        <f t="shared" ref="BE153" si="868">IF(BD153&lt;0,SUBSTITUTE(TEXT(BD153,"000000000000,00"),",",""),SUBSTITUTE(TEXT(BD153,"0000000000000,00"),",",""))</f>
        <v>000000000000000</v>
      </c>
      <c r="BF153" s="23">
        <f t="shared" si="786"/>
        <v>0</v>
      </c>
      <c r="BG153" s="49" t="str">
        <f t="shared" ref="BG153" si="869">IF(BF153&lt;0,SUBSTITUTE(TEXT(BF153,"000000000000,00"),",",""),SUBSTITUTE(TEXT(BF153,"0000000000000,00"),",",""))</f>
        <v>000000000000000</v>
      </c>
      <c r="BH153" s="23">
        <f t="shared" si="788"/>
        <v>0</v>
      </c>
      <c r="BI153" s="49" t="str">
        <f t="shared" ref="BI153" si="870">IF(BH153&lt;0,SUBSTITUTE(TEXT(BH153,"000000000000,00"),",",""),SUBSTITUTE(TEXT(BH153,"0000000000000,00"),",",""))</f>
        <v>000000000000000</v>
      </c>
      <c r="BJ153" s="23">
        <f t="shared" si="790"/>
        <v>0</v>
      </c>
      <c r="BK153" s="49" t="str">
        <f t="shared" ref="BK153" si="871">IF(BJ153&lt;0,SUBSTITUTE(TEXT(BJ153,"000000000000,00"),",",""),SUBSTITUTE(TEXT(BJ153,"0000000000000,00"),",",""))</f>
        <v>000000000000000</v>
      </c>
      <c r="BL153" s="23">
        <f t="shared" si="792"/>
        <v>0</v>
      </c>
      <c r="BM153" s="49" t="str">
        <f t="shared" ref="BM153" si="872">IF(BL153&lt;0,SUBSTITUTE(TEXT(BL153,"000000000000,00"),",",""),SUBSTITUTE(TEXT(BL153,"0000000000000,00"),",",""))</f>
        <v>000000000000000</v>
      </c>
      <c r="BN153" t="str">
        <f t="shared" si="794"/>
        <v>PES</v>
      </c>
      <c r="BO153" t="str">
        <f t="shared" si="795"/>
        <v>0001000000</v>
      </c>
      <c r="BP153">
        <f t="shared" si="796"/>
        <v>0</v>
      </c>
      <c r="BQ153">
        <f t="shared" si="797"/>
        <v>0</v>
      </c>
      <c r="BR153" s="23">
        <f t="shared" si="798"/>
        <v>0</v>
      </c>
      <c r="BS153" s="49" t="str">
        <f t="shared" si="763"/>
        <v>000000000000000</v>
      </c>
      <c r="BT153" t="str">
        <f t="shared" si="799"/>
        <v>00000000</v>
      </c>
      <c r="BU153" s="23">
        <f t="shared" si="800"/>
        <v>0</v>
      </c>
      <c r="BV153" s="49" t="str">
        <f t="shared" si="764"/>
        <v/>
      </c>
      <c r="BW153" s="52" t="str">
        <f t="shared" si="801"/>
        <v/>
      </c>
      <c r="BX153" s="23">
        <f t="shared" si="802"/>
        <v>0</v>
      </c>
      <c r="BY153" s="49" t="str">
        <f t="shared" si="765"/>
        <v/>
      </c>
      <c r="BZ153" s="23">
        <f t="shared" si="803"/>
        <v>0</v>
      </c>
      <c r="CA153" s="49" t="str">
        <f t="shared" si="766"/>
        <v/>
      </c>
      <c r="CB153" s="52" t="str">
        <f t="shared" si="804"/>
        <v/>
      </c>
      <c r="CC153" s="23">
        <f t="shared" si="805"/>
        <v>0</v>
      </c>
      <c r="CD153" s="49" t="str">
        <f t="shared" si="767"/>
        <v/>
      </c>
      <c r="CE153" s="56" t="str">
        <f>IF(CF153="","",MAX(CE$10:$CE152)+1)</f>
        <v/>
      </c>
      <c r="CF153" t="str">
        <f t="shared" si="806"/>
        <v/>
      </c>
      <c r="CG153" s="22" t="str">
        <f>IF(CH153="","",MAX($CG$10:CG152)+1)</f>
        <v/>
      </c>
      <c r="CH153" s="22" t="str">
        <f t="shared" si="751"/>
        <v/>
      </c>
      <c r="CI153" s="22" t="str">
        <f>IF(CJ153="","",MAX($CI$10:CI152)+1)</f>
        <v/>
      </c>
      <c r="CJ153" s="22" t="str">
        <f t="shared" si="752"/>
        <v/>
      </c>
    </row>
    <row r="154" spans="2:88" x14ac:dyDescent="0.25">
      <c r="B154" s="37"/>
      <c r="C154" s="3"/>
      <c r="D154" s="77" t="str">
        <f t="shared" si="738"/>
        <v/>
      </c>
      <c r="E154" s="38"/>
      <c r="F154" s="38"/>
      <c r="G154" s="78">
        <f t="shared" si="753"/>
        <v>0</v>
      </c>
      <c r="H154" s="3">
        <v>80</v>
      </c>
      <c r="I154" s="77" t="str">
        <f t="shared" si="739"/>
        <v/>
      </c>
      <c r="J154" s="32"/>
      <c r="K154" s="3"/>
      <c r="L154" s="39"/>
      <c r="M154" s="39"/>
      <c r="N154" s="39"/>
      <c r="O154" s="39"/>
      <c r="P154" s="39"/>
      <c r="Q154" s="39"/>
      <c r="R154" s="39"/>
      <c r="S154" s="39"/>
      <c r="T154" s="3" t="s">
        <v>645</v>
      </c>
      <c r="U154" s="77" t="str">
        <f t="shared" si="740"/>
        <v/>
      </c>
      <c r="V154" s="39">
        <v>1</v>
      </c>
      <c r="W154" s="79">
        <f t="shared" si="754"/>
        <v>0</v>
      </c>
      <c r="X154" s="3">
        <v>0</v>
      </c>
      <c r="Y154" s="77" t="str">
        <f t="shared" si="741"/>
        <v/>
      </c>
      <c r="Z154" s="3"/>
      <c r="AA154" s="37" t="str">
        <f t="shared" si="755"/>
        <v/>
      </c>
      <c r="AC154" s="40"/>
      <c r="AD154" s="7"/>
      <c r="AE154" s="77" t="str">
        <f t="shared" si="742"/>
        <v/>
      </c>
      <c r="AF154" s="81">
        <f t="shared" si="768"/>
        <v>0</v>
      </c>
      <c r="AG154" s="40"/>
      <c r="AH154" s="7"/>
      <c r="AI154" s="77" t="str">
        <f t="shared" si="743"/>
        <v/>
      </c>
      <c r="AJ154" s="81">
        <f t="shared" si="769"/>
        <v>0</v>
      </c>
      <c r="AK154" s="83">
        <f t="shared" si="770"/>
        <v>0</v>
      </c>
      <c r="AL154" s="83">
        <f t="shared" si="771"/>
        <v>0</v>
      </c>
      <c r="AN154" s="43">
        <f t="shared" si="744"/>
        <v>0</v>
      </c>
      <c r="AP154" t="str">
        <f t="shared" si="772"/>
        <v/>
      </c>
      <c r="AQ154" t="str">
        <f t="shared" si="773"/>
        <v/>
      </c>
      <c r="AR154" t="str">
        <f t="shared" si="774"/>
        <v/>
      </c>
      <c r="AS154" t="str">
        <f t="shared" si="775"/>
        <v/>
      </c>
      <c r="AT154" t="str">
        <f t="shared" si="776"/>
        <v/>
      </c>
      <c r="AU154" t="str">
        <f t="shared" si="777"/>
        <v/>
      </c>
      <c r="AV154" t="str">
        <f t="shared" si="778"/>
        <v/>
      </c>
      <c r="AW154" t="str">
        <f t="shared" si="779"/>
        <v xml:space="preserve">                              </v>
      </c>
      <c r="AX154" s="23">
        <f t="shared" si="780"/>
        <v>0</v>
      </c>
      <c r="AY154" s="49" t="str">
        <f t="shared" si="756"/>
        <v>000000000000000</v>
      </c>
      <c r="AZ154" s="23">
        <f t="shared" si="781"/>
        <v>0</v>
      </c>
      <c r="BA154" s="49" t="str">
        <f t="shared" si="756"/>
        <v>000000000000000</v>
      </c>
      <c r="BB154" s="23">
        <f t="shared" si="782"/>
        <v>0</v>
      </c>
      <c r="BC154" s="49" t="str">
        <f t="shared" ref="BC154" si="873">IF(BB154&lt;0,SUBSTITUTE(TEXT(BB154,"000000000000,00"),",",""),SUBSTITUTE(TEXT(BB154,"0000000000000,00"),",",""))</f>
        <v>000000000000000</v>
      </c>
      <c r="BD154" s="23">
        <f t="shared" si="784"/>
        <v>0</v>
      </c>
      <c r="BE154" s="49" t="str">
        <f t="shared" ref="BE154" si="874">IF(BD154&lt;0,SUBSTITUTE(TEXT(BD154,"000000000000,00"),",",""),SUBSTITUTE(TEXT(BD154,"0000000000000,00"),",",""))</f>
        <v>000000000000000</v>
      </c>
      <c r="BF154" s="23">
        <f t="shared" si="786"/>
        <v>0</v>
      </c>
      <c r="BG154" s="49" t="str">
        <f t="shared" ref="BG154" si="875">IF(BF154&lt;0,SUBSTITUTE(TEXT(BF154,"000000000000,00"),",",""),SUBSTITUTE(TEXT(BF154,"0000000000000,00"),",",""))</f>
        <v>000000000000000</v>
      </c>
      <c r="BH154" s="23">
        <f t="shared" si="788"/>
        <v>0</v>
      </c>
      <c r="BI154" s="49" t="str">
        <f t="shared" ref="BI154" si="876">IF(BH154&lt;0,SUBSTITUTE(TEXT(BH154,"000000000000,00"),",",""),SUBSTITUTE(TEXT(BH154,"0000000000000,00"),",",""))</f>
        <v>000000000000000</v>
      </c>
      <c r="BJ154" s="23">
        <f t="shared" si="790"/>
        <v>0</v>
      </c>
      <c r="BK154" s="49" t="str">
        <f t="shared" ref="BK154" si="877">IF(BJ154&lt;0,SUBSTITUTE(TEXT(BJ154,"000000000000,00"),",",""),SUBSTITUTE(TEXT(BJ154,"0000000000000,00"),",",""))</f>
        <v>000000000000000</v>
      </c>
      <c r="BL154" s="23">
        <f t="shared" si="792"/>
        <v>0</v>
      </c>
      <c r="BM154" s="49" t="str">
        <f t="shared" ref="BM154" si="878">IF(BL154&lt;0,SUBSTITUTE(TEXT(BL154,"000000000000,00"),",",""),SUBSTITUTE(TEXT(BL154,"0000000000000,00"),",",""))</f>
        <v>000000000000000</v>
      </c>
      <c r="BN154" t="str">
        <f t="shared" si="794"/>
        <v>PES</v>
      </c>
      <c r="BO154" t="str">
        <f t="shared" si="795"/>
        <v>0001000000</v>
      </c>
      <c r="BP154">
        <f t="shared" si="796"/>
        <v>0</v>
      </c>
      <c r="BQ154">
        <f t="shared" si="797"/>
        <v>0</v>
      </c>
      <c r="BR154" s="23">
        <f t="shared" si="798"/>
        <v>0</v>
      </c>
      <c r="BS154" s="49" t="str">
        <f t="shared" si="763"/>
        <v>000000000000000</v>
      </c>
      <c r="BT154" t="str">
        <f t="shared" si="799"/>
        <v>00000000</v>
      </c>
      <c r="BU154" s="23">
        <f t="shared" si="800"/>
        <v>0</v>
      </c>
      <c r="BV154" s="49" t="str">
        <f t="shared" si="764"/>
        <v/>
      </c>
      <c r="BW154" s="52" t="str">
        <f t="shared" si="801"/>
        <v/>
      </c>
      <c r="BX154" s="23">
        <f t="shared" si="802"/>
        <v>0</v>
      </c>
      <c r="BY154" s="49" t="str">
        <f t="shared" si="765"/>
        <v/>
      </c>
      <c r="BZ154" s="23">
        <f t="shared" si="803"/>
        <v>0</v>
      </c>
      <c r="CA154" s="49" t="str">
        <f t="shared" si="766"/>
        <v/>
      </c>
      <c r="CB154" s="52" t="str">
        <f t="shared" si="804"/>
        <v/>
      </c>
      <c r="CC154" s="23">
        <f t="shared" si="805"/>
        <v>0</v>
      </c>
      <c r="CD154" s="49" t="str">
        <f t="shared" si="767"/>
        <v/>
      </c>
      <c r="CE154" s="56" t="str">
        <f>IF(CF154="","",MAX(CE$10:$CE153)+1)</f>
        <v/>
      </c>
      <c r="CF154" t="str">
        <f t="shared" si="806"/>
        <v/>
      </c>
      <c r="CG154" s="22" t="str">
        <f>IF(CH154="","",MAX($CG$10:CG153)+1)</f>
        <v/>
      </c>
      <c r="CH154" s="22" t="str">
        <f t="shared" si="751"/>
        <v/>
      </c>
      <c r="CI154" s="22" t="str">
        <f>IF(CJ154="","",MAX($CI$10:CI153)+1)</f>
        <v/>
      </c>
      <c r="CJ154" s="22" t="str">
        <f t="shared" si="752"/>
        <v/>
      </c>
    </row>
    <row r="155" spans="2:88" x14ac:dyDescent="0.25">
      <c r="B155" s="37"/>
      <c r="C155" s="3"/>
      <c r="D155" s="77" t="str">
        <f t="shared" si="738"/>
        <v/>
      </c>
      <c r="E155" s="38"/>
      <c r="F155" s="38"/>
      <c r="G155" s="78">
        <f t="shared" si="753"/>
        <v>0</v>
      </c>
      <c r="H155" s="3">
        <v>80</v>
      </c>
      <c r="I155" s="77" t="str">
        <f t="shared" si="739"/>
        <v/>
      </c>
      <c r="J155" s="32"/>
      <c r="K155" s="3"/>
      <c r="L155" s="39"/>
      <c r="M155" s="39"/>
      <c r="N155" s="39"/>
      <c r="O155" s="39"/>
      <c r="P155" s="39"/>
      <c r="Q155" s="39"/>
      <c r="R155" s="39"/>
      <c r="S155" s="39"/>
      <c r="T155" s="3" t="s">
        <v>645</v>
      </c>
      <c r="U155" s="77" t="str">
        <f t="shared" si="740"/>
        <v/>
      </c>
      <c r="V155" s="39">
        <v>1</v>
      </c>
      <c r="W155" s="79">
        <f t="shared" si="754"/>
        <v>0</v>
      </c>
      <c r="X155" s="3">
        <v>0</v>
      </c>
      <c r="Y155" s="77" t="str">
        <f t="shared" si="741"/>
        <v/>
      </c>
      <c r="Z155" s="3"/>
      <c r="AA155" s="37" t="str">
        <f t="shared" si="755"/>
        <v/>
      </c>
      <c r="AC155" s="40"/>
      <c r="AD155" s="7"/>
      <c r="AE155" s="77" t="str">
        <f t="shared" si="742"/>
        <v/>
      </c>
      <c r="AF155" s="81">
        <f t="shared" si="768"/>
        <v>0</v>
      </c>
      <c r="AG155" s="40"/>
      <c r="AH155" s="7"/>
      <c r="AI155" s="77" t="str">
        <f t="shared" si="743"/>
        <v/>
      </c>
      <c r="AJ155" s="81">
        <f t="shared" si="769"/>
        <v>0</v>
      </c>
      <c r="AK155" s="83">
        <f t="shared" si="770"/>
        <v>0</v>
      </c>
      <c r="AL155" s="83">
        <f t="shared" si="771"/>
        <v>0</v>
      </c>
      <c r="AN155" s="43">
        <f t="shared" si="744"/>
        <v>0</v>
      </c>
      <c r="AP155" t="str">
        <f t="shared" si="772"/>
        <v/>
      </c>
      <c r="AQ155" t="str">
        <f t="shared" si="773"/>
        <v/>
      </c>
      <c r="AR155" t="str">
        <f t="shared" si="774"/>
        <v/>
      </c>
      <c r="AS155" t="str">
        <f t="shared" si="775"/>
        <v/>
      </c>
      <c r="AT155" t="str">
        <f t="shared" si="776"/>
        <v/>
      </c>
      <c r="AU155" t="str">
        <f t="shared" si="777"/>
        <v/>
      </c>
      <c r="AV155" t="str">
        <f t="shared" si="778"/>
        <v/>
      </c>
      <c r="AW155" t="str">
        <f t="shared" si="779"/>
        <v xml:space="preserve">                              </v>
      </c>
      <c r="AX155" s="23">
        <f t="shared" si="780"/>
        <v>0</v>
      </c>
      <c r="AY155" s="49" t="str">
        <f t="shared" si="756"/>
        <v>000000000000000</v>
      </c>
      <c r="AZ155" s="23">
        <f t="shared" si="781"/>
        <v>0</v>
      </c>
      <c r="BA155" s="49" t="str">
        <f t="shared" si="756"/>
        <v>000000000000000</v>
      </c>
      <c r="BB155" s="23">
        <f t="shared" si="782"/>
        <v>0</v>
      </c>
      <c r="BC155" s="49" t="str">
        <f t="shared" ref="BC155" si="879">IF(BB155&lt;0,SUBSTITUTE(TEXT(BB155,"000000000000,00"),",",""),SUBSTITUTE(TEXT(BB155,"0000000000000,00"),",",""))</f>
        <v>000000000000000</v>
      </c>
      <c r="BD155" s="23">
        <f t="shared" si="784"/>
        <v>0</v>
      </c>
      <c r="BE155" s="49" t="str">
        <f t="shared" ref="BE155" si="880">IF(BD155&lt;0,SUBSTITUTE(TEXT(BD155,"000000000000,00"),",",""),SUBSTITUTE(TEXT(BD155,"0000000000000,00"),",",""))</f>
        <v>000000000000000</v>
      </c>
      <c r="BF155" s="23">
        <f t="shared" si="786"/>
        <v>0</v>
      </c>
      <c r="BG155" s="49" t="str">
        <f t="shared" ref="BG155" si="881">IF(BF155&lt;0,SUBSTITUTE(TEXT(BF155,"000000000000,00"),",",""),SUBSTITUTE(TEXT(BF155,"0000000000000,00"),",",""))</f>
        <v>000000000000000</v>
      </c>
      <c r="BH155" s="23">
        <f t="shared" si="788"/>
        <v>0</v>
      </c>
      <c r="BI155" s="49" t="str">
        <f t="shared" ref="BI155" si="882">IF(BH155&lt;0,SUBSTITUTE(TEXT(BH155,"000000000000,00"),",",""),SUBSTITUTE(TEXT(BH155,"0000000000000,00"),",",""))</f>
        <v>000000000000000</v>
      </c>
      <c r="BJ155" s="23">
        <f t="shared" si="790"/>
        <v>0</v>
      </c>
      <c r="BK155" s="49" t="str">
        <f t="shared" ref="BK155" si="883">IF(BJ155&lt;0,SUBSTITUTE(TEXT(BJ155,"000000000000,00"),",",""),SUBSTITUTE(TEXT(BJ155,"0000000000000,00"),",",""))</f>
        <v>000000000000000</v>
      </c>
      <c r="BL155" s="23">
        <f t="shared" si="792"/>
        <v>0</v>
      </c>
      <c r="BM155" s="49" t="str">
        <f t="shared" ref="BM155" si="884">IF(BL155&lt;0,SUBSTITUTE(TEXT(BL155,"000000000000,00"),",",""),SUBSTITUTE(TEXT(BL155,"0000000000000,00"),",",""))</f>
        <v>000000000000000</v>
      </c>
      <c r="BN155" t="str">
        <f t="shared" si="794"/>
        <v>PES</v>
      </c>
      <c r="BO155" t="str">
        <f t="shared" si="795"/>
        <v>0001000000</v>
      </c>
      <c r="BP155">
        <f t="shared" si="796"/>
        <v>0</v>
      </c>
      <c r="BQ155">
        <f t="shared" si="797"/>
        <v>0</v>
      </c>
      <c r="BR155" s="23">
        <f t="shared" si="798"/>
        <v>0</v>
      </c>
      <c r="BS155" s="49" t="str">
        <f t="shared" si="763"/>
        <v>000000000000000</v>
      </c>
      <c r="BT155" t="str">
        <f t="shared" si="799"/>
        <v>00000000</v>
      </c>
      <c r="BU155" s="23">
        <f t="shared" si="800"/>
        <v>0</v>
      </c>
      <c r="BV155" s="49" t="str">
        <f t="shared" si="764"/>
        <v/>
      </c>
      <c r="BW155" s="52" t="str">
        <f t="shared" si="801"/>
        <v/>
      </c>
      <c r="BX155" s="23">
        <f t="shared" si="802"/>
        <v>0</v>
      </c>
      <c r="BY155" s="49" t="str">
        <f t="shared" si="765"/>
        <v/>
      </c>
      <c r="BZ155" s="23">
        <f t="shared" si="803"/>
        <v>0</v>
      </c>
      <c r="CA155" s="49" t="str">
        <f t="shared" si="766"/>
        <v/>
      </c>
      <c r="CB155" s="52" t="str">
        <f t="shared" si="804"/>
        <v/>
      </c>
      <c r="CC155" s="23">
        <f t="shared" si="805"/>
        <v>0</v>
      </c>
      <c r="CD155" s="49" t="str">
        <f t="shared" si="767"/>
        <v/>
      </c>
      <c r="CE155" s="56" t="str">
        <f>IF(CF155="","",MAX(CE$10:$CE154)+1)</f>
        <v/>
      </c>
      <c r="CF155" t="str">
        <f t="shared" si="806"/>
        <v/>
      </c>
      <c r="CG155" s="22" t="str">
        <f>IF(CH155="","",MAX($CG$10:CG154)+1)</f>
        <v/>
      </c>
      <c r="CH155" s="22" t="str">
        <f t="shared" si="751"/>
        <v/>
      </c>
      <c r="CI155" s="22" t="str">
        <f>IF(CJ155="","",MAX($CI$10:CI154)+1)</f>
        <v/>
      </c>
      <c r="CJ155" s="22" t="str">
        <f t="shared" si="752"/>
        <v/>
      </c>
    </row>
    <row r="156" spans="2:88" x14ac:dyDescent="0.25">
      <c r="B156" s="37"/>
      <c r="C156" s="3"/>
      <c r="D156" s="77" t="str">
        <f t="shared" si="738"/>
        <v/>
      </c>
      <c r="E156" s="38"/>
      <c r="F156" s="38"/>
      <c r="G156" s="78">
        <f t="shared" si="753"/>
        <v>0</v>
      </c>
      <c r="H156" s="3">
        <v>80</v>
      </c>
      <c r="I156" s="77" t="str">
        <f t="shared" si="739"/>
        <v/>
      </c>
      <c r="J156" s="32"/>
      <c r="K156" s="3"/>
      <c r="L156" s="39"/>
      <c r="M156" s="39"/>
      <c r="N156" s="39"/>
      <c r="O156" s="39"/>
      <c r="P156" s="39"/>
      <c r="Q156" s="39"/>
      <c r="R156" s="39"/>
      <c r="S156" s="39"/>
      <c r="T156" s="3" t="s">
        <v>645</v>
      </c>
      <c r="U156" s="77" t="str">
        <f t="shared" si="740"/>
        <v/>
      </c>
      <c r="V156" s="39">
        <v>1</v>
      </c>
      <c r="W156" s="79">
        <f t="shared" si="754"/>
        <v>0</v>
      </c>
      <c r="X156" s="3">
        <v>0</v>
      </c>
      <c r="Y156" s="77" t="str">
        <f t="shared" si="741"/>
        <v/>
      </c>
      <c r="Z156" s="3"/>
      <c r="AA156" s="37" t="str">
        <f t="shared" si="755"/>
        <v/>
      </c>
      <c r="AC156" s="40"/>
      <c r="AD156" s="7"/>
      <c r="AE156" s="77" t="str">
        <f t="shared" si="742"/>
        <v/>
      </c>
      <c r="AF156" s="81">
        <f t="shared" si="768"/>
        <v>0</v>
      </c>
      <c r="AG156" s="40"/>
      <c r="AH156" s="7"/>
      <c r="AI156" s="77" t="str">
        <f t="shared" si="743"/>
        <v/>
      </c>
      <c r="AJ156" s="81">
        <f t="shared" si="769"/>
        <v>0</v>
      </c>
      <c r="AK156" s="83">
        <f t="shared" si="770"/>
        <v>0</v>
      </c>
      <c r="AL156" s="83">
        <f t="shared" si="771"/>
        <v>0</v>
      </c>
      <c r="AN156" s="43">
        <f t="shared" si="744"/>
        <v>0</v>
      </c>
      <c r="AP156" t="str">
        <f t="shared" si="772"/>
        <v/>
      </c>
      <c r="AQ156" t="str">
        <f t="shared" si="773"/>
        <v/>
      </c>
      <c r="AR156" t="str">
        <f t="shared" si="774"/>
        <v/>
      </c>
      <c r="AS156" t="str">
        <f t="shared" si="775"/>
        <v/>
      </c>
      <c r="AT156" t="str">
        <f t="shared" si="776"/>
        <v/>
      </c>
      <c r="AU156" t="str">
        <f t="shared" si="777"/>
        <v/>
      </c>
      <c r="AV156" t="str">
        <f t="shared" si="778"/>
        <v/>
      </c>
      <c r="AW156" t="str">
        <f t="shared" si="779"/>
        <v xml:space="preserve">                              </v>
      </c>
      <c r="AX156" s="23">
        <f t="shared" si="780"/>
        <v>0</v>
      </c>
      <c r="AY156" s="49" t="str">
        <f t="shared" si="756"/>
        <v>000000000000000</v>
      </c>
      <c r="AZ156" s="23">
        <f t="shared" si="781"/>
        <v>0</v>
      </c>
      <c r="BA156" s="49" t="str">
        <f t="shared" si="756"/>
        <v>000000000000000</v>
      </c>
      <c r="BB156" s="23">
        <f t="shared" si="782"/>
        <v>0</v>
      </c>
      <c r="BC156" s="49" t="str">
        <f t="shared" ref="BC156" si="885">IF(BB156&lt;0,SUBSTITUTE(TEXT(BB156,"000000000000,00"),",",""),SUBSTITUTE(TEXT(BB156,"0000000000000,00"),",",""))</f>
        <v>000000000000000</v>
      </c>
      <c r="BD156" s="23">
        <f t="shared" si="784"/>
        <v>0</v>
      </c>
      <c r="BE156" s="49" t="str">
        <f t="shared" ref="BE156" si="886">IF(BD156&lt;0,SUBSTITUTE(TEXT(BD156,"000000000000,00"),",",""),SUBSTITUTE(TEXT(BD156,"0000000000000,00"),",",""))</f>
        <v>000000000000000</v>
      </c>
      <c r="BF156" s="23">
        <f t="shared" si="786"/>
        <v>0</v>
      </c>
      <c r="BG156" s="49" t="str">
        <f t="shared" ref="BG156" si="887">IF(BF156&lt;0,SUBSTITUTE(TEXT(BF156,"000000000000,00"),",",""),SUBSTITUTE(TEXT(BF156,"0000000000000,00"),",",""))</f>
        <v>000000000000000</v>
      </c>
      <c r="BH156" s="23">
        <f t="shared" si="788"/>
        <v>0</v>
      </c>
      <c r="BI156" s="49" t="str">
        <f t="shared" ref="BI156" si="888">IF(BH156&lt;0,SUBSTITUTE(TEXT(BH156,"000000000000,00"),",",""),SUBSTITUTE(TEXT(BH156,"0000000000000,00"),",",""))</f>
        <v>000000000000000</v>
      </c>
      <c r="BJ156" s="23">
        <f t="shared" si="790"/>
        <v>0</v>
      </c>
      <c r="BK156" s="49" t="str">
        <f t="shared" ref="BK156" si="889">IF(BJ156&lt;0,SUBSTITUTE(TEXT(BJ156,"000000000000,00"),",",""),SUBSTITUTE(TEXT(BJ156,"0000000000000,00"),",",""))</f>
        <v>000000000000000</v>
      </c>
      <c r="BL156" s="23">
        <f t="shared" si="792"/>
        <v>0</v>
      </c>
      <c r="BM156" s="49" t="str">
        <f t="shared" ref="BM156" si="890">IF(BL156&lt;0,SUBSTITUTE(TEXT(BL156,"000000000000,00"),",",""),SUBSTITUTE(TEXT(BL156,"0000000000000,00"),",",""))</f>
        <v>000000000000000</v>
      </c>
      <c r="BN156" t="str">
        <f t="shared" si="794"/>
        <v>PES</v>
      </c>
      <c r="BO156" t="str">
        <f t="shared" si="795"/>
        <v>0001000000</v>
      </c>
      <c r="BP156">
        <f t="shared" si="796"/>
        <v>0</v>
      </c>
      <c r="BQ156">
        <f t="shared" si="797"/>
        <v>0</v>
      </c>
      <c r="BR156" s="23">
        <f t="shared" si="798"/>
        <v>0</v>
      </c>
      <c r="BS156" s="49" t="str">
        <f t="shared" si="763"/>
        <v>000000000000000</v>
      </c>
      <c r="BT156" t="str">
        <f t="shared" si="799"/>
        <v>00000000</v>
      </c>
      <c r="BU156" s="23">
        <f t="shared" si="800"/>
        <v>0</v>
      </c>
      <c r="BV156" s="49" t="str">
        <f t="shared" si="764"/>
        <v/>
      </c>
      <c r="BW156" s="52" t="str">
        <f t="shared" si="801"/>
        <v/>
      </c>
      <c r="BX156" s="23">
        <f t="shared" si="802"/>
        <v>0</v>
      </c>
      <c r="BY156" s="49" t="str">
        <f t="shared" si="765"/>
        <v/>
      </c>
      <c r="BZ156" s="23">
        <f t="shared" si="803"/>
        <v>0</v>
      </c>
      <c r="CA156" s="49" t="str">
        <f t="shared" si="766"/>
        <v/>
      </c>
      <c r="CB156" s="52" t="str">
        <f t="shared" si="804"/>
        <v/>
      </c>
      <c r="CC156" s="23">
        <f t="shared" si="805"/>
        <v>0</v>
      </c>
      <c r="CD156" s="49" t="str">
        <f t="shared" si="767"/>
        <v/>
      </c>
      <c r="CE156" s="56" t="str">
        <f>IF(CF156="","",MAX(CE$10:$CE155)+1)</f>
        <v/>
      </c>
      <c r="CF156" t="str">
        <f t="shared" si="806"/>
        <v/>
      </c>
      <c r="CG156" s="22" t="str">
        <f>IF(CH156="","",MAX($CG$10:CG155)+1)</f>
        <v/>
      </c>
      <c r="CH156" s="22" t="str">
        <f t="shared" si="751"/>
        <v/>
      </c>
      <c r="CI156" s="22" t="str">
        <f>IF(CJ156="","",MAX($CI$10:CI155)+1)</f>
        <v/>
      </c>
      <c r="CJ156" s="22" t="str">
        <f t="shared" si="752"/>
        <v/>
      </c>
    </row>
    <row r="157" spans="2:88" x14ac:dyDescent="0.25">
      <c r="B157" s="37"/>
      <c r="C157" s="3"/>
      <c r="D157" s="77" t="str">
        <f t="shared" si="738"/>
        <v/>
      </c>
      <c r="E157" s="38"/>
      <c r="F157" s="38"/>
      <c r="G157" s="78">
        <f t="shared" si="753"/>
        <v>0</v>
      </c>
      <c r="H157" s="3">
        <v>80</v>
      </c>
      <c r="I157" s="77" t="str">
        <f t="shared" si="739"/>
        <v/>
      </c>
      <c r="J157" s="32"/>
      <c r="K157" s="3"/>
      <c r="L157" s="39"/>
      <c r="M157" s="39"/>
      <c r="N157" s="39"/>
      <c r="O157" s="39"/>
      <c r="P157" s="39"/>
      <c r="Q157" s="39"/>
      <c r="R157" s="39"/>
      <c r="S157" s="39"/>
      <c r="T157" s="3" t="s">
        <v>645</v>
      </c>
      <c r="U157" s="77" t="str">
        <f t="shared" si="740"/>
        <v/>
      </c>
      <c r="V157" s="39">
        <v>1</v>
      </c>
      <c r="W157" s="79">
        <f t="shared" si="754"/>
        <v>0</v>
      </c>
      <c r="X157" s="3">
        <v>0</v>
      </c>
      <c r="Y157" s="77" t="str">
        <f t="shared" si="741"/>
        <v/>
      </c>
      <c r="Z157" s="3"/>
      <c r="AA157" s="37" t="str">
        <f t="shared" si="755"/>
        <v/>
      </c>
      <c r="AC157" s="40"/>
      <c r="AD157" s="7"/>
      <c r="AE157" s="77" t="str">
        <f t="shared" si="742"/>
        <v/>
      </c>
      <c r="AF157" s="81">
        <f t="shared" si="768"/>
        <v>0</v>
      </c>
      <c r="AG157" s="40"/>
      <c r="AH157" s="7"/>
      <c r="AI157" s="77" t="str">
        <f t="shared" si="743"/>
        <v/>
      </c>
      <c r="AJ157" s="81">
        <f t="shared" si="769"/>
        <v>0</v>
      </c>
      <c r="AK157" s="83">
        <f t="shared" si="770"/>
        <v>0</v>
      </c>
      <c r="AL157" s="83">
        <f t="shared" si="771"/>
        <v>0</v>
      </c>
      <c r="AN157" s="43">
        <f t="shared" si="744"/>
        <v>0</v>
      </c>
      <c r="AP157" t="str">
        <f t="shared" si="772"/>
        <v/>
      </c>
      <c r="AQ157" t="str">
        <f t="shared" si="773"/>
        <v/>
      </c>
      <c r="AR157" t="str">
        <f t="shared" si="774"/>
        <v/>
      </c>
      <c r="AS157" t="str">
        <f t="shared" si="775"/>
        <v/>
      </c>
      <c r="AT157" t="str">
        <f t="shared" si="776"/>
        <v/>
      </c>
      <c r="AU157" t="str">
        <f t="shared" si="777"/>
        <v/>
      </c>
      <c r="AV157" t="str">
        <f t="shared" si="778"/>
        <v/>
      </c>
      <c r="AW157" t="str">
        <f t="shared" si="779"/>
        <v xml:space="preserve">                              </v>
      </c>
      <c r="AX157" s="23">
        <f t="shared" si="780"/>
        <v>0</v>
      </c>
      <c r="AY157" s="49" t="str">
        <f t="shared" si="756"/>
        <v>000000000000000</v>
      </c>
      <c r="AZ157" s="23">
        <f t="shared" si="781"/>
        <v>0</v>
      </c>
      <c r="BA157" s="49" t="str">
        <f t="shared" si="756"/>
        <v>000000000000000</v>
      </c>
      <c r="BB157" s="23">
        <f t="shared" si="782"/>
        <v>0</v>
      </c>
      <c r="BC157" s="49" t="str">
        <f t="shared" ref="BC157" si="891">IF(BB157&lt;0,SUBSTITUTE(TEXT(BB157,"000000000000,00"),",",""),SUBSTITUTE(TEXT(BB157,"0000000000000,00"),",",""))</f>
        <v>000000000000000</v>
      </c>
      <c r="BD157" s="23">
        <f t="shared" si="784"/>
        <v>0</v>
      </c>
      <c r="BE157" s="49" t="str">
        <f t="shared" ref="BE157" si="892">IF(BD157&lt;0,SUBSTITUTE(TEXT(BD157,"000000000000,00"),",",""),SUBSTITUTE(TEXT(BD157,"0000000000000,00"),",",""))</f>
        <v>000000000000000</v>
      </c>
      <c r="BF157" s="23">
        <f t="shared" si="786"/>
        <v>0</v>
      </c>
      <c r="BG157" s="49" t="str">
        <f t="shared" ref="BG157" si="893">IF(BF157&lt;0,SUBSTITUTE(TEXT(BF157,"000000000000,00"),",",""),SUBSTITUTE(TEXT(BF157,"0000000000000,00"),",",""))</f>
        <v>000000000000000</v>
      </c>
      <c r="BH157" s="23">
        <f t="shared" si="788"/>
        <v>0</v>
      </c>
      <c r="BI157" s="49" t="str">
        <f t="shared" ref="BI157" si="894">IF(BH157&lt;0,SUBSTITUTE(TEXT(BH157,"000000000000,00"),",",""),SUBSTITUTE(TEXT(BH157,"0000000000000,00"),",",""))</f>
        <v>000000000000000</v>
      </c>
      <c r="BJ157" s="23">
        <f t="shared" si="790"/>
        <v>0</v>
      </c>
      <c r="BK157" s="49" t="str">
        <f t="shared" ref="BK157" si="895">IF(BJ157&lt;0,SUBSTITUTE(TEXT(BJ157,"000000000000,00"),",",""),SUBSTITUTE(TEXT(BJ157,"0000000000000,00"),",",""))</f>
        <v>000000000000000</v>
      </c>
      <c r="BL157" s="23">
        <f t="shared" si="792"/>
        <v>0</v>
      </c>
      <c r="BM157" s="49" t="str">
        <f t="shared" ref="BM157" si="896">IF(BL157&lt;0,SUBSTITUTE(TEXT(BL157,"000000000000,00"),",",""),SUBSTITUTE(TEXT(BL157,"0000000000000,00"),",",""))</f>
        <v>000000000000000</v>
      </c>
      <c r="BN157" t="str">
        <f t="shared" si="794"/>
        <v>PES</v>
      </c>
      <c r="BO157" t="str">
        <f t="shared" si="795"/>
        <v>0001000000</v>
      </c>
      <c r="BP157">
        <f t="shared" si="796"/>
        <v>0</v>
      </c>
      <c r="BQ157">
        <f t="shared" si="797"/>
        <v>0</v>
      </c>
      <c r="BR157" s="23">
        <f t="shared" si="798"/>
        <v>0</v>
      </c>
      <c r="BS157" s="49" t="str">
        <f t="shared" si="763"/>
        <v>000000000000000</v>
      </c>
      <c r="BT157" t="str">
        <f t="shared" si="799"/>
        <v>00000000</v>
      </c>
      <c r="BU157" s="23">
        <f t="shared" si="800"/>
        <v>0</v>
      </c>
      <c r="BV157" s="49" t="str">
        <f t="shared" si="764"/>
        <v/>
      </c>
      <c r="BW157" s="52" t="str">
        <f t="shared" si="801"/>
        <v/>
      </c>
      <c r="BX157" s="23">
        <f t="shared" si="802"/>
        <v>0</v>
      </c>
      <c r="BY157" s="49" t="str">
        <f t="shared" si="765"/>
        <v/>
      </c>
      <c r="BZ157" s="23">
        <f t="shared" si="803"/>
        <v>0</v>
      </c>
      <c r="CA157" s="49" t="str">
        <f t="shared" si="766"/>
        <v/>
      </c>
      <c r="CB157" s="52" t="str">
        <f t="shared" si="804"/>
        <v/>
      </c>
      <c r="CC157" s="23">
        <f t="shared" si="805"/>
        <v>0</v>
      </c>
      <c r="CD157" s="49" t="str">
        <f t="shared" si="767"/>
        <v/>
      </c>
      <c r="CE157" s="56" t="str">
        <f>IF(CF157="","",MAX(CE$10:$CE156)+1)</f>
        <v/>
      </c>
      <c r="CF157" t="str">
        <f t="shared" si="806"/>
        <v/>
      </c>
      <c r="CG157" s="22" t="str">
        <f>IF(CH157="","",MAX($CG$10:CG156)+1)</f>
        <v/>
      </c>
      <c r="CH157" s="22" t="str">
        <f t="shared" si="751"/>
        <v/>
      </c>
      <c r="CI157" s="22" t="str">
        <f>IF(CJ157="","",MAX($CI$10:CI156)+1)</f>
        <v/>
      </c>
      <c r="CJ157" s="22" t="str">
        <f t="shared" si="752"/>
        <v/>
      </c>
    </row>
    <row r="158" spans="2:88" x14ac:dyDescent="0.25">
      <c r="B158" s="37"/>
      <c r="C158" s="3"/>
      <c r="D158" s="77" t="str">
        <f t="shared" si="738"/>
        <v/>
      </c>
      <c r="E158" s="38"/>
      <c r="F158" s="38"/>
      <c r="G158" s="78">
        <f t="shared" si="753"/>
        <v>0</v>
      </c>
      <c r="H158" s="3">
        <v>80</v>
      </c>
      <c r="I158" s="77" t="str">
        <f t="shared" si="739"/>
        <v/>
      </c>
      <c r="J158" s="32"/>
      <c r="K158" s="3"/>
      <c r="L158" s="39"/>
      <c r="M158" s="39"/>
      <c r="N158" s="39"/>
      <c r="O158" s="39"/>
      <c r="P158" s="39"/>
      <c r="Q158" s="39"/>
      <c r="R158" s="39"/>
      <c r="S158" s="39"/>
      <c r="T158" s="3" t="s">
        <v>645</v>
      </c>
      <c r="U158" s="77" t="str">
        <f t="shared" si="740"/>
        <v/>
      </c>
      <c r="V158" s="39">
        <v>1</v>
      </c>
      <c r="W158" s="79">
        <f t="shared" si="754"/>
        <v>0</v>
      </c>
      <c r="X158" s="3">
        <v>0</v>
      </c>
      <c r="Y158" s="77" t="str">
        <f t="shared" si="741"/>
        <v/>
      </c>
      <c r="Z158" s="3"/>
      <c r="AA158" s="37" t="str">
        <f t="shared" si="755"/>
        <v/>
      </c>
      <c r="AC158" s="40"/>
      <c r="AD158" s="7"/>
      <c r="AE158" s="77" t="str">
        <f t="shared" si="742"/>
        <v/>
      </c>
      <c r="AF158" s="81">
        <f t="shared" si="768"/>
        <v>0</v>
      </c>
      <c r="AG158" s="40"/>
      <c r="AH158" s="7"/>
      <c r="AI158" s="77" t="str">
        <f t="shared" si="743"/>
        <v/>
      </c>
      <c r="AJ158" s="81">
        <f t="shared" si="769"/>
        <v>0</v>
      </c>
      <c r="AK158" s="83">
        <f t="shared" si="770"/>
        <v>0</v>
      </c>
      <c r="AL158" s="83">
        <f t="shared" si="771"/>
        <v>0</v>
      </c>
      <c r="AN158" s="43">
        <f t="shared" si="744"/>
        <v>0</v>
      </c>
      <c r="AP158" t="str">
        <f t="shared" si="772"/>
        <v/>
      </c>
      <c r="AQ158" t="str">
        <f t="shared" si="773"/>
        <v/>
      </c>
      <c r="AR158" t="str">
        <f t="shared" si="774"/>
        <v/>
      </c>
      <c r="AS158" t="str">
        <f t="shared" si="775"/>
        <v/>
      </c>
      <c r="AT158" t="str">
        <f t="shared" si="776"/>
        <v/>
      </c>
      <c r="AU158" t="str">
        <f t="shared" si="777"/>
        <v/>
      </c>
      <c r="AV158" t="str">
        <f t="shared" si="778"/>
        <v/>
      </c>
      <c r="AW158" t="str">
        <f t="shared" si="779"/>
        <v xml:space="preserve">                              </v>
      </c>
      <c r="AX158" s="23">
        <f t="shared" si="780"/>
        <v>0</v>
      </c>
      <c r="AY158" s="49" t="str">
        <f t="shared" si="756"/>
        <v>000000000000000</v>
      </c>
      <c r="AZ158" s="23">
        <f t="shared" si="781"/>
        <v>0</v>
      </c>
      <c r="BA158" s="49" t="str">
        <f t="shared" si="756"/>
        <v>000000000000000</v>
      </c>
      <c r="BB158" s="23">
        <f t="shared" si="782"/>
        <v>0</v>
      </c>
      <c r="BC158" s="49" t="str">
        <f t="shared" ref="BC158" si="897">IF(BB158&lt;0,SUBSTITUTE(TEXT(BB158,"000000000000,00"),",",""),SUBSTITUTE(TEXT(BB158,"0000000000000,00"),",",""))</f>
        <v>000000000000000</v>
      </c>
      <c r="BD158" s="23">
        <f t="shared" si="784"/>
        <v>0</v>
      </c>
      <c r="BE158" s="49" t="str">
        <f t="shared" ref="BE158" si="898">IF(BD158&lt;0,SUBSTITUTE(TEXT(BD158,"000000000000,00"),",",""),SUBSTITUTE(TEXT(BD158,"0000000000000,00"),",",""))</f>
        <v>000000000000000</v>
      </c>
      <c r="BF158" s="23">
        <f t="shared" si="786"/>
        <v>0</v>
      </c>
      <c r="BG158" s="49" t="str">
        <f t="shared" ref="BG158" si="899">IF(BF158&lt;0,SUBSTITUTE(TEXT(BF158,"000000000000,00"),",",""),SUBSTITUTE(TEXT(BF158,"0000000000000,00"),",",""))</f>
        <v>000000000000000</v>
      </c>
      <c r="BH158" s="23">
        <f t="shared" si="788"/>
        <v>0</v>
      </c>
      <c r="BI158" s="49" t="str">
        <f t="shared" ref="BI158" si="900">IF(BH158&lt;0,SUBSTITUTE(TEXT(BH158,"000000000000,00"),",",""),SUBSTITUTE(TEXT(BH158,"0000000000000,00"),",",""))</f>
        <v>000000000000000</v>
      </c>
      <c r="BJ158" s="23">
        <f t="shared" si="790"/>
        <v>0</v>
      </c>
      <c r="BK158" s="49" t="str">
        <f t="shared" ref="BK158" si="901">IF(BJ158&lt;0,SUBSTITUTE(TEXT(BJ158,"000000000000,00"),",",""),SUBSTITUTE(TEXT(BJ158,"0000000000000,00"),",",""))</f>
        <v>000000000000000</v>
      </c>
      <c r="BL158" s="23">
        <f t="shared" si="792"/>
        <v>0</v>
      </c>
      <c r="BM158" s="49" t="str">
        <f t="shared" ref="BM158" si="902">IF(BL158&lt;0,SUBSTITUTE(TEXT(BL158,"000000000000,00"),",",""),SUBSTITUTE(TEXT(BL158,"0000000000000,00"),",",""))</f>
        <v>000000000000000</v>
      </c>
      <c r="BN158" t="str">
        <f t="shared" si="794"/>
        <v>PES</v>
      </c>
      <c r="BO158" t="str">
        <f t="shared" si="795"/>
        <v>0001000000</v>
      </c>
      <c r="BP158">
        <f t="shared" si="796"/>
        <v>0</v>
      </c>
      <c r="BQ158">
        <f t="shared" si="797"/>
        <v>0</v>
      </c>
      <c r="BR158" s="23">
        <f t="shared" si="798"/>
        <v>0</v>
      </c>
      <c r="BS158" s="49" t="str">
        <f t="shared" si="763"/>
        <v>000000000000000</v>
      </c>
      <c r="BT158" t="str">
        <f t="shared" si="799"/>
        <v>00000000</v>
      </c>
      <c r="BU158" s="23">
        <f t="shared" si="800"/>
        <v>0</v>
      </c>
      <c r="BV158" s="49" t="str">
        <f t="shared" si="764"/>
        <v/>
      </c>
      <c r="BW158" s="52" t="str">
        <f t="shared" si="801"/>
        <v/>
      </c>
      <c r="BX158" s="23">
        <f t="shared" si="802"/>
        <v>0</v>
      </c>
      <c r="BY158" s="49" t="str">
        <f t="shared" si="765"/>
        <v/>
      </c>
      <c r="BZ158" s="23">
        <f t="shared" si="803"/>
        <v>0</v>
      </c>
      <c r="CA158" s="49" t="str">
        <f t="shared" si="766"/>
        <v/>
      </c>
      <c r="CB158" s="52" t="str">
        <f t="shared" si="804"/>
        <v/>
      </c>
      <c r="CC158" s="23">
        <f t="shared" si="805"/>
        <v>0</v>
      </c>
      <c r="CD158" s="49" t="str">
        <f t="shared" si="767"/>
        <v/>
      </c>
      <c r="CE158" s="56" t="str">
        <f>IF(CF158="","",MAX(CE$10:$CE157)+1)</f>
        <v/>
      </c>
      <c r="CF158" t="str">
        <f t="shared" si="806"/>
        <v/>
      </c>
      <c r="CG158" s="22" t="str">
        <f>IF(CH158="","",MAX($CG$10:CG157)+1)</f>
        <v/>
      </c>
      <c r="CH158" s="22" t="str">
        <f t="shared" si="751"/>
        <v/>
      </c>
      <c r="CI158" s="22" t="str">
        <f>IF(CJ158="","",MAX($CI$10:CI157)+1)</f>
        <v/>
      </c>
      <c r="CJ158" s="22" t="str">
        <f t="shared" si="752"/>
        <v/>
      </c>
    </row>
    <row r="159" spans="2:88" x14ac:dyDescent="0.25">
      <c r="B159" s="37"/>
      <c r="C159" s="3"/>
      <c r="D159" s="77" t="str">
        <f t="shared" si="738"/>
        <v/>
      </c>
      <c r="E159" s="38"/>
      <c r="F159" s="38"/>
      <c r="G159" s="78">
        <f t="shared" si="753"/>
        <v>0</v>
      </c>
      <c r="H159" s="3">
        <v>80</v>
      </c>
      <c r="I159" s="77" t="str">
        <f t="shared" si="739"/>
        <v/>
      </c>
      <c r="J159" s="32"/>
      <c r="K159" s="3"/>
      <c r="L159" s="39"/>
      <c r="M159" s="39"/>
      <c r="N159" s="39"/>
      <c r="O159" s="39"/>
      <c r="P159" s="39"/>
      <c r="Q159" s="39"/>
      <c r="R159" s="39"/>
      <c r="S159" s="39"/>
      <c r="T159" s="3" t="s">
        <v>645</v>
      </c>
      <c r="U159" s="77" t="str">
        <f t="shared" si="740"/>
        <v/>
      </c>
      <c r="V159" s="39">
        <v>1</v>
      </c>
      <c r="W159" s="79">
        <f t="shared" si="754"/>
        <v>0</v>
      </c>
      <c r="X159" s="3">
        <v>0</v>
      </c>
      <c r="Y159" s="77" t="str">
        <f t="shared" si="741"/>
        <v/>
      </c>
      <c r="Z159" s="3"/>
      <c r="AA159" s="37" t="str">
        <f t="shared" si="755"/>
        <v/>
      </c>
      <c r="AC159" s="40"/>
      <c r="AD159" s="7"/>
      <c r="AE159" s="77" t="str">
        <f t="shared" si="742"/>
        <v/>
      </c>
      <c r="AF159" s="81">
        <f t="shared" si="768"/>
        <v>0</v>
      </c>
      <c r="AG159" s="40"/>
      <c r="AH159" s="7"/>
      <c r="AI159" s="77" t="str">
        <f t="shared" si="743"/>
        <v/>
      </c>
      <c r="AJ159" s="81">
        <f t="shared" si="769"/>
        <v>0</v>
      </c>
      <c r="AK159" s="83">
        <f t="shared" si="770"/>
        <v>0</v>
      </c>
      <c r="AL159" s="83">
        <f t="shared" si="771"/>
        <v>0</v>
      </c>
      <c r="AN159" s="43">
        <f t="shared" si="744"/>
        <v>0</v>
      </c>
      <c r="AP159" t="str">
        <f t="shared" si="772"/>
        <v/>
      </c>
      <c r="AQ159" t="str">
        <f t="shared" si="773"/>
        <v/>
      </c>
      <c r="AR159" t="str">
        <f t="shared" si="774"/>
        <v/>
      </c>
      <c r="AS159" t="str">
        <f t="shared" si="775"/>
        <v/>
      </c>
      <c r="AT159" t="str">
        <f t="shared" si="776"/>
        <v/>
      </c>
      <c r="AU159" t="str">
        <f t="shared" si="777"/>
        <v/>
      </c>
      <c r="AV159" t="str">
        <f t="shared" si="778"/>
        <v/>
      </c>
      <c r="AW159" t="str">
        <f t="shared" si="779"/>
        <v xml:space="preserve">                              </v>
      </c>
      <c r="AX159" s="23">
        <f t="shared" si="780"/>
        <v>0</v>
      </c>
      <c r="AY159" s="49" t="str">
        <f t="shared" si="756"/>
        <v>000000000000000</v>
      </c>
      <c r="AZ159" s="23">
        <f t="shared" si="781"/>
        <v>0</v>
      </c>
      <c r="BA159" s="49" t="str">
        <f t="shared" si="756"/>
        <v>000000000000000</v>
      </c>
      <c r="BB159" s="23">
        <f t="shared" si="782"/>
        <v>0</v>
      </c>
      <c r="BC159" s="49" t="str">
        <f t="shared" ref="BC159" si="903">IF(BB159&lt;0,SUBSTITUTE(TEXT(BB159,"000000000000,00"),",",""),SUBSTITUTE(TEXT(BB159,"0000000000000,00"),",",""))</f>
        <v>000000000000000</v>
      </c>
      <c r="BD159" s="23">
        <f t="shared" si="784"/>
        <v>0</v>
      </c>
      <c r="BE159" s="49" t="str">
        <f t="shared" ref="BE159" si="904">IF(BD159&lt;0,SUBSTITUTE(TEXT(BD159,"000000000000,00"),",",""),SUBSTITUTE(TEXT(BD159,"0000000000000,00"),",",""))</f>
        <v>000000000000000</v>
      </c>
      <c r="BF159" s="23">
        <f t="shared" si="786"/>
        <v>0</v>
      </c>
      <c r="BG159" s="49" t="str">
        <f t="shared" ref="BG159" si="905">IF(BF159&lt;0,SUBSTITUTE(TEXT(BF159,"000000000000,00"),",",""),SUBSTITUTE(TEXT(BF159,"0000000000000,00"),",",""))</f>
        <v>000000000000000</v>
      </c>
      <c r="BH159" s="23">
        <f t="shared" si="788"/>
        <v>0</v>
      </c>
      <c r="BI159" s="49" t="str">
        <f t="shared" ref="BI159" si="906">IF(BH159&lt;0,SUBSTITUTE(TEXT(BH159,"000000000000,00"),",",""),SUBSTITUTE(TEXT(BH159,"0000000000000,00"),",",""))</f>
        <v>000000000000000</v>
      </c>
      <c r="BJ159" s="23">
        <f t="shared" si="790"/>
        <v>0</v>
      </c>
      <c r="BK159" s="49" t="str">
        <f t="shared" ref="BK159" si="907">IF(BJ159&lt;0,SUBSTITUTE(TEXT(BJ159,"000000000000,00"),",",""),SUBSTITUTE(TEXT(BJ159,"0000000000000,00"),",",""))</f>
        <v>000000000000000</v>
      </c>
      <c r="BL159" s="23">
        <f t="shared" si="792"/>
        <v>0</v>
      </c>
      <c r="BM159" s="49" t="str">
        <f t="shared" ref="BM159" si="908">IF(BL159&lt;0,SUBSTITUTE(TEXT(BL159,"000000000000,00"),",",""),SUBSTITUTE(TEXT(BL159,"0000000000000,00"),",",""))</f>
        <v>000000000000000</v>
      </c>
      <c r="BN159" t="str">
        <f t="shared" si="794"/>
        <v>PES</v>
      </c>
      <c r="BO159" t="str">
        <f t="shared" si="795"/>
        <v>0001000000</v>
      </c>
      <c r="BP159">
        <f t="shared" si="796"/>
        <v>0</v>
      </c>
      <c r="BQ159">
        <f t="shared" si="797"/>
        <v>0</v>
      </c>
      <c r="BR159" s="23">
        <f t="shared" si="798"/>
        <v>0</v>
      </c>
      <c r="BS159" s="49" t="str">
        <f t="shared" si="763"/>
        <v>000000000000000</v>
      </c>
      <c r="BT159" t="str">
        <f t="shared" si="799"/>
        <v>00000000</v>
      </c>
      <c r="BU159" s="23">
        <f t="shared" si="800"/>
        <v>0</v>
      </c>
      <c r="BV159" s="49" t="str">
        <f t="shared" si="764"/>
        <v/>
      </c>
      <c r="BW159" s="52" t="str">
        <f t="shared" si="801"/>
        <v/>
      </c>
      <c r="BX159" s="23">
        <f t="shared" si="802"/>
        <v>0</v>
      </c>
      <c r="BY159" s="49" t="str">
        <f t="shared" si="765"/>
        <v/>
      </c>
      <c r="BZ159" s="23">
        <f t="shared" si="803"/>
        <v>0</v>
      </c>
      <c r="CA159" s="49" t="str">
        <f t="shared" si="766"/>
        <v/>
      </c>
      <c r="CB159" s="52" t="str">
        <f t="shared" si="804"/>
        <v/>
      </c>
      <c r="CC159" s="23">
        <f t="shared" si="805"/>
        <v>0</v>
      </c>
      <c r="CD159" s="49" t="str">
        <f t="shared" si="767"/>
        <v/>
      </c>
      <c r="CE159" s="56" t="str">
        <f>IF(CF159="","",MAX(CE$10:$CE158)+1)</f>
        <v/>
      </c>
      <c r="CF159" t="str">
        <f t="shared" si="806"/>
        <v/>
      </c>
      <c r="CG159" s="22" t="str">
        <f>IF(CH159="","",MAX($CG$10:CG158)+1)</f>
        <v/>
      </c>
      <c r="CH159" s="22" t="str">
        <f t="shared" si="751"/>
        <v/>
      </c>
      <c r="CI159" s="22" t="str">
        <f>IF(CJ159="","",MAX($CI$10:CI158)+1)</f>
        <v/>
      </c>
      <c r="CJ159" s="22" t="str">
        <f t="shared" si="752"/>
        <v/>
      </c>
    </row>
    <row r="160" spans="2:88" x14ac:dyDescent="0.25">
      <c r="B160" s="37"/>
      <c r="C160" s="3"/>
      <c r="D160" s="77" t="str">
        <f t="shared" si="738"/>
        <v/>
      </c>
      <c r="E160" s="38"/>
      <c r="F160" s="38"/>
      <c r="G160" s="78">
        <f t="shared" si="753"/>
        <v>0</v>
      </c>
      <c r="H160" s="3">
        <v>80</v>
      </c>
      <c r="I160" s="77" t="str">
        <f t="shared" si="739"/>
        <v/>
      </c>
      <c r="J160" s="32"/>
      <c r="K160" s="3"/>
      <c r="L160" s="39"/>
      <c r="M160" s="39"/>
      <c r="N160" s="39"/>
      <c r="O160" s="39"/>
      <c r="P160" s="39"/>
      <c r="Q160" s="39"/>
      <c r="R160" s="39"/>
      <c r="S160" s="39"/>
      <c r="T160" s="3" t="s">
        <v>645</v>
      </c>
      <c r="U160" s="77" t="str">
        <f t="shared" si="740"/>
        <v/>
      </c>
      <c r="V160" s="39">
        <v>1</v>
      </c>
      <c r="W160" s="79">
        <f t="shared" si="754"/>
        <v>0</v>
      </c>
      <c r="X160" s="3">
        <v>0</v>
      </c>
      <c r="Y160" s="77" t="str">
        <f t="shared" si="741"/>
        <v/>
      </c>
      <c r="Z160" s="3"/>
      <c r="AA160" s="37" t="str">
        <f t="shared" si="755"/>
        <v/>
      </c>
      <c r="AC160" s="40"/>
      <c r="AD160" s="7"/>
      <c r="AE160" s="77" t="str">
        <f t="shared" si="742"/>
        <v/>
      </c>
      <c r="AF160" s="81">
        <f t="shared" si="768"/>
        <v>0</v>
      </c>
      <c r="AG160" s="40"/>
      <c r="AH160" s="7"/>
      <c r="AI160" s="77" t="str">
        <f t="shared" si="743"/>
        <v/>
      </c>
      <c r="AJ160" s="81">
        <f t="shared" si="769"/>
        <v>0</v>
      </c>
      <c r="AK160" s="83">
        <f t="shared" si="770"/>
        <v>0</v>
      </c>
      <c r="AL160" s="83">
        <f t="shared" si="771"/>
        <v>0</v>
      </c>
      <c r="AN160" s="43">
        <f t="shared" si="744"/>
        <v>0</v>
      </c>
      <c r="AP160" t="str">
        <f t="shared" si="772"/>
        <v/>
      </c>
      <c r="AQ160" t="str">
        <f t="shared" si="773"/>
        <v/>
      </c>
      <c r="AR160" t="str">
        <f t="shared" si="774"/>
        <v/>
      </c>
      <c r="AS160" t="str">
        <f t="shared" si="775"/>
        <v/>
      </c>
      <c r="AT160" t="str">
        <f t="shared" si="776"/>
        <v/>
      </c>
      <c r="AU160" t="str">
        <f t="shared" si="777"/>
        <v/>
      </c>
      <c r="AV160" t="str">
        <f t="shared" si="778"/>
        <v/>
      </c>
      <c r="AW160" t="str">
        <f t="shared" si="779"/>
        <v xml:space="preserve">                              </v>
      </c>
      <c r="AX160" s="23">
        <f t="shared" si="780"/>
        <v>0</v>
      </c>
      <c r="AY160" s="49" t="str">
        <f t="shared" si="756"/>
        <v>000000000000000</v>
      </c>
      <c r="AZ160" s="23">
        <f t="shared" si="781"/>
        <v>0</v>
      </c>
      <c r="BA160" s="49" t="str">
        <f t="shared" si="756"/>
        <v>000000000000000</v>
      </c>
      <c r="BB160" s="23">
        <f t="shared" si="782"/>
        <v>0</v>
      </c>
      <c r="BC160" s="49" t="str">
        <f t="shared" ref="BC160" si="909">IF(BB160&lt;0,SUBSTITUTE(TEXT(BB160,"000000000000,00"),",",""),SUBSTITUTE(TEXT(BB160,"0000000000000,00"),",",""))</f>
        <v>000000000000000</v>
      </c>
      <c r="BD160" s="23">
        <f t="shared" si="784"/>
        <v>0</v>
      </c>
      <c r="BE160" s="49" t="str">
        <f t="shared" ref="BE160" si="910">IF(BD160&lt;0,SUBSTITUTE(TEXT(BD160,"000000000000,00"),",",""),SUBSTITUTE(TEXT(BD160,"0000000000000,00"),",",""))</f>
        <v>000000000000000</v>
      </c>
      <c r="BF160" s="23">
        <f t="shared" si="786"/>
        <v>0</v>
      </c>
      <c r="BG160" s="49" t="str">
        <f t="shared" ref="BG160" si="911">IF(BF160&lt;0,SUBSTITUTE(TEXT(BF160,"000000000000,00"),",",""),SUBSTITUTE(TEXT(BF160,"0000000000000,00"),",",""))</f>
        <v>000000000000000</v>
      </c>
      <c r="BH160" s="23">
        <f t="shared" si="788"/>
        <v>0</v>
      </c>
      <c r="BI160" s="49" t="str">
        <f t="shared" ref="BI160" si="912">IF(BH160&lt;0,SUBSTITUTE(TEXT(BH160,"000000000000,00"),",",""),SUBSTITUTE(TEXT(BH160,"0000000000000,00"),",",""))</f>
        <v>000000000000000</v>
      </c>
      <c r="BJ160" s="23">
        <f t="shared" si="790"/>
        <v>0</v>
      </c>
      <c r="BK160" s="49" t="str">
        <f t="shared" ref="BK160" si="913">IF(BJ160&lt;0,SUBSTITUTE(TEXT(BJ160,"000000000000,00"),",",""),SUBSTITUTE(TEXT(BJ160,"0000000000000,00"),",",""))</f>
        <v>000000000000000</v>
      </c>
      <c r="BL160" s="23">
        <f t="shared" si="792"/>
        <v>0</v>
      </c>
      <c r="BM160" s="49" t="str">
        <f t="shared" ref="BM160" si="914">IF(BL160&lt;0,SUBSTITUTE(TEXT(BL160,"000000000000,00"),",",""),SUBSTITUTE(TEXT(BL160,"0000000000000,00"),",",""))</f>
        <v>000000000000000</v>
      </c>
      <c r="BN160" t="str">
        <f t="shared" si="794"/>
        <v>PES</v>
      </c>
      <c r="BO160" t="str">
        <f t="shared" si="795"/>
        <v>0001000000</v>
      </c>
      <c r="BP160">
        <f t="shared" si="796"/>
        <v>0</v>
      </c>
      <c r="BQ160">
        <f t="shared" si="797"/>
        <v>0</v>
      </c>
      <c r="BR160" s="23">
        <f t="shared" si="798"/>
        <v>0</v>
      </c>
      <c r="BS160" s="49" t="str">
        <f t="shared" si="763"/>
        <v>000000000000000</v>
      </c>
      <c r="BT160" t="str">
        <f t="shared" si="799"/>
        <v>00000000</v>
      </c>
      <c r="BU160" s="23">
        <f t="shared" si="800"/>
        <v>0</v>
      </c>
      <c r="BV160" s="49" t="str">
        <f t="shared" si="764"/>
        <v/>
      </c>
      <c r="BW160" s="52" t="str">
        <f t="shared" si="801"/>
        <v/>
      </c>
      <c r="BX160" s="23">
        <f t="shared" si="802"/>
        <v>0</v>
      </c>
      <c r="BY160" s="49" t="str">
        <f t="shared" si="765"/>
        <v/>
      </c>
      <c r="BZ160" s="23">
        <f t="shared" si="803"/>
        <v>0</v>
      </c>
      <c r="CA160" s="49" t="str">
        <f t="shared" si="766"/>
        <v/>
      </c>
      <c r="CB160" s="52" t="str">
        <f t="shared" si="804"/>
        <v/>
      </c>
      <c r="CC160" s="23">
        <f t="shared" si="805"/>
        <v>0</v>
      </c>
      <c r="CD160" s="49" t="str">
        <f t="shared" si="767"/>
        <v/>
      </c>
      <c r="CE160" s="56" t="str">
        <f>IF(CF160="","",MAX(CE$10:$CE159)+1)</f>
        <v/>
      </c>
      <c r="CF160" t="str">
        <f t="shared" si="806"/>
        <v/>
      </c>
      <c r="CG160" s="22" t="str">
        <f>IF(CH160="","",MAX($CG$10:CG159)+1)</f>
        <v/>
      </c>
      <c r="CH160" s="22" t="str">
        <f t="shared" si="751"/>
        <v/>
      </c>
      <c r="CI160" s="22" t="str">
        <f>IF(CJ160="","",MAX($CI$10:CI159)+1)</f>
        <v/>
      </c>
      <c r="CJ160" s="22" t="str">
        <f t="shared" si="752"/>
        <v/>
      </c>
    </row>
    <row r="161" spans="2:88" x14ac:dyDescent="0.25">
      <c r="B161" s="37"/>
      <c r="C161" s="3"/>
      <c r="D161" s="77" t="str">
        <f t="shared" si="738"/>
        <v/>
      </c>
      <c r="E161" s="38"/>
      <c r="F161" s="38"/>
      <c r="G161" s="78">
        <f t="shared" si="753"/>
        <v>0</v>
      </c>
      <c r="H161" s="3">
        <v>80</v>
      </c>
      <c r="I161" s="77" t="str">
        <f t="shared" si="739"/>
        <v/>
      </c>
      <c r="J161" s="32"/>
      <c r="K161" s="3"/>
      <c r="L161" s="39"/>
      <c r="M161" s="39"/>
      <c r="N161" s="39"/>
      <c r="O161" s="39"/>
      <c r="P161" s="39"/>
      <c r="Q161" s="39"/>
      <c r="R161" s="39"/>
      <c r="S161" s="39"/>
      <c r="T161" s="3" t="s">
        <v>645</v>
      </c>
      <c r="U161" s="77" t="str">
        <f t="shared" si="740"/>
        <v/>
      </c>
      <c r="V161" s="39">
        <v>1</v>
      </c>
      <c r="W161" s="79">
        <f t="shared" si="754"/>
        <v>0</v>
      </c>
      <c r="X161" s="3">
        <v>0</v>
      </c>
      <c r="Y161" s="77" t="str">
        <f t="shared" si="741"/>
        <v/>
      </c>
      <c r="Z161" s="3"/>
      <c r="AA161" s="37" t="str">
        <f t="shared" si="755"/>
        <v/>
      </c>
      <c r="AC161" s="40"/>
      <c r="AD161" s="7"/>
      <c r="AE161" s="77" t="str">
        <f t="shared" si="742"/>
        <v/>
      </c>
      <c r="AF161" s="81">
        <f t="shared" si="768"/>
        <v>0</v>
      </c>
      <c r="AG161" s="40"/>
      <c r="AH161" s="7"/>
      <c r="AI161" s="77" t="str">
        <f t="shared" si="743"/>
        <v/>
      </c>
      <c r="AJ161" s="81">
        <f t="shared" si="769"/>
        <v>0</v>
      </c>
      <c r="AK161" s="83">
        <f t="shared" si="770"/>
        <v>0</v>
      </c>
      <c r="AL161" s="83">
        <f t="shared" si="771"/>
        <v>0</v>
      </c>
      <c r="AN161" s="43">
        <f t="shared" si="744"/>
        <v>0</v>
      </c>
      <c r="AP161" t="str">
        <f t="shared" si="772"/>
        <v/>
      </c>
      <c r="AQ161" t="str">
        <f t="shared" si="773"/>
        <v/>
      </c>
      <c r="AR161" t="str">
        <f t="shared" si="774"/>
        <v/>
      </c>
      <c r="AS161" t="str">
        <f t="shared" si="775"/>
        <v/>
      </c>
      <c r="AT161" t="str">
        <f t="shared" si="776"/>
        <v/>
      </c>
      <c r="AU161" t="str">
        <f t="shared" si="777"/>
        <v/>
      </c>
      <c r="AV161" t="str">
        <f t="shared" si="778"/>
        <v/>
      </c>
      <c r="AW161" t="str">
        <f t="shared" si="779"/>
        <v xml:space="preserve">                              </v>
      </c>
      <c r="AX161" s="23">
        <f t="shared" si="780"/>
        <v>0</v>
      </c>
      <c r="AY161" s="49" t="str">
        <f t="shared" si="756"/>
        <v>000000000000000</v>
      </c>
      <c r="AZ161" s="23">
        <f t="shared" si="781"/>
        <v>0</v>
      </c>
      <c r="BA161" s="49" t="str">
        <f t="shared" si="756"/>
        <v>000000000000000</v>
      </c>
      <c r="BB161" s="23">
        <f t="shared" si="782"/>
        <v>0</v>
      </c>
      <c r="BC161" s="49" t="str">
        <f t="shared" ref="BC161" si="915">IF(BB161&lt;0,SUBSTITUTE(TEXT(BB161,"000000000000,00"),",",""),SUBSTITUTE(TEXT(BB161,"0000000000000,00"),",",""))</f>
        <v>000000000000000</v>
      </c>
      <c r="BD161" s="23">
        <f t="shared" si="784"/>
        <v>0</v>
      </c>
      <c r="BE161" s="49" t="str">
        <f t="shared" ref="BE161" si="916">IF(BD161&lt;0,SUBSTITUTE(TEXT(BD161,"000000000000,00"),",",""),SUBSTITUTE(TEXT(BD161,"0000000000000,00"),",",""))</f>
        <v>000000000000000</v>
      </c>
      <c r="BF161" s="23">
        <f t="shared" si="786"/>
        <v>0</v>
      </c>
      <c r="BG161" s="49" t="str">
        <f t="shared" ref="BG161" si="917">IF(BF161&lt;0,SUBSTITUTE(TEXT(BF161,"000000000000,00"),",",""),SUBSTITUTE(TEXT(BF161,"0000000000000,00"),",",""))</f>
        <v>000000000000000</v>
      </c>
      <c r="BH161" s="23">
        <f t="shared" si="788"/>
        <v>0</v>
      </c>
      <c r="BI161" s="49" t="str">
        <f t="shared" ref="BI161" si="918">IF(BH161&lt;0,SUBSTITUTE(TEXT(BH161,"000000000000,00"),",",""),SUBSTITUTE(TEXT(BH161,"0000000000000,00"),",",""))</f>
        <v>000000000000000</v>
      </c>
      <c r="BJ161" s="23">
        <f t="shared" si="790"/>
        <v>0</v>
      </c>
      <c r="BK161" s="49" t="str">
        <f t="shared" ref="BK161" si="919">IF(BJ161&lt;0,SUBSTITUTE(TEXT(BJ161,"000000000000,00"),",",""),SUBSTITUTE(TEXT(BJ161,"0000000000000,00"),",",""))</f>
        <v>000000000000000</v>
      </c>
      <c r="BL161" s="23">
        <f t="shared" si="792"/>
        <v>0</v>
      </c>
      <c r="BM161" s="49" t="str">
        <f t="shared" ref="BM161" si="920">IF(BL161&lt;0,SUBSTITUTE(TEXT(BL161,"000000000000,00"),",",""),SUBSTITUTE(TEXT(BL161,"0000000000000,00"),",",""))</f>
        <v>000000000000000</v>
      </c>
      <c r="BN161" t="str">
        <f t="shared" si="794"/>
        <v>PES</v>
      </c>
      <c r="BO161" t="str">
        <f t="shared" si="795"/>
        <v>0001000000</v>
      </c>
      <c r="BP161">
        <f t="shared" si="796"/>
        <v>0</v>
      </c>
      <c r="BQ161">
        <f t="shared" si="797"/>
        <v>0</v>
      </c>
      <c r="BR161" s="23">
        <f t="shared" si="798"/>
        <v>0</v>
      </c>
      <c r="BS161" s="49" t="str">
        <f t="shared" si="763"/>
        <v>000000000000000</v>
      </c>
      <c r="BT161" t="str">
        <f t="shared" si="799"/>
        <v>00000000</v>
      </c>
      <c r="BU161" s="23">
        <f t="shared" si="800"/>
        <v>0</v>
      </c>
      <c r="BV161" s="49" t="str">
        <f t="shared" si="764"/>
        <v/>
      </c>
      <c r="BW161" s="52" t="str">
        <f t="shared" si="801"/>
        <v/>
      </c>
      <c r="BX161" s="23">
        <f t="shared" si="802"/>
        <v>0</v>
      </c>
      <c r="BY161" s="49" t="str">
        <f t="shared" si="765"/>
        <v/>
      </c>
      <c r="BZ161" s="23">
        <f t="shared" si="803"/>
        <v>0</v>
      </c>
      <c r="CA161" s="49" t="str">
        <f t="shared" si="766"/>
        <v/>
      </c>
      <c r="CB161" s="52" t="str">
        <f t="shared" si="804"/>
        <v/>
      </c>
      <c r="CC161" s="23">
        <f t="shared" si="805"/>
        <v>0</v>
      </c>
      <c r="CD161" s="49" t="str">
        <f t="shared" si="767"/>
        <v/>
      </c>
      <c r="CE161" s="56" t="str">
        <f>IF(CF161="","",MAX(CE$10:$CE160)+1)</f>
        <v/>
      </c>
      <c r="CF161" t="str">
        <f t="shared" si="806"/>
        <v/>
      </c>
      <c r="CG161" s="22" t="str">
        <f>IF(CH161="","",MAX($CG$10:CG160)+1)</f>
        <v/>
      </c>
      <c r="CH161" s="22" t="str">
        <f t="shared" si="751"/>
        <v/>
      </c>
      <c r="CI161" s="22" t="str">
        <f>IF(CJ161="","",MAX($CI$10:CI160)+1)</f>
        <v/>
      </c>
      <c r="CJ161" s="22" t="str">
        <f t="shared" si="752"/>
        <v/>
      </c>
    </row>
    <row r="162" spans="2:88" x14ac:dyDescent="0.25">
      <c r="B162" s="37"/>
      <c r="C162" s="3"/>
      <c r="D162" s="77" t="str">
        <f t="shared" si="738"/>
        <v/>
      </c>
      <c r="E162" s="38"/>
      <c r="F162" s="38"/>
      <c r="G162" s="78">
        <f t="shared" si="753"/>
        <v>0</v>
      </c>
      <c r="H162" s="3">
        <v>80</v>
      </c>
      <c r="I162" s="77" t="str">
        <f t="shared" si="739"/>
        <v/>
      </c>
      <c r="J162" s="32"/>
      <c r="K162" s="3"/>
      <c r="L162" s="39"/>
      <c r="M162" s="39"/>
      <c r="N162" s="39"/>
      <c r="O162" s="39"/>
      <c r="P162" s="39"/>
      <c r="Q162" s="39"/>
      <c r="R162" s="39"/>
      <c r="S162" s="39"/>
      <c r="T162" s="3" t="s">
        <v>645</v>
      </c>
      <c r="U162" s="77" t="str">
        <f t="shared" si="740"/>
        <v/>
      </c>
      <c r="V162" s="39">
        <v>1</v>
      </c>
      <c r="W162" s="79">
        <f t="shared" si="754"/>
        <v>0</v>
      </c>
      <c r="X162" s="3">
        <v>0</v>
      </c>
      <c r="Y162" s="77" t="str">
        <f t="shared" si="741"/>
        <v/>
      </c>
      <c r="Z162" s="3"/>
      <c r="AA162" s="37" t="str">
        <f t="shared" si="755"/>
        <v/>
      </c>
      <c r="AC162" s="40"/>
      <c r="AD162" s="7"/>
      <c r="AE162" s="77" t="str">
        <f t="shared" si="742"/>
        <v/>
      </c>
      <c r="AF162" s="81">
        <f t="shared" si="768"/>
        <v>0</v>
      </c>
      <c r="AG162" s="40"/>
      <c r="AH162" s="7"/>
      <c r="AI162" s="77" t="str">
        <f t="shared" si="743"/>
        <v/>
      </c>
      <c r="AJ162" s="81">
        <f t="shared" si="769"/>
        <v>0</v>
      </c>
      <c r="AK162" s="83">
        <f t="shared" si="770"/>
        <v>0</v>
      </c>
      <c r="AL162" s="83">
        <f t="shared" si="771"/>
        <v>0</v>
      </c>
      <c r="AN162" s="43">
        <f t="shared" si="744"/>
        <v>0</v>
      </c>
      <c r="AP162" t="str">
        <f t="shared" si="772"/>
        <v/>
      </c>
      <c r="AQ162" t="str">
        <f t="shared" si="773"/>
        <v/>
      </c>
      <c r="AR162" t="str">
        <f t="shared" si="774"/>
        <v/>
      </c>
      <c r="AS162" t="str">
        <f t="shared" si="775"/>
        <v/>
      </c>
      <c r="AT162" t="str">
        <f t="shared" si="776"/>
        <v/>
      </c>
      <c r="AU162" t="str">
        <f t="shared" si="777"/>
        <v/>
      </c>
      <c r="AV162" t="str">
        <f t="shared" si="778"/>
        <v/>
      </c>
      <c r="AW162" t="str">
        <f t="shared" si="779"/>
        <v xml:space="preserve">                              </v>
      </c>
      <c r="AX162" s="23">
        <f t="shared" si="780"/>
        <v>0</v>
      </c>
      <c r="AY162" s="49" t="str">
        <f t="shared" si="756"/>
        <v>000000000000000</v>
      </c>
      <c r="AZ162" s="23">
        <f t="shared" si="781"/>
        <v>0</v>
      </c>
      <c r="BA162" s="49" t="str">
        <f t="shared" si="756"/>
        <v>000000000000000</v>
      </c>
      <c r="BB162" s="23">
        <f t="shared" si="782"/>
        <v>0</v>
      </c>
      <c r="BC162" s="49" t="str">
        <f t="shared" ref="BC162" si="921">IF(BB162&lt;0,SUBSTITUTE(TEXT(BB162,"000000000000,00"),",",""),SUBSTITUTE(TEXT(BB162,"0000000000000,00"),",",""))</f>
        <v>000000000000000</v>
      </c>
      <c r="BD162" s="23">
        <f t="shared" si="784"/>
        <v>0</v>
      </c>
      <c r="BE162" s="49" t="str">
        <f t="shared" ref="BE162" si="922">IF(BD162&lt;0,SUBSTITUTE(TEXT(BD162,"000000000000,00"),",",""),SUBSTITUTE(TEXT(BD162,"0000000000000,00"),",",""))</f>
        <v>000000000000000</v>
      </c>
      <c r="BF162" s="23">
        <f t="shared" si="786"/>
        <v>0</v>
      </c>
      <c r="BG162" s="49" t="str">
        <f t="shared" ref="BG162" si="923">IF(BF162&lt;0,SUBSTITUTE(TEXT(BF162,"000000000000,00"),",",""),SUBSTITUTE(TEXT(BF162,"0000000000000,00"),",",""))</f>
        <v>000000000000000</v>
      </c>
      <c r="BH162" s="23">
        <f t="shared" si="788"/>
        <v>0</v>
      </c>
      <c r="BI162" s="49" t="str">
        <f t="shared" ref="BI162" si="924">IF(BH162&lt;0,SUBSTITUTE(TEXT(BH162,"000000000000,00"),",",""),SUBSTITUTE(TEXT(BH162,"0000000000000,00"),",",""))</f>
        <v>000000000000000</v>
      </c>
      <c r="BJ162" s="23">
        <f t="shared" si="790"/>
        <v>0</v>
      </c>
      <c r="BK162" s="49" t="str">
        <f t="shared" ref="BK162" si="925">IF(BJ162&lt;0,SUBSTITUTE(TEXT(BJ162,"000000000000,00"),",",""),SUBSTITUTE(TEXT(BJ162,"0000000000000,00"),",",""))</f>
        <v>000000000000000</v>
      </c>
      <c r="BL162" s="23">
        <f t="shared" si="792"/>
        <v>0</v>
      </c>
      <c r="BM162" s="49" t="str">
        <f t="shared" ref="BM162" si="926">IF(BL162&lt;0,SUBSTITUTE(TEXT(BL162,"000000000000,00"),",",""),SUBSTITUTE(TEXT(BL162,"0000000000000,00"),",",""))</f>
        <v>000000000000000</v>
      </c>
      <c r="BN162" t="str">
        <f t="shared" si="794"/>
        <v>PES</v>
      </c>
      <c r="BO162" t="str">
        <f t="shared" si="795"/>
        <v>0001000000</v>
      </c>
      <c r="BP162">
        <f t="shared" si="796"/>
        <v>0</v>
      </c>
      <c r="BQ162">
        <f t="shared" si="797"/>
        <v>0</v>
      </c>
      <c r="BR162" s="23">
        <f t="shared" si="798"/>
        <v>0</v>
      </c>
      <c r="BS162" s="49" t="str">
        <f t="shared" si="763"/>
        <v>000000000000000</v>
      </c>
      <c r="BT162" t="str">
        <f t="shared" si="799"/>
        <v>00000000</v>
      </c>
      <c r="BU162" s="23">
        <f t="shared" si="800"/>
        <v>0</v>
      </c>
      <c r="BV162" s="49" t="str">
        <f t="shared" si="764"/>
        <v/>
      </c>
      <c r="BW162" s="52" t="str">
        <f t="shared" si="801"/>
        <v/>
      </c>
      <c r="BX162" s="23">
        <f t="shared" si="802"/>
        <v>0</v>
      </c>
      <c r="BY162" s="49" t="str">
        <f t="shared" si="765"/>
        <v/>
      </c>
      <c r="BZ162" s="23">
        <f t="shared" si="803"/>
        <v>0</v>
      </c>
      <c r="CA162" s="49" t="str">
        <f t="shared" si="766"/>
        <v/>
      </c>
      <c r="CB162" s="52" t="str">
        <f t="shared" si="804"/>
        <v/>
      </c>
      <c r="CC162" s="23">
        <f t="shared" si="805"/>
        <v>0</v>
      </c>
      <c r="CD162" s="49" t="str">
        <f t="shared" si="767"/>
        <v/>
      </c>
      <c r="CE162" s="56" t="str">
        <f>IF(CF162="","",MAX(CE$10:$CE161)+1)</f>
        <v/>
      </c>
      <c r="CF162" t="str">
        <f t="shared" si="806"/>
        <v/>
      </c>
      <c r="CG162" s="22" t="str">
        <f>IF(CH162="","",MAX($CG$10:CG161)+1)</f>
        <v/>
      </c>
      <c r="CH162" s="22" t="str">
        <f t="shared" si="751"/>
        <v/>
      </c>
      <c r="CI162" s="22" t="str">
        <f>IF(CJ162="","",MAX($CI$10:CI161)+1)</f>
        <v/>
      </c>
      <c r="CJ162" s="22" t="str">
        <f t="shared" si="752"/>
        <v/>
      </c>
    </row>
    <row r="163" spans="2:88" x14ac:dyDescent="0.25">
      <c r="B163" s="37"/>
      <c r="C163" s="3"/>
      <c r="D163" s="77" t="str">
        <f t="shared" si="738"/>
        <v/>
      </c>
      <c r="E163" s="38"/>
      <c r="F163" s="38"/>
      <c r="G163" s="78">
        <f t="shared" si="753"/>
        <v>0</v>
      </c>
      <c r="H163" s="3">
        <v>80</v>
      </c>
      <c r="I163" s="77" t="str">
        <f t="shared" si="739"/>
        <v/>
      </c>
      <c r="J163" s="32"/>
      <c r="K163" s="3"/>
      <c r="L163" s="39"/>
      <c r="M163" s="39"/>
      <c r="N163" s="39"/>
      <c r="O163" s="39"/>
      <c r="P163" s="39"/>
      <c r="Q163" s="39"/>
      <c r="R163" s="39"/>
      <c r="S163" s="39"/>
      <c r="T163" s="3" t="s">
        <v>645</v>
      </c>
      <c r="U163" s="77" t="str">
        <f t="shared" si="740"/>
        <v/>
      </c>
      <c r="V163" s="39">
        <v>1</v>
      </c>
      <c r="W163" s="79">
        <f t="shared" si="754"/>
        <v>0</v>
      </c>
      <c r="X163" s="3">
        <v>0</v>
      </c>
      <c r="Y163" s="77" t="str">
        <f t="shared" si="741"/>
        <v/>
      </c>
      <c r="Z163" s="3"/>
      <c r="AA163" s="37" t="str">
        <f t="shared" si="755"/>
        <v/>
      </c>
      <c r="AC163" s="40"/>
      <c r="AD163" s="7"/>
      <c r="AE163" s="77" t="str">
        <f t="shared" si="742"/>
        <v/>
      </c>
      <c r="AF163" s="81">
        <f t="shared" si="768"/>
        <v>0</v>
      </c>
      <c r="AG163" s="40"/>
      <c r="AH163" s="7"/>
      <c r="AI163" s="77" t="str">
        <f t="shared" si="743"/>
        <v/>
      </c>
      <c r="AJ163" s="81">
        <f t="shared" si="769"/>
        <v>0</v>
      </c>
      <c r="AK163" s="83">
        <f t="shared" si="770"/>
        <v>0</v>
      </c>
      <c r="AL163" s="83">
        <f t="shared" si="771"/>
        <v>0</v>
      </c>
      <c r="AN163" s="43">
        <f t="shared" si="744"/>
        <v>0</v>
      </c>
      <c r="AP163" t="str">
        <f t="shared" si="772"/>
        <v/>
      </c>
      <c r="AQ163" t="str">
        <f t="shared" si="773"/>
        <v/>
      </c>
      <c r="AR163" t="str">
        <f t="shared" si="774"/>
        <v/>
      </c>
      <c r="AS163" t="str">
        <f t="shared" si="775"/>
        <v/>
      </c>
      <c r="AT163" t="str">
        <f t="shared" si="776"/>
        <v/>
      </c>
      <c r="AU163" t="str">
        <f t="shared" si="777"/>
        <v/>
      </c>
      <c r="AV163" t="str">
        <f t="shared" si="778"/>
        <v/>
      </c>
      <c r="AW163" t="str">
        <f t="shared" si="779"/>
        <v xml:space="preserve">                              </v>
      </c>
      <c r="AX163" s="23">
        <f t="shared" si="780"/>
        <v>0</v>
      </c>
      <c r="AY163" s="49" t="str">
        <f t="shared" si="756"/>
        <v>000000000000000</v>
      </c>
      <c r="AZ163" s="23">
        <f t="shared" si="781"/>
        <v>0</v>
      </c>
      <c r="BA163" s="49" t="str">
        <f t="shared" si="756"/>
        <v>000000000000000</v>
      </c>
      <c r="BB163" s="23">
        <f t="shared" si="782"/>
        <v>0</v>
      </c>
      <c r="BC163" s="49" t="str">
        <f t="shared" ref="BC163" si="927">IF(BB163&lt;0,SUBSTITUTE(TEXT(BB163,"000000000000,00"),",",""),SUBSTITUTE(TEXT(BB163,"0000000000000,00"),",",""))</f>
        <v>000000000000000</v>
      </c>
      <c r="BD163" s="23">
        <f t="shared" si="784"/>
        <v>0</v>
      </c>
      <c r="BE163" s="49" t="str">
        <f t="shared" ref="BE163" si="928">IF(BD163&lt;0,SUBSTITUTE(TEXT(BD163,"000000000000,00"),",",""),SUBSTITUTE(TEXT(BD163,"0000000000000,00"),",",""))</f>
        <v>000000000000000</v>
      </c>
      <c r="BF163" s="23">
        <f t="shared" si="786"/>
        <v>0</v>
      </c>
      <c r="BG163" s="49" t="str">
        <f t="shared" ref="BG163" si="929">IF(BF163&lt;0,SUBSTITUTE(TEXT(BF163,"000000000000,00"),",",""),SUBSTITUTE(TEXT(BF163,"0000000000000,00"),",",""))</f>
        <v>000000000000000</v>
      </c>
      <c r="BH163" s="23">
        <f t="shared" si="788"/>
        <v>0</v>
      </c>
      <c r="BI163" s="49" t="str">
        <f t="shared" ref="BI163" si="930">IF(BH163&lt;0,SUBSTITUTE(TEXT(BH163,"000000000000,00"),",",""),SUBSTITUTE(TEXT(BH163,"0000000000000,00"),",",""))</f>
        <v>000000000000000</v>
      </c>
      <c r="BJ163" s="23">
        <f t="shared" si="790"/>
        <v>0</v>
      </c>
      <c r="BK163" s="49" t="str">
        <f t="shared" ref="BK163" si="931">IF(BJ163&lt;0,SUBSTITUTE(TEXT(BJ163,"000000000000,00"),",",""),SUBSTITUTE(TEXT(BJ163,"0000000000000,00"),",",""))</f>
        <v>000000000000000</v>
      </c>
      <c r="BL163" s="23">
        <f t="shared" si="792"/>
        <v>0</v>
      </c>
      <c r="BM163" s="49" t="str">
        <f t="shared" ref="BM163" si="932">IF(BL163&lt;0,SUBSTITUTE(TEXT(BL163,"000000000000,00"),",",""),SUBSTITUTE(TEXT(BL163,"0000000000000,00"),",",""))</f>
        <v>000000000000000</v>
      </c>
      <c r="BN163" t="str">
        <f t="shared" si="794"/>
        <v>PES</v>
      </c>
      <c r="BO163" t="str">
        <f t="shared" si="795"/>
        <v>0001000000</v>
      </c>
      <c r="BP163">
        <f t="shared" si="796"/>
        <v>0</v>
      </c>
      <c r="BQ163">
        <f t="shared" si="797"/>
        <v>0</v>
      </c>
      <c r="BR163" s="23">
        <f t="shared" si="798"/>
        <v>0</v>
      </c>
      <c r="BS163" s="49" t="str">
        <f t="shared" si="763"/>
        <v>000000000000000</v>
      </c>
      <c r="BT163" t="str">
        <f t="shared" si="799"/>
        <v>00000000</v>
      </c>
      <c r="BU163" s="23">
        <f t="shared" si="800"/>
        <v>0</v>
      </c>
      <c r="BV163" s="49" t="str">
        <f t="shared" si="764"/>
        <v/>
      </c>
      <c r="BW163" s="52" t="str">
        <f t="shared" si="801"/>
        <v/>
      </c>
      <c r="BX163" s="23">
        <f t="shared" si="802"/>
        <v>0</v>
      </c>
      <c r="BY163" s="49" t="str">
        <f t="shared" si="765"/>
        <v/>
      </c>
      <c r="BZ163" s="23">
        <f t="shared" si="803"/>
        <v>0</v>
      </c>
      <c r="CA163" s="49" t="str">
        <f t="shared" si="766"/>
        <v/>
      </c>
      <c r="CB163" s="52" t="str">
        <f t="shared" si="804"/>
        <v/>
      </c>
      <c r="CC163" s="23">
        <f t="shared" si="805"/>
        <v>0</v>
      </c>
      <c r="CD163" s="49" t="str">
        <f t="shared" si="767"/>
        <v/>
      </c>
      <c r="CE163" s="56" t="str">
        <f>IF(CF163="","",MAX(CE$10:$CE162)+1)</f>
        <v/>
      </c>
      <c r="CF163" t="str">
        <f t="shared" si="806"/>
        <v/>
      </c>
      <c r="CG163" s="22" t="str">
        <f>IF(CH163="","",MAX($CG$10:CG162)+1)</f>
        <v/>
      </c>
      <c r="CH163" s="22" t="str">
        <f t="shared" si="751"/>
        <v/>
      </c>
      <c r="CI163" s="22" t="str">
        <f>IF(CJ163="","",MAX($CI$10:CI162)+1)</f>
        <v/>
      </c>
      <c r="CJ163" s="22" t="str">
        <f t="shared" si="752"/>
        <v/>
      </c>
    </row>
    <row r="164" spans="2:88" x14ac:dyDescent="0.25">
      <c r="B164" s="37"/>
      <c r="C164" s="3"/>
      <c r="D164" s="77" t="str">
        <f t="shared" si="738"/>
        <v/>
      </c>
      <c r="E164" s="38"/>
      <c r="F164" s="38"/>
      <c r="G164" s="78">
        <f t="shared" si="753"/>
        <v>0</v>
      </c>
      <c r="H164" s="3">
        <v>80</v>
      </c>
      <c r="I164" s="77" t="str">
        <f t="shared" si="739"/>
        <v/>
      </c>
      <c r="J164" s="32"/>
      <c r="K164" s="3"/>
      <c r="L164" s="39"/>
      <c r="M164" s="39"/>
      <c r="N164" s="39"/>
      <c r="O164" s="39"/>
      <c r="P164" s="39"/>
      <c r="Q164" s="39"/>
      <c r="R164" s="39"/>
      <c r="S164" s="39"/>
      <c r="T164" s="3" t="s">
        <v>645</v>
      </c>
      <c r="U164" s="77" t="str">
        <f t="shared" si="740"/>
        <v/>
      </c>
      <c r="V164" s="39">
        <v>1</v>
      </c>
      <c r="W164" s="79">
        <f t="shared" si="754"/>
        <v>0</v>
      </c>
      <c r="X164" s="3">
        <v>0</v>
      </c>
      <c r="Y164" s="77" t="str">
        <f t="shared" si="741"/>
        <v/>
      </c>
      <c r="Z164" s="3"/>
      <c r="AA164" s="37" t="str">
        <f t="shared" si="755"/>
        <v/>
      </c>
      <c r="AC164" s="40"/>
      <c r="AD164" s="7"/>
      <c r="AE164" s="77" t="str">
        <f t="shared" si="742"/>
        <v/>
      </c>
      <c r="AF164" s="81">
        <f t="shared" si="768"/>
        <v>0</v>
      </c>
      <c r="AG164" s="40"/>
      <c r="AH164" s="7"/>
      <c r="AI164" s="77" t="str">
        <f t="shared" si="743"/>
        <v/>
      </c>
      <c r="AJ164" s="81">
        <f t="shared" si="769"/>
        <v>0</v>
      </c>
      <c r="AK164" s="83">
        <f t="shared" si="770"/>
        <v>0</v>
      </c>
      <c r="AL164" s="83">
        <f t="shared" si="771"/>
        <v>0</v>
      </c>
      <c r="AN164" s="43">
        <f t="shared" si="744"/>
        <v>0</v>
      </c>
      <c r="AP164" t="str">
        <f t="shared" si="772"/>
        <v/>
      </c>
      <c r="AQ164" t="str">
        <f t="shared" si="773"/>
        <v/>
      </c>
      <c r="AR164" t="str">
        <f t="shared" si="774"/>
        <v/>
      </c>
      <c r="AS164" t="str">
        <f t="shared" si="775"/>
        <v/>
      </c>
      <c r="AT164" t="str">
        <f t="shared" si="776"/>
        <v/>
      </c>
      <c r="AU164" t="str">
        <f t="shared" si="777"/>
        <v/>
      </c>
      <c r="AV164" t="str">
        <f t="shared" si="778"/>
        <v/>
      </c>
      <c r="AW164" t="str">
        <f t="shared" si="779"/>
        <v xml:space="preserve">                              </v>
      </c>
      <c r="AX164" s="23">
        <f t="shared" si="780"/>
        <v>0</v>
      </c>
      <c r="AY164" s="49" t="str">
        <f t="shared" si="756"/>
        <v>000000000000000</v>
      </c>
      <c r="AZ164" s="23">
        <f t="shared" si="781"/>
        <v>0</v>
      </c>
      <c r="BA164" s="49" t="str">
        <f t="shared" si="756"/>
        <v>000000000000000</v>
      </c>
      <c r="BB164" s="23">
        <f t="shared" si="782"/>
        <v>0</v>
      </c>
      <c r="BC164" s="49" t="str">
        <f t="shared" ref="BC164" si="933">IF(BB164&lt;0,SUBSTITUTE(TEXT(BB164,"000000000000,00"),",",""),SUBSTITUTE(TEXT(BB164,"0000000000000,00"),",",""))</f>
        <v>000000000000000</v>
      </c>
      <c r="BD164" s="23">
        <f t="shared" si="784"/>
        <v>0</v>
      </c>
      <c r="BE164" s="49" t="str">
        <f t="shared" ref="BE164" si="934">IF(BD164&lt;0,SUBSTITUTE(TEXT(BD164,"000000000000,00"),",",""),SUBSTITUTE(TEXT(BD164,"0000000000000,00"),",",""))</f>
        <v>000000000000000</v>
      </c>
      <c r="BF164" s="23">
        <f t="shared" si="786"/>
        <v>0</v>
      </c>
      <c r="BG164" s="49" t="str">
        <f t="shared" ref="BG164" si="935">IF(BF164&lt;0,SUBSTITUTE(TEXT(BF164,"000000000000,00"),",",""),SUBSTITUTE(TEXT(BF164,"0000000000000,00"),",",""))</f>
        <v>000000000000000</v>
      </c>
      <c r="BH164" s="23">
        <f t="shared" si="788"/>
        <v>0</v>
      </c>
      <c r="BI164" s="49" t="str">
        <f t="shared" ref="BI164" si="936">IF(BH164&lt;0,SUBSTITUTE(TEXT(BH164,"000000000000,00"),",",""),SUBSTITUTE(TEXT(BH164,"0000000000000,00"),",",""))</f>
        <v>000000000000000</v>
      </c>
      <c r="BJ164" s="23">
        <f t="shared" si="790"/>
        <v>0</v>
      </c>
      <c r="BK164" s="49" t="str">
        <f t="shared" ref="BK164" si="937">IF(BJ164&lt;0,SUBSTITUTE(TEXT(BJ164,"000000000000,00"),",",""),SUBSTITUTE(TEXT(BJ164,"0000000000000,00"),",",""))</f>
        <v>000000000000000</v>
      </c>
      <c r="BL164" s="23">
        <f t="shared" si="792"/>
        <v>0</v>
      </c>
      <c r="BM164" s="49" t="str">
        <f t="shared" ref="BM164" si="938">IF(BL164&lt;0,SUBSTITUTE(TEXT(BL164,"000000000000,00"),",",""),SUBSTITUTE(TEXT(BL164,"0000000000000,00"),",",""))</f>
        <v>000000000000000</v>
      </c>
      <c r="BN164" t="str">
        <f t="shared" si="794"/>
        <v>PES</v>
      </c>
      <c r="BO164" t="str">
        <f t="shared" si="795"/>
        <v>0001000000</v>
      </c>
      <c r="BP164">
        <f t="shared" si="796"/>
        <v>0</v>
      </c>
      <c r="BQ164">
        <f t="shared" si="797"/>
        <v>0</v>
      </c>
      <c r="BR164" s="23">
        <f t="shared" si="798"/>
        <v>0</v>
      </c>
      <c r="BS164" s="49" t="str">
        <f t="shared" si="763"/>
        <v>000000000000000</v>
      </c>
      <c r="BT164" t="str">
        <f t="shared" si="799"/>
        <v>00000000</v>
      </c>
      <c r="BU164" s="23">
        <f t="shared" si="800"/>
        <v>0</v>
      </c>
      <c r="BV164" s="49" t="str">
        <f t="shared" si="764"/>
        <v/>
      </c>
      <c r="BW164" s="52" t="str">
        <f t="shared" si="801"/>
        <v/>
      </c>
      <c r="BX164" s="23">
        <f t="shared" si="802"/>
        <v>0</v>
      </c>
      <c r="BY164" s="49" t="str">
        <f t="shared" si="765"/>
        <v/>
      </c>
      <c r="BZ164" s="23">
        <f t="shared" si="803"/>
        <v>0</v>
      </c>
      <c r="CA164" s="49" t="str">
        <f t="shared" si="766"/>
        <v/>
      </c>
      <c r="CB164" s="52" t="str">
        <f t="shared" si="804"/>
        <v/>
      </c>
      <c r="CC164" s="23">
        <f t="shared" si="805"/>
        <v>0</v>
      </c>
      <c r="CD164" s="49" t="str">
        <f t="shared" si="767"/>
        <v/>
      </c>
      <c r="CE164" s="56" t="str">
        <f>IF(CF164="","",MAX(CE$10:$CE163)+1)</f>
        <v/>
      </c>
      <c r="CF164" t="str">
        <f t="shared" si="806"/>
        <v/>
      </c>
      <c r="CG164" s="22" t="str">
        <f>IF(CH164="","",MAX($CG$10:CG163)+1)</f>
        <v/>
      </c>
      <c r="CH164" s="22" t="str">
        <f t="shared" si="751"/>
        <v/>
      </c>
      <c r="CI164" s="22" t="str">
        <f>IF(CJ164="","",MAX($CI$10:CI163)+1)</f>
        <v/>
      </c>
      <c r="CJ164" s="22" t="str">
        <f t="shared" si="752"/>
        <v/>
      </c>
    </row>
    <row r="165" spans="2:88" x14ac:dyDescent="0.25">
      <c r="B165" s="37"/>
      <c r="C165" s="3"/>
      <c r="D165" s="77" t="str">
        <f t="shared" si="738"/>
        <v/>
      </c>
      <c r="E165" s="38"/>
      <c r="F165" s="38"/>
      <c r="G165" s="78">
        <f t="shared" si="753"/>
        <v>0</v>
      </c>
      <c r="H165" s="3">
        <v>80</v>
      </c>
      <c r="I165" s="77" t="str">
        <f t="shared" si="739"/>
        <v/>
      </c>
      <c r="J165" s="32"/>
      <c r="K165" s="3"/>
      <c r="L165" s="39"/>
      <c r="M165" s="39"/>
      <c r="N165" s="39"/>
      <c r="O165" s="39"/>
      <c r="P165" s="39"/>
      <c r="Q165" s="39"/>
      <c r="R165" s="39"/>
      <c r="S165" s="39"/>
      <c r="T165" s="3" t="s">
        <v>645</v>
      </c>
      <c r="U165" s="77" t="str">
        <f t="shared" si="740"/>
        <v/>
      </c>
      <c r="V165" s="39">
        <v>1</v>
      </c>
      <c r="W165" s="79">
        <f t="shared" si="754"/>
        <v>0</v>
      </c>
      <c r="X165" s="3">
        <v>0</v>
      </c>
      <c r="Y165" s="77" t="str">
        <f t="shared" si="741"/>
        <v/>
      </c>
      <c r="Z165" s="3"/>
      <c r="AA165" s="37" t="str">
        <f t="shared" si="755"/>
        <v/>
      </c>
      <c r="AC165" s="40"/>
      <c r="AD165" s="7"/>
      <c r="AE165" s="77" t="str">
        <f t="shared" si="742"/>
        <v/>
      </c>
      <c r="AF165" s="81">
        <f t="shared" si="768"/>
        <v>0</v>
      </c>
      <c r="AG165" s="40"/>
      <c r="AH165" s="7"/>
      <c r="AI165" s="77" t="str">
        <f t="shared" si="743"/>
        <v/>
      </c>
      <c r="AJ165" s="81">
        <f t="shared" si="769"/>
        <v>0</v>
      </c>
      <c r="AK165" s="83">
        <f t="shared" si="770"/>
        <v>0</v>
      </c>
      <c r="AL165" s="83">
        <f t="shared" si="771"/>
        <v>0</v>
      </c>
      <c r="AN165" s="43">
        <f t="shared" si="744"/>
        <v>0</v>
      </c>
      <c r="AP165" t="str">
        <f t="shared" si="772"/>
        <v/>
      </c>
      <c r="AQ165" t="str">
        <f t="shared" si="773"/>
        <v/>
      </c>
      <c r="AR165" t="str">
        <f t="shared" si="774"/>
        <v/>
      </c>
      <c r="AS165" t="str">
        <f t="shared" si="775"/>
        <v/>
      </c>
      <c r="AT165" t="str">
        <f t="shared" si="776"/>
        <v/>
      </c>
      <c r="AU165" t="str">
        <f t="shared" si="777"/>
        <v/>
      </c>
      <c r="AV165" t="str">
        <f t="shared" si="778"/>
        <v/>
      </c>
      <c r="AW165" t="str">
        <f t="shared" si="779"/>
        <v xml:space="preserve">                              </v>
      </c>
      <c r="AX165" s="23">
        <f t="shared" si="780"/>
        <v>0</v>
      </c>
      <c r="AY165" s="49" t="str">
        <f t="shared" si="756"/>
        <v>000000000000000</v>
      </c>
      <c r="AZ165" s="23">
        <f t="shared" si="781"/>
        <v>0</v>
      </c>
      <c r="BA165" s="49" t="str">
        <f t="shared" si="756"/>
        <v>000000000000000</v>
      </c>
      <c r="BB165" s="23">
        <f t="shared" si="782"/>
        <v>0</v>
      </c>
      <c r="BC165" s="49" t="str">
        <f t="shared" ref="BC165" si="939">IF(BB165&lt;0,SUBSTITUTE(TEXT(BB165,"000000000000,00"),",",""),SUBSTITUTE(TEXT(BB165,"0000000000000,00"),",",""))</f>
        <v>000000000000000</v>
      </c>
      <c r="BD165" s="23">
        <f t="shared" si="784"/>
        <v>0</v>
      </c>
      <c r="BE165" s="49" t="str">
        <f t="shared" ref="BE165" si="940">IF(BD165&lt;0,SUBSTITUTE(TEXT(BD165,"000000000000,00"),",",""),SUBSTITUTE(TEXT(BD165,"0000000000000,00"),",",""))</f>
        <v>000000000000000</v>
      </c>
      <c r="BF165" s="23">
        <f t="shared" si="786"/>
        <v>0</v>
      </c>
      <c r="BG165" s="49" t="str">
        <f t="shared" ref="BG165" si="941">IF(BF165&lt;0,SUBSTITUTE(TEXT(BF165,"000000000000,00"),",",""),SUBSTITUTE(TEXT(BF165,"0000000000000,00"),",",""))</f>
        <v>000000000000000</v>
      </c>
      <c r="BH165" s="23">
        <f t="shared" si="788"/>
        <v>0</v>
      </c>
      <c r="BI165" s="49" t="str">
        <f t="shared" ref="BI165" si="942">IF(BH165&lt;0,SUBSTITUTE(TEXT(BH165,"000000000000,00"),",",""),SUBSTITUTE(TEXT(BH165,"0000000000000,00"),",",""))</f>
        <v>000000000000000</v>
      </c>
      <c r="BJ165" s="23">
        <f t="shared" si="790"/>
        <v>0</v>
      </c>
      <c r="BK165" s="49" t="str">
        <f t="shared" ref="BK165" si="943">IF(BJ165&lt;0,SUBSTITUTE(TEXT(BJ165,"000000000000,00"),",",""),SUBSTITUTE(TEXT(BJ165,"0000000000000,00"),",",""))</f>
        <v>000000000000000</v>
      </c>
      <c r="BL165" s="23">
        <f t="shared" si="792"/>
        <v>0</v>
      </c>
      <c r="BM165" s="49" t="str">
        <f t="shared" ref="BM165" si="944">IF(BL165&lt;0,SUBSTITUTE(TEXT(BL165,"000000000000,00"),",",""),SUBSTITUTE(TEXT(BL165,"0000000000000,00"),",",""))</f>
        <v>000000000000000</v>
      </c>
      <c r="BN165" t="str">
        <f t="shared" si="794"/>
        <v>PES</v>
      </c>
      <c r="BO165" t="str">
        <f t="shared" si="795"/>
        <v>0001000000</v>
      </c>
      <c r="BP165">
        <f t="shared" si="796"/>
        <v>0</v>
      </c>
      <c r="BQ165">
        <f t="shared" si="797"/>
        <v>0</v>
      </c>
      <c r="BR165" s="23">
        <f t="shared" si="798"/>
        <v>0</v>
      </c>
      <c r="BS165" s="49" t="str">
        <f t="shared" si="763"/>
        <v>000000000000000</v>
      </c>
      <c r="BT165" t="str">
        <f t="shared" si="799"/>
        <v>00000000</v>
      </c>
      <c r="BU165" s="23">
        <f t="shared" si="800"/>
        <v>0</v>
      </c>
      <c r="BV165" s="49" t="str">
        <f t="shared" si="764"/>
        <v/>
      </c>
      <c r="BW165" s="52" t="str">
        <f t="shared" si="801"/>
        <v/>
      </c>
      <c r="BX165" s="23">
        <f t="shared" si="802"/>
        <v>0</v>
      </c>
      <c r="BY165" s="49" t="str">
        <f t="shared" si="765"/>
        <v/>
      </c>
      <c r="BZ165" s="23">
        <f t="shared" si="803"/>
        <v>0</v>
      </c>
      <c r="CA165" s="49" t="str">
        <f t="shared" si="766"/>
        <v/>
      </c>
      <c r="CB165" s="52" t="str">
        <f t="shared" si="804"/>
        <v/>
      </c>
      <c r="CC165" s="23">
        <f t="shared" si="805"/>
        <v>0</v>
      </c>
      <c r="CD165" s="49" t="str">
        <f t="shared" si="767"/>
        <v/>
      </c>
      <c r="CE165" s="56" t="str">
        <f>IF(CF165="","",MAX(CE$10:$CE164)+1)</f>
        <v/>
      </c>
      <c r="CF165" t="str">
        <f t="shared" si="806"/>
        <v/>
      </c>
      <c r="CG165" s="22" t="str">
        <f>IF(CH165="","",MAX($CG$10:CG164)+1)</f>
        <v/>
      </c>
      <c r="CH165" s="22" t="str">
        <f t="shared" si="751"/>
        <v/>
      </c>
      <c r="CI165" s="22" t="str">
        <f>IF(CJ165="","",MAX($CI$10:CI164)+1)</f>
        <v/>
      </c>
      <c r="CJ165" s="22" t="str">
        <f t="shared" si="752"/>
        <v/>
      </c>
    </row>
    <row r="166" spans="2:88" x14ac:dyDescent="0.25">
      <c r="B166" s="37"/>
      <c r="C166" s="3"/>
      <c r="D166" s="77" t="str">
        <f t="shared" si="738"/>
        <v/>
      </c>
      <c r="E166" s="38"/>
      <c r="F166" s="38"/>
      <c r="G166" s="78">
        <f t="shared" si="753"/>
        <v>0</v>
      </c>
      <c r="H166" s="3">
        <v>80</v>
      </c>
      <c r="I166" s="77" t="str">
        <f t="shared" si="739"/>
        <v/>
      </c>
      <c r="J166" s="32"/>
      <c r="K166" s="3"/>
      <c r="L166" s="39"/>
      <c r="M166" s="39"/>
      <c r="N166" s="39"/>
      <c r="O166" s="39"/>
      <c r="P166" s="39"/>
      <c r="Q166" s="39"/>
      <c r="R166" s="39"/>
      <c r="S166" s="39"/>
      <c r="T166" s="3" t="s">
        <v>645</v>
      </c>
      <c r="U166" s="77" t="str">
        <f t="shared" si="740"/>
        <v/>
      </c>
      <c r="V166" s="39">
        <v>1</v>
      </c>
      <c r="W166" s="79">
        <f t="shared" si="754"/>
        <v>0</v>
      </c>
      <c r="X166" s="3">
        <v>0</v>
      </c>
      <c r="Y166" s="77" t="str">
        <f t="shared" si="741"/>
        <v/>
      </c>
      <c r="Z166" s="3"/>
      <c r="AA166" s="37" t="str">
        <f t="shared" si="755"/>
        <v/>
      </c>
      <c r="AC166" s="40"/>
      <c r="AD166" s="7"/>
      <c r="AE166" s="77" t="str">
        <f t="shared" si="742"/>
        <v/>
      </c>
      <c r="AF166" s="81">
        <f t="shared" si="768"/>
        <v>0</v>
      </c>
      <c r="AG166" s="40"/>
      <c r="AH166" s="7"/>
      <c r="AI166" s="77" t="str">
        <f t="shared" si="743"/>
        <v/>
      </c>
      <c r="AJ166" s="81">
        <f t="shared" si="769"/>
        <v>0</v>
      </c>
      <c r="AK166" s="83">
        <f t="shared" si="770"/>
        <v>0</v>
      </c>
      <c r="AL166" s="83">
        <f t="shared" si="771"/>
        <v>0</v>
      </c>
      <c r="AN166" s="43">
        <f t="shared" si="744"/>
        <v>0</v>
      </c>
      <c r="AP166" t="str">
        <f t="shared" si="772"/>
        <v/>
      </c>
      <c r="AQ166" t="str">
        <f t="shared" si="773"/>
        <v/>
      </c>
      <c r="AR166" t="str">
        <f t="shared" si="774"/>
        <v/>
      </c>
      <c r="AS166" t="str">
        <f t="shared" si="775"/>
        <v/>
      </c>
      <c r="AT166" t="str">
        <f t="shared" si="776"/>
        <v/>
      </c>
      <c r="AU166" t="str">
        <f t="shared" si="777"/>
        <v/>
      </c>
      <c r="AV166" t="str">
        <f t="shared" si="778"/>
        <v/>
      </c>
      <c r="AW166" t="str">
        <f t="shared" si="779"/>
        <v xml:space="preserve">                              </v>
      </c>
      <c r="AX166" s="23">
        <f t="shared" si="780"/>
        <v>0</v>
      </c>
      <c r="AY166" s="49" t="str">
        <f t="shared" si="756"/>
        <v>000000000000000</v>
      </c>
      <c r="AZ166" s="23">
        <f t="shared" si="781"/>
        <v>0</v>
      </c>
      <c r="BA166" s="49" t="str">
        <f t="shared" si="756"/>
        <v>000000000000000</v>
      </c>
      <c r="BB166" s="23">
        <f t="shared" si="782"/>
        <v>0</v>
      </c>
      <c r="BC166" s="49" t="str">
        <f t="shared" ref="BC166" si="945">IF(BB166&lt;0,SUBSTITUTE(TEXT(BB166,"000000000000,00"),",",""),SUBSTITUTE(TEXT(BB166,"0000000000000,00"),",",""))</f>
        <v>000000000000000</v>
      </c>
      <c r="BD166" s="23">
        <f t="shared" si="784"/>
        <v>0</v>
      </c>
      <c r="BE166" s="49" t="str">
        <f t="shared" ref="BE166" si="946">IF(BD166&lt;0,SUBSTITUTE(TEXT(BD166,"000000000000,00"),",",""),SUBSTITUTE(TEXT(BD166,"0000000000000,00"),",",""))</f>
        <v>000000000000000</v>
      </c>
      <c r="BF166" s="23">
        <f t="shared" si="786"/>
        <v>0</v>
      </c>
      <c r="BG166" s="49" t="str">
        <f t="shared" ref="BG166" si="947">IF(BF166&lt;0,SUBSTITUTE(TEXT(BF166,"000000000000,00"),",",""),SUBSTITUTE(TEXT(BF166,"0000000000000,00"),",",""))</f>
        <v>000000000000000</v>
      </c>
      <c r="BH166" s="23">
        <f t="shared" si="788"/>
        <v>0</v>
      </c>
      <c r="BI166" s="49" t="str">
        <f t="shared" ref="BI166" si="948">IF(BH166&lt;0,SUBSTITUTE(TEXT(BH166,"000000000000,00"),",",""),SUBSTITUTE(TEXT(BH166,"0000000000000,00"),",",""))</f>
        <v>000000000000000</v>
      </c>
      <c r="BJ166" s="23">
        <f t="shared" si="790"/>
        <v>0</v>
      </c>
      <c r="BK166" s="49" t="str">
        <f t="shared" ref="BK166" si="949">IF(BJ166&lt;0,SUBSTITUTE(TEXT(BJ166,"000000000000,00"),",",""),SUBSTITUTE(TEXT(BJ166,"0000000000000,00"),",",""))</f>
        <v>000000000000000</v>
      </c>
      <c r="BL166" s="23">
        <f t="shared" si="792"/>
        <v>0</v>
      </c>
      <c r="BM166" s="49" t="str">
        <f t="shared" ref="BM166" si="950">IF(BL166&lt;0,SUBSTITUTE(TEXT(BL166,"000000000000,00"),",",""),SUBSTITUTE(TEXT(BL166,"0000000000000,00"),",",""))</f>
        <v>000000000000000</v>
      </c>
      <c r="BN166" t="str">
        <f t="shared" si="794"/>
        <v>PES</v>
      </c>
      <c r="BO166" t="str">
        <f t="shared" si="795"/>
        <v>0001000000</v>
      </c>
      <c r="BP166">
        <f t="shared" si="796"/>
        <v>0</v>
      </c>
      <c r="BQ166">
        <f t="shared" si="797"/>
        <v>0</v>
      </c>
      <c r="BR166" s="23">
        <f t="shared" si="798"/>
        <v>0</v>
      </c>
      <c r="BS166" s="49" t="str">
        <f t="shared" si="763"/>
        <v>000000000000000</v>
      </c>
      <c r="BT166" t="str">
        <f t="shared" si="799"/>
        <v>00000000</v>
      </c>
      <c r="BU166" s="23">
        <f t="shared" si="800"/>
        <v>0</v>
      </c>
      <c r="BV166" s="49" t="str">
        <f t="shared" si="764"/>
        <v/>
      </c>
      <c r="BW166" s="52" t="str">
        <f t="shared" si="801"/>
        <v/>
      </c>
      <c r="BX166" s="23">
        <f t="shared" si="802"/>
        <v>0</v>
      </c>
      <c r="BY166" s="49" t="str">
        <f t="shared" si="765"/>
        <v/>
      </c>
      <c r="BZ166" s="23">
        <f t="shared" si="803"/>
        <v>0</v>
      </c>
      <c r="CA166" s="49" t="str">
        <f t="shared" si="766"/>
        <v/>
      </c>
      <c r="CB166" s="52" t="str">
        <f t="shared" si="804"/>
        <v/>
      </c>
      <c r="CC166" s="23">
        <f t="shared" si="805"/>
        <v>0</v>
      </c>
      <c r="CD166" s="49" t="str">
        <f t="shared" si="767"/>
        <v/>
      </c>
      <c r="CE166" s="56" t="str">
        <f>IF(CF166="","",MAX(CE$10:$CE165)+1)</f>
        <v/>
      </c>
      <c r="CF166" t="str">
        <f t="shared" si="806"/>
        <v/>
      </c>
      <c r="CG166" s="22" t="str">
        <f>IF(CH166="","",MAX($CG$10:CG165)+1)</f>
        <v/>
      </c>
      <c r="CH166" s="22" t="str">
        <f t="shared" si="751"/>
        <v/>
      </c>
      <c r="CI166" s="22" t="str">
        <f>IF(CJ166="","",MAX($CI$10:CI165)+1)</f>
        <v/>
      </c>
      <c r="CJ166" s="22" t="str">
        <f t="shared" si="752"/>
        <v/>
      </c>
    </row>
    <row r="167" spans="2:88" x14ac:dyDescent="0.25">
      <c r="B167" s="37"/>
      <c r="C167" s="3"/>
      <c r="D167" s="77" t="str">
        <f t="shared" si="738"/>
        <v/>
      </c>
      <c r="E167" s="38"/>
      <c r="F167" s="38"/>
      <c r="G167" s="78">
        <f t="shared" si="753"/>
        <v>0</v>
      </c>
      <c r="H167" s="3">
        <v>80</v>
      </c>
      <c r="I167" s="77" t="str">
        <f t="shared" si="739"/>
        <v/>
      </c>
      <c r="J167" s="32"/>
      <c r="K167" s="3"/>
      <c r="L167" s="39"/>
      <c r="M167" s="39"/>
      <c r="N167" s="39"/>
      <c r="O167" s="39"/>
      <c r="P167" s="39"/>
      <c r="Q167" s="39"/>
      <c r="R167" s="39"/>
      <c r="S167" s="39"/>
      <c r="T167" s="3" t="s">
        <v>645</v>
      </c>
      <c r="U167" s="77" t="str">
        <f t="shared" si="740"/>
        <v/>
      </c>
      <c r="V167" s="39">
        <v>1</v>
      </c>
      <c r="W167" s="79">
        <f t="shared" si="754"/>
        <v>0</v>
      </c>
      <c r="X167" s="3">
        <v>0</v>
      </c>
      <c r="Y167" s="77" t="str">
        <f t="shared" si="741"/>
        <v/>
      </c>
      <c r="Z167" s="3"/>
      <c r="AA167" s="37" t="str">
        <f t="shared" si="755"/>
        <v/>
      </c>
      <c r="AC167" s="40"/>
      <c r="AD167" s="7"/>
      <c r="AE167" s="77" t="str">
        <f t="shared" si="742"/>
        <v/>
      </c>
      <c r="AF167" s="81">
        <f t="shared" si="768"/>
        <v>0</v>
      </c>
      <c r="AG167" s="40"/>
      <c r="AH167" s="7"/>
      <c r="AI167" s="77" t="str">
        <f t="shared" si="743"/>
        <v/>
      </c>
      <c r="AJ167" s="81">
        <f t="shared" si="769"/>
        <v>0</v>
      </c>
      <c r="AK167" s="83">
        <f t="shared" si="770"/>
        <v>0</v>
      </c>
      <c r="AL167" s="83">
        <f t="shared" si="771"/>
        <v>0</v>
      </c>
      <c r="AN167" s="43">
        <f t="shared" si="744"/>
        <v>0</v>
      </c>
      <c r="AP167" t="str">
        <f t="shared" si="772"/>
        <v/>
      </c>
      <c r="AQ167" t="str">
        <f t="shared" si="773"/>
        <v/>
      </c>
      <c r="AR167" t="str">
        <f t="shared" si="774"/>
        <v/>
      </c>
      <c r="AS167" t="str">
        <f t="shared" si="775"/>
        <v/>
      </c>
      <c r="AT167" t="str">
        <f t="shared" si="776"/>
        <v/>
      </c>
      <c r="AU167" t="str">
        <f t="shared" si="777"/>
        <v/>
      </c>
      <c r="AV167" t="str">
        <f t="shared" si="778"/>
        <v/>
      </c>
      <c r="AW167" t="str">
        <f t="shared" si="779"/>
        <v xml:space="preserve">                              </v>
      </c>
      <c r="AX167" s="23">
        <f t="shared" si="780"/>
        <v>0</v>
      </c>
      <c r="AY167" s="49" t="str">
        <f t="shared" si="756"/>
        <v>000000000000000</v>
      </c>
      <c r="AZ167" s="23">
        <f t="shared" si="781"/>
        <v>0</v>
      </c>
      <c r="BA167" s="49" t="str">
        <f t="shared" si="756"/>
        <v>000000000000000</v>
      </c>
      <c r="BB167" s="23">
        <f t="shared" si="782"/>
        <v>0</v>
      </c>
      <c r="BC167" s="49" t="str">
        <f t="shared" ref="BC167" si="951">IF(BB167&lt;0,SUBSTITUTE(TEXT(BB167,"000000000000,00"),",",""),SUBSTITUTE(TEXT(BB167,"0000000000000,00"),",",""))</f>
        <v>000000000000000</v>
      </c>
      <c r="BD167" s="23">
        <f t="shared" si="784"/>
        <v>0</v>
      </c>
      <c r="BE167" s="49" t="str">
        <f t="shared" ref="BE167" si="952">IF(BD167&lt;0,SUBSTITUTE(TEXT(BD167,"000000000000,00"),",",""),SUBSTITUTE(TEXT(BD167,"0000000000000,00"),",",""))</f>
        <v>000000000000000</v>
      </c>
      <c r="BF167" s="23">
        <f t="shared" si="786"/>
        <v>0</v>
      </c>
      <c r="BG167" s="49" t="str">
        <f t="shared" ref="BG167" si="953">IF(BF167&lt;0,SUBSTITUTE(TEXT(BF167,"000000000000,00"),",",""),SUBSTITUTE(TEXT(BF167,"0000000000000,00"),",",""))</f>
        <v>000000000000000</v>
      </c>
      <c r="BH167" s="23">
        <f t="shared" si="788"/>
        <v>0</v>
      </c>
      <c r="BI167" s="49" t="str">
        <f t="shared" ref="BI167" si="954">IF(BH167&lt;0,SUBSTITUTE(TEXT(BH167,"000000000000,00"),",",""),SUBSTITUTE(TEXT(BH167,"0000000000000,00"),",",""))</f>
        <v>000000000000000</v>
      </c>
      <c r="BJ167" s="23">
        <f t="shared" si="790"/>
        <v>0</v>
      </c>
      <c r="BK167" s="49" t="str">
        <f t="shared" ref="BK167" si="955">IF(BJ167&lt;0,SUBSTITUTE(TEXT(BJ167,"000000000000,00"),",",""),SUBSTITUTE(TEXT(BJ167,"0000000000000,00"),",",""))</f>
        <v>000000000000000</v>
      </c>
      <c r="BL167" s="23">
        <f t="shared" si="792"/>
        <v>0</v>
      </c>
      <c r="BM167" s="49" t="str">
        <f t="shared" ref="BM167" si="956">IF(BL167&lt;0,SUBSTITUTE(TEXT(BL167,"000000000000,00"),",",""),SUBSTITUTE(TEXT(BL167,"0000000000000,00"),",",""))</f>
        <v>000000000000000</v>
      </c>
      <c r="BN167" t="str">
        <f t="shared" si="794"/>
        <v>PES</v>
      </c>
      <c r="BO167" t="str">
        <f t="shared" si="795"/>
        <v>0001000000</v>
      </c>
      <c r="BP167">
        <f t="shared" si="796"/>
        <v>0</v>
      </c>
      <c r="BQ167">
        <f t="shared" si="797"/>
        <v>0</v>
      </c>
      <c r="BR167" s="23">
        <f t="shared" si="798"/>
        <v>0</v>
      </c>
      <c r="BS167" s="49" t="str">
        <f t="shared" si="763"/>
        <v>000000000000000</v>
      </c>
      <c r="BT167" t="str">
        <f t="shared" si="799"/>
        <v>00000000</v>
      </c>
      <c r="BU167" s="23">
        <f t="shared" si="800"/>
        <v>0</v>
      </c>
      <c r="BV167" s="49" t="str">
        <f t="shared" si="764"/>
        <v/>
      </c>
      <c r="BW167" s="52" t="str">
        <f t="shared" si="801"/>
        <v/>
      </c>
      <c r="BX167" s="23">
        <f t="shared" si="802"/>
        <v>0</v>
      </c>
      <c r="BY167" s="49" t="str">
        <f t="shared" si="765"/>
        <v/>
      </c>
      <c r="BZ167" s="23">
        <f t="shared" si="803"/>
        <v>0</v>
      </c>
      <c r="CA167" s="49" t="str">
        <f t="shared" si="766"/>
        <v/>
      </c>
      <c r="CB167" s="52" t="str">
        <f t="shared" si="804"/>
        <v/>
      </c>
      <c r="CC167" s="23">
        <f t="shared" si="805"/>
        <v>0</v>
      </c>
      <c r="CD167" s="49" t="str">
        <f t="shared" si="767"/>
        <v/>
      </c>
      <c r="CE167" s="56" t="str">
        <f>IF(CF167="","",MAX(CE$10:$CE166)+1)</f>
        <v/>
      </c>
      <c r="CF167" t="str">
        <f t="shared" si="806"/>
        <v/>
      </c>
      <c r="CG167" s="22" t="str">
        <f>IF(CH167="","",MAX($CG$10:CG166)+1)</f>
        <v/>
      </c>
      <c r="CH167" s="22" t="str">
        <f t="shared" si="751"/>
        <v/>
      </c>
      <c r="CI167" s="22" t="str">
        <f>IF(CJ167="","",MAX($CI$10:CI166)+1)</f>
        <v/>
      </c>
      <c r="CJ167" s="22" t="str">
        <f t="shared" si="752"/>
        <v/>
      </c>
    </row>
    <row r="168" spans="2:88" x14ac:dyDescent="0.25">
      <c r="B168" s="37"/>
      <c r="C168" s="3"/>
      <c r="D168" s="77" t="str">
        <f t="shared" si="738"/>
        <v/>
      </c>
      <c r="E168" s="38"/>
      <c r="F168" s="38"/>
      <c r="G168" s="78">
        <f t="shared" si="753"/>
        <v>0</v>
      </c>
      <c r="H168" s="3">
        <v>80</v>
      </c>
      <c r="I168" s="77" t="str">
        <f t="shared" si="739"/>
        <v/>
      </c>
      <c r="J168" s="32"/>
      <c r="K168" s="3"/>
      <c r="L168" s="39"/>
      <c r="M168" s="39"/>
      <c r="N168" s="39"/>
      <c r="O168" s="39"/>
      <c r="P168" s="39"/>
      <c r="Q168" s="39"/>
      <c r="R168" s="39"/>
      <c r="S168" s="39"/>
      <c r="T168" s="3" t="s">
        <v>645</v>
      </c>
      <c r="U168" s="77" t="str">
        <f t="shared" si="740"/>
        <v/>
      </c>
      <c r="V168" s="39">
        <v>1</v>
      </c>
      <c r="W168" s="79">
        <f t="shared" si="754"/>
        <v>0</v>
      </c>
      <c r="X168" s="3">
        <v>0</v>
      </c>
      <c r="Y168" s="77" t="str">
        <f t="shared" si="741"/>
        <v/>
      </c>
      <c r="Z168" s="3"/>
      <c r="AA168" s="37" t="str">
        <f t="shared" si="755"/>
        <v/>
      </c>
      <c r="AC168" s="40"/>
      <c r="AD168" s="7"/>
      <c r="AE168" s="77" t="str">
        <f t="shared" si="742"/>
        <v/>
      </c>
      <c r="AF168" s="81">
        <f t="shared" si="768"/>
        <v>0</v>
      </c>
      <c r="AG168" s="40"/>
      <c r="AH168" s="7"/>
      <c r="AI168" s="77" t="str">
        <f t="shared" si="743"/>
        <v/>
      </c>
      <c r="AJ168" s="81">
        <f t="shared" si="769"/>
        <v>0</v>
      </c>
      <c r="AK168" s="83">
        <f t="shared" si="770"/>
        <v>0</v>
      </c>
      <c r="AL168" s="83">
        <f t="shared" si="771"/>
        <v>0</v>
      </c>
      <c r="AN168" s="43">
        <f t="shared" si="744"/>
        <v>0</v>
      </c>
      <c r="AP168" t="str">
        <f t="shared" si="772"/>
        <v/>
      </c>
      <c r="AQ168" t="str">
        <f t="shared" si="773"/>
        <v/>
      </c>
      <c r="AR168" t="str">
        <f t="shared" si="774"/>
        <v/>
      </c>
      <c r="AS168" t="str">
        <f t="shared" si="775"/>
        <v/>
      </c>
      <c r="AT168" t="str">
        <f t="shared" si="776"/>
        <v/>
      </c>
      <c r="AU168" t="str">
        <f t="shared" si="777"/>
        <v/>
      </c>
      <c r="AV168" t="str">
        <f t="shared" si="778"/>
        <v/>
      </c>
      <c r="AW168" t="str">
        <f t="shared" si="779"/>
        <v xml:space="preserve">                              </v>
      </c>
      <c r="AX168" s="23">
        <f t="shared" si="780"/>
        <v>0</v>
      </c>
      <c r="AY168" s="49" t="str">
        <f t="shared" si="756"/>
        <v>000000000000000</v>
      </c>
      <c r="AZ168" s="23">
        <f t="shared" si="781"/>
        <v>0</v>
      </c>
      <c r="BA168" s="49" t="str">
        <f t="shared" si="756"/>
        <v>000000000000000</v>
      </c>
      <c r="BB168" s="23">
        <f t="shared" si="782"/>
        <v>0</v>
      </c>
      <c r="BC168" s="49" t="str">
        <f t="shared" ref="BC168" si="957">IF(BB168&lt;0,SUBSTITUTE(TEXT(BB168,"000000000000,00"),",",""),SUBSTITUTE(TEXT(BB168,"0000000000000,00"),",",""))</f>
        <v>000000000000000</v>
      </c>
      <c r="BD168" s="23">
        <f t="shared" si="784"/>
        <v>0</v>
      </c>
      <c r="BE168" s="49" t="str">
        <f t="shared" ref="BE168" si="958">IF(BD168&lt;0,SUBSTITUTE(TEXT(BD168,"000000000000,00"),",",""),SUBSTITUTE(TEXT(BD168,"0000000000000,00"),",",""))</f>
        <v>000000000000000</v>
      </c>
      <c r="BF168" s="23">
        <f t="shared" si="786"/>
        <v>0</v>
      </c>
      <c r="BG168" s="49" t="str">
        <f t="shared" ref="BG168" si="959">IF(BF168&lt;0,SUBSTITUTE(TEXT(BF168,"000000000000,00"),",",""),SUBSTITUTE(TEXT(BF168,"0000000000000,00"),",",""))</f>
        <v>000000000000000</v>
      </c>
      <c r="BH168" s="23">
        <f t="shared" si="788"/>
        <v>0</v>
      </c>
      <c r="BI168" s="49" t="str">
        <f t="shared" ref="BI168" si="960">IF(BH168&lt;0,SUBSTITUTE(TEXT(BH168,"000000000000,00"),",",""),SUBSTITUTE(TEXT(BH168,"0000000000000,00"),",",""))</f>
        <v>000000000000000</v>
      </c>
      <c r="BJ168" s="23">
        <f t="shared" si="790"/>
        <v>0</v>
      </c>
      <c r="BK168" s="49" t="str">
        <f t="shared" ref="BK168" si="961">IF(BJ168&lt;0,SUBSTITUTE(TEXT(BJ168,"000000000000,00"),",",""),SUBSTITUTE(TEXT(BJ168,"0000000000000,00"),",",""))</f>
        <v>000000000000000</v>
      </c>
      <c r="BL168" s="23">
        <f t="shared" si="792"/>
        <v>0</v>
      </c>
      <c r="BM168" s="49" t="str">
        <f t="shared" ref="BM168" si="962">IF(BL168&lt;0,SUBSTITUTE(TEXT(BL168,"000000000000,00"),",",""),SUBSTITUTE(TEXT(BL168,"0000000000000,00"),",",""))</f>
        <v>000000000000000</v>
      </c>
      <c r="BN168" t="str">
        <f t="shared" si="794"/>
        <v>PES</v>
      </c>
      <c r="BO168" t="str">
        <f t="shared" si="795"/>
        <v>0001000000</v>
      </c>
      <c r="BP168">
        <f t="shared" si="796"/>
        <v>0</v>
      </c>
      <c r="BQ168">
        <f t="shared" si="797"/>
        <v>0</v>
      </c>
      <c r="BR168" s="23">
        <f t="shared" si="798"/>
        <v>0</v>
      </c>
      <c r="BS168" s="49" t="str">
        <f t="shared" si="763"/>
        <v>000000000000000</v>
      </c>
      <c r="BT168" t="str">
        <f t="shared" si="799"/>
        <v>00000000</v>
      </c>
      <c r="BU168" s="23">
        <f t="shared" si="800"/>
        <v>0</v>
      </c>
      <c r="BV168" s="49" t="str">
        <f t="shared" si="764"/>
        <v/>
      </c>
      <c r="BW168" s="52" t="str">
        <f t="shared" si="801"/>
        <v/>
      </c>
      <c r="BX168" s="23">
        <f t="shared" si="802"/>
        <v>0</v>
      </c>
      <c r="BY168" s="49" t="str">
        <f t="shared" si="765"/>
        <v/>
      </c>
      <c r="BZ168" s="23">
        <f t="shared" si="803"/>
        <v>0</v>
      </c>
      <c r="CA168" s="49" t="str">
        <f t="shared" si="766"/>
        <v/>
      </c>
      <c r="CB168" s="52" t="str">
        <f t="shared" si="804"/>
        <v/>
      </c>
      <c r="CC168" s="23">
        <f t="shared" si="805"/>
        <v>0</v>
      </c>
      <c r="CD168" s="49" t="str">
        <f t="shared" si="767"/>
        <v/>
      </c>
      <c r="CE168" s="56" t="str">
        <f>IF(CF168="","",MAX(CE$10:$CE167)+1)</f>
        <v/>
      </c>
      <c r="CF168" t="str">
        <f t="shared" si="806"/>
        <v/>
      </c>
      <c r="CG168" s="22" t="str">
        <f>IF(CH168="","",MAX($CG$10:CG167)+1)</f>
        <v/>
      </c>
      <c r="CH168" s="22" t="str">
        <f t="shared" si="751"/>
        <v/>
      </c>
      <c r="CI168" s="22" t="str">
        <f>IF(CJ168="","",MAX($CI$10:CI167)+1)</f>
        <v/>
      </c>
      <c r="CJ168" s="22" t="str">
        <f t="shared" si="752"/>
        <v/>
      </c>
    </row>
    <row r="169" spans="2:88" x14ac:dyDescent="0.25">
      <c r="B169" s="37"/>
      <c r="C169" s="3"/>
      <c r="D169" s="77" t="str">
        <f t="shared" si="738"/>
        <v/>
      </c>
      <c r="E169" s="38"/>
      <c r="F169" s="38"/>
      <c r="G169" s="78">
        <f t="shared" si="753"/>
        <v>0</v>
      </c>
      <c r="H169" s="3">
        <v>80</v>
      </c>
      <c r="I169" s="77" t="str">
        <f t="shared" si="739"/>
        <v/>
      </c>
      <c r="J169" s="32"/>
      <c r="K169" s="3"/>
      <c r="L169" s="39"/>
      <c r="M169" s="39"/>
      <c r="N169" s="39"/>
      <c r="O169" s="39"/>
      <c r="P169" s="39"/>
      <c r="Q169" s="39"/>
      <c r="R169" s="39"/>
      <c r="S169" s="39"/>
      <c r="T169" s="3" t="s">
        <v>645</v>
      </c>
      <c r="U169" s="77" t="str">
        <f t="shared" si="740"/>
        <v/>
      </c>
      <c r="V169" s="39">
        <v>1</v>
      </c>
      <c r="W169" s="79">
        <f t="shared" si="754"/>
        <v>0</v>
      </c>
      <c r="X169" s="3">
        <v>0</v>
      </c>
      <c r="Y169" s="77" t="str">
        <f t="shared" si="741"/>
        <v/>
      </c>
      <c r="Z169" s="3"/>
      <c r="AA169" s="37" t="str">
        <f t="shared" si="755"/>
        <v/>
      </c>
      <c r="AC169" s="40"/>
      <c r="AD169" s="7"/>
      <c r="AE169" s="77" t="str">
        <f t="shared" si="742"/>
        <v/>
      </c>
      <c r="AF169" s="81">
        <f t="shared" si="768"/>
        <v>0</v>
      </c>
      <c r="AG169" s="40"/>
      <c r="AH169" s="7"/>
      <c r="AI169" s="77" t="str">
        <f t="shared" si="743"/>
        <v/>
      </c>
      <c r="AJ169" s="81">
        <f t="shared" si="769"/>
        <v>0</v>
      </c>
      <c r="AK169" s="83">
        <f t="shared" si="770"/>
        <v>0</v>
      </c>
      <c r="AL169" s="83">
        <f t="shared" si="771"/>
        <v>0</v>
      </c>
      <c r="AN169" s="43">
        <f t="shared" si="744"/>
        <v>0</v>
      </c>
      <c r="AP169" t="str">
        <f t="shared" si="772"/>
        <v/>
      </c>
      <c r="AQ169" t="str">
        <f t="shared" si="773"/>
        <v/>
      </c>
      <c r="AR169" t="str">
        <f t="shared" si="774"/>
        <v/>
      </c>
      <c r="AS169" t="str">
        <f t="shared" si="775"/>
        <v/>
      </c>
      <c r="AT169" t="str">
        <f t="shared" si="776"/>
        <v/>
      </c>
      <c r="AU169" t="str">
        <f t="shared" si="777"/>
        <v/>
      </c>
      <c r="AV169" t="str">
        <f t="shared" si="778"/>
        <v/>
      </c>
      <c r="AW169" t="str">
        <f t="shared" si="779"/>
        <v xml:space="preserve">                              </v>
      </c>
      <c r="AX169" s="23">
        <f t="shared" si="780"/>
        <v>0</v>
      </c>
      <c r="AY169" s="49" t="str">
        <f t="shared" si="756"/>
        <v>000000000000000</v>
      </c>
      <c r="AZ169" s="23">
        <f t="shared" si="781"/>
        <v>0</v>
      </c>
      <c r="BA169" s="49" t="str">
        <f t="shared" si="756"/>
        <v>000000000000000</v>
      </c>
      <c r="BB169" s="23">
        <f t="shared" si="782"/>
        <v>0</v>
      </c>
      <c r="BC169" s="49" t="str">
        <f t="shared" ref="BC169" si="963">IF(BB169&lt;0,SUBSTITUTE(TEXT(BB169,"000000000000,00"),",",""),SUBSTITUTE(TEXT(BB169,"0000000000000,00"),",",""))</f>
        <v>000000000000000</v>
      </c>
      <c r="BD169" s="23">
        <f t="shared" si="784"/>
        <v>0</v>
      </c>
      <c r="BE169" s="49" t="str">
        <f t="shared" ref="BE169" si="964">IF(BD169&lt;0,SUBSTITUTE(TEXT(BD169,"000000000000,00"),",",""),SUBSTITUTE(TEXT(BD169,"0000000000000,00"),",",""))</f>
        <v>000000000000000</v>
      </c>
      <c r="BF169" s="23">
        <f t="shared" si="786"/>
        <v>0</v>
      </c>
      <c r="BG169" s="49" t="str">
        <f t="shared" ref="BG169" si="965">IF(BF169&lt;0,SUBSTITUTE(TEXT(BF169,"000000000000,00"),",",""),SUBSTITUTE(TEXT(BF169,"0000000000000,00"),",",""))</f>
        <v>000000000000000</v>
      </c>
      <c r="BH169" s="23">
        <f t="shared" si="788"/>
        <v>0</v>
      </c>
      <c r="BI169" s="49" t="str">
        <f t="shared" ref="BI169" si="966">IF(BH169&lt;0,SUBSTITUTE(TEXT(BH169,"000000000000,00"),",",""),SUBSTITUTE(TEXT(BH169,"0000000000000,00"),",",""))</f>
        <v>000000000000000</v>
      </c>
      <c r="BJ169" s="23">
        <f t="shared" si="790"/>
        <v>0</v>
      </c>
      <c r="BK169" s="49" t="str">
        <f t="shared" ref="BK169" si="967">IF(BJ169&lt;0,SUBSTITUTE(TEXT(BJ169,"000000000000,00"),",",""),SUBSTITUTE(TEXT(BJ169,"0000000000000,00"),",",""))</f>
        <v>000000000000000</v>
      </c>
      <c r="BL169" s="23">
        <f t="shared" si="792"/>
        <v>0</v>
      </c>
      <c r="BM169" s="49" t="str">
        <f t="shared" ref="BM169" si="968">IF(BL169&lt;0,SUBSTITUTE(TEXT(BL169,"000000000000,00"),",",""),SUBSTITUTE(TEXT(BL169,"0000000000000,00"),",",""))</f>
        <v>000000000000000</v>
      </c>
      <c r="BN169" t="str">
        <f t="shared" si="794"/>
        <v>PES</v>
      </c>
      <c r="BO169" t="str">
        <f t="shared" si="795"/>
        <v>0001000000</v>
      </c>
      <c r="BP169">
        <f t="shared" si="796"/>
        <v>0</v>
      </c>
      <c r="BQ169">
        <f t="shared" si="797"/>
        <v>0</v>
      </c>
      <c r="BR169" s="23">
        <f t="shared" si="798"/>
        <v>0</v>
      </c>
      <c r="BS169" s="49" t="str">
        <f t="shared" si="763"/>
        <v>000000000000000</v>
      </c>
      <c r="BT169" t="str">
        <f t="shared" si="799"/>
        <v>00000000</v>
      </c>
      <c r="BU169" s="23">
        <f t="shared" si="800"/>
        <v>0</v>
      </c>
      <c r="BV169" s="49" t="str">
        <f t="shared" si="764"/>
        <v/>
      </c>
      <c r="BW169" s="52" t="str">
        <f t="shared" si="801"/>
        <v/>
      </c>
      <c r="BX169" s="23">
        <f t="shared" si="802"/>
        <v>0</v>
      </c>
      <c r="BY169" s="49" t="str">
        <f t="shared" si="765"/>
        <v/>
      </c>
      <c r="BZ169" s="23">
        <f t="shared" si="803"/>
        <v>0</v>
      </c>
      <c r="CA169" s="49" t="str">
        <f t="shared" si="766"/>
        <v/>
      </c>
      <c r="CB169" s="52" t="str">
        <f t="shared" si="804"/>
        <v/>
      </c>
      <c r="CC169" s="23">
        <f t="shared" si="805"/>
        <v>0</v>
      </c>
      <c r="CD169" s="49" t="str">
        <f t="shared" si="767"/>
        <v/>
      </c>
      <c r="CE169" s="56" t="str">
        <f>IF(CF169="","",MAX(CE$10:$CE168)+1)</f>
        <v/>
      </c>
      <c r="CF169" t="str">
        <f t="shared" si="806"/>
        <v/>
      </c>
      <c r="CG169" s="22" t="str">
        <f>IF(CH169="","",MAX($CG$10:CG168)+1)</f>
        <v/>
      </c>
      <c r="CH169" s="22" t="str">
        <f t="shared" si="751"/>
        <v/>
      </c>
      <c r="CI169" s="22" t="str">
        <f>IF(CJ169="","",MAX($CI$10:CI168)+1)</f>
        <v/>
      </c>
      <c r="CJ169" s="22" t="str">
        <f t="shared" si="752"/>
        <v/>
      </c>
    </row>
    <row r="170" spans="2:88" x14ac:dyDescent="0.25">
      <c r="B170" s="37"/>
      <c r="C170" s="3"/>
      <c r="D170" s="77" t="str">
        <f t="shared" si="738"/>
        <v/>
      </c>
      <c r="E170" s="38"/>
      <c r="F170" s="38"/>
      <c r="G170" s="78">
        <f t="shared" si="753"/>
        <v>0</v>
      </c>
      <c r="H170" s="3">
        <v>80</v>
      </c>
      <c r="I170" s="77" t="str">
        <f t="shared" si="739"/>
        <v/>
      </c>
      <c r="J170" s="32"/>
      <c r="K170" s="3"/>
      <c r="L170" s="39"/>
      <c r="M170" s="39"/>
      <c r="N170" s="39"/>
      <c r="O170" s="39"/>
      <c r="P170" s="39"/>
      <c r="Q170" s="39"/>
      <c r="R170" s="39"/>
      <c r="S170" s="39"/>
      <c r="T170" s="3" t="s">
        <v>645</v>
      </c>
      <c r="U170" s="77" t="str">
        <f t="shared" si="740"/>
        <v/>
      </c>
      <c r="V170" s="39">
        <v>1</v>
      </c>
      <c r="W170" s="79">
        <f t="shared" si="754"/>
        <v>0</v>
      </c>
      <c r="X170" s="3">
        <v>0</v>
      </c>
      <c r="Y170" s="77" t="str">
        <f t="shared" si="741"/>
        <v/>
      </c>
      <c r="Z170" s="3"/>
      <c r="AA170" s="37" t="str">
        <f t="shared" si="755"/>
        <v/>
      </c>
      <c r="AC170" s="40"/>
      <c r="AD170" s="7"/>
      <c r="AE170" s="77" t="str">
        <f t="shared" si="742"/>
        <v/>
      </c>
      <c r="AF170" s="81">
        <f t="shared" si="768"/>
        <v>0</v>
      </c>
      <c r="AG170" s="40"/>
      <c r="AH170" s="7"/>
      <c r="AI170" s="77" t="str">
        <f t="shared" si="743"/>
        <v/>
      </c>
      <c r="AJ170" s="81">
        <f t="shared" si="769"/>
        <v>0</v>
      </c>
      <c r="AK170" s="83">
        <f t="shared" si="770"/>
        <v>0</v>
      </c>
      <c r="AL170" s="83">
        <f t="shared" si="771"/>
        <v>0</v>
      </c>
      <c r="AN170" s="43">
        <f t="shared" si="744"/>
        <v>0</v>
      </c>
      <c r="AP170" t="str">
        <f t="shared" si="772"/>
        <v/>
      </c>
      <c r="AQ170" t="str">
        <f t="shared" si="773"/>
        <v/>
      </c>
      <c r="AR170" t="str">
        <f t="shared" si="774"/>
        <v/>
      </c>
      <c r="AS170" t="str">
        <f t="shared" si="775"/>
        <v/>
      </c>
      <c r="AT170" t="str">
        <f t="shared" si="776"/>
        <v/>
      </c>
      <c r="AU170" t="str">
        <f t="shared" si="777"/>
        <v/>
      </c>
      <c r="AV170" t="str">
        <f t="shared" si="778"/>
        <v/>
      </c>
      <c r="AW170" t="str">
        <f t="shared" si="779"/>
        <v xml:space="preserve">                              </v>
      </c>
      <c r="AX170" s="23">
        <f t="shared" si="780"/>
        <v>0</v>
      </c>
      <c r="AY170" s="49" t="str">
        <f t="shared" si="756"/>
        <v>000000000000000</v>
      </c>
      <c r="AZ170" s="23">
        <f t="shared" si="781"/>
        <v>0</v>
      </c>
      <c r="BA170" s="49" t="str">
        <f t="shared" si="756"/>
        <v>000000000000000</v>
      </c>
      <c r="BB170" s="23">
        <f t="shared" si="782"/>
        <v>0</v>
      </c>
      <c r="BC170" s="49" t="str">
        <f t="shared" ref="BC170" si="969">IF(BB170&lt;0,SUBSTITUTE(TEXT(BB170,"000000000000,00"),",",""),SUBSTITUTE(TEXT(BB170,"0000000000000,00"),",",""))</f>
        <v>000000000000000</v>
      </c>
      <c r="BD170" s="23">
        <f t="shared" si="784"/>
        <v>0</v>
      </c>
      <c r="BE170" s="49" t="str">
        <f t="shared" ref="BE170" si="970">IF(BD170&lt;0,SUBSTITUTE(TEXT(BD170,"000000000000,00"),",",""),SUBSTITUTE(TEXT(BD170,"0000000000000,00"),",",""))</f>
        <v>000000000000000</v>
      </c>
      <c r="BF170" s="23">
        <f t="shared" si="786"/>
        <v>0</v>
      </c>
      <c r="BG170" s="49" t="str">
        <f t="shared" ref="BG170" si="971">IF(BF170&lt;0,SUBSTITUTE(TEXT(BF170,"000000000000,00"),",",""),SUBSTITUTE(TEXT(BF170,"0000000000000,00"),",",""))</f>
        <v>000000000000000</v>
      </c>
      <c r="BH170" s="23">
        <f t="shared" si="788"/>
        <v>0</v>
      </c>
      <c r="BI170" s="49" t="str">
        <f t="shared" ref="BI170" si="972">IF(BH170&lt;0,SUBSTITUTE(TEXT(BH170,"000000000000,00"),",",""),SUBSTITUTE(TEXT(BH170,"0000000000000,00"),",",""))</f>
        <v>000000000000000</v>
      </c>
      <c r="BJ170" s="23">
        <f t="shared" si="790"/>
        <v>0</v>
      </c>
      <c r="BK170" s="49" t="str">
        <f t="shared" ref="BK170" si="973">IF(BJ170&lt;0,SUBSTITUTE(TEXT(BJ170,"000000000000,00"),",",""),SUBSTITUTE(TEXT(BJ170,"0000000000000,00"),",",""))</f>
        <v>000000000000000</v>
      </c>
      <c r="BL170" s="23">
        <f t="shared" si="792"/>
        <v>0</v>
      </c>
      <c r="BM170" s="49" t="str">
        <f t="shared" ref="BM170" si="974">IF(BL170&lt;0,SUBSTITUTE(TEXT(BL170,"000000000000,00"),",",""),SUBSTITUTE(TEXT(BL170,"0000000000000,00"),",",""))</f>
        <v>000000000000000</v>
      </c>
      <c r="BN170" t="str">
        <f t="shared" si="794"/>
        <v>PES</v>
      </c>
      <c r="BO170" t="str">
        <f t="shared" si="795"/>
        <v>0001000000</v>
      </c>
      <c r="BP170">
        <f t="shared" si="796"/>
        <v>0</v>
      </c>
      <c r="BQ170">
        <f t="shared" si="797"/>
        <v>0</v>
      </c>
      <c r="BR170" s="23">
        <f t="shared" si="798"/>
        <v>0</v>
      </c>
      <c r="BS170" s="49" t="str">
        <f t="shared" si="763"/>
        <v>000000000000000</v>
      </c>
      <c r="BT170" t="str">
        <f t="shared" si="799"/>
        <v>00000000</v>
      </c>
      <c r="BU170" s="23">
        <f t="shared" si="800"/>
        <v>0</v>
      </c>
      <c r="BV170" s="49" t="str">
        <f t="shared" si="764"/>
        <v/>
      </c>
      <c r="BW170" s="52" t="str">
        <f t="shared" si="801"/>
        <v/>
      </c>
      <c r="BX170" s="23">
        <f t="shared" si="802"/>
        <v>0</v>
      </c>
      <c r="BY170" s="49" t="str">
        <f t="shared" si="765"/>
        <v/>
      </c>
      <c r="BZ170" s="23">
        <f t="shared" si="803"/>
        <v>0</v>
      </c>
      <c r="CA170" s="49" t="str">
        <f t="shared" si="766"/>
        <v/>
      </c>
      <c r="CB170" s="52" t="str">
        <f t="shared" si="804"/>
        <v/>
      </c>
      <c r="CC170" s="23">
        <f t="shared" si="805"/>
        <v>0</v>
      </c>
      <c r="CD170" s="49" t="str">
        <f t="shared" si="767"/>
        <v/>
      </c>
      <c r="CE170" s="56" t="str">
        <f>IF(CF170="","",MAX(CE$10:$CE169)+1)</f>
        <v/>
      </c>
      <c r="CF170" t="str">
        <f t="shared" si="806"/>
        <v/>
      </c>
      <c r="CG170" s="22" t="str">
        <f>IF(CH170="","",MAX($CG$10:CG169)+1)</f>
        <v/>
      </c>
      <c r="CH170" s="22" t="str">
        <f t="shared" si="751"/>
        <v/>
      </c>
      <c r="CI170" s="22" t="str">
        <f>IF(CJ170="","",MAX($CI$10:CI169)+1)</f>
        <v/>
      </c>
      <c r="CJ170" s="22" t="str">
        <f t="shared" si="752"/>
        <v/>
      </c>
    </row>
    <row r="171" spans="2:88" x14ac:dyDescent="0.25">
      <c r="B171" s="37"/>
      <c r="C171" s="3"/>
      <c r="D171" s="77" t="str">
        <f t="shared" si="738"/>
        <v/>
      </c>
      <c r="E171" s="38"/>
      <c r="F171" s="38"/>
      <c r="G171" s="78">
        <f t="shared" si="753"/>
        <v>0</v>
      </c>
      <c r="H171" s="3">
        <v>80</v>
      </c>
      <c r="I171" s="77" t="str">
        <f t="shared" si="739"/>
        <v/>
      </c>
      <c r="J171" s="32"/>
      <c r="K171" s="3"/>
      <c r="L171" s="39"/>
      <c r="M171" s="39"/>
      <c r="N171" s="39"/>
      <c r="O171" s="39"/>
      <c r="P171" s="39"/>
      <c r="Q171" s="39"/>
      <c r="R171" s="39"/>
      <c r="S171" s="39"/>
      <c r="T171" s="3" t="s">
        <v>645</v>
      </c>
      <c r="U171" s="77" t="str">
        <f t="shared" si="740"/>
        <v/>
      </c>
      <c r="V171" s="39">
        <v>1</v>
      </c>
      <c r="W171" s="79">
        <f t="shared" si="754"/>
        <v>0</v>
      </c>
      <c r="X171" s="3">
        <v>0</v>
      </c>
      <c r="Y171" s="77" t="str">
        <f t="shared" si="741"/>
        <v/>
      </c>
      <c r="Z171" s="3"/>
      <c r="AA171" s="37" t="str">
        <f t="shared" si="755"/>
        <v/>
      </c>
      <c r="AC171" s="40"/>
      <c r="AD171" s="7"/>
      <c r="AE171" s="77" t="str">
        <f t="shared" si="742"/>
        <v/>
      </c>
      <c r="AF171" s="81">
        <f t="shared" si="768"/>
        <v>0</v>
      </c>
      <c r="AG171" s="40"/>
      <c r="AH171" s="7"/>
      <c r="AI171" s="77" t="str">
        <f t="shared" si="743"/>
        <v/>
      </c>
      <c r="AJ171" s="81">
        <f t="shared" si="769"/>
        <v>0</v>
      </c>
      <c r="AK171" s="83">
        <f t="shared" si="770"/>
        <v>0</v>
      </c>
      <c r="AL171" s="83">
        <f t="shared" si="771"/>
        <v>0</v>
      </c>
      <c r="AN171" s="43">
        <f t="shared" si="744"/>
        <v>0</v>
      </c>
      <c r="AP171" t="str">
        <f t="shared" si="772"/>
        <v/>
      </c>
      <c r="AQ171" t="str">
        <f t="shared" si="773"/>
        <v/>
      </c>
      <c r="AR171" t="str">
        <f t="shared" si="774"/>
        <v/>
      </c>
      <c r="AS171" t="str">
        <f t="shared" si="775"/>
        <v/>
      </c>
      <c r="AT171" t="str">
        <f t="shared" si="776"/>
        <v/>
      </c>
      <c r="AU171" t="str">
        <f t="shared" si="777"/>
        <v/>
      </c>
      <c r="AV171" t="str">
        <f t="shared" si="778"/>
        <v/>
      </c>
      <c r="AW171" t="str">
        <f t="shared" si="779"/>
        <v xml:space="preserve">                              </v>
      </c>
      <c r="AX171" s="23">
        <f t="shared" si="780"/>
        <v>0</v>
      </c>
      <c r="AY171" s="49" t="str">
        <f t="shared" si="756"/>
        <v>000000000000000</v>
      </c>
      <c r="AZ171" s="23">
        <f t="shared" si="781"/>
        <v>0</v>
      </c>
      <c r="BA171" s="49" t="str">
        <f t="shared" si="756"/>
        <v>000000000000000</v>
      </c>
      <c r="BB171" s="23">
        <f t="shared" si="782"/>
        <v>0</v>
      </c>
      <c r="BC171" s="49" t="str">
        <f t="shared" ref="BC171" si="975">IF(BB171&lt;0,SUBSTITUTE(TEXT(BB171,"000000000000,00"),",",""),SUBSTITUTE(TEXT(BB171,"0000000000000,00"),",",""))</f>
        <v>000000000000000</v>
      </c>
      <c r="BD171" s="23">
        <f t="shared" si="784"/>
        <v>0</v>
      </c>
      <c r="BE171" s="49" t="str">
        <f t="shared" ref="BE171" si="976">IF(BD171&lt;0,SUBSTITUTE(TEXT(BD171,"000000000000,00"),",",""),SUBSTITUTE(TEXT(BD171,"0000000000000,00"),",",""))</f>
        <v>000000000000000</v>
      </c>
      <c r="BF171" s="23">
        <f t="shared" si="786"/>
        <v>0</v>
      </c>
      <c r="BG171" s="49" t="str">
        <f t="shared" ref="BG171" si="977">IF(BF171&lt;0,SUBSTITUTE(TEXT(BF171,"000000000000,00"),",",""),SUBSTITUTE(TEXT(BF171,"0000000000000,00"),",",""))</f>
        <v>000000000000000</v>
      </c>
      <c r="BH171" s="23">
        <f t="shared" si="788"/>
        <v>0</v>
      </c>
      <c r="BI171" s="49" t="str">
        <f t="shared" ref="BI171" si="978">IF(BH171&lt;0,SUBSTITUTE(TEXT(BH171,"000000000000,00"),",",""),SUBSTITUTE(TEXT(BH171,"0000000000000,00"),",",""))</f>
        <v>000000000000000</v>
      </c>
      <c r="BJ171" s="23">
        <f t="shared" si="790"/>
        <v>0</v>
      </c>
      <c r="BK171" s="49" t="str">
        <f t="shared" ref="BK171" si="979">IF(BJ171&lt;0,SUBSTITUTE(TEXT(BJ171,"000000000000,00"),",",""),SUBSTITUTE(TEXT(BJ171,"0000000000000,00"),",",""))</f>
        <v>000000000000000</v>
      </c>
      <c r="BL171" s="23">
        <f t="shared" si="792"/>
        <v>0</v>
      </c>
      <c r="BM171" s="49" t="str">
        <f t="shared" ref="BM171" si="980">IF(BL171&lt;0,SUBSTITUTE(TEXT(BL171,"000000000000,00"),",",""),SUBSTITUTE(TEXT(BL171,"0000000000000,00"),",",""))</f>
        <v>000000000000000</v>
      </c>
      <c r="BN171" t="str">
        <f t="shared" si="794"/>
        <v>PES</v>
      </c>
      <c r="BO171" t="str">
        <f t="shared" si="795"/>
        <v>0001000000</v>
      </c>
      <c r="BP171">
        <f t="shared" si="796"/>
        <v>0</v>
      </c>
      <c r="BQ171">
        <f t="shared" si="797"/>
        <v>0</v>
      </c>
      <c r="BR171" s="23">
        <f t="shared" si="798"/>
        <v>0</v>
      </c>
      <c r="BS171" s="49" t="str">
        <f t="shared" si="763"/>
        <v>000000000000000</v>
      </c>
      <c r="BT171" t="str">
        <f t="shared" si="799"/>
        <v>00000000</v>
      </c>
      <c r="BU171" s="23">
        <f t="shared" si="800"/>
        <v>0</v>
      </c>
      <c r="BV171" s="49" t="str">
        <f t="shared" si="764"/>
        <v/>
      </c>
      <c r="BW171" s="52" t="str">
        <f t="shared" si="801"/>
        <v/>
      </c>
      <c r="BX171" s="23">
        <f t="shared" si="802"/>
        <v>0</v>
      </c>
      <c r="BY171" s="49" t="str">
        <f t="shared" si="765"/>
        <v/>
      </c>
      <c r="BZ171" s="23">
        <f t="shared" si="803"/>
        <v>0</v>
      </c>
      <c r="CA171" s="49" t="str">
        <f t="shared" si="766"/>
        <v/>
      </c>
      <c r="CB171" s="52" t="str">
        <f t="shared" si="804"/>
        <v/>
      </c>
      <c r="CC171" s="23">
        <f t="shared" si="805"/>
        <v>0</v>
      </c>
      <c r="CD171" s="49" t="str">
        <f t="shared" si="767"/>
        <v/>
      </c>
      <c r="CE171" s="56" t="str">
        <f>IF(CF171="","",MAX(CE$10:$CE170)+1)</f>
        <v/>
      </c>
      <c r="CF171" t="str">
        <f t="shared" si="806"/>
        <v/>
      </c>
      <c r="CG171" s="22" t="str">
        <f>IF(CH171="","",MAX($CG$10:CG170)+1)</f>
        <v/>
      </c>
      <c r="CH171" s="22" t="str">
        <f t="shared" si="751"/>
        <v/>
      </c>
      <c r="CI171" s="22" t="str">
        <f>IF(CJ171="","",MAX($CI$10:CI170)+1)</f>
        <v/>
      </c>
      <c r="CJ171" s="22" t="str">
        <f t="shared" si="752"/>
        <v/>
      </c>
    </row>
    <row r="172" spans="2:88" x14ac:dyDescent="0.25">
      <c r="B172" s="37"/>
      <c r="C172" s="3"/>
      <c r="D172" s="77" t="str">
        <f t="shared" si="738"/>
        <v/>
      </c>
      <c r="E172" s="38"/>
      <c r="F172" s="38"/>
      <c r="G172" s="78">
        <f t="shared" si="753"/>
        <v>0</v>
      </c>
      <c r="H172" s="3">
        <v>80</v>
      </c>
      <c r="I172" s="77" t="str">
        <f t="shared" si="739"/>
        <v/>
      </c>
      <c r="J172" s="32"/>
      <c r="K172" s="3"/>
      <c r="L172" s="39"/>
      <c r="M172" s="39"/>
      <c r="N172" s="39"/>
      <c r="O172" s="39"/>
      <c r="P172" s="39"/>
      <c r="Q172" s="39"/>
      <c r="R172" s="39"/>
      <c r="S172" s="39"/>
      <c r="T172" s="3" t="s">
        <v>645</v>
      </c>
      <c r="U172" s="77" t="str">
        <f t="shared" si="740"/>
        <v/>
      </c>
      <c r="V172" s="39">
        <v>1</v>
      </c>
      <c r="W172" s="79">
        <f t="shared" si="754"/>
        <v>0</v>
      </c>
      <c r="X172" s="3">
        <v>0</v>
      </c>
      <c r="Y172" s="77" t="str">
        <f t="shared" si="741"/>
        <v/>
      </c>
      <c r="Z172" s="3"/>
      <c r="AA172" s="37" t="str">
        <f t="shared" si="755"/>
        <v/>
      </c>
      <c r="AC172" s="40"/>
      <c r="AD172" s="7"/>
      <c r="AE172" s="77" t="str">
        <f t="shared" si="742"/>
        <v/>
      </c>
      <c r="AF172" s="81">
        <f t="shared" si="768"/>
        <v>0</v>
      </c>
      <c r="AG172" s="40"/>
      <c r="AH172" s="7"/>
      <c r="AI172" s="77" t="str">
        <f t="shared" si="743"/>
        <v/>
      </c>
      <c r="AJ172" s="81">
        <f t="shared" si="769"/>
        <v>0</v>
      </c>
      <c r="AK172" s="83">
        <f t="shared" si="770"/>
        <v>0</v>
      </c>
      <c r="AL172" s="83">
        <f t="shared" si="771"/>
        <v>0</v>
      </c>
      <c r="AN172" s="43">
        <f t="shared" si="744"/>
        <v>0</v>
      </c>
      <c r="AP172" t="str">
        <f t="shared" si="772"/>
        <v/>
      </c>
      <c r="AQ172" t="str">
        <f t="shared" si="773"/>
        <v/>
      </c>
      <c r="AR172" t="str">
        <f t="shared" si="774"/>
        <v/>
      </c>
      <c r="AS172" t="str">
        <f t="shared" si="775"/>
        <v/>
      </c>
      <c r="AT172" t="str">
        <f t="shared" si="776"/>
        <v/>
      </c>
      <c r="AU172" t="str">
        <f t="shared" si="777"/>
        <v/>
      </c>
      <c r="AV172" t="str">
        <f t="shared" si="778"/>
        <v/>
      </c>
      <c r="AW172" t="str">
        <f t="shared" si="779"/>
        <v xml:space="preserve">                              </v>
      </c>
      <c r="AX172" s="23">
        <f t="shared" si="780"/>
        <v>0</v>
      </c>
      <c r="AY172" s="49" t="str">
        <f t="shared" si="756"/>
        <v>000000000000000</v>
      </c>
      <c r="AZ172" s="23">
        <f t="shared" si="781"/>
        <v>0</v>
      </c>
      <c r="BA172" s="49" t="str">
        <f t="shared" si="756"/>
        <v>000000000000000</v>
      </c>
      <c r="BB172" s="23">
        <f t="shared" si="782"/>
        <v>0</v>
      </c>
      <c r="BC172" s="49" t="str">
        <f t="shared" ref="BC172" si="981">IF(BB172&lt;0,SUBSTITUTE(TEXT(BB172,"000000000000,00"),",",""),SUBSTITUTE(TEXT(BB172,"0000000000000,00"),",",""))</f>
        <v>000000000000000</v>
      </c>
      <c r="BD172" s="23">
        <f t="shared" si="784"/>
        <v>0</v>
      </c>
      <c r="BE172" s="49" t="str">
        <f t="shared" ref="BE172" si="982">IF(BD172&lt;0,SUBSTITUTE(TEXT(BD172,"000000000000,00"),",",""),SUBSTITUTE(TEXT(BD172,"0000000000000,00"),",",""))</f>
        <v>000000000000000</v>
      </c>
      <c r="BF172" s="23">
        <f t="shared" si="786"/>
        <v>0</v>
      </c>
      <c r="BG172" s="49" t="str">
        <f t="shared" ref="BG172" si="983">IF(BF172&lt;0,SUBSTITUTE(TEXT(BF172,"000000000000,00"),",",""),SUBSTITUTE(TEXT(BF172,"0000000000000,00"),",",""))</f>
        <v>000000000000000</v>
      </c>
      <c r="BH172" s="23">
        <f t="shared" si="788"/>
        <v>0</v>
      </c>
      <c r="BI172" s="49" t="str">
        <f t="shared" ref="BI172" si="984">IF(BH172&lt;0,SUBSTITUTE(TEXT(BH172,"000000000000,00"),",",""),SUBSTITUTE(TEXT(BH172,"0000000000000,00"),",",""))</f>
        <v>000000000000000</v>
      </c>
      <c r="BJ172" s="23">
        <f t="shared" si="790"/>
        <v>0</v>
      </c>
      <c r="BK172" s="49" t="str">
        <f t="shared" ref="BK172" si="985">IF(BJ172&lt;0,SUBSTITUTE(TEXT(BJ172,"000000000000,00"),",",""),SUBSTITUTE(TEXT(BJ172,"0000000000000,00"),",",""))</f>
        <v>000000000000000</v>
      </c>
      <c r="BL172" s="23">
        <f t="shared" si="792"/>
        <v>0</v>
      </c>
      <c r="BM172" s="49" t="str">
        <f t="shared" ref="BM172" si="986">IF(BL172&lt;0,SUBSTITUTE(TEXT(BL172,"000000000000,00"),",",""),SUBSTITUTE(TEXT(BL172,"0000000000000,00"),",",""))</f>
        <v>000000000000000</v>
      </c>
      <c r="BN172" t="str">
        <f t="shared" si="794"/>
        <v>PES</v>
      </c>
      <c r="BO172" t="str">
        <f t="shared" si="795"/>
        <v>0001000000</v>
      </c>
      <c r="BP172">
        <f t="shared" si="796"/>
        <v>0</v>
      </c>
      <c r="BQ172">
        <f t="shared" si="797"/>
        <v>0</v>
      </c>
      <c r="BR172" s="23">
        <f t="shared" si="798"/>
        <v>0</v>
      </c>
      <c r="BS172" s="49" t="str">
        <f t="shared" si="763"/>
        <v>000000000000000</v>
      </c>
      <c r="BT172" t="str">
        <f t="shared" si="799"/>
        <v>00000000</v>
      </c>
      <c r="BU172" s="23">
        <f t="shared" si="800"/>
        <v>0</v>
      </c>
      <c r="BV172" s="49" t="str">
        <f t="shared" si="764"/>
        <v/>
      </c>
      <c r="BW172" s="52" t="str">
        <f t="shared" si="801"/>
        <v/>
      </c>
      <c r="BX172" s="23">
        <f t="shared" si="802"/>
        <v>0</v>
      </c>
      <c r="BY172" s="49" t="str">
        <f t="shared" si="765"/>
        <v/>
      </c>
      <c r="BZ172" s="23">
        <f t="shared" si="803"/>
        <v>0</v>
      </c>
      <c r="CA172" s="49" t="str">
        <f t="shared" si="766"/>
        <v/>
      </c>
      <c r="CB172" s="52" t="str">
        <f t="shared" si="804"/>
        <v/>
      </c>
      <c r="CC172" s="23">
        <f t="shared" si="805"/>
        <v>0</v>
      </c>
      <c r="CD172" s="49" t="str">
        <f t="shared" si="767"/>
        <v/>
      </c>
      <c r="CE172" s="56" t="str">
        <f>IF(CF172="","",MAX(CE$10:$CE171)+1)</f>
        <v/>
      </c>
      <c r="CF172" t="str">
        <f t="shared" si="806"/>
        <v/>
      </c>
      <c r="CG172" s="22" t="str">
        <f>IF(CH172="","",MAX($CG$10:CG171)+1)</f>
        <v/>
      </c>
      <c r="CH172" s="22" t="str">
        <f t="shared" si="751"/>
        <v/>
      </c>
      <c r="CI172" s="22" t="str">
        <f>IF(CJ172="","",MAX($CI$10:CI171)+1)</f>
        <v/>
      </c>
      <c r="CJ172" s="22" t="str">
        <f t="shared" si="752"/>
        <v/>
      </c>
    </row>
    <row r="173" spans="2:88" x14ac:dyDescent="0.25">
      <c r="B173" s="37"/>
      <c r="C173" s="3"/>
      <c r="D173" s="77" t="str">
        <f t="shared" si="738"/>
        <v/>
      </c>
      <c r="E173" s="38"/>
      <c r="F173" s="38"/>
      <c r="G173" s="78">
        <f t="shared" si="753"/>
        <v>0</v>
      </c>
      <c r="H173" s="3">
        <v>80</v>
      </c>
      <c r="I173" s="77" t="str">
        <f t="shared" si="739"/>
        <v/>
      </c>
      <c r="J173" s="32"/>
      <c r="K173" s="3"/>
      <c r="L173" s="39"/>
      <c r="M173" s="39"/>
      <c r="N173" s="39"/>
      <c r="O173" s="39"/>
      <c r="P173" s="39"/>
      <c r="Q173" s="39"/>
      <c r="R173" s="39"/>
      <c r="S173" s="39"/>
      <c r="T173" s="3" t="s">
        <v>645</v>
      </c>
      <c r="U173" s="77" t="str">
        <f t="shared" si="740"/>
        <v/>
      </c>
      <c r="V173" s="39">
        <v>1</v>
      </c>
      <c r="W173" s="79">
        <f t="shared" si="754"/>
        <v>0</v>
      </c>
      <c r="X173" s="3">
        <v>0</v>
      </c>
      <c r="Y173" s="77" t="str">
        <f t="shared" si="741"/>
        <v/>
      </c>
      <c r="Z173" s="3"/>
      <c r="AA173" s="37" t="str">
        <f t="shared" si="755"/>
        <v/>
      </c>
      <c r="AC173" s="40"/>
      <c r="AD173" s="7"/>
      <c r="AE173" s="77" t="str">
        <f t="shared" si="742"/>
        <v/>
      </c>
      <c r="AF173" s="81">
        <f t="shared" si="768"/>
        <v>0</v>
      </c>
      <c r="AG173" s="40"/>
      <c r="AH173" s="7"/>
      <c r="AI173" s="77" t="str">
        <f t="shared" si="743"/>
        <v/>
      </c>
      <c r="AJ173" s="81">
        <f t="shared" si="769"/>
        <v>0</v>
      </c>
      <c r="AK173" s="83">
        <f t="shared" si="770"/>
        <v>0</v>
      </c>
      <c r="AL173" s="83">
        <f t="shared" si="771"/>
        <v>0</v>
      </c>
      <c r="AN173" s="43">
        <f t="shared" si="744"/>
        <v>0</v>
      </c>
      <c r="AP173" t="str">
        <f t="shared" si="772"/>
        <v/>
      </c>
      <c r="AQ173" t="str">
        <f t="shared" si="773"/>
        <v/>
      </c>
      <c r="AR173" t="str">
        <f t="shared" si="774"/>
        <v/>
      </c>
      <c r="AS173" t="str">
        <f t="shared" si="775"/>
        <v/>
      </c>
      <c r="AT173" t="str">
        <f t="shared" si="776"/>
        <v/>
      </c>
      <c r="AU173" t="str">
        <f t="shared" si="777"/>
        <v/>
      </c>
      <c r="AV173" t="str">
        <f t="shared" si="778"/>
        <v/>
      </c>
      <c r="AW173" t="str">
        <f t="shared" si="779"/>
        <v xml:space="preserve">                              </v>
      </c>
      <c r="AX173" s="23">
        <f t="shared" si="780"/>
        <v>0</v>
      </c>
      <c r="AY173" s="49" t="str">
        <f t="shared" si="756"/>
        <v>000000000000000</v>
      </c>
      <c r="AZ173" s="23">
        <f t="shared" si="781"/>
        <v>0</v>
      </c>
      <c r="BA173" s="49" t="str">
        <f t="shared" si="756"/>
        <v>000000000000000</v>
      </c>
      <c r="BB173" s="23">
        <f t="shared" si="782"/>
        <v>0</v>
      </c>
      <c r="BC173" s="49" t="str">
        <f t="shared" ref="BC173" si="987">IF(BB173&lt;0,SUBSTITUTE(TEXT(BB173,"000000000000,00"),",",""),SUBSTITUTE(TEXT(BB173,"0000000000000,00"),",",""))</f>
        <v>000000000000000</v>
      </c>
      <c r="BD173" s="23">
        <f t="shared" si="784"/>
        <v>0</v>
      </c>
      <c r="BE173" s="49" t="str">
        <f t="shared" ref="BE173" si="988">IF(BD173&lt;0,SUBSTITUTE(TEXT(BD173,"000000000000,00"),",",""),SUBSTITUTE(TEXT(BD173,"0000000000000,00"),",",""))</f>
        <v>000000000000000</v>
      </c>
      <c r="BF173" s="23">
        <f t="shared" si="786"/>
        <v>0</v>
      </c>
      <c r="BG173" s="49" t="str">
        <f t="shared" ref="BG173" si="989">IF(BF173&lt;0,SUBSTITUTE(TEXT(BF173,"000000000000,00"),",",""),SUBSTITUTE(TEXT(BF173,"0000000000000,00"),",",""))</f>
        <v>000000000000000</v>
      </c>
      <c r="BH173" s="23">
        <f t="shared" si="788"/>
        <v>0</v>
      </c>
      <c r="BI173" s="49" t="str">
        <f t="shared" ref="BI173" si="990">IF(BH173&lt;0,SUBSTITUTE(TEXT(BH173,"000000000000,00"),",",""),SUBSTITUTE(TEXT(BH173,"0000000000000,00"),",",""))</f>
        <v>000000000000000</v>
      </c>
      <c r="BJ173" s="23">
        <f t="shared" si="790"/>
        <v>0</v>
      </c>
      <c r="BK173" s="49" t="str">
        <f t="shared" ref="BK173" si="991">IF(BJ173&lt;0,SUBSTITUTE(TEXT(BJ173,"000000000000,00"),",",""),SUBSTITUTE(TEXT(BJ173,"0000000000000,00"),",",""))</f>
        <v>000000000000000</v>
      </c>
      <c r="BL173" s="23">
        <f t="shared" si="792"/>
        <v>0</v>
      </c>
      <c r="BM173" s="49" t="str">
        <f t="shared" ref="BM173" si="992">IF(BL173&lt;0,SUBSTITUTE(TEXT(BL173,"000000000000,00"),",",""),SUBSTITUTE(TEXT(BL173,"0000000000000,00"),",",""))</f>
        <v>000000000000000</v>
      </c>
      <c r="BN173" t="str">
        <f t="shared" si="794"/>
        <v>PES</v>
      </c>
      <c r="BO173" t="str">
        <f t="shared" si="795"/>
        <v>0001000000</v>
      </c>
      <c r="BP173">
        <f t="shared" si="796"/>
        <v>0</v>
      </c>
      <c r="BQ173">
        <f t="shared" si="797"/>
        <v>0</v>
      </c>
      <c r="BR173" s="23">
        <f t="shared" si="798"/>
        <v>0</v>
      </c>
      <c r="BS173" s="49" t="str">
        <f t="shared" si="763"/>
        <v>000000000000000</v>
      </c>
      <c r="BT173" t="str">
        <f t="shared" si="799"/>
        <v>00000000</v>
      </c>
      <c r="BU173" s="23">
        <f t="shared" si="800"/>
        <v>0</v>
      </c>
      <c r="BV173" s="49" t="str">
        <f t="shared" si="764"/>
        <v/>
      </c>
      <c r="BW173" s="52" t="str">
        <f t="shared" si="801"/>
        <v/>
      </c>
      <c r="BX173" s="23">
        <f t="shared" si="802"/>
        <v>0</v>
      </c>
      <c r="BY173" s="49" t="str">
        <f t="shared" si="765"/>
        <v/>
      </c>
      <c r="BZ173" s="23">
        <f t="shared" si="803"/>
        <v>0</v>
      </c>
      <c r="CA173" s="49" t="str">
        <f t="shared" si="766"/>
        <v/>
      </c>
      <c r="CB173" s="52" t="str">
        <f t="shared" si="804"/>
        <v/>
      </c>
      <c r="CC173" s="23">
        <f t="shared" si="805"/>
        <v>0</v>
      </c>
      <c r="CD173" s="49" t="str">
        <f t="shared" si="767"/>
        <v/>
      </c>
      <c r="CE173" s="56" t="str">
        <f>IF(CF173="","",MAX(CE$10:$CE172)+1)</f>
        <v/>
      </c>
      <c r="CF173" t="str">
        <f t="shared" si="806"/>
        <v/>
      </c>
      <c r="CG173" s="22" t="str">
        <f>IF(CH173="","",MAX($CG$10:CG172)+1)</f>
        <v/>
      </c>
      <c r="CH173" s="22" t="str">
        <f t="shared" si="751"/>
        <v/>
      </c>
      <c r="CI173" s="22" t="str">
        <f>IF(CJ173="","",MAX($CI$10:CI172)+1)</f>
        <v/>
      </c>
      <c r="CJ173" s="22" t="str">
        <f t="shared" si="752"/>
        <v/>
      </c>
    </row>
    <row r="174" spans="2:88" x14ac:dyDescent="0.25">
      <c r="B174" s="37"/>
      <c r="C174" s="3"/>
      <c r="D174" s="77" t="str">
        <f t="shared" si="738"/>
        <v/>
      </c>
      <c r="E174" s="38"/>
      <c r="F174" s="38"/>
      <c r="G174" s="78">
        <f t="shared" si="753"/>
        <v>0</v>
      </c>
      <c r="H174" s="3">
        <v>80</v>
      </c>
      <c r="I174" s="77" t="str">
        <f t="shared" si="739"/>
        <v/>
      </c>
      <c r="J174" s="32"/>
      <c r="K174" s="3"/>
      <c r="L174" s="39"/>
      <c r="M174" s="39"/>
      <c r="N174" s="39"/>
      <c r="O174" s="39"/>
      <c r="P174" s="39"/>
      <c r="Q174" s="39"/>
      <c r="R174" s="39"/>
      <c r="S174" s="39"/>
      <c r="T174" s="3" t="s">
        <v>645</v>
      </c>
      <c r="U174" s="77" t="str">
        <f t="shared" si="740"/>
        <v/>
      </c>
      <c r="V174" s="39">
        <v>1</v>
      </c>
      <c r="W174" s="79">
        <f t="shared" si="754"/>
        <v>0</v>
      </c>
      <c r="X174" s="3">
        <v>0</v>
      </c>
      <c r="Y174" s="77" t="str">
        <f t="shared" si="741"/>
        <v/>
      </c>
      <c r="Z174" s="3"/>
      <c r="AA174" s="37" t="str">
        <f t="shared" si="755"/>
        <v/>
      </c>
      <c r="AC174" s="40"/>
      <c r="AD174" s="7"/>
      <c r="AE174" s="77" t="str">
        <f t="shared" si="742"/>
        <v/>
      </c>
      <c r="AF174" s="81">
        <f t="shared" si="768"/>
        <v>0</v>
      </c>
      <c r="AG174" s="40"/>
      <c r="AH174" s="7"/>
      <c r="AI174" s="77" t="str">
        <f t="shared" si="743"/>
        <v/>
      </c>
      <c r="AJ174" s="81">
        <f t="shared" si="769"/>
        <v>0</v>
      </c>
      <c r="AK174" s="83">
        <f t="shared" si="770"/>
        <v>0</v>
      </c>
      <c r="AL174" s="83">
        <f t="shared" si="771"/>
        <v>0</v>
      </c>
      <c r="AN174" s="43">
        <f t="shared" si="744"/>
        <v>0</v>
      </c>
      <c r="AP174" t="str">
        <f t="shared" si="772"/>
        <v/>
      </c>
      <c r="AQ174" t="str">
        <f t="shared" si="773"/>
        <v/>
      </c>
      <c r="AR174" t="str">
        <f t="shared" si="774"/>
        <v/>
      </c>
      <c r="AS174" t="str">
        <f t="shared" si="775"/>
        <v/>
      </c>
      <c r="AT174" t="str">
        <f t="shared" si="776"/>
        <v/>
      </c>
      <c r="AU174" t="str">
        <f t="shared" si="777"/>
        <v/>
      </c>
      <c r="AV174" t="str">
        <f t="shared" si="778"/>
        <v/>
      </c>
      <c r="AW174" t="str">
        <f t="shared" si="779"/>
        <v xml:space="preserve">                              </v>
      </c>
      <c r="AX174" s="23">
        <f t="shared" si="780"/>
        <v>0</v>
      </c>
      <c r="AY174" s="49" t="str">
        <f t="shared" si="756"/>
        <v>000000000000000</v>
      </c>
      <c r="AZ174" s="23">
        <f t="shared" si="781"/>
        <v>0</v>
      </c>
      <c r="BA174" s="49" t="str">
        <f t="shared" si="756"/>
        <v>000000000000000</v>
      </c>
      <c r="BB174" s="23">
        <f t="shared" si="782"/>
        <v>0</v>
      </c>
      <c r="BC174" s="49" t="str">
        <f t="shared" ref="BC174" si="993">IF(BB174&lt;0,SUBSTITUTE(TEXT(BB174,"000000000000,00"),",",""),SUBSTITUTE(TEXT(BB174,"0000000000000,00"),",",""))</f>
        <v>000000000000000</v>
      </c>
      <c r="BD174" s="23">
        <f t="shared" si="784"/>
        <v>0</v>
      </c>
      <c r="BE174" s="49" t="str">
        <f t="shared" ref="BE174" si="994">IF(BD174&lt;0,SUBSTITUTE(TEXT(BD174,"000000000000,00"),",",""),SUBSTITUTE(TEXT(BD174,"0000000000000,00"),",",""))</f>
        <v>000000000000000</v>
      </c>
      <c r="BF174" s="23">
        <f t="shared" si="786"/>
        <v>0</v>
      </c>
      <c r="BG174" s="49" t="str">
        <f t="shared" ref="BG174" si="995">IF(BF174&lt;0,SUBSTITUTE(TEXT(BF174,"000000000000,00"),",",""),SUBSTITUTE(TEXT(BF174,"0000000000000,00"),",",""))</f>
        <v>000000000000000</v>
      </c>
      <c r="BH174" s="23">
        <f t="shared" si="788"/>
        <v>0</v>
      </c>
      <c r="BI174" s="49" t="str">
        <f t="shared" ref="BI174" si="996">IF(BH174&lt;0,SUBSTITUTE(TEXT(BH174,"000000000000,00"),",",""),SUBSTITUTE(TEXT(BH174,"0000000000000,00"),",",""))</f>
        <v>000000000000000</v>
      </c>
      <c r="BJ174" s="23">
        <f t="shared" si="790"/>
        <v>0</v>
      </c>
      <c r="BK174" s="49" t="str">
        <f t="shared" ref="BK174" si="997">IF(BJ174&lt;0,SUBSTITUTE(TEXT(BJ174,"000000000000,00"),",",""),SUBSTITUTE(TEXT(BJ174,"0000000000000,00"),",",""))</f>
        <v>000000000000000</v>
      </c>
      <c r="BL174" s="23">
        <f t="shared" si="792"/>
        <v>0</v>
      </c>
      <c r="BM174" s="49" t="str">
        <f t="shared" ref="BM174" si="998">IF(BL174&lt;0,SUBSTITUTE(TEXT(BL174,"000000000000,00"),",",""),SUBSTITUTE(TEXT(BL174,"0000000000000,00"),",",""))</f>
        <v>000000000000000</v>
      </c>
      <c r="BN174" t="str">
        <f t="shared" si="794"/>
        <v>PES</v>
      </c>
      <c r="BO174" t="str">
        <f t="shared" si="795"/>
        <v>0001000000</v>
      </c>
      <c r="BP174">
        <f t="shared" si="796"/>
        <v>0</v>
      </c>
      <c r="BQ174">
        <f t="shared" si="797"/>
        <v>0</v>
      </c>
      <c r="BR174" s="23">
        <f t="shared" si="798"/>
        <v>0</v>
      </c>
      <c r="BS174" s="49" t="str">
        <f t="shared" si="763"/>
        <v>000000000000000</v>
      </c>
      <c r="BT174" t="str">
        <f t="shared" si="799"/>
        <v>00000000</v>
      </c>
      <c r="BU174" s="23">
        <f t="shared" si="800"/>
        <v>0</v>
      </c>
      <c r="BV174" s="49" t="str">
        <f t="shared" si="764"/>
        <v/>
      </c>
      <c r="BW174" s="52" t="str">
        <f t="shared" si="801"/>
        <v/>
      </c>
      <c r="BX174" s="23">
        <f t="shared" si="802"/>
        <v>0</v>
      </c>
      <c r="BY174" s="49" t="str">
        <f t="shared" si="765"/>
        <v/>
      </c>
      <c r="BZ174" s="23">
        <f t="shared" si="803"/>
        <v>0</v>
      </c>
      <c r="CA174" s="49" t="str">
        <f t="shared" si="766"/>
        <v/>
      </c>
      <c r="CB174" s="52" t="str">
        <f t="shared" si="804"/>
        <v/>
      </c>
      <c r="CC174" s="23">
        <f t="shared" si="805"/>
        <v>0</v>
      </c>
      <c r="CD174" s="49" t="str">
        <f t="shared" si="767"/>
        <v/>
      </c>
      <c r="CE174" s="56" t="str">
        <f>IF(CF174="","",MAX(CE$10:$CE173)+1)</f>
        <v/>
      </c>
      <c r="CF174" t="str">
        <f t="shared" si="806"/>
        <v/>
      </c>
      <c r="CG174" s="22" t="str">
        <f>IF(CH174="","",MAX($CG$10:CG173)+1)</f>
        <v/>
      </c>
      <c r="CH174" s="22" t="str">
        <f t="shared" si="751"/>
        <v/>
      </c>
      <c r="CI174" s="22" t="str">
        <f>IF(CJ174="","",MAX($CI$10:CI173)+1)</f>
        <v/>
      </c>
      <c r="CJ174" s="22" t="str">
        <f t="shared" si="752"/>
        <v/>
      </c>
    </row>
    <row r="175" spans="2:88" x14ac:dyDescent="0.25">
      <c r="B175" s="37"/>
      <c r="C175" s="3"/>
      <c r="D175" s="77" t="str">
        <f t="shared" si="738"/>
        <v/>
      </c>
      <c r="E175" s="38"/>
      <c r="F175" s="38"/>
      <c r="G175" s="78">
        <f t="shared" si="753"/>
        <v>0</v>
      </c>
      <c r="H175" s="3">
        <v>80</v>
      </c>
      <c r="I175" s="77" t="str">
        <f t="shared" si="739"/>
        <v/>
      </c>
      <c r="J175" s="32"/>
      <c r="K175" s="3"/>
      <c r="L175" s="39"/>
      <c r="M175" s="39"/>
      <c r="N175" s="39"/>
      <c r="O175" s="39"/>
      <c r="P175" s="39"/>
      <c r="Q175" s="39"/>
      <c r="R175" s="39"/>
      <c r="S175" s="39"/>
      <c r="T175" s="3" t="s">
        <v>645</v>
      </c>
      <c r="U175" s="77" t="str">
        <f t="shared" si="740"/>
        <v/>
      </c>
      <c r="V175" s="39">
        <v>1</v>
      </c>
      <c r="W175" s="79">
        <f t="shared" si="754"/>
        <v>0</v>
      </c>
      <c r="X175" s="3">
        <v>0</v>
      </c>
      <c r="Y175" s="77" t="str">
        <f t="shared" si="741"/>
        <v/>
      </c>
      <c r="Z175" s="3"/>
      <c r="AA175" s="37" t="str">
        <f t="shared" si="755"/>
        <v/>
      </c>
      <c r="AC175" s="40"/>
      <c r="AD175" s="7"/>
      <c r="AE175" s="77" t="str">
        <f t="shared" si="742"/>
        <v/>
      </c>
      <c r="AF175" s="81">
        <f t="shared" si="768"/>
        <v>0</v>
      </c>
      <c r="AG175" s="40"/>
      <c r="AH175" s="7"/>
      <c r="AI175" s="77" t="str">
        <f t="shared" si="743"/>
        <v/>
      </c>
      <c r="AJ175" s="81">
        <f t="shared" si="769"/>
        <v>0</v>
      </c>
      <c r="AK175" s="83">
        <f t="shared" si="770"/>
        <v>0</v>
      </c>
      <c r="AL175" s="83">
        <f t="shared" si="771"/>
        <v>0</v>
      </c>
      <c r="AN175" s="43">
        <f t="shared" si="744"/>
        <v>0</v>
      </c>
      <c r="AP175" t="str">
        <f t="shared" si="772"/>
        <v/>
      </c>
      <c r="AQ175" t="str">
        <f t="shared" si="773"/>
        <v/>
      </c>
      <c r="AR175" t="str">
        <f t="shared" si="774"/>
        <v/>
      </c>
      <c r="AS175" t="str">
        <f t="shared" si="775"/>
        <v/>
      </c>
      <c r="AT175" t="str">
        <f t="shared" si="776"/>
        <v/>
      </c>
      <c r="AU175" t="str">
        <f t="shared" si="777"/>
        <v/>
      </c>
      <c r="AV175" t="str">
        <f t="shared" si="778"/>
        <v/>
      </c>
      <c r="AW175" t="str">
        <f t="shared" si="779"/>
        <v xml:space="preserve">                              </v>
      </c>
      <c r="AX175" s="23">
        <f t="shared" si="780"/>
        <v>0</v>
      </c>
      <c r="AY175" s="49" t="str">
        <f t="shared" si="756"/>
        <v>000000000000000</v>
      </c>
      <c r="AZ175" s="23">
        <f t="shared" si="781"/>
        <v>0</v>
      </c>
      <c r="BA175" s="49" t="str">
        <f t="shared" si="756"/>
        <v>000000000000000</v>
      </c>
      <c r="BB175" s="23">
        <f t="shared" si="782"/>
        <v>0</v>
      </c>
      <c r="BC175" s="49" t="str">
        <f t="shared" ref="BC175" si="999">IF(BB175&lt;0,SUBSTITUTE(TEXT(BB175,"000000000000,00"),",",""),SUBSTITUTE(TEXT(BB175,"0000000000000,00"),",",""))</f>
        <v>000000000000000</v>
      </c>
      <c r="BD175" s="23">
        <f t="shared" si="784"/>
        <v>0</v>
      </c>
      <c r="BE175" s="49" t="str">
        <f t="shared" ref="BE175" si="1000">IF(BD175&lt;0,SUBSTITUTE(TEXT(BD175,"000000000000,00"),",",""),SUBSTITUTE(TEXT(BD175,"0000000000000,00"),",",""))</f>
        <v>000000000000000</v>
      </c>
      <c r="BF175" s="23">
        <f t="shared" si="786"/>
        <v>0</v>
      </c>
      <c r="BG175" s="49" t="str">
        <f t="shared" ref="BG175" si="1001">IF(BF175&lt;0,SUBSTITUTE(TEXT(BF175,"000000000000,00"),",",""),SUBSTITUTE(TEXT(BF175,"0000000000000,00"),",",""))</f>
        <v>000000000000000</v>
      </c>
      <c r="BH175" s="23">
        <f t="shared" si="788"/>
        <v>0</v>
      </c>
      <c r="BI175" s="49" t="str">
        <f t="shared" ref="BI175" si="1002">IF(BH175&lt;0,SUBSTITUTE(TEXT(BH175,"000000000000,00"),",",""),SUBSTITUTE(TEXT(BH175,"0000000000000,00"),",",""))</f>
        <v>000000000000000</v>
      </c>
      <c r="BJ175" s="23">
        <f t="shared" si="790"/>
        <v>0</v>
      </c>
      <c r="BK175" s="49" t="str">
        <f t="shared" ref="BK175" si="1003">IF(BJ175&lt;0,SUBSTITUTE(TEXT(BJ175,"000000000000,00"),",",""),SUBSTITUTE(TEXT(BJ175,"0000000000000,00"),",",""))</f>
        <v>000000000000000</v>
      </c>
      <c r="BL175" s="23">
        <f t="shared" si="792"/>
        <v>0</v>
      </c>
      <c r="BM175" s="49" t="str">
        <f t="shared" ref="BM175" si="1004">IF(BL175&lt;0,SUBSTITUTE(TEXT(BL175,"000000000000,00"),",",""),SUBSTITUTE(TEXT(BL175,"0000000000000,00"),",",""))</f>
        <v>000000000000000</v>
      </c>
      <c r="BN175" t="str">
        <f t="shared" si="794"/>
        <v>PES</v>
      </c>
      <c r="BO175" t="str">
        <f t="shared" si="795"/>
        <v>0001000000</v>
      </c>
      <c r="BP175">
        <f t="shared" si="796"/>
        <v>0</v>
      </c>
      <c r="BQ175">
        <f t="shared" si="797"/>
        <v>0</v>
      </c>
      <c r="BR175" s="23">
        <f t="shared" si="798"/>
        <v>0</v>
      </c>
      <c r="BS175" s="49" t="str">
        <f t="shared" si="763"/>
        <v>000000000000000</v>
      </c>
      <c r="BT175" t="str">
        <f t="shared" si="799"/>
        <v>00000000</v>
      </c>
      <c r="BU175" s="23">
        <f t="shared" si="800"/>
        <v>0</v>
      </c>
      <c r="BV175" s="49" t="str">
        <f t="shared" si="764"/>
        <v/>
      </c>
      <c r="BW175" s="52" t="str">
        <f t="shared" si="801"/>
        <v/>
      </c>
      <c r="BX175" s="23">
        <f t="shared" si="802"/>
        <v>0</v>
      </c>
      <c r="BY175" s="49" t="str">
        <f t="shared" si="765"/>
        <v/>
      </c>
      <c r="BZ175" s="23">
        <f t="shared" si="803"/>
        <v>0</v>
      </c>
      <c r="CA175" s="49" t="str">
        <f t="shared" si="766"/>
        <v/>
      </c>
      <c r="CB175" s="52" t="str">
        <f t="shared" si="804"/>
        <v/>
      </c>
      <c r="CC175" s="23">
        <f t="shared" si="805"/>
        <v>0</v>
      </c>
      <c r="CD175" s="49" t="str">
        <f t="shared" si="767"/>
        <v/>
      </c>
      <c r="CE175" s="56" t="str">
        <f>IF(CF175="","",MAX(CE$10:$CE174)+1)</f>
        <v/>
      </c>
      <c r="CF175" t="str">
        <f t="shared" si="806"/>
        <v/>
      </c>
      <c r="CG175" s="22" t="str">
        <f>IF(CH175="","",MAX($CG$10:CG174)+1)</f>
        <v/>
      </c>
      <c r="CH175" s="22" t="str">
        <f t="shared" si="751"/>
        <v/>
      </c>
      <c r="CI175" s="22" t="str">
        <f>IF(CJ175="","",MAX($CI$10:CI174)+1)</f>
        <v/>
      </c>
      <c r="CJ175" s="22" t="str">
        <f t="shared" si="752"/>
        <v/>
      </c>
    </row>
    <row r="176" spans="2:88" x14ac:dyDescent="0.25">
      <c r="B176" s="37"/>
      <c r="C176" s="3"/>
      <c r="D176" s="77" t="str">
        <f t="shared" si="738"/>
        <v/>
      </c>
      <c r="E176" s="38"/>
      <c r="F176" s="38"/>
      <c r="G176" s="78">
        <f t="shared" si="753"/>
        <v>0</v>
      </c>
      <c r="H176" s="3">
        <v>80</v>
      </c>
      <c r="I176" s="77" t="str">
        <f t="shared" si="739"/>
        <v/>
      </c>
      <c r="J176" s="32"/>
      <c r="K176" s="3"/>
      <c r="L176" s="39"/>
      <c r="M176" s="39"/>
      <c r="N176" s="39"/>
      <c r="O176" s="39"/>
      <c r="P176" s="39"/>
      <c r="Q176" s="39"/>
      <c r="R176" s="39"/>
      <c r="S176" s="39"/>
      <c r="T176" s="3" t="s">
        <v>645</v>
      </c>
      <c r="U176" s="77" t="str">
        <f t="shared" si="740"/>
        <v/>
      </c>
      <c r="V176" s="39">
        <v>1</v>
      </c>
      <c r="W176" s="79">
        <f t="shared" si="754"/>
        <v>0</v>
      </c>
      <c r="X176" s="3">
        <v>0</v>
      </c>
      <c r="Y176" s="77" t="str">
        <f t="shared" si="741"/>
        <v/>
      </c>
      <c r="Z176" s="3"/>
      <c r="AA176" s="37" t="str">
        <f t="shared" si="755"/>
        <v/>
      </c>
      <c r="AC176" s="40"/>
      <c r="AD176" s="7"/>
      <c r="AE176" s="77" t="str">
        <f t="shared" si="742"/>
        <v/>
      </c>
      <c r="AF176" s="81">
        <f t="shared" si="768"/>
        <v>0</v>
      </c>
      <c r="AG176" s="40"/>
      <c r="AH176" s="7"/>
      <c r="AI176" s="77" t="str">
        <f t="shared" si="743"/>
        <v/>
      </c>
      <c r="AJ176" s="81">
        <f t="shared" si="769"/>
        <v>0</v>
      </c>
      <c r="AK176" s="83">
        <f t="shared" si="770"/>
        <v>0</v>
      </c>
      <c r="AL176" s="83">
        <f t="shared" si="771"/>
        <v>0</v>
      </c>
      <c r="AN176" s="43">
        <f t="shared" si="744"/>
        <v>0</v>
      </c>
      <c r="AP176" t="str">
        <f t="shared" si="772"/>
        <v/>
      </c>
      <c r="AQ176" t="str">
        <f t="shared" si="773"/>
        <v/>
      </c>
      <c r="AR176" t="str">
        <f t="shared" si="774"/>
        <v/>
      </c>
      <c r="AS176" t="str">
        <f t="shared" si="775"/>
        <v/>
      </c>
      <c r="AT176" t="str">
        <f t="shared" si="776"/>
        <v/>
      </c>
      <c r="AU176" t="str">
        <f t="shared" si="777"/>
        <v/>
      </c>
      <c r="AV176" t="str">
        <f t="shared" si="778"/>
        <v/>
      </c>
      <c r="AW176" t="str">
        <f t="shared" si="779"/>
        <v xml:space="preserve">                              </v>
      </c>
      <c r="AX176" s="23">
        <f t="shared" si="780"/>
        <v>0</v>
      </c>
      <c r="AY176" s="49" t="str">
        <f t="shared" si="756"/>
        <v>000000000000000</v>
      </c>
      <c r="AZ176" s="23">
        <f t="shared" si="781"/>
        <v>0</v>
      </c>
      <c r="BA176" s="49" t="str">
        <f t="shared" si="756"/>
        <v>000000000000000</v>
      </c>
      <c r="BB176" s="23">
        <f t="shared" si="782"/>
        <v>0</v>
      </c>
      <c r="BC176" s="49" t="str">
        <f t="shared" ref="BC176" si="1005">IF(BB176&lt;0,SUBSTITUTE(TEXT(BB176,"000000000000,00"),",",""),SUBSTITUTE(TEXT(BB176,"0000000000000,00"),",",""))</f>
        <v>000000000000000</v>
      </c>
      <c r="BD176" s="23">
        <f t="shared" si="784"/>
        <v>0</v>
      </c>
      <c r="BE176" s="49" t="str">
        <f t="shared" ref="BE176" si="1006">IF(BD176&lt;0,SUBSTITUTE(TEXT(BD176,"000000000000,00"),",",""),SUBSTITUTE(TEXT(BD176,"0000000000000,00"),",",""))</f>
        <v>000000000000000</v>
      </c>
      <c r="BF176" s="23">
        <f t="shared" si="786"/>
        <v>0</v>
      </c>
      <c r="BG176" s="49" t="str">
        <f t="shared" ref="BG176" si="1007">IF(BF176&lt;0,SUBSTITUTE(TEXT(BF176,"000000000000,00"),",",""),SUBSTITUTE(TEXT(BF176,"0000000000000,00"),",",""))</f>
        <v>000000000000000</v>
      </c>
      <c r="BH176" s="23">
        <f t="shared" si="788"/>
        <v>0</v>
      </c>
      <c r="BI176" s="49" t="str">
        <f t="shared" ref="BI176" si="1008">IF(BH176&lt;0,SUBSTITUTE(TEXT(BH176,"000000000000,00"),",",""),SUBSTITUTE(TEXT(BH176,"0000000000000,00"),",",""))</f>
        <v>000000000000000</v>
      </c>
      <c r="BJ176" s="23">
        <f t="shared" si="790"/>
        <v>0</v>
      </c>
      <c r="BK176" s="49" t="str">
        <f t="shared" ref="BK176" si="1009">IF(BJ176&lt;0,SUBSTITUTE(TEXT(BJ176,"000000000000,00"),",",""),SUBSTITUTE(TEXT(BJ176,"0000000000000,00"),",",""))</f>
        <v>000000000000000</v>
      </c>
      <c r="BL176" s="23">
        <f t="shared" si="792"/>
        <v>0</v>
      </c>
      <c r="BM176" s="49" t="str">
        <f t="shared" ref="BM176" si="1010">IF(BL176&lt;0,SUBSTITUTE(TEXT(BL176,"000000000000,00"),",",""),SUBSTITUTE(TEXT(BL176,"0000000000000,00"),",",""))</f>
        <v>000000000000000</v>
      </c>
      <c r="BN176" t="str">
        <f t="shared" si="794"/>
        <v>PES</v>
      </c>
      <c r="BO176" t="str">
        <f t="shared" si="795"/>
        <v>0001000000</v>
      </c>
      <c r="BP176">
        <f t="shared" si="796"/>
        <v>0</v>
      </c>
      <c r="BQ176">
        <f t="shared" si="797"/>
        <v>0</v>
      </c>
      <c r="BR176" s="23">
        <f t="shared" si="798"/>
        <v>0</v>
      </c>
      <c r="BS176" s="49" t="str">
        <f t="shared" si="763"/>
        <v>000000000000000</v>
      </c>
      <c r="BT176" t="str">
        <f t="shared" si="799"/>
        <v>00000000</v>
      </c>
      <c r="BU176" s="23">
        <f t="shared" si="800"/>
        <v>0</v>
      </c>
      <c r="BV176" s="49" t="str">
        <f t="shared" si="764"/>
        <v/>
      </c>
      <c r="BW176" s="52" t="str">
        <f t="shared" si="801"/>
        <v/>
      </c>
      <c r="BX176" s="23">
        <f t="shared" si="802"/>
        <v>0</v>
      </c>
      <c r="BY176" s="49" t="str">
        <f t="shared" si="765"/>
        <v/>
      </c>
      <c r="BZ176" s="23">
        <f t="shared" si="803"/>
        <v>0</v>
      </c>
      <c r="CA176" s="49" t="str">
        <f t="shared" si="766"/>
        <v/>
      </c>
      <c r="CB176" s="52" t="str">
        <f t="shared" si="804"/>
        <v/>
      </c>
      <c r="CC176" s="23">
        <f t="shared" si="805"/>
        <v>0</v>
      </c>
      <c r="CD176" s="49" t="str">
        <f t="shared" si="767"/>
        <v/>
      </c>
      <c r="CE176" s="56" t="str">
        <f>IF(CF176="","",MAX(CE$10:$CE175)+1)</f>
        <v/>
      </c>
      <c r="CF176" t="str">
        <f t="shared" si="806"/>
        <v/>
      </c>
      <c r="CG176" s="22" t="str">
        <f>IF(CH176="","",MAX($CG$10:CG175)+1)</f>
        <v/>
      </c>
      <c r="CH176" s="22" t="str">
        <f t="shared" si="751"/>
        <v/>
      </c>
      <c r="CI176" s="22" t="str">
        <f>IF(CJ176="","",MAX($CI$10:CI175)+1)</f>
        <v/>
      </c>
      <c r="CJ176" s="22" t="str">
        <f t="shared" si="752"/>
        <v/>
      </c>
    </row>
    <row r="177" spans="2:88" x14ac:dyDescent="0.25">
      <c r="B177" s="37"/>
      <c r="C177" s="3"/>
      <c r="D177" s="77" t="str">
        <f t="shared" si="738"/>
        <v/>
      </c>
      <c r="E177" s="38"/>
      <c r="F177" s="38"/>
      <c r="G177" s="78">
        <f t="shared" si="753"/>
        <v>0</v>
      </c>
      <c r="H177" s="3">
        <v>80</v>
      </c>
      <c r="I177" s="77" t="str">
        <f t="shared" si="739"/>
        <v/>
      </c>
      <c r="J177" s="32"/>
      <c r="K177" s="3"/>
      <c r="L177" s="39"/>
      <c r="M177" s="39"/>
      <c r="N177" s="39"/>
      <c r="O177" s="39"/>
      <c r="P177" s="39"/>
      <c r="Q177" s="39"/>
      <c r="R177" s="39"/>
      <c r="S177" s="39"/>
      <c r="T177" s="3" t="s">
        <v>645</v>
      </c>
      <c r="U177" s="77" t="str">
        <f t="shared" si="740"/>
        <v/>
      </c>
      <c r="V177" s="39">
        <v>1</v>
      </c>
      <c r="W177" s="79">
        <f t="shared" si="754"/>
        <v>0</v>
      </c>
      <c r="X177" s="3">
        <v>0</v>
      </c>
      <c r="Y177" s="77" t="str">
        <f t="shared" si="741"/>
        <v/>
      </c>
      <c r="Z177" s="3"/>
      <c r="AA177" s="37" t="str">
        <f t="shared" si="755"/>
        <v/>
      </c>
      <c r="AC177" s="40"/>
      <c r="AD177" s="7"/>
      <c r="AE177" s="77" t="str">
        <f t="shared" si="742"/>
        <v/>
      </c>
      <c r="AF177" s="81">
        <f t="shared" si="768"/>
        <v>0</v>
      </c>
      <c r="AG177" s="40"/>
      <c r="AH177" s="7"/>
      <c r="AI177" s="77" t="str">
        <f t="shared" si="743"/>
        <v/>
      </c>
      <c r="AJ177" s="81">
        <f t="shared" si="769"/>
        <v>0</v>
      </c>
      <c r="AK177" s="83">
        <f t="shared" si="770"/>
        <v>0</v>
      </c>
      <c r="AL177" s="83">
        <f t="shared" si="771"/>
        <v>0</v>
      </c>
      <c r="AN177" s="43">
        <f t="shared" si="744"/>
        <v>0</v>
      </c>
      <c r="AP177" t="str">
        <f t="shared" si="772"/>
        <v/>
      </c>
      <c r="AQ177" t="str">
        <f t="shared" si="773"/>
        <v/>
      </c>
      <c r="AR177" t="str">
        <f t="shared" si="774"/>
        <v/>
      </c>
      <c r="AS177" t="str">
        <f t="shared" si="775"/>
        <v/>
      </c>
      <c r="AT177" t="str">
        <f t="shared" si="776"/>
        <v/>
      </c>
      <c r="AU177" t="str">
        <f t="shared" si="777"/>
        <v/>
      </c>
      <c r="AV177" t="str">
        <f t="shared" si="778"/>
        <v/>
      </c>
      <c r="AW177" t="str">
        <f t="shared" si="779"/>
        <v xml:space="preserve">                              </v>
      </c>
      <c r="AX177" s="23">
        <f t="shared" si="780"/>
        <v>0</v>
      </c>
      <c r="AY177" s="49" t="str">
        <f t="shared" si="756"/>
        <v>000000000000000</v>
      </c>
      <c r="AZ177" s="23">
        <f t="shared" si="781"/>
        <v>0</v>
      </c>
      <c r="BA177" s="49" t="str">
        <f t="shared" si="756"/>
        <v>000000000000000</v>
      </c>
      <c r="BB177" s="23">
        <f t="shared" si="782"/>
        <v>0</v>
      </c>
      <c r="BC177" s="49" t="str">
        <f t="shared" ref="BC177" si="1011">IF(BB177&lt;0,SUBSTITUTE(TEXT(BB177,"000000000000,00"),",",""),SUBSTITUTE(TEXT(BB177,"0000000000000,00"),",",""))</f>
        <v>000000000000000</v>
      </c>
      <c r="BD177" s="23">
        <f t="shared" si="784"/>
        <v>0</v>
      </c>
      <c r="BE177" s="49" t="str">
        <f t="shared" ref="BE177" si="1012">IF(BD177&lt;0,SUBSTITUTE(TEXT(BD177,"000000000000,00"),",",""),SUBSTITUTE(TEXT(BD177,"0000000000000,00"),",",""))</f>
        <v>000000000000000</v>
      </c>
      <c r="BF177" s="23">
        <f t="shared" si="786"/>
        <v>0</v>
      </c>
      <c r="BG177" s="49" t="str">
        <f t="shared" ref="BG177" si="1013">IF(BF177&lt;0,SUBSTITUTE(TEXT(BF177,"000000000000,00"),",",""),SUBSTITUTE(TEXT(BF177,"0000000000000,00"),",",""))</f>
        <v>000000000000000</v>
      </c>
      <c r="BH177" s="23">
        <f t="shared" si="788"/>
        <v>0</v>
      </c>
      <c r="BI177" s="49" t="str">
        <f t="shared" ref="BI177" si="1014">IF(BH177&lt;0,SUBSTITUTE(TEXT(BH177,"000000000000,00"),",",""),SUBSTITUTE(TEXT(BH177,"0000000000000,00"),",",""))</f>
        <v>000000000000000</v>
      </c>
      <c r="BJ177" s="23">
        <f t="shared" si="790"/>
        <v>0</v>
      </c>
      <c r="BK177" s="49" t="str">
        <f t="shared" ref="BK177" si="1015">IF(BJ177&lt;0,SUBSTITUTE(TEXT(BJ177,"000000000000,00"),",",""),SUBSTITUTE(TEXT(BJ177,"0000000000000,00"),",",""))</f>
        <v>000000000000000</v>
      </c>
      <c r="BL177" s="23">
        <f t="shared" si="792"/>
        <v>0</v>
      </c>
      <c r="BM177" s="49" t="str">
        <f t="shared" ref="BM177" si="1016">IF(BL177&lt;0,SUBSTITUTE(TEXT(BL177,"000000000000,00"),",",""),SUBSTITUTE(TEXT(BL177,"0000000000000,00"),",",""))</f>
        <v>000000000000000</v>
      </c>
      <c r="BN177" t="str">
        <f t="shared" si="794"/>
        <v>PES</v>
      </c>
      <c r="BO177" t="str">
        <f t="shared" si="795"/>
        <v>0001000000</v>
      </c>
      <c r="BP177">
        <f t="shared" si="796"/>
        <v>0</v>
      </c>
      <c r="BQ177">
        <f t="shared" si="797"/>
        <v>0</v>
      </c>
      <c r="BR177" s="23">
        <f t="shared" si="798"/>
        <v>0</v>
      </c>
      <c r="BS177" s="49" t="str">
        <f t="shared" si="763"/>
        <v>000000000000000</v>
      </c>
      <c r="BT177" t="str">
        <f t="shared" si="799"/>
        <v>00000000</v>
      </c>
      <c r="BU177" s="23">
        <f t="shared" si="800"/>
        <v>0</v>
      </c>
      <c r="BV177" s="49" t="str">
        <f t="shared" si="764"/>
        <v/>
      </c>
      <c r="BW177" s="52" t="str">
        <f t="shared" si="801"/>
        <v/>
      </c>
      <c r="BX177" s="23">
        <f t="shared" si="802"/>
        <v>0</v>
      </c>
      <c r="BY177" s="49" t="str">
        <f t="shared" si="765"/>
        <v/>
      </c>
      <c r="BZ177" s="23">
        <f t="shared" si="803"/>
        <v>0</v>
      </c>
      <c r="CA177" s="49" t="str">
        <f t="shared" si="766"/>
        <v/>
      </c>
      <c r="CB177" s="52" t="str">
        <f t="shared" si="804"/>
        <v/>
      </c>
      <c r="CC177" s="23">
        <f t="shared" si="805"/>
        <v>0</v>
      </c>
      <c r="CD177" s="49" t="str">
        <f t="shared" si="767"/>
        <v/>
      </c>
      <c r="CE177" s="56" t="str">
        <f>IF(CF177="","",MAX(CE$10:$CE176)+1)</f>
        <v/>
      </c>
      <c r="CF177" t="str">
        <f t="shared" si="806"/>
        <v/>
      </c>
      <c r="CG177" s="22" t="str">
        <f>IF(CH177="","",MAX($CG$10:CG176)+1)</f>
        <v/>
      </c>
      <c r="CH177" s="22" t="str">
        <f t="shared" si="751"/>
        <v/>
      </c>
      <c r="CI177" s="22" t="str">
        <f>IF(CJ177="","",MAX($CI$10:CI176)+1)</f>
        <v/>
      </c>
      <c r="CJ177" s="22" t="str">
        <f t="shared" si="752"/>
        <v/>
      </c>
    </row>
    <row r="178" spans="2:88" x14ac:dyDescent="0.25">
      <c r="B178" s="37"/>
      <c r="C178" s="3"/>
      <c r="D178" s="77" t="str">
        <f t="shared" si="738"/>
        <v/>
      </c>
      <c r="E178" s="38"/>
      <c r="F178" s="38"/>
      <c r="G178" s="78">
        <f t="shared" si="753"/>
        <v>0</v>
      </c>
      <c r="H178" s="3">
        <v>80</v>
      </c>
      <c r="I178" s="77" t="str">
        <f t="shared" si="739"/>
        <v/>
      </c>
      <c r="J178" s="32"/>
      <c r="K178" s="3"/>
      <c r="L178" s="39"/>
      <c r="M178" s="39"/>
      <c r="N178" s="39"/>
      <c r="O178" s="39"/>
      <c r="P178" s="39"/>
      <c r="Q178" s="39"/>
      <c r="R178" s="39"/>
      <c r="S178" s="39"/>
      <c r="T178" s="3" t="s">
        <v>645</v>
      </c>
      <c r="U178" s="77" t="str">
        <f t="shared" si="740"/>
        <v/>
      </c>
      <c r="V178" s="39">
        <v>1</v>
      </c>
      <c r="W178" s="79">
        <f t="shared" si="754"/>
        <v>0</v>
      </c>
      <c r="X178" s="3">
        <v>0</v>
      </c>
      <c r="Y178" s="77" t="str">
        <f t="shared" si="741"/>
        <v/>
      </c>
      <c r="Z178" s="3"/>
      <c r="AA178" s="37" t="str">
        <f t="shared" si="755"/>
        <v/>
      </c>
      <c r="AC178" s="40"/>
      <c r="AD178" s="7"/>
      <c r="AE178" s="77" t="str">
        <f t="shared" si="742"/>
        <v/>
      </c>
      <c r="AF178" s="81">
        <f t="shared" si="768"/>
        <v>0</v>
      </c>
      <c r="AG178" s="40"/>
      <c r="AH178" s="7"/>
      <c r="AI178" s="77" t="str">
        <f t="shared" si="743"/>
        <v/>
      </c>
      <c r="AJ178" s="81">
        <f t="shared" si="769"/>
        <v>0</v>
      </c>
      <c r="AK178" s="83">
        <f t="shared" si="770"/>
        <v>0</v>
      </c>
      <c r="AL178" s="83">
        <f t="shared" si="771"/>
        <v>0</v>
      </c>
      <c r="AN178" s="43">
        <f t="shared" si="744"/>
        <v>0</v>
      </c>
      <c r="AP178" t="str">
        <f t="shared" si="772"/>
        <v/>
      </c>
      <c r="AQ178" t="str">
        <f t="shared" si="773"/>
        <v/>
      </c>
      <c r="AR178" t="str">
        <f t="shared" si="774"/>
        <v/>
      </c>
      <c r="AS178" t="str">
        <f t="shared" si="775"/>
        <v/>
      </c>
      <c r="AT178" t="str">
        <f t="shared" si="776"/>
        <v/>
      </c>
      <c r="AU178" t="str">
        <f t="shared" si="777"/>
        <v/>
      </c>
      <c r="AV178" t="str">
        <f t="shared" si="778"/>
        <v/>
      </c>
      <c r="AW178" t="str">
        <f t="shared" si="779"/>
        <v xml:space="preserve">                              </v>
      </c>
      <c r="AX178" s="23">
        <f t="shared" si="780"/>
        <v>0</v>
      </c>
      <c r="AY178" s="49" t="str">
        <f t="shared" si="756"/>
        <v>000000000000000</v>
      </c>
      <c r="AZ178" s="23">
        <f t="shared" si="781"/>
        <v>0</v>
      </c>
      <c r="BA178" s="49" t="str">
        <f t="shared" si="756"/>
        <v>000000000000000</v>
      </c>
      <c r="BB178" s="23">
        <f t="shared" si="782"/>
        <v>0</v>
      </c>
      <c r="BC178" s="49" t="str">
        <f t="shared" ref="BC178" si="1017">IF(BB178&lt;0,SUBSTITUTE(TEXT(BB178,"000000000000,00"),",",""),SUBSTITUTE(TEXT(BB178,"0000000000000,00"),",",""))</f>
        <v>000000000000000</v>
      </c>
      <c r="BD178" s="23">
        <f t="shared" si="784"/>
        <v>0</v>
      </c>
      <c r="BE178" s="49" t="str">
        <f t="shared" ref="BE178" si="1018">IF(BD178&lt;0,SUBSTITUTE(TEXT(BD178,"000000000000,00"),",",""),SUBSTITUTE(TEXT(BD178,"0000000000000,00"),",",""))</f>
        <v>000000000000000</v>
      </c>
      <c r="BF178" s="23">
        <f t="shared" si="786"/>
        <v>0</v>
      </c>
      <c r="BG178" s="49" t="str">
        <f t="shared" ref="BG178" si="1019">IF(BF178&lt;0,SUBSTITUTE(TEXT(BF178,"000000000000,00"),",",""),SUBSTITUTE(TEXT(BF178,"0000000000000,00"),",",""))</f>
        <v>000000000000000</v>
      </c>
      <c r="BH178" s="23">
        <f t="shared" si="788"/>
        <v>0</v>
      </c>
      <c r="BI178" s="49" t="str">
        <f t="shared" ref="BI178" si="1020">IF(BH178&lt;0,SUBSTITUTE(TEXT(BH178,"000000000000,00"),",",""),SUBSTITUTE(TEXT(BH178,"0000000000000,00"),",",""))</f>
        <v>000000000000000</v>
      </c>
      <c r="BJ178" s="23">
        <f t="shared" si="790"/>
        <v>0</v>
      </c>
      <c r="BK178" s="49" t="str">
        <f t="shared" ref="BK178" si="1021">IF(BJ178&lt;0,SUBSTITUTE(TEXT(BJ178,"000000000000,00"),",",""),SUBSTITUTE(TEXT(BJ178,"0000000000000,00"),",",""))</f>
        <v>000000000000000</v>
      </c>
      <c r="BL178" s="23">
        <f t="shared" si="792"/>
        <v>0</v>
      </c>
      <c r="BM178" s="49" t="str">
        <f t="shared" ref="BM178" si="1022">IF(BL178&lt;0,SUBSTITUTE(TEXT(BL178,"000000000000,00"),",",""),SUBSTITUTE(TEXT(BL178,"0000000000000,00"),",",""))</f>
        <v>000000000000000</v>
      </c>
      <c r="BN178" t="str">
        <f t="shared" si="794"/>
        <v>PES</v>
      </c>
      <c r="BO178" t="str">
        <f t="shared" si="795"/>
        <v>0001000000</v>
      </c>
      <c r="BP178">
        <f t="shared" si="796"/>
        <v>0</v>
      </c>
      <c r="BQ178">
        <f t="shared" si="797"/>
        <v>0</v>
      </c>
      <c r="BR178" s="23">
        <f t="shared" si="798"/>
        <v>0</v>
      </c>
      <c r="BS178" s="49" t="str">
        <f t="shared" si="763"/>
        <v>000000000000000</v>
      </c>
      <c r="BT178" t="str">
        <f t="shared" si="799"/>
        <v>00000000</v>
      </c>
      <c r="BU178" s="23">
        <f t="shared" si="800"/>
        <v>0</v>
      </c>
      <c r="BV178" s="49" t="str">
        <f t="shared" si="764"/>
        <v/>
      </c>
      <c r="BW178" s="52" t="str">
        <f t="shared" si="801"/>
        <v/>
      </c>
      <c r="BX178" s="23">
        <f t="shared" si="802"/>
        <v>0</v>
      </c>
      <c r="BY178" s="49" t="str">
        <f t="shared" si="765"/>
        <v/>
      </c>
      <c r="BZ178" s="23">
        <f t="shared" si="803"/>
        <v>0</v>
      </c>
      <c r="CA178" s="49" t="str">
        <f t="shared" si="766"/>
        <v/>
      </c>
      <c r="CB178" s="52" t="str">
        <f t="shared" si="804"/>
        <v/>
      </c>
      <c r="CC178" s="23">
        <f t="shared" si="805"/>
        <v>0</v>
      </c>
      <c r="CD178" s="49" t="str">
        <f t="shared" si="767"/>
        <v/>
      </c>
      <c r="CE178" s="56" t="str">
        <f>IF(CF178="","",MAX(CE$10:$CE177)+1)</f>
        <v/>
      </c>
      <c r="CF178" t="str">
        <f t="shared" si="806"/>
        <v/>
      </c>
      <c r="CG178" s="22" t="str">
        <f>IF(CH178="","",MAX($CG$10:CG177)+1)</f>
        <v/>
      </c>
      <c r="CH178" s="22" t="str">
        <f t="shared" si="751"/>
        <v/>
      </c>
      <c r="CI178" s="22" t="str">
        <f>IF(CJ178="","",MAX($CI$10:CI177)+1)</f>
        <v/>
      </c>
      <c r="CJ178" s="22" t="str">
        <f t="shared" si="752"/>
        <v/>
      </c>
    </row>
    <row r="179" spans="2:88" x14ac:dyDescent="0.25">
      <c r="B179" s="37"/>
      <c r="C179" s="3"/>
      <c r="D179" s="77" t="str">
        <f t="shared" si="738"/>
        <v/>
      </c>
      <c r="E179" s="38"/>
      <c r="F179" s="38"/>
      <c r="G179" s="78">
        <f t="shared" si="753"/>
        <v>0</v>
      </c>
      <c r="H179" s="3">
        <v>80</v>
      </c>
      <c r="I179" s="77" t="str">
        <f t="shared" si="739"/>
        <v/>
      </c>
      <c r="J179" s="32"/>
      <c r="K179" s="3"/>
      <c r="L179" s="39"/>
      <c r="M179" s="39"/>
      <c r="N179" s="39"/>
      <c r="O179" s="39"/>
      <c r="P179" s="39"/>
      <c r="Q179" s="39"/>
      <c r="R179" s="39"/>
      <c r="S179" s="39"/>
      <c r="T179" s="3" t="s">
        <v>645</v>
      </c>
      <c r="U179" s="77" t="str">
        <f t="shared" si="740"/>
        <v/>
      </c>
      <c r="V179" s="39">
        <v>1</v>
      </c>
      <c r="W179" s="79">
        <f t="shared" si="754"/>
        <v>0</v>
      </c>
      <c r="X179" s="3">
        <v>0</v>
      </c>
      <c r="Y179" s="77" t="str">
        <f t="shared" si="741"/>
        <v/>
      </c>
      <c r="Z179" s="3"/>
      <c r="AA179" s="37" t="str">
        <f t="shared" si="755"/>
        <v/>
      </c>
      <c r="AC179" s="40"/>
      <c r="AD179" s="7"/>
      <c r="AE179" s="77" t="str">
        <f t="shared" si="742"/>
        <v/>
      </c>
      <c r="AF179" s="81">
        <f t="shared" si="768"/>
        <v>0</v>
      </c>
      <c r="AG179" s="40"/>
      <c r="AH179" s="7"/>
      <c r="AI179" s="77" t="str">
        <f t="shared" si="743"/>
        <v/>
      </c>
      <c r="AJ179" s="81">
        <f t="shared" si="769"/>
        <v>0</v>
      </c>
      <c r="AK179" s="83">
        <f t="shared" si="770"/>
        <v>0</v>
      </c>
      <c r="AL179" s="83">
        <f t="shared" si="771"/>
        <v>0</v>
      </c>
      <c r="AN179" s="43">
        <f t="shared" si="744"/>
        <v>0</v>
      </c>
      <c r="AP179" t="str">
        <f t="shared" si="772"/>
        <v/>
      </c>
      <c r="AQ179" t="str">
        <f t="shared" si="773"/>
        <v/>
      </c>
      <c r="AR179" t="str">
        <f t="shared" si="774"/>
        <v/>
      </c>
      <c r="AS179" t="str">
        <f t="shared" si="775"/>
        <v/>
      </c>
      <c r="AT179" t="str">
        <f t="shared" si="776"/>
        <v/>
      </c>
      <c r="AU179" t="str">
        <f t="shared" si="777"/>
        <v/>
      </c>
      <c r="AV179" t="str">
        <f t="shared" si="778"/>
        <v/>
      </c>
      <c r="AW179" t="str">
        <f t="shared" si="779"/>
        <v xml:space="preserve">                              </v>
      </c>
      <c r="AX179" s="23">
        <f t="shared" si="780"/>
        <v>0</v>
      </c>
      <c r="AY179" s="49" t="str">
        <f t="shared" si="756"/>
        <v>000000000000000</v>
      </c>
      <c r="AZ179" s="23">
        <f t="shared" si="781"/>
        <v>0</v>
      </c>
      <c r="BA179" s="49" t="str">
        <f t="shared" si="756"/>
        <v>000000000000000</v>
      </c>
      <c r="BB179" s="23">
        <f t="shared" si="782"/>
        <v>0</v>
      </c>
      <c r="BC179" s="49" t="str">
        <f t="shared" ref="BC179" si="1023">IF(BB179&lt;0,SUBSTITUTE(TEXT(BB179,"000000000000,00"),",",""),SUBSTITUTE(TEXT(BB179,"0000000000000,00"),",",""))</f>
        <v>000000000000000</v>
      </c>
      <c r="BD179" s="23">
        <f t="shared" si="784"/>
        <v>0</v>
      </c>
      <c r="BE179" s="49" t="str">
        <f t="shared" ref="BE179" si="1024">IF(BD179&lt;0,SUBSTITUTE(TEXT(BD179,"000000000000,00"),",",""),SUBSTITUTE(TEXT(BD179,"0000000000000,00"),",",""))</f>
        <v>000000000000000</v>
      </c>
      <c r="BF179" s="23">
        <f t="shared" si="786"/>
        <v>0</v>
      </c>
      <c r="BG179" s="49" t="str">
        <f t="shared" ref="BG179" si="1025">IF(BF179&lt;0,SUBSTITUTE(TEXT(BF179,"000000000000,00"),",",""),SUBSTITUTE(TEXT(BF179,"0000000000000,00"),",",""))</f>
        <v>000000000000000</v>
      </c>
      <c r="BH179" s="23">
        <f t="shared" si="788"/>
        <v>0</v>
      </c>
      <c r="BI179" s="49" t="str">
        <f t="shared" ref="BI179" si="1026">IF(BH179&lt;0,SUBSTITUTE(TEXT(BH179,"000000000000,00"),",",""),SUBSTITUTE(TEXT(BH179,"0000000000000,00"),",",""))</f>
        <v>000000000000000</v>
      </c>
      <c r="BJ179" s="23">
        <f t="shared" si="790"/>
        <v>0</v>
      </c>
      <c r="BK179" s="49" t="str">
        <f t="shared" ref="BK179" si="1027">IF(BJ179&lt;0,SUBSTITUTE(TEXT(BJ179,"000000000000,00"),",",""),SUBSTITUTE(TEXT(BJ179,"0000000000000,00"),",",""))</f>
        <v>000000000000000</v>
      </c>
      <c r="BL179" s="23">
        <f t="shared" si="792"/>
        <v>0</v>
      </c>
      <c r="BM179" s="49" t="str">
        <f t="shared" ref="BM179" si="1028">IF(BL179&lt;0,SUBSTITUTE(TEXT(BL179,"000000000000,00"),",",""),SUBSTITUTE(TEXT(BL179,"0000000000000,00"),",",""))</f>
        <v>000000000000000</v>
      </c>
      <c r="BN179" t="str">
        <f t="shared" si="794"/>
        <v>PES</v>
      </c>
      <c r="BO179" t="str">
        <f t="shared" si="795"/>
        <v>0001000000</v>
      </c>
      <c r="BP179">
        <f t="shared" si="796"/>
        <v>0</v>
      </c>
      <c r="BQ179">
        <f t="shared" si="797"/>
        <v>0</v>
      </c>
      <c r="BR179" s="23">
        <f t="shared" si="798"/>
        <v>0</v>
      </c>
      <c r="BS179" s="49" t="str">
        <f t="shared" si="763"/>
        <v>000000000000000</v>
      </c>
      <c r="BT179" t="str">
        <f t="shared" si="799"/>
        <v>00000000</v>
      </c>
      <c r="BU179" s="23">
        <f t="shared" si="800"/>
        <v>0</v>
      </c>
      <c r="BV179" s="49" t="str">
        <f t="shared" si="764"/>
        <v/>
      </c>
      <c r="BW179" s="52" t="str">
        <f t="shared" si="801"/>
        <v/>
      </c>
      <c r="BX179" s="23">
        <f t="shared" si="802"/>
        <v>0</v>
      </c>
      <c r="BY179" s="49" t="str">
        <f t="shared" si="765"/>
        <v/>
      </c>
      <c r="BZ179" s="23">
        <f t="shared" si="803"/>
        <v>0</v>
      </c>
      <c r="CA179" s="49" t="str">
        <f t="shared" si="766"/>
        <v/>
      </c>
      <c r="CB179" s="52" t="str">
        <f t="shared" si="804"/>
        <v/>
      </c>
      <c r="CC179" s="23">
        <f t="shared" si="805"/>
        <v>0</v>
      </c>
      <c r="CD179" s="49" t="str">
        <f t="shared" si="767"/>
        <v/>
      </c>
      <c r="CE179" s="56" t="str">
        <f>IF(CF179="","",MAX(CE$10:$CE178)+1)</f>
        <v/>
      </c>
      <c r="CF179" t="str">
        <f t="shared" si="806"/>
        <v/>
      </c>
      <c r="CG179" s="22" t="str">
        <f>IF(CH179="","",MAX($CG$10:CG178)+1)</f>
        <v/>
      </c>
      <c r="CH179" s="22" t="str">
        <f t="shared" si="751"/>
        <v/>
      </c>
      <c r="CI179" s="22" t="str">
        <f>IF(CJ179="","",MAX($CI$10:CI178)+1)</f>
        <v/>
      </c>
      <c r="CJ179" s="22" t="str">
        <f t="shared" si="752"/>
        <v/>
      </c>
    </row>
    <row r="180" spans="2:88" x14ac:dyDescent="0.25">
      <c r="B180" s="37"/>
      <c r="C180" s="3"/>
      <c r="D180" s="77" t="str">
        <f t="shared" si="738"/>
        <v/>
      </c>
      <c r="E180" s="38"/>
      <c r="F180" s="38"/>
      <c r="G180" s="78">
        <f t="shared" si="753"/>
        <v>0</v>
      </c>
      <c r="H180" s="3">
        <v>80</v>
      </c>
      <c r="I180" s="77" t="str">
        <f t="shared" si="739"/>
        <v/>
      </c>
      <c r="J180" s="32"/>
      <c r="K180" s="3"/>
      <c r="L180" s="39"/>
      <c r="M180" s="39"/>
      <c r="N180" s="39"/>
      <c r="O180" s="39"/>
      <c r="P180" s="39"/>
      <c r="Q180" s="39"/>
      <c r="R180" s="39"/>
      <c r="S180" s="39"/>
      <c r="T180" s="3" t="s">
        <v>645</v>
      </c>
      <c r="U180" s="77" t="str">
        <f t="shared" si="740"/>
        <v/>
      </c>
      <c r="V180" s="39">
        <v>1</v>
      </c>
      <c r="W180" s="79">
        <f t="shared" si="754"/>
        <v>0</v>
      </c>
      <c r="X180" s="3">
        <v>0</v>
      </c>
      <c r="Y180" s="77" t="str">
        <f t="shared" si="741"/>
        <v/>
      </c>
      <c r="Z180" s="3"/>
      <c r="AA180" s="37" t="str">
        <f t="shared" si="755"/>
        <v/>
      </c>
      <c r="AC180" s="40"/>
      <c r="AD180" s="7"/>
      <c r="AE180" s="77" t="str">
        <f t="shared" si="742"/>
        <v/>
      </c>
      <c r="AF180" s="81">
        <f t="shared" si="768"/>
        <v>0</v>
      </c>
      <c r="AG180" s="40"/>
      <c r="AH180" s="7"/>
      <c r="AI180" s="77" t="str">
        <f t="shared" si="743"/>
        <v/>
      </c>
      <c r="AJ180" s="81">
        <f t="shared" si="769"/>
        <v>0</v>
      </c>
      <c r="AK180" s="83">
        <f t="shared" si="770"/>
        <v>0</v>
      </c>
      <c r="AL180" s="83">
        <f t="shared" si="771"/>
        <v>0</v>
      </c>
      <c r="AN180" s="43">
        <f t="shared" si="744"/>
        <v>0</v>
      </c>
      <c r="AP180" t="str">
        <f t="shared" si="772"/>
        <v/>
      </c>
      <c r="AQ180" t="str">
        <f t="shared" si="773"/>
        <v/>
      </c>
      <c r="AR180" t="str">
        <f t="shared" si="774"/>
        <v/>
      </c>
      <c r="AS180" t="str">
        <f t="shared" si="775"/>
        <v/>
      </c>
      <c r="AT180" t="str">
        <f t="shared" si="776"/>
        <v/>
      </c>
      <c r="AU180" t="str">
        <f t="shared" si="777"/>
        <v/>
      </c>
      <c r="AV180" t="str">
        <f t="shared" si="778"/>
        <v/>
      </c>
      <c r="AW180" t="str">
        <f t="shared" si="779"/>
        <v xml:space="preserve">                              </v>
      </c>
      <c r="AX180" s="23">
        <f t="shared" si="780"/>
        <v>0</v>
      </c>
      <c r="AY180" s="49" t="str">
        <f t="shared" si="756"/>
        <v>000000000000000</v>
      </c>
      <c r="AZ180" s="23">
        <f t="shared" si="781"/>
        <v>0</v>
      </c>
      <c r="BA180" s="49" t="str">
        <f t="shared" si="756"/>
        <v>000000000000000</v>
      </c>
      <c r="BB180" s="23">
        <f t="shared" si="782"/>
        <v>0</v>
      </c>
      <c r="BC180" s="49" t="str">
        <f t="shared" ref="BC180" si="1029">IF(BB180&lt;0,SUBSTITUTE(TEXT(BB180,"000000000000,00"),",",""),SUBSTITUTE(TEXT(BB180,"0000000000000,00"),",",""))</f>
        <v>000000000000000</v>
      </c>
      <c r="BD180" s="23">
        <f t="shared" si="784"/>
        <v>0</v>
      </c>
      <c r="BE180" s="49" t="str">
        <f t="shared" ref="BE180" si="1030">IF(BD180&lt;0,SUBSTITUTE(TEXT(BD180,"000000000000,00"),",",""),SUBSTITUTE(TEXT(BD180,"0000000000000,00"),",",""))</f>
        <v>000000000000000</v>
      </c>
      <c r="BF180" s="23">
        <f t="shared" si="786"/>
        <v>0</v>
      </c>
      <c r="BG180" s="49" t="str">
        <f t="shared" ref="BG180" si="1031">IF(BF180&lt;0,SUBSTITUTE(TEXT(BF180,"000000000000,00"),",",""),SUBSTITUTE(TEXT(BF180,"0000000000000,00"),",",""))</f>
        <v>000000000000000</v>
      </c>
      <c r="BH180" s="23">
        <f t="shared" si="788"/>
        <v>0</v>
      </c>
      <c r="BI180" s="49" t="str">
        <f t="shared" ref="BI180" si="1032">IF(BH180&lt;0,SUBSTITUTE(TEXT(BH180,"000000000000,00"),",",""),SUBSTITUTE(TEXT(BH180,"0000000000000,00"),",",""))</f>
        <v>000000000000000</v>
      </c>
      <c r="BJ180" s="23">
        <f t="shared" si="790"/>
        <v>0</v>
      </c>
      <c r="BK180" s="49" t="str">
        <f t="shared" ref="BK180" si="1033">IF(BJ180&lt;0,SUBSTITUTE(TEXT(BJ180,"000000000000,00"),",",""),SUBSTITUTE(TEXT(BJ180,"0000000000000,00"),",",""))</f>
        <v>000000000000000</v>
      </c>
      <c r="BL180" s="23">
        <f t="shared" si="792"/>
        <v>0</v>
      </c>
      <c r="BM180" s="49" t="str">
        <f t="shared" ref="BM180" si="1034">IF(BL180&lt;0,SUBSTITUTE(TEXT(BL180,"000000000000,00"),",",""),SUBSTITUTE(TEXT(BL180,"0000000000000,00"),",",""))</f>
        <v>000000000000000</v>
      </c>
      <c r="BN180" t="str">
        <f t="shared" si="794"/>
        <v>PES</v>
      </c>
      <c r="BO180" t="str">
        <f t="shared" si="795"/>
        <v>0001000000</v>
      </c>
      <c r="BP180">
        <f t="shared" si="796"/>
        <v>0</v>
      </c>
      <c r="BQ180">
        <f t="shared" si="797"/>
        <v>0</v>
      </c>
      <c r="BR180" s="23">
        <f t="shared" si="798"/>
        <v>0</v>
      </c>
      <c r="BS180" s="49" t="str">
        <f t="shared" si="763"/>
        <v>000000000000000</v>
      </c>
      <c r="BT180" t="str">
        <f t="shared" si="799"/>
        <v>00000000</v>
      </c>
      <c r="BU180" s="23">
        <f t="shared" si="800"/>
        <v>0</v>
      </c>
      <c r="BV180" s="49" t="str">
        <f t="shared" si="764"/>
        <v/>
      </c>
      <c r="BW180" s="52" t="str">
        <f t="shared" si="801"/>
        <v/>
      </c>
      <c r="BX180" s="23">
        <f t="shared" si="802"/>
        <v>0</v>
      </c>
      <c r="BY180" s="49" t="str">
        <f t="shared" si="765"/>
        <v/>
      </c>
      <c r="BZ180" s="23">
        <f t="shared" si="803"/>
        <v>0</v>
      </c>
      <c r="CA180" s="49" t="str">
        <f t="shared" si="766"/>
        <v/>
      </c>
      <c r="CB180" s="52" t="str">
        <f t="shared" si="804"/>
        <v/>
      </c>
      <c r="CC180" s="23">
        <f t="shared" si="805"/>
        <v>0</v>
      </c>
      <c r="CD180" s="49" t="str">
        <f t="shared" si="767"/>
        <v/>
      </c>
      <c r="CE180" s="56" t="str">
        <f>IF(CF180="","",MAX(CE$10:$CE179)+1)</f>
        <v/>
      </c>
      <c r="CF180" t="str">
        <f t="shared" si="806"/>
        <v/>
      </c>
      <c r="CG180" s="22" t="str">
        <f>IF(CH180="","",MAX($CG$10:CG179)+1)</f>
        <v/>
      </c>
      <c r="CH180" s="22" t="str">
        <f t="shared" si="751"/>
        <v/>
      </c>
      <c r="CI180" s="22" t="str">
        <f>IF(CJ180="","",MAX($CI$10:CI179)+1)</f>
        <v/>
      </c>
      <c r="CJ180" s="22" t="str">
        <f t="shared" si="752"/>
        <v/>
      </c>
    </row>
    <row r="181" spans="2:88" x14ac:dyDescent="0.25">
      <c r="B181" s="37"/>
      <c r="C181" s="3"/>
      <c r="D181" s="77" t="str">
        <f t="shared" si="738"/>
        <v/>
      </c>
      <c r="E181" s="38"/>
      <c r="F181" s="38"/>
      <c r="G181" s="78">
        <f t="shared" si="753"/>
        <v>0</v>
      </c>
      <c r="H181" s="3">
        <v>80</v>
      </c>
      <c r="I181" s="77" t="str">
        <f t="shared" si="739"/>
        <v/>
      </c>
      <c r="J181" s="32"/>
      <c r="K181" s="3"/>
      <c r="L181" s="39"/>
      <c r="M181" s="39"/>
      <c r="N181" s="39"/>
      <c r="O181" s="39"/>
      <c r="P181" s="39"/>
      <c r="Q181" s="39"/>
      <c r="R181" s="39"/>
      <c r="S181" s="39"/>
      <c r="T181" s="3" t="s">
        <v>645</v>
      </c>
      <c r="U181" s="77" t="str">
        <f t="shared" si="740"/>
        <v/>
      </c>
      <c r="V181" s="39">
        <v>1</v>
      </c>
      <c r="W181" s="79">
        <f t="shared" si="754"/>
        <v>0</v>
      </c>
      <c r="X181" s="3">
        <v>0</v>
      </c>
      <c r="Y181" s="77" t="str">
        <f t="shared" si="741"/>
        <v/>
      </c>
      <c r="Z181" s="3"/>
      <c r="AA181" s="37" t="str">
        <f t="shared" si="755"/>
        <v/>
      </c>
      <c r="AC181" s="40"/>
      <c r="AD181" s="7"/>
      <c r="AE181" s="77" t="str">
        <f t="shared" si="742"/>
        <v/>
      </c>
      <c r="AF181" s="81">
        <f t="shared" si="768"/>
        <v>0</v>
      </c>
      <c r="AG181" s="40"/>
      <c r="AH181" s="7"/>
      <c r="AI181" s="77" t="str">
        <f t="shared" si="743"/>
        <v/>
      </c>
      <c r="AJ181" s="81">
        <f t="shared" si="769"/>
        <v>0</v>
      </c>
      <c r="AK181" s="83">
        <f t="shared" si="770"/>
        <v>0</v>
      </c>
      <c r="AL181" s="83">
        <f t="shared" si="771"/>
        <v>0</v>
      </c>
      <c r="AN181" s="43">
        <f t="shared" si="744"/>
        <v>0</v>
      </c>
      <c r="AP181" t="str">
        <f t="shared" si="772"/>
        <v/>
      </c>
      <c r="AQ181" t="str">
        <f t="shared" si="773"/>
        <v/>
      </c>
      <c r="AR181" t="str">
        <f t="shared" si="774"/>
        <v/>
      </c>
      <c r="AS181" t="str">
        <f t="shared" si="775"/>
        <v/>
      </c>
      <c r="AT181" t="str">
        <f t="shared" si="776"/>
        <v/>
      </c>
      <c r="AU181" t="str">
        <f t="shared" si="777"/>
        <v/>
      </c>
      <c r="AV181" t="str">
        <f t="shared" si="778"/>
        <v/>
      </c>
      <c r="AW181" t="str">
        <f t="shared" si="779"/>
        <v xml:space="preserve">                              </v>
      </c>
      <c r="AX181" s="23">
        <f t="shared" si="780"/>
        <v>0</v>
      </c>
      <c r="AY181" s="49" t="str">
        <f t="shared" si="756"/>
        <v>000000000000000</v>
      </c>
      <c r="AZ181" s="23">
        <f t="shared" si="781"/>
        <v>0</v>
      </c>
      <c r="BA181" s="49" t="str">
        <f t="shared" si="756"/>
        <v>000000000000000</v>
      </c>
      <c r="BB181" s="23">
        <f t="shared" si="782"/>
        <v>0</v>
      </c>
      <c r="BC181" s="49" t="str">
        <f t="shared" ref="BC181" si="1035">IF(BB181&lt;0,SUBSTITUTE(TEXT(BB181,"000000000000,00"),",",""),SUBSTITUTE(TEXT(BB181,"0000000000000,00"),",",""))</f>
        <v>000000000000000</v>
      </c>
      <c r="BD181" s="23">
        <f t="shared" si="784"/>
        <v>0</v>
      </c>
      <c r="BE181" s="49" t="str">
        <f t="shared" ref="BE181" si="1036">IF(BD181&lt;0,SUBSTITUTE(TEXT(BD181,"000000000000,00"),",",""),SUBSTITUTE(TEXT(BD181,"0000000000000,00"),",",""))</f>
        <v>000000000000000</v>
      </c>
      <c r="BF181" s="23">
        <f t="shared" si="786"/>
        <v>0</v>
      </c>
      <c r="BG181" s="49" t="str">
        <f t="shared" ref="BG181" si="1037">IF(BF181&lt;0,SUBSTITUTE(TEXT(BF181,"000000000000,00"),",",""),SUBSTITUTE(TEXT(BF181,"0000000000000,00"),",",""))</f>
        <v>000000000000000</v>
      </c>
      <c r="BH181" s="23">
        <f t="shared" si="788"/>
        <v>0</v>
      </c>
      <c r="BI181" s="49" t="str">
        <f t="shared" ref="BI181" si="1038">IF(BH181&lt;0,SUBSTITUTE(TEXT(BH181,"000000000000,00"),",",""),SUBSTITUTE(TEXT(BH181,"0000000000000,00"),",",""))</f>
        <v>000000000000000</v>
      </c>
      <c r="BJ181" s="23">
        <f t="shared" si="790"/>
        <v>0</v>
      </c>
      <c r="BK181" s="49" t="str">
        <f t="shared" ref="BK181" si="1039">IF(BJ181&lt;0,SUBSTITUTE(TEXT(BJ181,"000000000000,00"),",",""),SUBSTITUTE(TEXT(BJ181,"0000000000000,00"),",",""))</f>
        <v>000000000000000</v>
      </c>
      <c r="BL181" s="23">
        <f t="shared" si="792"/>
        <v>0</v>
      </c>
      <c r="BM181" s="49" t="str">
        <f t="shared" ref="BM181" si="1040">IF(BL181&lt;0,SUBSTITUTE(TEXT(BL181,"000000000000,00"),",",""),SUBSTITUTE(TEXT(BL181,"0000000000000,00"),",",""))</f>
        <v>000000000000000</v>
      </c>
      <c r="BN181" t="str">
        <f t="shared" si="794"/>
        <v>PES</v>
      </c>
      <c r="BO181" t="str">
        <f t="shared" si="795"/>
        <v>0001000000</v>
      </c>
      <c r="BP181">
        <f t="shared" si="796"/>
        <v>0</v>
      </c>
      <c r="BQ181">
        <f t="shared" si="797"/>
        <v>0</v>
      </c>
      <c r="BR181" s="23">
        <f t="shared" si="798"/>
        <v>0</v>
      </c>
      <c r="BS181" s="49" t="str">
        <f t="shared" si="763"/>
        <v>000000000000000</v>
      </c>
      <c r="BT181" t="str">
        <f t="shared" si="799"/>
        <v>00000000</v>
      </c>
      <c r="BU181" s="23">
        <f t="shared" si="800"/>
        <v>0</v>
      </c>
      <c r="BV181" s="49" t="str">
        <f t="shared" si="764"/>
        <v/>
      </c>
      <c r="BW181" s="52" t="str">
        <f t="shared" si="801"/>
        <v/>
      </c>
      <c r="BX181" s="23">
        <f t="shared" si="802"/>
        <v>0</v>
      </c>
      <c r="BY181" s="49" t="str">
        <f t="shared" si="765"/>
        <v/>
      </c>
      <c r="BZ181" s="23">
        <f t="shared" si="803"/>
        <v>0</v>
      </c>
      <c r="CA181" s="49" t="str">
        <f t="shared" si="766"/>
        <v/>
      </c>
      <c r="CB181" s="52" t="str">
        <f t="shared" si="804"/>
        <v/>
      </c>
      <c r="CC181" s="23">
        <f t="shared" si="805"/>
        <v>0</v>
      </c>
      <c r="CD181" s="49" t="str">
        <f t="shared" si="767"/>
        <v/>
      </c>
      <c r="CE181" s="56" t="str">
        <f>IF(CF181="","",MAX(CE$10:$CE180)+1)</f>
        <v/>
      </c>
      <c r="CF181" t="str">
        <f t="shared" si="806"/>
        <v/>
      </c>
      <c r="CG181" s="22" t="str">
        <f>IF(CH181="","",MAX($CG$10:CG180)+1)</f>
        <v/>
      </c>
      <c r="CH181" s="22" t="str">
        <f t="shared" si="751"/>
        <v/>
      </c>
      <c r="CI181" s="22" t="str">
        <f>IF(CJ181="","",MAX($CI$10:CI180)+1)</f>
        <v/>
      </c>
      <c r="CJ181" s="22" t="str">
        <f t="shared" si="752"/>
        <v/>
      </c>
    </row>
    <row r="182" spans="2:88" x14ac:dyDescent="0.25">
      <c r="B182" s="37"/>
      <c r="C182" s="3"/>
      <c r="D182" s="77" t="str">
        <f t="shared" si="738"/>
        <v/>
      </c>
      <c r="E182" s="38"/>
      <c r="F182" s="38"/>
      <c r="G182" s="78">
        <f t="shared" si="753"/>
        <v>0</v>
      </c>
      <c r="H182" s="3">
        <v>80</v>
      </c>
      <c r="I182" s="77" t="str">
        <f t="shared" si="739"/>
        <v/>
      </c>
      <c r="J182" s="32"/>
      <c r="K182" s="3"/>
      <c r="L182" s="39"/>
      <c r="M182" s="39"/>
      <c r="N182" s="39"/>
      <c r="O182" s="39"/>
      <c r="P182" s="39"/>
      <c r="Q182" s="39"/>
      <c r="R182" s="39"/>
      <c r="S182" s="39"/>
      <c r="T182" s="3" t="s">
        <v>645</v>
      </c>
      <c r="U182" s="77" t="str">
        <f t="shared" si="740"/>
        <v/>
      </c>
      <c r="V182" s="39">
        <v>1</v>
      </c>
      <c r="W182" s="79">
        <f t="shared" si="754"/>
        <v>0</v>
      </c>
      <c r="X182" s="3">
        <v>0</v>
      </c>
      <c r="Y182" s="77" t="str">
        <f t="shared" si="741"/>
        <v/>
      </c>
      <c r="Z182" s="3"/>
      <c r="AA182" s="37" t="str">
        <f t="shared" si="755"/>
        <v/>
      </c>
      <c r="AC182" s="40"/>
      <c r="AD182" s="7"/>
      <c r="AE182" s="77" t="str">
        <f t="shared" si="742"/>
        <v/>
      </c>
      <c r="AF182" s="81">
        <f t="shared" si="768"/>
        <v>0</v>
      </c>
      <c r="AG182" s="40"/>
      <c r="AH182" s="7"/>
      <c r="AI182" s="77" t="str">
        <f t="shared" si="743"/>
        <v/>
      </c>
      <c r="AJ182" s="81">
        <f t="shared" si="769"/>
        <v>0</v>
      </c>
      <c r="AK182" s="83">
        <f t="shared" si="770"/>
        <v>0</v>
      </c>
      <c r="AL182" s="83">
        <f t="shared" si="771"/>
        <v>0</v>
      </c>
      <c r="AN182" s="43">
        <f t="shared" si="744"/>
        <v>0</v>
      </c>
      <c r="AP182" t="str">
        <f t="shared" si="772"/>
        <v/>
      </c>
      <c r="AQ182" t="str">
        <f t="shared" si="773"/>
        <v/>
      </c>
      <c r="AR182" t="str">
        <f t="shared" si="774"/>
        <v/>
      </c>
      <c r="AS182" t="str">
        <f t="shared" si="775"/>
        <v/>
      </c>
      <c r="AT182" t="str">
        <f t="shared" si="776"/>
        <v/>
      </c>
      <c r="AU182" t="str">
        <f t="shared" si="777"/>
        <v/>
      </c>
      <c r="AV182" t="str">
        <f t="shared" si="778"/>
        <v/>
      </c>
      <c r="AW182" t="str">
        <f t="shared" si="779"/>
        <v xml:space="preserve">                              </v>
      </c>
      <c r="AX182" s="23">
        <f t="shared" si="780"/>
        <v>0</v>
      </c>
      <c r="AY182" s="49" t="str">
        <f t="shared" si="756"/>
        <v>000000000000000</v>
      </c>
      <c r="AZ182" s="23">
        <f t="shared" si="781"/>
        <v>0</v>
      </c>
      <c r="BA182" s="49" t="str">
        <f t="shared" si="756"/>
        <v>000000000000000</v>
      </c>
      <c r="BB182" s="23">
        <f t="shared" si="782"/>
        <v>0</v>
      </c>
      <c r="BC182" s="49" t="str">
        <f t="shared" ref="BC182" si="1041">IF(BB182&lt;0,SUBSTITUTE(TEXT(BB182,"000000000000,00"),",",""),SUBSTITUTE(TEXT(BB182,"0000000000000,00"),",",""))</f>
        <v>000000000000000</v>
      </c>
      <c r="BD182" s="23">
        <f t="shared" si="784"/>
        <v>0</v>
      </c>
      <c r="BE182" s="49" t="str">
        <f t="shared" ref="BE182" si="1042">IF(BD182&lt;0,SUBSTITUTE(TEXT(BD182,"000000000000,00"),",",""),SUBSTITUTE(TEXT(BD182,"0000000000000,00"),",",""))</f>
        <v>000000000000000</v>
      </c>
      <c r="BF182" s="23">
        <f t="shared" si="786"/>
        <v>0</v>
      </c>
      <c r="BG182" s="49" t="str">
        <f t="shared" ref="BG182" si="1043">IF(BF182&lt;0,SUBSTITUTE(TEXT(BF182,"000000000000,00"),",",""),SUBSTITUTE(TEXT(BF182,"0000000000000,00"),",",""))</f>
        <v>000000000000000</v>
      </c>
      <c r="BH182" s="23">
        <f t="shared" si="788"/>
        <v>0</v>
      </c>
      <c r="BI182" s="49" t="str">
        <f t="shared" ref="BI182" si="1044">IF(BH182&lt;0,SUBSTITUTE(TEXT(BH182,"000000000000,00"),",",""),SUBSTITUTE(TEXT(BH182,"0000000000000,00"),",",""))</f>
        <v>000000000000000</v>
      </c>
      <c r="BJ182" s="23">
        <f t="shared" si="790"/>
        <v>0</v>
      </c>
      <c r="BK182" s="49" t="str">
        <f t="shared" ref="BK182" si="1045">IF(BJ182&lt;0,SUBSTITUTE(TEXT(BJ182,"000000000000,00"),",",""),SUBSTITUTE(TEXT(BJ182,"0000000000000,00"),",",""))</f>
        <v>000000000000000</v>
      </c>
      <c r="BL182" s="23">
        <f t="shared" si="792"/>
        <v>0</v>
      </c>
      <c r="BM182" s="49" t="str">
        <f t="shared" ref="BM182" si="1046">IF(BL182&lt;0,SUBSTITUTE(TEXT(BL182,"000000000000,00"),",",""),SUBSTITUTE(TEXT(BL182,"0000000000000,00"),",",""))</f>
        <v>000000000000000</v>
      </c>
      <c r="BN182" t="str">
        <f t="shared" si="794"/>
        <v>PES</v>
      </c>
      <c r="BO182" t="str">
        <f t="shared" si="795"/>
        <v>0001000000</v>
      </c>
      <c r="BP182">
        <f t="shared" si="796"/>
        <v>0</v>
      </c>
      <c r="BQ182">
        <f t="shared" si="797"/>
        <v>0</v>
      </c>
      <c r="BR182" s="23">
        <f t="shared" si="798"/>
        <v>0</v>
      </c>
      <c r="BS182" s="49" t="str">
        <f t="shared" si="763"/>
        <v>000000000000000</v>
      </c>
      <c r="BT182" t="str">
        <f t="shared" si="799"/>
        <v>00000000</v>
      </c>
      <c r="BU182" s="23">
        <f t="shared" si="800"/>
        <v>0</v>
      </c>
      <c r="BV182" s="49" t="str">
        <f t="shared" si="764"/>
        <v/>
      </c>
      <c r="BW182" s="52" t="str">
        <f t="shared" si="801"/>
        <v/>
      </c>
      <c r="BX182" s="23">
        <f t="shared" si="802"/>
        <v>0</v>
      </c>
      <c r="BY182" s="49" t="str">
        <f t="shared" si="765"/>
        <v/>
      </c>
      <c r="BZ182" s="23">
        <f t="shared" si="803"/>
        <v>0</v>
      </c>
      <c r="CA182" s="49" t="str">
        <f t="shared" si="766"/>
        <v/>
      </c>
      <c r="CB182" s="52" t="str">
        <f t="shared" si="804"/>
        <v/>
      </c>
      <c r="CC182" s="23">
        <f t="shared" si="805"/>
        <v>0</v>
      </c>
      <c r="CD182" s="49" t="str">
        <f t="shared" si="767"/>
        <v/>
      </c>
      <c r="CE182" s="56" t="str">
        <f>IF(CF182="","",MAX(CE$10:$CE181)+1)</f>
        <v/>
      </c>
      <c r="CF182" t="str">
        <f t="shared" si="806"/>
        <v/>
      </c>
      <c r="CG182" s="22" t="str">
        <f>IF(CH182="","",MAX($CG$10:CG181)+1)</f>
        <v/>
      </c>
      <c r="CH182" s="22" t="str">
        <f t="shared" si="751"/>
        <v/>
      </c>
      <c r="CI182" s="22" t="str">
        <f>IF(CJ182="","",MAX($CI$10:CI181)+1)</f>
        <v/>
      </c>
      <c r="CJ182" s="22" t="str">
        <f t="shared" si="752"/>
        <v/>
      </c>
    </row>
    <row r="183" spans="2:88" x14ac:dyDescent="0.25">
      <c r="B183" s="37"/>
      <c r="C183" s="3"/>
      <c r="D183" s="77" t="str">
        <f t="shared" si="738"/>
        <v/>
      </c>
      <c r="E183" s="38"/>
      <c r="F183" s="38"/>
      <c r="G183" s="78">
        <f t="shared" si="753"/>
        <v>0</v>
      </c>
      <c r="H183" s="3">
        <v>80</v>
      </c>
      <c r="I183" s="77" t="str">
        <f t="shared" si="739"/>
        <v/>
      </c>
      <c r="J183" s="32"/>
      <c r="K183" s="3"/>
      <c r="L183" s="39"/>
      <c r="M183" s="39"/>
      <c r="N183" s="39"/>
      <c r="O183" s="39"/>
      <c r="P183" s="39"/>
      <c r="Q183" s="39"/>
      <c r="R183" s="39"/>
      <c r="S183" s="39"/>
      <c r="T183" s="3" t="s">
        <v>645</v>
      </c>
      <c r="U183" s="77" t="str">
        <f t="shared" si="740"/>
        <v/>
      </c>
      <c r="V183" s="39">
        <v>1</v>
      </c>
      <c r="W183" s="79">
        <f t="shared" si="754"/>
        <v>0</v>
      </c>
      <c r="X183" s="3">
        <v>0</v>
      </c>
      <c r="Y183" s="77" t="str">
        <f t="shared" si="741"/>
        <v/>
      </c>
      <c r="Z183" s="3"/>
      <c r="AA183" s="37" t="str">
        <f t="shared" si="755"/>
        <v/>
      </c>
      <c r="AC183" s="40"/>
      <c r="AD183" s="7"/>
      <c r="AE183" s="77" t="str">
        <f t="shared" si="742"/>
        <v/>
      </c>
      <c r="AF183" s="81">
        <f t="shared" si="768"/>
        <v>0</v>
      </c>
      <c r="AG183" s="40"/>
      <c r="AH183" s="7"/>
      <c r="AI183" s="77" t="str">
        <f t="shared" si="743"/>
        <v/>
      </c>
      <c r="AJ183" s="81">
        <f t="shared" si="769"/>
        <v>0</v>
      </c>
      <c r="AK183" s="83">
        <f t="shared" si="770"/>
        <v>0</v>
      </c>
      <c r="AL183" s="83">
        <f t="shared" si="771"/>
        <v>0</v>
      </c>
      <c r="AN183" s="43">
        <f t="shared" si="744"/>
        <v>0</v>
      </c>
      <c r="AP183" t="str">
        <f t="shared" si="772"/>
        <v/>
      </c>
      <c r="AQ183" t="str">
        <f t="shared" si="773"/>
        <v/>
      </c>
      <c r="AR183" t="str">
        <f t="shared" si="774"/>
        <v/>
      </c>
      <c r="AS183" t="str">
        <f t="shared" si="775"/>
        <v/>
      </c>
      <c r="AT183" t="str">
        <f t="shared" si="776"/>
        <v/>
      </c>
      <c r="AU183" t="str">
        <f t="shared" si="777"/>
        <v/>
      </c>
      <c r="AV183" t="str">
        <f t="shared" si="778"/>
        <v/>
      </c>
      <c r="AW183" t="str">
        <f t="shared" si="779"/>
        <v xml:space="preserve">                              </v>
      </c>
      <c r="AX183" s="23">
        <f t="shared" si="780"/>
        <v>0</v>
      </c>
      <c r="AY183" s="49" t="str">
        <f t="shared" si="756"/>
        <v>000000000000000</v>
      </c>
      <c r="AZ183" s="23">
        <f t="shared" si="781"/>
        <v>0</v>
      </c>
      <c r="BA183" s="49" t="str">
        <f t="shared" si="756"/>
        <v>000000000000000</v>
      </c>
      <c r="BB183" s="23">
        <f t="shared" si="782"/>
        <v>0</v>
      </c>
      <c r="BC183" s="49" t="str">
        <f t="shared" ref="BC183" si="1047">IF(BB183&lt;0,SUBSTITUTE(TEXT(BB183,"000000000000,00"),",",""),SUBSTITUTE(TEXT(BB183,"0000000000000,00"),",",""))</f>
        <v>000000000000000</v>
      </c>
      <c r="BD183" s="23">
        <f t="shared" si="784"/>
        <v>0</v>
      </c>
      <c r="BE183" s="49" t="str">
        <f t="shared" ref="BE183" si="1048">IF(BD183&lt;0,SUBSTITUTE(TEXT(BD183,"000000000000,00"),",",""),SUBSTITUTE(TEXT(BD183,"0000000000000,00"),",",""))</f>
        <v>000000000000000</v>
      </c>
      <c r="BF183" s="23">
        <f t="shared" si="786"/>
        <v>0</v>
      </c>
      <c r="BG183" s="49" t="str">
        <f t="shared" ref="BG183" si="1049">IF(BF183&lt;0,SUBSTITUTE(TEXT(BF183,"000000000000,00"),",",""),SUBSTITUTE(TEXT(BF183,"0000000000000,00"),",",""))</f>
        <v>000000000000000</v>
      </c>
      <c r="BH183" s="23">
        <f t="shared" si="788"/>
        <v>0</v>
      </c>
      <c r="BI183" s="49" t="str">
        <f t="shared" ref="BI183" si="1050">IF(BH183&lt;0,SUBSTITUTE(TEXT(BH183,"000000000000,00"),",",""),SUBSTITUTE(TEXT(BH183,"0000000000000,00"),",",""))</f>
        <v>000000000000000</v>
      </c>
      <c r="BJ183" s="23">
        <f t="shared" si="790"/>
        <v>0</v>
      </c>
      <c r="BK183" s="49" t="str">
        <f t="shared" ref="BK183" si="1051">IF(BJ183&lt;0,SUBSTITUTE(TEXT(BJ183,"000000000000,00"),",",""),SUBSTITUTE(TEXT(BJ183,"0000000000000,00"),",",""))</f>
        <v>000000000000000</v>
      </c>
      <c r="BL183" s="23">
        <f t="shared" si="792"/>
        <v>0</v>
      </c>
      <c r="BM183" s="49" t="str">
        <f t="shared" ref="BM183" si="1052">IF(BL183&lt;0,SUBSTITUTE(TEXT(BL183,"000000000000,00"),",",""),SUBSTITUTE(TEXT(BL183,"0000000000000,00"),",",""))</f>
        <v>000000000000000</v>
      </c>
      <c r="BN183" t="str">
        <f t="shared" si="794"/>
        <v>PES</v>
      </c>
      <c r="BO183" t="str">
        <f t="shared" si="795"/>
        <v>0001000000</v>
      </c>
      <c r="BP183">
        <f t="shared" si="796"/>
        <v>0</v>
      </c>
      <c r="BQ183">
        <f t="shared" si="797"/>
        <v>0</v>
      </c>
      <c r="BR183" s="23">
        <f t="shared" si="798"/>
        <v>0</v>
      </c>
      <c r="BS183" s="49" t="str">
        <f t="shared" si="763"/>
        <v>000000000000000</v>
      </c>
      <c r="BT183" t="str">
        <f t="shared" si="799"/>
        <v>00000000</v>
      </c>
      <c r="BU183" s="23">
        <f t="shared" si="800"/>
        <v>0</v>
      </c>
      <c r="BV183" s="49" t="str">
        <f t="shared" si="764"/>
        <v/>
      </c>
      <c r="BW183" s="52" t="str">
        <f t="shared" si="801"/>
        <v/>
      </c>
      <c r="BX183" s="23">
        <f t="shared" si="802"/>
        <v>0</v>
      </c>
      <c r="BY183" s="49" t="str">
        <f t="shared" si="765"/>
        <v/>
      </c>
      <c r="BZ183" s="23">
        <f t="shared" si="803"/>
        <v>0</v>
      </c>
      <c r="CA183" s="49" t="str">
        <f t="shared" si="766"/>
        <v/>
      </c>
      <c r="CB183" s="52" t="str">
        <f t="shared" si="804"/>
        <v/>
      </c>
      <c r="CC183" s="23">
        <f t="shared" si="805"/>
        <v>0</v>
      </c>
      <c r="CD183" s="49" t="str">
        <f t="shared" si="767"/>
        <v/>
      </c>
      <c r="CE183" s="56" t="str">
        <f>IF(CF183="","",MAX(CE$10:$CE182)+1)</f>
        <v/>
      </c>
      <c r="CF183" t="str">
        <f t="shared" si="806"/>
        <v/>
      </c>
      <c r="CG183" s="22" t="str">
        <f>IF(CH183="","",MAX($CG$10:CG182)+1)</f>
        <v/>
      </c>
      <c r="CH183" s="22" t="str">
        <f t="shared" si="751"/>
        <v/>
      </c>
      <c r="CI183" s="22" t="str">
        <f>IF(CJ183="","",MAX($CI$10:CI182)+1)</f>
        <v/>
      </c>
      <c r="CJ183" s="22" t="str">
        <f t="shared" si="752"/>
        <v/>
      </c>
    </row>
    <row r="184" spans="2:88" x14ac:dyDescent="0.25">
      <c r="B184" s="37"/>
      <c r="C184" s="3"/>
      <c r="D184" s="77" t="str">
        <f t="shared" si="738"/>
        <v/>
      </c>
      <c r="E184" s="38"/>
      <c r="F184" s="38"/>
      <c r="G184" s="78">
        <f t="shared" si="753"/>
        <v>0</v>
      </c>
      <c r="H184" s="3">
        <v>80</v>
      </c>
      <c r="I184" s="77" t="str">
        <f t="shared" si="739"/>
        <v/>
      </c>
      <c r="J184" s="32"/>
      <c r="K184" s="3"/>
      <c r="L184" s="39"/>
      <c r="M184" s="39"/>
      <c r="N184" s="39"/>
      <c r="O184" s="39"/>
      <c r="P184" s="39"/>
      <c r="Q184" s="39"/>
      <c r="R184" s="39"/>
      <c r="S184" s="39"/>
      <c r="T184" s="3" t="s">
        <v>645</v>
      </c>
      <c r="U184" s="77" t="str">
        <f t="shared" si="740"/>
        <v/>
      </c>
      <c r="V184" s="39">
        <v>1</v>
      </c>
      <c r="W184" s="79">
        <f t="shared" si="754"/>
        <v>0</v>
      </c>
      <c r="X184" s="3">
        <v>0</v>
      </c>
      <c r="Y184" s="77" t="str">
        <f t="shared" si="741"/>
        <v/>
      </c>
      <c r="Z184" s="3"/>
      <c r="AA184" s="37" t="str">
        <f t="shared" si="755"/>
        <v/>
      </c>
      <c r="AC184" s="40"/>
      <c r="AD184" s="7"/>
      <c r="AE184" s="77" t="str">
        <f t="shared" si="742"/>
        <v/>
      </c>
      <c r="AF184" s="81">
        <f t="shared" si="768"/>
        <v>0</v>
      </c>
      <c r="AG184" s="40"/>
      <c r="AH184" s="7"/>
      <c r="AI184" s="77" t="str">
        <f t="shared" si="743"/>
        <v/>
      </c>
      <c r="AJ184" s="81">
        <f t="shared" si="769"/>
        <v>0</v>
      </c>
      <c r="AK184" s="83">
        <f t="shared" si="770"/>
        <v>0</v>
      </c>
      <c r="AL184" s="83">
        <f t="shared" si="771"/>
        <v>0</v>
      </c>
      <c r="AN184" s="43">
        <f t="shared" si="744"/>
        <v>0</v>
      </c>
      <c r="AP184" t="str">
        <f t="shared" si="772"/>
        <v/>
      </c>
      <c r="AQ184" t="str">
        <f t="shared" si="773"/>
        <v/>
      </c>
      <c r="AR184" t="str">
        <f t="shared" si="774"/>
        <v/>
      </c>
      <c r="AS184" t="str">
        <f t="shared" si="775"/>
        <v/>
      </c>
      <c r="AT184" t="str">
        <f t="shared" si="776"/>
        <v/>
      </c>
      <c r="AU184" t="str">
        <f t="shared" si="777"/>
        <v/>
      </c>
      <c r="AV184" t="str">
        <f t="shared" si="778"/>
        <v/>
      </c>
      <c r="AW184" t="str">
        <f t="shared" si="779"/>
        <v xml:space="preserve">                              </v>
      </c>
      <c r="AX184" s="23">
        <f t="shared" si="780"/>
        <v>0</v>
      </c>
      <c r="AY184" s="49" t="str">
        <f t="shared" si="756"/>
        <v>000000000000000</v>
      </c>
      <c r="AZ184" s="23">
        <f t="shared" si="781"/>
        <v>0</v>
      </c>
      <c r="BA184" s="49" t="str">
        <f t="shared" si="756"/>
        <v>000000000000000</v>
      </c>
      <c r="BB184" s="23">
        <f t="shared" si="782"/>
        <v>0</v>
      </c>
      <c r="BC184" s="49" t="str">
        <f t="shared" ref="BC184" si="1053">IF(BB184&lt;0,SUBSTITUTE(TEXT(BB184,"000000000000,00"),",",""),SUBSTITUTE(TEXT(BB184,"0000000000000,00"),",",""))</f>
        <v>000000000000000</v>
      </c>
      <c r="BD184" s="23">
        <f t="shared" si="784"/>
        <v>0</v>
      </c>
      <c r="BE184" s="49" t="str">
        <f t="shared" ref="BE184" si="1054">IF(BD184&lt;0,SUBSTITUTE(TEXT(BD184,"000000000000,00"),",",""),SUBSTITUTE(TEXT(BD184,"0000000000000,00"),",",""))</f>
        <v>000000000000000</v>
      </c>
      <c r="BF184" s="23">
        <f t="shared" si="786"/>
        <v>0</v>
      </c>
      <c r="BG184" s="49" t="str">
        <f t="shared" ref="BG184" si="1055">IF(BF184&lt;0,SUBSTITUTE(TEXT(BF184,"000000000000,00"),",",""),SUBSTITUTE(TEXT(BF184,"0000000000000,00"),",",""))</f>
        <v>000000000000000</v>
      </c>
      <c r="BH184" s="23">
        <f t="shared" si="788"/>
        <v>0</v>
      </c>
      <c r="BI184" s="49" t="str">
        <f t="shared" ref="BI184" si="1056">IF(BH184&lt;0,SUBSTITUTE(TEXT(BH184,"000000000000,00"),",",""),SUBSTITUTE(TEXT(BH184,"0000000000000,00"),",",""))</f>
        <v>000000000000000</v>
      </c>
      <c r="BJ184" s="23">
        <f t="shared" si="790"/>
        <v>0</v>
      </c>
      <c r="BK184" s="49" t="str">
        <f t="shared" ref="BK184" si="1057">IF(BJ184&lt;0,SUBSTITUTE(TEXT(BJ184,"000000000000,00"),",",""),SUBSTITUTE(TEXT(BJ184,"0000000000000,00"),",",""))</f>
        <v>000000000000000</v>
      </c>
      <c r="BL184" s="23">
        <f t="shared" si="792"/>
        <v>0</v>
      </c>
      <c r="BM184" s="49" t="str">
        <f t="shared" ref="BM184" si="1058">IF(BL184&lt;0,SUBSTITUTE(TEXT(BL184,"000000000000,00"),",",""),SUBSTITUTE(TEXT(BL184,"0000000000000,00"),",",""))</f>
        <v>000000000000000</v>
      </c>
      <c r="BN184" t="str">
        <f t="shared" si="794"/>
        <v>PES</v>
      </c>
      <c r="BO184" t="str">
        <f t="shared" si="795"/>
        <v>0001000000</v>
      </c>
      <c r="BP184">
        <f t="shared" si="796"/>
        <v>0</v>
      </c>
      <c r="BQ184">
        <f t="shared" si="797"/>
        <v>0</v>
      </c>
      <c r="BR184" s="23">
        <f t="shared" si="798"/>
        <v>0</v>
      </c>
      <c r="BS184" s="49" t="str">
        <f t="shared" si="763"/>
        <v>000000000000000</v>
      </c>
      <c r="BT184" t="str">
        <f t="shared" si="799"/>
        <v>00000000</v>
      </c>
      <c r="BU184" s="23">
        <f t="shared" si="800"/>
        <v>0</v>
      </c>
      <c r="BV184" s="49" t="str">
        <f t="shared" si="764"/>
        <v/>
      </c>
      <c r="BW184" s="52" t="str">
        <f t="shared" si="801"/>
        <v/>
      </c>
      <c r="BX184" s="23">
        <f t="shared" si="802"/>
        <v>0</v>
      </c>
      <c r="BY184" s="49" t="str">
        <f t="shared" si="765"/>
        <v/>
      </c>
      <c r="BZ184" s="23">
        <f t="shared" si="803"/>
        <v>0</v>
      </c>
      <c r="CA184" s="49" t="str">
        <f t="shared" si="766"/>
        <v/>
      </c>
      <c r="CB184" s="52" t="str">
        <f t="shared" si="804"/>
        <v/>
      </c>
      <c r="CC184" s="23">
        <f t="shared" si="805"/>
        <v>0</v>
      </c>
      <c r="CD184" s="49" t="str">
        <f t="shared" si="767"/>
        <v/>
      </c>
      <c r="CE184" s="56" t="str">
        <f>IF(CF184="","",MAX(CE$10:$CE183)+1)</f>
        <v/>
      </c>
      <c r="CF184" t="str">
        <f t="shared" si="806"/>
        <v/>
      </c>
      <c r="CG184" s="22" t="str">
        <f>IF(CH184="","",MAX($CG$10:CG183)+1)</f>
        <v/>
      </c>
      <c r="CH184" s="22" t="str">
        <f t="shared" si="751"/>
        <v/>
      </c>
      <c r="CI184" s="22" t="str">
        <f>IF(CJ184="","",MAX($CI$10:CI183)+1)</f>
        <v/>
      </c>
      <c r="CJ184" s="22" t="str">
        <f t="shared" si="752"/>
        <v/>
      </c>
    </row>
    <row r="185" spans="2:88" x14ac:dyDescent="0.25">
      <c r="B185" s="37"/>
      <c r="C185" s="3"/>
      <c r="D185" s="77" t="str">
        <f t="shared" si="738"/>
        <v/>
      </c>
      <c r="E185" s="38"/>
      <c r="F185" s="38"/>
      <c r="G185" s="78">
        <f t="shared" si="753"/>
        <v>0</v>
      </c>
      <c r="H185" s="3">
        <v>80</v>
      </c>
      <c r="I185" s="77" t="str">
        <f t="shared" si="739"/>
        <v/>
      </c>
      <c r="J185" s="32"/>
      <c r="K185" s="3"/>
      <c r="L185" s="39"/>
      <c r="M185" s="39"/>
      <c r="N185" s="39"/>
      <c r="O185" s="39"/>
      <c r="P185" s="39"/>
      <c r="Q185" s="39"/>
      <c r="R185" s="39"/>
      <c r="S185" s="39"/>
      <c r="T185" s="3" t="s">
        <v>645</v>
      </c>
      <c r="U185" s="77" t="str">
        <f t="shared" si="740"/>
        <v/>
      </c>
      <c r="V185" s="39">
        <v>1</v>
      </c>
      <c r="W185" s="79">
        <f t="shared" si="754"/>
        <v>0</v>
      </c>
      <c r="X185" s="3">
        <v>0</v>
      </c>
      <c r="Y185" s="77" t="str">
        <f t="shared" si="741"/>
        <v/>
      </c>
      <c r="Z185" s="3"/>
      <c r="AA185" s="37" t="str">
        <f t="shared" si="755"/>
        <v/>
      </c>
      <c r="AC185" s="40"/>
      <c r="AD185" s="7"/>
      <c r="AE185" s="77" t="str">
        <f t="shared" si="742"/>
        <v/>
      </c>
      <c r="AF185" s="81">
        <f t="shared" si="768"/>
        <v>0</v>
      </c>
      <c r="AG185" s="40"/>
      <c r="AH185" s="7"/>
      <c r="AI185" s="77" t="str">
        <f t="shared" si="743"/>
        <v/>
      </c>
      <c r="AJ185" s="81">
        <f t="shared" si="769"/>
        <v>0</v>
      </c>
      <c r="AK185" s="83">
        <f t="shared" si="770"/>
        <v>0</v>
      </c>
      <c r="AL185" s="83">
        <f t="shared" si="771"/>
        <v>0</v>
      </c>
      <c r="AN185" s="43">
        <f t="shared" si="744"/>
        <v>0</v>
      </c>
      <c r="AP185" t="str">
        <f t="shared" si="772"/>
        <v/>
      </c>
      <c r="AQ185" t="str">
        <f t="shared" si="773"/>
        <v/>
      </c>
      <c r="AR185" t="str">
        <f t="shared" si="774"/>
        <v/>
      </c>
      <c r="AS185" t="str">
        <f t="shared" si="775"/>
        <v/>
      </c>
      <c r="AT185" t="str">
        <f t="shared" si="776"/>
        <v/>
      </c>
      <c r="AU185" t="str">
        <f t="shared" si="777"/>
        <v/>
      </c>
      <c r="AV185" t="str">
        <f t="shared" si="778"/>
        <v/>
      </c>
      <c r="AW185" t="str">
        <f t="shared" si="779"/>
        <v xml:space="preserve">                              </v>
      </c>
      <c r="AX185" s="23">
        <f t="shared" si="780"/>
        <v>0</v>
      </c>
      <c r="AY185" s="49" t="str">
        <f t="shared" si="756"/>
        <v>000000000000000</v>
      </c>
      <c r="AZ185" s="23">
        <f t="shared" si="781"/>
        <v>0</v>
      </c>
      <c r="BA185" s="49" t="str">
        <f t="shared" si="756"/>
        <v>000000000000000</v>
      </c>
      <c r="BB185" s="23">
        <f t="shared" si="782"/>
        <v>0</v>
      </c>
      <c r="BC185" s="49" t="str">
        <f t="shared" ref="BC185" si="1059">IF(BB185&lt;0,SUBSTITUTE(TEXT(BB185,"000000000000,00"),",",""),SUBSTITUTE(TEXT(BB185,"0000000000000,00"),",",""))</f>
        <v>000000000000000</v>
      </c>
      <c r="BD185" s="23">
        <f t="shared" si="784"/>
        <v>0</v>
      </c>
      <c r="BE185" s="49" t="str">
        <f t="shared" ref="BE185" si="1060">IF(BD185&lt;0,SUBSTITUTE(TEXT(BD185,"000000000000,00"),",",""),SUBSTITUTE(TEXT(BD185,"0000000000000,00"),",",""))</f>
        <v>000000000000000</v>
      </c>
      <c r="BF185" s="23">
        <f t="shared" si="786"/>
        <v>0</v>
      </c>
      <c r="BG185" s="49" t="str">
        <f t="shared" ref="BG185" si="1061">IF(BF185&lt;0,SUBSTITUTE(TEXT(BF185,"000000000000,00"),",",""),SUBSTITUTE(TEXT(BF185,"0000000000000,00"),",",""))</f>
        <v>000000000000000</v>
      </c>
      <c r="BH185" s="23">
        <f t="shared" si="788"/>
        <v>0</v>
      </c>
      <c r="BI185" s="49" t="str">
        <f t="shared" ref="BI185" si="1062">IF(BH185&lt;0,SUBSTITUTE(TEXT(BH185,"000000000000,00"),",",""),SUBSTITUTE(TEXT(BH185,"0000000000000,00"),",",""))</f>
        <v>000000000000000</v>
      </c>
      <c r="BJ185" s="23">
        <f t="shared" si="790"/>
        <v>0</v>
      </c>
      <c r="BK185" s="49" t="str">
        <f t="shared" ref="BK185" si="1063">IF(BJ185&lt;0,SUBSTITUTE(TEXT(BJ185,"000000000000,00"),",",""),SUBSTITUTE(TEXT(BJ185,"0000000000000,00"),",",""))</f>
        <v>000000000000000</v>
      </c>
      <c r="BL185" s="23">
        <f t="shared" si="792"/>
        <v>0</v>
      </c>
      <c r="BM185" s="49" t="str">
        <f t="shared" ref="BM185" si="1064">IF(BL185&lt;0,SUBSTITUTE(TEXT(BL185,"000000000000,00"),",",""),SUBSTITUTE(TEXT(BL185,"0000000000000,00"),",",""))</f>
        <v>000000000000000</v>
      </c>
      <c r="BN185" t="str">
        <f t="shared" si="794"/>
        <v>PES</v>
      </c>
      <c r="BO185" t="str">
        <f t="shared" si="795"/>
        <v>0001000000</v>
      </c>
      <c r="BP185">
        <f t="shared" si="796"/>
        <v>0</v>
      </c>
      <c r="BQ185">
        <f t="shared" si="797"/>
        <v>0</v>
      </c>
      <c r="BR185" s="23">
        <f t="shared" si="798"/>
        <v>0</v>
      </c>
      <c r="BS185" s="49" t="str">
        <f t="shared" si="763"/>
        <v>000000000000000</v>
      </c>
      <c r="BT185" t="str">
        <f t="shared" si="799"/>
        <v>00000000</v>
      </c>
      <c r="BU185" s="23">
        <f t="shared" si="800"/>
        <v>0</v>
      </c>
      <c r="BV185" s="49" t="str">
        <f t="shared" si="764"/>
        <v/>
      </c>
      <c r="BW185" s="52" t="str">
        <f t="shared" si="801"/>
        <v/>
      </c>
      <c r="BX185" s="23">
        <f t="shared" si="802"/>
        <v>0</v>
      </c>
      <c r="BY185" s="49" t="str">
        <f t="shared" si="765"/>
        <v/>
      </c>
      <c r="BZ185" s="23">
        <f t="shared" si="803"/>
        <v>0</v>
      </c>
      <c r="CA185" s="49" t="str">
        <f t="shared" si="766"/>
        <v/>
      </c>
      <c r="CB185" s="52" t="str">
        <f t="shared" si="804"/>
        <v/>
      </c>
      <c r="CC185" s="23">
        <f t="shared" si="805"/>
        <v>0</v>
      </c>
      <c r="CD185" s="49" t="str">
        <f t="shared" si="767"/>
        <v/>
      </c>
      <c r="CE185" s="56" t="str">
        <f>IF(CF185="","",MAX(CE$10:$CE184)+1)</f>
        <v/>
      </c>
      <c r="CF185" t="str">
        <f t="shared" si="806"/>
        <v/>
      </c>
      <c r="CG185" s="22" t="str">
        <f>IF(CH185="","",MAX($CG$10:CG184)+1)</f>
        <v/>
      </c>
      <c r="CH185" s="22" t="str">
        <f t="shared" si="751"/>
        <v/>
      </c>
      <c r="CI185" s="22" t="str">
        <f>IF(CJ185="","",MAX($CI$10:CI184)+1)</f>
        <v/>
      </c>
      <c r="CJ185" s="22" t="str">
        <f t="shared" si="752"/>
        <v/>
      </c>
    </row>
    <row r="186" spans="2:88" x14ac:dyDescent="0.25">
      <c r="B186" s="37"/>
      <c r="C186" s="3"/>
      <c r="D186" s="77" t="str">
        <f t="shared" si="738"/>
        <v/>
      </c>
      <c r="E186" s="38"/>
      <c r="F186" s="38"/>
      <c r="G186" s="78">
        <f t="shared" si="753"/>
        <v>0</v>
      </c>
      <c r="H186" s="3">
        <v>80</v>
      </c>
      <c r="I186" s="77" t="str">
        <f t="shared" si="739"/>
        <v/>
      </c>
      <c r="J186" s="32"/>
      <c r="K186" s="3"/>
      <c r="L186" s="39"/>
      <c r="M186" s="39"/>
      <c r="N186" s="39"/>
      <c r="O186" s="39"/>
      <c r="P186" s="39"/>
      <c r="Q186" s="39"/>
      <c r="R186" s="39"/>
      <c r="S186" s="39"/>
      <c r="T186" s="3" t="s">
        <v>645</v>
      </c>
      <c r="U186" s="77" t="str">
        <f t="shared" si="740"/>
        <v/>
      </c>
      <c r="V186" s="39">
        <v>1</v>
      </c>
      <c r="W186" s="79">
        <f t="shared" si="754"/>
        <v>0</v>
      </c>
      <c r="X186" s="3">
        <v>0</v>
      </c>
      <c r="Y186" s="77" t="str">
        <f t="shared" si="741"/>
        <v/>
      </c>
      <c r="Z186" s="3"/>
      <c r="AA186" s="37" t="str">
        <f t="shared" si="755"/>
        <v/>
      </c>
      <c r="AC186" s="40"/>
      <c r="AD186" s="7"/>
      <c r="AE186" s="77" t="str">
        <f t="shared" si="742"/>
        <v/>
      </c>
      <c r="AF186" s="81">
        <f t="shared" si="768"/>
        <v>0</v>
      </c>
      <c r="AG186" s="40"/>
      <c r="AH186" s="7"/>
      <c r="AI186" s="77" t="str">
        <f t="shared" si="743"/>
        <v/>
      </c>
      <c r="AJ186" s="81">
        <f t="shared" si="769"/>
        <v>0</v>
      </c>
      <c r="AK186" s="83">
        <f t="shared" si="770"/>
        <v>0</v>
      </c>
      <c r="AL186" s="83">
        <f t="shared" si="771"/>
        <v>0</v>
      </c>
      <c r="AN186" s="43">
        <f t="shared" si="744"/>
        <v>0</v>
      </c>
      <c r="AP186" t="str">
        <f t="shared" si="772"/>
        <v/>
      </c>
      <c r="AQ186" t="str">
        <f t="shared" si="773"/>
        <v/>
      </c>
      <c r="AR186" t="str">
        <f t="shared" si="774"/>
        <v/>
      </c>
      <c r="AS186" t="str">
        <f t="shared" si="775"/>
        <v/>
      </c>
      <c r="AT186" t="str">
        <f t="shared" si="776"/>
        <v/>
      </c>
      <c r="AU186" t="str">
        <f t="shared" si="777"/>
        <v/>
      </c>
      <c r="AV186" t="str">
        <f t="shared" si="778"/>
        <v/>
      </c>
      <c r="AW186" t="str">
        <f t="shared" si="779"/>
        <v xml:space="preserve">                              </v>
      </c>
      <c r="AX186" s="23">
        <f t="shared" si="780"/>
        <v>0</v>
      </c>
      <c r="AY186" s="49" t="str">
        <f t="shared" si="756"/>
        <v>000000000000000</v>
      </c>
      <c r="AZ186" s="23">
        <f t="shared" si="781"/>
        <v>0</v>
      </c>
      <c r="BA186" s="49" t="str">
        <f t="shared" si="756"/>
        <v>000000000000000</v>
      </c>
      <c r="BB186" s="23">
        <f t="shared" si="782"/>
        <v>0</v>
      </c>
      <c r="BC186" s="49" t="str">
        <f t="shared" ref="BC186" si="1065">IF(BB186&lt;0,SUBSTITUTE(TEXT(BB186,"000000000000,00"),",",""),SUBSTITUTE(TEXT(BB186,"0000000000000,00"),",",""))</f>
        <v>000000000000000</v>
      </c>
      <c r="BD186" s="23">
        <f t="shared" si="784"/>
        <v>0</v>
      </c>
      <c r="BE186" s="49" t="str">
        <f t="shared" ref="BE186" si="1066">IF(BD186&lt;0,SUBSTITUTE(TEXT(BD186,"000000000000,00"),",",""),SUBSTITUTE(TEXT(BD186,"0000000000000,00"),",",""))</f>
        <v>000000000000000</v>
      </c>
      <c r="BF186" s="23">
        <f t="shared" si="786"/>
        <v>0</v>
      </c>
      <c r="BG186" s="49" t="str">
        <f t="shared" ref="BG186" si="1067">IF(BF186&lt;0,SUBSTITUTE(TEXT(BF186,"000000000000,00"),",",""),SUBSTITUTE(TEXT(BF186,"0000000000000,00"),",",""))</f>
        <v>000000000000000</v>
      </c>
      <c r="BH186" s="23">
        <f t="shared" si="788"/>
        <v>0</v>
      </c>
      <c r="BI186" s="49" t="str">
        <f t="shared" ref="BI186" si="1068">IF(BH186&lt;0,SUBSTITUTE(TEXT(BH186,"000000000000,00"),",",""),SUBSTITUTE(TEXT(BH186,"0000000000000,00"),",",""))</f>
        <v>000000000000000</v>
      </c>
      <c r="BJ186" s="23">
        <f t="shared" si="790"/>
        <v>0</v>
      </c>
      <c r="BK186" s="49" t="str">
        <f t="shared" ref="BK186" si="1069">IF(BJ186&lt;0,SUBSTITUTE(TEXT(BJ186,"000000000000,00"),",",""),SUBSTITUTE(TEXT(BJ186,"0000000000000,00"),",",""))</f>
        <v>000000000000000</v>
      </c>
      <c r="BL186" s="23">
        <f t="shared" si="792"/>
        <v>0</v>
      </c>
      <c r="BM186" s="49" t="str">
        <f t="shared" ref="BM186" si="1070">IF(BL186&lt;0,SUBSTITUTE(TEXT(BL186,"000000000000,00"),",",""),SUBSTITUTE(TEXT(BL186,"0000000000000,00"),",",""))</f>
        <v>000000000000000</v>
      </c>
      <c r="BN186" t="str">
        <f t="shared" si="794"/>
        <v>PES</v>
      </c>
      <c r="BO186" t="str">
        <f t="shared" si="795"/>
        <v>0001000000</v>
      </c>
      <c r="BP186">
        <f t="shared" si="796"/>
        <v>0</v>
      </c>
      <c r="BQ186">
        <f t="shared" si="797"/>
        <v>0</v>
      </c>
      <c r="BR186" s="23">
        <f t="shared" si="798"/>
        <v>0</v>
      </c>
      <c r="BS186" s="49" t="str">
        <f t="shared" si="763"/>
        <v>000000000000000</v>
      </c>
      <c r="BT186" t="str">
        <f t="shared" si="799"/>
        <v>00000000</v>
      </c>
      <c r="BU186" s="23">
        <f t="shared" si="800"/>
        <v>0</v>
      </c>
      <c r="BV186" s="49" t="str">
        <f t="shared" si="764"/>
        <v/>
      </c>
      <c r="BW186" s="52" t="str">
        <f t="shared" si="801"/>
        <v/>
      </c>
      <c r="BX186" s="23">
        <f t="shared" si="802"/>
        <v>0</v>
      </c>
      <c r="BY186" s="49" t="str">
        <f t="shared" si="765"/>
        <v/>
      </c>
      <c r="BZ186" s="23">
        <f t="shared" si="803"/>
        <v>0</v>
      </c>
      <c r="CA186" s="49" t="str">
        <f t="shared" si="766"/>
        <v/>
      </c>
      <c r="CB186" s="52" t="str">
        <f t="shared" si="804"/>
        <v/>
      </c>
      <c r="CC186" s="23">
        <f t="shared" si="805"/>
        <v>0</v>
      </c>
      <c r="CD186" s="49" t="str">
        <f t="shared" si="767"/>
        <v/>
      </c>
      <c r="CE186" s="56" t="str">
        <f>IF(CF186="","",MAX(CE$10:$CE185)+1)</f>
        <v/>
      </c>
      <c r="CF186" t="str">
        <f t="shared" si="806"/>
        <v/>
      </c>
      <c r="CG186" s="22" t="str">
        <f>IF(CH186="","",MAX($CG$10:CG185)+1)</f>
        <v/>
      </c>
      <c r="CH186" s="22" t="str">
        <f t="shared" si="751"/>
        <v/>
      </c>
      <c r="CI186" s="22" t="str">
        <f>IF(CJ186="","",MAX($CI$10:CI185)+1)</f>
        <v/>
      </c>
      <c r="CJ186" s="22" t="str">
        <f t="shared" si="752"/>
        <v/>
      </c>
    </row>
    <row r="187" spans="2:88" x14ac:dyDescent="0.25">
      <c r="B187" s="37"/>
      <c r="C187" s="3"/>
      <c r="D187" s="77" t="str">
        <f t="shared" si="738"/>
        <v/>
      </c>
      <c r="E187" s="38"/>
      <c r="F187" s="38"/>
      <c r="G187" s="78">
        <f t="shared" si="753"/>
        <v>0</v>
      </c>
      <c r="H187" s="3">
        <v>80</v>
      </c>
      <c r="I187" s="77" t="str">
        <f t="shared" si="739"/>
        <v/>
      </c>
      <c r="J187" s="32"/>
      <c r="K187" s="3"/>
      <c r="L187" s="39"/>
      <c r="M187" s="39"/>
      <c r="N187" s="39"/>
      <c r="O187" s="39"/>
      <c r="P187" s="39"/>
      <c r="Q187" s="39"/>
      <c r="R187" s="39"/>
      <c r="S187" s="39"/>
      <c r="T187" s="3" t="s">
        <v>645</v>
      </c>
      <c r="U187" s="77" t="str">
        <f t="shared" si="740"/>
        <v/>
      </c>
      <c r="V187" s="39">
        <v>1</v>
      </c>
      <c r="W187" s="79">
        <f t="shared" si="754"/>
        <v>0</v>
      </c>
      <c r="X187" s="3">
        <v>0</v>
      </c>
      <c r="Y187" s="77" t="str">
        <f t="shared" si="741"/>
        <v/>
      </c>
      <c r="Z187" s="3"/>
      <c r="AA187" s="37" t="str">
        <f t="shared" si="755"/>
        <v/>
      </c>
      <c r="AC187" s="40"/>
      <c r="AD187" s="7"/>
      <c r="AE187" s="77" t="str">
        <f t="shared" si="742"/>
        <v/>
      </c>
      <c r="AF187" s="81">
        <f t="shared" si="768"/>
        <v>0</v>
      </c>
      <c r="AG187" s="40"/>
      <c r="AH187" s="7"/>
      <c r="AI187" s="77" t="str">
        <f t="shared" si="743"/>
        <v/>
      </c>
      <c r="AJ187" s="81">
        <f t="shared" si="769"/>
        <v>0</v>
      </c>
      <c r="AK187" s="83">
        <f t="shared" si="770"/>
        <v>0</v>
      </c>
      <c r="AL187" s="83">
        <f t="shared" si="771"/>
        <v>0</v>
      </c>
      <c r="AN187" s="43">
        <f t="shared" si="744"/>
        <v>0</v>
      </c>
      <c r="AP187" t="str">
        <f t="shared" si="772"/>
        <v/>
      </c>
      <c r="AQ187" t="str">
        <f t="shared" si="773"/>
        <v/>
      </c>
      <c r="AR187" t="str">
        <f t="shared" si="774"/>
        <v/>
      </c>
      <c r="AS187" t="str">
        <f t="shared" si="775"/>
        <v/>
      </c>
      <c r="AT187" t="str">
        <f t="shared" si="776"/>
        <v/>
      </c>
      <c r="AU187" t="str">
        <f t="shared" si="777"/>
        <v/>
      </c>
      <c r="AV187" t="str">
        <f t="shared" si="778"/>
        <v/>
      </c>
      <c r="AW187" t="str">
        <f t="shared" si="779"/>
        <v xml:space="preserve">                              </v>
      </c>
      <c r="AX187" s="23">
        <f t="shared" si="780"/>
        <v>0</v>
      </c>
      <c r="AY187" s="49" t="str">
        <f t="shared" si="756"/>
        <v>000000000000000</v>
      </c>
      <c r="AZ187" s="23">
        <f t="shared" si="781"/>
        <v>0</v>
      </c>
      <c r="BA187" s="49" t="str">
        <f t="shared" si="756"/>
        <v>000000000000000</v>
      </c>
      <c r="BB187" s="23">
        <f t="shared" si="782"/>
        <v>0</v>
      </c>
      <c r="BC187" s="49" t="str">
        <f t="shared" ref="BC187" si="1071">IF(BB187&lt;0,SUBSTITUTE(TEXT(BB187,"000000000000,00"),",",""),SUBSTITUTE(TEXT(BB187,"0000000000000,00"),",",""))</f>
        <v>000000000000000</v>
      </c>
      <c r="BD187" s="23">
        <f t="shared" si="784"/>
        <v>0</v>
      </c>
      <c r="BE187" s="49" t="str">
        <f t="shared" ref="BE187" si="1072">IF(BD187&lt;0,SUBSTITUTE(TEXT(BD187,"000000000000,00"),",",""),SUBSTITUTE(TEXT(BD187,"0000000000000,00"),",",""))</f>
        <v>000000000000000</v>
      </c>
      <c r="BF187" s="23">
        <f t="shared" si="786"/>
        <v>0</v>
      </c>
      <c r="BG187" s="49" t="str">
        <f t="shared" ref="BG187" si="1073">IF(BF187&lt;0,SUBSTITUTE(TEXT(BF187,"000000000000,00"),",",""),SUBSTITUTE(TEXT(BF187,"0000000000000,00"),",",""))</f>
        <v>000000000000000</v>
      </c>
      <c r="BH187" s="23">
        <f t="shared" si="788"/>
        <v>0</v>
      </c>
      <c r="BI187" s="49" t="str">
        <f t="shared" ref="BI187" si="1074">IF(BH187&lt;0,SUBSTITUTE(TEXT(BH187,"000000000000,00"),",",""),SUBSTITUTE(TEXT(BH187,"0000000000000,00"),",",""))</f>
        <v>000000000000000</v>
      </c>
      <c r="BJ187" s="23">
        <f t="shared" si="790"/>
        <v>0</v>
      </c>
      <c r="BK187" s="49" t="str">
        <f t="shared" ref="BK187" si="1075">IF(BJ187&lt;0,SUBSTITUTE(TEXT(BJ187,"000000000000,00"),",",""),SUBSTITUTE(TEXT(BJ187,"0000000000000,00"),",",""))</f>
        <v>000000000000000</v>
      </c>
      <c r="BL187" s="23">
        <f t="shared" si="792"/>
        <v>0</v>
      </c>
      <c r="BM187" s="49" t="str">
        <f t="shared" ref="BM187" si="1076">IF(BL187&lt;0,SUBSTITUTE(TEXT(BL187,"000000000000,00"),",",""),SUBSTITUTE(TEXT(BL187,"0000000000000,00"),",",""))</f>
        <v>000000000000000</v>
      </c>
      <c r="BN187" t="str">
        <f t="shared" si="794"/>
        <v>PES</v>
      </c>
      <c r="BO187" t="str">
        <f t="shared" si="795"/>
        <v>0001000000</v>
      </c>
      <c r="BP187">
        <f t="shared" si="796"/>
        <v>0</v>
      </c>
      <c r="BQ187">
        <f t="shared" si="797"/>
        <v>0</v>
      </c>
      <c r="BR187" s="23">
        <f t="shared" si="798"/>
        <v>0</v>
      </c>
      <c r="BS187" s="49" t="str">
        <f t="shared" si="763"/>
        <v>000000000000000</v>
      </c>
      <c r="BT187" t="str">
        <f t="shared" si="799"/>
        <v>00000000</v>
      </c>
      <c r="BU187" s="23">
        <f t="shared" si="800"/>
        <v>0</v>
      </c>
      <c r="BV187" s="49" t="str">
        <f t="shared" si="764"/>
        <v/>
      </c>
      <c r="BW187" s="52" t="str">
        <f t="shared" si="801"/>
        <v/>
      </c>
      <c r="BX187" s="23">
        <f t="shared" si="802"/>
        <v>0</v>
      </c>
      <c r="BY187" s="49" t="str">
        <f t="shared" si="765"/>
        <v/>
      </c>
      <c r="BZ187" s="23">
        <f t="shared" si="803"/>
        <v>0</v>
      </c>
      <c r="CA187" s="49" t="str">
        <f t="shared" si="766"/>
        <v/>
      </c>
      <c r="CB187" s="52" t="str">
        <f t="shared" si="804"/>
        <v/>
      </c>
      <c r="CC187" s="23">
        <f t="shared" si="805"/>
        <v>0</v>
      </c>
      <c r="CD187" s="49" t="str">
        <f t="shared" si="767"/>
        <v/>
      </c>
      <c r="CE187" s="56" t="str">
        <f>IF(CF187="","",MAX(CE$10:$CE186)+1)</f>
        <v/>
      </c>
      <c r="CF187" t="str">
        <f t="shared" si="806"/>
        <v/>
      </c>
      <c r="CG187" s="22" t="str">
        <f>IF(CH187="","",MAX($CG$10:CG186)+1)</f>
        <v/>
      </c>
      <c r="CH187" s="22" t="str">
        <f t="shared" si="751"/>
        <v/>
      </c>
      <c r="CI187" s="22" t="str">
        <f>IF(CJ187="","",MAX($CI$10:CI186)+1)</f>
        <v/>
      </c>
      <c r="CJ187" s="22" t="str">
        <f t="shared" si="752"/>
        <v/>
      </c>
    </row>
    <row r="188" spans="2:88" x14ac:dyDescent="0.25">
      <c r="B188" s="37"/>
      <c r="C188" s="3"/>
      <c r="D188" s="77" t="str">
        <f t="shared" si="738"/>
        <v/>
      </c>
      <c r="E188" s="38"/>
      <c r="F188" s="38"/>
      <c r="G188" s="78">
        <f t="shared" si="753"/>
        <v>0</v>
      </c>
      <c r="H188" s="3">
        <v>80</v>
      </c>
      <c r="I188" s="77" t="str">
        <f t="shared" si="739"/>
        <v/>
      </c>
      <c r="J188" s="32"/>
      <c r="K188" s="3"/>
      <c r="L188" s="39"/>
      <c r="M188" s="39"/>
      <c r="N188" s="39"/>
      <c r="O188" s="39"/>
      <c r="P188" s="39"/>
      <c r="Q188" s="39"/>
      <c r="R188" s="39"/>
      <c r="S188" s="39"/>
      <c r="T188" s="3" t="s">
        <v>645</v>
      </c>
      <c r="U188" s="77" t="str">
        <f t="shared" si="740"/>
        <v/>
      </c>
      <c r="V188" s="39">
        <v>1</v>
      </c>
      <c r="W188" s="79">
        <f t="shared" si="754"/>
        <v>0</v>
      </c>
      <c r="X188" s="3">
        <v>0</v>
      </c>
      <c r="Y188" s="77" t="str">
        <f t="shared" si="741"/>
        <v/>
      </c>
      <c r="Z188" s="3"/>
      <c r="AA188" s="37" t="str">
        <f t="shared" si="755"/>
        <v/>
      </c>
      <c r="AC188" s="40"/>
      <c r="AD188" s="7"/>
      <c r="AE188" s="77" t="str">
        <f t="shared" si="742"/>
        <v/>
      </c>
      <c r="AF188" s="81">
        <f t="shared" si="768"/>
        <v>0</v>
      </c>
      <c r="AG188" s="40"/>
      <c r="AH188" s="7"/>
      <c r="AI188" s="77" t="str">
        <f t="shared" si="743"/>
        <v/>
      </c>
      <c r="AJ188" s="81">
        <f t="shared" si="769"/>
        <v>0</v>
      </c>
      <c r="AK188" s="83">
        <f t="shared" si="770"/>
        <v>0</v>
      </c>
      <c r="AL188" s="83">
        <f t="shared" si="771"/>
        <v>0</v>
      </c>
      <c r="AN188" s="43">
        <f t="shared" si="744"/>
        <v>0</v>
      </c>
      <c r="AP188" t="str">
        <f t="shared" si="772"/>
        <v/>
      </c>
      <c r="AQ188" t="str">
        <f t="shared" si="773"/>
        <v/>
      </c>
      <c r="AR188" t="str">
        <f t="shared" si="774"/>
        <v/>
      </c>
      <c r="AS188" t="str">
        <f t="shared" si="775"/>
        <v/>
      </c>
      <c r="AT188" t="str">
        <f t="shared" si="776"/>
        <v/>
      </c>
      <c r="AU188" t="str">
        <f t="shared" si="777"/>
        <v/>
      </c>
      <c r="AV188" t="str">
        <f t="shared" si="778"/>
        <v/>
      </c>
      <c r="AW188" t="str">
        <f t="shared" si="779"/>
        <v xml:space="preserve">                              </v>
      </c>
      <c r="AX188" s="23">
        <f t="shared" si="780"/>
        <v>0</v>
      </c>
      <c r="AY188" s="49" t="str">
        <f t="shared" si="756"/>
        <v>000000000000000</v>
      </c>
      <c r="AZ188" s="23">
        <f t="shared" si="781"/>
        <v>0</v>
      </c>
      <c r="BA188" s="49" t="str">
        <f t="shared" si="756"/>
        <v>000000000000000</v>
      </c>
      <c r="BB188" s="23">
        <f t="shared" si="782"/>
        <v>0</v>
      </c>
      <c r="BC188" s="49" t="str">
        <f t="shared" ref="BC188" si="1077">IF(BB188&lt;0,SUBSTITUTE(TEXT(BB188,"000000000000,00"),",",""),SUBSTITUTE(TEXT(BB188,"0000000000000,00"),",",""))</f>
        <v>000000000000000</v>
      </c>
      <c r="BD188" s="23">
        <f t="shared" si="784"/>
        <v>0</v>
      </c>
      <c r="BE188" s="49" t="str">
        <f t="shared" ref="BE188" si="1078">IF(BD188&lt;0,SUBSTITUTE(TEXT(BD188,"000000000000,00"),",",""),SUBSTITUTE(TEXT(BD188,"0000000000000,00"),",",""))</f>
        <v>000000000000000</v>
      </c>
      <c r="BF188" s="23">
        <f t="shared" si="786"/>
        <v>0</v>
      </c>
      <c r="BG188" s="49" t="str">
        <f t="shared" ref="BG188" si="1079">IF(BF188&lt;0,SUBSTITUTE(TEXT(BF188,"000000000000,00"),",",""),SUBSTITUTE(TEXT(BF188,"0000000000000,00"),",",""))</f>
        <v>000000000000000</v>
      </c>
      <c r="BH188" s="23">
        <f t="shared" si="788"/>
        <v>0</v>
      </c>
      <c r="BI188" s="49" t="str">
        <f t="shared" ref="BI188" si="1080">IF(BH188&lt;0,SUBSTITUTE(TEXT(BH188,"000000000000,00"),",",""),SUBSTITUTE(TEXT(BH188,"0000000000000,00"),",",""))</f>
        <v>000000000000000</v>
      </c>
      <c r="BJ188" s="23">
        <f t="shared" si="790"/>
        <v>0</v>
      </c>
      <c r="BK188" s="49" t="str">
        <f t="shared" ref="BK188" si="1081">IF(BJ188&lt;0,SUBSTITUTE(TEXT(BJ188,"000000000000,00"),",",""),SUBSTITUTE(TEXT(BJ188,"0000000000000,00"),",",""))</f>
        <v>000000000000000</v>
      </c>
      <c r="BL188" s="23">
        <f t="shared" si="792"/>
        <v>0</v>
      </c>
      <c r="BM188" s="49" t="str">
        <f t="shared" ref="BM188" si="1082">IF(BL188&lt;0,SUBSTITUTE(TEXT(BL188,"000000000000,00"),",",""),SUBSTITUTE(TEXT(BL188,"0000000000000,00"),",",""))</f>
        <v>000000000000000</v>
      </c>
      <c r="BN188" t="str">
        <f t="shared" si="794"/>
        <v>PES</v>
      </c>
      <c r="BO188" t="str">
        <f t="shared" si="795"/>
        <v>0001000000</v>
      </c>
      <c r="BP188">
        <f t="shared" si="796"/>
        <v>0</v>
      </c>
      <c r="BQ188">
        <f t="shared" si="797"/>
        <v>0</v>
      </c>
      <c r="BR188" s="23">
        <f t="shared" si="798"/>
        <v>0</v>
      </c>
      <c r="BS188" s="49" t="str">
        <f t="shared" si="763"/>
        <v>000000000000000</v>
      </c>
      <c r="BT188" t="str">
        <f t="shared" si="799"/>
        <v>00000000</v>
      </c>
      <c r="BU188" s="23">
        <f t="shared" si="800"/>
        <v>0</v>
      </c>
      <c r="BV188" s="49" t="str">
        <f t="shared" si="764"/>
        <v/>
      </c>
      <c r="BW188" s="52" t="str">
        <f t="shared" si="801"/>
        <v/>
      </c>
      <c r="BX188" s="23">
        <f t="shared" si="802"/>
        <v>0</v>
      </c>
      <c r="BY188" s="49" t="str">
        <f t="shared" si="765"/>
        <v/>
      </c>
      <c r="BZ188" s="23">
        <f t="shared" si="803"/>
        <v>0</v>
      </c>
      <c r="CA188" s="49" t="str">
        <f t="shared" si="766"/>
        <v/>
      </c>
      <c r="CB188" s="52" t="str">
        <f t="shared" si="804"/>
        <v/>
      </c>
      <c r="CC188" s="23">
        <f t="shared" si="805"/>
        <v>0</v>
      </c>
      <c r="CD188" s="49" t="str">
        <f t="shared" si="767"/>
        <v/>
      </c>
      <c r="CE188" s="56" t="str">
        <f>IF(CF188="","",MAX(CE$10:$CE187)+1)</f>
        <v/>
      </c>
      <c r="CF188" t="str">
        <f t="shared" si="806"/>
        <v/>
      </c>
      <c r="CG188" s="22" t="str">
        <f>IF(CH188="","",MAX($CG$10:CG187)+1)</f>
        <v/>
      </c>
      <c r="CH188" s="22" t="str">
        <f t="shared" si="751"/>
        <v/>
      </c>
      <c r="CI188" s="22" t="str">
        <f>IF(CJ188="","",MAX($CI$10:CI187)+1)</f>
        <v/>
      </c>
      <c r="CJ188" s="22" t="str">
        <f t="shared" si="752"/>
        <v/>
      </c>
    </row>
    <row r="189" spans="2:88" x14ac:dyDescent="0.25">
      <c r="B189" s="37"/>
      <c r="C189" s="3"/>
      <c r="D189" s="77" t="str">
        <f t="shared" si="738"/>
        <v/>
      </c>
      <c r="E189" s="38"/>
      <c r="F189" s="38"/>
      <c r="G189" s="78">
        <f t="shared" si="753"/>
        <v>0</v>
      </c>
      <c r="H189" s="3">
        <v>80</v>
      </c>
      <c r="I189" s="77" t="str">
        <f t="shared" si="739"/>
        <v/>
      </c>
      <c r="J189" s="32"/>
      <c r="K189" s="3"/>
      <c r="L189" s="39"/>
      <c r="M189" s="39"/>
      <c r="N189" s="39"/>
      <c r="O189" s="39"/>
      <c r="P189" s="39"/>
      <c r="Q189" s="39"/>
      <c r="R189" s="39"/>
      <c r="S189" s="39"/>
      <c r="T189" s="3" t="s">
        <v>645</v>
      </c>
      <c r="U189" s="77" t="str">
        <f t="shared" si="740"/>
        <v/>
      </c>
      <c r="V189" s="39">
        <v>1</v>
      </c>
      <c r="W189" s="79">
        <f t="shared" si="754"/>
        <v>0</v>
      </c>
      <c r="X189" s="3">
        <v>0</v>
      </c>
      <c r="Y189" s="77" t="str">
        <f t="shared" si="741"/>
        <v/>
      </c>
      <c r="Z189" s="3"/>
      <c r="AA189" s="37" t="str">
        <f t="shared" si="755"/>
        <v/>
      </c>
      <c r="AC189" s="40"/>
      <c r="AD189" s="7"/>
      <c r="AE189" s="77" t="str">
        <f t="shared" si="742"/>
        <v/>
      </c>
      <c r="AF189" s="81">
        <f t="shared" si="768"/>
        <v>0</v>
      </c>
      <c r="AG189" s="40"/>
      <c r="AH189" s="7"/>
      <c r="AI189" s="77" t="str">
        <f t="shared" si="743"/>
        <v/>
      </c>
      <c r="AJ189" s="81">
        <f t="shared" si="769"/>
        <v>0</v>
      </c>
      <c r="AK189" s="83">
        <f t="shared" si="770"/>
        <v>0</v>
      </c>
      <c r="AL189" s="83">
        <f t="shared" si="771"/>
        <v>0</v>
      </c>
      <c r="AN189" s="43">
        <f t="shared" si="744"/>
        <v>0</v>
      </c>
      <c r="AP189" t="str">
        <f t="shared" si="772"/>
        <v/>
      </c>
      <c r="AQ189" t="str">
        <f t="shared" si="773"/>
        <v/>
      </c>
      <c r="AR189" t="str">
        <f t="shared" si="774"/>
        <v/>
      </c>
      <c r="AS189" t="str">
        <f t="shared" si="775"/>
        <v/>
      </c>
      <c r="AT189" t="str">
        <f t="shared" si="776"/>
        <v/>
      </c>
      <c r="AU189" t="str">
        <f t="shared" si="777"/>
        <v/>
      </c>
      <c r="AV189" t="str">
        <f t="shared" si="778"/>
        <v/>
      </c>
      <c r="AW189" t="str">
        <f t="shared" si="779"/>
        <v xml:space="preserve">                              </v>
      </c>
      <c r="AX189" s="23">
        <f t="shared" si="780"/>
        <v>0</v>
      </c>
      <c r="AY189" s="49" t="str">
        <f t="shared" si="756"/>
        <v>000000000000000</v>
      </c>
      <c r="AZ189" s="23">
        <f t="shared" si="781"/>
        <v>0</v>
      </c>
      <c r="BA189" s="49" t="str">
        <f t="shared" si="756"/>
        <v>000000000000000</v>
      </c>
      <c r="BB189" s="23">
        <f t="shared" si="782"/>
        <v>0</v>
      </c>
      <c r="BC189" s="49" t="str">
        <f t="shared" ref="BC189" si="1083">IF(BB189&lt;0,SUBSTITUTE(TEXT(BB189,"000000000000,00"),",",""),SUBSTITUTE(TEXT(BB189,"0000000000000,00"),",",""))</f>
        <v>000000000000000</v>
      </c>
      <c r="BD189" s="23">
        <f t="shared" si="784"/>
        <v>0</v>
      </c>
      <c r="BE189" s="49" t="str">
        <f t="shared" ref="BE189" si="1084">IF(BD189&lt;0,SUBSTITUTE(TEXT(BD189,"000000000000,00"),",",""),SUBSTITUTE(TEXT(BD189,"0000000000000,00"),",",""))</f>
        <v>000000000000000</v>
      </c>
      <c r="BF189" s="23">
        <f t="shared" si="786"/>
        <v>0</v>
      </c>
      <c r="BG189" s="49" t="str">
        <f t="shared" ref="BG189" si="1085">IF(BF189&lt;0,SUBSTITUTE(TEXT(BF189,"000000000000,00"),",",""),SUBSTITUTE(TEXT(BF189,"0000000000000,00"),",",""))</f>
        <v>000000000000000</v>
      </c>
      <c r="BH189" s="23">
        <f t="shared" si="788"/>
        <v>0</v>
      </c>
      <c r="BI189" s="49" t="str">
        <f t="shared" ref="BI189" si="1086">IF(BH189&lt;0,SUBSTITUTE(TEXT(BH189,"000000000000,00"),",",""),SUBSTITUTE(TEXT(BH189,"0000000000000,00"),",",""))</f>
        <v>000000000000000</v>
      </c>
      <c r="BJ189" s="23">
        <f t="shared" si="790"/>
        <v>0</v>
      </c>
      <c r="BK189" s="49" t="str">
        <f t="shared" ref="BK189" si="1087">IF(BJ189&lt;0,SUBSTITUTE(TEXT(BJ189,"000000000000,00"),",",""),SUBSTITUTE(TEXT(BJ189,"0000000000000,00"),",",""))</f>
        <v>000000000000000</v>
      </c>
      <c r="BL189" s="23">
        <f t="shared" si="792"/>
        <v>0</v>
      </c>
      <c r="BM189" s="49" t="str">
        <f t="shared" ref="BM189" si="1088">IF(BL189&lt;0,SUBSTITUTE(TEXT(BL189,"000000000000,00"),",",""),SUBSTITUTE(TEXT(BL189,"0000000000000,00"),",",""))</f>
        <v>000000000000000</v>
      </c>
      <c r="BN189" t="str">
        <f t="shared" si="794"/>
        <v>PES</v>
      </c>
      <c r="BO189" t="str">
        <f t="shared" si="795"/>
        <v>0001000000</v>
      </c>
      <c r="BP189">
        <f t="shared" si="796"/>
        <v>0</v>
      </c>
      <c r="BQ189">
        <f t="shared" si="797"/>
        <v>0</v>
      </c>
      <c r="BR189" s="23">
        <f t="shared" si="798"/>
        <v>0</v>
      </c>
      <c r="BS189" s="49" t="str">
        <f t="shared" si="763"/>
        <v>000000000000000</v>
      </c>
      <c r="BT189" t="str">
        <f t="shared" si="799"/>
        <v>00000000</v>
      </c>
      <c r="BU189" s="23">
        <f t="shared" si="800"/>
        <v>0</v>
      </c>
      <c r="BV189" s="49" t="str">
        <f t="shared" si="764"/>
        <v/>
      </c>
      <c r="BW189" s="52" t="str">
        <f t="shared" si="801"/>
        <v/>
      </c>
      <c r="BX189" s="23">
        <f t="shared" si="802"/>
        <v>0</v>
      </c>
      <c r="BY189" s="49" t="str">
        <f t="shared" si="765"/>
        <v/>
      </c>
      <c r="BZ189" s="23">
        <f t="shared" si="803"/>
        <v>0</v>
      </c>
      <c r="CA189" s="49" t="str">
        <f t="shared" si="766"/>
        <v/>
      </c>
      <c r="CB189" s="52" t="str">
        <f t="shared" si="804"/>
        <v/>
      </c>
      <c r="CC189" s="23">
        <f t="shared" si="805"/>
        <v>0</v>
      </c>
      <c r="CD189" s="49" t="str">
        <f t="shared" si="767"/>
        <v/>
      </c>
      <c r="CE189" s="56" t="str">
        <f>IF(CF189="","",MAX(CE$10:$CE188)+1)</f>
        <v/>
      </c>
      <c r="CF189" t="str">
        <f t="shared" si="806"/>
        <v/>
      </c>
      <c r="CG189" s="22" t="str">
        <f>IF(CH189="","",MAX($CG$10:CG188)+1)</f>
        <v/>
      </c>
      <c r="CH189" s="22" t="str">
        <f t="shared" si="751"/>
        <v/>
      </c>
      <c r="CI189" s="22" t="str">
        <f>IF(CJ189="","",MAX($CI$10:CI188)+1)</f>
        <v/>
      </c>
      <c r="CJ189" s="22" t="str">
        <f t="shared" si="752"/>
        <v/>
      </c>
    </row>
    <row r="190" spans="2:88" x14ac:dyDescent="0.25">
      <c r="B190" s="37"/>
      <c r="C190" s="3"/>
      <c r="D190" s="77" t="str">
        <f t="shared" si="738"/>
        <v/>
      </c>
      <c r="E190" s="38"/>
      <c r="F190" s="38"/>
      <c r="G190" s="78">
        <f t="shared" si="753"/>
        <v>0</v>
      </c>
      <c r="H190" s="3">
        <v>80</v>
      </c>
      <c r="I190" s="77" t="str">
        <f t="shared" si="739"/>
        <v/>
      </c>
      <c r="J190" s="32"/>
      <c r="K190" s="3"/>
      <c r="L190" s="39"/>
      <c r="M190" s="39"/>
      <c r="N190" s="39"/>
      <c r="O190" s="39"/>
      <c r="P190" s="39"/>
      <c r="Q190" s="39"/>
      <c r="R190" s="39"/>
      <c r="S190" s="39"/>
      <c r="T190" s="3" t="s">
        <v>645</v>
      </c>
      <c r="U190" s="77" t="str">
        <f t="shared" si="740"/>
        <v/>
      </c>
      <c r="V190" s="39">
        <v>1</v>
      </c>
      <c r="W190" s="79">
        <f t="shared" si="754"/>
        <v>0</v>
      </c>
      <c r="X190" s="3">
        <v>0</v>
      </c>
      <c r="Y190" s="77" t="str">
        <f t="shared" si="741"/>
        <v/>
      </c>
      <c r="Z190" s="3"/>
      <c r="AA190" s="37" t="str">
        <f t="shared" si="755"/>
        <v/>
      </c>
      <c r="AC190" s="40"/>
      <c r="AD190" s="7"/>
      <c r="AE190" s="77" t="str">
        <f t="shared" si="742"/>
        <v/>
      </c>
      <c r="AF190" s="81">
        <f t="shared" si="768"/>
        <v>0</v>
      </c>
      <c r="AG190" s="40"/>
      <c r="AH190" s="7"/>
      <c r="AI190" s="77" t="str">
        <f t="shared" si="743"/>
        <v/>
      </c>
      <c r="AJ190" s="81">
        <f t="shared" si="769"/>
        <v>0</v>
      </c>
      <c r="AK190" s="83">
        <f t="shared" si="770"/>
        <v>0</v>
      </c>
      <c r="AL190" s="83">
        <f t="shared" si="771"/>
        <v>0</v>
      </c>
      <c r="AN190" s="43">
        <f t="shared" si="744"/>
        <v>0</v>
      </c>
      <c r="AP190" t="str">
        <f t="shared" si="772"/>
        <v/>
      </c>
      <c r="AQ190" t="str">
        <f t="shared" si="773"/>
        <v/>
      </c>
      <c r="AR190" t="str">
        <f t="shared" si="774"/>
        <v/>
      </c>
      <c r="AS190" t="str">
        <f t="shared" si="775"/>
        <v/>
      </c>
      <c r="AT190" t="str">
        <f t="shared" si="776"/>
        <v/>
      </c>
      <c r="AU190" t="str">
        <f t="shared" si="777"/>
        <v/>
      </c>
      <c r="AV190" t="str">
        <f t="shared" si="778"/>
        <v/>
      </c>
      <c r="AW190" t="str">
        <f t="shared" si="779"/>
        <v xml:space="preserve">                              </v>
      </c>
      <c r="AX190" s="23">
        <f t="shared" si="780"/>
        <v>0</v>
      </c>
      <c r="AY190" s="49" t="str">
        <f t="shared" si="756"/>
        <v>000000000000000</v>
      </c>
      <c r="AZ190" s="23">
        <f t="shared" si="781"/>
        <v>0</v>
      </c>
      <c r="BA190" s="49" t="str">
        <f t="shared" si="756"/>
        <v>000000000000000</v>
      </c>
      <c r="BB190" s="23">
        <f t="shared" si="782"/>
        <v>0</v>
      </c>
      <c r="BC190" s="49" t="str">
        <f t="shared" ref="BC190" si="1089">IF(BB190&lt;0,SUBSTITUTE(TEXT(BB190,"000000000000,00"),",",""),SUBSTITUTE(TEXT(BB190,"0000000000000,00"),",",""))</f>
        <v>000000000000000</v>
      </c>
      <c r="BD190" s="23">
        <f t="shared" si="784"/>
        <v>0</v>
      </c>
      <c r="BE190" s="49" t="str">
        <f t="shared" ref="BE190" si="1090">IF(BD190&lt;0,SUBSTITUTE(TEXT(BD190,"000000000000,00"),",",""),SUBSTITUTE(TEXT(BD190,"0000000000000,00"),",",""))</f>
        <v>000000000000000</v>
      </c>
      <c r="BF190" s="23">
        <f t="shared" si="786"/>
        <v>0</v>
      </c>
      <c r="BG190" s="49" t="str">
        <f t="shared" ref="BG190" si="1091">IF(BF190&lt;0,SUBSTITUTE(TEXT(BF190,"000000000000,00"),",",""),SUBSTITUTE(TEXT(BF190,"0000000000000,00"),",",""))</f>
        <v>000000000000000</v>
      </c>
      <c r="BH190" s="23">
        <f t="shared" si="788"/>
        <v>0</v>
      </c>
      <c r="BI190" s="49" t="str">
        <f t="shared" ref="BI190" si="1092">IF(BH190&lt;0,SUBSTITUTE(TEXT(BH190,"000000000000,00"),",",""),SUBSTITUTE(TEXT(BH190,"0000000000000,00"),",",""))</f>
        <v>000000000000000</v>
      </c>
      <c r="BJ190" s="23">
        <f t="shared" si="790"/>
        <v>0</v>
      </c>
      <c r="BK190" s="49" t="str">
        <f t="shared" ref="BK190" si="1093">IF(BJ190&lt;0,SUBSTITUTE(TEXT(BJ190,"000000000000,00"),",",""),SUBSTITUTE(TEXT(BJ190,"0000000000000,00"),",",""))</f>
        <v>000000000000000</v>
      </c>
      <c r="BL190" s="23">
        <f t="shared" si="792"/>
        <v>0</v>
      </c>
      <c r="BM190" s="49" t="str">
        <f t="shared" ref="BM190" si="1094">IF(BL190&lt;0,SUBSTITUTE(TEXT(BL190,"000000000000,00"),",",""),SUBSTITUTE(TEXT(BL190,"0000000000000,00"),",",""))</f>
        <v>000000000000000</v>
      </c>
      <c r="BN190" t="str">
        <f t="shared" si="794"/>
        <v>PES</v>
      </c>
      <c r="BO190" t="str">
        <f t="shared" si="795"/>
        <v>0001000000</v>
      </c>
      <c r="BP190">
        <f t="shared" si="796"/>
        <v>0</v>
      </c>
      <c r="BQ190">
        <f t="shared" si="797"/>
        <v>0</v>
      </c>
      <c r="BR190" s="23">
        <f t="shared" si="798"/>
        <v>0</v>
      </c>
      <c r="BS190" s="49" t="str">
        <f t="shared" si="763"/>
        <v>000000000000000</v>
      </c>
      <c r="BT190" t="str">
        <f t="shared" si="799"/>
        <v>00000000</v>
      </c>
      <c r="BU190" s="23">
        <f t="shared" si="800"/>
        <v>0</v>
      </c>
      <c r="BV190" s="49" t="str">
        <f t="shared" si="764"/>
        <v/>
      </c>
      <c r="BW190" s="52" t="str">
        <f t="shared" si="801"/>
        <v/>
      </c>
      <c r="BX190" s="23">
        <f t="shared" si="802"/>
        <v>0</v>
      </c>
      <c r="BY190" s="49" t="str">
        <f t="shared" si="765"/>
        <v/>
      </c>
      <c r="BZ190" s="23">
        <f t="shared" si="803"/>
        <v>0</v>
      </c>
      <c r="CA190" s="49" t="str">
        <f t="shared" si="766"/>
        <v/>
      </c>
      <c r="CB190" s="52" t="str">
        <f t="shared" si="804"/>
        <v/>
      </c>
      <c r="CC190" s="23">
        <f t="shared" si="805"/>
        <v>0</v>
      </c>
      <c r="CD190" s="49" t="str">
        <f t="shared" si="767"/>
        <v/>
      </c>
      <c r="CE190" s="56" t="str">
        <f>IF(CF190="","",MAX(CE$10:$CE189)+1)</f>
        <v/>
      </c>
      <c r="CF190" t="str">
        <f t="shared" si="806"/>
        <v/>
      </c>
      <c r="CG190" s="22" t="str">
        <f>IF(CH190="","",MAX($CG$10:CG189)+1)</f>
        <v/>
      </c>
      <c r="CH190" s="22" t="str">
        <f t="shared" si="751"/>
        <v/>
      </c>
      <c r="CI190" s="22" t="str">
        <f>IF(CJ190="","",MAX($CI$10:CI189)+1)</f>
        <v/>
      </c>
      <c r="CJ190" s="22" t="str">
        <f t="shared" si="752"/>
        <v/>
      </c>
    </row>
    <row r="191" spans="2:88" x14ac:dyDescent="0.25">
      <c r="B191" s="37"/>
      <c r="C191" s="3"/>
      <c r="D191" s="77" t="str">
        <f t="shared" si="738"/>
        <v/>
      </c>
      <c r="E191" s="38"/>
      <c r="F191" s="38"/>
      <c r="G191" s="78">
        <f t="shared" si="753"/>
        <v>0</v>
      </c>
      <c r="H191" s="3">
        <v>80</v>
      </c>
      <c r="I191" s="77" t="str">
        <f t="shared" si="739"/>
        <v/>
      </c>
      <c r="J191" s="32"/>
      <c r="K191" s="3"/>
      <c r="L191" s="39"/>
      <c r="M191" s="39"/>
      <c r="N191" s="39"/>
      <c r="O191" s="39"/>
      <c r="P191" s="39"/>
      <c r="Q191" s="39"/>
      <c r="R191" s="39"/>
      <c r="S191" s="39"/>
      <c r="T191" s="3" t="s">
        <v>645</v>
      </c>
      <c r="U191" s="77" t="str">
        <f t="shared" si="740"/>
        <v/>
      </c>
      <c r="V191" s="39">
        <v>1</v>
      </c>
      <c r="W191" s="79">
        <f t="shared" si="754"/>
        <v>0</v>
      </c>
      <c r="X191" s="3">
        <v>0</v>
      </c>
      <c r="Y191" s="77" t="str">
        <f t="shared" si="741"/>
        <v/>
      </c>
      <c r="Z191" s="3"/>
      <c r="AA191" s="37" t="str">
        <f t="shared" si="755"/>
        <v/>
      </c>
      <c r="AC191" s="40"/>
      <c r="AD191" s="7"/>
      <c r="AE191" s="77" t="str">
        <f t="shared" si="742"/>
        <v/>
      </c>
      <c r="AF191" s="81">
        <f t="shared" si="768"/>
        <v>0</v>
      </c>
      <c r="AG191" s="40"/>
      <c r="AH191" s="7"/>
      <c r="AI191" s="77" t="str">
        <f t="shared" si="743"/>
        <v/>
      </c>
      <c r="AJ191" s="81">
        <f t="shared" si="769"/>
        <v>0</v>
      </c>
      <c r="AK191" s="83">
        <f t="shared" si="770"/>
        <v>0</v>
      </c>
      <c r="AL191" s="83">
        <f t="shared" si="771"/>
        <v>0</v>
      </c>
      <c r="AN191" s="43">
        <f t="shared" si="744"/>
        <v>0</v>
      </c>
      <c r="AP191" t="str">
        <f t="shared" si="772"/>
        <v/>
      </c>
      <c r="AQ191" t="str">
        <f t="shared" si="773"/>
        <v/>
      </c>
      <c r="AR191" t="str">
        <f t="shared" si="774"/>
        <v/>
      </c>
      <c r="AS191" t="str">
        <f t="shared" si="775"/>
        <v/>
      </c>
      <c r="AT191" t="str">
        <f t="shared" si="776"/>
        <v/>
      </c>
      <c r="AU191" t="str">
        <f t="shared" si="777"/>
        <v/>
      </c>
      <c r="AV191" t="str">
        <f t="shared" si="778"/>
        <v/>
      </c>
      <c r="AW191" t="str">
        <f t="shared" si="779"/>
        <v xml:space="preserve">                              </v>
      </c>
      <c r="AX191" s="23">
        <f t="shared" si="780"/>
        <v>0</v>
      </c>
      <c r="AY191" s="49" t="str">
        <f t="shared" si="756"/>
        <v>000000000000000</v>
      </c>
      <c r="AZ191" s="23">
        <f t="shared" si="781"/>
        <v>0</v>
      </c>
      <c r="BA191" s="49" t="str">
        <f t="shared" si="756"/>
        <v>000000000000000</v>
      </c>
      <c r="BB191" s="23">
        <f t="shared" si="782"/>
        <v>0</v>
      </c>
      <c r="BC191" s="49" t="str">
        <f t="shared" ref="BC191" si="1095">IF(BB191&lt;0,SUBSTITUTE(TEXT(BB191,"000000000000,00"),",",""),SUBSTITUTE(TEXT(BB191,"0000000000000,00"),",",""))</f>
        <v>000000000000000</v>
      </c>
      <c r="BD191" s="23">
        <f t="shared" si="784"/>
        <v>0</v>
      </c>
      <c r="BE191" s="49" t="str">
        <f t="shared" ref="BE191" si="1096">IF(BD191&lt;0,SUBSTITUTE(TEXT(BD191,"000000000000,00"),",",""),SUBSTITUTE(TEXT(BD191,"0000000000000,00"),",",""))</f>
        <v>000000000000000</v>
      </c>
      <c r="BF191" s="23">
        <f t="shared" si="786"/>
        <v>0</v>
      </c>
      <c r="BG191" s="49" t="str">
        <f t="shared" ref="BG191" si="1097">IF(BF191&lt;0,SUBSTITUTE(TEXT(BF191,"000000000000,00"),",",""),SUBSTITUTE(TEXT(BF191,"0000000000000,00"),",",""))</f>
        <v>000000000000000</v>
      </c>
      <c r="BH191" s="23">
        <f t="shared" si="788"/>
        <v>0</v>
      </c>
      <c r="BI191" s="49" t="str">
        <f t="shared" ref="BI191" si="1098">IF(BH191&lt;0,SUBSTITUTE(TEXT(BH191,"000000000000,00"),",",""),SUBSTITUTE(TEXT(BH191,"0000000000000,00"),",",""))</f>
        <v>000000000000000</v>
      </c>
      <c r="BJ191" s="23">
        <f t="shared" si="790"/>
        <v>0</v>
      </c>
      <c r="BK191" s="49" t="str">
        <f t="shared" ref="BK191" si="1099">IF(BJ191&lt;0,SUBSTITUTE(TEXT(BJ191,"000000000000,00"),",",""),SUBSTITUTE(TEXT(BJ191,"0000000000000,00"),",",""))</f>
        <v>000000000000000</v>
      </c>
      <c r="BL191" s="23">
        <f t="shared" si="792"/>
        <v>0</v>
      </c>
      <c r="BM191" s="49" t="str">
        <f t="shared" ref="BM191" si="1100">IF(BL191&lt;0,SUBSTITUTE(TEXT(BL191,"000000000000,00"),",",""),SUBSTITUTE(TEXT(BL191,"0000000000000,00"),",",""))</f>
        <v>000000000000000</v>
      </c>
      <c r="BN191" t="str">
        <f t="shared" si="794"/>
        <v>PES</v>
      </c>
      <c r="BO191" t="str">
        <f t="shared" si="795"/>
        <v>0001000000</v>
      </c>
      <c r="BP191">
        <f t="shared" si="796"/>
        <v>0</v>
      </c>
      <c r="BQ191">
        <f t="shared" si="797"/>
        <v>0</v>
      </c>
      <c r="BR191" s="23">
        <f t="shared" si="798"/>
        <v>0</v>
      </c>
      <c r="BS191" s="49" t="str">
        <f t="shared" si="763"/>
        <v>000000000000000</v>
      </c>
      <c r="BT191" t="str">
        <f t="shared" si="799"/>
        <v>00000000</v>
      </c>
      <c r="BU191" s="23">
        <f t="shared" si="800"/>
        <v>0</v>
      </c>
      <c r="BV191" s="49" t="str">
        <f t="shared" si="764"/>
        <v/>
      </c>
      <c r="BW191" s="52" t="str">
        <f t="shared" si="801"/>
        <v/>
      </c>
      <c r="BX191" s="23">
        <f t="shared" si="802"/>
        <v>0</v>
      </c>
      <c r="BY191" s="49" t="str">
        <f t="shared" si="765"/>
        <v/>
      </c>
      <c r="BZ191" s="23">
        <f t="shared" si="803"/>
        <v>0</v>
      </c>
      <c r="CA191" s="49" t="str">
        <f t="shared" si="766"/>
        <v/>
      </c>
      <c r="CB191" s="52" t="str">
        <f t="shared" si="804"/>
        <v/>
      </c>
      <c r="CC191" s="23">
        <f t="shared" si="805"/>
        <v>0</v>
      </c>
      <c r="CD191" s="49" t="str">
        <f t="shared" si="767"/>
        <v/>
      </c>
      <c r="CE191" s="56" t="str">
        <f>IF(CF191="","",MAX(CE$10:$CE190)+1)</f>
        <v/>
      </c>
      <c r="CF191" t="str">
        <f t="shared" si="806"/>
        <v/>
      </c>
      <c r="CG191" s="22" t="str">
        <f>IF(CH191="","",MAX($CG$10:CG190)+1)</f>
        <v/>
      </c>
      <c r="CH191" s="22" t="str">
        <f t="shared" si="751"/>
        <v/>
      </c>
      <c r="CI191" s="22" t="str">
        <f>IF(CJ191="","",MAX($CI$10:CI190)+1)</f>
        <v/>
      </c>
      <c r="CJ191" s="22" t="str">
        <f t="shared" si="752"/>
        <v/>
      </c>
    </row>
    <row r="192" spans="2:88" x14ac:dyDescent="0.25">
      <c r="B192" s="37"/>
      <c r="C192" s="3"/>
      <c r="D192" s="77" t="str">
        <f t="shared" si="738"/>
        <v/>
      </c>
      <c r="E192" s="38"/>
      <c r="F192" s="38"/>
      <c r="G192" s="78">
        <f t="shared" si="753"/>
        <v>0</v>
      </c>
      <c r="H192" s="3">
        <v>80</v>
      </c>
      <c r="I192" s="77" t="str">
        <f t="shared" si="739"/>
        <v/>
      </c>
      <c r="J192" s="32"/>
      <c r="K192" s="3"/>
      <c r="L192" s="39"/>
      <c r="M192" s="39"/>
      <c r="N192" s="39"/>
      <c r="O192" s="39"/>
      <c r="P192" s="39"/>
      <c r="Q192" s="39"/>
      <c r="R192" s="39"/>
      <c r="S192" s="39"/>
      <c r="T192" s="3" t="s">
        <v>645</v>
      </c>
      <c r="U192" s="77" t="str">
        <f t="shared" si="740"/>
        <v/>
      </c>
      <c r="V192" s="39">
        <v>1</v>
      </c>
      <c r="W192" s="79">
        <f t="shared" si="754"/>
        <v>0</v>
      </c>
      <c r="X192" s="3">
        <v>0</v>
      </c>
      <c r="Y192" s="77" t="str">
        <f t="shared" si="741"/>
        <v/>
      </c>
      <c r="Z192" s="3"/>
      <c r="AA192" s="37" t="str">
        <f t="shared" si="755"/>
        <v/>
      </c>
      <c r="AC192" s="40"/>
      <c r="AD192" s="7"/>
      <c r="AE192" s="77" t="str">
        <f t="shared" si="742"/>
        <v/>
      </c>
      <c r="AF192" s="81">
        <f t="shared" si="768"/>
        <v>0</v>
      </c>
      <c r="AG192" s="40"/>
      <c r="AH192" s="7"/>
      <c r="AI192" s="77" t="str">
        <f t="shared" si="743"/>
        <v/>
      </c>
      <c r="AJ192" s="81">
        <f t="shared" si="769"/>
        <v>0</v>
      </c>
      <c r="AK192" s="83">
        <f t="shared" si="770"/>
        <v>0</v>
      </c>
      <c r="AL192" s="83">
        <f t="shared" si="771"/>
        <v>0</v>
      </c>
      <c r="AN192" s="43">
        <f t="shared" si="744"/>
        <v>0</v>
      </c>
      <c r="AP192" t="str">
        <f t="shared" si="772"/>
        <v/>
      </c>
      <c r="AQ192" t="str">
        <f t="shared" si="773"/>
        <v/>
      </c>
      <c r="AR192" t="str">
        <f t="shared" si="774"/>
        <v/>
      </c>
      <c r="AS192" t="str">
        <f t="shared" si="775"/>
        <v/>
      </c>
      <c r="AT192" t="str">
        <f t="shared" si="776"/>
        <v/>
      </c>
      <c r="AU192" t="str">
        <f t="shared" si="777"/>
        <v/>
      </c>
      <c r="AV192" t="str">
        <f t="shared" si="778"/>
        <v/>
      </c>
      <c r="AW192" t="str">
        <f t="shared" si="779"/>
        <v xml:space="preserve">                              </v>
      </c>
      <c r="AX192" s="23">
        <f t="shared" si="780"/>
        <v>0</v>
      </c>
      <c r="AY192" s="49" t="str">
        <f t="shared" si="756"/>
        <v>000000000000000</v>
      </c>
      <c r="AZ192" s="23">
        <f t="shared" si="781"/>
        <v>0</v>
      </c>
      <c r="BA192" s="49" t="str">
        <f t="shared" si="756"/>
        <v>000000000000000</v>
      </c>
      <c r="BB192" s="23">
        <f t="shared" si="782"/>
        <v>0</v>
      </c>
      <c r="BC192" s="49" t="str">
        <f t="shared" ref="BC192" si="1101">IF(BB192&lt;0,SUBSTITUTE(TEXT(BB192,"000000000000,00"),",",""),SUBSTITUTE(TEXT(BB192,"0000000000000,00"),",",""))</f>
        <v>000000000000000</v>
      </c>
      <c r="BD192" s="23">
        <f t="shared" si="784"/>
        <v>0</v>
      </c>
      <c r="BE192" s="49" t="str">
        <f t="shared" ref="BE192" si="1102">IF(BD192&lt;0,SUBSTITUTE(TEXT(BD192,"000000000000,00"),",",""),SUBSTITUTE(TEXT(BD192,"0000000000000,00"),",",""))</f>
        <v>000000000000000</v>
      </c>
      <c r="BF192" s="23">
        <f t="shared" si="786"/>
        <v>0</v>
      </c>
      <c r="BG192" s="49" t="str">
        <f t="shared" ref="BG192" si="1103">IF(BF192&lt;0,SUBSTITUTE(TEXT(BF192,"000000000000,00"),",",""),SUBSTITUTE(TEXT(BF192,"0000000000000,00"),",",""))</f>
        <v>000000000000000</v>
      </c>
      <c r="BH192" s="23">
        <f t="shared" si="788"/>
        <v>0</v>
      </c>
      <c r="BI192" s="49" t="str">
        <f t="shared" ref="BI192" si="1104">IF(BH192&lt;0,SUBSTITUTE(TEXT(BH192,"000000000000,00"),",",""),SUBSTITUTE(TEXT(BH192,"0000000000000,00"),",",""))</f>
        <v>000000000000000</v>
      </c>
      <c r="BJ192" s="23">
        <f t="shared" si="790"/>
        <v>0</v>
      </c>
      <c r="BK192" s="49" t="str">
        <f t="shared" ref="BK192" si="1105">IF(BJ192&lt;0,SUBSTITUTE(TEXT(BJ192,"000000000000,00"),",",""),SUBSTITUTE(TEXT(BJ192,"0000000000000,00"),",",""))</f>
        <v>000000000000000</v>
      </c>
      <c r="BL192" s="23">
        <f t="shared" si="792"/>
        <v>0</v>
      </c>
      <c r="BM192" s="49" t="str">
        <f t="shared" ref="BM192" si="1106">IF(BL192&lt;0,SUBSTITUTE(TEXT(BL192,"000000000000,00"),",",""),SUBSTITUTE(TEXT(BL192,"0000000000000,00"),",",""))</f>
        <v>000000000000000</v>
      </c>
      <c r="BN192" t="str">
        <f t="shared" si="794"/>
        <v>PES</v>
      </c>
      <c r="BO192" t="str">
        <f t="shared" si="795"/>
        <v>0001000000</v>
      </c>
      <c r="BP192">
        <f t="shared" si="796"/>
        <v>0</v>
      </c>
      <c r="BQ192">
        <f t="shared" si="797"/>
        <v>0</v>
      </c>
      <c r="BR192" s="23">
        <f t="shared" si="798"/>
        <v>0</v>
      </c>
      <c r="BS192" s="49" t="str">
        <f t="shared" si="763"/>
        <v>000000000000000</v>
      </c>
      <c r="BT192" t="str">
        <f t="shared" si="799"/>
        <v>00000000</v>
      </c>
      <c r="BU192" s="23">
        <f t="shared" si="800"/>
        <v>0</v>
      </c>
      <c r="BV192" s="49" t="str">
        <f t="shared" si="764"/>
        <v/>
      </c>
      <c r="BW192" s="52" t="str">
        <f t="shared" si="801"/>
        <v/>
      </c>
      <c r="BX192" s="23">
        <f t="shared" si="802"/>
        <v>0</v>
      </c>
      <c r="BY192" s="49" t="str">
        <f t="shared" si="765"/>
        <v/>
      </c>
      <c r="BZ192" s="23">
        <f t="shared" si="803"/>
        <v>0</v>
      </c>
      <c r="CA192" s="49" t="str">
        <f t="shared" si="766"/>
        <v/>
      </c>
      <c r="CB192" s="52" t="str">
        <f t="shared" si="804"/>
        <v/>
      </c>
      <c r="CC192" s="23">
        <f t="shared" si="805"/>
        <v>0</v>
      </c>
      <c r="CD192" s="49" t="str">
        <f t="shared" si="767"/>
        <v/>
      </c>
      <c r="CE192" s="56" t="str">
        <f>IF(CF192="","",MAX(CE$10:$CE191)+1)</f>
        <v/>
      </c>
      <c r="CF192" t="str">
        <f t="shared" si="806"/>
        <v/>
      </c>
      <c r="CG192" s="22" t="str">
        <f>IF(CH192="","",MAX($CG$10:CG191)+1)</f>
        <v/>
      </c>
      <c r="CH192" s="22" t="str">
        <f t="shared" si="751"/>
        <v/>
      </c>
      <c r="CI192" s="22" t="str">
        <f>IF(CJ192="","",MAX($CI$10:CI191)+1)</f>
        <v/>
      </c>
      <c r="CJ192" s="22" t="str">
        <f t="shared" si="752"/>
        <v/>
      </c>
    </row>
    <row r="193" spans="2:88" x14ac:dyDescent="0.25">
      <c r="B193" s="37"/>
      <c r="C193" s="3"/>
      <c r="D193" s="77" t="str">
        <f t="shared" si="738"/>
        <v/>
      </c>
      <c r="E193" s="38"/>
      <c r="F193" s="38"/>
      <c r="G193" s="78">
        <f t="shared" si="753"/>
        <v>0</v>
      </c>
      <c r="H193" s="3">
        <v>80</v>
      </c>
      <c r="I193" s="77" t="str">
        <f t="shared" si="739"/>
        <v/>
      </c>
      <c r="J193" s="32"/>
      <c r="K193" s="3"/>
      <c r="L193" s="39"/>
      <c r="M193" s="39"/>
      <c r="N193" s="39"/>
      <c r="O193" s="39"/>
      <c r="P193" s="39"/>
      <c r="Q193" s="39"/>
      <c r="R193" s="39"/>
      <c r="S193" s="39"/>
      <c r="T193" s="3" t="s">
        <v>645</v>
      </c>
      <c r="U193" s="77" t="str">
        <f t="shared" si="740"/>
        <v/>
      </c>
      <c r="V193" s="39">
        <v>1</v>
      </c>
      <c r="W193" s="79">
        <f t="shared" si="754"/>
        <v>0</v>
      </c>
      <c r="X193" s="3">
        <v>0</v>
      </c>
      <c r="Y193" s="77" t="str">
        <f t="shared" si="741"/>
        <v/>
      </c>
      <c r="Z193" s="3"/>
      <c r="AA193" s="37" t="str">
        <f t="shared" si="755"/>
        <v/>
      </c>
      <c r="AC193" s="40"/>
      <c r="AD193" s="7"/>
      <c r="AE193" s="77" t="str">
        <f t="shared" si="742"/>
        <v/>
      </c>
      <c r="AF193" s="81">
        <f t="shared" si="768"/>
        <v>0</v>
      </c>
      <c r="AG193" s="40"/>
      <c r="AH193" s="7"/>
      <c r="AI193" s="77" t="str">
        <f t="shared" si="743"/>
        <v/>
      </c>
      <c r="AJ193" s="81">
        <f t="shared" si="769"/>
        <v>0</v>
      </c>
      <c r="AK193" s="83">
        <f t="shared" si="770"/>
        <v>0</v>
      </c>
      <c r="AL193" s="83">
        <f t="shared" si="771"/>
        <v>0</v>
      </c>
      <c r="AN193" s="43">
        <f t="shared" si="744"/>
        <v>0</v>
      </c>
      <c r="AP193" t="str">
        <f t="shared" si="772"/>
        <v/>
      </c>
      <c r="AQ193" t="str">
        <f t="shared" si="773"/>
        <v/>
      </c>
      <c r="AR193" t="str">
        <f t="shared" si="774"/>
        <v/>
      </c>
      <c r="AS193" t="str">
        <f t="shared" si="775"/>
        <v/>
      </c>
      <c r="AT193" t="str">
        <f t="shared" si="776"/>
        <v/>
      </c>
      <c r="AU193" t="str">
        <f t="shared" si="777"/>
        <v/>
      </c>
      <c r="AV193" t="str">
        <f t="shared" si="778"/>
        <v/>
      </c>
      <c r="AW193" t="str">
        <f t="shared" si="779"/>
        <v xml:space="preserve">                              </v>
      </c>
      <c r="AX193" s="23">
        <f t="shared" si="780"/>
        <v>0</v>
      </c>
      <c r="AY193" s="49" t="str">
        <f t="shared" si="756"/>
        <v>000000000000000</v>
      </c>
      <c r="AZ193" s="23">
        <f t="shared" si="781"/>
        <v>0</v>
      </c>
      <c r="BA193" s="49" t="str">
        <f t="shared" si="756"/>
        <v>000000000000000</v>
      </c>
      <c r="BB193" s="23">
        <f t="shared" si="782"/>
        <v>0</v>
      </c>
      <c r="BC193" s="49" t="str">
        <f t="shared" ref="BC193" si="1107">IF(BB193&lt;0,SUBSTITUTE(TEXT(BB193,"000000000000,00"),",",""),SUBSTITUTE(TEXT(BB193,"0000000000000,00"),",",""))</f>
        <v>000000000000000</v>
      </c>
      <c r="BD193" s="23">
        <f t="shared" si="784"/>
        <v>0</v>
      </c>
      <c r="BE193" s="49" t="str">
        <f t="shared" ref="BE193" si="1108">IF(BD193&lt;0,SUBSTITUTE(TEXT(BD193,"000000000000,00"),",",""),SUBSTITUTE(TEXT(BD193,"0000000000000,00"),",",""))</f>
        <v>000000000000000</v>
      </c>
      <c r="BF193" s="23">
        <f t="shared" si="786"/>
        <v>0</v>
      </c>
      <c r="BG193" s="49" t="str">
        <f t="shared" ref="BG193" si="1109">IF(BF193&lt;0,SUBSTITUTE(TEXT(BF193,"000000000000,00"),",",""),SUBSTITUTE(TEXT(BF193,"0000000000000,00"),",",""))</f>
        <v>000000000000000</v>
      </c>
      <c r="BH193" s="23">
        <f t="shared" si="788"/>
        <v>0</v>
      </c>
      <c r="BI193" s="49" t="str">
        <f t="shared" ref="BI193" si="1110">IF(BH193&lt;0,SUBSTITUTE(TEXT(BH193,"000000000000,00"),",",""),SUBSTITUTE(TEXT(BH193,"0000000000000,00"),",",""))</f>
        <v>000000000000000</v>
      </c>
      <c r="BJ193" s="23">
        <f t="shared" si="790"/>
        <v>0</v>
      </c>
      <c r="BK193" s="49" t="str">
        <f t="shared" ref="BK193" si="1111">IF(BJ193&lt;0,SUBSTITUTE(TEXT(BJ193,"000000000000,00"),",",""),SUBSTITUTE(TEXT(BJ193,"0000000000000,00"),",",""))</f>
        <v>000000000000000</v>
      </c>
      <c r="BL193" s="23">
        <f t="shared" si="792"/>
        <v>0</v>
      </c>
      <c r="BM193" s="49" t="str">
        <f t="shared" ref="BM193" si="1112">IF(BL193&lt;0,SUBSTITUTE(TEXT(BL193,"000000000000,00"),",",""),SUBSTITUTE(TEXT(BL193,"0000000000000,00"),",",""))</f>
        <v>000000000000000</v>
      </c>
      <c r="BN193" t="str">
        <f t="shared" si="794"/>
        <v>PES</v>
      </c>
      <c r="BO193" t="str">
        <f t="shared" si="795"/>
        <v>0001000000</v>
      </c>
      <c r="BP193">
        <f t="shared" si="796"/>
        <v>0</v>
      </c>
      <c r="BQ193">
        <f t="shared" si="797"/>
        <v>0</v>
      </c>
      <c r="BR193" s="23">
        <f t="shared" si="798"/>
        <v>0</v>
      </c>
      <c r="BS193" s="49" t="str">
        <f t="shared" si="763"/>
        <v>000000000000000</v>
      </c>
      <c r="BT193" t="str">
        <f t="shared" si="799"/>
        <v>00000000</v>
      </c>
      <c r="BU193" s="23">
        <f t="shared" si="800"/>
        <v>0</v>
      </c>
      <c r="BV193" s="49" t="str">
        <f t="shared" si="764"/>
        <v/>
      </c>
      <c r="BW193" s="52" t="str">
        <f t="shared" si="801"/>
        <v/>
      </c>
      <c r="BX193" s="23">
        <f t="shared" si="802"/>
        <v>0</v>
      </c>
      <c r="BY193" s="49" t="str">
        <f t="shared" si="765"/>
        <v/>
      </c>
      <c r="BZ193" s="23">
        <f t="shared" si="803"/>
        <v>0</v>
      </c>
      <c r="CA193" s="49" t="str">
        <f t="shared" si="766"/>
        <v/>
      </c>
      <c r="CB193" s="52" t="str">
        <f t="shared" si="804"/>
        <v/>
      </c>
      <c r="CC193" s="23">
        <f t="shared" si="805"/>
        <v>0</v>
      </c>
      <c r="CD193" s="49" t="str">
        <f t="shared" si="767"/>
        <v/>
      </c>
      <c r="CE193" s="56" t="str">
        <f>IF(CF193="","",MAX(CE$10:$CE192)+1)</f>
        <v/>
      </c>
      <c r="CF193" t="str">
        <f t="shared" si="806"/>
        <v/>
      </c>
      <c r="CG193" s="22" t="str">
        <f>IF(CH193="","",MAX($CG$10:CG192)+1)</f>
        <v/>
      </c>
      <c r="CH193" s="22" t="str">
        <f t="shared" si="751"/>
        <v/>
      </c>
      <c r="CI193" s="22" t="str">
        <f>IF(CJ193="","",MAX($CI$10:CI192)+1)</f>
        <v/>
      </c>
      <c r="CJ193" s="22" t="str">
        <f t="shared" si="752"/>
        <v/>
      </c>
    </row>
    <row r="194" spans="2:88" x14ac:dyDescent="0.25">
      <c r="B194" s="37"/>
      <c r="C194" s="3"/>
      <c r="D194" s="77" t="str">
        <f t="shared" si="738"/>
        <v/>
      </c>
      <c r="E194" s="38"/>
      <c r="F194" s="38"/>
      <c r="G194" s="78">
        <f t="shared" si="753"/>
        <v>0</v>
      </c>
      <c r="H194" s="3">
        <v>80</v>
      </c>
      <c r="I194" s="77" t="str">
        <f t="shared" si="739"/>
        <v/>
      </c>
      <c r="J194" s="32"/>
      <c r="K194" s="3"/>
      <c r="L194" s="39"/>
      <c r="M194" s="39"/>
      <c r="N194" s="39"/>
      <c r="O194" s="39"/>
      <c r="P194" s="39"/>
      <c r="Q194" s="39"/>
      <c r="R194" s="39"/>
      <c r="S194" s="39"/>
      <c r="T194" s="3" t="s">
        <v>645</v>
      </c>
      <c r="U194" s="77" t="str">
        <f t="shared" si="740"/>
        <v/>
      </c>
      <c r="V194" s="39">
        <v>1</v>
      </c>
      <c r="W194" s="79">
        <f t="shared" si="754"/>
        <v>0</v>
      </c>
      <c r="X194" s="3">
        <v>0</v>
      </c>
      <c r="Y194" s="77" t="str">
        <f t="shared" si="741"/>
        <v/>
      </c>
      <c r="Z194" s="3"/>
      <c r="AA194" s="37" t="str">
        <f t="shared" si="755"/>
        <v/>
      </c>
      <c r="AC194" s="40"/>
      <c r="AD194" s="7"/>
      <c r="AE194" s="77" t="str">
        <f t="shared" si="742"/>
        <v/>
      </c>
      <c r="AF194" s="81">
        <f t="shared" si="768"/>
        <v>0</v>
      </c>
      <c r="AG194" s="40"/>
      <c r="AH194" s="7"/>
      <c r="AI194" s="77" t="str">
        <f t="shared" si="743"/>
        <v/>
      </c>
      <c r="AJ194" s="81">
        <f t="shared" si="769"/>
        <v>0</v>
      </c>
      <c r="AK194" s="83">
        <f t="shared" si="770"/>
        <v>0</v>
      </c>
      <c r="AL194" s="83">
        <f t="shared" si="771"/>
        <v>0</v>
      </c>
      <c r="AN194" s="43">
        <f t="shared" si="744"/>
        <v>0</v>
      </c>
      <c r="AP194" t="str">
        <f t="shared" si="772"/>
        <v/>
      </c>
      <c r="AQ194" t="str">
        <f t="shared" si="773"/>
        <v/>
      </c>
      <c r="AR194" t="str">
        <f t="shared" si="774"/>
        <v/>
      </c>
      <c r="AS194" t="str">
        <f t="shared" si="775"/>
        <v/>
      </c>
      <c r="AT194" t="str">
        <f t="shared" si="776"/>
        <v/>
      </c>
      <c r="AU194" t="str">
        <f t="shared" si="777"/>
        <v/>
      </c>
      <c r="AV194" t="str">
        <f t="shared" si="778"/>
        <v/>
      </c>
      <c r="AW194" t="str">
        <f t="shared" si="779"/>
        <v xml:space="preserve">                              </v>
      </c>
      <c r="AX194" s="23">
        <f t="shared" si="780"/>
        <v>0</v>
      </c>
      <c r="AY194" s="49" t="str">
        <f t="shared" si="756"/>
        <v>000000000000000</v>
      </c>
      <c r="AZ194" s="23">
        <f t="shared" si="781"/>
        <v>0</v>
      </c>
      <c r="BA194" s="49" t="str">
        <f t="shared" si="756"/>
        <v>000000000000000</v>
      </c>
      <c r="BB194" s="23">
        <f t="shared" si="782"/>
        <v>0</v>
      </c>
      <c r="BC194" s="49" t="str">
        <f t="shared" ref="BC194" si="1113">IF(BB194&lt;0,SUBSTITUTE(TEXT(BB194,"000000000000,00"),",",""),SUBSTITUTE(TEXT(BB194,"0000000000000,00"),",",""))</f>
        <v>000000000000000</v>
      </c>
      <c r="BD194" s="23">
        <f t="shared" si="784"/>
        <v>0</v>
      </c>
      <c r="BE194" s="49" t="str">
        <f t="shared" ref="BE194" si="1114">IF(BD194&lt;0,SUBSTITUTE(TEXT(BD194,"000000000000,00"),",",""),SUBSTITUTE(TEXT(BD194,"0000000000000,00"),",",""))</f>
        <v>000000000000000</v>
      </c>
      <c r="BF194" s="23">
        <f t="shared" si="786"/>
        <v>0</v>
      </c>
      <c r="BG194" s="49" t="str">
        <f t="shared" ref="BG194" si="1115">IF(BF194&lt;0,SUBSTITUTE(TEXT(BF194,"000000000000,00"),",",""),SUBSTITUTE(TEXT(BF194,"0000000000000,00"),",",""))</f>
        <v>000000000000000</v>
      </c>
      <c r="BH194" s="23">
        <f t="shared" si="788"/>
        <v>0</v>
      </c>
      <c r="BI194" s="49" t="str">
        <f t="shared" ref="BI194" si="1116">IF(BH194&lt;0,SUBSTITUTE(TEXT(BH194,"000000000000,00"),",",""),SUBSTITUTE(TEXT(BH194,"0000000000000,00"),",",""))</f>
        <v>000000000000000</v>
      </c>
      <c r="BJ194" s="23">
        <f t="shared" si="790"/>
        <v>0</v>
      </c>
      <c r="BK194" s="49" t="str">
        <f t="shared" ref="BK194" si="1117">IF(BJ194&lt;0,SUBSTITUTE(TEXT(BJ194,"000000000000,00"),",",""),SUBSTITUTE(TEXT(BJ194,"0000000000000,00"),",",""))</f>
        <v>000000000000000</v>
      </c>
      <c r="BL194" s="23">
        <f t="shared" si="792"/>
        <v>0</v>
      </c>
      <c r="BM194" s="49" t="str">
        <f t="shared" ref="BM194" si="1118">IF(BL194&lt;0,SUBSTITUTE(TEXT(BL194,"000000000000,00"),",",""),SUBSTITUTE(TEXT(BL194,"0000000000000,00"),",",""))</f>
        <v>000000000000000</v>
      </c>
      <c r="BN194" t="str">
        <f t="shared" si="794"/>
        <v>PES</v>
      </c>
      <c r="BO194" t="str">
        <f t="shared" si="795"/>
        <v>0001000000</v>
      </c>
      <c r="BP194">
        <f t="shared" si="796"/>
        <v>0</v>
      </c>
      <c r="BQ194">
        <f t="shared" si="797"/>
        <v>0</v>
      </c>
      <c r="BR194" s="23">
        <f t="shared" si="798"/>
        <v>0</v>
      </c>
      <c r="BS194" s="49" t="str">
        <f t="shared" si="763"/>
        <v>000000000000000</v>
      </c>
      <c r="BT194" t="str">
        <f t="shared" si="799"/>
        <v>00000000</v>
      </c>
      <c r="BU194" s="23">
        <f t="shared" si="800"/>
        <v>0</v>
      </c>
      <c r="BV194" s="49" t="str">
        <f t="shared" si="764"/>
        <v/>
      </c>
      <c r="BW194" s="52" t="str">
        <f t="shared" si="801"/>
        <v/>
      </c>
      <c r="BX194" s="23">
        <f t="shared" si="802"/>
        <v>0</v>
      </c>
      <c r="BY194" s="49" t="str">
        <f t="shared" si="765"/>
        <v/>
      </c>
      <c r="BZ194" s="23">
        <f t="shared" si="803"/>
        <v>0</v>
      </c>
      <c r="CA194" s="49" t="str">
        <f t="shared" si="766"/>
        <v/>
      </c>
      <c r="CB194" s="52" t="str">
        <f t="shared" si="804"/>
        <v/>
      </c>
      <c r="CC194" s="23">
        <f t="shared" si="805"/>
        <v>0</v>
      </c>
      <c r="CD194" s="49" t="str">
        <f t="shared" si="767"/>
        <v/>
      </c>
      <c r="CE194" s="56" t="str">
        <f>IF(CF194="","",MAX(CE$10:$CE193)+1)</f>
        <v/>
      </c>
      <c r="CF194" t="str">
        <f t="shared" si="806"/>
        <v/>
      </c>
      <c r="CG194" s="22" t="str">
        <f>IF(CH194="","",MAX($CG$10:CG193)+1)</f>
        <v/>
      </c>
      <c r="CH194" s="22" t="str">
        <f t="shared" si="751"/>
        <v/>
      </c>
      <c r="CI194" s="22" t="str">
        <f>IF(CJ194="","",MAX($CI$10:CI193)+1)</f>
        <v/>
      </c>
      <c r="CJ194" s="22" t="str">
        <f t="shared" si="752"/>
        <v/>
      </c>
    </row>
    <row r="195" spans="2:88" x14ac:dyDescent="0.25">
      <c r="B195" s="37"/>
      <c r="C195" s="3"/>
      <c r="D195" s="77" t="str">
        <f t="shared" si="738"/>
        <v/>
      </c>
      <c r="E195" s="38"/>
      <c r="F195" s="38"/>
      <c r="G195" s="78">
        <f t="shared" si="753"/>
        <v>0</v>
      </c>
      <c r="H195" s="3">
        <v>80</v>
      </c>
      <c r="I195" s="77" t="str">
        <f t="shared" si="739"/>
        <v/>
      </c>
      <c r="J195" s="32"/>
      <c r="K195" s="3"/>
      <c r="L195" s="39"/>
      <c r="M195" s="39"/>
      <c r="N195" s="39"/>
      <c r="O195" s="39"/>
      <c r="P195" s="39"/>
      <c r="Q195" s="39"/>
      <c r="R195" s="39"/>
      <c r="S195" s="39"/>
      <c r="T195" s="3" t="s">
        <v>645</v>
      </c>
      <c r="U195" s="77" t="str">
        <f t="shared" si="740"/>
        <v/>
      </c>
      <c r="V195" s="39">
        <v>1</v>
      </c>
      <c r="W195" s="79">
        <f t="shared" si="754"/>
        <v>0</v>
      </c>
      <c r="X195" s="3">
        <v>0</v>
      </c>
      <c r="Y195" s="77" t="str">
        <f t="shared" si="741"/>
        <v/>
      </c>
      <c r="Z195" s="3"/>
      <c r="AA195" s="37" t="str">
        <f t="shared" si="755"/>
        <v/>
      </c>
      <c r="AC195" s="40"/>
      <c r="AD195" s="7"/>
      <c r="AE195" s="77" t="str">
        <f t="shared" si="742"/>
        <v/>
      </c>
      <c r="AF195" s="81">
        <f t="shared" si="768"/>
        <v>0</v>
      </c>
      <c r="AG195" s="40"/>
      <c r="AH195" s="7"/>
      <c r="AI195" s="77" t="str">
        <f t="shared" si="743"/>
        <v/>
      </c>
      <c r="AJ195" s="81">
        <f t="shared" si="769"/>
        <v>0</v>
      </c>
      <c r="AK195" s="83">
        <f t="shared" si="770"/>
        <v>0</v>
      </c>
      <c r="AL195" s="83">
        <f t="shared" si="771"/>
        <v>0</v>
      </c>
      <c r="AN195" s="43">
        <f t="shared" si="744"/>
        <v>0</v>
      </c>
      <c r="AP195" t="str">
        <f t="shared" si="772"/>
        <v/>
      </c>
      <c r="AQ195" t="str">
        <f t="shared" si="773"/>
        <v/>
      </c>
      <c r="AR195" t="str">
        <f t="shared" si="774"/>
        <v/>
      </c>
      <c r="AS195" t="str">
        <f t="shared" si="775"/>
        <v/>
      </c>
      <c r="AT195" t="str">
        <f t="shared" si="776"/>
        <v/>
      </c>
      <c r="AU195" t="str">
        <f t="shared" si="777"/>
        <v/>
      </c>
      <c r="AV195" t="str">
        <f t="shared" si="778"/>
        <v/>
      </c>
      <c r="AW195" t="str">
        <f t="shared" si="779"/>
        <v xml:space="preserve">                              </v>
      </c>
      <c r="AX195" s="23">
        <f t="shared" si="780"/>
        <v>0</v>
      </c>
      <c r="AY195" s="49" t="str">
        <f t="shared" si="756"/>
        <v>000000000000000</v>
      </c>
      <c r="AZ195" s="23">
        <f t="shared" si="781"/>
        <v>0</v>
      </c>
      <c r="BA195" s="49" t="str">
        <f t="shared" si="756"/>
        <v>000000000000000</v>
      </c>
      <c r="BB195" s="23">
        <f t="shared" si="782"/>
        <v>0</v>
      </c>
      <c r="BC195" s="49" t="str">
        <f t="shared" ref="BC195" si="1119">IF(BB195&lt;0,SUBSTITUTE(TEXT(BB195,"000000000000,00"),",",""),SUBSTITUTE(TEXT(BB195,"0000000000000,00"),",",""))</f>
        <v>000000000000000</v>
      </c>
      <c r="BD195" s="23">
        <f t="shared" si="784"/>
        <v>0</v>
      </c>
      <c r="BE195" s="49" t="str">
        <f t="shared" ref="BE195" si="1120">IF(BD195&lt;0,SUBSTITUTE(TEXT(BD195,"000000000000,00"),",",""),SUBSTITUTE(TEXT(BD195,"0000000000000,00"),",",""))</f>
        <v>000000000000000</v>
      </c>
      <c r="BF195" s="23">
        <f t="shared" si="786"/>
        <v>0</v>
      </c>
      <c r="BG195" s="49" t="str">
        <f t="shared" ref="BG195" si="1121">IF(BF195&lt;0,SUBSTITUTE(TEXT(BF195,"000000000000,00"),",",""),SUBSTITUTE(TEXT(BF195,"0000000000000,00"),",",""))</f>
        <v>000000000000000</v>
      </c>
      <c r="BH195" s="23">
        <f t="shared" si="788"/>
        <v>0</v>
      </c>
      <c r="BI195" s="49" t="str">
        <f t="shared" ref="BI195" si="1122">IF(BH195&lt;0,SUBSTITUTE(TEXT(BH195,"000000000000,00"),",",""),SUBSTITUTE(TEXT(BH195,"0000000000000,00"),",",""))</f>
        <v>000000000000000</v>
      </c>
      <c r="BJ195" s="23">
        <f t="shared" si="790"/>
        <v>0</v>
      </c>
      <c r="BK195" s="49" t="str">
        <f t="shared" ref="BK195" si="1123">IF(BJ195&lt;0,SUBSTITUTE(TEXT(BJ195,"000000000000,00"),",",""),SUBSTITUTE(TEXT(BJ195,"0000000000000,00"),",",""))</f>
        <v>000000000000000</v>
      </c>
      <c r="BL195" s="23">
        <f t="shared" si="792"/>
        <v>0</v>
      </c>
      <c r="BM195" s="49" t="str">
        <f t="shared" ref="BM195" si="1124">IF(BL195&lt;0,SUBSTITUTE(TEXT(BL195,"000000000000,00"),",",""),SUBSTITUTE(TEXT(BL195,"0000000000000,00"),",",""))</f>
        <v>000000000000000</v>
      </c>
      <c r="BN195" t="str">
        <f t="shared" si="794"/>
        <v>PES</v>
      </c>
      <c r="BO195" t="str">
        <f t="shared" si="795"/>
        <v>0001000000</v>
      </c>
      <c r="BP195">
        <f t="shared" si="796"/>
        <v>0</v>
      </c>
      <c r="BQ195">
        <f t="shared" si="797"/>
        <v>0</v>
      </c>
      <c r="BR195" s="23">
        <f t="shared" si="798"/>
        <v>0</v>
      </c>
      <c r="BS195" s="49" t="str">
        <f t="shared" si="763"/>
        <v>000000000000000</v>
      </c>
      <c r="BT195" t="str">
        <f t="shared" si="799"/>
        <v>00000000</v>
      </c>
      <c r="BU195" s="23">
        <f t="shared" si="800"/>
        <v>0</v>
      </c>
      <c r="BV195" s="49" t="str">
        <f t="shared" si="764"/>
        <v/>
      </c>
      <c r="BW195" s="52" t="str">
        <f t="shared" si="801"/>
        <v/>
      </c>
      <c r="BX195" s="23">
        <f t="shared" si="802"/>
        <v>0</v>
      </c>
      <c r="BY195" s="49" t="str">
        <f t="shared" si="765"/>
        <v/>
      </c>
      <c r="BZ195" s="23">
        <f t="shared" si="803"/>
        <v>0</v>
      </c>
      <c r="CA195" s="49" t="str">
        <f t="shared" si="766"/>
        <v/>
      </c>
      <c r="CB195" s="52" t="str">
        <f t="shared" si="804"/>
        <v/>
      </c>
      <c r="CC195" s="23">
        <f t="shared" si="805"/>
        <v>0</v>
      </c>
      <c r="CD195" s="49" t="str">
        <f t="shared" si="767"/>
        <v/>
      </c>
      <c r="CE195" s="56" t="str">
        <f>IF(CF195="","",MAX(CE$10:$CE194)+1)</f>
        <v/>
      </c>
      <c r="CF195" t="str">
        <f t="shared" si="806"/>
        <v/>
      </c>
      <c r="CG195" s="22" t="str">
        <f>IF(CH195="","",MAX($CG$10:CG194)+1)</f>
        <v/>
      </c>
      <c r="CH195" s="22" t="str">
        <f t="shared" si="751"/>
        <v/>
      </c>
      <c r="CI195" s="22" t="str">
        <f>IF(CJ195="","",MAX($CI$10:CI194)+1)</f>
        <v/>
      </c>
      <c r="CJ195" s="22" t="str">
        <f t="shared" si="752"/>
        <v/>
      </c>
    </row>
    <row r="196" spans="2:88" x14ac:dyDescent="0.25">
      <c r="B196" s="37"/>
      <c r="C196" s="3"/>
      <c r="D196" s="77" t="str">
        <f t="shared" si="738"/>
        <v/>
      </c>
      <c r="E196" s="38"/>
      <c r="F196" s="38"/>
      <c r="G196" s="78">
        <f t="shared" si="753"/>
        <v>0</v>
      </c>
      <c r="H196" s="3">
        <v>80</v>
      </c>
      <c r="I196" s="77" t="str">
        <f t="shared" si="739"/>
        <v/>
      </c>
      <c r="J196" s="32"/>
      <c r="K196" s="3"/>
      <c r="L196" s="39"/>
      <c r="M196" s="39"/>
      <c r="N196" s="39"/>
      <c r="O196" s="39"/>
      <c r="P196" s="39"/>
      <c r="Q196" s="39"/>
      <c r="R196" s="39"/>
      <c r="S196" s="39"/>
      <c r="T196" s="3" t="s">
        <v>645</v>
      </c>
      <c r="U196" s="77" t="str">
        <f t="shared" si="740"/>
        <v/>
      </c>
      <c r="V196" s="39">
        <v>1</v>
      </c>
      <c r="W196" s="79">
        <f t="shared" si="754"/>
        <v>0</v>
      </c>
      <c r="X196" s="3">
        <v>0</v>
      </c>
      <c r="Y196" s="77" t="str">
        <f t="shared" si="741"/>
        <v/>
      </c>
      <c r="Z196" s="3"/>
      <c r="AA196" s="37" t="str">
        <f t="shared" si="755"/>
        <v/>
      </c>
      <c r="AC196" s="40"/>
      <c r="AD196" s="7"/>
      <c r="AE196" s="77" t="str">
        <f t="shared" si="742"/>
        <v/>
      </c>
      <c r="AF196" s="81">
        <f t="shared" si="768"/>
        <v>0</v>
      </c>
      <c r="AG196" s="40"/>
      <c r="AH196" s="7"/>
      <c r="AI196" s="77" t="str">
        <f t="shared" si="743"/>
        <v/>
      </c>
      <c r="AJ196" s="81">
        <f t="shared" si="769"/>
        <v>0</v>
      </c>
      <c r="AK196" s="83">
        <f t="shared" si="770"/>
        <v>0</v>
      </c>
      <c r="AL196" s="83">
        <f t="shared" si="771"/>
        <v>0</v>
      </c>
      <c r="AN196" s="43">
        <f t="shared" si="744"/>
        <v>0</v>
      </c>
      <c r="AP196" t="str">
        <f t="shared" si="772"/>
        <v/>
      </c>
      <c r="AQ196" t="str">
        <f t="shared" si="773"/>
        <v/>
      </c>
      <c r="AR196" t="str">
        <f t="shared" si="774"/>
        <v/>
      </c>
      <c r="AS196" t="str">
        <f t="shared" si="775"/>
        <v/>
      </c>
      <c r="AT196" t="str">
        <f t="shared" si="776"/>
        <v/>
      </c>
      <c r="AU196" t="str">
        <f t="shared" si="777"/>
        <v/>
      </c>
      <c r="AV196" t="str">
        <f t="shared" si="778"/>
        <v/>
      </c>
      <c r="AW196" t="str">
        <f t="shared" si="779"/>
        <v xml:space="preserve">                              </v>
      </c>
      <c r="AX196" s="23">
        <f t="shared" si="780"/>
        <v>0</v>
      </c>
      <c r="AY196" s="49" t="str">
        <f t="shared" si="756"/>
        <v>000000000000000</v>
      </c>
      <c r="AZ196" s="23">
        <f t="shared" si="781"/>
        <v>0</v>
      </c>
      <c r="BA196" s="49" t="str">
        <f t="shared" si="756"/>
        <v>000000000000000</v>
      </c>
      <c r="BB196" s="23">
        <f t="shared" si="782"/>
        <v>0</v>
      </c>
      <c r="BC196" s="49" t="str">
        <f t="shared" ref="BC196" si="1125">IF(BB196&lt;0,SUBSTITUTE(TEXT(BB196,"000000000000,00"),",",""),SUBSTITUTE(TEXT(BB196,"0000000000000,00"),",",""))</f>
        <v>000000000000000</v>
      </c>
      <c r="BD196" s="23">
        <f t="shared" si="784"/>
        <v>0</v>
      </c>
      <c r="BE196" s="49" t="str">
        <f t="shared" ref="BE196" si="1126">IF(BD196&lt;0,SUBSTITUTE(TEXT(BD196,"000000000000,00"),",",""),SUBSTITUTE(TEXT(BD196,"0000000000000,00"),",",""))</f>
        <v>000000000000000</v>
      </c>
      <c r="BF196" s="23">
        <f t="shared" si="786"/>
        <v>0</v>
      </c>
      <c r="BG196" s="49" t="str">
        <f t="shared" ref="BG196" si="1127">IF(BF196&lt;0,SUBSTITUTE(TEXT(BF196,"000000000000,00"),",",""),SUBSTITUTE(TEXT(BF196,"0000000000000,00"),",",""))</f>
        <v>000000000000000</v>
      </c>
      <c r="BH196" s="23">
        <f t="shared" si="788"/>
        <v>0</v>
      </c>
      <c r="BI196" s="49" t="str">
        <f t="shared" ref="BI196" si="1128">IF(BH196&lt;0,SUBSTITUTE(TEXT(BH196,"000000000000,00"),",",""),SUBSTITUTE(TEXT(BH196,"0000000000000,00"),",",""))</f>
        <v>000000000000000</v>
      </c>
      <c r="BJ196" s="23">
        <f t="shared" si="790"/>
        <v>0</v>
      </c>
      <c r="BK196" s="49" t="str">
        <f t="shared" ref="BK196" si="1129">IF(BJ196&lt;0,SUBSTITUTE(TEXT(BJ196,"000000000000,00"),",",""),SUBSTITUTE(TEXT(BJ196,"0000000000000,00"),",",""))</f>
        <v>000000000000000</v>
      </c>
      <c r="BL196" s="23">
        <f t="shared" si="792"/>
        <v>0</v>
      </c>
      <c r="BM196" s="49" t="str">
        <f t="shared" ref="BM196" si="1130">IF(BL196&lt;0,SUBSTITUTE(TEXT(BL196,"000000000000,00"),",",""),SUBSTITUTE(TEXT(BL196,"0000000000000,00"),",",""))</f>
        <v>000000000000000</v>
      </c>
      <c r="BN196" t="str">
        <f t="shared" si="794"/>
        <v>PES</v>
      </c>
      <c r="BO196" t="str">
        <f t="shared" si="795"/>
        <v>0001000000</v>
      </c>
      <c r="BP196">
        <f t="shared" si="796"/>
        <v>0</v>
      </c>
      <c r="BQ196">
        <f t="shared" si="797"/>
        <v>0</v>
      </c>
      <c r="BR196" s="23">
        <f t="shared" si="798"/>
        <v>0</v>
      </c>
      <c r="BS196" s="49" t="str">
        <f t="shared" si="763"/>
        <v>000000000000000</v>
      </c>
      <c r="BT196" t="str">
        <f t="shared" si="799"/>
        <v>00000000</v>
      </c>
      <c r="BU196" s="23">
        <f t="shared" si="800"/>
        <v>0</v>
      </c>
      <c r="BV196" s="49" t="str">
        <f t="shared" si="764"/>
        <v/>
      </c>
      <c r="BW196" s="52" t="str">
        <f t="shared" si="801"/>
        <v/>
      </c>
      <c r="BX196" s="23">
        <f t="shared" si="802"/>
        <v>0</v>
      </c>
      <c r="BY196" s="49" t="str">
        <f t="shared" si="765"/>
        <v/>
      </c>
      <c r="BZ196" s="23">
        <f t="shared" si="803"/>
        <v>0</v>
      </c>
      <c r="CA196" s="49" t="str">
        <f t="shared" si="766"/>
        <v/>
      </c>
      <c r="CB196" s="52" t="str">
        <f t="shared" si="804"/>
        <v/>
      </c>
      <c r="CC196" s="23">
        <f t="shared" si="805"/>
        <v>0</v>
      </c>
      <c r="CD196" s="49" t="str">
        <f t="shared" si="767"/>
        <v/>
      </c>
      <c r="CE196" s="56" t="str">
        <f>IF(CF196="","",MAX(CE$10:$CE195)+1)</f>
        <v/>
      </c>
      <c r="CF196" t="str">
        <f t="shared" si="806"/>
        <v/>
      </c>
      <c r="CG196" s="22" t="str">
        <f>IF(CH196="","",MAX($CG$10:CG195)+1)</f>
        <v/>
      </c>
      <c r="CH196" s="22" t="str">
        <f t="shared" si="751"/>
        <v/>
      </c>
      <c r="CI196" s="22" t="str">
        <f>IF(CJ196="","",MAX($CI$10:CI195)+1)</f>
        <v/>
      </c>
      <c r="CJ196" s="22" t="str">
        <f t="shared" si="752"/>
        <v/>
      </c>
    </row>
    <row r="197" spans="2:88" x14ac:dyDescent="0.25">
      <c r="B197" s="37"/>
      <c r="C197" s="3"/>
      <c r="D197" s="77" t="str">
        <f t="shared" si="738"/>
        <v/>
      </c>
      <c r="E197" s="38"/>
      <c r="F197" s="38"/>
      <c r="G197" s="78">
        <f t="shared" si="753"/>
        <v>0</v>
      </c>
      <c r="H197" s="3">
        <v>80</v>
      </c>
      <c r="I197" s="77" t="str">
        <f t="shared" si="739"/>
        <v/>
      </c>
      <c r="J197" s="32"/>
      <c r="K197" s="3"/>
      <c r="L197" s="39"/>
      <c r="M197" s="39"/>
      <c r="N197" s="39"/>
      <c r="O197" s="39"/>
      <c r="P197" s="39"/>
      <c r="Q197" s="39"/>
      <c r="R197" s="39"/>
      <c r="S197" s="39"/>
      <c r="T197" s="3" t="s">
        <v>645</v>
      </c>
      <c r="U197" s="77" t="str">
        <f t="shared" si="740"/>
        <v/>
      </c>
      <c r="V197" s="39">
        <v>1</v>
      </c>
      <c r="W197" s="79">
        <f t="shared" si="754"/>
        <v>0</v>
      </c>
      <c r="X197" s="3">
        <v>0</v>
      </c>
      <c r="Y197" s="77" t="str">
        <f t="shared" si="741"/>
        <v/>
      </c>
      <c r="Z197" s="3"/>
      <c r="AA197" s="37" t="str">
        <f t="shared" si="755"/>
        <v/>
      </c>
      <c r="AC197" s="40"/>
      <c r="AD197" s="7"/>
      <c r="AE197" s="77" t="str">
        <f t="shared" si="742"/>
        <v/>
      </c>
      <c r="AF197" s="81">
        <f t="shared" si="768"/>
        <v>0</v>
      </c>
      <c r="AG197" s="40"/>
      <c r="AH197" s="7"/>
      <c r="AI197" s="77" t="str">
        <f t="shared" si="743"/>
        <v/>
      </c>
      <c r="AJ197" s="81">
        <f t="shared" si="769"/>
        <v>0</v>
      </c>
      <c r="AK197" s="83">
        <f t="shared" si="770"/>
        <v>0</v>
      </c>
      <c r="AL197" s="83">
        <f t="shared" si="771"/>
        <v>0</v>
      </c>
      <c r="AN197" s="43">
        <f t="shared" si="744"/>
        <v>0</v>
      </c>
      <c r="AP197" t="str">
        <f t="shared" si="772"/>
        <v/>
      </c>
      <c r="AQ197" t="str">
        <f t="shared" si="773"/>
        <v/>
      </c>
      <c r="AR197" t="str">
        <f t="shared" si="774"/>
        <v/>
      </c>
      <c r="AS197" t="str">
        <f t="shared" si="775"/>
        <v/>
      </c>
      <c r="AT197" t="str">
        <f t="shared" si="776"/>
        <v/>
      </c>
      <c r="AU197" t="str">
        <f t="shared" si="777"/>
        <v/>
      </c>
      <c r="AV197" t="str">
        <f t="shared" si="778"/>
        <v/>
      </c>
      <c r="AW197" t="str">
        <f t="shared" si="779"/>
        <v xml:space="preserve">                              </v>
      </c>
      <c r="AX197" s="23">
        <f t="shared" si="780"/>
        <v>0</v>
      </c>
      <c r="AY197" s="49" t="str">
        <f t="shared" si="756"/>
        <v>000000000000000</v>
      </c>
      <c r="AZ197" s="23">
        <f t="shared" si="781"/>
        <v>0</v>
      </c>
      <c r="BA197" s="49" t="str">
        <f t="shared" si="756"/>
        <v>000000000000000</v>
      </c>
      <c r="BB197" s="23">
        <f t="shared" si="782"/>
        <v>0</v>
      </c>
      <c r="BC197" s="49" t="str">
        <f t="shared" ref="BC197" si="1131">IF(BB197&lt;0,SUBSTITUTE(TEXT(BB197,"000000000000,00"),",",""),SUBSTITUTE(TEXT(BB197,"0000000000000,00"),",",""))</f>
        <v>000000000000000</v>
      </c>
      <c r="BD197" s="23">
        <f t="shared" si="784"/>
        <v>0</v>
      </c>
      <c r="BE197" s="49" t="str">
        <f t="shared" ref="BE197" si="1132">IF(BD197&lt;0,SUBSTITUTE(TEXT(BD197,"000000000000,00"),",",""),SUBSTITUTE(TEXT(BD197,"0000000000000,00"),",",""))</f>
        <v>000000000000000</v>
      </c>
      <c r="BF197" s="23">
        <f t="shared" si="786"/>
        <v>0</v>
      </c>
      <c r="BG197" s="49" t="str">
        <f t="shared" ref="BG197" si="1133">IF(BF197&lt;0,SUBSTITUTE(TEXT(BF197,"000000000000,00"),",",""),SUBSTITUTE(TEXT(BF197,"0000000000000,00"),",",""))</f>
        <v>000000000000000</v>
      </c>
      <c r="BH197" s="23">
        <f t="shared" si="788"/>
        <v>0</v>
      </c>
      <c r="BI197" s="49" t="str">
        <f t="shared" ref="BI197" si="1134">IF(BH197&lt;0,SUBSTITUTE(TEXT(BH197,"000000000000,00"),",",""),SUBSTITUTE(TEXT(BH197,"0000000000000,00"),",",""))</f>
        <v>000000000000000</v>
      </c>
      <c r="BJ197" s="23">
        <f t="shared" si="790"/>
        <v>0</v>
      </c>
      <c r="BK197" s="49" t="str">
        <f t="shared" ref="BK197" si="1135">IF(BJ197&lt;0,SUBSTITUTE(TEXT(BJ197,"000000000000,00"),",",""),SUBSTITUTE(TEXT(BJ197,"0000000000000,00"),",",""))</f>
        <v>000000000000000</v>
      </c>
      <c r="BL197" s="23">
        <f t="shared" si="792"/>
        <v>0</v>
      </c>
      <c r="BM197" s="49" t="str">
        <f t="shared" ref="BM197" si="1136">IF(BL197&lt;0,SUBSTITUTE(TEXT(BL197,"000000000000,00"),",",""),SUBSTITUTE(TEXT(BL197,"0000000000000,00"),",",""))</f>
        <v>000000000000000</v>
      </c>
      <c r="BN197" t="str">
        <f t="shared" si="794"/>
        <v>PES</v>
      </c>
      <c r="BO197" t="str">
        <f t="shared" si="795"/>
        <v>0001000000</v>
      </c>
      <c r="BP197">
        <f t="shared" si="796"/>
        <v>0</v>
      </c>
      <c r="BQ197">
        <f t="shared" si="797"/>
        <v>0</v>
      </c>
      <c r="BR197" s="23">
        <f t="shared" si="798"/>
        <v>0</v>
      </c>
      <c r="BS197" s="49" t="str">
        <f t="shared" si="763"/>
        <v>000000000000000</v>
      </c>
      <c r="BT197" t="str">
        <f t="shared" si="799"/>
        <v>00000000</v>
      </c>
      <c r="BU197" s="23">
        <f t="shared" si="800"/>
        <v>0</v>
      </c>
      <c r="BV197" s="49" t="str">
        <f t="shared" si="764"/>
        <v/>
      </c>
      <c r="BW197" s="52" t="str">
        <f t="shared" si="801"/>
        <v/>
      </c>
      <c r="BX197" s="23">
        <f t="shared" si="802"/>
        <v>0</v>
      </c>
      <c r="BY197" s="49" t="str">
        <f t="shared" si="765"/>
        <v/>
      </c>
      <c r="BZ197" s="23">
        <f t="shared" si="803"/>
        <v>0</v>
      </c>
      <c r="CA197" s="49" t="str">
        <f t="shared" si="766"/>
        <v/>
      </c>
      <c r="CB197" s="52" t="str">
        <f t="shared" si="804"/>
        <v/>
      </c>
      <c r="CC197" s="23">
        <f t="shared" si="805"/>
        <v>0</v>
      </c>
      <c r="CD197" s="49" t="str">
        <f t="shared" si="767"/>
        <v/>
      </c>
      <c r="CE197" s="56" t="str">
        <f>IF(CF197="","",MAX(CE$10:$CE196)+1)</f>
        <v/>
      </c>
      <c r="CF197" t="str">
        <f t="shared" si="806"/>
        <v/>
      </c>
      <c r="CG197" s="22" t="str">
        <f>IF(CH197="","",MAX($CG$10:CG196)+1)</f>
        <v/>
      </c>
      <c r="CH197" s="22" t="str">
        <f t="shared" si="751"/>
        <v/>
      </c>
      <c r="CI197" s="22" t="str">
        <f>IF(CJ197="","",MAX($CI$10:CI196)+1)</f>
        <v/>
      </c>
      <c r="CJ197" s="22" t="str">
        <f t="shared" si="752"/>
        <v/>
      </c>
    </row>
    <row r="198" spans="2:88" x14ac:dyDescent="0.25">
      <c r="B198" s="37"/>
      <c r="C198" s="3"/>
      <c r="D198" s="77" t="str">
        <f t="shared" si="738"/>
        <v/>
      </c>
      <c r="E198" s="38"/>
      <c r="F198" s="38"/>
      <c r="G198" s="78">
        <f t="shared" si="753"/>
        <v>0</v>
      </c>
      <c r="H198" s="3">
        <v>80</v>
      </c>
      <c r="I198" s="77" t="str">
        <f t="shared" si="739"/>
        <v/>
      </c>
      <c r="J198" s="32"/>
      <c r="K198" s="3"/>
      <c r="L198" s="39"/>
      <c r="M198" s="39"/>
      <c r="N198" s="39"/>
      <c r="O198" s="39"/>
      <c r="P198" s="39"/>
      <c r="Q198" s="39"/>
      <c r="R198" s="39"/>
      <c r="S198" s="39"/>
      <c r="T198" s="3" t="s">
        <v>645</v>
      </c>
      <c r="U198" s="77" t="str">
        <f t="shared" si="740"/>
        <v/>
      </c>
      <c r="V198" s="39">
        <v>1</v>
      </c>
      <c r="W198" s="79">
        <f t="shared" si="754"/>
        <v>0</v>
      </c>
      <c r="X198" s="3">
        <v>0</v>
      </c>
      <c r="Y198" s="77" t="str">
        <f t="shared" si="741"/>
        <v/>
      </c>
      <c r="Z198" s="3"/>
      <c r="AA198" s="37" t="str">
        <f t="shared" si="755"/>
        <v/>
      </c>
      <c r="AC198" s="40"/>
      <c r="AD198" s="7"/>
      <c r="AE198" s="77" t="str">
        <f t="shared" si="742"/>
        <v/>
      </c>
      <c r="AF198" s="81">
        <f t="shared" si="768"/>
        <v>0</v>
      </c>
      <c r="AG198" s="40"/>
      <c r="AH198" s="7"/>
      <c r="AI198" s="77" t="str">
        <f t="shared" si="743"/>
        <v/>
      </c>
      <c r="AJ198" s="81">
        <f t="shared" si="769"/>
        <v>0</v>
      </c>
      <c r="AK198" s="83">
        <f t="shared" si="770"/>
        <v>0</v>
      </c>
      <c r="AL198" s="83">
        <f t="shared" si="771"/>
        <v>0</v>
      </c>
      <c r="AN198" s="43">
        <f t="shared" si="744"/>
        <v>0</v>
      </c>
      <c r="AP198" t="str">
        <f t="shared" si="772"/>
        <v/>
      </c>
      <c r="AQ198" t="str">
        <f t="shared" si="773"/>
        <v/>
      </c>
      <c r="AR198" t="str">
        <f t="shared" si="774"/>
        <v/>
      </c>
      <c r="AS198" t="str">
        <f t="shared" si="775"/>
        <v/>
      </c>
      <c r="AT198" t="str">
        <f t="shared" si="776"/>
        <v/>
      </c>
      <c r="AU198" t="str">
        <f t="shared" si="777"/>
        <v/>
      </c>
      <c r="AV198" t="str">
        <f t="shared" si="778"/>
        <v/>
      </c>
      <c r="AW198" t="str">
        <f t="shared" si="779"/>
        <v xml:space="preserve">                              </v>
      </c>
      <c r="AX198" s="23">
        <f t="shared" si="780"/>
        <v>0</v>
      </c>
      <c r="AY198" s="49" t="str">
        <f t="shared" si="756"/>
        <v>000000000000000</v>
      </c>
      <c r="AZ198" s="23">
        <f t="shared" si="781"/>
        <v>0</v>
      </c>
      <c r="BA198" s="49" t="str">
        <f t="shared" si="756"/>
        <v>000000000000000</v>
      </c>
      <c r="BB198" s="23">
        <f t="shared" si="782"/>
        <v>0</v>
      </c>
      <c r="BC198" s="49" t="str">
        <f t="shared" ref="BC198" si="1137">IF(BB198&lt;0,SUBSTITUTE(TEXT(BB198,"000000000000,00"),",",""),SUBSTITUTE(TEXT(BB198,"0000000000000,00"),",",""))</f>
        <v>000000000000000</v>
      </c>
      <c r="BD198" s="23">
        <f t="shared" si="784"/>
        <v>0</v>
      </c>
      <c r="BE198" s="49" t="str">
        <f t="shared" ref="BE198" si="1138">IF(BD198&lt;0,SUBSTITUTE(TEXT(BD198,"000000000000,00"),",",""),SUBSTITUTE(TEXT(BD198,"0000000000000,00"),",",""))</f>
        <v>000000000000000</v>
      </c>
      <c r="BF198" s="23">
        <f t="shared" si="786"/>
        <v>0</v>
      </c>
      <c r="BG198" s="49" t="str">
        <f t="shared" ref="BG198" si="1139">IF(BF198&lt;0,SUBSTITUTE(TEXT(BF198,"000000000000,00"),",",""),SUBSTITUTE(TEXT(BF198,"0000000000000,00"),",",""))</f>
        <v>000000000000000</v>
      </c>
      <c r="BH198" s="23">
        <f t="shared" si="788"/>
        <v>0</v>
      </c>
      <c r="BI198" s="49" t="str">
        <f t="shared" ref="BI198" si="1140">IF(BH198&lt;0,SUBSTITUTE(TEXT(BH198,"000000000000,00"),",",""),SUBSTITUTE(TEXT(BH198,"0000000000000,00"),",",""))</f>
        <v>000000000000000</v>
      </c>
      <c r="BJ198" s="23">
        <f t="shared" si="790"/>
        <v>0</v>
      </c>
      <c r="BK198" s="49" t="str">
        <f t="shared" ref="BK198" si="1141">IF(BJ198&lt;0,SUBSTITUTE(TEXT(BJ198,"000000000000,00"),",",""),SUBSTITUTE(TEXT(BJ198,"0000000000000,00"),",",""))</f>
        <v>000000000000000</v>
      </c>
      <c r="BL198" s="23">
        <f t="shared" si="792"/>
        <v>0</v>
      </c>
      <c r="BM198" s="49" t="str">
        <f t="shared" ref="BM198" si="1142">IF(BL198&lt;0,SUBSTITUTE(TEXT(BL198,"000000000000,00"),",",""),SUBSTITUTE(TEXT(BL198,"0000000000000,00"),",",""))</f>
        <v>000000000000000</v>
      </c>
      <c r="BN198" t="str">
        <f t="shared" si="794"/>
        <v>PES</v>
      </c>
      <c r="BO198" t="str">
        <f t="shared" si="795"/>
        <v>0001000000</v>
      </c>
      <c r="BP198">
        <f t="shared" si="796"/>
        <v>0</v>
      </c>
      <c r="BQ198">
        <f t="shared" si="797"/>
        <v>0</v>
      </c>
      <c r="BR198" s="23">
        <f t="shared" si="798"/>
        <v>0</v>
      </c>
      <c r="BS198" s="49" t="str">
        <f t="shared" si="763"/>
        <v>000000000000000</v>
      </c>
      <c r="BT198" t="str">
        <f t="shared" si="799"/>
        <v>00000000</v>
      </c>
      <c r="BU198" s="23">
        <f t="shared" si="800"/>
        <v>0</v>
      </c>
      <c r="BV198" s="49" t="str">
        <f t="shared" si="764"/>
        <v/>
      </c>
      <c r="BW198" s="52" t="str">
        <f t="shared" si="801"/>
        <v/>
      </c>
      <c r="BX198" s="23">
        <f t="shared" si="802"/>
        <v>0</v>
      </c>
      <c r="BY198" s="49" t="str">
        <f t="shared" si="765"/>
        <v/>
      </c>
      <c r="BZ198" s="23">
        <f t="shared" si="803"/>
        <v>0</v>
      </c>
      <c r="CA198" s="49" t="str">
        <f t="shared" si="766"/>
        <v/>
      </c>
      <c r="CB198" s="52" t="str">
        <f t="shared" si="804"/>
        <v/>
      </c>
      <c r="CC198" s="23">
        <f t="shared" si="805"/>
        <v>0</v>
      </c>
      <c r="CD198" s="49" t="str">
        <f t="shared" si="767"/>
        <v/>
      </c>
      <c r="CE198" s="56" t="str">
        <f>IF(CF198="","",MAX(CE$10:$CE197)+1)</f>
        <v/>
      </c>
      <c r="CF198" t="str">
        <f t="shared" si="806"/>
        <v/>
      </c>
      <c r="CG198" s="22" t="str">
        <f>IF(CH198="","",MAX($CG$10:CG197)+1)</f>
        <v/>
      </c>
      <c r="CH198" s="22" t="str">
        <f t="shared" si="751"/>
        <v/>
      </c>
      <c r="CI198" s="22" t="str">
        <f>IF(CJ198="","",MAX($CI$10:CI197)+1)</f>
        <v/>
      </c>
      <c r="CJ198" s="22" t="str">
        <f t="shared" si="752"/>
        <v/>
      </c>
    </row>
    <row r="199" spans="2:88" x14ac:dyDescent="0.25">
      <c r="B199" s="37"/>
      <c r="C199" s="3"/>
      <c r="D199" s="77" t="str">
        <f t="shared" si="738"/>
        <v/>
      </c>
      <c r="E199" s="38"/>
      <c r="F199" s="38"/>
      <c r="G199" s="78">
        <f t="shared" si="753"/>
        <v>0</v>
      </c>
      <c r="H199" s="3">
        <v>80</v>
      </c>
      <c r="I199" s="77" t="str">
        <f t="shared" si="739"/>
        <v/>
      </c>
      <c r="J199" s="32"/>
      <c r="K199" s="3"/>
      <c r="L199" s="39"/>
      <c r="M199" s="39"/>
      <c r="N199" s="39"/>
      <c r="O199" s="39"/>
      <c r="P199" s="39"/>
      <c r="Q199" s="39"/>
      <c r="R199" s="39"/>
      <c r="S199" s="39"/>
      <c r="T199" s="3" t="s">
        <v>645</v>
      </c>
      <c r="U199" s="77" t="str">
        <f t="shared" si="740"/>
        <v/>
      </c>
      <c r="V199" s="39">
        <v>1</v>
      </c>
      <c r="W199" s="79">
        <f t="shared" si="754"/>
        <v>0</v>
      </c>
      <c r="X199" s="3">
        <v>0</v>
      </c>
      <c r="Y199" s="77" t="str">
        <f t="shared" si="741"/>
        <v/>
      </c>
      <c r="Z199" s="3"/>
      <c r="AA199" s="37" t="str">
        <f t="shared" si="755"/>
        <v/>
      </c>
      <c r="AC199" s="40"/>
      <c r="AD199" s="7"/>
      <c r="AE199" s="77" t="str">
        <f t="shared" si="742"/>
        <v/>
      </c>
      <c r="AF199" s="81">
        <f t="shared" si="768"/>
        <v>0</v>
      </c>
      <c r="AG199" s="40"/>
      <c r="AH199" s="7"/>
      <c r="AI199" s="77" t="str">
        <f t="shared" si="743"/>
        <v/>
      </c>
      <c r="AJ199" s="81">
        <f t="shared" si="769"/>
        <v>0</v>
      </c>
      <c r="AK199" s="83">
        <f t="shared" si="770"/>
        <v>0</v>
      </c>
      <c r="AL199" s="83">
        <f t="shared" si="771"/>
        <v>0</v>
      </c>
      <c r="AN199" s="43">
        <f t="shared" si="744"/>
        <v>0</v>
      </c>
      <c r="AP199" t="str">
        <f t="shared" si="772"/>
        <v/>
      </c>
      <c r="AQ199" t="str">
        <f t="shared" si="773"/>
        <v/>
      </c>
      <c r="AR199" t="str">
        <f t="shared" si="774"/>
        <v/>
      </c>
      <c r="AS199" t="str">
        <f t="shared" si="775"/>
        <v/>
      </c>
      <c r="AT199" t="str">
        <f t="shared" si="776"/>
        <v/>
      </c>
      <c r="AU199" t="str">
        <f t="shared" si="777"/>
        <v/>
      </c>
      <c r="AV199" t="str">
        <f t="shared" si="778"/>
        <v/>
      </c>
      <c r="AW199" t="str">
        <f t="shared" si="779"/>
        <v xml:space="preserve">                              </v>
      </c>
      <c r="AX199" s="23">
        <f t="shared" si="780"/>
        <v>0</v>
      </c>
      <c r="AY199" s="49" t="str">
        <f t="shared" si="756"/>
        <v>000000000000000</v>
      </c>
      <c r="AZ199" s="23">
        <f t="shared" si="781"/>
        <v>0</v>
      </c>
      <c r="BA199" s="49" t="str">
        <f t="shared" si="756"/>
        <v>000000000000000</v>
      </c>
      <c r="BB199" s="23">
        <f t="shared" si="782"/>
        <v>0</v>
      </c>
      <c r="BC199" s="49" t="str">
        <f t="shared" ref="BC199" si="1143">IF(BB199&lt;0,SUBSTITUTE(TEXT(BB199,"000000000000,00"),",",""),SUBSTITUTE(TEXT(BB199,"0000000000000,00"),",",""))</f>
        <v>000000000000000</v>
      </c>
      <c r="BD199" s="23">
        <f t="shared" si="784"/>
        <v>0</v>
      </c>
      <c r="BE199" s="49" t="str">
        <f t="shared" ref="BE199" si="1144">IF(BD199&lt;0,SUBSTITUTE(TEXT(BD199,"000000000000,00"),",",""),SUBSTITUTE(TEXT(BD199,"0000000000000,00"),",",""))</f>
        <v>000000000000000</v>
      </c>
      <c r="BF199" s="23">
        <f t="shared" si="786"/>
        <v>0</v>
      </c>
      <c r="BG199" s="49" t="str">
        <f t="shared" ref="BG199" si="1145">IF(BF199&lt;0,SUBSTITUTE(TEXT(BF199,"000000000000,00"),",",""),SUBSTITUTE(TEXT(BF199,"0000000000000,00"),",",""))</f>
        <v>000000000000000</v>
      </c>
      <c r="BH199" s="23">
        <f t="shared" si="788"/>
        <v>0</v>
      </c>
      <c r="BI199" s="49" t="str">
        <f t="shared" ref="BI199" si="1146">IF(BH199&lt;0,SUBSTITUTE(TEXT(BH199,"000000000000,00"),",",""),SUBSTITUTE(TEXT(BH199,"0000000000000,00"),",",""))</f>
        <v>000000000000000</v>
      </c>
      <c r="BJ199" s="23">
        <f t="shared" si="790"/>
        <v>0</v>
      </c>
      <c r="BK199" s="49" t="str">
        <f t="shared" ref="BK199" si="1147">IF(BJ199&lt;0,SUBSTITUTE(TEXT(BJ199,"000000000000,00"),",",""),SUBSTITUTE(TEXT(BJ199,"0000000000000,00"),",",""))</f>
        <v>000000000000000</v>
      </c>
      <c r="BL199" s="23">
        <f t="shared" si="792"/>
        <v>0</v>
      </c>
      <c r="BM199" s="49" t="str">
        <f t="shared" ref="BM199" si="1148">IF(BL199&lt;0,SUBSTITUTE(TEXT(BL199,"000000000000,00"),",",""),SUBSTITUTE(TEXT(BL199,"0000000000000,00"),",",""))</f>
        <v>000000000000000</v>
      </c>
      <c r="BN199" t="str">
        <f t="shared" si="794"/>
        <v>PES</v>
      </c>
      <c r="BO199" t="str">
        <f t="shared" si="795"/>
        <v>0001000000</v>
      </c>
      <c r="BP199">
        <f t="shared" si="796"/>
        <v>0</v>
      </c>
      <c r="BQ199">
        <f t="shared" si="797"/>
        <v>0</v>
      </c>
      <c r="BR199" s="23">
        <f t="shared" si="798"/>
        <v>0</v>
      </c>
      <c r="BS199" s="49" t="str">
        <f t="shared" si="763"/>
        <v>000000000000000</v>
      </c>
      <c r="BT199" t="str">
        <f t="shared" si="799"/>
        <v>00000000</v>
      </c>
      <c r="BU199" s="23">
        <f t="shared" si="800"/>
        <v>0</v>
      </c>
      <c r="BV199" s="49" t="str">
        <f t="shared" si="764"/>
        <v/>
      </c>
      <c r="BW199" s="52" t="str">
        <f t="shared" si="801"/>
        <v/>
      </c>
      <c r="BX199" s="23">
        <f t="shared" si="802"/>
        <v>0</v>
      </c>
      <c r="BY199" s="49" t="str">
        <f t="shared" si="765"/>
        <v/>
      </c>
      <c r="BZ199" s="23">
        <f t="shared" si="803"/>
        <v>0</v>
      </c>
      <c r="CA199" s="49" t="str">
        <f t="shared" si="766"/>
        <v/>
      </c>
      <c r="CB199" s="52" t="str">
        <f t="shared" si="804"/>
        <v/>
      </c>
      <c r="CC199" s="23">
        <f t="shared" si="805"/>
        <v>0</v>
      </c>
      <c r="CD199" s="49" t="str">
        <f t="shared" si="767"/>
        <v/>
      </c>
      <c r="CE199" s="56" t="str">
        <f>IF(CF199="","",MAX(CE$10:$CE198)+1)</f>
        <v/>
      </c>
      <c r="CF199" t="str">
        <f t="shared" si="806"/>
        <v/>
      </c>
      <c r="CG199" s="22" t="str">
        <f>IF(CH199="","",MAX($CG$10:CG198)+1)</f>
        <v/>
      </c>
      <c r="CH199" s="22" t="str">
        <f t="shared" si="751"/>
        <v/>
      </c>
      <c r="CI199" s="22" t="str">
        <f>IF(CJ199="","",MAX($CI$10:CI198)+1)</f>
        <v/>
      </c>
      <c r="CJ199" s="22" t="str">
        <f t="shared" si="752"/>
        <v/>
      </c>
    </row>
    <row r="200" spans="2:88" x14ac:dyDescent="0.25">
      <c r="B200" s="37"/>
      <c r="C200" s="3"/>
      <c r="D200" s="77" t="str">
        <f t="shared" si="738"/>
        <v/>
      </c>
      <c r="E200" s="38"/>
      <c r="F200" s="38"/>
      <c r="G200" s="78">
        <f t="shared" si="753"/>
        <v>0</v>
      </c>
      <c r="H200" s="3">
        <v>80</v>
      </c>
      <c r="I200" s="77" t="str">
        <f t="shared" si="739"/>
        <v/>
      </c>
      <c r="J200" s="32"/>
      <c r="K200" s="3"/>
      <c r="L200" s="39"/>
      <c r="M200" s="39"/>
      <c r="N200" s="39"/>
      <c r="O200" s="39"/>
      <c r="P200" s="39"/>
      <c r="Q200" s="39"/>
      <c r="R200" s="39"/>
      <c r="S200" s="39"/>
      <c r="T200" s="3" t="s">
        <v>645</v>
      </c>
      <c r="U200" s="77" t="str">
        <f t="shared" si="740"/>
        <v/>
      </c>
      <c r="V200" s="39">
        <v>1</v>
      </c>
      <c r="W200" s="79">
        <f t="shared" si="754"/>
        <v>0</v>
      </c>
      <c r="X200" s="3">
        <v>0</v>
      </c>
      <c r="Y200" s="77" t="str">
        <f t="shared" si="741"/>
        <v/>
      </c>
      <c r="Z200" s="3"/>
      <c r="AA200" s="37" t="str">
        <f t="shared" si="755"/>
        <v/>
      </c>
      <c r="AC200" s="40"/>
      <c r="AD200" s="7"/>
      <c r="AE200" s="77" t="str">
        <f t="shared" si="742"/>
        <v/>
      </c>
      <c r="AF200" s="81">
        <f t="shared" si="768"/>
        <v>0</v>
      </c>
      <c r="AG200" s="40"/>
      <c r="AH200" s="7"/>
      <c r="AI200" s="77" t="str">
        <f t="shared" si="743"/>
        <v/>
      </c>
      <c r="AJ200" s="81">
        <f t="shared" si="769"/>
        <v>0</v>
      </c>
      <c r="AK200" s="83">
        <f t="shared" si="770"/>
        <v>0</v>
      </c>
      <c r="AL200" s="83">
        <f t="shared" si="771"/>
        <v>0</v>
      </c>
      <c r="AN200" s="43">
        <f t="shared" si="744"/>
        <v>0</v>
      </c>
      <c r="AP200" t="str">
        <f t="shared" si="772"/>
        <v/>
      </c>
      <c r="AQ200" t="str">
        <f t="shared" si="773"/>
        <v/>
      </c>
      <c r="AR200" t="str">
        <f t="shared" si="774"/>
        <v/>
      </c>
      <c r="AS200" t="str">
        <f t="shared" si="775"/>
        <v/>
      </c>
      <c r="AT200" t="str">
        <f t="shared" si="776"/>
        <v/>
      </c>
      <c r="AU200" t="str">
        <f t="shared" si="777"/>
        <v/>
      </c>
      <c r="AV200" t="str">
        <f t="shared" si="778"/>
        <v/>
      </c>
      <c r="AW200" t="str">
        <f t="shared" si="779"/>
        <v xml:space="preserve">                              </v>
      </c>
      <c r="AX200" s="23">
        <f t="shared" si="780"/>
        <v>0</v>
      </c>
      <c r="AY200" s="49" t="str">
        <f t="shared" si="756"/>
        <v>000000000000000</v>
      </c>
      <c r="AZ200" s="23">
        <f t="shared" si="781"/>
        <v>0</v>
      </c>
      <c r="BA200" s="49" t="str">
        <f t="shared" si="756"/>
        <v>000000000000000</v>
      </c>
      <c r="BB200" s="23">
        <f t="shared" si="782"/>
        <v>0</v>
      </c>
      <c r="BC200" s="49" t="str">
        <f t="shared" ref="BC200" si="1149">IF(BB200&lt;0,SUBSTITUTE(TEXT(BB200,"000000000000,00"),",",""),SUBSTITUTE(TEXT(BB200,"0000000000000,00"),",",""))</f>
        <v>000000000000000</v>
      </c>
      <c r="BD200" s="23">
        <f t="shared" si="784"/>
        <v>0</v>
      </c>
      <c r="BE200" s="49" t="str">
        <f t="shared" ref="BE200" si="1150">IF(BD200&lt;0,SUBSTITUTE(TEXT(BD200,"000000000000,00"),",",""),SUBSTITUTE(TEXT(BD200,"0000000000000,00"),",",""))</f>
        <v>000000000000000</v>
      </c>
      <c r="BF200" s="23">
        <f t="shared" si="786"/>
        <v>0</v>
      </c>
      <c r="BG200" s="49" t="str">
        <f t="shared" ref="BG200" si="1151">IF(BF200&lt;0,SUBSTITUTE(TEXT(BF200,"000000000000,00"),",",""),SUBSTITUTE(TEXT(BF200,"0000000000000,00"),",",""))</f>
        <v>000000000000000</v>
      </c>
      <c r="BH200" s="23">
        <f t="shared" si="788"/>
        <v>0</v>
      </c>
      <c r="BI200" s="49" t="str">
        <f t="shared" ref="BI200" si="1152">IF(BH200&lt;0,SUBSTITUTE(TEXT(BH200,"000000000000,00"),",",""),SUBSTITUTE(TEXT(BH200,"0000000000000,00"),",",""))</f>
        <v>000000000000000</v>
      </c>
      <c r="BJ200" s="23">
        <f t="shared" si="790"/>
        <v>0</v>
      </c>
      <c r="BK200" s="49" t="str">
        <f t="shared" ref="BK200" si="1153">IF(BJ200&lt;0,SUBSTITUTE(TEXT(BJ200,"000000000000,00"),",",""),SUBSTITUTE(TEXT(BJ200,"0000000000000,00"),",",""))</f>
        <v>000000000000000</v>
      </c>
      <c r="BL200" s="23">
        <f t="shared" si="792"/>
        <v>0</v>
      </c>
      <c r="BM200" s="49" t="str">
        <f t="shared" ref="BM200" si="1154">IF(BL200&lt;0,SUBSTITUTE(TEXT(BL200,"000000000000,00"),",",""),SUBSTITUTE(TEXT(BL200,"0000000000000,00"),",",""))</f>
        <v>000000000000000</v>
      </c>
      <c r="BN200" t="str">
        <f t="shared" si="794"/>
        <v>PES</v>
      </c>
      <c r="BO200" t="str">
        <f t="shared" si="795"/>
        <v>0001000000</v>
      </c>
      <c r="BP200">
        <f t="shared" si="796"/>
        <v>0</v>
      </c>
      <c r="BQ200">
        <f t="shared" si="797"/>
        <v>0</v>
      </c>
      <c r="BR200" s="23">
        <f t="shared" si="798"/>
        <v>0</v>
      </c>
      <c r="BS200" s="49" t="str">
        <f t="shared" si="763"/>
        <v>000000000000000</v>
      </c>
      <c r="BT200" t="str">
        <f t="shared" si="799"/>
        <v>00000000</v>
      </c>
      <c r="BU200" s="23">
        <f t="shared" si="800"/>
        <v>0</v>
      </c>
      <c r="BV200" s="49" t="str">
        <f t="shared" si="764"/>
        <v/>
      </c>
      <c r="BW200" s="52" t="str">
        <f t="shared" si="801"/>
        <v/>
      </c>
      <c r="BX200" s="23">
        <f t="shared" si="802"/>
        <v>0</v>
      </c>
      <c r="BY200" s="49" t="str">
        <f t="shared" si="765"/>
        <v/>
      </c>
      <c r="BZ200" s="23">
        <f t="shared" si="803"/>
        <v>0</v>
      </c>
      <c r="CA200" s="49" t="str">
        <f t="shared" si="766"/>
        <v/>
      </c>
      <c r="CB200" s="52" t="str">
        <f t="shared" si="804"/>
        <v/>
      </c>
      <c r="CC200" s="23">
        <f t="shared" si="805"/>
        <v>0</v>
      </c>
      <c r="CD200" s="49" t="str">
        <f t="shared" si="767"/>
        <v/>
      </c>
      <c r="CE200" s="56" t="str">
        <f>IF(CF200="","",MAX(CE$10:$CE199)+1)</f>
        <v/>
      </c>
      <c r="CF200" t="str">
        <f t="shared" si="806"/>
        <v/>
      </c>
      <c r="CG200" s="22" t="str">
        <f>IF(CH200="","",MAX($CG$10:CG199)+1)</f>
        <v/>
      </c>
      <c r="CH200" s="22" t="str">
        <f t="shared" si="751"/>
        <v/>
      </c>
      <c r="CI200" s="22" t="str">
        <f>IF(CJ200="","",MAX($CI$10:CI199)+1)</f>
        <v/>
      </c>
      <c r="CJ200" s="22" t="str">
        <f t="shared" si="752"/>
        <v/>
      </c>
    </row>
    <row r="201" spans="2:88" x14ac:dyDescent="0.25">
      <c r="B201" s="37"/>
      <c r="C201" s="3"/>
      <c r="D201" s="77" t="str">
        <f t="shared" si="738"/>
        <v/>
      </c>
      <c r="E201" s="38"/>
      <c r="F201" s="38"/>
      <c r="G201" s="78">
        <f t="shared" si="753"/>
        <v>0</v>
      </c>
      <c r="H201" s="3">
        <v>80</v>
      </c>
      <c r="I201" s="77" t="str">
        <f t="shared" si="739"/>
        <v/>
      </c>
      <c r="J201" s="32"/>
      <c r="K201" s="3"/>
      <c r="L201" s="39"/>
      <c r="M201" s="39"/>
      <c r="N201" s="39"/>
      <c r="O201" s="39"/>
      <c r="P201" s="39"/>
      <c r="Q201" s="39"/>
      <c r="R201" s="39"/>
      <c r="S201" s="39"/>
      <c r="T201" s="3" t="s">
        <v>645</v>
      </c>
      <c r="U201" s="77" t="str">
        <f t="shared" si="740"/>
        <v/>
      </c>
      <c r="V201" s="39">
        <v>1</v>
      </c>
      <c r="W201" s="79">
        <f t="shared" si="754"/>
        <v>0</v>
      </c>
      <c r="X201" s="3">
        <v>0</v>
      </c>
      <c r="Y201" s="77" t="str">
        <f t="shared" si="741"/>
        <v/>
      </c>
      <c r="Z201" s="3"/>
      <c r="AA201" s="37" t="str">
        <f t="shared" si="755"/>
        <v/>
      </c>
      <c r="AC201" s="40"/>
      <c r="AD201" s="7"/>
      <c r="AE201" s="77" t="str">
        <f t="shared" si="742"/>
        <v/>
      </c>
      <c r="AF201" s="81">
        <f t="shared" si="768"/>
        <v>0</v>
      </c>
      <c r="AG201" s="40"/>
      <c r="AH201" s="7"/>
      <c r="AI201" s="77" t="str">
        <f t="shared" si="743"/>
        <v/>
      </c>
      <c r="AJ201" s="81">
        <f t="shared" si="769"/>
        <v>0</v>
      </c>
      <c r="AK201" s="83">
        <f t="shared" si="770"/>
        <v>0</v>
      </c>
      <c r="AL201" s="83">
        <f t="shared" si="771"/>
        <v>0</v>
      </c>
      <c r="AN201" s="43">
        <f t="shared" si="744"/>
        <v>0</v>
      </c>
      <c r="AP201" t="str">
        <f t="shared" si="772"/>
        <v/>
      </c>
      <c r="AQ201" t="str">
        <f t="shared" si="773"/>
        <v/>
      </c>
      <c r="AR201" t="str">
        <f t="shared" si="774"/>
        <v/>
      </c>
      <c r="AS201" t="str">
        <f t="shared" si="775"/>
        <v/>
      </c>
      <c r="AT201" t="str">
        <f t="shared" si="776"/>
        <v/>
      </c>
      <c r="AU201" t="str">
        <f t="shared" si="777"/>
        <v/>
      </c>
      <c r="AV201" t="str">
        <f t="shared" si="778"/>
        <v/>
      </c>
      <c r="AW201" t="str">
        <f t="shared" si="779"/>
        <v xml:space="preserve">                              </v>
      </c>
      <c r="AX201" s="23">
        <f t="shared" si="780"/>
        <v>0</v>
      </c>
      <c r="AY201" s="49" t="str">
        <f t="shared" si="756"/>
        <v>000000000000000</v>
      </c>
      <c r="AZ201" s="23">
        <f t="shared" si="781"/>
        <v>0</v>
      </c>
      <c r="BA201" s="49" t="str">
        <f t="shared" si="756"/>
        <v>000000000000000</v>
      </c>
      <c r="BB201" s="23">
        <f t="shared" si="782"/>
        <v>0</v>
      </c>
      <c r="BC201" s="49" t="str">
        <f t="shared" ref="BC201" si="1155">IF(BB201&lt;0,SUBSTITUTE(TEXT(BB201,"000000000000,00"),",",""),SUBSTITUTE(TEXT(BB201,"0000000000000,00"),",",""))</f>
        <v>000000000000000</v>
      </c>
      <c r="BD201" s="23">
        <f t="shared" si="784"/>
        <v>0</v>
      </c>
      <c r="BE201" s="49" t="str">
        <f t="shared" ref="BE201" si="1156">IF(BD201&lt;0,SUBSTITUTE(TEXT(BD201,"000000000000,00"),",",""),SUBSTITUTE(TEXT(BD201,"0000000000000,00"),",",""))</f>
        <v>000000000000000</v>
      </c>
      <c r="BF201" s="23">
        <f t="shared" si="786"/>
        <v>0</v>
      </c>
      <c r="BG201" s="49" t="str">
        <f t="shared" ref="BG201" si="1157">IF(BF201&lt;0,SUBSTITUTE(TEXT(BF201,"000000000000,00"),",",""),SUBSTITUTE(TEXT(BF201,"0000000000000,00"),",",""))</f>
        <v>000000000000000</v>
      </c>
      <c r="BH201" s="23">
        <f t="shared" si="788"/>
        <v>0</v>
      </c>
      <c r="BI201" s="49" t="str">
        <f t="shared" ref="BI201" si="1158">IF(BH201&lt;0,SUBSTITUTE(TEXT(BH201,"000000000000,00"),",",""),SUBSTITUTE(TEXT(BH201,"0000000000000,00"),",",""))</f>
        <v>000000000000000</v>
      </c>
      <c r="BJ201" s="23">
        <f t="shared" si="790"/>
        <v>0</v>
      </c>
      <c r="BK201" s="49" t="str">
        <f t="shared" ref="BK201" si="1159">IF(BJ201&lt;0,SUBSTITUTE(TEXT(BJ201,"000000000000,00"),",",""),SUBSTITUTE(TEXT(BJ201,"0000000000000,00"),",",""))</f>
        <v>000000000000000</v>
      </c>
      <c r="BL201" s="23">
        <f t="shared" si="792"/>
        <v>0</v>
      </c>
      <c r="BM201" s="49" t="str">
        <f t="shared" ref="BM201" si="1160">IF(BL201&lt;0,SUBSTITUTE(TEXT(BL201,"000000000000,00"),",",""),SUBSTITUTE(TEXT(BL201,"0000000000000,00"),",",""))</f>
        <v>000000000000000</v>
      </c>
      <c r="BN201" t="str">
        <f t="shared" si="794"/>
        <v>PES</v>
      </c>
      <c r="BO201" t="str">
        <f t="shared" si="795"/>
        <v>0001000000</v>
      </c>
      <c r="BP201">
        <f t="shared" si="796"/>
        <v>0</v>
      </c>
      <c r="BQ201">
        <f t="shared" si="797"/>
        <v>0</v>
      </c>
      <c r="BR201" s="23">
        <f t="shared" si="798"/>
        <v>0</v>
      </c>
      <c r="BS201" s="49" t="str">
        <f t="shared" si="763"/>
        <v>000000000000000</v>
      </c>
      <c r="BT201" t="str">
        <f t="shared" si="799"/>
        <v>00000000</v>
      </c>
      <c r="BU201" s="23">
        <f t="shared" si="800"/>
        <v>0</v>
      </c>
      <c r="BV201" s="49" t="str">
        <f t="shared" si="764"/>
        <v/>
      </c>
      <c r="BW201" s="52" t="str">
        <f t="shared" si="801"/>
        <v/>
      </c>
      <c r="BX201" s="23">
        <f t="shared" si="802"/>
        <v>0</v>
      </c>
      <c r="BY201" s="49" t="str">
        <f t="shared" si="765"/>
        <v/>
      </c>
      <c r="BZ201" s="23">
        <f t="shared" si="803"/>
        <v>0</v>
      </c>
      <c r="CA201" s="49" t="str">
        <f t="shared" si="766"/>
        <v/>
      </c>
      <c r="CB201" s="52" t="str">
        <f t="shared" si="804"/>
        <v/>
      </c>
      <c r="CC201" s="23">
        <f t="shared" si="805"/>
        <v>0</v>
      </c>
      <c r="CD201" s="49" t="str">
        <f t="shared" si="767"/>
        <v/>
      </c>
      <c r="CE201" s="56" t="str">
        <f>IF(CF201="","",MAX(CE$10:$CE200)+1)</f>
        <v/>
      </c>
      <c r="CF201" t="str">
        <f t="shared" si="806"/>
        <v/>
      </c>
      <c r="CG201" s="22" t="str">
        <f>IF(CH201="","",MAX($CG$10:CG200)+1)</f>
        <v/>
      </c>
      <c r="CH201" s="22" t="str">
        <f t="shared" si="751"/>
        <v/>
      </c>
      <c r="CI201" s="22" t="str">
        <f>IF(CJ201="","",MAX($CI$10:CI200)+1)</f>
        <v/>
      </c>
      <c r="CJ201" s="22" t="str">
        <f t="shared" si="752"/>
        <v/>
      </c>
    </row>
    <row r="202" spans="2:88" x14ac:dyDescent="0.25">
      <c r="B202" s="37"/>
      <c r="C202" s="3"/>
      <c r="D202" s="77" t="str">
        <f t="shared" si="738"/>
        <v/>
      </c>
      <c r="E202" s="38"/>
      <c r="F202" s="38"/>
      <c r="G202" s="78">
        <f t="shared" si="753"/>
        <v>0</v>
      </c>
      <c r="H202" s="3">
        <v>80</v>
      </c>
      <c r="I202" s="77" t="str">
        <f t="shared" si="739"/>
        <v/>
      </c>
      <c r="J202" s="32"/>
      <c r="K202" s="3"/>
      <c r="L202" s="39"/>
      <c r="M202" s="39"/>
      <c r="N202" s="39"/>
      <c r="O202" s="39"/>
      <c r="P202" s="39"/>
      <c r="Q202" s="39"/>
      <c r="R202" s="39"/>
      <c r="S202" s="39"/>
      <c r="T202" s="3" t="s">
        <v>645</v>
      </c>
      <c r="U202" s="77" t="str">
        <f t="shared" si="740"/>
        <v/>
      </c>
      <c r="V202" s="39">
        <v>1</v>
      </c>
      <c r="W202" s="79">
        <f t="shared" si="754"/>
        <v>0</v>
      </c>
      <c r="X202" s="3">
        <v>0</v>
      </c>
      <c r="Y202" s="77" t="str">
        <f t="shared" si="741"/>
        <v/>
      </c>
      <c r="Z202" s="3"/>
      <c r="AA202" s="37" t="str">
        <f t="shared" si="755"/>
        <v/>
      </c>
      <c r="AC202" s="40"/>
      <c r="AD202" s="7"/>
      <c r="AE202" s="77" t="str">
        <f t="shared" si="742"/>
        <v/>
      </c>
      <c r="AF202" s="81">
        <f t="shared" si="768"/>
        <v>0</v>
      </c>
      <c r="AG202" s="40"/>
      <c r="AH202" s="7"/>
      <c r="AI202" s="77" t="str">
        <f t="shared" si="743"/>
        <v/>
      </c>
      <c r="AJ202" s="81">
        <f t="shared" si="769"/>
        <v>0</v>
      </c>
      <c r="AK202" s="83">
        <f t="shared" si="770"/>
        <v>0</v>
      </c>
      <c r="AL202" s="83">
        <f t="shared" si="771"/>
        <v>0</v>
      </c>
      <c r="AN202" s="43">
        <f t="shared" si="744"/>
        <v>0</v>
      </c>
      <c r="AP202" t="str">
        <f t="shared" si="772"/>
        <v/>
      </c>
      <c r="AQ202" t="str">
        <f t="shared" si="773"/>
        <v/>
      </c>
      <c r="AR202" t="str">
        <f t="shared" si="774"/>
        <v/>
      </c>
      <c r="AS202" t="str">
        <f t="shared" si="775"/>
        <v/>
      </c>
      <c r="AT202" t="str">
        <f t="shared" si="776"/>
        <v/>
      </c>
      <c r="AU202" t="str">
        <f t="shared" si="777"/>
        <v/>
      </c>
      <c r="AV202" t="str">
        <f t="shared" si="778"/>
        <v/>
      </c>
      <c r="AW202" t="str">
        <f t="shared" si="779"/>
        <v xml:space="preserve">                              </v>
      </c>
      <c r="AX202" s="23">
        <f t="shared" si="780"/>
        <v>0</v>
      </c>
      <c r="AY202" s="49" t="str">
        <f t="shared" si="756"/>
        <v>000000000000000</v>
      </c>
      <c r="AZ202" s="23">
        <f t="shared" si="781"/>
        <v>0</v>
      </c>
      <c r="BA202" s="49" t="str">
        <f t="shared" si="756"/>
        <v>000000000000000</v>
      </c>
      <c r="BB202" s="23">
        <f t="shared" si="782"/>
        <v>0</v>
      </c>
      <c r="BC202" s="49" t="str">
        <f t="shared" ref="BC202" si="1161">IF(BB202&lt;0,SUBSTITUTE(TEXT(BB202,"000000000000,00"),",",""),SUBSTITUTE(TEXT(BB202,"0000000000000,00"),",",""))</f>
        <v>000000000000000</v>
      </c>
      <c r="BD202" s="23">
        <f t="shared" si="784"/>
        <v>0</v>
      </c>
      <c r="BE202" s="49" t="str">
        <f t="shared" ref="BE202" si="1162">IF(BD202&lt;0,SUBSTITUTE(TEXT(BD202,"000000000000,00"),",",""),SUBSTITUTE(TEXT(BD202,"0000000000000,00"),",",""))</f>
        <v>000000000000000</v>
      </c>
      <c r="BF202" s="23">
        <f t="shared" si="786"/>
        <v>0</v>
      </c>
      <c r="BG202" s="49" t="str">
        <f t="shared" ref="BG202" si="1163">IF(BF202&lt;0,SUBSTITUTE(TEXT(BF202,"000000000000,00"),",",""),SUBSTITUTE(TEXT(BF202,"0000000000000,00"),",",""))</f>
        <v>000000000000000</v>
      </c>
      <c r="BH202" s="23">
        <f t="shared" si="788"/>
        <v>0</v>
      </c>
      <c r="BI202" s="49" t="str">
        <f t="shared" ref="BI202" si="1164">IF(BH202&lt;0,SUBSTITUTE(TEXT(BH202,"000000000000,00"),",",""),SUBSTITUTE(TEXT(BH202,"0000000000000,00"),",",""))</f>
        <v>000000000000000</v>
      </c>
      <c r="BJ202" s="23">
        <f t="shared" si="790"/>
        <v>0</v>
      </c>
      <c r="BK202" s="49" t="str">
        <f t="shared" ref="BK202" si="1165">IF(BJ202&lt;0,SUBSTITUTE(TEXT(BJ202,"000000000000,00"),",",""),SUBSTITUTE(TEXT(BJ202,"0000000000000,00"),",",""))</f>
        <v>000000000000000</v>
      </c>
      <c r="BL202" s="23">
        <f t="shared" si="792"/>
        <v>0</v>
      </c>
      <c r="BM202" s="49" t="str">
        <f t="shared" ref="BM202" si="1166">IF(BL202&lt;0,SUBSTITUTE(TEXT(BL202,"000000000000,00"),",",""),SUBSTITUTE(TEXT(BL202,"0000000000000,00"),",",""))</f>
        <v>000000000000000</v>
      </c>
      <c r="BN202" t="str">
        <f t="shared" si="794"/>
        <v>PES</v>
      </c>
      <c r="BO202" t="str">
        <f t="shared" si="795"/>
        <v>0001000000</v>
      </c>
      <c r="BP202">
        <f t="shared" si="796"/>
        <v>0</v>
      </c>
      <c r="BQ202">
        <f t="shared" si="797"/>
        <v>0</v>
      </c>
      <c r="BR202" s="23">
        <f t="shared" si="798"/>
        <v>0</v>
      </c>
      <c r="BS202" s="49" t="str">
        <f t="shared" si="763"/>
        <v>000000000000000</v>
      </c>
      <c r="BT202" t="str">
        <f t="shared" si="799"/>
        <v>00000000</v>
      </c>
      <c r="BU202" s="23">
        <f t="shared" si="800"/>
        <v>0</v>
      </c>
      <c r="BV202" s="49" t="str">
        <f t="shared" si="764"/>
        <v/>
      </c>
      <c r="BW202" s="52" t="str">
        <f t="shared" si="801"/>
        <v/>
      </c>
      <c r="BX202" s="23">
        <f t="shared" si="802"/>
        <v>0</v>
      </c>
      <c r="BY202" s="49" t="str">
        <f t="shared" si="765"/>
        <v/>
      </c>
      <c r="BZ202" s="23">
        <f t="shared" si="803"/>
        <v>0</v>
      </c>
      <c r="CA202" s="49" t="str">
        <f t="shared" si="766"/>
        <v/>
      </c>
      <c r="CB202" s="52" t="str">
        <f t="shared" si="804"/>
        <v/>
      </c>
      <c r="CC202" s="23">
        <f t="shared" si="805"/>
        <v>0</v>
      </c>
      <c r="CD202" s="49" t="str">
        <f t="shared" si="767"/>
        <v/>
      </c>
      <c r="CE202" s="56" t="str">
        <f>IF(CF202="","",MAX(CE$10:$CE201)+1)</f>
        <v/>
      </c>
      <c r="CF202" t="str">
        <f t="shared" si="806"/>
        <v/>
      </c>
      <c r="CG202" s="22" t="str">
        <f>IF(CH202="","",MAX($CG$10:CG201)+1)</f>
        <v/>
      </c>
      <c r="CH202" s="22" t="str">
        <f t="shared" si="751"/>
        <v/>
      </c>
      <c r="CI202" s="22" t="str">
        <f>IF(CJ202="","",MAX($CI$10:CI201)+1)</f>
        <v/>
      </c>
      <c r="CJ202" s="22" t="str">
        <f t="shared" si="752"/>
        <v/>
      </c>
    </row>
    <row r="203" spans="2:88" x14ac:dyDescent="0.25">
      <c r="B203" s="37"/>
      <c r="C203" s="3"/>
      <c r="D203" s="77" t="str">
        <f t="shared" si="738"/>
        <v/>
      </c>
      <c r="E203" s="38"/>
      <c r="F203" s="38"/>
      <c r="G203" s="78">
        <f t="shared" si="753"/>
        <v>0</v>
      </c>
      <c r="H203" s="3">
        <v>80</v>
      </c>
      <c r="I203" s="77" t="str">
        <f t="shared" si="739"/>
        <v/>
      </c>
      <c r="J203" s="32"/>
      <c r="K203" s="3"/>
      <c r="L203" s="39"/>
      <c r="M203" s="39"/>
      <c r="N203" s="39"/>
      <c r="O203" s="39"/>
      <c r="P203" s="39"/>
      <c r="Q203" s="39"/>
      <c r="R203" s="39"/>
      <c r="S203" s="39"/>
      <c r="T203" s="3" t="s">
        <v>645</v>
      </c>
      <c r="U203" s="77" t="str">
        <f t="shared" si="740"/>
        <v/>
      </c>
      <c r="V203" s="39">
        <v>1</v>
      </c>
      <c r="W203" s="79">
        <f t="shared" si="754"/>
        <v>0</v>
      </c>
      <c r="X203" s="3">
        <v>0</v>
      </c>
      <c r="Y203" s="77" t="str">
        <f t="shared" si="741"/>
        <v/>
      </c>
      <c r="Z203" s="3"/>
      <c r="AA203" s="37" t="str">
        <f t="shared" si="755"/>
        <v/>
      </c>
      <c r="AC203" s="40"/>
      <c r="AD203" s="7"/>
      <c r="AE203" s="77" t="str">
        <f t="shared" si="742"/>
        <v/>
      </c>
      <c r="AF203" s="81">
        <f t="shared" si="768"/>
        <v>0</v>
      </c>
      <c r="AG203" s="40"/>
      <c r="AH203" s="7"/>
      <c r="AI203" s="77" t="str">
        <f t="shared" si="743"/>
        <v/>
      </c>
      <c r="AJ203" s="81">
        <f t="shared" si="769"/>
        <v>0</v>
      </c>
      <c r="AK203" s="83">
        <f t="shared" si="770"/>
        <v>0</v>
      </c>
      <c r="AL203" s="83">
        <f t="shared" si="771"/>
        <v>0</v>
      </c>
      <c r="AN203" s="43">
        <f t="shared" si="744"/>
        <v>0</v>
      </c>
      <c r="AP203" t="str">
        <f t="shared" si="772"/>
        <v/>
      </c>
      <c r="AQ203" t="str">
        <f t="shared" si="773"/>
        <v/>
      </c>
      <c r="AR203" t="str">
        <f t="shared" si="774"/>
        <v/>
      </c>
      <c r="AS203" t="str">
        <f t="shared" si="775"/>
        <v/>
      </c>
      <c r="AT203" t="str">
        <f t="shared" si="776"/>
        <v/>
      </c>
      <c r="AU203" t="str">
        <f t="shared" si="777"/>
        <v/>
      </c>
      <c r="AV203" t="str">
        <f t="shared" si="778"/>
        <v/>
      </c>
      <c r="AW203" t="str">
        <f t="shared" si="779"/>
        <v xml:space="preserve">                              </v>
      </c>
      <c r="AX203" s="23">
        <f t="shared" si="780"/>
        <v>0</v>
      </c>
      <c r="AY203" s="49" t="str">
        <f t="shared" si="756"/>
        <v>000000000000000</v>
      </c>
      <c r="AZ203" s="23">
        <f t="shared" si="781"/>
        <v>0</v>
      </c>
      <c r="BA203" s="49" t="str">
        <f t="shared" si="756"/>
        <v>000000000000000</v>
      </c>
      <c r="BB203" s="23">
        <f t="shared" si="782"/>
        <v>0</v>
      </c>
      <c r="BC203" s="49" t="str">
        <f t="shared" ref="BC203" si="1167">IF(BB203&lt;0,SUBSTITUTE(TEXT(BB203,"000000000000,00"),",",""),SUBSTITUTE(TEXT(BB203,"0000000000000,00"),",",""))</f>
        <v>000000000000000</v>
      </c>
      <c r="BD203" s="23">
        <f t="shared" si="784"/>
        <v>0</v>
      </c>
      <c r="BE203" s="49" t="str">
        <f t="shared" ref="BE203" si="1168">IF(BD203&lt;0,SUBSTITUTE(TEXT(BD203,"000000000000,00"),",",""),SUBSTITUTE(TEXT(BD203,"0000000000000,00"),",",""))</f>
        <v>000000000000000</v>
      </c>
      <c r="BF203" s="23">
        <f t="shared" si="786"/>
        <v>0</v>
      </c>
      <c r="BG203" s="49" t="str">
        <f t="shared" ref="BG203" si="1169">IF(BF203&lt;0,SUBSTITUTE(TEXT(BF203,"000000000000,00"),",",""),SUBSTITUTE(TEXT(BF203,"0000000000000,00"),",",""))</f>
        <v>000000000000000</v>
      </c>
      <c r="BH203" s="23">
        <f t="shared" si="788"/>
        <v>0</v>
      </c>
      <c r="BI203" s="49" t="str">
        <f t="shared" ref="BI203" si="1170">IF(BH203&lt;0,SUBSTITUTE(TEXT(BH203,"000000000000,00"),",",""),SUBSTITUTE(TEXT(BH203,"0000000000000,00"),",",""))</f>
        <v>000000000000000</v>
      </c>
      <c r="BJ203" s="23">
        <f t="shared" si="790"/>
        <v>0</v>
      </c>
      <c r="BK203" s="49" t="str">
        <f t="shared" ref="BK203" si="1171">IF(BJ203&lt;0,SUBSTITUTE(TEXT(BJ203,"000000000000,00"),",",""),SUBSTITUTE(TEXT(BJ203,"0000000000000,00"),",",""))</f>
        <v>000000000000000</v>
      </c>
      <c r="BL203" s="23">
        <f t="shared" si="792"/>
        <v>0</v>
      </c>
      <c r="BM203" s="49" t="str">
        <f t="shared" ref="BM203" si="1172">IF(BL203&lt;0,SUBSTITUTE(TEXT(BL203,"000000000000,00"),",",""),SUBSTITUTE(TEXT(BL203,"0000000000000,00"),",",""))</f>
        <v>000000000000000</v>
      </c>
      <c r="BN203" t="str">
        <f t="shared" si="794"/>
        <v>PES</v>
      </c>
      <c r="BO203" t="str">
        <f t="shared" si="795"/>
        <v>0001000000</v>
      </c>
      <c r="BP203">
        <f t="shared" si="796"/>
        <v>0</v>
      </c>
      <c r="BQ203">
        <f t="shared" si="797"/>
        <v>0</v>
      </c>
      <c r="BR203" s="23">
        <f t="shared" si="798"/>
        <v>0</v>
      </c>
      <c r="BS203" s="49" t="str">
        <f t="shared" si="763"/>
        <v>000000000000000</v>
      </c>
      <c r="BT203" t="str">
        <f t="shared" si="799"/>
        <v>00000000</v>
      </c>
      <c r="BU203" s="23">
        <f t="shared" si="800"/>
        <v>0</v>
      </c>
      <c r="BV203" s="49" t="str">
        <f t="shared" si="764"/>
        <v/>
      </c>
      <c r="BW203" s="52" t="str">
        <f t="shared" si="801"/>
        <v/>
      </c>
      <c r="BX203" s="23">
        <f t="shared" si="802"/>
        <v>0</v>
      </c>
      <c r="BY203" s="49" t="str">
        <f t="shared" si="765"/>
        <v/>
      </c>
      <c r="BZ203" s="23">
        <f t="shared" si="803"/>
        <v>0</v>
      </c>
      <c r="CA203" s="49" t="str">
        <f t="shared" si="766"/>
        <v/>
      </c>
      <c r="CB203" s="52" t="str">
        <f t="shared" si="804"/>
        <v/>
      </c>
      <c r="CC203" s="23">
        <f t="shared" si="805"/>
        <v>0</v>
      </c>
      <c r="CD203" s="49" t="str">
        <f t="shared" si="767"/>
        <v/>
      </c>
      <c r="CE203" s="56" t="str">
        <f>IF(CF203="","",MAX(CE$10:$CE202)+1)</f>
        <v/>
      </c>
      <c r="CF203" t="str">
        <f t="shared" si="806"/>
        <v/>
      </c>
      <c r="CG203" s="22" t="str">
        <f>IF(CH203="","",MAX($CG$10:CG202)+1)</f>
        <v/>
      </c>
      <c r="CH203" s="22" t="str">
        <f t="shared" si="751"/>
        <v/>
      </c>
      <c r="CI203" s="22" t="str">
        <f>IF(CJ203="","",MAX($CI$10:CI202)+1)</f>
        <v/>
      </c>
      <c r="CJ203" s="22" t="str">
        <f t="shared" si="752"/>
        <v/>
      </c>
    </row>
    <row r="204" spans="2:88" x14ac:dyDescent="0.25">
      <c r="B204" s="37"/>
      <c r="C204" s="3"/>
      <c r="D204" s="77" t="str">
        <f t="shared" ref="D204:D267" si="1173">IF(B204="","",IF(ISERROR(VLOOKUP(C204,T_CompVentas,2,FALSE)),"",VLOOKUP(C204,T_CompVentas,2,FALSE)))</f>
        <v/>
      </c>
      <c r="E204" s="38"/>
      <c r="F204" s="38"/>
      <c r="G204" s="78">
        <f t="shared" si="753"/>
        <v>0</v>
      </c>
      <c r="H204" s="3">
        <v>80</v>
      </c>
      <c r="I204" s="77" t="str">
        <f t="shared" ref="I204:I267" si="1174">IF(B204="","",IF(H204="","",IF(ISERROR(VLOOKUP(H204,T_Documentos,2,FALSE)),"",VLOOKUP(H204,T_Documentos,2,FALSE))))</f>
        <v/>
      </c>
      <c r="J204" s="32"/>
      <c r="K204" s="3"/>
      <c r="L204" s="39"/>
      <c r="M204" s="39"/>
      <c r="N204" s="39"/>
      <c r="O204" s="39"/>
      <c r="P204" s="39"/>
      <c r="Q204" s="39"/>
      <c r="R204" s="39"/>
      <c r="S204" s="39"/>
      <c r="T204" s="3" t="s">
        <v>645</v>
      </c>
      <c r="U204" s="77" t="str">
        <f t="shared" ref="U204:U267" si="1175">IF(B204="","",IF(ISERROR(VLOOKUP(T204,T_Monedas,2,FALSE)),"",VLOOKUP(T204,T_Monedas,2,FALSE)))</f>
        <v/>
      </c>
      <c r="V204" s="39">
        <v>1</v>
      </c>
      <c r="W204" s="79">
        <f t="shared" si="754"/>
        <v>0</v>
      </c>
      <c r="X204" s="3">
        <v>0</v>
      </c>
      <c r="Y204" s="77" t="str">
        <f t="shared" ref="Y204:Y267" si="1176">IF(B204="","",IF(ISERROR(VLOOKUP(X204,T_CodOperVentas,2,FALSE)),"",VLOOKUP(X204,T_CodOperVentas,2,FALSE)))</f>
        <v/>
      </c>
      <c r="Z204" s="3"/>
      <c r="AA204" s="37" t="str">
        <f t="shared" si="755"/>
        <v/>
      </c>
      <c r="AC204" s="40"/>
      <c r="AD204" s="7"/>
      <c r="AE204" s="77" t="str">
        <f t="shared" ref="AE204:AE267" si="1177">IF(B204="","",IF(AD204="","",IF(ISERROR(VLOOKUP(AD204,T_Alicuotas,2,FALSE)),"",VLOOKUP(AD204,T_Alicuotas,2,FALSE))))</f>
        <v/>
      </c>
      <c r="AF204" s="81">
        <f t="shared" si="768"/>
        <v>0</v>
      </c>
      <c r="AG204" s="40"/>
      <c r="AH204" s="7"/>
      <c r="AI204" s="77" t="str">
        <f t="shared" ref="AI204:AI267" si="1178">IF(B204="","",IF(AH204="","",IF(ISERROR(VLOOKUP(AH204,T_Alicuotas,2,FALSE)),"",VLOOKUP(AH204,T_Alicuotas,2,FALSE))))</f>
        <v/>
      </c>
      <c r="AJ204" s="81">
        <f t="shared" si="769"/>
        <v>0</v>
      </c>
      <c r="AK204" s="83">
        <f t="shared" si="770"/>
        <v>0</v>
      </c>
      <c r="AL204" s="83">
        <f t="shared" si="771"/>
        <v>0</v>
      </c>
      <c r="AN204" s="43">
        <f t="shared" ref="AN204:AN267" si="1179">+L204-M204-N204-O204-P204-Q204-R204-S204-AC204-AF204-AG204-AJ204</f>
        <v>0</v>
      </c>
      <c r="AP204" t="str">
        <f t="shared" si="772"/>
        <v/>
      </c>
      <c r="AQ204" t="str">
        <f t="shared" si="773"/>
        <v/>
      </c>
      <c r="AR204" t="str">
        <f t="shared" si="774"/>
        <v/>
      </c>
      <c r="AS204" t="str">
        <f t="shared" si="775"/>
        <v/>
      </c>
      <c r="AT204" t="str">
        <f t="shared" si="776"/>
        <v/>
      </c>
      <c r="AU204" t="str">
        <f t="shared" si="777"/>
        <v/>
      </c>
      <c r="AV204" t="str">
        <f t="shared" si="778"/>
        <v/>
      </c>
      <c r="AW204" t="str">
        <f t="shared" si="779"/>
        <v xml:space="preserve">                              </v>
      </c>
      <c r="AX204" s="23">
        <f t="shared" si="780"/>
        <v>0</v>
      </c>
      <c r="AY204" s="49" t="str">
        <f t="shared" si="756"/>
        <v>000000000000000</v>
      </c>
      <c r="AZ204" s="23">
        <f t="shared" si="781"/>
        <v>0</v>
      </c>
      <c r="BA204" s="49" t="str">
        <f t="shared" si="756"/>
        <v>000000000000000</v>
      </c>
      <c r="BB204" s="23">
        <f t="shared" si="782"/>
        <v>0</v>
      </c>
      <c r="BC204" s="49" t="str">
        <f t="shared" ref="BC204" si="1180">IF(BB204&lt;0,SUBSTITUTE(TEXT(BB204,"000000000000,00"),",",""),SUBSTITUTE(TEXT(BB204,"0000000000000,00"),",",""))</f>
        <v>000000000000000</v>
      </c>
      <c r="BD204" s="23">
        <f t="shared" si="784"/>
        <v>0</v>
      </c>
      <c r="BE204" s="49" t="str">
        <f t="shared" ref="BE204" si="1181">IF(BD204&lt;0,SUBSTITUTE(TEXT(BD204,"000000000000,00"),",",""),SUBSTITUTE(TEXT(BD204,"0000000000000,00"),",",""))</f>
        <v>000000000000000</v>
      </c>
      <c r="BF204" s="23">
        <f t="shared" si="786"/>
        <v>0</v>
      </c>
      <c r="BG204" s="49" t="str">
        <f t="shared" ref="BG204" si="1182">IF(BF204&lt;0,SUBSTITUTE(TEXT(BF204,"000000000000,00"),",",""),SUBSTITUTE(TEXT(BF204,"0000000000000,00"),",",""))</f>
        <v>000000000000000</v>
      </c>
      <c r="BH204" s="23">
        <f t="shared" si="788"/>
        <v>0</v>
      </c>
      <c r="BI204" s="49" t="str">
        <f t="shared" ref="BI204" si="1183">IF(BH204&lt;0,SUBSTITUTE(TEXT(BH204,"000000000000,00"),",",""),SUBSTITUTE(TEXT(BH204,"0000000000000,00"),",",""))</f>
        <v>000000000000000</v>
      </c>
      <c r="BJ204" s="23">
        <f t="shared" si="790"/>
        <v>0</v>
      </c>
      <c r="BK204" s="49" t="str">
        <f t="shared" ref="BK204" si="1184">IF(BJ204&lt;0,SUBSTITUTE(TEXT(BJ204,"000000000000,00"),",",""),SUBSTITUTE(TEXT(BJ204,"0000000000000,00"),",",""))</f>
        <v>000000000000000</v>
      </c>
      <c r="BL204" s="23">
        <f t="shared" si="792"/>
        <v>0</v>
      </c>
      <c r="BM204" s="49" t="str">
        <f t="shared" ref="BM204" si="1185">IF(BL204&lt;0,SUBSTITUTE(TEXT(BL204,"000000000000,00"),",",""),SUBSTITUTE(TEXT(BL204,"0000000000000,00"),",",""))</f>
        <v>000000000000000</v>
      </c>
      <c r="BN204" t="str">
        <f t="shared" si="794"/>
        <v>PES</v>
      </c>
      <c r="BO204" t="str">
        <f t="shared" si="795"/>
        <v>0001000000</v>
      </c>
      <c r="BP204">
        <f t="shared" si="796"/>
        <v>0</v>
      </c>
      <c r="BQ204">
        <f t="shared" si="797"/>
        <v>0</v>
      </c>
      <c r="BR204" s="23">
        <f t="shared" si="798"/>
        <v>0</v>
      </c>
      <c r="BS204" s="49" t="str">
        <f t="shared" si="763"/>
        <v>000000000000000</v>
      </c>
      <c r="BT204" t="str">
        <f t="shared" si="799"/>
        <v>00000000</v>
      </c>
      <c r="BU204" s="23">
        <f t="shared" si="800"/>
        <v>0</v>
      </c>
      <c r="BV204" s="49" t="str">
        <f t="shared" si="764"/>
        <v/>
      </c>
      <c r="BW204" s="52" t="str">
        <f t="shared" si="801"/>
        <v/>
      </c>
      <c r="BX204" s="23">
        <f t="shared" si="802"/>
        <v>0</v>
      </c>
      <c r="BY204" s="49" t="str">
        <f t="shared" si="765"/>
        <v/>
      </c>
      <c r="BZ204" s="23">
        <f t="shared" si="803"/>
        <v>0</v>
      </c>
      <c r="CA204" s="49" t="str">
        <f t="shared" si="766"/>
        <v/>
      </c>
      <c r="CB204" s="52" t="str">
        <f t="shared" si="804"/>
        <v/>
      </c>
      <c r="CC204" s="23">
        <f t="shared" si="805"/>
        <v>0</v>
      </c>
      <c r="CD204" s="49" t="str">
        <f t="shared" si="767"/>
        <v/>
      </c>
      <c r="CE204" s="56" t="str">
        <f>IF(CF204="","",MAX(CE$10:$CE203)+1)</f>
        <v/>
      </c>
      <c r="CF204" t="str">
        <f t="shared" si="806"/>
        <v/>
      </c>
      <c r="CG204" s="22" t="str">
        <f>IF(CH204="","",MAX($CG$10:CG203)+1)</f>
        <v/>
      </c>
      <c r="CH204" s="22" t="str">
        <f t="shared" ref="CH204:CH267" si="1186">IF(BV204="","",AQ204&amp;AR204&amp;AS204&amp;BV204&amp;BW204&amp;BY204)</f>
        <v/>
      </c>
      <c r="CI204" s="22" t="str">
        <f>IF(CJ204="","",MAX($CI$10:CI203)+1)</f>
        <v/>
      </c>
      <c r="CJ204" s="22" t="str">
        <f t="shared" ref="CJ204:CJ267" si="1187">IF(CA204="","",AQ204&amp;AR204&amp;AS204&amp;CA204&amp;CB204&amp;CD204)</f>
        <v/>
      </c>
    </row>
    <row r="205" spans="2:88" x14ac:dyDescent="0.25">
      <c r="B205" s="37"/>
      <c r="C205" s="3"/>
      <c r="D205" s="77" t="str">
        <f t="shared" si="1173"/>
        <v/>
      </c>
      <c r="E205" s="38"/>
      <c r="F205" s="38"/>
      <c r="G205" s="78">
        <f t="shared" ref="G205:G268" si="1188">+F205</f>
        <v>0</v>
      </c>
      <c r="H205" s="3">
        <v>80</v>
      </c>
      <c r="I205" s="77" t="str">
        <f t="shared" si="1174"/>
        <v/>
      </c>
      <c r="J205" s="32"/>
      <c r="K205" s="3"/>
      <c r="L205" s="39"/>
      <c r="M205" s="39"/>
      <c r="N205" s="39"/>
      <c r="O205" s="39"/>
      <c r="P205" s="39"/>
      <c r="Q205" s="39"/>
      <c r="R205" s="39"/>
      <c r="S205" s="39"/>
      <c r="T205" s="3" t="s">
        <v>645</v>
      </c>
      <c r="U205" s="77" t="str">
        <f t="shared" si="1175"/>
        <v/>
      </c>
      <c r="V205" s="39">
        <v>1</v>
      </c>
      <c r="W205" s="79">
        <f t="shared" ref="W205:W268" si="1189">IF(AD205="",0,1)+IF(OR(AH205=""),0,1)</f>
        <v>0</v>
      </c>
      <c r="X205" s="3">
        <v>0</v>
      </c>
      <c r="Y205" s="77" t="str">
        <f t="shared" si="1176"/>
        <v/>
      </c>
      <c r="Z205" s="3"/>
      <c r="AA205" s="37" t="str">
        <f t="shared" ref="AA205:AA268" si="1190">IF(OR(B205="",C205=82),"",B205)</f>
        <v/>
      </c>
      <c r="AC205" s="40"/>
      <c r="AD205" s="7"/>
      <c r="AE205" s="77" t="str">
        <f t="shared" si="1177"/>
        <v/>
      </c>
      <c r="AF205" s="81">
        <f t="shared" si="768"/>
        <v>0</v>
      </c>
      <c r="AG205" s="40"/>
      <c r="AH205" s="7"/>
      <c r="AI205" s="77" t="str">
        <f t="shared" si="1178"/>
        <v/>
      </c>
      <c r="AJ205" s="81">
        <f t="shared" si="769"/>
        <v>0</v>
      </c>
      <c r="AK205" s="83">
        <f t="shared" si="770"/>
        <v>0</v>
      </c>
      <c r="AL205" s="83">
        <f t="shared" si="771"/>
        <v>0</v>
      </c>
      <c r="AN205" s="43">
        <f t="shared" si="1179"/>
        <v>0</v>
      </c>
      <c r="AP205" t="str">
        <f t="shared" si="772"/>
        <v/>
      </c>
      <c r="AQ205" t="str">
        <f t="shared" si="773"/>
        <v/>
      </c>
      <c r="AR205" t="str">
        <f t="shared" si="774"/>
        <v/>
      </c>
      <c r="AS205" t="str">
        <f t="shared" si="775"/>
        <v/>
      </c>
      <c r="AT205" t="str">
        <f t="shared" si="776"/>
        <v/>
      </c>
      <c r="AU205" t="str">
        <f t="shared" si="777"/>
        <v/>
      </c>
      <c r="AV205" t="str">
        <f t="shared" si="778"/>
        <v/>
      </c>
      <c r="AW205" t="str">
        <f t="shared" si="779"/>
        <v xml:space="preserve">                              </v>
      </c>
      <c r="AX205" s="23">
        <f t="shared" si="780"/>
        <v>0</v>
      </c>
      <c r="AY205" s="49" t="str">
        <f t="shared" ref="AY205:BA268" si="1191">IF(AX205&lt;0,SUBSTITUTE(TEXT(AX205,"000000000000,00"),",",""),SUBSTITUTE(TEXT(AX205,"0000000000000,00"),",",""))</f>
        <v>000000000000000</v>
      </c>
      <c r="AZ205" s="23">
        <f t="shared" si="781"/>
        <v>0</v>
      </c>
      <c r="BA205" s="49" t="str">
        <f t="shared" si="1191"/>
        <v>000000000000000</v>
      </c>
      <c r="BB205" s="23">
        <f t="shared" si="782"/>
        <v>0</v>
      </c>
      <c r="BC205" s="49" t="str">
        <f t="shared" ref="BC205" si="1192">IF(BB205&lt;0,SUBSTITUTE(TEXT(BB205,"000000000000,00"),",",""),SUBSTITUTE(TEXT(BB205,"0000000000000,00"),",",""))</f>
        <v>000000000000000</v>
      </c>
      <c r="BD205" s="23">
        <f t="shared" si="784"/>
        <v>0</v>
      </c>
      <c r="BE205" s="49" t="str">
        <f t="shared" ref="BE205" si="1193">IF(BD205&lt;0,SUBSTITUTE(TEXT(BD205,"000000000000,00"),",",""),SUBSTITUTE(TEXT(BD205,"0000000000000,00"),",",""))</f>
        <v>000000000000000</v>
      </c>
      <c r="BF205" s="23">
        <f t="shared" si="786"/>
        <v>0</v>
      </c>
      <c r="BG205" s="49" t="str">
        <f t="shared" ref="BG205" si="1194">IF(BF205&lt;0,SUBSTITUTE(TEXT(BF205,"000000000000,00"),",",""),SUBSTITUTE(TEXT(BF205,"0000000000000,00"),",",""))</f>
        <v>000000000000000</v>
      </c>
      <c r="BH205" s="23">
        <f t="shared" si="788"/>
        <v>0</v>
      </c>
      <c r="BI205" s="49" t="str">
        <f t="shared" ref="BI205" si="1195">IF(BH205&lt;0,SUBSTITUTE(TEXT(BH205,"000000000000,00"),",",""),SUBSTITUTE(TEXT(BH205,"0000000000000,00"),",",""))</f>
        <v>000000000000000</v>
      </c>
      <c r="BJ205" s="23">
        <f t="shared" si="790"/>
        <v>0</v>
      </c>
      <c r="BK205" s="49" t="str">
        <f t="shared" ref="BK205" si="1196">IF(BJ205&lt;0,SUBSTITUTE(TEXT(BJ205,"000000000000,00"),",",""),SUBSTITUTE(TEXT(BJ205,"0000000000000,00"),",",""))</f>
        <v>000000000000000</v>
      </c>
      <c r="BL205" s="23">
        <f t="shared" si="792"/>
        <v>0</v>
      </c>
      <c r="BM205" s="49" t="str">
        <f t="shared" ref="BM205" si="1197">IF(BL205&lt;0,SUBSTITUTE(TEXT(BL205,"000000000000,00"),",",""),SUBSTITUTE(TEXT(BL205,"0000000000000,00"),",",""))</f>
        <v>000000000000000</v>
      </c>
      <c r="BN205" t="str">
        <f t="shared" si="794"/>
        <v>PES</v>
      </c>
      <c r="BO205" t="str">
        <f t="shared" si="795"/>
        <v>0001000000</v>
      </c>
      <c r="BP205">
        <f t="shared" si="796"/>
        <v>0</v>
      </c>
      <c r="BQ205">
        <f t="shared" si="797"/>
        <v>0</v>
      </c>
      <c r="BR205" s="23">
        <f t="shared" si="798"/>
        <v>0</v>
      </c>
      <c r="BS205" s="49" t="str">
        <f t="shared" ref="BS205:BS268" si="1198">IF(BR205&lt;0,SUBSTITUTE(TEXT(BR205,"000000000000,00"),",",""),SUBSTITUTE(TEXT(BR205,"0000000000000,00"),",",""))</f>
        <v>000000000000000</v>
      </c>
      <c r="BT205" t="str">
        <f t="shared" si="799"/>
        <v>00000000</v>
      </c>
      <c r="BU205" s="23">
        <f t="shared" si="800"/>
        <v>0</v>
      </c>
      <c r="BV205" s="49" t="str">
        <f t="shared" ref="BV205:BV268" si="1199">IF(BW205="","",IF(BU205&lt;0,SUBSTITUTE(TEXT(BU205,"000000000000,00"),",",""),SUBSTITUTE(TEXT(BU205,"0000000000000,00"),",","")))</f>
        <v/>
      </c>
      <c r="BW205" s="52" t="str">
        <f t="shared" si="801"/>
        <v/>
      </c>
      <c r="BX205" s="23">
        <f t="shared" si="802"/>
        <v>0</v>
      </c>
      <c r="BY205" s="49" t="str">
        <f t="shared" ref="BY205:BY268" si="1200">IF(BW205="","",IF(BX205&lt;0,SUBSTITUTE(TEXT(BX205,"000000000000,00"),",",""),SUBSTITUTE(TEXT(BX205,"0000000000000,00"),",","")))</f>
        <v/>
      </c>
      <c r="BZ205" s="23">
        <f t="shared" si="803"/>
        <v>0</v>
      </c>
      <c r="CA205" s="49" t="str">
        <f t="shared" ref="CA205:CA268" si="1201">IF(CB205="","",IF(BZ205&lt;0,SUBSTITUTE(TEXT(BZ205,"000000000000,00"),",",""),SUBSTITUTE(TEXT(BZ205,"0000000000000,00"),",","")))</f>
        <v/>
      </c>
      <c r="CB205" s="52" t="str">
        <f t="shared" si="804"/>
        <v/>
      </c>
      <c r="CC205" s="23">
        <f t="shared" si="805"/>
        <v>0</v>
      </c>
      <c r="CD205" s="49" t="str">
        <f t="shared" ref="CD205:CD268" si="1202">IF(CB205="","",IF(CC205&lt;0,SUBSTITUTE(TEXT(CC205,"000000000000,00"),",",""),SUBSTITUTE(TEXT(CC205,"0000000000000,00"),",","")))</f>
        <v/>
      </c>
      <c r="CE205" s="56" t="str">
        <f>IF(CF205="","",MAX(CE$10:$CE204)+1)</f>
        <v/>
      </c>
      <c r="CF205" t="str">
        <f t="shared" si="806"/>
        <v/>
      </c>
      <c r="CG205" s="22" t="str">
        <f>IF(CH205="","",MAX($CG$10:CG204)+1)</f>
        <v/>
      </c>
      <c r="CH205" s="22" t="str">
        <f t="shared" si="1186"/>
        <v/>
      </c>
      <c r="CI205" s="22" t="str">
        <f>IF(CJ205="","",MAX($CI$10:CI204)+1)</f>
        <v/>
      </c>
      <c r="CJ205" s="22" t="str">
        <f t="shared" si="1187"/>
        <v/>
      </c>
    </row>
    <row r="206" spans="2:88" x14ac:dyDescent="0.25">
      <c r="B206" s="37"/>
      <c r="C206" s="3"/>
      <c r="D206" s="77" t="str">
        <f t="shared" si="1173"/>
        <v/>
      </c>
      <c r="E206" s="38"/>
      <c r="F206" s="38"/>
      <c r="G206" s="78">
        <f t="shared" si="1188"/>
        <v>0</v>
      </c>
      <c r="H206" s="3">
        <v>80</v>
      </c>
      <c r="I206" s="77" t="str">
        <f t="shared" si="1174"/>
        <v/>
      </c>
      <c r="J206" s="32"/>
      <c r="K206" s="3"/>
      <c r="L206" s="39"/>
      <c r="M206" s="39"/>
      <c r="N206" s="39"/>
      <c r="O206" s="39"/>
      <c r="P206" s="39"/>
      <c r="Q206" s="39"/>
      <c r="R206" s="39"/>
      <c r="S206" s="39"/>
      <c r="T206" s="3" t="s">
        <v>645</v>
      </c>
      <c r="U206" s="77" t="str">
        <f t="shared" si="1175"/>
        <v/>
      </c>
      <c r="V206" s="39">
        <v>1</v>
      </c>
      <c r="W206" s="79">
        <f t="shared" si="1189"/>
        <v>0</v>
      </c>
      <c r="X206" s="3">
        <v>0</v>
      </c>
      <c r="Y206" s="77" t="str">
        <f t="shared" si="1176"/>
        <v/>
      </c>
      <c r="Z206" s="3"/>
      <c r="AA206" s="37" t="str">
        <f t="shared" si="1190"/>
        <v/>
      </c>
      <c r="AC206" s="40"/>
      <c r="AD206" s="7"/>
      <c r="AE206" s="77" t="str">
        <f t="shared" si="1177"/>
        <v/>
      </c>
      <c r="AF206" s="81">
        <f t="shared" ref="AF206:AF269" si="1203">ROUND(AC206*AD206/100,2)</f>
        <v>0</v>
      </c>
      <c r="AG206" s="40"/>
      <c r="AH206" s="7"/>
      <c r="AI206" s="77" t="str">
        <f t="shared" si="1178"/>
        <v/>
      </c>
      <c r="AJ206" s="81">
        <f t="shared" ref="AJ206:AJ269" si="1204">ROUND(AG206*AH206/100,2)</f>
        <v>0</v>
      </c>
      <c r="AK206" s="83">
        <f t="shared" ref="AK206:AK269" si="1205">+AC206+AG206</f>
        <v>0</v>
      </c>
      <c r="AL206" s="83">
        <f t="shared" ref="AL206:AL269" si="1206">+AF206+AJ206</f>
        <v>0</v>
      </c>
      <c r="AN206" s="43">
        <f t="shared" si="1179"/>
        <v>0</v>
      </c>
      <c r="AP206" t="str">
        <f t="shared" ref="AP206:AP269" si="1207">IF(B206="","",TEXT(B206,$AP$8))</f>
        <v/>
      </c>
      <c r="AQ206" t="str">
        <f t="shared" ref="AQ206:AQ269" si="1208">IF(B206="","",IF(C206="","",TEXT(C206,"000")))</f>
        <v/>
      </c>
      <c r="AR206" t="str">
        <f t="shared" ref="AR206:AR269" si="1209">IF(B206="","",IF(E206="","00000",TEXT(RIGHT(E206,5),"00000")))</f>
        <v/>
      </c>
      <c r="AS206" t="str">
        <f t="shared" ref="AS206:AS269" si="1210">IF(B206="","",IF(F206="","00000000000000000000",TEXT(RIGHT(F206,20),"00000000000000000000")))</f>
        <v/>
      </c>
      <c r="AT206" t="str">
        <f t="shared" ref="AT206:AT269" si="1211">IF(B206="","",IF(G206="","00000000000000000000",TEXT(RIGHT(G206,20),"00000000000000000000")))</f>
        <v/>
      </c>
      <c r="AU206" t="str">
        <f t="shared" ref="AU206:AU269" si="1212">IF(B206="","",IF(C206="","",TEXT(RIGHT(H206,4),"00")))</f>
        <v/>
      </c>
      <c r="AV206" t="str">
        <f t="shared" ref="AV206:AV269" si="1213">IF(B206="","",TEXT(SUBSTITUTE(J206,"-",""),"00000000000000000000"))</f>
        <v/>
      </c>
      <c r="AW206" t="str">
        <f t="shared" ref="AW206:AW269" si="1214">IF(LEN(K206)&gt;30,LEFT(K206,30),K206&amp;REPT(" ",30-LEN(K206)))</f>
        <v xml:space="preserve">                              </v>
      </c>
      <c r="AX206" s="23">
        <f t="shared" ref="AX206:AX269" si="1215">IF(TRIM(L206)="",0,TRUNC(L206,2))</f>
        <v>0</v>
      </c>
      <c r="AY206" s="49" t="str">
        <f t="shared" si="1191"/>
        <v>000000000000000</v>
      </c>
      <c r="AZ206" s="23">
        <f t="shared" ref="AZ206:AZ269" si="1216">IF(TRIM(M206)="",0,TRUNC(M206,2))</f>
        <v>0</v>
      </c>
      <c r="BA206" s="49" t="str">
        <f t="shared" si="1191"/>
        <v>000000000000000</v>
      </c>
      <c r="BB206" s="23">
        <f t="shared" ref="BB206:BB269" si="1217">IF(TRIM(N206)="",0,TRUNC(N206,2))</f>
        <v>0</v>
      </c>
      <c r="BC206" s="49" t="str">
        <f t="shared" ref="BC206" si="1218">IF(BB206&lt;0,SUBSTITUTE(TEXT(BB206,"000000000000,00"),",",""),SUBSTITUTE(TEXT(BB206,"0000000000000,00"),",",""))</f>
        <v>000000000000000</v>
      </c>
      <c r="BD206" s="23">
        <f t="shared" ref="BD206:BD269" si="1219">IF(TRIM(O206)="",0,TRUNC(O206,2))</f>
        <v>0</v>
      </c>
      <c r="BE206" s="49" t="str">
        <f t="shared" ref="BE206" si="1220">IF(BD206&lt;0,SUBSTITUTE(TEXT(BD206,"000000000000,00"),",",""),SUBSTITUTE(TEXT(BD206,"0000000000000,00"),",",""))</f>
        <v>000000000000000</v>
      </c>
      <c r="BF206" s="23">
        <f t="shared" ref="BF206:BF269" si="1221">IF(TRIM(P206)="",0,TRUNC(P206,2))</f>
        <v>0</v>
      </c>
      <c r="BG206" s="49" t="str">
        <f t="shared" ref="BG206" si="1222">IF(BF206&lt;0,SUBSTITUTE(TEXT(BF206,"000000000000,00"),",",""),SUBSTITUTE(TEXT(BF206,"0000000000000,00"),",",""))</f>
        <v>000000000000000</v>
      </c>
      <c r="BH206" s="23">
        <f t="shared" ref="BH206:BH269" si="1223">IF(TRIM(Q206)="",0,TRUNC(Q206,2))</f>
        <v>0</v>
      </c>
      <c r="BI206" s="49" t="str">
        <f t="shared" ref="BI206" si="1224">IF(BH206&lt;0,SUBSTITUTE(TEXT(BH206,"000000000000,00"),",",""),SUBSTITUTE(TEXT(BH206,"0000000000000,00"),",",""))</f>
        <v>000000000000000</v>
      </c>
      <c r="BJ206" s="23">
        <f t="shared" ref="BJ206:BJ269" si="1225">IF(TRIM(R206)="",0,TRUNC(R206,2))</f>
        <v>0</v>
      </c>
      <c r="BK206" s="49" t="str">
        <f t="shared" ref="BK206" si="1226">IF(BJ206&lt;0,SUBSTITUTE(TEXT(BJ206,"000000000000,00"),",",""),SUBSTITUTE(TEXT(BJ206,"0000000000000,00"),",",""))</f>
        <v>000000000000000</v>
      </c>
      <c r="BL206" s="23">
        <f t="shared" ref="BL206:BL269" si="1227">IF(TRIM(S206)="",0,TRUNC(S206,2))</f>
        <v>0</v>
      </c>
      <c r="BM206" s="49" t="str">
        <f t="shared" ref="BM206" si="1228">IF(BL206&lt;0,SUBSTITUTE(TEXT(BL206,"000000000000,00"),",",""),SUBSTITUTE(TEXT(BL206,"0000000000000,00"),",",""))</f>
        <v>000000000000000</v>
      </c>
      <c r="BN206" t="str">
        <f t="shared" ref="BN206:BN269" si="1229">TEXT(T206,"000")</f>
        <v>PES</v>
      </c>
      <c r="BO206" t="str">
        <f t="shared" ref="BO206:BO269" si="1230">IF(V206&lt;0,SUBSTITUTE(TEXT(V206,"000,000000"),",",""),SUBSTITUTE(TEXT(V206,"0000,000000"),",",""))</f>
        <v>0001000000</v>
      </c>
      <c r="BP206">
        <f t="shared" ref="BP206:BP269" si="1231">W206</f>
        <v>0</v>
      </c>
      <c r="BQ206">
        <f t="shared" ref="BQ206:BQ269" si="1232">X206</f>
        <v>0</v>
      </c>
      <c r="BR206" s="23">
        <f t="shared" ref="BR206:BR269" si="1233">IF(TRIM(Z206)="",0,TRUNC(Z206,2))</f>
        <v>0</v>
      </c>
      <c r="BS206" s="49" t="str">
        <f t="shared" si="1198"/>
        <v>000000000000000</v>
      </c>
      <c r="BT206" t="str">
        <f t="shared" ref="BT206:BT269" si="1234">IF(AA206="","00000000",TEXT(AA206,$AP$8))</f>
        <v>00000000</v>
      </c>
      <c r="BU206" s="23">
        <f t="shared" ref="BU206:BU269" si="1235">IF(TRIM(AC206)="",0,TRUNC(AC206,2))</f>
        <v>0</v>
      </c>
      <c r="BV206" s="49" t="str">
        <f t="shared" si="1199"/>
        <v/>
      </c>
      <c r="BW206" s="52" t="str">
        <f t="shared" ref="BW206:BW269" si="1236">IF(AE206="","",TEXT(AE206,"0000"))</f>
        <v/>
      </c>
      <c r="BX206" s="23">
        <f t="shared" ref="BX206:BX269" si="1237">IF(TRIM(AF206)="",0,TRUNC(AF206,2))</f>
        <v>0</v>
      </c>
      <c r="BY206" s="49" t="str">
        <f t="shared" si="1200"/>
        <v/>
      </c>
      <c r="BZ206" s="23">
        <f t="shared" ref="BZ206:BZ269" si="1238">IF(TRIM(AG206)="",0,TRUNC(AG206,2))</f>
        <v>0</v>
      </c>
      <c r="CA206" s="49" t="str">
        <f t="shared" si="1201"/>
        <v/>
      </c>
      <c r="CB206" s="52" t="str">
        <f t="shared" ref="CB206:CB269" si="1239">IF(AI206="","",TEXT(AI206,"0000"))</f>
        <v/>
      </c>
      <c r="CC206" s="23">
        <f t="shared" ref="CC206:CC269" si="1240">IF(TRIM(AJ206)="",0,TRUNC(AJ206,2))</f>
        <v>0</v>
      </c>
      <c r="CD206" s="49" t="str">
        <f t="shared" si="1202"/>
        <v/>
      </c>
      <c r="CE206" s="56" t="str">
        <f>IF(CF206="","",MAX(CE$10:$CE205)+1)</f>
        <v/>
      </c>
      <c r="CF206" t="str">
        <f t="shared" ref="CF206:CF269" si="1241">IF(B206="","",AP206&amp;AQ206&amp;AR206&amp;AS206&amp;AT206&amp;AU206&amp;AV206&amp;AW206&amp;AY206&amp;BA206&amp;BC206&amp;BE206&amp;BG206&amp;BI206&amp;BK206&amp;BM206&amp;BN206&amp;BO206&amp;BP206&amp;BQ206&amp;BS206&amp;BT206)</f>
        <v/>
      </c>
      <c r="CG206" s="22" t="str">
        <f>IF(CH206="","",MAX($CG$10:CG205)+1)</f>
        <v/>
      </c>
      <c r="CH206" s="22" t="str">
        <f t="shared" si="1186"/>
        <v/>
      </c>
      <c r="CI206" s="22" t="str">
        <f>IF(CJ206="","",MAX($CI$10:CI205)+1)</f>
        <v/>
      </c>
      <c r="CJ206" s="22" t="str">
        <f t="shared" si="1187"/>
        <v/>
      </c>
    </row>
    <row r="207" spans="2:88" x14ac:dyDescent="0.25">
      <c r="B207" s="37"/>
      <c r="C207" s="3"/>
      <c r="D207" s="77" t="str">
        <f t="shared" si="1173"/>
        <v/>
      </c>
      <c r="E207" s="38"/>
      <c r="F207" s="38"/>
      <c r="G207" s="78">
        <f t="shared" si="1188"/>
        <v>0</v>
      </c>
      <c r="H207" s="3">
        <v>80</v>
      </c>
      <c r="I207" s="77" t="str">
        <f t="shared" si="1174"/>
        <v/>
      </c>
      <c r="J207" s="32"/>
      <c r="K207" s="3"/>
      <c r="L207" s="39"/>
      <c r="M207" s="39"/>
      <c r="N207" s="39"/>
      <c r="O207" s="39"/>
      <c r="P207" s="39"/>
      <c r="Q207" s="39"/>
      <c r="R207" s="39"/>
      <c r="S207" s="39"/>
      <c r="T207" s="3" t="s">
        <v>645</v>
      </c>
      <c r="U207" s="77" t="str">
        <f t="shared" si="1175"/>
        <v/>
      </c>
      <c r="V207" s="39">
        <v>1</v>
      </c>
      <c r="W207" s="79">
        <f t="shared" si="1189"/>
        <v>0</v>
      </c>
      <c r="X207" s="3">
        <v>0</v>
      </c>
      <c r="Y207" s="77" t="str">
        <f t="shared" si="1176"/>
        <v/>
      </c>
      <c r="Z207" s="3"/>
      <c r="AA207" s="37" t="str">
        <f t="shared" si="1190"/>
        <v/>
      </c>
      <c r="AC207" s="40"/>
      <c r="AD207" s="7"/>
      <c r="AE207" s="77" t="str">
        <f t="shared" si="1177"/>
        <v/>
      </c>
      <c r="AF207" s="81">
        <f t="shared" si="1203"/>
        <v>0</v>
      </c>
      <c r="AG207" s="40"/>
      <c r="AH207" s="7"/>
      <c r="AI207" s="77" t="str">
        <f t="shared" si="1178"/>
        <v/>
      </c>
      <c r="AJ207" s="81">
        <f t="shared" si="1204"/>
        <v>0</v>
      </c>
      <c r="AK207" s="83">
        <f t="shared" si="1205"/>
        <v>0</v>
      </c>
      <c r="AL207" s="83">
        <f t="shared" si="1206"/>
        <v>0</v>
      </c>
      <c r="AN207" s="43">
        <f t="shared" si="1179"/>
        <v>0</v>
      </c>
      <c r="AP207" t="str">
        <f t="shared" si="1207"/>
        <v/>
      </c>
      <c r="AQ207" t="str">
        <f t="shared" si="1208"/>
        <v/>
      </c>
      <c r="AR207" t="str">
        <f t="shared" si="1209"/>
        <v/>
      </c>
      <c r="AS207" t="str">
        <f t="shared" si="1210"/>
        <v/>
      </c>
      <c r="AT207" t="str">
        <f t="shared" si="1211"/>
        <v/>
      </c>
      <c r="AU207" t="str">
        <f t="shared" si="1212"/>
        <v/>
      </c>
      <c r="AV207" t="str">
        <f t="shared" si="1213"/>
        <v/>
      </c>
      <c r="AW207" t="str">
        <f t="shared" si="1214"/>
        <v xml:space="preserve">                              </v>
      </c>
      <c r="AX207" s="23">
        <f t="shared" si="1215"/>
        <v>0</v>
      </c>
      <c r="AY207" s="49" t="str">
        <f t="shared" si="1191"/>
        <v>000000000000000</v>
      </c>
      <c r="AZ207" s="23">
        <f t="shared" si="1216"/>
        <v>0</v>
      </c>
      <c r="BA207" s="49" t="str">
        <f t="shared" si="1191"/>
        <v>000000000000000</v>
      </c>
      <c r="BB207" s="23">
        <f t="shared" si="1217"/>
        <v>0</v>
      </c>
      <c r="BC207" s="49" t="str">
        <f t="shared" ref="BC207" si="1242">IF(BB207&lt;0,SUBSTITUTE(TEXT(BB207,"000000000000,00"),",",""),SUBSTITUTE(TEXT(BB207,"0000000000000,00"),",",""))</f>
        <v>000000000000000</v>
      </c>
      <c r="BD207" s="23">
        <f t="shared" si="1219"/>
        <v>0</v>
      </c>
      <c r="BE207" s="49" t="str">
        <f t="shared" ref="BE207" si="1243">IF(BD207&lt;0,SUBSTITUTE(TEXT(BD207,"000000000000,00"),",",""),SUBSTITUTE(TEXT(BD207,"0000000000000,00"),",",""))</f>
        <v>000000000000000</v>
      </c>
      <c r="BF207" s="23">
        <f t="shared" si="1221"/>
        <v>0</v>
      </c>
      <c r="BG207" s="49" t="str">
        <f t="shared" ref="BG207" si="1244">IF(BF207&lt;0,SUBSTITUTE(TEXT(BF207,"000000000000,00"),",",""),SUBSTITUTE(TEXT(BF207,"0000000000000,00"),",",""))</f>
        <v>000000000000000</v>
      </c>
      <c r="BH207" s="23">
        <f t="shared" si="1223"/>
        <v>0</v>
      </c>
      <c r="BI207" s="49" t="str">
        <f t="shared" ref="BI207" si="1245">IF(BH207&lt;0,SUBSTITUTE(TEXT(BH207,"000000000000,00"),",",""),SUBSTITUTE(TEXT(BH207,"0000000000000,00"),",",""))</f>
        <v>000000000000000</v>
      </c>
      <c r="BJ207" s="23">
        <f t="shared" si="1225"/>
        <v>0</v>
      </c>
      <c r="BK207" s="49" t="str">
        <f t="shared" ref="BK207" si="1246">IF(BJ207&lt;0,SUBSTITUTE(TEXT(BJ207,"000000000000,00"),",",""),SUBSTITUTE(TEXT(BJ207,"0000000000000,00"),",",""))</f>
        <v>000000000000000</v>
      </c>
      <c r="BL207" s="23">
        <f t="shared" si="1227"/>
        <v>0</v>
      </c>
      <c r="BM207" s="49" t="str">
        <f t="shared" ref="BM207" si="1247">IF(BL207&lt;0,SUBSTITUTE(TEXT(BL207,"000000000000,00"),",",""),SUBSTITUTE(TEXT(BL207,"0000000000000,00"),",",""))</f>
        <v>000000000000000</v>
      </c>
      <c r="BN207" t="str">
        <f t="shared" si="1229"/>
        <v>PES</v>
      </c>
      <c r="BO207" t="str">
        <f t="shared" si="1230"/>
        <v>0001000000</v>
      </c>
      <c r="BP207">
        <f t="shared" si="1231"/>
        <v>0</v>
      </c>
      <c r="BQ207">
        <f t="shared" si="1232"/>
        <v>0</v>
      </c>
      <c r="BR207" s="23">
        <f t="shared" si="1233"/>
        <v>0</v>
      </c>
      <c r="BS207" s="49" t="str">
        <f t="shared" si="1198"/>
        <v>000000000000000</v>
      </c>
      <c r="BT207" t="str">
        <f t="shared" si="1234"/>
        <v>00000000</v>
      </c>
      <c r="BU207" s="23">
        <f t="shared" si="1235"/>
        <v>0</v>
      </c>
      <c r="BV207" s="49" t="str">
        <f t="shared" si="1199"/>
        <v/>
      </c>
      <c r="BW207" s="52" t="str">
        <f t="shared" si="1236"/>
        <v/>
      </c>
      <c r="BX207" s="23">
        <f t="shared" si="1237"/>
        <v>0</v>
      </c>
      <c r="BY207" s="49" t="str">
        <f t="shared" si="1200"/>
        <v/>
      </c>
      <c r="BZ207" s="23">
        <f t="shared" si="1238"/>
        <v>0</v>
      </c>
      <c r="CA207" s="49" t="str">
        <f t="shared" si="1201"/>
        <v/>
      </c>
      <c r="CB207" s="52" t="str">
        <f t="shared" si="1239"/>
        <v/>
      </c>
      <c r="CC207" s="23">
        <f t="shared" si="1240"/>
        <v>0</v>
      </c>
      <c r="CD207" s="49" t="str">
        <f t="shared" si="1202"/>
        <v/>
      </c>
      <c r="CE207" s="56" t="str">
        <f>IF(CF207="","",MAX(CE$10:$CE206)+1)</f>
        <v/>
      </c>
      <c r="CF207" t="str">
        <f t="shared" si="1241"/>
        <v/>
      </c>
      <c r="CG207" s="22" t="str">
        <f>IF(CH207="","",MAX($CG$10:CG206)+1)</f>
        <v/>
      </c>
      <c r="CH207" s="22" t="str">
        <f t="shared" si="1186"/>
        <v/>
      </c>
      <c r="CI207" s="22" t="str">
        <f>IF(CJ207="","",MAX($CI$10:CI206)+1)</f>
        <v/>
      </c>
      <c r="CJ207" s="22" t="str">
        <f t="shared" si="1187"/>
        <v/>
      </c>
    </row>
    <row r="208" spans="2:88" x14ac:dyDescent="0.25">
      <c r="B208" s="37"/>
      <c r="C208" s="3"/>
      <c r="D208" s="77" t="str">
        <f t="shared" si="1173"/>
        <v/>
      </c>
      <c r="E208" s="38"/>
      <c r="F208" s="38"/>
      <c r="G208" s="78">
        <f t="shared" si="1188"/>
        <v>0</v>
      </c>
      <c r="H208" s="3">
        <v>80</v>
      </c>
      <c r="I208" s="77" t="str">
        <f t="shared" si="1174"/>
        <v/>
      </c>
      <c r="J208" s="32"/>
      <c r="K208" s="3"/>
      <c r="L208" s="39"/>
      <c r="M208" s="39"/>
      <c r="N208" s="39"/>
      <c r="O208" s="39"/>
      <c r="P208" s="39"/>
      <c r="Q208" s="39"/>
      <c r="R208" s="39"/>
      <c r="S208" s="39"/>
      <c r="T208" s="3" t="s">
        <v>645</v>
      </c>
      <c r="U208" s="77" t="str">
        <f t="shared" si="1175"/>
        <v/>
      </c>
      <c r="V208" s="39">
        <v>1</v>
      </c>
      <c r="W208" s="79">
        <f t="shared" si="1189"/>
        <v>0</v>
      </c>
      <c r="X208" s="3">
        <v>0</v>
      </c>
      <c r="Y208" s="77" t="str">
        <f t="shared" si="1176"/>
        <v/>
      </c>
      <c r="Z208" s="3"/>
      <c r="AA208" s="37" t="str">
        <f t="shared" si="1190"/>
        <v/>
      </c>
      <c r="AC208" s="40"/>
      <c r="AD208" s="7"/>
      <c r="AE208" s="77" t="str">
        <f t="shared" si="1177"/>
        <v/>
      </c>
      <c r="AF208" s="81">
        <f t="shared" si="1203"/>
        <v>0</v>
      </c>
      <c r="AG208" s="40"/>
      <c r="AH208" s="7"/>
      <c r="AI208" s="77" t="str">
        <f t="shared" si="1178"/>
        <v/>
      </c>
      <c r="AJ208" s="81">
        <f t="shared" si="1204"/>
        <v>0</v>
      </c>
      <c r="AK208" s="83">
        <f t="shared" si="1205"/>
        <v>0</v>
      </c>
      <c r="AL208" s="83">
        <f t="shared" si="1206"/>
        <v>0</v>
      </c>
      <c r="AN208" s="43">
        <f t="shared" si="1179"/>
        <v>0</v>
      </c>
      <c r="AP208" t="str">
        <f t="shared" si="1207"/>
        <v/>
      </c>
      <c r="AQ208" t="str">
        <f t="shared" si="1208"/>
        <v/>
      </c>
      <c r="AR208" t="str">
        <f t="shared" si="1209"/>
        <v/>
      </c>
      <c r="AS208" t="str">
        <f t="shared" si="1210"/>
        <v/>
      </c>
      <c r="AT208" t="str">
        <f t="shared" si="1211"/>
        <v/>
      </c>
      <c r="AU208" t="str">
        <f t="shared" si="1212"/>
        <v/>
      </c>
      <c r="AV208" t="str">
        <f t="shared" si="1213"/>
        <v/>
      </c>
      <c r="AW208" t="str">
        <f t="shared" si="1214"/>
        <v xml:space="preserve">                              </v>
      </c>
      <c r="AX208" s="23">
        <f t="shared" si="1215"/>
        <v>0</v>
      </c>
      <c r="AY208" s="49" t="str">
        <f t="shared" si="1191"/>
        <v>000000000000000</v>
      </c>
      <c r="AZ208" s="23">
        <f t="shared" si="1216"/>
        <v>0</v>
      </c>
      <c r="BA208" s="49" t="str">
        <f t="shared" si="1191"/>
        <v>000000000000000</v>
      </c>
      <c r="BB208" s="23">
        <f t="shared" si="1217"/>
        <v>0</v>
      </c>
      <c r="BC208" s="49" t="str">
        <f t="shared" ref="BC208" si="1248">IF(BB208&lt;0,SUBSTITUTE(TEXT(BB208,"000000000000,00"),",",""),SUBSTITUTE(TEXT(BB208,"0000000000000,00"),",",""))</f>
        <v>000000000000000</v>
      </c>
      <c r="BD208" s="23">
        <f t="shared" si="1219"/>
        <v>0</v>
      </c>
      <c r="BE208" s="49" t="str">
        <f t="shared" ref="BE208" si="1249">IF(BD208&lt;0,SUBSTITUTE(TEXT(BD208,"000000000000,00"),",",""),SUBSTITUTE(TEXT(BD208,"0000000000000,00"),",",""))</f>
        <v>000000000000000</v>
      </c>
      <c r="BF208" s="23">
        <f t="shared" si="1221"/>
        <v>0</v>
      </c>
      <c r="BG208" s="49" t="str">
        <f t="shared" ref="BG208" si="1250">IF(BF208&lt;0,SUBSTITUTE(TEXT(BF208,"000000000000,00"),",",""),SUBSTITUTE(TEXT(BF208,"0000000000000,00"),",",""))</f>
        <v>000000000000000</v>
      </c>
      <c r="BH208" s="23">
        <f t="shared" si="1223"/>
        <v>0</v>
      </c>
      <c r="BI208" s="49" t="str">
        <f t="shared" ref="BI208" si="1251">IF(BH208&lt;0,SUBSTITUTE(TEXT(BH208,"000000000000,00"),",",""),SUBSTITUTE(TEXT(BH208,"0000000000000,00"),",",""))</f>
        <v>000000000000000</v>
      </c>
      <c r="BJ208" s="23">
        <f t="shared" si="1225"/>
        <v>0</v>
      </c>
      <c r="BK208" s="49" t="str">
        <f t="shared" ref="BK208" si="1252">IF(BJ208&lt;0,SUBSTITUTE(TEXT(BJ208,"000000000000,00"),",",""),SUBSTITUTE(TEXT(BJ208,"0000000000000,00"),",",""))</f>
        <v>000000000000000</v>
      </c>
      <c r="BL208" s="23">
        <f t="shared" si="1227"/>
        <v>0</v>
      </c>
      <c r="BM208" s="49" t="str">
        <f t="shared" ref="BM208" si="1253">IF(BL208&lt;0,SUBSTITUTE(TEXT(BL208,"000000000000,00"),",",""),SUBSTITUTE(TEXT(BL208,"0000000000000,00"),",",""))</f>
        <v>000000000000000</v>
      </c>
      <c r="BN208" t="str">
        <f t="shared" si="1229"/>
        <v>PES</v>
      </c>
      <c r="BO208" t="str">
        <f t="shared" si="1230"/>
        <v>0001000000</v>
      </c>
      <c r="BP208">
        <f t="shared" si="1231"/>
        <v>0</v>
      </c>
      <c r="BQ208">
        <f t="shared" si="1232"/>
        <v>0</v>
      </c>
      <c r="BR208" s="23">
        <f t="shared" si="1233"/>
        <v>0</v>
      </c>
      <c r="BS208" s="49" t="str">
        <f t="shared" si="1198"/>
        <v>000000000000000</v>
      </c>
      <c r="BT208" t="str">
        <f t="shared" si="1234"/>
        <v>00000000</v>
      </c>
      <c r="BU208" s="23">
        <f t="shared" si="1235"/>
        <v>0</v>
      </c>
      <c r="BV208" s="49" t="str">
        <f t="shared" si="1199"/>
        <v/>
      </c>
      <c r="BW208" s="52" t="str">
        <f t="shared" si="1236"/>
        <v/>
      </c>
      <c r="BX208" s="23">
        <f t="shared" si="1237"/>
        <v>0</v>
      </c>
      <c r="BY208" s="49" t="str">
        <f t="shared" si="1200"/>
        <v/>
      </c>
      <c r="BZ208" s="23">
        <f t="shared" si="1238"/>
        <v>0</v>
      </c>
      <c r="CA208" s="49" t="str">
        <f t="shared" si="1201"/>
        <v/>
      </c>
      <c r="CB208" s="52" t="str">
        <f t="shared" si="1239"/>
        <v/>
      </c>
      <c r="CC208" s="23">
        <f t="shared" si="1240"/>
        <v>0</v>
      </c>
      <c r="CD208" s="49" t="str">
        <f t="shared" si="1202"/>
        <v/>
      </c>
      <c r="CE208" s="56" t="str">
        <f>IF(CF208="","",MAX(CE$10:$CE207)+1)</f>
        <v/>
      </c>
      <c r="CF208" t="str">
        <f t="shared" si="1241"/>
        <v/>
      </c>
      <c r="CG208" s="22" t="str">
        <f>IF(CH208="","",MAX($CG$10:CG207)+1)</f>
        <v/>
      </c>
      <c r="CH208" s="22" t="str">
        <f t="shared" si="1186"/>
        <v/>
      </c>
      <c r="CI208" s="22" t="str">
        <f>IF(CJ208="","",MAX($CI$10:CI207)+1)</f>
        <v/>
      </c>
      <c r="CJ208" s="22" t="str">
        <f t="shared" si="1187"/>
        <v/>
      </c>
    </row>
    <row r="209" spans="2:88" x14ac:dyDescent="0.25">
      <c r="B209" s="37"/>
      <c r="C209" s="3"/>
      <c r="D209" s="77" t="str">
        <f t="shared" si="1173"/>
        <v/>
      </c>
      <c r="E209" s="38"/>
      <c r="F209" s="38"/>
      <c r="G209" s="78">
        <f t="shared" si="1188"/>
        <v>0</v>
      </c>
      <c r="H209" s="3">
        <v>80</v>
      </c>
      <c r="I209" s="77" t="str">
        <f t="shared" si="1174"/>
        <v/>
      </c>
      <c r="J209" s="32"/>
      <c r="K209" s="3"/>
      <c r="L209" s="39"/>
      <c r="M209" s="39"/>
      <c r="N209" s="39"/>
      <c r="O209" s="39"/>
      <c r="P209" s="39"/>
      <c r="Q209" s="39"/>
      <c r="R209" s="39"/>
      <c r="S209" s="39"/>
      <c r="T209" s="3" t="s">
        <v>645</v>
      </c>
      <c r="U209" s="77" t="str">
        <f t="shared" si="1175"/>
        <v/>
      </c>
      <c r="V209" s="39">
        <v>1</v>
      </c>
      <c r="W209" s="79">
        <f t="shared" si="1189"/>
        <v>0</v>
      </c>
      <c r="X209" s="3">
        <v>0</v>
      </c>
      <c r="Y209" s="77" t="str">
        <f t="shared" si="1176"/>
        <v/>
      </c>
      <c r="Z209" s="3"/>
      <c r="AA209" s="37" t="str">
        <f t="shared" si="1190"/>
        <v/>
      </c>
      <c r="AC209" s="40"/>
      <c r="AD209" s="7"/>
      <c r="AE209" s="77" t="str">
        <f t="shared" si="1177"/>
        <v/>
      </c>
      <c r="AF209" s="81">
        <f t="shared" si="1203"/>
        <v>0</v>
      </c>
      <c r="AG209" s="40"/>
      <c r="AH209" s="7"/>
      <c r="AI209" s="77" t="str">
        <f t="shared" si="1178"/>
        <v/>
      </c>
      <c r="AJ209" s="81">
        <f t="shared" si="1204"/>
        <v>0</v>
      </c>
      <c r="AK209" s="83">
        <f t="shared" si="1205"/>
        <v>0</v>
      </c>
      <c r="AL209" s="83">
        <f t="shared" si="1206"/>
        <v>0</v>
      </c>
      <c r="AN209" s="43">
        <f t="shared" si="1179"/>
        <v>0</v>
      </c>
      <c r="AP209" t="str">
        <f t="shared" si="1207"/>
        <v/>
      </c>
      <c r="AQ209" t="str">
        <f t="shared" si="1208"/>
        <v/>
      </c>
      <c r="AR209" t="str">
        <f t="shared" si="1209"/>
        <v/>
      </c>
      <c r="AS209" t="str">
        <f t="shared" si="1210"/>
        <v/>
      </c>
      <c r="AT209" t="str">
        <f t="shared" si="1211"/>
        <v/>
      </c>
      <c r="AU209" t="str">
        <f t="shared" si="1212"/>
        <v/>
      </c>
      <c r="AV209" t="str">
        <f t="shared" si="1213"/>
        <v/>
      </c>
      <c r="AW209" t="str">
        <f t="shared" si="1214"/>
        <v xml:space="preserve">                              </v>
      </c>
      <c r="AX209" s="23">
        <f t="shared" si="1215"/>
        <v>0</v>
      </c>
      <c r="AY209" s="49" t="str">
        <f t="shared" si="1191"/>
        <v>000000000000000</v>
      </c>
      <c r="AZ209" s="23">
        <f t="shared" si="1216"/>
        <v>0</v>
      </c>
      <c r="BA209" s="49" t="str">
        <f t="shared" si="1191"/>
        <v>000000000000000</v>
      </c>
      <c r="BB209" s="23">
        <f t="shared" si="1217"/>
        <v>0</v>
      </c>
      <c r="BC209" s="49" t="str">
        <f t="shared" ref="BC209" si="1254">IF(BB209&lt;0,SUBSTITUTE(TEXT(BB209,"000000000000,00"),",",""),SUBSTITUTE(TEXT(BB209,"0000000000000,00"),",",""))</f>
        <v>000000000000000</v>
      </c>
      <c r="BD209" s="23">
        <f t="shared" si="1219"/>
        <v>0</v>
      </c>
      <c r="BE209" s="49" t="str">
        <f t="shared" ref="BE209" si="1255">IF(BD209&lt;0,SUBSTITUTE(TEXT(BD209,"000000000000,00"),",",""),SUBSTITUTE(TEXT(BD209,"0000000000000,00"),",",""))</f>
        <v>000000000000000</v>
      </c>
      <c r="BF209" s="23">
        <f t="shared" si="1221"/>
        <v>0</v>
      </c>
      <c r="BG209" s="49" t="str">
        <f t="shared" ref="BG209" si="1256">IF(BF209&lt;0,SUBSTITUTE(TEXT(BF209,"000000000000,00"),",",""),SUBSTITUTE(TEXT(BF209,"0000000000000,00"),",",""))</f>
        <v>000000000000000</v>
      </c>
      <c r="BH209" s="23">
        <f t="shared" si="1223"/>
        <v>0</v>
      </c>
      <c r="BI209" s="49" t="str">
        <f t="shared" ref="BI209" si="1257">IF(BH209&lt;0,SUBSTITUTE(TEXT(BH209,"000000000000,00"),",",""),SUBSTITUTE(TEXT(BH209,"0000000000000,00"),",",""))</f>
        <v>000000000000000</v>
      </c>
      <c r="BJ209" s="23">
        <f t="shared" si="1225"/>
        <v>0</v>
      </c>
      <c r="BK209" s="49" t="str">
        <f t="shared" ref="BK209" si="1258">IF(BJ209&lt;0,SUBSTITUTE(TEXT(BJ209,"000000000000,00"),",",""),SUBSTITUTE(TEXT(BJ209,"0000000000000,00"),",",""))</f>
        <v>000000000000000</v>
      </c>
      <c r="BL209" s="23">
        <f t="shared" si="1227"/>
        <v>0</v>
      </c>
      <c r="BM209" s="49" t="str">
        <f t="shared" ref="BM209" si="1259">IF(BL209&lt;0,SUBSTITUTE(TEXT(BL209,"000000000000,00"),",",""),SUBSTITUTE(TEXT(BL209,"0000000000000,00"),",",""))</f>
        <v>000000000000000</v>
      </c>
      <c r="BN209" t="str">
        <f t="shared" si="1229"/>
        <v>PES</v>
      </c>
      <c r="BO209" t="str">
        <f t="shared" si="1230"/>
        <v>0001000000</v>
      </c>
      <c r="BP209">
        <f t="shared" si="1231"/>
        <v>0</v>
      </c>
      <c r="BQ209">
        <f t="shared" si="1232"/>
        <v>0</v>
      </c>
      <c r="BR209" s="23">
        <f t="shared" si="1233"/>
        <v>0</v>
      </c>
      <c r="BS209" s="49" t="str">
        <f t="shared" si="1198"/>
        <v>000000000000000</v>
      </c>
      <c r="BT209" t="str">
        <f t="shared" si="1234"/>
        <v>00000000</v>
      </c>
      <c r="BU209" s="23">
        <f t="shared" si="1235"/>
        <v>0</v>
      </c>
      <c r="BV209" s="49" t="str">
        <f t="shared" si="1199"/>
        <v/>
      </c>
      <c r="BW209" s="52" t="str">
        <f t="shared" si="1236"/>
        <v/>
      </c>
      <c r="BX209" s="23">
        <f t="shared" si="1237"/>
        <v>0</v>
      </c>
      <c r="BY209" s="49" t="str">
        <f t="shared" si="1200"/>
        <v/>
      </c>
      <c r="BZ209" s="23">
        <f t="shared" si="1238"/>
        <v>0</v>
      </c>
      <c r="CA209" s="49" t="str">
        <f t="shared" si="1201"/>
        <v/>
      </c>
      <c r="CB209" s="52" t="str">
        <f t="shared" si="1239"/>
        <v/>
      </c>
      <c r="CC209" s="23">
        <f t="shared" si="1240"/>
        <v>0</v>
      </c>
      <c r="CD209" s="49" t="str">
        <f t="shared" si="1202"/>
        <v/>
      </c>
      <c r="CE209" s="56" t="str">
        <f>IF(CF209="","",MAX(CE$10:$CE208)+1)</f>
        <v/>
      </c>
      <c r="CF209" t="str">
        <f t="shared" si="1241"/>
        <v/>
      </c>
      <c r="CG209" s="22" t="str">
        <f>IF(CH209="","",MAX($CG$10:CG208)+1)</f>
        <v/>
      </c>
      <c r="CH209" s="22" t="str">
        <f t="shared" si="1186"/>
        <v/>
      </c>
      <c r="CI209" s="22" t="str">
        <f>IF(CJ209="","",MAX($CI$10:CI208)+1)</f>
        <v/>
      </c>
      <c r="CJ209" s="22" t="str">
        <f t="shared" si="1187"/>
        <v/>
      </c>
    </row>
    <row r="210" spans="2:88" x14ac:dyDescent="0.25">
      <c r="B210" s="37"/>
      <c r="C210" s="3"/>
      <c r="D210" s="77" t="str">
        <f t="shared" si="1173"/>
        <v/>
      </c>
      <c r="E210" s="38"/>
      <c r="F210" s="38"/>
      <c r="G210" s="78">
        <f t="shared" si="1188"/>
        <v>0</v>
      </c>
      <c r="H210" s="3">
        <v>80</v>
      </c>
      <c r="I210" s="77" t="str">
        <f t="shared" si="1174"/>
        <v/>
      </c>
      <c r="J210" s="32"/>
      <c r="K210" s="3"/>
      <c r="L210" s="39"/>
      <c r="M210" s="39"/>
      <c r="N210" s="39"/>
      <c r="O210" s="39"/>
      <c r="P210" s="39"/>
      <c r="Q210" s="39"/>
      <c r="R210" s="39"/>
      <c r="S210" s="39"/>
      <c r="T210" s="3" t="s">
        <v>645</v>
      </c>
      <c r="U210" s="77" t="str">
        <f t="shared" si="1175"/>
        <v/>
      </c>
      <c r="V210" s="39">
        <v>1</v>
      </c>
      <c r="W210" s="79">
        <f t="shared" si="1189"/>
        <v>0</v>
      </c>
      <c r="X210" s="3">
        <v>0</v>
      </c>
      <c r="Y210" s="77" t="str">
        <f t="shared" si="1176"/>
        <v/>
      </c>
      <c r="Z210" s="3"/>
      <c r="AA210" s="37" t="str">
        <f t="shared" si="1190"/>
        <v/>
      </c>
      <c r="AC210" s="40"/>
      <c r="AD210" s="7"/>
      <c r="AE210" s="77" t="str">
        <f t="shared" si="1177"/>
        <v/>
      </c>
      <c r="AF210" s="81">
        <f t="shared" si="1203"/>
        <v>0</v>
      </c>
      <c r="AG210" s="40"/>
      <c r="AH210" s="7"/>
      <c r="AI210" s="77" t="str">
        <f t="shared" si="1178"/>
        <v/>
      </c>
      <c r="AJ210" s="81">
        <f t="shared" si="1204"/>
        <v>0</v>
      </c>
      <c r="AK210" s="83">
        <f t="shared" si="1205"/>
        <v>0</v>
      </c>
      <c r="AL210" s="83">
        <f t="shared" si="1206"/>
        <v>0</v>
      </c>
      <c r="AN210" s="43">
        <f t="shared" si="1179"/>
        <v>0</v>
      </c>
      <c r="AP210" t="str">
        <f t="shared" si="1207"/>
        <v/>
      </c>
      <c r="AQ210" t="str">
        <f t="shared" si="1208"/>
        <v/>
      </c>
      <c r="AR210" t="str">
        <f t="shared" si="1209"/>
        <v/>
      </c>
      <c r="AS210" t="str">
        <f t="shared" si="1210"/>
        <v/>
      </c>
      <c r="AT210" t="str">
        <f t="shared" si="1211"/>
        <v/>
      </c>
      <c r="AU210" t="str">
        <f t="shared" si="1212"/>
        <v/>
      </c>
      <c r="AV210" t="str">
        <f t="shared" si="1213"/>
        <v/>
      </c>
      <c r="AW210" t="str">
        <f t="shared" si="1214"/>
        <v xml:space="preserve">                              </v>
      </c>
      <c r="AX210" s="23">
        <f t="shared" si="1215"/>
        <v>0</v>
      </c>
      <c r="AY210" s="49" t="str">
        <f t="shared" si="1191"/>
        <v>000000000000000</v>
      </c>
      <c r="AZ210" s="23">
        <f t="shared" si="1216"/>
        <v>0</v>
      </c>
      <c r="BA210" s="49" t="str">
        <f t="shared" si="1191"/>
        <v>000000000000000</v>
      </c>
      <c r="BB210" s="23">
        <f t="shared" si="1217"/>
        <v>0</v>
      </c>
      <c r="BC210" s="49" t="str">
        <f t="shared" ref="BC210" si="1260">IF(BB210&lt;0,SUBSTITUTE(TEXT(BB210,"000000000000,00"),",",""),SUBSTITUTE(TEXT(BB210,"0000000000000,00"),",",""))</f>
        <v>000000000000000</v>
      </c>
      <c r="BD210" s="23">
        <f t="shared" si="1219"/>
        <v>0</v>
      </c>
      <c r="BE210" s="49" t="str">
        <f t="shared" ref="BE210" si="1261">IF(BD210&lt;0,SUBSTITUTE(TEXT(BD210,"000000000000,00"),",",""),SUBSTITUTE(TEXT(BD210,"0000000000000,00"),",",""))</f>
        <v>000000000000000</v>
      </c>
      <c r="BF210" s="23">
        <f t="shared" si="1221"/>
        <v>0</v>
      </c>
      <c r="BG210" s="49" t="str">
        <f t="shared" ref="BG210" si="1262">IF(BF210&lt;0,SUBSTITUTE(TEXT(BF210,"000000000000,00"),",",""),SUBSTITUTE(TEXT(BF210,"0000000000000,00"),",",""))</f>
        <v>000000000000000</v>
      </c>
      <c r="BH210" s="23">
        <f t="shared" si="1223"/>
        <v>0</v>
      </c>
      <c r="BI210" s="49" t="str">
        <f t="shared" ref="BI210" si="1263">IF(BH210&lt;0,SUBSTITUTE(TEXT(BH210,"000000000000,00"),",",""),SUBSTITUTE(TEXT(BH210,"0000000000000,00"),",",""))</f>
        <v>000000000000000</v>
      </c>
      <c r="BJ210" s="23">
        <f t="shared" si="1225"/>
        <v>0</v>
      </c>
      <c r="BK210" s="49" t="str">
        <f t="shared" ref="BK210" si="1264">IF(BJ210&lt;0,SUBSTITUTE(TEXT(BJ210,"000000000000,00"),",",""),SUBSTITUTE(TEXT(BJ210,"0000000000000,00"),",",""))</f>
        <v>000000000000000</v>
      </c>
      <c r="BL210" s="23">
        <f t="shared" si="1227"/>
        <v>0</v>
      </c>
      <c r="BM210" s="49" t="str">
        <f t="shared" ref="BM210" si="1265">IF(BL210&lt;0,SUBSTITUTE(TEXT(BL210,"000000000000,00"),",",""),SUBSTITUTE(TEXT(BL210,"0000000000000,00"),",",""))</f>
        <v>000000000000000</v>
      </c>
      <c r="BN210" t="str">
        <f t="shared" si="1229"/>
        <v>PES</v>
      </c>
      <c r="BO210" t="str">
        <f t="shared" si="1230"/>
        <v>0001000000</v>
      </c>
      <c r="BP210">
        <f t="shared" si="1231"/>
        <v>0</v>
      </c>
      <c r="BQ210">
        <f t="shared" si="1232"/>
        <v>0</v>
      </c>
      <c r="BR210" s="23">
        <f t="shared" si="1233"/>
        <v>0</v>
      </c>
      <c r="BS210" s="49" t="str">
        <f t="shared" si="1198"/>
        <v>000000000000000</v>
      </c>
      <c r="BT210" t="str">
        <f t="shared" si="1234"/>
        <v>00000000</v>
      </c>
      <c r="BU210" s="23">
        <f t="shared" si="1235"/>
        <v>0</v>
      </c>
      <c r="BV210" s="49" t="str">
        <f t="shared" si="1199"/>
        <v/>
      </c>
      <c r="BW210" s="52" t="str">
        <f t="shared" si="1236"/>
        <v/>
      </c>
      <c r="BX210" s="23">
        <f t="shared" si="1237"/>
        <v>0</v>
      </c>
      <c r="BY210" s="49" t="str">
        <f t="shared" si="1200"/>
        <v/>
      </c>
      <c r="BZ210" s="23">
        <f t="shared" si="1238"/>
        <v>0</v>
      </c>
      <c r="CA210" s="49" t="str">
        <f t="shared" si="1201"/>
        <v/>
      </c>
      <c r="CB210" s="52" t="str">
        <f t="shared" si="1239"/>
        <v/>
      </c>
      <c r="CC210" s="23">
        <f t="shared" si="1240"/>
        <v>0</v>
      </c>
      <c r="CD210" s="49" t="str">
        <f t="shared" si="1202"/>
        <v/>
      </c>
      <c r="CE210" s="56" t="str">
        <f>IF(CF210="","",MAX(CE$10:$CE209)+1)</f>
        <v/>
      </c>
      <c r="CF210" t="str">
        <f t="shared" si="1241"/>
        <v/>
      </c>
      <c r="CG210" s="22" t="str">
        <f>IF(CH210="","",MAX($CG$10:CG209)+1)</f>
        <v/>
      </c>
      <c r="CH210" s="22" t="str">
        <f t="shared" si="1186"/>
        <v/>
      </c>
      <c r="CI210" s="22" t="str">
        <f>IF(CJ210="","",MAX($CI$10:CI209)+1)</f>
        <v/>
      </c>
      <c r="CJ210" s="22" t="str">
        <f t="shared" si="1187"/>
        <v/>
      </c>
    </row>
    <row r="211" spans="2:88" x14ac:dyDescent="0.25">
      <c r="B211" s="37"/>
      <c r="C211" s="3"/>
      <c r="D211" s="77" t="str">
        <f t="shared" si="1173"/>
        <v/>
      </c>
      <c r="E211" s="38"/>
      <c r="F211" s="38"/>
      <c r="G211" s="78">
        <f t="shared" si="1188"/>
        <v>0</v>
      </c>
      <c r="H211" s="3">
        <v>80</v>
      </c>
      <c r="I211" s="77" t="str">
        <f t="shared" si="1174"/>
        <v/>
      </c>
      <c r="J211" s="32"/>
      <c r="K211" s="3"/>
      <c r="L211" s="39"/>
      <c r="M211" s="39"/>
      <c r="N211" s="39"/>
      <c r="O211" s="39"/>
      <c r="P211" s="39"/>
      <c r="Q211" s="39"/>
      <c r="R211" s="39"/>
      <c r="S211" s="39"/>
      <c r="T211" s="3" t="s">
        <v>645</v>
      </c>
      <c r="U211" s="77" t="str">
        <f t="shared" si="1175"/>
        <v/>
      </c>
      <c r="V211" s="39">
        <v>1</v>
      </c>
      <c r="W211" s="79">
        <f t="shared" si="1189"/>
        <v>0</v>
      </c>
      <c r="X211" s="3">
        <v>0</v>
      </c>
      <c r="Y211" s="77" t="str">
        <f t="shared" si="1176"/>
        <v/>
      </c>
      <c r="Z211" s="3"/>
      <c r="AA211" s="37" t="str">
        <f t="shared" si="1190"/>
        <v/>
      </c>
      <c r="AC211" s="40"/>
      <c r="AD211" s="7"/>
      <c r="AE211" s="77" t="str">
        <f t="shared" si="1177"/>
        <v/>
      </c>
      <c r="AF211" s="81">
        <f t="shared" si="1203"/>
        <v>0</v>
      </c>
      <c r="AG211" s="40"/>
      <c r="AH211" s="7"/>
      <c r="AI211" s="77" t="str">
        <f t="shared" si="1178"/>
        <v/>
      </c>
      <c r="AJ211" s="81">
        <f t="shared" si="1204"/>
        <v>0</v>
      </c>
      <c r="AK211" s="83">
        <f t="shared" si="1205"/>
        <v>0</v>
      </c>
      <c r="AL211" s="83">
        <f t="shared" si="1206"/>
        <v>0</v>
      </c>
      <c r="AN211" s="43">
        <f t="shared" si="1179"/>
        <v>0</v>
      </c>
      <c r="AP211" t="str">
        <f t="shared" si="1207"/>
        <v/>
      </c>
      <c r="AQ211" t="str">
        <f t="shared" si="1208"/>
        <v/>
      </c>
      <c r="AR211" t="str">
        <f t="shared" si="1209"/>
        <v/>
      </c>
      <c r="AS211" t="str">
        <f t="shared" si="1210"/>
        <v/>
      </c>
      <c r="AT211" t="str">
        <f t="shared" si="1211"/>
        <v/>
      </c>
      <c r="AU211" t="str">
        <f t="shared" si="1212"/>
        <v/>
      </c>
      <c r="AV211" t="str">
        <f t="shared" si="1213"/>
        <v/>
      </c>
      <c r="AW211" t="str">
        <f t="shared" si="1214"/>
        <v xml:space="preserve">                              </v>
      </c>
      <c r="AX211" s="23">
        <f t="shared" si="1215"/>
        <v>0</v>
      </c>
      <c r="AY211" s="49" t="str">
        <f t="shared" si="1191"/>
        <v>000000000000000</v>
      </c>
      <c r="AZ211" s="23">
        <f t="shared" si="1216"/>
        <v>0</v>
      </c>
      <c r="BA211" s="49" t="str">
        <f t="shared" si="1191"/>
        <v>000000000000000</v>
      </c>
      <c r="BB211" s="23">
        <f t="shared" si="1217"/>
        <v>0</v>
      </c>
      <c r="BC211" s="49" t="str">
        <f t="shared" ref="BC211" si="1266">IF(BB211&lt;0,SUBSTITUTE(TEXT(BB211,"000000000000,00"),",",""),SUBSTITUTE(TEXT(BB211,"0000000000000,00"),",",""))</f>
        <v>000000000000000</v>
      </c>
      <c r="BD211" s="23">
        <f t="shared" si="1219"/>
        <v>0</v>
      </c>
      <c r="BE211" s="49" t="str">
        <f t="shared" ref="BE211" si="1267">IF(BD211&lt;0,SUBSTITUTE(TEXT(BD211,"000000000000,00"),",",""),SUBSTITUTE(TEXT(BD211,"0000000000000,00"),",",""))</f>
        <v>000000000000000</v>
      </c>
      <c r="BF211" s="23">
        <f t="shared" si="1221"/>
        <v>0</v>
      </c>
      <c r="BG211" s="49" t="str">
        <f t="shared" ref="BG211" si="1268">IF(BF211&lt;0,SUBSTITUTE(TEXT(BF211,"000000000000,00"),",",""),SUBSTITUTE(TEXT(BF211,"0000000000000,00"),",",""))</f>
        <v>000000000000000</v>
      </c>
      <c r="BH211" s="23">
        <f t="shared" si="1223"/>
        <v>0</v>
      </c>
      <c r="BI211" s="49" t="str">
        <f t="shared" ref="BI211" si="1269">IF(BH211&lt;0,SUBSTITUTE(TEXT(BH211,"000000000000,00"),",",""),SUBSTITUTE(TEXT(BH211,"0000000000000,00"),",",""))</f>
        <v>000000000000000</v>
      </c>
      <c r="BJ211" s="23">
        <f t="shared" si="1225"/>
        <v>0</v>
      </c>
      <c r="BK211" s="49" t="str">
        <f t="shared" ref="BK211" si="1270">IF(BJ211&lt;0,SUBSTITUTE(TEXT(BJ211,"000000000000,00"),",",""),SUBSTITUTE(TEXT(BJ211,"0000000000000,00"),",",""))</f>
        <v>000000000000000</v>
      </c>
      <c r="BL211" s="23">
        <f t="shared" si="1227"/>
        <v>0</v>
      </c>
      <c r="BM211" s="49" t="str">
        <f t="shared" ref="BM211" si="1271">IF(BL211&lt;0,SUBSTITUTE(TEXT(BL211,"000000000000,00"),",",""),SUBSTITUTE(TEXT(BL211,"0000000000000,00"),",",""))</f>
        <v>000000000000000</v>
      </c>
      <c r="BN211" t="str">
        <f t="shared" si="1229"/>
        <v>PES</v>
      </c>
      <c r="BO211" t="str">
        <f t="shared" si="1230"/>
        <v>0001000000</v>
      </c>
      <c r="BP211">
        <f t="shared" si="1231"/>
        <v>0</v>
      </c>
      <c r="BQ211">
        <f t="shared" si="1232"/>
        <v>0</v>
      </c>
      <c r="BR211" s="23">
        <f t="shared" si="1233"/>
        <v>0</v>
      </c>
      <c r="BS211" s="49" t="str">
        <f t="shared" si="1198"/>
        <v>000000000000000</v>
      </c>
      <c r="BT211" t="str">
        <f t="shared" si="1234"/>
        <v>00000000</v>
      </c>
      <c r="BU211" s="23">
        <f t="shared" si="1235"/>
        <v>0</v>
      </c>
      <c r="BV211" s="49" t="str">
        <f t="shared" si="1199"/>
        <v/>
      </c>
      <c r="BW211" s="52" t="str">
        <f t="shared" si="1236"/>
        <v/>
      </c>
      <c r="BX211" s="23">
        <f t="shared" si="1237"/>
        <v>0</v>
      </c>
      <c r="BY211" s="49" t="str">
        <f t="shared" si="1200"/>
        <v/>
      </c>
      <c r="BZ211" s="23">
        <f t="shared" si="1238"/>
        <v>0</v>
      </c>
      <c r="CA211" s="49" t="str">
        <f t="shared" si="1201"/>
        <v/>
      </c>
      <c r="CB211" s="52" t="str">
        <f t="shared" si="1239"/>
        <v/>
      </c>
      <c r="CC211" s="23">
        <f t="shared" si="1240"/>
        <v>0</v>
      </c>
      <c r="CD211" s="49" t="str">
        <f t="shared" si="1202"/>
        <v/>
      </c>
      <c r="CE211" s="56" t="str">
        <f>IF(CF211="","",MAX(CE$10:$CE210)+1)</f>
        <v/>
      </c>
      <c r="CF211" t="str">
        <f t="shared" si="1241"/>
        <v/>
      </c>
      <c r="CG211" s="22" t="str">
        <f>IF(CH211="","",MAX($CG$10:CG210)+1)</f>
        <v/>
      </c>
      <c r="CH211" s="22" t="str">
        <f t="shared" si="1186"/>
        <v/>
      </c>
      <c r="CI211" s="22" t="str">
        <f>IF(CJ211="","",MAX($CI$10:CI210)+1)</f>
        <v/>
      </c>
      <c r="CJ211" s="22" t="str">
        <f t="shared" si="1187"/>
        <v/>
      </c>
    </row>
    <row r="212" spans="2:88" x14ac:dyDescent="0.25">
      <c r="B212" s="37"/>
      <c r="C212" s="3"/>
      <c r="D212" s="77" t="str">
        <f t="shared" si="1173"/>
        <v/>
      </c>
      <c r="E212" s="38"/>
      <c r="F212" s="38"/>
      <c r="G212" s="78">
        <f t="shared" si="1188"/>
        <v>0</v>
      </c>
      <c r="H212" s="3">
        <v>80</v>
      </c>
      <c r="I212" s="77" t="str">
        <f t="shared" si="1174"/>
        <v/>
      </c>
      <c r="J212" s="32"/>
      <c r="K212" s="3"/>
      <c r="L212" s="39"/>
      <c r="M212" s="39"/>
      <c r="N212" s="39"/>
      <c r="O212" s="39"/>
      <c r="P212" s="39"/>
      <c r="Q212" s="39"/>
      <c r="R212" s="39"/>
      <c r="S212" s="39"/>
      <c r="T212" s="3" t="s">
        <v>645</v>
      </c>
      <c r="U212" s="77" t="str">
        <f t="shared" si="1175"/>
        <v/>
      </c>
      <c r="V212" s="39">
        <v>1</v>
      </c>
      <c r="W212" s="79">
        <f t="shared" si="1189"/>
        <v>0</v>
      </c>
      <c r="X212" s="3">
        <v>0</v>
      </c>
      <c r="Y212" s="77" t="str">
        <f t="shared" si="1176"/>
        <v/>
      </c>
      <c r="Z212" s="3"/>
      <c r="AA212" s="37" t="str">
        <f t="shared" si="1190"/>
        <v/>
      </c>
      <c r="AC212" s="40"/>
      <c r="AD212" s="7"/>
      <c r="AE212" s="77" t="str">
        <f t="shared" si="1177"/>
        <v/>
      </c>
      <c r="AF212" s="81">
        <f t="shared" si="1203"/>
        <v>0</v>
      </c>
      <c r="AG212" s="40"/>
      <c r="AH212" s="7"/>
      <c r="AI212" s="77" t="str">
        <f t="shared" si="1178"/>
        <v/>
      </c>
      <c r="AJ212" s="81">
        <f t="shared" si="1204"/>
        <v>0</v>
      </c>
      <c r="AK212" s="83">
        <f t="shared" si="1205"/>
        <v>0</v>
      </c>
      <c r="AL212" s="83">
        <f t="shared" si="1206"/>
        <v>0</v>
      </c>
      <c r="AN212" s="43">
        <f t="shared" si="1179"/>
        <v>0</v>
      </c>
      <c r="AP212" t="str">
        <f t="shared" si="1207"/>
        <v/>
      </c>
      <c r="AQ212" t="str">
        <f t="shared" si="1208"/>
        <v/>
      </c>
      <c r="AR212" t="str">
        <f t="shared" si="1209"/>
        <v/>
      </c>
      <c r="AS212" t="str">
        <f t="shared" si="1210"/>
        <v/>
      </c>
      <c r="AT212" t="str">
        <f t="shared" si="1211"/>
        <v/>
      </c>
      <c r="AU212" t="str">
        <f t="shared" si="1212"/>
        <v/>
      </c>
      <c r="AV212" t="str">
        <f t="shared" si="1213"/>
        <v/>
      </c>
      <c r="AW212" t="str">
        <f t="shared" si="1214"/>
        <v xml:space="preserve">                              </v>
      </c>
      <c r="AX212" s="23">
        <f t="shared" si="1215"/>
        <v>0</v>
      </c>
      <c r="AY212" s="49" t="str">
        <f t="shared" si="1191"/>
        <v>000000000000000</v>
      </c>
      <c r="AZ212" s="23">
        <f t="shared" si="1216"/>
        <v>0</v>
      </c>
      <c r="BA212" s="49" t="str">
        <f t="shared" si="1191"/>
        <v>000000000000000</v>
      </c>
      <c r="BB212" s="23">
        <f t="shared" si="1217"/>
        <v>0</v>
      </c>
      <c r="BC212" s="49" t="str">
        <f t="shared" ref="BC212" si="1272">IF(BB212&lt;0,SUBSTITUTE(TEXT(BB212,"000000000000,00"),",",""),SUBSTITUTE(TEXT(BB212,"0000000000000,00"),",",""))</f>
        <v>000000000000000</v>
      </c>
      <c r="BD212" s="23">
        <f t="shared" si="1219"/>
        <v>0</v>
      </c>
      <c r="BE212" s="49" t="str">
        <f t="shared" ref="BE212" si="1273">IF(BD212&lt;0,SUBSTITUTE(TEXT(BD212,"000000000000,00"),",",""),SUBSTITUTE(TEXT(BD212,"0000000000000,00"),",",""))</f>
        <v>000000000000000</v>
      </c>
      <c r="BF212" s="23">
        <f t="shared" si="1221"/>
        <v>0</v>
      </c>
      <c r="BG212" s="49" t="str">
        <f t="shared" ref="BG212" si="1274">IF(BF212&lt;0,SUBSTITUTE(TEXT(BF212,"000000000000,00"),",",""),SUBSTITUTE(TEXT(BF212,"0000000000000,00"),",",""))</f>
        <v>000000000000000</v>
      </c>
      <c r="BH212" s="23">
        <f t="shared" si="1223"/>
        <v>0</v>
      </c>
      <c r="BI212" s="49" t="str">
        <f t="shared" ref="BI212" si="1275">IF(BH212&lt;0,SUBSTITUTE(TEXT(BH212,"000000000000,00"),",",""),SUBSTITUTE(TEXT(BH212,"0000000000000,00"),",",""))</f>
        <v>000000000000000</v>
      </c>
      <c r="BJ212" s="23">
        <f t="shared" si="1225"/>
        <v>0</v>
      </c>
      <c r="BK212" s="49" t="str">
        <f t="shared" ref="BK212" si="1276">IF(BJ212&lt;0,SUBSTITUTE(TEXT(BJ212,"000000000000,00"),",",""),SUBSTITUTE(TEXT(BJ212,"0000000000000,00"),",",""))</f>
        <v>000000000000000</v>
      </c>
      <c r="BL212" s="23">
        <f t="shared" si="1227"/>
        <v>0</v>
      </c>
      <c r="BM212" s="49" t="str">
        <f t="shared" ref="BM212" si="1277">IF(BL212&lt;0,SUBSTITUTE(TEXT(BL212,"000000000000,00"),",",""),SUBSTITUTE(TEXT(BL212,"0000000000000,00"),",",""))</f>
        <v>000000000000000</v>
      </c>
      <c r="BN212" t="str">
        <f t="shared" si="1229"/>
        <v>PES</v>
      </c>
      <c r="BO212" t="str">
        <f t="shared" si="1230"/>
        <v>0001000000</v>
      </c>
      <c r="BP212">
        <f t="shared" si="1231"/>
        <v>0</v>
      </c>
      <c r="BQ212">
        <f t="shared" si="1232"/>
        <v>0</v>
      </c>
      <c r="BR212" s="23">
        <f t="shared" si="1233"/>
        <v>0</v>
      </c>
      <c r="BS212" s="49" t="str">
        <f t="shared" si="1198"/>
        <v>000000000000000</v>
      </c>
      <c r="BT212" t="str">
        <f t="shared" si="1234"/>
        <v>00000000</v>
      </c>
      <c r="BU212" s="23">
        <f t="shared" si="1235"/>
        <v>0</v>
      </c>
      <c r="BV212" s="49" t="str">
        <f t="shared" si="1199"/>
        <v/>
      </c>
      <c r="BW212" s="52" t="str">
        <f t="shared" si="1236"/>
        <v/>
      </c>
      <c r="BX212" s="23">
        <f t="shared" si="1237"/>
        <v>0</v>
      </c>
      <c r="BY212" s="49" t="str">
        <f t="shared" si="1200"/>
        <v/>
      </c>
      <c r="BZ212" s="23">
        <f t="shared" si="1238"/>
        <v>0</v>
      </c>
      <c r="CA212" s="49" t="str">
        <f t="shared" si="1201"/>
        <v/>
      </c>
      <c r="CB212" s="52" t="str">
        <f t="shared" si="1239"/>
        <v/>
      </c>
      <c r="CC212" s="23">
        <f t="shared" si="1240"/>
        <v>0</v>
      </c>
      <c r="CD212" s="49" t="str">
        <f t="shared" si="1202"/>
        <v/>
      </c>
      <c r="CE212" s="56" t="str">
        <f>IF(CF212="","",MAX(CE$10:$CE211)+1)</f>
        <v/>
      </c>
      <c r="CF212" t="str">
        <f t="shared" si="1241"/>
        <v/>
      </c>
      <c r="CG212" s="22" t="str">
        <f>IF(CH212="","",MAX($CG$10:CG211)+1)</f>
        <v/>
      </c>
      <c r="CH212" s="22" t="str">
        <f t="shared" si="1186"/>
        <v/>
      </c>
      <c r="CI212" s="22" t="str">
        <f>IF(CJ212="","",MAX($CI$10:CI211)+1)</f>
        <v/>
      </c>
      <c r="CJ212" s="22" t="str">
        <f t="shared" si="1187"/>
        <v/>
      </c>
    </row>
    <row r="213" spans="2:88" x14ac:dyDescent="0.25">
      <c r="B213" s="37"/>
      <c r="C213" s="3"/>
      <c r="D213" s="77" t="str">
        <f t="shared" si="1173"/>
        <v/>
      </c>
      <c r="E213" s="38"/>
      <c r="F213" s="38"/>
      <c r="G213" s="78">
        <f t="shared" si="1188"/>
        <v>0</v>
      </c>
      <c r="H213" s="3">
        <v>80</v>
      </c>
      <c r="I213" s="77" t="str">
        <f t="shared" si="1174"/>
        <v/>
      </c>
      <c r="J213" s="32"/>
      <c r="K213" s="3"/>
      <c r="L213" s="39"/>
      <c r="M213" s="39"/>
      <c r="N213" s="39"/>
      <c r="O213" s="39"/>
      <c r="P213" s="39"/>
      <c r="Q213" s="39"/>
      <c r="R213" s="39"/>
      <c r="S213" s="39"/>
      <c r="T213" s="3" t="s">
        <v>645</v>
      </c>
      <c r="U213" s="77" t="str">
        <f t="shared" si="1175"/>
        <v/>
      </c>
      <c r="V213" s="39">
        <v>1</v>
      </c>
      <c r="W213" s="79">
        <f t="shared" si="1189"/>
        <v>0</v>
      </c>
      <c r="X213" s="3">
        <v>0</v>
      </c>
      <c r="Y213" s="77" t="str">
        <f t="shared" si="1176"/>
        <v/>
      </c>
      <c r="Z213" s="3"/>
      <c r="AA213" s="37" t="str">
        <f t="shared" si="1190"/>
        <v/>
      </c>
      <c r="AC213" s="40"/>
      <c r="AD213" s="7"/>
      <c r="AE213" s="77" t="str">
        <f t="shared" si="1177"/>
        <v/>
      </c>
      <c r="AF213" s="81">
        <f t="shared" si="1203"/>
        <v>0</v>
      </c>
      <c r="AG213" s="40"/>
      <c r="AH213" s="7"/>
      <c r="AI213" s="77" t="str">
        <f t="shared" si="1178"/>
        <v/>
      </c>
      <c r="AJ213" s="81">
        <f t="shared" si="1204"/>
        <v>0</v>
      </c>
      <c r="AK213" s="83">
        <f t="shared" si="1205"/>
        <v>0</v>
      </c>
      <c r="AL213" s="83">
        <f t="shared" si="1206"/>
        <v>0</v>
      </c>
      <c r="AN213" s="43">
        <f t="shared" si="1179"/>
        <v>0</v>
      </c>
      <c r="AP213" t="str">
        <f t="shared" si="1207"/>
        <v/>
      </c>
      <c r="AQ213" t="str">
        <f t="shared" si="1208"/>
        <v/>
      </c>
      <c r="AR213" t="str">
        <f t="shared" si="1209"/>
        <v/>
      </c>
      <c r="AS213" t="str">
        <f t="shared" si="1210"/>
        <v/>
      </c>
      <c r="AT213" t="str">
        <f t="shared" si="1211"/>
        <v/>
      </c>
      <c r="AU213" t="str">
        <f t="shared" si="1212"/>
        <v/>
      </c>
      <c r="AV213" t="str">
        <f t="shared" si="1213"/>
        <v/>
      </c>
      <c r="AW213" t="str">
        <f t="shared" si="1214"/>
        <v xml:space="preserve">                              </v>
      </c>
      <c r="AX213" s="23">
        <f t="shared" si="1215"/>
        <v>0</v>
      </c>
      <c r="AY213" s="49" t="str">
        <f t="shared" si="1191"/>
        <v>000000000000000</v>
      </c>
      <c r="AZ213" s="23">
        <f t="shared" si="1216"/>
        <v>0</v>
      </c>
      <c r="BA213" s="49" t="str">
        <f t="shared" si="1191"/>
        <v>000000000000000</v>
      </c>
      <c r="BB213" s="23">
        <f t="shared" si="1217"/>
        <v>0</v>
      </c>
      <c r="BC213" s="49" t="str">
        <f t="shared" ref="BC213" si="1278">IF(BB213&lt;0,SUBSTITUTE(TEXT(BB213,"000000000000,00"),",",""),SUBSTITUTE(TEXT(BB213,"0000000000000,00"),",",""))</f>
        <v>000000000000000</v>
      </c>
      <c r="BD213" s="23">
        <f t="shared" si="1219"/>
        <v>0</v>
      </c>
      <c r="BE213" s="49" t="str">
        <f t="shared" ref="BE213" si="1279">IF(BD213&lt;0,SUBSTITUTE(TEXT(BD213,"000000000000,00"),",",""),SUBSTITUTE(TEXT(BD213,"0000000000000,00"),",",""))</f>
        <v>000000000000000</v>
      </c>
      <c r="BF213" s="23">
        <f t="shared" si="1221"/>
        <v>0</v>
      </c>
      <c r="BG213" s="49" t="str">
        <f t="shared" ref="BG213" si="1280">IF(BF213&lt;0,SUBSTITUTE(TEXT(BF213,"000000000000,00"),",",""),SUBSTITUTE(TEXT(BF213,"0000000000000,00"),",",""))</f>
        <v>000000000000000</v>
      </c>
      <c r="BH213" s="23">
        <f t="shared" si="1223"/>
        <v>0</v>
      </c>
      <c r="BI213" s="49" t="str">
        <f t="shared" ref="BI213" si="1281">IF(BH213&lt;0,SUBSTITUTE(TEXT(BH213,"000000000000,00"),",",""),SUBSTITUTE(TEXT(BH213,"0000000000000,00"),",",""))</f>
        <v>000000000000000</v>
      </c>
      <c r="BJ213" s="23">
        <f t="shared" si="1225"/>
        <v>0</v>
      </c>
      <c r="BK213" s="49" t="str">
        <f t="shared" ref="BK213" si="1282">IF(BJ213&lt;0,SUBSTITUTE(TEXT(BJ213,"000000000000,00"),",",""),SUBSTITUTE(TEXT(BJ213,"0000000000000,00"),",",""))</f>
        <v>000000000000000</v>
      </c>
      <c r="BL213" s="23">
        <f t="shared" si="1227"/>
        <v>0</v>
      </c>
      <c r="BM213" s="49" t="str">
        <f t="shared" ref="BM213" si="1283">IF(BL213&lt;0,SUBSTITUTE(TEXT(BL213,"000000000000,00"),",",""),SUBSTITUTE(TEXT(BL213,"0000000000000,00"),",",""))</f>
        <v>000000000000000</v>
      </c>
      <c r="BN213" t="str">
        <f t="shared" si="1229"/>
        <v>PES</v>
      </c>
      <c r="BO213" t="str">
        <f t="shared" si="1230"/>
        <v>0001000000</v>
      </c>
      <c r="BP213">
        <f t="shared" si="1231"/>
        <v>0</v>
      </c>
      <c r="BQ213">
        <f t="shared" si="1232"/>
        <v>0</v>
      </c>
      <c r="BR213" s="23">
        <f t="shared" si="1233"/>
        <v>0</v>
      </c>
      <c r="BS213" s="49" t="str">
        <f t="shared" si="1198"/>
        <v>000000000000000</v>
      </c>
      <c r="BT213" t="str">
        <f t="shared" si="1234"/>
        <v>00000000</v>
      </c>
      <c r="BU213" s="23">
        <f t="shared" si="1235"/>
        <v>0</v>
      </c>
      <c r="BV213" s="49" t="str">
        <f t="shared" si="1199"/>
        <v/>
      </c>
      <c r="BW213" s="52" t="str">
        <f t="shared" si="1236"/>
        <v/>
      </c>
      <c r="BX213" s="23">
        <f t="shared" si="1237"/>
        <v>0</v>
      </c>
      <c r="BY213" s="49" t="str">
        <f t="shared" si="1200"/>
        <v/>
      </c>
      <c r="BZ213" s="23">
        <f t="shared" si="1238"/>
        <v>0</v>
      </c>
      <c r="CA213" s="49" t="str">
        <f t="shared" si="1201"/>
        <v/>
      </c>
      <c r="CB213" s="52" t="str">
        <f t="shared" si="1239"/>
        <v/>
      </c>
      <c r="CC213" s="23">
        <f t="shared" si="1240"/>
        <v>0</v>
      </c>
      <c r="CD213" s="49" t="str">
        <f t="shared" si="1202"/>
        <v/>
      </c>
      <c r="CE213" s="56" t="str">
        <f>IF(CF213="","",MAX(CE$10:$CE212)+1)</f>
        <v/>
      </c>
      <c r="CF213" t="str">
        <f t="shared" si="1241"/>
        <v/>
      </c>
      <c r="CG213" s="22" t="str">
        <f>IF(CH213="","",MAX($CG$10:CG212)+1)</f>
        <v/>
      </c>
      <c r="CH213" s="22" t="str">
        <f t="shared" si="1186"/>
        <v/>
      </c>
      <c r="CI213" s="22" t="str">
        <f>IF(CJ213="","",MAX($CI$10:CI212)+1)</f>
        <v/>
      </c>
      <c r="CJ213" s="22" t="str">
        <f t="shared" si="1187"/>
        <v/>
      </c>
    </row>
    <row r="214" spans="2:88" x14ac:dyDescent="0.25">
      <c r="B214" s="37"/>
      <c r="C214" s="3"/>
      <c r="D214" s="77" t="str">
        <f t="shared" si="1173"/>
        <v/>
      </c>
      <c r="E214" s="38"/>
      <c r="F214" s="38"/>
      <c r="G214" s="78">
        <f t="shared" si="1188"/>
        <v>0</v>
      </c>
      <c r="H214" s="3">
        <v>80</v>
      </c>
      <c r="I214" s="77" t="str">
        <f t="shared" si="1174"/>
        <v/>
      </c>
      <c r="J214" s="32"/>
      <c r="K214" s="3"/>
      <c r="L214" s="39"/>
      <c r="M214" s="39"/>
      <c r="N214" s="39"/>
      <c r="O214" s="39"/>
      <c r="P214" s="39"/>
      <c r="Q214" s="39"/>
      <c r="R214" s="39"/>
      <c r="S214" s="39"/>
      <c r="T214" s="3" t="s">
        <v>645</v>
      </c>
      <c r="U214" s="77" t="str">
        <f t="shared" si="1175"/>
        <v/>
      </c>
      <c r="V214" s="39">
        <v>1</v>
      </c>
      <c r="W214" s="79">
        <f t="shared" si="1189"/>
        <v>0</v>
      </c>
      <c r="X214" s="3">
        <v>0</v>
      </c>
      <c r="Y214" s="77" t="str">
        <f t="shared" si="1176"/>
        <v/>
      </c>
      <c r="Z214" s="3"/>
      <c r="AA214" s="37" t="str">
        <f t="shared" si="1190"/>
        <v/>
      </c>
      <c r="AC214" s="40"/>
      <c r="AD214" s="7"/>
      <c r="AE214" s="77" t="str">
        <f t="shared" si="1177"/>
        <v/>
      </c>
      <c r="AF214" s="81">
        <f t="shared" si="1203"/>
        <v>0</v>
      </c>
      <c r="AG214" s="40"/>
      <c r="AH214" s="7"/>
      <c r="AI214" s="77" t="str">
        <f t="shared" si="1178"/>
        <v/>
      </c>
      <c r="AJ214" s="81">
        <f t="shared" si="1204"/>
        <v>0</v>
      </c>
      <c r="AK214" s="83">
        <f t="shared" si="1205"/>
        <v>0</v>
      </c>
      <c r="AL214" s="83">
        <f t="shared" si="1206"/>
        <v>0</v>
      </c>
      <c r="AN214" s="43">
        <f t="shared" si="1179"/>
        <v>0</v>
      </c>
      <c r="AP214" t="str">
        <f t="shared" si="1207"/>
        <v/>
      </c>
      <c r="AQ214" t="str">
        <f t="shared" si="1208"/>
        <v/>
      </c>
      <c r="AR214" t="str">
        <f t="shared" si="1209"/>
        <v/>
      </c>
      <c r="AS214" t="str">
        <f t="shared" si="1210"/>
        <v/>
      </c>
      <c r="AT214" t="str">
        <f t="shared" si="1211"/>
        <v/>
      </c>
      <c r="AU214" t="str">
        <f t="shared" si="1212"/>
        <v/>
      </c>
      <c r="AV214" t="str">
        <f t="shared" si="1213"/>
        <v/>
      </c>
      <c r="AW214" t="str">
        <f t="shared" si="1214"/>
        <v xml:space="preserve">                              </v>
      </c>
      <c r="AX214" s="23">
        <f t="shared" si="1215"/>
        <v>0</v>
      </c>
      <c r="AY214" s="49" t="str">
        <f t="shared" si="1191"/>
        <v>000000000000000</v>
      </c>
      <c r="AZ214" s="23">
        <f t="shared" si="1216"/>
        <v>0</v>
      </c>
      <c r="BA214" s="49" t="str">
        <f t="shared" si="1191"/>
        <v>000000000000000</v>
      </c>
      <c r="BB214" s="23">
        <f t="shared" si="1217"/>
        <v>0</v>
      </c>
      <c r="BC214" s="49" t="str">
        <f t="shared" ref="BC214" si="1284">IF(BB214&lt;0,SUBSTITUTE(TEXT(BB214,"000000000000,00"),",",""),SUBSTITUTE(TEXT(BB214,"0000000000000,00"),",",""))</f>
        <v>000000000000000</v>
      </c>
      <c r="BD214" s="23">
        <f t="shared" si="1219"/>
        <v>0</v>
      </c>
      <c r="BE214" s="49" t="str">
        <f t="shared" ref="BE214" si="1285">IF(BD214&lt;0,SUBSTITUTE(TEXT(BD214,"000000000000,00"),",",""),SUBSTITUTE(TEXT(BD214,"0000000000000,00"),",",""))</f>
        <v>000000000000000</v>
      </c>
      <c r="BF214" s="23">
        <f t="shared" si="1221"/>
        <v>0</v>
      </c>
      <c r="BG214" s="49" t="str">
        <f t="shared" ref="BG214" si="1286">IF(BF214&lt;0,SUBSTITUTE(TEXT(BF214,"000000000000,00"),",",""),SUBSTITUTE(TEXT(BF214,"0000000000000,00"),",",""))</f>
        <v>000000000000000</v>
      </c>
      <c r="BH214" s="23">
        <f t="shared" si="1223"/>
        <v>0</v>
      </c>
      <c r="BI214" s="49" t="str">
        <f t="shared" ref="BI214" si="1287">IF(BH214&lt;0,SUBSTITUTE(TEXT(BH214,"000000000000,00"),",",""),SUBSTITUTE(TEXT(BH214,"0000000000000,00"),",",""))</f>
        <v>000000000000000</v>
      </c>
      <c r="BJ214" s="23">
        <f t="shared" si="1225"/>
        <v>0</v>
      </c>
      <c r="BK214" s="49" t="str">
        <f t="shared" ref="BK214" si="1288">IF(BJ214&lt;0,SUBSTITUTE(TEXT(BJ214,"000000000000,00"),",",""),SUBSTITUTE(TEXT(BJ214,"0000000000000,00"),",",""))</f>
        <v>000000000000000</v>
      </c>
      <c r="BL214" s="23">
        <f t="shared" si="1227"/>
        <v>0</v>
      </c>
      <c r="BM214" s="49" t="str">
        <f t="shared" ref="BM214" si="1289">IF(BL214&lt;0,SUBSTITUTE(TEXT(BL214,"000000000000,00"),",",""),SUBSTITUTE(TEXT(BL214,"0000000000000,00"),",",""))</f>
        <v>000000000000000</v>
      </c>
      <c r="BN214" t="str">
        <f t="shared" si="1229"/>
        <v>PES</v>
      </c>
      <c r="BO214" t="str">
        <f t="shared" si="1230"/>
        <v>0001000000</v>
      </c>
      <c r="BP214">
        <f t="shared" si="1231"/>
        <v>0</v>
      </c>
      <c r="BQ214">
        <f t="shared" si="1232"/>
        <v>0</v>
      </c>
      <c r="BR214" s="23">
        <f t="shared" si="1233"/>
        <v>0</v>
      </c>
      <c r="BS214" s="49" t="str">
        <f t="shared" si="1198"/>
        <v>000000000000000</v>
      </c>
      <c r="BT214" t="str">
        <f t="shared" si="1234"/>
        <v>00000000</v>
      </c>
      <c r="BU214" s="23">
        <f t="shared" si="1235"/>
        <v>0</v>
      </c>
      <c r="BV214" s="49" t="str">
        <f t="shared" si="1199"/>
        <v/>
      </c>
      <c r="BW214" s="52" t="str">
        <f t="shared" si="1236"/>
        <v/>
      </c>
      <c r="BX214" s="23">
        <f t="shared" si="1237"/>
        <v>0</v>
      </c>
      <c r="BY214" s="49" t="str">
        <f t="shared" si="1200"/>
        <v/>
      </c>
      <c r="BZ214" s="23">
        <f t="shared" si="1238"/>
        <v>0</v>
      </c>
      <c r="CA214" s="49" t="str">
        <f t="shared" si="1201"/>
        <v/>
      </c>
      <c r="CB214" s="52" t="str">
        <f t="shared" si="1239"/>
        <v/>
      </c>
      <c r="CC214" s="23">
        <f t="shared" si="1240"/>
        <v>0</v>
      </c>
      <c r="CD214" s="49" t="str">
        <f t="shared" si="1202"/>
        <v/>
      </c>
      <c r="CE214" s="56" t="str">
        <f>IF(CF214="","",MAX(CE$10:$CE213)+1)</f>
        <v/>
      </c>
      <c r="CF214" t="str">
        <f t="shared" si="1241"/>
        <v/>
      </c>
      <c r="CG214" s="22" t="str">
        <f>IF(CH214="","",MAX($CG$10:CG213)+1)</f>
        <v/>
      </c>
      <c r="CH214" s="22" t="str">
        <f t="shared" si="1186"/>
        <v/>
      </c>
      <c r="CI214" s="22" t="str">
        <f>IF(CJ214="","",MAX($CI$10:CI213)+1)</f>
        <v/>
      </c>
      <c r="CJ214" s="22" t="str">
        <f t="shared" si="1187"/>
        <v/>
      </c>
    </row>
    <row r="215" spans="2:88" x14ac:dyDescent="0.25">
      <c r="B215" s="37"/>
      <c r="C215" s="3"/>
      <c r="D215" s="77" t="str">
        <f t="shared" si="1173"/>
        <v/>
      </c>
      <c r="E215" s="38"/>
      <c r="F215" s="38"/>
      <c r="G215" s="78">
        <f t="shared" si="1188"/>
        <v>0</v>
      </c>
      <c r="H215" s="3">
        <v>80</v>
      </c>
      <c r="I215" s="77" t="str">
        <f t="shared" si="1174"/>
        <v/>
      </c>
      <c r="J215" s="32"/>
      <c r="K215" s="3"/>
      <c r="L215" s="39"/>
      <c r="M215" s="39"/>
      <c r="N215" s="39"/>
      <c r="O215" s="39"/>
      <c r="P215" s="39"/>
      <c r="Q215" s="39"/>
      <c r="R215" s="39"/>
      <c r="S215" s="39"/>
      <c r="T215" s="3" t="s">
        <v>645</v>
      </c>
      <c r="U215" s="77" t="str">
        <f t="shared" si="1175"/>
        <v/>
      </c>
      <c r="V215" s="39">
        <v>1</v>
      </c>
      <c r="W215" s="79">
        <f t="shared" si="1189"/>
        <v>0</v>
      </c>
      <c r="X215" s="3">
        <v>0</v>
      </c>
      <c r="Y215" s="77" t="str">
        <f t="shared" si="1176"/>
        <v/>
      </c>
      <c r="Z215" s="3"/>
      <c r="AA215" s="37" t="str">
        <f t="shared" si="1190"/>
        <v/>
      </c>
      <c r="AC215" s="40"/>
      <c r="AD215" s="7"/>
      <c r="AE215" s="77" t="str">
        <f t="shared" si="1177"/>
        <v/>
      </c>
      <c r="AF215" s="81">
        <f t="shared" si="1203"/>
        <v>0</v>
      </c>
      <c r="AG215" s="40"/>
      <c r="AH215" s="7"/>
      <c r="AI215" s="77" t="str">
        <f t="shared" si="1178"/>
        <v/>
      </c>
      <c r="AJ215" s="81">
        <f t="shared" si="1204"/>
        <v>0</v>
      </c>
      <c r="AK215" s="83">
        <f t="shared" si="1205"/>
        <v>0</v>
      </c>
      <c r="AL215" s="83">
        <f t="shared" si="1206"/>
        <v>0</v>
      </c>
      <c r="AN215" s="43">
        <f t="shared" si="1179"/>
        <v>0</v>
      </c>
      <c r="AP215" t="str">
        <f t="shared" si="1207"/>
        <v/>
      </c>
      <c r="AQ215" t="str">
        <f t="shared" si="1208"/>
        <v/>
      </c>
      <c r="AR215" t="str">
        <f t="shared" si="1209"/>
        <v/>
      </c>
      <c r="AS215" t="str">
        <f t="shared" si="1210"/>
        <v/>
      </c>
      <c r="AT215" t="str">
        <f t="shared" si="1211"/>
        <v/>
      </c>
      <c r="AU215" t="str">
        <f t="shared" si="1212"/>
        <v/>
      </c>
      <c r="AV215" t="str">
        <f t="shared" si="1213"/>
        <v/>
      </c>
      <c r="AW215" t="str">
        <f t="shared" si="1214"/>
        <v xml:space="preserve">                              </v>
      </c>
      <c r="AX215" s="23">
        <f t="shared" si="1215"/>
        <v>0</v>
      </c>
      <c r="AY215" s="49" t="str">
        <f t="shared" si="1191"/>
        <v>000000000000000</v>
      </c>
      <c r="AZ215" s="23">
        <f t="shared" si="1216"/>
        <v>0</v>
      </c>
      <c r="BA215" s="49" t="str">
        <f t="shared" si="1191"/>
        <v>000000000000000</v>
      </c>
      <c r="BB215" s="23">
        <f t="shared" si="1217"/>
        <v>0</v>
      </c>
      <c r="BC215" s="49" t="str">
        <f t="shared" ref="BC215" si="1290">IF(BB215&lt;0,SUBSTITUTE(TEXT(BB215,"000000000000,00"),",",""),SUBSTITUTE(TEXT(BB215,"0000000000000,00"),",",""))</f>
        <v>000000000000000</v>
      </c>
      <c r="BD215" s="23">
        <f t="shared" si="1219"/>
        <v>0</v>
      </c>
      <c r="BE215" s="49" t="str">
        <f t="shared" ref="BE215" si="1291">IF(BD215&lt;0,SUBSTITUTE(TEXT(BD215,"000000000000,00"),",",""),SUBSTITUTE(TEXT(BD215,"0000000000000,00"),",",""))</f>
        <v>000000000000000</v>
      </c>
      <c r="BF215" s="23">
        <f t="shared" si="1221"/>
        <v>0</v>
      </c>
      <c r="BG215" s="49" t="str">
        <f t="shared" ref="BG215" si="1292">IF(BF215&lt;0,SUBSTITUTE(TEXT(BF215,"000000000000,00"),",",""),SUBSTITUTE(TEXT(BF215,"0000000000000,00"),",",""))</f>
        <v>000000000000000</v>
      </c>
      <c r="BH215" s="23">
        <f t="shared" si="1223"/>
        <v>0</v>
      </c>
      <c r="BI215" s="49" t="str">
        <f t="shared" ref="BI215" si="1293">IF(BH215&lt;0,SUBSTITUTE(TEXT(BH215,"000000000000,00"),",",""),SUBSTITUTE(TEXT(BH215,"0000000000000,00"),",",""))</f>
        <v>000000000000000</v>
      </c>
      <c r="BJ215" s="23">
        <f t="shared" si="1225"/>
        <v>0</v>
      </c>
      <c r="BK215" s="49" t="str">
        <f t="shared" ref="BK215" si="1294">IF(BJ215&lt;0,SUBSTITUTE(TEXT(BJ215,"000000000000,00"),",",""),SUBSTITUTE(TEXT(BJ215,"0000000000000,00"),",",""))</f>
        <v>000000000000000</v>
      </c>
      <c r="BL215" s="23">
        <f t="shared" si="1227"/>
        <v>0</v>
      </c>
      <c r="BM215" s="49" t="str">
        <f t="shared" ref="BM215" si="1295">IF(BL215&lt;0,SUBSTITUTE(TEXT(BL215,"000000000000,00"),",",""),SUBSTITUTE(TEXT(BL215,"0000000000000,00"),",",""))</f>
        <v>000000000000000</v>
      </c>
      <c r="BN215" t="str">
        <f t="shared" si="1229"/>
        <v>PES</v>
      </c>
      <c r="BO215" t="str">
        <f t="shared" si="1230"/>
        <v>0001000000</v>
      </c>
      <c r="BP215">
        <f t="shared" si="1231"/>
        <v>0</v>
      </c>
      <c r="BQ215">
        <f t="shared" si="1232"/>
        <v>0</v>
      </c>
      <c r="BR215" s="23">
        <f t="shared" si="1233"/>
        <v>0</v>
      </c>
      <c r="BS215" s="49" t="str">
        <f t="shared" si="1198"/>
        <v>000000000000000</v>
      </c>
      <c r="BT215" t="str">
        <f t="shared" si="1234"/>
        <v>00000000</v>
      </c>
      <c r="BU215" s="23">
        <f t="shared" si="1235"/>
        <v>0</v>
      </c>
      <c r="BV215" s="49" t="str">
        <f t="shared" si="1199"/>
        <v/>
      </c>
      <c r="BW215" s="52" t="str">
        <f t="shared" si="1236"/>
        <v/>
      </c>
      <c r="BX215" s="23">
        <f t="shared" si="1237"/>
        <v>0</v>
      </c>
      <c r="BY215" s="49" t="str">
        <f t="shared" si="1200"/>
        <v/>
      </c>
      <c r="BZ215" s="23">
        <f t="shared" si="1238"/>
        <v>0</v>
      </c>
      <c r="CA215" s="49" t="str">
        <f t="shared" si="1201"/>
        <v/>
      </c>
      <c r="CB215" s="52" t="str">
        <f t="shared" si="1239"/>
        <v/>
      </c>
      <c r="CC215" s="23">
        <f t="shared" si="1240"/>
        <v>0</v>
      </c>
      <c r="CD215" s="49" t="str">
        <f t="shared" si="1202"/>
        <v/>
      </c>
      <c r="CE215" s="56" t="str">
        <f>IF(CF215="","",MAX(CE$10:$CE214)+1)</f>
        <v/>
      </c>
      <c r="CF215" t="str">
        <f t="shared" si="1241"/>
        <v/>
      </c>
      <c r="CG215" s="22" t="str">
        <f>IF(CH215="","",MAX($CG$10:CG214)+1)</f>
        <v/>
      </c>
      <c r="CH215" s="22" t="str">
        <f t="shared" si="1186"/>
        <v/>
      </c>
      <c r="CI215" s="22" t="str">
        <f>IF(CJ215="","",MAX($CI$10:CI214)+1)</f>
        <v/>
      </c>
      <c r="CJ215" s="22" t="str">
        <f t="shared" si="1187"/>
        <v/>
      </c>
    </row>
    <row r="216" spans="2:88" x14ac:dyDescent="0.25">
      <c r="B216" s="37"/>
      <c r="C216" s="3"/>
      <c r="D216" s="77" t="str">
        <f t="shared" si="1173"/>
        <v/>
      </c>
      <c r="E216" s="38"/>
      <c r="F216" s="38"/>
      <c r="G216" s="78">
        <f t="shared" si="1188"/>
        <v>0</v>
      </c>
      <c r="H216" s="3">
        <v>80</v>
      </c>
      <c r="I216" s="77" t="str">
        <f t="shared" si="1174"/>
        <v/>
      </c>
      <c r="J216" s="32"/>
      <c r="K216" s="3"/>
      <c r="L216" s="39"/>
      <c r="M216" s="39"/>
      <c r="N216" s="39"/>
      <c r="O216" s="39"/>
      <c r="P216" s="39"/>
      <c r="Q216" s="39"/>
      <c r="R216" s="39"/>
      <c r="S216" s="39"/>
      <c r="T216" s="3" t="s">
        <v>645</v>
      </c>
      <c r="U216" s="77" t="str">
        <f t="shared" si="1175"/>
        <v/>
      </c>
      <c r="V216" s="39">
        <v>1</v>
      </c>
      <c r="W216" s="79">
        <f t="shared" si="1189"/>
        <v>0</v>
      </c>
      <c r="X216" s="3">
        <v>0</v>
      </c>
      <c r="Y216" s="77" t="str">
        <f t="shared" si="1176"/>
        <v/>
      </c>
      <c r="Z216" s="3"/>
      <c r="AA216" s="37" t="str">
        <f t="shared" si="1190"/>
        <v/>
      </c>
      <c r="AC216" s="40"/>
      <c r="AD216" s="7"/>
      <c r="AE216" s="77" t="str">
        <f t="shared" si="1177"/>
        <v/>
      </c>
      <c r="AF216" s="81">
        <f t="shared" si="1203"/>
        <v>0</v>
      </c>
      <c r="AG216" s="40"/>
      <c r="AH216" s="7"/>
      <c r="AI216" s="77" t="str">
        <f t="shared" si="1178"/>
        <v/>
      </c>
      <c r="AJ216" s="81">
        <f t="shared" si="1204"/>
        <v>0</v>
      </c>
      <c r="AK216" s="83">
        <f t="shared" si="1205"/>
        <v>0</v>
      </c>
      <c r="AL216" s="83">
        <f t="shared" si="1206"/>
        <v>0</v>
      </c>
      <c r="AN216" s="43">
        <f t="shared" si="1179"/>
        <v>0</v>
      </c>
      <c r="AP216" t="str">
        <f t="shared" si="1207"/>
        <v/>
      </c>
      <c r="AQ216" t="str">
        <f t="shared" si="1208"/>
        <v/>
      </c>
      <c r="AR216" t="str">
        <f t="shared" si="1209"/>
        <v/>
      </c>
      <c r="AS216" t="str">
        <f t="shared" si="1210"/>
        <v/>
      </c>
      <c r="AT216" t="str">
        <f t="shared" si="1211"/>
        <v/>
      </c>
      <c r="AU216" t="str">
        <f t="shared" si="1212"/>
        <v/>
      </c>
      <c r="AV216" t="str">
        <f t="shared" si="1213"/>
        <v/>
      </c>
      <c r="AW216" t="str">
        <f t="shared" si="1214"/>
        <v xml:space="preserve">                              </v>
      </c>
      <c r="AX216" s="23">
        <f t="shared" si="1215"/>
        <v>0</v>
      </c>
      <c r="AY216" s="49" t="str">
        <f t="shared" si="1191"/>
        <v>000000000000000</v>
      </c>
      <c r="AZ216" s="23">
        <f t="shared" si="1216"/>
        <v>0</v>
      </c>
      <c r="BA216" s="49" t="str">
        <f t="shared" si="1191"/>
        <v>000000000000000</v>
      </c>
      <c r="BB216" s="23">
        <f t="shared" si="1217"/>
        <v>0</v>
      </c>
      <c r="BC216" s="49" t="str">
        <f t="shared" ref="BC216" si="1296">IF(BB216&lt;0,SUBSTITUTE(TEXT(BB216,"000000000000,00"),",",""),SUBSTITUTE(TEXT(BB216,"0000000000000,00"),",",""))</f>
        <v>000000000000000</v>
      </c>
      <c r="BD216" s="23">
        <f t="shared" si="1219"/>
        <v>0</v>
      </c>
      <c r="BE216" s="49" t="str">
        <f t="shared" ref="BE216" si="1297">IF(BD216&lt;0,SUBSTITUTE(TEXT(BD216,"000000000000,00"),",",""),SUBSTITUTE(TEXT(BD216,"0000000000000,00"),",",""))</f>
        <v>000000000000000</v>
      </c>
      <c r="BF216" s="23">
        <f t="shared" si="1221"/>
        <v>0</v>
      </c>
      <c r="BG216" s="49" t="str">
        <f t="shared" ref="BG216" si="1298">IF(BF216&lt;0,SUBSTITUTE(TEXT(BF216,"000000000000,00"),",",""),SUBSTITUTE(TEXT(BF216,"0000000000000,00"),",",""))</f>
        <v>000000000000000</v>
      </c>
      <c r="BH216" s="23">
        <f t="shared" si="1223"/>
        <v>0</v>
      </c>
      <c r="BI216" s="49" t="str">
        <f t="shared" ref="BI216" si="1299">IF(BH216&lt;0,SUBSTITUTE(TEXT(BH216,"000000000000,00"),",",""),SUBSTITUTE(TEXT(BH216,"0000000000000,00"),",",""))</f>
        <v>000000000000000</v>
      </c>
      <c r="BJ216" s="23">
        <f t="shared" si="1225"/>
        <v>0</v>
      </c>
      <c r="BK216" s="49" t="str">
        <f t="shared" ref="BK216" si="1300">IF(BJ216&lt;0,SUBSTITUTE(TEXT(BJ216,"000000000000,00"),",",""),SUBSTITUTE(TEXT(BJ216,"0000000000000,00"),",",""))</f>
        <v>000000000000000</v>
      </c>
      <c r="BL216" s="23">
        <f t="shared" si="1227"/>
        <v>0</v>
      </c>
      <c r="BM216" s="49" t="str">
        <f t="shared" ref="BM216" si="1301">IF(BL216&lt;0,SUBSTITUTE(TEXT(BL216,"000000000000,00"),",",""),SUBSTITUTE(TEXT(BL216,"0000000000000,00"),",",""))</f>
        <v>000000000000000</v>
      </c>
      <c r="BN216" t="str">
        <f t="shared" si="1229"/>
        <v>PES</v>
      </c>
      <c r="BO216" t="str">
        <f t="shared" si="1230"/>
        <v>0001000000</v>
      </c>
      <c r="BP216">
        <f t="shared" si="1231"/>
        <v>0</v>
      </c>
      <c r="BQ216">
        <f t="shared" si="1232"/>
        <v>0</v>
      </c>
      <c r="BR216" s="23">
        <f t="shared" si="1233"/>
        <v>0</v>
      </c>
      <c r="BS216" s="49" t="str">
        <f t="shared" si="1198"/>
        <v>000000000000000</v>
      </c>
      <c r="BT216" t="str">
        <f t="shared" si="1234"/>
        <v>00000000</v>
      </c>
      <c r="BU216" s="23">
        <f t="shared" si="1235"/>
        <v>0</v>
      </c>
      <c r="BV216" s="49" t="str">
        <f t="shared" si="1199"/>
        <v/>
      </c>
      <c r="BW216" s="52" t="str">
        <f t="shared" si="1236"/>
        <v/>
      </c>
      <c r="BX216" s="23">
        <f t="shared" si="1237"/>
        <v>0</v>
      </c>
      <c r="BY216" s="49" t="str">
        <f t="shared" si="1200"/>
        <v/>
      </c>
      <c r="BZ216" s="23">
        <f t="shared" si="1238"/>
        <v>0</v>
      </c>
      <c r="CA216" s="49" t="str">
        <f t="shared" si="1201"/>
        <v/>
      </c>
      <c r="CB216" s="52" t="str">
        <f t="shared" si="1239"/>
        <v/>
      </c>
      <c r="CC216" s="23">
        <f t="shared" si="1240"/>
        <v>0</v>
      </c>
      <c r="CD216" s="49" t="str">
        <f t="shared" si="1202"/>
        <v/>
      </c>
      <c r="CE216" s="56" t="str">
        <f>IF(CF216="","",MAX(CE$10:$CE215)+1)</f>
        <v/>
      </c>
      <c r="CF216" t="str">
        <f t="shared" si="1241"/>
        <v/>
      </c>
      <c r="CG216" s="22" t="str">
        <f>IF(CH216="","",MAX($CG$10:CG215)+1)</f>
        <v/>
      </c>
      <c r="CH216" s="22" t="str">
        <f t="shared" si="1186"/>
        <v/>
      </c>
      <c r="CI216" s="22" t="str">
        <f>IF(CJ216="","",MAX($CI$10:CI215)+1)</f>
        <v/>
      </c>
      <c r="CJ216" s="22" t="str">
        <f t="shared" si="1187"/>
        <v/>
      </c>
    </row>
    <row r="217" spans="2:88" x14ac:dyDescent="0.25">
      <c r="B217" s="37"/>
      <c r="C217" s="3"/>
      <c r="D217" s="77" t="str">
        <f t="shared" si="1173"/>
        <v/>
      </c>
      <c r="E217" s="38"/>
      <c r="F217" s="38"/>
      <c r="G217" s="78">
        <f t="shared" si="1188"/>
        <v>0</v>
      </c>
      <c r="H217" s="3">
        <v>80</v>
      </c>
      <c r="I217" s="77" t="str">
        <f t="shared" si="1174"/>
        <v/>
      </c>
      <c r="J217" s="32"/>
      <c r="K217" s="3"/>
      <c r="L217" s="39"/>
      <c r="M217" s="39"/>
      <c r="N217" s="39"/>
      <c r="O217" s="39"/>
      <c r="P217" s="39"/>
      <c r="Q217" s="39"/>
      <c r="R217" s="39"/>
      <c r="S217" s="39"/>
      <c r="T217" s="3" t="s">
        <v>645</v>
      </c>
      <c r="U217" s="77" t="str">
        <f t="shared" si="1175"/>
        <v/>
      </c>
      <c r="V217" s="39">
        <v>1</v>
      </c>
      <c r="W217" s="79">
        <f t="shared" si="1189"/>
        <v>0</v>
      </c>
      <c r="X217" s="3">
        <v>0</v>
      </c>
      <c r="Y217" s="77" t="str">
        <f t="shared" si="1176"/>
        <v/>
      </c>
      <c r="Z217" s="3"/>
      <c r="AA217" s="37" t="str">
        <f t="shared" si="1190"/>
        <v/>
      </c>
      <c r="AC217" s="40"/>
      <c r="AD217" s="7"/>
      <c r="AE217" s="77" t="str">
        <f t="shared" si="1177"/>
        <v/>
      </c>
      <c r="AF217" s="81">
        <f t="shared" si="1203"/>
        <v>0</v>
      </c>
      <c r="AG217" s="40"/>
      <c r="AH217" s="7"/>
      <c r="AI217" s="77" t="str">
        <f t="shared" si="1178"/>
        <v/>
      </c>
      <c r="AJ217" s="81">
        <f t="shared" si="1204"/>
        <v>0</v>
      </c>
      <c r="AK217" s="83">
        <f t="shared" si="1205"/>
        <v>0</v>
      </c>
      <c r="AL217" s="83">
        <f t="shared" si="1206"/>
        <v>0</v>
      </c>
      <c r="AN217" s="43">
        <f t="shared" si="1179"/>
        <v>0</v>
      </c>
      <c r="AP217" t="str">
        <f t="shared" si="1207"/>
        <v/>
      </c>
      <c r="AQ217" t="str">
        <f t="shared" si="1208"/>
        <v/>
      </c>
      <c r="AR217" t="str">
        <f t="shared" si="1209"/>
        <v/>
      </c>
      <c r="AS217" t="str">
        <f t="shared" si="1210"/>
        <v/>
      </c>
      <c r="AT217" t="str">
        <f t="shared" si="1211"/>
        <v/>
      </c>
      <c r="AU217" t="str">
        <f t="shared" si="1212"/>
        <v/>
      </c>
      <c r="AV217" t="str">
        <f t="shared" si="1213"/>
        <v/>
      </c>
      <c r="AW217" t="str">
        <f t="shared" si="1214"/>
        <v xml:space="preserve">                              </v>
      </c>
      <c r="AX217" s="23">
        <f t="shared" si="1215"/>
        <v>0</v>
      </c>
      <c r="AY217" s="49" t="str">
        <f t="shared" si="1191"/>
        <v>000000000000000</v>
      </c>
      <c r="AZ217" s="23">
        <f t="shared" si="1216"/>
        <v>0</v>
      </c>
      <c r="BA217" s="49" t="str">
        <f t="shared" si="1191"/>
        <v>000000000000000</v>
      </c>
      <c r="BB217" s="23">
        <f t="shared" si="1217"/>
        <v>0</v>
      </c>
      <c r="BC217" s="49" t="str">
        <f t="shared" ref="BC217" si="1302">IF(BB217&lt;0,SUBSTITUTE(TEXT(BB217,"000000000000,00"),",",""),SUBSTITUTE(TEXT(BB217,"0000000000000,00"),",",""))</f>
        <v>000000000000000</v>
      </c>
      <c r="BD217" s="23">
        <f t="shared" si="1219"/>
        <v>0</v>
      </c>
      <c r="BE217" s="49" t="str">
        <f t="shared" ref="BE217" si="1303">IF(BD217&lt;0,SUBSTITUTE(TEXT(BD217,"000000000000,00"),",",""),SUBSTITUTE(TEXT(BD217,"0000000000000,00"),",",""))</f>
        <v>000000000000000</v>
      </c>
      <c r="BF217" s="23">
        <f t="shared" si="1221"/>
        <v>0</v>
      </c>
      <c r="BG217" s="49" t="str">
        <f t="shared" ref="BG217" si="1304">IF(BF217&lt;0,SUBSTITUTE(TEXT(BF217,"000000000000,00"),",",""),SUBSTITUTE(TEXT(BF217,"0000000000000,00"),",",""))</f>
        <v>000000000000000</v>
      </c>
      <c r="BH217" s="23">
        <f t="shared" si="1223"/>
        <v>0</v>
      </c>
      <c r="BI217" s="49" t="str">
        <f t="shared" ref="BI217" si="1305">IF(BH217&lt;0,SUBSTITUTE(TEXT(BH217,"000000000000,00"),",",""),SUBSTITUTE(TEXT(BH217,"0000000000000,00"),",",""))</f>
        <v>000000000000000</v>
      </c>
      <c r="BJ217" s="23">
        <f t="shared" si="1225"/>
        <v>0</v>
      </c>
      <c r="BK217" s="49" t="str">
        <f t="shared" ref="BK217" si="1306">IF(BJ217&lt;0,SUBSTITUTE(TEXT(BJ217,"000000000000,00"),",",""),SUBSTITUTE(TEXT(BJ217,"0000000000000,00"),",",""))</f>
        <v>000000000000000</v>
      </c>
      <c r="BL217" s="23">
        <f t="shared" si="1227"/>
        <v>0</v>
      </c>
      <c r="BM217" s="49" t="str">
        <f t="shared" ref="BM217" si="1307">IF(BL217&lt;0,SUBSTITUTE(TEXT(BL217,"000000000000,00"),",",""),SUBSTITUTE(TEXT(BL217,"0000000000000,00"),",",""))</f>
        <v>000000000000000</v>
      </c>
      <c r="BN217" t="str">
        <f t="shared" si="1229"/>
        <v>PES</v>
      </c>
      <c r="BO217" t="str">
        <f t="shared" si="1230"/>
        <v>0001000000</v>
      </c>
      <c r="BP217">
        <f t="shared" si="1231"/>
        <v>0</v>
      </c>
      <c r="BQ217">
        <f t="shared" si="1232"/>
        <v>0</v>
      </c>
      <c r="BR217" s="23">
        <f t="shared" si="1233"/>
        <v>0</v>
      </c>
      <c r="BS217" s="49" t="str">
        <f t="shared" si="1198"/>
        <v>000000000000000</v>
      </c>
      <c r="BT217" t="str">
        <f t="shared" si="1234"/>
        <v>00000000</v>
      </c>
      <c r="BU217" s="23">
        <f t="shared" si="1235"/>
        <v>0</v>
      </c>
      <c r="BV217" s="49" t="str">
        <f t="shared" si="1199"/>
        <v/>
      </c>
      <c r="BW217" s="52" t="str">
        <f t="shared" si="1236"/>
        <v/>
      </c>
      <c r="BX217" s="23">
        <f t="shared" si="1237"/>
        <v>0</v>
      </c>
      <c r="BY217" s="49" t="str">
        <f t="shared" si="1200"/>
        <v/>
      </c>
      <c r="BZ217" s="23">
        <f t="shared" si="1238"/>
        <v>0</v>
      </c>
      <c r="CA217" s="49" t="str">
        <f t="shared" si="1201"/>
        <v/>
      </c>
      <c r="CB217" s="52" t="str">
        <f t="shared" si="1239"/>
        <v/>
      </c>
      <c r="CC217" s="23">
        <f t="shared" si="1240"/>
        <v>0</v>
      </c>
      <c r="CD217" s="49" t="str">
        <f t="shared" si="1202"/>
        <v/>
      </c>
      <c r="CE217" s="56" t="str">
        <f>IF(CF217="","",MAX(CE$10:$CE216)+1)</f>
        <v/>
      </c>
      <c r="CF217" t="str">
        <f t="shared" si="1241"/>
        <v/>
      </c>
      <c r="CG217" s="22" t="str">
        <f>IF(CH217="","",MAX($CG$10:CG216)+1)</f>
        <v/>
      </c>
      <c r="CH217" s="22" t="str">
        <f t="shared" si="1186"/>
        <v/>
      </c>
      <c r="CI217" s="22" t="str">
        <f>IF(CJ217="","",MAX($CI$10:CI216)+1)</f>
        <v/>
      </c>
      <c r="CJ217" s="22" t="str">
        <f t="shared" si="1187"/>
        <v/>
      </c>
    </row>
    <row r="218" spans="2:88" x14ac:dyDescent="0.25">
      <c r="B218" s="37"/>
      <c r="C218" s="3"/>
      <c r="D218" s="77" t="str">
        <f t="shared" si="1173"/>
        <v/>
      </c>
      <c r="E218" s="38"/>
      <c r="F218" s="38"/>
      <c r="G218" s="78">
        <f t="shared" si="1188"/>
        <v>0</v>
      </c>
      <c r="H218" s="3">
        <v>80</v>
      </c>
      <c r="I218" s="77" t="str">
        <f t="shared" si="1174"/>
        <v/>
      </c>
      <c r="J218" s="32"/>
      <c r="K218" s="3"/>
      <c r="L218" s="39"/>
      <c r="M218" s="39"/>
      <c r="N218" s="39"/>
      <c r="O218" s="39"/>
      <c r="P218" s="39"/>
      <c r="Q218" s="39"/>
      <c r="R218" s="39"/>
      <c r="S218" s="39"/>
      <c r="T218" s="3" t="s">
        <v>645</v>
      </c>
      <c r="U218" s="77" t="str">
        <f t="shared" si="1175"/>
        <v/>
      </c>
      <c r="V218" s="39">
        <v>1</v>
      </c>
      <c r="W218" s="79">
        <f t="shared" si="1189"/>
        <v>0</v>
      </c>
      <c r="X218" s="3">
        <v>0</v>
      </c>
      <c r="Y218" s="77" t="str">
        <f t="shared" si="1176"/>
        <v/>
      </c>
      <c r="Z218" s="3"/>
      <c r="AA218" s="37" t="str">
        <f t="shared" si="1190"/>
        <v/>
      </c>
      <c r="AC218" s="40"/>
      <c r="AD218" s="7"/>
      <c r="AE218" s="77" t="str">
        <f t="shared" si="1177"/>
        <v/>
      </c>
      <c r="AF218" s="81">
        <f t="shared" si="1203"/>
        <v>0</v>
      </c>
      <c r="AG218" s="40"/>
      <c r="AH218" s="7"/>
      <c r="AI218" s="77" t="str">
        <f t="shared" si="1178"/>
        <v/>
      </c>
      <c r="AJ218" s="81">
        <f t="shared" si="1204"/>
        <v>0</v>
      </c>
      <c r="AK218" s="83">
        <f t="shared" si="1205"/>
        <v>0</v>
      </c>
      <c r="AL218" s="83">
        <f t="shared" si="1206"/>
        <v>0</v>
      </c>
      <c r="AN218" s="43">
        <f t="shared" si="1179"/>
        <v>0</v>
      </c>
      <c r="AP218" t="str">
        <f t="shared" si="1207"/>
        <v/>
      </c>
      <c r="AQ218" t="str">
        <f t="shared" si="1208"/>
        <v/>
      </c>
      <c r="AR218" t="str">
        <f t="shared" si="1209"/>
        <v/>
      </c>
      <c r="AS218" t="str">
        <f t="shared" si="1210"/>
        <v/>
      </c>
      <c r="AT218" t="str">
        <f t="shared" si="1211"/>
        <v/>
      </c>
      <c r="AU218" t="str">
        <f t="shared" si="1212"/>
        <v/>
      </c>
      <c r="AV218" t="str">
        <f t="shared" si="1213"/>
        <v/>
      </c>
      <c r="AW218" t="str">
        <f t="shared" si="1214"/>
        <v xml:space="preserve">                              </v>
      </c>
      <c r="AX218" s="23">
        <f t="shared" si="1215"/>
        <v>0</v>
      </c>
      <c r="AY218" s="49" t="str">
        <f t="shared" si="1191"/>
        <v>000000000000000</v>
      </c>
      <c r="AZ218" s="23">
        <f t="shared" si="1216"/>
        <v>0</v>
      </c>
      <c r="BA218" s="49" t="str">
        <f t="shared" si="1191"/>
        <v>000000000000000</v>
      </c>
      <c r="BB218" s="23">
        <f t="shared" si="1217"/>
        <v>0</v>
      </c>
      <c r="BC218" s="49" t="str">
        <f t="shared" ref="BC218" si="1308">IF(BB218&lt;0,SUBSTITUTE(TEXT(BB218,"000000000000,00"),",",""),SUBSTITUTE(TEXT(BB218,"0000000000000,00"),",",""))</f>
        <v>000000000000000</v>
      </c>
      <c r="BD218" s="23">
        <f t="shared" si="1219"/>
        <v>0</v>
      </c>
      <c r="BE218" s="49" t="str">
        <f t="shared" ref="BE218" si="1309">IF(BD218&lt;0,SUBSTITUTE(TEXT(BD218,"000000000000,00"),",",""),SUBSTITUTE(TEXT(BD218,"0000000000000,00"),",",""))</f>
        <v>000000000000000</v>
      </c>
      <c r="BF218" s="23">
        <f t="shared" si="1221"/>
        <v>0</v>
      </c>
      <c r="BG218" s="49" t="str">
        <f t="shared" ref="BG218" si="1310">IF(BF218&lt;0,SUBSTITUTE(TEXT(BF218,"000000000000,00"),",",""),SUBSTITUTE(TEXT(BF218,"0000000000000,00"),",",""))</f>
        <v>000000000000000</v>
      </c>
      <c r="BH218" s="23">
        <f t="shared" si="1223"/>
        <v>0</v>
      </c>
      <c r="BI218" s="49" t="str">
        <f t="shared" ref="BI218" si="1311">IF(BH218&lt;0,SUBSTITUTE(TEXT(BH218,"000000000000,00"),",",""),SUBSTITUTE(TEXT(BH218,"0000000000000,00"),",",""))</f>
        <v>000000000000000</v>
      </c>
      <c r="BJ218" s="23">
        <f t="shared" si="1225"/>
        <v>0</v>
      </c>
      <c r="BK218" s="49" t="str">
        <f t="shared" ref="BK218" si="1312">IF(BJ218&lt;0,SUBSTITUTE(TEXT(BJ218,"000000000000,00"),",",""),SUBSTITUTE(TEXT(BJ218,"0000000000000,00"),",",""))</f>
        <v>000000000000000</v>
      </c>
      <c r="BL218" s="23">
        <f t="shared" si="1227"/>
        <v>0</v>
      </c>
      <c r="BM218" s="49" t="str">
        <f t="shared" ref="BM218" si="1313">IF(BL218&lt;0,SUBSTITUTE(TEXT(BL218,"000000000000,00"),",",""),SUBSTITUTE(TEXT(BL218,"0000000000000,00"),",",""))</f>
        <v>000000000000000</v>
      </c>
      <c r="BN218" t="str">
        <f t="shared" si="1229"/>
        <v>PES</v>
      </c>
      <c r="BO218" t="str">
        <f t="shared" si="1230"/>
        <v>0001000000</v>
      </c>
      <c r="BP218">
        <f t="shared" si="1231"/>
        <v>0</v>
      </c>
      <c r="BQ218">
        <f t="shared" si="1232"/>
        <v>0</v>
      </c>
      <c r="BR218" s="23">
        <f t="shared" si="1233"/>
        <v>0</v>
      </c>
      <c r="BS218" s="49" t="str">
        <f t="shared" si="1198"/>
        <v>000000000000000</v>
      </c>
      <c r="BT218" t="str">
        <f t="shared" si="1234"/>
        <v>00000000</v>
      </c>
      <c r="BU218" s="23">
        <f t="shared" si="1235"/>
        <v>0</v>
      </c>
      <c r="BV218" s="49" t="str">
        <f t="shared" si="1199"/>
        <v/>
      </c>
      <c r="BW218" s="52" t="str">
        <f t="shared" si="1236"/>
        <v/>
      </c>
      <c r="BX218" s="23">
        <f t="shared" si="1237"/>
        <v>0</v>
      </c>
      <c r="BY218" s="49" t="str">
        <f t="shared" si="1200"/>
        <v/>
      </c>
      <c r="BZ218" s="23">
        <f t="shared" si="1238"/>
        <v>0</v>
      </c>
      <c r="CA218" s="49" t="str">
        <f t="shared" si="1201"/>
        <v/>
      </c>
      <c r="CB218" s="52" t="str">
        <f t="shared" si="1239"/>
        <v/>
      </c>
      <c r="CC218" s="23">
        <f t="shared" si="1240"/>
        <v>0</v>
      </c>
      <c r="CD218" s="49" t="str">
        <f t="shared" si="1202"/>
        <v/>
      </c>
      <c r="CE218" s="56" t="str">
        <f>IF(CF218="","",MAX(CE$10:$CE217)+1)</f>
        <v/>
      </c>
      <c r="CF218" t="str">
        <f t="shared" si="1241"/>
        <v/>
      </c>
      <c r="CG218" s="22" t="str">
        <f>IF(CH218="","",MAX($CG$10:CG217)+1)</f>
        <v/>
      </c>
      <c r="CH218" s="22" t="str">
        <f t="shared" si="1186"/>
        <v/>
      </c>
      <c r="CI218" s="22" t="str">
        <f>IF(CJ218="","",MAX($CI$10:CI217)+1)</f>
        <v/>
      </c>
      <c r="CJ218" s="22" t="str">
        <f t="shared" si="1187"/>
        <v/>
      </c>
    </row>
    <row r="219" spans="2:88" x14ac:dyDescent="0.25">
      <c r="B219" s="37"/>
      <c r="C219" s="3"/>
      <c r="D219" s="77" t="str">
        <f t="shared" si="1173"/>
        <v/>
      </c>
      <c r="E219" s="38"/>
      <c r="F219" s="38"/>
      <c r="G219" s="78">
        <f t="shared" si="1188"/>
        <v>0</v>
      </c>
      <c r="H219" s="3">
        <v>80</v>
      </c>
      <c r="I219" s="77" t="str">
        <f t="shared" si="1174"/>
        <v/>
      </c>
      <c r="J219" s="32"/>
      <c r="K219" s="3"/>
      <c r="L219" s="39"/>
      <c r="M219" s="39"/>
      <c r="N219" s="39"/>
      <c r="O219" s="39"/>
      <c r="P219" s="39"/>
      <c r="Q219" s="39"/>
      <c r="R219" s="39"/>
      <c r="S219" s="39"/>
      <c r="T219" s="3" t="s">
        <v>645</v>
      </c>
      <c r="U219" s="77" t="str">
        <f t="shared" si="1175"/>
        <v/>
      </c>
      <c r="V219" s="39">
        <v>1</v>
      </c>
      <c r="W219" s="79">
        <f t="shared" si="1189"/>
        <v>0</v>
      </c>
      <c r="X219" s="3">
        <v>0</v>
      </c>
      <c r="Y219" s="77" t="str">
        <f t="shared" si="1176"/>
        <v/>
      </c>
      <c r="Z219" s="3"/>
      <c r="AA219" s="37" t="str">
        <f t="shared" si="1190"/>
        <v/>
      </c>
      <c r="AC219" s="40"/>
      <c r="AD219" s="7"/>
      <c r="AE219" s="77" t="str">
        <f t="shared" si="1177"/>
        <v/>
      </c>
      <c r="AF219" s="81">
        <f t="shared" si="1203"/>
        <v>0</v>
      </c>
      <c r="AG219" s="40"/>
      <c r="AH219" s="7"/>
      <c r="AI219" s="77" t="str">
        <f t="shared" si="1178"/>
        <v/>
      </c>
      <c r="AJ219" s="81">
        <f t="shared" si="1204"/>
        <v>0</v>
      </c>
      <c r="AK219" s="83">
        <f t="shared" si="1205"/>
        <v>0</v>
      </c>
      <c r="AL219" s="83">
        <f t="shared" si="1206"/>
        <v>0</v>
      </c>
      <c r="AN219" s="43">
        <f t="shared" si="1179"/>
        <v>0</v>
      </c>
      <c r="AP219" t="str">
        <f t="shared" si="1207"/>
        <v/>
      </c>
      <c r="AQ219" t="str">
        <f t="shared" si="1208"/>
        <v/>
      </c>
      <c r="AR219" t="str">
        <f t="shared" si="1209"/>
        <v/>
      </c>
      <c r="AS219" t="str">
        <f t="shared" si="1210"/>
        <v/>
      </c>
      <c r="AT219" t="str">
        <f t="shared" si="1211"/>
        <v/>
      </c>
      <c r="AU219" t="str">
        <f t="shared" si="1212"/>
        <v/>
      </c>
      <c r="AV219" t="str">
        <f t="shared" si="1213"/>
        <v/>
      </c>
      <c r="AW219" t="str">
        <f t="shared" si="1214"/>
        <v xml:space="preserve">                              </v>
      </c>
      <c r="AX219" s="23">
        <f t="shared" si="1215"/>
        <v>0</v>
      </c>
      <c r="AY219" s="49" t="str">
        <f t="shared" si="1191"/>
        <v>000000000000000</v>
      </c>
      <c r="AZ219" s="23">
        <f t="shared" si="1216"/>
        <v>0</v>
      </c>
      <c r="BA219" s="49" t="str">
        <f t="shared" si="1191"/>
        <v>000000000000000</v>
      </c>
      <c r="BB219" s="23">
        <f t="shared" si="1217"/>
        <v>0</v>
      </c>
      <c r="BC219" s="49" t="str">
        <f t="shared" ref="BC219" si="1314">IF(BB219&lt;0,SUBSTITUTE(TEXT(BB219,"000000000000,00"),",",""),SUBSTITUTE(TEXT(BB219,"0000000000000,00"),",",""))</f>
        <v>000000000000000</v>
      </c>
      <c r="BD219" s="23">
        <f t="shared" si="1219"/>
        <v>0</v>
      </c>
      <c r="BE219" s="49" t="str">
        <f t="shared" ref="BE219" si="1315">IF(BD219&lt;0,SUBSTITUTE(TEXT(BD219,"000000000000,00"),",",""),SUBSTITUTE(TEXT(BD219,"0000000000000,00"),",",""))</f>
        <v>000000000000000</v>
      </c>
      <c r="BF219" s="23">
        <f t="shared" si="1221"/>
        <v>0</v>
      </c>
      <c r="BG219" s="49" t="str">
        <f t="shared" ref="BG219" si="1316">IF(BF219&lt;0,SUBSTITUTE(TEXT(BF219,"000000000000,00"),",",""),SUBSTITUTE(TEXT(BF219,"0000000000000,00"),",",""))</f>
        <v>000000000000000</v>
      </c>
      <c r="BH219" s="23">
        <f t="shared" si="1223"/>
        <v>0</v>
      </c>
      <c r="BI219" s="49" t="str">
        <f t="shared" ref="BI219" si="1317">IF(BH219&lt;0,SUBSTITUTE(TEXT(BH219,"000000000000,00"),",",""),SUBSTITUTE(TEXT(BH219,"0000000000000,00"),",",""))</f>
        <v>000000000000000</v>
      </c>
      <c r="BJ219" s="23">
        <f t="shared" si="1225"/>
        <v>0</v>
      </c>
      <c r="BK219" s="49" t="str">
        <f t="shared" ref="BK219" si="1318">IF(BJ219&lt;0,SUBSTITUTE(TEXT(BJ219,"000000000000,00"),",",""),SUBSTITUTE(TEXT(BJ219,"0000000000000,00"),",",""))</f>
        <v>000000000000000</v>
      </c>
      <c r="BL219" s="23">
        <f t="shared" si="1227"/>
        <v>0</v>
      </c>
      <c r="BM219" s="49" t="str">
        <f t="shared" ref="BM219" si="1319">IF(BL219&lt;0,SUBSTITUTE(TEXT(BL219,"000000000000,00"),",",""),SUBSTITUTE(TEXT(BL219,"0000000000000,00"),",",""))</f>
        <v>000000000000000</v>
      </c>
      <c r="BN219" t="str">
        <f t="shared" si="1229"/>
        <v>PES</v>
      </c>
      <c r="BO219" t="str">
        <f t="shared" si="1230"/>
        <v>0001000000</v>
      </c>
      <c r="BP219">
        <f t="shared" si="1231"/>
        <v>0</v>
      </c>
      <c r="BQ219">
        <f t="shared" si="1232"/>
        <v>0</v>
      </c>
      <c r="BR219" s="23">
        <f t="shared" si="1233"/>
        <v>0</v>
      </c>
      <c r="BS219" s="49" t="str">
        <f t="shared" si="1198"/>
        <v>000000000000000</v>
      </c>
      <c r="BT219" t="str">
        <f t="shared" si="1234"/>
        <v>00000000</v>
      </c>
      <c r="BU219" s="23">
        <f t="shared" si="1235"/>
        <v>0</v>
      </c>
      <c r="BV219" s="49" t="str">
        <f t="shared" si="1199"/>
        <v/>
      </c>
      <c r="BW219" s="52" t="str">
        <f t="shared" si="1236"/>
        <v/>
      </c>
      <c r="BX219" s="23">
        <f t="shared" si="1237"/>
        <v>0</v>
      </c>
      <c r="BY219" s="49" t="str">
        <f t="shared" si="1200"/>
        <v/>
      </c>
      <c r="BZ219" s="23">
        <f t="shared" si="1238"/>
        <v>0</v>
      </c>
      <c r="CA219" s="49" t="str">
        <f t="shared" si="1201"/>
        <v/>
      </c>
      <c r="CB219" s="52" t="str">
        <f t="shared" si="1239"/>
        <v/>
      </c>
      <c r="CC219" s="23">
        <f t="shared" si="1240"/>
        <v>0</v>
      </c>
      <c r="CD219" s="49" t="str">
        <f t="shared" si="1202"/>
        <v/>
      </c>
      <c r="CE219" s="56" t="str">
        <f>IF(CF219="","",MAX(CE$10:$CE218)+1)</f>
        <v/>
      </c>
      <c r="CF219" t="str">
        <f t="shared" si="1241"/>
        <v/>
      </c>
      <c r="CG219" s="22" t="str">
        <f>IF(CH219="","",MAX($CG$10:CG218)+1)</f>
        <v/>
      </c>
      <c r="CH219" s="22" t="str">
        <f t="shared" si="1186"/>
        <v/>
      </c>
      <c r="CI219" s="22" t="str">
        <f>IF(CJ219="","",MAX($CI$10:CI218)+1)</f>
        <v/>
      </c>
      <c r="CJ219" s="22" t="str">
        <f t="shared" si="1187"/>
        <v/>
      </c>
    </row>
    <row r="220" spans="2:88" x14ac:dyDescent="0.25">
      <c r="B220" s="37"/>
      <c r="C220" s="3"/>
      <c r="D220" s="77" t="str">
        <f t="shared" si="1173"/>
        <v/>
      </c>
      <c r="E220" s="38"/>
      <c r="F220" s="38"/>
      <c r="G220" s="78">
        <f t="shared" si="1188"/>
        <v>0</v>
      </c>
      <c r="H220" s="3">
        <v>80</v>
      </c>
      <c r="I220" s="77" t="str">
        <f t="shared" si="1174"/>
        <v/>
      </c>
      <c r="J220" s="32"/>
      <c r="K220" s="3"/>
      <c r="L220" s="39"/>
      <c r="M220" s="39"/>
      <c r="N220" s="39"/>
      <c r="O220" s="39"/>
      <c r="P220" s="39"/>
      <c r="Q220" s="39"/>
      <c r="R220" s="39"/>
      <c r="S220" s="39"/>
      <c r="T220" s="3" t="s">
        <v>645</v>
      </c>
      <c r="U220" s="77" t="str">
        <f t="shared" si="1175"/>
        <v/>
      </c>
      <c r="V220" s="39">
        <v>1</v>
      </c>
      <c r="W220" s="79">
        <f t="shared" si="1189"/>
        <v>0</v>
      </c>
      <c r="X220" s="3">
        <v>0</v>
      </c>
      <c r="Y220" s="77" t="str">
        <f t="shared" si="1176"/>
        <v/>
      </c>
      <c r="Z220" s="3"/>
      <c r="AA220" s="37" t="str">
        <f t="shared" si="1190"/>
        <v/>
      </c>
      <c r="AC220" s="40"/>
      <c r="AD220" s="7"/>
      <c r="AE220" s="77" t="str">
        <f t="shared" si="1177"/>
        <v/>
      </c>
      <c r="AF220" s="81">
        <f t="shared" si="1203"/>
        <v>0</v>
      </c>
      <c r="AG220" s="40"/>
      <c r="AH220" s="7"/>
      <c r="AI220" s="77" t="str">
        <f t="shared" si="1178"/>
        <v/>
      </c>
      <c r="AJ220" s="81">
        <f t="shared" si="1204"/>
        <v>0</v>
      </c>
      <c r="AK220" s="83">
        <f t="shared" si="1205"/>
        <v>0</v>
      </c>
      <c r="AL220" s="83">
        <f t="shared" si="1206"/>
        <v>0</v>
      </c>
      <c r="AN220" s="43">
        <f t="shared" si="1179"/>
        <v>0</v>
      </c>
      <c r="AP220" t="str">
        <f t="shared" si="1207"/>
        <v/>
      </c>
      <c r="AQ220" t="str">
        <f t="shared" si="1208"/>
        <v/>
      </c>
      <c r="AR220" t="str">
        <f t="shared" si="1209"/>
        <v/>
      </c>
      <c r="AS220" t="str">
        <f t="shared" si="1210"/>
        <v/>
      </c>
      <c r="AT220" t="str">
        <f t="shared" si="1211"/>
        <v/>
      </c>
      <c r="AU220" t="str">
        <f t="shared" si="1212"/>
        <v/>
      </c>
      <c r="AV220" t="str">
        <f t="shared" si="1213"/>
        <v/>
      </c>
      <c r="AW220" t="str">
        <f t="shared" si="1214"/>
        <v xml:space="preserve">                              </v>
      </c>
      <c r="AX220" s="23">
        <f t="shared" si="1215"/>
        <v>0</v>
      </c>
      <c r="AY220" s="49" t="str">
        <f t="shared" si="1191"/>
        <v>000000000000000</v>
      </c>
      <c r="AZ220" s="23">
        <f t="shared" si="1216"/>
        <v>0</v>
      </c>
      <c r="BA220" s="49" t="str">
        <f t="shared" si="1191"/>
        <v>000000000000000</v>
      </c>
      <c r="BB220" s="23">
        <f t="shared" si="1217"/>
        <v>0</v>
      </c>
      <c r="BC220" s="49" t="str">
        <f t="shared" ref="BC220" si="1320">IF(BB220&lt;0,SUBSTITUTE(TEXT(BB220,"000000000000,00"),",",""),SUBSTITUTE(TEXT(BB220,"0000000000000,00"),",",""))</f>
        <v>000000000000000</v>
      </c>
      <c r="BD220" s="23">
        <f t="shared" si="1219"/>
        <v>0</v>
      </c>
      <c r="BE220" s="49" t="str">
        <f t="shared" ref="BE220" si="1321">IF(BD220&lt;0,SUBSTITUTE(TEXT(BD220,"000000000000,00"),",",""),SUBSTITUTE(TEXT(BD220,"0000000000000,00"),",",""))</f>
        <v>000000000000000</v>
      </c>
      <c r="BF220" s="23">
        <f t="shared" si="1221"/>
        <v>0</v>
      </c>
      <c r="BG220" s="49" t="str">
        <f t="shared" ref="BG220" si="1322">IF(BF220&lt;0,SUBSTITUTE(TEXT(BF220,"000000000000,00"),",",""),SUBSTITUTE(TEXT(BF220,"0000000000000,00"),",",""))</f>
        <v>000000000000000</v>
      </c>
      <c r="BH220" s="23">
        <f t="shared" si="1223"/>
        <v>0</v>
      </c>
      <c r="BI220" s="49" t="str">
        <f t="shared" ref="BI220" si="1323">IF(BH220&lt;0,SUBSTITUTE(TEXT(BH220,"000000000000,00"),",",""),SUBSTITUTE(TEXT(BH220,"0000000000000,00"),",",""))</f>
        <v>000000000000000</v>
      </c>
      <c r="BJ220" s="23">
        <f t="shared" si="1225"/>
        <v>0</v>
      </c>
      <c r="BK220" s="49" t="str">
        <f t="shared" ref="BK220" si="1324">IF(BJ220&lt;0,SUBSTITUTE(TEXT(BJ220,"000000000000,00"),",",""),SUBSTITUTE(TEXT(BJ220,"0000000000000,00"),",",""))</f>
        <v>000000000000000</v>
      </c>
      <c r="BL220" s="23">
        <f t="shared" si="1227"/>
        <v>0</v>
      </c>
      <c r="BM220" s="49" t="str">
        <f t="shared" ref="BM220" si="1325">IF(BL220&lt;0,SUBSTITUTE(TEXT(BL220,"000000000000,00"),",",""),SUBSTITUTE(TEXT(BL220,"0000000000000,00"),",",""))</f>
        <v>000000000000000</v>
      </c>
      <c r="BN220" t="str">
        <f t="shared" si="1229"/>
        <v>PES</v>
      </c>
      <c r="BO220" t="str">
        <f t="shared" si="1230"/>
        <v>0001000000</v>
      </c>
      <c r="BP220">
        <f t="shared" si="1231"/>
        <v>0</v>
      </c>
      <c r="BQ220">
        <f t="shared" si="1232"/>
        <v>0</v>
      </c>
      <c r="BR220" s="23">
        <f t="shared" si="1233"/>
        <v>0</v>
      </c>
      <c r="BS220" s="49" t="str">
        <f t="shared" si="1198"/>
        <v>000000000000000</v>
      </c>
      <c r="BT220" t="str">
        <f t="shared" si="1234"/>
        <v>00000000</v>
      </c>
      <c r="BU220" s="23">
        <f t="shared" si="1235"/>
        <v>0</v>
      </c>
      <c r="BV220" s="49" t="str">
        <f t="shared" si="1199"/>
        <v/>
      </c>
      <c r="BW220" s="52" t="str">
        <f t="shared" si="1236"/>
        <v/>
      </c>
      <c r="BX220" s="23">
        <f t="shared" si="1237"/>
        <v>0</v>
      </c>
      <c r="BY220" s="49" t="str">
        <f t="shared" si="1200"/>
        <v/>
      </c>
      <c r="BZ220" s="23">
        <f t="shared" si="1238"/>
        <v>0</v>
      </c>
      <c r="CA220" s="49" t="str">
        <f t="shared" si="1201"/>
        <v/>
      </c>
      <c r="CB220" s="52" t="str">
        <f t="shared" si="1239"/>
        <v/>
      </c>
      <c r="CC220" s="23">
        <f t="shared" si="1240"/>
        <v>0</v>
      </c>
      <c r="CD220" s="49" t="str">
        <f t="shared" si="1202"/>
        <v/>
      </c>
      <c r="CE220" s="56" t="str">
        <f>IF(CF220="","",MAX(CE$10:$CE219)+1)</f>
        <v/>
      </c>
      <c r="CF220" t="str">
        <f t="shared" si="1241"/>
        <v/>
      </c>
      <c r="CG220" s="22" t="str">
        <f>IF(CH220="","",MAX($CG$10:CG219)+1)</f>
        <v/>
      </c>
      <c r="CH220" s="22" t="str">
        <f t="shared" si="1186"/>
        <v/>
      </c>
      <c r="CI220" s="22" t="str">
        <f>IF(CJ220="","",MAX($CI$10:CI219)+1)</f>
        <v/>
      </c>
      <c r="CJ220" s="22" t="str">
        <f t="shared" si="1187"/>
        <v/>
      </c>
    </row>
    <row r="221" spans="2:88" x14ac:dyDescent="0.25">
      <c r="B221" s="37"/>
      <c r="C221" s="3"/>
      <c r="D221" s="77" t="str">
        <f t="shared" si="1173"/>
        <v/>
      </c>
      <c r="E221" s="38"/>
      <c r="F221" s="38"/>
      <c r="G221" s="78">
        <f t="shared" si="1188"/>
        <v>0</v>
      </c>
      <c r="H221" s="3">
        <v>80</v>
      </c>
      <c r="I221" s="77" t="str">
        <f t="shared" si="1174"/>
        <v/>
      </c>
      <c r="J221" s="32"/>
      <c r="K221" s="3"/>
      <c r="L221" s="39"/>
      <c r="M221" s="39"/>
      <c r="N221" s="39"/>
      <c r="O221" s="39"/>
      <c r="P221" s="39"/>
      <c r="Q221" s="39"/>
      <c r="R221" s="39"/>
      <c r="S221" s="39"/>
      <c r="T221" s="3" t="s">
        <v>645</v>
      </c>
      <c r="U221" s="77" t="str">
        <f t="shared" si="1175"/>
        <v/>
      </c>
      <c r="V221" s="39">
        <v>1</v>
      </c>
      <c r="W221" s="79">
        <f t="shared" si="1189"/>
        <v>0</v>
      </c>
      <c r="X221" s="3">
        <v>0</v>
      </c>
      <c r="Y221" s="77" t="str">
        <f t="shared" si="1176"/>
        <v/>
      </c>
      <c r="Z221" s="3"/>
      <c r="AA221" s="37" t="str">
        <f t="shared" si="1190"/>
        <v/>
      </c>
      <c r="AC221" s="40"/>
      <c r="AD221" s="7"/>
      <c r="AE221" s="77" t="str">
        <f t="shared" si="1177"/>
        <v/>
      </c>
      <c r="AF221" s="81">
        <f t="shared" si="1203"/>
        <v>0</v>
      </c>
      <c r="AG221" s="40"/>
      <c r="AH221" s="7"/>
      <c r="AI221" s="77" t="str">
        <f t="shared" si="1178"/>
        <v/>
      </c>
      <c r="AJ221" s="81">
        <f t="shared" si="1204"/>
        <v>0</v>
      </c>
      <c r="AK221" s="83">
        <f t="shared" si="1205"/>
        <v>0</v>
      </c>
      <c r="AL221" s="83">
        <f t="shared" si="1206"/>
        <v>0</v>
      </c>
      <c r="AN221" s="43">
        <f t="shared" si="1179"/>
        <v>0</v>
      </c>
      <c r="AP221" t="str">
        <f t="shared" si="1207"/>
        <v/>
      </c>
      <c r="AQ221" t="str">
        <f t="shared" si="1208"/>
        <v/>
      </c>
      <c r="AR221" t="str">
        <f t="shared" si="1209"/>
        <v/>
      </c>
      <c r="AS221" t="str">
        <f t="shared" si="1210"/>
        <v/>
      </c>
      <c r="AT221" t="str">
        <f t="shared" si="1211"/>
        <v/>
      </c>
      <c r="AU221" t="str">
        <f t="shared" si="1212"/>
        <v/>
      </c>
      <c r="AV221" t="str">
        <f t="shared" si="1213"/>
        <v/>
      </c>
      <c r="AW221" t="str">
        <f t="shared" si="1214"/>
        <v xml:space="preserve">                              </v>
      </c>
      <c r="AX221" s="23">
        <f t="shared" si="1215"/>
        <v>0</v>
      </c>
      <c r="AY221" s="49" t="str">
        <f t="shared" si="1191"/>
        <v>000000000000000</v>
      </c>
      <c r="AZ221" s="23">
        <f t="shared" si="1216"/>
        <v>0</v>
      </c>
      <c r="BA221" s="49" t="str">
        <f t="shared" si="1191"/>
        <v>000000000000000</v>
      </c>
      <c r="BB221" s="23">
        <f t="shared" si="1217"/>
        <v>0</v>
      </c>
      <c r="BC221" s="49" t="str">
        <f t="shared" ref="BC221" si="1326">IF(BB221&lt;0,SUBSTITUTE(TEXT(BB221,"000000000000,00"),",",""),SUBSTITUTE(TEXT(BB221,"0000000000000,00"),",",""))</f>
        <v>000000000000000</v>
      </c>
      <c r="BD221" s="23">
        <f t="shared" si="1219"/>
        <v>0</v>
      </c>
      <c r="BE221" s="49" t="str">
        <f t="shared" ref="BE221" si="1327">IF(BD221&lt;0,SUBSTITUTE(TEXT(BD221,"000000000000,00"),",",""),SUBSTITUTE(TEXT(BD221,"0000000000000,00"),",",""))</f>
        <v>000000000000000</v>
      </c>
      <c r="BF221" s="23">
        <f t="shared" si="1221"/>
        <v>0</v>
      </c>
      <c r="BG221" s="49" t="str">
        <f t="shared" ref="BG221" si="1328">IF(BF221&lt;0,SUBSTITUTE(TEXT(BF221,"000000000000,00"),",",""),SUBSTITUTE(TEXT(BF221,"0000000000000,00"),",",""))</f>
        <v>000000000000000</v>
      </c>
      <c r="BH221" s="23">
        <f t="shared" si="1223"/>
        <v>0</v>
      </c>
      <c r="BI221" s="49" t="str">
        <f t="shared" ref="BI221" si="1329">IF(BH221&lt;0,SUBSTITUTE(TEXT(BH221,"000000000000,00"),",",""),SUBSTITUTE(TEXT(BH221,"0000000000000,00"),",",""))</f>
        <v>000000000000000</v>
      </c>
      <c r="BJ221" s="23">
        <f t="shared" si="1225"/>
        <v>0</v>
      </c>
      <c r="BK221" s="49" t="str">
        <f t="shared" ref="BK221" si="1330">IF(BJ221&lt;0,SUBSTITUTE(TEXT(BJ221,"000000000000,00"),",",""),SUBSTITUTE(TEXT(BJ221,"0000000000000,00"),",",""))</f>
        <v>000000000000000</v>
      </c>
      <c r="BL221" s="23">
        <f t="shared" si="1227"/>
        <v>0</v>
      </c>
      <c r="BM221" s="49" t="str">
        <f t="shared" ref="BM221" si="1331">IF(BL221&lt;0,SUBSTITUTE(TEXT(BL221,"000000000000,00"),",",""),SUBSTITUTE(TEXT(BL221,"0000000000000,00"),",",""))</f>
        <v>000000000000000</v>
      </c>
      <c r="BN221" t="str">
        <f t="shared" si="1229"/>
        <v>PES</v>
      </c>
      <c r="BO221" t="str">
        <f t="shared" si="1230"/>
        <v>0001000000</v>
      </c>
      <c r="BP221">
        <f t="shared" si="1231"/>
        <v>0</v>
      </c>
      <c r="BQ221">
        <f t="shared" si="1232"/>
        <v>0</v>
      </c>
      <c r="BR221" s="23">
        <f t="shared" si="1233"/>
        <v>0</v>
      </c>
      <c r="BS221" s="49" t="str">
        <f t="shared" si="1198"/>
        <v>000000000000000</v>
      </c>
      <c r="BT221" t="str">
        <f t="shared" si="1234"/>
        <v>00000000</v>
      </c>
      <c r="BU221" s="23">
        <f t="shared" si="1235"/>
        <v>0</v>
      </c>
      <c r="BV221" s="49" t="str">
        <f t="shared" si="1199"/>
        <v/>
      </c>
      <c r="BW221" s="52" t="str">
        <f t="shared" si="1236"/>
        <v/>
      </c>
      <c r="BX221" s="23">
        <f t="shared" si="1237"/>
        <v>0</v>
      </c>
      <c r="BY221" s="49" t="str">
        <f t="shared" si="1200"/>
        <v/>
      </c>
      <c r="BZ221" s="23">
        <f t="shared" si="1238"/>
        <v>0</v>
      </c>
      <c r="CA221" s="49" t="str">
        <f t="shared" si="1201"/>
        <v/>
      </c>
      <c r="CB221" s="52" t="str">
        <f t="shared" si="1239"/>
        <v/>
      </c>
      <c r="CC221" s="23">
        <f t="shared" si="1240"/>
        <v>0</v>
      </c>
      <c r="CD221" s="49" t="str">
        <f t="shared" si="1202"/>
        <v/>
      </c>
      <c r="CE221" s="56" t="str">
        <f>IF(CF221="","",MAX(CE$10:$CE220)+1)</f>
        <v/>
      </c>
      <c r="CF221" t="str">
        <f t="shared" si="1241"/>
        <v/>
      </c>
      <c r="CG221" s="22" t="str">
        <f>IF(CH221="","",MAX($CG$10:CG220)+1)</f>
        <v/>
      </c>
      <c r="CH221" s="22" t="str">
        <f t="shared" si="1186"/>
        <v/>
      </c>
      <c r="CI221" s="22" t="str">
        <f>IF(CJ221="","",MAX($CI$10:CI220)+1)</f>
        <v/>
      </c>
      <c r="CJ221" s="22" t="str">
        <f t="shared" si="1187"/>
        <v/>
      </c>
    </row>
    <row r="222" spans="2:88" x14ac:dyDescent="0.25">
      <c r="B222" s="37"/>
      <c r="C222" s="3"/>
      <c r="D222" s="77" t="str">
        <f t="shared" si="1173"/>
        <v/>
      </c>
      <c r="E222" s="38"/>
      <c r="F222" s="38"/>
      <c r="G222" s="78">
        <f t="shared" si="1188"/>
        <v>0</v>
      </c>
      <c r="H222" s="3">
        <v>80</v>
      </c>
      <c r="I222" s="77" t="str">
        <f t="shared" si="1174"/>
        <v/>
      </c>
      <c r="J222" s="32"/>
      <c r="K222" s="3"/>
      <c r="L222" s="39"/>
      <c r="M222" s="39"/>
      <c r="N222" s="39"/>
      <c r="O222" s="39"/>
      <c r="P222" s="39"/>
      <c r="Q222" s="39"/>
      <c r="R222" s="39"/>
      <c r="S222" s="39"/>
      <c r="T222" s="3" t="s">
        <v>645</v>
      </c>
      <c r="U222" s="77" t="str">
        <f t="shared" si="1175"/>
        <v/>
      </c>
      <c r="V222" s="39">
        <v>1</v>
      </c>
      <c r="W222" s="79">
        <f t="shared" si="1189"/>
        <v>0</v>
      </c>
      <c r="X222" s="3">
        <v>0</v>
      </c>
      <c r="Y222" s="77" t="str">
        <f t="shared" si="1176"/>
        <v/>
      </c>
      <c r="Z222" s="3"/>
      <c r="AA222" s="37" t="str">
        <f t="shared" si="1190"/>
        <v/>
      </c>
      <c r="AC222" s="40"/>
      <c r="AD222" s="7"/>
      <c r="AE222" s="77" t="str">
        <f t="shared" si="1177"/>
        <v/>
      </c>
      <c r="AF222" s="81">
        <f t="shared" si="1203"/>
        <v>0</v>
      </c>
      <c r="AG222" s="40"/>
      <c r="AH222" s="7"/>
      <c r="AI222" s="77" t="str">
        <f t="shared" si="1178"/>
        <v/>
      </c>
      <c r="AJ222" s="81">
        <f t="shared" si="1204"/>
        <v>0</v>
      </c>
      <c r="AK222" s="83">
        <f t="shared" si="1205"/>
        <v>0</v>
      </c>
      <c r="AL222" s="83">
        <f t="shared" si="1206"/>
        <v>0</v>
      </c>
      <c r="AN222" s="43">
        <f t="shared" si="1179"/>
        <v>0</v>
      </c>
      <c r="AP222" t="str">
        <f t="shared" si="1207"/>
        <v/>
      </c>
      <c r="AQ222" t="str">
        <f t="shared" si="1208"/>
        <v/>
      </c>
      <c r="AR222" t="str">
        <f t="shared" si="1209"/>
        <v/>
      </c>
      <c r="AS222" t="str">
        <f t="shared" si="1210"/>
        <v/>
      </c>
      <c r="AT222" t="str">
        <f t="shared" si="1211"/>
        <v/>
      </c>
      <c r="AU222" t="str">
        <f t="shared" si="1212"/>
        <v/>
      </c>
      <c r="AV222" t="str">
        <f t="shared" si="1213"/>
        <v/>
      </c>
      <c r="AW222" t="str">
        <f t="shared" si="1214"/>
        <v xml:space="preserve">                              </v>
      </c>
      <c r="AX222" s="23">
        <f t="shared" si="1215"/>
        <v>0</v>
      </c>
      <c r="AY222" s="49" t="str">
        <f t="shared" si="1191"/>
        <v>000000000000000</v>
      </c>
      <c r="AZ222" s="23">
        <f t="shared" si="1216"/>
        <v>0</v>
      </c>
      <c r="BA222" s="49" t="str">
        <f t="shared" si="1191"/>
        <v>000000000000000</v>
      </c>
      <c r="BB222" s="23">
        <f t="shared" si="1217"/>
        <v>0</v>
      </c>
      <c r="BC222" s="49" t="str">
        <f t="shared" ref="BC222" si="1332">IF(BB222&lt;0,SUBSTITUTE(TEXT(BB222,"000000000000,00"),",",""),SUBSTITUTE(TEXT(BB222,"0000000000000,00"),",",""))</f>
        <v>000000000000000</v>
      </c>
      <c r="BD222" s="23">
        <f t="shared" si="1219"/>
        <v>0</v>
      </c>
      <c r="BE222" s="49" t="str">
        <f t="shared" ref="BE222" si="1333">IF(BD222&lt;0,SUBSTITUTE(TEXT(BD222,"000000000000,00"),",",""),SUBSTITUTE(TEXT(BD222,"0000000000000,00"),",",""))</f>
        <v>000000000000000</v>
      </c>
      <c r="BF222" s="23">
        <f t="shared" si="1221"/>
        <v>0</v>
      </c>
      <c r="BG222" s="49" t="str">
        <f t="shared" ref="BG222" si="1334">IF(BF222&lt;0,SUBSTITUTE(TEXT(BF222,"000000000000,00"),",",""),SUBSTITUTE(TEXT(BF222,"0000000000000,00"),",",""))</f>
        <v>000000000000000</v>
      </c>
      <c r="BH222" s="23">
        <f t="shared" si="1223"/>
        <v>0</v>
      </c>
      <c r="BI222" s="49" t="str">
        <f t="shared" ref="BI222" si="1335">IF(BH222&lt;0,SUBSTITUTE(TEXT(BH222,"000000000000,00"),",",""),SUBSTITUTE(TEXT(BH222,"0000000000000,00"),",",""))</f>
        <v>000000000000000</v>
      </c>
      <c r="BJ222" s="23">
        <f t="shared" si="1225"/>
        <v>0</v>
      </c>
      <c r="BK222" s="49" t="str">
        <f t="shared" ref="BK222" si="1336">IF(BJ222&lt;0,SUBSTITUTE(TEXT(BJ222,"000000000000,00"),",",""),SUBSTITUTE(TEXT(BJ222,"0000000000000,00"),",",""))</f>
        <v>000000000000000</v>
      </c>
      <c r="BL222" s="23">
        <f t="shared" si="1227"/>
        <v>0</v>
      </c>
      <c r="BM222" s="49" t="str">
        <f t="shared" ref="BM222" si="1337">IF(BL222&lt;0,SUBSTITUTE(TEXT(BL222,"000000000000,00"),",",""),SUBSTITUTE(TEXT(BL222,"0000000000000,00"),",",""))</f>
        <v>000000000000000</v>
      </c>
      <c r="BN222" t="str">
        <f t="shared" si="1229"/>
        <v>PES</v>
      </c>
      <c r="BO222" t="str">
        <f t="shared" si="1230"/>
        <v>0001000000</v>
      </c>
      <c r="BP222">
        <f t="shared" si="1231"/>
        <v>0</v>
      </c>
      <c r="BQ222">
        <f t="shared" si="1232"/>
        <v>0</v>
      </c>
      <c r="BR222" s="23">
        <f t="shared" si="1233"/>
        <v>0</v>
      </c>
      <c r="BS222" s="49" t="str">
        <f t="shared" si="1198"/>
        <v>000000000000000</v>
      </c>
      <c r="BT222" t="str">
        <f t="shared" si="1234"/>
        <v>00000000</v>
      </c>
      <c r="BU222" s="23">
        <f t="shared" si="1235"/>
        <v>0</v>
      </c>
      <c r="BV222" s="49" t="str">
        <f t="shared" si="1199"/>
        <v/>
      </c>
      <c r="BW222" s="52" t="str">
        <f t="shared" si="1236"/>
        <v/>
      </c>
      <c r="BX222" s="23">
        <f t="shared" si="1237"/>
        <v>0</v>
      </c>
      <c r="BY222" s="49" t="str">
        <f t="shared" si="1200"/>
        <v/>
      </c>
      <c r="BZ222" s="23">
        <f t="shared" si="1238"/>
        <v>0</v>
      </c>
      <c r="CA222" s="49" t="str">
        <f t="shared" si="1201"/>
        <v/>
      </c>
      <c r="CB222" s="52" t="str">
        <f t="shared" si="1239"/>
        <v/>
      </c>
      <c r="CC222" s="23">
        <f t="shared" si="1240"/>
        <v>0</v>
      </c>
      <c r="CD222" s="49" t="str">
        <f t="shared" si="1202"/>
        <v/>
      </c>
      <c r="CE222" s="56" t="str">
        <f>IF(CF222="","",MAX(CE$10:$CE221)+1)</f>
        <v/>
      </c>
      <c r="CF222" t="str">
        <f t="shared" si="1241"/>
        <v/>
      </c>
      <c r="CG222" s="22" t="str">
        <f>IF(CH222="","",MAX($CG$10:CG221)+1)</f>
        <v/>
      </c>
      <c r="CH222" s="22" t="str">
        <f t="shared" si="1186"/>
        <v/>
      </c>
      <c r="CI222" s="22" t="str">
        <f>IF(CJ222="","",MAX($CI$10:CI221)+1)</f>
        <v/>
      </c>
      <c r="CJ222" s="22" t="str">
        <f t="shared" si="1187"/>
        <v/>
      </c>
    </row>
    <row r="223" spans="2:88" x14ac:dyDescent="0.25">
      <c r="B223" s="37"/>
      <c r="C223" s="3"/>
      <c r="D223" s="77" t="str">
        <f t="shared" si="1173"/>
        <v/>
      </c>
      <c r="E223" s="38"/>
      <c r="F223" s="38"/>
      <c r="G223" s="78">
        <f t="shared" si="1188"/>
        <v>0</v>
      </c>
      <c r="H223" s="3">
        <v>80</v>
      </c>
      <c r="I223" s="77" t="str">
        <f t="shared" si="1174"/>
        <v/>
      </c>
      <c r="J223" s="32"/>
      <c r="K223" s="3"/>
      <c r="L223" s="39"/>
      <c r="M223" s="39"/>
      <c r="N223" s="39"/>
      <c r="O223" s="39"/>
      <c r="P223" s="39"/>
      <c r="Q223" s="39"/>
      <c r="R223" s="39"/>
      <c r="S223" s="39"/>
      <c r="T223" s="3" t="s">
        <v>645</v>
      </c>
      <c r="U223" s="77" t="str">
        <f t="shared" si="1175"/>
        <v/>
      </c>
      <c r="V223" s="39">
        <v>1</v>
      </c>
      <c r="W223" s="79">
        <f t="shared" si="1189"/>
        <v>0</v>
      </c>
      <c r="X223" s="3">
        <v>0</v>
      </c>
      <c r="Y223" s="77" t="str">
        <f t="shared" si="1176"/>
        <v/>
      </c>
      <c r="Z223" s="3"/>
      <c r="AA223" s="37" t="str">
        <f t="shared" si="1190"/>
        <v/>
      </c>
      <c r="AC223" s="40"/>
      <c r="AD223" s="7"/>
      <c r="AE223" s="77" t="str">
        <f t="shared" si="1177"/>
        <v/>
      </c>
      <c r="AF223" s="81">
        <f t="shared" si="1203"/>
        <v>0</v>
      </c>
      <c r="AG223" s="40"/>
      <c r="AH223" s="7"/>
      <c r="AI223" s="77" t="str">
        <f t="shared" si="1178"/>
        <v/>
      </c>
      <c r="AJ223" s="81">
        <f t="shared" si="1204"/>
        <v>0</v>
      </c>
      <c r="AK223" s="83">
        <f t="shared" si="1205"/>
        <v>0</v>
      </c>
      <c r="AL223" s="83">
        <f t="shared" si="1206"/>
        <v>0</v>
      </c>
      <c r="AN223" s="43">
        <f t="shared" si="1179"/>
        <v>0</v>
      </c>
      <c r="AP223" t="str">
        <f t="shared" si="1207"/>
        <v/>
      </c>
      <c r="AQ223" t="str">
        <f t="shared" si="1208"/>
        <v/>
      </c>
      <c r="AR223" t="str">
        <f t="shared" si="1209"/>
        <v/>
      </c>
      <c r="AS223" t="str">
        <f t="shared" si="1210"/>
        <v/>
      </c>
      <c r="AT223" t="str">
        <f t="shared" si="1211"/>
        <v/>
      </c>
      <c r="AU223" t="str">
        <f t="shared" si="1212"/>
        <v/>
      </c>
      <c r="AV223" t="str">
        <f t="shared" si="1213"/>
        <v/>
      </c>
      <c r="AW223" t="str">
        <f t="shared" si="1214"/>
        <v xml:space="preserve">                              </v>
      </c>
      <c r="AX223" s="23">
        <f t="shared" si="1215"/>
        <v>0</v>
      </c>
      <c r="AY223" s="49" t="str">
        <f t="shared" si="1191"/>
        <v>000000000000000</v>
      </c>
      <c r="AZ223" s="23">
        <f t="shared" si="1216"/>
        <v>0</v>
      </c>
      <c r="BA223" s="49" t="str">
        <f t="shared" si="1191"/>
        <v>000000000000000</v>
      </c>
      <c r="BB223" s="23">
        <f t="shared" si="1217"/>
        <v>0</v>
      </c>
      <c r="BC223" s="49" t="str">
        <f t="shared" ref="BC223" si="1338">IF(BB223&lt;0,SUBSTITUTE(TEXT(BB223,"000000000000,00"),",",""),SUBSTITUTE(TEXT(BB223,"0000000000000,00"),",",""))</f>
        <v>000000000000000</v>
      </c>
      <c r="BD223" s="23">
        <f t="shared" si="1219"/>
        <v>0</v>
      </c>
      <c r="BE223" s="49" t="str">
        <f t="shared" ref="BE223" si="1339">IF(BD223&lt;0,SUBSTITUTE(TEXT(BD223,"000000000000,00"),",",""),SUBSTITUTE(TEXT(BD223,"0000000000000,00"),",",""))</f>
        <v>000000000000000</v>
      </c>
      <c r="BF223" s="23">
        <f t="shared" si="1221"/>
        <v>0</v>
      </c>
      <c r="BG223" s="49" t="str">
        <f t="shared" ref="BG223" si="1340">IF(BF223&lt;0,SUBSTITUTE(TEXT(BF223,"000000000000,00"),",",""),SUBSTITUTE(TEXT(BF223,"0000000000000,00"),",",""))</f>
        <v>000000000000000</v>
      </c>
      <c r="BH223" s="23">
        <f t="shared" si="1223"/>
        <v>0</v>
      </c>
      <c r="BI223" s="49" t="str">
        <f t="shared" ref="BI223" si="1341">IF(BH223&lt;0,SUBSTITUTE(TEXT(BH223,"000000000000,00"),",",""),SUBSTITUTE(TEXT(BH223,"0000000000000,00"),",",""))</f>
        <v>000000000000000</v>
      </c>
      <c r="BJ223" s="23">
        <f t="shared" si="1225"/>
        <v>0</v>
      </c>
      <c r="BK223" s="49" t="str">
        <f t="shared" ref="BK223" si="1342">IF(BJ223&lt;0,SUBSTITUTE(TEXT(BJ223,"000000000000,00"),",",""),SUBSTITUTE(TEXT(BJ223,"0000000000000,00"),",",""))</f>
        <v>000000000000000</v>
      </c>
      <c r="BL223" s="23">
        <f t="shared" si="1227"/>
        <v>0</v>
      </c>
      <c r="BM223" s="49" t="str">
        <f t="shared" ref="BM223" si="1343">IF(BL223&lt;0,SUBSTITUTE(TEXT(BL223,"000000000000,00"),",",""),SUBSTITUTE(TEXT(BL223,"0000000000000,00"),",",""))</f>
        <v>000000000000000</v>
      </c>
      <c r="BN223" t="str">
        <f t="shared" si="1229"/>
        <v>PES</v>
      </c>
      <c r="BO223" t="str">
        <f t="shared" si="1230"/>
        <v>0001000000</v>
      </c>
      <c r="BP223">
        <f t="shared" si="1231"/>
        <v>0</v>
      </c>
      <c r="BQ223">
        <f t="shared" si="1232"/>
        <v>0</v>
      </c>
      <c r="BR223" s="23">
        <f t="shared" si="1233"/>
        <v>0</v>
      </c>
      <c r="BS223" s="49" t="str">
        <f t="shared" si="1198"/>
        <v>000000000000000</v>
      </c>
      <c r="BT223" t="str">
        <f t="shared" si="1234"/>
        <v>00000000</v>
      </c>
      <c r="BU223" s="23">
        <f t="shared" si="1235"/>
        <v>0</v>
      </c>
      <c r="BV223" s="49" t="str">
        <f t="shared" si="1199"/>
        <v/>
      </c>
      <c r="BW223" s="52" t="str">
        <f t="shared" si="1236"/>
        <v/>
      </c>
      <c r="BX223" s="23">
        <f t="shared" si="1237"/>
        <v>0</v>
      </c>
      <c r="BY223" s="49" t="str">
        <f t="shared" si="1200"/>
        <v/>
      </c>
      <c r="BZ223" s="23">
        <f t="shared" si="1238"/>
        <v>0</v>
      </c>
      <c r="CA223" s="49" t="str">
        <f t="shared" si="1201"/>
        <v/>
      </c>
      <c r="CB223" s="52" t="str">
        <f t="shared" si="1239"/>
        <v/>
      </c>
      <c r="CC223" s="23">
        <f t="shared" si="1240"/>
        <v>0</v>
      </c>
      <c r="CD223" s="49" t="str">
        <f t="shared" si="1202"/>
        <v/>
      </c>
      <c r="CE223" s="56" t="str">
        <f>IF(CF223="","",MAX(CE$10:$CE222)+1)</f>
        <v/>
      </c>
      <c r="CF223" t="str">
        <f t="shared" si="1241"/>
        <v/>
      </c>
      <c r="CG223" s="22" t="str">
        <f>IF(CH223="","",MAX($CG$10:CG222)+1)</f>
        <v/>
      </c>
      <c r="CH223" s="22" t="str">
        <f t="shared" si="1186"/>
        <v/>
      </c>
      <c r="CI223" s="22" t="str">
        <f>IF(CJ223="","",MAX($CI$10:CI222)+1)</f>
        <v/>
      </c>
      <c r="CJ223" s="22" t="str">
        <f t="shared" si="1187"/>
        <v/>
      </c>
    </row>
    <row r="224" spans="2:88" x14ac:dyDescent="0.25">
      <c r="B224" s="37"/>
      <c r="C224" s="3"/>
      <c r="D224" s="77" t="str">
        <f t="shared" si="1173"/>
        <v/>
      </c>
      <c r="E224" s="38"/>
      <c r="F224" s="38"/>
      <c r="G224" s="78">
        <f t="shared" si="1188"/>
        <v>0</v>
      </c>
      <c r="H224" s="3">
        <v>80</v>
      </c>
      <c r="I224" s="77" t="str">
        <f t="shared" si="1174"/>
        <v/>
      </c>
      <c r="J224" s="32"/>
      <c r="K224" s="3"/>
      <c r="L224" s="39"/>
      <c r="M224" s="39"/>
      <c r="N224" s="39"/>
      <c r="O224" s="39"/>
      <c r="P224" s="39"/>
      <c r="Q224" s="39"/>
      <c r="R224" s="39"/>
      <c r="S224" s="39"/>
      <c r="T224" s="3" t="s">
        <v>645</v>
      </c>
      <c r="U224" s="77" t="str">
        <f t="shared" si="1175"/>
        <v/>
      </c>
      <c r="V224" s="39">
        <v>1</v>
      </c>
      <c r="W224" s="79">
        <f t="shared" si="1189"/>
        <v>0</v>
      </c>
      <c r="X224" s="3">
        <v>0</v>
      </c>
      <c r="Y224" s="77" t="str">
        <f t="shared" si="1176"/>
        <v/>
      </c>
      <c r="Z224" s="3"/>
      <c r="AA224" s="37" t="str">
        <f t="shared" si="1190"/>
        <v/>
      </c>
      <c r="AC224" s="40"/>
      <c r="AD224" s="7"/>
      <c r="AE224" s="77" t="str">
        <f t="shared" si="1177"/>
        <v/>
      </c>
      <c r="AF224" s="81">
        <f t="shared" si="1203"/>
        <v>0</v>
      </c>
      <c r="AG224" s="40"/>
      <c r="AH224" s="7"/>
      <c r="AI224" s="77" t="str">
        <f t="shared" si="1178"/>
        <v/>
      </c>
      <c r="AJ224" s="81">
        <f t="shared" si="1204"/>
        <v>0</v>
      </c>
      <c r="AK224" s="83">
        <f t="shared" si="1205"/>
        <v>0</v>
      </c>
      <c r="AL224" s="83">
        <f t="shared" si="1206"/>
        <v>0</v>
      </c>
      <c r="AN224" s="43">
        <f t="shared" si="1179"/>
        <v>0</v>
      </c>
      <c r="AP224" t="str">
        <f t="shared" si="1207"/>
        <v/>
      </c>
      <c r="AQ224" t="str">
        <f t="shared" si="1208"/>
        <v/>
      </c>
      <c r="AR224" t="str">
        <f t="shared" si="1209"/>
        <v/>
      </c>
      <c r="AS224" t="str">
        <f t="shared" si="1210"/>
        <v/>
      </c>
      <c r="AT224" t="str">
        <f t="shared" si="1211"/>
        <v/>
      </c>
      <c r="AU224" t="str">
        <f t="shared" si="1212"/>
        <v/>
      </c>
      <c r="AV224" t="str">
        <f t="shared" si="1213"/>
        <v/>
      </c>
      <c r="AW224" t="str">
        <f t="shared" si="1214"/>
        <v xml:space="preserve">                              </v>
      </c>
      <c r="AX224" s="23">
        <f t="shared" si="1215"/>
        <v>0</v>
      </c>
      <c r="AY224" s="49" t="str">
        <f t="shared" si="1191"/>
        <v>000000000000000</v>
      </c>
      <c r="AZ224" s="23">
        <f t="shared" si="1216"/>
        <v>0</v>
      </c>
      <c r="BA224" s="49" t="str">
        <f t="shared" si="1191"/>
        <v>000000000000000</v>
      </c>
      <c r="BB224" s="23">
        <f t="shared" si="1217"/>
        <v>0</v>
      </c>
      <c r="BC224" s="49" t="str">
        <f t="shared" ref="BC224" si="1344">IF(BB224&lt;0,SUBSTITUTE(TEXT(BB224,"000000000000,00"),",",""),SUBSTITUTE(TEXT(BB224,"0000000000000,00"),",",""))</f>
        <v>000000000000000</v>
      </c>
      <c r="BD224" s="23">
        <f t="shared" si="1219"/>
        <v>0</v>
      </c>
      <c r="BE224" s="49" t="str">
        <f t="shared" ref="BE224" si="1345">IF(BD224&lt;0,SUBSTITUTE(TEXT(BD224,"000000000000,00"),",",""),SUBSTITUTE(TEXT(BD224,"0000000000000,00"),",",""))</f>
        <v>000000000000000</v>
      </c>
      <c r="BF224" s="23">
        <f t="shared" si="1221"/>
        <v>0</v>
      </c>
      <c r="BG224" s="49" t="str">
        <f t="shared" ref="BG224" si="1346">IF(BF224&lt;0,SUBSTITUTE(TEXT(BF224,"000000000000,00"),",",""),SUBSTITUTE(TEXT(BF224,"0000000000000,00"),",",""))</f>
        <v>000000000000000</v>
      </c>
      <c r="BH224" s="23">
        <f t="shared" si="1223"/>
        <v>0</v>
      </c>
      <c r="BI224" s="49" t="str">
        <f t="shared" ref="BI224" si="1347">IF(BH224&lt;0,SUBSTITUTE(TEXT(BH224,"000000000000,00"),",",""),SUBSTITUTE(TEXT(BH224,"0000000000000,00"),",",""))</f>
        <v>000000000000000</v>
      </c>
      <c r="BJ224" s="23">
        <f t="shared" si="1225"/>
        <v>0</v>
      </c>
      <c r="BK224" s="49" t="str">
        <f t="shared" ref="BK224" si="1348">IF(BJ224&lt;0,SUBSTITUTE(TEXT(BJ224,"000000000000,00"),",",""),SUBSTITUTE(TEXT(BJ224,"0000000000000,00"),",",""))</f>
        <v>000000000000000</v>
      </c>
      <c r="BL224" s="23">
        <f t="shared" si="1227"/>
        <v>0</v>
      </c>
      <c r="BM224" s="49" t="str">
        <f t="shared" ref="BM224" si="1349">IF(BL224&lt;0,SUBSTITUTE(TEXT(BL224,"000000000000,00"),",",""),SUBSTITUTE(TEXT(BL224,"0000000000000,00"),",",""))</f>
        <v>000000000000000</v>
      </c>
      <c r="BN224" t="str">
        <f t="shared" si="1229"/>
        <v>PES</v>
      </c>
      <c r="BO224" t="str">
        <f t="shared" si="1230"/>
        <v>0001000000</v>
      </c>
      <c r="BP224">
        <f t="shared" si="1231"/>
        <v>0</v>
      </c>
      <c r="BQ224">
        <f t="shared" si="1232"/>
        <v>0</v>
      </c>
      <c r="BR224" s="23">
        <f t="shared" si="1233"/>
        <v>0</v>
      </c>
      <c r="BS224" s="49" t="str">
        <f t="shared" si="1198"/>
        <v>000000000000000</v>
      </c>
      <c r="BT224" t="str">
        <f t="shared" si="1234"/>
        <v>00000000</v>
      </c>
      <c r="BU224" s="23">
        <f t="shared" si="1235"/>
        <v>0</v>
      </c>
      <c r="BV224" s="49" t="str">
        <f t="shared" si="1199"/>
        <v/>
      </c>
      <c r="BW224" s="52" t="str">
        <f t="shared" si="1236"/>
        <v/>
      </c>
      <c r="BX224" s="23">
        <f t="shared" si="1237"/>
        <v>0</v>
      </c>
      <c r="BY224" s="49" t="str">
        <f t="shared" si="1200"/>
        <v/>
      </c>
      <c r="BZ224" s="23">
        <f t="shared" si="1238"/>
        <v>0</v>
      </c>
      <c r="CA224" s="49" t="str">
        <f t="shared" si="1201"/>
        <v/>
      </c>
      <c r="CB224" s="52" t="str">
        <f t="shared" si="1239"/>
        <v/>
      </c>
      <c r="CC224" s="23">
        <f t="shared" si="1240"/>
        <v>0</v>
      </c>
      <c r="CD224" s="49" t="str">
        <f t="shared" si="1202"/>
        <v/>
      </c>
      <c r="CE224" s="56" t="str">
        <f>IF(CF224="","",MAX(CE$10:$CE223)+1)</f>
        <v/>
      </c>
      <c r="CF224" t="str">
        <f t="shared" si="1241"/>
        <v/>
      </c>
      <c r="CG224" s="22" t="str">
        <f>IF(CH224="","",MAX($CG$10:CG223)+1)</f>
        <v/>
      </c>
      <c r="CH224" s="22" t="str">
        <f t="shared" si="1186"/>
        <v/>
      </c>
      <c r="CI224" s="22" t="str">
        <f>IF(CJ224="","",MAX($CI$10:CI223)+1)</f>
        <v/>
      </c>
      <c r="CJ224" s="22" t="str">
        <f t="shared" si="1187"/>
        <v/>
      </c>
    </row>
    <row r="225" spans="2:88" x14ac:dyDescent="0.25">
      <c r="B225" s="37"/>
      <c r="C225" s="3"/>
      <c r="D225" s="77" t="str">
        <f t="shared" si="1173"/>
        <v/>
      </c>
      <c r="E225" s="38"/>
      <c r="F225" s="38"/>
      <c r="G225" s="78">
        <f t="shared" si="1188"/>
        <v>0</v>
      </c>
      <c r="H225" s="3">
        <v>80</v>
      </c>
      <c r="I225" s="77" t="str">
        <f t="shared" si="1174"/>
        <v/>
      </c>
      <c r="J225" s="32"/>
      <c r="K225" s="3"/>
      <c r="L225" s="39"/>
      <c r="M225" s="39"/>
      <c r="N225" s="39"/>
      <c r="O225" s="39"/>
      <c r="P225" s="39"/>
      <c r="Q225" s="39"/>
      <c r="R225" s="39"/>
      <c r="S225" s="39"/>
      <c r="T225" s="3" t="s">
        <v>645</v>
      </c>
      <c r="U225" s="77" t="str">
        <f t="shared" si="1175"/>
        <v/>
      </c>
      <c r="V225" s="39">
        <v>1</v>
      </c>
      <c r="W225" s="79">
        <f t="shared" si="1189"/>
        <v>0</v>
      </c>
      <c r="X225" s="3">
        <v>0</v>
      </c>
      <c r="Y225" s="77" t="str">
        <f t="shared" si="1176"/>
        <v/>
      </c>
      <c r="Z225" s="3"/>
      <c r="AA225" s="37" t="str">
        <f t="shared" si="1190"/>
        <v/>
      </c>
      <c r="AC225" s="40"/>
      <c r="AD225" s="7"/>
      <c r="AE225" s="77" t="str">
        <f t="shared" si="1177"/>
        <v/>
      </c>
      <c r="AF225" s="81">
        <f t="shared" si="1203"/>
        <v>0</v>
      </c>
      <c r="AG225" s="40"/>
      <c r="AH225" s="7"/>
      <c r="AI225" s="77" t="str">
        <f t="shared" si="1178"/>
        <v/>
      </c>
      <c r="AJ225" s="81">
        <f t="shared" si="1204"/>
        <v>0</v>
      </c>
      <c r="AK225" s="83">
        <f t="shared" si="1205"/>
        <v>0</v>
      </c>
      <c r="AL225" s="83">
        <f t="shared" si="1206"/>
        <v>0</v>
      </c>
      <c r="AN225" s="43">
        <f t="shared" si="1179"/>
        <v>0</v>
      </c>
      <c r="AP225" t="str">
        <f t="shared" si="1207"/>
        <v/>
      </c>
      <c r="AQ225" t="str">
        <f t="shared" si="1208"/>
        <v/>
      </c>
      <c r="AR225" t="str">
        <f t="shared" si="1209"/>
        <v/>
      </c>
      <c r="AS225" t="str">
        <f t="shared" si="1210"/>
        <v/>
      </c>
      <c r="AT225" t="str">
        <f t="shared" si="1211"/>
        <v/>
      </c>
      <c r="AU225" t="str">
        <f t="shared" si="1212"/>
        <v/>
      </c>
      <c r="AV225" t="str">
        <f t="shared" si="1213"/>
        <v/>
      </c>
      <c r="AW225" t="str">
        <f t="shared" si="1214"/>
        <v xml:space="preserve">                              </v>
      </c>
      <c r="AX225" s="23">
        <f t="shared" si="1215"/>
        <v>0</v>
      </c>
      <c r="AY225" s="49" t="str">
        <f t="shared" si="1191"/>
        <v>000000000000000</v>
      </c>
      <c r="AZ225" s="23">
        <f t="shared" si="1216"/>
        <v>0</v>
      </c>
      <c r="BA225" s="49" t="str">
        <f t="shared" si="1191"/>
        <v>000000000000000</v>
      </c>
      <c r="BB225" s="23">
        <f t="shared" si="1217"/>
        <v>0</v>
      </c>
      <c r="BC225" s="49" t="str">
        <f t="shared" ref="BC225" si="1350">IF(BB225&lt;0,SUBSTITUTE(TEXT(BB225,"000000000000,00"),",",""),SUBSTITUTE(TEXT(BB225,"0000000000000,00"),",",""))</f>
        <v>000000000000000</v>
      </c>
      <c r="BD225" s="23">
        <f t="shared" si="1219"/>
        <v>0</v>
      </c>
      <c r="BE225" s="49" t="str">
        <f t="shared" ref="BE225" si="1351">IF(BD225&lt;0,SUBSTITUTE(TEXT(BD225,"000000000000,00"),",",""),SUBSTITUTE(TEXT(BD225,"0000000000000,00"),",",""))</f>
        <v>000000000000000</v>
      </c>
      <c r="BF225" s="23">
        <f t="shared" si="1221"/>
        <v>0</v>
      </c>
      <c r="BG225" s="49" t="str">
        <f t="shared" ref="BG225" si="1352">IF(BF225&lt;0,SUBSTITUTE(TEXT(BF225,"000000000000,00"),",",""),SUBSTITUTE(TEXT(BF225,"0000000000000,00"),",",""))</f>
        <v>000000000000000</v>
      </c>
      <c r="BH225" s="23">
        <f t="shared" si="1223"/>
        <v>0</v>
      </c>
      <c r="BI225" s="49" t="str">
        <f t="shared" ref="BI225" si="1353">IF(BH225&lt;0,SUBSTITUTE(TEXT(BH225,"000000000000,00"),",",""),SUBSTITUTE(TEXT(BH225,"0000000000000,00"),",",""))</f>
        <v>000000000000000</v>
      </c>
      <c r="BJ225" s="23">
        <f t="shared" si="1225"/>
        <v>0</v>
      </c>
      <c r="BK225" s="49" t="str">
        <f t="shared" ref="BK225" si="1354">IF(BJ225&lt;0,SUBSTITUTE(TEXT(BJ225,"000000000000,00"),",",""),SUBSTITUTE(TEXT(BJ225,"0000000000000,00"),",",""))</f>
        <v>000000000000000</v>
      </c>
      <c r="BL225" s="23">
        <f t="shared" si="1227"/>
        <v>0</v>
      </c>
      <c r="BM225" s="49" t="str">
        <f t="shared" ref="BM225" si="1355">IF(BL225&lt;0,SUBSTITUTE(TEXT(BL225,"000000000000,00"),",",""),SUBSTITUTE(TEXT(BL225,"0000000000000,00"),",",""))</f>
        <v>000000000000000</v>
      </c>
      <c r="BN225" t="str">
        <f t="shared" si="1229"/>
        <v>PES</v>
      </c>
      <c r="BO225" t="str">
        <f t="shared" si="1230"/>
        <v>0001000000</v>
      </c>
      <c r="BP225">
        <f t="shared" si="1231"/>
        <v>0</v>
      </c>
      <c r="BQ225">
        <f t="shared" si="1232"/>
        <v>0</v>
      </c>
      <c r="BR225" s="23">
        <f t="shared" si="1233"/>
        <v>0</v>
      </c>
      <c r="BS225" s="49" t="str">
        <f t="shared" si="1198"/>
        <v>000000000000000</v>
      </c>
      <c r="BT225" t="str">
        <f t="shared" si="1234"/>
        <v>00000000</v>
      </c>
      <c r="BU225" s="23">
        <f t="shared" si="1235"/>
        <v>0</v>
      </c>
      <c r="BV225" s="49" t="str">
        <f t="shared" si="1199"/>
        <v/>
      </c>
      <c r="BW225" s="52" t="str">
        <f t="shared" si="1236"/>
        <v/>
      </c>
      <c r="BX225" s="23">
        <f t="shared" si="1237"/>
        <v>0</v>
      </c>
      <c r="BY225" s="49" t="str">
        <f t="shared" si="1200"/>
        <v/>
      </c>
      <c r="BZ225" s="23">
        <f t="shared" si="1238"/>
        <v>0</v>
      </c>
      <c r="CA225" s="49" t="str">
        <f t="shared" si="1201"/>
        <v/>
      </c>
      <c r="CB225" s="52" t="str">
        <f t="shared" si="1239"/>
        <v/>
      </c>
      <c r="CC225" s="23">
        <f t="shared" si="1240"/>
        <v>0</v>
      </c>
      <c r="CD225" s="49" t="str">
        <f t="shared" si="1202"/>
        <v/>
      </c>
      <c r="CE225" s="56" t="str">
        <f>IF(CF225="","",MAX(CE$10:$CE224)+1)</f>
        <v/>
      </c>
      <c r="CF225" t="str">
        <f t="shared" si="1241"/>
        <v/>
      </c>
      <c r="CG225" s="22" t="str">
        <f>IF(CH225="","",MAX($CG$10:CG224)+1)</f>
        <v/>
      </c>
      <c r="CH225" s="22" t="str">
        <f t="shared" si="1186"/>
        <v/>
      </c>
      <c r="CI225" s="22" t="str">
        <f>IF(CJ225="","",MAX($CI$10:CI224)+1)</f>
        <v/>
      </c>
      <c r="CJ225" s="22" t="str">
        <f t="shared" si="1187"/>
        <v/>
      </c>
    </row>
    <row r="226" spans="2:88" x14ac:dyDescent="0.25">
      <c r="B226" s="37"/>
      <c r="C226" s="3"/>
      <c r="D226" s="77" t="str">
        <f t="shared" si="1173"/>
        <v/>
      </c>
      <c r="E226" s="38"/>
      <c r="F226" s="38"/>
      <c r="G226" s="78">
        <f t="shared" si="1188"/>
        <v>0</v>
      </c>
      <c r="H226" s="3">
        <v>80</v>
      </c>
      <c r="I226" s="77" t="str">
        <f t="shared" si="1174"/>
        <v/>
      </c>
      <c r="J226" s="32"/>
      <c r="K226" s="3"/>
      <c r="L226" s="39"/>
      <c r="M226" s="39"/>
      <c r="N226" s="39"/>
      <c r="O226" s="39"/>
      <c r="P226" s="39"/>
      <c r="Q226" s="39"/>
      <c r="R226" s="39"/>
      <c r="S226" s="39"/>
      <c r="T226" s="3" t="s">
        <v>645</v>
      </c>
      <c r="U226" s="77" t="str">
        <f t="shared" si="1175"/>
        <v/>
      </c>
      <c r="V226" s="39">
        <v>1</v>
      </c>
      <c r="W226" s="79">
        <f t="shared" si="1189"/>
        <v>0</v>
      </c>
      <c r="X226" s="3">
        <v>0</v>
      </c>
      <c r="Y226" s="77" t="str">
        <f t="shared" si="1176"/>
        <v/>
      </c>
      <c r="Z226" s="3"/>
      <c r="AA226" s="37" t="str">
        <f t="shared" si="1190"/>
        <v/>
      </c>
      <c r="AC226" s="40"/>
      <c r="AD226" s="7"/>
      <c r="AE226" s="77" t="str">
        <f t="shared" si="1177"/>
        <v/>
      </c>
      <c r="AF226" s="81">
        <f t="shared" si="1203"/>
        <v>0</v>
      </c>
      <c r="AG226" s="40"/>
      <c r="AH226" s="7"/>
      <c r="AI226" s="77" t="str">
        <f t="shared" si="1178"/>
        <v/>
      </c>
      <c r="AJ226" s="81">
        <f t="shared" si="1204"/>
        <v>0</v>
      </c>
      <c r="AK226" s="83">
        <f t="shared" si="1205"/>
        <v>0</v>
      </c>
      <c r="AL226" s="83">
        <f t="shared" si="1206"/>
        <v>0</v>
      </c>
      <c r="AN226" s="43">
        <f t="shared" si="1179"/>
        <v>0</v>
      </c>
      <c r="AP226" t="str">
        <f t="shared" si="1207"/>
        <v/>
      </c>
      <c r="AQ226" t="str">
        <f t="shared" si="1208"/>
        <v/>
      </c>
      <c r="AR226" t="str">
        <f t="shared" si="1209"/>
        <v/>
      </c>
      <c r="AS226" t="str">
        <f t="shared" si="1210"/>
        <v/>
      </c>
      <c r="AT226" t="str">
        <f t="shared" si="1211"/>
        <v/>
      </c>
      <c r="AU226" t="str">
        <f t="shared" si="1212"/>
        <v/>
      </c>
      <c r="AV226" t="str">
        <f t="shared" si="1213"/>
        <v/>
      </c>
      <c r="AW226" t="str">
        <f t="shared" si="1214"/>
        <v xml:space="preserve">                              </v>
      </c>
      <c r="AX226" s="23">
        <f t="shared" si="1215"/>
        <v>0</v>
      </c>
      <c r="AY226" s="49" t="str">
        <f t="shared" si="1191"/>
        <v>000000000000000</v>
      </c>
      <c r="AZ226" s="23">
        <f t="shared" si="1216"/>
        <v>0</v>
      </c>
      <c r="BA226" s="49" t="str">
        <f t="shared" si="1191"/>
        <v>000000000000000</v>
      </c>
      <c r="BB226" s="23">
        <f t="shared" si="1217"/>
        <v>0</v>
      </c>
      <c r="BC226" s="49" t="str">
        <f t="shared" ref="BC226" si="1356">IF(BB226&lt;0,SUBSTITUTE(TEXT(BB226,"000000000000,00"),",",""),SUBSTITUTE(TEXT(BB226,"0000000000000,00"),",",""))</f>
        <v>000000000000000</v>
      </c>
      <c r="BD226" s="23">
        <f t="shared" si="1219"/>
        <v>0</v>
      </c>
      <c r="BE226" s="49" t="str">
        <f t="shared" ref="BE226" si="1357">IF(BD226&lt;0,SUBSTITUTE(TEXT(BD226,"000000000000,00"),",",""),SUBSTITUTE(TEXT(BD226,"0000000000000,00"),",",""))</f>
        <v>000000000000000</v>
      </c>
      <c r="BF226" s="23">
        <f t="shared" si="1221"/>
        <v>0</v>
      </c>
      <c r="BG226" s="49" t="str">
        <f t="shared" ref="BG226" si="1358">IF(BF226&lt;0,SUBSTITUTE(TEXT(BF226,"000000000000,00"),",",""),SUBSTITUTE(TEXT(BF226,"0000000000000,00"),",",""))</f>
        <v>000000000000000</v>
      </c>
      <c r="BH226" s="23">
        <f t="shared" si="1223"/>
        <v>0</v>
      </c>
      <c r="BI226" s="49" t="str">
        <f t="shared" ref="BI226" si="1359">IF(BH226&lt;0,SUBSTITUTE(TEXT(BH226,"000000000000,00"),",",""),SUBSTITUTE(TEXT(BH226,"0000000000000,00"),",",""))</f>
        <v>000000000000000</v>
      </c>
      <c r="BJ226" s="23">
        <f t="shared" si="1225"/>
        <v>0</v>
      </c>
      <c r="BK226" s="49" t="str">
        <f t="shared" ref="BK226" si="1360">IF(BJ226&lt;0,SUBSTITUTE(TEXT(BJ226,"000000000000,00"),",",""),SUBSTITUTE(TEXT(BJ226,"0000000000000,00"),",",""))</f>
        <v>000000000000000</v>
      </c>
      <c r="BL226" s="23">
        <f t="shared" si="1227"/>
        <v>0</v>
      </c>
      <c r="BM226" s="49" t="str">
        <f t="shared" ref="BM226" si="1361">IF(BL226&lt;0,SUBSTITUTE(TEXT(BL226,"000000000000,00"),",",""),SUBSTITUTE(TEXT(BL226,"0000000000000,00"),",",""))</f>
        <v>000000000000000</v>
      </c>
      <c r="BN226" t="str">
        <f t="shared" si="1229"/>
        <v>PES</v>
      </c>
      <c r="BO226" t="str">
        <f t="shared" si="1230"/>
        <v>0001000000</v>
      </c>
      <c r="BP226">
        <f t="shared" si="1231"/>
        <v>0</v>
      </c>
      <c r="BQ226">
        <f t="shared" si="1232"/>
        <v>0</v>
      </c>
      <c r="BR226" s="23">
        <f t="shared" si="1233"/>
        <v>0</v>
      </c>
      <c r="BS226" s="49" t="str">
        <f t="shared" si="1198"/>
        <v>000000000000000</v>
      </c>
      <c r="BT226" t="str">
        <f t="shared" si="1234"/>
        <v>00000000</v>
      </c>
      <c r="BU226" s="23">
        <f t="shared" si="1235"/>
        <v>0</v>
      </c>
      <c r="BV226" s="49" t="str">
        <f t="shared" si="1199"/>
        <v/>
      </c>
      <c r="BW226" s="52" t="str">
        <f t="shared" si="1236"/>
        <v/>
      </c>
      <c r="BX226" s="23">
        <f t="shared" si="1237"/>
        <v>0</v>
      </c>
      <c r="BY226" s="49" t="str">
        <f t="shared" si="1200"/>
        <v/>
      </c>
      <c r="BZ226" s="23">
        <f t="shared" si="1238"/>
        <v>0</v>
      </c>
      <c r="CA226" s="49" t="str">
        <f t="shared" si="1201"/>
        <v/>
      </c>
      <c r="CB226" s="52" t="str">
        <f t="shared" si="1239"/>
        <v/>
      </c>
      <c r="CC226" s="23">
        <f t="shared" si="1240"/>
        <v>0</v>
      </c>
      <c r="CD226" s="49" t="str">
        <f t="shared" si="1202"/>
        <v/>
      </c>
      <c r="CE226" s="56" t="str">
        <f>IF(CF226="","",MAX(CE$10:$CE225)+1)</f>
        <v/>
      </c>
      <c r="CF226" t="str">
        <f t="shared" si="1241"/>
        <v/>
      </c>
      <c r="CG226" s="22" t="str">
        <f>IF(CH226="","",MAX($CG$10:CG225)+1)</f>
        <v/>
      </c>
      <c r="CH226" s="22" t="str">
        <f t="shared" si="1186"/>
        <v/>
      </c>
      <c r="CI226" s="22" t="str">
        <f>IF(CJ226="","",MAX($CI$10:CI225)+1)</f>
        <v/>
      </c>
      <c r="CJ226" s="22" t="str">
        <f t="shared" si="1187"/>
        <v/>
      </c>
    </row>
    <row r="227" spans="2:88" x14ac:dyDescent="0.25">
      <c r="B227" s="37"/>
      <c r="C227" s="3"/>
      <c r="D227" s="77" t="str">
        <f t="shared" si="1173"/>
        <v/>
      </c>
      <c r="E227" s="38"/>
      <c r="F227" s="38"/>
      <c r="G227" s="78">
        <f t="shared" si="1188"/>
        <v>0</v>
      </c>
      <c r="H227" s="3">
        <v>80</v>
      </c>
      <c r="I227" s="77" t="str">
        <f t="shared" si="1174"/>
        <v/>
      </c>
      <c r="J227" s="32"/>
      <c r="K227" s="3"/>
      <c r="L227" s="39"/>
      <c r="M227" s="39"/>
      <c r="N227" s="39"/>
      <c r="O227" s="39"/>
      <c r="P227" s="39"/>
      <c r="Q227" s="39"/>
      <c r="R227" s="39"/>
      <c r="S227" s="39"/>
      <c r="T227" s="3" t="s">
        <v>645</v>
      </c>
      <c r="U227" s="77" t="str">
        <f t="shared" si="1175"/>
        <v/>
      </c>
      <c r="V227" s="39">
        <v>1</v>
      </c>
      <c r="W227" s="79">
        <f t="shared" si="1189"/>
        <v>0</v>
      </c>
      <c r="X227" s="3">
        <v>0</v>
      </c>
      <c r="Y227" s="77" t="str">
        <f t="shared" si="1176"/>
        <v/>
      </c>
      <c r="Z227" s="3"/>
      <c r="AA227" s="37" t="str">
        <f t="shared" si="1190"/>
        <v/>
      </c>
      <c r="AC227" s="40"/>
      <c r="AD227" s="7"/>
      <c r="AE227" s="77" t="str">
        <f t="shared" si="1177"/>
        <v/>
      </c>
      <c r="AF227" s="81">
        <f t="shared" si="1203"/>
        <v>0</v>
      </c>
      <c r="AG227" s="40"/>
      <c r="AH227" s="7"/>
      <c r="AI227" s="77" t="str">
        <f t="shared" si="1178"/>
        <v/>
      </c>
      <c r="AJ227" s="81">
        <f t="shared" si="1204"/>
        <v>0</v>
      </c>
      <c r="AK227" s="83">
        <f t="shared" si="1205"/>
        <v>0</v>
      </c>
      <c r="AL227" s="83">
        <f t="shared" si="1206"/>
        <v>0</v>
      </c>
      <c r="AN227" s="43">
        <f t="shared" si="1179"/>
        <v>0</v>
      </c>
      <c r="AP227" t="str">
        <f t="shared" si="1207"/>
        <v/>
      </c>
      <c r="AQ227" t="str">
        <f t="shared" si="1208"/>
        <v/>
      </c>
      <c r="AR227" t="str">
        <f t="shared" si="1209"/>
        <v/>
      </c>
      <c r="AS227" t="str">
        <f t="shared" si="1210"/>
        <v/>
      </c>
      <c r="AT227" t="str">
        <f t="shared" si="1211"/>
        <v/>
      </c>
      <c r="AU227" t="str">
        <f t="shared" si="1212"/>
        <v/>
      </c>
      <c r="AV227" t="str">
        <f t="shared" si="1213"/>
        <v/>
      </c>
      <c r="AW227" t="str">
        <f t="shared" si="1214"/>
        <v xml:space="preserve">                              </v>
      </c>
      <c r="AX227" s="23">
        <f t="shared" si="1215"/>
        <v>0</v>
      </c>
      <c r="AY227" s="49" t="str">
        <f t="shared" si="1191"/>
        <v>000000000000000</v>
      </c>
      <c r="AZ227" s="23">
        <f t="shared" si="1216"/>
        <v>0</v>
      </c>
      <c r="BA227" s="49" t="str">
        <f t="shared" si="1191"/>
        <v>000000000000000</v>
      </c>
      <c r="BB227" s="23">
        <f t="shared" si="1217"/>
        <v>0</v>
      </c>
      <c r="BC227" s="49" t="str">
        <f t="shared" ref="BC227" si="1362">IF(BB227&lt;0,SUBSTITUTE(TEXT(BB227,"000000000000,00"),",",""),SUBSTITUTE(TEXT(BB227,"0000000000000,00"),",",""))</f>
        <v>000000000000000</v>
      </c>
      <c r="BD227" s="23">
        <f t="shared" si="1219"/>
        <v>0</v>
      </c>
      <c r="BE227" s="49" t="str">
        <f t="shared" ref="BE227" si="1363">IF(BD227&lt;0,SUBSTITUTE(TEXT(BD227,"000000000000,00"),",",""),SUBSTITUTE(TEXT(BD227,"0000000000000,00"),",",""))</f>
        <v>000000000000000</v>
      </c>
      <c r="BF227" s="23">
        <f t="shared" si="1221"/>
        <v>0</v>
      </c>
      <c r="BG227" s="49" t="str">
        <f t="shared" ref="BG227" si="1364">IF(BF227&lt;0,SUBSTITUTE(TEXT(BF227,"000000000000,00"),",",""),SUBSTITUTE(TEXT(BF227,"0000000000000,00"),",",""))</f>
        <v>000000000000000</v>
      </c>
      <c r="BH227" s="23">
        <f t="shared" si="1223"/>
        <v>0</v>
      </c>
      <c r="BI227" s="49" t="str">
        <f t="shared" ref="BI227" si="1365">IF(BH227&lt;0,SUBSTITUTE(TEXT(BH227,"000000000000,00"),",",""),SUBSTITUTE(TEXT(BH227,"0000000000000,00"),",",""))</f>
        <v>000000000000000</v>
      </c>
      <c r="BJ227" s="23">
        <f t="shared" si="1225"/>
        <v>0</v>
      </c>
      <c r="BK227" s="49" t="str">
        <f t="shared" ref="BK227" si="1366">IF(BJ227&lt;0,SUBSTITUTE(TEXT(BJ227,"000000000000,00"),",",""),SUBSTITUTE(TEXT(BJ227,"0000000000000,00"),",",""))</f>
        <v>000000000000000</v>
      </c>
      <c r="BL227" s="23">
        <f t="shared" si="1227"/>
        <v>0</v>
      </c>
      <c r="BM227" s="49" t="str">
        <f t="shared" ref="BM227" si="1367">IF(BL227&lt;0,SUBSTITUTE(TEXT(BL227,"000000000000,00"),",",""),SUBSTITUTE(TEXT(BL227,"0000000000000,00"),",",""))</f>
        <v>000000000000000</v>
      </c>
      <c r="BN227" t="str">
        <f t="shared" si="1229"/>
        <v>PES</v>
      </c>
      <c r="BO227" t="str">
        <f t="shared" si="1230"/>
        <v>0001000000</v>
      </c>
      <c r="BP227">
        <f t="shared" si="1231"/>
        <v>0</v>
      </c>
      <c r="BQ227">
        <f t="shared" si="1232"/>
        <v>0</v>
      </c>
      <c r="BR227" s="23">
        <f t="shared" si="1233"/>
        <v>0</v>
      </c>
      <c r="BS227" s="49" t="str">
        <f t="shared" si="1198"/>
        <v>000000000000000</v>
      </c>
      <c r="BT227" t="str">
        <f t="shared" si="1234"/>
        <v>00000000</v>
      </c>
      <c r="BU227" s="23">
        <f t="shared" si="1235"/>
        <v>0</v>
      </c>
      <c r="BV227" s="49" t="str">
        <f t="shared" si="1199"/>
        <v/>
      </c>
      <c r="BW227" s="52" t="str">
        <f t="shared" si="1236"/>
        <v/>
      </c>
      <c r="BX227" s="23">
        <f t="shared" si="1237"/>
        <v>0</v>
      </c>
      <c r="BY227" s="49" t="str">
        <f t="shared" si="1200"/>
        <v/>
      </c>
      <c r="BZ227" s="23">
        <f t="shared" si="1238"/>
        <v>0</v>
      </c>
      <c r="CA227" s="49" t="str">
        <f t="shared" si="1201"/>
        <v/>
      </c>
      <c r="CB227" s="52" t="str">
        <f t="shared" si="1239"/>
        <v/>
      </c>
      <c r="CC227" s="23">
        <f t="shared" si="1240"/>
        <v>0</v>
      </c>
      <c r="CD227" s="49" t="str">
        <f t="shared" si="1202"/>
        <v/>
      </c>
      <c r="CE227" s="56" t="str">
        <f>IF(CF227="","",MAX(CE$10:$CE226)+1)</f>
        <v/>
      </c>
      <c r="CF227" t="str">
        <f t="shared" si="1241"/>
        <v/>
      </c>
      <c r="CG227" s="22" t="str">
        <f>IF(CH227="","",MAX($CG$10:CG226)+1)</f>
        <v/>
      </c>
      <c r="CH227" s="22" t="str">
        <f t="shared" si="1186"/>
        <v/>
      </c>
      <c r="CI227" s="22" t="str">
        <f>IF(CJ227="","",MAX($CI$10:CI226)+1)</f>
        <v/>
      </c>
      <c r="CJ227" s="22" t="str">
        <f t="shared" si="1187"/>
        <v/>
      </c>
    </row>
    <row r="228" spans="2:88" x14ac:dyDescent="0.25">
      <c r="B228" s="37"/>
      <c r="C228" s="3"/>
      <c r="D228" s="77" t="str">
        <f t="shared" si="1173"/>
        <v/>
      </c>
      <c r="E228" s="38"/>
      <c r="F228" s="38"/>
      <c r="G228" s="78">
        <f t="shared" si="1188"/>
        <v>0</v>
      </c>
      <c r="H228" s="3">
        <v>80</v>
      </c>
      <c r="I228" s="77" t="str">
        <f t="shared" si="1174"/>
        <v/>
      </c>
      <c r="J228" s="32"/>
      <c r="K228" s="3"/>
      <c r="L228" s="39"/>
      <c r="M228" s="39"/>
      <c r="N228" s="39"/>
      <c r="O228" s="39"/>
      <c r="P228" s="39"/>
      <c r="Q228" s="39"/>
      <c r="R228" s="39"/>
      <c r="S228" s="39"/>
      <c r="T228" s="3" t="s">
        <v>645</v>
      </c>
      <c r="U228" s="77" t="str">
        <f t="shared" si="1175"/>
        <v/>
      </c>
      <c r="V228" s="39">
        <v>1</v>
      </c>
      <c r="W228" s="79">
        <f t="shared" si="1189"/>
        <v>0</v>
      </c>
      <c r="X228" s="3">
        <v>0</v>
      </c>
      <c r="Y228" s="77" t="str">
        <f t="shared" si="1176"/>
        <v/>
      </c>
      <c r="Z228" s="3"/>
      <c r="AA228" s="37" t="str">
        <f t="shared" si="1190"/>
        <v/>
      </c>
      <c r="AC228" s="40"/>
      <c r="AD228" s="7"/>
      <c r="AE228" s="77" t="str">
        <f t="shared" si="1177"/>
        <v/>
      </c>
      <c r="AF228" s="81">
        <f t="shared" si="1203"/>
        <v>0</v>
      </c>
      <c r="AG228" s="40"/>
      <c r="AH228" s="7"/>
      <c r="AI228" s="77" t="str">
        <f t="shared" si="1178"/>
        <v/>
      </c>
      <c r="AJ228" s="81">
        <f t="shared" si="1204"/>
        <v>0</v>
      </c>
      <c r="AK228" s="83">
        <f t="shared" si="1205"/>
        <v>0</v>
      </c>
      <c r="AL228" s="83">
        <f t="shared" si="1206"/>
        <v>0</v>
      </c>
      <c r="AN228" s="43">
        <f t="shared" si="1179"/>
        <v>0</v>
      </c>
      <c r="AP228" t="str">
        <f t="shared" si="1207"/>
        <v/>
      </c>
      <c r="AQ228" t="str">
        <f t="shared" si="1208"/>
        <v/>
      </c>
      <c r="AR228" t="str">
        <f t="shared" si="1209"/>
        <v/>
      </c>
      <c r="AS228" t="str">
        <f t="shared" si="1210"/>
        <v/>
      </c>
      <c r="AT228" t="str">
        <f t="shared" si="1211"/>
        <v/>
      </c>
      <c r="AU228" t="str">
        <f t="shared" si="1212"/>
        <v/>
      </c>
      <c r="AV228" t="str">
        <f t="shared" si="1213"/>
        <v/>
      </c>
      <c r="AW228" t="str">
        <f t="shared" si="1214"/>
        <v xml:space="preserve">                              </v>
      </c>
      <c r="AX228" s="23">
        <f t="shared" si="1215"/>
        <v>0</v>
      </c>
      <c r="AY228" s="49" t="str">
        <f t="shared" si="1191"/>
        <v>000000000000000</v>
      </c>
      <c r="AZ228" s="23">
        <f t="shared" si="1216"/>
        <v>0</v>
      </c>
      <c r="BA228" s="49" t="str">
        <f t="shared" si="1191"/>
        <v>000000000000000</v>
      </c>
      <c r="BB228" s="23">
        <f t="shared" si="1217"/>
        <v>0</v>
      </c>
      <c r="BC228" s="49" t="str">
        <f t="shared" ref="BC228" si="1368">IF(BB228&lt;0,SUBSTITUTE(TEXT(BB228,"000000000000,00"),",",""),SUBSTITUTE(TEXT(BB228,"0000000000000,00"),",",""))</f>
        <v>000000000000000</v>
      </c>
      <c r="BD228" s="23">
        <f t="shared" si="1219"/>
        <v>0</v>
      </c>
      <c r="BE228" s="49" t="str">
        <f t="shared" ref="BE228" si="1369">IF(BD228&lt;0,SUBSTITUTE(TEXT(BD228,"000000000000,00"),",",""),SUBSTITUTE(TEXT(BD228,"0000000000000,00"),",",""))</f>
        <v>000000000000000</v>
      </c>
      <c r="BF228" s="23">
        <f t="shared" si="1221"/>
        <v>0</v>
      </c>
      <c r="BG228" s="49" t="str">
        <f t="shared" ref="BG228" si="1370">IF(BF228&lt;0,SUBSTITUTE(TEXT(BF228,"000000000000,00"),",",""),SUBSTITUTE(TEXT(BF228,"0000000000000,00"),",",""))</f>
        <v>000000000000000</v>
      </c>
      <c r="BH228" s="23">
        <f t="shared" si="1223"/>
        <v>0</v>
      </c>
      <c r="BI228" s="49" t="str">
        <f t="shared" ref="BI228" si="1371">IF(BH228&lt;0,SUBSTITUTE(TEXT(BH228,"000000000000,00"),",",""),SUBSTITUTE(TEXT(BH228,"0000000000000,00"),",",""))</f>
        <v>000000000000000</v>
      </c>
      <c r="BJ228" s="23">
        <f t="shared" si="1225"/>
        <v>0</v>
      </c>
      <c r="BK228" s="49" t="str">
        <f t="shared" ref="BK228" si="1372">IF(BJ228&lt;0,SUBSTITUTE(TEXT(BJ228,"000000000000,00"),",",""),SUBSTITUTE(TEXT(BJ228,"0000000000000,00"),",",""))</f>
        <v>000000000000000</v>
      </c>
      <c r="BL228" s="23">
        <f t="shared" si="1227"/>
        <v>0</v>
      </c>
      <c r="BM228" s="49" t="str">
        <f t="shared" ref="BM228" si="1373">IF(BL228&lt;0,SUBSTITUTE(TEXT(BL228,"000000000000,00"),",",""),SUBSTITUTE(TEXT(BL228,"0000000000000,00"),",",""))</f>
        <v>000000000000000</v>
      </c>
      <c r="BN228" t="str">
        <f t="shared" si="1229"/>
        <v>PES</v>
      </c>
      <c r="BO228" t="str">
        <f t="shared" si="1230"/>
        <v>0001000000</v>
      </c>
      <c r="BP228">
        <f t="shared" si="1231"/>
        <v>0</v>
      </c>
      <c r="BQ228">
        <f t="shared" si="1232"/>
        <v>0</v>
      </c>
      <c r="BR228" s="23">
        <f t="shared" si="1233"/>
        <v>0</v>
      </c>
      <c r="BS228" s="49" t="str">
        <f t="shared" si="1198"/>
        <v>000000000000000</v>
      </c>
      <c r="BT228" t="str">
        <f t="shared" si="1234"/>
        <v>00000000</v>
      </c>
      <c r="BU228" s="23">
        <f t="shared" si="1235"/>
        <v>0</v>
      </c>
      <c r="BV228" s="49" t="str">
        <f t="shared" si="1199"/>
        <v/>
      </c>
      <c r="BW228" s="52" t="str">
        <f t="shared" si="1236"/>
        <v/>
      </c>
      <c r="BX228" s="23">
        <f t="shared" si="1237"/>
        <v>0</v>
      </c>
      <c r="BY228" s="49" t="str">
        <f t="shared" si="1200"/>
        <v/>
      </c>
      <c r="BZ228" s="23">
        <f t="shared" si="1238"/>
        <v>0</v>
      </c>
      <c r="CA228" s="49" t="str">
        <f t="shared" si="1201"/>
        <v/>
      </c>
      <c r="CB228" s="52" t="str">
        <f t="shared" si="1239"/>
        <v/>
      </c>
      <c r="CC228" s="23">
        <f t="shared" si="1240"/>
        <v>0</v>
      </c>
      <c r="CD228" s="49" t="str">
        <f t="shared" si="1202"/>
        <v/>
      </c>
      <c r="CE228" s="56" t="str">
        <f>IF(CF228="","",MAX(CE$10:$CE227)+1)</f>
        <v/>
      </c>
      <c r="CF228" t="str">
        <f t="shared" si="1241"/>
        <v/>
      </c>
      <c r="CG228" s="22" t="str">
        <f>IF(CH228="","",MAX($CG$10:CG227)+1)</f>
        <v/>
      </c>
      <c r="CH228" s="22" t="str">
        <f t="shared" si="1186"/>
        <v/>
      </c>
      <c r="CI228" s="22" t="str">
        <f>IF(CJ228="","",MAX($CI$10:CI227)+1)</f>
        <v/>
      </c>
      <c r="CJ228" s="22" t="str">
        <f t="shared" si="1187"/>
        <v/>
      </c>
    </row>
    <row r="229" spans="2:88" x14ac:dyDescent="0.25">
      <c r="B229" s="37"/>
      <c r="C229" s="3"/>
      <c r="D229" s="77" t="str">
        <f t="shared" si="1173"/>
        <v/>
      </c>
      <c r="E229" s="38"/>
      <c r="F229" s="38"/>
      <c r="G229" s="78">
        <f t="shared" si="1188"/>
        <v>0</v>
      </c>
      <c r="H229" s="3">
        <v>80</v>
      </c>
      <c r="I229" s="77" t="str">
        <f t="shared" si="1174"/>
        <v/>
      </c>
      <c r="J229" s="32"/>
      <c r="K229" s="3"/>
      <c r="L229" s="39"/>
      <c r="M229" s="39"/>
      <c r="N229" s="39"/>
      <c r="O229" s="39"/>
      <c r="P229" s="39"/>
      <c r="Q229" s="39"/>
      <c r="R229" s="39"/>
      <c r="S229" s="39"/>
      <c r="T229" s="3" t="s">
        <v>645</v>
      </c>
      <c r="U229" s="77" t="str">
        <f t="shared" si="1175"/>
        <v/>
      </c>
      <c r="V229" s="39">
        <v>1</v>
      </c>
      <c r="W229" s="79">
        <f t="shared" si="1189"/>
        <v>0</v>
      </c>
      <c r="X229" s="3">
        <v>0</v>
      </c>
      <c r="Y229" s="77" t="str">
        <f t="shared" si="1176"/>
        <v/>
      </c>
      <c r="Z229" s="3"/>
      <c r="AA229" s="37" t="str">
        <f t="shared" si="1190"/>
        <v/>
      </c>
      <c r="AC229" s="40"/>
      <c r="AD229" s="7"/>
      <c r="AE229" s="77" t="str">
        <f t="shared" si="1177"/>
        <v/>
      </c>
      <c r="AF229" s="81">
        <f t="shared" si="1203"/>
        <v>0</v>
      </c>
      <c r="AG229" s="40"/>
      <c r="AH229" s="7"/>
      <c r="AI229" s="77" t="str">
        <f t="shared" si="1178"/>
        <v/>
      </c>
      <c r="AJ229" s="81">
        <f t="shared" si="1204"/>
        <v>0</v>
      </c>
      <c r="AK229" s="83">
        <f t="shared" si="1205"/>
        <v>0</v>
      </c>
      <c r="AL229" s="83">
        <f t="shared" si="1206"/>
        <v>0</v>
      </c>
      <c r="AN229" s="43">
        <f t="shared" si="1179"/>
        <v>0</v>
      </c>
      <c r="AP229" t="str">
        <f t="shared" si="1207"/>
        <v/>
      </c>
      <c r="AQ229" t="str">
        <f t="shared" si="1208"/>
        <v/>
      </c>
      <c r="AR229" t="str">
        <f t="shared" si="1209"/>
        <v/>
      </c>
      <c r="AS229" t="str">
        <f t="shared" si="1210"/>
        <v/>
      </c>
      <c r="AT229" t="str">
        <f t="shared" si="1211"/>
        <v/>
      </c>
      <c r="AU229" t="str">
        <f t="shared" si="1212"/>
        <v/>
      </c>
      <c r="AV229" t="str">
        <f t="shared" si="1213"/>
        <v/>
      </c>
      <c r="AW229" t="str">
        <f t="shared" si="1214"/>
        <v xml:space="preserve">                              </v>
      </c>
      <c r="AX229" s="23">
        <f t="shared" si="1215"/>
        <v>0</v>
      </c>
      <c r="AY229" s="49" t="str">
        <f t="shared" si="1191"/>
        <v>000000000000000</v>
      </c>
      <c r="AZ229" s="23">
        <f t="shared" si="1216"/>
        <v>0</v>
      </c>
      <c r="BA229" s="49" t="str">
        <f t="shared" si="1191"/>
        <v>000000000000000</v>
      </c>
      <c r="BB229" s="23">
        <f t="shared" si="1217"/>
        <v>0</v>
      </c>
      <c r="BC229" s="49" t="str">
        <f t="shared" ref="BC229" si="1374">IF(BB229&lt;0,SUBSTITUTE(TEXT(BB229,"000000000000,00"),",",""),SUBSTITUTE(TEXT(BB229,"0000000000000,00"),",",""))</f>
        <v>000000000000000</v>
      </c>
      <c r="BD229" s="23">
        <f t="shared" si="1219"/>
        <v>0</v>
      </c>
      <c r="BE229" s="49" t="str">
        <f t="shared" ref="BE229" si="1375">IF(BD229&lt;0,SUBSTITUTE(TEXT(BD229,"000000000000,00"),",",""),SUBSTITUTE(TEXT(BD229,"0000000000000,00"),",",""))</f>
        <v>000000000000000</v>
      </c>
      <c r="BF229" s="23">
        <f t="shared" si="1221"/>
        <v>0</v>
      </c>
      <c r="BG229" s="49" t="str">
        <f t="shared" ref="BG229" si="1376">IF(BF229&lt;0,SUBSTITUTE(TEXT(BF229,"000000000000,00"),",",""),SUBSTITUTE(TEXT(BF229,"0000000000000,00"),",",""))</f>
        <v>000000000000000</v>
      </c>
      <c r="BH229" s="23">
        <f t="shared" si="1223"/>
        <v>0</v>
      </c>
      <c r="BI229" s="49" t="str">
        <f t="shared" ref="BI229" si="1377">IF(BH229&lt;0,SUBSTITUTE(TEXT(BH229,"000000000000,00"),",",""),SUBSTITUTE(TEXT(BH229,"0000000000000,00"),",",""))</f>
        <v>000000000000000</v>
      </c>
      <c r="BJ229" s="23">
        <f t="shared" si="1225"/>
        <v>0</v>
      </c>
      <c r="BK229" s="49" t="str">
        <f t="shared" ref="BK229" si="1378">IF(BJ229&lt;0,SUBSTITUTE(TEXT(BJ229,"000000000000,00"),",",""),SUBSTITUTE(TEXT(BJ229,"0000000000000,00"),",",""))</f>
        <v>000000000000000</v>
      </c>
      <c r="BL229" s="23">
        <f t="shared" si="1227"/>
        <v>0</v>
      </c>
      <c r="BM229" s="49" t="str">
        <f t="shared" ref="BM229" si="1379">IF(BL229&lt;0,SUBSTITUTE(TEXT(BL229,"000000000000,00"),",",""),SUBSTITUTE(TEXT(BL229,"0000000000000,00"),",",""))</f>
        <v>000000000000000</v>
      </c>
      <c r="BN229" t="str">
        <f t="shared" si="1229"/>
        <v>PES</v>
      </c>
      <c r="BO229" t="str">
        <f t="shared" si="1230"/>
        <v>0001000000</v>
      </c>
      <c r="BP229">
        <f t="shared" si="1231"/>
        <v>0</v>
      </c>
      <c r="BQ229">
        <f t="shared" si="1232"/>
        <v>0</v>
      </c>
      <c r="BR229" s="23">
        <f t="shared" si="1233"/>
        <v>0</v>
      </c>
      <c r="BS229" s="49" t="str">
        <f t="shared" si="1198"/>
        <v>000000000000000</v>
      </c>
      <c r="BT229" t="str">
        <f t="shared" si="1234"/>
        <v>00000000</v>
      </c>
      <c r="BU229" s="23">
        <f t="shared" si="1235"/>
        <v>0</v>
      </c>
      <c r="BV229" s="49" t="str">
        <f t="shared" si="1199"/>
        <v/>
      </c>
      <c r="BW229" s="52" t="str">
        <f t="shared" si="1236"/>
        <v/>
      </c>
      <c r="BX229" s="23">
        <f t="shared" si="1237"/>
        <v>0</v>
      </c>
      <c r="BY229" s="49" t="str">
        <f t="shared" si="1200"/>
        <v/>
      </c>
      <c r="BZ229" s="23">
        <f t="shared" si="1238"/>
        <v>0</v>
      </c>
      <c r="CA229" s="49" t="str">
        <f t="shared" si="1201"/>
        <v/>
      </c>
      <c r="CB229" s="52" t="str">
        <f t="shared" si="1239"/>
        <v/>
      </c>
      <c r="CC229" s="23">
        <f t="shared" si="1240"/>
        <v>0</v>
      </c>
      <c r="CD229" s="49" t="str">
        <f t="shared" si="1202"/>
        <v/>
      </c>
      <c r="CE229" s="56" t="str">
        <f>IF(CF229="","",MAX(CE$10:$CE228)+1)</f>
        <v/>
      </c>
      <c r="CF229" t="str">
        <f t="shared" si="1241"/>
        <v/>
      </c>
      <c r="CG229" s="22" t="str">
        <f>IF(CH229="","",MAX($CG$10:CG228)+1)</f>
        <v/>
      </c>
      <c r="CH229" s="22" t="str">
        <f t="shared" si="1186"/>
        <v/>
      </c>
      <c r="CI229" s="22" t="str">
        <f>IF(CJ229="","",MAX($CI$10:CI228)+1)</f>
        <v/>
      </c>
      <c r="CJ229" s="22" t="str">
        <f t="shared" si="1187"/>
        <v/>
      </c>
    </row>
    <row r="230" spans="2:88" x14ac:dyDescent="0.25">
      <c r="B230" s="37"/>
      <c r="C230" s="3"/>
      <c r="D230" s="77" t="str">
        <f t="shared" si="1173"/>
        <v/>
      </c>
      <c r="E230" s="38"/>
      <c r="F230" s="38"/>
      <c r="G230" s="78">
        <f t="shared" si="1188"/>
        <v>0</v>
      </c>
      <c r="H230" s="3">
        <v>80</v>
      </c>
      <c r="I230" s="77" t="str">
        <f t="shared" si="1174"/>
        <v/>
      </c>
      <c r="J230" s="32"/>
      <c r="K230" s="3"/>
      <c r="L230" s="39"/>
      <c r="M230" s="39"/>
      <c r="N230" s="39"/>
      <c r="O230" s="39"/>
      <c r="P230" s="39"/>
      <c r="Q230" s="39"/>
      <c r="R230" s="39"/>
      <c r="S230" s="39"/>
      <c r="T230" s="3" t="s">
        <v>645</v>
      </c>
      <c r="U230" s="77" t="str">
        <f t="shared" si="1175"/>
        <v/>
      </c>
      <c r="V230" s="39">
        <v>1</v>
      </c>
      <c r="W230" s="79">
        <f t="shared" si="1189"/>
        <v>0</v>
      </c>
      <c r="X230" s="3">
        <v>0</v>
      </c>
      <c r="Y230" s="77" t="str">
        <f t="shared" si="1176"/>
        <v/>
      </c>
      <c r="Z230" s="3"/>
      <c r="AA230" s="37" t="str">
        <f t="shared" si="1190"/>
        <v/>
      </c>
      <c r="AC230" s="40"/>
      <c r="AD230" s="7"/>
      <c r="AE230" s="77" t="str">
        <f t="shared" si="1177"/>
        <v/>
      </c>
      <c r="AF230" s="81">
        <f t="shared" si="1203"/>
        <v>0</v>
      </c>
      <c r="AG230" s="40"/>
      <c r="AH230" s="7"/>
      <c r="AI230" s="77" t="str">
        <f t="shared" si="1178"/>
        <v/>
      </c>
      <c r="AJ230" s="81">
        <f t="shared" si="1204"/>
        <v>0</v>
      </c>
      <c r="AK230" s="83">
        <f t="shared" si="1205"/>
        <v>0</v>
      </c>
      <c r="AL230" s="83">
        <f t="shared" si="1206"/>
        <v>0</v>
      </c>
      <c r="AN230" s="43">
        <f t="shared" si="1179"/>
        <v>0</v>
      </c>
      <c r="AP230" t="str">
        <f t="shared" si="1207"/>
        <v/>
      </c>
      <c r="AQ230" t="str">
        <f t="shared" si="1208"/>
        <v/>
      </c>
      <c r="AR230" t="str">
        <f t="shared" si="1209"/>
        <v/>
      </c>
      <c r="AS230" t="str">
        <f t="shared" si="1210"/>
        <v/>
      </c>
      <c r="AT230" t="str">
        <f t="shared" si="1211"/>
        <v/>
      </c>
      <c r="AU230" t="str">
        <f t="shared" si="1212"/>
        <v/>
      </c>
      <c r="AV230" t="str">
        <f t="shared" si="1213"/>
        <v/>
      </c>
      <c r="AW230" t="str">
        <f t="shared" si="1214"/>
        <v xml:space="preserve">                              </v>
      </c>
      <c r="AX230" s="23">
        <f t="shared" si="1215"/>
        <v>0</v>
      </c>
      <c r="AY230" s="49" t="str">
        <f t="shared" si="1191"/>
        <v>000000000000000</v>
      </c>
      <c r="AZ230" s="23">
        <f t="shared" si="1216"/>
        <v>0</v>
      </c>
      <c r="BA230" s="49" t="str">
        <f t="shared" si="1191"/>
        <v>000000000000000</v>
      </c>
      <c r="BB230" s="23">
        <f t="shared" si="1217"/>
        <v>0</v>
      </c>
      <c r="BC230" s="49" t="str">
        <f t="shared" ref="BC230" si="1380">IF(BB230&lt;0,SUBSTITUTE(TEXT(BB230,"000000000000,00"),",",""),SUBSTITUTE(TEXT(BB230,"0000000000000,00"),",",""))</f>
        <v>000000000000000</v>
      </c>
      <c r="BD230" s="23">
        <f t="shared" si="1219"/>
        <v>0</v>
      </c>
      <c r="BE230" s="49" t="str">
        <f t="shared" ref="BE230" si="1381">IF(BD230&lt;0,SUBSTITUTE(TEXT(BD230,"000000000000,00"),",",""),SUBSTITUTE(TEXT(BD230,"0000000000000,00"),",",""))</f>
        <v>000000000000000</v>
      </c>
      <c r="BF230" s="23">
        <f t="shared" si="1221"/>
        <v>0</v>
      </c>
      <c r="BG230" s="49" t="str">
        <f t="shared" ref="BG230" si="1382">IF(BF230&lt;0,SUBSTITUTE(TEXT(BF230,"000000000000,00"),",",""),SUBSTITUTE(TEXT(BF230,"0000000000000,00"),",",""))</f>
        <v>000000000000000</v>
      </c>
      <c r="BH230" s="23">
        <f t="shared" si="1223"/>
        <v>0</v>
      </c>
      <c r="BI230" s="49" t="str">
        <f t="shared" ref="BI230" si="1383">IF(BH230&lt;0,SUBSTITUTE(TEXT(BH230,"000000000000,00"),",",""),SUBSTITUTE(TEXT(BH230,"0000000000000,00"),",",""))</f>
        <v>000000000000000</v>
      </c>
      <c r="BJ230" s="23">
        <f t="shared" si="1225"/>
        <v>0</v>
      </c>
      <c r="BK230" s="49" t="str">
        <f t="shared" ref="BK230" si="1384">IF(BJ230&lt;0,SUBSTITUTE(TEXT(BJ230,"000000000000,00"),",",""),SUBSTITUTE(TEXT(BJ230,"0000000000000,00"),",",""))</f>
        <v>000000000000000</v>
      </c>
      <c r="BL230" s="23">
        <f t="shared" si="1227"/>
        <v>0</v>
      </c>
      <c r="BM230" s="49" t="str">
        <f t="shared" ref="BM230" si="1385">IF(BL230&lt;0,SUBSTITUTE(TEXT(BL230,"000000000000,00"),",",""),SUBSTITUTE(TEXT(BL230,"0000000000000,00"),",",""))</f>
        <v>000000000000000</v>
      </c>
      <c r="BN230" t="str">
        <f t="shared" si="1229"/>
        <v>PES</v>
      </c>
      <c r="BO230" t="str">
        <f t="shared" si="1230"/>
        <v>0001000000</v>
      </c>
      <c r="BP230">
        <f t="shared" si="1231"/>
        <v>0</v>
      </c>
      <c r="BQ230">
        <f t="shared" si="1232"/>
        <v>0</v>
      </c>
      <c r="BR230" s="23">
        <f t="shared" si="1233"/>
        <v>0</v>
      </c>
      <c r="BS230" s="49" t="str">
        <f t="shared" si="1198"/>
        <v>000000000000000</v>
      </c>
      <c r="BT230" t="str">
        <f t="shared" si="1234"/>
        <v>00000000</v>
      </c>
      <c r="BU230" s="23">
        <f t="shared" si="1235"/>
        <v>0</v>
      </c>
      <c r="BV230" s="49" t="str">
        <f t="shared" si="1199"/>
        <v/>
      </c>
      <c r="BW230" s="52" t="str">
        <f t="shared" si="1236"/>
        <v/>
      </c>
      <c r="BX230" s="23">
        <f t="shared" si="1237"/>
        <v>0</v>
      </c>
      <c r="BY230" s="49" t="str">
        <f t="shared" si="1200"/>
        <v/>
      </c>
      <c r="BZ230" s="23">
        <f t="shared" si="1238"/>
        <v>0</v>
      </c>
      <c r="CA230" s="49" t="str">
        <f t="shared" si="1201"/>
        <v/>
      </c>
      <c r="CB230" s="52" t="str">
        <f t="shared" si="1239"/>
        <v/>
      </c>
      <c r="CC230" s="23">
        <f t="shared" si="1240"/>
        <v>0</v>
      </c>
      <c r="CD230" s="49" t="str">
        <f t="shared" si="1202"/>
        <v/>
      </c>
      <c r="CE230" s="56" t="str">
        <f>IF(CF230="","",MAX(CE$10:$CE229)+1)</f>
        <v/>
      </c>
      <c r="CF230" t="str">
        <f t="shared" si="1241"/>
        <v/>
      </c>
      <c r="CG230" s="22" t="str">
        <f>IF(CH230="","",MAX($CG$10:CG229)+1)</f>
        <v/>
      </c>
      <c r="CH230" s="22" t="str">
        <f t="shared" si="1186"/>
        <v/>
      </c>
      <c r="CI230" s="22" t="str">
        <f>IF(CJ230="","",MAX($CI$10:CI229)+1)</f>
        <v/>
      </c>
      <c r="CJ230" s="22" t="str">
        <f t="shared" si="1187"/>
        <v/>
      </c>
    </row>
    <row r="231" spans="2:88" x14ac:dyDescent="0.25">
      <c r="B231" s="37"/>
      <c r="C231" s="3"/>
      <c r="D231" s="77" t="str">
        <f t="shared" si="1173"/>
        <v/>
      </c>
      <c r="E231" s="38"/>
      <c r="F231" s="38"/>
      <c r="G231" s="78">
        <f t="shared" si="1188"/>
        <v>0</v>
      </c>
      <c r="H231" s="3">
        <v>80</v>
      </c>
      <c r="I231" s="77" t="str">
        <f t="shared" si="1174"/>
        <v/>
      </c>
      <c r="J231" s="32"/>
      <c r="K231" s="3"/>
      <c r="L231" s="39"/>
      <c r="M231" s="39"/>
      <c r="N231" s="39"/>
      <c r="O231" s="39"/>
      <c r="P231" s="39"/>
      <c r="Q231" s="39"/>
      <c r="R231" s="39"/>
      <c r="S231" s="39"/>
      <c r="T231" s="3" t="s">
        <v>645</v>
      </c>
      <c r="U231" s="77" t="str">
        <f t="shared" si="1175"/>
        <v/>
      </c>
      <c r="V231" s="39">
        <v>1</v>
      </c>
      <c r="W231" s="79">
        <f t="shared" si="1189"/>
        <v>0</v>
      </c>
      <c r="X231" s="3">
        <v>0</v>
      </c>
      <c r="Y231" s="77" t="str">
        <f t="shared" si="1176"/>
        <v/>
      </c>
      <c r="Z231" s="3"/>
      <c r="AA231" s="37" t="str">
        <f t="shared" si="1190"/>
        <v/>
      </c>
      <c r="AC231" s="40"/>
      <c r="AD231" s="7"/>
      <c r="AE231" s="77" t="str">
        <f t="shared" si="1177"/>
        <v/>
      </c>
      <c r="AF231" s="81">
        <f t="shared" si="1203"/>
        <v>0</v>
      </c>
      <c r="AG231" s="40"/>
      <c r="AH231" s="7"/>
      <c r="AI231" s="77" t="str">
        <f t="shared" si="1178"/>
        <v/>
      </c>
      <c r="AJ231" s="81">
        <f t="shared" si="1204"/>
        <v>0</v>
      </c>
      <c r="AK231" s="83">
        <f t="shared" si="1205"/>
        <v>0</v>
      </c>
      <c r="AL231" s="83">
        <f t="shared" si="1206"/>
        <v>0</v>
      </c>
      <c r="AN231" s="43">
        <f t="shared" si="1179"/>
        <v>0</v>
      </c>
      <c r="AP231" t="str">
        <f t="shared" si="1207"/>
        <v/>
      </c>
      <c r="AQ231" t="str">
        <f t="shared" si="1208"/>
        <v/>
      </c>
      <c r="AR231" t="str">
        <f t="shared" si="1209"/>
        <v/>
      </c>
      <c r="AS231" t="str">
        <f t="shared" si="1210"/>
        <v/>
      </c>
      <c r="AT231" t="str">
        <f t="shared" si="1211"/>
        <v/>
      </c>
      <c r="AU231" t="str">
        <f t="shared" si="1212"/>
        <v/>
      </c>
      <c r="AV231" t="str">
        <f t="shared" si="1213"/>
        <v/>
      </c>
      <c r="AW231" t="str">
        <f t="shared" si="1214"/>
        <v xml:space="preserve">                              </v>
      </c>
      <c r="AX231" s="23">
        <f t="shared" si="1215"/>
        <v>0</v>
      </c>
      <c r="AY231" s="49" t="str">
        <f t="shared" si="1191"/>
        <v>000000000000000</v>
      </c>
      <c r="AZ231" s="23">
        <f t="shared" si="1216"/>
        <v>0</v>
      </c>
      <c r="BA231" s="49" t="str">
        <f t="shared" si="1191"/>
        <v>000000000000000</v>
      </c>
      <c r="BB231" s="23">
        <f t="shared" si="1217"/>
        <v>0</v>
      </c>
      <c r="BC231" s="49" t="str">
        <f t="shared" ref="BC231" si="1386">IF(BB231&lt;0,SUBSTITUTE(TEXT(BB231,"000000000000,00"),",",""),SUBSTITUTE(TEXT(BB231,"0000000000000,00"),",",""))</f>
        <v>000000000000000</v>
      </c>
      <c r="BD231" s="23">
        <f t="shared" si="1219"/>
        <v>0</v>
      </c>
      <c r="BE231" s="49" t="str">
        <f t="shared" ref="BE231" si="1387">IF(BD231&lt;0,SUBSTITUTE(TEXT(BD231,"000000000000,00"),",",""),SUBSTITUTE(TEXT(BD231,"0000000000000,00"),",",""))</f>
        <v>000000000000000</v>
      </c>
      <c r="BF231" s="23">
        <f t="shared" si="1221"/>
        <v>0</v>
      </c>
      <c r="BG231" s="49" t="str">
        <f t="shared" ref="BG231" si="1388">IF(BF231&lt;0,SUBSTITUTE(TEXT(BF231,"000000000000,00"),",",""),SUBSTITUTE(TEXT(BF231,"0000000000000,00"),",",""))</f>
        <v>000000000000000</v>
      </c>
      <c r="BH231" s="23">
        <f t="shared" si="1223"/>
        <v>0</v>
      </c>
      <c r="BI231" s="49" t="str">
        <f t="shared" ref="BI231" si="1389">IF(BH231&lt;0,SUBSTITUTE(TEXT(BH231,"000000000000,00"),",",""),SUBSTITUTE(TEXT(BH231,"0000000000000,00"),",",""))</f>
        <v>000000000000000</v>
      </c>
      <c r="BJ231" s="23">
        <f t="shared" si="1225"/>
        <v>0</v>
      </c>
      <c r="BK231" s="49" t="str">
        <f t="shared" ref="BK231" si="1390">IF(BJ231&lt;0,SUBSTITUTE(TEXT(BJ231,"000000000000,00"),",",""),SUBSTITUTE(TEXT(BJ231,"0000000000000,00"),",",""))</f>
        <v>000000000000000</v>
      </c>
      <c r="BL231" s="23">
        <f t="shared" si="1227"/>
        <v>0</v>
      </c>
      <c r="BM231" s="49" t="str">
        <f t="shared" ref="BM231" si="1391">IF(BL231&lt;0,SUBSTITUTE(TEXT(BL231,"000000000000,00"),",",""),SUBSTITUTE(TEXT(BL231,"0000000000000,00"),",",""))</f>
        <v>000000000000000</v>
      </c>
      <c r="BN231" t="str">
        <f t="shared" si="1229"/>
        <v>PES</v>
      </c>
      <c r="BO231" t="str">
        <f t="shared" si="1230"/>
        <v>0001000000</v>
      </c>
      <c r="BP231">
        <f t="shared" si="1231"/>
        <v>0</v>
      </c>
      <c r="BQ231">
        <f t="shared" si="1232"/>
        <v>0</v>
      </c>
      <c r="BR231" s="23">
        <f t="shared" si="1233"/>
        <v>0</v>
      </c>
      <c r="BS231" s="49" t="str">
        <f t="shared" si="1198"/>
        <v>000000000000000</v>
      </c>
      <c r="BT231" t="str">
        <f t="shared" si="1234"/>
        <v>00000000</v>
      </c>
      <c r="BU231" s="23">
        <f t="shared" si="1235"/>
        <v>0</v>
      </c>
      <c r="BV231" s="49" t="str">
        <f t="shared" si="1199"/>
        <v/>
      </c>
      <c r="BW231" s="52" t="str">
        <f t="shared" si="1236"/>
        <v/>
      </c>
      <c r="BX231" s="23">
        <f t="shared" si="1237"/>
        <v>0</v>
      </c>
      <c r="BY231" s="49" t="str">
        <f t="shared" si="1200"/>
        <v/>
      </c>
      <c r="BZ231" s="23">
        <f t="shared" si="1238"/>
        <v>0</v>
      </c>
      <c r="CA231" s="49" t="str">
        <f t="shared" si="1201"/>
        <v/>
      </c>
      <c r="CB231" s="52" t="str">
        <f t="shared" si="1239"/>
        <v/>
      </c>
      <c r="CC231" s="23">
        <f t="shared" si="1240"/>
        <v>0</v>
      </c>
      <c r="CD231" s="49" t="str">
        <f t="shared" si="1202"/>
        <v/>
      </c>
      <c r="CE231" s="56" t="str">
        <f>IF(CF231="","",MAX(CE$10:$CE230)+1)</f>
        <v/>
      </c>
      <c r="CF231" t="str">
        <f t="shared" si="1241"/>
        <v/>
      </c>
      <c r="CG231" s="22" t="str">
        <f>IF(CH231="","",MAX($CG$10:CG230)+1)</f>
        <v/>
      </c>
      <c r="CH231" s="22" t="str">
        <f t="shared" si="1186"/>
        <v/>
      </c>
      <c r="CI231" s="22" t="str">
        <f>IF(CJ231="","",MAX($CI$10:CI230)+1)</f>
        <v/>
      </c>
      <c r="CJ231" s="22" t="str">
        <f t="shared" si="1187"/>
        <v/>
      </c>
    </row>
    <row r="232" spans="2:88" x14ac:dyDescent="0.25">
      <c r="B232" s="37"/>
      <c r="C232" s="3"/>
      <c r="D232" s="77" t="str">
        <f t="shared" si="1173"/>
        <v/>
      </c>
      <c r="E232" s="38"/>
      <c r="F232" s="38"/>
      <c r="G232" s="78">
        <f t="shared" si="1188"/>
        <v>0</v>
      </c>
      <c r="H232" s="3">
        <v>80</v>
      </c>
      <c r="I232" s="77" t="str">
        <f t="shared" si="1174"/>
        <v/>
      </c>
      <c r="J232" s="32"/>
      <c r="K232" s="3"/>
      <c r="L232" s="39"/>
      <c r="M232" s="39"/>
      <c r="N232" s="39"/>
      <c r="O232" s="39"/>
      <c r="P232" s="39"/>
      <c r="Q232" s="39"/>
      <c r="R232" s="39"/>
      <c r="S232" s="39"/>
      <c r="T232" s="3" t="s">
        <v>645</v>
      </c>
      <c r="U232" s="77" t="str">
        <f t="shared" si="1175"/>
        <v/>
      </c>
      <c r="V232" s="39">
        <v>1</v>
      </c>
      <c r="W232" s="79">
        <f t="shared" si="1189"/>
        <v>0</v>
      </c>
      <c r="X232" s="3">
        <v>0</v>
      </c>
      <c r="Y232" s="77" t="str">
        <f t="shared" si="1176"/>
        <v/>
      </c>
      <c r="Z232" s="3"/>
      <c r="AA232" s="37" t="str">
        <f t="shared" si="1190"/>
        <v/>
      </c>
      <c r="AC232" s="40"/>
      <c r="AD232" s="7"/>
      <c r="AE232" s="77" t="str">
        <f t="shared" si="1177"/>
        <v/>
      </c>
      <c r="AF232" s="81">
        <f t="shared" si="1203"/>
        <v>0</v>
      </c>
      <c r="AG232" s="40"/>
      <c r="AH232" s="7"/>
      <c r="AI232" s="77" t="str">
        <f t="shared" si="1178"/>
        <v/>
      </c>
      <c r="AJ232" s="81">
        <f t="shared" si="1204"/>
        <v>0</v>
      </c>
      <c r="AK232" s="83">
        <f t="shared" si="1205"/>
        <v>0</v>
      </c>
      <c r="AL232" s="83">
        <f t="shared" si="1206"/>
        <v>0</v>
      </c>
      <c r="AN232" s="43">
        <f t="shared" si="1179"/>
        <v>0</v>
      </c>
      <c r="AP232" t="str">
        <f t="shared" si="1207"/>
        <v/>
      </c>
      <c r="AQ232" t="str">
        <f t="shared" si="1208"/>
        <v/>
      </c>
      <c r="AR232" t="str">
        <f t="shared" si="1209"/>
        <v/>
      </c>
      <c r="AS232" t="str">
        <f t="shared" si="1210"/>
        <v/>
      </c>
      <c r="AT232" t="str">
        <f t="shared" si="1211"/>
        <v/>
      </c>
      <c r="AU232" t="str">
        <f t="shared" si="1212"/>
        <v/>
      </c>
      <c r="AV232" t="str">
        <f t="shared" si="1213"/>
        <v/>
      </c>
      <c r="AW232" t="str">
        <f t="shared" si="1214"/>
        <v xml:space="preserve">                              </v>
      </c>
      <c r="AX232" s="23">
        <f t="shared" si="1215"/>
        <v>0</v>
      </c>
      <c r="AY232" s="49" t="str">
        <f t="shared" si="1191"/>
        <v>000000000000000</v>
      </c>
      <c r="AZ232" s="23">
        <f t="shared" si="1216"/>
        <v>0</v>
      </c>
      <c r="BA232" s="49" t="str">
        <f t="shared" si="1191"/>
        <v>000000000000000</v>
      </c>
      <c r="BB232" s="23">
        <f t="shared" si="1217"/>
        <v>0</v>
      </c>
      <c r="BC232" s="49" t="str">
        <f t="shared" ref="BC232" si="1392">IF(BB232&lt;0,SUBSTITUTE(TEXT(BB232,"000000000000,00"),",",""),SUBSTITUTE(TEXT(BB232,"0000000000000,00"),",",""))</f>
        <v>000000000000000</v>
      </c>
      <c r="BD232" s="23">
        <f t="shared" si="1219"/>
        <v>0</v>
      </c>
      <c r="BE232" s="49" t="str">
        <f t="shared" ref="BE232" si="1393">IF(BD232&lt;0,SUBSTITUTE(TEXT(BD232,"000000000000,00"),",",""),SUBSTITUTE(TEXT(BD232,"0000000000000,00"),",",""))</f>
        <v>000000000000000</v>
      </c>
      <c r="BF232" s="23">
        <f t="shared" si="1221"/>
        <v>0</v>
      </c>
      <c r="BG232" s="49" t="str">
        <f t="shared" ref="BG232" si="1394">IF(BF232&lt;0,SUBSTITUTE(TEXT(BF232,"000000000000,00"),",",""),SUBSTITUTE(TEXT(BF232,"0000000000000,00"),",",""))</f>
        <v>000000000000000</v>
      </c>
      <c r="BH232" s="23">
        <f t="shared" si="1223"/>
        <v>0</v>
      </c>
      <c r="BI232" s="49" t="str">
        <f t="shared" ref="BI232" si="1395">IF(BH232&lt;0,SUBSTITUTE(TEXT(BH232,"000000000000,00"),",",""),SUBSTITUTE(TEXT(BH232,"0000000000000,00"),",",""))</f>
        <v>000000000000000</v>
      </c>
      <c r="BJ232" s="23">
        <f t="shared" si="1225"/>
        <v>0</v>
      </c>
      <c r="BK232" s="49" t="str">
        <f t="shared" ref="BK232" si="1396">IF(BJ232&lt;0,SUBSTITUTE(TEXT(BJ232,"000000000000,00"),",",""),SUBSTITUTE(TEXT(BJ232,"0000000000000,00"),",",""))</f>
        <v>000000000000000</v>
      </c>
      <c r="BL232" s="23">
        <f t="shared" si="1227"/>
        <v>0</v>
      </c>
      <c r="BM232" s="49" t="str">
        <f t="shared" ref="BM232" si="1397">IF(BL232&lt;0,SUBSTITUTE(TEXT(BL232,"000000000000,00"),",",""),SUBSTITUTE(TEXT(BL232,"0000000000000,00"),",",""))</f>
        <v>000000000000000</v>
      </c>
      <c r="BN232" t="str">
        <f t="shared" si="1229"/>
        <v>PES</v>
      </c>
      <c r="BO232" t="str">
        <f t="shared" si="1230"/>
        <v>0001000000</v>
      </c>
      <c r="BP232">
        <f t="shared" si="1231"/>
        <v>0</v>
      </c>
      <c r="BQ232">
        <f t="shared" si="1232"/>
        <v>0</v>
      </c>
      <c r="BR232" s="23">
        <f t="shared" si="1233"/>
        <v>0</v>
      </c>
      <c r="BS232" s="49" t="str">
        <f t="shared" si="1198"/>
        <v>000000000000000</v>
      </c>
      <c r="BT232" t="str">
        <f t="shared" si="1234"/>
        <v>00000000</v>
      </c>
      <c r="BU232" s="23">
        <f t="shared" si="1235"/>
        <v>0</v>
      </c>
      <c r="BV232" s="49" t="str">
        <f t="shared" si="1199"/>
        <v/>
      </c>
      <c r="BW232" s="52" t="str">
        <f t="shared" si="1236"/>
        <v/>
      </c>
      <c r="BX232" s="23">
        <f t="shared" si="1237"/>
        <v>0</v>
      </c>
      <c r="BY232" s="49" t="str">
        <f t="shared" si="1200"/>
        <v/>
      </c>
      <c r="BZ232" s="23">
        <f t="shared" si="1238"/>
        <v>0</v>
      </c>
      <c r="CA232" s="49" t="str">
        <f t="shared" si="1201"/>
        <v/>
      </c>
      <c r="CB232" s="52" t="str">
        <f t="shared" si="1239"/>
        <v/>
      </c>
      <c r="CC232" s="23">
        <f t="shared" si="1240"/>
        <v>0</v>
      </c>
      <c r="CD232" s="49" t="str">
        <f t="shared" si="1202"/>
        <v/>
      </c>
      <c r="CE232" s="56" t="str">
        <f>IF(CF232="","",MAX(CE$10:$CE231)+1)</f>
        <v/>
      </c>
      <c r="CF232" t="str">
        <f t="shared" si="1241"/>
        <v/>
      </c>
      <c r="CG232" s="22" t="str">
        <f>IF(CH232="","",MAX($CG$10:CG231)+1)</f>
        <v/>
      </c>
      <c r="CH232" s="22" t="str">
        <f t="shared" si="1186"/>
        <v/>
      </c>
      <c r="CI232" s="22" t="str">
        <f>IF(CJ232="","",MAX($CI$10:CI231)+1)</f>
        <v/>
      </c>
      <c r="CJ232" s="22" t="str">
        <f t="shared" si="1187"/>
        <v/>
      </c>
    </row>
    <row r="233" spans="2:88" x14ac:dyDescent="0.25">
      <c r="B233" s="37"/>
      <c r="C233" s="3"/>
      <c r="D233" s="77" t="str">
        <f t="shared" si="1173"/>
        <v/>
      </c>
      <c r="E233" s="38"/>
      <c r="F233" s="38"/>
      <c r="G233" s="78">
        <f t="shared" si="1188"/>
        <v>0</v>
      </c>
      <c r="H233" s="3">
        <v>80</v>
      </c>
      <c r="I233" s="77" t="str">
        <f t="shared" si="1174"/>
        <v/>
      </c>
      <c r="J233" s="32"/>
      <c r="K233" s="3"/>
      <c r="L233" s="39"/>
      <c r="M233" s="39"/>
      <c r="N233" s="39"/>
      <c r="O233" s="39"/>
      <c r="P233" s="39"/>
      <c r="Q233" s="39"/>
      <c r="R233" s="39"/>
      <c r="S233" s="39"/>
      <c r="T233" s="3" t="s">
        <v>645</v>
      </c>
      <c r="U233" s="77" t="str">
        <f t="shared" si="1175"/>
        <v/>
      </c>
      <c r="V233" s="39">
        <v>1</v>
      </c>
      <c r="W233" s="79">
        <f t="shared" si="1189"/>
        <v>0</v>
      </c>
      <c r="X233" s="3">
        <v>0</v>
      </c>
      <c r="Y233" s="77" t="str">
        <f t="shared" si="1176"/>
        <v/>
      </c>
      <c r="Z233" s="3"/>
      <c r="AA233" s="37" t="str">
        <f t="shared" si="1190"/>
        <v/>
      </c>
      <c r="AC233" s="40"/>
      <c r="AD233" s="7"/>
      <c r="AE233" s="77" t="str">
        <f t="shared" si="1177"/>
        <v/>
      </c>
      <c r="AF233" s="81">
        <f t="shared" si="1203"/>
        <v>0</v>
      </c>
      <c r="AG233" s="40"/>
      <c r="AH233" s="7"/>
      <c r="AI233" s="77" t="str">
        <f t="shared" si="1178"/>
        <v/>
      </c>
      <c r="AJ233" s="81">
        <f t="shared" si="1204"/>
        <v>0</v>
      </c>
      <c r="AK233" s="83">
        <f t="shared" si="1205"/>
        <v>0</v>
      </c>
      <c r="AL233" s="83">
        <f t="shared" si="1206"/>
        <v>0</v>
      </c>
      <c r="AN233" s="43">
        <f t="shared" si="1179"/>
        <v>0</v>
      </c>
      <c r="AP233" t="str">
        <f t="shared" si="1207"/>
        <v/>
      </c>
      <c r="AQ233" t="str">
        <f t="shared" si="1208"/>
        <v/>
      </c>
      <c r="AR233" t="str">
        <f t="shared" si="1209"/>
        <v/>
      </c>
      <c r="AS233" t="str">
        <f t="shared" si="1210"/>
        <v/>
      </c>
      <c r="AT233" t="str">
        <f t="shared" si="1211"/>
        <v/>
      </c>
      <c r="AU233" t="str">
        <f t="shared" si="1212"/>
        <v/>
      </c>
      <c r="AV233" t="str">
        <f t="shared" si="1213"/>
        <v/>
      </c>
      <c r="AW233" t="str">
        <f t="shared" si="1214"/>
        <v xml:space="preserve">                              </v>
      </c>
      <c r="AX233" s="23">
        <f t="shared" si="1215"/>
        <v>0</v>
      </c>
      <c r="AY233" s="49" t="str">
        <f t="shared" si="1191"/>
        <v>000000000000000</v>
      </c>
      <c r="AZ233" s="23">
        <f t="shared" si="1216"/>
        <v>0</v>
      </c>
      <c r="BA233" s="49" t="str">
        <f t="shared" si="1191"/>
        <v>000000000000000</v>
      </c>
      <c r="BB233" s="23">
        <f t="shared" si="1217"/>
        <v>0</v>
      </c>
      <c r="BC233" s="49" t="str">
        <f t="shared" ref="BC233" si="1398">IF(BB233&lt;0,SUBSTITUTE(TEXT(BB233,"000000000000,00"),",",""),SUBSTITUTE(TEXT(BB233,"0000000000000,00"),",",""))</f>
        <v>000000000000000</v>
      </c>
      <c r="BD233" s="23">
        <f t="shared" si="1219"/>
        <v>0</v>
      </c>
      <c r="BE233" s="49" t="str">
        <f t="shared" ref="BE233" si="1399">IF(BD233&lt;0,SUBSTITUTE(TEXT(BD233,"000000000000,00"),",",""),SUBSTITUTE(TEXT(BD233,"0000000000000,00"),",",""))</f>
        <v>000000000000000</v>
      </c>
      <c r="BF233" s="23">
        <f t="shared" si="1221"/>
        <v>0</v>
      </c>
      <c r="BG233" s="49" t="str">
        <f t="shared" ref="BG233" si="1400">IF(BF233&lt;0,SUBSTITUTE(TEXT(BF233,"000000000000,00"),",",""),SUBSTITUTE(TEXT(BF233,"0000000000000,00"),",",""))</f>
        <v>000000000000000</v>
      </c>
      <c r="BH233" s="23">
        <f t="shared" si="1223"/>
        <v>0</v>
      </c>
      <c r="BI233" s="49" t="str">
        <f t="shared" ref="BI233" si="1401">IF(BH233&lt;0,SUBSTITUTE(TEXT(BH233,"000000000000,00"),",",""),SUBSTITUTE(TEXT(BH233,"0000000000000,00"),",",""))</f>
        <v>000000000000000</v>
      </c>
      <c r="BJ233" s="23">
        <f t="shared" si="1225"/>
        <v>0</v>
      </c>
      <c r="BK233" s="49" t="str">
        <f t="shared" ref="BK233" si="1402">IF(BJ233&lt;0,SUBSTITUTE(TEXT(BJ233,"000000000000,00"),",",""),SUBSTITUTE(TEXT(BJ233,"0000000000000,00"),",",""))</f>
        <v>000000000000000</v>
      </c>
      <c r="BL233" s="23">
        <f t="shared" si="1227"/>
        <v>0</v>
      </c>
      <c r="BM233" s="49" t="str">
        <f t="shared" ref="BM233" si="1403">IF(BL233&lt;0,SUBSTITUTE(TEXT(BL233,"000000000000,00"),",",""),SUBSTITUTE(TEXT(BL233,"0000000000000,00"),",",""))</f>
        <v>000000000000000</v>
      </c>
      <c r="BN233" t="str">
        <f t="shared" si="1229"/>
        <v>PES</v>
      </c>
      <c r="BO233" t="str">
        <f t="shared" si="1230"/>
        <v>0001000000</v>
      </c>
      <c r="BP233">
        <f t="shared" si="1231"/>
        <v>0</v>
      </c>
      <c r="BQ233">
        <f t="shared" si="1232"/>
        <v>0</v>
      </c>
      <c r="BR233" s="23">
        <f t="shared" si="1233"/>
        <v>0</v>
      </c>
      <c r="BS233" s="49" t="str">
        <f t="shared" si="1198"/>
        <v>000000000000000</v>
      </c>
      <c r="BT233" t="str">
        <f t="shared" si="1234"/>
        <v>00000000</v>
      </c>
      <c r="BU233" s="23">
        <f t="shared" si="1235"/>
        <v>0</v>
      </c>
      <c r="BV233" s="49" t="str">
        <f t="shared" si="1199"/>
        <v/>
      </c>
      <c r="BW233" s="52" t="str">
        <f t="shared" si="1236"/>
        <v/>
      </c>
      <c r="BX233" s="23">
        <f t="shared" si="1237"/>
        <v>0</v>
      </c>
      <c r="BY233" s="49" t="str">
        <f t="shared" si="1200"/>
        <v/>
      </c>
      <c r="BZ233" s="23">
        <f t="shared" si="1238"/>
        <v>0</v>
      </c>
      <c r="CA233" s="49" t="str">
        <f t="shared" si="1201"/>
        <v/>
      </c>
      <c r="CB233" s="52" t="str">
        <f t="shared" si="1239"/>
        <v/>
      </c>
      <c r="CC233" s="23">
        <f t="shared" si="1240"/>
        <v>0</v>
      </c>
      <c r="CD233" s="49" t="str">
        <f t="shared" si="1202"/>
        <v/>
      </c>
      <c r="CE233" s="56" t="str">
        <f>IF(CF233="","",MAX(CE$10:$CE232)+1)</f>
        <v/>
      </c>
      <c r="CF233" t="str">
        <f t="shared" si="1241"/>
        <v/>
      </c>
      <c r="CG233" s="22" t="str">
        <f>IF(CH233="","",MAX($CG$10:CG232)+1)</f>
        <v/>
      </c>
      <c r="CH233" s="22" t="str">
        <f t="shared" si="1186"/>
        <v/>
      </c>
      <c r="CI233" s="22" t="str">
        <f>IF(CJ233="","",MAX($CI$10:CI232)+1)</f>
        <v/>
      </c>
      <c r="CJ233" s="22" t="str">
        <f t="shared" si="1187"/>
        <v/>
      </c>
    </row>
    <row r="234" spans="2:88" x14ac:dyDescent="0.25">
      <c r="B234" s="37"/>
      <c r="C234" s="3"/>
      <c r="D234" s="77" t="str">
        <f t="shared" si="1173"/>
        <v/>
      </c>
      <c r="E234" s="38"/>
      <c r="F234" s="38"/>
      <c r="G234" s="78">
        <f t="shared" si="1188"/>
        <v>0</v>
      </c>
      <c r="H234" s="3">
        <v>80</v>
      </c>
      <c r="I234" s="77" t="str">
        <f t="shared" si="1174"/>
        <v/>
      </c>
      <c r="J234" s="32"/>
      <c r="K234" s="3"/>
      <c r="L234" s="39"/>
      <c r="M234" s="39"/>
      <c r="N234" s="39"/>
      <c r="O234" s="39"/>
      <c r="P234" s="39"/>
      <c r="Q234" s="39"/>
      <c r="R234" s="39"/>
      <c r="S234" s="39"/>
      <c r="T234" s="3" t="s">
        <v>645</v>
      </c>
      <c r="U234" s="77" t="str">
        <f t="shared" si="1175"/>
        <v/>
      </c>
      <c r="V234" s="39">
        <v>1</v>
      </c>
      <c r="W234" s="79">
        <f t="shared" si="1189"/>
        <v>0</v>
      </c>
      <c r="X234" s="3">
        <v>0</v>
      </c>
      <c r="Y234" s="77" t="str">
        <f t="shared" si="1176"/>
        <v/>
      </c>
      <c r="Z234" s="3"/>
      <c r="AA234" s="37" t="str">
        <f t="shared" si="1190"/>
        <v/>
      </c>
      <c r="AC234" s="40"/>
      <c r="AD234" s="7"/>
      <c r="AE234" s="77" t="str">
        <f t="shared" si="1177"/>
        <v/>
      </c>
      <c r="AF234" s="81">
        <f t="shared" si="1203"/>
        <v>0</v>
      </c>
      <c r="AG234" s="40"/>
      <c r="AH234" s="7"/>
      <c r="AI234" s="77" t="str">
        <f t="shared" si="1178"/>
        <v/>
      </c>
      <c r="AJ234" s="81">
        <f t="shared" si="1204"/>
        <v>0</v>
      </c>
      <c r="AK234" s="83">
        <f t="shared" si="1205"/>
        <v>0</v>
      </c>
      <c r="AL234" s="83">
        <f t="shared" si="1206"/>
        <v>0</v>
      </c>
      <c r="AN234" s="43">
        <f t="shared" si="1179"/>
        <v>0</v>
      </c>
      <c r="AP234" t="str">
        <f t="shared" si="1207"/>
        <v/>
      </c>
      <c r="AQ234" t="str">
        <f t="shared" si="1208"/>
        <v/>
      </c>
      <c r="AR234" t="str">
        <f t="shared" si="1209"/>
        <v/>
      </c>
      <c r="AS234" t="str">
        <f t="shared" si="1210"/>
        <v/>
      </c>
      <c r="AT234" t="str">
        <f t="shared" si="1211"/>
        <v/>
      </c>
      <c r="AU234" t="str">
        <f t="shared" si="1212"/>
        <v/>
      </c>
      <c r="AV234" t="str">
        <f t="shared" si="1213"/>
        <v/>
      </c>
      <c r="AW234" t="str">
        <f t="shared" si="1214"/>
        <v xml:space="preserve">                              </v>
      </c>
      <c r="AX234" s="23">
        <f t="shared" si="1215"/>
        <v>0</v>
      </c>
      <c r="AY234" s="49" t="str">
        <f t="shared" si="1191"/>
        <v>000000000000000</v>
      </c>
      <c r="AZ234" s="23">
        <f t="shared" si="1216"/>
        <v>0</v>
      </c>
      <c r="BA234" s="49" t="str">
        <f t="shared" si="1191"/>
        <v>000000000000000</v>
      </c>
      <c r="BB234" s="23">
        <f t="shared" si="1217"/>
        <v>0</v>
      </c>
      <c r="BC234" s="49" t="str">
        <f t="shared" ref="BC234" si="1404">IF(BB234&lt;0,SUBSTITUTE(TEXT(BB234,"000000000000,00"),",",""),SUBSTITUTE(TEXT(BB234,"0000000000000,00"),",",""))</f>
        <v>000000000000000</v>
      </c>
      <c r="BD234" s="23">
        <f t="shared" si="1219"/>
        <v>0</v>
      </c>
      <c r="BE234" s="49" t="str">
        <f t="shared" ref="BE234" si="1405">IF(BD234&lt;0,SUBSTITUTE(TEXT(BD234,"000000000000,00"),",",""),SUBSTITUTE(TEXT(BD234,"0000000000000,00"),",",""))</f>
        <v>000000000000000</v>
      </c>
      <c r="BF234" s="23">
        <f t="shared" si="1221"/>
        <v>0</v>
      </c>
      <c r="BG234" s="49" t="str">
        <f t="shared" ref="BG234" si="1406">IF(BF234&lt;0,SUBSTITUTE(TEXT(BF234,"000000000000,00"),",",""),SUBSTITUTE(TEXT(BF234,"0000000000000,00"),",",""))</f>
        <v>000000000000000</v>
      </c>
      <c r="BH234" s="23">
        <f t="shared" si="1223"/>
        <v>0</v>
      </c>
      <c r="BI234" s="49" t="str">
        <f t="shared" ref="BI234" si="1407">IF(BH234&lt;0,SUBSTITUTE(TEXT(BH234,"000000000000,00"),",",""),SUBSTITUTE(TEXT(BH234,"0000000000000,00"),",",""))</f>
        <v>000000000000000</v>
      </c>
      <c r="BJ234" s="23">
        <f t="shared" si="1225"/>
        <v>0</v>
      </c>
      <c r="BK234" s="49" t="str">
        <f t="shared" ref="BK234" si="1408">IF(BJ234&lt;0,SUBSTITUTE(TEXT(BJ234,"000000000000,00"),",",""),SUBSTITUTE(TEXT(BJ234,"0000000000000,00"),",",""))</f>
        <v>000000000000000</v>
      </c>
      <c r="BL234" s="23">
        <f t="shared" si="1227"/>
        <v>0</v>
      </c>
      <c r="BM234" s="49" t="str">
        <f t="shared" ref="BM234" si="1409">IF(BL234&lt;0,SUBSTITUTE(TEXT(BL234,"000000000000,00"),",",""),SUBSTITUTE(TEXT(BL234,"0000000000000,00"),",",""))</f>
        <v>000000000000000</v>
      </c>
      <c r="BN234" t="str">
        <f t="shared" si="1229"/>
        <v>PES</v>
      </c>
      <c r="BO234" t="str">
        <f t="shared" si="1230"/>
        <v>0001000000</v>
      </c>
      <c r="BP234">
        <f t="shared" si="1231"/>
        <v>0</v>
      </c>
      <c r="BQ234">
        <f t="shared" si="1232"/>
        <v>0</v>
      </c>
      <c r="BR234" s="23">
        <f t="shared" si="1233"/>
        <v>0</v>
      </c>
      <c r="BS234" s="49" t="str">
        <f t="shared" si="1198"/>
        <v>000000000000000</v>
      </c>
      <c r="BT234" t="str">
        <f t="shared" si="1234"/>
        <v>00000000</v>
      </c>
      <c r="BU234" s="23">
        <f t="shared" si="1235"/>
        <v>0</v>
      </c>
      <c r="BV234" s="49" t="str">
        <f t="shared" si="1199"/>
        <v/>
      </c>
      <c r="BW234" s="52" t="str">
        <f t="shared" si="1236"/>
        <v/>
      </c>
      <c r="BX234" s="23">
        <f t="shared" si="1237"/>
        <v>0</v>
      </c>
      <c r="BY234" s="49" t="str">
        <f t="shared" si="1200"/>
        <v/>
      </c>
      <c r="BZ234" s="23">
        <f t="shared" si="1238"/>
        <v>0</v>
      </c>
      <c r="CA234" s="49" t="str">
        <f t="shared" si="1201"/>
        <v/>
      </c>
      <c r="CB234" s="52" t="str">
        <f t="shared" si="1239"/>
        <v/>
      </c>
      <c r="CC234" s="23">
        <f t="shared" si="1240"/>
        <v>0</v>
      </c>
      <c r="CD234" s="49" t="str">
        <f t="shared" si="1202"/>
        <v/>
      </c>
      <c r="CE234" s="56" t="str">
        <f>IF(CF234="","",MAX(CE$10:$CE233)+1)</f>
        <v/>
      </c>
      <c r="CF234" t="str">
        <f t="shared" si="1241"/>
        <v/>
      </c>
      <c r="CG234" s="22" t="str">
        <f>IF(CH234="","",MAX($CG$10:CG233)+1)</f>
        <v/>
      </c>
      <c r="CH234" s="22" t="str">
        <f t="shared" si="1186"/>
        <v/>
      </c>
      <c r="CI234" s="22" t="str">
        <f>IF(CJ234="","",MAX($CI$10:CI233)+1)</f>
        <v/>
      </c>
      <c r="CJ234" s="22" t="str">
        <f t="shared" si="1187"/>
        <v/>
      </c>
    </row>
    <row r="235" spans="2:88" x14ac:dyDescent="0.25">
      <c r="B235" s="37"/>
      <c r="C235" s="3"/>
      <c r="D235" s="77" t="str">
        <f t="shared" si="1173"/>
        <v/>
      </c>
      <c r="E235" s="38"/>
      <c r="F235" s="38"/>
      <c r="G235" s="78">
        <f t="shared" si="1188"/>
        <v>0</v>
      </c>
      <c r="H235" s="3">
        <v>80</v>
      </c>
      <c r="I235" s="77" t="str">
        <f t="shared" si="1174"/>
        <v/>
      </c>
      <c r="J235" s="32"/>
      <c r="K235" s="3"/>
      <c r="L235" s="39"/>
      <c r="M235" s="39"/>
      <c r="N235" s="39"/>
      <c r="O235" s="39"/>
      <c r="P235" s="39"/>
      <c r="Q235" s="39"/>
      <c r="R235" s="39"/>
      <c r="S235" s="39"/>
      <c r="T235" s="3" t="s">
        <v>645</v>
      </c>
      <c r="U235" s="77" t="str">
        <f t="shared" si="1175"/>
        <v/>
      </c>
      <c r="V235" s="39">
        <v>1</v>
      </c>
      <c r="W235" s="79">
        <f t="shared" si="1189"/>
        <v>0</v>
      </c>
      <c r="X235" s="3">
        <v>0</v>
      </c>
      <c r="Y235" s="77" t="str">
        <f t="shared" si="1176"/>
        <v/>
      </c>
      <c r="Z235" s="3"/>
      <c r="AA235" s="37" t="str">
        <f t="shared" si="1190"/>
        <v/>
      </c>
      <c r="AC235" s="40"/>
      <c r="AD235" s="7"/>
      <c r="AE235" s="77" t="str">
        <f t="shared" si="1177"/>
        <v/>
      </c>
      <c r="AF235" s="81">
        <f t="shared" si="1203"/>
        <v>0</v>
      </c>
      <c r="AG235" s="40"/>
      <c r="AH235" s="7"/>
      <c r="AI235" s="77" t="str">
        <f t="shared" si="1178"/>
        <v/>
      </c>
      <c r="AJ235" s="81">
        <f t="shared" si="1204"/>
        <v>0</v>
      </c>
      <c r="AK235" s="83">
        <f t="shared" si="1205"/>
        <v>0</v>
      </c>
      <c r="AL235" s="83">
        <f t="shared" si="1206"/>
        <v>0</v>
      </c>
      <c r="AN235" s="43">
        <f t="shared" si="1179"/>
        <v>0</v>
      </c>
      <c r="AP235" t="str">
        <f t="shared" si="1207"/>
        <v/>
      </c>
      <c r="AQ235" t="str">
        <f t="shared" si="1208"/>
        <v/>
      </c>
      <c r="AR235" t="str">
        <f t="shared" si="1209"/>
        <v/>
      </c>
      <c r="AS235" t="str">
        <f t="shared" si="1210"/>
        <v/>
      </c>
      <c r="AT235" t="str">
        <f t="shared" si="1211"/>
        <v/>
      </c>
      <c r="AU235" t="str">
        <f t="shared" si="1212"/>
        <v/>
      </c>
      <c r="AV235" t="str">
        <f t="shared" si="1213"/>
        <v/>
      </c>
      <c r="AW235" t="str">
        <f t="shared" si="1214"/>
        <v xml:space="preserve">                              </v>
      </c>
      <c r="AX235" s="23">
        <f t="shared" si="1215"/>
        <v>0</v>
      </c>
      <c r="AY235" s="49" t="str">
        <f t="shared" si="1191"/>
        <v>000000000000000</v>
      </c>
      <c r="AZ235" s="23">
        <f t="shared" si="1216"/>
        <v>0</v>
      </c>
      <c r="BA235" s="49" t="str">
        <f t="shared" si="1191"/>
        <v>000000000000000</v>
      </c>
      <c r="BB235" s="23">
        <f t="shared" si="1217"/>
        <v>0</v>
      </c>
      <c r="BC235" s="49" t="str">
        <f t="shared" ref="BC235" si="1410">IF(BB235&lt;0,SUBSTITUTE(TEXT(BB235,"000000000000,00"),",",""),SUBSTITUTE(TEXT(BB235,"0000000000000,00"),",",""))</f>
        <v>000000000000000</v>
      </c>
      <c r="BD235" s="23">
        <f t="shared" si="1219"/>
        <v>0</v>
      </c>
      <c r="BE235" s="49" t="str">
        <f t="shared" ref="BE235" si="1411">IF(BD235&lt;0,SUBSTITUTE(TEXT(BD235,"000000000000,00"),",",""),SUBSTITUTE(TEXT(BD235,"0000000000000,00"),",",""))</f>
        <v>000000000000000</v>
      </c>
      <c r="BF235" s="23">
        <f t="shared" si="1221"/>
        <v>0</v>
      </c>
      <c r="BG235" s="49" t="str">
        <f t="shared" ref="BG235" si="1412">IF(BF235&lt;0,SUBSTITUTE(TEXT(BF235,"000000000000,00"),",",""),SUBSTITUTE(TEXT(BF235,"0000000000000,00"),",",""))</f>
        <v>000000000000000</v>
      </c>
      <c r="BH235" s="23">
        <f t="shared" si="1223"/>
        <v>0</v>
      </c>
      <c r="BI235" s="49" t="str">
        <f t="shared" ref="BI235" si="1413">IF(BH235&lt;0,SUBSTITUTE(TEXT(BH235,"000000000000,00"),",",""),SUBSTITUTE(TEXT(BH235,"0000000000000,00"),",",""))</f>
        <v>000000000000000</v>
      </c>
      <c r="BJ235" s="23">
        <f t="shared" si="1225"/>
        <v>0</v>
      </c>
      <c r="BK235" s="49" t="str">
        <f t="shared" ref="BK235" si="1414">IF(BJ235&lt;0,SUBSTITUTE(TEXT(BJ235,"000000000000,00"),",",""),SUBSTITUTE(TEXT(BJ235,"0000000000000,00"),",",""))</f>
        <v>000000000000000</v>
      </c>
      <c r="BL235" s="23">
        <f t="shared" si="1227"/>
        <v>0</v>
      </c>
      <c r="BM235" s="49" t="str">
        <f t="shared" ref="BM235" si="1415">IF(BL235&lt;0,SUBSTITUTE(TEXT(BL235,"000000000000,00"),",",""),SUBSTITUTE(TEXT(BL235,"0000000000000,00"),",",""))</f>
        <v>000000000000000</v>
      </c>
      <c r="BN235" t="str">
        <f t="shared" si="1229"/>
        <v>PES</v>
      </c>
      <c r="BO235" t="str">
        <f t="shared" si="1230"/>
        <v>0001000000</v>
      </c>
      <c r="BP235">
        <f t="shared" si="1231"/>
        <v>0</v>
      </c>
      <c r="BQ235">
        <f t="shared" si="1232"/>
        <v>0</v>
      </c>
      <c r="BR235" s="23">
        <f t="shared" si="1233"/>
        <v>0</v>
      </c>
      <c r="BS235" s="49" t="str">
        <f t="shared" si="1198"/>
        <v>000000000000000</v>
      </c>
      <c r="BT235" t="str">
        <f t="shared" si="1234"/>
        <v>00000000</v>
      </c>
      <c r="BU235" s="23">
        <f t="shared" si="1235"/>
        <v>0</v>
      </c>
      <c r="BV235" s="49" t="str">
        <f t="shared" si="1199"/>
        <v/>
      </c>
      <c r="BW235" s="52" t="str">
        <f t="shared" si="1236"/>
        <v/>
      </c>
      <c r="BX235" s="23">
        <f t="shared" si="1237"/>
        <v>0</v>
      </c>
      <c r="BY235" s="49" t="str">
        <f t="shared" si="1200"/>
        <v/>
      </c>
      <c r="BZ235" s="23">
        <f t="shared" si="1238"/>
        <v>0</v>
      </c>
      <c r="CA235" s="49" t="str">
        <f t="shared" si="1201"/>
        <v/>
      </c>
      <c r="CB235" s="52" t="str">
        <f t="shared" si="1239"/>
        <v/>
      </c>
      <c r="CC235" s="23">
        <f t="shared" si="1240"/>
        <v>0</v>
      </c>
      <c r="CD235" s="49" t="str">
        <f t="shared" si="1202"/>
        <v/>
      </c>
      <c r="CE235" s="56" t="str">
        <f>IF(CF235="","",MAX(CE$10:$CE234)+1)</f>
        <v/>
      </c>
      <c r="CF235" t="str">
        <f t="shared" si="1241"/>
        <v/>
      </c>
      <c r="CG235" s="22" t="str">
        <f>IF(CH235="","",MAX($CG$10:CG234)+1)</f>
        <v/>
      </c>
      <c r="CH235" s="22" t="str">
        <f t="shared" si="1186"/>
        <v/>
      </c>
      <c r="CI235" s="22" t="str">
        <f>IF(CJ235="","",MAX($CI$10:CI234)+1)</f>
        <v/>
      </c>
      <c r="CJ235" s="22" t="str">
        <f t="shared" si="1187"/>
        <v/>
      </c>
    </row>
    <row r="236" spans="2:88" x14ac:dyDescent="0.25">
      <c r="B236" s="37"/>
      <c r="C236" s="3"/>
      <c r="D236" s="77" t="str">
        <f t="shared" si="1173"/>
        <v/>
      </c>
      <c r="E236" s="38"/>
      <c r="F236" s="38"/>
      <c r="G236" s="78">
        <f t="shared" si="1188"/>
        <v>0</v>
      </c>
      <c r="H236" s="3">
        <v>80</v>
      </c>
      <c r="I236" s="77" t="str">
        <f t="shared" si="1174"/>
        <v/>
      </c>
      <c r="J236" s="32"/>
      <c r="K236" s="3"/>
      <c r="L236" s="39"/>
      <c r="M236" s="39"/>
      <c r="N236" s="39"/>
      <c r="O236" s="39"/>
      <c r="P236" s="39"/>
      <c r="Q236" s="39"/>
      <c r="R236" s="39"/>
      <c r="S236" s="39"/>
      <c r="T236" s="3" t="s">
        <v>645</v>
      </c>
      <c r="U236" s="77" t="str">
        <f t="shared" si="1175"/>
        <v/>
      </c>
      <c r="V236" s="39">
        <v>1</v>
      </c>
      <c r="W236" s="79">
        <f t="shared" si="1189"/>
        <v>0</v>
      </c>
      <c r="X236" s="3">
        <v>0</v>
      </c>
      <c r="Y236" s="77" t="str">
        <f t="shared" si="1176"/>
        <v/>
      </c>
      <c r="Z236" s="3"/>
      <c r="AA236" s="37" t="str">
        <f t="shared" si="1190"/>
        <v/>
      </c>
      <c r="AC236" s="40"/>
      <c r="AD236" s="7"/>
      <c r="AE236" s="77" t="str">
        <f t="shared" si="1177"/>
        <v/>
      </c>
      <c r="AF236" s="81">
        <f t="shared" si="1203"/>
        <v>0</v>
      </c>
      <c r="AG236" s="40"/>
      <c r="AH236" s="7"/>
      <c r="AI236" s="77" t="str">
        <f t="shared" si="1178"/>
        <v/>
      </c>
      <c r="AJ236" s="81">
        <f t="shared" si="1204"/>
        <v>0</v>
      </c>
      <c r="AK236" s="83">
        <f t="shared" si="1205"/>
        <v>0</v>
      </c>
      <c r="AL236" s="83">
        <f t="shared" si="1206"/>
        <v>0</v>
      </c>
      <c r="AN236" s="43">
        <f t="shared" si="1179"/>
        <v>0</v>
      </c>
      <c r="AP236" t="str">
        <f t="shared" si="1207"/>
        <v/>
      </c>
      <c r="AQ236" t="str">
        <f t="shared" si="1208"/>
        <v/>
      </c>
      <c r="AR236" t="str">
        <f t="shared" si="1209"/>
        <v/>
      </c>
      <c r="AS236" t="str">
        <f t="shared" si="1210"/>
        <v/>
      </c>
      <c r="AT236" t="str">
        <f t="shared" si="1211"/>
        <v/>
      </c>
      <c r="AU236" t="str">
        <f t="shared" si="1212"/>
        <v/>
      </c>
      <c r="AV236" t="str">
        <f t="shared" si="1213"/>
        <v/>
      </c>
      <c r="AW236" t="str">
        <f t="shared" si="1214"/>
        <v xml:space="preserve">                              </v>
      </c>
      <c r="AX236" s="23">
        <f t="shared" si="1215"/>
        <v>0</v>
      </c>
      <c r="AY236" s="49" t="str">
        <f t="shared" si="1191"/>
        <v>000000000000000</v>
      </c>
      <c r="AZ236" s="23">
        <f t="shared" si="1216"/>
        <v>0</v>
      </c>
      <c r="BA236" s="49" t="str">
        <f t="shared" si="1191"/>
        <v>000000000000000</v>
      </c>
      <c r="BB236" s="23">
        <f t="shared" si="1217"/>
        <v>0</v>
      </c>
      <c r="BC236" s="49" t="str">
        <f t="shared" ref="BC236" si="1416">IF(BB236&lt;0,SUBSTITUTE(TEXT(BB236,"000000000000,00"),",",""),SUBSTITUTE(TEXT(BB236,"0000000000000,00"),",",""))</f>
        <v>000000000000000</v>
      </c>
      <c r="BD236" s="23">
        <f t="shared" si="1219"/>
        <v>0</v>
      </c>
      <c r="BE236" s="49" t="str">
        <f t="shared" ref="BE236" si="1417">IF(BD236&lt;0,SUBSTITUTE(TEXT(BD236,"000000000000,00"),",",""),SUBSTITUTE(TEXT(BD236,"0000000000000,00"),",",""))</f>
        <v>000000000000000</v>
      </c>
      <c r="BF236" s="23">
        <f t="shared" si="1221"/>
        <v>0</v>
      </c>
      <c r="BG236" s="49" t="str">
        <f t="shared" ref="BG236" si="1418">IF(BF236&lt;0,SUBSTITUTE(TEXT(BF236,"000000000000,00"),",",""),SUBSTITUTE(TEXT(BF236,"0000000000000,00"),",",""))</f>
        <v>000000000000000</v>
      </c>
      <c r="BH236" s="23">
        <f t="shared" si="1223"/>
        <v>0</v>
      </c>
      <c r="BI236" s="49" t="str">
        <f t="shared" ref="BI236" si="1419">IF(BH236&lt;0,SUBSTITUTE(TEXT(BH236,"000000000000,00"),",",""),SUBSTITUTE(TEXT(BH236,"0000000000000,00"),",",""))</f>
        <v>000000000000000</v>
      </c>
      <c r="BJ236" s="23">
        <f t="shared" si="1225"/>
        <v>0</v>
      </c>
      <c r="BK236" s="49" t="str">
        <f t="shared" ref="BK236" si="1420">IF(BJ236&lt;0,SUBSTITUTE(TEXT(BJ236,"000000000000,00"),",",""),SUBSTITUTE(TEXT(BJ236,"0000000000000,00"),",",""))</f>
        <v>000000000000000</v>
      </c>
      <c r="BL236" s="23">
        <f t="shared" si="1227"/>
        <v>0</v>
      </c>
      <c r="BM236" s="49" t="str">
        <f t="shared" ref="BM236" si="1421">IF(BL236&lt;0,SUBSTITUTE(TEXT(BL236,"000000000000,00"),",",""),SUBSTITUTE(TEXT(BL236,"0000000000000,00"),",",""))</f>
        <v>000000000000000</v>
      </c>
      <c r="BN236" t="str">
        <f t="shared" si="1229"/>
        <v>PES</v>
      </c>
      <c r="BO236" t="str">
        <f t="shared" si="1230"/>
        <v>0001000000</v>
      </c>
      <c r="BP236">
        <f t="shared" si="1231"/>
        <v>0</v>
      </c>
      <c r="BQ236">
        <f t="shared" si="1232"/>
        <v>0</v>
      </c>
      <c r="BR236" s="23">
        <f t="shared" si="1233"/>
        <v>0</v>
      </c>
      <c r="BS236" s="49" t="str">
        <f t="shared" si="1198"/>
        <v>000000000000000</v>
      </c>
      <c r="BT236" t="str">
        <f t="shared" si="1234"/>
        <v>00000000</v>
      </c>
      <c r="BU236" s="23">
        <f t="shared" si="1235"/>
        <v>0</v>
      </c>
      <c r="BV236" s="49" t="str">
        <f t="shared" si="1199"/>
        <v/>
      </c>
      <c r="BW236" s="52" t="str">
        <f t="shared" si="1236"/>
        <v/>
      </c>
      <c r="BX236" s="23">
        <f t="shared" si="1237"/>
        <v>0</v>
      </c>
      <c r="BY236" s="49" t="str">
        <f t="shared" si="1200"/>
        <v/>
      </c>
      <c r="BZ236" s="23">
        <f t="shared" si="1238"/>
        <v>0</v>
      </c>
      <c r="CA236" s="49" t="str">
        <f t="shared" si="1201"/>
        <v/>
      </c>
      <c r="CB236" s="52" t="str">
        <f t="shared" si="1239"/>
        <v/>
      </c>
      <c r="CC236" s="23">
        <f t="shared" si="1240"/>
        <v>0</v>
      </c>
      <c r="CD236" s="49" t="str">
        <f t="shared" si="1202"/>
        <v/>
      </c>
      <c r="CE236" s="56" t="str">
        <f>IF(CF236="","",MAX(CE$10:$CE235)+1)</f>
        <v/>
      </c>
      <c r="CF236" t="str">
        <f t="shared" si="1241"/>
        <v/>
      </c>
      <c r="CG236" s="22" t="str">
        <f>IF(CH236="","",MAX($CG$10:CG235)+1)</f>
        <v/>
      </c>
      <c r="CH236" s="22" t="str">
        <f t="shared" si="1186"/>
        <v/>
      </c>
      <c r="CI236" s="22" t="str">
        <f>IF(CJ236="","",MAX($CI$10:CI235)+1)</f>
        <v/>
      </c>
      <c r="CJ236" s="22" t="str">
        <f t="shared" si="1187"/>
        <v/>
      </c>
    </row>
    <row r="237" spans="2:88" x14ac:dyDescent="0.25">
      <c r="B237" s="37"/>
      <c r="C237" s="3"/>
      <c r="D237" s="77" t="str">
        <f t="shared" si="1173"/>
        <v/>
      </c>
      <c r="E237" s="38"/>
      <c r="F237" s="38"/>
      <c r="G237" s="78">
        <f t="shared" si="1188"/>
        <v>0</v>
      </c>
      <c r="H237" s="3">
        <v>80</v>
      </c>
      <c r="I237" s="77" t="str">
        <f t="shared" si="1174"/>
        <v/>
      </c>
      <c r="J237" s="32"/>
      <c r="K237" s="3"/>
      <c r="L237" s="39"/>
      <c r="M237" s="39"/>
      <c r="N237" s="39"/>
      <c r="O237" s="39"/>
      <c r="P237" s="39"/>
      <c r="Q237" s="39"/>
      <c r="R237" s="39"/>
      <c r="S237" s="39"/>
      <c r="T237" s="3" t="s">
        <v>645</v>
      </c>
      <c r="U237" s="77" t="str">
        <f t="shared" si="1175"/>
        <v/>
      </c>
      <c r="V237" s="39">
        <v>1</v>
      </c>
      <c r="W237" s="79">
        <f t="shared" si="1189"/>
        <v>0</v>
      </c>
      <c r="X237" s="3">
        <v>0</v>
      </c>
      <c r="Y237" s="77" t="str">
        <f t="shared" si="1176"/>
        <v/>
      </c>
      <c r="Z237" s="3"/>
      <c r="AA237" s="37" t="str">
        <f t="shared" si="1190"/>
        <v/>
      </c>
      <c r="AC237" s="40"/>
      <c r="AD237" s="7"/>
      <c r="AE237" s="77" t="str">
        <f t="shared" si="1177"/>
        <v/>
      </c>
      <c r="AF237" s="81">
        <f t="shared" si="1203"/>
        <v>0</v>
      </c>
      <c r="AG237" s="40"/>
      <c r="AH237" s="7"/>
      <c r="AI237" s="77" t="str">
        <f t="shared" si="1178"/>
        <v/>
      </c>
      <c r="AJ237" s="81">
        <f t="shared" si="1204"/>
        <v>0</v>
      </c>
      <c r="AK237" s="83">
        <f t="shared" si="1205"/>
        <v>0</v>
      </c>
      <c r="AL237" s="83">
        <f t="shared" si="1206"/>
        <v>0</v>
      </c>
      <c r="AN237" s="43">
        <f t="shared" si="1179"/>
        <v>0</v>
      </c>
      <c r="AP237" t="str">
        <f t="shared" si="1207"/>
        <v/>
      </c>
      <c r="AQ237" t="str">
        <f t="shared" si="1208"/>
        <v/>
      </c>
      <c r="AR237" t="str">
        <f t="shared" si="1209"/>
        <v/>
      </c>
      <c r="AS237" t="str">
        <f t="shared" si="1210"/>
        <v/>
      </c>
      <c r="AT237" t="str">
        <f t="shared" si="1211"/>
        <v/>
      </c>
      <c r="AU237" t="str">
        <f t="shared" si="1212"/>
        <v/>
      </c>
      <c r="AV237" t="str">
        <f t="shared" si="1213"/>
        <v/>
      </c>
      <c r="AW237" t="str">
        <f t="shared" si="1214"/>
        <v xml:space="preserve">                              </v>
      </c>
      <c r="AX237" s="23">
        <f t="shared" si="1215"/>
        <v>0</v>
      </c>
      <c r="AY237" s="49" t="str">
        <f t="shared" si="1191"/>
        <v>000000000000000</v>
      </c>
      <c r="AZ237" s="23">
        <f t="shared" si="1216"/>
        <v>0</v>
      </c>
      <c r="BA237" s="49" t="str">
        <f t="shared" si="1191"/>
        <v>000000000000000</v>
      </c>
      <c r="BB237" s="23">
        <f t="shared" si="1217"/>
        <v>0</v>
      </c>
      <c r="BC237" s="49" t="str">
        <f t="shared" ref="BC237" si="1422">IF(BB237&lt;0,SUBSTITUTE(TEXT(BB237,"000000000000,00"),",",""),SUBSTITUTE(TEXT(BB237,"0000000000000,00"),",",""))</f>
        <v>000000000000000</v>
      </c>
      <c r="BD237" s="23">
        <f t="shared" si="1219"/>
        <v>0</v>
      </c>
      <c r="BE237" s="49" t="str">
        <f t="shared" ref="BE237" si="1423">IF(BD237&lt;0,SUBSTITUTE(TEXT(BD237,"000000000000,00"),",",""),SUBSTITUTE(TEXT(BD237,"0000000000000,00"),",",""))</f>
        <v>000000000000000</v>
      </c>
      <c r="BF237" s="23">
        <f t="shared" si="1221"/>
        <v>0</v>
      </c>
      <c r="BG237" s="49" t="str">
        <f t="shared" ref="BG237" si="1424">IF(BF237&lt;0,SUBSTITUTE(TEXT(BF237,"000000000000,00"),",",""),SUBSTITUTE(TEXT(BF237,"0000000000000,00"),",",""))</f>
        <v>000000000000000</v>
      </c>
      <c r="BH237" s="23">
        <f t="shared" si="1223"/>
        <v>0</v>
      </c>
      <c r="BI237" s="49" t="str">
        <f t="shared" ref="BI237" si="1425">IF(BH237&lt;0,SUBSTITUTE(TEXT(BH237,"000000000000,00"),",",""),SUBSTITUTE(TEXT(BH237,"0000000000000,00"),",",""))</f>
        <v>000000000000000</v>
      </c>
      <c r="BJ237" s="23">
        <f t="shared" si="1225"/>
        <v>0</v>
      </c>
      <c r="BK237" s="49" t="str">
        <f t="shared" ref="BK237" si="1426">IF(BJ237&lt;0,SUBSTITUTE(TEXT(BJ237,"000000000000,00"),",",""),SUBSTITUTE(TEXT(BJ237,"0000000000000,00"),",",""))</f>
        <v>000000000000000</v>
      </c>
      <c r="BL237" s="23">
        <f t="shared" si="1227"/>
        <v>0</v>
      </c>
      <c r="BM237" s="49" t="str">
        <f t="shared" ref="BM237" si="1427">IF(BL237&lt;0,SUBSTITUTE(TEXT(BL237,"000000000000,00"),",",""),SUBSTITUTE(TEXT(BL237,"0000000000000,00"),",",""))</f>
        <v>000000000000000</v>
      </c>
      <c r="BN237" t="str">
        <f t="shared" si="1229"/>
        <v>PES</v>
      </c>
      <c r="BO237" t="str">
        <f t="shared" si="1230"/>
        <v>0001000000</v>
      </c>
      <c r="BP237">
        <f t="shared" si="1231"/>
        <v>0</v>
      </c>
      <c r="BQ237">
        <f t="shared" si="1232"/>
        <v>0</v>
      </c>
      <c r="BR237" s="23">
        <f t="shared" si="1233"/>
        <v>0</v>
      </c>
      <c r="BS237" s="49" t="str">
        <f t="shared" si="1198"/>
        <v>000000000000000</v>
      </c>
      <c r="BT237" t="str">
        <f t="shared" si="1234"/>
        <v>00000000</v>
      </c>
      <c r="BU237" s="23">
        <f t="shared" si="1235"/>
        <v>0</v>
      </c>
      <c r="BV237" s="49" t="str">
        <f t="shared" si="1199"/>
        <v/>
      </c>
      <c r="BW237" s="52" t="str">
        <f t="shared" si="1236"/>
        <v/>
      </c>
      <c r="BX237" s="23">
        <f t="shared" si="1237"/>
        <v>0</v>
      </c>
      <c r="BY237" s="49" t="str">
        <f t="shared" si="1200"/>
        <v/>
      </c>
      <c r="BZ237" s="23">
        <f t="shared" si="1238"/>
        <v>0</v>
      </c>
      <c r="CA237" s="49" t="str">
        <f t="shared" si="1201"/>
        <v/>
      </c>
      <c r="CB237" s="52" t="str">
        <f t="shared" si="1239"/>
        <v/>
      </c>
      <c r="CC237" s="23">
        <f t="shared" si="1240"/>
        <v>0</v>
      </c>
      <c r="CD237" s="49" t="str">
        <f t="shared" si="1202"/>
        <v/>
      </c>
      <c r="CE237" s="56" t="str">
        <f>IF(CF237="","",MAX(CE$10:$CE236)+1)</f>
        <v/>
      </c>
      <c r="CF237" t="str">
        <f t="shared" si="1241"/>
        <v/>
      </c>
      <c r="CG237" s="22" t="str">
        <f>IF(CH237="","",MAX($CG$10:CG236)+1)</f>
        <v/>
      </c>
      <c r="CH237" s="22" t="str">
        <f t="shared" si="1186"/>
        <v/>
      </c>
      <c r="CI237" s="22" t="str">
        <f>IF(CJ237="","",MAX($CI$10:CI236)+1)</f>
        <v/>
      </c>
      <c r="CJ237" s="22" t="str">
        <f t="shared" si="1187"/>
        <v/>
      </c>
    </row>
    <row r="238" spans="2:88" x14ac:dyDescent="0.25">
      <c r="B238" s="37"/>
      <c r="C238" s="3"/>
      <c r="D238" s="77" t="str">
        <f t="shared" si="1173"/>
        <v/>
      </c>
      <c r="E238" s="38"/>
      <c r="F238" s="38"/>
      <c r="G238" s="78">
        <f t="shared" si="1188"/>
        <v>0</v>
      </c>
      <c r="H238" s="3">
        <v>80</v>
      </c>
      <c r="I238" s="77" t="str">
        <f t="shared" si="1174"/>
        <v/>
      </c>
      <c r="J238" s="32"/>
      <c r="K238" s="3"/>
      <c r="L238" s="39"/>
      <c r="M238" s="39"/>
      <c r="N238" s="39"/>
      <c r="O238" s="39"/>
      <c r="P238" s="39"/>
      <c r="Q238" s="39"/>
      <c r="R238" s="39"/>
      <c r="S238" s="39"/>
      <c r="T238" s="3" t="s">
        <v>645</v>
      </c>
      <c r="U238" s="77" t="str">
        <f t="shared" si="1175"/>
        <v/>
      </c>
      <c r="V238" s="39">
        <v>1</v>
      </c>
      <c r="W238" s="79">
        <f t="shared" si="1189"/>
        <v>0</v>
      </c>
      <c r="X238" s="3">
        <v>0</v>
      </c>
      <c r="Y238" s="77" t="str">
        <f t="shared" si="1176"/>
        <v/>
      </c>
      <c r="Z238" s="3"/>
      <c r="AA238" s="37" t="str">
        <f t="shared" si="1190"/>
        <v/>
      </c>
      <c r="AC238" s="40"/>
      <c r="AD238" s="7"/>
      <c r="AE238" s="77" t="str">
        <f t="shared" si="1177"/>
        <v/>
      </c>
      <c r="AF238" s="81">
        <f t="shared" si="1203"/>
        <v>0</v>
      </c>
      <c r="AG238" s="40"/>
      <c r="AH238" s="7"/>
      <c r="AI238" s="77" t="str">
        <f t="shared" si="1178"/>
        <v/>
      </c>
      <c r="AJ238" s="81">
        <f t="shared" si="1204"/>
        <v>0</v>
      </c>
      <c r="AK238" s="83">
        <f t="shared" si="1205"/>
        <v>0</v>
      </c>
      <c r="AL238" s="83">
        <f t="shared" si="1206"/>
        <v>0</v>
      </c>
      <c r="AN238" s="43">
        <f t="shared" si="1179"/>
        <v>0</v>
      </c>
      <c r="AP238" t="str">
        <f t="shared" si="1207"/>
        <v/>
      </c>
      <c r="AQ238" t="str">
        <f t="shared" si="1208"/>
        <v/>
      </c>
      <c r="AR238" t="str">
        <f t="shared" si="1209"/>
        <v/>
      </c>
      <c r="AS238" t="str">
        <f t="shared" si="1210"/>
        <v/>
      </c>
      <c r="AT238" t="str">
        <f t="shared" si="1211"/>
        <v/>
      </c>
      <c r="AU238" t="str">
        <f t="shared" si="1212"/>
        <v/>
      </c>
      <c r="AV238" t="str">
        <f t="shared" si="1213"/>
        <v/>
      </c>
      <c r="AW238" t="str">
        <f t="shared" si="1214"/>
        <v xml:space="preserve">                              </v>
      </c>
      <c r="AX238" s="23">
        <f t="shared" si="1215"/>
        <v>0</v>
      </c>
      <c r="AY238" s="49" t="str">
        <f t="shared" si="1191"/>
        <v>000000000000000</v>
      </c>
      <c r="AZ238" s="23">
        <f t="shared" si="1216"/>
        <v>0</v>
      </c>
      <c r="BA238" s="49" t="str">
        <f t="shared" si="1191"/>
        <v>000000000000000</v>
      </c>
      <c r="BB238" s="23">
        <f t="shared" si="1217"/>
        <v>0</v>
      </c>
      <c r="BC238" s="49" t="str">
        <f t="shared" ref="BC238" si="1428">IF(BB238&lt;0,SUBSTITUTE(TEXT(BB238,"000000000000,00"),",",""),SUBSTITUTE(TEXT(BB238,"0000000000000,00"),",",""))</f>
        <v>000000000000000</v>
      </c>
      <c r="BD238" s="23">
        <f t="shared" si="1219"/>
        <v>0</v>
      </c>
      <c r="BE238" s="49" t="str">
        <f t="shared" ref="BE238" si="1429">IF(BD238&lt;0,SUBSTITUTE(TEXT(BD238,"000000000000,00"),",",""),SUBSTITUTE(TEXT(BD238,"0000000000000,00"),",",""))</f>
        <v>000000000000000</v>
      </c>
      <c r="BF238" s="23">
        <f t="shared" si="1221"/>
        <v>0</v>
      </c>
      <c r="BG238" s="49" t="str">
        <f t="shared" ref="BG238" si="1430">IF(BF238&lt;0,SUBSTITUTE(TEXT(BF238,"000000000000,00"),",",""),SUBSTITUTE(TEXT(BF238,"0000000000000,00"),",",""))</f>
        <v>000000000000000</v>
      </c>
      <c r="BH238" s="23">
        <f t="shared" si="1223"/>
        <v>0</v>
      </c>
      <c r="BI238" s="49" t="str">
        <f t="shared" ref="BI238" si="1431">IF(BH238&lt;0,SUBSTITUTE(TEXT(BH238,"000000000000,00"),",",""),SUBSTITUTE(TEXT(BH238,"0000000000000,00"),",",""))</f>
        <v>000000000000000</v>
      </c>
      <c r="BJ238" s="23">
        <f t="shared" si="1225"/>
        <v>0</v>
      </c>
      <c r="BK238" s="49" t="str">
        <f t="shared" ref="BK238" si="1432">IF(BJ238&lt;0,SUBSTITUTE(TEXT(BJ238,"000000000000,00"),",",""),SUBSTITUTE(TEXT(BJ238,"0000000000000,00"),",",""))</f>
        <v>000000000000000</v>
      </c>
      <c r="BL238" s="23">
        <f t="shared" si="1227"/>
        <v>0</v>
      </c>
      <c r="BM238" s="49" t="str">
        <f t="shared" ref="BM238" si="1433">IF(BL238&lt;0,SUBSTITUTE(TEXT(BL238,"000000000000,00"),",",""),SUBSTITUTE(TEXT(BL238,"0000000000000,00"),",",""))</f>
        <v>000000000000000</v>
      </c>
      <c r="BN238" t="str">
        <f t="shared" si="1229"/>
        <v>PES</v>
      </c>
      <c r="BO238" t="str">
        <f t="shared" si="1230"/>
        <v>0001000000</v>
      </c>
      <c r="BP238">
        <f t="shared" si="1231"/>
        <v>0</v>
      </c>
      <c r="BQ238">
        <f t="shared" si="1232"/>
        <v>0</v>
      </c>
      <c r="BR238" s="23">
        <f t="shared" si="1233"/>
        <v>0</v>
      </c>
      <c r="BS238" s="49" t="str">
        <f t="shared" si="1198"/>
        <v>000000000000000</v>
      </c>
      <c r="BT238" t="str">
        <f t="shared" si="1234"/>
        <v>00000000</v>
      </c>
      <c r="BU238" s="23">
        <f t="shared" si="1235"/>
        <v>0</v>
      </c>
      <c r="BV238" s="49" t="str">
        <f t="shared" si="1199"/>
        <v/>
      </c>
      <c r="BW238" s="52" t="str">
        <f t="shared" si="1236"/>
        <v/>
      </c>
      <c r="BX238" s="23">
        <f t="shared" si="1237"/>
        <v>0</v>
      </c>
      <c r="BY238" s="49" t="str">
        <f t="shared" si="1200"/>
        <v/>
      </c>
      <c r="BZ238" s="23">
        <f t="shared" si="1238"/>
        <v>0</v>
      </c>
      <c r="CA238" s="49" t="str">
        <f t="shared" si="1201"/>
        <v/>
      </c>
      <c r="CB238" s="52" t="str">
        <f t="shared" si="1239"/>
        <v/>
      </c>
      <c r="CC238" s="23">
        <f t="shared" si="1240"/>
        <v>0</v>
      </c>
      <c r="CD238" s="49" t="str">
        <f t="shared" si="1202"/>
        <v/>
      </c>
      <c r="CE238" s="56" t="str">
        <f>IF(CF238="","",MAX(CE$10:$CE237)+1)</f>
        <v/>
      </c>
      <c r="CF238" t="str">
        <f t="shared" si="1241"/>
        <v/>
      </c>
      <c r="CG238" s="22" t="str">
        <f>IF(CH238="","",MAX($CG$10:CG237)+1)</f>
        <v/>
      </c>
      <c r="CH238" s="22" t="str">
        <f t="shared" si="1186"/>
        <v/>
      </c>
      <c r="CI238" s="22" t="str">
        <f>IF(CJ238="","",MAX($CI$10:CI237)+1)</f>
        <v/>
      </c>
      <c r="CJ238" s="22" t="str">
        <f t="shared" si="1187"/>
        <v/>
      </c>
    </row>
    <row r="239" spans="2:88" x14ac:dyDescent="0.25">
      <c r="B239" s="37"/>
      <c r="C239" s="3"/>
      <c r="D239" s="77" t="str">
        <f t="shared" si="1173"/>
        <v/>
      </c>
      <c r="E239" s="38"/>
      <c r="F239" s="38"/>
      <c r="G239" s="78">
        <f t="shared" si="1188"/>
        <v>0</v>
      </c>
      <c r="H239" s="3">
        <v>80</v>
      </c>
      <c r="I239" s="77" t="str">
        <f t="shared" si="1174"/>
        <v/>
      </c>
      <c r="J239" s="32"/>
      <c r="K239" s="3"/>
      <c r="L239" s="39"/>
      <c r="M239" s="39"/>
      <c r="N239" s="39"/>
      <c r="O239" s="39"/>
      <c r="P239" s="39"/>
      <c r="Q239" s="39"/>
      <c r="R239" s="39"/>
      <c r="S239" s="39"/>
      <c r="T239" s="3" t="s">
        <v>645</v>
      </c>
      <c r="U239" s="77" t="str">
        <f t="shared" si="1175"/>
        <v/>
      </c>
      <c r="V239" s="39">
        <v>1</v>
      </c>
      <c r="W239" s="79">
        <f t="shared" si="1189"/>
        <v>0</v>
      </c>
      <c r="X239" s="3">
        <v>0</v>
      </c>
      <c r="Y239" s="77" t="str">
        <f t="shared" si="1176"/>
        <v/>
      </c>
      <c r="Z239" s="3"/>
      <c r="AA239" s="37" t="str">
        <f t="shared" si="1190"/>
        <v/>
      </c>
      <c r="AC239" s="40"/>
      <c r="AD239" s="7"/>
      <c r="AE239" s="77" t="str">
        <f t="shared" si="1177"/>
        <v/>
      </c>
      <c r="AF239" s="81">
        <f t="shared" si="1203"/>
        <v>0</v>
      </c>
      <c r="AG239" s="40"/>
      <c r="AH239" s="7"/>
      <c r="AI239" s="77" t="str">
        <f t="shared" si="1178"/>
        <v/>
      </c>
      <c r="AJ239" s="81">
        <f t="shared" si="1204"/>
        <v>0</v>
      </c>
      <c r="AK239" s="83">
        <f t="shared" si="1205"/>
        <v>0</v>
      </c>
      <c r="AL239" s="83">
        <f t="shared" si="1206"/>
        <v>0</v>
      </c>
      <c r="AN239" s="43">
        <f t="shared" si="1179"/>
        <v>0</v>
      </c>
      <c r="AP239" t="str">
        <f t="shared" si="1207"/>
        <v/>
      </c>
      <c r="AQ239" t="str">
        <f t="shared" si="1208"/>
        <v/>
      </c>
      <c r="AR239" t="str">
        <f t="shared" si="1209"/>
        <v/>
      </c>
      <c r="AS239" t="str">
        <f t="shared" si="1210"/>
        <v/>
      </c>
      <c r="AT239" t="str">
        <f t="shared" si="1211"/>
        <v/>
      </c>
      <c r="AU239" t="str">
        <f t="shared" si="1212"/>
        <v/>
      </c>
      <c r="AV239" t="str">
        <f t="shared" si="1213"/>
        <v/>
      </c>
      <c r="AW239" t="str">
        <f t="shared" si="1214"/>
        <v xml:space="preserve">                              </v>
      </c>
      <c r="AX239" s="23">
        <f t="shared" si="1215"/>
        <v>0</v>
      </c>
      <c r="AY239" s="49" t="str">
        <f t="shared" si="1191"/>
        <v>000000000000000</v>
      </c>
      <c r="AZ239" s="23">
        <f t="shared" si="1216"/>
        <v>0</v>
      </c>
      <c r="BA239" s="49" t="str">
        <f t="shared" si="1191"/>
        <v>000000000000000</v>
      </c>
      <c r="BB239" s="23">
        <f t="shared" si="1217"/>
        <v>0</v>
      </c>
      <c r="BC239" s="49" t="str">
        <f t="shared" ref="BC239" si="1434">IF(BB239&lt;0,SUBSTITUTE(TEXT(BB239,"000000000000,00"),",",""),SUBSTITUTE(TEXT(BB239,"0000000000000,00"),",",""))</f>
        <v>000000000000000</v>
      </c>
      <c r="BD239" s="23">
        <f t="shared" si="1219"/>
        <v>0</v>
      </c>
      <c r="BE239" s="49" t="str">
        <f t="shared" ref="BE239" si="1435">IF(BD239&lt;0,SUBSTITUTE(TEXT(BD239,"000000000000,00"),",",""),SUBSTITUTE(TEXT(BD239,"0000000000000,00"),",",""))</f>
        <v>000000000000000</v>
      </c>
      <c r="BF239" s="23">
        <f t="shared" si="1221"/>
        <v>0</v>
      </c>
      <c r="BG239" s="49" t="str">
        <f t="shared" ref="BG239" si="1436">IF(BF239&lt;0,SUBSTITUTE(TEXT(BF239,"000000000000,00"),",",""),SUBSTITUTE(TEXT(BF239,"0000000000000,00"),",",""))</f>
        <v>000000000000000</v>
      </c>
      <c r="BH239" s="23">
        <f t="shared" si="1223"/>
        <v>0</v>
      </c>
      <c r="BI239" s="49" t="str">
        <f t="shared" ref="BI239" si="1437">IF(BH239&lt;0,SUBSTITUTE(TEXT(BH239,"000000000000,00"),",",""),SUBSTITUTE(TEXT(BH239,"0000000000000,00"),",",""))</f>
        <v>000000000000000</v>
      </c>
      <c r="BJ239" s="23">
        <f t="shared" si="1225"/>
        <v>0</v>
      </c>
      <c r="BK239" s="49" t="str">
        <f t="shared" ref="BK239" si="1438">IF(BJ239&lt;0,SUBSTITUTE(TEXT(BJ239,"000000000000,00"),",",""),SUBSTITUTE(TEXT(BJ239,"0000000000000,00"),",",""))</f>
        <v>000000000000000</v>
      </c>
      <c r="BL239" s="23">
        <f t="shared" si="1227"/>
        <v>0</v>
      </c>
      <c r="BM239" s="49" t="str">
        <f t="shared" ref="BM239" si="1439">IF(BL239&lt;0,SUBSTITUTE(TEXT(BL239,"000000000000,00"),",",""),SUBSTITUTE(TEXT(BL239,"0000000000000,00"),",",""))</f>
        <v>000000000000000</v>
      </c>
      <c r="BN239" t="str">
        <f t="shared" si="1229"/>
        <v>PES</v>
      </c>
      <c r="BO239" t="str">
        <f t="shared" si="1230"/>
        <v>0001000000</v>
      </c>
      <c r="BP239">
        <f t="shared" si="1231"/>
        <v>0</v>
      </c>
      <c r="BQ239">
        <f t="shared" si="1232"/>
        <v>0</v>
      </c>
      <c r="BR239" s="23">
        <f t="shared" si="1233"/>
        <v>0</v>
      </c>
      <c r="BS239" s="49" t="str">
        <f t="shared" si="1198"/>
        <v>000000000000000</v>
      </c>
      <c r="BT239" t="str">
        <f t="shared" si="1234"/>
        <v>00000000</v>
      </c>
      <c r="BU239" s="23">
        <f t="shared" si="1235"/>
        <v>0</v>
      </c>
      <c r="BV239" s="49" t="str">
        <f t="shared" si="1199"/>
        <v/>
      </c>
      <c r="BW239" s="52" t="str">
        <f t="shared" si="1236"/>
        <v/>
      </c>
      <c r="BX239" s="23">
        <f t="shared" si="1237"/>
        <v>0</v>
      </c>
      <c r="BY239" s="49" t="str">
        <f t="shared" si="1200"/>
        <v/>
      </c>
      <c r="BZ239" s="23">
        <f t="shared" si="1238"/>
        <v>0</v>
      </c>
      <c r="CA239" s="49" t="str">
        <f t="shared" si="1201"/>
        <v/>
      </c>
      <c r="CB239" s="52" t="str">
        <f t="shared" si="1239"/>
        <v/>
      </c>
      <c r="CC239" s="23">
        <f t="shared" si="1240"/>
        <v>0</v>
      </c>
      <c r="CD239" s="49" t="str">
        <f t="shared" si="1202"/>
        <v/>
      </c>
      <c r="CE239" s="56" t="str">
        <f>IF(CF239="","",MAX(CE$10:$CE238)+1)</f>
        <v/>
      </c>
      <c r="CF239" t="str">
        <f t="shared" si="1241"/>
        <v/>
      </c>
      <c r="CG239" s="22" t="str">
        <f>IF(CH239="","",MAX($CG$10:CG238)+1)</f>
        <v/>
      </c>
      <c r="CH239" s="22" t="str">
        <f t="shared" si="1186"/>
        <v/>
      </c>
      <c r="CI239" s="22" t="str">
        <f>IF(CJ239="","",MAX($CI$10:CI238)+1)</f>
        <v/>
      </c>
      <c r="CJ239" s="22" t="str">
        <f t="shared" si="1187"/>
        <v/>
      </c>
    </row>
    <row r="240" spans="2:88" x14ac:dyDescent="0.25">
      <c r="B240" s="37"/>
      <c r="C240" s="3"/>
      <c r="D240" s="77" t="str">
        <f t="shared" si="1173"/>
        <v/>
      </c>
      <c r="E240" s="38"/>
      <c r="F240" s="38"/>
      <c r="G240" s="78">
        <f t="shared" si="1188"/>
        <v>0</v>
      </c>
      <c r="H240" s="3">
        <v>80</v>
      </c>
      <c r="I240" s="77" t="str">
        <f t="shared" si="1174"/>
        <v/>
      </c>
      <c r="J240" s="32"/>
      <c r="K240" s="3"/>
      <c r="L240" s="39"/>
      <c r="M240" s="39"/>
      <c r="N240" s="39"/>
      <c r="O240" s="39"/>
      <c r="P240" s="39"/>
      <c r="Q240" s="39"/>
      <c r="R240" s="39"/>
      <c r="S240" s="39"/>
      <c r="T240" s="3" t="s">
        <v>645</v>
      </c>
      <c r="U240" s="77" t="str">
        <f t="shared" si="1175"/>
        <v/>
      </c>
      <c r="V240" s="39">
        <v>1</v>
      </c>
      <c r="W240" s="79">
        <f t="shared" si="1189"/>
        <v>0</v>
      </c>
      <c r="X240" s="3">
        <v>0</v>
      </c>
      <c r="Y240" s="77" t="str">
        <f t="shared" si="1176"/>
        <v/>
      </c>
      <c r="Z240" s="3"/>
      <c r="AA240" s="37" t="str">
        <f t="shared" si="1190"/>
        <v/>
      </c>
      <c r="AC240" s="40"/>
      <c r="AD240" s="7"/>
      <c r="AE240" s="77" t="str">
        <f t="shared" si="1177"/>
        <v/>
      </c>
      <c r="AF240" s="81">
        <f t="shared" si="1203"/>
        <v>0</v>
      </c>
      <c r="AG240" s="40"/>
      <c r="AH240" s="7"/>
      <c r="AI240" s="77" t="str">
        <f t="shared" si="1178"/>
        <v/>
      </c>
      <c r="AJ240" s="81">
        <f t="shared" si="1204"/>
        <v>0</v>
      </c>
      <c r="AK240" s="83">
        <f t="shared" si="1205"/>
        <v>0</v>
      </c>
      <c r="AL240" s="83">
        <f t="shared" si="1206"/>
        <v>0</v>
      </c>
      <c r="AN240" s="43">
        <f t="shared" si="1179"/>
        <v>0</v>
      </c>
      <c r="AP240" t="str">
        <f t="shared" si="1207"/>
        <v/>
      </c>
      <c r="AQ240" t="str">
        <f t="shared" si="1208"/>
        <v/>
      </c>
      <c r="AR240" t="str">
        <f t="shared" si="1209"/>
        <v/>
      </c>
      <c r="AS240" t="str">
        <f t="shared" si="1210"/>
        <v/>
      </c>
      <c r="AT240" t="str">
        <f t="shared" si="1211"/>
        <v/>
      </c>
      <c r="AU240" t="str">
        <f t="shared" si="1212"/>
        <v/>
      </c>
      <c r="AV240" t="str">
        <f t="shared" si="1213"/>
        <v/>
      </c>
      <c r="AW240" t="str">
        <f t="shared" si="1214"/>
        <v xml:space="preserve">                              </v>
      </c>
      <c r="AX240" s="23">
        <f t="shared" si="1215"/>
        <v>0</v>
      </c>
      <c r="AY240" s="49" t="str">
        <f t="shared" si="1191"/>
        <v>000000000000000</v>
      </c>
      <c r="AZ240" s="23">
        <f t="shared" si="1216"/>
        <v>0</v>
      </c>
      <c r="BA240" s="49" t="str">
        <f t="shared" si="1191"/>
        <v>000000000000000</v>
      </c>
      <c r="BB240" s="23">
        <f t="shared" si="1217"/>
        <v>0</v>
      </c>
      <c r="BC240" s="49" t="str">
        <f t="shared" ref="BC240" si="1440">IF(BB240&lt;0,SUBSTITUTE(TEXT(BB240,"000000000000,00"),",",""),SUBSTITUTE(TEXT(BB240,"0000000000000,00"),",",""))</f>
        <v>000000000000000</v>
      </c>
      <c r="BD240" s="23">
        <f t="shared" si="1219"/>
        <v>0</v>
      </c>
      <c r="BE240" s="49" t="str">
        <f t="shared" ref="BE240" si="1441">IF(BD240&lt;0,SUBSTITUTE(TEXT(BD240,"000000000000,00"),",",""),SUBSTITUTE(TEXT(BD240,"0000000000000,00"),",",""))</f>
        <v>000000000000000</v>
      </c>
      <c r="BF240" s="23">
        <f t="shared" si="1221"/>
        <v>0</v>
      </c>
      <c r="BG240" s="49" t="str">
        <f t="shared" ref="BG240" si="1442">IF(BF240&lt;0,SUBSTITUTE(TEXT(BF240,"000000000000,00"),",",""),SUBSTITUTE(TEXT(BF240,"0000000000000,00"),",",""))</f>
        <v>000000000000000</v>
      </c>
      <c r="BH240" s="23">
        <f t="shared" si="1223"/>
        <v>0</v>
      </c>
      <c r="BI240" s="49" t="str">
        <f t="shared" ref="BI240" si="1443">IF(BH240&lt;0,SUBSTITUTE(TEXT(BH240,"000000000000,00"),",",""),SUBSTITUTE(TEXT(BH240,"0000000000000,00"),",",""))</f>
        <v>000000000000000</v>
      </c>
      <c r="BJ240" s="23">
        <f t="shared" si="1225"/>
        <v>0</v>
      </c>
      <c r="BK240" s="49" t="str">
        <f t="shared" ref="BK240" si="1444">IF(BJ240&lt;0,SUBSTITUTE(TEXT(BJ240,"000000000000,00"),",",""),SUBSTITUTE(TEXT(BJ240,"0000000000000,00"),",",""))</f>
        <v>000000000000000</v>
      </c>
      <c r="BL240" s="23">
        <f t="shared" si="1227"/>
        <v>0</v>
      </c>
      <c r="BM240" s="49" t="str">
        <f t="shared" ref="BM240" si="1445">IF(BL240&lt;0,SUBSTITUTE(TEXT(BL240,"000000000000,00"),",",""),SUBSTITUTE(TEXT(BL240,"0000000000000,00"),",",""))</f>
        <v>000000000000000</v>
      </c>
      <c r="BN240" t="str">
        <f t="shared" si="1229"/>
        <v>PES</v>
      </c>
      <c r="BO240" t="str">
        <f t="shared" si="1230"/>
        <v>0001000000</v>
      </c>
      <c r="BP240">
        <f t="shared" si="1231"/>
        <v>0</v>
      </c>
      <c r="BQ240">
        <f t="shared" si="1232"/>
        <v>0</v>
      </c>
      <c r="BR240" s="23">
        <f t="shared" si="1233"/>
        <v>0</v>
      </c>
      <c r="BS240" s="49" t="str">
        <f t="shared" si="1198"/>
        <v>000000000000000</v>
      </c>
      <c r="BT240" t="str">
        <f t="shared" si="1234"/>
        <v>00000000</v>
      </c>
      <c r="BU240" s="23">
        <f t="shared" si="1235"/>
        <v>0</v>
      </c>
      <c r="BV240" s="49" t="str">
        <f t="shared" si="1199"/>
        <v/>
      </c>
      <c r="BW240" s="52" t="str">
        <f t="shared" si="1236"/>
        <v/>
      </c>
      <c r="BX240" s="23">
        <f t="shared" si="1237"/>
        <v>0</v>
      </c>
      <c r="BY240" s="49" t="str">
        <f t="shared" si="1200"/>
        <v/>
      </c>
      <c r="BZ240" s="23">
        <f t="shared" si="1238"/>
        <v>0</v>
      </c>
      <c r="CA240" s="49" t="str">
        <f t="shared" si="1201"/>
        <v/>
      </c>
      <c r="CB240" s="52" t="str">
        <f t="shared" si="1239"/>
        <v/>
      </c>
      <c r="CC240" s="23">
        <f t="shared" si="1240"/>
        <v>0</v>
      </c>
      <c r="CD240" s="49" t="str">
        <f t="shared" si="1202"/>
        <v/>
      </c>
      <c r="CE240" s="56" t="str">
        <f>IF(CF240="","",MAX(CE$10:$CE239)+1)</f>
        <v/>
      </c>
      <c r="CF240" t="str">
        <f t="shared" si="1241"/>
        <v/>
      </c>
      <c r="CG240" s="22" t="str">
        <f>IF(CH240="","",MAX($CG$10:CG239)+1)</f>
        <v/>
      </c>
      <c r="CH240" s="22" t="str">
        <f t="shared" si="1186"/>
        <v/>
      </c>
      <c r="CI240" s="22" t="str">
        <f>IF(CJ240="","",MAX($CI$10:CI239)+1)</f>
        <v/>
      </c>
      <c r="CJ240" s="22" t="str">
        <f t="shared" si="1187"/>
        <v/>
      </c>
    </row>
    <row r="241" spans="2:88" x14ac:dyDescent="0.25">
      <c r="B241" s="37"/>
      <c r="C241" s="3"/>
      <c r="D241" s="77" t="str">
        <f t="shared" si="1173"/>
        <v/>
      </c>
      <c r="E241" s="38"/>
      <c r="F241" s="38"/>
      <c r="G241" s="78">
        <f t="shared" si="1188"/>
        <v>0</v>
      </c>
      <c r="H241" s="3">
        <v>80</v>
      </c>
      <c r="I241" s="77" t="str">
        <f t="shared" si="1174"/>
        <v/>
      </c>
      <c r="J241" s="32"/>
      <c r="K241" s="3"/>
      <c r="L241" s="39"/>
      <c r="M241" s="39"/>
      <c r="N241" s="39"/>
      <c r="O241" s="39"/>
      <c r="P241" s="39"/>
      <c r="Q241" s="39"/>
      <c r="R241" s="39"/>
      <c r="S241" s="39"/>
      <c r="T241" s="3" t="s">
        <v>645</v>
      </c>
      <c r="U241" s="77" t="str">
        <f t="shared" si="1175"/>
        <v/>
      </c>
      <c r="V241" s="39">
        <v>1</v>
      </c>
      <c r="W241" s="79">
        <f t="shared" si="1189"/>
        <v>0</v>
      </c>
      <c r="X241" s="3">
        <v>0</v>
      </c>
      <c r="Y241" s="77" t="str">
        <f t="shared" si="1176"/>
        <v/>
      </c>
      <c r="Z241" s="3"/>
      <c r="AA241" s="37" t="str">
        <f t="shared" si="1190"/>
        <v/>
      </c>
      <c r="AC241" s="40"/>
      <c r="AD241" s="7"/>
      <c r="AE241" s="77" t="str">
        <f t="shared" si="1177"/>
        <v/>
      </c>
      <c r="AF241" s="81">
        <f t="shared" si="1203"/>
        <v>0</v>
      </c>
      <c r="AG241" s="40"/>
      <c r="AH241" s="7"/>
      <c r="AI241" s="77" t="str">
        <f t="shared" si="1178"/>
        <v/>
      </c>
      <c r="AJ241" s="81">
        <f t="shared" si="1204"/>
        <v>0</v>
      </c>
      <c r="AK241" s="83">
        <f t="shared" si="1205"/>
        <v>0</v>
      </c>
      <c r="AL241" s="83">
        <f t="shared" si="1206"/>
        <v>0</v>
      </c>
      <c r="AN241" s="43">
        <f t="shared" si="1179"/>
        <v>0</v>
      </c>
      <c r="AP241" t="str">
        <f t="shared" si="1207"/>
        <v/>
      </c>
      <c r="AQ241" t="str">
        <f t="shared" si="1208"/>
        <v/>
      </c>
      <c r="AR241" t="str">
        <f t="shared" si="1209"/>
        <v/>
      </c>
      <c r="AS241" t="str">
        <f t="shared" si="1210"/>
        <v/>
      </c>
      <c r="AT241" t="str">
        <f t="shared" si="1211"/>
        <v/>
      </c>
      <c r="AU241" t="str">
        <f t="shared" si="1212"/>
        <v/>
      </c>
      <c r="AV241" t="str">
        <f t="shared" si="1213"/>
        <v/>
      </c>
      <c r="AW241" t="str">
        <f t="shared" si="1214"/>
        <v xml:space="preserve">                              </v>
      </c>
      <c r="AX241" s="23">
        <f t="shared" si="1215"/>
        <v>0</v>
      </c>
      <c r="AY241" s="49" t="str">
        <f t="shared" si="1191"/>
        <v>000000000000000</v>
      </c>
      <c r="AZ241" s="23">
        <f t="shared" si="1216"/>
        <v>0</v>
      </c>
      <c r="BA241" s="49" t="str">
        <f t="shared" si="1191"/>
        <v>000000000000000</v>
      </c>
      <c r="BB241" s="23">
        <f t="shared" si="1217"/>
        <v>0</v>
      </c>
      <c r="BC241" s="49" t="str">
        <f t="shared" ref="BC241" si="1446">IF(BB241&lt;0,SUBSTITUTE(TEXT(BB241,"000000000000,00"),",",""),SUBSTITUTE(TEXT(BB241,"0000000000000,00"),",",""))</f>
        <v>000000000000000</v>
      </c>
      <c r="BD241" s="23">
        <f t="shared" si="1219"/>
        <v>0</v>
      </c>
      <c r="BE241" s="49" t="str">
        <f t="shared" ref="BE241" si="1447">IF(BD241&lt;0,SUBSTITUTE(TEXT(BD241,"000000000000,00"),",",""),SUBSTITUTE(TEXT(BD241,"0000000000000,00"),",",""))</f>
        <v>000000000000000</v>
      </c>
      <c r="BF241" s="23">
        <f t="shared" si="1221"/>
        <v>0</v>
      </c>
      <c r="BG241" s="49" t="str">
        <f t="shared" ref="BG241" si="1448">IF(BF241&lt;0,SUBSTITUTE(TEXT(BF241,"000000000000,00"),",",""),SUBSTITUTE(TEXT(BF241,"0000000000000,00"),",",""))</f>
        <v>000000000000000</v>
      </c>
      <c r="BH241" s="23">
        <f t="shared" si="1223"/>
        <v>0</v>
      </c>
      <c r="BI241" s="49" t="str">
        <f t="shared" ref="BI241" si="1449">IF(BH241&lt;0,SUBSTITUTE(TEXT(BH241,"000000000000,00"),",",""),SUBSTITUTE(TEXT(BH241,"0000000000000,00"),",",""))</f>
        <v>000000000000000</v>
      </c>
      <c r="BJ241" s="23">
        <f t="shared" si="1225"/>
        <v>0</v>
      </c>
      <c r="BK241" s="49" t="str">
        <f t="shared" ref="BK241" si="1450">IF(BJ241&lt;0,SUBSTITUTE(TEXT(BJ241,"000000000000,00"),",",""),SUBSTITUTE(TEXT(BJ241,"0000000000000,00"),",",""))</f>
        <v>000000000000000</v>
      </c>
      <c r="BL241" s="23">
        <f t="shared" si="1227"/>
        <v>0</v>
      </c>
      <c r="BM241" s="49" t="str">
        <f t="shared" ref="BM241" si="1451">IF(BL241&lt;0,SUBSTITUTE(TEXT(BL241,"000000000000,00"),",",""),SUBSTITUTE(TEXT(BL241,"0000000000000,00"),",",""))</f>
        <v>000000000000000</v>
      </c>
      <c r="BN241" t="str">
        <f t="shared" si="1229"/>
        <v>PES</v>
      </c>
      <c r="BO241" t="str">
        <f t="shared" si="1230"/>
        <v>0001000000</v>
      </c>
      <c r="BP241">
        <f t="shared" si="1231"/>
        <v>0</v>
      </c>
      <c r="BQ241">
        <f t="shared" si="1232"/>
        <v>0</v>
      </c>
      <c r="BR241" s="23">
        <f t="shared" si="1233"/>
        <v>0</v>
      </c>
      <c r="BS241" s="49" t="str">
        <f t="shared" si="1198"/>
        <v>000000000000000</v>
      </c>
      <c r="BT241" t="str">
        <f t="shared" si="1234"/>
        <v>00000000</v>
      </c>
      <c r="BU241" s="23">
        <f t="shared" si="1235"/>
        <v>0</v>
      </c>
      <c r="BV241" s="49" t="str">
        <f t="shared" si="1199"/>
        <v/>
      </c>
      <c r="BW241" s="52" t="str">
        <f t="shared" si="1236"/>
        <v/>
      </c>
      <c r="BX241" s="23">
        <f t="shared" si="1237"/>
        <v>0</v>
      </c>
      <c r="BY241" s="49" t="str">
        <f t="shared" si="1200"/>
        <v/>
      </c>
      <c r="BZ241" s="23">
        <f t="shared" si="1238"/>
        <v>0</v>
      </c>
      <c r="CA241" s="49" t="str">
        <f t="shared" si="1201"/>
        <v/>
      </c>
      <c r="CB241" s="52" t="str">
        <f t="shared" si="1239"/>
        <v/>
      </c>
      <c r="CC241" s="23">
        <f t="shared" si="1240"/>
        <v>0</v>
      </c>
      <c r="CD241" s="49" t="str">
        <f t="shared" si="1202"/>
        <v/>
      </c>
      <c r="CE241" s="56" t="str">
        <f>IF(CF241="","",MAX(CE$10:$CE240)+1)</f>
        <v/>
      </c>
      <c r="CF241" t="str">
        <f t="shared" si="1241"/>
        <v/>
      </c>
      <c r="CG241" s="22" t="str">
        <f>IF(CH241="","",MAX($CG$10:CG240)+1)</f>
        <v/>
      </c>
      <c r="CH241" s="22" t="str">
        <f t="shared" si="1186"/>
        <v/>
      </c>
      <c r="CI241" s="22" t="str">
        <f>IF(CJ241="","",MAX($CI$10:CI240)+1)</f>
        <v/>
      </c>
      <c r="CJ241" s="22" t="str">
        <f t="shared" si="1187"/>
        <v/>
      </c>
    </row>
    <row r="242" spans="2:88" x14ac:dyDescent="0.25">
      <c r="B242" s="37"/>
      <c r="C242" s="3"/>
      <c r="D242" s="77" t="str">
        <f t="shared" si="1173"/>
        <v/>
      </c>
      <c r="E242" s="38"/>
      <c r="F242" s="38"/>
      <c r="G242" s="78">
        <f t="shared" si="1188"/>
        <v>0</v>
      </c>
      <c r="H242" s="3">
        <v>80</v>
      </c>
      <c r="I242" s="77" t="str">
        <f t="shared" si="1174"/>
        <v/>
      </c>
      <c r="J242" s="32"/>
      <c r="K242" s="3"/>
      <c r="L242" s="39"/>
      <c r="M242" s="39"/>
      <c r="N242" s="39"/>
      <c r="O242" s="39"/>
      <c r="P242" s="39"/>
      <c r="Q242" s="39"/>
      <c r="R242" s="39"/>
      <c r="S242" s="39"/>
      <c r="T242" s="3" t="s">
        <v>645</v>
      </c>
      <c r="U242" s="77" t="str">
        <f t="shared" si="1175"/>
        <v/>
      </c>
      <c r="V242" s="39">
        <v>1</v>
      </c>
      <c r="W242" s="79">
        <f t="shared" si="1189"/>
        <v>0</v>
      </c>
      <c r="X242" s="3">
        <v>0</v>
      </c>
      <c r="Y242" s="77" t="str">
        <f t="shared" si="1176"/>
        <v/>
      </c>
      <c r="Z242" s="3"/>
      <c r="AA242" s="37" t="str">
        <f t="shared" si="1190"/>
        <v/>
      </c>
      <c r="AC242" s="40"/>
      <c r="AD242" s="7"/>
      <c r="AE242" s="77" t="str">
        <f t="shared" si="1177"/>
        <v/>
      </c>
      <c r="AF242" s="81">
        <f t="shared" si="1203"/>
        <v>0</v>
      </c>
      <c r="AG242" s="40"/>
      <c r="AH242" s="7"/>
      <c r="AI242" s="77" t="str">
        <f t="shared" si="1178"/>
        <v/>
      </c>
      <c r="AJ242" s="81">
        <f t="shared" si="1204"/>
        <v>0</v>
      </c>
      <c r="AK242" s="83">
        <f t="shared" si="1205"/>
        <v>0</v>
      </c>
      <c r="AL242" s="83">
        <f t="shared" si="1206"/>
        <v>0</v>
      </c>
      <c r="AN242" s="43">
        <f t="shared" si="1179"/>
        <v>0</v>
      </c>
      <c r="AP242" t="str">
        <f t="shared" si="1207"/>
        <v/>
      </c>
      <c r="AQ242" t="str">
        <f t="shared" si="1208"/>
        <v/>
      </c>
      <c r="AR242" t="str">
        <f t="shared" si="1209"/>
        <v/>
      </c>
      <c r="AS242" t="str">
        <f t="shared" si="1210"/>
        <v/>
      </c>
      <c r="AT242" t="str">
        <f t="shared" si="1211"/>
        <v/>
      </c>
      <c r="AU242" t="str">
        <f t="shared" si="1212"/>
        <v/>
      </c>
      <c r="AV242" t="str">
        <f t="shared" si="1213"/>
        <v/>
      </c>
      <c r="AW242" t="str">
        <f t="shared" si="1214"/>
        <v xml:space="preserve">                              </v>
      </c>
      <c r="AX242" s="23">
        <f t="shared" si="1215"/>
        <v>0</v>
      </c>
      <c r="AY242" s="49" t="str">
        <f t="shared" si="1191"/>
        <v>000000000000000</v>
      </c>
      <c r="AZ242" s="23">
        <f t="shared" si="1216"/>
        <v>0</v>
      </c>
      <c r="BA242" s="49" t="str">
        <f t="shared" si="1191"/>
        <v>000000000000000</v>
      </c>
      <c r="BB242" s="23">
        <f t="shared" si="1217"/>
        <v>0</v>
      </c>
      <c r="BC242" s="49" t="str">
        <f t="shared" ref="BC242" si="1452">IF(BB242&lt;0,SUBSTITUTE(TEXT(BB242,"000000000000,00"),",",""),SUBSTITUTE(TEXT(BB242,"0000000000000,00"),",",""))</f>
        <v>000000000000000</v>
      </c>
      <c r="BD242" s="23">
        <f t="shared" si="1219"/>
        <v>0</v>
      </c>
      <c r="BE242" s="49" t="str">
        <f t="shared" ref="BE242" si="1453">IF(BD242&lt;0,SUBSTITUTE(TEXT(BD242,"000000000000,00"),",",""),SUBSTITUTE(TEXT(BD242,"0000000000000,00"),",",""))</f>
        <v>000000000000000</v>
      </c>
      <c r="BF242" s="23">
        <f t="shared" si="1221"/>
        <v>0</v>
      </c>
      <c r="BG242" s="49" t="str">
        <f t="shared" ref="BG242" si="1454">IF(BF242&lt;0,SUBSTITUTE(TEXT(BF242,"000000000000,00"),",",""),SUBSTITUTE(TEXT(BF242,"0000000000000,00"),",",""))</f>
        <v>000000000000000</v>
      </c>
      <c r="BH242" s="23">
        <f t="shared" si="1223"/>
        <v>0</v>
      </c>
      <c r="BI242" s="49" t="str">
        <f t="shared" ref="BI242" si="1455">IF(BH242&lt;0,SUBSTITUTE(TEXT(BH242,"000000000000,00"),",",""),SUBSTITUTE(TEXT(BH242,"0000000000000,00"),",",""))</f>
        <v>000000000000000</v>
      </c>
      <c r="BJ242" s="23">
        <f t="shared" si="1225"/>
        <v>0</v>
      </c>
      <c r="BK242" s="49" t="str">
        <f t="shared" ref="BK242" si="1456">IF(BJ242&lt;0,SUBSTITUTE(TEXT(BJ242,"000000000000,00"),",",""),SUBSTITUTE(TEXT(BJ242,"0000000000000,00"),",",""))</f>
        <v>000000000000000</v>
      </c>
      <c r="BL242" s="23">
        <f t="shared" si="1227"/>
        <v>0</v>
      </c>
      <c r="BM242" s="49" t="str">
        <f t="shared" ref="BM242" si="1457">IF(BL242&lt;0,SUBSTITUTE(TEXT(BL242,"000000000000,00"),",",""),SUBSTITUTE(TEXT(BL242,"0000000000000,00"),",",""))</f>
        <v>000000000000000</v>
      </c>
      <c r="BN242" t="str">
        <f t="shared" si="1229"/>
        <v>PES</v>
      </c>
      <c r="BO242" t="str">
        <f t="shared" si="1230"/>
        <v>0001000000</v>
      </c>
      <c r="BP242">
        <f t="shared" si="1231"/>
        <v>0</v>
      </c>
      <c r="BQ242">
        <f t="shared" si="1232"/>
        <v>0</v>
      </c>
      <c r="BR242" s="23">
        <f t="shared" si="1233"/>
        <v>0</v>
      </c>
      <c r="BS242" s="49" t="str">
        <f t="shared" si="1198"/>
        <v>000000000000000</v>
      </c>
      <c r="BT242" t="str">
        <f t="shared" si="1234"/>
        <v>00000000</v>
      </c>
      <c r="BU242" s="23">
        <f t="shared" si="1235"/>
        <v>0</v>
      </c>
      <c r="BV242" s="49" t="str">
        <f t="shared" si="1199"/>
        <v/>
      </c>
      <c r="BW242" s="52" t="str">
        <f t="shared" si="1236"/>
        <v/>
      </c>
      <c r="BX242" s="23">
        <f t="shared" si="1237"/>
        <v>0</v>
      </c>
      <c r="BY242" s="49" t="str">
        <f t="shared" si="1200"/>
        <v/>
      </c>
      <c r="BZ242" s="23">
        <f t="shared" si="1238"/>
        <v>0</v>
      </c>
      <c r="CA242" s="49" t="str">
        <f t="shared" si="1201"/>
        <v/>
      </c>
      <c r="CB242" s="52" t="str">
        <f t="shared" si="1239"/>
        <v/>
      </c>
      <c r="CC242" s="23">
        <f t="shared" si="1240"/>
        <v>0</v>
      </c>
      <c r="CD242" s="49" t="str">
        <f t="shared" si="1202"/>
        <v/>
      </c>
      <c r="CE242" s="56" t="str">
        <f>IF(CF242="","",MAX(CE$10:$CE241)+1)</f>
        <v/>
      </c>
      <c r="CF242" t="str">
        <f t="shared" si="1241"/>
        <v/>
      </c>
      <c r="CG242" s="22" t="str">
        <f>IF(CH242="","",MAX($CG$10:CG241)+1)</f>
        <v/>
      </c>
      <c r="CH242" s="22" t="str">
        <f t="shared" si="1186"/>
        <v/>
      </c>
      <c r="CI242" s="22" t="str">
        <f>IF(CJ242="","",MAX($CI$10:CI241)+1)</f>
        <v/>
      </c>
      <c r="CJ242" s="22" t="str">
        <f t="shared" si="1187"/>
        <v/>
      </c>
    </row>
    <row r="243" spans="2:88" x14ac:dyDescent="0.25">
      <c r="B243" s="37"/>
      <c r="C243" s="3"/>
      <c r="D243" s="77" t="str">
        <f t="shared" si="1173"/>
        <v/>
      </c>
      <c r="E243" s="38"/>
      <c r="F243" s="38"/>
      <c r="G243" s="78">
        <f t="shared" si="1188"/>
        <v>0</v>
      </c>
      <c r="H243" s="3">
        <v>80</v>
      </c>
      <c r="I243" s="77" t="str">
        <f t="shared" si="1174"/>
        <v/>
      </c>
      <c r="J243" s="32"/>
      <c r="K243" s="3"/>
      <c r="L243" s="39"/>
      <c r="M243" s="39"/>
      <c r="N243" s="39"/>
      <c r="O243" s="39"/>
      <c r="P243" s="39"/>
      <c r="Q243" s="39"/>
      <c r="R243" s="39"/>
      <c r="S243" s="39"/>
      <c r="T243" s="3" t="s">
        <v>645</v>
      </c>
      <c r="U243" s="77" t="str">
        <f t="shared" si="1175"/>
        <v/>
      </c>
      <c r="V243" s="39">
        <v>1</v>
      </c>
      <c r="W243" s="79">
        <f t="shared" si="1189"/>
        <v>0</v>
      </c>
      <c r="X243" s="3">
        <v>0</v>
      </c>
      <c r="Y243" s="77" t="str">
        <f t="shared" si="1176"/>
        <v/>
      </c>
      <c r="Z243" s="3"/>
      <c r="AA243" s="37" t="str">
        <f t="shared" si="1190"/>
        <v/>
      </c>
      <c r="AC243" s="40"/>
      <c r="AD243" s="7"/>
      <c r="AE243" s="77" t="str">
        <f t="shared" si="1177"/>
        <v/>
      </c>
      <c r="AF243" s="81">
        <f t="shared" si="1203"/>
        <v>0</v>
      </c>
      <c r="AG243" s="40"/>
      <c r="AH243" s="7"/>
      <c r="AI243" s="77" t="str">
        <f t="shared" si="1178"/>
        <v/>
      </c>
      <c r="AJ243" s="81">
        <f t="shared" si="1204"/>
        <v>0</v>
      </c>
      <c r="AK243" s="83">
        <f t="shared" si="1205"/>
        <v>0</v>
      </c>
      <c r="AL243" s="83">
        <f t="shared" si="1206"/>
        <v>0</v>
      </c>
      <c r="AN243" s="43">
        <f t="shared" si="1179"/>
        <v>0</v>
      </c>
      <c r="AP243" t="str">
        <f t="shared" si="1207"/>
        <v/>
      </c>
      <c r="AQ243" t="str">
        <f t="shared" si="1208"/>
        <v/>
      </c>
      <c r="AR243" t="str">
        <f t="shared" si="1209"/>
        <v/>
      </c>
      <c r="AS243" t="str">
        <f t="shared" si="1210"/>
        <v/>
      </c>
      <c r="AT243" t="str">
        <f t="shared" si="1211"/>
        <v/>
      </c>
      <c r="AU243" t="str">
        <f t="shared" si="1212"/>
        <v/>
      </c>
      <c r="AV243" t="str">
        <f t="shared" si="1213"/>
        <v/>
      </c>
      <c r="AW243" t="str">
        <f t="shared" si="1214"/>
        <v xml:space="preserve">                              </v>
      </c>
      <c r="AX243" s="23">
        <f t="shared" si="1215"/>
        <v>0</v>
      </c>
      <c r="AY243" s="49" t="str">
        <f t="shared" si="1191"/>
        <v>000000000000000</v>
      </c>
      <c r="AZ243" s="23">
        <f t="shared" si="1216"/>
        <v>0</v>
      </c>
      <c r="BA243" s="49" t="str">
        <f t="shared" si="1191"/>
        <v>000000000000000</v>
      </c>
      <c r="BB243" s="23">
        <f t="shared" si="1217"/>
        <v>0</v>
      </c>
      <c r="BC243" s="49" t="str">
        <f t="shared" ref="BC243" si="1458">IF(BB243&lt;0,SUBSTITUTE(TEXT(BB243,"000000000000,00"),",",""),SUBSTITUTE(TEXT(BB243,"0000000000000,00"),",",""))</f>
        <v>000000000000000</v>
      </c>
      <c r="BD243" s="23">
        <f t="shared" si="1219"/>
        <v>0</v>
      </c>
      <c r="BE243" s="49" t="str">
        <f t="shared" ref="BE243" si="1459">IF(BD243&lt;0,SUBSTITUTE(TEXT(BD243,"000000000000,00"),",",""),SUBSTITUTE(TEXT(BD243,"0000000000000,00"),",",""))</f>
        <v>000000000000000</v>
      </c>
      <c r="BF243" s="23">
        <f t="shared" si="1221"/>
        <v>0</v>
      </c>
      <c r="BG243" s="49" t="str">
        <f t="shared" ref="BG243" si="1460">IF(BF243&lt;0,SUBSTITUTE(TEXT(BF243,"000000000000,00"),",",""),SUBSTITUTE(TEXT(BF243,"0000000000000,00"),",",""))</f>
        <v>000000000000000</v>
      </c>
      <c r="BH243" s="23">
        <f t="shared" si="1223"/>
        <v>0</v>
      </c>
      <c r="BI243" s="49" t="str">
        <f t="shared" ref="BI243" si="1461">IF(BH243&lt;0,SUBSTITUTE(TEXT(BH243,"000000000000,00"),",",""),SUBSTITUTE(TEXT(BH243,"0000000000000,00"),",",""))</f>
        <v>000000000000000</v>
      </c>
      <c r="BJ243" s="23">
        <f t="shared" si="1225"/>
        <v>0</v>
      </c>
      <c r="BK243" s="49" t="str">
        <f t="shared" ref="BK243" si="1462">IF(BJ243&lt;0,SUBSTITUTE(TEXT(BJ243,"000000000000,00"),",",""),SUBSTITUTE(TEXT(BJ243,"0000000000000,00"),",",""))</f>
        <v>000000000000000</v>
      </c>
      <c r="BL243" s="23">
        <f t="shared" si="1227"/>
        <v>0</v>
      </c>
      <c r="BM243" s="49" t="str">
        <f t="shared" ref="BM243" si="1463">IF(BL243&lt;0,SUBSTITUTE(TEXT(BL243,"000000000000,00"),",",""),SUBSTITUTE(TEXT(BL243,"0000000000000,00"),",",""))</f>
        <v>000000000000000</v>
      </c>
      <c r="BN243" t="str">
        <f t="shared" si="1229"/>
        <v>PES</v>
      </c>
      <c r="BO243" t="str">
        <f t="shared" si="1230"/>
        <v>0001000000</v>
      </c>
      <c r="BP243">
        <f t="shared" si="1231"/>
        <v>0</v>
      </c>
      <c r="BQ243">
        <f t="shared" si="1232"/>
        <v>0</v>
      </c>
      <c r="BR243" s="23">
        <f t="shared" si="1233"/>
        <v>0</v>
      </c>
      <c r="BS243" s="49" t="str">
        <f t="shared" si="1198"/>
        <v>000000000000000</v>
      </c>
      <c r="BT243" t="str">
        <f t="shared" si="1234"/>
        <v>00000000</v>
      </c>
      <c r="BU243" s="23">
        <f t="shared" si="1235"/>
        <v>0</v>
      </c>
      <c r="BV243" s="49" t="str">
        <f t="shared" si="1199"/>
        <v/>
      </c>
      <c r="BW243" s="52" t="str">
        <f t="shared" si="1236"/>
        <v/>
      </c>
      <c r="BX243" s="23">
        <f t="shared" si="1237"/>
        <v>0</v>
      </c>
      <c r="BY243" s="49" t="str">
        <f t="shared" si="1200"/>
        <v/>
      </c>
      <c r="BZ243" s="23">
        <f t="shared" si="1238"/>
        <v>0</v>
      </c>
      <c r="CA243" s="49" t="str">
        <f t="shared" si="1201"/>
        <v/>
      </c>
      <c r="CB243" s="52" t="str">
        <f t="shared" si="1239"/>
        <v/>
      </c>
      <c r="CC243" s="23">
        <f t="shared" si="1240"/>
        <v>0</v>
      </c>
      <c r="CD243" s="49" t="str">
        <f t="shared" si="1202"/>
        <v/>
      </c>
      <c r="CE243" s="56" t="str">
        <f>IF(CF243="","",MAX(CE$10:$CE242)+1)</f>
        <v/>
      </c>
      <c r="CF243" t="str">
        <f t="shared" si="1241"/>
        <v/>
      </c>
      <c r="CG243" s="22" t="str">
        <f>IF(CH243="","",MAX($CG$10:CG242)+1)</f>
        <v/>
      </c>
      <c r="CH243" s="22" t="str">
        <f t="shared" si="1186"/>
        <v/>
      </c>
      <c r="CI243" s="22" t="str">
        <f>IF(CJ243="","",MAX($CI$10:CI242)+1)</f>
        <v/>
      </c>
      <c r="CJ243" s="22" t="str">
        <f t="shared" si="1187"/>
        <v/>
      </c>
    </row>
    <row r="244" spans="2:88" x14ac:dyDescent="0.25">
      <c r="B244" s="37"/>
      <c r="C244" s="3"/>
      <c r="D244" s="77" t="str">
        <f t="shared" si="1173"/>
        <v/>
      </c>
      <c r="E244" s="38"/>
      <c r="F244" s="38"/>
      <c r="G244" s="78">
        <f t="shared" si="1188"/>
        <v>0</v>
      </c>
      <c r="H244" s="3">
        <v>80</v>
      </c>
      <c r="I244" s="77" t="str">
        <f t="shared" si="1174"/>
        <v/>
      </c>
      <c r="J244" s="32"/>
      <c r="K244" s="3"/>
      <c r="L244" s="39"/>
      <c r="M244" s="39"/>
      <c r="N244" s="39"/>
      <c r="O244" s="39"/>
      <c r="P244" s="39"/>
      <c r="Q244" s="39"/>
      <c r="R244" s="39"/>
      <c r="S244" s="39"/>
      <c r="T244" s="3" t="s">
        <v>645</v>
      </c>
      <c r="U244" s="77" t="str">
        <f t="shared" si="1175"/>
        <v/>
      </c>
      <c r="V244" s="39">
        <v>1</v>
      </c>
      <c r="W244" s="79">
        <f t="shared" si="1189"/>
        <v>0</v>
      </c>
      <c r="X244" s="3">
        <v>0</v>
      </c>
      <c r="Y244" s="77" t="str">
        <f t="shared" si="1176"/>
        <v/>
      </c>
      <c r="Z244" s="3"/>
      <c r="AA244" s="37" t="str">
        <f t="shared" si="1190"/>
        <v/>
      </c>
      <c r="AC244" s="40"/>
      <c r="AD244" s="7"/>
      <c r="AE244" s="77" t="str">
        <f t="shared" si="1177"/>
        <v/>
      </c>
      <c r="AF244" s="81">
        <f t="shared" si="1203"/>
        <v>0</v>
      </c>
      <c r="AG244" s="40"/>
      <c r="AH244" s="7"/>
      <c r="AI244" s="77" t="str">
        <f t="shared" si="1178"/>
        <v/>
      </c>
      <c r="AJ244" s="81">
        <f t="shared" si="1204"/>
        <v>0</v>
      </c>
      <c r="AK244" s="83">
        <f t="shared" si="1205"/>
        <v>0</v>
      </c>
      <c r="AL244" s="83">
        <f t="shared" si="1206"/>
        <v>0</v>
      </c>
      <c r="AN244" s="43">
        <f t="shared" si="1179"/>
        <v>0</v>
      </c>
      <c r="AP244" t="str">
        <f t="shared" si="1207"/>
        <v/>
      </c>
      <c r="AQ244" t="str">
        <f t="shared" si="1208"/>
        <v/>
      </c>
      <c r="AR244" t="str">
        <f t="shared" si="1209"/>
        <v/>
      </c>
      <c r="AS244" t="str">
        <f t="shared" si="1210"/>
        <v/>
      </c>
      <c r="AT244" t="str">
        <f t="shared" si="1211"/>
        <v/>
      </c>
      <c r="AU244" t="str">
        <f t="shared" si="1212"/>
        <v/>
      </c>
      <c r="AV244" t="str">
        <f t="shared" si="1213"/>
        <v/>
      </c>
      <c r="AW244" t="str">
        <f t="shared" si="1214"/>
        <v xml:space="preserve">                              </v>
      </c>
      <c r="AX244" s="23">
        <f t="shared" si="1215"/>
        <v>0</v>
      </c>
      <c r="AY244" s="49" t="str">
        <f t="shared" si="1191"/>
        <v>000000000000000</v>
      </c>
      <c r="AZ244" s="23">
        <f t="shared" si="1216"/>
        <v>0</v>
      </c>
      <c r="BA244" s="49" t="str">
        <f t="shared" si="1191"/>
        <v>000000000000000</v>
      </c>
      <c r="BB244" s="23">
        <f t="shared" si="1217"/>
        <v>0</v>
      </c>
      <c r="BC244" s="49" t="str">
        <f t="shared" ref="BC244" si="1464">IF(BB244&lt;0,SUBSTITUTE(TEXT(BB244,"000000000000,00"),",",""),SUBSTITUTE(TEXT(BB244,"0000000000000,00"),",",""))</f>
        <v>000000000000000</v>
      </c>
      <c r="BD244" s="23">
        <f t="shared" si="1219"/>
        <v>0</v>
      </c>
      <c r="BE244" s="49" t="str">
        <f t="shared" ref="BE244" si="1465">IF(BD244&lt;0,SUBSTITUTE(TEXT(BD244,"000000000000,00"),",",""),SUBSTITUTE(TEXT(BD244,"0000000000000,00"),",",""))</f>
        <v>000000000000000</v>
      </c>
      <c r="BF244" s="23">
        <f t="shared" si="1221"/>
        <v>0</v>
      </c>
      <c r="BG244" s="49" t="str">
        <f t="shared" ref="BG244" si="1466">IF(BF244&lt;0,SUBSTITUTE(TEXT(BF244,"000000000000,00"),",",""),SUBSTITUTE(TEXT(BF244,"0000000000000,00"),",",""))</f>
        <v>000000000000000</v>
      </c>
      <c r="BH244" s="23">
        <f t="shared" si="1223"/>
        <v>0</v>
      </c>
      <c r="BI244" s="49" t="str">
        <f t="shared" ref="BI244" si="1467">IF(BH244&lt;0,SUBSTITUTE(TEXT(BH244,"000000000000,00"),",",""),SUBSTITUTE(TEXT(BH244,"0000000000000,00"),",",""))</f>
        <v>000000000000000</v>
      </c>
      <c r="BJ244" s="23">
        <f t="shared" si="1225"/>
        <v>0</v>
      </c>
      <c r="BK244" s="49" t="str">
        <f t="shared" ref="BK244" si="1468">IF(BJ244&lt;0,SUBSTITUTE(TEXT(BJ244,"000000000000,00"),",",""),SUBSTITUTE(TEXT(BJ244,"0000000000000,00"),",",""))</f>
        <v>000000000000000</v>
      </c>
      <c r="BL244" s="23">
        <f t="shared" si="1227"/>
        <v>0</v>
      </c>
      <c r="BM244" s="49" t="str">
        <f t="shared" ref="BM244" si="1469">IF(BL244&lt;0,SUBSTITUTE(TEXT(BL244,"000000000000,00"),",",""),SUBSTITUTE(TEXT(BL244,"0000000000000,00"),",",""))</f>
        <v>000000000000000</v>
      </c>
      <c r="BN244" t="str">
        <f t="shared" si="1229"/>
        <v>PES</v>
      </c>
      <c r="BO244" t="str">
        <f t="shared" si="1230"/>
        <v>0001000000</v>
      </c>
      <c r="BP244">
        <f t="shared" si="1231"/>
        <v>0</v>
      </c>
      <c r="BQ244">
        <f t="shared" si="1232"/>
        <v>0</v>
      </c>
      <c r="BR244" s="23">
        <f t="shared" si="1233"/>
        <v>0</v>
      </c>
      <c r="BS244" s="49" t="str">
        <f t="shared" si="1198"/>
        <v>000000000000000</v>
      </c>
      <c r="BT244" t="str">
        <f t="shared" si="1234"/>
        <v>00000000</v>
      </c>
      <c r="BU244" s="23">
        <f t="shared" si="1235"/>
        <v>0</v>
      </c>
      <c r="BV244" s="49" t="str">
        <f t="shared" si="1199"/>
        <v/>
      </c>
      <c r="BW244" s="52" t="str">
        <f t="shared" si="1236"/>
        <v/>
      </c>
      <c r="BX244" s="23">
        <f t="shared" si="1237"/>
        <v>0</v>
      </c>
      <c r="BY244" s="49" t="str">
        <f t="shared" si="1200"/>
        <v/>
      </c>
      <c r="BZ244" s="23">
        <f t="shared" si="1238"/>
        <v>0</v>
      </c>
      <c r="CA244" s="49" t="str">
        <f t="shared" si="1201"/>
        <v/>
      </c>
      <c r="CB244" s="52" t="str">
        <f t="shared" si="1239"/>
        <v/>
      </c>
      <c r="CC244" s="23">
        <f t="shared" si="1240"/>
        <v>0</v>
      </c>
      <c r="CD244" s="49" t="str">
        <f t="shared" si="1202"/>
        <v/>
      </c>
      <c r="CE244" s="56" t="str">
        <f>IF(CF244="","",MAX(CE$10:$CE243)+1)</f>
        <v/>
      </c>
      <c r="CF244" t="str">
        <f t="shared" si="1241"/>
        <v/>
      </c>
      <c r="CG244" s="22" t="str">
        <f>IF(CH244="","",MAX($CG$10:CG243)+1)</f>
        <v/>
      </c>
      <c r="CH244" s="22" t="str">
        <f t="shared" si="1186"/>
        <v/>
      </c>
      <c r="CI244" s="22" t="str">
        <f>IF(CJ244="","",MAX($CI$10:CI243)+1)</f>
        <v/>
      </c>
      <c r="CJ244" s="22" t="str">
        <f t="shared" si="1187"/>
        <v/>
      </c>
    </row>
    <row r="245" spans="2:88" x14ac:dyDescent="0.25">
      <c r="B245" s="37"/>
      <c r="C245" s="3"/>
      <c r="D245" s="77" t="str">
        <f t="shared" si="1173"/>
        <v/>
      </c>
      <c r="E245" s="38"/>
      <c r="F245" s="38"/>
      <c r="G245" s="78">
        <f t="shared" si="1188"/>
        <v>0</v>
      </c>
      <c r="H245" s="3">
        <v>80</v>
      </c>
      <c r="I245" s="77" t="str">
        <f t="shared" si="1174"/>
        <v/>
      </c>
      <c r="J245" s="32"/>
      <c r="K245" s="3"/>
      <c r="L245" s="39"/>
      <c r="M245" s="39"/>
      <c r="N245" s="39"/>
      <c r="O245" s="39"/>
      <c r="P245" s="39"/>
      <c r="Q245" s="39"/>
      <c r="R245" s="39"/>
      <c r="S245" s="39"/>
      <c r="T245" s="3" t="s">
        <v>645</v>
      </c>
      <c r="U245" s="77" t="str">
        <f t="shared" si="1175"/>
        <v/>
      </c>
      <c r="V245" s="39">
        <v>1</v>
      </c>
      <c r="W245" s="79">
        <f t="shared" si="1189"/>
        <v>0</v>
      </c>
      <c r="X245" s="3">
        <v>0</v>
      </c>
      <c r="Y245" s="77" t="str">
        <f t="shared" si="1176"/>
        <v/>
      </c>
      <c r="Z245" s="3"/>
      <c r="AA245" s="37" t="str">
        <f t="shared" si="1190"/>
        <v/>
      </c>
      <c r="AC245" s="40"/>
      <c r="AD245" s="7"/>
      <c r="AE245" s="77" t="str">
        <f t="shared" si="1177"/>
        <v/>
      </c>
      <c r="AF245" s="81">
        <f t="shared" si="1203"/>
        <v>0</v>
      </c>
      <c r="AG245" s="40"/>
      <c r="AH245" s="7"/>
      <c r="AI245" s="77" t="str">
        <f t="shared" si="1178"/>
        <v/>
      </c>
      <c r="AJ245" s="81">
        <f t="shared" si="1204"/>
        <v>0</v>
      </c>
      <c r="AK245" s="83">
        <f t="shared" si="1205"/>
        <v>0</v>
      </c>
      <c r="AL245" s="83">
        <f t="shared" si="1206"/>
        <v>0</v>
      </c>
      <c r="AN245" s="43">
        <f t="shared" si="1179"/>
        <v>0</v>
      </c>
      <c r="AP245" t="str">
        <f t="shared" si="1207"/>
        <v/>
      </c>
      <c r="AQ245" t="str">
        <f t="shared" si="1208"/>
        <v/>
      </c>
      <c r="AR245" t="str">
        <f t="shared" si="1209"/>
        <v/>
      </c>
      <c r="AS245" t="str">
        <f t="shared" si="1210"/>
        <v/>
      </c>
      <c r="AT245" t="str">
        <f t="shared" si="1211"/>
        <v/>
      </c>
      <c r="AU245" t="str">
        <f t="shared" si="1212"/>
        <v/>
      </c>
      <c r="AV245" t="str">
        <f t="shared" si="1213"/>
        <v/>
      </c>
      <c r="AW245" t="str">
        <f t="shared" si="1214"/>
        <v xml:space="preserve">                              </v>
      </c>
      <c r="AX245" s="23">
        <f t="shared" si="1215"/>
        <v>0</v>
      </c>
      <c r="AY245" s="49" t="str">
        <f t="shared" si="1191"/>
        <v>000000000000000</v>
      </c>
      <c r="AZ245" s="23">
        <f t="shared" si="1216"/>
        <v>0</v>
      </c>
      <c r="BA245" s="49" t="str">
        <f t="shared" si="1191"/>
        <v>000000000000000</v>
      </c>
      <c r="BB245" s="23">
        <f t="shared" si="1217"/>
        <v>0</v>
      </c>
      <c r="BC245" s="49" t="str">
        <f t="shared" ref="BC245" si="1470">IF(BB245&lt;0,SUBSTITUTE(TEXT(BB245,"000000000000,00"),",",""),SUBSTITUTE(TEXT(BB245,"0000000000000,00"),",",""))</f>
        <v>000000000000000</v>
      </c>
      <c r="BD245" s="23">
        <f t="shared" si="1219"/>
        <v>0</v>
      </c>
      <c r="BE245" s="49" t="str">
        <f t="shared" ref="BE245" si="1471">IF(BD245&lt;0,SUBSTITUTE(TEXT(BD245,"000000000000,00"),",",""),SUBSTITUTE(TEXT(BD245,"0000000000000,00"),",",""))</f>
        <v>000000000000000</v>
      </c>
      <c r="BF245" s="23">
        <f t="shared" si="1221"/>
        <v>0</v>
      </c>
      <c r="BG245" s="49" t="str">
        <f t="shared" ref="BG245" si="1472">IF(BF245&lt;0,SUBSTITUTE(TEXT(BF245,"000000000000,00"),",",""),SUBSTITUTE(TEXT(BF245,"0000000000000,00"),",",""))</f>
        <v>000000000000000</v>
      </c>
      <c r="BH245" s="23">
        <f t="shared" si="1223"/>
        <v>0</v>
      </c>
      <c r="BI245" s="49" t="str">
        <f t="shared" ref="BI245" si="1473">IF(BH245&lt;0,SUBSTITUTE(TEXT(BH245,"000000000000,00"),",",""),SUBSTITUTE(TEXT(BH245,"0000000000000,00"),",",""))</f>
        <v>000000000000000</v>
      </c>
      <c r="BJ245" s="23">
        <f t="shared" si="1225"/>
        <v>0</v>
      </c>
      <c r="BK245" s="49" t="str">
        <f t="shared" ref="BK245" si="1474">IF(BJ245&lt;0,SUBSTITUTE(TEXT(BJ245,"000000000000,00"),",",""),SUBSTITUTE(TEXT(BJ245,"0000000000000,00"),",",""))</f>
        <v>000000000000000</v>
      </c>
      <c r="BL245" s="23">
        <f t="shared" si="1227"/>
        <v>0</v>
      </c>
      <c r="BM245" s="49" t="str">
        <f t="shared" ref="BM245" si="1475">IF(BL245&lt;0,SUBSTITUTE(TEXT(BL245,"000000000000,00"),",",""),SUBSTITUTE(TEXT(BL245,"0000000000000,00"),",",""))</f>
        <v>000000000000000</v>
      </c>
      <c r="BN245" t="str">
        <f t="shared" si="1229"/>
        <v>PES</v>
      </c>
      <c r="BO245" t="str">
        <f t="shared" si="1230"/>
        <v>0001000000</v>
      </c>
      <c r="BP245">
        <f t="shared" si="1231"/>
        <v>0</v>
      </c>
      <c r="BQ245">
        <f t="shared" si="1232"/>
        <v>0</v>
      </c>
      <c r="BR245" s="23">
        <f t="shared" si="1233"/>
        <v>0</v>
      </c>
      <c r="BS245" s="49" t="str">
        <f t="shared" si="1198"/>
        <v>000000000000000</v>
      </c>
      <c r="BT245" t="str">
        <f t="shared" si="1234"/>
        <v>00000000</v>
      </c>
      <c r="BU245" s="23">
        <f t="shared" si="1235"/>
        <v>0</v>
      </c>
      <c r="BV245" s="49" t="str">
        <f t="shared" si="1199"/>
        <v/>
      </c>
      <c r="BW245" s="52" t="str">
        <f t="shared" si="1236"/>
        <v/>
      </c>
      <c r="BX245" s="23">
        <f t="shared" si="1237"/>
        <v>0</v>
      </c>
      <c r="BY245" s="49" t="str">
        <f t="shared" si="1200"/>
        <v/>
      </c>
      <c r="BZ245" s="23">
        <f t="shared" si="1238"/>
        <v>0</v>
      </c>
      <c r="CA245" s="49" t="str">
        <f t="shared" si="1201"/>
        <v/>
      </c>
      <c r="CB245" s="52" t="str">
        <f t="shared" si="1239"/>
        <v/>
      </c>
      <c r="CC245" s="23">
        <f t="shared" si="1240"/>
        <v>0</v>
      </c>
      <c r="CD245" s="49" t="str">
        <f t="shared" si="1202"/>
        <v/>
      </c>
      <c r="CE245" s="56" t="str">
        <f>IF(CF245="","",MAX(CE$10:$CE244)+1)</f>
        <v/>
      </c>
      <c r="CF245" t="str">
        <f t="shared" si="1241"/>
        <v/>
      </c>
      <c r="CG245" s="22" t="str">
        <f>IF(CH245="","",MAX($CG$10:CG244)+1)</f>
        <v/>
      </c>
      <c r="CH245" s="22" t="str">
        <f t="shared" si="1186"/>
        <v/>
      </c>
      <c r="CI245" s="22" t="str">
        <f>IF(CJ245="","",MAX($CI$10:CI244)+1)</f>
        <v/>
      </c>
      <c r="CJ245" s="22" t="str">
        <f t="shared" si="1187"/>
        <v/>
      </c>
    </row>
    <row r="246" spans="2:88" x14ac:dyDescent="0.25">
      <c r="B246" s="37"/>
      <c r="C246" s="3"/>
      <c r="D246" s="77" t="str">
        <f t="shared" si="1173"/>
        <v/>
      </c>
      <c r="E246" s="38"/>
      <c r="F246" s="38"/>
      <c r="G246" s="78">
        <f t="shared" si="1188"/>
        <v>0</v>
      </c>
      <c r="H246" s="3">
        <v>80</v>
      </c>
      <c r="I246" s="77" t="str">
        <f t="shared" si="1174"/>
        <v/>
      </c>
      <c r="J246" s="32"/>
      <c r="K246" s="3"/>
      <c r="L246" s="39"/>
      <c r="M246" s="39"/>
      <c r="N246" s="39"/>
      <c r="O246" s="39"/>
      <c r="P246" s="39"/>
      <c r="Q246" s="39"/>
      <c r="R246" s="39"/>
      <c r="S246" s="39"/>
      <c r="T246" s="3" t="s">
        <v>645</v>
      </c>
      <c r="U246" s="77" t="str">
        <f t="shared" si="1175"/>
        <v/>
      </c>
      <c r="V246" s="39">
        <v>1</v>
      </c>
      <c r="W246" s="79">
        <f t="shared" si="1189"/>
        <v>0</v>
      </c>
      <c r="X246" s="3">
        <v>0</v>
      </c>
      <c r="Y246" s="77" t="str">
        <f t="shared" si="1176"/>
        <v/>
      </c>
      <c r="Z246" s="3"/>
      <c r="AA246" s="37" t="str">
        <f t="shared" si="1190"/>
        <v/>
      </c>
      <c r="AC246" s="40"/>
      <c r="AD246" s="7"/>
      <c r="AE246" s="77" t="str">
        <f t="shared" si="1177"/>
        <v/>
      </c>
      <c r="AF246" s="81">
        <f t="shared" si="1203"/>
        <v>0</v>
      </c>
      <c r="AG246" s="40"/>
      <c r="AH246" s="7"/>
      <c r="AI246" s="77" t="str">
        <f t="shared" si="1178"/>
        <v/>
      </c>
      <c r="AJ246" s="81">
        <f t="shared" si="1204"/>
        <v>0</v>
      </c>
      <c r="AK246" s="83">
        <f t="shared" si="1205"/>
        <v>0</v>
      </c>
      <c r="AL246" s="83">
        <f t="shared" si="1206"/>
        <v>0</v>
      </c>
      <c r="AN246" s="43">
        <f t="shared" si="1179"/>
        <v>0</v>
      </c>
      <c r="AP246" t="str">
        <f t="shared" si="1207"/>
        <v/>
      </c>
      <c r="AQ246" t="str">
        <f t="shared" si="1208"/>
        <v/>
      </c>
      <c r="AR246" t="str">
        <f t="shared" si="1209"/>
        <v/>
      </c>
      <c r="AS246" t="str">
        <f t="shared" si="1210"/>
        <v/>
      </c>
      <c r="AT246" t="str">
        <f t="shared" si="1211"/>
        <v/>
      </c>
      <c r="AU246" t="str">
        <f t="shared" si="1212"/>
        <v/>
      </c>
      <c r="AV246" t="str">
        <f t="shared" si="1213"/>
        <v/>
      </c>
      <c r="AW246" t="str">
        <f t="shared" si="1214"/>
        <v xml:space="preserve">                              </v>
      </c>
      <c r="AX246" s="23">
        <f t="shared" si="1215"/>
        <v>0</v>
      </c>
      <c r="AY246" s="49" t="str">
        <f t="shared" si="1191"/>
        <v>000000000000000</v>
      </c>
      <c r="AZ246" s="23">
        <f t="shared" si="1216"/>
        <v>0</v>
      </c>
      <c r="BA246" s="49" t="str">
        <f t="shared" si="1191"/>
        <v>000000000000000</v>
      </c>
      <c r="BB246" s="23">
        <f t="shared" si="1217"/>
        <v>0</v>
      </c>
      <c r="BC246" s="49" t="str">
        <f t="shared" ref="BC246" si="1476">IF(BB246&lt;0,SUBSTITUTE(TEXT(BB246,"000000000000,00"),",",""),SUBSTITUTE(TEXT(BB246,"0000000000000,00"),",",""))</f>
        <v>000000000000000</v>
      </c>
      <c r="BD246" s="23">
        <f t="shared" si="1219"/>
        <v>0</v>
      </c>
      <c r="BE246" s="49" t="str">
        <f t="shared" ref="BE246" si="1477">IF(BD246&lt;0,SUBSTITUTE(TEXT(BD246,"000000000000,00"),",",""),SUBSTITUTE(TEXT(BD246,"0000000000000,00"),",",""))</f>
        <v>000000000000000</v>
      </c>
      <c r="BF246" s="23">
        <f t="shared" si="1221"/>
        <v>0</v>
      </c>
      <c r="BG246" s="49" t="str">
        <f t="shared" ref="BG246" si="1478">IF(BF246&lt;0,SUBSTITUTE(TEXT(BF246,"000000000000,00"),",",""),SUBSTITUTE(TEXT(BF246,"0000000000000,00"),",",""))</f>
        <v>000000000000000</v>
      </c>
      <c r="BH246" s="23">
        <f t="shared" si="1223"/>
        <v>0</v>
      </c>
      <c r="BI246" s="49" t="str">
        <f t="shared" ref="BI246" si="1479">IF(BH246&lt;0,SUBSTITUTE(TEXT(BH246,"000000000000,00"),",",""),SUBSTITUTE(TEXT(BH246,"0000000000000,00"),",",""))</f>
        <v>000000000000000</v>
      </c>
      <c r="BJ246" s="23">
        <f t="shared" si="1225"/>
        <v>0</v>
      </c>
      <c r="BK246" s="49" t="str">
        <f t="shared" ref="BK246" si="1480">IF(BJ246&lt;0,SUBSTITUTE(TEXT(BJ246,"000000000000,00"),",",""),SUBSTITUTE(TEXT(BJ246,"0000000000000,00"),",",""))</f>
        <v>000000000000000</v>
      </c>
      <c r="BL246" s="23">
        <f t="shared" si="1227"/>
        <v>0</v>
      </c>
      <c r="BM246" s="49" t="str">
        <f t="shared" ref="BM246" si="1481">IF(BL246&lt;0,SUBSTITUTE(TEXT(BL246,"000000000000,00"),",",""),SUBSTITUTE(TEXT(BL246,"0000000000000,00"),",",""))</f>
        <v>000000000000000</v>
      </c>
      <c r="BN246" t="str">
        <f t="shared" si="1229"/>
        <v>PES</v>
      </c>
      <c r="BO246" t="str">
        <f t="shared" si="1230"/>
        <v>0001000000</v>
      </c>
      <c r="BP246">
        <f t="shared" si="1231"/>
        <v>0</v>
      </c>
      <c r="BQ246">
        <f t="shared" si="1232"/>
        <v>0</v>
      </c>
      <c r="BR246" s="23">
        <f t="shared" si="1233"/>
        <v>0</v>
      </c>
      <c r="BS246" s="49" t="str">
        <f t="shared" si="1198"/>
        <v>000000000000000</v>
      </c>
      <c r="BT246" t="str">
        <f t="shared" si="1234"/>
        <v>00000000</v>
      </c>
      <c r="BU246" s="23">
        <f t="shared" si="1235"/>
        <v>0</v>
      </c>
      <c r="BV246" s="49" t="str">
        <f t="shared" si="1199"/>
        <v/>
      </c>
      <c r="BW246" s="52" t="str">
        <f t="shared" si="1236"/>
        <v/>
      </c>
      <c r="BX246" s="23">
        <f t="shared" si="1237"/>
        <v>0</v>
      </c>
      <c r="BY246" s="49" t="str">
        <f t="shared" si="1200"/>
        <v/>
      </c>
      <c r="BZ246" s="23">
        <f t="shared" si="1238"/>
        <v>0</v>
      </c>
      <c r="CA246" s="49" t="str">
        <f t="shared" si="1201"/>
        <v/>
      </c>
      <c r="CB246" s="52" t="str">
        <f t="shared" si="1239"/>
        <v/>
      </c>
      <c r="CC246" s="23">
        <f t="shared" si="1240"/>
        <v>0</v>
      </c>
      <c r="CD246" s="49" t="str">
        <f t="shared" si="1202"/>
        <v/>
      </c>
      <c r="CE246" s="56" t="str">
        <f>IF(CF246="","",MAX(CE$10:$CE245)+1)</f>
        <v/>
      </c>
      <c r="CF246" t="str">
        <f t="shared" si="1241"/>
        <v/>
      </c>
      <c r="CG246" s="22" t="str">
        <f>IF(CH246="","",MAX($CG$10:CG245)+1)</f>
        <v/>
      </c>
      <c r="CH246" s="22" t="str">
        <f t="shared" si="1186"/>
        <v/>
      </c>
      <c r="CI246" s="22" t="str">
        <f>IF(CJ246="","",MAX($CI$10:CI245)+1)</f>
        <v/>
      </c>
      <c r="CJ246" s="22" t="str">
        <f t="shared" si="1187"/>
        <v/>
      </c>
    </row>
    <row r="247" spans="2:88" x14ac:dyDescent="0.25">
      <c r="B247" s="37"/>
      <c r="C247" s="3"/>
      <c r="D247" s="77" t="str">
        <f t="shared" si="1173"/>
        <v/>
      </c>
      <c r="E247" s="38"/>
      <c r="F247" s="38"/>
      <c r="G247" s="78">
        <f t="shared" si="1188"/>
        <v>0</v>
      </c>
      <c r="H247" s="3">
        <v>80</v>
      </c>
      <c r="I247" s="77" t="str">
        <f t="shared" si="1174"/>
        <v/>
      </c>
      <c r="J247" s="32"/>
      <c r="K247" s="3"/>
      <c r="L247" s="39"/>
      <c r="M247" s="39"/>
      <c r="N247" s="39"/>
      <c r="O247" s="39"/>
      <c r="P247" s="39"/>
      <c r="Q247" s="39"/>
      <c r="R247" s="39"/>
      <c r="S247" s="39"/>
      <c r="T247" s="3" t="s">
        <v>645</v>
      </c>
      <c r="U247" s="77" t="str">
        <f t="shared" si="1175"/>
        <v/>
      </c>
      <c r="V247" s="39">
        <v>1</v>
      </c>
      <c r="W247" s="79">
        <f t="shared" si="1189"/>
        <v>0</v>
      </c>
      <c r="X247" s="3">
        <v>0</v>
      </c>
      <c r="Y247" s="77" t="str">
        <f t="shared" si="1176"/>
        <v/>
      </c>
      <c r="Z247" s="3"/>
      <c r="AA247" s="37" t="str">
        <f t="shared" si="1190"/>
        <v/>
      </c>
      <c r="AC247" s="40"/>
      <c r="AD247" s="7"/>
      <c r="AE247" s="77" t="str">
        <f t="shared" si="1177"/>
        <v/>
      </c>
      <c r="AF247" s="81">
        <f t="shared" si="1203"/>
        <v>0</v>
      </c>
      <c r="AG247" s="40"/>
      <c r="AH247" s="7"/>
      <c r="AI247" s="77" t="str">
        <f t="shared" si="1178"/>
        <v/>
      </c>
      <c r="AJ247" s="81">
        <f t="shared" si="1204"/>
        <v>0</v>
      </c>
      <c r="AK247" s="83">
        <f t="shared" si="1205"/>
        <v>0</v>
      </c>
      <c r="AL247" s="83">
        <f t="shared" si="1206"/>
        <v>0</v>
      </c>
      <c r="AN247" s="43">
        <f t="shared" si="1179"/>
        <v>0</v>
      </c>
      <c r="AP247" t="str">
        <f t="shared" si="1207"/>
        <v/>
      </c>
      <c r="AQ247" t="str">
        <f t="shared" si="1208"/>
        <v/>
      </c>
      <c r="AR247" t="str">
        <f t="shared" si="1209"/>
        <v/>
      </c>
      <c r="AS247" t="str">
        <f t="shared" si="1210"/>
        <v/>
      </c>
      <c r="AT247" t="str">
        <f t="shared" si="1211"/>
        <v/>
      </c>
      <c r="AU247" t="str">
        <f t="shared" si="1212"/>
        <v/>
      </c>
      <c r="AV247" t="str">
        <f t="shared" si="1213"/>
        <v/>
      </c>
      <c r="AW247" t="str">
        <f t="shared" si="1214"/>
        <v xml:space="preserve">                              </v>
      </c>
      <c r="AX247" s="23">
        <f t="shared" si="1215"/>
        <v>0</v>
      </c>
      <c r="AY247" s="49" t="str">
        <f t="shared" si="1191"/>
        <v>000000000000000</v>
      </c>
      <c r="AZ247" s="23">
        <f t="shared" si="1216"/>
        <v>0</v>
      </c>
      <c r="BA247" s="49" t="str">
        <f t="shared" si="1191"/>
        <v>000000000000000</v>
      </c>
      <c r="BB247" s="23">
        <f t="shared" si="1217"/>
        <v>0</v>
      </c>
      <c r="BC247" s="49" t="str">
        <f t="shared" ref="BC247" si="1482">IF(BB247&lt;0,SUBSTITUTE(TEXT(BB247,"000000000000,00"),",",""),SUBSTITUTE(TEXT(BB247,"0000000000000,00"),",",""))</f>
        <v>000000000000000</v>
      </c>
      <c r="BD247" s="23">
        <f t="shared" si="1219"/>
        <v>0</v>
      </c>
      <c r="BE247" s="49" t="str">
        <f t="shared" ref="BE247" si="1483">IF(BD247&lt;0,SUBSTITUTE(TEXT(BD247,"000000000000,00"),",",""),SUBSTITUTE(TEXT(BD247,"0000000000000,00"),",",""))</f>
        <v>000000000000000</v>
      </c>
      <c r="BF247" s="23">
        <f t="shared" si="1221"/>
        <v>0</v>
      </c>
      <c r="BG247" s="49" t="str">
        <f t="shared" ref="BG247" si="1484">IF(BF247&lt;0,SUBSTITUTE(TEXT(BF247,"000000000000,00"),",",""),SUBSTITUTE(TEXT(BF247,"0000000000000,00"),",",""))</f>
        <v>000000000000000</v>
      </c>
      <c r="BH247" s="23">
        <f t="shared" si="1223"/>
        <v>0</v>
      </c>
      <c r="BI247" s="49" t="str">
        <f t="shared" ref="BI247" si="1485">IF(BH247&lt;0,SUBSTITUTE(TEXT(BH247,"000000000000,00"),",",""),SUBSTITUTE(TEXT(BH247,"0000000000000,00"),",",""))</f>
        <v>000000000000000</v>
      </c>
      <c r="BJ247" s="23">
        <f t="shared" si="1225"/>
        <v>0</v>
      </c>
      <c r="BK247" s="49" t="str">
        <f t="shared" ref="BK247" si="1486">IF(BJ247&lt;0,SUBSTITUTE(TEXT(BJ247,"000000000000,00"),",",""),SUBSTITUTE(TEXT(BJ247,"0000000000000,00"),",",""))</f>
        <v>000000000000000</v>
      </c>
      <c r="BL247" s="23">
        <f t="shared" si="1227"/>
        <v>0</v>
      </c>
      <c r="BM247" s="49" t="str">
        <f t="shared" ref="BM247" si="1487">IF(BL247&lt;0,SUBSTITUTE(TEXT(BL247,"000000000000,00"),",",""),SUBSTITUTE(TEXT(BL247,"0000000000000,00"),",",""))</f>
        <v>000000000000000</v>
      </c>
      <c r="BN247" t="str">
        <f t="shared" si="1229"/>
        <v>PES</v>
      </c>
      <c r="BO247" t="str">
        <f t="shared" si="1230"/>
        <v>0001000000</v>
      </c>
      <c r="BP247">
        <f t="shared" si="1231"/>
        <v>0</v>
      </c>
      <c r="BQ247">
        <f t="shared" si="1232"/>
        <v>0</v>
      </c>
      <c r="BR247" s="23">
        <f t="shared" si="1233"/>
        <v>0</v>
      </c>
      <c r="BS247" s="49" t="str">
        <f t="shared" si="1198"/>
        <v>000000000000000</v>
      </c>
      <c r="BT247" t="str">
        <f t="shared" si="1234"/>
        <v>00000000</v>
      </c>
      <c r="BU247" s="23">
        <f t="shared" si="1235"/>
        <v>0</v>
      </c>
      <c r="BV247" s="49" t="str">
        <f t="shared" si="1199"/>
        <v/>
      </c>
      <c r="BW247" s="52" t="str">
        <f t="shared" si="1236"/>
        <v/>
      </c>
      <c r="BX247" s="23">
        <f t="shared" si="1237"/>
        <v>0</v>
      </c>
      <c r="BY247" s="49" t="str">
        <f t="shared" si="1200"/>
        <v/>
      </c>
      <c r="BZ247" s="23">
        <f t="shared" si="1238"/>
        <v>0</v>
      </c>
      <c r="CA247" s="49" t="str">
        <f t="shared" si="1201"/>
        <v/>
      </c>
      <c r="CB247" s="52" t="str">
        <f t="shared" si="1239"/>
        <v/>
      </c>
      <c r="CC247" s="23">
        <f t="shared" si="1240"/>
        <v>0</v>
      </c>
      <c r="CD247" s="49" t="str">
        <f t="shared" si="1202"/>
        <v/>
      </c>
      <c r="CE247" s="56" t="str">
        <f>IF(CF247="","",MAX(CE$10:$CE246)+1)</f>
        <v/>
      </c>
      <c r="CF247" t="str">
        <f t="shared" si="1241"/>
        <v/>
      </c>
      <c r="CG247" s="22" t="str">
        <f>IF(CH247="","",MAX($CG$10:CG246)+1)</f>
        <v/>
      </c>
      <c r="CH247" s="22" t="str">
        <f t="shared" si="1186"/>
        <v/>
      </c>
      <c r="CI247" s="22" t="str">
        <f>IF(CJ247="","",MAX($CI$10:CI246)+1)</f>
        <v/>
      </c>
      <c r="CJ247" s="22" t="str">
        <f t="shared" si="1187"/>
        <v/>
      </c>
    </row>
    <row r="248" spans="2:88" x14ac:dyDescent="0.25">
      <c r="B248" s="37"/>
      <c r="C248" s="3"/>
      <c r="D248" s="77" t="str">
        <f t="shared" si="1173"/>
        <v/>
      </c>
      <c r="E248" s="38"/>
      <c r="F248" s="38"/>
      <c r="G248" s="78">
        <f t="shared" si="1188"/>
        <v>0</v>
      </c>
      <c r="H248" s="3">
        <v>80</v>
      </c>
      <c r="I248" s="77" t="str">
        <f t="shared" si="1174"/>
        <v/>
      </c>
      <c r="J248" s="32"/>
      <c r="K248" s="3"/>
      <c r="L248" s="39"/>
      <c r="M248" s="39"/>
      <c r="N248" s="39"/>
      <c r="O248" s="39"/>
      <c r="P248" s="39"/>
      <c r="Q248" s="39"/>
      <c r="R248" s="39"/>
      <c r="S248" s="39"/>
      <c r="T248" s="3" t="s">
        <v>645</v>
      </c>
      <c r="U248" s="77" t="str">
        <f t="shared" si="1175"/>
        <v/>
      </c>
      <c r="V248" s="39">
        <v>1</v>
      </c>
      <c r="W248" s="79">
        <f t="shared" si="1189"/>
        <v>0</v>
      </c>
      <c r="X248" s="3">
        <v>0</v>
      </c>
      <c r="Y248" s="77" t="str">
        <f t="shared" si="1176"/>
        <v/>
      </c>
      <c r="Z248" s="3"/>
      <c r="AA248" s="37" t="str">
        <f t="shared" si="1190"/>
        <v/>
      </c>
      <c r="AC248" s="40"/>
      <c r="AD248" s="7"/>
      <c r="AE248" s="77" t="str">
        <f t="shared" si="1177"/>
        <v/>
      </c>
      <c r="AF248" s="81">
        <f t="shared" si="1203"/>
        <v>0</v>
      </c>
      <c r="AG248" s="40"/>
      <c r="AH248" s="7"/>
      <c r="AI248" s="77" t="str">
        <f t="shared" si="1178"/>
        <v/>
      </c>
      <c r="AJ248" s="81">
        <f t="shared" si="1204"/>
        <v>0</v>
      </c>
      <c r="AK248" s="83">
        <f t="shared" si="1205"/>
        <v>0</v>
      </c>
      <c r="AL248" s="83">
        <f t="shared" si="1206"/>
        <v>0</v>
      </c>
      <c r="AN248" s="43">
        <f t="shared" si="1179"/>
        <v>0</v>
      </c>
      <c r="AP248" t="str">
        <f t="shared" si="1207"/>
        <v/>
      </c>
      <c r="AQ248" t="str">
        <f t="shared" si="1208"/>
        <v/>
      </c>
      <c r="AR248" t="str">
        <f t="shared" si="1209"/>
        <v/>
      </c>
      <c r="AS248" t="str">
        <f t="shared" si="1210"/>
        <v/>
      </c>
      <c r="AT248" t="str">
        <f t="shared" si="1211"/>
        <v/>
      </c>
      <c r="AU248" t="str">
        <f t="shared" si="1212"/>
        <v/>
      </c>
      <c r="AV248" t="str">
        <f t="shared" si="1213"/>
        <v/>
      </c>
      <c r="AW248" t="str">
        <f t="shared" si="1214"/>
        <v xml:space="preserve">                              </v>
      </c>
      <c r="AX248" s="23">
        <f t="shared" si="1215"/>
        <v>0</v>
      </c>
      <c r="AY248" s="49" t="str">
        <f t="shared" si="1191"/>
        <v>000000000000000</v>
      </c>
      <c r="AZ248" s="23">
        <f t="shared" si="1216"/>
        <v>0</v>
      </c>
      <c r="BA248" s="49" t="str">
        <f t="shared" si="1191"/>
        <v>000000000000000</v>
      </c>
      <c r="BB248" s="23">
        <f t="shared" si="1217"/>
        <v>0</v>
      </c>
      <c r="BC248" s="49" t="str">
        <f t="shared" ref="BC248" si="1488">IF(BB248&lt;0,SUBSTITUTE(TEXT(BB248,"000000000000,00"),",",""),SUBSTITUTE(TEXT(BB248,"0000000000000,00"),",",""))</f>
        <v>000000000000000</v>
      </c>
      <c r="BD248" s="23">
        <f t="shared" si="1219"/>
        <v>0</v>
      </c>
      <c r="BE248" s="49" t="str">
        <f t="shared" ref="BE248" si="1489">IF(BD248&lt;0,SUBSTITUTE(TEXT(BD248,"000000000000,00"),",",""),SUBSTITUTE(TEXT(BD248,"0000000000000,00"),",",""))</f>
        <v>000000000000000</v>
      </c>
      <c r="BF248" s="23">
        <f t="shared" si="1221"/>
        <v>0</v>
      </c>
      <c r="BG248" s="49" t="str">
        <f t="shared" ref="BG248" si="1490">IF(BF248&lt;0,SUBSTITUTE(TEXT(BF248,"000000000000,00"),",",""),SUBSTITUTE(TEXT(BF248,"0000000000000,00"),",",""))</f>
        <v>000000000000000</v>
      </c>
      <c r="BH248" s="23">
        <f t="shared" si="1223"/>
        <v>0</v>
      </c>
      <c r="BI248" s="49" t="str">
        <f t="shared" ref="BI248" si="1491">IF(BH248&lt;0,SUBSTITUTE(TEXT(BH248,"000000000000,00"),",",""),SUBSTITUTE(TEXT(BH248,"0000000000000,00"),",",""))</f>
        <v>000000000000000</v>
      </c>
      <c r="BJ248" s="23">
        <f t="shared" si="1225"/>
        <v>0</v>
      </c>
      <c r="BK248" s="49" t="str">
        <f t="shared" ref="BK248" si="1492">IF(BJ248&lt;0,SUBSTITUTE(TEXT(BJ248,"000000000000,00"),",",""),SUBSTITUTE(TEXT(BJ248,"0000000000000,00"),",",""))</f>
        <v>000000000000000</v>
      </c>
      <c r="BL248" s="23">
        <f t="shared" si="1227"/>
        <v>0</v>
      </c>
      <c r="BM248" s="49" t="str">
        <f t="shared" ref="BM248" si="1493">IF(BL248&lt;0,SUBSTITUTE(TEXT(BL248,"000000000000,00"),",",""),SUBSTITUTE(TEXT(BL248,"0000000000000,00"),",",""))</f>
        <v>000000000000000</v>
      </c>
      <c r="BN248" t="str">
        <f t="shared" si="1229"/>
        <v>PES</v>
      </c>
      <c r="BO248" t="str">
        <f t="shared" si="1230"/>
        <v>0001000000</v>
      </c>
      <c r="BP248">
        <f t="shared" si="1231"/>
        <v>0</v>
      </c>
      <c r="BQ248">
        <f t="shared" si="1232"/>
        <v>0</v>
      </c>
      <c r="BR248" s="23">
        <f t="shared" si="1233"/>
        <v>0</v>
      </c>
      <c r="BS248" s="49" t="str">
        <f t="shared" si="1198"/>
        <v>000000000000000</v>
      </c>
      <c r="BT248" t="str">
        <f t="shared" si="1234"/>
        <v>00000000</v>
      </c>
      <c r="BU248" s="23">
        <f t="shared" si="1235"/>
        <v>0</v>
      </c>
      <c r="BV248" s="49" t="str">
        <f t="shared" si="1199"/>
        <v/>
      </c>
      <c r="BW248" s="52" t="str">
        <f t="shared" si="1236"/>
        <v/>
      </c>
      <c r="BX248" s="23">
        <f t="shared" si="1237"/>
        <v>0</v>
      </c>
      <c r="BY248" s="49" t="str">
        <f t="shared" si="1200"/>
        <v/>
      </c>
      <c r="BZ248" s="23">
        <f t="shared" si="1238"/>
        <v>0</v>
      </c>
      <c r="CA248" s="49" t="str">
        <f t="shared" si="1201"/>
        <v/>
      </c>
      <c r="CB248" s="52" t="str">
        <f t="shared" si="1239"/>
        <v/>
      </c>
      <c r="CC248" s="23">
        <f t="shared" si="1240"/>
        <v>0</v>
      </c>
      <c r="CD248" s="49" t="str">
        <f t="shared" si="1202"/>
        <v/>
      </c>
      <c r="CE248" s="56" t="str">
        <f>IF(CF248="","",MAX(CE$10:$CE247)+1)</f>
        <v/>
      </c>
      <c r="CF248" t="str">
        <f t="shared" si="1241"/>
        <v/>
      </c>
      <c r="CG248" s="22" t="str">
        <f>IF(CH248="","",MAX($CG$10:CG247)+1)</f>
        <v/>
      </c>
      <c r="CH248" s="22" t="str">
        <f t="shared" si="1186"/>
        <v/>
      </c>
      <c r="CI248" s="22" t="str">
        <f>IF(CJ248="","",MAX($CI$10:CI247)+1)</f>
        <v/>
      </c>
      <c r="CJ248" s="22" t="str">
        <f t="shared" si="1187"/>
        <v/>
      </c>
    </row>
    <row r="249" spans="2:88" x14ac:dyDescent="0.25">
      <c r="B249" s="37"/>
      <c r="C249" s="3"/>
      <c r="D249" s="77" t="str">
        <f t="shared" si="1173"/>
        <v/>
      </c>
      <c r="E249" s="38"/>
      <c r="F249" s="38"/>
      <c r="G249" s="78">
        <f t="shared" si="1188"/>
        <v>0</v>
      </c>
      <c r="H249" s="3">
        <v>80</v>
      </c>
      <c r="I249" s="77" t="str">
        <f t="shared" si="1174"/>
        <v/>
      </c>
      <c r="J249" s="32"/>
      <c r="K249" s="3"/>
      <c r="L249" s="39"/>
      <c r="M249" s="39"/>
      <c r="N249" s="39"/>
      <c r="O249" s="39"/>
      <c r="P249" s="39"/>
      <c r="Q249" s="39"/>
      <c r="R249" s="39"/>
      <c r="S249" s="39"/>
      <c r="T249" s="3" t="s">
        <v>645</v>
      </c>
      <c r="U249" s="77" t="str">
        <f t="shared" si="1175"/>
        <v/>
      </c>
      <c r="V249" s="39">
        <v>1</v>
      </c>
      <c r="W249" s="79">
        <f t="shared" si="1189"/>
        <v>0</v>
      </c>
      <c r="X249" s="3">
        <v>0</v>
      </c>
      <c r="Y249" s="77" t="str">
        <f t="shared" si="1176"/>
        <v/>
      </c>
      <c r="Z249" s="3"/>
      <c r="AA249" s="37" t="str">
        <f t="shared" si="1190"/>
        <v/>
      </c>
      <c r="AC249" s="40"/>
      <c r="AD249" s="7"/>
      <c r="AE249" s="77" t="str">
        <f t="shared" si="1177"/>
        <v/>
      </c>
      <c r="AF249" s="81">
        <f t="shared" si="1203"/>
        <v>0</v>
      </c>
      <c r="AG249" s="40"/>
      <c r="AH249" s="7"/>
      <c r="AI249" s="77" t="str">
        <f t="shared" si="1178"/>
        <v/>
      </c>
      <c r="AJ249" s="81">
        <f t="shared" si="1204"/>
        <v>0</v>
      </c>
      <c r="AK249" s="83">
        <f t="shared" si="1205"/>
        <v>0</v>
      </c>
      <c r="AL249" s="83">
        <f t="shared" si="1206"/>
        <v>0</v>
      </c>
      <c r="AN249" s="43">
        <f t="shared" si="1179"/>
        <v>0</v>
      </c>
      <c r="AP249" t="str">
        <f t="shared" si="1207"/>
        <v/>
      </c>
      <c r="AQ249" t="str">
        <f t="shared" si="1208"/>
        <v/>
      </c>
      <c r="AR249" t="str">
        <f t="shared" si="1209"/>
        <v/>
      </c>
      <c r="AS249" t="str">
        <f t="shared" si="1210"/>
        <v/>
      </c>
      <c r="AT249" t="str">
        <f t="shared" si="1211"/>
        <v/>
      </c>
      <c r="AU249" t="str">
        <f t="shared" si="1212"/>
        <v/>
      </c>
      <c r="AV249" t="str">
        <f t="shared" si="1213"/>
        <v/>
      </c>
      <c r="AW249" t="str">
        <f t="shared" si="1214"/>
        <v xml:space="preserve">                              </v>
      </c>
      <c r="AX249" s="23">
        <f t="shared" si="1215"/>
        <v>0</v>
      </c>
      <c r="AY249" s="49" t="str">
        <f t="shared" si="1191"/>
        <v>000000000000000</v>
      </c>
      <c r="AZ249" s="23">
        <f t="shared" si="1216"/>
        <v>0</v>
      </c>
      <c r="BA249" s="49" t="str">
        <f t="shared" si="1191"/>
        <v>000000000000000</v>
      </c>
      <c r="BB249" s="23">
        <f t="shared" si="1217"/>
        <v>0</v>
      </c>
      <c r="BC249" s="49" t="str">
        <f t="shared" ref="BC249" si="1494">IF(BB249&lt;0,SUBSTITUTE(TEXT(BB249,"000000000000,00"),",",""),SUBSTITUTE(TEXT(BB249,"0000000000000,00"),",",""))</f>
        <v>000000000000000</v>
      </c>
      <c r="BD249" s="23">
        <f t="shared" si="1219"/>
        <v>0</v>
      </c>
      <c r="BE249" s="49" t="str">
        <f t="shared" ref="BE249" si="1495">IF(BD249&lt;0,SUBSTITUTE(TEXT(BD249,"000000000000,00"),",",""),SUBSTITUTE(TEXT(BD249,"0000000000000,00"),",",""))</f>
        <v>000000000000000</v>
      </c>
      <c r="BF249" s="23">
        <f t="shared" si="1221"/>
        <v>0</v>
      </c>
      <c r="BG249" s="49" t="str">
        <f t="shared" ref="BG249" si="1496">IF(BF249&lt;0,SUBSTITUTE(TEXT(BF249,"000000000000,00"),",",""),SUBSTITUTE(TEXT(BF249,"0000000000000,00"),",",""))</f>
        <v>000000000000000</v>
      </c>
      <c r="BH249" s="23">
        <f t="shared" si="1223"/>
        <v>0</v>
      </c>
      <c r="BI249" s="49" t="str">
        <f t="shared" ref="BI249" si="1497">IF(BH249&lt;0,SUBSTITUTE(TEXT(BH249,"000000000000,00"),",",""),SUBSTITUTE(TEXT(BH249,"0000000000000,00"),",",""))</f>
        <v>000000000000000</v>
      </c>
      <c r="BJ249" s="23">
        <f t="shared" si="1225"/>
        <v>0</v>
      </c>
      <c r="BK249" s="49" t="str">
        <f t="shared" ref="BK249" si="1498">IF(BJ249&lt;0,SUBSTITUTE(TEXT(BJ249,"000000000000,00"),",",""),SUBSTITUTE(TEXT(BJ249,"0000000000000,00"),",",""))</f>
        <v>000000000000000</v>
      </c>
      <c r="BL249" s="23">
        <f t="shared" si="1227"/>
        <v>0</v>
      </c>
      <c r="BM249" s="49" t="str">
        <f t="shared" ref="BM249" si="1499">IF(BL249&lt;0,SUBSTITUTE(TEXT(BL249,"000000000000,00"),",",""),SUBSTITUTE(TEXT(BL249,"0000000000000,00"),",",""))</f>
        <v>000000000000000</v>
      </c>
      <c r="BN249" t="str">
        <f t="shared" si="1229"/>
        <v>PES</v>
      </c>
      <c r="BO249" t="str">
        <f t="shared" si="1230"/>
        <v>0001000000</v>
      </c>
      <c r="BP249">
        <f t="shared" si="1231"/>
        <v>0</v>
      </c>
      <c r="BQ249">
        <f t="shared" si="1232"/>
        <v>0</v>
      </c>
      <c r="BR249" s="23">
        <f t="shared" si="1233"/>
        <v>0</v>
      </c>
      <c r="BS249" s="49" t="str">
        <f t="shared" si="1198"/>
        <v>000000000000000</v>
      </c>
      <c r="BT249" t="str">
        <f t="shared" si="1234"/>
        <v>00000000</v>
      </c>
      <c r="BU249" s="23">
        <f t="shared" si="1235"/>
        <v>0</v>
      </c>
      <c r="BV249" s="49" t="str">
        <f t="shared" si="1199"/>
        <v/>
      </c>
      <c r="BW249" s="52" t="str">
        <f t="shared" si="1236"/>
        <v/>
      </c>
      <c r="BX249" s="23">
        <f t="shared" si="1237"/>
        <v>0</v>
      </c>
      <c r="BY249" s="49" t="str">
        <f t="shared" si="1200"/>
        <v/>
      </c>
      <c r="BZ249" s="23">
        <f t="shared" si="1238"/>
        <v>0</v>
      </c>
      <c r="CA249" s="49" t="str">
        <f t="shared" si="1201"/>
        <v/>
      </c>
      <c r="CB249" s="52" t="str">
        <f t="shared" si="1239"/>
        <v/>
      </c>
      <c r="CC249" s="23">
        <f t="shared" si="1240"/>
        <v>0</v>
      </c>
      <c r="CD249" s="49" t="str">
        <f t="shared" si="1202"/>
        <v/>
      </c>
      <c r="CE249" s="56" t="str">
        <f>IF(CF249="","",MAX(CE$10:$CE248)+1)</f>
        <v/>
      </c>
      <c r="CF249" t="str">
        <f t="shared" si="1241"/>
        <v/>
      </c>
      <c r="CG249" s="22" t="str">
        <f>IF(CH249="","",MAX($CG$10:CG248)+1)</f>
        <v/>
      </c>
      <c r="CH249" s="22" t="str">
        <f t="shared" si="1186"/>
        <v/>
      </c>
      <c r="CI249" s="22" t="str">
        <f>IF(CJ249="","",MAX($CI$10:CI248)+1)</f>
        <v/>
      </c>
      <c r="CJ249" s="22" t="str">
        <f t="shared" si="1187"/>
        <v/>
      </c>
    </row>
    <row r="250" spans="2:88" x14ac:dyDescent="0.25">
      <c r="B250" s="37"/>
      <c r="C250" s="3"/>
      <c r="D250" s="77" t="str">
        <f t="shared" si="1173"/>
        <v/>
      </c>
      <c r="E250" s="38"/>
      <c r="F250" s="38"/>
      <c r="G250" s="78">
        <f t="shared" si="1188"/>
        <v>0</v>
      </c>
      <c r="H250" s="3">
        <v>80</v>
      </c>
      <c r="I250" s="77" t="str">
        <f t="shared" si="1174"/>
        <v/>
      </c>
      <c r="J250" s="32"/>
      <c r="K250" s="3"/>
      <c r="L250" s="39"/>
      <c r="M250" s="39"/>
      <c r="N250" s="39"/>
      <c r="O250" s="39"/>
      <c r="P250" s="39"/>
      <c r="Q250" s="39"/>
      <c r="R250" s="39"/>
      <c r="S250" s="39"/>
      <c r="T250" s="3" t="s">
        <v>645</v>
      </c>
      <c r="U250" s="77" t="str">
        <f t="shared" si="1175"/>
        <v/>
      </c>
      <c r="V250" s="39">
        <v>1</v>
      </c>
      <c r="W250" s="79">
        <f t="shared" si="1189"/>
        <v>0</v>
      </c>
      <c r="X250" s="3">
        <v>0</v>
      </c>
      <c r="Y250" s="77" t="str">
        <f t="shared" si="1176"/>
        <v/>
      </c>
      <c r="Z250" s="3"/>
      <c r="AA250" s="37" t="str">
        <f t="shared" si="1190"/>
        <v/>
      </c>
      <c r="AC250" s="40"/>
      <c r="AD250" s="7"/>
      <c r="AE250" s="77" t="str">
        <f t="shared" si="1177"/>
        <v/>
      </c>
      <c r="AF250" s="81">
        <f t="shared" si="1203"/>
        <v>0</v>
      </c>
      <c r="AG250" s="40"/>
      <c r="AH250" s="7"/>
      <c r="AI250" s="77" t="str">
        <f t="shared" si="1178"/>
        <v/>
      </c>
      <c r="AJ250" s="81">
        <f t="shared" si="1204"/>
        <v>0</v>
      </c>
      <c r="AK250" s="83">
        <f t="shared" si="1205"/>
        <v>0</v>
      </c>
      <c r="AL250" s="83">
        <f t="shared" si="1206"/>
        <v>0</v>
      </c>
      <c r="AN250" s="43">
        <f t="shared" si="1179"/>
        <v>0</v>
      </c>
      <c r="AP250" t="str">
        <f t="shared" si="1207"/>
        <v/>
      </c>
      <c r="AQ250" t="str">
        <f t="shared" si="1208"/>
        <v/>
      </c>
      <c r="AR250" t="str">
        <f t="shared" si="1209"/>
        <v/>
      </c>
      <c r="AS250" t="str">
        <f t="shared" si="1210"/>
        <v/>
      </c>
      <c r="AT250" t="str">
        <f t="shared" si="1211"/>
        <v/>
      </c>
      <c r="AU250" t="str">
        <f t="shared" si="1212"/>
        <v/>
      </c>
      <c r="AV250" t="str">
        <f t="shared" si="1213"/>
        <v/>
      </c>
      <c r="AW250" t="str">
        <f t="shared" si="1214"/>
        <v xml:space="preserve">                              </v>
      </c>
      <c r="AX250" s="23">
        <f t="shared" si="1215"/>
        <v>0</v>
      </c>
      <c r="AY250" s="49" t="str">
        <f t="shared" si="1191"/>
        <v>000000000000000</v>
      </c>
      <c r="AZ250" s="23">
        <f t="shared" si="1216"/>
        <v>0</v>
      </c>
      <c r="BA250" s="49" t="str">
        <f t="shared" si="1191"/>
        <v>000000000000000</v>
      </c>
      <c r="BB250" s="23">
        <f t="shared" si="1217"/>
        <v>0</v>
      </c>
      <c r="BC250" s="49" t="str">
        <f t="shared" ref="BC250" si="1500">IF(BB250&lt;0,SUBSTITUTE(TEXT(BB250,"000000000000,00"),",",""),SUBSTITUTE(TEXT(BB250,"0000000000000,00"),",",""))</f>
        <v>000000000000000</v>
      </c>
      <c r="BD250" s="23">
        <f t="shared" si="1219"/>
        <v>0</v>
      </c>
      <c r="BE250" s="49" t="str">
        <f t="shared" ref="BE250" si="1501">IF(BD250&lt;0,SUBSTITUTE(TEXT(BD250,"000000000000,00"),",",""),SUBSTITUTE(TEXT(BD250,"0000000000000,00"),",",""))</f>
        <v>000000000000000</v>
      </c>
      <c r="BF250" s="23">
        <f t="shared" si="1221"/>
        <v>0</v>
      </c>
      <c r="BG250" s="49" t="str">
        <f t="shared" ref="BG250" si="1502">IF(BF250&lt;0,SUBSTITUTE(TEXT(BF250,"000000000000,00"),",",""),SUBSTITUTE(TEXT(BF250,"0000000000000,00"),",",""))</f>
        <v>000000000000000</v>
      </c>
      <c r="BH250" s="23">
        <f t="shared" si="1223"/>
        <v>0</v>
      </c>
      <c r="BI250" s="49" t="str">
        <f t="shared" ref="BI250" si="1503">IF(BH250&lt;0,SUBSTITUTE(TEXT(BH250,"000000000000,00"),",",""),SUBSTITUTE(TEXT(BH250,"0000000000000,00"),",",""))</f>
        <v>000000000000000</v>
      </c>
      <c r="BJ250" s="23">
        <f t="shared" si="1225"/>
        <v>0</v>
      </c>
      <c r="BK250" s="49" t="str">
        <f t="shared" ref="BK250" si="1504">IF(BJ250&lt;0,SUBSTITUTE(TEXT(BJ250,"000000000000,00"),",",""),SUBSTITUTE(TEXT(BJ250,"0000000000000,00"),",",""))</f>
        <v>000000000000000</v>
      </c>
      <c r="BL250" s="23">
        <f t="shared" si="1227"/>
        <v>0</v>
      </c>
      <c r="BM250" s="49" t="str">
        <f t="shared" ref="BM250" si="1505">IF(BL250&lt;0,SUBSTITUTE(TEXT(BL250,"000000000000,00"),",",""),SUBSTITUTE(TEXT(BL250,"0000000000000,00"),",",""))</f>
        <v>000000000000000</v>
      </c>
      <c r="BN250" t="str">
        <f t="shared" si="1229"/>
        <v>PES</v>
      </c>
      <c r="BO250" t="str">
        <f t="shared" si="1230"/>
        <v>0001000000</v>
      </c>
      <c r="BP250">
        <f t="shared" si="1231"/>
        <v>0</v>
      </c>
      <c r="BQ250">
        <f t="shared" si="1232"/>
        <v>0</v>
      </c>
      <c r="BR250" s="23">
        <f t="shared" si="1233"/>
        <v>0</v>
      </c>
      <c r="BS250" s="49" t="str">
        <f t="shared" si="1198"/>
        <v>000000000000000</v>
      </c>
      <c r="BT250" t="str">
        <f t="shared" si="1234"/>
        <v>00000000</v>
      </c>
      <c r="BU250" s="23">
        <f t="shared" si="1235"/>
        <v>0</v>
      </c>
      <c r="BV250" s="49" t="str">
        <f t="shared" si="1199"/>
        <v/>
      </c>
      <c r="BW250" s="52" t="str">
        <f t="shared" si="1236"/>
        <v/>
      </c>
      <c r="BX250" s="23">
        <f t="shared" si="1237"/>
        <v>0</v>
      </c>
      <c r="BY250" s="49" t="str">
        <f t="shared" si="1200"/>
        <v/>
      </c>
      <c r="BZ250" s="23">
        <f t="shared" si="1238"/>
        <v>0</v>
      </c>
      <c r="CA250" s="49" t="str">
        <f t="shared" si="1201"/>
        <v/>
      </c>
      <c r="CB250" s="52" t="str">
        <f t="shared" si="1239"/>
        <v/>
      </c>
      <c r="CC250" s="23">
        <f t="shared" si="1240"/>
        <v>0</v>
      </c>
      <c r="CD250" s="49" t="str">
        <f t="shared" si="1202"/>
        <v/>
      </c>
      <c r="CE250" s="56" t="str">
        <f>IF(CF250="","",MAX(CE$10:$CE249)+1)</f>
        <v/>
      </c>
      <c r="CF250" t="str">
        <f t="shared" si="1241"/>
        <v/>
      </c>
      <c r="CG250" s="22" t="str">
        <f>IF(CH250="","",MAX($CG$10:CG249)+1)</f>
        <v/>
      </c>
      <c r="CH250" s="22" t="str">
        <f t="shared" si="1186"/>
        <v/>
      </c>
      <c r="CI250" s="22" t="str">
        <f>IF(CJ250="","",MAX($CI$10:CI249)+1)</f>
        <v/>
      </c>
      <c r="CJ250" s="22" t="str">
        <f t="shared" si="1187"/>
        <v/>
      </c>
    </row>
    <row r="251" spans="2:88" x14ac:dyDescent="0.25">
      <c r="B251" s="37"/>
      <c r="C251" s="3"/>
      <c r="D251" s="77" t="str">
        <f t="shared" si="1173"/>
        <v/>
      </c>
      <c r="E251" s="38"/>
      <c r="F251" s="38"/>
      <c r="G251" s="78">
        <f t="shared" si="1188"/>
        <v>0</v>
      </c>
      <c r="H251" s="3">
        <v>80</v>
      </c>
      <c r="I251" s="77" t="str">
        <f t="shared" si="1174"/>
        <v/>
      </c>
      <c r="J251" s="32"/>
      <c r="K251" s="3"/>
      <c r="L251" s="39"/>
      <c r="M251" s="39"/>
      <c r="N251" s="39"/>
      <c r="O251" s="39"/>
      <c r="P251" s="39"/>
      <c r="Q251" s="39"/>
      <c r="R251" s="39"/>
      <c r="S251" s="39"/>
      <c r="T251" s="3" t="s">
        <v>645</v>
      </c>
      <c r="U251" s="77" t="str">
        <f t="shared" si="1175"/>
        <v/>
      </c>
      <c r="V251" s="39">
        <v>1</v>
      </c>
      <c r="W251" s="79">
        <f t="shared" si="1189"/>
        <v>0</v>
      </c>
      <c r="X251" s="3">
        <v>0</v>
      </c>
      <c r="Y251" s="77" t="str">
        <f t="shared" si="1176"/>
        <v/>
      </c>
      <c r="Z251" s="3"/>
      <c r="AA251" s="37" t="str">
        <f t="shared" si="1190"/>
        <v/>
      </c>
      <c r="AC251" s="40"/>
      <c r="AD251" s="7"/>
      <c r="AE251" s="77" t="str">
        <f t="shared" si="1177"/>
        <v/>
      </c>
      <c r="AF251" s="81">
        <f t="shared" si="1203"/>
        <v>0</v>
      </c>
      <c r="AG251" s="40"/>
      <c r="AH251" s="7"/>
      <c r="AI251" s="77" t="str">
        <f t="shared" si="1178"/>
        <v/>
      </c>
      <c r="AJ251" s="81">
        <f t="shared" si="1204"/>
        <v>0</v>
      </c>
      <c r="AK251" s="83">
        <f t="shared" si="1205"/>
        <v>0</v>
      </c>
      <c r="AL251" s="83">
        <f t="shared" si="1206"/>
        <v>0</v>
      </c>
      <c r="AN251" s="43">
        <f t="shared" si="1179"/>
        <v>0</v>
      </c>
      <c r="AP251" t="str">
        <f t="shared" si="1207"/>
        <v/>
      </c>
      <c r="AQ251" t="str">
        <f t="shared" si="1208"/>
        <v/>
      </c>
      <c r="AR251" t="str">
        <f t="shared" si="1209"/>
        <v/>
      </c>
      <c r="AS251" t="str">
        <f t="shared" si="1210"/>
        <v/>
      </c>
      <c r="AT251" t="str">
        <f t="shared" si="1211"/>
        <v/>
      </c>
      <c r="AU251" t="str">
        <f t="shared" si="1212"/>
        <v/>
      </c>
      <c r="AV251" t="str">
        <f t="shared" si="1213"/>
        <v/>
      </c>
      <c r="AW251" t="str">
        <f t="shared" si="1214"/>
        <v xml:space="preserve">                              </v>
      </c>
      <c r="AX251" s="23">
        <f t="shared" si="1215"/>
        <v>0</v>
      </c>
      <c r="AY251" s="49" t="str">
        <f t="shared" si="1191"/>
        <v>000000000000000</v>
      </c>
      <c r="AZ251" s="23">
        <f t="shared" si="1216"/>
        <v>0</v>
      </c>
      <c r="BA251" s="49" t="str">
        <f t="shared" si="1191"/>
        <v>000000000000000</v>
      </c>
      <c r="BB251" s="23">
        <f t="shared" si="1217"/>
        <v>0</v>
      </c>
      <c r="BC251" s="49" t="str">
        <f t="shared" ref="BC251" si="1506">IF(BB251&lt;0,SUBSTITUTE(TEXT(BB251,"000000000000,00"),",",""),SUBSTITUTE(TEXT(BB251,"0000000000000,00"),",",""))</f>
        <v>000000000000000</v>
      </c>
      <c r="BD251" s="23">
        <f t="shared" si="1219"/>
        <v>0</v>
      </c>
      <c r="BE251" s="49" t="str">
        <f t="shared" ref="BE251" si="1507">IF(BD251&lt;0,SUBSTITUTE(TEXT(BD251,"000000000000,00"),",",""),SUBSTITUTE(TEXT(BD251,"0000000000000,00"),",",""))</f>
        <v>000000000000000</v>
      </c>
      <c r="BF251" s="23">
        <f t="shared" si="1221"/>
        <v>0</v>
      </c>
      <c r="BG251" s="49" t="str">
        <f t="shared" ref="BG251" si="1508">IF(BF251&lt;0,SUBSTITUTE(TEXT(BF251,"000000000000,00"),",",""),SUBSTITUTE(TEXT(BF251,"0000000000000,00"),",",""))</f>
        <v>000000000000000</v>
      </c>
      <c r="BH251" s="23">
        <f t="shared" si="1223"/>
        <v>0</v>
      </c>
      <c r="BI251" s="49" t="str">
        <f t="shared" ref="BI251" si="1509">IF(BH251&lt;0,SUBSTITUTE(TEXT(BH251,"000000000000,00"),",",""),SUBSTITUTE(TEXT(BH251,"0000000000000,00"),",",""))</f>
        <v>000000000000000</v>
      </c>
      <c r="BJ251" s="23">
        <f t="shared" si="1225"/>
        <v>0</v>
      </c>
      <c r="BK251" s="49" t="str">
        <f t="shared" ref="BK251" si="1510">IF(BJ251&lt;0,SUBSTITUTE(TEXT(BJ251,"000000000000,00"),",",""),SUBSTITUTE(TEXT(BJ251,"0000000000000,00"),",",""))</f>
        <v>000000000000000</v>
      </c>
      <c r="BL251" s="23">
        <f t="shared" si="1227"/>
        <v>0</v>
      </c>
      <c r="BM251" s="49" t="str">
        <f t="shared" ref="BM251" si="1511">IF(BL251&lt;0,SUBSTITUTE(TEXT(BL251,"000000000000,00"),",",""),SUBSTITUTE(TEXT(BL251,"0000000000000,00"),",",""))</f>
        <v>000000000000000</v>
      </c>
      <c r="BN251" t="str">
        <f t="shared" si="1229"/>
        <v>PES</v>
      </c>
      <c r="BO251" t="str">
        <f t="shared" si="1230"/>
        <v>0001000000</v>
      </c>
      <c r="BP251">
        <f t="shared" si="1231"/>
        <v>0</v>
      </c>
      <c r="BQ251">
        <f t="shared" si="1232"/>
        <v>0</v>
      </c>
      <c r="BR251" s="23">
        <f t="shared" si="1233"/>
        <v>0</v>
      </c>
      <c r="BS251" s="49" t="str">
        <f t="shared" si="1198"/>
        <v>000000000000000</v>
      </c>
      <c r="BT251" t="str">
        <f t="shared" si="1234"/>
        <v>00000000</v>
      </c>
      <c r="BU251" s="23">
        <f t="shared" si="1235"/>
        <v>0</v>
      </c>
      <c r="BV251" s="49" t="str">
        <f t="shared" si="1199"/>
        <v/>
      </c>
      <c r="BW251" s="52" t="str">
        <f t="shared" si="1236"/>
        <v/>
      </c>
      <c r="BX251" s="23">
        <f t="shared" si="1237"/>
        <v>0</v>
      </c>
      <c r="BY251" s="49" t="str">
        <f t="shared" si="1200"/>
        <v/>
      </c>
      <c r="BZ251" s="23">
        <f t="shared" si="1238"/>
        <v>0</v>
      </c>
      <c r="CA251" s="49" t="str">
        <f t="shared" si="1201"/>
        <v/>
      </c>
      <c r="CB251" s="52" t="str">
        <f t="shared" si="1239"/>
        <v/>
      </c>
      <c r="CC251" s="23">
        <f t="shared" si="1240"/>
        <v>0</v>
      </c>
      <c r="CD251" s="49" t="str">
        <f t="shared" si="1202"/>
        <v/>
      </c>
      <c r="CE251" s="56" t="str">
        <f>IF(CF251="","",MAX(CE$10:$CE250)+1)</f>
        <v/>
      </c>
      <c r="CF251" t="str">
        <f t="shared" si="1241"/>
        <v/>
      </c>
      <c r="CG251" s="22" t="str">
        <f>IF(CH251="","",MAX($CG$10:CG250)+1)</f>
        <v/>
      </c>
      <c r="CH251" s="22" t="str">
        <f t="shared" si="1186"/>
        <v/>
      </c>
      <c r="CI251" s="22" t="str">
        <f>IF(CJ251="","",MAX($CI$10:CI250)+1)</f>
        <v/>
      </c>
      <c r="CJ251" s="22" t="str">
        <f t="shared" si="1187"/>
        <v/>
      </c>
    </row>
    <row r="252" spans="2:88" x14ac:dyDescent="0.25">
      <c r="B252" s="37"/>
      <c r="C252" s="3"/>
      <c r="D252" s="77" t="str">
        <f t="shared" si="1173"/>
        <v/>
      </c>
      <c r="E252" s="38"/>
      <c r="F252" s="38"/>
      <c r="G252" s="78">
        <f t="shared" si="1188"/>
        <v>0</v>
      </c>
      <c r="H252" s="3">
        <v>80</v>
      </c>
      <c r="I252" s="77" t="str">
        <f t="shared" si="1174"/>
        <v/>
      </c>
      <c r="J252" s="32"/>
      <c r="K252" s="3"/>
      <c r="L252" s="39"/>
      <c r="M252" s="39"/>
      <c r="N252" s="39"/>
      <c r="O252" s="39"/>
      <c r="P252" s="39"/>
      <c r="Q252" s="39"/>
      <c r="R252" s="39"/>
      <c r="S252" s="39"/>
      <c r="T252" s="3" t="s">
        <v>645</v>
      </c>
      <c r="U252" s="77" t="str">
        <f t="shared" si="1175"/>
        <v/>
      </c>
      <c r="V252" s="39">
        <v>1</v>
      </c>
      <c r="W252" s="79">
        <f t="shared" si="1189"/>
        <v>0</v>
      </c>
      <c r="X252" s="3">
        <v>0</v>
      </c>
      <c r="Y252" s="77" t="str">
        <f t="shared" si="1176"/>
        <v/>
      </c>
      <c r="Z252" s="3"/>
      <c r="AA252" s="37" t="str">
        <f t="shared" si="1190"/>
        <v/>
      </c>
      <c r="AC252" s="40"/>
      <c r="AD252" s="7"/>
      <c r="AE252" s="77" t="str">
        <f t="shared" si="1177"/>
        <v/>
      </c>
      <c r="AF252" s="81">
        <f t="shared" si="1203"/>
        <v>0</v>
      </c>
      <c r="AG252" s="40"/>
      <c r="AH252" s="7"/>
      <c r="AI252" s="77" t="str">
        <f t="shared" si="1178"/>
        <v/>
      </c>
      <c r="AJ252" s="81">
        <f t="shared" si="1204"/>
        <v>0</v>
      </c>
      <c r="AK252" s="83">
        <f t="shared" si="1205"/>
        <v>0</v>
      </c>
      <c r="AL252" s="83">
        <f t="shared" si="1206"/>
        <v>0</v>
      </c>
      <c r="AN252" s="43">
        <f t="shared" si="1179"/>
        <v>0</v>
      </c>
      <c r="AP252" t="str">
        <f t="shared" si="1207"/>
        <v/>
      </c>
      <c r="AQ252" t="str">
        <f t="shared" si="1208"/>
        <v/>
      </c>
      <c r="AR252" t="str">
        <f t="shared" si="1209"/>
        <v/>
      </c>
      <c r="AS252" t="str">
        <f t="shared" si="1210"/>
        <v/>
      </c>
      <c r="AT252" t="str">
        <f t="shared" si="1211"/>
        <v/>
      </c>
      <c r="AU252" t="str">
        <f t="shared" si="1212"/>
        <v/>
      </c>
      <c r="AV252" t="str">
        <f t="shared" si="1213"/>
        <v/>
      </c>
      <c r="AW252" t="str">
        <f t="shared" si="1214"/>
        <v xml:space="preserve">                              </v>
      </c>
      <c r="AX252" s="23">
        <f t="shared" si="1215"/>
        <v>0</v>
      </c>
      <c r="AY252" s="49" t="str">
        <f t="shared" si="1191"/>
        <v>000000000000000</v>
      </c>
      <c r="AZ252" s="23">
        <f t="shared" si="1216"/>
        <v>0</v>
      </c>
      <c r="BA252" s="49" t="str">
        <f t="shared" si="1191"/>
        <v>000000000000000</v>
      </c>
      <c r="BB252" s="23">
        <f t="shared" si="1217"/>
        <v>0</v>
      </c>
      <c r="BC252" s="49" t="str">
        <f t="shared" ref="BC252" si="1512">IF(BB252&lt;0,SUBSTITUTE(TEXT(BB252,"000000000000,00"),",",""),SUBSTITUTE(TEXT(BB252,"0000000000000,00"),",",""))</f>
        <v>000000000000000</v>
      </c>
      <c r="BD252" s="23">
        <f t="shared" si="1219"/>
        <v>0</v>
      </c>
      <c r="BE252" s="49" t="str">
        <f t="shared" ref="BE252" si="1513">IF(BD252&lt;0,SUBSTITUTE(TEXT(BD252,"000000000000,00"),",",""),SUBSTITUTE(TEXT(BD252,"0000000000000,00"),",",""))</f>
        <v>000000000000000</v>
      </c>
      <c r="BF252" s="23">
        <f t="shared" si="1221"/>
        <v>0</v>
      </c>
      <c r="BG252" s="49" t="str">
        <f t="shared" ref="BG252" si="1514">IF(BF252&lt;0,SUBSTITUTE(TEXT(BF252,"000000000000,00"),",",""),SUBSTITUTE(TEXT(BF252,"0000000000000,00"),",",""))</f>
        <v>000000000000000</v>
      </c>
      <c r="BH252" s="23">
        <f t="shared" si="1223"/>
        <v>0</v>
      </c>
      <c r="BI252" s="49" t="str">
        <f t="shared" ref="BI252" si="1515">IF(BH252&lt;0,SUBSTITUTE(TEXT(BH252,"000000000000,00"),",",""),SUBSTITUTE(TEXT(BH252,"0000000000000,00"),",",""))</f>
        <v>000000000000000</v>
      </c>
      <c r="BJ252" s="23">
        <f t="shared" si="1225"/>
        <v>0</v>
      </c>
      <c r="BK252" s="49" t="str">
        <f t="shared" ref="BK252" si="1516">IF(BJ252&lt;0,SUBSTITUTE(TEXT(BJ252,"000000000000,00"),",",""),SUBSTITUTE(TEXT(BJ252,"0000000000000,00"),",",""))</f>
        <v>000000000000000</v>
      </c>
      <c r="BL252" s="23">
        <f t="shared" si="1227"/>
        <v>0</v>
      </c>
      <c r="BM252" s="49" t="str">
        <f t="shared" ref="BM252" si="1517">IF(BL252&lt;0,SUBSTITUTE(TEXT(BL252,"000000000000,00"),",",""),SUBSTITUTE(TEXT(BL252,"0000000000000,00"),",",""))</f>
        <v>000000000000000</v>
      </c>
      <c r="BN252" t="str">
        <f t="shared" si="1229"/>
        <v>PES</v>
      </c>
      <c r="BO252" t="str">
        <f t="shared" si="1230"/>
        <v>0001000000</v>
      </c>
      <c r="BP252">
        <f t="shared" si="1231"/>
        <v>0</v>
      </c>
      <c r="BQ252">
        <f t="shared" si="1232"/>
        <v>0</v>
      </c>
      <c r="BR252" s="23">
        <f t="shared" si="1233"/>
        <v>0</v>
      </c>
      <c r="BS252" s="49" t="str">
        <f t="shared" si="1198"/>
        <v>000000000000000</v>
      </c>
      <c r="BT252" t="str">
        <f t="shared" si="1234"/>
        <v>00000000</v>
      </c>
      <c r="BU252" s="23">
        <f t="shared" si="1235"/>
        <v>0</v>
      </c>
      <c r="BV252" s="49" t="str">
        <f t="shared" si="1199"/>
        <v/>
      </c>
      <c r="BW252" s="52" t="str">
        <f t="shared" si="1236"/>
        <v/>
      </c>
      <c r="BX252" s="23">
        <f t="shared" si="1237"/>
        <v>0</v>
      </c>
      <c r="BY252" s="49" t="str">
        <f t="shared" si="1200"/>
        <v/>
      </c>
      <c r="BZ252" s="23">
        <f t="shared" si="1238"/>
        <v>0</v>
      </c>
      <c r="CA252" s="49" t="str">
        <f t="shared" si="1201"/>
        <v/>
      </c>
      <c r="CB252" s="52" t="str">
        <f t="shared" si="1239"/>
        <v/>
      </c>
      <c r="CC252" s="23">
        <f t="shared" si="1240"/>
        <v>0</v>
      </c>
      <c r="CD252" s="49" t="str">
        <f t="shared" si="1202"/>
        <v/>
      </c>
      <c r="CE252" s="56" t="str">
        <f>IF(CF252="","",MAX(CE$10:$CE251)+1)</f>
        <v/>
      </c>
      <c r="CF252" t="str">
        <f t="shared" si="1241"/>
        <v/>
      </c>
      <c r="CG252" s="22" t="str">
        <f>IF(CH252="","",MAX($CG$10:CG251)+1)</f>
        <v/>
      </c>
      <c r="CH252" s="22" t="str">
        <f t="shared" si="1186"/>
        <v/>
      </c>
      <c r="CI252" s="22" t="str">
        <f>IF(CJ252="","",MAX($CI$10:CI251)+1)</f>
        <v/>
      </c>
      <c r="CJ252" s="22" t="str">
        <f t="shared" si="1187"/>
        <v/>
      </c>
    </row>
    <row r="253" spans="2:88" x14ac:dyDescent="0.25">
      <c r="B253" s="37"/>
      <c r="C253" s="3"/>
      <c r="D253" s="77" t="str">
        <f t="shared" si="1173"/>
        <v/>
      </c>
      <c r="E253" s="38"/>
      <c r="F253" s="38"/>
      <c r="G253" s="78">
        <f t="shared" si="1188"/>
        <v>0</v>
      </c>
      <c r="H253" s="3">
        <v>80</v>
      </c>
      <c r="I253" s="77" t="str">
        <f t="shared" si="1174"/>
        <v/>
      </c>
      <c r="J253" s="32"/>
      <c r="K253" s="3"/>
      <c r="L253" s="39"/>
      <c r="M253" s="39"/>
      <c r="N253" s="39"/>
      <c r="O253" s="39"/>
      <c r="P253" s="39"/>
      <c r="Q253" s="39"/>
      <c r="R253" s="39"/>
      <c r="S253" s="39"/>
      <c r="T253" s="3" t="s">
        <v>645</v>
      </c>
      <c r="U253" s="77" t="str">
        <f t="shared" si="1175"/>
        <v/>
      </c>
      <c r="V253" s="39">
        <v>1</v>
      </c>
      <c r="W253" s="79">
        <f t="shared" si="1189"/>
        <v>0</v>
      </c>
      <c r="X253" s="3">
        <v>0</v>
      </c>
      <c r="Y253" s="77" t="str">
        <f t="shared" si="1176"/>
        <v/>
      </c>
      <c r="Z253" s="3"/>
      <c r="AA253" s="37" t="str">
        <f t="shared" si="1190"/>
        <v/>
      </c>
      <c r="AC253" s="40"/>
      <c r="AD253" s="7"/>
      <c r="AE253" s="77" t="str">
        <f t="shared" si="1177"/>
        <v/>
      </c>
      <c r="AF253" s="81">
        <f t="shared" si="1203"/>
        <v>0</v>
      </c>
      <c r="AG253" s="40"/>
      <c r="AH253" s="7"/>
      <c r="AI253" s="77" t="str">
        <f t="shared" si="1178"/>
        <v/>
      </c>
      <c r="AJ253" s="81">
        <f t="shared" si="1204"/>
        <v>0</v>
      </c>
      <c r="AK253" s="83">
        <f t="shared" si="1205"/>
        <v>0</v>
      </c>
      <c r="AL253" s="83">
        <f t="shared" si="1206"/>
        <v>0</v>
      </c>
      <c r="AN253" s="43">
        <f t="shared" si="1179"/>
        <v>0</v>
      </c>
      <c r="AP253" t="str">
        <f t="shared" si="1207"/>
        <v/>
      </c>
      <c r="AQ253" t="str">
        <f t="shared" si="1208"/>
        <v/>
      </c>
      <c r="AR253" t="str">
        <f t="shared" si="1209"/>
        <v/>
      </c>
      <c r="AS253" t="str">
        <f t="shared" si="1210"/>
        <v/>
      </c>
      <c r="AT253" t="str">
        <f t="shared" si="1211"/>
        <v/>
      </c>
      <c r="AU253" t="str">
        <f t="shared" si="1212"/>
        <v/>
      </c>
      <c r="AV253" t="str">
        <f t="shared" si="1213"/>
        <v/>
      </c>
      <c r="AW253" t="str">
        <f t="shared" si="1214"/>
        <v xml:space="preserve">                              </v>
      </c>
      <c r="AX253" s="23">
        <f t="shared" si="1215"/>
        <v>0</v>
      </c>
      <c r="AY253" s="49" t="str">
        <f t="shared" si="1191"/>
        <v>000000000000000</v>
      </c>
      <c r="AZ253" s="23">
        <f t="shared" si="1216"/>
        <v>0</v>
      </c>
      <c r="BA253" s="49" t="str">
        <f t="shared" si="1191"/>
        <v>000000000000000</v>
      </c>
      <c r="BB253" s="23">
        <f t="shared" si="1217"/>
        <v>0</v>
      </c>
      <c r="BC253" s="49" t="str">
        <f t="shared" ref="BC253" si="1518">IF(BB253&lt;0,SUBSTITUTE(TEXT(BB253,"000000000000,00"),",",""),SUBSTITUTE(TEXT(BB253,"0000000000000,00"),",",""))</f>
        <v>000000000000000</v>
      </c>
      <c r="BD253" s="23">
        <f t="shared" si="1219"/>
        <v>0</v>
      </c>
      <c r="BE253" s="49" t="str">
        <f t="shared" ref="BE253" si="1519">IF(BD253&lt;0,SUBSTITUTE(TEXT(BD253,"000000000000,00"),",",""),SUBSTITUTE(TEXT(BD253,"0000000000000,00"),",",""))</f>
        <v>000000000000000</v>
      </c>
      <c r="BF253" s="23">
        <f t="shared" si="1221"/>
        <v>0</v>
      </c>
      <c r="BG253" s="49" t="str">
        <f t="shared" ref="BG253" si="1520">IF(BF253&lt;0,SUBSTITUTE(TEXT(BF253,"000000000000,00"),",",""),SUBSTITUTE(TEXT(BF253,"0000000000000,00"),",",""))</f>
        <v>000000000000000</v>
      </c>
      <c r="BH253" s="23">
        <f t="shared" si="1223"/>
        <v>0</v>
      </c>
      <c r="BI253" s="49" t="str">
        <f t="shared" ref="BI253" si="1521">IF(BH253&lt;0,SUBSTITUTE(TEXT(BH253,"000000000000,00"),",",""),SUBSTITUTE(TEXT(BH253,"0000000000000,00"),",",""))</f>
        <v>000000000000000</v>
      </c>
      <c r="BJ253" s="23">
        <f t="shared" si="1225"/>
        <v>0</v>
      </c>
      <c r="BK253" s="49" t="str">
        <f t="shared" ref="BK253" si="1522">IF(BJ253&lt;0,SUBSTITUTE(TEXT(BJ253,"000000000000,00"),",",""),SUBSTITUTE(TEXT(BJ253,"0000000000000,00"),",",""))</f>
        <v>000000000000000</v>
      </c>
      <c r="BL253" s="23">
        <f t="shared" si="1227"/>
        <v>0</v>
      </c>
      <c r="BM253" s="49" t="str">
        <f t="shared" ref="BM253" si="1523">IF(BL253&lt;0,SUBSTITUTE(TEXT(BL253,"000000000000,00"),",",""),SUBSTITUTE(TEXT(BL253,"0000000000000,00"),",",""))</f>
        <v>000000000000000</v>
      </c>
      <c r="BN253" t="str">
        <f t="shared" si="1229"/>
        <v>PES</v>
      </c>
      <c r="BO253" t="str">
        <f t="shared" si="1230"/>
        <v>0001000000</v>
      </c>
      <c r="BP253">
        <f t="shared" si="1231"/>
        <v>0</v>
      </c>
      <c r="BQ253">
        <f t="shared" si="1232"/>
        <v>0</v>
      </c>
      <c r="BR253" s="23">
        <f t="shared" si="1233"/>
        <v>0</v>
      </c>
      <c r="BS253" s="49" t="str">
        <f t="shared" si="1198"/>
        <v>000000000000000</v>
      </c>
      <c r="BT253" t="str">
        <f t="shared" si="1234"/>
        <v>00000000</v>
      </c>
      <c r="BU253" s="23">
        <f t="shared" si="1235"/>
        <v>0</v>
      </c>
      <c r="BV253" s="49" t="str">
        <f t="shared" si="1199"/>
        <v/>
      </c>
      <c r="BW253" s="52" t="str">
        <f t="shared" si="1236"/>
        <v/>
      </c>
      <c r="BX253" s="23">
        <f t="shared" si="1237"/>
        <v>0</v>
      </c>
      <c r="BY253" s="49" t="str">
        <f t="shared" si="1200"/>
        <v/>
      </c>
      <c r="BZ253" s="23">
        <f t="shared" si="1238"/>
        <v>0</v>
      </c>
      <c r="CA253" s="49" t="str">
        <f t="shared" si="1201"/>
        <v/>
      </c>
      <c r="CB253" s="52" t="str">
        <f t="shared" si="1239"/>
        <v/>
      </c>
      <c r="CC253" s="23">
        <f t="shared" si="1240"/>
        <v>0</v>
      </c>
      <c r="CD253" s="49" t="str">
        <f t="shared" si="1202"/>
        <v/>
      </c>
      <c r="CE253" s="56" t="str">
        <f>IF(CF253="","",MAX(CE$10:$CE252)+1)</f>
        <v/>
      </c>
      <c r="CF253" t="str">
        <f t="shared" si="1241"/>
        <v/>
      </c>
      <c r="CG253" s="22" t="str">
        <f>IF(CH253="","",MAX($CG$10:CG252)+1)</f>
        <v/>
      </c>
      <c r="CH253" s="22" t="str">
        <f t="shared" si="1186"/>
        <v/>
      </c>
      <c r="CI253" s="22" t="str">
        <f>IF(CJ253="","",MAX($CI$10:CI252)+1)</f>
        <v/>
      </c>
      <c r="CJ253" s="22" t="str">
        <f t="shared" si="1187"/>
        <v/>
      </c>
    </row>
    <row r="254" spans="2:88" x14ac:dyDescent="0.25">
      <c r="B254" s="37"/>
      <c r="C254" s="3"/>
      <c r="D254" s="77" t="str">
        <f t="shared" si="1173"/>
        <v/>
      </c>
      <c r="E254" s="38"/>
      <c r="F254" s="38"/>
      <c r="G254" s="78">
        <f t="shared" si="1188"/>
        <v>0</v>
      </c>
      <c r="H254" s="3">
        <v>80</v>
      </c>
      <c r="I254" s="77" t="str">
        <f t="shared" si="1174"/>
        <v/>
      </c>
      <c r="J254" s="32"/>
      <c r="K254" s="3"/>
      <c r="L254" s="39"/>
      <c r="M254" s="39"/>
      <c r="N254" s="39"/>
      <c r="O254" s="39"/>
      <c r="P254" s="39"/>
      <c r="Q254" s="39"/>
      <c r="R254" s="39"/>
      <c r="S254" s="39"/>
      <c r="T254" s="3" t="s">
        <v>645</v>
      </c>
      <c r="U254" s="77" t="str">
        <f t="shared" si="1175"/>
        <v/>
      </c>
      <c r="V254" s="39">
        <v>1</v>
      </c>
      <c r="W254" s="79">
        <f t="shared" si="1189"/>
        <v>0</v>
      </c>
      <c r="X254" s="3">
        <v>0</v>
      </c>
      <c r="Y254" s="77" t="str">
        <f t="shared" si="1176"/>
        <v/>
      </c>
      <c r="Z254" s="3"/>
      <c r="AA254" s="37" t="str">
        <f t="shared" si="1190"/>
        <v/>
      </c>
      <c r="AC254" s="40"/>
      <c r="AD254" s="7"/>
      <c r="AE254" s="77" t="str">
        <f t="shared" si="1177"/>
        <v/>
      </c>
      <c r="AF254" s="81">
        <f t="shared" si="1203"/>
        <v>0</v>
      </c>
      <c r="AG254" s="40"/>
      <c r="AH254" s="7"/>
      <c r="AI254" s="77" t="str">
        <f t="shared" si="1178"/>
        <v/>
      </c>
      <c r="AJ254" s="81">
        <f t="shared" si="1204"/>
        <v>0</v>
      </c>
      <c r="AK254" s="83">
        <f t="shared" si="1205"/>
        <v>0</v>
      </c>
      <c r="AL254" s="83">
        <f t="shared" si="1206"/>
        <v>0</v>
      </c>
      <c r="AN254" s="43">
        <f t="shared" si="1179"/>
        <v>0</v>
      </c>
      <c r="AP254" t="str">
        <f t="shared" si="1207"/>
        <v/>
      </c>
      <c r="AQ254" t="str">
        <f t="shared" si="1208"/>
        <v/>
      </c>
      <c r="AR254" t="str">
        <f t="shared" si="1209"/>
        <v/>
      </c>
      <c r="AS254" t="str">
        <f t="shared" si="1210"/>
        <v/>
      </c>
      <c r="AT254" t="str">
        <f t="shared" si="1211"/>
        <v/>
      </c>
      <c r="AU254" t="str">
        <f t="shared" si="1212"/>
        <v/>
      </c>
      <c r="AV254" t="str">
        <f t="shared" si="1213"/>
        <v/>
      </c>
      <c r="AW254" t="str">
        <f t="shared" si="1214"/>
        <v xml:space="preserve">                              </v>
      </c>
      <c r="AX254" s="23">
        <f t="shared" si="1215"/>
        <v>0</v>
      </c>
      <c r="AY254" s="49" t="str">
        <f t="shared" si="1191"/>
        <v>000000000000000</v>
      </c>
      <c r="AZ254" s="23">
        <f t="shared" si="1216"/>
        <v>0</v>
      </c>
      <c r="BA254" s="49" t="str">
        <f t="shared" si="1191"/>
        <v>000000000000000</v>
      </c>
      <c r="BB254" s="23">
        <f t="shared" si="1217"/>
        <v>0</v>
      </c>
      <c r="BC254" s="49" t="str">
        <f t="shared" ref="BC254" si="1524">IF(BB254&lt;0,SUBSTITUTE(TEXT(BB254,"000000000000,00"),",",""),SUBSTITUTE(TEXT(BB254,"0000000000000,00"),",",""))</f>
        <v>000000000000000</v>
      </c>
      <c r="BD254" s="23">
        <f t="shared" si="1219"/>
        <v>0</v>
      </c>
      <c r="BE254" s="49" t="str">
        <f t="shared" ref="BE254" si="1525">IF(BD254&lt;0,SUBSTITUTE(TEXT(BD254,"000000000000,00"),",",""),SUBSTITUTE(TEXT(BD254,"0000000000000,00"),",",""))</f>
        <v>000000000000000</v>
      </c>
      <c r="BF254" s="23">
        <f t="shared" si="1221"/>
        <v>0</v>
      </c>
      <c r="BG254" s="49" t="str">
        <f t="shared" ref="BG254" si="1526">IF(BF254&lt;0,SUBSTITUTE(TEXT(BF254,"000000000000,00"),",",""),SUBSTITUTE(TEXT(BF254,"0000000000000,00"),",",""))</f>
        <v>000000000000000</v>
      </c>
      <c r="BH254" s="23">
        <f t="shared" si="1223"/>
        <v>0</v>
      </c>
      <c r="BI254" s="49" t="str">
        <f t="shared" ref="BI254" si="1527">IF(BH254&lt;0,SUBSTITUTE(TEXT(BH254,"000000000000,00"),",",""),SUBSTITUTE(TEXT(BH254,"0000000000000,00"),",",""))</f>
        <v>000000000000000</v>
      </c>
      <c r="BJ254" s="23">
        <f t="shared" si="1225"/>
        <v>0</v>
      </c>
      <c r="BK254" s="49" t="str">
        <f t="shared" ref="BK254" si="1528">IF(BJ254&lt;0,SUBSTITUTE(TEXT(BJ254,"000000000000,00"),",",""),SUBSTITUTE(TEXT(BJ254,"0000000000000,00"),",",""))</f>
        <v>000000000000000</v>
      </c>
      <c r="BL254" s="23">
        <f t="shared" si="1227"/>
        <v>0</v>
      </c>
      <c r="BM254" s="49" t="str">
        <f t="shared" ref="BM254" si="1529">IF(BL254&lt;0,SUBSTITUTE(TEXT(BL254,"000000000000,00"),",",""),SUBSTITUTE(TEXT(BL254,"0000000000000,00"),",",""))</f>
        <v>000000000000000</v>
      </c>
      <c r="BN254" t="str">
        <f t="shared" si="1229"/>
        <v>PES</v>
      </c>
      <c r="BO254" t="str">
        <f t="shared" si="1230"/>
        <v>0001000000</v>
      </c>
      <c r="BP254">
        <f t="shared" si="1231"/>
        <v>0</v>
      </c>
      <c r="BQ254">
        <f t="shared" si="1232"/>
        <v>0</v>
      </c>
      <c r="BR254" s="23">
        <f t="shared" si="1233"/>
        <v>0</v>
      </c>
      <c r="BS254" s="49" t="str">
        <f t="shared" si="1198"/>
        <v>000000000000000</v>
      </c>
      <c r="BT254" t="str">
        <f t="shared" si="1234"/>
        <v>00000000</v>
      </c>
      <c r="BU254" s="23">
        <f t="shared" si="1235"/>
        <v>0</v>
      </c>
      <c r="BV254" s="49" t="str">
        <f t="shared" si="1199"/>
        <v/>
      </c>
      <c r="BW254" s="52" t="str">
        <f t="shared" si="1236"/>
        <v/>
      </c>
      <c r="BX254" s="23">
        <f t="shared" si="1237"/>
        <v>0</v>
      </c>
      <c r="BY254" s="49" t="str">
        <f t="shared" si="1200"/>
        <v/>
      </c>
      <c r="BZ254" s="23">
        <f t="shared" si="1238"/>
        <v>0</v>
      </c>
      <c r="CA254" s="49" t="str">
        <f t="shared" si="1201"/>
        <v/>
      </c>
      <c r="CB254" s="52" t="str">
        <f t="shared" si="1239"/>
        <v/>
      </c>
      <c r="CC254" s="23">
        <f t="shared" si="1240"/>
        <v>0</v>
      </c>
      <c r="CD254" s="49" t="str">
        <f t="shared" si="1202"/>
        <v/>
      </c>
      <c r="CE254" s="56" t="str">
        <f>IF(CF254="","",MAX(CE$10:$CE253)+1)</f>
        <v/>
      </c>
      <c r="CF254" t="str">
        <f t="shared" si="1241"/>
        <v/>
      </c>
      <c r="CG254" s="22" t="str">
        <f>IF(CH254="","",MAX($CG$10:CG253)+1)</f>
        <v/>
      </c>
      <c r="CH254" s="22" t="str">
        <f t="shared" si="1186"/>
        <v/>
      </c>
      <c r="CI254" s="22" t="str">
        <f>IF(CJ254="","",MAX($CI$10:CI253)+1)</f>
        <v/>
      </c>
      <c r="CJ254" s="22" t="str">
        <f t="shared" si="1187"/>
        <v/>
      </c>
    </row>
    <row r="255" spans="2:88" x14ac:dyDescent="0.25">
      <c r="B255" s="37"/>
      <c r="C255" s="3"/>
      <c r="D255" s="77" t="str">
        <f t="shared" si="1173"/>
        <v/>
      </c>
      <c r="E255" s="38"/>
      <c r="F255" s="38"/>
      <c r="G255" s="78">
        <f t="shared" si="1188"/>
        <v>0</v>
      </c>
      <c r="H255" s="3">
        <v>80</v>
      </c>
      <c r="I255" s="77" t="str">
        <f t="shared" si="1174"/>
        <v/>
      </c>
      <c r="J255" s="32"/>
      <c r="K255" s="3"/>
      <c r="L255" s="39"/>
      <c r="M255" s="39"/>
      <c r="N255" s="39"/>
      <c r="O255" s="39"/>
      <c r="P255" s="39"/>
      <c r="Q255" s="39"/>
      <c r="R255" s="39"/>
      <c r="S255" s="39"/>
      <c r="T255" s="3" t="s">
        <v>645</v>
      </c>
      <c r="U255" s="77" t="str">
        <f t="shared" si="1175"/>
        <v/>
      </c>
      <c r="V255" s="39">
        <v>1</v>
      </c>
      <c r="W255" s="79">
        <f t="shared" si="1189"/>
        <v>0</v>
      </c>
      <c r="X255" s="3">
        <v>0</v>
      </c>
      <c r="Y255" s="77" t="str">
        <f t="shared" si="1176"/>
        <v/>
      </c>
      <c r="Z255" s="3"/>
      <c r="AA255" s="37" t="str">
        <f t="shared" si="1190"/>
        <v/>
      </c>
      <c r="AC255" s="40"/>
      <c r="AD255" s="7"/>
      <c r="AE255" s="77" t="str">
        <f t="shared" si="1177"/>
        <v/>
      </c>
      <c r="AF255" s="81">
        <f t="shared" si="1203"/>
        <v>0</v>
      </c>
      <c r="AG255" s="40"/>
      <c r="AH255" s="7"/>
      <c r="AI255" s="77" t="str">
        <f t="shared" si="1178"/>
        <v/>
      </c>
      <c r="AJ255" s="81">
        <f t="shared" si="1204"/>
        <v>0</v>
      </c>
      <c r="AK255" s="83">
        <f t="shared" si="1205"/>
        <v>0</v>
      </c>
      <c r="AL255" s="83">
        <f t="shared" si="1206"/>
        <v>0</v>
      </c>
      <c r="AN255" s="43">
        <f t="shared" si="1179"/>
        <v>0</v>
      </c>
      <c r="AP255" t="str">
        <f t="shared" si="1207"/>
        <v/>
      </c>
      <c r="AQ255" t="str">
        <f t="shared" si="1208"/>
        <v/>
      </c>
      <c r="AR255" t="str">
        <f t="shared" si="1209"/>
        <v/>
      </c>
      <c r="AS255" t="str">
        <f t="shared" si="1210"/>
        <v/>
      </c>
      <c r="AT255" t="str">
        <f t="shared" si="1211"/>
        <v/>
      </c>
      <c r="AU255" t="str">
        <f t="shared" si="1212"/>
        <v/>
      </c>
      <c r="AV255" t="str">
        <f t="shared" si="1213"/>
        <v/>
      </c>
      <c r="AW255" t="str">
        <f t="shared" si="1214"/>
        <v xml:space="preserve">                              </v>
      </c>
      <c r="AX255" s="23">
        <f t="shared" si="1215"/>
        <v>0</v>
      </c>
      <c r="AY255" s="49" t="str">
        <f t="shared" si="1191"/>
        <v>000000000000000</v>
      </c>
      <c r="AZ255" s="23">
        <f t="shared" si="1216"/>
        <v>0</v>
      </c>
      <c r="BA255" s="49" t="str">
        <f t="shared" si="1191"/>
        <v>000000000000000</v>
      </c>
      <c r="BB255" s="23">
        <f t="shared" si="1217"/>
        <v>0</v>
      </c>
      <c r="BC255" s="49" t="str">
        <f t="shared" ref="BC255" si="1530">IF(BB255&lt;0,SUBSTITUTE(TEXT(BB255,"000000000000,00"),",",""),SUBSTITUTE(TEXT(BB255,"0000000000000,00"),",",""))</f>
        <v>000000000000000</v>
      </c>
      <c r="BD255" s="23">
        <f t="shared" si="1219"/>
        <v>0</v>
      </c>
      <c r="BE255" s="49" t="str">
        <f t="shared" ref="BE255" si="1531">IF(BD255&lt;0,SUBSTITUTE(TEXT(BD255,"000000000000,00"),",",""),SUBSTITUTE(TEXT(BD255,"0000000000000,00"),",",""))</f>
        <v>000000000000000</v>
      </c>
      <c r="BF255" s="23">
        <f t="shared" si="1221"/>
        <v>0</v>
      </c>
      <c r="BG255" s="49" t="str">
        <f t="shared" ref="BG255" si="1532">IF(BF255&lt;0,SUBSTITUTE(TEXT(BF255,"000000000000,00"),",",""),SUBSTITUTE(TEXT(BF255,"0000000000000,00"),",",""))</f>
        <v>000000000000000</v>
      </c>
      <c r="BH255" s="23">
        <f t="shared" si="1223"/>
        <v>0</v>
      </c>
      <c r="BI255" s="49" t="str">
        <f t="shared" ref="BI255" si="1533">IF(BH255&lt;0,SUBSTITUTE(TEXT(BH255,"000000000000,00"),",",""),SUBSTITUTE(TEXT(BH255,"0000000000000,00"),",",""))</f>
        <v>000000000000000</v>
      </c>
      <c r="BJ255" s="23">
        <f t="shared" si="1225"/>
        <v>0</v>
      </c>
      <c r="BK255" s="49" t="str">
        <f t="shared" ref="BK255" si="1534">IF(BJ255&lt;0,SUBSTITUTE(TEXT(BJ255,"000000000000,00"),",",""),SUBSTITUTE(TEXT(BJ255,"0000000000000,00"),",",""))</f>
        <v>000000000000000</v>
      </c>
      <c r="BL255" s="23">
        <f t="shared" si="1227"/>
        <v>0</v>
      </c>
      <c r="BM255" s="49" t="str">
        <f t="shared" ref="BM255" si="1535">IF(BL255&lt;0,SUBSTITUTE(TEXT(BL255,"000000000000,00"),",",""),SUBSTITUTE(TEXT(BL255,"0000000000000,00"),",",""))</f>
        <v>000000000000000</v>
      </c>
      <c r="BN255" t="str">
        <f t="shared" si="1229"/>
        <v>PES</v>
      </c>
      <c r="BO255" t="str">
        <f t="shared" si="1230"/>
        <v>0001000000</v>
      </c>
      <c r="BP255">
        <f t="shared" si="1231"/>
        <v>0</v>
      </c>
      <c r="BQ255">
        <f t="shared" si="1232"/>
        <v>0</v>
      </c>
      <c r="BR255" s="23">
        <f t="shared" si="1233"/>
        <v>0</v>
      </c>
      <c r="BS255" s="49" t="str">
        <f t="shared" si="1198"/>
        <v>000000000000000</v>
      </c>
      <c r="BT255" t="str">
        <f t="shared" si="1234"/>
        <v>00000000</v>
      </c>
      <c r="BU255" s="23">
        <f t="shared" si="1235"/>
        <v>0</v>
      </c>
      <c r="BV255" s="49" t="str">
        <f t="shared" si="1199"/>
        <v/>
      </c>
      <c r="BW255" s="52" t="str">
        <f t="shared" si="1236"/>
        <v/>
      </c>
      <c r="BX255" s="23">
        <f t="shared" si="1237"/>
        <v>0</v>
      </c>
      <c r="BY255" s="49" t="str">
        <f t="shared" si="1200"/>
        <v/>
      </c>
      <c r="BZ255" s="23">
        <f t="shared" si="1238"/>
        <v>0</v>
      </c>
      <c r="CA255" s="49" t="str">
        <f t="shared" si="1201"/>
        <v/>
      </c>
      <c r="CB255" s="52" t="str">
        <f t="shared" si="1239"/>
        <v/>
      </c>
      <c r="CC255" s="23">
        <f t="shared" si="1240"/>
        <v>0</v>
      </c>
      <c r="CD255" s="49" t="str">
        <f t="shared" si="1202"/>
        <v/>
      </c>
      <c r="CE255" s="56" t="str">
        <f>IF(CF255="","",MAX(CE$10:$CE254)+1)</f>
        <v/>
      </c>
      <c r="CF255" t="str">
        <f t="shared" si="1241"/>
        <v/>
      </c>
      <c r="CG255" s="22" t="str">
        <f>IF(CH255="","",MAX($CG$10:CG254)+1)</f>
        <v/>
      </c>
      <c r="CH255" s="22" t="str">
        <f t="shared" si="1186"/>
        <v/>
      </c>
      <c r="CI255" s="22" t="str">
        <f>IF(CJ255="","",MAX($CI$10:CI254)+1)</f>
        <v/>
      </c>
      <c r="CJ255" s="22" t="str">
        <f t="shared" si="1187"/>
        <v/>
      </c>
    </row>
    <row r="256" spans="2:88" x14ac:dyDescent="0.25">
      <c r="B256" s="37"/>
      <c r="C256" s="3"/>
      <c r="D256" s="77" t="str">
        <f t="shared" si="1173"/>
        <v/>
      </c>
      <c r="E256" s="38"/>
      <c r="F256" s="38"/>
      <c r="G256" s="78">
        <f t="shared" si="1188"/>
        <v>0</v>
      </c>
      <c r="H256" s="3">
        <v>80</v>
      </c>
      <c r="I256" s="77" t="str">
        <f t="shared" si="1174"/>
        <v/>
      </c>
      <c r="J256" s="32"/>
      <c r="K256" s="3"/>
      <c r="L256" s="39"/>
      <c r="M256" s="39"/>
      <c r="N256" s="39"/>
      <c r="O256" s="39"/>
      <c r="P256" s="39"/>
      <c r="Q256" s="39"/>
      <c r="R256" s="39"/>
      <c r="S256" s="39"/>
      <c r="T256" s="3" t="s">
        <v>645</v>
      </c>
      <c r="U256" s="77" t="str">
        <f t="shared" si="1175"/>
        <v/>
      </c>
      <c r="V256" s="39">
        <v>1</v>
      </c>
      <c r="W256" s="79">
        <f t="shared" si="1189"/>
        <v>0</v>
      </c>
      <c r="X256" s="3">
        <v>0</v>
      </c>
      <c r="Y256" s="77" t="str">
        <f t="shared" si="1176"/>
        <v/>
      </c>
      <c r="Z256" s="3"/>
      <c r="AA256" s="37" t="str">
        <f t="shared" si="1190"/>
        <v/>
      </c>
      <c r="AC256" s="40"/>
      <c r="AD256" s="7"/>
      <c r="AE256" s="77" t="str">
        <f t="shared" si="1177"/>
        <v/>
      </c>
      <c r="AF256" s="81">
        <f t="shared" si="1203"/>
        <v>0</v>
      </c>
      <c r="AG256" s="40"/>
      <c r="AH256" s="7"/>
      <c r="AI256" s="77" t="str">
        <f t="shared" si="1178"/>
        <v/>
      </c>
      <c r="AJ256" s="81">
        <f t="shared" si="1204"/>
        <v>0</v>
      </c>
      <c r="AK256" s="83">
        <f t="shared" si="1205"/>
        <v>0</v>
      </c>
      <c r="AL256" s="83">
        <f t="shared" si="1206"/>
        <v>0</v>
      </c>
      <c r="AN256" s="43">
        <f t="shared" si="1179"/>
        <v>0</v>
      </c>
      <c r="AP256" t="str">
        <f t="shared" si="1207"/>
        <v/>
      </c>
      <c r="AQ256" t="str">
        <f t="shared" si="1208"/>
        <v/>
      </c>
      <c r="AR256" t="str">
        <f t="shared" si="1209"/>
        <v/>
      </c>
      <c r="AS256" t="str">
        <f t="shared" si="1210"/>
        <v/>
      </c>
      <c r="AT256" t="str">
        <f t="shared" si="1211"/>
        <v/>
      </c>
      <c r="AU256" t="str">
        <f t="shared" si="1212"/>
        <v/>
      </c>
      <c r="AV256" t="str">
        <f t="shared" si="1213"/>
        <v/>
      </c>
      <c r="AW256" t="str">
        <f t="shared" si="1214"/>
        <v xml:space="preserve">                              </v>
      </c>
      <c r="AX256" s="23">
        <f t="shared" si="1215"/>
        <v>0</v>
      </c>
      <c r="AY256" s="49" t="str">
        <f t="shared" si="1191"/>
        <v>000000000000000</v>
      </c>
      <c r="AZ256" s="23">
        <f t="shared" si="1216"/>
        <v>0</v>
      </c>
      <c r="BA256" s="49" t="str">
        <f t="shared" si="1191"/>
        <v>000000000000000</v>
      </c>
      <c r="BB256" s="23">
        <f t="shared" si="1217"/>
        <v>0</v>
      </c>
      <c r="BC256" s="49" t="str">
        <f t="shared" ref="BC256" si="1536">IF(BB256&lt;0,SUBSTITUTE(TEXT(BB256,"000000000000,00"),",",""),SUBSTITUTE(TEXT(BB256,"0000000000000,00"),",",""))</f>
        <v>000000000000000</v>
      </c>
      <c r="BD256" s="23">
        <f t="shared" si="1219"/>
        <v>0</v>
      </c>
      <c r="BE256" s="49" t="str">
        <f t="shared" ref="BE256" si="1537">IF(BD256&lt;0,SUBSTITUTE(TEXT(BD256,"000000000000,00"),",",""),SUBSTITUTE(TEXT(BD256,"0000000000000,00"),",",""))</f>
        <v>000000000000000</v>
      </c>
      <c r="BF256" s="23">
        <f t="shared" si="1221"/>
        <v>0</v>
      </c>
      <c r="BG256" s="49" t="str">
        <f t="shared" ref="BG256" si="1538">IF(BF256&lt;0,SUBSTITUTE(TEXT(BF256,"000000000000,00"),",",""),SUBSTITUTE(TEXT(BF256,"0000000000000,00"),",",""))</f>
        <v>000000000000000</v>
      </c>
      <c r="BH256" s="23">
        <f t="shared" si="1223"/>
        <v>0</v>
      </c>
      <c r="BI256" s="49" t="str">
        <f t="shared" ref="BI256" si="1539">IF(BH256&lt;0,SUBSTITUTE(TEXT(BH256,"000000000000,00"),",",""),SUBSTITUTE(TEXT(BH256,"0000000000000,00"),",",""))</f>
        <v>000000000000000</v>
      </c>
      <c r="BJ256" s="23">
        <f t="shared" si="1225"/>
        <v>0</v>
      </c>
      <c r="BK256" s="49" t="str">
        <f t="shared" ref="BK256" si="1540">IF(BJ256&lt;0,SUBSTITUTE(TEXT(BJ256,"000000000000,00"),",",""),SUBSTITUTE(TEXT(BJ256,"0000000000000,00"),",",""))</f>
        <v>000000000000000</v>
      </c>
      <c r="BL256" s="23">
        <f t="shared" si="1227"/>
        <v>0</v>
      </c>
      <c r="BM256" s="49" t="str">
        <f t="shared" ref="BM256" si="1541">IF(BL256&lt;0,SUBSTITUTE(TEXT(BL256,"000000000000,00"),",",""),SUBSTITUTE(TEXT(BL256,"0000000000000,00"),",",""))</f>
        <v>000000000000000</v>
      </c>
      <c r="BN256" t="str">
        <f t="shared" si="1229"/>
        <v>PES</v>
      </c>
      <c r="BO256" t="str">
        <f t="shared" si="1230"/>
        <v>0001000000</v>
      </c>
      <c r="BP256">
        <f t="shared" si="1231"/>
        <v>0</v>
      </c>
      <c r="BQ256">
        <f t="shared" si="1232"/>
        <v>0</v>
      </c>
      <c r="BR256" s="23">
        <f t="shared" si="1233"/>
        <v>0</v>
      </c>
      <c r="BS256" s="49" t="str">
        <f t="shared" si="1198"/>
        <v>000000000000000</v>
      </c>
      <c r="BT256" t="str">
        <f t="shared" si="1234"/>
        <v>00000000</v>
      </c>
      <c r="BU256" s="23">
        <f t="shared" si="1235"/>
        <v>0</v>
      </c>
      <c r="BV256" s="49" t="str">
        <f t="shared" si="1199"/>
        <v/>
      </c>
      <c r="BW256" s="52" t="str">
        <f t="shared" si="1236"/>
        <v/>
      </c>
      <c r="BX256" s="23">
        <f t="shared" si="1237"/>
        <v>0</v>
      </c>
      <c r="BY256" s="49" t="str">
        <f t="shared" si="1200"/>
        <v/>
      </c>
      <c r="BZ256" s="23">
        <f t="shared" si="1238"/>
        <v>0</v>
      </c>
      <c r="CA256" s="49" t="str">
        <f t="shared" si="1201"/>
        <v/>
      </c>
      <c r="CB256" s="52" t="str">
        <f t="shared" si="1239"/>
        <v/>
      </c>
      <c r="CC256" s="23">
        <f t="shared" si="1240"/>
        <v>0</v>
      </c>
      <c r="CD256" s="49" t="str">
        <f t="shared" si="1202"/>
        <v/>
      </c>
      <c r="CE256" s="56" t="str">
        <f>IF(CF256="","",MAX(CE$10:$CE255)+1)</f>
        <v/>
      </c>
      <c r="CF256" t="str">
        <f t="shared" si="1241"/>
        <v/>
      </c>
      <c r="CG256" s="22" t="str">
        <f>IF(CH256="","",MAX($CG$10:CG255)+1)</f>
        <v/>
      </c>
      <c r="CH256" s="22" t="str">
        <f t="shared" si="1186"/>
        <v/>
      </c>
      <c r="CI256" s="22" t="str">
        <f>IF(CJ256="","",MAX($CI$10:CI255)+1)</f>
        <v/>
      </c>
      <c r="CJ256" s="22" t="str">
        <f t="shared" si="1187"/>
        <v/>
      </c>
    </row>
    <row r="257" spans="2:88" x14ac:dyDescent="0.25">
      <c r="B257" s="37"/>
      <c r="C257" s="3"/>
      <c r="D257" s="77" t="str">
        <f t="shared" si="1173"/>
        <v/>
      </c>
      <c r="E257" s="38"/>
      <c r="F257" s="38"/>
      <c r="G257" s="78">
        <f t="shared" si="1188"/>
        <v>0</v>
      </c>
      <c r="H257" s="3">
        <v>80</v>
      </c>
      <c r="I257" s="77" t="str">
        <f t="shared" si="1174"/>
        <v/>
      </c>
      <c r="J257" s="32"/>
      <c r="K257" s="3"/>
      <c r="L257" s="39"/>
      <c r="M257" s="39"/>
      <c r="N257" s="39"/>
      <c r="O257" s="39"/>
      <c r="P257" s="39"/>
      <c r="Q257" s="39"/>
      <c r="R257" s="39"/>
      <c r="S257" s="39"/>
      <c r="T257" s="3" t="s">
        <v>645</v>
      </c>
      <c r="U257" s="77" t="str">
        <f t="shared" si="1175"/>
        <v/>
      </c>
      <c r="V257" s="39">
        <v>1</v>
      </c>
      <c r="W257" s="79">
        <f t="shared" si="1189"/>
        <v>0</v>
      </c>
      <c r="X257" s="3">
        <v>0</v>
      </c>
      <c r="Y257" s="77" t="str">
        <f t="shared" si="1176"/>
        <v/>
      </c>
      <c r="Z257" s="3"/>
      <c r="AA257" s="37" t="str">
        <f t="shared" si="1190"/>
        <v/>
      </c>
      <c r="AC257" s="40"/>
      <c r="AD257" s="7"/>
      <c r="AE257" s="77" t="str">
        <f t="shared" si="1177"/>
        <v/>
      </c>
      <c r="AF257" s="81">
        <f t="shared" si="1203"/>
        <v>0</v>
      </c>
      <c r="AG257" s="40"/>
      <c r="AH257" s="7"/>
      <c r="AI257" s="77" t="str">
        <f t="shared" si="1178"/>
        <v/>
      </c>
      <c r="AJ257" s="81">
        <f t="shared" si="1204"/>
        <v>0</v>
      </c>
      <c r="AK257" s="83">
        <f t="shared" si="1205"/>
        <v>0</v>
      </c>
      <c r="AL257" s="83">
        <f t="shared" si="1206"/>
        <v>0</v>
      </c>
      <c r="AN257" s="43">
        <f t="shared" si="1179"/>
        <v>0</v>
      </c>
      <c r="AP257" t="str">
        <f t="shared" si="1207"/>
        <v/>
      </c>
      <c r="AQ257" t="str">
        <f t="shared" si="1208"/>
        <v/>
      </c>
      <c r="AR257" t="str">
        <f t="shared" si="1209"/>
        <v/>
      </c>
      <c r="AS257" t="str">
        <f t="shared" si="1210"/>
        <v/>
      </c>
      <c r="AT257" t="str">
        <f t="shared" si="1211"/>
        <v/>
      </c>
      <c r="AU257" t="str">
        <f t="shared" si="1212"/>
        <v/>
      </c>
      <c r="AV257" t="str">
        <f t="shared" si="1213"/>
        <v/>
      </c>
      <c r="AW257" t="str">
        <f t="shared" si="1214"/>
        <v xml:space="preserve">                              </v>
      </c>
      <c r="AX257" s="23">
        <f t="shared" si="1215"/>
        <v>0</v>
      </c>
      <c r="AY257" s="49" t="str">
        <f t="shared" si="1191"/>
        <v>000000000000000</v>
      </c>
      <c r="AZ257" s="23">
        <f t="shared" si="1216"/>
        <v>0</v>
      </c>
      <c r="BA257" s="49" t="str">
        <f t="shared" si="1191"/>
        <v>000000000000000</v>
      </c>
      <c r="BB257" s="23">
        <f t="shared" si="1217"/>
        <v>0</v>
      </c>
      <c r="BC257" s="49" t="str">
        <f t="shared" ref="BC257" si="1542">IF(BB257&lt;0,SUBSTITUTE(TEXT(BB257,"000000000000,00"),",",""),SUBSTITUTE(TEXT(BB257,"0000000000000,00"),",",""))</f>
        <v>000000000000000</v>
      </c>
      <c r="BD257" s="23">
        <f t="shared" si="1219"/>
        <v>0</v>
      </c>
      <c r="BE257" s="49" t="str">
        <f t="shared" ref="BE257" si="1543">IF(BD257&lt;0,SUBSTITUTE(TEXT(BD257,"000000000000,00"),",",""),SUBSTITUTE(TEXT(BD257,"0000000000000,00"),",",""))</f>
        <v>000000000000000</v>
      </c>
      <c r="BF257" s="23">
        <f t="shared" si="1221"/>
        <v>0</v>
      </c>
      <c r="BG257" s="49" t="str">
        <f t="shared" ref="BG257" si="1544">IF(BF257&lt;0,SUBSTITUTE(TEXT(BF257,"000000000000,00"),",",""),SUBSTITUTE(TEXT(BF257,"0000000000000,00"),",",""))</f>
        <v>000000000000000</v>
      </c>
      <c r="BH257" s="23">
        <f t="shared" si="1223"/>
        <v>0</v>
      </c>
      <c r="BI257" s="49" t="str">
        <f t="shared" ref="BI257" si="1545">IF(BH257&lt;0,SUBSTITUTE(TEXT(BH257,"000000000000,00"),",",""),SUBSTITUTE(TEXT(BH257,"0000000000000,00"),",",""))</f>
        <v>000000000000000</v>
      </c>
      <c r="BJ257" s="23">
        <f t="shared" si="1225"/>
        <v>0</v>
      </c>
      <c r="BK257" s="49" t="str">
        <f t="shared" ref="BK257" si="1546">IF(BJ257&lt;0,SUBSTITUTE(TEXT(BJ257,"000000000000,00"),",",""),SUBSTITUTE(TEXT(BJ257,"0000000000000,00"),",",""))</f>
        <v>000000000000000</v>
      </c>
      <c r="BL257" s="23">
        <f t="shared" si="1227"/>
        <v>0</v>
      </c>
      <c r="BM257" s="49" t="str">
        <f t="shared" ref="BM257" si="1547">IF(BL257&lt;0,SUBSTITUTE(TEXT(BL257,"000000000000,00"),",",""),SUBSTITUTE(TEXT(BL257,"0000000000000,00"),",",""))</f>
        <v>000000000000000</v>
      </c>
      <c r="BN257" t="str">
        <f t="shared" si="1229"/>
        <v>PES</v>
      </c>
      <c r="BO257" t="str">
        <f t="shared" si="1230"/>
        <v>0001000000</v>
      </c>
      <c r="BP257">
        <f t="shared" si="1231"/>
        <v>0</v>
      </c>
      <c r="BQ257">
        <f t="shared" si="1232"/>
        <v>0</v>
      </c>
      <c r="BR257" s="23">
        <f t="shared" si="1233"/>
        <v>0</v>
      </c>
      <c r="BS257" s="49" t="str">
        <f t="shared" si="1198"/>
        <v>000000000000000</v>
      </c>
      <c r="BT257" t="str">
        <f t="shared" si="1234"/>
        <v>00000000</v>
      </c>
      <c r="BU257" s="23">
        <f t="shared" si="1235"/>
        <v>0</v>
      </c>
      <c r="BV257" s="49" t="str">
        <f t="shared" si="1199"/>
        <v/>
      </c>
      <c r="BW257" s="52" t="str">
        <f t="shared" si="1236"/>
        <v/>
      </c>
      <c r="BX257" s="23">
        <f t="shared" si="1237"/>
        <v>0</v>
      </c>
      <c r="BY257" s="49" t="str">
        <f t="shared" si="1200"/>
        <v/>
      </c>
      <c r="BZ257" s="23">
        <f t="shared" si="1238"/>
        <v>0</v>
      </c>
      <c r="CA257" s="49" t="str">
        <f t="shared" si="1201"/>
        <v/>
      </c>
      <c r="CB257" s="52" t="str">
        <f t="shared" si="1239"/>
        <v/>
      </c>
      <c r="CC257" s="23">
        <f t="shared" si="1240"/>
        <v>0</v>
      </c>
      <c r="CD257" s="49" t="str">
        <f t="shared" si="1202"/>
        <v/>
      </c>
      <c r="CE257" s="56" t="str">
        <f>IF(CF257="","",MAX(CE$10:$CE256)+1)</f>
        <v/>
      </c>
      <c r="CF257" t="str">
        <f t="shared" si="1241"/>
        <v/>
      </c>
      <c r="CG257" s="22" t="str">
        <f>IF(CH257="","",MAX($CG$10:CG256)+1)</f>
        <v/>
      </c>
      <c r="CH257" s="22" t="str">
        <f t="shared" si="1186"/>
        <v/>
      </c>
      <c r="CI257" s="22" t="str">
        <f>IF(CJ257="","",MAX($CI$10:CI256)+1)</f>
        <v/>
      </c>
      <c r="CJ257" s="22" t="str">
        <f t="shared" si="1187"/>
        <v/>
      </c>
    </row>
    <row r="258" spans="2:88" x14ac:dyDescent="0.25">
      <c r="B258" s="37"/>
      <c r="C258" s="3"/>
      <c r="D258" s="77" t="str">
        <f t="shared" si="1173"/>
        <v/>
      </c>
      <c r="E258" s="38"/>
      <c r="F258" s="38"/>
      <c r="G258" s="78">
        <f t="shared" si="1188"/>
        <v>0</v>
      </c>
      <c r="H258" s="3">
        <v>80</v>
      </c>
      <c r="I258" s="77" t="str">
        <f t="shared" si="1174"/>
        <v/>
      </c>
      <c r="J258" s="32"/>
      <c r="K258" s="3"/>
      <c r="L258" s="39"/>
      <c r="M258" s="39"/>
      <c r="N258" s="39"/>
      <c r="O258" s="39"/>
      <c r="P258" s="39"/>
      <c r="Q258" s="39"/>
      <c r="R258" s="39"/>
      <c r="S258" s="39"/>
      <c r="T258" s="3" t="s">
        <v>645</v>
      </c>
      <c r="U258" s="77" t="str">
        <f t="shared" si="1175"/>
        <v/>
      </c>
      <c r="V258" s="39">
        <v>1</v>
      </c>
      <c r="W258" s="79">
        <f t="shared" si="1189"/>
        <v>0</v>
      </c>
      <c r="X258" s="3">
        <v>0</v>
      </c>
      <c r="Y258" s="77" t="str">
        <f t="shared" si="1176"/>
        <v/>
      </c>
      <c r="Z258" s="3"/>
      <c r="AA258" s="37" t="str">
        <f t="shared" si="1190"/>
        <v/>
      </c>
      <c r="AC258" s="40"/>
      <c r="AD258" s="7"/>
      <c r="AE258" s="77" t="str">
        <f t="shared" si="1177"/>
        <v/>
      </c>
      <c r="AF258" s="81">
        <f t="shared" si="1203"/>
        <v>0</v>
      </c>
      <c r="AG258" s="40"/>
      <c r="AH258" s="7"/>
      <c r="AI258" s="77" t="str">
        <f t="shared" si="1178"/>
        <v/>
      </c>
      <c r="AJ258" s="81">
        <f t="shared" si="1204"/>
        <v>0</v>
      </c>
      <c r="AK258" s="83">
        <f t="shared" si="1205"/>
        <v>0</v>
      </c>
      <c r="AL258" s="83">
        <f t="shared" si="1206"/>
        <v>0</v>
      </c>
      <c r="AN258" s="43">
        <f t="shared" si="1179"/>
        <v>0</v>
      </c>
      <c r="AP258" t="str">
        <f t="shared" si="1207"/>
        <v/>
      </c>
      <c r="AQ258" t="str">
        <f t="shared" si="1208"/>
        <v/>
      </c>
      <c r="AR258" t="str">
        <f t="shared" si="1209"/>
        <v/>
      </c>
      <c r="AS258" t="str">
        <f t="shared" si="1210"/>
        <v/>
      </c>
      <c r="AT258" t="str">
        <f t="shared" si="1211"/>
        <v/>
      </c>
      <c r="AU258" t="str">
        <f t="shared" si="1212"/>
        <v/>
      </c>
      <c r="AV258" t="str">
        <f t="shared" si="1213"/>
        <v/>
      </c>
      <c r="AW258" t="str">
        <f t="shared" si="1214"/>
        <v xml:space="preserve">                              </v>
      </c>
      <c r="AX258" s="23">
        <f t="shared" si="1215"/>
        <v>0</v>
      </c>
      <c r="AY258" s="49" t="str">
        <f t="shared" si="1191"/>
        <v>000000000000000</v>
      </c>
      <c r="AZ258" s="23">
        <f t="shared" si="1216"/>
        <v>0</v>
      </c>
      <c r="BA258" s="49" t="str">
        <f t="shared" si="1191"/>
        <v>000000000000000</v>
      </c>
      <c r="BB258" s="23">
        <f t="shared" si="1217"/>
        <v>0</v>
      </c>
      <c r="BC258" s="49" t="str">
        <f t="shared" ref="BC258" si="1548">IF(BB258&lt;0,SUBSTITUTE(TEXT(BB258,"000000000000,00"),",",""),SUBSTITUTE(TEXT(BB258,"0000000000000,00"),",",""))</f>
        <v>000000000000000</v>
      </c>
      <c r="BD258" s="23">
        <f t="shared" si="1219"/>
        <v>0</v>
      </c>
      <c r="BE258" s="49" t="str">
        <f t="shared" ref="BE258" si="1549">IF(BD258&lt;0,SUBSTITUTE(TEXT(BD258,"000000000000,00"),",",""),SUBSTITUTE(TEXT(BD258,"0000000000000,00"),",",""))</f>
        <v>000000000000000</v>
      </c>
      <c r="BF258" s="23">
        <f t="shared" si="1221"/>
        <v>0</v>
      </c>
      <c r="BG258" s="49" t="str">
        <f t="shared" ref="BG258" si="1550">IF(BF258&lt;0,SUBSTITUTE(TEXT(BF258,"000000000000,00"),",",""),SUBSTITUTE(TEXT(BF258,"0000000000000,00"),",",""))</f>
        <v>000000000000000</v>
      </c>
      <c r="BH258" s="23">
        <f t="shared" si="1223"/>
        <v>0</v>
      </c>
      <c r="BI258" s="49" t="str">
        <f t="shared" ref="BI258" si="1551">IF(BH258&lt;0,SUBSTITUTE(TEXT(BH258,"000000000000,00"),",",""),SUBSTITUTE(TEXT(BH258,"0000000000000,00"),",",""))</f>
        <v>000000000000000</v>
      </c>
      <c r="BJ258" s="23">
        <f t="shared" si="1225"/>
        <v>0</v>
      </c>
      <c r="BK258" s="49" t="str">
        <f t="shared" ref="BK258" si="1552">IF(BJ258&lt;0,SUBSTITUTE(TEXT(BJ258,"000000000000,00"),",",""),SUBSTITUTE(TEXT(BJ258,"0000000000000,00"),",",""))</f>
        <v>000000000000000</v>
      </c>
      <c r="BL258" s="23">
        <f t="shared" si="1227"/>
        <v>0</v>
      </c>
      <c r="BM258" s="49" t="str">
        <f t="shared" ref="BM258" si="1553">IF(BL258&lt;0,SUBSTITUTE(TEXT(BL258,"000000000000,00"),",",""),SUBSTITUTE(TEXT(BL258,"0000000000000,00"),",",""))</f>
        <v>000000000000000</v>
      </c>
      <c r="BN258" t="str">
        <f t="shared" si="1229"/>
        <v>PES</v>
      </c>
      <c r="BO258" t="str">
        <f t="shared" si="1230"/>
        <v>0001000000</v>
      </c>
      <c r="BP258">
        <f t="shared" si="1231"/>
        <v>0</v>
      </c>
      <c r="BQ258">
        <f t="shared" si="1232"/>
        <v>0</v>
      </c>
      <c r="BR258" s="23">
        <f t="shared" si="1233"/>
        <v>0</v>
      </c>
      <c r="BS258" s="49" t="str">
        <f t="shared" si="1198"/>
        <v>000000000000000</v>
      </c>
      <c r="BT258" t="str">
        <f t="shared" si="1234"/>
        <v>00000000</v>
      </c>
      <c r="BU258" s="23">
        <f t="shared" si="1235"/>
        <v>0</v>
      </c>
      <c r="BV258" s="49" t="str">
        <f t="shared" si="1199"/>
        <v/>
      </c>
      <c r="BW258" s="52" t="str">
        <f t="shared" si="1236"/>
        <v/>
      </c>
      <c r="BX258" s="23">
        <f t="shared" si="1237"/>
        <v>0</v>
      </c>
      <c r="BY258" s="49" t="str">
        <f t="shared" si="1200"/>
        <v/>
      </c>
      <c r="BZ258" s="23">
        <f t="shared" si="1238"/>
        <v>0</v>
      </c>
      <c r="CA258" s="49" t="str">
        <f t="shared" si="1201"/>
        <v/>
      </c>
      <c r="CB258" s="52" t="str">
        <f t="shared" si="1239"/>
        <v/>
      </c>
      <c r="CC258" s="23">
        <f t="shared" si="1240"/>
        <v>0</v>
      </c>
      <c r="CD258" s="49" t="str">
        <f t="shared" si="1202"/>
        <v/>
      </c>
      <c r="CE258" s="56" t="str">
        <f>IF(CF258="","",MAX(CE$10:$CE257)+1)</f>
        <v/>
      </c>
      <c r="CF258" t="str">
        <f t="shared" si="1241"/>
        <v/>
      </c>
      <c r="CG258" s="22" t="str">
        <f>IF(CH258="","",MAX($CG$10:CG257)+1)</f>
        <v/>
      </c>
      <c r="CH258" s="22" t="str">
        <f t="shared" si="1186"/>
        <v/>
      </c>
      <c r="CI258" s="22" t="str">
        <f>IF(CJ258="","",MAX($CI$10:CI257)+1)</f>
        <v/>
      </c>
      <c r="CJ258" s="22" t="str">
        <f t="shared" si="1187"/>
        <v/>
      </c>
    </row>
    <row r="259" spans="2:88" x14ac:dyDescent="0.25">
      <c r="B259" s="37"/>
      <c r="C259" s="3"/>
      <c r="D259" s="77" t="str">
        <f t="shared" si="1173"/>
        <v/>
      </c>
      <c r="E259" s="38"/>
      <c r="F259" s="38"/>
      <c r="G259" s="78">
        <f t="shared" si="1188"/>
        <v>0</v>
      </c>
      <c r="H259" s="3">
        <v>80</v>
      </c>
      <c r="I259" s="77" t="str">
        <f t="shared" si="1174"/>
        <v/>
      </c>
      <c r="J259" s="32"/>
      <c r="K259" s="3"/>
      <c r="L259" s="39"/>
      <c r="M259" s="39"/>
      <c r="N259" s="39"/>
      <c r="O259" s="39"/>
      <c r="P259" s="39"/>
      <c r="Q259" s="39"/>
      <c r="R259" s="39"/>
      <c r="S259" s="39"/>
      <c r="T259" s="3" t="s">
        <v>645</v>
      </c>
      <c r="U259" s="77" t="str">
        <f t="shared" si="1175"/>
        <v/>
      </c>
      <c r="V259" s="39">
        <v>1</v>
      </c>
      <c r="W259" s="79">
        <f t="shared" si="1189"/>
        <v>0</v>
      </c>
      <c r="X259" s="3">
        <v>0</v>
      </c>
      <c r="Y259" s="77" t="str">
        <f t="shared" si="1176"/>
        <v/>
      </c>
      <c r="Z259" s="3"/>
      <c r="AA259" s="37" t="str">
        <f t="shared" si="1190"/>
        <v/>
      </c>
      <c r="AC259" s="40"/>
      <c r="AD259" s="7"/>
      <c r="AE259" s="77" t="str">
        <f t="shared" si="1177"/>
        <v/>
      </c>
      <c r="AF259" s="81">
        <f t="shared" si="1203"/>
        <v>0</v>
      </c>
      <c r="AG259" s="40"/>
      <c r="AH259" s="7"/>
      <c r="AI259" s="77" t="str">
        <f t="shared" si="1178"/>
        <v/>
      </c>
      <c r="AJ259" s="81">
        <f t="shared" si="1204"/>
        <v>0</v>
      </c>
      <c r="AK259" s="83">
        <f t="shared" si="1205"/>
        <v>0</v>
      </c>
      <c r="AL259" s="83">
        <f t="shared" si="1206"/>
        <v>0</v>
      </c>
      <c r="AN259" s="43">
        <f t="shared" si="1179"/>
        <v>0</v>
      </c>
      <c r="AP259" t="str">
        <f t="shared" si="1207"/>
        <v/>
      </c>
      <c r="AQ259" t="str">
        <f t="shared" si="1208"/>
        <v/>
      </c>
      <c r="AR259" t="str">
        <f t="shared" si="1209"/>
        <v/>
      </c>
      <c r="AS259" t="str">
        <f t="shared" si="1210"/>
        <v/>
      </c>
      <c r="AT259" t="str">
        <f t="shared" si="1211"/>
        <v/>
      </c>
      <c r="AU259" t="str">
        <f t="shared" si="1212"/>
        <v/>
      </c>
      <c r="AV259" t="str">
        <f t="shared" si="1213"/>
        <v/>
      </c>
      <c r="AW259" t="str">
        <f t="shared" si="1214"/>
        <v xml:space="preserve">                              </v>
      </c>
      <c r="AX259" s="23">
        <f t="shared" si="1215"/>
        <v>0</v>
      </c>
      <c r="AY259" s="49" t="str">
        <f t="shared" si="1191"/>
        <v>000000000000000</v>
      </c>
      <c r="AZ259" s="23">
        <f t="shared" si="1216"/>
        <v>0</v>
      </c>
      <c r="BA259" s="49" t="str">
        <f t="shared" si="1191"/>
        <v>000000000000000</v>
      </c>
      <c r="BB259" s="23">
        <f t="shared" si="1217"/>
        <v>0</v>
      </c>
      <c r="BC259" s="49" t="str">
        <f t="shared" ref="BC259" si="1554">IF(BB259&lt;0,SUBSTITUTE(TEXT(BB259,"000000000000,00"),",",""),SUBSTITUTE(TEXT(BB259,"0000000000000,00"),",",""))</f>
        <v>000000000000000</v>
      </c>
      <c r="BD259" s="23">
        <f t="shared" si="1219"/>
        <v>0</v>
      </c>
      <c r="BE259" s="49" t="str">
        <f t="shared" ref="BE259" si="1555">IF(BD259&lt;0,SUBSTITUTE(TEXT(BD259,"000000000000,00"),",",""),SUBSTITUTE(TEXT(BD259,"0000000000000,00"),",",""))</f>
        <v>000000000000000</v>
      </c>
      <c r="BF259" s="23">
        <f t="shared" si="1221"/>
        <v>0</v>
      </c>
      <c r="BG259" s="49" t="str">
        <f t="shared" ref="BG259" si="1556">IF(BF259&lt;0,SUBSTITUTE(TEXT(BF259,"000000000000,00"),",",""),SUBSTITUTE(TEXT(BF259,"0000000000000,00"),",",""))</f>
        <v>000000000000000</v>
      </c>
      <c r="BH259" s="23">
        <f t="shared" si="1223"/>
        <v>0</v>
      </c>
      <c r="BI259" s="49" t="str">
        <f t="shared" ref="BI259" si="1557">IF(BH259&lt;0,SUBSTITUTE(TEXT(BH259,"000000000000,00"),",",""),SUBSTITUTE(TEXT(BH259,"0000000000000,00"),",",""))</f>
        <v>000000000000000</v>
      </c>
      <c r="BJ259" s="23">
        <f t="shared" si="1225"/>
        <v>0</v>
      </c>
      <c r="BK259" s="49" t="str">
        <f t="shared" ref="BK259" si="1558">IF(BJ259&lt;0,SUBSTITUTE(TEXT(BJ259,"000000000000,00"),",",""),SUBSTITUTE(TEXT(BJ259,"0000000000000,00"),",",""))</f>
        <v>000000000000000</v>
      </c>
      <c r="BL259" s="23">
        <f t="shared" si="1227"/>
        <v>0</v>
      </c>
      <c r="BM259" s="49" t="str">
        <f t="shared" ref="BM259" si="1559">IF(BL259&lt;0,SUBSTITUTE(TEXT(BL259,"000000000000,00"),",",""),SUBSTITUTE(TEXT(BL259,"0000000000000,00"),",",""))</f>
        <v>000000000000000</v>
      </c>
      <c r="BN259" t="str">
        <f t="shared" si="1229"/>
        <v>PES</v>
      </c>
      <c r="BO259" t="str">
        <f t="shared" si="1230"/>
        <v>0001000000</v>
      </c>
      <c r="BP259">
        <f t="shared" si="1231"/>
        <v>0</v>
      </c>
      <c r="BQ259">
        <f t="shared" si="1232"/>
        <v>0</v>
      </c>
      <c r="BR259" s="23">
        <f t="shared" si="1233"/>
        <v>0</v>
      </c>
      <c r="BS259" s="49" t="str">
        <f t="shared" si="1198"/>
        <v>000000000000000</v>
      </c>
      <c r="BT259" t="str">
        <f t="shared" si="1234"/>
        <v>00000000</v>
      </c>
      <c r="BU259" s="23">
        <f t="shared" si="1235"/>
        <v>0</v>
      </c>
      <c r="BV259" s="49" t="str">
        <f t="shared" si="1199"/>
        <v/>
      </c>
      <c r="BW259" s="52" t="str">
        <f t="shared" si="1236"/>
        <v/>
      </c>
      <c r="BX259" s="23">
        <f t="shared" si="1237"/>
        <v>0</v>
      </c>
      <c r="BY259" s="49" t="str">
        <f t="shared" si="1200"/>
        <v/>
      </c>
      <c r="BZ259" s="23">
        <f t="shared" si="1238"/>
        <v>0</v>
      </c>
      <c r="CA259" s="49" t="str">
        <f t="shared" si="1201"/>
        <v/>
      </c>
      <c r="CB259" s="52" t="str">
        <f t="shared" si="1239"/>
        <v/>
      </c>
      <c r="CC259" s="23">
        <f t="shared" si="1240"/>
        <v>0</v>
      </c>
      <c r="CD259" s="49" t="str">
        <f t="shared" si="1202"/>
        <v/>
      </c>
      <c r="CE259" s="56" t="str">
        <f>IF(CF259="","",MAX(CE$10:$CE258)+1)</f>
        <v/>
      </c>
      <c r="CF259" t="str">
        <f t="shared" si="1241"/>
        <v/>
      </c>
      <c r="CG259" s="22" t="str">
        <f>IF(CH259="","",MAX($CG$10:CG258)+1)</f>
        <v/>
      </c>
      <c r="CH259" s="22" t="str">
        <f t="shared" si="1186"/>
        <v/>
      </c>
      <c r="CI259" s="22" t="str">
        <f>IF(CJ259="","",MAX($CI$10:CI258)+1)</f>
        <v/>
      </c>
      <c r="CJ259" s="22" t="str">
        <f t="shared" si="1187"/>
        <v/>
      </c>
    </row>
    <row r="260" spans="2:88" x14ac:dyDescent="0.25">
      <c r="B260" s="37"/>
      <c r="C260" s="3"/>
      <c r="D260" s="77" t="str">
        <f t="shared" si="1173"/>
        <v/>
      </c>
      <c r="E260" s="38"/>
      <c r="F260" s="38"/>
      <c r="G260" s="78">
        <f t="shared" si="1188"/>
        <v>0</v>
      </c>
      <c r="H260" s="3">
        <v>80</v>
      </c>
      <c r="I260" s="77" t="str">
        <f t="shared" si="1174"/>
        <v/>
      </c>
      <c r="J260" s="32"/>
      <c r="K260" s="3"/>
      <c r="L260" s="39"/>
      <c r="M260" s="39"/>
      <c r="N260" s="39"/>
      <c r="O260" s="39"/>
      <c r="P260" s="39"/>
      <c r="Q260" s="39"/>
      <c r="R260" s="39"/>
      <c r="S260" s="39"/>
      <c r="T260" s="3" t="s">
        <v>645</v>
      </c>
      <c r="U260" s="77" t="str">
        <f t="shared" si="1175"/>
        <v/>
      </c>
      <c r="V260" s="39">
        <v>1</v>
      </c>
      <c r="W260" s="79">
        <f t="shared" si="1189"/>
        <v>0</v>
      </c>
      <c r="X260" s="3">
        <v>0</v>
      </c>
      <c r="Y260" s="77" t="str">
        <f t="shared" si="1176"/>
        <v/>
      </c>
      <c r="Z260" s="3"/>
      <c r="AA260" s="37" t="str">
        <f t="shared" si="1190"/>
        <v/>
      </c>
      <c r="AC260" s="40"/>
      <c r="AD260" s="7"/>
      <c r="AE260" s="77" t="str">
        <f t="shared" si="1177"/>
        <v/>
      </c>
      <c r="AF260" s="81">
        <f t="shared" si="1203"/>
        <v>0</v>
      </c>
      <c r="AG260" s="40"/>
      <c r="AH260" s="7"/>
      <c r="AI260" s="77" t="str">
        <f t="shared" si="1178"/>
        <v/>
      </c>
      <c r="AJ260" s="81">
        <f t="shared" si="1204"/>
        <v>0</v>
      </c>
      <c r="AK260" s="83">
        <f t="shared" si="1205"/>
        <v>0</v>
      </c>
      <c r="AL260" s="83">
        <f t="shared" si="1206"/>
        <v>0</v>
      </c>
      <c r="AN260" s="43">
        <f t="shared" si="1179"/>
        <v>0</v>
      </c>
      <c r="AP260" t="str">
        <f t="shared" si="1207"/>
        <v/>
      </c>
      <c r="AQ260" t="str">
        <f t="shared" si="1208"/>
        <v/>
      </c>
      <c r="AR260" t="str">
        <f t="shared" si="1209"/>
        <v/>
      </c>
      <c r="AS260" t="str">
        <f t="shared" si="1210"/>
        <v/>
      </c>
      <c r="AT260" t="str">
        <f t="shared" si="1211"/>
        <v/>
      </c>
      <c r="AU260" t="str">
        <f t="shared" si="1212"/>
        <v/>
      </c>
      <c r="AV260" t="str">
        <f t="shared" si="1213"/>
        <v/>
      </c>
      <c r="AW260" t="str">
        <f t="shared" si="1214"/>
        <v xml:space="preserve">                              </v>
      </c>
      <c r="AX260" s="23">
        <f t="shared" si="1215"/>
        <v>0</v>
      </c>
      <c r="AY260" s="49" t="str">
        <f t="shared" si="1191"/>
        <v>000000000000000</v>
      </c>
      <c r="AZ260" s="23">
        <f t="shared" si="1216"/>
        <v>0</v>
      </c>
      <c r="BA260" s="49" t="str">
        <f t="shared" si="1191"/>
        <v>000000000000000</v>
      </c>
      <c r="BB260" s="23">
        <f t="shared" si="1217"/>
        <v>0</v>
      </c>
      <c r="BC260" s="49" t="str">
        <f t="shared" ref="BC260" si="1560">IF(BB260&lt;0,SUBSTITUTE(TEXT(BB260,"000000000000,00"),",",""),SUBSTITUTE(TEXT(BB260,"0000000000000,00"),",",""))</f>
        <v>000000000000000</v>
      </c>
      <c r="BD260" s="23">
        <f t="shared" si="1219"/>
        <v>0</v>
      </c>
      <c r="BE260" s="49" t="str">
        <f t="shared" ref="BE260" si="1561">IF(BD260&lt;0,SUBSTITUTE(TEXT(BD260,"000000000000,00"),",",""),SUBSTITUTE(TEXT(BD260,"0000000000000,00"),",",""))</f>
        <v>000000000000000</v>
      </c>
      <c r="BF260" s="23">
        <f t="shared" si="1221"/>
        <v>0</v>
      </c>
      <c r="BG260" s="49" t="str">
        <f t="shared" ref="BG260" si="1562">IF(BF260&lt;0,SUBSTITUTE(TEXT(BF260,"000000000000,00"),",",""),SUBSTITUTE(TEXT(BF260,"0000000000000,00"),",",""))</f>
        <v>000000000000000</v>
      </c>
      <c r="BH260" s="23">
        <f t="shared" si="1223"/>
        <v>0</v>
      </c>
      <c r="BI260" s="49" t="str">
        <f t="shared" ref="BI260" si="1563">IF(BH260&lt;0,SUBSTITUTE(TEXT(BH260,"000000000000,00"),",",""),SUBSTITUTE(TEXT(BH260,"0000000000000,00"),",",""))</f>
        <v>000000000000000</v>
      </c>
      <c r="BJ260" s="23">
        <f t="shared" si="1225"/>
        <v>0</v>
      </c>
      <c r="BK260" s="49" t="str">
        <f t="shared" ref="BK260" si="1564">IF(BJ260&lt;0,SUBSTITUTE(TEXT(BJ260,"000000000000,00"),",",""),SUBSTITUTE(TEXT(BJ260,"0000000000000,00"),",",""))</f>
        <v>000000000000000</v>
      </c>
      <c r="BL260" s="23">
        <f t="shared" si="1227"/>
        <v>0</v>
      </c>
      <c r="BM260" s="49" t="str">
        <f t="shared" ref="BM260" si="1565">IF(BL260&lt;0,SUBSTITUTE(TEXT(BL260,"000000000000,00"),",",""),SUBSTITUTE(TEXT(BL260,"0000000000000,00"),",",""))</f>
        <v>000000000000000</v>
      </c>
      <c r="BN260" t="str">
        <f t="shared" si="1229"/>
        <v>PES</v>
      </c>
      <c r="BO260" t="str">
        <f t="shared" si="1230"/>
        <v>0001000000</v>
      </c>
      <c r="BP260">
        <f t="shared" si="1231"/>
        <v>0</v>
      </c>
      <c r="BQ260">
        <f t="shared" si="1232"/>
        <v>0</v>
      </c>
      <c r="BR260" s="23">
        <f t="shared" si="1233"/>
        <v>0</v>
      </c>
      <c r="BS260" s="49" t="str">
        <f t="shared" si="1198"/>
        <v>000000000000000</v>
      </c>
      <c r="BT260" t="str">
        <f t="shared" si="1234"/>
        <v>00000000</v>
      </c>
      <c r="BU260" s="23">
        <f t="shared" si="1235"/>
        <v>0</v>
      </c>
      <c r="BV260" s="49" t="str">
        <f t="shared" si="1199"/>
        <v/>
      </c>
      <c r="BW260" s="52" t="str">
        <f t="shared" si="1236"/>
        <v/>
      </c>
      <c r="BX260" s="23">
        <f t="shared" si="1237"/>
        <v>0</v>
      </c>
      <c r="BY260" s="49" t="str">
        <f t="shared" si="1200"/>
        <v/>
      </c>
      <c r="BZ260" s="23">
        <f t="shared" si="1238"/>
        <v>0</v>
      </c>
      <c r="CA260" s="49" t="str">
        <f t="shared" si="1201"/>
        <v/>
      </c>
      <c r="CB260" s="52" t="str">
        <f t="shared" si="1239"/>
        <v/>
      </c>
      <c r="CC260" s="23">
        <f t="shared" si="1240"/>
        <v>0</v>
      </c>
      <c r="CD260" s="49" t="str">
        <f t="shared" si="1202"/>
        <v/>
      </c>
      <c r="CE260" s="56" t="str">
        <f>IF(CF260="","",MAX(CE$10:$CE259)+1)</f>
        <v/>
      </c>
      <c r="CF260" t="str">
        <f t="shared" si="1241"/>
        <v/>
      </c>
      <c r="CG260" s="22" t="str">
        <f>IF(CH260="","",MAX($CG$10:CG259)+1)</f>
        <v/>
      </c>
      <c r="CH260" s="22" t="str">
        <f t="shared" si="1186"/>
        <v/>
      </c>
      <c r="CI260" s="22" t="str">
        <f>IF(CJ260="","",MAX($CI$10:CI259)+1)</f>
        <v/>
      </c>
      <c r="CJ260" s="22" t="str">
        <f t="shared" si="1187"/>
        <v/>
      </c>
    </row>
    <row r="261" spans="2:88" x14ac:dyDescent="0.25">
      <c r="B261" s="37"/>
      <c r="C261" s="3"/>
      <c r="D261" s="77" t="str">
        <f t="shared" si="1173"/>
        <v/>
      </c>
      <c r="E261" s="38"/>
      <c r="F261" s="38"/>
      <c r="G261" s="78">
        <f t="shared" si="1188"/>
        <v>0</v>
      </c>
      <c r="H261" s="3">
        <v>80</v>
      </c>
      <c r="I261" s="77" t="str">
        <f t="shared" si="1174"/>
        <v/>
      </c>
      <c r="J261" s="32"/>
      <c r="K261" s="3"/>
      <c r="L261" s="39"/>
      <c r="M261" s="39"/>
      <c r="N261" s="39"/>
      <c r="O261" s="39"/>
      <c r="P261" s="39"/>
      <c r="Q261" s="39"/>
      <c r="R261" s="39"/>
      <c r="S261" s="39"/>
      <c r="T261" s="3" t="s">
        <v>645</v>
      </c>
      <c r="U261" s="77" t="str">
        <f t="shared" si="1175"/>
        <v/>
      </c>
      <c r="V261" s="39">
        <v>1</v>
      </c>
      <c r="W261" s="79">
        <f t="shared" si="1189"/>
        <v>0</v>
      </c>
      <c r="X261" s="3">
        <v>0</v>
      </c>
      <c r="Y261" s="77" t="str">
        <f t="shared" si="1176"/>
        <v/>
      </c>
      <c r="Z261" s="3"/>
      <c r="AA261" s="37" t="str">
        <f t="shared" si="1190"/>
        <v/>
      </c>
      <c r="AC261" s="40"/>
      <c r="AD261" s="7"/>
      <c r="AE261" s="77" t="str">
        <f t="shared" si="1177"/>
        <v/>
      </c>
      <c r="AF261" s="81">
        <f t="shared" si="1203"/>
        <v>0</v>
      </c>
      <c r="AG261" s="40"/>
      <c r="AH261" s="7"/>
      <c r="AI261" s="77" t="str">
        <f t="shared" si="1178"/>
        <v/>
      </c>
      <c r="AJ261" s="81">
        <f t="shared" si="1204"/>
        <v>0</v>
      </c>
      <c r="AK261" s="83">
        <f t="shared" si="1205"/>
        <v>0</v>
      </c>
      <c r="AL261" s="83">
        <f t="shared" si="1206"/>
        <v>0</v>
      </c>
      <c r="AN261" s="43">
        <f t="shared" si="1179"/>
        <v>0</v>
      </c>
      <c r="AP261" t="str">
        <f t="shared" si="1207"/>
        <v/>
      </c>
      <c r="AQ261" t="str">
        <f t="shared" si="1208"/>
        <v/>
      </c>
      <c r="AR261" t="str">
        <f t="shared" si="1209"/>
        <v/>
      </c>
      <c r="AS261" t="str">
        <f t="shared" si="1210"/>
        <v/>
      </c>
      <c r="AT261" t="str">
        <f t="shared" si="1211"/>
        <v/>
      </c>
      <c r="AU261" t="str">
        <f t="shared" si="1212"/>
        <v/>
      </c>
      <c r="AV261" t="str">
        <f t="shared" si="1213"/>
        <v/>
      </c>
      <c r="AW261" t="str">
        <f t="shared" si="1214"/>
        <v xml:space="preserve">                              </v>
      </c>
      <c r="AX261" s="23">
        <f t="shared" si="1215"/>
        <v>0</v>
      </c>
      <c r="AY261" s="49" t="str">
        <f t="shared" si="1191"/>
        <v>000000000000000</v>
      </c>
      <c r="AZ261" s="23">
        <f t="shared" si="1216"/>
        <v>0</v>
      </c>
      <c r="BA261" s="49" t="str">
        <f t="shared" si="1191"/>
        <v>000000000000000</v>
      </c>
      <c r="BB261" s="23">
        <f t="shared" si="1217"/>
        <v>0</v>
      </c>
      <c r="BC261" s="49" t="str">
        <f t="shared" ref="BC261" si="1566">IF(BB261&lt;0,SUBSTITUTE(TEXT(BB261,"000000000000,00"),",",""),SUBSTITUTE(TEXT(BB261,"0000000000000,00"),",",""))</f>
        <v>000000000000000</v>
      </c>
      <c r="BD261" s="23">
        <f t="shared" si="1219"/>
        <v>0</v>
      </c>
      <c r="BE261" s="49" t="str">
        <f t="shared" ref="BE261" si="1567">IF(BD261&lt;0,SUBSTITUTE(TEXT(BD261,"000000000000,00"),",",""),SUBSTITUTE(TEXT(BD261,"0000000000000,00"),",",""))</f>
        <v>000000000000000</v>
      </c>
      <c r="BF261" s="23">
        <f t="shared" si="1221"/>
        <v>0</v>
      </c>
      <c r="BG261" s="49" t="str">
        <f t="shared" ref="BG261" si="1568">IF(BF261&lt;0,SUBSTITUTE(TEXT(BF261,"000000000000,00"),",",""),SUBSTITUTE(TEXT(BF261,"0000000000000,00"),",",""))</f>
        <v>000000000000000</v>
      </c>
      <c r="BH261" s="23">
        <f t="shared" si="1223"/>
        <v>0</v>
      </c>
      <c r="BI261" s="49" t="str">
        <f t="shared" ref="BI261" si="1569">IF(BH261&lt;0,SUBSTITUTE(TEXT(BH261,"000000000000,00"),",",""),SUBSTITUTE(TEXT(BH261,"0000000000000,00"),",",""))</f>
        <v>000000000000000</v>
      </c>
      <c r="BJ261" s="23">
        <f t="shared" si="1225"/>
        <v>0</v>
      </c>
      <c r="BK261" s="49" t="str">
        <f t="shared" ref="BK261" si="1570">IF(BJ261&lt;0,SUBSTITUTE(TEXT(BJ261,"000000000000,00"),",",""),SUBSTITUTE(TEXT(BJ261,"0000000000000,00"),",",""))</f>
        <v>000000000000000</v>
      </c>
      <c r="BL261" s="23">
        <f t="shared" si="1227"/>
        <v>0</v>
      </c>
      <c r="BM261" s="49" t="str">
        <f t="shared" ref="BM261" si="1571">IF(BL261&lt;0,SUBSTITUTE(TEXT(BL261,"000000000000,00"),",",""),SUBSTITUTE(TEXT(BL261,"0000000000000,00"),",",""))</f>
        <v>000000000000000</v>
      </c>
      <c r="BN261" t="str">
        <f t="shared" si="1229"/>
        <v>PES</v>
      </c>
      <c r="BO261" t="str">
        <f t="shared" si="1230"/>
        <v>0001000000</v>
      </c>
      <c r="BP261">
        <f t="shared" si="1231"/>
        <v>0</v>
      </c>
      <c r="BQ261">
        <f t="shared" si="1232"/>
        <v>0</v>
      </c>
      <c r="BR261" s="23">
        <f t="shared" si="1233"/>
        <v>0</v>
      </c>
      <c r="BS261" s="49" t="str">
        <f t="shared" si="1198"/>
        <v>000000000000000</v>
      </c>
      <c r="BT261" t="str">
        <f t="shared" si="1234"/>
        <v>00000000</v>
      </c>
      <c r="BU261" s="23">
        <f t="shared" si="1235"/>
        <v>0</v>
      </c>
      <c r="BV261" s="49" t="str">
        <f t="shared" si="1199"/>
        <v/>
      </c>
      <c r="BW261" s="52" t="str">
        <f t="shared" si="1236"/>
        <v/>
      </c>
      <c r="BX261" s="23">
        <f t="shared" si="1237"/>
        <v>0</v>
      </c>
      <c r="BY261" s="49" t="str">
        <f t="shared" si="1200"/>
        <v/>
      </c>
      <c r="BZ261" s="23">
        <f t="shared" si="1238"/>
        <v>0</v>
      </c>
      <c r="CA261" s="49" t="str">
        <f t="shared" si="1201"/>
        <v/>
      </c>
      <c r="CB261" s="52" t="str">
        <f t="shared" si="1239"/>
        <v/>
      </c>
      <c r="CC261" s="23">
        <f t="shared" si="1240"/>
        <v>0</v>
      </c>
      <c r="CD261" s="49" t="str">
        <f t="shared" si="1202"/>
        <v/>
      </c>
      <c r="CE261" s="56" t="str">
        <f>IF(CF261="","",MAX(CE$10:$CE260)+1)</f>
        <v/>
      </c>
      <c r="CF261" t="str">
        <f t="shared" si="1241"/>
        <v/>
      </c>
      <c r="CG261" s="22" t="str">
        <f>IF(CH261="","",MAX($CG$10:CG260)+1)</f>
        <v/>
      </c>
      <c r="CH261" s="22" t="str">
        <f t="shared" si="1186"/>
        <v/>
      </c>
      <c r="CI261" s="22" t="str">
        <f>IF(CJ261="","",MAX($CI$10:CI260)+1)</f>
        <v/>
      </c>
      <c r="CJ261" s="22" t="str">
        <f t="shared" si="1187"/>
        <v/>
      </c>
    </row>
    <row r="262" spans="2:88" x14ac:dyDescent="0.25">
      <c r="B262" s="37"/>
      <c r="C262" s="3"/>
      <c r="D262" s="77" t="str">
        <f t="shared" si="1173"/>
        <v/>
      </c>
      <c r="E262" s="38"/>
      <c r="F262" s="38"/>
      <c r="G262" s="78">
        <f t="shared" si="1188"/>
        <v>0</v>
      </c>
      <c r="H262" s="3">
        <v>80</v>
      </c>
      <c r="I262" s="77" t="str">
        <f t="shared" si="1174"/>
        <v/>
      </c>
      <c r="J262" s="32"/>
      <c r="K262" s="3"/>
      <c r="L262" s="39"/>
      <c r="M262" s="39"/>
      <c r="N262" s="39"/>
      <c r="O262" s="39"/>
      <c r="P262" s="39"/>
      <c r="Q262" s="39"/>
      <c r="R262" s="39"/>
      <c r="S262" s="39"/>
      <c r="T262" s="3" t="s">
        <v>645</v>
      </c>
      <c r="U262" s="77" t="str">
        <f t="shared" si="1175"/>
        <v/>
      </c>
      <c r="V262" s="39">
        <v>1</v>
      </c>
      <c r="W262" s="79">
        <f t="shared" si="1189"/>
        <v>0</v>
      </c>
      <c r="X262" s="3">
        <v>0</v>
      </c>
      <c r="Y262" s="77" t="str">
        <f t="shared" si="1176"/>
        <v/>
      </c>
      <c r="Z262" s="3"/>
      <c r="AA262" s="37" t="str">
        <f t="shared" si="1190"/>
        <v/>
      </c>
      <c r="AC262" s="40"/>
      <c r="AD262" s="7"/>
      <c r="AE262" s="77" t="str">
        <f t="shared" si="1177"/>
        <v/>
      </c>
      <c r="AF262" s="81">
        <f t="shared" si="1203"/>
        <v>0</v>
      </c>
      <c r="AG262" s="40"/>
      <c r="AH262" s="7"/>
      <c r="AI262" s="77" t="str">
        <f t="shared" si="1178"/>
        <v/>
      </c>
      <c r="AJ262" s="81">
        <f t="shared" si="1204"/>
        <v>0</v>
      </c>
      <c r="AK262" s="83">
        <f t="shared" si="1205"/>
        <v>0</v>
      </c>
      <c r="AL262" s="83">
        <f t="shared" si="1206"/>
        <v>0</v>
      </c>
      <c r="AN262" s="43">
        <f t="shared" si="1179"/>
        <v>0</v>
      </c>
      <c r="AP262" t="str">
        <f t="shared" si="1207"/>
        <v/>
      </c>
      <c r="AQ262" t="str">
        <f t="shared" si="1208"/>
        <v/>
      </c>
      <c r="AR262" t="str">
        <f t="shared" si="1209"/>
        <v/>
      </c>
      <c r="AS262" t="str">
        <f t="shared" si="1210"/>
        <v/>
      </c>
      <c r="AT262" t="str">
        <f t="shared" si="1211"/>
        <v/>
      </c>
      <c r="AU262" t="str">
        <f t="shared" si="1212"/>
        <v/>
      </c>
      <c r="AV262" t="str">
        <f t="shared" si="1213"/>
        <v/>
      </c>
      <c r="AW262" t="str">
        <f t="shared" si="1214"/>
        <v xml:space="preserve">                              </v>
      </c>
      <c r="AX262" s="23">
        <f t="shared" si="1215"/>
        <v>0</v>
      </c>
      <c r="AY262" s="49" t="str">
        <f t="shared" si="1191"/>
        <v>000000000000000</v>
      </c>
      <c r="AZ262" s="23">
        <f t="shared" si="1216"/>
        <v>0</v>
      </c>
      <c r="BA262" s="49" t="str">
        <f t="shared" si="1191"/>
        <v>000000000000000</v>
      </c>
      <c r="BB262" s="23">
        <f t="shared" si="1217"/>
        <v>0</v>
      </c>
      <c r="BC262" s="49" t="str">
        <f t="shared" ref="BC262" si="1572">IF(BB262&lt;0,SUBSTITUTE(TEXT(BB262,"000000000000,00"),",",""),SUBSTITUTE(TEXT(BB262,"0000000000000,00"),",",""))</f>
        <v>000000000000000</v>
      </c>
      <c r="BD262" s="23">
        <f t="shared" si="1219"/>
        <v>0</v>
      </c>
      <c r="BE262" s="49" t="str">
        <f t="shared" ref="BE262" si="1573">IF(BD262&lt;0,SUBSTITUTE(TEXT(BD262,"000000000000,00"),",",""),SUBSTITUTE(TEXT(BD262,"0000000000000,00"),",",""))</f>
        <v>000000000000000</v>
      </c>
      <c r="BF262" s="23">
        <f t="shared" si="1221"/>
        <v>0</v>
      </c>
      <c r="BG262" s="49" t="str">
        <f t="shared" ref="BG262" si="1574">IF(BF262&lt;0,SUBSTITUTE(TEXT(BF262,"000000000000,00"),",",""),SUBSTITUTE(TEXT(BF262,"0000000000000,00"),",",""))</f>
        <v>000000000000000</v>
      </c>
      <c r="BH262" s="23">
        <f t="shared" si="1223"/>
        <v>0</v>
      </c>
      <c r="BI262" s="49" t="str">
        <f t="shared" ref="BI262" si="1575">IF(BH262&lt;0,SUBSTITUTE(TEXT(BH262,"000000000000,00"),",",""),SUBSTITUTE(TEXT(BH262,"0000000000000,00"),",",""))</f>
        <v>000000000000000</v>
      </c>
      <c r="BJ262" s="23">
        <f t="shared" si="1225"/>
        <v>0</v>
      </c>
      <c r="BK262" s="49" t="str">
        <f t="shared" ref="BK262" si="1576">IF(BJ262&lt;0,SUBSTITUTE(TEXT(BJ262,"000000000000,00"),",",""),SUBSTITUTE(TEXT(BJ262,"0000000000000,00"),",",""))</f>
        <v>000000000000000</v>
      </c>
      <c r="BL262" s="23">
        <f t="shared" si="1227"/>
        <v>0</v>
      </c>
      <c r="BM262" s="49" t="str">
        <f t="shared" ref="BM262" si="1577">IF(BL262&lt;0,SUBSTITUTE(TEXT(BL262,"000000000000,00"),",",""),SUBSTITUTE(TEXT(BL262,"0000000000000,00"),",",""))</f>
        <v>000000000000000</v>
      </c>
      <c r="BN262" t="str">
        <f t="shared" si="1229"/>
        <v>PES</v>
      </c>
      <c r="BO262" t="str">
        <f t="shared" si="1230"/>
        <v>0001000000</v>
      </c>
      <c r="BP262">
        <f t="shared" si="1231"/>
        <v>0</v>
      </c>
      <c r="BQ262">
        <f t="shared" si="1232"/>
        <v>0</v>
      </c>
      <c r="BR262" s="23">
        <f t="shared" si="1233"/>
        <v>0</v>
      </c>
      <c r="BS262" s="49" t="str">
        <f t="shared" si="1198"/>
        <v>000000000000000</v>
      </c>
      <c r="BT262" t="str">
        <f t="shared" si="1234"/>
        <v>00000000</v>
      </c>
      <c r="BU262" s="23">
        <f t="shared" si="1235"/>
        <v>0</v>
      </c>
      <c r="BV262" s="49" t="str">
        <f t="shared" si="1199"/>
        <v/>
      </c>
      <c r="BW262" s="52" t="str">
        <f t="shared" si="1236"/>
        <v/>
      </c>
      <c r="BX262" s="23">
        <f t="shared" si="1237"/>
        <v>0</v>
      </c>
      <c r="BY262" s="49" t="str">
        <f t="shared" si="1200"/>
        <v/>
      </c>
      <c r="BZ262" s="23">
        <f t="shared" si="1238"/>
        <v>0</v>
      </c>
      <c r="CA262" s="49" t="str">
        <f t="shared" si="1201"/>
        <v/>
      </c>
      <c r="CB262" s="52" t="str">
        <f t="shared" si="1239"/>
        <v/>
      </c>
      <c r="CC262" s="23">
        <f t="shared" si="1240"/>
        <v>0</v>
      </c>
      <c r="CD262" s="49" t="str">
        <f t="shared" si="1202"/>
        <v/>
      </c>
      <c r="CE262" s="56" t="str">
        <f>IF(CF262="","",MAX(CE$10:$CE261)+1)</f>
        <v/>
      </c>
      <c r="CF262" t="str">
        <f t="shared" si="1241"/>
        <v/>
      </c>
      <c r="CG262" s="22" t="str">
        <f>IF(CH262="","",MAX($CG$10:CG261)+1)</f>
        <v/>
      </c>
      <c r="CH262" s="22" t="str">
        <f t="shared" si="1186"/>
        <v/>
      </c>
      <c r="CI262" s="22" t="str">
        <f>IF(CJ262="","",MAX($CI$10:CI261)+1)</f>
        <v/>
      </c>
      <c r="CJ262" s="22" t="str">
        <f t="shared" si="1187"/>
        <v/>
      </c>
    </row>
    <row r="263" spans="2:88" x14ac:dyDescent="0.25">
      <c r="B263" s="37"/>
      <c r="C263" s="3"/>
      <c r="D263" s="77" t="str">
        <f t="shared" si="1173"/>
        <v/>
      </c>
      <c r="E263" s="38"/>
      <c r="F263" s="38"/>
      <c r="G263" s="78">
        <f t="shared" si="1188"/>
        <v>0</v>
      </c>
      <c r="H263" s="3">
        <v>80</v>
      </c>
      <c r="I263" s="77" t="str">
        <f t="shared" si="1174"/>
        <v/>
      </c>
      <c r="J263" s="32"/>
      <c r="K263" s="3"/>
      <c r="L263" s="39"/>
      <c r="M263" s="39"/>
      <c r="N263" s="39"/>
      <c r="O263" s="39"/>
      <c r="P263" s="39"/>
      <c r="Q263" s="39"/>
      <c r="R263" s="39"/>
      <c r="S263" s="39"/>
      <c r="T263" s="3" t="s">
        <v>645</v>
      </c>
      <c r="U263" s="77" t="str">
        <f t="shared" si="1175"/>
        <v/>
      </c>
      <c r="V263" s="39">
        <v>1</v>
      </c>
      <c r="W263" s="79">
        <f t="shared" si="1189"/>
        <v>0</v>
      </c>
      <c r="X263" s="3">
        <v>0</v>
      </c>
      <c r="Y263" s="77" t="str">
        <f t="shared" si="1176"/>
        <v/>
      </c>
      <c r="Z263" s="3"/>
      <c r="AA263" s="37" t="str">
        <f t="shared" si="1190"/>
        <v/>
      </c>
      <c r="AC263" s="40"/>
      <c r="AD263" s="7"/>
      <c r="AE263" s="77" t="str">
        <f t="shared" si="1177"/>
        <v/>
      </c>
      <c r="AF263" s="81">
        <f t="shared" si="1203"/>
        <v>0</v>
      </c>
      <c r="AG263" s="40"/>
      <c r="AH263" s="7"/>
      <c r="AI263" s="77" t="str">
        <f t="shared" si="1178"/>
        <v/>
      </c>
      <c r="AJ263" s="81">
        <f t="shared" si="1204"/>
        <v>0</v>
      </c>
      <c r="AK263" s="83">
        <f t="shared" si="1205"/>
        <v>0</v>
      </c>
      <c r="AL263" s="83">
        <f t="shared" si="1206"/>
        <v>0</v>
      </c>
      <c r="AN263" s="43">
        <f t="shared" si="1179"/>
        <v>0</v>
      </c>
      <c r="AP263" t="str">
        <f t="shared" si="1207"/>
        <v/>
      </c>
      <c r="AQ263" t="str">
        <f t="shared" si="1208"/>
        <v/>
      </c>
      <c r="AR263" t="str">
        <f t="shared" si="1209"/>
        <v/>
      </c>
      <c r="AS263" t="str">
        <f t="shared" si="1210"/>
        <v/>
      </c>
      <c r="AT263" t="str">
        <f t="shared" si="1211"/>
        <v/>
      </c>
      <c r="AU263" t="str">
        <f t="shared" si="1212"/>
        <v/>
      </c>
      <c r="AV263" t="str">
        <f t="shared" si="1213"/>
        <v/>
      </c>
      <c r="AW263" t="str">
        <f t="shared" si="1214"/>
        <v xml:space="preserve">                              </v>
      </c>
      <c r="AX263" s="23">
        <f t="shared" si="1215"/>
        <v>0</v>
      </c>
      <c r="AY263" s="49" t="str">
        <f t="shared" si="1191"/>
        <v>000000000000000</v>
      </c>
      <c r="AZ263" s="23">
        <f t="shared" si="1216"/>
        <v>0</v>
      </c>
      <c r="BA263" s="49" t="str">
        <f t="shared" si="1191"/>
        <v>000000000000000</v>
      </c>
      <c r="BB263" s="23">
        <f t="shared" si="1217"/>
        <v>0</v>
      </c>
      <c r="BC263" s="49" t="str">
        <f t="shared" ref="BC263" si="1578">IF(BB263&lt;0,SUBSTITUTE(TEXT(BB263,"000000000000,00"),",",""),SUBSTITUTE(TEXT(BB263,"0000000000000,00"),",",""))</f>
        <v>000000000000000</v>
      </c>
      <c r="BD263" s="23">
        <f t="shared" si="1219"/>
        <v>0</v>
      </c>
      <c r="BE263" s="49" t="str">
        <f t="shared" ref="BE263" si="1579">IF(BD263&lt;0,SUBSTITUTE(TEXT(BD263,"000000000000,00"),",",""),SUBSTITUTE(TEXT(BD263,"0000000000000,00"),",",""))</f>
        <v>000000000000000</v>
      </c>
      <c r="BF263" s="23">
        <f t="shared" si="1221"/>
        <v>0</v>
      </c>
      <c r="BG263" s="49" t="str">
        <f t="shared" ref="BG263" si="1580">IF(BF263&lt;0,SUBSTITUTE(TEXT(BF263,"000000000000,00"),",",""),SUBSTITUTE(TEXT(BF263,"0000000000000,00"),",",""))</f>
        <v>000000000000000</v>
      </c>
      <c r="BH263" s="23">
        <f t="shared" si="1223"/>
        <v>0</v>
      </c>
      <c r="BI263" s="49" t="str">
        <f t="shared" ref="BI263" si="1581">IF(BH263&lt;0,SUBSTITUTE(TEXT(BH263,"000000000000,00"),",",""),SUBSTITUTE(TEXT(BH263,"0000000000000,00"),",",""))</f>
        <v>000000000000000</v>
      </c>
      <c r="BJ263" s="23">
        <f t="shared" si="1225"/>
        <v>0</v>
      </c>
      <c r="BK263" s="49" t="str">
        <f t="shared" ref="BK263" si="1582">IF(BJ263&lt;0,SUBSTITUTE(TEXT(BJ263,"000000000000,00"),",",""),SUBSTITUTE(TEXT(BJ263,"0000000000000,00"),",",""))</f>
        <v>000000000000000</v>
      </c>
      <c r="BL263" s="23">
        <f t="shared" si="1227"/>
        <v>0</v>
      </c>
      <c r="BM263" s="49" t="str">
        <f t="shared" ref="BM263" si="1583">IF(BL263&lt;0,SUBSTITUTE(TEXT(BL263,"000000000000,00"),",",""),SUBSTITUTE(TEXT(BL263,"0000000000000,00"),",",""))</f>
        <v>000000000000000</v>
      </c>
      <c r="BN263" t="str">
        <f t="shared" si="1229"/>
        <v>PES</v>
      </c>
      <c r="BO263" t="str">
        <f t="shared" si="1230"/>
        <v>0001000000</v>
      </c>
      <c r="BP263">
        <f t="shared" si="1231"/>
        <v>0</v>
      </c>
      <c r="BQ263">
        <f t="shared" si="1232"/>
        <v>0</v>
      </c>
      <c r="BR263" s="23">
        <f t="shared" si="1233"/>
        <v>0</v>
      </c>
      <c r="BS263" s="49" t="str">
        <f t="shared" si="1198"/>
        <v>000000000000000</v>
      </c>
      <c r="BT263" t="str">
        <f t="shared" si="1234"/>
        <v>00000000</v>
      </c>
      <c r="BU263" s="23">
        <f t="shared" si="1235"/>
        <v>0</v>
      </c>
      <c r="BV263" s="49" t="str">
        <f t="shared" si="1199"/>
        <v/>
      </c>
      <c r="BW263" s="52" t="str">
        <f t="shared" si="1236"/>
        <v/>
      </c>
      <c r="BX263" s="23">
        <f t="shared" si="1237"/>
        <v>0</v>
      </c>
      <c r="BY263" s="49" t="str">
        <f t="shared" si="1200"/>
        <v/>
      </c>
      <c r="BZ263" s="23">
        <f t="shared" si="1238"/>
        <v>0</v>
      </c>
      <c r="CA263" s="49" t="str">
        <f t="shared" si="1201"/>
        <v/>
      </c>
      <c r="CB263" s="52" t="str">
        <f t="shared" si="1239"/>
        <v/>
      </c>
      <c r="CC263" s="23">
        <f t="shared" si="1240"/>
        <v>0</v>
      </c>
      <c r="CD263" s="49" t="str">
        <f t="shared" si="1202"/>
        <v/>
      </c>
      <c r="CE263" s="56" t="str">
        <f>IF(CF263="","",MAX(CE$10:$CE262)+1)</f>
        <v/>
      </c>
      <c r="CF263" t="str">
        <f t="shared" si="1241"/>
        <v/>
      </c>
      <c r="CG263" s="22" t="str">
        <f>IF(CH263="","",MAX($CG$10:CG262)+1)</f>
        <v/>
      </c>
      <c r="CH263" s="22" t="str">
        <f t="shared" si="1186"/>
        <v/>
      </c>
      <c r="CI263" s="22" t="str">
        <f>IF(CJ263="","",MAX($CI$10:CI262)+1)</f>
        <v/>
      </c>
      <c r="CJ263" s="22" t="str">
        <f t="shared" si="1187"/>
        <v/>
      </c>
    </row>
    <row r="264" spans="2:88" x14ac:dyDescent="0.25">
      <c r="B264" s="37"/>
      <c r="C264" s="3"/>
      <c r="D264" s="77" t="str">
        <f t="shared" si="1173"/>
        <v/>
      </c>
      <c r="E264" s="38"/>
      <c r="F264" s="38"/>
      <c r="G264" s="78">
        <f t="shared" si="1188"/>
        <v>0</v>
      </c>
      <c r="H264" s="3">
        <v>80</v>
      </c>
      <c r="I264" s="77" t="str">
        <f t="shared" si="1174"/>
        <v/>
      </c>
      <c r="J264" s="32"/>
      <c r="K264" s="3"/>
      <c r="L264" s="39"/>
      <c r="M264" s="39"/>
      <c r="N264" s="39"/>
      <c r="O264" s="39"/>
      <c r="P264" s="39"/>
      <c r="Q264" s="39"/>
      <c r="R264" s="39"/>
      <c r="S264" s="39"/>
      <c r="T264" s="3" t="s">
        <v>645</v>
      </c>
      <c r="U264" s="77" t="str">
        <f t="shared" si="1175"/>
        <v/>
      </c>
      <c r="V264" s="39">
        <v>1</v>
      </c>
      <c r="W264" s="79">
        <f t="shared" si="1189"/>
        <v>0</v>
      </c>
      <c r="X264" s="3">
        <v>0</v>
      </c>
      <c r="Y264" s="77" t="str">
        <f t="shared" si="1176"/>
        <v/>
      </c>
      <c r="Z264" s="3"/>
      <c r="AA264" s="37" t="str">
        <f t="shared" si="1190"/>
        <v/>
      </c>
      <c r="AC264" s="40"/>
      <c r="AD264" s="7"/>
      <c r="AE264" s="77" t="str">
        <f t="shared" si="1177"/>
        <v/>
      </c>
      <c r="AF264" s="81">
        <f t="shared" si="1203"/>
        <v>0</v>
      </c>
      <c r="AG264" s="40"/>
      <c r="AH264" s="7"/>
      <c r="AI264" s="77" t="str">
        <f t="shared" si="1178"/>
        <v/>
      </c>
      <c r="AJ264" s="81">
        <f t="shared" si="1204"/>
        <v>0</v>
      </c>
      <c r="AK264" s="83">
        <f t="shared" si="1205"/>
        <v>0</v>
      </c>
      <c r="AL264" s="83">
        <f t="shared" si="1206"/>
        <v>0</v>
      </c>
      <c r="AN264" s="43">
        <f t="shared" si="1179"/>
        <v>0</v>
      </c>
      <c r="AP264" t="str">
        <f t="shared" si="1207"/>
        <v/>
      </c>
      <c r="AQ264" t="str">
        <f t="shared" si="1208"/>
        <v/>
      </c>
      <c r="AR264" t="str">
        <f t="shared" si="1209"/>
        <v/>
      </c>
      <c r="AS264" t="str">
        <f t="shared" si="1210"/>
        <v/>
      </c>
      <c r="AT264" t="str">
        <f t="shared" si="1211"/>
        <v/>
      </c>
      <c r="AU264" t="str">
        <f t="shared" si="1212"/>
        <v/>
      </c>
      <c r="AV264" t="str">
        <f t="shared" si="1213"/>
        <v/>
      </c>
      <c r="AW264" t="str">
        <f t="shared" si="1214"/>
        <v xml:space="preserve">                              </v>
      </c>
      <c r="AX264" s="23">
        <f t="shared" si="1215"/>
        <v>0</v>
      </c>
      <c r="AY264" s="49" t="str">
        <f t="shared" si="1191"/>
        <v>000000000000000</v>
      </c>
      <c r="AZ264" s="23">
        <f t="shared" si="1216"/>
        <v>0</v>
      </c>
      <c r="BA264" s="49" t="str">
        <f t="shared" si="1191"/>
        <v>000000000000000</v>
      </c>
      <c r="BB264" s="23">
        <f t="shared" si="1217"/>
        <v>0</v>
      </c>
      <c r="BC264" s="49" t="str">
        <f t="shared" ref="BC264" si="1584">IF(BB264&lt;0,SUBSTITUTE(TEXT(BB264,"000000000000,00"),",",""),SUBSTITUTE(TEXT(BB264,"0000000000000,00"),",",""))</f>
        <v>000000000000000</v>
      </c>
      <c r="BD264" s="23">
        <f t="shared" si="1219"/>
        <v>0</v>
      </c>
      <c r="BE264" s="49" t="str">
        <f t="shared" ref="BE264" si="1585">IF(BD264&lt;0,SUBSTITUTE(TEXT(BD264,"000000000000,00"),",",""),SUBSTITUTE(TEXT(BD264,"0000000000000,00"),",",""))</f>
        <v>000000000000000</v>
      </c>
      <c r="BF264" s="23">
        <f t="shared" si="1221"/>
        <v>0</v>
      </c>
      <c r="BG264" s="49" t="str">
        <f t="shared" ref="BG264" si="1586">IF(BF264&lt;0,SUBSTITUTE(TEXT(BF264,"000000000000,00"),",",""),SUBSTITUTE(TEXT(BF264,"0000000000000,00"),",",""))</f>
        <v>000000000000000</v>
      </c>
      <c r="BH264" s="23">
        <f t="shared" si="1223"/>
        <v>0</v>
      </c>
      <c r="BI264" s="49" t="str">
        <f t="shared" ref="BI264" si="1587">IF(BH264&lt;0,SUBSTITUTE(TEXT(BH264,"000000000000,00"),",",""),SUBSTITUTE(TEXT(BH264,"0000000000000,00"),",",""))</f>
        <v>000000000000000</v>
      </c>
      <c r="BJ264" s="23">
        <f t="shared" si="1225"/>
        <v>0</v>
      </c>
      <c r="BK264" s="49" t="str">
        <f t="shared" ref="BK264" si="1588">IF(BJ264&lt;0,SUBSTITUTE(TEXT(BJ264,"000000000000,00"),",",""),SUBSTITUTE(TEXT(BJ264,"0000000000000,00"),",",""))</f>
        <v>000000000000000</v>
      </c>
      <c r="BL264" s="23">
        <f t="shared" si="1227"/>
        <v>0</v>
      </c>
      <c r="BM264" s="49" t="str">
        <f t="shared" ref="BM264" si="1589">IF(BL264&lt;0,SUBSTITUTE(TEXT(BL264,"000000000000,00"),",",""),SUBSTITUTE(TEXT(BL264,"0000000000000,00"),",",""))</f>
        <v>000000000000000</v>
      </c>
      <c r="BN264" t="str">
        <f t="shared" si="1229"/>
        <v>PES</v>
      </c>
      <c r="BO264" t="str">
        <f t="shared" si="1230"/>
        <v>0001000000</v>
      </c>
      <c r="BP264">
        <f t="shared" si="1231"/>
        <v>0</v>
      </c>
      <c r="BQ264">
        <f t="shared" si="1232"/>
        <v>0</v>
      </c>
      <c r="BR264" s="23">
        <f t="shared" si="1233"/>
        <v>0</v>
      </c>
      <c r="BS264" s="49" t="str">
        <f t="shared" si="1198"/>
        <v>000000000000000</v>
      </c>
      <c r="BT264" t="str">
        <f t="shared" si="1234"/>
        <v>00000000</v>
      </c>
      <c r="BU264" s="23">
        <f t="shared" si="1235"/>
        <v>0</v>
      </c>
      <c r="BV264" s="49" t="str">
        <f t="shared" si="1199"/>
        <v/>
      </c>
      <c r="BW264" s="52" t="str">
        <f t="shared" si="1236"/>
        <v/>
      </c>
      <c r="BX264" s="23">
        <f t="shared" si="1237"/>
        <v>0</v>
      </c>
      <c r="BY264" s="49" t="str">
        <f t="shared" si="1200"/>
        <v/>
      </c>
      <c r="BZ264" s="23">
        <f t="shared" si="1238"/>
        <v>0</v>
      </c>
      <c r="CA264" s="49" t="str">
        <f t="shared" si="1201"/>
        <v/>
      </c>
      <c r="CB264" s="52" t="str">
        <f t="shared" si="1239"/>
        <v/>
      </c>
      <c r="CC264" s="23">
        <f t="shared" si="1240"/>
        <v>0</v>
      </c>
      <c r="CD264" s="49" t="str">
        <f t="shared" si="1202"/>
        <v/>
      </c>
      <c r="CE264" s="56" t="str">
        <f>IF(CF264="","",MAX(CE$10:$CE263)+1)</f>
        <v/>
      </c>
      <c r="CF264" t="str">
        <f t="shared" si="1241"/>
        <v/>
      </c>
      <c r="CG264" s="22" t="str">
        <f>IF(CH264="","",MAX($CG$10:CG263)+1)</f>
        <v/>
      </c>
      <c r="CH264" s="22" t="str">
        <f t="shared" si="1186"/>
        <v/>
      </c>
      <c r="CI264" s="22" t="str">
        <f>IF(CJ264="","",MAX($CI$10:CI263)+1)</f>
        <v/>
      </c>
      <c r="CJ264" s="22" t="str">
        <f t="shared" si="1187"/>
        <v/>
      </c>
    </row>
    <row r="265" spans="2:88" x14ac:dyDescent="0.25">
      <c r="B265" s="37"/>
      <c r="C265" s="3"/>
      <c r="D265" s="77" t="str">
        <f t="shared" si="1173"/>
        <v/>
      </c>
      <c r="E265" s="38"/>
      <c r="F265" s="38"/>
      <c r="G265" s="78">
        <f t="shared" si="1188"/>
        <v>0</v>
      </c>
      <c r="H265" s="3">
        <v>80</v>
      </c>
      <c r="I265" s="77" t="str">
        <f t="shared" si="1174"/>
        <v/>
      </c>
      <c r="J265" s="32"/>
      <c r="K265" s="3"/>
      <c r="L265" s="39"/>
      <c r="M265" s="39"/>
      <c r="N265" s="39"/>
      <c r="O265" s="39"/>
      <c r="P265" s="39"/>
      <c r="Q265" s="39"/>
      <c r="R265" s="39"/>
      <c r="S265" s="39"/>
      <c r="T265" s="3" t="s">
        <v>645</v>
      </c>
      <c r="U265" s="77" t="str">
        <f t="shared" si="1175"/>
        <v/>
      </c>
      <c r="V265" s="39">
        <v>1</v>
      </c>
      <c r="W265" s="79">
        <f t="shared" si="1189"/>
        <v>0</v>
      </c>
      <c r="X265" s="3">
        <v>0</v>
      </c>
      <c r="Y265" s="77" t="str">
        <f t="shared" si="1176"/>
        <v/>
      </c>
      <c r="Z265" s="3"/>
      <c r="AA265" s="37" t="str">
        <f t="shared" si="1190"/>
        <v/>
      </c>
      <c r="AC265" s="40"/>
      <c r="AD265" s="7"/>
      <c r="AE265" s="77" t="str">
        <f t="shared" si="1177"/>
        <v/>
      </c>
      <c r="AF265" s="81">
        <f t="shared" si="1203"/>
        <v>0</v>
      </c>
      <c r="AG265" s="40"/>
      <c r="AH265" s="7"/>
      <c r="AI265" s="77" t="str">
        <f t="shared" si="1178"/>
        <v/>
      </c>
      <c r="AJ265" s="81">
        <f t="shared" si="1204"/>
        <v>0</v>
      </c>
      <c r="AK265" s="83">
        <f t="shared" si="1205"/>
        <v>0</v>
      </c>
      <c r="AL265" s="83">
        <f t="shared" si="1206"/>
        <v>0</v>
      </c>
      <c r="AN265" s="43">
        <f t="shared" si="1179"/>
        <v>0</v>
      </c>
      <c r="AP265" t="str">
        <f t="shared" si="1207"/>
        <v/>
      </c>
      <c r="AQ265" t="str">
        <f t="shared" si="1208"/>
        <v/>
      </c>
      <c r="AR265" t="str">
        <f t="shared" si="1209"/>
        <v/>
      </c>
      <c r="AS265" t="str">
        <f t="shared" si="1210"/>
        <v/>
      </c>
      <c r="AT265" t="str">
        <f t="shared" si="1211"/>
        <v/>
      </c>
      <c r="AU265" t="str">
        <f t="shared" si="1212"/>
        <v/>
      </c>
      <c r="AV265" t="str">
        <f t="shared" si="1213"/>
        <v/>
      </c>
      <c r="AW265" t="str">
        <f t="shared" si="1214"/>
        <v xml:space="preserve">                              </v>
      </c>
      <c r="AX265" s="23">
        <f t="shared" si="1215"/>
        <v>0</v>
      </c>
      <c r="AY265" s="49" t="str">
        <f t="shared" si="1191"/>
        <v>000000000000000</v>
      </c>
      <c r="AZ265" s="23">
        <f t="shared" si="1216"/>
        <v>0</v>
      </c>
      <c r="BA265" s="49" t="str">
        <f t="shared" si="1191"/>
        <v>000000000000000</v>
      </c>
      <c r="BB265" s="23">
        <f t="shared" si="1217"/>
        <v>0</v>
      </c>
      <c r="BC265" s="49" t="str">
        <f t="shared" ref="BC265" si="1590">IF(BB265&lt;0,SUBSTITUTE(TEXT(BB265,"000000000000,00"),",",""),SUBSTITUTE(TEXT(BB265,"0000000000000,00"),",",""))</f>
        <v>000000000000000</v>
      </c>
      <c r="BD265" s="23">
        <f t="shared" si="1219"/>
        <v>0</v>
      </c>
      <c r="BE265" s="49" t="str">
        <f t="shared" ref="BE265" si="1591">IF(BD265&lt;0,SUBSTITUTE(TEXT(BD265,"000000000000,00"),",",""),SUBSTITUTE(TEXT(BD265,"0000000000000,00"),",",""))</f>
        <v>000000000000000</v>
      </c>
      <c r="BF265" s="23">
        <f t="shared" si="1221"/>
        <v>0</v>
      </c>
      <c r="BG265" s="49" t="str">
        <f t="shared" ref="BG265" si="1592">IF(BF265&lt;0,SUBSTITUTE(TEXT(BF265,"000000000000,00"),",",""),SUBSTITUTE(TEXT(BF265,"0000000000000,00"),",",""))</f>
        <v>000000000000000</v>
      </c>
      <c r="BH265" s="23">
        <f t="shared" si="1223"/>
        <v>0</v>
      </c>
      <c r="BI265" s="49" t="str">
        <f t="shared" ref="BI265" si="1593">IF(BH265&lt;0,SUBSTITUTE(TEXT(BH265,"000000000000,00"),",",""),SUBSTITUTE(TEXT(BH265,"0000000000000,00"),",",""))</f>
        <v>000000000000000</v>
      </c>
      <c r="BJ265" s="23">
        <f t="shared" si="1225"/>
        <v>0</v>
      </c>
      <c r="BK265" s="49" t="str">
        <f t="shared" ref="BK265" si="1594">IF(BJ265&lt;0,SUBSTITUTE(TEXT(BJ265,"000000000000,00"),",",""),SUBSTITUTE(TEXT(BJ265,"0000000000000,00"),",",""))</f>
        <v>000000000000000</v>
      </c>
      <c r="BL265" s="23">
        <f t="shared" si="1227"/>
        <v>0</v>
      </c>
      <c r="BM265" s="49" t="str">
        <f t="shared" ref="BM265" si="1595">IF(BL265&lt;0,SUBSTITUTE(TEXT(BL265,"000000000000,00"),",",""),SUBSTITUTE(TEXT(BL265,"0000000000000,00"),",",""))</f>
        <v>000000000000000</v>
      </c>
      <c r="BN265" t="str">
        <f t="shared" si="1229"/>
        <v>PES</v>
      </c>
      <c r="BO265" t="str">
        <f t="shared" si="1230"/>
        <v>0001000000</v>
      </c>
      <c r="BP265">
        <f t="shared" si="1231"/>
        <v>0</v>
      </c>
      <c r="BQ265">
        <f t="shared" si="1232"/>
        <v>0</v>
      </c>
      <c r="BR265" s="23">
        <f t="shared" si="1233"/>
        <v>0</v>
      </c>
      <c r="BS265" s="49" t="str">
        <f t="shared" si="1198"/>
        <v>000000000000000</v>
      </c>
      <c r="BT265" t="str">
        <f t="shared" si="1234"/>
        <v>00000000</v>
      </c>
      <c r="BU265" s="23">
        <f t="shared" si="1235"/>
        <v>0</v>
      </c>
      <c r="BV265" s="49" t="str">
        <f t="shared" si="1199"/>
        <v/>
      </c>
      <c r="BW265" s="52" t="str">
        <f t="shared" si="1236"/>
        <v/>
      </c>
      <c r="BX265" s="23">
        <f t="shared" si="1237"/>
        <v>0</v>
      </c>
      <c r="BY265" s="49" t="str">
        <f t="shared" si="1200"/>
        <v/>
      </c>
      <c r="BZ265" s="23">
        <f t="shared" si="1238"/>
        <v>0</v>
      </c>
      <c r="CA265" s="49" t="str">
        <f t="shared" si="1201"/>
        <v/>
      </c>
      <c r="CB265" s="52" t="str">
        <f t="shared" si="1239"/>
        <v/>
      </c>
      <c r="CC265" s="23">
        <f t="shared" si="1240"/>
        <v>0</v>
      </c>
      <c r="CD265" s="49" t="str">
        <f t="shared" si="1202"/>
        <v/>
      </c>
      <c r="CE265" s="56" t="str">
        <f>IF(CF265="","",MAX(CE$10:$CE264)+1)</f>
        <v/>
      </c>
      <c r="CF265" t="str">
        <f t="shared" si="1241"/>
        <v/>
      </c>
      <c r="CG265" s="22" t="str">
        <f>IF(CH265="","",MAX($CG$10:CG264)+1)</f>
        <v/>
      </c>
      <c r="CH265" s="22" t="str">
        <f t="shared" si="1186"/>
        <v/>
      </c>
      <c r="CI265" s="22" t="str">
        <f>IF(CJ265="","",MAX($CI$10:CI264)+1)</f>
        <v/>
      </c>
      <c r="CJ265" s="22" t="str">
        <f t="shared" si="1187"/>
        <v/>
      </c>
    </row>
    <row r="266" spans="2:88" x14ac:dyDescent="0.25">
      <c r="B266" s="37"/>
      <c r="C266" s="3"/>
      <c r="D266" s="77" t="str">
        <f t="shared" si="1173"/>
        <v/>
      </c>
      <c r="E266" s="38"/>
      <c r="F266" s="38"/>
      <c r="G266" s="78">
        <f t="shared" si="1188"/>
        <v>0</v>
      </c>
      <c r="H266" s="3">
        <v>80</v>
      </c>
      <c r="I266" s="77" t="str">
        <f t="shared" si="1174"/>
        <v/>
      </c>
      <c r="J266" s="32"/>
      <c r="K266" s="3"/>
      <c r="L266" s="39"/>
      <c r="M266" s="39"/>
      <c r="N266" s="39"/>
      <c r="O266" s="39"/>
      <c r="P266" s="39"/>
      <c r="Q266" s="39"/>
      <c r="R266" s="39"/>
      <c r="S266" s="39"/>
      <c r="T266" s="3" t="s">
        <v>645</v>
      </c>
      <c r="U266" s="77" t="str">
        <f t="shared" si="1175"/>
        <v/>
      </c>
      <c r="V266" s="39">
        <v>1</v>
      </c>
      <c r="W266" s="79">
        <f t="shared" si="1189"/>
        <v>0</v>
      </c>
      <c r="X266" s="3">
        <v>0</v>
      </c>
      <c r="Y266" s="77" t="str">
        <f t="shared" si="1176"/>
        <v/>
      </c>
      <c r="Z266" s="3"/>
      <c r="AA266" s="37" t="str">
        <f t="shared" si="1190"/>
        <v/>
      </c>
      <c r="AC266" s="40"/>
      <c r="AD266" s="7"/>
      <c r="AE266" s="77" t="str">
        <f t="shared" si="1177"/>
        <v/>
      </c>
      <c r="AF266" s="81">
        <f t="shared" si="1203"/>
        <v>0</v>
      </c>
      <c r="AG266" s="40"/>
      <c r="AH266" s="7"/>
      <c r="AI266" s="77" t="str">
        <f t="shared" si="1178"/>
        <v/>
      </c>
      <c r="AJ266" s="81">
        <f t="shared" si="1204"/>
        <v>0</v>
      </c>
      <c r="AK266" s="83">
        <f t="shared" si="1205"/>
        <v>0</v>
      </c>
      <c r="AL266" s="83">
        <f t="shared" si="1206"/>
        <v>0</v>
      </c>
      <c r="AN266" s="43">
        <f t="shared" si="1179"/>
        <v>0</v>
      </c>
      <c r="AP266" t="str">
        <f t="shared" si="1207"/>
        <v/>
      </c>
      <c r="AQ266" t="str">
        <f t="shared" si="1208"/>
        <v/>
      </c>
      <c r="AR266" t="str">
        <f t="shared" si="1209"/>
        <v/>
      </c>
      <c r="AS266" t="str">
        <f t="shared" si="1210"/>
        <v/>
      </c>
      <c r="AT266" t="str">
        <f t="shared" si="1211"/>
        <v/>
      </c>
      <c r="AU266" t="str">
        <f t="shared" si="1212"/>
        <v/>
      </c>
      <c r="AV266" t="str">
        <f t="shared" si="1213"/>
        <v/>
      </c>
      <c r="AW266" t="str">
        <f t="shared" si="1214"/>
        <v xml:space="preserve">                              </v>
      </c>
      <c r="AX266" s="23">
        <f t="shared" si="1215"/>
        <v>0</v>
      </c>
      <c r="AY266" s="49" t="str">
        <f t="shared" si="1191"/>
        <v>000000000000000</v>
      </c>
      <c r="AZ266" s="23">
        <f t="shared" si="1216"/>
        <v>0</v>
      </c>
      <c r="BA266" s="49" t="str">
        <f t="shared" si="1191"/>
        <v>000000000000000</v>
      </c>
      <c r="BB266" s="23">
        <f t="shared" si="1217"/>
        <v>0</v>
      </c>
      <c r="BC266" s="49" t="str">
        <f t="shared" ref="BC266" si="1596">IF(BB266&lt;0,SUBSTITUTE(TEXT(BB266,"000000000000,00"),",",""),SUBSTITUTE(TEXT(BB266,"0000000000000,00"),",",""))</f>
        <v>000000000000000</v>
      </c>
      <c r="BD266" s="23">
        <f t="shared" si="1219"/>
        <v>0</v>
      </c>
      <c r="BE266" s="49" t="str">
        <f t="shared" ref="BE266" si="1597">IF(BD266&lt;0,SUBSTITUTE(TEXT(BD266,"000000000000,00"),",",""),SUBSTITUTE(TEXT(BD266,"0000000000000,00"),",",""))</f>
        <v>000000000000000</v>
      </c>
      <c r="BF266" s="23">
        <f t="shared" si="1221"/>
        <v>0</v>
      </c>
      <c r="BG266" s="49" t="str">
        <f t="shared" ref="BG266" si="1598">IF(BF266&lt;0,SUBSTITUTE(TEXT(BF266,"000000000000,00"),",",""),SUBSTITUTE(TEXT(BF266,"0000000000000,00"),",",""))</f>
        <v>000000000000000</v>
      </c>
      <c r="BH266" s="23">
        <f t="shared" si="1223"/>
        <v>0</v>
      </c>
      <c r="BI266" s="49" t="str">
        <f t="shared" ref="BI266" si="1599">IF(BH266&lt;0,SUBSTITUTE(TEXT(BH266,"000000000000,00"),",",""),SUBSTITUTE(TEXT(BH266,"0000000000000,00"),",",""))</f>
        <v>000000000000000</v>
      </c>
      <c r="BJ266" s="23">
        <f t="shared" si="1225"/>
        <v>0</v>
      </c>
      <c r="BK266" s="49" t="str">
        <f t="shared" ref="BK266" si="1600">IF(BJ266&lt;0,SUBSTITUTE(TEXT(BJ266,"000000000000,00"),",",""),SUBSTITUTE(TEXT(BJ266,"0000000000000,00"),",",""))</f>
        <v>000000000000000</v>
      </c>
      <c r="BL266" s="23">
        <f t="shared" si="1227"/>
        <v>0</v>
      </c>
      <c r="BM266" s="49" t="str">
        <f t="shared" ref="BM266" si="1601">IF(BL266&lt;0,SUBSTITUTE(TEXT(BL266,"000000000000,00"),",",""),SUBSTITUTE(TEXT(BL266,"0000000000000,00"),",",""))</f>
        <v>000000000000000</v>
      </c>
      <c r="BN266" t="str">
        <f t="shared" si="1229"/>
        <v>PES</v>
      </c>
      <c r="BO266" t="str">
        <f t="shared" si="1230"/>
        <v>0001000000</v>
      </c>
      <c r="BP266">
        <f t="shared" si="1231"/>
        <v>0</v>
      </c>
      <c r="BQ266">
        <f t="shared" si="1232"/>
        <v>0</v>
      </c>
      <c r="BR266" s="23">
        <f t="shared" si="1233"/>
        <v>0</v>
      </c>
      <c r="BS266" s="49" t="str">
        <f t="shared" si="1198"/>
        <v>000000000000000</v>
      </c>
      <c r="BT266" t="str">
        <f t="shared" si="1234"/>
        <v>00000000</v>
      </c>
      <c r="BU266" s="23">
        <f t="shared" si="1235"/>
        <v>0</v>
      </c>
      <c r="BV266" s="49" t="str">
        <f t="shared" si="1199"/>
        <v/>
      </c>
      <c r="BW266" s="52" t="str">
        <f t="shared" si="1236"/>
        <v/>
      </c>
      <c r="BX266" s="23">
        <f t="shared" si="1237"/>
        <v>0</v>
      </c>
      <c r="BY266" s="49" t="str">
        <f t="shared" si="1200"/>
        <v/>
      </c>
      <c r="BZ266" s="23">
        <f t="shared" si="1238"/>
        <v>0</v>
      </c>
      <c r="CA266" s="49" t="str">
        <f t="shared" si="1201"/>
        <v/>
      </c>
      <c r="CB266" s="52" t="str">
        <f t="shared" si="1239"/>
        <v/>
      </c>
      <c r="CC266" s="23">
        <f t="shared" si="1240"/>
        <v>0</v>
      </c>
      <c r="CD266" s="49" t="str">
        <f t="shared" si="1202"/>
        <v/>
      </c>
      <c r="CE266" s="56" t="str">
        <f>IF(CF266="","",MAX(CE$10:$CE265)+1)</f>
        <v/>
      </c>
      <c r="CF266" t="str">
        <f t="shared" si="1241"/>
        <v/>
      </c>
      <c r="CG266" s="22" t="str">
        <f>IF(CH266="","",MAX($CG$10:CG265)+1)</f>
        <v/>
      </c>
      <c r="CH266" s="22" t="str">
        <f t="shared" si="1186"/>
        <v/>
      </c>
      <c r="CI266" s="22" t="str">
        <f>IF(CJ266="","",MAX($CI$10:CI265)+1)</f>
        <v/>
      </c>
      <c r="CJ266" s="22" t="str">
        <f t="shared" si="1187"/>
        <v/>
      </c>
    </row>
    <row r="267" spans="2:88" x14ac:dyDescent="0.25">
      <c r="B267" s="37"/>
      <c r="C267" s="3"/>
      <c r="D267" s="77" t="str">
        <f t="shared" si="1173"/>
        <v/>
      </c>
      <c r="E267" s="38"/>
      <c r="F267" s="38"/>
      <c r="G267" s="78">
        <f t="shared" si="1188"/>
        <v>0</v>
      </c>
      <c r="H267" s="3">
        <v>80</v>
      </c>
      <c r="I267" s="77" t="str">
        <f t="shared" si="1174"/>
        <v/>
      </c>
      <c r="J267" s="32"/>
      <c r="K267" s="3"/>
      <c r="L267" s="39"/>
      <c r="M267" s="39"/>
      <c r="N267" s="39"/>
      <c r="O267" s="39"/>
      <c r="P267" s="39"/>
      <c r="Q267" s="39"/>
      <c r="R267" s="39"/>
      <c r="S267" s="39"/>
      <c r="T267" s="3" t="s">
        <v>645</v>
      </c>
      <c r="U267" s="77" t="str">
        <f t="shared" si="1175"/>
        <v/>
      </c>
      <c r="V267" s="39">
        <v>1</v>
      </c>
      <c r="W267" s="79">
        <f t="shared" si="1189"/>
        <v>0</v>
      </c>
      <c r="X267" s="3">
        <v>0</v>
      </c>
      <c r="Y267" s="77" t="str">
        <f t="shared" si="1176"/>
        <v/>
      </c>
      <c r="Z267" s="3"/>
      <c r="AA267" s="37" t="str">
        <f t="shared" si="1190"/>
        <v/>
      </c>
      <c r="AC267" s="40"/>
      <c r="AD267" s="7"/>
      <c r="AE267" s="77" t="str">
        <f t="shared" si="1177"/>
        <v/>
      </c>
      <c r="AF267" s="81">
        <f t="shared" si="1203"/>
        <v>0</v>
      </c>
      <c r="AG267" s="40"/>
      <c r="AH267" s="7"/>
      <c r="AI267" s="77" t="str">
        <f t="shared" si="1178"/>
        <v/>
      </c>
      <c r="AJ267" s="81">
        <f t="shared" si="1204"/>
        <v>0</v>
      </c>
      <c r="AK267" s="83">
        <f t="shared" si="1205"/>
        <v>0</v>
      </c>
      <c r="AL267" s="83">
        <f t="shared" si="1206"/>
        <v>0</v>
      </c>
      <c r="AN267" s="43">
        <f t="shared" si="1179"/>
        <v>0</v>
      </c>
      <c r="AP267" t="str">
        <f t="shared" si="1207"/>
        <v/>
      </c>
      <c r="AQ267" t="str">
        <f t="shared" si="1208"/>
        <v/>
      </c>
      <c r="AR267" t="str">
        <f t="shared" si="1209"/>
        <v/>
      </c>
      <c r="AS267" t="str">
        <f t="shared" si="1210"/>
        <v/>
      </c>
      <c r="AT267" t="str">
        <f t="shared" si="1211"/>
        <v/>
      </c>
      <c r="AU267" t="str">
        <f t="shared" si="1212"/>
        <v/>
      </c>
      <c r="AV267" t="str">
        <f t="shared" si="1213"/>
        <v/>
      </c>
      <c r="AW267" t="str">
        <f t="shared" si="1214"/>
        <v xml:space="preserve">                              </v>
      </c>
      <c r="AX267" s="23">
        <f t="shared" si="1215"/>
        <v>0</v>
      </c>
      <c r="AY267" s="49" t="str">
        <f t="shared" si="1191"/>
        <v>000000000000000</v>
      </c>
      <c r="AZ267" s="23">
        <f t="shared" si="1216"/>
        <v>0</v>
      </c>
      <c r="BA267" s="49" t="str">
        <f t="shared" si="1191"/>
        <v>000000000000000</v>
      </c>
      <c r="BB267" s="23">
        <f t="shared" si="1217"/>
        <v>0</v>
      </c>
      <c r="BC267" s="49" t="str">
        <f t="shared" ref="BC267" si="1602">IF(BB267&lt;0,SUBSTITUTE(TEXT(BB267,"000000000000,00"),",",""),SUBSTITUTE(TEXT(BB267,"0000000000000,00"),",",""))</f>
        <v>000000000000000</v>
      </c>
      <c r="BD267" s="23">
        <f t="shared" si="1219"/>
        <v>0</v>
      </c>
      <c r="BE267" s="49" t="str">
        <f t="shared" ref="BE267" si="1603">IF(BD267&lt;0,SUBSTITUTE(TEXT(BD267,"000000000000,00"),",",""),SUBSTITUTE(TEXT(BD267,"0000000000000,00"),",",""))</f>
        <v>000000000000000</v>
      </c>
      <c r="BF267" s="23">
        <f t="shared" si="1221"/>
        <v>0</v>
      </c>
      <c r="BG267" s="49" t="str">
        <f t="shared" ref="BG267" si="1604">IF(BF267&lt;0,SUBSTITUTE(TEXT(BF267,"000000000000,00"),",",""),SUBSTITUTE(TEXT(BF267,"0000000000000,00"),",",""))</f>
        <v>000000000000000</v>
      </c>
      <c r="BH267" s="23">
        <f t="shared" si="1223"/>
        <v>0</v>
      </c>
      <c r="BI267" s="49" t="str">
        <f t="shared" ref="BI267" si="1605">IF(BH267&lt;0,SUBSTITUTE(TEXT(BH267,"000000000000,00"),",",""),SUBSTITUTE(TEXT(BH267,"0000000000000,00"),",",""))</f>
        <v>000000000000000</v>
      </c>
      <c r="BJ267" s="23">
        <f t="shared" si="1225"/>
        <v>0</v>
      </c>
      <c r="BK267" s="49" t="str">
        <f t="shared" ref="BK267" si="1606">IF(BJ267&lt;0,SUBSTITUTE(TEXT(BJ267,"000000000000,00"),",",""),SUBSTITUTE(TEXT(BJ267,"0000000000000,00"),",",""))</f>
        <v>000000000000000</v>
      </c>
      <c r="BL267" s="23">
        <f t="shared" si="1227"/>
        <v>0</v>
      </c>
      <c r="BM267" s="49" t="str">
        <f t="shared" ref="BM267" si="1607">IF(BL267&lt;0,SUBSTITUTE(TEXT(BL267,"000000000000,00"),",",""),SUBSTITUTE(TEXT(BL267,"0000000000000,00"),",",""))</f>
        <v>000000000000000</v>
      </c>
      <c r="BN267" t="str">
        <f t="shared" si="1229"/>
        <v>PES</v>
      </c>
      <c r="BO267" t="str">
        <f t="shared" si="1230"/>
        <v>0001000000</v>
      </c>
      <c r="BP267">
        <f t="shared" si="1231"/>
        <v>0</v>
      </c>
      <c r="BQ267">
        <f t="shared" si="1232"/>
        <v>0</v>
      </c>
      <c r="BR267" s="23">
        <f t="shared" si="1233"/>
        <v>0</v>
      </c>
      <c r="BS267" s="49" t="str">
        <f t="shared" si="1198"/>
        <v>000000000000000</v>
      </c>
      <c r="BT267" t="str">
        <f t="shared" si="1234"/>
        <v>00000000</v>
      </c>
      <c r="BU267" s="23">
        <f t="shared" si="1235"/>
        <v>0</v>
      </c>
      <c r="BV267" s="49" t="str">
        <f t="shared" si="1199"/>
        <v/>
      </c>
      <c r="BW267" s="52" t="str">
        <f t="shared" si="1236"/>
        <v/>
      </c>
      <c r="BX267" s="23">
        <f t="shared" si="1237"/>
        <v>0</v>
      </c>
      <c r="BY267" s="49" t="str">
        <f t="shared" si="1200"/>
        <v/>
      </c>
      <c r="BZ267" s="23">
        <f t="shared" si="1238"/>
        <v>0</v>
      </c>
      <c r="CA267" s="49" t="str">
        <f t="shared" si="1201"/>
        <v/>
      </c>
      <c r="CB267" s="52" t="str">
        <f t="shared" si="1239"/>
        <v/>
      </c>
      <c r="CC267" s="23">
        <f t="shared" si="1240"/>
        <v>0</v>
      </c>
      <c r="CD267" s="49" t="str">
        <f t="shared" si="1202"/>
        <v/>
      </c>
      <c r="CE267" s="56" t="str">
        <f>IF(CF267="","",MAX(CE$10:$CE266)+1)</f>
        <v/>
      </c>
      <c r="CF267" t="str">
        <f t="shared" si="1241"/>
        <v/>
      </c>
      <c r="CG267" s="22" t="str">
        <f>IF(CH267="","",MAX($CG$10:CG266)+1)</f>
        <v/>
      </c>
      <c r="CH267" s="22" t="str">
        <f t="shared" si="1186"/>
        <v/>
      </c>
      <c r="CI267" s="22" t="str">
        <f>IF(CJ267="","",MAX($CI$10:CI266)+1)</f>
        <v/>
      </c>
      <c r="CJ267" s="22" t="str">
        <f t="shared" si="1187"/>
        <v/>
      </c>
    </row>
    <row r="268" spans="2:88" x14ac:dyDescent="0.25">
      <c r="B268" s="37"/>
      <c r="C268" s="3"/>
      <c r="D268" s="77" t="str">
        <f t="shared" ref="D268:D331" si="1608">IF(B268="","",IF(ISERROR(VLOOKUP(C268,T_CompVentas,2,FALSE)),"",VLOOKUP(C268,T_CompVentas,2,FALSE)))</f>
        <v/>
      </c>
      <c r="E268" s="38"/>
      <c r="F268" s="38"/>
      <c r="G268" s="78">
        <f t="shared" si="1188"/>
        <v>0</v>
      </c>
      <c r="H268" s="3">
        <v>80</v>
      </c>
      <c r="I268" s="77" t="str">
        <f t="shared" ref="I268:I331" si="1609">IF(B268="","",IF(H268="","",IF(ISERROR(VLOOKUP(H268,T_Documentos,2,FALSE)),"",VLOOKUP(H268,T_Documentos,2,FALSE))))</f>
        <v/>
      </c>
      <c r="J268" s="32"/>
      <c r="K268" s="3"/>
      <c r="L268" s="39"/>
      <c r="M268" s="39"/>
      <c r="N268" s="39"/>
      <c r="O268" s="39"/>
      <c r="P268" s="39"/>
      <c r="Q268" s="39"/>
      <c r="R268" s="39"/>
      <c r="S268" s="39"/>
      <c r="T268" s="3" t="s">
        <v>645</v>
      </c>
      <c r="U268" s="77" t="str">
        <f t="shared" ref="U268:U331" si="1610">IF(B268="","",IF(ISERROR(VLOOKUP(T268,T_Monedas,2,FALSE)),"",VLOOKUP(T268,T_Monedas,2,FALSE)))</f>
        <v/>
      </c>
      <c r="V268" s="39">
        <v>1</v>
      </c>
      <c r="W268" s="79">
        <f t="shared" si="1189"/>
        <v>0</v>
      </c>
      <c r="X268" s="3">
        <v>0</v>
      </c>
      <c r="Y268" s="77" t="str">
        <f t="shared" ref="Y268:Y331" si="1611">IF(B268="","",IF(ISERROR(VLOOKUP(X268,T_CodOperVentas,2,FALSE)),"",VLOOKUP(X268,T_CodOperVentas,2,FALSE)))</f>
        <v/>
      </c>
      <c r="Z268" s="3"/>
      <c r="AA268" s="37" t="str">
        <f t="shared" si="1190"/>
        <v/>
      </c>
      <c r="AC268" s="40"/>
      <c r="AD268" s="7"/>
      <c r="AE268" s="77" t="str">
        <f t="shared" ref="AE268:AE331" si="1612">IF(B268="","",IF(AD268="","",IF(ISERROR(VLOOKUP(AD268,T_Alicuotas,2,FALSE)),"",VLOOKUP(AD268,T_Alicuotas,2,FALSE))))</f>
        <v/>
      </c>
      <c r="AF268" s="81">
        <f t="shared" si="1203"/>
        <v>0</v>
      </c>
      <c r="AG268" s="40"/>
      <c r="AH268" s="7"/>
      <c r="AI268" s="77" t="str">
        <f t="shared" ref="AI268:AI331" si="1613">IF(B268="","",IF(AH268="","",IF(ISERROR(VLOOKUP(AH268,T_Alicuotas,2,FALSE)),"",VLOOKUP(AH268,T_Alicuotas,2,FALSE))))</f>
        <v/>
      </c>
      <c r="AJ268" s="81">
        <f t="shared" si="1204"/>
        <v>0</v>
      </c>
      <c r="AK268" s="83">
        <f t="shared" si="1205"/>
        <v>0</v>
      </c>
      <c r="AL268" s="83">
        <f t="shared" si="1206"/>
        <v>0</v>
      </c>
      <c r="AN268" s="43">
        <f t="shared" ref="AN268:AN331" si="1614">+L268-M268-N268-O268-P268-Q268-R268-S268-AC268-AF268-AG268-AJ268</f>
        <v>0</v>
      </c>
      <c r="AP268" t="str">
        <f t="shared" si="1207"/>
        <v/>
      </c>
      <c r="AQ268" t="str">
        <f t="shared" si="1208"/>
        <v/>
      </c>
      <c r="AR268" t="str">
        <f t="shared" si="1209"/>
        <v/>
      </c>
      <c r="AS268" t="str">
        <f t="shared" si="1210"/>
        <v/>
      </c>
      <c r="AT268" t="str">
        <f t="shared" si="1211"/>
        <v/>
      </c>
      <c r="AU268" t="str">
        <f t="shared" si="1212"/>
        <v/>
      </c>
      <c r="AV268" t="str">
        <f t="shared" si="1213"/>
        <v/>
      </c>
      <c r="AW268" t="str">
        <f t="shared" si="1214"/>
        <v xml:space="preserve">                              </v>
      </c>
      <c r="AX268" s="23">
        <f t="shared" si="1215"/>
        <v>0</v>
      </c>
      <c r="AY268" s="49" t="str">
        <f t="shared" si="1191"/>
        <v>000000000000000</v>
      </c>
      <c r="AZ268" s="23">
        <f t="shared" si="1216"/>
        <v>0</v>
      </c>
      <c r="BA268" s="49" t="str">
        <f t="shared" si="1191"/>
        <v>000000000000000</v>
      </c>
      <c r="BB268" s="23">
        <f t="shared" si="1217"/>
        <v>0</v>
      </c>
      <c r="BC268" s="49" t="str">
        <f t="shared" ref="BC268" si="1615">IF(BB268&lt;0,SUBSTITUTE(TEXT(BB268,"000000000000,00"),",",""),SUBSTITUTE(TEXT(BB268,"0000000000000,00"),",",""))</f>
        <v>000000000000000</v>
      </c>
      <c r="BD268" s="23">
        <f t="shared" si="1219"/>
        <v>0</v>
      </c>
      <c r="BE268" s="49" t="str">
        <f t="shared" ref="BE268" si="1616">IF(BD268&lt;0,SUBSTITUTE(TEXT(BD268,"000000000000,00"),",",""),SUBSTITUTE(TEXT(BD268,"0000000000000,00"),",",""))</f>
        <v>000000000000000</v>
      </c>
      <c r="BF268" s="23">
        <f t="shared" si="1221"/>
        <v>0</v>
      </c>
      <c r="BG268" s="49" t="str">
        <f t="shared" ref="BG268" si="1617">IF(BF268&lt;0,SUBSTITUTE(TEXT(BF268,"000000000000,00"),",",""),SUBSTITUTE(TEXT(BF268,"0000000000000,00"),",",""))</f>
        <v>000000000000000</v>
      </c>
      <c r="BH268" s="23">
        <f t="shared" si="1223"/>
        <v>0</v>
      </c>
      <c r="BI268" s="49" t="str">
        <f t="shared" ref="BI268" si="1618">IF(BH268&lt;0,SUBSTITUTE(TEXT(BH268,"000000000000,00"),",",""),SUBSTITUTE(TEXT(BH268,"0000000000000,00"),",",""))</f>
        <v>000000000000000</v>
      </c>
      <c r="BJ268" s="23">
        <f t="shared" si="1225"/>
        <v>0</v>
      </c>
      <c r="BK268" s="49" t="str">
        <f t="shared" ref="BK268" si="1619">IF(BJ268&lt;0,SUBSTITUTE(TEXT(BJ268,"000000000000,00"),",",""),SUBSTITUTE(TEXT(BJ268,"0000000000000,00"),",",""))</f>
        <v>000000000000000</v>
      </c>
      <c r="BL268" s="23">
        <f t="shared" si="1227"/>
        <v>0</v>
      </c>
      <c r="BM268" s="49" t="str">
        <f t="shared" ref="BM268" si="1620">IF(BL268&lt;0,SUBSTITUTE(TEXT(BL268,"000000000000,00"),",",""),SUBSTITUTE(TEXT(BL268,"0000000000000,00"),",",""))</f>
        <v>000000000000000</v>
      </c>
      <c r="BN268" t="str">
        <f t="shared" si="1229"/>
        <v>PES</v>
      </c>
      <c r="BO268" t="str">
        <f t="shared" si="1230"/>
        <v>0001000000</v>
      </c>
      <c r="BP268">
        <f t="shared" si="1231"/>
        <v>0</v>
      </c>
      <c r="BQ268">
        <f t="shared" si="1232"/>
        <v>0</v>
      </c>
      <c r="BR268" s="23">
        <f t="shared" si="1233"/>
        <v>0</v>
      </c>
      <c r="BS268" s="49" t="str">
        <f t="shared" si="1198"/>
        <v>000000000000000</v>
      </c>
      <c r="BT268" t="str">
        <f t="shared" si="1234"/>
        <v>00000000</v>
      </c>
      <c r="BU268" s="23">
        <f t="shared" si="1235"/>
        <v>0</v>
      </c>
      <c r="BV268" s="49" t="str">
        <f t="shared" si="1199"/>
        <v/>
      </c>
      <c r="BW268" s="52" t="str">
        <f t="shared" si="1236"/>
        <v/>
      </c>
      <c r="BX268" s="23">
        <f t="shared" si="1237"/>
        <v>0</v>
      </c>
      <c r="BY268" s="49" t="str">
        <f t="shared" si="1200"/>
        <v/>
      </c>
      <c r="BZ268" s="23">
        <f t="shared" si="1238"/>
        <v>0</v>
      </c>
      <c r="CA268" s="49" t="str">
        <f t="shared" si="1201"/>
        <v/>
      </c>
      <c r="CB268" s="52" t="str">
        <f t="shared" si="1239"/>
        <v/>
      </c>
      <c r="CC268" s="23">
        <f t="shared" si="1240"/>
        <v>0</v>
      </c>
      <c r="CD268" s="49" t="str">
        <f t="shared" si="1202"/>
        <v/>
      </c>
      <c r="CE268" s="56" t="str">
        <f>IF(CF268="","",MAX(CE$10:$CE267)+1)</f>
        <v/>
      </c>
      <c r="CF268" t="str">
        <f t="shared" si="1241"/>
        <v/>
      </c>
      <c r="CG268" s="22" t="str">
        <f>IF(CH268="","",MAX($CG$10:CG267)+1)</f>
        <v/>
      </c>
      <c r="CH268" s="22" t="str">
        <f t="shared" ref="CH268:CH331" si="1621">IF(BV268="","",AQ268&amp;AR268&amp;AS268&amp;BV268&amp;BW268&amp;BY268)</f>
        <v/>
      </c>
      <c r="CI268" s="22" t="str">
        <f>IF(CJ268="","",MAX($CI$10:CI267)+1)</f>
        <v/>
      </c>
      <c r="CJ268" s="22" t="str">
        <f t="shared" ref="CJ268:CJ331" si="1622">IF(CA268="","",AQ268&amp;AR268&amp;AS268&amp;CA268&amp;CB268&amp;CD268)</f>
        <v/>
      </c>
    </row>
    <row r="269" spans="2:88" x14ac:dyDescent="0.25">
      <c r="B269" s="37"/>
      <c r="C269" s="3"/>
      <c r="D269" s="77" t="str">
        <f t="shared" si="1608"/>
        <v/>
      </c>
      <c r="E269" s="38"/>
      <c r="F269" s="38"/>
      <c r="G269" s="78">
        <f t="shared" ref="G269:G332" si="1623">+F269</f>
        <v>0</v>
      </c>
      <c r="H269" s="3">
        <v>80</v>
      </c>
      <c r="I269" s="77" t="str">
        <f t="shared" si="1609"/>
        <v/>
      </c>
      <c r="J269" s="32"/>
      <c r="K269" s="3"/>
      <c r="L269" s="39"/>
      <c r="M269" s="39"/>
      <c r="N269" s="39"/>
      <c r="O269" s="39"/>
      <c r="P269" s="39"/>
      <c r="Q269" s="39"/>
      <c r="R269" s="39"/>
      <c r="S269" s="39"/>
      <c r="T269" s="3" t="s">
        <v>645</v>
      </c>
      <c r="U269" s="77" t="str">
        <f t="shared" si="1610"/>
        <v/>
      </c>
      <c r="V269" s="39">
        <v>1</v>
      </c>
      <c r="W269" s="79">
        <f t="shared" ref="W269:W332" si="1624">IF(AD269="",0,1)+IF(OR(AH269=""),0,1)</f>
        <v>0</v>
      </c>
      <c r="X269" s="3">
        <v>0</v>
      </c>
      <c r="Y269" s="77" t="str">
        <f t="shared" si="1611"/>
        <v/>
      </c>
      <c r="Z269" s="3"/>
      <c r="AA269" s="37" t="str">
        <f t="shared" ref="AA269:AA332" si="1625">IF(OR(B269="",C269=82),"",B269)</f>
        <v/>
      </c>
      <c r="AC269" s="40"/>
      <c r="AD269" s="7"/>
      <c r="AE269" s="77" t="str">
        <f t="shared" si="1612"/>
        <v/>
      </c>
      <c r="AF269" s="81">
        <f t="shared" si="1203"/>
        <v>0</v>
      </c>
      <c r="AG269" s="40"/>
      <c r="AH269" s="7"/>
      <c r="AI269" s="77" t="str">
        <f t="shared" si="1613"/>
        <v/>
      </c>
      <c r="AJ269" s="81">
        <f t="shared" si="1204"/>
        <v>0</v>
      </c>
      <c r="AK269" s="83">
        <f t="shared" si="1205"/>
        <v>0</v>
      </c>
      <c r="AL269" s="83">
        <f t="shared" si="1206"/>
        <v>0</v>
      </c>
      <c r="AN269" s="43">
        <f t="shared" si="1614"/>
        <v>0</v>
      </c>
      <c r="AP269" t="str">
        <f t="shared" si="1207"/>
        <v/>
      </c>
      <c r="AQ269" t="str">
        <f t="shared" si="1208"/>
        <v/>
      </c>
      <c r="AR269" t="str">
        <f t="shared" si="1209"/>
        <v/>
      </c>
      <c r="AS269" t="str">
        <f t="shared" si="1210"/>
        <v/>
      </c>
      <c r="AT269" t="str">
        <f t="shared" si="1211"/>
        <v/>
      </c>
      <c r="AU269" t="str">
        <f t="shared" si="1212"/>
        <v/>
      </c>
      <c r="AV269" t="str">
        <f t="shared" si="1213"/>
        <v/>
      </c>
      <c r="AW269" t="str">
        <f t="shared" si="1214"/>
        <v xml:space="preserve">                              </v>
      </c>
      <c r="AX269" s="23">
        <f t="shared" si="1215"/>
        <v>0</v>
      </c>
      <c r="AY269" s="49" t="str">
        <f t="shared" ref="AY269:BA332" si="1626">IF(AX269&lt;0,SUBSTITUTE(TEXT(AX269,"000000000000,00"),",",""),SUBSTITUTE(TEXT(AX269,"0000000000000,00"),",",""))</f>
        <v>000000000000000</v>
      </c>
      <c r="AZ269" s="23">
        <f t="shared" si="1216"/>
        <v>0</v>
      </c>
      <c r="BA269" s="49" t="str">
        <f t="shared" si="1626"/>
        <v>000000000000000</v>
      </c>
      <c r="BB269" s="23">
        <f t="shared" si="1217"/>
        <v>0</v>
      </c>
      <c r="BC269" s="49" t="str">
        <f t="shared" ref="BC269" si="1627">IF(BB269&lt;0,SUBSTITUTE(TEXT(BB269,"000000000000,00"),",",""),SUBSTITUTE(TEXT(BB269,"0000000000000,00"),",",""))</f>
        <v>000000000000000</v>
      </c>
      <c r="BD269" s="23">
        <f t="shared" si="1219"/>
        <v>0</v>
      </c>
      <c r="BE269" s="49" t="str">
        <f t="shared" ref="BE269" si="1628">IF(BD269&lt;0,SUBSTITUTE(TEXT(BD269,"000000000000,00"),",",""),SUBSTITUTE(TEXT(BD269,"0000000000000,00"),",",""))</f>
        <v>000000000000000</v>
      </c>
      <c r="BF269" s="23">
        <f t="shared" si="1221"/>
        <v>0</v>
      </c>
      <c r="BG269" s="49" t="str">
        <f t="shared" ref="BG269" si="1629">IF(BF269&lt;0,SUBSTITUTE(TEXT(BF269,"000000000000,00"),",",""),SUBSTITUTE(TEXT(BF269,"0000000000000,00"),",",""))</f>
        <v>000000000000000</v>
      </c>
      <c r="BH269" s="23">
        <f t="shared" si="1223"/>
        <v>0</v>
      </c>
      <c r="BI269" s="49" t="str">
        <f t="shared" ref="BI269" si="1630">IF(BH269&lt;0,SUBSTITUTE(TEXT(BH269,"000000000000,00"),",",""),SUBSTITUTE(TEXT(BH269,"0000000000000,00"),",",""))</f>
        <v>000000000000000</v>
      </c>
      <c r="BJ269" s="23">
        <f t="shared" si="1225"/>
        <v>0</v>
      </c>
      <c r="BK269" s="49" t="str">
        <f t="shared" ref="BK269" si="1631">IF(BJ269&lt;0,SUBSTITUTE(TEXT(BJ269,"000000000000,00"),",",""),SUBSTITUTE(TEXT(BJ269,"0000000000000,00"),",",""))</f>
        <v>000000000000000</v>
      </c>
      <c r="BL269" s="23">
        <f t="shared" si="1227"/>
        <v>0</v>
      </c>
      <c r="BM269" s="49" t="str">
        <f t="shared" ref="BM269" si="1632">IF(BL269&lt;0,SUBSTITUTE(TEXT(BL269,"000000000000,00"),",",""),SUBSTITUTE(TEXT(BL269,"0000000000000,00"),",",""))</f>
        <v>000000000000000</v>
      </c>
      <c r="BN269" t="str">
        <f t="shared" si="1229"/>
        <v>PES</v>
      </c>
      <c r="BO269" t="str">
        <f t="shared" si="1230"/>
        <v>0001000000</v>
      </c>
      <c r="BP269">
        <f t="shared" si="1231"/>
        <v>0</v>
      </c>
      <c r="BQ269">
        <f t="shared" si="1232"/>
        <v>0</v>
      </c>
      <c r="BR269" s="23">
        <f t="shared" si="1233"/>
        <v>0</v>
      </c>
      <c r="BS269" s="49" t="str">
        <f t="shared" ref="BS269:BS332" si="1633">IF(BR269&lt;0,SUBSTITUTE(TEXT(BR269,"000000000000,00"),",",""),SUBSTITUTE(TEXT(BR269,"0000000000000,00"),",",""))</f>
        <v>000000000000000</v>
      </c>
      <c r="BT269" t="str">
        <f t="shared" si="1234"/>
        <v>00000000</v>
      </c>
      <c r="BU269" s="23">
        <f t="shared" si="1235"/>
        <v>0</v>
      </c>
      <c r="BV269" s="49" t="str">
        <f t="shared" ref="BV269:BV332" si="1634">IF(BW269="","",IF(BU269&lt;0,SUBSTITUTE(TEXT(BU269,"000000000000,00"),",",""),SUBSTITUTE(TEXT(BU269,"0000000000000,00"),",","")))</f>
        <v/>
      </c>
      <c r="BW269" s="52" t="str">
        <f t="shared" si="1236"/>
        <v/>
      </c>
      <c r="BX269" s="23">
        <f t="shared" si="1237"/>
        <v>0</v>
      </c>
      <c r="BY269" s="49" t="str">
        <f t="shared" ref="BY269:BY332" si="1635">IF(BW269="","",IF(BX269&lt;0,SUBSTITUTE(TEXT(BX269,"000000000000,00"),",",""),SUBSTITUTE(TEXT(BX269,"0000000000000,00"),",","")))</f>
        <v/>
      </c>
      <c r="BZ269" s="23">
        <f t="shared" si="1238"/>
        <v>0</v>
      </c>
      <c r="CA269" s="49" t="str">
        <f t="shared" ref="CA269:CA332" si="1636">IF(CB269="","",IF(BZ269&lt;0,SUBSTITUTE(TEXT(BZ269,"000000000000,00"),",",""),SUBSTITUTE(TEXT(BZ269,"0000000000000,00"),",","")))</f>
        <v/>
      </c>
      <c r="CB269" s="52" t="str">
        <f t="shared" si="1239"/>
        <v/>
      </c>
      <c r="CC269" s="23">
        <f t="shared" si="1240"/>
        <v>0</v>
      </c>
      <c r="CD269" s="49" t="str">
        <f t="shared" ref="CD269:CD332" si="1637">IF(CB269="","",IF(CC269&lt;0,SUBSTITUTE(TEXT(CC269,"000000000000,00"),",",""),SUBSTITUTE(TEXT(CC269,"0000000000000,00"),",","")))</f>
        <v/>
      </c>
      <c r="CE269" s="56" t="str">
        <f>IF(CF269="","",MAX(CE$10:$CE268)+1)</f>
        <v/>
      </c>
      <c r="CF269" t="str">
        <f t="shared" si="1241"/>
        <v/>
      </c>
      <c r="CG269" s="22" t="str">
        <f>IF(CH269="","",MAX($CG$10:CG268)+1)</f>
        <v/>
      </c>
      <c r="CH269" s="22" t="str">
        <f t="shared" si="1621"/>
        <v/>
      </c>
      <c r="CI269" s="22" t="str">
        <f>IF(CJ269="","",MAX($CI$10:CI268)+1)</f>
        <v/>
      </c>
      <c r="CJ269" s="22" t="str">
        <f t="shared" si="1622"/>
        <v/>
      </c>
    </row>
    <row r="270" spans="2:88" x14ac:dyDescent="0.25">
      <c r="B270" s="37"/>
      <c r="C270" s="3"/>
      <c r="D270" s="77" t="str">
        <f t="shared" si="1608"/>
        <v/>
      </c>
      <c r="E270" s="38"/>
      <c r="F270" s="38"/>
      <c r="G270" s="78">
        <f t="shared" si="1623"/>
        <v>0</v>
      </c>
      <c r="H270" s="3">
        <v>80</v>
      </c>
      <c r="I270" s="77" t="str">
        <f t="shared" si="1609"/>
        <v/>
      </c>
      <c r="J270" s="32"/>
      <c r="K270" s="3"/>
      <c r="L270" s="39"/>
      <c r="M270" s="39"/>
      <c r="N270" s="39"/>
      <c r="O270" s="39"/>
      <c r="P270" s="39"/>
      <c r="Q270" s="39"/>
      <c r="R270" s="39"/>
      <c r="S270" s="39"/>
      <c r="T270" s="3" t="s">
        <v>645</v>
      </c>
      <c r="U270" s="77" t="str">
        <f t="shared" si="1610"/>
        <v/>
      </c>
      <c r="V270" s="39">
        <v>1</v>
      </c>
      <c r="W270" s="79">
        <f t="shared" si="1624"/>
        <v>0</v>
      </c>
      <c r="X270" s="3">
        <v>0</v>
      </c>
      <c r="Y270" s="77" t="str">
        <f t="shared" si="1611"/>
        <v/>
      </c>
      <c r="Z270" s="3"/>
      <c r="AA270" s="37" t="str">
        <f t="shared" si="1625"/>
        <v/>
      </c>
      <c r="AC270" s="40"/>
      <c r="AD270" s="7"/>
      <c r="AE270" s="77" t="str">
        <f t="shared" si="1612"/>
        <v/>
      </c>
      <c r="AF270" s="81">
        <f t="shared" ref="AF270:AF333" si="1638">ROUND(AC270*AD270/100,2)</f>
        <v>0</v>
      </c>
      <c r="AG270" s="40"/>
      <c r="AH270" s="7"/>
      <c r="AI270" s="77" t="str">
        <f t="shared" si="1613"/>
        <v/>
      </c>
      <c r="AJ270" s="81">
        <f t="shared" ref="AJ270:AJ333" si="1639">ROUND(AG270*AH270/100,2)</f>
        <v>0</v>
      </c>
      <c r="AK270" s="83">
        <f t="shared" ref="AK270:AK333" si="1640">+AC270+AG270</f>
        <v>0</v>
      </c>
      <c r="AL270" s="83">
        <f t="shared" ref="AL270:AL333" si="1641">+AF270+AJ270</f>
        <v>0</v>
      </c>
      <c r="AN270" s="43">
        <f t="shared" si="1614"/>
        <v>0</v>
      </c>
      <c r="AP270" t="str">
        <f t="shared" ref="AP270:AP333" si="1642">IF(B270="","",TEXT(B270,$AP$8))</f>
        <v/>
      </c>
      <c r="AQ270" t="str">
        <f t="shared" ref="AQ270:AQ333" si="1643">IF(B270="","",IF(C270="","",TEXT(C270,"000")))</f>
        <v/>
      </c>
      <c r="AR270" t="str">
        <f t="shared" ref="AR270:AR333" si="1644">IF(B270="","",IF(E270="","00000",TEXT(RIGHT(E270,5),"00000")))</f>
        <v/>
      </c>
      <c r="AS270" t="str">
        <f t="shared" ref="AS270:AS333" si="1645">IF(B270="","",IF(F270="","00000000000000000000",TEXT(RIGHT(F270,20),"00000000000000000000")))</f>
        <v/>
      </c>
      <c r="AT270" t="str">
        <f t="shared" ref="AT270:AT333" si="1646">IF(B270="","",IF(G270="","00000000000000000000",TEXT(RIGHT(G270,20),"00000000000000000000")))</f>
        <v/>
      </c>
      <c r="AU270" t="str">
        <f t="shared" ref="AU270:AU333" si="1647">IF(B270="","",IF(C270="","",TEXT(RIGHT(H270,4),"00")))</f>
        <v/>
      </c>
      <c r="AV270" t="str">
        <f t="shared" ref="AV270:AV333" si="1648">IF(B270="","",TEXT(SUBSTITUTE(J270,"-",""),"00000000000000000000"))</f>
        <v/>
      </c>
      <c r="AW270" t="str">
        <f t="shared" ref="AW270:AW333" si="1649">IF(LEN(K270)&gt;30,LEFT(K270,30),K270&amp;REPT(" ",30-LEN(K270)))</f>
        <v xml:space="preserve">                              </v>
      </c>
      <c r="AX270" s="23">
        <f t="shared" ref="AX270:AX333" si="1650">IF(TRIM(L270)="",0,TRUNC(L270,2))</f>
        <v>0</v>
      </c>
      <c r="AY270" s="49" t="str">
        <f t="shared" si="1626"/>
        <v>000000000000000</v>
      </c>
      <c r="AZ270" s="23">
        <f t="shared" ref="AZ270:AZ333" si="1651">IF(TRIM(M270)="",0,TRUNC(M270,2))</f>
        <v>0</v>
      </c>
      <c r="BA270" s="49" t="str">
        <f t="shared" si="1626"/>
        <v>000000000000000</v>
      </c>
      <c r="BB270" s="23">
        <f t="shared" ref="BB270:BB333" si="1652">IF(TRIM(N270)="",0,TRUNC(N270,2))</f>
        <v>0</v>
      </c>
      <c r="BC270" s="49" t="str">
        <f t="shared" ref="BC270" si="1653">IF(BB270&lt;0,SUBSTITUTE(TEXT(BB270,"000000000000,00"),",",""),SUBSTITUTE(TEXT(BB270,"0000000000000,00"),",",""))</f>
        <v>000000000000000</v>
      </c>
      <c r="BD270" s="23">
        <f t="shared" ref="BD270:BD333" si="1654">IF(TRIM(O270)="",0,TRUNC(O270,2))</f>
        <v>0</v>
      </c>
      <c r="BE270" s="49" t="str">
        <f t="shared" ref="BE270" si="1655">IF(BD270&lt;0,SUBSTITUTE(TEXT(BD270,"000000000000,00"),",",""),SUBSTITUTE(TEXT(BD270,"0000000000000,00"),",",""))</f>
        <v>000000000000000</v>
      </c>
      <c r="BF270" s="23">
        <f t="shared" ref="BF270:BF333" si="1656">IF(TRIM(P270)="",0,TRUNC(P270,2))</f>
        <v>0</v>
      </c>
      <c r="BG270" s="49" t="str">
        <f t="shared" ref="BG270" si="1657">IF(BF270&lt;0,SUBSTITUTE(TEXT(BF270,"000000000000,00"),",",""),SUBSTITUTE(TEXT(BF270,"0000000000000,00"),",",""))</f>
        <v>000000000000000</v>
      </c>
      <c r="BH270" s="23">
        <f t="shared" ref="BH270:BH333" si="1658">IF(TRIM(Q270)="",0,TRUNC(Q270,2))</f>
        <v>0</v>
      </c>
      <c r="BI270" s="49" t="str">
        <f t="shared" ref="BI270" si="1659">IF(BH270&lt;0,SUBSTITUTE(TEXT(BH270,"000000000000,00"),",",""),SUBSTITUTE(TEXT(BH270,"0000000000000,00"),",",""))</f>
        <v>000000000000000</v>
      </c>
      <c r="BJ270" s="23">
        <f t="shared" ref="BJ270:BJ333" si="1660">IF(TRIM(R270)="",0,TRUNC(R270,2))</f>
        <v>0</v>
      </c>
      <c r="BK270" s="49" t="str">
        <f t="shared" ref="BK270" si="1661">IF(BJ270&lt;0,SUBSTITUTE(TEXT(BJ270,"000000000000,00"),",",""),SUBSTITUTE(TEXT(BJ270,"0000000000000,00"),",",""))</f>
        <v>000000000000000</v>
      </c>
      <c r="BL270" s="23">
        <f t="shared" ref="BL270:BL333" si="1662">IF(TRIM(S270)="",0,TRUNC(S270,2))</f>
        <v>0</v>
      </c>
      <c r="BM270" s="49" t="str">
        <f t="shared" ref="BM270" si="1663">IF(BL270&lt;0,SUBSTITUTE(TEXT(BL270,"000000000000,00"),",",""),SUBSTITUTE(TEXT(BL270,"0000000000000,00"),",",""))</f>
        <v>000000000000000</v>
      </c>
      <c r="BN270" t="str">
        <f t="shared" ref="BN270:BN333" si="1664">TEXT(T270,"000")</f>
        <v>PES</v>
      </c>
      <c r="BO270" t="str">
        <f t="shared" ref="BO270:BO333" si="1665">IF(V270&lt;0,SUBSTITUTE(TEXT(V270,"000,000000"),",",""),SUBSTITUTE(TEXT(V270,"0000,000000"),",",""))</f>
        <v>0001000000</v>
      </c>
      <c r="BP270">
        <f t="shared" ref="BP270:BP333" si="1666">W270</f>
        <v>0</v>
      </c>
      <c r="BQ270">
        <f t="shared" ref="BQ270:BQ333" si="1667">X270</f>
        <v>0</v>
      </c>
      <c r="BR270" s="23">
        <f t="shared" ref="BR270:BR333" si="1668">IF(TRIM(Z270)="",0,TRUNC(Z270,2))</f>
        <v>0</v>
      </c>
      <c r="BS270" s="49" t="str">
        <f t="shared" si="1633"/>
        <v>000000000000000</v>
      </c>
      <c r="BT270" t="str">
        <f t="shared" ref="BT270:BT333" si="1669">IF(AA270="","00000000",TEXT(AA270,$AP$8))</f>
        <v>00000000</v>
      </c>
      <c r="BU270" s="23">
        <f t="shared" ref="BU270:BU333" si="1670">IF(TRIM(AC270)="",0,TRUNC(AC270,2))</f>
        <v>0</v>
      </c>
      <c r="BV270" s="49" t="str">
        <f t="shared" si="1634"/>
        <v/>
      </c>
      <c r="BW270" s="52" t="str">
        <f t="shared" ref="BW270:BW333" si="1671">IF(AE270="","",TEXT(AE270,"0000"))</f>
        <v/>
      </c>
      <c r="BX270" s="23">
        <f t="shared" ref="BX270:BX333" si="1672">IF(TRIM(AF270)="",0,TRUNC(AF270,2))</f>
        <v>0</v>
      </c>
      <c r="BY270" s="49" t="str">
        <f t="shared" si="1635"/>
        <v/>
      </c>
      <c r="BZ270" s="23">
        <f t="shared" ref="BZ270:BZ333" si="1673">IF(TRIM(AG270)="",0,TRUNC(AG270,2))</f>
        <v>0</v>
      </c>
      <c r="CA270" s="49" t="str">
        <f t="shared" si="1636"/>
        <v/>
      </c>
      <c r="CB270" s="52" t="str">
        <f t="shared" ref="CB270:CB333" si="1674">IF(AI270="","",TEXT(AI270,"0000"))</f>
        <v/>
      </c>
      <c r="CC270" s="23">
        <f t="shared" ref="CC270:CC333" si="1675">IF(TRIM(AJ270)="",0,TRUNC(AJ270,2))</f>
        <v>0</v>
      </c>
      <c r="CD270" s="49" t="str">
        <f t="shared" si="1637"/>
        <v/>
      </c>
      <c r="CE270" s="56" t="str">
        <f>IF(CF270="","",MAX(CE$10:$CE269)+1)</f>
        <v/>
      </c>
      <c r="CF270" t="str">
        <f t="shared" ref="CF270:CF333" si="1676">IF(B270="","",AP270&amp;AQ270&amp;AR270&amp;AS270&amp;AT270&amp;AU270&amp;AV270&amp;AW270&amp;AY270&amp;BA270&amp;BC270&amp;BE270&amp;BG270&amp;BI270&amp;BK270&amp;BM270&amp;BN270&amp;BO270&amp;BP270&amp;BQ270&amp;BS270&amp;BT270)</f>
        <v/>
      </c>
      <c r="CG270" s="22" t="str">
        <f>IF(CH270="","",MAX($CG$10:CG269)+1)</f>
        <v/>
      </c>
      <c r="CH270" s="22" t="str">
        <f t="shared" si="1621"/>
        <v/>
      </c>
      <c r="CI270" s="22" t="str">
        <f>IF(CJ270="","",MAX($CI$10:CI269)+1)</f>
        <v/>
      </c>
      <c r="CJ270" s="22" t="str">
        <f t="shared" si="1622"/>
        <v/>
      </c>
    </row>
    <row r="271" spans="2:88" x14ac:dyDescent="0.25">
      <c r="B271" s="37"/>
      <c r="C271" s="3"/>
      <c r="D271" s="77" t="str">
        <f t="shared" si="1608"/>
        <v/>
      </c>
      <c r="E271" s="38"/>
      <c r="F271" s="38"/>
      <c r="G271" s="78">
        <f t="shared" si="1623"/>
        <v>0</v>
      </c>
      <c r="H271" s="3">
        <v>80</v>
      </c>
      <c r="I271" s="77" t="str">
        <f t="shared" si="1609"/>
        <v/>
      </c>
      <c r="J271" s="32"/>
      <c r="K271" s="3"/>
      <c r="L271" s="39"/>
      <c r="M271" s="39"/>
      <c r="N271" s="39"/>
      <c r="O271" s="39"/>
      <c r="P271" s="39"/>
      <c r="Q271" s="39"/>
      <c r="R271" s="39"/>
      <c r="S271" s="39"/>
      <c r="T271" s="3" t="s">
        <v>645</v>
      </c>
      <c r="U271" s="77" t="str">
        <f t="shared" si="1610"/>
        <v/>
      </c>
      <c r="V271" s="39">
        <v>1</v>
      </c>
      <c r="W271" s="79">
        <f t="shared" si="1624"/>
        <v>0</v>
      </c>
      <c r="X271" s="3">
        <v>0</v>
      </c>
      <c r="Y271" s="77" t="str">
        <f t="shared" si="1611"/>
        <v/>
      </c>
      <c r="Z271" s="3"/>
      <c r="AA271" s="37" t="str">
        <f t="shared" si="1625"/>
        <v/>
      </c>
      <c r="AC271" s="40"/>
      <c r="AD271" s="7"/>
      <c r="AE271" s="77" t="str">
        <f t="shared" si="1612"/>
        <v/>
      </c>
      <c r="AF271" s="81">
        <f t="shared" si="1638"/>
        <v>0</v>
      </c>
      <c r="AG271" s="40"/>
      <c r="AH271" s="7"/>
      <c r="AI271" s="77" t="str">
        <f t="shared" si="1613"/>
        <v/>
      </c>
      <c r="AJ271" s="81">
        <f t="shared" si="1639"/>
        <v>0</v>
      </c>
      <c r="AK271" s="83">
        <f t="shared" si="1640"/>
        <v>0</v>
      </c>
      <c r="AL271" s="83">
        <f t="shared" si="1641"/>
        <v>0</v>
      </c>
      <c r="AN271" s="43">
        <f t="shared" si="1614"/>
        <v>0</v>
      </c>
      <c r="AP271" t="str">
        <f t="shared" si="1642"/>
        <v/>
      </c>
      <c r="AQ271" t="str">
        <f t="shared" si="1643"/>
        <v/>
      </c>
      <c r="AR271" t="str">
        <f t="shared" si="1644"/>
        <v/>
      </c>
      <c r="AS271" t="str">
        <f t="shared" si="1645"/>
        <v/>
      </c>
      <c r="AT271" t="str">
        <f t="shared" si="1646"/>
        <v/>
      </c>
      <c r="AU271" t="str">
        <f t="shared" si="1647"/>
        <v/>
      </c>
      <c r="AV271" t="str">
        <f t="shared" si="1648"/>
        <v/>
      </c>
      <c r="AW271" t="str">
        <f t="shared" si="1649"/>
        <v xml:space="preserve">                              </v>
      </c>
      <c r="AX271" s="23">
        <f t="shared" si="1650"/>
        <v>0</v>
      </c>
      <c r="AY271" s="49" t="str">
        <f t="shared" si="1626"/>
        <v>000000000000000</v>
      </c>
      <c r="AZ271" s="23">
        <f t="shared" si="1651"/>
        <v>0</v>
      </c>
      <c r="BA271" s="49" t="str">
        <f t="shared" si="1626"/>
        <v>000000000000000</v>
      </c>
      <c r="BB271" s="23">
        <f t="shared" si="1652"/>
        <v>0</v>
      </c>
      <c r="BC271" s="49" t="str">
        <f t="shared" ref="BC271" si="1677">IF(BB271&lt;0,SUBSTITUTE(TEXT(BB271,"000000000000,00"),",",""),SUBSTITUTE(TEXT(BB271,"0000000000000,00"),",",""))</f>
        <v>000000000000000</v>
      </c>
      <c r="BD271" s="23">
        <f t="shared" si="1654"/>
        <v>0</v>
      </c>
      <c r="BE271" s="49" t="str">
        <f t="shared" ref="BE271" si="1678">IF(BD271&lt;0,SUBSTITUTE(TEXT(BD271,"000000000000,00"),",",""),SUBSTITUTE(TEXT(BD271,"0000000000000,00"),",",""))</f>
        <v>000000000000000</v>
      </c>
      <c r="BF271" s="23">
        <f t="shared" si="1656"/>
        <v>0</v>
      </c>
      <c r="BG271" s="49" t="str">
        <f t="shared" ref="BG271" si="1679">IF(BF271&lt;0,SUBSTITUTE(TEXT(BF271,"000000000000,00"),",",""),SUBSTITUTE(TEXT(BF271,"0000000000000,00"),",",""))</f>
        <v>000000000000000</v>
      </c>
      <c r="BH271" s="23">
        <f t="shared" si="1658"/>
        <v>0</v>
      </c>
      <c r="BI271" s="49" t="str">
        <f t="shared" ref="BI271" si="1680">IF(BH271&lt;0,SUBSTITUTE(TEXT(BH271,"000000000000,00"),",",""),SUBSTITUTE(TEXT(BH271,"0000000000000,00"),",",""))</f>
        <v>000000000000000</v>
      </c>
      <c r="BJ271" s="23">
        <f t="shared" si="1660"/>
        <v>0</v>
      </c>
      <c r="BK271" s="49" t="str">
        <f t="shared" ref="BK271" si="1681">IF(BJ271&lt;0,SUBSTITUTE(TEXT(BJ271,"000000000000,00"),",",""),SUBSTITUTE(TEXT(BJ271,"0000000000000,00"),",",""))</f>
        <v>000000000000000</v>
      </c>
      <c r="BL271" s="23">
        <f t="shared" si="1662"/>
        <v>0</v>
      </c>
      <c r="BM271" s="49" t="str">
        <f t="shared" ref="BM271" si="1682">IF(BL271&lt;0,SUBSTITUTE(TEXT(BL271,"000000000000,00"),",",""),SUBSTITUTE(TEXT(BL271,"0000000000000,00"),",",""))</f>
        <v>000000000000000</v>
      </c>
      <c r="BN271" t="str">
        <f t="shared" si="1664"/>
        <v>PES</v>
      </c>
      <c r="BO271" t="str">
        <f t="shared" si="1665"/>
        <v>0001000000</v>
      </c>
      <c r="BP271">
        <f t="shared" si="1666"/>
        <v>0</v>
      </c>
      <c r="BQ271">
        <f t="shared" si="1667"/>
        <v>0</v>
      </c>
      <c r="BR271" s="23">
        <f t="shared" si="1668"/>
        <v>0</v>
      </c>
      <c r="BS271" s="49" t="str">
        <f t="shared" si="1633"/>
        <v>000000000000000</v>
      </c>
      <c r="BT271" t="str">
        <f t="shared" si="1669"/>
        <v>00000000</v>
      </c>
      <c r="BU271" s="23">
        <f t="shared" si="1670"/>
        <v>0</v>
      </c>
      <c r="BV271" s="49" t="str">
        <f t="shared" si="1634"/>
        <v/>
      </c>
      <c r="BW271" s="52" t="str">
        <f t="shared" si="1671"/>
        <v/>
      </c>
      <c r="BX271" s="23">
        <f t="shared" si="1672"/>
        <v>0</v>
      </c>
      <c r="BY271" s="49" t="str">
        <f t="shared" si="1635"/>
        <v/>
      </c>
      <c r="BZ271" s="23">
        <f t="shared" si="1673"/>
        <v>0</v>
      </c>
      <c r="CA271" s="49" t="str">
        <f t="shared" si="1636"/>
        <v/>
      </c>
      <c r="CB271" s="52" t="str">
        <f t="shared" si="1674"/>
        <v/>
      </c>
      <c r="CC271" s="23">
        <f t="shared" si="1675"/>
        <v>0</v>
      </c>
      <c r="CD271" s="49" t="str">
        <f t="shared" si="1637"/>
        <v/>
      </c>
      <c r="CE271" s="56" t="str">
        <f>IF(CF271="","",MAX(CE$10:$CE270)+1)</f>
        <v/>
      </c>
      <c r="CF271" t="str">
        <f t="shared" si="1676"/>
        <v/>
      </c>
      <c r="CG271" s="22" t="str">
        <f>IF(CH271="","",MAX($CG$10:CG270)+1)</f>
        <v/>
      </c>
      <c r="CH271" s="22" t="str">
        <f t="shared" si="1621"/>
        <v/>
      </c>
      <c r="CI271" s="22" t="str">
        <f>IF(CJ271="","",MAX($CI$10:CI270)+1)</f>
        <v/>
      </c>
      <c r="CJ271" s="22" t="str">
        <f t="shared" si="1622"/>
        <v/>
      </c>
    </row>
    <row r="272" spans="2:88" x14ac:dyDescent="0.25">
      <c r="B272" s="37"/>
      <c r="C272" s="3"/>
      <c r="D272" s="77" t="str">
        <f t="shared" si="1608"/>
        <v/>
      </c>
      <c r="E272" s="38"/>
      <c r="F272" s="38"/>
      <c r="G272" s="78">
        <f t="shared" si="1623"/>
        <v>0</v>
      </c>
      <c r="H272" s="3">
        <v>80</v>
      </c>
      <c r="I272" s="77" t="str">
        <f t="shared" si="1609"/>
        <v/>
      </c>
      <c r="J272" s="32"/>
      <c r="K272" s="3"/>
      <c r="L272" s="39"/>
      <c r="M272" s="39"/>
      <c r="N272" s="39"/>
      <c r="O272" s="39"/>
      <c r="P272" s="39"/>
      <c r="Q272" s="39"/>
      <c r="R272" s="39"/>
      <c r="S272" s="39"/>
      <c r="T272" s="3" t="s">
        <v>645</v>
      </c>
      <c r="U272" s="77" t="str">
        <f t="shared" si="1610"/>
        <v/>
      </c>
      <c r="V272" s="39">
        <v>1</v>
      </c>
      <c r="W272" s="79">
        <f t="shared" si="1624"/>
        <v>0</v>
      </c>
      <c r="X272" s="3">
        <v>0</v>
      </c>
      <c r="Y272" s="77" t="str">
        <f t="shared" si="1611"/>
        <v/>
      </c>
      <c r="Z272" s="3"/>
      <c r="AA272" s="37" t="str">
        <f t="shared" si="1625"/>
        <v/>
      </c>
      <c r="AC272" s="40"/>
      <c r="AD272" s="7"/>
      <c r="AE272" s="77" t="str">
        <f t="shared" si="1612"/>
        <v/>
      </c>
      <c r="AF272" s="81">
        <f t="shared" si="1638"/>
        <v>0</v>
      </c>
      <c r="AG272" s="40"/>
      <c r="AH272" s="7"/>
      <c r="AI272" s="77" t="str">
        <f t="shared" si="1613"/>
        <v/>
      </c>
      <c r="AJ272" s="81">
        <f t="shared" si="1639"/>
        <v>0</v>
      </c>
      <c r="AK272" s="83">
        <f t="shared" si="1640"/>
        <v>0</v>
      </c>
      <c r="AL272" s="83">
        <f t="shared" si="1641"/>
        <v>0</v>
      </c>
      <c r="AN272" s="43">
        <f t="shared" si="1614"/>
        <v>0</v>
      </c>
      <c r="AP272" t="str">
        <f t="shared" si="1642"/>
        <v/>
      </c>
      <c r="AQ272" t="str">
        <f t="shared" si="1643"/>
        <v/>
      </c>
      <c r="AR272" t="str">
        <f t="shared" si="1644"/>
        <v/>
      </c>
      <c r="AS272" t="str">
        <f t="shared" si="1645"/>
        <v/>
      </c>
      <c r="AT272" t="str">
        <f t="shared" si="1646"/>
        <v/>
      </c>
      <c r="AU272" t="str">
        <f t="shared" si="1647"/>
        <v/>
      </c>
      <c r="AV272" t="str">
        <f t="shared" si="1648"/>
        <v/>
      </c>
      <c r="AW272" t="str">
        <f t="shared" si="1649"/>
        <v xml:space="preserve">                              </v>
      </c>
      <c r="AX272" s="23">
        <f t="shared" si="1650"/>
        <v>0</v>
      </c>
      <c r="AY272" s="49" t="str">
        <f t="shared" si="1626"/>
        <v>000000000000000</v>
      </c>
      <c r="AZ272" s="23">
        <f t="shared" si="1651"/>
        <v>0</v>
      </c>
      <c r="BA272" s="49" t="str">
        <f t="shared" si="1626"/>
        <v>000000000000000</v>
      </c>
      <c r="BB272" s="23">
        <f t="shared" si="1652"/>
        <v>0</v>
      </c>
      <c r="BC272" s="49" t="str">
        <f t="shared" ref="BC272" si="1683">IF(BB272&lt;0,SUBSTITUTE(TEXT(BB272,"000000000000,00"),",",""),SUBSTITUTE(TEXT(BB272,"0000000000000,00"),",",""))</f>
        <v>000000000000000</v>
      </c>
      <c r="BD272" s="23">
        <f t="shared" si="1654"/>
        <v>0</v>
      </c>
      <c r="BE272" s="49" t="str">
        <f t="shared" ref="BE272" si="1684">IF(BD272&lt;0,SUBSTITUTE(TEXT(BD272,"000000000000,00"),",",""),SUBSTITUTE(TEXT(BD272,"0000000000000,00"),",",""))</f>
        <v>000000000000000</v>
      </c>
      <c r="BF272" s="23">
        <f t="shared" si="1656"/>
        <v>0</v>
      </c>
      <c r="BG272" s="49" t="str">
        <f t="shared" ref="BG272" si="1685">IF(BF272&lt;0,SUBSTITUTE(TEXT(BF272,"000000000000,00"),",",""),SUBSTITUTE(TEXT(BF272,"0000000000000,00"),",",""))</f>
        <v>000000000000000</v>
      </c>
      <c r="BH272" s="23">
        <f t="shared" si="1658"/>
        <v>0</v>
      </c>
      <c r="BI272" s="49" t="str">
        <f t="shared" ref="BI272" si="1686">IF(BH272&lt;0,SUBSTITUTE(TEXT(BH272,"000000000000,00"),",",""),SUBSTITUTE(TEXT(BH272,"0000000000000,00"),",",""))</f>
        <v>000000000000000</v>
      </c>
      <c r="BJ272" s="23">
        <f t="shared" si="1660"/>
        <v>0</v>
      </c>
      <c r="BK272" s="49" t="str">
        <f t="shared" ref="BK272" si="1687">IF(BJ272&lt;0,SUBSTITUTE(TEXT(BJ272,"000000000000,00"),",",""),SUBSTITUTE(TEXT(BJ272,"0000000000000,00"),",",""))</f>
        <v>000000000000000</v>
      </c>
      <c r="BL272" s="23">
        <f t="shared" si="1662"/>
        <v>0</v>
      </c>
      <c r="BM272" s="49" t="str">
        <f t="shared" ref="BM272" si="1688">IF(BL272&lt;0,SUBSTITUTE(TEXT(BL272,"000000000000,00"),",",""),SUBSTITUTE(TEXT(BL272,"0000000000000,00"),",",""))</f>
        <v>000000000000000</v>
      </c>
      <c r="BN272" t="str">
        <f t="shared" si="1664"/>
        <v>PES</v>
      </c>
      <c r="BO272" t="str">
        <f t="shared" si="1665"/>
        <v>0001000000</v>
      </c>
      <c r="BP272">
        <f t="shared" si="1666"/>
        <v>0</v>
      </c>
      <c r="BQ272">
        <f t="shared" si="1667"/>
        <v>0</v>
      </c>
      <c r="BR272" s="23">
        <f t="shared" si="1668"/>
        <v>0</v>
      </c>
      <c r="BS272" s="49" t="str">
        <f t="shared" si="1633"/>
        <v>000000000000000</v>
      </c>
      <c r="BT272" t="str">
        <f t="shared" si="1669"/>
        <v>00000000</v>
      </c>
      <c r="BU272" s="23">
        <f t="shared" si="1670"/>
        <v>0</v>
      </c>
      <c r="BV272" s="49" t="str">
        <f t="shared" si="1634"/>
        <v/>
      </c>
      <c r="BW272" s="52" t="str">
        <f t="shared" si="1671"/>
        <v/>
      </c>
      <c r="BX272" s="23">
        <f t="shared" si="1672"/>
        <v>0</v>
      </c>
      <c r="BY272" s="49" t="str">
        <f t="shared" si="1635"/>
        <v/>
      </c>
      <c r="BZ272" s="23">
        <f t="shared" si="1673"/>
        <v>0</v>
      </c>
      <c r="CA272" s="49" t="str">
        <f t="shared" si="1636"/>
        <v/>
      </c>
      <c r="CB272" s="52" t="str">
        <f t="shared" si="1674"/>
        <v/>
      </c>
      <c r="CC272" s="23">
        <f t="shared" si="1675"/>
        <v>0</v>
      </c>
      <c r="CD272" s="49" t="str">
        <f t="shared" si="1637"/>
        <v/>
      </c>
      <c r="CE272" s="56" t="str">
        <f>IF(CF272="","",MAX(CE$10:$CE271)+1)</f>
        <v/>
      </c>
      <c r="CF272" t="str">
        <f t="shared" si="1676"/>
        <v/>
      </c>
      <c r="CG272" s="22" t="str">
        <f>IF(CH272="","",MAX($CG$10:CG271)+1)</f>
        <v/>
      </c>
      <c r="CH272" s="22" t="str">
        <f t="shared" si="1621"/>
        <v/>
      </c>
      <c r="CI272" s="22" t="str">
        <f>IF(CJ272="","",MAX($CI$10:CI271)+1)</f>
        <v/>
      </c>
      <c r="CJ272" s="22" t="str">
        <f t="shared" si="1622"/>
        <v/>
      </c>
    </row>
    <row r="273" spans="2:88" x14ac:dyDescent="0.25">
      <c r="B273" s="37"/>
      <c r="C273" s="3"/>
      <c r="D273" s="77" t="str">
        <f t="shared" si="1608"/>
        <v/>
      </c>
      <c r="E273" s="38"/>
      <c r="F273" s="38"/>
      <c r="G273" s="78">
        <f t="shared" si="1623"/>
        <v>0</v>
      </c>
      <c r="H273" s="3">
        <v>80</v>
      </c>
      <c r="I273" s="77" t="str">
        <f t="shared" si="1609"/>
        <v/>
      </c>
      <c r="J273" s="32"/>
      <c r="K273" s="3"/>
      <c r="L273" s="39"/>
      <c r="M273" s="39"/>
      <c r="N273" s="39"/>
      <c r="O273" s="39"/>
      <c r="P273" s="39"/>
      <c r="Q273" s="39"/>
      <c r="R273" s="39"/>
      <c r="S273" s="39"/>
      <c r="T273" s="3" t="s">
        <v>645</v>
      </c>
      <c r="U273" s="77" t="str">
        <f t="shared" si="1610"/>
        <v/>
      </c>
      <c r="V273" s="39">
        <v>1</v>
      </c>
      <c r="W273" s="79">
        <f t="shared" si="1624"/>
        <v>0</v>
      </c>
      <c r="X273" s="3">
        <v>0</v>
      </c>
      <c r="Y273" s="77" t="str">
        <f t="shared" si="1611"/>
        <v/>
      </c>
      <c r="Z273" s="3"/>
      <c r="AA273" s="37" t="str">
        <f t="shared" si="1625"/>
        <v/>
      </c>
      <c r="AC273" s="40"/>
      <c r="AD273" s="7"/>
      <c r="AE273" s="77" t="str">
        <f t="shared" si="1612"/>
        <v/>
      </c>
      <c r="AF273" s="81">
        <f t="shared" si="1638"/>
        <v>0</v>
      </c>
      <c r="AG273" s="40"/>
      <c r="AH273" s="7"/>
      <c r="AI273" s="77" t="str">
        <f t="shared" si="1613"/>
        <v/>
      </c>
      <c r="AJ273" s="81">
        <f t="shared" si="1639"/>
        <v>0</v>
      </c>
      <c r="AK273" s="83">
        <f t="shared" si="1640"/>
        <v>0</v>
      </c>
      <c r="AL273" s="83">
        <f t="shared" si="1641"/>
        <v>0</v>
      </c>
      <c r="AN273" s="43">
        <f t="shared" si="1614"/>
        <v>0</v>
      </c>
      <c r="AP273" t="str">
        <f t="shared" si="1642"/>
        <v/>
      </c>
      <c r="AQ273" t="str">
        <f t="shared" si="1643"/>
        <v/>
      </c>
      <c r="AR273" t="str">
        <f t="shared" si="1644"/>
        <v/>
      </c>
      <c r="AS273" t="str">
        <f t="shared" si="1645"/>
        <v/>
      </c>
      <c r="AT273" t="str">
        <f t="shared" si="1646"/>
        <v/>
      </c>
      <c r="AU273" t="str">
        <f t="shared" si="1647"/>
        <v/>
      </c>
      <c r="AV273" t="str">
        <f t="shared" si="1648"/>
        <v/>
      </c>
      <c r="AW273" t="str">
        <f t="shared" si="1649"/>
        <v xml:space="preserve">                              </v>
      </c>
      <c r="AX273" s="23">
        <f t="shared" si="1650"/>
        <v>0</v>
      </c>
      <c r="AY273" s="49" t="str">
        <f t="shared" si="1626"/>
        <v>000000000000000</v>
      </c>
      <c r="AZ273" s="23">
        <f t="shared" si="1651"/>
        <v>0</v>
      </c>
      <c r="BA273" s="49" t="str">
        <f t="shared" si="1626"/>
        <v>000000000000000</v>
      </c>
      <c r="BB273" s="23">
        <f t="shared" si="1652"/>
        <v>0</v>
      </c>
      <c r="BC273" s="49" t="str">
        <f t="shared" ref="BC273" si="1689">IF(BB273&lt;0,SUBSTITUTE(TEXT(BB273,"000000000000,00"),",",""),SUBSTITUTE(TEXT(BB273,"0000000000000,00"),",",""))</f>
        <v>000000000000000</v>
      </c>
      <c r="BD273" s="23">
        <f t="shared" si="1654"/>
        <v>0</v>
      </c>
      <c r="BE273" s="49" t="str">
        <f t="shared" ref="BE273" si="1690">IF(BD273&lt;0,SUBSTITUTE(TEXT(BD273,"000000000000,00"),",",""),SUBSTITUTE(TEXT(BD273,"0000000000000,00"),",",""))</f>
        <v>000000000000000</v>
      </c>
      <c r="BF273" s="23">
        <f t="shared" si="1656"/>
        <v>0</v>
      </c>
      <c r="BG273" s="49" t="str">
        <f t="shared" ref="BG273" si="1691">IF(BF273&lt;0,SUBSTITUTE(TEXT(BF273,"000000000000,00"),",",""),SUBSTITUTE(TEXT(BF273,"0000000000000,00"),",",""))</f>
        <v>000000000000000</v>
      </c>
      <c r="BH273" s="23">
        <f t="shared" si="1658"/>
        <v>0</v>
      </c>
      <c r="BI273" s="49" t="str">
        <f t="shared" ref="BI273" si="1692">IF(BH273&lt;0,SUBSTITUTE(TEXT(BH273,"000000000000,00"),",",""),SUBSTITUTE(TEXT(BH273,"0000000000000,00"),",",""))</f>
        <v>000000000000000</v>
      </c>
      <c r="BJ273" s="23">
        <f t="shared" si="1660"/>
        <v>0</v>
      </c>
      <c r="BK273" s="49" t="str">
        <f t="shared" ref="BK273" si="1693">IF(BJ273&lt;0,SUBSTITUTE(TEXT(BJ273,"000000000000,00"),",",""),SUBSTITUTE(TEXT(BJ273,"0000000000000,00"),",",""))</f>
        <v>000000000000000</v>
      </c>
      <c r="BL273" s="23">
        <f t="shared" si="1662"/>
        <v>0</v>
      </c>
      <c r="BM273" s="49" t="str">
        <f t="shared" ref="BM273" si="1694">IF(BL273&lt;0,SUBSTITUTE(TEXT(BL273,"000000000000,00"),",",""),SUBSTITUTE(TEXT(BL273,"0000000000000,00"),",",""))</f>
        <v>000000000000000</v>
      </c>
      <c r="BN273" t="str">
        <f t="shared" si="1664"/>
        <v>PES</v>
      </c>
      <c r="BO273" t="str">
        <f t="shared" si="1665"/>
        <v>0001000000</v>
      </c>
      <c r="BP273">
        <f t="shared" si="1666"/>
        <v>0</v>
      </c>
      <c r="BQ273">
        <f t="shared" si="1667"/>
        <v>0</v>
      </c>
      <c r="BR273" s="23">
        <f t="shared" si="1668"/>
        <v>0</v>
      </c>
      <c r="BS273" s="49" t="str">
        <f t="shared" si="1633"/>
        <v>000000000000000</v>
      </c>
      <c r="BT273" t="str">
        <f t="shared" si="1669"/>
        <v>00000000</v>
      </c>
      <c r="BU273" s="23">
        <f t="shared" si="1670"/>
        <v>0</v>
      </c>
      <c r="BV273" s="49" t="str">
        <f t="shared" si="1634"/>
        <v/>
      </c>
      <c r="BW273" s="52" t="str">
        <f t="shared" si="1671"/>
        <v/>
      </c>
      <c r="BX273" s="23">
        <f t="shared" si="1672"/>
        <v>0</v>
      </c>
      <c r="BY273" s="49" t="str">
        <f t="shared" si="1635"/>
        <v/>
      </c>
      <c r="BZ273" s="23">
        <f t="shared" si="1673"/>
        <v>0</v>
      </c>
      <c r="CA273" s="49" t="str">
        <f t="shared" si="1636"/>
        <v/>
      </c>
      <c r="CB273" s="52" t="str">
        <f t="shared" si="1674"/>
        <v/>
      </c>
      <c r="CC273" s="23">
        <f t="shared" si="1675"/>
        <v>0</v>
      </c>
      <c r="CD273" s="49" t="str">
        <f t="shared" si="1637"/>
        <v/>
      </c>
      <c r="CE273" s="56" t="str">
        <f>IF(CF273="","",MAX(CE$10:$CE272)+1)</f>
        <v/>
      </c>
      <c r="CF273" t="str">
        <f t="shared" si="1676"/>
        <v/>
      </c>
      <c r="CG273" s="22" t="str">
        <f>IF(CH273="","",MAX($CG$10:CG272)+1)</f>
        <v/>
      </c>
      <c r="CH273" s="22" t="str">
        <f t="shared" si="1621"/>
        <v/>
      </c>
      <c r="CI273" s="22" t="str">
        <f>IF(CJ273="","",MAX($CI$10:CI272)+1)</f>
        <v/>
      </c>
      <c r="CJ273" s="22" t="str">
        <f t="shared" si="1622"/>
        <v/>
      </c>
    </row>
    <row r="274" spans="2:88" x14ac:dyDescent="0.25">
      <c r="B274" s="37"/>
      <c r="C274" s="3"/>
      <c r="D274" s="77" t="str">
        <f t="shared" si="1608"/>
        <v/>
      </c>
      <c r="E274" s="38"/>
      <c r="F274" s="38"/>
      <c r="G274" s="78">
        <f t="shared" si="1623"/>
        <v>0</v>
      </c>
      <c r="H274" s="3">
        <v>80</v>
      </c>
      <c r="I274" s="77" t="str">
        <f t="shared" si="1609"/>
        <v/>
      </c>
      <c r="J274" s="32"/>
      <c r="K274" s="3"/>
      <c r="L274" s="39"/>
      <c r="M274" s="39"/>
      <c r="N274" s="39"/>
      <c r="O274" s="39"/>
      <c r="P274" s="39"/>
      <c r="Q274" s="39"/>
      <c r="R274" s="39"/>
      <c r="S274" s="39"/>
      <c r="T274" s="3" t="s">
        <v>645</v>
      </c>
      <c r="U274" s="77" t="str">
        <f t="shared" si="1610"/>
        <v/>
      </c>
      <c r="V274" s="39">
        <v>1</v>
      </c>
      <c r="W274" s="79">
        <f t="shared" si="1624"/>
        <v>0</v>
      </c>
      <c r="X274" s="3">
        <v>0</v>
      </c>
      <c r="Y274" s="77" t="str">
        <f t="shared" si="1611"/>
        <v/>
      </c>
      <c r="Z274" s="3"/>
      <c r="AA274" s="37" t="str">
        <f t="shared" si="1625"/>
        <v/>
      </c>
      <c r="AC274" s="40"/>
      <c r="AD274" s="7"/>
      <c r="AE274" s="77" t="str">
        <f t="shared" si="1612"/>
        <v/>
      </c>
      <c r="AF274" s="81">
        <f t="shared" si="1638"/>
        <v>0</v>
      </c>
      <c r="AG274" s="40"/>
      <c r="AH274" s="7"/>
      <c r="AI274" s="77" t="str">
        <f t="shared" si="1613"/>
        <v/>
      </c>
      <c r="AJ274" s="81">
        <f t="shared" si="1639"/>
        <v>0</v>
      </c>
      <c r="AK274" s="83">
        <f t="shared" si="1640"/>
        <v>0</v>
      </c>
      <c r="AL274" s="83">
        <f t="shared" si="1641"/>
        <v>0</v>
      </c>
      <c r="AN274" s="43">
        <f t="shared" si="1614"/>
        <v>0</v>
      </c>
      <c r="AP274" t="str">
        <f t="shared" si="1642"/>
        <v/>
      </c>
      <c r="AQ274" t="str">
        <f t="shared" si="1643"/>
        <v/>
      </c>
      <c r="AR274" t="str">
        <f t="shared" si="1644"/>
        <v/>
      </c>
      <c r="AS274" t="str">
        <f t="shared" si="1645"/>
        <v/>
      </c>
      <c r="AT274" t="str">
        <f t="shared" si="1646"/>
        <v/>
      </c>
      <c r="AU274" t="str">
        <f t="shared" si="1647"/>
        <v/>
      </c>
      <c r="AV274" t="str">
        <f t="shared" si="1648"/>
        <v/>
      </c>
      <c r="AW274" t="str">
        <f t="shared" si="1649"/>
        <v xml:space="preserve">                              </v>
      </c>
      <c r="AX274" s="23">
        <f t="shared" si="1650"/>
        <v>0</v>
      </c>
      <c r="AY274" s="49" t="str">
        <f t="shared" si="1626"/>
        <v>000000000000000</v>
      </c>
      <c r="AZ274" s="23">
        <f t="shared" si="1651"/>
        <v>0</v>
      </c>
      <c r="BA274" s="49" t="str">
        <f t="shared" si="1626"/>
        <v>000000000000000</v>
      </c>
      <c r="BB274" s="23">
        <f t="shared" si="1652"/>
        <v>0</v>
      </c>
      <c r="BC274" s="49" t="str">
        <f t="shared" ref="BC274" si="1695">IF(BB274&lt;0,SUBSTITUTE(TEXT(BB274,"000000000000,00"),",",""),SUBSTITUTE(TEXT(BB274,"0000000000000,00"),",",""))</f>
        <v>000000000000000</v>
      </c>
      <c r="BD274" s="23">
        <f t="shared" si="1654"/>
        <v>0</v>
      </c>
      <c r="BE274" s="49" t="str">
        <f t="shared" ref="BE274" si="1696">IF(BD274&lt;0,SUBSTITUTE(TEXT(BD274,"000000000000,00"),",",""),SUBSTITUTE(TEXT(BD274,"0000000000000,00"),",",""))</f>
        <v>000000000000000</v>
      </c>
      <c r="BF274" s="23">
        <f t="shared" si="1656"/>
        <v>0</v>
      </c>
      <c r="BG274" s="49" t="str">
        <f t="shared" ref="BG274" si="1697">IF(BF274&lt;0,SUBSTITUTE(TEXT(BF274,"000000000000,00"),",",""),SUBSTITUTE(TEXT(BF274,"0000000000000,00"),",",""))</f>
        <v>000000000000000</v>
      </c>
      <c r="BH274" s="23">
        <f t="shared" si="1658"/>
        <v>0</v>
      </c>
      <c r="BI274" s="49" t="str">
        <f t="shared" ref="BI274" si="1698">IF(BH274&lt;0,SUBSTITUTE(TEXT(BH274,"000000000000,00"),",",""),SUBSTITUTE(TEXT(BH274,"0000000000000,00"),",",""))</f>
        <v>000000000000000</v>
      </c>
      <c r="BJ274" s="23">
        <f t="shared" si="1660"/>
        <v>0</v>
      </c>
      <c r="BK274" s="49" t="str">
        <f t="shared" ref="BK274" si="1699">IF(BJ274&lt;0,SUBSTITUTE(TEXT(BJ274,"000000000000,00"),",",""),SUBSTITUTE(TEXT(BJ274,"0000000000000,00"),",",""))</f>
        <v>000000000000000</v>
      </c>
      <c r="BL274" s="23">
        <f t="shared" si="1662"/>
        <v>0</v>
      </c>
      <c r="BM274" s="49" t="str">
        <f t="shared" ref="BM274" si="1700">IF(BL274&lt;0,SUBSTITUTE(TEXT(BL274,"000000000000,00"),",",""),SUBSTITUTE(TEXT(BL274,"0000000000000,00"),",",""))</f>
        <v>000000000000000</v>
      </c>
      <c r="BN274" t="str">
        <f t="shared" si="1664"/>
        <v>PES</v>
      </c>
      <c r="BO274" t="str">
        <f t="shared" si="1665"/>
        <v>0001000000</v>
      </c>
      <c r="BP274">
        <f t="shared" si="1666"/>
        <v>0</v>
      </c>
      <c r="BQ274">
        <f t="shared" si="1667"/>
        <v>0</v>
      </c>
      <c r="BR274" s="23">
        <f t="shared" si="1668"/>
        <v>0</v>
      </c>
      <c r="BS274" s="49" t="str">
        <f t="shared" si="1633"/>
        <v>000000000000000</v>
      </c>
      <c r="BT274" t="str">
        <f t="shared" si="1669"/>
        <v>00000000</v>
      </c>
      <c r="BU274" s="23">
        <f t="shared" si="1670"/>
        <v>0</v>
      </c>
      <c r="BV274" s="49" t="str">
        <f t="shared" si="1634"/>
        <v/>
      </c>
      <c r="BW274" s="52" t="str">
        <f t="shared" si="1671"/>
        <v/>
      </c>
      <c r="BX274" s="23">
        <f t="shared" si="1672"/>
        <v>0</v>
      </c>
      <c r="BY274" s="49" t="str">
        <f t="shared" si="1635"/>
        <v/>
      </c>
      <c r="BZ274" s="23">
        <f t="shared" si="1673"/>
        <v>0</v>
      </c>
      <c r="CA274" s="49" t="str">
        <f t="shared" si="1636"/>
        <v/>
      </c>
      <c r="CB274" s="52" t="str">
        <f t="shared" si="1674"/>
        <v/>
      </c>
      <c r="CC274" s="23">
        <f t="shared" si="1675"/>
        <v>0</v>
      </c>
      <c r="CD274" s="49" t="str">
        <f t="shared" si="1637"/>
        <v/>
      </c>
      <c r="CE274" s="56" t="str">
        <f>IF(CF274="","",MAX(CE$10:$CE273)+1)</f>
        <v/>
      </c>
      <c r="CF274" t="str">
        <f t="shared" si="1676"/>
        <v/>
      </c>
      <c r="CG274" s="22" t="str">
        <f>IF(CH274="","",MAX($CG$10:CG273)+1)</f>
        <v/>
      </c>
      <c r="CH274" s="22" t="str">
        <f t="shared" si="1621"/>
        <v/>
      </c>
      <c r="CI274" s="22" t="str">
        <f>IF(CJ274="","",MAX($CI$10:CI273)+1)</f>
        <v/>
      </c>
      <c r="CJ274" s="22" t="str">
        <f t="shared" si="1622"/>
        <v/>
      </c>
    </row>
    <row r="275" spans="2:88" x14ac:dyDescent="0.25">
      <c r="B275" s="37"/>
      <c r="C275" s="3"/>
      <c r="D275" s="77" t="str">
        <f t="shared" si="1608"/>
        <v/>
      </c>
      <c r="E275" s="38"/>
      <c r="F275" s="38"/>
      <c r="G275" s="78">
        <f t="shared" si="1623"/>
        <v>0</v>
      </c>
      <c r="H275" s="3">
        <v>80</v>
      </c>
      <c r="I275" s="77" t="str">
        <f t="shared" si="1609"/>
        <v/>
      </c>
      <c r="J275" s="32"/>
      <c r="K275" s="3"/>
      <c r="L275" s="39"/>
      <c r="M275" s="39"/>
      <c r="N275" s="39"/>
      <c r="O275" s="39"/>
      <c r="P275" s="39"/>
      <c r="Q275" s="39"/>
      <c r="R275" s="39"/>
      <c r="S275" s="39"/>
      <c r="T275" s="3" t="s">
        <v>645</v>
      </c>
      <c r="U275" s="77" t="str">
        <f t="shared" si="1610"/>
        <v/>
      </c>
      <c r="V275" s="39">
        <v>1</v>
      </c>
      <c r="W275" s="79">
        <f t="shared" si="1624"/>
        <v>0</v>
      </c>
      <c r="X275" s="3">
        <v>0</v>
      </c>
      <c r="Y275" s="77" t="str">
        <f t="shared" si="1611"/>
        <v/>
      </c>
      <c r="Z275" s="3"/>
      <c r="AA275" s="37" t="str">
        <f t="shared" si="1625"/>
        <v/>
      </c>
      <c r="AC275" s="40"/>
      <c r="AD275" s="7"/>
      <c r="AE275" s="77" t="str">
        <f t="shared" si="1612"/>
        <v/>
      </c>
      <c r="AF275" s="81">
        <f t="shared" si="1638"/>
        <v>0</v>
      </c>
      <c r="AG275" s="40"/>
      <c r="AH275" s="7"/>
      <c r="AI275" s="77" t="str">
        <f t="shared" si="1613"/>
        <v/>
      </c>
      <c r="AJ275" s="81">
        <f t="shared" si="1639"/>
        <v>0</v>
      </c>
      <c r="AK275" s="83">
        <f t="shared" si="1640"/>
        <v>0</v>
      </c>
      <c r="AL275" s="83">
        <f t="shared" si="1641"/>
        <v>0</v>
      </c>
      <c r="AN275" s="43">
        <f t="shared" si="1614"/>
        <v>0</v>
      </c>
      <c r="AP275" t="str">
        <f t="shared" si="1642"/>
        <v/>
      </c>
      <c r="AQ275" t="str">
        <f t="shared" si="1643"/>
        <v/>
      </c>
      <c r="AR275" t="str">
        <f t="shared" si="1644"/>
        <v/>
      </c>
      <c r="AS275" t="str">
        <f t="shared" si="1645"/>
        <v/>
      </c>
      <c r="AT275" t="str">
        <f t="shared" si="1646"/>
        <v/>
      </c>
      <c r="AU275" t="str">
        <f t="shared" si="1647"/>
        <v/>
      </c>
      <c r="AV275" t="str">
        <f t="shared" si="1648"/>
        <v/>
      </c>
      <c r="AW275" t="str">
        <f t="shared" si="1649"/>
        <v xml:space="preserve">                              </v>
      </c>
      <c r="AX275" s="23">
        <f t="shared" si="1650"/>
        <v>0</v>
      </c>
      <c r="AY275" s="49" t="str">
        <f t="shared" si="1626"/>
        <v>000000000000000</v>
      </c>
      <c r="AZ275" s="23">
        <f t="shared" si="1651"/>
        <v>0</v>
      </c>
      <c r="BA275" s="49" t="str">
        <f t="shared" si="1626"/>
        <v>000000000000000</v>
      </c>
      <c r="BB275" s="23">
        <f t="shared" si="1652"/>
        <v>0</v>
      </c>
      <c r="BC275" s="49" t="str">
        <f t="shared" ref="BC275" si="1701">IF(BB275&lt;0,SUBSTITUTE(TEXT(BB275,"000000000000,00"),",",""),SUBSTITUTE(TEXT(BB275,"0000000000000,00"),",",""))</f>
        <v>000000000000000</v>
      </c>
      <c r="BD275" s="23">
        <f t="shared" si="1654"/>
        <v>0</v>
      </c>
      <c r="BE275" s="49" t="str">
        <f t="shared" ref="BE275" si="1702">IF(BD275&lt;0,SUBSTITUTE(TEXT(BD275,"000000000000,00"),",",""),SUBSTITUTE(TEXT(BD275,"0000000000000,00"),",",""))</f>
        <v>000000000000000</v>
      </c>
      <c r="BF275" s="23">
        <f t="shared" si="1656"/>
        <v>0</v>
      </c>
      <c r="BG275" s="49" t="str">
        <f t="shared" ref="BG275" si="1703">IF(BF275&lt;0,SUBSTITUTE(TEXT(BF275,"000000000000,00"),",",""),SUBSTITUTE(TEXT(BF275,"0000000000000,00"),",",""))</f>
        <v>000000000000000</v>
      </c>
      <c r="BH275" s="23">
        <f t="shared" si="1658"/>
        <v>0</v>
      </c>
      <c r="BI275" s="49" t="str">
        <f t="shared" ref="BI275" si="1704">IF(BH275&lt;0,SUBSTITUTE(TEXT(BH275,"000000000000,00"),",",""),SUBSTITUTE(TEXT(BH275,"0000000000000,00"),",",""))</f>
        <v>000000000000000</v>
      </c>
      <c r="BJ275" s="23">
        <f t="shared" si="1660"/>
        <v>0</v>
      </c>
      <c r="BK275" s="49" t="str">
        <f t="shared" ref="BK275" si="1705">IF(BJ275&lt;0,SUBSTITUTE(TEXT(BJ275,"000000000000,00"),",",""),SUBSTITUTE(TEXT(BJ275,"0000000000000,00"),",",""))</f>
        <v>000000000000000</v>
      </c>
      <c r="BL275" s="23">
        <f t="shared" si="1662"/>
        <v>0</v>
      </c>
      <c r="BM275" s="49" t="str">
        <f t="shared" ref="BM275" si="1706">IF(BL275&lt;0,SUBSTITUTE(TEXT(BL275,"000000000000,00"),",",""),SUBSTITUTE(TEXT(BL275,"0000000000000,00"),",",""))</f>
        <v>000000000000000</v>
      </c>
      <c r="BN275" t="str">
        <f t="shared" si="1664"/>
        <v>PES</v>
      </c>
      <c r="BO275" t="str">
        <f t="shared" si="1665"/>
        <v>0001000000</v>
      </c>
      <c r="BP275">
        <f t="shared" si="1666"/>
        <v>0</v>
      </c>
      <c r="BQ275">
        <f t="shared" si="1667"/>
        <v>0</v>
      </c>
      <c r="BR275" s="23">
        <f t="shared" si="1668"/>
        <v>0</v>
      </c>
      <c r="BS275" s="49" t="str">
        <f t="shared" si="1633"/>
        <v>000000000000000</v>
      </c>
      <c r="BT275" t="str">
        <f t="shared" si="1669"/>
        <v>00000000</v>
      </c>
      <c r="BU275" s="23">
        <f t="shared" si="1670"/>
        <v>0</v>
      </c>
      <c r="BV275" s="49" t="str">
        <f t="shared" si="1634"/>
        <v/>
      </c>
      <c r="BW275" s="52" t="str">
        <f t="shared" si="1671"/>
        <v/>
      </c>
      <c r="BX275" s="23">
        <f t="shared" si="1672"/>
        <v>0</v>
      </c>
      <c r="BY275" s="49" t="str">
        <f t="shared" si="1635"/>
        <v/>
      </c>
      <c r="BZ275" s="23">
        <f t="shared" si="1673"/>
        <v>0</v>
      </c>
      <c r="CA275" s="49" t="str">
        <f t="shared" si="1636"/>
        <v/>
      </c>
      <c r="CB275" s="52" t="str">
        <f t="shared" si="1674"/>
        <v/>
      </c>
      <c r="CC275" s="23">
        <f t="shared" si="1675"/>
        <v>0</v>
      </c>
      <c r="CD275" s="49" t="str">
        <f t="shared" si="1637"/>
        <v/>
      </c>
      <c r="CE275" s="56" t="str">
        <f>IF(CF275="","",MAX(CE$10:$CE274)+1)</f>
        <v/>
      </c>
      <c r="CF275" t="str">
        <f t="shared" si="1676"/>
        <v/>
      </c>
      <c r="CG275" s="22" t="str">
        <f>IF(CH275="","",MAX($CG$10:CG274)+1)</f>
        <v/>
      </c>
      <c r="CH275" s="22" t="str">
        <f t="shared" si="1621"/>
        <v/>
      </c>
      <c r="CI275" s="22" t="str">
        <f>IF(CJ275="","",MAX($CI$10:CI274)+1)</f>
        <v/>
      </c>
      <c r="CJ275" s="22" t="str">
        <f t="shared" si="1622"/>
        <v/>
      </c>
    </row>
    <row r="276" spans="2:88" x14ac:dyDescent="0.25">
      <c r="B276" s="37"/>
      <c r="C276" s="3"/>
      <c r="D276" s="77" t="str">
        <f t="shared" si="1608"/>
        <v/>
      </c>
      <c r="E276" s="38"/>
      <c r="F276" s="38"/>
      <c r="G276" s="78">
        <f t="shared" si="1623"/>
        <v>0</v>
      </c>
      <c r="H276" s="3">
        <v>80</v>
      </c>
      <c r="I276" s="77" t="str">
        <f t="shared" si="1609"/>
        <v/>
      </c>
      <c r="J276" s="32"/>
      <c r="K276" s="3"/>
      <c r="L276" s="39"/>
      <c r="M276" s="39"/>
      <c r="N276" s="39"/>
      <c r="O276" s="39"/>
      <c r="P276" s="39"/>
      <c r="Q276" s="39"/>
      <c r="R276" s="39"/>
      <c r="S276" s="39"/>
      <c r="T276" s="3" t="s">
        <v>645</v>
      </c>
      <c r="U276" s="77" t="str">
        <f t="shared" si="1610"/>
        <v/>
      </c>
      <c r="V276" s="39">
        <v>1</v>
      </c>
      <c r="W276" s="79">
        <f t="shared" si="1624"/>
        <v>0</v>
      </c>
      <c r="X276" s="3">
        <v>0</v>
      </c>
      <c r="Y276" s="77" t="str">
        <f t="shared" si="1611"/>
        <v/>
      </c>
      <c r="Z276" s="3"/>
      <c r="AA276" s="37" t="str">
        <f t="shared" si="1625"/>
        <v/>
      </c>
      <c r="AC276" s="40"/>
      <c r="AD276" s="7"/>
      <c r="AE276" s="77" t="str">
        <f t="shared" si="1612"/>
        <v/>
      </c>
      <c r="AF276" s="81">
        <f t="shared" si="1638"/>
        <v>0</v>
      </c>
      <c r="AG276" s="40"/>
      <c r="AH276" s="7"/>
      <c r="AI276" s="77" t="str">
        <f t="shared" si="1613"/>
        <v/>
      </c>
      <c r="AJ276" s="81">
        <f t="shared" si="1639"/>
        <v>0</v>
      </c>
      <c r="AK276" s="83">
        <f t="shared" si="1640"/>
        <v>0</v>
      </c>
      <c r="AL276" s="83">
        <f t="shared" si="1641"/>
        <v>0</v>
      </c>
      <c r="AN276" s="43">
        <f t="shared" si="1614"/>
        <v>0</v>
      </c>
      <c r="AP276" t="str">
        <f t="shared" si="1642"/>
        <v/>
      </c>
      <c r="AQ276" t="str">
        <f t="shared" si="1643"/>
        <v/>
      </c>
      <c r="AR276" t="str">
        <f t="shared" si="1644"/>
        <v/>
      </c>
      <c r="AS276" t="str">
        <f t="shared" si="1645"/>
        <v/>
      </c>
      <c r="AT276" t="str">
        <f t="shared" si="1646"/>
        <v/>
      </c>
      <c r="AU276" t="str">
        <f t="shared" si="1647"/>
        <v/>
      </c>
      <c r="AV276" t="str">
        <f t="shared" si="1648"/>
        <v/>
      </c>
      <c r="AW276" t="str">
        <f t="shared" si="1649"/>
        <v xml:space="preserve">                              </v>
      </c>
      <c r="AX276" s="23">
        <f t="shared" si="1650"/>
        <v>0</v>
      </c>
      <c r="AY276" s="49" t="str">
        <f t="shared" si="1626"/>
        <v>000000000000000</v>
      </c>
      <c r="AZ276" s="23">
        <f t="shared" si="1651"/>
        <v>0</v>
      </c>
      <c r="BA276" s="49" t="str">
        <f t="shared" si="1626"/>
        <v>000000000000000</v>
      </c>
      <c r="BB276" s="23">
        <f t="shared" si="1652"/>
        <v>0</v>
      </c>
      <c r="BC276" s="49" t="str">
        <f t="shared" ref="BC276" si="1707">IF(BB276&lt;0,SUBSTITUTE(TEXT(BB276,"000000000000,00"),",",""),SUBSTITUTE(TEXT(BB276,"0000000000000,00"),",",""))</f>
        <v>000000000000000</v>
      </c>
      <c r="BD276" s="23">
        <f t="shared" si="1654"/>
        <v>0</v>
      </c>
      <c r="BE276" s="49" t="str">
        <f t="shared" ref="BE276" si="1708">IF(BD276&lt;0,SUBSTITUTE(TEXT(BD276,"000000000000,00"),",",""),SUBSTITUTE(TEXT(BD276,"0000000000000,00"),",",""))</f>
        <v>000000000000000</v>
      </c>
      <c r="BF276" s="23">
        <f t="shared" si="1656"/>
        <v>0</v>
      </c>
      <c r="BG276" s="49" t="str">
        <f t="shared" ref="BG276" si="1709">IF(BF276&lt;0,SUBSTITUTE(TEXT(BF276,"000000000000,00"),",",""),SUBSTITUTE(TEXT(BF276,"0000000000000,00"),",",""))</f>
        <v>000000000000000</v>
      </c>
      <c r="BH276" s="23">
        <f t="shared" si="1658"/>
        <v>0</v>
      </c>
      <c r="BI276" s="49" t="str">
        <f t="shared" ref="BI276" si="1710">IF(BH276&lt;0,SUBSTITUTE(TEXT(BH276,"000000000000,00"),",",""),SUBSTITUTE(TEXT(BH276,"0000000000000,00"),",",""))</f>
        <v>000000000000000</v>
      </c>
      <c r="BJ276" s="23">
        <f t="shared" si="1660"/>
        <v>0</v>
      </c>
      <c r="BK276" s="49" t="str">
        <f t="shared" ref="BK276" si="1711">IF(BJ276&lt;0,SUBSTITUTE(TEXT(BJ276,"000000000000,00"),",",""),SUBSTITUTE(TEXT(BJ276,"0000000000000,00"),",",""))</f>
        <v>000000000000000</v>
      </c>
      <c r="BL276" s="23">
        <f t="shared" si="1662"/>
        <v>0</v>
      </c>
      <c r="BM276" s="49" t="str">
        <f t="shared" ref="BM276" si="1712">IF(BL276&lt;0,SUBSTITUTE(TEXT(BL276,"000000000000,00"),",",""),SUBSTITUTE(TEXT(BL276,"0000000000000,00"),",",""))</f>
        <v>000000000000000</v>
      </c>
      <c r="BN276" t="str">
        <f t="shared" si="1664"/>
        <v>PES</v>
      </c>
      <c r="BO276" t="str">
        <f t="shared" si="1665"/>
        <v>0001000000</v>
      </c>
      <c r="BP276">
        <f t="shared" si="1666"/>
        <v>0</v>
      </c>
      <c r="BQ276">
        <f t="shared" si="1667"/>
        <v>0</v>
      </c>
      <c r="BR276" s="23">
        <f t="shared" si="1668"/>
        <v>0</v>
      </c>
      <c r="BS276" s="49" t="str">
        <f t="shared" si="1633"/>
        <v>000000000000000</v>
      </c>
      <c r="BT276" t="str">
        <f t="shared" si="1669"/>
        <v>00000000</v>
      </c>
      <c r="BU276" s="23">
        <f t="shared" si="1670"/>
        <v>0</v>
      </c>
      <c r="BV276" s="49" t="str">
        <f t="shared" si="1634"/>
        <v/>
      </c>
      <c r="BW276" s="52" t="str">
        <f t="shared" si="1671"/>
        <v/>
      </c>
      <c r="BX276" s="23">
        <f t="shared" si="1672"/>
        <v>0</v>
      </c>
      <c r="BY276" s="49" t="str">
        <f t="shared" si="1635"/>
        <v/>
      </c>
      <c r="BZ276" s="23">
        <f t="shared" si="1673"/>
        <v>0</v>
      </c>
      <c r="CA276" s="49" t="str">
        <f t="shared" si="1636"/>
        <v/>
      </c>
      <c r="CB276" s="52" t="str">
        <f t="shared" si="1674"/>
        <v/>
      </c>
      <c r="CC276" s="23">
        <f t="shared" si="1675"/>
        <v>0</v>
      </c>
      <c r="CD276" s="49" t="str">
        <f t="shared" si="1637"/>
        <v/>
      </c>
      <c r="CE276" s="56" t="str">
        <f>IF(CF276="","",MAX(CE$10:$CE275)+1)</f>
        <v/>
      </c>
      <c r="CF276" t="str">
        <f t="shared" si="1676"/>
        <v/>
      </c>
      <c r="CG276" s="22" t="str">
        <f>IF(CH276="","",MAX($CG$10:CG275)+1)</f>
        <v/>
      </c>
      <c r="CH276" s="22" t="str">
        <f t="shared" si="1621"/>
        <v/>
      </c>
      <c r="CI276" s="22" t="str">
        <f>IF(CJ276="","",MAX($CI$10:CI275)+1)</f>
        <v/>
      </c>
      <c r="CJ276" s="22" t="str">
        <f t="shared" si="1622"/>
        <v/>
      </c>
    </row>
    <row r="277" spans="2:88" x14ac:dyDescent="0.25">
      <c r="B277" s="37"/>
      <c r="C277" s="3"/>
      <c r="D277" s="77" t="str">
        <f t="shared" si="1608"/>
        <v/>
      </c>
      <c r="E277" s="38"/>
      <c r="F277" s="38"/>
      <c r="G277" s="78">
        <f t="shared" si="1623"/>
        <v>0</v>
      </c>
      <c r="H277" s="3">
        <v>80</v>
      </c>
      <c r="I277" s="77" t="str">
        <f t="shared" si="1609"/>
        <v/>
      </c>
      <c r="J277" s="32"/>
      <c r="K277" s="3"/>
      <c r="L277" s="39"/>
      <c r="M277" s="39"/>
      <c r="N277" s="39"/>
      <c r="O277" s="39"/>
      <c r="P277" s="39"/>
      <c r="Q277" s="39"/>
      <c r="R277" s="39"/>
      <c r="S277" s="39"/>
      <c r="T277" s="3" t="s">
        <v>645</v>
      </c>
      <c r="U277" s="77" t="str">
        <f t="shared" si="1610"/>
        <v/>
      </c>
      <c r="V277" s="39">
        <v>1</v>
      </c>
      <c r="W277" s="79">
        <f t="shared" si="1624"/>
        <v>0</v>
      </c>
      <c r="X277" s="3">
        <v>0</v>
      </c>
      <c r="Y277" s="77" t="str">
        <f t="shared" si="1611"/>
        <v/>
      </c>
      <c r="Z277" s="3"/>
      <c r="AA277" s="37" t="str">
        <f t="shared" si="1625"/>
        <v/>
      </c>
      <c r="AC277" s="40"/>
      <c r="AD277" s="7"/>
      <c r="AE277" s="77" t="str">
        <f t="shared" si="1612"/>
        <v/>
      </c>
      <c r="AF277" s="81">
        <f t="shared" si="1638"/>
        <v>0</v>
      </c>
      <c r="AG277" s="40"/>
      <c r="AH277" s="7"/>
      <c r="AI277" s="77" t="str">
        <f t="shared" si="1613"/>
        <v/>
      </c>
      <c r="AJ277" s="81">
        <f t="shared" si="1639"/>
        <v>0</v>
      </c>
      <c r="AK277" s="83">
        <f t="shared" si="1640"/>
        <v>0</v>
      </c>
      <c r="AL277" s="83">
        <f t="shared" si="1641"/>
        <v>0</v>
      </c>
      <c r="AN277" s="43">
        <f t="shared" si="1614"/>
        <v>0</v>
      </c>
      <c r="AP277" t="str">
        <f t="shared" si="1642"/>
        <v/>
      </c>
      <c r="AQ277" t="str">
        <f t="shared" si="1643"/>
        <v/>
      </c>
      <c r="AR277" t="str">
        <f t="shared" si="1644"/>
        <v/>
      </c>
      <c r="AS277" t="str">
        <f t="shared" si="1645"/>
        <v/>
      </c>
      <c r="AT277" t="str">
        <f t="shared" si="1646"/>
        <v/>
      </c>
      <c r="AU277" t="str">
        <f t="shared" si="1647"/>
        <v/>
      </c>
      <c r="AV277" t="str">
        <f t="shared" si="1648"/>
        <v/>
      </c>
      <c r="AW277" t="str">
        <f t="shared" si="1649"/>
        <v xml:space="preserve">                              </v>
      </c>
      <c r="AX277" s="23">
        <f t="shared" si="1650"/>
        <v>0</v>
      </c>
      <c r="AY277" s="49" t="str">
        <f t="shared" si="1626"/>
        <v>000000000000000</v>
      </c>
      <c r="AZ277" s="23">
        <f t="shared" si="1651"/>
        <v>0</v>
      </c>
      <c r="BA277" s="49" t="str">
        <f t="shared" si="1626"/>
        <v>000000000000000</v>
      </c>
      <c r="BB277" s="23">
        <f t="shared" si="1652"/>
        <v>0</v>
      </c>
      <c r="BC277" s="49" t="str">
        <f t="shared" ref="BC277" si="1713">IF(BB277&lt;0,SUBSTITUTE(TEXT(BB277,"000000000000,00"),",",""),SUBSTITUTE(TEXT(BB277,"0000000000000,00"),",",""))</f>
        <v>000000000000000</v>
      </c>
      <c r="BD277" s="23">
        <f t="shared" si="1654"/>
        <v>0</v>
      </c>
      <c r="BE277" s="49" t="str">
        <f t="shared" ref="BE277" si="1714">IF(BD277&lt;0,SUBSTITUTE(TEXT(BD277,"000000000000,00"),",",""),SUBSTITUTE(TEXT(BD277,"0000000000000,00"),",",""))</f>
        <v>000000000000000</v>
      </c>
      <c r="BF277" s="23">
        <f t="shared" si="1656"/>
        <v>0</v>
      </c>
      <c r="BG277" s="49" t="str">
        <f t="shared" ref="BG277" si="1715">IF(BF277&lt;0,SUBSTITUTE(TEXT(BF277,"000000000000,00"),",",""),SUBSTITUTE(TEXT(BF277,"0000000000000,00"),",",""))</f>
        <v>000000000000000</v>
      </c>
      <c r="BH277" s="23">
        <f t="shared" si="1658"/>
        <v>0</v>
      </c>
      <c r="BI277" s="49" t="str">
        <f t="shared" ref="BI277" si="1716">IF(BH277&lt;0,SUBSTITUTE(TEXT(BH277,"000000000000,00"),",",""),SUBSTITUTE(TEXT(BH277,"0000000000000,00"),",",""))</f>
        <v>000000000000000</v>
      </c>
      <c r="BJ277" s="23">
        <f t="shared" si="1660"/>
        <v>0</v>
      </c>
      <c r="BK277" s="49" t="str">
        <f t="shared" ref="BK277" si="1717">IF(BJ277&lt;0,SUBSTITUTE(TEXT(BJ277,"000000000000,00"),",",""),SUBSTITUTE(TEXT(BJ277,"0000000000000,00"),",",""))</f>
        <v>000000000000000</v>
      </c>
      <c r="BL277" s="23">
        <f t="shared" si="1662"/>
        <v>0</v>
      </c>
      <c r="BM277" s="49" t="str">
        <f t="shared" ref="BM277" si="1718">IF(BL277&lt;0,SUBSTITUTE(TEXT(BL277,"000000000000,00"),",",""),SUBSTITUTE(TEXT(BL277,"0000000000000,00"),",",""))</f>
        <v>000000000000000</v>
      </c>
      <c r="BN277" t="str">
        <f t="shared" si="1664"/>
        <v>PES</v>
      </c>
      <c r="BO277" t="str">
        <f t="shared" si="1665"/>
        <v>0001000000</v>
      </c>
      <c r="BP277">
        <f t="shared" si="1666"/>
        <v>0</v>
      </c>
      <c r="BQ277">
        <f t="shared" si="1667"/>
        <v>0</v>
      </c>
      <c r="BR277" s="23">
        <f t="shared" si="1668"/>
        <v>0</v>
      </c>
      <c r="BS277" s="49" t="str">
        <f t="shared" si="1633"/>
        <v>000000000000000</v>
      </c>
      <c r="BT277" t="str">
        <f t="shared" si="1669"/>
        <v>00000000</v>
      </c>
      <c r="BU277" s="23">
        <f t="shared" si="1670"/>
        <v>0</v>
      </c>
      <c r="BV277" s="49" t="str">
        <f t="shared" si="1634"/>
        <v/>
      </c>
      <c r="BW277" s="52" t="str">
        <f t="shared" si="1671"/>
        <v/>
      </c>
      <c r="BX277" s="23">
        <f t="shared" si="1672"/>
        <v>0</v>
      </c>
      <c r="BY277" s="49" t="str">
        <f t="shared" si="1635"/>
        <v/>
      </c>
      <c r="BZ277" s="23">
        <f t="shared" si="1673"/>
        <v>0</v>
      </c>
      <c r="CA277" s="49" t="str">
        <f t="shared" si="1636"/>
        <v/>
      </c>
      <c r="CB277" s="52" t="str">
        <f t="shared" si="1674"/>
        <v/>
      </c>
      <c r="CC277" s="23">
        <f t="shared" si="1675"/>
        <v>0</v>
      </c>
      <c r="CD277" s="49" t="str">
        <f t="shared" si="1637"/>
        <v/>
      </c>
      <c r="CE277" s="56" t="str">
        <f>IF(CF277="","",MAX(CE$10:$CE276)+1)</f>
        <v/>
      </c>
      <c r="CF277" t="str">
        <f t="shared" si="1676"/>
        <v/>
      </c>
      <c r="CG277" s="22" t="str">
        <f>IF(CH277="","",MAX($CG$10:CG276)+1)</f>
        <v/>
      </c>
      <c r="CH277" s="22" t="str">
        <f t="shared" si="1621"/>
        <v/>
      </c>
      <c r="CI277" s="22" t="str">
        <f>IF(CJ277="","",MAX($CI$10:CI276)+1)</f>
        <v/>
      </c>
      <c r="CJ277" s="22" t="str">
        <f t="shared" si="1622"/>
        <v/>
      </c>
    </row>
    <row r="278" spans="2:88" x14ac:dyDescent="0.25">
      <c r="B278" s="37"/>
      <c r="C278" s="3"/>
      <c r="D278" s="77" t="str">
        <f t="shared" si="1608"/>
        <v/>
      </c>
      <c r="E278" s="38"/>
      <c r="F278" s="38"/>
      <c r="G278" s="78">
        <f t="shared" si="1623"/>
        <v>0</v>
      </c>
      <c r="H278" s="3">
        <v>80</v>
      </c>
      <c r="I278" s="77" t="str">
        <f t="shared" si="1609"/>
        <v/>
      </c>
      <c r="J278" s="32"/>
      <c r="K278" s="3"/>
      <c r="L278" s="39"/>
      <c r="M278" s="39"/>
      <c r="N278" s="39"/>
      <c r="O278" s="39"/>
      <c r="P278" s="39"/>
      <c r="Q278" s="39"/>
      <c r="R278" s="39"/>
      <c r="S278" s="39"/>
      <c r="T278" s="3" t="s">
        <v>645</v>
      </c>
      <c r="U278" s="77" t="str">
        <f t="shared" si="1610"/>
        <v/>
      </c>
      <c r="V278" s="39">
        <v>1</v>
      </c>
      <c r="W278" s="79">
        <f t="shared" si="1624"/>
        <v>0</v>
      </c>
      <c r="X278" s="3">
        <v>0</v>
      </c>
      <c r="Y278" s="77" t="str">
        <f t="shared" si="1611"/>
        <v/>
      </c>
      <c r="Z278" s="3"/>
      <c r="AA278" s="37" t="str">
        <f t="shared" si="1625"/>
        <v/>
      </c>
      <c r="AC278" s="40"/>
      <c r="AD278" s="7"/>
      <c r="AE278" s="77" t="str">
        <f t="shared" si="1612"/>
        <v/>
      </c>
      <c r="AF278" s="81">
        <f t="shared" si="1638"/>
        <v>0</v>
      </c>
      <c r="AG278" s="40"/>
      <c r="AH278" s="7"/>
      <c r="AI278" s="77" t="str">
        <f t="shared" si="1613"/>
        <v/>
      </c>
      <c r="AJ278" s="81">
        <f t="shared" si="1639"/>
        <v>0</v>
      </c>
      <c r="AK278" s="83">
        <f t="shared" si="1640"/>
        <v>0</v>
      </c>
      <c r="AL278" s="83">
        <f t="shared" si="1641"/>
        <v>0</v>
      </c>
      <c r="AN278" s="43">
        <f t="shared" si="1614"/>
        <v>0</v>
      </c>
      <c r="AP278" t="str">
        <f t="shared" si="1642"/>
        <v/>
      </c>
      <c r="AQ278" t="str">
        <f t="shared" si="1643"/>
        <v/>
      </c>
      <c r="AR278" t="str">
        <f t="shared" si="1644"/>
        <v/>
      </c>
      <c r="AS278" t="str">
        <f t="shared" si="1645"/>
        <v/>
      </c>
      <c r="AT278" t="str">
        <f t="shared" si="1646"/>
        <v/>
      </c>
      <c r="AU278" t="str">
        <f t="shared" si="1647"/>
        <v/>
      </c>
      <c r="AV278" t="str">
        <f t="shared" si="1648"/>
        <v/>
      </c>
      <c r="AW278" t="str">
        <f t="shared" si="1649"/>
        <v xml:space="preserve">                              </v>
      </c>
      <c r="AX278" s="23">
        <f t="shared" si="1650"/>
        <v>0</v>
      </c>
      <c r="AY278" s="49" t="str">
        <f t="shared" si="1626"/>
        <v>000000000000000</v>
      </c>
      <c r="AZ278" s="23">
        <f t="shared" si="1651"/>
        <v>0</v>
      </c>
      <c r="BA278" s="49" t="str">
        <f t="shared" si="1626"/>
        <v>000000000000000</v>
      </c>
      <c r="BB278" s="23">
        <f t="shared" si="1652"/>
        <v>0</v>
      </c>
      <c r="BC278" s="49" t="str">
        <f t="shared" ref="BC278" si="1719">IF(BB278&lt;0,SUBSTITUTE(TEXT(BB278,"000000000000,00"),",",""),SUBSTITUTE(TEXT(BB278,"0000000000000,00"),",",""))</f>
        <v>000000000000000</v>
      </c>
      <c r="BD278" s="23">
        <f t="shared" si="1654"/>
        <v>0</v>
      </c>
      <c r="BE278" s="49" t="str">
        <f t="shared" ref="BE278" si="1720">IF(BD278&lt;0,SUBSTITUTE(TEXT(BD278,"000000000000,00"),",",""),SUBSTITUTE(TEXT(BD278,"0000000000000,00"),",",""))</f>
        <v>000000000000000</v>
      </c>
      <c r="BF278" s="23">
        <f t="shared" si="1656"/>
        <v>0</v>
      </c>
      <c r="BG278" s="49" t="str">
        <f t="shared" ref="BG278" si="1721">IF(BF278&lt;0,SUBSTITUTE(TEXT(BF278,"000000000000,00"),",",""),SUBSTITUTE(TEXT(BF278,"0000000000000,00"),",",""))</f>
        <v>000000000000000</v>
      </c>
      <c r="BH278" s="23">
        <f t="shared" si="1658"/>
        <v>0</v>
      </c>
      <c r="BI278" s="49" t="str">
        <f t="shared" ref="BI278" si="1722">IF(BH278&lt;0,SUBSTITUTE(TEXT(BH278,"000000000000,00"),",",""),SUBSTITUTE(TEXT(BH278,"0000000000000,00"),",",""))</f>
        <v>000000000000000</v>
      </c>
      <c r="BJ278" s="23">
        <f t="shared" si="1660"/>
        <v>0</v>
      </c>
      <c r="BK278" s="49" t="str">
        <f t="shared" ref="BK278" si="1723">IF(BJ278&lt;0,SUBSTITUTE(TEXT(BJ278,"000000000000,00"),",",""),SUBSTITUTE(TEXT(BJ278,"0000000000000,00"),",",""))</f>
        <v>000000000000000</v>
      </c>
      <c r="BL278" s="23">
        <f t="shared" si="1662"/>
        <v>0</v>
      </c>
      <c r="BM278" s="49" t="str">
        <f t="shared" ref="BM278" si="1724">IF(BL278&lt;0,SUBSTITUTE(TEXT(BL278,"000000000000,00"),",",""),SUBSTITUTE(TEXT(BL278,"0000000000000,00"),",",""))</f>
        <v>000000000000000</v>
      </c>
      <c r="BN278" t="str">
        <f t="shared" si="1664"/>
        <v>PES</v>
      </c>
      <c r="BO278" t="str">
        <f t="shared" si="1665"/>
        <v>0001000000</v>
      </c>
      <c r="BP278">
        <f t="shared" si="1666"/>
        <v>0</v>
      </c>
      <c r="BQ278">
        <f t="shared" si="1667"/>
        <v>0</v>
      </c>
      <c r="BR278" s="23">
        <f t="shared" si="1668"/>
        <v>0</v>
      </c>
      <c r="BS278" s="49" t="str">
        <f t="shared" si="1633"/>
        <v>000000000000000</v>
      </c>
      <c r="BT278" t="str">
        <f t="shared" si="1669"/>
        <v>00000000</v>
      </c>
      <c r="BU278" s="23">
        <f t="shared" si="1670"/>
        <v>0</v>
      </c>
      <c r="BV278" s="49" t="str">
        <f t="shared" si="1634"/>
        <v/>
      </c>
      <c r="BW278" s="52" t="str">
        <f t="shared" si="1671"/>
        <v/>
      </c>
      <c r="BX278" s="23">
        <f t="shared" si="1672"/>
        <v>0</v>
      </c>
      <c r="BY278" s="49" t="str">
        <f t="shared" si="1635"/>
        <v/>
      </c>
      <c r="BZ278" s="23">
        <f t="shared" si="1673"/>
        <v>0</v>
      </c>
      <c r="CA278" s="49" t="str">
        <f t="shared" si="1636"/>
        <v/>
      </c>
      <c r="CB278" s="52" t="str">
        <f t="shared" si="1674"/>
        <v/>
      </c>
      <c r="CC278" s="23">
        <f t="shared" si="1675"/>
        <v>0</v>
      </c>
      <c r="CD278" s="49" t="str">
        <f t="shared" si="1637"/>
        <v/>
      </c>
      <c r="CE278" s="56" t="str">
        <f>IF(CF278="","",MAX(CE$10:$CE277)+1)</f>
        <v/>
      </c>
      <c r="CF278" t="str">
        <f t="shared" si="1676"/>
        <v/>
      </c>
      <c r="CG278" s="22" t="str">
        <f>IF(CH278="","",MAX($CG$10:CG277)+1)</f>
        <v/>
      </c>
      <c r="CH278" s="22" t="str">
        <f t="shared" si="1621"/>
        <v/>
      </c>
      <c r="CI278" s="22" t="str">
        <f>IF(CJ278="","",MAX($CI$10:CI277)+1)</f>
        <v/>
      </c>
      <c r="CJ278" s="22" t="str">
        <f t="shared" si="1622"/>
        <v/>
      </c>
    </row>
    <row r="279" spans="2:88" x14ac:dyDescent="0.25">
      <c r="B279" s="37"/>
      <c r="C279" s="3"/>
      <c r="D279" s="77" t="str">
        <f t="shared" si="1608"/>
        <v/>
      </c>
      <c r="E279" s="38"/>
      <c r="F279" s="38"/>
      <c r="G279" s="78">
        <f t="shared" si="1623"/>
        <v>0</v>
      </c>
      <c r="H279" s="3">
        <v>80</v>
      </c>
      <c r="I279" s="77" t="str">
        <f t="shared" si="1609"/>
        <v/>
      </c>
      <c r="J279" s="32"/>
      <c r="K279" s="3"/>
      <c r="L279" s="39"/>
      <c r="M279" s="39"/>
      <c r="N279" s="39"/>
      <c r="O279" s="39"/>
      <c r="P279" s="39"/>
      <c r="Q279" s="39"/>
      <c r="R279" s="39"/>
      <c r="S279" s="39"/>
      <c r="T279" s="3" t="s">
        <v>645</v>
      </c>
      <c r="U279" s="77" t="str">
        <f t="shared" si="1610"/>
        <v/>
      </c>
      <c r="V279" s="39">
        <v>1</v>
      </c>
      <c r="W279" s="79">
        <f t="shared" si="1624"/>
        <v>0</v>
      </c>
      <c r="X279" s="3">
        <v>0</v>
      </c>
      <c r="Y279" s="77" t="str">
        <f t="shared" si="1611"/>
        <v/>
      </c>
      <c r="Z279" s="3"/>
      <c r="AA279" s="37" t="str">
        <f t="shared" si="1625"/>
        <v/>
      </c>
      <c r="AC279" s="40"/>
      <c r="AD279" s="7"/>
      <c r="AE279" s="77" t="str">
        <f t="shared" si="1612"/>
        <v/>
      </c>
      <c r="AF279" s="81">
        <f t="shared" si="1638"/>
        <v>0</v>
      </c>
      <c r="AG279" s="40"/>
      <c r="AH279" s="7"/>
      <c r="AI279" s="77" t="str">
        <f t="shared" si="1613"/>
        <v/>
      </c>
      <c r="AJ279" s="81">
        <f t="shared" si="1639"/>
        <v>0</v>
      </c>
      <c r="AK279" s="83">
        <f t="shared" si="1640"/>
        <v>0</v>
      </c>
      <c r="AL279" s="83">
        <f t="shared" si="1641"/>
        <v>0</v>
      </c>
      <c r="AN279" s="43">
        <f t="shared" si="1614"/>
        <v>0</v>
      </c>
      <c r="AP279" t="str">
        <f t="shared" si="1642"/>
        <v/>
      </c>
      <c r="AQ279" t="str">
        <f t="shared" si="1643"/>
        <v/>
      </c>
      <c r="AR279" t="str">
        <f t="shared" si="1644"/>
        <v/>
      </c>
      <c r="AS279" t="str">
        <f t="shared" si="1645"/>
        <v/>
      </c>
      <c r="AT279" t="str">
        <f t="shared" si="1646"/>
        <v/>
      </c>
      <c r="AU279" t="str">
        <f t="shared" si="1647"/>
        <v/>
      </c>
      <c r="AV279" t="str">
        <f t="shared" si="1648"/>
        <v/>
      </c>
      <c r="AW279" t="str">
        <f t="shared" si="1649"/>
        <v xml:space="preserve">                              </v>
      </c>
      <c r="AX279" s="23">
        <f t="shared" si="1650"/>
        <v>0</v>
      </c>
      <c r="AY279" s="49" t="str">
        <f t="shared" si="1626"/>
        <v>000000000000000</v>
      </c>
      <c r="AZ279" s="23">
        <f t="shared" si="1651"/>
        <v>0</v>
      </c>
      <c r="BA279" s="49" t="str">
        <f t="shared" si="1626"/>
        <v>000000000000000</v>
      </c>
      <c r="BB279" s="23">
        <f t="shared" si="1652"/>
        <v>0</v>
      </c>
      <c r="BC279" s="49" t="str">
        <f t="shared" ref="BC279" si="1725">IF(BB279&lt;0,SUBSTITUTE(TEXT(BB279,"000000000000,00"),",",""),SUBSTITUTE(TEXT(BB279,"0000000000000,00"),",",""))</f>
        <v>000000000000000</v>
      </c>
      <c r="BD279" s="23">
        <f t="shared" si="1654"/>
        <v>0</v>
      </c>
      <c r="BE279" s="49" t="str">
        <f t="shared" ref="BE279" si="1726">IF(BD279&lt;0,SUBSTITUTE(TEXT(BD279,"000000000000,00"),",",""),SUBSTITUTE(TEXT(BD279,"0000000000000,00"),",",""))</f>
        <v>000000000000000</v>
      </c>
      <c r="BF279" s="23">
        <f t="shared" si="1656"/>
        <v>0</v>
      </c>
      <c r="BG279" s="49" t="str">
        <f t="shared" ref="BG279" si="1727">IF(BF279&lt;0,SUBSTITUTE(TEXT(BF279,"000000000000,00"),",",""),SUBSTITUTE(TEXT(BF279,"0000000000000,00"),",",""))</f>
        <v>000000000000000</v>
      </c>
      <c r="BH279" s="23">
        <f t="shared" si="1658"/>
        <v>0</v>
      </c>
      <c r="BI279" s="49" t="str">
        <f t="shared" ref="BI279" si="1728">IF(BH279&lt;0,SUBSTITUTE(TEXT(BH279,"000000000000,00"),",",""),SUBSTITUTE(TEXT(BH279,"0000000000000,00"),",",""))</f>
        <v>000000000000000</v>
      </c>
      <c r="BJ279" s="23">
        <f t="shared" si="1660"/>
        <v>0</v>
      </c>
      <c r="BK279" s="49" t="str">
        <f t="shared" ref="BK279" si="1729">IF(BJ279&lt;0,SUBSTITUTE(TEXT(BJ279,"000000000000,00"),",",""),SUBSTITUTE(TEXT(BJ279,"0000000000000,00"),",",""))</f>
        <v>000000000000000</v>
      </c>
      <c r="BL279" s="23">
        <f t="shared" si="1662"/>
        <v>0</v>
      </c>
      <c r="BM279" s="49" t="str">
        <f t="shared" ref="BM279" si="1730">IF(BL279&lt;0,SUBSTITUTE(TEXT(BL279,"000000000000,00"),",",""),SUBSTITUTE(TEXT(BL279,"0000000000000,00"),",",""))</f>
        <v>000000000000000</v>
      </c>
      <c r="BN279" t="str">
        <f t="shared" si="1664"/>
        <v>PES</v>
      </c>
      <c r="BO279" t="str">
        <f t="shared" si="1665"/>
        <v>0001000000</v>
      </c>
      <c r="BP279">
        <f t="shared" si="1666"/>
        <v>0</v>
      </c>
      <c r="BQ279">
        <f t="shared" si="1667"/>
        <v>0</v>
      </c>
      <c r="BR279" s="23">
        <f t="shared" si="1668"/>
        <v>0</v>
      </c>
      <c r="BS279" s="49" t="str">
        <f t="shared" si="1633"/>
        <v>000000000000000</v>
      </c>
      <c r="BT279" t="str">
        <f t="shared" si="1669"/>
        <v>00000000</v>
      </c>
      <c r="BU279" s="23">
        <f t="shared" si="1670"/>
        <v>0</v>
      </c>
      <c r="BV279" s="49" t="str">
        <f t="shared" si="1634"/>
        <v/>
      </c>
      <c r="BW279" s="52" t="str">
        <f t="shared" si="1671"/>
        <v/>
      </c>
      <c r="BX279" s="23">
        <f t="shared" si="1672"/>
        <v>0</v>
      </c>
      <c r="BY279" s="49" t="str">
        <f t="shared" si="1635"/>
        <v/>
      </c>
      <c r="BZ279" s="23">
        <f t="shared" si="1673"/>
        <v>0</v>
      </c>
      <c r="CA279" s="49" t="str">
        <f t="shared" si="1636"/>
        <v/>
      </c>
      <c r="CB279" s="52" t="str">
        <f t="shared" si="1674"/>
        <v/>
      </c>
      <c r="CC279" s="23">
        <f t="shared" si="1675"/>
        <v>0</v>
      </c>
      <c r="CD279" s="49" t="str">
        <f t="shared" si="1637"/>
        <v/>
      </c>
      <c r="CE279" s="56" t="str">
        <f>IF(CF279="","",MAX(CE$10:$CE278)+1)</f>
        <v/>
      </c>
      <c r="CF279" t="str">
        <f t="shared" si="1676"/>
        <v/>
      </c>
      <c r="CG279" s="22" t="str">
        <f>IF(CH279="","",MAX($CG$10:CG278)+1)</f>
        <v/>
      </c>
      <c r="CH279" s="22" t="str">
        <f t="shared" si="1621"/>
        <v/>
      </c>
      <c r="CI279" s="22" t="str">
        <f>IF(CJ279="","",MAX($CI$10:CI278)+1)</f>
        <v/>
      </c>
      <c r="CJ279" s="22" t="str">
        <f t="shared" si="1622"/>
        <v/>
      </c>
    </row>
    <row r="280" spans="2:88" x14ac:dyDescent="0.25">
      <c r="B280" s="37"/>
      <c r="C280" s="3"/>
      <c r="D280" s="77" t="str">
        <f t="shared" si="1608"/>
        <v/>
      </c>
      <c r="E280" s="38"/>
      <c r="F280" s="38"/>
      <c r="G280" s="78">
        <f t="shared" si="1623"/>
        <v>0</v>
      </c>
      <c r="H280" s="3">
        <v>80</v>
      </c>
      <c r="I280" s="77" t="str">
        <f t="shared" si="1609"/>
        <v/>
      </c>
      <c r="J280" s="32"/>
      <c r="K280" s="3"/>
      <c r="L280" s="39"/>
      <c r="M280" s="39"/>
      <c r="N280" s="39"/>
      <c r="O280" s="39"/>
      <c r="P280" s="39"/>
      <c r="Q280" s="39"/>
      <c r="R280" s="39"/>
      <c r="S280" s="39"/>
      <c r="T280" s="3" t="s">
        <v>645</v>
      </c>
      <c r="U280" s="77" t="str">
        <f t="shared" si="1610"/>
        <v/>
      </c>
      <c r="V280" s="39">
        <v>1</v>
      </c>
      <c r="W280" s="79">
        <f t="shared" si="1624"/>
        <v>0</v>
      </c>
      <c r="X280" s="3">
        <v>0</v>
      </c>
      <c r="Y280" s="77" t="str">
        <f t="shared" si="1611"/>
        <v/>
      </c>
      <c r="Z280" s="3"/>
      <c r="AA280" s="37" t="str">
        <f t="shared" si="1625"/>
        <v/>
      </c>
      <c r="AC280" s="40"/>
      <c r="AD280" s="7"/>
      <c r="AE280" s="77" t="str">
        <f t="shared" si="1612"/>
        <v/>
      </c>
      <c r="AF280" s="81">
        <f t="shared" si="1638"/>
        <v>0</v>
      </c>
      <c r="AG280" s="40"/>
      <c r="AH280" s="7"/>
      <c r="AI280" s="77" t="str">
        <f t="shared" si="1613"/>
        <v/>
      </c>
      <c r="AJ280" s="81">
        <f t="shared" si="1639"/>
        <v>0</v>
      </c>
      <c r="AK280" s="83">
        <f t="shared" si="1640"/>
        <v>0</v>
      </c>
      <c r="AL280" s="83">
        <f t="shared" si="1641"/>
        <v>0</v>
      </c>
      <c r="AN280" s="43">
        <f t="shared" si="1614"/>
        <v>0</v>
      </c>
      <c r="AP280" t="str">
        <f t="shared" si="1642"/>
        <v/>
      </c>
      <c r="AQ280" t="str">
        <f t="shared" si="1643"/>
        <v/>
      </c>
      <c r="AR280" t="str">
        <f t="shared" si="1644"/>
        <v/>
      </c>
      <c r="AS280" t="str">
        <f t="shared" si="1645"/>
        <v/>
      </c>
      <c r="AT280" t="str">
        <f t="shared" si="1646"/>
        <v/>
      </c>
      <c r="AU280" t="str">
        <f t="shared" si="1647"/>
        <v/>
      </c>
      <c r="AV280" t="str">
        <f t="shared" si="1648"/>
        <v/>
      </c>
      <c r="AW280" t="str">
        <f t="shared" si="1649"/>
        <v xml:space="preserve">                              </v>
      </c>
      <c r="AX280" s="23">
        <f t="shared" si="1650"/>
        <v>0</v>
      </c>
      <c r="AY280" s="49" t="str">
        <f t="shared" si="1626"/>
        <v>000000000000000</v>
      </c>
      <c r="AZ280" s="23">
        <f t="shared" si="1651"/>
        <v>0</v>
      </c>
      <c r="BA280" s="49" t="str">
        <f t="shared" si="1626"/>
        <v>000000000000000</v>
      </c>
      <c r="BB280" s="23">
        <f t="shared" si="1652"/>
        <v>0</v>
      </c>
      <c r="BC280" s="49" t="str">
        <f t="shared" ref="BC280" si="1731">IF(BB280&lt;0,SUBSTITUTE(TEXT(BB280,"000000000000,00"),",",""),SUBSTITUTE(TEXT(BB280,"0000000000000,00"),",",""))</f>
        <v>000000000000000</v>
      </c>
      <c r="BD280" s="23">
        <f t="shared" si="1654"/>
        <v>0</v>
      </c>
      <c r="BE280" s="49" t="str">
        <f t="shared" ref="BE280" si="1732">IF(BD280&lt;0,SUBSTITUTE(TEXT(BD280,"000000000000,00"),",",""),SUBSTITUTE(TEXT(BD280,"0000000000000,00"),",",""))</f>
        <v>000000000000000</v>
      </c>
      <c r="BF280" s="23">
        <f t="shared" si="1656"/>
        <v>0</v>
      </c>
      <c r="BG280" s="49" t="str">
        <f t="shared" ref="BG280" si="1733">IF(BF280&lt;0,SUBSTITUTE(TEXT(BF280,"000000000000,00"),",",""),SUBSTITUTE(TEXT(BF280,"0000000000000,00"),",",""))</f>
        <v>000000000000000</v>
      </c>
      <c r="BH280" s="23">
        <f t="shared" si="1658"/>
        <v>0</v>
      </c>
      <c r="BI280" s="49" t="str">
        <f t="shared" ref="BI280" si="1734">IF(BH280&lt;0,SUBSTITUTE(TEXT(BH280,"000000000000,00"),",",""),SUBSTITUTE(TEXT(BH280,"0000000000000,00"),",",""))</f>
        <v>000000000000000</v>
      </c>
      <c r="BJ280" s="23">
        <f t="shared" si="1660"/>
        <v>0</v>
      </c>
      <c r="BK280" s="49" t="str">
        <f t="shared" ref="BK280" si="1735">IF(BJ280&lt;0,SUBSTITUTE(TEXT(BJ280,"000000000000,00"),",",""),SUBSTITUTE(TEXT(BJ280,"0000000000000,00"),",",""))</f>
        <v>000000000000000</v>
      </c>
      <c r="BL280" s="23">
        <f t="shared" si="1662"/>
        <v>0</v>
      </c>
      <c r="BM280" s="49" t="str">
        <f t="shared" ref="BM280" si="1736">IF(BL280&lt;0,SUBSTITUTE(TEXT(BL280,"000000000000,00"),",",""),SUBSTITUTE(TEXT(BL280,"0000000000000,00"),",",""))</f>
        <v>000000000000000</v>
      </c>
      <c r="BN280" t="str">
        <f t="shared" si="1664"/>
        <v>PES</v>
      </c>
      <c r="BO280" t="str">
        <f t="shared" si="1665"/>
        <v>0001000000</v>
      </c>
      <c r="BP280">
        <f t="shared" si="1666"/>
        <v>0</v>
      </c>
      <c r="BQ280">
        <f t="shared" si="1667"/>
        <v>0</v>
      </c>
      <c r="BR280" s="23">
        <f t="shared" si="1668"/>
        <v>0</v>
      </c>
      <c r="BS280" s="49" t="str">
        <f t="shared" si="1633"/>
        <v>000000000000000</v>
      </c>
      <c r="BT280" t="str">
        <f t="shared" si="1669"/>
        <v>00000000</v>
      </c>
      <c r="BU280" s="23">
        <f t="shared" si="1670"/>
        <v>0</v>
      </c>
      <c r="BV280" s="49" t="str">
        <f t="shared" si="1634"/>
        <v/>
      </c>
      <c r="BW280" s="52" t="str">
        <f t="shared" si="1671"/>
        <v/>
      </c>
      <c r="BX280" s="23">
        <f t="shared" si="1672"/>
        <v>0</v>
      </c>
      <c r="BY280" s="49" t="str">
        <f t="shared" si="1635"/>
        <v/>
      </c>
      <c r="BZ280" s="23">
        <f t="shared" si="1673"/>
        <v>0</v>
      </c>
      <c r="CA280" s="49" t="str">
        <f t="shared" si="1636"/>
        <v/>
      </c>
      <c r="CB280" s="52" t="str">
        <f t="shared" si="1674"/>
        <v/>
      </c>
      <c r="CC280" s="23">
        <f t="shared" si="1675"/>
        <v>0</v>
      </c>
      <c r="CD280" s="49" t="str">
        <f t="shared" si="1637"/>
        <v/>
      </c>
      <c r="CE280" s="56" t="str">
        <f>IF(CF280="","",MAX(CE$10:$CE279)+1)</f>
        <v/>
      </c>
      <c r="CF280" t="str">
        <f t="shared" si="1676"/>
        <v/>
      </c>
      <c r="CG280" s="22" t="str">
        <f>IF(CH280="","",MAX($CG$10:CG279)+1)</f>
        <v/>
      </c>
      <c r="CH280" s="22" t="str">
        <f t="shared" si="1621"/>
        <v/>
      </c>
      <c r="CI280" s="22" t="str">
        <f>IF(CJ280="","",MAX($CI$10:CI279)+1)</f>
        <v/>
      </c>
      <c r="CJ280" s="22" t="str">
        <f t="shared" si="1622"/>
        <v/>
      </c>
    </row>
    <row r="281" spans="2:88" x14ac:dyDescent="0.25">
      <c r="B281" s="37"/>
      <c r="C281" s="3"/>
      <c r="D281" s="77" t="str">
        <f t="shared" si="1608"/>
        <v/>
      </c>
      <c r="E281" s="38"/>
      <c r="F281" s="38"/>
      <c r="G281" s="78">
        <f t="shared" si="1623"/>
        <v>0</v>
      </c>
      <c r="H281" s="3">
        <v>80</v>
      </c>
      <c r="I281" s="77" t="str">
        <f t="shared" si="1609"/>
        <v/>
      </c>
      <c r="J281" s="32"/>
      <c r="K281" s="3"/>
      <c r="L281" s="39"/>
      <c r="M281" s="39"/>
      <c r="N281" s="39"/>
      <c r="O281" s="39"/>
      <c r="P281" s="39"/>
      <c r="Q281" s="39"/>
      <c r="R281" s="39"/>
      <c r="S281" s="39"/>
      <c r="T281" s="3" t="s">
        <v>645</v>
      </c>
      <c r="U281" s="77" t="str">
        <f t="shared" si="1610"/>
        <v/>
      </c>
      <c r="V281" s="39">
        <v>1</v>
      </c>
      <c r="W281" s="79">
        <f t="shared" si="1624"/>
        <v>0</v>
      </c>
      <c r="X281" s="3">
        <v>0</v>
      </c>
      <c r="Y281" s="77" t="str">
        <f t="shared" si="1611"/>
        <v/>
      </c>
      <c r="Z281" s="3"/>
      <c r="AA281" s="37" t="str">
        <f t="shared" si="1625"/>
        <v/>
      </c>
      <c r="AC281" s="40"/>
      <c r="AD281" s="7"/>
      <c r="AE281" s="77" t="str">
        <f t="shared" si="1612"/>
        <v/>
      </c>
      <c r="AF281" s="81">
        <f t="shared" si="1638"/>
        <v>0</v>
      </c>
      <c r="AG281" s="40"/>
      <c r="AH281" s="7"/>
      <c r="AI281" s="77" t="str">
        <f t="shared" si="1613"/>
        <v/>
      </c>
      <c r="AJ281" s="81">
        <f t="shared" si="1639"/>
        <v>0</v>
      </c>
      <c r="AK281" s="83">
        <f t="shared" si="1640"/>
        <v>0</v>
      </c>
      <c r="AL281" s="83">
        <f t="shared" si="1641"/>
        <v>0</v>
      </c>
      <c r="AN281" s="43">
        <f t="shared" si="1614"/>
        <v>0</v>
      </c>
      <c r="AP281" t="str">
        <f t="shared" si="1642"/>
        <v/>
      </c>
      <c r="AQ281" t="str">
        <f t="shared" si="1643"/>
        <v/>
      </c>
      <c r="AR281" t="str">
        <f t="shared" si="1644"/>
        <v/>
      </c>
      <c r="AS281" t="str">
        <f t="shared" si="1645"/>
        <v/>
      </c>
      <c r="AT281" t="str">
        <f t="shared" si="1646"/>
        <v/>
      </c>
      <c r="AU281" t="str">
        <f t="shared" si="1647"/>
        <v/>
      </c>
      <c r="AV281" t="str">
        <f t="shared" si="1648"/>
        <v/>
      </c>
      <c r="AW281" t="str">
        <f t="shared" si="1649"/>
        <v xml:space="preserve">                              </v>
      </c>
      <c r="AX281" s="23">
        <f t="shared" si="1650"/>
        <v>0</v>
      </c>
      <c r="AY281" s="49" t="str">
        <f t="shared" si="1626"/>
        <v>000000000000000</v>
      </c>
      <c r="AZ281" s="23">
        <f t="shared" si="1651"/>
        <v>0</v>
      </c>
      <c r="BA281" s="49" t="str">
        <f t="shared" si="1626"/>
        <v>000000000000000</v>
      </c>
      <c r="BB281" s="23">
        <f t="shared" si="1652"/>
        <v>0</v>
      </c>
      <c r="BC281" s="49" t="str">
        <f t="shared" ref="BC281" si="1737">IF(BB281&lt;0,SUBSTITUTE(TEXT(BB281,"000000000000,00"),",",""),SUBSTITUTE(TEXT(BB281,"0000000000000,00"),",",""))</f>
        <v>000000000000000</v>
      </c>
      <c r="BD281" s="23">
        <f t="shared" si="1654"/>
        <v>0</v>
      </c>
      <c r="BE281" s="49" t="str">
        <f t="shared" ref="BE281" si="1738">IF(BD281&lt;0,SUBSTITUTE(TEXT(BD281,"000000000000,00"),",",""),SUBSTITUTE(TEXT(BD281,"0000000000000,00"),",",""))</f>
        <v>000000000000000</v>
      </c>
      <c r="BF281" s="23">
        <f t="shared" si="1656"/>
        <v>0</v>
      </c>
      <c r="BG281" s="49" t="str">
        <f t="shared" ref="BG281" si="1739">IF(BF281&lt;0,SUBSTITUTE(TEXT(BF281,"000000000000,00"),",",""),SUBSTITUTE(TEXT(BF281,"0000000000000,00"),",",""))</f>
        <v>000000000000000</v>
      </c>
      <c r="BH281" s="23">
        <f t="shared" si="1658"/>
        <v>0</v>
      </c>
      <c r="BI281" s="49" t="str">
        <f t="shared" ref="BI281" si="1740">IF(BH281&lt;0,SUBSTITUTE(TEXT(BH281,"000000000000,00"),",",""),SUBSTITUTE(TEXT(BH281,"0000000000000,00"),",",""))</f>
        <v>000000000000000</v>
      </c>
      <c r="BJ281" s="23">
        <f t="shared" si="1660"/>
        <v>0</v>
      </c>
      <c r="BK281" s="49" t="str">
        <f t="shared" ref="BK281" si="1741">IF(BJ281&lt;0,SUBSTITUTE(TEXT(BJ281,"000000000000,00"),",",""),SUBSTITUTE(TEXT(BJ281,"0000000000000,00"),",",""))</f>
        <v>000000000000000</v>
      </c>
      <c r="BL281" s="23">
        <f t="shared" si="1662"/>
        <v>0</v>
      </c>
      <c r="BM281" s="49" t="str">
        <f t="shared" ref="BM281" si="1742">IF(BL281&lt;0,SUBSTITUTE(TEXT(BL281,"000000000000,00"),",",""),SUBSTITUTE(TEXT(BL281,"0000000000000,00"),",",""))</f>
        <v>000000000000000</v>
      </c>
      <c r="BN281" t="str">
        <f t="shared" si="1664"/>
        <v>PES</v>
      </c>
      <c r="BO281" t="str">
        <f t="shared" si="1665"/>
        <v>0001000000</v>
      </c>
      <c r="BP281">
        <f t="shared" si="1666"/>
        <v>0</v>
      </c>
      <c r="BQ281">
        <f t="shared" si="1667"/>
        <v>0</v>
      </c>
      <c r="BR281" s="23">
        <f t="shared" si="1668"/>
        <v>0</v>
      </c>
      <c r="BS281" s="49" t="str">
        <f t="shared" si="1633"/>
        <v>000000000000000</v>
      </c>
      <c r="BT281" t="str">
        <f t="shared" si="1669"/>
        <v>00000000</v>
      </c>
      <c r="BU281" s="23">
        <f t="shared" si="1670"/>
        <v>0</v>
      </c>
      <c r="BV281" s="49" t="str">
        <f t="shared" si="1634"/>
        <v/>
      </c>
      <c r="BW281" s="52" t="str">
        <f t="shared" si="1671"/>
        <v/>
      </c>
      <c r="BX281" s="23">
        <f t="shared" si="1672"/>
        <v>0</v>
      </c>
      <c r="BY281" s="49" t="str">
        <f t="shared" si="1635"/>
        <v/>
      </c>
      <c r="BZ281" s="23">
        <f t="shared" si="1673"/>
        <v>0</v>
      </c>
      <c r="CA281" s="49" t="str">
        <f t="shared" si="1636"/>
        <v/>
      </c>
      <c r="CB281" s="52" t="str">
        <f t="shared" si="1674"/>
        <v/>
      </c>
      <c r="CC281" s="23">
        <f t="shared" si="1675"/>
        <v>0</v>
      </c>
      <c r="CD281" s="49" t="str">
        <f t="shared" si="1637"/>
        <v/>
      </c>
      <c r="CE281" s="56" t="str">
        <f>IF(CF281="","",MAX(CE$10:$CE280)+1)</f>
        <v/>
      </c>
      <c r="CF281" t="str">
        <f t="shared" si="1676"/>
        <v/>
      </c>
      <c r="CG281" s="22" t="str">
        <f>IF(CH281="","",MAX($CG$10:CG280)+1)</f>
        <v/>
      </c>
      <c r="CH281" s="22" t="str">
        <f t="shared" si="1621"/>
        <v/>
      </c>
      <c r="CI281" s="22" t="str">
        <f>IF(CJ281="","",MAX($CI$10:CI280)+1)</f>
        <v/>
      </c>
      <c r="CJ281" s="22" t="str">
        <f t="shared" si="1622"/>
        <v/>
      </c>
    </row>
    <row r="282" spans="2:88" x14ac:dyDescent="0.25">
      <c r="B282" s="37"/>
      <c r="C282" s="3"/>
      <c r="D282" s="77" t="str">
        <f t="shared" si="1608"/>
        <v/>
      </c>
      <c r="E282" s="38"/>
      <c r="F282" s="38"/>
      <c r="G282" s="78">
        <f t="shared" si="1623"/>
        <v>0</v>
      </c>
      <c r="H282" s="3">
        <v>80</v>
      </c>
      <c r="I282" s="77" t="str">
        <f t="shared" si="1609"/>
        <v/>
      </c>
      <c r="J282" s="32"/>
      <c r="K282" s="3"/>
      <c r="L282" s="39"/>
      <c r="M282" s="39"/>
      <c r="N282" s="39"/>
      <c r="O282" s="39"/>
      <c r="P282" s="39"/>
      <c r="Q282" s="39"/>
      <c r="R282" s="39"/>
      <c r="S282" s="39"/>
      <c r="T282" s="3" t="s">
        <v>645</v>
      </c>
      <c r="U282" s="77" t="str">
        <f t="shared" si="1610"/>
        <v/>
      </c>
      <c r="V282" s="39">
        <v>1</v>
      </c>
      <c r="W282" s="79">
        <f t="shared" si="1624"/>
        <v>0</v>
      </c>
      <c r="X282" s="3">
        <v>0</v>
      </c>
      <c r="Y282" s="77" t="str">
        <f t="shared" si="1611"/>
        <v/>
      </c>
      <c r="Z282" s="3"/>
      <c r="AA282" s="37" t="str">
        <f t="shared" si="1625"/>
        <v/>
      </c>
      <c r="AC282" s="40"/>
      <c r="AD282" s="7"/>
      <c r="AE282" s="77" t="str">
        <f t="shared" si="1612"/>
        <v/>
      </c>
      <c r="AF282" s="81">
        <f t="shared" si="1638"/>
        <v>0</v>
      </c>
      <c r="AG282" s="40"/>
      <c r="AH282" s="7"/>
      <c r="AI282" s="77" t="str">
        <f t="shared" si="1613"/>
        <v/>
      </c>
      <c r="AJ282" s="81">
        <f t="shared" si="1639"/>
        <v>0</v>
      </c>
      <c r="AK282" s="83">
        <f t="shared" si="1640"/>
        <v>0</v>
      </c>
      <c r="AL282" s="83">
        <f t="shared" si="1641"/>
        <v>0</v>
      </c>
      <c r="AN282" s="43">
        <f t="shared" si="1614"/>
        <v>0</v>
      </c>
      <c r="AP282" t="str">
        <f t="shared" si="1642"/>
        <v/>
      </c>
      <c r="AQ282" t="str">
        <f t="shared" si="1643"/>
        <v/>
      </c>
      <c r="AR282" t="str">
        <f t="shared" si="1644"/>
        <v/>
      </c>
      <c r="AS282" t="str">
        <f t="shared" si="1645"/>
        <v/>
      </c>
      <c r="AT282" t="str">
        <f t="shared" si="1646"/>
        <v/>
      </c>
      <c r="AU282" t="str">
        <f t="shared" si="1647"/>
        <v/>
      </c>
      <c r="AV282" t="str">
        <f t="shared" si="1648"/>
        <v/>
      </c>
      <c r="AW282" t="str">
        <f t="shared" si="1649"/>
        <v xml:space="preserve">                              </v>
      </c>
      <c r="AX282" s="23">
        <f t="shared" si="1650"/>
        <v>0</v>
      </c>
      <c r="AY282" s="49" t="str">
        <f t="shared" si="1626"/>
        <v>000000000000000</v>
      </c>
      <c r="AZ282" s="23">
        <f t="shared" si="1651"/>
        <v>0</v>
      </c>
      <c r="BA282" s="49" t="str">
        <f t="shared" si="1626"/>
        <v>000000000000000</v>
      </c>
      <c r="BB282" s="23">
        <f t="shared" si="1652"/>
        <v>0</v>
      </c>
      <c r="BC282" s="49" t="str">
        <f t="shared" ref="BC282" si="1743">IF(BB282&lt;0,SUBSTITUTE(TEXT(BB282,"000000000000,00"),",",""),SUBSTITUTE(TEXT(BB282,"0000000000000,00"),",",""))</f>
        <v>000000000000000</v>
      </c>
      <c r="BD282" s="23">
        <f t="shared" si="1654"/>
        <v>0</v>
      </c>
      <c r="BE282" s="49" t="str">
        <f t="shared" ref="BE282" si="1744">IF(BD282&lt;0,SUBSTITUTE(TEXT(BD282,"000000000000,00"),",",""),SUBSTITUTE(TEXT(BD282,"0000000000000,00"),",",""))</f>
        <v>000000000000000</v>
      </c>
      <c r="BF282" s="23">
        <f t="shared" si="1656"/>
        <v>0</v>
      </c>
      <c r="BG282" s="49" t="str">
        <f t="shared" ref="BG282" si="1745">IF(BF282&lt;0,SUBSTITUTE(TEXT(BF282,"000000000000,00"),",",""),SUBSTITUTE(TEXT(BF282,"0000000000000,00"),",",""))</f>
        <v>000000000000000</v>
      </c>
      <c r="BH282" s="23">
        <f t="shared" si="1658"/>
        <v>0</v>
      </c>
      <c r="BI282" s="49" t="str">
        <f t="shared" ref="BI282" si="1746">IF(BH282&lt;0,SUBSTITUTE(TEXT(BH282,"000000000000,00"),",",""),SUBSTITUTE(TEXT(BH282,"0000000000000,00"),",",""))</f>
        <v>000000000000000</v>
      </c>
      <c r="BJ282" s="23">
        <f t="shared" si="1660"/>
        <v>0</v>
      </c>
      <c r="BK282" s="49" t="str">
        <f t="shared" ref="BK282" si="1747">IF(BJ282&lt;0,SUBSTITUTE(TEXT(BJ282,"000000000000,00"),",",""),SUBSTITUTE(TEXT(BJ282,"0000000000000,00"),",",""))</f>
        <v>000000000000000</v>
      </c>
      <c r="BL282" s="23">
        <f t="shared" si="1662"/>
        <v>0</v>
      </c>
      <c r="BM282" s="49" t="str">
        <f t="shared" ref="BM282" si="1748">IF(BL282&lt;0,SUBSTITUTE(TEXT(BL282,"000000000000,00"),",",""),SUBSTITUTE(TEXT(BL282,"0000000000000,00"),",",""))</f>
        <v>000000000000000</v>
      </c>
      <c r="BN282" t="str">
        <f t="shared" si="1664"/>
        <v>PES</v>
      </c>
      <c r="BO282" t="str">
        <f t="shared" si="1665"/>
        <v>0001000000</v>
      </c>
      <c r="BP282">
        <f t="shared" si="1666"/>
        <v>0</v>
      </c>
      <c r="BQ282">
        <f t="shared" si="1667"/>
        <v>0</v>
      </c>
      <c r="BR282" s="23">
        <f t="shared" si="1668"/>
        <v>0</v>
      </c>
      <c r="BS282" s="49" t="str">
        <f t="shared" si="1633"/>
        <v>000000000000000</v>
      </c>
      <c r="BT282" t="str">
        <f t="shared" si="1669"/>
        <v>00000000</v>
      </c>
      <c r="BU282" s="23">
        <f t="shared" si="1670"/>
        <v>0</v>
      </c>
      <c r="BV282" s="49" t="str">
        <f t="shared" si="1634"/>
        <v/>
      </c>
      <c r="BW282" s="52" t="str">
        <f t="shared" si="1671"/>
        <v/>
      </c>
      <c r="BX282" s="23">
        <f t="shared" si="1672"/>
        <v>0</v>
      </c>
      <c r="BY282" s="49" t="str">
        <f t="shared" si="1635"/>
        <v/>
      </c>
      <c r="BZ282" s="23">
        <f t="shared" si="1673"/>
        <v>0</v>
      </c>
      <c r="CA282" s="49" t="str">
        <f t="shared" si="1636"/>
        <v/>
      </c>
      <c r="CB282" s="52" t="str">
        <f t="shared" si="1674"/>
        <v/>
      </c>
      <c r="CC282" s="23">
        <f t="shared" si="1675"/>
        <v>0</v>
      </c>
      <c r="CD282" s="49" t="str">
        <f t="shared" si="1637"/>
        <v/>
      </c>
      <c r="CE282" s="56" t="str">
        <f>IF(CF282="","",MAX(CE$10:$CE281)+1)</f>
        <v/>
      </c>
      <c r="CF282" t="str">
        <f t="shared" si="1676"/>
        <v/>
      </c>
      <c r="CG282" s="22" t="str">
        <f>IF(CH282="","",MAX($CG$10:CG281)+1)</f>
        <v/>
      </c>
      <c r="CH282" s="22" t="str">
        <f t="shared" si="1621"/>
        <v/>
      </c>
      <c r="CI282" s="22" t="str">
        <f>IF(CJ282="","",MAX($CI$10:CI281)+1)</f>
        <v/>
      </c>
      <c r="CJ282" s="22" t="str">
        <f t="shared" si="1622"/>
        <v/>
      </c>
    </row>
    <row r="283" spans="2:88" x14ac:dyDescent="0.25">
      <c r="B283" s="37"/>
      <c r="C283" s="3"/>
      <c r="D283" s="77" t="str">
        <f t="shared" si="1608"/>
        <v/>
      </c>
      <c r="E283" s="38"/>
      <c r="F283" s="38"/>
      <c r="G283" s="78">
        <f t="shared" si="1623"/>
        <v>0</v>
      </c>
      <c r="H283" s="3">
        <v>80</v>
      </c>
      <c r="I283" s="77" t="str">
        <f t="shared" si="1609"/>
        <v/>
      </c>
      <c r="J283" s="32"/>
      <c r="K283" s="3"/>
      <c r="L283" s="39"/>
      <c r="M283" s="39"/>
      <c r="N283" s="39"/>
      <c r="O283" s="39"/>
      <c r="P283" s="39"/>
      <c r="Q283" s="39"/>
      <c r="R283" s="39"/>
      <c r="S283" s="39"/>
      <c r="T283" s="3" t="s">
        <v>645</v>
      </c>
      <c r="U283" s="77" t="str">
        <f t="shared" si="1610"/>
        <v/>
      </c>
      <c r="V283" s="39">
        <v>1</v>
      </c>
      <c r="W283" s="79">
        <f t="shared" si="1624"/>
        <v>0</v>
      </c>
      <c r="X283" s="3">
        <v>0</v>
      </c>
      <c r="Y283" s="77" t="str">
        <f t="shared" si="1611"/>
        <v/>
      </c>
      <c r="Z283" s="3"/>
      <c r="AA283" s="37" t="str">
        <f t="shared" si="1625"/>
        <v/>
      </c>
      <c r="AC283" s="40"/>
      <c r="AD283" s="7"/>
      <c r="AE283" s="77" t="str">
        <f t="shared" si="1612"/>
        <v/>
      </c>
      <c r="AF283" s="81">
        <f t="shared" si="1638"/>
        <v>0</v>
      </c>
      <c r="AG283" s="40"/>
      <c r="AH283" s="7"/>
      <c r="AI283" s="77" t="str">
        <f t="shared" si="1613"/>
        <v/>
      </c>
      <c r="AJ283" s="81">
        <f t="shared" si="1639"/>
        <v>0</v>
      </c>
      <c r="AK283" s="83">
        <f t="shared" si="1640"/>
        <v>0</v>
      </c>
      <c r="AL283" s="83">
        <f t="shared" si="1641"/>
        <v>0</v>
      </c>
      <c r="AN283" s="43">
        <f t="shared" si="1614"/>
        <v>0</v>
      </c>
      <c r="AP283" t="str">
        <f t="shared" si="1642"/>
        <v/>
      </c>
      <c r="AQ283" t="str">
        <f t="shared" si="1643"/>
        <v/>
      </c>
      <c r="AR283" t="str">
        <f t="shared" si="1644"/>
        <v/>
      </c>
      <c r="AS283" t="str">
        <f t="shared" si="1645"/>
        <v/>
      </c>
      <c r="AT283" t="str">
        <f t="shared" si="1646"/>
        <v/>
      </c>
      <c r="AU283" t="str">
        <f t="shared" si="1647"/>
        <v/>
      </c>
      <c r="AV283" t="str">
        <f t="shared" si="1648"/>
        <v/>
      </c>
      <c r="AW283" t="str">
        <f t="shared" si="1649"/>
        <v xml:space="preserve">                              </v>
      </c>
      <c r="AX283" s="23">
        <f t="shared" si="1650"/>
        <v>0</v>
      </c>
      <c r="AY283" s="49" t="str">
        <f t="shared" si="1626"/>
        <v>000000000000000</v>
      </c>
      <c r="AZ283" s="23">
        <f t="shared" si="1651"/>
        <v>0</v>
      </c>
      <c r="BA283" s="49" t="str">
        <f t="shared" si="1626"/>
        <v>000000000000000</v>
      </c>
      <c r="BB283" s="23">
        <f t="shared" si="1652"/>
        <v>0</v>
      </c>
      <c r="BC283" s="49" t="str">
        <f t="shared" ref="BC283" si="1749">IF(BB283&lt;0,SUBSTITUTE(TEXT(BB283,"000000000000,00"),",",""),SUBSTITUTE(TEXT(BB283,"0000000000000,00"),",",""))</f>
        <v>000000000000000</v>
      </c>
      <c r="BD283" s="23">
        <f t="shared" si="1654"/>
        <v>0</v>
      </c>
      <c r="BE283" s="49" t="str">
        <f t="shared" ref="BE283" si="1750">IF(BD283&lt;0,SUBSTITUTE(TEXT(BD283,"000000000000,00"),",",""),SUBSTITUTE(TEXT(BD283,"0000000000000,00"),",",""))</f>
        <v>000000000000000</v>
      </c>
      <c r="BF283" s="23">
        <f t="shared" si="1656"/>
        <v>0</v>
      </c>
      <c r="BG283" s="49" t="str">
        <f t="shared" ref="BG283" si="1751">IF(BF283&lt;0,SUBSTITUTE(TEXT(BF283,"000000000000,00"),",",""),SUBSTITUTE(TEXT(BF283,"0000000000000,00"),",",""))</f>
        <v>000000000000000</v>
      </c>
      <c r="BH283" s="23">
        <f t="shared" si="1658"/>
        <v>0</v>
      </c>
      <c r="BI283" s="49" t="str">
        <f t="shared" ref="BI283" si="1752">IF(BH283&lt;0,SUBSTITUTE(TEXT(BH283,"000000000000,00"),",",""),SUBSTITUTE(TEXT(BH283,"0000000000000,00"),",",""))</f>
        <v>000000000000000</v>
      </c>
      <c r="BJ283" s="23">
        <f t="shared" si="1660"/>
        <v>0</v>
      </c>
      <c r="BK283" s="49" t="str">
        <f t="shared" ref="BK283" si="1753">IF(BJ283&lt;0,SUBSTITUTE(TEXT(BJ283,"000000000000,00"),",",""),SUBSTITUTE(TEXT(BJ283,"0000000000000,00"),",",""))</f>
        <v>000000000000000</v>
      </c>
      <c r="BL283" s="23">
        <f t="shared" si="1662"/>
        <v>0</v>
      </c>
      <c r="BM283" s="49" t="str">
        <f t="shared" ref="BM283" si="1754">IF(BL283&lt;0,SUBSTITUTE(TEXT(BL283,"000000000000,00"),",",""),SUBSTITUTE(TEXT(BL283,"0000000000000,00"),",",""))</f>
        <v>000000000000000</v>
      </c>
      <c r="BN283" t="str">
        <f t="shared" si="1664"/>
        <v>PES</v>
      </c>
      <c r="BO283" t="str">
        <f t="shared" si="1665"/>
        <v>0001000000</v>
      </c>
      <c r="BP283">
        <f t="shared" si="1666"/>
        <v>0</v>
      </c>
      <c r="BQ283">
        <f t="shared" si="1667"/>
        <v>0</v>
      </c>
      <c r="BR283" s="23">
        <f t="shared" si="1668"/>
        <v>0</v>
      </c>
      <c r="BS283" s="49" t="str">
        <f t="shared" si="1633"/>
        <v>000000000000000</v>
      </c>
      <c r="BT283" t="str">
        <f t="shared" si="1669"/>
        <v>00000000</v>
      </c>
      <c r="BU283" s="23">
        <f t="shared" si="1670"/>
        <v>0</v>
      </c>
      <c r="BV283" s="49" t="str">
        <f t="shared" si="1634"/>
        <v/>
      </c>
      <c r="BW283" s="52" t="str">
        <f t="shared" si="1671"/>
        <v/>
      </c>
      <c r="BX283" s="23">
        <f t="shared" si="1672"/>
        <v>0</v>
      </c>
      <c r="BY283" s="49" t="str">
        <f t="shared" si="1635"/>
        <v/>
      </c>
      <c r="BZ283" s="23">
        <f t="shared" si="1673"/>
        <v>0</v>
      </c>
      <c r="CA283" s="49" t="str">
        <f t="shared" si="1636"/>
        <v/>
      </c>
      <c r="CB283" s="52" t="str">
        <f t="shared" si="1674"/>
        <v/>
      </c>
      <c r="CC283" s="23">
        <f t="shared" si="1675"/>
        <v>0</v>
      </c>
      <c r="CD283" s="49" t="str">
        <f t="shared" si="1637"/>
        <v/>
      </c>
      <c r="CE283" s="56" t="str">
        <f>IF(CF283="","",MAX(CE$10:$CE282)+1)</f>
        <v/>
      </c>
      <c r="CF283" t="str">
        <f t="shared" si="1676"/>
        <v/>
      </c>
      <c r="CG283" s="22" t="str">
        <f>IF(CH283="","",MAX($CG$10:CG282)+1)</f>
        <v/>
      </c>
      <c r="CH283" s="22" t="str">
        <f t="shared" si="1621"/>
        <v/>
      </c>
      <c r="CI283" s="22" t="str">
        <f>IF(CJ283="","",MAX($CI$10:CI282)+1)</f>
        <v/>
      </c>
      <c r="CJ283" s="22" t="str">
        <f t="shared" si="1622"/>
        <v/>
      </c>
    </row>
    <row r="284" spans="2:88" x14ac:dyDescent="0.25">
      <c r="B284" s="37"/>
      <c r="C284" s="3"/>
      <c r="D284" s="77" t="str">
        <f t="shared" si="1608"/>
        <v/>
      </c>
      <c r="E284" s="38"/>
      <c r="F284" s="38"/>
      <c r="G284" s="78">
        <f t="shared" si="1623"/>
        <v>0</v>
      </c>
      <c r="H284" s="3">
        <v>80</v>
      </c>
      <c r="I284" s="77" t="str">
        <f t="shared" si="1609"/>
        <v/>
      </c>
      <c r="J284" s="32"/>
      <c r="K284" s="3"/>
      <c r="L284" s="39"/>
      <c r="M284" s="39"/>
      <c r="N284" s="39"/>
      <c r="O284" s="39"/>
      <c r="P284" s="39"/>
      <c r="Q284" s="39"/>
      <c r="R284" s="39"/>
      <c r="S284" s="39"/>
      <c r="T284" s="3" t="s">
        <v>645</v>
      </c>
      <c r="U284" s="77" t="str">
        <f t="shared" si="1610"/>
        <v/>
      </c>
      <c r="V284" s="39">
        <v>1</v>
      </c>
      <c r="W284" s="79">
        <f t="shared" si="1624"/>
        <v>0</v>
      </c>
      <c r="X284" s="3">
        <v>0</v>
      </c>
      <c r="Y284" s="77" t="str">
        <f t="shared" si="1611"/>
        <v/>
      </c>
      <c r="Z284" s="3"/>
      <c r="AA284" s="37" t="str">
        <f t="shared" si="1625"/>
        <v/>
      </c>
      <c r="AC284" s="40"/>
      <c r="AD284" s="7"/>
      <c r="AE284" s="77" t="str">
        <f t="shared" si="1612"/>
        <v/>
      </c>
      <c r="AF284" s="81">
        <f t="shared" si="1638"/>
        <v>0</v>
      </c>
      <c r="AG284" s="40"/>
      <c r="AH284" s="7"/>
      <c r="AI284" s="77" t="str">
        <f t="shared" si="1613"/>
        <v/>
      </c>
      <c r="AJ284" s="81">
        <f t="shared" si="1639"/>
        <v>0</v>
      </c>
      <c r="AK284" s="83">
        <f t="shared" si="1640"/>
        <v>0</v>
      </c>
      <c r="AL284" s="83">
        <f t="shared" si="1641"/>
        <v>0</v>
      </c>
      <c r="AN284" s="43">
        <f t="shared" si="1614"/>
        <v>0</v>
      </c>
      <c r="AP284" t="str">
        <f t="shared" si="1642"/>
        <v/>
      </c>
      <c r="AQ284" t="str">
        <f t="shared" si="1643"/>
        <v/>
      </c>
      <c r="AR284" t="str">
        <f t="shared" si="1644"/>
        <v/>
      </c>
      <c r="AS284" t="str">
        <f t="shared" si="1645"/>
        <v/>
      </c>
      <c r="AT284" t="str">
        <f t="shared" si="1646"/>
        <v/>
      </c>
      <c r="AU284" t="str">
        <f t="shared" si="1647"/>
        <v/>
      </c>
      <c r="AV284" t="str">
        <f t="shared" si="1648"/>
        <v/>
      </c>
      <c r="AW284" t="str">
        <f t="shared" si="1649"/>
        <v xml:space="preserve">                              </v>
      </c>
      <c r="AX284" s="23">
        <f t="shared" si="1650"/>
        <v>0</v>
      </c>
      <c r="AY284" s="49" t="str">
        <f t="shared" si="1626"/>
        <v>000000000000000</v>
      </c>
      <c r="AZ284" s="23">
        <f t="shared" si="1651"/>
        <v>0</v>
      </c>
      <c r="BA284" s="49" t="str">
        <f t="shared" si="1626"/>
        <v>000000000000000</v>
      </c>
      <c r="BB284" s="23">
        <f t="shared" si="1652"/>
        <v>0</v>
      </c>
      <c r="BC284" s="49" t="str">
        <f t="shared" ref="BC284" si="1755">IF(BB284&lt;0,SUBSTITUTE(TEXT(BB284,"000000000000,00"),",",""),SUBSTITUTE(TEXT(BB284,"0000000000000,00"),",",""))</f>
        <v>000000000000000</v>
      </c>
      <c r="BD284" s="23">
        <f t="shared" si="1654"/>
        <v>0</v>
      </c>
      <c r="BE284" s="49" t="str">
        <f t="shared" ref="BE284" si="1756">IF(BD284&lt;0,SUBSTITUTE(TEXT(BD284,"000000000000,00"),",",""),SUBSTITUTE(TEXT(BD284,"0000000000000,00"),",",""))</f>
        <v>000000000000000</v>
      </c>
      <c r="BF284" s="23">
        <f t="shared" si="1656"/>
        <v>0</v>
      </c>
      <c r="BG284" s="49" t="str">
        <f t="shared" ref="BG284" si="1757">IF(BF284&lt;0,SUBSTITUTE(TEXT(BF284,"000000000000,00"),",",""),SUBSTITUTE(TEXT(BF284,"0000000000000,00"),",",""))</f>
        <v>000000000000000</v>
      </c>
      <c r="BH284" s="23">
        <f t="shared" si="1658"/>
        <v>0</v>
      </c>
      <c r="BI284" s="49" t="str">
        <f t="shared" ref="BI284" si="1758">IF(BH284&lt;0,SUBSTITUTE(TEXT(BH284,"000000000000,00"),",",""),SUBSTITUTE(TEXT(BH284,"0000000000000,00"),",",""))</f>
        <v>000000000000000</v>
      </c>
      <c r="BJ284" s="23">
        <f t="shared" si="1660"/>
        <v>0</v>
      </c>
      <c r="BK284" s="49" t="str">
        <f t="shared" ref="BK284" si="1759">IF(BJ284&lt;0,SUBSTITUTE(TEXT(BJ284,"000000000000,00"),",",""),SUBSTITUTE(TEXT(BJ284,"0000000000000,00"),",",""))</f>
        <v>000000000000000</v>
      </c>
      <c r="BL284" s="23">
        <f t="shared" si="1662"/>
        <v>0</v>
      </c>
      <c r="BM284" s="49" t="str">
        <f t="shared" ref="BM284" si="1760">IF(BL284&lt;0,SUBSTITUTE(TEXT(BL284,"000000000000,00"),",",""),SUBSTITUTE(TEXT(BL284,"0000000000000,00"),",",""))</f>
        <v>000000000000000</v>
      </c>
      <c r="BN284" t="str">
        <f t="shared" si="1664"/>
        <v>PES</v>
      </c>
      <c r="BO284" t="str">
        <f t="shared" si="1665"/>
        <v>0001000000</v>
      </c>
      <c r="BP284">
        <f t="shared" si="1666"/>
        <v>0</v>
      </c>
      <c r="BQ284">
        <f t="shared" si="1667"/>
        <v>0</v>
      </c>
      <c r="BR284" s="23">
        <f t="shared" si="1668"/>
        <v>0</v>
      </c>
      <c r="BS284" s="49" t="str">
        <f t="shared" si="1633"/>
        <v>000000000000000</v>
      </c>
      <c r="BT284" t="str">
        <f t="shared" si="1669"/>
        <v>00000000</v>
      </c>
      <c r="BU284" s="23">
        <f t="shared" si="1670"/>
        <v>0</v>
      </c>
      <c r="BV284" s="49" t="str">
        <f t="shared" si="1634"/>
        <v/>
      </c>
      <c r="BW284" s="52" t="str">
        <f t="shared" si="1671"/>
        <v/>
      </c>
      <c r="BX284" s="23">
        <f t="shared" si="1672"/>
        <v>0</v>
      </c>
      <c r="BY284" s="49" t="str">
        <f t="shared" si="1635"/>
        <v/>
      </c>
      <c r="BZ284" s="23">
        <f t="shared" si="1673"/>
        <v>0</v>
      </c>
      <c r="CA284" s="49" t="str">
        <f t="shared" si="1636"/>
        <v/>
      </c>
      <c r="CB284" s="52" t="str">
        <f t="shared" si="1674"/>
        <v/>
      </c>
      <c r="CC284" s="23">
        <f t="shared" si="1675"/>
        <v>0</v>
      </c>
      <c r="CD284" s="49" t="str">
        <f t="shared" si="1637"/>
        <v/>
      </c>
      <c r="CE284" s="56" t="str">
        <f>IF(CF284="","",MAX(CE$10:$CE283)+1)</f>
        <v/>
      </c>
      <c r="CF284" t="str">
        <f t="shared" si="1676"/>
        <v/>
      </c>
      <c r="CG284" s="22" t="str">
        <f>IF(CH284="","",MAX($CG$10:CG283)+1)</f>
        <v/>
      </c>
      <c r="CH284" s="22" t="str">
        <f t="shared" si="1621"/>
        <v/>
      </c>
      <c r="CI284" s="22" t="str">
        <f>IF(CJ284="","",MAX($CI$10:CI283)+1)</f>
        <v/>
      </c>
      <c r="CJ284" s="22" t="str">
        <f t="shared" si="1622"/>
        <v/>
      </c>
    </row>
    <row r="285" spans="2:88" x14ac:dyDescent="0.25">
      <c r="B285" s="37"/>
      <c r="C285" s="3"/>
      <c r="D285" s="77" t="str">
        <f t="shared" si="1608"/>
        <v/>
      </c>
      <c r="E285" s="38"/>
      <c r="F285" s="38"/>
      <c r="G285" s="78">
        <f t="shared" si="1623"/>
        <v>0</v>
      </c>
      <c r="H285" s="3">
        <v>80</v>
      </c>
      <c r="I285" s="77" t="str">
        <f t="shared" si="1609"/>
        <v/>
      </c>
      <c r="J285" s="32"/>
      <c r="K285" s="3"/>
      <c r="L285" s="39"/>
      <c r="M285" s="39"/>
      <c r="N285" s="39"/>
      <c r="O285" s="39"/>
      <c r="P285" s="39"/>
      <c r="Q285" s="39"/>
      <c r="R285" s="39"/>
      <c r="S285" s="39"/>
      <c r="T285" s="3" t="s">
        <v>645</v>
      </c>
      <c r="U285" s="77" t="str">
        <f t="shared" si="1610"/>
        <v/>
      </c>
      <c r="V285" s="39">
        <v>1</v>
      </c>
      <c r="W285" s="79">
        <f t="shared" si="1624"/>
        <v>0</v>
      </c>
      <c r="X285" s="3">
        <v>0</v>
      </c>
      <c r="Y285" s="77" t="str">
        <f t="shared" si="1611"/>
        <v/>
      </c>
      <c r="Z285" s="3"/>
      <c r="AA285" s="37" t="str">
        <f t="shared" si="1625"/>
        <v/>
      </c>
      <c r="AC285" s="40"/>
      <c r="AD285" s="7"/>
      <c r="AE285" s="77" t="str">
        <f t="shared" si="1612"/>
        <v/>
      </c>
      <c r="AF285" s="81">
        <f t="shared" si="1638"/>
        <v>0</v>
      </c>
      <c r="AG285" s="40"/>
      <c r="AH285" s="7"/>
      <c r="AI285" s="77" t="str">
        <f t="shared" si="1613"/>
        <v/>
      </c>
      <c r="AJ285" s="81">
        <f t="shared" si="1639"/>
        <v>0</v>
      </c>
      <c r="AK285" s="83">
        <f t="shared" si="1640"/>
        <v>0</v>
      </c>
      <c r="AL285" s="83">
        <f t="shared" si="1641"/>
        <v>0</v>
      </c>
      <c r="AN285" s="43">
        <f t="shared" si="1614"/>
        <v>0</v>
      </c>
      <c r="AP285" t="str">
        <f t="shared" si="1642"/>
        <v/>
      </c>
      <c r="AQ285" t="str">
        <f t="shared" si="1643"/>
        <v/>
      </c>
      <c r="AR285" t="str">
        <f t="shared" si="1644"/>
        <v/>
      </c>
      <c r="AS285" t="str">
        <f t="shared" si="1645"/>
        <v/>
      </c>
      <c r="AT285" t="str">
        <f t="shared" si="1646"/>
        <v/>
      </c>
      <c r="AU285" t="str">
        <f t="shared" si="1647"/>
        <v/>
      </c>
      <c r="AV285" t="str">
        <f t="shared" si="1648"/>
        <v/>
      </c>
      <c r="AW285" t="str">
        <f t="shared" si="1649"/>
        <v xml:space="preserve">                              </v>
      </c>
      <c r="AX285" s="23">
        <f t="shared" si="1650"/>
        <v>0</v>
      </c>
      <c r="AY285" s="49" t="str">
        <f t="shared" si="1626"/>
        <v>000000000000000</v>
      </c>
      <c r="AZ285" s="23">
        <f t="shared" si="1651"/>
        <v>0</v>
      </c>
      <c r="BA285" s="49" t="str">
        <f t="shared" si="1626"/>
        <v>000000000000000</v>
      </c>
      <c r="BB285" s="23">
        <f t="shared" si="1652"/>
        <v>0</v>
      </c>
      <c r="BC285" s="49" t="str">
        <f t="shared" ref="BC285" si="1761">IF(BB285&lt;0,SUBSTITUTE(TEXT(BB285,"000000000000,00"),",",""),SUBSTITUTE(TEXT(BB285,"0000000000000,00"),",",""))</f>
        <v>000000000000000</v>
      </c>
      <c r="BD285" s="23">
        <f t="shared" si="1654"/>
        <v>0</v>
      </c>
      <c r="BE285" s="49" t="str">
        <f t="shared" ref="BE285" si="1762">IF(BD285&lt;0,SUBSTITUTE(TEXT(BD285,"000000000000,00"),",",""),SUBSTITUTE(TEXT(BD285,"0000000000000,00"),",",""))</f>
        <v>000000000000000</v>
      </c>
      <c r="BF285" s="23">
        <f t="shared" si="1656"/>
        <v>0</v>
      </c>
      <c r="BG285" s="49" t="str">
        <f t="shared" ref="BG285" si="1763">IF(BF285&lt;0,SUBSTITUTE(TEXT(BF285,"000000000000,00"),",",""),SUBSTITUTE(TEXT(BF285,"0000000000000,00"),",",""))</f>
        <v>000000000000000</v>
      </c>
      <c r="BH285" s="23">
        <f t="shared" si="1658"/>
        <v>0</v>
      </c>
      <c r="BI285" s="49" t="str">
        <f t="shared" ref="BI285" si="1764">IF(BH285&lt;0,SUBSTITUTE(TEXT(BH285,"000000000000,00"),",",""),SUBSTITUTE(TEXT(BH285,"0000000000000,00"),",",""))</f>
        <v>000000000000000</v>
      </c>
      <c r="BJ285" s="23">
        <f t="shared" si="1660"/>
        <v>0</v>
      </c>
      <c r="BK285" s="49" t="str">
        <f t="shared" ref="BK285" si="1765">IF(BJ285&lt;0,SUBSTITUTE(TEXT(BJ285,"000000000000,00"),",",""),SUBSTITUTE(TEXT(BJ285,"0000000000000,00"),",",""))</f>
        <v>000000000000000</v>
      </c>
      <c r="BL285" s="23">
        <f t="shared" si="1662"/>
        <v>0</v>
      </c>
      <c r="BM285" s="49" t="str">
        <f t="shared" ref="BM285" si="1766">IF(BL285&lt;0,SUBSTITUTE(TEXT(BL285,"000000000000,00"),",",""),SUBSTITUTE(TEXT(BL285,"0000000000000,00"),",",""))</f>
        <v>000000000000000</v>
      </c>
      <c r="BN285" t="str">
        <f t="shared" si="1664"/>
        <v>PES</v>
      </c>
      <c r="BO285" t="str">
        <f t="shared" si="1665"/>
        <v>0001000000</v>
      </c>
      <c r="BP285">
        <f t="shared" si="1666"/>
        <v>0</v>
      </c>
      <c r="BQ285">
        <f t="shared" si="1667"/>
        <v>0</v>
      </c>
      <c r="BR285" s="23">
        <f t="shared" si="1668"/>
        <v>0</v>
      </c>
      <c r="BS285" s="49" t="str">
        <f t="shared" si="1633"/>
        <v>000000000000000</v>
      </c>
      <c r="BT285" t="str">
        <f t="shared" si="1669"/>
        <v>00000000</v>
      </c>
      <c r="BU285" s="23">
        <f t="shared" si="1670"/>
        <v>0</v>
      </c>
      <c r="BV285" s="49" t="str">
        <f t="shared" si="1634"/>
        <v/>
      </c>
      <c r="BW285" s="52" t="str">
        <f t="shared" si="1671"/>
        <v/>
      </c>
      <c r="BX285" s="23">
        <f t="shared" si="1672"/>
        <v>0</v>
      </c>
      <c r="BY285" s="49" t="str">
        <f t="shared" si="1635"/>
        <v/>
      </c>
      <c r="BZ285" s="23">
        <f t="shared" si="1673"/>
        <v>0</v>
      </c>
      <c r="CA285" s="49" t="str">
        <f t="shared" si="1636"/>
        <v/>
      </c>
      <c r="CB285" s="52" t="str">
        <f t="shared" si="1674"/>
        <v/>
      </c>
      <c r="CC285" s="23">
        <f t="shared" si="1675"/>
        <v>0</v>
      </c>
      <c r="CD285" s="49" t="str">
        <f t="shared" si="1637"/>
        <v/>
      </c>
      <c r="CE285" s="56" t="str">
        <f>IF(CF285="","",MAX(CE$10:$CE284)+1)</f>
        <v/>
      </c>
      <c r="CF285" t="str">
        <f t="shared" si="1676"/>
        <v/>
      </c>
      <c r="CG285" s="22" t="str">
        <f>IF(CH285="","",MAX($CG$10:CG284)+1)</f>
        <v/>
      </c>
      <c r="CH285" s="22" t="str">
        <f t="shared" si="1621"/>
        <v/>
      </c>
      <c r="CI285" s="22" t="str">
        <f>IF(CJ285="","",MAX($CI$10:CI284)+1)</f>
        <v/>
      </c>
      <c r="CJ285" s="22" t="str">
        <f t="shared" si="1622"/>
        <v/>
      </c>
    </row>
    <row r="286" spans="2:88" x14ac:dyDescent="0.25">
      <c r="B286" s="37"/>
      <c r="C286" s="3"/>
      <c r="D286" s="77" t="str">
        <f t="shared" si="1608"/>
        <v/>
      </c>
      <c r="E286" s="38"/>
      <c r="F286" s="38"/>
      <c r="G286" s="78">
        <f t="shared" si="1623"/>
        <v>0</v>
      </c>
      <c r="H286" s="3">
        <v>80</v>
      </c>
      <c r="I286" s="77" t="str">
        <f t="shared" si="1609"/>
        <v/>
      </c>
      <c r="J286" s="32"/>
      <c r="K286" s="3"/>
      <c r="L286" s="39"/>
      <c r="M286" s="39"/>
      <c r="N286" s="39"/>
      <c r="O286" s="39"/>
      <c r="P286" s="39"/>
      <c r="Q286" s="39"/>
      <c r="R286" s="39"/>
      <c r="S286" s="39"/>
      <c r="T286" s="3" t="s">
        <v>645</v>
      </c>
      <c r="U286" s="77" t="str">
        <f t="shared" si="1610"/>
        <v/>
      </c>
      <c r="V286" s="39">
        <v>1</v>
      </c>
      <c r="W286" s="79">
        <f t="shared" si="1624"/>
        <v>0</v>
      </c>
      <c r="X286" s="3">
        <v>0</v>
      </c>
      <c r="Y286" s="77" t="str">
        <f t="shared" si="1611"/>
        <v/>
      </c>
      <c r="Z286" s="3"/>
      <c r="AA286" s="37" t="str">
        <f t="shared" si="1625"/>
        <v/>
      </c>
      <c r="AC286" s="40"/>
      <c r="AD286" s="7"/>
      <c r="AE286" s="77" t="str">
        <f t="shared" si="1612"/>
        <v/>
      </c>
      <c r="AF286" s="81">
        <f t="shared" si="1638"/>
        <v>0</v>
      </c>
      <c r="AG286" s="40"/>
      <c r="AH286" s="7"/>
      <c r="AI286" s="77" t="str">
        <f t="shared" si="1613"/>
        <v/>
      </c>
      <c r="AJ286" s="81">
        <f t="shared" si="1639"/>
        <v>0</v>
      </c>
      <c r="AK286" s="83">
        <f t="shared" si="1640"/>
        <v>0</v>
      </c>
      <c r="AL286" s="83">
        <f t="shared" si="1641"/>
        <v>0</v>
      </c>
      <c r="AN286" s="43">
        <f t="shared" si="1614"/>
        <v>0</v>
      </c>
      <c r="AP286" t="str">
        <f t="shared" si="1642"/>
        <v/>
      </c>
      <c r="AQ286" t="str">
        <f t="shared" si="1643"/>
        <v/>
      </c>
      <c r="AR286" t="str">
        <f t="shared" si="1644"/>
        <v/>
      </c>
      <c r="AS286" t="str">
        <f t="shared" si="1645"/>
        <v/>
      </c>
      <c r="AT286" t="str">
        <f t="shared" si="1646"/>
        <v/>
      </c>
      <c r="AU286" t="str">
        <f t="shared" si="1647"/>
        <v/>
      </c>
      <c r="AV286" t="str">
        <f t="shared" si="1648"/>
        <v/>
      </c>
      <c r="AW286" t="str">
        <f t="shared" si="1649"/>
        <v xml:space="preserve">                              </v>
      </c>
      <c r="AX286" s="23">
        <f t="shared" si="1650"/>
        <v>0</v>
      </c>
      <c r="AY286" s="49" t="str">
        <f t="shared" si="1626"/>
        <v>000000000000000</v>
      </c>
      <c r="AZ286" s="23">
        <f t="shared" si="1651"/>
        <v>0</v>
      </c>
      <c r="BA286" s="49" t="str">
        <f t="shared" si="1626"/>
        <v>000000000000000</v>
      </c>
      <c r="BB286" s="23">
        <f t="shared" si="1652"/>
        <v>0</v>
      </c>
      <c r="BC286" s="49" t="str">
        <f t="shared" ref="BC286" si="1767">IF(BB286&lt;0,SUBSTITUTE(TEXT(BB286,"000000000000,00"),",",""),SUBSTITUTE(TEXT(BB286,"0000000000000,00"),",",""))</f>
        <v>000000000000000</v>
      </c>
      <c r="BD286" s="23">
        <f t="shared" si="1654"/>
        <v>0</v>
      </c>
      <c r="BE286" s="49" t="str">
        <f t="shared" ref="BE286" si="1768">IF(BD286&lt;0,SUBSTITUTE(TEXT(BD286,"000000000000,00"),",",""),SUBSTITUTE(TEXT(BD286,"0000000000000,00"),",",""))</f>
        <v>000000000000000</v>
      </c>
      <c r="BF286" s="23">
        <f t="shared" si="1656"/>
        <v>0</v>
      </c>
      <c r="BG286" s="49" t="str">
        <f t="shared" ref="BG286" si="1769">IF(BF286&lt;0,SUBSTITUTE(TEXT(BF286,"000000000000,00"),",",""),SUBSTITUTE(TEXT(BF286,"0000000000000,00"),",",""))</f>
        <v>000000000000000</v>
      </c>
      <c r="BH286" s="23">
        <f t="shared" si="1658"/>
        <v>0</v>
      </c>
      <c r="BI286" s="49" t="str">
        <f t="shared" ref="BI286" si="1770">IF(BH286&lt;0,SUBSTITUTE(TEXT(BH286,"000000000000,00"),",",""),SUBSTITUTE(TEXT(BH286,"0000000000000,00"),",",""))</f>
        <v>000000000000000</v>
      </c>
      <c r="BJ286" s="23">
        <f t="shared" si="1660"/>
        <v>0</v>
      </c>
      <c r="BK286" s="49" t="str">
        <f t="shared" ref="BK286" si="1771">IF(BJ286&lt;0,SUBSTITUTE(TEXT(BJ286,"000000000000,00"),",",""),SUBSTITUTE(TEXT(BJ286,"0000000000000,00"),",",""))</f>
        <v>000000000000000</v>
      </c>
      <c r="BL286" s="23">
        <f t="shared" si="1662"/>
        <v>0</v>
      </c>
      <c r="BM286" s="49" t="str">
        <f t="shared" ref="BM286" si="1772">IF(BL286&lt;0,SUBSTITUTE(TEXT(BL286,"000000000000,00"),",",""),SUBSTITUTE(TEXT(BL286,"0000000000000,00"),",",""))</f>
        <v>000000000000000</v>
      </c>
      <c r="BN286" t="str">
        <f t="shared" si="1664"/>
        <v>PES</v>
      </c>
      <c r="BO286" t="str">
        <f t="shared" si="1665"/>
        <v>0001000000</v>
      </c>
      <c r="BP286">
        <f t="shared" si="1666"/>
        <v>0</v>
      </c>
      <c r="BQ286">
        <f t="shared" si="1667"/>
        <v>0</v>
      </c>
      <c r="BR286" s="23">
        <f t="shared" si="1668"/>
        <v>0</v>
      </c>
      <c r="BS286" s="49" t="str">
        <f t="shared" si="1633"/>
        <v>000000000000000</v>
      </c>
      <c r="BT286" t="str">
        <f t="shared" si="1669"/>
        <v>00000000</v>
      </c>
      <c r="BU286" s="23">
        <f t="shared" si="1670"/>
        <v>0</v>
      </c>
      <c r="BV286" s="49" t="str">
        <f t="shared" si="1634"/>
        <v/>
      </c>
      <c r="BW286" s="52" t="str">
        <f t="shared" si="1671"/>
        <v/>
      </c>
      <c r="BX286" s="23">
        <f t="shared" si="1672"/>
        <v>0</v>
      </c>
      <c r="BY286" s="49" t="str">
        <f t="shared" si="1635"/>
        <v/>
      </c>
      <c r="BZ286" s="23">
        <f t="shared" si="1673"/>
        <v>0</v>
      </c>
      <c r="CA286" s="49" t="str">
        <f t="shared" si="1636"/>
        <v/>
      </c>
      <c r="CB286" s="52" t="str">
        <f t="shared" si="1674"/>
        <v/>
      </c>
      <c r="CC286" s="23">
        <f t="shared" si="1675"/>
        <v>0</v>
      </c>
      <c r="CD286" s="49" t="str">
        <f t="shared" si="1637"/>
        <v/>
      </c>
      <c r="CE286" s="56" t="str">
        <f>IF(CF286="","",MAX(CE$10:$CE285)+1)</f>
        <v/>
      </c>
      <c r="CF286" t="str">
        <f t="shared" si="1676"/>
        <v/>
      </c>
      <c r="CG286" s="22" t="str">
        <f>IF(CH286="","",MAX($CG$10:CG285)+1)</f>
        <v/>
      </c>
      <c r="CH286" s="22" t="str">
        <f t="shared" si="1621"/>
        <v/>
      </c>
      <c r="CI286" s="22" t="str">
        <f>IF(CJ286="","",MAX($CI$10:CI285)+1)</f>
        <v/>
      </c>
      <c r="CJ286" s="22" t="str">
        <f t="shared" si="1622"/>
        <v/>
      </c>
    </row>
    <row r="287" spans="2:88" x14ac:dyDescent="0.25">
      <c r="B287" s="37"/>
      <c r="C287" s="3"/>
      <c r="D287" s="77" t="str">
        <f t="shared" si="1608"/>
        <v/>
      </c>
      <c r="E287" s="38"/>
      <c r="F287" s="38"/>
      <c r="G287" s="78">
        <f t="shared" si="1623"/>
        <v>0</v>
      </c>
      <c r="H287" s="3">
        <v>80</v>
      </c>
      <c r="I287" s="77" t="str">
        <f t="shared" si="1609"/>
        <v/>
      </c>
      <c r="J287" s="32"/>
      <c r="K287" s="3"/>
      <c r="L287" s="39"/>
      <c r="M287" s="39"/>
      <c r="N287" s="39"/>
      <c r="O287" s="39"/>
      <c r="P287" s="39"/>
      <c r="Q287" s="39"/>
      <c r="R287" s="39"/>
      <c r="S287" s="39"/>
      <c r="T287" s="3" t="s">
        <v>645</v>
      </c>
      <c r="U287" s="77" t="str">
        <f t="shared" si="1610"/>
        <v/>
      </c>
      <c r="V287" s="39">
        <v>1</v>
      </c>
      <c r="W287" s="79">
        <f t="shared" si="1624"/>
        <v>0</v>
      </c>
      <c r="X287" s="3">
        <v>0</v>
      </c>
      <c r="Y287" s="77" t="str">
        <f t="shared" si="1611"/>
        <v/>
      </c>
      <c r="Z287" s="3"/>
      <c r="AA287" s="37" t="str">
        <f t="shared" si="1625"/>
        <v/>
      </c>
      <c r="AC287" s="40"/>
      <c r="AD287" s="7"/>
      <c r="AE287" s="77" t="str">
        <f t="shared" si="1612"/>
        <v/>
      </c>
      <c r="AF287" s="81">
        <f t="shared" si="1638"/>
        <v>0</v>
      </c>
      <c r="AG287" s="40"/>
      <c r="AH287" s="7"/>
      <c r="AI287" s="77" t="str">
        <f t="shared" si="1613"/>
        <v/>
      </c>
      <c r="AJ287" s="81">
        <f t="shared" si="1639"/>
        <v>0</v>
      </c>
      <c r="AK287" s="83">
        <f t="shared" si="1640"/>
        <v>0</v>
      </c>
      <c r="AL287" s="83">
        <f t="shared" si="1641"/>
        <v>0</v>
      </c>
      <c r="AN287" s="43">
        <f t="shared" si="1614"/>
        <v>0</v>
      </c>
      <c r="AP287" t="str">
        <f t="shared" si="1642"/>
        <v/>
      </c>
      <c r="AQ287" t="str">
        <f t="shared" si="1643"/>
        <v/>
      </c>
      <c r="AR287" t="str">
        <f t="shared" si="1644"/>
        <v/>
      </c>
      <c r="AS287" t="str">
        <f t="shared" si="1645"/>
        <v/>
      </c>
      <c r="AT287" t="str">
        <f t="shared" si="1646"/>
        <v/>
      </c>
      <c r="AU287" t="str">
        <f t="shared" si="1647"/>
        <v/>
      </c>
      <c r="AV287" t="str">
        <f t="shared" si="1648"/>
        <v/>
      </c>
      <c r="AW287" t="str">
        <f t="shared" si="1649"/>
        <v xml:space="preserve">                              </v>
      </c>
      <c r="AX287" s="23">
        <f t="shared" si="1650"/>
        <v>0</v>
      </c>
      <c r="AY287" s="49" t="str">
        <f t="shared" si="1626"/>
        <v>000000000000000</v>
      </c>
      <c r="AZ287" s="23">
        <f t="shared" si="1651"/>
        <v>0</v>
      </c>
      <c r="BA287" s="49" t="str">
        <f t="shared" si="1626"/>
        <v>000000000000000</v>
      </c>
      <c r="BB287" s="23">
        <f t="shared" si="1652"/>
        <v>0</v>
      </c>
      <c r="BC287" s="49" t="str">
        <f t="shared" ref="BC287" si="1773">IF(BB287&lt;0,SUBSTITUTE(TEXT(BB287,"000000000000,00"),",",""),SUBSTITUTE(TEXT(BB287,"0000000000000,00"),",",""))</f>
        <v>000000000000000</v>
      </c>
      <c r="BD287" s="23">
        <f t="shared" si="1654"/>
        <v>0</v>
      </c>
      <c r="BE287" s="49" t="str">
        <f t="shared" ref="BE287" si="1774">IF(BD287&lt;0,SUBSTITUTE(TEXT(BD287,"000000000000,00"),",",""),SUBSTITUTE(TEXT(BD287,"0000000000000,00"),",",""))</f>
        <v>000000000000000</v>
      </c>
      <c r="BF287" s="23">
        <f t="shared" si="1656"/>
        <v>0</v>
      </c>
      <c r="BG287" s="49" t="str">
        <f t="shared" ref="BG287" si="1775">IF(BF287&lt;0,SUBSTITUTE(TEXT(BF287,"000000000000,00"),",",""),SUBSTITUTE(TEXT(BF287,"0000000000000,00"),",",""))</f>
        <v>000000000000000</v>
      </c>
      <c r="BH287" s="23">
        <f t="shared" si="1658"/>
        <v>0</v>
      </c>
      <c r="BI287" s="49" t="str">
        <f t="shared" ref="BI287" si="1776">IF(BH287&lt;0,SUBSTITUTE(TEXT(BH287,"000000000000,00"),",",""),SUBSTITUTE(TEXT(BH287,"0000000000000,00"),",",""))</f>
        <v>000000000000000</v>
      </c>
      <c r="BJ287" s="23">
        <f t="shared" si="1660"/>
        <v>0</v>
      </c>
      <c r="BK287" s="49" t="str">
        <f t="shared" ref="BK287" si="1777">IF(BJ287&lt;0,SUBSTITUTE(TEXT(BJ287,"000000000000,00"),",",""),SUBSTITUTE(TEXT(BJ287,"0000000000000,00"),",",""))</f>
        <v>000000000000000</v>
      </c>
      <c r="BL287" s="23">
        <f t="shared" si="1662"/>
        <v>0</v>
      </c>
      <c r="BM287" s="49" t="str">
        <f t="shared" ref="BM287" si="1778">IF(BL287&lt;0,SUBSTITUTE(TEXT(BL287,"000000000000,00"),",",""),SUBSTITUTE(TEXT(BL287,"0000000000000,00"),",",""))</f>
        <v>000000000000000</v>
      </c>
      <c r="BN287" t="str">
        <f t="shared" si="1664"/>
        <v>PES</v>
      </c>
      <c r="BO287" t="str">
        <f t="shared" si="1665"/>
        <v>0001000000</v>
      </c>
      <c r="BP287">
        <f t="shared" si="1666"/>
        <v>0</v>
      </c>
      <c r="BQ287">
        <f t="shared" si="1667"/>
        <v>0</v>
      </c>
      <c r="BR287" s="23">
        <f t="shared" si="1668"/>
        <v>0</v>
      </c>
      <c r="BS287" s="49" t="str">
        <f t="shared" si="1633"/>
        <v>000000000000000</v>
      </c>
      <c r="BT287" t="str">
        <f t="shared" si="1669"/>
        <v>00000000</v>
      </c>
      <c r="BU287" s="23">
        <f t="shared" si="1670"/>
        <v>0</v>
      </c>
      <c r="BV287" s="49" t="str">
        <f t="shared" si="1634"/>
        <v/>
      </c>
      <c r="BW287" s="52" t="str">
        <f t="shared" si="1671"/>
        <v/>
      </c>
      <c r="BX287" s="23">
        <f t="shared" si="1672"/>
        <v>0</v>
      </c>
      <c r="BY287" s="49" t="str">
        <f t="shared" si="1635"/>
        <v/>
      </c>
      <c r="BZ287" s="23">
        <f t="shared" si="1673"/>
        <v>0</v>
      </c>
      <c r="CA287" s="49" t="str">
        <f t="shared" si="1636"/>
        <v/>
      </c>
      <c r="CB287" s="52" t="str">
        <f t="shared" si="1674"/>
        <v/>
      </c>
      <c r="CC287" s="23">
        <f t="shared" si="1675"/>
        <v>0</v>
      </c>
      <c r="CD287" s="49" t="str">
        <f t="shared" si="1637"/>
        <v/>
      </c>
      <c r="CE287" s="56" t="str">
        <f>IF(CF287="","",MAX(CE$10:$CE286)+1)</f>
        <v/>
      </c>
      <c r="CF287" t="str">
        <f t="shared" si="1676"/>
        <v/>
      </c>
      <c r="CG287" s="22" t="str">
        <f>IF(CH287="","",MAX($CG$10:CG286)+1)</f>
        <v/>
      </c>
      <c r="CH287" s="22" t="str">
        <f t="shared" si="1621"/>
        <v/>
      </c>
      <c r="CI287" s="22" t="str">
        <f>IF(CJ287="","",MAX($CI$10:CI286)+1)</f>
        <v/>
      </c>
      <c r="CJ287" s="22" t="str">
        <f t="shared" si="1622"/>
        <v/>
      </c>
    </row>
    <row r="288" spans="2:88" x14ac:dyDescent="0.25">
      <c r="B288" s="37"/>
      <c r="C288" s="3"/>
      <c r="D288" s="77" t="str">
        <f t="shared" si="1608"/>
        <v/>
      </c>
      <c r="E288" s="38"/>
      <c r="F288" s="38"/>
      <c r="G288" s="78">
        <f t="shared" si="1623"/>
        <v>0</v>
      </c>
      <c r="H288" s="3">
        <v>80</v>
      </c>
      <c r="I288" s="77" t="str">
        <f t="shared" si="1609"/>
        <v/>
      </c>
      <c r="J288" s="32"/>
      <c r="K288" s="3"/>
      <c r="L288" s="39"/>
      <c r="M288" s="39"/>
      <c r="N288" s="39"/>
      <c r="O288" s="39"/>
      <c r="P288" s="39"/>
      <c r="Q288" s="39"/>
      <c r="R288" s="39"/>
      <c r="S288" s="39"/>
      <c r="T288" s="3" t="s">
        <v>645</v>
      </c>
      <c r="U288" s="77" t="str">
        <f t="shared" si="1610"/>
        <v/>
      </c>
      <c r="V288" s="39">
        <v>1</v>
      </c>
      <c r="W288" s="79">
        <f t="shared" si="1624"/>
        <v>0</v>
      </c>
      <c r="X288" s="3">
        <v>0</v>
      </c>
      <c r="Y288" s="77" t="str">
        <f t="shared" si="1611"/>
        <v/>
      </c>
      <c r="Z288" s="3"/>
      <c r="AA288" s="37" t="str">
        <f t="shared" si="1625"/>
        <v/>
      </c>
      <c r="AC288" s="40"/>
      <c r="AD288" s="7"/>
      <c r="AE288" s="77" t="str">
        <f t="shared" si="1612"/>
        <v/>
      </c>
      <c r="AF288" s="81">
        <f t="shared" si="1638"/>
        <v>0</v>
      </c>
      <c r="AG288" s="40"/>
      <c r="AH288" s="7"/>
      <c r="AI288" s="77" t="str">
        <f t="shared" si="1613"/>
        <v/>
      </c>
      <c r="AJ288" s="81">
        <f t="shared" si="1639"/>
        <v>0</v>
      </c>
      <c r="AK288" s="83">
        <f t="shared" si="1640"/>
        <v>0</v>
      </c>
      <c r="AL288" s="83">
        <f t="shared" si="1641"/>
        <v>0</v>
      </c>
      <c r="AN288" s="43">
        <f t="shared" si="1614"/>
        <v>0</v>
      </c>
      <c r="AP288" t="str">
        <f t="shared" si="1642"/>
        <v/>
      </c>
      <c r="AQ288" t="str">
        <f t="shared" si="1643"/>
        <v/>
      </c>
      <c r="AR288" t="str">
        <f t="shared" si="1644"/>
        <v/>
      </c>
      <c r="AS288" t="str">
        <f t="shared" si="1645"/>
        <v/>
      </c>
      <c r="AT288" t="str">
        <f t="shared" si="1646"/>
        <v/>
      </c>
      <c r="AU288" t="str">
        <f t="shared" si="1647"/>
        <v/>
      </c>
      <c r="AV288" t="str">
        <f t="shared" si="1648"/>
        <v/>
      </c>
      <c r="AW288" t="str">
        <f t="shared" si="1649"/>
        <v xml:space="preserve">                              </v>
      </c>
      <c r="AX288" s="23">
        <f t="shared" si="1650"/>
        <v>0</v>
      </c>
      <c r="AY288" s="49" t="str">
        <f t="shared" si="1626"/>
        <v>000000000000000</v>
      </c>
      <c r="AZ288" s="23">
        <f t="shared" si="1651"/>
        <v>0</v>
      </c>
      <c r="BA288" s="49" t="str">
        <f t="shared" si="1626"/>
        <v>000000000000000</v>
      </c>
      <c r="BB288" s="23">
        <f t="shared" si="1652"/>
        <v>0</v>
      </c>
      <c r="BC288" s="49" t="str">
        <f t="shared" ref="BC288" si="1779">IF(BB288&lt;0,SUBSTITUTE(TEXT(BB288,"000000000000,00"),",",""),SUBSTITUTE(TEXT(BB288,"0000000000000,00"),",",""))</f>
        <v>000000000000000</v>
      </c>
      <c r="BD288" s="23">
        <f t="shared" si="1654"/>
        <v>0</v>
      </c>
      <c r="BE288" s="49" t="str">
        <f t="shared" ref="BE288" si="1780">IF(BD288&lt;0,SUBSTITUTE(TEXT(BD288,"000000000000,00"),",",""),SUBSTITUTE(TEXT(BD288,"0000000000000,00"),",",""))</f>
        <v>000000000000000</v>
      </c>
      <c r="BF288" s="23">
        <f t="shared" si="1656"/>
        <v>0</v>
      </c>
      <c r="BG288" s="49" t="str">
        <f t="shared" ref="BG288" si="1781">IF(BF288&lt;0,SUBSTITUTE(TEXT(BF288,"000000000000,00"),",",""),SUBSTITUTE(TEXT(BF288,"0000000000000,00"),",",""))</f>
        <v>000000000000000</v>
      </c>
      <c r="BH288" s="23">
        <f t="shared" si="1658"/>
        <v>0</v>
      </c>
      <c r="BI288" s="49" t="str">
        <f t="shared" ref="BI288" si="1782">IF(BH288&lt;0,SUBSTITUTE(TEXT(BH288,"000000000000,00"),",",""),SUBSTITUTE(TEXT(BH288,"0000000000000,00"),",",""))</f>
        <v>000000000000000</v>
      </c>
      <c r="BJ288" s="23">
        <f t="shared" si="1660"/>
        <v>0</v>
      </c>
      <c r="BK288" s="49" t="str">
        <f t="shared" ref="BK288" si="1783">IF(BJ288&lt;0,SUBSTITUTE(TEXT(BJ288,"000000000000,00"),",",""),SUBSTITUTE(TEXT(BJ288,"0000000000000,00"),",",""))</f>
        <v>000000000000000</v>
      </c>
      <c r="BL288" s="23">
        <f t="shared" si="1662"/>
        <v>0</v>
      </c>
      <c r="BM288" s="49" t="str">
        <f t="shared" ref="BM288" si="1784">IF(BL288&lt;0,SUBSTITUTE(TEXT(BL288,"000000000000,00"),",",""),SUBSTITUTE(TEXT(BL288,"0000000000000,00"),",",""))</f>
        <v>000000000000000</v>
      </c>
      <c r="BN288" t="str">
        <f t="shared" si="1664"/>
        <v>PES</v>
      </c>
      <c r="BO288" t="str">
        <f t="shared" si="1665"/>
        <v>0001000000</v>
      </c>
      <c r="BP288">
        <f t="shared" si="1666"/>
        <v>0</v>
      </c>
      <c r="BQ288">
        <f t="shared" si="1667"/>
        <v>0</v>
      </c>
      <c r="BR288" s="23">
        <f t="shared" si="1668"/>
        <v>0</v>
      </c>
      <c r="BS288" s="49" t="str">
        <f t="shared" si="1633"/>
        <v>000000000000000</v>
      </c>
      <c r="BT288" t="str">
        <f t="shared" si="1669"/>
        <v>00000000</v>
      </c>
      <c r="BU288" s="23">
        <f t="shared" si="1670"/>
        <v>0</v>
      </c>
      <c r="BV288" s="49" t="str">
        <f t="shared" si="1634"/>
        <v/>
      </c>
      <c r="BW288" s="52" t="str">
        <f t="shared" si="1671"/>
        <v/>
      </c>
      <c r="BX288" s="23">
        <f t="shared" si="1672"/>
        <v>0</v>
      </c>
      <c r="BY288" s="49" t="str">
        <f t="shared" si="1635"/>
        <v/>
      </c>
      <c r="BZ288" s="23">
        <f t="shared" si="1673"/>
        <v>0</v>
      </c>
      <c r="CA288" s="49" t="str">
        <f t="shared" si="1636"/>
        <v/>
      </c>
      <c r="CB288" s="52" t="str">
        <f t="shared" si="1674"/>
        <v/>
      </c>
      <c r="CC288" s="23">
        <f t="shared" si="1675"/>
        <v>0</v>
      </c>
      <c r="CD288" s="49" t="str">
        <f t="shared" si="1637"/>
        <v/>
      </c>
      <c r="CE288" s="56" t="str">
        <f>IF(CF288="","",MAX(CE$10:$CE287)+1)</f>
        <v/>
      </c>
      <c r="CF288" t="str">
        <f t="shared" si="1676"/>
        <v/>
      </c>
      <c r="CG288" s="22" t="str">
        <f>IF(CH288="","",MAX($CG$10:CG287)+1)</f>
        <v/>
      </c>
      <c r="CH288" s="22" t="str">
        <f t="shared" si="1621"/>
        <v/>
      </c>
      <c r="CI288" s="22" t="str">
        <f>IF(CJ288="","",MAX($CI$10:CI287)+1)</f>
        <v/>
      </c>
      <c r="CJ288" s="22" t="str">
        <f t="shared" si="1622"/>
        <v/>
      </c>
    </row>
    <row r="289" spans="2:88" x14ac:dyDescent="0.25">
      <c r="B289" s="37"/>
      <c r="C289" s="3"/>
      <c r="D289" s="77" t="str">
        <f t="shared" si="1608"/>
        <v/>
      </c>
      <c r="E289" s="38"/>
      <c r="F289" s="38"/>
      <c r="G289" s="78">
        <f t="shared" si="1623"/>
        <v>0</v>
      </c>
      <c r="H289" s="3">
        <v>80</v>
      </c>
      <c r="I289" s="77" t="str">
        <f t="shared" si="1609"/>
        <v/>
      </c>
      <c r="J289" s="32"/>
      <c r="K289" s="3"/>
      <c r="L289" s="39"/>
      <c r="M289" s="39"/>
      <c r="N289" s="39"/>
      <c r="O289" s="39"/>
      <c r="P289" s="39"/>
      <c r="Q289" s="39"/>
      <c r="R289" s="39"/>
      <c r="S289" s="39"/>
      <c r="T289" s="3" t="s">
        <v>645</v>
      </c>
      <c r="U289" s="77" t="str">
        <f t="shared" si="1610"/>
        <v/>
      </c>
      <c r="V289" s="39">
        <v>1</v>
      </c>
      <c r="W289" s="79">
        <f t="shared" si="1624"/>
        <v>0</v>
      </c>
      <c r="X289" s="3">
        <v>0</v>
      </c>
      <c r="Y289" s="77" t="str">
        <f t="shared" si="1611"/>
        <v/>
      </c>
      <c r="Z289" s="3"/>
      <c r="AA289" s="37" t="str">
        <f t="shared" si="1625"/>
        <v/>
      </c>
      <c r="AC289" s="40"/>
      <c r="AD289" s="7"/>
      <c r="AE289" s="77" t="str">
        <f t="shared" si="1612"/>
        <v/>
      </c>
      <c r="AF289" s="81">
        <f t="shared" si="1638"/>
        <v>0</v>
      </c>
      <c r="AG289" s="40"/>
      <c r="AH289" s="7"/>
      <c r="AI289" s="77" t="str">
        <f t="shared" si="1613"/>
        <v/>
      </c>
      <c r="AJ289" s="81">
        <f t="shared" si="1639"/>
        <v>0</v>
      </c>
      <c r="AK289" s="83">
        <f t="shared" si="1640"/>
        <v>0</v>
      </c>
      <c r="AL289" s="83">
        <f t="shared" si="1641"/>
        <v>0</v>
      </c>
      <c r="AN289" s="43">
        <f t="shared" si="1614"/>
        <v>0</v>
      </c>
      <c r="AP289" t="str">
        <f t="shared" si="1642"/>
        <v/>
      </c>
      <c r="AQ289" t="str">
        <f t="shared" si="1643"/>
        <v/>
      </c>
      <c r="AR289" t="str">
        <f t="shared" si="1644"/>
        <v/>
      </c>
      <c r="AS289" t="str">
        <f t="shared" si="1645"/>
        <v/>
      </c>
      <c r="AT289" t="str">
        <f t="shared" si="1646"/>
        <v/>
      </c>
      <c r="AU289" t="str">
        <f t="shared" si="1647"/>
        <v/>
      </c>
      <c r="AV289" t="str">
        <f t="shared" si="1648"/>
        <v/>
      </c>
      <c r="AW289" t="str">
        <f t="shared" si="1649"/>
        <v xml:space="preserve">                              </v>
      </c>
      <c r="AX289" s="23">
        <f t="shared" si="1650"/>
        <v>0</v>
      </c>
      <c r="AY289" s="49" t="str">
        <f t="shared" si="1626"/>
        <v>000000000000000</v>
      </c>
      <c r="AZ289" s="23">
        <f t="shared" si="1651"/>
        <v>0</v>
      </c>
      <c r="BA289" s="49" t="str">
        <f t="shared" si="1626"/>
        <v>000000000000000</v>
      </c>
      <c r="BB289" s="23">
        <f t="shared" si="1652"/>
        <v>0</v>
      </c>
      <c r="BC289" s="49" t="str">
        <f t="shared" ref="BC289" si="1785">IF(BB289&lt;0,SUBSTITUTE(TEXT(BB289,"000000000000,00"),",",""),SUBSTITUTE(TEXT(BB289,"0000000000000,00"),",",""))</f>
        <v>000000000000000</v>
      </c>
      <c r="BD289" s="23">
        <f t="shared" si="1654"/>
        <v>0</v>
      </c>
      <c r="BE289" s="49" t="str">
        <f t="shared" ref="BE289" si="1786">IF(BD289&lt;0,SUBSTITUTE(TEXT(BD289,"000000000000,00"),",",""),SUBSTITUTE(TEXT(BD289,"0000000000000,00"),",",""))</f>
        <v>000000000000000</v>
      </c>
      <c r="BF289" s="23">
        <f t="shared" si="1656"/>
        <v>0</v>
      </c>
      <c r="BG289" s="49" t="str">
        <f t="shared" ref="BG289" si="1787">IF(BF289&lt;0,SUBSTITUTE(TEXT(BF289,"000000000000,00"),",",""),SUBSTITUTE(TEXT(BF289,"0000000000000,00"),",",""))</f>
        <v>000000000000000</v>
      </c>
      <c r="BH289" s="23">
        <f t="shared" si="1658"/>
        <v>0</v>
      </c>
      <c r="BI289" s="49" t="str">
        <f t="shared" ref="BI289" si="1788">IF(BH289&lt;0,SUBSTITUTE(TEXT(BH289,"000000000000,00"),",",""),SUBSTITUTE(TEXT(BH289,"0000000000000,00"),",",""))</f>
        <v>000000000000000</v>
      </c>
      <c r="BJ289" s="23">
        <f t="shared" si="1660"/>
        <v>0</v>
      </c>
      <c r="BK289" s="49" t="str">
        <f t="shared" ref="BK289" si="1789">IF(BJ289&lt;0,SUBSTITUTE(TEXT(BJ289,"000000000000,00"),",",""),SUBSTITUTE(TEXT(BJ289,"0000000000000,00"),",",""))</f>
        <v>000000000000000</v>
      </c>
      <c r="BL289" s="23">
        <f t="shared" si="1662"/>
        <v>0</v>
      </c>
      <c r="BM289" s="49" t="str">
        <f t="shared" ref="BM289" si="1790">IF(BL289&lt;0,SUBSTITUTE(TEXT(BL289,"000000000000,00"),",",""),SUBSTITUTE(TEXT(BL289,"0000000000000,00"),",",""))</f>
        <v>000000000000000</v>
      </c>
      <c r="BN289" t="str">
        <f t="shared" si="1664"/>
        <v>PES</v>
      </c>
      <c r="BO289" t="str">
        <f t="shared" si="1665"/>
        <v>0001000000</v>
      </c>
      <c r="BP289">
        <f t="shared" si="1666"/>
        <v>0</v>
      </c>
      <c r="BQ289">
        <f t="shared" si="1667"/>
        <v>0</v>
      </c>
      <c r="BR289" s="23">
        <f t="shared" si="1668"/>
        <v>0</v>
      </c>
      <c r="BS289" s="49" t="str">
        <f t="shared" si="1633"/>
        <v>000000000000000</v>
      </c>
      <c r="BT289" t="str">
        <f t="shared" si="1669"/>
        <v>00000000</v>
      </c>
      <c r="BU289" s="23">
        <f t="shared" si="1670"/>
        <v>0</v>
      </c>
      <c r="BV289" s="49" t="str">
        <f t="shared" si="1634"/>
        <v/>
      </c>
      <c r="BW289" s="52" t="str">
        <f t="shared" si="1671"/>
        <v/>
      </c>
      <c r="BX289" s="23">
        <f t="shared" si="1672"/>
        <v>0</v>
      </c>
      <c r="BY289" s="49" t="str">
        <f t="shared" si="1635"/>
        <v/>
      </c>
      <c r="BZ289" s="23">
        <f t="shared" si="1673"/>
        <v>0</v>
      </c>
      <c r="CA289" s="49" t="str">
        <f t="shared" si="1636"/>
        <v/>
      </c>
      <c r="CB289" s="52" t="str">
        <f t="shared" si="1674"/>
        <v/>
      </c>
      <c r="CC289" s="23">
        <f t="shared" si="1675"/>
        <v>0</v>
      </c>
      <c r="CD289" s="49" t="str">
        <f t="shared" si="1637"/>
        <v/>
      </c>
      <c r="CE289" s="56" t="str">
        <f>IF(CF289="","",MAX(CE$10:$CE288)+1)</f>
        <v/>
      </c>
      <c r="CF289" t="str">
        <f t="shared" si="1676"/>
        <v/>
      </c>
      <c r="CG289" s="22" t="str">
        <f>IF(CH289="","",MAX($CG$10:CG288)+1)</f>
        <v/>
      </c>
      <c r="CH289" s="22" t="str">
        <f t="shared" si="1621"/>
        <v/>
      </c>
      <c r="CI289" s="22" t="str">
        <f>IF(CJ289="","",MAX($CI$10:CI288)+1)</f>
        <v/>
      </c>
      <c r="CJ289" s="22" t="str">
        <f t="shared" si="1622"/>
        <v/>
      </c>
    </row>
    <row r="290" spans="2:88" x14ac:dyDescent="0.25">
      <c r="B290" s="37"/>
      <c r="C290" s="3"/>
      <c r="D290" s="77" t="str">
        <f t="shared" si="1608"/>
        <v/>
      </c>
      <c r="E290" s="38"/>
      <c r="F290" s="38"/>
      <c r="G290" s="78">
        <f t="shared" si="1623"/>
        <v>0</v>
      </c>
      <c r="H290" s="3">
        <v>80</v>
      </c>
      <c r="I290" s="77" t="str">
        <f t="shared" si="1609"/>
        <v/>
      </c>
      <c r="J290" s="32"/>
      <c r="K290" s="3"/>
      <c r="L290" s="39"/>
      <c r="M290" s="39"/>
      <c r="N290" s="39"/>
      <c r="O290" s="39"/>
      <c r="P290" s="39"/>
      <c r="Q290" s="39"/>
      <c r="R290" s="39"/>
      <c r="S290" s="39"/>
      <c r="T290" s="3" t="s">
        <v>645</v>
      </c>
      <c r="U290" s="77" t="str">
        <f t="shared" si="1610"/>
        <v/>
      </c>
      <c r="V290" s="39">
        <v>1</v>
      </c>
      <c r="W290" s="79">
        <f t="shared" si="1624"/>
        <v>0</v>
      </c>
      <c r="X290" s="3">
        <v>0</v>
      </c>
      <c r="Y290" s="77" t="str">
        <f t="shared" si="1611"/>
        <v/>
      </c>
      <c r="Z290" s="3"/>
      <c r="AA290" s="37" t="str">
        <f t="shared" si="1625"/>
        <v/>
      </c>
      <c r="AC290" s="40"/>
      <c r="AD290" s="7"/>
      <c r="AE290" s="77" t="str">
        <f t="shared" si="1612"/>
        <v/>
      </c>
      <c r="AF290" s="81">
        <f t="shared" si="1638"/>
        <v>0</v>
      </c>
      <c r="AG290" s="40"/>
      <c r="AH290" s="7"/>
      <c r="AI290" s="77" t="str">
        <f t="shared" si="1613"/>
        <v/>
      </c>
      <c r="AJ290" s="81">
        <f t="shared" si="1639"/>
        <v>0</v>
      </c>
      <c r="AK290" s="83">
        <f t="shared" si="1640"/>
        <v>0</v>
      </c>
      <c r="AL290" s="83">
        <f t="shared" si="1641"/>
        <v>0</v>
      </c>
      <c r="AN290" s="43">
        <f t="shared" si="1614"/>
        <v>0</v>
      </c>
      <c r="AP290" t="str">
        <f t="shared" si="1642"/>
        <v/>
      </c>
      <c r="AQ290" t="str">
        <f t="shared" si="1643"/>
        <v/>
      </c>
      <c r="AR290" t="str">
        <f t="shared" si="1644"/>
        <v/>
      </c>
      <c r="AS290" t="str">
        <f t="shared" si="1645"/>
        <v/>
      </c>
      <c r="AT290" t="str">
        <f t="shared" si="1646"/>
        <v/>
      </c>
      <c r="AU290" t="str">
        <f t="shared" si="1647"/>
        <v/>
      </c>
      <c r="AV290" t="str">
        <f t="shared" si="1648"/>
        <v/>
      </c>
      <c r="AW290" t="str">
        <f t="shared" si="1649"/>
        <v xml:space="preserve">                              </v>
      </c>
      <c r="AX290" s="23">
        <f t="shared" si="1650"/>
        <v>0</v>
      </c>
      <c r="AY290" s="49" t="str">
        <f t="shared" si="1626"/>
        <v>000000000000000</v>
      </c>
      <c r="AZ290" s="23">
        <f t="shared" si="1651"/>
        <v>0</v>
      </c>
      <c r="BA290" s="49" t="str">
        <f t="shared" si="1626"/>
        <v>000000000000000</v>
      </c>
      <c r="BB290" s="23">
        <f t="shared" si="1652"/>
        <v>0</v>
      </c>
      <c r="BC290" s="49" t="str">
        <f t="shared" ref="BC290" si="1791">IF(BB290&lt;0,SUBSTITUTE(TEXT(BB290,"000000000000,00"),",",""),SUBSTITUTE(TEXT(BB290,"0000000000000,00"),",",""))</f>
        <v>000000000000000</v>
      </c>
      <c r="BD290" s="23">
        <f t="shared" si="1654"/>
        <v>0</v>
      </c>
      <c r="BE290" s="49" t="str">
        <f t="shared" ref="BE290" si="1792">IF(BD290&lt;0,SUBSTITUTE(TEXT(BD290,"000000000000,00"),",",""),SUBSTITUTE(TEXT(BD290,"0000000000000,00"),",",""))</f>
        <v>000000000000000</v>
      </c>
      <c r="BF290" s="23">
        <f t="shared" si="1656"/>
        <v>0</v>
      </c>
      <c r="BG290" s="49" t="str">
        <f t="shared" ref="BG290" si="1793">IF(BF290&lt;0,SUBSTITUTE(TEXT(BF290,"000000000000,00"),",",""),SUBSTITUTE(TEXT(BF290,"0000000000000,00"),",",""))</f>
        <v>000000000000000</v>
      </c>
      <c r="BH290" s="23">
        <f t="shared" si="1658"/>
        <v>0</v>
      </c>
      <c r="BI290" s="49" t="str">
        <f t="shared" ref="BI290" si="1794">IF(BH290&lt;0,SUBSTITUTE(TEXT(BH290,"000000000000,00"),",",""),SUBSTITUTE(TEXT(BH290,"0000000000000,00"),",",""))</f>
        <v>000000000000000</v>
      </c>
      <c r="BJ290" s="23">
        <f t="shared" si="1660"/>
        <v>0</v>
      </c>
      <c r="BK290" s="49" t="str">
        <f t="shared" ref="BK290" si="1795">IF(BJ290&lt;0,SUBSTITUTE(TEXT(BJ290,"000000000000,00"),",",""),SUBSTITUTE(TEXT(BJ290,"0000000000000,00"),",",""))</f>
        <v>000000000000000</v>
      </c>
      <c r="BL290" s="23">
        <f t="shared" si="1662"/>
        <v>0</v>
      </c>
      <c r="BM290" s="49" t="str">
        <f t="shared" ref="BM290" si="1796">IF(BL290&lt;0,SUBSTITUTE(TEXT(BL290,"000000000000,00"),",",""),SUBSTITUTE(TEXT(BL290,"0000000000000,00"),",",""))</f>
        <v>000000000000000</v>
      </c>
      <c r="BN290" t="str">
        <f t="shared" si="1664"/>
        <v>PES</v>
      </c>
      <c r="BO290" t="str">
        <f t="shared" si="1665"/>
        <v>0001000000</v>
      </c>
      <c r="BP290">
        <f t="shared" si="1666"/>
        <v>0</v>
      </c>
      <c r="BQ290">
        <f t="shared" si="1667"/>
        <v>0</v>
      </c>
      <c r="BR290" s="23">
        <f t="shared" si="1668"/>
        <v>0</v>
      </c>
      <c r="BS290" s="49" t="str">
        <f t="shared" si="1633"/>
        <v>000000000000000</v>
      </c>
      <c r="BT290" t="str">
        <f t="shared" si="1669"/>
        <v>00000000</v>
      </c>
      <c r="BU290" s="23">
        <f t="shared" si="1670"/>
        <v>0</v>
      </c>
      <c r="BV290" s="49" t="str">
        <f t="shared" si="1634"/>
        <v/>
      </c>
      <c r="BW290" s="52" t="str">
        <f t="shared" si="1671"/>
        <v/>
      </c>
      <c r="BX290" s="23">
        <f t="shared" si="1672"/>
        <v>0</v>
      </c>
      <c r="BY290" s="49" t="str">
        <f t="shared" si="1635"/>
        <v/>
      </c>
      <c r="BZ290" s="23">
        <f t="shared" si="1673"/>
        <v>0</v>
      </c>
      <c r="CA290" s="49" t="str">
        <f t="shared" si="1636"/>
        <v/>
      </c>
      <c r="CB290" s="52" t="str">
        <f t="shared" si="1674"/>
        <v/>
      </c>
      <c r="CC290" s="23">
        <f t="shared" si="1675"/>
        <v>0</v>
      </c>
      <c r="CD290" s="49" t="str">
        <f t="shared" si="1637"/>
        <v/>
      </c>
      <c r="CE290" s="56" t="str">
        <f>IF(CF290="","",MAX(CE$10:$CE289)+1)</f>
        <v/>
      </c>
      <c r="CF290" t="str">
        <f t="shared" si="1676"/>
        <v/>
      </c>
      <c r="CG290" s="22" t="str">
        <f>IF(CH290="","",MAX($CG$10:CG289)+1)</f>
        <v/>
      </c>
      <c r="CH290" s="22" t="str">
        <f t="shared" si="1621"/>
        <v/>
      </c>
      <c r="CI290" s="22" t="str">
        <f>IF(CJ290="","",MAX($CI$10:CI289)+1)</f>
        <v/>
      </c>
      <c r="CJ290" s="22" t="str">
        <f t="shared" si="1622"/>
        <v/>
      </c>
    </row>
    <row r="291" spans="2:88" x14ac:dyDescent="0.25">
      <c r="B291" s="37"/>
      <c r="C291" s="3"/>
      <c r="D291" s="77" t="str">
        <f t="shared" si="1608"/>
        <v/>
      </c>
      <c r="E291" s="38"/>
      <c r="F291" s="38"/>
      <c r="G291" s="78">
        <f t="shared" si="1623"/>
        <v>0</v>
      </c>
      <c r="H291" s="3">
        <v>80</v>
      </c>
      <c r="I291" s="77" t="str">
        <f t="shared" si="1609"/>
        <v/>
      </c>
      <c r="J291" s="32"/>
      <c r="K291" s="3"/>
      <c r="L291" s="39"/>
      <c r="M291" s="39"/>
      <c r="N291" s="39"/>
      <c r="O291" s="39"/>
      <c r="P291" s="39"/>
      <c r="Q291" s="39"/>
      <c r="R291" s="39"/>
      <c r="S291" s="39"/>
      <c r="T291" s="3" t="s">
        <v>645</v>
      </c>
      <c r="U291" s="77" t="str">
        <f t="shared" si="1610"/>
        <v/>
      </c>
      <c r="V291" s="39">
        <v>1</v>
      </c>
      <c r="W291" s="79">
        <f t="shared" si="1624"/>
        <v>0</v>
      </c>
      <c r="X291" s="3">
        <v>0</v>
      </c>
      <c r="Y291" s="77" t="str">
        <f t="shared" si="1611"/>
        <v/>
      </c>
      <c r="Z291" s="3"/>
      <c r="AA291" s="37" t="str">
        <f t="shared" si="1625"/>
        <v/>
      </c>
      <c r="AC291" s="40"/>
      <c r="AD291" s="7"/>
      <c r="AE291" s="77" t="str">
        <f t="shared" si="1612"/>
        <v/>
      </c>
      <c r="AF291" s="81">
        <f t="shared" si="1638"/>
        <v>0</v>
      </c>
      <c r="AG291" s="40"/>
      <c r="AH291" s="7"/>
      <c r="AI291" s="77" t="str">
        <f t="shared" si="1613"/>
        <v/>
      </c>
      <c r="AJ291" s="81">
        <f t="shared" si="1639"/>
        <v>0</v>
      </c>
      <c r="AK291" s="83">
        <f t="shared" si="1640"/>
        <v>0</v>
      </c>
      <c r="AL291" s="83">
        <f t="shared" si="1641"/>
        <v>0</v>
      </c>
      <c r="AN291" s="43">
        <f t="shared" si="1614"/>
        <v>0</v>
      </c>
      <c r="AP291" t="str">
        <f t="shared" si="1642"/>
        <v/>
      </c>
      <c r="AQ291" t="str">
        <f t="shared" si="1643"/>
        <v/>
      </c>
      <c r="AR291" t="str">
        <f t="shared" si="1644"/>
        <v/>
      </c>
      <c r="AS291" t="str">
        <f t="shared" si="1645"/>
        <v/>
      </c>
      <c r="AT291" t="str">
        <f t="shared" si="1646"/>
        <v/>
      </c>
      <c r="AU291" t="str">
        <f t="shared" si="1647"/>
        <v/>
      </c>
      <c r="AV291" t="str">
        <f t="shared" si="1648"/>
        <v/>
      </c>
      <c r="AW291" t="str">
        <f t="shared" si="1649"/>
        <v xml:space="preserve">                              </v>
      </c>
      <c r="AX291" s="23">
        <f t="shared" si="1650"/>
        <v>0</v>
      </c>
      <c r="AY291" s="49" t="str">
        <f t="shared" si="1626"/>
        <v>000000000000000</v>
      </c>
      <c r="AZ291" s="23">
        <f t="shared" si="1651"/>
        <v>0</v>
      </c>
      <c r="BA291" s="49" t="str">
        <f t="shared" si="1626"/>
        <v>000000000000000</v>
      </c>
      <c r="BB291" s="23">
        <f t="shared" si="1652"/>
        <v>0</v>
      </c>
      <c r="BC291" s="49" t="str">
        <f t="shared" ref="BC291" si="1797">IF(BB291&lt;0,SUBSTITUTE(TEXT(BB291,"000000000000,00"),",",""),SUBSTITUTE(TEXT(BB291,"0000000000000,00"),",",""))</f>
        <v>000000000000000</v>
      </c>
      <c r="BD291" s="23">
        <f t="shared" si="1654"/>
        <v>0</v>
      </c>
      <c r="BE291" s="49" t="str">
        <f t="shared" ref="BE291" si="1798">IF(BD291&lt;0,SUBSTITUTE(TEXT(BD291,"000000000000,00"),",",""),SUBSTITUTE(TEXT(BD291,"0000000000000,00"),",",""))</f>
        <v>000000000000000</v>
      </c>
      <c r="BF291" s="23">
        <f t="shared" si="1656"/>
        <v>0</v>
      </c>
      <c r="BG291" s="49" t="str">
        <f t="shared" ref="BG291" si="1799">IF(BF291&lt;0,SUBSTITUTE(TEXT(BF291,"000000000000,00"),",",""),SUBSTITUTE(TEXT(BF291,"0000000000000,00"),",",""))</f>
        <v>000000000000000</v>
      </c>
      <c r="BH291" s="23">
        <f t="shared" si="1658"/>
        <v>0</v>
      </c>
      <c r="BI291" s="49" t="str">
        <f t="shared" ref="BI291" si="1800">IF(BH291&lt;0,SUBSTITUTE(TEXT(BH291,"000000000000,00"),",",""),SUBSTITUTE(TEXT(BH291,"0000000000000,00"),",",""))</f>
        <v>000000000000000</v>
      </c>
      <c r="BJ291" s="23">
        <f t="shared" si="1660"/>
        <v>0</v>
      </c>
      <c r="BK291" s="49" t="str">
        <f t="shared" ref="BK291" si="1801">IF(BJ291&lt;0,SUBSTITUTE(TEXT(BJ291,"000000000000,00"),",",""),SUBSTITUTE(TEXT(BJ291,"0000000000000,00"),",",""))</f>
        <v>000000000000000</v>
      </c>
      <c r="BL291" s="23">
        <f t="shared" si="1662"/>
        <v>0</v>
      </c>
      <c r="BM291" s="49" t="str">
        <f t="shared" ref="BM291" si="1802">IF(BL291&lt;0,SUBSTITUTE(TEXT(BL291,"000000000000,00"),",",""),SUBSTITUTE(TEXT(BL291,"0000000000000,00"),",",""))</f>
        <v>000000000000000</v>
      </c>
      <c r="BN291" t="str">
        <f t="shared" si="1664"/>
        <v>PES</v>
      </c>
      <c r="BO291" t="str">
        <f t="shared" si="1665"/>
        <v>0001000000</v>
      </c>
      <c r="BP291">
        <f t="shared" si="1666"/>
        <v>0</v>
      </c>
      <c r="BQ291">
        <f t="shared" si="1667"/>
        <v>0</v>
      </c>
      <c r="BR291" s="23">
        <f t="shared" si="1668"/>
        <v>0</v>
      </c>
      <c r="BS291" s="49" t="str">
        <f t="shared" si="1633"/>
        <v>000000000000000</v>
      </c>
      <c r="BT291" t="str">
        <f t="shared" si="1669"/>
        <v>00000000</v>
      </c>
      <c r="BU291" s="23">
        <f t="shared" si="1670"/>
        <v>0</v>
      </c>
      <c r="BV291" s="49" t="str">
        <f t="shared" si="1634"/>
        <v/>
      </c>
      <c r="BW291" s="52" t="str">
        <f t="shared" si="1671"/>
        <v/>
      </c>
      <c r="BX291" s="23">
        <f t="shared" si="1672"/>
        <v>0</v>
      </c>
      <c r="BY291" s="49" t="str">
        <f t="shared" si="1635"/>
        <v/>
      </c>
      <c r="BZ291" s="23">
        <f t="shared" si="1673"/>
        <v>0</v>
      </c>
      <c r="CA291" s="49" t="str">
        <f t="shared" si="1636"/>
        <v/>
      </c>
      <c r="CB291" s="52" t="str">
        <f t="shared" si="1674"/>
        <v/>
      </c>
      <c r="CC291" s="23">
        <f t="shared" si="1675"/>
        <v>0</v>
      </c>
      <c r="CD291" s="49" t="str">
        <f t="shared" si="1637"/>
        <v/>
      </c>
      <c r="CE291" s="56" t="str">
        <f>IF(CF291="","",MAX(CE$10:$CE290)+1)</f>
        <v/>
      </c>
      <c r="CF291" t="str">
        <f t="shared" si="1676"/>
        <v/>
      </c>
      <c r="CG291" s="22" t="str">
        <f>IF(CH291="","",MAX($CG$10:CG290)+1)</f>
        <v/>
      </c>
      <c r="CH291" s="22" t="str">
        <f t="shared" si="1621"/>
        <v/>
      </c>
      <c r="CI291" s="22" t="str">
        <f>IF(CJ291="","",MAX($CI$10:CI290)+1)</f>
        <v/>
      </c>
      <c r="CJ291" s="22" t="str">
        <f t="shared" si="1622"/>
        <v/>
      </c>
    </row>
    <row r="292" spans="2:88" x14ac:dyDescent="0.25">
      <c r="B292" s="37"/>
      <c r="C292" s="3"/>
      <c r="D292" s="77" t="str">
        <f t="shared" si="1608"/>
        <v/>
      </c>
      <c r="E292" s="38"/>
      <c r="F292" s="38"/>
      <c r="G292" s="78">
        <f t="shared" si="1623"/>
        <v>0</v>
      </c>
      <c r="H292" s="3">
        <v>80</v>
      </c>
      <c r="I292" s="77" t="str">
        <f t="shared" si="1609"/>
        <v/>
      </c>
      <c r="J292" s="32"/>
      <c r="K292" s="3"/>
      <c r="L292" s="39"/>
      <c r="M292" s="39"/>
      <c r="N292" s="39"/>
      <c r="O292" s="39"/>
      <c r="P292" s="39"/>
      <c r="Q292" s="39"/>
      <c r="R292" s="39"/>
      <c r="S292" s="39"/>
      <c r="T292" s="3" t="s">
        <v>645</v>
      </c>
      <c r="U292" s="77" t="str">
        <f t="shared" si="1610"/>
        <v/>
      </c>
      <c r="V292" s="39">
        <v>1</v>
      </c>
      <c r="W292" s="79">
        <f t="shared" si="1624"/>
        <v>0</v>
      </c>
      <c r="X292" s="3">
        <v>0</v>
      </c>
      <c r="Y292" s="77" t="str">
        <f t="shared" si="1611"/>
        <v/>
      </c>
      <c r="Z292" s="3"/>
      <c r="AA292" s="37" t="str">
        <f t="shared" si="1625"/>
        <v/>
      </c>
      <c r="AC292" s="40"/>
      <c r="AD292" s="7"/>
      <c r="AE292" s="77" t="str">
        <f t="shared" si="1612"/>
        <v/>
      </c>
      <c r="AF292" s="81">
        <f t="shared" si="1638"/>
        <v>0</v>
      </c>
      <c r="AG292" s="40"/>
      <c r="AH292" s="7"/>
      <c r="AI292" s="77" t="str">
        <f t="shared" si="1613"/>
        <v/>
      </c>
      <c r="AJ292" s="81">
        <f t="shared" si="1639"/>
        <v>0</v>
      </c>
      <c r="AK292" s="83">
        <f t="shared" si="1640"/>
        <v>0</v>
      </c>
      <c r="AL292" s="83">
        <f t="shared" si="1641"/>
        <v>0</v>
      </c>
      <c r="AN292" s="43">
        <f t="shared" si="1614"/>
        <v>0</v>
      </c>
      <c r="AP292" t="str">
        <f t="shared" si="1642"/>
        <v/>
      </c>
      <c r="AQ292" t="str">
        <f t="shared" si="1643"/>
        <v/>
      </c>
      <c r="AR292" t="str">
        <f t="shared" si="1644"/>
        <v/>
      </c>
      <c r="AS292" t="str">
        <f t="shared" si="1645"/>
        <v/>
      </c>
      <c r="AT292" t="str">
        <f t="shared" si="1646"/>
        <v/>
      </c>
      <c r="AU292" t="str">
        <f t="shared" si="1647"/>
        <v/>
      </c>
      <c r="AV292" t="str">
        <f t="shared" si="1648"/>
        <v/>
      </c>
      <c r="AW292" t="str">
        <f t="shared" si="1649"/>
        <v xml:space="preserve">                              </v>
      </c>
      <c r="AX292" s="23">
        <f t="shared" si="1650"/>
        <v>0</v>
      </c>
      <c r="AY292" s="49" t="str">
        <f t="shared" si="1626"/>
        <v>000000000000000</v>
      </c>
      <c r="AZ292" s="23">
        <f t="shared" si="1651"/>
        <v>0</v>
      </c>
      <c r="BA292" s="49" t="str">
        <f t="shared" si="1626"/>
        <v>000000000000000</v>
      </c>
      <c r="BB292" s="23">
        <f t="shared" si="1652"/>
        <v>0</v>
      </c>
      <c r="BC292" s="49" t="str">
        <f t="shared" ref="BC292" si="1803">IF(BB292&lt;0,SUBSTITUTE(TEXT(BB292,"000000000000,00"),",",""),SUBSTITUTE(TEXT(BB292,"0000000000000,00"),",",""))</f>
        <v>000000000000000</v>
      </c>
      <c r="BD292" s="23">
        <f t="shared" si="1654"/>
        <v>0</v>
      </c>
      <c r="BE292" s="49" t="str">
        <f t="shared" ref="BE292" si="1804">IF(BD292&lt;0,SUBSTITUTE(TEXT(BD292,"000000000000,00"),",",""),SUBSTITUTE(TEXT(BD292,"0000000000000,00"),",",""))</f>
        <v>000000000000000</v>
      </c>
      <c r="BF292" s="23">
        <f t="shared" si="1656"/>
        <v>0</v>
      </c>
      <c r="BG292" s="49" t="str">
        <f t="shared" ref="BG292" si="1805">IF(BF292&lt;0,SUBSTITUTE(TEXT(BF292,"000000000000,00"),",",""),SUBSTITUTE(TEXT(BF292,"0000000000000,00"),",",""))</f>
        <v>000000000000000</v>
      </c>
      <c r="BH292" s="23">
        <f t="shared" si="1658"/>
        <v>0</v>
      </c>
      <c r="BI292" s="49" t="str">
        <f t="shared" ref="BI292" si="1806">IF(BH292&lt;0,SUBSTITUTE(TEXT(BH292,"000000000000,00"),",",""),SUBSTITUTE(TEXT(BH292,"0000000000000,00"),",",""))</f>
        <v>000000000000000</v>
      </c>
      <c r="BJ292" s="23">
        <f t="shared" si="1660"/>
        <v>0</v>
      </c>
      <c r="BK292" s="49" t="str">
        <f t="shared" ref="BK292" si="1807">IF(BJ292&lt;0,SUBSTITUTE(TEXT(BJ292,"000000000000,00"),",",""),SUBSTITUTE(TEXT(BJ292,"0000000000000,00"),",",""))</f>
        <v>000000000000000</v>
      </c>
      <c r="BL292" s="23">
        <f t="shared" si="1662"/>
        <v>0</v>
      </c>
      <c r="BM292" s="49" t="str">
        <f t="shared" ref="BM292" si="1808">IF(BL292&lt;0,SUBSTITUTE(TEXT(BL292,"000000000000,00"),",",""),SUBSTITUTE(TEXT(BL292,"0000000000000,00"),",",""))</f>
        <v>000000000000000</v>
      </c>
      <c r="BN292" t="str">
        <f t="shared" si="1664"/>
        <v>PES</v>
      </c>
      <c r="BO292" t="str">
        <f t="shared" si="1665"/>
        <v>0001000000</v>
      </c>
      <c r="BP292">
        <f t="shared" si="1666"/>
        <v>0</v>
      </c>
      <c r="BQ292">
        <f t="shared" si="1667"/>
        <v>0</v>
      </c>
      <c r="BR292" s="23">
        <f t="shared" si="1668"/>
        <v>0</v>
      </c>
      <c r="BS292" s="49" t="str">
        <f t="shared" si="1633"/>
        <v>000000000000000</v>
      </c>
      <c r="BT292" t="str">
        <f t="shared" si="1669"/>
        <v>00000000</v>
      </c>
      <c r="BU292" s="23">
        <f t="shared" si="1670"/>
        <v>0</v>
      </c>
      <c r="BV292" s="49" t="str">
        <f t="shared" si="1634"/>
        <v/>
      </c>
      <c r="BW292" s="52" t="str">
        <f t="shared" si="1671"/>
        <v/>
      </c>
      <c r="BX292" s="23">
        <f t="shared" si="1672"/>
        <v>0</v>
      </c>
      <c r="BY292" s="49" t="str">
        <f t="shared" si="1635"/>
        <v/>
      </c>
      <c r="BZ292" s="23">
        <f t="shared" si="1673"/>
        <v>0</v>
      </c>
      <c r="CA292" s="49" t="str">
        <f t="shared" si="1636"/>
        <v/>
      </c>
      <c r="CB292" s="52" t="str">
        <f t="shared" si="1674"/>
        <v/>
      </c>
      <c r="CC292" s="23">
        <f t="shared" si="1675"/>
        <v>0</v>
      </c>
      <c r="CD292" s="49" t="str">
        <f t="shared" si="1637"/>
        <v/>
      </c>
      <c r="CE292" s="56" t="str">
        <f>IF(CF292="","",MAX(CE$10:$CE291)+1)</f>
        <v/>
      </c>
      <c r="CF292" t="str">
        <f t="shared" si="1676"/>
        <v/>
      </c>
      <c r="CG292" s="22" t="str">
        <f>IF(CH292="","",MAX($CG$10:CG291)+1)</f>
        <v/>
      </c>
      <c r="CH292" s="22" t="str">
        <f t="shared" si="1621"/>
        <v/>
      </c>
      <c r="CI292" s="22" t="str">
        <f>IF(CJ292="","",MAX($CI$10:CI291)+1)</f>
        <v/>
      </c>
      <c r="CJ292" s="22" t="str">
        <f t="shared" si="1622"/>
        <v/>
      </c>
    </row>
    <row r="293" spans="2:88" x14ac:dyDescent="0.25">
      <c r="B293" s="37"/>
      <c r="C293" s="3"/>
      <c r="D293" s="77" t="str">
        <f t="shared" si="1608"/>
        <v/>
      </c>
      <c r="E293" s="38"/>
      <c r="F293" s="38"/>
      <c r="G293" s="78">
        <f t="shared" si="1623"/>
        <v>0</v>
      </c>
      <c r="H293" s="3">
        <v>80</v>
      </c>
      <c r="I293" s="77" t="str">
        <f t="shared" si="1609"/>
        <v/>
      </c>
      <c r="J293" s="32"/>
      <c r="K293" s="3"/>
      <c r="L293" s="39"/>
      <c r="M293" s="39"/>
      <c r="N293" s="39"/>
      <c r="O293" s="39"/>
      <c r="P293" s="39"/>
      <c r="Q293" s="39"/>
      <c r="R293" s="39"/>
      <c r="S293" s="39"/>
      <c r="T293" s="3" t="s">
        <v>645</v>
      </c>
      <c r="U293" s="77" t="str">
        <f t="shared" si="1610"/>
        <v/>
      </c>
      <c r="V293" s="39">
        <v>1</v>
      </c>
      <c r="W293" s="79">
        <f t="shared" si="1624"/>
        <v>0</v>
      </c>
      <c r="X293" s="3">
        <v>0</v>
      </c>
      <c r="Y293" s="77" t="str">
        <f t="shared" si="1611"/>
        <v/>
      </c>
      <c r="Z293" s="3"/>
      <c r="AA293" s="37" t="str">
        <f t="shared" si="1625"/>
        <v/>
      </c>
      <c r="AC293" s="40"/>
      <c r="AD293" s="7"/>
      <c r="AE293" s="77" t="str">
        <f t="shared" si="1612"/>
        <v/>
      </c>
      <c r="AF293" s="81">
        <f t="shared" si="1638"/>
        <v>0</v>
      </c>
      <c r="AG293" s="40"/>
      <c r="AH293" s="7"/>
      <c r="AI293" s="77" t="str">
        <f t="shared" si="1613"/>
        <v/>
      </c>
      <c r="AJ293" s="81">
        <f t="shared" si="1639"/>
        <v>0</v>
      </c>
      <c r="AK293" s="83">
        <f t="shared" si="1640"/>
        <v>0</v>
      </c>
      <c r="AL293" s="83">
        <f t="shared" si="1641"/>
        <v>0</v>
      </c>
      <c r="AN293" s="43">
        <f t="shared" si="1614"/>
        <v>0</v>
      </c>
      <c r="AP293" t="str">
        <f t="shared" si="1642"/>
        <v/>
      </c>
      <c r="AQ293" t="str">
        <f t="shared" si="1643"/>
        <v/>
      </c>
      <c r="AR293" t="str">
        <f t="shared" si="1644"/>
        <v/>
      </c>
      <c r="AS293" t="str">
        <f t="shared" si="1645"/>
        <v/>
      </c>
      <c r="AT293" t="str">
        <f t="shared" si="1646"/>
        <v/>
      </c>
      <c r="AU293" t="str">
        <f t="shared" si="1647"/>
        <v/>
      </c>
      <c r="AV293" t="str">
        <f t="shared" si="1648"/>
        <v/>
      </c>
      <c r="AW293" t="str">
        <f t="shared" si="1649"/>
        <v xml:space="preserve">                              </v>
      </c>
      <c r="AX293" s="23">
        <f t="shared" si="1650"/>
        <v>0</v>
      </c>
      <c r="AY293" s="49" t="str">
        <f t="shared" si="1626"/>
        <v>000000000000000</v>
      </c>
      <c r="AZ293" s="23">
        <f t="shared" si="1651"/>
        <v>0</v>
      </c>
      <c r="BA293" s="49" t="str">
        <f t="shared" si="1626"/>
        <v>000000000000000</v>
      </c>
      <c r="BB293" s="23">
        <f t="shared" si="1652"/>
        <v>0</v>
      </c>
      <c r="BC293" s="49" t="str">
        <f t="shared" ref="BC293" si="1809">IF(BB293&lt;0,SUBSTITUTE(TEXT(BB293,"000000000000,00"),",",""),SUBSTITUTE(TEXT(BB293,"0000000000000,00"),",",""))</f>
        <v>000000000000000</v>
      </c>
      <c r="BD293" s="23">
        <f t="shared" si="1654"/>
        <v>0</v>
      </c>
      <c r="BE293" s="49" t="str">
        <f t="shared" ref="BE293" si="1810">IF(BD293&lt;0,SUBSTITUTE(TEXT(BD293,"000000000000,00"),",",""),SUBSTITUTE(TEXT(BD293,"0000000000000,00"),",",""))</f>
        <v>000000000000000</v>
      </c>
      <c r="BF293" s="23">
        <f t="shared" si="1656"/>
        <v>0</v>
      </c>
      <c r="BG293" s="49" t="str">
        <f t="shared" ref="BG293" si="1811">IF(BF293&lt;0,SUBSTITUTE(TEXT(BF293,"000000000000,00"),",",""),SUBSTITUTE(TEXT(BF293,"0000000000000,00"),",",""))</f>
        <v>000000000000000</v>
      </c>
      <c r="BH293" s="23">
        <f t="shared" si="1658"/>
        <v>0</v>
      </c>
      <c r="BI293" s="49" t="str">
        <f t="shared" ref="BI293" si="1812">IF(BH293&lt;0,SUBSTITUTE(TEXT(BH293,"000000000000,00"),",",""),SUBSTITUTE(TEXT(BH293,"0000000000000,00"),",",""))</f>
        <v>000000000000000</v>
      </c>
      <c r="BJ293" s="23">
        <f t="shared" si="1660"/>
        <v>0</v>
      </c>
      <c r="BK293" s="49" t="str">
        <f t="shared" ref="BK293" si="1813">IF(BJ293&lt;0,SUBSTITUTE(TEXT(BJ293,"000000000000,00"),",",""),SUBSTITUTE(TEXT(BJ293,"0000000000000,00"),",",""))</f>
        <v>000000000000000</v>
      </c>
      <c r="BL293" s="23">
        <f t="shared" si="1662"/>
        <v>0</v>
      </c>
      <c r="BM293" s="49" t="str">
        <f t="shared" ref="BM293" si="1814">IF(BL293&lt;0,SUBSTITUTE(TEXT(BL293,"000000000000,00"),",",""),SUBSTITUTE(TEXT(BL293,"0000000000000,00"),",",""))</f>
        <v>000000000000000</v>
      </c>
      <c r="BN293" t="str">
        <f t="shared" si="1664"/>
        <v>PES</v>
      </c>
      <c r="BO293" t="str">
        <f t="shared" si="1665"/>
        <v>0001000000</v>
      </c>
      <c r="BP293">
        <f t="shared" si="1666"/>
        <v>0</v>
      </c>
      <c r="BQ293">
        <f t="shared" si="1667"/>
        <v>0</v>
      </c>
      <c r="BR293" s="23">
        <f t="shared" si="1668"/>
        <v>0</v>
      </c>
      <c r="BS293" s="49" t="str">
        <f t="shared" si="1633"/>
        <v>000000000000000</v>
      </c>
      <c r="BT293" t="str">
        <f t="shared" si="1669"/>
        <v>00000000</v>
      </c>
      <c r="BU293" s="23">
        <f t="shared" si="1670"/>
        <v>0</v>
      </c>
      <c r="BV293" s="49" t="str">
        <f t="shared" si="1634"/>
        <v/>
      </c>
      <c r="BW293" s="52" t="str">
        <f t="shared" si="1671"/>
        <v/>
      </c>
      <c r="BX293" s="23">
        <f t="shared" si="1672"/>
        <v>0</v>
      </c>
      <c r="BY293" s="49" t="str">
        <f t="shared" si="1635"/>
        <v/>
      </c>
      <c r="BZ293" s="23">
        <f t="shared" si="1673"/>
        <v>0</v>
      </c>
      <c r="CA293" s="49" t="str">
        <f t="shared" si="1636"/>
        <v/>
      </c>
      <c r="CB293" s="52" t="str">
        <f t="shared" si="1674"/>
        <v/>
      </c>
      <c r="CC293" s="23">
        <f t="shared" si="1675"/>
        <v>0</v>
      </c>
      <c r="CD293" s="49" t="str">
        <f t="shared" si="1637"/>
        <v/>
      </c>
      <c r="CE293" s="56" t="str">
        <f>IF(CF293="","",MAX(CE$10:$CE292)+1)</f>
        <v/>
      </c>
      <c r="CF293" t="str">
        <f t="shared" si="1676"/>
        <v/>
      </c>
      <c r="CG293" s="22" t="str">
        <f>IF(CH293="","",MAX($CG$10:CG292)+1)</f>
        <v/>
      </c>
      <c r="CH293" s="22" t="str">
        <f t="shared" si="1621"/>
        <v/>
      </c>
      <c r="CI293" s="22" t="str">
        <f>IF(CJ293="","",MAX($CI$10:CI292)+1)</f>
        <v/>
      </c>
      <c r="CJ293" s="22" t="str">
        <f t="shared" si="1622"/>
        <v/>
      </c>
    </row>
    <row r="294" spans="2:88" x14ac:dyDescent="0.25">
      <c r="B294" s="37"/>
      <c r="C294" s="3"/>
      <c r="D294" s="77" t="str">
        <f t="shared" si="1608"/>
        <v/>
      </c>
      <c r="E294" s="38"/>
      <c r="F294" s="38"/>
      <c r="G294" s="78">
        <f t="shared" si="1623"/>
        <v>0</v>
      </c>
      <c r="H294" s="3">
        <v>80</v>
      </c>
      <c r="I294" s="77" t="str">
        <f t="shared" si="1609"/>
        <v/>
      </c>
      <c r="J294" s="32"/>
      <c r="K294" s="3"/>
      <c r="L294" s="39"/>
      <c r="M294" s="39"/>
      <c r="N294" s="39"/>
      <c r="O294" s="39"/>
      <c r="P294" s="39"/>
      <c r="Q294" s="39"/>
      <c r="R294" s="39"/>
      <c r="S294" s="39"/>
      <c r="T294" s="3" t="s">
        <v>645</v>
      </c>
      <c r="U294" s="77" t="str">
        <f t="shared" si="1610"/>
        <v/>
      </c>
      <c r="V294" s="39">
        <v>1</v>
      </c>
      <c r="W294" s="79">
        <f t="shared" si="1624"/>
        <v>0</v>
      </c>
      <c r="X294" s="3">
        <v>0</v>
      </c>
      <c r="Y294" s="77" t="str">
        <f t="shared" si="1611"/>
        <v/>
      </c>
      <c r="Z294" s="3"/>
      <c r="AA294" s="37" t="str">
        <f t="shared" si="1625"/>
        <v/>
      </c>
      <c r="AC294" s="40"/>
      <c r="AD294" s="7"/>
      <c r="AE294" s="77" t="str">
        <f t="shared" si="1612"/>
        <v/>
      </c>
      <c r="AF294" s="81">
        <f t="shared" si="1638"/>
        <v>0</v>
      </c>
      <c r="AG294" s="40"/>
      <c r="AH294" s="7"/>
      <c r="AI294" s="77" t="str">
        <f t="shared" si="1613"/>
        <v/>
      </c>
      <c r="AJ294" s="81">
        <f t="shared" si="1639"/>
        <v>0</v>
      </c>
      <c r="AK294" s="83">
        <f t="shared" si="1640"/>
        <v>0</v>
      </c>
      <c r="AL294" s="83">
        <f t="shared" si="1641"/>
        <v>0</v>
      </c>
      <c r="AN294" s="43">
        <f t="shared" si="1614"/>
        <v>0</v>
      </c>
      <c r="AP294" t="str">
        <f t="shared" si="1642"/>
        <v/>
      </c>
      <c r="AQ294" t="str">
        <f t="shared" si="1643"/>
        <v/>
      </c>
      <c r="AR294" t="str">
        <f t="shared" si="1644"/>
        <v/>
      </c>
      <c r="AS294" t="str">
        <f t="shared" si="1645"/>
        <v/>
      </c>
      <c r="AT294" t="str">
        <f t="shared" si="1646"/>
        <v/>
      </c>
      <c r="AU294" t="str">
        <f t="shared" si="1647"/>
        <v/>
      </c>
      <c r="AV294" t="str">
        <f t="shared" si="1648"/>
        <v/>
      </c>
      <c r="AW294" t="str">
        <f t="shared" si="1649"/>
        <v xml:space="preserve">                              </v>
      </c>
      <c r="AX294" s="23">
        <f t="shared" si="1650"/>
        <v>0</v>
      </c>
      <c r="AY294" s="49" t="str">
        <f t="shared" si="1626"/>
        <v>000000000000000</v>
      </c>
      <c r="AZ294" s="23">
        <f t="shared" si="1651"/>
        <v>0</v>
      </c>
      <c r="BA294" s="49" t="str">
        <f t="shared" si="1626"/>
        <v>000000000000000</v>
      </c>
      <c r="BB294" s="23">
        <f t="shared" si="1652"/>
        <v>0</v>
      </c>
      <c r="BC294" s="49" t="str">
        <f t="shared" ref="BC294" si="1815">IF(BB294&lt;0,SUBSTITUTE(TEXT(BB294,"000000000000,00"),",",""),SUBSTITUTE(TEXT(BB294,"0000000000000,00"),",",""))</f>
        <v>000000000000000</v>
      </c>
      <c r="BD294" s="23">
        <f t="shared" si="1654"/>
        <v>0</v>
      </c>
      <c r="BE294" s="49" t="str">
        <f t="shared" ref="BE294" si="1816">IF(BD294&lt;0,SUBSTITUTE(TEXT(BD294,"000000000000,00"),",",""),SUBSTITUTE(TEXT(BD294,"0000000000000,00"),",",""))</f>
        <v>000000000000000</v>
      </c>
      <c r="BF294" s="23">
        <f t="shared" si="1656"/>
        <v>0</v>
      </c>
      <c r="BG294" s="49" t="str">
        <f t="shared" ref="BG294" si="1817">IF(BF294&lt;0,SUBSTITUTE(TEXT(BF294,"000000000000,00"),",",""),SUBSTITUTE(TEXT(BF294,"0000000000000,00"),",",""))</f>
        <v>000000000000000</v>
      </c>
      <c r="BH294" s="23">
        <f t="shared" si="1658"/>
        <v>0</v>
      </c>
      <c r="BI294" s="49" t="str">
        <f t="shared" ref="BI294" si="1818">IF(BH294&lt;0,SUBSTITUTE(TEXT(BH294,"000000000000,00"),",",""),SUBSTITUTE(TEXT(BH294,"0000000000000,00"),",",""))</f>
        <v>000000000000000</v>
      </c>
      <c r="BJ294" s="23">
        <f t="shared" si="1660"/>
        <v>0</v>
      </c>
      <c r="BK294" s="49" t="str">
        <f t="shared" ref="BK294" si="1819">IF(BJ294&lt;0,SUBSTITUTE(TEXT(BJ294,"000000000000,00"),",",""),SUBSTITUTE(TEXT(BJ294,"0000000000000,00"),",",""))</f>
        <v>000000000000000</v>
      </c>
      <c r="BL294" s="23">
        <f t="shared" si="1662"/>
        <v>0</v>
      </c>
      <c r="BM294" s="49" t="str">
        <f t="shared" ref="BM294" si="1820">IF(BL294&lt;0,SUBSTITUTE(TEXT(BL294,"000000000000,00"),",",""),SUBSTITUTE(TEXT(BL294,"0000000000000,00"),",",""))</f>
        <v>000000000000000</v>
      </c>
      <c r="BN294" t="str">
        <f t="shared" si="1664"/>
        <v>PES</v>
      </c>
      <c r="BO294" t="str">
        <f t="shared" si="1665"/>
        <v>0001000000</v>
      </c>
      <c r="BP294">
        <f t="shared" si="1666"/>
        <v>0</v>
      </c>
      <c r="BQ294">
        <f t="shared" si="1667"/>
        <v>0</v>
      </c>
      <c r="BR294" s="23">
        <f t="shared" si="1668"/>
        <v>0</v>
      </c>
      <c r="BS294" s="49" t="str">
        <f t="shared" si="1633"/>
        <v>000000000000000</v>
      </c>
      <c r="BT294" t="str">
        <f t="shared" si="1669"/>
        <v>00000000</v>
      </c>
      <c r="BU294" s="23">
        <f t="shared" si="1670"/>
        <v>0</v>
      </c>
      <c r="BV294" s="49" t="str">
        <f t="shared" si="1634"/>
        <v/>
      </c>
      <c r="BW294" s="52" t="str">
        <f t="shared" si="1671"/>
        <v/>
      </c>
      <c r="BX294" s="23">
        <f t="shared" si="1672"/>
        <v>0</v>
      </c>
      <c r="BY294" s="49" t="str">
        <f t="shared" si="1635"/>
        <v/>
      </c>
      <c r="BZ294" s="23">
        <f t="shared" si="1673"/>
        <v>0</v>
      </c>
      <c r="CA294" s="49" t="str">
        <f t="shared" si="1636"/>
        <v/>
      </c>
      <c r="CB294" s="52" t="str">
        <f t="shared" si="1674"/>
        <v/>
      </c>
      <c r="CC294" s="23">
        <f t="shared" si="1675"/>
        <v>0</v>
      </c>
      <c r="CD294" s="49" t="str">
        <f t="shared" si="1637"/>
        <v/>
      </c>
      <c r="CE294" s="56" t="str">
        <f>IF(CF294="","",MAX(CE$10:$CE293)+1)</f>
        <v/>
      </c>
      <c r="CF294" t="str">
        <f t="shared" si="1676"/>
        <v/>
      </c>
      <c r="CG294" s="22" t="str">
        <f>IF(CH294="","",MAX($CG$10:CG293)+1)</f>
        <v/>
      </c>
      <c r="CH294" s="22" t="str">
        <f t="shared" si="1621"/>
        <v/>
      </c>
      <c r="CI294" s="22" t="str">
        <f>IF(CJ294="","",MAX($CI$10:CI293)+1)</f>
        <v/>
      </c>
      <c r="CJ294" s="22" t="str">
        <f t="shared" si="1622"/>
        <v/>
      </c>
    </row>
    <row r="295" spans="2:88" x14ac:dyDescent="0.25">
      <c r="B295" s="37"/>
      <c r="C295" s="3"/>
      <c r="D295" s="77" t="str">
        <f t="shared" si="1608"/>
        <v/>
      </c>
      <c r="E295" s="38"/>
      <c r="F295" s="38"/>
      <c r="G295" s="78">
        <f t="shared" si="1623"/>
        <v>0</v>
      </c>
      <c r="H295" s="3">
        <v>80</v>
      </c>
      <c r="I295" s="77" t="str">
        <f t="shared" si="1609"/>
        <v/>
      </c>
      <c r="J295" s="32"/>
      <c r="K295" s="3"/>
      <c r="L295" s="39"/>
      <c r="M295" s="39"/>
      <c r="N295" s="39"/>
      <c r="O295" s="39"/>
      <c r="P295" s="39"/>
      <c r="Q295" s="39"/>
      <c r="R295" s="39"/>
      <c r="S295" s="39"/>
      <c r="T295" s="3" t="s">
        <v>645</v>
      </c>
      <c r="U295" s="77" t="str">
        <f t="shared" si="1610"/>
        <v/>
      </c>
      <c r="V295" s="39">
        <v>1</v>
      </c>
      <c r="W295" s="79">
        <f t="shared" si="1624"/>
        <v>0</v>
      </c>
      <c r="X295" s="3">
        <v>0</v>
      </c>
      <c r="Y295" s="77" t="str">
        <f t="shared" si="1611"/>
        <v/>
      </c>
      <c r="Z295" s="3"/>
      <c r="AA295" s="37" t="str">
        <f t="shared" si="1625"/>
        <v/>
      </c>
      <c r="AC295" s="40"/>
      <c r="AD295" s="7"/>
      <c r="AE295" s="77" t="str">
        <f t="shared" si="1612"/>
        <v/>
      </c>
      <c r="AF295" s="81">
        <f t="shared" si="1638"/>
        <v>0</v>
      </c>
      <c r="AG295" s="40"/>
      <c r="AH295" s="7"/>
      <c r="AI295" s="77" t="str">
        <f t="shared" si="1613"/>
        <v/>
      </c>
      <c r="AJ295" s="81">
        <f t="shared" si="1639"/>
        <v>0</v>
      </c>
      <c r="AK295" s="83">
        <f t="shared" si="1640"/>
        <v>0</v>
      </c>
      <c r="AL295" s="83">
        <f t="shared" si="1641"/>
        <v>0</v>
      </c>
      <c r="AN295" s="43">
        <f t="shared" si="1614"/>
        <v>0</v>
      </c>
      <c r="AP295" t="str">
        <f t="shared" si="1642"/>
        <v/>
      </c>
      <c r="AQ295" t="str">
        <f t="shared" si="1643"/>
        <v/>
      </c>
      <c r="AR295" t="str">
        <f t="shared" si="1644"/>
        <v/>
      </c>
      <c r="AS295" t="str">
        <f t="shared" si="1645"/>
        <v/>
      </c>
      <c r="AT295" t="str">
        <f t="shared" si="1646"/>
        <v/>
      </c>
      <c r="AU295" t="str">
        <f t="shared" si="1647"/>
        <v/>
      </c>
      <c r="AV295" t="str">
        <f t="shared" si="1648"/>
        <v/>
      </c>
      <c r="AW295" t="str">
        <f t="shared" si="1649"/>
        <v xml:space="preserve">                              </v>
      </c>
      <c r="AX295" s="23">
        <f t="shared" si="1650"/>
        <v>0</v>
      </c>
      <c r="AY295" s="49" t="str">
        <f t="shared" si="1626"/>
        <v>000000000000000</v>
      </c>
      <c r="AZ295" s="23">
        <f t="shared" si="1651"/>
        <v>0</v>
      </c>
      <c r="BA295" s="49" t="str">
        <f t="shared" si="1626"/>
        <v>000000000000000</v>
      </c>
      <c r="BB295" s="23">
        <f t="shared" si="1652"/>
        <v>0</v>
      </c>
      <c r="BC295" s="49" t="str">
        <f t="shared" ref="BC295" si="1821">IF(BB295&lt;0,SUBSTITUTE(TEXT(BB295,"000000000000,00"),",",""),SUBSTITUTE(TEXT(BB295,"0000000000000,00"),",",""))</f>
        <v>000000000000000</v>
      </c>
      <c r="BD295" s="23">
        <f t="shared" si="1654"/>
        <v>0</v>
      </c>
      <c r="BE295" s="49" t="str">
        <f t="shared" ref="BE295" si="1822">IF(BD295&lt;0,SUBSTITUTE(TEXT(BD295,"000000000000,00"),",",""),SUBSTITUTE(TEXT(BD295,"0000000000000,00"),",",""))</f>
        <v>000000000000000</v>
      </c>
      <c r="BF295" s="23">
        <f t="shared" si="1656"/>
        <v>0</v>
      </c>
      <c r="BG295" s="49" t="str">
        <f t="shared" ref="BG295" si="1823">IF(BF295&lt;0,SUBSTITUTE(TEXT(BF295,"000000000000,00"),",",""),SUBSTITUTE(TEXT(BF295,"0000000000000,00"),",",""))</f>
        <v>000000000000000</v>
      </c>
      <c r="BH295" s="23">
        <f t="shared" si="1658"/>
        <v>0</v>
      </c>
      <c r="BI295" s="49" t="str">
        <f t="shared" ref="BI295" si="1824">IF(BH295&lt;0,SUBSTITUTE(TEXT(BH295,"000000000000,00"),",",""),SUBSTITUTE(TEXT(BH295,"0000000000000,00"),",",""))</f>
        <v>000000000000000</v>
      </c>
      <c r="BJ295" s="23">
        <f t="shared" si="1660"/>
        <v>0</v>
      </c>
      <c r="BK295" s="49" t="str">
        <f t="shared" ref="BK295" si="1825">IF(BJ295&lt;0,SUBSTITUTE(TEXT(BJ295,"000000000000,00"),",",""),SUBSTITUTE(TEXT(BJ295,"0000000000000,00"),",",""))</f>
        <v>000000000000000</v>
      </c>
      <c r="BL295" s="23">
        <f t="shared" si="1662"/>
        <v>0</v>
      </c>
      <c r="BM295" s="49" t="str">
        <f t="shared" ref="BM295" si="1826">IF(BL295&lt;0,SUBSTITUTE(TEXT(BL295,"000000000000,00"),",",""),SUBSTITUTE(TEXT(BL295,"0000000000000,00"),",",""))</f>
        <v>000000000000000</v>
      </c>
      <c r="BN295" t="str">
        <f t="shared" si="1664"/>
        <v>PES</v>
      </c>
      <c r="BO295" t="str">
        <f t="shared" si="1665"/>
        <v>0001000000</v>
      </c>
      <c r="BP295">
        <f t="shared" si="1666"/>
        <v>0</v>
      </c>
      <c r="BQ295">
        <f t="shared" si="1667"/>
        <v>0</v>
      </c>
      <c r="BR295" s="23">
        <f t="shared" si="1668"/>
        <v>0</v>
      </c>
      <c r="BS295" s="49" t="str">
        <f t="shared" si="1633"/>
        <v>000000000000000</v>
      </c>
      <c r="BT295" t="str">
        <f t="shared" si="1669"/>
        <v>00000000</v>
      </c>
      <c r="BU295" s="23">
        <f t="shared" si="1670"/>
        <v>0</v>
      </c>
      <c r="BV295" s="49" t="str">
        <f t="shared" si="1634"/>
        <v/>
      </c>
      <c r="BW295" s="52" t="str">
        <f t="shared" si="1671"/>
        <v/>
      </c>
      <c r="BX295" s="23">
        <f t="shared" si="1672"/>
        <v>0</v>
      </c>
      <c r="BY295" s="49" t="str">
        <f t="shared" si="1635"/>
        <v/>
      </c>
      <c r="BZ295" s="23">
        <f t="shared" si="1673"/>
        <v>0</v>
      </c>
      <c r="CA295" s="49" t="str">
        <f t="shared" si="1636"/>
        <v/>
      </c>
      <c r="CB295" s="52" t="str">
        <f t="shared" si="1674"/>
        <v/>
      </c>
      <c r="CC295" s="23">
        <f t="shared" si="1675"/>
        <v>0</v>
      </c>
      <c r="CD295" s="49" t="str">
        <f t="shared" si="1637"/>
        <v/>
      </c>
      <c r="CE295" s="56" t="str">
        <f>IF(CF295="","",MAX(CE$10:$CE294)+1)</f>
        <v/>
      </c>
      <c r="CF295" t="str">
        <f t="shared" si="1676"/>
        <v/>
      </c>
      <c r="CG295" s="22" t="str">
        <f>IF(CH295="","",MAX($CG$10:CG294)+1)</f>
        <v/>
      </c>
      <c r="CH295" s="22" t="str">
        <f t="shared" si="1621"/>
        <v/>
      </c>
      <c r="CI295" s="22" t="str">
        <f>IF(CJ295="","",MAX($CI$10:CI294)+1)</f>
        <v/>
      </c>
      <c r="CJ295" s="22" t="str">
        <f t="shared" si="1622"/>
        <v/>
      </c>
    </row>
    <row r="296" spans="2:88" x14ac:dyDescent="0.25">
      <c r="B296" s="37"/>
      <c r="C296" s="3"/>
      <c r="D296" s="77" t="str">
        <f t="shared" si="1608"/>
        <v/>
      </c>
      <c r="E296" s="38"/>
      <c r="F296" s="38"/>
      <c r="G296" s="78">
        <f t="shared" si="1623"/>
        <v>0</v>
      </c>
      <c r="H296" s="3">
        <v>80</v>
      </c>
      <c r="I296" s="77" t="str">
        <f t="shared" si="1609"/>
        <v/>
      </c>
      <c r="J296" s="32"/>
      <c r="K296" s="3"/>
      <c r="L296" s="39"/>
      <c r="M296" s="39"/>
      <c r="N296" s="39"/>
      <c r="O296" s="39"/>
      <c r="P296" s="39"/>
      <c r="Q296" s="39"/>
      <c r="R296" s="39"/>
      <c r="S296" s="39"/>
      <c r="T296" s="3" t="s">
        <v>645</v>
      </c>
      <c r="U296" s="77" t="str">
        <f t="shared" si="1610"/>
        <v/>
      </c>
      <c r="V296" s="39">
        <v>1</v>
      </c>
      <c r="W296" s="79">
        <f t="shared" si="1624"/>
        <v>0</v>
      </c>
      <c r="X296" s="3">
        <v>0</v>
      </c>
      <c r="Y296" s="77" t="str">
        <f t="shared" si="1611"/>
        <v/>
      </c>
      <c r="Z296" s="3"/>
      <c r="AA296" s="37" t="str">
        <f t="shared" si="1625"/>
        <v/>
      </c>
      <c r="AC296" s="40"/>
      <c r="AD296" s="7"/>
      <c r="AE296" s="77" t="str">
        <f t="shared" si="1612"/>
        <v/>
      </c>
      <c r="AF296" s="81">
        <f t="shared" si="1638"/>
        <v>0</v>
      </c>
      <c r="AG296" s="40"/>
      <c r="AH296" s="7"/>
      <c r="AI296" s="77" t="str">
        <f t="shared" si="1613"/>
        <v/>
      </c>
      <c r="AJ296" s="81">
        <f t="shared" si="1639"/>
        <v>0</v>
      </c>
      <c r="AK296" s="83">
        <f t="shared" si="1640"/>
        <v>0</v>
      </c>
      <c r="AL296" s="83">
        <f t="shared" si="1641"/>
        <v>0</v>
      </c>
      <c r="AN296" s="43">
        <f t="shared" si="1614"/>
        <v>0</v>
      </c>
      <c r="AP296" t="str">
        <f t="shared" si="1642"/>
        <v/>
      </c>
      <c r="AQ296" t="str">
        <f t="shared" si="1643"/>
        <v/>
      </c>
      <c r="AR296" t="str">
        <f t="shared" si="1644"/>
        <v/>
      </c>
      <c r="AS296" t="str">
        <f t="shared" si="1645"/>
        <v/>
      </c>
      <c r="AT296" t="str">
        <f t="shared" si="1646"/>
        <v/>
      </c>
      <c r="AU296" t="str">
        <f t="shared" si="1647"/>
        <v/>
      </c>
      <c r="AV296" t="str">
        <f t="shared" si="1648"/>
        <v/>
      </c>
      <c r="AW296" t="str">
        <f t="shared" si="1649"/>
        <v xml:space="preserve">                              </v>
      </c>
      <c r="AX296" s="23">
        <f t="shared" si="1650"/>
        <v>0</v>
      </c>
      <c r="AY296" s="49" t="str">
        <f t="shared" si="1626"/>
        <v>000000000000000</v>
      </c>
      <c r="AZ296" s="23">
        <f t="shared" si="1651"/>
        <v>0</v>
      </c>
      <c r="BA296" s="49" t="str">
        <f t="shared" si="1626"/>
        <v>000000000000000</v>
      </c>
      <c r="BB296" s="23">
        <f t="shared" si="1652"/>
        <v>0</v>
      </c>
      <c r="BC296" s="49" t="str">
        <f t="shared" ref="BC296" si="1827">IF(BB296&lt;0,SUBSTITUTE(TEXT(BB296,"000000000000,00"),",",""),SUBSTITUTE(TEXT(BB296,"0000000000000,00"),",",""))</f>
        <v>000000000000000</v>
      </c>
      <c r="BD296" s="23">
        <f t="shared" si="1654"/>
        <v>0</v>
      </c>
      <c r="BE296" s="49" t="str">
        <f t="shared" ref="BE296" si="1828">IF(BD296&lt;0,SUBSTITUTE(TEXT(BD296,"000000000000,00"),",",""),SUBSTITUTE(TEXT(BD296,"0000000000000,00"),",",""))</f>
        <v>000000000000000</v>
      </c>
      <c r="BF296" s="23">
        <f t="shared" si="1656"/>
        <v>0</v>
      </c>
      <c r="BG296" s="49" t="str">
        <f t="shared" ref="BG296" si="1829">IF(BF296&lt;0,SUBSTITUTE(TEXT(BF296,"000000000000,00"),",",""),SUBSTITUTE(TEXT(BF296,"0000000000000,00"),",",""))</f>
        <v>000000000000000</v>
      </c>
      <c r="BH296" s="23">
        <f t="shared" si="1658"/>
        <v>0</v>
      </c>
      <c r="BI296" s="49" t="str">
        <f t="shared" ref="BI296" si="1830">IF(BH296&lt;0,SUBSTITUTE(TEXT(BH296,"000000000000,00"),",",""),SUBSTITUTE(TEXT(BH296,"0000000000000,00"),",",""))</f>
        <v>000000000000000</v>
      </c>
      <c r="BJ296" s="23">
        <f t="shared" si="1660"/>
        <v>0</v>
      </c>
      <c r="BK296" s="49" t="str">
        <f t="shared" ref="BK296" si="1831">IF(BJ296&lt;0,SUBSTITUTE(TEXT(BJ296,"000000000000,00"),",",""),SUBSTITUTE(TEXT(BJ296,"0000000000000,00"),",",""))</f>
        <v>000000000000000</v>
      </c>
      <c r="BL296" s="23">
        <f t="shared" si="1662"/>
        <v>0</v>
      </c>
      <c r="BM296" s="49" t="str">
        <f t="shared" ref="BM296" si="1832">IF(BL296&lt;0,SUBSTITUTE(TEXT(BL296,"000000000000,00"),",",""),SUBSTITUTE(TEXT(BL296,"0000000000000,00"),",",""))</f>
        <v>000000000000000</v>
      </c>
      <c r="BN296" t="str">
        <f t="shared" si="1664"/>
        <v>PES</v>
      </c>
      <c r="BO296" t="str">
        <f t="shared" si="1665"/>
        <v>0001000000</v>
      </c>
      <c r="BP296">
        <f t="shared" si="1666"/>
        <v>0</v>
      </c>
      <c r="BQ296">
        <f t="shared" si="1667"/>
        <v>0</v>
      </c>
      <c r="BR296" s="23">
        <f t="shared" si="1668"/>
        <v>0</v>
      </c>
      <c r="BS296" s="49" t="str">
        <f t="shared" si="1633"/>
        <v>000000000000000</v>
      </c>
      <c r="BT296" t="str">
        <f t="shared" si="1669"/>
        <v>00000000</v>
      </c>
      <c r="BU296" s="23">
        <f t="shared" si="1670"/>
        <v>0</v>
      </c>
      <c r="BV296" s="49" t="str">
        <f t="shared" si="1634"/>
        <v/>
      </c>
      <c r="BW296" s="52" t="str">
        <f t="shared" si="1671"/>
        <v/>
      </c>
      <c r="BX296" s="23">
        <f t="shared" si="1672"/>
        <v>0</v>
      </c>
      <c r="BY296" s="49" t="str">
        <f t="shared" si="1635"/>
        <v/>
      </c>
      <c r="BZ296" s="23">
        <f t="shared" si="1673"/>
        <v>0</v>
      </c>
      <c r="CA296" s="49" t="str">
        <f t="shared" si="1636"/>
        <v/>
      </c>
      <c r="CB296" s="52" t="str">
        <f t="shared" si="1674"/>
        <v/>
      </c>
      <c r="CC296" s="23">
        <f t="shared" si="1675"/>
        <v>0</v>
      </c>
      <c r="CD296" s="49" t="str">
        <f t="shared" si="1637"/>
        <v/>
      </c>
      <c r="CE296" s="56" t="str">
        <f>IF(CF296="","",MAX(CE$10:$CE295)+1)</f>
        <v/>
      </c>
      <c r="CF296" t="str">
        <f t="shared" si="1676"/>
        <v/>
      </c>
      <c r="CG296" s="22" t="str">
        <f>IF(CH296="","",MAX($CG$10:CG295)+1)</f>
        <v/>
      </c>
      <c r="CH296" s="22" t="str">
        <f t="shared" si="1621"/>
        <v/>
      </c>
      <c r="CI296" s="22" t="str">
        <f>IF(CJ296="","",MAX($CI$10:CI295)+1)</f>
        <v/>
      </c>
      <c r="CJ296" s="22" t="str">
        <f t="shared" si="1622"/>
        <v/>
      </c>
    </row>
    <row r="297" spans="2:88" x14ac:dyDescent="0.25">
      <c r="B297" s="37"/>
      <c r="C297" s="3"/>
      <c r="D297" s="77" t="str">
        <f t="shared" si="1608"/>
        <v/>
      </c>
      <c r="E297" s="38"/>
      <c r="F297" s="38"/>
      <c r="G297" s="78">
        <f t="shared" si="1623"/>
        <v>0</v>
      </c>
      <c r="H297" s="3">
        <v>80</v>
      </c>
      <c r="I297" s="77" t="str">
        <f t="shared" si="1609"/>
        <v/>
      </c>
      <c r="J297" s="32"/>
      <c r="K297" s="3"/>
      <c r="L297" s="39"/>
      <c r="M297" s="39"/>
      <c r="N297" s="39"/>
      <c r="O297" s="39"/>
      <c r="P297" s="39"/>
      <c r="Q297" s="39"/>
      <c r="R297" s="39"/>
      <c r="S297" s="39"/>
      <c r="T297" s="3" t="s">
        <v>645</v>
      </c>
      <c r="U297" s="77" t="str">
        <f t="shared" si="1610"/>
        <v/>
      </c>
      <c r="V297" s="39">
        <v>1</v>
      </c>
      <c r="W297" s="79">
        <f t="shared" si="1624"/>
        <v>0</v>
      </c>
      <c r="X297" s="3">
        <v>0</v>
      </c>
      <c r="Y297" s="77" t="str">
        <f t="shared" si="1611"/>
        <v/>
      </c>
      <c r="Z297" s="3"/>
      <c r="AA297" s="37" t="str">
        <f t="shared" si="1625"/>
        <v/>
      </c>
      <c r="AC297" s="40"/>
      <c r="AD297" s="7"/>
      <c r="AE297" s="77" t="str">
        <f t="shared" si="1612"/>
        <v/>
      </c>
      <c r="AF297" s="81">
        <f t="shared" si="1638"/>
        <v>0</v>
      </c>
      <c r="AG297" s="40"/>
      <c r="AH297" s="7"/>
      <c r="AI297" s="77" t="str">
        <f t="shared" si="1613"/>
        <v/>
      </c>
      <c r="AJ297" s="81">
        <f t="shared" si="1639"/>
        <v>0</v>
      </c>
      <c r="AK297" s="83">
        <f t="shared" si="1640"/>
        <v>0</v>
      </c>
      <c r="AL297" s="83">
        <f t="shared" si="1641"/>
        <v>0</v>
      </c>
      <c r="AN297" s="43">
        <f t="shared" si="1614"/>
        <v>0</v>
      </c>
      <c r="AP297" t="str">
        <f t="shared" si="1642"/>
        <v/>
      </c>
      <c r="AQ297" t="str">
        <f t="shared" si="1643"/>
        <v/>
      </c>
      <c r="AR297" t="str">
        <f t="shared" si="1644"/>
        <v/>
      </c>
      <c r="AS297" t="str">
        <f t="shared" si="1645"/>
        <v/>
      </c>
      <c r="AT297" t="str">
        <f t="shared" si="1646"/>
        <v/>
      </c>
      <c r="AU297" t="str">
        <f t="shared" si="1647"/>
        <v/>
      </c>
      <c r="AV297" t="str">
        <f t="shared" si="1648"/>
        <v/>
      </c>
      <c r="AW297" t="str">
        <f t="shared" si="1649"/>
        <v xml:space="preserve">                              </v>
      </c>
      <c r="AX297" s="23">
        <f t="shared" si="1650"/>
        <v>0</v>
      </c>
      <c r="AY297" s="49" t="str">
        <f t="shared" si="1626"/>
        <v>000000000000000</v>
      </c>
      <c r="AZ297" s="23">
        <f t="shared" si="1651"/>
        <v>0</v>
      </c>
      <c r="BA297" s="49" t="str">
        <f t="shared" si="1626"/>
        <v>000000000000000</v>
      </c>
      <c r="BB297" s="23">
        <f t="shared" si="1652"/>
        <v>0</v>
      </c>
      <c r="BC297" s="49" t="str">
        <f t="shared" ref="BC297" si="1833">IF(BB297&lt;0,SUBSTITUTE(TEXT(BB297,"000000000000,00"),",",""),SUBSTITUTE(TEXT(BB297,"0000000000000,00"),",",""))</f>
        <v>000000000000000</v>
      </c>
      <c r="BD297" s="23">
        <f t="shared" si="1654"/>
        <v>0</v>
      </c>
      <c r="BE297" s="49" t="str">
        <f t="shared" ref="BE297" si="1834">IF(BD297&lt;0,SUBSTITUTE(TEXT(BD297,"000000000000,00"),",",""),SUBSTITUTE(TEXT(BD297,"0000000000000,00"),",",""))</f>
        <v>000000000000000</v>
      </c>
      <c r="BF297" s="23">
        <f t="shared" si="1656"/>
        <v>0</v>
      </c>
      <c r="BG297" s="49" t="str">
        <f t="shared" ref="BG297" si="1835">IF(BF297&lt;0,SUBSTITUTE(TEXT(BF297,"000000000000,00"),",",""),SUBSTITUTE(TEXT(BF297,"0000000000000,00"),",",""))</f>
        <v>000000000000000</v>
      </c>
      <c r="BH297" s="23">
        <f t="shared" si="1658"/>
        <v>0</v>
      </c>
      <c r="BI297" s="49" t="str">
        <f t="shared" ref="BI297" si="1836">IF(BH297&lt;0,SUBSTITUTE(TEXT(BH297,"000000000000,00"),",",""),SUBSTITUTE(TEXT(BH297,"0000000000000,00"),",",""))</f>
        <v>000000000000000</v>
      </c>
      <c r="BJ297" s="23">
        <f t="shared" si="1660"/>
        <v>0</v>
      </c>
      <c r="BK297" s="49" t="str">
        <f t="shared" ref="BK297" si="1837">IF(BJ297&lt;0,SUBSTITUTE(TEXT(BJ297,"000000000000,00"),",",""),SUBSTITUTE(TEXT(BJ297,"0000000000000,00"),",",""))</f>
        <v>000000000000000</v>
      </c>
      <c r="BL297" s="23">
        <f t="shared" si="1662"/>
        <v>0</v>
      </c>
      <c r="BM297" s="49" t="str">
        <f t="shared" ref="BM297" si="1838">IF(BL297&lt;0,SUBSTITUTE(TEXT(BL297,"000000000000,00"),",",""),SUBSTITUTE(TEXT(BL297,"0000000000000,00"),",",""))</f>
        <v>000000000000000</v>
      </c>
      <c r="BN297" t="str">
        <f t="shared" si="1664"/>
        <v>PES</v>
      </c>
      <c r="BO297" t="str">
        <f t="shared" si="1665"/>
        <v>0001000000</v>
      </c>
      <c r="BP297">
        <f t="shared" si="1666"/>
        <v>0</v>
      </c>
      <c r="BQ297">
        <f t="shared" si="1667"/>
        <v>0</v>
      </c>
      <c r="BR297" s="23">
        <f t="shared" si="1668"/>
        <v>0</v>
      </c>
      <c r="BS297" s="49" t="str">
        <f t="shared" si="1633"/>
        <v>000000000000000</v>
      </c>
      <c r="BT297" t="str">
        <f t="shared" si="1669"/>
        <v>00000000</v>
      </c>
      <c r="BU297" s="23">
        <f t="shared" si="1670"/>
        <v>0</v>
      </c>
      <c r="BV297" s="49" t="str">
        <f t="shared" si="1634"/>
        <v/>
      </c>
      <c r="BW297" s="52" t="str">
        <f t="shared" si="1671"/>
        <v/>
      </c>
      <c r="BX297" s="23">
        <f t="shared" si="1672"/>
        <v>0</v>
      </c>
      <c r="BY297" s="49" t="str">
        <f t="shared" si="1635"/>
        <v/>
      </c>
      <c r="BZ297" s="23">
        <f t="shared" si="1673"/>
        <v>0</v>
      </c>
      <c r="CA297" s="49" t="str">
        <f t="shared" si="1636"/>
        <v/>
      </c>
      <c r="CB297" s="52" t="str">
        <f t="shared" si="1674"/>
        <v/>
      </c>
      <c r="CC297" s="23">
        <f t="shared" si="1675"/>
        <v>0</v>
      </c>
      <c r="CD297" s="49" t="str">
        <f t="shared" si="1637"/>
        <v/>
      </c>
      <c r="CE297" s="56" t="str">
        <f>IF(CF297="","",MAX(CE$10:$CE296)+1)</f>
        <v/>
      </c>
      <c r="CF297" t="str">
        <f t="shared" si="1676"/>
        <v/>
      </c>
      <c r="CG297" s="22" t="str">
        <f>IF(CH297="","",MAX($CG$10:CG296)+1)</f>
        <v/>
      </c>
      <c r="CH297" s="22" t="str">
        <f t="shared" si="1621"/>
        <v/>
      </c>
      <c r="CI297" s="22" t="str">
        <f>IF(CJ297="","",MAX($CI$10:CI296)+1)</f>
        <v/>
      </c>
      <c r="CJ297" s="22" t="str">
        <f t="shared" si="1622"/>
        <v/>
      </c>
    </row>
    <row r="298" spans="2:88" x14ac:dyDescent="0.25">
      <c r="B298" s="37"/>
      <c r="C298" s="3"/>
      <c r="D298" s="77" t="str">
        <f t="shared" si="1608"/>
        <v/>
      </c>
      <c r="E298" s="38"/>
      <c r="F298" s="38"/>
      <c r="G298" s="78">
        <f t="shared" si="1623"/>
        <v>0</v>
      </c>
      <c r="H298" s="3">
        <v>80</v>
      </c>
      <c r="I298" s="77" t="str">
        <f t="shared" si="1609"/>
        <v/>
      </c>
      <c r="J298" s="32"/>
      <c r="K298" s="3"/>
      <c r="L298" s="39"/>
      <c r="M298" s="39"/>
      <c r="N298" s="39"/>
      <c r="O298" s="39"/>
      <c r="P298" s="39"/>
      <c r="Q298" s="39"/>
      <c r="R298" s="39"/>
      <c r="S298" s="39"/>
      <c r="T298" s="3" t="s">
        <v>645</v>
      </c>
      <c r="U298" s="77" t="str">
        <f t="shared" si="1610"/>
        <v/>
      </c>
      <c r="V298" s="39">
        <v>1</v>
      </c>
      <c r="W298" s="79">
        <f t="shared" si="1624"/>
        <v>0</v>
      </c>
      <c r="X298" s="3">
        <v>0</v>
      </c>
      <c r="Y298" s="77" t="str">
        <f t="shared" si="1611"/>
        <v/>
      </c>
      <c r="Z298" s="3"/>
      <c r="AA298" s="37" t="str">
        <f t="shared" si="1625"/>
        <v/>
      </c>
      <c r="AC298" s="40"/>
      <c r="AD298" s="7"/>
      <c r="AE298" s="77" t="str">
        <f t="shared" si="1612"/>
        <v/>
      </c>
      <c r="AF298" s="81">
        <f t="shared" si="1638"/>
        <v>0</v>
      </c>
      <c r="AG298" s="40"/>
      <c r="AH298" s="7"/>
      <c r="AI298" s="77" t="str">
        <f t="shared" si="1613"/>
        <v/>
      </c>
      <c r="AJ298" s="81">
        <f t="shared" si="1639"/>
        <v>0</v>
      </c>
      <c r="AK298" s="83">
        <f t="shared" si="1640"/>
        <v>0</v>
      </c>
      <c r="AL298" s="83">
        <f t="shared" si="1641"/>
        <v>0</v>
      </c>
      <c r="AN298" s="43">
        <f t="shared" si="1614"/>
        <v>0</v>
      </c>
      <c r="AP298" t="str">
        <f t="shared" si="1642"/>
        <v/>
      </c>
      <c r="AQ298" t="str">
        <f t="shared" si="1643"/>
        <v/>
      </c>
      <c r="AR298" t="str">
        <f t="shared" si="1644"/>
        <v/>
      </c>
      <c r="AS298" t="str">
        <f t="shared" si="1645"/>
        <v/>
      </c>
      <c r="AT298" t="str">
        <f t="shared" si="1646"/>
        <v/>
      </c>
      <c r="AU298" t="str">
        <f t="shared" si="1647"/>
        <v/>
      </c>
      <c r="AV298" t="str">
        <f t="shared" si="1648"/>
        <v/>
      </c>
      <c r="AW298" t="str">
        <f t="shared" si="1649"/>
        <v xml:space="preserve">                              </v>
      </c>
      <c r="AX298" s="23">
        <f t="shared" si="1650"/>
        <v>0</v>
      </c>
      <c r="AY298" s="49" t="str">
        <f t="shared" si="1626"/>
        <v>000000000000000</v>
      </c>
      <c r="AZ298" s="23">
        <f t="shared" si="1651"/>
        <v>0</v>
      </c>
      <c r="BA298" s="49" t="str">
        <f t="shared" si="1626"/>
        <v>000000000000000</v>
      </c>
      <c r="BB298" s="23">
        <f t="shared" si="1652"/>
        <v>0</v>
      </c>
      <c r="BC298" s="49" t="str">
        <f t="shared" ref="BC298" si="1839">IF(BB298&lt;0,SUBSTITUTE(TEXT(BB298,"000000000000,00"),",",""),SUBSTITUTE(TEXT(BB298,"0000000000000,00"),",",""))</f>
        <v>000000000000000</v>
      </c>
      <c r="BD298" s="23">
        <f t="shared" si="1654"/>
        <v>0</v>
      </c>
      <c r="BE298" s="49" t="str">
        <f t="shared" ref="BE298" si="1840">IF(BD298&lt;0,SUBSTITUTE(TEXT(BD298,"000000000000,00"),",",""),SUBSTITUTE(TEXT(BD298,"0000000000000,00"),",",""))</f>
        <v>000000000000000</v>
      </c>
      <c r="BF298" s="23">
        <f t="shared" si="1656"/>
        <v>0</v>
      </c>
      <c r="BG298" s="49" t="str">
        <f t="shared" ref="BG298" si="1841">IF(BF298&lt;0,SUBSTITUTE(TEXT(BF298,"000000000000,00"),",",""),SUBSTITUTE(TEXT(BF298,"0000000000000,00"),",",""))</f>
        <v>000000000000000</v>
      </c>
      <c r="BH298" s="23">
        <f t="shared" si="1658"/>
        <v>0</v>
      </c>
      <c r="BI298" s="49" t="str">
        <f t="shared" ref="BI298" si="1842">IF(BH298&lt;0,SUBSTITUTE(TEXT(BH298,"000000000000,00"),",",""),SUBSTITUTE(TEXT(BH298,"0000000000000,00"),",",""))</f>
        <v>000000000000000</v>
      </c>
      <c r="BJ298" s="23">
        <f t="shared" si="1660"/>
        <v>0</v>
      </c>
      <c r="BK298" s="49" t="str">
        <f t="shared" ref="BK298" si="1843">IF(BJ298&lt;0,SUBSTITUTE(TEXT(BJ298,"000000000000,00"),",",""),SUBSTITUTE(TEXT(BJ298,"0000000000000,00"),",",""))</f>
        <v>000000000000000</v>
      </c>
      <c r="BL298" s="23">
        <f t="shared" si="1662"/>
        <v>0</v>
      </c>
      <c r="BM298" s="49" t="str">
        <f t="shared" ref="BM298" si="1844">IF(BL298&lt;0,SUBSTITUTE(TEXT(BL298,"000000000000,00"),",",""),SUBSTITUTE(TEXT(BL298,"0000000000000,00"),",",""))</f>
        <v>000000000000000</v>
      </c>
      <c r="BN298" t="str">
        <f t="shared" si="1664"/>
        <v>PES</v>
      </c>
      <c r="BO298" t="str">
        <f t="shared" si="1665"/>
        <v>0001000000</v>
      </c>
      <c r="BP298">
        <f t="shared" si="1666"/>
        <v>0</v>
      </c>
      <c r="BQ298">
        <f t="shared" si="1667"/>
        <v>0</v>
      </c>
      <c r="BR298" s="23">
        <f t="shared" si="1668"/>
        <v>0</v>
      </c>
      <c r="BS298" s="49" t="str">
        <f t="shared" si="1633"/>
        <v>000000000000000</v>
      </c>
      <c r="BT298" t="str">
        <f t="shared" si="1669"/>
        <v>00000000</v>
      </c>
      <c r="BU298" s="23">
        <f t="shared" si="1670"/>
        <v>0</v>
      </c>
      <c r="BV298" s="49" t="str">
        <f t="shared" si="1634"/>
        <v/>
      </c>
      <c r="BW298" s="52" t="str">
        <f t="shared" si="1671"/>
        <v/>
      </c>
      <c r="BX298" s="23">
        <f t="shared" si="1672"/>
        <v>0</v>
      </c>
      <c r="BY298" s="49" t="str">
        <f t="shared" si="1635"/>
        <v/>
      </c>
      <c r="BZ298" s="23">
        <f t="shared" si="1673"/>
        <v>0</v>
      </c>
      <c r="CA298" s="49" t="str">
        <f t="shared" si="1636"/>
        <v/>
      </c>
      <c r="CB298" s="52" t="str">
        <f t="shared" si="1674"/>
        <v/>
      </c>
      <c r="CC298" s="23">
        <f t="shared" si="1675"/>
        <v>0</v>
      </c>
      <c r="CD298" s="49" t="str">
        <f t="shared" si="1637"/>
        <v/>
      </c>
      <c r="CE298" s="56" t="str">
        <f>IF(CF298="","",MAX(CE$10:$CE297)+1)</f>
        <v/>
      </c>
      <c r="CF298" t="str">
        <f t="shared" si="1676"/>
        <v/>
      </c>
      <c r="CG298" s="22" t="str">
        <f>IF(CH298="","",MAX($CG$10:CG297)+1)</f>
        <v/>
      </c>
      <c r="CH298" s="22" t="str">
        <f t="shared" si="1621"/>
        <v/>
      </c>
      <c r="CI298" s="22" t="str">
        <f>IF(CJ298="","",MAX($CI$10:CI297)+1)</f>
        <v/>
      </c>
      <c r="CJ298" s="22" t="str">
        <f t="shared" si="1622"/>
        <v/>
      </c>
    </row>
    <row r="299" spans="2:88" x14ac:dyDescent="0.25">
      <c r="B299" s="37"/>
      <c r="C299" s="3"/>
      <c r="D299" s="77" t="str">
        <f t="shared" si="1608"/>
        <v/>
      </c>
      <c r="E299" s="38"/>
      <c r="F299" s="38"/>
      <c r="G299" s="78">
        <f t="shared" si="1623"/>
        <v>0</v>
      </c>
      <c r="H299" s="3">
        <v>80</v>
      </c>
      <c r="I299" s="77" t="str">
        <f t="shared" si="1609"/>
        <v/>
      </c>
      <c r="J299" s="32"/>
      <c r="K299" s="3"/>
      <c r="L299" s="39"/>
      <c r="M299" s="39"/>
      <c r="N299" s="39"/>
      <c r="O299" s="39"/>
      <c r="P299" s="39"/>
      <c r="Q299" s="39"/>
      <c r="R299" s="39"/>
      <c r="S299" s="39"/>
      <c r="T299" s="3" t="s">
        <v>645</v>
      </c>
      <c r="U299" s="77" t="str">
        <f t="shared" si="1610"/>
        <v/>
      </c>
      <c r="V299" s="39">
        <v>1</v>
      </c>
      <c r="W299" s="79">
        <f t="shared" si="1624"/>
        <v>0</v>
      </c>
      <c r="X299" s="3">
        <v>0</v>
      </c>
      <c r="Y299" s="77" t="str">
        <f t="shared" si="1611"/>
        <v/>
      </c>
      <c r="Z299" s="3"/>
      <c r="AA299" s="37" t="str">
        <f t="shared" si="1625"/>
        <v/>
      </c>
      <c r="AC299" s="40"/>
      <c r="AD299" s="7"/>
      <c r="AE299" s="77" t="str">
        <f t="shared" si="1612"/>
        <v/>
      </c>
      <c r="AF299" s="81">
        <f t="shared" si="1638"/>
        <v>0</v>
      </c>
      <c r="AG299" s="40"/>
      <c r="AH299" s="7"/>
      <c r="AI299" s="77" t="str">
        <f t="shared" si="1613"/>
        <v/>
      </c>
      <c r="AJ299" s="81">
        <f t="shared" si="1639"/>
        <v>0</v>
      </c>
      <c r="AK299" s="83">
        <f t="shared" si="1640"/>
        <v>0</v>
      </c>
      <c r="AL299" s="83">
        <f t="shared" si="1641"/>
        <v>0</v>
      </c>
      <c r="AN299" s="43">
        <f t="shared" si="1614"/>
        <v>0</v>
      </c>
      <c r="AP299" t="str">
        <f t="shared" si="1642"/>
        <v/>
      </c>
      <c r="AQ299" t="str">
        <f t="shared" si="1643"/>
        <v/>
      </c>
      <c r="AR299" t="str">
        <f t="shared" si="1644"/>
        <v/>
      </c>
      <c r="AS299" t="str">
        <f t="shared" si="1645"/>
        <v/>
      </c>
      <c r="AT299" t="str">
        <f t="shared" si="1646"/>
        <v/>
      </c>
      <c r="AU299" t="str">
        <f t="shared" si="1647"/>
        <v/>
      </c>
      <c r="AV299" t="str">
        <f t="shared" si="1648"/>
        <v/>
      </c>
      <c r="AW299" t="str">
        <f t="shared" si="1649"/>
        <v xml:space="preserve">                              </v>
      </c>
      <c r="AX299" s="23">
        <f t="shared" si="1650"/>
        <v>0</v>
      </c>
      <c r="AY299" s="49" t="str">
        <f t="shared" si="1626"/>
        <v>000000000000000</v>
      </c>
      <c r="AZ299" s="23">
        <f t="shared" si="1651"/>
        <v>0</v>
      </c>
      <c r="BA299" s="49" t="str">
        <f t="shared" si="1626"/>
        <v>000000000000000</v>
      </c>
      <c r="BB299" s="23">
        <f t="shared" si="1652"/>
        <v>0</v>
      </c>
      <c r="BC299" s="49" t="str">
        <f t="shared" ref="BC299" si="1845">IF(BB299&lt;0,SUBSTITUTE(TEXT(BB299,"000000000000,00"),",",""),SUBSTITUTE(TEXT(BB299,"0000000000000,00"),",",""))</f>
        <v>000000000000000</v>
      </c>
      <c r="BD299" s="23">
        <f t="shared" si="1654"/>
        <v>0</v>
      </c>
      <c r="BE299" s="49" t="str">
        <f t="shared" ref="BE299" si="1846">IF(BD299&lt;0,SUBSTITUTE(TEXT(BD299,"000000000000,00"),",",""),SUBSTITUTE(TEXT(BD299,"0000000000000,00"),",",""))</f>
        <v>000000000000000</v>
      </c>
      <c r="BF299" s="23">
        <f t="shared" si="1656"/>
        <v>0</v>
      </c>
      <c r="BG299" s="49" t="str">
        <f t="shared" ref="BG299" si="1847">IF(BF299&lt;0,SUBSTITUTE(TEXT(BF299,"000000000000,00"),",",""),SUBSTITUTE(TEXT(BF299,"0000000000000,00"),",",""))</f>
        <v>000000000000000</v>
      </c>
      <c r="BH299" s="23">
        <f t="shared" si="1658"/>
        <v>0</v>
      </c>
      <c r="BI299" s="49" t="str">
        <f t="shared" ref="BI299" si="1848">IF(BH299&lt;0,SUBSTITUTE(TEXT(BH299,"000000000000,00"),",",""),SUBSTITUTE(TEXT(BH299,"0000000000000,00"),",",""))</f>
        <v>000000000000000</v>
      </c>
      <c r="BJ299" s="23">
        <f t="shared" si="1660"/>
        <v>0</v>
      </c>
      <c r="BK299" s="49" t="str">
        <f t="shared" ref="BK299" si="1849">IF(BJ299&lt;0,SUBSTITUTE(TEXT(BJ299,"000000000000,00"),",",""),SUBSTITUTE(TEXT(BJ299,"0000000000000,00"),",",""))</f>
        <v>000000000000000</v>
      </c>
      <c r="BL299" s="23">
        <f t="shared" si="1662"/>
        <v>0</v>
      </c>
      <c r="BM299" s="49" t="str">
        <f t="shared" ref="BM299" si="1850">IF(BL299&lt;0,SUBSTITUTE(TEXT(BL299,"000000000000,00"),",",""),SUBSTITUTE(TEXT(BL299,"0000000000000,00"),",",""))</f>
        <v>000000000000000</v>
      </c>
      <c r="BN299" t="str">
        <f t="shared" si="1664"/>
        <v>PES</v>
      </c>
      <c r="BO299" t="str">
        <f t="shared" si="1665"/>
        <v>0001000000</v>
      </c>
      <c r="BP299">
        <f t="shared" si="1666"/>
        <v>0</v>
      </c>
      <c r="BQ299">
        <f t="shared" si="1667"/>
        <v>0</v>
      </c>
      <c r="BR299" s="23">
        <f t="shared" si="1668"/>
        <v>0</v>
      </c>
      <c r="BS299" s="49" t="str">
        <f t="shared" si="1633"/>
        <v>000000000000000</v>
      </c>
      <c r="BT299" t="str">
        <f t="shared" si="1669"/>
        <v>00000000</v>
      </c>
      <c r="BU299" s="23">
        <f t="shared" si="1670"/>
        <v>0</v>
      </c>
      <c r="BV299" s="49" t="str">
        <f t="shared" si="1634"/>
        <v/>
      </c>
      <c r="BW299" s="52" t="str">
        <f t="shared" si="1671"/>
        <v/>
      </c>
      <c r="BX299" s="23">
        <f t="shared" si="1672"/>
        <v>0</v>
      </c>
      <c r="BY299" s="49" t="str">
        <f t="shared" si="1635"/>
        <v/>
      </c>
      <c r="BZ299" s="23">
        <f t="shared" si="1673"/>
        <v>0</v>
      </c>
      <c r="CA299" s="49" t="str">
        <f t="shared" si="1636"/>
        <v/>
      </c>
      <c r="CB299" s="52" t="str">
        <f t="shared" si="1674"/>
        <v/>
      </c>
      <c r="CC299" s="23">
        <f t="shared" si="1675"/>
        <v>0</v>
      </c>
      <c r="CD299" s="49" t="str">
        <f t="shared" si="1637"/>
        <v/>
      </c>
      <c r="CE299" s="56" t="str">
        <f>IF(CF299="","",MAX(CE$10:$CE298)+1)</f>
        <v/>
      </c>
      <c r="CF299" t="str">
        <f t="shared" si="1676"/>
        <v/>
      </c>
      <c r="CG299" s="22" t="str">
        <f>IF(CH299="","",MAX($CG$10:CG298)+1)</f>
        <v/>
      </c>
      <c r="CH299" s="22" t="str">
        <f t="shared" si="1621"/>
        <v/>
      </c>
      <c r="CI299" s="22" t="str">
        <f>IF(CJ299="","",MAX($CI$10:CI298)+1)</f>
        <v/>
      </c>
      <c r="CJ299" s="22" t="str">
        <f t="shared" si="1622"/>
        <v/>
      </c>
    </row>
    <row r="300" spans="2:88" x14ac:dyDescent="0.25">
      <c r="B300" s="37"/>
      <c r="C300" s="3"/>
      <c r="D300" s="77" t="str">
        <f t="shared" si="1608"/>
        <v/>
      </c>
      <c r="E300" s="38"/>
      <c r="F300" s="38"/>
      <c r="G300" s="78">
        <f t="shared" si="1623"/>
        <v>0</v>
      </c>
      <c r="H300" s="3">
        <v>80</v>
      </c>
      <c r="I300" s="77" t="str">
        <f t="shared" si="1609"/>
        <v/>
      </c>
      <c r="J300" s="32"/>
      <c r="K300" s="3"/>
      <c r="L300" s="39"/>
      <c r="M300" s="39"/>
      <c r="N300" s="39"/>
      <c r="O300" s="39"/>
      <c r="P300" s="39"/>
      <c r="Q300" s="39"/>
      <c r="R300" s="39"/>
      <c r="S300" s="39"/>
      <c r="T300" s="3" t="s">
        <v>645</v>
      </c>
      <c r="U300" s="77" t="str">
        <f t="shared" si="1610"/>
        <v/>
      </c>
      <c r="V300" s="39">
        <v>1</v>
      </c>
      <c r="W300" s="79">
        <f t="shared" si="1624"/>
        <v>0</v>
      </c>
      <c r="X300" s="3">
        <v>0</v>
      </c>
      <c r="Y300" s="77" t="str">
        <f t="shared" si="1611"/>
        <v/>
      </c>
      <c r="Z300" s="3"/>
      <c r="AA300" s="37" t="str">
        <f t="shared" si="1625"/>
        <v/>
      </c>
      <c r="AC300" s="40"/>
      <c r="AD300" s="7"/>
      <c r="AE300" s="77" t="str">
        <f t="shared" si="1612"/>
        <v/>
      </c>
      <c r="AF300" s="81">
        <f t="shared" si="1638"/>
        <v>0</v>
      </c>
      <c r="AG300" s="40"/>
      <c r="AH300" s="7"/>
      <c r="AI300" s="77" t="str">
        <f t="shared" si="1613"/>
        <v/>
      </c>
      <c r="AJ300" s="81">
        <f t="shared" si="1639"/>
        <v>0</v>
      </c>
      <c r="AK300" s="83">
        <f t="shared" si="1640"/>
        <v>0</v>
      </c>
      <c r="AL300" s="83">
        <f t="shared" si="1641"/>
        <v>0</v>
      </c>
      <c r="AN300" s="43">
        <f t="shared" si="1614"/>
        <v>0</v>
      </c>
      <c r="AP300" t="str">
        <f t="shared" si="1642"/>
        <v/>
      </c>
      <c r="AQ300" t="str">
        <f t="shared" si="1643"/>
        <v/>
      </c>
      <c r="AR300" t="str">
        <f t="shared" si="1644"/>
        <v/>
      </c>
      <c r="AS300" t="str">
        <f t="shared" si="1645"/>
        <v/>
      </c>
      <c r="AT300" t="str">
        <f t="shared" si="1646"/>
        <v/>
      </c>
      <c r="AU300" t="str">
        <f t="shared" si="1647"/>
        <v/>
      </c>
      <c r="AV300" t="str">
        <f t="shared" si="1648"/>
        <v/>
      </c>
      <c r="AW300" t="str">
        <f t="shared" si="1649"/>
        <v xml:space="preserve">                              </v>
      </c>
      <c r="AX300" s="23">
        <f t="shared" si="1650"/>
        <v>0</v>
      </c>
      <c r="AY300" s="49" t="str">
        <f t="shared" si="1626"/>
        <v>000000000000000</v>
      </c>
      <c r="AZ300" s="23">
        <f t="shared" si="1651"/>
        <v>0</v>
      </c>
      <c r="BA300" s="49" t="str">
        <f t="shared" si="1626"/>
        <v>000000000000000</v>
      </c>
      <c r="BB300" s="23">
        <f t="shared" si="1652"/>
        <v>0</v>
      </c>
      <c r="BC300" s="49" t="str">
        <f t="shared" ref="BC300" si="1851">IF(BB300&lt;0,SUBSTITUTE(TEXT(BB300,"000000000000,00"),",",""),SUBSTITUTE(TEXT(BB300,"0000000000000,00"),",",""))</f>
        <v>000000000000000</v>
      </c>
      <c r="BD300" s="23">
        <f t="shared" si="1654"/>
        <v>0</v>
      </c>
      <c r="BE300" s="49" t="str">
        <f t="shared" ref="BE300" si="1852">IF(BD300&lt;0,SUBSTITUTE(TEXT(BD300,"000000000000,00"),",",""),SUBSTITUTE(TEXT(BD300,"0000000000000,00"),",",""))</f>
        <v>000000000000000</v>
      </c>
      <c r="BF300" s="23">
        <f t="shared" si="1656"/>
        <v>0</v>
      </c>
      <c r="BG300" s="49" t="str">
        <f t="shared" ref="BG300" si="1853">IF(BF300&lt;0,SUBSTITUTE(TEXT(BF300,"000000000000,00"),",",""),SUBSTITUTE(TEXT(BF300,"0000000000000,00"),",",""))</f>
        <v>000000000000000</v>
      </c>
      <c r="BH300" s="23">
        <f t="shared" si="1658"/>
        <v>0</v>
      </c>
      <c r="BI300" s="49" t="str">
        <f t="shared" ref="BI300" si="1854">IF(BH300&lt;0,SUBSTITUTE(TEXT(BH300,"000000000000,00"),",",""),SUBSTITUTE(TEXT(BH300,"0000000000000,00"),",",""))</f>
        <v>000000000000000</v>
      </c>
      <c r="BJ300" s="23">
        <f t="shared" si="1660"/>
        <v>0</v>
      </c>
      <c r="BK300" s="49" t="str">
        <f t="shared" ref="BK300" si="1855">IF(BJ300&lt;0,SUBSTITUTE(TEXT(BJ300,"000000000000,00"),",",""),SUBSTITUTE(TEXT(BJ300,"0000000000000,00"),",",""))</f>
        <v>000000000000000</v>
      </c>
      <c r="BL300" s="23">
        <f t="shared" si="1662"/>
        <v>0</v>
      </c>
      <c r="BM300" s="49" t="str">
        <f t="shared" ref="BM300" si="1856">IF(BL300&lt;0,SUBSTITUTE(TEXT(BL300,"000000000000,00"),",",""),SUBSTITUTE(TEXT(BL300,"0000000000000,00"),",",""))</f>
        <v>000000000000000</v>
      </c>
      <c r="BN300" t="str">
        <f t="shared" si="1664"/>
        <v>PES</v>
      </c>
      <c r="BO300" t="str">
        <f t="shared" si="1665"/>
        <v>0001000000</v>
      </c>
      <c r="BP300">
        <f t="shared" si="1666"/>
        <v>0</v>
      </c>
      <c r="BQ300">
        <f t="shared" si="1667"/>
        <v>0</v>
      </c>
      <c r="BR300" s="23">
        <f t="shared" si="1668"/>
        <v>0</v>
      </c>
      <c r="BS300" s="49" t="str">
        <f t="shared" si="1633"/>
        <v>000000000000000</v>
      </c>
      <c r="BT300" t="str">
        <f t="shared" si="1669"/>
        <v>00000000</v>
      </c>
      <c r="BU300" s="23">
        <f t="shared" si="1670"/>
        <v>0</v>
      </c>
      <c r="BV300" s="49" t="str">
        <f t="shared" si="1634"/>
        <v/>
      </c>
      <c r="BW300" s="52" t="str">
        <f t="shared" si="1671"/>
        <v/>
      </c>
      <c r="BX300" s="23">
        <f t="shared" si="1672"/>
        <v>0</v>
      </c>
      <c r="BY300" s="49" t="str">
        <f t="shared" si="1635"/>
        <v/>
      </c>
      <c r="BZ300" s="23">
        <f t="shared" si="1673"/>
        <v>0</v>
      </c>
      <c r="CA300" s="49" t="str">
        <f t="shared" si="1636"/>
        <v/>
      </c>
      <c r="CB300" s="52" t="str">
        <f t="shared" si="1674"/>
        <v/>
      </c>
      <c r="CC300" s="23">
        <f t="shared" si="1675"/>
        <v>0</v>
      </c>
      <c r="CD300" s="49" t="str">
        <f t="shared" si="1637"/>
        <v/>
      </c>
      <c r="CE300" s="56" t="str">
        <f>IF(CF300="","",MAX(CE$10:$CE299)+1)</f>
        <v/>
      </c>
      <c r="CF300" t="str">
        <f t="shared" si="1676"/>
        <v/>
      </c>
      <c r="CG300" s="22" t="str">
        <f>IF(CH300="","",MAX($CG$10:CG299)+1)</f>
        <v/>
      </c>
      <c r="CH300" s="22" t="str">
        <f t="shared" si="1621"/>
        <v/>
      </c>
      <c r="CI300" s="22" t="str">
        <f>IF(CJ300="","",MAX($CI$10:CI299)+1)</f>
        <v/>
      </c>
      <c r="CJ300" s="22" t="str">
        <f t="shared" si="1622"/>
        <v/>
      </c>
    </row>
    <row r="301" spans="2:88" x14ac:dyDescent="0.25">
      <c r="B301" s="37"/>
      <c r="C301" s="3"/>
      <c r="D301" s="77" t="str">
        <f t="shared" si="1608"/>
        <v/>
      </c>
      <c r="E301" s="38"/>
      <c r="F301" s="38"/>
      <c r="G301" s="78">
        <f t="shared" si="1623"/>
        <v>0</v>
      </c>
      <c r="H301" s="3">
        <v>80</v>
      </c>
      <c r="I301" s="77" t="str">
        <f t="shared" si="1609"/>
        <v/>
      </c>
      <c r="J301" s="32"/>
      <c r="K301" s="3"/>
      <c r="L301" s="39"/>
      <c r="M301" s="39"/>
      <c r="N301" s="39"/>
      <c r="O301" s="39"/>
      <c r="P301" s="39"/>
      <c r="Q301" s="39"/>
      <c r="R301" s="39"/>
      <c r="S301" s="39"/>
      <c r="T301" s="3" t="s">
        <v>645</v>
      </c>
      <c r="U301" s="77" t="str">
        <f t="shared" si="1610"/>
        <v/>
      </c>
      <c r="V301" s="39">
        <v>1</v>
      </c>
      <c r="W301" s="79">
        <f t="shared" si="1624"/>
        <v>0</v>
      </c>
      <c r="X301" s="3">
        <v>0</v>
      </c>
      <c r="Y301" s="77" t="str">
        <f t="shared" si="1611"/>
        <v/>
      </c>
      <c r="Z301" s="3"/>
      <c r="AA301" s="37" t="str">
        <f t="shared" si="1625"/>
        <v/>
      </c>
      <c r="AC301" s="40"/>
      <c r="AD301" s="7"/>
      <c r="AE301" s="77" t="str">
        <f t="shared" si="1612"/>
        <v/>
      </c>
      <c r="AF301" s="81">
        <f t="shared" si="1638"/>
        <v>0</v>
      </c>
      <c r="AG301" s="40"/>
      <c r="AH301" s="7"/>
      <c r="AI301" s="77" t="str">
        <f t="shared" si="1613"/>
        <v/>
      </c>
      <c r="AJ301" s="81">
        <f t="shared" si="1639"/>
        <v>0</v>
      </c>
      <c r="AK301" s="83">
        <f t="shared" si="1640"/>
        <v>0</v>
      </c>
      <c r="AL301" s="83">
        <f t="shared" si="1641"/>
        <v>0</v>
      </c>
      <c r="AN301" s="43">
        <f t="shared" si="1614"/>
        <v>0</v>
      </c>
      <c r="AP301" t="str">
        <f t="shared" si="1642"/>
        <v/>
      </c>
      <c r="AQ301" t="str">
        <f t="shared" si="1643"/>
        <v/>
      </c>
      <c r="AR301" t="str">
        <f t="shared" si="1644"/>
        <v/>
      </c>
      <c r="AS301" t="str">
        <f t="shared" si="1645"/>
        <v/>
      </c>
      <c r="AT301" t="str">
        <f t="shared" si="1646"/>
        <v/>
      </c>
      <c r="AU301" t="str">
        <f t="shared" si="1647"/>
        <v/>
      </c>
      <c r="AV301" t="str">
        <f t="shared" si="1648"/>
        <v/>
      </c>
      <c r="AW301" t="str">
        <f t="shared" si="1649"/>
        <v xml:space="preserve">                              </v>
      </c>
      <c r="AX301" s="23">
        <f t="shared" si="1650"/>
        <v>0</v>
      </c>
      <c r="AY301" s="49" t="str">
        <f t="shared" si="1626"/>
        <v>000000000000000</v>
      </c>
      <c r="AZ301" s="23">
        <f t="shared" si="1651"/>
        <v>0</v>
      </c>
      <c r="BA301" s="49" t="str">
        <f t="shared" si="1626"/>
        <v>000000000000000</v>
      </c>
      <c r="BB301" s="23">
        <f t="shared" si="1652"/>
        <v>0</v>
      </c>
      <c r="BC301" s="49" t="str">
        <f t="shared" ref="BC301" si="1857">IF(BB301&lt;0,SUBSTITUTE(TEXT(BB301,"000000000000,00"),",",""),SUBSTITUTE(TEXT(BB301,"0000000000000,00"),",",""))</f>
        <v>000000000000000</v>
      </c>
      <c r="BD301" s="23">
        <f t="shared" si="1654"/>
        <v>0</v>
      </c>
      <c r="BE301" s="49" t="str">
        <f t="shared" ref="BE301" si="1858">IF(BD301&lt;0,SUBSTITUTE(TEXT(BD301,"000000000000,00"),",",""),SUBSTITUTE(TEXT(BD301,"0000000000000,00"),",",""))</f>
        <v>000000000000000</v>
      </c>
      <c r="BF301" s="23">
        <f t="shared" si="1656"/>
        <v>0</v>
      </c>
      <c r="BG301" s="49" t="str">
        <f t="shared" ref="BG301" si="1859">IF(BF301&lt;0,SUBSTITUTE(TEXT(BF301,"000000000000,00"),",",""),SUBSTITUTE(TEXT(BF301,"0000000000000,00"),",",""))</f>
        <v>000000000000000</v>
      </c>
      <c r="BH301" s="23">
        <f t="shared" si="1658"/>
        <v>0</v>
      </c>
      <c r="BI301" s="49" t="str">
        <f t="shared" ref="BI301" si="1860">IF(BH301&lt;0,SUBSTITUTE(TEXT(BH301,"000000000000,00"),",",""),SUBSTITUTE(TEXT(BH301,"0000000000000,00"),",",""))</f>
        <v>000000000000000</v>
      </c>
      <c r="BJ301" s="23">
        <f t="shared" si="1660"/>
        <v>0</v>
      </c>
      <c r="BK301" s="49" t="str">
        <f t="shared" ref="BK301" si="1861">IF(BJ301&lt;0,SUBSTITUTE(TEXT(BJ301,"000000000000,00"),",",""),SUBSTITUTE(TEXT(BJ301,"0000000000000,00"),",",""))</f>
        <v>000000000000000</v>
      </c>
      <c r="BL301" s="23">
        <f t="shared" si="1662"/>
        <v>0</v>
      </c>
      <c r="BM301" s="49" t="str">
        <f t="shared" ref="BM301" si="1862">IF(BL301&lt;0,SUBSTITUTE(TEXT(BL301,"000000000000,00"),",",""),SUBSTITUTE(TEXT(BL301,"0000000000000,00"),",",""))</f>
        <v>000000000000000</v>
      </c>
      <c r="BN301" t="str">
        <f t="shared" si="1664"/>
        <v>PES</v>
      </c>
      <c r="BO301" t="str">
        <f t="shared" si="1665"/>
        <v>0001000000</v>
      </c>
      <c r="BP301">
        <f t="shared" si="1666"/>
        <v>0</v>
      </c>
      <c r="BQ301">
        <f t="shared" si="1667"/>
        <v>0</v>
      </c>
      <c r="BR301" s="23">
        <f t="shared" si="1668"/>
        <v>0</v>
      </c>
      <c r="BS301" s="49" t="str">
        <f t="shared" si="1633"/>
        <v>000000000000000</v>
      </c>
      <c r="BT301" t="str">
        <f t="shared" si="1669"/>
        <v>00000000</v>
      </c>
      <c r="BU301" s="23">
        <f t="shared" si="1670"/>
        <v>0</v>
      </c>
      <c r="BV301" s="49" t="str">
        <f t="shared" si="1634"/>
        <v/>
      </c>
      <c r="BW301" s="52" t="str">
        <f t="shared" si="1671"/>
        <v/>
      </c>
      <c r="BX301" s="23">
        <f t="shared" si="1672"/>
        <v>0</v>
      </c>
      <c r="BY301" s="49" t="str">
        <f t="shared" si="1635"/>
        <v/>
      </c>
      <c r="BZ301" s="23">
        <f t="shared" si="1673"/>
        <v>0</v>
      </c>
      <c r="CA301" s="49" t="str">
        <f t="shared" si="1636"/>
        <v/>
      </c>
      <c r="CB301" s="52" t="str">
        <f t="shared" si="1674"/>
        <v/>
      </c>
      <c r="CC301" s="23">
        <f t="shared" si="1675"/>
        <v>0</v>
      </c>
      <c r="CD301" s="49" t="str">
        <f t="shared" si="1637"/>
        <v/>
      </c>
      <c r="CE301" s="56" t="str">
        <f>IF(CF301="","",MAX(CE$10:$CE300)+1)</f>
        <v/>
      </c>
      <c r="CF301" t="str">
        <f t="shared" si="1676"/>
        <v/>
      </c>
      <c r="CG301" s="22" t="str">
        <f>IF(CH301="","",MAX($CG$10:CG300)+1)</f>
        <v/>
      </c>
      <c r="CH301" s="22" t="str">
        <f t="shared" si="1621"/>
        <v/>
      </c>
      <c r="CI301" s="22" t="str">
        <f>IF(CJ301="","",MAX($CI$10:CI300)+1)</f>
        <v/>
      </c>
      <c r="CJ301" s="22" t="str">
        <f t="shared" si="1622"/>
        <v/>
      </c>
    </row>
    <row r="302" spans="2:88" x14ac:dyDescent="0.25">
      <c r="B302" s="37"/>
      <c r="C302" s="3"/>
      <c r="D302" s="77" t="str">
        <f t="shared" si="1608"/>
        <v/>
      </c>
      <c r="E302" s="38"/>
      <c r="F302" s="38"/>
      <c r="G302" s="78">
        <f t="shared" si="1623"/>
        <v>0</v>
      </c>
      <c r="H302" s="3">
        <v>80</v>
      </c>
      <c r="I302" s="77" t="str">
        <f t="shared" si="1609"/>
        <v/>
      </c>
      <c r="J302" s="32"/>
      <c r="K302" s="3"/>
      <c r="L302" s="39"/>
      <c r="M302" s="39"/>
      <c r="N302" s="39"/>
      <c r="O302" s="39"/>
      <c r="P302" s="39"/>
      <c r="Q302" s="39"/>
      <c r="R302" s="39"/>
      <c r="S302" s="39"/>
      <c r="T302" s="3" t="s">
        <v>645</v>
      </c>
      <c r="U302" s="77" t="str">
        <f t="shared" si="1610"/>
        <v/>
      </c>
      <c r="V302" s="39">
        <v>1</v>
      </c>
      <c r="W302" s="79">
        <f t="shared" si="1624"/>
        <v>0</v>
      </c>
      <c r="X302" s="3">
        <v>0</v>
      </c>
      <c r="Y302" s="77" t="str">
        <f t="shared" si="1611"/>
        <v/>
      </c>
      <c r="Z302" s="3"/>
      <c r="AA302" s="37" t="str">
        <f t="shared" si="1625"/>
        <v/>
      </c>
      <c r="AC302" s="40"/>
      <c r="AD302" s="7"/>
      <c r="AE302" s="77" t="str">
        <f t="shared" si="1612"/>
        <v/>
      </c>
      <c r="AF302" s="81">
        <f t="shared" si="1638"/>
        <v>0</v>
      </c>
      <c r="AG302" s="40"/>
      <c r="AH302" s="7"/>
      <c r="AI302" s="77" t="str">
        <f t="shared" si="1613"/>
        <v/>
      </c>
      <c r="AJ302" s="81">
        <f t="shared" si="1639"/>
        <v>0</v>
      </c>
      <c r="AK302" s="83">
        <f t="shared" si="1640"/>
        <v>0</v>
      </c>
      <c r="AL302" s="83">
        <f t="shared" si="1641"/>
        <v>0</v>
      </c>
      <c r="AN302" s="43">
        <f t="shared" si="1614"/>
        <v>0</v>
      </c>
      <c r="AP302" t="str">
        <f t="shared" si="1642"/>
        <v/>
      </c>
      <c r="AQ302" t="str">
        <f t="shared" si="1643"/>
        <v/>
      </c>
      <c r="AR302" t="str">
        <f t="shared" si="1644"/>
        <v/>
      </c>
      <c r="AS302" t="str">
        <f t="shared" si="1645"/>
        <v/>
      </c>
      <c r="AT302" t="str">
        <f t="shared" si="1646"/>
        <v/>
      </c>
      <c r="AU302" t="str">
        <f t="shared" si="1647"/>
        <v/>
      </c>
      <c r="AV302" t="str">
        <f t="shared" si="1648"/>
        <v/>
      </c>
      <c r="AW302" t="str">
        <f t="shared" si="1649"/>
        <v xml:space="preserve">                              </v>
      </c>
      <c r="AX302" s="23">
        <f t="shared" si="1650"/>
        <v>0</v>
      </c>
      <c r="AY302" s="49" t="str">
        <f t="shared" si="1626"/>
        <v>000000000000000</v>
      </c>
      <c r="AZ302" s="23">
        <f t="shared" si="1651"/>
        <v>0</v>
      </c>
      <c r="BA302" s="49" t="str">
        <f t="shared" si="1626"/>
        <v>000000000000000</v>
      </c>
      <c r="BB302" s="23">
        <f t="shared" si="1652"/>
        <v>0</v>
      </c>
      <c r="BC302" s="49" t="str">
        <f t="shared" ref="BC302" si="1863">IF(BB302&lt;0,SUBSTITUTE(TEXT(BB302,"000000000000,00"),",",""),SUBSTITUTE(TEXT(BB302,"0000000000000,00"),",",""))</f>
        <v>000000000000000</v>
      </c>
      <c r="BD302" s="23">
        <f t="shared" si="1654"/>
        <v>0</v>
      </c>
      <c r="BE302" s="49" t="str">
        <f t="shared" ref="BE302" si="1864">IF(BD302&lt;0,SUBSTITUTE(TEXT(BD302,"000000000000,00"),",",""),SUBSTITUTE(TEXT(BD302,"0000000000000,00"),",",""))</f>
        <v>000000000000000</v>
      </c>
      <c r="BF302" s="23">
        <f t="shared" si="1656"/>
        <v>0</v>
      </c>
      <c r="BG302" s="49" t="str">
        <f t="shared" ref="BG302" si="1865">IF(BF302&lt;0,SUBSTITUTE(TEXT(BF302,"000000000000,00"),",",""),SUBSTITUTE(TEXT(BF302,"0000000000000,00"),",",""))</f>
        <v>000000000000000</v>
      </c>
      <c r="BH302" s="23">
        <f t="shared" si="1658"/>
        <v>0</v>
      </c>
      <c r="BI302" s="49" t="str">
        <f t="shared" ref="BI302" si="1866">IF(BH302&lt;0,SUBSTITUTE(TEXT(BH302,"000000000000,00"),",",""),SUBSTITUTE(TEXT(BH302,"0000000000000,00"),",",""))</f>
        <v>000000000000000</v>
      </c>
      <c r="BJ302" s="23">
        <f t="shared" si="1660"/>
        <v>0</v>
      </c>
      <c r="BK302" s="49" t="str">
        <f t="shared" ref="BK302" si="1867">IF(BJ302&lt;0,SUBSTITUTE(TEXT(BJ302,"000000000000,00"),",",""),SUBSTITUTE(TEXT(BJ302,"0000000000000,00"),",",""))</f>
        <v>000000000000000</v>
      </c>
      <c r="BL302" s="23">
        <f t="shared" si="1662"/>
        <v>0</v>
      </c>
      <c r="BM302" s="49" t="str">
        <f t="shared" ref="BM302" si="1868">IF(BL302&lt;0,SUBSTITUTE(TEXT(BL302,"000000000000,00"),",",""),SUBSTITUTE(TEXT(BL302,"0000000000000,00"),",",""))</f>
        <v>000000000000000</v>
      </c>
      <c r="BN302" t="str">
        <f t="shared" si="1664"/>
        <v>PES</v>
      </c>
      <c r="BO302" t="str">
        <f t="shared" si="1665"/>
        <v>0001000000</v>
      </c>
      <c r="BP302">
        <f t="shared" si="1666"/>
        <v>0</v>
      </c>
      <c r="BQ302">
        <f t="shared" si="1667"/>
        <v>0</v>
      </c>
      <c r="BR302" s="23">
        <f t="shared" si="1668"/>
        <v>0</v>
      </c>
      <c r="BS302" s="49" t="str">
        <f t="shared" si="1633"/>
        <v>000000000000000</v>
      </c>
      <c r="BT302" t="str">
        <f t="shared" si="1669"/>
        <v>00000000</v>
      </c>
      <c r="BU302" s="23">
        <f t="shared" si="1670"/>
        <v>0</v>
      </c>
      <c r="BV302" s="49" t="str">
        <f t="shared" si="1634"/>
        <v/>
      </c>
      <c r="BW302" s="52" t="str">
        <f t="shared" si="1671"/>
        <v/>
      </c>
      <c r="BX302" s="23">
        <f t="shared" si="1672"/>
        <v>0</v>
      </c>
      <c r="BY302" s="49" t="str">
        <f t="shared" si="1635"/>
        <v/>
      </c>
      <c r="BZ302" s="23">
        <f t="shared" si="1673"/>
        <v>0</v>
      </c>
      <c r="CA302" s="49" t="str">
        <f t="shared" si="1636"/>
        <v/>
      </c>
      <c r="CB302" s="52" t="str">
        <f t="shared" si="1674"/>
        <v/>
      </c>
      <c r="CC302" s="23">
        <f t="shared" si="1675"/>
        <v>0</v>
      </c>
      <c r="CD302" s="49" t="str">
        <f t="shared" si="1637"/>
        <v/>
      </c>
      <c r="CE302" s="56" t="str">
        <f>IF(CF302="","",MAX(CE$10:$CE301)+1)</f>
        <v/>
      </c>
      <c r="CF302" t="str">
        <f t="shared" si="1676"/>
        <v/>
      </c>
      <c r="CG302" s="22" t="str">
        <f>IF(CH302="","",MAX($CG$10:CG301)+1)</f>
        <v/>
      </c>
      <c r="CH302" s="22" t="str">
        <f t="shared" si="1621"/>
        <v/>
      </c>
      <c r="CI302" s="22" t="str">
        <f>IF(CJ302="","",MAX($CI$10:CI301)+1)</f>
        <v/>
      </c>
      <c r="CJ302" s="22" t="str">
        <f t="shared" si="1622"/>
        <v/>
      </c>
    </row>
    <row r="303" spans="2:88" x14ac:dyDescent="0.25">
      <c r="B303" s="37"/>
      <c r="C303" s="3"/>
      <c r="D303" s="77" t="str">
        <f t="shared" si="1608"/>
        <v/>
      </c>
      <c r="E303" s="38"/>
      <c r="F303" s="38"/>
      <c r="G303" s="78">
        <f t="shared" si="1623"/>
        <v>0</v>
      </c>
      <c r="H303" s="3">
        <v>80</v>
      </c>
      <c r="I303" s="77" t="str">
        <f t="shared" si="1609"/>
        <v/>
      </c>
      <c r="J303" s="32"/>
      <c r="K303" s="3"/>
      <c r="L303" s="39"/>
      <c r="M303" s="39"/>
      <c r="N303" s="39"/>
      <c r="O303" s="39"/>
      <c r="P303" s="39"/>
      <c r="Q303" s="39"/>
      <c r="R303" s="39"/>
      <c r="S303" s="39"/>
      <c r="T303" s="3" t="s">
        <v>645</v>
      </c>
      <c r="U303" s="77" t="str">
        <f t="shared" si="1610"/>
        <v/>
      </c>
      <c r="V303" s="39">
        <v>1</v>
      </c>
      <c r="W303" s="79">
        <f t="shared" si="1624"/>
        <v>0</v>
      </c>
      <c r="X303" s="3">
        <v>0</v>
      </c>
      <c r="Y303" s="77" t="str">
        <f t="shared" si="1611"/>
        <v/>
      </c>
      <c r="Z303" s="3"/>
      <c r="AA303" s="37" t="str">
        <f t="shared" si="1625"/>
        <v/>
      </c>
      <c r="AC303" s="40"/>
      <c r="AD303" s="7"/>
      <c r="AE303" s="77" t="str">
        <f t="shared" si="1612"/>
        <v/>
      </c>
      <c r="AF303" s="81">
        <f t="shared" si="1638"/>
        <v>0</v>
      </c>
      <c r="AG303" s="40"/>
      <c r="AH303" s="7"/>
      <c r="AI303" s="77" t="str">
        <f t="shared" si="1613"/>
        <v/>
      </c>
      <c r="AJ303" s="81">
        <f t="shared" si="1639"/>
        <v>0</v>
      </c>
      <c r="AK303" s="83">
        <f t="shared" si="1640"/>
        <v>0</v>
      </c>
      <c r="AL303" s="83">
        <f t="shared" si="1641"/>
        <v>0</v>
      </c>
      <c r="AN303" s="43">
        <f t="shared" si="1614"/>
        <v>0</v>
      </c>
      <c r="AP303" t="str">
        <f t="shared" si="1642"/>
        <v/>
      </c>
      <c r="AQ303" t="str">
        <f t="shared" si="1643"/>
        <v/>
      </c>
      <c r="AR303" t="str">
        <f t="shared" si="1644"/>
        <v/>
      </c>
      <c r="AS303" t="str">
        <f t="shared" si="1645"/>
        <v/>
      </c>
      <c r="AT303" t="str">
        <f t="shared" si="1646"/>
        <v/>
      </c>
      <c r="AU303" t="str">
        <f t="shared" si="1647"/>
        <v/>
      </c>
      <c r="AV303" t="str">
        <f t="shared" si="1648"/>
        <v/>
      </c>
      <c r="AW303" t="str">
        <f t="shared" si="1649"/>
        <v xml:space="preserve">                              </v>
      </c>
      <c r="AX303" s="23">
        <f t="shared" si="1650"/>
        <v>0</v>
      </c>
      <c r="AY303" s="49" t="str">
        <f t="shared" si="1626"/>
        <v>000000000000000</v>
      </c>
      <c r="AZ303" s="23">
        <f t="shared" si="1651"/>
        <v>0</v>
      </c>
      <c r="BA303" s="49" t="str">
        <f t="shared" si="1626"/>
        <v>000000000000000</v>
      </c>
      <c r="BB303" s="23">
        <f t="shared" si="1652"/>
        <v>0</v>
      </c>
      <c r="BC303" s="49" t="str">
        <f t="shared" ref="BC303" si="1869">IF(BB303&lt;0,SUBSTITUTE(TEXT(BB303,"000000000000,00"),",",""),SUBSTITUTE(TEXT(BB303,"0000000000000,00"),",",""))</f>
        <v>000000000000000</v>
      </c>
      <c r="BD303" s="23">
        <f t="shared" si="1654"/>
        <v>0</v>
      </c>
      <c r="BE303" s="49" t="str">
        <f t="shared" ref="BE303" si="1870">IF(BD303&lt;0,SUBSTITUTE(TEXT(BD303,"000000000000,00"),",",""),SUBSTITUTE(TEXT(BD303,"0000000000000,00"),",",""))</f>
        <v>000000000000000</v>
      </c>
      <c r="BF303" s="23">
        <f t="shared" si="1656"/>
        <v>0</v>
      </c>
      <c r="BG303" s="49" t="str">
        <f t="shared" ref="BG303" si="1871">IF(BF303&lt;0,SUBSTITUTE(TEXT(BF303,"000000000000,00"),",",""),SUBSTITUTE(TEXT(BF303,"0000000000000,00"),",",""))</f>
        <v>000000000000000</v>
      </c>
      <c r="BH303" s="23">
        <f t="shared" si="1658"/>
        <v>0</v>
      </c>
      <c r="BI303" s="49" t="str">
        <f t="shared" ref="BI303" si="1872">IF(BH303&lt;0,SUBSTITUTE(TEXT(BH303,"000000000000,00"),",",""),SUBSTITUTE(TEXT(BH303,"0000000000000,00"),",",""))</f>
        <v>000000000000000</v>
      </c>
      <c r="BJ303" s="23">
        <f t="shared" si="1660"/>
        <v>0</v>
      </c>
      <c r="BK303" s="49" t="str">
        <f t="shared" ref="BK303" si="1873">IF(BJ303&lt;0,SUBSTITUTE(TEXT(BJ303,"000000000000,00"),",",""),SUBSTITUTE(TEXT(BJ303,"0000000000000,00"),",",""))</f>
        <v>000000000000000</v>
      </c>
      <c r="BL303" s="23">
        <f t="shared" si="1662"/>
        <v>0</v>
      </c>
      <c r="BM303" s="49" t="str">
        <f t="shared" ref="BM303" si="1874">IF(BL303&lt;0,SUBSTITUTE(TEXT(BL303,"000000000000,00"),",",""),SUBSTITUTE(TEXT(BL303,"0000000000000,00"),",",""))</f>
        <v>000000000000000</v>
      </c>
      <c r="BN303" t="str">
        <f t="shared" si="1664"/>
        <v>PES</v>
      </c>
      <c r="BO303" t="str">
        <f t="shared" si="1665"/>
        <v>0001000000</v>
      </c>
      <c r="BP303">
        <f t="shared" si="1666"/>
        <v>0</v>
      </c>
      <c r="BQ303">
        <f t="shared" si="1667"/>
        <v>0</v>
      </c>
      <c r="BR303" s="23">
        <f t="shared" si="1668"/>
        <v>0</v>
      </c>
      <c r="BS303" s="49" t="str">
        <f t="shared" si="1633"/>
        <v>000000000000000</v>
      </c>
      <c r="BT303" t="str">
        <f t="shared" si="1669"/>
        <v>00000000</v>
      </c>
      <c r="BU303" s="23">
        <f t="shared" si="1670"/>
        <v>0</v>
      </c>
      <c r="BV303" s="49" t="str">
        <f t="shared" si="1634"/>
        <v/>
      </c>
      <c r="BW303" s="52" t="str">
        <f t="shared" si="1671"/>
        <v/>
      </c>
      <c r="BX303" s="23">
        <f t="shared" si="1672"/>
        <v>0</v>
      </c>
      <c r="BY303" s="49" t="str">
        <f t="shared" si="1635"/>
        <v/>
      </c>
      <c r="BZ303" s="23">
        <f t="shared" si="1673"/>
        <v>0</v>
      </c>
      <c r="CA303" s="49" t="str">
        <f t="shared" si="1636"/>
        <v/>
      </c>
      <c r="CB303" s="52" t="str">
        <f t="shared" si="1674"/>
        <v/>
      </c>
      <c r="CC303" s="23">
        <f t="shared" si="1675"/>
        <v>0</v>
      </c>
      <c r="CD303" s="49" t="str">
        <f t="shared" si="1637"/>
        <v/>
      </c>
      <c r="CE303" s="56" t="str">
        <f>IF(CF303="","",MAX(CE$10:$CE302)+1)</f>
        <v/>
      </c>
      <c r="CF303" t="str">
        <f t="shared" si="1676"/>
        <v/>
      </c>
      <c r="CG303" s="22" t="str">
        <f>IF(CH303="","",MAX($CG$10:CG302)+1)</f>
        <v/>
      </c>
      <c r="CH303" s="22" t="str">
        <f t="shared" si="1621"/>
        <v/>
      </c>
      <c r="CI303" s="22" t="str">
        <f>IF(CJ303="","",MAX($CI$10:CI302)+1)</f>
        <v/>
      </c>
      <c r="CJ303" s="22" t="str">
        <f t="shared" si="1622"/>
        <v/>
      </c>
    </row>
    <row r="304" spans="2:88" x14ac:dyDescent="0.25">
      <c r="B304" s="37"/>
      <c r="C304" s="3"/>
      <c r="D304" s="77" t="str">
        <f t="shared" si="1608"/>
        <v/>
      </c>
      <c r="E304" s="38"/>
      <c r="F304" s="38"/>
      <c r="G304" s="78">
        <f t="shared" si="1623"/>
        <v>0</v>
      </c>
      <c r="H304" s="3">
        <v>80</v>
      </c>
      <c r="I304" s="77" t="str">
        <f t="shared" si="1609"/>
        <v/>
      </c>
      <c r="J304" s="32"/>
      <c r="K304" s="3"/>
      <c r="L304" s="39"/>
      <c r="M304" s="39"/>
      <c r="N304" s="39"/>
      <c r="O304" s="39"/>
      <c r="P304" s="39"/>
      <c r="Q304" s="39"/>
      <c r="R304" s="39"/>
      <c r="S304" s="39"/>
      <c r="T304" s="3" t="s">
        <v>645</v>
      </c>
      <c r="U304" s="77" t="str">
        <f t="shared" si="1610"/>
        <v/>
      </c>
      <c r="V304" s="39">
        <v>1</v>
      </c>
      <c r="W304" s="79">
        <f t="shared" si="1624"/>
        <v>0</v>
      </c>
      <c r="X304" s="3">
        <v>0</v>
      </c>
      <c r="Y304" s="77" t="str">
        <f t="shared" si="1611"/>
        <v/>
      </c>
      <c r="Z304" s="3"/>
      <c r="AA304" s="37" t="str">
        <f t="shared" si="1625"/>
        <v/>
      </c>
      <c r="AC304" s="40"/>
      <c r="AD304" s="7"/>
      <c r="AE304" s="77" t="str">
        <f t="shared" si="1612"/>
        <v/>
      </c>
      <c r="AF304" s="81">
        <f t="shared" si="1638"/>
        <v>0</v>
      </c>
      <c r="AG304" s="40"/>
      <c r="AH304" s="7"/>
      <c r="AI304" s="77" t="str">
        <f t="shared" si="1613"/>
        <v/>
      </c>
      <c r="AJ304" s="81">
        <f t="shared" si="1639"/>
        <v>0</v>
      </c>
      <c r="AK304" s="83">
        <f t="shared" si="1640"/>
        <v>0</v>
      </c>
      <c r="AL304" s="83">
        <f t="shared" si="1641"/>
        <v>0</v>
      </c>
      <c r="AN304" s="43">
        <f t="shared" si="1614"/>
        <v>0</v>
      </c>
      <c r="AP304" t="str">
        <f t="shared" si="1642"/>
        <v/>
      </c>
      <c r="AQ304" t="str">
        <f t="shared" si="1643"/>
        <v/>
      </c>
      <c r="AR304" t="str">
        <f t="shared" si="1644"/>
        <v/>
      </c>
      <c r="AS304" t="str">
        <f t="shared" si="1645"/>
        <v/>
      </c>
      <c r="AT304" t="str">
        <f t="shared" si="1646"/>
        <v/>
      </c>
      <c r="AU304" t="str">
        <f t="shared" si="1647"/>
        <v/>
      </c>
      <c r="AV304" t="str">
        <f t="shared" si="1648"/>
        <v/>
      </c>
      <c r="AW304" t="str">
        <f t="shared" si="1649"/>
        <v xml:space="preserve">                              </v>
      </c>
      <c r="AX304" s="23">
        <f t="shared" si="1650"/>
        <v>0</v>
      </c>
      <c r="AY304" s="49" t="str">
        <f t="shared" si="1626"/>
        <v>000000000000000</v>
      </c>
      <c r="AZ304" s="23">
        <f t="shared" si="1651"/>
        <v>0</v>
      </c>
      <c r="BA304" s="49" t="str">
        <f t="shared" si="1626"/>
        <v>000000000000000</v>
      </c>
      <c r="BB304" s="23">
        <f t="shared" si="1652"/>
        <v>0</v>
      </c>
      <c r="BC304" s="49" t="str">
        <f t="shared" ref="BC304" si="1875">IF(BB304&lt;0,SUBSTITUTE(TEXT(BB304,"000000000000,00"),",",""),SUBSTITUTE(TEXT(BB304,"0000000000000,00"),",",""))</f>
        <v>000000000000000</v>
      </c>
      <c r="BD304" s="23">
        <f t="shared" si="1654"/>
        <v>0</v>
      </c>
      <c r="BE304" s="49" t="str">
        <f t="shared" ref="BE304" si="1876">IF(BD304&lt;0,SUBSTITUTE(TEXT(BD304,"000000000000,00"),",",""),SUBSTITUTE(TEXT(BD304,"0000000000000,00"),",",""))</f>
        <v>000000000000000</v>
      </c>
      <c r="BF304" s="23">
        <f t="shared" si="1656"/>
        <v>0</v>
      </c>
      <c r="BG304" s="49" t="str">
        <f t="shared" ref="BG304" si="1877">IF(BF304&lt;0,SUBSTITUTE(TEXT(BF304,"000000000000,00"),",",""),SUBSTITUTE(TEXT(BF304,"0000000000000,00"),",",""))</f>
        <v>000000000000000</v>
      </c>
      <c r="BH304" s="23">
        <f t="shared" si="1658"/>
        <v>0</v>
      </c>
      <c r="BI304" s="49" t="str">
        <f t="shared" ref="BI304" si="1878">IF(BH304&lt;0,SUBSTITUTE(TEXT(BH304,"000000000000,00"),",",""),SUBSTITUTE(TEXT(BH304,"0000000000000,00"),",",""))</f>
        <v>000000000000000</v>
      </c>
      <c r="BJ304" s="23">
        <f t="shared" si="1660"/>
        <v>0</v>
      </c>
      <c r="BK304" s="49" t="str">
        <f t="shared" ref="BK304" si="1879">IF(BJ304&lt;0,SUBSTITUTE(TEXT(BJ304,"000000000000,00"),",",""),SUBSTITUTE(TEXT(BJ304,"0000000000000,00"),",",""))</f>
        <v>000000000000000</v>
      </c>
      <c r="BL304" s="23">
        <f t="shared" si="1662"/>
        <v>0</v>
      </c>
      <c r="BM304" s="49" t="str">
        <f t="shared" ref="BM304" si="1880">IF(BL304&lt;0,SUBSTITUTE(TEXT(BL304,"000000000000,00"),",",""),SUBSTITUTE(TEXT(BL304,"0000000000000,00"),",",""))</f>
        <v>000000000000000</v>
      </c>
      <c r="BN304" t="str">
        <f t="shared" si="1664"/>
        <v>PES</v>
      </c>
      <c r="BO304" t="str">
        <f t="shared" si="1665"/>
        <v>0001000000</v>
      </c>
      <c r="BP304">
        <f t="shared" si="1666"/>
        <v>0</v>
      </c>
      <c r="BQ304">
        <f t="shared" si="1667"/>
        <v>0</v>
      </c>
      <c r="BR304" s="23">
        <f t="shared" si="1668"/>
        <v>0</v>
      </c>
      <c r="BS304" s="49" t="str">
        <f t="shared" si="1633"/>
        <v>000000000000000</v>
      </c>
      <c r="BT304" t="str">
        <f t="shared" si="1669"/>
        <v>00000000</v>
      </c>
      <c r="BU304" s="23">
        <f t="shared" si="1670"/>
        <v>0</v>
      </c>
      <c r="BV304" s="49" t="str">
        <f t="shared" si="1634"/>
        <v/>
      </c>
      <c r="BW304" s="52" t="str">
        <f t="shared" si="1671"/>
        <v/>
      </c>
      <c r="BX304" s="23">
        <f t="shared" si="1672"/>
        <v>0</v>
      </c>
      <c r="BY304" s="49" t="str">
        <f t="shared" si="1635"/>
        <v/>
      </c>
      <c r="BZ304" s="23">
        <f t="shared" si="1673"/>
        <v>0</v>
      </c>
      <c r="CA304" s="49" t="str">
        <f t="shared" si="1636"/>
        <v/>
      </c>
      <c r="CB304" s="52" t="str">
        <f t="shared" si="1674"/>
        <v/>
      </c>
      <c r="CC304" s="23">
        <f t="shared" si="1675"/>
        <v>0</v>
      </c>
      <c r="CD304" s="49" t="str">
        <f t="shared" si="1637"/>
        <v/>
      </c>
      <c r="CE304" s="56" t="str">
        <f>IF(CF304="","",MAX(CE$10:$CE303)+1)</f>
        <v/>
      </c>
      <c r="CF304" t="str">
        <f t="shared" si="1676"/>
        <v/>
      </c>
      <c r="CG304" s="22" t="str">
        <f>IF(CH304="","",MAX($CG$10:CG303)+1)</f>
        <v/>
      </c>
      <c r="CH304" s="22" t="str">
        <f t="shared" si="1621"/>
        <v/>
      </c>
      <c r="CI304" s="22" t="str">
        <f>IF(CJ304="","",MAX($CI$10:CI303)+1)</f>
        <v/>
      </c>
      <c r="CJ304" s="22" t="str">
        <f t="shared" si="1622"/>
        <v/>
      </c>
    </row>
    <row r="305" spans="2:88" x14ac:dyDescent="0.25">
      <c r="B305" s="37"/>
      <c r="C305" s="3"/>
      <c r="D305" s="77" t="str">
        <f t="shared" si="1608"/>
        <v/>
      </c>
      <c r="E305" s="38"/>
      <c r="F305" s="38"/>
      <c r="G305" s="78">
        <f t="shared" si="1623"/>
        <v>0</v>
      </c>
      <c r="H305" s="3">
        <v>80</v>
      </c>
      <c r="I305" s="77" t="str">
        <f t="shared" si="1609"/>
        <v/>
      </c>
      <c r="J305" s="32"/>
      <c r="K305" s="3"/>
      <c r="L305" s="39"/>
      <c r="M305" s="39"/>
      <c r="N305" s="39"/>
      <c r="O305" s="39"/>
      <c r="P305" s="39"/>
      <c r="Q305" s="39"/>
      <c r="R305" s="39"/>
      <c r="S305" s="39"/>
      <c r="T305" s="3" t="s">
        <v>645</v>
      </c>
      <c r="U305" s="77" t="str">
        <f t="shared" si="1610"/>
        <v/>
      </c>
      <c r="V305" s="39">
        <v>1</v>
      </c>
      <c r="W305" s="79">
        <f t="shared" si="1624"/>
        <v>0</v>
      </c>
      <c r="X305" s="3">
        <v>0</v>
      </c>
      <c r="Y305" s="77" t="str">
        <f t="shared" si="1611"/>
        <v/>
      </c>
      <c r="Z305" s="3"/>
      <c r="AA305" s="37" t="str">
        <f t="shared" si="1625"/>
        <v/>
      </c>
      <c r="AC305" s="40"/>
      <c r="AD305" s="7"/>
      <c r="AE305" s="77" t="str">
        <f t="shared" si="1612"/>
        <v/>
      </c>
      <c r="AF305" s="81">
        <f t="shared" si="1638"/>
        <v>0</v>
      </c>
      <c r="AG305" s="40"/>
      <c r="AH305" s="7"/>
      <c r="AI305" s="77" t="str">
        <f t="shared" si="1613"/>
        <v/>
      </c>
      <c r="AJ305" s="81">
        <f t="shared" si="1639"/>
        <v>0</v>
      </c>
      <c r="AK305" s="83">
        <f t="shared" si="1640"/>
        <v>0</v>
      </c>
      <c r="AL305" s="83">
        <f t="shared" si="1641"/>
        <v>0</v>
      </c>
      <c r="AN305" s="43">
        <f t="shared" si="1614"/>
        <v>0</v>
      </c>
      <c r="AP305" t="str">
        <f t="shared" si="1642"/>
        <v/>
      </c>
      <c r="AQ305" t="str">
        <f t="shared" si="1643"/>
        <v/>
      </c>
      <c r="AR305" t="str">
        <f t="shared" si="1644"/>
        <v/>
      </c>
      <c r="AS305" t="str">
        <f t="shared" si="1645"/>
        <v/>
      </c>
      <c r="AT305" t="str">
        <f t="shared" si="1646"/>
        <v/>
      </c>
      <c r="AU305" t="str">
        <f t="shared" si="1647"/>
        <v/>
      </c>
      <c r="AV305" t="str">
        <f t="shared" si="1648"/>
        <v/>
      </c>
      <c r="AW305" t="str">
        <f t="shared" si="1649"/>
        <v xml:space="preserve">                              </v>
      </c>
      <c r="AX305" s="23">
        <f t="shared" si="1650"/>
        <v>0</v>
      </c>
      <c r="AY305" s="49" t="str">
        <f t="shared" si="1626"/>
        <v>000000000000000</v>
      </c>
      <c r="AZ305" s="23">
        <f t="shared" si="1651"/>
        <v>0</v>
      </c>
      <c r="BA305" s="49" t="str">
        <f t="shared" si="1626"/>
        <v>000000000000000</v>
      </c>
      <c r="BB305" s="23">
        <f t="shared" si="1652"/>
        <v>0</v>
      </c>
      <c r="BC305" s="49" t="str">
        <f t="shared" ref="BC305" si="1881">IF(BB305&lt;0,SUBSTITUTE(TEXT(BB305,"000000000000,00"),",",""),SUBSTITUTE(TEXT(BB305,"0000000000000,00"),",",""))</f>
        <v>000000000000000</v>
      </c>
      <c r="BD305" s="23">
        <f t="shared" si="1654"/>
        <v>0</v>
      </c>
      <c r="BE305" s="49" t="str">
        <f t="shared" ref="BE305" si="1882">IF(BD305&lt;0,SUBSTITUTE(TEXT(BD305,"000000000000,00"),",",""),SUBSTITUTE(TEXT(BD305,"0000000000000,00"),",",""))</f>
        <v>000000000000000</v>
      </c>
      <c r="BF305" s="23">
        <f t="shared" si="1656"/>
        <v>0</v>
      </c>
      <c r="BG305" s="49" t="str">
        <f t="shared" ref="BG305" si="1883">IF(BF305&lt;0,SUBSTITUTE(TEXT(BF305,"000000000000,00"),",",""),SUBSTITUTE(TEXT(BF305,"0000000000000,00"),",",""))</f>
        <v>000000000000000</v>
      </c>
      <c r="BH305" s="23">
        <f t="shared" si="1658"/>
        <v>0</v>
      </c>
      <c r="BI305" s="49" t="str">
        <f t="shared" ref="BI305" si="1884">IF(BH305&lt;0,SUBSTITUTE(TEXT(BH305,"000000000000,00"),",",""),SUBSTITUTE(TEXT(BH305,"0000000000000,00"),",",""))</f>
        <v>000000000000000</v>
      </c>
      <c r="BJ305" s="23">
        <f t="shared" si="1660"/>
        <v>0</v>
      </c>
      <c r="BK305" s="49" t="str">
        <f t="shared" ref="BK305" si="1885">IF(BJ305&lt;0,SUBSTITUTE(TEXT(BJ305,"000000000000,00"),",",""),SUBSTITUTE(TEXT(BJ305,"0000000000000,00"),",",""))</f>
        <v>000000000000000</v>
      </c>
      <c r="BL305" s="23">
        <f t="shared" si="1662"/>
        <v>0</v>
      </c>
      <c r="BM305" s="49" t="str">
        <f t="shared" ref="BM305" si="1886">IF(BL305&lt;0,SUBSTITUTE(TEXT(BL305,"000000000000,00"),",",""),SUBSTITUTE(TEXT(BL305,"0000000000000,00"),",",""))</f>
        <v>000000000000000</v>
      </c>
      <c r="BN305" t="str">
        <f t="shared" si="1664"/>
        <v>PES</v>
      </c>
      <c r="BO305" t="str">
        <f t="shared" si="1665"/>
        <v>0001000000</v>
      </c>
      <c r="BP305">
        <f t="shared" si="1666"/>
        <v>0</v>
      </c>
      <c r="BQ305">
        <f t="shared" si="1667"/>
        <v>0</v>
      </c>
      <c r="BR305" s="23">
        <f t="shared" si="1668"/>
        <v>0</v>
      </c>
      <c r="BS305" s="49" t="str">
        <f t="shared" si="1633"/>
        <v>000000000000000</v>
      </c>
      <c r="BT305" t="str">
        <f t="shared" si="1669"/>
        <v>00000000</v>
      </c>
      <c r="BU305" s="23">
        <f t="shared" si="1670"/>
        <v>0</v>
      </c>
      <c r="BV305" s="49" t="str">
        <f t="shared" si="1634"/>
        <v/>
      </c>
      <c r="BW305" s="52" t="str">
        <f t="shared" si="1671"/>
        <v/>
      </c>
      <c r="BX305" s="23">
        <f t="shared" si="1672"/>
        <v>0</v>
      </c>
      <c r="BY305" s="49" t="str">
        <f t="shared" si="1635"/>
        <v/>
      </c>
      <c r="BZ305" s="23">
        <f t="shared" si="1673"/>
        <v>0</v>
      </c>
      <c r="CA305" s="49" t="str">
        <f t="shared" si="1636"/>
        <v/>
      </c>
      <c r="CB305" s="52" t="str">
        <f t="shared" si="1674"/>
        <v/>
      </c>
      <c r="CC305" s="23">
        <f t="shared" si="1675"/>
        <v>0</v>
      </c>
      <c r="CD305" s="49" t="str">
        <f t="shared" si="1637"/>
        <v/>
      </c>
      <c r="CE305" s="56" t="str">
        <f>IF(CF305="","",MAX(CE$10:$CE304)+1)</f>
        <v/>
      </c>
      <c r="CF305" t="str">
        <f t="shared" si="1676"/>
        <v/>
      </c>
      <c r="CG305" s="22" t="str">
        <f>IF(CH305="","",MAX($CG$10:CG304)+1)</f>
        <v/>
      </c>
      <c r="CH305" s="22" t="str">
        <f t="shared" si="1621"/>
        <v/>
      </c>
      <c r="CI305" s="22" t="str">
        <f>IF(CJ305="","",MAX($CI$10:CI304)+1)</f>
        <v/>
      </c>
      <c r="CJ305" s="22" t="str">
        <f t="shared" si="1622"/>
        <v/>
      </c>
    </row>
    <row r="306" spans="2:88" x14ac:dyDescent="0.25">
      <c r="B306" s="37"/>
      <c r="C306" s="3"/>
      <c r="D306" s="77" t="str">
        <f t="shared" si="1608"/>
        <v/>
      </c>
      <c r="E306" s="38"/>
      <c r="F306" s="38"/>
      <c r="G306" s="78">
        <f t="shared" si="1623"/>
        <v>0</v>
      </c>
      <c r="H306" s="3">
        <v>80</v>
      </c>
      <c r="I306" s="77" t="str">
        <f t="shared" si="1609"/>
        <v/>
      </c>
      <c r="J306" s="32"/>
      <c r="K306" s="3"/>
      <c r="L306" s="39"/>
      <c r="M306" s="39"/>
      <c r="N306" s="39"/>
      <c r="O306" s="39"/>
      <c r="P306" s="39"/>
      <c r="Q306" s="39"/>
      <c r="R306" s="39"/>
      <c r="S306" s="39"/>
      <c r="T306" s="3" t="s">
        <v>645</v>
      </c>
      <c r="U306" s="77" t="str">
        <f t="shared" si="1610"/>
        <v/>
      </c>
      <c r="V306" s="39">
        <v>1</v>
      </c>
      <c r="W306" s="79">
        <f t="shared" si="1624"/>
        <v>0</v>
      </c>
      <c r="X306" s="3">
        <v>0</v>
      </c>
      <c r="Y306" s="77" t="str">
        <f t="shared" si="1611"/>
        <v/>
      </c>
      <c r="Z306" s="3"/>
      <c r="AA306" s="37" t="str">
        <f t="shared" si="1625"/>
        <v/>
      </c>
      <c r="AC306" s="40"/>
      <c r="AD306" s="7"/>
      <c r="AE306" s="77" t="str">
        <f t="shared" si="1612"/>
        <v/>
      </c>
      <c r="AF306" s="81">
        <f t="shared" si="1638"/>
        <v>0</v>
      </c>
      <c r="AG306" s="40"/>
      <c r="AH306" s="7"/>
      <c r="AI306" s="77" t="str">
        <f t="shared" si="1613"/>
        <v/>
      </c>
      <c r="AJ306" s="81">
        <f t="shared" si="1639"/>
        <v>0</v>
      </c>
      <c r="AK306" s="83">
        <f t="shared" si="1640"/>
        <v>0</v>
      </c>
      <c r="AL306" s="83">
        <f t="shared" si="1641"/>
        <v>0</v>
      </c>
      <c r="AN306" s="43">
        <f t="shared" si="1614"/>
        <v>0</v>
      </c>
      <c r="AP306" t="str">
        <f t="shared" si="1642"/>
        <v/>
      </c>
      <c r="AQ306" t="str">
        <f t="shared" si="1643"/>
        <v/>
      </c>
      <c r="AR306" t="str">
        <f t="shared" si="1644"/>
        <v/>
      </c>
      <c r="AS306" t="str">
        <f t="shared" si="1645"/>
        <v/>
      </c>
      <c r="AT306" t="str">
        <f t="shared" si="1646"/>
        <v/>
      </c>
      <c r="AU306" t="str">
        <f t="shared" si="1647"/>
        <v/>
      </c>
      <c r="AV306" t="str">
        <f t="shared" si="1648"/>
        <v/>
      </c>
      <c r="AW306" t="str">
        <f t="shared" si="1649"/>
        <v xml:space="preserve">                              </v>
      </c>
      <c r="AX306" s="23">
        <f t="shared" si="1650"/>
        <v>0</v>
      </c>
      <c r="AY306" s="49" t="str">
        <f t="shared" si="1626"/>
        <v>000000000000000</v>
      </c>
      <c r="AZ306" s="23">
        <f t="shared" si="1651"/>
        <v>0</v>
      </c>
      <c r="BA306" s="49" t="str">
        <f t="shared" si="1626"/>
        <v>000000000000000</v>
      </c>
      <c r="BB306" s="23">
        <f t="shared" si="1652"/>
        <v>0</v>
      </c>
      <c r="BC306" s="49" t="str">
        <f t="shared" ref="BC306" si="1887">IF(BB306&lt;0,SUBSTITUTE(TEXT(BB306,"000000000000,00"),",",""),SUBSTITUTE(TEXT(BB306,"0000000000000,00"),",",""))</f>
        <v>000000000000000</v>
      </c>
      <c r="BD306" s="23">
        <f t="shared" si="1654"/>
        <v>0</v>
      </c>
      <c r="BE306" s="49" t="str">
        <f t="shared" ref="BE306" si="1888">IF(BD306&lt;0,SUBSTITUTE(TEXT(BD306,"000000000000,00"),",",""),SUBSTITUTE(TEXT(BD306,"0000000000000,00"),",",""))</f>
        <v>000000000000000</v>
      </c>
      <c r="BF306" s="23">
        <f t="shared" si="1656"/>
        <v>0</v>
      </c>
      <c r="BG306" s="49" t="str">
        <f t="shared" ref="BG306" si="1889">IF(BF306&lt;0,SUBSTITUTE(TEXT(BF306,"000000000000,00"),",",""),SUBSTITUTE(TEXT(BF306,"0000000000000,00"),",",""))</f>
        <v>000000000000000</v>
      </c>
      <c r="BH306" s="23">
        <f t="shared" si="1658"/>
        <v>0</v>
      </c>
      <c r="BI306" s="49" t="str">
        <f t="shared" ref="BI306" si="1890">IF(BH306&lt;0,SUBSTITUTE(TEXT(BH306,"000000000000,00"),",",""),SUBSTITUTE(TEXT(BH306,"0000000000000,00"),",",""))</f>
        <v>000000000000000</v>
      </c>
      <c r="BJ306" s="23">
        <f t="shared" si="1660"/>
        <v>0</v>
      </c>
      <c r="BK306" s="49" t="str">
        <f t="shared" ref="BK306" si="1891">IF(BJ306&lt;0,SUBSTITUTE(TEXT(BJ306,"000000000000,00"),",",""),SUBSTITUTE(TEXT(BJ306,"0000000000000,00"),",",""))</f>
        <v>000000000000000</v>
      </c>
      <c r="BL306" s="23">
        <f t="shared" si="1662"/>
        <v>0</v>
      </c>
      <c r="BM306" s="49" t="str">
        <f t="shared" ref="BM306" si="1892">IF(BL306&lt;0,SUBSTITUTE(TEXT(BL306,"000000000000,00"),",",""),SUBSTITUTE(TEXT(BL306,"0000000000000,00"),",",""))</f>
        <v>000000000000000</v>
      </c>
      <c r="BN306" t="str">
        <f t="shared" si="1664"/>
        <v>PES</v>
      </c>
      <c r="BO306" t="str">
        <f t="shared" si="1665"/>
        <v>0001000000</v>
      </c>
      <c r="BP306">
        <f t="shared" si="1666"/>
        <v>0</v>
      </c>
      <c r="BQ306">
        <f t="shared" si="1667"/>
        <v>0</v>
      </c>
      <c r="BR306" s="23">
        <f t="shared" si="1668"/>
        <v>0</v>
      </c>
      <c r="BS306" s="49" t="str">
        <f t="shared" si="1633"/>
        <v>000000000000000</v>
      </c>
      <c r="BT306" t="str">
        <f t="shared" si="1669"/>
        <v>00000000</v>
      </c>
      <c r="BU306" s="23">
        <f t="shared" si="1670"/>
        <v>0</v>
      </c>
      <c r="BV306" s="49" t="str">
        <f t="shared" si="1634"/>
        <v/>
      </c>
      <c r="BW306" s="52" t="str">
        <f t="shared" si="1671"/>
        <v/>
      </c>
      <c r="BX306" s="23">
        <f t="shared" si="1672"/>
        <v>0</v>
      </c>
      <c r="BY306" s="49" t="str">
        <f t="shared" si="1635"/>
        <v/>
      </c>
      <c r="BZ306" s="23">
        <f t="shared" si="1673"/>
        <v>0</v>
      </c>
      <c r="CA306" s="49" t="str">
        <f t="shared" si="1636"/>
        <v/>
      </c>
      <c r="CB306" s="52" t="str">
        <f t="shared" si="1674"/>
        <v/>
      </c>
      <c r="CC306" s="23">
        <f t="shared" si="1675"/>
        <v>0</v>
      </c>
      <c r="CD306" s="49" t="str">
        <f t="shared" si="1637"/>
        <v/>
      </c>
      <c r="CE306" s="56" t="str">
        <f>IF(CF306="","",MAX(CE$10:$CE305)+1)</f>
        <v/>
      </c>
      <c r="CF306" t="str">
        <f t="shared" si="1676"/>
        <v/>
      </c>
      <c r="CG306" s="22" t="str">
        <f>IF(CH306="","",MAX($CG$10:CG305)+1)</f>
        <v/>
      </c>
      <c r="CH306" s="22" t="str">
        <f t="shared" si="1621"/>
        <v/>
      </c>
      <c r="CI306" s="22" t="str">
        <f>IF(CJ306="","",MAX($CI$10:CI305)+1)</f>
        <v/>
      </c>
      <c r="CJ306" s="22" t="str">
        <f t="shared" si="1622"/>
        <v/>
      </c>
    </row>
    <row r="307" spans="2:88" x14ac:dyDescent="0.25">
      <c r="B307" s="37"/>
      <c r="C307" s="3"/>
      <c r="D307" s="77" t="str">
        <f t="shared" si="1608"/>
        <v/>
      </c>
      <c r="E307" s="38"/>
      <c r="F307" s="38"/>
      <c r="G307" s="78">
        <f t="shared" si="1623"/>
        <v>0</v>
      </c>
      <c r="H307" s="3">
        <v>80</v>
      </c>
      <c r="I307" s="77" t="str">
        <f t="shared" si="1609"/>
        <v/>
      </c>
      <c r="J307" s="32"/>
      <c r="K307" s="3"/>
      <c r="L307" s="39"/>
      <c r="M307" s="39"/>
      <c r="N307" s="39"/>
      <c r="O307" s="39"/>
      <c r="P307" s="39"/>
      <c r="Q307" s="39"/>
      <c r="R307" s="39"/>
      <c r="S307" s="39"/>
      <c r="T307" s="3" t="s">
        <v>645</v>
      </c>
      <c r="U307" s="77" t="str">
        <f t="shared" si="1610"/>
        <v/>
      </c>
      <c r="V307" s="39">
        <v>1</v>
      </c>
      <c r="W307" s="79">
        <f t="shared" si="1624"/>
        <v>0</v>
      </c>
      <c r="X307" s="3">
        <v>0</v>
      </c>
      <c r="Y307" s="77" t="str">
        <f t="shared" si="1611"/>
        <v/>
      </c>
      <c r="Z307" s="3"/>
      <c r="AA307" s="37" t="str">
        <f t="shared" si="1625"/>
        <v/>
      </c>
      <c r="AC307" s="40"/>
      <c r="AD307" s="7"/>
      <c r="AE307" s="77" t="str">
        <f t="shared" si="1612"/>
        <v/>
      </c>
      <c r="AF307" s="81">
        <f t="shared" si="1638"/>
        <v>0</v>
      </c>
      <c r="AG307" s="40"/>
      <c r="AH307" s="7"/>
      <c r="AI307" s="77" t="str">
        <f t="shared" si="1613"/>
        <v/>
      </c>
      <c r="AJ307" s="81">
        <f t="shared" si="1639"/>
        <v>0</v>
      </c>
      <c r="AK307" s="83">
        <f t="shared" si="1640"/>
        <v>0</v>
      </c>
      <c r="AL307" s="83">
        <f t="shared" si="1641"/>
        <v>0</v>
      </c>
      <c r="AN307" s="43">
        <f t="shared" si="1614"/>
        <v>0</v>
      </c>
      <c r="AP307" t="str">
        <f t="shared" si="1642"/>
        <v/>
      </c>
      <c r="AQ307" t="str">
        <f t="shared" si="1643"/>
        <v/>
      </c>
      <c r="AR307" t="str">
        <f t="shared" si="1644"/>
        <v/>
      </c>
      <c r="AS307" t="str">
        <f t="shared" si="1645"/>
        <v/>
      </c>
      <c r="AT307" t="str">
        <f t="shared" si="1646"/>
        <v/>
      </c>
      <c r="AU307" t="str">
        <f t="shared" si="1647"/>
        <v/>
      </c>
      <c r="AV307" t="str">
        <f t="shared" si="1648"/>
        <v/>
      </c>
      <c r="AW307" t="str">
        <f t="shared" si="1649"/>
        <v xml:space="preserve">                              </v>
      </c>
      <c r="AX307" s="23">
        <f t="shared" si="1650"/>
        <v>0</v>
      </c>
      <c r="AY307" s="49" t="str">
        <f t="shared" si="1626"/>
        <v>000000000000000</v>
      </c>
      <c r="AZ307" s="23">
        <f t="shared" si="1651"/>
        <v>0</v>
      </c>
      <c r="BA307" s="49" t="str">
        <f t="shared" si="1626"/>
        <v>000000000000000</v>
      </c>
      <c r="BB307" s="23">
        <f t="shared" si="1652"/>
        <v>0</v>
      </c>
      <c r="BC307" s="49" t="str">
        <f t="shared" ref="BC307" si="1893">IF(BB307&lt;0,SUBSTITUTE(TEXT(BB307,"000000000000,00"),",",""),SUBSTITUTE(TEXT(BB307,"0000000000000,00"),",",""))</f>
        <v>000000000000000</v>
      </c>
      <c r="BD307" s="23">
        <f t="shared" si="1654"/>
        <v>0</v>
      </c>
      <c r="BE307" s="49" t="str">
        <f t="shared" ref="BE307" si="1894">IF(BD307&lt;0,SUBSTITUTE(TEXT(BD307,"000000000000,00"),",",""),SUBSTITUTE(TEXT(BD307,"0000000000000,00"),",",""))</f>
        <v>000000000000000</v>
      </c>
      <c r="BF307" s="23">
        <f t="shared" si="1656"/>
        <v>0</v>
      </c>
      <c r="BG307" s="49" t="str">
        <f t="shared" ref="BG307" si="1895">IF(BF307&lt;0,SUBSTITUTE(TEXT(BF307,"000000000000,00"),",",""),SUBSTITUTE(TEXT(BF307,"0000000000000,00"),",",""))</f>
        <v>000000000000000</v>
      </c>
      <c r="BH307" s="23">
        <f t="shared" si="1658"/>
        <v>0</v>
      </c>
      <c r="BI307" s="49" t="str">
        <f t="shared" ref="BI307" si="1896">IF(BH307&lt;0,SUBSTITUTE(TEXT(BH307,"000000000000,00"),",",""),SUBSTITUTE(TEXT(BH307,"0000000000000,00"),",",""))</f>
        <v>000000000000000</v>
      </c>
      <c r="BJ307" s="23">
        <f t="shared" si="1660"/>
        <v>0</v>
      </c>
      <c r="BK307" s="49" t="str">
        <f t="shared" ref="BK307" si="1897">IF(BJ307&lt;0,SUBSTITUTE(TEXT(BJ307,"000000000000,00"),",",""),SUBSTITUTE(TEXT(BJ307,"0000000000000,00"),",",""))</f>
        <v>000000000000000</v>
      </c>
      <c r="BL307" s="23">
        <f t="shared" si="1662"/>
        <v>0</v>
      </c>
      <c r="BM307" s="49" t="str">
        <f t="shared" ref="BM307" si="1898">IF(BL307&lt;0,SUBSTITUTE(TEXT(BL307,"000000000000,00"),",",""),SUBSTITUTE(TEXT(BL307,"0000000000000,00"),",",""))</f>
        <v>000000000000000</v>
      </c>
      <c r="BN307" t="str">
        <f t="shared" si="1664"/>
        <v>PES</v>
      </c>
      <c r="BO307" t="str">
        <f t="shared" si="1665"/>
        <v>0001000000</v>
      </c>
      <c r="BP307">
        <f t="shared" si="1666"/>
        <v>0</v>
      </c>
      <c r="BQ307">
        <f t="shared" si="1667"/>
        <v>0</v>
      </c>
      <c r="BR307" s="23">
        <f t="shared" si="1668"/>
        <v>0</v>
      </c>
      <c r="BS307" s="49" t="str">
        <f t="shared" si="1633"/>
        <v>000000000000000</v>
      </c>
      <c r="BT307" t="str">
        <f t="shared" si="1669"/>
        <v>00000000</v>
      </c>
      <c r="BU307" s="23">
        <f t="shared" si="1670"/>
        <v>0</v>
      </c>
      <c r="BV307" s="49" t="str">
        <f t="shared" si="1634"/>
        <v/>
      </c>
      <c r="BW307" s="52" t="str">
        <f t="shared" si="1671"/>
        <v/>
      </c>
      <c r="BX307" s="23">
        <f t="shared" si="1672"/>
        <v>0</v>
      </c>
      <c r="BY307" s="49" t="str">
        <f t="shared" si="1635"/>
        <v/>
      </c>
      <c r="BZ307" s="23">
        <f t="shared" si="1673"/>
        <v>0</v>
      </c>
      <c r="CA307" s="49" t="str">
        <f t="shared" si="1636"/>
        <v/>
      </c>
      <c r="CB307" s="52" t="str">
        <f t="shared" si="1674"/>
        <v/>
      </c>
      <c r="CC307" s="23">
        <f t="shared" si="1675"/>
        <v>0</v>
      </c>
      <c r="CD307" s="49" t="str">
        <f t="shared" si="1637"/>
        <v/>
      </c>
      <c r="CE307" s="56" t="str">
        <f>IF(CF307="","",MAX(CE$10:$CE306)+1)</f>
        <v/>
      </c>
      <c r="CF307" t="str">
        <f t="shared" si="1676"/>
        <v/>
      </c>
      <c r="CG307" s="22" t="str">
        <f>IF(CH307="","",MAX($CG$10:CG306)+1)</f>
        <v/>
      </c>
      <c r="CH307" s="22" t="str">
        <f t="shared" si="1621"/>
        <v/>
      </c>
      <c r="CI307" s="22" t="str">
        <f>IF(CJ307="","",MAX($CI$10:CI306)+1)</f>
        <v/>
      </c>
      <c r="CJ307" s="22" t="str">
        <f t="shared" si="1622"/>
        <v/>
      </c>
    </row>
    <row r="308" spans="2:88" x14ac:dyDescent="0.25">
      <c r="B308" s="37"/>
      <c r="C308" s="3"/>
      <c r="D308" s="77" t="str">
        <f t="shared" si="1608"/>
        <v/>
      </c>
      <c r="E308" s="38"/>
      <c r="F308" s="38"/>
      <c r="G308" s="78">
        <f t="shared" si="1623"/>
        <v>0</v>
      </c>
      <c r="H308" s="3">
        <v>80</v>
      </c>
      <c r="I308" s="77" t="str">
        <f t="shared" si="1609"/>
        <v/>
      </c>
      <c r="J308" s="32"/>
      <c r="K308" s="3"/>
      <c r="L308" s="39"/>
      <c r="M308" s="39"/>
      <c r="N308" s="39"/>
      <c r="O308" s="39"/>
      <c r="P308" s="39"/>
      <c r="Q308" s="39"/>
      <c r="R308" s="39"/>
      <c r="S308" s="39"/>
      <c r="T308" s="3" t="s">
        <v>645</v>
      </c>
      <c r="U308" s="77" t="str">
        <f t="shared" si="1610"/>
        <v/>
      </c>
      <c r="V308" s="39">
        <v>1</v>
      </c>
      <c r="W308" s="79">
        <f t="shared" si="1624"/>
        <v>0</v>
      </c>
      <c r="X308" s="3">
        <v>0</v>
      </c>
      <c r="Y308" s="77" t="str">
        <f t="shared" si="1611"/>
        <v/>
      </c>
      <c r="Z308" s="3"/>
      <c r="AA308" s="37" t="str">
        <f t="shared" si="1625"/>
        <v/>
      </c>
      <c r="AC308" s="40"/>
      <c r="AD308" s="7"/>
      <c r="AE308" s="77" t="str">
        <f t="shared" si="1612"/>
        <v/>
      </c>
      <c r="AF308" s="81">
        <f t="shared" si="1638"/>
        <v>0</v>
      </c>
      <c r="AG308" s="40"/>
      <c r="AH308" s="7"/>
      <c r="AI308" s="77" t="str">
        <f t="shared" si="1613"/>
        <v/>
      </c>
      <c r="AJ308" s="81">
        <f t="shared" si="1639"/>
        <v>0</v>
      </c>
      <c r="AK308" s="83">
        <f t="shared" si="1640"/>
        <v>0</v>
      </c>
      <c r="AL308" s="83">
        <f t="shared" si="1641"/>
        <v>0</v>
      </c>
      <c r="AN308" s="43">
        <f t="shared" si="1614"/>
        <v>0</v>
      </c>
      <c r="AP308" t="str">
        <f t="shared" si="1642"/>
        <v/>
      </c>
      <c r="AQ308" t="str">
        <f t="shared" si="1643"/>
        <v/>
      </c>
      <c r="AR308" t="str">
        <f t="shared" si="1644"/>
        <v/>
      </c>
      <c r="AS308" t="str">
        <f t="shared" si="1645"/>
        <v/>
      </c>
      <c r="AT308" t="str">
        <f t="shared" si="1646"/>
        <v/>
      </c>
      <c r="AU308" t="str">
        <f t="shared" si="1647"/>
        <v/>
      </c>
      <c r="AV308" t="str">
        <f t="shared" si="1648"/>
        <v/>
      </c>
      <c r="AW308" t="str">
        <f t="shared" si="1649"/>
        <v xml:space="preserve">                              </v>
      </c>
      <c r="AX308" s="23">
        <f t="shared" si="1650"/>
        <v>0</v>
      </c>
      <c r="AY308" s="49" t="str">
        <f t="shared" si="1626"/>
        <v>000000000000000</v>
      </c>
      <c r="AZ308" s="23">
        <f t="shared" si="1651"/>
        <v>0</v>
      </c>
      <c r="BA308" s="49" t="str">
        <f t="shared" si="1626"/>
        <v>000000000000000</v>
      </c>
      <c r="BB308" s="23">
        <f t="shared" si="1652"/>
        <v>0</v>
      </c>
      <c r="BC308" s="49" t="str">
        <f t="shared" ref="BC308" si="1899">IF(BB308&lt;0,SUBSTITUTE(TEXT(BB308,"000000000000,00"),",",""),SUBSTITUTE(TEXT(BB308,"0000000000000,00"),",",""))</f>
        <v>000000000000000</v>
      </c>
      <c r="BD308" s="23">
        <f t="shared" si="1654"/>
        <v>0</v>
      </c>
      <c r="BE308" s="49" t="str">
        <f t="shared" ref="BE308" si="1900">IF(BD308&lt;0,SUBSTITUTE(TEXT(BD308,"000000000000,00"),",",""),SUBSTITUTE(TEXT(BD308,"0000000000000,00"),",",""))</f>
        <v>000000000000000</v>
      </c>
      <c r="BF308" s="23">
        <f t="shared" si="1656"/>
        <v>0</v>
      </c>
      <c r="BG308" s="49" t="str">
        <f t="shared" ref="BG308" si="1901">IF(BF308&lt;0,SUBSTITUTE(TEXT(BF308,"000000000000,00"),",",""),SUBSTITUTE(TEXT(BF308,"0000000000000,00"),",",""))</f>
        <v>000000000000000</v>
      </c>
      <c r="BH308" s="23">
        <f t="shared" si="1658"/>
        <v>0</v>
      </c>
      <c r="BI308" s="49" t="str">
        <f t="shared" ref="BI308" si="1902">IF(BH308&lt;0,SUBSTITUTE(TEXT(BH308,"000000000000,00"),",",""),SUBSTITUTE(TEXT(BH308,"0000000000000,00"),",",""))</f>
        <v>000000000000000</v>
      </c>
      <c r="BJ308" s="23">
        <f t="shared" si="1660"/>
        <v>0</v>
      </c>
      <c r="BK308" s="49" t="str">
        <f t="shared" ref="BK308" si="1903">IF(BJ308&lt;0,SUBSTITUTE(TEXT(BJ308,"000000000000,00"),",",""),SUBSTITUTE(TEXT(BJ308,"0000000000000,00"),",",""))</f>
        <v>000000000000000</v>
      </c>
      <c r="BL308" s="23">
        <f t="shared" si="1662"/>
        <v>0</v>
      </c>
      <c r="BM308" s="49" t="str">
        <f t="shared" ref="BM308" si="1904">IF(BL308&lt;0,SUBSTITUTE(TEXT(BL308,"000000000000,00"),",",""),SUBSTITUTE(TEXT(BL308,"0000000000000,00"),",",""))</f>
        <v>000000000000000</v>
      </c>
      <c r="BN308" t="str">
        <f t="shared" si="1664"/>
        <v>PES</v>
      </c>
      <c r="BO308" t="str">
        <f t="shared" si="1665"/>
        <v>0001000000</v>
      </c>
      <c r="BP308">
        <f t="shared" si="1666"/>
        <v>0</v>
      </c>
      <c r="BQ308">
        <f t="shared" si="1667"/>
        <v>0</v>
      </c>
      <c r="BR308" s="23">
        <f t="shared" si="1668"/>
        <v>0</v>
      </c>
      <c r="BS308" s="49" t="str">
        <f t="shared" si="1633"/>
        <v>000000000000000</v>
      </c>
      <c r="BT308" t="str">
        <f t="shared" si="1669"/>
        <v>00000000</v>
      </c>
      <c r="BU308" s="23">
        <f t="shared" si="1670"/>
        <v>0</v>
      </c>
      <c r="BV308" s="49" t="str">
        <f t="shared" si="1634"/>
        <v/>
      </c>
      <c r="BW308" s="52" t="str">
        <f t="shared" si="1671"/>
        <v/>
      </c>
      <c r="BX308" s="23">
        <f t="shared" si="1672"/>
        <v>0</v>
      </c>
      <c r="BY308" s="49" t="str">
        <f t="shared" si="1635"/>
        <v/>
      </c>
      <c r="BZ308" s="23">
        <f t="shared" si="1673"/>
        <v>0</v>
      </c>
      <c r="CA308" s="49" t="str">
        <f t="shared" si="1636"/>
        <v/>
      </c>
      <c r="CB308" s="52" t="str">
        <f t="shared" si="1674"/>
        <v/>
      </c>
      <c r="CC308" s="23">
        <f t="shared" si="1675"/>
        <v>0</v>
      </c>
      <c r="CD308" s="49" t="str">
        <f t="shared" si="1637"/>
        <v/>
      </c>
      <c r="CE308" s="56" t="str">
        <f>IF(CF308="","",MAX(CE$10:$CE307)+1)</f>
        <v/>
      </c>
      <c r="CF308" t="str">
        <f t="shared" si="1676"/>
        <v/>
      </c>
      <c r="CG308" s="22" t="str">
        <f>IF(CH308="","",MAX($CG$10:CG307)+1)</f>
        <v/>
      </c>
      <c r="CH308" s="22" t="str">
        <f t="shared" si="1621"/>
        <v/>
      </c>
      <c r="CI308" s="22" t="str">
        <f>IF(CJ308="","",MAX($CI$10:CI307)+1)</f>
        <v/>
      </c>
      <c r="CJ308" s="22" t="str">
        <f t="shared" si="1622"/>
        <v/>
      </c>
    </row>
    <row r="309" spans="2:88" x14ac:dyDescent="0.25">
      <c r="B309" s="37"/>
      <c r="C309" s="3"/>
      <c r="D309" s="77" t="str">
        <f t="shared" si="1608"/>
        <v/>
      </c>
      <c r="E309" s="38"/>
      <c r="F309" s="38"/>
      <c r="G309" s="78">
        <f t="shared" si="1623"/>
        <v>0</v>
      </c>
      <c r="H309" s="3">
        <v>80</v>
      </c>
      <c r="I309" s="77" t="str">
        <f t="shared" si="1609"/>
        <v/>
      </c>
      <c r="J309" s="32"/>
      <c r="K309" s="3"/>
      <c r="L309" s="39"/>
      <c r="M309" s="39"/>
      <c r="N309" s="39"/>
      <c r="O309" s="39"/>
      <c r="P309" s="39"/>
      <c r="Q309" s="39"/>
      <c r="R309" s="39"/>
      <c r="S309" s="39"/>
      <c r="T309" s="3" t="s">
        <v>645</v>
      </c>
      <c r="U309" s="77" t="str">
        <f t="shared" si="1610"/>
        <v/>
      </c>
      <c r="V309" s="39">
        <v>1</v>
      </c>
      <c r="W309" s="79">
        <f t="shared" si="1624"/>
        <v>0</v>
      </c>
      <c r="X309" s="3">
        <v>0</v>
      </c>
      <c r="Y309" s="77" t="str">
        <f t="shared" si="1611"/>
        <v/>
      </c>
      <c r="Z309" s="3"/>
      <c r="AA309" s="37" t="str">
        <f t="shared" si="1625"/>
        <v/>
      </c>
      <c r="AC309" s="40"/>
      <c r="AD309" s="7"/>
      <c r="AE309" s="77" t="str">
        <f t="shared" si="1612"/>
        <v/>
      </c>
      <c r="AF309" s="81">
        <f t="shared" si="1638"/>
        <v>0</v>
      </c>
      <c r="AG309" s="40"/>
      <c r="AH309" s="7"/>
      <c r="AI309" s="77" t="str">
        <f t="shared" si="1613"/>
        <v/>
      </c>
      <c r="AJ309" s="81">
        <f t="shared" si="1639"/>
        <v>0</v>
      </c>
      <c r="AK309" s="83">
        <f t="shared" si="1640"/>
        <v>0</v>
      </c>
      <c r="AL309" s="83">
        <f t="shared" si="1641"/>
        <v>0</v>
      </c>
      <c r="AN309" s="43">
        <f t="shared" si="1614"/>
        <v>0</v>
      </c>
      <c r="AP309" t="str">
        <f t="shared" si="1642"/>
        <v/>
      </c>
      <c r="AQ309" t="str">
        <f t="shared" si="1643"/>
        <v/>
      </c>
      <c r="AR309" t="str">
        <f t="shared" si="1644"/>
        <v/>
      </c>
      <c r="AS309" t="str">
        <f t="shared" si="1645"/>
        <v/>
      </c>
      <c r="AT309" t="str">
        <f t="shared" si="1646"/>
        <v/>
      </c>
      <c r="AU309" t="str">
        <f t="shared" si="1647"/>
        <v/>
      </c>
      <c r="AV309" t="str">
        <f t="shared" si="1648"/>
        <v/>
      </c>
      <c r="AW309" t="str">
        <f t="shared" si="1649"/>
        <v xml:space="preserve">                              </v>
      </c>
      <c r="AX309" s="23">
        <f t="shared" si="1650"/>
        <v>0</v>
      </c>
      <c r="AY309" s="49" t="str">
        <f t="shared" si="1626"/>
        <v>000000000000000</v>
      </c>
      <c r="AZ309" s="23">
        <f t="shared" si="1651"/>
        <v>0</v>
      </c>
      <c r="BA309" s="49" t="str">
        <f t="shared" si="1626"/>
        <v>000000000000000</v>
      </c>
      <c r="BB309" s="23">
        <f t="shared" si="1652"/>
        <v>0</v>
      </c>
      <c r="BC309" s="49" t="str">
        <f t="shared" ref="BC309" si="1905">IF(BB309&lt;0,SUBSTITUTE(TEXT(BB309,"000000000000,00"),",",""),SUBSTITUTE(TEXT(BB309,"0000000000000,00"),",",""))</f>
        <v>000000000000000</v>
      </c>
      <c r="BD309" s="23">
        <f t="shared" si="1654"/>
        <v>0</v>
      </c>
      <c r="BE309" s="49" t="str">
        <f t="shared" ref="BE309" si="1906">IF(BD309&lt;0,SUBSTITUTE(TEXT(BD309,"000000000000,00"),",",""),SUBSTITUTE(TEXT(BD309,"0000000000000,00"),",",""))</f>
        <v>000000000000000</v>
      </c>
      <c r="BF309" s="23">
        <f t="shared" si="1656"/>
        <v>0</v>
      </c>
      <c r="BG309" s="49" t="str">
        <f t="shared" ref="BG309" si="1907">IF(BF309&lt;0,SUBSTITUTE(TEXT(BF309,"000000000000,00"),",",""),SUBSTITUTE(TEXT(BF309,"0000000000000,00"),",",""))</f>
        <v>000000000000000</v>
      </c>
      <c r="BH309" s="23">
        <f t="shared" si="1658"/>
        <v>0</v>
      </c>
      <c r="BI309" s="49" t="str">
        <f t="shared" ref="BI309" si="1908">IF(BH309&lt;0,SUBSTITUTE(TEXT(BH309,"000000000000,00"),",",""),SUBSTITUTE(TEXT(BH309,"0000000000000,00"),",",""))</f>
        <v>000000000000000</v>
      </c>
      <c r="BJ309" s="23">
        <f t="shared" si="1660"/>
        <v>0</v>
      </c>
      <c r="BK309" s="49" t="str">
        <f t="shared" ref="BK309" si="1909">IF(BJ309&lt;0,SUBSTITUTE(TEXT(BJ309,"000000000000,00"),",",""),SUBSTITUTE(TEXT(BJ309,"0000000000000,00"),",",""))</f>
        <v>000000000000000</v>
      </c>
      <c r="BL309" s="23">
        <f t="shared" si="1662"/>
        <v>0</v>
      </c>
      <c r="BM309" s="49" t="str">
        <f t="shared" ref="BM309" si="1910">IF(BL309&lt;0,SUBSTITUTE(TEXT(BL309,"000000000000,00"),",",""),SUBSTITUTE(TEXT(BL309,"0000000000000,00"),",",""))</f>
        <v>000000000000000</v>
      </c>
      <c r="BN309" t="str">
        <f t="shared" si="1664"/>
        <v>PES</v>
      </c>
      <c r="BO309" t="str">
        <f t="shared" si="1665"/>
        <v>0001000000</v>
      </c>
      <c r="BP309">
        <f t="shared" si="1666"/>
        <v>0</v>
      </c>
      <c r="BQ309">
        <f t="shared" si="1667"/>
        <v>0</v>
      </c>
      <c r="BR309" s="23">
        <f t="shared" si="1668"/>
        <v>0</v>
      </c>
      <c r="BS309" s="49" t="str">
        <f t="shared" si="1633"/>
        <v>000000000000000</v>
      </c>
      <c r="BT309" t="str">
        <f t="shared" si="1669"/>
        <v>00000000</v>
      </c>
      <c r="BU309" s="23">
        <f t="shared" si="1670"/>
        <v>0</v>
      </c>
      <c r="BV309" s="49" t="str">
        <f t="shared" si="1634"/>
        <v/>
      </c>
      <c r="BW309" s="52" t="str">
        <f t="shared" si="1671"/>
        <v/>
      </c>
      <c r="BX309" s="23">
        <f t="shared" si="1672"/>
        <v>0</v>
      </c>
      <c r="BY309" s="49" t="str">
        <f t="shared" si="1635"/>
        <v/>
      </c>
      <c r="BZ309" s="23">
        <f t="shared" si="1673"/>
        <v>0</v>
      </c>
      <c r="CA309" s="49" t="str">
        <f t="shared" si="1636"/>
        <v/>
      </c>
      <c r="CB309" s="52" t="str">
        <f t="shared" si="1674"/>
        <v/>
      </c>
      <c r="CC309" s="23">
        <f t="shared" si="1675"/>
        <v>0</v>
      </c>
      <c r="CD309" s="49" t="str">
        <f t="shared" si="1637"/>
        <v/>
      </c>
      <c r="CE309" s="56" t="str">
        <f>IF(CF309="","",MAX(CE$10:$CE308)+1)</f>
        <v/>
      </c>
      <c r="CF309" t="str">
        <f t="shared" si="1676"/>
        <v/>
      </c>
      <c r="CG309" s="22" t="str">
        <f>IF(CH309="","",MAX($CG$10:CG308)+1)</f>
        <v/>
      </c>
      <c r="CH309" s="22" t="str">
        <f t="shared" si="1621"/>
        <v/>
      </c>
      <c r="CI309" s="22" t="str">
        <f>IF(CJ309="","",MAX($CI$10:CI308)+1)</f>
        <v/>
      </c>
      <c r="CJ309" s="22" t="str">
        <f t="shared" si="1622"/>
        <v/>
      </c>
    </row>
    <row r="310" spans="2:88" x14ac:dyDescent="0.25">
      <c r="B310" s="37"/>
      <c r="C310" s="3"/>
      <c r="D310" s="77" t="str">
        <f t="shared" si="1608"/>
        <v/>
      </c>
      <c r="E310" s="38"/>
      <c r="F310" s="38"/>
      <c r="G310" s="78">
        <f t="shared" si="1623"/>
        <v>0</v>
      </c>
      <c r="H310" s="3">
        <v>80</v>
      </c>
      <c r="I310" s="77" t="str">
        <f t="shared" si="1609"/>
        <v/>
      </c>
      <c r="J310" s="32"/>
      <c r="K310" s="3"/>
      <c r="L310" s="39"/>
      <c r="M310" s="39"/>
      <c r="N310" s="39"/>
      <c r="O310" s="39"/>
      <c r="P310" s="39"/>
      <c r="Q310" s="39"/>
      <c r="R310" s="39"/>
      <c r="S310" s="39"/>
      <c r="T310" s="3" t="s">
        <v>645</v>
      </c>
      <c r="U310" s="77" t="str">
        <f t="shared" si="1610"/>
        <v/>
      </c>
      <c r="V310" s="39">
        <v>1</v>
      </c>
      <c r="W310" s="79">
        <f t="shared" si="1624"/>
        <v>0</v>
      </c>
      <c r="X310" s="3">
        <v>0</v>
      </c>
      <c r="Y310" s="77" t="str">
        <f t="shared" si="1611"/>
        <v/>
      </c>
      <c r="Z310" s="3"/>
      <c r="AA310" s="37" t="str">
        <f t="shared" si="1625"/>
        <v/>
      </c>
      <c r="AC310" s="40"/>
      <c r="AD310" s="7"/>
      <c r="AE310" s="77" t="str">
        <f t="shared" si="1612"/>
        <v/>
      </c>
      <c r="AF310" s="81">
        <f t="shared" si="1638"/>
        <v>0</v>
      </c>
      <c r="AG310" s="40"/>
      <c r="AH310" s="7"/>
      <c r="AI310" s="77" t="str">
        <f t="shared" si="1613"/>
        <v/>
      </c>
      <c r="AJ310" s="81">
        <f t="shared" si="1639"/>
        <v>0</v>
      </c>
      <c r="AK310" s="83">
        <f t="shared" si="1640"/>
        <v>0</v>
      </c>
      <c r="AL310" s="83">
        <f t="shared" si="1641"/>
        <v>0</v>
      </c>
      <c r="AN310" s="43">
        <f t="shared" si="1614"/>
        <v>0</v>
      </c>
      <c r="AP310" t="str">
        <f t="shared" si="1642"/>
        <v/>
      </c>
      <c r="AQ310" t="str">
        <f t="shared" si="1643"/>
        <v/>
      </c>
      <c r="AR310" t="str">
        <f t="shared" si="1644"/>
        <v/>
      </c>
      <c r="AS310" t="str">
        <f t="shared" si="1645"/>
        <v/>
      </c>
      <c r="AT310" t="str">
        <f t="shared" si="1646"/>
        <v/>
      </c>
      <c r="AU310" t="str">
        <f t="shared" si="1647"/>
        <v/>
      </c>
      <c r="AV310" t="str">
        <f t="shared" si="1648"/>
        <v/>
      </c>
      <c r="AW310" t="str">
        <f t="shared" si="1649"/>
        <v xml:space="preserve">                              </v>
      </c>
      <c r="AX310" s="23">
        <f t="shared" si="1650"/>
        <v>0</v>
      </c>
      <c r="AY310" s="49" t="str">
        <f t="shared" si="1626"/>
        <v>000000000000000</v>
      </c>
      <c r="AZ310" s="23">
        <f t="shared" si="1651"/>
        <v>0</v>
      </c>
      <c r="BA310" s="49" t="str">
        <f t="shared" si="1626"/>
        <v>000000000000000</v>
      </c>
      <c r="BB310" s="23">
        <f t="shared" si="1652"/>
        <v>0</v>
      </c>
      <c r="BC310" s="49" t="str">
        <f t="shared" ref="BC310" si="1911">IF(BB310&lt;0,SUBSTITUTE(TEXT(BB310,"000000000000,00"),",",""),SUBSTITUTE(TEXT(BB310,"0000000000000,00"),",",""))</f>
        <v>000000000000000</v>
      </c>
      <c r="BD310" s="23">
        <f t="shared" si="1654"/>
        <v>0</v>
      </c>
      <c r="BE310" s="49" t="str">
        <f t="shared" ref="BE310" si="1912">IF(BD310&lt;0,SUBSTITUTE(TEXT(BD310,"000000000000,00"),",",""),SUBSTITUTE(TEXT(BD310,"0000000000000,00"),",",""))</f>
        <v>000000000000000</v>
      </c>
      <c r="BF310" s="23">
        <f t="shared" si="1656"/>
        <v>0</v>
      </c>
      <c r="BG310" s="49" t="str">
        <f t="shared" ref="BG310" si="1913">IF(BF310&lt;0,SUBSTITUTE(TEXT(BF310,"000000000000,00"),",",""),SUBSTITUTE(TEXT(BF310,"0000000000000,00"),",",""))</f>
        <v>000000000000000</v>
      </c>
      <c r="BH310" s="23">
        <f t="shared" si="1658"/>
        <v>0</v>
      </c>
      <c r="BI310" s="49" t="str">
        <f t="shared" ref="BI310" si="1914">IF(BH310&lt;0,SUBSTITUTE(TEXT(BH310,"000000000000,00"),",",""),SUBSTITUTE(TEXT(BH310,"0000000000000,00"),",",""))</f>
        <v>000000000000000</v>
      </c>
      <c r="BJ310" s="23">
        <f t="shared" si="1660"/>
        <v>0</v>
      </c>
      <c r="BK310" s="49" t="str">
        <f t="shared" ref="BK310" si="1915">IF(BJ310&lt;0,SUBSTITUTE(TEXT(BJ310,"000000000000,00"),",",""),SUBSTITUTE(TEXT(BJ310,"0000000000000,00"),",",""))</f>
        <v>000000000000000</v>
      </c>
      <c r="BL310" s="23">
        <f t="shared" si="1662"/>
        <v>0</v>
      </c>
      <c r="BM310" s="49" t="str">
        <f t="shared" ref="BM310" si="1916">IF(BL310&lt;0,SUBSTITUTE(TEXT(BL310,"000000000000,00"),",",""),SUBSTITUTE(TEXT(BL310,"0000000000000,00"),",",""))</f>
        <v>000000000000000</v>
      </c>
      <c r="BN310" t="str">
        <f t="shared" si="1664"/>
        <v>PES</v>
      </c>
      <c r="BO310" t="str">
        <f t="shared" si="1665"/>
        <v>0001000000</v>
      </c>
      <c r="BP310">
        <f t="shared" si="1666"/>
        <v>0</v>
      </c>
      <c r="BQ310">
        <f t="shared" si="1667"/>
        <v>0</v>
      </c>
      <c r="BR310" s="23">
        <f t="shared" si="1668"/>
        <v>0</v>
      </c>
      <c r="BS310" s="49" t="str">
        <f t="shared" si="1633"/>
        <v>000000000000000</v>
      </c>
      <c r="BT310" t="str">
        <f t="shared" si="1669"/>
        <v>00000000</v>
      </c>
      <c r="BU310" s="23">
        <f t="shared" si="1670"/>
        <v>0</v>
      </c>
      <c r="BV310" s="49" t="str">
        <f t="shared" si="1634"/>
        <v/>
      </c>
      <c r="BW310" s="52" t="str">
        <f t="shared" si="1671"/>
        <v/>
      </c>
      <c r="BX310" s="23">
        <f t="shared" si="1672"/>
        <v>0</v>
      </c>
      <c r="BY310" s="49" t="str">
        <f t="shared" si="1635"/>
        <v/>
      </c>
      <c r="BZ310" s="23">
        <f t="shared" si="1673"/>
        <v>0</v>
      </c>
      <c r="CA310" s="49" t="str">
        <f t="shared" si="1636"/>
        <v/>
      </c>
      <c r="CB310" s="52" t="str">
        <f t="shared" si="1674"/>
        <v/>
      </c>
      <c r="CC310" s="23">
        <f t="shared" si="1675"/>
        <v>0</v>
      </c>
      <c r="CD310" s="49" t="str">
        <f t="shared" si="1637"/>
        <v/>
      </c>
      <c r="CE310" s="56" t="str">
        <f>IF(CF310="","",MAX(CE$10:$CE309)+1)</f>
        <v/>
      </c>
      <c r="CF310" t="str">
        <f t="shared" si="1676"/>
        <v/>
      </c>
      <c r="CG310" s="22" t="str">
        <f>IF(CH310="","",MAX($CG$10:CG309)+1)</f>
        <v/>
      </c>
      <c r="CH310" s="22" t="str">
        <f t="shared" si="1621"/>
        <v/>
      </c>
      <c r="CI310" s="22" t="str">
        <f>IF(CJ310="","",MAX($CI$10:CI309)+1)</f>
        <v/>
      </c>
      <c r="CJ310" s="22" t="str">
        <f t="shared" si="1622"/>
        <v/>
      </c>
    </row>
    <row r="311" spans="2:88" x14ac:dyDescent="0.25">
      <c r="B311" s="37"/>
      <c r="C311" s="3"/>
      <c r="D311" s="77" t="str">
        <f t="shared" si="1608"/>
        <v/>
      </c>
      <c r="E311" s="38"/>
      <c r="F311" s="38"/>
      <c r="G311" s="78">
        <f t="shared" si="1623"/>
        <v>0</v>
      </c>
      <c r="H311" s="3">
        <v>80</v>
      </c>
      <c r="I311" s="77" t="str">
        <f t="shared" si="1609"/>
        <v/>
      </c>
      <c r="J311" s="32"/>
      <c r="K311" s="3"/>
      <c r="L311" s="39"/>
      <c r="M311" s="39"/>
      <c r="N311" s="39"/>
      <c r="O311" s="39"/>
      <c r="P311" s="39"/>
      <c r="Q311" s="39"/>
      <c r="R311" s="39"/>
      <c r="S311" s="39"/>
      <c r="T311" s="3" t="s">
        <v>645</v>
      </c>
      <c r="U311" s="77" t="str">
        <f t="shared" si="1610"/>
        <v/>
      </c>
      <c r="V311" s="39">
        <v>1</v>
      </c>
      <c r="W311" s="79">
        <f t="shared" si="1624"/>
        <v>0</v>
      </c>
      <c r="X311" s="3">
        <v>0</v>
      </c>
      <c r="Y311" s="77" t="str">
        <f t="shared" si="1611"/>
        <v/>
      </c>
      <c r="Z311" s="3"/>
      <c r="AA311" s="37" t="str">
        <f t="shared" si="1625"/>
        <v/>
      </c>
      <c r="AC311" s="40"/>
      <c r="AD311" s="7"/>
      <c r="AE311" s="77" t="str">
        <f t="shared" si="1612"/>
        <v/>
      </c>
      <c r="AF311" s="81">
        <f t="shared" si="1638"/>
        <v>0</v>
      </c>
      <c r="AG311" s="40"/>
      <c r="AH311" s="7"/>
      <c r="AI311" s="77" t="str">
        <f t="shared" si="1613"/>
        <v/>
      </c>
      <c r="AJ311" s="81">
        <f t="shared" si="1639"/>
        <v>0</v>
      </c>
      <c r="AK311" s="83">
        <f t="shared" si="1640"/>
        <v>0</v>
      </c>
      <c r="AL311" s="83">
        <f t="shared" si="1641"/>
        <v>0</v>
      </c>
      <c r="AN311" s="43">
        <f t="shared" si="1614"/>
        <v>0</v>
      </c>
      <c r="AP311" t="str">
        <f t="shared" si="1642"/>
        <v/>
      </c>
      <c r="AQ311" t="str">
        <f t="shared" si="1643"/>
        <v/>
      </c>
      <c r="AR311" t="str">
        <f t="shared" si="1644"/>
        <v/>
      </c>
      <c r="AS311" t="str">
        <f t="shared" si="1645"/>
        <v/>
      </c>
      <c r="AT311" t="str">
        <f t="shared" si="1646"/>
        <v/>
      </c>
      <c r="AU311" t="str">
        <f t="shared" si="1647"/>
        <v/>
      </c>
      <c r="AV311" t="str">
        <f t="shared" si="1648"/>
        <v/>
      </c>
      <c r="AW311" t="str">
        <f t="shared" si="1649"/>
        <v xml:space="preserve">                              </v>
      </c>
      <c r="AX311" s="23">
        <f t="shared" si="1650"/>
        <v>0</v>
      </c>
      <c r="AY311" s="49" t="str">
        <f t="shared" si="1626"/>
        <v>000000000000000</v>
      </c>
      <c r="AZ311" s="23">
        <f t="shared" si="1651"/>
        <v>0</v>
      </c>
      <c r="BA311" s="49" t="str">
        <f t="shared" si="1626"/>
        <v>000000000000000</v>
      </c>
      <c r="BB311" s="23">
        <f t="shared" si="1652"/>
        <v>0</v>
      </c>
      <c r="BC311" s="49" t="str">
        <f t="shared" ref="BC311" si="1917">IF(BB311&lt;0,SUBSTITUTE(TEXT(BB311,"000000000000,00"),",",""),SUBSTITUTE(TEXT(BB311,"0000000000000,00"),",",""))</f>
        <v>000000000000000</v>
      </c>
      <c r="BD311" s="23">
        <f t="shared" si="1654"/>
        <v>0</v>
      </c>
      <c r="BE311" s="49" t="str">
        <f t="shared" ref="BE311" si="1918">IF(BD311&lt;0,SUBSTITUTE(TEXT(BD311,"000000000000,00"),",",""),SUBSTITUTE(TEXT(BD311,"0000000000000,00"),",",""))</f>
        <v>000000000000000</v>
      </c>
      <c r="BF311" s="23">
        <f t="shared" si="1656"/>
        <v>0</v>
      </c>
      <c r="BG311" s="49" t="str">
        <f t="shared" ref="BG311" si="1919">IF(BF311&lt;0,SUBSTITUTE(TEXT(BF311,"000000000000,00"),",",""),SUBSTITUTE(TEXT(BF311,"0000000000000,00"),",",""))</f>
        <v>000000000000000</v>
      </c>
      <c r="BH311" s="23">
        <f t="shared" si="1658"/>
        <v>0</v>
      </c>
      <c r="BI311" s="49" t="str">
        <f t="shared" ref="BI311" si="1920">IF(BH311&lt;0,SUBSTITUTE(TEXT(BH311,"000000000000,00"),",",""),SUBSTITUTE(TEXT(BH311,"0000000000000,00"),",",""))</f>
        <v>000000000000000</v>
      </c>
      <c r="BJ311" s="23">
        <f t="shared" si="1660"/>
        <v>0</v>
      </c>
      <c r="BK311" s="49" t="str">
        <f t="shared" ref="BK311" si="1921">IF(BJ311&lt;0,SUBSTITUTE(TEXT(BJ311,"000000000000,00"),",",""),SUBSTITUTE(TEXT(BJ311,"0000000000000,00"),",",""))</f>
        <v>000000000000000</v>
      </c>
      <c r="BL311" s="23">
        <f t="shared" si="1662"/>
        <v>0</v>
      </c>
      <c r="BM311" s="49" t="str">
        <f t="shared" ref="BM311" si="1922">IF(BL311&lt;0,SUBSTITUTE(TEXT(BL311,"000000000000,00"),",",""),SUBSTITUTE(TEXT(BL311,"0000000000000,00"),",",""))</f>
        <v>000000000000000</v>
      </c>
      <c r="BN311" t="str">
        <f t="shared" si="1664"/>
        <v>PES</v>
      </c>
      <c r="BO311" t="str">
        <f t="shared" si="1665"/>
        <v>0001000000</v>
      </c>
      <c r="BP311">
        <f t="shared" si="1666"/>
        <v>0</v>
      </c>
      <c r="BQ311">
        <f t="shared" si="1667"/>
        <v>0</v>
      </c>
      <c r="BR311" s="23">
        <f t="shared" si="1668"/>
        <v>0</v>
      </c>
      <c r="BS311" s="49" t="str">
        <f t="shared" si="1633"/>
        <v>000000000000000</v>
      </c>
      <c r="BT311" t="str">
        <f t="shared" si="1669"/>
        <v>00000000</v>
      </c>
      <c r="BU311" s="23">
        <f t="shared" si="1670"/>
        <v>0</v>
      </c>
      <c r="BV311" s="49" t="str">
        <f t="shared" si="1634"/>
        <v/>
      </c>
      <c r="BW311" s="52" t="str">
        <f t="shared" si="1671"/>
        <v/>
      </c>
      <c r="BX311" s="23">
        <f t="shared" si="1672"/>
        <v>0</v>
      </c>
      <c r="BY311" s="49" t="str">
        <f t="shared" si="1635"/>
        <v/>
      </c>
      <c r="BZ311" s="23">
        <f t="shared" si="1673"/>
        <v>0</v>
      </c>
      <c r="CA311" s="49" t="str">
        <f t="shared" si="1636"/>
        <v/>
      </c>
      <c r="CB311" s="52" t="str">
        <f t="shared" si="1674"/>
        <v/>
      </c>
      <c r="CC311" s="23">
        <f t="shared" si="1675"/>
        <v>0</v>
      </c>
      <c r="CD311" s="49" t="str">
        <f t="shared" si="1637"/>
        <v/>
      </c>
      <c r="CE311" s="56" t="str">
        <f>IF(CF311="","",MAX(CE$10:$CE310)+1)</f>
        <v/>
      </c>
      <c r="CF311" t="str">
        <f t="shared" si="1676"/>
        <v/>
      </c>
      <c r="CG311" s="22" t="str">
        <f>IF(CH311="","",MAX($CG$10:CG310)+1)</f>
        <v/>
      </c>
      <c r="CH311" s="22" t="str">
        <f t="shared" si="1621"/>
        <v/>
      </c>
      <c r="CI311" s="22" t="str">
        <f>IF(CJ311="","",MAX($CI$10:CI310)+1)</f>
        <v/>
      </c>
      <c r="CJ311" s="22" t="str">
        <f t="shared" si="1622"/>
        <v/>
      </c>
    </row>
    <row r="312" spans="2:88" x14ac:dyDescent="0.25">
      <c r="B312" s="37"/>
      <c r="C312" s="3"/>
      <c r="D312" s="77" t="str">
        <f t="shared" si="1608"/>
        <v/>
      </c>
      <c r="E312" s="38"/>
      <c r="F312" s="38"/>
      <c r="G312" s="78">
        <f t="shared" si="1623"/>
        <v>0</v>
      </c>
      <c r="H312" s="3">
        <v>80</v>
      </c>
      <c r="I312" s="77" t="str">
        <f t="shared" si="1609"/>
        <v/>
      </c>
      <c r="J312" s="32"/>
      <c r="K312" s="3"/>
      <c r="L312" s="39"/>
      <c r="M312" s="39"/>
      <c r="N312" s="39"/>
      <c r="O312" s="39"/>
      <c r="P312" s="39"/>
      <c r="Q312" s="39"/>
      <c r="R312" s="39"/>
      <c r="S312" s="39"/>
      <c r="T312" s="3" t="s">
        <v>645</v>
      </c>
      <c r="U312" s="77" t="str">
        <f t="shared" si="1610"/>
        <v/>
      </c>
      <c r="V312" s="39">
        <v>1</v>
      </c>
      <c r="W312" s="79">
        <f t="shared" si="1624"/>
        <v>0</v>
      </c>
      <c r="X312" s="3">
        <v>0</v>
      </c>
      <c r="Y312" s="77" t="str">
        <f t="shared" si="1611"/>
        <v/>
      </c>
      <c r="Z312" s="3"/>
      <c r="AA312" s="37" t="str">
        <f t="shared" si="1625"/>
        <v/>
      </c>
      <c r="AC312" s="40"/>
      <c r="AD312" s="7"/>
      <c r="AE312" s="77" t="str">
        <f t="shared" si="1612"/>
        <v/>
      </c>
      <c r="AF312" s="81">
        <f t="shared" si="1638"/>
        <v>0</v>
      </c>
      <c r="AG312" s="40"/>
      <c r="AH312" s="7"/>
      <c r="AI312" s="77" t="str">
        <f t="shared" si="1613"/>
        <v/>
      </c>
      <c r="AJ312" s="81">
        <f t="shared" si="1639"/>
        <v>0</v>
      </c>
      <c r="AK312" s="83">
        <f t="shared" si="1640"/>
        <v>0</v>
      </c>
      <c r="AL312" s="83">
        <f t="shared" si="1641"/>
        <v>0</v>
      </c>
      <c r="AN312" s="43">
        <f t="shared" si="1614"/>
        <v>0</v>
      </c>
      <c r="AP312" t="str">
        <f t="shared" si="1642"/>
        <v/>
      </c>
      <c r="AQ312" t="str">
        <f t="shared" si="1643"/>
        <v/>
      </c>
      <c r="AR312" t="str">
        <f t="shared" si="1644"/>
        <v/>
      </c>
      <c r="AS312" t="str">
        <f t="shared" si="1645"/>
        <v/>
      </c>
      <c r="AT312" t="str">
        <f t="shared" si="1646"/>
        <v/>
      </c>
      <c r="AU312" t="str">
        <f t="shared" si="1647"/>
        <v/>
      </c>
      <c r="AV312" t="str">
        <f t="shared" si="1648"/>
        <v/>
      </c>
      <c r="AW312" t="str">
        <f t="shared" si="1649"/>
        <v xml:space="preserve">                              </v>
      </c>
      <c r="AX312" s="23">
        <f t="shared" si="1650"/>
        <v>0</v>
      </c>
      <c r="AY312" s="49" t="str">
        <f t="shared" si="1626"/>
        <v>000000000000000</v>
      </c>
      <c r="AZ312" s="23">
        <f t="shared" si="1651"/>
        <v>0</v>
      </c>
      <c r="BA312" s="49" t="str">
        <f t="shared" si="1626"/>
        <v>000000000000000</v>
      </c>
      <c r="BB312" s="23">
        <f t="shared" si="1652"/>
        <v>0</v>
      </c>
      <c r="BC312" s="49" t="str">
        <f t="shared" ref="BC312" si="1923">IF(BB312&lt;0,SUBSTITUTE(TEXT(BB312,"000000000000,00"),",",""),SUBSTITUTE(TEXT(BB312,"0000000000000,00"),",",""))</f>
        <v>000000000000000</v>
      </c>
      <c r="BD312" s="23">
        <f t="shared" si="1654"/>
        <v>0</v>
      </c>
      <c r="BE312" s="49" t="str">
        <f t="shared" ref="BE312" si="1924">IF(BD312&lt;0,SUBSTITUTE(TEXT(BD312,"000000000000,00"),",",""),SUBSTITUTE(TEXT(BD312,"0000000000000,00"),",",""))</f>
        <v>000000000000000</v>
      </c>
      <c r="BF312" s="23">
        <f t="shared" si="1656"/>
        <v>0</v>
      </c>
      <c r="BG312" s="49" t="str">
        <f t="shared" ref="BG312" si="1925">IF(BF312&lt;0,SUBSTITUTE(TEXT(BF312,"000000000000,00"),",",""),SUBSTITUTE(TEXT(BF312,"0000000000000,00"),",",""))</f>
        <v>000000000000000</v>
      </c>
      <c r="BH312" s="23">
        <f t="shared" si="1658"/>
        <v>0</v>
      </c>
      <c r="BI312" s="49" t="str">
        <f t="shared" ref="BI312" si="1926">IF(BH312&lt;0,SUBSTITUTE(TEXT(BH312,"000000000000,00"),",",""),SUBSTITUTE(TEXT(BH312,"0000000000000,00"),",",""))</f>
        <v>000000000000000</v>
      </c>
      <c r="BJ312" s="23">
        <f t="shared" si="1660"/>
        <v>0</v>
      </c>
      <c r="BK312" s="49" t="str">
        <f t="shared" ref="BK312" si="1927">IF(BJ312&lt;0,SUBSTITUTE(TEXT(BJ312,"000000000000,00"),",",""),SUBSTITUTE(TEXT(BJ312,"0000000000000,00"),",",""))</f>
        <v>000000000000000</v>
      </c>
      <c r="BL312" s="23">
        <f t="shared" si="1662"/>
        <v>0</v>
      </c>
      <c r="BM312" s="49" t="str">
        <f t="shared" ref="BM312" si="1928">IF(BL312&lt;0,SUBSTITUTE(TEXT(BL312,"000000000000,00"),",",""),SUBSTITUTE(TEXT(BL312,"0000000000000,00"),",",""))</f>
        <v>000000000000000</v>
      </c>
      <c r="BN312" t="str">
        <f t="shared" si="1664"/>
        <v>PES</v>
      </c>
      <c r="BO312" t="str">
        <f t="shared" si="1665"/>
        <v>0001000000</v>
      </c>
      <c r="BP312">
        <f t="shared" si="1666"/>
        <v>0</v>
      </c>
      <c r="BQ312">
        <f t="shared" si="1667"/>
        <v>0</v>
      </c>
      <c r="BR312" s="23">
        <f t="shared" si="1668"/>
        <v>0</v>
      </c>
      <c r="BS312" s="49" t="str">
        <f t="shared" si="1633"/>
        <v>000000000000000</v>
      </c>
      <c r="BT312" t="str">
        <f t="shared" si="1669"/>
        <v>00000000</v>
      </c>
      <c r="BU312" s="23">
        <f t="shared" si="1670"/>
        <v>0</v>
      </c>
      <c r="BV312" s="49" t="str">
        <f t="shared" si="1634"/>
        <v/>
      </c>
      <c r="BW312" s="52" t="str">
        <f t="shared" si="1671"/>
        <v/>
      </c>
      <c r="BX312" s="23">
        <f t="shared" si="1672"/>
        <v>0</v>
      </c>
      <c r="BY312" s="49" t="str">
        <f t="shared" si="1635"/>
        <v/>
      </c>
      <c r="BZ312" s="23">
        <f t="shared" si="1673"/>
        <v>0</v>
      </c>
      <c r="CA312" s="49" t="str">
        <f t="shared" si="1636"/>
        <v/>
      </c>
      <c r="CB312" s="52" t="str">
        <f t="shared" si="1674"/>
        <v/>
      </c>
      <c r="CC312" s="23">
        <f t="shared" si="1675"/>
        <v>0</v>
      </c>
      <c r="CD312" s="49" t="str">
        <f t="shared" si="1637"/>
        <v/>
      </c>
      <c r="CE312" s="56" t="str">
        <f>IF(CF312="","",MAX(CE$10:$CE311)+1)</f>
        <v/>
      </c>
      <c r="CF312" t="str">
        <f t="shared" si="1676"/>
        <v/>
      </c>
      <c r="CG312" s="22" t="str">
        <f>IF(CH312="","",MAX($CG$10:CG311)+1)</f>
        <v/>
      </c>
      <c r="CH312" s="22" t="str">
        <f t="shared" si="1621"/>
        <v/>
      </c>
      <c r="CI312" s="22" t="str">
        <f>IF(CJ312="","",MAX($CI$10:CI311)+1)</f>
        <v/>
      </c>
      <c r="CJ312" s="22" t="str">
        <f t="shared" si="1622"/>
        <v/>
      </c>
    </row>
    <row r="313" spans="2:88" x14ac:dyDescent="0.25">
      <c r="B313" s="37"/>
      <c r="C313" s="3"/>
      <c r="D313" s="77" t="str">
        <f t="shared" si="1608"/>
        <v/>
      </c>
      <c r="E313" s="38"/>
      <c r="F313" s="38"/>
      <c r="G313" s="78">
        <f t="shared" si="1623"/>
        <v>0</v>
      </c>
      <c r="H313" s="3">
        <v>80</v>
      </c>
      <c r="I313" s="77" t="str">
        <f t="shared" si="1609"/>
        <v/>
      </c>
      <c r="J313" s="32"/>
      <c r="K313" s="3"/>
      <c r="L313" s="39"/>
      <c r="M313" s="39"/>
      <c r="N313" s="39"/>
      <c r="O313" s="39"/>
      <c r="P313" s="39"/>
      <c r="Q313" s="39"/>
      <c r="R313" s="39"/>
      <c r="S313" s="39"/>
      <c r="T313" s="3" t="s">
        <v>645</v>
      </c>
      <c r="U313" s="77" t="str">
        <f t="shared" si="1610"/>
        <v/>
      </c>
      <c r="V313" s="39">
        <v>1</v>
      </c>
      <c r="W313" s="79">
        <f t="shared" si="1624"/>
        <v>0</v>
      </c>
      <c r="X313" s="3">
        <v>0</v>
      </c>
      <c r="Y313" s="77" t="str">
        <f t="shared" si="1611"/>
        <v/>
      </c>
      <c r="Z313" s="3"/>
      <c r="AA313" s="37" t="str">
        <f t="shared" si="1625"/>
        <v/>
      </c>
      <c r="AC313" s="40"/>
      <c r="AD313" s="7"/>
      <c r="AE313" s="77" t="str">
        <f t="shared" si="1612"/>
        <v/>
      </c>
      <c r="AF313" s="81">
        <f t="shared" si="1638"/>
        <v>0</v>
      </c>
      <c r="AG313" s="40"/>
      <c r="AH313" s="7"/>
      <c r="AI313" s="77" t="str">
        <f t="shared" si="1613"/>
        <v/>
      </c>
      <c r="AJ313" s="81">
        <f t="shared" si="1639"/>
        <v>0</v>
      </c>
      <c r="AK313" s="83">
        <f t="shared" si="1640"/>
        <v>0</v>
      </c>
      <c r="AL313" s="83">
        <f t="shared" si="1641"/>
        <v>0</v>
      </c>
      <c r="AN313" s="43">
        <f t="shared" si="1614"/>
        <v>0</v>
      </c>
      <c r="AP313" t="str">
        <f t="shared" si="1642"/>
        <v/>
      </c>
      <c r="AQ313" t="str">
        <f t="shared" si="1643"/>
        <v/>
      </c>
      <c r="AR313" t="str">
        <f t="shared" si="1644"/>
        <v/>
      </c>
      <c r="AS313" t="str">
        <f t="shared" si="1645"/>
        <v/>
      </c>
      <c r="AT313" t="str">
        <f t="shared" si="1646"/>
        <v/>
      </c>
      <c r="AU313" t="str">
        <f t="shared" si="1647"/>
        <v/>
      </c>
      <c r="AV313" t="str">
        <f t="shared" si="1648"/>
        <v/>
      </c>
      <c r="AW313" t="str">
        <f t="shared" si="1649"/>
        <v xml:space="preserve">                              </v>
      </c>
      <c r="AX313" s="23">
        <f t="shared" si="1650"/>
        <v>0</v>
      </c>
      <c r="AY313" s="49" t="str">
        <f t="shared" si="1626"/>
        <v>000000000000000</v>
      </c>
      <c r="AZ313" s="23">
        <f t="shared" si="1651"/>
        <v>0</v>
      </c>
      <c r="BA313" s="49" t="str">
        <f t="shared" si="1626"/>
        <v>000000000000000</v>
      </c>
      <c r="BB313" s="23">
        <f t="shared" si="1652"/>
        <v>0</v>
      </c>
      <c r="BC313" s="49" t="str">
        <f t="shared" ref="BC313" si="1929">IF(BB313&lt;0,SUBSTITUTE(TEXT(BB313,"000000000000,00"),",",""),SUBSTITUTE(TEXT(BB313,"0000000000000,00"),",",""))</f>
        <v>000000000000000</v>
      </c>
      <c r="BD313" s="23">
        <f t="shared" si="1654"/>
        <v>0</v>
      </c>
      <c r="BE313" s="49" t="str">
        <f t="shared" ref="BE313" si="1930">IF(BD313&lt;0,SUBSTITUTE(TEXT(BD313,"000000000000,00"),",",""),SUBSTITUTE(TEXT(BD313,"0000000000000,00"),",",""))</f>
        <v>000000000000000</v>
      </c>
      <c r="BF313" s="23">
        <f t="shared" si="1656"/>
        <v>0</v>
      </c>
      <c r="BG313" s="49" t="str">
        <f t="shared" ref="BG313" si="1931">IF(BF313&lt;0,SUBSTITUTE(TEXT(BF313,"000000000000,00"),",",""),SUBSTITUTE(TEXT(BF313,"0000000000000,00"),",",""))</f>
        <v>000000000000000</v>
      </c>
      <c r="BH313" s="23">
        <f t="shared" si="1658"/>
        <v>0</v>
      </c>
      <c r="BI313" s="49" t="str">
        <f t="shared" ref="BI313" si="1932">IF(BH313&lt;0,SUBSTITUTE(TEXT(BH313,"000000000000,00"),",",""),SUBSTITUTE(TEXT(BH313,"0000000000000,00"),",",""))</f>
        <v>000000000000000</v>
      </c>
      <c r="BJ313" s="23">
        <f t="shared" si="1660"/>
        <v>0</v>
      </c>
      <c r="BK313" s="49" t="str">
        <f t="shared" ref="BK313" si="1933">IF(BJ313&lt;0,SUBSTITUTE(TEXT(BJ313,"000000000000,00"),",",""),SUBSTITUTE(TEXT(BJ313,"0000000000000,00"),",",""))</f>
        <v>000000000000000</v>
      </c>
      <c r="BL313" s="23">
        <f t="shared" si="1662"/>
        <v>0</v>
      </c>
      <c r="BM313" s="49" t="str">
        <f t="shared" ref="BM313" si="1934">IF(BL313&lt;0,SUBSTITUTE(TEXT(BL313,"000000000000,00"),",",""),SUBSTITUTE(TEXT(BL313,"0000000000000,00"),",",""))</f>
        <v>000000000000000</v>
      </c>
      <c r="BN313" t="str">
        <f t="shared" si="1664"/>
        <v>PES</v>
      </c>
      <c r="BO313" t="str">
        <f t="shared" si="1665"/>
        <v>0001000000</v>
      </c>
      <c r="BP313">
        <f t="shared" si="1666"/>
        <v>0</v>
      </c>
      <c r="BQ313">
        <f t="shared" si="1667"/>
        <v>0</v>
      </c>
      <c r="BR313" s="23">
        <f t="shared" si="1668"/>
        <v>0</v>
      </c>
      <c r="BS313" s="49" t="str">
        <f t="shared" si="1633"/>
        <v>000000000000000</v>
      </c>
      <c r="BT313" t="str">
        <f t="shared" si="1669"/>
        <v>00000000</v>
      </c>
      <c r="BU313" s="23">
        <f t="shared" si="1670"/>
        <v>0</v>
      </c>
      <c r="BV313" s="49" t="str">
        <f t="shared" si="1634"/>
        <v/>
      </c>
      <c r="BW313" s="52" t="str">
        <f t="shared" si="1671"/>
        <v/>
      </c>
      <c r="BX313" s="23">
        <f t="shared" si="1672"/>
        <v>0</v>
      </c>
      <c r="BY313" s="49" t="str">
        <f t="shared" si="1635"/>
        <v/>
      </c>
      <c r="BZ313" s="23">
        <f t="shared" si="1673"/>
        <v>0</v>
      </c>
      <c r="CA313" s="49" t="str">
        <f t="shared" si="1636"/>
        <v/>
      </c>
      <c r="CB313" s="52" t="str">
        <f t="shared" si="1674"/>
        <v/>
      </c>
      <c r="CC313" s="23">
        <f t="shared" si="1675"/>
        <v>0</v>
      </c>
      <c r="CD313" s="49" t="str">
        <f t="shared" si="1637"/>
        <v/>
      </c>
      <c r="CE313" s="56" t="str">
        <f>IF(CF313="","",MAX(CE$10:$CE312)+1)</f>
        <v/>
      </c>
      <c r="CF313" t="str">
        <f t="shared" si="1676"/>
        <v/>
      </c>
      <c r="CG313" s="22" t="str">
        <f>IF(CH313="","",MAX($CG$10:CG312)+1)</f>
        <v/>
      </c>
      <c r="CH313" s="22" t="str">
        <f t="shared" si="1621"/>
        <v/>
      </c>
      <c r="CI313" s="22" t="str">
        <f>IF(CJ313="","",MAX($CI$10:CI312)+1)</f>
        <v/>
      </c>
      <c r="CJ313" s="22" t="str">
        <f t="shared" si="1622"/>
        <v/>
      </c>
    </row>
    <row r="314" spans="2:88" x14ac:dyDescent="0.25">
      <c r="B314" s="37"/>
      <c r="C314" s="3"/>
      <c r="D314" s="77" t="str">
        <f t="shared" si="1608"/>
        <v/>
      </c>
      <c r="E314" s="38"/>
      <c r="F314" s="38"/>
      <c r="G314" s="78">
        <f t="shared" si="1623"/>
        <v>0</v>
      </c>
      <c r="H314" s="3">
        <v>80</v>
      </c>
      <c r="I314" s="77" t="str">
        <f t="shared" si="1609"/>
        <v/>
      </c>
      <c r="J314" s="32"/>
      <c r="K314" s="3"/>
      <c r="L314" s="39"/>
      <c r="M314" s="39"/>
      <c r="N314" s="39"/>
      <c r="O314" s="39"/>
      <c r="P314" s="39"/>
      <c r="Q314" s="39"/>
      <c r="R314" s="39"/>
      <c r="S314" s="39"/>
      <c r="T314" s="3" t="s">
        <v>645</v>
      </c>
      <c r="U314" s="77" t="str">
        <f t="shared" si="1610"/>
        <v/>
      </c>
      <c r="V314" s="39">
        <v>1</v>
      </c>
      <c r="W314" s="79">
        <f t="shared" si="1624"/>
        <v>0</v>
      </c>
      <c r="X314" s="3">
        <v>0</v>
      </c>
      <c r="Y314" s="77" t="str">
        <f t="shared" si="1611"/>
        <v/>
      </c>
      <c r="Z314" s="3"/>
      <c r="AA314" s="37" t="str">
        <f t="shared" si="1625"/>
        <v/>
      </c>
      <c r="AC314" s="40"/>
      <c r="AD314" s="7"/>
      <c r="AE314" s="77" t="str">
        <f t="shared" si="1612"/>
        <v/>
      </c>
      <c r="AF314" s="81">
        <f t="shared" si="1638"/>
        <v>0</v>
      </c>
      <c r="AG314" s="40"/>
      <c r="AH314" s="7"/>
      <c r="AI314" s="77" t="str">
        <f t="shared" si="1613"/>
        <v/>
      </c>
      <c r="AJ314" s="81">
        <f t="shared" si="1639"/>
        <v>0</v>
      </c>
      <c r="AK314" s="83">
        <f t="shared" si="1640"/>
        <v>0</v>
      </c>
      <c r="AL314" s="83">
        <f t="shared" si="1641"/>
        <v>0</v>
      </c>
      <c r="AN314" s="43">
        <f t="shared" si="1614"/>
        <v>0</v>
      </c>
      <c r="AP314" t="str">
        <f t="shared" si="1642"/>
        <v/>
      </c>
      <c r="AQ314" t="str">
        <f t="shared" si="1643"/>
        <v/>
      </c>
      <c r="AR314" t="str">
        <f t="shared" si="1644"/>
        <v/>
      </c>
      <c r="AS314" t="str">
        <f t="shared" si="1645"/>
        <v/>
      </c>
      <c r="AT314" t="str">
        <f t="shared" si="1646"/>
        <v/>
      </c>
      <c r="AU314" t="str">
        <f t="shared" si="1647"/>
        <v/>
      </c>
      <c r="AV314" t="str">
        <f t="shared" si="1648"/>
        <v/>
      </c>
      <c r="AW314" t="str">
        <f t="shared" si="1649"/>
        <v xml:space="preserve">                              </v>
      </c>
      <c r="AX314" s="23">
        <f t="shared" si="1650"/>
        <v>0</v>
      </c>
      <c r="AY314" s="49" t="str">
        <f t="shared" si="1626"/>
        <v>000000000000000</v>
      </c>
      <c r="AZ314" s="23">
        <f t="shared" si="1651"/>
        <v>0</v>
      </c>
      <c r="BA314" s="49" t="str">
        <f t="shared" si="1626"/>
        <v>000000000000000</v>
      </c>
      <c r="BB314" s="23">
        <f t="shared" si="1652"/>
        <v>0</v>
      </c>
      <c r="BC314" s="49" t="str">
        <f t="shared" ref="BC314" si="1935">IF(BB314&lt;0,SUBSTITUTE(TEXT(BB314,"000000000000,00"),",",""),SUBSTITUTE(TEXT(BB314,"0000000000000,00"),",",""))</f>
        <v>000000000000000</v>
      </c>
      <c r="BD314" s="23">
        <f t="shared" si="1654"/>
        <v>0</v>
      </c>
      <c r="BE314" s="49" t="str">
        <f t="shared" ref="BE314" si="1936">IF(BD314&lt;0,SUBSTITUTE(TEXT(BD314,"000000000000,00"),",",""),SUBSTITUTE(TEXT(BD314,"0000000000000,00"),",",""))</f>
        <v>000000000000000</v>
      </c>
      <c r="BF314" s="23">
        <f t="shared" si="1656"/>
        <v>0</v>
      </c>
      <c r="BG314" s="49" t="str">
        <f t="shared" ref="BG314" si="1937">IF(BF314&lt;0,SUBSTITUTE(TEXT(BF314,"000000000000,00"),",",""),SUBSTITUTE(TEXT(BF314,"0000000000000,00"),",",""))</f>
        <v>000000000000000</v>
      </c>
      <c r="BH314" s="23">
        <f t="shared" si="1658"/>
        <v>0</v>
      </c>
      <c r="BI314" s="49" t="str">
        <f t="shared" ref="BI314" si="1938">IF(BH314&lt;0,SUBSTITUTE(TEXT(BH314,"000000000000,00"),",",""),SUBSTITUTE(TEXT(BH314,"0000000000000,00"),",",""))</f>
        <v>000000000000000</v>
      </c>
      <c r="BJ314" s="23">
        <f t="shared" si="1660"/>
        <v>0</v>
      </c>
      <c r="BK314" s="49" t="str">
        <f t="shared" ref="BK314" si="1939">IF(BJ314&lt;0,SUBSTITUTE(TEXT(BJ314,"000000000000,00"),",",""),SUBSTITUTE(TEXT(BJ314,"0000000000000,00"),",",""))</f>
        <v>000000000000000</v>
      </c>
      <c r="BL314" s="23">
        <f t="shared" si="1662"/>
        <v>0</v>
      </c>
      <c r="BM314" s="49" t="str">
        <f t="shared" ref="BM314" si="1940">IF(BL314&lt;0,SUBSTITUTE(TEXT(BL314,"000000000000,00"),",",""),SUBSTITUTE(TEXT(BL314,"0000000000000,00"),",",""))</f>
        <v>000000000000000</v>
      </c>
      <c r="BN314" t="str">
        <f t="shared" si="1664"/>
        <v>PES</v>
      </c>
      <c r="BO314" t="str">
        <f t="shared" si="1665"/>
        <v>0001000000</v>
      </c>
      <c r="BP314">
        <f t="shared" si="1666"/>
        <v>0</v>
      </c>
      <c r="BQ314">
        <f t="shared" si="1667"/>
        <v>0</v>
      </c>
      <c r="BR314" s="23">
        <f t="shared" si="1668"/>
        <v>0</v>
      </c>
      <c r="BS314" s="49" t="str">
        <f t="shared" si="1633"/>
        <v>000000000000000</v>
      </c>
      <c r="BT314" t="str">
        <f t="shared" si="1669"/>
        <v>00000000</v>
      </c>
      <c r="BU314" s="23">
        <f t="shared" si="1670"/>
        <v>0</v>
      </c>
      <c r="BV314" s="49" t="str">
        <f t="shared" si="1634"/>
        <v/>
      </c>
      <c r="BW314" s="52" t="str">
        <f t="shared" si="1671"/>
        <v/>
      </c>
      <c r="BX314" s="23">
        <f t="shared" si="1672"/>
        <v>0</v>
      </c>
      <c r="BY314" s="49" t="str">
        <f t="shared" si="1635"/>
        <v/>
      </c>
      <c r="BZ314" s="23">
        <f t="shared" si="1673"/>
        <v>0</v>
      </c>
      <c r="CA314" s="49" t="str">
        <f t="shared" si="1636"/>
        <v/>
      </c>
      <c r="CB314" s="52" t="str">
        <f t="shared" si="1674"/>
        <v/>
      </c>
      <c r="CC314" s="23">
        <f t="shared" si="1675"/>
        <v>0</v>
      </c>
      <c r="CD314" s="49" t="str">
        <f t="shared" si="1637"/>
        <v/>
      </c>
      <c r="CE314" s="56" t="str">
        <f>IF(CF314="","",MAX(CE$10:$CE313)+1)</f>
        <v/>
      </c>
      <c r="CF314" t="str">
        <f t="shared" si="1676"/>
        <v/>
      </c>
      <c r="CG314" s="22" t="str">
        <f>IF(CH314="","",MAX($CG$10:CG313)+1)</f>
        <v/>
      </c>
      <c r="CH314" s="22" t="str">
        <f t="shared" si="1621"/>
        <v/>
      </c>
      <c r="CI314" s="22" t="str">
        <f>IF(CJ314="","",MAX($CI$10:CI313)+1)</f>
        <v/>
      </c>
      <c r="CJ314" s="22" t="str">
        <f t="shared" si="1622"/>
        <v/>
      </c>
    </row>
    <row r="315" spans="2:88" x14ac:dyDescent="0.25">
      <c r="B315" s="37"/>
      <c r="C315" s="3"/>
      <c r="D315" s="77" t="str">
        <f t="shared" si="1608"/>
        <v/>
      </c>
      <c r="E315" s="38"/>
      <c r="F315" s="38"/>
      <c r="G315" s="78">
        <f t="shared" si="1623"/>
        <v>0</v>
      </c>
      <c r="H315" s="3">
        <v>80</v>
      </c>
      <c r="I315" s="77" t="str">
        <f t="shared" si="1609"/>
        <v/>
      </c>
      <c r="J315" s="32"/>
      <c r="K315" s="3"/>
      <c r="L315" s="39"/>
      <c r="M315" s="39"/>
      <c r="N315" s="39"/>
      <c r="O315" s="39"/>
      <c r="P315" s="39"/>
      <c r="Q315" s="39"/>
      <c r="R315" s="39"/>
      <c r="S315" s="39"/>
      <c r="T315" s="3" t="s">
        <v>645</v>
      </c>
      <c r="U315" s="77" t="str">
        <f t="shared" si="1610"/>
        <v/>
      </c>
      <c r="V315" s="39">
        <v>1</v>
      </c>
      <c r="W315" s="79">
        <f t="shared" si="1624"/>
        <v>0</v>
      </c>
      <c r="X315" s="3">
        <v>0</v>
      </c>
      <c r="Y315" s="77" t="str">
        <f t="shared" si="1611"/>
        <v/>
      </c>
      <c r="Z315" s="3"/>
      <c r="AA315" s="37" t="str">
        <f t="shared" si="1625"/>
        <v/>
      </c>
      <c r="AC315" s="40"/>
      <c r="AD315" s="7"/>
      <c r="AE315" s="77" t="str">
        <f t="shared" si="1612"/>
        <v/>
      </c>
      <c r="AF315" s="81">
        <f t="shared" si="1638"/>
        <v>0</v>
      </c>
      <c r="AG315" s="40"/>
      <c r="AH315" s="7"/>
      <c r="AI315" s="77" t="str">
        <f t="shared" si="1613"/>
        <v/>
      </c>
      <c r="AJ315" s="81">
        <f t="shared" si="1639"/>
        <v>0</v>
      </c>
      <c r="AK315" s="83">
        <f t="shared" si="1640"/>
        <v>0</v>
      </c>
      <c r="AL315" s="83">
        <f t="shared" si="1641"/>
        <v>0</v>
      </c>
      <c r="AN315" s="43">
        <f t="shared" si="1614"/>
        <v>0</v>
      </c>
      <c r="AP315" t="str">
        <f t="shared" si="1642"/>
        <v/>
      </c>
      <c r="AQ315" t="str">
        <f t="shared" si="1643"/>
        <v/>
      </c>
      <c r="AR315" t="str">
        <f t="shared" si="1644"/>
        <v/>
      </c>
      <c r="AS315" t="str">
        <f t="shared" si="1645"/>
        <v/>
      </c>
      <c r="AT315" t="str">
        <f t="shared" si="1646"/>
        <v/>
      </c>
      <c r="AU315" t="str">
        <f t="shared" si="1647"/>
        <v/>
      </c>
      <c r="AV315" t="str">
        <f t="shared" si="1648"/>
        <v/>
      </c>
      <c r="AW315" t="str">
        <f t="shared" si="1649"/>
        <v xml:space="preserve">                              </v>
      </c>
      <c r="AX315" s="23">
        <f t="shared" si="1650"/>
        <v>0</v>
      </c>
      <c r="AY315" s="49" t="str">
        <f t="shared" si="1626"/>
        <v>000000000000000</v>
      </c>
      <c r="AZ315" s="23">
        <f t="shared" si="1651"/>
        <v>0</v>
      </c>
      <c r="BA315" s="49" t="str">
        <f t="shared" si="1626"/>
        <v>000000000000000</v>
      </c>
      <c r="BB315" s="23">
        <f t="shared" si="1652"/>
        <v>0</v>
      </c>
      <c r="BC315" s="49" t="str">
        <f t="shared" ref="BC315" si="1941">IF(BB315&lt;0,SUBSTITUTE(TEXT(BB315,"000000000000,00"),",",""),SUBSTITUTE(TEXT(BB315,"0000000000000,00"),",",""))</f>
        <v>000000000000000</v>
      </c>
      <c r="BD315" s="23">
        <f t="shared" si="1654"/>
        <v>0</v>
      </c>
      <c r="BE315" s="49" t="str">
        <f t="shared" ref="BE315" si="1942">IF(BD315&lt;0,SUBSTITUTE(TEXT(BD315,"000000000000,00"),",",""),SUBSTITUTE(TEXT(BD315,"0000000000000,00"),",",""))</f>
        <v>000000000000000</v>
      </c>
      <c r="BF315" s="23">
        <f t="shared" si="1656"/>
        <v>0</v>
      </c>
      <c r="BG315" s="49" t="str">
        <f t="shared" ref="BG315" si="1943">IF(BF315&lt;0,SUBSTITUTE(TEXT(BF315,"000000000000,00"),",",""),SUBSTITUTE(TEXT(BF315,"0000000000000,00"),",",""))</f>
        <v>000000000000000</v>
      </c>
      <c r="BH315" s="23">
        <f t="shared" si="1658"/>
        <v>0</v>
      </c>
      <c r="BI315" s="49" t="str">
        <f t="shared" ref="BI315" si="1944">IF(BH315&lt;0,SUBSTITUTE(TEXT(BH315,"000000000000,00"),",",""),SUBSTITUTE(TEXT(BH315,"0000000000000,00"),",",""))</f>
        <v>000000000000000</v>
      </c>
      <c r="BJ315" s="23">
        <f t="shared" si="1660"/>
        <v>0</v>
      </c>
      <c r="BK315" s="49" t="str">
        <f t="shared" ref="BK315" si="1945">IF(BJ315&lt;0,SUBSTITUTE(TEXT(BJ315,"000000000000,00"),",",""),SUBSTITUTE(TEXT(BJ315,"0000000000000,00"),",",""))</f>
        <v>000000000000000</v>
      </c>
      <c r="BL315" s="23">
        <f t="shared" si="1662"/>
        <v>0</v>
      </c>
      <c r="BM315" s="49" t="str">
        <f t="shared" ref="BM315" si="1946">IF(BL315&lt;0,SUBSTITUTE(TEXT(BL315,"000000000000,00"),",",""),SUBSTITUTE(TEXT(BL315,"0000000000000,00"),",",""))</f>
        <v>000000000000000</v>
      </c>
      <c r="BN315" t="str">
        <f t="shared" si="1664"/>
        <v>PES</v>
      </c>
      <c r="BO315" t="str">
        <f t="shared" si="1665"/>
        <v>0001000000</v>
      </c>
      <c r="BP315">
        <f t="shared" si="1666"/>
        <v>0</v>
      </c>
      <c r="BQ315">
        <f t="shared" si="1667"/>
        <v>0</v>
      </c>
      <c r="BR315" s="23">
        <f t="shared" si="1668"/>
        <v>0</v>
      </c>
      <c r="BS315" s="49" t="str">
        <f t="shared" si="1633"/>
        <v>000000000000000</v>
      </c>
      <c r="BT315" t="str">
        <f t="shared" si="1669"/>
        <v>00000000</v>
      </c>
      <c r="BU315" s="23">
        <f t="shared" si="1670"/>
        <v>0</v>
      </c>
      <c r="BV315" s="49" t="str">
        <f t="shared" si="1634"/>
        <v/>
      </c>
      <c r="BW315" s="52" t="str">
        <f t="shared" si="1671"/>
        <v/>
      </c>
      <c r="BX315" s="23">
        <f t="shared" si="1672"/>
        <v>0</v>
      </c>
      <c r="BY315" s="49" t="str">
        <f t="shared" si="1635"/>
        <v/>
      </c>
      <c r="BZ315" s="23">
        <f t="shared" si="1673"/>
        <v>0</v>
      </c>
      <c r="CA315" s="49" t="str">
        <f t="shared" si="1636"/>
        <v/>
      </c>
      <c r="CB315" s="52" t="str">
        <f t="shared" si="1674"/>
        <v/>
      </c>
      <c r="CC315" s="23">
        <f t="shared" si="1675"/>
        <v>0</v>
      </c>
      <c r="CD315" s="49" t="str">
        <f t="shared" si="1637"/>
        <v/>
      </c>
      <c r="CE315" s="56" t="str">
        <f>IF(CF315="","",MAX(CE$10:$CE314)+1)</f>
        <v/>
      </c>
      <c r="CF315" t="str">
        <f t="shared" si="1676"/>
        <v/>
      </c>
      <c r="CG315" s="22" t="str">
        <f>IF(CH315="","",MAX($CG$10:CG314)+1)</f>
        <v/>
      </c>
      <c r="CH315" s="22" t="str">
        <f t="shared" si="1621"/>
        <v/>
      </c>
      <c r="CI315" s="22" t="str">
        <f>IF(CJ315="","",MAX($CI$10:CI314)+1)</f>
        <v/>
      </c>
      <c r="CJ315" s="22" t="str">
        <f t="shared" si="1622"/>
        <v/>
      </c>
    </row>
    <row r="316" spans="2:88" x14ac:dyDescent="0.25">
      <c r="B316" s="37"/>
      <c r="C316" s="3"/>
      <c r="D316" s="77" t="str">
        <f t="shared" si="1608"/>
        <v/>
      </c>
      <c r="E316" s="38"/>
      <c r="F316" s="38"/>
      <c r="G316" s="78">
        <f t="shared" si="1623"/>
        <v>0</v>
      </c>
      <c r="H316" s="3">
        <v>80</v>
      </c>
      <c r="I316" s="77" t="str">
        <f t="shared" si="1609"/>
        <v/>
      </c>
      <c r="J316" s="32"/>
      <c r="K316" s="3"/>
      <c r="L316" s="39"/>
      <c r="M316" s="39"/>
      <c r="N316" s="39"/>
      <c r="O316" s="39"/>
      <c r="P316" s="39"/>
      <c r="Q316" s="39"/>
      <c r="R316" s="39"/>
      <c r="S316" s="39"/>
      <c r="T316" s="3" t="s">
        <v>645</v>
      </c>
      <c r="U316" s="77" t="str">
        <f t="shared" si="1610"/>
        <v/>
      </c>
      <c r="V316" s="39">
        <v>1</v>
      </c>
      <c r="W316" s="79">
        <f t="shared" si="1624"/>
        <v>0</v>
      </c>
      <c r="X316" s="3">
        <v>0</v>
      </c>
      <c r="Y316" s="77" t="str">
        <f t="shared" si="1611"/>
        <v/>
      </c>
      <c r="Z316" s="3"/>
      <c r="AA316" s="37" t="str">
        <f t="shared" si="1625"/>
        <v/>
      </c>
      <c r="AC316" s="40"/>
      <c r="AD316" s="7"/>
      <c r="AE316" s="77" t="str">
        <f t="shared" si="1612"/>
        <v/>
      </c>
      <c r="AF316" s="81">
        <f t="shared" si="1638"/>
        <v>0</v>
      </c>
      <c r="AG316" s="40"/>
      <c r="AH316" s="7"/>
      <c r="AI316" s="77" t="str">
        <f t="shared" si="1613"/>
        <v/>
      </c>
      <c r="AJ316" s="81">
        <f t="shared" si="1639"/>
        <v>0</v>
      </c>
      <c r="AK316" s="83">
        <f t="shared" si="1640"/>
        <v>0</v>
      </c>
      <c r="AL316" s="83">
        <f t="shared" si="1641"/>
        <v>0</v>
      </c>
      <c r="AN316" s="43">
        <f t="shared" si="1614"/>
        <v>0</v>
      </c>
      <c r="AP316" t="str">
        <f t="shared" si="1642"/>
        <v/>
      </c>
      <c r="AQ316" t="str">
        <f t="shared" si="1643"/>
        <v/>
      </c>
      <c r="AR316" t="str">
        <f t="shared" si="1644"/>
        <v/>
      </c>
      <c r="AS316" t="str">
        <f t="shared" si="1645"/>
        <v/>
      </c>
      <c r="AT316" t="str">
        <f t="shared" si="1646"/>
        <v/>
      </c>
      <c r="AU316" t="str">
        <f t="shared" si="1647"/>
        <v/>
      </c>
      <c r="AV316" t="str">
        <f t="shared" si="1648"/>
        <v/>
      </c>
      <c r="AW316" t="str">
        <f t="shared" si="1649"/>
        <v xml:space="preserve">                              </v>
      </c>
      <c r="AX316" s="23">
        <f t="shared" si="1650"/>
        <v>0</v>
      </c>
      <c r="AY316" s="49" t="str">
        <f t="shared" si="1626"/>
        <v>000000000000000</v>
      </c>
      <c r="AZ316" s="23">
        <f t="shared" si="1651"/>
        <v>0</v>
      </c>
      <c r="BA316" s="49" t="str">
        <f t="shared" si="1626"/>
        <v>000000000000000</v>
      </c>
      <c r="BB316" s="23">
        <f t="shared" si="1652"/>
        <v>0</v>
      </c>
      <c r="BC316" s="49" t="str">
        <f t="shared" ref="BC316" si="1947">IF(BB316&lt;0,SUBSTITUTE(TEXT(BB316,"000000000000,00"),",",""),SUBSTITUTE(TEXT(BB316,"0000000000000,00"),",",""))</f>
        <v>000000000000000</v>
      </c>
      <c r="BD316" s="23">
        <f t="shared" si="1654"/>
        <v>0</v>
      </c>
      <c r="BE316" s="49" t="str">
        <f t="shared" ref="BE316" si="1948">IF(BD316&lt;0,SUBSTITUTE(TEXT(BD316,"000000000000,00"),",",""),SUBSTITUTE(TEXT(BD316,"0000000000000,00"),",",""))</f>
        <v>000000000000000</v>
      </c>
      <c r="BF316" s="23">
        <f t="shared" si="1656"/>
        <v>0</v>
      </c>
      <c r="BG316" s="49" t="str">
        <f t="shared" ref="BG316" si="1949">IF(BF316&lt;0,SUBSTITUTE(TEXT(BF316,"000000000000,00"),",",""),SUBSTITUTE(TEXT(BF316,"0000000000000,00"),",",""))</f>
        <v>000000000000000</v>
      </c>
      <c r="BH316" s="23">
        <f t="shared" si="1658"/>
        <v>0</v>
      </c>
      <c r="BI316" s="49" t="str">
        <f t="shared" ref="BI316" si="1950">IF(BH316&lt;0,SUBSTITUTE(TEXT(BH316,"000000000000,00"),",",""),SUBSTITUTE(TEXT(BH316,"0000000000000,00"),",",""))</f>
        <v>000000000000000</v>
      </c>
      <c r="BJ316" s="23">
        <f t="shared" si="1660"/>
        <v>0</v>
      </c>
      <c r="BK316" s="49" t="str">
        <f t="shared" ref="BK316" si="1951">IF(BJ316&lt;0,SUBSTITUTE(TEXT(BJ316,"000000000000,00"),",",""),SUBSTITUTE(TEXT(BJ316,"0000000000000,00"),",",""))</f>
        <v>000000000000000</v>
      </c>
      <c r="BL316" s="23">
        <f t="shared" si="1662"/>
        <v>0</v>
      </c>
      <c r="BM316" s="49" t="str">
        <f t="shared" ref="BM316" si="1952">IF(BL316&lt;0,SUBSTITUTE(TEXT(BL316,"000000000000,00"),",",""),SUBSTITUTE(TEXT(BL316,"0000000000000,00"),",",""))</f>
        <v>000000000000000</v>
      </c>
      <c r="BN316" t="str">
        <f t="shared" si="1664"/>
        <v>PES</v>
      </c>
      <c r="BO316" t="str">
        <f t="shared" si="1665"/>
        <v>0001000000</v>
      </c>
      <c r="BP316">
        <f t="shared" si="1666"/>
        <v>0</v>
      </c>
      <c r="BQ316">
        <f t="shared" si="1667"/>
        <v>0</v>
      </c>
      <c r="BR316" s="23">
        <f t="shared" si="1668"/>
        <v>0</v>
      </c>
      <c r="BS316" s="49" t="str">
        <f t="shared" si="1633"/>
        <v>000000000000000</v>
      </c>
      <c r="BT316" t="str">
        <f t="shared" si="1669"/>
        <v>00000000</v>
      </c>
      <c r="BU316" s="23">
        <f t="shared" si="1670"/>
        <v>0</v>
      </c>
      <c r="BV316" s="49" t="str">
        <f t="shared" si="1634"/>
        <v/>
      </c>
      <c r="BW316" s="52" t="str">
        <f t="shared" si="1671"/>
        <v/>
      </c>
      <c r="BX316" s="23">
        <f t="shared" si="1672"/>
        <v>0</v>
      </c>
      <c r="BY316" s="49" t="str">
        <f t="shared" si="1635"/>
        <v/>
      </c>
      <c r="BZ316" s="23">
        <f t="shared" si="1673"/>
        <v>0</v>
      </c>
      <c r="CA316" s="49" t="str">
        <f t="shared" si="1636"/>
        <v/>
      </c>
      <c r="CB316" s="52" t="str">
        <f t="shared" si="1674"/>
        <v/>
      </c>
      <c r="CC316" s="23">
        <f t="shared" si="1675"/>
        <v>0</v>
      </c>
      <c r="CD316" s="49" t="str">
        <f t="shared" si="1637"/>
        <v/>
      </c>
      <c r="CE316" s="56" t="str">
        <f>IF(CF316="","",MAX(CE$10:$CE315)+1)</f>
        <v/>
      </c>
      <c r="CF316" t="str">
        <f t="shared" si="1676"/>
        <v/>
      </c>
      <c r="CG316" s="22" t="str">
        <f>IF(CH316="","",MAX($CG$10:CG315)+1)</f>
        <v/>
      </c>
      <c r="CH316" s="22" t="str">
        <f t="shared" si="1621"/>
        <v/>
      </c>
      <c r="CI316" s="22" t="str">
        <f>IF(CJ316="","",MAX($CI$10:CI315)+1)</f>
        <v/>
      </c>
      <c r="CJ316" s="22" t="str">
        <f t="shared" si="1622"/>
        <v/>
      </c>
    </row>
    <row r="317" spans="2:88" x14ac:dyDescent="0.25">
      <c r="B317" s="37"/>
      <c r="C317" s="3"/>
      <c r="D317" s="77" t="str">
        <f t="shared" si="1608"/>
        <v/>
      </c>
      <c r="E317" s="38"/>
      <c r="F317" s="38"/>
      <c r="G317" s="78">
        <f t="shared" si="1623"/>
        <v>0</v>
      </c>
      <c r="H317" s="3">
        <v>80</v>
      </c>
      <c r="I317" s="77" t="str">
        <f t="shared" si="1609"/>
        <v/>
      </c>
      <c r="J317" s="32"/>
      <c r="K317" s="3"/>
      <c r="L317" s="39"/>
      <c r="M317" s="39"/>
      <c r="N317" s="39"/>
      <c r="O317" s="39"/>
      <c r="P317" s="39"/>
      <c r="Q317" s="39"/>
      <c r="R317" s="39"/>
      <c r="S317" s="39"/>
      <c r="T317" s="3" t="s">
        <v>645</v>
      </c>
      <c r="U317" s="77" t="str">
        <f t="shared" si="1610"/>
        <v/>
      </c>
      <c r="V317" s="39">
        <v>1</v>
      </c>
      <c r="W317" s="79">
        <f t="shared" si="1624"/>
        <v>0</v>
      </c>
      <c r="X317" s="3">
        <v>0</v>
      </c>
      <c r="Y317" s="77" t="str">
        <f t="shared" si="1611"/>
        <v/>
      </c>
      <c r="Z317" s="3"/>
      <c r="AA317" s="37" t="str">
        <f t="shared" si="1625"/>
        <v/>
      </c>
      <c r="AC317" s="40"/>
      <c r="AD317" s="7"/>
      <c r="AE317" s="77" t="str">
        <f t="shared" si="1612"/>
        <v/>
      </c>
      <c r="AF317" s="81">
        <f t="shared" si="1638"/>
        <v>0</v>
      </c>
      <c r="AG317" s="40"/>
      <c r="AH317" s="7"/>
      <c r="AI317" s="77" t="str">
        <f t="shared" si="1613"/>
        <v/>
      </c>
      <c r="AJ317" s="81">
        <f t="shared" si="1639"/>
        <v>0</v>
      </c>
      <c r="AK317" s="83">
        <f t="shared" si="1640"/>
        <v>0</v>
      </c>
      <c r="AL317" s="83">
        <f t="shared" si="1641"/>
        <v>0</v>
      </c>
      <c r="AN317" s="43">
        <f t="shared" si="1614"/>
        <v>0</v>
      </c>
      <c r="AP317" t="str">
        <f t="shared" si="1642"/>
        <v/>
      </c>
      <c r="AQ317" t="str">
        <f t="shared" si="1643"/>
        <v/>
      </c>
      <c r="AR317" t="str">
        <f t="shared" si="1644"/>
        <v/>
      </c>
      <c r="AS317" t="str">
        <f t="shared" si="1645"/>
        <v/>
      </c>
      <c r="AT317" t="str">
        <f t="shared" si="1646"/>
        <v/>
      </c>
      <c r="AU317" t="str">
        <f t="shared" si="1647"/>
        <v/>
      </c>
      <c r="AV317" t="str">
        <f t="shared" si="1648"/>
        <v/>
      </c>
      <c r="AW317" t="str">
        <f t="shared" si="1649"/>
        <v xml:space="preserve">                              </v>
      </c>
      <c r="AX317" s="23">
        <f t="shared" si="1650"/>
        <v>0</v>
      </c>
      <c r="AY317" s="49" t="str">
        <f t="shared" si="1626"/>
        <v>000000000000000</v>
      </c>
      <c r="AZ317" s="23">
        <f t="shared" si="1651"/>
        <v>0</v>
      </c>
      <c r="BA317" s="49" t="str">
        <f t="shared" si="1626"/>
        <v>000000000000000</v>
      </c>
      <c r="BB317" s="23">
        <f t="shared" si="1652"/>
        <v>0</v>
      </c>
      <c r="BC317" s="49" t="str">
        <f t="shared" ref="BC317" si="1953">IF(BB317&lt;0,SUBSTITUTE(TEXT(BB317,"000000000000,00"),",",""),SUBSTITUTE(TEXT(BB317,"0000000000000,00"),",",""))</f>
        <v>000000000000000</v>
      </c>
      <c r="BD317" s="23">
        <f t="shared" si="1654"/>
        <v>0</v>
      </c>
      <c r="BE317" s="49" t="str">
        <f t="shared" ref="BE317" si="1954">IF(BD317&lt;0,SUBSTITUTE(TEXT(BD317,"000000000000,00"),",",""),SUBSTITUTE(TEXT(BD317,"0000000000000,00"),",",""))</f>
        <v>000000000000000</v>
      </c>
      <c r="BF317" s="23">
        <f t="shared" si="1656"/>
        <v>0</v>
      </c>
      <c r="BG317" s="49" t="str">
        <f t="shared" ref="BG317" si="1955">IF(BF317&lt;0,SUBSTITUTE(TEXT(BF317,"000000000000,00"),",",""),SUBSTITUTE(TEXT(BF317,"0000000000000,00"),",",""))</f>
        <v>000000000000000</v>
      </c>
      <c r="BH317" s="23">
        <f t="shared" si="1658"/>
        <v>0</v>
      </c>
      <c r="BI317" s="49" t="str">
        <f t="shared" ref="BI317" si="1956">IF(BH317&lt;0,SUBSTITUTE(TEXT(BH317,"000000000000,00"),",",""),SUBSTITUTE(TEXT(BH317,"0000000000000,00"),",",""))</f>
        <v>000000000000000</v>
      </c>
      <c r="BJ317" s="23">
        <f t="shared" si="1660"/>
        <v>0</v>
      </c>
      <c r="BK317" s="49" t="str">
        <f t="shared" ref="BK317" si="1957">IF(BJ317&lt;0,SUBSTITUTE(TEXT(BJ317,"000000000000,00"),",",""),SUBSTITUTE(TEXT(BJ317,"0000000000000,00"),",",""))</f>
        <v>000000000000000</v>
      </c>
      <c r="BL317" s="23">
        <f t="shared" si="1662"/>
        <v>0</v>
      </c>
      <c r="BM317" s="49" t="str">
        <f t="shared" ref="BM317" si="1958">IF(BL317&lt;0,SUBSTITUTE(TEXT(BL317,"000000000000,00"),",",""),SUBSTITUTE(TEXT(BL317,"0000000000000,00"),",",""))</f>
        <v>000000000000000</v>
      </c>
      <c r="BN317" t="str">
        <f t="shared" si="1664"/>
        <v>PES</v>
      </c>
      <c r="BO317" t="str">
        <f t="shared" si="1665"/>
        <v>0001000000</v>
      </c>
      <c r="BP317">
        <f t="shared" si="1666"/>
        <v>0</v>
      </c>
      <c r="BQ317">
        <f t="shared" si="1667"/>
        <v>0</v>
      </c>
      <c r="BR317" s="23">
        <f t="shared" si="1668"/>
        <v>0</v>
      </c>
      <c r="BS317" s="49" t="str">
        <f t="shared" si="1633"/>
        <v>000000000000000</v>
      </c>
      <c r="BT317" t="str">
        <f t="shared" si="1669"/>
        <v>00000000</v>
      </c>
      <c r="BU317" s="23">
        <f t="shared" si="1670"/>
        <v>0</v>
      </c>
      <c r="BV317" s="49" t="str">
        <f t="shared" si="1634"/>
        <v/>
      </c>
      <c r="BW317" s="52" t="str">
        <f t="shared" si="1671"/>
        <v/>
      </c>
      <c r="BX317" s="23">
        <f t="shared" si="1672"/>
        <v>0</v>
      </c>
      <c r="BY317" s="49" t="str">
        <f t="shared" si="1635"/>
        <v/>
      </c>
      <c r="BZ317" s="23">
        <f t="shared" si="1673"/>
        <v>0</v>
      </c>
      <c r="CA317" s="49" t="str">
        <f t="shared" si="1636"/>
        <v/>
      </c>
      <c r="CB317" s="52" t="str">
        <f t="shared" si="1674"/>
        <v/>
      </c>
      <c r="CC317" s="23">
        <f t="shared" si="1675"/>
        <v>0</v>
      </c>
      <c r="CD317" s="49" t="str">
        <f t="shared" si="1637"/>
        <v/>
      </c>
      <c r="CE317" s="56" t="str">
        <f>IF(CF317="","",MAX(CE$10:$CE316)+1)</f>
        <v/>
      </c>
      <c r="CF317" t="str">
        <f t="shared" si="1676"/>
        <v/>
      </c>
      <c r="CG317" s="22" t="str">
        <f>IF(CH317="","",MAX($CG$10:CG316)+1)</f>
        <v/>
      </c>
      <c r="CH317" s="22" t="str">
        <f t="shared" si="1621"/>
        <v/>
      </c>
      <c r="CI317" s="22" t="str">
        <f>IF(CJ317="","",MAX($CI$10:CI316)+1)</f>
        <v/>
      </c>
      <c r="CJ317" s="22" t="str">
        <f t="shared" si="1622"/>
        <v/>
      </c>
    </row>
    <row r="318" spans="2:88" x14ac:dyDescent="0.25">
      <c r="B318" s="37"/>
      <c r="C318" s="3"/>
      <c r="D318" s="77" t="str">
        <f t="shared" si="1608"/>
        <v/>
      </c>
      <c r="E318" s="38"/>
      <c r="F318" s="38"/>
      <c r="G318" s="78">
        <f t="shared" si="1623"/>
        <v>0</v>
      </c>
      <c r="H318" s="3">
        <v>80</v>
      </c>
      <c r="I318" s="77" t="str">
        <f t="shared" si="1609"/>
        <v/>
      </c>
      <c r="J318" s="32"/>
      <c r="K318" s="3"/>
      <c r="L318" s="39"/>
      <c r="M318" s="39"/>
      <c r="N318" s="39"/>
      <c r="O318" s="39"/>
      <c r="P318" s="39"/>
      <c r="Q318" s="39"/>
      <c r="R318" s="39"/>
      <c r="S318" s="39"/>
      <c r="T318" s="3" t="s">
        <v>645</v>
      </c>
      <c r="U318" s="77" t="str">
        <f t="shared" si="1610"/>
        <v/>
      </c>
      <c r="V318" s="39">
        <v>1</v>
      </c>
      <c r="W318" s="79">
        <f t="shared" si="1624"/>
        <v>0</v>
      </c>
      <c r="X318" s="3">
        <v>0</v>
      </c>
      <c r="Y318" s="77" t="str">
        <f t="shared" si="1611"/>
        <v/>
      </c>
      <c r="Z318" s="3"/>
      <c r="AA318" s="37" t="str">
        <f t="shared" si="1625"/>
        <v/>
      </c>
      <c r="AC318" s="40"/>
      <c r="AD318" s="7"/>
      <c r="AE318" s="77" t="str">
        <f t="shared" si="1612"/>
        <v/>
      </c>
      <c r="AF318" s="81">
        <f t="shared" si="1638"/>
        <v>0</v>
      </c>
      <c r="AG318" s="40"/>
      <c r="AH318" s="7"/>
      <c r="AI318" s="77" t="str">
        <f t="shared" si="1613"/>
        <v/>
      </c>
      <c r="AJ318" s="81">
        <f t="shared" si="1639"/>
        <v>0</v>
      </c>
      <c r="AK318" s="83">
        <f t="shared" si="1640"/>
        <v>0</v>
      </c>
      <c r="AL318" s="83">
        <f t="shared" si="1641"/>
        <v>0</v>
      </c>
      <c r="AN318" s="43">
        <f t="shared" si="1614"/>
        <v>0</v>
      </c>
      <c r="AP318" t="str">
        <f t="shared" si="1642"/>
        <v/>
      </c>
      <c r="AQ318" t="str">
        <f t="shared" si="1643"/>
        <v/>
      </c>
      <c r="AR318" t="str">
        <f t="shared" si="1644"/>
        <v/>
      </c>
      <c r="AS318" t="str">
        <f t="shared" si="1645"/>
        <v/>
      </c>
      <c r="AT318" t="str">
        <f t="shared" si="1646"/>
        <v/>
      </c>
      <c r="AU318" t="str">
        <f t="shared" si="1647"/>
        <v/>
      </c>
      <c r="AV318" t="str">
        <f t="shared" si="1648"/>
        <v/>
      </c>
      <c r="AW318" t="str">
        <f t="shared" si="1649"/>
        <v xml:space="preserve">                              </v>
      </c>
      <c r="AX318" s="23">
        <f t="shared" si="1650"/>
        <v>0</v>
      </c>
      <c r="AY318" s="49" t="str">
        <f t="shared" si="1626"/>
        <v>000000000000000</v>
      </c>
      <c r="AZ318" s="23">
        <f t="shared" si="1651"/>
        <v>0</v>
      </c>
      <c r="BA318" s="49" t="str">
        <f t="shared" si="1626"/>
        <v>000000000000000</v>
      </c>
      <c r="BB318" s="23">
        <f t="shared" si="1652"/>
        <v>0</v>
      </c>
      <c r="BC318" s="49" t="str">
        <f t="shared" ref="BC318" si="1959">IF(BB318&lt;0,SUBSTITUTE(TEXT(BB318,"000000000000,00"),",",""),SUBSTITUTE(TEXT(BB318,"0000000000000,00"),",",""))</f>
        <v>000000000000000</v>
      </c>
      <c r="BD318" s="23">
        <f t="shared" si="1654"/>
        <v>0</v>
      </c>
      <c r="BE318" s="49" t="str">
        <f t="shared" ref="BE318" si="1960">IF(BD318&lt;0,SUBSTITUTE(TEXT(BD318,"000000000000,00"),",",""),SUBSTITUTE(TEXT(BD318,"0000000000000,00"),",",""))</f>
        <v>000000000000000</v>
      </c>
      <c r="BF318" s="23">
        <f t="shared" si="1656"/>
        <v>0</v>
      </c>
      <c r="BG318" s="49" t="str">
        <f t="shared" ref="BG318" si="1961">IF(BF318&lt;0,SUBSTITUTE(TEXT(BF318,"000000000000,00"),",",""),SUBSTITUTE(TEXT(BF318,"0000000000000,00"),",",""))</f>
        <v>000000000000000</v>
      </c>
      <c r="BH318" s="23">
        <f t="shared" si="1658"/>
        <v>0</v>
      </c>
      <c r="BI318" s="49" t="str">
        <f t="shared" ref="BI318" si="1962">IF(BH318&lt;0,SUBSTITUTE(TEXT(BH318,"000000000000,00"),",",""),SUBSTITUTE(TEXT(BH318,"0000000000000,00"),",",""))</f>
        <v>000000000000000</v>
      </c>
      <c r="BJ318" s="23">
        <f t="shared" si="1660"/>
        <v>0</v>
      </c>
      <c r="BK318" s="49" t="str">
        <f t="shared" ref="BK318" si="1963">IF(BJ318&lt;0,SUBSTITUTE(TEXT(BJ318,"000000000000,00"),",",""),SUBSTITUTE(TEXT(BJ318,"0000000000000,00"),",",""))</f>
        <v>000000000000000</v>
      </c>
      <c r="BL318" s="23">
        <f t="shared" si="1662"/>
        <v>0</v>
      </c>
      <c r="BM318" s="49" t="str">
        <f t="shared" ref="BM318" si="1964">IF(BL318&lt;0,SUBSTITUTE(TEXT(BL318,"000000000000,00"),",",""),SUBSTITUTE(TEXT(BL318,"0000000000000,00"),",",""))</f>
        <v>000000000000000</v>
      </c>
      <c r="BN318" t="str">
        <f t="shared" si="1664"/>
        <v>PES</v>
      </c>
      <c r="BO318" t="str">
        <f t="shared" si="1665"/>
        <v>0001000000</v>
      </c>
      <c r="BP318">
        <f t="shared" si="1666"/>
        <v>0</v>
      </c>
      <c r="BQ318">
        <f t="shared" si="1667"/>
        <v>0</v>
      </c>
      <c r="BR318" s="23">
        <f t="shared" si="1668"/>
        <v>0</v>
      </c>
      <c r="BS318" s="49" t="str">
        <f t="shared" si="1633"/>
        <v>000000000000000</v>
      </c>
      <c r="BT318" t="str">
        <f t="shared" si="1669"/>
        <v>00000000</v>
      </c>
      <c r="BU318" s="23">
        <f t="shared" si="1670"/>
        <v>0</v>
      </c>
      <c r="BV318" s="49" t="str">
        <f t="shared" si="1634"/>
        <v/>
      </c>
      <c r="BW318" s="52" t="str">
        <f t="shared" si="1671"/>
        <v/>
      </c>
      <c r="BX318" s="23">
        <f t="shared" si="1672"/>
        <v>0</v>
      </c>
      <c r="BY318" s="49" t="str">
        <f t="shared" si="1635"/>
        <v/>
      </c>
      <c r="BZ318" s="23">
        <f t="shared" si="1673"/>
        <v>0</v>
      </c>
      <c r="CA318" s="49" t="str">
        <f t="shared" si="1636"/>
        <v/>
      </c>
      <c r="CB318" s="52" t="str">
        <f t="shared" si="1674"/>
        <v/>
      </c>
      <c r="CC318" s="23">
        <f t="shared" si="1675"/>
        <v>0</v>
      </c>
      <c r="CD318" s="49" t="str">
        <f t="shared" si="1637"/>
        <v/>
      </c>
      <c r="CE318" s="56" t="str">
        <f>IF(CF318="","",MAX(CE$10:$CE317)+1)</f>
        <v/>
      </c>
      <c r="CF318" t="str">
        <f t="shared" si="1676"/>
        <v/>
      </c>
      <c r="CG318" s="22" t="str">
        <f>IF(CH318="","",MAX($CG$10:CG317)+1)</f>
        <v/>
      </c>
      <c r="CH318" s="22" t="str">
        <f t="shared" si="1621"/>
        <v/>
      </c>
      <c r="CI318" s="22" t="str">
        <f>IF(CJ318="","",MAX($CI$10:CI317)+1)</f>
        <v/>
      </c>
      <c r="CJ318" s="22" t="str">
        <f t="shared" si="1622"/>
        <v/>
      </c>
    </row>
    <row r="319" spans="2:88" x14ac:dyDescent="0.25">
      <c r="B319" s="37"/>
      <c r="C319" s="3"/>
      <c r="D319" s="77" t="str">
        <f t="shared" si="1608"/>
        <v/>
      </c>
      <c r="E319" s="38"/>
      <c r="F319" s="38"/>
      <c r="G319" s="78">
        <f t="shared" si="1623"/>
        <v>0</v>
      </c>
      <c r="H319" s="3">
        <v>80</v>
      </c>
      <c r="I319" s="77" t="str">
        <f t="shared" si="1609"/>
        <v/>
      </c>
      <c r="J319" s="32"/>
      <c r="K319" s="3"/>
      <c r="L319" s="39"/>
      <c r="M319" s="39"/>
      <c r="N319" s="39"/>
      <c r="O319" s="39"/>
      <c r="P319" s="39"/>
      <c r="Q319" s="39"/>
      <c r="R319" s="39"/>
      <c r="S319" s="39"/>
      <c r="T319" s="3" t="s">
        <v>645</v>
      </c>
      <c r="U319" s="77" t="str">
        <f t="shared" si="1610"/>
        <v/>
      </c>
      <c r="V319" s="39">
        <v>1</v>
      </c>
      <c r="W319" s="79">
        <f t="shared" si="1624"/>
        <v>0</v>
      </c>
      <c r="X319" s="3">
        <v>0</v>
      </c>
      <c r="Y319" s="77" t="str">
        <f t="shared" si="1611"/>
        <v/>
      </c>
      <c r="Z319" s="3"/>
      <c r="AA319" s="37" t="str">
        <f t="shared" si="1625"/>
        <v/>
      </c>
      <c r="AC319" s="40"/>
      <c r="AD319" s="7"/>
      <c r="AE319" s="77" t="str">
        <f t="shared" si="1612"/>
        <v/>
      </c>
      <c r="AF319" s="81">
        <f t="shared" si="1638"/>
        <v>0</v>
      </c>
      <c r="AG319" s="40"/>
      <c r="AH319" s="7"/>
      <c r="AI319" s="77" t="str">
        <f t="shared" si="1613"/>
        <v/>
      </c>
      <c r="AJ319" s="81">
        <f t="shared" si="1639"/>
        <v>0</v>
      </c>
      <c r="AK319" s="83">
        <f t="shared" si="1640"/>
        <v>0</v>
      </c>
      <c r="AL319" s="83">
        <f t="shared" si="1641"/>
        <v>0</v>
      </c>
      <c r="AN319" s="43">
        <f t="shared" si="1614"/>
        <v>0</v>
      </c>
      <c r="AP319" t="str">
        <f t="shared" si="1642"/>
        <v/>
      </c>
      <c r="AQ319" t="str">
        <f t="shared" si="1643"/>
        <v/>
      </c>
      <c r="AR319" t="str">
        <f t="shared" si="1644"/>
        <v/>
      </c>
      <c r="AS319" t="str">
        <f t="shared" si="1645"/>
        <v/>
      </c>
      <c r="AT319" t="str">
        <f t="shared" si="1646"/>
        <v/>
      </c>
      <c r="AU319" t="str">
        <f t="shared" si="1647"/>
        <v/>
      </c>
      <c r="AV319" t="str">
        <f t="shared" si="1648"/>
        <v/>
      </c>
      <c r="AW319" t="str">
        <f t="shared" si="1649"/>
        <v xml:space="preserve">                              </v>
      </c>
      <c r="AX319" s="23">
        <f t="shared" si="1650"/>
        <v>0</v>
      </c>
      <c r="AY319" s="49" t="str">
        <f t="shared" si="1626"/>
        <v>000000000000000</v>
      </c>
      <c r="AZ319" s="23">
        <f t="shared" si="1651"/>
        <v>0</v>
      </c>
      <c r="BA319" s="49" t="str">
        <f t="shared" si="1626"/>
        <v>000000000000000</v>
      </c>
      <c r="BB319" s="23">
        <f t="shared" si="1652"/>
        <v>0</v>
      </c>
      <c r="BC319" s="49" t="str">
        <f t="shared" ref="BC319" si="1965">IF(BB319&lt;0,SUBSTITUTE(TEXT(BB319,"000000000000,00"),",",""),SUBSTITUTE(TEXT(BB319,"0000000000000,00"),",",""))</f>
        <v>000000000000000</v>
      </c>
      <c r="BD319" s="23">
        <f t="shared" si="1654"/>
        <v>0</v>
      </c>
      <c r="BE319" s="49" t="str">
        <f t="shared" ref="BE319" si="1966">IF(BD319&lt;0,SUBSTITUTE(TEXT(BD319,"000000000000,00"),",",""),SUBSTITUTE(TEXT(BD319,"0000000000000,00"),",",""))</f>
        <v>000000000000000</v>
      </c>
      <c r="BF319" s="23">
        <f t="shared" si="1656"/>
        <v>0</v>
      </c>
      <c r="BG319" s="49" t="str">
        <f t="shared" ref="BG319" si="1967">IF(BF319&lt;0,SUBSTITUTE(TEXT(BF319,"000000000000,00"),",",""),SUBSTITUTE(TEXT(BF319,"0000000000000,00"),",",""))</f>
        <v>000000000000000</v>
      </c>
      <c r="BH319" s="23">
        <f t="shared" si="1658"/>
        <v>0</v>
      </c>
      <c r="BI319" s="49" t="str">
        <f t="shared" ref="BI319" si="1968">IF(BH319&lt;0,SUBSTITUTE(TEXT(BH319,"000000000000,00"),",",""),SUBSTITUTE(TEXT(BH319,"0000000000000,00"),",",""))</f>
        <v>000000000000000</v>
      </c>
      <c r="BJ319" s="23">
        <f t="shared" si="1660"/>
        <v>0</v>
      </c>
      <c r="BK319" s="49" t="str">
        <f t="shared" ref="BK319" si="1969">IF(BJ319&lt;0,SUBSTITUTE(TEXT(BJ319,"000000000000,00"),",",""),SUBSTITUTE(TEXT(BJ319,"0000000000000,00"),",",""))</f>
        <v>000000000000000</v>
      </c>
      <c r="BL319" s="23">
        <f t="shared" si="1662"/>
        <v>0</v>
      </c>
      <c r="BM319" s="49" t="str">
        <f t="shared" ref="BM319" si="1970">IF(BL319&lt;0,SUBSTITUTE(TEXT(BL319,"000000000000,00"),",",""),SUBSTITUTE(TEXT(BL319,"0000000000000,00"),",",""))</f>
        <v>000000000000000</v>
      </c>
      <c r="BN319" t="str">
        <f t="shared" si="1664"/>
        <v>PES</v>
      </c>
      <c r="BO319" t="str">
        <f t="shared" si="1665"/>
        <v>0001000000</v>
      </c>
      <c r="BP319">
        <f t="shared" si="1666"/>
        <v>0</v>
      </c>
      <c r="BQ319">
        <f t="shared" si="1667"/>
        <v>0</v>
      </c>
      <c r="BR319" s="23">
        <f t="shared" si="1668"/>
        <v>0</v>
      </c>
      <c r="BS319" s="49" t="str">
        <f t="shared" si="1633"/>
        <v>000000000000000</v>
      </c>
      <c r="BT319" t="str">
        <f t="shared" si="1669"/>
        <v>00000000</v>
      </c>
      <c r="BU319" s="23">
        <f t="shared" si="1670"/>
        <v>0</v>
      </c>
      <c r="BV319" s="49" t="str">
        <f t="shared" si="1634"/>
        <v/>
      </c>
      <c r="BW319" s="52" t="str">
        <f t="shared" si="1671"/>
        <v/>
      </c>
      <c r="BX319" s="23">
        <f t="shared" si="1672"/>
        <v>0</v>
      </c>
      <c r="BY319" s="49" t="str">
        <f t="shared" si="1635"/>
        <v/>
      </c>
      <c r="BZ319" s="23">
        <f t="shared" si="1673"/>
        <v>0</v>
      </c>
      <c r="CA319" s="49" t="str">
        <f t="shared" si="1636"/>
        <v/>
      </c>
      <c r="CB319" s="52" t="str">
        <f t="shared" si="1674"/>
        <v/>
      </c>
      <c r="CC319" s="23">
        <f t="shared" si="1675"/>
        <v>0</v>
      </c>
      <c r="CD319" s="49" t="str">
        <f t="shared" si="1637"/>
        <v/>
      </c>
      <c r="CE319" s="56" t="str">
        <f>IF(CF319="","",MAX(CE$10:$CE318)+1)</f>
        <v/>
      </c>
      <c r="CF319" t="str">
        <f t="shared" si="1676"/>
        <v/>
      </c>
      <c r="CG319" s="22" t="str">
        <f>IF(CH319="","",MAX($CG$10:CG318)+1)</f>
        <v/>
      </c>
      <c r="CH319" s="22" t="str">
        <f t="shared" si="1621"/>
        <v/>
      </c>
      <c r="CI319" s="22" t="str">
        <f>IF(CJ319="","",MAX($CI$10:CI318)+1)</f>
        <v/>
      </c>
      <c r="CJ319" s="22" t="str">
        <f t="shared" si="1622"/>
        <v/>
      </c>
    </row>
    <row r="320" spans="2:88" x14ac:dyDescent="0.25">
      <c r="B320" s="37"/>
      <c r="C320" s="3"/>
      <c r="D320" s="77" t="str">
        <f t="shared" si="1608"/>
        <v/>
      </c>
      <c r="E320" s="38"/>
      <c r="F320" s="38"/>
      <c r="G320" s="78">
        <f t="shared" si="1623"/>
        <v>0</v>
      </c>
      <c r="H320" s="3">
        <v>80</v>
      </c>
      <c r="I320" s="77" t="str">
        <f t="shared" si="1609"/>
        <v/>
      </c>
      <c r="J320" s="32"/>
      <c r="K320" s="3"/>
      <c r="L320" s="39"/>
      <c r="M320" s="39"/>
      <c r="N320" s="39"/>
      <c r="O320" s="39"/>
      <c r="P320" s="39"/>
      <c r="Q320" s="39"/>
      <c r="R320" s="39"/>
      <c r="S320" s="39"/>
      <c r="T320" s="3" t="s">
        <v>645</v>
      </c>
      <c r="U320" s="77" t="str">
        <f t="shared" si="1610"/>
        <v/>
      </c>
      <c r="V320" s="39">
        <v>1</v>
      </c>
      <c r="W320" s="79">
        <f t="shared" si="1624"/>
        <v>0</v>
      </c>
      <c r="X320" s="3">
        <v>0</v>
      </c>
      <c r="Y320" s="77" t="str">
        <f t="shared" si="1611"/>
        <v/>
      </c>
      <c r="Z320" s="3"/>
      <c r="AA320" s="37" t="str">
        <f t="shared" si="1625"/>
        <v/>
      </c>
      <c r="AC320" s="40"/>
      <c r="AD320" s="7"/>
      <c r="AE320" s="77" t="str">
        <f t="shared" si="1612"/>
        <v/>
      </c>
      <c r="AF320" s="81">
        <f t="shared" si="1638"/>
        <v>0</v>
      </c>
      <c r="AG320" s="40"/>
      <c r="AH320" s="7"/>
      <c r="AI320" s="77" t="str">
        <f t="shared" si="1613"/>
        <v/>
      </c>
      <c r="AJ320" s="81">
        <f t="shared" si="1639"/>
        <v>0</v>
      </c>
      <c r="AK320" s="83">
        <f t="shared" si="1640"/>
        <v>0</v>
      </c>
      <c r="AL320" s="83">
        <f t="shared" si="1641"/>
        <v>0</v>
      </c>
      <c r="AN320" s="43">
        <f t="shared" si="1614"/>
        <v>0</v>
      </c>
      <c r="AP320" t="str">
        <f t="shared" si="1642"/>
        <v/>
      </c>
      <c r="AQ320" t="str">
        <f t="shared" si="1643"/>
        <v/>
      </c>
      <c r="AR320" t="str">
        <f t="shared" si="1644"/>
        <v/>
      </c>
      <c r="AS320" t="str">
        <f t="shared" si="1645"/>
        <v/>
      </c>
      <c r="AT320" t="str">
        <f t="shared" si="1646"/>
        <v/>
      </c>
      <c r="AU320" t="str">
        <f t="shared" si="1647"/>
        <v/>
      </c>
      <c r="AV320" t="str">
        <f t="shared" si="1648"/>
        <v/>
      </c>
      <c r="AW320" t="str">
        <f t="shared" si="1649"/>
        <v xml:space="preserve">                              </v>
      </c>
      <c r="AX320" s="23">
        <f t="shared" si="1650"/>
        <v>0</v>
      </c>
      <c r="AY320" s="49" t="str">
        <f t="shared" si="1626"/>
        <v>000000000000000</v>
      </c>
      <c r="AZ320" s="23">
        <f t="shared" si="1651"/>
        <v>0</v>
      </c>
      <c r="BA320" s="49" t="str">
        <f t="shared" si="1626"/>
        <v>000000000000000</v>
      </c>
      <c r="BB320" s="23">
        <f t="shared" si="1652"/>
        <v>0</v>
      </c>
      <c r="BC320" s="49" t="str">
        <f t="shared" ref="BC320" si="1971">IF(BB320&lt;0,SUBSTITUTE(TEXT(BB320,"000000000000,00"),",",""),SUBSTITUTE(TEXT(BB320,"0000000000000,00"),",",""))</f>
        <v>000000000000000</v>
      </c>
      <c r="BD320" s="23">
        <f t="shared" si="1654"/>
        <v>0</v>
      </c>
      <c r="BE320" s="49" t="str">
        <f t="shared" ref="BE320" si="1972">IF(BD320&lt;0,SUBSTITUTE(TEXT(BD320,"000000000000,00"),",",""),SUBSTITUTE(TEXT(BD320,"0000000000000,00"),",",""))</f>
        <v>000000000000000</v>
      </c>
      <c r="BF320" s="23">
        <f t="shared" si="1656"/>
        <v>0</v>
      </c>
      <c r="BG320" s="49" t="str">
        <f t="shared" ref="BG320" si="1973">IF(BF320&lt;0,SUBSTITUTE(TEXT(BF320,"000000000000,00"),",",""),SUBSTITUTE(TEXT(BF320,"0000000000000,00"),",",""))</f>
        <v>000000000000000</v>
      </c>
      <c r="BH320" s="23">
        <f t="shared" si="1658"/>
        <v>0</v>
      </c>
      <c r="BI320" s="49" t="str">
        <f t="shared" ref="BI320" si="1974">IF(BH320&lt;0,SUBSTITUTE(TEXT(BH320,"000000000000,00"),",",""),SUBSTITUTE(TEXT(BH320,"0000000000000,00"),",",""))</f>
        <v>000000000000000</v>
      </c>
      <c r="BJ320" s="23">
        <f t="shared" si="1660"/>
        <v>0</v>
      </c>
      <c r="BK320" s="49" t="str">
        <f t="shared" ref="BK320" si="1975">IF(BJ320&lt;0,SUBSTITUTE(TEXT(BJ320,"000000000000,00"),",",""),SUBSTITUTE(TEXT(BJ320,"0000000000000,00"),",",""))</f>
        <v>000000000000000</v>
      </c>
      <c r="BL320" s="23">
        <f t="shared" si="1662"/>
        <v>0</v>
      </c>
      <c r="BM320" s="49" t="str">
        <f t="shared" ref="BM320" si="1976">IF(BL320&lt;0,SUBSTITUTE(TEXT(BL320,"000000000000,00"),",",""),SUBSTITUTE(TEXT(BL320,"0000000000000,00"),",",""))</f>
        <v>000000000000000</v>
      </c>
      <c r="BN320" t="str">
        <f t="shared" si="1664"/>
        <v>PES</v>
      </c>
      <c r="BO320" t="str">
        <f t="shared" si="1665"/>
        <v>0001000000</v>
      </c>
      <c r="BP320">
        <f t="shared" si="1666"/>
        <v>0</v>
      </c>
      <c r="BQ320">
        <f t="shared" si="1667"/>
        <v>0</v>
      </c>
      <c r="BR320" s="23">
        <f t="shared" si="1668"/>
        <v>0</v>
      </c>
      <c r="BS320" s="49" t="str">
        <f t="shared" si="1633"/>
        <v>000000000000000</v>
      </c>
      <c r="BT320" t="str">
        <f t="shared" si="1669"/>
        <v>00000000</v>
      </c>
      <c r="BU320" s="23">
        <f t="shared" si="1670"/>
        <v>0</v>
      </c>
      <c r="BV320" s="49" t="str">
        <f t="shared" si="1634"/>
        <v/>
      </c>
      <c r="BW320" s="52" t="str">
        <f t="shared" si="1671"/>
        <v/>
      </c>
      <c r="BX320" s="23">
        <f t="shared" si="1672"/>
        <v>0</v>
      </c>
      <c r="BY320" s="49" t="str">
        <f t="shared" si="1635"/>
        <v/>
      </c>
      <c r="BZ320" s="23">
        <f t="shared" si="1673"/>
        <v>0</v>
      </c>
      <c r="CA320" s="49" t="str">
        <f t="shared" si="1636"/>
        <v/>
      </c>
      <c r="CB320" s="52" t="str">
        <f t="shared" si="1674"/>
        <v/>
      </c>
      <c r="CC320" s="23">
        <f t="shared" si="1675"/>
        <v>0</v>
      </c>
      <c r="CD320" s="49" t="str">
        <f t="shared" si="1637"/>
        <v/>
      </c>
      <c r="CE320" s="56" t="str">
        <f>IF(CF320="","",MAX(CE$10:$CE319)+1)</f>
        <v/>
      </c>
      <c r="CF320" t="str">
        <f t="shared" si="1676"/>
        <v/>
      </c>
      <c r="CG320" s="22" t="str">
        <f>IF(CH320="","",MAX($CG$10:CG319)+1)</f>
        <v/>
      </c>
      <c r="CH320" s="22" t="str">
        <f t="shared" si="1621"/>
        <v/>
      </c>
      <c r="CI320" s="22" t="str">
        <f>IF(CJ320="","",MAX($CI$10:CI319)+1)</f>
        <v/>
      </c>
      <c r="CJ320" s="22" t="str">
        <f t="shared" si="1622"/>
        <v/>
      </c>
    </row>
    <row r="321" spans="2:88" x14ac:dyDescent="0.25">
      <c r="B321" s="37"/>
      <c r="C321" s="3"/>
      <c r="D321" s="77" t="str">
        <f t="shared" si="1608"/>
        <v/>
      </c>
      <c r="E321" s="38"/>
      <c r="F321" s="38"/>
      <c r="G321" s="78">
        <f t="shared" si="1623"/>
        <v>0</v>
      </c>
      <c r="H321" s="3">
        <v>80</v>
      </c>
      <c r="I321" s="77" t="str">
        <f t="shared" si="1609"/>
        <v/>
      </c>
      <c r="J321" s="32"/>
      <c r="K321" s="3"/>
      <c r="L321" s="39"/>
      <c r="M321" s="39"/>
      <c r="N321" s="39"/>
      <c r="O321" s="39"/>
      <c r="P321" s="39"/>
      <c r="Q321" s="39"/>
      <c r="R321" s="39"/>
      <c r="S321" s="39"/>
      <c r="T321" s="3" t="s">
        <v>645</v>
      </c>
      <c r="U321" s="77" t="str">
        <f t="shared" si="1610"/>
        <v/>
      </c>
      <c r="V321" s="39">
        <v>1</v>
      </c>
      <c r="W321" s="79">
        <f t="shared" si="1624"/>
        <v>0</v>
      </c>
      <c r="X321" s="3">
        <v>0</v>
      </c>
      <c r="Y321" s="77" t="str">
        <f t="shared" si="1611"/>
        <v/>
      </c>
      <c r="Z321" s="3"/>
      <c r="AA321" s="37" t="str">
        <f t="shared" si="1625"/>
        <v/>
      </c>
      <c r="AC321" s="40"/>
      <c r="AD321" s="7"/>
      <c r="AE321" s="77" t="str">
        <f t="shared" si="1612"/>
        <v/>
      </c>
      <c r="AF321" s="81">
        <f t="shared" si="1638"/>
        <v>0</v>
      </c>
      <c r="AG321" s="40"/>
      <c r="AH321" s="7"/>
      <c r="AI321" s="77" t="str">
        <f t="shared" si="1613"/>
        <v/>
      </c>
      <c r="AJ321" s="81">
        <f t="shared" si="1639"/>
        <v>0</v>
      </c>
      <c r="AK321" s="83">
        <f t="shared" si="1640"/>
        <v>0</v>
      </c>
      <c r="AL321" s="83">
        <f t="shared" si="1641"/>
        <v>0</v>
      </c>
      <c r="AN321" s="43">
        <f t="shared" si="1614"/>
        <v>0</v>
      </c>
      <c r="AP321" t="str">
        <f t="shared" si="1642"/>
        <v/>
      </c>
      <c r="AQ321" t="str">
        <f t="shared" si="1643"/>
        <v/>
      </c>
      <c r="AR321" t="str">
        <f t="shared" si="1644"/>
        <v/>
      </c>
      <c r="AS321" t="str">
        <f t="shared" si="1645"/>
        <v/>
      </c>
      <c r="AT321" t="str">
        <f t="shared" si="1646"/>
        <v/>
      </c>
      <c r="AU321" t="str">
        <f t="shared" si="1647"/>
        <v/>
      </c>
      <c r="AV321" t="str">
        <f t="shared" si="1648"/>
        <v/>
      </c>
      <c r="AW321" t="str">
        <f t="shared" si="1649"/>
        <v xml:space="preserve">                              </v>
      </c>
      <c r="AX321" s="23">
        <f t="shared" si="1650"/>
        <v>0</v>
      </c>
      <c r="AY321" s="49" t="str">
        <f t="shared" si="1626"/>
        <v>000000000000000</v>
      </c>
      <c r="AZ321" s="23">
        <f t="shared" si="1651"/>
        <v>0</v>
      </c>
      <c r="BA321" s="49" t="str">
        <f t="shared" si="1626"/>
        <v>000000000000000</v>
      </c>
      <c r="BB321" s="23">
        <f t="shared" si="1652"/>
        <v>0</v>
      </c>
      <c r="BC321" s="49" t="str">
        <f t="shared" ref="BC321" si="1977">IF(BB321&lt;0,SUBSTITUTE(TEXT(BB321,"000000000000,00"),",",""),SUBSTITUTE(TEXT(BB321,"0000000000000,00"),",",""))</f>
        <v>000000000000000</v>
      </c>
      <c r="BD321" s="23">
        <f t="shared" si="1654"/>
        <v>0</v>
      </c>
      <c r="BE321" s="49" t="str">
        <f t="shared" ref="BE321" si="1978">IF(BD321&lt;0,SUBSTITUTE(TEXT(BD321,"000000000000,00"),",",""),SUBSTITUTE(TEXT(BD321,"0000000000000,00"),",",""))</f>
        <v>000000000000000</v>
      </c>
      <c r="BF321" s="23">
        <f t="shared" si="1656"/>
        <v>0</v>
      </c>
      <c r="BG321" s="49" t="str">
        <f t="shared" ref="BG321" si="1979">IF(BF321&lt;0,SUBSTITUTE(TEXT(BF321,"000000000000,00"),",",""),SUBSTITUTE(TEXT(BF321,"0000000000000,00"),",",""))</f>
        <v>000000000000000</v>
      </c>
      <c r="BH321" s="23">
        <f t="shared" si="1658"/>
        <v>0</v>
      </c>
      <c r="BI321" s="49" t="str">
        <f t="shared" ref="BI321" si="1980">IF(BH321&lt;0,SUBSTITUTE(TEXT(BH321,"000000000000,00"),",",""),SUBSTITUTE(TEXT(BH321,"0000000000000,00"),",",""))</f>
        <v>000000000000000</v>
      </c>
      <c r="BJ321" s="23">
        <f t="shared" si="1660"/>
        <v>0</v>
      </c>
      <c r="BK321" s="49" t="str">
        <f t="shared" ref="BK321" si="1981">IF(BJ321&lt;0,SUBSTITUTE(TEXT(BJ321,"000000000000,00"),",",""),SUBSTITUTE(TEXT(BJ321,"0000000000000,00"),",",""))</f>
        <v>000000000000000</v>
      </c>
      <c r="BL321" s="23">
        <f t="shared" si="1662"/>
        <v>0</v>
      </c>
      <c r="BM321" s="49" t="str">
        <f t="shared" ref="BM321" si="1982">IF(BL321&lt;0,SUBSTITUTE(TEXT(BL321,"000000000000,00"),",",""),SUBSTITUTE(TEXT(BL321,"0000000000000,00"),",",""))</f>
        <v>000000000000000</v>
      </c>
      <c r="BN321" t="str">
        <f t="shared" si="1664"/>
        <v>PES</v>
      </c>
      <c r="BO321" t="str">
        <f t="shared" si="1665"/>
        <v>0001000000</v>
      </c>
      <c r="BP321">
        <f t="shared" si="1666"/>
        <v>0</v>
      </c>
      <c r="BQ321">
        <f t="shared" si="1667"/>
        <v>0</v>
      </c>
      <c r="BR321" s="23">
        <f t="shared" si="1668"/>
        <v>0</v>
      </c>
      <c r="BS321" s="49" t="str">
        <f t="shared" si="1633"/>
        <v>000000000000000</v>
      </c>
      <c r="BT321" t="str">
        <f t="shared" si="1669"/>
        <v>00000000</v>
      </c>
      <c r="BU321" s="23">
        <f t="shared" si="1670"/>
        <v>0</v>
      </c>
      <c r="BV321" s="49" t="str">
        <f t="shared" si="1634"/>
        <v/>
      </c>
      <c r="BW321" s="52" t="str">
        <f t="shared" si="1671"/>
        <v/>
      </c>
      <c r="BX321" s="23">
        <f t="shared" si="1672"/>
        <v>0</v>
      </c>
      <c r="BY321" s="49" t="str">
        <f t="shared" si="1635"/>
        <v/>
      </c>
      <c r="BZ321" s="23">
        <f t="shared" si="1673"/>
        <v>0</v>
      </c>
      <c r="CA321" s="49" t="str">
        <f t="shared" si="1636"/>
        <v/>
      </c>
      <c r="CB321" s="52" t="str">
        <f t="shared" si="1674"/>
        <v/>
      </c>
      <c r="CC321" s="23">
        <f t="shared" si="1675"/>
        <v>0</v>
      </c>
      <c r="CD321" s="49" t="str">
        <f t="shared" si="1637"/>
        <v/>
      </c>
      <c r="CE321" s="56" t="str">
        <f>IF(CF321="","",MAX(CE$10:$CE320)+1)</f>
        <v/>
      </c>
      <c r="CF321" t="str">
        <f t="shared" si="1676"/>
        <v/>
      </c>
      <c r="CG321" s="22" t="str">
        <f>IF(CH321="","",MAX($CG$10:CG320)+1)</f>
        <v/>
      </c>
      <c r="CH321" s="22" t="str">
        <f t="shared" si="1621"/>
        <v/>
      </c>
      <c r="CI321" s="22" t="str">
        <f>IF(CJ321="","",MAX($CI$10:CI320)+1)</f>
        <v/>
      </c>
      <c r="CJ321" s="22" t="str">
        <f t="shared" si="1622"/>
        <v/>
      </c>
    </row>
    <row r="322" spans="2:88" x14ac:dyDescent="0.25">
      <c r="B322" s="37"/>
      <c r="C322" s="3"/>
      <c r="D322" s="77" t="str">
        <f t="shared" si="1608"/>
        <v/>
      </c>
      <c r="E322" s="38"/>
      <c r="F322" s="38"/>
      <c r="G322" s="78">
        <f t="shared" si="1623"/>
        <v>0</v>
      </c>
      <c r="H322" s="3">
        <v>80</v>
      </c>
      <c r="I322" s="77" t="str">
        <f t="shared" si="1609"/>
        <v/>
      </c>
      <c r="J322" s="32"/>
      <c r="K322" s="3"/>
      <c r="L322" s="39"/>
      <c r="M322" s="39"/>
      <c r="N322" s="39"/>
      <c r="O322" s="39"/>
      <c r="P322" s="39"/>
      <c r="Q322" s="39"/>
      <c r="R322" s="39"/>
      <c r="S322" s="39"/>
      <c r="T322" s="3" t="s">
        <v>645</v>
      </c>
      <c r="U322" s="77" t="str">
        <f t="shared" si="1610"/>
        <v/>
      </c>
      <c r="V322" s="39">
        <v>1</v>
      </c>
      <c r="W322" s="79">
        <f t="shared" si="1624"/>
        <v>0</v>
      </c>
      <c r="X322" s="3">
        <v>0</v>
      </c>
      <c r="Y322" s="77" t="str">
        <f t="shared" si="1611"/>
        <v/>
      </c>
      <c r="Z322" s="3"/>
      <c r="AA322" s="37" t="str">
        <f t="shared" si="1625"/>
        <v/>
      </c>
      <c r="AC322" s="40"/>
      <c r="AD322" s="7"/>
      <c r="AE322" s="77" t="str">
        <f t="shared" si="1612"/>
        <v/>
      </c>
      <c r="AF322" s="81">
        <f t="shared" si="1638"/>
        <v>0</v>
      </c>
      <c r="AG322" s="40"/>
      <c r="AH322" s="7"/>
      <c r="AI322" s="77" t="str">
        <f t="shared" si="1613"/>
        <v/>
      </c>
      <c r="AJ322" s="81">
        <f t="shared" si="1639"/>
        <v>0</v>
      </c>
      <c r="AK322" s="83">
        <f t="shared" si="1640"/>
        <v>0</v>
      </c>
      <c r="AL322" s="83">
        <f t="shared" si="1641"/>
        <v>0</v>
      </c>
      <c r="AN322" s="43">
        <f t="shared" si="1614"/>
        <v>0</v>
      </c>
      <c r="AP322" t="str">
        <f t="shared" si="1642"/>
        <v/>
      </c>
      <c r="AQ322" t="str">
        <f t="shared" si="1643"/>
        <v/>
      </c>
      <c r="AR322" t="str">
        <f t="shared" si="1644"/>
        <v/>
      </c>
      <c r="AS322" t="str">
        <f t="shared" si="1645"/>
        <v/>
      </c>
      <c r="AT322" t="str">
        <f t="shared" si="1646"/>
        <v/>
      </c>
      <c r="AU322" t="str">
        <f t="shared" si="1647"/>
        <v/>
      </c>
      <c r="AV322" t="str">
        <f t="shared" si="1648"/>
        <v/>
      </c>
      <c r="AW322" t="str">
        <f t="shared" si="1649"/>
        <v xml:space="preserve">                              </v>
      </c>
      <c r="AX322" s="23">
        <f t="shared" si="1650"/>
        <v>0</v>
      </c>
      <c r="AY322" s="49" t="str">
        <f t="shared" si="1626"/>
        <v>000000000000000</v>
      </c>
      <c r="AZ322" s="23">
        <f t="shared" si="1651"/>
        <v>0</v>
      </c>
      <c r="BA322" s="49" t="str">
        <f t="shared" si="1626"/>
        <v>000000000000000</v>
      </c>
      <c r="BB322" s="23">
        <f t="shared" si="1652"/>
        <v>0</v>
      </c>
      <c r="BC322" s="49" t="str">
        <f t="shared" ref="BC322" si="1983">IF(BB322&lt;0,SUBSTITUTE(TEXT(BB322,"000000000000,00"),",",""),SUBSTITUTE(TEXT(BB322,"0000000000000,00"),",",""))</f>
        <v>000000000000000</v>
      </c>
      <c r="BD322" s="23">
        <f t="shared" si="1654"/>
        <v>0</v>
      </c>
      <c r="BE322" s="49" t="str">
        <f t="shared" ref="BE322" si="1984">IF(BD322&lt;0,SUBSTITUTE(TEXT(BD322,"000000000000,00"),",",""),SUBSTITUTE(TEXT(BD322,"0000000000000,00"),",",""))</f>
        <v>000000000000000</v>
      </c>
      <c r="BF322" s="23">
        <f t="shared" si="1656"/>
        <v>0</v>
      </c>
      <c r="BG322" s="49" t="str">
        <f t="shared" ref="BG322" si="1985">IF(BF322&lt;0,SUBSTITUTE(TEXT(BF322,"000000000000,00"),",",""),SUBSTITUTE(TEXT(BF322,"0000000000000,00"),",",""))</f>
        <v>000000000000000</v>
      </c>
      <c r="BH322" s="23">
        <f t="shared" si="1658"/>
        <v>0</v>
      </c>
      <c r="BI322" s="49" t="str">
        <f t="shared" ref="BI322" si="1986">IF(BH322&lt;0,SUBSTITUTE(TEXT(BH322,"000000000000,00"),",",""),SUBSTITUTE(TEXT(BH322,"0000000000000,00"),",",""))</f>
        <v>000000000000000</v>
      </c>
      <c r="BJ322" s="23">
        <f t="shared" si="1660"/>
        <v>0</v>
      </c>
      <c r="BK322" s="49" t="str">
        <f t="shared" ref="BK322" si="1987">IF(BJ322&lt;0,SUBSTITUTE(TEXT(BJ322,"000000000000,00"),",",""),SUBSTITUTE(TEXT(BJ322,"0000000000000,00"),",",""))</f>
        <v>000000000000000</v>
      </c>
      <c r="BL322" s="23">
        <f t="shared" si="1662"/>
        <v>0</v>
      </c>
      <c r="BM322" s="49" t="str">
        <f t="shared" ref="BM322" si="1988">IF(BL322&lt;0,SUBSTITUTE(TEXT(BL322,"000000000000,00"),",",""),SUBSTITUTE(TEXT(BL322,"0000000000000,00"),",",""))</f>
        <v>000000000000000</v>
      </c>
      <c r="BN322" t="str">
        <f t="shared" si="1664"/>
        <v>PES</v>
      </c>
      <c r="BO322" t="str">
        <f t="shared" si="1665"/>
        <v>0001000000</v>
      </c>
      <c r="BP322">
        <f t="shared" si="1666"/>
        <v>0</v>
      </c>
      <c r="BQ322">
        <f t="shared" si="1667"/>
        <v>0</v>
      </c>
      <c r="BR322" s="23">
        <f t="shared" si="1668"/>
        <v>0</v>
      </c>
      <c r="BS322" s="49" t="str">
        <f t="shared" si="1633"/>
        <v>000000000000000</v>
      </c>
      <c r="BT322" t="str">
        <f t="shared" si="1669"/>
        <v>00000000</v>
      </c>
      <c r="BU322" s="23">
        <f t="shared" si="1670"/>
        <v>0</v>
      </c>
      <c r="BV322" s="49" t="str">
        <f t="shared" si="1634"/>
        <v/>
      </c>
      <c r="BW322" s="52" t="str">
        <f t="shared" si="1671"/>
        <v/>
      </c>
      <c r="BX322" s="23">
        <f t="shared" si="1672"/>
        <v>0</v>
      </c>
      <c r="BY322" s="49" t="str">
        <f t="shared" si="1635"/>
        <v/>
      </c>
      <c r="BZ322" s="23">
        <f t="shared" si="1673"/>
        <v>0</v>
      </c>
      <c r="CA322" s="49" t="str">
        <f t="shared" si="1636"/>
        <v/>
      </c>
      <c r="CB322" s="52" t="str">
        <f t="shared" si="1674"/>
        <v/>
      </c>
      <c r="CC322" s="23">
        <f t="shared" si="1675"/>
        <v>0</v>
      </c>
      <c r="CD322" s="49" t="str">
        <f t="shared" si="1637"/>
        <v/>
      </c>
      <c r="CE322" s="56" t="str">
        <f>IF(CF322="","",MAX(CE$10:$CE321)+1)</f>
        <v/>
      </c>
      <c r="CF322" t="str">
        <f t="shared" si="1676"/>
        <v/>
      </c>
      <c r="CG322" s="22" t="str">
        <f>IF(CH322="","",MAX($CG$10:CG321)+1)</f>
        <v/>
      </c>
      <c r="CH322" s="22" t="str">
        <f t="shared" si="1621"/>
        <v/>
      </c>
      <c r="CI322" s="22" t="str">
        <f>IF(CJ322="","",MAX($CI$10:CI321)+1)</f>
        <v/>
      </c>
      <c r="CJ322" s="22" t="str">
        <f t="shared" si="1622"/>
        <v/>
      </c>
    </row>
    <row r="323" spans="2:88" x14ac:dyDescent="0.25">
      <c r="B323" s="37"/>
      <c r="C323" s="3"/>
      <c r="D323" s="77" t="str">
        <f t="shared" si="1608"/>
        <v/>
      </c>
      <c r="E323" s="38"/>
      <c r="F323" s="38"/>
      <c r="G323" s="78">
        <f t="shared" si="1623"/>
        <v>0</v>
      </c>
      <c r="H323" s="3">
        <v>80</v>
      </c>
      <c r="I323" s="77" t="str">
        <f t="shared" si="1609"/>
        <v/>
      </c>
      <c r="J323" s="32"/>
      <c r="K323" s="3"/>
      <c r="L323" s="39"/>
      <c r="M323" s="39"/>
      <c r="N323" s="39"/>
      <c r="O323" s="39"/>
      <c r="P323" s="39"/>
      <c r="Q323" s="39"/>
      <c r="R323" s="39"/>
      <c r="S323" s="39"/>
      <c r="T323" s="3" t="s">
        <v>645</v>
      </c>
      <c r="U323" s="77" t="str">
        <f t="shared" si="1610"/>
        <v/>
      </c>
      <c r="V323" s="39">
        <v>1</v>
      </c>
      <c r="W323" s="79">
        <f t="shared" si="1624"/>
        <v>0</v>
      </c>
      <c r="X323" s="3">
        <v>0</v>
      </c>
      <c r="Y323" s="77" t="str">
        <f t="shared" si="1611"/>
        <v/>
      </c>
      <c r="Z323" s="3"/>
      <c r="AA323" s="37" t="str">
        <f t="shared" si="1625"/>
        <v/>
      </c>
      <c r="AC323" s="40"/>
      <c r="AD323" s="7"/>
      <c r="AE323" s="77" t="str">
        <f t="shared" si="1612"/>
        <v/>
      </c>
      <c r="AF323" s="81">
        <f t="shared" si="1638"/>
        <v>0</v>
      </c>
      <c r="AG323" s="40"/>
      <c r="AH323" s="7"/>
      <c r="AI323" s="77" t="str">
        <f t="shared" si="1613"/>
        <v/>
      </c>
      <c r="AJ323" s="81">
        <f t="shared" si="1639"/>
        <v>0</v>
      </c>
      <c r="AK323" s="83">
        <f t="shared" si="1640"/>
        <v>0</v>
      </c>
      <c r="AL323" s="83">
        <f t="shared" si="1641"/>
        <v>0</v>
      </c>
      <c r="AN323" s="43">
        <f t="shared" si="1614"/>
        <v>0</v>
      </c>
      <c r="AP323" t="str">
        <f t="shared" si="1642"/>
        <v/>
      </c>
      <c r="AQ323" t="str">
        <f t="shared" si="1643"/>
        <v/>
      </c>
      <c r="AR323" t="str">
        <f t="shared" si="1644"/>
        <v/>
      </c>
      <c r="AS323" t="str">
        <f t="shared" si="1645"/>
        <v/>
      </c>
      <c r="AT323" t="str">
        <f t="shared" si="1646"/>
        <v/>
      </c>
      <c r="AU323" t="str">
        <f t="shared" si="1647"/>
        <v/>
      </c>
      <c r="AV323" t="str">
        <f t="shared" si="1648"/>
        <v/>
      </c>
      <c r="AW323" t="str">
        <f t="shared" si="1649"/>
        <v xml:space="preserve">                              </v>
      </c>
      <c r="AX323" s="23">
        <f t="shared" si="1650"/>
        <v>0</v>
      </c>
      <c r="AY323" s="49" t="str">
        <f t="shared" si="1626"/>
        <v>000000000000000</v>
      </c>
      <c r="AZ323" s="23">
        <f t="shared" si="1651"/>
        <v>0</v>
      </c>
      <c r="BA323" s="49" t="str">
        <f t="shared" si="1626"/>
        <v>000000000000000</v>
      </c>
      <c r="BB323" s="23">
        <f t="shared" si="1652"/>
        <v>0</v>
      </c>
      <c r="BC323" s="49" t="str">
        <f t="shared" ref="BC323" si="1989">IF(BB323&lt;0,SUBSTITUTE(TEXT(BB323,"000000000000,00"),",",""),SUBSTITUTE(TEXT(BB323,"0000000000000,00"),",",""))</f>
        <v>000000000000000</v>
      </c>
      <c r="BD323" s="23">
        <f t="shared" si="1654"/>
        <v>0</v>
      </c>
      <c r="BE323" s="49" t="str">
        <f t="shared" ref="BE323" si="1990">IF(BD323&lt;0,SUBSTITUTE(TEXT(BD323,"000000000000,00"),",",""),SUBSTITUTE(TEXT(BD323,"0000000000000,00"),",",""))</f>
        <v>000000000000000</v>
      </c>
      <c r="BF323" s="23">
        <f t="shared" si="1656"/>
        <v>0</v>
      </c>
      <c r="BG323" s="49" t="str">
        <f t="shared" ref="BG323" si="1991">IF(BF323&lt;0,SUBSTITUTE(TEXT(BF323,"000000000000,00"),",",""),SUBSTITUTE(TEXT(BF323,"0000000000000,00"),",",""))</f>
        <v>000000000000000</v>
      </c>
      <c r="BH323" s="23">
        <f t="shared" si="1658"/>
        <v>0</v>
      </c>
      <c r="BI323" s="49" t="str">
        <f t="shared" ref="BI323" si="1992">IF(BH323&lt;0,SUBSTITUTE(TEXT(BH323,"000000000000,00"),",",""),SUBSTITUTE(TEXT(BH323,"0000000000000,00"),",",""))</f>
        <v>000000000000000</v>
      </c>
      <c r="BJ323" s="23">
        <f t="shared" si="1660"/>
        <v>0</v>
      </c>
      <c r="BK323" s="49" t="str">
        <f t="shared" ref="BK323" si="1993">IF(BJ323&lt;0,SUBSTITUTE(TEXT(BJ323,"000000000000,00"),",",""),SUBSTITUTE(TEXT(BJ323,"0000000000000,00"),",",""))</f>
        <v>000000000000000</v>
      </c>
      <c r="BL323" s="23">
        <f t="shared" si="1662"/>
        <v>0</v>
      </c>
      <c r="BM323" s="49" t="str">
        <f t="shared" ref="BM323" si="1994">IF(BL323&lt;0,SUBSTITUTE(TEXT(BL323,"000000000000,00"),",",""),SUBSTITUTE(TEXT(BL323,"0000000000000,00"),",",""))</f>
        <v>000000000000000</v>
      </c>
      <c r="BN323" t="str">
        <f t="shared" si="1664"/>
        <v>PES</v>
      </c>
      <c r="BO323" t="str">
        <f t="shared" si="1665"/>
        <v>0001000000</v>
      </c>
      <c r="BP323">
        <f t="shared" si="1666"/>
        <v>0</v>
      </c>
      <c r="BQ323">
        <f t="shared" si="1667"/>
        <v>0</v>
      </c>
      <c r="BR323" s="23">
        <f t="shared" si="1668"/>
        <v>0</v>
      </c>
      <c r="BS323" s="49" t="str">
        <f t="shared" si="1633"/>
        <v>000000000000000</v>
      </c>
      <c r="BT323" t="str">
        <f t="shared" si="1669"/>
        <v>00000000</v>
      </c>
      <c r="BU323" s="23">
        <f t="shared" si="1670"/>
        <v>0</v>
      </c>
      <c r="BV323" s="49" t="str">
        <f t="shared" si="1634"/>
        <v/>
      </c>
      <c r="BW323" s="52" t="str">
        <f t="shared" si="1671"/>
        <v/>
      </c>
      <c r="BX323" s="23">
        <f t="shared" si="1672"/>
        <v>0</v>
      </c>
      <c r="BY323" s="49" t="str">
        <f t="shared" si="1635"/>
        <v/>
      </c>
      <c r="BZ323" s="23">
        <f t="shared" si="1673"/>
        <v>0</v>
      </c>
      <c r="CA323" s="49" t="str">
        <f t="shared" si="1636"/>
        <v/>
      </c>
      <c r="CB323" s="52" t="str">
        <f t="shared" si="1674"/>
        <v/>
      </c>
      <c r="CC323" s="23">
        <f t="shared" si="1675"/>
        <v>0</v>
      </c>
      <c r="CD323" s="49" t="str">
        <f t="shared" si="1637"/>
        <v/>
      </c>
      <c r="CE323" s="56" t="str">
        <f>IF(CF323="","",MAX(CE$10:$CE322)+1)</f>
        <v/>
      </c>
      <c r="CF323" t="str">
        <f t="shared" si="1676"/>
        <v/>
      </c>
      <c r="CG323" s="22" t="str">
        <f>IF(CH323="","",MAX($CG$10:CG322)+1)</f>
        <v/>
      </c>
      <c r="CH323" s="22" t="str">
        <f t="shared" si="1621"/>
        <v/>
      </c>
      <c r="CI323" s="22" t="str">
        <f>IF(CJ323="","",MAX($CI$10:CI322)+1)</f>
        <v/>
      </c>
      <c r="CJ323" s="22" t="str">
        <f t="shared" si="1622"/>
        <v/>
      </c>
    </row>
    <row r="324" spans="2:88" x14ac:dyDescent="0.25">
      <c r="B324" s="37"/>
      <c r="C324" s="3"/>
      <c r="D324" s="77" t="str">
        <f t="shared" si="1608"/>
        <v/>
      </c>
      <c r="E324" s="38"/>
      <c r="F324" s="38"/>
      <c r="G324" s="78">
        <f t="shared" si="1623"/>
        <v>0</v>
      </c>
      <c r="H324" s="3">
        <v>80</v>
      </c>
      <c r="I324" s="77" t="str">
        <f t="shared" si="1609"/>
        <v/>
      </c>
      <c r="J324" s="32"/>
      <c r="K324" s="3"/>
      <c r="L324" s="39"/>
      <c r="M324" s="39"/>
      <c r="N324" s="39"/>
      <c r="O324" s="39"/>
      <c r="P324" s="39"/>
      <c r="Q324" s="39"/>
      <c r="R324" s="39"/>
      <c r="S324" s="39"/>
      <c r="T324" s="3" t="s">
        <v>645</v>
      </c>
      <c r="U324" s="77" t="str">
        <f t="shared" si="1610"/>
        <v/>
      </c>
      <c r="V324" s="39">
        <v>1</v>
      </c>
      <c r="W324" s="79">
        <f t="shared" si="1624"/>
        <v>0</v>
      </c>
      <c r="X324" s="3">
        <v>0</v>
      </c>
      <c r="Y324" s="77" t="str">
        <f t="shared" si="1611"/>
        <v/>
      </c>
      <c r="Z324" s="3"/>
      <c r="AA324" s="37" t="str">
        <f t="shared" si="1625"/>
        <v/>
      </c>
      <c r="AC324" s="40"/>
      <c r="AD324" s="7"/>
      <c r="AE324" s="77" t="str">
        <f t="shared" si="1612"/>
        <v/>
      </c>
      <c r="AF324" s="81">
        <f t="shared" si="1638"/>
        <v>0</v>
      </c>
      <c r="AG324" s="40"/>
      <c r="AH324" s="7"/>
      <c r="AI324" s="77" t="str">
        <f t="shared" si="1613"/>
        <v/>
      </c>
      <c r="AJ324" s="81">
        <f t="shared" si="1639"/>
        <v>0</v>
      </c>
      <c r="AK324" s="83">
        <f t="shared" si="1640"/>
        <v>0</v>
      </c>
      <c r="AL324" s="83">
        <f t="shared" si="1641"/>
        <v>0</v>
      </c>
      <c r="AN324" s="43">
        <f t="shared" si="1614"/>
        <v>0</v>
      </c>
      <c r="AP324" t="str">
        <f t="shared" si="1642"/>
        <v/>
      </c>
      <c r="AQ324" t="str">
        <f t="shared" si="1643"/>
        <v/>
      </c>
      <c r="AR324" t="str">
        <f t="shared" si="1644"/>
        <v/>
      </c>
      <c r="AS324" t="str">
        <f t="shared" si="1645"/>
        <v/>
      </c>
      <c r="AT324" t="str">
        <f t="shared" si="1646"/>
        <v/>
      </c>
      <c r="AU324" t="str">
        <f t="shared" si="1647"/>
        <v/>
      </c>
      <c r="AV324" t="str">
        <f t="shared" si="1648"/>
        <v/>
      </c>
      <c r="AW324" t="str">
        <f t="shared" si="1649"/>
        <v xml:space="preserve">                              </v>
      </c>
      <c r="AX324" s="23">
        <f t="shared" si="1650"/>
        <v>0</v>
      </c>
      <c r="AY324" s="49" t="str">
        <f t="shared" si="1626"/>
        <v>000000000000000</v>
      </c>
      <c r="AZ324" s="23">
        <f t="shared" si="1651"/>
        <v>0</v>
      </c>
      <c r="BA324" s="49" t="str">
        <f t="shared" si="1626"/>
        <v>000000000000000</v>
      </c>
      <c r="BB324" s="23">
        <f t="shared" si="1652"/>
        <v>0</v>
      </c>
      <c r="BC324" s="49" t="str">
        <f t="shared" ref="BC324" si="1995">IF(BB324&lt;0,SUBSTITUTE(TEXT(BB324,"000000000000,00"),",",""),SUBSTITUTE(TEXT(BB324,"0000000000000,00"),",",""))</f>
        <v>000000000000000</v>
      </c>
      <c r="BD324" s="23">
        <f t="shared" si="1654"/>
        <v>0</v>
      </c>
      <c r="BE324" s="49" t="str">
        <f t="shared" ref="BE324" si="1996">IF(BD324&lt;0,SUBSTITUTE(TEXT(BD324,"000000000000,00"),",",""),SUBSTITUTE(TEXT(BD324,"0000000000000,00"),",",""))</f>
        <v>000000000000000</v>
      </c>
      <c r="BF324" s="23">
        <f t="shared" si="1656"/>
        <v>0</v>
      </c>
      <c r="BG324" s="49" t="str">
        <f t="shared" ref="BG324" si="1997">IF(BF324&lt;0,SUBSTITUTE(TEXT(BF324,"000000000000,00"),",",""),SUBSTITUTE(TEXT(BF324,"0000000000000,00"),",",""))</f>
        <v>000000000000000</v>
      </c>
      <c r="BH324" s="23">
        <f t="shared" si="1658"/>
        <v>0</v>
      </c>
      <c r="BI324" s="49" t="str">
        <f t="shared" ref="BI324" si="1998">IF(BH324&lt;0,SUBSTITUTE(TEXT(BH324,"000000000000,00"),",",""),SUBSTITUTE(TEXT(BH324,"0000000000000,00"),",",""))</f>
        <v>000000000000000</v>
      </c>
      <c r="BJ324" s="23">
        <f t="shared" si="1660"/>
        <v>0</v>
      </c>
      <c r="BK324" s="49" t="str">
        <f t="shared" ref="BK324" si="1999">IF(BJ324&lt;0,SUBSTITUTE(TEXT(BJ324,"000000000000,00"),",",""),SUBSTITUTE(TEXT(BJ324,"0000000000000,00"),",",""))</f>
        <v>000000000000000</v>
      </c>
      <c r="BL324" s="23">
        <f t="shared" si="1662"/>
        <v>0</v>
      </c>
      <c r="BM324" s="49" t="str">
        <f t="shared" ref="BM324" si="2000">IF(BL324&lt;0,SUBSTITUTE(TEXT(BL324,"000000000000,00"),",",""),SUBSTITUTE(TEXT(BL324,"0000000000000,00"),",",""))</f>
        <v>000000000000000</v>
      </c>
      <c r="BN324" t="str">
        <f t="shared" si="1664"/>
        <v>PES</v>
      </c>
      <c r="BO324" t="str">
        <f t="shared" si="1665"/>
        <v>0001000000</v>
      </c>
      <c r="BP324">
        <f t="shared" si="1666"/>
        <v>0</v>
      </c>
      <c r="BQ324">
        <f t="shared" si="1667"/>
        <v>0</v>
      </c>
      <c r="BR324" s="23">
        <f t="shared" si="1668"/>
        <v>0</v>
      </c>
      <c r="BS324" s="49" t="str">
        <f t="shared" si="1633"/>
        <v>000000000000000</v>
      </c>
      <c r="BT324" t="str">
        <f t="shared" si="1669"/>
        <v>00000000</v>
      </c>
      <c r="BU324" s="23">
        <f t="shared" si="1670"/>
        <v>0</v>
      </c>
      <c r="BV324" s="49" t="str">
        <f t="shared" si="1634"/>
        <v/>
      </c>
      <c r="BW324" s="52" t="str">
        <f t="shared" si="1671"/>
        <v/>
      </c>
      <c r="BX324" s="23">
        <f t="shared" si="1672"/>
        <v>0</v>
      </c>
      <c r="BY324" s="49" t="str">
        <f t="shared" si="1635"/>
        <v/>
      </c>
      <c r="BZ324" s="23">
        <f t="shared" si="1673"/>
        <v>0</v>
      </c>
      <c r="CA324" s="49" t="str">
        <f t="shared" si="1636"/>
        <v/>
      </c>
      <c r="CB324" s="52" t="str">
        <f t="shared" si="1674"/>
        <v/>
      </c>
      <c r="CC324" s="23">
        <f t="shared" si="1675"/>
        <v>0</v>
      </c>
      <c r="CD324" s="49" t="str">
        <f t="shared" si="1637"/>
        <v/>
      </c>
      <c r="CE324" s="56" t="str">
        <f>IF(CF324="","",MAX(CE$10:$CE323)+1)</f>
        <v/>
      </c>
      <c r="CF324" t="str">
        <f t="shared" si="1676"/>
        <v/>
      </c>
      <c r="CG324" s="22" t="str">
        <f>IF(CH324="","",MAX($CG$10:CG323)+1)</f>
        <v/>
      </c>
      <c r="CH324" s="22" t="str">
        <f t="shared" si="1621"/>
        <v/>
      </c>
      <c r="CI324" s="22" t="str">
        <f>IF(CJ324="","",MAX($CI$10:CI323)+1)</f>
        <v/>
      </c>
      <c r="CJ324" s="22" t="str">
        <f t="shared" si="1622"/>
        <v/>
      </c>
    </row>
    <row r="325" spans="2:88" x14ac:dyDescent="0.25">
      <c r="B325" s="37"/>
      <c r="C325" s="3"/>
      <c r="D325" s="77" t="str">
        <f t="shared" si="1608"/>
        <v/>
      </c>
      <c r="E325" s="38"/>
      <c r="F325" s="38"/>
      <c r="G325" s="78">
        <f t="shared" si="1623"/>
        <v>0</v>
      </c>
      <c r="H325" s="3">
        <v>80</v>
      </c>
      <c r="I325" s="77" t="str">
        <f t="shared" si="1609"/>
        <v/>
      </c>
      <c r="J325" s="32"/>
      <c r="K325" s="3"/>
      <c r="L325" s="39"/>
      <c r="M325" s="39"/>
      <c r="N325" s="39"/>
      <c r="O325" s="39"/>
      <c r="P325" s="39"/>
      <c r="Q325" s="39"/>
      <c r="R325" s="39"/>
      <c r="S325" s="39"/>
      <c r="T325" s="3" t="s">
        <v>645</v>
      </c>
      <c r="U325" s="77" t="str">
        <f t="shared" si="1610"/>
        <v/>
      </c>
      <c r="V325" s="39">
        <v>1</v>
      </c>
      <c r="W325" s="79">
        <f t="shared" si="1624"/>
        <v>0</v>
      </c>
      <c r="X325" s="3">
        <v>0</v>
      </c>
      <c r="Y325" s="77" t="str">
        <f t="shared" si="1611"/>
        <v/>
      </c>
      <c r="Z325" s="3"/>
      <c r="AA325" s="37" t="str">
        <f t="shared" si="1625"/>
        <v/>
      </c>
      <c r="AC325" s="40"/>
      <c r="AD325" s="7"/>
      <c r="AE325" s="77" t="str">
        <f t="shared" si="1612"/>
        <v/>
      </c>
      <c r="AF325" s="81">
        <f t="shared" si="1638"/>
        <v>0</v>
      </c>
      <c r="AG325" s="40"/>
      <c r="AH325" s="7"/>
      <c r="AI325" s="77" t="str">
        <f t="shared" si="1613"/>
        <v/>
      </c>
      <c r="AJ325" s="81">
        <f t="shared" si="1639"/>
        <v>0</v>
      </c>
      <c r="AK325" s="83">
        <f t="shared" si="1640"/>
        <v>0</v>
      </c>
      <c r="AL325" s="83">
        <f t="shared" si="1641"/>
        <v>0</v>
      </c>
      <c r="AN325" s="43">
        <f t="shared" si="1614"/>
        <v>0</v>
      </c>
      <c r="AP325" t="str">
        <f t="shared" si="1642"/>
        <v/>
      </c>
      <c r="AQ325" t="str">
        <f t="shared" si="1643"/>
        <v/>
      </c>
      <c r="AR325" t="str">
        <f t="shared" si="1644"/>
        <v/>
      </c>
      <c r="AS325" t="str">
        <f t="shared" si="1645"/>
        <v/>
      </c>
      <c r="AT325" t="str">
        <f t="shared" si="1646"/>
        <v/>
      </c>
      <c r="AU325" t="str">
        <f t="shared" si="1647"/>
        <v/>
      </c>
      <c r="AV325" t="str">
        <f t="shared" si="1648"/>
        <v/>
      </c>
      <c r="AW325" t="str">
        <f t="shared" si="1649"/>
        <v xml:space="preserve">                              </v>
      </c>
      <c r="AX325" s="23">
        <f t="shared" si="1650"/>
        <v>0</v>
      </c>
      <c r="AY325" s="49" t="str">
        <f t="shared" si="1626"/>
        <v>000000000000000</v>
      </c>
      <c r="AZ325" s="23">
        <f t="shared" si="1651"/>
        <v>0</v>
      </c>
      <c r="BA325" s="49" t="str">
        <f t="shared" si="1626"/>
        <v>000000000000000</v>
      </c>
      <c r="BB325" s="23">
        <f t="shared" si="1652"/>
        <v>0</v>
      </c>
      <c r="BC325" s="49" t="str">
        <f t="shared" ref="BC325" si="2001">IF(BB325&lt;0,SUBSTITUTE(TEXT(BB325,"000000000000,00"),",",""),SUBSTITUTE(TEXT(BB325,"0000000000000,00"),",",""))</f>
        <v>000000000000000</v>
      </c>
      <c r="BD325" s="23">
        <f t="shared" si="1654"/>
        <v>0</v>
      </c>
      <c r="BE325" s="49" t="str">
        <f t="shared" ref="BE325" si="2002">IF(BD325&lt;0,SUBSTITUTE(TEXT(BD325,"000000000000,00"),",",""),SUBSTITUTE(TEXT(BD325,"0000000000000,00"),",",""))</f>
        <v>000000000000000</v>
      </c>
      <c r="BF325" s="23">
        <f t="shared" si="1656"/>
        <v>0</v>
      </c>
      <c r="BG325" s="49" t="str">
        <f t="shared" ref="BG325" si="2003">IF(BF325&lt;0,SUBSTITUTE(TEXT(BF325,"000000000000,00"),",",""),SUBSTITUTE(TEXT(BF325,"0000000000000,00"),",",""))</f>
        <v>000000000000000</v>
      </c>
      <c r="BH325" s="23">
        <f t="shared" si="1658"/>
        <v>0</v>
      </c>
      <c r="BI325" s="49" t="str">
        <f t="shared" ref="BI325" si="2004">IF(BH325&lt;0,SUBSTITUTE(TEXT(BH325,"000000000000,00"),",",""),SUBSTITUTE(TEXT(BH325,"0000000000000,00"),",",""))</f>
        <v>000000000000000</v>
      </c>
      <c r="BJ325" s="23">
        <f t="shared" si="1660"/>
        <v>0</v>
      </c>
      <c r="BK325" s="49" t="str">
        <f t="shared" ref="BK325" si="2005">IF(BJ325&lt;0,SUBSTITUTE(TEXT(BJ325,"000000000000,00"),",",""),SUBSTITUTE(TEXT(BJ325,"0000000000000,00"),",",""))</f>
        <v>000000000000000</v>
      </c>
      <c r="BL325" s="23">
        <f t="shared" si="1662"/>
        <v>0</v>
      </c>
      <c r="BM325" s="49" t="str">
        <f t="shared" ref="BM325" si="2006">IF(BL325&lt;0,SUBSTITUTE(TEXT(BL325,"000000000000,00"),",",""),SUBSTITUTE(TEXT(BL325,"0000000000000,00"),",",""))</f>
        <v>000000000000000</v>
      </c>
      <c r="BN325" t="str">
        <f t="shared" si="1664"/>
        <v>PES</v>
      </c>
      <c r="BO325" t="str">
        <f t="shared" si="1665"/>
        <v>0001000000</v>
      </c>
      <c r="BP325">
        <f t="shared" si="1666"/>
        <v>0</v>
      </c>
      <c r="BQ325">
        <f t="shared" si="1667"/>
        <v>0</v>
      </c>
      <c r="BR325" s="23">
        <f t="shared" si="1668"/>
        <v>0</v>
      </c>
      <c r="BS325" s="49" t="str">
        <f t="shared" si="1633"/>
        <v>000000000000000</v>
      </c>
      <c r="BT325" t="str">
        <f t="shared" si="1669"/>
        <v>00000000</v>
      </c>
      <c r="BU325" s="23">
        <f t="shared" si="1670"/>
        <v>0</v>
      </c>
      <c r="BV325" s="49" t="str">
        <f t="shared" si="1634"/>
        <v/>
      </c>
      <c r="BW325" s="52" t="str">
        <f t="shared" si="1671"/>
        <v/>
      </c>
      <c r="BX325" s="23">
        <f t="shared" si="1672"/>
        <v>0</v>
      </c>
      <c r="BY325" s="49" t="str">
        <f t="shared" si="1635"/>
        <v/>
      </c>
      <c r="BZ325" s="23">
        <f t="shared" si="1673"/>
        <v>0</v>
      </c>
      <c r="CA325" s="49" t="str">
        <f t="shared" si="1636"/>
        <v/>
      </c>
      <c r="CB325" s="52" t="str">
        <f t="shared" si="1674"/>
        <v/>
      </c>
      <c r="CC325" s="23">
        <f t="shared" si="1675"/>
        <v>0</v>
      </c>
      <c r="CD325" s="49" t="str">
        <f t="shared" si="1637"/>
        <v/>
      </c>
      <c r="CE325" s="56" t="str">
        <f>IF(CF325="","",MAX(CE$10:$CE324)+1)</f>
        <v/>
      </c>
      <c r="CF325" t="str">
        <f t="shared" si="1676"/>
        <v/>
      </c>
      <c r="CG325" s="22" t="str">
        <f>IF(CH325="","",MAX($CG$10:CG324)+1)</f>
        <v/>
      </c>
      <c r="CH325" s="22" t="str">
        <f t="shared" si="1621"/>
        <v/>
      </c>
      <c r="CI325" s="22" t="str">
        <f>IF(CJ325="","",MAX($CI$10:CI324)+1)</f>
        <v/>
      </c>
      <c r="CJ325" s="22" t="str">
        <f t="shared" si="1622"/>
        <v/>
      </c>
    </row>
    <row r="326" spans="2:88" x14ac:dyDescent="0.25">
      <c r="B326" s="37"/>
      <c r="C326" s="3"/>
      <c r="D326" s="77" t="str">
        <f t="shared" si="1608"/>
        <v/>
      </c>
      <c r="E326" s="38"/>
      <c r="F326" s="38"/>
      <c r="G326" s="78">
        <f t="shared" si="1623"/>
        <v>0</v>
      </c>
      <c r="H326" s="3">
        <v>80</v>
      </c>
      <c r="I326" s="77" t="str">
        <f t="shared" si="1609"/>
        <v/>
      </c>
      <c r="J326" s="32"/>
      <c r="K326" s="3"/>
      <c r="L326" s="39"/>
      <c r="M326" s="39"/>
      <c r="N326" s="39"/>
      <c r="O326" s="39"/>
      <c r="P326" s="39"/>
      <c r="Q326" s="39"/>
      <c r="R326" s="39"/>
      <c r="S326" s="39"/>
      <c r="T326" s="3" t="s">
        <v>645</v>
      </c>
      <c r="U326" s="77" t="str">
        <f t="shared" si="1610"/>
        <v/>
      </c>
      <c r="V326" s="39">
        <v>1</v>
      </c>
      <c r="W326" s="79">
        <f t="shared" si="1624"/>
        <v>0</v>
      </c>
      <c r="X326" s="3">
        <v>0</v>
      </c>
      <c r="Y326" s="77" t="str">
        <f t="shared" si="1611"/>
        <v/>
      </c>
      <c r="Z326" s="3"/>
      <c r="AA326" s="37" t="str">
        <f t="shared" si="1625"/>
        <v/>
      </c>
      <c r="AC326" s="40"/>
      <c r="AD326" s="7"/>
      <c r="AE326" s="77" t="str">
        <f t="shared" si="1612"/>
        <v/>
      </c>
      <c r="AF326" s="81">
        <f t="shared" si="1638"/>
        <v>0</v>
      </c>
      <c r="AG326" s="40"/>
      <c r="AH326" s="7"/>
      <c r="AI326" s="77" t="str">
        <f t="shared" si="1613"/>
        <v/>
      </c>
      <c r="AJ326" s="81">
        <f t="shared" si="1639"/>
        <v>0</v>
      </c>
      <c r="AK326" s="83">
        <f t="shared" si="1640"/>
        <v>0</v>
      </c>
      <c r="AL326" s="83">
        <f t="shared" si="1641"/>
        <v>0</v>
      </c>
      <c r="AN326" s="43">
        <f t="shared" si="1614"/>
        <v>0</v>
      </c>
      <c r="AP326" t="str">
        <f t="shared" si="1642"/>
        <v/>
      </c>
      <c r="AQ326" t="str">
        <f t="shared" si="1643"/>
        <v/>
      </c>
      <c r="AR326" t="str">
        <f t="shared" si="1644"/>
        <v/>
      </c>
      <c r="AS326" t="str">
        <f t="shared" si="1645"/>
        <v/>
      </c>
      <c r="AT326" t="str">
        <f t="shared" si="1646"/>
        <v/>
      </c>
      <c r="AU326" t="str">
        <f t="shared" si="1647"/>
        <v/>
      </c>
      <c r="AV326" t="str">
        <f t="shared" si="1648"/>
        <v/>
      </c>
      <c r="AW326" t="str">
        <f t="shared" si="1649"/>
        <v xml:space="preserve">                              </v>
      </c>
      <c r="AX326" s="23">
        <f t="shared" si="1650"/>
        <v>0</v>
      </c>
      <c r="AY326" s="49" t="str">
        <f t="shared" si="1626"/>
        <v>000000000000000</v>
      </c>
      <c r="AZ326" s="23">
        <f t="shared" si="1651"/>
        <v>0</v>
      </c>
      <c r="BA326" s="49" t="str">
        <f t="shared" si="1626"/>
        <v>000000000000000</v>
      </c>
      <c r="BB326" s="23">
        <f t="shared" si="1652"/>
        <v>0</v>
      </c>
      <c r="BC326" s="49" t="str">
        <f t="shared" ref="BC326" si="2007">IF(BB326&lt;0,SUBSTITUTE(TEXT(BB326,"000000000000,00"),",",""),SUBSTITUTE(TEXT(BB326,"0000000000000,00"),",",""))</f>
        <v>000000000000000</v>
      </c>
      <c r="BD326" s="23">
        <f t="shared" si="1654"/>
        <v>0</v>
      </c>
      <c r="BE326" s="49" t="str">
        <f t="shared" ref="BE326" si="2008">IF(BD326&lt;0,SUBSTITUTE(TEXT(BD326,"000000000000,00"),",",""),SUBSTITUTE(TEXT(BD326,"0000000000000,00"),",",""))</f>
        <v>000000000000000</v>
      </c>
      <c r="BF326" s="23">
        <f t="shared" si="1656"/>
        <v>0</v>
      </c>
      <c r="BG326" s="49" t="str">
        <f t="shared" ref="BG326" si="2009">IF(BF326&lt;0,SUBSTITUTE(TEXT(BF326,"000000000000,00"),",",""),SUBSTITUTE(TEXT(BF326,"0000000000000,00"),",",""))</f>
        <v>000000000000000</v>
      </c>
      <c r="BH326" s="23">
        <f t="shared" si="1658"/>
        <v>0</v>
      </c>
      <c r="BI326" s="49" t="str">
        <f t="shared" ref="BI326" si="2010">IF(BH326&lt;0,SUBSTITUTE(TEXT(BH326,"000000000000,00"),",",""),SUBSTITUTE(TEXT(BH326,"0000000000000,00"),",",""))</f>
        <v>000000000000000</v>
      </c>
      <c r="BJ326" s="23">
        <f t="shared" si="1660"/>
        <v>0</v>
      </c>
      <c r="BK326" s="49" t="str">
        <f t="shared" ref="BK326" si="2011">IF(BJ326&lt;0,SUBSTITUTE(TEXT(BJ326,"000000000000,00"),",",""),SUBSTITUTE(TEXT(BJ326,"0000000000000,00"),",",""))</f>
        <v>000000000000000</v>
      </c>
      <c r="BL326" s="23">
        <f t="shared" si="1662"/>
        <v>0</v>
      </c>
      <c r="BM326" s="49" t="str">
        <f t="shared" ref="BM326" si="2012">IF(BL326&lt;0,SUBSTITUTE(TEXT(BL326,"000000000000,00"),",",""),SUBSTITUTE(TEXT(BL326,"0000000000000,00"),",",""))</f>
        <v>000000000000000</v>
      </c>
      <c r="BN326" t="str">
        <f t="shared" si="1664"/>
        <v>PES</v>
      </c>
      <c r="BO326" t="str">
        <f t="shared" si="1665"/>
        <v>0001000000</v>
      </c>
      <c r="BP326">
        <f t="shared" si="1666"/>
        <v>0</v>
      </c>
      <c r="BQ326">
        <f t="shared" si="1667"/>
        <v>0</v>
      </c>
      <c r="BR326" s="23">
        <f t="shared" si="1668"/>
        <v>0</v>
      </c>
      <c r="BS326" s="49" t="str">
        <f t="shared" si="1633"/>
        <v>000000000000000</v>
      </c>
      <c r="BT326" t="str">
        <f t="shared" si="1669"/>
        <v>00000000</v>
      </c>
      <c r="BU326" s="23">
        <f t="shared" si="1670"/>
        <v>0</v>
      </c>
      <c r="BV326" s="49" t="str">
        <f t="shared" si="1634"/>
        <v/>
      </c>
      <c r="BW326" s="52" t="str">
        <f t="shared" si="1671"/>
        <v/>
      </c>
      <c r="BX326" s="23">
        <f t="shared" si="1672"/>
        <v>0</v>
      </c>
      <c r="BY326" s="49" t="str">
        <f t="shared" si="1635"/>
        <v/>
      </c>
      <c r="BZ326" s="23">
        <f t="shared" si="1673"/>
        <v>0</v>
      </c>
      <c r="CA326" s="49" t="str">
        <f t="shared" si="1636"/>
        <v/>
      </c>
      <c r="CB326" s="52" t="str">
        <f t="shared" si="1674"/>
        <v/>
      </c>
      <c r="CC326" s="23">
        <f t="shared" si="1675"/>
        <v>0</v>
      </c>
      <c r="CD326" s="49" t="str">
        <f t="shared" si="1637"/>
        <v/>
      </c>
      <c r="CE326" s="56" t="str">
        <f>IF(CF326="","",MAX(CE$10:$CE325)+1)</f>
        <v/>
      </c>
      <c r="CF326" t="str">
        <f t="shared" si="1676"/>
        <v/>
      </c>
      <c r="CG326" s="22" t="str">
        <f>IF(CH326="","",MAX($CG$10:CG325)+1)</f>
        <v/>
      </c>
      <c r="CH326" s="22" t="str">
        <f t="shared" si="1621"/>
        <v/>
      </c>
      <c r="CI326" s="22" t="str">
        <f>IF(CJ326="","",MAX($CI$10:CI325)+1)</f>
        <v/>
      </c>
      <c r="CJ326" s="22" t="str">
        <f t="shared" si="1622"/>
        <v/>
      </c>
    </row>
    <row r="327" spans="2:88" x14ac:dyDescent="0.25">
      <c r="B327" s="37"/>
      <c r="C327" s="3"/>
      <c r="D327" s="77" t="str">
        <f t="shared" si="1608"/>
        <v/>
      </c>
      <c r="E327" s="38"/>
      <c r="F327" s="38"/>
      <c r="G327" s="78">
        <f t="shared" si="1623"/>
        <v>0</v>
      </c>
      <c r="H327" s="3">
        <v>80</v>
      </c>
      <c r="I327" s="77" t="str">
        <f t="shared" si="1609"/>
        <v/>
      </c>
      <c r="J327" s="32"/>
      <c r="K327" s="3"/>
      <c r="L327" s="39"/>
      <c r="M327" s="39"/>
      <c r="N327" s="39"/>
      <c r="O327" s="39"/>
      <c r="P327" s="39"/>
      <c r="Q327" s="39"/>
      <c r="R327" s="39"/>
      <c r="S327" s="39"/>
      <c r="T327" s="3" t="s">
        <v>645</v>
      </c>
      <c r="U327" s="77" t="str">
        <f t="shared" si="1610"/>
        <v/>
      </c>
      <c r="V327" s="39">
        <v>1</v>
      </c>
      <c r="W327" s="79">
        <f t="shared" si="1624"/>
        <v>0</v>
      </c>
      <c r="X327" s="3">
        <v>0</v>
      </c>
      <c r="Y327" s="77" t="str">
        <f t="shared" si="1611"/>
        <v/>
      </c>
      <c r="Z327" s="3"/>
      <c r="AA327" s="37" t="str">
        <f t="shared" si="1625"/>
        <v/>
      </c>
      <c r="AC327" s="40"/>
      <c r="AD327" s="7"/>
      <c r="AE327" s="77" t="str">
        <f t="shared" si="1612"/>
        <v/>
      </c>
      <c r="AF327" s="81">
        <f t="shared" si="1638"/>
        <v>0</v>
      </c>
      <c r="AG327" s="40"/>
      <c r="AH327" s="7"/>
      <c r="AI327" s="77" t="str">
        <f t="shared" si="1613"/>
        <v/>
      </c>
      <c r="AJ327" s="81">
        <f t="shared" si="1639"/>
        <v>0</v>
      </c>
      <c r="AK327" s="83">
        <f t="shared" si="1640"/>
        <v>0</v>
      </c>
      <c r="AL327" s="83">
        <f t="shared" si="1641"/>
        <v>0</v>
      </c>
      <c r="AN327" s="43">
        <f t="shared" si="1614"/>
        <v>0</v>
      </c>
      <c r="AP327" t="str">
        <f t="shared" si="1642"/>
        <v/>
      </c>
      <c r="AQ327" t="str">
        <f t="shared" si="1643"/>
        <v/>
      </c>
      <c r="AR327" t="str">
        <f t="shared" si="1644"/>
        <v/>
      </c>
      <c r="AS327" t="str">
        <f t="shared" si="1645"/>
        <v/>
      </c>
      <c r="AT327" t="str">
        <f t="shared" si="1646"/>
        <v/>
      </c>
      <c r="AU327" t="str">
        <f t="shared" si="1647"/>
        <v/>
      </c>
      <c r="AV327" t="str">
        <f t="shared" si="1648"/>
        <v/>
      </c>
      <c r="AW327" t="str">
        <f t="shared" si="1649"/>
        <v xml:space="preserve">                              </v>
      </c>
      <c r="AX327" s="23">
        <f t="shared" si="1650"/>
        <v>0</v>
      </c>
      <c r="AY327" s="49" t="str">
        <f t="shared" si="1626"/>
        <v>000000000000000</v>
      </c>
      <c r="AZ327" s="23">
        <f t="shared" si="1651"/>
        <v>0</v>
      </c>
      <c r="BA327" s="49" t="str">
        <f t="shared" si="1626"/>
        <v>000000000000000</v>
      </c>
      <c r="BB327" s="23">
        <f t="shared" si="1652"/>
        <v>0</v>
      </c>
      <c r="BC327" s="49" t="str">
        <f t="shared" ref="BC327" si="2013">IF(BB327&lt;0,SUBSTITUTE(TEXT(BB327,"000000000000,00"),",",""),SUBSTITUTE(TEXT(BB327,"0000000000000,00"),",",""))</f>
        <v>000000000000000</v>
      </c>
      <c r="BD327" s="23">
        <f t="shared" si="1654"/>
        <v>0</v>
      </c>
      <c r="BE327" s="49" t="str">
        <f t="shared" ref="BE327" si="2014">IF(BD327&lt;0,SUBSTITUTE(TEXT(BD327,"000000000000,00"),",",""),SUBSTITUTE(TEXT(BD327,"0000000000000,00"),",",""))</f>
        <v>000000000000000</v>
      </c>
      <c r="BF327" s="23">
        <f t="shared" si="1656"/>
        <v>0</v>
      </c>
      <c r="BG327" s="49" t="str">
        <f t="shared" ref="BG327" si="2015">IF(BF327&lt;0,SUBSTITUTE(TEXT(BF327,"000000000000,00"),",",""),SUBSTITUTE(TEXT(BF327,"0000000000000,00"),",",""))</f>
        <v>000000000000000</v>
      </c>
      <c r="BH327" s="23">
        <f t="shared" si="1658"/>
        <v>0</v>
      </c>
      <c r="BI327" s="49" t="str">
        <f t="shared" ref="BI327" si="2016">IF(BH327&lt;0,SUBSTITUTE(TEXT(BH327,"000000000000,00"),",",""),SUBSTITUTE(TEXT(BH327,"0000000000000,00"),",",""))</f>
        <v>000000000000000</v>
      </c>
      <c r="BJ327" s="23">
        <f t="shared" si="1660"/>
        <v>0</v>
      </c>
      <c r="BK327" s="49" t="str">
        <f t="shared" ref="BK327" si="2017">IF(BJ327&lt;0,SUBSTITUTE(TEXT(BJ327,"000000000000,00"),",",""),SUBSTITUTE(TEXT(BJ327,"0000000000000,00"),",",""))</f>
        <v>000000000000000</v>
      </c>
      <c r="BL327" s="23">
        <f t="shared" si="1662"/>
        <v>0</v>
      </c>
      <c r="BM327" s="49" t="str">
        <f t="shared" ref="BM327" si="2018">IF(BL327&lt;0,SUBSTITUTE(TEXT(BL327,"000000000000,00"),",",""),SUBSTITUTE(TEXT(BL327,"0000000000000,00"),",",""))</f>
        <v>000000000000000</v>
      </c>
      <c r="BN327" t="str">
        <f t="shared" si="1664"/>
        <v>PES</v>
      </c>
      <c r="BO327" t="str">
        <f t="shared" si="1665"/>
        <v>0001000000</v>
      </c>
      <c r="BP327">
        <f t="shared" si="1666"/>
        <v>0</v>
      </c>
      <c r="BQ327">
        <f t="shared" si="1667"/>
        <v>0</v>
      </c>
      <c r="BR327" s="23">
        <f t="shared" si="1668"/>
        <v>0</v>
      </c>
      <c r="BS327" s="49" t="str">
        <f t="shared" si="1633"/>
        <v>000000000000000</v>
      </c>
      <c r="BT327" t="str">
        <f t="shared" si="1669"/>
        <v>00000000</v>
      </c>
      <c r="BU327" s="23">
        <f t="shared" si="1670"/>
        <v>0</v>
      </c>
      <c r="BV327" s="49" t="str">
        <f t="shared" si="1634"/>
        <v/>
      </c>
      <c r="BW327" s="52" t="str">
        <f t="shared" si="1671"/>
        <v/>
      </c>
      <c r="BX327" s="23">
        <f t="shared" si="1672"/>
        <v>0</v>
      </c>
      <c r="BY327" s="49" t="str">
        <f t="shared" si="1635"/>
        <v/>
      </c>
      <c r="BZ327" s="23">
        <f t="shared" si="1673"/>
        <v>0</v>
      </c>
      <c r="CA327" s="49" t="str">
        <f t="shared" si="1636"/>
        <v/>
      </c>
      <c r="CB327" s="52" t="str">
        <f t="shared" si="1674"/>
        <v/>
      </c>
      <c r="CC327" s="23">
        <f t="shared" si="1675"/>
        <v>0</v>
      </c>
      <c r="CD327" s="49" t="str">
        <f t="shared" si="1637"/>
        <v/>
      </c>
      <c r="CE327" s="56" t="str">
        <f>IF(CF327="","",MAX(CE$10:$CE326)+1)</f>
        <v/>
      </c>
      <c r="CF327" t="str">
        <f t="shared" si="1676"/>
        <v/>
      </c>
      <c r="CG327" s="22" t="str">
        <f>IF(CH327="","",MAX($CG$10:CG326)+1)</f>
        <v/>
      </c>
      <c r="CH327" s="22" t="str">
        <f t="shared" si="1621"/>
        <v/>
      </c>
      <c r="CI327" s="22" t="str">
        <f>IF(CJ327="","",MAX($CI$10:CI326)+1)</f>
        <v/>
      </c>
      <c r="CJ327" s="22" t="str">
        <f t="shared" si="1622"/>
        <v/>
      </c>
    </row>
    <row r="328" spans="2:88" x14ac:dyDescent="0.25">
      <c r="B328" s="37"/>
      <c r="C328" s="3"/>
      <c r="D328" s="77" t="str">
        <f t="shared" si="1608"/>
        <v/>
      </c>
      <c r="E328" s="38"/>
      <c r="F328" s="38"/>
      <c r="G328" s="78">
        <f t="shared" si="1623"/>
        <v>0</v>
      </c>
      <c r="H328" s="3">
        <v>80</v>
      </c>
      <c r="I328" s="77" t="str">
        <f t="shared" si="1609"/>
        <v/>
      </c>
      <c r="J328" s="32"/>
      <c r="K328" s="3"/>
      <c r="L328" s="39"/>
      <c r="M328" s="39"/>
      <c r="N328" s="39"/>
      <c r="O328" s="39"/>
      <c r="P328" s="39"/>
      <c r="Q328" s="39"/>
      <c r="R328" s="39"/>
      <c r="S328" s="39"/>
      <c r="T328" s="3" t="s">
        <v>645</v>
      </c>
      <c r="U328" s="77" t="str">
        <f t="shared" si="1610"/>
        <v/>
      </c>
      <c r="V328" s="39">
        <v>1</v>
      </c>
      <c r="W328" s="79">
        <f t="shared" si="1624"/>
        <v>0</v>
      </c>
      <c r="X328" s="3">
        <v>0</v>
      </c>
      <c r="Y328" s="77" t="str">
        <f t="shared" si="1611"/>
        <v/>
      </c>
      <c r="Z328" s="3"/>
      <c r="AA328" s="37" t="str">
        <f t="shared" si="1625"/>
        <v/>
      </c>
      <c r="AC328" s="40"/>
      <c r="AD328" s="7"/>
      <c r="AE328" s="77" t="str">
        <f t="shared" si="1612"/>
        <v/>
      </c>
      <c r="AF328" s="81">
        <f t="shared" si="1638"/>
        <v>0</v>
      </c>
      <c r="AG328" s="40"/>
      <c r="AH328" s="7"/>
      <c r="AI328" s="77" t="str">
        <f t="shared" si="1613"/>
        <v/>
      </c>
      <c r="AJ328" s="81">
        <f t="shared" si="1639"/>
        <v>0</v>
      </c>
      <c r="AK328" s="83">
        <f t="shared" si="1640"/>
        <v>0</v>
      </c>
      <c r="AL328" s="83">
        <f t="shared" si="1641"/>
        <v>0</v>
      </c>
      <c r="AN328" s="43">
        <f t="shared" si="1614"/>
        <v>0</v>
      </c>
      <c r="AP328" t="str">
        <f t="shared" si="1642"/>
        <v/>
      </c>
      <c r="AQ328" t="str">
        <f t="shared" si="1643"/>
        <v/>
      </c>
      <c r="AR328" t="str">
        <f t="shared" si="1644"/>
        <v/>
      </c>
      <c r="AS328" t="str">
        <f t="shared" si="1645"/>
        <v/>
      </c>
      <c r="AT328" t="str">
        <f t="shared" si="1646"/>
        <v/>
      </c>
      <c r="AU328" t="str">
        <f t="shared" si="1647"/>
        <v/>
      </c>
      <c r="AV328" t="str">
        <f t="shared" si="1648"/>
        <v/>
      </c>
      <c r="AW328" t="str">
        <f t="shared" si="1649"/>
        <v xml:space="preserve">                              </v>
      </c>
      <c r="AX328" s="23">
        <f t="shared" si="1650"/>
        <v>0</v>
      </c>
      <c r="AY328" s="49" t="str">
        <f t="shared" si="1626"/>
        <v>000000000000000</v>
      </c>
      <c r="AZ328" s="23">
        <f t="shared" si="1651"/>
        <v>0</v>
      </c>
      <c r="BA328" s="49" t="str">
        <f t="shared" si="1626"/>
        <v>000000000000000</v>
      </c>
      <c r="BB328" s="23">
        <f t="shared" si="1652"/>
        <v>0</v>
      </c>
      <c r="BC328" s="49" t="str">
        <f t="shared" ref="BC328" si="2019">IF(BB328&lt;0,SUBSTITUTE(TEXT(BB328,"000000000000,00"),",",""),SUBSTITUTE(TEXT(BB328,"0000000000000,00"),",",""))</f>
        <v>000000000000000</v>
      </c>
      <c r="BD328" s="23">
        <f t="shared" si="1654"/>
        <v>0</v>
      </c>
      <c r="BE328" s="49" t="str">
        <f t="shared" ref="BE328" si="2020">IF(BD328&lt;0,SUBSTITUTE(TEXT(BD328,"000000000000,00"),",",""),SUBSTITUTE(TEXT(BD328,"0000000000000,00"),",",""))</f>
        <v>000000000000000</v>
      </c>
      <c r="BF328" s="23">
        <f t="shared" si="1656"/>
        <v>0</v>
      </c>
      <c r="BG328" s="49" t="str">
        <f t="shared" ref="BG328" si="2021">IF(BF328&lt;0,SUBSTITUTE(TEXT(BF328,"000000000000,00"),",",""),SUBSTITUTE(TEXT(BF328,"0000000000000,00"),",",""))</f>
        <v>000000000000000</v>
      </c>
      <c r="BH328" s="23">
        <f t="shared" si="1658"/>
        <v>0</v>
      </c>
      <c r="BI328" s="49" t="str">
        <f t="shared" ref="BI328" si="2022">IF(BH328&lt;0,SUBSTITUTE(TEXT(BH328,"000000000000,00"),",",""),SUBSTITUTE(TEXT(BH328,"0000000000000,00"),",",""))</f>
        <v>000000000000000</v>
      </c>
      <c r="BJ328" s="23">
        <f t="shared" si="1660"/>
        <v>0</v>
      </c>
      <c r="BK328" s="49" t="str">
        <f t="shared" ref="BK328" si="2023">IF(BJ328&lt;0,SUBSTITUTE(TEXT(BJ328,"000000000000,00"),",",""),SUBSTITUTE(TEXT(BJ328,"0000000000000,00"),",",""))</f>
        <v>000000000000000</v>
      </c>
      <c r="BL328" s="23">
        <f t="shared" si="1662"/>
        <v>0</v>
      </c>
      <c r="BM328" s="49" t="str">
        <f t="shared" ref="BM328" si="2024">IF(BL328&lt;0,SUBSTITUTE(TEXT(BL328,"000000000000,00"),",",""),SUBSTITUTE(TEXT(BL328,"0000000000000,00"),",",""))</f>
        <v>000000000000000</v>
      </c>
      <c r="BN328" t="str">
        <f t="shared" si="1664"/>
        <v>PES</v>
      </c>
      <c r="BO328" t="str">
        <f t="shared" si="1665"/>
        <v>0001000000</v>
      </c>
      <c r="BP328">
        <f t="shared" si="1666"/>
        <v>0</v>
      </c>
      <c r="BQ328">
        <f t="shared" si="1667"/>
        <v>0</v>
      </c>
      <c r="BR328" s="23">
        <f t="shared" si="1668"/>
        <v>0</v>
      </c>
      <c r="BS328" s="49" t="str">
        <f t="shared" si="1633"/>
        <v>000000000000000</v>
      </c>
      <c r="BT328" t="str">
        <f t="shared" si="1669"/>
        <v>00000000</v>
      </c>
      <c r="BU328" s="23">
        <f t="shared" si="1670"/>
        <v>0</v>
      </c>
      <c r="BV328" s="49" t="str">
        <f t="shared" si="1634"/>
        <v/>
      </c>
      <c r="BW328" s="52" t="str">
        <f t="shared" si="1671"/>
        <v/>
      </c>
      <c r="BX328" s="23">
        <f t="shared" si="1672"/>
        <v>0</v>
      </c>
      <c r="BY328" s="49" t="str">
        <f t="shared" si="1635"/>
        <v/>
      </c>
      <c r="BZ328" s="23">
        <f t="shared" si="1673"/>
        <v>0</v>
      </c>
      <c r="CA328" s="49" t="str">
        <f t="shared" si="1636"/>
        <v/>
      </c>
      <c r="CB328" s="52" t="str">
        <f t="shared" si="1674"/>
        <v/>
      </c>
      <c r="CC328" s="23">
        <f t="shared" si="1675"/>
        <v>0</v>
      </c>
      <c r="CD328" s="49" t="str">
        <f t="shared" si="1637"/>
        <v/>
      </c>
      <c r="CE328" s="56" t="str">
        <f>IF(CF328="","",MAX(CE$10:$CE327)+1)</f>
        <v/>
      </c>
      <c r="CF328" t="str">
        <f t="shared" si="1676"/>
        <v/>
      </c>
      <c r="CG328" s="22" t="str">
        <f>IF(CH328="","",MAX($CG$10:CG327)+1)</f>
        <v/>
      </c>
      <c r="CH328" s="22" t="str">
        <f t="shared" si="1621"/>
        <v/>
      </c>
      <c r="CI328" s="22" t="str">
        <f>IF(CJ328="","",MAX($CI$10:CI327)+1)</f>
        <v/>
      </c>
      <c r="CJ328" s="22" t="str">
        <f t="shared" si="1622"/>
        <v/>
      </c>
    </row>
    <row r="329" spans="2:88" x14ac:dyDescent="0.25">
      <c r="B329" s="37"/>
      <c r="C329" s="3"/>
      <c r="D329" s="77" t="str">
        <f t="shared" si="1608"/>
        <v/>
      </c>
      <c r="E329" s="38"/>
      <c r="F329" s="38"/>
      <c r="G329" s="78">
        <f t="shared" si="1623"/>
        <v>0</v>
      </c>
      <c r="H329" s="3">
        <v>80</v>
      </c>
      <c r="I329" s="77" t="str">
        <f t="shared" si="1609"/>
        <v/>
      </c>
      <c r="J329" s="32"/>
      <c r="K329" s="3"/>
      <c r="L329" s="39"/>
      <c r="M329" s="39"/>
      <c r="N329" s="39"/>
      <c r="O329" s="39"/>
      <c r="P329" s="39"/>
      <c r="Q329" s="39"/>
      <c r="R329" s="39"/>
      <c r="S329" s="39"/>
      <c r="T329" s="3" t="s">
        <v>645</v>
      </c>
      <c r="U329" s="77" t="str">
        <f t="shared" si="1610"/>
        <v/>
      </c>
      <c r="V329" s="39">
        <v>1</v>
      </c>
      <c r="W329" s="79">
        <f t="shared" si="1624"/>
        <v>0</v>
      </c>
      <c r="X329" s="3">
        <v>0</v>
      </c>
      <c r="Y329" s="77" t="str">
        <f t="shared" si="1611"/>
        <v/>
      </c>
      <c r="Z329" s="3"/>
      <c r="AA329" s="37" t="str">
        <f t="shared" si="1625"/>
        <v/>
      </c>
      <c r="AC329" s="40"/>
      <c r="AD329" s="7"/>
      <c r="AE329" s="77" t="str">
        <f t="shared" si="1612"/>
        <v/>
      </c>
      <c r="AF329" s="81">
        <f t="shared" si="1638"/>
        <v>0</v>
      </c>
      <c r="AG329" s="40"/>
      <c r="AH329" s="7"/>
      <c r="AI329" s="77" t="str">
        <f t="shared" si="1613"/>
        <v/>
      </c>
      <c r="AJ329" s="81">
        <f t="shared" si="1639"/>
        <v>0</v>
      </c>
      <c r="AK329" s="83">
        <f t="shared" si="1640"/>
        <v>0</v>
      </c>
      <c r="AL329" s="83">
        <f t="shared" si="1641"/>
        <v>0</v>
      </c>
      <c r="AN329" s="43">
        <f t="shared" si="1614"/>
        <v>0</v>
      </c>
      <c r="AP329" t="str">
        <f t="shared" si="1642"/>
        <v/>
      </c>
      <c r="AQ329" t="str">
        <f t="shared" si="1643"/>
        <v/>
      </c>
      <c r="AR329" t="str">
        <f t="shared" si="1644"/>
        <v/>
      </c>
      <c r="AS329" t="str">
        <f t="shared" si="1645"/>
        <v/>
      </c>
      <c r="AT329" t="str">
        <f t="shared" si="1646"/>
        <v/>
      </c>
      <c r="AU329" t="str">
        <f t="shared" si="1647"/>
        <v/>
      </c>
      <c r="AV329" t="str">
        <f t="shared" si="1648"/>
        <v/>
      </c>
      <c r="AW329" t="str">
        <f t="shared" si="1649"/>
        <v xml:space="preserve">                              </v>
      </c>
      <c r="AX329" s="23">
        <f t="shared" si="1650"/>
        <v>0</v>
      </c>
      <c r="AY329" s="49" t="str">
        <f t="shared" si="1626"/>
        <v>000000000000000</v>
      </c>
      <c r="AZ329" s="23">
        <f t="shared" si="1651"/>
        <v>0</v>
      </c>
      <c r="BA329" s="49" t="str">
        <f t="shared" si="1626"/>
        <v>000000000000000</v>
      </c>
      <c r="BB329" s="23">
        <f t="shared" si="1652"/>
        <v>0</v>
      </c>
      <c r="BC329" s="49" t="str">
        <f t="shared" ref="BC329" si="2025">IF(BB329&lt;0,SUBSTITUTE(TEXT(BB329,"000000000000,00"),",",""),SUBSTITUTE(TEXT(BB329,"0000000000000,00"),",",""))</f>
        <v>000000000000000</v>
      </c>
      <c r="BD329" s="23">
        <f t="shared" si="1654"/>
        <v>0</v>
      </c>
      <c r="BE329" s="49" t="str">
        <f t="shared" ref="BE329" si="2026">IF(BD329&lt;0,SUBSTITUTE(TEXT(BD329,"000000000000,00"),",",""),SUBSTITUTE(TEXT(BD329,"0000000000000,00"),",",""))</f>
        <v>000000000000000</v>
      </c>
      <c r="BF329" s="23">
        <f t="shared" si="1656"/>
        <v>0</v>
      </c>
      <c r="BG329" s="49" t="str">
        <f t="shared" ref="BG329" si="2027">IF(BF329&lt;0,SUBSTITUTE(TEXT(BF329,"000000000000,00"),",",""),SUBSTITUTE(TEXT(BF329,"0000000000000,00"),",",""))</f>
        <v>000000000000000</v>
      </c>
      <c r="BH329" s="23">
        <f t="shared" si="1658"/>
        <v>0</v>
      </c>
      <c r="BI329" s="49" t="str">
        <f t="shared" ref="BI329" si="2028">IF(BH329&lt;0,SUBSTITUTE(TEXT(BH329,"000000000000,00"),",",""),SUBSTITUTE(TEXT(BH329,"0000000000000,00"),",",""))</f>
        <v>000000000000000</v>
      </c>
      <c r="BJ329" s="23">
        <f t="shared" si="1660"/>
        <v>0</v>
      </c>
      <c r="BK329" s="49" t="str">
        <f t="shared" ref="BK329" si="2029">IF(BJ329&lt;0,SUBSTITUTE(TEXT(BJ329,"000000000000,00"),",",""),SUBSTITUTE(TEXT(BJ329,"0000000000000,00"),",",""))</f>
        <v>000000000000000</v>
      </c>
      <c r="BL329" s="23">
        <f t="shared" si="1662"/>
        <v>0</v>
      </c>
      <c r="BM329" s="49" t="str">
        <f t="shared" ref="BM329" si="2030">IF(BL329&lt;0,SUBSTITUTE(TEXT(BL329,"000000000000,00"),",",""),SUBSTITUTE(TEXT(BL329,"0000000000000,00"),",",""))</f>
        <v>000000000000000</v>
      </c>
      <c r="BN329" t="str">
        <f t="shared" si="1664"/>
        <v>PES</v>
      </c>
      <c r="BO329" t="str">
        <f t="shared" si="1665"/>
        <v>0001000000</v>
      </c>
      <c r="BP329">
        <f t="shared" si="1666"/>
        <v>0</v>
      </c>
      <c r="BQ329">
        <f t="shared" si="1667"/>
        <v>0</v>
      </c>
      <c r="BR329" s="23">
        <f t="shared" si="1668"/>
        <v>0</v>
      </c>
      <c r="BS329" s="49" t="str">
        <f t="shared" si="1633"/>
        <v>000000000000000</v>
      </c>
      <c r="BT329" t="str">
        <f t="shared" si="1669"/>
        <v>00000000</v>
      </c>
      <c r="BU329" s="23">
        <f t="shared" si="1670"/>
        <v>0</v>
      </c>
      <c r="BV329" s="49" t="str">
        <f t="shared" si="1634"/>
        <v/>
      </c>
      <c r="BW329" s="52" t="str">
        <f t="shared" si="1671"/>
        <v/>
      </c>
      <c r="BX329" s="23">
        <f t="shared" si="1672"/>
        <v>0</v>
      </c>
      <c r="BY329" s="49" t="str">
        <f t="shared" si="1635"/>
        <v/>
      </c>
      <c r="BZ329" s="23">
        <f t="shared" si="1673"/>
        <v>0</v>
      </c>
      <c r="CA329" s="49" t="str">
        <f t="shared" si="1636"/>
        <v/>
      </c>
      <c r="CB329" s="52" t="str">
        <f t="shared" si="1674"/>
        <v/>
      </c>
      <c r="CC329" s="23">
        <f t="shared" si="1675"/>
        <v>0</v>
      </c>
      <c r="CD329" s="49" t="str">
        <f t="shared" si="1637"/>
        <v/>
      </c>
      <c r="CE329" s="56" t="str">
        <f>IF(CF329="","",MAX(CE$10:$CE328)+1)</f>
        <v/>
      </c>
      <c r="CF329" t="str">
        <f t="shared" si="1676"/>
        <v/>
      </c>
      <c r="CG329" s="22" t="str">
        <f>IF(CH329="","",MAX($CG$10:CG328)+1)</f>
        <v/>
      </c>
      <c r="CH329" s="22" t="str">
        <f t="shared" si="1621"/>
        <v/>
      </c>
      <c r="CI329" s="22" t="str">
        <f>IF(CJ329="","",MAX($CI$10:CI328)+1)</f>
        <v/>
      </c>
      <c r="CJ329" s="22" t="str">
        <f t="shared" si="1622"/>
        <v/>
      </c>
    </row>
    <row r="330" spans="2:88" x14ac:dyDescent="0.25">
      <c r="B330" s="37"/>
      <c r="C330" s="3"/>
      <c r="D330" s="77" t="str">
        <f t="shared" si="1608"/>
        <v/>
      </c>
      <c r="E330" s="38"/>
      <c r="F330" s="38"/>
      <c r="G330" s="78">
        <f t="shared" si="1623"/>
        <v>0</v>
      </c>
      <c r="H330" s="3">
        <v>80</v>
      </c>
      <c r="I330" s="77" t="str">
        <f t="shared" si="1609"/>
        <v/>
      </c>
      <c r="J330" s="32"/>
      <c r="K330" s="3"/>
      <c r="L330" s="39"/>
      <c r="M330" s="39"/>
      <c r="N330" s="39"/>
      <c r="O330" s="39"/>
      <c r="P330" s="39"/>
      <c r="Q330" s="39"/>
      <c r="R330" s="39"/>
      <c r="S330" s="39"/>
      <c r="T330" s="3" t="s">
        <v>645</v>
      </c>
      <c r="U330" s="77" t="str">
        <f t="shared" si="1610"/>
        <v/>
      </c>
      <c r="V330" s="39">
        <v>1</v>
      </c>
      <c r="W330" s="79">
        <f t="shared" si="1624"/>
        <v>0</v>
      </c>
      <c r="X330" s="3">
        <v>0</v>
      </c>
      <c r="Y330" s="77" t="str">
        <f t="shared" si="1611"/>
        <v/>
      </c>
      <c r="Z330" s="3"/>
      <c r="AA330" s="37" t="str">
        <f t="shared" si="1625"/>
        <v/>
      </c>
      <c r="AC330" s="40"/>
      <c r="AD330" s="7"/>
      <c r="AE330" s="77" t="str">
        <f t="shared" si="1612"/>
        <v/>
      </c>
      <c r="AF330" s="81">
        <f t="shared" si="1638"/>
        <v>0</v>
      </c>
      <c r="AG330" s="40"/>
      <c r="AH330" s="7"/>
      <c r="AI330" s="77" t="str">
        <f t="shared" si="1613"/>
        <v/>
      </c>
      <c r="AJ330" s="81">
        <f t="shared" si="1639"/>
        <v>0</v>
      </c>
      <c r="AK330" s="83">
        <f t="shared" si="1640"/>
        <v>0</v>
      </c>
      <c r="AL330" s="83">
        <f t="shared" si="1641"/>
        <v>0</v>
      </c>
      <c r="AN330" s="43">
        <f t="shared" si="1614"/>
        <v>0</v>
      </c>
      <c r="AP330" t="str">
        <f t="shared" si="1642"/>
        <v/>
      </c>
      <c r="AQ330" t="str">
        <f t="shared" si="1643"/>
        <v/>
      </c>
      <c r="AR330" t="str">
        <f t="shared" si="1644"/>
        <v/>
      </c>
      <c r="AS330" t="str">
        <f t="shared" si="1645"/>
        <v/>
      </c>
      <c r="AT330" t="str">
        <f t="shared" si="1646"/>
        <v/>
      </c>
      <c r="AU330" t="str">
        <f t="shared" si="1647"/>
        <v/>
      </c>
      <c r="AV330" t="str">
        <f t="shared" si="1648"/>
        <v/>
      </c>
      <c r="AW330" t="str">
        <f t="shared" si="1649"/>
        <v xml:space="preserve">                              </v>
      </c>
      <c r="AX330" s="23">
        <f t="shared" si="1650"/>
        <v>0</v>
      </c>
      <c r="AY330" s="49" t="str">
        <f t="shared" si="1626"/>
        <v>000000000000000</v>
      </c>
      <c r="AZ330" s="23">
        <f t="shared" si="1651"/>
        <v>0</v>
      </c>
      <c r="BA330" s="49" t="str">
        <f t="shared" si="1626"/>
        <v>000000000000000</v>
      </c>
      <c r="BB330" s="23">
        <f t="shared" si="1652"/>
        <v>0</v>
      </c>
      <c r="BC330" s="49" t="str">
        <f t="shared" ref="BC330" si="2031">IF(BB330&lt;0,SUBSTITUTE(TEXT(BB330,"000000000000,00"),",",""),SUBSTITUTE(TEXT(BB330,"0000000000000,00"),",",""))</f>
        <v>000000000000000</v>
      </c>
      <c r="BD330" s="23">
        <f t="shared" si="1654"/>
        <v>0</v>
      </c>
      <c r="BE330" s="49" t="str">
        <f t="shared" ref="BE330" si="2032">IF(BD330&lt;0,SUBSTITUTE(TEXT(BD330,"000000000000,00"),",",""),SUBSTITUTE(TEXT(BD330,"0000000000000,00"),",",""))</f>
        <v>000000000000000</v>
      </c>
      <c r="BF330" s="23">
        <f t="shared" si="1656"/>
        <v>0</v>
      </c>
      <c r="BG330" s="49" t="str">
        <f t="shared" ref="BG330" si="2033">IF(BF330&lt;0,SUBSTITUTE(TEXT(BF330,"000000000000,00"),",",""),SUBSTITUTE(TEXT(BF330,"0000000000000,00"),",",""))</f>
        <v>000000000000000</v>
      </c>
      <c r="BH330" s="23">
        <f t="shared" si="1658"/>
        <v>0</v>
      </c>
      <c r="BI330" s="49" t="str">
        <f t="shared" ref="BI330" si="2034">IF(BH330&lt;0,SUBSTITUTE(TEXT(BH330,"000000000000,00"),",",""),SUBSTITUTE(TEXT(BH330,"0000000000000,00"),",",""))</f>
        <v>000000000000000</v>
      </c>
      <c r="BJ330" s="23">
        <f t="shared" si="1660"/>
        <v>0</v>
      </c>
      <c r="BK330" s="49" t="str">
        <f t="shared" ref="BK330" si="2035">IF(BJ330&lt;0,SUBSTITUTE(TEXT(BJ330,"000000000000,00"),",",""),SUBSTITUTE(TEXT(BJ330,"0000000000000,00"),",",""))</f>
        <v>000000000000000</v>
      </c>
      <c r="BL330" s="23">
        <f t="shared" si="1662"/>
        <v>0</v>
      </c>
      <c r="BM330" s="49" t="str">
        <f t="shared" ref="BM330" si="2036">IF(BL330&lt;0,SUBSTITUTE(TEXT(BL330,"000000000000,00"),",",""),SUBSTITUTE(TEXT(BL330,"0000000000000,00"),",",""))</f>
        <v>000000000000000</v>
      </c>
      <c r="BN330" t="str">
        <f t="shared" si="1664"/>
        <v>PES</v>
      </c>
      <c r="BO330" t="str">
        <f t="shared" si="1665"/>
        <v>0001000000</v>
      </c>
      <c r="BP330">
        <f t="shared" si="1666"/>
        <v>0</v>
      </c>
      <c r="BQ330">
        <f t="shared" si="1667"/>
        <v>0</v>
      </c>
      <c r="BR330" s="23">
        <f t="shared" si="1668"/>
        <v>0</v>
      </c>
      <c r="BS330" s="49" t="str">
        <f t="shared" si="1633"/>
        <v>000000000000000</v>
      </c>
      <c r="BT330" t="str">
        <f t="shared" si="1669"/>
        <v>00000000</v>
      </c>
      <c r="BU330" s="23">
        <f t="shared" si="1670"/>
        <v>0</v>
      </c>
      <c r="BV330" s="49" t="str">
        <f t="shared" si="1634"/>
        <v/>
      </c>
      <c r="BW330" s="52" t="str">
        <f t="shared" si="1671"/>
        <v/>
      </c>
      <c r="BX330" s="23">
        <f t="shared" si="1672"/>
        <v>0</v>
      </c>
      <c r="BY330" s="49" t="str">
        <f t="shared" si="1635"/>
        <v/>
      </c>
      <c r="BZ330" s="23">
        <f t="shared" si="1673"/>
        <v>0</v>
      </c>
      <c r="CA330" s="49" t="str">
        <f t="shared" si="1636"/>
        <v/>
      </c>
      <c r="CB330" s="52" t="str">
        <f t="shared" si="1674"/>
        <v/>
      </c>
      <c r="CC330" s="23">
        <f t="shared" si="1675"/>
        <v>0</v>
      </c>
      <c r="CD330" s="49" t="str">
        <f t="shared" si="1637"/>
        <v/>
      </c>
      <c r="CE330" s="56" t="str">
        <f>IF(CF330="","",MAX(CE$10:$CE329)+1)</f>
        <v/>
      </c>
      <c r="CF330" t="str">
        <f t="shared" si="1676"/>
        <v/>
      </c>
      <c r="CG330" s="22" t="str">
        <f>IF(CH330="","",MAX($CG$10:CG329)+1)</f>
        <v/>
      </c>
      <c r="CH330" s="22" t="str">
        <f t="shared" si="1621"/>
        <v/>
      </c>
      <c r="CI330" s="22" t="str">
        <f>IF(CJ330="","",MAX($CI$10:CI329)+1)</f>
        <v/>
      </c>
      <c r="CJ330" s="22" t="str">
        <f t="shared" si="1622"/>
        <v/>
      </c>
    </row>
    <row r="331" spans="2:88" x14ac:dyDescent="0.25">
      <c r="B331" s="37"/>
      <c r="C331" s="3"/>
      <c r="D331" s="77" t="str">
        <f t="shared" si="1608"/>
        <v/>
      </c>
      <c r="E331" s="38"/>
      <c r="F331" s="38"/>
      <c r="G331" s="78">
        <f t="shared" si="1623"/>
        <v>0</v>
      </c>
      <c r="H331" s="3">
        <v>80</v>
      </c>
      <c r="I331" s="77" t="str">
        <f t="shared" si="1609"/>
        <v/>
      </c>
      <c r="J331" s="32"/>
      <c r="K331" s="3"/>
      <c r="L331" s="39"/>
      <c r="M331" s="39"/>
      <c r="N331" s="39"/>
      <c r="O331" s="39"/>
      <c r="P331" s="39"/>
      <c r="Q331" s="39"/>
      <c r="R331" s="39"/>
      <c r="S331" s="39"/>
      <c r="T331" s="3" t="s">
        <v>645</v>
      </c>
      <c r="U331" s="77" t="str">
        <f t="shared" si="1610"/>
        <v/>
      </c>
      <c r="V331" s="39">
        <v>1</v>
      </c>
      <c r="W331" s="79">
        <f t="shared" si="1624"/>
        <v>0</v>
      </c>
      <c r="X331" s="3">
        <v>0</v>
      </c>
      <c r="Y331" s="77" t="str">
        <f t="shared" si="1611"/>
        <v/>
      </c>
      <c r="Z331" s="3"/>
      <c r="AA331" s="37" t="str">
        <f t="shared" si="1625"/>
        <v/>
      </c>
      <c r="AC331" s="40"/>
      <c r="AD331" s="7"/>
      <c r="AE331" s="77" t="str">
        <f t="shared" si="1612"/>
        <v/>
      </c>
      <c r="AF331" s="81">
        <f t="shared" si="1638"/>
        <v>0</v>
      </c>
      <c r="AG331" s="40"/>
      <c r="AH331" s="7"/>
      <c r="AI331" s="77" t="str">
        <f t="shared" si="1613"/>
        <v/>
      </c>
      <c r="AJ331" s="81">
        <f t="shared" si="1639"/>
        <v>0</v>
      </c>
      <c r="AK331" s="83">
        <f t="shared" si="1640"/>
        <v>0</v>
      </c>
      <c r="AL331" s="83">
        <f t="shared" si="1641"/>
        <v>0</v>
      </c>
      <c r="AN331" s="43">
        <f t="shared" si="1614"/>
        <v>0</v>
      </c>
      <c r="AP331" t="str">
        <f t="shared" si="1642"/>
        <v/>
      </c>
      <c r="AQ331" t="str">
        <f t="shared" si="1643"/>
        <v/>
      </c>
      <c r="AR331" t="str">
        <f t="shared" si="1644"/>
        <v/>
      </c>
      <c r="AS331" t="str">
        <f t="shared" si="1645"/>
        <v/>
      </c>
      <c r="AT331" t="str">
        <f t="shared" si="1646"/>
        <v/>
      </c>
      <c r="AU331" t="str">
        <f t="shared" si="1647"/>
        <v/>
      </c>
      <c r="AV331" t="str">
        <f t="shared" si="1648"/>
        <v/>
      </c>
      <c r="AW331" t="str">
        <f t="shared" si="1649"/>
        <v xml:space="preserve">                              </v>
      </c>
      <c r="AX331" s="23">
        <f t="shared" si="1650"/>
        <v>0</v>
      </c>
      <c r="AY331" s="49" t="str">
        <f t="shared" si="1626"/>
        <v>000000000000000</v>
      </c>
      <c r="AZ331" s="23">
        <f t="shared" si="1651"/>
        <v>0</v>
      </c>
      <c r="BA331" s="49" t="str">
        <f t="shared" si="1626"/>
        <v>000000000000000</v>
      </c>
      <c r="BB331" s="23">
        <f t="shared" si="1652"/>
        <v>0</v>
      </c>
      <c r="BC331" s="49" t="str">
        <f t="shared" ref="BC331" si="2037">IF(BB331&lt;0,SUBSTITUTE(TEXT(BB331,"000000000000,00"),",",""),SUBSTITUTE(TEXT(BB331,"0000000000000,00"),",",""))</f>
        <v>000000000000000</v>
      </c>
      <c r="BD331" s="23">
        <f t="shared" si="1654"/>
        <v>0</v>
      </c>
      <c r="BE331" s="49" t="str">
        <f t="shared" ref="BE331" si="2038">IF(BD331&lt;0,SUBSTITUTE(TEXT(BD331,"000000000000,00"),",",""),SUBSTITUTE(TEXT(BD331,"0000000000000,00"),",",""))</f>
        <v>000000000000000</v>
      </c>
      <c r="BF331" s="23">
        <f t="shared" si="1656"/>
        <v>0</v>
      </c>
      <c r="BG331" s="49" t="str">
        <f t="shared" ref="BG331" si="2039">IF(BF331&lt;0,SUBSTITUTE(TEXT(BF331,"000000000000,00"),",",""),SUBSTITUTE(TEXT(BF331,"0000000000000,00"),",",""))</f>
        <v>000000000000000</v>
      </c>
      <c r="BH331" s="23">
        <f t="shared" si="1658"/>
        <v>0</v>
      </c>
      <c r="BI331" s="49" t="str">
        <f t="shared" ref="BI331" si="2040">IF(BH331&lt;0,SUBSTITUTE(TEXT(BH331,"000000000000,00"),",",""),SUBSTITUTE(TEXT(BH331,"0000000000000,00"),",",""))</f>
        <v>000000000000000</v>
      </c>
      <c r="BJ331" s="23">
        <f t="shared" si="1660"/>
        <v>0</v>
      </c>
      <c r="BK331" s="49" t="str">
        <f t="shared" ref="BK331" si="2041">IF(BJ331&lt;0,SUBSTITUTE(TEXT(BJ331,"000000000000,00"),",",""),SUBSTITUTE(TEXT(BJ331,"0000000000000,00"),",",""))</f>
        <v>000000000000000</v>
      </c>
      <c r="BL331" s="23">
        <f t="shared" si="1662"/>
        <v>0</v>
      </c>
      <c r="BM331" s="49" t="str">
        <f t="shared" ref="BM331" si="2042">IF(BL331&lt;0,SUBSTITUTE(TEXT(BL331,"000000000000,00"),",",""),SUBSTITUTE(TEXT(BL331,"0000000000000,00"),",",""))</f>
        <v>000000000000000</v>
      </c>
      <c r="BN331" t="str">
        <f t="shared" si="1664"/>
        <v>PES</v>
      </c>
      <c r="BO331" t="str">
        <f t="shared" si="1665"/>
        <v>0001000000</v>
      </c>
      <c r="BP331">
        <f t="shared" si="1666"/>
        <v>0</v>
      </c>
      <c r="BQ331">
        <f t="shared" si="1667"/>
        <v>0</v>
      </c>
      <c r="BR331" s="23">
        <f t="shared" si="1668"/>
        <v>0</v>
      </c>
      <c r="BS331" s="49" t="str">
        <f t="shared" si="1633"/>
        <v>000000000000000</v>
      </c>
      <c r="BT331" t="str">
        <f t="shared" si="1669"/>
        <v>00000000</v>
      </c>
      <c r="BU331" s="23">
        <f t="shared" si="1670"/>
        <v>0</v>
      </c>
      <c r="BV331" s="49" t="str">
        <f t="shared" si="1634"/>
        <v/>
      </c>
      <c r="BW331" s="52" t="str">
        <f t="shared" si="1671"/>
        <v/>
      </c>
      <c r="BX331" s="23">
        <f t="shared" si="1672"/>
        <v>0</v>
      </c>
      <c r="BY331" s="49" t="str">
        <f t="shared" si="1635"/>
        <v/>
      </c>
      <c r="BZ331" s="23">
        <f t="shared" si="1673"/>
        <v>0</v>
      </c>
      <c r="CA331" s="49" t="str">
        <f t="shared" si="1636"/>
        <v/>
      </c>
      <c r="CB331" s="52" t="str">
        <f t="shared" si="1674"/>
        <v/>
      </c>
      <c r="CC331" s="23">
        <f t="shared" si="1675"/>
        <v>0</v>
      </c>
      <c r="CD331" s="49" t="str">
        <f t="shared" si="1637"/>
        <v/>
      </c>
      <c r="CE331" s="56" t="str">
        <f>IF(CF331="","",MAX(CE$10:$CE330)+1)</f>
        <v/>
      </c>
      <c r="CF331" t="str">
        <f t="shared" si="1676"/>
        <v/>
      </c>
      <c r="CG331" s="22" t="str">
        <f>IF(CH331="","",MAX($CG$10:CG330)+1)</f>
        <v/>
      </c>
      <c r="CH331" s="22" t="str">
        <f t="shared" si="1621"/>
        <v/>
      </c>
      <c r="CI331" s="22" t="str">
        <f>IF(CJ331="","",MAX($CI$10:CI330)+1)</f>
        <v/>
      </c>
      <c r="CJ331" s="22" t="str">
        <f t="shared" si="1622"/>
        <v/>
      </c>
    </row>
    <row r="332" spans="2:88" x14ac:dyDescent="0.25">
      <c r="B332" s="37"/>
      <c r="C332" s="3"/>
      <c r="D332" s="77" t="str">
        <f t="shared" ref="D332:D395" si="2043">IF(B332="","",IF(ISERROR(VLOOKUP(C332,T_CompVentas,2,FALSE)),"",VLOOKUP(C332,T_CompVentas,2,FALSE)))</f>
        <v/>
      </c>
      <c r="E332" s="38"/>
      <c r="F332" s="38"/>
      <c r="G332" s="78">
        <f t="shared" si="1623"/>
        <v>0</v>
      </c>
      <c r="H332" s="3">
        <v>80</v>
      </c>
      <c r="I332" s="77" t="str">
        <f t="shared" ref="I332:I395" si="2044">IF(B332="","",IF(H332="","",IF(ISERROR(VLOOKUP(H332,T_Documentos,2,FALSE)),"",VLOOKUP(H332,T_Documentos,2,FALSE))))</f>
        <v/>
      </c>
      <c r="J332" s="32"/>
      <c r="K332" s="3"/>
      <c r="L332" s="39"/>
      <c r="M332" s="39"/>
      <c r="N332" s="39"/>
      <c r="O332" s="39"/>
      <c r="P332" s="39"/>
      <c r="Q332" s="39"/>
      <c r="R332" s="39"/>
      <c r="S332" s="39"/>
      <c r="T332" s="3" t="s">
        <v>645</v>
      </c>
      <c r="U332" s="77" t="str">
        <f t="shared" ref="U332:U395" si="2045">IF(B332="","",IF(ISERROR(VLOOKUP(T332,T_Monedas,2,FALSE)),"",VLOOKUP(T332,T_Monedas,2,FALSE)))</f>
        <v/>
      </c>
      <c r="V332" s="39">
        <v>1</v>
      </c>
      <c r="W332" s="79">
        <f t="shared" si="1624"/>
        <v>0</v>
      </c>
      <c r="X332" s="3">
        <v>0</v>
      </c>
      <c r="Y332" s="77" t="str">
        <f t="shared" ref="Y332:Y395" si="2046">IF(B332="","",IF(ISERROR(VLOOKUP(X332,T_CodOperVentas,2,FALSE)),"",VLOOKUP(X332,T_CodOperVentas,2,FALSE)))</f>
        <v/>
      </c>
      <c r="Z332" s="3"/>
      <c r="AA332" s="37" t="str">
        <f t="shared" si="1625"/>
        <v/>
      </c>
      <c r="AC332" s="40"/>
      <c r="AD332" s="7"/>
      <c r="AE332" s="77" t="str">
        <f t="shared" ref="AE332:AE395" si="2047">IF(B332="","",IF(AD332="","",IF(ISERROR(VLOOKUP(AD332,T_Alicuotas,2,FALSE)),"",VLOOKUP(AD332,T_Alicuotas,2,FALSE))))</f>
        <v/>
      </c>
      <c r="AF332" s="81">
        <f t="shared" si="1638"/>
        <v>0</v>
      </c>
      <c r="AG332" s="40"/>
      <c r="AH332" s="7"/>
      <c r="AI332" s="77" t="str">
        <f t="shared" ref="AI332:AI395" si="2048">IF(B332="","",IF(AH332="","",IF(ISERROR(VLOOKUP(AH332,T_Alicuotas,2,FALSE)),"",VLOOKUP(AH332,T_Alicuotas,2,FALSE))))</f>
        <v/>
      </c>
      <c r="AJ332" s="81">
        <f t="shared" si="1639"/>
        <v>0</v>
      </c>
      <c r="AK332" s="83">
        <f t="shared" si="1640"/>
        <v>0</v>
      </c>
      <c r="AL332" s="83">
        <f t="shared" si="1641"/>
        <v>0</v>
      </c>
      <c r="AN332" s="43">
        <f t="shared" ref="AN332:AN395" si="2049">+L332-M332-N332-O332-P332-Q332-R332-S332-AC332-AF332-AG332-AJ332</f>
        <v>0</v>
      </c>
      <c r="AP332" t="str">
        <f t="shared" si="1642"/>
        <v/>
      </c>
      <c r="AQ332" t="str">
        <f t="shared" si="1643"/>
        <v/>
      </c>
      <c r="AR332" t="str">
        <f t="shared" si="1644"/>
        <v/>
      </c>
      <c r="AS332" t="str">
        <f t="shared" si="1645"/>
        <v/>
      </c>
      <c r="AT332" t="str">
        <f t="shared" si="1646"/>
        <v/>
      </c>
      <c r="AU332" t="str">
        <f t="shared" si="1647"/>
        <v/>
      </c>
      <c r="AV332" t="str">
        <f t="shared" si="1648"/>
        <v/>
      </c>
      <c r="AW332" t="str">
        <f t="shared" si="1649"/>
        <v xml:space="preserve">                              </v>
      </c>
      <c r="AX332" s="23">
        <f t="shared" si="1650"/>
        <v>0</v>
      </c>
      <c r="AY332" s="49" t="str">
        <f t="shared" si="1626"/>
        <v>000000000000000</v>
      </c>
      <c r="AZ332" s="23">
        <f t="shared" si="1651"/>
        <v>0</v>
      </c>
      <c r="BA332" s="49" t="str">
        <f t="shared" si="1626"/>
        <v>000000000000000</v>
      </c>
      <c r="BB332" s="23">
        <f t="shared" si="1652"/>
        <v>0</v>
      </c>
      <c r="BC332" s="49" t="str">
        <f t="shared" ref="BC332" si="2050">IF(BB332&lt;0,SUBSTITUTE(TEXT(BB332,"000000000000,00"),",",""),SUBSTITUTE(TEXT(BB332,"0000000000000,00"),",",""))</f>
        <v>000000000000000</v>
      </c>
      <c r="BD332" s="23">
        <f t="shared" si="1654"/>
        <v>0</v>
      </c>
      <c r="BE332" s="49" t="str">
        <f t="shared" ref="BE332" si="2051">IF(BD332&lt;0,SUBSTITUTE(TEXT(BD332,"000000000000,00"),",",""),SUBSTITUTE(TEXT(BD332,"0000000000000,00"),",",""))</f>
        <v>000000000000000</v>
      </c>
      <c r="BF332" s="23">
        <f t="shared" si="1656"/>
        <v>0</v>
      </c>
      <c r="BG332" s="49" t="str">
        <f t="shared" ref="BG332" si="2052">IF(BF332&lt;0,SUBSTITUTE(TEXT(BF332,"000000000000,00"),",",""),SUBSTITUTE(TEXT(BF332,"0000000000000,00"),",",""))</f>
        <v>000000000000000</v>
      </c>
      <c r="BH332" s="23">
        <f t="shared" si="1658"/>
        <v>0</v>
      </c>
      <c r="BI332" s="49" t="str">
        <f t="shared" ref="BI332" si="2053">IF(BH332&lt;0,SUBSTITUTE(TEXT(BH332,"000000000000,00"),",",""),SUBSTITUTE(TEXT(BH332,"0000000000000,00"),",",""))</f>
        <v>000000000000000</v>
      </c>
      <c r="BJ332" s="23">
        <f t="shared" si="1660"/>
        <v>0</v>
      </c>
      <c r="BK332" s="49" t="str">
        <f t="shared" ref="BK332" si="2054">IF(BJ332&lt;0,SUBSTITUTE(TEXT(BJ332,"000000000000,00"),",",""),SUBSTITUTE(TEXT(BJ332,"0000000000000,00"),",",""))</f>
        <v>000000000000000</v>
      </c>
      <c r="BL332" s="23">
        <f t="shared" si="1662"/>
        <v>0</v>
      </c>
      <c r="BM332" s="49" t="str">
        <f t="shared" ref="BM332" si="2055">IF(BL332&lt;0,SUBSTITUTE(TEXT(BL332,"000000000000,00"),",",""),SUBSTITUTE(TEXT(BL332,"0000000000000,00"),",",""))</f>
        <v>000000000000000</v>
      </c>
      <c r="BN332" t="str">
        <f t="shared" si="1664"/>
        <v>PES</v>
      </c>
      <c r="BO332" t="str">
        <f t="shared" si="1665"/>
        <v>0001000000</v>
      </c>
      <c r="BP332">
        <f t="shared" si="1666"/>
        <v>0</v>
      </c>
      <c r="BQ332">
        <f t="shared" si="1667"/>
        <v>0</v>
      </c>
      <c r="BR332" s="23">
        <f t="shared" si="1668"/>
        <v>0</v>
      </c>
      <c r="BS332" s="49" t="str">
        <f t="shared" si="1633"/>
        <v>000000000000000</v>
      </c>
      <c r="BT332" t="str">
        <f t="shared" si="1669"/>
        <v>00000000</v>
      </c>
      <c r="BU332" s="23">
        <f t="shared" si="1670"/>
        <v>0</v>
      </c>
      <c r="BV332" s="49" t="str">
        <f t="shared" si="1634"/>
        <v/>
      </c>
      <c r="BW332" s="52" t="str">
        <f t="shared" si="1671"/>
        <v/>
      </c>
      <c r="BX332" s="23">
        <f t="shared" si="1672"/>
        <v>0</v>
      </c>
      <c r="BY332" s="49" t="str">
        <f t="shared" si="1635"/>
        <v/>
      </c>
      <c r="BZ332" s="23">
        <f t="shared" si="1673"/>
        <v>0</v>
      </c>
      <c r="CA332" s="49" t="str">
        <f t="shared" si="1636"/>
        <v/>
      </c>
      <c r="CB332" s="52" t="str">
        <f t="shared" si="1674"/>
        <v/>
      </c>
      <c r="CC332" s="23">
        <f t="shared" si="1675"/>
        <v>0</v>
      </c>
      <c r="CD332" s="49" t="str">
        <f t="shared" si="1637"/>
        <v/>
      </c>
      <c r="CE332" s="56" t="str">
        <f>IF(CF332="","",MAX(CE$10:$CE331)+1)</f>
        <v/>
      </c>
      <c r="CF332" t="str">
        <f t="shared" si="1676"/>
        <v/>
      </c>
      <c r="CG332" s="22" t="str">
        <f>IF(CH332="","",MAX($CG$10:CG331)+1)</f>
        <v/>
      </c>
      <c r="CH332" s="22" t="str">
        <f t="shared" ref="CH332:CH395" si="2056">IF(BV332="","",AQ332&amp;AR332&amp;AS332&amp;BV332&amp;BW332&amp;BY332)</f>
        <v/>
      </c>
      <c r="CI332" s="22" t="str">
        <f>IF(CJ332="","",MAX($CI$10:CI331)+1)</f>
        <v/>
      </c>
      <c r="CJ332" s="22" t="str">
        <f t="shared" ref="CJ332:CJ395" si="2057">IF(CA332="","",AQ332&amp;AR332&amp;AS332&amp;CA332&amp;CB332&amp;CD332)</f>
        <v/>
      </c>
    </row>
    <row r="333" spans="2:88" x14ac:dyDescent="0.25">
      <c r="B333" s="37"/>
      <c r="C333" s="3"/>
      <c r="D333" s="77" t="str">
        <f t="shared" si="2043"/>
        <v/>
      </c>
      <c r="E333" s="38"/>
      <c r="F333" s="38"/>
      <c r="G333" s="78">
        <f t="shared" ref="G333:G396" si="2058">+F333</f>
        <v>0</v>
      </c>
      <c r="H333" s="3">
        <v>80</v>
      </c>
      <c r="I333" s="77" t="str">
        <f t="shared" si="2044"/>
        <v/>
      </c>
      <c r="J333" s="32"/>
      <c r="K333" s="3"/>
      <c r="L333" s="39"/>
      <c r="M333" s="39"/>
      <c r="N333" s="39"/>
      <c r="O333" s="39"/>
      <c r="P333" s="39"/>
      <c r="Q333" s="39"/>
      <c r="R333" s="39"/>
      <c r="S333" s="39"/>
      <c r="T333" s="3" t="s">
        <v>645</v>
      </c>
      <c r="U333" s="77" t="str">
        <f t="shared" si="2045"/>
        <v/>
      </c>
      <c r="V333" s="39">
        <v>1</v>
      </c>
      <c r="W333" s="79">
        <f t="shared" ref="W333:W396" si="2059">IF(AD333="",0,1)+IF(OR(AH333=""),0,1)</f>
        <v>0</v>
      </c>
      <c r="X333" s="3">
        <v>0</v>
      </c>
      <c r="Y333" s="77" t="str">
        <f t="shared" si="2046"/>
        <v/>
      </c>
      <c r="Z333" s="3"/>
      <c r="AA333" s="37" t="str">
        <f t="shared" ref="AA333:AA396" si="2060">IF(OR(B333="",C333=82),"",B333)</f>
        <v/>
      </c>
      <c r="AC333" s="40"/>
      <c r="AD333" s="7"/>
      <c r="AE333" s="77" t="str">
        <f t="shared" si="2047"/>
        <v/>
      </c>
      <c r="AF333" s="81">
        <f t="shared" si="1638"/>
        <v>0</v>
      </c>
      <c r="AG333" s="40"/>
      <c r="AH333" s="7"/>
      <c r="AI333" s="77" t="str">
        <f t="shared" si="2048"/>
        <v/>
      </c>
      <c r="AJ333" s="81">
        <f t="shared" si="1639"/>
        <v>0</v>
      </c>
      <c r="AK333" s="83">
        <f t="shared" si="1640"/>
        <v>0</v>
      </c>
      <c r="AL333" s="83">
        <f t="shared" si="1641"/>
        <v>0</v>
      </c>
      <c r="AN333" s="43">
        <f t="shared" si="2049"/>
        <v>0</v>
      </c>
      <c r="AP333" t="str">
        <f t="shared" si="1642"/>
        <v/>
      </c>
      <c r="AQ333" t="str">
        <f t="shared" si="1643"/>
        <v/>
      </c>
      <c r="AR333" t="str">
        <f t="shared" si="1644"/>
        <v/>
      </c>
      <c r="AS333" t="str">
        <f t="shared" si="1645"/>
        <v/>
      </c>
      <c r="AT333" t="str">
        <f t="shared" si="1646"/>
        <v/>
      </c>
      <c r="AU333" t="str">
        <f t="shared" si="1647"/>
        <v/>
      </c>
      <c r="AV333" t="str">
        <f t="shared" si="1648"/>
        <v/>
      </c>
      <c r="AW333" t="str">
        <f t="shared" si="1649"/>
        <v xml:space="preserve">                              </v>
      </c>
      <c r="AX333" s="23">
        <f t="shared" si="1650"/>
        <v>0</v>
      </c>
      <c r="AY333" s="49" t="str">
        <f t="shared" ref="AY333:BA396" si="2061">IF(AX333&lt;0,SUBSTITUTE(TEXT(AX333,"000000000000,00"),",",""),SUBSTITUTE(TEXT(AX333,"0000000000000,00"),",",""))</f>
        <v>000000000000000</v>
      </c>
      <c r="AZ333" s="23">
        <f t="shared" si="1651"/>
        <v>0</v>
      </c>
      <c r="BA333" s="49" t="str">
        <f t="shared" si="2061"/>
        <v>000000000000000</v>
      </c>
      <c r="BB333" s="23">
        <f t="shared" si="1652"/>
        <v>0</v>
      </c>
      <c r="BC333" s="49" t="str">
        <f t="shared" ref="BC333" si="2062">IF(BB333&lt;0,SUBSTITUTE(TEXT(BB333,"000000000000,00"),",",""),SUBSTITUTE(TEXT(BB333,"0000000000000,00"),",",""))</f>
        <v>000000000000000</v>
      </c>
      <c r="BD333" s="23">
        <f t="shared" si="1654"/>
        <v>0</v>
      </c>
      <c r="BE333" s="49" t="str">
        <f t="shared" ref="BE333" si="2063">IF(BD333&lt;0,SUBSTITUTE(TEXT(BD333,"000000000000,00"),",",""),SUBSTITUTE(TEXT(BD333,"0000000000000,00"),",",""))</f>
        <v>000000000000000</v>
      </c>
      <c r="BF333" s="23">
        <f t="shared" si="1656"/>
        <v>0</v>
      </c>
      <c r="BG333" s="49" t="str">
        <f t="shared" ref="BG333" si="2064">IF(BF333&lt;0,SUBSTITUTE(TEXT(BF333,"000000000000,00"),",",""),SUBSTITUTE(TEXT(BF333,"0000000000000,00"),",",""))</f>
        <v>000000000000000</v>
      </c>
      <c r="BH333" s="23">
        <f t="shared" si="1658"/>
        <v>0</v>
      </c>
      <c r="BI333" s="49" t="str">
        <f t="shared" ref="BI333" si="2065">IF(BH333&lt;0,SUBSTITUTE(TEXT(BH333,"000000000000,00"),",",""),SUBSTITUTE(TEXT(BH333,"0000000000000,00"),",",""))</f>
        <v>000000000000000</v>
      </c>
      <c r="BJ333" s="23">
        <f t="shared" si="1660"/>
        <v>0</v>
      </c>
      <c r="BK333" s="49" t="str">
        <f t="shared" ref="BK333" si="2066">IF(BJ333&lt;0,SUBSTITUTE(TEXT(BJ333,"000000000000,00"),",",""),SUBSTITUTE(TEXT(BJ333,"0000000000000,00"),",",""))</f>
        <v>000000000000000</v>
      </c>
      <c r="BL333" s="23">
        <f t="shared" si="1662"/>
        <v>0</v>
      </c>
      <c r="BM333" s="49" t="str">
        <f t="shared" ref="BM333" si="2067">IF(BL333&lt;0,SUBSTITUTE(TEXT(BL333,"000000000000,00"),",",""),SUBSTITUTE(TEXT(BL333,"0000000000000,00"),",",""))</f>
        <v>000000000000000</v>
      </c>
      <c r="BN333" t="str">
        <f t="shared" si="1664"/>
        <v>PES</v>
      </c>
      <c r="BO333" t="str">
        <f t="shared" si="1665"/>
        <v>0001000000</v>
      </c>
      <c r="BP333">
        <f t="shared" si="1666"/>
        <v>0</v>
      </c>
      <c r="BQ333">
        <f t="shared" si="1667"/>
        <v>0</v>
      </c>
      <c r="BR333" s="23">
        <f t="shared" si="1668"/>
        <v>0</v>
      </c>
      <c r="BS333" s="49" t="str">
        <f t="shared" ref="BS333:BS396" si="2068">IF(BR333&lt;0,SUBSTITUTE(TEXT(BR333,"000000000000,00"),",",""),SUBSTITUTE(TEXT(BR333,"0000000000000,00"),",",""))</f>
        <v>000000000000000</v>
      </c>
      <c r="BT333" t="str">
        <f t="shared" si="1669"/>
        <v>00000000</v>
      </c>
      <c r="BU333" s="23">
        <f t="shared" si="1670"/>
        <v>0</v>
      </c>
      <c r="BV333" s="49" t="str">
        <f t="shared" ref="BV333:BV396" si="2069">IF(BW333="","",IF(BU333&lt;0,SUBSTITUTE(TEXT(BU333,"000000000000,00"),",",""),SUBSTITUTE(TEXT(BU333,"0000000000000,00"),",","")))</f>
        <v/>
      </c>
      <c r="BW333" s="52" t="str">
        <f t="shared" si="1671"/>
        <v/>
      </c>
      <c r="BX333" s="23">
        <f t="shared" si="1672"/>
        <v>0</v>
      </c>
      <c r="BY333" s="49" t="str">
        <f t="shared" ref="BY333:BY396" si="2070">IF(BW333="","",IF(BX333&lt;0,SUBSTITUTE(TEXT(BX333,"000000000000,00"),",",""),SUBSTITUTE(TEXT(BX333,"0000000000000,00"),",","")))</f>
        <v/>
      </c>
      <c r="BZ333" s="23">
        <f t="shared" si="1673"/>
        <v>0</v>
      </c>
      <c r="CA333" s="49" t="str">
        <f t="shared" ref="CA333:CA396" si="2071">IF(CB333="","",IF(BZ333&lt;0,SUBSTITUTE(TEXT(BZ333,"000000000000,00"),",",""),SUBSTITUTE(TEXT(BZ333,"0000000000000,00"),",","")))</f>
        <v/>
      </c>
      <c r="CB333" s="52" t="str">
        <f t="shared" si="1674"/>
        <v/>
      </c>
      <c r="CC333" s="23">
        <f t="shared" si="1675"/>
        <v>0</v>
      </c>
      <c r="CD333" s="49" t="str">
        <f t="shared" ref="CD333:CD396" si="2072">IF(CB333="","",IF(CC333&lt;0,SUBSTITUTE(TEXT(CC333,"000000000000,00"),",",""),SUBSTITUTE(TEXT(CC333,"0000000000000,00"),",","")))</f>
        <v/>
      </c>
      <c r="CE333" s="56" t="str">
        <f>IF(CF333="","",MAX(CE$10:$CE332)+1)</f>
        <v/>
      </c>
      <c r="CF333" t="str">
        <f t="shared" si="1676"/>
        <v/>
      </c>
      <c r="CG333" s="22" t="str">
        <f>IF(CH333="","",MAX($CG$10:CG332)+1)</f>
        <v/>
      </c>
      <c r="CH333" s="22" t="str">
        <f t="shared" si="2056"/>
        <v/>
      </c>
      <c r="CI333" s="22" t="str">
        <f>IF(CJ333="","",MAX($CI$10:CI332)+1)</f>
        <v/>
      </c>
      <c r="CJ333" s="22" t="str">
        <f t="shared" si="2057"/>
        <v/>
      </c>
    </row>
    <row r="334" spans="2:88" x14ac:dyDescent="0.25">
      <c r="B334" s="37"/>
      <c r="C334" s="3"/>
      <c r="D334" s="77" t="str">
        <f t="shared" si="2043"/>
        <v/>
      </c>
      <c r="E334" s="38"/>
      <c r="F334" s="38"/>
      <c r="G334" s="78">
        <f t="shared" si="2058"/>
        <v>0</v>
      </c>
      <c r="H334" s="3">
        <v>80</v>
      </c>
      <c r="I334" s="77" t="str">
        <f t="shared" si="2044"/>
        <v/>
      </c>
      <c r="J334" s="32"/>
      <c r="K334" s="3"/>
      <c r="L334" s="39"/>
      <c r="M334" s="39"/>
      <c r="N334" s="39"/>
      <c r="O334" s="39"/>
      <c r="P334" s="39"/>
      <c r="Q334" s="39"/>
      <c r="R334" s="39"/>
      <c r="S334" s="39"/>
      <c r="T334" s="3" t="s">
        <v>645</v>
      </c>
      <c r="U334" s="77" t="str">
        <f t="shared" si="2045"/>
        <v/>
      </c>
      <c r="V334" s="39">
        <v>1</v>
      </c>
      <c r="W334" s="79">
        <f t="shared" si="2059"/>
        <v>0</v>
      </c>
      <c r="X334" s="3">
        <v>0</v>
      </c>
      <c r="Y334" s="77" t="str">
        <f t="shared" si="2046"/>
        <v/>
      </c>
      <c r="Z334" s="3"/>
      <c r="AA334" s="37" t="str">
        <f t="shared" si="2060"/>
        <v/>
      </c>
      <c r="AC334" s="40"/>
      <c r="AD334" s="7"/>
      <c r="AE334" s="77" t="str">
        <f t="shared" si="2047"/>
        <v/>
      </c>
      <c r="AF334" s="81">
        <f t="shared" ref="AF334:AF397" si="2073">ROUND(AC334*AD334/100,2)</f>
        <v>0</v>
      </c>
      <c r="AG334" s="40"/>
      <c r="AH334" s="7"/>
      <c r="AI334" s="77" t="str">
        <f t="shared" si="2048"/>
        <v/>
      </c>
      <c r="AJ334" s="81">
        <f t="shared" ref="AJ334:AJ397" si="2074">ROUND(AG334*AH334/100,2)</f>
        <v>0</v>
      </c>
      <c r="AK334" s="83">
        <f t="shared" ref="AK334:AK397" si="2075">+AC334+AG334</f>
        <v>0</v>
      </c>
      <c r="AL334" s="83">
        <f t="shared" ref="AL334:AL397" si="2076">+AF334+AJ334</f>
        <v>0</v>
      </c>
      <c r="AN334" s="43">
        <f t="shared" si="2049"/>
        <v>0</v>
      </c>
      <c r="AP334" t="str">
        <f t="shared" ref="AP334:AP397" si="2077">IF(B334="","",TEXT(B334,$AP$8))</f>
        <v/>
      </c>
      <c r="AQ334" t="str">
        <f t="shared" ref="AQ334:AQ397" si="2078">IF(B334="","",IF(C334="","",TEXT(C334,"000")))</f>
        <v/>
      </c>
      <c r="AR334" t="str">
        <f t="shared" ref="AR334:AR397" si="2079">IF(B334="","",IF(E334="","00000",TEXT(RIGHT(E334,5),"00000")))</f>
        <v/>
      </c>
      <c r="AS334" t="str">
        <f t="shared" ref="AS334:AS397" si="2080">IF(B334="","",IF(F334="","00000000000000000000",TEXT(RIGHT(F334,20),"00000000000000000000")))</f>
        <v/>
      </c>
      <c r="AT334" t="str">
        <f t="shared" ref="AT334:AT397" si="2081">IF(B334="","",IF(G334="","00000000000000000000",TEXT(RIGHT(G334,20),"00000000000000000000")))</f>
        <v/>
      </c>
      <c r="AU334" t="str">
        <f t="shared" ref="AU334:AU397" si="2082">IF(B334="","",IF(C334="","",TEXT(RIGHT(H334,4),"00")))</f>
        <v/>
      </c>
      <c r="AV334" t="str">
        <f t="shared" ref="AV334:AV397" si="2083">IF(B334="","",TEXT(SUBSTITUTE(J334,"-",""),"00000000000000000000"))</f>
        <v/>
      </c>
      <c r="AW334" t="str">
        <f t="shared" ref="AW334:AW397" si="2084">IF(LEN(K334)&gt;30,LEFT(K334,30),K334&amp;REPT(" ",30-LEN(K334)))</f>
        <v xml:space="preserve">                              </v>
      </c>
      <c r="AX334" s="23">
        <f t="shared" ref="AX334:AX397" si="2085">IF(TRIM(L334)="",0,TRUNC(L334,2))</f>
        <v>0</v>
      </c>
      <c r="AY334" s="49" t="str">
        <f t="shared" si="2061"/>
        <v>000000000000000</v>
      </c>
      <c r="AZ334" s="23">
        <f t="shared" ref="AZ334:AZ397" si="2086">IF(TRIM(M334)="",0,TRUNC(M334,2))</f>
        <v>0</v>
      </c>
      <c r="BA334" s="49" t="str">
        <f t="shared" si="2061"/>
        <v>000000000000000</v>
      </c>
      <c r="BB334" s="23">
        <f t="shared" ref="BB334:BB397" si="2087">IF(TRIM(N334)="",0,TRUNC(N334,2))</f>
        <v>0</v>
      </c>
      <c r="BC334" s="49" t="str">
        <f t="shared" ref="BC334" si="2088">IF(BB334&lt;0,SUBSTITUTE(TEXT(BB334,"000000000000,00"),",",""),SUBSTITUTE(TEXT(BB334,"0000000000000,00"),",",""))</f>
        <v>000000000000000</v>
      </c>
      <c r="BD334" s="23">
        <f t="shared" ref="BD334:BD397" si="2089">IF(TRIM(O334)="",0,TRUNC(O334,2))</f>
        <v>0</v>
      </c>
      <c r="BE334" s="49" t="str">
        <f t="shared" ref="BE334" si="2090">IF(BD334&lt;0,SUBSTITUTE(TEXT(BD334,"000000000000,00"),",",""),SUBSTITUTE(TEXT(BD334,"0000000000000,00"),",",""))</f>
        <v>000000000000000</v>
      </c>
      <c r="BF334" s="23">
        <f t="shared" ref="BF334:BF397" si="2091">IF(TRIM(P334)="",0,TRUNC(P334,2))</f>
        <v>0</v>
      </c>
      <c r="BG334" s="49" t="str">
        <f t="shared" ref="BG334" si="2092">IF(BF334&lt;0,SUBSTITUTE(TEXT(BF334,"000000000000,00"),",",""),SUBSTITUTE(TEXT(BF334,"0000000000000,00"),",",""))</f>
        <v>000000000000000</v>
      </c>
      <c r="BH334" s="23">
        <f t="shared" ref="BH334:BH397" si="2093">IF(TRIM(Q334)="",0,TRUNC(Q334,2))</f>
        <v>0</v>
      </c>
      <c r="BI334" s="49" t="str">
        <f t="shared" ref="BI334" si="2094">IF(BH334&lt;0,SUBSTITUTE(TEXT(BH334,"000000000000,00"),",",""),SUBSTITUTE(TEXT(BH334,"0000000000000,00"),",",""))</f>
        <v>000000000000000</v>
      </c>
      <c r="BJ334" s="23">
        <f t="shared" ref="BJ334:BJ397" si="2095">IF(TRIM(R334)="",0,TRUNC(R334,2))</f>
        <v>0</v>
      </c>
      <c r="BK334" s="49" t="str">
        <f t="shared" ref="BK334" si="2096">IF(BJ334&lt;0,SUBSTITUTE(TEXT(BJ334,"000000000000,00"),",",""),SUBSTITUTE(TEXT(BJ334,"0000000000000,00"),",",""))</f>
        <v>000000000000000</v>
      </c>
      <c r="BL334" s="23">
        <f t="shared" ref="BL334:BL397" si="2097">IF(TRIM(S334)="",0,TRUNC(S334,2))</f>
        <v>0</v>
      </c>
      <c r="BM334" s="49" t="str">
        <f t="shared" ref="BM334" si="2098">IF(BL334&lt;0,SUBSTITUTE(TEXT(BL334,"000000000000,00"),",",""),SUBSTITUTE(TEXT(BL334,"0000000000000,00"),",",""))</f>
        <v>000000000000000</v>
      </c>
      <c r="BN334" t="str">
        <f t="shared" ref="BN334:BN397" si="2099">TEXT(T334,"000")</f>
        <v>PES</v>
      </c>
      <c r="BO334" t="str">
        <f t="shared" ref="BO334:BO397" si="2100">IF(V334&lt;0,SUBSTITUTE(TEXT(V334,"000,000000"),",",""),SUBSTITUTE(TEXT(V334,"0000,000000"),",",""))</f>
        <v>0001000000</v>
      </c>
      <c r="BP334">
        <f t="shared" ref="BP334:BP397" si="2101">W334</f>
        <v>0</v>
      </c>
      <c r="BQ334">
        <f t="shared" ref="BQ334:BQ397" si="2102">X334</f>
        <v>0</v>
      </c>
      <c r="BR334" s="23">
        <f t="shared" ref="BR334:BR397" si="2103">IF(TRIM(Z334)="",0,TRUNC(Z334,2))</f>
        <v>0</v>
      </c>
      <c r="BS334" s="49" t="str">
        <f t="shared" si="2068"/>
        <v>000000000000000</v>
      </c>
      <c r="BT334" t="str">
        <f t="shared" ref="BT334:BT397" si="2104">IF(AA334="","00000000",TEXT(AA334,$AP$8))</f>
        <v>00000000</v>
      </c>
      <c r="BU334" s="23">
        <f t="shared" ref="BU334:BU397" si="2105">IF(TRIM(AC334)="",0,TRUNC(AC334,2))</f>
        <v>0</v>
      </c>
      <c r="BV334" s="49" t="str">
        <f t="shared" si="2069"/>
        <v/>
      </c>
      <c r="BW334" s="52" t="str">
        <f t="shared" ref="BW334:BW397" si="2106">IF(AE334="","",TEXT(AE334,"0000"))</f>
        <v/>
      </c>
      <c r="BX334" s="23">
        <f t="shared" ref="BX334:BX397" si="2107">IF(TRIM(AF334)="",0,TRUNC(AF334,2))</f>
        <v>0</v>
      </c>
      <c r="BY334" s="49" t="str">
        <f t="shared" si="2070"/>
        <v/>
      </c>
      <c r="BZ334" s="23">
        <f t="shared" ref="BZ334:BZ397" si="2108">IF(TRIM(AG334)="",0,TRUNC(AG334,2))</f>
        <v>0</v>
      </c>
      <c r="CA334" s="49" t="str">
        <f t="shared" si="2071"/>
        <v/>
      </c>
      <c r="CB334" s="52" t="str">
        <f t="shared" ref="CB334:CB397" si="2109">IF(AI334="","",TEXT(AI334,"0000"))</f>
        <v/>
      </c>
      <c r="CC334" s="23">
        <f t="shared" ref="CC334:CC397" si="2110">IF(TRIM(AJ334)="",0,TRUNC(AJ334,2))</f>
        <v>0</v>
      </c>
      <c r="CD334" s="49" t="str">
        <f t="shared" si="2072"/>
        <v/>
      </c>
      <c r="CE334" s="56" t="str">
        <f>IF(CF334="","",MAX(CE$10:$CE333)+1)</f>
        <v/>
      </c>
      <c r="CF334" t="str">
        <f t="shared" ref="CF334:CF397" si="2111">IF(B334="","",AP334&amp;AQ334&amp;AR334&amp;AS334&amp;AT334&amp;AU334&amp;AV334&amp;AW334&amp;AY334&amp;BA334&amp;BC334&amp;BE334&amp;BG334&amp;BI334&amp;BK334&amp;BM334&amp;BN334&amp;BO334&amp;BP334&amp;BQ334&amp;BS334&amp;BT334)</f>
        <v/>
      </c>
      <c r="CG334" s="22" t="str">
        <f>IF(CH334="","",MAX($CG$10:CG333)+1)</f>
        <v/>
      </c>
      <c r="CH334" s="22" t="str">
        <f t="shared" si="2056"/>
        <v/>
      </c>
      <c r="CI334" s="22" t="str">
        <f>IF(CJ334="","",MAX($CI$10:CI333)+1)</f>
        <v/>
      </c>
      <c r="CJ334" s="22" t="str">
        <f t="shared" si="2057"/>
        <v/>
      </c>
    </row>
    <row r="335" spans="2:88" x14ac:dyDescent="0.25">
      <c r="B335" s="37"/>
      <c r="C335" s="3"/>
      <c r="D335" s="77" t="str">
        <f t="shared" si="2043"/>
        <v/>
      </c>
      <c r="E335" s="38"/>
      <c r="F335" s="38"/>
      <c r="G335" s="78">
        <f t="shared" si="2058"/>
        <v>0</v>
      </c>
      <c r="H335" s="3">
        <v>80</v>
      </c>
      <c r="I335" s="77" t="str">
        <f t="shared" si="2044"/>
        <v/>
      </c>
      <c r="J335" s="32"/>
      <c r="K335" s="3"/>
      <c r="L335" s="39"/>
      <c r="M335" s="39"/>
      <c r="N335" s="39"/>
      <c r="O335" s="39"/>
      <c r="P335" s="39"/>
      <c r="Q335" s="39"/>
      <c r="R335" s="39"/>
      <c r="S335" s="39"/>
      <c r="T335" s="3" t="s">
        <v>645</v>
      </c>
      <c r="U335" s="77" t="str">
        <f t="shared" si="2045"/>
        <v/>
      </c>
      <c r="V335" s="39">
        <v>1</v>
      </c>
      <c r="W335" s="79">
        <f t="shared" si="2059"/>
        <v>0</v>
      </c>
      <c r="X335" s="3">
        <v>0</v>
      </c>
      <c r="Y335" s="77" t="str">
        <f t="shared" si="2046"/>
        <v/>
      </c>
      <c r="Z335" s="3"/>
      <c r="AA335" s="37" t="str">
        <f t="shared" si="2060"/>
        <v/>
      </c>
      <c r="AC335" s="40"/>
      <c r="AD335" s="7"/>
      <c r="AE335" s="77" t="str">
        <f t="shared" si="2047"/>
        <v/>
      </c>
      <c r="AF335" s="81">
        <f t="shared" si="2073"/>
        <v>0</v>
      </c>
      <c r="AG335" s="40"/>
      <c r="AH335" s="7"/>
      <c r="AI335" s="77" t="str">
        <f t="shared" si="2048"/>
        <v/>
      </c>
      <c r="AJ335" s="81">
        <f t="shared" si="2074"/>
        <v>0</v>
      </c>
      <c r="AK335" s="83">
        <f t="shared" si="2075"/>
        <v>0</v>
      </c>
      <c r="AL335" s="83">
        <f t="shared" si="2076"/>
        <v>0</v>
      </c>
      <c r="AN335" s="43">
        <f t="shared" si="2049"/>
        <v>0</v>
      </c>
      <c r="AP335" t="str">
        <f t="shared" si="2077"/>
        <v/>
      </c>
      <c r="AQ335" t="str">
        <f t="shared" si="2078"/>
        <v/>
      </c>
      <c r="AR335" t="str">
        <f t="shared" si="2079"/>
        <v/>
      </c>
      <c r="AS335" t="str">
        <f t="shared" si="2080"/>
        <v/>
      </c>
      <c r="AT335" t="str">
        <f t="shared" si="2081"/>
        <v/>
      </c>
      <c r="AU335" t="str">
        <f t="shared" si="2082"/>
        <v/>
      </c>
      <c r="AV335" t="str">
        <f t="shared" si="2083"/>
        <v/>
      </c>
      <c r="AW335" t="str">
        <f t="shared" si="2084"/>
        <v xml:space="preserve">                              </v>
      </c>
      <c r="AX335" s="23">
        <f t="shared" si="2085"/>
        <v>0</v>
      </c>
      <c r="AY335" s="49" t="str">
        <f t="shared" si="2061"/>
        <v>000000000000000</v>
      </c>
      <c r="AZ335" s="23">
        <f t="shared" si="2086"/>
        <v>0</v>
      </c>
      <c r="BA335" s="49" t="str">
        <f t="shared" si="2061"/>
        <v>000000000000000</v>
      </c>
      <c r="BB335" s="23">
        <f t="shared" si="2087"/>
        <v>0</v>
      </c>
      <c r="BC335" s="49" t="str">
        <f t="shared" ref="BC335" si="2112">IF(BB335&lt;0,SUBSTITUTE(TEXT(BB335,"000000000000,00"),",",""),SUBSTITUTE(TEXT(BB335,"0000000000000,00"),",",""))</f>
        <v>000000000000000</v>
      </c>
      <c r="BD335" s="23">
        <f t="shared" si="2089"/>
        <v>0</v>
      </c>
      <c r="BE335" s="49" t="str">
        <f t="shared" ref="BE335" si="2113">IF(BD335&lt;0,SUBSTITUTE(TEXT(BD335,"000000000000,00"),",",""),SUBSTITUTE(TEXT(BD335,"0000000000000,00"),",",""))</f>
        <v>000000000000000</v>
      </c>
      <c r="BF335" s="23">
        <f t="shared" si="2091"/>
        <v>0</v>
      </c>
      <c r="BG335" s="49" t="str">
        <f t="shared" ref="BG335" si="2114">IF(BF335&lt;0,SUBSTITUTE(TEXT(BF335,"000000000000,00"),",",""),SUBSTITUTE(TEXT(BF335,"0000000000000,00"),",",""))</f>
        <v>000000000000000</v>
      </c>
      <c r="BH335" s="23">
        <f t="shared" si="2093"/>
        <v>0</v>
      </c>
      <c r="BI335" s="49" t="str">
        <f t="shared" ref="BI335" si="2115">IF(BH335&lt;0,SUBSTITUTE(TEXT(BH335,"000000000000,00"),",",""),SUBSTITUTE(TEXT(BH335,"0000000000000,00"),",",""))</f>
        <v>000000000000000</v>
      </c>
      <c r="BJ335" s="23">
        <f t="shared" si="2095"/>
        <v>0</v>
      </c>
      <c r="BK335" s="49" t="str">
        <f t="shared" ref="BK335" si="2116">IF(BJ335&lt;0,SUBSTITUTE(TEXT(BJ335,"000000000000,00"),",",""),SUBSTITUTE(TEXT(BJ335,"0000000000000,00"),",",""))</f>
        <v>000000000000000</v>
      </c>
      <c r="BL335" s="23">
        <f t="shared" si="2097"/>
        <v>0</v>
      </c>
      <c r="BM335" s="49" t="str">
        <f t="shared" ref="BM335" si="2117">IF(BL335&lt;0,SUBSTITUTE(TEXT(BL335,"000000000000,00"),",",""),SUBSTITUTE(TEXT(BL335,"0000000000000,00"),",",""))</f>
        <v>000000000000000</v>
      </c>
      <c r="BN335" t="str">
        <f t="shared" si="2099"/>
        <v>PES</v>
      </c>
      <c r="BO335" t="str">
        <f t="shared" si="2100"/>
        <v>0001000000</v>
      </c>
      <c r="BP335">
        <f t="shared" si="2101"/>
        <v>0</v>
      </c>
      <c r="BQ335">
        <f t="shared" si="2102"/>
        <v>0</v>
      </c>
      <c r="BR335" s="23">
        <f t="shared" si="2103"/>
        <v>0</v>
      </c>
      <c r="BS335" s="49" t="str">
        <f t="shared" si="2068"/>
        <v>000000000000000</v>
      </c>
      <c r="BT335" t="str">
        <f t="shared" si="2104"/>
        <v>00000000</v>
      </c>
      <c r="BU335" s="23">
        <f t="shared" si="2105"/>
        <v>0</v>
      </c>
      <c r="BV335" s="49" t="str">
        <f t="shared" si="2069"/>
        <v/>
      </c>
      <c r="BW335" s="52" t="str">
        <f t="shared" si="2106"/>
        <v/>
      </c>
      <c r="BX335" s="23">
        <f t="shared" si="2107"/>
        <v>0</v>
      </c>
      <c r="BY335" s="49" t="str">
        <f t="shared" si="2070"/>
        <v/>
      </c>
      <c r="BZ335" s="23">
        <f t="shared" si="2108"/>
        <v>0</v>
      </c>
      <c r="CA335" s="49" t="str">
        <f t="shared" si="2071"/>
        <v/>
      </c>
      <c r="CB335" s="52" t="str">
        <f t="shared" si="2109"/>
        <v/>
      </c>
      <c r="CC335" s="23">
        <f t="shared" si="2110"/>
        <v>0</v>
      </c>
      <c r="CD335" s="49" t="str">
        <f t="shared" si="2072"/>
        <v/>
      </c>
      <c r="CE335" s="56" t="str">
        <f>IF(CF335="","",MAX(CE$10:$CE334)+1)</f>
        <v/>
      </c>
      <c r="CF335" t="str">
        <f t="shared" si="2111"/>
        <v/>
      </c>
      <c r="CG335" s="22" t="str">
        <f>IF(CH335="","",MAX($CG$10:CG334)+1)</f>
        <v/>
      </c>
      <c r="CH335" s="22" t="str">
        <f t="shared" si="2056"/>
        <v/>
      </c>
      <c r="CI335" s="22" t="str">
        <f>IF(CJ335="","",MAX($CI$10:CI334)+1)</f>
        <v/>
      </c>
      <c r="CJ335" s="22" t="str">
        <f t="shared" si="2057"/>
        <v/>
      </c>
    </row>
    <row r="336" spans="2:88" x14ac:dyDescent="0.25">
      <c r="B336" s="37"/>
      <c r="C336" s="3"/>
      <c r="D336" s="77" t="str">
        <f t="shared" si="2043"/>
        <v/>
      </c>
      <c r="E336" s="38"/>
      <c r="F336" s="38"/>
      <c r="G336" s="78">
        <f t="shared" si="2058"/>
        <v>0</v>
      </c>
      <c r="H336" s="3">
        <v>80</v>
      </c>
      <c r="I336" s="77" t="str">
        <f t="shared" si="2044"/>
        <v/>
      </c>
      <c r="J336" s="32"/>
      <c r="K336" s="3"/>
      <c r="L336" s="39"/>
      <c r="M336" s="39"/>
      <c r="N336" s="39"/>
      <c r="O336" s="39"/>
      <c r="P336" s="39"/>
      <c r="Q336" s="39"/>
      <c r="R336" s="39"/>
      <c r="S336" s="39"/>
      <c r="T336" s="3" t="s">
        <v>645</v>
      </c>
      <c r="U336" s="77" t="str">
        <f t="shared" si="2045"/>
        <v/>
      </c>
      <c r="V336" s="39">
        <v>1</v>
      </c>
      <c r="W336" s="79">
        <f t="shared" si="2059"/>
        <v>0</v>
      </c>
      <c r="X336" s="3">
        <v>0</v>
      </c>
      <c r="Y336" s="77" t="str">
        <f t="shared" si="2046"/>
        <v/>
      </c>
      <c r="Z336" s="3"/>
      <c r="AA336" s="37" t="str">
        <f t="shared" si="2060"/>
        <v/>
      </c>
      <c r="AC336" s="40"/>
      <c r="AD336" s="7"/>
      <c r="AE336" s="77" t="str">
        <f t="shared" si="2047"/>
        <v/>
      </c>
      <c r="AF336" s="81">
        <f t="shared" si="2073"/>
        <v>0</v>
      </c>
      <c r="AG336" s="40"/>
      <c r="AH336" s="7"/>
      <c r="AI336" s="77" t="str">
        <f t="shared" si="2048"/>
        <v/>
      </c>
      <c r="AJ336" s="81">
        <f t="shared" si="2074"/>
        <v>0</v>
      </c>
      <c r="AK336" s="83">
        <f t="shared" si="2075"/>
        <v>0</v>
      </c>
      <c r="AL336" s="83">
        <f t="shared" si="2076"/>
        <v>0</v>
      </c>
      <c r="AN336" s="43">
        <f t="shared" si="2049"/>
        <v>0</v>
      </c>
      <c r="AP336" t="str">
        <f t="shared" si="2077"/>
        <v/>
      </c>
      <c r="AQ336" t="str">
        <f t="shared" si="2078"/>
        <v/>
      </c>
      <c r="AR336" t="str">
        <f t="shared" si="2079"/>
        <v/>
      </c>
      <c r="AS336" t="str">
        <f t="shared" si="2080"/>
        <v/>
      </c>
      <c r="AT336" t="str">
        <f t="shared" si="2081"/>
        <v/>
      </c>
      <c r="AU336" t="str">
        <f t="shared" si="2082"/>
        <v/>
      </c>
      <c r="AV336" t="str">
        <f t="shared" si="2083"/>
        <v/>
      </c>
      <c r="AW336" t="str">
        <f t="shared" si="2084"/>
        <v xml:space="preserve">                              </v>
      </c>
      <c r="AX336" s="23">
        <f t="shared" si="2085"/>
        <v>0</v>
      </c>
      <c r="AY336" s="49" t="str">
        <f t="shared" si="2061"/>
        <v>000000000000000</v>
      </c>
      <c r="AZ336" s="23">
        <f t="shared" si="2086"/>
        <v>0</v>
      </c>
      <c r="BA336" s="49" t="str">
        <f t="shared" si="2061"/>
        <v>000000000000000</v>
      </c>
      <c r="BB336" s="23">
        <f t="shared" si="2087"/>
        <v>0</v>
      </c>
      <c r="BC336" s="49" t="str">
        <f t="shared" ref="BC336" si="2118">IF(BB336&lt;0,SUBSTITUTE(TEXT(BB336,"000000000000,00"),",",""),SUBSTITUTE(TEXT(BB336,"0000000000000,00"),",",""))</f>
        <v>000000000000000</v>
      </c>
      <c r="BD336" s="23">
        <f t="shared" si="2089"/>
        <v>0</v>
      </c>
      <c r="BE336" s="49" t="str">
        <f t="shared" ref="BE336" si="2119">IF(BD336&lt;0,SUBSTITUTE(TEXT(BD336,"000000000000,00"),",",""),SUBSTITUTE(TEXT(BD336,"0000000000000,00"),",",""))</f>
        <v>000000000000000</v>
      </c>
      <c r="BF336" s="23">
        <f t="shared" si="2091"/>
        <v>0</v>
      </c>
      <c r="BG336" s="49" t="str">
        <f t="shared" ref="BG336" si="2120">IF(BF336&lt;0,SUBSTITUTE(TEXT(BF336,"000000000000,00"),",",""),SUBSTITUTE(TEXT(BF336,"0000000000000,00"),",",""))</f>
        <v>000000000000000</v>
      </c>
      <c r="BH336" s="23">
        <f t="shared" si="2093"/>
        <v>0</v>
      </c>
      <c r="BI336" s="49" t="str">
        <f t="shared" ref="BI336" si="2121">IF(BH336&lt;0,SUBSTITUTE(TEXT(BH336,"000000000000,00"),",",""),SUBSTITUTE(TEXT(BH336,"0000000000000,00"),",",""))</f>
        <v>000000000000000</v>
      </c>
      <c r="BJ336" s="23">
        <f t="shared" si="2095"/>
        <v>0</v>
      </c>
      <c r="BK336" s="49" t="str">
        <f t="shared" ref="BK336" si="2122">IF(BJ336&lt;0,SUBSTITUTE(TEXT(BJ336,"000000000000,00"),",",""),SUBSTITUTE(TEXT(BJ336,"0000000000000,00"),",",""))</f>
        <v>000000000000000</v>
      </c>
      <c r="BL336" s="23">
        <f t="shared" si="2097"/>
        <v>0</v>
      </c>
      <c r="BM336" s="49" t="str">
        <f t="shared" ref="BM336" si="2123">IF(BL336&lt;0,SUBSTITUTE(TEXT(BL336,"000000000000,00"),",",""),SUBSTITUTE(TEXT(BL336,"0000000000000,00"),",",""))</f>
        <v>000000000000000</v>
      </c>
      <c r="BN336" t="str">
        <f t="shared" si="2099"/>
        <v>PES</v>
      </c>
      <c r="BO336" t="str">
        <f t="shared" si="2100"/>
        <v>0001000000</v>
      </c>
      <c r="BP336">
        <f t="shared" si="2101"/>
        <v>0</v>
      </c>
      <c r="BQ336">
        <f t="shared" si="2102"/>
        <v>0</v>
      </c>
      <c r="BR336" s="23">
        <f t="shared" si="2103"/>
        <v>0</v>
      </c>
      <c r="BS336" s="49" t="str">
        <f t="shared" si="2068"/>
        <v>000000000000000</v>
      </c>
      <c r="BT336" t="str">
        <f t="shared" si="2104"/>
        <v>00000000</v>
      </c>
      <c r="BU336" s="23">
        <f t="shared" si="2105"/>
        <v>0</v>
      </c>
      <c r="BV336" s="49" t="str">
        <f t="shared" si="2069"/>
        <v/>
      </c>
      <c r="BW336" s="52" t="str">
        <f t="shared" si="2106"/>
        <v/>
      </c>
      <c r="BX336" s="23">
        <f t="shared" si="2107"/>
        <v>0</v>
      </c>
      <c r="BY336" s="49" t="str">
        <f t="shared" si="2070"/>
        <v/>
      </c>
      <c r="BZ336" s="23">
        <f t="shared" si="2108"/>
        <v>0</v>
      </c>
      <c r="CA336" s="49" t="str">
        <f t="shared" si="2071"/>
        <v/>
      </c>
      <c r="CB336" s="52" t="str">
        <f t="shared" si="2109"/>
        <v/>
      </c>
      <c r="CC336" s="23">
        <f t="shared" si="2110"/>
        <v>0</v>
      </c>
      <c r="CD336" s="49" t="str">
        <f t="shared" si="2072"/>
        <v/>
      </c>
      <c r="CE336" s="56" t="str">
        <f>IF(CF336="","",MAX(CE$10:$CE335)+1)</f>
        <v/>
      </c>
      <c r="CF336" t="str">
        <f t="shared" si="2111"/>
        <v/>
      </c>
      <c r="CG336" s="22" t="str">
        <f>IF(CH336="","",MAX($CG$10:CG335)+1)</f>
        <v/>
      </c>
      <c r="CH336" s="22" t="str">
        <f t="shared" si="2056"/>
        <v/>
      </c>
      <c r="CI336" s="22" t="str">
        <f>IF(CJ336="","",MAX($CI$10:CI335)+1)</f>
        <v/>
      </c>
      <c r="CJ336" s="22" t="str">
        <f t="shared" si="2057"/>
        <v/>
      </c>
    </row>
    <row r="337" spans="2:88" x14ac:dyDescent="0.25">
      <c r="B337" s="37"/>
      <c r="C337" s="3"/>
      <c r="D337" s="77" t="str">
        <f t="shared" si="2043"/>
        <v/>
      </c>
      <c r="E337" s="38"/>
      <c r="F337" s="38"/>
      <c r="G337" s="78">
        <f t="shared" si="2058"/>
        <v>0</v>
      </c>
      <c r="H337" s="3">
        <v>80</v>
      </c>
      <c r="I337" s="77" t="str">
        <f t="shared" si="2044"/>
        <v/>
      </c>
      <c r="J337" s="32"/>
      <c r="K337" s="3"/>
      <c r="L337" s="39"/>
      <c r="M337" s="39"/>
      <c r="N337" s="39"/>
      <c r="O337" s="39"/>
      <c r="P337" s="39"/>
      <c r="Q337" s="39"/>
      <c r="R337" s="39"/>
      <c r="S337" s="39"/>
      <c r="T337" s="3" t="s">
        <v>645</v>
      </c>
      <c r="U337" s="77" t="str">
        <f t="shared" si="2045"/>
        <v/>
      </c>
      <c r="V337" s="39">
        <v>1</v>
      </c>
      <c r="W337" s="79">
        <f t="shared" si="2059"/>
        <v>0</v>
      </c>
      <c r="X337" s="3">
        <v>0</v>
      </c>
      <c r="Y337" s="77" t="str">
        <f t="shared" si="2046"/>
        <v/>
      </c>
      <c r="Z337" s="3"/>
      <c r="AA337" s="37" t="str">
        <f t="shared" si="2060"/>
        <v/>
      </c>
      <c r="AC337" s="40"/>
      <c r="AD337" s="7"/>
      <c r="AE337" s="77" t="str">
        <f t="shared" si="2047"/>
        <v/>
      </c>
      <c r="AF337" s="81">
        <f t="shared" si="2073"/>
        <v>0</v>
      </c>
      <c r="AG337" s="40"/>
      <c r="AH337" s="7"/>
      <c r="AI337" s="77" t="str">
        <f t="shared" si="2048"/>
        <v/>
      </c>
      <c r="AJ337" s="81">
        <f t="shared" si="2074"/>
        <v>0</v>
      </c>
      <c r="AK337" s="83">
        <f t="shared" si="2075"/>
        <v>0</v>
      </c>
      <c r="AL337" s="83">
        <f t="shared" si="2076"/>
        <v>0</v>
      </c>
      <c r="AN337" s="43">
        <f t="shared" si="2049"/>
        <v>0</v>
      </c>
      <c r="AP337" t="str">
        <f t="shared" si="2077"/>
        <v/>
      </c>
      <c r="AQ337" t="str">
        <f t="shared" si="2078"/>
        <v/>
      </c>
      <c r="AR337" t="str">
        <f t="shared" si="2079"/>
        <v/>
      </c>
      <c r="AS337" t="str">
        <f t="shared" si="2080"/>
        <v/>
      </c>
      <c r="AT337" t="str">
        <f t="shared" si="2081"/>
        <v/>
      </c>
      <c r="AU337" t="str">
        <f t="shared" si="2082"/>
        <v/>
      </c>
      <c r="AV337" t="str">
        <f t="shared" si="2083"/>
        <v/>
      </c>
      <c r="AW337" t="str">
        <f t="shared" si="2084"/>
        <v xml:space="preserve">                              </v>
      </c>
      <c r="AX337" s="23">
        <f t="shared" si="2085"/>
        <v>0</v>
      </c>
      <c r="AY337" s="49" t="str">
        <f t="shared" si="2061"/>
        <v>000000000000000</v>
      </c>
      <c r="AZ337" s="23">
        <f t="shared" si="2086"/>
        <v>0</v>
      </c>
      <c r="BA337" s="49" t="str">
        <f t="shared" si="2061"/>
        <v>000000000000000</v>
      </c>
      <c r="BB337" s="23">
        <f t="shared" si="2087"/>
        <v>0</v>
      </c>
      <c r="BC337" s="49" t="str">
        <f t="shared" ref="BC337" si="2124">IF(BB337&lt;0,SUBSTITUTE(TEXT(BB337,"000000000000,00"),",",""),SUBSTITUTE(TEXT(BB337,"0000000000000,00"),",",""))</f>
        <v>000000000000000</v>
      </c>
      <c r="BD337" s="23">
        <f t="shared" si="2089"/>
        <v>0</v>
      </c>
      <c r="BE337" s="49" t="str">
        <f t="shared" ref="BE337" si="2125">IF(BD337&lt;0,SUBSTITUTE(TEXT(BD337,"000000000000,00"),",",""),SUBSTITUTE(TEXT(BD337,"0000000000000,00"),",",""))</f>
        <v>000000000000000</v>
      </c>
      <c r="BF337" s="23">
        <f t="shared" si="2091"/>
        <v>0</v>
      </c>
      <c r="BG337" s="49" t="str">
        <f t="shared" ref="BG337" si="2126">IF(BF337&lt;0,SUBSTITUTE(TEXT(BF337,"000000000000,00"),",",""),SUBSTITUTE(TEXT(BF337,"0000000000000,00"),",",""))</f>
        <v>000000000000000</v>
      </c>
      <c r="BH337" s="23">
        <f t="shared" si="2093"/>
        <v>0</v>
      </c>
      <c r="BI337" s="49" t="str">
        <f t="shared" ref="BI337" si="2127">IF(BH337&lt;0,SUBSTITUTE(TEXT(BH337,"000000000000,00"),",",""),SUBSTITUTE(TEXT(BH337,"0000000000000,00"),",",""))</f>
        <v>000000000000000</v>
      </c>
      <c r="BJ337" s="23">
        <f t="shared" si="2095"/>
        <v>0</v>
      </c>
      <c r="BK337" s="49" t="str">
        <f t="shared" ref="BK337" si="2128">IF(BJ337&lt;0,SUBSTITUTE(TEXT(BJ337,"000000000000,00"),",",""),SUBSTITUTE(TEXT(BJ337,"0000000000000,00"),",",""))</f>
        <v>000000000000000</v>
      </c>
      <c r="BL337" s="23">
        <f t="shared" si="2097"/>
        <v>0</v>
      </c>
      <c r="BM337" s="49" t="str">
        <f t="shared" ref="BM337" si="2129">IF(BL337&lt;0,SUBSTITUTE(TEXT(BL337,"000000000000,00"),",",""),SUBSTITUTE(TEXT(BL337,"0000000000000,00"),",",""))</f>
        <v>000000000000000</v>
      </c>
      <c r="BN337" t="str">
        <f t="shared" si="2099"/>
        <v>PES</v>
      </c>
      <c r="BO337" t="str">
        <f t="shared" si="2100"/>
        <v>0001000000</v>
      </c>
      <c r="BP337">
        <f t="shared" si="2101"/>
        <v>0</v>
      </c>
      <c r="BQ337">
        <f t="shared" si="2102"/>
        <v>0</v>
      </c>
      <c r="BR337" s="23">
        <f t="shared" si="2103"/>
        <v>0</v>
      </c>
      <c r="BS337" s="49" t="str">
        <f t="shared" si="2068"/>
        <v>000000000000000</v>
      </c>
      <c r="BT337" t="str">
        <f t="shared" si="2104"/>
        <v>00000000</v>
      </c>
      <c r="BU337" s="23">
        <f t="shared" si="2105"/>
        <v>0</v>
      </c>
      <c r="BV337" s="49" t="str">
        <f t="shared" si="2069"/>
        <v/>
      </c>
      <c r="BW337" s="52" t="str">
        <f t="shared" si="2106"/>
        <v/>
      </c>
      <c r="BX337" s="23">
        <f t="shared" si="2107"/>
        <v>0</v>
      </c>
      <c r="BY337" s="49" t="str">
        <f t="shared" si="2070"/>
        <v/>
      </c>
      <c r="BZ337" s="23">
        <f t="shared" si="2108"/>
        <v>0</v>
      </c>
      <c r="CA337" s="49" t="str">
        <f t="shared" si="2071"/>
        <v/>
      </c>
      <c r="CB337" s="52" t="str">
        <f t="shared" si="2109"/>
        <v/>
      </c>
      <c r="CC337" s="23">
        <f t="shared" si="2110"/>
        <v>0</v>
      </c>
      <c r="CD337" s="49" t="str">
        <f t="shared" si="2072"/>
        <v/>
      </c>
      <c r="CE337" s="56" t="str">
        <f>IF(CF337="","",MAX(CE$10:$CE336)+1)</f>
        <v/>
      </c>
      <c r="CF337" t="str">
        <f t="shared" si="2111"/>
        <v/>
      </c>
      <c r="CG337" s="22" t="str">
        <f>IF(CH337="","",MAX($CG$10:CG336)+1)</f>
        <v/>
      </c>
      <c r="CH337" s="22" t="str">
        <f t="shared" si="2056"/>
        <v/>
      </c>
      <c r="CI337" s="22" t="str">
        <f>IF(CJ337="","",MAX($CI$10:CI336)+1)</f>
        <v/>
      </c>
      <c r="CJ337" s="22" t="str">
        <f t="shared" si="2057"/>
        <v/>
      </c>
    </row>
    <row r="338" spans="2:88" x14ac:dyDescent="0.25">
      <c r="B338" s="37"/>
      <c r="C338" s="3"/>
      <c r="D338" s="77" t="str">
        <f t="shared" si="2043"/>
        <v/>
      </c>
      <c r="E338" s="38"/>
      <c r="F338" s="38"/>
      <c r="G338" s="78">
        <f t="shared" si="2058"/>
        <v>0</v>
      </c>
      <c r="H338" s="3">
        <v>80</v>
      </c>
      <c r="I338" s="77" t="str">
        <f t="shared" si="2044"/>
        <v/>
      </c>
      <c r="J338" s="32"/>
      <c r="K338" s="3"/>
      <c r="L338" s="39"/>
      <c r="M338" s="39"/>
      <c r="N338" s="39"/>
      <c r="O338" s="39"/>
      <c r="P338" s="39"/>
      <c r="Q338" s="39"/>
      <c r="R338" s="39"/>
      <c r="S338" s="39"/>
      <c r="T338" s="3" t="s">
        <v>645</v>
      </c>
      <c r="U338" s="77" t="str">
        <f t="shared" si="2045"/>
        <v/>
      </c>
      <c r="V338" s="39">
        <v>1</v>
      </c>
      <c r="W338" s="79">
        <f t="shared" si="2059"/>
        <v>0</v>
      </c>
      <c r="X338" s="3">
        <v>0</v>
      </c>
      <c r="Y338" s="77" t="str">
        <f t="shared" si="2046"/>
        <v/>
      </c>
      <c r="Z338" s="3"/>
      <c r="AA338" s="37" t="str">
        <f t="shared" si="2060"/>
        <v/>
      </c>
      <c r="AC338" s="40"/>
      <c r="AD338" s="7"/>
      <c r="AE338" s="77" t="str">
        <f t="shared" si="2047"/>
        <v/>
      </c>
      <c r="AF338" s="81">
        <f t="shared" si="2073"/>
        <v>0</v>
      </c>
      <c r="AG338" s="40"/>
      <c r="AH338" s="7"/>
      <c r="AI338" s="77" t="str">
        <f t="shared" si="2048"/>
        <v/>
      </c>
      <c r="AJ338" s="81">
        <f t="shared" si="2074"/>
        <v>0</v>
      </c>
      <c r="AK338" s="83">
        <f t="shared" si="2075"/>
        <v>0</v>
      </c>
      <c r="AL338" s="83">
        <f t="shared" si="2076"/>
        <v>0</v>
      </c>
      <c r="AN338" s="43">
        <f t="shared" si="2049"/>
        <v>0</v>
      </c>
      <c r="AP338" t="str">
        <f t="shared" si="2077"/>
        <v/>
      </c>
      <c r="AQ338" t="str">
        <f t="shared" si="2078"/>
        <v/>
      </c>
      <c r="AR338" t="str">
        <f t="shared" si="2079"/>
        <v/>
      </c>
      <c r="AS338" t="str">
        <f t="shared" si="2080"/>
        <v/>
      </c>
      <c r="AT338" t="str">
        <f t="shared" si="2081"/>
        <v/>
      </c>
      <c r="AU338" t="str">
        <f t="shared" si="2082"/>
        <v/>
      </c>
      <c r="AV338" t="str">
        <f t="shared" si="2083"/>
        <v/>
      </c>
      <c r="AW338" t="str">
        <f t="shared" si="2084"/>
        <v xml:space="preserve">                              </v>
      </c>
      <c r="AX338" s="23">
        <f t="shared" si="2085"/>
        <v>0</v>
      </c>
      <c r="AY338" s="49" t="str">
        <f t="shared" si="2061"/>
        <v>000000000000000</v>
      </c>
      <c r="AZ338" s="23">
        <f t="shared" si="2086"/>
        <v>0</v>
      </c>
      <c r="BA338" s="49" t="str">
        <f t="shared" si="2061"/>
        <v>000000000000000</v>
      </c>
      <c r="BB338" s="23">
        <f t="shared" si="2087"/>
        <v>0</v>
      </c>
      <c r="BC338" s="49" t="str">
        <f t="shared" ref="BC338" si="2130">IF(BB338&lt;0,SUBSTITUTE(TEXT(BB338,"000000000000,00"),",",""),SUBSTITUTE(TEXT(BB338,"0000000000000,00"),",",""))</f>
        <v>000000000000000</v>
      </c>
      <c r="BD338" s="23">
        <f t="shared" si="2089"/>
        <v>0</v>
      </c>
      <c r="BE338" s="49" t="str">
        <f t="shared" ref="BE338" si="2131">IF(BD338&lt;0,SUBSTITUTE(TEXT(BD338,"000000000000,00"),",",""),SUBSTITUTE(TEXT(BD338,"0000000000000,00"),",",""))</f>
        <v>000000000000000</v>
      </c>
      <c r="BF338" s="23">
        <f t="shared" si="2091"/>
        <v>0</v>
      </c>
      <c r="BG338" s="49" t="str">
        <f t="shared" ref="BG338" si="2132">IF(BF338&lt;0,SUBSTITUTE(TEXT(BF338,"000000000000,00"),",",""),SUBSTITUTE(TEXT(BF338,"0000000000000,00"),",",""))</f>
        <v>000000000000000</v>
      </c>
      <c r="BH338" s="23">
        <f t="shared" si="2093"/>
        <v>0</v>
      </c>
      <c r="BI338" s="49" t="str">
        <f t="shared" ref="BI338" si="2133">IF(BH338&lt;0,SUBSTITUTE(TEXT(BH338,"000000000000,00"),",",""),SUBSTITUTE(TEXT(BH338,"0000000000000,00"),",",""))</f>
        <v>000000000000000</v>
      </c>
      <c r="BJ338" s="23">
        <f t="shared" si="2095"/>
        <v>0</v>
      </c>
      <c r="BK338" s="49" t="str">
        <f t="shared" ref="BK338" si="2134">IF(BJ338&lt;0,SUBSTITUTE(TEXT(BJ338,"000000000000,00"),",",""),SUBSTITUTE(TEXT(BJ338,"0000000000000,00"),",",""))</f>
        <v>000000000000000</v>
      </c>
      <c r="BL338" s="23">
        <f t="shared" si="2097"/>
        <v>0</v>
      </c>
      <c r="BM338" s="49" t="str">
        <f t="shared" ref="BM338" si="2135">IF(BL338&lt;0,SUBSTITUTE(TEXT(BL338,"000000000000,00"),",",""),SUBSTITUTE(TEXT(BL338,"0000000000000,00"),",",""))</f>
        <v>000000000000000</v>
      </c>
      <c r="BN338" t="str">
        <f t="shared" si="2099"/>
        <v>PES</v>
      </c>
      <c r="BO338" t="str">
        <f t="shared" si="2100"/>
        <v>0001000000</v>
      </c>
      <c r="BP338">
        <f t="shared" si="2101"/>
        <v>0</v>
      </c>
      <c r="BQ338">
        <f t="shared" si="2102"/>
        <v>0</v>
      </c>
      <c r="BR338" s="23">
        <f t="shared" si="2103"/>
        <v>0</v>
      </c>
      <c r="BS338" s="49" t="str">
        <f t="shared" si="2068"/>
        <v>000000000000000</v>
      </c>
      <c r="BT338" t="str">
        <f t="shared" si="2104"/>
        <v>00000000</v>
      </c>
      <c r="BU338" s="23">
        <f t="shared" si="2105"/>
        <v>0</v>
      </c>
      <c r="BV338" s="49" t="str">
        <f t="shared" si="2069"/>
        <v/>
      </c>
      <c r="BW338" s="52" t="str">
        <f t="shared" si="2106"/>
        <v/>
      </c>
      <c r="BX338" s="23">
        <f t="shared" si="2107"/>
        <v>0</v>
      </c>
      <c r="BY338" s="49" t="str">
        <f t="shared" si="2070"/>
        <v/>
      </c>
      <c r="BZ338" s="23">
        <f t="shared" si="2108"/>
        <v>0</v>
      </c>
      <c r="CA338" s="49" t="str">
        <f t="shared" si="2071"/>
        <v/>
      </c>
      <c r="CB338" s="52" t="str">
        <f t="shared" si="2109"/>
        <v/>
      </c>
      <c r="CC338" s="23">
        <f t="shared" si="2110"/>
        <v>0</v>
      </c>
      <c r="CD338" s="49" t="str">
        <f t="shared" si="2072"/>
        <v/>
      </c>
      <c r="CE338" s="56" t="str">
        <f>IF(CF338="","",MAX(CE$10:$CE337)+1)</f>
        <v/>
      </c>
      <c r="CF338" t="str">
        <f t="shared" si="2111"/>
        <v/>
      </c>
      <c r="CG338" s="22" t="str">
        <f>IF(CH338="","",MAX($CG$10:CG337)+1)</f>
        <v/>
      </c>
      <c r="CH338" s="22" t="str">
        <f t="shared" si="2056"/>
        <v/>
      </c>
      <c r="CI338" s="22" t="str">
        <f>IF(CJ338="","",MAX($CI$10:CI337)+1)</f>
        <v/>
      </c>
      <c r="CJ338" s="22" t="str">
        <f t="shared" si="2057"/>
        <v/>
      </c>
    </row>
    <row r="339" spans="2:88" x14ac:dyDescent="0.25">
      <c r="B339" s="37"/>
      <c r="C339" s="3"/>
      <c r="D339" s="77" t="str">
        <f t="shared" si="2043"/>
        <v/>
      </c>
      <c r="E339" s="38"/>
      <c r="F339" s="38"/>
      <c r="G339" s="78">
        <f t="shared" si="2058"/>
        <v>0</v>
      </c>
      <c r="H339" s="3">
        <v>80</v>
      </c>
      <c r="I339" s="77" t="str">
        <f t="shared" si="2044"/>
        <v/>
      </c>
      <c r="J339" s="32"/>
      <c r="K339" s="3"/>
      <c r="L339" s="39"/>
      <c r="M339" s="39"/>
      <c r="N339" s="39"/>
      <c r="O339" s="39"/>
      <c r="P339" s="39"/>
      <c r="Q339" s="39"/>
      <c r="R339" s="39"/>
      <c r="S339" s="39"/>
      <c r="T339" s="3" t="s">
        <v>645</v>
      </c>
      <c r="U339" s="77" t="str">
        <f t="shared" si="2045"/>
        <v/>
      </c>
      <c r="V339" s="39">
        <v>1</v>
      </c>
      <c r="W339" s="79">
        <f t="shared" si="2059"/>
        <v>0</v>
      </c>
      <c r="X339" s="3">
        <v>0</v>
      </c>
      <c r="Y339" s="77" t="str">
        <f t="shared" si="2046"/>
        <v/>
      </c>
      <c r="Z339" s="3"/>
      <c r="AA339" s="37" t="str">
        <f t="shared" si="2060"/>
        <v/>
      </c>
      <c r="AC339" s="40"/>
      <c r="AD339" s="7"/>
      <c r="AE339" s="77" t="str">
        <f t="shared" si="2047"/>
        <v/>
      </c>
      <c r="AF339" s="81">
        <f t="shared" si="2073"/>
        <v>0</v>
      </c>
      <c r="AG339" s="40"/>
      <c r="AH339" s="7"/>
      <c r="AI339" s="77" t="str">
        <f t="shared" si="2048"/>
        <v/>
      </c>
      <c r="AJ339" s="81">
        <f t="shared" si="2074"/>
        <v>0</v>
      </c>
      <c r="AK339" s="83">
        <f t="shared" si="2075"/>
        <v>0</v>
      </c>
      <c r="AL339" s="83">
        <f t="shared" si="2076"/>
        <v>0</v>
      </c>
      <c r="AN339" s="43">
        <f t="shared" si="2049"/>
        <v>0</v>
      </c>
      <c r="AP339" t="str">
        <f t="shared" si="2077"/>
        <v/>
      </c>
      <c r="AQ339" t="str">
        <f t="shared" si="2078"/>
        <v/>
      </c>
      <c r="AR339" t="str">
        <f t="shared" si="2079"/>
        <v/>
      </c>
      <c r="AS339" t="str">
        <f t="shared" si="2080"/>
        <v/>
      </c>
      <c r="AT339" t="str">
        <f t="shared" si="2081"/>
        <v/>
      </c>
      <c r="AU339" t="str">
        <f t="shared" si="2082"/>
        <v/>
      </c>
      <c r="AV339" t="str">
        <f t="shared" si="2083"/>
        <v/>
      </c>
      <c r="AW339" t="str">
        <f t="shared" si="2084"/>
        <v xml:space="preserve">                              </v>
      </c>
      <c r="AX339" s="23">
        <f t="shared" si="2085"/>
        <v>0</v>
      </c>
      <c r="AY339" s="49" t="str">
        <f t="shared" si="2061"/>
        <v>000000000000000</v>
      </c>
      <c r="AZ339" s="23">
        <f t="shared" si="2086"/>
        <v>0</v>
      </c>
      <c r="BA339" s="49" t="str">
        <f t="shared" si="2061"/>
        <v>000000000000000</v>
      </c>
      <c r="BB339" s="23">
        <f t="shared" si="2087"/>
        <v>0</v>
      </c>
      <c r="BC339" s="49" t="str">
        <f t="shared" ref="BC339" si="2136">IF(BB339&lt;0,SUBSTITUTE(TEXT(BB339,"000000000000,00"),",",""),SUBSTITUTE(TEXT(BB339,"0000000000000,00"),",",""))</f>
        <v>000000000000000</v>
      </c>
      <c r="BD339" s="23">
        <f t="shared" si="2089"/>
        <v>0</v>
      </c>
      <c r="BE339" s="49" t="str">
        <f t="shared" ref="BE339" si="2137">IF(BD339&lt;0,SUBSTITUTE(TEXT(BD339,"000000000000,00"),",",""),SUBSTITUTE(TEXT(BD339,"0000000000000,00"),",",""))</f>
        <v>000000000000000</v>
      </c>
      <c r="BF339" s="23">
        <f t="shared" si="2091"/>
        <v>0</v>
      </c>
      <c r="BG339" s="49" t="str">
        <f t="shared" ref="BG339" si="2138">IF(BF339&lt;0,SUBSTITUTE(TEXT(BF339,"000000000000,00"),",",""),SUBSTITUTE(TEXT(BF339,"0000000000000,00"),",",""))</f>
        <v>000000000000000</v>
      </c>
      <c r="BH339" s="23">
        <f t="shared" si="2093"/>
        <v>0</v>
      </c>
      <c r="BI339" s="49" t="str">
        <f t="shared" ref="BI339" si="2139">IF(BH339&lt;0,SUBSTITUTE(TEXT(BH339,"000000000000,00"),",",""),SUBSTITUTE(TEXT(BH339,"0000000000000,00"),",",""))</f>
        <v>000000000000000</v>
      </c>
      <c r="BJ339" s="23">
        <f t="shared" si="2095"/>
        <v>0</v>
      </c>
      <c r="BK339" s="49" t="str">
        <f t="shared" ref="BK339" si="2140">IF(BJ339&lt;0,SUBSTITUTE(TEXT(BJ339,"000000000000,00"),",",""),SUBSTITUTE(TEXT(BJ339,"0000000000000,00"),",",""))</f>
        <v>000000000000000</v>
      </c>
      <c r="BL339" s="23">
        <f t="shared" si="2097"/>
        <v>0</v>
      </c>
      <c r="BM339" s="49" t="str">
        <f t="shared" ref="BM339" si="2141">IF(BL339&lt;0,SUBSTITUTE(TEXT(BL339,"000000000000,00"),",",""),SUBSTITUTE(TEXT(BL339,"0000000000000,00"),",",""))</f>
        <v>000000000000000</v>
      </c>
      <c r="BN339" t="str">
        <f t="shared" si="2099"/>
        <v>PES</v>
      </c>
      <c r="BO339" t="str">
        <f t="shared" si="2100"/>
        <v>0001000000</v>
      </c>
      <c r="BP339">
        <f t="shared" si="2101"/>
        <v>0</v>
      </c>
      <c r="BQ339">
        <f t="shared" si="2102"/>
        <v>0</v>
      </c>
      <c r="BR339" s="23">
        <f t="shared" si="2103"/>
        <v>0</v>
      </c>
      <c r="BS339" s="49" t="str">
        <f t="shared" si="2068"/>
        <v>000000000000000</v>
      </c>
      <c r="BT339" t="str">
        <f t="shared" si="2104"/>
        <v>00000000</v>
      </c>
      <c r="BU339" s="23">
        <f t="shared" si="2105"/>
        <v>0</v>
      </c>
      <c r="BV339" s="49" t="str">
        <f t="shared" si="2069"/>
        <v/>
      </c>
      <c r="BW339" s="52" t="str">
        <f t="shared" si="2106"/>
        <v/>
      </c>
      <c r="BX339" s="23">
        <f t="shared" si="2107"/>
        <v>0</v>
      </c>
      <c r="BY339" s="49" t="str">
        <f t="shared" si="2070"/>
        <v/>
      </c>
      <c r="BZ339" s="23">
        <f t="shared" si="2108"/>
        <v>0</v>
      </c>
      <c r="CA339" s="49" t="str">
        <f t="shared" si="2071"/>
        <v/>
      </c>
      <c r="CB339" s="52" t="str">
        <f t="shared" si="2109"/>
        <v/>
      </c>
      <c r="CC339" s="23">
        <f t="shared" si="2110"/>
        <v>0</v>
      </c>
      <c r="CD339" s="49" t="str">
        <f t="shared" si="2072"/>
        <v/>
      </c>
      <c r="CE339" s="56" t="str">
        <f>IF(CF339="","",MAX(CE$10:$CE338)+1)</f>
        <v/>
      </c>
      <c r="CF339" t="str">
        <f t="shared" si="2111"/>
        <v/>
      </c>
      <c r="CG339" s="22" t="str">
        <f>IF(CH339="","",MAX($CG$10:CG338)+1)</f>
        <v/>
      </c>
      <c r="CH339" s="22" t="str">
        <f t="shared" si="2056"/>
        <v/>
      </c>
      <c r="CI339" s="22" t="str">
        <f>IF(CJ339="","",MAX($CI$10:CI338)+1)</f>
        <v/>
      </c>
      <c r="CJ339" s="22" t="str">
        <f t="shared" si="2057"/>
        <v/>
      </c>
    </row>
    <row r="340" spans="2:88" x14ac:dyDescent="0.25">
      <c r="B340" s="37"/>
      <c r="C340" s="3"/>
      <c r="D340" s="77" t="str">
        <f t="shared" si="2043"/>
        <v/>
      </c>
      <c r="E340" s="38"/>
      <c r="F340" s="38"/>
      <c r="G340" s="78">
        <f t="shared" si="2058"/>
        <v>0</v>
      </c>
      <c r="H340" s="3">
        <v>80</v>
      </c>
      <c r="I340" s="77" t="str">
        <f t="shared" si="2044"/>
        <v/>
      </c>
      <c r="J340" s="32"/>
      <c r="K340" s="3"/>
      <c r="L340" s="39"/>
      <c r="M340" s="39"/>
      <c r="N340" s="39"/>
      <c r="O340" s="39"/>
      <c r="P340" s="39"/>
      <c r="Q340" s="39"/>
      <c r="R340" s="39"/>
      <c r="S340" s="39"/>
      <c r="T340" s="3" t="s">
        <v>645</v>
      </c>
      <c r="U340" s="77" t="str">
        <f t="shared" si="2045"/>
        <v/>
      </c>
      <c r="V340" s="39">
        <v>1</v>
      </c>
      <c r="W340" s="79">
        <f t="shared" si="2059"/>
        <v>0</v>
      </c>
      <c r="X340" s="3">
        <v>0</v>
      </c>
      <c r="Y340" s="77" t="str">
        <f t="shared" si="2046"/>
        <v/>
      </c>
      <c r="Z340" s="3"/>
      <c r="AA340" s="37" t="str">
        <f t="shared" si="2060"/>
        <v/>
      </c>
      <c r="AC340" s="40"/>
      <c r="AD340" s="7"/>
      <c r="AE340" s="77" t="str">
        <f t="shared" si="2047"/>
        <v/>
      </c>
      <c r="AF340" s="81">
        <f t="shared" si="2073"/>
        <v>0</v>
      </c>
      <c r="AG340" s="40"/>
      <c r="AH340" s="7"/>
      <c r="AI340" s="77" t="str">
        <f t="shared" si="2048"/>
        <v/>
      </c>
      <c r="AJ340" s="81">
        <f t="shared" si="2074"/>
        <v>0</v>
      </c>
      <c r="AK340" s="83">
        <f t="shared" si="2075"/>
        <v>0</v>
      </c>
      <c r="AL340" s="83">
        <f t="shared" si="2076"/>
        <v>0</v>
      </c>
      <c r="AN340" s="43">
        <f t="shared" si="2049"/>
        <v>0</v>
      </c>
      <c r="AP340" t="str">
        <f t="shared" si="2077"/>
        <v/>
      </c>
      <c r="AQ340" t="str">
        <f t="shared" si="2078"/>
        <v/>
      </c>
      <c r="AR340" t="str">
        <f t="shared" si="2079"/>
        <v/>
      </c>
      <c r="AS340" t="str">
        <f t="shared" si="2080"/>
        <v/>
      </c>
      <c r="AT340" t="str">
        <f t="shared" si="2081"/>
        <v/>
      </c>
      <c r="AU340" t="str">
        <f t="shared" si="2082"/>
        <v/>
      </c>
      <c r="AV340" t="str">
        <f t="shared" si="2083"/>
        <v/>
      </c>
      <c r="AW340" t="str">
        <f t="shared" si="2084"/>
        <v xml:space="preserve">                              </v>
      </c>
      <c r="AX340" s="23">
        <f t="shared" si="2085"/>
        <v>0</v>
      </c>
      <c r="AY340" s="49" t="str">
        <f t="shared" si="2061"/>
        <v>000000000000000</v>
      </c>
      <c r="AZ340" s="23">
        <f t="shared" si="2086"/>
        <v>0</v>
      </c>
      <c r="BA340" s="49" t="str">
        <f t="shared" si="2061"/>
        <v>000000000000000</v>
      </c>
      <c r="BB340" s="23">
        <f t="shared" si="2087"/>
        <v>0</v>
      </c>
      <c r="BC340" s="49" t="str">
        <f t="shared" ref="BC340" si="2142">IF(BB340&lt;0,SUBSTITUTE(TEXT(BB340,"000000000000,00"),",",""),SUBSTITUTE(TEXT(BB340,"0000000000000,00"),",",""))</f>
        <v>000000000000000</v>
      </c>
      <c r="BD340" s="23">
        <f t="shared" si="2089"/>
        <v>0</v>
      </c>
      <c r="BE340" s="49" t="str">
        <f t="shared" ref="BE340" si="2143">IF(BD340&lt;0,SUBSTITUTE(TEXT(BD340,"000000000000,00"),",",""),SUBSTITUTE(TEXT(BD340,"0000000000000,00"),",",""))</f>
        <v>000000000000000</v>
      </c>
      <c r="BF340" s="23">
        <f t="shared" si="2091"/>
        <v>0</v>
      </c>
      <c r="BG340" s="49" t="str">
        <f t="shared" ref="BG340" si="2144">IF(BF340&lt;0,SUBSTITUTE(TEXT(BF340,"000000000000,00"),",",""),SUBSTITUTE(TEXT(BF340,"0000000000000,00"),",",""))</f>
        <v>000000000000000</v>
      </c>
      <c r="BH340" s="23">
        <f t="shared" si="2093"/>
        <v>0</v>
      </c>
      <c r="BI340" s="49" t="str">
        <f t="shared" ref="BI340" si="2145">IF(BH340&lt;0,SUBSTITUTE(TEXT(BH340,"000000000000,00"),",",""),SUBSTITUTE(TEXT(BH340,"0000000000000,00"),",",""))</f>
        <v>000000000000000</v>
      </c>
      <c r="BJ340" s="23">
        <f t="shared" si="2095"/>
        <v>0</v>
      </c>
      <c r="BK340" s="49" t="str">
        <f t="shared" ref="BK340" si="2146">IF(BJ340&lt;0,SUBSTITUTE(TEXT(BJ340,"000000000000,00"),",",""),SUBSTITUTE(TEXT(BJ340,"0000000000000,00"),",",""))</f>
        <v>000000000000000</v>
      </c>
      <c r="BL340" s="23">
        <f t="shared" si="2097"/>
        <v>0</v>
      </c>
      <c r="BM340" s="49" t="str">
        <f t="shared" ref="BM340" si="2147">IF(BL340&lt;0,SUBSTITUTE(TEXT(BL340,"000000000000,00"),",",""),SUBSTITUTE(TEXT(BL340,"0000000000000,00"),",",""))</f>
        <v>000000000000000</v>
      </c>
      <c r="BN340" t="str">
        <f t="shared" si="2099"/>
        <v>PES</v>
      </c>
      <c r="BO340" t="str">
        <f t="shared" si="2100"/>
        <v>0001000000</v>
      </c>
      <c r="BP340">
        <f t="shared" si="2101"/>
        <v>0</v>
      </c>
      <c r="BQ340">
        <f t="shared" si="2102"/>
        <v>0</v>
      </c>
      <c r="BR340" s="23">
        <f t="shared" si="2103"/>
        <v>0</v>
      </c>
      <c r="BS340" s="49" t="str">
        <f t="shared" si="2068"/>
        <v>000000000000000</v>
      </c>
      <c r="BT340" t="str">
        <f t="shared" si="2104"/>
        <v>00000000</v>
      </c>
      <c r="BU340" s="23">
        <f t="shared" si="2105"/>
        <v>0</v>
      </c>
      <c r="BV340" s="49" t="str">
        <f t="shared" si="2069"/>
        <v/>
      </c>
      <c r="BW340" s="52" t="str">
        <f t="shared" si="2106"/>
        <v/>
      </c>
      <c r="BX340" s="23">
        <f t="shared" si="2107"/>
        <v>0</v>
      </c>
      <c r="BY340" s="49" t="str">
        <f t="shared" si="2070"/>
        <v/>
      </c>
      <c r="BZ340" s="23">
        <f t="shared" si="2108"/>
        <v>0</v>
      </c>
      <c r="CA340" s="49" t="str">
        <f t="shared" si="2071"/>
        <v/>
      </c>
      <c r="CB340" s="52" t="str">
        <f t="shared" si="2109"/>
        <v/>
      </c>
      <c r="CC340" s="23">
        <f t="shared" si="2110"/>
        <v>0</v>
      </c>
      <c r="CD340" s="49" t="str">
        <f t="shared" si="2072"/>
        <v/>
      </c>
      <c r="CE340" s="56" t="str">
        <f>IF(CF340="","",MAX(CE$10:$CE339)+1)</f>
        <v/>
      </c>
      <c r="CF340" t="str">
        <f t="shared" si="2111"/>
        <v/>
      </c>
      <c r="CG340" s="22" t="str">
        <f>IF(CH340="","",MAX($CG$10:CG339)+1)</f>
        <v/>
      </c>
      <c r="CH340" s="22" t="str">
        <f t="shared" si="2056"/>
        <v/>
      </c>
      <c r="CI340" s="22" t="str">
        <f>IF(CJ340="","",MAX($CI$10:CI339)+1)</f>
        <v/>
      </c>
      <c r="CJ340" s="22" t="str">
        <f t="shared" si="2057"/>
        <v/>
      </c>
    </row>
    <row r="341" spans="2:88" x14ac:dyDescent="0.25">
      <c r="B341" s="37"/>
      <c r="C341" s="3"/>
      <c r="D341" s="77" t="str">
        <f t="shared" si="2043"/>
        <v/>
      </c>
      <c r="E341" s="38"/>
      <c r="F341" s="38"/>
      <c r="G341" s="78">
        <f t="shared" si="2058"/>
        <v>0</v>
      </c>
      <c r="H341" s="3">
        <v>80</v>
      </c>
      <c r="I341" s="77" t="str">
        <f t="shared" si="2044"/>
        <v/>
      </c>
      <c r="J341" s="32"/>
      <c r="K341" s="3"/>
      <c r="L341" s="39"/>
      <c r="M341" s="39"/>
      <c r="N341" s="39"/>
      <c r="O341" s="39"/>
      <c r="P341" s="39"/>
      <c r="Q341" s="39"/>
      <c r="R341" s="39"/>
      <c r="S341" s="39"/>
      <c r="T341" s="3" t="s">
        <v>645</v>
      </c>
      <c r="U341" s="77" t="str">
        <f t="shared" si="2045"/>
        <v/>
      </c>
      <c r="V341" s="39">
        <v>1</v>
      </c>
      <c r="W341" s="79">
        <f t="shared" si="2059"/>
        <v>0</v>
      </c>
      <c r="X341" s="3">
        <v>0</v>
      </c>
      <c r="Y341" s="77" t="str">
        <f t="shared" si="2046"/>
        <v/>
      </c>
      <c r="Z341" s="3"/>
      <c r="AA341" s="37" t="str">
        <f t="shared" si="2060"/>
        <v/>
      </c>
      <c r="AC341" s="40"/>
      <c r="AD341" s="7"/>
      <c r="AE341" s="77" t="str">
        <f t="shared" si="2047"/>
        <v/>
      </c>
      <c r="AF341" s="81">
        <f t="shared" si="2073"/>
        <v>0</v>
      </c>
      <c r="AG341" s="40"/>
      <c r="AH341" s="7"/>
      <c r="AI341" s="77" t="str">
        <f t="shared" si="2048"/>
        <v/>
      </c>
      <c r="AJ341" s="81">
        <f t="shared" si="2074"/>
        <v>0</v>
      </c>
      <c r="AK341" s="83">
        <f t="shared" si="2075"/>
        <v>0</v>
      </c>
      <c r="AL341" s="83">
        <f t="shared" si="2076"/>
        <v>0</v>
      </c>
      <c r="AN341" s="43">
        <f t="shared" si="2049"/>
        <v>0</v>
      </c>
      <c r="AP341" t="str">
        <f t="shared" si="2077"/>
        <v/>
      </c>
      <c r="AQ341" t="str">
        <f t="shared" si="2078"/>
        <v/>
      </c>
      <c r="AR341" t="str">
        <f t="shared" si="2079"/>
        <v/>
      </c>
      <c r="AS341" t="str">
        <f t="shared" si="2080"/>
        <v/>
      </c>
      <c r="AT341" t="str">
        <f t="shared" si="2081"/>
        <v/>
      </c>
      <c r="AU341" t="str">
        <f t="shared" si="2082"/>
        <v/>
      </c>
      <c r="AV341" t="str">
        <f t="shared" si="2083"/>
        <v/>
      </c>
      <c r="AW341" t="str">
        <f t="shared" si="2084"/>
        <v xml:space="preserve">                              </v>
      </c>
      <c r="AX341" s="23">
        <f t="shared" si="2085"/>
        <v>0</v>
      </c>
      <c r="AY341" s="49" t="str">
        <f t="shared" si="2061"/>
        <v>000000000000000</v>
      </c>
      <c r="AZ341" s="23">
        <f t="shared" si="2086"/>
        <v>0</v>
      </c>
      <c r="BA341" s="49" t="str">
        <f t="shared" si="2061"/>
        <v>000000000000000</v>
      </c>
      <c r="BB341" s="23">
        <f t="shared" si="2087"/>
        <v>0</v>
      </c>
      <c r="BC341" s="49" t="str">
        <f t="shared" ref="BC341" si="2148">IF(BB341&lt;0,SUBSTITUTE(TEXT(BB341,"000000000000,00"),",",""),SUBSTITUTE(TEXT(BB341,"0000000000000,00"),",",""))</f>
        <v>000000000000000</v>
      </c>
      <c r="BD341" s="23">
        <f t="shared" si="2089"/>
        <v>0</v>
      </c>
      <c r="BE341" s="49" t="str">
        <f t="shared" ref="BE341" si="2149">IF(BD341&lt;0,SUBSTITUTE(TEXT(BD341,"000000000000,00"),",",""),SUBSTITUTE(TEXT(BD341,"0000000000000,00"),",",""))</f>
        <v>000000000000000</v>
      </c>
      <c r="BF341" s="23">
        <f t="shared" si="2091"/>
        <v>0</v>
      </c>
      <c r="BG341" s="49" t="str">
        <f t="shared" ref="BG341" si="2150">IF(BF341&lt;0,SUBSTITUTE(TEXT(BF341,"000000000000,00"),",",""),SUBSTITUTE(TEXT(BF341,"0000000000000,00"),",",""))</f>
        <v>000000000000000</v>
      </c>
      <c r="BH341" s="23">
        <f t="shared" si="2093"/>
        <v>0</v>
      </c>
      <c r="BI341" s="49" t="str">
        <f t="shared" ref="BI341" si="2151">IF(BH341&lt;0,SUBSTITUTE(TEXT(BH341,"000000000000,00"),",",""),SUBSTITUTE(TEXT(BH341,"0000000000000,00"),",",""))</f>
        <v>000000000000000</v>
      </c>
      <c r="BJ341" s="23">
        <f t="shared" si="2095"/>
        <v>0</v>
      </c>
      <c r="BK341" s="49" t="str">
        <f t="shared" ref="BK341" si="2152">IF(BJ341&lt;0,SUBSTITUTE(TEXT(BJ341,"000000000000,00"),",",""),SUBSTITUTE(TEXT(BJ341,"0000000000000,00"),",",""))</f>
        <v>000000000000000</v>
      </c>
      <c r="BL341" s="23">
        <f t="shared" si="2097"/>
        <v>0</v>
      </c>
      <c r="BM341" s="49" t="str">
        <f t="shared" ref="BM341" si="2153">IF(BL341&lt;0,SUBSTITUTE(TEXT(BL341,"000000000000,00"),",",""),SUBSTITUTE(TEXT(BL341,"0000000000000,00"),",",""))</f>
        <v>000000000000000</v>
      </c>
      <c r="BN341" t="str">
        <f t="shared" si="2099"/>
        <v>PES</v>
      </c>
      <c r="BO341" t="str">
        <f t="shared" si="2100"/>
        <v>0001000000</v>
      </c>
      <c r="BP341">
        <f t="shared" si="2101"/>
        <v>0</v>
      </c>
      <c r="BQ341">
        <f t="shared" si="2102"/>
        <v>0</v>
      </c>
      <c r="BR341" s="23">
        <f t="shared" si="2103"/>
        <v>0</v>
      </c>
      <c r="BS341" s="49" t="str">
        <f t="shared" si="2068"/>
        <v>000000000000000</v>
      </c>
      <c r="BT341" t="str">
        <f t="shared" si="2104"/>
        <v>00000000</v>
      </c>
      <c r="BU341" s="23">
        <f t="shared" si="2105"/>
        <v>0</v>
      </c>
      <c r="BV341" s="49" t="str">
        <f t="shared" si="2069"/>
        <v/>
      </c>
      <c r="BW341" s="52" t="str">
        <f t="shared" si="2106"/>
        <v/>
      </c>
      <c r="BX341" s="23">
        <f t="shared" si="2107"/>
        <v>0</v>
      </c>
      <c r="BY341" s="49" t="str">
        <f t="shared" si="2070"/>
        <v/>
      </c>
      <c r="BZ341" s="23">
        <f t="shared" si="2108"/>
        <v>0</v>
      </c>
      <c r="CA341" s="49" t="str">
        <f t="shared" si="2071"/>
        <v/>
      </c>
      <c r="CB341" s="52" t="str">
        <f t="shared" si="2109"/>
        <v/>
      </c>
      <c r="CC341" s="23">
        <f t="shared" si="2110"/>
        <v>0</v>
      </c>
      <c r="CD341" s="49" t="str">
        <f t="shared" si="2072"/>
        <v/>
      </c>
      <c r="CE341" s="56" t="str">
        <f>IF(CF341="","",MAX(CE$10:$CE340)+1)</f>
        <v/>
      </c>
      <c r="CF341" t="str">
        <f t="shared" si="2111"/>
        <v/>
      </c>
      <c r="CG341" s="22" t="str">
        <f>IF(CH341="","",MAX($CG$10:CG340)+1)</f>
        <v/>
      </c>
      <c r="CH341" s="22" t="str">
        <f t="shared" si="2056"/>
        <v/>
      </c>
      <c r="CI341" s="22" t="str">
        <f>IF(CJ341="","",MAX($CI$10:CI340)+1)</f>
        <v/>
      </c>
      <c r="CJ341" s="22" t="str">
        <f t="shared" si="2057"/>
        <v/>
      </c>
    </row>
    <row r="342" spans="2:88" x14ac:dyDescent="0.25">
      <c r="B342" s="37"/>
      <c r="C342" s="3"/>
      <c r="D342" s="77" t="str">
        <f t="shared" si="2043"/>
        <v/>
      </c>
      <c r="E342" s="38"/>
      <c r="F342" s="38"/>
      <c r="G342" s="78">
        <f t="shared" si="2058"/>
        <v>0</v>
      </c>
      <c r="H342" s="3">
        <v>80</v>
      </c>
      <c r="I342" s="77" t="str">
        <f t="shared" si="2044"/>
        <v/>
      </c>
      <c r="J342" s="32"/>
      <c r="K342" s="3"/>
      <c r="L342" s="39"/>
      <c r="M342" s="39"/>
      <c r="N342" s="39"/>
      <c r="O342" s="39"/>
      <c r="P342" s="39"/>
      <c r="Q342" s="39"/>
      <c r="R342" s="39"/>
      <c r="S342" s="39"/>
      <c r="T342" s="3" t="s">
        <v>645</v>
      </c>
      <c r="U342" s="77" t="str">
        <f t="shared" si="2045"/>
        <v/>
      </c>
      <c r="V342" s="39">
        <v>1</v>
      </c>
      <c r="W342" s="79">
        <f t="shared" si="2059"/>
        <v>0</v>
      </c>
      <c r="X342" s="3">
        <v>0</v>
      </c>
      <c r="Y342" s="77" t="str">
        <f t="shared" si="2046"/>
        <v/>
      </c>
      <c r="Z342" s="3"/>
      <c r="AA342" s="37" t="str">
        <f t="shared" si="2060"/>
        <v/>
      </c>
      <c r="AC342" s="40"/>
      <c r="AD342" s="7"/>
      <c r="AE342" s="77" t="str">
        <f t="shared" si="2047"/>
        <v/>
      </c>
      <c r="AF342" s="81">
        <f t="shared" si="2073"/>
        <v>0</v>
      </c>
      <c r="AG342" s="40"/>
      <c r="AH342" s="7"/>
      <c r="AI342" s="77" t="str">
        <f t="shared" si="2048"/>
        <v/>
      </c>
      <c r="AJ342" s="81">
        <f t="shared" si="2074"/>
        <v>0</v>
      </c>
      <c r="AK342" s="83">
        <f t="shared" si="2075"/>
        <v>0</v>
      </c>
      <c r="AL342" s="83">
        <f t="shared" si="2076"/>
        <v>0</v>
      </c>
      <c r="AN342" s="43">
        <f t="shared" si="2049"/>
        <v>0</v>
      </c>
      <c r="AP342" t="str">
        <f t="shared" si="2077"/>
        <v/>
      </c>
      <c r="AQ342" t="str">
        <f t="shared" si="2078"/>
        <v/>
      </c>
      <c r="AR342" t="str">
        <f t="shared" si="2079"/>
        <v/>
      </c>
      <c r="AS342" t="str">
        <f t="shared" si="2080"/>
        <v/>
      </c>
      <c r="AT342" t="str">
        <f t="shared" si="2081"/>
        <v/>
      </c>
      <c r="AU342" t="str">
        <f t="shared" si="2082"/>
        <v/>
      </c>
      <c r="AV342" t="str">
        <f t="shared" si="2083"/>
        <v/>
      </c>
      <c r="AW342" t="str">
        <f t="shared" si="2084"/>
        <v xml:space="preserve">                              </v>
      </c>
      <c r="AX342" s="23">
        <f t="shared" si="2085"/>
        <v>0</v>
      </c>
      <c r="AY342" s="49" t="str">
        <f t="shared" si="2061"/>
        <v>000000000000000</v>
      </c>
      <c r="AZ342" s="23">
        <f t="shared" si="2086"/>
        <v>0</v>
      </c>
      <c r="BA342" s="49" t="str">
        <f t="shared" si="2061"/>
        <v>000000000000000</v>
      </c>
      <c r="BB342" s="23">
        <f t="shared" si="2087"/>
        <v>0</v>
      </c>
      <c r="BC342" s="49" t="str">
        <f t="shared" ref="BC342" si="2154">IF(BB342&lt;0,SUBSTITUTE(TEXT(BB342,"000000000000,00"),",",""),SUBSTITUTE(TEXT(BB342,"0000000000000,00"),",",""))</f>
        <v>000000000000000</v>
      </c>
      <c r="BD342" s="23">
        <f t="shared" si="2089"/>
        <v>0</v>
      </c>
      <c r="BE342" s="49" t="str">
        <f t="shared" ref="BE342" si="2155">IF(BD342&lt;0,SUBSTITUTE(TEXT(BD342,"000000000000,00"),",",""),SUBSTITUTE(TEXT(BD342,"0000000000000,00"),",",""))</f>
        <v>000000000000000</v>
      </c>
      <c r="BF342" s="23">
        <f t="shared" si="2091"/>
        <v>0</v>
      </c>
      <c r="BG342" s="49" t="str">
        <f t="shared" ref="BG342" si="2156">IF(BF342&lt;0,SUBSTITUTE(TEXT(BF342,"000000000000,00"),",",""),SUBSTITUTE(TEXT(BF342,"0000000000000,00"),",",""))</f>
        <v>000000000000000</v>
      </c>
      <c r="BH342" s="23">
        <f t="shared" si="2093"/>
        <v>0</v>
      </c>
      <c r="BI342" s="49" t="str">
        <f t="shared" ref="BI342" si="2157">IF(BH342&lt;0,SUBSTITUTE(TEXT(BH342,"000000000000,00"),",",""),SUBSTITUTE(TEXT(BH342,"0000000000000,00"),",",""))</f>
        <v>000000000000000</v>
      </c>
      <c r="BJ342" s="23">
        <f t="shared" si="2095"/>
        <v>0</v>
      </c>
      <c r="BK342" s="49" t="str">
        <f t="shared" ref="BK342" si="2158">IF(BJ342&lt;0,SUBSTITUTE(TEXT(BJ342,"000000000000,00"),",",""),SUBSTITUTE(TEXT(BJ342,"0000000000000,00"),",",""))</f>
        <v>000000000000000</v>
      </c>
      <c r="BL342" s="23">
        <f t="shared" si="2097"/>
        <v>0</v>
      </c>
      <c r="BM342" s="49" t="str">
        <f t="shared" ref="BM342" si="2159">IF(BL342&lt;0,SUBSTITUTE(TEXT(BL342,"000000000000,00"),",",""),SUBSTITUTE(TEXT(BL342,"0000000000000,00"),",",""))</f>
        <v>000000000000000</v>
      </c>
      <c r="BN342" t="str">
        <f t="shared" si="2099"/>
        <v>PES</v>
      </c>
      <c r="BO342" t="str">
        <f t="shared" si="2100"/>
        <v>0001000000</v>
      </c>
      <c r="BP342">
        <f t="shared" si="2101"/>
        <v>0</v>
      </c>
      <c r="BQ342">
        <f t="shared" si="2102"/>
        <v>0</v>
      </c>
      <c r="BR342" s="23">
        <f t="shared" si="2103"/>
        <v>0</v>
      </c>
      <c r="BS342" s="49" t="str">
        <f t="shared" si="2068"/>
        <v>000000000000000</v>
      </c>
      <c r="BT342" t="str">
        <f t="shared" si="2104"/>
        <v>00000000</v>
      </c>
      <c r="BU342" s="23">
        <f t="shared" si="2105"/>
        <v>0</v>
      </c>
      <c r="BV342" s="49" t="str">
        <f t="shared" si="2069"/>
        <v/>
      </c>
      <c r="BW342" s="52" t="str">
        <f t="shared" si="2106"/>
        <v/>
      </c>
      <c r="BX342" s="23">
        <f t="shared" si="2107"/>
        <v>0</v>
      </c>
      <c r="BY342" s="49" t="str">
        <f t="shared" si="2070"/>
        <v/>
      </c>
      <c r="BZ342" s="23">
        <f t="shared" si="2108"/>
        <v>0</v>
      </c>
      <c r="CA342" s="49" t="str">
        <f t="shared" si="2071"/>
        <v/>
      </c>
      <c r="CB342" s="52" t="str">
        <f t="shared" si="2109"/>
        <v/>
      </c>
      <c r="CC342" s="23">
        <f t="shared" si="2110"/>
        <v>0</v>
      </c>
      <c r="CD342" s="49" t="str">
        <f t="shared" si="2072"/>
        <v/>
      </c>
      <c r="CE342" s="56" t="str">
        <f>IF(CF342="","",MAX(CE$10:$CE341)+1)</f>
        <v/>
      </c>
      <c r="CF342" t="str">
        <f t="shared" si="2111"/>
        <v/>
      </c>
      <c r="CG342" s="22" t="str">
        <f>IF(CH342="","",MAX($CG$10:CG341)+1)</f>
        <v/>
      </c>
      <c r="CH342" s="22" t="str">
        <f t="shared" si="2056"/>
        <v/>
      </c>
      <c r="CI342" s="22" t="str">
        <f>IF(CJ342="","",MAX($CI$10:CI341)+1)</f>
        <v/>
      </c>
      <c r="CJ342" s="22" t="str">
        <f t="shared" si="2057"/>
        <v/>
      </c>
    </row>
    <row r="343" spans="2:88" x14ac:dyDescent="0.25">
      <c r="B343" s="37"/>
      <c r="C343" s="3"/>
      <c r="D343" s="77" t="str">
        <f t="shared" si="2043"/>
        <v/>
      </c>
      <c r="E343" s="38"/>
      <c r="F343" s="38"/>
      <c r="G343" s="78">
        <f t="shared" si="2058"/>
        <v>0</v>
      </c>
      <c r="H343" s="3">
        <v>80</v>
      </c>
      <c r="I343" s="77" t="str">
        <f t="shared" si="2044"/>
        <v/>
      </c>
      <c r="J343" s="32"/>
      <c r="K343" s="3"/>
      <c r="L343" s="39"/>
      <c r="M343" s="39"/>
      <c r="N343" s="39"/>
      <c r="O343" s="39"/>
      <c r="P343" s="39"/>
      <c r="Q343" s="39"/>
      <c r="R343" s="39"/>
      <c r="S343" s="39"/>
      <c r="T343" s="3" t="s">
        <v>645</v>
      </c>
      <c r="U343" s="77" t="str">
        <f t="shared" si="2045"/>
        <v/>
      </c>
      <c r="V343" s="39">
        <v>1</v>
      </c>
      <c r="W343" s="79">
        <f t="shared" si="2059"/>
        <v>0</v>
      </c>
      <c r="X343" s="3">
        <v>0</v>
      </c>
      <c r="Y343" s="77" t="str">
        <f t="shared" si="2046"/>
        <v/>
      </c>
      <c r="Z343" s="3"/>
      <c r="AA343" s="37" t="str">
        <f t="shared" si="2060"/>
        <v/>
      </c>
      <c r="AC343" s="40"/>
      <c r="AD343" s="7"/>
      <c r="AE343" s="77" t="str">
        <f t="shared" si="2047"/>
        <v/>
      </c>
      <c r="AF343" s="81">
        <f t="shared" si="2073"/>
        <v>0</v>
      </c>
      <c r="AG343" s="40"/>
      <c r="AH343" s="7"/>
      <c r="AI343" s="77" t="str">
        <f t="shared" si="2048"/>
        <v/>
      </c>
      <c r="AJ343" s="81">
        <f t="shared" si="2074"/>
        <v>0</v>
      </c>
      <c r="AK343" s="83">
        <f t="shared" si="2075"/>
        <v>0</v>
      </c>
      <c r="AL343" s="83">
        <f t="shared" si="2076"/>
        <v>0</v>
      </c>
      <c r="AN343" s="43">
        <f t="shared" si="2049"/>
        <v>0</v>
      </c>
      <c r="AP343" t="str">
        <f t="shared" si="2077"/>
        <v/>
      </c>
      <c r="AQ343" t="str">
        <f t="shared" si="2078"/>
        <v/>
      </c>
      <c r="AR343" t="str">
        <f t="shared" si="2079"/>
        <v/>
      </c>
      <c r="AS343" t="str">
        <f t="shared" si="2080"/>
        <v/>
      </c>
      <c r="AT343" t="str">
        <f t="shared" si="2081"/>
        <v/>
      </c>
      <c r="AU343" t="str">
        <f t="shared" si="2082"/>
        <v/>
      </c>
      <c r="AV343" t="str">
        <f t="shared" si="2083"/>
        <v/>
      </c>
      <c r="AW343" t="str">
        <f t="shared" si="2084"/>
        <v xml:space="preserve">                              </v>
      </c>
      <c r="AX343" s="23">
        <f t="shared" si="2085"/>
        <v>0</v>
      </c>
      <c r="AY343" s="49" t="str">
        <f t="shared" si="2061"/>
        <v>000000000000000</v>
      </c>
      <c r="AZ343" s="23">
        <f t="shared" si="2086"/>
        <v>0</v>
      </c>
      <c r="BA343" s="49" t="str">
        <f t="shared" si="2061"/>
        <v>000000000000000</v>
      </c>
      <c r="BB343" s="23">
        <f t="shared" si="2087"/>
        <v>0</v>
      </c>
      <c r="BC343" s="49" t="str">
        <f t="shared" ref="BC343" si="2160">IF(BB343&lt;0,SUBSTITUTE(TEXT(BB343,"000000000000,00"),",",""),SUBSTITUTE(TEXT(BB343,"0000000000000,00"),",",""))</f>
        <v>000000000000000</v>
      </c>
      <c r="BD343" s="23">
        <f t="shared" si="2089"/>
        <v>0</v>
      </c>
      <c r="BE343" s="49" t="str">
        <f t="shared" ref="BE343" si="2161">IF(BD343&lt;0,SUBSTITUTE(TEXT(BD343,"000000000000,00"),",",""),SUBSTITUTE(TEXT(BD343,"0000000000000,00"),",",""))</f>
        <v>000000000000000</v>
      </c>
      <c r="BF343" s="23">
        <f t="shared" si="2091"/>
        <v>0</v>
      </c>
      <c r="BG343" s="49" t="str">
        <f t="shared" ref="BG343" si="2162">IF(BF343&lt;0,SUBSTITUTE(TEXT(BF343,"000000000000,00"),",",""),SUBSTITUTE(TEXT(BF343,"0000000000000,00"),",",""))</f>
        <v>000000000000000</v>
      </c>
      <c r="BH343" s="23">
        <f t="shared" si="2093"/>
        <v>0</v>
      </c>
      <c r="BI343" s="49" t="str">
        <f t="shared" ref="BI343" si="2163">IF(BH343&lt;0,SUBSTITUTE(TEXT(BH343,"000000000000,00"),",",""),SUBSTITUTE(TEXT(BH343,"0000000000000,00"),",",""))</f>
        <v>000000000000000</v>
      </c>
      <c r="BJ343" s="23">
        <f t="shared" si="2095"/>
        <v>0</v>
      </c>
      <c r="BK343" s="49" t="str">
        <f t="shared" ref="BK343" si="2164">IF(BJ343&lt;0,SUBSTITUTE(TEXT(BJ343,"000000000000,00"),",",""),SUBSTITUTE(TEXT(BJ343,"0000000000000,00"),",",""))</f>
        <v>000000000000000</v>
      </c>
      <c r="BL343" s="23">
        <f t="shared" si="2097"/>
        <v>0</v>
      </c>
      <c r="BM343" s="49" t="str">
        <f t="shared" ref="BM343" si="2165">IF(BL343&lt;0,SUBSTITUTE(TEXT(BL343,"000000000000,00"),",",""),SUBSTITUTE(TEXT(BL343,"0000000000000,00"),",",""))</f>
        <v>000000000000000</v>
      </c>
      <c r="BN343" t="str">
        <f t="shared" si="2099"/>
        <v>PES</v>
      </c>
      <c r="BO343" t="str">
        <f t="shared" si="2100"/>
        <v>0001000000</v>
      </c>
      <c r="BP343">
        <f t="shared" si="2101"/>
        <v>0</v>
      </c>
      <c r="BQ343">
        <f t="shared" si="2102"/>
        <v>0</v>
      </c>
      <c r="BR343" s="23">
        <f t="shared" si="2103"/>
        <v>0</v>
      </c>
      <c r="BS343" s="49" t="str">
        <f t="shared" si="2068"/>
        <v>000000000000000</v>
      </c>
      <c r="BT343" t="str">
        <f t="shared" si="2104"/>
        <v>00000000</v>
      </c>
      <c r="BU343" s="23">
        <f t="shared" si="2105"/>
        <v>0</v>
      </c>
      <c r="BV343" s="49" t="str">
        <f t="shared" si="2069"/>
        <v/>
      </c>
      <c r="BW343" s="52" t="str">
        <f t="shared" si="2106"/>
        <v/>
      </c>
      <c r="BX343" s="23">
        <f t="shared" si="2107"/>
        <v>0</v>
      </c>
      <c r="BY343" s="49" t="str">
        <f t="shared" si="2070"/>
        <v/>
      </c>
      <c r="BZ343" s="23">
        <f t="shared" si="2108"/>
        <v>0</v>
      </c>
      <c r="CA343" s="49" t="str">
        <f t="shared" si="2071"/>
        <v/>
      </c>
      <c r="CB343" s="52" t="str">
        <f t="shared" si="2109"/>
        <v/>
      </c>
      <c r="CC343" s="23">
        <f t="shared" si="2110"/>
        <v>0</v>
      </c>
      <c r="CD343" s="49" t="str">
        <f t="shared" si="2072"/>
        <v/>
      </c>
      <c r="CE343" s="56" t="str">
        <f>IF(CF343="","",MAX(CE$10:$CE342)+1)</f>
        <v/>
      </c>
      <c r="CF343" t="str">
        <f t="shared" si="2111"/>
        <v/>
      </c>
      <c r="CG343" s="22" t="str">
        <f>IF(CH343="","",MAX($CG$10:CG342)+1)</f>
        <v/>
      </c>
      <c r="CH343" s="22" t="str">
        <f t="shared" si="2056"/>
        <v/>
      </c>
      <c r="CI343" s="22" t="str">
        <f>IF(CJ343="","",MAX($CI$10:CI342)+1)</f>
        <v/>
      </c>
      <c r="CJ343" s="22" t="str">
        <f t="shared" si="2057"/>
        <v/>
      </c>
    </row>
    <row r="344" spans="2:88" x14ac:dyDescent="0.25">
      <c r="B344" s="37"/>
      <c r="C344" s="3"/>
      <c r="D344" s="77" t="str">
        <f t="shared" si="2043"/>
        <v/>
      </c>
      <c r="E344" s="38"/>
      <c r="F344" s="38"/>
      <c r="G344" s="78">
        <f t="shared" si="2058"/>
        <v>0</v>
      </c>
      <c r="H344" s="3">
        <v>80</v>
      </c>
      <c r="I344" s="77" t="str">
        <f t="shared" si="2044"/>
        <v/>
      </c>
      <c r="J344" s="32"/>
      <c r="K344" s="3"/>
      <c r="L344" s="39"/>
      <c r="M344" s="39"/>
      <c r="N344" s="39"/>
      <c r="O344" s="39"/>
      <c r="P344" s="39"/>
      <c r="Q344" s="39"/>
      <c r="R344" s="39"/>
      <c r="S344" s="39"/>
      <c r="T344" s="3" t="s">
        <v>645</v>
      </c>
      <c r="U344" s="77" t="str">
        <f t="shared" si="2045"/>
        <v/>
      </c>
      <c r="V344" s="39">
        <v>1</v>
      </c>
      <c r="W344" s="79">
        <f t="shared" si="2059"/>
        <v>0</v>
      </c>
      <c r="X344" s="3">
        <v>0</v>
      </c>
      <c r="Y344" s="77" t="str">
        <f t="shared" si="2046"/>
        <v/>
      </c>
      <c r="Z344" s="3"/>
      <c r="AA344" s="37" t="str">
        <f t="shared" si="2060"/>
        <v/>
      </c>
      <c r="AC344" s="40"/>
      <c r="AD344" s="7"/>
      <c r="AE344" s="77" t="str">
        <f t="shared" si="2047"/>
        <v/>
      </c>
      <c r="AF344" s="81">
        <f t="shared" si="2073"/>
        <v>0</v>
      </c>
      <c r="AG344" s="40"/>
      <c r="AH344" s="7"/>
      <c r="AI344" s="77" t="str">
        <f t="shared" si="2048"/>
        <v/>
      </c>
      <c r="AJ344" s="81">
        <f t="shared" si="2074"/>
        <v>0</v>
      </c>
      <c r="AK344" s="83">
        <f t="shared" si="2075"/>
        <v>0</v>
      </c>
      <c r="AL344" s="83">
        <f t="shared" si="2076"/>
        <v>0</v>
      </c>
      <c r="AN344" s="43">
        <f t="shared" si="2049"/>
        <v>0</v>
      </c>
      <c r="AP344" t="str">
        <f t="shared" si="2077"/>
        <v/>
      </c>
      <c r="AQ344" t="str">
        <f t="shared" si="2078"/>
        <v/>
      </c>
      <c r="AR344" t="str">
        <f t="shared" si="2079"/>
        <v/>
      </c>
      <c r="AS344" t="str">
        <f t="shared" si="2080"/>
        <v/>
      </c>
      <c r="AT344" t="str">
        <f t="shared" si="2081"/>
        <v/>
      </c>
      <c r="AU344" t="str">
        <f t="shared" si="2082"/>
        <v/>
      </c>
      <c r="AV344" t="str">
        <f t="shared" si="2083"/>
        <v/>
      </c>
      <c r="AW344" t="str">
        <f t="shared" si="2084"/>
        <v xml:space="preserve">                              </v>
      </c>
      <c r="AX344" s="23">
        <f t="shared" si="2085"/>
        <v>0</v>
      </c>
      <c r="AY344" s="49" t="str">
        <f t="shared" si="2061"/>
        <v>000000000000000</v>
      </c>
      <c r="AZ344" s="23">
        <f t="shared" si="2086"/>
        <v>0</v>
      </c>
      <c r="BA344" s="49" t="str">
        <f t="shared" si="2061"/>
        <v>000000000000000</v>
      </c>
      <c r="BB344" s="23">
        <f t="shared" si="2087"/>
        <v>0</v>
      </c>
      <c r="BC344" s="49" t="str">
        <f t="shared" ref="BC344" si="2166">IF(BB344&lt;0,SUBSTITUTE(TEXT(BB344,"000000000000,00"),",",""),SUBSTITUTE(TEXT(BB344,"0000000000000,00"),",",""))</f>
        <v>000000000000000</v>
      </c>
      <c r="BD344" s="23">
        <f t="shared" si="2089"/>
        <v>0</v>
      </c>
      <c r="BE344" s="49" t="str">
        <f t="shared" ref="BE344" si="2167">IF(BD344&lt;0,SUBSTITUTE(TEXT(BD344,"000000000000,00"),",",""),SUBSTITUTE(TEXT(BD344,"0000000000000,00"),",",""))</f>
        <v>000000000000000</v>
      </c>
      <c r="BF344" s="23">
        <f t="shared" si="2091"/>
        <v>0</v>
      </c>
      <c r="BG344" s="49" t="str">
        <f t="shared" ref="BG344" si="2168">IF(BF344&lt;0,SUBSTITUTE(TEXT(BF344,"000000000000,00"),",",""),SUBSTITUTE(TEXT(BF344,"0000000000000,00"),",",""))</f>
        <v>000000000000000</v>
      </c>
      <c r="BH344" s="23">
        <f t="shared" si="2093"/>
        <v>0</v>
      </c>
      <c r="BI344" s="49" t="str">
        <f t="shared" ref="BI344" si="2169">IF(BH344&lt;0,SUBSTITUTE(TEXT(BH344,"000000000000,00"),",",""),SUBSTITUTE(TEXT(BH344,"0000000000000,00"),",",""))</f>
        <v>000000000000000</v>
      </c>
      <c r="BJ344" s="23">
        <f t="shared" si="2095"/>
        <v>0</v>
      </c>
      <c r="BK344" s="49" t="str">
        <f t="shared" ref="BK344" si="2170">IF(BJ344&lt;0,SUBSTITUTE(TEXT(BJ344,"000000000000,00"),",",""),SUBSTITUTE(TEXT(BJ344,"0000000000000,00"),",",""))</f>
        <v>000000000000000</v>
      </c>
      <c r="BL344" s="23">
        <f t="shared" si="2097"/>
        <v>0</v>
      </c>
      <c r="BM344" s="49" t="str">
        <f t="shared" ref="BM344" si="2171">IF(BL344&lt;0,SUBSTITUTE(TEXT(BL344,"000000000000,00"),",",""),SUBSTITUTE(TEXT(BL344,"0000000000000,00"),",",""))</f>
        <v>000000000000000</v>
      </c>
      <c r="BN344" t="str">
        <f t="shared" si="2099"/>
        <v>PES</v>
      </c>
      <c r="BO344" t="str">
        <f t="shared" si="2100"/>
        <v>0001000000</v>
      </c>
      <c r="BP344">
        <f t="shared" si="2101"/>
        <v>0</v>
      </c>
      <c r="BQ344">
        <f t="shared" si="2102"/>
        <v>0</v>
      </c>
      <c r="BR344" s="23">
        <f t="shared" si="2103"/>
        <v>0</v>
      </c>
      <c r="BS344" s="49" t="str">
        <f t="shared" si="2068"/>
        <v>000000000000000</v>
      </c>
      <c r="BT344" t="str">
        <f t="shared" si="2104"/>
        <v>00000000</v>
      </c>
      <c r="BU344" s="23">
        <f t="shared" si="2105"/>
        <v>0</v>
      </c>
      <c r="BV344" s="49" t="str">
        <f t="shared" si="2069"/>
        <v/>
      </c>
      <c r="BW344" s="52" t="str">
        <f t="shared" si="2106"/>
        <v/>
      </c>
      <c r="BX344" s="23">
        <f t="shared" si="2107"/>
        <v>0</v>
      </c>
      <c r="BY344" s="49" t="str">
        <f t="shared" si="2070"/>
        <v/>
      </c>
      <c r="BZ344" s="23">
        <f t="shared" si="2108"/>
        <v>0</v>
      </c>
      <c r="CA344" s="49" t="str">
        <f t="shared" si="2071"/>
        <v/>
      </c>
      <c r="CB344" s="52" t="str">
        <f t="shared" si="2109"/>
        <v/>
      </c>
      <c r="CC344" s="23">
        <f t="shared" si="2110"/>
        <v>0</v>
      </c>
      <c r="CD344" s="49" t="str">
        <f t="shared" si="2072"/>
        <v/>
      </c>
      <c r="CE344" s="56" t="str">
        <f>IF(CF344="","",MAX(CE$10:$CE343)+1)</f>
        <v/>
      </c>
      <c r="CF344" t="str">
        <f t="shared" si="2111"/>
        <v/>
      </c>
      <c r="CG344" s="22" t="str">
        <f>IF(CH344="","",MAX($CG$10:CG343)+1)</f>
        <v/>
      </c>
      <c r="CH344" s="22" t="str">
        <f t="shared" si="2056"/>
        <v/>
      </c>
      <c r="CI344" s="22" t="str">
        <f>IF(CJ344="","",MAX($CI$10:CI343)+1)</f>
        <v/>
      </c>
      <c r="CJ344" s="22" t="str">
        <f t="shared" si="2057"/>
        <v/>
      </c>
    </row>
    <row r="345" spans="2:88" x14ac:dyDescent="0.25">
      <c r="B345" s="37"/>
      <c r="C345" s="3"/>
      <c r="D345" s="77" t="str">
        <f t="shared" si="2043"/>
        <v/>
      </c>
      <c r="E345" s="38"/>
      <c r="F345" s="38"/>
      <c r="G345" s="78">
        <f t="shared" si="2058"/>
        <v>0</v>
      </c>
      <c r="H345" s="3">
        <v>80</v>
      </c>
      <c r="I345" s="77" t="str">
        <f t="shared" si="2044"/>
        <v/>
      </c>
      <c r="J345" s="32"/>
      <c r="K345" s="3"/>
      <c r="L345" s="39"/>
      <c r="M345" s="39"/>
      <c r="N345" s="39"/>
      <c r="O345" s="39"/>
      <c r="P345" s="39"/>
      <c r="Q345" s="39"/>
      <c r="R345" s="39"/>
      <c r="S345" s="39"/>
      <c r="T345" s="3" t="s">
        <v>645</v>
      </c>
      <c r="U345" s="77" t="str">
        <f t="shared" si="2045"/>
        <v/>
      </c>
      <c r="V345" s="39">
        <v>1</v>
      </c>
      <c r="W345" s="79">
        <f t="shared" si="2059"/>
        <v>0</v>
      </c>
      <c r="X345" s="3">
        <v>0</v>
      </c>
      <c r="Y345" s="77" t="str">
        <f t="shared" si="2046"/>
        <v/>
      </c>
      <c r="Z345" s="3"/>
      <c r="AA345" s="37" t="str">
        <f t="shared" si="2060"/>
        <v/>
      </c>
      <c r="AC345" s="40"/>
      <c r="AD345" s="7"/>
      <c r="AE345" s="77" t="str">
        <f t="shared" si="2047"/>
        <v/>
      </c>
      <c r="AF345" s="81">
        <f t="shared" si="2073"/>
        <v>0</v>
      </c>
      <c r="AG345" s="40"/>
      <c r="AH345" s="7"/>
      <c r="AI345" s="77" t="str">
        <f t="shared" si="2048"/>
        <v/>
      </c>
      <c r="AJ345" s="81">
        <f t="shared" si="2074"/>
        <v>0</v>
      </c>
      <c r="AK345" s="83">
        <f t="shared" si="2075"/>
        <v>0</v>
      </c>
      <c r="AL345" s="83">
        <f t="shared" si="2076"/>
        <v>0</v>
      </c>
      <c r="AN345" s="43">
        <f t="shared" si="2049"/>
        <v>0</v>
      </c>
      <c r="AP345" t="str">
        <f t="shared" si="2077"/>
        <v/>
      </c>
      <c r="AQ345" t="str">
        <f t="shared" si="2078"/>
        <v/>
      </c>
      <c r="AR345" t="str">
        <f t="shared" si="2079"/>
        <v/>
      </c>
      <c r="AS345" t="str">
        <f t="shared" si="2080"/>
        <v/>
      </c>
      <c r="AT345" t="str">
        <f t="shared" si="2081"/>
        <v/>
      </c>
      <c r="AU345" t="str">
        <f t="shared" si="2082"/>
        <v/>
      </c>
      <c r="AV345" t="str">
        <f t="shared" si="2083"/>
        <v/>
      </c>
      <c r="AW345" t="str">
        <f t="shared" si="2084"/>
        <v xml:space="preserve">                              </v>
      </c>
      <c r="AX345" s="23">
        <f t="shared" si="2085"/>
        <v>0</v>
      </c>
      <c r="AY345" s="49" t="str">
        <f t="shared" si="2061"/>
        <v>000000000000000</v>
      </c>
      <c r="AZ345" s="23">
        <f t="shared" si="2086"/>
        <v>0</v>
      </c>
      <c r="BA345" s="49" t="str">
        <f t="shared" si="2061"/>
        <v>000000000000000</v>
      </c>
      <c r="BB345" s="23">
        <f t="shared" si="2087"/>
        <v>0</v>
      </c>
      <c r="BC345" s="49" t="str">
        <f t="shared" ref="BC345" si="2172">IF(BB345&lt;0,SUBSTITUTE(TEXT(BB345,"000000000000,00"),",",""),SUBSTITUTE(TEXT(BB345,"0000000000000,00"),",",""))</f>
        <v>000000000000000</v>
      </c>
      <c r="BD345" s="23">
        <f t="shared" si="2089"/>
        <v>0</v>
      </c>
      <c r="BE345" s="49" t="str">
        <f t="shared" ref="BE345" si="2173">IF(BD345&lt;0,SUBSTITUTE(TEXT(BD345,"000000000000,00"),",",""),SUBSTITUTE(TEXT(BD345,"0000000000000,00"),",",""))</f>
        <v>000000000000000</v>
      </c>
      <c r="BF345" s="23">
        <f t="shared" si="2091"/>
        <v>0</v>
      </c>
      <c r="BG345" s="49" t="str">
        <f t="shared" ref="BG345" si="2174">IF(BF345&lt;0,SUBSTITUTE(TEXT(BF345,"000000000000,00"),",",""),SUBSTITUTE(TEXT(BF345,"0000000000000,00"),",",""))</f>
        <v>000000000000000</v>
      </c>
      <c r="BH345" s="23">
        <f t="shared" si="2093"/>
        <v>0</v>
      </c>
      <c r="BI345" s="49" t="str">
        <f t="shared" ref="BI345" si="2175">IF(BH345&lt;0,SUBSTITUTE(TEXT(BH345,"000000000000,00"),",",""),SUBSTITUTE(TEXT(BH345,"0000000000000,00"),",",""))</f>
        <v>000000000000000</v>
      </c>
      <c r="BJ345" s="23">
        <f t="shared" si="2095"/>
        <v>0</v>
      </c>
      <c r="BK345" s="49" t="str">
        <f t="shared" ref="BK345" si="2176">IF(BJ345&lt;0,SUBSTITUTE(TEXT(BJ345,"000000000000,00"),",",""),SUBSTITUTE(TEXT(BJ345,"0000000000000,00"),",",""))</f>
        <v>000000000000000</v>
      </c>
      <c r="BL345" s="23">
        <f t="shared" si="2097"/>
        <v>0</v>
      </c>
      <c r="BM345" s="49" t="str">
        <f t="shared" ref="BM345" si="2177">IF(BL345&lt;0,SUBSTITUTE(TEXT(BL345,"000000000000,00"),",",""),SUBSTITUTE(TEXT(BL345,"0000000000000,00"),",",""))</f>
        <v>000000000000000</v>
      </c>
      <c r="BN345" t="str">
        <f t="shared" si="2099"/>
        <v>PES</v>
      </c>
      <c r="BO345" t="str">
        <f t="shared" si="2100"/>
        <v>0001000000</v>
      </c>
      <c r="BP345">
        <f t="shared" si="2101"/>
        <v>0</v>
      </c>
      <c r="BQ345">
        <f t="shared" si="2102"/>
        <v>0</v>
      </c>
      <c r="BR345" s="23">
        <f t="shared" si="2103"/>
        <v>0</v>
      </c>
      <c r="BS345" s="49" t="str">
        <f t="shared" si="2068"/>
        <v>000000000000000</v>
      </c>
      <c r="BT345" t="str">
        <f t="shared" si="2104"/>
        <v>00000000</v>
      </c>
      <c r="BU345" s="23">
        <f t="shared" si="2105"/>
        <v>0</v>
      </c>
      <c r="BV345" s="49" t="str">
        <f t="shared" si="2069"/>
        <v/>
      </c>
      <c r="BW345" s="52" t="str">
        <f t="shared" si="2106"/>
        <v/>
      </c>
      <c r="BX345" s="23">
        <f t="shared" si="2107"/>
        <v>0</v>
      </c>
      <c r="BY345" s="49" t="str">
        <f t="shared" si="2070"/>
        <v/>
      </c>
      <c r="BZ345" s="23">
        <f t="shared" si="2108"/>
        <v>0</v>
      </c>
      <c r="CA345" s="49" t="str">
        <f t="shared" si="2071"/>
        <v/>
      </c>
      <c r="CB345" s="52" t="str">
        <f t="shared" si="2109"/>
        <v/>
      </c>
      <c r="CC345" s="23">
        <f t="shared" si="2110"/>
        <v>0</v>
      </c>
      <c r="CD345" s="49" t="str">
        <f t="shared" si="2072"/>
        <v/>
      </c>
      <c r="CE345" s="56" t="str">
        <f>IF(CF345="","",MAX(CE$10:$CE344)+1)</f>
        <v/>
      </c>
      <c r="CF345" t="str">
        <f t="shared" si="2111"/>
        <v/>
      </c>
      <c r="CG345" s="22" t="str">
        <f>IF(CH345="","",MAX($CG$10:CG344)+1)</f>
        <v/>
      </c>
      <c r="CH345" s="22" t="str">
        <f t="shared" si="2056"/>
        <v/>
      </c>
      <c r="CI345" s="22" t="str">
        <f>IF(CJ345="","",MAX($CI$10:CI344)+1)</f>
        <v/>
      </c>
      <c r="CJ345" s="22" t="str">
        <f t="shared" si="2057"/>
        <v/>
      </c>
    </row>
    <row r="346" spans="2:88" x14ac:dyDescent="0.25">
      <c r="B346" s="37"/>
      <c r="C346" s="3"/>
      <c r="D346" s="77" t="str">
        <f t="shared" si="2043"/>
        <v/>
      </c>
      <c r="E346" s="38"/>
      <c r="F346" s="38"/>
      <c r="G346" s="78">
        <f t="shared" si="2058"/>
        <v>0</v>
      </c>
      <c r="H346" s="3">
        <v>80</v>
      </c>
      <c r="I346" s="77" t="str">
        <f t="shared" si="2044"/>
        <v/>
      </c>
      <c r="J346" s="32"/>
      <c r="K346" s="3"/>
      <c r="L346" s="39"/>
      <c r="M346" s="39"/>
      <c r="N346" s="39"/>
      <c r="O346" s="39"/>
      <c r="P346" s="39"/>
      <c r="Q346" s="39"/>
      <c r="R346" s="39"/>
      <c r="S346" s="39"/>
      <c r="T346" s="3" t="s">
        <v>645</v>
      </c>
      <c r="U346" s="77" t="str">
        <f t="shared" si="2045"/>
        <v/>
      </c>
      <c r="V346" s="39">
        <v>1</v>
      </c>
      <c r="W346" s="79">
        <f t="shared" si="2059"/>
        <v>0</v>
      </c>
      <c r="X346" s="3">
        <v>0</v>
      </c>
      <c r="Y346" s="77" t="str">
        <f t="shared" si="2046"/>
        <v/>
      </c>
      <c r="Z346" s="3"/>
      <c r="AA346" s="37" t="str">
        <f t="shared" si="2060"/>
        <v/>
      </c>
      <c r="AC346" s="40"/>
      <c r="AD346" s="7"/>
      <c r="AE346" s="77" t="str">
        <f t="shared" si="2047"/>
        <v/>
      </c>
      <c r="AF346" s="81">
        <f t="shared" si="2073"/>
        <v>0</v>
      </c>
      <c r="AG346" s="40"/>
      <c r="AH346" s="7"/>
      <c r="AI346" s="77" t="str">
        <f t="shared" si="2048"/>
        <v/>
      </c>
      <c r="AJ346" s="81">
        <f t="shared" si="2074"/>
        <v>0</v>
      </c>
      <c r="AK346" s="83">
        <f t="shared" si="2075"/>
        <v>0</v>
      </c>
      <c r="AL346" s="83">
        <f t="shared" si="2076"/>
        <v>0</v>
      </c>
      <c r="AN346" s="43">
        <f t="shared" si="2049"/>
        <v>0</v>
      </c>
      <c r="AP346" t="str">
        <f t="shared" si="2077"/>
        <v/>
      </c>
      <c r="AQ346" t="str">
        <f t="shared" si="2078"/>
        <v/>
      </c>
      <c r="AR346" t="str">
        <f t="shared" si="2079"/>
        <v/>
      </c>
      <c r="AS346" t="str">
        <f t="shared" si="2080"/>
        <v/>
      </c>
      <c r="AT346" t="str">
        <f t="shared" si="2081"/>
        <v/>
      </c>
      <c r="AU346" t="str">
        <f t="shared" si="2082"/>
        <v/>
      </c>
      <c r="AV346" t="str">
        <f t="shared" si="2083"/>
        <v/>
      </c>
      <c r="AW346" t="str">
        <f t="shared" si="2084"/>
        <v xml:space="preserve">                              </v>
      </c>
      <c r="AX346" s="23">
        <f t="shared" si="2085"/>
        <v>0</v>
      </c>
      <c r="AY346" s="49" t="str">
        <f t="shared" si="2061"/>
        <v>000000000000000</v>
      </c>
      <c r="AZ346" s="23">
        <f t="shared" si="2086"/>
        <v>0</v>
      </c>
      <c r="BA346" s="49" t="str">
        <f t="shared" si="2061"/>
        <v>000000000000000</v>
      </c>
      <c r="BB346" s="23">
        <f t="shared" si="2087"/>
        <v>0</v>
      </c>
      <c r="BC346" s="49" t="str">
        <f t="shared" ref="BC346" si="2178">IF(BB346&lt;0,SUBSTITUTE(TEXT(BB346,"000000000000,00"),",",""),SUBSTITUTE(TEXT(BB346,"0000000000000,00"),",",""))</f>
        <v>000000000000000</v>
      </c>
      <c r="BD346" s="23">
        <f t="shared" si="2089"/>
        <v>0</v>
      </c>
      <c r="BE346" s="49" t="str">
        <f t="shared" ref="BE346" si="2179">IF(BD346&lt;0,SUBSTITUTE(TEXT(BD346,"000000000000,00"),",",""),SUBSTITUTE(TEXT(BD346,"0000000000000,00"),",",""))</f>
        <v>000000000000000</v>
      </c>
      <c r="BF346" s="23">
        <f t="shared" si="2091"/>
        <v>0</v>
      </c>
      <c r="BG346" s="49" t="str">
        <f t="shared" ref="BG346" si="2180">IF(BF346&lt;0,SUBSTITUTE(TEXT(BF346,"000000000000,00"),",",""),SUBSTITUTE(TEXT(BF346,"0000000000000,00"),",",""))</f>
        <v>000000000000000</v>
      </c>
      <c r="BH346" s="23">
        <f t="shared" si="2093"/>
        <v>0</v>
      </c>
      <c r="BI346" s="49" t="str">
        <f t="shared" ref="BI346" si="2181">IF(BH346&lt;0,SUBSTITUTE(TEXT(BH346,"000000000000,00"),",",""),SUBSTITUTE(TEXT(BH346,"0000000000000,00"),",",""))</f>
        <v>000000000000000</v>
      </c>
      <c r="BJ346" s="23">
        <f t="shared" si="2095"/>
        <v>0</v>
      </c>
      <c r="BK346" s="49" t="str">
        <f t="shared" ref="BK346" si="2182">IF(BJ346&lt;0,SUBSTITUTE(TEXT(BJ346,"000000000000,00"),",",""),SUBSTITUTE(TEXT(BJ346,"0000000000000,00"),",",""))</f>
        <v>000000000000000</v>
      </c>
      <c r="BL346" s="23">
        <f t="shared" si="2097"/>
        <v>0</v>
      </c>
      <c r="BM346" s="49" t="str">
        <f t="shared" ref="BM346" si="2183">IF(BL346&lt;0,SUBSTITUTE(TEXT(BL346,"000000000000,00"),",",""),SUBSTITUTE(TEXT(BL346,"0000000000000,00"),",",""))</f>
        <v>000000000000000</v>
      </c>
      <c r="BN346" t="str">
        <f t="shared" si="2099"/>
        <v>PES</v>
      </c>
      <c r="BO346" t="str">
        <f t="shared" si="2100"/>
        <v>0001000000</v>
      </c>
      <c r="BP346">
        <f t="shared" si="2101"/>
        <v>0</v>
      </c>
      <c r="BQ346">
        <f t="shared" si="2102"/>
        <v>0</v>
      </c>
      <c r="BR346" s="23">
        <f t="shared" si="2103"/>
        <v>0</v>
      </c>
      <c r="BS346" s="49" t="str">
        <f t="shared" si="2068"/>
        <v>000000000000000</v>
      </c>
      <c r="BT346" t="str">
        <f t="shared" si="2104"/>
        <v>00000000</v>
      </c>
      <c r="BU346" s="23">
        <f t="shared" si="2105"/>
        <v>0</v>
      </c>
      <c r="BV346" s="49" t="str">
        <f t="shared" si="2069"/>
        <v/>
      </c>
      <c r="BW346" s="52" t="str">
        <f t="shared" si="2106"/>
        <v/>
      </c>
      <c r="BX346" s="23">
        <f t="shared" si="2107"/>
        <v>0</v>
      </c>
      <c r="BY346" s="49" t="str">
        <f t="shared" si="2070"/>
        <v/>
      </c>
      <c r="BZ346" s="23">
        <f t="shared" si="2108"/>
        <v>0</v>
      </c>
      <c r="CA346" s="49" t="str">
        <f t="shared" si="2071"/>
        <v/>
      </c>
      <c r="CB346" s="52" t="str">
        <f t="shared" si="2109"/>
        <v/>
      </c>
      <c r="CC346" s="23">
        <f t="shared" si="2110"/>
        <v>0</v>
      </c>
      <c r="CD346" s="49" t="str">
        <f t="shared" si="2072"/>
        <v/>
      </c>
      <c r="CE346" s="56" t="str">
        <f>IF(CF346="","",MAX(CE$10:$CE345)+1)</f>
        <v/>
      </c>
      <c r="CF346" t="str">
        <f t="shared" si="2111"/>
        <v/>
      </c>
      <c r="CG346" s="22" t="str">
        <f>IF(CH346="","",MAX($CG$10:CG345)+1)</f>
        <v/>
      </c>
      <c r="CH346" s="22" t="str">
        <f t="shared" si="2056"/>
        <v/>
      </c>
      <c r="CI346" s="22" t="str">
        <f>IF(CJ346="","",MAX($CI$10:CI345)+1)</f>
        <v/>
      </c>
      <c r="CJ346" s="22" t="str">
        <f t="shared" si="2057"/>
        <v/>
      </c>
    </row>
    <row r="347" spans="2:88" x14ac:dyDescent="0.25">
      <c r="B347" s="37"/>
      <c r="C347" s="3"/>
      <c r="D347" s="77" t="str">
        <f t="shared" si="2043"/>
        <v/>
      </c>
      <c r="E347" s="38"/>
      <c r="F347" s="38"/>
      <c r="G347" s="78">
        <f t="shared" si="2058"/>
        <v>0</v>
      </c>
      <c r="H347" s="3">
        <v>80</v>
      </c>
      <c r="I347" s="77" t="str">
        <f t="shared" si="2044"/>
        <v/>
      </c>
      <c r="J347" s="32"/>
      <c r="K347" s="3"/>
      <c r="L347" s="39"/>
      <c r="M347" s="39"/>
      <c r="N347" s="39"/>
      <c r="O347" s="39"/>
      <c r="P347" s="39"/>
      <c r="Q347" s="39"/>
      <c r="R347" s="39"/>
      <c r="S347" s="39"/>
      <c r="T347" s="3" t="s">
        <v>645</v>
      </c>
      <c r="U347" s="77" t="str">
        <f t="shared" si="2045"/>
        <v/>
      </c>
      <c r="V347" s="39">
        <v>1</v>
      </c>
      <c r="W347" s="79">
        <f t="shared" si="2059"/>
        <v>0</v>
      </c>
      <c r="X347" s="3">
        <v>0</v>
      </c>
      <c r="Y347" s="77" t="str">
        <f t="shared" si="2046"/>
        <v/>
      </c>
      <c r="Z347" s="3"/>
      <c r="AA347" s="37" t="str">
        <f t="shared" si="2060"/>
        <v/>
      </c>
      <c r="AC347" s="40"/>
      <c r="AD347" s="7"/>
      <c r="AE347" s="77" t="str">
        <f t="shared" si="2047"/>
        <v/>
      </c>
      <c r="AF347" s="81">
        <f t="shared" si="2073"/>
        <v>0</v>
      </c>
      <c r="AG347" s="40"/>
      <c r="AH347" s="7"/>
      <c r="AI347" s="77" t="str">
        <f t="shared" si="2048"/>
        <v/>
      </c>
      <c r="AJ347" s="81">
        <f t="shared" si="2074"/>
        <v>0</v>
      </c>
      <c r="AK347" s="83">
        <f t="shared" si="2075"/>
        <v>0</v>
      </c>
      <c r="AL347" s="83">
        <f t="shared" si="2076"/>
        <v>0</v>
      </c>
      <c r="AN347" s="43">
        <f t="shared" si="2049"/>
        <v>0</v>
      </c>
      <c r="AP347" t="str">
        <f t="shared" si="2077"/>
        <v/>
      </c>
      <c r="AQ347" t="str">
        <f t="shared" si="2078"/>
        <v/>
      </c>
      <c r="AR347" t="str">
        <f t="shared" si="2079"/>
        <v/>
      </c>
      <c r="AS347" t="str">
        <f t="shared" si="2080"/>
        <v/>
      </c>
      <c r="AT347" t="str">
        <f t="shared" si="2081"/>
        <v/>
      </c>
      <c r="AU347" t="str">
        <f t="shared" si="2082"/>
        <v/>
      </c>
      <c r="AV347" t="str">
        <f t="shared" si="2083"/>
        <v/>
      </c>
      <c r="AW347" t="str">
        <f t="shared" si="2084"/>
        <v xml:space="preserve">                              </v>
      </c>
      <c r="AX347" s="23">
        <f t="shared" si="2085"/>
        <v>0</v>
      </c>
      <c r="AY347" s="49" t="str">
        <f t="shared" si="2061"/>
        <v>000000000000000</v>
      </c>
      <c r="AZ347" s="23">
        <f t="shared" si="2086"/>
        <v>0</v>
      </c>
      <c r="BA347" s="49" t="str">
        <f t="shared" si="2061"/>
        <v>000000000000000</v>
      </c>
      <c r="BB347" s="23">
        <f t="shared" si="2087"/>
        <v>0</v>
      </c>
      <c r="BC347" s="49" t="str">
        <f t="shared" ref="BC347" si="2184">IF(BB347&lt;0,SUBSTITUTE(TEXT(BB347,"000000000000,00"),",",""),SUBSTITUTE(TEXT(BB347,"0000000000000,00"),",",""))</f>
        <v>000000000000000</v>
      </c>
      <c r="BD347" s="23">
        <f t="shared" si="2089"/>
        <v>0</v>
      </c>
      <c r="BE347" s="49" t="str">
        <f t="shared" ref="BE347" si="2185">IF(BD347&lt;0,SUBSTITUTE(TEXT(BD347,"000000000000,00"),",",""),SUBSTITUTE(TEXT(BD347,"0000000000000,00"),",",""))</f>
        <v>000000000000000</v>
      </c>
      <c r="BF347" s="23">
        <f t="shared" si="2091"/>
        <v>0</v>
      </c>
      <c r="BG347" s="49" t="str">
        <f t="shared" ref="BG347" si="2186">IF(BF347&lt;0,SUBSTITUTE(TEXT(BF347,"000000000000,00"),",",""),SUBSTITUTE(TEXT(BF347,"0000000000000,00"),",",""))</f>
        <v>000000000000000</v>
      </c>
      <c r="BH347" s="23">
        <f t="shared" si="2093"/>
        <v>0</v>
      </c>
      <c r="BI347" s="49" t="str">
        <f t="shared" ref="BI347" si="2187">IF(BH347&lt;0,SUBSTITUTE(TEXT(BH347,"000000000000,00"),",",""),SUBSTITUTE(TEXT(BH347,"0000000000000,00"),",",""))</f>
        <v>000000000000000</v>
      </c>
      <c r="BJ347" s="23">
        <f t="shared" si="2095"/>
        <v>0</v>
      </c>
      <c r="BK347" s="49" t="str">
        <f t="shared" ref="BK347" si="2188">IF(BJ347&lt;0,SUBSTITUTE(TEXT(BJ347,"000000000000,00"),",",""),SUBSTITUTE(TEXT(BJ347,"0000000000000,00"),",",""))</f>
        <v>000000000000000</v>
      </c>
      <c r="BL347" s="23">
        <f t="shared" si="2097"/>
        <v>0</v>
      </c>
      <c r="BM347" s="49" t="str">
        <f t="shared" ref="BM347" si="2189">IF(BL347&lt;0,SUBSTITUTE(TEXT(BL347,"000000000000,00"),",",""),SUBSTITUTE(TEXT(BL347,"0000000000000,00"),",",""))</f>
        <v>000000000000000</v>
      </c>
      <c r="BN347" t="str">
        <f t="shared" si="2099"/>
        <v>PES</v>
      </c>
      <c r="BO347" t="str">
        <f t="shared" si="2100"/>
        <v>0001000000</v>
      </c>
      <c r="BP347">
        <f t="shared" si="2101"/>
        <v>0</v>
      </c>
      <c r="BQ347">
        <f t="shared" si="2102"/>
        <v>0</v>
      </c>
      <c r="BR347" s="23">
        <f t="shared" si="2103"/>
        <v>0</v>
      </c>
      <c r="BS347" s="49" t="str">
        <f t="shared" si="2068"/>
        <v>000000000000000</v>
      </c>
      <c r="BT347" t="str">
        <f t="shared" si="2104"/>
        <v>00000000</v>
      </c>
      <c r="BU347" s="23">
        <f t="shared" si="2105"/>
        <v>0</v>
      </c>
      <c r="BV347" s="49" t="str">
        <f t="shared" si="2069"/>
        <v/>
      </c>
      <c r="BW347" s="52" t="str">
        <f t="shared" si="2106"/>
        <v/>
      </c>
      <c r="BX347" s="23">
        <f t="shared" si="2107"/>
        <v>0</v>
      </c>
      <c r="BY347" s="49" t="str">
        <f t="shared" si="2070"/>
        <v/>
      </c>
      <c r="BZ347" s="23">
        <f t="shared" si="2108"/>
        <v>0</v>
      </c>
      <c r="CA347" s="49" t="str">
        <f t="shared" si="2071"/>
        <v/>
      </c>
      <c r="CB347" s="52" t="str">
        <f t="shared" si="2109"/>
        <v/>
      </c>
      <c r="CC347" s="23">
        <f t="shared" si="2110"/>
        <v>0</v>
      </c>
      <c r="CD347" s="49" t="str">
        <f t="shared" si="2072"/>
        <v/>
      </c>
      <c r="CE347" s="56" t="str">
        <f>IF(CF347="","",MAX(CE$10:$CE346)+1)</f>
        <v/>
      </c>
      <c r="CF347" t="str">
        <f t="shared" si="2111"/>
        <v/>
      </c>
      <c r="CG347" s="22" t="str">
        <f>IF(CH347="","",MAX($CG$10:CG346)+1)</f>
        <v/>
      </c>
      <c r="CH347" s="22" t="str">
        <f t="shared" si="2056"/>
        <v/>
      </c>
      <c r="CI347" s="22" t="str">
        <f>IF(CJ347="","",MAX($CI$10:CI346)+1)</f>
        <v/>
      </c>
      <c r="CJ347" s="22" t="str">
        <f t="shared" si="2057"/>
        <v/>
      </c>
    </row>
    <row r="348" spans="2:88" x14ac:dyDescent="0.25">
      <c r="B348" s="37"/>
      <c r="C348" s="3"/>
      <c r="D348" s="77" t="str">
        <f t="shared" si="2043"/>
        <v/>
      </c>
      <c r="E348" s="38"/>
      <c r="F348" s="38"/>
      <c r="G348" s="78">
        <f t="shared" si="2058"/>
        <v>0</v>
      </c>
      <c r="H348" s="3">
        <v>80</v>
      </c>
      <c r="I348" s="77" t="str">
        <f t="shared" si="2044"/>
        <v/>
      </c>
      <c r="J348" s="32"/>
      <c r="K348" s="3"/>
      <c r="L348" s="39"/>
      <c r="M348" s="39"/>
      <c r="N348" s="39"/>
      <c r="O348" s="39"/>
      <c r="P348" s="39"/>
      <c r="Q348" s="39"/>
      <c r="R348" s="39"/>
      <c r="S348" s="39"/>
      <c r="T348" s="3" t="s">
        <v>645</v>
      </c>
      <c r="U348" s="77" t="str">
        <f t="shared" si="2045"/>
        <v/>
      </c>
      <c r="V348" s="39">
        <v>1</v>
      </c>
      <c r="W348" s="79">
        <f t="shared" si="2059"/>
        <v>0</v>
      </c>
      <c r="X348" s="3">
        <v>0</v>
      </c>
      <c r="Y348" s="77" t="str">
        <f t="shared" si="2046"/>
        <v/>
      </c>
      <c r="Z348" s="3"/>
      <c r="AA348" s="37" t="str">
        <f t="shared" si="2060"/>
        <v/>
      </c>
      <c r="AC348" s="40"/>
      <c r="AD348" s="7"/>
      <c r="AE348" s="77" t="str">
        <f t="shared" si="2047"/>
        <v/>
      </c>
      <c r="AF348" s="81">
        <f t="shared" si="2073"/>
        <v>0</v>
      </c>
      <c r="AG348" s="40"/>
      <c r="AH348" s="7"/>
      <c r="AI348" s="77" t="str">
        <f t="shared" si="2048"/>
        <v/>
      </c>
      <c r="AJ348" s="81">
        <f t="shared" si="2074"/>
        <v>0</v>
      </c>
      <c r="AK348" s="83">
        <f t="shared" si="2075"/>
        <v>0</v>
      </c>
      <c r="AL348" s="83">
        <f t="shared" si="2076"/>
        <v>0</v>
      </c>
      <c r="AN348" s="43">
        <f t="shared" si="2049"/>
        <v>0</v>
      </c>
      <c r="AP348" t="str">
        <f t="shared" si="2077"/>
        <v/>
      </c>
      <c r="AQ348" t="str">
        <f t="shared" si="2078"/>
        <v/>
      </c>
      <c r="AR348" t="str">
        <f t="shared" si="2079"/>
        <v/>
      </c>
      <c r="AS348" t="str">
        <f t="shared" si="2080"/>
        <v/>
      </c>
      <c r="AT348" t="str">
        <f t="shared" si="2081"/>
        <v/>
      </c>
      <c r="AU348" t="str">
        <f t="shared" si="2082"/>
        <v/>
      </c>
      <c r="AV348" t="str">
        <f t="shared" si="2083"/>
        <v/>
      </c>
      <c r="AW348" t="str">
        <f t="shared" si="2084"/>
        <v xml:space="preserve">                              </v>
      </c>
      <c r="AX348" s="23">
        <f t="shared" si="2085"/>
        <v>0</v>
      </c>
      <c r="AY348" s="49" t="str">
        <f t="shared" si="2061"/>
        <v>000000000000000</v>
      </c>
      <c r="AZ348" s="23">
        <f t="shared" si="2086"/>
        <v>0</v>
      </c>
      <c r="BA348" s="49" t="str">
        <f t="shared" si="2061"/>
        <v>000000000000000</v>
      </c>
      <c r="BB348" s="23">
        <f t="shared" si="2087"/>
        <v>0</v>
      </c>
      <c r="BC348" s="49" t="str">
        <f t="shared" ref="BC348" si="2190">IF(BB348&lt;0,SUBSTITUTE(TEXT(BB348,"000000000000,00"),",",""),SUBSTITUTE(TEXT(BB348,"0000000000000,00"),",",""))</f>
        <v>000000000000000</v>
      </c>
      <c r="BD348" s="23">
        <f t="shared" si="2089"/>
        <v>0</v>
      </c>
      <c r="BE348" s="49" t="str">
        <f t="shared" ref="BE348" si="2191">IF(BD348&lt;0,SUBSTITUTE(TEXT(BD348,"000000000000,00"),",",""),SUBSTITUTE(TEXT(BD348,"0000000000000,00"),",",""))</f>
        <v>000000000000000</v>
      </c>
      <c r="BF348" s="23">
        <f t="shared" si="2091"/>
        <v>0</v>
      </c>
      <c r="BG348" s="49" t="str">
        <f t="shared" ref="BG348" si="2192">IF(BF348&lt;0,SUBSTITUTE(TEXT(BF348,"000000000000,00"),",",""),SUBSTITUTE(TEXT(BF348,"0000000000000,00"),",",""))</f>
        <v>000000000000000</v>
      </c>
      <c r="BH348" s="23">
        <f t="shared" si="2093"/>
        <v>0</v>
      </c>
      <c r="BI348" s="49" t="str">
        <f t="shared" ref="BI348" si="2193">IF(BH348&lt;0,SUBSTITUTE(TEXT(BH348,"000000000000,00"),",",""),SUBSTITUTE(TEXT(BH348,"0000000000000,00"),",",""))</f>
        <v>000000000000000</v>
      </c>
      <c r="BJ348" s="23">
        <f t="shared" si="2095"/>
        <v>0</v>
      </c>
      <c r="BK348" s="49" t="str">
        <f t="shared" ref="BK348" si="2194">IF(BJ348&lt;0,SUBSTITUTE(TEXT(BJ348,"000000000000,00"),",",""),SUBSTITUTE(TEXT(BJ348,"0000000000000,00"),",",""))</f>
        <v>000000000000000</v>
      </c>
      <c r="BL348" s="23">
        <f t="shared" si="2097"/>
        <v>0</v>
      </c>
      <c r="BM348" s="49" t="str">
        <f t="shared" ref="BM348" si="2195">IF(BL348&lt;0,SUBSTITUTE(TEXT(BL348,"000000000000,00"),",",""),SUBSTITUTE(TEXT(BL348,"0000000000000,00"),",",""))</f>
        <v>000000000000000</v>
      </c>
      <c r="BN348" t="str">
        <f t="shared" si="2099"/>
        <v>PES</v>
      </c>
      <c r="BO348" t="str">
        <f t="shared" si="2100"/>
        <v>0001000000</v>
      </c>
      <c r="BP348">
        <f t="shared" si="2101"/>
        <v>0</v>
      </c>
      <c r="BQ348">
        <f t="shared" si="2102"/>
        <v>0</v>
      </c>
      <c r="BR348" s="23">
        <f t="shared" si="2103"/>
        <v>0</v>
      </c>
      <c r="BS348" s="49" t="str">
        <f t="shared" si="2068"/>
        <v>000000000000000</v>
      </c>
      <c r="BT348" t="str">
        <f t="shared" si="2104"/>
        <v>00000000</v>
      </c>
      <c r="BU348" s="23">
        <f t="shared" si="2105"/>
        <v>0</v>
      </c>
      <c r="BV348" s="49" t="str">
        <f t="shared" si="2069"/>
        <v/>
      </c>
      <c r="BW348" s="52" t="str">
        <f t="shared" si="2106"/>
        <v/>
      </c>
      <c r="BX348" s="23">
        <f t="shared" si="2107"/>
        <v>0</v>
      </c>
      <c r="BY348" s="49" t="str">
        <f t="shared" si="2070"/>
        <v/>
      </c>
      <c r="BZ348" s="23">
        <f t="shared" si="2108"/>
        <v>0</v>
      </c>
      <c r="CA348" s="49" t="str">
        <f t="shared" si="2071"/>
        <v/>
      </c>
      <c r="CB348" s="52" t="str">
        <f t="shared" si="2109"/>
        <v/>
      </c>
      <c r="CC348" s="23">
        <f t="shared" si="2110"/>
        <v>0</v>
      </c>
      <c r="CD348" s="49" t="str">
        <f t="shared" si="2072"/>
        <v/>
      </c>
      <c r="CE348" s="56" t="str">
        <f>IF(CF348="","",MAX(CE$10:$CE347)+1)</f>
        <v/>
      </c>
      <c r="CF348" t="str">
        <f t="shared" si="2111"/>
        <v/>
      </c>
      <c r="CG348" s="22" t="str">
        <f>IF(CH348="","",MAX($CG$10:CG347)+1)</f>
        <v/>
      </c>
      <c r="CH348" s="22" t="str">
        <f t="shared" si="2056"/>
        <v/>
      </c>
      <c r="CI348" s="22" t="str">
        <f>IF(CJ348="","",MAX($CI$10:CI347)+1)</f>
        <v/>
      </c>
      <c r="CJ348" s="22" t="str">
        <f t="shared" si="2057"/>
        <v/>
      </c>
    </row>
    <row r="349" spans="2:88" x14ac:dyDescent="0.25">
      <c r="B349" s="37"/>
      <c r="C349" s="3"/>
      <c r="D349" s="77" t="str">
        <f t="shared" si="2043"/>
        <v/>
      </c>
      <c r="E349" s="38"/>
      <c r="F349" s="38"/>
      <c r="G349" s="78">
        <f t="shared" si="2058"/>
        <v>0</v>
      </c>
      <c r="H349" s="3">
        <v>80</v>
      </c>
      <c r="I349" s="77" t="str">
        <f t="shared" si="2044"/>
        <v/>
      </c>
      <c r="J349" s="32"/>
      <c r="K349" s="3"/>
      <c r="L349" s="39"/>
      <c r="M349" s="39"/>
      <c r="N349" s="39"/>
      <c r="O349" s="39"/>
      <c r="P349" s="39"/>
      <c r="Q349" s="39"/>
      <c r="R349" s="39"/>
      <c r="S349" s="39"/>
      <c r="T349" s="3" t="s">
        <v>645</v>
      </c>
      <c r="U349" s="77" t="str">
        <f t="shared" si="2045"/>
        <v/>
      </c>
      <c r="V349" s="39">
        <v>1</v>
      </c>
      <c r="W349" s="79">
        <f t="shared" si="2059"/>
        <v>0</v>
      </c>
      <c r="X349" s="3">
        <v>0</v>
      </c>
      <c r="Y349" s="77" t="str">
        <f t="shared" si="2046"/>
        <v/>
      </c>
      <c r="Z349" s="3"/>
      <c r="AA349" s="37" t="str">
        <f t="shared" si="2060"/>
        <v/>
      </c>
      <c r="AC349" s="40"/>
      <c r="AD349" s="7"/>
      <c r="AE349" s="77" t="str">
        <f t="shared" si="2047"/>
        <v/>
      </c>
      <c r="AF349" s="81">
        <f t="shared" si="2073"/>
        <v>0</v>
      </c>
      <c r="AG349" s="40"/>
      <c r="AH349" s="7"/>
      <c r="AI349" s="77" t="str">
        <f t="shared" si="2048"/>
        <v/>
      </c>
      <c r="AJ349" s="81">
        <f t="shared" si="2074"/>
        <v>0</v>
      </c>
      <c r="AK349" s="83">
        <f t="shared" si="2075"/>
        <v>0</v>
      </c>
      <c r="AL349" s="83">
        <f t="shared" si="2076"/>
        <v>0</v>
      </c>
      <c r="AN349" s="43">
        <f t="shared" si="2049"/>
        <v>0</v>
      </c>
      <c r="AP349" t="str">
        <f t="shared" si="2077"/>
        <v/>
      </c>
      <c r="AQ349" t="str">
        <f t="shared" si="2078"/>
        <v/>
      </c>
      <c r="AR349" t="str">
        <f t="shared" si="2079"/>
        <v/>
      </c>
      <c r="AS349" t="str">
        <f t="shared" si="2080"/>
        <v/>
      </c>
      <c r="AT349" t="str">
        <f t="shared" si="2081"/>
        <v/>
      </c>
      <c r="AU349" t="str">
        <f t="shared" si="2082"/>
        <v/>
      </c>
      <c r="AV349" t="str">
        <f t="shared" si="2083"/>
        <v/>
      </c>
      <c r="AW349" t="str">
        <f t="shared" si="2084"/>
        <v xml:space="preserve">                              </v>
      </c>
      <c r="AX349" s="23">
        <f t="shared" si="2085"/>
        <v>0</v>
      </c>
      <c r="AY349" s="49" t="str">
        <f t="shared" si="2061"/>
        <v>000000000000000</v>
      </c>
      <c r="AZ349" s="23">
        <f t="shared" si="2086"/>
        <v>0</v>
      </c>
      <c r="BA349" s="49" t="str">
        <f t="shared" si="2061"/>
        <v>000000000000000</v>
      </c>
      <c r="BB349" s="23">
        <f t="shared" si="2087"/>
        <v>0</v>
      </c>
      <c r="BC349" s="49" t="str">
        <f t="shared" ref="BC349" si="2196">IF(BB349&lt;0,SUBSTITUTE(TEXT(BB349,"000000000000,00"),",",""),SUBSTITUTE(TEXT(BB349,"0000000000000,00"),",",""))</f>
        <v>000000000000000</v>
      </c>
      <c r="BD349" s="23">
        <f t="shared" si="2089"/>
        <v>0</v>
      </c>
      <c r="BE349" s="49" t="str">
        <f t="shared" ref="BE349" si="2197">IF(BD349&lt;0,SUBSTITUTE(TEXT(BD349,"000000000000,00"),",",""),SUBSTITUTE(TEXT(BD349,"0000000000000,00"),",",""))</f>
        <v>000000000000000</v>
      </c>
      <c r="BF349" s="23">
        <f t="shared" si="2091"/>
        <v>0</v>
      </c>
      <c r="BG349" s="49" t="str">
        <f t="shared" ref="BG349" si="2198">IF(BF349&lt;0,SUBSTITUTE(TEXT(BF349,"000000000000,00"),",",""),SUBSTITUTE(TEXT(BF349,"0000000000000,00"),",",""))</f>
        <v>000000000000000</v>
      </c>
      <c r="BH349" s="23">
        <f t="shared" si="2093"/>
        <v>0</v>
      </c>
      <c r="BI349" s="49" t="str">
        <f t="shared" ref="BI349" si="2199">IF(BH349&lt;0,SUBSTITUTE(TEXT(BH349,"000000000000,00"),",",""),SUBSTITUTE(TEXT(BH349,"0000000000000,00"),",",""))</f>
        <v>000000000000000</v>
      </c>
      <c r="BJ349" s="23">
        <f t="shared" si="2095"/>
        <v>0</v>
      </c>
      <c r="BK349" s="49" t="str">
        <f t="shared" ref="BK349" si="2200">IF(BJ349&lt;0,SUBSTITUTE(TEXT(BJ349,"000000000000,00"),",",""),SUBSTITUTE(TEXT(BJ349,"0000000000000,00"),",",""))</f>
        <v>000000000000000</v>
      </c>
      <c r="BL349" s="23">
        <f t="shared" si="2097"/>
        <v>0</v>
      </c>
      <c r="BM349" s="49" t="str">
        <f t="shared" ref="BM349" si="2201">IF(BL349&lt;0,SUBSTITUTE(TEXT(BL349,"000000000000,00"),",",""),SUBSTITUTE(TEXT(BL349,"0000000000000,00"),",",""))</f>
        <v>000000000000000</v>
      </c>
      <c r="BN349" t="str">
        <f t="shared" si="2099"/>
        <v>PES</v>
      </c>
      <c r="BO349" t="str">
        <f t="shared" si="2100"/>
        <v>0001000000</v>
      </c>
      <c r="BP349">
        <f t="shared" si="2101"/>
        <v>0</v>
      </c>
      <c r="BQ349">
        <f t="shared" si="2102"/>
        <v>0</v>
      </c>
      <c r="BR349" s="23">
        <f t="shared" si="2103"/>
        <v>0</v>
      </c>
      <c r="BS349" s="49" t="str">
        <f t="shared" si="2068"/>
        <v>000000000000000</v>
      </c>
      <c r="BT349" t="str">
        <f t="shared" si="2104"/>
        <v>00000000</v>
      </c>
      <c r="BU349" s="23">
        <f t="shared" si="2105"/>
        <v>0</v>
      </c>
      <c r="BV349" s="49" t="str">
        <f t="shared" si="2069"/>
        <v/>
      </c>
      <c r="BW349" s="52" t="str">
        <f t="shared" si="2106"/>
        <v/>
      </c>
      <c r="BX349" s="23">
        <f t="shared" si="2107"/>
        <v>0</v>
      </c>
      <c r="BY349" s="49" t="str">
        <f t="shared" si="2070"/>
        <v/>
      </c>
      <c r="BZ349" s="23">
        <f t="shared" si="2108"/>
        <v>0</v>
      </c>
      <c r="CA349" s="49" t="str">
        <f t="shared" si="2071"/>
        <v/>
      </c>
      <c r="CB349" s="52" t="str">
        <f t="shared" si="2109"/>
        <v/>
      </c>
      <c r="CC349" s="23">
        <f t="shared" si="2110"/>
        <v>0</v>
      </c>
      <c r="CD349" s="49" t="str">
        <f t="shared" si="2072"/>
        <v/>
      </c>
      <c r="CE349" s="56" t="str">
        <f>IF(CF349="","",MAX(CE$10:$CE348)+1)</f>
        <v/>
      </c>
      <c r="CF349" t="str">
        <f t="shared" si="2111"/>
        <v/>
      </c>
      <c r="CG349" s="22" t="str">
        <f>IF(CH349="","",MAX($CG$10:CG348)+1)</f>
        <v/>
      </c>
      <c r="CH349" s="22" t="str">
        <f t="shared" si="2056"/>
        <v/>
      </c>
      <c r="CI349" s="22" t="str">
        <f>IF(CJ349="","",MAX($CI$10:CI348)+1)</f>
        <v/>
      </c>
      <c r="CJ349" s="22" t="str">
        <f t="shared" si="2057"/>
        <v/>
      </c>
    </row>
    <row r="350" spans="2:88" x14ac:dyDescent="0.25">
      <c r="B350" s="37"/>
      <c r="C350" s="3"/>
      <c r="D350" s="77" t="str">
        <f t="shared" si="2043"/>
        <v/>
      </c>
      <c r="E350" s="38"/>
      <c r="F350" s="38"/>
      <c r="G350" s="78">
        <f t="shared" si="2058"/>
        <v>0</v>
      </c>
      <c r="H350" s="3">
        <v>80</v>
      </c>
      <c r="I350" s="77" t="str">
        <f t="shared" si="2044"/>
        <v/>
      </c>
      <c r="J350" s="32"/>
      <c r="K350" s="3"/>
      <c r="L350" s="39"/>
      <c r="M350" s="39"/>
      <c r="N350" s="39"/>
      <c r="O350" s="39"/>
      <c r="P350" s="39"/>
      <c r="Q350" s="39"/>
      <c r="R350" s="39"/>
      <c r="S350" s="39"/>
      <c r="T350" s="3" t="s">
        <v>645</v>
      </c>
      <c r="U350" s="77" t="str">
        <f t="shared" si="2045"/>
        <v/>
      </c>
      <c r="V350" s="39">
        <v>1</v>
      </c>
      <c r="W350" s="79">
        <f t="shared" si="2059"/>
        <v>0</v>
      </c>
      <c r="X350" s="3">
        <v>0</v>
      </c>
      <c r="Y350" s="77" t="str">
        <f t="shared" si="2046"/>
        <v/>
      </c>
      <c r="Z350" s="3"/>
      <c r="AA350" s="37" t="str">
        <f t="shared" si="2060"/>
        <v/>
      </c>
      <c r="AC350" s="40"/>
      <c r="AD350" s="7"/>
      <c r="AE350" s="77" t="str">
        <f t="shared" si="2047"/>
        <v/>
      </c>
      <c r="AF350" s="81">
        <f t="shared" si="2073"/>
        <v>0</v>
      </c>
      <c r="AG350" s="40"/>
      <c r="AH350" s="7"/>
      <c r="AI350" s="77" t="str">
        <f t="shared" si="2048"/>
        <v/>
      </c>
      <c r="AJ350" s="81">
        <f t="shared" si="2074"/>
        <v>0</v>
      </c>
      <c r="AK350" s="83">
        <f t="shared" si="2075"/>
        <v>0</v>
      </c>
      <c r="AL350" s="83">
        <f t="shared" si="2076"/>
        <v>0</v>
      </c>
      <c r="AN350" s="43">
        <f t="shared" si="2049"/>
        <v>0</v>
      </c>
      <c r="AP350" t="str">
        <f t="shared" si="2077"/>
        <v/>
      </c>
      <c r="AQ350" t="str">
        <f t="shared" si="2078"/>
        <v/>
      </c>
      <c r="AR350" t="str">
        <f t="shared" si="2079"/>
        <v/>
      </c>
      <c r="AS350" t="str">
        <f t="shared" si="2080"/>
        <v/>
      </c>
      <c r="AT350" t="str">
        <f t="shared" si="2081"/>
        <v/>
      </c>
      <c r="AU350" t="str">
        <f t="shared" si="2082"/>
        <v/>
      </c>
      <c r="AV350" t="str">
        <f t="shared" si="2083"/>
        <v/>
      </c>
      <c r="AW350" t="str">
        <f t="shared" si="2084"/>
        <v xml:space="preserve">                              </v>
      </c>
      <c r="AX350" s="23">
        <f t="shared" si="2085"/>
        <v>0</v>
      </c>
      <c r="AY350" s="49" t="str">
        <f t="shared" si="2061"/>
        <v>000000000000000</v>
      </c>
      <c r="AZ350" s="23">
        <f t="shared" si="2086"/>
        <v>0</v>
      </c>
      <c r="BA350" s="49" t="str">
        <f t="shared" si="2061"/>
        <v>000000000000000</v>
      </c>
      <c r="BB350" s="23">
        <f t="shared" si="2087"/>
        <v>0</v>
      </c>
      <c r="BC350" s="49" t="str">
        <f t="shared" ref="BC350" si="2202">IF(BB350&lt;0,SUBSTITUTE(TEXT(BB350,"000000000000,00"),",",""),SUBSTITUTE(TEXT(BB350,"0000000000000,00"),",",""))</f>
        <v>000000000000000</v>
      </c>
      <c r="BD350" s="23">
        <f t="shared" si="2089"/>
        <v>0</v>
      </c>
      <c r="BE350" s="49" t="str">
        <f t="shared" ref="BE350" si="2203">IF(BD350&lt;0,SUBSTITUTE(TEXT(BD350,"000000000000,00"),",",""),SUBSTITUTE(TEXT(BD350,"0000000000000,00"),",",""))</f>
        <v>000000000000000</v>
      </c>
      <c r="BF350" s="23">
        <f t="shared" si="2091"/>
        <v>0</v>
      </c>
      <c r="BG350" s="49" t="str">
        <f t="shared" ref="BG350" si="2204">IF(BF350&lt;0,SUBSTITUTE(TEXT(BF350,"000000000000,00"),",",""),SUBSTITUTE(TEXT(BF350,"0000000000000,00"),",",""))</f>
        <v>000000000000000</v>
      </c>
      <c r="BH350" s="23">
        <f t="shared" si="2093"/>
        <v>0</v>
      </c>
      <c r="BI350" s="49" t="str">
        <f t="shared" ref="BI350" si="2205">IF(BH350&lt;0,SUBSTITUTE(TEXT(BH350,"000000000000,00"),",",""),SUBSTITUTE(TEXT(BH350,"0000000000000,00"),",",""))</f>
        <v>000000000000000</v>
      </c>
      <c r="BJ350" s="23">
        <f t="shared" si="2095"/>
        <v>0</v>
      </c>
      <c r="BK350" s="49" t="str">
        <f t="shared" ref="BK350" si="2206">IF(BJ350&lt;0,SUBSTITUTE(TEXT(BJ350,"000000000000,00"),",",""),SUBSTITUTE(TEXT(BJ350,"0000000000000,00"),",",""))</f>
        <v>000000000000000</v>
      </c>
      <c r="BL350" s="23">
        <f t="shared" si="2097"/>
        <v>0</v>
      </c>
      <c r="BM350" s="49" t="str">
        <f t="shared" ref="BM350" si="2207">IF(BL350&lt;0,SUBSTITUTE(TEXT(BL350,"000000000000,00"),",",""),SUBSTITUTE(TEXT(BL350,"0000000000000,00"),",",""))</f>
        <v>000000000000000</v>
      </c>
      <c r="BN350" t="str">
        <f t="shared" si="2099"/>
        <v>PES</v>
      </c>
      <c r="BO350" t="str">
        <f t="shared" si="2100"/>
        <v>0001000000</v>
      </c>
      <c r="BP350">
        <f t="shared" si="2101"/>
        <v>0</v>
      </c>
      <c r="BQ350">
        <f t="shared" si="2102"/>
        <v>0</v>
      </c>
      <c r="BR350" s="23">
        <f t="shared" si="2103"/>
        <v>0</v>
      </c>
      <c r="BS350" s="49" t="str">
        <f t="shared" si="2068"/>
        <v>000000000000000</v>
      </c>
      <c r="BT350" t="str">
        <f t="shared" si="2104"/>
        <v>00000000</v>
      </c>
      <c r="BU350" s="23">
        <f t="shared" si="2105"/>
        <v>0</v>
      </c>
      <c r="BV350" s="49" t="str">
        <f t="shared" si="2069"/>
        <v/>
      </c>
      <c r="BW350" s="52" t="str">
        <f t="shared" si="2106"/>
        <v/>
      </c>
      <c r="BX350" s="23">
        <f t="shared" si="2107"/>
        <v>0</v>
      </c>
      <c r="BY350" s="49" t="str">
        <f t="shared" si="2070"/>
        <v/>
      </c>
      <c r="BZ350" s="23">
        <f t="shared" si="2108"/>
        <v>0</v>
      </c>
      <c r="CA350" s="49" t="str">
        <f t="shared" si="2071"/>
        <v/>
      </c>
      <c r="CB350" s="52" t="str">
        <f t="shared" si="2109"/>
        <v/>
      </c>
      <c r="CC350" s="23">
        <f t="shared" si="2110"/>
        <v>0</v>
      </c>
      <c r="CD350" s="49" t="str">
        <f t="shared" si="2072"/>
        <v/>
      </c>
      <c r="CE350" s="56" t="str">
        <f>IF(CF350="","",MAX(CE$10:$CE349)+1)</f>
        <v/>
      </c>
      <c r="CF350" t="str">
        <f t="shared" si="2111"/>
        <v/>
      </c>
      <c r="CG350" s="22" t="str">
        <f>IF(CH350="","",MAX($CG$10:CG349)+1)</f>
        <v/>
      </c>
      <c r="CH350" s="22" t="str">
        <f t="shared" si="2056"/>
        <v/>
      </c>
      <c r="CI350" s="22" t="str">
        <f>IF(CJ350="","",MAX($CI$10:CI349)+1)</f>
        <v/>
      </c>
      <c r="CJ350" s="22" t="str">
        <f t="shared" si="2057"/>
        <v/>
      </c>
    </row>
    <row r="351" spans="2:88" x14ac:dyDescent="0.25">
      <c r="B351" s="37"/>
      <c r="C351" s="3"/>
      <c r="D351" s="77" t="str">
        <f t="shared" si="2043"/>
        <v/>
      </c>
      <c r="E351" s="38"/>
      <c r="F351" s="38"/>
      <c r="G351" s="78">
        <f t="shared" si="2058"/>
        <v>0</v>
      </c>
      <c r="H351" s="3">
        <v>80</v>
      </c>
      <c r="I351" s="77" t="str">
        <f t="shared" si="2044"/>
        <v/>
      </c>
      <c r="J351" s="32"/>
      <c r="K351" s="3"/>
      <c r="L351" s="39"/>
      <c r="M351" s="39"/>
      <c r="N351" s="39"/>
      <c r="O351" s="39"/>
      <c r="P351" s="39"/>
      <c r="Q351" s="39"/>
      <c r="R351" s="39"/>
      <c r="S351" s="39"/>
      <c r="T351" s="3" t="s">
        <v>645</v>
      </c>
      <c r="U351" s="77" t="str">
        <f t="shared" si="2045"/>
        <v/>
      </c>
      <c r="V351" s="39">
        <v>1</v>
      </c>
      <c r="W351" s="79">
        <f t="shared" si="2059"/>
        <v>0</v>
      </c>
      <c r="X351" s="3">
        <v>0</v>
      </c>
      <c r="Y351" s="77" t="str">
        <f t="shared" si="2046"/>
        <v/>
      </c>
      <c r="Z351" s="3"/>
      <c r="AA351" s="37" t="str">
        <f t="shared" si="2060"/>
        <v/>
      </c>
      <c r="AC351" s="40"/>
      <c r="AD351" s="7"/>
      <c r="AE351" s="77" t="str">
        <f t="shared" si="2047"/>
        <v/>
      </c>
      <c r="AF351" s="81">
        <f t="shared" si="2073"/>
        <v>0</v>
      </c>
      <c r="AG351" s="40"/>
      <c r="AH351" s="7"/>
      <c r="AI351" s="77" t="str">
        <f t="shared" si="2048"/>
        <v/>
      </c>
      <c r="AJ351" s="81">
        <f t="shared" si="2074"/>
        <v>0</v>
      </c>
      <c r="AK351" s="83">
        <f t="shared" si="2075"/>
        <v>0</v>
      </c>
      <c r="AL351" s="83">
        <f t="shared" si="2076"/>
        <v>0</v>
      </c>
      <c r="AN351" s="43">
        <f t="shared" si="2049"/>
        <v>0</v>
      </c>
      <c r="AP351" t="str">
        <f t="shared" si="2077"/>
        <v/>
      </c>
      <c r="AQ351" t="str">
        <f t="shared" si="2078"/>
        <v/>
      </c>
      <c r="AR351" t="str">
        <f t="shared" si="2079"/>
        <v/>
      </c>
      <c r="AS351" t="str">
        <f t="shared" si="2080"/>
        <v/>
      </c>
      <c r="AT351" t="str">
        <f t="shared" si="2081"/>
        <v/>
      </c>
      <c r="AU351" t="str">
        <f t="shared" si="2082"/>
        <v/>
      </c>
      <c r="AV351" t="str">
        <f t="shared" si="2083"/>
        <v/>
      </c>
      <c r="AW351" t="str">
        <f t="shared" si="2084"/>
        <v xml:space="preserve">                              </v>
      </c>
      <c r="AX351" s="23">
        <f t="shared" si="2085"/>
        <v>0</v>
      </c>
      <c r="AY351" s="49" t="str">
        <f t="shared" si="2061"/>
        <v>000000000000000</v>
      </c>
      <c r="AZ351" s="23">
        <f t="shared" si="2086"/>
        <v>0</v>
      </c>
      <c r="BA351" s="49" t="str">
        <f t="shared" si="2061"/>
        <v>000000000000000</v>
      </c>
      <c r="BB351" s="23">
        <f t="shared" si="2087"/>
        <v>0</v>
      </c>
      <c r="BC351" s="49" t="str">
        <f t="shared" ref="BC351" si="2208">IF(BB351&lt;0,SUBSTITUTE(TEXT(BB351,"000000000000,00"),",",""),SUBSTITUTE(TEXT(BB351,"0000000000000,00"),",",""))</f>
        <v>000000000000000</v>
      </c>
      <c r="BD351" s="23">
        <f t="shared" si="2089"/>
        <v>0</v>
      </c>
      <c r="BE351" s="49" t="str">
        <f t="shared" ref="BE351" si="2209">IF(BD351&lt;0,SUBSTITUTE(TEXT(BD351,"000000000000,00"),",",""),SUBSTITUTE(TEXT(BD351,"0000000000000,00"),",",""))</f>
        <v>000000000000000</v>
      </c>
      <c r="BF351" s="23">
        <f t="shared" si="2091"/>
        <v>0</v>
      </c>
      <c r="BG351" s="49" t="str">
        <f t="shared" ref="BG351" si="2210">IF(BF351&lt;0,SUBSTITUTE(TEXT(BF351,"000000000000,00"),",",""),SUBSTITUTE(TEXT(BF351,"0000000000000,00"),",",""))</f>
        <v>000000000000000</v>
      </c>
      <c r="BH351" s="23">
        <f t="shared" si="2093"/>
        <v>0</v>
      </c>
      <c r="BI351" s="49" t="str">
        <f t="shared" ref="BI351" si="2211">IF(BH351&lt;0,SUBSTITUTE(TEXT(BH351,"000000000000,00"),",",""),SUBSTITUTE(TEXT(BH351,"0000000000000,00"),",",""))</f>
        <v>000000000000000</v>
      </c>
      <c r="BJ351" s="23">
        <f t="shared" si="2095"/>
        <v>0</v>
      </c>
      <c r="BK351" s="49" t="str">
        <f t="shared" ref="BK351" si="2212">IF(BJ351&lt;0,SUBSTITUTE(TEXT(BJ351,"000000000000,00"),",",""),SUBSTITUTE(TEXT(BJ351,"0000000000000,00"),",",""))</f>
        <v>000000000000000</v>
      </c>
      <c r="BL351" s="23">
        <f t="shared" si="2097"/>
        <v>0</v>
      </c>
      <c r="BM351" s="49" t="str">
        <f t="shared" ref="BM351" si="2213">IF(BL351&lt;0,SUBSTITUTE(TEXT(BL351,"000000000000,00"),",",""),SUBSTITUTE(TEXT(BL351,"0000000000000,00"),",",""))</f>
        <v>000000000000000</v>
      </c>
      <c r="BN351" t="str">
        <f t="shared" si="2099"/>
        <v>PES</v>
      </c>
      <c r="BO351" t="str">
        <f t="shared" si="2100"/>
        <v>0001000000</v>
      </c>
      <c r="BP351">
        <f t="shared" si="2101"/>
        <v>0</v>
      </c>
      <c r="BQ351">
        <f t="shared" si="2102"/>
        <v>0</v>
      </c>
      <c r="BR351" s="23">
        <f t="shared" si="2103"/>
        <v>0</v>
      </c>
      <c r="BS351" s="49" t="str">
        <f t="shared" si="2068"/>
        <v>000000000000000</v>
      </c>
      <c r="BT351" t="str">
        <f t="shared" si="2104"/>
        <v>00000000</v>
      </c>
      <c r="BU351" s="23">
        <f t="shared" si="2105"/>
        <v>0</v>
      </c>
      <c r="BV351" s="49" t="str">
        <f t="shared" si="2069"/>
        <v/>
      </c>
      <c r="BW351" s="52" t="str">
        <f t="shared" si="2106"/>
        <v/>
      </c>
      <c r="BX351" s="23">
        <f t="shared" si="2107"/>
        <v>0</v>
      </c>
      <c r="BY351" s="49" t="str">
        <f t="shared" si="2070"/>
        <v/>
      </c>
      <c r="BZ351" s="23">
        <f t="shared" si="2108"/>
        <v>0</v>
      </c>
      <c r="CA351" s="49" t="str">
        <f t="shared" si="2071"/>
        <v/>
      </c>
      <c r="CB351" s="52" t="str">
        <f t="shared" si="2109"/>
        <v/>
      </c>
      <c r="CC351" s="23">
        <f t="shared" si="2110"/>
        <v>0</v>
      </c>
      <c r="CD351" s="49" t="str">
        <f t="shared" si="2072"/>
        <v/>
      </c>
      <c r="CE351" s="56" t="str">
        <f>IF(CF351="","",MAX(CE$10:$CE350)+1)</f>
        <v/>
      </c>
      <c r="CF351" t="str">
        <f t="shared" si="2111"/>
        <v/>
      </c>
      <c r="CG351" s="22" t="str">
        <f>IF(CH351="","",MAX($CG$10:CG350)+1)</f>
        <v/>
      </c>
      <c r="CH351" s="22" t="str">
        <f t="shared" si="2056"/>
        <v/>
      </c>
      <c r="CI351" s="22" t="str">
        <f>IF(CJ351="","",MAX($CI$10:CI350)+1)</f>
        <v/>
      </c>
      <c r="CJ351" s="22" t="str">
        <f t="shared" si="2057"/>
        <v/>
      </c>
    </row>
    <row r="352" spans="2:88" x14ac:dyDescent="0.25">
      <c r="B352" s="37"/>
      <c r="C352" s="3"/>
      <c r="D352" s="77" t="str">
        <f t="shared" si="2043"/>
        <v/>
      </c>
      <c r="E352" s="38"/>
      <c r="F352" s="38"/>
      <c r="G352" s="78">
        <f t="shared" si="2058"/>
        <v>0</v>
      </c>
      <c r="H352" s="3">
        <v>80</v>
      </c>
      <c r="I352" s="77" t="str">
        <f t="shared" si="2044"/>
        <v/>
      </c>
      <c r="J352" s="32"/>
      <c r="K352" s="3"/>
      <c r="L352" s="39"/>
      <c r="M352" s="39"/>
      <c r="N352" s="39"/>
      <c r="O352" s="39"/>
      <c r="P352" s="39"/>
      <c r="Q352" s="39"/>
      <c r="R352" s="39"/>
      <c r="S352" s="39"/>
      <c r="T352" s="3" t="s">
        <v>645</v>
      </c>
      <c r="U352" s="77" t="str">
        <f t="shared" si="2045"/>
        <v/>
      </c>
      <c r="V352" s="39">
        <v>1</v>
      </c>
      <c r="W352" s="79">
        <f t="shared" si="2059"/>
        <v>0</v>
      </c>
      <c r="X352" s="3">
        <v>0</v>
      </c>
      <c r="Y352" s="77" t="str">
        <f t="shared" si="2046"/>
        <v/>
      </c>
      <c r="Z352" s="3"/>
      <c r="AA352" s="37" t="str">
        <f t="shared" si="2060"/>
        <v/>
      </c>
      <c r="AC352" s="40"/>
      <c r="AD352" s="7"/>
      <c r="AE352" s="77" t="str">
        <f t="shared" si="2047"/>
        <v/>
      </c>
      <c r="AF352" s="81">
        <f t="shared" si="2073"/>
        <v>0</v>
      </c>
      <c r="AG352" s="40"/>
      <c r="AH352" s="7"/>
      <c r="AI352" s="77" t="str">
        <f t="shared" si="2048"/>
        <v/>
      </c>
      <c r="AJ352" s="81">
        <f t="shared" si="2074"/>
        <v>0</v>
      </c>
      <c r="AK352" s="83">
        <f t="shared" si="2075"/>
        <v>0</v>
      </c>
      <c r="AL352" s="83">
        <f t="shared" si="2076"/>
        <v>0</v>
      </c>
      <c r="AN352" s="43">
        <f t="shared" si="2049"/>
        <v>0</v>
      </c>
      <c r="AP352" t="str">
        <f t="shared" si="2077"/>
        <v/>
      </c>
      <c r="AQ352" t="str">
        <f t="shared" si="2078"/>
        <v/>
      </c>
      <c r="AR352" t="str">
        <f t="shared" si="2079"/>
        <v/>
      </c>
      <c r="AS352" t="str">
        <f t="shared" si="2080"/>
        <v/>
      </c>
      <c r="AT352" t="str">
        <f t="shared" si="2081"/>
        <v/>
      </c>
      <c r="AU352" t="str">
        <f t="shared" si="2082"/>
        <v/>
      </c>
      <c r="AV352" t="str">
        <f t="shared" si="2083"/>
        <v/>
      </c>
      <c r="AW352" t="str">
        <f t="shared" si="2084"/>
        <v xml:space="preserve">                              </v>
      </c>
      <c r="AX352" s="23">
        <f t="shared" si="2085"/>
        <v>0</v>
      </c>
      <c r="AY352" s="49" t="str">
        <f t="shared" si="2061"/>
        <v>000000000000000</v>
      </c>
      <c r="AZ352" s="23">
        <f t="shared" si="2086"/>
        <v>0</v>
      </c>
      <c r="BA352" s="49" t="str">
        <f t="shared" si="2061"/>
        <v>000000000000000</v>
      </c>
      <c r="BB352" s="23">
        <f t="shared" si="2087"/>
        <v>0</v>
      </c>
      <c r="BC352" s="49" t="str">
        <f t="shared" ref="BC352" si="2214">IF(BB352&lt;0,SUBSTITUTE(TEXT(BB352,"000000000000,00"),",",""),SUBSTITUTE(TEXT(BB352,"0000000000000,00"),",",""))</f>
        <v>000000000000000</v>
      </c>
      <c r="BD352" s="23">
        <f t="shared" si="2089"/>
        <v>0</v>
      </c>
      <c r="BE352" s="49" t="str">
        <f t="shared" ref="BE352" si="2215">IF(BD352&lt;0,SUBSTITUTE(TEXT(BD352,"000000000000,00"),",",""),SUBSTITUTE(TEXT(BD352,"0000000000000,00"),",",""))</f>
        <v>000000000000000</v>
      </c>
      <c r="BF352" s="23">
        <f t="shared" si="2091"/>
        <v>0</v>
      </c>
      <c r="BG352" s="49" t="str">
        <f t="shared" ref="BG352" si="2216">IF(BF352&lt;0,SUBSTITUTE(TEXT(BF352,"000000000000,00"),",",""),SUBSTITUTE(TEXT(BF352,"0000000000000,00"),",",""))</f>
        <v>000000000000000</v>
      </c>
      <c r="BH352" s="23">
        <f t="shared" si="2093"/>
        <v>0</v>
      </c>
      <c r="BI352" s="49" t="str">
        <f t="shared" ref="BI352" si="2217">IF(BH352&lt;0,SUBSTITUTE(TEXT(BH352,"000000000000,00"),",",""),SUBSTITUTE(TEXT(BH352,"0000000000000,00"),",",""))</f>
        <v>000000000000000</v>
      </c>
      <c r="BJ352" s="23">
        <f t="shared" si="2095"/>
        <v>0</v>
      </c>
      <c r="BK352" s="49" t="str">
        <f t="shared" ref="BK352" si="2218">IF(BJ352&lt;0,SUBSTITUTE(TEXT(BJ352,"000000000000,00"),",",""),SUBSTITUTE(TEXT(BJ352,"0000000000000,00"),",",""))</f>
        <v>000000000000000</v>
      </c>
      <c r="BL352" s="23">
        <f t="shared" si="2097"/>
        <v>0</v>
      </c>
      <c r="BM352" s="49" t="str">
        <f t="shared" ref="BM352" si="2219">IF(BL352&lt;0,SUBSTITUTE(TEXT(BL352,"000000000000,00"),",",""),SUBSTITUTE(TEXT(BL352,"0000000000000,00"),",",""))</f>
        <v>000000000000000</v>
      </c>
      <c r="BN352" t="str">
        <f t="shared" si="2099"/>
        <v>PES</v>
      </c>
      <c r="BO352" t="str">
        <f t="shared" si="2100"/>
        <v>0001000000</v>
      </c>
      <c r="BP352">
        <f t="shared" si="2101"/>
        <v>0</v>
      </c>
      <c r="BQ352">
        <f t="shared" si="2102"/>
        <v>0</v>
      </c>
      <c r="BR352" s="23">
        <f t="shared" si="2103"/>
        <v>0</v>
      </c>
      <c r="BS352" s="49" t="str">
        <f t="shared" si="2068"/>
        <v>000000000000000</v>
      </c>
      <c r="BT352" t="str">
        <f t="shared" si="2104"/>
        <v>00000000</v>
      </c>
      <c r="BU352" s="23">
        <f t="shared" si="2105"/>
        <v>0</v>
      </c>
      <c r="BV352" s="49" t="str">
        <f t="shared" si="2069"/>
        <v/>
      </c>
      <c r="BW352" s="52" t="str">
        <f t="shared" si="2106"/>
        <v/>
      </c>
      <c r="BX352" s="23">
        <f t="shared" si="2107"/>
        <v>0</v>
      </c>
      <c r="BY352" s="49" t="str">
        <f t="shared" si="2070"/>
        <v/>
      </c>
      <c r="BZ352" s="23">
        <f t="shared" si="2108"/>
        <v>0</v>
      </c>
      <c r="CA352" s="49" t="str">
        <f t="shared" si="2071"/>
        <v/>
      </c>
      <c r="CB352" s="52" t="str">
        <f t="shared" si="2109"/>
        <v/>
      </c>
      <c r="CC352" s="23">
        <f t="shared" si="2110"/>
        <v>0</v>
      </c>
      <c r="CD352" s="49" t="str">
        <f t="shared" si="2072"/>
        <v/>
      </c>
      <c r="CE352" s="56" t="str">
        <f>IF(CF352="","",MAX(CE$10:$CE351)+1)</f>
        <v/>
      </c>
      <c r="CF352" t="str">
        <f t="shared" si="2111"/>
        <v/>
      </c>
      <c r="CG352" s="22" t="str">
        <f>IF(CH352="","",MAX($CG$10:CG351)+1)</f>
        <v/>
      </c>
      <c r="CH352" s="22" t="str">
        <f t="shared" si="2056"/>
        <v/>
      </c>
      <c r="CI352" s="22" t="str">
        <f>IF(CJ352="","",MAX($CI$10:CI351)+1)</f>
        <v/>
      </c>
      <c r="CJ352" s="22" t="str">
        <f t="shared" si="2057"/>
        <v/>
      </c>
    </row>
    <row r="353" spans="2:88" x14ac:dyDescent="0.25">
      <c r="B353" s="37"/>
      <c r="C353" s="3"/>
      <c r="D353" s="77" t="str">
        <f t="shared" si="2043"/>
        <v/>
      </c>
      <c r="E353" s="38"/>
      <c r="F353" s="38"/>
      <c r="G353" s="78">
        <f t="shared" si="2058"/>
        <v>0</v>
      </c>
      <c r="H353" s="3">
        <v>80</v>
      </c>
      <c r="I353" s="77" t="str">
        <f t="shared" si="2044"/>
        <v/>
      </c>
      <c r="J353" s="32"/>
      <c r="K353" s="3"/>
      <c r="L353" s="39"/>
      <c r="M353" s="39"/>
      <c r="N353" s="39"/>
      <c r="O353" s="39"/>
      <c r="P353" s="39"/>
      <c r="Q353" s="39"/>
      <c r="R353" s="39"/>
      <c r="S353" s="39"/>
      <c r="T353" s="3" t="s">
        <v>645</v>
      </c>
      <c r="U353" s="77" t="str">
        <f t="shared" si="2045"/>
        <v/>
      </c>
      <c r="V353" s="39">
        <v>1</v>
      </c>
      <c r="W353" s="79">
        <f t="shared" si="2059"/>
        <v>0</v>
      </c>
      <c r="X353" s="3">
        <v>0</v>
      </c>
      <c r="Y353" s="77" t="str">
        <f t="shared" si="2046"/>
        <v/>
      </c>
      <c r="Z353" s="3"/>
      <c r="AA353" s="37" t="str">
        <f t="shared" si="2060"/>
        <v/>
      </c>
      <c r="AC353" s="40"/>
      <c r="AD353" s="7"/>
      <c r="AE353" s="77" t="str">
        <f t="shared" si="2047"/>
        <v/>
      </c>
      <c r="AF353" s="81">
        <f t="shared" si="2073"/>
        <v>0</v>
      </c>
      <c r="AG353" s="40"/>
      <c r="AH353" s="7"/>
      <c r="AI353" s="77" t="str">
        <f t="shared" si="2048"/>
        <v/>
      </c>
      <c r="AJ353" s="81">
        <f t="shared" si="2074"/>
        <v>0</v>
      </c>
      <c r="AK353" s="83">
        <f t="shared" si="2075"/>
        <v>0</v>
      </c>
      <c r="AL353" s="83">
        <f t="shared" si="2076"/>
        <v>0</v>
      </c>
      <c r="AN353" s="43">
        <f t="shared" si="2049"/>
        <v>0</v>
      </c>
      <c r="AP353" t="str">
        <f t="shared" si="2077"/>
        <v/>
      </c>
      <c r="AQ353" t="str">
        <f t="shared" si="2078"/>
        <v/>
      </c>
      <c r="AR353" t="str">
        <f t="shared" si="2079"/>
        <v/>
      </c>
      <c r="AS353" t="str">
        <f t="shared" si="2080"/>
        <v/>
      </c>
      <c r="AT353" t="str">
        <f t="shared" si="2081"/>
        <v/>
      </c>
      <c r="AU353" t="str">
        <f t="shared" si="2082"/>
        <v/>
      </c>
      <c r="AV353" t="str">
        <f t="shared" si="2083"/>
        <v/>
      </c>
      <c r="AW353" t="str">
        <f t="shared" si="2084"/>
        <v xml:space="preserve">                              </v>
      </c>
      <c r="AX353" s="23">
        <f t="shared" si="2085"/>
        <v>0</v>
      </c>
      <c r="AY353" s="49" t="str">
        <f t="shared" si="2061"/>
        <v>000000000000000</v>
      </c>
      <c r="AZ353" s="23">
        <f t="shared" si="2086"/>
        <v>0</v>
      </c>
      <c r="BA353" s="49" t="str">
        <f t="shared" si="2061"/>
        <v>000000000000000</v>
      </c>
      <c r="BB353" s="23">
        <f t="shared" si="2087"/>
        <v>0</v>
      </c>
      <c r="BC353" s="49" t="str">
        <f t="shared" ref="BC353" si="2220">IF(BB353&lt;0,SUBSTITUTE(TEXT(BB353,"000000000000,00"),",",""),SUBSTITUTE(TEXT(BB353,"0000000000000,00"),",",""))</f>
        <v>000000000000000</v>
      </c>
      <c r="BD353" s="23">
        <f t="shared" si="2089"/>
        <v>0</v>
      </c>
      <c r="BE353" s="49" t="str">
        <f t="shared" ref="BE353" si="2221">IF(BD353&lt;0,SUBSTITUTE(TEXT(BD353,"000000000000,00"),",",""),SUBSTITUTE(TEXT(BD353,"0000000000000,00"),",",""))</f>
        <v>000000000000000</v>
      </c>
      <c r="BF353" s="23">
        <f t="shared" si="2091"/>
        <v>0</v>
      </c>
      <c r="BG353" s="49" t="str">
        <f t="shared" ref="BG353" si="2222">IF(BF353&lt;0,SUBSTITUTE(TEXT(BF353,"000000000000,00"),",",""),SUBSTITUTE(TEXT(BF353,"0000000000000,00"),",",""))</f>
        <v>000000000000000</v>
      </c>
      <c r="BH353" s="23">
        <f t="shared" si="2093"/>
        <v>0</v>
      </c>
      <c r="BI353" s="49" t="str">
        <f t="shared" ref="BI353" si="2223">IF(BH353&lt;0,SUBSTITUTE(TEXT(BH353,"000000000000,00"),",",""),SUBSTITUTE(TEXT(BH353,"0000000000000,00"),",",""))</f>
        <v>000000000000000</v>
      </c>
      <c r="BJ353" s="23">
        <f t="shared" si="2095"/>
        <v>0</v>
      </c>
      <c r="BK353" s="49" t="str">
        <f t="shared" ref="BK353" si="2224">IF(BJ353&lt;0,SUBSTITUTE(TEXT(BJ353,"000000000000,00"),",",""),SUBSTITUTE(TEXT(BJ353,"0000000000000,00"),",",""))</f>
        <v>000000000000000</v>
      </c>
      <c r="BL353" s="23">
        <f t="shared" si="2097"/>
        <v>0</v>
      </c>
      <c r="BM353" s="49" t="str">
        <f t="shared" ref="BM353" si="2225">IF(BL353&lt;0,SUBSTITUTE(TEXT(BL353,"000000000000,00"),",",""),SUBSTITUTE(TEXT(BL353,"0000000000000,00"),",",""))</f>
        <v>000000000000000</v>
      </c>
      <c r="BN353" t="str">
        <f t="shared" si="2099"/>
        <v>PES</v>
      </c>
      <c r="BO353" t="str">
        <f t="shared" si="2100"/>
        <v>0001000000</v>
      </c>
      <c r="BP353">
        <f t="shared" si="2101"/>
        <v>0</v>
      </c>
      <c r="BQ353">
        <f t="shared" si="2102"/>
        <v>0</v>
      </c>
      <c r="BR353" s="23">
        <f t="shared" si="2103"/>
        <v>0</v>
      </c>
      <c r="BS353" s="49" t="str">
        <f t="shared" si="2068"/>
        <v>000000000000000</v>
      </c>
      <c r="BT353" t="str">
        <f t="shared" si="2104"/>
        <v>00000000</v>
      </c>
      <c r="BU353" s="23">
        <f t="shared" si="2105"/>
        <v>0</v>
      </c>
      <c r="BV353" s="49" t="str">
        <f t="shared" si="2069"/>
        <v/>
      </c>
      <c r="BW353" s="52" t="str">
        <f t="shared" si="2106"/>
        <v/>
      </c>
      <c r="BX353" s="23">
        <f t="shared" si="2107"/>
        <v>0</v>
      </c>
      <c r="BY353" s="49" t="str">
        <f t="shared" si="2070"/>
        <v/>
      </c>
      <c r="BZ353" s="23">
        <f t="shared" si="2108"/>
        <v>0</v>
      </c>
      <c r="CA353" s="49" t="str">
        <f t="shared" si="2071"/>
        <v/>
      </c>
      <c r="CB353" s="52" t="str">
        <f t="shared" si="2109"/>
        <v/>
      </c>
      <c r="CC353" s="23">
        <f t="shared" si="2110"/>
        <v>0</v>
      </c>
      <c r="CD353" s="49" t="str">
        <f t="shared" si="2072"/>
        <v/>
      </c>
      <c r="CE353" s="56" t="str">
        <f>IF(CF353="","",MAX(CE$10:$CE352)+1)</f>
        <v/>
      </c>
      <c r="CF353" t="str">
        <f t="shared" si="2111"/>
        <v/>
      </c>
      <c r="CG353" s="22" t="str">
        <f>IF(CH353="","",MAX($CG$10:CG352)+1)</f>
        <v/>
      </c>
      <c r="CH353" s="22" t="str">
        <f t="shared" si="2056"/>
        <v/>
      </c>
      <c r="CI353" s="22" t="str">
        <f>IF(CJ353="","",MAX($CI$10:CI352)+1)</f>
        <v/>
      </c>
      <c r="CJ353" s="22" t="str">
        <f t="shared" si="2057"/>
        <v/>
      </c>
    </row>
    <row r="354" spans="2:88" x14ac:dyDescent="0.25">
      <c r="B354" s="37"/>
      <c r="C354" s="3"/>
      <c r="D354" s="77" t="str">
        <f t="shared" si="2043"/>
        <v/>
      </c>
      <c r="E354" s="38"/>
      <c r="F354" s="38"/>
      <c r="G354" s="78">
        <f t="shared" si="2058"/>
        <v>0</v>
      </c>
      <c r="H354" s="3">
        <v>80</v>
      </c>
      <c r="I354" s="77" t="str">
        <f t="shared" si="2044"/>
        <v/>
      </c>
      <c r="J354" s="32"/>
      <c r="K354" s="3"/>
      <c r="L354" s="39"/>
      <c r="M354" s="39"/>
      <c r="N354" s="39"/>
      <c r="O354" s="39"/>
      <c r="P354" s="39"/>
      <c r="Q354" s="39"/>
      <c r="R354" s="39"/>
      <c r="S354" s="39"/>
      <c r="T354" s="3" t="s">
        <v>645</v>
      </c>
      <c r="U354" s="77" t="str">
        <f t="shared" si="2045"/>
        <v/>
      </c>
      <c r="V354" s="39">
        <v>1</v>
      </c>
      <c r="W354" s="79">
        <f t="shared" si="2059"/>
        <v>0</v>
      </c>
      <c r="X354" s="3">
        <v>0</v>
      </c>
      <c r="Y354" s="77" t="str">
        <f t="shared" si="2046"/>
        <v/>
      </c>
      <c r="Z354" s="3"/>
      <c r="AA354" s="37" t="str">
        <f t="shared" si="2060"/>
        <v/>
      </c>
      <c r="AC354" s="40"/>
      <c r="AD354" s="7"/>
      <c r="AE354" s="77" t="str">
        <f t="shared" si="2047"/>
        <v/>
      </c>
      <c r="AF354" s="81">
        <f t="shared" si="2073"/>
        <v>0</v>
      </c>
      <c r="AG354" s="40"/>
      <c r="AH354" s="7"/>
      <c r="AI354" s="77" t="str">
        <f t="shared" si="2048"/>
        <v/>
      </c>
      <c r="AJ354" s="81">
        <f t="shared" si="2074"/>
        <v>0</v>
      </c>
      <c r="AK354" s="83">
        <f t="shared" si="2075"/>
        <v>0</v>
      </c>
      <c r="AL354" s="83">
        <f t="shared" si="2076"/>
        <v>0</v>
      </c>
      <c r="AN354" s="43">
        <f t="shared" si="2049"/>
        <v>0</v>
      </c>
      <c r="AP354" t="str">
        <f t="shared" si="2077"/>
        <v/>
      </c>
      <c r="AQ354" t="str">
        <f t="shared" si="2078"/>
        <v/>
      </c>
      <c r="AR354" t="str">
        <f t="shared" si="2079"/>
        <v/>
      </c>
      <c r="AS354" t="str">
        <f t="shared" si="2080"/>
        <v/>
      </c>
      <c r="AT354" t="str">
        <f t="shared" si="2081"/>
        <v/>
      </c>
      <c r="AU354" t="str">
        <f t="shared" si="2082"/>
        <v/>
      </c>
      <c r="AV354" t="str">
        <f t="shared" si="2083"/>
        <v/>
      </c>
      <c r="AW354" t="str">
        <f t="shared" si="2084"/>
        <v xml:space="preserve">                              </v>
      </c>
      <c r="AX354" s="23">
        <f t="shared" si="2085"/>
        <v>0</v>
      </c>
      <c r="AY354" s="49" t="str">
        <f t="shared" si="2061"/>
        <v>000000000000000</v>
      </c>
      <c r="AZ354" s="23">
        <f t="shared" si="2086"/>
        <v>0</v>
      </c>
      <c r="BA354" s="49" t="str">
        <f t="shared" si="2061"/>
        <v>000000000000000</v>
      </c>
      <c r="BB354" s="23">
        <f t="shared" si="2087"/>
        <v>0</v>
      </c>
      <c r="BC354" s="49" t="str">
        <f t="shared" ref="BC354" si="2226">IF(BB354&lt;0,SUBSTITUTE(TEXT(BB354,"000000000000,00"),",",""),SUBSTITUTE(TEXT(BB354,"0000000000000,00"),",",""))</f>
        <v>000000000000000</v>
      </c>
      <c r="BD354" s="23">
        <f t="shared" si="2089"/>
        <v>0</v>
      </c>
      <c r="BE354" s="49" t="str">
        <f t="shared" ref="BE354" si="2227">IF(BD354&lt;0,SUBSTITUTE(TEXT(BD354,"000000000000,00"),",",""),SUBSTITUTE(TEXT(BD354,"0000000000000,00"),",",""))</f>
        <v>000000000000000</v>
      </c>
      <c r="BF354" s="23">
        <f t="shared" si="2091"/>
        <v>0</v>
      </c>
      <c r="BG354" s="49" t="str">
        <f t="shared" ref="BG354" si="2228">IF(BF354&lt;0,SUBSTITUTE(TEXT(BF354,"000000000000,00"),",",""),SUBSTITUTE(TEXT(BF354,"0000000000000,00"),",",""))</f>
        <v>000000000000000</v>
      </c>
      <c r="BH354" s="23">
        <f t="shared" si="2093"/>
        <v>0</v>
      </c>
      <c r="BI354" s="49" t="str">
        <f t="shared" ref="BI354" si="2229">IF(BH354&lt;0,SUBSTITUTE(TEXT(BH354,"000000000000,00"),",",""),SUBSTITUTE(TEXT(BH354,"0000000000000,00"),",",""))</f>
        <v>000000000000000</v>
      </c>
      <c r="BJ354" s="23">
        <f t="shared" si="2095"/>
        <v>0</v>
      </c>
      <c r="BK354" s="49" t="str">
        <f t="shared" ref="BK354" si="2230">IF(BJ354&lt;0,SUBSTITUTE(TEXT(BJ354,"000000000000,00"),",",""),SUBSTITUTE(TEXT(BJ354,"0000000000000,00"),",",""))</f>
        <v>000000000000000</v>
      </c>
      <c r="BL354" s="23">
        <f t="shared" si="2097"/>
        <v>0</v>
      </c>
      <c r="BM354" s="49" t="str">
        <f t="shared" ref="BM354" si="2231">IF(BL354&lt;0,SUBSTITUTE(TEXT(BL354,"000000000000,00"),",",""),SUBSTITUTE(TEXT(BL354,"0000000000000,00"),",",""))</f>
        <v>000000000000000</v>
      </c>
      <c r="BN354" t="str">
        <f t="shared" si="2099"/>
        <v>PES</v>
      </c>
      <c r="BO354" t="str">
        <f t="shared" si="2100"/>
        <v>0001000000</v>
      </c>
      <c r="BP354">
        <f t="shared" si="2101"/>
        <v>0</v>
      </c>
      <c r="BQ354">
        <f t="shared" si="2102"/>
        <v>0</v>
      </c>
      <c r="BR354" s="23">
        <f t="shared" si="2103"/>
        <v>0</v>
      </c>
      <c r="BS354" s="49" t="str">
        <f t="shared" si="2068"/>
        <v>000000000000000</v>
      </c>
      <c r="BT354" t="str">
        <f t="shared" si="2104"/>
        <v>00000000</v>
      </c>
      <c r="BU354" s="23">
        <f t="shared" si="2105"/>
        <v>0</v>
      </c>
      <c r="BV354" s="49" t="str">
        <f t="shared" si="2069"/>
        <v/>
      </c>
      <c r="BW354" s="52" t="str">
        <f t="shared" si="2106"/>
        <v/>
      </c>
      <c r="BX354" s="23">
        <f t="shared" si="2107"/>
        <v>0</v>
      </c>
      <c r="BY354" s="49" t="str">
        <f t="shared" si="2070"/>
        <v/>
      </c>
      <c r="BZ354" s="23">
        <f t="shared" si="2108"/>
        <v>0</v>
      </c>
      <c r="CA354" s="49" t="str">
        <f t="shared" si="2071"/>
        <v/>
      </c>
      <c r="CB354" s="52" t="str">
        <f t="shared" si="2109"/>
        <v/>
      </c>
      <c r="CC354" s="23">
        <f t="shared" si="2110"/>
        <v>0</v>
      </c>
      <c r="CD354" s="49" t="str">
        <f t="shared" si="2072"/>
        <v/>
      </c>
      <c r="CE354" s="56" t="str">
        <f>IF(CF354="","",MAX(CE$10:$CE353)+1)</f>
        <v/>
      </c>
      <c r="CF354" t="str">
        <f t="shared" si="2111"/>
        <v/>
      </c>
      <c r="CG354" s="22" t="str">
        <f>IF(CH354="","",MAX($CG$10:CG353)+1)</f>
        <v/>
      </c>
      <c r="CH354" s="22" t="str">
        <f t="shared" si="2056"/>
        <v/>
      </c>
      <c r="CI354" s="22" t="str">
        <f>IF(CJ354="","",MAX($CI$10:CI353)+1)</f>
        <v/>
      </c>
      <c r="CJ354" s="22" t="str">
        <f t="shared" si="2057"/>
        <v/>
      </c>
    </row>
    <row r="355" spans="2:88" x14ac:dyDescent="0.25">
      <c r="B355" s="37"/>
      <c r="C355" s="3"/>
      <c r="D355" s="77" t="str">
        <f t="shared" si="2043"/>
        <v/>
      </c>
      <c r="E355" s="38"/>
      <c r="F355" s="38"/>
      <c r="G355" s="78">
        <f t="shared" si="2058"/>
        <v>0</v>
      </c>
      <c r="H355" s="3">
        <v>80</v>
      </c>
      <c r="I355" s="77" t="str">
        <f t="shared" si="2044"/>
        <v/>
      </c>
      <c r="J355" s="32"/>
      <c r="K355" s="3"/>
      <c r="L355" s="39"/>
      <c r="M355" s="39"/>
      <c r="N355" s="39"/>
      <c r="O355" s="39"/>
      <c r="P355" s="39"/>
      <c r="Q355" s="39"/>
      <c r="R355" s="39"/>
      <c r="S355" s="39"/>
      <c r="T355" s="3" t="s">
        <v>645</v>
      </c>
      <c r="U355" s="77" t="str">
        <f t="shared" si="2045"/>
        <v/>
      </c>
      <c r="V355" s="39">
        <v>1</v>
      </c>
      <c r="W355" s="79">
        <f t="shared" si="2059"/>
        <v>0</v>
      </c>
      <c r="X355" s="3">
        <v>0</v>
      </c>
      <c r="Y355" s="77" t="str">
        <f t="shared" si="2046"/>
        <v/>
      </c>
      <c r="Z355" s="3"/>
      <c r="AA355" s="37" t="str">
        <f t="shared" si="2060"/>
        <v/>
      </c>
      <c r="AC355" s="40"/>
      <c r="AD355" s="7"/>
      <c r="AE355" s="77" t="str">
        <f t="shared" si="2047"/>
        <v/>
      </c>
      <c r="AF355" s="81">
        <f t="shared" si="2073"/>
        <v>0</v>
      </c>
      <c r="AG355" s="40"/>
      <c r="AH355" s="7"/>
      <c r="AI355" s="77" t="str">
        <f t="shared" si="2048"/>
        <v/>
      </c>
      <c r="AJ355" s="81">
        <f t="shared" si="2074"/>
        <v>0</v>
      </c>
      <c r="AK355" s="83">
        <f t="shared" si="2075"/>
        <v>0</v>
      </c>
      <c r="AL355" s="83">
        <f t="shared" si="2076"/>
        <v>0</v>
      </c>
      <c r="AN355" s="43">
        <f t="shared" si="2049"/>
        <v>0</v>
      </c>
      <c r="AP355" t="str">
        <f t="shared" si="2077"/>
        <v/>
      </c>
      <c r="AQ355" t="str">
        <f t="shared" si="2078"/>
        <v/>
      </c>
      <c r="AR355" t="str">
        <f t="shared" si="2079"/>
        <v/>
      </c>
      <c r="AS355" t="str">
        <f t="shared" si="2080"/>
        <v/>
      </c>
      <c r="AT355" t="str">
        <f t="shared" si="2081"/>
        <v/>
      </c>
      <c r="AU355" t="str">
        <f t="shared" si="2082"/>
        <v/>
      </c>
      <c r="AV355" t="str">
        <f t="shared" si="2083"/>
        <v/>
      </c>
      <c r="AW355" t="str">
        <f t="shared" si="2084"/>
        <v xml:space="preserve">                              </v>
      </c>
      <c r="AX355" s="23">
        <f t="shared" si="2085"/>
        <v>0</v>
      </c>
      <c r="AY355" s="49" t="str">
        <f t="shared" si="2061"/>
        <v>000000000000000</v>
      </c>
      <c r="AZ355" s="23">
        <f t="shared" si="2086"/>
        <v>0</v>
      </c>
      <c r="BA355" s="49" t="str">
        <f t="shared" si="2061"/>
        <v>000000000000000</v>
      </c>
      <c r="BB355" s="23">
        <f t="shared" si="2087"/>
        <v>0</v>
      </c>
      <c r="BC355" s="49" t="str">
        <f t="shared" ref="BC355" si="2232">IF(BB355&lt;0,SUBSTITUTE(TEXT(BB355,"000000000000,00"),",",""),SUBSTITUTE(TEXT(BB355,"0000000000000,00"),",",""))</f>
        <v>000000000000000</v>
      </c>
      <c r="BD355" s="23">
        <f t="shared" si="2089"/>
        <v>0</v>
      </c>
      <c r="BE355" s="49" t="str">
        <f t="shared" ref="BE355" si="2233">IF(BD355&lt;0,SUBSTITUTE(TEXT(BD355,"000000000000,00"),",",""),SUBSTITUTE(TEXT(BD355,"0000000000000,00"),",",""))</f>
        <v>000000000000000</v>
      </c>
      <c r="BF355" s="23">
        <f t="shared" si="2091"/>
        <v>0</v>
      </c>
      <c r="BG355" s="49" t="str">
        <f t="shared" ref="BG355" si="2234">IF(BF355&lt;0,SUBSTITUTE(TEXT(BF355,"000000000000,00"),",",""),SUBSTITUTE(TEXT(BF355,"0000000000000,00"),",",""))</f>
        <v>000000000000000</v>
      </c>
      <c r="BH355" s="23">
        <f t="shared" si="2093"/>
        <v>0</v>
      </c>
      <c r="BI355" s="49" t="str">
        <f t="shared" ref="BI355" si="2235">IF(BH355&lt;0,SUBSTITUTE(TEXT(BH355,"000000000000,00"),",",""),SUBSTITUTE(TEXT(BH355,"0000000000000,00"),",",""))</f>
        <v>000000000000000</v>
      </c>
      <c r="BJ355" s="23">
        <f t="shared" si="2095"/>
        <v>0</v>
      </c>
      <c r="BK355" s="49" t="str">
        <f t="shared" ref="BK355" si="2236">IF(BJ355&lt;0,SUBSTITUTE(TEXT(BJ355,"000000000000,00"),",",""),SUBSTITUTE(TEXT(BJ355,"0000000000000,00"),",",""))</f>
        <v>000000000000000</v>
      </c>
      <c r="BL355" s="23">
        <f t="shared" si="2097"/>
        <v>0</v>
      </c>
      <c r="BM355" s="49" t="str">
        <f t="shared" ref="BM355" si="2237">IF(BL355&lt;0,SUBSTITUTE(TEXT(BL355,"000000000000,00"),",",""),SUBSTITUTE(TEXT(BL355,"0000000000000,00"),",",""))</f>
        <v>000000000000000</v>
      </c>
      <c r="BN355" t="str">
        <f t="shared" si="2099"/>
        <v>PES</v>
      </c>
      <c r="BO355" t="str">
        <f t="shared" si="2100"/>
        <v>0001000000</v>
      </c>
      <c r="BP355">
        <f t="shared" si="2101"/>
        <v>0</v>
      </c>
      <c r="BQ355">
        <f t="shared" si="2102"/>
        <v>0</v>
      </c>
      <c r="BR355" s="23">
        <f t="shared" si="2103"/>
        <v>0</v>
      </c>
      <c r="BS355" s="49" t="str">
        <f t="shared" si="2068"/>
        <v>000000000000000</v>
      </c>
      <c r="BT355" t="str">
        <f t="shared" si="2104"/>
        <v>00000000</v>
      </c>
      <c r="BU355" s="23">
        <f t="shared" si="2105"/>
        <v>0</v>
      </c>
      <c r="BV355" s="49" t="str">
        <f t="shared" si="2069"/>
        <v/>
      </c>
      <c r="BW355" s="52" t="str">
        <f t="shared" si="2106"/>
        <v/>
      </c>
      <c r="BX355" s="23">
        <f t="shared" si="2107"/>
        <v>0</v>
      </c>
      <c r="BY355" s="49" t="str">
        <f t="shared" si="2070"/>
        <v/>
      </c>
      <c r="BZ355" s="23">
        <f t="shared" si="2108"/>
        <v>0</v>
      </c>
      <c r="CA355" s="49" t="str">
        <f t="shared" si="2071"/>
        <v/>
      </c>
      <c r="CB355" s="52" t="str">
        <f t="shared" si="2109"/>
        <v/>
      </c>
      <c r="CC355" s="23">
        <f t="shared" si="2110"/>
        <v>0</v>
      </c>
      <c r="CD355" s="49" t="str">
        <f t="shared" si="2072"/>
        <v/>
      </c>
      <c r="CE355" s="56" t="str">
        <f>IF(CF355="","",MAX(CE$10:$CE354)+1)</f>
        <v/>
      </c>
      <c r="CF355" t="str">
        <f t="shared" si="2111"/>
        <v/>
      </c>
      <c r="CG355" s="22" t="str">
        <f>IF(CH355="","",MAX($CG$10:CG354)+1)</f>
        <v/>
      </c>
      <c r="CH355" s="22" t="str">
        <f t="shared" si="2056"/>
        <v/>
      </c>
      <c r="CI355" s="22" t="str">
        <f>IF(CJ355="","",MAX($CI$10:CI354)+1)</f>
        <v/>
      </c>
      <c r="CJ355" s="22" t="str">
        <f t="shared" si="2057"/>
        <v/>
      </c>
    </row>
    <row r="356" spans="2:88" x14ac:dyDescent="0.25">
      <c r="B356" s="37"/>
      <c r="C356" s="3"/>
      <c r="D356" s="77" t="str">
        <f t="shared" si="2043"/>
        <v/>
      </c>
      <c r="E356" s="38"/>
      <c r="F356" s="38"/>
      <c r="G356" s="78">
        <f t="shared" si="2058"/>
        <v>0</v>
      </c>
      <c r="H356" s="3">
        <v>80</v>
      </c>
      <c r="I356" s="77" t="str">
        <f t="shared" si="2044"/>
        <v/>
      </c>
      <c r="J356" s="32"/>
      <c r="K356" s="3"/>
      <c r="L356" s="39"/>
      <c r="M356" s="39"/>
      <c r="N356" s="39"/>
      <c r="O356" s="39"/>
      <c r="P356" s="39"/>
      <c r="Q356" s="39"/>
      <c r="R356" s="39"/>
      <c r="S356" s="39"/>
      <c r="T356" s="3" t="s">
        <v>645</v>
      </c>
      <c r="U356" s="77" t="str">
        <f t="shared" si="2045"/>
        <v/>
      </c>
      <c r="V356" s="39">
        <v>1</v>
      </c>
      <c r="W356" s="79">
        <f t="shared" si="2059"/>
        <v>0</v>
      </c>
      <c r="X356" s="3">
        <v>0</v>
      </c>
      <c r="Y356" s="77" t="str">
        <f t="shared" si="2046"/>
        <v/>
      </c>
      <c r="Z356" s="3"/>
      <c r="AA356" s="37" t="str">
        <f t="shared" si="2060"/>
        <v/>
      </c>
      <c r="AC356" s="40"/>
      <c r="AD356" s="7"/>
      <c r="AE356" s="77" t="str">
        <f t="shared" si="2047"/>
        <v/>
      </c>
      <c r="AF356" s="81">
        <f t="shared" si="2073"/>
        <v>0</v>
      </c>
      <c r="AG356" s="40"/>
      <c r="AH356" s="7"/>
      <c r="AI356" s="77" t="str">
        <f t="shared" si="2048"/>
        <v/>
      </c>
      <c r="AJ356" s="81">
        <f t="shared" si="2074"/>
        <v>0</v>
      </c>
      <c r="AK356" s="83">
        <f t="shared" si="2075"/>
        <v>0</v>
      </c>
      <c r="AL356" s="83">
        <f t="shared" si="2076"/>
        <v>0</v>
      </c>
      <c r="AN356" s="43">
        <f t="shared" si="2049"/>
        <v>0</v>
      </c>
      <c r="AP356" t="str">
        <f t="shared" si="2077"/>
        <v/>
      </c>
      <c r="AQ356" t="str">
        <f t="shared" si="2078"/>
        <v/>
      </c>
      <c r="AR356" t="str">
        <f t="shared" si="2079"/>
        <v/>
      </c>
      <c r="AS356" t="str">
        <f t="shared" si="2080"/>
        <v/>
      </c>
      <c r="AT356" t="str">
        <f t="shared" si="2081"/>
        <v/>
      </c>
      <c r="AU356" t="str">
        <f t="shared" si="2082"/>
        <v/>
      </c>
      <c r="AV356" t="str">
        <f t="shared" si="2083"/>
        <v/>
      </c>
      <c r="AW356" t="str">
        <f t="shared" si="2084"/>
        <v xml:space="preserve">                              </v>
      </c>
      <c r="AX356" s="23">
        <f t="shared" si="2085"/>
        <v>0</v>
      </c>
      <c r="AY356" s="49" t="str">
        <f t="shared" si="2061"/>
        <v>000000000000000</v>
      </c>
      <c r="AZ356" s="23">
        <f t="shared" si="2086"/>
        <v>0</v>
      </c>
      <c r="BA356" s="49" t="str">
        <f t="shared" si="2061"/>
        <v>000000000000000</v>
      </c>
      <c r="BB356" s="23">
        <f t="shared" si="2087"/>
        <v>0</v>
      </c>
      <c r="BC356" s="49" t="str">
        <f t="shared" ref="BC356" si="2238">IF(BB356&lt;0,SUBSTITUTE(TEXT(BB356,"000000000000,00"),",",""),SUBSTITUTE(TEXT(BB356,"0000000000000,00"),",",""))</f>
        <v>000000000000000</v>
      </c>
      <c r="BD356" s="23">
        <f t="shared" si="2089"/>
        <v>0</v>
      </c>
      <c r="BE356" s="49" t="str">
        <f t="shared" ref="BE356" si="2239">IF(BD356&lt;0,SUBSTITUTE(TEXT(BD356,"000000000000,00"),",",""),SUBSTITUTE(TEXT(BD356,"0000000000000,00"),",",""))</f>
        <v>000000000000000</v>
      </c>
      <c r="BF356" s="23">
        <f t="shared" si="2091"/>
        <v>0</v>
      </c>
      <c r="BG356" s="49" t="str">
        <f t="shared" ref="BG356" si="2240">IF(BF356&lt;0,SUBSTITUTE(TEXT(BF356,"000000000000,00"),",",""),SUBSTITUTE(TEXT(BF356,"0000000000000,00"),",",""))</f>
        <v>000000000000000</v>
      </c>
      <c r="BH356" s="23">
        <f t="shared" si="2093"/>
        <v>0</v>
      </c>
      <c r="BI356" s="49" t="str">
        <f t="shared" ref="BI356" si="2241">IF(BH356&lt;0,SUBSTITUTE(TEXT(BH356,"000000000000,00"),",",""),SUBSTITUTE(TEXT(BH356,"0000000000000,00"),",",""))</f>
        <v>000000000000000</v>
      </c>
      <c r="BJ356" s="23">
        <f t="shared" si="2095"/>
        <v>0</v>
      </c>
      <c r="BK356" s="49" t="str">
        <f t="shared" ref="BK356" si="2242">IF(BJ356&lt;0,SUBSTITUTE(TEXT(BJ356,"000000000000,00"),",",""),SUBSTITUTE(TEXT(BJ356,"0000000000000,00"),",",""))</f>
        <v>000000000000000</v>
      </c>
      <c r="BL356" s="23">
        <f t="shared" si="2097"/>
        <v>0</v>
      </c>
      <c r="BM356" s="49" t="str">
        <f t="shared" ref="BM356" si="2243">IF(BL356&lt;0,SUBSTITUTE(TEXT(BL356,"000000000000,00"),",",""),SUBSTITUTE(TEXT(BL356,"0000000000000,00"),",",""))</f>
        <v>000000000000000</v>
      </c>
      <c r="BN356" t="str">
        <f t="shared" si="2099"/>
        <v>PES</v>
      </c>
      <c r="BO356" t="str">
        <f t="shared" si="2100"/>
        <v>0001000000</v>
      </c>
      <c r="BP356">
        <f t="shared" si="2101"/>
        <v>0</v>
      </c>
      <c r="BQ356">
        <f t="shared" si="2102"/>
        <v>0</v>
      </c>
      <c r="BR356" s="23">
        <f t="shared" si="2103"/>
        <v>0</v>
      </c>
      <c r="BS356" s="49" t="str">
        <f t="shared" si="2068"/>
        <v>000000000000000</v>
      </c>
      <c r="BT356" t="str">
        <f t="shared" si="2104"/>
        <v>00000000</v>
      </c>
      <c r="BU356" s="23">
        <f t="shared" si="2105"/>
        <v>0</v>
      </c>
      <c r="BV356" s="49" t="str">
        <f t="shared" si="2069"/>
        <v/>
      </c>
      <c r="BW356" s="52" t="str">
        <f t="shared" si="2106"/>
        <v/>
      </c>
      <c r="BX356" s="23">
        <f t="shared" si="2107"/>
        <v>0</v>
      </c>
      <c r="BY356" s="49" t="str">
        <f t="shared" si="2070"/>
        <v/>
      </c>
      <c r="BZ356" s="23">
        <f t="shared" si="2108"/>
        <v>0</v>
      </c>
      <c r="CA356" s="49" t="str">
        <f t="shared" si="2071"/>
        <v/>
      </c>
      <c r="CB356" s="52" t="str">
        <f t="shared" si="2109"/>
        <v/>
      </c>
      <c r="CC356" s="23">
        <f t="shared" si="2110"/>
        <v>0</v>
      </c>
      <c r="CD356" s="49" t="str">
        <f t="shared" si="2072"/>
        <v/>
      </c>
      <c r="CE356" s="56" t="str">
        <f>IF(CF356="","",MAX(CE$10:$CE355)+1)</f>
        <v/>
      </c>
      <c r="CF356" t="str">
        <f t="shared" si="2111"/>
        <v/>
      </c>
      <c r="CG356" s="22" t="str">
        <f>IF(CH356="","",MAX($CG$10:CG355)+1)</f>
        <v/>
      </c>
      <c r="CH356" s="22" t="str">
        <f t="shared" si="2056"/>
        <v/>
      </c>
      <c r="CI356" s="22" t="str">
        <f>IF(CJ356="","",MAX($CI$10:CI355)+1)</f>
        <v/>
      </c>
      <c r="CJ356" s="22" t="str">
        <f t="shared" si="2057"/>
        <v/>
      </c>
    </row>
    <row r="357" spans="2:88" x14ac:dyDescent="0.25">
      <c r="B357" s="37"/>
      <c r="C357" s="3"/>
      <c r="D357" s="77" t="str">
        <f t="shared" si="2043"/>
        <v/>
      </c>
      <c r="E357" s="38"/>
      <c r="F357" s="38"/>
      <c r="G357" s="78">
        <f t="shared" si="2058"/>
        <v>0</v>
      </c>
      <c r="H357" s="3">
        <v>80</v>
      </c>
      <c r="I357" s="77" t="str">
        <f t="shared" si="2044"/>
        <v/>
      </c>
      <c r="J357" s="32"/>
      <c r="K357" s="3"/>
      <c r="L357" s="39"/>
      <c r="M357" s="39"/>
      <c r="N357" s="39"/>
      <c r="O357" s="39"/>
      <c r="P357" s="39"/>
      <c r="Q357" s="39"/>
      <c r="R357" s="39"/>
      <c r="S357" s="39"/>
      <c r="T357" s="3" t="s">
        <v>645</v>
      </c>
      <c r="U357" s="77" t="str">
        <f t="shared" si="2045"/>
        <v/>
      </c>
      <c r="V357" s="39">
        <v>1</v>
      </c>
      <c r="W357" s="79">
        <f t="shared" si="2059"/>
        <v>0</v>
      </c>
      <c r="X357" s="3">
        <v>0</v>
      </c>
      <c r="Y357" s="77" t="str">
        <f t="shared" si="2046"/>
        <v/>
      </c>
      <c r="Z357" s="3"/>
      <c r="AA357" s="37" t="str">
        <f t="shared" si="2060"/>
        <v/>
      </c>
      <c r="AC357" s="40"/>
      <c r="AD357" s="7"/>
      <c r="AE357" s="77" t="str">
        <f t="shared" si="2047"/>
        <v/>
      </c>
      <c r="AF357" s="81">
        <f t="shared" si="2073"/>
        <v>0</v>
      </c>
      <c r="AG357" s="40"/>
      <c r="AH357" s="7"/>
      <c r="AI357" s="77" t="str">
        <f t="shared" si="2048"/>
        <v/>
      </c>
      <c r="AJ357" s="81">
        <f t="shared" si="2074"/>
        <v>0</v>
      </c>
      <c r="AK357" s="83">
        <f t="shared" si="2075"/>
        <v>0</v>
      </c>
      <c r="AL357" s="83">
        <f t="shared" si="2076"/>
        <v>0</v>
      </c>
      <c r="AN357" s="43">
        <f t="shared" si="2049"/>
        <v>0</v>
      </c>
      <c r="AP357" t="str">
        <f t="shared" si="2077"/>
        <v/>
      </c>
      <c r="AQ357" t="str">
        <f t="shared" si="2078"/>
        <v/>
      </c>
      <c r="AR357" t="str">
        <f t="shared" si="2079"/>
        <v/>
      </c>
      <c r="AS357" t="str">
        <f t="shared" si="2080"/>
        <v/>
      </c>
      <c r="AT357" t="str">
        <f t="shared" si="2081"/>
        <v/>
      </c>
      <c r="AU357" t="str">
        <f t="shared" si="2082"/>
        <v/>
      </c>
      <c r="AV357" t="str">
        <f t="shared" si="2083"/>
        <v/>
      </c>
      <c r="AW357" t="str">
        <f t="shared" si="2084"/>
        <v xml:space="preserve">                              </v>
      </c>
      <c r="AX357" s="23">
        <f t="shared" si="2085"/>
        <v>0</v>
      </c>
      <c r="AY357" s="49" t="str">
        <f t="shared" si="2061"/>
        <v>000000000000000</v>
      </c>
      <c r="AZ357" s="23">
        <f t="shared" si="2086"/>
        <v>0</v>
      </c>
      <c r="BA357" s="49" t="str">
        <f t="shared" si="2061"/>
        <v>000000000000000</v>
      </c>
      <c r="BB357" s="23">
        <f t="shared" si="2087"/>
        <v>0</v>
      </c>
      <c r="BC357" s="49" t="str">
        <f t="shared" ref="BC357" si="2244">IF(BB357&lt;0,SUBSTITUTE(TEXT(BB357,"000000000000,00"),",",""),SUBSTITUTE(TEXT(BB357,"0000000000000,00"),",",""))</f>
        <v>000000000000000</v>
      </c>
      <c r="BD357" s="23">
        <f t="shared" si="2089"/>
        <v>0</v>
      </c>
      <c r="BE357" s="49" t="str">
        <f t="shared" ref="BE357" si="2245">IF(BD357&lt;0,SUBSTITUTE(TEXT(BD357,"000000000000,00"),",",""),SUBSTITUTE(TEXT(BD357,"0000000000000,00"),",",""))</f>
        <v>000000000000000</v>
      </c>
      <c r="BF357" s="23">
        <f t="shared" si="2091"/>
        <v>0</v>
      </c>
      <c r="BG357" s="49" t="str">
        <f t="shared" ref="BG357" si="2246">IF(BF357&lt;0,SUBSTITUTE(TEXT(BF357,"000000000000,00"),",",""),SUBSTITUTE(TEXT(BF357,"0000000000000,00"),",",""))</f>
        <v>000000000000000</v>
      </c>
      <c r="BH357" s="23">
        <f t="shared" si="2093"/>
        <v>0</v>
      </c>
      <c r="BI357" s="49" t="str">
        <f t="shared" ref="BI357" si="2247">IF(BH357&lt;0,SUBSTITUTE(TEXT(BH357,"000000000000,00"),",",""),SUBSTITUTE(TEXT(BH357,"0000000000000,00"),",",""))</f>
        <v>000000000000000</v>
      </c>
      <c r="BJ357" s="23">
        <f t="shared" si="2095"/>
        <v>0</v>
      </c>
      <c r="BK357" s="49" t="str">
        <f t="shared" ref="BK357" si="2248">IF(BJ357&lt;0,SUBSTITUTE(TEXT(BJ357,"000000000000,00"),",",""),SUBSTITUTE(TEXT(BJ357,"0000000000000,00"),",",""))</f>
        <v>000000000000000</v>
      </c>
      <c r="BL357" s="23">
        <f t="shared" si="2097"/>
        <v>0</v>
      </c>
      <c r="BM357" s="49" t="str">
        <f t="shared" ref="BM357" si="2249">IF(BL357&lt;0,SUBSTITUTE(TEXT(BL357,"000000000000,00"),",",""),SUBSTITUTE(TEXT(BL357,"0000000000000,00"),",",""))</f>
        <v>000000000000000</v>
      </c>
      <c r="BN357" t="str">
        <f t="shared" si="2099"/>
        <v>PES</v>
      </c>
      <c r="BO357" t="str">
        <f t="shared" si="2100"/>
        <v>0001000000</v>
      </c>
      <c r="BP357">
        <f t="shared" si="2101"/>
        <v>0</v>
      </c>
      <c r="BQ357">
        <f t="shared" si="2102"/>
        <v>0</v>
      </c>
      <c r="BR357" s="23">
        <f t="shared" si="2103"/>
        <v>0</v>
      </c>
      <c r="BS357" s="49" t="str">
        <f t="shared" si="2068"/>
        <v>000000000000000</v>
      </c>
      <c r="BT357" t="str">
        <f t="shared" si="2104"/>
        <v>00000000</v>
      </c>
      <c r="BU357" s="23">
        <f t="shared" si="2105"/>
        <v>0</v>
      </c>
      <c r="BV357" s="49" t="str">
        <f t="shared" si="2069"/>
        <v/>
      </c>
      <c r="BW357" s="52" t="str">
        <f t="shared" si="2106"/>
        <v/>
      </c>
      <c r="BX357" s="23">
        <f t="shared" si="2107"/>
        <v>0</v>
      </c>
      <c r="BY357" s="49" t="str">
        <f t="shared" si="2070"/>
        <v/>
      </c>
      <c r="BZ357" s="23">
        <f t="shared" si="2108"/>
        <v>0</v>
      </c>
      <c r="CA357" s="49" t="str">
        <f t="shared" si="2071"/>
        <v/>
      </c>
      <c r="CB357" s="52" t="str">
        <f t="shared" si="2109"/>
        <v/>
      </c>
      <c r="CC357" s="23">
        <f t="shared" si="2110"/>
        <v>0</v>
      </c>
      <c r="CD357" s="49" t="str">
        <f t="shared" si="2072"/>
        <v/>
      </c>
      <c r="CE357" s="56" t="str">
        <f>IF(CF357="","",MAX(CE$10:$CE356)+1)</f>
        <v/>
      </c>
      <c r="CF357" t="str">
        <f t="shared" si="2111"/>
        <v/>
      </c>
      <c r="CG357" s="22" t="str">
        <f>IF(CH357="","",MAX($CG$10:CG356)+1)</f>
        <v/>
      </c>
      <c r="CH357" s="22" t="str">
        <f t="shared" si="2056"/>
        <v/>
      </c>
      <c r="CI357" s="22" t="str">
        <f>IF(CJ357="","",MAX($CI$10:CI356)+1)</f>
        <v/>
      </c>
      <c r="CJ357" s="22" t="str">
        <f t="shared" si="2057"/>
        <v/>
      </c>
    </row>
    <row r="358" spans="2:88" x14ac:dyDescent="0.25">
      <c r="B358" s="37"/>
      <c r="C358" s="3"/>
      <c r="D358" s="77" t="str">
        <f t="shared" si="2043"/>
        <v/>
      </c>
      <c r="E358" s="38"/>
      <c r="F358" s="38"/>
      <c r="G358" s="78">
        <f t="shared" si="2058"/>
        <v>0</v>
      </c>
      <c r="H358" s="3">
        <v>80</v>
      </c>
      <c r="I358" s="77" t="str">
        <f t="shared" si="2044"/>
        <v/>
      </c>
      <c r="J358" s="32"/>
      <c r="K358" s="3"/>
      <c r="L358" s="39"/>
      <c r="M358" s="39"/>
      <c r="N358" s="39"/>
      <c r="O358" s="39"/>
      <c r="P358" s="39"/>
      <c r="Q358" s="39"/>
      <c r="R358" s="39"/>
      <c r="S358" s="39"/>
      <c r="T358" s="3" t="s">
        <v>645</v>
      </c>
      <c r="U358" s="77" t="str">
        <f t="shared" si="2045"/>
        <v/>
      </c>
      <c r="V358" s="39">
        <v>1</v>
      </c>
      <c r="W358" s="79">
        <f t="shared" si="2059"/>
        <v>0</v>
      </c>
      <c r="X358" s="3">
        <v>0</v>
      </c>
      <c r="Y358" s="77" t="str">
        <f t="shared" si="2046"/>
        <v/>
      </c>
      <c r="Z358" s="3"/>
      <c r="AA358" s="37" t="str">
        <f t="shared" si="2060"/>
        <v/>
      </c>
      <c r="AC358" s="40"/>
      <c r="AD358" s="7"/>
      <c r="AE358" s="77" t="str">
        <f t="shared" si="2047"/>
        <v/>
      </c>
      <c r="AF358" s="81">
        <f t="shared" si="2073"/>
        <v>0</v>
      </c>
      <c r="AG358" s="40"/>
      <c r="AH358" s="7"/>
      <c r="AI358" s="77" t="str">
        <f t="shared" si="2048"/>
        <v/>
      </c>
      <c r="AJ358" s="81">
        <f t="shared" si="2074"/>
        <v>0</v>
      </c>
      <c r="AK358" s="83">
        <f t="shared" si="2075"/>
        <v>0</v>
      </c>
      <c r="AL358" s="83">
        <f t="shared" si="2076"/>
        <v>0</v>
      </c>
      <c r="AN358" s="43">
        <f t="shared" si="2049"/>
        <v>0</v>
      </c>
      <c r="AP358" t="str">
        <f t="shared" si="2077"/>
        <v/>
      </c>
      <c r="AQ358" t="str">
        <f t="shared" si="2078"/>
        <v/>
      </c>
      <c r="AR358" t="str">
        <f t="shared" si="2079"/>
        <v/>
      </c>
      <c r="AS358" t="str">
        <f t="shared" si="2080"/>
        <v/>
      </c>
      <c r="AT358" t="str">
        <f t="shared" si="2081"/>
        <v/>
      </c>
      <c r="AU358" t="str">
        <f t="shared" si="2082"/>
        <v/>
      </c>
      <c r="AV358" t="str">
        <f t="shared" si="2083"/>
        <v/>
      </c>
      <c r="AW358" t="str">
        <f t="shared" si="2084"/>
        <v xml:space="preserve">                              </v>
      </c>
      <c r="AX358" s="23">
        <f t="shared" si="2085"/>
        <v>0</v>
      </c>
      <c r="AY358" s="49" t="str">
        <f t="shared" si="2061"/>
        <v>000000000000000</v>
      </c>
      <c r="AZ358" s="23">
        <f t="shared" si="2086"/>
        <v>0</v>
      </c>
      <c r="BA358" s="49" t="str">
        <f t="shared" si="2061"/>
        <v>000000000000000</v>
      </c>
      <c r="BB358" s="23">
        <f t="shared" si="2087"/>
        <v>0</v>
      </c>
      <c r="BC358" s="49" t="str">
        <f t="shared" ref="BC358" si="2250">IF(BB358&lt;0,SUBSTITUTE(TEXT(BB358,"000000000000,00"),",",""),SUBSTITUTE(TEXT(BB358,"0000000000000,00"),",",""))</f>
        <v>000000000000000</v>
      </c>
      <c r="BD358" s="23">
        <f t="shared" si="2089"/>
        <v>0</v>
      </c>
      <c r="BE358" s="49" t="str">
        <f t="shared" ref="BE358" si="2251">IF(BD358&lt;0,SUBSTITUTE(TEXT(BD358,"000000000000,00"),",",""),SUBSTITUTE(TEXT(BD358,"0000000000000,00"),",",""))</f>
        <v>000000000000000</v>
      </c>
      <c r="BF358" s="23">
        <f t="shared" si="2091"/>
        <v>0</v>
      </c>
      <c r="BG358" s="49" t="str">
        <f t="shared" ref="BG358" si="2252">IF(BF358&lt;0,SUBSTITUTE(TEXT(BF358,"000000000000,00"),",",""),SUBSTITUTE(TEXT(BF358,"0000000000000,00"),",",""))</f>
        <v>000000000000000</v>
      </c>
      <c r="BH358" s="23">
        <f t="shared" si="2093"/>
        <v>0</v>
      </c>
      <c r="BI358" s="49" t="str">
        <f t="shared" ref="BI358" si="2253">IF(BH358&lt;0,SUBSTITUTE(TEXT(BH358,"000000000000,00"),",",""),SUBSTITUTE(TEXT(BH358,"0000000000000,00"),",",""))</f>
        <v>000000000000000</v>
      </c>
      <c r="BJ358" s="23">
        <f t="shared" si="2095"/>
        <v>0</v>
      </c>
      <c r="BK358" s="49" t="str">
        <f t="shared" ref="BK358" si="2254">IF(BJ358&lt;0,SUBSTITUTE(TEXT(BJ358,"000000000000,00"),",",""),SUBSTITUTE(TEXT(BJ358,"0000000000000,00"),",",""))</f>
        <v>000000000000000</v>
      </c>
      <c r="BL358" s="23">
        <f t="shared" si="2097"/>
        <v>0</v>
      </c>
      <c r="BM358" s="49" t="str">
        <f t="shared" ref="BM358" si="2255">IF(BL358&lt;0,SUBSTITUTE(TEXT(BL358,"000000000000,00"),",",""),SUBSTITUTE(TEXT(BL358,"0000000000000,00"),",",""))</f>
        <v>000000000000000</v>
      </c>
      <c r="BN358" t="str">
        <f t="shared" si="2099"/>
        <v>PES</v>
      </c>
      <c r="BO358" t="str">
        <f t="shared" si="2100"/>
        <v>0001000000</v>
      </c>
      <c r="BP358">
        <f t="shared" si="2101"/>
        <v>0</v>
      </c>
      <c r="BQ358">
        <f t="shared" si="2102"/>
        <v>0</v>
      </c>
      <c r="BR358" s="23">
        <f t="shared" si="2103"/>
        <v>0</v>
      </c>
      <c r="BS358" s="49" t="str">
        <f t="shared" si="2068"/>
        <v>000000000000000</v>
      </c>
      <c r="BT358" t="str">
        <f t="shared" si="2104"/>
        <v>00000000</v>
      </c>
      <c r="BU358" s="23">
        <f t="shared" si="2105"/>
        <v>0</v>
      </c>
      <c r="BV358" s="49" t="str">
        <f t="shared" si="2069"/>
        <v/>
      </c>
      <c r="BW358" s="52" t="str">
        <f t="shared" si="2106"/>
        <v/>
      </c>
      <c r="BX358" s="23">
        <f t="shared" si="2107"/>
        <v>0</v>
      </c>
      <c r="BY358" s="49" t="str">
        <f t="shared" si="2070"/>
        <v/>
      </c>
      <c r="BZ358" s="23">
        <f t="shared" si="2108"/>
        <v>0</v>
      </c>
      <c r="CA358" s="49" t="str">
        <f t="shared" si="2071"/>
        <v/>
      </c>
      <c r="CB358" s="52" t="str">
        <f t="shared" si="2109"/>
        <v/>
      </c>
      <c r="CC358" s="23">
        <f t="shared" si="2110"/>
        <v>0</v>
      </c>
      <c r="CD358" s="49" t="str">
        <f t="shared" si="2072"/>
        <v/>
      </c>
      <c r="CE358" s="56" t="str">
        <f>IF(CF358="","",MAX(CE$10:$CE357)+1)</f>
        <v/>
      </c>
      <c r="CF358" t="str">
        <f t="shared" si="2111"/>
        <v/>
      </c>
      <c r="CG358" s="22" t="str">
        <f>IF(CH358="","",MAX($CG$10:CG357)+1)</f>
        <v/>
      </c>
      <c r="CH358" s="22" t="str">
        <f t="shared" si="2056"/>
        <v/>
      </c>
      <c r="CI358" s="22" t="str">
        <f>IF(CJ358="","",MAX($CI$10:CI357)+1)</f>
        <v/>
      </c>
      <c r="CJ358" s="22" t="str">
        <f t="shared" si="2057"/>
        <v/>
      </c>
    </row>
    <row r="359" spans="2:88" x14ac:dyDescent="0.25">
      <c r="B359" s="37"/>
      <c r="C359" s="3"/>
      <c r="D359" s="77" t="str">
        <f t="shared" si="2043"/>
        <v/>
      </c>
      <c r="E359" s="38"/>
      <c r="F359" s="38"/>
      <c r="G359" s="78">
        <f t="shared" si="2058"/>
        <v>0</v>
      </c>
      <c r="H359" s="3">
        <v>80</v>
      </c>
      <c r="I359" s="77" t="str">
        <f t="shared" si="2044"/>
        <v/>
      </c>
      <c r="J359" s="32"/>
      <c r="K359" s="3"/>
      <c r="L359" s="39"/>
      <c r="M359" s="39"/>
      <c r="N359" s="39"/>
      <c r="O359" s="39"/>
      <c r="P359" s="39"/>
      <c r="Q359" s="39"/>
      <c r="R359" s="39"/>
      <c r="S359" s="39"/>
      <c r="T359" s="3" t="s">
        <v>645</v>
      </c>
      <c r="U359" s="77" t="str">
        <f t="shared" si="2045"/>
        <v/>
      </c>
      <c r="V359" s="39">
        <v>1</v>
      </c>
      <c r="W359" s="79">
        <f t="shared" si="2059"/>
        <v>0</v>
      </c>
      <c r="X359" s="3">
        <v>0</v>
      </c>
      <c r="Y359" s="77" t="str">
        <f t="shared" si="2046"/>
        <v/>
      </c>
      <c r="Z359" s="3"/>
      <c r="AA359" s="37" t="str">
        <f t="shared" si="2060"/>
        <v/>
      </c>
      <c r="AC359" s="40"/>
      <c r="AD359" s="7"/>
      <c r="AE359" s="77" t="str">
        <f t="shared" si="2047"/>
        <v/>
      </c>
      <c r="AF359" s="81">
        <f t="shared" si="2073"/>
        <v>0</v>
      </c>
      <c r="AG359" s="40"/>
      <c r="AH359" s="7"/>
      <c r="AI359" s="77" t="str">
        <f t="shared" si="2048"/>
        <v/>
      </c>
      <c r="AJ359" s="81">
        <f t="shared" si="2074"/>
        <v>0</v>
      </c>
      <c r="AK359" s="83">
        <f t="shared" si="2075"/>
        <v>0</v>
      </c>
      <c r="AL359" s="83">
        <f t="shared" si="2076"/>
        <v>0</v>
      </c>
      <c r="AN359" s="43">
        <f t="shared" si="2049"/>
        <v>0</v>
      </c>
      <c r="AP359" t="str">
        <f t="shared" si="2077"/>
        <v/>
      </c>
      <c r="AQ359" t="str">
        <f t="shared" si="2078"/>
        <v/>
      </c>
      <c r="AR359" t="str">
        <f t="shared" si="2079"/>
        <v/>
      </c>
      <c r="AS359" t="str">
        <f t="shared" si="2080"/>
        <v/>
      </c>
      <c r="AT359" t="str">
        <f t="shared" si="2081"/>
        <v/>
      </c>
      <c r="AU359" t="str">
        <f t="shared" si="2082"/>
        <v/>
      </c>
      <c r="AV359" t="str">
        <f t="shared" si="2083"/>
        <v/>
      </c>
      <c r="AW359" t="str">
        <f t="shared" si="2084"/>
        <v xml:space="preserve">                              </v>
      </c>
      <c r="AX359" s="23">
        <f t="shared" si="2085"/>
        <v>0</v>
      </c>
      <c r="AY359" s="49" t="str">
        <f t="shared" si="2061"/>
        <v>000000000000000</v>
      </c>
      <c r="AZ359" s="23">
        <f t="shared" si="2086"/>
        <v>0</v>
      </c>
      <c r="BA359" s="49" t="str">
        <f t="shared" si="2061"/>
        <v>000000000000000</v>
      </c>
      <c r="BB359" s="23">
        <f t="shared" si="2087"/>
        <v>0</v>
      </c>
      <c r="BC359" s="49" t="str">
        <f t="shared" ref="BC359" si="2256">IF(BB359&lt;0,SUBSTITUTE(TEXT(BB359,"000000000000,00"),",",""),SUBSTITUTE(TEXT(BB359,"0000000000000,00"),",",""))</f>
        <v>000000000000000</v>
      </c>
      <c r="BD359" s="23">
        <f t="shared" si="2089"/>
        <v>0</v>
      </c>
      <c r="BE359" s="49" t="str">
        <f t="shared" ref="BE359" si="2257">IF(BD359&lt;0,SUBSTITUTE(TEXT(BD359,"000000000000,00"),",",""),SUBSTITUTE(TEXT(BD359,"0000000000000,00"),",",""))</f>
        <v>000000000000000</v>
      </c>
      <c r="BF359" s="23">
        <f t="shared" si="2091"/>
        <v>0</v>
      </c>
      <c r="BG359" s="49" t="str">
        <f t="shared" ref="BG359" si="2258">IF(BF359&lt;0,SUBSTITUTE(TEXT(BF359,"000000000000,00"),",",""),SUBSTITUTE(TEXT(BF359,"0000000000000,00"),",",""))</f>
        <v>000000000000000</v>
      </c>
      <c r="BH359" s="23">
        <f t="shared" si="2093"/>
        <v>0</v>
      </c>
      <c r="BI359" s="49" t="str">
        <f t="shared" ref="BI359" si="2259">IF(BH359&lt;0,SUBSTITUTE(TEXT(BH359,"000000000000,00"),",",""),SUBSTITUTE(TEXT(BH359,"0000000000000,00"),",",""))</f>
        <v>000000000000000</v>
      </c>
      <c r="BJ359" s="23">
        <f t="shared" si="2095"/>
        <v>0</v>
      </c>
      <c r="BK359" s="49" t="str">
        <f t="shared" ref="BK359" si="2260">IF(BJ359&lt;0,SUBSTITUTE(TEXT(BJ359,"000000000000,00"),",",""),SUBSTITUTE(TEXT(BJ359,"0000000000000,00"),",",""))</f>
        <v>000000000000000</v>
      </c>
      <c r="BL359" s="23">
        <f t="shared" si="2097"/>
        <v>0</v>
      </c>
      <c r="BM359" s="49" t="str">
        <f t="shared" ref="BM359" si="2261">IF(BL359&lt;0,SUBSTITUTE(TEXT(BL359,"000000000000,00"),",",""),SUBSTITUTE(TEXT(BL359,"0000000000000,00"),",",""))</f>
        <v>000000000000000</v>
      </c>
      <c r="BN359" t="str">
        <f t="shared" si="2099"/>
        <v>PES</v>
      </c>
      <c r="BO359" t="str">
        <f t="shared" si="2100"/>
        <v>0001000000</v>
      </c>
      <c r="BP359">
        <f t="shared" si="2101"/>
        <v>0</v>
      </c>
      <c r="BQ359">
        <f t="shared" si="2102"/>
        <v>0</v>
      </c>
      <c r="BR359" s="23">
        <f t="shared" si="2103"/>
        <v>0</v>
      </c>
      <c r="BS359" s="49" t="str">
        <f t="shared" si="2068"/>
        <v>000000000000000</v>
      </c>
      <c r="BT359" t="str">
        <f t="shared" si="2104"/>
        <v>00000000</v>
      </c>
      <c r="BU359" s="23">
        <f t="shared" si="2105"/>
        <v>0</v>
      </c>
      <c r="BV359" s="49" t="str">
        <f t="shared" si="2069"/>
        <v/>
      </c>
      <c r="BW359" s="52" t="str">
        <f t="shared" si="2106"/>
        <v/>
      </c>
      <c r="BX359" s="23">
        <f t="shared" si="2107"/>
        <v>0</v>
      </c>
      <c r="BY359" s="49" t="str">
        <f t="shared" si="2070"/>
        <v/>
      </c>
      <c r="BZ359" s="23">
        <f t="shared" si="2108"/>
        <v>0</v>
      </c>
      <c r="CA359" s="49" t="str">
        <f t="shared" si="2071"/>
        <v/>
      </c>
      <c r="CB359" s="52" t="str">
        <f t="shared" si="2109"/>
        <v/>
      </c>
      <c r="CC359" s="23">
        <f t="shared" si="2110"/>
        <v>0</v>
      </c>
      <c r="CD359" s="49" t="str">
        <f t="shared" si="2072"/>
        <v/>
      </c>
      <c r="CE359" s="56" t="str">
        <f>IF(CF359="","",MAX(CE$10:$CE358)+1)</f>
        <v/>
      </c>
      <c r="CF359" t="str">
        <f t="shared" si="2111"/>
        <v/>
      </c>
      <c r="CG359" s="22" t="str">
        <f>IF(CH359="","",MAX($CG$10:CG358)+1)</f>
        <v/>
      </c>
      <c r="CH359" s="22" t="str">
        <f t="shared" si="2056"/>
        <v/>
      </c>
      <c r="CI359" s="22" t="str">
        <f>IF(CJ359="","",MAX($CI$10:CI358)+1)</f>
        <v/>
      </c>
      <c r="CJ359" s="22" t="str">
        <f t="shared" si="2057"/>
        <v/>
      </c>
    </row>
    <row r="360" spans="2:88" x14ac:dyDescent="0.25">
      <c r="B360" s="37"/>
      <c r="C360" s="3"/>
      <c r="D360" s="77" t="str">
        <f t="shared" si="2043"/>
        <v/>
      </c>
      <c r="E360" s="38"/>
      <c r="F360" s="38"/>
      <c r="G360" s="78">
        <f t="shared" si="2058"/>
        <v>0</v>
      </c>
      <c r="H360" s="3">
        <v>80</v>
      </c>
      <c r="I360" s="77" t="str">
        <f t="shared" si="2044"/>
        <v/>
      </c>
      <c r="J360" s="32"/>
      <c r="K360" s="3"/>
      <c r="L360" s="39"/>
      <c r="M360" s="39"/>
      <c r="N360" s="39"/>
      <c r="O360" s="39"/>
      <c r="P360" s="39"/>
      <c r="Q360" s="39"/>
      <c r="R360" s="39"/>
      <c r="S360" s="39"/>
      <c r="T360" s="3" t="s">
        <v>645</v>
      </c>
      <c r="U360" s="77" t="str">
        <f t="shared" si="2045"/>
        <v/>
      </c>
      <c r="V360" s="39">
        <v>1</v>
      </c>
      <c r="W360" s="79">
        <f t="shared" si="2059"/>
        <v>0</v>
      </c>
      <c r="X360" s="3">
        <v>0</v>
      </c>
      <c r="Y360" s="77" t="str">
        <f t="shared" si="2046"/>
        <v/>
      </c>
      <c r="Z360" s="3"/>
      <c r="AA360" s="37" t="str">
        <f t="shared" si="2060"/>
        <v/>
      </c>
      <c r="AC360" s="40"/>
      <c r="AD360" s="7"/>
      <c r="AE360" s="77" t="str">
        <f t="shared" si="2047"/>
        <v/>
      </c>
      <c r="AF360" s="81">
        <f t="shared" si="2073"/>
        <v>0</v>
      </c>
      <c r="AG360" s="40"/>
      <c r="AH360" s="7"/>
      <c r="AI360" s="77" t="str">
        <f t="shared" si="2048"/>
        <v/>
      </c>
      <c r="AJ360" s="81">
        <f t="shared" si="2074"/>
        <v>0</v>
      </c>
      <c r="AK360" s="83">
        <f t="shared" si="2075"/>
        <v>0</v>
      </c>
      <c r="AL360" s="83">
        <f t="shared" si="2076"/>
        <v>0</v>
      </c>
      <c r="AN360" s="43">
        <f t="shared" si="2049"/>
        <v>0</v>
      </c>
      <c r="AP360" t="str">
        <f t="shared" si="2077"/>
        <v/>
      </c>
      <c r="AQ360" t="str">
        <f t="shared" si="2078"/>
        <v/>
      </c>
      <c r="AR360" t="str">
        <f t="shared" si="2079"/>
        <v/>
      </c>
      <c r="AS360" t="str">
        <f t="shared" si="2080"/>
        <v/>
      </c>
      <c r="AT360" t="str">
        <f t="shared" si="2081"/>
        <v/>
      </c>
      <c r="AU360" t="str">
        <f t="shared" si="2082"/>
        <v/>
      </c>
      <c r="AV360" t="str">
        <f t="shared" si="2083"/>
        <v/>
      </c>
      <c r="AW360" t="str">
        <f t="shared" si="2084"/>
        <v xml:space="preserve">                              </v>
      </c>
      <c r="AX360" s="23">
        <f t="shared" si="2085"/>
        <v>0</v>
      </c>
      <c r="AY360" s="49" t="str">
        <f t="shared" si="2061"/>
        <v>000000000000000</v>
      </c>
      <c r="AZ360" s="23">
        <f t="shared" si="2086"/>
        <v>0</v>
      </c>
      <c r="BA360" s="49" t="str">
        <f t="shared" si="2061"/>
        <v>000000000000000</v>
      </c>
      <c r="BB360" s="23">
        <f t="shared" si="2087"/>
        <v>0</v>
      </c>
      <c r="BC360" s="49" t="str">
        <f t="shared" ref="BC360" si="2262">IF(BB360&lt;0,SUBSTITUTE(TEXT(BB360,"000000000000,00"),",",""),SUBSTITUTE(TEXT(BB360,"0000000000000,00"),",",""))</f>
        <v>000000000000000</v>
      </c>
      <c r="BD360" s="23">
        <f t="shared" si="2089"/>
        <v>0</v>
      </c>
      <c r="BE360" s="49" t="str">
        <f t="shared" ref="BE360" si="2263">IF(BD360&lt;0,SUBSTITUTE(TEXT(BD360,"000000000000,00"),",",""),SUBSTITUTE(TEXT(BD360,"0000000000000,00"),",",""))</f>
        <v>000000000000000</v>
      </c>
      <c r="BF360" s="23">
        <f t="shared" si="2091"/>
        <v>0</v>
      </c>
      <c r="BG360" s="49" t="str">
        <f t="shared" ref="BG360" si="2264">IF(BF360&lt;0,SUBSTITUTE(TEXT(BF360,"000000000000,00"),",",""),SUBSTITUTE(TEXT(BF360,"0000000000000,00"),",",""))</f>
        <v>000000000000000</v>
      </c>
      <c r="BH360" s="23">
        <f t="shared" si="2093"/>
        <v>0</v>
      </c>
      <c r="BI360" s="49" t="str">
        <f t="shared" ref="BI360" si="2265">IF(BH360&lt;0,SUBSTITUTE(TEXT(BH360,"000000000000,00"),",",""),SUBSTITUTE(TEXT(BH360,"0000000000000,00"),",",""))</f>
        <v>000000000000000</v>
      </c>
      <c r="BJ360" s="23">
        <f t="shared" si="2095"/>
        <v>0</v>
      </c>
      <c r="BK360" s="49" t="str">
        <f t="shared" ref="BK360" si="2266">IF(BJ360&lt;0,SUBSTITUTE(TEXT(BJ360,"000000000000,00"),",",""),SUBSTITUTE(TEXT(BJ360,"0000000000000,00"),",",""))</f>
        <v>000000000000000</v>
      </c>
      <c r="BL360" s="23">
        <f t="shared" si="2097"/>
        <v>0</v>
      </c>
      <c r="BM360" s="49" t="str">
        <f t="shared" ref="BM360" si="2267">IF(BL360&lt;0,SUBSTITUTE(TEXT(BL360,"000000000000,00"),",",""),SUBSTITUTE(TEXT(BL360,"0000000000000,00"),",",""))</f>
        <v>000000000000000</v>
      </c>
      <c r="BN360" t="str">
        <f t="shared" si="2099"/>
        <v>PES</v>
      </c>
      <c r="BO360" t="str">
        <f t="shared" si="2100"/>
        <v>0001000000</v>
      </c>
      <c r="BP360">
        <f t="shared" si="2101"/>
        <v>0</v>
      </c>
      <c r="BQ360">
        <f t="shared" si="2102"/>
        <v>0</v>
      </c>
      <c r="BR360" s="23">
        <f t="shared" si="2103"/>
        <v>0</v>
      </c>
      <c r="BS360" s="49" t="str">
        <f t="shared" si="2068"/>
        <v>000000000000000</v>
      </c>
      <c r="BT360" t="str">
        <f t="shared" si="2104"/>
        <v>00000000</v>
      </c>
      <c r="BU360" s="23">
        <f t="shared" si="2105"/>
        <v>0</v>
      </c>
      <c r="BV360" s="49" t="str">
        <f t="shared" si="2069"/>
        <v/>
      </c>
      <c r="BW360" s="52" t="str">
        <f t="shared" si="2106"/>
        <v/>
      </c>
      <c r="BX360" s="23">
        <f t="shared" si="2107"/>
        <v>0</v>
      </c>
      <c r="BY360" s="49" t="str">
        <f t="shared" si="2070"/>
        <v/>
      </c>
      <c r="BZ360" s="23">
        <f t="shared" si="2108"/>
        <v>0</v>
      </c>
      <c r="CA360" s="49" t="str">
        <f t="shared" si="2071"/>
        <v/>
      </c>
      <c r="CB360" s="52" t="str">
        <f t="shared" si="2109"/>
        <v/>
      </c>
      <c r="CC360" s="23">
        <f t="shared" si="2110"/>
        <v>0</v>
      </c>
      <c r="CD360" s="49" t="str">
        <f t="shared" si="2072"/>
        <v/>
      </c>
      <c r="CE360" s="56" t="str">
        <f>IF(CF360="","",MAX(CE$10:$CE359)+1)</f>
        <v/>
      </c>
      <c r="CF360" t="str">
        <f t="shared" si="2111"/>
        <v/>
      </c>
      <c r="CG360" s="22" t="str">
        <f>IF(CH360="","",MAX($CG$10:CG359)+1)</f>
        <v/>
      </c>
      <c r="CH360" s="22" t="str">
        <f t="shared" si="2056"/>
        <v/>
      </c>
      <c r="CI360" s="22" t="str">
        <f>IF(CJ360="","",MAX($CI$10:CI359)+1)</f>
        <v/>
      </c>
      <c r="CJ360" s="22" t="str">
        <f t="shared" si="2057"/>
        <v/>
      </c>
    </row>
    <row r="361" spans="2:88" x14ac:dyDescent="0.25">
      <c r="B361" s="37"/>
      <c r="C361" s="3"/>
      <c r="D361" s="77" t="str">
        <f t="shared" si="2043"/>
        <v/>
      </c>
      <c r="E361" s="38"/>
      <c r="F361" s="38"/>
      <c r="G361" s="78">
        <f t="shared" si="2058"/>
        <v>0</v>
      </c>
      <c r="H361" s="3">
        <v>80</v>
      </c>
      <c r="I361" s="77" t="str">
        <f t="shared" si="2044"/>
        <v/>
      </c>
      <c r="J361" s="32"/>
      <c r="K361" s="3"/>
      <c r="L361" s="39"/>
      <c r="M361" s="39"/>
      <c r="N361" s="39"/>
      <c r="O361" s="39"/>
      <c r="P361" s="39"/>
      <c r="Q361" s="39"/>
      <c r="R361" s="39"/>
      <c r="S361" s="39"/>
      <c r="T361" s="3" t="s">
        <v>645</v>
      </c>
      <c r="U361" s="77" t="str">
        <f t="shared" si="2045"/>
        <v/>
      </c>
      <c r="V361" s="39">
        <v>1</v>
      </c>
      <c r="W361" s="79">
        <f t="shared" si="2059"/>
        <v>0</v>
      </c>
      <c r="X361" s="3">
        <v>0</v>
      </c>
      <c r="Y361" s="77" t="str">
        <f t="shared" si="2046"/>
        <v/>
      </c>
      <c r="Z361" s="3"/>
      <c r="AA361" s="37" t="str">
        <f t="shared" si="2060"/>
        <v/>
      </c>
      <c r="AC361" s="40"/>
      <c r="AD361" s="7"/>
      <c r="AE361" s="77" t="str">
        <f t="shared" si="2047"/>
        <v/>
      </c>
      <c r="AF361" s="81">
        <f t="shared" si="2073"/>
        <v>0</v>
      </c>
      <c r="AG361" s="40"/>
      <c r="AH361" s="7"/>
      <c r="AI361" s="77" t="str">
        <f t="shared" si="2048"/>
        <v/>
      </c>
      <c r="AJ361" s="81">
        <f t="shared" si="2074"/>
        <v>0</v>
      </c>
      <c r="AK361" s="83">
        <f t="shared" si="2075"/>
        <v>0</v>
      </c>
      <c r="AL361" s="83">
        <f t="shared" si="2076"/>
        <v>0</v>
      </c>
      <c r="AN361" s="43">
        <f t="shared" si="2049"/>
        <v>0</v>
      </c>
      <c r="AP361" t="str">
        <f t="shared" si="2077"/>
        <v/>
      </c>
      <c r="AQ361" t="str">
        <f t="shared" si="2078"/>
        <v/>
      </c>
      <c r="AR361" t="str">
        <f t="shared" si="2079"/>
        <v/>
      </c>
      <c r="AS361" t="str">
        <f t="shared" si="2080"/>
        <v/>
      </c>
      <c r="AT361" t="str">
        <f t="shared" si="2081"/>
        <v/>
      </c>
      <c r="AU361" t="str">
        <f t="shared" si="2082"/>
        <v/>
      </c>
      <c r="AV361" t="str">
        <f t="shared" si="2083"/>
        <v/>
      </c>
      <c r="AW361" t="str">
        <f t="shared" si="2084"/>
        <v xml:space="preserve">                              </v>
      </c>
      <c r="AX361" s="23">
        <f t="shared" si="2085"/>
        <v>0</v>
      </c>
      <c r="AY361" s="49" t="str">
        <f t="shared" si="2061"/>
        <v>000000000000000</v>
      </c>
      <c r="AZ361" s="23">
        <f t="shared" si="2086"/>
        <v>0</v>
      </c>
      <c r="BA361" s="49" t="str">
        <f t="shared" si="2061"/>
        <v>000000000000000</v>
      </c>
      <c r="BB361" s="23">
        <f t="shared" si="2087"/>
        <v>0</v>
      </c>
      <c r="BC361" s="49" t="str">
        <f t="shared" ref="BC361" si="2268">IF(BB361&lt;0,SUBSTITUTE(TEXT(BB361,"000000000000,00"),",",""),SUBSTITUTE(TEXT(BB361,"0000000000000,00"),",",""))</f>
        <v>000000000000000</v>
      </c>
      <c r="BD361" s="23">
        <f t="shared" si="2089"/>
        <v>0</v>
      </c>
      <c r="BE361" s="49" t="str">
        <f t="shared" ref="BE361" si="2269">IF(BD361&lt;0,SUBSTITUTE(TEXT(BD361,"000000000000,00"),",",""),SUBSTITUTE(TEXT(BD361,"0000000000000,00"),",",""))</f>
        <v>000000000000000</v>
      </c>
      <c r="BF361" s="23">
        <f t="shared" si="2091"/>
        <v>0</v>
      </c>
      <c r="BG361" s="49" t="str">
        <f t="shared" ref="BG361" si="2270">IF(BF361&lt;0,SUBSTITUTE(TEXT(BF361,"000000000000,00"),",",""),SUBSTITUTE(TEXT(BF361,"0000000000000,00"),",",""))</f>
        <v>000000000000000</v>
      </c>
      <c r="BH361" s="23">
        <f t="shared" si="2093"/>
        <v>0</v>
      </c>
      <c r="BI361" s="49" t="str">
        <f t="shared" ref="BI361" si="2271">IF(BH361&lt;0,SUBSTITUTE(TEXT(BH361,"000000000000,00"),",",""),SUBSTITUTE(TEXT(BH361,"0000000000000,00"),",",""))</f>
        <v>000000000000000</v>
      </c>
      <c r="BJ361" s="23">
        <f t="shared" si="2095"/>
        <v>0</v>
      </c>
      <c r="BK361" s="49" t="str">
        <f t="shared" ref="BK361" si="2272">IF(BJ361&lt;0,SUBSTITUTE(TEXT(BJ361,"000000000000,00"),",",""),SUBSTITUTE(TEXT(BJ361,"0000000000000,00"),",",""))</f>
        <v>000000000000000</v>
      </c>
      <c r="BL361" s="23">
        <f t="shared" si="2097"/>
        <v>0</v>
      </c>
      <c r="BM361" s="49" t="str">
        <f t="shared" ref="BM361" si="2273">IF(BL361&lt;0,SUBSTITUTE(TEXT(BL361,"000000000000,00"),",",""),SUBSTITUTE(TEXT(BL361,"0000000000000,00"),",",""))</f>
        <v>000000000000000</v>
      </c>
      <c r="BN361" t="str">
        <f t="shared" si="2099"/>
        <v>PES</v>
      </c>
      <c r="BO361" t="str">
        <f t="shared" si="2100"/>
        <v>0001000000</v>
      </c>
      <c r="BP361">
        <f t="shared" si="2101"/>
        <v>0</v>
      </c>
      <c r="BQ361">
        <f t="shared" si="2102"/>
        <v>0</v>
      </c>
      <c r="BR361" s="23">
        <f t="shared" si="2103"/>
        <v>0</v>
      </c>
      <c r="BS361" s="49" t="str">
        <f t="shared" si="2068"/>
        <v>000000000000000</v>
      </c>
      <c r="BT361" t="str">
        <f t="shared" si="2104"/>
        <v>00000000</v>
      </c>
      <c r="BU361" s="23">
        <f t="shared" si="2105"/>
        <v>0</v>
      </c>
      <c r="BV361" s="49" t="str">
        <f t="shared" si="2069"/>
        <v/>
      </c>
      <c r="BW361" s="52" t="str">
        <f t="shared" si="2106"/>
        <v/>
      </c>
      <c r="BX361" s="23">
        <f t="shared" si="2107"/>
        <v>0</v>
      </c>
      <c r="BY361" s="49" t="str">
        <f t="shared" si="2070"/>
        <v/>
      </c>
      <c r="BZ361" s="23">
        <f t="shared" si="2108"/>
        <v>0</v>
      </c>
      <c r="CA361" s="49" t="str">
        <f t="shared" si="2071"/>
        <v/>
      </c>
      <c r="CB361" s="52" t="str">
        <f t="shared" si="2109"/>
        <v/>
      </c>
      <c r="CC361" s="23">
        <f t="shared" si="2110"/>
        <v>0</v>
      </c>
      <c r="CD361" s="49" t="str">
        <f t="shared" si="2072"/>
        <v/>
      </c>
      <c r="CE361" s="56" t="str">
        <f>IF(CF361="","",MAX(CE$10:$CE360)+1)</f>
        <v/>
      </c>
      <c r="CF361" t="str">
        <f t="shared" si="2111"/>
        <v/>
      </c>
      <c r="CG361" s="22" t="str">
        <f>IF(CH361="","",MAX($CG$10:CG360)+1)</f>
        <v/>
      </c>
      <c r="CH361" s="22" t="str">
        <f t="shared" si="2056"/>
        <v/>
      </c>
      <c r="CI361" s="22" t="str">
        <f>IF(CJ361="","",MAX($CI$10:CI360)+1)</f>
        <v/>
      </c>
      <c r="CJ361" s="22" t="str">
        <f t="shared" si="2057"/>
        <v/>
      </c>
    </row>
    <row r="362" spans="2:88" x14ac:dyDescent="0.25">
      <c r="B362" s="37"/>
      <c r="C362" s="3"/>
      <c r="D362" s="77" t="str">
        <f t="shared" si="2043"/>
        <v/>
      </c>
      <c r="E362" s="38"/>
      <c r="F362" s="38"/>
      <c r="G362" s="78">
        <f t="shared" si="2058"/>
        <v>0</v>
      </c>
      <c r="H362" s="3">
        <v>80</v>
      </c>
      <c r="I362" s="77" t="str">
        <f t="shared" si="2044"/>
        <v/>
      </c>
      <c r="J362" s="32"/>
      <c r="K362" s="3"/>
      <c r="L362" s="39"/>
      <c r="M362" s="39"/>
      <c r="N362" s="39"/>
      <c r="O362" s="39"/>
      <c r="P362" s="39"/>
      <c r="Q362" s="39"/>
      <c r="R362" s="39"/>
      <c r="S362" s="39"/>
      <c r="T362" s="3" t="s">
        <v>645</v>
      </c>
      <c r="U362" s="77" t="str">
        <f t="shared" si="2045"/>
        <v/>
      </c>
      <c r="V362" s="39">
        <v>1</v>
      </c>
      <c r="W362" s="79">
        <f t="shared" si="2059"/>
        <v>0</v>
      </c>
      <c r="X362" s="3">
        <v>0</v>
      </c>
      <c r="Y362" s="77" t="str">
        <f t="shared" si="2046"/>
        <v/>
      </c>
      <c r="Z362" s="3"/>
      <c r="AA362" s="37" t="str">
        <f t="shared" si="2060"/>
        <v/>
      </c>
      <c r="AC362" s="40"/>
      <c r="AD362" s="7"/>
      <c r="AE362" s="77" t="str">
        <f t="shared" si="2047"/>
        <v/>
      </c>
      <c r="AF362" s="81">
        <f t="shared" si="2073"/>
        <v>0</v>
      </c>
      <c r="AG362" s="40"/>
      <c r="AH362" s="7"/>
      <c r="AI362" s="77" t="str">
        <f t="shared" si="2048"/>
        <v/>
      </c>
      <c r="AJ362" s="81">
        <f t="shared" si="2074"/>
        <v>0</v>
      </c>
      <c r="AK362" s="83">
        <f t="shared" si="2075"/>
        <v>0</v>
      </c>
      <c r="AL362" s="83">
        <f t="shared" si="2076"/>
        <v>0</v>
      </c>
      <c r="AN362" s="43">
        <f t="shared" si="2049"/>
        <v>0</v>
      </c>
      <c r="AP362" t="str">
        <f t="shared" si="2077"/>
        <v/>
      </c>
      <c r="AQ362" t="str">
        <f t="shared" si="2078"/>
        <v/>
      </c>
      <c r="AR362" t="str">
        <f t="shared" si="2079"/>
        <v/>
      </c>
      <c r="AS362" t="str">
        <f t="shared" si="2080"/>
        <v/>
      </c>
      <c r="AT362" t="str">
        <f t="shared" si="2081"/>
        <v/>
      </c>
      <c r="AU362" t="str">
        <f t="shared" si="2082"/>
        <v/>
      </c>
      <c r="AV362" t="str">
        <f t="shared" si="2083"/>
        <v/>
      </c>
      <c r="AW362" t="str">
        <f t="shared" si="2084"/>
        <v xml:space="preserve">                              </v>
      </c>
      <c r="AX362" s="23">
        <f t="shared" si="2085"/>
        <v>0</v>
      </c>
      <c r="AY362" s="49" t="str">
        <f t="shared" si="2061"/>
        <v>000000000000000</v>
      </c>
      <c r="AZ362" s="23">
        <f t="shared" si="2086"/>
        <v>0</v>
      </c>
      <c r="BA362" s="49" t="str">
        <f t="shared" si="2061"/>
        <v>000000000000000</v>
      </c>
      <c r="BB362" s="23">
        <f t="shared" si="2087"/>
        <v>0</v>
      </c>
      <c r="BC362" s="49" t="str">
        <f t="shared" ref="BC362" si="2274">IF(BB362&lt;0,SUBSTITUTE(TEXT(BB362,"000000000000,00"),",",""),SUBSTITUTE(TEXT(BB362,"0000000000000,00"),",",""))</f>
        <v>000000000000000</v>
      </c>
      <c r="BD362" s="23">
        <f t="shared" si="2089"/>
        <v>0</v>
      </c>
      <c r="BE362" s="49" t="str">
        <f t="shared" ref="BE362" si="2275">IF(BD362&lt;0,SUBSTITUTE(TEXT(BD362,"000000000000,00"),",",""),SUBSTITUTE(TEXT(BD362,"0000000000000,00"),",",""))</f>
        <v>000000000000000</v>
      </c>
      <c r="BF362" s="23">
        <f t="shared" si="2091"/>
        <v>0</v>
      </c>
      <c r="BG362" s="49" t="str">
        <f t="shared" ref="BG362" si="2276">IF(BF362&lt;0,SUBSTITUTE(TEXT(BF362,"000000000000,00"),",",""),SUBSTITUTE(TEXT(BF362,"0000000000000,00"),",",""))</f>
        <v>000000000000000</v>
      </c>
      <c r="BH362" s="23">
        <f t="shared" si="2093"/>
        <v>0</v>
      </c>
      <c r="BI362" s="49" t="str">
        <f t="shared" ref="BI362" si="2277">IF(BH362&lt;0,SUBSTITUTE(TEXT(BH362,"000000000000,00"),",",""),SUBSTITUTE(TEXT(BH362,"0000000000000,00"),",",""))</f>
        <v>000000000000000</v>
      </c>
      <c r="BJ362" s="23">
        <f t="shared" si="2095"/>
        <v>0</v>
      </c>
      <c r="BK362" s="49" t="str">
        <f t="shared" ref="BK362" si="2278">IF(BJ362&lt;0,SUBSTITUTE(TEXT(BJ362,"000000000000,00"),",",""),SUBSTITUTE(TEXT(BJ362,"0000000000000,00"),",",""))</f>
        <v>000000000000000</v>
      </c>
      <c r="BL362" s="23">
        <f t="shared" si="2097"/>
        <v>0</v>
      </c>
      <c r="BM362" s="49" t="str">
        <f t="shared" ref="BM362" si="2279">IF(BL362&lt;0,SUBSTITUTE(TEXT(BL362,"000000000000,00"),",",""),SUBSTITUTE(TEXT(BL362,"0000000000000,00"),",",""))</f>
        <v>000000000000000</v>
      </c>
      <c r="BN362" t="str">
        <f t="shared" si="2099"/>
        <v>PES</v>
      </c>
      <c r="BO362" t="str">
        <f t="shared" si="2100"/>
        <v>0001000000</v>
      </c>
      <c r="BP362">
        <f t="shared" si="2101"/>
        <v>0</v>
      </c>
      <c r="BQ362">
        <f t="shared" si="2102"/>
        <v>0</v>
      </c>
      <c r="BR362" s="23">
        <f t="shared" si="2103"/>
        <v>0</v>
      </c>
      <c r="BS362" s="49" t="str">
        <f t="shared" si="2068"/>
        <v>000000000000000</v>
      </c>
      <c r="BT362" t="str">
        <f t="shared" si="2104"/>
        <v>00000000</v>
      </c>
      <c r="BU362" s="23">
        <f t="shared" si="2105"/>
        <v>0</v>
      </c>
      <c r="BV362" s="49" t="str">
        <f t="shared" si="2069"/>
        <v/>
      </c>
      <c r="BW362" s="52" t="str">
        <f t="shared" si="2106"/>
        <v/>
      </c>
      <c r="BX362" s="23">
        <f t="shared" si="2107"/>
        <v>0</v>
      </c>
      <c r="BY362" s="49" t="str">
        <f t="shared" si="2070"/>
        <v/>
      </c>
      <c r="BZ362" s="23">
        <f t="shared" si="2108"/>
        <v>0</v>
      </c>
      <c r="CA362" s="49" t="str">
        <f t="shared" si="2071"/>
        <v/>
      </c>
      <c r="CB362" s="52" t="str">
        <f t="shared" si="2109"/>
        <v/>
      </c>
      <c r="CC362" s="23">
        <f t="shared" si="2110"/>
        <v>0</v>
      </c>
      <c r="CD362" s="49" t="str">
        <f t="shared" si="2072"/>
        <v/>
      </c>
      <c r="CE362" s="56" t="str">
        <f>IF(CF362="","",MAX(CE$10:$CE361)+1)</f>
        <v/>
      </c>
      <c r="CF362" t="str">
        <f t="shared" si="2111"/>
        <v/>
      </c>
      <c r="CG362" s="22" t="str">
        <f>IF(CH362="","",MAX($CG$10:CG361)+1)</f>
        <v/>
      </c>
      <c r="CH362" s="22" t="str">
        <f t="shared" si="2056"/>
        <v/>
      </c>
      <c r="CI362" s="22" t="str">
        <f>IF(CJ362="","",MAX($CI$10:CI361)+1)</f>
        <v/>
      </c>
      <c r="CJ362" s="22" t="str">
        <f t="shared" si="2057"/>
        <v/>
      </c>
    </row>
    <row r="363" spans="2:88" x14ac:dyDescent="0.25">
      <c r="B363" s="37"/>
      <c r="C363" s="3"/>
      <c r="D363" s="77" t="str">
        <f t="shared" si="2043"/>
        <v/>
      </c>
      <c r="E363" s="38"/>
      <c r="F363" s="38"/>
      <c r="G363" s="78">
        <f t="shared" si="2058"/>
        <v>0</v>
      </c>
      <c r="H363" s="3">
        <v>80</v>
      </c>
      <c r="I363" s="77" t="str">
        <f t="shared" si="2044"/>
        <v/>
      </c>
      <c r="J363" s="32"/>
      <c r="K363" s="3"/>
      <c r="L363" s="39"/>
      <c r="M363" s="39"/>
      <c r="N363" s="39"/>
      <c r="O363" s="39"/>
      <c r="P363" s="39"/>
      <c r="Q363" s="39"/>
      <c r="R363" s="39"/>
      <c r="S363" s="39"/>
      <c r="T363" s="3" t="s">
        <v>645</v>
      </c>
      <c r="U363" s="77" t="str">
        <f t="shared" si="2045"/>
        <v/>
      </c>
      <c r="V363" s="39">
        <v>1</v>
      </c>
      <c r="W363" s="79">
        <f t="shared" si="2059"/>
        <v>0</v>
      </c>
      <c r="X363" s="3">
        <v>0</v>
      </c>
      <c r="Y363" s="77" t="str">
        <f t="shared" si="2046"/>
        <v/>
      </c>
      <c r="Z363" s="3"/>
      <c r="AA363" s="37" t="str">
        <f t="shared" si="2060"/>
        <v/>
      </c>
      <c r="AC363" s="40"/>
      <c r="AD363" s="7"/>
      <c r="AE363" s="77" t="str">
        <f t="shared" si="2047"/>
        <v/>
      </c>
      <c r="AF363" s="81">
        <f t="shared" si="2073"/>
        <v>0</v>
      </c>
      <c r="AG363" s="40"/>
      <c r="AH363" s="7"/>
      <c r="AI363" s="77" t="str">
        <f t="shared" si="2048"/>
        <v/>
      </c>
      <c r="AJ363" s="81">
        <f t="shared" si="2074"/>
        <v>0</v>
      </c>
      <c r="AK363" s="83">
        <f t="shared" si="2075"/>
        <v>0</v>
      </c>
      <c r="AL363" s="83">
        <f t="shared" si="2076"/>
        <v>0</v>
      </c>
      <c r="AN363" s="43">
        <f t="shared" si="2049"/>
        <v>0</v>
      </c>
      <c r="AP363" t="str">
        <f t="shared" si="2077"/>
        <v/>
      </c>
      <c r="AQ363" t="str">
        <f t="shared" si="2078"/>
        <v/>
      </c>
      <c r="AR363" t="str">
        <f t="shared" si="2079"/>
        <v/>
      </c>
      <c r="AS363" t="str">
        <f t="shared" si="2080"/>
        <v/>
      </c>
      <c r="AT363" t="str">
        <f t="shared" si="2081"/>
        <v/>
      </c>
      <c r="AU363" t="str">
        <f t="shared" si="2082"/>
        <v/>
      </c>
      <c r="AV363" t="str">
        <f t="shared" si="2083"/>
        <v/>
      </c>
      <c r="AW363" t="str">
        <f t="shared" si="2084"/>
        <v xml:space="preserve">                              </v>
      </c>
      <c r="AX363" s="23">
        <f t="shared" si="2085"/>
        <v>0</v>
      </c>
      <c r="AY363" s="49" t="str">
        <f t="shared" si="2061"/>
        <v>000000000000000</v>
      </c>
      <c r="AZ363" s="23">
        <f t="shared" si="2086"/>
        <v>0</v>
      </c>
      <c r="BA363" s="49" t="str">
        <f t="shared" si="2061"/>
        <v>000000000000000</v>
      </c>
      <c r="BB363" s="23">
        <f t="shared" si="2087"/>
        <v>0</v>
      </c>
      <c r="BC363" s="49" t="str">
        <f t="shared" ref="BC363" si="2280">IF(BB363&lt;0,SUBSTITUTE(TEXT(BB363,"000000000000,00"),",",""),SUBSTITUTE(TEXT(BB363,"0000000000000,00"),",",""))</f>
        <v>000000000000000</v>
      </c>
      <c r="BD363" s="23">
        <f t="shared" si="2089"/>
        <v>0</v>
      </c>
      <c r="BE363" s="49" t="str">
        <f t="shared" ref="BE363" si="2281">IF(BD363&lt;0,SUBSTITUTE(TEXT(BD363,"000000000000,00"),",",""),SUBSTITUTE(TEXT(BD363,"0000000000000,00"),",",""))</f>
        <v>000000000000000</v>
      </c>
      <c r="BF363" s="23">
        <f t="shared" si="2091"/>
        <v>0</v>
      </c>
      <c r="BG363" s="49" t="str">
        <f t="shared" ref="BG363" si="2282">IF(BF363&lt;0,SUBSTITUTE(TEXT(BF363,"000000000000,00"),",",""),SUBSTITUTE(TEXT(BF363,"0000000000000,00"),",",""))</f>
        <v>000000000000000</v>
      </c>
      <c r="BH363" s="23">
        <f t="shared" si="2093"/>
        <v>0</v>
      </c>
      <c r="BI363" s="49" t="str">
        <f t="shared" ref="BI363" si="2283">IF(BH363&lt;0,SUBSTITUTE(TEXT(BH363,"000000000000,00"),",",""),SUBSTITUTE(TEXT(BH363,"0000000000000,00"),",",""))</f>
        <v>000000000000000</v>
      </c>
      <c r="BJ363" s="23">
        <f t="shared" si="2095"/>
        <v>0</v>
      </c>
      <c r="BK363" s="49" t="str">
        <f t="shared" ref="BK363" si="2284">IF(BJ363&lt;0,SUBSTITUTE(TEXT(BJ363,"000000000000,00"),",",""),SUBSTITUTE(TEXT(BJ363,"0000000000000,00"),",",""))</f>
        <v>000000000000000</v>
      </c>
      <c r="BL363" s="23">
        <f t="shared" si="2097"/>
        <v>0</v>
      </c>
      <c r="BM363" s="49" t="str">
        <f t="shared" ref="BM363" si="2285">IF(BL363&lt;0,SUBSTITUTE(TEXT(BL363,"000000000000,00"),",",""),SUBSTITUTE(TEXT(BL363,"0000000000000,00"),",",""))</f>
        <v>000000000000000</v>
      </c>
      <c r="BN363" t="str">
        <f t="shared" si="2099"/>
        <v>PES</v>
      </c>
      <c r="BO363" t="str">
        <f t="shared" si="2100"/>
        <v>0001000000</v>
      </c>
      <c r="BP363">
        <f t="shared" si="2101"/>
        <v>0</v>
      </c>
      <c r="BQ363">
        <f t="shared" si="2102"/>
        <v>0</v>
      </c>
      <c r="BR363" s="23">
        <f t="shared" si="2103"/>
        <v>0</v>
      </c>
      <c r="BS363" s="49" t="str">
        <f t="shared" si="2068"/>
        <v>000000000000000</v>
      </c>
      <c r="BT363" t="str">
        <f t="shared" si="2104"/>
        <v>00000000</v>
      </c>
      <c r="BU363" s="23">
        <f t="shared" si="2105"/>
        <v>0</v>
      </c>
      <c r="BV363" s="49" t="str">
        <f t="shared" si="2069"/>
        <v/>
      </c>
      <c r="BW363" s="52" t="str">
        <f t="shared" si="2106"/>
        <v/>
      </c>
      <c r="BX363" s="23">
        <f t="shared" si="2107"/>
        <v>0</v>
      </c>
      <c r="BY363" s="49" t="str">
        <f t="shared" si="2070"/>
        <v/>
      </c>
      <c r="BZ363" s="23">
        <f t="shared" si="2108"/>
        <v>0</v>
      </c>
      <c r="CA363" s="49" t="str">
        <f t="shared" si="2071"/>
        <v/>
      </c>
      <c r="CB363" s="52" t="str">
        <f t="shared" si="2109"/>
        <v/>
      </c>
      <c r="CC363" s="23">
        <f t="shared" si="2110"/>
        <v>0</v>
      </c>
      <c r="CD363" s="49" t="str">
        <f t="shared" si="2072"/>
        <v/>
      </c>
      <c r="CE363" s="56" t="str">
        <f>IF(CF363="","",MAX(CE$10:$CE362)+1)</f>
        <v/>
      </c>
      <c r="CF363" t="str">
        <f t="shared" si="2111"/>
        <v/>
      </c>
      <c r="CG363" s="22" t="str">
        <f>IF(CH363="","",MAX($CG$10:CG362)+1)</f>
        <v/>
      </c>
      <c r="CH363" s="22" t="str">
        <f t="shared" si="2056"/>
        <v/>
      </c>
      <c r="CI363" s="22" t="str">
        <f>IF(CJ363="","",MAX($CI$10:CI362)+1)</f>
        <v/>
      </c>
      <c r="CJ363" s="22" t="str">
        <f t="shared" si="2057"/>
        <v/>
      </c>
    </row>
    <row r="364" spans="2:88" x14ac:dyDescent="0.25">
      <c r="B364" s="37"/>
      <c r="C364" s="3"/>
      <c r="D364" s="77" t="str">
        <f t="shared" si="2043"/>
        <v/>
      </c>
      <c r="E364" s="38"/>
      <c r="F364" s="38"/>
      <c r="G364" s="78">
        <f t="shared" si="2058"/>
        <v>0</v>
      </c>
      <c r="H364" s="3">
        <v>80</v>
      </c>
      <c r="I364" s="77" t="str">
        <f t="shared" si="2044"/>
        <v/>
      </c>
      <c r="J364" s="32"/>
      <c r="K364" s="3"/>
      <c r="L364" s="39"/>
      <c r="M364" s="39"/>
      <c r="N364" s="39"/>
      <c r="O364" s="39"/>
      <c r="P364" s="39"/>
      <c r="Q364" s="39"/>
      <c r="R364" s="39"/>
      <c r="S364" s="39"/>
      <c r="T364" s="3" t="s">
        <v>645</v>
      </c>
      <c r="U364" s="77" t="str">
        <f t="shared" si="2045"/>
        <v/>
      </c>
      <c r="V364" s="39">
        <v>1</v>
      </c>
      <c r="W364" s="79">
        <f t="shared" si="2059"/>
        <v>0</v>
      </c>
      <c r="X364" s="3">
        <v>0</v>
      </c>
      <c r="Y364" s="77" t="str">
        <f t="shared" si="2046"/>
        <v/>
      </c>
      <c r="Z364" s="3"/>
      <c r="AA364" s="37" t="str">
        <f t="shared" si="2060"/>
        <v/>
      </c>
      <c r="AC364" s="40"/>
      <c r="AD364" s="7"/>
      <c r="AE364" s="77" t="str">
        <f t="shared" si="2047"/>
        <v/>
      </c>
      <c r="AF364" s="81">
        <f t="shared" si="2073"/>
        <v>0</v>
      </c>
      <c r="AG364" s="40"/>
      <c r="AH364" s="7"/>
      <c r="AI364" s="77" t="str">
        <f t="shared" si="2048"/>
        <v/>
      </c>
      <c r="AJ364" s="81">
        <f t="shared" si="2074"/>
        <v>0</v>
      </c>
      <c r="AK364" s="83">
        <f t="shared" si="2075"/>
        <v>0</v>
      </c>
      <c r="AL364" s="83">
        <f t="shared" si="2076"/>
        <v>0</v>
      </c>
      <c r="AN364" s="43">
        <f t="shared" si="2049"/>
        <v>0</v>
      </c>
      <c r="AP364" t="str">
        <f t="shared" si="2077"/>
        <v/>
      </c>
      <c r="AQ364" t="str">
        <f t="shared" si="2078"/>
        <v/>
      </c>
      <c r="AR364" t="str">
        <f t="shared" si="2079"/>
        <v/>
      </c>
      <c r="AS364" t="str">
        <f t="shared" si="2080"/>
        <v/>
      </c>
      <c r="AT364" t="str">
        <f t="shared" si="2081"/>
        <v/>
      </c>
      <c r="AU364" t="str">
        <f t="shared" si="2082"/>
        <v/>
      </c>
      <c r="AV364" t="str">
        <f t="shared" si="2083"/>
        <v/>
      </c>
      <c r="AW364" t="str">
        <f t="shared" si="2084"/>
        <v xml:space="preserve">                              </v>
      </c>
      <c r="AX364" s="23">
        <f t="shared" si="2085"/>
        <v>0</v>
      </c>
      <c r="AY364" s="49" t="str">
        <f t="shared" si="2061"/>
        <v>000000000000000</v>
      </c>
      <c r="AZ364" s="23">
        <f t="shared" si="2086"/>
        <v>0</v>
      </c>
      <c r="BA364" s="49" t="str">
        <f t="shared" si="2061"/>
        <v>000000000000000</v>
      </c>
      <c r="BB364" s="23">
        <f t="shared" si="2087"/>
        <v>0</v>
      </c>
      <c r="BC364" s="49" t="str">
        <f t="shared" ref="BC364" si="2286">IF(BB364&lt;0,SUBSTITUTE(TEXT(BB364,"000000000000,00"),",",""),SUBSTITUTE(TEXT(BB364,"0000000000000,00"),",",""))</f>
        <v>000000000000000</v>
      </c>
      <c r="BD364" s="23">
        <f t="shared" si="2089"/>
        <v>0</v>
      </c>
      <c r="BE364" s="49" t="str">
        <f t="shared" ref="BE364" si="2287">IF(BD364&lt;0,SUBSTITUTE(TEXT(BD364,"000000000000,00"),",",""),SUBSTITUTE(TEXT(BD364,"0000000000000,00"),",",""))</f>
        <v>000000000000000</v>
      </c>
      <c r="BF364" s="23">
        <f t="shared" si="2091"/>
        <v>0</v>
      </c>
      <c r="BG364" s="49" t="str">
        <f t="shared" ref="BG364" si="2288">IF(BF364&lt;0,SUBSTITUTE(TEXT(BF364,"000000000000,00"),",",""),SUBSTITUTE(TEXT(BF364,"0000000000000,00"),",",""))</f>
        <v>000000000000000</v>
      </c>
      <c r="BH364" s="23">
        <f t="shared" si="2093"/>
        <v>0</v>
      </c>
      <c r="BI364" s="49" t="str">
        <f t="shared" ref="BI364" si="2289">IF(BH364&lt;0,SUBSTITUTE(TEXT(BH364,"000000000000,00"),",",""),SUBSTITUTE(TEXT(BH364,"0000000000000,00"),",",""))</f>
        <v>000000000000000</v>
      </c>
      <c r="BJ364" s="23">
        <f t="shared" si="2095"/>
        <v>0</v>
      </c>
      <c r="BK364" s="49" t="str">
        <f t="shared" ref="BK364" si="2290">IF(BJ364&lt;0,SUBSTITUTE(TEXT(BJ364,"000000000000,00"),",",""),SUBSTITUTE(TEXT(BJ364,"0000000000000,00"),",",""))</f>
        <v>000000000000000</v>
      </c>
      <c r="BL364" s="23">
        <f t="shared" si="2097"/>
        <v>0</v>
      </c>
      <c r="BM364" s="49" t="str">
        <f t="shared" ref="BM364" si="2291">IF(BL364&lt;0,SUBSTITUTE(TEXT(BL364,"000000000000,00"),",",""),SUBSTITUTE(TEXT(BL364,"0000000000000,00"),",",""))</f>
        <v>000000000000000</v>
      </c>
      <c r="BN364" t="str">
        <f t="shared" si="2099"/>
        <v>PES</v>
      </c>
      <c r="BO364" t="str">
        <f t="shared" si="2100"/>
        <v>0001000000</v>
      </c>
      <c r="BP364">
        <f t="shared" si="2101"/>
        <v>0</v>
      </c>
      <c r="BQ364">
        <f t="shared" si="2102"/>
        <v>0</v>
      </c>
      <c r="BR364" s="23">
        <f t="shared" si="2103"/>
        <v>0</v>
      </c>
      <c r="BS364" s="49" t="str">
        <f t="shared" si="2068"/>
        <v>000000000000000</v>
      </c>
      <c r="BT364" t="str">
        <f t="shared" si="2104"/>
        <v>00000000</v>
      </c>
      <c r="BU364" s="23">
        <f t="shared" si="2105"/>
        <v>0</v>
      </c>
      <c r="BV364" s="49" t="str">
        <f t="shared" si="2069"/>
        <v/>
      </c>
      <c r="BW364" s="52" t="str">
        <f t="shared" si="2106"/>
        <v/>
      </c>
      <c r="BX364" s="23">
        <f t="shared" si="2107"/>
        <v>0</v>
      </c>
      <c r="BY364" s="49" t="str">
        <f t="shared" si="2070"/>
        <v/>
      </c>
      <c r="BZ364" s="23">
        <f t="shared" si="2108"/>
        <v>0</v>
      </c>
      <c r="CA364" s="49" t="str">
        <f t="shared" si="2071"/>
        <v/>
      </c>
      <c r="CB364" s="52" t="str">
        <f t="shared" si="2109"/>
        <v/>
      </c>
      <c r="CC364" s="23">
        <f t="shared" si="2110"/>
        <v>0</v>
      </c>
      <c r="CD364" s="49" t="str">
        <f t="shared" si="2072"/>
        <v/>
      </c>
      <c r="CE364" s="56" t="str">
        <f>IF(CF364="","",MAX(CE$10:$CE363)+1)</f>
        <v/>
      </c>
      <c r="CF364" t="str">
        <f t="shared" si="2111"/>
        <v/>
      </c>
      <c r="CG364" s="22" t="str">
        <f>IF(CH364="","",MAX($CG$10:CG363)+1)</f>
        <v/>
      </c>
      <c r="CH364" s="22" t="str">
        <f t="shared" si="2056"/>
        <v/>
      </c>
      <c r="CI364" s="22" t="str">
        <f>IF(CJ364="","",MAX($CI$10:CI363)+1)</f>
        <v/>
      </c>
      <c r="CJ364" s="22" t="str">
        <f t="shared" si="2057"/>
        <v/>
      </c>
    </row>
    <row r="365" spans="2:88" x14ac:dyDescent="0.25">
      <c r="B365" s="37"/>
      <c r="C365" s="3"/>
      <c r="D365" s="77" t="str">
        <f t="shared" si="2043"/>
        <v/>
      </c>
      <c r="E365" s="38"/>
      <c r="F365" s="38"/>
      <c r="G365" s="78">
        <f t="shared" si="2058"/>
        <v>0</v>
      </c>
      <c r="H365" s="3">
        <v>80</v>
      </c>
      <c r="I365" s="77" t="str">
        <f t="shared" si="2044"/>
        <v/>
      </c>
      <c r="J365" s="32"/>
      <c r="K365" s="3"/>
      <c r="L365" s="39"/>
      <c r="M365" s="39"/>
      <c r="N365" s="39"/>
      <c r="O365" s="39"/>
      <c r="P365" s="39"/>
      <c r="Q365" s="39"/>
      <c r="R365" s="39"/>
      <c r="S365" s="39"/>
      <c r="T365" s="3" t="s">
        <v>645</v>
      </c>
      <c r="U365" s="77" t="str">
        <f t="shared" si="2045"/>
        <v/>
      </c>
      <c r="V365" s="39">
        <v>1</v>
      </c>
      <c r="W365" s="79">
        <f t="shared" si="2059"/>
        <v>0</v>
      </c>
      <c r="X365" s="3">
        <v>0</v>
      </c>
      <c r="Y365" s="77" t="str">
        <f t="shared" si="2046"/>
        <v/>
      </c>
      <c r="Z365" s="3"/>
      <c r="AA365" s="37" t="str">
        <f t="shared" si="2060"/>
        <v/>
      </c>
      <c r="AC365" s="40"/>
      <c r="AD365" s="7"/>
      <c r="AE365" s="77" t="str">
        <f t="shared" si="2047"/>
        <v/>
      </c>
      <c r="AF365" s="81">
        <f t="shared" si="2073"/>
        <v>0</v>
      </c>
      <c r="AG365" s="40"/>
      <c r="AH365" s="7"/>
      <c r="AI365" s="77" t="str">
        <f t="shared" si="2048"/>
        <v/>
      </c>
      <c r="AJ365" s="81">
        <f t="shared" si="2074"/>
        <v>0</v>
      </c>
      <c r="AK365" s="83">
        <f t="shared" si="2075"/>
        <v>0</v>
      </c>
      <c r="AL365" s="83">
        <f t="shared" si="2076"/>
        <v>0</v>
      </c>
      <c r="AN365" s="43">
        <f t="shared" si="2049"/>
        <v>0</v>
      </c>
      <c r="AP365" t="str">
        <f t="shared" si="2077"/>
        <v/>
      </c>
      <c r="AQ365" t="str">
        <f t="shared" si="2078"/>
        <v/>
      </c>
      <c r="AR365" t="str">
        <f t="shared" si="2079"/>
        <v/>
      </c>
      <c r="AS365" t="str">
        <f t="shared" si="2080"/>
        <v/>
      </c>
      <c r="AT365" t="str">
        <f t="shared" si="2081"/>
        <v/>
      </c>
      <c r="AU365" t="str">
        <f t="shared" si="2082"/>
        <v/>
      </c>
      <c r="AV365" t="str">
        <f t="shared" si="2083"/>
        <v/>
      </c>
      <c r="AW365" t="str">
        <f t="shared" si="2084"/>
        <v xml:space="preserve">                              </v>
      </c>
      <c r="AX365" s="23">
        <f t="shared" si="2085"/>
        <v>0</v>
      </c>
      <c r="AY365" s="49" t="str">
        <f t="shared" si="2061"/>
        <v>000000000000000</v>
      </c>
      <c r="AZ365" s="23">
        <f t="shared" si="2086"/>
        <v>0</v>
      </c>
      <c r="BA365" s="49" t="str">
        <f t="shared" si="2061"/>
        <v>000000000000000</v>
      </c>
      <c r="BB365" s="23">
        <f t="shared" si="2087"/>
        <v>0</v>
      </c>
      <c r="BC365" s="49" t="str">
        <f t="shared" ref="BC365" si="2292">IF(BB365&lt;0,SUBSTITUTE(TEXT(BB365,"000000000000,00"),",",""),SUBSTITUTE(TEXT(BB365,"0000000000000,00"),",",""))</f>
        <v>000000000000000</v>
      </c>
      <c r="BD365" s="23">
        <f t="shared" si="2089"/>
        <v>0</v>
      </c>
      <c r="BE365" s="49" t="str">
        <f t="shared" ref="BE365" si="2293">IF(BD365&lt;0,SUBSTITUTE(TEXT(BD365,"000000000000,00"),",",""),SUBSTITUTE(TEXT(BD365,"0000000000000,00"),",",""))</f>
        <v>000000000000000</v>
      </c>
      <c r="BF365" s="23">
        <f t="shared" si="2091"/>
        <v>0</v>
      </c>
      <c r="BG365" s="49" t="str">
        <f t="shared" ref="BG365" si="2294">IF(BF365&lt;0,SUBSTITUTE(TEXT(BF365,"000000000000,00"),",",""),SUBSTITUTE(TEXT(BF365,"0000000000000,00"),",",""))</f>
        <v>000000000000000</v>
      </c>
      <c r="BH365" s="23">
        <f t="shared" si="2093"/>
        <v>0</v>
      </c>
      <c r="BI365" s="49" t="str">
        <f t="shared" ref="BI365" si="2295">IF(BH365&lt;0,SUBSTITUTE(TEXT(BH365,"000000000000,00"),",",""),SUBSTITUTE(TEXT(BH365,"0000000000000,00"),",",""))</f>
        <v>000000000000000</v>
      </c>
      <c r="BJ365" s="23">
        <f t="shared" si="2095"/>
        <v>0</v>
      </c>
      <c r="BK365" s="49" t="str">
        <f t="shared" ref="BK365" si="2296">IF(BJ365&lt;0,SUBSTITUTE(TEXT(BJ365,"000000000000,00"),",",""),SUBSTITUTE(TEXT(BJ365,"0000000000000,00"),",",""))</f>
        <v>000000000000000</v>
      </c>
      <c r="BL365" s="23">
        <f t="shared" si="2097"/>
        <v>0</v>
      </c>
      <c r="BM365" s="49" t="str">
        <f t="shared" ref="BM365" si="2297">IF(BL365&lt;0,SUBSTITUTE(TEXT(BL365,"000000000000,00"),",",""),SUBSTITUTE(TEXT(BL365,"0000000000000,00"),",",""))</f>
        <v>000000000000000</v>
      </c>
      <c r="BN365" t="str">
        <f t="shared" si="2099"/>
        <v>PES</v>
      </c>
      <c r="BO365" t="str">
        <f t="shared" si="2100"/>
        <v>0001000000</v>
      </c>
      <c r="BP365">
        <f t="shared" si="2101"/>
        <v>0</v>
      </c>
      <c r="BQ365">
        <f t="shared" si="2102"/>
        <v>0</v>
      </c>
      <c r="BR365" s="23">
        <f t="shared" si="2103"/>
        <v>0</v>
      </c>
      <c r="BS365" s="49" t="str">
        <f t="shared" si="2068"/>
        <v>000000000000000</v>
      </c>
      <c r="BT365" t="str">
        <f t="shared" si="2104"/>
        <v>00000000</v>
      </c>
      <c r="BU365" s="23">
        <f t="shared" si="2105"/>
        <v>0</v>
      </c>
      <c r="BV365" s="49" t="str">
        <f t="shared" si="2069"/>
        <v/>
      </c>
      <c r="BW365" s="52" t="str">
        <f t="shared" si="2106"/>
        <v/>
      </c>
      <c r="BX365" s="23">
        <f t="shared" si="2107"/>
        <v>0</v>
      </c>
      <c r="BY365" s="49" t="str">
        <f t="shared" si="2070"/>
        <v/>
      </c>
      <c r="BZ365" s="23">
        <f t="shared" si="2108"/>
        <v>0</v>
      </c>
      <c r="CA365" s="49" t="str">
        <f t="shared" si="2071"/>
        <v/>
      </c>
      <c r="CB365" s="52" t="str">
        <f t="shared" si="2109"/>
        <v/>
      </c>
      <c r="CC365" s="23">
        <f t="shared" si="2110"/>
        <v>0</v>
      </c>
      <c r="CD365" s="49" t="str">
        <f t="shared" si="2072"/>
        <v/>
      </c>
      <c r="CE365" s="56" t="str">
        <f>IF(CF365="","",MAX(CE$10:$CE364)+1)</f>
        <v/>
      </c>
      <c r="CF365" t="str">
        <f t="shared" si="2111"/>
        <v/>
      </c>
      <c r="CG365" s="22" t="str">
        <f>IF(CH365="","",MAX($CG$10:CG364)+1)</f>
        <v/>
      </c>
      <c r="CH365" s="22" t="str">
        <f t="shared" si="2056"/>
        <v/>
      </c>
      <c r="CI365" s="22" t="str">
        <f>IF(CJ365="","",MAX($CI$10:CI364)+1)</f>
        <v/>
      </c>
      <c r="CJ365" s="22" t="str">
        <f t="shared" si="2057"/>
        <v/>
      </c>
    </row>
    <row r="366" spans="2:88" x14ac:dyDescent="0.25">
      <c r="B366" s="37"/>
      <c r="C366" s="3"/>
      <c r="D366" s="77" t="str">
        <f t="shared" si="2043"/>
        <v/>
      </c>
      <c r="E366" s="38"/>
      <c r="F366" s="38"/>
      <c r="G366" s="78">
        <f t="shared" si="2058"/>
        <v>0</v>
      </c>
      <c r="H366" s="3">
        <v>80</v>
      </c>
      <c r="I366" s="77" t="str">
        <f t="shared" si="2044"/>
        <v/>
      </c>
      <c r="J366" s="32"/>
      <c r="K366" s="3"/>
      <c r="L366" s="39"/>
      <c r="M366" s="39"/>
      <c r="N366" s="39"/>
      <c r="O366" s="39"/>
      <c r="P366" s="39"/>
      <c r="Q366" s="39"/>
      <c r="R366" s="39"/>
      <c r="S366" s="39"/>
      <c r="T366" s="3" t="s">
        <v>645</v>
      </c>
      <c r="U366" s="77" t="str">
        <f t="shared" si="2045"/>
        <v/>
      </c>
      <c r="V366" s="39">
        <v>1</v>
      </c>
      <c r="W366" s="79">
        <f t="shared" si="2059"/>
        <v>0</v>
      </c>
      <c r="X366" s="3">
        <v>0</v>
      </c>
      <c r="Y366" s="77" t="str">
        <f t="shared" si="2046"/>
        <v/>
      </c>
      <c r="Z366" s="3"/>
      <c r="AA366" s="37" t="str">
        <f t="shared" si="2060"/>
        <v/>
      </c>
      <c r="AC366" s="40"/>
      <c r="AD366" s="7"/>
      <c r="AE366" s="77" t="str">
        <f t="shared" si="2047"/>
        <v/>
      </c>
      <c r="AF366" s="81">
        <f t="shared" si="2073"/>
        <v>0</v>
      </c>
      <c r="AG366" s="40"/>
      <c r="AH366" s="7"/>
      <c r="AI366" s="77" t="str">
        <f t="shared" si="2048"/>
        <v/>
      </c>
      <c r="AJ366" s="81">
        <f t="shared" si="2074"/>
        <v>0</v>
      </c>
      <c r="AK366" s="83">
        <f t="shared" si="2075"/>
        <v>0</v>
      </c>
      <c r="AL366" s="83">
        <f t="shared" si="2076"/>
        <v>0</v>
      </c>
      <c r="AN366" s="43">
        <f t="shared" si="2049"/>
        <v>0</v>
      </c>
      <c r="AP366" t="str">
        <f t="shared" si="2077"/>
        <v/>
      </c>
      <c r="AQ366" t="str">
        <f t="shared" si="2078"/>
        <v/>
      </c>
      <c r="AR366" t="str">
        <f t="shared" si="2079"/>
        <v/>
      </c>
      <c r="AS366" t="str">
        <f t="shared" si="2080"/>
        <v/>
      </c>
      <c r="AT366" t="str">
        <f t="shared" si="2081"/>
        <v/>
      </c>
      <c r="AU366" t="str">
        <f t="shared" si="2082"/>
        <v/>
      </c>
      <c r="AV366" t="str">
        <f t="shared" si="2083"/>
        <v/>
      </c>
      <c r="AW366" t="str">
        <f t="shared" si="2084"/>
        <v xml:space="preserve">                              </v>
      </c>
      <c r="AX366" s="23">
        <f t="shared" si="2085"/>
        <v>0</v>
      </c>
      <c r="AY366" s="49" t="str">
        <f t="shared" si="2061"/>
        <v>000000000000000</v>
      </c>
      <c r="AZ366" s="23">
        <f t="shared" si="2086"/>
        <v>0</v>
      </c>
      <c r="BA366" s="49" t="str">
        <f t="shared" si="2061"/>
        <v>000000000000000</v>
      </c>
      <c r="BB366" s="23">
        <f t="shared" si="2087"/>
        <v>0</v>
      </c>
      <c r="BC366" s="49" t="str">
        <f t="shared" ref="BC366" si="2298">IF(BB366&lt;0,SUBSTITUTE(TEXT(BB366,"000000000000,00"),",",""),SUBSTITUTE(TEXT(BB366,"0000000000000,00"),",",""))</f>
        <v>000000000000000</v>
      </c>
      <c r="BD366" s="23">
        <f t="shared" si="2089"/>
        <v>0</v>
      </c>
      <c r="BE366" s="49" t="str">
        <f t="shared" ref="BE366" si="2299">IF(BD366&lt;0,SUBSTITUTE(TEXT(BD366,"000000000000,00"),",",""),SUBSTITUTE(TEXT(BD366,"0000000000000,00"),",",""))</f>
        <v>000000000000000</v>
      </c>
      <c r="BF366" s="23">
        <f t="shared" si="2091"/>
        <v>0</v>
      </c>
      <c r="BG366" s="49" t="str">
        <f t="shared" ref="BG366" si="2300">IF(BF366&lt;0,SUBSTITUTE(TEXT(BF366,"000000000000,00"),",",""),SUBSTITUTE(TEXT(BF366,"0000000000000,00"),",",""))</f>
        <v>000000000000000</v>
      </c>
      <c r="BH366" s="23">
        <f t="shared" si="2093"/>
        <v>0</v>
      </c>
      <c r="BI366" s="49" t="str">
        <f t="shared" ref="BI366" si="2301">IF(BH366&lt;0,SUBSTITUTE(TEXT(BH366,"000000000000,00"),",",""),SUBSTITUTE(TEXT(BH366,"0000000000000,00"),",",""))</f>
        <v>000000000000000</v>
      </c>
      <c r="BJ366" s="23">
        <f t="shared" si="2095"/>
        <v>0</v>
      </c>
      <c r="BK366" s="49" t="str">
        <f t="shared" ref="BK366" si="2302">IF(BJ366&lt;0,SUBSTITUTE(TEXT(BJ366,"000000000000,00"),",",""),SUBSTITUTE(TEXT(BJ366,"0000000000000,00"),",",""))</f>
        <v>000000000000000</v>
      </c>
      <c r="BL366" s="23">
        <f t="shared" si="2097"/>
        <v>0</v>
      </c>
      <c r="BM366" s="49" t="str">
        <f t="shared" ref="BM366" si="2303">IF(BL366&lt;0,SUBSTITUTE(TEXT(BL366,"000000000000,00"),",",""),SUBSTITUTE(TEXT(BL366,"0000000000000,00"),",",""))</f>
        <v>000000000000000</v>
      </c>
      <c r="BN366" t="str">
        <f t="shared" si="2099"/>
        <v>PES</v>
      </c>
      <c r="BO366" t="str">
        <f t="shared" si="2100"/>
        <v>0001000000</v>
      </c>
      <c r="BP366">
        <f t="shared" si="2101"/>
        <v>0</v>
      </c>
      <c r="BQ366">
        <f t="shared" si="2102"/>
        <v>0</v>
      </c>
      <c r="BR366" s="23">
        <f t="shared" si="2103"/>
        <v>0</v>
      </c>
      <c r="BS366" s="49" t="str">
        <f t="shared" si="2068"/>
        <v>000000000000000</v>
      </c>
      <c r="BT366" t="str">
        <f t="shared" si="2104"/>
        <v>00000000</v>
      </c>
      <c r="BU366" s="23">
        <f t="shared" si="2105"/>
        <v>0</v>
      </c>
      <c r="BV366" s="49" t="str">
        <f t="shared" si="2069"/>
        <v/>
      </c>
      <c r="BW366" s="52" t="str">
        <f t="shared" si="2106"/>
        <v/>
      </c>
      <c r="BX366" s="23">
        <f t="shared" si="2107"/>
        <v>0</v>
      </c>
      <c r="BY366" s="49" t="str">
        <f t="shared" si="2070"/>
        <v/>
      </c>
      <c r="BZ366" s="23">
        <f t="shared" si="2108"/>
        <v>0</v>
      </c>
      <c r="CA366" s="49" t="str">
        <f t="shared" si="2071"/>
        <v/>
      </c>
      <c r="CB366" s="52" t="str">
        <f t="shared" si="2109"/>
        <v/>
      </c>
      <c r="CC366" s="23">
        <f t="shared" si="2110"/>
        <v>0</v>
      </c>
      <c r="CD366" s="49" t="str">
        <f t="shared" si="2072"/>
        <v/>
      </c>
      <c r="CE366" s="56" t="str">
        <f>IF(CF366="","",MAX(CE$10:$CE365)+1)</f>
        <v/>
      </c>
      <c r="CF366" t="str">
        <f t="shared" si="2111"/>
        <v/>
      </c>
      <c r="CG366" s="22" t="str">
        <f>IF(CH366="","",MAX($CG$10:CG365)+1)</f>
        <v/>
      </c>
      <c r="CH366" s="22" t="str">
        <f t="shared" si="2056"/>
        <v/>
      </c>
      <c r="CI366" s="22" t="str">
        <f>IF(CJ366="","",MAX($CI$10:CI365)+1)</f>
        <v/>
      </c>
      <c r="CJ366" s="22" t="str">
        <f t="shared" si="2057"/>
        <v/>
      </c>
    </row>
    <row r="367" spans="2:88" x14ac:dyDescent="0.25">
      <c r="B367" s="37"/>
      <c r="C367" s="3"/>
      <c r="D367" s="77" t="str">
        <f t="shared" si="2043"/>
        <v/>
      </c>
      <c r="E367" s="38"/>
      <c r="F367" s="38"/>
      <c r="G367" s="78">
        <f t="shared" si="2058"/>
        <v>0</v>
      </c>
      <c r="H367" s="3">
        <v>80</v>
      </c>
      <c r="I367" s="77" t="str">
        <f t="shared" si="2044"/>
        <v/>
      </c>
      <c r="J367" s="32"/>
      <c r="K367" s="3"/>
      <c r="L367" s="39"/>
      <c r="M367" s="39"/>
      <c r="N367" s="39"/>
      <c r="O367" s="39"/>
      <c r="P367" s="39"/>
      <c r="Q367" s="39"/>
      <c r="R367" s="39"/>
      <c r="S367" s="39"/>
      <c r="T367" s="3" t="s">
        <v>645</v>
      </c>
      <c r="U367" s="77" t="str">
        <f t="shared" si="2045"/>
        <v/>
      </c>
      <c r="V367" s="39">
        <v>1</v>
      </c>
      <c r="W367" s="79">
        <f t="shared" si="2059"/>
        <v>0</v>
      </c>
      <c r="X367" s="3">
        <v>0</v>
      </c>
      <c r="Y367" s="77" t="str">
        <f t="shared" si="2046"/>
        <v/>
      </c>
      <c r="Z367" s="3"/>
      <c r="AA367" s="37" t="str">
        <f t="shared" si="2060"/>
        <v/>
      </c>
      <c r="AC367" s="40"/>
      <c r="AD367" s="7"/>
      <c r="AE367" s="77" t="str">
        <f t="shared" si="2047"/>
        <v/>
      </c>
      <c r="AF367" s="81">
        <f t="shared" si="2073"/>
        <v>0</v>
      </c>
      <c r="AG367" s="40"/>
      <c r="AH367" s="7"/>
      <c r="AI367" s="77" t="str">
        <f t="shared" si="2048"/>
        <v/>
      </c>
      <c r="AJ367" s="81">
        <f t="shared" si="2074"/>
        <v>0</v>
      </c>
      <c r="AK367" s="83">
        <f t="shared" si="2075"/>
        <v>0</v>
      </c>
      <c r="AL367" s="83">
        <f t="shared" si="2076"/>
        <v>0</v>
      </c>
      <c r="AN367" s="43">
        <f t="shared" si="2049"/>
        <v>0</v>
      </c>
      <c r="AP367" t="str">
        <f t="shared" si="2077"/>
        <v/>
      </c>
      <c r="AQ367" t="str">
        <f t="shared" si="2078"/>
        <v/>
      </c>
      <c r="AR367" t="str">
        <f t="shared" si="2079"/>
        <v/>
      </c>
      <c r="AS367" t="str">
        <f t="shared" si="2080"/>
        <v/>
      </c>
      <c r="AT367" t="str">
        <f t="shared" si="2081"/>
        <v/>
      </c>
      <c r="AU367" t="str">
        <f t="shared" si="2082"/>
        <v/>
      </c>
      <c r="AV367" t="str">
        <f t="shared" si="2083"/>
        <v/>
      </c>
      <c r="AW367" t="str">
        <f t="shared" si="2084"/>
        <v xml:space="preserve">                              </v>
      </c>
      <c r="AX367" s="23">
        <f t="shared" si="2085"/>
        <v>0</v>
      </c>
      <c r="AY367" s="49" t="str">
        <f t="shared" si="2061"/>
        <v>000000000000000</v>
      </c>
      <c r="AZ367" s="23">
        <f t="shared" si="2086"/>
        <v>0</v>
      </c>
      <c r="BA367" s="49" t="str">
        <f t="shared" si="2061"/>
        <v>000000000000000</v>
      </c>
      <c r="BB367" s="23">
        <f t="shared" si="2087"/>
        <v>0</v>
      </c>
      <c r="BC367" s="49" t="str">
        <f t="shared" ref="BC367" si="2304">IF(BB367&lt;0,SUBSTITUTE(TEXT(BB367,"000000000000,00"),",",""),SUBSTITUTE(TEXT(BB367,"0000000000000,00"),",",""))</f>
        <v>000000000000000</v>
      </c>
      <c r="BD367" s="23">
        <f t="shared" si="2089"/>
        <v>0</v>
      </c>
      <c r="BE367" s="49" t="str">
        <f t="shared" ref="BE367" si="2305">IF(BD367&lt;0,SUBSTITUTE(TEXT(BD367,"000000000000,00"),",",""),SUBSTITUTE(TEXT(BD367,"0000000000000,00"),",",""))</f>
        <v>000000000000000</v>
      </c>
      <c r="BF367" s="23">
        <f t="shared" si="2091"/>
        <v>0</v>
      </c>
      <c r="BG367" s="49" t="str">
        <f t="shared" ref="BG367" si="2306">IF(BF367&lt;0,SUBSTITUTE(TEXT(BF367,"000000000000,00"),",",""),SUBSTITUTE(TEXT(BF367,"0000000000000,00"),",",""))</f>
        <v>000000000000000</v>
      </c>
      <c r="BH367" s="23">
        <f t="shared" si="2093"/>
        <v>0</v>
      </c>
      <c r="BI367" s="49" t="str">
        <f t="shared" ref="BI367" si="2307">IF(BH367&lt;0,SUBSTITUTE(TEXT(BH367,"000000000000,00"),",",""),SUBSTITUTE(TEXT(BH367,"0000000000000,00"),",",""))</f>
        <v>000000000000000</v>
      </c>
      <c r="BJ367" s="23">
        <f t="shared" si="2095"/>
        <v>0</v>
      </c>
      <c r="BK367" s="49" t="str">
        <f t="shared" ref="BK367" si="2308">IF(BJ367&lt;0,SUBSTITUTE(TEXT(BJ367,"000000000000,00"),",",""),SUBSTITUTE(TEXT(BJ367,"0000000000000,00"),",",""))</f>
        <v>000000000000000</v>
      </c>
      <c r="BL367" s="23">
        <f t="shared" si="2097"/>
        <v>0</v>
      </c>
      <c r="BM367" s="49" t="str">
        <f t="shared" ref="BM367" si="2309">IF(BL367&lt;0,SUBSTITUTE(TEXT(BL367,"000000000000,00"),",",""),SUBSTITUTE(TEXT(BL367,"0000000000000,00"),",",""))</f>
        <v>000000000000000</v>
      </c>
      <c r="BN367" t="str">
        <f t="shared" si="2099"/>
        <v>PES</v>
      </c>
      <c r="BO367" t="str">
        <f t="shared" si="2100"/>
        <v>0001000000</v>
      </c>
      <c r="BP367">
        <f t="shared" si="2101"/>
        <v>0</v>
      </c>
      <c r="BQ367">
        <f t="shared" si="2102"/>
        <v>0</v>
      </c>
      <c r="BR367" s="23">
        <f t="shared" si="2103"/>
        <v>0</v>
      </c>
      <c r="BS367" s="49" t="str">
        <f t="shared" si="2068"/>
        <v>000000000000000</v>
      </c>
      <c r="BT367" t="str">
        <f t="shared" si="2104"/>
        <v>00000000</v>
      </c>
      <c r="BU367" s="23">
        <f t="shared" si="2105"/>
        <v>0</v>
      </c>
      <c r="BV367" s="49" t="str">
        <f t="shared" si="2069"/>
        <v/>
      </c>
      <c r="BW367" s="52" t="str">
        <f t="shared" si="2106"/>
        <v/>
      </c>
      <c r="BX367" s="23">
        <f t="shared" si="2107"/>
        <v>0</v>
      </c>
      <c r="BY367" s="49" t="str">
        <f t="shared" si="2070"/>
        <v/>
      </c>
      <c r="BZ367" s="23">
        <f t="shared" si="2108"/>
        <v>0</v>
      </c>
      <c r="CA367" s="49" t="str">
        <f t="shared" si="2071"/>
        <v/>
      </c>
      <c r="CB367" s="52" t="str">
        <f t="shared" si="2109"/>
        <v/>
      </c>
      <c r="CC367" s="23">
        <f t="shared" si="2110"/>
        <v>0</v>
      </c>
      <c r="CD367" s="49" t="str">
        <f t="shared" si="2072"/>
        <v/>
      </c>
      <c r="CE367" s="56" t="str">
        <f>IF(CF367="","",MAX(CE$10:$CE366)+1)</f>
        <v/>
      </c>
      <c r="CF367" t="str">
        <f t="shared" si="2111"/>
        <v/>
      </c>
      <c r="CG367" s="22" t="str">
        <f>IF(CH367="","",MAX($CG$10:CG366)+1)</f>
        <v/>
      </c>
      <c r="CH367" s="22" t="str">
        <f t="shared" si="2056"/>
        <v/>
      </c>
      <c r="CI367" s="22" t="str">
        <f>IF(CJ367="","",MAX($CI$10:CI366)+1)</f>
        <v/>
      </c>
      <c r="CJ367" s="22" t="str">
        <f t="shared" si="2057"/>
        <v/>
      </c>
    </row>
    <row r="368" spans="2:88" x14ac:dyDescent="0.25">
      <c r="B368" s="37"/>
      <c r="C368" s="3"/>
      <c r="D368" s="77" t="str">
        <f t="shared" si="2043"/>
        <v/>
      </c>
      <c r="E368" s="38"/>
      <c r="F368" s="38"/>
      <c r="G368" s="78">
        <f t="shared" si="2058"/>
        <v>0</v>
      </c>
      <c r="H368" s="3">
        <v>80</v>
      </c>
      <c r="I368" s="77" t="str">
        <f t="shared" si="2044"/>
        <v/>
      </c>
      <c r="J368" s="32"/>
      <c r="K368" s="3"/>
      <c r="L368" s="39"/>
      <c r="M368" s="39"/>
      <c r="N368" s="39"/>
      <c r="O368" s="39"/>
      <c r="P368" s="39"/>
      <c r="Q368" s="39"/>
      <c r="R368" s="39"/>
      <c r="S368" s="39"/>
      <c r="T368" s="3" t="s">
        <v>645</v>
      </c>
      <c r="U368" s="77" t="str">
        <f t="shared" si="2045"/>
        <v/>
      </c>
      <c r="V368" s="39">
        <v>1</v>
      </c>
      <c r="W368" s="79">
        <f t="shared" si="2059"/>
        <v>0</v>
      </c>
      <c r="X368" s="3">
        <v>0</v>
      </c>
      <c r="Y368" s="77" t="str">
        <f t="shared" si="2046"/>
        <v/>
      </c>
      <c r="Z368" s="3"/>
      <c r="AA368" s="37" t="str">
        <f t="shared" si="2060"/>
        <v/>
      </c>
      <c r="AC368" s="40"/>
      <c r="AD368" s="7"/>
      <c r="AE368" s="77" t="str">
        <f t="shared" si="2047"/>
        <v/>
      </c>
      <c r="AF368" s="81">
        <f t="shared" si="2073"/>
        <v>0</v>
      </c>
      <c r="AG368" s="40"/>
      <c r="AH368" s="7"/>
      <c r="AI368" s="77" t="str">
        <f t="shared" si="2048"/>
        <v/>
      </c>
      <c r="AJ368" s="81">
        <f t="shared" si="2074"/>
        <v>0</v>
      </c>
      <c r="AK368" s="83">
        <f t="shared" si="2075"/>
        <v>0</v>
      </c>
      <c r="AL368" s="83">
        <f t="shared" si="2076"/>
        <v>0</v>
      </c>
      <c r="AN368" s="43">
        <f t="shared" si="2049"/>
        <v>0</v>
      </c>
      <c r="AP368" t="str">
        <f t="shared" si="2077"/>
        <v/>
      </c>
      <c r="AQ368" t="str">
        <f t="shared" si="2078"/>
        <v/>
      </c>
      <c r="AR368" t="str">
        <f t="shared" si="2079"/>
        <v/>
      </c>
      <c r="AS368" t="str">
        <f t="shared" si="2080"/>
        <v/>
      </c>
      <c r="AT368" t="str">
        <f t="shared" si="2081"/>
        <v/>
      </c>
      <c r="AU368" t="str">
        <f t="shared" si="2082"/>
        <v/>
      </c>
      <c r="AV368" t="str">
        <f t="shared" si="2083"/>
        <v/>
      </c>
      <c r="AW368" t="str">
        <f t="shared" si="2084"/>
        <v xml:space="preserve">                              </v>
      </c>
      <c r="AX368" s="23">
        <f t="shared" si="2085"/>
        <v>0</v>
      </c>
      <c r="AY368" s="49" t="str">
        <f t="shared" si="2061"/>
        <v>000000000000000</v>
      </c>
      <c r="AZ368" s="23">
        <f t="shared" si="2086"/>
        <v>0</v>
      </c>
      <c r="BA368" s="49" t="str">
        <f t="shared" si="2061"/>
        <v>000000000000000</v>
      </c>
      <c r="BB368" s="23">
        <f t="shared" si="2087"/>
        <v>0</v>
      </c>
      <c r="BC368" s="49" t="str">
        <f t="shared" ref="BC368" si="2310">IF(BB368&lt;0,SUBSTITUTE(TEXT(BB368,"000000000000,00"),",",""),SUBSTITUTE(TEXT(BB368,"0000000000000,00"),",",""))</f>
        <v>000000000000000</v>
      </c>
      <c r="BD368" s="23">
        <f t="shared" si="2089"/>
        <v>0</v>
      </c>
      <c r="BE368" s="49" t="str">
        <f t="shared" ref="BE368" si="2311">IF(BD368&lt;0,SUBSTITUTE(TEXT(BD368,"000000000000,00"),",",""),SUBSTITUTE(TEXT(BD368,"0000000000000,00"),",",""))</f>
        <v>000000000000000</v>
      </c>
      <c r="BF368" s="23">
        <f t="shared" si="2091"/>
        <v>0</v>
      </c>
      <c r="BG368" s="49" t="str">
        <f t="shared" ref="BG368" si="2312">IF(BF368&lt;0,SUBSTITUTE(TEXT(BF368,"000000000000,00"),",",""),SUBSTITUTE(TEXT(BF368,"0000000000000,00"),",",""))</f>
        <v>000000000000000</v>
      </c>
      <c r="BH368" s="23">
        <f t="shared" si="2093"/>
        <v>0</v>
      </c>
      <c r="BI368" s="49" t="str">
        <f t="shared" ref="BI368" si="2313">IF(BH368&lt;0,SUBSTITUTE(TEXT(BH368,"000000000000,00"),",",""),SUBSTITUTE(TEXT(BH368,"0000000000000,00"),",",""))</f>
        <v>000000000000000</v>
      </c>
      <c r="BJ368" s="23">
        <f t="shared" si="2095"/>
        <v>0</v>
      </c>
      <c r="BK368" s="49" t="str">
        <f t="shared" ref="BK368" si="2314">IF(BJ368&lt;0,SUBSTITUTE(TEXT(BJ368,"000000000000,00"),",",""),SUBSTITUTE(TEXT(BJ368,"0000000000000,00"),",",""))</f>
        <v>000000000000000</v>
      </c>
      <c r="BL368" s="23">
        <f t="shared" si="2097"/>
        <v>0</v>
      </c>
      <c r="BM368" s="49" t="str">
        <f t="shared" ref="BM368" si="2315">IF(BL368&lt;0,SUBSTITUTE(TEXT(BL368,"000000000000,00"),",",""),SUBSTITUTE(TEXT(BL368,"0000000000000,00"),",",""))</f>
        <v>000000000000000</v>
      </c>
      <c r="BN368" t="str">
        <f t="shared" si="2099"/>
        <v>PES</v>
      </c>
      <c r="BO368" t="str">
        <f t="shared" si="2100"/>
        <v>0001000000</v>
      </c>
      <c r="BP368">
        <f t="shared" si="2101"/>
        <v>0</v>
      </c>
      <c r="BQ368">
        <f t="shared" si="2102"/>
        <v>0</v>
      </c>
      <c r="BR368" s="23">
        <f t="shared" si="2103"/>
        <v>0</v>
      </c>
      <c r="BS368" s="49" t="str">
        <f t="shared" si="2068"/>
        <v>000000000000000</v>
      </c>
      <c r="BT368" t="str">
        <f t="shared" si="2104"/>
        <v>00000000</v>
      </c>
      <c r="BU368" s="23">
        <f t="shared" si="2105"/>
        <v>0</v>
      </c>
      <c r="BV368" s="49" t="str">
        <f t="shared" si="2069"/>
        <v/>
      </c>
      <c r="BW368" s="52" t="str">
        <f t="shared" si="2106"/>
        <v/>
      </c>
      <c r="BX368" s="23">
        <f t="shared" si="2107"/>
        <v>0</v>
      </c>
      <c r="BY368" s="49" t="str">
        <f t="shared" si="2070"/>
        <v/>
      </c>
      <c r="BZ368" s="23">
        <f t="shared" si="2108"/>
        <v>0</v>
      </c>
      <c r="CA368" s="49" t="str">
        <f t="shared" si="2071"/>
        <v/>
      </c>
      <c r="CB368" s="52" t="str">
        <f t="shared" si="2109"/>
        <v/>
      </c>
      <c r="CC368" s="23">
        <f t="shared" si="2110"/>
        <v>0</v>
      </c>
      <c r="CD368" s="49" t="str">
        <f t="shared" si="2072"/>
        <v/>
      </c>
      <c r="CE368" s="56" t="str">
        <f>IF(CF368="","",MAX(CE$10:$CE367)+1)</f>
        <v/>
      </c>
      <c r="CF368" t="str">
        <f t="shared" si="2111"/>
        <v/>
      </c>
      <c r="CG368" s="22" t="str">
        <f>IF(CH368="","",MAX($CG$10:CG367)+1)</f>
        <v/>
      </c>
      <c r="CH368" s="22" t="str">
        <f t="shared" si="2056"/>
        <v/>
      </c>
      <c r="CI368" s="22" t="str">
        <f>IF(CJ368="","",MAX($CI$10:CI367)+1)</f>
        <v/>
      </c>
      <c r="CJ368" s="22" t="str">
        <f t="shared" si="2057"/>
        <v/>
      </c>
    </row>
    <row r="369" spans="2:88" x14ac:dyDescent="0.25">
      <c r="B369" s="37"/>
      <c r="C369" s="3"/>
      <c r="D369" s="77" t="str">
        <f t="shared" si="2043"/>
        <v/>
      </c>
      <c r="E369" s="38"/>
      <c r="F369" s="38"/>
      <c r="G369" s="78">
        <f t="shared" si="2058"/>
        <v>0</v>
      </c>
      <c r="H369" s="3">
        <v>80</v>
      </c>
      <c r="I369" s="77" t="str">
        <f t="shared" si="2044"/>
        <v/>
      </c>
      <c r="J369" s="32"/>
      <c r="K369" s="3"/>
      <c r="L369" s="39"/>
      <c r="M369" s="39"/>
      <c r="N369" s="39"/>
      <c r="O369" s="39"/>
      <c r="P369" s="39"/>
      <c r="Q369" s="39"/>
      <c r="R369" s="39"/>
      <c r="S369" s="39"/>
      <c r="T369" s="3" t="s">
        <v>645</v>
      </c>
      <c r="U369" s="77" t="str">
        <f t="shared" si="2045"/>
        <v/>
      </c>
      <c r="V369" s="39">
        <v>1</v>
      </c>
      <c r="W369" s="79">
        <f t="shared" si="2059"/>
        <v>0</v>
      </c>
      <c r="X369" s="3">
        <v>0</v>
      </c>
      <c r="Y369" s="77" t="str">
        <f t="shared" si="2046"/>
        <v/>
      </c>
      <c r="Z369" s="3"/>
      <c r="AA369" s="37" t="str">
        <f t="shared" si="2060"/>
        <v/>
      </c>
      <c r="AC369" s="40"/>
      <c r="AD369" s="7"/>
      <c r="AE369" s="77" t="str">
        <f t="shared" si="2047"/>
        <v/>
      </c>
      <c r="AF369" s="81">
        <f t="shared" si="2073"/>
        <v>0</v>
      </c>
      <c r="AG369" s="40"/>
      <c r="AH369" s="7"/>
      <c r="AI369" s="77" t="str">
        <f t="shared" si="2048"/>
        <v/>
      </c>
      <c r="AJ369" s="81">
        <f t="shared" si="2074"/>
        <v>0</v>
      </c>
      <c r="AK369" s="83">
        <f t="shared" si="2075"/>
        <v>0</v>
      </c>
      <c r="AL369" s="83">
        <f t="shared" si="2076"/>
        <v>0</v>
      </c>
      <c r="AN369" s="43">
        <f t="shared" si="2049"/>
        <v>0</v>
      </c>
      <c r="AP369" t="str">
        <f t="shared" si="2077"/>
        <v/>
      </c>
      <c r="AQ369" t="str">
        <f t="shared" si="2078"/>
        <v/>
      </c>
      <c r="AR369" t="str">
        <f t="shared" si="2079"/>
        <v/>
      </c>
      <c r="AS369" t="str">
        <f t="shared" si="2080"/>
        <v/>
      </c>
      <c r="AT369" t="str">
        <f t="shared" si="2081"/>
        <v/>
      </c>
      <c r="AU369" t="str">
        <f t="shared" si="2082"/>
        <v/>
      </c>
      <c r="AV369" t="str">
        <f t="shared" si="2083"/>
        <v/>
      </c>
      <c r="AW369" t="str">
        <f t="shared" si="2084"/>
        <v xml:space="preserve">                              </v>
      </c>
      <c r="AX369" s="23">
        <f t="shared" si="2085"/>
        <v>0</v>
      </c>
      <c r="AY369" s="49" t="str">
        <f t="shared" si="2061"/>
        <v>000000000000000</v>
      </c>
      <c r="AZ369" s="23">
        <f t="shared" si="2086"/>
        <v>0</v>
      </c>
      <c r="BA369" s="49" t="str">
        <f t="shared" si="2061"/>
        <v>000000000000000</v>
      </c>
      <c r="BB369" s="23">
        <f t="shared" si="2087"/>
        <v>0</v>
      </c>
      <c r="BC369" s="49" t="str">
        <f t="shared" ref="BC369" si="2316">IF(BB369&lt;0,SUBSTITUTE(TEXT(BB369,"000000000000,00"),",",""),SUBSTITUTE(TEXT(BB369,"0000000000000,00"),",",""))</f>
        <v>000000000000000</v>
      </c>
      <c r="BD369" s="23">
        <f t="shared" si="2089"/>
        <v>0</v>
      </c>
      <c r="BE369" s="49" t="str">
        <f t="shared" ref="BE369" si="2317">IF(BD369&lt;0,SUBSTITUTE(TEXT(BD369,"000000000000,00"),",",""),SUBSTITUTE(TEXT(BD369,"0000000000000,00"),",",""))</f>
        <v>000000000000000</v>
      </c>
      <c r="BF369" s="23">
        <f t="shared" si="2091"/>
        <v>0</v>
      </c>
      <c r="BG369" s="49" t="str">
        <f t="shared" ref="BG369" si="2318">IF(BF369&lt;0,SUBSTITUTE(TEXT(BF369,"000000000000,00"),",",""),SUBSTITUTE(TEXT(BF369,"0000000000000,00"),",",""))</f>
        <v>000000000000000</v>
      </c>
      <c r="BH369" s="23">
        <f t="shared" si="2093"/>
        <v>0</v>
      </c>
      <c r="BI369" s="49" t="str">
        <f t="shared" ref="BI369" si="2319">IF(BH369&lt;0,SUBSTITUTE(TEXT(BH369,"000000000000,00"),",",""),SUBSTITUTE(TEXT(BH369,"0000000000000,00"),",",""))</f>
        <v>000000000000000</v>
      </c>
      <c r="BJ369" s="23">
        <f t="shared" si="2095"/>
        <v>0</v>
      </c>
      <c r="BK369" s="49" t="str">
        <f t="shared" ref="BK369" si="2320">IF(BJ369&lt;0,SUBSTITUTE(TEXT(BJ369,"000000000000,00"),",",""),SUBSTITUTE(TEXT(BJ369,"0000000000000,00"),",",""))</f>
        <v>000000000000000</v>
      </c>
      <c r="BL369" s="23">
        <f t="shared" si="2097"/>
        <v>0</v>
      </c>
      <c r="BM369" s="49" t="str">
        <f t="shared" ref="BM369" si="2321">IF(BL369&lt;0,SUBSTITUTE(TEXT(BL369,"000000000000,00"),",",""),SUBSTITUTE(TEXT(BL369,"0000000000000,00"),",",""))</f>
        <v>000000000000000</v>
      </c>
      <c r="BN369" t="str">
        <f t="shared" si="2099"/>
        <v>PES</v>
      </c>
      <c r="BO369" t="str">
        <f t="shared" si="2100"/>
        <v>0001000000</v>
      </c>
      <c r="BP369">
        <f t="shared" si="2101"/>
        <v>0</v>
      </c>
      <c r="BQ369">
        <f t="shared" si="2102"/>
        <v>0</v>
      </c>
      <c r="BR369" s="23">
        <f t="shared" si="2103"/>
        <v>0</v>
      </c>
      <c r="BS369" s="49" t="str">
        <f t="shared" si="2068"/>
        <v>000000000000000</v>
      </c>
      <c r="BT369" t="str">
        <f t="shared" si="2104"/>
        <v>00000000</v>
      </c>
      <c r="BU369" s="23">
        <f t="shared" si="2105"/>
        <v>0</v>
      </c>
      <c r="BV369" s="49" t="str">
        <f t="shared" si="2069"/>
        <v/>
      </c>
      <c r="BW369" s="52" t="str">
        <f t="shared" si="2106"/>
        <v/>
      </c>
      <c r="BX369" s="23">
        <f t="shared" si="2107"/>
        <v>0</v>
      </c>
      <c r="BY369" s="49" t="str">
        <f t="shared" si="2070"/>
        <v/>
      </c>
      <c r="BZ369" s="23">
        <f t="shared" si="2108"/>
        <v>0</v>
      </c>
      <c r="CA369" s="49" t="str">
        <f t="shared" si="2071"/>
        <v/>
      </c>
      <c r="CB369" s="52" t="str">
        <f t="shared" si="2109"/>
        <v/>
      </c>
      <c r="CC369" s="23">
        <f t="shared" si="2110"/>
        <v>0</v>
      </c>
      <c r="CD369" s="49" t="str">
        <f t="shared" si="2072"/>
        <v/>
      </c>
      <c r="CE369" s="56" t="str">
        <f>IF(CF369="","",MAX(CE$10:$CE368)+1)</f>
        <v/>
      </c>
      <c r="CF369" t="str">
        <f t="shared" si="2111"/>
        <v/>
      </c>
      <c r="CG369" s="22" t="str">
        <f>IF(CH369="","",MAX($CG$10:CG368)+1)</f>
        <v/>
      </c>
      <c r="CH369" s="22" t="str">
        <f t="shared" si="2056"/>
        <v/>
      </c>
      <c r="CI369" s="22" t="str">
        <f>IF(CJ369="","",MAX($CI$10:CI368)+1)</f>
        <v/>
      </c>
      <c r="CJ369" s="22" t="str">
        <f t="shared" si="2057"/>
        <v/>
      </c>
    </row>
    <row r="370" spans="2:88" x14ac:dyDescent="0.25">
      <c r="B370" s="37"/>
      <c r="C370" s="3"/>
      <c r="D370" s="77" t="str">
        <f t="shared" si="2043"/>
        <v/>
      </c>
      <c r="E370" s="38"/>
      <c r="F370" s="38"/>
      <c r="G370" s="78">
        <f t="shared" si="2058"/>
        <v>0</v>
      </c>
      <c r="H370" s="3">
        <v>80</v>
      </c>
      <c r="I370" s="77" t="str">
        <f t="shared" si="2044"/>
        <v/>
      </c>
      <c r="J370" s="32"/>
      <c r="K370" s="3"/>
      <c r="L370" s="39"/>
      <c r="M370" s="39"/>
      <c r="N370" s="39"/>
      <c r="O370" s="39"/>
      <c r="P370" s="39"/>
      <c r="Q370" s="39"/>
      <c r="R370" s="39"/>
      <c r="S370" s="39"/>
      <c r="T370" s="3" t="s">
        <v>645</v>
      </c>
      <c r="U370" s="77" t="str">
        <f t="shared" si="2045"/>
        <v/>
      </c>
      <c r="V370" s="39">
        <v>1</v>
      </c>
      <c r="W370" s="79">
        <f t="shared" si="2059"/>
        <v>0</v>
      </c>
      <c r="X370" s="3">
        <v>0</v>
      </c>
      <c r="Y370" s="77" t="str">
        <f t="shared" si="2046"/>
        <v/>
      </c>
      <c r="Z370" s="3"/>
      <c r="AA370" s="37" t="str">
        <f t="shared" si="2060"/>
        <v/>
      </c>
      <c r="AC370" s="40"/>
      <c r="AD370" s="7"/>
      <c r="AE370" s="77" t="str">
        <f t="shared" si="2047"/>
        <v/>
      </c>
      <c r="AF370" s="81">
        <f t="shared" si="2073"/>
        <v>0</v>
      </c>
      <c r="AG370" s="40"/>
      <c r="AH370" s="7"/>
      <c r="AI370" s="77" t="str">
        <f t="shared" si="2048"/>
        <v/>
      </c>
      <c r="AJ370" s="81">
        <f t="shared" si="2074"/>
        <v>0</v>
      </c>
      <c r="AK370" s="83">
        <f t="shared" si="2075"/>
        <v>0</v>
      </c>
      <c r="AL370" s="83">
        <f t="shared" si="2076"/>
        <v>0</v>
      </c>
      <c r="AN370" s="43">
        <f t="shared" si="2049"/>
        <v>0</v>
      </c>
      <c r="AP370" t="str">
        <f t="shared" si="2077"/>
        <v/>
      </c>
      <c r="AQ370" t="str">
        <f t="shared" si="2078"/>
        <v/>
      </c>
      <c r="AR370" t="str">
        <f t="shared" si="2079"/>
        <v/>
      </c>
      <c r="AS370" t="str">
        <f t="shared" si="2080"/>
        <v/>
      </c>
      <c r="AT370" t="str">
        <f t="shared" si="2081"/>
        <v/>
      </c>
      <c r="AU370" t="str">
        <f t="shared" si="2082"/>
        <v/>
      </c>
      <c r="AV370" t="str">
        <f t="shared" si="2083"/>
        <v/>
      </c>
      <c r="AW370" t="str">
        <f t="shared" si="2084"/>
        <v xml:space="preserve">                              </v>
      </c>
      <c r="AX370" s="23">
        <f t="shared" si="2085"/>
        <v>0</v>
      </c>
      <c r="AY370" s="49" t="str">
        <f t="shared" si="2061"/>
        <v>000000000000000</v>
      </c>
      <c r="AZ370" s="23">
        <f t="shared" si="2086"/>
        <v>0</v>
      </c>
      <c r="BA370" s="49" t="str">
        <f t="shared" si="2061"/>
        <v>000000000000000</v>
      </c>
      <c r="BB370" s="23">
        <f t="shared" si="2087"/>
        <v>0</v>
      </c>
      <c r="BC370" s="49" t="str">
        <f t="shared" ref="BC370" si="2322">IF(BB370&lt;0,SUBSTITUTE(TEXT(BB370,"000000000000,00"),",",""),SUBSTITUTE(TEXT(BB370,"0000000000000,00"),",",""))</f>
        <v>000000000000000</v>
      </c>
      <c r="BD370" s="23">
        <f t="shared" si="2089"/>
        <v>0</v>
      </c>
      <c r="BE370" s="49" t="str">
        <f t="shared" ref="BE370" si="2323">IF(BD370&lt;0,SUBSTITUTE(TEXT(BD370,"000000000000,00"),",",""),SUBSTITUTE(TEXT(BD370,"0000000000000,00"),",",""))</f>
        <v>000000000000000</v>
      </c>
      <c r="BF370" s="23">
        <f t="shared" si="2091"/>
        <v>0</v>
      </c>
      <c r="BG370" s="49" t="str">
        <f t="shared" ref="BG370" si="2324">IF(BF370&lt;0,SUBSTITUTE(TEXT(BF370,"000000000000,00"),",",""),SUBSTITUTE(TEXT(BF370,"0000000000000,00"),",",""))</f>
        <v>000000000000000</v>
      </c>
      <c r="BH370" s="23">
        <f t="shared" si="2093"/>
        <v>0</v>
      </c>
      <c r="BI370" s="49" t="str">
        <f t="shared" ref="BI370" si="2325">IF(BH370&lt;0,SUBSTITUTE(TEXT(BH370,"000000000000,00"),",",""),SUBSTITUTE(TEXT(BH370,"0000000000000,00"),",",""))</f>
        <v>000000000000000</v>
      </c>
      <c r="BJ370" s="23">
        <f t="shared" si="2095"/>
        <v>0</v>
      </c>
      <c r="BK370" s="49" t="str">
        <f t="shared" ref="BK370" si="2326">IF(BJ370&lt;0,SUBSTITUTE(TEXT(BJ370,"000000000000,00"),",",""),SUBSTITUTE(TEXT(BJ370,"0000000000000,00"),",",""))</f>
        <v>000000000000000</v>
      </c>
      <c r="BL370" s="23">
        <f t="shared" si="2097"/>
        <v>0</v>
      </c>
      <c r="BM370" s="49" t="str">
        <f t="shared" ref="BM370" si="2327">IF(BL370&lt;0,SUBSTITUTE(TEXT(BL370,"000000000000,00"),",",""),SUBSTITUTE(TEXT(BL370,"0000000000000,00"),",",""))</f>
        <v>000000000000000</v>
      </c>
      <c r="BN370" t="str">
        <f t="shared" si="2099"/>
        <v>PES</v>
      </c>
      <c r="BO370" t="str">
        <f t="shared" si="2100"/>
        <v>0001000000</v>
      </c>
      <c r="BP370">
        <f t="shared" si="2101"/>
        <v>0</v>
      </c>
      <c r="BQ370">
        <f t="shared" si="2102"/>
        <v>0</v>
      </c>
      <c r="BR370" s="23">
        <f t="shared" si="2103"/>
        <v>0</v>
      </c>
      <c r="BS370" s="49" t="str">
        <f t="shared" si="2068"/>
        <v>000000000000000</v>
      </c>
      <c r="BT370" t="str">
        <f t="shared" si="2104"/>
        <v>00000000</v>
      </c>
      <c r="BU370" s="23">
        <f t="shared" si="2105"/>
        <v>0</v>
      </c>
      <c r="BV370" s="49" t="str">
        <f t="shared" si="2069"/>
        <v/>
      </c>
      <c r="BW370" s="52" t="str">
        <f t="shared" si="2106"/>
        <v/>
      </c>
      <c r="BX370" s="23">
        <f t="shared" si="2107"/>
        <v>0</v>
      </c>
      <c r="BY370" s="49" t="str">
        <f t="shared" si="2070"/>
        <v/>
      </c>
      <c r="BZ370" s="23">
        <f t="shared" si="2108"/>
        <v>0</v>
      </c>
      <c r="CA370" s="49" t="str">
        <f t="shared" si="2071"/>
        <v/>
      </c>
      <c r="CB370" s="52" t="str">
        <f t="shared" si="2109"/>
        <v/>
      </c>
      <c r="CC370" s="23">
        <f t="shared" si="2110"/>
        <v>0</v>
      </c>
      <c r="CD370" s="49" t="str">
        <f t="shared" si="2072"/>
        <v/>
      </c>
      <c r="CE370" s="56" t="str">
        <f>IF(CF370="","",MAX(CE$10:$CE369)+1)</f>
        <v/>
      </c>
      <c r="CF370" t="str">
        <f t="shared" si="2111"/>
        <v/>
      </c>
      <c r="CG370" s="22" t="str">
        <f>IF(CH370="","",MAX($CG$10:CG369)+1)</f>
        <v/>
      </c>
      <c r="CH370" s="22" t="str">
        <f t="shared" si="2056"/>
        <v/>
      </c>
      <c r="CI370" s="22" t="str">
        <f>IF(CJ370="","",MAX($CI$10:CI369)+1)</f>
        <v/>
      </c>
      <c r="CJ370" s="22" t="str">
        <f t="shared" si="2057"/>
        <v/>
      </c>
    </row>
    <row r="371" spans="2:88" x14ac:dyDescent="0.25">
      <c r="B371" s="37"/>
      <c r="C371" s="3"/>
      <c r="D371" s="77" t="str">
        <f t="shared" si="2043"/>
        <v/>
      </c>
      <c r="E371" s="38"/>
      <c r="F371" s="38"/>
      <c r="G371" s="78">
        <f t="shared" si="2058"/>
        <v>0</v>
      </c>
      <c r="H371" s="3">
        <v>80</v>
      </c>
      <c r="I371" s="77" t="str">
        <f t="shared" si="2044"/>
        <v/>
      </c>
      <c r="J371" s="32"/>
      <c r="K371" s="3"/>
      <c r="L371" s="39"/>
      <c r="M371" s="39"/>
      <c r="N371" s="39"/>
      <c r="O371" s="39"/>
      <c r="P371" s="39"/>
      <c r="Q371" s="39"/>
      <c r="R371" s="39"/>
      <c r="S371" s="39"/>
      <c r="T371" s="3" t="s">
        <v>645</v>
      </c>
      <c r="U371" s="77" t="str">
        <f t="shared" si="2045"/>
        <v/>
      </c>
      <c r="V371" s="39">
        <v>1</v>
      </c>
      <c r="W371" s="79">
        <f t="shared" si="2059"/>
        <v>0</v>
      </c>
      <c r="X371" s="3">
        <v>0</v>
      </c>
      <c r="Y371" s="77" t="str">
        <f t="shared" si="2046"/>
        <v/>
      </c>
      <c r="Z371" s="3"/>
      <c r="AA371" s="37" t="str">
        <f t="shared" si="2060"/>
        <v/>
      </c>
      <c r="AC371" s="40"/>
      <c r="AD371" s="7"/>
      <c r="AE371" s="77" t="str">
        <f t="shared" si="2047"/>
        <v/>
      </c>
      <c r="AF371" s="81">
        <f t="shared" si="2073"/>
        <v>0</v>
      </c>
      <c r="AG371" s="40"/>
      <c r="AH371" s="7"/>
      <c r="AI371" s="77" t="str">
        <f t="shared" si="2048"/>
        <v/>
      </c>
      <c r="AJ371" s="81">
        <f t="shared" si="2074"/>
        <v>0</v>
      </c>
      <c r="AK371" s="83">
        <f t="shared" si="2075"/>
        <v>0</v>
      </c>
      <c r="AL371" s="83">
        <f t="shared" si="2076"/>
        <v>0</v>
      </c>
      <c r="AN371" s="43">
        <f t="shared" si="2049"/>
        <v>0</v>
      </c>
      <c r="AP371" t="str">
        <f t="shared" si="2077"/>
        <v/>
      </c>
      <c r="AQ371" t="str">
        <f t="shared" si="2078"/>
        <v/>
      </c>
      <c r="AR371" t="str">
        <f t="shared" si="2079"/>
        <v/>
      </c>
      <c r="AS371" t="str">
        <f t="shared" si="2080"/>
        <v/>
      </c>
      <c r="AT371" t="str">
        <f t="shared" si="2081"/>
        <v/>
      </c>
      <c r="AU371" t="str">
        <f t="shared" si="2082"/>
        <v/>
      </c>
      <c r="AV371" t="str">
        <f t="shared" si="2083"/>
        <v/>
      </c>
      <c r="AW371" t="str">
        <f t="shared" si="2084"/>
        <v xml:space="preserve">                              </v>
      </c>
      <c r="AX371" s="23">
        <f t="shared" si="2085"/>
        <v>0</v>
      </c>
      <c r="AY371" s="49" t="str">
        <f t="shared" si="2061"/>
        <v>000000000000000</v>
      </c>
      <c r="AZ371" s="23">
        <f t="shared" si="2086"/>
        <v>0</v>
      </c>
      <c r="BA371" s="49" t="str">
        <f t="shared" si="2061"/>
        <v>000000000000000</v>
      </c>
      <c r="BB371" s="23">
        <f t="shared" si="2087"/>
        <v>0</v>
      </c>
      <c r="BC371" s="49" t="str">
        <f t="shared" ref="BC371" si="2328">IF(BB371&lt;0,SUBSTITUTE(TEXT(BB371,"000000000000,00"),",",""),SUBSTITUTE(TEXT(BB371,"0000000000000,00"),",",""))</f>
        <v>000000000000000</v>
      </c>
      <c r="BD371" s="23">
        <f t="shared" si="2089"/>
        <v>0</v>
      </c>
      <c r="BE371" s="49" t="str">
        <f t="shared" ref="BE371" si="2329">IF(BD371&lt;0,SUBSTITUTE(TEXT(BD371,"000000000000,00"),",",""),SUBSTITUTE(TEXT(BD371,"0000000000000,00"),",",""))</f>
        <v>000000000000000</v>
      </c>
      <c r="BF371" s="23">
        <f t="shared" si="2091"/>
        <v>0</v>
      </c>
      <c r="BG371" s="49" t="str">
        <f t="shared" ref="BG371" si="2330">IF(BF371&lt;0,SUBSTITUTE(TEXT(BF371,"000000000000,00"),",",""),SUBSTITUTE(TEXT(BF371,"0000000000000,00"),",",""))</f>
        <v>000000000000000</v>
      </c>
      <c r="BH371" s="23">
        <f t="shared" si="2093"/>
        <v>0</v>
      </c>
      <c r="BI371" s="49" t="str">
        <f t="shared" ref="BI371" si="2331">IF(BH371&lt;0,SUBSTITUTE(TEXT(BH371,"000000000000,00"),",",""),SUBSTITUTE(TEXT(BH371,"0000000000000,00"),",",""))</f>
        <v>000000000000000</v>
      </c>
      <c r="BJ371" s="23">
        <f t="shared" si="2095"/>
        <v>0</v>
      </c>
      <c r="BK371" s="49" t="str">
        <f t="shared" ref="BK371" si="2332">IF(BJ371&lt;0,SUBSTITUTE(TEXT(BJ371,"000000000000,00"),",",""),SUBSTITUTE(TEXT(BJ371,"0000000000000,00"),",",""))</f>
        <v>000000000000000</v>
      </c>
      <c r="BL371" s="23">
        <f t="shared" si="2097"/>
        <v>0</v>
      </c>
      <c r="BM371" s="49" t="str">
        <f t="shared" ref="BM371" si="2333">IF(BL371&lt;0,SUBSTITUTE(TEXT(BL371,"000000000000,00"),",",""),SUBSTITUTE(TEXT(BL371,"0000000000000,00"),",",""))</f>
        <v>000000000000000</v>
      </c>
      <c r="BN371" t="str">
        <f t="shared" si="2099"/>
        <v>PES</v>
      </c>
      <c r="BO371" t="str">
        <f t="shared" si="2100"/>
        <v>0001000000</v>
      </c>
      <c r="BP371">
        <f t="shared" si="2101"/>
        <v>0</v>
      </c>
      <c r="BQ371">
        <f t="shared" si="2102"/>
        <v>0</v>
      </c>
      <c r="BR371" s="23">
        <f t="shared" si="2103"/>
        <v>0</v>
      </c>
      <c r="BS371" s="49" t="str">
        <f t="shared" si="2068"/>
        <v>000000000000000</v>
      </c>
      <c r="BT371" t="str">
        <f t="shared" si="2104"/>
        <v>00000000</v>
      </c>
      <c r="BU371" s="23">
        <f t="shared" si="2105"/>
        <v>0</v>
      </c>
      <c r="BV371" s="49" t="str">
        <f t="shared" si="2069"/>
        <v/>
      </c>
      <c r="BW371" s="52" t="str">
        <f t="shared" si="2106"/>
        <v/>
      </c>
      <c r="BX371" s="23">
        <f t="shared" si="2107"/>
        <v>0</v>
      </c>
      <c r="BY371" s="49" t="str">
        <f t="shared" si="2070"/>
        <v/>
      </c>
      <c r="BZ371" s="23">
        <f t="shared" si="2108"/>
        <v>0</v>
      </c>
      <c r="CA371" s="49" t="str">
        <f t="shared" si="2071"/>
        <v/>
      </c>
      <c r="CB371" s="52" t="str">
        <f t="shared" si="2109"/>
        <v/>
      </c>
      <c r="CC371" s="23">
        <f t="shared" si="2110"/>
        <v>0</v>
      </c>
      <c r="CD371" s="49" t="str">
        <f t="shared" si="2072"/>
        <v/>
      </c>
      <c r="CE371" s="56" t="str">
        <f>IF(CF371="","",MAX(CE$10:$CE370)+1)</f>
        <v/>
      </c>
      <c r="CF371" t="str">
        <f t="shared" si="2111"/>
        <v/>
      </c>
      <c r="CG371" s="22" t="str">
        <f>IF(CH371="","",MAX($CG$10:CG370)+1)</f>
        <v/>
      </c>
      <c r="CH371" s="22" t="str">
        <f t="shared" si="2056"/>
        <v/>
      </c>
      <c r="CI371" s="22" t="str">
        <f>IF(CJ371="","",MAX($CI$10:CI370)+1)</f>
        <v/>
      </c>
      <c r="CJ371" s="22" t="str">
        <f t="shared" si="2057"/>
        <v/>
      </c>
    </row>
    <row r="372" spans="2:88" x14ac:dyDescent="0.25">
      <c r="B372" s="37"/>
      <c r="C372" s="3"/>
      <c r="D372" s="77" t="str">
        <f t="shared" si="2043"/>
        <v/>
      </c>
      <c r="E372" s="38"/>
      <c r="F372" s="38"/>
      <c r="G372" s="78">
        <f t="shared" si="2058"/>
        <v>0</v>
      </c>
      <c r="H372" s="3">
        <v>80</v>
      </c>
      <c r="I372" s="77" t="str">
        <f t="shared" si="2044"/>
        <v/>
      </c>
      <c r="J372" s="32"/>
      <c r="K372" s="3"/>
      <c r="L372" s="39"/>
      <c r="M372" s="39"/>
      <c r="N372" s="39"/>
      <c r="O372" s="39"/>
      <c r="P372" s="39"/>
      <c r="Q372" s="39"/>
      <c r="R372" s="39"/>
      <c r="S372" s="39"/>
      <c r="T372" s="3" t="s">
        <v>645</v>
      </c>
      <c r="U372" s="77" t="str">
        <f t="shared" si="2045"/>
        <v/>
      </c>
      <c r="V372" s="39">
        <v>1</v>
      </c>
      <c r="W372" s="79">
        <f t="shared" si="2059"/>
        <v>0</v>
      </c>
      <c r="X372" s="3">
        <v>0</v>
      </c>
      <c r="Y372" s="77" t="str">
        <f t="shared" si="2046"/>
        <v/>
      </c>
      <c r="Z372" s="3"/>
      <c r="AA372" s="37" t="str">
        <f t="shared" si="2060"/>
        <v/>
      </c>
      <c r="AC372" s="40"/>
      <c r="AD372" s="7"/>
      <c r="AE372" s="77" t="str">
        <f t="shared" si="2047"/>
        <v/>
      </c>
      <c r="AF372" s="81">
        <f t="shared" si="2073"/>
        <v>0</v>
      </c>
      <c r="AG372" s="40"/>
      <c r="AH372" s="7"/>
      <c r="AI372" s="77" t="str">
        <f t="shared" si="2048"/>
        <v/>
      </c>
      <c r="AJ372" s="81">
        <f t="shared" si="2074"/>
        <v>0</v>
      </c>
      <c r="AK372" s="83">
        <f t="shared" si="2075"/>
        <v>0</v>
      </c>
      <c r="AL372" s="83">
        <f t="shared" si="2076"/>
        <v>0</v>
      </c>
      <c r="AN372" s="43">
        <f t="shared" si="2049"/>
        <v>0</v>
      </c>
      <c r="AP372" t="str">
        <f t="shared" si="2077"/>
        <v/>
      </c>
      <c r="AQ372" t="str">
        <f t="shared" si="2078"/>
        <v/>
      </c>
      <c r="AR372" t="str">
        <f t="shared" si="2079"/>
        <v/>
      </c>
      <c r="AS372" t="str">
        <f t="shared" si="2080"/>
        <v/>
      </c>
      <c r="AT372" t="str">
        <f t="shared" si="2081"/>
        <v/>
      </c>
      <c r="AU372" t="str">
        <f t="shared" si="2082"/>
        <v/>
      </c>
      <c r="AV372" t="str">
        <f t="shared" si="2083"/>
        <v/>
      </c>
      <c r="AW372" t="str">
        <f t="shared" si="2084"/>
        <v xml:space="preserve">                              </v>
      </c>
      <c r="AX372" s="23">
        <f t="shared" si="2085"/>
        <v>0</v>
      </c>
      <c r="AY372" s="49" t="str">
        <f t="shared" si="2061"/>
        <v>000000000000000</v>
      </c>
      <c r="AZ372" s="23">
        <f t="shared" si="2086"/>
        <v>0</v>
      </c>
      <c r="BA372" s="49" t="str">
        <f t="shared" si="2061"/>
        <v>000000000000000</v>
      </c>
      <c r="BB372" s="23">
        <f t="shared" si="2087"/>
        <v>0</v>
      </c>
      <c r="BC372" s="49" t="str">
        <f t="shared" ref="BC372" si="2334">IF(BB372&lt;0,SUBSTITUTE(TEXT(BB372,"000000000000,00"),",",""),SUBSTITUTE(TEXT(BB372,"0000000000000,00"),",",""))</f>
        <v>000000000000000</v>
      </c>
      <c r="BD372" s="23">
        <f t="shared" si="2089"/>
        <v>0</v>
      </c>
      <c r="BE372" s="49" t="str">
        <f t="shared" ref="BE372" si="2335">IF(BD372&lt;0,SUBSTITUTE(TEXT(BD372,"000000000000,00"),",",""),SUBSTITUTE(TEXT(BD372,"0000000000000,00"),",",""))</f>
        <v>000000000000000</v>
      </c>
      <c r="BF372" s="23">
        <f t="shared" si="2091"/>
        <v>0</v>
      </c>
      <c r="BG372" s="49" t="str">
        <f t="shared" ref="BG372" si="2336">IF(BF372&lt;0,SUBSTITUTE(TEXT(BF372,"000000000000,00"),",",""),SUBSTITUTE(TEXT(BF372,"0000000000000,00"),",",""))</f>
        <v>000000000000000</v>
      </c>
      <c r="BH372" s="23">
        <f t="shared" si="2093"/>
        <v>0</v>
      </c>
      <c r="BI372" s="49" t="str">
        <f t="shared" ref="BI372" si="2337">IF(BH372&lt;0,SUBSTITUTE(TEXT(BH372,"000000000000,00"),",",""),SUBSTITUTE(TEXT(BH372,"0000000000000,00"),",",""))</f>
        <v>000000000000000</v>
      </c>
      <c r="BJ372" s="23">
        <f t="shared" si="2095"/>
        <v>0</v>
      </c>
      <c r="BK372" s="49" t="str">
        <f t="shared" ref="BK372" si="2338">IF(BJ372&lt;0,SUBSTITUTE(TEXT(BJ372,"000000000000,00"),",",""),SUBSTITUTE(TEXT(BJ372,"0000000000000,00"),",",""))</f>
        <v>000000000000000</v>
      </c>
      <c r="BL372" s="23">
        <f t="shared" si="2097"/>
        <v>0</v>
      </c>
      <c r="BM372" s="49" t="str">
        <f t="shared" ref="BM372" si="2339">IF(BL372&lt;0,SUBSTITUTE(TEXT(BL372,"000000000000,00"),",",""),SUBSTITUTE(TEXT(BL372,"0000000000000,00"),",",""))</f>
        <v>000000000000000</v>
      </c>
      <c r="BN372" t="str">
        <f t="shared" si="2099"/>
        <v>PES</v>
      </c>
      <c r="BO372" t="str">
        <f t="shared" si="2100"/>
        <v>0001000000</v>
      </c>
      <c r="BP372">
        <f t="shared" si="2101"/>
        <v>0</v>
      </c>
      <c r="BQ372">
        <f t="shared" si="2102"/>
        <v>0</v>
      </c>
      <c r="BR372" s="23">
        <f t="shared" si="2103"/>
        <v>0</v>
      </c>
      <c r="BS372" s="49" t="str">
        <f t="shared" si="2068"/>
        <v>000000000000000</v>
      </c>
      <c r="BT372" t="str">
        <f t="shared" si="2104"/>
        <v>00000000</v>
      </c>
      <c r="BU372" s="23">
        <f t="shared" si="2105"/>
        <v>0</v>
      </c>
      <c r="BV372" s="49" t="str">
        <f t="shared" si="2069"/>
        <v/>
      </c>
      <c r="BW372" s="52" t="str">
        <f t="shared" si="2106"/>
        <v/>
      </c>
      <c r="BX372" s="23">
        <f t="shared" si="2107"/>
        <v>0</v>
      </c>
      <c r="BY372" s="49" t="str">
        <f t="shared" si="2070"/>
        <v/>
      </c>
      <c r="BZ372" s="23">
        <f t="shared" si="2108"/>
        <v>0</v>
      </c>
      <c r="CA372" s="49" t="str">
        <f t="shared" si="2071"/>
        <v/>
      </c>
      <c r="CB372" s="52" t="str">
        <f t="shared" si="2109"/>
        <v/>
      </c>
      <c r="CC372" s="23">
        <f t="shared" si="2110"/>
        <v>0</v>
      </c>
      <c r="CD372" s="49" t="str">
        <f t="shared" si="2072"/>
        <v/>
      </c>
      <c r="CE372" s="56" t="str">
        <f>IF(CF372="","",MAX(CE$10:$CE371)+1)</f>
        <v/>
      </c>
      <c r="CF372" t="str">
        <f t="shared" si="2111"/>
        <v/>
      </c>
      <c r="CG372" s="22" t="str">
        <f>IF(CH372="","",MAX($CG$10:CG371)+1)</f>
        <v/>
      </c>
      <c r="CH372" s="22" t="str">
        <f t="shared" si="2056"/>
        <v/>
      </c>
      <c r="CI372" s="22" t="str">
        <f>IF(CJ372="","",MAX($CI$10:CI371)+1)</f>
        <v/>
      </c>
      <c r="CJ372" s="22" t="str">
        <f t="shared" si="2057"/>
        <v/>
      </c>
    </row>
    <row r="373" spans="2:88" x14ac:dyDescent="0.25">
      <c r="B373" s="37"/>
      <c r="C373" s="3"/>
      <c r="D373" s="77" t="str">
        <f t="shared" si="2043"/>
        <v/>
      </c>
      <c r="E373" s="38"/>
      <c r="F373" s="38"/>
      <c r="G373" s="78">
        <f t="shared" si="2058"/>
        <v>0</v>
      </c>
      <c r="H373" s="3">
        <v>80</v>
      </c>
      <c r="I373" s="77" t="str">
        <f t="shared" si="2044"/>
        <v/>
      </c>
      <c r="J373" s="32"/>
      <c r="K373" s="3"/>
      <c r="L373" s="39"/>
      <c r="M373" s="39"/>
      <c r="N373" s="39"/>
      <c r="O373" s="39"/>
      <c r="P373" s="39"/>
      <c r="Q373" s="39"/>
      <c r="R373" s="39"/>
      <c r="S373" s="39"/>
      <c r="T373" s="3" t="s">
        <v>645</v>
      </c>
      <c r="U373" s="77" t="str">
        <f t="shared" si="2045"/>
        <v/>
      </c>
      <c r="V373" s="39">
        <v>1</v>
      </c>
      <c r="W373" s="79">
        <f t="shared" si="2059"/>
        <v>0</v>
      </c>
      <c r="X373" s="3">
        <v>0</v>
      </c>
      <c r="Y373" s="77" t="str">
        <f t="shared" si="2046"/>
        <v/>
      </c>
      <c r="Z373" s="3"/>
      <c r="AA373" s="37" t="str">
        <f t="shared" si="2060"/>
        <v/>
      </c>
      <c r="AC373" s="40"/>
      <c r="AD373" s="7"/>
      <c r="AE373" s="77" t="str">
        <f t="shared" si="2047"/>
        <v/>
      </c>
      <c r="AF373" s="81">
        <f t="shared" si="2073"/>
        <v>0</v>
      </c>
      <c r="AG373" s="40"/>
      <c r="AH373" s="7"/>
      <c r="AI373" s="77" t="str">
        <f t="shared" si="2048"/>
        <v/>
      </c>
      <c r="AJ373" s="81">
        <f t="shared" si="2074"/>
        <v>0</v>
      </c>
      <c r="AK373" s="83">
        <f t="shared" si="2075"/>
        <v>0</v>
      </c>
      <c r="AL373" s="83">
        <f t="shared" si="2076"/>
        <v>0</v>
      </c>
      <c r="AN373" s="43">
        <f t="shared" si="2049"/>
        <v>0</v>
      </c>
      <c r="AP373" t="str">
        <f t="shared" si="2077"/>
        <v/>
      </c>
      <c r="AQ373" t="str">
        <f t="shared" si="2078"/>
        <v/>
      </c>
      <c r="AR373" t="str">
        <f t="shared" si="2079"/>
        <v/>
      </c>
      <c r="AS373" t="str">
        <f t="shared" si="2080"/>
        <v/>
      </c>
      <c r="AT373" t="str">
        <f t="shared" si="2081"/>
        <v/>
      </c>
      <c r="AU373" t="str">
        <f t="shared" si="2082"/>
        <v/>
      </c>
      <c r="AV373" t="str">
        <f t="shared" si="2083"/>
        <v/>
      </c>
      <c r="AW373" t="str">
        <f t="shared" si="2084"/>
        <v xml:space="preserve">                              </v>
      </c>
      <c r="AX373" s="23">
        <f t="shared" si="2085"/>
        <v>0</v>
      </c>
      <c r="AY373" s="49" t="str">
        <f t="shared" si="2061"/>
        <v>000000000000000</v>
      </c>
      <c r="AZ373" s="23">
        <f t="shared" si="2086"/>
        <v>0</v>
      </c>
      <c r="BA373" s="49" t="str">
        <f t="shared" si="2061"/>
        <v>000000000000000</v>
      </c>
      <c r="BB373" s="23">
        <f t="shared" si="2087"/>
        <v>0</v>
      </c>
      <c r="BC373" s="49" t="str">
        <f t="shared" ref="BC373" si="2340">IF(BB373&lt;0,SUBSTITUTE(TEXT(BB373,"000000000000,00"),",",""),SUBSTITUTE(TEXT(BB373,"0000000000000,00"),",",""))</f>
        <v>000000000000000</v>
      </c>
      <c r="BD373" s="23">
        <f t="shared" si="2089"/>
        <v>0</v>
      </c>
      <c r="BE373" s="49" t="str">
        <f t="shared" ref="BE373" si="2341">IF(BD373&lt;0,SUBSTITUTE(TEXT(BD373,"000000000000,00"),",",""),SUBSTITUTE(TEXT(BD373,"0000000000000,00"),",",""))</f>
        <v>000000000000000</v>
      </c>
      <c r="BF373" s="23">
        <f t="shared" si="2091"/>
        <v>0</v>
      </c>
      <c r="BG373" s="49" t="str">
        <f t="shared" ref="BG373" si="2342">IF(BF373&lt;0,SUBSTITUTE(TEXT(BF373,"000000000000,00"),",",""),SUBSTITUTE(TEXT(BF373,"0000000000000,00"),",",""))</f>
        <v>000000000000000</v>
      </c>
      <c r="BH373" s="23">
        <f t="shared" si="2093"/>
        <v>0</v>
      </c>
      <c r="BI373" s="49" t="str">
        <f t="shared" ref="BI373" si="2343">IF(BH373&lt;0,SUBSTITUTE(TEXT(BH373,"000000000000,00"),",",""),SUBSTITUTE(TEXT(BH373,"0000000000000,00"),",",""))</f>
        <v>000000000000000</v>
      </c>
      <c r="BJ373" s="23">
        <f t="shared" si="2095"/>
        <v>0</v>
      </c>
      <c r="BK373" s="49" t="str">
        <f t="shared" ref="BK373" si="2344">IF(BJ373&lt;0,SUBSTITUTE(TEXT(BJ373,"000000000000,00"),",",""),SUBSTITUTE(TEXT(BJ373,"0000000000000,00"),",",""))</f>
        <v>000000000000000</v>
      </c>
      <c r="BL373" s="23">
        <f t="shared" si="2097"/>
        <v>0</v>
      </c>
      <c r="BM373" s="49" t="str">
        <f t="shared" ref="BM373" si="2345">IF(BL373&lt;0,SUBSTITUTE(TEXT(BL373,"000000000000,00"),",",""),SUBSTITUTE(TEXT(BL373,"0000000000000,00"),",",""))</f>
        <v>000000000000000</v>
      </c>
      <c r="BN373" t="str">
        <f t="shared" si="2099"/>
        <v>PES</v>
      </c>
      <c r="BO373" t="str">
        <f t="shared" si="2100"/>
        <v>0001000000</v>
      </c>
      <c r="BP373">
        <f t="shared" si="2101"/>
        <v>0</v>
      </c>
      <c r="BQ373">
        <f t="shared" si="2102"/>
        <v>0</v>
      </c>
      <c r="BR373" s="23">
        <f t="shared" si="2103"/>
        <v>0</v>
      </c>
      <c r="BS373" s="49" t="str">
        <f t="shared" si="2068"/>
        <v>000000000000000</v>
      </c>
      <c r="BT373" t="str">
        <f t="shared" si="2104"/>
        <v>00000000</v>
      </c>
      <c r="BU373" s="23">
        <f t="shared" si="2105"/>
        <v>0</v>
      </c>
      <c r="BV373" s="49" t="str">
        <f t="shared" si="2069"/>
        <v/>
      </c>
      <c r="BW373" s="52" t="str">
        <f t="shared" si="2106"/>
        <v/>
      </c>
      <c r="BX373" s="23">
        <f t="shared" si="2107"/>
        <v>0</v>
      </c>
      <c r="BY373" s="49" t="str">
        <f t="shared" si="2070"/>
        <v/>
      </c>
      <c r="BZ373" s="23">
        <f t="shared" si="2108"/>
        <v>0</v>
      </c>
      <c r="CA373" s="49" t="str">
        <f t="shared" si="2071"/>
        <v/>
      </c>
      <c r="CB373" s="52" t="str">
        <f t="shared" si="2109"/>
        <v/>
      </c>
      <c r="CC373" s="23">
        <f t="shared" si="2110"/>
        <v>0</v>
      </c>
      <c r="CD373" s="49" t="str">
        <f t="shared" si="2072"/>
        <v/>
      </c>
      <c r="CE373" s="56" t="str">
        <f>IF(CF373="","",MAX(CE$10:$CE372)+1)</f>
        <v/>
      </c>
      <c r="CF373" t="str">
        <f t="shared" si="2111"/>
        <v/>
      </c>
      <c r="CG373" s="22" t="str">
        <f>IF(CH373="","",MAX($CG$10:CG372)+1)</f>
        <v/>
      </c>
      <c r="CH373" s="22" t="str">
        <f t="shared" si="2056"/>
        <v/>
      </c>
      <c r="CI373" s="22" t="str">
        <f>IF(CJ373="","",MAX($CI$10:CI372)+1)</f>
        <v/>
      </c>
      <c r="CJ373" s="22" t="str">
        <f t="shared" si="2057"/>
        <v/>
      </c>
    </row>
    <row r="374" spans="2:88" x14ac:dyDescent="0.25">
      <c r="B374" s="37"/>
      <c r="C374" s="3"/>
      <c r="D374" s="77" t="str">
        <f t="shared" si="2043"/>
        <v/>
      </c>
      <c r="E374" s="38"/>
      <c r="F374" s="38"/>
      <c r="G374" s="78">
        <f t="shared" si="2058"/>
        <v>0</v>
      </c>
      <c r="H374" s="3">
        <v>80</v>
      </c>
      <c r="I374" s="77" t="str">
        <f t="shared" si="2044"/>
        <v/>
      </c>
      <c r="J374" s="32"/>
      <c r="K374" s="3"/>
      <c r="L374" s="39"/>
      <c r="M374" s="39"/>
      <c r="N374" s="39"/>
      <c r="O374" s="39"/>
      <c r="P374" s="39"/>
      <c r="Q374" s="39"/>
      <c r="R374" s="39"/>
      <c r="S374" s="39"/>
      <c r="T374" s="3" t="s">
        <v>645</v>
      </c>
      <c r="U374" s="77" t="str">
        <f t="shared" si="2045"/>
        <v/>
      </c>
      <c r="V374" s="39">
        <v>1</v>
      </c>
      <c r="W374" s="79">
        <f t="shared" si="2059"/>
        <v>0</v>
      </c>
      <c r="X374" s="3">
        <v>0</v>
      </c>
      <c r="Y374" s="77" t="str">
        <f t="shared" si="2046"/>
        <v/>
      </c>
      <c r="Z374" s="3"/>
      <c r="AA374" s="37" t="str">
        <f t="shared" si="2060"/>
        <v/>
      </c>
      <c r="AC374" s="40"/>
      <c r="AD374" s="7"/>
      <c r="AE374" s="77" t="str">
        <f t="shared" si="2047"/>
        <v/>
      </c>
      <c r="AF374" s="81">
        <f t="shared" si="2073"/>
        <v>0</v>
      </c>
      <c r="AG374" s="40"/>
      <c r="AH374" s="7"/>
      <c r="AI374" s="77" t="str">
        <f t="shared" si="2048"/>
        <v/>
      </c>
      <c r="AJ374" s="81">
        <f t="shared" si="2074"/>
        <v>0</v>
      </c>
      <c r="AK374" s="83">
        <f t="shared" si="2075"/>
        <v>0</v>
      </c>
      <c r="AL374" s="83">
        <f t="shared" si="2076"/>
        <v>0</v>
      </c>
      <c r="AN374" s="43">
        <f t="shared" si="2049"/>
        <v>0</v>
      </c>
      <c r="AP374" t="str">
        <f t="shared" si="2077"/>
        <v/>
      </c>
      <c r="AQ374" t="str">
        <f t="shared" si="2078"/>
        <v/>
      </c>
      <c r="AR374" t="str">
        <f t="shared" si="2079"/>
        <v/>
      </c>
      <c r="AS374" t="str">
        <f t="shared" si="2080"/>
        <v/>
      </c>
      <c r="AT374" t="str">
        <f t="shared" si="2081"/>
        <v/>
      </c>
      <c r="AU374" t="str">
        <f t="shared" si="2082"/>
        <v/>
      </c>
      <c r="AV374" t="str">
        <f t="shared" si="2083"/>
        <v/>
      </c>
      <c r="AW374" t="str">
        <f t="shared" si="2084"/>
        <v xml:space="preserve">                              </v>
      </c>
      <c r="AX374" s="23">
        <f t="shared" si="2085"/>
        <v>0</v>
      </c>
      <c r="AY374" s="49" t="str">
        <f t="shared" si="2061"/>
        <v>000000000000000</v>
      </c>
      <c r="AZ374" s="23">
        <f t="shared" si="2086"/>
        <v>0</v>
      </c>
      <c r="BA374" s="49" t="str">
        <f t="shared" si="2061"/>
        <v>000000000000000</v>
      </c>
      <c r="BB374" s="23">
        <f t="shared" si="2087"/>
        <v>0</v>
      </c>
      <c r="BC374" s="49" t="str">
        <f t="shared" ref="BC374" si="2346">IF(BB374&lt;0,SUBSTITUTE(TEXT(BB374,"000000000000,00"),",",""),SUBSTITUTE(TEXT(BB374,"0000000000000,00"),",",""))</f>
        <v>000000000000000</v>
      </c>
      <c r="BD374" s="23">
        <f t="shared" si="2089"/>
        <v>0</v>
      </c>
      <c r="BE374" s="49" t="str">
        <f t="shared" ref="BE374" si="2347">IF(BD374&lt;0,SUBSTITUTE(TEXT(BD374,"000000000000,00"),",",""),SUBSTITUTE(TEXT(BD374,"0000000000000,00"),",",""))</f>
        <v>000000000000000</v>
      </c>
      <c r="BF374" s="23">
        <f t="shared" si="2091"/>
        <v>0</v>
      </c>
      <c r="BG374" s="49" t="str">
        <f t="shared" ref="BG374" si="2348">IF(BF374&lt;0,SUBSTITUTE(TEXT(BF374,"000000000000,00"),",",""),SUBSTITUTE(TEXT(BF374,"0000000000000,00"),",",""))</f>
        <v>000000000000000</v>
      </c>
      <c r="BH374" s="23">
        <f t="shared" si="2093"/>
        <v>0</v>
      </c>
      <c r="BI374" s="49" t="str">
        <f t="shared" ref="BI374" si="2349">IF(BH374&lt;0,SUBSTITUTE(TEXT(BH374,"000000000000,00"),",",""),SUBSTITUTE(TEXT(BH374,"0000000000000,00"),",",""))</f>
        <v>000000000000000</v>
      </c>
      <c r="BJ374" s="23">
        <f t="shared" si="2095"/>
        <v>0</v>
      </c>
      <c r="BK374" s="49" t="str">
        <f t="shared" ref="BK374" si="2350">IF(BJ374&lt;0,SUBSTITUTE(TEXT(BJ374,"000000000000,00"),",",""),SUBSTITUTE(TEXT(BJ374,"0000000000000,00"),",",""))</f>
        <v>000000000000000</v>
      </c>
      <c r="BL374" s="23">
        <f t="shared" si="2097"/>
        <v>0</v>
      </c>
      <c r="BM374" s="49" t="str">
        <f t="shared" ref="BM374" si="2351">IF(BL374&lt;0,SUBSTITUTE(TEXT(BL374,"000000000000,00"),",",""),SUBSTITUTE(TEXT(BL374,"0000000000000,00"),",",""))</f>
        <v>000000000000000</v>
      </c>
      <c r="BN374" t="str">
        <f t="shared" si="2099"/>
        <v>PES</v>
      </c>
      <c r="BO374" t="str">
        <f t="shared" si="2100"/>
        <v>0001000000</v>
      </c>
      <c r="BP374">
        <f t="shared" si="2101"/>
        <v>0</v>
      </c>
      <c r="BQ374">
        <f t="shared" si="2102"/>
        <v>0</v>
      </c>
      <c r="BR374" s="23">
        <f t="shared" si="2103"/>
        <v>0</v>
      </c>
      <c r="BS374" s="49" t="str">
        <f t="shared" si="2068"/>
        <v>000000000000000</v>
      </c>
      <c r="BT374" t="str">
        <f t="shared" si="2104"/>
        <v>00000000</v>
      </c>
      <c r="BU374" s="23">
        <f t="shared" si="2105"/>
        <v>0</v>
      </c>
      <c r="BV374" s="49" t="str">
        <f t="shared" si="2069"/>
        <v/>
      </c>
      <c r="BW374" s="52" t="str">
        <f t="shared" si="2106"/>
        <v/>
      </c>
      <c r="BX374" s="23">
        <f t="shared" si="2107"/>
        <v>0</v>
      </c>
      <c r="BY374" s="49" t="str">
        <f t="shared" si="2070"/>
        <v/>
      </c>
      <c r="BZ374" s="23">
        <f t="shared" si="2108"/>
        <v>0</v>
      </c>
      <c r="CA374" s="49" t="str">
        <f t="shared" si="2071"/>
        <v/>
      </c>
      <c r="CB374" s="52" t="str">
        <f t="shared" si="2109"/>
        <v/>
      </c>
      <c r="CC374" s="23">
        <f t="shared" si="2110"/>
        <v>0</v>
      </c>
      <c r="CD374" s="49" t="str">
        <f t="shared" si="2072"/>
        <v/>
      </c>
      <c r="CE374" s="56" t="str">
        <f>IF(CF374="","",MAX(CE$10:$CE373)+1)</f>
        <v/>
      </c>
      <c r="CF374" t="str">
        <f t="shared" si="2111"/>
        <v/>
      </c>
      <c r="CG374" s="22" t="str">
        <f>IF(CH374="","",MAX($CG$10:CG373)+1)</f>
        <v/>
      </c>
      <c r="CH374" s="22" t="str">
        <f t="shared" si="2056"/>
        <v/>
      </c>
      <c r="CI374" s="22" t="str">
        <f>IF(CJ374="","",MAX($CI$10:CI373)+1)</f>
        <v/>
      </c>
      <c r="CJ374" s="22" t="str">
        <f t="shared" si="2057"/>
        <v/>
      </c>
    </row>
    <row r="375" spans="2:88" x14ac:dyDescent="0.25">
      <c r="B375" s="37"/>
      <c r="C375" s="3"/>
      <c r="D375" s="77" t="str">
        <f t="shared" si="2043"/>
        <v/>
      </c>
      <c r="E375" s="38"/>
      <c r="F375" s="38"/>
      <c r="G375" s="78">
        <f t="shared" si="2058"/>
        <v>0</v>
      </c>
      <c r="H375" s="3">
        <v>80</v>
      </c>
      <c r="I375" s="77" t="str">
        <f t="shared" si="2044"/>
        <v/>
      </c>
      <c r="J375" s="32"/>
      <c r="K375" s="3"/>
      <c r="L375" s="39"/>
      <c r="M375" s="39"/>
      <c r="N375" s="39"/>
      <c r="O375" s="39"/>
      <c r="P375" s="39"/>
      <c r="Q375" s="39"/>
      <c r="R375" s="39"/>
      <c r="S375" s="39"/>
      <c r="T375" s="3" t="s">
        <v>645</v>
      </c>
      <c r="U375" s="77" t="str">
        <f t="shared" si="2045"/>
        <v/>
      </c>
      <c r="V375" s="39">
        <v>1</v>
      </c>
      <c r="W375" s="79">
        <f t="shared" si="2059"/>
        <v>0</v>
      </c>
      <c r="X375" s="3">
        <v>0</v>
      </c>
      <c r="Y375" s="77" t="str">
        <f t="shared" si="2046"/>
        <v/>
      </c>
      <c r="Z375" s="3"/>
      <c r="AA375" s="37" t="str">
        <f t="shared" si="2060"/>
        <v/>
      </c>
      <c r="AC375" s="40"/>
      <c r="AD375" s="7"/>
      <c r="AE375" s="77" t="str">
        <f t="shared" si="2047"/>
        <v/>
      </c>
      <c r="AF375" s="81">
        <f t="shared" si="2073"/>
        <v>0</v>
      </c>
      <c r="AG375" s="40"/>
      <c r="AH375" s="7"/>
      <c r="AI375" s="77" t="str">
        <f t="shared" si="2048"/>
        <v/>
      </c>
      <c r="AJ375" s="81">
        <f t="shared" si="2074"/>
        <v>0</v>
      </c>
      <c r="AK375" s="83">
        <f t="shared" si="2075"/>
        <v>0</v>
      </c>
      <c r="AL375" s="83">
        <f t="shared" si="2076"/>
        <v>0</v>
      </c>
      <c r="AN375" s="43">
        <f t="shared" si="2049"/>
        <v>0</v>
      </c>
      <c r="AP375" t="str">
        <f t="shared" si="2077"/>
        <v/>
      </c>
      <c r="AQ375" t="str">
        <f t="shared" si="2078"/>
        <v/>
      </c>
      <c r="AR375" t="str">
        <f t="shared" si="2079"/>
        <v/>
      </c>
      <c r="AS375" t="str">
        <f t="shared" si="2080"/>
        <v/>
      </c>
      <c r="AT375" t="str">
        <f t="shared" si="2081"/>
        <v/>
      </c>
      <c r="AU375" t="str">
        <f t="shared" si="2082"/>
        <v/>
      </c>
      <c r="AV375" t="str">
        <f t="shared" si="2083"/>
        <v/>
      </c>
      <c r="AW375" t="str">
        <f t="shared" si="2084"/>
        <v xml:space="preserve">                              </v>
      </c>
      <c r="AX375" s="23">
        <f t="shared" si="2085"/>
        <v>0</v>
      </c>
      <c r="AY375" s="49" t="str">
        <f t="shared" si="2061"/>
        <v>000000000000000</v>
      </c>
      <c r="AZ375" s="23">
        <f t="shared" si="2086"/>
        <v>0</v>
      </c>
      <c r="BA375" s="49" t="str">
        <f t="shared" si="2061"/>
        <v>000000000000000</v>
      </c>
      <c r="BB375" s="23">
        <f t="shared" si="2087"/>
        <v>0</v>
      </c>
      <c r="BC375" s="49" t="str">
        <f t="shared" ref="BC375" si="2352">IF(BB375&lt;0,SUBSTITUTE(TEXT(BB375,"000000000000,00"),",",""),SUBSTITUTE(TEXT(BB375,"0000000000000,00"),",",""))</f>
        <v>000000000000000</v>
      </c>
      <c r="BD375" s="23">
        <f t="shared" si="2089"/>
        <v>0</v>
      </c>
      <c r="BE375" s="49" t="str">
        <f t="shared" ref="BE375" si="2353">IF(BD375&lt;0,SUBSTITUTE(TEXT(BD375,"000000000000,00"),",",""),SUBSTITUTE(TEXT(BD375,"0000000000000,00"),",",""))</f>
        <v>000000000000000</v>
      </c>
      <c r="BF375" s="23">
        <f t="shared" si="2091"/>
        <v>0</v>
      </c>
      <c r="BG375" s="49" t="str">
        <f t="shared" ref="BG375" si="2354">IF(BF375&lt;0,SUBSTITUTE(TEXT(BF375,"000000000000,00"),",",""),SUBSTITUTE(TEXT(BF375,"0000000000000,00"),",",""))</f>
        <v>000000000000000</v>
      </c>
      <c r="BH375" s="23">
        <f t="shared" si="2093"/>
        <v>0</v>
      </c>
      <c r="BI375" s="49" t="str">
        <f t="shared" ref="BI375" si="2355">IF(BH375&lt;0,SUBSTITUTE(TEXT(BH375,"000000000000,00"),",",""),SUBSTITUTE(TEXT(BH375,"0000000000000,00"),",",""))</f>
        <v>000000000000000</v>
      </c>
      <c r="BJ375" s="23">
        <f t="shared" si="2095"/>
        <v>0</v>
      </c>
      <c r="BK375" s="49" t="str">
        <f t="shared" ref="BK375" si="2356">IF(BJ375&lt;0,SUBSTITUTE(TEXT(BJ375,"000000000000,00"),",",""),SUBSTITUTE(TEXT(BJ375,"0000000000000,00"),",",""))</f>
        <v>000000000000000</v>
      </c>
      <c r="BL375" s="23">
        <f t="shared" si="2097"/>
        <v>0</v>
      </c>
      <c r="BM375" s="49" t="str">
        <f t="shared" ref="BM375" si="2357">IF(BL375&lt;0,SUBSTITUTE(TEXT(BL375,"000000000000,00"),",",""),SUBSTITUTE(TEXT(BL375,"0000000000000,00"),",",""))</f>
        <v>000000000000000</v>
      </c>
      <c r="BN375" t="str">
        <f t="shared" si="2099"/>
        <v>PES</v>
      </c>
      <c r="BO375" t="str">
        <f t="shared" si="2100"/>
        <v>0001000000</v>
      </c>
      <c r="BP375">
        <f t="shared" si="2101"/>
        <v>0</v>
      </c>
      <c r="BQ375">
        <f t="shared" si="2102"/>
        <v>0</v>
      </c>
      <c r="BR375" s="23">
        <f t="shared" si="2103"/>
        <v>0</v>
      </c>
      <c r="BS375" s="49" t="str">
        <f t="shared" si="2068"/>
        <v>000000000000000</v>
      </c>
      <c r="BT375" t="str">
        <f t="shared" si="2104"/>
        <v>00000000</v>
      </c>
      <c r="BU375" s="23">
        <f t="shared" si="2105"/>
        <v>0</v>
      </c>
      <c r="BV375" s="49" t="str">
        <f t="shared" si="2069"/>
        <v/>
      </c>
      <c r="BW375" s="52" t="str">
        <f t="shared" si="2106"/>
        <v/>
      </c>
      <c r="BX375" s="23">
        <f t="shared" si="2107"/>
        <v>0</v>
      </c>
      <c r="BY375" s="49" t="str">
        <f t="shared" si="2070"/>
        <v/>
      </c>
      <c r="BZ375" s="23">
        <f t="shared" si="2108"/>
        <v>0</v>
      </c>
      <c r="CA375" s="49" t="str">
        <f t="shared" si="2071"/>
        <v/>
      </c>
      <c r="CB375" s="52" t="str">
        <f t="shared" si="2109"/>
        <v/>
      </c>
      <c r="CC375" s="23">
        <f t="shared" si="2110"/>
        <v>0</v>
      </c>
      <c r="CD375" s="49" t="str">
        <f t="shared" si="2072"/>
        <v/>
      </c>
      <c r="CE375" s="56" t="str">
        <f>IF(CF375="","",MAX(CE$10:$CE374)+1)</f>
        <v/>
      </c>
      <c r="CF375" t="str">
        <f t="shared" si="2111"/>
        <v/>
      </c>
      <c r="CG375" s="22" t="str">
        <f>IF(CH375="","",MAX($CG$10:CG374)+1)</f>
        <v/>
      </c>
      <c r="CH375" s="22" t="str">
        <f t="shared" si="2056"/>
        <v/>
      </c>
      <c r="CI375" s="22" t="str">
        <f>IF(CJ375="","",MAX($CI$10:CI374)+1)</f>
        <v/>
      </c>
      <c r="CJ375" s="22" t="str">
        <f t="shared" si="2057"/>
        <v/>
      </c>
    </row>
    <row r="376" spans="2:88" x14ac:dyDescent="0.25">
      <c r="B376" s="37"/>
      <c r="C376" s="3"/>
      <c r="D376" s="77" t="str">
        <f t="shared" si="2043"/>
        <v/>
      </c>
      <c r="E376" s="38"/>
      <c r="F376" s="38"/>
      <c r="G376" s="78">
        <f t="shared" si="2058"/>
        <v>0</v>
      </c>
      <c r="H376" s="3">
        <v>80</v>
      </c>
      <c r="I376" s="77" t="str">
        <f t="shared" si="2044"/>
        <v/>
      </c>
      <c r="J376" s="32"/>
      <c r="K376" s="3"/>
      <c r="L376" s="39"/>
      <c r="M376" s="39"/>
      <c r="N376" s="39"/>
      <c r="O376" s="39"/>
      <c r="P376" s="39"/>
      <c r="Q376" s="39"/>
      <c r="R376" s="39"/>
      <c r="S376" s="39"/>
      <c r="T376" s="3" t="s">
        <v>645</v>
      </c>
      <c r="U376" s="77" t="str">
        <f t="shared" si="2045"/>
        <v/>
      </c>
      <c r="V376" s="39">
        <v>1</v>
      </c>
      <c r="W376" s="79">
        <f t="shared" si="2059"/>
        <v>0</v>
      </c>
      <c r="X376" s="3">
        <v>0</v>
      </c>
      <c r="Y376" s="77" t="str">
        <f t="shared" si="2046"/>
        <v/>
      </c>
      <c r="Z376" s="3"/>
      <c r="AA376" s="37" t="str">
        <f t="shared" si="2060"/>
        <v/>
      </c>
      <c r="AC376" s="40"/>
      <c r="AD376" s="7"/>
      <c r="AE376" s="77" t="str">
        <f t="shared" si="2047"/>
        <v/>
      </c>
      <c r="AF376" s="81">
        <f t="shared" si="2073"/>
        <v>0</v>
      </c>
      <c r="AG376" s="40"/>
      <c r="AH376" s="7"/>
      <c r="AI376" s="77" t="str">
        <f t="shared" si="2048"/>
        <v/>
      </c>
      <c r="AJ376" s="81">
        <f t="shared" si="2074"/>
        <v>0</v>
      </c>
      <c r="AK376" s="83">
        <f t="shared" si="2075"/>
        <v>0</v>
      </c>
      <c r="AL376" s="83">
        <f t="shared" si="2076"/>
        <v>0</v>
      </c>
      <c r="AN376" s="43">
        <f t="shared" si="2049"/>
        <v>0</v>
      </c>
      <c r="AP376" t="str">
        <f t="shared" si="2077"/>
        <v/>
      </c>
      <c r="AQ376" t="str">
        <f t="shared" si="2078"/>
        <v/>
      </c>
      <c r="AR376" t="str">
        <f t="shared" si="2079"/>
        <v/>
      </c>
      <c r="AS376" t="str">
        <f t="shared" si="2080"/>
        <v/>
      </c>
      <c r="AT376" t="str">
        <f t="shared" si="2081"/>
        <v/>
      </c>
      <c r="AU376" t="str">
        <f t="shared" si="2082"/>
        <v/>
      </c>
      <c r="AV376" t="str">
        <f t="shared" si="2083"/>
        <v/>
      </c>
      <c r="AW376" t="str">
        <f t="shared" si="2084"/>
        <v xml:space="preserve">                              </v>
      </c>
      <c r="AX376" s="23">
        <f t="shared" si="2085"/>
        <v>0</v>
      </c>
      <c r="AY376" s="49" t="str">
        <f t="shared" si="2061"/>
        <v>000000000000000</v>
      </c>
      <c r="AZ376" s="23">
        <f t="shared" si="2086"/>
        <v>0</v>
      </c>
      <c r="BA376" s="49" t="str">
        <f t="shared" si="2061"/>
        <v>000000000000000</v>
      </c>
      <c r="BB376" s="23">
        <f t="shared" si="2087"/>
        <v>0</v>
      </c>
      <c r="BC376" s="49" t="str">
        <f t="shared" ref="BC376" si="2358">IF(BB376&lt;0,SUBSTITUTE(TEXT(BB376,"000000000000,00"),",",""),SUBSTITUTE(TEXT(BB376,"0000000000000,00"),",",""))</f>
        <v>000000000000000</v>
      </c>
      <c r="BD376" s="23">
        <f t="shared" si="2089"/>
        <v>0</v>
      </c>
      <c r="BE376" s="49" t="str">
        <f t="shared" ref="BE376" si="2359">IF(BD376&lt;0,SUBSTITUTE(TEXT(BD376,"000000000000,00"),",",""),SUBSTITUTE(TEXT(BD376,"0000000000000,00"),",",""))</f>
        <v>000000000000000</v>
      </c>
      <c r="BF376" s="23">
        <f t="shared" si="2091"/>
        <v>0</v>
      </c>
      <c r="BG376" s="49" t="str">
        <f t="shared" ref="BG376" si="2360">IF(BF376&lt;0,SUBSTITUTE(TEXT(BF376,"000000000000,00"),",",""),SUBSTITUTE(TEXT(BF376,"0000000000000,00"),",",""))</f>
        <v>000000000000000</v>
      </c>
      <c r="BH376" s="23">
        <f t="shared" si="2093"/>
        <v>0</v>
      </c>
      <c r="BI376" s="49" t="str">
        <f t="shared" ref="BI376" si="2361">IF(BH376&lt;0,SUBSTITUTE(TEXT(BH376,"000000000000,00"),",",""),SUBSTITUTE(TEXT(BH376,"0000000000000,00"),",",""))</f>
        <v>000000000000000</v>
      </c>
      <c r="BJ376" s="23">
        <f t="shared" si="2095"/>
        <v>0</v>
      </c>
      <c r="BK376" s="49" t="str">
        <f t="shared" ref="BK376" si="2362">IF(BJ376&lt;0,SUBSTITUTE(TEXT(BJ376,"000000000000,00"),",",""),SUBSTITUTE(TEXT(BJ376,"0000000000000,00"),",",""))</f>
        <v>000000000000000</v>
      </c>
      <c r="BL376" s="23">
        <f t="shared" si="2097"/>
        <v>0</v>
      </c>
      <c r="BM376" s="49" t="str">
        <f t="shared" ref="BM376" si="2363">IF(BL376&lt;0,SUBSTITUTE(TEXT(BL376,"000000000000,00"),",",""),SUBSTITUTE(TEXT(BL376,"0000000000000,00"),",",""))</f>
        <v>000000000000000</v>
      </c>
      <c r="BN376" t="str">
        <f t="shared" si="2099"/>
        <v>PES</v>
      </c>
      <c r="BO376" t="str">
        <f t="shared" si="2100"/>
        <v>0001000000</v>
      </c>
      <c r="BP376">
        <f t="shared" si="2101"/>
        <v>0</v>
      </c>
      <c r="BQ376">
        <f t="shared" si="2102"/>
        <v>0</v>
      </c>
      <c r="BR376" s="23">
        <f t="shared" si="2103"/>
        <v>0</v>
      </c>
      <c r="BS376" s="49" t="str">
        <f t="shared" si="2068"/>
        <v>000000000000000</v>
      </c>
      <c r="BT376" t="str">
        <f t="shared" si="2104"/>
        <v>00000000</v>
      </c>
      <c r="BU376" s="23">
        <f t="shared" si="2105"/>
        <v>0</v>
      </c>
      <c r="BV376" s="49" t="str">
        <f t="shared" si="2069"/>
        <v/>
      </c>
      <c r="BW376" s="52" t="str">
        <f t="shared" si="2106"/>
        <v/>
      </c>
      <c r="BX376" s="23">
        <f t="shared" si="2107"/>
        <v>0</v>
      </c>
      <c r="BY376" s="49" t="str">
        <f t="shared" si="2070"/>
        <v/>
      </c>
      <c r="BZ376" s="23">
        <f t="shared" si="2108"/>
        <v>0</v>
      </c>
      <c r="CA376" s="49" t="str">
        <f t="shared" si="2071"/>
        <v/>
      </c>
      <c r="CB376" s="52" t="str">
        <f t="shared" si="2109"/>
        <v/>
      </c>
      <c r="CC376" s="23">
        <f t="shared" si="2110"/>
        <v>0</v>
      </c>
      <c r="CD376" s="49" t="str">
        <f t="shared" si="2072"/>
        <v/>
      </c>
      <c r="CE376" s="56" t="str">
        <f>IF(CF376="","",MAX(CE$10:$CE375)+1)</f>
        <v/>
      </c>
      <c r="CF376" t="str">
        <f t="shared" si="2111"/>
        <v/>
      </c>
      <c r="CG376" s="22" t="str">
        <f>IF(CH376="","",MAX($CG$10:CG375)+1)</f>
        <v/>
      </c>
      <c r="CH376" s="22" t="str">
        <f t="shared" si="2056"/>
        <v/>
      </c>
      <c r="CI376" s="22" t="str">
        <f>IF(CJ376="","",MAX($CI$10:CI375)+1)</f>
        <v/>
      </c>
      <c r="CJ376" s="22" t="str">
        <f t="shared" si="2057"/>
        <v/>
      </c>
    </row>
    <row r="377" spans="2:88" x14ac:dyDescent="0.25">
      <c r="B377" s="37"/>
      <c r="C377" s="3"/>
      <c r="D377" s="77" t="str">
        <f t="shared" si="2043"/>
        <v/>
      </c>
      <c r="E377" s="38"/>
      <c r="F377" s="38"/>
      <c r="G377" s="78">
        <f t="shared" si="2058"/>
        <v>0</v>
      </c>
      <c r="H377" s="3">
        <v>80</v>
      </c>
      <c r="I377" s="77" t="str">
        <f t="shared" si="2044"/>
        <v/>
      </c>
      <c r="J377" s="32"/>
      <c r="K377" s="3"/>
      <c r="L377" s="39"/>
      <c r="M377" s="39"/>
      <c r="N377" s="39"/>
      <c r="O377" s="39"/>
      <c r="P377" s="39"/>
      <c r="Q377" s="39"/>
      <c r="R377" s="39"/>
      <c r="S377" s="39"/>
      <c r="T377" s="3" t="s">
        <v>645</v>
      </c>
      <c r="U377" s="77" t="str">
        <f t="shared" si="2045"/>
        <v/>
      </c>
      <c r="V377" s="39">
        <v>1</v>
      </c>
      <c r="W377" s="79">
        <f t="shared" si="2059"/>
        <v>0</v>
      </c>
      <c r="X377" s="3">
        <v>0</v>
      </c>
      <c r="Y377" s="77" t="str">
        <f t="shared" si="2046"/>
        <v/>
      </c>
      <c r="Z377" s="3"/>
      <c r="AA377" s="37" t="str">
        <f t="shared" si="2060"/>
        <v/>
      </c>
      <c r="AC377" s="40"/>
      <c r="AD377" s="7"/>
      <c r="AE377" s="77" t="str">
        <f t="shared" si="2047"/>
        <v/>
      </c>
      <c r="AF377" s="81">
        <f t="shared" si="2073"/>
        <v>0</v>
      </c>
      <c r="AG377" s="40"/>
      <c r="AH377" s="7"/>
      <c r="AI377" s="77" t="str">
        <f t="shared" si="2048"/>
        <v/>
      </c>
      <c r="AJ377" s="81">
        <f t="shared" si="2074"/>
        <v>0</v>
      </c>
      <c r="AK377" s="83">
        <f t="shared" si="2075"/>
        <v>0</v>
      </c>
      <c r="AL377" s="83">
        <f t="shared" si="2076"/>
        <v>0</v>
      </c>
      <c r="AN377" s="43">
        <f t="shared" si="2049"/>
        <v>0</v>
      </c>
      <c r="AP377" t="str">
        <f t="shared" si="2077"/>
        <v/>
      </c>
      <c r="AQ377" t="str">
        <f t="shared" si="2078"/>
        <v/>
      </c>
      <c r="AR377" t="str">
        <f t="shared" si="2079"/>
        <v/>
      </c>
      <c r="AS377" t="str">
        <f t="shared" si="2080"/>
        <v/>
      </c>
      <c r="AT377" t="str">
        <f t="shared" si="2081"/>
        <v/>
      </c>
      <c r="AU377" t="str">
        <f t="shared" si="2082"/>
        <v/>
      </c>
      <c r="AV377" t="str">
        <f t="shared" si="2083"/>
        <v/>
      </c>
      <c r="AW377" t="str">
        <f t="shared" si="2084"/>
        <v xml:space="preserve">                              </v>
      </c>
      <c r="AX377" s="23">
        <f t="shared" si="2085"/>
        <v>0</v>
      </c>
      <c r="AY377" s="49" t="str">
        <f t="shared" si="2061"/>
        <v>000000000000000</v>
      </c>
      <c r="AZ377" s="23">
        <f t="shared" si="2086"/>
        <v>0</v>
      </c>
      <c r="BA377" s="49" t="str">
        <f t="shared" si="2061"/>
        <v>000000000000000</v>
      </c>
      <c r="BB377" s="23">
        <f t="shared" si="2087"/>
        <v>0</v>
      </c>
      <c r="BC377" s="49" t="str">
        <f t="shared" ref="BC377" si="2364">IF(BB377&lt;0,SUBSTITUTE(TEXT(BB377,"000000000000,00"),",",""),SUBSTITUTE(TEXT(BB377,"0000000000000,00"),",",""))</f>
        <v>000000000000000</v>
      </c>
      <c r="BD377" s="23">
        <f t="shared" si="2089"/>
        <v>0</v>
      </c>
      <c r="BE377" s="49" t="str">
        <f t="shared" ref="BE377" si="2365">IF(BD377&lt;0,SUBSTITUTE(TEXT(BD377,"000000000000,00"),",",""),SUBSTITUTE(TEXT(BD377,"0000000000000,00"),",",""))</f>
        <v>000000000000000</v>
      </c>
      <c r="BF377" s="23">
        <f t="shared" si="2091"/>
        <v>0</v>
      </c>
      <c r="BG377" s="49" t="str">
        <f t="shared" ref="BG377" si="2366">IF(BF377&lt;0,SUBSTITUTE(TEXT(BF377,"000000000000,00"),",",""),SUBSTITUTE(TEXT(BF377,"0000000000000,00"),",",""))</f>
        <v>000000000000000</v>
      </c>
      <c r="BH377" s="23">
        <f t="shared" si="2093"/>
        <v>0</v>
      </c>
      <c r="BI377" s="49" t="str">
        <f t="shared" ref="BI377" si="2367">IF(BH377&lt;0,SUBSTITUTE(TEXT(BH377,"000000000000,00"),",",""),SUBSTITUTE(TEXT(BH377,"0000000000000,00"),",",""))</f>
        <v>000000000000000</v>
      </c>
      <c r="BJ377" s="23">
        <f t="shared" si="2095"/>
        <v>0</v>
      </c>
      <c r="BK377" s="49" t="str">
        <f t="shared" ref="BK377" si="2368">IF(BJ377&lt;0,SUBSTITUTE(TEXT(BJ377,"000000000000,00"),",",""),SUBSTITUTE(TEXT(BJ377,"0000000000000,00"),",",""))</f>
        <v>000000000000000</v>
      </c>
      <c r="BL377" s="23">
        <f t="shared" si="2097"/>
        <v>0</v>
      </c>
      <c r="BM377" s="49" t="str">
        <f t="shared" ref="BM377" si="2369">IF(BL377&lt;0,SUBSTITUTE(TEXT(BL377,"000000000000,00"),",",""),SUBSTITUTE(TEXT(BL377,"0000000000000,00"),",",""))</f>
        <v>000000000000000</v>
      </c>
      <c r="BN377" t="str">
        <f t="shared" si="2099"/>
        <v>PES</v>
      </c>
      <c r="BO377" t="str">
        <f t="shared" si="2100"/>
        <v>0001000000</v>
      </c>
      <c r="BP377">
        <f t="shared" si="2101"/>
        <v>0</v>
      </c>
      <c r="BQ377">
        <f t="shared" si="2102"/>
        <v>0</v>
      </c>
      <c r="BR377" s="23">
        <f t="shared" si="2103"/>
        <v>0</v>
      </c>
      <c r="BS377" s="49" t="str">
        <f t="shared" si="2068"/>
        <v>000000000000000</v>
      </c>
      <c r="BT377" t="str">
        <f t="shared" si="2104"/>
        <v>00000000</v>
      </c>
      <c r="BU377" s="23">
        <f t="shared" si="2105"/>
        <v>0</v>
      </c>
      <c r="BV377" s="49" t="str">
        <f t="shared" si="2069"/>
        <v/>
      </c>
      <c r="BW377" s="52" t="str">
        <f t="shared" si="2106"/>
        <v/>
      </c>
      <c r="BX377" s="23">
        <f t="shared" si="2107"/>
        <v>0</v>
      </c>
      <c r="BY377" s="49" t="str">
        <f t="shared" si="2070"/>
        <v/>
      </c>
      <c r="BZ377" s="23">
        <f t="shared" si="2108"/>
        <v>0</v>
      </c>
      <c r="CA377" s="49" t="str">
        <f t="shared" si="2071"/>
        <v/>
      </c>
      <c r="CB377" s="52" t="str">
        <f t="shared" si="2109"/>
        <v/>
      </c>
      <c r="CC377" s="23">
        <f t="shared" si="2110"/>
        <v>0</v>
      </c>
      <c r="CD377" s="49" t="str">
        <f t="shared" si="2072"/>
        <v/>
      </c>
      <c r="CE377" s="56" t="str">
        <f>IF(CF377="","",MAX(CE$10:$CE376)+1)</f>
        <v/>
      </c>
      <c r="CF377" t="str">
        <f t="shared" si="2111"/>
        <v/>
      </c>
      <c r="CG377" s="22" t="str">
        <f>IF(CH377="","",MAX($CG$10:CG376)+1)</f>
        <v/>
      </c>
      <c r="CH377" s="22" t="str">
        <f t="shared" si="2056"/>
        <v/>
      </c>
      <c r="CI377" s="22" t="str">
        <f>IF(CJ377="","",MAX($CI$10:CI376)+1)</f>
        <v/>
      </c>
      <c r="CJ377" s="22" t="str">
        <f t="shared" si="2057"/>
        <v/>
      </c>
    </row>
    <row r="378" spans="2:88" x14ac:dyDescent="0.25">
      <c r="B378" s="37"/>
      <c r="C378" s="3"/>
      <c r="D378" s="77" t="str">
        <f t="shared" si="2043"/>
        <v/>
      </c>
      <c r="E378" s="38"/>
      <c r="F378" s="38"/>
      <c r="G378" s="78">
        <f t="shared" si="2058"/>
        <v>0</v>
      </c>
      <c r="H378" s="3">
        <v>80</v>
      </c>
      <c r="I378" s="77" t="str">
        <f t="shared" si="2044"/>
        <v/>
      </c>
      <c r="J378" s="32"/>
      <c r="K378" s="3"/>
      <c r="L378" s="39"/>
      <c r="M378" s="39"/>
      <c r="N378" s="39"/>
      <c r="O378" s="39"/>
      <c r="P378" s="39"/>
      <c r="Q378" s="39"/>
      <c r="R378" s="39"/>
      <c r="S378" s="39"/>
      <c r="T378" s="3" t="s">
        <v>645</v>
      </c>
      <c r="U378" s="77" t="str">
        <f t="shared" si="2045"/>
        <v/>
      </c>
      <c r="V378" s="39">
        <v>1</v>
      </c>
      <c r="W378" s="79">
        <f t="shared" si="2059"/>
        <v>0</v>
      </c>
      <c r="X378" s="3">
        <v>0</v>
      </c>
      <c r="Y378" s="77" t="str">
        <f t="shared" si="2046"/>
        <v/>
      </c>
      <c r="Z378" s="3"/>
      <c r="AA378" s="37" t="str">
        <f t="shared" si="2060"/>
        <v/>
      </c>
      <c r="AC378" s="40"/>
      <c r="AD378" s="7"/>
      <c r="AE378" s="77" t="str">
        <f t="shared" si="2047"/>
        <v/>
      </c>
      <c r="AF378" s="81">
        <f t="shared" si="2073"/>
        <v>0</v>
      </c>
      <c r="AG378" s="40"/>
      <c r="AH378" s="7"/>
      <c r="AI378" s="77" t="str">
        <f t="shared" si="2048"/>
        <v/>
      </c>
      <c r="AJ378" s="81">
        <f t="shared" si="2074"/>
        <v>0</v>
      </c>
      <c r="AK378" s="83">
        <f t="shared" si="2075"/>
        <v>0</v>
      </c>
      <c r="AL378" s="83">
        <f t="shared" si="2076"/>
        <v>0</v>
      </c>
      <c r="AN378" s="43">
        <f t="shared" si="2049"/>
        <v>0</v>
      </c>
      <c r="AP378" t="str">
        <f t="shared" si="2077"/>
        <v/>
      </c>
      <c r="AQ378" t="str">
        <f t="shared" si="2078"/>
        <v/>
      </c>
      <c r="AR378" t="str">
        <f t="shared" si="2079"/>
        <v/>
      </c>
      <c r="AS378" t="str">
        <f t="shared" si="2080"/>
        <v/>
      </c>
      <c r="AT378" t="str">
        <f t="shared" si="2081"/>
        <v/>
      </c>
      <c r="AU378" t="str">
        <f t="shared" si="2082"/>
        <v/>
      </c>
      <c r="AV378" t="str">
        <f t="shared" si="2083"/>
        <v/>
      </c>
      <c r="AW378" t="str">
        <f t="shared" si="2084"/>
        <v xml:space="preserve">                              </v>
      </c>
      <c r="AX378" s="23">
        <f t="shared" si="2085"/>
        <v>0</v>
      </c>
      <c r="AY378" s="49" t="str">
        <f t="shared" si="2061"/>
        <v>000000000000000</v>
      </c>
      <c r="AZ378" s="23">
        <f t="shared" si="2086"/>
        <v>0</v>
      </c>
      <c r="BA378" s="49" t="str">
        <f t="shared" si="2061"/>
        <v>000000000000000</v>
      </c>
      <c r="BB378" s="23">
        <f t="shared" si="2087"/>
        <v>0</v>
      </c>
      <c r="BC378" s="49" t="str">
        <f t="shared" ref="BC378" si="2370">IF(BB378&lt;0,SUBSTITUTE(TEXT(BB378,"000000000000,00"),",",""),SUBSTITUTE(TEXT(BB378,"0000000000000,00"),",",""))</f>
        <v>000000000000000</v>
      </c>
      <c r="BD378" s="23">
        <f t="shared" si="2089"/>
        <v>0</v>
      </c>
      <c r="BE378" s="49" t="str">
        <f t="shared" ref="BE378" si="2371">IF(BD378&lt;0,SUBSTITUTE(TEXT(BD378,"000000000000,00"),",",""),SUBSTITUTE(TEXT(BD378,"0000000000000,00"),",",""))</f>
        <v>000000000000000</v>
      </c>
      <c r="BF378" s="23">
        <f t="shared" si="2091"/>
        <v>0</v>
      </c>
      <c r="BG378" s="49" t="str">
        <f t="shared" ref="BG378" si="2372">IF(BF378&lt;0,SUBSTITUTE(TEXT(BF378,"000000000000,00"),",",""),SUBSTITUTE(TEXT(BF378,"0000000000000,00"),",",""))</f>
        <v>000000000000000</v>
      </c>
      <c r="BH378" s="23">
        <f t="shared" si="2093"/>
        <v>0</v>
      </c>
      <c r="BI378" s="49" t="str">
        <f t="shared" ref="BI378" si="2373">IF(BH378&lt;0,SUBSTITUTE(TEXT(BH378,"000000000000,00"),",",""),SUBSTITUTE(TEXT(BH378,"0000000000000,00"),",",""))</f>
        <v>000000000000000</v>
      </c>
      <c r="BJ378" s="23">
        <f t="shared" si="2095"/>
        <v>0</v>
      </c>
      <c r="BK378" s="49" t="str">
        <f t="shared" ref="BK378" si="2374">IF(BJ378&lt;0,SUBSTITUTE(TEXT(BJ378,"000000000000,00"),",",""),SUBSTITUTE(TEXT(BJ378,"0000000000000,00"),",",""))</f>
        <v>000000000000000</v>
      </c>
      <c r="BL378" s="23">
        <f t="shared" si="2097"/>
        <v>0</v>
      </c>
      <c r="BM378" s="49" t="str">
        <f t="shared" ref="BM378" si="2375">IF(BL378&lt;0,SUBSTITUTE(TEXT(BL378,"000000000000,00"),",",""),SUBSTITUTE(TEXT(BL378,"0000000000000,00"),",",""))</f>
        <v>000000000000000</v>
      </c>
      <c r="BN378" t="str">
        <f t="shared" si="2099"/>
        <v>PES</v>
      </c>
      <c r="BO378" t="str">
        <f t="shared" si="2100"/>
        <v>0001000000</v>
      </c>
      <c r="BP378">
        <f t="shared" si="2101"/>
        <v>0</v>
      </c>
      <c r="BQ378">
        <f t="shared" si="2102"/>
        <v>0</v>
      </c>
      <c r="BR378" s="23">
        <f t="shared" si="2103"/>
        <v>0</v>
      </c>
      <c r="BS378" s="49" t="str">
        <f t="shared" si="2068"/>
        <v>000000000000000</v>
      </c>
      <c r="BT378" t="str">
        <f t="shared" si="2104"/>
        <v>00000000</v>
      </c>
      <c r="BU378" s="23">
        <f t="shared" si="2105"/>
        <v>0</v>
      </c>
      <c r="BV378" s="49" t="str">
        <f t="shared" si="2069"/>
        <v/>
      </c>
      <c r="BW378" s="52" t="str">
        <f t="shared" si="2106"/>
        <v/>
      </c>
      <c r="BX378" s="23">
        <f t="shared" si="2107"/>
        <v>0</v>
      </c>
      <c r="BY378" s="49" t="str">
        <f t="shared" si="2070"/>
        <v/>
      </c>
      <c r="BZ378" s="23">
        <f t="shared" si="2108"/>
        <v>0</v>
      </c>
      <c r="CA378" s="49" t="str">
        <f t="shared" si="2071"/>
        <v/>
      </c>
      <c r="CB378" s="52" t="str">
        <f t="shared" si="2109"/>
        <v/>
      </c>
      <c r="CC378" s="23">
        <f t="shared" si="2110"/>
        <v>0</v>
      </c>
      <c r="CD378" s="49" t="str">
        <f t="shared" si="2072"/>
        <v/>
      </c>
      <c r="CE378" s="56" t="str">
        <f>IF(CF378="","",MAX(CE$10:$CE377)+1)</f>
        <v/>
      </c>
      <c r="CF378" t="str">
        <f t="shared" si="2111"/>
        <v/>
      </c>
      <c r="CG378" s="22" t="str">
        <f>IF(CH378="","",MAX($CG$10:CG377)+1)</f>
        <v/>
      </c>
      <c r="CH378" s="22" t="str">
        <f t="shared" si="2056"/>
        <v/>
      </c>
      <c r="CI378" s="22" t="str">
        <f>IF(CJ378="","",MAX($CI$10:CI377)+1)</f>
        <v/>
      </c>
      <c r="CJ378" s="22" t="str">
        <f t="shared" si="2057"/>
        <v/>
      </c>
    </row>
    <row r="379" spans="2:88" x14ac:dyDescent="0.25">
      <c r="B379" s="37"/>
      <c r="C379" s="3"/>
      <c r="D379" s="77" t="str">
        <f t="shared" si="2043"/>
        <v/>
      </c>
      <c r="E379" s="38"/>
      <c r="F379" s="38"/>
      <c r="G379" s="78">
        <f t="shared" si="2058"/>
        <v>0</v>
      </c>
      <c r="H379" s="3">
        <v>80</v>
      </c>
      <c r="I379" s="77" t="str">
        <f t="shared" si="2044"/>
        <v/>
      </c>
      <c r="J379" s="32"/>
      <c r="K379" s="3"/>
      <c r="L379" s="39"/>
      <c r="M379" s="39"/>
      <c r="N379" s="39"/>
      <c r="O379" s="39"/>
      <c r="P379" s="39"/>
      <c r="Q379" s="39"/>
      <c r="R379" s="39"/>
      <c r="S379" s="39"/>
      <c r="T379" s="3" t="s">
        <v>645</v>
      </c>
      <c r="U379" s="77" t="str">
        <f t="shared" si="2045"/>
        <v/>
      </c>
      <c r="V379" s="39">
        <v>1</v>
      </c>
      <c r="W379" s="79">
        <f t="shared" si="2059"/>
        <v>0</v>
      </c>
      <c r="X379" s="3">
        <v>0</v>
      </c>
      <c r="Y379" s="77" t="str">
        <f t="shared" si="2046"/>
        <v/>
      </c>
      <c r="Z379" s="3"/>
      <c r="AA379" s="37" t="str">
        <f t="shared" si="2060"/>
        <v/>
      </c>
      <c r="AC379" s="40"/>
      <c r="AD379" s="7"/>
      <c r="AE379" s="77" t="str">
        <f t="shared" si="2047"/>
        <v/>
      </c>
      <c r="AF379" s="81">
        <f t="shared" si="2073"/>
        <v>0</v>
      </c>
      <c r="AG379" s="40"/>
      <c r="AH379" s="7"/>
      <c r="AI379" s="77" t="str">
        <f t="shared" si="2048"/>
        <v/>
      </c>
      <c r="AJ379" s="81">
        <f t="shared" si="2074"/>
        <v>0</v>
      </c>
      <c r="AK379" s="83">
        <f t="shared" si="2075"/>
        <v>0</v>
      </c>
      <c r="AL379" s="83">
        <f t="shared" si="2076"/>
        <v>0</v>
      </c>
      <c r="AN379" s="43">
        <f t="shared" si="2049"/>
        <v>0</v>
      </c>
      <c r="AP379" t="str">
        <f t="shared" si="2077"/>
        <v/>
      </c>
      <c r="AQ379" t="str">
        <f t="shared" si="2078"/>
        <v/>
      </c>
      <c r="AR379" t="str">
        <f t="shared" si="2079"/>
        <v/>
      </c>
      <c r="AS379" t="str">
        <f t="shared" si="2080"/>
        <v/>
      </c>
      <c r="AT379" t="str">
        <f t="shared" si="2081"/>
        <v/>
      </c>
      <c r="AU379" t="str">
        <f t="shared" si="2082"/>
        <v/>
      </c>
      <c r="AV379" t="str">
        <f t="shared" si="2083"/>
        <v/>
      </c>
      <c r="AW379" t="str">
        <f t="shared" si="2084"/>
        <v xml:space="preserve">                              </v>
      </c>
      <c r="AX379" s="23">
        <f t="shared" si="2085"/>
        <v>0</v>
      </c>
      <c r="AY379" s="49" t="str">
        <f t="shared" si="2061"/>
        <v>000000000000000</v>
      </c>
      <c r="AZ379" s="23">
        <f t="shared" si="2086"/>
        <v>0</v>
      </c>
      <c r="BA379" s="49" t="str">
        <f t="shared" si="2061"/>
        <v>000000000000000</v>
      </c>
      <c r="BB379" s="23">
        <f t="shared" si="2087"/>
        <v>0</v>
      </c>
      <c r="BC379" s="49" t="str">
        <f t="shared" ref="BC379" si="2376">IF(BB379&lt;0,SUBSTITUTE(TEXT(BB379,"000000000000,00"),",",""),SUBSTITUTE(TEXT(BB379,"0000000000000,00"),",",""))</f>
        <v>000000000000000</v>
      </c>
      <c r="BD379" s="23">
        <f t="shared" si="2089"/>
        <v>0</v>
      </c>
      <c r="BE379" s="49" t="str">
        <f t="shared" ref="BE379" si="2377">IF(BD379&lt;0,SUBSTITUTE(TEXT(BD379,"000000000000,00"),",",""),SUBSTITUTE(TEXT(BD379,"0000000000000,00"),",",""))</f>
        <v>000000000000000</v>
      </c>
      <c r="BF379" s="23">
        <f t="shared" si="2091"/>
        <v>0</v>
      </c>
      <c r="BG379" s="49" t="str">
        <f t="shared" ref="BG379" si="2378">IF(BF379&lt;0,SUBSTITUTE(TEXT(BF379,"000000000000,00"),",",""),SUBSTITUTE(TEXT(BF379,"0000000000000,00"),",",""))</f>
        <v>000000000000000</v>
      </c>
      <c r="BH379" s="23">
        <f t="shared" si="2093"/>
        <v>0</v>
      </c>
      <c r="BI379" s="49" t="str">
        <f t="shared" ref="BI379" si="2379">IF(BH379&lt;0,SUBSTITUTE(TEXT(BH379,"000000000000,00"),",",""),SUBSTITUTE(TEXT(BH379,"0000000000000,00"),",",""))</f>
        <v>000000000000000</v>
      </c>
      <c r="BJ379" s="23">
        <f t="shared" si="2095"/>
        <v>0</v>
      </c>
      <c r="BK379" s="49" t="str">
        <f t="shared" ref="BK379" si="2380">IF(BJ379&lt;0,SUBSTITUTE(TEXT(BJ379,"000000000000,00"),",",""),SUBSTITUTE(TEXT(BJ379,"0000000000000,00"),",",""))</f>
        <v>000000000000000</v>
      </c>
      <c r="BL379" s="23">
        <f t="shared" si="2097"/>
        <v>0</v>
      </c>
      <c r="BM379" s="49" t="str">
        <f t="shared" ref="BM379" si="2381">IF(BL379&lt;0,SUBSTITUTE(TEXT(BL379,"000000000000,00"),",",""),SUBSTITUTE(TEXT(BL379,"0000000000000,00"),",",""))</f>
        <v>000000000000000</v>
      </c>
      <c r="BN379" t="str">
        <f t="shared" si="2099"/>
        <v>PES</v>
      </c>
      <c r="BO379" t="str">
        <f t="shared" si="2100"/>
        <v>0001000000</v>
      </c>
      <c r="BP379">
        <f t="shared" si="2101"/>
        <v>0</v>
      </c>
      <c r="BQ379">
        <f t="shared" si="2102"/>
        <v>0</v>
      </c>
      <c r="BR379" s="23">
        <f t="shared" si="2103"/>
        <v>0</v>
      </c>
      <c r="BS379" s="49" t="str">
        <f t="shared" si="2068"/>
        <v>000000000000000</v>
      </c>
      <c r="BT379" t="str">
        <f t="shared" si="2104"/>
        <v>00000000</v>
      </c>
      <c r="BU379" s="23">
        <f t="shared" si="2105"/>
        <v>0</v>
      </c>
      <c r="BV379" s="49" t="str">
        <f t="shared" si="2069"/>
        <v/>
      </c>
      <c r="BW379" s="52" t="str">
        <f t="shared" si="2106"/>
        <v/>
      </c>
      <c r="BX379" s="23">
        <f t="shared" si="2107"/>
        <v>0</v>
      </c>
      <c r="BY379" s="49" t="str">
        <f t="shared" si="2070"/>
        <v/>
      </c>
      <c r="BZ379" s="23">
        <f t="shared" si="2108"/>
        <v>0</v>
      </c>
      <c r="CA379" s="49" t="str">
        <f t="shared" si="2071"/>
        <v/>
      </c>
      <c r="CB379" s="52" t="str">
        <f t="shared" si="2109"/>
        <v/>
      </c>
      <c r="CC379" s="23">
        <f t="shared" si="2110"/>
        <v>0</v>
      </c>
      <c r="CD379" s="49" t="str">
        <f t="shared" si="2072"/>
        <v/>
      </c>
      <c r="CE379" s="56" t="str">
        <f>IF(CF379="","",MAX(CE$10:$CE378)+1)</f>
        <v/>
      </c>
      <c r="CF379" t="str">
        <f t="shared" si="2111"/>
        <v/>
      </c>
      <c r="CG379" s="22" t="str">
        <f>IF(CH379="","",MAX($CG$10:CG378)+1)</f>
        <v/>
      </c>
      <c r="CH379" s="22" t="str">
        <f t="shared" si="2056"/>
        <v/>
      </c>
      <c r="CI379" s="22" t="str">
        <f>IF(CJ379="","",MAX($CI$10:CI378)+1)</f>
        <v/>
      </c>
      <c r="CJ379" s="22" t="str">
        <f t="shared" si="2057"/>
        <v/>
      </c>
    </row>
    <row r="380" spans="2:88" x14ac:dyDescent="0.25">
      <c r="B380" s="37"/>
      <c r="C380" s="3"/>
      <c r="D380" s="77" t="str">
        <f t="shared" si="2043"/>
        <v/>
      </c>
      <c r="E380" s="38"/>
      <c r="F380" s="38"/>
      <c r="G380" s="78">
        <f t="shared" si="2058"/>
        <v>0</v>
      </c>
      <c r="H380" s="3">
        <v>80</v>
      </c>
      <c r="I380" s="77" t="str">
        <f t="shared" si="2044"/>
        <v/>
      </c>
      <c r="J380" s="32"/>
      <c r="K380" s="3"/>
      <c r="L380" s="39"/>
      <c r="M380" s="39"/>
      <c r="N380" s="39"/>
      <c r="O380" s="39"/>
      <c r="P380" s="39"/>
      <c r="Q380" s="39"/>
      <c r="R380" s="39"/>
      <c r="S380" s="39"/>
      <c r="T380" s="3" t="s">
        <v>645</v>
      </c>
      <c r="U380" s="77" t="str">
        <f t="shared" si="2045"/>
        <v/>
      </c>
      <c r="V380" s="39">
        <v>1</v>
      </c>
      <c r="W380" s="79">
        <f t="shared" si="2059"/>
        <v>0</v>
      </c>
      <c r="X380" s="3">
        <v>0</v>
      </c>
      <c r="Y380" s="77" t="str">
        <f t="shared" si="2046"/>
        <v/>
      </c>
      <c r="Z380" s="3"/>
      <c r="AA380" s="37" t="str">
        <f t="shared" si="2060"/>
        <v/>
      </c>
      <c r="AC380" s="40"/>
      <c r="AD380" s="7"/>
      <c r="AE380" s="77" t="str">
        <f t="shared" si="2047"/>
        <v/>
      </c>
      <c r="AF380" s="81">
        <f t="shared" si="2073"/>
        <v>0</v>
      </c>
      <c r="AG380" s="40"/>
      <c r="AH380" s="7"/>
      <c r="AI380" s="77" t="str">
        <f t="shared" si="2048"/>
        <v/>
      </c>
      <c r="AJ380" s="81">
        <f t="shared" si="2074"/>
        <v>0</v>
      </c>
      <c r="AK380" s="83">
        <f t="shared" si="2075"/>
        <v>0</v>
      </c>
      <c r="AL380" s="83">
        <f t="shared" si="2076"/>
        <v>0</v>
      </c>
      <c r="AN380" s="43">
        <f t="shared" si="2049"/>
        <v>0</v>
      </c>
      <c r="AP380" t="str">
        <f t="shared" si="2077"/>
        <v/>
      </c>
      <c r="AQ380" t="str">
        <f t="shared" si="2078"/>
        <v/>
      </c>
      <c r="AR380" t="str">
        <f t="shared" si="2079"/>
        <v/>
      </c>
      <c r="AS380" t="str">
        <f t="shared" si="2080"/>
        <v/>
      </c>
      <c r="AT380" t="str">
        <f t="shared" si="2081"/>
        <v/>
      </c>
      <c r="AU380" t="str">
        <f t="shared" si="2082"/>
        <v/>
      </c>
      <c r="AV380" t="str">
        <f t="shared" si="2083"/>
        <v/>
      </c>
      <c r="AW380" t="str">
        <f t="shared" si="2084"/>
        <v xml:space="preserve">                              </v>
      </c>
      <c r="AX380" s="23">
        <f t="shared" si="2085"/>
        <v>0</v>
      </c>
      <c r="AY380" s="49" t="str">
        <f t="shared" si="2061"/>
        <v>000000000000000</v>
      </c>
      <c r="AZ380" s="23">
        <f t="shared" si="2086"/>
        <v>0</v>
      </c>
      <c r="BA380" s="49" t="str">
        <f t="shared" si="2061"/>
        <v>000000000000000</v>
      </c>
      <c r="BB380" s="23">
        <f t="shared" si="2087"/>
        <v>0</v>
      </c>
      <c r="BC380" s="49" t="str">
        <f t="shared" ref="BC380" si="2382">IF(BB380&lt;0,SUBSTITUTE(TEXT(BB380,"000000000000,00"),",",""),SUBSTITUTE(TEXT(BB380,"0000000000000,00"),",",""))</f>
        <v>000000000000000</v>
      </c>
      <c r="BD380" s="23">
        <f t="shared" si="2089"/>
        <v>0</v>
      </c>
      <c r="BE380" s="49" t="str">
        <f t="shared" ref="BE380" si="2383">IF(BD380&lt;0,SUBSTITUTE(TEXT(BD380,"000000000000,00"),",",""),SUBSTITUTE(TEXT(BD380,"0000000000000,00"),",",""))</f>
        <v>000000000000000</v>
      </c>
      <c r="BF380" s="23">
        <f t="shared" si="2091"/>
        <v>0</v>
      </c>
      <c r="BG380" s="49" t="str">
        <f t="shared" ref="BG380" si="2384">IF(BF380&lt;0,SUBSTITUTE(TEXT(BF380,"000000000000,00"),",",""),SUBSTITUTE(TEXT(BF380,"0000000000000,00"),",",""))</f>
        <v>000000000000000</v>
      </c>
      <c r="BH380" s="23">
        <f t="shared" si="2093"/>
        <v>0</v>
      </c>
      <c r="BI380" s="49" t="str">
        <f t="shared" ref="BI380" si="2385">IF(BH380&lt;0,SUBSTITUTE(TEXT(BH380,"000000000000,00"),",",""),SUBSTITUTE(TEXT(BH380,"0000000000000,00"),",",""))</f>
        <v>000000000000000</v>
      </c>
      <c r="BJ380" s="23">
        <f t="shared" si="2095"/>
        <v>0</v>
      </c>
      <c r="BK380" s="49" t="str">
        <f t="shared" ref="BK380" si="2386">IF(BJ380&lt;0,SUBSTITUTE(TEXT(BJ380,"000000000000,00"),",",""),SUBSTITUTE(TEXT(BJ380,"0000000000000,00"),",",""))</f>
        <v>000000000000000</v>
      </c>
      <c r="BL380" s="23">
        <f t="shared" si="2097"/>
        <v>0</v>
      </c>
      <c r="BM380" s="49" t="str">
        <f t="shared" ref="BM380" si="2387">IF(BL380&lt;0,SUBSTITUTE(TEXT(BL380,"000000000000,00"),",",""),SUBSTITUTE(TEXT(BL380,"0000000000000,00"),",",""))</f>
        <v>000000000000000</v>
      </c>
      <c r="BN380" t="str">
        <f t="shared" si="2099"/>
        <v>PES</v>
      </c>
      <c r="BO380" t="str">
        <f t="shared" si="2100"/>
        <v>0001000000</v>
      </c>
      <c r="BP380">
        <f t="shared" si="2101"/>
        <v>0</v>
      </c>
      <c r="BQ380">
        <f t="shared" si="2102"/>
        <v>0</v>
      </c>
      <c r="BR380" s="23">
        <f t="shared" si="2103"/>
        <v>0</v>
      </c>
      <c r="BS380" s="49" t="str">
        <f t="shared" si="2068"/>
        <v>000000000000000</v>
      </c>
      <c r="BT380" t="str">
        <f t="shared" si="2104"/>
        <v>00000000</v>
      </c>
      <c r="BU380" s="23">
        <f t="shared" si="2105"/>
        <v>0</v>
      </c>
      <c r="BV380" s="49" t="str">
        <f t="shared" si="2069"/>
        <v/>
      </c>
      <c r="BW380" s="52" t="str">
        <f t="shared" si="2106"/>
        <v/>
      </c>
      <c r="BX380" s="23">
        <f t="shared" si="2107"/>
        <v>0</v>
      </c>
      <c r="BY380" s="49" t="str">
        <f t="shared" si="2070"/>
        <v/>
      </c>
      <c r="BZ380" s="23">
        <f t="shared" si="2108"/>
        <v>0</v>
      </c>
      <c r="CA380" s="49" t="str">
        <f t="shared" si="2071"/>
        <v/>
      </c>
      <c r="CB380" s="52" t="str">
        <f t="shared" si="2109"/>
        <v/>
      </c>
      <c r="CC380" s="23">
        <f t="shared" si="2110"/>
        <v>0</v>
      </c>
      <c r="CD380" s="49" t="str">
        <f t="shared" si="2072"/>
        <v/>
      </c>
      <c r="CE380" s="56" t="str">
        <f>IF(CF380="","",MAX(CE$10:$CE379)+1)</f>
        <v/>
      </c>
      <c r="CF380" t="str">
        <f t="shared" si="2111"/>
        <v/>
      </c>
      <c r="CG380" s="22" t="str">
        <f>IF(CH380="","",MAX($CG$10:CG379)+1)</f>
        <v/>
      </c>
      <c r="CH380" s="22" t="str">
        <f t="shared" si="2056"/>
        <v/>
      </c>
      <c r="CI380" s="22" t="str">
        <f>IF(CJ380="","",MAX($CI$10:CI379)+1)</f>
        <v/>
      </c>
      <c r="CJ380" s="22" t="str">
        <f t="shared" si="2057"/>
        <v/>
      </c>
    </row>
    <row r="381" spans="2:88" x14ac:dyDescent="0.25">
      <c r="B381" s="37"/>
      <c r="C381" s="3"/>
      <c r="D381" s="77" t="str">
        <f t="shared" si="2043"/>
        <v/>
      </c>
      <c r="E381" s="38"/>
      <c r="F381" s="38"/>
      <c r="G381" s="78">
        <f t="shared" si="2058"/>
        <v>0</v>
      </c>
      <c r="H381" s="3">
        <v>80</v>
      </c>
      <c r="I381" s="77" t="str">
        <f t="shared" si="2044"/>
        <v/>
      </c>
      <c r="J381" s="32"/>
      <c r="K381" s="3"/>
      <c r="L381" s="39"/>
      <c r="M381" s="39"/>
      <c r="N381" s="39"/>
      <c r="O381" s="39"/>
      <c r="P381" s="39"/>
      <c r="Q381" s="39"/>
      <c r="R381" s="39"/>
      <c r="S381" s="39"/>
      <c r="T381" s="3" t="s">
        <v>645</v>
      </c>
      <c r="U381" s="77" t="str">
        <f t="shared" si="2045"/>
        <v/>
      </c>
      <c r="V381" s="39">
        <v>1</v>
      </c>
      <c r="W381" s="79">
        <f t="shared" si="2059"/>
        <v>0</v>
      </c>
      <c r="X381" s="3">
        <v>0</v>
      </c>
      <c r="Y381" s="77" t="str">
        <f t="shared" si="2046"/>
        <v/>
      </c>
      <c r="Z381" s="3"/>
      <c r="AA381" s="37" t="str">
        <f t="shared" si="2060"/>
        <v/>
      </c>
      <c r="AC381" s="40"/>
      <c r="AD381" s="7"/>
      <c r="AE381" s="77" t="str">
        <f t="shared" si="2047"/>
        <v/>
      </c>
      <c r="AF381" s="81">
        <f t="shared" si="2073"/>
        <v>0</v>
      </c>
      <c r="AG381" s="40"/>
      <c r="AH381" s="7"/>
      <c r="AI381" s="77" t="str">
        <f t="shared" si="2048"/>
        <v/>
      </c>
      <c r="AJ381" s="81">
        <f t="shared" si="2074"/>
        <v>0</v>
      </c>
      <c r="AK381" s="83">
        <f t="shared" si="2075"/>
        <v>0</v>
      </c>
      <c r="AL381" s="83">
        <f t="shared" si="2076"/>
        <v>0</v>
      </c>
      <c r="AN381" s="43">
        <f t="shared" si="2049"/>
        <v>0</v>
      </c>
      <c r="AP381" t="str">
        <f t="shared" si="2077"/>
        <v/>
      </c>
      <c r="AQ381" t="str">
        <f t="shared" si="2078"/>
        <v/>
      </c>
      <c r="AR381" t="str">
        <f t="shared" si="2079"/>
        <v/>
      </c>
      <c r="AS381" t="str">
        <f t="shared" si="2080"/>
        <v/>
      </c>
      <c r="AT381" t="str">
        <f t="shared" si="2081"/>
        <v/>
      </c>
      <c r="AU381" t="str">
        <f t="shared" si="2082"/>
        <v/>
      </c>
      <c r="AV381" t="str">
        <f t="shared" si="2083"/>
        <v/>
      </c>
      <c r="AW381" t="str">
        <f t="shared" si="2084"/>
        <v xml:space="preserve">                              </v>
      </c>
      <c r="AX381" s="23">
        <f t="shared" si="2085"/>
        <v>0</v>
      </c>
      <c r="AY381" s="49" t="str">
        <f t="shared" si="2061"/>
        <v>000000000000000</v>
      </c>
      <c r="AZ381" s="23">
        <f t="shared" si="2086"/>
        <v>0</v>
      </c>
      <c r="BA381" s="49" t="str">
        <f t="shared" si="2061"/>
        <v>000000000000000</v>
      </c>
      <c r="BB381" s="23">
        <f t="shared" si="2087"/>
        <v>0</v>
      </c>
      <c r="BC381" s="49" t="str">
        <f t="shared" ref="BC381" si="2388">IF(BB381&lt;0,SUBSTITUTE(TEXT(BB381,"000000000000,00"),",",""),SUBSTITUTE(TEXT(BB381,"0000000000000,00"),",",""))</f>
        <v>000000000000000</v>
      </c>
      <c r="BD381" s="23">
        <f t="shared" si="2089"/>
        <v>0</v>
      </c>
      <c r="BE381" s="49" t="str">
        <f t="shared" ref="BE381" si="2389">IF(BD381&lt;0,SUBSTITUTE(TEXT(BD381,"000000000000,00"),",",""),SUBSTITUTE(TEXT(BD381,"0000000000000,00"),",",""))</f>
        <v>000000000000000</v>
      </c>
      <c r="BF381" s="23">
        <f t="shared" si="2091"/>
        <v>0</v>
      </c>
      <c r="BG381" s="49" t="str">
        <f t="shared" ref="BG381" si="2390">IF(BF381&lt;0,SUBSTITUTE(TEXT(BF381,"000000000000,00"),",",""),SUBSTITUTE(TEXT(BF381,"0000000000000,00"),",",""))</f>
        <v>000000000000000</v>
      </c>
      <c r="BH381" s="23">
        <f t="shared" si="2093"/>
        <v>0</v>
      </c>
      <c r="BI381" s="49" t="str">
        <f t="shared" ref="BI381" si="2391">IF(BH381&lt;0,SUBSTITUTE(TEXT(BH381,"000000000000,00"),",",""),SUBSTITUTE(TEXT(BH381,"0000000000000,00"),",",""))</f>
        <v>000000000000000</v>
      </c>
      <c r="BJ381" s="23">
        <f t="shared" si="2095"/>
        <v>0</v>
      </c>
      <c r="BK381" s="49" t="str">
        <f t="shared" ref="BK381" si="2392">IF(BJ381&lt;0,SUBSTITUTE(TEXT(BJ381,"000000000000,00"),",",""),SUBSTITUTE(TEXT(BJ381,"0000000000000,00"),",",""))</f>
        <v>000000000000000</v>
      </c>
      <c r="BL381" s="23">
        <f t="shared" si="2097"/>
        <v>0</v>
      </c>
      <c r="BM381" s="49" t="str">
        <f t="shared" ref="BM381" si="2393">IF(BL381&lt;0,SUBSTITUTE(TEXT(BL381,"000000000000,00"),",",""),SUBSTITUTE(TEXT(BL381,"0000000000000,00"),",",""))</f>
        <v>000000000000000</v>
      </c>
      <c r="BN381" t="str">
        <f t="shared" si="2099"/>
        <v>PES</v>
      </c>
      <c r="BO381" t="str">
        <f t="shared" si="2100"/>
        <v>0001000000</v>
      </c>
      <c r="BP381">
        <f t="shared" si="2101"/>
        <v>0</v>
      </c>
      <c r="BQ381">
        <f t="shared" si="2102"/>
        <v>0</v>
      </c>
      <c r="BR381" s="23">
        <f t="shared" si="2103"/>
        <v>0</v>
      </c>
      <c r="BS381" s="49" t="str">
        <f t="shared" si="2068"/>
        <v>000000000000000</v>
      </c>
      <c r="BT381" t="str">
        <f t="shared" si="2104"/>
        <v>00000000</v>
      </c>
      <c r="BU381" s="23">
        <f t="shared" si="2105"/>
        <v>0</v>
      </c>
      <c r="BV381" s="49" t="str">
        <f t="shared" si="2069"/>
        <v/>
      </c>
      <c r="BW381" s="52" t="str">
        <f t="shared" si="2106"/>
        <v/>
      </c>
      <c r="BX381" s="23">
        <f t="shared" si="2107"/>
        <v>0</v>
      </c>
      <c r="BY381" s="49" t="str">
        <f t="shared" si="2070"/>
        <v/>
      </c>
      <c r="BZ381" s="23">
        <f t="shared" si="2108"/>
        <v>0</v>
      </c>
      <c r="CA381" s="49" t="str">
        <f t="shared" si="2071"/>
        <v/>
      </c>
      <c r="CB381" s="52" t="str">
        <f t="shared" si="2109"/>
        <v/>
      </c>
      <c r="CC381" s="23">
        <f t="shared" si="2110"/>
        <v>0</v>
      </c>
      <c r="CD381" s="49" t="str">
        <f t="shared" si="2072"/>
        <v/>
      </c>
      <c r="CE381" s="56" t="str">
        <f>IF(CF381="","",MAX(CE$10:$CE380)+1)</f>
        <v/>
      </c>
      <c r="CF381" t="str">
        <f t="shared" si="2111"/>
        <v/>
      </c>
      <c r="CG381" s="22" t="str">
        <f>IF(CH381="","",MAX($CG$10:CG380)+1)</f>
        <v/>
      </c>
      <c r="CH381" s="22" t="str">
        <f t="shared" si="2056"/>
        <v/>
      </c>
      <c r="CI381" s="22" t="str">
        <f>IF(CJ381="","",MAX($CI$10:CI380)+1)</f>
        <v/>
      </c>
      <c r="CJ381" s="22" t="str">
        <f t="shared" si="2057"/>
        <v/>
      </c>
    </row>
    <row r="382" spans="2:88" x14ac:dyDescent="0.25">
      <c r="B382" s="37"/>
      <c r="C382" s="3"/>
      <c r="D382" s="77" t="str">
        <f t="shared" si="2043"/>
        <v/>
      </c>
      <c r="E382" s="38"/>
      <c r="F382" s="38"/>
      <c r="G382" s="78">
        <f t="shared" si="2058"/>
        <v>0</v>
      </c>
      <c r="H382" s="3">
        <v>80</v>
      </c>
      <c r="I382" s="77" t="str">
        <f t="shared" si="2044"/>
        <v/>
      </c>
      <c r="J382" s="32"/>
      <c r="K382" s="3"/>
      <c r="L382" s="39"/>
      <c r="M382" s="39"/>
      <c r="N382" s="39"/>
      <c r="O382" s="39"/>
      <c r="P382" s="39"/>
      <c r="Q382" s="39"/>
      <c r="R382" s="39"/>
      <c r="S382" s="39"/>
      <c r="T382" s="3" t="s">
        <v>645</v>
      </c>
      <c r="U382" s="77" t="str">
        <f t="shared" si="2045"/>
        <v/>
      </c>
      <c r="V382" s="39">
        <v>1</v>
      </c>
      <c r="W382" s="79">
        <f t="shared" si="2059"/>
        <v>0</v>
      </c>
      <c r="X382" s="3">
        <v>0</v>
      </c>
      <c r="Y382" s="77" t="str">
        <f t="shared" si="2046"/>
        <v/>
      </c>
      <c r="Z382" s="3"/>
      <c r="AA382" s="37" t="str">
        <f t="shared" si="2060"/>
        <v/>
      </c>
      <c r="AC382" s="40"/>
      <c r="AD382" s="7"/>
      <c r="AE382" s="77" t="str">
        <f t="shared" si="2047"/>
        <v/>
      </c>
      <c r="AF382" s="81">
        <f t="shared" si="2073"/>
        <v>0</v>
      </c>
      <c r="AG382" s="40"/>
      <c r="AH382" s="7"/>
      <c r="AI382" s="77" t="str">
        <f t="shared" si="2048"/>
        <v/>
      </c>
      <c r="AJ382" s="81">
        <f t="shared" si="2074"/>
        <v>0</v>
      </c>
      <c r="AK382" s="83">
        <f t="shared" si="2075"/>
        <v>0</v>
      </c>
      <c r="AL382" s="83">
        <f t="shared" si="2076"/>
        <v>0</v>
      </c>
      <c r="AN382" s="43">
        <f t="shared" si="2049"/>
        <v>0</v>
      </c>
      <c r="AP382" t="str">
        <f t="shared" si="2077"/>
        <v/>
      </c>
      <c r="AQ382" t="str">
        <f t="shared" si="2078"/>
        <v/>
      </c>
      <c r="AR382" t="str">
        <f t="shared" si="2079"/>
        <v/>
      </c>
      <c r="AS382" t="str">
        <f t="shared" si="2080"/>
        <v/>
      </c>
      <c r="AT382" t="str">
        <f t="shared" si="2081"/>
        <v/>
      </c>
      <c r="AU382" t="str">
        <f t="shared" si="2082"/>
        <v/>
      </c>
      <c r="AV382" t="str">
        <f t="shared" si="2083"/>
        <v/>
      </c>
      <c r="AW382" t="str">
        <f t="shared" si="2084"/>
        <v xml:space="preserve">                              </v>
      </c>
      <c r="AX382" s="23">
        <f t="shared" si="2085"/>
        <v>0</v>
      </c>
      <c r="AY382" s="49" t="str">
        <f t="shared" si="2061"/>
        <v>000000000000000</v>
      </c>
      <c r="AZ382" s="23">
        <f t="shared" si="2086"/>
        <v>0</v>
      </c>
      <c r="BA382" s="49" t="str">
        <f t="shared" si="2061"/>
        <v>000000000000000</v>
      </c>
      <c r="BB382" s="23">
        <f t="shared" si="2087"/>
        <v>0</v>
      </c>
      <c r="BC382" s="49" t="str">
        <f t="shared" ref="BC382" si="2394">IF(BB382&lt;0,SUBSTITUTE(TEXT(BB382,"000000000000,00"),",",""),SUBSTITUTE(TEXT(BB382,"0000000000000,00"),",",""))</f>
        <v>000000000000000</v>
      </c>
      <c r="BD382" s="23">
        <f t="shared" si="2089"/>
        <v>0</v>
      </c>
      <c r="BE382" s="49" t="str">
        <f t="shared" ref="BE382" si="2395">IF(BD382&lt;0,SUBSTITUTE(TEXT(BD382,"000000000000,00"),",",""),SUBSTITUTE(TEXT(BD382,"0000000000000,00"),",",""))</f>
        <v>000000000000000</v>
      </c>
      <c r="BF382" s="23">
        <f t="shared" si="2091"/>
        <v>0</v>
      </c>
      <c r="BG382" s="49" t="str">
        <f t="shared" ref="BG382" si="2396">IF(BF382&lt;0,SUBSTITUTE(TEXT(BF382,"000000000000,00"),",",""),SUBSTITUTE(TEXT(BF382,"0000000000000,00"),",",""))</f>
        <v>000000000000000</v>
      </c>
      <c r="BH382" s="23">
        <f t="shared" si="2093"/>
        <v>0</v>
      </c>
      <c r="BI382" s="49" t="str">
        <f t="shared" ref="BI382" si="2397">IF(BH382&lt;0,SUBSTITUTE(TEXT(BH382,"000000000000,00"),",",""),SUBSTITUTE(TEXT(BH382,"0000000000000,00"),",",""))</f>
        <v>000000000000000</v>
      </c>
      <c r="BJ382" s="23">
        <f t="shared" si="2095"/>
        <v>0</v>
      </c>
      <c r="BK382" s="49" t="str">
        <f t="shared" ref="BK382" si="2398">IF(BJ382&lt;0,SUBSTITUTE(TEXT(BJ382,"000000000000,00"),",",""),SUBSTITUTE(TEXT(BJ382,"0000000000000,00"),",",""))</f>
        <v>000000000000000</v>
      </c>
      <c r="BL382" s="23">
        <f t="shared" si="2097"/>
        <v>0</v>
      </c>
      <c r="BM382" s="49" t="str">
        <f t="shared" ref="BM382" si="2399">IF(BL382&lt;0,SUBSTITUTE(TEXT(BL382,"000000000000,00"),",",""),SUBSTITUTE(TEXT(BL382,"0000000000000,00"),",",""))</f>
        <v>000000000000000</v>
      </c>
      <c r="BN382" t="str">
        <f t="shared" si="2099"/>
        <v>PES</v>
      </c>
      <c r="BO382" t="str">
        <f t="shared" si="2100"/>
        <v>0001000000</v>
      </c>
      <c r="BP382">
        <f t="shared" si="2101"/>
        <v>0</v>
      </c>
      <c r="BQ382">
        <f t="shared" si="2102"/>
        <v>0</v>
      </c>
      <c r="BR382" s="23">
        <f t="shared" si="2103"/>
        <v>0</v>
      </c>
      <c r="BS382" s="49" t="str">
        <f t="shared" si="2068"/>
        <v>000000000000000</v>
      </c>
      <c r="BT382" t="str">
        <f t="shared" si="2104"/>
        <v>00000000</v>
      </c>
      <c r="BU382" s="23">
        <f t="shared" si="2105"/>
        <v>0</v>
      </c>
      <c r="BV382" s="49" t="str">
        <f t="shared" si="2069"/>
        <v/>
      </c>
      <c r="BW382" s="52" t="str">
        <f t="shared" si="2106"/>
        <v/>
      </c>
      <c r="BX382" s="23">
        <f t="shared" si="2107"/>
        <v>0</v>
      </c>
      <c r="BY382" s="49" t="str">
        <f t="shared" si="2070"/>
        <v/>
      </c>
      <c r="BZ382" s="23">
        <f t="shared" si="2108"/>
        <v>0</v>
      </c>
      <c r="CA382" s="49" t="str">
        <f t="shared" si="2071"/>
        <v/>
      </c>
      <c r="CB382" s="52" t="str">
        <f t="shared" si="2109"/>
        <v/>
      </c>
      <c r="CC382" s="23">
        <f t="shared" si="2110"/>
        <v>0</v>
      </c>
      <c r="CD382" s="49" t="str">
        <f t="shared" si="2072"/>
        <v/>
      </c>
      <c r="CE382" s="56" t="str">
        <f>IF(CF382="","",MAX(CE$10:$CE381)+1)</f>
        <v/>
      </c>
      <c r="CF382" t="str">
        <f t="shared" si="2111"/>
        <v/>
      </c>
      <c r="CG382" s="22" t="str">
        <f>IF(CH382="","",MAX($CG$10:CG381)+1)</f>
        <v/>
      </c>
      <c r="CH382" s="22" t="str">
        <f t="shared" si="2056"/>
        <v/>
      </c>
      <c r="CI382" s="22" t="str">
        <f>IF(CJ382="","",MAX($CI$10:CI381)+1)</f>
        <v/>
      </c>
      <c r="CJ382" s="22" t="str">
        <f t="shared" si="2057"/>
        <v/>
      </c>
    </row>
    <row r="383" spans="2:88" x14ac:dyDescent="0.25">
      <c r="B383" s="37"/>
      <c r="C383" s="3"/>
      <c r="D383" s="77" t="str">
        <f t="shared" si="2043"/>
        <v/>
      </c>
      <c r="E383" s="38"/>
      <c r="F383" s="38"/>
      <c r="G383" s="78">
        <f t="shared" si="2058"/>
        <v>0</v>
      </c>
      <c r="H383" s="3">
        <v>80</v>
      </c>
      <c r="I383" s="77" t="str">
        <f t="shared" si="2044"/>
        <v/>
      </c>
      <c r="J383" s="32"/>
      <c r="K383" s="3"/>
      <c r="L383" s="39"/>
      <c r="M383" s="39"/>
      <c r="N383" s="39"/>
      <c r="O383" s="39"/>
      <c r="P383" s="39"/>
      <c r="Q383" s="39"/>
      <c r="R383" s="39"/>
      <c r="S383" s="39"/>
      <c r="T383" s="3" t="s">
        <v>645</v>
      </c>
      <c r="U383" s="77" t="str">
        <f t="shared" si="2045"/>
        <v/>
      </c>
      <c r="V383" s="39">
        <v>1</v>
      </c>
      <c r="W383" s="79">
        <f t="shared" si="2059"/>
        <v>0</v>
      </c>
      <c r="X383" s="3">
        <v>0</v>
      </c>
      <c r="Y383" s="77" t="str">
        <f t="shared" si="2046"/>
        <v/>
      </c>
      <c r="Z383" s="3"/>
      <c r="AA383" s="37" t="str">
        <f t="shared" si="2060"/>
        <v/>
      </c>
      <c r="AC383" s="40"/>
      <c r="AD383" s="7"/>
      <c r="AE383" s="77" t="str">
        <f t="shared" si="2047"/>
        <v/>
      </c>
      <c r="AF383" s="81">
        <f t="shared" si="2073"/>
        <v>0</v>
      </c>
      <c r="AG383" s="40"/>
      <c r="AH383" s="7"/>
      <c r="AI383" s="77" t="str">
        <f t="shared" si="2048"/>
        <v/>
      </c>
      <c r="AJ383" s="81">
        <f t="shared" si="2074"/>
        <v>0</v>
      </c>
      <c r="AK383" s="83">
        <f t="shared" si="2075"/>
        <v>0</v>
      </c>
      <c r="AL383" s="83">
        <f t="shared" si="2076"/>
        <v>0</v>
      </c>
      <c r="AN383" s="43">
        <f t="shared" si="2049"/>
        <v>0</v>
      </c>
      <c r="AP383" t="str">
        <f t="shared" si="2077"/>
        <v/>
      </c>
      <c r="AQ383" t="str">
        <f t="shared" si="2078"/>
        <v/>
      </c>
      <c r="AR383" t="str">
        <f t="shared" si="2079"/>
        <v/>
      </c>
      <c r="AS383" t="str">
        <f t="shared" si="2080"/>
        <v/>
      </c>
      <c r="AT383" t="str">
        <f t="shared" si="2081"/>
        <v/>
      </c>
      <c r="AU383" t="str">
        <f t="shared" si="2082"/>
        <v/>
      </c>
      <c r="AV383" t="str">
        <f t="shared" si="2083"/>
        <v/>
      </c>
      <c r="AW383" t="str">
        <f t="shared" si="2084"/>
        <v xml:space="preserve">                              </v>
      </c>
      <c r="AX383" s="23">
        <f t="shared" si="2085"/>
        <v>0</v>
      </c>
      <c r="AY383" s="49" t="str">
        <f t="shared" si="2061"/>
        <v>000000000000000</v>
      </c>
      <c r="AZ383" s="23">
        <f t="shared" si="2086"/>
        <v>0</v>
      </c>
      <c r="BA383" s="49" t="str">
        <f t="shared" si="2061"/>
        <v>000000000000000</v>
      </c>
      <c r="BB383" s="23">
        <f t="shared" si="2087"/>
        <v>0</v>
      </c>
      <c r="BC383" s="49" t="str">
        <f t="shared" ref="BC383" si="2400">IF(BB383&lt;0,SUBSTITUTE(TEXT(BB383,"000000000000,00"),",",""),SUBSTITUTE(TEXT(BB383,"0000000000000,00"),",",""))</f>
        <v>000000000000000</v>
      </c>
      <c r="BD383" s="23">
        <f t="shared" si="2089"/>
        <v>0</v>
      </c>
      <c r="BE383" s="49" t="str">
        <f t="shared" ref="BE383" si="2401">IF(BD383&lt;0,SUBSTITUTE(TEXT(BD383,"000000000000,00"),",",""),SUBSTITUTE(TEXT(BD383,"0000000000000,00"),",",""))</f>
        <v>000000000000000</v>
      </c>
      <c r="BF383" s="23">
        <f t="shared" si="2091"/>
        <v>0</v>
      </c>
      <c r="BG383" s="49" t="str">
        <f t="shared" ref="BG383" si="2402">IF(BF383&lt;0,SUBSTITUTE(TEXT(BF383,"000000000000,00"),",",""),SUBSTITUTE(TEXT(BF383,"0000000000000,00"),",",""))</f>
        <v>000000000000000</v>
      </c>
      <c r="BH383" s="23">
        <f t="shared" si="2093"/>
        <v>0</v>
      </c>
      <c r="BI383" s="49" t="str">
        <f t="shared" ref="BI383" si="2403">IF(BH383&lt;0,SUBSTITUTE(TEXT(BH383,"000000000000,00"),",",""),SUBSTITUTE(TEXT(BH383,"0000000000000,00"),",",""))</f>
        <v>000000000000000</v>
      </c>
      <c r="BJ383" s="23">
        <f t="shared" si="2095"/>
        <v>0</v>
      </c>
      <c r="BK383" s="49" t="str">
        <f t="shared" ref="BK383" si="2404">IF(BJ383&lt;0,SUBSTITUTE(TEXT(BJ383,"000000000000,00"),",",""),SUBSTITUTE(TEXT(BJ383,"0000000000000,00"),",",""))</f>
        <v>000000000000000</v>
      </c>
      <c r="BL383" s="23">
        <f t="shared" si="2097"/>
        <v>0</v>
      </c>
      <c r="BM383" s="49" t="str">
        <f t="shared" ref="BM383" si="2405">IF(BL383&lt;0,SUBSTITUTE(TEXT(BL383,"000000000000,00"),",",""),SUBSTITUTE(TEXT(BL383,"0000000000000,00"),",",""))</f>
        <v>000000000000000</v>
      </c>
      <c r="BN383" t="str">
        <f t="shared" si="2099"/>
        <v>PES</v>
      </c>
      <c r="BO383" t="str">
        <f t="shared" si="2100"/>
        <v>0001000000</v>
      </c>
      <c r="BP383">
        <f t="shared" si="2101"/>
        <v>0</v>
      </c>
      <c r="BQ383">
        <f t="shared" si="2102"/>
        <v>0</v>
      </c>
      <c r="BR383" s="23">
        <f t="shared" si="2103"/>
        <v>0</v>
      </c>
      <c r="BS383" s="49" t="str">
        <f t="shared" si="2068"/>
        <v>000000000000000</v>
      </c>
      <c r="BT383" t="str">
        <f t="shared" si="2104"/>
        <v>00000000</v>
      </c>
      <c r="BU383" s="23">
        <f t="shared" si="2105"/>
        <v>0</v>
      </c>
      <c r="BV383" s="49" t="str">
        <f t="shared" si="2069"/>
        <v/>
      </c>
      <c r="BW383" s="52" t="str">
        <f t="shared" si="2106"/>
        <v/>
      </c>
      <c r="BX383" s="23">
        <f t="shared" si="2107"/>
        <v>0</v>
      </c>
      <c r="BY383" s="49" t="str">
        <f t="shared" si="2070"/>
        <v/>
      </c>
      <c r="BZ383" s="23">
        <f t="shared" si="2108"/>
        <v>0</v>
      </c>
      <c r="CA383" s="49" t="str">
        <f t="shared" si="2071"/>
        <v/>
      </c>
      <c r="CB383" s="52" t="str">
        <f t="shared" si="2109"/>
        <v/>
      </c>
      <c r="CC383" s="23">
        <f t="shared" si="2110"/>
        <v>0</v>
      </c>
      <c r="CD383" s="49" t="str">
        <f t="shared" si="2072"/>
        <v/>
      </c>
      <c r="CE383" s="56" t="str">
        <f>IF(CF383="","",MAX(CE$10:$CE382)+1)</f>
        <v/>
      </c>
      <c r="CF383" t="str">
        <f t="shared" si="2111"/>
        <v/>
      </c>
      <c r="CG383" s="22" t="str">
        <f>IF(CH383="","",MAX($CG$10:CG382)+1)</f>
        <v/>
      </c>
      <c r="CH383" s="22" t="str">
        <f t="shared" si="2056"/>
        <v/>
      </c>
      <c r="CI383" s="22" t="str">
        <f>IF(CJ383="","",MAX($CI$10:CI382)+1)</f>
        <v/>
      </c>
      <c r="CJ383" s="22" t="str">
        <f t="shared" si="2057"/>
        <v/>
      </c>
    </row>
    <row r="384" spans="2:88" x14ac:dyDescent="0.25">
      <c r="B384" s="37"/>
      <c r="C384" s="3"/>
      <c r="D384" s="77" t="str">
        <f t="shared" si="2043"/>
        <v/>
      </c>
      <c r="E384" s="38"/>
      <c r="F384" s="38"/>
      <c r="G384" s="78">
        <f t="shared" si="2058"/>
        <v>0</v>
      </c>
      <c r="H384" s="3">
        <v>80</v>
      </c>
      <c r="I384" s="77" t="str">
        <f t="shared" si="2044"/>
        <v/>
      </c>
      <c r="J384" s="32"/>
      <c r="K384" s="3"/>
      <c r="L384" s="39"/>
      <c r="M384" s="39"/>
      <c r="N384" s="39"/>
      <c r="O384" s="39"/>
      <c r="P384" s="39"/>
      <c r="Q384" s="39"/>
      <c r="R384" s="39"/>
      <c r="S384" s="39"/>
      <c r="T384" s="3" t="s">
        <v>645</v>
      </c>
      <c r="U384" s="77" t="str">
        <f t="shared" si="2045"/>
        <v/>
      </c>
      <c r="V384" s="39">
        <v>1</v>
      </c>
      <c r="W384" s="79">
        <f t="shared" si="2059"/>
        <v>0</v>
      </c>
      <c r="X384" s="3">
        <v>0</v>
      </c>
      <c r="Y384" s="77" t="str">
        <f t="shared" si="2046"/>
        <v/>
      </c>
      <c r="Z384" s="3"/>
      <c r="AA384" s="37" t="str">
        <f t="shared" si="2060"/>
        <v/>
      </c>
      <c r="AC384" s="40"/>
      <c r="AD384" s="7"/>
      <c r="AE384" s="77" t="str">
        <f t="shared" si="2047"/>
        <v/>
      </c>
      <c r="AF384" s="81">
        <f t="shared" si="2073"/>
        <v>0</v>
      </c>
      <c r="AG384" s="40"/>
      <c r="AH384" s="7"/>
      <c r="AI384" s="77" t="str">
        <f t="shared" si="2048"/>
        <v/>
      </c>
      <c r="AJ384" s="81">
        <f t="shared" si="2074"/>
        <v>0</v>
      </c>
      <c r="AK384" s="83">
        <f t="shared" si="2075"/>
        <v>0</v>
      </c>
      <c r="AL384" s="83">
        <f t="shared" si="2076"/>
        <v>0</v>
      </c>
      <c r="AN384" s="43">
        <f t="shared" si="2049"/>
        <v>0</v>
      </c>
      <c r="AP384" t="str">
        <f t="shared" si="2077"/>
        <v/>
      </c>
      <c r="AQ384" t="str">
        <f t="shared" si="2078"/>
        <v/>
      </c>
      <c r="AR384" t="str">
        <f t="shared" si="2079"/>
        <v/>
      </c>
      <c r="AS384" t="str">
        <f t="shared" si="2080"/>
        <v/>
      </c>
      <c r="AT384" t="str">
        <f t="shared" si="2081"/>
        <v/>
      </c>
      <c r="AU384" t="str">
        <f t="shared" si="2082"/>
        <v/>
      </c>
      <c r="AV384" t="str">
        <f t="shared" si="2083"/>
        <v/>
      </c>
      <c r="AW384" t="str">
        <f t="shared" si="2084"/>
        <v xml:space="preserve">                              </v>
      </c>
      <c r="AX384" s="23">
        <f t="shared" si="2085"/>
        <v>0</v>
      </c>
      <c r="AY384" s="49" t="str">
        <f t="shared" si="2061"/>
        <v>000000000000000</v>
      </c>
      <c r="AZ384" s="23">
        <f t="shared" si="2086"/>
        <v>0</v>
      </c>
      <c r="BA384" s="49" t="str">
        <f t="shared" si="2061"/>
        <v>000000000000000</v>
      </c>
      <c r="BB384" s="23">
        <f t="shared" si="2087"/>
        <v>0</v>
      </c>
      <c r="BC384" s="49" t="str">
        <f t="shared" ref="BC384" si="2406">IF(BB384&lt;0,SUBSTITUTE(TEXT(BB384,"000000000000,00"),",",""),SUBSTITUTE(TEXT(BB384,"0000000000000,00"),",",""))</f>
        <v>000000000000000</v>
      </c>
      <c r="BD384" s="23">
        <f t="shared" si="2089"/>
        <v>0</v>
      </c>
      <c r="BE384" s="49" t="str">
        <f t="shared" ref="BE384" si="2407">IF(BD384&lt;0,SUBSTITUTE(TEXT(BD384,"000000000000,00"),",",""),SUBSTITUTE(TEXT(BD384,"0000000000000,00"),",",""))</f>
        <v>000000000000000</v>
      </c>
      <c r="BF384" s="23">
        <f t="shared" si="2091"/>
        <v>0</v>
      </c>
      <c r="BG384" s="49" t="str">
        <f t="shared" ref="BG384" si="2408">IF(BF384&lt;0,SUBSTITUTE(TEXT(BF384,"000000000000,00"),",",""),SUBSTITUTE(TEXT(BF384,"0000000000000,00"),",",""))</f>
        <v>000000000000000</v>
      </c>
      <c r="BH384" s="23">
        <f t="shared" si="2093"/>
        <v>0</v>
      </c>
      <c r="BI384" s="49" t="str">
        <f t="shared" ref="BI384" si="2409">IF(BH384&lt;0,SUBSTITUTE(TEXT(BH384,"000000000000,00"),",",""),SUBSTITUTE(TEXT(BH384,"0000000000000,00"),",",""))</f>
        <v>000000000000000</v>
      </c>
      <c r="BJ384" s="23">
        <f t="shared" si="2095"/>
        <v>0</v>
      </c>
      <c r="BK384" s="49" t="str">
        <f t="shared" ref="BK384" si="2410">IF(BJ384&lt;0,SUBSTITUTE(TEXT(BJ384,"000000000000,00"),",",""),SUBSTITUTE(TEXT(BJ384,"0000000000000,00"),",",""))</f>
        <v>000000000000000</v>
      </c>
      <c r="BL384" s="23">
        <f t="shared" si="2097"/>
        <v>0</v>
      </c>
      <c r="BM384" s="49" t="str">
        <f t="shared" ref="BM384" si="2411">IF(BL384&lt;0,SUBSTITUTE(TEXT(BL384,"000000000000,00"),",",""),SUBSTITUTE(TEXT(BL384,"0000000000000,00"),",",""))</f>
        <v>000000000000000</v>
      </c>
      <c r="BN384" t="str">
        <f t="shared" si="2099"/>
        <v>PES</v>
      </c>
      <c r="BO384" t="str">
        <f t="shared" si="2100"/>
        <v>0001000000</v>
      </c>
      <c r="BP384">
        <f t="shared" si="2101"/>
        <v>0</v>
      </c>
      <c r="BQ384">
        <f t="shared" si="2102"/>
        <v>0</v>
      </c>
      <c r="BR384" s="23">
        <f t="shared" si="2103"/>
        <v>0</v>
      </c>
      <c r="BS384" s="49" t="str">
        <f t="shared" si="2068"/>
        <v>000000000000000</v>
      </c>
      <c r="BT384" t="str">
        <f t="shared" si="2104"/>
        <v>00000000</v>
      </c>
      <c r="BU384" s="23">
        <f t="shared" si="2105"/>
        <v>0</v>
      </c>
      <c r="BV384" s="49" t="str">
        <f t="shared" si="2069"/>
        <v/>
      </c>
      <c r="BW384" s="52" t="str">
        <f t="shared" si="2106"/>
        <v/>
      </c>
      <c r="BX384" s="23">
        <f t="shared" si="2107"/>
        <v>0</v>
      </c>
      <c r="BY384" s="49" t="str">
        <f t="shared" si="2070"/>
        <v/>
      </c>
      <c r="BZ384" s="23">
        <f t="shared" si="2108"/>
        <v>0</v>
      </c>
      <c r="CA384" s="49" t="str">
        <f t="shared" si="2071"/>
        <v/>
      </c>
      <c r="CB384" s="52" t="str">
        <f t="shared" si="2109"/>
        <v/>
      </c>
      <c r="CC384" s="23">
        <f t="shared" si="2110"/>
        <v>0</v>
      </c>
      <c r="CD384" s="49" t="str">
        <f t="shared" si="2072"/>
        <v/>
      </c>
      <c r="CE384" s="56" t="str">
        <f>IF(CF384="","",MAX(CE$10:$CE383)+1)</f>
        <v/>
      </c>
      <c r="CF384" t="str">
        <f t="shared" si="2111"/>
        <v/>
      </c>
      <c r="CG384" s="22" t="str">
        <f>IF(CH384="","",MAX($CG$10:CG383)+1)</f>
        <v/>
      </c>
      <c r="CH384" s="22" t="str">
        <f t="shared" si="2056"/>
        <v/>
      </c>
      <c r="CI384" s="22" t="str">
        <f>IF(CJ384="","",MAX($CI$10:CI383)+1)</f>
        <v/>
      </c>
      <c r="CJ384" s="22" t="str">
        <f t="shared" si="2057"/>
        <v/>
      </c>
    </row>
    <row r="385" spans="2:88" x14ac:dyDescent="0.25">
      <c r="B385" s="37"/>
      <c r="C385" s="3"/>
      <c r="D385" s="77" t="str">
        <f t="shared" si="2043"/>
        <v/>
      </c>
      <c r="E385" s="38"/>
      <c r="F385" s="38"/>
      <c r="G385" s="78">
        <f t="shared" si="2058"/>
        <v>0</v>
      </c>
      <c r="H385" s="3">
        <v>80</v>
      </c>
      <c r="I385" s="77" t="str">
        <f t="shared" si="2044"/>
        <v/>
      </c>
      <c r="J385" s="32"/>
      <c r="K385" s="3"/>
      <c r="L385" s="39"/>
      <c r="M385" s="39"/>
      <c r="N385" s="39"/>
      <c r="O385" s="39"/>
      <c r="P385" s="39"/>
      <c r="Q385" s="39"/>
      <c r="R385" s="39"/>
      <c r="S385" s="39"/>
      <c r="T385" s="3" t="s">
        <v>645</v>
      </c>
      <c r="U385" s="77" t="str">
        <f t="shared" si="2045"/>
        <v/>
      </c>
      <c r="V385" s="39">
        <v>1</v>
      </c>
      <c r="W385" s="79">
        <f t="shared" si="2059"/>
        <v>0</v>
      </c>
      <c r="X385" s="3">
        <v>0</v>
      </c>
      <c r="Y385" s="77" t="str">
        <f t="shared" si="2046"/>
        <v/>
      </c>
      <c r="Z385" s="3"/>
      <c r="AA385" s="37" t="str">
        <f t="shared" si="2060"/>
        <v/>
      </c>
      <c r="AC385" s="40"/>
      <c r="AD385" s="7"/>
      <c r="AE385" s="77" t="str">
        <f t="shared" si="2047"/>
        <v/>
      </c>
      <c r="AF385" s="81">
        <f t="shared" si="2073"/>
        <v>0</v>
      </c>
      <c r="AG385" s="40"/>
      <c r="AH385" s="7"/>
      <c r="AI385" s="77" t="str">
        <f t="shared" si="2048"/>
        <v/>
      </c>
      <c r="AJ385" s="81">
        <f t="shared" si="2074"/>
        <v>0</v>
      </c>
      <c r="AK385" s="83">
        <f t="shared" si="2075"/>
        <v>0</v>
      </c>
      <c r="AL385" s="83">
        <f t="shared" si="2076"/>
        <v>0</v>
      </c>
      <c r="AN385" s="43">
        <f t="shared" si="2049"/>
        <v>0</v>
      </c>
      <c r="AP385" t="str">
        <f t="shared" si="2077"/>
        <v/>
      </c>
      <c r="AQ385" t="str">
        <f t="shared" si="2078"/>
        <v/>
      </c>
      <c r="AR385" t="str">
        <f t="shared" si="2079"/>
        <v/>
      </c>
      <c r="AS385" t="str">
        <f t="shared" si="2080"/>
        <v/>
      </c>
      <c r="AT385" t="str">
        <f t="shared" si="2081"/>
        <v/>
      </c>
      <c r="AU385" t="str">
        <f t="shared" si="2082"/>
        <v/>
      </c>
      <c r="AV385" t="str">
        <f t="shared" si="2083"/>
        <v/>
      </c>
      <c r="AW385" t="str">
        <f t="shared" si="2084"/>
        <v xml:space="preserve">                              </v>
      </c>
      <c r="AX385" s="23">
        <f t="shared" si="2085"/>
        <v>0</v>
      </c>
      <c r="AY385" s="49" t="str">
        <f t="shared" si="2061"/>
        <v>000000000000000</v>
      </c>
      <c r="AZ385" s="23">
        <f t="shared" si="2086"/>
        <v>0</v>
      </c>
      <c r="BA385" s="49" t="str">
        <f t="shared" si="2061"/>
        <v>000000000000000</v>
      </c>
      <c r="BB385" s="23">
        <f t="shared" si="2087"/>
        <v>0</v>
      </c>
      <c r="BC385" s="49" t="str">
        <f t="shared" ref="BC385" si="2412">IF(BB385&lt;0,SUBSTITUTE(TEXT(BB385,"000000000000,00"),",",""),SUBSTITUTE(TEXT(BB385,"0000000000000,00"),",",""))</f>
        <v>000000000000000</v>
      </c>
      <c r="BD385" s="23">
        <f t="shared" si="2089"/>
        <v>0</v>
      </c>
      <c r="BE385" s="49" t="str">
        <f t="shared" ref="BE385" si="2413">IF(BD385&lt;0,SUBSTITUTE(TEXT(BD385,"000000000000,00"),",",""),SUBSTITUTE(TEXT(BD385,"0000000000000,00"),",",""))</f>
        <v>000000000000000</v>
      </c>
      <c r="BF385" s="23">
        <f t="shared" si="2091"/>
        <v>0</v>
      </c>
      <c r="BG385" s="49" t="str">
        <f t="shared" ref="BG385" si="2414">IF(BF385&lt;0,SUBSTITUTE(TEXT(BF385,"000000000000,00"),",",""),SUBSTITUTE(TEXT(BF385,"0000000000000,00"),",",""))</f>
        <v>000000000000000</v>
      </c>
      <c r="BH385" s="23">
        <f t="shared" si="2093"/>
        <v>0</v>
      </c>
      <c r="BI385" s="49" t="str">
        <f t="shared" ref="BI385" si="2415">IF(BH385&lt;0,SUBSTITUTE(TEXT(BH385,"000000000000,00"),",",""),SUBSTITUTE(TEXT(BH385,"0000000000000,00"),",",""))</f>
        <v>000000000000000</v>
      </c>
      <c r="BJ385" s="23">
        <f t="shared" si="2095"/>
        <v>0</v>
      </c>
      <c r="BK385" s="49" t="str">
        <f t="shared" ref="BK385" si="2416">IF(BJ385&lt;0,SUBSTITUTE(TEXT(BJ385,"000000000000,00"),",",""),SUBSTITUTE(TEXT(BJ385,"0000000000000,00"),",",""))</f>
        <v>000000000000000</v>
      </c>
      <c r="BL385" s="23">
        <f t="shared" si="2097"/>
        <v>0</v>
      </c>
      <c r="BM385" s="49" t="str">
        <f t="shared" ref="BM385" si="2417">IF(BL385&lt;0,SUBSTITUTE(TEXT(BL385,"000000000000,00"),",",""),SUBSTITUTE(TEXT(BL385,"0000000000000,00"),",",""))</f>
        <v>000000000000000</v>
      </c>
      <c r="BN385" t="str">
        <f t="shared" si="2099"/>
        <v>PES</v>
      </c>
      <c r="BO385" t="str">
        <f t="shared" si="2100"/>
        <v>0001000000</v>
      </c>
      <c r="BP385">
        <f t="shared" si="2101"/>
        <v>0</v>
      </c>
      <c r="BQ385">
        <f t="shared" si="2102"/>
        <v>0</v>
      </c>
      <c r="BR385" s="23">
        <f t="shared" si="2103"/>
        <v>0</v>
      </c>
      <c r="BS385" s="49" t="str">
        <f t="shared" si="2068"/>
        <v>000000000000000</v>
      </c>
      <c r="BT385" t="str">
        <f t="shared" si="2104"/>
        <v>00000000</v>
      </c>
      <c r="BU385" s="23">
        <f t="shared" si="2105"/>
        <v>0</v>
      </c>
      <c r="BV385" s="49" t="str">
        <f t="shared" si="2069"/>
        <v/>
      </c>
      <c r="BW385" s="52" t="str">
        <f t="shared" si="2106"/>
        <v/>
      </c>
      <c r="BX385" s="23">
        <f t="shared" si="2107"/>
        <v>0</v>
      </c>
      <c r="BY385" s="49" t="str">
        <f t="shared" si="2070"/>
        <v/>
      </c>
      <c r="BZ385" s="23">
        <f t="shared" si="2108"/>
        <v>0</v>
      </c>
      <c r="CA385" s="49" t="str">
        <f t="shared" si="2071"/>
        <v/>
      </c>
      <c r="CB385" s="52" t="str">
        <f t="shared" si="2109"/>
        <v/>
      </c>
      <c r="CC385" s="23">
        <f t="shared" si="2110"/>
        <v>0</v>
      </c>
      <c r="CD385" s="49" t="str">
        <f t="shared" si="2072"/>
        <v/>
      </c>
      <c r="CE385" s="56" t="str">
        <f>IF(CF385="","",MAX(CE$10:$CE384)+1)</f>
        <v/>
      </c>
      <c r="CF385" t="str">
        <f t="shared" si="2111"/>
        <v/>
      </c>
      <c r="CG385" s="22" t="str">
        <f>IF(CH385="","",MAX($CG$10:CG384)+1)</f>
        <v/>
      </c>
      <c r="CH385" s="22" t="str">
        <f t="shared" si="2056"/>
        <v/>
      </c>
      <c r="CI385" s="22" t="str">
        <f>IF(CJ385="","",MAX($CI$10:CI384)+1)</f>
        <v/>
      </c>
      <c r="CJ385" s="22" t="str">
        <f t="shared" si="2057"/>
        <v/>
      </c>
    </row>
    <row r="386" spans="2:88" x14ac:dyDescent="0.25">
      <c r="B386" s="37"/>
      <c r="C386" s="3"/>
      <c r="D386" s="77" t="str">
        <f t="shared" si="2043"/>
        <v/>
      </c>
      <c r="E386" s="38"/>
      <c r="F386" s="38"/>
      <c r="G386" s="78">
        <f t="shared" si="2058"/>
        <v>0</v>
      </c>
      <c r="H386" s="3">
        <v>80</v>
      </c>
      <c r="I386" s="77" t="str">
        <f t="shared" si="2044"/>
        <v/>
      </c>
      <c r="J386" s="32"/>
      <c r="K386" s="3"/>
      <c r="L386" s="39"/>
      <c r="M386" s="39"/>
      <c r="N386" s="39"/>
      <c r="O386" s="39"/>
      <c r="P386" s="39"/>
      <c r="Q386" s="39"/>
      <c r="R386" s="39"/>
      <c r="S386" s="39"/>
      <c r="T386" s="3" t="s">
        <v>645</v>
      </c>
      <c r="U386" s="77" t="str">
        <f t="shared" si="2045"/>
        <v/>
      </c>
      <c r="V386" s="39">
        <v>1</v>
      </c>
      <c r="W386" s="79">
        <f t="shared" si="2059"/>
        <v>0</v>
      </c>
      <c r="X386" s="3">
        <v>0</v>
      </c>
      <c r="Y386" s="77" t="str">
        <f t="shared" si="2046"/>
        <v/>
      </c>
      <c r="Z386" s="3"/>
      <c r="AA386" s="37" t="str">
        <f t="shared" si="2060"/>
        <v/>
      </c>
      <c r="AC386" s="40"/>
      <c r="AD386" s="7"/>
      <c r="AE386" s="77" t="str">
        <f t="shared" si="2047"/>
        <v/>
      </c>
      <c r="AF386" s="81">
        <f t="shared" si="2073"/>
        <v>0</v>
      </c>
      <c r="AG386" s="40"/>
      <c r="AH386" s="7"/>
      <c r="AI386" s="77" t="str">
        <f t="shared" si="2048"/>
        <v/>
      </c>
      <c r="AJ386" s="81">
        <f t="shared" si="2074"/>
        <v>0</v>
      </c>
      <c r="AK386" s="83">
        <f t="shared" si="2075"/>
        <v>0</v>
      </c>
      <c r="AL386" s="83">
        <f t="shared" si="2076"/>
        <v>0</v>
      </c>
      <c r="AN386" s="43">
        <f t="shared" si="2049"/>
        <v>0</v>
      </c>
      <c r="AP386" t="str">
        <f t="shared" si="2077"/>
        <v/>
      </c>
      <c r="AQ386" t="str">
        <f t="shared" si="2078"/>
        <v/>
      </c>
      <c r="AR386" t="str">
        <f t="shared" si="2079"/>
        <v/>
      </c>
      <c r="AS386" t="str">
        <f t="shared" si="2080"/>
        <v/>
      </c>
      <c r="AT386" t="str">
        <f t="shared" si="2081"/>
        <v/>
      </c>
      <c r="AU386" t="str">
        <f t="shared" si="2082"/>
        <v/>
      </c>
      <c r="AV386" t="str">
        <f t="shared" si="2083"/>
        <v/>
      </c>
      <c r="AW386" t="str">
        <f t="shared" si="2084"/>
        <v xml:space="preserve">                              </v>
      </c>
      <c r="AX386" s="23">
        <f t="shared" si="2085"/>
        <v>0</v>
      </c>
      <c r="AY386" s="49" t="str">
        <f t="shared" si="2061"/>
        <v>000000000000000</v>
      </c>
      <c r="AZ386" s="23">
        <f t="shared" si="2086"/>
        <v>0</v>
      </c>
      <c r="BA386" s="49" t="str">
        <f t="shared" si="2061"/>
        <v>000000000000000</v>
      </c>
      <c r="BB386" s="23">
        <f t="shared" si="2087"/>
        <v>0</v>
      </c>
      <c r="BC386" s="49" t="str">
        <f t="shared" ref="BC386" si="2418">IF(BB386&lt;0,SUBSTITUTE(TEXT(BB386,"000000000000,00"),",",""),SUBSTITUTE(TEXT(BB386,"0000000000000,00"),",",""))</f>
        <v>000000000000000</v>
      </c>
      <c r="BD386" s="23">
        <f t="shared" si="2089"/>
        <v>0</v>
      </c>
      <c r="BE386" s="49" t="str">
        <f t="shared" ref="BE386" si="2419">IF(BD386&lt;0,SUBSTITUTE(TEXT(BD386,"000000000000,00"),",",""),SUBSTITUTE(TEXT(BD386,"0000000000000,00"),",",""))</f>
        <v>000000000000000</v>
      </c>
      <c r="BF386" s="23">
        <f t="shared" si="2091"/>
        <v>0</v>
      </c>
      <c r="BG386" s="49" t="str">
        <f t="shared" ref="BG386" si="2420">IF(BF386&lt;0,SUBSTITUTE(TEXT(BF386,"000000000000,00"),",",""),SUBSTITUTE(TEXT(BF386,"0000000000000,00"),",",""))</f>
        <v>000000000000000</v>
      </c>
      <c r="BH386" s="23">
        <f t="shared" si="2093"/>
        <v>0</v>
      </c>
      <c r="BI386" s="49" t="str">
        <f t="shared" ref="BI386" si="2421">IF(BH386&lt;0,SUBSTITUTE(TEXT(BH386,"000000000000,00"),",",""),SUBSTITUTE(TEXT(BH386,"0000000000000,00"),",",""))</f>
        <v>000000000000000</v>
      </c>
      <c r="BJ386" s="23">
        <f t="shared" si="2095"/>
        <v>0</v>
      </c>
      <c r="BK386" s="49" t="str">
        <f t="shared" ref="BK386" si="2422">IF(BJ386&lt;0,SUBSTITUTE(TEXT(BJ386,"000000000000,00"),",",""),SUBSTITUTE(TEXT(BJ386,"0000000000000,00"),",",""))</f>
        <v>000000000000000</v>
      </c>
      <c r="BL386" s="23">
        <f t="shared" si="2097"/>
        <v>0</v>
      </c>
      <c r="BM386" s="49" t="str">
        <f t="shared" ref="BM386" si="2423">IF(BL386&lt;0,SUBSTITUTE(TEXT(BL386,"000000000000,00"),",",""),SUBSTITUTE(TEXT(BL386,"0000000000000,00"),",",""))</f>
        <v>000000000000000</v>
      </c>
      <c r="BN386" t="str">
        <f t="shared" si="2099"/>
        <v>PES</v>
      </c>
      <c r="BO386" t="str">
        <f t="shared" si="2100"/>
        <v>0001000000</v>
      </c>
      <c r="BP386">
        <f t="shared" si="2101"/>
        <v>0</v>
      </c>
      <c r="BQ386">
        <f t="shared" si="2102"/>
        <v>0</v>
      </c>
      <c r="BR386" s="23">
        <f t="shared" si="2103"/>
        <v>0</v>
      </c>
      <c r="BS386" s="49" t="str">
        <f t="shared" si="2068"/>
        <v>000000000000000</v>
      </c>
      <c r="BT386" t="str">
        <f t="shared" si="2104"/>
        <v>00000000</v>
      </c>
      <c r="BU386" s="23">
        <f t="shared" si="2105"/>
        <v>0</v>
      </c>
      <c r="BV386" s="49" t="str">
        <f t="shared" si="2069"/>
        <v/>
      </c>
      <c r="BW386" s="52" t="str">
        <f t="shared" si="2106"/>
        <v/>
      </c>
      <c r="BX386" s="23">
        <f t="shared" si="2107"/>
        <v>0</v>
      </c>
      <c r="BY386" s="49" t="str">
        <f t="shared" si="2070"/>
        <v/>
      </c>
      <c r="BZ386" s="23">
        <f t="shared" si="2108"/>
        <v>0</v>
      </c>
      <c r="CA386" s="49" t="str">
        <f t="shared" si="2071"/>
        <v/>
      </c>
      <c r="CB386" s="52" t="str">
        <f t="shared" si="2109"/>
        <v/>
      </c>
      <c r="CC386" s="23">
        <f t="shared" si="2110"/>
        <v>0</v>
      </c>
      <c r="CD386" s="49" t="str">
        <f t="shared" si="2072"/>
        <v/>
      </c>
      <c r="CE386" s="56" t="str">
        <f>IF(CF386="","",MAX(CE$10:$CE385)+1)</f>
        <v/>
      </c>
      <c r="CF386" t="str">
        <f t="shared" si="2111"/>
        <v/>
      </c>
      <c r="CG386" s="22" t="str">
        <f>IF(CH386="","",MAX($CG$10:CG385)+1)</f>
        <v/>
      </c>
      <c r="CH386" s="22" t="str">
        <f t="shared" si="2056"/>
        <v/>
      </c>
      <c r="CI386" s="22" t="str">
        <f>IF(CJ386="","",MAX($CI$10:CI385)+1)</f>
        <v/>
      </c>
      <c r="CJ386" s="22" t="str">
        <f t="shared" si="2057"/>
        <v/>
      </c>
    </row>
    <row r="387" spans="2:88" x14ac:dyDescent="0.25">
      <c r="B387" s="37"/>
      <c r="C387" s="3"/>
      <c r="D387" s="77" t="str">
        <f t="shared" si="2043"/>
        <v/>
      </c>
      <c r="E387" s="38"/>
      <c r="F387" s="38"/>
      <c r="G387" s="78">
        <f t="shared" si="2058"/>
        <v>0</v>
      </c>
      <c r="H387" s="3">
        <v>80</v>
      </c>
      <c r="I387" s="77" t="str">
        <f t="shared" si="2044"/>
        <v/>
      </c>
      <c r="J387" s="32"/>
      <c r="K387" s="3"/>
      <c r="L387" s="39"/>
      <c r="M387" s="39"/>
      <c r="N387" s="39"/>
      <c r="O387" s="39"/>
      <c r="P387" s="39"/>
      <c r="Q387" s="39"/>
      <c r="R387" s="39"/>
      <c r="S387" s="39"/>
      <c r="T387" s="3" t="s">
        <v>645</v>
      </c>
      <c r="U387" s="77" t="str">
        <f t="shared" si="2045"/>
        <v/>
      </c>
      <c r="V387" s="39">
        <v>1</v>
      </c>
      <c r="W387" s="79">
        <f t="shared" si="2059"/>
        <v>0</v>
      </c>
      <c r="X387" s="3">
        <v>0</v>
      </c>
      <c r="Y387" s="77" t="str">
        <f t="shared" si="2046"/>
        <v/>
      </c>
      <c r="Z387" s="3"/>
      <c r="AA387" s="37" t="str">
        <f t="shared" si="2060"/>
        <v/>
      </c>
      <c r="AC387" s="40"/>
      <c r="AD387" s="7"/>
      <c r="AE387" s="77" t="str">
        <f t="shared" si="2047"/>
        <v/>
      </c>
      <c r="AF387" s="81">
        <f t="shared" si="2073"/>
        <v>0</v>
      </c>
      <c r="AG387" s="40"/>
      <c r="AH387" s="7"/>
      <c r="AI387" s="77" t="str">
        <f t="shared" si="2048"/>
        <v/>
      </c>
      <c r="AJ387" s="81">
        <f t="shared" si="2074"/>
        <v>0</v>
      </c>
      <c r="AK387" s="83">
        <f t="shared" si="2075"/>
        <v>0</v>
      </c>
      <c r="AL387" s="83">
        <f t="shared" si="2076"/>
        <v>0</v>
      </c>
      <c r="AN387" s="43">
        <f t="shared" si="2049"/>
        <v>0</v>
      </c>
      <c r="AP387" t="str">
        <f t="shared" si="2077"/>
        <v/>
      </c>
      <c r="AQ387" t="str">
        <f t="shared" si="2078"/>
        <v/>
      </c>
      <c r="AR387" t="str">
        <f t="shared" si="2079"/>
        <v/>
      </c>
      <c r="AS387" t="str">
        <f t="shared" si="2080"/>
        <v/>
      </c>
      <c r="AT387" t="str">
        <f t="shared" si="2081"/>
        <v/>
      </c>
      <c r="AU387" t="str">
        <f t="shared" si="2082"/>
        <v/>
      </c>
      <c r="AV387" t="str">
        <f t="shared" si="2083"/>
        <v/>
      </c>
      <c r="AW387" t="str">
        <f t="shared" si="2084"/>
        <v xml:space="preserve">                              </v>
      </c>
      <c r="AX387" s="23">
        <f t="shared" si="2085"/>
        <v>0</v>
      </c>
      <c r="AY387" s="49" t="str">
        <f t="shared" si="2061"/>
        <v>000000000000000</v>
      </c>
      <c r="AZ387" s="23">
        <f t="shared" si="2086"/>
        <v>0</v>
      </c>
      <c r="BA387" s="49" t="str">
        <f t="shared" si="2061"/>
        <v>000000000000000</v>
      </c>
      <c r="BB387" s="23">
        <f t="shared" si="2087"/>
        <v>0</v>
      </c>
      <c r="BC387" s="49" t="str">
        <f t="shared" ref="BC387" si="2424">IF(BB387&lt;0,SUBSTITUTE(TEXT(BB387,"000000000000,00"),",",""),SUBSTITUTE(TEXT(BB387,"0000000000000,00"),",",""))</f>
        <v>000000000000000</v>
      </c>
      <c r="BD387" s="23">
        <f t="shared" si="2089"/>
        <v>0</v>
      </c>
      <c r="BE387" s="49" t="str">
        <f t="shared" ref="BE387" si="2425">IF(BD387&lt;0,SUBSTITUTE(TEXT(BD387,"000000000000,00"),",",""),SUBSTITUTE(TEXT(BD387,"0000000000000,00"),",",""))</f>
        <v>000000000000000</v>
      </c>
      <c r="BF387" s="23">
        <f t="shared" si="2091"/>
        <v>0</v>
      </c>
      <c r="BG387" s="49" t="str">
        <f t="shared" ref="BG387" si="2426">IF(BF387&lt;0,SUBSTITUTE(TEXT(BF387,"000000000000,00"),",",""),SUBSTITUTE(TEXT(BF387,"0000000000000,00"),",",""))</f>
        <v>000000000000000</v>
      </c>
      <c r="BH387" s="23">
        <f t="shared" si="2093"/>
        <v>0</v>
      </c>
      <c r="BI387" s="49" t="str">
        <f t="shared" ref="BI387" si="2427">IF(BH387&lt;0,SUBSTITUTE(TEXT(BH387,"000000000000,00"),",",""),SUBSTITUTE(TEXT(BH387,"0000000000000,00"),",",""))</f>
        <v>000000000000000</v>
      </c>
      <c r="BJ387" s="23">
        <f t="shared" si="2095"/>
        <v>0</v>
      </c>
      <c r="BK387" s="49" t="str">
        <f t="shared" ref="BK387" si="2428">IF(BJ387&lt;0,SUBSTITUTE(TEXT(BJ387,"000000000000,00"),",",""),SUBSTITUTE(TEXT(BJ387,"0000000000000,00"),",",""))</f>
        <v>000000000000000</v>
      </c>
      <c r="BL387" s="23">
        <f t="shared" si="2097"/>
        <v>0</v>
      </c>
      <c r="BM387" s="49" t="str">
        <f t="shared" ref="BM387" si="2429">IF(BL387&lt;0,SUBSTITUTE(TEXT(BL387,"000000000000,00"),",",""),SUBSTITUTE(TEXT(BL387,"0000000000000,00"),",",""))</f>
        <v>000000000000000</v>
      </c>
      <c r="BN387" t="str">
        <f t="shared" si="2099"/>
        <v>PES</v>
      </c>
      <c r="BO387" t="str">
        <f t="shared" si="2100"/>
        <v>0001000000</v>
      </c>
      <c r="BP387">
        <f t="shared" si="2101"/>
        <v>0</v>
      </c>
      <c r="BQ387">
        <f t="shared" si="2102"/>
        <v>0</v>
      </c>
      <c r="BR387" s="23">
        <f t="shared" si="2103"/>
        <v>0</v>
      </c>
      <c r="BS387" s="49" t="str">
        <f t="shared" si="2068"/>
        <v>000000000000000</v>
      </c>
      <c r="BT387" t="str">
        <f t="shared" si="2104"/>
        <v>00000000</v>
      </c>
      <c r="BU387" s="23">
        <f t="shared" si="2105"/>
        <v>0</v>
      </c>
      <c r="BV387" s="49" t="str">
        <f t="shared" si="2069"/>
        <v/>
      </c>
      <c r="BW387" s="52" t="str">
        <f t="shared" si="2106"/>
        <v/>
      </c>
      <c r="BX387" s="23">
        <f t="shared" si="2107"/>
        <v>0</v>
      </c>
      <c r="BY387" s="49" t="str">
        <f t="shared" si="2070"/>
        <v/>
      </c>
      <c r="BZ387" s="23">
        <f t="shared" si="2108"/>
        <v>0</v>
      </c>
      <c r="CA387" s="49" t="str">
        <f t="shared" si="2071"/>
        <v/>
      </c>
      <c r="CB387" s="52" t="str">
        <f t="shared" si="2109"/>
        <v/>
      </c>
      <c r="CC387" s="23">
        <f t="shared" si="2110"/>
        <v>0</v>
      </c>
      <c r="CD387" s="49" t="str">
        <f t="shared" si="2072"/>
        <v/>
      </c>
      <c r="CE387" s="56" t="str">
        <f>IF(CF387="","",MAX(CE$10:$CE386)+1)</f>
        <v/>
      </c>
      <c r="CF387" t="str">
        <f t="shared" si="2111"/>
        <v/>
      </c>
      <c r="CG387" s="22" t="str">
        <f>IF(CH387="","",MAX($CG$10:CG386)+1)</f>
        <v/>
      </c>
      <c r="CH387" s="22" t="str">
        <f t="shared" si="2056"/>
        <v/>
      </c>
      <c r="CI387" s="22" t="str">
        <f>IF(CJ387="","",MAX($CI$10:CI386)+1)</f>
        <v/>
      </c>
      <c r="CJ387" s="22" t="str">
        <f t="shared" si="2057"/>
        <v/>
      </c>
    </row>
    <row r="388" spans="2:88" x14ac:dyDescent="0.25">
      <c r="B388" s="37"/>
      <c r="C388" s="3"/>
      <c r="D388" s="77" t="str">
        <f t="shared" si="2043"/>
        <v/>
      </c>
      <c r="E388" s="38"/>
      <c r="F388" s="38"/>
      <c r="G388" s="78">
        <f t="shared" si="2058"/>
        <v>0</v>
      </c>
      <c r="H388" s="3">
        <v>80</v>
      </c>
      <c r="I388" s="77" t="str">
        <f t="shared" si="2044"/>
        <v/>
      </c>
      <c r="J388" s="32"/>
      <c r="K388" s="3"/>
      <c r="L388" s="39"/>
      <c r="M388" s="39"/>
      <c r="N388" s="39"/>
      <c r="O388" s="39"/>
      <c r="P388" s="39"/>
      <c r="Q388" s="39"/>
      <c r="R388" s="39"/>
      <c r="S388" s="39"/>
      <c r="T388" s="3" t="s">
        <v>645</v>
      </c>
      <c r="U388" s="77" t="str">
        <f t="shared" si="2045"/>
        <v/>
      </c>
      <c r="V388" s="39">
        <v>1</v>
      </c>
      <c r="W388" s="79">
        <f t="shared" si="2059"/>
        <v>0</v>
      </c>
      <c r="X388" s="3">
        <v>0</v>
      </c>
      <c r="Y388" s="77" t="str">
        <f t="shared" si="2046"/>
        <v/>
      </c>
      <c r="Z388" s="3"/>
      <c r="AA388" s="37" t="str">
        <f t="shared" si="2060"/>
        <v/>
      </c>
      <c r="AC388" s="40"/>
      <c r="AD388" s="7"/>
      <c r="AE388" s="77" t="str">
        <f t="shared" si="2047"/>
        <v/>
      </c>
      <c r="AF388" s="81">
        <f t="shared" si="2073"/>
        <v>0</v>
      </c>
      <c r="AG388" s="40"/>
      <c r="AH388" s="7"/>
      <c r="AI388" s="77" t="str">
        <f t="shared" si="2048"/>
        <v/>
      </c>
      <c r="AJ388" s="81">
        <f t="shared" si="2074"/>
        <v>0</v>
      </c>
      <c r="AK388" s="83">
        <f t="shared" si="2075"/>
        <v>0</v>
      </c>
      <c r="AL388" s="83">
        <f t="shared" si="2076"/>
        <v>0</v>
      </c>
      <c r="AN388" s="43">
        <f t="shared" si="2049"/>
        <v>0</v>
      </c>
      <c r="AP388" t="str">
        <f t="shared" si="2077"/>
        <v/>
      </c>
      <c r="AQ388" t="str">
        <f t="shared" si="2078"/>
        <v/>
      </c>
      <c r="AR388" t="str">
        <f t="shared" si="2079"/>
        <v/>
      </c>
      <c r="AS388" t="str">
        <f t="shared" si="2080"/>
        <v/>
      </c>
      <c r="AT388" t="str">
        <f t="shared" si="2081"/>
        <v/>
      </c>
      <c r="AU388" t="str">
        <f t="shared" si="2082"/>
        <v/>
      </c>
      <c r="AV388" t="str">
        <f t="shared" si="2083"/>
        <v/>
      </c>
      <c r="AW388" t="str">
        <f t="shared" si="2084"/>
        <v xml:space="preserve">                              </v>
      </c>
      <c r="AX388" s="23">
        <f t="shared" si="2085"/>
        <v>0</v>
      </c>
      <c r="AY388" s="49" t="str">
        <f t="shared" si="2061"/>
        <v>000000000000000</v>
      </c>
      <c r="AZ388" s="23">
        <f t="shared" si="2086"/>
        <v>0</v>
      </c>
      <c r="BA388" s="49" t="str">
        <f t="shared" si="2061"/>
        <v>000000000000000</v>
      </c>
      <c r="BB388" s="23">
        <f t="shared" si="2087"/>
        <v>0</v>
      </c>
      <c r="BC388" s="49" t="str">
        <f t="shared" ref="BC388" si="2430">IF(BB388&lt;0,SUBSTITUTE(TEXT(BB388,"000000000000,00"),",",""),SUBSTITUTE(TEXT(BB388,"0000000000000,00"),",",""))</f>
        <v>000000000000000</v>
      </c>
      <c r="BD388" s="23">
        <f t="shared" si="2089"/>
        <v>0</v>
      </c>
      <c r="BE388" s="49" t="str">
        <f t="shared" ref="BE388" si="2431">IF(BD388&lt;0,SUBSTITUTE(TEXT(BD388,"000000000000,00"),",",""),SUBSTITUTE(TEXT(BD388,"0000000000000,00"),",",""))</f>
        <v>000000000000000</v>
      </c>
      <c r="BF388" s="23">
        <f t="shared" si="2091"/>
        <v>0</v>
      </c>
      <c r="BG388" s="49" t="str">
        <f t="shared" ref="BG388" si="2432">IF(BF388&lt;0,SUBSTITUTE(TEXT(BF388,"000000000000,00"),",",""),SUBSTITUTE(TEXT(BF388,"0000000000000,00"),",",""))</f>
        <v>000000000000000</v>
      </c>
      <c r="BH388" s="23">
        <f t="shared" si="2093"/>
        <v>0</v>
      </c>
      <c r="BI388" s="49" t="str">
        <f t="shared" ref="BI388" si="2433">IF(BH388&lt;0,SUBSTITUTE(TEXT(BH388,"000000000000,00"),",",""),SUBSTITUTE(TEXT(BH388,"0000000000000,00"),",",""))</f>
        <v>000000000000000</v>
      </c>
      <c r="BJ388" s="23">
        <f t="shared" si="2095"/>
        <v>0</v>
      </c>
      <c r="BK388" s="49" t="str">
        <f t="shared" ref="BK388" si="2434">IF(BJ388&lt;0,SUBSTITUTE(TEXT(BJ388,"000000000000,00"),",",""),SUBSTITUTE(TEXT(BJ388,"0000000000000,00"),",",""))</f>
        <v>000000000000000</v>
      </c>
      <c r="BL388" s="23">
        <f t="shared" si="2097"/>
        <v>0</v>
      </c>
      <c r="BM388" s="49" t="str">
        <f t="shared" ref="BM388" si="2435">IF(BL388&lt;0,SUBSTITUTE(TEXT(BL388,"000000000000,00"),",",""),SUBSTITUTE(TEXT(BL388,"0000000000000,00"),",",""))</f>
        <v>000000000000000</v>
      </c>
      <c r="BN388" t="str">
        <f t="shared" si="2099"/>
        <v>PES</v>
      </c>
      <c r="BO388" t="str">
        <f t="shared" si="2100"/>
        <v>0001000000</v>
      </c>
      <c r="BP388">
        <f t="shared" si="2101"/>
        <v>0</v>
      </c>
      <c r="BQ388">
        <f t="shared" si="2102"/>
        <v>0</v>
      </c>
      <c r="BR388" s="23">
        <f t="shared" si="2103"/>
        <v>0</v>
      </c>
      <c r="BS388" s="49" t="str">
        <f t="shared" si="2068"/>
        <v>000000000000000</v>
      </c>
      <c r="BT388" t="str">
        <f t="shared" si="2104"/>
        <v>00000000</v>
      </c>
      <c r="BU388" s="23">
        <f t="shared" si="2105"/>
        <v>0</v>
      </c>
      <c r="BV388" s="49" t="str">
        <f t="shared" si="2069"/>
        <v/>
      </c>
      <c r="BW388" s="52" t="str">
        <f t="shared" si="2106"/>
        <v/>
      </c>
      <c r="BX388" s="23">
        <f t="shared" si="2107"/>
        <v>0</v>
      </c>
      <c r="BY388" s="49" t="str">
        <f t="shared" si="2070"/>
        <v/>
      </c>
      <c r="BZ388" s="23">
        <f t="shared" si="2108"/>
        <v>0</v>
      </c>
      <c r="CA388" s="49" t="str">
        <f t="shared" si="2071"/>
        <v/>
      </c>
      <c r="CB388" s="52" t="str">
        <f t="shared" si="2109"/>
        <v/>
      </c>
      <c r="CC388" s="23">
        <f t="shared" si="2110"/>
        <v>0</v>
      </c>
      <c r="CD388" s="49" t="str">
        <f t="shared" si="2072"/>
        <v/>
      </c>
      <c r="CE388" s="56" t="str">
        <f>IF(CF388="","",MAX(CE$10:$CE387)+1)</f>
        <v/>
      </c>
      <c r="CF388" t="str">
        <f t="shared" si="2111"/>
        <v/>
      </c>
      <c r="CG388" s="22" t="str">
        <f>IF(CH388="","",MAX($CG$10:CG387)+1)</f>
        <v/>
      </c>
      <c r="CH388" s="22" t="str">
        <f t="shared" si="2056"/>
        <v/>
      </c>
      <c r="CI388" s="22" t="str">
        <f>IF(CJ388="","",MAX($CI$10:CI387)+1)</f>
        <v/>
      </c>
      <c r="CJ388" s="22" t="str">
        <f t="shared" si="2057"/>
        <v/>
      </c>
    </row>
    <row r="389" spans="2:88" x14ac:dyDescent="0.25">
      <c r="B389" s="37"/>
      <c r="C389" s="3"/>
      <c r="D389" s="77" t="str">
        <f t="shared" si="2043"/>
        <v/>
      </c>
      <c r="E389" s="38"/>
      <c r="F389" s="38"/>
      <c r="G389" s="78">
        <f t="shared" si="2058"/>
        <v>0</v>
      </c>
      <c r="H389" s="3">
        <v>80</v>
      </c>
      <c r="I389" s="77" t="str">
        <f t="shared" si="2044"/>
        <v/>
      </c>
      <c r="J389" s="32"/>
      <c r="K389" s="3"/>
      <c r="L389" s="39"/>
      <c r="M389" s="39"/>
      <c r="N389" s="39"/>
      <c r="O389" s="39"/>
      <c r="P389" s="39"/>
      <c r="Q389" s="39"/>
      <c r="R389" s="39"/>
      <c r="S389" s="39"/>
      <c r="T389" s="3" t="s">
        <v>645</v>
      </c>
      <c r="U389" s="77" t="str">
        <f t="shared" si="2045"/>
        <v/>
      </c>
      <c r="V389" s="39">
        <v>1</v>
      </c>
      <c r="W389" s="79">
        <f t="shared" si="2059"/>
        <v>0</v>
      </c>
      <c r="X389" s="3">
        <v>0</v>
      </c>
      <c r="Y389" s="77" t="str">
        <f t="shared" si="2046"/>
        <v/>
      </c>
      <c r="Z389" s="3"/>
      <c r="AA389" s="37" t="str">
        <f t="shared" si="2060"/>
        <v/>
      </c>
      <c r="AC389" s="40"/>
      <c r="AD389" s="7"/>
      <c r="AE389" s="77" t="str">
        <f t="shared" si="2047"/>
        <v/>
      </c>
      <c r="AF389" s="81">
        <f t="shared" si="2073"/>
        <v>0</v>
      </c>
      <c r="AG389" s="40"/>
      <c r="AH389" s="7"/>
      <c r="AI389" s="77" t="str">
        <f t="shared" si="2048"/>
        <v/>
      </c>
      <c r="AJ389" s="81">
        <f t="shared" si="2074"/>
        <v>0</v>
      </c>
      <c r="AK389" s="83">
        <f t="shared" si="2075"/>
        <v>0</v>
      </c>
      <c r="AL389" s="83">
        <f t="shared" si="2076"/>
        <v>0</v>
      </c>
      <c r="AN389" s="43">
        <f t="shared" si="2049"/>
        <v>0</v>
      </c>
      <c r="AP389" t="str">
        <f t="shared" si="2077"/>
        <v/>
      </c>
      <c r="AQ389" t="str">
        <f t="shared" si="2078"/>
        <v/>
      </c>
      <c r="AR389" t="str">
        <f t="shared" si="2079"/>
        <v/>
      </c>
      <c r="AS389" t="str">
        <f t="shared" si="2080"/>
        <v/>
      </c>
      <c r="AT389" t="str">
        <f t="shared" si="2081"/>
        <v/>
      </c>
      <c r="AU389" t="str">
        <f t="shared" si="2082"/>
        <v/>
      </c>
      <c r="AV389" t="str">
        <f t="shared" si="2083"/>
        <v/>
      </c>
      <c r="AW389" t="str">
        <f t="shared" si="2084"/>
        <v xml:space="preserve">                              </v>
      </c>
      <c r="AX389" s="23">
        <f t="shared" si="2085"/>
        <v>0</v>
      </c>
      <c r="AY389" s="49" t="str">
        <f t="shared" si="2061"/>
        <v>000000000000000</v>
      </c>
      <c r="AZ389" s="23">
        <f t="shared" si="2086"/>
        <v>0</v>
      </c>
      <c r="BA389" s="49" t="str">
        <f t="shared" si="2061"/>
        <v>000000000000000</v>
      </c>
      <c r="BB389" s="23">
        <f t="shared" si="2087"/>
        <v>0</v>
      </c>
      <c r="BC389" s="49" t="str">
        <f t="shared" ref="BC389" si="2436">IF(BB389&lt;0,SUBSTITUTE(TEXT(BB389,"000000000000,00"),",",""),SUBSTITUTE(TEXT(BB389,"0000000000000,00"),",",""))</f>
        <v>000000000000000</v>
      </c>
      <c r="BD389" s="23">
        <f t="shared" si="2089"/>
        <v>0</v>
      </c>
      <c r="BE389" s="49" t="str">
        <f t="shared" ref="BE389" si="2437">IF(BD389&lt;0,SUBSTITUTE(TEXT(BD389,"000000000000,00"),",",""),SUBSTITUTE(TEXT(BD389,"0000000000000,00"),",",""))</f>
        <v>000000000000000</v>
      </c>
      <c r="BF389" s="23">
        <f t="shared" si="2091"/>
        <v>0</v>
      </c>
      <c r="BG389" s="49" t="str">
        <f t="shared" ref="BG389" si="2438">IF(BF389&lt;0,SUBSTITUTE(TEXT(BF389,"000000000000,00"),",",""),SUBSTITUTE(TEXT(BF389,"0000000000000,00"),",",""))</f>
        <v>000000000000000</v>
      </c>
      <c r="BH389" s="23">
        <f t="shared" si="2093"/>
        <v>0</v>
      </c>
      <c r="BI389" s="49" t="str">
        <f t="shared" ref="BI389" si="2439">IF(BH389&lt;0,SUBSTITUTE(TEXT(BH389,"000000000000,00"),",",""),SUBSTITUTE(TEXT(BH389,"0000000000000,00"),",",""))</f>
        <v>000000000000000</v>
      </c>
      <c r="BJ389" s="23">
        <f t="shared" si="2095"/>
        <v>0</v>
      </c>
      <c r="BK389" s="49" t="str">
        <f t="shared" ref="BK389" si="2440">IF(BJ389&lt;0,SUBSTITUTE(TEXT(BJ389,"000000000000,00"),",",""),SUBSTITUTE(TEXT(BJ389,"0000000000000,00"),",",""))</f>
        <v>000000000000000</v>
      </c>
      <c r="BL389" s="23">
        <f t="shared" si="2097"/>
        <v>0</v>
      </c>
      <c r="BM389" s="49" t="str">
        <f t="shared" ref="BM389" si="2441">IF(BL389&lt;0,SUBSTITUTE(TEXT(BL389,"000000000000,00"),",",""),SUBSTITUTE(TEXT(BL389,"0000000000000,00"),",",""))</f>
        <v>000000000000000</v>
      </c>
      <c r="BN389" t="str">
        <f t="shared" si="2099"/>
        <v>PES</v>
      </c>
      <c r="BO389" t="str">
        <f t="shared" si="2100"/>
        <v>0001000000</v>
      </c>
      <c r="BP389">
        <f t="shared" si="2101"/>
        <v>0</v>
      </c>
      <c r="BQ389">
        <f t="shared" si="2102"/>
        <v>0</v>
      </c>
      <c r="BR389" s="23">
        <f t="shared" si="2103"/>
        <v>0</v>
      </c>
      <c r="BS389" s="49" t="str">
        <f t="shared" si="2068"/>
        <v>000000000000000</v>
      </c>
      <c r="BT389" t="str">
        <f t="shared" si="2104"/>
        <v>00000000</v>
      </c>
      <c r="BU389" s="23">
        <f t="shared" si="2105"/>
        <v>0</v>
      </c>
      <c r="BV389" s="49" t="str">
        <f t="shared" si="2069"/>
        <v/>
      </c>
      <c r="BW389" s="52" t="str">
        <f t="shared" si="2106"/>
        <v/>
      </c>
      <c r="BX389" s="23">
        <f t="shared" si="2107"/>
        <v>0</v>
      </c>
      <c r="BY389" s="49" t="str">
        <f t="shared" si="2070"/>
        <v/>
      </c>
      <c r="BZ389" s="23">
        <f t="shared" si="2108"/>
        <v>0</v>
      </c>
      <c r="CA389" s="49" t="str">
        <f t="shared" si="2071"/>
        <v/>
      </c>
      <c r="CB389" s="52" t="str">
        <f t="shared" si="2109"/>
        <v/>
      </c>
      <c r="CC389" s="23">
        <f t="shared" si="2110"/>
        <v>0</v>
      </c>
      <c r="CD389" s="49" t="str">
        <f t="shared" si="2072"/>
        <v/>
      </c>
      <c r="CE389" s="56" t="str">
        <f>IF(CF389="","",MAX(CE$10:$CE388)+1)</f>
        <v/>
      </c>
      <c r="CF389" t="str">
        <f t="shared" si="2111"/>
        <v/>
      </c>
      <c r="CG389" s="22" t="str">
        <f>IF(CH389="","",MAX($CG$10:CG388)+1)</f>
        <v/>
      </c>
      <c r="CH389" s="22" t="str">
        <f t="shared" si="2056"/>
        <v/>
      </c>
      <c r="CI389" s="22" t="str">
        <f>IF(CJ389="","",MAX($CI$10:CI388)+1)</f>
        <v/>
      </c>
      <c r="CJ389" s="22" t="str">
        <f t="shared" si="2057"/>
        <v/>
      </c>
    </row>
    <row r="390" spans="2:88" x14ac:dyDescent="0.25">
      <c r="B390" s="37"/>
      <c r="C390" s="3"/>
      <c r="D390" s="77" t="str">
        <f t="shared" si="2043"/>
        <v/>
      </c>
      <c r="E390" s="38"/>
      <c r="F390" s="38"/>
      <c r="G390" s="78">
        <f t="shared" si="2058"/>
        <v>0</v>
      </c>
      <c r="H390" s="3">
        <v>80</v>
      </c>
      <c r="I390" s="77" t="str">
        <f t="shared" si="2044"/>
        <v/>
      </c>
      <c r="J390" s="32"/>
      <c r="K390" s="3"/>
      <c r="L390" s="39"/>
      <c r="M390" s="39"/>
      <c r="N390" s="39"/>
      <c r="O390" s="39"/>
      <c r="P390" s="39"/>
      <c r="Q390" s="39"/>
      <c r="R390" s="39"/>
      <c r="S390" s="39"/>
      <c r="T390" s="3" t="s">
        <v>645</v>
      </c>
      <c r="U390" s="77" t="str">
        <f t="shared" si="2045"/>
        <v/>
      </c>
      <c r="V390" s="39">
        <v>1</v>
      </c>
      <c r="W390" s="79">
        <f t="shared" si="2059"/>
        <v>0</v>
      </c>
      <c r="X390" s="3">
        <v>0</v>
      </c>
      <c r="Y390" s="77" t="str">
        <f t="shared" si="2046"/>
        <v/>
      </c>
      <c r="Z390" s="3"/>
      <c r="AA390" s="37" t="str">
        <f t="shared" si="2060"/>
        <v/>
      </c>
      <c r="AC390" s="40"/>
      <c r="AD390" s="7"/>
      <c r="AE390" s="77" t="str">
        <f t="shared" si="2047"/>
        <v/>
      </c>
      <c r="AF390" s="81">
        <f t="shared" si="2073"/>
        <v>0</v>
      </c>
      <c r="AG390" s="40"/>
      <c r="AH390" s="7"/>
      <c r="AI390" s="77" t="str">
        <f t="shared" si="2048"/>
        <v/>
      </c>
      <c r="AJ390" s="81">
        <f t="shared" si="2074"/>
        <v>0</v>
      </c>
      <c r="AK390" s="83">
        <f t="shared" si="2075"/>
        <v>0</v>
      </c>
      <c r="AL390" s="83">
        <f t="shared" si="2076"/>
        <v>0</v>
      </c>
      <c r="AN390" s="43">
        <f t="shared" si="2049"/>
        <v>0</v>
      </c>
      <c r="AP390" t="str">
        <f t="shared" si="2077"/>
        <v/>
      </c>
      <c r="AQ390" t="str">
        <f t="shared" si="2078"/>
        <v/>
      </c>
      <c r="AR390" t="str">
        <f t="shared" si="2079"/>
        <v/>
      </c>
      <c r="AS390" t="str">
        <f t="shared" si="2080"/>
        <v/>
      </c>
      <c r="AT390" t="str">
        <f t="shared" si="2081"/>
        <v/>
      </c>
      <c r="AU390" t="str">
        <f t="shared" si="2082"/>
        <v/>
      </c>
      <c r="AV390" t="str">
        <f t="shared" si="2083"/>
        <v/>
      </c>
      <c r="AW390" t="str">
        <f t="shared" si="2084"/>
        <v xml:space="preserve">                              </v>
      </c>
      <c r="AX390" s="23">
        <f t="shared" si="2085"/>
        <v>0</v>
      </c>
      <c r="AY390" s="49" t="str">
        <f t="shared" si="2061"/>
        <v>000000000000000</v>
      </c>
      <c r="AZ390" s="23">
        <f t="shared" si="2086"/>
        <v>0</v>
      </c>
      <c r="BA390" s="49" t="str">
        <f t="shared" si="2061"/>
        <v>000000000000000</v>
      </c>
      <c r="BB390" s="23">
        <f t="shared" si="2087"/>
        <v>0</v>
      </c>
      <c r="BC390" s="49" t="str">
        <f t="shared" ref="BC390" si="2442">IF(BB390&lt;0,SUBSTITUTE(TEXT(BB390,"000000000000,00"),",",""),SUBSTITUTE(TEXT(BB390,"0000000000000,00"),",",""))</f>
        <v>000000000000000</v>
      </c>
      <c r="BD390" s="23">
        <f t="shared" si="2089"/>
        <v>0</v>
      </c>
      <c r="BE390" s="49" t="str">
        <f t="shared" ref="BE390" si="2443">IF(BD390&lt;0,SUBSTITUTE(TEXT(BD390,"000000000000,00"),",",""),SUBSTITUTE(TEXT(BD390,"0000000000000,00"),",",""))</f>
        <v>000000000000000</v>
      </c>
      <c r="BF390" s="23">
        <f t="shared" si="2091"/>
        <v>0</v>
      </c>
      <c r="BG390" s="49" t="str">
        <f t="shared" ref="BG390" si="2444">IF(BF390&lt;0,SUBSTITUTE(TEXT(BF390,"000000000000,00"),",",""),SUBSTITUTE(TEXT(BF390,"0000000000000,00"),",",""))</f>
        <v>000000000000000</v>
      </c>
      <c r="BH390" s="23">
        <f t="shared" si="2093"/>
        <v>0</v>
      </c>
      <c r="BI390" s="49" t="str">
        <f t="shared" ref="BI390" si="2445">IF(BH390&lt;0,SUBSTITUTE(TEXT(BH390,"000000000000,00"),",",""),SUBSTITUTE(TEXT(BH390,"0000000000000,00"),",",""))</f>
        <v>000000000000000</v>
      </c>
      <c r="BJ390" s="23">
        <f t="shared" si="2095"/>
        <v>0</v>
      </c>
      <c r="BK390" s="49" t="str">
        <f t="shared" ref="BK390" si="2446">IF(BJ390&lt;0,SUBSTITUTE(TEXT(BJ390,"000000000000,00"),",",""),SUBSTITUTE(TEXT(BJ390,"0000000000000,00"),",",""))</f>
        <v>000000000000000</v>
      </c>
      <c r="BL390" s="23">
        <f t="shared" si="2097"/>
        <v>0</v>
      </c>
      <c r="BM390" s="49" t="str">
        <f t="shared" ref="BM390" si="2447">IF(BL390&lt;0,SUBSTITUTE(TEXT(BL390,"000000000000,00"),",",""),SUBSTITUTE(TEXT(BL390,"0000000000000,00"),",",""))</f>
        <v>000000000000000</v>
      </c>
      <c r="BN390" t="str">
        <f t="shared" si="2099"/>
        <v>PES</v>
      </c>
      <c r="BO390" t="str">
        <f t="shared" si="2100"/>
        <v>0001000000</v>
      </c>
      <c r="BP390">
        <f t="shared" si="2101"/>
        <v>0</v>
      </c>
      <c r="BQ390">
        <f t="shared" si="2102"/>
        <v>0</v>
      </c>
      <c r="BR390" s="23">
        <f t="shared" si="2103"/>
        <v>0</v>
      </c>
      <c r="BS390" s="49" t="str">
        <f t="shared" si="2068"/>
        <v>000000000000000</v>
      </c>
      <c r="BT390" t="str">
        <f t="shared" si="2104"/>
        <v>00000000</v>
      </c>
      <c r="BU390" s="23">
        <f t="shared" si="2105"/>
        <v>0</v>
      </c>
      <c r="BV390" s="49" t="str">
        <f t="shared" si="2069"/>
        <v/>
      </c>
      <c r="BW390" s="52" t="str">
        <f t="shared" si="2106"/>
        <v/>
      </c>
      <c r="BX390" s="23">
        <f t="shared" si="2107"/>
        <v>0</v>
      </c>
      <c r="BY390" s="49" t="str">
        <f t="shared" si="2070"/>
        <v/>
      </c>
      <c r="BZ390" s="23">
        <f t="shared" si="2108"/>
        <v>0</v>
      </c>
      <c r="CA390" s="49" t="str">
        <f t="shared" si="2071"/>
        <v/>
      </c>
      <c r="CB390" s="52" t="str">
        <f t="shared" si="2109"/>
        <v/>
      </c>
      <c r="CC390" s="23">
        <f t="shared" si="2110"/>
        <v>0</v>
      </c>
      <c r="CD390" s="49" t="str">
        <f t="shared" si="2072"/>
        <v/>
      </c>
      <c r="CE390" s="56" t="str">
        <f>IF(CF390="","",MAX(CE$10:$CE389)+1)</f>
        <v/>
      </c>
      <c r="CF390" t="str">
        <f t="shared" si="2111"/>
        <v/>
      </c>
      <c r="CG390" s="22" t="str">
        <f>IF(CH390="","",MAX($CG$10:CG389)+1)</f>
        <v/>
      </c>
      <c r="CH390" s="22" t="str">
        <f t="shared" si="2056"/>
        <v/>
      </c>
      <c r="CI390" s="22" t="str">
        <f>IF(CJ390="","",MAX($CI$10:CI389)+1)</f>
        <v/>
      </c>
      <c r="CJ390" s="22" t="str">
        <f t="shared" si="2057"/>
        <v/>
      </c>
    </row>
    <row r="391" spans="2:88" x14ac:dyDescent="0.25">
      <c r="B391" s="37"/>
      <c r="C391" s="3"/>
      <c r="D391" s="77" t="str">
        <f t="shared" si="2043"/>
        <v/>
      </c>
      <c r="E391" s="38"/>
      <c r="F391" s="38"/>
      <c r="G391" s="78">
        <f t="shared" si="2058"/>
        <v>0</v>
      </c>
      <c r="H391" s="3">
        <v>80</v>
      </c>
      <c r="I391" s="77" t="str">
        <f t="shared" si="2044"/>
        <v/>
      </c>
      <c r="J391" s="32"/>
      <c r="K391" s="3"/>
      <c r="L391" s="39"/>
      <c r="M391" s="39"/>
      <c r="N391" s="39"/>
      <c r="O391" s="39"/>
      <c r="P391" s="39"/>
      <c r="Q391" s="39"/>
      <c r="R391" s="39"/>
      <c r="S391" s="39"/>
      <c r="T391" s="3" t="s">
        <v>645</v>
      </c>
      <c r="U391" s="77" t="str">
        <f t="shared" si="2045"/>
        <v/>
      </c>
      <c r="V391" s="39">
        <v>1</v>
      </c>
      <c r="W391" s="79">
        <f t="shared" si="2059"/>
        <v>0</v>
      </c>
      <c r="X391" s="3">
        <v>0</v>
      </c>
      <c r="Y391" s="77" t="str">
        <f t="shared" si="2046"/>
        <v/>
      </c>
      <c r="Z391" s="3"/>
      <c r="AA391" s="37" t="str">
        <f t="shared" si="2060"/>
        <v/>
      </c>
      <c r="AC391" s="40"/>
      <c r="AD391" s="7"/>
      <c r="AE391" s="77" t="str">
        <f t="shared" si="2047"/>
        <v/>
      </c>
      <c r="AF391" s="81">
        <f t="shared" si="2073"/>
        <v>0</v>
      </c>
      <c r="AG391" s="40"/>
      <c r="AH391" s="7"/>
      <c r="AI391" s="77" t="str">
        <f t="shared" si="2048"/>
        <v/>
      </c>
      <c r="AJ391" s="81">
        <f t="shared" si="2074"/>
        <v>0</v>
      </c>
      <c r="AK391" s="83">
        <f t="shared" si="2075"/>
        <v>0</v>
      </c>
      <c r="AL391" s="83">
        <f t="shared" si="2076"/>
        <v>0</v>
      </c>
      <c r="AN391" s="43">
        <f t="shared" si="2049"/>
        <v>0</v>
      </c>
      <c r="AP391" t="str">
        <f t="shared" si="2077"/>
        <v/>
      </c>
      <c r="AQ391" t="str">
        <f t="shared" si="2078"/>
        <v/>
      </c>
      <c r="AR391" t="str">
        <f t="shared" si="2079"/>
        <v/>
      </c>
      <c r="AS391" t="str">
        <f t="shared" si="2080"/>
        <v/>
      </c>
      <c r="AT391" t="str">
        <f t="shared" si="2081"/>
        <v/>
      </c>
      <c r="AU391" t="str">
        <f t="shared" si="2082"/>
        <v/>
      </c>
      <c r="AV391" t="str">
        <f t="shared" si="2083"/>
        <v/>
      </c>
      <c r="AW391" t="str">
        <f t="shared" si="2084"/>
        <v xml:space="preserve">                              </v>
      </c>
      <c r="AX391" s="23">
        <f t="shared" si="2085"/>
        <v>0</v>
      </c>
      <c r="AY391" s="49" t="str">
        <f t="shared" si="2061"/>
        <v>000000000000000</v>
      </c>
      <c r="AZ391" s="23">
        <f t="shared" si="2086"/>
        <v>0</v>
      </c>
      <c r="BA391" s="49" t="str">
        <f t="shared" si="2061"/>
        <v>000000000000000</v>
      </c>
      <c r="BB391" s="23">
        <f t="shared" si="2087"/>
        <v>0</v>
      </c>
      <c r="BC391" s="49" t="str">
        <f t="shared" ref="BC391" si="2448">IF(BB391&lt;0,SUBSTITUTE(TEXT(BB391,"000000000000,00"),",",""),SUBSTITUTE(TEXT(BB391,"0000000000000,00"),",",""))</f>
        <v>000000000000000</v>
      </c>
      <c r="BD391" s="23">
        <f t="shared" si="2089"/>
        <v>0</v>
      </c>
      <c r="BE391" s="49" t="str">
        <f t="shared" ref="BE391" si="2449">IF(BD391&lt;0,SUBSTITUTE(TEXT(BD391,"000000000000,00"),",",""),SUBSTITUTE(TEXT(BD391,"0000000000000,00"),",",""))</f>
        <v>000000000000000</v>
      </c>
      <c r="BF391" s="23">
        <f t="shared" si="2091"/>
        <v>0</v>
      </c>
      <c r="BG391" s="49" t="str">
        <f t="shared" ref="BG391" si="2450">IF(BF391&lt;0,SUBSTITUTE(TEXT(BF391,"000000000000,00"),",",""),SUBSTITUTE(TEXT(BF391,"0000000000000,00"),",",""))</f>
        <v>000000000000000</v>
      </c>
      <c r="BH391" s="23">
        <f t="shared" si="2093"/>
        <v>0</v>
      </c>
      <c r="BI391" s="49" t="str">
        <f t="shared" ref="BI391" si="2451">IF(BH391&lt;0,SUBSTITUTE(TEXT(BH391,"000000000000,00"),",",""),SUBSTITUTE(TEXT(BH391,"0000000000000,00"),",",""))</f>
        <v>000000000000000</v>
      </c>
      <c r="BJ391" s="23">
        <f t="shared" si="2095"/>
        <v>0</v>
      </c>
      <c r="BK391" s="49" t="str">
        <f t="shared" ref="BK391" si="2452">IF(BJ391&lt;0,SUBSTITUTE(TEXT(BJ391,"000000000000,00"),",",""),SUBSTITUTE(TEXT(BJ391,"0000000000000,00"),",",""))</f>
        <v>000000000000000</v>
      </c>
      <c r="BL391" s="23">
        <f t="shared" si="2097"/>
        <v>0</v>
      </c>
      <c r="BM391" s="49" t="str">
        <f t="shared" ref="BM391" si="2453">IF(BL391&lt;0,SUBSTITUTE(TEXT(BL391,"000000000000,00"),",",""),SUBSTITUTE(TEXT(BL391,"0000000000000,00"),",",""))</f>
        <v>000000000000000</v>
      </c>
      <c r="BN391" t="str">
        <f t="shared" si="2099"/>
        <v>PES</v>
      </c>
      <c r="BO391" t="str">
        <f t="shared" si="2100"/>
        <v>0001000000</v>
      </c>
      <c r="BP391">
        <f t="shared" si="2101"/>
        <v>0</v>
      </c>
      <c r="BQ391">
        <f t="shared" si="2102"/>
        <v>0</v>
      </c>
      <c r="BR391" s="23">
        <f t="shared" si="2103"/>
        <v>0</v>
      </c>
      <c r="BS391" s="49" t="str">
        <f t="shared" si="2068"/>
        <v>000000000000000</v>
      </c>
      <c r="BT391" t="str">
        <f t="shared" si="2104"/>
        <v>00000000</v>
      </c>
      <c r="BU391" s="23">
        <f t="shared" si="2105"/>
        <v>0</v>
      </c>
      <c r="BV391" s="49" t="str">
        <f t="shared" si="2069"/>
        <v/>
      </c>
      <c r="BW391" s="52" t="str">
        <f t="shared" si="2106"/>
        <v/>
      </c>
      <c r="BX391" s="23">
        <f t="shared" si="2107"/>
        <v>0</v>
      </c>
      <c r="BY391" s="49" t="str">
        <f t="shared" si="2070"/>
        <v/>
      </c>
      <c r="BZ391" s="23">
        <f t="shared" si="2108"/>
        <v>0</v>
      </c>
      <c r="CA391" s="49" t="str">
        <f t="shared" si="2071"/>
        <v/>
      </c>
      <c r="CB391" s="52" t="str">
        <f t="shared" si="2109"/>
        <v/>
      </c>
      <c r="CC391" s="23">
        <f t="shared" si="2110"/>
        <v>0</v>
      </c>
      <c r="CD391" s="49" t="str">
        <f t="shared" si="2072"/>
        <v/>
      </c>
      <c r="CE391" s="56" t="str">
        <f>IF(CF391="","",MAX(CE$10:$CE390)+1)</f>
        <v/>
      </c>
      <c r="CF391" t="str">
        <f t="shared" si="2111"/>
        <v/>
      </c>
      <c r="CG391" s="22" t="str">
        <f>IF(CH391="","",MAX($CG$10:CG390)+1)</f>
        <v/>
      </c>
      <c r="CH391" s="22" t="str">
        <f t="shared" si="2056"/>
        <v/>
      </c>
      <c r="CI391" s="22" t="str">
        <f>IF(CJ391="","",MAX($CI$10:CI390)+1)</f>
        <v/>
      </c>
      <c r="CJ391" s="22" t="str">
        <f t="shared" si="2057"/>
        <v/>
      </c>
    </row>
    <row r="392" spans="2:88" x14ac:dyDescent="0.25">
      <c r="B392" s="37"/>
      <c r="C392" s="3"/>
      <c r="D392" s="77" t="str">
        <f t="shared" si="2043"/>
        <v/>
      </c>
      <c r="E392" s="38"/>
      <c r="F392" s="38"/>
      <c r="G392" s="78">
        <f t="shared" si="2058"/>
        <v>0</v>
      </c>
      <c r="H392" s="3">
        <v>80</v>
      </c>
      <c r="I392" s="77" t="str">
        <f t="shared" si="2044"/>
        <v/>
      </c>
      <c r="J392" s="32"/>
      <c r="K392" s="3"/>
      <c r="L392" s="39"/>
      <c r="M392" s="39"/>
      <c r="N392" s="39"/>
      <c r="O392" s="39"/>
      <c r="P392" s="39"/>
      <c r="Q392" s="39"/>
      <c r="R392" s="39"/>
      <c r="S392" s="39"/>
      <c r="T392" s="3" t="s">
        <v>645</v>
      </c>
      <c r="U392" s="77" t="str">
        <f t="shared" si="2045"/>
        <v/>
      </c>
      <c r="V392" s="39">
        <v>1</v>
      </c>
      <c r="W392" s="79">
        <f t="shared" si="2059"/>
        <v>0</v>
      </c>
      <c r="X392" s="3">
        <v>0</v>
      </c>
      <c r="Y392" s="77" t="str">
        <f t="shared" si="2046"/>
        <v/>
      </c>
      <c r="Z392" s="3"/>
      <c r="AA392" s="37" t="str">
        <f t="shared" si="2060"/>
        <v/>
      </c>
      <c r="AC392" s="40"/>
      <c r="AD392" s="7"/>
      <c r="AE392" s="77" t="str">
        <f t="shared" si="2047"/>
        <v/>
      </c>
      <c r="AF392" s="81">
        <f t="shared" si="2073"/>
        <v>0</v>
      </c>
      <c r="AG392" s="40"/>
      <c r="AH392" s="7"/>
      <c r="AI392" s="77" t="str">
        <f t="shared" si="2048"/>
        <v/>
      </c>
      <c r="AJ392" s="81">
        <f t="shared" si="2074"/>
        <v>0</v>
      </c>
      <c r="AK392" s="83">
        <f t="shared" si="2075"/>
        <v>0</v>
      </c>
      <c r="AL392" s="83">
        <f t="shared" si="2076"/>
        <v>0</v>
      </c>
      <c r="AN392" s="43">
        <f t="shared" si="2049"/>
        <v>0</v>
      </c>
      <c r="AP392" t="str">
        <f t="shared" si="2077"/>
        <v/>
      </c>
      <c r="AQ392" t="str">
        <f t="shared" si="2078"/>
        <v/>
      </c>
      <c r="AR392" t="str">
        <f t="shared" si="2079"/>
        <v/>
      </c>
      <c r="AS392" t="str">
        <f t="shared" si="2080"/>
        <v/>
      </c>
      <c r="AT392" t="str">
        <f t="shared" si="2081"/>
        <v/>
      </c>
      <c r="AU392" t="str">
        <f t="shared" si="2082"/>
        <v/>
      </c>
      <c r="AV392" t="str">
        <f t="shared" si="2083"/>
        <v/>
      </c>
      <c r="AW392" t="str">
        <f t="shared" si="2084"/>
        <v xml:space="preserve">                              </v>
      </c>
      <c r="AX392" s="23">
        <f t="shared" si="2085"/>
        <v>0</v>
      </c>
      <c r="AY392" s="49" t="str">
        <f t="shared" si="2061"/>
        <v>000000000000000</v>
      </c>
      <c r="AZ392" s="23">
        <f t="shared" si="2086"/>
        <v>0</v>
      </c>
      <c r="BA392" s="49" t="str">
        <f t="shared" si="2061"/>
        <v>000000000000000</v>
      </c>
      <c r="BB392" s="23">
        <f t="shared" si="2087"/>
        <v>0</v>
      </c>
      <c r="BC392" s="49" t="str">
        <f t="shared" ref="BC392" si="2454">IF(BB392&lt;0,SUBSTITUTE(TEXT(BB392,"000000000000,00"),",",""),SUBSTITUTE(TEXT(BB392,"0000000000000,00"),",",""))</f>
        <v>000000000000000</v>
      </c>
      <c r="BD392" s="23">
        <f t="shared" si="2089"/>
        <v>0</v>
      </c>
      <c r="BE392" s="49" t="str">
        <f t="shared" ref="BE392" si="2455">IF(BD392&lt;0,SUBSTITUTE(TEXT(BD392,"000000000000,00"),",",""),SUBSTITUTE(TEXT(BD392,"0000000000000,00"),",",""))</f>
        <v>000000000000000</v>
      </c>
      <c r="BF392" s="23">
        <f t="shared" si="2091"/>
        <v>0</v>
      </c>
      <c r="BG392" s="49" t="str">
        <f t="shared" ref="BG392" si="2456">IF(BF392&lt;0,SUBSTITUTE(TEXT(BF392,"000000000000,00"),",",""),SUBSTITUTE(TEXT(BF392,"0000000000000,00"),",",""))</f>
        <v>000000000000000</v>
      </c>
      <c r="BH392" s="23">
        <f t="shared" si="2093"/>
        <v>0</v>
      </c>
      <c r="BI392" s="49" t="str">
        <f t="shared" ref="BI392" si="2457">IF(BH392&lt;0,SUBSTITUTE(TEXT(BH392,"000000000000,00"),",",""),SUBSTITUTE(TEXT(BH392,"0000000000000,00"),",",""))</f>
        <v>000000000000000</v>
      </c>
      <c r="BJ392" s="23">
        <f t="shared" si="2095"/>
        <v>0</v>
      </c>
      <c r="BK392" s="49" t="str">
        <f t="shared" ref="BK392" si="2458">IF(BJ392&lt;0,SUBSTITUTE(TEXT(BJ392,"000000000000,00"),",",""),SUBSTITUTE(TEXT(BJ392,"0000000000000,00"),",",""))</f>
        <v>000000000000000</v>
      </c>
      <c r="BL392" s="23">
        <f t="shared" si="2097"/>
        <v>0</v>
      </c>
      <c r="BM392" s="49" t="str">
        <f t="shared" ref="BM392" si="2459">IF(BL392&lt;0,SUBSTITUTE(TEXT(BL392,"000000000000,00"),",",""),SUBSTITUTE(TEXT(BL392,"0000000000000,00"),",",""))</f>
        <v>000000000000000</v>
      </c>
      <c r="BN392" t="str">
        <f t="shared" si="2099"/>
        <v>PES</v>
      </c>
      <c r="BO392" t="str">
        <f t="shared" si="2100"/>
        <v>0001000000</v>
      </c>
      <c r="BP392">
        <f t="shared" si="2101"/>
        <v>0</v>
      </c>
      <c r="BQ392">
        <f t="shared" si="2102"/>
        <v>0</v>
      </c>
      <c r="BR392" s="23">
        <f t="shared" si="2103"/>
        <v>0</v>
      </c>
      <c r="BS392" s="49" t="str">
        <f t="shared" si="2068"/>
        <v>000000000000000</v>
      </c>
      <c r="BT392" t="str">
        <f t="shared" si="2104"/>
        <v>00000000</v>
      </c>
      <c r="BU392" s="23">
        <f t="shared" si="2105"/>
        <v>0</v>
      </c>
      <c r="BV392" s="49" t="str">
        <f t="shared" si="2069"/>
        <v/>
      </c>
      <c r="BW392" s="52" t="str">
        <f t="shared" si="2106"/>
        <v/>
      </c>
      <c r="BX392" s="23">
        <f t="shared" si="2107"/>
        <v>0</v>
      </c>
      <c r="BY392" s="49" t="str">
        <f t="shared" si="2070"/>
        <v/>
      </c>
      <c r="BZ392" s="23">
        <f t="shared" si="2108"/>
        <v>0</v>
      </c>
      <c r="CA392" s="49" t="str">
        <f t="shared" si="2071"/>
        <v/>
      </c>
      <c r="CB392" s="52" t="str">
        <f t="shared" si="2109"/>
        <v/>
      </c>
      <c r="CC392" s="23">
        <f t="shared" si="2110"/>
        <v>0</v>
      </c>
      <c r="CD392" s="49" t="str">
        <f t="shared" si="2072"/>
        <v/>
      </c>
      <c r="CE392" s="56" t="str">
        <f>IF(CF392="","",MAX(CE$10:$CE391)+1)</f>
        <v/>
      </c>
      <c r="CF392" t="str">
        <f t="shared" si="2111"/>
        <v/>
      </c>
      <c r="CG392" s="22" t="str">
        <f>IF(CH392="","",MAX($CG$10:CG391)+1)</f>
        <v/>
      </c>
      <c r="CH392" s="22" t="str">
        <f t="shared" si="2056"/>
        <v/>
      </c>
      <c r="CI392" s="22" t="str">
        <f>IF(CJ392="","",MAX($CI$10:CI391)+1)</f>
        <v/>
      </c>
      <c r="CJ392" s="22" t="str">
        <f t="shared" si="2057"/>
        <v/>
      </c>
    </row>
    <row r="393" spans="2:88" x14ac:dyDescent="0.25">
      <c r="B393" s="37"/>
      <c r="C393" s="3"/>
      <c r="D393" s="77" t="str">
        <f t="shared" si="2043"/>
        <v/>
      </c>
      <c r="E393" s="38"/>
      <c r="F393" s="38"/>
      <c r="G393" s="78">
        <f t="shared" si="2058"/>
        <v>0</v>
      </c>
      <c r="H393" s="3">
        <v>80</v>
      </c>
      <c r="I393" s="77" t="str">
        <f t="shared" si="2044"/>
        <v/>
      </c>
      <c r="J393" s="32"/>
      <c r="K393" s="3"/>
      <c r="L393" s="39"/>
      <c r="M393" s="39"/>
      <c r="N393" s="39"/>
      <c r="O393" s="39"/>
      <c r="P393" s="39"/>
      <c r="Q393" s="39"/>
      <c r="R393" s="39"/>
      <c r="S393" s="39"/>
      <c r="T393" s="3" t="s">
        <v>645</v>
      </c>
      <c r="U393" s="77" t="str">
        <f t="shared" si="2045"/>
        <v/>
      </c>
      <c r="V393" s="39">
        <v>1</v>
      </c>
      <c r="W393" s="79">
        <f t="shared" si="2059"/>
        <v>0</v>
      </c>
      <c r="X393" s="3">
        <v>0</v>
      </c>
      <c r="Y393" s="77" t="str">
        <f t="shared" si="2046"/>
        <v/>
      </c>
      <c r="Z393" s="3"/>
      <c r="AA393" s="37" t="str">
        <f t="shared" si="2060"/>
        <v/>
      </c>
      <c r="AC393" s="40"/>
      <c r="AD393" s="7"/>
      <c r="AE393" s="77" t="str">
        <f t="shared" si="2047"/>
        <v/>
      </c>
      <c r="AF393" s="81">
        <f t="shared" si="2073"/>
        <v>0</v>
      </c>
      <c r="AG393" s="40"/>
      <c r="AH393" s="7"/>
      <c r="AI393" s="77" t="str">
        <f t="shared" si="2048"/>
        <v/>
      </c>
      <c r="AJ393" s="81">
        <f t="shared" si="2074"/>
        <v>0</v>
      </c>
      <c r="AK393" s="83">
        <f t="shared" si="2075"/>
        <v>0</v>
      </c>
      <c r="AL393" s="83">
        <f t="shared" si="2076"/>
        <v>0</v>
      </c>
      <c r="AN393" s="43">
        <f t="shared" si="2049"/>
        <v>0</v>
      </c>
      <c r="AP393" t="str">
        <f t="shared" si="2077"/>
        <v/>
      </c>
      <c r="AQ393" t="str">
        <f t="shared" si="2078"/>
        <v/>
      </c>
      <c r="AR393" t="str">
        <f t="shared" si="2079"/>
        <v/>
      </c>
      <c r="AS393" t="str">
        <f t="shared" si="2080"/>
        <v/>
      </c>
      <c r="AT393" t="str">
        <f t="shared" si="2081"/>
        <v/>
      </c>
      <c r="AU393" t="str">
        <f t="shared" si="2082"/>
        <v/>
      </c>
      <c r="AV393" t="str">
        <f t="shared" si="2083"/>
        <v/>
      </c>
      <c r="AW393" t="str">
        <f t="shared" si="2084"/>
        <v xml:space="preserve">                              </v>
      </c>
      <c r="AX393" s="23">
        <f t="shared" si="2085"/>
        <v>0</v>
      </c>
      <c r="AY393" s="49" t="str">
        <f t="shared" si="2061"/>
        <v>000000000000000</v>
      </c>
      <c r="AZ393" s="23">
        <f t="shared" si="2086"/>
        <v>0</v>
      </c>
      <c r="BA393" s="49" t="str">
        <f t="shared" si="2061"/>
        <v>000000000000000</v>
      </c>
      <c r="BB393" s="23">
        <f t="shared" si="2087"/>
        <v>0</v>
      </c>
      <c r="BC393" s="49" t="str">
        <f t="shared" ref="BC393" si="2460">IF(BB393&lt;0,SUBSTITUTE(TEXT(BB393,"000000000000,00"),",",""),SUBSTITUTE(TEXT(BB393,"0000000000000,00"),",",""))</f>
        <v>000000000000000</v>
      </c>
      <c r="BD393" s="23">
        <f t="shared" si="2089"/>
        <v>0</v>
      </c>
      <c r="BE393" s="49" t="str">
        <f t="shared" ref="BE393" si="2461">IF(BD393&lt;0,SUBSTITUTE(TEXT(BD393,"000000000000,00"),",",""),SUBSTITUTE(TEXT(BD393,"0000000000000,00"),",",""))</f>
        <v>000000000000000</v>
      </c>
      <c r="BF393" s="23">
        <f t="shared" si="2091"/>
        <v>0</v>
      </c>
      <c r="BG393" s="49" t="str">
        <f t="shared" ref="BG393" si="2462">IF(BF393&lt;0,SUBSTITUTE(TEXT(BF393,"000000000000,00"),",",""),SUBSTITUTE(TEXT(BF393,"0000000000000,00"),",",""))</f>
        <v>000000000000000</v>
      </c>
      <c r="BH393" s="23">
        <f t="shared" si="2093"/>
        <v>0</v>
      </c>
      <c r="BI393" s="49" t="str">
        <f t="shared" ref="BI393" si="2463">IF(BH393&lt;0,SUBSTITUTE(TEXT(BH393,"000000000000,00"),",",""),SUBSTITUTE(TEXT(BH393,"0000000000000,00"),",",""))</f>
        <v>000000000000000</v>
      </c>
      <c r="BJ393" s="23">
        <f t="shared" si="2095"/>
        <v>0</v>
      </c>
      <c r="BK393" s="49" t="str">
        <f t="shared" ref="BK393" si="2464">IF(BJ393&lt;0,SUBSTITUTE(TEXT(BJ393,"000000000000,00"),",",""),SUBSTITUTE(TEXT(BJ393,"0000000000000,00"),",",""))</f>
        <v>000000000000000</v>
      </c>
      <c r="BL393" s="23">
        <f t="shared" si="2097"/>
        <v>0</v>
      </c>
      <c r="BM393" s="49" t="str">
        <f t="shared" ref="BM393" si="2465">IF(BL393&lt;0,SUBSTITUTE(TEXT(BL393,"000000000000,00"),",",""),SUBSTITUTE(TEXT(BL393,"0000000000000,00"),",",""))</f>
        <v>000000000000000</v>
      </c>
      <c r="BN393" t="str">
        <f t="shared" si="2099"/>
        <v>PES</v>
      </c>
      <c r="BO393" t="str">
        <f t="shared" si="2100"/>
        <v>0001000000</v>
      </c>
      <c r="BP393">
        <f t="shared" si="2101"/>
        <v>0</v>
      </c>
      <c r="BQ393">
        <f t="shared" si="2102"/>
        <v>0</v>
      </c>
      <c r="BR393" s="23">
        <f t="shared" si="2103"/>
        <v>0</v>
      </c>
      <c r="BS393" s="49" t="str">
        <f t="shared" si="2068"/>
        <v>000000000000000</v>
      </c>
      <c r="BT393" t="str">
        <f t="shared" si="2104"/>
        <v>00000000</v>
      </c>
      <c r="BU393" s="23">
        <f t="shared" si="2105"/>
        <v>0</v>
      </c>
      <c r="BV393" s="49" t="str">
        <f t="shared" si="2069"/>
        <v/>
      </c>
      <c r="BW393" s="52" t="str">
        <f t="shared" si="2106"/>
        <v/>
      </c>
      <c r="BX393" s="23">
        <f t="shared" si="2107"/>
        <v>0</v>
      </c>
      <c r="BY393" s="49" t="str">
        <f t="shared" si="2070"/>
        <v/>
      </c>
      <c r="BZ393" s="23">
        <f t="shared" si="2108"/>
        <v>0</v>
      </c>
      <c r="CA393" s="49" t="str">
        <f t="shared" si="2071"/>
        <v/>
      </c>
      <c r="CB393" s="52" t="str">
        <f t="shared" si="2109"/>
        <v/>
      </c>
      <c r="CC393" s="23">
        <f t="shared" si="2110"/>
        <v>0</v>
      </c>
      <c r="CD393" s="49" t="str">
        <f t="shared" si="2072"/>
        <v/>
      </c>
      <c r="CE393" s="56" t="str">
        <f>IF(CF393="","",MAX(CE$10:$CE392)+1)</f>
        <v/>
      </c>
      <c r="CF393" t="str">
        <f t="shared" si="2111"/>
        <v/>
      </c>
      <c r="CG393" s="22" t="str">
        <f>IF(CH393="","",MAX($CG$10:CG392)+1)</f>
        <v/>
      </c>
      <c r="CH393" s="22" t="str">
        <f t="shared" si="2056"/>
        <v/>
      </c>
      <c r="CI393" s="22" t="str">
        <f>IF(CJ393="","",MAX($CI$10:CI392)+1)</f>
        <v/>
      </c>
      <c r="CJ393" s="22" t="str">
        <f t="shared" si="2057"/>
        <v/>
      </c>
    </row>
    <row r="394" spans="2:88" x14ac:dyDescent="0.25">
      <c r="B394" s="37"/>
      <c r="C394" s="3"/>
      <c r="D394" s="77" t="str">
        <f t="shared" si="2043"/>
        <v/>
      </c>
      <c r="E394" s="38"/>
      <c r="F394" s="38"/>
      <c r="G394" s="78">
        <f t="shared" si="2058"/>
        <v>0</v>
      </c>
      <c r="H394" s="3">
        <v>80</v>
      </c>
      <c r="I394" s="77" t="str">
        <f t="shared" si="2044"/>
        <v/>
      </c>
      <c r="J394" s="32"/>
      <c r="K394" s="3"/>
      <c r="L394" s="39"/>
      <c r="M394" s="39"/>
      <c r="N394" s="39"/>
      <c r="O394" s="39"/>
      <c r="P394" s="39"/>
      <c r="Q394" s="39"/>
      <c r="R394" s="39"/>
      <c r="S394" s="39"/>
      <c r="T394" s="3" t="s">
        <v>645</v>
      </c>
      <c r="U394" s="77" t="str">
        <f t="shared" si="2045"/>
        <v/>
      </c>
      <c r="V394" s="39">
        <v>1</v>
      </c>
      <c r="W394" s="79">
        <f t="shared" si="2059"/>
        <v>0</v>
      </c>
      <c r="X394" s="3">
        <v>0</v>
      </c>
      <c r="Y394" s="77" t="str">
        <f t="shared" si="2046"/>
        <v/>
      </c>
      <c r="Z394" s="3"/>
      <c r="AA394" s="37" t="str">
        <f t="shared" si="2060"/>
        <v/>
      </c>
      <c r="AC394" s="40"/>
      <c r="AD394" s="7"/>
      <c r="AE394" s="77" t="str">
        <f t="shared" si="2047"/>
        <v/>
      </c>
      <c r="AF394" s="81">
        <f t="shared" si="2073"/>
        <v>0</v>
      </c>
      <c r="AG394" s="40"/>
      <c r="AH394" s="7"/>
      <c r="AI394" s="77" t="str">
        <f t="shared" si="2048"/>
        <v/>
      </c>
      <c r="AJ394" s="81">
        <f t="shared" si="2074"/>
        <v>0</v>
      </c>
      <c r="AK394" s="83">
        <f t="shared" si="2075"/>
        <v>0</v>
      </c>
      <c r="AL394" s="83">
        <f t="shared" si="2076"/>
        <v>0</v>
      </c>
      <c r="AN394" s="43">
        <f t="shared" si="2049"/>
        <v>0</v>
      </c>
      <c r="AP394" t="str">
        <f t="shared" si="2077"/>
        <v/>
      </c>
      <c r="AQ394" t="str">
        <f t="shared" si="2078"/>
        <v/>
      </c>
      <c r="AR394" t="str">
        <f t="shared" si="2079"/>
        <v/>
      </c>
      <c r="AS394" t="str">
        <f t="shared" si="2080"/>
        <v/>
      </c>
      <c r="AT394" t="str">
        <f t="shared" si="2081"/>
        <v/>
      </c>
      <c r="AU394" t="str">
        <f t="shared" si="2082"/>
        <v/>
      </c>
      <c r="AV394" t="str">
        <f t="shared" si="2083"/>
        <v/>
      </c>
      <c r="AW394" t="str">
        <f t="shared" si="2084"/>
        <v xml:space="preserve">                              </v>
      </c>
      <c r="AX394" s="23">
        <f t="shared" si="2085"/>
        <v>0</v>
      </c>
      <c r="AY394" s="49" t="str">
        <f t="shared" si="2061"/>
        <v>000000000000000</v>
      </c>
      <c r="AZ394" s="23">
        <f t="shared" si="2086"/>
        <v>0</v>
      </c>
      <c r="BA394" s="49" t="str">
        <f t="shared" si="2061"/>
        <v>000000000000000</v>
      </c>
      <c r="BB394" s="23">
        <f t="shared" si="2087"/>
        <v>0</v>
      </c>
      <c r="BC394" s="49" t="str">
        <f t="shared" ref="BC394" si="2466">IF(BB394&lt;0,SUBSTITUTE(TEXT(BB394,"000000000000,00"),",",""),SUBSTITUTE(TEXT(BB394,"0000000000000,00"),",",""))</f>
        <v>000000000000000</v>
      </c>
      <c r="BD394" s="23">
        <f t="shared" si="2089"/>
        <v>0</v>
      </c>
      <c r="BE394" s="49" t="str">
        <f t="shared" ref="BE394" si="2467">IF(BD394&lt;0,SUBSTITUTE(TEXT(BD394,"000000000000,00"),",",""),SUBSTITUTE(TEXT(BD394,"0000000000000,00"),",",""))</f>
        <v>000000000000000</v>
      </c>
      <c r="BF394" s="23">
        <f t="shared" si="2091"/>
        <v>0</v>
      </c>
      <c r="BG394" s="49" t="str">
        <f t="shared" ref="BG394" si="2468">IF(BF394&lt;0,SUBSTITUTE(TEXT(BF394,"000000000000,00"),",",""),SUBSTITUTE(TEXT(BF394,"0000000000000,00"),",",""))</f>
        <v>000000000000000</v>
      </c>
      <c r="BH394" s="23">
        <f t="shared" si="2093"/>
        <v>0</v>
      </c>
      <c r="BI394" s="49" t="str">
        <f t="shared" ref="BI394" si="2469">IF(BH394&lt;0,SUBSTITUTE(TEXT(BH394,"000000000000,00"),",",""),SUBSTITUTE(TEXT(BH394,"0000000000000,00"),",",""))</f>
        <v>000000000000000</v>
      </c>
      <c r="BJ394" s="23">
        <f t="shared" si="2095"/>
        <v>0</v>
      </c>
      <c r="BK394" s="49" t="str">
        <f t="shared" ref="BK394" si="2470">IF(BJ394&lt;0,SUBSTITUTE(TEXT(BJ394,"000000000000,00"),",",""),SUBSTITUTE(TEXT(BJ394,"0000000000000,00"),",",""))</f>
        <v>000000000000000</v>
      </c>
      <c r="BL394" s="23">
        <f t="shared" si="2097"/>
        <v>0</v>
      </c>
      <c r="BM394" s="49" t="str">
        <f t="shared" ref="BM394" si="2471">IF(BL394&lt;0,SUBSTITUTE(TEXT(BL394,"000000000000,00"),",",""),SUBSTITUTE(TEXT(BL394,"0000000000000,00"),",",""))</f>
        <v>000000000000000</v>
      </c>
      <c r="BN394" t="str">
        <f t="shared" si="2099"/>
        <v>PES</v>
      </c>
      <c r="BO394" t="str">
        <f t="shared" si="2100"/>
        <v>0001000000</v>
      </c>
      <c r="BP394">
        <f t="shared" si="2101"/>
        <v>0</v>
      </c>
      <c r="BQ394">
        <f t="shared" si="2102"/>
        <v>0</v>
      </c>
      <c r="BR394" s="23">
        <f t="shared" si="2103"/>
        <v>0</v>
      </c>
      <c r="BS394" s="49" t="str">
        <f t="shared" si="2068"/>
        <v>000000000000000</v>
      </c>
      <c r="BT394" t="str">
        <f t="shared" si="2104"/>
        <v>00000000</v>
      </c>
      <c r="BU394" s="23">
        <f t="shared" si="2105"/>
        <v>0</v>
      </c>
      <c r="BV394" s="49" t="str">
        <f t="shared" si="2069"/>
        <v/>
      </c>
      <c r="BW394" s="52" t="str">
        <f t="shared" si="2106"/>
        <v/>
      </c>
      <c r="BX394" s="23">
        <f t="shared" si="2107"/>
        <v>0</v>
      </c>
      <c r="BY394" s="49" t="str">
        <f t="shared" si="2070"/>
        <v/>
      </c>
      <c r="BZ394" s="23">
        <f t="shared" si="2108"/>
        <v>0</v>
      </c>
      <c r="CA394" s="49" t="str">
        <f t="shared" si="2071"/>
        <v/>
      </c>
      <c r="CB394" s="52" t="str">
        <f t="shared" si="2109"/>
        <v/>
      </c>
      <c r="CC394" s="23">
        <f t="shared" si="2110"/>
        <v>0</v>
      </c>
      <c r="CD394" s="49" t="str">
        <f t="shared" si="2072"/>
        <v/>
      </c>
      <c r="CE394" s="56" t="str">
        <f>IF(CF394="","",MAX(CE$10:$CE393)+1)</f>
        <v/>
      </c>
      <c r="CF394" t="str">
        <f t="shared" si="2111"/>
        <v/>
      </c>
      <c r="CG394" s="22" t="str">
        <f>IF(CH394="","",MAX($CG$10:CG393)+1)</f>
        <v/>
      </c>
      <c r="CH394" s="22" t="str">
        <f t="shared" si="2056"/>
        <v/>
      </c>
      <c r="CI394" s="22" t="str">
        <f>IF(CJ394="","",MAX($CI$10:CI393)+1)</f>
        <v/>
      </c>
      <c r="CJ394" s="22" t="str">
        <f t="shared" si="2057"/>
        <v/>
      </c>
    </row>
    <row r="395" spans="2:88" x14ac:dyDescent="0.25">
      <c r="B395" s="37"/>
      <c r="C395" s="3"/>
      <c r="D395" s="77" t="str">
        <f t="shared" si="2043"/>
        <v/>
      </c>
      <c r="E395" s="38"/>
      <c r="F395" s="38"/>
      <c r="G395" s="78">
        <f t="shared" si="2058"/>
        <v>0</v>
      </c>
      <c r="H395" s="3">
        <v>80</v>
      </c>
      <c r="I395" s="77" t="str">
        <f t="shared" si="2044"/>
        <v/>
      </c>
      <c r="J395" s="32"/>
      <c r="K395" s="3"/>
      <c r="L395" s="39"/>
      <c r="M395" s="39"/>
      <c r="N395" s="39"/>
      <c r="O395" s="39"/>
      <c r="P395" s="39"/>
      <c r="Q395" s="39"/>
      <c r="R395" s="39"/>
      <c r="S395" s="39"/>
      <c r="T395" s="3" t="s">
        <v>645</v>
      </c>
      <c r="U395" s="77" t="str">
        <f t="shared" si="2045"/>
        <v/>
      </c>
      <c r="V395" s="39">
        <v>1</v>
      </c>
      <c r="W395" s="79">
        <f t="shared" si="2059"/>
        <v>0</v>
      </c>
      <c r="X395" s="3">
        <v>0</v>
      </c>
      <c r="Y395" s="77" t="str">
        <f t="shared" si="2046"/>
        <v/>
      </c>
      <c r="Z395" s="3"/>
      <c r="AA395" s="37" t="str">
        <f t="shared" si="2060"/>
        <v/>
      </c>
      <c r="AC395" s="40"/>
      <c r="AD395" s="7"/>
      <c r="AE395" s="77" t="str">
        <f t="shared" si="2047"/>
        <v/>
      </c>
      <c r="AF395" s="81">
        <f t="shared" si="2073"/>
        <v>0</v>
      </c>
      <c r="AG395" s="40"/>
      <c r="AH395" s="7"/>
      <c r="AI395" s="77" t="str">
        <f t="shared" si="2048"/>
        <v/>
      </c>
      <c r="AJ395" s="81">
        <f t="shared" si="2074"/>
        <v>0</v>
      </c>
      <c r="AK395" s="83">
        <f t="shared" si="2075"/>
        <v>0</v>
      </c>
      <c r="AL395" s="83">
        <f t="shared" si="2076"/>
        <v>0</v>
      </c>
      <c r="AN395" s="43">
        <f t="shared" si="2049"/>
        <v>0</v>
      </c>
      <c r="AP395" t="str">
        <f t="shared" si="2077"/>
        <v/>
      </c>
      <c r="AQ395" t="str">
        <f t="shared" si="2078"/>
        <v/>
      </c>
      <c r="AR395" t="str">
        <f t="shared" si="2079"/>
        <v/>
      </c>
      <c r="AS395" t="str">
        <f t="shared" si="2080"/>
        <v/>
      </c>
      <c r="AT395" t="str">
        <f t="shared" si="2081"/>
        <v/>
      </c>
      <c r="AU395" t="str">
        <f t="shared" si="2082"/>
        <v/>
      </c>
      <c r="AV395" t="str">
        <f t="shared" si="2083"/>
        <v/>
      </c>
      <c r="AW395" t="str">
        <f t="shared" si="2084"/>
        <v xml:space="preserve">                              </v>
      </c>
      <c r="AX395" s="23">
        <f t="shared" si="2085"/>
        <v>0</v>
      </c>
      <c r="AY395" s="49" t="str">
        <f t="shared" si="2061"/>
        <v>000000000000000</v>
      </c>
      <c r="AZ395" s="23">
        <f t="shared" si="2086"/>
        <v>0</v>
      </c>
      <c r="BA395" s="49" t="str">
        <f t="shared" si="2061"/>
        <v>000000000000000</v>
      </c>
      <c r="BB395" s="23">
        <f t="shared" si="2087"/>
        <v>0</v>
      </c>
      <c r="BC395" s="49" t="str">
        <f t="shared" ref="BC395" si="2472">IF(BB395&lt;0,SUBSTITUTE(TEXT(BB395,"000000000000,00"),",",""),SUBSTITUTE(TEXT(BB395,"0000000000000,00"),",",""))</f>
        <v>000000000000000</v>
      </c>
      <c r="BD395" s="23">
        <f t="shared" si="2089"/>
        <v>0</v>
      </c>
      <c r="BE395" s="49" t="str">
        <f t="shared" ref="BE395" si="2473">IF(BD395&lt;0,SUBSTITUTE(TEXT(BD395,"000000000000,00"),",",""),SUBSTITUTE(TEXT(BD395,"0000000000000,00"),",",""))</f>
        <v>000000000000000</v>
      </c>
      <c r="BF395" s="23">
        <f t="shared" si="2091"/>
        <v>0</v>
      </c>
      <c r="BG395" s="49" t="str">
        <f t="shared" ref="BG395" si="2474">IF(BF395&lt;0,SUBSTITUTE(TEXT(BF395,"000000000000,00"),",",""),SUBSTITUTE(TEXT(BF395,"0000000000000,00"),",",""))</f>
        <v>000000000000000</v>
      </c>
      <c r="BH395" s="23">
        <f t="shared" si="2093"/>
        <v>0</v>
      </c>
      <c r="BI395" s="49" t="str">
        <f t="shared" ref="BI395" si="2475">IF(BH395&lt;0,SUBSTITUTE(TEXT(BH395,"000000000000,00"),",",""),SUBSTITUTE(TEXT(BH395,"0000000000000,00"),",",""))</f>
        <v>000000000000000</v>
      </c>
      <c r="BJ395" s="23">
        <f t="shared" si="2095"/>
        <v>0</v>
      </c>
      <c r="BK395" s="49" t="str">
        <f t="shared" ref="BK395" si="2476">IF(BJ395&lt;0,SUBSTITUTE(TEXT(BJ395,"000000000000,00"),",",""),SUBSTITUTE(TEXT(BJ395,"0000000000000,00"),",",""))</f>
        <v>000000000000000</v>
      </c>
      <c r="BL395" s="23">
        <f t="shared" si="2097"/>
        <v>0</v>
      </c>
      <c r="BM395" s="49" t="str">
        <f t="shared" ref="BM395" si="2477">IF(BL395&lt;0,SUBSTITUTE(TEXT(BL395,"000000000000,00"),",",""),SUBSTITUTE(TEXT(BL395,"0000000000000,00"),",",""))</f>
        <v>000000000000000</v>
      </c>
      <c r="BN395" t="str">
        <f t="shared" si="2099"/>
        <v>PES</v>
      </c>
      <c r="BO395" t="str">
        <f t="shared" si="2100"/>
        <v>0001000000</v>
      </c>
      <c r="BP395">
        <f t="shared" si="2101"/>
        <v>0</v>
      </c>
      <c r="BQ395">
        <f t="shared" si="2102"/>
        <v>0</v>
      </c>
      <c r="BR395" s="23">
        <f t="shared" si="2103"/>
        <v>0</v>
      </c>
      <c r="BS395" s="49" t="str">
        <f t="shared" si="2068"/>
        <v>000000000000000</v>
      </c>
      <c r="BT395" t="str">
        <f t="shared" si="2104"/>
        <v>00000000</v>
      </c>
      <c r="BU395" s="23">
        <f t="shared" si="2105"/>
        <v>0</v>
      </c>
      <c r="BV395" s="49" t="str">
        <f t="shared" si="2069"/>
        <v/>
      </c>
      <c r="BW395" s="52" t="str">
        <f t="shared" si="2106"/>
        <v/>
      </c>
      <c r="BX395" s="23">
        <f t="shared" si="2107"/>
        <v>0</v>
      </c>
      <c r="BY395" s="49" t="str">
        <f t="shared" si="2070"/>
        <v/>
      </c>
      <c r="BZ395" s="23">
        <f t="shared" si="2108"/>
        <v>0</v>
      </c>
      <c r="CA395" s="49" t="str">
        <f t="shared" si="2071"/>
        <v/>
      </c>
      <c r="CB395" s="52" t="str">
        <f t="shared" si="2109"/>
        <v/>
      </c>
      <c r="CC395" s="23">
        <f t="shared" si="2110"/>
        <v>0</v>
      </c>
      <c r="CD395" s="49" t="str">
        <f t="shared" si="2072"/>
        <v/>
      </c>
      <c r="CE395" s="56" t="str">
        <f>IF(CF395="","",MAX(CE$10:$CE394)+1)</f>
        <v/>
      </c>
      <c r="CF395" t="str">
        <f t="shared" si="2111"/>
        <v/>
      </c>
      <c r="CG395" s="22" t="str">
        <f>IF(CH395="","",MAX($CG$10:CG394)+1)</f>
        <v/>
      </c>
      <c r="CH395" s="22" t="str">
        <f t="shared" si="2056"/>
        <v/>
      </c>
      <c r="CI395" s="22" t="str">
        <f>IF(CJ395="","",MAX($CI$10:CI394)+1)</f>
        <v/>
      </c>
      <c r="CJ395" s="22" t="str">
        <f t="shared" si="2057"/>
        <v/>
      </c>
    </row>
    <row r="396" spans="2:88" x14ac:dyDescent="0.25">
      <c r="B396" s="37"/>
      <c r="C396" s="3"/>
      <c r="D396" s="77" t="str">
        <f t="shared" ref="D396:D459" si="2478">IF(B396="","",IF(ISERROR(VLOOKUP(C396,T_CompVentas,2,FALSE)),"",VLOOKUP(C396,T_CompVentas,2,FALSE)))</f>
        <v/>
      </c>
      <c r="E396" s="38"/>
      <c r="F396" s="38"/>
      <c r="G396" s="78">
        <f t="shared" si="2058"/>
        <v>0</v>
      </c>
      <c r="H396" s="3">
        <v>80</v>
      </c>
      <c r="I396" s="77" t="str">
        <f t="shared" ref="I396:I459" si="2479">IF(B396="","",IF(H396="","",IF(ISERROR(VLOOKUP(H396,T_Documentos,2,FALSE)),"",VLOOKUP(H396,T_Documentos,2,FALSE))))</f>
        <v/>
      </c>
      <c r="J396" s="32"/>
      <c r="K396" s="3"/>
      <c r="L396" s="39"/>
      <c r="M396" s="39"/>
      <c r="N396" s="39"/>
      <c r="O396" s="39"/>
      <c r="P396" s="39"/>
      <c r="Q396" s="39"/>
      <c r="R396" s="39"/>
      <c r="S396" s="39"/>
      <c r="T396" s="3" t="s">
        <v>645</v>
      </c>
      <c r="U396" s="77" t="str">
        <f t="shared" ref="U396:U459" si="2480">IF(B396="","",IF(ISERROR(VLOOKUP(T396,T_Monedas,2,FALSE)),"",VLOOKUP(T396,T_Monedas,2,FALSE)))</f>
        <v/>
      </c>
      <c r="V396" s="39">
        <v>1</v>
      </c>
      <c r="W396" s="79">
        <f t="shared" si="2059"/>
        <v>0</v>
      </c>
      <c r="X396" s="3">
        <v>0</v>
      </c>
      <c r="Y396" s="77" t="str">
        <f t="shared" ref="Y396:Y459" si="2481">IF(B396="","",IF(ISERROR(VLOOKUP(X396,T_CodOperVentas,2,FALSE)),"",VLOOKUP(X396,T_CodOperVentas,2,FALSE)))</f>
        <v/>
      </c>
      <c r="Z396" s="3"/>
      <c r="AA396" s="37" t="str">
        <f t="shared" si="2060"/>
        <v/>
      </c>
      <c r="AC396" s="40"/>
      <c r="AD396" s="7"/>
      <c r="AE396" s="77" t="str">
        <f t="shared" ref="AE396:AE459" si="2482">IF(B396="","",IF(AD396="","",IF(ISERROR(VLOOKUP(AD396,T_Alicuotas,2,FALSE)),"",VLOOKUP(AD396,T_Alicuotas,2,FALSE))))</f>
        <v/>
      </c>
      <c r="AF396" s="81">
        <f t="shared" si="2073"/>
        <v>0</v>
      </c>
      <c r="AG396" s="40"/>
      <c r="AH396" s="7"/>
      <c r="AI396" s="77" t="str">
        <f t="shared" ref="AI396:AI459" si="2483">IF(B396="","",IF(AH396="","",IF(ISERROR(VLOOKUP(AH396,T_Alicuotas,2,FALSE)),"",VLOOKUP(AH396,T_Alicuotas,2,FALSE))))</f>
        <v/>
      </c>
      <c r="AJ396" s="81">
        <f t="shared" si="2074"/>
        <v>0</v>
      </c>
      <c r="AK396" s="83">
        <f t="shared" si="2075"/>
        <v>0</v>
      </c>
      <c r="AL396" s="83">
        <f t="shared" si="2076"/>
        <v>0</v>
      </c>
      <c r="AN396" s="43">
        <f t="shared" ref="AN396:AN459" si="2484">+L396-M396-N396-O396-P396-Q396-R396-S396-AC396-AF396-AG396-AJ396</f>
        <v>0</v>
      </c>
      <c r="AP396" t="str">
        <f t="shared" si="2077"/>
        <v/>
      </c>
      <c r="AQ396" t="str">
        <f t="shared" si="2078"/>
        <v/>
      </c>
      <c r="AR396" t="str">
        <f t="shared" si="2079"/>
        <v/>
      </c>
      <c r="AS396" t="str">
        <f t="shared" si="2080"/>
        <v/>
      </c>
      <c r="AT396" t="str">
        <f t="shared" si="2081"/>
        <v/>
      </c>
      <c r="AU396" t="str">
        <f t="shared" si="2082"/>
        <v/>
      </c>
      <c r="AV396" t="str">
        <f t="shared" si="2083"/>
        <v/>
      </c>
      <c r="AW396" t="str">
        <f t="shared" si="2084"/>
        <v xml:space="preserve">                              </v>
      </c>
      <c r="AX396" s="23">
        <f t="shared" si="2085"/>
        <v>0</v>
      </c>
      <c r="AY396" s="49" t="str">
        <f t="shared" si="2061"/>
        <v>000000000000000</v>
      </c>
      <c r="AZ396" s="23">
        <f t="shared" si="2086"/>
        <v>0</v>
      </c>
      <c r="BA396" s="49" t="str">
        <f t="shared" si="2061"/>
        <v>000000000000000</v>
      </c>
      <c r="BB396" s="23">
        <f t="shared" si="2087"/>
        <v>0</v>
      </c>
      <c r="BC396" s="49" t="str">
        <f t="shared" ref="BC396" si="2485">IF(BB396&lt;0,SUBSTITUTE(TEXT(BB396,"000000000000,00"),",",""),SUBSTITUTE(TEXT(BB396,"0000000000000,00"),",",""))</f>
        <v>000000000000000</v>
      </c>
      <c r="BD396" s="23">
        <f t="shared" si="2089"/>
        <v>0</v>
      </c>
      <c r="BE396" s="49" t="str">
        <f t="shared" ref="BE396" si="2486">IF(BD396&lt;0,SUBSTITUTE(TEXT(BD396,"000000000000,00"),",",""),SUBSTITUTE(TEXT(BD396,"0000000000000,00"),",",""))</f>
        <v>000000000000000</v>
      </c>
      <c r="BF396" s="23">
        <f t="shared" si="2091"/>
        <v>0</v>
      </c>
      <c r="BG396" s="49" t="str">
        <f t="shared" ref="BG396" si="2487">IF(BF396&lt;0,SUBSTITUTE(TEXT(BF396,"000000000000,00"),",",""),SUBSTITUTE(TEXT(BF396,"0000000000000,00"),",",""))</f>
        <v>000000000000000</v>
      </c>
      <c r="BH396" s="23">
        <f t="shared" si="2093"/>
        <v>0</v>
      </c>
      <c r="BI396" s="49" t="str">
        <f t="shared" ref="BI396" si="2488">IF(BH396&lt;0,SUBSTITUTE(TEXT(BH396,"000000000000,00"),",",""),SUBSTITUTE(TEXT(BH396,"0000000000000,00"),",",""))</f>
        <v>000000000000000</v>
      </c>
      <c r="BJ396" s="23">
        <f t="shared" si="2095"/>
        <v>0</v>
      </c>
      <c r="BK396" s="49" t="str">
        <f t="shared" ref="BK396" si="2489">IF(BJ396&lt;0,SUBSTITUTE(TEXT(BJ396,"000000000000,00"),",",""),SUBSTITUTE(TEXT(BJ396,"0000000000000,00"),",",""))</f>
        <v>000000000000000</v>
      </c>
      <c r="BL396" s="23">
        <f t="shared" si="2097"/>
        <v>0</v>
      </c>
      <c r="BM396" s="49" t="str">
        <f t="shared" ref="BM396" si="2490">IF(BL396&lt;0,SUBSTITUTE(TEXT(BL396,"000000000000,00"),",",""),SUBSTITUTE(TEXT(BL396,"0000000000000,00"),",",""))</f>
        <v>000000000000000</v>
      </c>
      <c r="BN396" t="str">
        <f t="shared" si="2099"/>
        <v>PES</v>
      </c>
      <c r="BO396" t="str">
        <f t="shared" si="2100"/>
        <v>0001000000</v>
      </c>
      <c r="BP396">
        <f t="shared" si="2101"/>
        <v>0</v>
      </c>
      <c r="BQ396">
        <f t="shared" si="2102"/>
        <v>0</v>
      </c>
      <c r="BR396" s="23">
        <f t="shared" si="2103"/>
        <v>0</v>
      </c>
      <c r="BS396" s="49" t="str">
        <f t="shared" si="2068"/>
        <v>000000000000000</v>
      </c>
      <c r="BT396" t="str">
        <f t="shared" si="2104"/>
        <v>00000000</v>
      </c>
      <c r="BU396" s="23">
        <f t="shared" si="2105"/>
        <v>0</v>
      </c>
      <c r="BV396" s="49" t="str">
        <f t="shared" si="2069"/>
        <v/>
      </c>
      <c r="BW396" s="52" t="str">
        <f t="shared" si="2106"/>
        <v/>
      </c>
      <c r="BX396" s="23">
        <f t="shared" si="2107"/>
        <v>0</v>
      </c>
      <c r="BY396" s="49" t="str">
        <f t="shared" si="2070"/>
        <v/>
      </c>
      <c r="BZ396" s="23">
        <f t="shared" si="2108"/>
        <v>0</v>
      </c>
      <c r="CA396" s="49" t="str">
        <f t="shared" si="2071"/>
        <v/>
      </c>
      <c r="CB396" s="52" t="str">
        <f t="shared" si="2109"/>
        <v/>
      </c>
      <c r="CC396" s="23">
        <f t="shared" si="2110"/>
        <v>0</v>
      </c>
      <c r="CD396" s="49" t="str">
        <f t="shared" si="2072"/>
        <v/>
      </c>
      <c r="CE396" s="56" t="str">
        <f>IF(CF396="","",MAX(CE$10:$CE395)+1)</f>
        <v/>
      </c>
      <c r="CF396" t="str">
        <f t="shared" si="2111"/>
        <v/>
      </c>
      <c r="CG396" s="22" t="str">
        <f>IF(CH396="","",MAX($CG$10:CG395)+1)</f>
        <v/>
      </c>
      <c r="CH396" s="22" t="str">
        <f t="shared" ref="CH396:CH459" si="2491">IF(BV396="","",AQ396&amp;AR396&amp;AS396&amp;BV396&amp;BW396&amp;BY396)</f>
        <v/>
      </c>
      <c r="CI396" s="22" t="str">
        <f>IF(CJ396="","",MAX($CI$10:CI395)+1)</f>
        <v/>
      </c>
      <c r="CJ396" s="22" t="str">
        <f t="shared" ref="CJ396:CJ459" si="2492">IF(CA396="","",AQ396&amp;AR396&amp;AS396&amp;CA396&amp;CB396&amp;CD396)</f>
        <v/>
      </c>
    </row>
    <row r="397" spans="2:88" x14ac:dyDescent="0.25">
      <c r="B397" s="37"/>
      <c r="C397" s="3"/>
      <c r="D397" s="77" t="str">
        <f t="shared" si="2478"/>
        <v/>
      </c>
      <c r="E397" s="38"/>
      <c r="F397" s="38"/>
      <c r="G397" s="78">
        <f t="shared" ref="G397:G460" si="2493">+F397</f>
        <v>0</v>
      </c>
      <c r="H397" s="3">
        <v>80</v>
      </c>
      <c r="I397" s="77" t="str">
        <f t="shared" si="2479"/>
        <v/>
      </c>
      <c r="J397" s="32"/>
      <c r="K397" s="3"/>
      <c r="L397" s="39"/>
      <c r="M397" s="39"/>
      <c r="N397" s="39"/>
      <c r="O397" s="39"/>
      <c r="P397" s="39"/>
      <c r="Q397" s="39"/>
      <c r="R397" s="39"/>
      <c r="S397" s="39"/>
      <c r="T397" s="3" t="s">
        <v>645</v>
      </c>
      <c r="U397" s="77" t="str">
        <f t="shared" si="2480"/>
        <v/>
      </c>
      <c r="V397" s="39">
        <v>1</v>
      </c>
      <c r="W397" s="79">
        <f t="shared" ref="W397:W460" si="2494">IF(AD397="",0,1)+IF(OR(AH397=""),0,1)</f>
        <v>0</v>
      </c>
      <c r="X397" s="3">
        <v>0</v>
      </c>
      <c r="Y397" s="77" t="str">
        <f t="shared" si="2481"/>
        <v/>
      </c>
      <c r="Z397" s="3"/>
      <c r="AA397" s="37" t="str">
        <f t="shared" ref="AA397:AA460" si="2495">IF(OR(B397="",C397=82),"",B397)</f>
        <v/>
      </c>
      <c r="AC397" s="40"/>
      <c r="AD397" s="7"/>
      <c r="AE397" s="77" t="str">
        <f t="shared" si="2482"/>
        <v/>
      </c>
      <c r="AF397" s="81">
        <f t="shared" si="2073"/>
        <v>0</v>
      </c>
      <c r="AG397" s="40"/>
      <c r="AH397" s="7"/>
      <c r="AI397" s="77" t="str">
        <f t="shared" si="2483"/>
        <v/>
      </c>
      <c r="AJ397" s="81">
        <f t="shared" si="2074"/>
        <v>0</v>
      </c>
      <c r="AK397" s="83">
        <f t="shared" si="2075"/>
        <v>0</v>
      </c>
      <c r="AL397" s="83">
        <f t="shared" si="2076"/>
        <v>0</v>
      </c>
      <c r="AN397" s="43">
        <f t="shared" si="2484"/>
        <v>0</v>
      </c>
      <c r="AP397" t="str">
        <f t="shared" si="2077"/>
        <v/>
      </c>
      <c r="AQ397" t="str">
        <f t="shared" si="2078"/>
        <v/>
      </c>
      <c r="AR397" t="str">
        <f t="shared" si="2079"/>
        <v/>
      </c>
      <c r="AS397" t="str">
        <f t="shared" si="2080"/>
        <v/>
      </c>
      <c r="AT397" t="str">
        <f t="shared" si="2081"/>
        <v/>
      </c>
      <c r="AU397" t="str">
        <f t="shared" si="2082"/>
        <v/>
      </c>
      <c r="AV397" t="str">
        <f t="shared" si="2083"/>
        <v/>
      </c>
      <c r="AW397" t="str">
        <f t="shared" si="2084"/>
        <v xml:space="preserve">                              </v>
      </c>
      <c r="AX397" s="23">
        <f t="shared" si="2085"/>
        <v>0</v>
      </c>
      <c r="AY397" s="49" t="str">
        <f t="shared" ref="AY397:BA460" si="2496">IF(AX397&lt;0,SUBSTITUTE(TEXT(AX397,"000000000000,00"),",",""),SUBSTITUTE(TEXT(AX397,"0000000000000,00"),",",""))</f>
        <v>000000000000000</v>
      </c>
      <c r="AZ397" s="23">
        <f t="shared" si="2086"/>
        <v>0</v>
      </c>
      <c r="BA397" s="49" t="str">
        <f t="shared" si="2496"/>
        <v>000000000000000</v>
      </c>
      <c r="BB397" s="23">
        <f t="shared" si="2087"/>
        <v>0</v>
      </c>
      <c r="BC397" s="49" t="str">
        <f t="shared" ref="BC397" si="2497">IF(BB397&lt;0,SUBSTITUTE(TEXT(BB397,"000000000000,00"),",",""),SUBSTITUTE(TEXT(BB397,"0000000000000,00"),",",""))</f>
        <v>000000000000000</v>
      </c>
      <c r="BD397" s="23">
        <f t="shared" si="2089"/>
        <v>0</v>
      </c>
      <c r="BE397" s="49" t="str">
        <f t="shared" ref="BE397" si="2498">IF(BD397&lt;0,SUBSTITUTE(TEXT(BD397,"000000000000,00"),",",""),SUBSTITUTE(TEXT(BD397,"0000000000000,00"),",",""))</f>
        <v>000000000000000</v>
      </c>
      <c r="BF397" s="23">
        <f t="shared" si="2091"/>
        <v>0</v>
      </c>
      <c r="BG397" s="49" t="str">
        <f t="shared" ref="BG397" si="2499">IF(BF397&lt;0,SUBSTITUTE(TEXT(BF397,"000000000000,00"),",",""),SUBSTITUTE(TEXT(BF397,"0000000000000,00"),",",""))</f>
        <v>000000000000000</v>
      </c>
      <c r="BH397" s="23">
        <f t="shared" si="2093"/>
        <v>0</v>
      </c>
      <c r="BI397" s="49" t="str">
        <f t="shared" ref="BI397" si="2500">IF(BH397&lt;0,SUBSTITUTE(TEXT(BH397,"000000000000,00"),",",""),SUBSTITUTE(TEXT(BH397,"0000000000000,00"),",",""))</f>
        <v>000000000000000</v>
      </c>
      <c r="BJ397" s="23">
        <f t="shared" si="2095"/>
        <v>0</v>
      </c>
      <c r="BK397" s="49" t="str">
        <f t="shared" ref="BK397" si="2501">IF(BJ397&lt;0,SUBSTITUTE(TEXT(BJ397,"000000000000,00"),",",""),SUBSTITUTE(TEXT(BJ397,"0000000000000,00"),",",""))</f>
        <v>000000000000000</v>
      </c>
      <c r="BL397" s="23">
        <f t="shared" si="2097"/>
        <v>0</v>
      </c>
      <c r="BM397" s="49" t="str">
        <f t="shared" ref="BM397" si="2502">IF(BL397&lt;0,SUBSTITUTE(TEXT(BL397,"000000000000,00"),",",""),SUBSTITUTE(TEXT(BL397,"0000000000000,00"),",",""))</f>
        <v>000000000000000</v>
      </c>
      <c r="BN397" t="str">
        <f t="shared" si="2099"/>
        <v>PES</v>
      </c>
      <c r="BO397" t="str">
        <f t="shared" si="2100"/>
        <v>0001000000</v>
      </c>
      <c r="BP397">
        <f t="shared" si="2101"/>
        <v>0</v>
      </c>
      <c r="BQ397">
        <f t="shared" si="2102"/>
        <v>0</v>
      </c>
      <c r="BR397" s="23">
        <f t="shared" si="2103"/>
        <v>0</v>
      </c>
      <c r="BS397" s="49" t="str">
        <f t="shared" ref="BS397:BS460" si="2503">IF(BR397&lt;0,SUBSTITUTE(TEXT(BR397,"000000000000,00"),",",""),SUBSTITUTE(TEXT(BR397,"0000000000000,00"),",",""))</f>
        <v>000000000000000</v>
      </c>
      <c r="BT397" t="str">
        <f t="shared" si="2104"/>
        <v>00000000</v>
      </c>
      <c r="BU397" s="23">
        <f t="shared" si="2105"/>
        <v>0</v>
      </c>
      <c r="BV397" s="49" t="str">
        <f t="shared" ref="BV397:BV460" si="2504">IF(BW397="","",IF(BU397&lt;0,SUBSTITUTE(TEXT(BU397,"000000000000,00"),",",""),SUBSTITUTE(TEXT(BU397,"0000000000000,00"),",","")))</f>
        <v/>
      </c>
      <c r="BW397" s="52" t="str">
        <f t="shared" si="2106"/>
        <v/>
      </c>
      <c r="BX397" s="23">
        <f t="shared" si="2107"/>
        <v>0</v>
      </c>
      <c r="BY397" s="49" t="str">
        <f t="shared" ref="BY397:BY460" si="2505">IF(BW397="","",IF(BX397&lt;0,SUBSTITUTE(TEXT(BX397,"000000000000,00"),",",""),SUBSTITUTE(TEXT(BX397,"0000000000000,00"),",","")))</f>
        <v/>
      </c>
      <c r="BZ397" s="23">
        <f t="shared" si="2108"/>
        <v>0</v>
      </c>
      <c r="CA397" s="49" t="str">
        <f t="shared" ref="CA397:CA460" si="2506">IF(CB397="","",IF(BZ397&lt;0,SUBSTITUTE(TEXT(BZ397,"000000000000,00"),",",""),SUBSTITUTE(TEXT(BZ397,"0000000000000,00"),",","")))</f>
        <v/>
      </c>
      <c r="CB397" s="52" t="str">
        <f t="shared" si="2109"/>
        <v/>
      </c>
      <c r="CC397" s="23">
        <f t="shared" si="2110"/>
        <v>0</v>
      </c>
      <c r="CD397" s="49" t="str">
        <f t="shared" ref="CD397:CD460" si="2507">IF(CB397="","",IF(CC397&lt;0,SUBSTITUTE(TEXT(CC397,"000000000000,00"),",",""),SUBSTITUTE(TEXT(CC397,"0000000000000,00"),",","")))</f>
        <v/>
      </c>
      <c r="CE397" s="56" t="str">
        <f>IF(CF397="","",MAX(CE$10:$CE396)+1)</f>
        <v/>
      </c>
      <c r="CF397" t="str">
        <f t="shared" si="2111"/>
        <v/>
      </c>
      <c r="CG397" s="22" t="str">
        <f>IF(CH397="","",MAX($CG$10:CG396)+1)</f>
        <v/>
      </c>
      <c r="CH397" s="22" t="str">
        <f t="shared" si="2491"/>
        <v/>
      </c>
      <c r="CI397" s="22" t="str">
        <f>IF(CJ397="","",MAX($CI$10:CI396)+1)</f>
        <v/>
      </c>
      <c r="CJ397" s="22" t="str">
        <f t="shared" si="2492"/>
        <v/>
      </c>
    </row>
    <row r="398" spans="2:88" x14ac:dyDescent="0.25">
      <c r="B398" s="37"/>
      <c r="C398" s="3"/>
      <c r="D398" s="77" t="str">
        <f t="shared" si="2478"/>
        <v/>
      </c>
      <c r="E398" s="38"/>
      <c r="F398" s="38"/>
      <c r="G398" s="78">
        <f t="shared" si="2493"/>
        <v>0</v>
      </c>
      <c r="H398" s="3">
        <v>80</v>
      </c>
      <c r="I398" s="77" t="str">
        <f t="shared" si="2479"/>
        <v/>
      </c>
      <c r="J398" s="32"/>
      <c r="K398" s="3"/>
      <c r="L398" s="39"/>
      <c r="M398" s="39"/>
      <c r="N398" s="39"/>
      <c r="O398" s="39"/>
      <c r="P398" s="39"/>
      <c r="Q398" s="39"/>
      <c r="R398" s="39"/>
      <c r="S398" s="39"/>
      <c r="T398" s="3" t="s">
        <v>645</v>
      </c>
      <c r="U398" s="77" t="str">
        <f t="shared" si="2480"/>
        <v/>
      </c>
      <c r="V398" s="39">
        <v>1</v>
      </c>
      <c r="W398" s="79">
        <f t="shared" si="2494"/>
        <v>0</v>
      </c>
      <c r="X398" s="3">
        <v>0</v>
      </c>
      <c r="Y398" s="77" t="str">
        <f t="shared" si="2481"/>
        <v/>
      </c>
      <c r="Z398" s="3"/>
      <c r="AA398" s="37" t="str">
        <f t="shared" si="2495"/>
        <v/>
      </c>
      <c r="AC398" s="40"/>
      <c r="AD398" s="7"/>
      <c r="AE398" s="77" t="str">
        <f t="shared" si="2482"/>
        <v/>
      </c>
      <c r="AF398" s="81">
        <f t="shared" ref="AF398:AF461" si="2508">ROUND(AC398*AD398/100,2)</f>
        <v>0</v>
      </c>
      <c r="AG398" s="40"/>
      <c r="AH398" s="7"/>
      <c r="AI398" s="77" t="str">
        <f t="shared" si="2483"/>
        <v/>
      </c>
      <c r="AJ398" s="81">
        <f t="shared" ref="AJ398:AJ461" si="2509">ROUND(AG398*AH398/100,2)</f>
        <v>0</v>
      </c>
      <c r="AK398" s="83">
        <f t="shared" ref="AK398:AK461" si="2510">+AC398+AG398</f>
        <v>0</v>
      </c>
      <c r="AL398" s="83">
        <f t="shared" ref="AL398:AL461" si="2511">+AF398+AJ398</f>
        <v>0</v>
      </c>
      <c r="AN398" s="43">
        <f t="shared" si="2484"/>
        <v>0</v>
      </c>
      <c r="AP398" t="str">
        <f t="shared" ref="AP398:AP461" si="2512">IF(B398="","",TEXT(B398,$AP$8))</f>
        <v/>
      </c>
      <c r="AQ398" t="str">
        <f t="shared" ref="AQ398:AQ461" si="2513">IF(B398="","",IF(C398="","",TEXT(C398,"000")))</f>
        <v/>
      </c>
      <c r="AR398" t="str">
        <f t="shared" ref="AR398:AR461" si="2514">IF(B398="","",IF(E398="","00000",TEXT(RIGHT(E398,5),"00000")))</f>
        <v/>
      </c>
      <c r="AS398" t="str">
        <f t="shared" ref="AS398:AS461" si="2515">IF(B398="","",IF(F398="","00000000000000000000",TEXT(RIGHT(F398,20),"00000000000000000000")))</f>
        <v/>
      </c>
      <c r="AT398" t="str">
        <f t="shared" ref="AT398:AT461" si="2516">IF(B398="","",IF(G398="","00000000000000000000",TEXT(RIGHT(G398,20),"00000000000000000000")))</f>
        <v/>
      </c>
      <c r="AU398" t="str">
        <f t="shared" ref="AU398:AU461" si="2517">IF(B398="","",IF(C398="","",TEXT(RIGHT(H398,4),"00")))</f>
        <v/>
      </c>
      <c r="AV398" t="str">
        <f t="shared" ref="AV398:AV461" si="2518">IF(B398="","",TEXT(SUBSTITUTE(J398,"-",""),"00000000000000000000"))</f>
        <v/>
      </c>
      <c r="AW398" t="str">
        <f t="shared" ref="AW398:AW461" si="2519">IF(LEN(K398)&gt;30,LEFT(K398,30),K398&amp;REPT(" ",30-LEN(K398)))</f>
        <v xml:space="preserve">                              </v>
      </c>
      <c r="AX398" s="23">
        <f t="shared" ref="AX398:AX461" si="2520">IF(TRIM(L398)="",0,TRUNC(L398,2))</f>
        <v>0</v>
      </c>
      <c r="AY398" s="49" t="str">
        <f t="shared" si="2496"/>
        <v>000000000000000</v>
      </c>
      <c r="AZ398" s="23">
        <f t="shared" ref="AZ398:AZ461" si="2521">IF(TRIM(M398)="",0,TRUNC(M398,2))</f>
        <v>0</v>
      </c>
      <c r="BA398" s="49" t="str">
        <f t="shared" si="2496"/>
        <v>000000000000000</v>
      </c>
      <c r="BB398" s="23">
        <f t="shared" ref="BB398:BB461" si="2522">IF(TRIM(N398)="",0,TRUNC(N398,2))</f>
        <v>0</v>
      </c>
      <c r="BC398" s="49" t="str">
        <f t="shared" ref="BC398" si="2523">IF(BB398&lt;0,SUBSTITUTE(TEXT(BB398,"000000000000,00"),",",""),SUBSTITUTE(TEXT(BB398,"0000000000000,00"),",",""))</f>
        <v>000000000000000</v>
      </c>
      <c r="BD398" s="23">
        <f t="shared" ref="BD398:BD461" si="2524">IF(TRIM(O398)="",0,TRUNC(O398,2))</f>
        <v>0</v>
      </c>
      <c r="BE398" s="49" t="str">
        <f t="shared" ref="BE398" si="2525">IF(BD398&lt;0,SUBSTITUTE(TEXT(BD398,"000000000000,00"),",",""),SUBSTITUTE(TEXT(BD398,"0000000000000,00"),",",""))</f>
        <v>000000000000000</v>
      </c>
      <c r="BF398" s="23">
        <f t="shared" ref="BF398:BF461" si="2526">IF(TRIM(P398)="",0,TRUNC(P398,2))</f>
        <v>0</v>
      </c>
      <c r="BG398" s="49" t="str">
        <f t="shared" ref="BG398" si="2527">IF(BF398&lt;0,SUBSTITUTE(TEXT(BF398,"000000000000,00"),",",""),SUBSTITUTE(TEXT(BF398,"0000000000000,00"),",",""))</f>
        <v>000000000000000</v>
      </c>
      <c r="BH398" s="23">
        <f t="shared" ref="BH398:BH461" si="2528">IF(TRIM(Q398)="",0,TRUNC(Q398,2))</f>
        <v>0</v>
      </c>
      <c r="BI398" s="49" t="str">
        <f t="shared" ref="BI398" si="2529">IF(BH398&lt;0,SUBSTITUTE(TEXT(BH398,"000000000000,00"),",",""),SUBSTITUTE(TEXT(BH398,"0000000000000,00"),",",""))</f>
        <v>000000000000000</v>
      </c>
      <c r="BJ398" s="23">
        <f t="shared" ref="BJ398:BJ461" si="2530">IF(TRIM(R398)="",0,TRUNC(R398,2))</f>
        <v>0</v>
      </c>
      <c r="BK398" s="49" t="str">
        <f t="shared" ref="BK398" si="2531">IF(BJ398&lt;0,SUBSTITUTE(TEXT(BJ398,"000000000000,00"),",",""),SUBSTITUTE(TEXT(BJ398,"0000000000000,00"),",",""))</f>
        <v>000000000000000</v>
      </c>
      <c r="BL398" s="23">
        <f t="shared" ref="BL398:BL461" si="2532">IF(TRIM(S398)="",0,TRUNC(S398,2))</f>
        <v>0</v>
      </c>
      <c r="BM398" s="49" t="str">
        <f t="shared" ref="BM398" si="2533">IF(BL398&lt;0,SUBSTITUTE(TEXT(BL398,"000000000000,00"),",",""),SUBSTITUTE(TEXT(BL398,"0000000000000,00"),",",""))</f>
        <v>000000000000000</v>
      </c>
      <c r="BN398" t="str">
        <f t="shared" ref="BN398:BN461" si="2534">TEXT(T398,"000")</f>
        <v>PES</v>
      </c>
      <c r="BO398" t="str">
        <f t="shared" ref="BO398:BO461" si="2535">IF(V398&lt;0,SUBSTITUTE(TEXT(V398,"000,000000"),",",""),SUBSTITUTE(TEXT(V398,"0000,000000"),",",""))</f>
        <v>0001000000</v>
      </c>
      <c r="BP398">
        <f t="shared" ref="BP398:BP461" si="2536">W398</f>
        <v>0</v>
      </c>
      <c r="BQ398">
        <f t="shared" ref="BQ398:BQ461" si="2537">X398</f>
        <v>0</v>
      </c>
      <c r="BR398" s="23">
        <f t="shared" ref="BR398:BR461" si="2538">IF(TRIM(Z398)="",0,TRUNC(Z398,2))</f>
        <v>0</v>
      </c>
      <c r="BS398" s="49" t="str">
        <f t="shared" si="2503"/>
        <v>000000000000000</v>
      </c>
      <c r="BT398" t="str">
        <f t="shared" ref="BT398:BT461" si="2539">IF(AA398="","00000000",TEXT(AA398,$AP$8))</f>
        <v>00000000</v>
      </c>
      <c r="BU398" s="23">
        <f t="shared" ref="BU398:BU461" si="2540">IF(TRIM(AC398)="",0,TRUNC(AC398,2))</f>
        <v>0</v>
      </c>
      <c r="BV398" s="49" t="str">
        <f t="shared" si="2504"/>
        <v/>
      </c>
      <c r="BW398" s="52" t="str">
        <f t="shared" ref="BW398:BW461" si="2541">IF(AE398="","",TEXT(AE398,"0000"))</f>
        <v/>
      </c>
      <c r="BX398" s="23">
        <f t="shared" ref="BX398:BX461" si="2542">IF(TRIM(AF398)="",0,TRUNC(AF398,2))</f>
        <v>0</v>
      </c>
      <c r="BY398" s="49" t="str">
        <f t="shared" si="2505"/>
        <v/>
      </c>
      <c r="BZ398" s="23">
        <f t="shared" ref="BZ398:BZ461" si="2543">IF(TRIM(AG398)="",0,TRUNC(AG398,2))</f>
        <v>0</v>
      </c>
      <c r="CA398" s="49" t="str">
        <f t="shared" si="2506"/>
        <v/>
      </c>
      <c r="CB398" s="52" t="str">
        <f t="shared" ref="CB398:CB461" si="2544">IF(AI398="","",TEXT(AI398,"0000"))</f>
        <v/>
      </c>
      <c r="CC398" s="23">
        <f t="shared" ref="CC398:CC461" si="2545">IF(TRIM(AJ398)="",0,TRUNC(AJ398,2))</f>
        <v>0</v>
      </c>
      <c r="CD398" s="49" t="str">
        <f t="shared" si="2507"/>
        <v/>
      </c>
      <c r="CE398" s="56" t="str">
        <f>IF(CF398="","",MAX(CE$10:$CE397)+1)</f>
        <v/>
      </c>
      <c r="CF398" t="str">
        <f t="shared" ref="CF398:CF461" si="2546">IF(B398="","",AP398&amp;AQ398&amp;AR398&amp;AS398&amp;AT398&amp;AU398&amp;AV398&amp;AW398&amp;AY398&amp;BA398&amp;BC398&amp;BE398&amp;BG398&amp;BI398&amp;BK398&amp;BM398&amp;BN398&amp;BO398&amp;BP398&amp;BQ398&amp;BS398&amp;BT398)</f>
        <v/>
      </c>
      <c r="CG398" s="22" t="str">
        <f>IF(CH398="","",MAX($CG$10:CG397)+1)</f>
        <v/>
      </c>
      <c r="CH398" s="22" t="str">
        <f t="shared" si="2491"/>
        <v/>
      </c>
      <c r="CI398" s="22" t="str">
        <f>IF(CJ398="","",MAX($CI$10:CI397)+1)</f>
        <v/>
      </c>
      <c r="CJ398" s="22" t="str">
        <f t="shared" si="2492"/>
        <v/>
      </c>
    </row>
    <row r="399" spans="2:88" x14ac:dyDescent="0.25">
      <c r="B399" s="37"/>
      <c r="C399" s="3"/>
      <c r="D399" s="77" t="str">
        <f t="shared" si="2478"/>
        <v/>
      </c>
      <c r="E399" s="38"/>
      <c r="F399" s="38"/>
      <c r="G399" s="78">
        <f t="shared" si="2493"/>
        <v>0</v>
      </c>
      <c r="H399" s="3">
        <v>80</v>
      </c>
      <c r="I399" s="77" t="str">
        <f t="shared" si="2479"/>
        <v/>
      </c>
      <c r="J399" s="32"/>
      <c r="K399" s="3"/>
      <c r="L399" s="39"/>
      <c r="M399" s="39"/>
      <c r="N399" s="39"/>
      <c r="O399" s="39"/>
      <c r="P399" s="39"/>
      <c r="Q399" s="39"/>
      <c r="R399" s="39"/>
      <c r="S399" s="39"/>
      <c r="T399" s="3" t="s">
        <v>645</v>
      </c>
      <c r="U399" s="77" t="str">
        <f t="shared" si="2480"/>
        <v/>
      </c>
      <c r="V399" s="39">
        <v>1</v>
      </c>
      <c r="W399" s="79">
        <f t="shared" si="2494"/>
        <v>0</v>
      </c>
      <c r="X399" s="3">
        <v>0</v>
      </c>
      <c r="Y399" s="77" t="str">
        <f t="shared" si="2481"/>
        <v/>
      </c>
      <c r="Z399" s="3"/>
      <c r="AA399" s="37" t="str">
        <f t="shared" si="2495"/>
        <v/>
      </c>
      <c r="AC399" s="40"/>
      <c r="AD399" s="7"/>
      <c r="AE399" s="77" t="str">
        <f t="shared" si="2482"/>
        <v/>
      </c>
      <c r="AF399" s="81">
        <f t="shared" si="2508"/>
        <v>0</v>
      </c>
      <c r="AG399" s="40"/>
      <c r="AH399" s="7"/>
      <c r="AI399" s="77" t="str">
        <f t="shared" si="2483"/>
        <v/>
      </c>
      <c r="AJ399" s="81">
        <f t="shared" si="2509"/>
        <v>0</v>
      </c>
      <c r="AK399" s="83">
        <f t="shared" si="2510"/>
        <v>0</v>
      </c>
      <c r="AL399" s="83">
        <f t="shared" si="2511"/>
        <v>0</v>
      </c>
      <c r="AN399" s="43">
        <f t="shared" si="2484"/>
        <v>0</v>
      </c>
      <c r="AP399" t="str">
        <f t="shared" si="2512"/>
        <v/>
      </c>
      <c r="AQ399" t="str">
        <f t="shared" si="2513"/>
        <v/>
      </c>
      <c r="AR399" t="str">
        <f t="shared" si="2514"/>
        <v/>
      </c>
      <c r="AS399" t="str">
        <f t="shared" si="2515"/>
        <v/>
      </c>
      <c r="AT399" t="str">
        <f t="shared" si="2516"/>
        <v/>
      </c>
      <c r="AU399" t="str">
        <f t="shared" si="2517"/>
        <v/>
      </c>
      <c r="AV399" t="str">
        <f t="shared" si="2518"/>
        <v/>
      </c>
      <c r="AW399" t="str">
        <f t="shared" si="2519"/>
        <v xml:space="preserve">                              </v>
      </c>
      <c r="AX399" s="23">
        <f t="shared" si="2520"/>
        <v>0</v>
      </c>
      <c r="AY399" s="49" t="str">
        <f t="shared" si="2496"/>
        <v>000000000000000</v>
      </c>
      <c r="AZ399" s="23">
        <f t="shared" si="2521"/>
        <v>0</v>
      </c>
      <c r="BA399" s="49" t="str">
        <f t="shared" si="2496"/>
        <v>000000000000000</v>
      </c>
      <c r="BB399" s="23">
        <f t="shared" si="2522"/>
        <v>0</v>
      </c>
      <c r="BC399" s="49" t="str">
        <f t="shared" ref="BC399" si="2547">IF(BB399&lt;0,SUBSTITUTE(TEXT(BB399,"000000000000,00"),",",""),SUBSTITUTE(TEXT(BB399,"0000000000000,00"),",",""))</f>
        <v>000000000000000</v>
      </c>
      <c r="BD399" s="23">
        <f t="shared" si="2524"/>
        <v>0</v>
      </c>
      <c r="BE399" s="49" t="str">
        <f t="shared" ref="BE399" si="2548">IF(BD399&lt;0,SUBSTITUTE(TEXT(BD399,"000000000000,00"),",",""),SUBSTITUTE(TEXT(BD399,"0000000000000,00"),",",""))</f>
        <v>000000000000000</v>
      </c>
      <c r="BF399" s="23">
        <f t="shared" si="2526"/>
        <v>0</v>
      </c>
      <c r="BG399" s="49" t="str">
        <f t="shared" ref="BG399" si="2549">IF(BF399&lt;0,SUBSTITUTE(TEXT(BF399,"000000000000,00"),",",""),SUBSTITUTE(TEXT(BF399,"0000000000000,00"),",",""))</f>
        <v>000000000000000</v>
      </c>
      <c r="BH399" s="23">
        <f t="shared" si="2528"/>
        <v>0</v>
      </c>
      <c r="BI399" s="49" t="str">
        <f t="shared" ref="BI399" si="2550">IF(BH399&lt;0,SUBSTITUTE(TEXT(BH399,"000000000000,00"),",",""),SUBSTITUTE(TEXT(BH399,"0000000000000,00"),",",""))</f>
        <v>000000000000000</v>
      </c>
      <c r="BJ399" s="23">
        <f t="shared" si="2530"/>
        <v>0</v>
      </c>
      <c r="BK399" s="49" t="str">
        <f t="shared" ref="BK399" si="2551">IF(BJ399&lt;0,SUBSTITUTE(TEXT(BJ399,"000000000000,00"),",",""),SUBSTITUTE(TEXT(BJ399,"0000000000000,00"),",",""))</f>
        <v>000000000000000</v>
      </c>
      <c r="BL399" s="23">
        <f t="shared" si="2532"/>
        <v>0</v>
      </c>
      <c r="BM399" s="49" t="str">
        <f t="shared" ref="BM399" si="2552">IF(BL399&lt;0,SUBSTITUTE(TEXT(BL399,"000000000000,00"),",",""),SUBSTITUTE(TEXT(BL399,"0000000000000,00"),",",""))</f>
        <v>000000000000000</v>
      </c>
      <c r="BN399" t="str">
        <f t="shared" si="2534"/>
        <v>PES</v>
      </c>
      <c r="BO399" t="str">
        <f t="shared" si="2535"/>
        <v>0001000000</v>
      </c>
      <c r="BP399">
        <f t="shared" si="2536"/>
        <v>0</v>
      </c>
      <c r="BQ399">
        <f t="shared" si="2537"/>
        <v>0</v>
      </c>
      <c r="BR399" s="23">
        <f t="shared" si="2538"/>
        <v>0</v>
      </c>
      <c r="BS399" s="49" t="str">
        <f t="shared" si="2503"/>
        <v>000000000000000</v>
      </c>
      <c r="BT399" t="str">
        <f t="shared" si="2539"/>
        <v>00000000</v>
      </c>
      <c r="BU399" s="23">
        <f t="shared" si="2540"/>
        <v>0</v>
      </c>
      <c r="BV399" s="49" t="str">
        <f t="shared" si="2504"/>
        <v/>
      </c>
      <c r="BW399" s="52" t="str">
        <f t="shared" si="2541"/>
        <v/>
      </c>
      <c r="BX399" s="23">
        <f t="shared" si="2542"/>
        <v>0</v>
      </c>
      <c r="BY399" s="49" t="str">
        <f t="shared" si="2505"/>
        <v/>
      </c>
      <c r="BZ399" s="23">
        <f t="shared" si="2543"/>
        <v>0</v>
      </c>
      <c r="CA399" s="49" t="str">
        <f t="shared" si="2506"/>
        <v/>
      </c>
      <c r="CB399" s="52" t="str">
        <f t="shared" si="2544"/>
        <v/>
      </c>
      <c r="CC399" s="23">
        <f t="shared" si="2545"/>
        <v>0</v>
      </c>
      <c r="CD399" s="49" t="str">
        <f t="shared" si="2507"/>
        <v/>
      </c>
      <c r="CE399" s="56" t="str">
        <f>IF(CF399="","",MAX(CE$10:$CE398)+1)</f>
        <v/>
      </c>
      <c r="CF399" t="str">
        <f t="shared" si="2546"/>
        <v/>
      </c>
      <c r="CG399" s="22" t="str">
        <f>IF(CH399="","",MAX($CG$10:CG398)+1)</f>
        <v/>
      </c>
      <c r="CH399" s="22" t="str">
        <f t="shared" si="2491"/>
        <v/>
      </c>
      <c r="CI399" s="22" t="str">
        <f>IF(CJ399="","",MAX($CI$10:CI398)+1)</f>
        <v/>
      </c>
      <c r="CJ399" s="22" t="str">
        <f t="shared" si="2492"/>
        <v/>
      </c>
    </row>
    <row r="400" spans="2:88" x14ac:dyDescent="0.25">
      <c r="B400" s="37"/>
      <c r="C400" s="3"/>
      <c r="D400" s="77" t="str">
        <f t="shared" si="2478"/>
        <v/>
      </c>
      <c r="E400" s="38"/>
      <c r="F400" s="38"/>
      <c r="G400" s="78">
        <f t="shared" si="2493"/>
        <v>0</v>
      </c>
      <c r="H400" s="3">
        <v>80</v>
      </c>
      <c r="I400" s="77" t="str">
        <f t="shared" si="2479"/>
        <v/>
      </c>
      <c r="J400" s="32"/>
      <c r="K400" s="3"/>
      <c r="L400" s="39"/>
      <c r="M400" s="39"/>
      <c r="N400" s="39"/>
      <c r="O400" s="39"/>
      <c r="P400" s="39"/>
      <c r="Q400" s="39"/>
      <c r="R400" s="39"/>
      <c r="S400" s="39"/>
      <c r="T400" s="3" t="s">
        <v>645</v>
      </c>
      <c r="U400" s="77" t="str">
        <f t="shared" si="2480"/>
        <v/>
      </c>
      <c r="V400" s="39">
        <v>1</v>
      </c>
      <c r="W400" s="79">
        <f t="shared" si="2494"/>
        <v>0</v>
      </c>
      <c r="X400" s="3">
        <v>0</v>
      </c>
      <c r="Y400" s="77" t="str">
        <f t="shared" si="2481"/>
        <v/>
      </c>
      <c r="Z400" s="3"/>
      <c r="AA400" s="37" t="str">
        <f t="shared" si="2495"/>
        <v/>
      </c>
      <c r="AC400" s="40"/>
      <c r="AD400" s="7"/>
      <c r="AE400" s="77" t="str">
        <f t="shared" si="2482"/>
        <v/>
      </c>
      <c r="AF400" s="81">
        <f t="shared" si="2508"/>
        <v>0</v>
      </c>
      <c r="AG400" s="40"/>
      <c r="AH400" s="7"/>
      <c r="AI400" s="77" t="str">
        <f t="shared" si="2483"/>
        <v/>
      </c>
      <c r="AJ400" s="81">
        <f t="shared" si="2509"/>
        <v>0</v>
      </c>
      <c r="AK400" s="83">
        <f t="shared" si="2510"/>
        <v>0</v>
      </c>
      <c r="AL400" s="83">
        <f t="shared" si="2511"/>
        <v>0</v>
      </c>
      <c r="AN400" s="43">
        <f t="shared" si="2484"/>
        <v>0</v>
      </c>
      <c r="AP400" t="str">
        <f t="shared" si="2512"/>
        <v/>
      </c>
      <c r="AQ400" t="str">
        <f t="shared" si="2513"/>
        <v/>
      </c>
      <c r="AR400" t="str">
        <f t="shared" si="2514"/>
        <v/>
      </c>
      <c r="AS400" t="str">
        <f t="shared" si="2515"/>
        <v/>
      </c>
      <c r="AT400" t="str">
        <f t="shared" si="2516"/>
        <v/>
      </c>
      <c r="AU400" t="str">
        <f t="shared" si="2517"/>
        <v/>
      </c>
      <c r="AV400" t="str">
        <f t="shared" si="2518"/>
        <v/>
      </c>
      <c r="AW400" t="str">
        <f t="shared" si="2519"/>
        <v xml:space="preserve">                              </v>
      </c>
      <c r="AX400" s="23">
        <f t="shared" si="2520"/>
        <v>0</v>
      </c>
      <c r="AY400" s="49" t="str">
        <f t="shared" si="2496"/>
        <v>000000000000000</v>
      </c>
      <c r="AZ400" s="23">
        <f t="shared" si="2521"/>
        <v>0</v>
      </c>
      <c r="BA400" s="49" t="str">
        <f t="shared" si="2496"/>
        <v>000000000000000</v>
      </c>
      <c r="BB400" s="23">
        <f t="shared" si="2522"/>
        <v>0</v>
      </c>
      <c r="BC400" s="49" t="str">
        <f t="shared" ref="BC400" si="2553">IF(BB400&lt;0,SUBSTITUTE(TEXT(BB400,"000000000000,00"),",",""),SUBSTITUTE(TEXT(BB400,"0000000000000,00"),",",""))</f>
        <v>000000000000000</v>
      </c>
      <c r="BD400" s="23">
        <f t="shared" si="2524"/>
        <v>0</v>
      </c>
      <c r="BE400" s="49" t="str">
        <f t="shared" ref="BE400" si="2554">IF(BD400&lt;0,SUBSTITUTE(TEXT(BD400,"000000000000,00"),",",""),SUBSTITUTE(TEXT(BD400,"0000000000000,00"),",",""))</f>
        <v>000000000000000</v>
      </c>
      <c r="BF400" s="23">
        <f t="shared" si="2526"/>
        <v>0</v>
      </c>
      <c r="BG400" s="49" t="str">
        <f t="shared" ref="BG400" si="2555">IF(BF400&lt;0,SUBSTITUTE(TEXT(BF400,"000000000000,00"),",",""),SUBSTITUTE(TEXT(BF400,"0000000000000,00"),",",""))</f>
        <v>000000000000000</v>
      </c>
      <c r="BH400" s="23">
        <f t="shared" si="2528"/>
        <v>0</v>
      </c>
      <c r="BI400" s="49" t="str">
        <f t="shared" ref="BI400" si="2556">IF(BH400&lt;0,SUBSTITUTE(TEXT(BH400,"000000000000,00"),",",""),SUBSTITUTE(TEXT(BH400,"0000000000000,00"),",",""))</f>
        <v>000000000000000</v>
      </c>
      <c r="BJ400" s="23">
        <f t="shared" si="2530"/>
        <v>0</v>
      </c>
      <c r="BK400" s="49" t="str">
        <f t="shared" ref="BK400" si="2557">IF(BJ400&lt;0,SUBSTITUTE(TEXT(BJ400,"000000000000,00"),",",""),SUBSTITUTE(TEXT(BJ400,"0000000000000,00"),",",""))</f>
        <v>000000000000000</v>
      </c>
      <c r="BL400" s="23">
        <f t="shared" si="2532"/>
        <v>0</v>
      </c>
      <c r="BM400" s="49" t="str">
        <f t="shared" ref="BM400" si="2558">IF(BL400&lt;0,SUBSTITUTE(TEXT(BL400,"000000000000,00"),",",""),SUBSTITUTE(TEXT(BL400,"0000000000000,00"),",",""))</f>
        <v>000000000000000</v>
      </c>
      <c r="BN400" t="str">
        <f t="shared" si="2534"/>
        <v>PES</v>
      </c>
      <c r="BO400" t="str">
        <f t="shared" si="2535"/>
        <v>0001000000</v>
      </c>
      <c r="BP400">
        <f t="shared" si="2536"/>
        <v>0</v>
      </c>
      <c r="BQ400">
        <f t="shared" si="2537"/>
        <v>0</v>
      </c>
      <c r="BR400" s="23">
        <f t="shared" si="2538"/>
        <v>0</v>
      </c>
      <c r="BS400" s="49" t="str">
        <f t="shared" si="2503"/>
        <v>000000000000000</v>
      </c>
      <c r="BT400" t="str">
        <f t="shared" si="2539"/>
        <v>00000000</v>
      </c>
      <c r="BU400" s="23">
        <f t="shared" si="2540"/>
        <v>0</v>
      </c>
      <c r="BV400" s="49" t="str">
        <f t="shared" si="2504"/>
        <v/>
      </c>
      <c r="BW400" s="52" t="str">
        <f t="shared" si="2541"/>
        <v/>
      </c>
      <c r="BX400" s="23">
        <f t="shared" si="2542"/>
        <v>0</v>
      </c>
      <c r="BY400" s="49" t="str">
        <f t="shared" si="2505"/>
        <v/>
      </c>
      <c r="BZ400" s="23">
        <f t="shared" si="2543"/>
        <v>0</v>
      </c>
      <c r="CA400" s="49" t="str">
        <f t="shared" si="2506"/>
        <v/>
      </c>
      <c r="CB400" s="52" t="str">
        <f t="shared" si="2544"/>
        <v/>
      </c>
      <c r="CC400" s="23">
        <f t="shared" si="2545"/>
        <v>0</v>
      </c>
      <c r="CD400" s="49" t="str">
        <f t="shared" si="2507"/>
        <v/>
      </c>
      <c r="CE400" s="56" t="str">
        <f>IF(CF400="","",MAX(CE$10:$CE399)+1)</f>
        <v/>
      </c>
      <c r="CF400" t="str">
        <f t="shared" si="2546"/>
        <v/>
      </c>
      <c r="CG400" s="22" t="str">
        <f>IF(CH400="","",MAX($CG$10:CG399)+1)</f>
        <v/>
      </c>
      <c r="CH400" s="22" t="str">
        <f t="shared" si="2491"/>
        <v/>
      </c>
      <c r="CI400" s="22" t="str">
        <f>IF(CJ400="","",MAX($CI$10:CI399)+1)</f>
        <v/>
      </c>
      <c r="CJ400" s="22" t="str">
        <f t="shared" si="2492"/>
        <v/>
      </c>
    </row>
    <row r="401" spans="2:88" x14ac:dyDescent="0.25">
      <c r="B401" s="37"/>
      <c r="C401" s="3"/>
      <c r="D401" s="77" t="str">
        <f t="shared" si="2478"/>
        <v/>
      </c>
      <c r="E401" s="38"/>
      <c r="F401" s="38"/>
      <c r="G401" s="78">
        <f t="shared" si="2493"/>
        <v>0</v>
      </c>
      <c r="H401" s="3">
        <v>80</v>
      </c>
      <c r="I401" s="77" t="str">
        <f t="shared" si="2479"/>
        <v/>
      </c>
      <c r="J401" s="32"/>
      <c r="K401" s="3"/>
      <c r="L401" s="39"/>
      <c r="M401" s="39"/>
      <c r="N401" s="39"/>
      <c r="O401" s="39"/>
      <c r="P401" s="39"/>
      <c r="Q401" s="39"/>
      <c r="R401" s="39"/>
      <c r="S401" s="39"/>
      <c r="T401" s="3" t="s">
        <v>645</v>
      </c>
      <c r="U401" s="77" t="str">
        <f t="shared" si="2480"/>
        <v/>
      </c>
      <c r="V401" s="39">
        <v>1</v>
      </c>
      <c r="W401" s="79">
        <f t="shared" si="2494"/>
        <v>0</v>
      </c>
      <c r="X401" s="3">
        <v>0</v>
      </c>
      <c r="Y401" s="77" t="str">
        <f t="shared" si="2481"/>
        <v/>
      </c>
      <c r="Z401" s="3"/>
      <c r="AA401" s="37" t="str">
        <f t="shared" si="2495"/>
        <v/>
      </c>
      <c r="AC401" s="40"/>
      <c r="AD401" s="7"/>
      <c r="AE401" s="77" t="str">
        <f t="shared" si="2482"/>
        <v/>
      </c>
      <c r="AF401" s="81">
        <f t="shared" si="2508"/>
        <v>0</v>
      </c>
      <c r="AG401" s="40"/>
      <c r="AH401" s="7"/>
      <c r="AI401" s="77" t="str">
        <f t="shared" si="2483"/>
        <v/>
      </c>
      <c r="AJ401" s="81">
        <f t="shared" si="2509"/>
        <v>0</v>
      </c>
      <c r="AK401" s="83">
        <f t="shared" si="2510"/>
        <v>0</v>
      </c>
      <c r="AL401" s="83">
        <f t="shared" si="2511"/>
        <v>0</v>
      </c>
      <c r="AN401" s="43">
        <f t="shared" si="2484"/>
        <v>0</v>
      </c>
      <c r="AP401" t="str">
        <f t="shared" si="2512"/>
        <v/>
      </c>
      <c r="AQ401" t="str">
        <f t="shared" si="2513"/>
        <v/>
      </c>
      <c r="AR401" t="str">
        <f t="shared" si="2514"/>
        <v/>
      </c>
      <c r="AS401" t="str">
        <f t="shared" si="2515"/>
        <v/>
      </c>
      <c r="AT401" t="str">
        <f t="shared" si="2516"/>
        <v/>
      </c>
      <c r="AU401" t="str">
        <f t="shared" si="2517"/>
        <v/>
      </c>
      <c r="AV401" t="str">
        <f t="shared" si="2518"/>
        <v/>
      </c>
      <c r="AW401" t="str">
        <f t="shared" si="2519"/>
        <v xml:space="preserve">                              </v>
      </c>
      <c r="AX401" s="23">
        <f t="shared" si="2520"/>
        <v>0</v>
      </c>
      <c r="AY401" s="49" t="str">
        <f t="shared" si="2496"/>
        <v>000000000000000</v>
      </c>
      <c r="AZ401" s="23">
        <f t="shared" si="2521"/>
        <v>0</v>
      </c>
      <c r="BA401" s="49" t="str">
        <f t="shared" si="2496"/>
        <v>000000000000000</v>
      </c>
      <c r="BB401" s="23">
        <f t="shared" si="2522"/>
        <v>0</v>
      </c>
      <c r="BC401" s="49" t="str">
        <f t="shared" ref="BC401" si="2559">IF(BB401&lt;0,SUBSTITUTE(TEXT(BB401,"000000000000,00"),",",""),SUBSTITUTE(TEXT(BB401,"0000000000000,00"),",",""))</f>
        <v>000000000000000</v>
      </c>
      <c r="BD401" s="23">
        <f t="shared" si="2524"/>
        <v>0</v>
      </c>
      <c r="BE401" s="49" t="str">
        <f t="shared" ref="BE401" si="2560">IF(BD401&lt;0,SUBSTITUTE(TEXT(BD401,"000000000000,00"),",",""),SUBSTITUTE(TEXT(BD401,"0000000000000,00"),",",""))</f>
        <v>000000000000000</v>
      </c>
      <c r="BF401" s="23">
        <f t="shared" si="2526"/>
        <v>0</v>
      </c>
      <c r="BG401" s="49" t="str">
        <f t="shared" ref="BG401" si="2561">IF(BF401&lt;0,SUBSTITUTE(TEXT(BF401,"000000000000,00"),",",""),SUBSTITUTE(TEXT(BF401,"0000000000000,00"),",",""))</f>
        <v>000000000000000</v>
      </c>
      <c r="BH401" s="23">
        <f t="shared" si="2528"/>
        <v>0</v>
      </c>
      <c r="BI401" s="49" t="str">
        <f t="shared" ref="BI401" si="2562">IF(BH401&lt;0,SUBSTITUTE(TEXT(BH401,"000000000000,00"),",",""),SUBSTITUTE(TEXT(BH401,"0000000000000,00"),",",""))</f>
        <v>000000000000000</v>
      </c>
      <c r="BJ401" s="23">
        <f t="shared" si="2530"/>
        <v>0</v>
      </c>
      <c r="BK401" s="49" t="str">
        <f t="shared" ref="BK401" si="2563">IF(BJ401&lt;0,SUBSTITUTE(TEXT(BJ401,"000000000000,00"),",",""),SUBSTITUTE(TEXT(BJ401,"0000000000000,00"),",",""))</f>
        <v>000000000000000</v>
      </c>
      <c r="BL401" s="23">
        <f t="shared" si="2532"/>
        <v>0</v>
      </c>
      <c r="BM401" s="49" t="str">
        <f t="shared" ref="BM401" si="2564">IF(BL401&lt;0,SUBSTITUTE(TEXT(BL401,"000000000000,00"),",",""),SUBSTITUTE(TEXT(BL401,"0000000000000,00"),",",""))</f>
        <v>000000000000000</v>
      </c>
      <c r="BN401" t="str">
        <f t="shared" si="2534"/>
        <v>PES</v>
      </c>
      <c r="BO401" t="str">
        <f t="shared" si="2535"/>
        <v>0001000000</v>
      </c>
      <c r="BP401">
        <f t="shared" si="2536"/>
        <v>0</v>
      </c>
      <c r="BQ401">
        <f t="shared" si="2537"/>
        <v>0</v>
      </c>
      <c r="BR401" s="23">
        <f t="shared" si="2538"/>
        <v>0</v>
      </c>
      <c r="BS401" s="49" t="str">
        <f t="shared" si="2503"/>
        <v>000000000000000</v>
      </c>
      <c r="BT401" t="str">
        <f t="shared" si="2539"/>
        <v>00000000</v>
      </c>
      <c r="BU401" s="23">
        <f t="shared" si="2540"/>
        <v>0</v>
      </c>
      <c r="BV401" s="49" t="str">
        <f t="shared" si="2504"/>
        <v/>
      </c>
      <c r="BW401" s="52" t="str">
        <f t="shared" si="2541"/>
        <v/>
      </c>
      <c r="BX401" s="23">
        <f t="shared" si="2542"/>
        <v>0</v>
      </c>
      <c r="BY401" s="49" t="str">
        <f t="shared" si="2505"/>
        <v/>
      </c>
      <c r="BZ401" s="23">
        <f t="shared" si="2543"/>
        <v>0</v>
      </c>
      <c r="CA401" s="49" t="str">
        <f t="shared" si="2506"/>
        <v/>
      </c>
      <c r="CB401" s="52" t="str">
        <f t="shared" si="2544"/>
        <v/>
      </c>
      <c r="CC401" s="23">
        <f t="shared" si="2545"/>
        <v>0</v>
      </c>
      <c r="CD401" s="49" t="str">
        <f t="shared" si="2507"/>
        <v/>
      </c>
      <c r="CE401" s="56" t="str">
        <f>IF(CF401="","",MAX(CE$10:$CE400)+1)</f>
        <v/>
      </c>
      <c r="CF401" t="str">
        <f t="shared" si="2546"/>
        <v/>
      </c>
      <c r="CG401" s="22" t="str">
        <f>IF(CH401="","",MAX($CG$10:CG400)+1)</f>
        <v/>
      </c>
      <c r="CH401" s="22" t="str">
        <f t="shared" si="2491"/>
        <v/>
      </c>
      <c r="CI401" s="22" t="str">
        <f>IF(CJ401="","",MAX($CI$10:CI400)+1)</f>
        <v/>
      </c>
      <c r="CJ401" s="22" t="str">
        <f t="shared" si="2492"/>
        <v/>
      </c>
    </row>
    <row r="402" spans="2:88" x14ac:dyDescent="0.25">
      <c r="B402" s="37"/>
      <c r="C402" s="3"/>
      <c r="D402" s="77" t="str">
        <f t="shared" si="2478"/>
        <v/>
      </c>
      <c r="E402" s="38"/>
      <c r="F402" s="38"/>
      <c r="G402" s="78">
        <f t="shared" si="2493"/>
        <v>0</v>
      </c>
      <c r="H402" s="3">
        <v>80</v>
      </c>
      <c r="I402" s="77" t="str">
        <f t="shared" si="2479"/>
        <v/>
      </c>
      <c r="J402" s="32"/>
      <c r="K402" s="3"/>
      <c r="L402" s="39"/>
      <c r="M402" s="39"/>
      <c r="N402" s="39"/>
      <c r="O402" s="39"/>
      <c r="P402" s="39"/>
      <c r="Q402" s="39"/>
      <c r="R402" s="39"/>
      <c r="S402" s="39"/>
      <c r="T402" s="3" t="s">
        <v>645</v>
      </c>
      <c r="U402" s="77" t="str">
        <f t="shared" si="2480"/>
        <v/>
      </c>
      <c r="V402" s="39">
        <v>1</v>
      </c>
      <c r="W402" s="79">
        <f t="shared" si="2494"/>
        <v>0</v>
      </c>
      <c r="X402" s="3">
        <v>0</v>
      </c>
      <c r="Y402" s="77" t="str">
        <f t="shared" si="2481"/>
        <v/>
      </c>
      <c r="Z402" s="3"/>
      <c r="AA402" s="37" t="str">
        <f t="shared" si="2495"/>
        <v/>
      </c>
      <c r="AC402" s="40"/>
      <c r="AD402" s="7"/>
      <c r="AE402" s="77" t="str">
        <f t="shared" si="2482"/>
        <v/>
      </c>
      <c r="AF402" s="81">
        <f t="shared" si="2508"/>
        <v>0</v>
      </c>
      <c r="AG402" s="40"/>
      <c r="AH402" s="7"/>
      <c r="AI402" s="77" t="str">
        <f t="shared" si="2483"/>
        <v/>
      </c>
      <c r="AJ402" s="81">
        <f t="shared" si="2509"/>
        <v>0</v>
      </c>
      <c r="AK402" s="83">
        <f t="shared" si="2510"/>
        <v>0</v>
      </c>
      <c r="AL402" s="83">
        <f t="shared" si="2511"/>
        <v>0</v>
      </c>
      <c r="AN402" s="43">
        <f t="shared" si="2484"/>
        <v>0</v>
      </c>
      <c r="AP402" t="str">
        <f t="shared" si="2512"/>
        <v/>
      </c>
      <c r="AQ402" t="str">
        <f t="shared" si="2513"/>
        <v/>
      </c>
      <c r="AR402" t="str">
        <f t="shared" si="2514"/>
        <v/>
      </c>
      <c r="AS402" t="str">
        <f t="shared" si="2515"/>
        <v/>
      </c>
      <c r="AT402" t="str">
        <f t="shared" si="2516"/>
        <v/>
      </c>
      <c r="AU402" t="str">
        <f t="shared" si="2517"/>
        <v/>
      </c>
      <c r="AV402" t="str">
        <f t="shared" si="2518"/>
        <v/>
      </c>
      <c r="AW402" t="str">
        <f t="shared" si="2519"/>
        <v xml:space="preserve">                              </v>
      </c>
      <c r="AX402" s="23">
        <f t="shared" si="2520"/>
        <v>0</v>
      </c>
      <c r="AY402" s="49" t="str">
        <f t="shared" si="2496"/>
        <v>000000000000000</v>
      </c>
      <c r="AZ402" s="23">
        <f t="shared" si="2521"/>
        <v>0</v>
      </c>
      <c r="BA402" s="49" t="str">
        <f t="shared" si="2496"/>
        <v>000000000000000</v>
      </c>
      <c r="BB402" s="23">
        <f t="shared" si="2522"/>
        <v>0</v>
      </c>
      <c r="BC402" s="49" t="str">
        <f t="shared" ref="BC402" si="2565">IF(BB402&lt;0,SUBSTITUTE(TEXT(BB402,"000000000000,00"),",",""),SUBSTITUTE(TEXT(BB402,"0000000000000,00"),",",""))</f>
        <v>000000000000000</v>
      </c>
      <c r="BD402" s="23">
        <f t="shared" si="2524"/>
        <v>0</v>
      </c>
      <c r="BE402" s="49" t="str">
        <f t="shared" ref="BE402" si="2566">IF(BD402&lt;0,SUBSTITUTE(TEXT(BD402,"000000000000,00"),",",""),SUBSTITUTE(TEXT(BD402,"0000000000000,00"),",",""))</f>
        <v>000000000000000</v>
      </c>
      <c r="BF402" s="23">
        <f t="shared" si="2526"/>
        <v>0</v>
      </c>
      <c r="BG402" s="49" t="str">
        <f t="shared" ref="BG402" si="2567">IF(BF402&lt;0,SUBSTITUTE(TEXT(BF402,"000000000000,00"),",",""),SUBSTITUTE(TEXT(BF402,"0000000000000,00"),",",""))</f>
        <v>000000000000000</v>
      </c>
      <c r="BH402" s="23">
        <f t="shared" si="2528"/>
        <v>0</v>
      </c>
      <c r="BI402" s="49" t="str">
        <f t="shared" ref="BI402" si="2568">IF(BH402&lt;0,SUBSTITUTE(TEXT(BH402,"000000000000,00"),",",""),SUBSTITUTE(TEXT(BH402,"0000000000000,00"),",",""))</f>
        <v>000000000000000</v>
      </c>
      <c r="BJ402" s="23">
        <f t="shared" si="2530"/>
        <v>0</v>
      </c>
      <c r="BK402" s="49" t="str">
        <f t="shared" ref="BK402" si="2569">IF(BJ402&lt;0,SUBSTITUTE(TEXT(BJ402,"000000000000,00"),",",""),SUBSTITUTE(TEXT(BJ402,"0000000000000,00"),",",""))</f>
        <v>000000000000000</v>
      </c>
      <c r="BL402" s="23">
        <f t="shared" si="2532"/>
        <v>0</v>
      </c>
      <c r="BM402" s="49" t="str">
        <f t="shared" ref="BM402" si="2570">IF(BL402&lt;0,SUBSTITUTE(TEXT(BL402,"000000000000,00"),",",""),SUBSTITUTE(TEXT(BL402,"0000000000000,00"),",",""))</f>
        <v>000000000000000</v>
      </c>
      <c r="BN402" t="str">
        <f t="shared" si="2534"/>
        <v>PES</v>
      </c>
      <c r="BO402" t="str">
        <f t="shared" si="2535"/>
        <v>0001000000</v>
      </c>
      <c r="BP402">
        <f t="shared" si="2536"/>
        <v>0</v>
      </c>
      <c r="BQ402">
        <f t="shared" si="2537"/>
        <v>0</v>
      </c>
      <c r="BR402" s="23">
        <f t="shared" si="2538"/>
        <v>0</v>
      </c>
      <c r="BS402" s="49" t="str">
        <f t="shared" si="2503"/>
        <v>000000000000000</v>
      </c>
      <c r="BT402" t="str">
        <f t="shared" si="2539"/>
        <v>00000000</v>
      </c>
      <c r="BU402" s="23">
        <f t="shared" si="2540"/>
        <v>0</v>
      </c>
      <c r="BV402" s="49" t="str">
        <f t="shared" si="2504"/>
        <v/>
      </c>
      <c r="BW402" s="52" t="str">
        <f t="shared" si="2541"/>
        <v/>
      </c>
      <c r="BX402" s="23">
        <f t="shared" si="2542"/>
        <v>0</v>
      </c>
      <c r="BY402" s="49" t="str">
        <f t="shared" si="2505"/>
        <v/>
      </c>
      <c r="BZ402" s="23">
        <f t="shared" si="2543"/>
        <v>0</v>
      </c>
      <c r="CA402" s="49" t="str">
        <f t="shared" si="2506"/>
        <v/>
      </c>
      <c r="CB402" s="52" t="str">
        <f t="shared" si="2544"/>
        <v/>
      </c>
      <c r="CC402" s="23">
        <f t="shared" si="2545"/>
        <v>0</v>
      </c>
      <c r="CD402" s="49" t="str">
        <f t="shared" si="2507"/>
        <v/>
      </c>
      <c r="CE402" s="56" t="str">
        <f>IF(CF402="","",MAX(CE$10:$CE401)+1)</f>
        <v/>
      </c>
      <c r="CF402" t="str">
        <f t="shared" si="2546"/>
        <v/>
      </c>
      <c r="CG402" s="22" t="str">
        <f>IF(CH402="","",MAX($CG$10:CG401)+1)</f>
        <v/>
      </c>
      <c r="CH402" s="22" t="str">
        <f t="shared" si="2491"/>
        <v/>
      </c>
      <c r="CI402" s="22" t="str">
        <f>IF(CJ402="","",MAX($CI$10:CI401)+1)</f>
        <v/>
      </c>
      <c r="CJ402" s="22" t="str">
        <f t="shared" si="2492"/>
        <v/>
      </c>
    </row>
    <row r="403" spans="2:88" x14ac:dyDescent="0.25">
      <c r="B403" s="37"/>
      <c r="C403" s="3"/>
      <c r="D403" s="77" t="str">
        <f t="shared" si="2478"/>
        <v/>
      </c>
      <c r="E403" s="38"/>
      <c r="F403" s="38"/>
      <c r="G403" s="78">
        <f t="shared" si="2493"/>
        <v>0</v>
      </c>
      <c r="H403" s="3">
        <v>80</v>
      </c>
      <c r="I403" s="77" t="str">
        <f t="shared" si="2479"/>
        <v/>
      </c>
      <c r="J403" s="32"/>
      <c r="K403" s="3"/>
      <c r="L403" s="39"/>
      <c r="M403" s="39"/>
      <c r="N403" s="39"/>
      <c r="O403" s="39"/>
      <c r="P403" s="39"/>
      <c r="Q403" s="39"/>
      <c r="R403" s="39"/>
      <c r="S403" s="39"/>
      <c r="T403" s="3" t="s">
        <v>645</v>
      </c>
      <c r="U403" s="77" t="str">
        <f t="shared" si="2480"/>
        <v/>
      </c>
      <c r="V403" s="39">
        <v>1</v>
      </c>
      <c r="W403" s="79">
        <f t="shared" si="2494"/>
        <v>0</v>
      </c>
      <c r="X403" s="3">
        <v>0</v>
      </c>
      <c r="Y403" s="77" t="str">
        <f t="shared" si="2481"/>
        <v/>
      </c>
      <c r="Z403" s="3"/>
      <c r="AA403" s="37" t="str">
        <f t="shared" si="2495"/>
        <v/>
      </c>
      <c r="AC403" s="40"/>
      <c r="AD403" s="7"/>
      <c r="AE403" s="77" t="str">
        <f t="shared" si="2482"/>
        <v/>
      </c>
      <c r="AF403" s="81">
        <f t="shared" si="2508"/>
        <v>0</v>
      </c>
      <c r="AG403" s="40"/>
      <c r="AH403" s="7"/>
      <c r="AI403" s="77" t="str">
        <f t="shared" si="2483"/>
        <v/>
      </c>
      <c r="AJ403" s="81">
        <f t="shared" si="2509"/>
        <v>0</v>
      </c>
      <c r="AK403" s="83">
        <f t="shared" si="2510"/>
        <v>0</v>
      </c>
      <c r="AL403" s="83">
        <f t="shared" si="2511"/>
        <v>0</v>
      </c>
      <c r="AN403" s="43">
        <f t="shared" si="2484"/>
        <v>0</v>
      </c>
      <c r="AP403" t="str">
        <f t="shared" si="2512"/>
        <v/>
      </c>
      <c r="AQ403" t="str">
        <f t="shared" si="2513"/>
        <v/>
      </c>
      <c r="AR403" t="str">
        <f t="shared" si="2514"/>
        <v/>
      </c>
      <c r="AS403" t="str">
        <f t="shared" si="2515"/>
        <v/>
      </c>
      <c r="AT403" t="str">
        <f t="shared" si="2516"/>
        <v/>
      </c>
      <c r="AU403" t="str">
        <f t="shared" si="2517"/>
        <v/>
      </c>
      <c r="AV403" t="str">
        <f t="shared" si="2518"/>
        <v/>
      </c>
      <c r="AW403" t="str">
        <f t="shared" si="2519"/>
        <v xml:space="preserve">                              </v>
      </c>
      <c r="AX403" s="23">
        <f t="shared" si="2520"/>
        <v>0</v>
      </c>
      <c r="AY403" s="49" t="str">
        <f t="shared" si="2496"/>
        <v>000000000000000</v>
      </c>
      <c r="AZ403" s="23">
        <f t="shared" si="2521"/>
        <v>0</v>
      </c>
      <c r="BA403" s="49" t="str">
        <f t="shared" si="2496"/>
        <v>000000000000000</v>
      </c>
      <c r="BB403" s="23">
        <f t="shared" si="2522"/>
        <v>0</v>
      </c>
      <c r="BC403" s="49" t="str">
        <f t="shared" ref="BC403" si="2571">IF(BB403&lt;0,SUBSTITUTE(TEXT(BB403,"000000000000,00"),",",""),SUBSTITUTE(TEXT(BB403,"0000000000000,00"),",",""))</f>
        <v>000000000000000</v>
      </c>
      <c r="BD403" s="23">
        <f t="shared" si="2524"/>
        <v>0</v>
      </c>
      <c r="BE403" s="49" t="str">
        <f t="shared" ref="BE403" si="2572">IF(BD403&lt;0,SUBSTITUTE(TEXT(BD403,"000000000000,00"),",",""),SUBSTITUTE(TEXT(BD403,"0000000000000,00"),",",""))</f>
        <v>000000000000000</v>
      </c>
      <c r="BF403" s="23">
        <f t="shared" si="2526"/>
        <v>0</v>
      </c>
      <c r="BG403" s="49" t="str">
        <f t="shared" ref="BG403" si="2573">IF(BF403&lt;0,SUBSTITUTE(TEXT(BF403,"000000000000,00"),",",""),SUBSTITUTE(TEXT(BF403,"0000000000000,00"),",",""))</f>
        <v>000000000000000</v>
      </c>
      <c r="BH403" s="23">
        <f t="shared" si="2528"/>
        <v>0</v>
      </c>
      <c r="BI403" s="49" t="str">
        <f t="shared" ref="BI403" si="2574">IF(BH403&lt;0,SUBSTITUTE(TEXT(BH403,"000000000000,00"),",",""),SUBSTITUTE(TEXT(BH403,"0000000000000,00"),",",""))</f>
        <v>000000000000000</v>
      </c>
      <c r="BJ403" s="23">
        <f t="shared" si="2530"/>
        <v>0</v>
      </c>
      <c r="BK403" s="49" t="str">
        <f t="shared" ref="BK403" si="2575">IF(BJ403&lt;0,SUBSTITUTE(TEXT(BJ403,"000000000000,00"),",",""),SUBSTITUTE(TEXT(BJ403,"0000000000000,00"),",",""))</f>
        <v>000000000000000</v>
      </c>
      <c r="BL403" s="23">
        <f t="shared" si="2532"/>
        <v>0</v>
      </c>
      <c r="BM403" s="49" t="str">
        <f t="shared" ref="BM403" si="2576">IF(BL403&lt;0,SUBSTITUTE(TEXT(BL403,"000000000000,00"),",",""),SUBSTITUTE(TEXT(BL403,"0000000000000,00"),",",""))</f>
        <v>000000000000000</v>
      </c>
      <c r="BN403" t="str">
        <f t="shared" si="2534"/>
        <v>PES</v>
      </c>
      <c r="BO403" t="str">
        <f t="shared" si="2535"/>
        <v>0001000000</v>
      </c>
      <c r="BP403">
        <f t="shared" si="2536"/>
        <v>0</v>
      </c>
      <c r="BQ403">
        <f t="shared" si="2537"/>
        <v>0</v>
      </c>
      <c r="BR403" s="23">
        <f t="shared" si="2538"/>
        <v>0</v>
      </c>
      <c r="BS403" s="49" t="str">
        <f t="shared" si="2503"/>
        <v>000000000000000</v>
      </c>
      <c r="BT403" t="str">
        <f t="shared" si="2539"/>
        <v>00000000</v>
      </c>
      <c r="BU403" s="23">
        <f t="shared" si="2540"/>
        <v>0</v>
      </c>
      <c r="BV403" s="49" t="str">
        <f t="shared" si="2504"/>
        <v/>
      </c>
      <c r="BW403" s="52" t="str">
        <f t="shared" si="2541"/>
        <v/>
      </c>
      <c r="BX403" s="23">
        <f t="shared" si="2542"/>
        <v>0</v>
      </c>
      <c r="BY403" s="49" t="str">
        <f t="shared" si="2505"/>
        <v/>
      </c>
      <c r="BZ403" s="23">
        <f t="shared" si="2543"/>
        <v>0</v>
      </c>
      <c r="CA403" s="49" t="str">
        <f t="shared" si="2506"/>
        <v/>
      </c>
      <c r="CB403" s="52" t="str">
        <f t="shared" si="2544"/>
        <v/>
      </c>
      <c r="CC403" s="23">
        <f t="shared" si="2545"/>
        <v>0</v>
      </c>
      <c r="CD403" s="49" t="str">
        <f t="shared" si="2507"/>
        <v/>
      </c>
      <c r="CE403" s="56" t="str">
        <f>IF(CF403="","",MAX(CE$10:$CE402)+1)</f>
        <v/>
      </c>
      <c r="CF403" t="str">
        <f t="shared" si="2546"/>
        <v/>
      </c>
      <c r="CG403" s="22" t="str">
        <f>IF(CH403="","",MAX($CG$10:CG402)+1)</f>
        <v/>
      </c>
      <c r="CH403" s="22" t="str">
        <f t="shared" si="2491"/>
        <v/>
      </c>
      <c r="CI403" s="22" t="str">
        <f>IF(CJ403="","",MAX($CI$10:CI402)+1)</f>
        <v/>
      </c>
      <c r="CJ403" s="22" t="str">
        <f t="shared" si="2492"/>
        <v/>
      </c>
    </row>
    <row r="404" spans="2:88" x14ac:dyDescent="0.25">
      <c r="B404" s="37"/>
      <c r="C404" s="3"/>
      <c r="D404" s="77" t="str">
        <f t="shared" si="2478"/>
        <v/>
      </c>
      <c r="E404" s="38"/>
      <c r="F404" s="38"/>
      <c r="G404" s="78">
        <f t="shared" si="2493"/>
        <v>0</v>
      </c>
      <c r="H404" s="3">
        <v>80</v>
      </c>
      <c r="I404" s="77" t="str">
        <f t="shared" si="2479"/>
        <v/>
      </c>
      <c r="J404" s="32"/>
      <c r="K404" s="3"/>
      <c r="L404" s="39"/>
      <c r="M404" s="39"/>
      <c r="N404" s="39"/>
      <c r="O404" s="39"/>
      <c r="P404" s="39"/>
      <c r="Q404" s="39"/>
      <c r="R404" s="39"/>
      <c r="S404" s="39"/>
      <c r="T404" s="3" t="s">
        <v>645</v>
      </c>
      <c r="U404" s="77" t="str">
        <f t="shared" si="2480"/>
        <v/>
      </c>
      <c r="V404" s="39">
        <v>1</v>
      </c>
      <c r="W404" s="79">
        <f t="shared" si="2494"/>
        <v>0</v>
      </c>
      <c r="X404" s="3">
        <v>0</v>
      </c>
      <c r="Y404" s="77" t="str">
        <f t="shared" si="2481"/>
        <v/>
      </c>
      <c r="Z404" s="3"/>
      <c r="AA404" s="37" t="str">
        <f t="shared" si="2495"/>
        <v/>
      </c>
      <c r="AC404" s="40"/>
      <c r="AD404" s="7"/>
      <c r="AE404" s="77" t="str">
        <f t="shared" si="2482"/>
        <v/>
      </c>
      <c r="AF404" s="81">
        <f t="shared" si="2508"/>
        <v>0</v>
      </c>
      <c r="AG404" s="40"/>
      <c r="AH404" s="7"/>
      <c r="AI404" s="77" t="str">
        <f t="shared" si="2483"/>
        <v/>
      </c>
      <c r="AJ404" s="81">
        <f t="shared" si="2509"/>
        <v>0</v>
      </c>
      <c r="AK404" s="83">
        <f t="shared" si="2510"/>
        <v>0</v>
      </c>
      <c r="AL404" s="83">
        <f t="shared" si="2511"/>
        <v>0</v>
      </c>
      <c r="AN404" s="43">
        <f t="shared" si="2484"/>
        <v>0</v>
      </c>
      <c r="AP404" t="str">
        <f t="shared" si="2512"/>
        <v/>
      </c>
      <c r="AQ404" t="str">
        <f t="shared" si="2513"/>
        <v/>
      </c>
      <c r="AR404" t="str">
        <f t="shared" si="2514"/>
        <v/>
      </c>
      <c r="AS404" t="str">
        <f t="shared" si="2515"/>
        <v/>
      </c>
      <c r="AT404" t="str">
        <f t="shared" si="2516"/>
        <v/>
      </c>
      <c r="AU404" t="str">
        <f t="shared" si="2517"/>
        <v/>
      </c>
      <c r="AV404" t="str">
        <f t="shared" si="2518"/>
        <v/>
      </c>
      <c r="AW404" t="str">
        <f t="shared" si="2519"/>
        <v xml:space="preserve">                              </v>
      </c>
      <c r="AX404" s="23">
        <f t="shared" si="2520"/>
        <v>0</v>
      </c>
      <c r="AY404" s="49" t="str">
        <f t="shared" si="2496"/>
        <v>000000000000000</v>
      </c>
      <c r="AZ404" s="23">
        <f t="shared" si="2521"/>
        <v>0</v>
      </c>
      <c r="BA404" s="49" t="str">
        <f t="shared" si="2496"/>
        <v>000000000000000</v>
      </c>
      <c r="BB404" s="23">
        <f t="shared" si="2522"/>
        <v>0</v>
      </c>
      <c r="BC404" s="49" t="str">
        <f t="shared" ref="BC404" si="2577">IF(BB404&lt;0,SUBSTITUTE(TEXT(BB404,"000000000000,00"),",",""),SUBSTITUTE(TEXT(BB404,"0000000000000,00"),",",""))</f>
        <v>000000000000000</v>
      </c>
      <c r="BD404" s="23">
        <f t="shared" si="2524"/>
        <v>0</v>
      </c>
      <c r="BE404" s="49" t="str">
        <f t="shared" ref="BE404" si="2578">IF(BD404&lt;0,SUBSTITUTE(TEXT(BD404,"000000000000,00"),",",""),SUBSTITUTE(TEXT(BD404,"0000000000000,00"),",",""))</f>
        <v>000000000000000</v>
      </c>
      <c r="BF404" s="23">
        <f t="shared" si="2526"/>
        <v>0</v>
      </c>
      <c r="BG404" s="49" t="str">
        <f t="shared" ref="BG404" si="2579">IF(BF404&lt;0,SUBSTITUTE(TEXT(BF404,"000000000000,00"),",",""),SUBSTITUTE(TEXT(BF404,"0000000000000,00"),",",""))</f>
        <v>000000000000000</v>
      </c>
      <c r="BH404" s="23">
        <f t="shared" si="2528"/>
        <v>0</v>
      </c>
      <c r="BI404" s="49" t="str">
        <f t="shared" ref="BI404" si="2580">IF(BH404&lt;0,SUBSTITUTE(TEXT(BH404,"000000000000,00"),",",""),SUBSTITUTE(TEXT(BH404,"0000000000000,00"),",",""))</f>
        <v>000000000000000</v>
      </c>
      <c r="BJ404" s="23">
        <f t="shared" si="2530"/>
        <v>0</v>
      </c>
      <c r="BK404" s="49" t="str">
        <f t="shared" ref="BK404" si="2581">IF(BJ404&lt;0,SUBSTITUTE(TEXT(BJ404,"000000000000,00"),",",""),SUBSTITUTE(TEXT(BJ404,"0000000000000,00"),",",""))</f>
        <v>000000000000000</v>
      </c>
      <c r="BL404" s="23">
        <f t="shared" si="2532"/>
        <v>0</v>
      </c>
      <c r="BM404" s="49" t="str">
        <f t="shared" ref="BM404" si="2582">IF(BL404&lt;0,SUBSTITUTE(TEXT(BL404,"000000000000,00"),",",""),SUBSTITUTE(TEXT(BL404,"0000000000000,00"),",",""))</f>
        <v>000000000000000</v>
      </c>
      <c r="BN404" t="str">
        <f t="shared" si="2534"/>
        <v>PES</v>
      </c>
      <c r="BO404" t="str">
        <f t="shared" si="2535"/>
        <v>0001000000</v>
      </c>
      <c r="BP404">
        <f t="shared" si="2536"/>
        <v>0</v>
      </c>
      <c r="BQ404">
        <f t="shared" si="2537"/>
        <v>0</v>
      </c>
      <c r="BR404" s="23">
        <f t="shared" si="2538"/>
        <v>0</v>
      </c>
      <c r="BS404" s="49" t="str">
        <f t="shared" si="2503"/>
        <v>000000000000000</v>
      </c>
      <c r="BT404" t="str">
        <f t="shared" si="2539"/>
        <v>00000000</v>
      </c>
      <c r="BU404" s="23">
        <f t="shared" si="2540"/>
        <v>0</v>
      </c>
      <c r="BV404" s="49" t="str">
        <f t="shared" si="2504"/>
        <v/>
      </c>
      <c r="BW404" s="52" t="str">
        <f t="shared" si="2541"/>
        <v/>
      </c>
      <c r="BX404" s="23">
        <f t="shared" si="2542"/>
        <v>0</v>
      </c>
      <c r="BY404" s="49" t="str">
        <f t="shared" si="2505"/>
        <v/>
      </c>
      <c r="BZ404" s="23">
        <f t="shared" si="2543"/>
        <v>0</v>
      </c>
      <c r="CA404" s="49" t="str">
        <f t="shared" si="2506"/>
        <v/>
      </c>
      <c r="CB404" s="52" t="str">
        <f t="shared" si="2544"/>
        <v/>
      </c>
      <c r="CC404" s="23">
        <f t="shared" si="2545"/>
        <v>0</v>
      </c>
      <c r="CD404" s="49" t="str">
        <f t="shared" si="2507"/>
        <v/>
      </c>
      <c r="CE404" s="56" t="str">
        <f>IF(CF404="","",MAX(CE$10:$CE403)+1)</f>
        <v/>
      </c>
      <c r="CF404" t="str">
        <f t="shared" si="2546"/>
        <v/>
      </c>
      <c r="CG404" s="22" t="str">
        <f>IF(CH404="","",MAX($CG$10:CG403)+1)</f>
        <v/>
      </c>
      <c r="CH404" s="22" t="str">
        <f t="shared" si="2491"/>
        <v/>
      </c>
      <c r="CI404" s="22" t="str">
        <f>IF(CJ404="","",MAX($CI$10:CI403)+1)</f>
        <v/>
      </c>
      <c r="CJ404" s="22" t="str">
        <f t="shared" si="2492"/>
        <v/>
      </c>
    </row>
    <row r="405" spans="2:88" x14ac:dyDescent="0.25">
      <c r="B405" s="37"/>
      <c r="C405" s="3"/>
      <c r="D405" s="77" t="str">
        <f t="shared" si="2478"/>
        <v/>
      </c>
      <c r="E405" s="38"/>
      <c r="F405" s="38"/>
      <c r="G405" s="78">
        <f t="shared" si="2493"/>
        <v>0</v>
      </c>
      <c r="H405" s="3">
        <v>80</v>
      </c>
      <c r="I405" s="77" t="str">
        <f t="shared" si="2479"/>
        <v/>
      </c>
      <c r="J405" s="32"/>
      <c r="K405" s="3"/>
      <c r="L405" s="39"/>
      <c r="M405" s="39"/>
      <c r="N405" s="39"/>
      <c r="O405" s="39"/>
      <c r="P405" s="39"/>
      <c r="Q405" s="39"/>
      <c r="R405" s="39"/>
      <c r="S405" s="39"/>
      <c r="T405" s="3" t="s">
        <v>645</v>
      </c>
      <c r="U405" s="77" t="str">
        <f t="shared" si="2480"/>
        <v/>
      </c>
      <c r="V405" s="39">
        <v>1</v>
      </c>
      <c r="W405" s="79">
        <f t="shared" si="2494"/>
        <v>0</v>
      </c>
      <c r="X405" s="3">
        <v>0</v>
      </c>
      <c r="Y405" s="77" t="str">
        <f t="shared" si="2481"/>
        <v/>
      </c>
      <c r="Z405" s="3"/>
      <c r="AA405" s="37" t="str">
        <f t="shared" si="2495"/>
        <v/>
      </c>
      <c r="AC405" s="40"/>
      <c r="AD405" s="7"/>
      <c r="AE405" s="77" t="str">
        <f t="shared" si="2482"/>
        <v/>
      </c>
      <c r="AF405" s="81">
        <f t="shared" si="2508"/>
        <v>0</v>
      </c>
      <c r="AG405" s="40"/>
      <c r="AH405" s="7"/>
      <c r="AI405" s="77" t="str">
        <f t="shared" si="2483"/>
        <v/>
      </c>
      <c r="AJ405" s="81">
        <f t="shared" si="2509"/>
        <v>0</v>
      </c>
      <c r="AK405" s="83">
        <f t="shared" si="2510"/>
        <v>0</v>
      </c>
      <c r="AL405" s="83">
        <f t="shared" si="2511"/>
        <v>0</v>
      </c>
      <c r="AN405" s="43">
        <f t="shared" si="2484"/>
        <v>0</v>
      </c>
      <c r="AP405" t="str">
        <f t="shared" si="2512"/>
        <v/>
      </c>
      <c r="AQ405" t="str">
        <f t="shared" si="2513"/>
        <v/>
      </c>
      <c r="AR405" t="str">
        <f t="shared" si="2514"/>
        <v/>
      </c>
      <c r="AS405" t="str">
        <f t="shared" si="2515"/>
        <v/>
      </c>
      <c r="AT405" t="str">
        <f t="shared" si="2516"/>
        <v/>
      </c>
      <c r="AU405" t="str">
        <f t="shared" si="2517"/>
        <v/>
      </c>
      <c r="AV405" t="str">
        <f t="shared" si="2518"/>
        <v/>
      </c>
      <c r="AW405" t="str">
        <f t="shared" si="2519"/>
        <v xml:space="preserve">                              </v>
      </c>
      <c r="AX405" s="23">
        <f t="shared" si="2520"/>
        <v>0</v>
      </c>
      <c r="AY405" s="49" t="str">
        <f t="shared" si="2496"/>
        <v>000000000000000</v>
      </c>
      <c r="AZ405" s="23">
        <f t="shared" si="2521"/>
        <v>0</v>
      </c>
      <c r="BA405" s="49" t="str">
        <f t="shared" si="2496"/>
        <v>000000000000000</v>
      </c>
      <c r="BB405" s="23">
        <f t="shared" si="2522"/>
        <v>0</v>
      </c>
      <c r="BC405" s="49" t="str">
        <f t="shared" ref="BC405" si="2583">IF(BB405&lt;0,SUBSTITUTE(TEXT(BB405,"000000000000,00"),",",""),SUBSTITUTE(TEXT(BB405,"0000000000000,00"),",",""))</f>
        <v>000000000000000</v>
      </c>
      <c r="BD405" s="23">
        <f t="shared" si="2524"/>
        <v>0</v>
      </c>
      <c r="BE405" s="49" t="str">
        <f t="shared" ref="BE405" si="2584">IF(BD405&lt;0,SUBSTITUTE(TEXT(BD405,"000000000000,00"),",",""),SUBSTITUTE(TEXT(BD405,"0000000000000,00"),",",""))</f>
        <v>000000000000000</v>
      </c>
      <c r="BF405" s="23">
        <f t="shared" si="2526"/>
        <v>0</v>
      </c>
      <c r="BG405" s="49" t="str">
        <f t="shared" ref="BG405" si="2585">IF(BF405&lt;0,SUBSTITUTE(TEXT(BF405,"000000000000,00"),",",""),SUBSTITUTE(TEXT(BF405,"0000000000000,00"),",",""))</f>
        <v>000000000000000</v>
      </c>
      <c r="BH405" s="23">
        <f t="shared" si="2528"/>
        <v>0</v>
      </c>
      <c r="BI405" s="49" t="str">
        <f t="shared" ref="BI405" si="2586">IF(BH405&lt;0,SUBSTITUTE(TEXT(BH405,"000000000000,00"),",",""),SUBSTITUTE(TEXT(BH405,"0000000000000,00"),",",""))</f>
        <v>000000000000000</v>
      </c>
      <c r="BJ405" s="23">
        <f t="shared" si="2530"/>
        <v>0</v>
      </c>
      <c r="BK405" s="49" t="str">
        <f t="shared" ref="BK405" si="2587">IF(BJ405&lt;0,SUBSTITUTE(TEXT(BJ405,"000000000000,00"),",",""),SUBSTITUTE(TEXT(BJ405,"0000000000000,00"),",",""))</f>
        <v>000000000000000</v>
      </c>
      <c r="BL405" s="23">
        <f t="shared" si="2532"/>
        <v>0</v>
      </c>
      <c r="BM405" s="49" t="str">
        <f t="shared" ref="BM405" si="2588">IF(BL405&lt;0,SUBSTITUTE(TEXT(BL405,"000000000000,00"),",",""),SUBSTITUTE(TEXT(BL405,"0000000000000,00"),",",""))</f>
        <v>000000000000000</v>
      </c>
      <c r="BN405" t="str">
        <f t="shared" si="2534"/>
        <v>PES</v>
      </c>
      <c r="BO405" t="str">
        <f t="shared" si="2535"/>
        <v>0001000000</v>
      </c>
      <c r="BP405">
        <f t="shared" si="2536"/>
        <v>0</v>
      </c>
      <c r="BQ405">
        <f t="shared" si="2537"/>
        <v>0</v>
      </c>
      <c r="BR405" s="23">
        <f t="shared" si="2538"/>
        <v>0</v>
      </c>
      <c r="BS405" s="49" t="str">
        <f t="shared" si="2503"/>
        <v>000000000000000</v>
      </c>
      <c r="BT405" t="str">
        <f t="shared" si="2539"/>
        <v>00000000</v>
      </c>
      <c r="BU405" s="23">
        <f t="shared" si="2540"/>
        <v>0</v>
      </c>
      <c r="BV405" s="49" t="str">
        <f t="shared" si="2504"/>
        <v/>
      </c>
      <c r="BW405" s="52" t="str">
        <f t="shared" si="2541"/>
        <v/>
      </c>
      <c r="BX405" s="23">
        <f t="shared" si="2542"/>
        <v>0</v>
      </c>
      <c r="BY405" s="49" t="str">
        <f t="shared" si="2505"/>
        <v/>
      </c>
      <c r="BZ405" s="23">
        <f t="shared" si="2543"/>
        <v>0</v>
      </c>
      <c r="CA405" s="49" t="str">
        <f t="shared" si="2506"/>
        <v/>
      </c>
      <c r="CB405" s="52" t="str">
        <f t="shared" si="2544"/>
        <v/>
      </c>
      <c r="CC405" s="23">
        <f t="shared" si="2545"/>
        <v>0</v>
      </c>
      <c r="CD405" s="49" t="str">
        <f t="shared" si="2507"/>
        <v/>
      </c>
      <c r="CE405" s="56" t="str">
        <f>IF(CF405="","",MAX(CE$10:$CE404)+1)</f>
        <v/>
      </c>
      <c r="CF405" t="str">
        <f t="shared" si="2546"/>
        <v/>
      </c>
      <c r="CG405" s="22" t="str">
        <f>IF(CH405="","",MAX($CG$10:CG404)+1)</f>
        <v/>
      </c>
      <c r="CH405" s="22" t="str">
        <f t="shared" si="2491"/>
        <v/>
      </c>
      <c r="CI405" s="22" t="str">
        <f>IF(CJ405="","",MAX($CI$10:CI404)+1)</f>
        <v/>
      </c>
      <c r="CJ405" s="22" t="str">
        <f t="shared" si="2492"/>
        <v/>
      </c>
    </row>
    <row r="406" spans="2:88" x14ac:dyDescent="0.25">
      <c r="B406" s="37"/>
      <c r="C406" s="3"/>
      <c r="D406" s="77" t="str">
        <f t="shared" si="2478"/>
        <v/>
      </c>
      <c r="E406" s="38"/>
      <c r="F406" s="38"/>
      <c r="G406" s="78">
        <f t="shared" si="2493"/>
        <v>0</v>
      </c>
      <c r="H406" s="3">
        <v>80</v>
      </c>
      <c r="I406" s="77" t="str">
        <f t="shared" si="2479"/>
        <v/>
      </c>
      <c r="J406" s="32"/>
      <c r="K406" s="3"/>
      <c r="L406" s="39"/>
      <c r="M406" s="39"/>
      <c r="N406" s="39"/>
      <c r="O406" s="39"/>
      <c r="P406" s="39"/>
      <c r="Q406" s="39"/>
      <c r="R406" s="39"/>
      <c r="S406" s="39"/>
      <c r="T406" s="3" t="s">
        <v>645</v>
      </c>
      <c r="U406" s="77" t="str">
        <f t="shared" si="2480"/>
        <v/>
      </c>
      <c r="V406" s="39">
        <v>1</v>
      </c>
      <c r="W406" s="79">
        <f t="shared" si="2494"/>
        <v>0</v>
      </c>
      <c r="X406" s="3">
        <v>0</v>
      </c>
      <c r="Y406" s="77" t="str">
        <f t="shared" si="2481"/>
        <v/>
      </c>
      <c r="Z406" s="3"/>
      <c r="AA406" s="37" t="str">
        <f t="shared" si="2495"/>
        <v/>
      </c>
      <c r="AC406" s="40"/>
      <c r="AD406" s="7"/>
      <c r="AE406" s="77" t="str">
        <f t="shared" si="2482"/>
        <v/>
      </c>
      <c r="AF406" s="81">
        <f t="shared" si="2508"/>
        <v>0</v>
      </c>
      <c r="AG406" s="40"/>
      <c r="AH406" s="7"/>
      <c r="AI406" s="77" t="str">
        <f t="shared" si="2483"/>
        <v/>
      </c>
      <c r="AJ406" s="81">
        <f t="shared" si="2509"/>
        <v>0</v>
      </c>
      <c r="AK406" s="83">
        <f t="shared" si="2510"/>
        <v>0</v>
      </c>
      <c r="AL406" s="83">
        <f t="shared" si="2511"/>
        <v>0</v>
      </c>
      <c r="AN406" s="43">
        <f t="shared" si="2484"/>
        <v>0</v>
      </c>
      <c r="AP406" t="str">
        <f t="shared" si="2512"/>
        <v/>
      </c>
      <c r="AQ406" t="str">
        <f t="shared" si="2513"/>
        <v/>
      </c>
      <c r="AR406" t="str">
        <f t="shared" si="2514"/>
        <v/>
      </c>
      <c r="AS406" t="str">
        <f t="shared" si="2515"/>
        <v/>
      </c>
      <c r="AT406" t="str">
        <f t="shared" si="2516"/>
        <v/>
      </c>
      <c r="AU406" t="str">
        <f t="shared" si="2517"/>
        <v/>
      </c>
      <c r="AV406" t="str">
        <f t="shared" si="2518"/>
        <v/>
      </c>
      <c r="AW406" t="str">
        <f t="shared" si="2519"/>
        <v xml:space="preserve">                              </v>
      </c>
      <c r="AX406" s="23">
        <f t="shared" si="2520"/>
        <v>0</v>
      </c>
      <c r="AY406" s="49" t="str">
        <f t="shared" si="2496"/>
        <v>000000000000000</v>
      </c>
      <c r="AZ406" s="23">
        <f t="shared" si="2521"/>
        <v>0</v>
      </c>
      <c r="BA406" s="49" t="str">
        <f t="shared" si="2496"/>
        <v>000000000000000</v>
      </c>
      <c r="BB406" s="23">
        <f t="shared" si="2522"/>
        <v>0</v>
      </c>
      <c r="BC406" s="49" t="str">
        <f t="shared" ref="BC406" si="2589">IF(BB406&lt;0,SUBSTITUTE(TEXT(BB406,"000000000000,00"),",",""),SUBSTITUTE(TEXT(BB406,"0000000000000,00"),",",""))</f>
        <v>000000000000000</v>
      </c>
      <c r="BD406" s="23">
        <f t="shared" si="2524"/>
        <v>0</v>
      </c>
      <c r="BE406" s="49" t="str">
        <f t="shared" ref="BE406" si="2590">IF(BD406&lt;0,SUBSTITUTE(TEXT(BD406,"000000000000,00"),",",""),SUBSTITUTE(TEXT(BD406,"0000000000000,00"),",",""))</f>
        <v>000000000000000</v>
      </c>
      <c r="BF406" s="23">
        <f t="shared" si="2526"/>
        <v>0</v>
      </c>
      <c r="BG406" s="49" t="str">
        <f t="shared" ref="BG406" si="2591">IF(BF406&lt;0,SUBSTITUTE(TEXT(BF406,"000000000000,00"),",",""),SUBSTITUTE(TEXT(BF406,"0000000000000,00"),",",""))</f>
        <v>000000000000000</v>
      </c>
      <c r="BH406" s="23">
        <f t="shared" si="2528"/>
        <v>0</v>
      </c>
      <c r="BI406" s="49" t="str">
        <f t="shared" ref="BI406" si="2592">IF(BH406&lt;0,SUBSTITUTE(TEXT(BH406,"000000000000,00"),",",""),SUBSTITUTE(TEXT(BH406,"0000000000000,00"),",",""))</f>
        <v>000000000000000</v>
      </c>
      <c r="BJ406" s="23">
        <f t="shared" si="2530"/>
        <v>0</v>
      </c>
      <c r="BK406" s="49" t="str">
        <f t="shared" ref="BK406" si="2593">IF(BJ406&lt;0,SUBSTITUTE(TEXT(BJ406,"000000000000,00"),",",""),SUBSTITUTE(TEXT(BJ406,"0000000000000,00"),",",""))</f>
        <v>000000000000000</v>
      </c>
      <c r="BL406" s="23">
        <f t="shared" si="2532"/>
        <v>0</v>
      </c>
      <c r="BM406" s="49" t="str">
        <f t="shared" ref="BM406" si="2594">IF(BL406&lt;0,SUBSTITUTE(TEXT(BL406,"000000000000,00"),",",""),SUBSTITUTE(TEXT(BL406,"0000000000000,00"),",",""))</f>
        <v>000000000000000</v>
      </c>
      <c r="BN406" t="str">
        <f t="shared" si="2534"/>
        <v>PES</v>
      </c>
      <c r="BO406" t="str">
        <f t="shared" si="2535"/>
        <v>0001000000</v>
      </c>
      <c r="BP406">
        <f t="shared" si="2536"/>
        <v>0</v>
      </c>
      <c r="BQ406">
        <f t="shared" si="2537"/>
        <v>0</v>
      </c>
      <c r="BR406" s="23">
        <f t="shared" si="2538"/>
        <v>0</v>
      </c>
      <c r="BS406" s="49" t="str">
        <f t="shared" si="2503"/>
        <v>000000000000000</v>
      </c>
      <c r="BT406" t="str">
        <f t="shared" si="2539"/>
        <v>00000000</v>
      </c>
      <c r="BU406" s="23">
        <f t="shared" si="2540"/>
        <v>0</v>
      </c>
      <c r="BV406" s="49" t="str">
        <f t="shared" si="2504"/>
        <v/>
      </c>
      <c r="BW406" s="52" t="str">
        <f t="shared" si="2541"/>
        <v/>
      </c>
      <c r="BX406" s="23">
        <f t="shared" si="2542"/>
        <v>0</v>
      </c>
      <c r="BY406" s="49" t="str">
        <f t="shared" si="2505"/>
        <v/>
      </c>
      <c r="BZ406" s="23">
        <f t="shared" si="2543"/>
        <v>0</v>
      </c>
      <c r="CA406" s="49" t="str">
        <f t="shared" si="2506"/>
        <v/>
      </c>
      <c r="CB406" s="52" t="str">
        <f t="shared" si="2544"/>
        <v/>
      </c>
      <c r="CC406" s="23">
        <f t="shared" si="2545"/>
        <v>0</v>
      </c>
      <c r="CD406" s="49" t="str">
        <f t="shared" si="2507"/>
        <v/>
      </c>
      <c r="CE406" s="56" t="str">
        <f>IF(CF406="","",MAX(CE$10:$CE405)+1)</f>
        <v/>
      </c>
      <c r="CF406" t="str">
        <f t="shared" si="2546"/>
        <v/>
      </c>
      <c r="CG406" s="22" t="str">
        <f>IF(CH406="","",MAX($CG$10:CG405)+1)</f>
        <v/>
      </c>
      <c r="CH406" s="22" t="str">
        <f t="shared" si="2491"/>
        <v/>
      </c>
      <c r="CI406" s="22" t="str">
        <f>IF(CJ406="","",MAX($CI$10:CI405)+1)</f>
        <v/>
      </c>
      <c r="CJ406" s="22" t="str">
        <f t="shared" si="2492"/>
        <v/>
      </c>
    </row>
    <row r="407" spans="2:88" x14ac:dyDescent="0.25">
      <c r="B407" s="37"/>
      <c r="C407" s="3"/>
      <c r="D407" s="77" t="str">
        <f t="shared" si="2478"/>
        <v/>
      </c>
      <c r="E407" s="38"/>
      <c r="F407" s="38"/>
      <c r="G407" s="78">
        <f t="shared" si="2493"/>
        <v>0</v>
      </c>
      <c r="H407" s="3">
        <v>80</v>
      </c>
      <c r="I407" s="77" t="str">
        <f t="shared" si="2479"/>
        <v/>
      </c>
      <c r="J407" s="32"/>
      <c r="K407" s="3"/>
      <c r="L407" s="39"/>
      <c r="M407" s="39"/>
      <c r="N407" s="39"/>
      <c r="O407" s="39"/>
      <c r="P407" s="39"/>
      <c r="Q407" s="39"/>
      <c r="R407" s="39"/>
      <c r="S407" s="39"/>
      <c r="T407" s="3" t="s">
        <v>645</v>
      </c>
      <c r="U407" s="77" t="str">
        <f t="shared" si="2480"/>
        <v/>
      </c>
      <c r="V407" s="39">
        <v>1</v>
      </c>
      <c r="W407" s="79">
        <f t="shared" si="2494"/>
        <v>0</v>
      </c>
      <c r="X407" s="3">
        <v>0</v>
      </c>
      <c r="Y407" s="77" t="str">
        <f t="shared" si="2481"/>
        <v/>
      </c>
      <c r="Z407" s="3"/>
      <c r="AA407" s="37" t="str">
        <f t="shared" si="2495"/>
        <v/>
      </c>
      <c r="AC407" s="40"/>
      <c r="AD407" s="7"/>
      <c r="AE407" s="77" t="str">
        <f t="shared" si="2482"/>
        <v/>
      </c>
      <c r="AF407" s="81">
        <f t="shared" si="2508"/>
        <v>0</v>
      </c>
      <c r="AG407" s="40"/>
      <c r="AH407" s="7"/>
      <c r="AI407" s="77" t="str">
        <f t="shared" si="2483"/>
        <v/>
      </c>
      <c r="AJ407" s="81">
        <f t="shared" si="2509"/>
        <v>0</v>
      </c>
      <c r="AK407" s="83">
        <f t="shared" si="2510"/>
        <v>0</v>
      </c>
      <c r="AL407" s="83">
        <f t="shared" si="2511"/>
        <v>0</v>
      </c>
      <c r="AN407" s="43">
        <f t="shared" si="2484"/>
        <v>0</v>
      </c>
      <c r="AP407" t="str">
        <f t="shared" si="2512"/>
        <v/>
      </c>
      <c r="AQ407" t="str">
        <f t="shared" si="2513"/>
        <v/>
      </c>
      <c r="AR407" t="str">
        <f t="shared" si="2514"/>
        <v/>
      </c>
      <c r="AS407" t="str">
        <f t="shared" si="2515"/>
        <v/>
      </c>
      <c r="AT407" t="str">
        <f t="shared" si="2516"/>
        <v/>
      </c>
      <c r="AU407" t="str">
        <f t="shared" si="2517"/>
        <v/>
      </c>
      <c r="AV407" t="str">
        <f t="shared" si="2518"/>
        <v/>
      </c>
      <c r="AW407" t="str">
        <f t="shared" si="2519"/>
        <v xml:space="preserve">                              </v>
      </c>
      <c r="AX407" s="23">
        <f t="shared" si="2520"/>
        <v>0</v>
      </c>
      <c r="AY407" s="49" t="str">
        <f t="shared" si="2496"/>
        <v>000000000000000</v>
      </c>
      <c r="AZ407" s="23">
        <f t="shared" si="2521"/>
        <v>0</v>
      </c>
      <c r="BA407" s="49" t="str">
        <f t="shared" si="2496"/>
        <v>000000000000000</v>
      </c>
      <c r="BB407" s="23">
        <f t="shared" si="2522"/>
        <v>0</v>
      </c>
      <c r="BC407" s="49" t="str">
        <f t="shared" ref="BC407" si="2595">IF(BB407&lt;0,SUBSTITUTE(TEXT(BB407,"000000000000,00"),",",""),SUBSTITUTE(TEXT(BB407,"0000000000000,00"),",",""))</f>
        <v>000000000000000</v>
      </c>
      <c r="BD407" s="23">
        <f t="shared" si="2524"/>
        <v>0</v>
      </c>
      <c r="BE407" s="49" t="str">
        <f t="shared" ref="BE407" si="2596">IF(BD407&lt;0,SUBSTITUTE(TEXT(BD407,"000000000000,00"),",",""),SUBSTITUTE(TEXT(BD407,"0000000000000,00"),",",""))</f>
        <v>000000000000000</v>
      </c>
      <c r="BF407" s="23">
        <f t="shared" si="2526"/>
        <v>0</v>
      </c>
      <c r="BG407" s="49" t="str">
        <f t="shared" ref="BG407" si="2597">IF(BF407&lt;0,SUBSTITUTE(TEXT(BF407,"000000000000,00"),",",""),SUBSTITUTE(TEXT(BF407,"0000000000000,00"),",",""))</f>
        <v>000000000000000</v>
      </c>
      <c r="BH407" s="23">
        <f t="shared" si="2528"/>
        <v>0</v>
      </c>
      <c r="BI407" s="49" t="str">
        <f t="shared" ref="BI407" si="2598">IF(BH407&lt;0,SUBSTITUTE(TEXT(BH407,"000000000000,00"),",",""),SUBSTITUTE(TEXT(BH407,"0000000000000,00"),",",""))</f>
        <v>000000000000000</v>
      </c>
      <c r="BJ407" s="23">
        <f t="shared" si="2530"/>
        <v>0</v>
      </c>
      <c r="BK407" s="49" t="str">
        <f t="shared" ref="BK407" si="2599">IF(BJ407&lt;0,SUBSTITUTE(TEXT(BJ407,"000000000000,00"),",",""),SUBSTITUTE(TEXT(BJ407,"0000000000000,00"),",",""))</f>
        <v>000000000000000</v>
      </c>
      <c r="BL407" s="23">
        <f t="shared" si="2532"/>
        <v>0</v>
      </c>
      <c r="BM407" s="49" t="str">
        <f t="shared" ref="BM407" si="2600">IF(BL407&lt;0,SUBSTITUTE(TEXT(BL407,"000000000000,00"),",",""),SUBSTITUTE(TEXT(BL407,"0000000000000,00"),",",""))</f>
        <v>000000000000000</v>
      </c>
      <c r="BN407" t="str">
        <f t="shared" si="2534"/>
        <v>PES</v>
      </c>
      <c r="BO407" t="str">
        <f t="shared" si="2535"/>
        <v>0001000000</v>
      </c>
      <c r="BP407">
        <f t="shared" si="2536"/>
        <v>0</v>
      </c>
      <c r="BQ407">
        <f t="shared" si="2537"/>
        <v>0</v>
      </c>
      <c r="BR407" s="23">
        <f t="shared" si="2538"/>
        <v>0</v>
      </c>
      <c r="BS407" s="49" t="str">
        <f t="shared" si="2503"/>
        <v>000000000000000</v>
      </c>
      <c r="BT407" t="str">
        <f t="shared" si="2539"/>
        <v>00000000</v>
      </c>
      <c r="BU407" s="23">
        <f t="shared" si="2540"/>
        <v>0</v>
      </c>
      <c r="BV407" s="49" t="str">
        <f t="shared" si="2504"/>
        <v/>
      </c>
      <c r="BW407" s="52" t="str">
        <f t="shared" si="2541"/>
        <v/>
      </c>
      <c r="BX407" s="23">
        <f t="shared" si="2542"/>
        <v>0</v>
      </c>
      <c r="BY407" s="49" t="str">
        <f t="shared" si="2505"/>
        <v/>
      </c>
      <c r="BZ407" s="23">
        <f t="shared" si="2543"/>
        <v>0</v>
      </c>
      <c r="CA407" s="49" t="str">
        <f t="shared" si="2506"/>
        <v/>
      </c>
      <c r="CB407" s="52" t="str">
        <f t="shared" si="2544"/>
        <v/>
      </c>
      <c r="CC407" s="23">
        <f t="shared" si="2545"/>
        <v>0</v>
      </c>
      <c r="CD407" s="49" t="str">
        <f t="shared" si="2507"/>
        <v/>
      </c>
      <c r="CE407" s="56" t="str">
        <f>IF(CF407="","",MAX(CE$10:$CE406)+1)</f>
        <v/>
      </c>
      <c r="CF407" t="str">
        <f t="shared" si="2546"/>
        <v/>
      </c>
      <c r="CG407" s="22" t="str">
        <f>IF(CH407="","",MAX($CG$10:CG406)+1)</f>
        <v/>
      </c>
      <c r="CH407" s="22" t="str">
        <f t="shared" si="2491"/>
        <v/>
      </c>
      <c r="CI407" s="22" t="str">
        <f>IF(CJ407="","",MAX($CI$10:CI406)+1)</f>
        <v/>
      </c>
      <c r="CJ407" s="22" t="str">
        <f t="shared" si="2492"/>
        <v/>
      </c>
    </row>
    <row r="408" spans="2:88" x14ac:dyDescent="0.25">
      <c r="B408" s="37"/>
      <c r="C408" s="3"/>
      <c r="D408" s="77" t="str">
        <f t="shared" si="2478"/>
        <v/>
      </c>
      <c r="E408" s="38"/>
      <c r="F408" s="38"/>
      <c r="G408" s="78">
        <f t="shared" si="2493"/>
        <v>0</v>
      </c>
      <c r="H408" s="3">
        <v>80</v>
      </c>
      <c r="I408" s="77" t="str">
        <f t="shared" si="2479"/>
        <v/>
      </c>
      <c r="J408" s="32"/>
      <c r="K408" s="3"/>
      <c r="L408" s="39"/>
      <c r="M408" s="39"/>
      <c r="N408" s="39"/>
      <c r="O408" s="39"/>
      <c r="P408" s="39"/>
      <c r="Q408" s="39"/>
      <c r="R408" s="39"/>
      <c r="S408" s="39"/>
      <c r="T408" s="3" t="s">
        <v>645</v>
      </c>
      <c r="U408" s="77" t="str">
        <f t="shared" si="2480"/>
        <v/>
      </c>
      <c r="V408" s="39">
        <v>1</v>
      </c>
      <c r="W408" s="79">
        <f t="shared" si="2494"/>
        <v>0</v>
      </c>
      <c r="X408" s="3">
        <v>0</v>
      </c>
      <c r="Y408" s="77" t="str">
        <f t="shared" si="2481"/>
        <v/>
      </c>
      <c r="Z408" s="3"/>
      <c r="AA408" s="37" t="str">
        <f t="shared" si="2495"/>
        <v/>
      </c>
      <c r="AC408" s="40"/>
      <c r="AD408" s="7"/>
      <c r="AE408" s="77" t="str">
        <f t="shared" si="2482"/>
        <v/>
      </c>
      <c r="AF408" s="81">
        <f t="shared" si="2508"/>
        <v>0</v>
      </c>
      <c r="AG408" s="40"/>
      <c r="AH408" s="7"/>
      <c r="AI408" s="77" t="str">
        <f t="shared" si="2483"/>
        <v/>
      </c>
      <c r="AJ408" s="81">
        <f t="shared" si="2509"/>
        <v>0</v>
      </c>
      <c r="AK408" s="83">
        <f t="shared" si="2510"/>
        <v>0</v>
      </c>
      <c r="AL408" s="83">
        <f t="shared" si="2511"/>
        <v>0</v>
      </c>
      <c r="AN408" s="43">
        <f t="shared" si="2484"/>
        <v>0</v>
      </c>
      <c r="AP408" t="str">
        <f t="shared" si="2512"/>
        <v/>
      </c>
      <c r="AQ408" t="str">
        <f t="shared" si="2513"/>
        <v/>
      </c>
      <c r="AR408" t="str">
        <f t="shared" si="2514"/>
        <v/>
      </c>
      <c r="AS408" t="str">
        <f t="shared" si="2515"/>
        <v/>
      </c>
      <c r="AT408" t="str">
        <f t="shared" si="2516"/>
        <v/>
      </c>
      <c r="AU408" t="str">
        <f t="shared" si="2517"/>
        <v/>
      </c>
      <c r="AV408" t="str">
        <f t="shared" si="2518"/>
        <v/>
      </c>
      <c r="AW408" t="str">
        <f t="shared" si="2519"/>
        <v xml:space="preserve">                              </v>
      </c>
      <c r="AX408" s="23">
        <f t="shared" si="2520"/>
        <v>0</v>
      </c>
      <c r="AY408" s="49" t="str">
        <f t="shared" si="2496"/>
        <v>000000000000000</v>
      </c>
      <c r="AZ408" s="23">
        <f t="shared" si="2521"/>
        <v>0</v>
      </c>
      <c r="BA408" s="49" t="str">
        <f t="shared" si="2496"/>
        <v>000000000000000</v>
      </c>
      <c r="BB408" s="23">
        <f t="shared" si="2522"/>
        <v>0</v>
      </c>
      <c r="BC408" s="49" t="str">
        <f t="shared" ref="BC408" si="2601">IF(BB408&lt;0,SUBSTITUTE(TEXT(BB408,"000000000000,00"),",",""),SUBSTITUTE(TEXT(BB408,"0000000000000,00"),",",""))</f>
        <v>000000000000000</v>
      </c>
      <c r="BD408" s="23">
        <f t="shared" si="2524"/>
        <v>0</v>
      </c>
      <c r="BE408" s="49" t="str">
        <f t="shared" ref="BE408" si="2602">IF(BD408&lt;0,SUBSTITUTE(TEXT(BD408,"000000000000,00"),",",""),SUBSTITUTE(TEXT(BD408,"0000000000000,00"),",",""))</f>
        <v>000000000000000</v>
      </c>
      <c r="BF408" s="23">
        <f t="shared" si="2526"/>
        <v>0</v>
      </c>
      <c r="BG408" s="49" t="str">
        <f t="shared" ref="BG408" si="2603">IF(BF408&lt;0,SUBSTITUTE(TEXT(BF408,"000000000000,00"),",",""),SUBSTITUTE(TEXT(BF408,"0000000000000,00"),",",""))</f>
        <v>000000000000000</v>
      </c>
      <c r="BH408" s="23">
        <f t="shared" si="2528"/>
        <v>0</v>
      </c>
      <c r="BI408" s="49" t="str">
        <f t="shared" ref="BI408" si="2604">IF(BH408&lt;0,SUBSTITUTE(TEXT(BH408,"000000000000,00"),",",""),SUBSTITUTE(TEXT(BH408,"0000000000000,00"),",",""))</f>
        <v>000000000000000</v>
      </c>
      <c r="BJ408" s="23">
        <f t="shared" si="2530"/>
        <v>0</v>
      </c>
      <c r="BK408" s="49" t="str">
        <f t="shared" ref="BK408" si="2605">IF(BJ408&lt;0,SUBSTITUTE(TEXT(BJ408,"000000000000,00"),",",""),SUBSTITUTE(TEXT(BJ408,"0000000000000,00"),",",""))</f>
        <v>000000000000000</v>
      </c>
      <c r="BL408" s="23">
        <f t="shared" si="2532"/>
        <v>0</v>
      </c>
      <c r="BM408" s="49" t="str">
        <f t="shared" ref="BM408" si="2606">IF(BL408&lt;0,SUBSTITUTE(TEXT(BL408,"000000000000,00"),",",""),SUBSTITUTE(TEXT(BL408,"0000000000000,00"),",",""))</f>
        <v>000000000000000</v>
      </c>
      <c r="BN408" t="str">
        <f t="shared" si="2534"/>
        <v>PES</v>
      </c>
      <c r="BO408" t="str">
        <f t="shared" si="2535"/>
        <v>0001000000</v>
      </c>
      <c r="BP408">
        <f t="shared" si="2536"/>
        <v>0</v>
      </c>
      <c r="BQ408">
        <f t="shared" si="2537"/>
        <v>0</v>
      </c>
      <c r="BR408" s="23">
        <f t="shared" si="2538"/>
        <v>0</v>
      </c>
      <c r="BS408" s="49" t="str">
        <f t="shared" si="2503"/>
        <v>000000000000000</v>
      </c>
      <c r="BT408" t="str">
        <f t="shared" si="2539"/>
        <v>00000000</v>
      </c>
      <c r="BU408" s="23">
        <f t="shared" si="2540"/>
        <v>0</v>
      </c>
      <c r="BV408" s="49" t="str">
        <f t="shared" si="2504"/>
        <v/>
      </c>
      <c r="BW408" s="52" t="str">
        <f t="shared" si="2541"/>
        <v/>
      </c>
      <c r="BX408" s="23">
        <f t="shared" si="2542"/>
        <v>0</v>
      </c>
      <c r="BY408" s="49" t="str">
        <f t="shared" si="2505"/>
        <v/>
      </c>
      <c r="BZ408" s="23">
        <f t="shared" si="2543"/>
        <v>0</v>
      </c>
      <c r="CA408" s="49" t="str">
        <f t="shared" si="2506"/>
        <v/>
      </c>
      <c r="CB408" s="52" t="str">
        <f t="shared" si="2544"/>
        <v/>
      </c>
      <c r="CC408" s="23">
        <f t="shared" si="2545"/>
        <v>0</v>
      </c>
      <c r="CD408" s="49" t="str">
        <f t="shared" si="2507"/>
        <v/>
      </c>
      <c r="CE408" s="56" t="str">
        <f>IF(CF408="","",MAX(CE$10:$CE407)+1)</f>
        <v/>
      </c>
      <c r="CF408" t="str">
        <f t="shared" si="2546"/>
        <v/>
      </c>
      <c r="CG408" s="22" t="str">
        <f>IF(CH408="","",MAX($CG$10:CG407)+1)</f>
        <v/>
      </c>
      <c r="CH408" s="22" t="str">
        <f t="shared" si="2491"/>
        <v/>
      </c>
      <c r="CI408" s="22" t="str">
        <f>IF(CJ408="","",MAX($CI$10:CI407)+1)</f>
        <v/>
      </c>
      <c r="CJ408" s="22" t="str">
        <f t="shared" si="2492"/>
        <v/>
      </c>
    </row>
    <row r="409" spans="2:88" x14ac:dyDescent="0.25">
      <c r="B409" s="37"/>
      <c r="C409" s="3"/>
      <c r="D409" s="77" t="str">
        <f t="shared" si="2478"/>
        <v/>
      </c>
      <c r="E409" s="38"/>
      <c r="F409" s="38"/>
      <c r="G409" s="78">
        <f t="shared" si="2493"/>
        <v>0</v>
      </c>
      <c r="H409" s="3">
        <v>80</v>
      </c>
      <c r="I409" s="77" t="str">
        <f t="shared" si="2479"/>
        <v/>
      </c>
      <c r="J409" s="32"/>
      <c r="K409" s="3"/>
      <c r="L409" s="39"/>
      <c r="M409" s="39"/>
      <c r="N409" s="39"/>
      <c r="O409" s="39"/>
      <c r="P409" s="39"/>
      <c r="Q409" s="39"/>
      <c r="R409" s="39"/>
      <c r="S409" s="39"/>
      <c r="T409" s="3" t="s">
        <v>645</v>
      </c>
      <c r="U409" s="77" t="str">
        <f t="shared" si="2480"/>
        <v/>
      </c>
      <c r="V409" s="39">
        <v>1</v>
      </c>
      <c r="W409" s="79">
        <f t="shared" si="2494"/>
        <v>0</v>
      </c>
      <c r="X409" s="3">
        <v>0</v>
      </c>
      <c r="Y409" s="77" t="str">
        <f t="shared" si="2481"/>
        <v/>
      </c>
      <c r="Z409" s="3"/>
      <c r="AA409" s="37" t="str">
        <f t="shared" si="2495"/>
        <v/>
      </c>
      <c r="AC409" s="40"/>
      <c r="AD409" s="7"/>
      <c r="AE409" s="77" t="str">
        <f t="shared" si="2482"/>
        <v/>
      </c>
      <c r="AF409" s="81">
        <f t="shared" si="2508"/>
        <v>0</v>
      </c>
      <c r="AG409" s="40"/>
      <c r="AH409" s="7"/>
      <c r="AI409" s="77" t="str">
        <f t="shared" si="2483"/>
        <v/>
      </c>
      <c r="AJ409" s="81">
        <f t="shared" si="2509"/>
        <v>0</v>
      </c>
      <c r="AK409" s="83">
        <f t="shared" si="2510"/>
        <v>0</v>
      </c>
      <c r="AL409" s="83">
        <f t="shared" si="2511"/>
        <v>0</v>
      </c>
      <c r="AN409" s="43">
        <f t="shared" si="2484"/>
        <v>0</v>
      </c>
      <c r="AP409" t="str">
        <f t="shared" si="2512"/>
        <v/>
      </c>
      <c r="AQ409" t="str">
        <f t="shared" si="2513"/>
        <v/>
      </c>
      <c r="AR409" t="str">
        <f t="shared" si="2514"/>
        <v/>
      </c>
      <c r="AS409" t="str">
        <f t="shared" si="2515"/>
        <v/>
      </c>
      <c r="AT409" t="str">
        <f t="shared" si="2516"/>
        <v/>
      </c>
      <c r="AU409" t="str">
        <f t="shared" si="2517"/>
        <v/>
      </c>
      <c r="AV409" t="str">
        <f t="shared" si="2518"/>
        <v/>
      </c>
      <c r="AW409" t="str">
        <f t="shared" si="2519"/>
        <v xml:space="preserve">                              </v>
      </c>
      <c r="AX409" s="23">
        <f t="shared" si="2520"/>
        <v>0</v>
      </c>
      <c r="AY409" s="49" t="str">
        <f t="shared" si="2496"/>
        <v>000000000000000</v>
      </c>
      <c r="AZ409" s="23">
        <f t="shared" si="2521"/>
        <v>0</v>
      </c>
      <c r="BA409" s="49" t="str">
        <f t="shared" si="2496"/>
        <v>000000000000000</v>
      </c>
      <c r="BB409" s="23">
        <f t="shared" si="2522"/>
        <v>0</v>
      </c>
      <c r="BC409" s="49" t="str">
        <f t="shared" ref="BC409" si="2607">IF(BB409&lt;0,SUBSTITUTE(TEXT(BB409,"000000000000,00"),",",""),SUBSTITUTE(TEXT(BB409,"0000000000000,00"),",",""))</f>
        <v>000000000000000</v>
      </c>
      <c r="BD409" s="23">
        <f t="shared" si="2524"/>
        <v>0</v>
      </c>
      <c r="BE409" s="49" t="str">
        <f t="shared" ref="BE409" si="2608">IF(BD409&lt;0,SUBSTITUTE(TEXT(BD409,"000000000000,00"),",",""),SUBSTITUTE(TEXT(BD409,"0000000000000,00"),",",""))</f>
        <v>000000000000000</v>
      </c>
      <c r="BF409" s="23">
        <f t="shared" si="2526"/>
        <v>0</v>
      </c>
      <c r="BG409" s="49" t="str">
        <f t="shared" ref="BG409" si="2609">IF(BF409&lt;0,SUBSTITUTE(TEXT(BF409,"000000000000,00"),",",""),SUBSTITUTE(TEXT(BF409,"0000000000000,00"),",",""))</f>
        <v>000000000000000</v>
      </c>
      <c r="BH409" s="23">
        <f t="shared" si="2528"/>
        <v>0</v>
      </c>
      <c r="BI409" s="49" t="str">
        <f t="shared" ref="BI409" si="2610">IF(BH409&lt;0,SUBSTITUTE(TEXT(BH409,"000000000000,00"),",",""),SUBSTITUTE(TEXT(BH409,"0000000000000,00"),",",""))</f>
        <v>000000000000000</v>
      </c>
      <c r="BJ409" s="23">
        <f t="shared" si="2530"/>
        <v>0</v>
      </c>
      <c r="BK409" s="49" t="str">
        <f t="shared" ref="BK409" si="2611">IF(BJ409&lt;0,SUBSTITUTE(TEXT(BJ409,"000000000000,00"),",",""),SUBSTITUTE(TEXT(BJ409,"0000000000000,00"),",",""))</f>
        <v>000000000000000</v>
      </c>
      <c r="BL409" s="23">
        <f t="shared" si="2532"/>
        <v>0</v>
      </c>
      <c r="BM409" s="49" t="str">
        <f t="shared" ref="BM409" si="2612">IF(BL409&lt;0,SUBSTITUTE(TEXT(BL409,"000000000000,00"),",",""),SUBSTITUTE(TEXT(BL409,"0000000000000,00"),",",""))</f>
        <v>000000000000000</v>
      </c>
      <c r="BN409" t="str">
        <f t="shared" si="2534"/>
        <v>PES</v>
      </c>
      <c r="BO409" t="str">
        <f t="shared" si="2535"/>
        <v>0001000000</v>
      </c>
      <c r="BP409">
        <f t="shared" si="2536"/>
        <v>0</v>
      </c>
      <c r="BQ409">
        <f t="shared" si="2537"/>
        <v>0</v>
      </c>
      <c r="BR409" s="23">
        <f t="shared" si="2538"/>
        <v>0</v>
      </c>
      <c r="BS409" s="49" t="str">
        <f t="shared" si="2503"/>
        <v>000000000000000</v>
      </c>
      <c r="BT409" t="str">
        <f t="shared" si="2539"/>
        <v>00000000</v>
      </c>
      <c r="BU409" s="23">
        <f t="shared" si="2540"/>
        <v>0</v>
      </c>
      <c r="BV409" s="49" t="str">
        <f t="shared" si="2504"/>
        <v/>
      </c>
      <c r="BW409" s="52" t="str">
        <f t="shared" si="2541"/>
        <v/>
      </c>
      <c r="BX409" s="23">
        <f t="shared" si="2542"/>
        <v>0</v>
      </c>
      <c r="BY409" s="49" t="str">
        <f t="shared" si="2505"/>
        <v/>
      </c>
      <c r="BZ409" s="23">
        <f t="shared" si="2543"/>
        <v>0</v>
      </c>
      <c r="CA409" s="49" t="str">
        <f t="shared" si="2506"/>
        <v/>
      </c>
      <c r="CB409" s="52" t="str">
        <f t="shared" si="2544"/>
        <v/>
      </c>
      <c r="CC409" s="23">
        <f t="shared" si="2545"/>
        <v>0</v>
      </c>
      <c r="CD409" s="49" t="str">
        <f t="shared" si="2507"/>
        <v/>
      </c>
      <c r="CE409" s="56" t="str">
        <f>IF(CF409="","",MAX(CE$10:$CE408)+1)</f>
        <v/>
      </c>
      <c r="CF409" t="str">
        <f t="shared" si="2546"/>
        <v/>
      </c>
      <c r="CG409" s="22" t="str">
        <f>IF(CH409="","",MAX($CG$10:CG408)+1)</f>
        <v/>
      </c>
      <c r="CH409" s="22" t="str">
        <f t="shared" si="2491"/>
        <v/>
      </c>
      <c r="CI409" s="22" t="str">
        <f>IF(CJ409="","",MAX($CI$10:CI408)+1)</f>
        <v/>
      </c>
      <c r="CJ409" s="22" t="str">
        <f t="shared" si="2492"/>
        <v/>
      </c>
    </row>
    <row r="410" spans="2:88" x14ac:dyDescent="0.25">
      <c r="B410" s="37"/>
      <c r="C410" s="3"/>
      <c r="D410" s="77" t="str">
        <f t="shared" si="2478"/>
        <v/>
      </c>
      <c r="E410" s="38"/>
      <c r="F410" s="38"/>
      <c r="G410" s="78">
        <f t="shared" si="2493"/>
        <v>0</v>
      </c>
      <c r="H410" s="3">
        <v>80</v>
      </c>
      <c r="I410" s="77" t="str">
        <f t="shared" si="2479"/>
        <v/>
      </c>
      <c r="J410" s="32"/>
      <c r="K410" s="3"/>
      <c r="L410" s="39"/>
      <c r="M410" s="39"/>
      <c r="N410" s="39"/>
      <c r="O410" s="39"/>
      <c r="P410" s="39"/>
      <c r="Q410" s="39"/>
      <c r="R410" s="39"/>
      <c r="S410" s="39"/>
      <c r="T410" s="3" t="s">
        <v>645</v>
      </c>
      <c r="U410" s="77" t="str">
        <f t="shared" si="2480"/>
        <v/>
      </c>
      <c r="V410" s="39">
        <v>1</v>
      </c>
      <c r="W410" s="79">
        <f t="shared" si="2494"/>
        <v>0</v>
      </c>
      <c r="X410" s="3">
        <v>0</v>
      </c>
      <c r="Y410" s="77" t="str">
        <f t="shared" si="2481"/>
        <v/>
      </c>
      <c r="Z410" s="3"/>
      <c r="AA410" s="37" t="str">
        <f t="shared" si="2495"/>
        <v/>
      </c>
      <c r="AC410" s="40"/>
      <c r="AD410" s="7"/>
      <c r="AE410" s="77" t="str">
        <f t="shared" si="2482"/>
        <v/>
      </c>
      <c r="AF410" s="81">
        <f t="shared" si="2508"/>
        <v>0</v>
      </c>
      <c r="AG410" s="40"/>
      <c r="AH410" s="7"/>
      <c r="AI410" s="77" t="str">
        <f t="shared" si="2483"/>
        <v/>
      </c>
      <c r="AJ410" s="81">
        <f t="shared" si="2509"/>
        <v>0</v>
      </c>
      <c r="AK410" s="83">
        <f t="shared" si="2510"/>
        <v>0</v>
      </c>
      <c r="AL410" s="83">
        <f t="shared" si="2511"/>
        <v>0</v>
      </c>
      <c r="AN410" s="43">
        <f t="shared" si="2484"/>
        <v>0</v>
      </c>
      <c r="AP410" t="str">
        <f t="shared" si="2512"/>
        <v/>
      </c>
      <c r="AQ410" t="str">
        <f t="shared" si="2513"/>
        <v/>
      </c>
      <c r="AR410" t="str">
        <f t="shared" si="2514"/>
        <v/>
      </c>
      <c r="AS410" t="str">
        <f t="shared" si="2515"/>
        <v/>
      </c>
      <c r="AT410" t="str">
        <f t="shared" si="2516"/>
        <v/>
      </c>
      <c r="AU410" t="str">
        <f t="shared" si="2517"/>
        <v/>
      </c>
      <c r="AV410" t="str">
        <f t="shared" si="2518"/>
        <v/>
      </c>
      <c r="AW410" t="str">
        <f t="shared" si="2519"/>
        <v xml:space="preserve">                              </v>
      </c>
      <c r="AX410" s="23">
        <f t="shared" si="2520"/>
        <v>0</v>
      </c>
      <c r="AY410" s="49" t="str">
        <f t="shared" si="2496"/>
        <v>000000000000000</v>
      </c>
      <c r="AZ410" s="23">
        <f t="shared" si="2521"/>
        <v>0</v>
      </c>
      <c r="BA410" s="49" t="str">
        <f t="shared" si="2496"/>
        <v>000000000000000</v>
      </c>
      <c r="BB410" s="23">
        <f t="shared" si="2522"/>
        <v>0</v>
      </c>
      <c r="BC410" s="49" t="str">
        <f t="shared" ref="BC410" si="2613">IF(BB410&lt;0,SUBSTITUTE(TEXT(BB410,"000000000000,00"),",",""),SUBSTITUTE(TEXT(BB410,"0000000000000,00"),",",""))</f>
        <v>000000000000000</v>
      </c>
      <c r="BD410" s="23">
        <f t="shared" si="2524"/>
        <v>0</v>
      </c>
      <c r="BE410" s="49" t="str">
        <f t="shared" ref="BE410" si="2614">IF(BD410&lt;0,SUBSTITUTE(TEXT(BD410,"000000000000,00"),",",""),SUBSTITUTE(TEXT(BD410,"0000000000000,00"),",",""))</f>
        <v>000000000000000</v>
      </c>
      <c r="BF410" s="23">
        <f t="shared" si="2526"/>
        <v>0</v>
      </c>
      <c r="BG410" s="49" t="str">
        <f t="shared" ref="BG410" si="2615">IF(BF410&lt;0,SUBSTITUTE(TEXT(BF410,"000000000000,00"),",",""),SUBSTITUTE(TEXT(BF410,"0000000000000,00"),",",""))</f>
        <v>000000000000000</v>
      </c>
      <c r="BH410" s="23">
        <f t="shared" si="2528"/>
        <v>0</v>
      </c>
      <c r="BI410" s="49" t="str">
        <f t="shared" ref="BI410" si="2616">IF(BH410&lt;0,SUBSTITUTE(TEXT(BH410,"000000000000,00"),",",""),SUBSTITUTE(TEXT(BH410,"0000000000000,00"),",",""))</f>
        <v>000000000000000</v>
      </c>
      <c r="BJ410" s="23">
        <f t="shared" si="2530"/>
        <v>0</v>
      </c>
      <c r="BK410" s="49" t="str">
        <f t="shared" ref="BK410" si="2617">IF(BJ410&lt;0,SUBSTITUTE(TEXT(BJ410,"000000000000,00"),",",""),SUBSTITUTE(TEXT(BJ410,"0000000000000,00"),",",""))</f>
        <v>000000000000000</v>
      </c>
      <c r="BL410" s="23">
        <f t="shared" si="2532"/>
        <v>0</v>
      </c>
      <c r="BM410" s="49" t="str">
        <f t="shared" ref="BM410" si="2618">IF(BL410&lt;0,SUBSTITUTE(TEXT(BL410,"000000000000,00"),",",""),SUBSTITUTE(TEXT(BL410,"0000000000000,00"),",",""))</f>
        <v>000000000000000</v>
      </c>
      <c r="BN410" t="str">
        <f t="shared" si="2534"/>
        <v>PES</v>
      </c>
      <c r="BO410" t="str">
        <f t="shared" si="2535"/>
        <v>0001000000</v>
      </c>
      <c r="BP410">
        <f t="shared" si="2536"/>
        <v>0</v>
      </c>
      <c r="BQ410">
        <f t="shared" si="2537"/>
        <v>0</v>
      </c>
      <c r="BR410" s="23">
        <f t="shared" si="2538"/>
        <v>0</v>
      </c>
      <c r="BS410" s="49" t="str">
        <f t="shared" si="2503"/>
        <v>000000000000000</v>
      </c>
      <c r="BT410" t="str">
        <f t="shared" si="2539"/>
        <v>00000000</v>
      </c>
      <c r="BU410" s="23">
        <f t="shared" si="2540"/>
        <v>0</v>
      </c>
      <c r="BV410" s="49" t="str">
        <f t="shared" si="2504"/>
        <v/>
      </c>
      <c r="BW410" s="52" t="str">
        <f t="shared" si="2541"/>
        <v/>
      </c>
      <c r="BX410" s="23">
        <f t="shared" si="2542"/>
        <v>0</v>
      </c>
      <c r="BY410" s="49" t="str">
        <f t="shared" si="2505"/>
        <v/>
      </c>
      <c r="BZ410" s="23">
        <f t="shared" si="2543"/>
        <v>0</v>
      </c>
      <c r="CA410" s="49" t="str">
        <f t="shared" si="2506"/>
        <v/>
      </c>
      <c r="CB410" s="52" t="str">
        <f t="shared" si="2544"/>
        <v/>
      </c>
      <c r="CC410" s="23">
        <f t="shared" si="2545"/>
        <v>0</v>
      </c>
      <c r="CD410" s="49" t="str">
        <f t="shared" si="2507"/>
        <v/>
      </c>
      <c r="CE410" s="56" t="str">
        <f>IF(CF410="","",MAX(CE$10:$CE409)+1)</f>
        <v/>
      </c>
      <c r="CF410" t="str">
        <f t="shared" si="2546"/>
        <v/>
      </c>
      <c r="CG410" s="22" t="str">
        <f>IF(CH410="","",MAX($CG$10:CG409)+1)</f>
        <v/>
      </c>
      <c r="CH410" s="22" t="str">
        <f t="shared" si="2491"/>
        <v/>
      </c>
      <c r="CI410" s="22" t="str">
        <f>IF(CJ410="","",MAX($CI$10:CI409)+1)</f>
        <v/>
      </c>
      <c r="CJ410" s="22" t="str">
        <f t="shared" si="2492"/>
        <v/>
      </c>
    </row>
    <row r="411" spans="2:88" x14ac:dyDescent="0.25">
      <c r="B411" s="37"/>
      <c r="C411" s="3"/>
      <c r="D411" s="77" t="str">
        <f t="shared" si="2478"/>
        <v/>
      </c>
      <c r="E411" s="38"/>
      <c r="F411" s="38"/>
      <c r="G411" s="78">
        <f t="shared" si="2493"/>
        <v>0</v>
      </c>
      <c r="H411" s="3">
        <v>80</v>
      </c>
      <c r="I411" s="77" t="str">
        <f t="shared" si="2479"/>
        <v/>
      </c>
      <c r="J411" s="32"/>
      <c r="K411" s="3"/>
      <c r="L411" s="39"/>
      <c r="M411" s="39"/>
      <c r="N411" s="39"/>
      <c r="O411" s="39"/>
      <c r="P411" s="39"/>
      <c r="Q411" s="39"/>
      <c r="R411" s="39"/>
      <c r="S411" s="39"/>
      <c r="T411" s="3" t="s">
        <v>645</v>
      </c>
      <c r="U411" s="77" t="str">
        <f t="shared" si="2480"/>
        <v/>
      </c>
      <c r="V411" s="39">
        <v>1</v>
      </c>
      <c r="W411" s="79">
        <f t="shared" si="2494"/>
        <v>0</v>
      </c>
      <c r="X411" s="3">
        <v>0</v>
      </c>
      <c r="Y411" s="77" t="str">
        <f t="shared" si="2481"/>
        <v/>
      </c>
      <c r="Z411" s="3"/>
      <c r="AA411" s="37" t="str">
        <f t="shared" si="2495"/>
        <v/>
      </c>
      <c r="AC411" s="40"/>
      <c r="AD411" s="7"/>
      <c r="AE411" s="77" t="str">
        <f t="shared" si="2482"/>
        <v/>
      </c>
      <c r="AF411" s="81">
        <f t="shared" si="2508"/>
        <v>0</v>
      </c>
      <c r="AG411" s="40"/>
      <c r="AH411" s="7"/>
      <c r="AI411" s="77" t="str">
        <f t="shared" si="2483"/>
        <v/>
      </c>
      <c r="AJ411" s="81">
        <f t="shared" si="2509"/>
        <v>0</v>
      </c>
      <c r="AK411" s="83">
        <f t="shared" si="2510"/>
        <v>0</v>
      </c>
      <c r="AL411" s="83">
        <f t="shared" si="2511"/>
        <v>0</v>
      </c>
      <c r="AN411" s="43">
        <f t="shared" si="2484"/>
        <v>0</v>
      </c>
      <c r="AP411" t="str">
        <f t="shared" si="2512"/>
        <v/>
      </c>
      <c r="AQ411" t="str">
        <f t="shared" si="2513"/>
        <v/>
      </c>
      <c r="AR411" t="str">
        <f t="shared" si="2514"/>
        <v/>
      </c>
      <c r="AS411" t="str">
        <f t="shared" si="2515"/>
        <v/>
      </c>
      <c r="AT411" t="str">
        <f t="shared" si="2516"/>
        <v/>
      </c>
      <c r="AU411" t="str">
        <f t="shared" si="2517"/>
        <v/>
      </c>
      <c r="AV411" t="str">
        <f t="shared" si="2518"/>
        <v/>
      </c>
      <c r="AW411" t="str">
        <f t="shared" si="2519"/>
        <v xml:space="preserve">                              </v>
      </c>
      <c r="AX411" s="23">
        <f t="shared" si="2520"/>
        <v>0</v>
      </c>
      <c r="AY411" s="49" t="str">
        <f t="shared" si="2496"/>
        <v>000000000000000</v>
      </c>
      <c r="AZ411" s="23">
        <f t="shared" si="2521"/>
        <v>0</v>
      </c>
      <c r="BA411" s="49" t="str">
        <f t="shared" si="2496"/>
        <v>000000000000000</v>
      </c>
      <c r="BB411" s="23">
        <f t="shared" si="2522"/>
        <v>0</v>
      </c>
      <c r="BC411" s="49" t="str">
        <f t="shared" ref="BC411" si="2619">IF(BB411&lt;0,SUBSTITUTE(TEXT(BB411,"000000000000,00"),",",""),SUBSTITUTE(TEXT(BB411,"0000000000000,00"),",",""))</f>
        <v>000000000000000</v>
      </c>
      <c r="BD411" s="23">
        <f t="shared" si="2524"/>
        <v>0</v>
      </c>
      <c r="BE411" s="49" t="str">
        <f t="shared" ref="BE411" si="2620">IF(BD411&lt;0,SUBSTITUTE(TEXT(BD411,"000000000000,00"),",",""),SUBSTITUTE(TEXT(BD411,"0000000000000,00"),",",""))</f>
        <v>000000000000000</v>
      </c>
      <c r="BF411" s="23">
        <f t="shared" si="2526"/>
        <v>0</v>
      </c>
      <c r="BG411" s="49" t="str">
        <f t="shared" ref="BG411" si="2621">IF(BF411&lt;0,SUBSTITUTE(TEXT(BF411,"000000000000,00"),",",""),SUBSTITUTE(TEXT(BF411,"0000000000000,00"),",",""))</f>
        <v>000000000000000</v>
      </c>
      <c r="BH411" s="23">
        <f t="shared" si="2528"/>
        <v>0</v>
      </c>
      <c r="BI411" s="49" t="str">
        <f t="shared" ref="BI411" si="2622">IF(BH411&lt;0,SUBSTITUTE(TEXT(BH411,"000000000000,00"),",",""),SUBSTITUTE(TEXT(BH411,"0000000000000,00"),",",""))</f>
        <v>000000000000000</v>
      </c>
      <c r="BJ411" s="23">
        <f t="shared" si="2530"/>
        <v>0</v>
      </c>
      <c r="BK411" s="49" t="str">
        <f t="shared" ref="BK411" si="2623">IF(BJ411&lt;0,SUBSTITUTE(TEXT(BJ411,"000000000000,00"),",",""),SUBSTITUTE(TEXT(BJ411,"0000000000000,00"),",",""))</f>
        <v>000000000000000</v>
      </c>
      <c r="BL411" s="23">
        <f t="shared" si="2532"/>
        <v>0</v>
      </c>
      <c r="BM411" s="49" t="str">
        <f t="shared" ref="BM411" si="2624">IF(BL411&lt;0,SUBSTITUTE(TEXT(BL411,"000000000000,00"),",",""),SUBSTITUTE(TEXT(BL411,"0000000000000,00"),",",""))</f>
        <v>000000000000000</v>
      </c>
      <c r="BN411" t="str">
        <f t="shared" si="2534"/>
        <v>PES</v>
      </c>
      <c r="BO411" t="str">
        <f t="shared" si="2535"/>
        <v>0001000000</v>
      </c>
      <c r="BP411">
        <f t="shared" si="2536"/>
        <v>0</v>
      </c>
      <c r="BQ411">
        <f t="shared" si="2537"/>
        <v>0</v>
      </c>
      <c r="BR411" s="23">
        <f t="shared" si="2538"/>
        <v>0</v>
      </c>
      <c r="BS411" s="49" t="str">
        <f t="shared" si="2503"/>
        <v>000000000000000</v>
      </c>
      <c r="BT411" t="str">
        <f t="shared" si="2539"/>
        <v>00000000</v>
      </c>
      <c r="BU411" s="23">
        <f t="shared" si="2540"/>
        <v>0</v>
      </c>
      <c r="BV411" s="49" t="str">
        <f t="shared" si="2504"/>
        <v/>
      </c>
      <c r="BW411" s="52" t="str">
        <f t="shared" si="2541"/>
        <v/>
      </c>
      <c r="BX411" s="23">
        <f t="shared" si="2542"/>
        <v>0</v>
      </c>
      <c r="BY411" s="49" t="str">
        <f t="shared" si="2505"/>
        <v/>
      </c>
      <c r="BZ411" s="23">
        <f t="shared" si="2543"/>
        <v>0</v>
      </c>
      <c r="CA411" s="49" t="str">
        <f t="shared" si="2506"/>
        <v/>
      </c>
      <c r="CB411" s="52" t="str">
        <f t="shared" si="2544"/>
        <v/>
      </c>
      <c r="CC411" s="23">
        <f t="shared" si="2545"/>
        <v>0</v>
      </c>
      <c r="CD411" s="49" t="str">
        <f t="shared" si="2507"/>
        <v/>
      </c>
      <c r="CE411" s="56" t="str">
        <f>IF(CF411="","",MAX(CE$10:$CE410)+1)</f>
        <v/>
      </c>
      <c r="CF411" t="str">
        <f t="shared" si="2546"/>
        <v/>
      </c>
      <c r="CG411" s="22" t="str">
        <f>IF(CH411="","",MAX($CG$10:CG410)+1)</f>
        <v/>
      </c>
      <c r="CH411" s="22" t="str">
        <f t="shared" si="2491"/>
        <v/>
      </c>
      <c r="CI411" s="22" t="str">
        <f>IF(CJ411="","",MAX($CI$10:CI410)+1)</f>
        <v/>
      </c>
      <c r="CJ411" s="22" t="str">
        <f t="shared" si="2492"/>
        <v/>
      </c>
    </row>
    <row r="412" spans="2:88" x14ac:dyDescent="0.25">
      <c r="B412" s="37"/>
      <c r="C412" s="3"/>
      <c r="D412" s="77" t="str">
        <f t="shared" si="2478"/>
        <v/>
      </c>
      <c r="E412" s="38"/>
      <c r="F412" s="38"/>
      <c r="G412" s="78">
        <f t="shared" si="2493"/>
        <v>0</v>
      </c>
      <c r="H412" s="3">
        <v>80</v>
      </c>
      <c r="I412" s="77" t="str">
        <f t="shared" si="2479"/>
        <v/>
      </c>
      <c r="J412" s="32"/>
      <c r="K412" s="3"/>
      <c r="L412" s="39"/>
      <c r="M412" s="39"/>
      <c r="N412" s="39"/>
      <c r="O412" s="39"/>
      <c r="P412" s="39"/>
      <c r="Q412" s="39"/>
      <c r="R412" s="39"/>
      <c r="S412" s="39"/>
      <c r="T412" s="3" t="s">
        <v>645</v>
      </c>
      <c r="U412" s="77" t="str">
        <f t="shared" si="2480"/>
        <v/>
      </c>
      <c r="V412" s="39">
        <v>1</v>
      </c>
      <c r="W412" s="79">
        <f t="shared" si="2494"/>
        <v>0</v>
      </c>
      <c r="X412" s="3">
        <v>0</v>
      </c>
      <c r="Y412" s="77" t="str">
        <f t="shared" si="2481"/>
        <v/>
      </c>
      <c r="Z412" s="3"/>
      <c r="AA412" s="37" t="str">
        <f t="shared" si="2495"/>
        <v/>
      </c>
      <c r="AC412" s="40"/>
      <c r="AD412" s="7"/>
      <c r="AE412" s="77" t="str">
        <f t="shared" si="2482"/>
        <v/>
      </c>
      <c r="AF412" s="81">
        <f t="shared" si="2508"/>
        <v>0</v>
      </c>
      <c r="AG412" s="40"/>
      <c r="AH412" s="7"/>
      <c r="AI412" s="77" t="str">
        <f t="shared" si="2483"/>
        <v/>
      </c>
      <c r="AJ412" s="81">
        <f t="shared" si="2509"/>
        <v>0</v>
      </c>
      <c r="AK412" s="83">
        <f t="shared" si="2510"/>
        <v>0</v>
      </c>
      <c r="AL412" s="83">
        <f t="shared" si="2511"/>
        <v>0</v>
      </c>
      <c r="AN412" s="43">
        <f t="shared" si="2484"/>
        <v>0</v>
      </c>
      <c r="AP412" t="str">
        <f t="shared" si="2512"/>
        <v/>
      </c>
      <c r="AQ412" t="str">
        <f t="shared" si="2513"/>
        <v/>
      </c>
      <c r="AR412" t="str">
        <f t="shared" si="2514"/>
        <v/>
      </c>
      <c r="AS412" t="str">
        <f t="shared" si="2515"/>
        <v/>
      </c>
      <c r="AT412" t="str">
        <f t="shared" si="2516"/>
        <v/>
      </c>
      <c r="AU412" t="str">
        <f t="shared" si="2517"/>
        <v/>
      </c>
      <c r="AV412" t="str">
        <f t="shared" si="2518"/>
        <v/>
      </c>
      <c r="AW412" t="str">
        <f t="shared" si="2519"/>
        <v xml:space="preserve">                              </v>
      </c>
      <c r="AX412" s="23">
        <f t="shared" si="2520"/>
        <v>0</v>
      </c>
      <c r="AY412" s="49" t="str">
        <f t="shared" si="2496"/>
        <v>000000000000000</v>
      </c>
      <c r="AZ412" s="23">
        <f t="shared" si="2521"/>
        <v>0</v>
      </c>
      <c r="BA412" s="49" t="str">
        <f t="shared" si="2496"/>
        <v>000000000000000</v>
      </c>
      <c r="BB412" s="23">
        <f t="shared" si="2522"/>
        <v>0</v>
      </c>
      <c r="BC412" s="49" t="str">
        <f t="shared" ref="BC412" si="2625">IF(BB412&lt;0,SUBSTITUTE(TEXT(BB412,"000000000000,00"),",",""),SUBSTITUTE(TEXT(BB412,"0000000000000,00"),",",""))</f>
        <v>000000000000000</v>
      </c>
      <c r="BD412" s="23">
        <f t="shared" si="2524"/>
        <v>0</v>
      </c>
      <c r="BE412" s="49" t="str">
        <f t="shared" ref="BE412" si="2626">IF(BD412&lt;0,SUBSTITUTE(TEXT(BD412,"000000000000,00"),",",""),SUBSTITUTE(TEXT(BD412,"0000000000000,00"),",",""))</f>
        <v>000000000000000</v>
      </c>
      <c r="BF412" s="23">
        <f t="shared" si="2526"/>
        <v>0</v>
      </c>
      <c r="BG412" s="49" t="str">
        <f t="shared" ref="BG412" si="2627">IF(BF412&lt;0,SUBSTITUTE(TEXT(BF412,"000000000000,00"),",",""),SUBSTITUTE(TEXT(BF412,"0000000000000,00"),",",""))</f>
        <v>000000000000000</v>
      </c>
      <c r="BH412" s="23">
        <f t="shared" si="2528"/>
        <v>0</v>
      </c>
      <c r="BI412" s="49" t="str">
        <f t="shared" ref="BI412" si="2628">IF(BH412&lt;0,SUBSTITUTE(TEXT(BH412,"000000000000,00"),",",""),SUBSTITUTE(TEXT(BH412,"0000000000000,00"),",",""))</f>
        <v>000000000000000</v>
      </c>
      <c r="BJ412" s="23">
        <f t="shared" si="2530"/>
        <v>0</v>
      </c>
      <c r="BK412" s="49" t="str">
        <f t="shared" ref="BK412" si="2629">IF(BJ412&lt;0,SUBSTITUTE(TEXT(BJ412,"000000000000,00"),",",""),SUBSTITUTE(TEXT(BJ412,"0000000000000,00"),",",""))</f>
        <v>000000000000000</v>
      </c>
      <c r="BL412" s="23">
        <f t="shared" si="2532"/>
        <v>0</v>
      </c>
      <c r="BM412" s="49" t="str">
        <f t="shared" ref="BM412" si="2630">IF(BL412&lt;0,SUBSTITUTE(TEXT(BL412,"000000000000,00"),",",""),SUBSTITUTE(TEXT(BL412,"0000000000000,00"),",",""))</f>
        <v>000000000000000</v>
      </c>
      <c r="BN412" t="str">
        <f t="shared" si="2534"/>
        <v>PES</v>
      </c>
      <c r="BO412" t="str">
        <f t="shared" si="2535"/>
        <v>0001000000</v>
      </c>
      <c r="BP412">
        <f t="shared" si="2536"/>
        <v>0</v>
      </c>
      <c r="BQ412">
        <f t="shared" si="2537"/>
        <v>0</v>
      </c>
      <c r="BR412" s="23">
        <f t="shared" si="2538"/>
        <v>0</v>
      </c>
      <c r="BS412" s="49" t="str">
        <f t="shared" si="2503"/>
        <v>000000000000000</v>
      </c>
      <c r="BT412" t="str">
        <f t="shared" si="2539"/>
        <v>00000000</v>
      </c>
      <c r="BU412" s="23">
        <f t="shared" si="2540"/>
        <v>0</v>
      </c>
      <c r="BV412" s="49" t="str">
        <f t="shared" si="2504"/>
        <v/>
      </c>
      <c r="BW412" s="52" t="str">
        <f t="shared" si="2541"/>
        <v/>
      </c>
      <c r="BX412" s="23">
        <f t="shared" si="2542"/>
        <v>0</v>
      </c>
      <c r="BY412" s="49" t="str">
        <f t="shared" si="2505"/>
        <v/>
      </c>
      <c r="BZ412" s="23">
        <f t="shared" si="2543"/>
        <v>0</v>
      </c>
      <c r="CA412" s="49" t="str">
        <f t="shared" si="2506"/>
        <v/>
      </c>
      <c r="CB412" s="52" t="str">
        <f t="shared" si="2544"/>
        <v/>
      </c>
      <c r="CC412" s="23">
        <f t="shared" si="2545"/>
        <v>0</v>
      </c>
      <c r="CD412" s="49" t="str">
        <f t="shared" si="2507"/>
        <v/>
      </c>
      <c r="CE412" s="56" t="str">
        <f>IF(CF412="","",MAX(CE$10:$CE411)+1)</f>
        <v/>
      </c>
      <c r="CF412" t="str">
        <f t="shared" si="2546"/>
        <v/>
      </c>
      <c r="CG412" s="22" t="str">
        <f>IF(CH412="","",MAX($CG$10:CG411)+1)</f>
        <v/>
      </c>
      <c r="CH412" s="22" t="str">
        <f t="shared" si="2491"/>
        <v/>
      </c>
      <c r="CI412" s="22" t="str">
        <f>IF(CJ412="","",MAX($CI$10:CI411)+1)</f>
        <v/>
      </c>
      <c r="CJ412" s="22" t="str">
        <f t="shared" si="2492"/>
        <v/>
      </c>
    </row>
    <row r="413" spans="2:88" x14ac:dyDescent="0.25">
      <c r="B413" s="37"/>
      <c r="C413" s="3"/>
      <c r="D413" s="77" t="str">
        <f t="shared" si="2478"/>
        <v/>
      </c>
      <c r="E413" s="38"/>
      <c r="F413" s="38"/>
      <c r="G413" s="78">
        <f t="shared" si="2493"/>
        <v>0</v>
      </c>
      <c r="H413" s="3">
        <v>80</v>
      </c>
      <c r="I413" s="77" t="str">
        <f t="shared" si="2479"/>
        <v/>
      </c>
      <c r="J413" s="32"/>
      <c r="K413" s="3"/>
      <c r="L413" s="39"/>
      <c r="M413" s="39"/>
      <c r="N413" s="39"/>
      <c r="O413" s="39"/>
      <c r="P413" s="39"/>
      <c r="Q413" s="39"/>
      <c r="R413" s="39"/>
      <c r="S413" s="39"/>
      <c r="T413" s="3" t="s">
        <v>645</v>
      </c>
      <c r="U413" s="77" t="str">
        <f t="shared" si="2480"/>
        <v/>
      </c>
      <c r="V413" s="39">
        <v>1</v>
      </c>
      <c r="W413" s="79">
        <f t="shared" si="2494"/>
        <v>0</v>
      </c>
      <c r="X413" s="3">
        <v>0</v>
      </c>
      <c r="Y413" s="77" t="str">
        <f t="shared" si="2481"/>
        <v/>
      </c>
      <c r="Z413" s="3"/>
      <c r="AA413" s="37" t="str">
        <f t="shared" si="2495"/>
        <v/>
      </c>
      <c r="AC413" s="40"/>
      <c r="AD413" s="7"/>
      <c r="AE413" s="77" t="str">
        <f t="shared" si="2482"/>
        <v/>
      </c>
      <c r="AF413" s="81">
        <f t="shared" si="2508"/>
        <v>0</v>
      </c>
      <c r="AG413" s="40"/>
      <c r="AH413" s="7"/>
      <c r="AI413" s="77" t="str">
        <f t="shared" si="2483"/>
        <v/>
      </c>
      <c r="AJ413" s="81">
        <f t="shared" si="2509"/>
        <v>0</v>
      </c>
      <c r="AK413" s="83">
        <f t="shared" si="2510"/>
        <v>0</v>
      </c>
      <c r="AL413" s="83">
        <f t="shared" si="2511"/>
        <v>0</v>
      </c>
      <c r="AN413" s="43">
        <f t="shared" si="2484"/>
        <v>0</v>
      </c>
      <c r="AP413" t="str">
        <f t="shared" si="2512"/>
        <v/>
      </c>
      <c r="AQ413" t="str">
        <f t="shared" si="2513"/>
        <v/>
      </c>
      <c r="AR413" t="str">
        <f t="shared" si="2514"/>
        <v/>
      </c>
      <c r="AS413" t="str">
        <f t="shared" si="2515"/>
        <v/>
      </c>
      <c r="AT413" t="str">
        <f t="shared" si="2516"/>
        <v/>
      </c>
      <c r="AU413" t="str">
        <f t="shared" si="2517"/>
        <v/>
      </c>
      <c r="AV413" t="str">
        <f t="shared" si="2518"/>
        <v/>
      </c>
      <c r="AW413" t="str">
        <f t="shared" si="2519"/>
        <v xml:space="preserve">                              </v>
      </c>
      <c r="AX413" s="23">
        <f t="shared" si="2520"/>
        <v>0</v>
      </c>
      <c r="AY413" s="49" t="str">
        <f t="shared" si="2496"/>
        <v>000000000000000</v>
      </c>
      <c r="AZ413" s="23">
        <f t="shared" si="2521"/>
        <v>0</v>
      </c>
      <c r="BA413" s="49" t="str">
        <f t="shared" si="2496"/>
        <v>000000000000000</v>
      </c>
      <c r="BB413" s="23">
        <f t="shared" si="2522"/>
        <v>0</v>
      </c>
      <c r="BC413" s="49" t="str">
        <f t="shared" ref="BC413" si="2631">IF(BB413&lt;0,SUBSTITUTE(TEXT(BB413,"000000000000,00"),",",""),SUBSTITUTE(TEXT(BB413,"0000000000000,00"),",",""))</f>
        <v>000000000000000</v>
      </c>
      <c r="BD413" s="23">
        <f t="shared" si="2524"/>
        <v>0</v>
      </c>
      <c r="BE413" s="49" t="str">
        <f t="shared" ref="BE413" si="2632">IF(BD413&lt;0,SUBSTITUTE(TEXT(BD413,"000000000000,00"),",",""),SUBSTITUTE(TEXT(BD413,"0000000000000,00"),",",""))</f>
        <v>000000000000000</v>
      </c>
      <c r="BF413" s="23">
        <f t="shared" si="2526"/>
        <v>0</v>
      </c>
      <c r="BG413" s="49" t="str">
        <f t="shared" ref="BG413" si="2633">IF(BF413&lt;0,SUBSTITUTE(TEXT(BF413,"000000000000,00"),",",""),SUBSTITUTE(TEXT(BF413,"0000000000000,00"),",",""))</f>
        <v>000000000000000</v>
      </c>
      <c r="BH413" s="23">
        <f t="shared" si="2528"/>
        <v>0</v>
      </c>
      <c r="BI413" s="49" t="str">
        <f t="shared" ref="BI413" si="2634">IF(BH413&lt;0,SUBSTITUTE(TEXT(BH413,"000000000000,00"),",",""),SUBSTITUTE(TEXT(BH413,"0000000000000,00"),",",""))</f>
        <v>000000000000000</v>
      </c>
      <c r="BJ413" s="23">
        <f t="shared" si="2530"/>
        <v>0</v>
      </c>
      <c r="BK413" s="49" t="str">
        <f t="shared" ref="BK413" si="2635">IF(BJ413&lt;0,SUBSTITUTE(TEXT(BJ413,"000000000000,00"),",",""),SUBSTITUTE(TEXT(BJ413,"0000000000000,00"),",",""))</f>
        <v>000000000000000</v>
      </c>
      <c r="BL413" s="23">
        <f t="shared" si="2532"/>
        <v>0</v>
      </c>
      <c r="BM413" s="49" t="str">
        <f t="shared" ref="BM413" si="2636">IF(BL413&lt;0,SUBSTITUTE(TEXT(BL413,"000000000000,00"),",",""),SUBSTITUTE(TEXT(BL413,"0000000000000,00"),",",""))</f>
        <v>000000000000000</v>
      </c>
      <c r="BN413" t="str">
        <f t="shared" si="2534"/>
        <v>PES</v>
      </c>
      <c r="BO413" t="str">
        <f t="shared" si="2535"/>
        <v>0001000000</v>
      </c>
      <c r="BP413">
        <f t="shared" si="2536"/>
        <v>0</v>
      </c>
      <c r="BQ413">
        <f t="shared" si="2537"/>
        <v>0</v>
      </c>
      <c r="BR413" s="23">
        <f t="shared" si="2538"/>
        <v>0</v>
      </c>
      <c r="BS413" s="49" t="str">
        <f t="shared" si="2503"/>
        <v>000000000000000</v>
      </c>
      <c r="BT413" t="str">
        <f t="shared" si="2539"/>
        <v>00000000</v>
      </c>
      <c r="BU413" s="23">
        <f t="shared" si="2540"/>
        <v>0</v>
      </c>
      <c r="BV413" s="49" t="str">
        <f t="shared" si="2504"/>
        <v/>
      </c>
      <c r="BW413" s="52" t="str">
        <f t="shared" si="2541"/>
        <v/>
      </c>
      <c r="BX413" s="23">
        <f t="shared" si="2542"/>
        <v>0</v>
      </c>
      <c r="BY413" s="49" t="str">
        <f t="shared" si="2505"/>
        <v/>
      </c>
      <c r="BZ413" s="23">
        <f t="shared" si="2543"/>
        <v>0</v>
      </c>
      <c r="CA413" s="49" t="str">
        <f t="shared" si="2506"/>
        <v/>
      </c>
      <c r="CB413" s="52" t="str">
        <f t="shared" si="2544"/>
        <v/>
      </c>
      <c r="CC413" s="23">
        <f t="shared" si="2545"/>
        <v>0</v>
      </c>
      <c r="CD413" s="49" t="str">
        <f t="shared" si="2507"/>
        <v/>
      </c>
      <c r="CE413" s="56" t="str">
        <f>IF(CF413="","",MAX(CE$10:$CE412)+1)</f>
        <v/>
      </c>
      <c r="CF413" t="str">
        <f t="shared" si="2546"/>
        <v/>
      </c>
      <c r="CG413" s="22" t="str">
        <f>IF(CH413="","",MAX($CG$10:CG412)+1)</f>
        <v/>
      </c>
      <c r="CH413" s="22" t="str">
        <f t="shared" si="2491"/>
        <v/>
      </c>
      <c r="CI413" s="22" t="str">
        <f>IF(CJ413="","",MAX($CI$10:CI412)+1)</f>
        <v/>
      </c>
      <c r="CJ413" s="22" t="str">
        <f t="shared" si="2492"/>
        <v/>
      </c>
    </row>
    <row r="414" spans="2:88" x14ac:dyDescent="0.25">
      <c r="B414" s="37"/>
      <c r="C414" s="3"/>
      <c r="D414" s="77" t="str">
        <f t="shared" si="2478"/>
        <v/>
      </c>
      <c r="E414" s="38"/>
      <c r="F414" s="38"/>
      <c r="G414" s="78">
        <f t="shared" si="2493"/>
        <v>0</v>
      </c>
      <c r="H414" s="3">
        <v>80</v>
      </c>
      <c r="I414" s="77" t="str">
        <f t="shared" si="2479"/>
        <v/>
      </c>
      <c r="J414" s="32"/>
      <c r="K414" s="3"/>
      <c r="L414" s="39"/>
      <c r="M414" s="39"/>
      <c r="N414" s="39"/>
      <c r="O414" s="39"/>
      <c r="P414" s="39"/>
      <c r="Q414" s="39"/>
      <c r="R414" s="39"/>
      <c r="S414" s="39"/>
      <c r="T414" s="3" t="s">
        <v>645</v>
      </c>
      <c r="U414" s="77" t="str">
        <f t="shared" si="2480"/>
        <v/>
      </c>
      <c r="V414" s="39">
        <v>1</v>
      </c>
      <c r="W414" s="79">
        <f t="shared" si="2494"/>
        <v>0</v>
      </c>
      <c r="X414" s="3">
        <v>0</v>
      </c>
      <c r="Y414" s="77" t="str">
        <f t="shared" si="2481"/>
        <v/>
      </c>
      <c r="Z414" s="3"/>
      <c r="AA414" s="37" t="str">
        <f t="shared" si="2495"/>
        <v/>
      </c>
      <c r="AC414" s="40"/>
      <c r="AD414" s="7"/>
      <c r="AE414" s="77" t="str">
        <f t="shared" si="2482"/>
        <v/>
      </c>
      <c r="AF414" s="81">
        <f t="shared" si="2508"/>
        <v>0</v>
      </c>
      <c r="AG414" s="40"/>
      <c r="AH414" s="7"/>
      <c r="AI414" s="77" t="str">
        <f t="shared" si="2483"/>
        <v/>
      </c>
      <c r="AJ414" s="81">
        <f t="shared" si="2509"/>
        <v>0</v>
      </c>
      <c r="AK414" s="83">
        <f t="shared" si="2510"/>
        <v>0</v>
      </c>
      <c r="AL414" s="83">
        <f t="shared" si="2511"/>
        <v>0</v>
      </c>
      <c r="AN414" s="43">
        <f t="shared" si="2484"/>
        <v>0</v>
      </c>
      <c r="AP414" t="str">
        <f t="shared" si="2512"/>
        <v/>
      </c>
      <c r="AQ414" t="str">
        <f t="shared" si="2513"/>
        <v/>
      </c>
      <c r="AR414" t="str">
        <f t="shared" si="2514"/>
        <v/>
      </c>
      <c r="AS414" t="str">
        <f t="shared" si="2515"/>
        <v/>
      </c>
      <c r="AT414" t="str">
        <f t="shared" si="2516"/>
        <v/>
      </c>
      <c r="AU414" t="str">
        <f t="shared" si="2517"/>
        <v/>
      </c>
      <c r="AV414" t="str">
        <f t="shared" si="2518"/>
        <v/>
      </c>
      <c r="AW414" t="str">
        <f t="shared" si="2519"/>
        <v xml:space="preserve">                              </v>
      </c>
      <c r="AX414" s="23">
        <f t="shared" si="2520"/>
        <v>0</v>
      </c>
      <c r="AY414" s="49" t="str">
        <f t="shared" si="2496"/>
        <v>000000000000000</v>
      </c>
      <c r="AZ414" s="23">
        <f t="shared" si="2521"/>
        <v>0</v>
      </c>
      <c r="BA414" s="49" t="str">
        <f t="shared" si="2496"/>
        <v>000000000000000</v>
      </c>
      <c r="BB414" s="23">
        <f t="shared" si="2522"/>
        <v>0</v>
      </c>
      <c r="BC414" s="49" t="str">
        <f t="shared" ref="BC414" si="2637">IF(BB414&lt;0,SUBSTITUTE(TEXT(BB414,"000000000000,00"),",",""),SUBSTITUTE(TEXT(BB414,"0000000000000,00"),",",""))</f>
        <v>000000000000000</v>
      </c>
      <c r="BD414" s="23">
        <f t="shared" si="2524"/>
        <v>0</v>
      </c>
      <c r="BE414" s="49" t="str">
        <f t="shared" ref="BE414" si="2638">IF(BD414&lt;0,SUBSTITUTE(TEXT(BD414,"000000000000,00"),",",""),SUBSTITUTE(TEXT(BD414,"0000000000000,00"),",",""))</f>
        <v>000000000000000</v>
      </c>
      <c r="BF414" s="23">
        <f t="shared" si="2526"/>
        <v>0</v>
      </c>
      <c r="BG414" s="49" t="str">
        <f t="shared" ref="BG414" si="2639">IF(BF414&lt;0,SUBSTITUTE(TEXT(BF414,"000000000000,00"),",",""),SUBSTITUTE(TEXT(BF414,"0000000000000,00"),",",""))</f>
        <v>000000000000000</v>
      </c>
      <c r="BH414" s="23">
        <f t="shared" si="2528"/>
        <v>0</v>
      </c>
      <c r="BI414" s="49" t="str">
        <f t="shared" ref="BI414" si="2640">IF(BH414&lt;0,SUBSTITUTE(TEXT(BH414,"000000000000,00"),",",""),SUBSTITUTE(TEXT(BH414,"0000000000000,00"),",",""))</f>
        <v>000000000000000</v>
      </c>
      <c r="BJ414" s="23">
        <f t="shared" si="2530"/>
        <v>0</v>
      </c>
      <c r="BK414" s="49" t="str">
        <f t="shared" ref="BK414" si="2641">IF(BJ414&lt;0,SUBSTITUTE(TEXT(BJ414,"000000000000,00"),",",""),SUBSTITUTE(TEXT(BJ414,"0000000000000,00"),",",""))</f>
        <v>000000000000000</v>
      </c>
      <c r="BL414" s="23">
        <f t="shared" si="2532"/>
        <v>0</v>
      </c>
      <c r="BM414" s="49" t="str">
        <f t="shared" ref="BM414" si="2642">IF(BL414&lt;0,SUBSTITUTE(TEXT(BL414,"000000000000,00"),",",""),SUBSTITUTE(TEXT(BL414,"0000000000000,00"),",",""))</f>
        <v>000000000000000</v>
      </c>
      <c r="BN414" t="str">
        <f t="shared" si="2534"/>
        <v>PES</v>
      </c>
      <c r="BO414" t="str">
        <f t="shared" si="2535"/>
        <v>0001000000</v>
      </c>
      <c r="BP414">
        <f t="shared" si="2536"/>
        <v>0</v>
      </c>
      <c r="BQ414">
        <f t="shared" si="2537"/>
        <v>0</v>
      </c>
      <c r="BR414" s="23">
        <f t="shared" si="2538"/>
        <v>0</v>
      </c>
      <c r="BS414" s="49" t="str">
        <f t="shared" si="2503"/>
        <v>000000000000000</v>
      </c>
      <c r="BT414" t="str">
        <f t="shared" si="2539"/>
        <v>00000000</v>
      </c>
      <c r="BU414" s="23">
        <f t="shared" si="2540"/>
        <v>0</v>
      </c>
      <c r="BV414" s="49" t="str">
        <f t="shared" si="2504"/>
        <v/>
      </c>
      <c r="BW414" s="52" t="str">
        <f t="shared" si="2541"/>
        <v/>
      </c>
      <c r="BX414" s="23">
        <f t="shared" si="2542"/>
        <v>0</v>
      </c>
      <c r="BY414" s="49" t="str">
        <f t="shared" si="2505"/>
        <v/>
      </c>
      <c r="BZ414" s="23">
        <f t="shared" si="2543"/>
        <v>0</v>
      </c>
      <c r="CA414" s="49" t="str">
        <f t="shared" si="2506"/>
        <v/>
      </c>
      <c r="CB414" s="52" t="str">
        <f t="shared" si="2544"/>
        <v/>
      </c>
      <c r="CC414" s="23">
        <f t="shared" si="2545"/>
        <v>0</v>
      </c>
      <c r="CD414" s="49" t="str">
        <f t="shared" si="2507"/>
        <v/>
      </c>
      <c r="CE414" s="56" t="str">
        <f>IF(CF414="","",MAX(CE$10:$CE413)+1)</f>
        <v/>
      </c>
      <c r="CF414" t="str">
        <f t="shared" si="2546"/>
        <v/>
      </c>
      <c r="CG414" s="22" t="str">
        <f>IF(CH414="","",MAX($CG$10:CG413)+1)</f>
        <v/>
      </c>
      <c r="CH414" s="22" t="str">
        <f t="shared" si="2491"/>
        <v/>
      </c>
      <c r="CI414" s="22" t="str">
        <f>IF(CJ414="","",MAX($CI$10:CI413)+1)</f>
        <v/>
      </c>
      <c r="CJ414" s="22" t="str">
        <f t="shared" si="2492"/>
        <v/>
      </c>
    </row>
    <row r="415" spans="2:88" x14ac:dyDescent="0.25">
      <c r="B415" s="37"/>
      <c r="C415" s="3"/>
      <c r="D415" s="77" t="str">
        <f t="shared" si="2478"/>
        <v/>
      </c>
      <c r="E415" s="38"/>
      <c r="F415" s="38"/>
      <c r="G415" s="78">
        <f t="shared" si="2493"/>
        <v>0</v>
      </c>
      <c r="H415" s="3">
        <v>80</v>
      </c>
      <c r="I415" s="77" t="str">
        <f t="shared" si="2479"/>
        <v/>
      </c>
      <c r="J415" s="32"/>
      <c r="K415" s="3"/>
      <c r="L415" s="39"/>
      <c r="M415" s="39"/>
      <c r="N415" s="39"/>
      <c r="O415" s="39"/>
      <c r="P415" s="39"/>
      <c r="Q415" s="39"/>
      <c r="R415" s="39"/>
      <c r="S415" s="39"/>
      <c r="T415" s="3" t="s">
        <v>645</v>
      </c>
      <c r="U415" s="77" t="str">
        <f t="shared" si="2480"/>
        <v/>
      </c>
      <c r="V415" s="39">
        <v>1</v>
      </c>
      <c r="W415" s="79">
        <f t="shared" si="2494"/>
        <v>0</v>
      </c>
      <c r="X415" s="3">
        <v>0</v>
      </c>
      <c r="Y415" s="77" t="str">
        <f t="shared" si="2481"/>
        <v/>
      </c>
      <c r="Z415" s="3"/>
      <c r="AA415" s="37" t="str">
        <f t="shared" si="2495"/>
        <v/>
      </c>
      <c r="AC415" s="40"/>
      <c r="AD415" s="7"/>
      <c r="AE415" s="77" t="str">
        <f t="shared" si="2482"/>
        <v/>
      </c>
      <c r="AF415" s="81">
        <f t="shared" si="2508"/>
        <v>0</v>
      </c>
      <c r="AG415" s="40"/>
      <c r="AH415" s="7"/>
      <c r="AI415" s="77" t="str">
        <f t="shared" si="2483"/>
        <v/>
      </c>
      <c r="AJ415" s="81">
        <f t="shared" si="2509"/>
        <v>0</v>
      </c>
      <c r="AK415" s="83">
        <f t="shared" si="2510"/>
        <v>0</v>
      </c>
      <c r="AL415" s="83">
        <f t="shared" si="2511"/>
        <v>0</v>
      </c>
      <c r="AN415" s="43">
        <f t="shared" si="2484"/>
        <v>0</v>
      </c>
      <c r="AP415" t="str">
        <f t="shared" si="2512"/>
        <v/>
      </c>
      <c r="AQ415" t="str">
        <f t="shared" si="2513"/>
        <v/>
      </c>
      <c r="AR415" t="str">
        <f t="shared" si="2514"/>
        <v/>
      </c>
      <c r="AS415" t="str">
        <f t="shared" si="2515"/>
        <v/>
      </c>
      <c r="AT415" t="str">
        <f t="shared" si="2516"/>
        <v/>
      </c>
      <c r="AU415" t="str">
        <f t="shared" si="2517"/>
        <v/>
      </c>
      <c r="AV415" t="str">
        <f t="shared" si="2518"/>
        <v/>
      </c>
      <c r="AW415" t="str">
        <f t="shared" si="2519"/>
        <v xml:space="preserve">                              </v>
      </c>
      <c r="AX415" s="23">
        <f t="shared" si="2520"/>
        <v>0</v>
      </c>
      <c r="AY415" s="49" t="str">
        <f t="shared" si="2496"/>
        <v>000000000000000</v>
      </c>
      <c r="AZ415" s="23">
        <f t="shared" si="2521"/>
        <v>0</v>
      </c>
      <c r="BA415" s="49" t="str">
        <f t="shared" si="2496"/>
        <v>000000000000000</v>
      </c>
      <c r="BB415" s="23">
        <f t="shared" si="2522"/>
        <v>0</v>
      </c>
      <c r="BC415" s="49" t="str">
        <f t="shared" ref="BC415" si="2643">IF(BB415&lt;0,SUBSTITUTE(TEXT(BB415,"000000000000,00"),",",""),SUBSTITUTE(TEXT(BB415,"0000000000000,00"),",",""))</f>
        <v>000000000000000</v>
      </c>
      <c r="BD415" s="23">
        <f t="shared" si="2524"/>
        <v>0</v>
      </c>
      <c r="BE415" s="49" t="str">
        <f t="shared" ref="BE415" si="2644">IF(BD415&lt;0,SUBSTITUTE(TEXT(BD415,"000000000000,00"),",",""),SUBSTITUTE(TEXT(BD415,"0000000000000,00"),",",""))</f>
        <v>000000000000000</v>
      </c>
      <c r="BF415" s="23">
        <f t="shared" si="2526"/>
        <v>0</v>
      </c>
      <c r="BG415" s="49" t="str">
        <f t="shared" ref="BG415" si="2645">IF(BF415&lt;0,SUBSTITUTE(TEXT(BF415,"000000000000,00"),",",""),SUBSTITUTE(TEXT(BF415,"0000000000000,00"),",",""))</f>
        <v>000000000000000</v>
      </c>
      <c r="BH415" s="23">
        <f t="shared" si="2528"/>
        <v>0</v>
      </c>
      <c r="BI415" s="49" t="str">
        <f t="shared" ref="BI415" si="2646">IF(BH415&lt;0,SUBSTITUTE(TEXT(BH415,"000000000000,00"),",",""),SUBSTITUTE(TEXT(BH415,"0000000000000,00"),",",""))</f>
        <v>000000000000000</v>
      </c>
      <c r="BJ415" s="23">
        <f t="shared" si="2530"/>
        <v>0</v>
      </c>
      <c r="BK415" s="49" t="str">
        <f t="shared" ref="BK415" si="2647">IF(BJ415&lt;0,SUBSTITUTE(TEXT(BJ415,"000000000000,00"),",",""),SUBSTITUTE(TEXT(BJ415,"0000000000000,00"),",",""))</f>
        <v>000000000000000</v>
      </c>
      <c r="BL415" s="23">
        <f t="shared" si="2532"/>
        <v>0</v>
      </c>
      <c r="BM415" s="49" t="str">
        <f t="shared" ref="BM415" si="2648">IF(BL415&lt;0,SUBSTITUTE(TEXT(BL415,"000000000000,00"),",",""),SUBSTITUTE(TEXT(BL415,"0000000000000,00"),",",""))</f>
        <v>000000000000000</v>
      </c>
      <c r="BN415" t="str">
        <f t="shared" si="2534"/>
        <v>PES</v>
      </c>
      <c r="BO415" t="str">
        <f t="shared" si="2535"/>
        <v>0001000000</v>
      </c>
      <c r="BP415">
        <f t="shared" si="2536"/>
        <v>0</v>
      </c>
      <c r="BQ415">
        <f t="shared" si="2537"/>
        <v>0</v>
      </c>
      <c r="BR415" s="23">
        <f t="shared" si="2538"/>
        <v>0</v>
      </c>
      <c r="BS415" s="49" t="str">
        <f t="shared" si="2503"/>
        <v>000000000000000</v>
      </c>
      <c r="BT415" t="str">
        <f t="shared" si="2539"/>
        <v>00000000</v>
      </c>
      <c r="BU415" s="23">
        <f t="shared" si="2540"/>
        <v>0</v>
      </c>
      <c r="BV415" s="49" t="str">
        <f t="shared" si="2504"/>
        <v/>
      </c>
      <c r="BW415" s="52" t="str">
        <f t="shared" si="2541"/>
        <v/>
      </c>
      <c r="BX415" s="23">
        <f t="shared" si="2542"/>
        <v>0</v>
      </c>
      <c r="BY415" s="49" t="str">
        <f t="shared" si="2505"/>
        <v/>
      </c>
      <c r="BZ415" s="23">
        <f t="shared" si="2543"/>
        <v>0</v>
      </c>
      <c r="CA415" s="49" t="str">
        <f t="shared" si="2506"/>
        <v/>
      </c>
      <c r="CB415" s="52" t="str">
        <f t="shared" si="2544"/>
        <v/>
      </c>
      <c r="CC415" s="23">
        <f t="shared" si="2545"/>
        <v>0</v>
      </c>
      <c r="CD415" s="49" t="str">
        <f t="shared" si="2507"/>
        <v/>
      </c>
      <c r="CE415" s="56" t="str">
        <f>IF(CF415="","",MAX(CE$10:$CE414)+1)</f>
        <v/>
      </c>
      <c r="CF415" t="str">
        <f t="shared" si="2546"/>
        <v/>
      </c>
      <c r="CG415" s="22" t="str">
        <f>IF(CH415="","",MAX($CG$10:CG414)+1)</f>
        <v/>
      </c>
      <c r="CH415" s="22" t="str">
        <f t="shared" si="2491"/>
        <v/>
      </c>
      <c r="CI415" s="22" t="str">
        <f>IF(CJ415="","",MAX($CI$10:CI414)+1)</f>
        <v/>
      </c>
      <c r="CJ415" s="22" t="str">
        <f t="shared" si="2492"/>
        <v/>
      </c>
    </row>
    <row r="416" spans="2:88" x14ac:dyDescent="0.25">
      <c r="B416" s="37"/>
      <c r="C416" s="3"/>
      <c r="D416" s="77" t="str">
        <f t="shared" si="2478"/>
        <v/>
      </c>
      <c r="E416" s="38"/>
      <c r="F416" s="38"/>
      <c r="G416" s="78">
        <f t="shared" si="2493"/>
        <v>0</v>
      </c>
      <c r="H416" s="3">
        <v>80</v>
      </c>
      <c r="I416" s="77" t="str">
        <f t="shared" si="2479"/>
        <v/>
      </c>
      <c r="J416" s="32"/>
      <c r="K416" s="3"/>
      <c r="L416" s="39"/>
      <c r="M416" s="39"/>
      <c r="N416" s="39"/>
      <c r="O416" s="39"/>
      <c r="P416" s="39"/>
      <c r="Q416" s="39"/>
      <c r="R416" s="39"/>
      <c r="S416" s="39"/>
      <c r="T416" s="3" t="s">
        <v>645</v>
      </c>
      <c r="U416" s="77" t="str">
        <f t="shared" si="2480"/>
        <v/>
      </c>
      <c r="V416" s="39">
        <v>1</v>
      </c>
      <c r="W416" s="79">
        <f t="shared" si="2494"/>
        <v>0</v>
      </c>
      <c r="X416" s="3">
        <v>0</v>
      </c>
      <c r="Y416" s="77" t="str">
        <f t="shared" si="2481"/>
        <v/>
      </c>
      <c r="Z416" s="3"/>
      <c r="AA416" s="37" t="str">
        <f t="shared" si="2495"/>
        <v/>
      </c>
      <c r="AC416" s="40"/>
      <c r="AD416" s="7"/>
      <c r="AE416" s="77" t="str">
        <f t="shared" si="2482"/>
        <v/>
      </c>
      <c r="AF416" s="81">
        <f t="shared" si="2508"/>
        <v>0</v>
      </c>
      <c r="AG416" s="40"/>
      <c r="AH416" s="7"/>
      <c r="AI416" s="77" t="str">
        <f t="shared" si="2483"/>
        <v/>
      </c>
      <c r="AJ416" s="81">
        <f t="shared" si="2509"/>
        <v>0</v>
      </c>
      <c r="AK416" s="83">
        <f t="shared" si="2510"/>
        <v>0</v>
      </c>
      <c r="AL416" s="83">
        <f t="shared" si="2511"/>
        <v>0</v>
      </c>
      <c r="AN416" s="43">
        <f t="shared" si="2484"/>
        <v>0</v>
      </c>
      <c r="AP416" t="str">
        <f t="shared" si="2512"/>
        <v/>
      </c>
      <c r="AQ416" t="str">
        <f t="shared" si="2513"/>
        <v/>
      </c>
      <c r="AR416" t="str">
        <f t="shared" si="2514"/>
        <v/>
      </c>
      <c r="AS416" t="str">
        <f t="shared" si="2515"/>
        <v/>
      </c>
      <c r="AT416" t="str">
        <f t="shared" si="2516"/>
        <v/>
      </c>
      <c r="AU416" t="str">
        <f t="shared" si="2517"/>
        <v/>
      </c>
      <c r="AV416" t="str">
        <f t="shared" si="2518"/>
        <v/>
      </c>
      <c r="AW416" t="str">
        <f t="shared" si="2519"/>
        <v xml:space="preserve">                              </v>
      </c>
      <c r="AX416" s="23">
        <f t="shared" si="2520"/>
        <v>0</v>
      </c>
      <c r="AY416" s="49" t="str">
        <f t="shared" si="2496"/>
        <v>000000000000000</v>
      </c>
      <c r="AZ416" s="23">
        <f t="shared" si="2521"/>
        <v>0</v>
      </c>
      <c r="BA416" s="49" t="str">
        <f t="shared" si="2496"/>
        <v>000000000000000</v>
      </c>
      <c r="BB416" s="23">
        <f t="shared" si="2522"/>
        <v>0</v>
      </c>
      <c r="BC416" s="49" t="str">
        <f t="shared" ref="BC416" si="2649">IF(BB416&lt;0,SUBSTITUTE(TEXT(BB416,"000000000000,00"),",",""),SUBSTITUTE(TEXT(BB416,"0000000000000,00"),",",""))</f>
        <v>000000000000000</v>
      </c>
      <c r="BD416" s="23">
        <f t="shared" si="2524"/>
        <v>0</v>
      </c>
      <c r="BE416" s="49" t="str">
        <f t="shared" ref="BE416" si="2650">IF(BD416&lt;0,SUBSTITUTE(TEXT(BD416,"000000000000,00"),",",""),SUBSTITUTE(TEXT(BD416,"0000000000000,00"),",",""))</f>
        <v>000000000000000</v>
      </c>
      <c r="BF416" s="23">
        <f t="shared" si="2526"/>
        <v>0</v>
      </c>
      <c r="BG416" s="49" t="str">
        <f t="shared" ref="BG416" si="2651">IF(BF416&lt;0,SUBSTITUTE(TEXT(BF416,"000000000000,00"),",",""),SUBSTITUTE(TEXT(BF416,"0000000000000,00"),",",""))</f>
        <v>000000000000000</v>
      </c>
      <c r="BH416" s="23">
        <f t="shared" si="2528"/>
        <v>0</v>
      </c>
      <c r="BI416" s="49" t="str">
        <f t="shared" ref="BI416" si="2652">IF(BH416&lt;0,SUBSTITUTE(TEXT(BH416,"000000000000,00"),",",""),SUBSTITUTE(TEXT(BH416,"0000000000000,00"),",",""))</f>
        <v>000000000000000</v>
      </c>
      <c r="BJ416" s="23">
        <f t="shared" si="2530"/>
        <v>0</v>
      </c>
      <c r="BK416" s="49" t="str">
        <f t="shared" ref="BK416" si="2653">IF(BJ416&lt;0,SUBSTITUTE(TEXT(BJ416,"000000000000,00"),",",""),SUBSTITUTE(TEXT(BJ416,"0000000000000,00"),",",""))</f>
        <v>000000000000000</v>
      </c>
      <c r="BL416" s="23">
        <f t="shared" si="2532"/>
        <v>0</v>
      </c>
      <c r="BM416" s="49" t="str">
        <f t="shared" ref="BM416" si="2654">IF(BL416&lt;0,SUBSTITUTE(TEXT(BL416,"000000000000,00"),",",""),SUBSTITUTE(TEXT(BL416,"0000000000000,00"),",",""))</f>
        <v>000000000000000</v>
      </c>
      <c r="BN416" t="str">
        <f t="shared" si="2534"/>
        <v>PES</v>
      </c>
      <c r="BO416" t="str">
        <f t="shared" si="2535"/>
        <v>0001000000</v>
      </c>
      <c r="BP416">
        <f t="shared" si="2536"/>
        <v>0</v>
      </c>
      <c r="BQ416">
        <f t="shared" si="2537"/>
        <v>0</v>
      </c>
      <c r="BR416" s="23">
        <f t="shared" si="2538"/>
        <v>0</v>
      </c>
      <c r="BS416" s="49" t="str">
        <f t="shared" si="2503"/>
        <v>000000000000000</v>
      </c>
      <c r="BT416" t="str">
        <f t="shared" si="2539"/>
        <v>00000000</v>
      </c>
      <c r="BU416" s="23">
        <f t="shared" si="2540"/>
        <v>0</v>
      </c>
      <c r="BV416" s="49" t="str">
        <f t="shared" si="2504"/>
        <v/>
      </c>
      <c r="BW416" s="52" t="str">
        <f t="shared" si="2541"/>
        <v/>
      </c>
      <c r="BX416" s="23">
        <f t="shared" si="2542"/>
        <v>0</v>
      </c>
      <c r="BY416" s="49" t="str">
        <f t="shared" si="2505"/>
        <v/>
      </c>
      <c r="BZ416" s="23">
        <f t="shared" si="2543"/>
        <v>0</v>
      </c>
      <c r="CA416" s="49" t="str">
        <f t="shared" si="2506"/>
        <v/>
      </c>
      <c r="CB416" s="52" t="str">
        <f t="shared" si="2544"/>
        <v/>
      </c>
      <c r="CC416" s="23">
        <f t="shared" si="2545"/>
        <v>0</v>
      </c>
      <c r="CD416" s="49" t="str">
        <f t="shared" si="2507"/>
        <v/>
      </c>
      <c r="CE416" s="56" t="str">
        <f>IF(CF416="","",MAX(CE$10:$CE415)+1)</f>
        <v/>
      </c>
      <c r="CF416" t="str">
        <f t="shared" si="2546"/>
        <v/>
      </c>
      <c r="CG416" s="22" t="str">
        <f>IF(CH416="","",MAX($CG$10:CG415)+1)</f>
        <v/>
      </c>
      <c r="CH416" s="22" t="str">
        <f t="shared" si="2491"/>
        <v/>
      </c>
      <c r="CI416" s="22" t="str">
        <f>IF(CJ416="","",MAX($CI$10:CI415)+1)</f>
        <v/>
      </c>
      <c r="CJ416" s="22" t="str">
        <f t="shared" si="2492"/>
        <v/>
      </c>
    </row>
    <row r="417" spans="2:88" x14ac:dyDescent="0.25">
      <c r="B417" s="37"/>
      <c r="C417" s="3"/>
      <c r="D417" s="77" t="str">
        <f t="shared" si="2478"/>
        <v/>
      </c>
      <c r="E417" s="38"/>
      <c r="F417" s="38"/>
      <c r="G417" s="78">
        <f t="shared" si="2493"/>
        <v>0</v>
      </c>
      <c r="H417" s="3">
        <v>80</v>
      </c>
      <c r="I417" s="77" t="str">
        <f t="shared" si="2479"/>
        <v/>
      </c>
      <c r="J417" s="32"/>
      <c r="K417" s="3"/>
      <c r="L417" s="39"/>
      <c r="M417" s="39"/>
      <c r="N417" s="39"/>
      <c r="O417" s="39"/>
      <c r="P417" s="39"/>
      <c r="Q417" s="39"/>
      <c r="R417" s="39"/>
      <c r="S417" s="39"/>
      <c r="T417" s="3" t="s">
        <v>645</v>
      </c>
      <c r="U417" s="77" t="str">
        <f t="shared" si="2480"/>
        <v/>
      </c>
      <c r="V417" s="39">
        <v>1</v>
      </c>
      <c r="W417" s="79">
        <f t="shared" si="2494"/>
        <v>0</v>
      </c>
      <c r="X417" s="3">
        <v>0</v>
      </c>
      <c r="Y417" s="77" t="str">
        <f t="shared" si="2481"/>
        <v/>
      </c>
      <c r="Z417" s="3"/>
      <c r="AA417" s="37" t="str">
        <f t="shared" si="2495"/>
        <v/>
      </c>
      <c r="AC417" s="40"/>
      <c r="AD417" s="7"/>
      <c r="AE417" s="77" t="str">
        <f t="shared" si="2482"/>
        <v/>
      </c>
      <c r="AF417" s="81">
        <f t="shared" si="2508"/>
        <v>0</v>
      </c>
      <c r="AG417" s="40"/>
      <c r="AH417" s="7"/>
      <c r="AI417" s="77" t="str">
        <f t="shared" si="2483"/>
        <v/>
      </c>
      <c r="AJ417" s="81">
        <f t="shared" si="2509"/>
        <v>0</v>
      </c>
      <c r="AK417" s="83">
        <f t="shared" si="2510"/>
        <v>0</v>
      </c>
      <c r="AL417" s="83">
        <f t="shared" si="2511"/>
        <v>0</v>
      </c>
      <c r="AN417" s="43">
        <f t="shared" si="2484"/>
        <v>0</v>
      </c>
      <c r="AP417" t="str">
        <f t="shared" si="2512"/>
        <v/>
      </c>
      <c r="AQ417" t="str">
        <f t="shared" si="2513"/>
        <v/>
      </c>
      <c r="AR417" t="str">
        <f t="shared" si="2514"/>
        <v/>
      </c>
      <c r="AS417" t="str">
        <f t="shared" si="2515"/>
        <v/>
      </c>
      <c r="AT417" t="str">
        <f t="shared" si="2516"/>
        <v/>
      </c>
      <c r="AU417" t="str">
        <f t="shared" si="2517"/>
        <v/>
      </c>
      <c r="AV417" t="str">
        <f t="shared" si="2518"/>
        <v/>
      </c>
      <c r="AW417" t="str">
        <f t="shared" si="2519"/>
        <v xml:space="preserve">                              </v>
      </c>
      <c r="AX417" s="23">
        <f t="shared" si="2520"/>
        <v>0</v>
      </c>
      <c r="AY417" s="49" t="str">
        <f t="shared" si="2496"/>
        <v>000000000000000</v>
      </c>
      <c r="AZ417" s="23">
        <f t="shared" si="2521"/>
        <v>0</v>
      </c>
      <c r="BA417" s="49" t="str">
        <f t="shared" si="2496"/>
        <v>000000000000000</v>
      </c>
      <c r="BB417" s="23">
        <f t="shared" si="2522"/>
        <v>0</v>
      </c>
      <c r="BC417" s="49" t="str">
        <f t="shared" ref="BC417" si="2655">IF(BB417&lt;0,SUBSTITUTE(TEXT(BB417,"000000000000,00"),",",""),SUBSTITUTE(TEXT(BB417,"0000000000000,00"),",",""))</f>
        <v>000000000000000</v>
      </c>
      <c r="BD417" s="23">
        <f t="shared" si="2524"/>
        <v>0</v>
      </c>
      <c r="BE417" s="49" t="str">
        <f t="shared" ref="BE417" si="2656">IF(BD417&lt;0,SUBSTITUTE(TEXT(BD417,"000000000000,00"),",",""),SUBSTITUTE(TEXT(BD417,"0000000000000,00"),",",""))</f>
        <v>000000000000000</v>
      </c>
      <c r="BF417" s="23">
        <f t="shared" si="2526"/>
        <v>0</v>
      </c>
      <c r="BG417" s="49" t="str">
        <f t="shared" ref="BG417" si="2657">IF(BF417&lt;0,SUBSTITUTE(TEXT(BF417,"000000000000,00"),",",""),SUBSTITUTE(TEXT(BF417,"0000000000000,00"),",",""))</f>
        <v>000000000000000</v>
      </c>
      <c r="BH417" s="23">
        <f t="shared" si="2528"/>
        <v>0</v>
      </c>
      <c r="BI417" s="49" t="str">
        <f t="shared" ref="BI417" si="2658">IF(BH417&lt;0,SUBSTITUTE(TEXT(BH417,"000000000000,00"),",",""),SUBSTITUTE(TEXT(BH417,"0000000000000,00"),",",""))</f>
        <v>000000000000000</v>
      </c>
      <c r="BJ417" s="23">
        <f t="shared" si="2530"/>
        <v>0</v>
      </c>
      <c r="BK417" s="49" t="str">
        <f t="shared" ref="BK417" si="2659">IF(BJ417&lt;0,SUBSTITUTE(TEXT(BJ417,"000000000000,00"),",",""),SUBSTITUTE(TEXT(BJ417,"0000000000000,00"),",",""))</f>
        <v>000000000000000</v>
      </c>
      <c r="BL417" s="23">
        <f t="shared" si="2532"/>
        <v>0</v>
      </c>
      <c r="BM417" s="49" t="str">
        <f t="shared" ref="BM417" si="2660">IF(BL417&lt;0,SUBSTITUTE(TEXT(BL417,"000000000000,00"),",",""),SUBSTITUTE(TEXT(BL417,"0000000000000,00"),",",""))</f>
        <v>000000000000000</v>
      </c>
      <c r="BN417" t="str">
        <f t="shared" si="2534"/>
        <v>PES</v>
      </c>
      <c r="BO417" t="str">
        <f t="shared" si="2535"/>
        <v>0001000000</v>
      </c>
      <c r="BP417">
        <f t="shared" si="2536"/>
        <v>0</v>
      </c>
      <c r="BQ417">
        <f t="shared" si="2537"/>
        <v>0</v>
      </c>
      <c r="BR417" s="23">
        <f t="shared" si="2538"/>
        <v>0</v>
      </c>
      <c r="BS417" s="49" t="str">
        <f t="shared" si="2503"/>
        <v>000000000000000</v>
      </c>
      <c r="BT417" t="str">
        <f t="shared" si="2539"/>
        <v>00000000</v>
      </c>
      <c r="BU417" s="23">
        <f t="shared" si="2540"/>
        <v>0</v>
      </c>
      <c r="BV417" s="49" t="str">
        <f t="shared" si="2504"/>
        <v/>
      </c>
      <c r="BW417" s="52" t="str">
        <f t="shared" si="2541"/>
        <v/>
      </c>
      <c r="BX417" s="23">
        <f t="shared" si="2542"/>
        <v>0</v>
      </c>
      <c r="BY417" s="49" t="str">
        <f t="shared" si="2505"/>
        <v/>
      </c>
      <c r="BZ417" s="23">
        <f t="shared" si="2543"/>
        <v>0</v>
      </c>
      <c r="CA417" s="49" t="str">
        <f t="shared" si="2506"/>
        <v/>
      </c>
      <c r="CB417" s="52" t="str">
        <f t="shared" si="2544"/>
        <v/>
      </c>
      <c r="CC417" s="23">
        <f t="shared" si="2545"/>
        <v>0</v>
      </c>
      <c r="CD417" s="49" t="str">
        <f t="shared" si="2507"/>
        <v/>
      </c>
      <c r="CE417" s="56" t="str">
        <f>IF(CF417="","",MAX(CE$10:$CE416)+1)</f>
        <v/>
      </c>
      <c r="CF417" t="str">
        <f t="shared" si="2546"/>
        <v/>
      </c>
      <c r="CG417" s="22" t="str">
        <f>IF(CH417="","",MAX($CG$10:CG416)+1)</f>
        <v/>
      </c>
      <c r="CH417" s="22" t="str">
        <f t="shared" si="2491"/>
        <v/>
      </c>
      <c r="CI417" s="22" t="str">
        <f>IF(CJ417="","",MAX($CI$10:CI416)+1)</f>
        <v/>
      </c>
      <c r="CJ417" s="22" t="str">
        <f t="shared" si="2492"/>
        <v/>
      </c>
    </row>
    <row r="418" spans="2:88" x14ac:dyDescent="0.25">
      <c r="B418" s="37"/>
      <c r="C418" s="3"/>
      <c r="D418" s="77" t="str">
        <f t="shared" si="2478"/>
        <v/>
      </c>
      <c r="E418" s="38"/>
      <c r="F418" s="38"/>
      <c r="G418" s="78">
        <f t="shared" si="2493"/>
        <v>0</v>
      </c>
      <c r="H418" s="3">
        <v>80</v>
      </c>
      <c r="I418" s="77" t="str">
        <f t="shared" si="2479"/>
        <v/>
      </c>
      <c r="J418" s="32"/>
      <c r="K418" s="3"/>
      <c r="L418" s="39"/>
      <c r="M418" s="39"/>
      <c r="N418" s="39"/>
      <c r="O418" s="39"/>
      <c r="P418" s="39"/>
      <c r="Q418" s="39"/>
      <c r="R418" s="39"/>
      <c r="S418" s="39"/>
      <c r="T418" s="3" t="s">
        <v>645</v>
      </c>
      <c r="U418" s="77" t="str">
        <f t="shared" si="2480"/>
        <v/>
      </c>
      <c r="V418" s="39">
        <v>1</v>
      </c>
      <c r="W418" s="79">
        <f t="shared" si="2494"/>
        <v>0</v>
      </c>
      <c r="X418" s="3">
        <v>0</v>
      </c>
      <c r="Y418" s="77" t="str">
        <f t="shared" si="2481"/>
        <v/>
      </c>
      <c r="Z418" s="3"/>
      <c r="AA418" s="37" t="str">
        <f t="shared" si="2495"/>
        <v/>
      </c>
      <c r="AC418" s="40"/>
      <c r="AD418" s="7"/>
      <c r="AE418" s="77" t="str">
        <f t="shared" si="2482"/>
        <v/>
      </c>
      <c r="AF418" s="81">
        <f t="shared" si="2508"/>
        <v>0</v>
      </c>
      <c r="AG418" s="40"/>
      <c r="AH418" s="7"/>
      <c r="AI418" s="77" t="str">
        <f t="shared" si="2483"/>
        <v/>
      </c>
      <c r="AJ418" s="81">
        <f t="shared" si="2509"/>
        <v>0</v>
      </c>
      <c r="AK418" s="83">
        <f t="shared" si="2510"/>
        <v>0</v>
      </c>
      <c r="AL418" s="83">
        <f t="shared" si="2511"/>
        <v>0</v>
      </c>
      <c r="AN418" s="43">
        <f t="shared" si="2484"/>
        <v>0</v>
      </c>
      <c r="AP418" t="str">
        <f t="shared" si="2512"/>
        <v/>
      </c>
      <c r="AQ418" t="str">
        <f t="shared" si="2513"/>
        <v/>
      </c>
      <c r="AR418" t="str">
        <f t="shared" si="2514"/>
        <v/>
      </c>
      <c r="AS418" t="str">
        <f t="shared" si="2515"/>
        <v/>
      </c>
      <c r="AT418" t="str">
        <f t="shared" si="2516"/>
        <v/>
      </c>
      <c r="AU418" t="str">
        <f t="shared" si="2517"/>
        <v/>
      </c>
      <c r="AV418" t="str">
        <f t="shared" si="2518"/>
        <v/>
      </c>
      <c r="AW418" t="str">
        <f t="shared" si="2519"/>
        <v xml:space="preserve">                              </v>
      </c>
      <c r="AX418" s="23">
        <f t="shared" si="2520"/>
        <v>0</v>
      </c>
      <c r="AY418" s="49" t="str">
        <f t="shared" si="2496"/>
        <v>000000000000000</v>
      </c>
      <c r="AZ418" s="23">
        <f t="shared" si="2521"/>
        <v>0</v>
      </c>
      <c r="BA418" s="49" t="str">
        <f t="shared" si="2496"/>
        <v>000000000000000</v>
      </c>
      <c r="BB418" s="23">
        <f t="shared" si="2522"/>
        <v>0</v>
      </c>
      <c r="BC418" s="49" t="str">
        <f t="shared" ref="BC418" si="2661">IF(BB418&lt;0,SUBSTITUTE(TEXT(BB418,"000000000000,00"),",",""),SUBSTITUTE(TEXT(BB418,"0000000000000,00"),",",""))</f>
        <v>000000000000000</v>
      </c>
      <c r="BD418" s="23">
        <f t="shared" si="2524"/>
        <v>0</v>
      </c>
      <c r="BE418" s="49" t="str">
        <f t="shared" ref="BE418" si="2662">IF(BD418&lt;0,SUBSTITUTE(TEXT(BD418,"000000000000,00"),",",""),SUBSTITUTE(TEXT(BD418,"0000000000000,00"),",",""))</f>
        <v>000000000000000</v>
      </c>
      <c r="BF418" s="23">
        <f t="shared" si="2526"/>
        <v>0</v>
      </c>
      <c r="BG418" s="49" t="str">
        <f t="shared" ref="BG418" si="2663">IF(BF418&lt;0,SUBSTITUTE(TEXT(BF418,"000000000000,00"),",",""),SUBSTITUTE(TEXT(BF418,"0000000000000,00"),",",""))</f>
        <v>000000000000000</v>
      </c>
      <c r="BH418" s="23">
        <f t="shared" si="2528"/>
        <v>0</v>
      </c>
      <c r="BI418" s="49" t="str">
        <f t="shared" ref="BI418" si="2664">IF(BH418&lt;0,SUBSTITUTE(TEXT(BH418,"000000000000,00"),",",""),SUBSTITUTE(TEXT(BH418,"0000000000000,00"),",",""))</f>
        <v>000000000000000</v>
      </c>
      <c r="BJ418" s="23">
        <f t="shared" si="2530"/>
        <v>0</v>
      </c>
      <c r="BK418" s="49" t="str">
        <f t="shared" ref="BK418" si="2665">IF(BJ418&lt;0,SUBSTITUTE(TEXT(BJ418,"000000000000,00"),",",""),SUBSTITUTE(TEXT(BJ418,"0000000000000,00"),",",""))</f>
        <v>000000000000000</v>
      </c>
      <c r="BL418" s="23">
        <f t="shared" si="2532"/>
        <v>0</v>
      </c>
      <c r="BM418" s="49" t="str">
        <f t="shared" ref="BM418" si="2666">IF(BL418&lt;0,SUBSTITUTE(TEXT(BL418,"000000000000,00"),",",""),SUBSTITUTE(TEXT(BL418,"0000000000000,00"),",",""))</f>
        <v>000000000000000</v>
      </c>
      <c r="BN418" t="str">
        <f t="shared" si="2534"/>
        <v>PES</v>
      </c>
      <c r="BO418" t="str">
        <f t="shared" si="2535"/>
        <v>0001000000</v>
      </c>
      <c r="BP418">
        <f t="shared" si="2536"/>
        <v>0</v>
      </c>
      <c r="BQ418">
        <f t="shared" si="2537"/>
        <v>0</v>
      </c>
      <c r="BR418" s="23">
        <f t="shared" si="2538"/>
        <v>0</v>
      </c>
      <c r="BS418" s="49" t="str">
        <f t="shared" si="2503"/>
        <v>000000000000000</v>
      </c>
      <c r="BT418" t="str">
        <f t="shared" si="2539"/>
        <v>00000000</v>
      </c>
      <c r="BU418" s="23">
        <f t="shared" si="2540"/>
        <v>0</v>
      </c>
      <c r="BV418" s="49" t="str">
        <f t="shared" si="2504"/>
        <v/>
      </c>
      <c r="BW418" s="52" t="str">
        <f t="shared" si="2541"/>
        <v/>
      </c>
      <c r="BX418" s="23">
        <f t="shared" si="2542"/>
        <v>0</v>
      </c>
      <c r="BY418" s="49" t="str">
        <f t="shared" si="2505"/>
        <v/>
      </c>
      <c r="BZ418" s="23">
        <f t="shared" si="2543"/>
        <v>0</v>
      </c>
      <c r="CA418" s="49" t="str">
        <f t="shared" si="2506"/>
        <v/>
      </c>
      <c r="CB418" s="52" t="str">
        <f t="shared" si="2544"/>
        <v/>
      </c>
      <c r="CC418" s="23">
        <f t="shared" si="2545"/>
        <v>0</v>
      </c>
      <c r="CD418" s="49" t="str">
        <f t="shared" si="2507"/>
        <v/>
      </c>
      <c r="CE418" s="56" t="str">
        <f>IF(CF418="","",MAX(CE$10:$CE417)+1)</f>
        <v/>
      </c>
      <c r="CF418" t="str">
        <f t="shared" si="2546"/>
        <v/>
      </c>
      <c r="CG418" s="22" t="str">
        <f>IF(CH418="","",MAX($CG$10:CG417)+1)</f>
        <v/>
      </c>
      <c r="CH418" s="22" t="str">
        <f t="shared" si="2491"/>
        <v/>
      </c>
      <c r="CI418" s="22" t="str">
        <f>IF(CJ418="","",MAX($CI$10:CI417)+1)</f>
        <v/>
      </c>
      <c r="CJ418" s="22" t="str">
        <f t="shared" si="2492"/>
        <v/>
      </c>
    </row>
    <row r="419" spans="2:88" x14ac:dyDescent="0.25">
      <c r="B419" s="37"/>
      <c r="C419" s="3"/>
      <c r="D419" s="77" t="str">
        <f t="shared" si="2478"/>
        <v/>
      </c>
      <c r="E419" s="38"/>
      <c r="F419" s="38"/>
      <c r="G419" s="78">
        <f t="shared" si="2493"/>
        <v>0</v>
      </c>
      <c r="H419" s="3">
        <v>80</v>
      </c>
      <c r="I419" s="77" t="str">
        <f t="shared" si="2479"/>
        <v/>
      </c>
      <c r="J419" s="32"/>
      <c r="K419" s="3"/>
      <c r="L419" s="39"/>
      <c r="M419" s="39"/>
      <c r="N419" s="39"/>
      <c r="O419" s="39"/>
      <c r="P419" s="39"/>
      <c r="Q419" s="39"/>
      <c r="R419" s="39"/>
      <c r="S419" s="39"/>
      <c r="T419" s="3" t="s">
        <v>645</v>
      </c>
      <c r="U419" s="77" t="str">
        <f t="shared" si="2480"/>
        <v/>
      </c>
      <c r="V419" s="39">
        <v>1</v>
      </c>
      <c r="W419" s="79">
        <f t="shared" si="2494"/>
        <v>0</v>
      </c>
      <c r="X419" s="3">
        <v>0</v>
      </c>
      <c r="Y419" s="77" t="str">
        <f t="shared" si="2481"/>
        <v/>
      </c>
      <c r="Z419" s="3"/>
      <c r="AA419" s="37" t="str">
        <f t="shared" si="2495"/>
        <v/>
      </c>
      <c r="AC419" s="40"/>
      <c r="AD419" s="7"/>
      <c r="AE419" s="77" t="str">
        <f t="shared" si="2482"/>
        <v/>
      </c>
      <c r="AF419" s="81">
        <f t="shared" si="2508"/>
        <v>0</v>
      </c>
      <c r="AG419" s="40"/>
      <c r="AH419" s="7"/>
      <c r="AI419" s="77" t="str">
        <f t="shared" si="2483"/>
        <v/>
      </c>
      <c r="AJ419" s="81">
        <f t="shared" si="2509"/>
        <v>0</v>
      </c>
      <c r="AK419" s="83">
        <f t="shared" si="2510"/>
        <v>0</v>
      </c>
      <c r="AL419" s="83">
        <f t="shared" si="2511"/>
        <v>0</v>
      </c>
      <c r="AN419" s="43">
        <f t="shared" si="2484"/>
        <v>0</v>
      </c>
      <c r="AP419" t="str">
        <f t="shared" si="2512"/>
        <v/>
      </c>
      <c r="AQ419" t="str">
        <f t="shared" si="2513"/>
        <v/>
      </c>
      <c r="AR419" t="str">
        <f t="shared" si="2514"/>
        <v/>
      </c>
      <c r="AS419" t="str">
        <f t="shared" si="2515"/>
        <v/>
      </c>
      <c r="AT419" t="str">
        <f t="shared" si="2516"/>
        <v/>
      </c>
      <c r="AU419" t="str">
        <f t="shared" si="2517"/>
        <v/>
      </c>
      <c r="AV419" t="str">
        <f t="shared" si="2518"/>
        <v/>
      </c>
      <c r="AW419" t="str">
        <f t="shared" si="2519"/>
        <v xml:space="preserve">                              </v>
      </c>
      <c r="AX419" s="23">
        <f t="shared" si="2520"/>
        <v>0</v>
      </c>
      <c r="AY419" s="49" t="str">
        <f t="shared" si="2496"/>
        <v>000000000000000</v>
      </c>
      <c r="AZ419" s="23">
        <f t="shared" si="2521"/>
        <v>0</v>
      </c>
      <c r="BA419" s="49" t="str">
        <f t="shared" si="2496"/>
        <v>000000000000000</v>
      </c>
      <c r="BB419" s="23">
        <f t="shared" si="2522"/>
        <v>0</v>
      </c>
      <c r="BC419" s="49" t="str">
        <f t="shared" ref="BC419" si="2667">IF(BB419&lt;0,SUBSTITUTE(TEXT(BB419,"000000000000,00"),",",""),SUBSTITUTE(TEXT(BB419,"0000000000000,00"),",",""))</f>
        <v>000000000000000</v>
      </c>
      <c r="BD419" s="23">
        <f t="shared" si="2524"/>
        <v>0</v>
      </c>
      <c r="BE419" s="49" t="str">
        <f t="shared" ref="BE419" si="2668">IF(BD419&lt;0,SUBSTITUTE(TEXT(BD419,"000000000000,00"),",",""),SUBSTITUTE(TEXT(BD419,"0000000000000,00"),",",""))</f>
        <v>000000000000000</v>
      </c>
      <c r="BF419" s="23">
        <f t="shared" si="2526"/>
        <v>0</v>
      </c>
      <c r="BG419" s="49" t="str">
        <f t="shared" ref="BG419" si="2669">IF(BF419&lt;0,SUBSTITUTE(TEXT(BF419,"000000000000,00"),",",""),SUBSTITUTE(TEXT(BF419,"0000000000000,00"),",",""))</f>
        <v>000000000000000</v>
      </c>
      <c r="BH419" s="23">
        <f t="shared" si="2528"/>
        <v>0</v>
      </c>
      <c r="BI419" s="49" t="str">
        <f t="shared" ref="BI419" si="2670">IF(BH419&lt;0,SUBSTITUTE(TEXT(BH419,"000000000000,00"),",",""),SUBSTITUTE(TEXT(BH419,"0000000000000,00"),",",""))</f>
        <v>000000000000000</v>
      </c>
      <c r="BJ419" s="23">
        <f t="shared" si="2530"/>
        <v>0</v>
      </c>
      <c r="BK419" s="49" t="str">
        <f t="shared" ref="BK419" si="2671">IF(BJ419&lt;0,SUBSTITUTE(TEXT(BJ419,"000000000000,00"),",",""),SUBSTITUTE(TEXT(BJ419,"0000000000000,00"),",",""))</f>
        <v>000000000000000</v>
      </c>
      <c r="BL419" s="23">
        <f t="shared" si="2532"/>
        <v>0</v>
      </c>
      <c r="BM419" s="49" t="str">
        <f t="shared" ref="BM419" si="2672">IF(BL419&lt;0,SUBSTITUTE(TEXT(BL419,"000000000000,00"),",",""),SUBSTITUTE(TEXT(BL419,"0000000000000,00"),",",""))</f>
        <v>000000000000000</v>
      </c>
      <c r="BN419" t="str">
        <f t="shared" si="2534"/>
        <v>PES</v>
      </c>
      <c r="BO419" t="str">
        <f t="shared" si="2535"/>
        <v>0001000000</v>
      </c>
      <c r="BP419">
        <f t="shared" si="2536"/>
        <v>0</v>
      </c>
      <c r="BQ419">
        <f t="shared" si="2537"/>
        <v>0</v>
      </c>
      <c r="BR419" s="23">
        <f t="shared" si="2538"/>
        <v>0</v>
      </c>
      <c r="BS419" s="49" t="str">
        <f t="shared" si="2503"/>
        <v>000000000000000</v>
      </c>
      <c r="BT419" t="str">
        <f t="shared" si="2539"/>
        <v>00000000</v>
      </c>
      <c r="BU419" s="23">
        <f t="shared" si="2540"/>
        <v>0</v>
      </c>
      <c r="BV419" s="49" t="str">
        <f t="shared" si="2504"/>
        <v/>
      </c>
      <c r="BW419" s="52" t="str">
        <f t="shared" si="2541"/>
        <v/>
      </c>
      <c r="BX419" s="23">
        <f t="shared" si="2542"/>
        <v>0</v>
      </c>
      <c r="BY419" s="49" t="str">
        <f t="shared" si="2505"/>
        <v/>
      </c>
      <c r="BZ419" s="23">
        <f t="shared" si="2543"/>
        <v>0</v>
      </c>
      <c r="CA419" s="49" t="str">
        <f t="shared" si="2506"/>
        <v/>
      </c>
      <c r="CB419" s="52" t="str">
        <f t="shared" si="2544"/>
        <v/>
      </c>
      <c r="CC419" s="23">
        <f t="shared" si="2545"/>
        <v>0</v>
      </c>
      <c r="CD419" s="49" t="str">
        <f t="shared" si="2507"/>
        <v/>
      </c>
      <c r="CE419" s="56" t="str">
        <f>IF(CF419="","",MAX(CE$10:$CE418)+1)</f>
        <v/>
      </c>
      <c r="CF419" t="str">
        <f t="shared" si="2546"/>
        <v/>
      </c>
      <c r="CG419" s="22" t="str">
        <f>IF(CH419="","",MAX($CG$10:CG418)+1)</f>
        <v/>
      </c>
      <c r="CH419" s="22" t="str">
        <f t="shared" si="2491"/>
        <v/>
      </c>
      <c r="CI419" s="22" t="str">
        <f>IF(CJ419="","",MAX($CI$10:CI418)+1)</f>
        <v/>
      </c>
      <c r="CJ419" s="22" t="str">
        <f t="shared" si="2492"/>
        <v/>
      </c>
    </row>
    <row r="420" spans="2:88" x14ac:dyDescent="0.25">
      <c r="B420" s="37"/>
      <c r="C420" s="3"/>
      <c r="D420" s="77" t="str">
        <f t="shared" si="2478"/>
        <v/>
      </c>
      <c r="E420" s="38"/>
      <c r="F420" s="38"/>
      <c r="G420" s="78">
        <f t="shared" si="2493"/>
        <v>0</v>
      </c>
      <c r="H420" s="3">
        <v>80</v>
      </c>
      <c r="I420" s="77" t="str">
        <f t="shared" si="2479"/>
        <v/>
      </c>
      <c r="J420" s="32"/>
      <c r="K420" s="3"/>
      <c r="L420" s="39"/>
      <c r="M420" s="39"/>
      <c r="N420" s="39"/>
      <c r="O420" s="39"/>
      <c r="P420" s="39"/>
      <c r="Q420" s="39"/>
      <c r="R420" s="39"/>
      <c r="S420" s="39"/>
      <c r="T420" s="3" t="s">
        <v>645</v>
      </c>
      <c r="U420" s="77" t="str">
        <f t="shared" si="2480"/>
        <v/>
      </c>
      <c r="V420" s="39">
        <v>1</v>
      </c>
      <c r="W420" s="79">
        <f t="shared" si="2494"/>
        <v>0</v>
      </c>
      <c r="X420" s="3">
        <v>0</v>
      </c>
      <c r="Y420" s="77" t="str">
        <f t="shared" si="2481"/>
        <v/>
      </c>
      <c r="Z420" s="3"/>
      <c r="AA420" s="37" t="str">
        <f t="shared" si="2495"/>
        <v/>
      </c>
      <c r="AC420" s="40"/>
      <c r="AD420" s="7"/>
      <c r="AE420" s="77" t="str">
        <f t="shared" si="2482"/>
        <v/>
      </c>
      <c r="AF420" s="81">
        <f t="shared" si="2508"/>
        <v>0</v>
      </c>
      <c r="AG420" s="40"/>
      <c r="AH420" s="7"/>
      <c r="AI420" s="77" t="str">
        <f t="shared" si="2483"/>
        <v/>
      </c>
      <c r="AJ420" s="81">
        <f t="shared" si="2509"/>
        <v>0</v>
      </c>
      <c r="AK420" s="83">
        <f t="shared" si="2510"/>
        <v>0</v>
      </c>
      <c r="AL420" s="83">
        <f t="shared" si="2511"/>
        <v>0</v>
      </c>
      <c r="AN420" s="43">
        <f t="shared" si="2484"/>
        <v>0</v>
      </c>
      <c r="AP420" t="str">
        <f t="shared" si="2512"/>
        <v/>
      </c>
      <c r="AQ420" t="str">
        <f t="shared" si="2513"/>
        <v/>
      </c>
      <c r="AR420" t="str">
        <f t="shared" si="2514"/>
        <v/>
      </c>
      <c r="AS420" t="str">
        <f t="shared" si="2515"/>
        <v/>
      </c>
      <c r="AT420" t="str">
        <f t="shared" si="2516"/>
        <v/>
      </c>
      <c r="AU420" t="str">
        <f t="shared" si="2517"/>
        <v/>
      </c>
      <c r="AV420" t="str">
        <f t="shared" si="2518"/>
        <v/>
      </c>
      <c r="AW420" t="str">
        <f t="shared" si="2519"/>
        <v xml:space="preserve">                              </v>
      </c>
      <c r="AX420" s="23">
        <f t="shared" si="2520"/>
        <v>0</v>
      </c>
      <c r="AY420" s="49" t="str">
        <f t="shared" si="2496"/>
        <v>000000000000000</v>
      </c>
      <c r="AZ420" s="23">
        <f t="shared" si="2521"/>
        <v>0</v>
      </c>
      <c r="BA420" s="49" t="str">
        <f t="shared" si="2496"/>
        <v>000000000000000</v>
      </c>
      <c r="BB420" s="23">
        <f t="shared" si="2522"/>
        <v>0</v>
      </c>
      <c r="BC420" s="49" t="str">
        <f t="shared" ref="BC420" si="2673">IF(BB420&lt;0,SUBSTITUTE(TEXT(BB420,"000000000000,00"),",",""),SUBSTITUTE(TEXT(BB420,"0000000000000,00"),",",""))</f>
        <v>000000000000000</v>
      </c>
      <c r="BD420" s="23">
        <f t="shared" si="2524"/>
        <v>0</v>
      </c>
      <c r="BE420" s="49" t="str">
        <f t="shared" ref="BE420" si="2674">IF(BD420&lt;0,SUBSTITUTE(TEXT(BD420,"000000000000,00"),",",""),SUBSTITUTE(TEXT(BD420,"0000000000000,00"),",",""))</f>
        <v>000000000000000</v>
      </c>
      <c r="BF420" s="23">
        <f t="shared" si="2526"/>
        <v>0</v>
      </c>
      <c r="BG420" s="49" t="str">
        <f t="shared" ref="BG420" si="2675">IF(BF420&lt;0,SUBSTITUTE(TEXT(BF420,"000000000000,00"),",",""),SUBSTITUTE(TEXT(BF420,"0000000000000,00"),",",""))</f>
        <v>000000000000000</v>
      </c>
      <c r="BH420" s="23">
        <f t="shared" si="2528"/>
        <v>0</v>
      </c>
      <c r="BI420" s="49" t="str">
        <f t="shared" ref="BI420" si="2676">IF(BH420&lt;0,SUBSTITUTE(TEXT(BH420,"000000000000,00"),",",""),SUBSTITUTE(TEXT(BH420,"0000000000000,00"),",",""))</f>
        <v>000000000000000</v>
      </c>
      <c r="BJ420" s="23">
        <f t="shared" si="2530"/>
        <v>0</v>
      </c>
      <c r="BK420" s="49" t="str">
        <f t="shared" ref="BK420" si="2677">IF(BJ420&lt;0,SUBSTITUTE(TEXT(BJ420,"000000000000,00"),",",""),SUBSTITUTE(TEXT(BJ420,"0000000000000,00"),",",""))</f>
        <v>000000000000000</v>
      </c>
      <c r="BL420" s="23">
        <f t="shared" si="2532"/>
        <v>0</v>
      </c>
      <c r="BM420" s="49" t="str">
        <f t="shared" ref="BM420" si="2678">IF(BL420&lt;0,SUBSTITUTE(TEXT(BL420,"000000000000,00"),",",""),SUBSTITUTE(TEXT(BL420,"0000000000000,00"),",",""))</f>
        <v>000000000000000</v>
      </c>
      <c r="BN420" t="str">
        <f t="shared" si="2534"/>
        <v>PES</v>
      </c>
      <c r="BO420" t="str">
        <f t="shared" si="2535"/>
        <v>0001000000</v>
      </c>
      <c r="BP420">
        <f t="shared" si="2536"/>
        <v>0</v>
      </c>
      <c r="BQ420">
        <f t="shared" si="2537"/>
        <v>0</v>
      </c>
      <c r="BR420" s="23">
        <f t="shared" si="2538"/>
        <v>0</v>
      </c>
      <c r="BS420" s="49" t="str">
        <f t="shared" si="2503"/>
        <v>000000000000000</v>
      </c>
      <c r="BT420" t="str">
        <f t="shared" si="2539"/>
        <v>00000000</v>
      </c>
      <c r="BU420" s="23">
        <f t="shared" si="2540"/>
        <v>0</v>
      </c>
      <c r="BV420" s="49" t="str">
        <f t="shared" si="2504"/>
        <v/>
      </c>
      <c r="BW420" s="52" t="str">
        <f t="shared" si="2541"/>
        <v/>
      </c>
      <c r="BX420" s="23">
        <f t="shared" si="2542"/>
        <v>0</v>
      </c>
      <c r="BY420" s="49" t="str">
        <f t="shared" si="2505"/>
        <v/>
      </c>
      <c r="BZ420" s="23">
        <f t="shared" si="2543"/>
        <v>0</v>
      </c>
      <c r="CA420" s="49" t="str">
        <f t="shared" si="2506"/>
        <v/>
      </c>
      <c r="CB420" s="52" t="str">
        <f t="shared" si="2544"/>
        <v/>
      </c>
      <c r="CC420" s="23">
        <f t="shared" si="2545"/>
        <v>0</v>
      </c>
      <c r="CD420" s="49" t="str">
        <f t="shared" si="2507"/>
        <v/>
      </c>
      <c r="CE420" s="56" t="str">
        <f>IF(CF420="","",MAX(CE$10:$CE419)+1)</f>
        <v/>
      </c>
      <c r="CF420" t="str">
        <f t="shared" si="2546"/>
        <v/>
      </c>
      <c r="CG420" s="22" t="str">
        <f>IF(CH420="","",MAX($CG$10:CG419)+1)</f>
        <v/>
      </c>
      <c r="CH420" s="22" t="str">
        <f t="shared" si="2491"/>
        <v/>
      </c>
      <c r="CI420" s="22" t="str">
        <f>IF(CJ420="","",MAX($CI$10:CI419)+1)</f>
        <v/>
      </c>
      <c r="CJ420" s="22" t="str">
        <f t="shared" si="2492"/>
        <v/>
      </c>
    </row>
    <row r="421" spans="2:88" x14ac:dyDescent="0.25">
      <c r="B421" s="37"/>
      <c r="C421" s="3"/>
      <c r="D421" s="77" t="str">
        <f t="shared" si="2478"/>
        <v/>
      </c>
      <c r="E421" s="38"/>
      <c r="F421" s="38"/>
      <c r="G421" s="78">
        <f t="shared" si="2493"/>
        <v>0</v>
      </c>
      <c r="H421" s="3">
        <v>80</v>
      </c>
      <c r="I421" s="77" t="str">
        <f t="shared" si="2479"/>
        <v/>
      </c>
      <c r="J421" s="32"/>
      <c r="K421" s="3"/>
      <c r="L421" s="39"/>
      <c r="M421" s="39"/>
      <c r="N421" s="39"/>
      <c r="O421" s="39"/>
      <c r="P421" s="39"/>
      <c r="Q421" s="39"/>
      <c r="R421" s="39"/>
      <c r="S421" s="39"/>
      <c r="T421" s="3" t="s">
        <v>645</v>
      </c>
      <c r="U421" s="77" t="str">
        <f t="shared" si="2480"/>
        <v/>
      </c>
      <c r="V421" s="39">
        <v>1</v>
      </c>
      <c r="W421" s="79">
        <f t="shared" si="2494"/>
        <v>0</v>
      </c>
      <c r="X421" s="3">
        <v>0</v>
      </c>
      <c r="Y421" s="77" t="str">
        <f t="shared" si="2481"/>
        <v/>
      </c>
      <c r="Z421" s="3"/>
      <c r="AA421" s="37" t="str">
        <f t="shared" si="2495"/>
        <v/>
      </c>
      <c r="AC421" s="40"/>
      <c r="AD421" s="7"/>
      <c r="AE421" s="77" t="str">
        <f t="shared" si="2482"/>
        <v/>
      </c>
      <c r="AF421" s="81">
        <f t="shared" si="2508"/>
        <v>0</v>
      </c>
      <c r="AG421" s="40"/>
      <c r="AH421" s="7"/>
      <c r="AI421" s="77" t="str">
        <f t="shared" si="2483"/>
        <v/>
      </c>
      <c r="AJ421" s="81">
        <f t="shared" si="2509"/>
        <v>0</v>
      </c>
      <c r="AK421" s="83">
        <f t="shared" si="2510"/>
        <v>0</v>
      </c>
      <c r="AL421" s="83">
        <f t="shared" si="2511"/>
        <v>0</v>
      </c>
      <c r="AN421" s="43">
        <f t="shared" si="2484"/>
        <v>0</v>
      </c>
      <c r="AP421" t="str">
        <f t="shared" si="2512"/>
        <v/>
      </c>
      <c r="AQ421" t="str">
        <f t="shared" si="2513"/>
        <v/>
      </c>
      <c r="AR421" t="str">
        <f t="shared" si="2514"/>
        <v/>
      </c>
      <c r="AS421" t="str">
        <f t="shared" si="2515"/>
        <v/>
      </c>
      <c r="AT421" t="str">
        <f t="shared" si="2516"/>
        <v/>
      </c>
      <c r="AU421" t="str">
        <f t="shared" si="2517"/>
        <v/>
      </c>
      <c r="AV421" t="str">
        <f t="shared" si="2518"/>
        <v/>
      </c>
      <c r="AW421" t="str">
        <f t="shared" si="2519"/>
        <v xml:space="preserve">                              </v>
      </c>
      <c r="AX421" s="23">
        <f t="shared" si="2520"/>
        <v>0</v>
      </c>
      <c r="AY421" s="49" t="str">
        <f t="shared" si="2496"/>
        <v>000000000000000</v>
      </c>
      <c r="AZ421" s="23">
        <f t="shared" si="2521"/>
        <v>0</v>
      </c>
      <c r="BA421" s="49" t="str">
        <f t="shared" si="2496"/>
        <v>000000000000000</v>
      </c>
      <c r="BB421" s="23">
        <f t="shared" si="2522"/>
        <v>0</v>
      </c>
      <c r="BC421" s="49" t="str">
        <f t="shared" ref="BC421" si="2679">IF(BB421&lt;0,SUBSTITUTE(TEXT(BB421,"000000000000,00"),",",""),SUBSTITUTE(TEXT(BB421,"0000000000000,00"),",",""))</f>
        <v>000000000000000</v>
      </c>
      <c r="BD421" s="23">
        <f t="shared" si="2524"/>
        <v>0</v>
      </c>
      <c r="BE421" s="49" t="str">
        <f t="shared" ref="BE421" si="2680">IF(BD421&lt;0,SUBSTITUTE(TEXT(BD421,"000000000000,00"),",",""),SUBSTITUTE(TEXT(BD421,"0000000000000,00"),",",""))</f>
        <v>000000000000000</v>
      </c>
      <c r="BF421" s="23">
        <f t="shared" si="2526"/>
        <v>0</v>
      </c>
      <c r="BG421" s="49" t="str">
        <f t="shared" ref="BG421" si="2681">IF(BF421&lt;0,SUBSTITUTE(TEXT(BF421,"000000000000,00"),",",""),SUBSTITUTE(TEXT(BF421,"0000000000000,00"),",",""))</f>
        <v>000000000000000</v>
      </c>
      <c r="BH421" s="23">
        <f t="shared" si="2528"/>
        <v>0</v>
      </c>
      <c r="BI421" s="49" t="str">
        <f t="shared" ref="BI421" si="2682">IF(BH421&lt;0,SUBSTITUTE(TEXT(BH421,"000000000000,00"),",",""),SUBSTITUTE(TEXT(BH421,"0000000000000,00"),",",""))</f>
        <v>000000000000000</v>
      </c>
      <c r="BJ421" s="23">
        <f t="shared" si="2530"/>
        <v>0</v>
      </c>
      <c r="BK421" s="49" t="str">
        <f t="shared" ref="BK421" si="2683">IF(BJ421&lt;0,SUBSTITUTE(TEXT(BJ421,"000000000000,00"),",",""),SUBSTITUTE(TEXT(BJ421,"0000000000000,00"),",",""))</f>
        <v>000000000000000</v>
      </c>
      <c r="BL421" s="23">
        <f t="shared" si="2532"/>
        <v>0</v>
      </c>
      <c r="BM421" s="49" t="str">
        <f t="shared" ref="BM421" si="2684">IF(BL421&lt;0,SUBSTITUTE(TEXT(BL421,"000000000000,00"),",",""),SUBSTITUTE(TEXT(BL421,"0000000000000,00"),",",""))</f>
        <v>000000000000000</v>
      </c>
      <c r="BN421" t="str">
        <f t="shared" si="2534"/>
        <v>PES</v>
      </c>
      <c r="BO421" t="str">
        <f t="shared" si="2535"/>
        <v>0001000000</v>
      </c>
      <c r="BP421">
        <f t="shared" si="2536"/>
        <v>0</v>
      </c>
      <c r="BQ421">
        <f t="shared" si="2537"/>
        <v>0</v>
      </c>
      <c r="BR421" s="23">
        <f t="shared" si="2538"/>
        <v>0</v>
      </c>
      <c r="BS421" s="49" t="str">
        <f t="shared" si="2503"/>
        <v>000000000000000</v>
      </c>
      <c r="BT421" t="str">
        <f t="shared" si="2539"/>
        <v>00000000</v>
      </c>
      <c r="BU421" s="23">
        <f t="shared" si="2540"/>
        <v>0</v>
      </c>
      <c r="BV421" s="49" t="str">
        <f t="shared" si="2504"/>
        <v/>
      </c>
      <c r="BW421" s="52" t="str">
        <f t="shared" si="2541"/>
        <v/>
      </c>
      <c r="BX421" s="23">
        <f t="shared" si="2542"/>
        <v>0</v>
      </c>
      <c r="BY421" s="49" t="str">
        <f t="shared" si="2505"/>
        <v/>
      </c>
      <c r="BZ421" s="23">
        <f t="shared" si="2543"/>
        <v>0</v>
      </c>
      <c r="CA421" s="49" t="str">
        <f t="shared" si="2506"/>
        <v/>
      </c>
      <c r="CB421" s="52" t="str">
        <f t="shared" si="2544"/>
        <v/>
      </c>
      <c r="CC421" s="23">
        <f t="shared" si="2545"/>
        <v>0</v>
      </c>
      <c r="CD421" s="49" t="str">
        <f t="shared" si="2507"/>
        <v/>
      </c>
      <c r="CE421" s="56" t="str">
        <f>IF(CF421="","",MAX(CE$10:$CE420)+1)</f>
        <v/>
      </c>
      <c r="CF421" t="str">
        <f t="shared" si="2546"/>
        <v/>
      </c>
      <c r="CG421" s="22" t="str">
        <f>IF(CH421="","",MAX($CG$10:CG420)+1)</f>
        <v/>
      </c>
      <c r="CH421" s="22" t="str">
        <f t="shared" si="2491"/>
        <v/>
      </c>
      <c r="CI421" s="22" t="str">
        <f>IF(CJ421="","",MAX($CI$10:CI420)+1)</f>
        <v/>
      </c>
      <c r="CJ421" s="22" t="str">
        <f t="shared" si="2492"/>
        <v/>
      </c>
    </row>
    <row r="422" spans="2:88" x14ac:dyDescent="0.25">
      <c r="B422" s="37"/>
      <c r="C422" s="3"/>
      <c r="D422" s="77" t="str">
        <f t="shared" si="2478"/>
        <v/>
      </c>
      <c r="E422" s="38"/>
      <c r="F422" s="38"/>
      <c r="G422" s="78">
        <f t="shared" si="2493"/>
        <v>0</v>
      </c>
      <c r="H422" s="3">
        <v>80</v>
      </c>
      <c r="I422" s="77" t="str">
        <f t="shared" si="2479"/>
        <v/>
      </c>
      <c r="J422" s="32"/>
      <c r="K422" s="3"/>
      <c r="L422" s="39"/>
      <c r="M422" s="39"/>
      <c r="N422" s="39"/>
      <c r="O422" s="39"/>
      <c r="P422" s="39"/>
      <c r="Q422" s="39"/>
      <c r="R422" s="39"/>
      <c r="S422" s="39"/>
      <c r="T422" s="3" t="s">
        <v>645</v>
      </c>
      <c r="U422" s="77" t="str">
        <f t="shared" si="2480"/>
        <v/>
      </c>
      <c r="V422" s="39">
        <v>1</v>
      </c>
      <c r="W422" s="79">
        <f t="shared" si="2494"/>
        <v>0</v>
      </c>
      <c r="X422" s="3">
        <v>0</v>
      </c>
      <c r="Y422" s="77" t="str">
        <f t="shared" si="2481"/>
        <v/>
      </c>
      <c r="Z422" s="3"/>
      <c r="AA422" s="37" t="str">
        <f t="shared" si="2495"/>
        <v/>
      </c>
      <c r="AC422" s="40"/>
      <c r="AD422" s="7"/>
      <c r="AE422" s="77" t="str">
        <f t="shared" si="2482"/>
        <v/>
      </c>
      <c r="AF422" s="81">
        <f t="shared" si="2508"/>
        <v>0</v>
      </c>
      <c r="AG422" s="40"/>
      <c r="AH422" s="7"/>
      <c r="AI422" s="77" t="str">
        <f t="shared" si="2483"/>
        <v/>
      </c>
      <c r="AJ422" s="81">
        <f t="shared" si="2509"/>
        <v>0</v>
      </c>
      <c r="AK422" s="83">
        <f t="shared" si="2510"/>
        <v>0</v>
      </c>
      <c r="AL422" s="83">
        <f t="shared" si="2511"/>
        <v>0</v>
      </c>
      <c r="AN422" s="43">
        <f t="shared" si="2484"/>
        <v>0</v>
      </c>
      <c r="AP422" t="str">
        <f t="shared" si="2512"/>
        <v/>
      </c>
      <c r="AQ422" t="str">
        <f t="shared" si="2513"/>
        <v/>
      </c>
      <c r="AR422" t="str">
        <f t="shared" si="2514"/>
        <v/>
      </c>
      <c r="AS422" t="str">
        <f t="shared" si="2515"/>
        <v/>
      </c>
      <c r="AT422" t="str">
        <f t="shared" si="2516"/>
        <v/>
      </c>
      <c r="AU422" t="str">
        <f t="shared" si="2517"/>
        <v/>
      </c>
      <c r="AV422" t="str">
        <f t="shared" si="2518"/>
        <v/>
      </c>
      <c r="AW422" t="str">
        <f t="shared" si="2519"/>
        <v xml:space="preserve">                              </v>
      </c>
      <c r="AX422" s="23">
        <f t="shared" si="2520"/>
        <v>0</v>
      </c>
      <c r="AY422" s="49" t="str">
        <f t="shared" si="2496"/>
        <v>000000000000000</v>
      </c>
      <c r="AZ422" s="23">
        <f t="shared" si="2521"/>
        <v>0</v>
      </c>
      <c r="BA422" s="49" t="str">
        <f t="shared" si="2496"/>
        <v>000000000000000</v>
      </c>
      <c r="BB422" s="23">
        <f t="shared" si="2522"/>
        <v>0</v>
      </c>
      <c r="BC422" s="49" t="str">
        <f t="shared" ref="BC422" si="2685">IF(BB422&lt;0,SUBSTITUTE(TEXT(BB422,"000000000000,00"),",",""),SUBSTITUTE(TEXT(BB422,"0000000000000,00"),",",""))</f>
        <v>000000000000000</v>
      </c>
      <c r="BD422" s="23">
        <f t="shared" si="2524"/>
        <v>0</v>
      </c>
      <c r="BE422" s="49" t="str">
        <f t="shared" ref="BE422" si="2686">IF(BD422&lt;0,SUBSTITUTE(TEXT(BD422,"000000000000,00"),",",""),SUBSTITUTE(TEXT(BD422,"0000000000000,00"),",",""))</f>
        <v>000000000000000</v>
      </c>
      <c r="BF422" s="23">
        <f t="shared" si="2526"/>
        <v>0</v>
      </c>
      <c r="BG422" s="49" t="str">
        <f t="shared" ref="BG422" si="2687">IF(BF422&lt;0,SUBSTITUTE(TEXT(BF422,"000000000000,00"),",",""),SUBSTITUTE(TEXT(BF422,"0000000000000,00"),",",""))</f>
        <v>000000000000000</v>
      </c>
      <c r="BH422" s="23">
        <f t="shared" si="2528"/>
        <v>0</v>
      </c>
      <c r="BI422" s="49" t="str">
        <f t="shared" ref="BI422" si="2688">IF(BH422&lt;0,SUBSTITUTE(TEXT(BH422,"000000000000,00"),",",""),SUBSTITUTE(TEXT(BH422,"0000000000000,00"),",",""))</f>
        <v>000000000000000</v>
      </c>
      <c r="BJ422" s="23">
        <f t="shared" si="2530"/>
        <v>0</v>
      </c>
      <c r="BK422" s="49" t="str">
        <f t="shared" ref="BK422" si="2689">IF(BJ422&lt;0,SUBSTITUTE(TEXT(BJ422,"000000000000,00"),",",""),SUBSTITUTE(TEXT(BJ422,"0000000000000,00"),",",""))</f>
        <v>000000000000000</v>
      </c>
      <c r="BL422" s="23">
        <f t="shared" si="2532"/>
        <v>0</v>
      </c>
      <c r="BM422" s="49" t="str">
        <f t="shared" ref="BM422" si="2690">IF(BL422&lt;0,SUBSTITUTE(TEXT(BL422,"000000000000,00"),",",""),SUBSTITUTE(TEXT(BL422,"0000000000000,00"),",",""))</f>
        <v>000000000000000</v>
      </c>
      <c r="BN422" t="str">
        <f t="shared" si="2534"/>
        <v>PES</v>
      </c>
      <c r="BO422" t="str">
        <f t="shared" si="2535"/>
        <v>0001000000</v>
      </c>
      <c r="BP422">
        <f t="shared" si="2536"/>
        <v>0</v>
      </c>
      <c r="BQ422">
        <f t="shared" si="2537"/>
        <v>0</v>
      </c>
      <c r="BR422" s="23">
        <f t="shared" si="2538"/>
        <v>0</v>
      </c>
      <c r="BS422" s="49" t="str">
        <f t="shared" si="2503"/>
        <v>000000000000000</v>
      </c>
      <c r="BT422" t="str">
        <f t="shared" si="2539"/>
        <v>00000000</v>
      </c>
      <c r="BU422" s="23">
        <f t="shared" si="2540"/>
        <v>0</v>
      </c>
      <c r="BV422" s="49" t="str">
        <f t="shared" si="2504"/>
        <v/>
      </c>
      <c r="BW422" s="52" t="str">
        <f t="shared" si="2541"/>
        <v/>
      </c>
      <c r="BX422" s="23">
        <f t="shared" si="2542"/>
        <v>0</v>
      </c>
      <c r="BY422" s="49" t="str">
        <f t="shared" si="2505"/>
        <v/>
      </c>
      <c r="BZ422" s="23">
        <f t="shared" si="2543"/>
        <v>0</v>
      </c>
      <c r="CA422" s="49" t="str">
        <f t="shared" si="2506"/>
        <v/>
      </c>
      <c r="CB422" s="52" t="str">
        <f t="shared" si="2544"/>
        <v/>
      </c>
      <c r="CC422" s="23">
        <f t="shared" si="2545"/>
        <v>0</v>
      </c>
      <c r="CD422" s="49" t="str">
        <f t="shared" si="2507"/>
        <v/>
      </c>
      <c r="CE422" s="56" t="str">
        <f>IF(CF422="","",MAX(CE$10:$CE421)+1)</f>
        <v/>
      </c>
      <c r="CF422" t="str">
        <f t="shared" si="2546"/>
        <v/>
      </c>
      <c r="CG422" s="22" t="str">
        <f>IF(CH422="","",MAX($CG$10:CG421)+1)</f>
        <v/>
      </c>
      <c r="CH422" s="22" t="str">
        <f t="shared" si="2491"/>
        <v/>
      </c>
      <c r="CI422" s="22" t="str">
        <f>IF(CJ422="","",MAX($CI$10:CI421)+1)</f>
        <v/>
      </c>
      <c r="CJ422" s="22" t="str">
        <f t="shared" si="2492"/>
        <v/>
      </c>
    </row>
    <row r="423" spans="2:88" x14ac:dyDescent="0.25">
      <c r="B423" s="37"/>
      <c r="C423" s="3"/>
      <c r="D423" s="77" t="str">
        <f t="shared" si="2478"/>
        <v/>
      </c>
      <c r="E423" s="38"/>
      <c r="F423" s="38"/>
      <c r="G423" s="78">
        <f t="shared" si="2493"/>
        <v>0</v>
      </c>
      <c r="H423" s="3">
        <v>80</v>
      </c>
      <c r="I423" s="77" t="str">
        <f t="shared" si="2479"/>
        <v/>
      </c>
      <c r="J423" s="32"/>
      <c r="K423" s="3"/>
      <c r="L423" s="39"/>
      <c r="M423" s="39"/>
      <c r="N423" s="39"/>
      <c r="O423" s="39"/>
      <c r="P423" s="39"/>
      <c r="Q423" s="39"/>
      <c r="R423" s="39"/>
      <c r="S423" s="39"/>
      <c r="T423" s="3" t="s">
        <v>645</v>
      </c>
      <c r="U423" s="77" t="str">
        <f t="shared" si="2480"/>
        <v/>
      </c>
      <c r="V423" s="39">
        <v>1</v>
      </c>
      <c r="W423" s="79">
        <f t="shared" si="2494"/>
        <v>0</v>
      </c>
      <c r="X423" s="3">
        <v>0</v>
      </c>
      <c r="Y423" s="77" t="str">
        <f t="shared" si="2481"/>
        <v/>
      </c>
      <c r="Z423" s="3"/>
      <c r="AA423" s="37" t="str">
        <f t="shared" si="2495"/>
        <v/>
      </c>
      <c r="AC423" s="40"/>
      <c r="AD423" s="7"/>
      <c r="AE423" s="77" t="str">
        <f t="shared" si="2482"/>
        <v/>
      </c>
      <c r="AF423" s="81">
        <f t="shared" si="2508"/>
        <v>0</v>
      </c>
      <c r="AG423" s="40"/>
      <c r="AH423" s="7"/>
      <c r="AI423" s="77" t="str">
        <f t="shared" si="2483"/>
        <v/>
      </c>
      <c r="AJ423" s="81">
        <f t="shared" si="2509"/>
        <v>0</v>
      </c>
      <c r="AK423" s="83">
        <f t="shared" si="2510"/>
        <v>0</v>
      </c>
      <c r="AL423" s="83">
        <f t="shared" si="2511"/>
        <v>0</v>
      </c>
      <c r="AN423" s="43">
        <f t="shared" si="2484"/>
        <v>0</v>
      </c>
      <c r="AP423" t="str">
        <f t="shared" si="2512"/>
        <v/>
      </c>
      <c r="AQ423" t="str">
        <f t="shared" si="2513"/>
        <v/>
      </c>
      <c r="AR423" t="str">
        <f t="shared" si="2514"/>
        <v/>
      </c>
      <c r="AS423" t="str">
        <f t="shared" si="2515"/>
        <v/>
      </c>
      <c r="AT423" t="str">
        <f t="shared" si="2516"/>
        <v/>
      </c>
      <c r="AU423" t="str">
        <f t="shared" si="2517"/>
        <v/>
      </c>
      <c r="AV423" t="str">
        <f t="shared" si="2518"/>
        <v/>
      </c>
      <c r="AW423" t="str">
        <f t="shared" si="2519"/>
        <v xml:space="preserve">                              </v>
      </c>
      <c r="AX423" s="23">
        <f t="shared" si="2520"/>
        <v>0</v>
      </c>
      <c r="AY423" s="49" t="str">
        <f t="shared" si="2496"/>
        <v>000000000000000</v>
      </c>
      <c r="AZ423" s="23">
        <f t="shared" si="2521"/>
        <v>0</v>
      </c>
      <c r="BA423" s="49" t="str">
        <f t="shared" si="2496"/>
        <v>000000000000000</v>
      </c>
      <c r="BB423" s="23">
        <f t="shared" si="2522"/>
        <v>0</v>
      </c>
      <c r="BC423" s="49" t="str">
        <f t="shared" ref="BC423" si="2691">IF(BB423&lt;0,SUBSTITUTE(TEXT(BB423,"000000000000,00"),",",""),SUBSTITUTE(TEXT(BB423,"0000000000000,00"),",",""))</f>
        <v>000000000000000</v>
      </c>
      <c r="BD423" s="23">
        <f t="shared" si="2524"/>
        <v>0</v>
      </c>
      <c r="BE423" s="49" t="str">
        <f t="shared" ref="BE423" si="2692">IF(BD423&lt;0,SUBSTITUTE(TEXT(BD423,"000000000000,00"),",",""),SUBSTITUTE(TEXT(BD423,"0000000000000,00"),",",""))</f>
        <v>000000000000000</v>
      </c>
      <c r="BF423" s="23">
        <f t="shared" si="2526"/>
        <v>0</v>
      </c>
      <c r="BG423" s="49" t="str">
        <f t="shared" ref="BG423" si="2693">IF(BF423&lt;0,SUBSTITUTE(TEXT(BF423,"000000000000,00"),",",""),SUBSTITUTE(TEXT(BF423,"0000000000000,00"),",",""))</f>
        <v>000000000000000</v>
      </c>
      <c r="BH423" s="23">
        <f t="shared" si="2528"/>
        <v>0</v>
      </c>
      <c r="BI423" s="49" t="str">
        <f t="shared" ref="BI423" si="2694">IF(BH423&lt;0,SUBSTITUTE(TEXT(BH423,"000000000000,00"),",",""),SUBSTITUTE(TEXT(BH423,"0000000000000,00"),",",""))</f>
        <v>000000000000000</v>
      </c>
      <c r="BJ423" s="23">
        <f t="shared" si="2530"/>
        <v>0</v>
      </c>
      <c r="BK423" s="49" t="str">
        <f t="shared" ref="BK423" si="2695">IF(BJ423&lt;0,SUBSTITUTE(TEXT(BJ423,"000000000000,00"),",",""),SUBSTITUTE(TEXT(BJ423,"0000000000000,00"),",",""))</f>
        <v>000000000000000</v>
      </c>
      <c r="BL423" s="23">
        <f t="shared" si="2532"/>
        <v>0</v>
      </c>
      <c r="BM423" s="49" t="str">
        <f t="shared" ref="BM423" si="2696">IF(BL423&lt;0,SUBSTITUTE(TEXT(BL423,"000000000000,00"),",",""),SUBSTITUTE(TEXT(BL423,"0000000000000,00"),",",""))</f>
        <v>000000000000000</v>
      </c>
      <c r="BN423" t="str">
        <f t="shared" si="2534"/>
        <v>PES</v>
      </c>
      <c r="BO423" t="str">
        <f t="shared" si="2535"/>
        <v>0001000000</v>
      </c>
      <c r="BP423">
        <f t="shared" si="2536"/>
        <v>0</v>
      </c>
      <c r="BQ423">
        <f t="shared" si="2537"/>
        <v>0</v>
      </c>
      <c r="BR423" s="23">
        <f t="shared" si="2538"/>
        <v>0</v>
      </c>
      <c r="BS423" s="49" t="str">
        <f t="shared" si="2503"/>
        <v>000000000000000</v>
      </c>
      <c r="BT423" t="str">
        <f t="shared" si="2539"/>
        <v>00000000</v>
      </c>
      <c r="BU423" s="23">
        <f t="shared" si="2540"/>
        <v>0</v>
      </c>
      <c r="BV423" s="49" t="str">
        <f t="shared" si="2504"/>
        <v/>
      </c>
      <c r="BW423" s="52" t="str">
        <f t="shared" si="2541"/>
        <v/>
      </c>
      <c r="BX423" s="23">
        <f t="shared" si="2542"/>
        <v>0</v>
      </c>
      <c r="BY423" s="49" t="str">
        <f t="shared" si="2505"/>
        <v/>
      </c>
      <c r="BZ423" s="23">
        <f t="shared" si="2543"/>
        <v>0</v>
      </c>
      <c r="CA423" s="49" t="str">
        <f t="shared" si="2506"/>
        <v/>
      </c>
      <c r="CB423" s="52" t="str">
        <f t="shared" si="2544"/>
        <v/>
      </c>
      <c r="CC423" s="23">
        <f t="shared" si="2545"/>
        <v>0</v>
      </c>
      <c r="CD423" s="49" t="str">
        <f t="shared" si="2507"/>
        <v/>
      </c>
      <c r="CE423" s="56" t="str">
        <f>IF(CF423="","",MAX(CE$10:$CE422)+1)</f>
        <v/>
      </c>
      <c r="CF423" t="str">
        <f t="shared" si="2546"/>
        <v/>
      </c>
      <c r="CG423" s="22" t="str">
        <f>IF(CH423="","",MAX($CG$10:CG422)+1)</f>
        <v/>
      </c>
      <c r="CH423" s="22" t="str">
        <f t="shared" si="2491"/>
        <v/>
      </c>
      <c r="CI423" s="22" t="str">
        <f>IF(CJ423="","",MAX($CI$10:CI422)+1)</f>
        <v/>
      </c>
      <c r="CJ423" s="22" t="str">
        <f t="shared" si="2492"/>
        <v/>
      </c>
    </row>
    <row r="424" spans="2:88" x14ac:dyDescent="0.25">
      <c r="B424" s="37"/>
      <c r="C424" s="3"/>
      <c r="D424" s="77" t="str">
        <f t="shared" si="2478"/>
        <v/>
      </c>
      <c r="E424" s="38"/>
      <c r="F424" s="38"/>
      <c r="G424" s="78">
        <f t="shared" si="2493"/>
        <v>0</v>
      </c>
      <c r="H424" s="3">
        <v>80</v>
      </c>
      <c r="I424" s="77" t="str">
        <f t="shared" si="2479"/>
        <v/>
      </c>
      <c r="J424" s="32"/>
      <c r="K424" s="3"/>
      <c r="L424" s="39"/>
      <c r="M424" s="39"/>
      <c r="N424" s="39"/>
      <c r="O424" s="39"/>
      <c r="P424" s="39"/>
      <c r="Q424" s="39"/>
      <c r="R424" s="39"/>
      <c r="S424" s="39"/>
      <c r="T424" s="3" t="s">
        <v>645</v>
      </c>
      <c r="U424" s="77" t="str">
        <f t="shared" si="2480"/>
        <v/>
      </c>
      <c r="V424" s="39">
        <v>1</v>
      </c>
      <c r="W424" s="79">
        <f t="shared" si="2494"/>
        <v>0</v>
      </c>
      <c r="X424" s="3">
        <v>0</v>
      </c>
      <c r="Y424" s="77" t="str">
        <f t="shared" si="2481"/>
        <v/>
      </c>
      <c r="Z424" s="3"/>
      <c r="AA424" s="37" t="str">
        <f t="shared" si="2495"/>
        <v/>
      </c>
      <c r="AC424" s="40"/>
      <c r="AD424" s="7"/>
      <c r="AE424" s="77" t="str">
        <f t="shared" si="2482"/>
        <v/>
      </c>
      <c r="AF424" s="81">
        <f t="shared" si="2508"/>
        <v>0</v>
      </c>
      <c r="AG424" s="40"/>
      <c r="AH424" s="7"/>
      <c r="AI424" s="77" t="str">
        <f t="shared" si="2483"/>
        <v/>
      </c>
      <c r="AJ424" s="81">
        <f t="shared" si="2509"/>
        <v>0</v>
      </c>
      <c r="AK424" s="83">
        <f t="shared" si="2510"/>
        <v>0</v>
      </c>
      <c r="AL424" s="83">
        <f t="shared" si="2511"/>
        <v>0</v>
      </c>
      <c r="AN424" s="43">
        <f t="shared" si="2484"/>
        <v>0</v>
      </c>
      <c r="AP424" t="str">
        <f t="shared" si="2512"/>
        <v/>
      </c>
      <c r="AQ424" t="str">
        <f t="shared" si="2513"/>
        <v/>
      </c>
      <c r="AR424" t="str">
        <f t="shared" si="2514"/>
        <v/>
      </c>
      <c r="AS424" t="str">
        <f t="shared" si="2515"/>
        <v/>
      </c>
      <c r="AT424" t="str">
        <f t="shared" si="2516"/>
        <v/>
      </c>
      <c r="AU424" t="str">
        <f t="shared" si="2517"/>
        <v/>
      </c>
      <c r="AV424" t="str">
        <f t="shared" si="2518"/>
        <v/>
      </c>
      <c r="AW424" t="str">
        <f t="shared" si="2519"/>
        <v xml:space="preserve">                              </v>
      </c>
      <c r="AX424" s="23">
        <f t="shared" si="2520"/>
        <v>0</v>
      </c>
      <c r="AY424" s="49" t="str">
        <f t="shared" si="2496"/>
        <v>000000000000000</v>
      </c>
      <c r="AZ424" s="23">
        <f t="shared" si="2521"/>
        <v>0</v>
      </c>
      <c r="BA424" s="49" t="str">
        <f t="shared" si="2496"/>
        <v>000000000000000</v>
      </c>
      <c r="BB424" s="23">
        <f t="shared" si="2522"/>
        <v>0</v>
      </c>
      <c r="BC424" s="49" t="str">
        <f t="shared" ref="BC424" si="2697">IF(BB424&lt;0,SUBSTITUTE(TEXT(BB424,"000000000000,00"),",",""),SUBSTITUTE(TEXT(BB424,"0000000000000,00"),",",""))</f>
        <v>000000000000000</v>
      </c>
      <c r="BD424" s="23">
        <f t="shared" si="2524"/>
        <v>0</v>
      </c>
      <c r="BE424" s="49" t="str">
        <f t="shared" ref="BE424" si="2698">IF(BD424&lt;0,SUBSTITUTE(TEXT(BD424,"000000000000,00"),",",""),SUBSTITUTE(TEXT(BD424,"0000000000000,00"),",",""))</f>
        <v>000000000000000</v>
      </c>
      <c r="BF424" s="23">
        <f t="shared" si="2526"/>
        <v>0</v>
      </c>
      <c r="BG424" s="49" t="str">
        <f t="shared" ref="BG424" si="2699">IF(BF424&lt;0,SUBSTITUTE(TEXT(BF424,"000000000000,00"),",",""),SUBSTITUTE(TEXT(BF424,"0000000000000,00"),",",""))</f>
        <v>000000000000000</v>
      </c>
      <c r="BH424" s="23">
        <f t="shared" si="2528"/>
        <v>0</v>
      </c>
      <c r="BI424" s="49" t="str">
        <f t="shared" ref="BI424" si="2700">IF(BH424&lt;0,SUBSTITUTE(TEXT(BH424,"000000000000,00"),",",""),SUBSTITUTE(TEXT(BH424,"0000000000000,00"),",",""))</f>
        <v>000000000000000</v>
      </c>
      <c r="BJ424" s="23">
        <f t="shared" si="2530"/>
        <v>0</v>
      </c>
      <c r="BK424" s="49" t="str">
        <f t="shared" ref="BK424" si="2701">IF(BJ424&lt;0,SUBSTITUTE(TEXT(BJ424,"000000000000,00"),",",""),SUBSTITUTE(TEXT(BJ424,"0000000000000,00"),",",""))</f>
        <v>000000000000000</v>
      </c>
      <c r="BL424" s="23">
        <f t="shared" si="2532"/>
        <v>0</v>
      </c>
      <c r="BM424" s="49" t="str">
        <f t="shared" ref="BM424" si="2702">IF(BL424&lt;0,SUBSTITUTE(TEXT(BL424,"000000000000,00"),",",""),SUBSTITUTE(TEXT(BL424,"0000000000000,00"),",",""))</f>
        <v>000000000000000</v>
      </c>
      <c r="BN424" t="str">
        <f t="shared" si="2534"/>
        <v>PES</v>
      </c>
      <c r="BO424" t="str">
        <f t="shared" si="2535"/>
        <v>0001000000</v>
      </c>
      <c r="BP424">
        <f t="shared" si="2536"/>
        <v>0</v>
      </c>
      <c r="BQ424">
        <f t="shared" si="2537"/>
        <v>0</v>
      </c>
      <c r="BR424" s="23">
        <f t="shared" si="2538"/>
        <v>0</v>
      </c>
      <c r="BS424" s="49" t="str">
        <f t="shared" si="2503"/>
        <v>000000000000000</v>
      </c>
      <c r="BT424" t="str">
        <f t="shared" si="2539"/>
        <v>00000000</v>
      </c>
      <c r="BU424" s="23">
        <f t="shared" si="2540"/>
        <v>0</v>
      </c>
      <c r="BV424" s="49" t="str">
        <f t="shared" si="2504"/>
        <v/>
      </c>
      <c r="BW424" s="52" t="str">
        <f t="shared" si="2541"/>
        <v/>
      </c>
      <c r="BX424" s="23">
        <f t="shared" si="2542"/>
        <v>0</v>
      </c>
      <c r="BY424" s="49" t="str">
        <f t="shared" si="2505"/>
        <v/>
      </c>
      <c r="BZ424" s="23">
        <f t="shared" si="2543"/>
        <v>0</v>
      </c>
      <c r="CA424" s="49" t="str">
        <f t="shared" si="2506"/>
        <v/>
      </c>
      <c r="CB424" s="52" t="str">
        <f t="shared" si="2544"/>
        <v/>
      </c>
      <c r="CC424" s="23">
        <f t="shared" si="2545"/>
        <v>0</v>
      </c>
      <c r="CD424" s="49" t="str">
        <f t="shared" si="2507"/>
        <v/>
      </c>
      <c r="CE424" s="56" t="str">
        <f>IF(CF424="","",MAX(CE$10:$CE423)+1)</f>
        <v/>
      </c>
      <c r="CF424" t="str">
        <f t="shared" si="2546"/>
        <v/>
      </c>
      <c r="CG424" s="22" t="str">
        <f>IF(CH424="","",MAX($CG$10:CG423)+1)</f>
        <v/>
      </c>
      <c r="CH424" s="22" t="str">
        <f t="shared" si="2491"/>
        <v/>
      </c>
      <c r="CI424" s="22" t="str">
        <f>IF(CJ424="","",MAX($CI$10:CI423)+1)</f>
        <v/>
      </c>
      <c r="CJ424" s="22" t="str">
        <f t="shared" si="2492"/>
        <v/>
      </c>
    </row>
    <row r="425" spans="2:88" x14ac:dyDescent="0.25">
      <c r="B425" s="37"/>
      <c r="C425" s="3"/>
      <c r="D425" s="77" t="str">
        <f t="shared" si="2478"/>
        <v/>
      </c>
      <c r="E425" s="38"/>
      <c r="F425" s="38"/>
      <c r="G425" s="78">
        <f t="shared" si="2493"/>
        <v>0</v>
      </c>
      <c r="H425" s="3">
        <v>80</v>
      </c>
      <c r="I425" s="77" t="str">
        <f t="shared" si="2479"/>
        <v/>
      </c>
      <c r="J425" s="32"/>
      <c r="K425" s="3"/>
      <c r="L425" s="39"/>
      <c r="M425" s="39"/>
      <c r="N425" s="39"/>
      <c r="O425" s="39"/>
      <c r="P425" s="39"/>
      <c r="Q425" s="39"/>
      <c r="R425" s="39"/>
      <c r="S425" s="39"/>
      <c r="T425" s="3" t="s">
        <v>645</v>
      </c>
      <c r="U425" s="77" t="str">
        <f t="shared" si="2480"/>
        <v/>
      </c>
      <c r="V425" s="39">
        <v>1</v>
      </c>
      <c r="W425" s="79">
        <f t="shared" si="2494"/>
        <v>0</v>
      </c>
      <c r="X425" s="3">
        <v>0</v>
      </c>
      <c r="Y425" s="77" t="str">
        <f t="shared" si="2481"/>
        <v/>
      </c>
      <c r="Z425" s="3"/>
      <c r="AA425" s="37" t="str">
        <f t="shared" si="2495"/>
        <v/>
      </c>
      <c r="AC425" s="40"/>
      <c r="AD425" s="7"/>
      <c r="AE425" s="77" t="str">
        <f t="shared" si="2482"/>
        <v/>
      </c>
      <c r="AF425" s="81">
        <f t="shared" si="2508"/>
        <v>0</v>
      </c>
      <c r="AG425" s="40"/>
      <c r="AH425" s="7"/>
      <c r="AI425" s="77" t="str">
        <f t="shared" si="2483"/>
        <v/>
      </c>
      <c r="AJ425" s="81">
        <f t="shared" si="2509"/>
        <v>0</v>
      </c>
      <c r="AK425" s="83">
        <f t="shared" si="2510"/>
        <v>0</v>
      </c>
      <c r="AL425" s="83">
        <f t="shared" si="2511"/>
        <v>0</v>
      </c>
      <c r="AN425" s="43">
        <f t="shared" si="2484"/>
        <v>0</v>
      </c>
      <c r="AP425" t="str">
        <f t="shared" si="2512"/>
        <v/>
      </c>
      <c r="AQ425" t="str">
        <f t="shared" si="2513"/>
        <v/>
      </c>
      <c r="AR425" t="str">
        <f t="shared" si="2514"/>
        <v/>
      </c>
      <c r="AS425" t="str">
        <f t="shared" si="2515"/>
        <v/>
      </c>
      <c r="AT425" t="str">
        <f t="shared" si="2516"/>
        <v/>
      </c>
      <c r="AU425" t="str">
        <f t="shared" si="2517"/>
        <v/>
      </c>
      <c r="AV425" t="str">
        <f t="shared" si="2518"/>
        <v/>
      </c>
      <c r="AW425" t="str">
        <f t="shared" si="2519"/>
        <v xml:space="preserve">                              </v>
      </c>
      <c r="AX425" s="23">
        <f t="shared" si="2520"/>
        <v>0</v>
      </c>
      <c r="AY425" s="49" t="str">
        <f t="shared" si="2496"/>
        <v>000000000000000</v>
      </c>
      <c r="AZ425" s="23">
        <f t="shared" si="2521"/>
        <v>0</v>
      </c>
      <c r="BA425" s="49" t="str">
        <f t="shared" si="2496"/>
        <v>000000000000000</v>
      </c>
      <c r="BB425" s="23">
        <f t="shared" si="2522"/>
        <v>0</v>
      </c>
      <c r="BC425" s="49" t="str">
        <f t="shared" ref="BC425" si="2703">IF(BB425&lt;0,SUBSTITUTE(TEXT(BB425,"000000000000,00"),",",""),SUBSTITUTE(TEXT(BB425,"0000000000000,00"),",",""))</f>
        <v>000000000000000</v>
      </c>
      <c r="BD425" s="23">
        <f t="shared" si="2524"/>
        <v>0</v>
      </c>
      <c r="BE425" s="49" t="str">
        <f t="shared" ref="BE425" si="2704">IF(BD425&lt;0,SUBSTITUTE(TEXT(BD425,"000000000000,00"),",",""),SUBSTITUTE(TEXT(BD425,"0000000000000,00"),",",""))</f>
        <v>000000000000000</v>
      </c>
      <c r="BF425" s="23">
        <f t="shared" si="2526"/>
        <v>0</v>
      </c>
      <c r="BG425" s="49" t="str">
        <f t="shared" ref="BG425" si="2705">IF(BF425&lt;0,SUBSTITUTE(TEXT(BF425,"000000000000,00"),",",""),SUBSTITUTE(TEXT(BF425,"0000000000000,00"),",",""))</f>
        <v>000000000000000</v>
      </c>
      <c r="BH425" s="23">
        <f t="shared" si="2528"/>
        <v>0</v>
      </c>
      <c r="BI425" s="49" t="str">
        <f t="shared" ref="BI425" si="2706">IF(BH425&lt;0,SUBSTITUTE(TEXT(BH425,"000000000000,00"),",",""),SUBSTITUTE(TEXT(BH425,"0000000000000,00"),",",""))</f>
        <v>000000000000000</v>
      </c>
      <c r="BJ425" s="23">
        <f t="shared" si="2530"/>
        <v>0</v>
      </c>
      <c r="BK425" s="49" t="str">
        <f t="shared" ref="BK425" si="2707">IF(BJ425&lt;0,SUBSTITUTE(TEXT(BJ425,"000000000000,00"),",",""),SUBSTITUTE(TEXT(BJ425,"0000000000000,00"),",",""))</f>
        <v>000000000000000</v>
      </c>
      <c r="BL425" s="23">
        <f t="shared" si="2532"/>
        <v>0</v>
      </c>
      <c r="BM425" s="49" t="str">
        <f t="shared" ref="BM425" si="2708">IF(BL425&lt;0,SUBSTITUTE(TEXT(BL425,"000000000000,00"),",",""),SUBSTITUTE(TEXT(BL425,"0000000000000,00"),",",""))</f>
        <v>000000000000000</v>
      </c>
      <c r="BN425" t="str">
        <f t="shared" si="2534"/>
        <v>PES</v>
      </c>
      <c r="BO425" t="str">
        <f t="shared" si="2535"/>
        <v>0001000000</v>
      </c>
      <c r="BP425">
        <f t="shared" si="2536"/>
        <v>0</v>
      </c>
      <c r="BQ425">
        <f t="shared" si="2537"/>
        <v>0</v>
      </c>
      <c r="BR425" s="23">
        <f t="shared" si="2538"/>
        <v>0</v>
      </c>
      <c r="BS425" s="49" t="str">
        <f t="shared" si="2503"/>
        <v>000000000000000</v>
      </c>
      <c r="BT425" t="str">
        <f t="shared" si="2539"/>
        <v>00000000</v>
      </c>
      <c r="BU425" s="23">
        <f t="shared" si="2540"/>
        <v>0</v>
      </c>
      <c r="BV425" s="49" t="str">
        <f t="shared" si="2504"/>
        <v/>
      </c>
      <c r="BW425" s="52" t="str">
        <f t="shared" si="2541"/>
        <v/>
      </c>
      <c r="BX425" s="23">
        <f t="shared" si="2542"/>
        <v>0</v>
      </c>
      <c r="BY425" s="49" t="str">
        <f t="shared" si="2505"/>
        <v/>
      </c>
      <c r="BZ425" s="23">
        <f t="shared" si="2543"/>
        <v>0</v>
      </c>
      <c r="CA425" s="49" t="str">
        <f t="shared" si="2506"/>
        <v/>
      </c>
      <c r="CB425" s="52" t="str">
        <f t="shared" si="2544"/>
        <v/>
      </c>
      <c r="CC425" s="23">
        <f t="shared" si="2545"/>
        <v>0</v>
      </c>
      <c r="CD425" s="49" t="str">
        <f t="shared" si="2507"/>
        <v/>
      </c>
      <c r="CE425" s="56" t="str">
        <f>IF(CF425="","",MAX(CE$10:$CE424)+1)</f>
        <v/>
      </c>
      <c r="CF425" t="str">
        <f t="shared" si="2546"/>
        <v/>
      </c>
      <c r="CG425" s="22" t="str">
        <f>IF(CH425="","",MAX($CG$10:CG424)+1)</f>
        <v/>
      </c>
      <c r="CH425" s="22" t="str">
        <f t="shared" si="2491"/>
        <v/>
      </c>
      <c r="CI425" s="22" t="str">
        <f>IF(CJ425="","",MAX($CI$10:CI424)+1)</f>
        <v/>
      </c>
      <c r="CJ425" s="22" t="str">
        <f t="shared" si="2492"/>
        <v/>
      </c>
    </row>
    <row r="426" spans="2:88" x14ac:dyDescent="0.25">
      <c r="B426" s="37"/>
      <c r="C426" s="3"/>
      <c r="D426" s="77" t="str">
        <f t="shared" si="2478"/>
        <v/>
      </c>
      <c r="E426" s="38"/>
      <c r="F426" s="38"/>
      <c r="G426" s="78">
        <f t="shared" si="2493"/>
        <v>0</v>
      </c>
      <c r="H426" s="3">
        <v>80</v>
      </c>
      <c r="I426" s="77" t="str">
        <f t="shared" si="2479"/>
        <v/>
      </c>
      <c r="J426" s="32"/>
      <c r="K426" s="3"/>
      <c r="L426" s="39"/>
      <c r="M426" s="39"/>
      <c r="N426" s="39"/>
      <c r="O426" s="39"/>
      <c r="P426" s="39"/>
      <c r="Q426" s="39"/>
      <c r="R426" s="39"/>
      <c r="S426" s="39"/>
      <c r="T426" s="3" t="s">
        <v>645</v>
      </c>
      <c r="U426" s="77" t="str">
        <f t="shared" si="2480"/>
        <v/>
      </c>
      <c r="V426" s="39">
        <v>1</v>
      </c>
      <c r="W426" s="79">
        <f t="shared" si="2494"/>
        <v>0</v>
      </c>
      <c r="X426" s="3">
        <v>0</v>
      </c>
      <c r="Y426" s="77" t="str">
        <f t="shared" si="2481"/>
        <v/>
      </c>
      <c r="Z426" s="3"/>
      <c r="AA426" s="37" t="str">
        <f t="shared" si="2495"/>
        <v/>
      </c>
      <c r="AC426" s="40"/>
      <c r="AD426" s="7"/>
      <c r="AE426" s="77" t="str">
        <f t="shared" si="2482"/>
        <v/>
      </c>
      <c r="AF426" s="81">
        <f t="shared" si="2508"/>
        <v>0</v>
      </c>
      <c r="AG426" s="40"/>
      <c r="AH426" s="7"/>
      <c r="AI426" s="77" t="str">
        <f t="shared" si="2483"/>
        <v/>
      </c>
      <c r="AJ426" s="81">
        <f t="shared" si="2509"/>
        <v>0</v>
      </c>
      <c r="AK426" s="83">
        <f t="shared" si="2510"/>
        <v>0</v>
      </c>
      <c r="AL426" s="83">
        <f t="shared" si="2511"/>
        <v>0</v>
      </c>
      <c r="AN426" s="43">
        <f t="shared" si="2484"/>
        <v>0</v>
      </c>
      <c r="AP426" t="str">
        <f t="shared" si="2512"/>
        <v/>
      </c>
      <c r="AQ426" t="str">
        <f t="shared" si="2513"/>
        <v/>
      </c>
      <c r="AR426" t="str">
        <f t="shared" si="2514"/>
        <v/>
      </c>
      <c r="AS426" t="str">
        <f t="shared" si="2515"/>
        <v/>
      </c>
      <c r="AT426" t="str">
        <f t="shared" si="2516"/>
        <v/>
      </c>
      <c r="AU426" t="str">
        <f t="shared" si="2517"/>
        <v/>
      </c>
      <c r="AV426" t="str">
        <f t="shared" si="2518"/>
        <v/>
      </c>
      <c r="AW426" t="str">
        <f t="shared" si="2519"/>
        <v xml:space="preserve">                              </v>
      </c>
      <c r="AX426" s="23">
        <f t="shared" si="2520"/>
        <v>0</v>
      </c>
      <c r="AY426" s="49" t="str">
        <f t="shared" si="2496"/>
        <v>000000000000000</v>
      </c>
      <c r="AZ426" s="23">
        <f t="shared" si="2521"/>
        <v>0</v>
      </c>
      <c r="BA426" s="49" t="str">
        <f t="shared" si="2496"/>
        <v>000000000000000</v>
      </c>
      <c r="BB426" s="23">
        <f t="shared" si="2522"/>
        <v>0</v>
      </c>
      <c r="BC426" s="49" t="str">
        <f t="shared" ref="BC426" si="2709">IF(BB426&lt;0,SUBSTITUTE(TEXT(BB426,"000000000000,00"),",",""),SUBSTITUTE(TEXT(BB426,"0000000000000,00"),",",""))</f>
        <v>000000000000000</v>
      </c>
      <c r="BD426" s="23">
        <f t="shared" si="2524"/>
        <v>0</v>
      </c>
      <c r="BE426" s="49" t="str">
        <f t="shared" ref="BE426" si="2710">IF(BD426&lt;0,SUBSTITUTE(TEXT(BD426,"000000000000,00"),",",""),SUBSTITUTE(TEXT(BD426,"0000000000000,00"),",",""))</f>
        <v>000000000000000</v>
      </c>
      <c r="BF426" s="23">
        <f t="shared" si="2526"/>
        <v>0</v>
      </c>
      <c r="BG426" s="49" t="str">
        <f t="shared" ref="BG426" si="2711">IF(BF426&lt;0,SUBSTITUTE(TEXT(BF426,"000000000000,00"),",",""),SUBSTITUTE(TEXT(BF426,"0000000000000,00"),",",""))</f>
        <v>000000000000000</v>
      </c>
      <c r="BH426" s="23">
        <f t="shared" si="2528"/>
        <v>0</v>
      </c>
      <c r="BI426" s="49" t="str">
        <f t="shared" ref="BI426" si="2712">IF(BH426&lt;0,SUBSTITUTE(TEXT(BH426,"000000000000,00"),",",""),SUBSTITUTE(TEXT(BH426,"0000000000000,00"),",",""))</f>
        <v>000000000000000</v>
      </c>
      <c r="BJ426" s="23">
        <f t="shared" si="2530"/>
        <v>0</v>
      </c>
      <c r="BK426" s="49" t="str">
        <f t="shared" ref="BK426" si="2713">IF(BJ426&lt;0,SUBSTITUTE(TEXT(BJ426,"000000000000,00"),",",""),SUBSTITUTE(TEXT(BJ426,"0000000000000,00"),",",""))</f>
        <v>000000000000000</v>
      </c>
      <c r="BL426" s="23">
        <f t="shared" si="2532"/>
        <v>0</v>
      </c>
      <c r="BM426" s="49" t="str">
        <f t="shared" ref="BM426" si="2714">IF(BL426&lt;0,SUBSTITUTE(TEXT(BL426,"000000000000,00"),",",""),SUBSTITUTE(TEXT(BL426,"0000000000000,00"),",",""))</f>
        <v>000000000000000</v>
      </c>
      <c r="BN426" t="str">
        <f t="shared" si="2534"/>
        <v>PES</v>
      </c>
      <c r="BO426" t="str">
        <f t="shared" si="2535"/>
        <v>0001000000</v>
      </c>
      <c r="BP426">
        <f t="shared" si="2536"/>
        <v>0</v>
      </c>
      <c r="BQ426">
        <f t="shared" si="2537"/>
        <v>0</v>
      </c>
      <c r="BR426" s="23">
        <f t="shared" si="2538"/>
        <v>0</v>
      </c>
      <c r="BS426" s="49" t="str">
        <f t="shared" si="2503"/>
        <v>000000000000000</v>
      </c>
      <c r="BT426" t="str">
        <f t="shared" si="2539"/>
        <v>00000000</v>
      </c>
      <c r="BU426" s="23">
        <f t="shared" si="2540"/>
        <v>0</v>
      </c>
      <c r="BV426" s="49" t="str">
        <f t="shared" si="2504"/>
        <v/>
      </c>
      <c r="BW426" s="52" t="str">
        <f t="shared" si="2541"/>
        <v/>
      </c>
      <c r="BX426" s="23">
        <f t="shared" si="2542"/>
        <v>0</v>
      </c>
      <c r="BY426" s="49" t="str">
        <f t="shared" si="2505"/>
        <v/>
      </c>
      <c r="BZ426" s="23">
        <f t="shared" si="2543"/>
        <v>0</v>
      </c>
      <c r="CA426" s="49" t="str">
        <f t="shared" si="2506"/>
        <v/>
      </c>
      <c r="CB426" s="52" t="str">
        <f t="shared" si="2544"/>
        <v/>
      </c>
      <c r="CC426" s="23">
        <f t="shared" si="2545"/>
        <v>0</v>
      </c>
      <c r="CD426" s="49" t="str">
        <f t="shared" si="2507"/>
        <v/>
      </c>
      <c r="CE426" s="56" t="str">
        <f>IF(CF426="","",MAX(CE$10:$CE425)+1)</f>
        <v/>
      </c>
      <c r="CF426" t="str">
        <f t="shared" si="2546"/>
        <v/>
      </c>
      <c r="CG426" s="22" t="str">
        <f>IF(CH426="","",MAX($CG$10:CG425)+1)</f>
        <v/>
      </c>
      <c r="CH426" s="22" t="str">
        <f t="shared" si="2491"/>
        <v/>
      </c>
      <c r="CI426" s="22" t="str">
        <f>IF(CJ426="","",MAX($CI$10:CI425)+1)</f>
        <v/>
      </c>
      <c r="CJ426" s="22" t="str">
        <f t="shared" si="2492"/>
        <v/>
      </c>
    </row>
    <row r="427" spans="2:88" x14ac:dyDescent="0.25">
      <c r="B427" s="37"/>
      <c r="C427" s="3"/>
      <c r="D427" s="77" t="str">
        <f t="shared" si="2478"/>
        <v/>
      </c>
      <c r="E427" s="38"/>
      <c r="F427" s="38"/>
      <c r="G427" s="78">
        <f t="shared" si="2493"/>
        <v>0</v>
      </c>
      <c r="H427" s="3">
        <v>80</v>
      </c>
      <c r="I427" s="77" t="str">
        <f t="shared" si="2479"/>
        <v/>
      </c>
      <c r="J427" s="32"/>
      <c r="K427" s="3"/>
      <c r="L427" s="39"/>
      <c r="M427" s="39"/>
      <c r="N427" s="39"/>
      <c r="O427" s="39"/>
      <c r="P427" s="39"/>
      <c r="Q427" s="39"/>
      <c r="R427" s="39"/>
      <c r="S427" s="39"/>
      <c r="T427" s="3" t="s">
        <v>645</v>
      </c>
      <c r="U427" s="77" t="str">
        <f t="shared" si="2480"/>
        <v/>
      </c>
      <c r="V427" s="39">
        <v>1</v>
      </c>
      <c r="W427" s="79">
        <f t="shared" si="2494"/>
        <v>0</v>
      </c>
      <c r="X427" s="3">
        <v>0</v>
      </c>
      <c r="Y427" s="77" t="str">
        <f t="shared" si="2481"/>
        <v/>
      </c>
      <c r="Z427" s="3"/>
      <c r="AA427" s="37" t="str">
        <f t="shared" si="2495"/>
        <v/>
      </c>
      <c r="AC427" s="40"/>
      <c r="AD427" s="7"/>
      <c r="AE427" s="77" t="str">
        <f t="shared" si="2482"/>
        <v/>
      </c>
      <c r="AF427" s="81">
        <f t="shared" si="2508"/>
        <v>0</v>
      </c>
      <c r="AG427" s="40"/>
      <c r="AH427" s="7"/>
      <c r="AI427" s="77" t="str">
        <f t="shared" si="2483"/>
        <v/>
      </c>
      <c r="AJ427" s="81">
        <f t="shared" si="2509"/>
        <v>0</v>
      </c>
      <c r="AK427" s="83">
        <f t="shared" si="2510"/>
        <v>0</v>
      </c>
      <c r="AL427" s="83">
        <f t="shared" si="2511"/>
        <v>0</v>
      </c>
      <c r="AN427" s="43">
        <f t="shared" si="2484"/>
        <v>0</v>
      </c>
      <c r="AP427" t="str">
        <f t="shared" si="2512"/>
        <v/>
      </c>
      <c r="AQ427" t="str">
        <f t="shared" si="2513"/>
        <v/>
      </c>
      <c r="AR427" t="str">
        <f t="shared" si="2514"/>
        <v/>
      </c>
      <c r="AS427" t="str">
        <f t="shared" si="2515"/>
        <v/>
      </c>
      <c r="AT427" t="str">
        <f t="shared" si="2516"/>
        <v/>
      </c>
      <c r="AU427" t="str">
        <f t="shared" si="2517"/>
        <v/>
      </c>
      <c r="AV427" t="str">
        <f t="shared" si="2518"/>
        <v/>
      </c>
      <c r="AW427" t="str">
        <f t="shared" si="2519"/>
        <v xml:space="preserve">                              </v>
      </c>
      <c r="AX427" s="23">
        <f t="shared" si="2520"/>
        <v>0</v>
      </c>
      <c r="AY427" s="49" t="str">
        <f t="shared" si="2496"/>
        <v>000000000000000</v>
      </c>
      <c r="AZ427" s="23">
        <f t="shared" si="2521"/>
        <v>0</v>
      </c>
      <c r="BA427" s="49" t="str">
        <f t="shared" si="2496"/>
        <v>000000000000000</v>
      </c>
      <c r="BB427" s="23">
        <f t="shared" si="2522"/>
        <v>0</v>
      </c>
      <c r="BC427" s="49" t="str">
        <f t="shared" ref="BC427" si="2715">IF(BB427&lt;0,SUBSTITUTE(TEXT(BB427,"000000000000,00"),",",""),SUBSTITUTE(TEXT(BB427,"0000000000000,00"),",",""))</f>
        <v>000000000000000</v>
      </c>
      <c r="BD427" s="23">
        <f t="shared" si="2524"/>
        <v>0</v>
      </c>
      <c r="BE427" s="49" t="str">
        <f t="shared" ref="BE427" si="2716">IF(BD427&lt;0,SUBSTITUTE(TEXT(BD427,"000000000000,00"),",",""),SUBSTITUTE(TEXT(BD427,"0000000000000,00"),",",""))</f>
        <v>000000000000000</v>
      </c>
      <c r="BF427" s="23">
        <f t="shared" si="2526"/>
        <v>0</v>
      </c>
      <c r="BG427" s="49" t="str">
        <f t="shared" ref="BG427" si="2717">IF(BF427&lt;0,SUBSTITUTE(TEXT(BF427,"000000000000,00"),",",""),SUBSTITUTE(TEXT(BF427,"0000000000000,00"),",",""))</f>
        <v>000000000000000</v>
      </c>
      <c r="BH427" s="23">
        <f t="shared" si="2528"/>
        <v>0</v>
      </c>
      <c r="BI427" s="49" t="str">
        <f t="shared" ref="BI427" si="2718">IF(BH427&lt;0,SUBSTITUTE(TEXT(BH427,"000000000000,00"),",",""),SUBSTITUTE(TEXT(BH427,"0000000000000,00"),",",""))</f>
        <v>000000000000000</v>
      </c>
      <c r="BJ427" s="23">
        <f t="shared" si="2530"/>
        <v>0</v>
      </c>
      <c r="BK427" s="49" t="str">
        <f t="shared" ref="BK427" si="2719">IF(BJ427&lt;0,SUBSTITUTE(TEXT(BJ427,"000000000000,00"),",",""),SUBSTITUTE(TEXT(BJ427,"0000000000000,00"),",",""))</f>
        <v>000000000000000</v>
      </c>
      <c r="BL427" s="23">
        <f t="shared" si="2532"/>
        <v>0</v>
      </c>
      <c r="BM427" s="49" t="str">
        <f t="shared" ref="BM427" si="2720">IF(BL427&lt;0,SUBSTITUTE(TEXT(BL427,"000000000000,00"),",",""),SUBSTITUTE(TEXT(BL427,"0000000000000,00"),",",""))</f>
        <v>000000000000000</v>
      </c>
      <c r="BN427" t="str">
        <f t="shared" si="2534"/>
        <v>PES</v>
      </c>
      <c r="BO427" t="str">
        <f t="shared" si="2535"/>
        <v>0001000000</v>
      </c>
      <c r="BP427">
        <f t="shared" si="2536"/>
        <v>0</v>
      </c>
      <c r="BQ427">
        <f t="shared" si="2537"/>
        <v>0</v>
      </c>
      <c r="BR427" s="23">
        <f t="shared" si="2538"/>
        <v>0</v>
      </c>
      <c r="BS427" s="49" t="str">
        <f t="shared" si="2503"/>
        <v>000000000000000</v>
      </c>
      <c r="BT427" t="str">
        <f t="shared" si="2539"/>
        <v>00000000</v>
      </c>
      <c r="BU427" s="23">
        <f t="shared" si="2540"/>
        <v>0</v>
      </c>
      <c r="BV427" s="49" t="str">
        <f t="shared" si="2504"/>
        <v/>
      </c>
      <c r="BW427" s="52" t="str">
        <f t="shared" si="2541"/>
        <v/>
      </c>
      <c r="BX427" s="23">
        <f t="shared" si="2542"/>
        <v>0</v>
      </c>
      <c r="BY427" s="49" t="str">
        <f t="shared" si="2505"/>
        <v/>
      </c>
      <c r="BZ427" s="23">
        <f t="shared" si="2543"/>
        <v>0</v>
      </c>
      <c r="CA427" s="49" t="str">
        <f t="shared" si="2506"/>
        <v/>
      </c>
      <c r="CB427" s="52" t="str">
        <f t="shared" si="2544"/>
        <v/>
      </c>
      <c r="CC427" s="23">
        <f t="shared" si="2545"/>
        <v>0</v>
      </c>
      <c r="CD427" s="49" t="str">
        <f t="shared" si="2507"/>
        <v/>
      </c>
      <c r="CE427" s="56" t="str">
        <f>IF(CF427="","",MAX(CE$10:$CE426)+1)</f>
        <v/>
      </c>
      <c r="CF427" t="str">
        <f t="shared" si="2546"/>
        <v/>
      </c>
      <c r="CG427" s="22" t="str">
        <f>IF(CH427="","",MAX($CG$10:CG426)+1)</f>
        <v/>
      </c>
      <c r="CH427" s="22" t="str">
        <f t="shared" si="2491"/>
        <v/>
      </c>
      <c r="CI427" s="22" t="str">
        <f>IF(CJ427="","",MAX($CI$10:CI426)+1)</f>
        <v/>
      </c>
      <c r="CJ427" s="22" t="str">
        <f t="shared" si="2492"/>
        <v/>
      </c>
    </row>
    <row r="428" spans="2:88" x14ac:dyDescent="0.25">
      <c r="B428" s="37"/>
      <c r="C428" s="3"/>
      <c r="D428" s="77" t="str">
        <f t="shared" si="2478"/>
        <v/>
      </c>
      <c r="E428" s="38"/>
      <c r="F428" s="38"/>
      <c r="G428" s="78">
        <f t="shared" si="2493"/>
        <v>0</v>
      </c>
      <c r="H428" s="3">
        <v>80</v>
      </c>
      <c r="I428" s="77" t="str">
        <f t="shared" si="2479"/>
        <v/>
      </c>
      <c r="J428" s="32"/>
      <c r="K428" s="3"/>
      <c r="L428" s="39"/>
      <c r="M428" s="39"/>
      <c r="N428" s="39"/>
      <c r="O428" s="39"/>
      <c r="P428" s="39"/>
      <c r="Q428" s="39"/>
      <c r="R428" s="39"/>
      <c r="S428" s="39"/>
      <c r="T428" s="3" t="s">
        <v>645</v>
      </c>
      <c r="U428" s="77" t="str">
        <f t="shared" si="2480"/>
        <v/>
      </c>
      <c r="V428" s="39">
        <v>1</v>
      </c>
      <c r="W428" s="79">
        <f t="shared" si="2494"/>
        <v>0</v>
      </c>
      <c r="X428" s="3">
        <v>0</v>
      </c>
      <c r="Y428" s="77" t="str">
        <f t="shared" si="2481"/>
        <v/>
      </c>
      <c r="Z428" s="3"/>
      <c r="AA428" s="37" t="str">
        <f t="shared" si="2495"/>
        <v/>
      </c>
      <c r="AC428" s="40"/>
      <c r="AD428" s="7"/>
      <c r="AE428" s="77" t="str">
        <f t="shared" si="2482"/>
        <v/>
      </c>
      <c r="AF428" s="81">
        <f t="shared" si="2508"/>
        <v>0</v>
      </c>
      <c r="AG428" s="40"/>
      <c r="AH428" s="7"/>
      <c r="AI428" s="77" t="str">
        <f t="shared" si="2483"/>
        <v/>
      </c>
      <c r="AJ428" s="81">
        <f t="shared" si="2509"/>
        <v>0</v>
      </c>
      <c r="AK428" s="83">
        <f t="shared" si="2510"/>
        <v>0</v>
      </c>
      <c r="AL428" s="83">
        <f t="shared" si="2511"/>
        <v>0</v>
      </c>
      <c r="AN428" s="43">
        <f t="shared" si="2484"/>
        <v>0</v>
      </c>
      <c r="AP428" t="str">
        <f t="shared" si="2512"/>
        <v/>
      </c>
      <c r="AQ428" t="str">
        <f t="shared" si="2513"/>
        <v/>
      </c>
      <c r="AR428" t="str">
        <f t="shared" si="2514"/>
        <v/>
      </c>
      <c r="AS428" t="str">
        <f t="shared" si="2515"/>
        <v/>
      </c>
      <c r="AT428" t="str">
        <f t="shared" si="2516"/>
        <v/>
      </c>
      <c r="AU428" t="str">
        <f t="shared" si="2517"/>
        <v/>
      </c>
      <c r="AV428" t="str">
        <f t="shared" si="2518"/>
        <v/>
      </c>
      <c r="AW428" t="str">
        <f t="shared" si="2519"/>
        <v xml:space="preserve">                              </v>
      </c>
      <c r="AX428" s="23">
        <f t="shared" si="2520"/>
        <v>0</v>
      </c>
      <c r="AY428" s="49" t="str">
        <f t="shared" si="2496"/>
        <v>000000000000000</v>
      </c>
      <c r="AZ428" s="23">
        <f t="shared" si="2521"/>
        <v>0</v>
      </c>
      <c r="BA428" s="49" t="str">
        <f t="shared" si="2496"/>
        <v>000000000000000</v>
      </c>
      <c r="BB428" s="23">
        <f t="shared" si="2522"/>
        <v>0</v>
      </c>
      <c r="BC428" s="49" t="str">
        <f t="shared" ref="BC428" si="2721">IF(BB428&lt;0,SUBSTITUTE(TEXT(BB428,"000000000000,00"),",",""),SUBSTITUTE(TEXT(BB428,"0000000000000,00"),",",""))</f>
        <v>000000000000000</v>
      </c>
      <c r="BD428" s="23">
        <f t="shared" si="2524"/>
        <v>0</v>
      </c>
      <c r="BE428" s="49" t="str">
        <f t="shared" ref="BE428" si="2722">IF(BD428&lt;0,SUBSTITUTE(TEXT(BD428,"000000000000,00"),",",""),SUBSTITUTE(TEXT(BD428,"0000000000000,00"),",",""))</f>
        <v>000000000000000</v>
      </c>
      <c r="BF428" s="23">
        <f t="shared" si="2526"/>
        <v>0</v>
      </c>
      <c r="BG428" s="49" t="str">
        <f t="shared" ref="BG428" si="2723">IF(BF428&lt;0,SUBSTITUTE(TEXT(BF428,"000000000000,00"),",",""),SUBSTITUTE(TEXT(BF428,"0000000000000,00"),",",""))</f>
        <v>000000000000000</v>
      </c>
      <c r="BH428" s="23">
        <f t="shared" si="2528"/>
        <v>0</v>
      </c>
      <c r="BI428" s="49" t="str">
        <f t="shared" ref="BI428" si="2724">IF(BH428&lt;0,SUBSTITUTE(TEXT(BH428,"000000000000,00"),",",""),SUBSTITUTE(TEXT(BH428,"0000000000000,00"),",",""))</f>
        <v>000000000000000</v>
      </c>
      <c r="BJ428" s="23">
        <f t="shared" si="2530"/>
        <v>0</v>
      </c>
      <c r="BK428" s="49" t="str">
        <f t="shared" ref="BK428" si="2725">IF(BJ428&lt;0,SUBSTITUTE(TEXT(BJ428,"000000000000,00"),",",""),SUBSTITUTE(TEXT(BJ428,"0000000000000,00"),",",""))</f>
        <v>000000000000000</v>
      </c>
      <c r="BL428" s="23">
        <f t="shared" si="2532"/>
        <v>0</v>
      </c>
      <c r="BM428" s="49" t="str">
        <f t="shared" ref="BM428" si="2726">IF(BL428&lt;0,SUBSTITUTE(TEXT(BL428,"000000000000,00"),",",""),SUBSTITUTE(TEXT(BL428,"0000000000000,00"),",",""))</f>
        <v>000000000000000</v>
      </c>
      <c r="BN428" t="str">
        <f t="shared" si="2534"/>
        <v>PES</v>
      </c>
      <c r="BO428" t="str">
        <f t="shared" si="2535"/>
        <v>0001000000</v>
      </c>
      <c r="BP428">
        <f t="shared" si="2536"/>
        <v>0</v>
      </c>
      <c r="BQ428">
        <f t="shared" si="2537"/>
        <v>0</v>
      </c>
      <c r="BR428" s="23">
        <f t="shared" si="2538"/>
        <v>0</v>
      </c>
      <c r="BS428" s="49" t="str">
        <f t="shared" si="2503"/>
        <v>000000000000000</v>
      </c>
      <c r="BT428" t="str">
        <f t="shared" si="2539"/>
        <v>00000000</v>
      </c>
      <c r="BU428" s="23">
        <f t="shared" si="2540"/>
        <v>0</v>
      </c>
      <c r="BV428" s="49" t="str">
        <f t="shared" si="2504"/>
        <v/>
      </c>
      <c r="BW428" s="52" t="str">
        <f t="shared" si="2541"/>
        <v/>
      </c>
      <c r="BX428" s="23">
        <f t="shared" si="2542"/>
        <v>0</v>
      </c>
      <c r="BY428" s="49" t="str">
        <f t="shared" si="2505"/>
        <v/>
      </c>
      <c r="BZ428" s="23">
        <f t="shared" si="2543"/>
        <v>0</v>
      </c>
      <c r="CA428" s="49" t="str">
        <f t="shared" si="2506"/>
        <v/>
      </c>
      <c r="CB428" s="52" t="str">
        <f t="shared" si="2544"/>
        <v/>
      </c>
      <c r="CC428" s="23">
        <f t="shared" si="2545"/>
        <v>0</v>
      </c>
      <c r="CD428" s="49" t="str">
        <f t="shared" si="2507"/>
        <v/>
      </c>
      <c r="CE428" s="56" t="str">
        <f>IF(CF428="","",MAX(CE$10:$CE427)+1)</f>
        <v/>
      </c>
      <c r="CF428" t="str">
        <f t="shared" si="2546"/>
        <v/>
      </c>
      <c r="CG428" s="22" t="str">
        <f>IF(CH428="","",MAX($CG$10:CG427)+1)</f>
        <v/>
      </c>
      <c r="CH428" s="22" t="str">
        <f t="shared" si="2491"/>
        <v/>
      </c>
      <c r="CI428" s="22" t="str">
        <f>IF(CJ428="","",MAX($CI$10:CI427)+1)</f>
        <v/>
      </c>
      <c r="CJ428" s="22" t="str">
        <f t="shared" si="2492"/>
        <v/>
      </c>
    </row>
    <row r="429" spans="2:88" x14ac:dyDescent="0.25">
      <c r="B429" s="37"/>
      <c r="C429" s="3"/>
      <c r="D429" s="77" t="str">
        <f t="shared" si="2478"/>
        <v/>
      </c>
      <c r="E429" s="38"/>
      <c r="F429" s="38"/>
      <c r="G429" s="78">
        <f t="shared" si="2493"/>
        <v>0</v>
      </c>
      <c r="H429" s="3">
        <v>80</v>
      </c>
      <c r="I429" s="77" t="str">
        <f t="shared" si="2479"/>
        <v/>
      </c>
      <c r="J429" s="32"/>
      <c r="K429" s="3"/>
      <c r="L429" s="39"/>
      <c r="M429" s="39"/>
      <c r="N429" s="39"/>
      <c r="O429" s="39"/>
      <c r="P429" s="39"/>
      <c r="Q429" s="39"/>
      <c r="R429" s="39"/>
      <c r="S429" s="39"/>
      <c r="T429" s="3" t="s">
        <v>645</v>
      </c>
      <c r="U429" s="77" t="str">
        <f t="shared" si="2480"/>
        <v/>
      </c>
      <c r="V429" s="39">
        <v>1</v>
      </c>
      <c r="W429" s="79">
        <f t="shared" si="2494"/>
        <v>0</v>
      </c>
      <c r="X429" s="3">
        <v>0</v>
      </c>
      <c r="Y429" s="77" t="str">
        <f t="shared" si="2481"/>
        <v/>
      </c>
      <c r="Z429" s="3"/>
      <c r="AA429" s="37" t="str">
        <f t="shared" si="2495"/>
        <v/>
      </c>
      <c r="AC429" s="40"/>
      <c r="AD429" s="7"/>
      <c r="AE429" s="77" t="str">
        <f t="shared" si="2482"/>
        <v/>
      </c>
      <c r="AF429" s="81">
        <f t="shared" si="2508"/>
        <v>0</v>
      </c>
      <c r="AG429" s="40"/>
      <c r="AH429" s="7"/>
      <c r="AI429" s="77" t="str">
        <f t="shared" si="2483"/>
        <v/>
      </c>
      <c r="AJ429" s="81">
        <f t="shared" si="2509"/>
        <v>0</v>
      </c>
      <c r="AK429" s="83">
        <f t="shared" si="2510"/>
        <v>0</v>
      </c>
      <c r="AL429" s="83">
        <f t="shared" si="2511"/>
        <v>0</v>
      </c>
      <c r="AN429" s="43">
        <f t="shared" si="2484"/>
        <v>0</v>
      </c>
      <c r="AP429" t="str">
        <f t="shared" si="2512"/>
        <v/>
      </c>
      <c r="AQ429" t="str">
        <f t="shared" si="2513"/>
        <v/>
      </c>
      <c r="AR429" t="str">
        <f t="shared" si="2514"/>
        <v/>
      </c>
      <c r="AS429" t="str">
        <f t="shared" si="2515"/>
        <v/>
      </c>
      <c r="AT429" t="str">
        <f t="shared" si="2516"/>
        <v/>
      </c>
      <c r="AU429" t="str">
        <f t="shared" si="2517"/>
        <v/>
      </c>
      <c r="AV429" t="str">
        <f t="shared" si="2518"/>
        <v/>
      </c>
      <c r="AW429" t="str">
        <f t="shared" si="2519"/>
        <v xml:space="preserve">                              </v>
      </c>
      <c r="AX429" s="23">
        <f t="shared" si="2520"/>
        <v>0</v>
      </c>
      <c r="AY429" s="49" t="str">
        <f t="shared" si="2496"/>
        <v>000000000000000</v>
      </c>
      <c r="AZ429" s="23">
        <f t="shared" si="2521"/>
        <v>0</v>
      </c>
      <c r="BA429" s="49" t="str">
        <f t="shared" si="2496"/>
        <v>000000000000000</v>
      </c>
      <c r="BB429" s="23">
        <f t="shared" si="2522"/>
        <v>0</v>
      </c>
      <c r="BC429" s="49" t="str">
        <f t="shared" ref="BC429" si="2727">IF(BB429&lt;0,SUBSTITUTE(TEXT(BB429,"000000000000,00"),",",""),SUBSTITUTE(TEXT(BB429,"0000000000000,00"),",",""))</f>
        <v>000000000000000</v>
      </c>
      <c r="BD429" s="23">
        <f t="shared" si="2524"/>
        <v>0</v>
      </c>
      <c r="BE429" s="49" t="str">
        <f t="shared" ref="BE429" si="2728">IF(BD429&lt;0,SUBSTITUTE(TEXT(BD429,"000000000000,00"),",",""),SUBSTITUTE(TEXT(BD429,"0000000000000,00"),",",""))</f>
        <v>000000000000000</v>
      </c>
      <c r="BF429" s="23">
        <f t="shared" si="2526"/>
        <v>0</v>
      </c>
      <c r="BG429" s="49" t="str">
        <f t="shared" ref="BG429" si="2729">IF(BF429&lt;0,SUBSTITUTE(TEXT(BF429,"000000000000,00"),",",""),SUBSTITUTE(TEXT(BF429,"0000000000000,00"),",",""))</f>
        <v>000000000000000</v>
      </c>
      <c r="BH429" s="23">
        <f t="shared" si="2528"/>
        <v>0</v>
      </c>
      <c r="BI429" s="49" t="str">
        <f t="shared" ref="BI429" si="2730">IF(BH429&lt;0,SUBSTITUTE(TEXT(BH429,"000000000000,00"),",",""),SUBSTITUTE(TEXT(BH429,"0000000000000,00"),",",""))</f>
        <v>000000000000000</v>
      </c>
      <c r="BJ429" s="23">
        <f t="shared" si="2530"/>
        <v>0</v>
      </c>
      <c r="BK429" s="49" t="str">
        <f t="shared" ref="BK429" si="2731">IF(BJ429&lt;0,SUBSTITUTE(TEXT(BJ429,"000000000000,00"),",",""),SUBSTITUTE(TEXT(BJ429,"0000000000000,00"),",",""))</f>
        <v>000000000000000</v>
      </c>
      <c r="BL429" s="23">
        <f t="shared" si="2532"/>
        <v>0</v>
      </c>
      <c r="BM429" s="49" t="str">
        <f t="shared" ref="BM429" si="2732">IF(BL429&lt;0,SUBSTITUTE(TEXT(BL429,"000000000000,00"),",",""),SUBSTITUTE(TEXT(BL429,"0000000000000,00"),",",""))</f>
        <v>000000000000000</v>
      </c>
      <c r="BN429" t="str">
        <f t="shared" si="2534"/>
        <v>PES</v>
      </c>
      <c r="BO429" t="str">
        <f t="shared" si="2535"/>
        <v>0001000000</v>
      </c>
      <c r="BP429">
        <f t="shared" si="2536"/>
        <v>0</v>
      </c>
      <c r="BQ429">
        <f t="shared" si="2537"/>
        <v>0</v>
      </c>
      <c r="BR429" s="23">
        <f t="shared" si="2538"/>
        <v>0</v>
      </c>
      <c r="BS429" s="49" t="str">
        <f t="shared" si="2503"/>
        <v>000000000000000</v>
      </c>
      <c r="BT429" t="str">
        <f t="shared" si="2539"/>
        <v>00000000</v>
      </c>
      <c r="BU429" s="23">
        <f t="shared" si="2540"/>
        <v>0</v>
      </c>
      <c r="BV429" s="49" t="str">
        <f t="shared" si="2504"/>
        <v/>
      </c>
      <c r="BW429" s="52" t="str">
        <f t="shared" si="2541"/>
        <v/>
      </c>
      <c r="BX429" s="23">
        <f t="shared" si="2542"/>
        <v>0</v>
      </c>
      <c r="BY429" s="49" t="str">
        <f t="shared" si="2505"/>
        <v/>
      </c>
      <c r="BZ429" s="23">
        <f t="shared" si="2543"/>
        <v>0</v>
      </c>
      <c r="CA429" s="49" t="str">
        <f t="shared" si="2506"/>
        <v/>
      </c>
      <c r="CB429" s="52" t="str">
        <f t="shared" si="2544"/>
        <v/>
      </c>
      <c r="CC429" s="23">
        <f t="shared" si="2545"/>
        <v>0</v>
      </c>
      <c r="CD429" s="49" t="str">
        <f t="shared" si="2507"/>
        <v/>
      </c>
      <c r="CE429" s="56" t="str">
        <f>IF(CF429="","",MAX(CE$10:$CE428)+1)</f>
        <v/>
      </c>
      <c r="CF429" t="str">
        <f t="shared" si="2546"/>
        <v/>
      </c>
      <c r="CG429" s="22" t="str">
        <f>IF(CH429="","",MAX($CG$10:CG428)+1)</f>
        <v/>
      </c>
      <c r="CH429" s="22" t="str">
        <f t="shared" si="2491"/>
        <v/>
      </c>
      <c r="CI429" s="22" t="str">
        <f>IF(CJ429="","",MAX($CI$10:CI428)+1)</f>
        <v/>
      </c>
      <c r="CJ429" s="22" t="str">
        <f t="shared" si="2492"/>
        <v/>
      </c>
    </row>
    <row r="430" spans="2:88" x14ac:dyDescent="0.25">
      <c r="B430" s="37"/>
      <c r="C430" s="3"/>
      <c r="D430" s="77" t="str">
        <f t="shared" si="2478"/>
        <v/>
      </c>
      <c r="E430" s="38"/>
      <c r="F430" s="38"/>
      <c r="G430" s="78">
        <f t="shared" si="2493"/>
        <v>0</v>
      </c>
      <c r="H430" s="3">
        <v>80</v>
      </c>
      <c r="I430" s="77" t="str">
        <f t="shared" si="2479"/>
        <v/>
      </c>
      <c r="J430" s="32"/>
      <c r="K430" s="3"/>
      <c r="L430" s="39"/>
      <c r="M430" s="39"/>
      <c r="N430" s="39"/>
      <c r="O430" s="39"/>
      <c r="P430" s="39"/>
      <c r="Q430" s="39"/>
      <c r="R430" s="39"/>
      <c r="S430" s="39"/>
      <c r="T430" s="3" t="s">
        <v>645</v>
      </c>
      <c r="U430" s="77" t="str">
        <f t="shared" si="2480"/>
        <v/>
      </c>
      <c r="V430" s="39">
        <v>1</v>
      </c>
      <c r="W430" s="79">
        <f t="shared" si="2494"/>
        <v>0</v>
      </c>
      <c r="X430" s="3">
        <v>0</v>
      </c>
      <c r="Y430" s="77" t="str">
        <f t="shared" si="2481"/>
        <v/>
      </c>
      <c r="Z430" s="3"/>
      <c r="AA430" s="37" t="str">
        <f t="shared" si="2495"/>
        <v/>
      </c>
      <c r="AC430" s="40"/>
      <c r="AD430" s="7"/>
      <c r="AE430" s="77" t="str">
        <f t="shared" si="2482"/>
        <v/>
      </c>
      <c r="AF430" s="81">
        <f t="shared" si="2508"/>
        <v>0</v>
      </c>
      <c r="AG430" s="40"/>
      <c r="AH430" s="7"/>
      <c r="AI430" s="77" t="str">
        <f t="shared" si="2483"/>
        <v/>
      </c>
      <c r="AJ430" s="81">
        <f t="shared" si="2509"/>
        <v>0</v>
      </c>
      <c r="AK430" s="83">
        <f t="shared" si="2510"/>
        <v>0</v>
      </c>
      <c r="AL430" s="83">
        <f t="shared" si="2511"/>
        <v>0</v>
      </c>
      <c r="AN430" s="43">
        <f t="shared" si="2484"/>
        <v>0</v>
      </c>
      <c r="AP430" t="str">
        <f t="shared" si="2512"/>
        <v/>
      </c>
      <c r="AQ430" t="str">
        <f t="shared" si="2513"/>
        <v/>
      </c>
      <c r="AR430" t="str">
        <f t="shared" si="2514"/>
        <v/>
      </c>
      <c r="AS430" t="str">
        <f t="shared" si="2515"/>
        <v/>
      </c>
      <c r="AT430" t="str">
        <f t="shared" si="2516"/>
        <v/>
      </c>
      <c r="AU430" t="str">
        <f t="shared" si="2517"/>
        <v/>
      </c>
      <c r="AV430" t="str">
        <f t="shared" si="2518"/>
        <v/>
      </c>
      <c r="AW430" t="str">
        <f t="shared" si="2519"/>
        <v xml:space="preserve">                              </v>
      </c>
      <c r="AX430" s="23">
        <f t="shared" si="2520"/>
        <v>0</v>
      </c>
      <c r="AY430" s="49" t="str">
        <f t="shared" si="2496"/>
        <v>000000000000000</v>
      </c>
      <c r="AZ430" s="23">
        <f t="shared" si="2521"/>
        <v>0</v>
      </c>
      <c r="BA430" s="49" t="str">
        <f t="shared" si="2496"/>
        <v>000000000000000</v>
      </c>
      <c r="BB430" s="23">
        <f t="shared" si="2522"/>
        <v>0</v>
      </c>
      <c r="BC430" s="49" t="str">
        <f t="shared" ref="BC430" si="2733">IF(BB430&lt;0,SUBSTITUTE(TEXT(BB430,"000000000000,00"),",",""),SUBSTITUTE(TEXT(BB430,"0000000000000,00"),",",""))</f>
        <v>000000000000000</v>
      </c>
      <c r="BD430" s="23">
        <f t="shared" si="2524"/>
        <v>0</v>
      </c>
      <c r="BE430" s="49" t="str">
        <f t="shared" ref="BE430" si="2734">IF(BD430&lt;0,SUBSTITUTE(TEXT(BD430,"000000000000,00"),",",""),SUBSTITUTE(TEXT(BD430,"0000000000000,00"),",",""))</f>
        <v>000000000000000</v>
      </c>
      <c r="BF430" s="23">
        <f t="shared" si="2526"/>
        <v>0</v>
      </c>
      <c r="BG430" s="49" t="str">
        <f t="shared" ref="BG430" si="2735">IF(BF430&lt;0,SUBSTITUTE(TEXT(BF430,"000000000000,00"),",",""),SUBSTITUTE(TEXT(BF430,"0000000000000,00"),",",""))</f>
        <v>000000000000000</v>
      </c>
      <c r="BH430" s="23">
        <f t="shared" si="2528"/>
        <v>0</v>
      </c>
      <c r="BI430" s="49" t="str">
        <f t="shared" ref="BI430" si="2736">IF(BH430&lt;0,SUBSTITUTE(TEXT(BH430,"000000000000,00"),",",""),SUBSTITUTE(TEXT(BH430,"0000000000000,00"),",",""))</f>
        <v>000000000000000</v>
      </c>
      <c r="BJ430" s="23">
        <f t="shared" si="2530"/>
        <v>0</v>
      </c>
      <c r="BK430" s="49" t="str">
        <f t="shared" ref="BK430" si="2737">IF(BJ430&lt;0,SUBSTITUTE(TEXT(BJ430,"000000000000,00"),",",""),SUBSTITUTE(TEXT(BJ430,"0000000000000,00"),",",""))</f>
        <v>000000000000000</v>
      </c>
      <c r="BL430" s="23">
        <f t="shared" si="2532"/>
        <v>0</v>
      </c>
      <c r="BM430" s="49" t="str">
        <f t="shared" ref="BM430" si="2738">IF(BL430&lt;0,SUBSTITUTE(TEXT(BL430,"000000000000,00"),",",""),SUBSTITUTE(TEXT(BL430,"0000000000000,00"),",",""))</f>
        <v>000000000000000</v>
      </c>
      <c r="BN430" t="str">
        <f t="shared" si="2534"/>
        <v>PES</v>
      </c>
      <c r="BO430" t="str">
        <f t="shared" si="2535"/>
        <v>0001000000</v>
      </c>
      <c r="BP430">
        <f t="shared" si="2536"/>
        <v>0</v>
      </c>
      <c r="BQ430">
        <f t="shared" si="2537"/>
        <v>0</v>
      </c>
      <c r="BR430" s="23">
        <f t="shared" si="2538"/>
        <v>0</v>
      </c>
      <c r="BS430" s="49" t="str">
        <f t="shared" si="2503"/>
        <v>000000000000000</v>
      </c>
      <c r="BT430" t="str">
        <f t="shared" si="2539"/>
        <v>00000000</v>
      </c>
      <c r="BU430" s="23">
        <f t="shared" si="2540"/>
        <v>0</v>
      </c>
      <c r="BV430" s="49" t="str">
        <f t="shared" si="2504"/>
        <v/>
      </c>
      <c r="BW430" s="52" t="str">
        <f t="shared" si="2541"/>
        <v/>
      </c>
      <c r="BX430" s="23">
        <f t="shared" si="2542"/>
        <v>0</v>
      </c>
      <c r="BY430" s="49" t="str">
        <f t="shared" si="2505"/>
        <v/>
      </c>
      <c r="BZ430" s="23">
        <f t="shared" si="2543"/>
        <v>0</v>
      </c>
      <c r="CA430" s="49" t="str">
        <f t="shared" si="2506"/>
        <v/>
      </c>
      <c r="CB430" s="52" t="str">
        <f t="shared" si="2544"/>
        <v/>
      </c>
      <c r="CC430" s="23">
        <f t="shared" si="2545"/>
        <v>0</v>
      </c>
      <c r="CD430" s="49" t="str">
        <f t="shared" si="2507"/>
        <v/>
      </c>
      <c r="CE430" s="56" t="str">
        <f>IF(CF430="","",MAX(CE$10:$CE429)+1)</f>
        <v/>
      </c>
      <c r="CF430" t="str">
        <f t="shared" si="2546"/>
        <v/>
      </c>
      <c r="CG430" s="22" t="str">
        <f>IF(CH430="","",MAX($CG$10:CG429)+1)</f>
        <v/>
      </c>
      <c r="CH430" s="22" t="str">
        <f t="shared" si="2491"/>
        <v/>
      </c>
      <c r="CI430" s="22" t="str">
        <f>IF(CJ430="","",MAX($CI$10:CI429)+1)</f>
        <v/>
      </c>
      <c r="CJ430" s="22" t="str">
        <f t="shared" si="2492"/>
        <v/>
      </c>
    </row>
    <row r="431" spans="2:88" x14ac:dyDescent="0.25">
      <c r="B431" s="37"/>
      <c r="C431" s="3"/>
      <c r="D431" s="77" t="str">
        <f t="shared" si="2478"/>
        <v/>
      </c>
      <c r="E431" s="38"/>
      <c r="F431" s="38"/>
      <c r="G431" s="78">
        <f t="shared" si="2493"/>
        <v>0</v>
      </c>
      <c r="H431" s="3">
        <v>80</v>
      </c>
      <c r="I431" s="77" t="str">
        <f t="shared" si="2479"/>
        <v/>
      </c>
      <c r="J431" s="32"/>
      <c r="K431" s="3"/>
      <c r="L431" s="39"/>
      <c r="M431" s="39"/>
      <c r="N431" s="39"/>
      <c r="O431" s="39"/>
      <c r="P431" s="39"/>
      <c r="Q431" s="39"/>
      <c r="R431" s="39"/>
      <c r="S431" s="39"/>
      <c r="T431" s="3" t="s">
        <v>645</v>
      </c>
      <c r="U431" s="77" t="str">
        <f t="shared" si="2480"/>
        <v/>
      </c>
      <c r="V431" s="39">
        <v>1</v>
      </c>
      <c r="W431" s="79">
        <f t="shared" si="2494"/>
        <v>0</v>
      </c>
      <c r="X431" s="3">
        <v>0</v>
      </c>
      <c r="Y431" s="77" t="str">
        <f t="shared" si="2481"/>
        <v/>
      </c>
      <c r="Z431" s="3"/>
      <c r="AA431" s="37" t="str">
        <f t="shared" si="2495"/>
        <v/>
      </c>
      <c r="AC431" s="40"/>
      <c r="AD431" s="7"/>
      <c r="AE431" s="77" t="str">
        <f t="shared" si="2482"/>
        <v/>
      </c>
      <c r="AF431" s="81">
        <f t="shared" si="2508"/>
        <v>0</v>
      </c>
      <c r="AG431" s="40"/>
      <c r="AH431" s="7"/>
      <c r="AI431" s="77" t="str">
        <f t="shared" si="2483"/>
        <v/>
      </c>
      <c r="AJ431" s="81">
        <f t="shared" si="2509"/>
        <v>0</v>
      </c>
      <c r="AK431" s="83">
        <f t="shared" si="2510"/>
        <v>0</v>
      </c>
      <c r="AL431" s="83">
        <f t="shared" si="2511"/>
        <v>0</v>
      </c>
      <c r="AN431" s="43">
        <f t="shared" si="2484"/>
        <v>0</v>
      </c>
      <c r="AP431" t="str">
        <f t="shared" si="2512"/>
        <v/>
      </c>
      <c r="AQ431" t="str">
        <f t="shared" si="2513"/>
        <v/>
      </c>
      <c r="AR431" t="str">
        <f t="shared" si="2514"/>
        <v/>
      </c>
      <c r="AS431" t="str">
        <f t="shared" si="2515"/>
        <v/>
      </c>
      <c r="AT431" t="str">
        <f t="shared" si="2516"/>
        <v/>
      </c>
      <c r="AU431" t="str">
        <f t="shared" si="2517"/>
        <v/>
      </c>
      <c r="AV431" t="str">
        <f t="shared" si="2518"/>
        <v/>
      </c>
      <c r="AW431" t="str">
        <f t="shared" si="2519"/>
        <v xml:space="preserve">                              </v>
      </c>
      <c r="AX431" s="23">
        <f t="shared" si="2520"/>
        <v>0</v>
      </c>
      <c r="AY431" s="49" t="str">
        <f t="shared" si="2496"/>
        <v>000000000000000</v>
      </c>
      <c r="AZ431" s="23">
        <f t="shared" si="2521"/>
        <v>0</v>
      </c>
      <c r="BA431" s="49" t="str">
        <f t="shared" si="2496"/>
        <v>000000000000000</v>
      </c>
      <c r="BB431" s="23">
        <f t="shared" si="2522"/>
        <v>0</v>
      </c>
      <c r="BC431" s="49" t="str">
        <f t="shared" ref="BC431" si="2739">IF(BB431&lt;0,SUBSTITUTE(TEXT(BB431,"000000000000,00"),",",""),SUBSTITUTE(TEXT(BB431,"0000000000000,00"),",",""))</f>
        <v>000000000000000</v>
      </c>
      <c r="BD431" s="23">
        <f t="shared" si="2524"/>
        <v>0</v>
      </c>
      <c r="BE431" s="49" t="str">
        <f t="shared" ref="BE431" si="2740">IF(BD431&lt;0,SUBSTITUTE(TEXT(BD431,"000000000000,00"),",",""),SUBSTITUTE(TEXT(BD431,"0000000000000,00"),",",""))</f>
        <v>000000000000000</v>
      </c>
      <c r="BF431" s="23">
        <f t="shared" si="2526"/>
        <v>0</v>
      </c>
      <c r="BG431" s="49" t="str">
        <f t="shared" ref="BG431" si="2741">IF(BF431&lt;0,SUBSTITUTE(TEXT(BF431,"000000000000,00"),",",""),SUBSTITUTE(TEXT(BF431,"0000000000000,00"),",",""))</f>
        <v>000000000000000</v>
      </c>
      <c r="BH431" s="23">
        <f t="shared" si="2528"/>
        <v>0</v>
      </c>
      <c r="BI431" s="49" t="str">
        <f t="shared" ref="BI431" si="2742">IF(BH431&lt;0,SUBSTITUTE(TEXT(BH431,"000000000000,00"),",",""),SUBSTITUTE(TEXT(BH431,"0000000000000,00"),",",""))</f>
        <v>000000000000000</v>
      </c>
      <c r="BJ431" s="23">
        <f t="shared" si="2530"/>
        <v>0</v>
      </c>
      <c r="BK431" s="49" t="str">
        <f t="shared" ref="BK431" si="2743">IF(BJ431&lt;0,SUBSTITUTE(TEXT(BJ431,"000000000000,00"),",",""),SUBSTITUTE(TEXT(BJ431,"0000000000000,00"),",",""))</f>
        <v>000000000000000</v>
      </c>
      <c r="BL431" s="23">
        <f t="shared" si="2532"/>
        <v>0</v>
      </c>
      <c r="BM431" s="49" t="str">
        <f t="shared" ref="BM431" si="2744">IF(BL431&lt;0,SUBSTITUTE(TEXT(BL431,"000000000000,00"),",",""),SUBSTITUTE(TEXT(BL431,"0000000000000,00"),",",""))</f>
        <v>000000000000000</v>
      </c>
      <c r="BN431" t="str">
        <f t="shared" si="2534"/>
        <v>PES</v>
      </c>
      <c r="BO431" t="str">
        <f t="shared" si="2535"/>
        <v>0001000000</v>
      </c>
      <c r="BP431">
        <f t="shared" si="2536"/>
        <v>0</v>
      </c>
      <c r="BQ431">
        <f t="shared" si="2537"/>
        <v>0</v>
      </c>
      <c r="BR431" s="23">
        <f t="shared" si="2538"/>
        <v>0</v>
      </c>
      <c r="BS431" s="49" t="str">
        <f t="shared" si="2503"/>
        <v>000000000000000</v>
      </c>
      <c r="BT431" t="str">
        <f t="shared" si="2539"/>
        <v>00000000</v>
      </c>
      <c r="BU431" s="23">
        <f t="shared" si="2540"/>
        <v>0</v>
      </c>
      <c r="BV431" s="49" t="str">
        <f t="shared" si="2504"/>
        <v/>
      </c>
      <c r="BW431" s="52" t="str">
        <f t="shared" si="2541"/>
        <v/>
      </c>
      <c r="BX431" s="23">
        <f t="shared" si="2542"/>
        <v>0</v>
      </c>
      <c r="BY431" s="49" t="str">
        <f t="shared" si="2505"/>
        <v/>
      </c>
      <c r="BZ431" s="23">
        <f t="shared" si="2543"/>
        <v>0</v>
      </c>
      <c r="CA431" s="49" t="str">
        <f t="shared" si="2506"/>
        <v/>
      </c>
      <c r="CB431" s="52" t="str">
        <f t="shared" si="2544"/>
        <v/>
      </c>
      <c r="CC431" s="23">
        <f t="shared" si="2545"/>
        <v>0</v>
      </c>
      <c r="CD431" s="49" t="str">
        <f t="shared" si="2507"/>
        <v/>
      </c>
      <c r="CE431" s="56" t="str">
        <f>IF(CF431="","",MAX(CE$10:$CE430)+1)</f>
        <v/>
      </c>
      <c r="CF431" t="str">
        <f t="shared" si="2546"/>
        <v/>
      </c>
      <c r="CG431" s="22" t="str">
        <f>IF(CH431="","",MAX($CG$10:CG430)+1)</f>
        <v/>
      </c>
      <c r="CH431" s="22" t="str">
        <f t="shared" si="2491"/>
        <v/>
      </c>
      <c r="CI431" s="22" t="str">
        <f>IF(CJ431="","",MAX($CI$10:CI430)+1)</f>
        <v/>
      </c>
      <c r="CJ431" s="22" t="str">
        <f t="shared" si="2492"/>
        <v/>
      </c>
    </row>
    <row r="432" spans="2:88" x14ac:dyDescent="0.25">
      <c r="B432" s="37"/>
      <c r="C432" s="3"/>
      <c r="D432" s="77" t="str">
        <f t="shared" si="2478"/>
        <v/>
      </c>
      <c r="E432" s="38"/>
      <c r="F432" s="38"/>
      <c r="G432" s="78">
        <f t="shared" si="2493"/>
        <v>0</v>
      </c>
      <c r="H432" s="3">
        <v>80</v>
      </c>
      <c r="I432" s="77" t="str">
        <f t="shared" si="2479"/>
        <v/>
      </c>
      <c r="J432" s="32"/>
      <c r="K432" s="3"/>
      <c r="L432" s="39"/>
      <c r="M432" s="39"/>
      <c r="N432" s="39"/>
      <c r="O432" s="39"/>
      <c r="P432" s="39"/>
      <c r="Q432" s="39"/>
      <c r="R432" s="39"/>
      <c r="S432" s="39"/>
      <c r="T432" s="3" t="s">
        <v>645</v>
      </c>
      <c r="U432" s="77" t="str">
        <f t="shared" si="2480"/>
        <v/>
      </c>
      <c r="V432" s="39">
        <v>1</v>
      </c>
      <c r="W432" s="79">
        <f t="shared" si="2494"/>
        <v>0</v>
      </c>
      <c r="X432" s="3">
        <v>0</v>
      </c>
      <c r="Y432" s="77" t="str">
        <f t="shared" si="2481"/>
        <v/>
      </c>
      <c r="Z432" s="3"/>
      <c r="AA432" s="37" t="str">
        <f t="shared" si="2495"/>
        <v/>
      </c>
      <c r="AC432" s="40"/>
      <c r="AD432" s="7"/>
      <c r="AE432" s="77" t="str">
        <f t="shared" si="2482"/>
        <v/>
      </c>
      <c r="AF432" s="81">
        <f t="shared" si="2508"/>
        <v>0</v>
      </c>
      <c r="AG432" s="40"/>
      <c r="AH432" s="7"/>
      <c r="AI432" s="77" t="str">
        <f t="shared" si="2483"/>
        <v/>
      </c>
      <c r="AJ432" s="81">
        <f t="shared" si="2509"/>
        <v>0</v>
      </c>
      <c r="AK432" s="83">
        <f t="shared" si="2510"/>
        <v>0</v>
      </c>
      <c r="AL432" s="83">
        <f t="shared" si="2511"/>
        <v>0</v>
      </c>
      <c r="AN432" s="43">
        <f t="shared" si="2484"/>
        <v>0</v>
      </c>
      <c r="AP432" t="str">
        <f t="shared" si="2512"/>
        <v/>
      </c>
      <c r="AQ432" t="str">
        <f t="shared" si="2513"/>
        <v/>
      </c>
      <c r="AR432" t="str">
        <f t="shared" si="2514"/>
        <v/>
      </c>
      <c r="AS432" t="str">
        <f t="shared" si="2515"/>
        <v/>
      </c>
      <c r="AT432" t="str">
        <f t="shared" si="2516"/>
        <v/>
      </c>
      <c r="AU432" t="str">
        <f t="shared" si="2517"/>
        <v/>
      </c>
      <c r="AV432" t="str">
        <f t="shared" si="2518"/>
        <v/>
      </c>
      <c r="AW432" t="str">
        <f t="shared" si="2519"/>
        <v xml:space="preserve">                              </v>
      </c>
      <c r="AX432" s="23">
        <f t="shared" si="2520"/>
        <v>0</v>
      </c>
      <c r="AY432" s="49" t="str">
        <f t="shared" si="2496"/>
        <v>000000000000000</v>
      </c>
      <c r="AZ432" s="23">
        <f t="shared" si="2521"/>
        <v>0</v>
      </c>
      <c r="BA432" s="49" t="str">
        <f t="shared" si="2496"/>
        <v>000000000000000</v>
      </c>
      <c r="BB432" s="23">
        <f t="shared" si="2522"/>
        <v>0</v>
      </c>
      <c r="BC432" s="49" t="str">
        <f t="shared" ref="BC432" si="2745">IF(BB432&lt;0,SUBSTITUTE(TEXT(BB432,"000000000000,00"),",",""),SUBSTITUTE(TEXT(BB432,"0000000000000,00"),",",""))</f>
        <v>000000000000000</v>
      </c>
      <c r="BD432" s="23">
        <f t="shared" si="2524"/>
        <v>0</v>
      </c>
      <c r="BE432" s="49" t="str">
        <f t="shared" ref="BE432" si="2746">IF(BD432&lt;0,SUBSTITUTE(TEXT(BD432,"000000000000,00"),",",""),SUBSTITUTE(TEXT(BD432,"0000000000000,00"),",",""))</f>
        <v>000000000000000</v>
      </c>
      <c r="BF432" s="23">
        <f t="shared" si="2526"/>
        <v>0</v>
      </c>
      <c r="BG432" s="49" t="str">
        <f t="shared" ref="BG432" si="2747">IF(BF432&lt;0,SUBSTITUTE(TEXT(BF432,"000000000000,00"),",",""),SUBSTITUTE(TEXT(BF432,"0000000000000,00"),",",""))</f>
        <v>000000000000000</v>
      </c>
      <c r="BH432" s="23">
        <f t="shared" si="2528"/>
        <v>0</v>
      </c>
      <c r="BI432" s="49" t="str">
        <f t="shared" ref="BI432" si="2748">IF(BH432&lt;0,SUBSTITUTE(TEXT(BH432,"000000000000,00"),",",""),SUBSTITUTE(TEXT(BH432,"0000000000000,00"),",",""))</f>
        <v>000000000000000</v>
      </c>
      <c r="BJ432" s="23">
        <f t="shared" si="2530"/>
        <v>0</v>
      </c>
      <c r="BK432" s="49" t="str">
        <f t="shared" ref="BK432" si="2749">IF(BJ432&lt;0,SUBSTITUTE(TEXT(BJ432,"000000000000,00"),",",""),SUBSTITUTE(TEXT(BJ432,"0000000000000,00"),",",""))</f>
        <v>000000000000000</v>
      </c>
      <c r="BL432" s="23">
        <f t="shared" si="2532"/>
        <v>0</v>
      </c>
      <c r="BM432" s="49" t="str">
        <f t="shared" ref="BM432" si="2750">IF(BL432&lt;0,SUBSTITUTE(TEXT(BL432,"000000000000,00"),",",""),SUBSTITUTE(TEXT(BL432,"0000000000000,00"),",",""))</f>
        <v>000000000000000</v>
      </c>
      <c r="BN432" t="str">
        <f t="shared" si="2534"/>
        <v>PES</v>
      </c>
      <c r="BO432" t="str">
        <f t="shared" si="2535"/>
        <v>0001000000</v>
      </c>
      <c r="BP432">
        <f t="shared" si="2536"/>
        <v>0</v>
      </c>
      <c r="BQ432">
        <f t="shared" si="2537"/>
        <v>0</v>
      </c>
      <c r="BR432" s="23">
        <f t="shared" si="2538"/>
        <v>0</v>
      </c>
      <c r="BS432" s="49" t="str">
        <f t="shared" si="2503"/>
        <v>000000000000000</v>
      </c>
      <c r="BT432" t="str">
        <f t="shared" si="2539"/>
        <v>00000000</v>
      </c>
      <c r="BU432" s="23">
        <f t="shared" si="2540"/>
        <v>0</v>
      </c>
      <c r="BV432" s="49" t="str">
        <f t="shared" si="2504"/>
        <v/>
      </c>
      <c r="BW432" s="52" t="str">
        <f t="shared" si="2541"/>
        <v/>
      </c>
      <c r="BX432" s="23">
        <f t="shared" si="2542"/>
        <v>0</v>
      </c>
      <c r="BY432" s="49" t="str">
        <f t="shared" si="2505"/>
        <v/>
      </c>
      <c r="BZ432" s="23">
        <f t="shared" si="2543"/>
        <v>0</v>
      </c>
      <c r="CA432" s="49" t="str">
        <f t="shared" si="2506"/>
        <v/>
      </c>
      <c r="CB432" s="52" t="str">
        <f t="shared" si="2544"/>
        <v/>
      </c>
      <c r="CC432" s="23">
        <f t="shared" si="2545"/>
        <v>0</v>
      </c>
      <c r="CD432" s="49" t="str">
        <f t="shared" si="2507"/>
        <v/>
      </c>
      <c r="CE432" s="56" t="str">
        <f>IF(CF432="","",MAX(CE$10:$CE431)+1)</f>
        <v/>
      </c>
      <c r="CF432" t="str">
        <f t="shared" si="2546"/>
        <v/>
      </c>
      <c r="CG432" s="22" t="str">
        <f>IF(CH432="","",MAX($CG$10:CG431)+1)</f>
        <v/>
      </c>
      <c r="CH432" s="22" t="str">
        <f t="shared" si="2491"/>
        <v/>
      </c>
      <c r="CI432" s="22" t="str">
        <f>IF(CJ432="","",MAX($CI$10:CI431)+1)</f>
        <v/>
      </c>
      <c r="CJ432" s="22" t="str">
        <f t="shared" si="2492"/>
        <v/>
      </c>
    </row>
    <row r="433" spans="2:88" x14ac:dyDescent="0.25">
      <c r="B433" s="37"/>
      <c r="C433" s="3"/>
      <c r="D433" s="77" t="str">
        <f t="shared" si="2478"/>
        <v/>
      </c>
      <c r="E433" s="38"/>
      <c r="F433" s="38"/>
      <c r="G433" s="78">
        <f t="shared" si="2493"/>
        <v>0</v>
      </c>
      <c r="H433" s="3">
        <v>80</v>
      </c>
      <c r="I433" s="77" t="str">
        <f t="shared" si="2479"/>
        <v/>
      </c>
      <c r="J433" s="32"/>
      <c r="K433" s="3"/>
      <c r="L433" s="39"/>
      <c r="M433" s="39"/>
      <c r="N433" s="39"/>
      <c r="O433" s="39"/>
      <c r="P433" s="39"/>
      <c r="Q433" s="39"/>
      <c r="R433" s="39"/>
      <c r="S433" s="39"/>
      <c r="T433" s="3" t="s">
        <v>645</v>
      </c>
      <c r="U433" s="77" t="str">
        <f t="shared" si="2480"/>
        <v/>
      </c>
      <c r="V433" s="39">
        <v>1</v>
      </c>
      <c r="W433" s="79">
        <f t="shared" si="2494"/>
        <v>0</v>
      </c>
      <c r="X433" s="3">
        <v>0</v>
      </c>
      <c r="Y433" s="77" t="str">
        <f t="shared" si="2481"/>
        <v/>
      </c>
      <c r="Z433" s="3"/>
      <c r="AA433" s="37" t="str">
        <f t="shared" si="2495"/>
        <v/>
      </c>
      <c r="AC433" s="40"/>
      <c r="AD433" s="7"/>
      <c r="AE433" s="77" t="str">
        <f t="shared" si="2482"/>
        <v/>
      </c>
      <c r="AF433" s="81">
        <f t="shared" si="2508"/>
        <v>0</v>
      </c>
      <c r="AG433" s="40"/>
      <c r="AH433" s="7"/>
      <c r="AI433" s="77" t="str">
        <f t="shared" si="2483"/>
        <v/>
      </c>
      <c r="AJ433" s="81">
        <f t="shared" si="2509"/>
        <v>0</v>
      </c>
      <c r="AK433" s="83">
        <f t="shared" si="2510"/>
        <v>0</v>
      </c>
      <c r="AL433" s="83">
        <f t="shared" si="2511"/>
        <v>0</v>
      </c>
      <c r="AN433" s="43">
        <f t="shared" si="2484"/>
        <v>0</v>
      </c>
      <c r="AP433" t="str">
        <f t="shared" si="2512"/>
        <v/>
      </c>
      <c r="AQ433" t="str">
        <f t="shared" si="2513"/>
        <v/>
      </c>
      <c r="AR433" t="str">
        <f t="shared" si="2514"/>
        <v/>
      </c>
      <c r="AS433" t="str">
        <f t="shared" si="2515"/>
        <v/>
      </c>
      <c r="AT433" t="str">
        <f t="shared" si="2516"/>
        <v/>
      </c>
      <c r="AU433" t="str">
        <f t="shared" si="2517"/>
        <v/>
      </c>
      <c r="AV433" t="str">
        <f t="shared" si="2518"/>
        <v/>
      </c>
      <c r="AW433" t="str">
        <f t="shared" si="2519"/>
        <v xml:space="preserve">                              </v>
      </c>
      <c r="AX433" s="23">
        <f t="shared" si="2520"/>
        <v>0</v>
      </c>
      <c r="AY433" s="49" t="str">
        <f t="shared" si="2496"/>
        <v>000000000000000</v>
      </c>
      <c r="AZ433" s="23">
        <f t="shared" si="2521"/>
        <v>0</v>
      </c>
      <c r="BA433" s="49" t="str">
        <f t="shared" si="2496"/>
        <v>000000000000000</v>
      </c>
      <c r="BB433" s="23">
        <f t="shared" si="2522"/>
        <v>0</v>
      </c>
      <c r="BC433" s="49" t="str">
        <f t="shared" ref="BC433" si="2751">IF(BB433&lt;0,SUBSTITUTE(TEXT(BB433,"000000000000,00"),",",""),SUBSTITUTE(TEXT(BB433,"0000000000000,00"),",",""))</f>
        <v>000000000000000</v>
      </c>
      <c r="BD433" s="23">
        <f t="shared" si="2524"/>
        <v>0</v>
      </c>
      <c r="BE433" s="49" t="str">
        <f t="shared" ref="BE433" si="2752">IF(BD433&lt;0,SUBSTITUTE(TEXT(BD433,"000000000000,00"),",",""),SUBSTITUTE(TEXT(BD433,"0000000000000,00"),",",""))</f>
        <v>000000000000000</v>
      </c>
      <c r="BF433" s="23">
        <f t="shared" si="2526"/>
        <v>0</v>
      </c>
      <c r="BG433" s="49" t="str">
        <f t="shared" ref="BG433" si="2753">IF(BF433&lt;0,SUBSTITUTE(TEXT(BF433,"000000000000,00"),",",""),SUBSTITUTE(TEXT(BF433,"0000000000000,00"),",",""))</f>
        <v>000000000000000</v>
      </c>
      <c r="BH433" s="23">
        <f t="shared" si="2528"/>
        <v>0</v>
      </c>
      <c r="BI433" s="49" t="str">
        <f t="shared" ref="BI433" si="2754">IF(BH433&lt;0,SUBSTITUTE(TEXT(BH433,"000000000000,00"),",",""),SUBSTITUTE(TEXT(BH433,"0000000000000,00"),",",""))</f>
        <v>000000000000000</v>
      </c>
      <c r="BJ433" s="23">
        <f t="shared" si="2530"/>
        <v>0</v>
      </c>
      <c r="BK433" s="49" t="str">
        <f t="shared" ref="BK433" si="2755">IF(BJ433&lt;0,SUBSTITUTE(TEXT(BJ433,"000000000000,00"),",",""),SUBSTITUTE(TEXT(BJ433,"0000000000000,00"),",",""))</f>
        <v>000000000000000</v>
      </c>
      <c r="BL433" s="23">
        <f t="shared" si="2532"/>
        <v>0</v>
      </c>
      <c r="BM433" s="49" t="str">
        <f t="shared" ref="BM433" si="2756">IF(BL433&lt;0,SUBSTITUTE(TEXT(BL433,"000000000000,00"),",",""),SUBSTITUTE(TEXT(BL433,"0000000000000,00"),",",""))</f>
        <v>000000000000000</v>
      </c>
      <c r="BN433" t="str">
        <f t="shared" si="2534"/>
        <v>PES</v>
      </c>
      <c r="BO433" t="str">
        <f t="shared" si="2535"/>
        <v>0001000000</v>
      </c>
      <c r="BP433">
        <f t="shared" si="2536"/>
        <v>0</v>
      </c>
      <c r="BQ433">
        <f t="shared" si="2537"/>
        <v>0</v>
      </c>
      <c r="BR433" s="23">
        <f t="shared" si="2538"/>
        <v>0</v>
      </c>
      <c r="BS433" s="49" t="str">
        <f t="shared" si="2503"/>
        <v>000000000000000</v>
      </c>
      <c r="BT433" t="str">
        <f t="shared" si="2539"/>
        <v>00000000</v>
      </c>
      <c r="BU433" s="23">
        <f t="shared" si="2540"/>
        <v>0</v>
      </c>
      <c r="BV433" s="49" t="str">
        <f t="shared" si="2504"/>
        <v/>
      </c>
      <c r="BW433" s="52" t="str">
        <f t="shared" si="2541"/>
        <v/>
      </c>
      <c r="BX433" s="23">
        <f t="shared" si="2542"/>
        <v>0</v>
      </c>
      <c r="BY433" s="49" t="str">
        <f t="shared" si="2505"/>
        <v/>
      </c>
      <c r="BZ433" s="23">
        <f t="shared" si="2543"/>
        <v>0</v>
      </c>
      <c r="CA433" s="49" t="str">
        <f t="shared" si="2506"/>
        <v/>
      </c>
      <c r="CB433" s="52" t="str">
        <f t="shared" si="2544"/>
        <v/>
      </c>
      <c r="CC433" s="23">
        <f t="shared" si="2545"/>
        <v>0</v>
      </c>
      <c r="CD433" s="49" t="str">
        <f t="shared" si="2507"/>
        <v/>
      </c>
      <c r="CE433" s="56" t="str">
        <f>IF(CF433="","",MAX(CE$10:$CE432)+1)</f>
        <v/>
      </c>
      <c r="CF433" t="str">
        <f t="shared" si="2546"/>
        <v/>
      </c>
      <c r="CG433" s="22" t="str">
        <f>IF(CH433="","",MAX($CG$10:CG432)+1)</f>
        <v/>
      </c>
      <c r="CH433" s="22" t="str">
        <f t="shared" si="2491"/>
        <v/>
      </c>
      <c r="CI433" s="22" t="str">
        <f>IF(CJ433="","",MAX($CI$10:CI432)+1)</f>
        <v/>
      </c>
      <c r="CJ433" s="22" t="str">
        <f t="shared" si="2492"/>
        <v/>
      </c>
    </row>
    <row r="434" spans="2:88" x14ac:dyDescent="0.25">
      <c r="B434" s="37"/>
      <c r="C434" s="3"/>
      <c r="D434" s="77" t="str">
        <f t="shared" si="2478"/>
        <v/>
      </c>
      <c r="E434" s="38"/>
      <c r="F434" s="38"/>
      <c r="G434" s="78">
        <f t="shared" si="2493"/>
        <v>0</v>
      </c>
      <c r="H434" s="3">
        <v>80</v>
      </c>
      <c r="I434" s="77" t="str">
        <f t="shared" si="2479"/>
        <v/>
      </c>
      <c r="J434" s="32"/>
      <c r="K434" s="3"/>
      <c r="L434" s="39"/>
      <c r="M434" s="39"/>
      <c r="N434" s="39"/>
      <c r="O434" s="39"/>
      <c r="P434" s="39"/>
      <c r="Q434" s="39"/>
      <c r="R434" s="39"/>
      <c r="S434" s="39"/>
      <c r="T434" s="3" t="s">
        <v>645</v>
      </c>
      <c r="U434" s="77" t="str">
        <f t="shared" si="2480"/>
        <v/>
      </c>
      <c r="V434" s="39">
        <v>1</v>
      </c>
      <c r="W434" s="79">
        <f t="shared" si="2494"/>
        <v>0</v>
      </c>
      <c r="X434" s="3">
        <v>0</v>
      </c>
      <c r="Y434" s="77" t="str">
        <f t="shared" si="2481"/>
        <v/>
      </c>
      <c r="Z434" s="3"/>
      <c r="AA434" s="37" t="str">
        <f t="shared" si="2495"/>
        <v/>
      </c>
      <c r="AC434" s="40"/>
      <c r="AD434" s="7"/>
      <c r="AE434" s="77" t="str">
        <f t="shared" si="2482"/>
        <v/>
      </c>
      <c r="AF434" s="81">
        <f t="shared" si="2508"/>
        <v>0</v>
      </c>
      <c r="AG434" s="40"/>
      <c r="AH434" s="7"/>
      <c r="AI434" s="77" t="str">
        <f t="shared" si="2483"/>
        <v/>
      </c>
      <c r="AJ434" s="81">
        <f t="shared" si="2509"/>
        <v>0</v>
      </c>
      <c r="AK434" s="83">
        <f t="shared" si="2510"/>
        <v>0</v>
      </c>
      <c r="AL434" s="83">
        <f t="shared" si="2511"/>
        <v>0</v>
      </c>
      <c r="AN434" s="43">
        <f t="shared" si="2484"/>
        <v>0</v>
      </c>
      <c r="AP434" t="str">
        <f t="shared" si="2512"/>
        <v/>
      </c>
      <c r="AQ434" t="str">
        <f t="shared" si="2513"/>
        <v/>
      </c>
      <c r="AR434" t="str">
        <f t="shared" si="2514"/>
        <v/>
      </c>
      <c r="AS434" t="str">
        <f t="shared" si="2515"/>
        <v/>
      </c>
      <c r="AT434" t="str">
        <f t="shared" si="2516"/>
        <v/>
      </c>
      <c r="AU434" t="str">
        <f t="shared" si="2517"/>
        <v/>
      </c>
      <c r="AV434" t="str">
        <f t="shared" si="2518"/>
        <v/>
      </c>
      <c r="AW434" t="str">
        <f t="shared" si="2519"/>
        <v xml:space="preserve">                              </v>
      </c>
      <c r="AX434" s="23">
        <f t="shared" si="2520"/>
        <v>0</v>
      </c>
      <c r="AY434" s="49" t="str">
        <f t="shared" si="2496"/>
        <v>000000000000000</v>
      </c>
      <c r="AZ434" s="23">
        <f t="shared" si="2521"/>
        <v>0</v>
      </c>
      <c r="BA434" s="49" t="str">
        <f t="shared" si="2496"/>
        <v>000000000000000</v>
      </c>
      <c r="BB434" s="23">
        <f t="shared" si="2522"/>
        <v>0</v>
      </c>
      <c r="BC434" s="49" t="str">
        <f t="shared" ref="BC434" si="2757">IF(BB434&lt;0,SUBSTITUTE(TEXT(BB434,"000000000000,00"),",",""),SUBSTITUTE(TEXT(BB434,"0000000000000,00"),",",""))</f>
        <v>000000000000000</v>
      </c>
      <c r="BD434" s="23">
        <f t="shared" si="2524"/>
        <v>0</v>
      </c>
      <c r="BE434" s="49" t="str">
        <f t="shared" ref="BE434" si="2758">IF(BD434&lt;0,SUBSTITUTE(TEXT(BD434,"000000000000,00"),",",""),SUBSTITUTE(TEXT(BD434,"0000000000000,00"),",",""))</f>
        <v>000000000000000</v>
      </c>
      <c r="BF434" s="23">
        <f t="shared" si="2526"/>
        <v>0</v>
      </c>
      <c r="BG434" s="49" t="str">
        <f t="shared" ref="BG434" si="2759">IF(BF434&lt;0,SUBSTITUTE(TEXT(BF434,"000000000000,00"),",",""),SUBSTITUTE(TEXT(BF434,"0000000000000,00"),",",""))</f>
        <v>000000000000000</v>
      </c>
      <c r="BH434" s="23">
        <f t="shared" si="2528"/>
        <v>0</v>
      </c>
      <c r="BI434" s="49" t="str">
        <f t="shared" ref="BI434" si="2760">IF(BH434&lt;0,SUBSTITUTE(TEXT(BH434,"000000000000,00"),",",""),SUBSTITUTE(TEXT(BH434,"0000000000000,00"),",",""))</f>
        <v>000000000000000</v>
      </c>
      <c r="BJ434" s="23">
        <f t="shared" si="2530"/>
        <v>0</v>
      </c>
      <c r="BK434" s="49" t="str">
        <f t="shared" ref="BK434" si="2761">IF(BJ434&lt;0,SUBSTITUTE(TEXT(BJ434,"000000000000,00"),",",""),SUBSTITUTE(TEXT(BJ434,"0000000000000,00"),",",""))</f>
        <v>000000000000000</v>
      </c>
      <c r="BL434" s="23">
        <f t="shared" si="2532"/>
        <v>0</v>
      </c>
      <c r="BM434" s="49" t="str">
        <f t="shared" ref="BM434" si="2762">IF(BL434&lt;0,SUBSTITUTE(TEXT(BL434,"000000000000,00"),",",""),SUBSTITUTE(TEXT(BL434,"0000000000000,00"),",",""))</f>
        <v>000000000000000</v>
      </c>
      <c r="BN434" t="str">
        <f t="shared" si="2534"/>
        <v>PES</v>
      </c>
      <c r="BO434" t="str">
        <f t="shared" si="2535"/>
        <v>0001000000</v>
      </c>
      <c r="BP434">
        <f t="shared" si="2536"/>
        <v>0</v>
      </c>
      <c r="BQ434">
        <f t="shared" si="2537"/>
        <v>0</v>
      </c>
      <c r="BR434" s="23">
        <f t="shared" si="2538"/>
        <v>0</v>
      </c>
      <c r="BS434" s="49" t="str">
        <f t="shared" si="2503"/>
        <v>000000000000000</v>
      </c>
      <c r="BT434" t="str">
        <f t="shared" si="2539"/>
        <v>00000000</v>
      </c>
      <c r="BU434" s="23">
        <f t="shared" si="2540"/>
        <v>0</v>
      </c>
      <c r="BV434" s="49" t="str">
        <f t="shared" si="2504"/>
        <v/>
      </c>
      <c r="BW434" s="52" t="str">
        <f t="shared" si="2541"/>
        <v/>
      </c>
      <c r="BX434" s="23">
        <f t="shared" si="2542"/>
        <v>0</v>
      </c>
      <c r="BY434" s="49" t="str">
        <f t="shared" si="2505"/>
        <v/>
      </c>
      <c r="BZ434" s="23">
        <f t="shared" si="2543"/>
        <v>0</v>
      </c>
      <c r="CA434" s="49" t="str">
        <f t="shared" si="2506"/>
        <v/>
      </c>
      <c r="CB434" s="52" t="str">
        <f t="shared" si="2544"/>
        <v/>
      </c>
      <c r="CC434" s="23">
        <f t="shared" si="2545"/>
        <v>0</v>
      </c>
      <c r="CD434" s="49" t="str">
        <f t="shared" si="2507"/>
        <v/>
      </c>
      <c r="CE434" s="56" t="str">
        <f>IF(CF434="","",MAX(CE$10:$CE433)+1)</f>
        <v/>
      </c>
      <c r="CF434" t="str">
        <f t="shared" si="2546"/>
        <v/>
      </c>
      <c r="CG434" s="22" t="str">
        <f>IF(CH434="","",MAX($CG$10:CG433)+1)</f>
        <v/>
      </c>
      <c r="CH434" s="22" t="str">
        <f t="shared" si="2491"/>
        <v/>
      </c>
      <c r="CI434" s="22" t="str">
        <f>IF(CJ434="","",MAX($CI$10:CI433)+1)</f>
        <v/>
      </c>
      <c r="CJ434" s="22" t="str">
        <f t="shared" si="2492"/>
        <v/>
      </c>
    </row>
    <row r="435" spans="2:88" x14ac:dyDescent="0.25">
      <c r="B435" s="37"/>
      <c r="C435" s="3"/>
      <c r="D435" s="77" t="str">
        <f t="shared" si="2478"/>
        <v/>
      </c>
      <c r="E435" s="38"/>
      <c r="F435" s="38"/>
      <c r="G435" s="78">
        <f t="shared" si="2493"/>
        <v>0</v>
      </c>
      <c r="H435" s="3">
        <v>80</v>
      </c>
      <c r="I435" s="77" t="str">
        <f t="shared" si="2479"/>
        <v/>
      </c>
      <c r="J435" s="32"/>
      <c r="K435" s="3"/>
      <c r="L435" s="39"/>
      <c r="M435" s="39"/>
      <c r="N435" s="39"/>
      <c r="O435" s="39"/>
      <c r="P435" s="39"/>
      <c r="Q435" s="39"/>
      <c r="R435" s="39"/>
      <c r="S435" s="39"/>
      <c r="T435" s="3" t="s">
        <v>645</v>
      </c>
      <c r="U435" s="77" t="str">
        <f t="shared" si="2480"/>
        <v/>
      </c>
      <c r="V435" s="39">
        <v>1</v>
      </c>
      <c r="W435" s="79">
        <f t="shared" si="2494"/>
        <v>0</v>
      </c>
      <c r="X435" s="3">
        <v>0</v>
      </c>
      <c r="Y435" s="77" t="str">
        <f t="shared" si="2481"/>
        <v/>
      </c>
      <c r="Z435" s="3"/>
      <c r="AA435" s="37" t="str">
        <f t="shared" si="2495"/>
        <v/>
      </c>
      <c r="AC435" s="40"/>
      <c r="AD435" s="7"/>
      <c r="AE435" s="77" t="str">
        <f t="shared" si="2482"/>
        <v/>
      </c>
      <c r="AF435" s="81">
        <f t="shared" si="2508"/>
        <v>0</v>
      </c>
      <c r="AG435" s="40"/>
      <c r="AH435" s="7"/>
      <c r="AI435" s="77" t="str">
        <f t="shared" si="2483"/>
        <v/>
      </c>
      <c r="AJ435" s="81">
        <f t="shared" si="2509"/>
        <v>0</v>
      </c>
      <c r="AK435" s="83">
        <f t="shared" si="2510"/>
        <v>0</v>
      </c>
      <c r="AL435" s="83">
        <f t="shared" si="2511"/>
        <v>0</v>
      </c>
      <c r="AN435" s="43">
        <f t="shared" si="2484"/>
        <v>0</v>
      </c>
      <c r="AP435" t="str">
        <f t="shared" si="2512"/>
        <v/>
      </c>
      <c r="AQ435" t="str">
        <f t="shared" si="2513"/>
        <v/>
      </c>
      <c r="AR435" t="str">
        <f t="shared" si="2514"/>
        <v/>
      </c>
      <c r="AS435" t="str">
        <f t="shared" si="2515"/>
        <v/>
      </c>
      <c r="AT435" t="str">
        <f t="shared" si="2516"/>
        <v/>
      </c>
      <c r="AU435" t="str">
        <f t="shared" si="2517"/>
        <v/>
      </c>
      <c r="AV435" t="str">
        <f t="shared" si="2518"/>
        <v/>
      </c>
      <c r="AW435" t="str">
        <f t="shared" si="2519"/>
        <v xml:space="preserve">                              </v>
      </c>
      <c r="AX435" s="23">
        <f t="shared" si="2520"/>
        <v>0</v>
      </c>
      <c r="AY435" s="49" t="str">
        <f t="shared" si="2496"/>
        <v>000000000000000</v>
      </c>
      <c r="AZ435" s="23">
        <f t="shared" si="2521"/>
        <v>0</v>
      </c>
      <c r="BA435" s="49" t="str">
        <f t="shared" si="2496"/>
        <v>000000000000000</v>
      </c>
      <c r="BB435" s="23">
        <f t="shared" si="2522"/>
        <v>0</v>
      </c>
      <c r="BC435" s="49" t="str">
        <f t="shared" ref="BC435" si="2763">IF(BB435&lt;0,SUBSTITUTE(TEXT(BB435,"000000000000,00"),",",""),SUBSTITUTE(TEXT(BB435,"0000000000000,00"),",",""))</f>
        <v>000000000000000</v>
      </c>
      <c r="BD435" s="23">
        <f t="shared" si="2524"/>
        <v>0</v>
      </c>
      <c r="BE435" s="49" t="str">
        <f t="shared" ref="BE435" si="2764">IF(BD435&lt;0,SUBSTITUTE(TEXT(BD435,"000000000000,00"),",",""),SUBSTITUTE(TEXT(BD435,"0000000000000,00"),",",""))</f>
        <v>000000000000000</v>
      </c>
      <c r="BF435" s="23">
        <f t="shared" si="2526"/>
        <v>0</v>
      </c>
      <c r="BG435" s="49" t="str">
        <f t="shared" ref="BG435" si="2765">IF(BF435&lt;0,SUBSTITUTE(TEXT(BF435,"000000000000,00"),",",""),SUBSTITUTE(TEXT(BF435,"0000000000000,00"),",",""))</f>
        <v>000000000000000</v>
      </c>
      <c r="BH435" s="23">
        <f t="shared" si="2528"/>
        <v>0</v>
      </c>
      <c r="BI435" s="49" t="str">
        <f t="shared" ref="BI435" si="2766">IF(BH435&lt;0,SUBSTITUTE(TEXT(BH435,"000000000000,00"),",",""),SUBSTITUTE(TEXT(BH435,"0000000000000,00"),",",""))</f>
        <v>000000000000000</v>
      </c>
      <c r="BJ435" s="23">
        <f t="shared" si="2530"/>
        <v>0</v>
      </c>
      <c r="BK435" s="49" t="str">
        <f t="shared" ref="BK435" si="2767">IF(BJ435&lt;0,SUBSTITUTE(TEXT(BJ435,"000000000000,00"),",",""),SUBSTITUTE(TEXT(BJ435,"0000000000000,00"),",",""))</f>
        <v>000000000000000</v>
      </c>
      <c r="BL435" s="23">
        <f t="shared" si="2532"/>
        <v>0</v>
      </c>
      <c r="BM435" s="49" t="str">
        <f t="shared" ref="BM435" si="2768">IF(BL435&lt;0,SUBSTITUTE(TEXT(BL435,"000000000000,00"),",",""),SUBSTITUTE(TEXT(BL435,"0000000000000,00"),",",""))</f>
        <v>000000000000000</v>
      </c>
      <c r="BN435" t="str">
        <f t="shared" si="2534"/>
        <v>PES</v>
      </c>
      <c r="BO435" t="str">
        <f t="shared" si="2535"/>
        <v>0001000000</v>
      </c>
      <c r="BP435">
        <f t="shared" si="2536"/>
        <v>0</v>
      </c>
      <c r="BQ435">
        <f t="shared" si="2537"/>
        <v>0</v>
      </c>
      <c r="BR435" s="23">
        <f t="shared" si="2538"/>
        <v>0</v>
      </c>
      <c r="BS435" s="49" t="str">
        <f t="shared" si="2503"/>
        <v>000000000000000</v>
      </c>
      <c r="BT435" t="str">
        <f t="shared" si="2539"/>
        <v>00000000</v>
      </c>
      <c r="BU435" s="23">
        <f t="shared" si="2540"/>
        <v>0</v>
      </c>
      <c r="BV435" s="49" t="str">
        <f t="shared" si="2504"/>
        <v/>
      </c>
      <c r="BW435" s="52" t="str">
        <f t="shared" si="2541"/>
        <v/>
      </c>
      <c r="BX435" s="23">
        <f t="shared" si="2542"/>
        <v>0</v>
      </c>
      <c r="BY435" s="49" t="str">
        <f t="shared" si="2505"/>
        <v/>
      </c>
      <c r="BZ435" s="23">
        <f t="shared" si="2543"/>
        <v>0</v>
      </c>
      <c r="CA435" s="49" t="str">
        <f t="shared" si="2506"/>
        <v/>
      </c>
      <c r="CB435" s="52" t="str">
        <f t="shared" si="2544"/>
        <v/>
      </c>
      <c r="CC435" s="23">
        <f t="shared" si="2545"/>
        <v>0</v>
      </c>
      <c r="CD435" s="49" t="str">
        <f t="shared" si="2507"/>
        <v/>
      </c>
      <c r="CE435" s="56" t="str">
        <f>IF(CF435="","",MAX(CE$10:$CE434)+1)</f>
        <v/>
      </c>
      <c r="CF435" t="str">
        <f t="shared" si="2546"/>
        <v/>
      </c>
      <c r="CG435" s="22" t="str">
        <f>IF(CH435="","",MAX($CG$10:CG434)+1)</f>
        <v/>
      </c>
      <c r="CH435" s="22" t="str">
        <f t="shared" si="2491"/>
        <v/>
      </c>
      <c r="CI435" s="22" t="str">
        <f>IF(CJ435="","",MAX($CI$10:CI434)+1)</f>
        <v/>
      </c>
      <c r="CJ435" s="22" t="str">
        <f t="shared" si="2492"/>
        <v/>
      </c>
    </row>
    <row r="436" spans="2:88" x14ac:dyDescent="0.25">
      <c r="B436" s="37"/>
      <c r="C436" s="3"/>
      <c r="D436" s="77" t="str">
        <f t="shared" si="2478"/>
        <v/>
      </c>
      <c r="E436" s="38"/>
      <c r="F436" s="38"/>
      <c r="G436" s="78">
        <f t="shared" si="2493"/>
        <v>0</v>
      </c>
      <c r="H436" s="3">
        <v>80</v>
      </c>
      <c r="I436" s="77" t="str">
        <f t="shared" si="2479"/>
        <v/>
      </c>
      <c r="J436" s="32"/>
      <c r="K436" s="3"/>
      <c r="L436" s="39"/>
      <c r="M436" s="39"/>
      <c r="N436" s="39"/>
      <c r="O436" s="39"/>
      <c r="P436" s="39"/>
      <c r="Q436" s="39"/>
      <c r="R436" s="39"/>
      <c r="S436" s="39"/>
      <c r="T436" s="3" t="s">
        <v>645</v>
      </c>
      <c r="U436" s="77" t="str">
        <f t="shared" si="2480"/>
        <v/>
      </c>
      <c r="V436" s="39">
        <v>1</v>
      </c>
      <c r="W436" s="79">
        <f t="shared" si="2494"/>
        <v>0</v>
      </c>
      <c r="X436" s="3">
        <v>0</v>
      </c>
      <c r="Y436" s="77" t="str">
        <f t="shared" si="2481"/>
        <v/>
      </c>
      <c r="Z436" s="3"/>
      <c r="AA436" s="37" t="str">
        <f t="shared" si="2495"/>
        <v/>
      </c>
      <c r="AC436" s="40"/>
      <c r="AD436" s="7"/>
      <c r="AE436" s="77" t="str">
        <f t="shared" si="2482"/>
        <v/>
      </c>
      <c r="AF436" s="81">
        <f t="shared" si="2508"/>
        <v>0</v>
      </c>
      <c r="AG436" s="40"/>
      <c r="AH436" s="7"/>
      <c r="AI436" s="77" t="str">
        <f t="shared" si="2483"/>
        <v/>
      </c>
      <c r="AJ436" s="81">
        <f t="shared" si="2509"/>
        <v>0</v>
      </c>
      <c r="AK436" s="83">
        <f t="shared" si="2510"/>
        <v>0</v>
      </c>
      <c r="AL436" s="83">
        <f t="shared" si="2511"/>
        <v>0</v>
      </c>
      <c r="AN436" s="43">
        <f t="shared" si="2484"/>
        <v>0</v>
      </c>
      <c r="AP436" t="str">
        <f t="shared" si="2512"/>
        <v/>
      </c>
      <c r="AQ436" t="str">
        <f t="shared" si="2513"/>
        <v/>
      </c>
      <c r="AR436" t="str">
        <f t="shared" si="2514"/>
        <v/>
      </c>
      <c r="AS436" t="str">
        <f t="shared" si="2515"/>
        <v/>
      </c>
      <c r="AT436" t="str">
        <f t="shared" si="2516"/>
        <v/>
      </c>
      <c r="AU436" t="str">
        <f t="shared" si="2517"/>
        <v/>
      </c>
      <c r="AV436" t="str">
        <f t="shared" si="2518"/>
        <v/>
      </c>
      <c r="AW436" t="str">
        <f t="shared" si="2519"/>
        <v xml:space="preserve">                              </v>
      </c>
      <c r="AX436" s="23">
        <f t="shared" si="2520"/>
        <v>0</v>
      </c>
      <c r="AY436" s="49" t="str">
        <f t="shared" si="2496"/>
        <v>000000000000000</v>
      </c>
      <c r="AZ436" s="23">
        <f t="shared" si="2521"/>
        <v>0</v>
      </c>
      <c r="BA436" s="49" t="str">
        <f t="shared" si="2496"/>
        <v>000000000000000</v>
      </c>
      <c r="BB436" s="23">
        <f t="shared" si="2522"/>
        <v>0</v>
      </c>
      <c r="BC436" s="49" t="str">
        <f t="shared" ref="BC436" si="2769">IF(BB436&lt;0,SUBSTITUTE(TEXT(BB436,"000000000000,00"),",",""),SUBSTITUTE(TEXT(BB436,"0000000000000,00"),",",""))</f>
        <v>000000000000000</v>
      </c>
      <c r="BD436" s="23">
        <f t="shared" si="2524"/>
        <v>0</v>
      </c>
      <c r="BE436" s="49" t="str">
        <f t="shared" ref="BE436" si="2770">IF(BD436&lt;0,SUBSTITUTE(TEXT(BD436,"000000000000,00"),",",""),SUBSTITUTE(TEXT(BD436,"0000000000000,00"),",",""))</f>
        <v>000000000000000</v>
      </c>
      <c r="BF436" s="23">
        <f t="shared" si="2526"/>
        <v>0</v>
      </c>
      <c r="BG436" s="49" t="str">
        <f t="shared" ref="BG436" si="2771">IF(BF436&lt;0,SUBSTITUTE(TEXT(BF436,"000000000000,00"),",",""),SUBSTITUTE(TEXT(BF436,"0000000000000,00"),",",""))</f>
        <v>000000000000000</v>
      </c>
      <c r="BH436" s="23">
        <f t="shared" si="2528"/>
        <v>0</v>
      </c>
      <c r="BI436" s="49" t="str">
        <f t="shared" ref="BI436" si="2772">IF(BH436&lt;0,SUBSTITUTE(TEXT(BH436,"000000000000,00"),",",""),SUBSTITUTE(TEXT(BH436,"0000000000000,00"),",",""))</f>
        <v>000000000000000</v>
      </c>
      <c r="BJ436" s="23">
        <f t="shared" si="2530"/>
        <v>0</v>
      </c>
      <c r="BK436" s="49" t="str">
        <f t="shared" ref="BK436" si="2773">IF(BJ436&lt;0,SUBSTITUTE(TEXT(BJ436,"000000000000,00"),",",""),SUBSTITUTE(TEXT(BJ436,"0000000000000,00"),",",""))</f>
        <v>000000000000000</v>
      </c>
      <c r="BL436" s="23">
        <f t="shared" si="2532"/>
        <v>0</v>
      </c>
      <c r="BM436" s="49" t="str">
        <f t="shared" ref="BM436" si="2774">IF(BL436&lt;0,SUBSTITUTE(TEXT(BL436,"000000000000,00"),",",""),SUBSTITUTE(TEXT(BL436,"0000000000000,00"),",",""))</f>
        <v>000000000000000</v>
      </c>
      <c r="BN436" t="str">
        <f t="shared" si="2534"/>
        <v>PES</v>
      </c>
      <c r="BO436" t="str">
        <f t="shared" si="2535"/>
        <v>0001000000</v>
      </c>
      <c r="BP436">
        <f t="shared" si="2536"/>
        <v>0</v>
      </c>
      <c r="BQ436">
        <f t="shared" si="2537"/>
        <v>0</v>
      </c>
      <c r="BR436" s="23">
        <f t="shared" si="2538"/>
        <v>0</v>
      </c>
      <c r="BS436" s="49" t="str">
        <f t="shared" si="2503"/>
        <v>000000000000000</v>
      </c>
      <c r="BT436" t="str">
        <f t="shared" si="2539"/>
        <v>00000000</v>
      </c>
      <c r="BU436" s="23">
        <f t="shared" si="2540"/>
        <v>0</v>
      </c>
      <c r="BV436" s="49" t="str">
        <f t="shared" si="2504"/>
        <v/>
      </c>
      <c r="BW436" s="52" t="str">
        <f t="shared" si="2541"/>
        <v/>
      </c>
      <c r="BX436" s="23">
        <f t="shared" si="2542"/>
        <v>0</v>
      </c>
      <c r="BY436" s="49" t="str">
        <f t="shared" si="2505"/>
        <v/>
      </c>
      <c r="BZ436" s="23">
        <f t="shared" si="2543"/>
        <v>0</v>
      </c>
      <c r="CA436" s="49" t="str">
        <f t="shared" si="2506"/>
        <v/>
      </c>
      <c r="CB436" s="52" t="str">
        <f t="shared" si="2544"/>
        <v/>
      </c>
      <c r="CC436" s="23">
        <f t="shared" si="2545"/>
        <v>0</v>
      </c>
      <c r="CD436" s="49" t="str">
        <f t="shared" si="2507"/>
        <v/>
      </c>
      <c r="CE436" s="56" t="str">
        <f>IF(CF436="","",MAX(CE$10:$CE435)+1)</f>
        <v/>
      </c>
      <c r="CF436" t="str">
        <f t="shared" si="2546"/>
        <v/>
      </c>
      <c r="CG436" s="22" t="str">
        <f>IF(CH436="","",MAX($CG$10:CG435)+1)</f>
        <v/>
      </c>
      <c r="CH436" s="22" t="str">
        <f t="shared" si="2491"/>
        <v/>
      </c>
      <c r="CI436" s="22" t="str">
        <f>IF(CJ436="","",MAX($CI$10:CI435)+1)</f>
        <v/>
      </c>
      <c r="CJ436" s="22" t="str">
        <f t="shared" si="2492"/>
        <v/>
      </c>
    </row>
    <row r="437" spans="2:88" x14ac:dyDescent="0.25">
      <c r="B437" s="37"/>
      <c r="C437" s="3"/>
      <c r="D437" s="77" t="str">
        <f t="shared" si="2478"/>
        <v/>
      </c>
      <c r="E437" s="38"/>
      <c r="F437" s="38"/>
      <c r="G437" s="78">
        <f t="shared" si="2493"/>
        <v>0</v>
      </c>
      <c r="H437" s="3">
        <v>80</v>
      </c>
      <c r="I437" s="77" t="str">
        <f t="shared" si="2479"/>
        <v/>
      </c>
      <c r="J437" s="32"/>
      <c r="K437" s="3"/>
      <c r="L437" s="39"/>
      <c r="M437" s="39"/>
      <c r="N437" s="39"/>
      <c r="O437" s="39"/>
      <c r="P437" s="39"/>
      <c r="Q437" s="39"/>
      <c r="R437" s="39"/>
      <c r="S437" s="39"/>
      <c r="T437" s="3" t="s">
        <v>645</v>
      </c>
      <c r="U437" s="77" t="str">
        <f t="shared" si="2480"/>
        <v/>
      </c>
      <c r="V437" s="39">
        <v>1</v>
      </c>
      <c r="W437" s="79">
        <f t="shared" si="2494"/>
        <v>0</v>
      </c>
      <c r="X437" s="3">
        <v>0</v>
      </c>
      <c r="Y437" s="77" t="str">
        <f t="shared" si="2481"/>
        <v/>
      </c>
      <c r="Z437" s="3"/>
      <c r="AA437" s="37" t="str">
        <f t="shared" si="2495"/>
        <v/>
      </c>
      <c r="AC437" s="40"/>
      <c r="AD437" s="7"/>
      <c r="AE437" s="77" t="str">
        <f t="shared" si="2482"/>
        <v/>
      </c>
      <c r="AF437" s="81">
        <f t="shared" si="2508"/>
        <v>0</v>
      </c>
      <c r="AG437" s="40"/>
      <c r="AH437" s="7"/>
      <c r="AI437" s="77" t="str">
        <f t="shared" si="2483"/>
        <v/>
      </c>
      <c r="AJ437" s="81">
        <f t="shared" si="2509"/>
        <v>0</v>
      </c>
      <c r="AK437" s="83">
        <f t="shared" si="2510"/>
        <v>0</v>
      </c>
      <c r="AL437" s="83">
        <f t="shared" si="2511"/>
        <v>0</v>
      </c>
      <c r="AN437" s="43">
        <f t="shared" si="2484"/>
        <v>0</v>
      </c>
      <c r="AP437" t="str">
        <f t="shared" si="2512"/>
        <v/>
      </c>
      <c r="AQ437" t="str">
        <f t="shared" si="2513"/>
        <v/>
      </c>
      <c r="AR437" t="str">
        <f t="shared" si="2514"/>
        <v/>
      </c>
      <c r="AS437" t="str">
        <f t="shared" si="2515"/>
        <v/>
      </c>
      <c r="AT437" t="str">
        <f t="shared" si="2516"/>
        <v/>
      </c>
      <c r="AU437" t="str">
        <f t="shared" si="2517"/>
        <v/>
      </c>
      <c r="AV437" t="str">
        <f t="shared" si="2518"/>
        <v/>
      </c>
      <c r="AW437" t="str">
        <f t="shared" si="2519"/>
        <v xml:space="preserve">                              </v>
      </c>
      <c r="AX437" s="23">
        <f t="shared" si="2520"/>
        <v>0</v>
      </c>
      <c r="AY437" s="49" t="str">
        <f t="shared" si="2496"/>
        <v>000000000000000</v>
      </c>
      <c r="AZ437" s="23">
        <f t="shared" si="2521"/>
        <v>0</v>
      </c>
      <c r="BA437" s="49" t="str">
        <f t="shared" si="2496"/>
        <v>000000000000000</v>
      </c>
      <c r="BB437" s="23">
        <f t="shared" si="2522"/>
        <v>0</v>
      </c>
      <c r="BC437" s="49" t="str">
        <f t="shared" ref="BC437" si="2775">IF(BB437&lt;0,SUBSTITUTE(TEXT(BB437,"000000000000,00"),",",""),SUBSTITUTE(TEXT(BB437,"0000000000000,00"),",",""))</f>
        <v>000000000000000</v>
      </c>
      <c r="BD437" s="23">
        <f t="shared" si="2524"/>
        <v>0</v>
      </c>
      <c r="BE437" s="49" t="str">
        <f t="shared" ref="BE437" si="2776">IF(BD437&lt;0,SUBSTITUTE(TEXT(BD437,"000000000000,00"),",",""),SUBSTITUTE(TEXT(BD437,"0000000000000,00"),",",""))</f>
        <v>000000000000000</v>
      </c>
      <c r="BF437" s="23">
        <f t="shared" si="2526"/>
        <v>0</v>
      </c>
      <c r="BG437" s="49" t="str">
        <f t="shared" ref="BG437" si="2777">IF(BF437&lt;0,SUBSTITUTE(TEXT(BF437,"000000000000,00"),",",""),SUBSTITUTE(TEXT(BF437,"0000000000000,00"),",",""))</f>
        <v>000000000000000</v>
      </c>
      <c r="BH437" s="23">
        <f t="shared" si="2528"/>
        <v>0</v>
      </c>
      <c r="BI437" s="49" t="str">
        <f t="shared" ref="BI437" si="2778">IF(BH437&lt;0,SUBSTITUTE(TEXT(BH437,"000000000000,00"),",",""),SUBSTITUTE(TEXT(BH437,"0000000000000,00"),",",""))</f>
        <v>000000000000000</v>
      </c>
      <c r="BJ437" s="23">
        <f t="shared" si="2530"/>
        <v>0</v>
      </c>
      <c r="BK437" s="49" t="str">
        <f t="shared" ref="BK437" si="2779">IF(BJ437&lt;0,SUBSTITUTE(TEXT(BJ437,"000000000000,00"),",",""),SUBSTITUTE(TEXT(BJ437,"0000000000000,00"),",",""))</f>
        <v>000000000000000</v>
      </c>
      <c r="BL437" s="23">
        <f t="shared" si="2532"/>
        <v>0</v>
      </c>
      <c r="BM437" s="49" t="str">
        <f t="shared" ref="BM437" si="2780">IF(BL437&lt;0,SUBSTITUTE(TEXT(BL437,"000000000000,00"),",",""),SUBSTITUTE(TEXT(BL437,"0000000000000,00"),",",""))</f>
        <v>000000000000000</v>
      </c>
      <c r="BN437" t="str">
        <f t="shared" si="2534"/>
        <v>PES</v>
      </c>
      <c r="BO437" t="str">
        <f t="shared" si="2535"/>
        <v>0001000000</v>
      </c>
      <c r="BP437">
        <f t="shared" si="2536"/>
        <v>0</v>
      </c>
      <c r="BQ437">
        <f t="shared" si="2537"/>
        <v>0</v>
      </c>
      <c r="BR437" s="23">
        <f t="shared" si="2538"/>
        <v>0</v>
      </c>
      <c r="BS437" s="49" t="str">
        <f t="shared" si="2503"/>
        <v>000000000000000</v>
      </c>
      <c r="BT437" t="str">
        <f t="shared" si="2539"/>
        <v>00000000</v>
      </c>
      <c r="BU437" s="23">
        <f t="shared" si="2540"/>
        <v>0</v>
      </c>
      <c r="BV437" s="49" t="str">
        <f t="shared" si="2504"/>
        <v/>
      </c>
      <c r="BW437" s="52" t="str">
        <f t="shared" si="2541"/>
        <v/>
      </c>
      <c r="BX437" s="23">
        <f t="shared" si="2542"/>
        <v>0</v>
      </c>
      <c r="BY437" s="49" t="str">
        <f t="shared" si="2505"/>
        <v/>
      </c>
      <c r="BZ437" s="23">
        <f t="shared" si="2543"/>
        <v>0</v>
      </c>
      <c r="CA437" s="49" t="str">
        <f t="shared" si="2506"/>
        <v/>
      </c>
      <c r="CB437" s="52" t="str">
        <f t="shared" si="2544"/>
        <v/>
      </c>
      <c r="CC437" s="23">
        <f t="shared" si="2545"/>
        <v>0</v>
      </c>
      <c r="CD437" s="49" t="str">
        <f t="shared" si="2507"/>
        <v/>
      </c>
      <c r="CE437" s="56" t="str">
        <f>IF(CF437="","",MAX(CE$10:$CE436)+1)</f>
        <v/>
      </c>
      <c r="CF437" t="str">
        <f t="shared" si="2546"/>
        <v/>
      </c>
      <c r="CG437" s="22" t="str">
        <f>IF(CH437="","",MAX($CG$10:CG436)+1)</f>
        <v/>
      </c>
      <c r="CH437" s="22" t="str">
        <f t="shared" si="2491"/>
        <v/>
      </c>
      <c r="CI437" s="22" t="str">
        <f>IF(CJ437="","",MAX($CI$10:CI436)+1)</f>
        <v/>
      </c>
      <c r="CJ437" s="22" t="str">
        <f t="shared" si="2492"/>
        <v/>
      </c>
    </row>
    <row r="438" spans="2:88" x14ac:dyDescent="0.25">
      <c r="B438" s="37"/>
      <c r="C438" s="3"/>
      <c r="D438" s="77" t="str">
        <f t="shared" si="2478"/>
        <v/>
      </c>
      <c r="E438" s="38"/>
      <c r="F438" s="38"/>
      <c r="G438" s="78">
        <f t="shared" si="2493"/>
        <v>0</v>
      </c>
      <c r="H438" s="3">
        <v>80</v>
      </c>
      <c r="I438" s="77" t="str">
        <f t="shared" si="2479"/>
        <v/>
      </c>
      <c r="J438" s="32"/>
      <c r="K438" s="3"/>
      <c r="L438" s="39"/>
      <c r="M438" s="39"/>
      <c r="N438" s="39"/>
      <c r="O438" s="39"/>
      <c r="P438" s="39"/>
      <c r="Q438" s="39"/>
      <c r="R438" s="39"/>
      <c r="S438" s="39"/>
      <c r="T438" s="3" t="s">
        <v>645</v>
      </c>
      <c r="U438" s="77" t="str">
        <f t="shared" si="2480"/>
        <v/>
      </c>
      <c r="V438" s="39">
        <v>1</v>
      </c>
      <c r="W438" s="79">
        <f t="shared" si="2494"/>
        <v>0</v>
      </c>
      <c r="X438" s="3">
        <v>0</v>
      </c>
      <c r="Y438" s="77" t="str">
        <f t="shared" si="2481"/>
        <v/>
      </c>
      <c r="Z438" s="3"/>
      <c r="AA438" s="37" t="str">
        <f t="shared" si="2495"/>
        <v/>
      </c>
      <c r="AC438" s="40"/>
      <c r="AD438" s="7"/>
      <c r="AE438" s="77" t="str">
        <f t="shared" si="2482"/>
        <v/>
      </c>
      <c r="AF438" s="81">
        <f t="shared" si="2508"/>
        <v>0</v>
      </c>
      <c r="AG438" s="40"/>
      <c r="AH438" s="7"/>
      <c r="AI438" s="77" t="str">
        <f t="shared" si="2483"/>
        <v/>
      </c>
      <c r="AJ438" s="81">
        <f t="shared" si="2509"/>
        <v>0</v>
      </c>
      <c r="AK438" s="83">
        <f t="shared" si="2510"/>
        <v>0</v>
      </c>
      <c r="AL438" s="83">
        <f t="shared" si="2511"/>
        <v>0</v>
      </c>
      <c r="AN438" s="43">
        <f t="shared" si="2484"/>
        <v>0</v>
      </c>
      <c r="AP438" t="str">
        <f t="shared" si="2512"/>
        <v/>
      </c>
      <c r="AQ438" t="str">
        <f t="shared" si="2513"/>
        <v/>
      </c>
      <c r="AR438" t="str">
        <f t="shared" si="2514"/>
        <v/>
      </c>
      <c r="AS438" t="str">
        <f t="shared" si="2515"/>
        <v/>
      </c>
      <c r="AT438" t="str">
        <f t="shared" si="2516"/>
        <v/>
      </c>
      <c r="AU438" t="str">
        <f t="shared" si="2517"/>
        <v/>
      </c>
      <c r="AV438" t="str">
        <f t="shared" si="2518"/>
        <v/>
      </c>
      <c r="AW438" t="str">
        <f t="shared" si="2519"/>
        <v xml:space="preserve">                              </v>
      </c>
      <c r="AX438" s="23">
        <f t="shared" si="2520"/>
        <v>0</v>
      </c>
      <c r="AY438" s="49" t="str">
        <f t="shared" si="2496"/>
        <v>000000000000000</v>
      </c>
      <c r="AZ438" s="23">
        <f t="shared" si="2521"/>
        <v>0</v>
      </c>
      <c r="BA438" s="49" t="str">
        <f t="shared" si="2496"/>
        <v>000000000000000</v>
      </c>
      <c r="BB438" s="23">
        <f t="shared" si="2522"/>
        <v>0</v>
      </c>
      <c r="BC438" s="49" t="str">
        <f t="shared" ref="BC438" si="2781">IF(BB438&lt;0,SUBSTITUTE(TEXT(BB438,"000000000000,00"),",",""),SUBSTITUTE(TEXT(BB438,"0000000000000,00"),",",""))</f>
        <v>000000000000000</v>
      </c>
      <c r="BD438" s="23">
        <f t="shared" si="2524"/>
        <v>0</v>
      </c>
      <c r="BE438" s="49" t="str">
        <f t="shared" ref="BE438" si="2782">IF(BD438&lt;0,SUBSTITUTE(TEXT(BD438,"000000000000,00"),",",""),SUBSTITUTE(TEXT(BD438,"0000000000000,00"),",",""))</f>
        <v>000000000000000</v>
      </c>
      <c r="BF438" s="23">
        <f t="shared" si="2526"/>
        <v>0</v>
      </c>
      <c r="BG438" s="49" t="str">
        <f t="shared" ref="BG438" si="2783">IF(BF438&lt;0,SUBSTITUTE(TEXT(BF438,"000000000000,00"),",",""),SUBSTITUTE(TEXT(BF438,"0000000000000,00"),",",""))</f>
        <v>000000000000000</v>
      </c>
      <c r="BH438" s="23">
        <f t="shared" si="2528"/>
        <v>0</v>
      </c>
      <c r="BI438" s="49" t="str">
        <f t="shared" ref="BI438" si="2784">IF(BH438&lt;0,SUBSTITUTE(TEXT(BH438,"000000000000,00"),",",""),SUBSTITUTE(TEXT(BH438,"0000000000000,00"),",",""))</f>
        <v>000000000000000</v>
      </c>
      <c r="BJ438" s="23">
        <f t="shared" si="2530"/>
        <v>0</v>
      </c>
      <c r="BK438" s="49" t="str">
        <f t="shared" ref="BK438" si="2785">IF(BJ438&lt;0,SUBSTITUTE(TEXT(BJ438,"000000000000,00"),",",""),SUBSTITUTE(TEXT(BJ438,"0000000000000,00"),",",""))</f>
        <v>000000000000000</v>
      </c>
      <c r="BL438" s="23">
        <f t="shared" si="2532"/>
        <v>0</v>
      </c>
      <c r="BM438" s="49" t="str">
        <f t="shared" ref="BM438" si="2786">IF(BL438&lt;0,SUBSTITUTE(TEXT(BL438,"000000000000,00"),",",""),SUBSTITUTE(TEXT(BL438,"0000000000000,00"),",",""))</f>
        <v>000000000000000</v>
      </c>
      <c r="BN438" t="str">
        <f t="shared" si="2534"/>
        <v>PES</v>
      </c>
      <c r="BO438" t="str">
        <f t="shared" si="2535"/>
        <v>0001000000</v>
      </c>
      <c r="BP438">
        <f t="shared" si="2536"/>
        <v>0</v>
      </c>
      <c r="BQ438">
        <f t="shared" si="2537"/>
        <v>0</v>
      </c>
      <c r="BR438" s="23">
        <f t="shared" si="2538"/>
        <v>0</v>
      </c>
      <c r="BS438" s="49" t="str">
        <f t="shared" si="2503"/>
        <v>000000000000000</v>
      </c>
      <c r="BT438" t="str">
        <f t="shared" si="2539"/>
        <v>00000000</v>
      </c>
      <c r="BU438" s="23">
        <f t="shared" si="2540"/>
        <v>0</v>
      </c>
      <c r="BV438" s="49" t="str">
        <f t="shared" si="2504"/>
        <v/>
      </c>
      <c r="BW438" s="52" t="str">
        <f t="shared" si="2541"/>
        <v/>
      </c>
      <c r="BX438" s="23">
        <f t="shared" si="2542"/>
        <v>0</v>
      </c>
      <c r="BY438" s="49" t="str">
        <f t="shared" si="2505"/>
        <v/>
      </c>
      <c r="BZ438" s="23">
        <f t="shared" si="2543"/>
        <v>0</v>
      </c>
      <c r="CA438" s="49" t="str">
        <f t="shared" si="2506"/>
        <v/>
      </c>
      <c r="CB438" s="52" t="str">
        <f t="shared" si="2544"/>
        <v/>
      </c>
      <c r="CC438" s="23">
        <f t="shared" si="2545"/>
        <v>0</v>
      </c>
      <c r="CD438" s="49" t="str">
        <f t="shared" si="2507"/>
        <v/>
      </c>
      <c r="CE438" s="56" t="str">
        <f>IF(CF438="","",MAX(CE$10:$CE437)+1)</f>
        <v/>
      </c>
      <c r="CF438" t="str">
        <f t="shared" si="2546"/>
        <v/>
      </c>
      <c r="CG438" s="22" t="str">
        <f>IF(CH438="","",MAX($CG$10:CG437)+1)</f>
        <v/>
      </c>
      <c r="CH438" s="22" t="str">
        <f t="shared" si="2491"/>
        <v/>
      </c>
      <c r="CI438" s="22" t="str">
        <f>IF(CJ438="","",MAX($CI$10:CI437)+1)</f>
        <v/>
      </c>
      <c r="CJ438" s="22" t="str">
        <f t="shared" si="2492"/>
        <v/>
      </c>
    </row>
    <row r="439" spans="2:88" x14ac:dyDescent="0.25">
      <c r="B439" s="37"/>
      <c r="C439" s="3"/>
      <c r="D439" s="77" t="str">
        <f t="shared" si="2478"/>
        <v/>
      </c>
      <c r="E439" s="38"/>
      <c r="F439" s="38"/>
      <c r="G439" s="78">
        <f t="shared" si="2493"/>
        <v>0</v>
      </c>
      <c r="H439" s="3">
        <v>80</v>
      </c>
      <c r="I439" s="77" t="str">
        <f t="shared" si="2479"/>
        <v/>
      </c>
      <c r="J439" s="32"/>
      <c r="K439" s="3"/>
      <c r="L439" s="39"/>
      <c r="M439" s="39"/>
      <c r="N439" s="39"/>
      <c r="O439" s="39"/>
      <c r="P439" s="39"/>
      <c r="Q439" s="39"/>
      <c r="R439" s="39"/>
      <c r="S439" s="39"/>
      <c r="T439" s="3" t="s">
        <v>645</v>
      </c>
      <c r="U439" s="77" t="str">
        <f t="shared" si="2480"/>
        <v/>
      </c>
      <c r="V439" s="39">
        <v>1</v>
      </c>
      <c r="W439" s="79">
        <f t="shared" si="2494"/>
        <v>0</v>
      </c>
      <c r="X439" s="3">
        <v>0</v>
      </c>
      <c r="Y439" s="77" t="str">
        <f t="shared" si="2481"/>
        <v/>
      </c>
      <c r="Z439" s="3"/>
      <c r="AA439" s="37" t="str">
        <f t="shared" si="2495"/>
        <v/>
      </c>
      <c r="AC439" s="40"/>
      <c r="AD439" s="7"/>
      <c r="AE439" s="77" t="str">
        <f t="shared" si="2482"/>
        <v/>
      </c>
      <c r="AF439" s="81">
        <f t="shared" si="2508"/>
        <v>0</v>
      </c>
      <c r="AG439" s="40"/>
      <c r="AH439" s="7"/>
      <c r="AI439" s="77" t="str">
        <f t="shared" si="2483"/>
        <v/>
      </c>
      <c r="AJ439" s="81">
        <f t="shared" si="2509"/>
        <v>0</v>
      </c>
      <c r="AK439" s="83">
        <f t="shared" si="2510"/>
        <v>0</v>
      </c>
      <c r="AL439" s="83">
        <f t="shared" si="2511"/>
        <v>0</v>
      </c>
      <c r="AN439" s="43">
        <f t="shared" si="2484"/>
        <v>0</v>
      </c>
      <c r="AP439" t="str">
        <f t="shared" si="2512"/>
        <v/>
      </c>
      <c r="AQ439" t="str">
        <f t="shared" si="2513"/>
        <v/>
      </c>
      <c r="AR439" t="str">
        <f t="shared" si="2514"/>
        <v/>
      </c>
      <c r="AS439" t="str">
        <f t="shared" si="2515"/>
        <v/>
      </c>
      <c r="AT439" t="str">
        <f t="shared" si="2516"/>
        <v/>
      </c>
      <c r="AU439" t="str">
        <f t="shared" si="2517"/>
        <v/>
      </c>
      <c r="AV439" t="str">
        <f t="shared" si="2518"/>
        <v/>
      </c>
      <c r="AW439" t="str">
        <f t="shared" si="2519"/>
        <v xml:space="preserve">                              </v>
      </c>
      <c r="AX439" s="23">
        <f t="shared" si="2520"/>
        <v>0</v>
      </c>
      <c r="AY439" s="49" t="str">
        <f t="shared" si="2496"/>
        <v>000000000000000</v>
      </c>
      <c r="AZ439" s="23">
        <f t="shared" si="2521"/>
        <v>0</v>
      </c>
      <c r="BA439" s="49" t="str">
        <f t="shared" si="2496"/>
        <v>000000000000000</v>
      </c>
      <c r="BB439" s="23">
        <f t="shared" si="2522"/>
        <v>0</v>
      </c>
      <c r="BC439" s="49" t="str">
        <f t="shared" ref="BC439" si="2787">IF(BB439&lt;0,SUBSTITUTE(TEXT(BB439,"000000000000,00"),",",""),SUBSTITUTE(TEXT(BB439,"0000000000000,00"),",",""))</f>
        <v>000000000000000</v>
      </c>
      <c r="BD439" s="23">
        <f t="shared" si="2524"/>
        <v>0</v>
      </c>
      <c r="BE439" s="49" t="str">
        <f t="shared" ref="BE439" si="2788">IF(BD439&lt;0,SUBSTITUTE(TEXT(BD439,"000000000000,00"),",",""),SUBSTITUTE(TEXT(BD439,"0000000000000,00"),",",""))</f>
        <v>000000000000000</v>
      </c>
      <c r="BF439" s="23">
        <f t="shared" si="2526"/>
        <v>0</v>
      </c>
      <c r="BG439" s="49" t="str">
        <f t="shared" ref="BG439" si="2789">IF(BF439&lt;0,SUBSTITUTE(TEXT(BF439,"000000000000,00"),",",""),SUBSTITUTE(TEXT(BF439,"0000000000000,00"),",",""))</f>
        <v>000000000000000</v>
      </c>
      <c r="BH439" s="23">
        <f t="shared" si="2528"/>
        <v>0</v>
      </c>
      <c r="BI439" s="49" t="str">
        <f t="shared" ref="BI439" si="2790">IF(BH439&lt;0,SUBSTITUTE(TEXT(BH439,"000000000000,00"),",",""),SUBSTITUTE(TEXT(BH439,"0000000000000,00"),",",""))</f>
        <v>000000000000000</v>
      </c>
      <c r="BJ439" s="23">
        <f t="shared" si="2530"/>
        <v>0</v>
      </c>
      <c r="BK439" s="49" t="str">
        <f t="shared" ref="BK439" si="2791">IF(BJ439&lt;0,SUBSTITUTE(TEXT(BJ439,"000000000000,00"),",",""),SUBSTITUTE(TEXT(BJ439,"0000000000000,00"),",",""))</f>
        <v>000000000000000</v>
      </c>
      <c r="BL439" s="23">
        <f t="shared" si="2532"/>
        <v>0</v>
      </c>
      <c r="BM439" s="49" t="str">
        <f t="shared" ref="BM439" si="2792">IF(BL439&lt;0,SUBSTITUTE(TEXT(BL439,"000000000000,00"),",",""),SUBSTITUTE(TEXT(BL439,"0000000000000,00"),",",""))</f>
        <v>000000000000000</v>
      </c>
      <c r="BN439" t="str">
        <f t="shared" si="2534"/>
        <v>PES</v>
      </c>
      <c r="BO439" t="str">
        <f t="shared" si="2535"/>
        <v>0001000000</v>
      </c>
      <c r="BP439">
        <f t="shared" si="2536"/>
        <v>0</v>
      </c>
      <c r="BQ439">
        <f t="shared" si="2537"/>
        <v>0</v>
      </c>
      <c r="BR439" s="23">
        <f t="shared" si="2538"/>
        <v>0</v>
      </c>
      <c r="BS439" s="49" t="str">
        <f t="shared" si="2503"/>
        <v>000000000000000</v>
      </c>
      <c r="BT439" t="str">
        <f t="shared" si="2539"/>
        <v>00000000</v>
      </c>
      <c r="BU439" s="23">
        <f t="shared" si="2540"/>
        <v>0</v>
      </c>
      <c r="BV439" s="49" t="str">
        <f t="shared" si="2504"/>
        <v/>
      </c>
      <c r="BW439" s="52" t="str">
        <f t="shared" si="2541"/>
        <v/>
      </c>
      <c r="BX439" s="23">
        <f t="shared" si="2542"/>
        <v>0</v>
      </c>
      <c r="BY439" s="49" t="str">
        <f t="shared" si="2505"/>
        <v/>
      </c>
      <c r="BZ439" s="23">
        <f t="shared" si="2543"/>
        <v>0</v>
      </c>
      <c r="CA439" s="49" t="str">
        <f t="shared" si="2506"/>
        <v/>
      </c>
      <c r="CB439" s="52" t="str">
        <f t="shared" si="2544"/>
        <v/>
      </c>
      <c r="CC439" s="23">
        <f t="shared" si="2545"/>
        <v>0</v>
      </c>
      <c r="CD439" s="49" t="str">
        <f t="shared" si="2507"/>
        <v/>
      </c>
      <c r="CE439" s="56" t="str">
        <f>IF(CF439="","",MAX(CE$10:$CE438)+1)</f>
        <v/>
      </c>
      <c r="CF439" t="str">
        <f t="shared" si="2546"/>
        <v/>
      </c>
      <c r="CG439" s="22" t="str">
        <f>IF(CH439="","",MAX($CG$10:CG438)+1)</f>
        <v/>
      </c>
      <c r="CH439" s="22" t="str">
        <f t="shared" si="2491"/>
        <v/>
      </c>
      <c r="CI439" s="22" t="str">
        <f>IF(CJ439="","",MAX($CI$10:CI438)+1)</f>
        <v/>
      </c>
      <c r="CJ439" s="22" t="str">
        <f t="shared" si="2492"/>
        <v/>
      </c>
    </row>
    <row r="440" spans="2:88" x14ac:dyDescent="0.25">
      <c r="B440" s="37"/>
      <c r="C440" s="3"/>
      <c r="D440" s="77" t="str">
        <f t="shared" si="2478"/>
        <v/>
      </c>
      <c r="E440" s="38"/>
      <c r="F440" s="38"/>
      <c r="G440" s="78">
        <f t="shared" si="2493"/>
        <v>0</v>
      </c>
      <c r="H440" s="3">
        <v>80</v>
      </c>
      <c r="I440" s="77" t="str">
        <f t="shared" si="2479"/>
        <v/>
      </c>
      <c r="J440" s="32"/>
      <c r="K440" s="3"/>
      <c r="L440" s="39"/>
      <c r="M440" s="39"/>
      <c r="N440" s="39"/>
      <c r="O440" s="39"/>
      <c r="P440" s="39"/>
      <c r="Q440" s="39"/>
      <c r="R440" s="39"/>
      <c r="S440" s="39"/>
      <c r="T440" s="3" t="s">
        <v>645</v>
      </c>
      <c r="U440" s="77" t="str">
        <f t="shared" si="2480"/>
        <v/>
      </c>
      <c r="V440" s="39">
        <v>1</v>
      </c>
      <c r="W440" s="79">
        <f t="shared" si="2494"/>
        <v>0</v>
      </c>
      <c r="X440" s="3">
        <v>0</v>
      </c>
      <c r="Y440" s="77" t="str">
        <f t="shared" si="2481"/>
        <v/>
      </c>
      <c r="Z440" s="3"/>
      <c r="AA440" s="37" t="str">
        <f t="shared" si="2495"/>
        <v/>
      </c>
      <c r="AC440" s="40"/>
      <c r="AD440" s="7"/>
      <c r="AE440" s="77" t="str">
        <f t="shared" si="2482"/>
        <v/>
      </c>
      <c r="AF440" s="81">
        <f t="shared" si="2508"/>
        <v>0</v>
      </c>
      <c r="AG440" s="40"/>
      <c r="AH440" s="7"/>
      <c r="AI440" s="77" t="str">
        <f t="shared" si="2483"/>
        <v/>
      </c>
      <c r="AJ440" s="81">
        <f t="shared" si="2509"/>
        <v>0</v>
      </c>
      <c r="AK440" s="83">
        <f t="shared" si="2510"/>
        <v>0</v>
      </c>
      <c r="AL440" s="83">
        <f t="shared" si="2511"/>
        <v>0</v>
      </c>
      <c r="AN440" s="43">
        <f t="shared" si="2484"/>
        <v>0</v>
      </c>
      <c r="AP440" t="str">
        <f t="shared" si="2512"/>
        <v/>
      </c>
      <c r="AQ440" t="str">
        <f t="shared" si="2513"/>
        <v/>
      </c>
      <c r="AR440" t="str">
        <f t="shared" si="2514"/>
        <v/>
      </c>
      <c r="AS440" t="str">
        <f t="shared" si="2515"/>
        <v/>
      </c>
      <c r="AT440" t="str">
        <f t="shared" si="2516"/>
        <v/>
      </c>
      <c r="AU440" t="str">
        <f t="shared" si="2517"/>
        <v/>
      </c>
      <c r="AV440" t="str">
        <f t="shared" si="2518"/>
        <v/>
      </c>
      <c r="AW440" t="str">
        <f t="shared" si="2519"/>
        <v xml:space="preserve">                              </v>
      </c>
      <c r="AX440" s="23">
        <f t="shared" si="2520"/>
        <v>0</v>
      </c>
      <c r="AY440" s="49" t="str">
        <f t="shared" si="2496"/>
        <v>000000000000000</v>
      </c>
      <c r="AZ440" s="23">
        <f t="shared" si="2521"/>
        <v>0</v>
      </c>
      <c r="BA440" s="49" t="str">
        <f t="shared" si="2496"/>
        <v>000000000000000</v>
      </c>
      <c r="BB440" s="23">
        <f t="shared" si="2522"/>
        <v>0</v>
      </c>
      <c r="BC440" s="49" t="str">
        <f t="shared" ref="BC440" si="2793">IF(BB440&lt;0,SUBSTITUTE(TEXT(BB440,"000000000000,00"),",",""),SUBSTITUTE(TEXT(BB440,"0000000000000,00"),",",""))</f>
        <v>000000000000000</v>
      </c>
      <c r="BD440" s="23">
        <f t="shared" si="2524"/>
        <v>0</v>
      </c>
      <c r="BE440" s="49" t="str">
        <f t="shared" ref="BE440" si="2794">IF(BD440&lt;0,SUBSTITUTE(TEXT(BD440,"000000000000,00"),",",""),SUBSTITUTE(TEXT(BD440,"0000000000000,00"),",",""))</f>
        <v>000000000000000</v>
      </c>
      <c r="BF440" s="23">
        <f t="shared" si="2526"/>
        <v>0</v>
      </c>
      <c r="BG440" s="49" t="str">
        <f t="shared" ref="BG440" si="2795">IF(BF440&lt;0,SUBSTITUTE(TEXT(BF440,"000000000000,00"),",",""),SUBSTITUTE(TEXT(BF440,"0000000000000,00"),",",""))</f>
        <v>000000000000000</v>
      </c>
      <c r="BH440" s="23">
        <f t="shared" si="2528"/>
        <v>0</v>
      </c>
      <c r="BI440" s="49" t="str">
        <f t="shared" ref="BI440" si="2796">IF(BH440&lt;0,SUBSTITUTE(TEXT(BH440,"000000000000,00"),",",""),SUBSTITUTE(TEXT(BH440,"0000000000000,00"),",",""))</f>
        <v>000000000000000</v>
      </c>
      <c r="BJ440" s="23">
        <f t="shared" si="2530"/>
        <v>0</v>
      </c>
      <c r="BK440" s="49" t="str">
        <f t="shared" ref="BK440" si="2797">IF(BJ440&lt;0,SUBSTITUTE(TEXT(BJ440,"000000000000,00"),",",""),SUBSTITUTE(TEXT(BJ440,"0000000000000,00"),",",""))</f>
        <v>000000000000000</v>
      </c>
      <c r="BL440" s="23">
        <f t="shared" si="2532"/>
        <v>0</v>
      </c>
      <c r="BM440" s="49" t="str">
        <f t="shared" ref="BM440" si="2798">IF(BL440&lt;0,SUBSTITUTE(TEXT(BL440,"000000000000,00"),",",""),SUBSTITUTE(TEXT(BL440,"0000000000000,00"),",",""))</f>
        <v>000000000000000</v>
      </c>
      <c r="BN440" t="str">
        <f t="shared" si="2534"/>
        <v>PES</v>
      </c>
      <c r="BO440" t="str">
        <f t="shared" si="2535"/>
        <v>0001000000</v>
      </c>
      <c r="BP440">
        <f t="shared" si="2536"/>
        <v>0</v>
      </c>
      <c r="BQ440">
        <f t="shared" si="2537"/>
        <v>0</v>
      </c>
      <c r="BR440" s="23">
        <f t="shared" si="2538"/>
        <v>0</v>
      </c>
      <c r="BS440" s="49" t="str">
        <f t="shared" si="2503"/>
        <v>000000000000000</v>
      </c>
      <c r="BT440" t="str">
        <f t="shared" si="2539"/>
        <v>00000000</v>
      </c>
      <c r="BU440" s="23">
        <f t="shared" si="2540"/>
        <v>0</v>
      </c>
      <c r="BV440" s="49" t="str">
        <f t="shared" si="2504"/>
        <v/>
      </c>
      <c r="BW440" s="52" t="str">
        <f t="shared" si="2541"/>
        <v/>
      </c>
      <c r="BX440" s="23">
        <f t="shared" si="2542"/>
        <v>0</v>
      </c>
      <c r="BY440" s="49" t="str">
        <f t="shared" si="2505"/>
        <v/>
      </c>
      <c r="BZ440" s="23">
        <f t="shared" si="2543"/>
        <v>0</v>
      </c>
      <c r="CA440" s="49" t="str">
        <f t="shared" si="2506"/>
        <v/>
      </c>
      <c r="CB440" s="52" t="str">
        <f t="shared" si="2544"/>
        <v/>
      </c>
      <c r="CC440" s="23">
        <f t="shared" si="2545"/>
        <v>0</v>
      </c>
      <c r="CD440" s="49" t="str">
        <f t="shared" si="2507"/>
        <v/>
      </c>
      <c r="CE440" s="56" t="str">
        <f>IF(CF440="","",MAX(CE$10:$CE439)+1)</f>
        <v/>
      </c>
      <c r="CF440" t="str">
        <f t="shared" si="2546"/>
        <v/>
      </c>
      <c r="CG440" s="22" t="str">
        <f>IF(CH440="","",MAX($CG$10:CG439)+1)</f>
        <v/>
      </c>
      <c r="CH440" s="22" t="str">
        <f t="shared" si="2491"/>
        <v/>
      </c>
      <c r="CI440" s="22" t="str">
        <f>IF(CJ440="","",MAX($CI$10:CI439)+1)</f>
        <v/>
      </c>
      <c r="CJ440" s="22" t="str">
        <f t="shared" si="2492"/>
        <v/>
      </c>
    </row>
    <row r="441" spans="2:88" x14ac:dyDescent="0.25">
      <c r="B441" s="37"/>
      <c r="C441" s="3"/>
      <c r="D441" s="77" t="str">
        <f t="shared" si="2478"/>
        <v/>
      </c>
      <c r="E441" s="38"/>
      <c r="F441" s="38"/>
      <c r="G441" s="78">
        <f t="shared" si="2493"/>
        <v>0</v>
      </c>
      <c r="H441" s="3">
        <v>80</v>
      </c>
      <c r="I441" s="77" t="str">
        <f t="shared" si="2479"/>
        <v/>
      </c>
      <c r="J441" s="32"/>
      <c r="K441" s="3"/>
      <c r="L441" s="39"/>
      <c r="M441" s="39"/>
      <c r="N441" s="39"/>
      <c r="O441" s="39"/>
      <c r="P441" s="39"/>
      <c r="Q441" s="39"/>
      <c r="R441" s="39"/>
      <c r="S441" s="39"/>
      <c r="T441" s="3" t="s">
        <v>645</v>
      </c>
      <c r="U441" s="77" t="str">
        <f t="shared" si="2480"/>
        <v/>
      </c>
      <c r="V441" s="39">
        <v>1</v>
      </c>
      <c r="W441" s="79">
        <f t="shared" si="2494"/>
        <v>0</v>
      </c>
      <c r="X441" s="3">
        <v>0</v>
      </c>
      <c r="Y441" s="77" t="str">
        <f t="shared" si="2481"/>
        <v/>
      </c>
      <c r="Z441" s="3"/>
      <c r="AA441" s="37" t="str">
        <f t="shared" si="2495"/>
        <v/>
      </c>
      <c r="AC441" s="40"/>
      <c r="AD441" s="7"/>
      <c r="AE441" s="77" t="str">
        <f t="shared" si="2482"/>
        <v/>
      </c>
      <c r="AF441" s="81">
        <f t="shared" si="2508"/>
        <v>0</v>
      </c>
      <c r="AG441" s="40"/>
      <c r="AH441" s="7"/>
      <c r="AI441" s="77" t="str">
        <f t="shared" si="2483"/>
        <v/>
      </c>
      <c r="AJ441" s="81">
        <f t="shared" si="2509"/>
        <v>0</v>
      </c>
      <c r="AK441" s="83">
        <f t="shared" si="2510"/>
        <v>0</v>
      </c>
      <c r="AL441" s="83">
        <f t="shared" si="2511"/>
        <v>0</v>
      </c>
      <c r="AN441" s="43">
        <f t="shared" si="2484"/>
        <v>0</v>
      </c>
      <c r="AP441" t="str">
        <f t="shared" si="2512"/>
        <v/>
      </c>
      <c r="AQ441" t="str">
        <f t="shared" si="2513"/>
        <v/>
      </c>
      <c r="AR441" t="str">
        <f t="shared" si="2514"/>
        <v/>
      </c>
      <c r="AS441" t="str">
        <f t="shared" si="2515"/>
        <v/>
      </c>
      <c r="AT441" t="str">
        <f t="shared" si="2516"/>
        <v/>
      </c>
      <c r="AU441" t="str">
        <f t="shared" si="2517"/>
        <v/>
      </c>
      <c r="AV441" t="str">
        <f t="shared" si="2518"/>
        <v/>
      </c>
      <c r="AW441" t="str">
        <f t="shared" si="2519"/>
        <v xml:space="preserve">                              </v>
      </c>
      <c r="AX441" s="23">
        <f t="shared" si="2520"/>
        <v>0</v>
      </c>
      <c r="AY441" s="49" t="str">
        <f t="shared" si="2496"/>
        <v>000000000000000</v>
      </c>
      <c r="AZ441" s="23">
        <f t="shared" si="2521"/>
        <v>0</v>
      </c>
      <c r="BA441" s="49" t="str">
        <f t="shared" si="2496"/>
        <v>000000000000000</v>
      </c>
      <c r="BB441" s="23">
        <f t="shared" si="2522"/>
        <v>0</v>
      </c>
      <c r="BC441" s="49" t="str">
        <f t="shared" ref="BC441" si="2799">IF(BB441&lt;0,SUBSTITUTE(TEXT(BB441,"000000000000,00"),",",""),SUBSTITUTE(TEXT(BB441,"0000000000000,00"),",",""))</f>
        <v>000000000000000</v>
      </c>
      <c r="BD441" s="23">
        <f t="shared" si="2524"/>
        <v>0</v>
      </c>
      <c r="BE441" s="49" t="str">
        <f t="shared" ref="BE441" si="2800">IF(BD441&lt;0,SUBSTITUTE(TEXT(BD441,"000000000000,00"),",",""),SUBSTITUTE(TEXT(BD441,"0000000000000,00"),",",""))</f>
        <v>000000000000000</v>
      </c>
      <c r="BF441" s="23">
        <f t="shared" si="2526"/>
        <v>0</v>
      </c>
      <c r="BG441" s="49" t="str">
        <f t="shared" ref="BG441" si="2801">IF(BF441&lt;0,SUBSTITUTE(TEXT(BF441,"000000000000,00"),",",""),SUBSTITUTE(TEXT(BF441,"0000000000000,00"),",",""))</f>
        <v>000000000000000</v>
      </c>
      <c r="BH441" s="23">
        <f t="shared" si="2528"/>
        <v>0</v>
      </c>
      <c r="BI441" s="49" t="str">
        <f t="shared" ref="BI441" si="2802">IF(BH441&lt;0,SUBSTITUTE(TEXT(BH441,"000000000000,00"),",",""),SUBSTITUTE(TEXT(BH441,"0000000000000,00"),",",""))</f>
        <v>000000000000000</v>
      </c>
      <c r="BJ441" s="23">
        <f t="shared" si="2530"/>
        <v>0</v>
      </c>
      <c r="BK441" s="49" t="str">
        <f t="shared" ref="BK441" si="2803">IF(BJ441&lt;0,SUBSTITUTE(TEXT(BJ441,"000000000000,00"),",",""),SUBSTITUTE(TEXT(BJ441,"0000000000000,00"),",",""))</f>
        <v>000000000000000</v>
      </c>
      <c r="BL441" s="23">
        <f t="shared" si="2532"/>
        <v>0</v>
      </c>
      <c r="BM441" s="49" t="str">
        <f t="shared" ref="BM441" si="2804">IF(BL441&lt;0,SUBSTITUTE(TEXT(BL441,"000000000000,00"),",",""),SUBSTITUTE(TEXT(BL441,"0000000000000,00"),",",""))</f>
        <v>000000000000000</v>
      </c>
      <c r="BN441" t="str">
        <f t="shared" si="2534"/>
        <v>PES</v>
      </c>
      <c r="BO441" t="str">
        <f t="shared" si="2535"/>
        <v>0001000000</v>
      </c>
      <c r="BP441">
        <f t="shared" si="2536"/>
        <v>0</v>
      </c>
      <c r="BQ441">
        <f t="shared" si="2537"/>
        <v>0</v>
      </c>
      <c r="BR441" s="23">
        <f t="shared" si="2538"/>
        <v>0</v>
      </c>
      <c r="BS441" s="49" t="str">
        <f t="shared" si="2503"/>
        <v>000000000000000</v>
      </c>
      <c r="BT441" t="str">
        <f t="shared" si="2539"/>
        <v>00000000</v>
      </c>
      <c r="BU441" s="23">
        <f t="shared" si="2540"/>
        <v>0</v>
      </c>
      <c r="BV441" s="49" t="str">
        <f t="shared" si="2504"/>
        <v/>
      </c>
      <c r="BW441" s="52" t="str">
        <f t="shared" si="2541"/>
        <v/>
      </c>
      <c r="BX441" s="23">
        <f t="shared" si="2542"/>
        <v>0</v>
      </c>
      <c r="BY441" s="49" t="str">
        <f t="shared" si="2505"/>
        <v/>
      </c>
      <c r="BZ441" s="23">
        <f t="shared" si="2543"/>
        <v>0</v>
      </c>
      <c r="CA441" s="49" t="str">
        <f t="shared" si="2506"/>
        <v/>
      </c>
      <c r="CB441" s="52" t="str">
        <f t="shared" si="2544"/>
        <v/>
      </c>
      <c r="CC441" s="23">
        <f t="shared" si="2545"/>
        <v>0</v>
      </c>
      <c r="CD441" s="49" t="str">
        <f t="shared" si="2507"/>
        <v/>
      </c>
      <c r="CE441" s="56" t="str">
        <f>IF(CF441="","",MAX(CE$10:$CE440)+1)</f>
        <v/>
      </c>
      <c r="CF441" t="str">
        <f t="shared" si="2546"/>
        <v/>
      </c>
      <c r="CG441" s="22" t="str">
        <f>IF(CH441="","",MAX($CG$10:CG440)+1)</f>
        <v/>
      </c>
      <c r="CH441" s="22" t="str">
        <f t="shared" si="2491"/>
        <v/>
      </c>
      <c r="CI441" s="22" t="str">
        <f>IF(CJ441="","",MAX($CI$10:CI440)+1)</f>
        <v/>
      </c>
      <c r="CJ441" s="22" t="str">
        <f t="shared" si="2492"/>
        <v/>
      </c>
    </row>
    <row r="442" spans="2:88" x14ac:dyDescent="0.25">
      <c r="B442" s="37"/>
      <c r="C442" s="3"/>
      <c r="D442" s="77" t="str">
        <f t="shared" si="2478"/>
        <v/>
      </c>
      <c r="E442" s="38"/>
      <c r="F442" s="38"/>
      <c r="G442" s="78">
        <f t="shared" si="2493"/>
        <v>0</v>
      </c>
      <c r="H442" s="3">
        <v>80</v>
      </c>
      <c r="I442" s="77" t="str">
        <f t="shared" si="2479"/>
        <v/>
      </c>
      <c r="J442" s="32"/>
      <c r="K442" s="3"/>
      <c r="L442" s="39"/>
      <c r="M442" s="39"/>
      <c r="N442" s="39"/>
      <c r="O442" s="39"/>
      <c r="P442" s="39"/>
      <c r="Q442" s="39"/>
      <c r="R442" s="39"/>
      <c r="S442" s="39"/>
      <c r="T442" s="3" t="s">
        <v>645</v>
      </c>
      <c r="U442" s="77" t="str">
        <f t="shared" si="2480"/>
        <v/>
      </c>
      <c r="V442" s="39">
        <v>1</v>
      </c>
      <c r="W442" s="79">
        <f t="shared" si="2494"/>
        <v>0</v>
      </c>
      <c r="X442" s="3">
        <v>0</v>
      </c>
      <c r="Y442" s="77" t="str">
        <f t="shared" si="2481"/>
        <v/>
      </c>
      <c r="Z442" s="3"/>
      <c r="AA442" s="37" t="str">
        <f t="shared" si="2495"/>
        <v/>
      </c>
      <c r="AC442" s="40"/>
      <c r="AD442" s="7"/>
      <c r="AE442" s="77" t="str">
        <f t="shared" si="2482"/>
        <v/>
      </c>
      <c r="AF442" s="81">
        <f t="shared" si="2508"/>
        <v>0</v>
      </c>
      <c r="AG442" s="40"/>
      <c r="AH442" s="7"/>
      <c r="AI442" s="77" t="str">
        <f t="shared" si="2483"/>
        <v/>
      </c>
      <c r="AJ442" s="81">
        <f t="shared" si="2509"/>
        <v>0</v>
      </c>
      <c r="AK442" s="83">
        <f t="shared" si="2510"/>
        <v>0</v>
      </c>
      <c r="AL442" s="83">
        <f t="shared" si="2511"/>
        <v>0</v>
      </c>
      <c r="AN442" s="43">
        <f t="shared" si="2484"/>
        <v>0</v>
      </c>
      <c r="AP442" t="str">
        <f t="shared" si="2512"/>
        <v/>
      </c>
      <c r="AQ442" t="str">
        <f t="shared" si="2513"/>
        <v/>
      </c>
      <c r="AR442" t="str">
        <f t="shared" si="2514"/>
        <v/>
      </c>
      <c r="AS442" t="str">
        <f t="shared" si="2515"/>
        <v/>
      </c>
      <c r="AT442" t="str">
        <f t="shared" si="2516"/>
        <v/>
      </c>
      <c r="AU442" t="str">
        <f t="shared" si="2517"/>
        <v/>
      </c>
      <c r="AV442" t="str">
        <f t="shared" si="2518"/>
        <v/>
      </c>
      <c r="AW442" t="str">
        <f t="shared" si="2519"/>
        <v xml:space="preserve">                              </v>
      </c>
      <c r="AX442" s="23">
        <f t="shared" si="2520"/>
        <v>0</v>
      </c>
      <c r="AY442" s="49" t="str">
        <f t="shared" si="2496"/>
        <v>000000000000000</v>
      </c>
      <c r="AZ442" s="23">
        <f t="shared" si="2521"/>
        <v>0</v>
      </c>
      <c r="BA442" s="49" t="str">
        <f t="shared" si="2496"/>
        <v>000000000000000</v>
      </c>
      <c r="BB442" s="23">
        <f t="shared" si="2522"/>
        <v>0</v>
      </c>
      <c r="BC442" s="49" t="str">
        <f t="shared" ref="BC442" si="2805">IF(BB442&lt;0,SUBSTITUTE(TEXT(BB442,"000000000000,00"),",",""),SUBSTITUTE(TEXT(BB442,"0000000000000,00"),",",""))</f>
        <v>000000000000000</v>
      </c>
      <c r="BD442" s="23">
        <f t="shared" si="2524"/>
        <v>0</v>
      </c>
      <c r="BE442" s="49" t="str">
        <f t="shared" ref="BE442" si="2806">IF(BD442&lt;0,SUBSTITUTE(TEXT(BD442,"000000000000,00"),",",""),SUBSTITUTE(TEXT(BD442,"0000000000000,00"),",",""))</f>
        <v>000000000000000</v>
      </c>
      <c r="BF442" s="23">
        <f t="shared" si="2526"/>
        <v>0</v>
      </c>
      <c r="BG442" s="49" t="str">
        <f t="shared" ref="BG442" si="2807">IF(BF442&lt;0,SUBSTITUTE(TEXT(BF442,"000000000000,00"),",",""),SUBSTITUTE(TEXT(BF442,"0000000000000,00"),",",""))</f>
        <v>000000000000000</v>
      </c>
      <c r="BH442" s="23">
        <f t="shared" si="2528"/>
        <v>0</v>
      </c>
      <c r="BI442" s="49" t="str">
        <f t="shared" ref="BI442" si="2808">IF(BH442&lt;0,SUBSTITUTE(TEXT(BH442,"000000000000,00"),",",""),SUBSTITUTE(TEXT(BH442,"0000000000000,00"),",",""))</f>
        <v>000000000000000</v>
      </c>
      <c r="BJ442" s="23">
        <f t="shared" si="2530"/>
        <v>0</v>
      </c>
      <c r="BK442" s="49" t="str">
        <f t="shared" ref="BK442" si="2809">IF(BJ442&lt;0,SUBSTITUTE(TEXT(BJ442,"000000000000,00"),",",""),SUBSTITUTE(TEXT(BJ442,"0000000000000,00"),",",""))</f>
        <v>000000000000000</v>
      </c>
      <c r="BL442" s="23">
        <f t="shared" si="2532"/>
        <v>0</v>
      </c>
      <c r="BM442" s="49" t="str">
        <f t="shared" ref="BM442" si="2810">IF(BL442&lt;0,SUBSTITUTE(TEXT(BL442,"000000000000,00"),",",""),SUBSTITUTE(TEXT(BL442,"0000000000000,00"),",",""))</f>
        <v>000000000000000</v>
      </c>
      <c r="BN442" t="str">
        <f t="shared" si="2534"/>
        <v>PES</v>
      </c>
      <c r="BO442" t="str">
        <f t="shared" si="2535"/>
        <v>0001000000</v>
      </c>
      <c r="BP442">
        <f t="shared" si="2536"/>
        <v>0</v>
      </c>
      <c r="BQ442">
        <f t="shared" si="2537"/>
        <v>0</v>
      </c>
      <c r="BR442" s="23">
        <f t="shared" si="2538"/>
        <v>0</v>
      </c>
      <c r="BS442" s="49" t="str">
        <f t="shared" si="2503"/>
        <v>000000000000000</v>
      </c>
      <c r="BT442" t="str">
        <f t="shared" si="2539"/>
        <v>00000000</v>
      </c>
      <c r="BU442" s="23">
        <f t="shared" si="2540"/>
        <v>0</v>
      </c>
      <c r="BV442" s="49" t="str">
        <f t="shared" si="2504"/>
        <v/>
      </c>
      <c r="BW442" s="52" t="str">
        <f t="shared" si="2541"/>
        <v/>
      </c>
      <c r="BX442" s="23">
        <f t="shared" si="2542"/>
        <v>0</v>
      </c>
      <c r="BY442" s="49" t="str">
        <f t="shared" si="2505"/>
        <v/>
      </c>
      <c r="BZ442" s="23">
        <f t="shared" si="2543"/>
        <v>0</v>
      </c>
      <c r="CA442" s="49" t="str">
        <f t="shared" si="2506"/>
        <v/>
      </c>
      <c r="CB442" s="52" t="str">
        <f t="shared" si="2544"/>
        <v/>
      </c>
      <c r="CC442" s="23">
        <f t="shared" si="2545"/>
        <v>0</v>
      </c>
      <c r="CD442" s="49" t="str">
        <f t="shared" si="2507"/>
        <v/>
      </c>
      <c r="CE442" s="56" t="str">
        <f>IF(CF442="","",MAX(CE$10:$CE441)+1)</f>
        <v/>
      </c>
      <c r="CF442" t="str">
        <f t="shared" si="2546"/>
        <v/>
      </c>
      <c r="CG442" s="22" t="str">
        <f>IF(CH442="","",MAX($CG$10:CG441)+1)</f>
        <v/>
      </c>
      <c r="CH442" s="22" t="str">
        <f t="shared" si="2491"/>
        <v/>
      </c>
      <c r="CI442" s="22" t="str">
        <f>IF(CJ442="","",MAX($CI$10:CI441)+1)</f>
        <v/>
      </c>
      <c r="CJ442" s="22" t="str">
        <f t="shared" si="2492"/>
        <v/>
      </c>
    </row>
    <row r="443" spans="2:88" x14ac:dyDescent="0.25">
      <c r="B443" s="37"/>
      <c r="C443" s="3"/>
      <c r="D443" s="77" t="str">
        <f t="shared" si="2478"/>
        <v/>
      </c>
      <c r="E443" s="38"/>
      <c r="F443" s="38"/>
      <c r="G443" s="78">
        <f t="shared" si="2493"/>
        <v>0</v>
      </c>
      <c r="H443" s="3">
        <v>80</v>
      </c>
      <c r="I443" s="77" t="str">
        <f t="shared" si="2479"/>
        <v/>
      </c>
      <c r="J443" s="32"/>
      <c r="K443" s="3"/>
      <c r="L443" s="39"/>
      <c r="M443" s="39"/>
      <c r="N443" s="39"/>
      <c r="O443" s="39"/>
      <c r="P443" s="39"/>
      <c r="Q443" s="39"/>
      <c r="R443" s="39"/>
      <c r="S443" s="39"/>
      <c r="T443" s="3" t="s">
        <v>645</v>
      </c>
      <c r="U443" s="77" t="str">
        <f t="shared" si="2480"/>
        <v/>
      </c>
      <c r="V443" s="39">
        <v>1</v>
      </c>
      <c r="W443" s="79">
        <f t="shared" si="2494"/>
        <v>0</v>
      </c>
      <c r="X443" s="3">
        <v>0</v>
      </c>
      <c r="Y443" s="77" t="str">
        <f t="shared" si="2481"/>
        <v/>
      </c>
      <c r="Z443" s="3"/>
      <c r="AA443" s="37" t="str">
        <f t="shared" si="2495"/>
        <v/>
      </c>
      <c r="AC443" s="40"/>
      <c r="AD443" s="7"/>
      <c r="AE443" s="77" t="str">
        <f t="shared" si="2482"/>
        <v/>
      </c>
      <c r="AF443" s="81">
        <f t="shared" si="2508"/>
        <v>0</v>
      </c>
      <c r="AG443" s="40"/>
      <c r="AH443" s="7"/>
      <c r="AI443" s="77" t="str">
        <f t="shared" si="2483"/>
        <v/>
      </c>
      <c r="AJ443" s="81">
        <f t="shared" si="2509"/>
        <v>0</v>
      </c>
      <c r="AK443" s="83">
        <f t="shared" si="2510"/>
        <v>0</v>
      </c>
      <c r="AL443" s="83">
        <f t="shared" si="2511"/>
        <v>0</v>
      </c>
      <c r="AN443" s="43">
        <f t="shared" si="2484"/>
        <v>0</v>
      </c>
      <c r="AP443" t="str">
        <f t="shared" si="2512"/>
        <v/>
      </c>
      <c r="AQ443" t="str">
        <f t="shared" si="2513"/>
        <v/>
      </c>
      <c r="AR443" t="str">
        <f t="shared" si="2514"/>
        <v/>
      </c>
      <c r="AS443" t="str">
        <f t="shared" si="2515"/>
        <v/>
      </c>
      <c r="AT443" t="str">
        <f t="shared" si="2516"/>
        <v/>
      </c>
      <c r="AU443" t="str">
        <f t="shared" si="2517"/>
        <v/>
      </c>
      <c r="AV443" t="str">
        <f t="shared" si="2518"/>
        <v/>
      </c>
      <c r="AW443" t="str">
        <f t="shared" si="2519"/>
        <v xml:space="preserve">                              </v>
      </c>
      <c r="AX443" s="23">
        <f t="shared" si="2520"/>
        <v>0</v>
      </c>
      <c r="AY443" s="49" t="str">
        <f t="shared" si="2496"/>
        <v>000000000000000</v>
      </c>
      <c r="AZ443" s="23">
        <f t="shared" si="2521"/>
        <v>0</v>
      </c>
      <c r="BA443" s="49" t="str">
        <f t="shared" si="2496"/>
        <v>000000000000000</v>
      </c>
      <c r="BB443" s="23">
        <f t="shared" si="2522"/>
        <v>0</v>
      </c>
      <c r="BC443" s="49" t="str">
        <f t="shared" ref="BC443" si="2811">IF(BB443&lt;0,SUBSTITUTE(TEXT(BB443,"000000000000,00"),",",""),SUBSTITUTE(TEXT(BB443,"0000000000000,00"),",",""))</f>
        <v>000000000000000</v>
      </c>
      <c r="BD443" s="23">
        <f t="shared" si="2524"/>
        <v>0</v>
      </c>
      <c r="BE443" s="49" t="str">
        <f t="shared" ref="BE443" si="2812">IF(BD443&lt;0,SUBSTITUTE(TEXT(BD443,"000000000000,00"),",",""),SUBSTITUTE(TEXT(BD443,"0000000000000,00"),",",""))</f>
        <v>000000000000000</v>
      </c>
      <c r="BF443" s="23">
        <f t="shared" si="2526"/>
        <v>0</v>
      </c>
      <c r="BG443" s="49" t="str">
        <f t="shared" ref="BG443" si="2813">IF(BF443&lt;0,SUBSTITUTE(TEXT(BF443,"000000000000,00"),",",""),SUBSTITUTE(TEXT(BF443,"0000000000000,00"),",",""))</f>
        <v>000000000000000</v>
      </c>
      <c r="BH443" s="23">
        <f t="shared" si="2528"/>
        <v>0</v>
      </c>
      <c r="BI443" s="49" t="str">
        <f t="shared" ref="BI443" si="2814">IF(BH443&lt;0,SUBSTITUTE(TEXT(BH443,"000000000000,00"),",",""),SUBSTITUTE(TEXT(BH443,"0000000000000,00"),",",""))</f>
        <v>000000000000000</v>
      </c>
      <c r="BJ443" s="23">
        <f t="shared" si="2530"/>
        <v>0</v>
      </c>
      <c r="BK443" s="49" t="str">
        <f t="shared" ref="BK443" si="2815">IF(BJ443&lt;0,SUBSTITUTE(TEXT(BJ443,"000000000000,00"),",",""),SUBSTITUTE(TEXT(BJ443,"0000000000000,00"),",",""))</f>
        <v>000000000000000</v>
      </c>
      <c r="BL443" s="23">
        <f t="shared" si="2532"/>
        <v>0</v>
      </c>
      <c r="BM443" s="49" t="str">
        <f t="shared" ref="BM443" si="2816">IF(BL443&lt;0,SUBSTITUTE(TEXT(BL443,"000000000000,00"),",",""),SUBSTITUTE(TEXT(BL443,"0000000000000,00"),",",""))</f>
        <v>000000000000000</v>
      </c>
      <c r="BN443" t="str">
        <f t="shared" si="2534"/>
        <v>PES</v>
      </c>
      <c r="BO443" t="str">
        <f t="shared" si="2535"/>
        <v>0001000000</v>
      </c>
      <c r="BP443">
        <f t="shared" si="2536"/>
        <v>0</v>
      </c>
      <c r="BQ443">
        <f t="shared" si="2537"/>
        <v>0</v>
      </c>
      <c r="BR443" s="23">
        <f t="shared" si="2538"/>
        <v>0</v>
      </c>
      <c r="BS443" s="49" t="str">
        <f t="shared" si="2503"/>
        <v>000000000000000</v>
      </c>
      <c r="BT443" t="str">
        <f t="shared" si="2539"/>
        <v>00000000</v>
      </c>
      <c r="BU443" s="23">
        <f t="shared" si="2540"/>
        <v>0</v>
      </c>
      <c r="BV443" s="49" t="str">
        <f t="shared" si="2504"/>
        <v/>
      </c>
      <c r="BW443" s="52" t="str">
        <f t="shared" si="2541"/>
        <v/>
      </c>
      <c r="BX443" s="23">
        <f t="shared" si="2542"/>
        <v>0</v>
      </c>
      <c r="BY443" s="49" t="str">
        <f t="shared" si="2505"/>
        <v/>
      </c>
      <c r="BZ443" s="23">
        <f t="shared" si="2543"/>
        <v>0</v>
      </c>
      <c r="CA443" s="49" t="str">
        <f t="shared" si="2506"/>
        <v/>
      </c>
      <c r="CB443" s="52" t="str">
        <f t="shared" si="2544"/>
        <v/>
      </c>
      <c r="CC443" s="23">
        <f t="shared" si="2545"/>
        <v>0</v>
      </c>
      <c r="CD443" s="49" t="str">
        <f t="shared" si="2507"/>
        <v/>
      </c>
      <c r="CE443" s="56" t="str">
        <f>IF(CF443="","",MAX(CE$10:$CE442)+1)</f>
        <v/>
      </c>
      <c r="CF443" t="str">
        <f t="shared" si="2546"/>
        <v/>
      </c>
      <c r="CG443" s="22" t="str">
        <f>IF(CH443="","",MAX($CG$10:CG442)+1)</f>
        <v/>
      </c>
      <c r="CH443" s="22" t="str">
        <f t="shared" si="2491"/>
        <v/>
      </c>
      <c r="CI443" s="22" t="str">
        <f>IF(CJ443="","",MAX($CI$10:CI442)+1)</f>
        <v/>
      </c>
      <c r="CJ443" s="22" t="str">
        <f t="shared" si="2492"/>
        <v/>
      </c>
    </row>
    <row r="444" spans="2:88" x14ac:dyDescent="0.25">
      <c r="B444" s="37"/>
      <c r="C444" s="3"/>
      <c r="D444" s="77" t="str">
        <f t="shared" si="2478"/>
        <v/>
      </c>
      <c r="E444" s="38"/>
      <c r="F444" s="38"/>
      <c r="G444" s="78">
        <f t="shared" si="2493"/>
        <v>0</v>
      </c>
      <c r="H444" s="3">
        <v>80</v>
      </c>
      <c r="I444" s="77" t="str">
        <f t="shared" si="2479"/>
        <v/>
      </c>
      <c r="J444" s="32"/>
      <c r="K444" s="3"/>
      <c r="L444" s="39"/>
      <c r="M444" s="39"/>
      <c r="N444" s="39"/>
      <c r="O444" s="39"/>
      <c r="P444" s="39"/>
      <c r="Q444" s="39"/>
      <c r="R444" s="39"/>
      <c r="S444" s="39"/>
      <c r="T444" s="3" t="s">
        <v>645</v>
      </c>
      <c r="U444" s="77" t="str">
        <f t="shared" si="2480"/>
        <v/>
      </c>
      <c r="V444" s="39">
        <v>1</v>
      </c>
      <c r="W444" s="79">
        <f t="shared" si="2494"/>
        <v>0</v>
      </c>
      <c r="X444" s="3">
        <v>0</v>
      </c>
      <c r="Y444" s="77" t="str">
        <f t="shared" si="2481"/>
        <v/>
      </c>
      <c r="Z444" s="3"/>
      <c r="AA444" s="37" t="str">
        <f t="shared" si="2495"/>
        <v/>
      </c>
      <c r="AC444" s="40"/>
      <c r="AD444" s="7"/>
      <c r="AE444" s="77" t="str">
        <f t="shared" si="2482"/>
        <v/>
      </c>
      <c r="AF444" s="81">
        <f t="shared" si="2508"/>
        <v>0</v>
      </c>
      <c r="AG444" s="40"/>
      <c r="AH444" s="7"/>
      <c r="AI444" s="77" t="str">
        <f t="shared" si="2483"/>
        <v/>
      </c>
      <c r="AJ444" s="81">
        <f t="shared" si="2509"/>
        <v>0</v>
      </c>
      <c r="AK444" s="83">
        <f t="shared" si="2510"/>
        <v>0</v>
      </c>
      <c r="AL444" s="83">
        <f t="shared" si="2511"/>
        <v>0</v>
      </c>
      <c r="AN444" s="43">
        <f t="shared" si="2484"/>
        <v>0</v>
      </c>
      <c r="AP444" t="str">
        <f t="shared" si="2512"/>
        <v/>
      </c>
      <c r="AQ444" t="str">
        <f t="shared" si="2513"/>
        <v/>
      </c>
      <c r="AR444" t="str">
        <f t="shared" si="2514"/>
        <v/>
      </c>
      <c r="AS444" t="str">
        <f t="shared" si="2515"/>
        <v/>
      </c>
      <c r="AT444" t="str">
        <f t="shared" si="2516"/>
        <v/>
      </c>
      <c r="AU444" t="str">
        <f t="shared" si="2517"/>
        <v/>
      </c>
      <c r="AV444" t="str">
        <f t="shared" si="2518"/>
        <v/>
      </c>
      <c r="AW444" t="str">
        <f t="shared" si="2519"/>
        <v xml:space="preserve">                              </v>
      </c>
      <c r="AX444" s="23">
        <f t="shared" si="2520"/>
        <v>0</v>
      </c>
      <c r="AY444" s="49" t="str">
        <f t="shared" si="2496"/>
        <v>000000000000000</v>
      </c>
      <c r="AZ444" s="23">
        <f t="shared" si="2521"/>
        <v>0</v>
      </c>
      <c r="BA444" s="49" t="str">
        <f t="shared" si="2496"/>
        <v>000000000000000</v>
      </c>
      <c r="BB444" s="23">
        <f t="shared" si="2522"/>
        <v>0</v>
      </c>
      <c r="BC444" s="49" t="str">
        <f t="shared" ref="BC444" si="2817">IF(BB444&lt;0,SUBSTITUTE(TEXT(BB444,"000000000000,00"),",",""),SUBSTITUTE(TEXT(BB444,"0000000000000,00"),",",""))</f>
        <v>000000000000000</v>
      </c>
      <c r="BD444" s="23">
        <f t="shared" si="2524"/>
        <v>0</v>
      </c>
      <c r="BE444" s="49" t="str">
        <f t="shared" ref="BE444" si="2818">IF(BD444&lt;0,SUBSTITUTE(TEXT(BD444,"000000000000,00"),",",""),SUBSTITUTE(TEXT(BD444,"0000000000000,00"),",",""))</f>
        <v>000000000000000</v>
      </c>
      <c r="BF444" s="23">
        <f t="shared" si="2526"/>
        <v>0</v>
      </c>
      <c r="BG444" s="49" t="str">
        <f t="shared" ref="BG444" si="2819">IF(BF444&lt;0,SUBSTITUTE(TEXT(BF444,"000000000000,00"),",",""),SUBSTITUTE(TEXT(BF444,"0000000000000,00"),",",""))</f>
        <v>000000000000000</v>
      </c>
      <c r="BH444" s="23">
        <f t="shared" si="2528"/>
        <v>0</v>
      </c>
      <c r="BI444" s="49" t="str">
        <f t="shared" ref="BI444" si="2820">IF(BH444&lt;0,SUBSTITUTE(TEXT(BH444,"000000000000,00"),",",""),SUBSTITUTE(TEXT(BH444,"0000000000000,00"),",",""))</f>
        <v>000000000000000</v>
      </c>
      <c r="BJ444" s="23">
        <f t="shared" si="2530"/>
        <v>0</v>
      </c>
      <c r="BK444" s="49" t="str">
        <f t="shared" ref="BK444" si="2821">IF(BJ444&lt;0,SUBSTITUTE(TEXT(BJ444,"000000000000,00"),",",""),SUBSTITUTE(TEXT(BJ444,"0000000000000,00"),",",""))</f>
        <v>000000000000000</v>
      </c>
      <c r="BL444" s="23">
        <f t="shared" si="2532"/>
        <v>0</v>
      </c>
      <c r="BM444" s="49" t="str">
        <f t="shared" ref="BM444" si="2822">IF(BL444&lt;0,SUBSTITUTE(TEXT(BL444,"000000000000,00"),",",""),SUBSTITUTE(TEXT(BL444,"0000000000000,00"),",",""))</f>
        <v>000000000000000</v>
      </c>
      <c r="BN444" t="str">
        <f t="shared" si="2534"/>
        <v>PES</v>
      </c>
      <c r="BO444" t="str">
        <f t="shared" si="2535"/>
        <v>0001000000</v>
      </c>
      <c r="BP444">
        <f t="shared" si="2536"/>
        <v>0</v>
      </c>
      <c r="BQ444">
        <f t="shared" si="2537"/>
        <v>0</v>
      </c>
      <c r="BR444" s="23">
        <f t="shared" si="2538"/>
        <v>0</v>
      </c>
      <c r="BS444" s="49" t="str">
        <f t="shared" si="2503"/>
        <v>000000000000000</v>
      </c>
      <c r="BT444" t="str">
        <f t="shared" si="2539"/>
        <v>00000000</v>
      </c>
      <c r="BU444" s="23">
        <f t="shared" si="2540"/>
        <v>0</v>
      </c>
      <c r="BV444" s="49" t="str">
        <f t="shared" si="2504"/>
        <v/>
      </c>
      <c r="BW444" s="52" t="str">
        <f t="shared" si="2541"/>
        <v/>
      </c>
      <c r="BX444" s="23">
        <f t="shared" si="2542"/>
        <v>0</v>
      </c>
      <c r="BY444" s="49" t="str">
        <f t="shared" si="2505"/>
        <v/>
      </c>
      <c r="BZ444" s="23">
        <f t="shared" si="2543"/>
        <v>0</v>
      </c>
      <c r="CA444" s="49" t="str">
        <f t="shared" si="2506"/>
        <v/>
      </c>
      <c r="CB444" s="52" t="str">
        <f t="shared" si="2544"/>
        <v/>
      </c>
      <c r="CC444" s="23">
        <f t="shared" si="2545"/>
        <v>0</v>
      </c>
      <c r="CD444" s="49" t="str">
        <f t="shared" si="2507"/>
        <v/>
      </c>
      <c r="CE444" s="56" t="str">
        <f>IF(CF444="","",MAX(CE$10:$CE443)+1)</f>
        <v/>
      </c>
      <c r="CF444" t="str">
        <f t="shared" si="2546"/>
        <v/>
      </c>
      <c r="CG444" s="22" t="str">
        <f>IF(CH444="","",MAX($CG$10:CG443)+1)</f>
        <v/>
      </c>
      <c r="CH444" s="22" t="str">
        <f t="shared" si="2491"/>
        <v/>
      </c>
      <c r="CI444" s="22" t="str">
        <f>IF(CJ444="","",MAX($CI$10:CI443)+1)</f>
        <v/>
      </c>
      <c r="CJ444" s="22" t="str">
        <f t="shared" si="2492"/>
        <v/>
      </c>
    </row>
    <row r="445" spans="2:88" x14ac:dyDescent="0.25">
      <c r="B445" s="37"/>
      <c r="C445" s="3"/>
      <c r="D445" s="77" t="str">
        <f t="shared" si="2478"/>
        <v/>
      </c>
      <c r="E445" s="38"/>
      <c r="F445" s="38"/>
      <c r="G445" s="78">
        <f t="shared" si="2493"/>
        <v>0</v>
      </c>
      <c r="H445" s="3">
        <v>80</v>
      </c>
      <c r="I445" s="77" t="str">
        <f t="shared" si="2479"/>
        <v/>
      </c>
      <c r="J445" s="32"/>
      <c r="K445" s="3"/>
      <c r="L445" s="39"/>
      <c r="M445" s="39"/>
      <c r="N445" s="39"/>
      <c r="O445" s="39"/>
      <c r="P445" s="39"/>
      <c r="Q445" s="39"/>
      <c r="R445" s="39"/>
      <c r="S445" s="39"/>
      <c r="T445" s="3" t="s">
        <v>645</v>
      </c>
      <c r="U445" s="77" t="str">
        <f t="shared" si="2480"/>
        <v/>
      </c>
      <c r="V445" s="39">
        <v>1</v>
      </c>
      <c r="W445" s="79">
        <f t="shared" si="2494"/>
        <v>0</v>
      </c>
      <c r="X445" s="3">
        <v>0</v>
      </c>
      <c r="Y445" s="77" t="str">
        <f t="shared" si="2481"/>
        <v/>
      </c>
      <c r="Z445" s="3"/>
      <c r="AA445" s="37" t="str">
        <f t="shared" si="2495"/>
        <v/>
      </c>
      <c r="AC445" s="40"/>
      <c r="AD445" s="7"/>
      <c r="AE445" s="77" t="str">
        <f t="shared" si="2482"/>
        <v/>
      </c>
      <c r="AF445" s="81">
        <f t="shared" si="2508"/>
        <v>0</v>
      </c>
      <c r="AG445" s="40"/>
      <c r="AH445" s="7"/>
      <c r="AI445" s="77" t="str">
        <f t="shared" si="2483"/>
        <v/>
      </c>
      <c r="AJ445" s="81">
        <f t="shared" si="2509"/>
        <v>0</v>
      </c>
      <c r="AK445" s="83">
        <f t="shared" si="2510"/>
        <v>0</v>
      </c>
      <c r="AL445" s="83">
        <f t="shared" si="2511"/>
        <v>0</v>
      </c>
      <c r="AN445" s="43">
        <f t="shared" si="2484"/>
        <v>0</v>
      </c>
      <c r="AP445" t="str">
        <f t="shared" si="2512"/>
        <v/>
      </c>
      <c r="AQ445" t="str">
        <f t="shared" si="2513"/>
        <v/>
      </c>
      <c r="AR445" t="str">
        <f t="shared" si="2514"/>
        <v/>
      </c>
      <c r="AS445" t="str">
        <f t="shared" si="2515"/>
        <v/>
      </c>
      <c r="AT445" t="str">
        <f t="shared" si="2516"/>
        <v/>
      </c>
      <c r="AU445" t="str">
        <f t="shared" si="2517"/>
        <v/>
      </c>
      <c r="AV445" t="str">
        <f t="shared" si="2518"/>
        <v/>
      </c>
      <c r="AW445" t="str">
        <f t="shared" si="2519"/>
        <v xml:space="preserve">                              </v>
      </c>
      <c r="AX445" s="23">
        <f t="shared" si="2520"/>
        <v>0</v>
      </c>
      <c r="AY445" s="49" t="str">
        <f t="shared" si="2496"/>
        <v>000000000000000</v>
      </c>
      <c r="AZ445" s="23">
        <f t="shared" si="2521"/>
        <v>0</v>
      </c>
      <c r="BA445" s="49" t="str">
        <f t="shared" si="2496"/>
        <v>000000000000000</v>
      </c>
      <c r="BB445" s="23">
        <f t="shared" si="2522"/>
        <v>0</v>
      </c>
      <c r="BC445" s="49" t="str">
        <f t="shared" ref="BC445" si="2823">IF(BB445&lt;0,SUBSTITUTE(TEXT(BB445,"000000000000,00"),",",""),SUBSTITUTE(TEXT(BB445,"0000000000000,00"),",",""))</f>
        <v>000000000000000</v>
      </c>
      <c r="BD445" s="23">
        <f t="shared" si="2524"/>
        <v>0</v>
      </c>
      <c r="BE445" s="49" t="str">
        <f t="shared" ref="BE445" si="2824">IF(BD445&lt;0,SUBSTITUTE(TEXT(BD445,"000000000000,00"),",",""),SUBSTITUTE(TEXT(BD445,"0000000000000,00"),",",""))</f>
        <v>000000000000000</v>
      </c>
      <c r="BF445" s="23">
        <f t="shared" si="2526"/>
        <v>0</v>
      </c>
      <c r="BG445" s="49" t="str">
        <f t="shared" ref="BG445" si="2825">IF(BF445&lt;0,SUBSTITUTE(TEXT(BF445,"000000000000,00"),",",""),SUBSTITUTE(TEXT(BF445,"0000000000000,00"),",",""))</f>
        <v>000000000000000</v>
      </c>
      <c r="BH445" s="23">
        <f t="shared" si="2528"/>
        <v>0</v>
      </c>
      <c r="BI445" s="49" t="str">
        <f t="shared" ref="BI445" si="2826">IF(BH445&lt;0,SUBSTITUTE(TEXT(BH445,"000000000000,00"),",",""),SUBSTITUTE(TEXT(BH445,"0000000000000,00"),",",""))</f>
        <v>000000000000000</v>
      </c>
      <c r="BJ445" s="23">
        <f t="shared" si="2530"/>
        <v>0</v>
      </c>
      <c r="BK445" s="49" t="str">
        <f t="shared" ref="BK445" si="2827">IF(BJ445&lt;0,SUBSTITUTE(TEXT(BJ445,"000000000000,00"),",",""),SUBSTITUTE(TEXT(BJ445,"0000000000000,00"),",",""))</f>
        <v>000000000000000</v>
      </c>
      <c r="BL445" s="23">
        <f t="shared" si="2532"/>
        <v>0</v>
      </c>
      <c r="BM445" s="49" t="str">
        <f t="shared" ref="BM445" si="2828">IF(BL445&lt;0,SUBSTITUTE(TEXT(BL445,"000000000000,00"),",",""),SUBSTITUTE(TEXT(BL445,"0000000000000,00"),",",""))</f>
        <v>000000000000000</v>
      </c>
      <c r="BN445" t="str">
        <f t="shared" si="2534"/>
        <v>PES</v>
      </c>
      <c r="BO445" t="str">
        <f t="shared" si="2535"/>
        <v>0001000000</v>
      </c>
      <c r="BP445">
        <f t="shared" si="2536"/>
        <v>0</v>
      </c>
      <c r="BQ445">
        <f t="shared" si="2537"/>
        <v>0</v>
      </c>
      <c r="BR445" s="23">
        <f t="shared" si="2538"/>
        <v>0</v>
      </c>
      <c r="BS445" s="49" t="str">
        <f t="shared" si="2503"/>
        <v>000000000000000</v>
      </c>
      <c r="BT445" t="str">
        <f t="shared" si="2539"/>
        <v>00000000</v>
      </c>
      <c r="BU445" s="23">
        <f t="shared" si="2540"/>
        <v>0</v>
      </c>
      <c r="BV445" s="49" t="str">
        <f t="shared" si="2504"/>
        <v/>
      </c>
      <c r="BW445" s="52" t="str">
        <f t="shared" si="2541"/>
        <v/>
      </c>
      <c r="BX445" s="23">
        <f t="shared" si="2542"/>
        <v>0</v>
      </c>
      <c r="BY445" s="49" t="str">
        <f t="shared" si="2505"/>
        <v/>
      </c>
      <c r="BZ445" s="23">
        <f t="shared" si="2543"/>
        <v>0</v>
      </c>
      <c r="CA445" s="49" t="str">
        <f t="shared" si="2506"/>
        <v/>
      </c>
      <c r="CB445" s="52" t="str">
        <f t="shared" si="2544"/>
        <v/>
      </c>
      <c r="CC445" s="23">
        <f t="shared" si="2545"/>
        <v>0</v>
      </c>
      <c r="CD445" s="49" t="str">
        <f t="shared" si="2507"/>
        <v/>
      </c>
      <c r="CE445" s="56" t="str">
        <f>IF(CF445="","",MAX(CE$10:$CE444)+1)</f>
        <v/>
      </c>
      <c r="CF445" t="str">
        <f t="shared" si="2546"/>
        <v/>
      </c>
      <c r="CG445" s="22" t="str">
        <f>IF(CH445="","",MAX($CG$10:CG444)+1)</f>
        <v/>
      </c>
      <c r="CH445" s="22" t="str">
        <f t="shared" si="2491"/>
        <v/>
      </c>
      <c r="CI445" s="22" t="str">
        <f>IF(CJ445="","",MAX($CI$10:CI444)+1)</f>
        <v/>
      </c>
      <c r="CJ445" s="22" t="str">
        <f t="shared" si="2492"/>
        <v/>
      </c>
    </row>
    <row r="446" spans="2:88" x14ac:dyDescent="0.25">
      <c r="B446" s="37"/>
      <c r="C446" s="3"/>
      <c r="D446" s="77" t="str">
        <f t="shared" si="2478"/>
        <v/>
      </c>
      <c r="E446" s="38"/>
      <c r="F446" s="38"/>
      <c r="G446" s="78">
        <f t="shared" si="2493"/>
        <v>0</v>
      </c>
      <c r="H446" s="3">
        <v>80</v>
      </c>
      <c r="I446" s="77" t="str">
        <f t="shared" si="2479"/>
        <v/>
      </c>
      <c r="J446" s="32"/>
      <c r="K446" s="3"/>
      <c r="L446" s="39"/>
      <c r="M446" s="39"/>
      <c r="N446" s="39"/>
      <c r="O446" s="39"/>
      <c r="P446" s="39"/>
      <c r="Q446" s="39"/>
      <c r="R446" s="39"/>
      <c r="S446" s="39"/>
      <c r="T446" s="3" t="s">
        <v>645</v>
      </c>
      <c r="U446" s="77" t="str">
        <f t="shared" si="2480"/>
        <v/>
      </c>
      <c r="V446" s="39">
        <v>1</v>
      </c>
      <c r="W446" s="79">
        <f t="shared" si="2494"/>
        <v>0</v>
      </c>
      <c r="X446" s="3">
        <v>0</v>
      </c>
      <c r="Y446" s="77" t="str">
        <f t="shared" si="2481"/>
        <v/>
      </c>
      <c r="Z446" s="3"/>
      <c r="AA446" s="37" t="str">
        <f t="shared" si="2495"/>
        <v/>
      </c>
      <c r="AC446" s="40"/>
      <c r="AD446" s="7"/>
      <c r="AE446" s="77" t="str">
        <f t="shared" si="2482"/>
        <v/>
      </c>
      <c r="AF446" s="81">
        <f t="shared" si="2508"/>
        <v>0</v>
      </c>
      <c r="AG446" s="40"/>
      <c r="AH446" s="7"/>
      <c r="AI446" s="77" t="str">
        <f t="shared" si="2483"/>
        <v/>
      </c>
      <c r="AJ446" s="81">
        <f t="shared" si="2509"/>
        <v>0</v>
      </c>
      <c r="AK446" s="83">
        <f t="shared" si="2510"/>
        <v>0</v>
      </c>
      <c r="AL446" s="83">
        <f t="shared" si="2511"/>
        <v>0</v>
      </c>
      <c r="AN446" s="43">
        <f t="shared" si="2484"/>
        <v>0</v>
      </c>
      <c r="AP446" t="str">
        <f t="shared" si="2512"/>
        <v/>
      </c>
      <c r="AQ446" t="str">
        <f t="shared" si="2513"/>
        <v/>
      </c>
      <c r="AR446" t="str">
        <f t="shared" si="2514"/>
        <v/>
      </c>
      <c r="AS446" t="str">
        <f t="shared" si="2515"/>
        <v/>
      </c>
      <c r="AT446" t="str">
        <f t="shared" si="2516"/>
        <v/>
      </c>
      <c r="AU446" t="str">
        <f t="shared" si="2517"/>
        <v/>
      </c>
      <c r="AV446" t="str">
        <f t="shared" si="2518"/>
        <v/>
      </c>
      <c r="AW446" t="str">
        <f t="shared" si="2519"/>
        <v xml:space="preserve">                              </v>
      </c>
      <c r="AX446" s="23">
        <f t="shared" si="2520"/>
        <v>0</v>
      </c>
      <c r="AY446" s="49" t="str">
        <f t="shared" si="2496"/>
        <v>000000000000000</v>
      </c>
      <c r="AZ446" s="23">
        <f t="shared" si="2521"/>
        <v>0</v>
      </c>
      <c r="BA446" s="49" t="str">
        <f t="shared" si="2496"/>
        <v>000000000000000</v>
      </c>
      <c r="BB446" s="23">
        <f t="shared" si="2522"/>
        <v>0</v>
      </c>
      <c r="BC446" s="49" t="str">
        <f t="shared" ref="BC446" si="2829">IF(BB446&lt;0,SUBSTITUTE(TEXT(BB446,"000000000000,00"),",",""),SUBSTITUTE(TEXT(BB446,"0000000000000,00"),",",""))</f>
        <v>000000000000000</v>
      </c>
      <c r="BD446" s="23">
        <f t="shared" si="2524"/>
        <v>0</v>
      </c>
      <c r="BE446" s="49" t="str">
        <f t="shared" ref="BE446" si="2830">IF(BD446&lt;0,SUBSTITUTE(TEXT(BD446,"000000000000,00"),",",""),SUBSTITUTE(TEXT(BD446,"0000000000000,00"),",",""))</f>
        <v>000000000000000</v>
      </c>
      <c r="BF446" s="23">
        <f t="shared" si="2526"/>
        <v>0</v>
      </c>
      <c r="BG446" s="49" t="str">
        <f t="shared" ref="BG446" si="2831">IF(BF446&lt;0,SUBSTITUTE(TEXT(BF446,"000000000000,00"),",",""),SUBSTITUTE(TEXT(BF446,"0000000000000,00"),",",""))</f>
        <v>000000000000000</v>
      </c>
      <c r="BH446" s="23">
        <f t="shared" si="2528"/>
        <v>0</v>
      </c>
      <c r="BI446" s="49" t="str">
        <f t="shared" ref="BI446" si="2832">IF(BH446&lt;0,SUBSTITUTE(TEXT(BH446,"000000000000,00"),",",""),SUBSTITUTE(TEXT(BH446,"0000000000000,00"),",",""))</f>
        <v>000000000000000</v>
      </c>
      <c r="BJ446" s="23">
        <f t="shared" si="2530"/>
        <v>0</v>
      </c>
      <c r="BK446" s="49" t="str">
        <f t="shared" ref="BK446" si="2833">IF(BJ446&lt;0,SUBSTITUTE(TEXT(BJ446,"000000000000,00"),",",""),SUBSTITUTE(TEXT(BJ446,"0000000000000,00"),",",""))</f>
        <v>000000000000000</v>
      </c>
      <c r="BL446" s="23">
        <f t="shared" si="2532"/>
        <v>0</v>
      </c>
      <c r="BM446" s="49" t="str">
        <f t="shared" ref="BM446" si="2834">IF(BL446&lt;0,SUBSTITUTE(TEXT(BL446,"000000000000,00"),",",""),SUBSTITUTE(TEXT(BL446,"0000000000000,00"),",",""))</f>
        <v>000000000000000</v>
      </c>
      <c r="BN446" t="str">
        <f t="shared" si="2534"/>
        <v>PES</v>
      </c>
      <c r="BO446" t="str">
        <f t="shared" si="2535"/>
        <v>0001000000</v>
      </c>
      <c r="BP446">
        <f t="shared" si="2536"/>
        <v>0</v>
      </c>
      <c r="BQ446">
        <f t="shared" si="2537"/>
        <v>0</v>
      </c>
      <c r="BR446" s="23">
        <f t="shared" si="2538"/>
        <v>0</v>
      </c>
      <c r="BS446" s="49" t="str">
        <f t="shared" si="2503"/>
        <v>000000000000000</v>
      </c>
      <c r="BT446" t="str">
        <f t="shared" si="2539"/>
        <v>00000000</v>
      </c>
      <c r="BU446" s="23">
        <f t="shared" si="2540"/>
        <v>0</v>
      </c>
      <c r="BV446" s="49" t="str">
        <f t="shared" si="2504"/>
        <v/>
      </c>
      <c r="BW446" s="52" t="str">
        <f t="shared" si="2541"/>
        <v/>
      </c>
      <c r="BX446" s="23">
        <f t="shared" si="2542"/>
        <v>0</v>
      </c>
      <c r="BY446" s="49" t="str">
        <f t="shared" si="2505"/>
        <v/>
      </c>
      <c r="BZ446" s="23">
        <f t="shared" si="2543"/>
        <v>0</v>
      </c>
      <c r="CA446" s="49" t="str">
        <f t="shared" si="2506"/>
        <v/>
      </c>
      <c r="CB446" s="52" t="str">
        <f t="shared" si="2544"/>
        <v/>
      </c>
      <c r="CC446" s="23">
        <f t="shared" si="2545"/>
        <v>0</v>
      </c>
      <c r="CD446" s="49" t="str">
        <f t="shared" si="2507"/>
        <v/>
      </c>
      <c r="CE446" s="56" t="str">
        <f>IF(CF446="","",MAX(CE$10:$CE445)+1)</f>
        <v/>
      </c>
      <c r="CF446" t="str">
        <f t="shared" si="2546"/>
        <v/>
      </c>
      <c r="CG446" s="22" t="str">
        <f>IF(CH446="","",MAX($CG$10:CG445)+1)</f>
        <v/>
      </c>
      <c r="CH446" s="22" t="str">
        <f t="shared" si="2491"/>
        <v/>
      </c>
      <c r="CI446" s="22" t="str">
        <f>IF(CJ446="","",MAX($CI$10:CI445)+1)</f>
        <v/>
      </c>
      <c r="CJ446" s="22" t="str">
        <f t="shared" si="2492"/>
        <v/>
      </c>
    </row>
    <row r="447" spans="2:88" x14ac:dyDescent="0.25">
      <c r="B447" s="37"/>
      <c r="C447" s="3"/>
      <c r="D447" s="77" t="str">
        <f t="shared" si="2478"/>
        <v/>
      </c>
      <c r="E447" s="38"/>
      <c r="F447" s="38"/>
      <c r="G447" s="78">
        <f t="shared" si="2493"/>
        <v>0</v>
      </c>
      <c r="H447" s="3">
        <v>80</v>
      </c>
      <c r="I447" s="77" t="str">
        <f t="shared" si="2479"/>
        <v/>
      </c>
      <c r="J447" s="32"/>
      <c r="K447" s="3"/>
      <c r="L447" s="39"/>
      <c r="M447" s="39"/>
      <c r="N447" s="39"/>
      <c r="O447" s="39"/>
      <c r="P447" s="39"/>
      <c r="Q447" s="39"/>
      <c r="R447" s="39"/>
      <c r="S447" s="39"/>
      <c r="T447" s="3" t="s">
        <v>645</v>
      </c>
      <c r="U447" s="77" t="str">
        <f t="shared" si="2480"/>
        <v/>
      </c>
      <c r="V447" s="39">
        <v>1</v>
      </c>
      <c r="W447" s="79">
        <f t="shared" si="2494"/>
        <v>0</v>
      </c>
      <c r="X447" s="3">
        <v>0</v>
      </c>
      <c r="Y447" s="77" t="str">
        <f t="shared" si="2481"/>
        <v/>
      </c>
      <c r="Z447" s="3"/>
      <c r="AA447" s="37" t="str">
        <f t="shared" si="2495"/>
        <v/>
      </c>
      <c r="AC447" s="40"/>
      <c r="AD447" s="7"/>
      <c r="AE447" s="77" t="str">
        <f t="shared" si="2482"/>
        <v/>
      </c>
      <c r="AF447" s="81">
        <f t="shared" si="2508"/>
        <v>0</v>
      </c>
      <c r="AG447" s="40"/>
      <c r="AH447" s="7"/>
      <c r="AI447" s="77" t="str">
        <f t="shared" si="2483"/>
        <v/>
      </c>
      <c r="AJ447" s="81">
        <f t="shared" si="2509"/>
        <v>0</v>
      </c>
      <c r="AK447" s="83">
        <f t="shared" si="2510"/>
        <v>0</v>
      </c>
      <c r="AL447" s="83">
        <f t="shared" si="2511"/>
        <v>0</v>
      </c>
      <c r="AN447" s="43">
        <f t="shared" si="2484"/>
        <v>0</v>
      </c>
      <c r="AP447" t="str">
        <f t="shared" si="2512"/>
        <v/>
      </c>
      <c r="AQ447" t="str">
        <f t="shared" si="2513"/>
        <v/>
      </c>
      <c r="AR447" t="str">
        <f t="shared" si="2514"/>
        <v/>
      </c>
      <c r="AS447" t="str">
        <f t="shared" si="2515"/>
        <v/>
      </c>
      <c r="AT447" t="str">
        <f t="shared" si="2516"/>
        <v/>
      </c>
      <c r="AU447" t="str">
        <f t="shared" si="2517"/>
        <v/>
      </c>
      <c r="AV447" t="str">
        <f t="shared" si="2518"/>
        <v/>
      </c>
      <c r="AW447" t="str">
        <f t="shared" si="2519"/>
        <v xml:space="preserve">                              </v>
      </c>
      <c r="AX447" s="23">
        <f t="shared" si="2520"/>
        <v>0</v>
      </c>
      <c r="AY447" s="49" t="str">
        <f t="shared" si="2496"/>
        <v>000000000000000</v>
      </c>
      <c r="AZ447" s="23">
        <f t="shared" si="2521"/>
        <v>0</v>
      </c>
      <c r="BA447" s="49" t="str">
        <f t="shared" si="2496"/>
        <v>000000000000000</v>
      </c>
      <c r="BB447" s="23">
        <f t="shared" si="2522"/>
        <v>0</v>
      </c>
      <c r="BC447" s="49" t="str">
        <f t="shared" ref="BC447" si="2835">IF(BB447&lt;0,SUBSTITUTE(TEXT(BB447,"000000000000,00"),",",""),SUBSTITUTE(TEXT(BB447,"0000000000000,00"),",",""))</f>
        <v>000000000000000</v>
      </c>
      <c r="BD447" s="23">
        <f t="shared" si="2524"/>
        <v>0</v>
      </c>
      <c r="BE447" s="49" t="str">
        <f t="shared" ref="BE447" si="2836">IF(BD447&lt;0,SUBSTITUTE(TEXT(BD447,"000000000000,00"),",",""),SUBSTITUTE(TEXT(BD447,"0000000000000,00"),",",""))</f>
        <v>000000000000000</v>
      </c>
      <c r="BF447" s="23">
        <f t="shared" si="2526"/>
        <v>0</v>
      </c>
      <c r="BG447" s="49" t="str">
        <f t="shared" ref="BG447" si="2837">IF(BF447&lt;0,SUBSTITUTE(TEXT(BF447,"000000000000,00"),",",""),SUBSTITUTE(TEXT(BF447,"0000000000000,00"),",",""))</f>
        <v>000000000000000</v>
      </c>
      <c r="BH447" s="23">
        <f t="shared" si="2528"/>
        <v>0</v>
      </c>
      <c r="BI447" s="49" t="str">
        <f t="shared" ref="BI447" si="2838">IF(BH447&lt;0,SUBSTITUTE(TEXT(BH447,"000000000000,00"),",",""),SUBSTITUTE(TEXT(BH447,"0000000000000,00"),",",""))</f>
        <v>000000000000000</v>
      </c>
      <c r="BJ447" s="23">
        <f t="shared" si="2530"/>
        <v>0</v>
      </c>
      <c r="BK447" s="49" t="str">
        <f t="shared" ref="BK447" si="2839">IF(BJ447&lt;0,SUBSTITUTE(TEXT(BJ447,"000000000000,00"),",",""),SUBSTITUTE(TEXT(BJ447,"0000000000000,00"),",",""))</f>
        <v>000000000000000</v>
      </c>
      <c r="BL447" s="23">
        <f t="shared" si="2532"/>
        <v>0</v>
      </c>
      <c r="BM447" s="49" t="str">
        <f t="shared" ref="BM447" si="2840">IF(BL447&lt;0,SUBSTITUTE(TEXT(BL447,"000000000000,00"),",",""),SUBSTITUTE(TEXT(BL447,"0000000000000,00"),",",""))</f>
        <v>000000000000000</v>
      </c>
      <c r="BN447" t="str">
        <f t="shared" si="2534"/>
        <v>PES</v>
      </c>
      <c r="BO447" t="str">
        <f t="shared" si="2535"/>
        <v>0001000000</v>
      </c>
      <c r="BP447">
        <f t="shared" si="2536"/>
        <v>0</v>
      </c>
      <c r="BQ447">
        <f t="shared" si="2537"/>
        <v>0</v>
      </c>
      <c r="BR447" s="23">
        <f t="shared" si="2538"/>
        <v>0</v>
      </c>
      <c r="BS447" s="49" t="str">
        <f t="shared" si="2503"/>
        <v>000000000000000</v>
      </c>
      <c r="BT447" t="str">
        <f t="shared" si="2539"/>
        <v>00000000</v>
      </c>
      <c r="BU447" s="23">
        <f t="shared" si="2540"/>
        <v>0</v>
      </c>
      <c r="BV447" s="49" t="str">
        <f t="shared" si="2504"/>
        <v/>
      </c>
      <c r="BW447" s="52" t="str">
        <f t="shared" si="2541"/>
        <v/>
      </c>
      <c r="BX447" s="23">
        <f t="shared" si="2542"/>
        <v>0</v>
      </c>
      <c r="BY447" s="49" t="str">
        <f t="shared" si="2505"/>
        <v/>
      </c>
      <c r="BZ447" s="23">
        <f t="shared" si="2543"/>
        <v>0</v>
      </c>
      <c r="CA447" s="49" t="str">
        <f t="shared" si="2506"/>
        <v/>
      </c>
      <c r="CB447" s="52" t="str">
        <f t="shared" si="2544"/>
        <v/>
      </c>
      <c r="CC447" s="23">
        <f t="shared" si="2545"/>
        <v>0</v>
      </c>
      <c r="CD447" s="49" t="str">
        <f t="shared" si="2507"/>
        <v/>
      </c>
      <c r="CE447" s="56" t="str">
        <f>IF(CF447="","",MAX(CE$10:$CE446)+1)</f>
        <v/>
      </c>
      <c r="CF447" t="str">
        <f t="shared" si="2546"/>
        <v/>
      </c>
      <c r="CG447" s="22" t="str">
        <f>IF(CH447="","",MAX($CG$10:CG446)+1)</f>
        <v/>
      </c>
      <c r="CH447" s="22" t="str">
        <f t="shared" si="2491"/>
        <v/>
      </c>
      <c r="CI447" s="22" t="str">
        <f>IF(CJ447="","",MAX($CI$10:CI446)+1)</f>
        <v/>
      </c>
      <c r="CJ447" s="22" t="str">
        <f t="shared" si="2492"/>
        <v/>
      </c>
    </row>
    <row r="448" spans="2:88" x14ac:dyDescent="0.25">
      <c r="B448" s="37"/>
      <c r="C448" s="3"/>
      <c r="D448" s="77" t="str">
        <f t="shared" si="2478"/>
        <v/>
      </c>
      <c r="E448" s="38"/>
      <c r="F448" s="38"/>
      <c r="G448" s="78">
        <f t="shared" si="2493"/>
        <v>0</v>
      </c>
      <c r="H448" s="3">
        <v>80</v>
      </c>
      <c r="I448" s="77" t="str">
        <f t="shared" si="2479"/>
        <v/>
      </c>
      <c r="J448" s="32"/>
      <c r="K448" s="3"/>
      <c r="L448" s="39"/>
      <c r="M448" s="39"/>
      <c r="N448" s="39"/>
      <c r="O448" s="39"/>
      <c r="P448" s="39"/>
      <c r="Q448" s="39"/>
      <c r="R448" s="39"/>
      <c r="S448" s="39"/>
      <c r="T448" s="3" t="s">
        <v>645</v>
      </c>
      <c r="U448" s="77" t="str">
        <f t="shared" si="2480"/>
        <v/>
      </c>
      <c r="V448" s="39">
        <v>1</v>
      </c>
      <c r="W448" s="79">
        <f t="shared" si="2494"/>
        <v>0</v>
      </c>
      <c r="X448" s="3">
        <v>0</v>
      </c>
      <c r="Y448" s="77" t="str">
        <f t="shared" si="2481"/>
        <v/>
      </c>
      <c r="Z448" s="3"/>
      <c r="AA448" s="37" t="str">
        <f t="shared" si="2495"/>
        <v/>
      </c>
      <c r="AC448" s="40"/>
      <c r="AD448" s="7"/>
      <c r="AE448" s="77" t="str">
        <f t="shared" si="2482"/>
        <v/>
      </c>
      <c r="AF448" s="81">
        <f t="shared" si="2508"/>
        <v>0</v>
      </c>
      <c r="AG448" s="40"/>
      <c r="AH448" s="7"/>
      <c r="AI448" s="77" t="str">
        <f t="shared" si="2483"/>
        <v/>
      </c>
      <c r="AJ448" s="81">
        <f t="shared" si="2509"/>
        <v>0</v>
      </c>
      <c r="AK448" s="83">
        <f t="shared" si="2510"/>
        <v>0</v>
      </c>
      <c r="AL448" s="83">
        <f t="shared" si="2511"/>
        <v>0</v>
      </c>
      <c r="AN448" s="43">
        <f t="shared" si="2484"/>
        <v>0</v>
      </c>
      <c r="AP448" t="str">
        <f t="shared" si="2512"/>
        <v/>
      </c>
      <c r="AQ448" t="str">
        <f t="shared" si="2513"/>
        <v/>
      </c>
      <c r="AR448" t="str">
        <f t="shared" si="2514"/>
        <v/>
      </c>
      <c r="AS448" t="str">
        <f t="shared" si="2515"/>
        <v/>
      </c>
      <c r="AT448" t="str">
        <f t="shared" si="2516"/>
        <v/>
      </c>
      <c r="AU448" t="str">
        <f t="shared" si="2517"/>
        <v/>
      </c>
      <c r="AV448" t="str">
        <f t="shared" si="2518"/>
        <v/>
      </c>
      <c r="AW448" t="str">
        <f t="shared" si="2519"/>
        <v xml:space="preserve">                              </v>
      </c>
      <c r="AX448" s="23">
        <f t="shared" si="2520"/>
        <v>0</v>
      </c>
      <c r="AY448" s="49" t="str">
        <f t="shared" si="2496"/>
        <v>000000000000000</v>
      </c>
      <c r="AZ448" s="23">
        <f t="shared" si="2521"/>
        <v>0</v>
      </c>
      <c r="BA448" s="49" t="str">
        <f t="shared" si="2496"/>
        <v>000000000000000</v>
      </c>
      <c r="BB448" s="23">
        <f t="shared" si="2522"/>
        <v>0</v>
      </c>
      <c r="BC448" s="49" t="str">
        <f t="shared" ref="BC448" si="2841">IF(BB448&lt;0,SUBSTITUTE(TEXT(BB448,"000000000000,00"),",",""),SUBSTITUTE(TEXT(BB448,"0000000000000,00"),",",""))</f>
        <v>000000000000000</v>
      </c>
      <c r="BD448" s="23">
        <f t="shared" si="2524"/>
        <v>0</v>
      </c>
      <c r="BE448" s="49" t="str">
        <f t="shared" ref="BE448" si="2842">IF(BD448&lt;0,SUBSTITUTE(TEXT(BD448,"000000000000,00"),",",""),SUBSTITUTE(TEXT(BD448,"0000000000000,00"),",",""))</f>
        <v>000000000000000</v>
      </c>
      <c r="BF448" s="23">
        <f t="shared" si="2526"/>
        <v>0</v>
      </c>
      <c r="BG448" s="49" t="str">
        <f t="shared" ref="BG448" si="2843">IF(BF448&lt;0,SUBSTITUTE(TEXT(BF448,"000000000000,00"),",",""),SUBSTITUTE(TEXT(BF448,"0000000000000,00"),",",""))</f>
        <v>000000000000000</v>
      </c>
      <c r="BH448" s="23">
        <f t="shared" si="2528"/>
        <v>0</v>
      </c>
      <c r="BI448" s="49" t="str">
        <f t="shared" ref="BI448" si="2844">IF(BH448&lt;0,SUBSTITUTE(TEXT(BH448,"000000000000,00"),",",""),SUBSTITUTE(TEXT(BH448,"0000000000000,00"),",",""))</f>
        <v>000000000000000</v>
      </c>
      <c r="BJ448" s="23">
        <f t="shared" si="2530"/>
        <v>0</v>
      </c>
      <c r="BK448" s="49" t="str">
        <f t="shared" ref="BK448" si="2845">IF(BJ448&lt;0,SUBSTITUTE(TEXT(BJ448,"000000000000,00"),",",""),SUBSTITUTE(TEXT(BJ448,"0000000000000,00"),",",""))</f>
        <v>000000000000000</v>
      </c>
      <c r="BL448" s="23">
        <f t="shared" si="2532"/>
        <v>0</v>
      </c>
      <c r="BM448" s="49" t="str">
        <f t="shared" ref="BM448" si="2846">IF(BL448&lt;0,SUBSTITUTE(TEXT(BL448,"000000000000,00"),",",""),SUBSTITUTE(TEXT(BL448,"0000000000000,00"),",",""))</f>
        <v>000000000000000</v>
      </c>
      <c r="BN448" t="str">
        <f t="shared" si="2534"/>
        <v>PES</v>
      </c>
      <c r="BO448" t="str">
        <f t="shared" si="2535"/>
        <v>0001000000</v>
      </c>
      <c r="BP448">
        <f t="shared" si="2536"/>
        <v>0</v>
      </c>
      <c r="BQ448">
        <f t="shared" si="2537"/>
        <v>0</v>
      </c>
      <c r="BR448" s="23">
        <f t="shared" si="2538"/>
        <v>0</v>
      </c>
      <c r="BS448" s="49" t="str">
        <f t="shared" si="2503"/>
        <v>000000000000000</v>
      </c>
      <c r="BT448" t="str">
        <f t="shared" si="2539"/>
        <v>00000000</v>
      </c>
      <c r="BU448" s="23">
        <f t="shared" si="2540"/>
        <v>0</v>
      </c>
      <c r="BV448" s="49" t="str">
        <f t="shared" si="2504"/>
        <v/>
      </c>
      <c r="BW448" s="52" t="str">
        <f t="shared" si="2541"/>
        <v/>
      </c>
      <c r="BX448" s="23">
        <f t="shared" si="2542"/>
        <v>0</v>
      </c>
      <c r="BY448" s="49" t="str">
        <f t="shared" si="2505"/>
        <v/>
      </c>
      <c r="BZ448" s="23">
        <f t="shared" si="2543"/>
        <v>0</v>
      </c>
      <c r="CA448" s="49" t="str">
        <f t="shared" si="2506"/>
        <v/>
      </c>
      <c r="CB448" s="52" t="str">
        <f t="shared" si="2544"/>
        <v/>
      </c>
      <c r="CC448" s="23">
        <f t="shared" si="2545"/>
        <v>0</v>
      </c>
      <c r="CD448" s="49" t="str">
        <f t="shared" si="2507"/>
        <v/>
      </c>
      <c r="CE448" s="56" t="str">
        <f>IF(CF448="","",MAX(CE$10:$CE447)+1)</f>
        <v/>
      </c>
      <c r="CF448" t="str">
        <f t="shared" si="2546"/>
        <v/>
      </c>
      <c r="CG448" s="22" t="str">
        <f>IF(CH448="","",MAX($CG$10:CG447)+1)</f>
        <v/>
      </c>
      <c r="CH448" s="22" t="str">
        <f t="shared" si="2491"/>
        <v/>
      </c>
      <c r="CI448" s="22" t="str">
        <f>IF(CJ448="","",MAX($CI$10:CI447)+1)</f>
        <v/>
      </c>
      <c r="CJ448" s="22" t="str">
        <f t="shared" si="2492"/>
        <v/>
      </c>
    </row>
    <row r="449" spans="2:88" x14ac:dyDescent="0.25">
      <c r="B449" s="37"/>
      <c r="C449" s="3"/>
      <c r="D449" s="77" t="str">
        <f t="shared" si="2478"/>
        <v/>
      </c>
      <c r="E449" s="38"/>
      <c r="F449" s="38"/>
      <c r="G449" s="78">
        <f t="shared" si="2493"/>
        <v>0</v>
      </c>
      <c r="H449" s="3">
        <v>80</v>
      </c>
      <c r="I449" s="77" t="str">
        <f t="shared" si="2479"/>
        <v/>
      </c>
      <c r="J449" s="32"/>
      <c r="K449" s="3"/>
      <c r="L449" s="39"/>
      <c r="M449" s="39"/>
      <c r="N449" s="39"/>
      <c r="O449" s="39"/>
      <c r="P449" s="39"/>
      <c r="Q449" s="39"/>
      <c r="R449" s="39"/>
      <c r="S449" s="39"/>
      <c r="T449" s="3" t="s">
        <v>645</v>
      </c>
      <c r="U449" s="77" t="str">
        <f t="shared" si="2480"/>
        <v/>
      </c>
      <c r="V449" s="39">
        <v>1</v>
      </c>
      <c r="W449" s="79">
        <f t="shared" si="2494"/>
        <v>0</v>
      </c>
      <c r="X449" s="3">
        <v>0</v>
      </c>
      <c r="Y449" s="77" t="str">
        <f t="shared" si="2481"/>
        <v/>
      </c>
      <c r="Z449" s="3"/>
      <c r="AA449" s="37" t="str">
        <f t="shared" si="2495"/>
        <v/>
      </c>
      <c r="AC449" s="40"/>
      <c r="AD449" s="7"/>
      <c r="AE449" s="77" t="str">
        <f t="shared" si="2482"/>
        <v/>
      </c>
      <c r="AF449" s="81">
        <f t="shared" si="2508"/>
        <v>0</v>
      </c>
      <c r="AG449" s="40"/>
      <c r="AH449" s="7"/>
      <c r="AI449" s="77" t="str">
        <f t="shared" si="2483"/>
        <v/>
      </c>
      <c r="AJ449" s="81">
        <f t="shared" si="2509"/>
        <v>0</v>
      </c>
      <c r="AK449" s="83">
        <f t="shared" si="2510"/>
        <v>0</v>
      </c>
      <c r="AL449" s="83">
        <f t="shared" si="2511"/>
        <v>0</v>
      </c>
      <c r="AN449" s="43">
        <f t="shared" si="2484"/>
        <v>0</v>
      </c>
      <c r="AP449" t="str">
        <f t="shared" si="2512"/>
        <v/>
      </c>
      <c r="AQ449" t="str">
        <f t="shared" si="2513"/>
        <v/>
      </c>
      <c r="AR449" t="str">
        <f t="shared" si="2514"/>
        <v/>
      </c>
      <c r="AS449" t="str">
        <f t="shared" si="2515"/>
        <v/>
      </c>
      <c r="AT449" t="str">
        <f t="shared" si="2516"/>
        <v/>
      </c>
      <c r="AU449" t="str">
        <f t="shared" si="2517"/>
        <v/>
      </c>
      <c r="AV449" t="str">
        <f t="shared" si="2518"/>
        <v/>
      </c>
      <c r="AW449" t="str">
        <f t="shared" si="2519"/>
        <v xml:space="preserve">                              </v>
      </c>
      <c r="AX449" s="23">
        <f t="shared" si="2520"/>
        <v>0</v>
      </c>
      <c r="AY449" s="49" t="str">
        <f t="shared" si="2496"/>
        <v>000000000000000</v>
      </c>
      <c r="AZ449" s="23">
        <f t="shared" si="2521"/>
        <v>0</v>
      </c>
      <c r="BA449" s="49" t="str">
        <f t="shared" si="2496"/>
        <v>000000000000000</v>
      </c>
      <c r="BB449" s="23">
        <f t="shared" si="2522"/>
        <v>0</v>
      </c>
      <c r="BC449" s="49" t="str">
        <f t="shared" ref="BC449" si="2847">IF(BB449&lt;0,SUBSTITUTE(TEXT(BB449,"000000000000,00"),",",""),SUBSTITUTE(TEXT(BB449,"0000000000000,00"),",",""))</f>
        <v>000000000000000</v>
      </c>
      <c r="BD449" s="23">
        <f t="shared" si="2524"/>
        <v>0</v>
      </c>
      <c r="BE449" s="49" t="str">
        <f t="shared" ref="BE449" si="2848">IF(BD449&lt;0,SUBSTITUTE(TEXT(BD449,"000000000000,00"),",",""),SUBSTITUTE(TEXT(BD449,"0000000000000,00"),",",""))</f>
        <v>000000000000000</v>
      </c>
      <c r="BF449" s="23">
        <f t="shared" si="2526"/>
        <v>0</v>
      </c>
      <c r="BG449" s="49" t="str">
        <f t="shared" ref="BG449" si="2849">IF(BF449&lt;0,SUBSTITUTE(TEXT(BF449,"000000000000,00"),",",""),SUBSTITUTE(TEXT(BF449,"0000000000000,00"),",",""))</f>
        <v>000000000000000</v>
      </c>
      <c r="BH449" s="23">
        <f t="shared" si="2528"/>
        <v>0</v>
      </c>
      <c r="BI449" s="49" t="str">
        <f t="shared" ref="BI449" si="2850">IF(BH449&lt;0,SUBSTITUTE(TEXT(BH449,"000000000000,00"),",",""),SUBSTITUTE(TEXT(BH449,"0000000000000,00"),",",""))</f>
        <v>000000000000000</v>
      </c>
      <c r="BJ449" s="23">
        <f t="shared" si="2530"/>
        <v>0</v>
      </c>
      <c r="BK449" s="49" t="str">
        <f t="shared" ref="BK449" si="2851">IF(BJ449&lt;0,SUBSTITUTE(TEXT(BJ449,"000000000000,00"),",",""),SUBSTITUTE(TEXT(BJ449,"0000000000000,00"),",",""))</f>
        <v>000000000000000</v>
      </c>
      <c r="BL449" s="23">
        <f t="shared" si="2532"/>
        <v>0</v>
      </c>
      <c r="BM449" s="49" t="str">
        <f t="shared" ref="BM449" si="2852">IF(BL449&lt;0,SUBSTITUTE(TEXT(BL449,"000000000000,00"),",",""),SUBSTITUTE(TEXT(BL449,"0000000000000,00"),",",""))</f>
        <v>000000000000000</v>
      </c>
      <c r="BN449" t="str">
        <f t="shared" si="2534"/>
        <v>PES</v>
      </c>
      <c r="BO449" t="str">
        <f t="shared" si="2535"/>
        <v>0001000000</v>
      </c>
      <c r="BP449">
        <f t="shared" si="2536"/>
        <v>0</v>
      </c>
      <c r="BQ449">
        <f t="shared" si="2537"/>
        <v>0</v>
      </c>
      <c r="BR449" s="23">
        <f t="shared" si="2538"/>
        <v>0</v>
      </c>
      <c r="BS449" s="49" t="str">
        <f t="shared" si="2503"/>
        <v>000000000000000</v>
      </c>
      <c r="BT449" t="str">
        <f t="shared" si="2539"/>
        <v>00000000</v>
      </c>
      <c r="BU449" s="23">
        <f t="shared" si="2540"/>
        <v>0</v>
      </c>
      <c r="BV449" s="49" t="str">
        <f t="shared" si="2504"/>
        <v/>
      </c>
      <c r="BW449" s="52" t="str">
        <f t="shared" si="2541"/>
        <v/>
      </c>
      <c r="BX449" s="23">
        <f t="shared" si="2542"/>
        <v>0</v>
      </c>
      <c r="BY449" s="49" t="str">
        <f t="shared" si="2505"/>
        <v/>
      </c>
      <c r="BZ449" s="23">
        <f t="shared" si="2543"/>
        <v>0</v>
      </c>
      <c r="CA449" s="49" t="str">
        <f t="shared" si="2506"/>
        <v/>
      </c>
      <c r="CB449" s="52" t="str">
        <f t="shared" si="2544"/>
        <v/>
      </c>
      <c r="CC449" s="23">
        <f t="shared" si="2545"/>
        <v>0</v>
      </c>
      <c r="CD449" s="49" t="str">
        <f t="shared" si="2507"/>
        <v/>
      </c>
      <c r="CE449" s="56" t="str">
        <f>IF(CF449="","",MAX(CE$10:$CE448)+1)</f>
        <v/>
      </c>
      <c r="CF449" t="str">
        <f t="shared" si="2546"/>
        <v/>
      </c>
      <c r="CG449" s="22" t="str">
        <f>IF(CH449="","",MAX($CG$10:CG448)+1)</f>
        <v/>
      </c>
      <c r="CH449" s="22" t="str">
        <f t="shared" si="2491"/>
        <v/>
      </c>
      <c r="CI449" s="22" t="str">
        <f>IF(CJ449="","",MAX($CI$10:CI448)+1)</f>
        <v/>
      </c>
      <c r="CJ449" s="22" t="str">
        <f t="shared" si="2492"/>
        <v/>
      </c>
    </row>
    <row r="450" spans="2:88" x14ac:dyDescent="0.25">
      <c r="B450" s="37"/>
      <c r="C450" s="3"/>
      <c r="D450" s="77" t="str">
        <f t="shared" si="2478"/>
        <v/>
      </c>
      <c r="E450" s="38"/>
      <c r="F450" s="38"/>
      <c r="G450" s="78">
        <f t="shared" si="2493"/>
        <v>0</v>
      </c>
      <c r="H450" s="3">
        <v>80</v>
      </c>
      <c r="I450" s="77" t="str">
        <f t="shared" si="2479"/>
        <v/>
      </c>
      <c r="J450" s="32"/>
      <c r="K450" s="3"/>
      <c r="L450" s="39"/>
      <c r="M450" s="39"/>
      <c r="N450" s="39"/>
      <c r="O450" s="39"/>
      <c r="P450" s="39"/>
      <c r="Q450" s="39"/>
      <c r="R450" s="39"/>
      <c r="S450" s="39"/>
      <c r="T450" s="3" t="s">
        <v>645</v>
      </c>
      <c r="U450" s="77" t="str">
        <f t="shared" si="2480"/>
        <v/>
      </c>
      <c r="V450" s="39">
        <v>1</v>
      </c>
      <c r="W450" s="79">
        <f t="shared" si="2494"/>
        <v>0</v>
      </c>
      <c r="X450" s="3">
        <v>0</v>
      </c>
      <c r="Y450" s="77" t="str">
        <f t="shared" si="2481"/>
        <v/>
      </c>
      <c r="Z450" s="3"/>
      <c r="AA450" s="37" t="str">
        <f t="shared" si="2495"/>
        <v/>
      </c>
      <c r="AC450" s="40"/>
      <c r="AD450" s="7"/>
      <c r="AE450" s="77" t="str">
        <f t="shared" si="2482"/>
        <v/>
      </c>
      <c r="AF450" s="81">
        <f t="shared" si="2508"/>
        <v>0</v>
      </c>
      <c r="AG450" s="40"/>
      <c r="AH450" s="7"/>
      <c r="AI450" s="77" t="str">
        <f t="shared" si="2483"/>
        <v/>
      </c>
      <c r="AJ450" s="81">
        <f t="shared" si="2509"/>
        <v>0</v>
      </c>
      <c r="AK450" s="83">
        <f t="shared" si="2510"/>
        <v>0</v>
      </c>
      <c r="AL450" s="83">
        <f t="shared" si="2511"/>
        <v>0</v>
      </c>
      <c r="AN450" s="43">
        <f t="shared" si="2484"/>
        <v>0</v>
      </c>
      <c r="AP450" t="str">
        <f t="shared" si="2512"/>
        <v/>
      </c>
      <c r="AQ450" t="str">
        <f t="shared" si="2513"/>
        <v/>
      </c>
      <c r="AR450" t="str">
        <f t="shared" si="2514"/>
        <v/>
      </c>
      <c r="AS450" t="str">
        <f t="shared" si="2515"/>
        <v/>
      </c>
      <c r="AT450" t="str">
        <f t="shared" si="2516"/>
        <v/>
      </c>
      <c r="AU450" t="str">
        <f t="shared" si="2517"/>
        <v/>
      </c>
      <c r="AV450" t="str">
        <f t="shared" si="2518"/>
        <v/>
      </c>
      <c r="AW450" t="str">
        <f t="shared" si="2519"/>
        <v xml:space="preserve">                              </v>
      </c>
      <c r="AX450" s="23">
        <f t="shared" si="2520"/>
        <v>0</v>
      </c>
      <c r="AY450" s="49" t="str">
        <f t="shared" si="2496"/>
        <v>000000000000000</v>
      </c>
      <c r="AZ450" s="23">
        <f t="shared" si="2521"/>
        <v>0</v>
      </c>
      <c r="BA450" s="49" t="str">
        <f t="shared" si="2496"/>
        <v>000000000000000</v>
      </c>
      <c r="BB450" s="23">
        <f t="shared" si="2522"/>
        <v>0</v>
      </c>
      <c r="BC450" s="49" t="str">
        <f t="shared" ref="BC450" si="2853">IF(BB450&lt;0,SUBSTITUTE(TEXT(BB450,"000000000000,00"),",",""),SUBSTITUTE(TEXT(BB450,"0000000000000,00"),",",""))</f>
        <v>000000000000000</v>
      </c>
      <c r="BD450" s="23">
        <f t="shared" si="2524"/>
        <v>0</v>
      </c>
      <c r="BE450" s="49" t="str">
        <f t="shared" ref="BE450" si="2854">IF(BD450&lt;0,SUBSTITUTE(TEXT(BD450,"000000000000,00"),",",""),SUBSTITUTE(TEXT(BD450,"0000000000000,00"),",",""))</f>
        <v>000000000000000</v>
      </c>
      <c r="BF450" s="23">
        <f t="shared" si="2526"/>
        <v>0</v>
      </c>
      <c r="BG450" s="49" t="str">
        <f t="shared" ref="BG450" si="2855">IF(BF450&lt;0,SUBSTITUTE(TEXT(BF450,"000000000000,00"),",",""),SUBSTITUTE(TEXT(BF450,"0000000000000,00"),",",""))</f>
        <v>000000000000000</v>
      </c>
      <c r="BH450" s="23">
        <f t="shared" si="2528"/>
        <v>0</v>
      </c>
      <c r="BI450" s="49" t="str">
        <f t="shared" ref="BI450" si="2856">IF(BH450&lt;0,SUBSTITUTE(TEXT(BH450,"000000000000,00"),",",""),SUBSTITUTE(TEXT(BH450,"0000000000000,00"),",",""))</f>
        <v>000000000000000</v>
      </c>
      <c r="BJ450" s="23">
        <f t="shared" si="2530"/>
        <v>0</v>
      </c>
      <c r="BK450" s="49" t="str">
        <f t="shared" ref="BK450" si="2857">IF(BJ450&lt;0,SUBSTITUTE(TEXT(BJ450,"000000000000,00"),",",""),SUBSTITUTE(TEXT(BJ450,"0000000000000,00"),",",""))</f>
        <v>000000000000000</v>
      </c>
      <c r="BL450" s="23">
        <f t="shared" si="2532"/>
        <v>0</v>
      </c>
      <c r="BM450" s="49" t="str">
        <f t="shared" ref="BM450" si="2858">IF(BL450&lt;0,SUBSTITUTE(TEXT(BL450,"000000000000,00"),",",""),SUBSTITUTE(TEXT(BL450,"0000000000000,00"),",",""))</f>
        <v>000000000000000</v>
      </c>
      <c r="BN450" t="str">
        <f t="shared" si="2534"/>
        <v>PES</v>
      </c>
      <c r="BO450" t="str">
        <f t="shared" si="2535"/>
        <v>0001000000</v>
      </c>
      <c r="BP450">
        <f t="shared" si="2536"/>
        <v>0</v>
      </c>
      <c r="BQ450">
        <f t="shared" si="2537"/>
        <v>0</v>
      </c>
      <c r="BR450" s="23">
        <f t="shared" si="2538"/>
        <v>0</v>
      </c>
      <c r="BS450" s="49" t="str">
        <f t="shared" si="2503"/>
        <v>000000000000000</v>
      </c>
      <c r="BT450" t="str">
        <f t="shared" si="2539"/>
        <v>00000000</v>
      </c>
      <c r="BU450" s="23">
        <f t="shared" si="2540"/>
        <v>0</v>
      </c>
      <c r="BV450" s="49" t="str">
        <f t="shared" si="2504"/>
        <v/>
      </c>
      <c r="BW450" s="52" t="str">
        <f t="shared" si="2541"/>
        <v/>
      </c>
      <c r="BX450" s="23">
        <f t="shared" si="2542"/>
        <v>0</v>
      </c>
      <c r="BY450" s="49" t="str">
        <f t="shared" si="2505"/>
        <v/>
      </c>
      <c r="BZ450" s="23">
        <f t="shared" si="2543"/>
        <v>0</v>
      </c>
      <c r="CA450" s="49" t="str">
        <f t="shared" si="2506"/>
        <v/>
      </c>
      <c r="CB450" s="52" t="str">
        <f t="shared" si="2544"/>
        <v/>
      </c>
      <c r="CC450" s="23">
        <f t="shared" si="2545"/>
        <v>0</v>
      </c>
      <c r="CD450" s="49" t="str">
        <f t="shared" si="2507"/>
        <v/>
      </c>
      <c r="CE450" s="56" t="str">
        <f>IF(CF450="","",MAX(CE$10:$CE449)+1)</f>
        <v/>
      </c>
      <c r="CF450" t="str">
        <f t="shared" si="2546"/>
        <v/>
      </c>
      <c r="CG450" s="22" t="str">
        <f>IF(CH450="","",MAX($CG$10:CG449)+1)</f>
        <v/>
      </c>
      <c r="CH450" s="22" t="str">
        <f t="shared" si="2491"/>
        <v/>
      </c>
      <c r="CI450" s="22" t="str">
        <f>IF(CJ450="","",MAX($CI$10:CI449)+1)</f>
        <v/>
      </c>
      <c r="CJ450" s="22" t="str">
        <f t="shared" si="2492"/>
        <v/>
      </c>
    </row>
    <row r="451" spans="2:88" x14ac:dyDescent="0.25">
      <c r="B451" s="37"/>
      <c r="C451" s="3"/>
      <c r="D451" s="77" t="str">
        <f t="shared" si="2478"/>
        <v/>
      </c>
      <c r="E451" s="38"/>
      <c r="F451" s="38"/>
      <c r="G451" s="78">
        <f t="shared" si="2493"/>
        <v>0</v>
      </c>
      <c r="H451" s="3">
        <v>80</v>
      </c>
      <c r="I451" s="77" t="str">
        <f t="shared" si="2479"/>
        <v/>
      </c>
      <c r="J451" s="32"/>
      <c r="K451" s="3"/>
      <c r="L451" s="39"/>
      <c r="M451" s="39"/>
      <c r="N451" s="39"/>
      <c r="O451" s="39"/>
      <c r="P451" s="39"/>
      <c r="Q451" s="39"/>
      <c r="R451" s="39"/>
      <c r="S451" s="39"/>
      <c r="T451" s="3" t="s">
        <v>645</v>
      </c>
      <c r="U451" s="77" t="str">
        <f t="shared" si="2480"/>
        <v/>
      </c>
      <c r="V451" s="39">
        <v>1</v>
      </c>
      <c r="W451" s="79">
        <f t="shared" si="2494"/>
        <v>0</v>
      </c>
      <c r="X451" s="3">
        <v>0</v>
      </c>
      <c r="Y451" s="77" t="str">
        <f t="shared" si="2481"/>
        <v/>
      </c>
      <c r="Z451" s="3"/>
      <c r="AA451" s="37" t="str">
        <f t="shared" si="2495"/>
        <v/>
      </c>
      <c r="AC451" s="40"/>
      <c r="AD451" s="7"/>
      <c r="AE451" s="77" t="str">
        <f t="shared" si="2482"/>
        <v/>
      </c>
      <c r="AF451" s="81">
        <f t="shared" si="2508"/>
        <v>0</v>
      </c>
      <c r="AG451" s="40"/>
      <c r="AH451" s="7"/>
      <c r="AI451" s="77" t="str">
        <f t="shared" si="2483"/>
        <v/>
      </c>
      <c r="AJ451" s="81">
        <f t="shared" si="2509"/>
        <v>0</v>
      </c>
      <c r="AK451" s="83">
        <f t="shared" si="2510"/>
        <v>0</v>
      </c>
      <c r="AL451" s="83">
        <f t="shared" si="2511"/>
        <v>0</v>
      </c>
      <c r="AN451" s="43">
        <f t="shared" si="2484"/>
        <v>0</v>
      </c>
      <c r="AP451" t="str">
        <f t="shared" si="2512"/>
        <v/>
      </c>
      <c r="AQ451" t="str">
        <f t="shared" si="2513"/>
        <v/>
      </c>
      <c r="AR451" t="str">
        <f t="shared" si="2514"/>
        <v/>
      </c>
      <c r="AS451" t="str">
        <f t="shared" si="2515"/>
        <v/>
      </c>
      <c r="AT451" t="str">
        <f t="shared" si="2516"/>
        <v/>
      </c>
      <c r="AU451" t="str">
        <f t="shared" si="2517"/>
        <v/>
      </c>
      <c r="AV451" t="str">
        <f t="shared" si="2518"/>
        <v/>
      </c>
      <c r="AW451" t="str">
        <f t="shared" si="2519"/>
        <v xml:space="preserve">                              </v>
      </c>
      <c r="AX451" s="23">
        <f t="shared" si="2520"/>
        <v>0</v>
      </c>
      <c r="AY451" s="49" t="str">
        <f t="shared" si="2496"/>
        <v>000000000000000</v>
      </c>
      <c r="AZ451" s="23">
        <f t="shared" si="2521"/>
        <v>0</v>
      </c>
      <c r="BA451" s="49" t="str">
        <f t="shared" si="2496"/>
        <v>000000000000000</v>
      </c>
      <c r="BB451" s="23">
        <f t="shared" si="2522"/>
        <v>0</v>
      </c>
      <c r="BC451" s="49" t="str">
        <f t="shared" ref="BC451" si="2859">IF(BB451&lt;0,SUBSTITUTE(TEXT(BB451,"000000000000,00"),",",""),SUBSTITUTE(TEXT(BB451,"0000000000000,00"),",",""))</f>
        <v>000000000000000</v>
      </c>
      <c r="BD451" s="23">
        <f t="shared" si="2524"/>
        <v>0</v>
      </c>
      <c r="BE451" s="49" t="str">
        <f t="shared" ref="BE451" si="2860">IF(BD451&lt;0,SUBSTITUTE(TEXT(BD451,"000000000000,00"),",",""),SUBSTITUTE(TEXT(BD451,"0000000000000,00"),",",""))</f>
        <v>000000000000000</v>
      </c>
      <c r="BF451" s="23">
        <f t="shared" si="2526"/>
        <v>0</v>
      </c>
      <c r="BG451" s="49" t="str">
        <f t="shared" ref="BG451" si="2861">IF(BF451&lt;0,SUBSTITUTE(TEXT(BF451,"000000000000,00"),",",""),SUBSTITUTE(TEXT(BF451,"0000000000000,00"),",",""))</f>
        <v>000000000000000</v>
      </c>
      <c r="BH451" s="23">
        <f t="shared" si="2528"/>
        <v>0</v>
      </c>
      <c r="BI451" s="49" t="str">
        <f t="shared" ref="BI451" si="2862">IF(BH451&lt;0,SUBSTITUTE(TEXT(BH451,"000000000000,00"),",",""),SUBSTITUTE(TEXT(BH451,"0000000000000,00"),",",""))</f>
        <v>000000000000000</v>
      </c>
      <c r="BJ451" s="23">
        <f t="shared" si="2530"/>
        <v>0</v>
      </c>
      <c r="BK451" s="49" t="str">
        <f t="shared" ref="BK451" si="2863">IF(BJ451&lt;0,SUBSTITUTE(TEXT(BJ451,"000000000000,00"),",",""),SUBSTITUTE(TEXT(BJ451,"0000000000000,00"),",",""))</f>
        <v>000000000000000</v>
      </c>
      <c r="BL451" s="23">
        <f t="shared" si="2532"/>
        <v>0</v>
      </c>
      <c r="BM451" s="49" t="str">
        <f t="shared" ref="BM451" si="2864">IF(BL451&lt;0,SUBSTITUTE(TEXT(BL451,"000000000000,00"),",",""),SUBSTITUTE(TEXT(BL451,"0000000000000,00"),",",""))</f>
        <v>000000000000000</v>
      </c>
      <c r="BN451" t="str">
        <f t="shared" si="2534"/>
        <v>PES</v>
      </c>
      <c r="BO451" t="str">
        <f t="shared" si="2535"/>
        <v>0001000000</v>
      </c>
      <c r="BP451">
        <f t="shared" si="2536"/>
        <v>0</v>
      </c>
      <c r="BQ451">
        <f t="shared" si="2537"/>
        <v>0</v>
      </c>
      <c r="BR451" s="23">
        <f t="shared" si="2538"/>
        <v>0</v>
      </c>
      <c r="BS451" s="49" t="str">
        <f t="shared" si="2503"/>
        <v>000000000000000</v>
      </c>
      <c r="BT451" t="str">
        <f t="shared" si="2539"/>
        <v>00000000</v>
      </c>
      <c r="BU451" s="23">
        <f t="shared" si="2540"/>
        <v>0</v>
      </c>
      <c r="BV451" s="49" t="str">
        <f t="shared" si="2504"/>
        <v/>
      </c>
      <c r="BW451" s="52" t="str">
        <f t="shared" si="2541"/>
        <v/>
      </c>
      <c r="BX451" s="23">
        <f t="shared" si="2542"/>
        <v>0</v>
      </c>
      <c r="BY451" s="49" t="str">
        <f t="shared" si="2505"/>
        <v/>
      </c>
      <c r="BZ451" s="23">
        <f t="shared" si="2543"/>
        <v>0</v>
      </c>
      <c r="CA451" s="49" t="str">
        <f t="shared" si="2506"/>
        <v/>
      </c>
      <c r="CB451" s="52" t="str">
        <f t="shared" si="2544"/>
        <v/>
      </c>
      <c r="CC451" s="23">
        <f t="shared" si="2545"/>
        <v>0</v>
      </c>
      <c r="CD451" s="49" t="str">
        <f t="shared" si="2507"/>
        <v/>
      </c>
      <c r="CE451" s="56" t="str">
        <f>IF(CF451="","",MAX(CE$10:$CE450)+1)</f>
        <v/>
      </c>
      <c r="CF451" t="str">
        <f t="shared" si="2546"/>
        <v/>
      </c>
      <c r="CG451" s="22" t="str">
        <f>IF(CH451="","",MAX($CG$10:CG450)+1)</f>
        <v/>
      </c>
      <c r="CH451" s="22" t="str">
        <f t="shared" si="2491"/>
        <v/>
      </c>
      <c r="CI451" s="22" t="str">
        <f>IF(CJ451="","",MAX($CI$10:CI450)+1)</f>
        <v/>
      </c>
      <c r="CJ451" s="22" t="str">
        <f t="shared" si="2492"/>
        <v/>
      </c>
    </row>
    <row r="452" spans="2:88" x14ac:dyDescent="0.25">
      <c r="B452" s="37"/>
      <c r="C452" s="3"/>
      <c r="D452" s="77" t="str">
        <f t="shared" si="2478"/>
        <v/>
      </c>
      <c r="E452" s="38"/>
      <c r="F452" s="38"/>
      <c r="G452" s="78">
        <f t="shared" si="2493"/>
        <v>0</v>
      </c>
      <c r="H452" s="3">
        <v>80</v>
      </c>
      <c r="I452" s="77" t="str">
        <f t="shared" si="2479"/>
        <v/>
      </c>
      <c r="J452" s="32"/>
      <c r="K452" s="3"/>
      <c r="L452" s="39"/>
      <c r="M452" s="39"/>
      <c r="N452" s="39"/>
      <c r="O452" s="39"/>
      <c r="P452" s="39"/>
      <c r="Q452" s="39"/>
      <c r="R452" s="39"/>
      <c r="S452" s="39"/>
      <c r="T452" s="3" t="s">
        <v>645</v>
      </c>
      <c r="U452" s="77" t="str">
        <f t="shared" si="2480"/>
        <v/>
      </c>
      <c r="V452" s="39">
        <v>1</v>
      </c>
      <c r="W452" s="79">
        <f t="shared" si="2494"/>
        <v>0</v>
      </c>
      <c r="X452" s="3">
        <v>0</v>
      </c>
      <c r="Y452" s="77" t="str">
        <f t="shared" si="2481"/>
        <v/>
      </c>
      <c r="Z452" s="3"/>
      <c r="AA452" s="37" t="str">
        <f t="shared" si="2495"/>
        <v/>
      </c>
      <c r="AC452" s="40"/>
      <c r="AD452" s="7"/>
      <c r="AE452" s="77" t="str">
        <f t="shared" si="2482"/>
        <v/>
      </c>
      <c r="AF452" s="81">
        <f t="shared" si="2508"/>
        <v>0</v>
      </c>
      <c r="AG452" s="40"/>
      <c r="AH452" s="7"/>
      <c r="AI452" s="77" t="str">
        <f t="shared" si="2483"/>
        <v/>
      </c>
      <c r="AJ452" s="81">
        <f t="shared" si="2509"/>
        <v>0</v>
      </c>
      <c r="AK452" s="83">
        <f t="shared" si="2510"/>
        <v>0</v>
      </c>
      <c r="AL452" s="83">
        <f t="shared" si="2511"/>
        <v>0</v>
      </c>
      <c r="AN452" s="43">
        <f t="shared" si="2484"/>
        <v>0</v>
      </c>
      <c r="AP452" t="str">
        <f t="shared" si="2512"/>
        <v/>
      </c>
      <c r="AQ452" t="str">
        <f t="shared" si="2513"/>
        <v/>
      </c>
      <c r="AR452" t="str">
        <f t="shared" si="2514"/>
        <v/>
      </c>
      <c r="AS452" t="str">
        <f t="shared" si="2515"/>
        <v/>
      </c>
      <c r="AT452" t="str">
        <f t="shared" si="2516"/>
        <v/>
      </c>
      <c r="AU452" t="str">
        <f t="shared" si="2517"/>
        <v/>
      </c>
      <c r="AV452" t="str">
        <f t="shared" si="2518"/>
        <v/>
      </c>
      <c r="AW452" t="str">
        <f t="shared" si="2519"/>
        <v xml:space="preserve">                              </v>
      </c>
      <c r="AX452" s="23">
        <f t="shared" si="2520"/>
        <v>0</v>
      </c>
      <c r="AY452" s="49" t="str">
        <f t="shared" si="2496"/>
        <v>000000000000000</v>
      </c>
      <c r="AZ452" s="23">
        <f t="shared" si="2521"/>
        <v>0</v>
      </c>
      <c r="BA452" s="49" t="str">
        <f t="shared" si="2496"/>
        <v>000000000000000</v>
      </c>
      <c r="BB452" s="23">
        <f t="shared" si="2522"/>
        <v>0</v>
      </c>
      <c r="BC452" s="49" t="str">
        <f t="shared" ref="BC452" si="2865">IF(BB452&lt;0,SUBSTITUTE(TEXT(BB452,"000000000000,00"),",",""),SUBSTITUTE(TEXT(BB452,"0000000000000,00"),",",""))</f>
        <v>000000000000000</v>
      </c>
      <c r="BD452" s="23">
        <f t="shared" si="2524"/>
        <v>0</v>
      </c>
      <c r="BE452" s="49" t="str">
        <f t="shared" ref="BE452" si="2866">IF(BD452&lt;0,SUBSTITUTE(TEXT(BD452,"000000000000,00"),",",""),SUBSTITUTE(TEXT(BD452,"0000000000000,00"),",",""))</f>
        <v>000000000000000</v>
      </c>
      <c r="BF452" s="23">
        <f t="shared" si="2526"/>
        <v>0</v>
      </c>
      <c r="BG452" s="49" t="str">
        <f t="shared" ref="BG452" si="2867">IF(BF452&lt;0,SUBSTITUTE(TEXT(BF452,"000000000000,00"),",",""),SUBSTITUTE(TEXT(BF452,"0000000000000,00"),",",""))</f>
        <v>000000000000000</v>
      </c>
      <c r="BH452" s="23">
        <f t="shared" si="2528"/>
        <v>0</v>
      </c>
      <c r="BI452" s="49" t="str">
        <f t="shared" ref="BI452" si="2868">IF(BH452&lt;0,SUBSTITUTE(TEXT(BH452,"000000000000,00"),",",""),SUBSTITUTE(TEXT(BH452,"0000000000000,00"),",",""))</f>
        <v>000000000000000</v>
      </c>
      <c r="BJ452" s="23">
        <f t="shared" si="2530"/>
        <v>0</v>
      </c>
      <c r="BK452" s="49" t="str">
        <f t="shared" ref="BK452" si="2869">IF(BJ452&lt;0,SUBSTITUTE(TEXT(BJ452,"000000000000,00"),",",""),SUBSTITUTE(TEXT(BJ452,"0000000000000,00"),",",""))</f>
        <v>000000000000000</v>
      </c>
      <c r="BL452" s="23">
        <f t="shared" si="2532"/>
        <v>0</v>
      </c>
      <c r="BM452" s="49" t="str">
        <f t="shared" ref="BM452" si="2870">IF(BL452&lt;0,SUBSTITUTE(TEXT(BL452,"000000000000,00"),",",""),SUBSTITUTE(TEXT(BL452,"0000000000000,00"),",",""))</f>
        <v>000000000000000</v>
      </c>
      <c r="BN452" t="str">
        <f t="shared" si="2534"/>
        <v>PES</v>
      </c>
      <c r="BO452" t="str">
        <f t="shared" si="2535"/>
        <v>0001000000</v>
      </c>
      <c r="BP452">
        <f t="shared" si="2536"/>
        <v>0</v>
      </c>
      <c r="BQ452">
        <f t="shared" si="2537"/>
        <v>0</v>
      </c>
      <c r="BR452" s="23">
        <f t="shared" si="2538"/>
        <v>0</v>
      </c>
      <c r="BS452" s="49" t="str">
        <f t="shared" si="2503"/>
        <v>000000000000000</v>
      </c>
      <c r="BT452" t="str">
        <f t="shared" si="2539"/>
        <v>00000000</v>
      </c>
      <c r="BU452" s="23">
        <f t="shared" si="2540"/>
        <v>0</v>
      </c>
      <c r="BV452" s="49" t="str">
        <f t="shared" si="2504"/>
        <v/>
      </c>
      <c r="BW452" s="52" t="str">
        <f t="shared" si="2541"/>
        <v/>
      </c>
      <c r="BX452" s="23">
        <f t="shared" si="2542"/>
        <v>0</v>
      </c>
      <c r="BY452" s="49" t="str">
        <f t="shared" si="2505"/>
        <v/>
      </c>
      <c r="BZ452" s="23">
        <f t="shared" si="2543"/>
        <v>0</v>
      </c>
      <c r="CA452" s="49" t="str">
        <f t="shared" si="2506"/>
        <v/>
      </c>
      <c r="CB452" s="52" t="str">
        <f t="shared" si="2544"/>
        <v/>
      </c>
      <c r="CC452" s="23">
        <f t="shared" si="2545"/>
        <v>0</v>
      </c>
      <c r="CD452" s="49" t="str">
        <f t="shared" si="2507"/>
        <v/>
      </c>
      <c r="CE452" s="56" t="str">
        <f>IF(CF452="","",MAX(CE$10:$CE451)+1)</f>
        <v/>
      </c>
      <c r="CF452" t="str">
        <f t="shared" si="2546"/>
        <v/>
      </c>
      <c r="CG452" s="22" t="str">
        <f>IF(CH452="","",MAX($CG$10:CG451)+1)</f>
        <v/>
      </c>
      <c r="CH452" s="22" t="str">
        <f t="shared" si="2491"/>
        <v/>
      </c>
      <c r="CI452" s="22" t="str">
        <f>IF(CJ452="","",MAX($CI$10:CI451)+1)</f>
        <v/>
      </c>
      <c r="CJ452" s="22" t="str">
        <f t="shared" si="2492"/>
        <v/>
      </c>
    </row>
    <row r="453" spans="2:88" x14ac:dyDescent="0.25">
      <c r="B453" s="37"/>
      <c r="C453" s="3"/>
      <c r="D453" s="77" t="str">
        <f t="shared" si="2478"/>
        <v/>
      </c>
      <c r="E453" s="38"/>
      <c r="F453" s="38"/>
      <c r="G453" s="78">
        <f t="shared" si="2493"/>
        <v>0</v>
      </c>
      <c r="H453" s="3">
        <v>80</v>
      </c>
      <c r="I453" s="77" t="str">
        <f t="shared" si="2479"/>
        <v/>
      </c>
      <c r="J453" s="32"/>
      <c r="K453" s="3"/>
      <c r="L453" s="39"/>
      <c r="M453" s="39"/>
      <c r="N453" s="39"/>
      <c r="O453" s="39"/>
      <c r="P453" s="39"/>
      <c r="Q453" s="39"/>
      <c r="R453" s="39"/>
      <c r="S453" s="39"/>
      <c r="T453" s="3" t="s">
        <v>645</v>
      </c>
      <c r="U453" s="77" t="str">
        <f t="shared" si="2480"/>
        <v/>
      </c>
      <c r="V453" s="39">
        <v>1</v>
      </c>
      <c r="W453" s="79">
        <f t="shared" si="2494"/>
        <v>0</v>
      </c>
      <c r="X453" s="3">
        <v>0</v>
      </c>
      <c r="Y453" s="77" t="str">
        <f t="shared" si="2481"/>
        <v/>
      </c>
      <c r="Z453" s="3"/>
      <c r="AA453" s="37" t="str">
        <f t="shared" si="2495"/>
        <v/>
      </c>
      <c r="AC453" s="40"/>
      <c r="AD453" s="7"/>
      <c r="AE453" s="77" t="str">
        <f t="shared" si="2482"/>
        <v/>
      </c>
      <c r="AF453" s="81">
        <f t="shared" si="2508"/>
        <v>0</v>
      </c>
      <c r="AG453" s="40"/>
      <c r="AH453" s="7"/>
      <c r="AI453" s="77" t="str">
        <f t="shared" si="2483"/>
        <v/>
      </c>
      <c r="AJ453" s="81">
        <f t="shared" si="2509"/>
        <v>0</v>
      </c>
      <c r="AK453" s="83">
        <f t="shared" si="2510"/>
        <v>0</v>
      </c>
      <c r="AL453" s="83">
        <f t="shared" si="2511"/>
        <v>0</v>
      </c>
      <c r="AN453" s="43">
        <f t="shared" si="2484"/>
        <v>0</v>
      </c>
      <c r="AP453" t="str">
        <f t="shared" si="2512"/>
        <v/>
      </c>
      <c r="AQ453" t="str">
        <f t="shared" si="2513"/>
        <v/>
      </c>
      <c r="AR453" t="str">
        <f t="shared" si="2514"/>
        <v/>
      </c>
      <c r="AS453" t="str">
        <f t="shared" si="2515"/>
        <v/>
      </c>
      <c r="AT453" t="str">
        <f t="shared" si="2516"/>
        <v/>
      </c>
      <c r="AU453" t="str">
        <f t="shared" si="2517"/>
        <v/>
      </c>
      <c r="AV453" t="str">
        <f t="shared" si="2518"/>
        <v/>
      </c>
      <c r="AW453" t="str">
        <f t="shared" si="2519"/>
        <v xml:space="preserve">                              </v>
      </c>
      <c r="AX453" s="23">
        <f t="shared" si="2520"/>
        <v>0</v>
      </c>
      <c r="AY453" s="49" t="str">
        <f t="shared" si="2496"/>
        <v>000000000000000</v>
      </c>
      <c r="AZ453" s="23">
        <f t="shared" si="2521"/>
        <v>0</v>
      </c>
      <c r="BA453" s="49" t="str">
        <f t="shared" si="2496"/>
        <v>000000000000000</v>
      </c>
      <c r="BB453" s="23">
        <f t="shared" si="2522"/>
        <v>0</v>
      </c>
      <c r="BC453" s="49" t="str">
        <f t="shared" ref="BC453" si="2871">IF(BB453&lt;0,SUBSTITUTE(TEXT(BB453,"000000000000,00"),",",""),SUBSTITUTE(TEXT(BB453,"0000000000000,00"),",",""))</f>
        <v>000000000000000</v>
      </c>
      <c r="BD453" s="23">
        <f t="shared" si="2524"/>
        <v>0</v>
      </c>
      <c r="BE453" s="49" t="str">
        <f t="shared" ref="BE453" si="2872">IF(BD453&lt;0,SUBSTITUTE(TEXT(BD453,"000000000000,00"),",",""),SUBSTITUTE(TEXT(BD453,"0000000000000,00"),",",""))</f>
        <v>000000000000000</v>
      </c>
      <c r="BF453" s="23">
        <f t="shared" si="2526"/>
        <v>0</v>
      </c>
      <c r="BG453" s="49" t="str">
        <f t="shared" ref="BG453" si="2873">IF(BF453&lt;0,SUBSTITUTE(TEXT(BF453,"000000000000,00"),",",""),SUBSTITUTE(TEXT(BF453,"0000000000000,00"),",",""))</f>
        <v>000000000000000</v>
      </c>
      <c r="BH453" s="23">
        <f t="shared" si="2528"/>
        <v>0</v>
      </c>
      <c r="BI453" s="49" t="str">
        <f t="shared" ref="BI453" si="2874">IF(BH453&lt;0,SUBSTITUTE(TEXT(BH453,"000000000000,00"),",",""),SUBSTITUTE(TEXT(BH453,"0000000000000,00"),",",""))</f>
        <v>000000000000000</v>
      </c>
      <c r="BJ453" s="23">
        <f t="shared" si="2530"/>
        <v>0</v>
      </c>
      <c r="BK453" s="49" t="str">
        <f t="shared" ref="BK453" si="2875">IF(BJ453&lt;0,SUBSTITUTE(TEXT(BJ453,"000000000000,00"),",",""),SUBSTITUTE(TEXT(BJ453,"0000000000000,00"),",",""))</f>
        <v>000000000000000</v>
      </c>
      <c r="BL453" s="23">
        <f t="shared" si="2532"/>
        <v>0</v>
      </c>
      <c r="BM453" s="49" t="str">
        <f t="shared" ref="BM453" si="2876">IF(BL453&lt;0,SUBSTITUTE(TEXT(BL453,"000000000000,00"),",",""),SUBSTITUTE(TEXT(BL453,"0000000000000,00"),",",""))</f>
        <v>000000000000000</v>
      </c>
      <c r="BN453" t="str">
        <f t="shared" si="2534"/>
        <v>PES</v>
      </c>
      <c r="BO453" t="str">
        <f t="shared" si="2535"/>
        <v>0001000000</v>
      </c>
      <c r="BP453">
        <f t="shared" si="2536"/>
        <v>0</v>
      </c>
      <c r="BQ453">
        <f t="shared" si="2537"/>
        <v>0</v>
      </c>
      <c r="BR453" s="23">
        <f t="shared" si="2538"/>
        <v>0</v>
      </c>
      <c r="BS453" s="49" t="str">
        <f t="shared" si="2503"/>
        <v>000000000000000</v>
      </c>
      <c r="BT453" t="str">
        <f t="shared" si="2539"/>
        <v>00000000</v>
      </c>
      <c r="BU453" s="23">
        <f t="shared" si="2540"/>
        <v>0</v>
      </c>
      <c r="BV453" s="49" t="str">
        <f t="shared" si="2504"/>
        <v/>
      </c>
      <c r="BW453" s="52" t="str">
        <f t="shared" si="2541"/>
        <v/>
      </c>
      <c r="BX453" s="23">
        <f t="shared" si="2542"/>
        <v>0</v>
      </c>
      <c r="BY453" s="49" t="str">
        <f t="shared" si="2505"/>
        <v/>
      </c>
      <c r="BZ453" s="23">
        <f t="shared" si="2543"/>
        <v>0</v>
      </c>
      <c r="CA453" s="49" t="str">
        <f t="shared" si="2506"/>
        <v/>
      </c>
      <c r="CB453" s="52" t="str">
        <f t="shared" si="2544"/>
        <v/>
      </c>
      <c r="CC453" s="23">
        <f t="shared" si="2545"/>
        <v>0</v>
      </c>
      <c r="CD453" s="49" t="str">
        <f t="shared" si="2507"/>
        <v/>
      </c>
      <c r="CE453" s="56" t="str">
        <f>IF(CF453="","",MAX(CE$10:$CE452)+1)</f>
        <v/>
      </c>
      <c r="CF453" t="str">
        <f t="shared" si="2546"/>
        <v/>
      </c>
      <c r="CG453" s="22" t="str">
        <f>IF(CH453="","",MAX($CG$10:CG452)+1)</f>
        <v/>
      </c>
      <c r="CH453" s="22" t="str">
        <f t="shared" si="2491"/>
        <v/>
      </c>
      <c r="CI453" s="22" t="str">
        <f>IF(CJ453="","",MAX($CI$10:CI452)+1)</f>
        <v/>
      </c>
      <c r="CJ453" s="22" t="str">
        <f t="shared" si="2492"/>
        <v/>
      </c>
    </row>
    <row r="454" spans="2:88" x14ac:dyDescent="0.25">
      <c r="B454" s="37"/>
      <c r="C454" s="3"/>
      <c r="D454" s="77" t="str">
        <f t="shared" si="2478"/>
        <v/>
      </c>
      <c r="E454" s="38"/>
      <c r="F454" s="38"/>
      <c r="G454" s="78">
        <f t="shared" si="2493"/>
        <v>0</v>
      </c>
      <c r="H454" s="3">
        <v>80</v>
      </c>
      <c r="I454" s="77" t="str">
        <f t="shared" si="2479"/>
        <v/>
      </c>
      <c r="J454" s="32"/>
      <c r="K454" s="3"/>
      <c r="L454" s="39"/>
      <c r="M454" s="39"/>
      <c r="N454" s="39"/>
      <c r="O454" s="39"/>
      <c r="P454" s="39"/>
      <c r="Q454" s="39"/>
      <c r="R454" s="39"/>
      <c r="S454" s="39"/>
      <c r="T454" s="3" t="s">
        <v>645</v>
      </c>
      <c r="U454" s="77" t="str">
        <f t="shared" si="2480"/>
        <v/>
      </c>
      <c r="V454" s="39">
        <v>1</v>
      </c>
      <c r="W454" s="79">
        <f t="shared" si="2494"/>
        <v>0</v>
      </c>
      <c r="X454" s="3">
        <v>0</v>
      </c>
      <c r="Y454" s="77" t="str">
        <f t="shared" si="2481"/>
        <v/>
      </c>
      <c r="Z454" s="3"/>
      <c r="AA454" s="37" t="str">
        <f t="shared" si="2495"/>
        <v/>
      </c>
      <c r="AC454" s="40"/>
      <c r="AD454" s="7"/>
      <c r="AE454" s="77" t="str">
        <f t="shared" si="2482"/>
        <v/>
      </c>
      <c r="AF454" s="81">
        <f t="shared" si="2508"/>
        <v>0</v>
      </c>
      <c r="AG454" s="40"/>
      <c r="AH454" s="7"/>
      <c r="AI454" s="77" t="str">
        <f t="shared" si="2483"/>
        <v/>
      </c>
      <c r="AJ454" s="81">
        <f t="shared" si="2509"/>
        <v>0</v>
      </c>
      <c r="AK454" s="83">
        <f t="shared" si="2510"/>
        <v>0</v>
      </c>
      <c r="AL454" s="83">
        <f t="shared" si="2511"/>
        <v>0</v>
      </c>
      <c r="AN454" s="43">
        <f t="shared" si="2484"/>
        <v>0</v>
      </c>
      <c r="AP454" t="str">
        <f t="shared" si="2512"/>
        <v/>
      </c>
      <c r="AQ454" t="str">
        <f t="shared" si="2513"/>
        <v/>
      </c>
      <c r="AR454" t="str">
        <f t="shared" si="2514"/>
        <v/>
      </c>
      <c r="AS454" t="str">
        <f t="shared" si="2515"/>
        <v/>
      </c>
      <c r="AT454" t="str">
        <f t="shared" si="2516"/>
        <v/>
      </c>
      <c r="AU454" t="str">
        <f t="shared" si="2517"/>
        <v/>
      </c>
      <c r="AV454" t="str">
        <f t="shared" si="2518"/>
        <v/>
      </c>
      <c r="AW454" t="str">
        <f t="shared" si="2519"/>
        <v xml:space="preserve">                              </v>
      </c>
      <c r="AX454" s="23">
        <f t="shared" si="2520"/>
        <v>0</v>
      </c>
      <c r="AY454" s="49" t="str">
        <f t="shared" si="2496"/>
        <v>000000000000000</v>
      </c>
      <c r="AZ454" s="23">
        <f t="shared" si="2521"/>
        <v>0</v>
      </c>
      <c r="BA454" s="49" t="str">
        <f t="shared" si="2496"/>
        <v>000000000000000</v>
      </c>
      <c r="BB454" s="23">
        <f t="shared" si="2522"/>
        <v>0</v>
      </c>
      <c r="BC454" s="49" t="str">
        <f t="shared" ref="BC454" si="2877">IF(BB454&lt;0,SUBSTITUTE(TEXT(BB454,"000000000000,00"),",",""),SUBSTITUTE(TEXT(BB454,"0000000000000,00"),",",""))</f>
        <v>000000000000000</v>
      </c>
      <c r="BD454" s="23">
        <f t="shared" si="2524"/>
        <v>0</v>
      </c>
      <c r="BE454" s="49" t="str">
        <f t="shared" ref="BE454" si="2878">IF(BD454&lt;0,SUBSTITUTE(TEXT(BD454,"000000000000,00"),",",""),SUBSTITUTE(TEXT(BD454,"0000000000000,00"),",",""))</f>
        <v>000000000000000</v>
      </c>
      <c r="BF454" s="23">
        <f t="shared" si="2526"/>
        <v>0</v>
      </c>
      <c r="BG454" s="49" t="str">
        <f t="shared" ref="BG454" si="2879">IF(BF454&lt;0,SUBSTITUTE(TEXT(BF454,"000000000000,00"),",",""),SUBSTITUTE(TEXT(BF454,"0000000000000,00"),",",""))</f>
        <v>000000000000000</v>
      </c>
      <c r="BH454" s="23">
        <f t="shared" si="2528"/>
        <v>0</v>
      </c>
      <c r="BI454" s="49" t="str">
        <f t="shared" ref="BI454" si="2880">IF(BH454&lt;0,SUBSTITUTE(TEXT(BH454,"000000000000,00"),",",""),SUBSTITUTE(TEXT(BH454,"0000000000000,00"),",",""))</f>
        <v>000000000000000</v>
      </c>
      <c r="BJ454" s="23">
        <f t="shared" si="2530"/>
        <v>0</v>
      </c>
      <c r="BK454" s="49" t="str">
        <f t="shared" ref="BK454" si="2881">IF(BJ454&lt;0,SUBSTITUTE(TEXT(BJ454,"000000000000,00"),",",""),SUBSTITUTE(TEXT(BJ454,"0000000000000,00"),",",""))</f>
        <v>000000000000000</v>
      </c>
      <c r="BL454" s="23">
        <f t="shared" si="2532"/>
        <v>0</v>
      </c>
      <c r="BM454" s="49" t="str">
        <f t="shared" ref="BM454" si="2882">IF(BL454&lt;0,SUBSTITUTE(TEXT(BL454,"000000000000,00"),",",""),SUBSTITUTE(TEXT(BL454,"0000000000000,00"),",",""))</f>
        <v>000000000000000</v>
      </c>
      <c r="BN454" t="str">
        <f t="shared" si="2534"/>
        <v>PES</v>
      </c>
      <c r="BO454" t="str">
        <f t="shared" si="2535"/>
        <v>0001000000</v>
      </c>
      <c r="BP454">
        <f t="shared" si="2536"/>
        <v>0</v>
      </c>
      <c r="BQ454">
        <f t="shared" si="2537"/>
        <v>0</v>
      </c>
      <c r="BR454" s="23">
        <f t="shared" si="2538"/>
        <v>0</v>
      </c>
      <c r="BS454" s="49" t="str">
        <f t="shared" si="2503"/>
        <v>000000000000000</v>
      </c>
      <c r="BT454" t="str">
        <f t="shared" si="2539"/>
        <v>00000000</v>
      </c>
      <c r="BU454" s="23">
        <f t="shared" si="2540"/>
        <v>0</v>
      </c>
      <c r="BV454" s="49" t="str">
        <f t="shared" si="2504"/>
        <v/>
      </c>
      <c r="BW454" s="52" t="str">
        <f t="shared" si="2541"/>
        <v/>
      </c>
      <c r="BX454" s="23">
        <f t="shared" si="2542"/>
        <v>0</v>
      </c>
      <c r="BY454" s="49" t="str">
        <f t="shared" si="2505"/>
        <v/>
      </c>
      <c r="BZ454" s="23">
        <f t="shared" si="2543"/>
        <v>0</v>
      </c>
      <c r="CA454" s="49" t="str">
        <f t="shared" si="2506"/>
        <v/>
      </c>
      <c r="CB454" s="52" t="str">
        <f t="shared" si="2544"/>
        <v/>
      </c>
      <c r="CC454" s="23">
        <f t="shared" si="2545"/>
        <v>0</v>
      </c>
      <c r="CD454" s="49" t="str">
        <f t="shared" si="2507"/>
        <v/>
      </c>
      <c r="CE454" s="56" t="str">
        <f>IF(CF454="","",MAX(CE$10:$CE453)+1)</f>
        <v/>
      </c>
      <c r="CF454" t="str">
        <f t="shared" si="2546"/>
        <v/>
      </c>
      <c r="CG454" s="22" t="str">
        <f>IF(CH454="","",MAX($CG$10:CG453)+1)</f>
        <v/>
      </c>
      <c r="CH454" s="22" t="str">
        <f t="shared" si="2491"/>
        <v/>
      </c>
      <c r="CI454" s="22" t="str">
        <f>IF(CJ454="","",MAX($CI$10:CI453)+1)</f>
        <v/>
      </c>
      <c r="CJ454" s="22" t="str">
        <f t="shared" si="2492"/>
        <v/>
      </c>
    </row>
    <row r="455" spans="2:88" x14ac:dyDescent="0.25">
      <c r="B455" s="37"/>
      <c r="C455" s="3"/>
      <c r="D455" s="77" t="str">
        <f t="shared" si="2478"/>
        <v/>
      </c>
      <c r="E455" s="38"/>
      <c r="F455" s="38"/>
      <c r="G455" s="78">
        <f t="shared" si="2493"/>
        <v>0</v>
      </c>
      <c r="H455" s="3">
        <v>80</v>
      </c>
      <c r="I455" s="77" t="str">
        <f t="shared" si="2479"/>
        <v/>
      </c>
      <c r="J455" s="32"/>
      <c r="K455" s="3"/>
      <c r="L455" s="39"/>
      <c r="M455" s="39"/>
      <c r="N455" s="39"/>
      <c r="O455" s="39"/>
      <c r="P455" s="39"/>
      <c r="Q455" s="39"/>
      <c r="R455" s="39"/>
      <c r="S455" s="39"/>
      <c r="T455" s="3" t="s">
        <v>645</v>
      </c>
      <c r="U455" s="77" t="str">
        <f t="shared" si="2480"/>
        <v/>
      </c>
      <c r="V455" s="39">
        <v>1</v>
      </c>
      <c r="W455" s="79">
        <f t="shared" si="2494"/>
        <v>0</v>
      </c>
      <c r="X455" s="3">
        <v>0</v>
      </c>
      <c r="Y455" s="77" t="str">
        <f t="shared" si="2481"/>
        <v/>
      </c>
      <c r="Z455" s="3"/>
      <c r="AA455" s="37" t="str">
        <f t="shared" si="2495"/>
        <v/>
      </c>
      <c r="AC455" s="40"/>
      <c r="AD455" s="7"/>
      <c r="AE455" s="77" t="str">
        <f t="shared" si="2482"/>
        <v/>
      </c>
      <c r="AF455" s="81">
        <f t="shared" si="2508"/>
        <v>0</v>
      </c>
      <c r="AG455" s="40"/>
      <c r="AH455" s="7"/>
      <c r="AI455" s="77" t="str">
        <f t="shared" si="2483"/>
        <v/>
      </c>
      <c r="AJ455" s="81">
        <f t="shared" si="2509"/>
        <v>0</v>
      </c>
      <c r="AK455" s="83">
        <f t="shared" si="2510"/>
        <v>0</v>
      </c>
      <c r="AL455" s="83">
        <f t="shared" si="2511"/>
        <v>0</v>
      </c>
      <c r="AN455" s="43">
        <f t="shared" si="2484"/>
        <v>0</v>
      </c>
      <c r="AP455" t="str">
        <f t="shared" si="2512"/>
        <v/>
      </c>
      <c r="AQ455" t="str">
        <f t="shared" si="2513"/>
        <v/>
      </c>
      <c r="AR455" t="str">
        <f t="shared" si="2514"/>
        <v/>
      </c>
      <c r="AS455" t="str">
        <f t="shared" si="2515"/>
        <v/>
      </c>
      <c r="AT455" t="str">
        <f t="shared" si="2516"/>
        <v/>
      </c>
      <c r="AU455" t="str">
        <f t="shared" si="2517"/>
        <v/>
      </c>
      <c r="AV455" t="str">
        <f t="shared" si="2518"/>
        <v/>
      </c>
      <c r="AW455" t="str">
        <f t="shared" si="2519"/>
        <v xml:space="preserve">                              </v>
      </c>
      <c r="AX455" s="23">
        <f t="shared" si="2520"/>
        <v>0</v>
      </c>
      <c r="AY455" s="49" t="str">
        <f t="shared" si="2496"/>
        <v>000000000000000</v>
      </c>
      <c r="AZ455" s="23">
        <f t="shared" si="2521"/>
        <v>0</v>
      </c>
      <c r="BA455" s="49" t="str">
        <f t="shared" si="2496"/>
        <v>000000000000000</v>
      </c>
      <c r="BB455" s="23">
        <f t="shared" si="2522"/>
        <v>0</v>
      </c>
      <c r="BC455" s="49" t="str">
        <f t="shared" ref="BC455" si="2883">IF(BB455&lt;0,SUBSTITUTE(TEXT(BB455,"000000000000,00"),",",""),SUBSTITUTE(TEXT(BB455,"0000000000000,00"),",",""))</f>
        <v>000000000000000</v>
      </c>
      <c r="BD455" s="23">
        <f t="shared" si="2524"/>
        <v>0</v>
      </c>
      <c r="BE455" s="49" t="str">
        <f t="shared" ref="BE455" si="2884">IF(BD455&lt;0,SUBSTITUTE(TEXT(BD455,"000000000000,00"),",",""),SUBSTITUTE(TEXT(BD455,"0000000000000,00"),",",""))</f>
        <v>000000000000000</v>
      </c>
      <c r="BF455" s="23">
        <f t="shared" si="2526"/>
        <v>0</v>
      </c>
      <c r="BG455" s="49" t="str">
        <f t="shared" ref="BG455" si="2885">IF(BF455&lt;0,SUBSTITUTE(TEXT(BF455,"000000000000,00"),",",""),SUBSTITUTE(TEXT(BF455,"0000000000000,00"),",",""))</f>
        <v>000000000000000</v>
      </c>
      <c r="BH455" s="23">
        <f t="shared" si="2528"/>
        <v>0</v>
      </c>
      <c r="BI455" s="49" t="str">
        <f t="shared" ref="BI455" si="2886">IF(BH455&lt;0,SUBSTITUTE(TEXT(BH455,"000000000000,00"),",",""),SUBSTITUTE(TEXT(BH455,"0000000000000,00"),",",""))</f>
        <v>000000000000000</v>
      </c>
      <c r="BJ455" s="23">
        <f t="shared" si="2530"/>
        <v>0</v>
      </c>
      <c r="BK455" s="49" t="str">
        <f t="shared" ref="BK455" si="2887">IF(BJ455&lt;0,SUBSTITUTE(TEXT(BJ455,"000000000000,00"),",",""),SUBSTITUTE(TEXT(BJ455,"0000000000000,00"),",",""))</f>
        <v>000000000000000</v>
      </c>
      <c r="BL455" s="23">
        <f t="shared" si="2532"/>
        <v>0</v>
      </c>
      <c r="BM455" s="49" t="str">
        <f t="shared" ref="BM455" si="2888">IF(BL455&lt;0,SUBSTITUTE(TEXT(BL455,"000000000000,00"),",",""),SUBSTITUTE(TEXT(BL455,"0000000000000,00"),",",""))</f>
        <v>000000000000000</v>
      </c>
      <c r="BN455" t="str">
        <f t="shared" si="2534"/>
        <v>PES</v>
      </c>
      <c r="BO455" t="str">
        <f t="shared" si="2535"/>
        <v>0001000000</v>
      </c>
      <c r="BP455">
        <f t="shared" si="2536"/>
        <v>0</v>
      </c>
      <c r="BQ455">
        <f t="shared" si="2537"/>
        <v>0</v>
      </c>
      <c r="BR455" s="23">
        <f t="shared" si="2538"/>
        <v>0</v>
      </c>
      <c r="BS455" s="49" t="str">
        <f t="shared" si="2503"/>
        <v>000000000000000</v>
      </c>
      <c r="BT455" t="str">
        <f t="shared" si="2539"/>
        <v>00000000</v>
      </c>
      <c r="BU455" s="23">
        <f t="shared" si="2540"/>
        <v>0</v>
      </c>
      <c r="BV455" s="49" t="str">
        <f t="shared" si="2504"/>
        <v/>
      </c>
      <c r="BW455" s="52" t="str">
        <f t="shared" si="2541"/>
        <v/>
      </c>
      <c r="BX455" s="23">
        <f t="shared" si="2542"/>
        <v>0</v>
      </c>
      <c r="BY455" s="49" t="str">
        <f t="shared" si="2505"/>
        <v/>
      </c>
      <c r="BZ455" s="23">
        <f t="shared" si="2543"/>
        <v>0</v>
      </c>
      <c r="CA455" s="49" t="str">
        <f t="shared" si="2506"/>
        <v/>
      </c>
      <c r="CB455" s="52" t="str">
        <f t="shared" si="2544"/>
        <v/>
      </c>
      <c r="CC455" s="23">
        <f t="shared" si="2545"/>
        <v>0</v>
      </c>
      <c r="CD455" s="49" t="str">
        <f t="shared" si="2507"/>
        <v/>
      </c>
      <c r="CE455" s="56" t="str">
        <f>IF(CF455="","",MAX(CE$10:$CE454)+1)</f>
        <v/>
      </c>
      <c r="CF455" t="str">
        <f t="shared" si="2546"/>
        <v/>
      </c>
      <c r="CG455" s="22" t="str">
        <f>IF(CH455="","",MAX($CG$10:CG454)+1)</f>
        <v/>
      </c>
      <c r="CH455" s="22" t="str">
        <f t="shared" si="2491"/>
        <v/>
      </c>
      <c r="CI455" s="22" t="str">
        <f>IF(CJ455="","",MAX($CI$10:CI454)+1)</f>
        <v/>
      </c>
      <c r="CJ455" s="22" t="str">
        <f t="shared" si="2492"/>
        <v/>
      </c>
    </row>
    <row r="456" spans="2:88" x14ac:dyDescent="0.25">
      <c r="B456" s="37"/>
      <c r="C456" s="3"/>
      <c r="D456" s="77" t="str">
        <f t="shared" si="2478"/>
        <v/>
      </c>
      <c r="E456" s="38"/>
      <c r="F456" s="38"/>
      <c r="G456" s="78">
        <f t="shared" si="2493"/>
        <v>0</v>
      </c>
      <c r="H456" s="3">
        <v>80</v>
      </c>
      <c r="I456" s="77" t="str">
        <f t="shared" si="2479"/>
        <v/>
      </c>
      <c r="J456" s="32"/>
      <c r="K456" s="3"/>
      <c r="L456" s="39"/>
      <c r="M456" s="39"/>
      <c r="N456" s="39"/>
      <c r="O456" s="39"/>
      <c r="P456" s="39"/>
      <c r="Q456" s="39"/>
      <c r="R456" s="39"/>
      <c r="S456" s="39"/>
      <c r="T456" s="3" t="s">
        <v>645</v>
      </c>
      <c r="U456" s="77" t="str">
        <f t="shared" si="2480"/>
        <v/>
      </c>
      <c r="V456" s="39">
        <v>1</v>
      </c>
      <c r="W456" s="79">
        <f t="shared" si="2494"/>
        <v>0</v>
      </c>
      <c r="X456" s="3">
        <v>0</v>
      </c>
      <c r="Y456" s="77" t="str">
        <f t="shared" si="2481"/>
        <v/>
      </c>
      <c r="Z456" s="3"/>
      <c r="AA456" s="37" t="str">
        <f t="shared" si="2495"/>
        <v/>
      </c>
      <c r="AC456" s="40"/>
      <c r="AD456" s="7"/>
      <c r="AE456" s="77" t="str">
        <f t="shared" si="2482"/>
        <v/>
      </c>
      <c r="AF456" s="81">
        <f t="shared" si="2508"/>
        <v>0</v>
      </c>
      <c r="AG456" s="40"/>
      <c r="AH456" s="7"/>
      <c r="AI456" s="77" t="str">
        <f t="shared" si="2483"/>
        <v/>
      </c>
      <c r="AJ456" s="81">
        <f t="shared" si="2509"/>
        <v>0</v>
      </c>
      <c r="AK456" s="83">
        <f t="shared" si="2510"/>
        <v>0</v>
      </c>
      <c r="AL456" s="83">
        <f t="shared" si="2511"/>
        <v>0</v>
      </c>
      <c r="AN456" s="43">
        <f t="shared" si="2484"/>
        <v>0</v>
      </c>
      <c r="AP456" t="str">
        <f t="shared" si="2512"/>
        <v/>
      </c>
      <c r="AQ456" t="str">
        <f t="shared" si="2513"/>
        <v/>
      </c>
      <c r="AR456" t="str">
        <f t="shared" si="2514"/>
        <v/>
      </c>
      <c r="AS456" t="str">
        <f t="shared" si="2515"/>
        <v/>
      </c>
      <c r="AT456" t="str">
        <f t="shared" si="2516"/>
        <v/>
      </c>
      <c r="AU456" t="str">
        <f t="shared" si="2517"/>
        <v/>
      </c>
      <c r="AV456" t="str">
        <f t="shared" si="2518"/>
        <v/>
      </c>
      <c r="AW456" t="str">
        <f t="shared" si="2519"/>
        <v xml:space="preserve">                              </v>
      </c>
      <c r="AX456" s="23">
        <f t="shared" si="2520"/>
        <v>0</v>
      </c>
      <c r="AY456" s="49" t="str">
        <f t="shared" si="2496"/>
        <v>000000000000000</v>
      </c>
      <c r="AZ456" s="23">
        <f t="shared" si="2521"/>
        <v>0</v>
      </c>
      <c r="BA456" s="49" t="str">
        <f t="shared" si="2496"/>
        <v>000000000000000</v>
      </c>
      <c r="BB456" s="23">
        <f t="shared" si="2522"/>
        <v>0</v>
      </c>
      <c r="BC456" s="49" t="str">
        <f t="shared" ref="BC456" si="2889">IF(BB456&lt;0,SUBSTITUTE(TEXT(BB456,"000000000000,00"),",",""),SUBSTITUTE(TEXT(BB456,"0000000000000,00"),",",""))</f>
        <v>000000000000000</v>
      </c>
      <c r="BD456" s="23">
        <f t="shared" si="2524"/>
        <v>0</v>
      </c>
      <c r="BE456" s="49" t="str">
        <f t="shared" ref="BE456" si="2890">IF(BD456&lt;0,SUBSTITUTE(TEXT(BD456,"000000000000,00"),",",""),SUBSTITUTE(TEXT(BD456,"0000000000000,00"),",",""))</f>
        <v>000000000000000</v>
      </c>
      <c r="BF456" s="23">
        <f t="shared" si="2526"/>
        <v>0</v>
      </c>
      <c r="BG456" s="49" t="str">
        <f t="shared" ref="BG456" si="2891">IF(BF456&lt;0,SUBSTITUTE(TEXT(BF456,"000000000000,00"),",",""),SUBSTITUTE(TEXT(BF456,"0000000000000,00"),",",""))</f>
        <v>000000000000000</v>
      </c>
      <c r="BH456" s="23">
        <f t="shared" si="2528"/>
        <v>0</v>
      </c>
      <c r="BI456" s="49" t="str">
        <f t="shared" ref="BI456" si="2892">IF(BH456&lt;0,SUBSTITUTE(TEXT(BH456,"000000000000,00"),",",""),SUBSTITUTE(TEXT(BH456,"0000000000000,00"),",",""))</f>
        <v>000000000000000</v>
      </c>
      <c r="BJ456" s="23">
        <f t="shared" si="2530"/>
        <v>0</v>
      </c>
      <c r="BK456" s="49" t="str">
        <f t="shared" ref="BK456" si="2893">IF(BJ456&lt;0,SUBSTITUTE(TEXT(BJ456,"000000000000,00"),",",""),SUBSTITUTE(TEXT(BJ456,"0000000000000,00"),",",""))</f>
        <v>000000000000000</v>
      </c>
      <c r="BL456" s="23">
        <f t="shared" si="2532"/>
        <v>0</v>
      </c>
      <c r="BM456" s="49" t="str">
        <f t="shared" ref="BM456" si="2894">IF(BL456&lt;0,SUBSTITUTE(TEXT(BL456,"000000000000,00"),",",""),SUBSTITUTE(TEXT(BL456,"0000000000000,00"),",",""))</f>
        <v>000000000000000</v>
      </c>
      <c r="BN456" t="str">
        <f t="shared" si="2534"/>
        <v>PES</v>
      </c>
      <c r="BO456" t="str">
        <f t="shared" si="2535"/>
        <v>0001000000</v>
      </c>
      <c r="BP456">
        <f t="shared" si="2536"/>
        <v>0</v>
      </c>
      <c r="BQ456">
        <f t="shared" si="2537"/>
        <v>0</v>
      </c>
      <c r="BR456" s="23">
        <f t="shared" si="2538"/>
        <v>0</v>
      </c>
      <c r="BS456" s="49" t="str">
        <f t="shared" si="2503"/>
        <v>000000000000000</v>
      </c>
      <c r="BT456" t="str">
        <f t="shared" si="2539"/>
        <v>00000000</v>
      </c>
      <c r="BU456" s="23">
        <f t="shared" si="2540"/>
        <v>0</v>
      </c>
      <c r="BV456" s="49" t="str">
        <f t="shared" si="2504"/>
        <v/>
      </c>
      <c r="BW456" s="52" t="str">
        <f t="shared" si="2541"/>
        <v/>
      </c>
      <c r="BX456" s="23">
        <f t="shared" si="2542"/>
        <v>0</v>
      </c>
      <c r="BY456" s="49" t="str">
        <f t="shared" si="2505"/>
        <v/>
      </c>
      <c r="BZ456" s="23">
        <f t="shared" si="2543"/>
        <v>0</v>
      </c>
      <c r="CA456" s="49" t="str">
        <f t="shared" si="2506"/>
        <v/>
      </c>
      <c r="CB456" s="52" t="str">
        <f t="shared" si="2544"/>
        <v/>
      </c>
      <c r="CC456" s="23">
        <f t="shared" si="2545"/>
        <v>0</v>
      </c>
      <c r="CD456" s="49" t="str">
        <f t="shared" si="2507"/>
        <v/>
      </c>
      <c r="CE456" s="56" t="str">
        <f>IF(CF456="","",MAX(CE$10:$CE455)+1)</f>
        <v/>
      </c>
      <c r="CF456" t="str">
        <f t="shared" si="2546"/>
        <v/>
      </c>
      <c r="CG456" s="22" t="str">
        <f>IF(CH456="","",MAX($CG$10:CG455)+1)</f>
        <v/>
      </c>
      <c r="CH456" s="22" t="str">
        <f t="shared" si="2491"/>
        <v/>
      </c>
      <c r="CI456" s="22" t="str">
        <f>IF(CJ456="","",MAX($CI$10:CI455)+1)</f>
        <v/>
      </c>
      <c r="CJ456" s="22" t="str">
        <f t="shared" si="2492"/>
        <v/>
      </c>
    </row>
    <row r="457" spans="2:88" x14ac:dyDescent="0.25">
      <c r="B457" s="37"/>
      <c r="C457" s="3"/>
      <c r="D457" s="77" t="str">
        <f t="shared" si="2478"/>
        <v/>
      </c>
      <c r="E457" s="38"/>
      <c r="F457" s="38"/>
      <c r="G457" s="78">
        <f t="shared" si="2493"/>
        <v>0</v>
      </c>
      <c r="H457" s="3">
        <v>80</v>
      </c>
      <c r="I457" s="77" t="str">
        <f t="shared" si="2479"/>
        <v/>
      </c>
      <c r="J457" s="32"/>
      <c r="K457" s="3"/>
      <c r="L457" s="39"/>
      <c r="M457" s="39"/>
      <c r="N457" s="39"/>
      <c r="O457" s="39"/>
      <c r="P457" s="39"/>
      <c r="Q457" s="39"/>
      <c r="R457" s="39"/>
      <c r="S457" s="39"/>
      <c r="T457" s="3" t="s">
        <v>645</v>
      </c>
      <c r="U457" s="77" t="str">
        <f t="shared" si="2480"/>
        <v/>
      </c>
      <c r="V457" s="39">
        <v>1</v>
      </c>
      <c r="W457" s="79">
        <f t="shared" si="2494"/>
        <v>0</v>
      </c>
      <c r="X457" s="3">
        <v>0</v>
      </c>
      <c r="Y457" s="77" t="str">
        <f t="shared" si="2481"/>
        <v/>
      </c>
      <c r="Z457" s="3"/>
      <c r="AA457" s="37" t="str">
        <f t="shared" si="2495"/>
        <v/>
      </c>
      <c r="AC457" s="40"/>
      <c r="AD457" s="7"/>
      <c r="AE457" s="77" t="str">
        <f t="shared" si="2482"/>
        <v/>
      </c>
      <c r="AF457" s="81">
        <f t="shared" si="2508"/>
        <v>0</v>
      </c>
      <c r="AG457" s="40"/>
      <c r="AH457" s="7"/>
      <c r="AI457" s="77" t="str">
        <f t="shared" si="2483"/>
        <v/>
      </c>
      <c r="AJ457" s="81">
        <f t="shared" si="2509"/>
        <v>0</v>
      </c>
      <c r="AK457" s="83">
        <f t="shared" si="2510"/>
        <v>0</v>
      </c>
      <c r="AL457" s="83">
        <f t="shared" si="2511"/>
        <v>0</v>
      </c>
      <c r="AN457" s="43">
        <f t="shared" si="2484"/>
        <v>0</v>
      </c>
      <c r="AP457" t="str">
        <f t="shared" si="2512"/>
        <v/>
      </c>
      <c r="AQ457" t="str">
        <f t="shared" si="2513"/>
        <v/>
      </c>
      <c r="AR457" t="str">
        <f t="shared" si="2514"/>
        <v/>
      </c>
      <c r="AS457" t="str">
        <f t="shared" si="2515"/>
        <v/>
      </c>
      <c r="AT457" t="str">
        <f t="shared" si="2516"/>
        <v/>
      </c>
      <c r="AU457" t="str">
        <f t="shared" si="2517"/>
        <v/>
      </c>
      <c r="AV457" t="str">
        <f t="shared" si="2518"/>
        <v/>
      </c>
      <c r="AW457" t="str">
        <f t="shared" si="2519"/>
        <v xml:space="preserve">                              </v>
      </c>
      <c r="AX457" s="23">
        <f t="shared" si="2520"/>
        <v>0</v>
      </c>
      <c r="AY457" s="49" t="str">
        <f t="shared" si="2496"/>
        <v>000000000000000</v>
      </c>
      <c r="AZ457" s="23">
        <f t="shared" si="2521"/>
        <v>0</v>
      </c>
      <c r="BA457" s="49" t="str">
        <f t="shared" si="2496"/>
        <v>000000000000000</v>
      </c>
      <c r="BB457" s="23">
        <f t="shared" si="2522"/>
        <v>0</v>
      </c>
      <c r="BC457" s="49" t="str">
        <f t="shared" ref="BC457" si="2895">IF(BB457&lt;0,SUBSTITUTE(TEXT(BB457,"000000000000,00"),",",""),SUBSTITUTE(TEXT(BB457,"0000000000000,00"),",",""))</f>
        <v>000000000000000</v>
      </c>
      <c r="BD457" s="23">
        <f t="shared" si="2524"/>
        <v>0</v>
      </c>
      <c r="BE457" s="49" t="str">
        <f t="shared" ref="BE457" si="2896">IF(BD457&lt;0,SUBSTITUTE(TEXT(BD457,"000000000000,00"),",",""),SUBSTITUTE(TEXT(BD457,"0000000000000,00"),",",""))</f>
        <v>000000000000000</v>
      </c>
      <c r="BF457" s="23">
        <f t="shared" si="2526"/>
        <v>0</v>
      </c>
      <c r="BG457" s="49" t="str">
        <f t="shared" ref="BG457" si="2897">IF(BF457&lt;0,SUBSTITUTE(TEXT(BF457,"000000000000,00"),",",""),SUBSTITUTE(TEXT(BF457,"0000000000000,00"),",",""))</f>
        <v>000000000000000</v>
      </c>
      <c r="BH457" s="23">
        <f t="shared" si="2528"/>
        <v>0</v>
      </c>
      <c r="BI457" s="49" t="str">
        <f t="shared" ref="BI457" si="2898">IF(BH457&lt;0,SUBSTITUTE(TEXT(BH457,"000000000000,00"),",",""),SUBSTITUTE(TEXT(BH457,"0000000000000,00"),",",""))</f>
        <v>000000000000000</v>
      </c>
      <c r="BJ457" s="23">
        <f t="shared" si="2530"/>
        <v>0</v>
      </c>
      <c r="BK457" s="49" t="str">
        <f t="shared" ref="BK457" si="2899">IF(BJ457&lt;0,SUBSTITUTE(TEXT(BJ457,"000000000000,00"),",",""),SUBSTITUTE(TEXT(BJ457,"0000000000000,00"),",",""))</f>
        <v>000000000000000</v>
      </c>
      <c r="BL457" s="23">
        <f t="shared" si="2532"/>
        <v>0</v>
      </c>
      <c r="BM457" s="49" t="str">
        <f t="shared" ref="BM457" si="2900">IF(BL457&lt;0,SUBSTITUTE(TEXT(BL457,"000000000000,00"),",",""),SUBSTITUTE(TEXT(BL457,"0000000000000,00"),",",""))</f>
        <v>000000000000000</v>
      </c>
      <c r="BN457" t="str">
        <f t="shared" si="2534"/>
        <v>PES</v>
      </c>
      <c r="BO457" t="str">
        <f t="shared" si="2535"/>
        <v>0001000000</v>
      </c>
      <c r="BP457">
        <f t="shared" si="2536"/>
        <v>0</v>
      </c>
      <c r="BQ457">
        <f t="shared" si="2537"/>
        <v>0</v>
      </c>
      <c r="BR457" s="23">
        <f t="shared" si="2538"/>
        <v>0</v>
      </c>
      <c r="BS457" s="49" t="str">
        <f t="shared" si="2503"/>
        <v>000000000000000</v>
      </c>
      <c r="BT457" t="str">
        <f t="shared" si="2539"/>
        <v>00000000</v>
      </c>
      <c r="BU457" s="23">
        <f t="shared" si="2540"/>
        <v>0</v>
      </c>
      <c r="BV457" s="49" t="str">
        <f t="shared" si="2504"/>
        <v/>
      </c>
      <c r="BW457" s="52" t="str">
        <f t="shared" si="2541"/>
        <v/>
      </c>
      <c r="BX457" s="23">
        <f t="shared" si="2542"/>
        <v>0</v>
      </c>
      <c r="BY457" s="49" t="str">
        <f t="shared" si="2505"/>
        <v/>
      </c>
      <c r="BZ457" s="23">
        <f t="shared" si="2543"/>
        <v>0</v>
      </c>
      <c r="CA457" s="49" t="str">
        <f t="shared" si="2506"/>
        <v/>
      </c>
      <c r="CB457" s="52" t="str">
        <f t="shared" si="2544"/>
        <v/>
      </c>
      <c r="CC457" s="23">
        <f t="shared" si="2545"/>
        <v>0</v>
      </c>
      <c r="CD457" s="49" t="str">
        <f t="shared" si="2507"/>
        <v/>
      </c>
      <c r="CE457" s="56" t="str">
        <f>IF(CF457="","",MAX(CE$10:$CE456)+1)</f>
        <v/>
      </c>
      <c r="CF457" t="str">
        <f t="shared" si="2546"/>
        <v/>
      </c>
      <c r="CG457" s="22" t="str">
        <f>IF(CH457="","",MAX($CG$10:CG456)+1)</f>
        <v/>
      </c>
      <c r="CH457" s="22" t="str">
        <f t="shared" si="2491"/>
        <v/>
      </c>
      <c r="CI457" s="22" t="str">
        <f>IF(CJ457="","",MAX($CI$10:CI456)+1)</f>
        <v/>
      </c>
      <c r="CJ457" s="22" t="str">
        <f t="shared" si="2492"/>
        <v/>
      </c>
    </row>
    <row r="458" spans="2:88" x14ac:dyDescent="0.25">
      <c r="B458" s="37"/>
      <c r="C458" s="3"/>
      <c r="D458" s="77" t="str">
        <f t="shared" si="2478"/>
        <v/>
      </c>
      <c r="E458" s="38"/>
      <c r="F458" s="38"/>
      <c r="G458" s="78">
        <f t="shared" si="2493"/>
        <v>0</v>
      </c>
      <c r="H458" s="3">
        <v>80</v>
      </c>
      <c r="I458" s="77" t="str">
        <f t="shared" si="2479"/>
        <v/>
      </c>
      <c r="J458" s="32"/>
      <c r="K458" s="3"/>
      <c r="L458" s="39"/>
      <c r="M458" s="39"/>
      <c r="N458" s="39"/>
      <c r="O458" s="39"/>
      <c r="P458" s="39"/>
      <c r="Q458" s="39"/>
      <c r="R458" s="39"/>
      <c r="S458" s="39"/>
      <c r="T458" s="3" t="s">
        <v>645</v>
      </c>
      <c r="U458" s="77" t="str">
        <f t="shared" si="2480"/>
        <v/>
      </c>
      <c r="V458" s="39">
        <v>1</v>
      </c>
      <c r="W458" s="79">
        <f t="shared" si="2494"/>
        <v>0</v>
      </c>
      <c r="X458" s="3">
        <v>0</v>
      </c>
      <c r="Y458" s="77" t="str">
        <f t="shared" si="2481"/>
        <v/>
      </c>
      <c r="Z458" s="3"/>
      <c r="AA458" s="37" t="str">
        <f t="shared" si="2495"/>
        <v/>
      </c>
      <c r="AC458" s="40"/>
      <c r="AD458" s="7"/>
      <c r="AE458" s="77" t="str">
        <f t="shared" si="2482"/>
        <v/>
      </c>
      <c r="AF458" s="81">
        <f t="shared" si="2508"/>
        <v>0</v>
      </c>
      <c r="AG458" s="40"/>
      <c r="AH458" s="7"/>
      <c r="AI458" s="77" t="str">
        <f t="shared" si="2483"/>
        <v/>
      </c>
      <c r="AJ458" s="81">
        <f t="shared" si="2509"/>
        <v>0</v>
      </c>
      <c r="AK458" s="83">
        <f t="shared" si="2510"/>
        <v>0</v>
      </c>
      <c r="AL458" s="83">
        <f t="shared" si="2511"/>
        <v>0</v>
      </c>
      <c r="AN458" s="43">
        <f t="shared" si="2484"/>
        <v>0</v>
      </c>
      <c r="AP458" t="str">
        <f t="shared" si="2512"/>
        <v/>
      </c>
      <c r="AQ458" t="str">
        <f t="shared" si="2513"/>
        <v/>
      </c>
      <c r="AR458" t="str">
        <f t="shared" si="2514"/>
        <v/>
      </c>
      <c r="AS458" t="str">
        <f t="shared" si="2515"/>
        <v/>
      </c>
      <c r="AT458" t="str">
        <f t="shared" si="2516"/>
        <v/>
      </c>
      <c r="AU458" t="str">
        <f t="shared" si="2517"/>
        <v/>
      </c>
      <c r="AV458" t="str">
        <f t="shared" si="2518"/>
        <v/>
      </c>
      <c r="AW458" t="str">
        <f t="shared" si="2519"/>
        <v xml:space="preserve">                              </v>
      </c>
      <c r="AX458" s="23">
        <f t="shared" si="2520"/>
        <v>0</v>
      </c>
      <c r="AY458" s="49" t="str">
        <f t="shared" si="2496"/>
        <v>000000000000000</v>
      </c>
      <c r="AZ458" s="23">
        <f t="shared" si="2521"/>
        <v>0</v>
      </c>
      <c r="BA458" s="49" t="str">
        <f t="shared" si="2496"/>
        <v>000000000000000</v>
      </c>
      <c r="BB458" s="23">
        <f t="shared" si="2522"/>
        <v>0</v>
      </c>
      <c r="BC458" s="49" t="str">
        <f t="shared" ref="BC458" si="2901">IF(BB458&lt;0,SUBSTITUTE(TEXT(BB458,"000000000000,00"),",",""),SUBSTITUTE(TEXT(BB458,"0000000000000,00"),",",""))</f>
        <v>000000000000000</v>
      </c>
      <c r="BD458" s="23">
        <f t="shared" si="2524"/>
        <v>0</v>
      </c>
      <c r="BE458" s="49" t="str">
        <f t="shared" ref="BE458" si="2902">IF(BD458&lt;0,SUBSTITUTE(TEXT(BD458,"000000000000,00"),",",""),SUBSTITUTE(TEXT(BD458,"0000000000000,00"),",",""))</f>
        <v>000000000000000</v>
      </c>
      <c r="BF458" s="23">
        <f t="shared" si="2526"/>
        <v>0</v>
      </c>
      <c r="BG458" s="49" t="str">
        <f t="shared" ref="BG458" si="2903">IF(BF458&lt;0,SUBSTITUTE(TEXT(BF458,"000000000000,00"),",",""),SUBSTITUTE(TEXT(BF458,"0000000000000,00"),",",""))</f>
        <v>000000000000000</v>
      </c>
      <c r="BH458" s="23">
        <f t="shared" si="2528"/>
        <v>0</v>
      </c>
      <c r="BI458" s="49" t="str">
        <f t="shared" ref="BI458" si="2904">IF(BH458&lt;0,SUBSTITUTE(TEXT(BH458,"000000000000,00"),",",""),SUBSTITUTE(TEXT(BH458,"0000000000000,00"),",",""))</f>
        <v>000000000000000</v>
      </c>
      <c r="BJ458" s="23">
        <f t="shared" si="2530"/>
        <v>0</v>
      </c>
      <c r="BK458" s="49" t="str">
        <f t="shared" ref="BK458" si="2905">IF(BJ458&lt;0,SUBSTITUTE(TEXT(BJ458,"000000000000,00"),",",""),SUBSTITUTE(TEXT(BJ458,"0000000000000,00"),",",""))</f>
        <v>000000000000000</v>
      </c>
      <c r="BL458" s="23">
        <f t="shared" si="2532"/>
        <v>0</v>
      </c>
      <c r="BM458" s="49" t="str">
        <f t="shared" ref="BM458" si="2906">IF(BL458&lt;0,SUBSTITUTE(TEXT(BL458,"000000000000,00"),",",""),SUBSTITUTE(TEXT(BL458,"0000000000000,00"),",",""))</f>
        <v>000000000000000</v>
      </c>
      <c r="BN458" t="str">
        <f t="shared" si="2534"/>
        <v>PES</v>
      </c>
      <c r="BO458" t="str">
        <f t="shared" si="2535"/>
        <v>0001000000</v>
      </c>
      <c r="BP458">
        <f t="shared" si="2536"/>
        <v>0</v>
      </c>
      <c r="BQ458">
        <f t="shared" si="2537"/>
        <v>0</v>
      </c>
      <c r="BR458" s="23">
        <f t="shared" si="2538"/>
        <v>0</v>
      </c>
      <c r="BS458" s="49" t="str">
        <f t="shared" si="2503"/>
        <v>000000000000000</v>
      </c>
      <c r="BT458" t="str">
        <f t="shared" si="2539"/>
        <v>00000000</v>
      </c>
      <c r="BU458" s="23">
        <f t="shared" si="2540"/>
        <v>0</v>
      </c>
      <c r="BV458" s="49" t="str">
        <f t="shared" si="2504"/>
        <v/>
      </c>
      <c r="BW458" s="52" t="str">
        <f t="shared" si="2541"/>
        <v/>
      </c>
      <c r="BX458" s="23">
        <f t="shared" si="2542"/>
        <v>0</v>
      </c>
      <c r="BY458" s="49" t="str">
        <f t="shared" si="2505"/>
        <v/>
      </c>
      <c r="BZ458" s="23">
        <f t="shared" si="2543"/>
        <v>0</v>
      </c>
      <c r="CA458" s="49" t="str">
        <f t="shared" si="2506"/>
        <v/>
      </c>
      <c r="CB458" s="52" t="str">
        <f t="shared" si="2544"/>
        <v/>
      </c>
      <c r="CC458" s="23">
        <f t="shared" si="2545"/>
        <v>0</v>
      </c>
      <c r="CD458" s="49" t="str">
        <f t="shared" si="2507"/>
        <v/>
      </c>
      <c r="CE458" s="56" t="str">
        <f>IF(CF458="","",MAX(CE$10:$CE457)+1)</f>
        <v/>
      </c>
      <c r="CF458" t="str">
        <f t="shared" si="2546"/>
        <v/>
      </c>
      <c r="CG458" s="22" t="str">
        <f>IF(CH458="","",MAX($CG$10:CG457)+1)</f>
        <v/>
      </c>
      <c r="CH458" s="22" t="str">
        <f t="shared" si="2491"/>
        <v/>
      </c>
      <c r="CI458" s="22" t="str">
        <f>IF(CJ458="","",MAX($CI$10:CI457)+1)</f>
        <v/>
      </c>
      <c r="CJ458" s="22" t="str">
        <f t="shared" si="2492"/>
        <v/>
      </c>
    </row>
    <row r="459" spans="2:88" x14ac:dyDescent="0.25">
      <c r="B459" s="37"/>
      <c r="C459" s="3"/>
      <c r="D459" s="77" t="str">
        <f t="shared" si="2478"/>
        <v/>
      </c>
      <c r="E459" s="38"/>
      <c r="F459" s="38"/>
      <c r="G459" s="78">
        <f t="shared" si="2493"/>
        <v>0</v>
      </c>
      <c r="H459" s="3">
        <v>80</v>
      </c>
      <c r="I459" s="77" t="str">
        <f t="shared" si="2479"/>
        <v/>
      </c>
      <c r="J459" s="32"/>
      <c r="K459" s="3"/>
      <c r="L459" s="39"/>
      <c r="M459" s="39"/>
      <c r="N459" s="39"/>
      <c r="O459" s="39"/>
      <c r="P459" s="39"/>
      <c r="Q459" s="39"/>
      <c r="R459" s="39"/>
      <c r="S459" s="39"/>
      <c r="T459" s="3" t="s">
        <v>645</v>
      </c>
      <c r="U459" s="77" t="str">
        <f t="shared" si="2480"/>
        <v/>
      </c>
      <c r="V459" s="39">
        <v>1</v>
      </c>
      <c r="W459" s="79">
        <f t="shared" si="2494"/>
        <v>0</v>
      </c>
      <c r="X459" s="3">
        <v>0</v>
      </c>
      <c r="Y459" s="77" t="str">
        <f t="shared" si="2481"/>
        <v/>
      </c>
      <c r="Z459" s="3"/>
      <c r="AA459" s="37" t="str">
        <f t="shared" si="2495"/>
        <v/>
      </c>
      <c r="AC459" s="40"/>
      <c r="AD459" s="7"/>
      <c r="AE459" s="77" t="str">
        <f t="shared" si="2482"/>
        <v/>
      </c>
      <c r="AF459" s="81">
        <f t="shared" si="2508"/>
        <v>0</v>
      </c>
      <c r="AG459" s="40"/>
      <c r="AH459" s="7"/>
      <c r="AI459" s="77" t="str">
        <f t="shared" si="2483"/>
        <v/>
      </c>
      <c r="AJ459" s="81">
        <f t="shared" si="2509"/>
        <v>0</v>
      </c>
      <c r="AK459" s="83">
        <f t="shared" si="2510"/>
        <v>0</v>
      </c>
      <c r="AL459" s="83">
        <f t="shared" si="2511"/>
        <v>0</v>
      </c>
      <c r="AN459" s="43">
        <f t="shared" si="2484"/>
        <v>0</v>
      </c>
      <c r="AP459" t="str">
        <f t="shared" si="2512"/>
        <v/>
      </c>
      <c r="AQ459" t="str">
        <f t="shared" si="2513"/>
        <v/>
      </c>
      <c r="AR459" t="str">
        <f t="shared" si="2514"/>
        <v/>
      </c>
      <c r="AS459" t="str">
        <f t="shared" si="2515"/>
        <v/>
      </c>
      <c r="AT459" t="str">
        <f t="shared" si="2516"/>
        <v/>
      </c>
      <c r="AU459" t="str">
        <f t="shared" si="2517"/>
        <v/>
      </c>
      <c r="AV459" t="str">
        <f t="shared" si="2518"/>
        <v/>
      </c>
      <c r="AW459" t="str">
        <f t="shared" si="2519"/>
        <v xml:space="preserve">                              </v>
      </c>
      <c r="AX459" s="23">
        <f t="shared" si="2520"/>
        <v>0</v>
      </c>
      <c r="AY459" s="49" t="str">
        <f t="shared" si="2496"/>
        <v>000000000000000</v>
      </c>
      <c r="AZ459" s="23">
        <f t="shared" si="2521"/>
        <v>0</v>
      </c>
      <c r="BA459" s="49" t="str">
        <f t="shared" si="2496"/>
        <v>000000000000000</v>
      </c>
      <c r="BB459" s="23">
        <f t="shared" si="2522"/>
        <v>0</v>
      </c>
      <c r="BC459" s="49" t="str">
        <f t="shared" ref="BC459" si="2907">IF(BB459&lt;0,SUBSTITUTE(TEXT(BB459,"000000000000,00"),",",""),SUBSTITUTE(TEXT(BB459,"0000000000000,00"),",",""))</f>
        <v>000000000000000</v>
      </c>
      <c r="BD459" s="23">
        <f t="shared" si="2524"/>
        <v>0</v>
      </c>
      <c r="BE459" s="49" t="str">
        <f t="shared" ref="BE459" si="2908">IF(BD459&lt;0,SUBSTITUTE(TEXT(BD459,"000000000000,00"),",",""),SUBSTITUTE(TEXT(BD459,"0000000000000,00"),",",""))</f>
        <v>000000000000000</v>
      </c>
      <c r="BF459" s="23">
        <f t="shared" si="2526"/>
        <v>0</v>
      </c>
      <c r="BG459" s="49" t="str">
        <f t="shared" ref="BG459" si="2909">IF(BF459&lt;0,SUBSTITUTE(TEXT(BF459,"000000000000,00"),",",""),SUBSTITUTE(TEXT(BF459,"0000000000000,00"),",",""))</f>
        <v>000000000000000</v>
      </c>
      <c r="BH459" s="23">
        <f t="shared" si="2528"/>
        <v>0</v>
      </c>
      <c r="BI459" s="49" t="str">
        <f t="shared" ref="BI459" si="2910">IF(BH459&lt;0,SUBSTITUTE(TEXT(BH459,"000000000000,00"),",",""),SUBSTITUTE(TEXT(BH459,"0000000000000,00"),",",""))</f>
        <v>000000000000000</v>
      </c>
      <c r="BJ459" s="23">
        <f t="shared" si="2530"/>
        <v>0</v>
      </c>
      <c r="BK459" s="49" t="str">
        <f t="shared" ref="BK459" si="2911">IF(BJ459&lt;0,SUBSTITUTE(TEXT(BJ459,"000000000000,00"),",",""),SUBSTITUTE(TEXT(BJ459,"0000000000000,00"),",",""))</f>
        <v>000000000000000</v>
      </c>
      <c r="BL459" s="23">
        <f t="shared" si="2532"/>
        <v>0</v>
      </c>
      <c r="BM459" s="49" t="str">
        <f t="shared" ref="BM459" si="2912">IF(BL459&lt;0,SUBSTITUTE(TEXT(BL459,"000000000000,00"),",",""),SUBSTITUTE(TEXT(BL459,"0000000000000,00"),",",""))</f>
        <v>000000000000000</v>
      </c>
      <c r="BN459" t="str">
        <f t="shared" si="2534"/>
        <v>PES</v>
      </c>
      <c r="BO459" t="str">
        <f t="shared" si="2535"/>
        <v>0001000000</v>
      </c>
      <c r="BP459">
        <f t="shared" si="2536"/>
        <v>0</v>
      </c>
      <c r="BQ459">
        <f t="shared" si="2537"/>
        <v>0</v>
      </c>
      <c r="BR459" s="23">
        <f t="shared" si="2538"/>
        <v>0</v>
      </c>
      <c r="BS459" s="49" t="str">
        <f t="shared" si="2503"/>
        <v>000000000000000</v>
      </c>
      <c r="BT459" t="str">
        <f t="shared" si="2539"/>
        <v>00000000</v>
      </c>
      <c r="BU459" s="23">
        <f t="shared" si="2540"/>
        <v>0</v>
      </c>
      <c r="BV459" s="49" t="str">
        <f t="shared" si="2504"/>
        <v/>
      </c>
      <c r="BW459" s="52" t="str">
        <f t="shared" si="2541"/>
        <v/>
      </c>
      <c r="BX459" s="23">
        <f t="shared" si="2542"/>
        <v>0</v>
      </c>
      <c r="BY459" s="49" t="str">
        <f t="shared" si="2505"/>
        <v/>
      </c>
      <c r="BZ459" s="23">
        <f t="shared" si="2543"/>
        <v>0</v>
      </c>
      <c r="CA459" s="49" t="str">
        <f t="shared" si="2506"/>
        <v/>
      </c>
      <c r="CB459" s="52" t="str">
        <f t="shared" si="2544"/>
        <v/>
      </c>
      <c r="CC459" s="23">
        <f t="shared" si="2545"/>
        <v>0</v>
      </c>
      <c r="CD459" s="49" t="str">
        <f t="shared" si="2507"/>
        <v/>
      </c>
      <c r="CE459" s="56" t="str">
        <f>IF(CF459="","",MAX(CE$10:$CE458)+1)</f>
        <v/>
      </c>
      <c r="CF459" t="str">
        <f t="shared" si="2546"/>
        <v/>
      </c>
      <c r="CG459" s="22" t="str">
        <f>IF(CH459="","",MAX($CG$10:CG458)+1)</f>
        <v/>
      </c>
      <c r="CH459" s="22" t="str">
        <f t="shared" si="2491"/>
        <v/>
      </c>
      <c r="CI459" s="22" t="str">
        <f>IF(CJ459="","",MAX($CI$10:CI458)+1)</f>
        <v/>
      </c>
      <c r="CJ459" s="22" t="str">
        <f t="shared" si="2492"/>
        <v/>
      </c>
    </row>
    <row r="460" spans="2:88" x14ac:dyDescent="0.25">
      <c r="B460" s="37"/>
      <c r="C460" s="3"/>
      <c r="D460" s="77" t="str">
        <f t="shared" ref="D460:D523" si="2913">IF(B460="","",IF(ISERROR(VLOOKUP(C460,T_CompVentas,2,FALSE)),"",VLOOKUP(C460,T_CompVentas,2,FALSE)))</f>
        <v/>
      </c>
      <c r="E460" s="38"/>
      <c r="F460" s="38"/>
      <c r="G460" s="78">
        <f t="shared" si="2493"/>
        <v>0</v>
      </c>
      <c r="H460" s="3">
        <v>80</v>
      </c>
      <c r="I460" s="77" t="str">
        <f t="shared" ref="I460:I523" si="2914">IF(B460="","",IF(H460="","",IF(ISERROR(VLOOKUP(H460,T_Documentos,2,FALSE)),"",VLOOKUP(H460,T_Documentos,2,FALSE))))</f>
        <v/>
      </c>
      <c r="J460" s="32"/>
      <c r="K460" s="3"/>
      <c r="L460" s="39"/>
      <c r="M460" s="39"/>
      <c r="N460" s="39"/>
      <c r="O460" s="39"/>
      <c r="P460" s="39"/>
      <c r="Q460" s="39"/>
      <c r="R460" s="39"/>
      <c r="S460" s="39"/>
      <c r="T460" s="3" t="s">
        <v>645</v>
      </c>
      <c r="U460" s="77" t="str">
        <f t="shared" ref="U460:U523" si="2915">IF(B460="","",IF(ISERROR(VLOOKUP(T460,T_Monedas,2,FALSE)),"",VLOOKUP(T460,T_Monedas,2,FALSE)))</f>
        <v/>
      </c>
      <c r="V460" s="39">
        <v>1</v>
      </c>
      <c r="W460" s="79">
        <f t="shared" si="2494"/>
        <v>0</v>
      </c>
      <c r="X460" s="3">
        <v>0</v>
      </c>
      <c r="Y460" s="77" t="str">
        <f t="shared" ref="Y460:Y523" si="2916">IF(B460="","",IF(ISERROR(VLOOKUP(X460,T_CodOperVentas,2,FALSE)),"",VLOOKUP(X460,T_CodOperVentas,2,FALSE)))</f>
        <v/>
      </c>
      <c r="Z460" s="3"/>
      <c r="AA460" s="37" t="str">
        <f t="shared" si="2495"/>
        <v/>
      </c>
      <c r="AC460" s="40"/>
      <c r="AD460" s="7"/>
      <c r="AE460" s="77" t="str">
        <f t="shared" ref="AE460:AE523" si="2917">IF(B460="","",IF(AD460="","",IF(ISERROR(VLOOKUP(AD460,T_Alicuotas,2,FALSE)),"",VLOOKUP(AD460,T_Alicuotas,2,FALSE))))</f>
        <v/>
      </c>
      <c r="AF460" s="81">
        <f t="shared" si="2508"/>
        <v>0</v>
      </c>
      <c r="AG460" s="40"/>
      <c r="AH460" s="7"/>
      <c r="AI460" s="77" t="str">
        <f t="shared" ref="AI460:AI523" si="2918">IF(B460="","",IF(AH460="","",IF(ISERROR(VLOOKUP(AH460,T_Alicuotas,2,FALSE)),"",VLOOKUP(AH460,T_Alicuotas,2,FALSE))))</f>
        <v/>
      </c>
      <c r="AJ460" s="81">
        <f t="shared" si="2509"/>
        <v>0</v>
      </c>
      <c r="AK460" s="83">
        <f t="shared" si="2510"/>
        <v>0</v>
      </c>
      <c r="AL460" s="83">
        <f t="shared" si="2511"/>
        <v>0</v>
      </c>
      <c r="AN460" s="43">
        <f t="shared" ref="AN460:AN523" si="2919">+L460-M460-N460-O460-P460-Q460-R460-S460-AC460-AF460-AG460-AJ460</f>
        <v>0</v>
      </c>
      <c r="AP460" t="str">
        <f t="shared" si="2512"/>
        <v/>
      </c>
      <c r="AQ460" t="str">
        <f t="shared" si="2513"/>
        <v/>
      </c>
      <c r="AR460" t="str">
        <f t="shared" si="2514"/>
        <v/>
      </c>
      <c r="AS460" t="str">
        <f t="shared" si="2515"/>
        <v/>
      </c>
      <c r="AT460" t="str">
        <f t="shared" si="2516"/>
        <v/>
      </c>
      <c r="AU460" t="str">
        <f t="shared" si="2517"/>
        <v/>
      </c>
      <c r="AV460" t="str">
        <f t="shared" si="2518"/>
        <v/>
      </c>
      <c r="AW460" t="str">
        <f t="shared" si="2519"/>
        <v xml:space="preserve">                              </v>
      </c>
      <c r="AX460" s="23">
        <f t="shared" si="2520"/>
        <v>0</v>
      </c>
      <c r="AY460" s="49" t="str">
        <f t="shared" si="2496"/>
        <v>000000000000000</v>
      </c>
      <c r="AZ460" s="23">
        <f t="shared" si="2521"/>
        <v>0</v>
      </c>
      <c r="BA460" s="49" t="str">
        <f t="shared" si="2496"/>
        <v>000000000000000</v>
      </c>
      <c r="BB460" s="23">
        <f t="shared" si="2522"/>
        <v>0</v>
      </c>
      <c r="BC460" s="49" t="str">
        <f t="shared" ref="BC460" si="2920">IF(BB460&lt;0,SUBSTITUTE(TEXT(BB460,"000000000000,00"),",",""),SUBSTITUTE(TEXT(BB460,"0000000000000,00"),",",""))</f>
        <v>000000000000000</v>
      </c>
      <c r="BD460" s="23">
        <f t="shared" si="2524"/>
        <v>0</v>
      </c>
      <c r="BE460" s="49" t="str">
        <f t="shared" ref="BE460" si="2921">IF(BD460&lt;0,SUBSTITUTE(TEXT(BD460,"000000000000,00"),",",""),SUBSTITUTE(TEXT(BD460,"0000000000000,00"),",",""))</f>
        <v>000000000000000</v>
      </c>
      <c r="BF460" s="23">
        <f t="shared" si="2526"/>
        <v>0</v>
      </c>
      <c r="BG460" s="49" t="str">
        <f t="shared" ref="BG460" si="2922">IF(BF460&lt;0,SUBSTITUTE(TEXT(BF460,"000000000000,00"),",",""),SUBSTITUTE(TEXT(BF460,"0000000000000,00"),",",""))</f>
        <v>000000000000000</v>
      </c>
      <c r="BH460" s="23">
        <f t="shared" si="2528"/>
        <v>0</v>
      </c>
      <c r="BI460" s="49" t="str">
        <f t="shared" ref="BI460" si="2923">IF(BH460&lt;0,SUBSTITUTE(TEXT(BH460,"000000000000,00"),",",""),SUBSTITUTE(TEXT(BH460,"0000000000000,00"),",",""))</f>
        <v>000000000000000</v>
      </c>
      <c r="BJ460" s="23">
        <f t="shared" si="2530"/>
        <v>0</v>
      </c>
      <c r="BK460" s="49" t="str">
        <f t="shared" ref="BK460" si="2924">IF(BJ460&lt;0,SUBSTITUTE(TEXT(BJ460,"000000000000,00"),",",""),SUBSTITUTE(TEXT(BJ460,"0000000000000,00"),",",""))</f>
        <v>000000000000000</v>
      </c>
      <c r="BL460" s="23">
        <f t="shared" si="2532"/>
        <v>0</v>
      </c>
      <c r="BM460" s="49" t="str">
        <f t="shared" ref="BM460" si="2925">IF(BL460&lt;0,SUBSTITUTE(TEXT(BL460,"000000000000,00"),",",""),SUBSTITUTE(TEXT(BL460,"0000000000000,00"),",",""))</f>
        <v>000000000000000</v>
      </c>
      <c r="BN460" t="str">
        <f t="shared" si="2534"/>
        <v>PES</v>
      </c>
      <c r="BO460" t="str">
        <f t="shared" si="2535"/>
        <v>0001000000</v>
      </c>
      <c r="BP460">
        <f t="shared" si="2536"/>
        <v>0</v>
      </c>
      <c r="BQ460">
        <f t="shared" si="2537"/>
        <v>0</v>
      </c>
      <c r="BR460" s="23">
        <f t="shared" si="2538"/>
        <v>0</v>
      </c>
      <c r="BS460" s="49" t="str">
        <f t="shared" si="2503"/>
        <v>000000000000000</v>
      </c>
      <c r="BT460" t="str">
        <f t="shared" si="2539"/>
        <v>00000000</v>
      </c>
      <c r="BU460" s="23">
        <f t="shared" si="2540"/>
        <v>0</v>
      </c>
      <c r="BV460" s="49" t="str">
        <f t="shared" si="2504"/>
        <v/>
      </c>
      <c r="BW460" s="52" t="str">
        <f t="shared" si="2541"/>
        <v/>
      </c>
      <c r="BX460" s="23">
        <f t="shared" si="2542"/>
        <v>0</v>
      </c>
      <c r="BY460" s="49" t="str">
        <f t="shared" si="2505"/>
        <v/>
      </c>
      <c r="BZ460" s="23">
        <f t="shared" si="2543"/>
        <v>0</v>
      </c>
      <c r="CA460" s="49" t="str">
        <f t="shared" si="2506"/>
        <v/>
      </c>
      <c r="CB460" s="52" t="str">
        <f t="shared" si="2544"/>
        <v/>
      </c>
      <c r="CC460" s="23">
        <f t="shared" si="2545"/>
        <v>0</v>
      </c>
      <c r="CD460" s="49" t="str">
        <f t="shared" si="2507"/>
        <v/>
      </c>
      <c r="CE460" s="56" t="str">
        <f>IF(CF460="","",MAX(CE$10:$CE459)+1)</f>
        <v/>
      </c>
      <c r="CF460" t="str">
        <f t="shared" si="2546"/>
        <v/>
      </c>
      <c r="CG460" s="22" t="str">
        <f>IF(CH460="","",MAX($CG$10:CG459)+1)</f>
        <v/>
      </c>
      <c r="CH460" s="22" t="str">
        <f t="shared" ref="CH460:CH523" si="2926">IF(BV460="","",AQ460&amp;AR460&amp;AS460&amp;BV460&amp;BW460&amp;BY460)</f>
        <v/>
      </c>
      <c r="CI460" s="22" t="str">
        <f>IF(CJ460="","",MAX($CI$10:CI459)+1)</f>
        <v/>
      </c>
      <c r="CJ460" s="22" t="str">
        <f t="shared" ref="CJ460:CJ523" si="2927">IF(CA460="","",AQ460&amp;AR460&amp;AS460&amp;CA460&amp;CB460&amp;CD460)</f>
        <v/>
      </c>
    </row>
    <row r="461" spans="2:88" x14ac:dyDescent="0.25">
      <c r="B461" s="37"/>
      <c r="C461" s="3"/>
      <c r="D461" s="77" t="str">
        <f t="shared" si="2913"/>
        <v/>
      </c>
      <c r="E461" s="38"/>
      <c r="F461" s="38"/>
      <c r="G461" s="78">
        <f t="shared" ref="G461:G524" si="2928">+F461</f>
        <v>0</v>
      </c>
      <c r="H461" s="3">
        <v>80</v>
      </c>
      <c r="I461" s="77" t="str">
        <f t="shared" si="2914"/>
        <v/>
      </c>
      <c r="J461" s="32"/>
      <c r="K461" s="3"/>
      <c r="L461" s="39"/>
      <c r="M461" s="39"/>
      <c r="N461" s="39"/>
      <c r="O461" s="39"/>
      <c r="P461" s="39"/>
      <c r="Q461" s="39"/>
      <c r="R461" s="39"/>
      <c r="S461" s="39"/>
      <c r="T461" s="3" t="s">
        <v>645</v>
      </c>
      <c r="U461" s="77" t="str">
        <f t="shared" si="2915"/>
        <v/>
      </c>
      <c r="V461" s="39">
        <v>1</v>
      </c>
      <c r="W461" s="79">
        <f t="shared" ref="W461:W524" si="2929">IF(AD461="",0,1)+IF(OR(AH461=""),0,1)</f>
        <v>0</v>
      </c>
      <c r="X461" s="3">
        <v>0</v>
      </c>
      <c r="Y461" s="77" t="str">
        <f t="shared" si="2916"/>
        <v/>
      </c>
      <c r="Z461" s="3"/>
      <c r="AA461" s="37" t="str">
        <f t="shared" ref="AA461:AA524" si="2930">IF(OR(B461="",C461=82),"",B461)</f>
        <v/>
      </c>
      <c r="AC461" s="40"/>
      <c r="AD461" s="7"/>
      <c r="AE461" s="77" t="str">
        <f t="shared" si="2917"/>
        <v/>
      </c>
      <c r="AF461" s="81">
        <f t="shared" si="2508"/>
        <v>0</v>
      </c>
      <c r="AG461" s="40"/>
      <c r="AH461" s="7"/>
      <c r="AI461" s="77" t="str">
        <f t="shared" si="2918"/>
        <v/>
      </c>
      <c r="AJ461" s="81">
        <f t="shared" si="2509"/>
        <v>0</v>
      </c>
      <c r="AK461" s="83">
        <f t="shared" si="2510"/>
        <v>0</v>
      </c>
      <c r="AL461" s="83">
        <f t="shared" si="2511"/>
        <v>0</v>
      </c>
      <c r="AN461" s="43">
        <f t="shared" si="2919"/>
        <v>0</v>
      </c>
      <c r="AP461" t="str">
        <f t="shared" si="2512"/>
        <v/>
      </c>
      <c r="AQ461" t="str">
        <f t="shared" si="2513"/>
        <v/>
      </c>
      <c r="AR461" t="str">
        <f t="shared" si="2514"/>
        <v/>
      </c>
      <c r="AS461" t="str">
        <f t="shared" si="2515"/>
        <v/>
      </c>
      <c r="AT461" t="str">
        <f t="shared" si="2516"/>
        <v/>
      </c>
      <c r="AU461" t="str">
        <f t="shared" si="2517"/>
        <v/>
      </c>
      <c r="AV461" t="str">
        <f t="shared" si="2518"/>
        <v/>
      </c>
      <c r="AW461" t="str">
        <f t="shared" si="2519"/>
        <v xml:space="preserve">                              </v>
      </c>
      <c r="AX461" s="23">
        <f t="shared" si="2520"/>
        <v>0</v>
      </c>
      <c r="AY461" s="49" t="str">
        <f t="shared" ref="AY461:BA524" si="2931">IF(AX461&lt;0,SUBSTITUTE(TEXT(AX461,"000000000000,00"),",",""),SUBSTITUTE(TEXT(AX461,"0000000000000,00"),",",""))</f>
        <v>000000000000000</v>
      </c>
      <c r="AZ461" s="23">
        <f t="shared" si="2521"/>
        <v>0</v>
      </c>
      <c r="BA461" s="49" t="str">
        <f t="shared" si="2931"/>
        <v>000000000000000</v>
      </c>
      <c r="BB461" s="23">
        <f t="shared" si="2522"/>
        <v>0</v>
      </c>
      <c r="BC461" s="49" t="str">
        <f t="shared" ref="BC461" si="2932">IF(BB461&lt;0,SUBSTITUTE(TEXT(BB461,"000000000000,00"),",",""),SUBSTITUTE(TEXT(BB461,"0000000000000,00"),",",""))</f>
        <v>000000000000000</v>
      </c>
      <c r="BD461" s="23">
        <f t="shared" si="2524"/>
        <v>0</v>
      </c>
      <c r="BE461" s="49" t="str">
        <f t="shared" ref="BE461" si="2933">IF(BD461&lt;0,SUBSTITUTE(TEXT(BD461,"000000000000,00"),",",""),SUBSTITUTE(TEXT(BD461,"0000000000000,00"),",",""))</f>
        <v>000000000000000</v>
      </c>
      <c r="BF461" s="23">
        <f t="shared" si="2526"/>
        <v>0</v>
      </c>
      <c r="BG461" s="49" t="str">
        <f t="shared" ref="BG461" si="2934">IF(BF461&lt;0,SUBSTITUTE(TEXT(BF461,"000000000000,00"),",",""),SUBSTITUTE(TEXT(BF461,"0000000000000,00"),",",""))</f>
        <v>000000000000000</v>
      </c>
      <c r="BH461" s="23">
        <f t="shared" si="2528"/>
        <v>0</v>
      </c>
      <c r="BI461" s="49" t="str">
        <f t="shared" ref="BI461" si="2935">IF(BH461&lt;0,SUBSTITUTE(TEXT(BH461,"000000000000,00"),",",""),SUBSTITUTE(TEXT(BH461,"0000000000000,00"),",",""))</f>
        <v>000000000000000</v>
      </c>
      <c r="BJ461" s="23">
        <f t="shared" si="2530"/>
        <v>0</v>
      </c>
      <c r="BK461" s="49" t="str">
        <f t="shared" ref="BK461" si="2936">IF(BJ461&lt;0,SUBSTITUTE(TEXT(BJ461,"000000000000,00"),",",""),SUBSTITUTE(TEXT(BJ461,"0000000000000,00"),",",""))</f>
        <v>000000000000000</v>
      </c>
      <c r="BL461" s="23">
        <f t="shared" si="2532"/>
        <v>0</v>
      </c>
      <c r="BM461" s="49" t="str">
        <f t="shared" ref="BM461" si="2937">IF(BL461&lt;0,SUBSTITUTE(TEXT(BL461,"000000000000,00"),",",""),SUBSTITUTE(TEXT(BL461,"0000000000000,00"),",",""))</f>
        <v>000000000000000</v>
      </c>
      <c r="BN461" t="str">
        <f t="shared" si="2534"/>
        <v>PES</v>
      </c>
      <c r="BO461" t="str">
        <f t="shared" si="2535"/>
        <v>0001000000</v>
      </c>
      <c r="BP461">
        <f t="shared" si="2536"/>
        <v>0</v>
      </c>
      <c r="BQ461">
        <f t="shared" si="2537"/>
        <v>0</v>
      </c>
      <c r="BR461" s="23">
        <f t="shared" si="2538"/>
        <v>0</v>
      </c>
      <c r="BS461" s="49" t="str">
        <f t="shared" ref="BS461:BS524" si="2938">IF(BR461&lt;0,SUBSTITUTE(TEXT(BR461,"000000000000,00"),",",""),SUBSTITUTE(TEXT(BR461,"0000000000000,00"),",",""))</f>
        <v>000000000000000</v>
      </c>
      <c r="BT461" t="str">
        <f t="shared" si="2539"/>
        <v>00000000</v>
      </c>
      <c r="BU461" s="23">
        <f t="shared" si="2540"/>
        <v>0</v>
      </c>
      <c r="BV461" s="49" t="str">
        <f t="shared" ref="BV461:BV524" si="2939">IF(BW461="","",IF(BU461&lt;0,SUBSTITUTE(TEXT(BU461,"000000000000,00"),",",""),SUBSTITUTE(TEXT(BU461,"0000000000000,00"),",","")))</f>
        <v/>
      </c>
      <c r="BW461" s="52" t="str">
        <f t="shared" si="2541"/>
        <v/>
      </c>
      <c r="BX461" s="23">
        <f t="shared" si="2542"/>
        <v>0</v>
      </c>
      <c r="BY461" s="49" t="str">
        <f t="shared" ref="BY461:BY524" si="2940">IF(BW461="","",IF(BX461&lt;0,SUBSTITUTE(TEXT(BX461,"000000000000,00"),",",""),SUBSTITUTE(TEXT(BX461,"0000000000000,00"),",","")))</f>
        <v/>
      </c>
      <c r="BZ461" s="23">
        <f t="shared" si="2543"/>
        <v>0</v>
      </c>
      <c r="CA461" s="49" t="str">
        <f t="shared" ref="CA461:CA524" si="2941">IF(CB461="","",IF(BZ461&lt;0,SUBSTITUTE(TEXT(BZ461,"000000000000,00"),",",""),SUBSTITUTE(TEXT(BZ461,"0000000000000,00"),",","")))</f>
        <v/>
      </c>
      <c r="CB461" s="52" t="str">
        <f t="shared" si="2544"/>
        <v/>
      </c>
      <c r="CC461" s="23">
        <f t="shared" si="2545"/>
        <v>0</v>
      </c>
      <c r="CD461" s="49" t="str">
        <f t="shared" ref="CD461:CD524" si="2942">IF(CB461="","",IF(CC461&lt;0,SUBSTITUTE(TEXT(CC461,"000000000000,00"),",",""),SUBSTITUTE(TEXT(CC461,"0000000000000,00"),",","")))</f>
        <v/>
      </c>
      <c r="CE461" s="56" t="str">
        <f>IF(CF461="","",MAX(CE$10:$CE460)+1)</f>
        <v/>
      </c>
      <c r="CF461" t="str">
        <f t="shared" si="2546"/>
        <v/>
      </c>
      <c r="CG461" s="22" t="str">
        <f>IF(CH461="","",MAX($CG$10:CG460)+1)</f>
        <v/>
      </c>
      <c r="CH461" s="22" t="str">
        <f t="shared" si="2926"/>
        <v/>
      </c>
      <c r="CI461" s="22" t="str">
        <f>IF(CJ461="","",MAX($CI$10:CI460)+1)</f>
        <v/>
      </c>
      <c r="CJ461" s="22" t="str">
        <f t="shared" si="2927"/>
        <v/>
      </c>
    </row>
    <row r="462" spans="2:88" x14ac:dyDescent="0.25">
      <c r="B462" s="37"/>
      <c r="C462" s="3"/>
      <c r="D462" s="77" t="str">
        <f t="shared" si="2913"/>
        <v/>
      </c>
      <c r="E462" s="38"/>
      <c r="F462" s="38"/>
      <c r="G462" s="78">
        <f t="shared" si="2928"/>
        <v>0</v>
      </c>
      <c r="H462" s="3">
        <v>80</v>
      </c>
      <c r="I462" s="77" t="str">
        <f t="shared" si="2914"/>
        <v/>
      </c>
      <c r="J462" s="32"/>
      <c r="K462" s="3"/>
      <c r="L462" s="39"/>
      <c r="M462" s="39"/>
      <c r="N462" s="39"/>
      <c r="O462" s="39"/>
      <c r="P462" s="39"/>
      <c r="Q462" s="39"/>
      <c r="R462" s="39"/>
      <c r="S462" s="39"/>
      <c r="T462" s="3" t="s">
        <v>645</v>
      </c>
      <c r="U462" s="77" t="str">
        <f t="shared" si="2915"/>
        <v/>
      </c>
      <c r="V462" s="39">
        <v>1</v>
      </c>
      <c r="W462" s="79">
        <f t="shared" si="2929"/>
        <v>0</v>
      </c>
      <c r="X462" s="3">
        <v>0</v>
      </c>
      <c r="Y462" s="77" t="str">
        <f t="shared" si="2916"/>
        <v/>
      </c>
      <c r="Z462" s="3"/>
      <c r="AA462" s="37" t="str">
        <f t="shared" si="2930"/>
        <v/>
      </c>
      <c r="AC462" s="40"/>
      <c r="AD462" s="7"/>
      <c r="AE462" s="77" t="str">
        <f t="shared" si="2917"/>
        <v/>
      </c>
      <c r="AF462" s="81">
        <f t="shared" ref="AF462:AF525" si="2943">ROUND(AC462*AD462/100,2)</f>
        <v>0</v>
      </c>
      <c r="AG462" s="40"/>
      <c r="AH462" s="7"/>
      <c r="AI462" s="77" t="str">
        <f t="shared" si="2918"/>
        <v/>
      </c>
      <c r="AJ462" s="81">
        <f t="shared" ref="AJ462:AJ525" si="2944">ROUND(AG462*AH462/100,2)</f>
        <v>0</v>
      </c>
      <c r="AK462" s="83">
        <f t="shared" ref="AK462:AK525" si="2945">+AC462+AG462</f>
        <v>0</v>
      </c>
      <c r="AL462" s="83">
        <f t="shared" ref="AL462:AL525" si="2946">+AF462+AJ462</f>
        <v>0</v>
      </c>
      <c r="AN462" s="43">
        <f t="shared" si="2919"/>
        <v>0</v>
      </c>
      <c r="AP462" t="str">
        <f t="shared" ref="AP462:AP525" si="2947">IF(B462="","",TEXT(B462,$AP$8))</f>
        <v/>
      </c>
      <c r="AQ462" t="str">
        <f t="shared" ref="AQ462:AQ525" si="2948">IF(B462="","",IF(C462="","",TEXT(C462,"000")))</f>
        <v/>
      </c>
      <c r="AR462" t="str">
        <f t="shared" ref="AR462:AR525" si="2949">IF(B462="","",IF(E462="","00000",TEXT(RIGHT(E462,5),"00000")))</f>
        <v/>
      </c>
      <c r="AS462" t="str">
        <f t="shared" ref="AS462:AS525" si="2950">IF(B462="","",IF(F462="","00000000000000000000",TEXT(RIGHT(F462,20),"00000000000000000000")))</f>
        <v/>
      </c>
      <c r="AT462" t="str">
        <f t="shared" ref="AT462:AT525" si="2951">IF(B462="","",IF(G462="","00000000000000000000",TEXT(RIGHT(G462,20),"00000000000000000000")))</f>
        <v/>
      </c>
      <c r="AU462" t="str">
        <f t="shared" ref="AU462:AU525" si="2952">IF(B462="","",IF(C462="","",TEXT(RIGHT(H462,4),"00")))</f>
        <v/>
      </c>
      <c r="AV462" t="str">
        <f t="shared" ref="AV462:AV525" si="2953">IF(B462="","",TEXT(SUBSTITUTE(J462,"-",""),"00000000000000000000"))</f>
        <v/>
      </c>
      <c r="AW462" t="str">
        <f t="shared" ref="AW462:AW525" si="2954">IF(LEN(K462)&gt;30,LEFT(K462,30),K462&amp;REPT(" ",30-LEN(K462)))</f>
        <v xml:space="preserve">                              </v>
      </c>
      <c r="AX462" s="23">
        <f t="shared" ref="AX462:AX525" si="2955">IF(TRIM(L462)="",0,TRUNC(L462,2))</f>
        <v>0</v>
      </c>
      <c r="AY462" s="49" t="str">
        <f t="shared" si="2931"/>
        <v>000000000000000</v>
      </c>
      <c r="AZ462" s="23">
        <f t="shared" ref="AZ462:AZ525" si="2956">IF(TRIM(M462)="",0,TRUNC(M462,2))</f>
        <v>0</v>
      </c>
      <c r="BA462" s="49" t="str">
        <f t="shared" si="2931"/>
        <v>000000000000000</v>
      </c>
      <c r="BB462" s="23">
        <f t="shared" ref="BB462:BB525" si="2957">IF(TRIM(N462)="",0,TRUNC(N462,2))</f>
        <v>0</v>
      </c>
      <c r="BC462" s="49" t="str">
        <f t="shared" ref="BC462" si="2958">IF(BB462&lt;0,SUBSTITUTE(TEXT(BB462,"000000000000,00"),",",""),SUBSTITUTE(TEXT(BB462,"0000000000000,00"),",",""))</f>
        <v>000000000000000</v>
      </c>
      <c r="BD462" s="23">
        <f t="shared" ref="BD462:BD525" si="2959">IF(TRIM(O462)="",0,TRUNC(O462,2))</f>
        <v>0</v>
      </c>
      <c r="BE462" s="49" t="str">
        <f t="shared" ref="BE462" si="2960">IF(BD462&lt;0,SUBSTITUTE(TEXT(BD462,"000000000000,00"),",",""),SUBSTITUTE(TEXT(BD462,"0000000000000,00"),",",""))</f>
        <v>000000000000000</v>
      </c>
      <c r="BF462" s="23">
        <f t="shared" ref="BF462:BF525" si="2961">IF(TRIM(P462)="",0,TRUNC(P462,2))</f>
        <v>0</v>
      </c>
      <c r="BG462" s="49" t="str">
        <f t="shared" ref="BG462" si="2962">IF(BF462&lt;0,SUBSTITUTE(TEXT(BF462,"000000000000,00"),",",""),SUBSTITUTE(TEXT(BF462,"0000000000000,00"),",",""))</f>
        <v>000000000000000</v>
      </c>
      <c r="BH462" s="23">
        <f t="shared" ref="BH462:BH525" si="2963">IF(TRIM(Q462)="",0,TRUNC(Q462,2))</f>
        <v>0</v>
      </c>
      <c r="BI462" s="49" t="str">
        <f t="shared" ref="BI462" si="2964">IF(BH462&lt;0,SUBSTITUTE(TEXT(BH462,"000000000000,00"),",",""),SUBSTITUTE(TEXT(BH462,"0000000000000,00"),",",""))</f>
        <v>000000000000000</v>
      </c>
      <c r="BJ462" s="23">
        <f t="shared" ref="BJ462:BJ525" si="2965">IF(TRIM(R462)="",0,TRUNC(R462,2))</f>
        <v>0</v>
      </c>
      <c r="BK462" s="49" t="str">
        <f t="shared" ref="BK462" si="2966">IF(BJ462&lt;0,SUBSTITUTE(TEXT(BJ462,"000000000000,00"),",",""),SUBSTITUTE(TEXT(BJ462,"0000000000000,00"),",",""))</f>
        <v>000000000000000</v>
      </c>
      <c r="BL462" s="23">
        <f t="shared" ref="BL462:BL525" si="2967">IF(TRIM(S462)="",0,TRUNC(S462,2))</f>
        <v>0</v>
      </c>
      <c r="BM462" s="49" t="str">
        <f t="shared" ref="BM462" si="2968">IF(BL462&lt;0,SUBSTITUTE(TEXT(BL462,"000000000000,00"),",",""),SUBSTITUTE(TEXT(BL462,"0000000000000,00"),",",""))</f>
        <v>000000000000000</v>
      </c>
      <c r="BN462" t="str">
        <f t="shared" ref="BN462:BN525" si="2969">TEXT(T462,"000")</f>
        <v>PES</v>
      </c>
      <c r="BO462" t="str">
        <f t="shared" ref="BO462:BO525" si="2970">IF(V462&lt;0,SUBSTITUTE(TEXT(V462,"000,000000"),",",""),SUBSTITUTE(TEXT(V462,"0000,000000"),",",""))</f>
        <v>0001000000</v>
      </c>
      <c r="BP462">
        <f t="shared" ref="BP462:BP525" si="2971">W462</f>
        <v>0</v>
      </c>
      <c r="BQ462">
        <f t="shared" ref="BQ462:BQ525" si="2972">X462</f>
        <v>0</v>
      </c>
      <c r="BR462" s="23">
        <f t="shared" ref="BR462:BR525" si="2973">IF(TRIM(Z462)="",0,TRUNC(Z462,2))</f>
        <v>0</v>
      </c>
      <c r="BS462" s="49" t="str">
        <f t="shared" si="2938"/>
        <v>000000000000000</v>
      </c>
      <c r="BT462" t="str">
        <f t="shared" ref="BT462:BT525" si="2974">IF(AA462="","00000000",TEXT(AA462,$AP$8))</f>
        <v>00000000</v>
      </c>
      <c r="BU462" s="23">
        <f t="shared" ref="BU462:BU525" si="2975">IF(TRIM(AC462)="",0,TRUNC(AC462,2))</f>
        <v>0</v>
      </c>
      <c r="BV462" s="49" t="str">
        <f t="shared" si="2939"/>
        <v/>
      </c>
      <c r="BW462" s="52" t="str">
        <f t="shared" ref="BW462:BW525" si="2976">IF(AE462="","",TEXT(AE462,"0000"))</f>
        <v/>
      </c>
      <c r="BX462" s="23">
        <f t="shared" ref="BX462:BX525" si="2977">IF(TRIM(AF462)="",0,TRUNC(AF462,2))</f>
        <v>0</v>
      </c>
      <c r="BY462" s="49" t="str">
        <f t="shared" si="2940"/>
        <v/>
      </c>
      <c r="BZ462" s="23">
        <f t="shared" ref="BZ462:BZ525" si="2978">IF(TRIM(AG462)="",0,TRUNC(AG462,2))</f>
        <v>0</v>
      </c>
      <c r="CA462" s="49" t="str">
        <f t="shared" si="2941"/>
        <v/>
      </c>
      <c r="CB462" s="52" t="str">
        <f t="shared" ref="CB462:CB525" si="2979">IF(AI462="","",TEXT(AI462,"0000"))</f>
        <v/>
      </c>
      <c r="CC462" s="23">
        <f t="shared" ref="CC462:CC525" si="2980">IF(TRIM(AJ462)="",0,TRUNC(AJ462,2))</f>
        <v>0</v>
      </c>
      <c r="CD462" s="49" t="str">
        <f t="shared" si="2942"/>
        <v/>
      </c>
      <c r="CE462" s="56" t="str">
        <f>IF(CF462="","",MAX(CE$10:$CE461)+1)</f>
        <v/>
      </c>
      <c r="CF462" t="str">
        <f t="shared" ref="CF462:CF525" si="2981">IF(B462="","",AP462&amp;AQ462&amp;AR462&amp;AS462&amp;AT462&amp;AU462&amp;AV462&amp;AW462&amp;AY462&amp;BA462&amp;BC462&amp;BE462&amp;BG462&amp;BI462&amp;BK462&amp;BM462&amp;BN462&amp;BO462&amp;BP462&amp;BQ462&amp;BS462&amp;BT462)</f>
        <v/>
      </c>
      <c r="CG462" s="22" t="str">
        <f>IF(CH462="","",MAX($CG$10:CG461)+1)</f>
        <v/>
      </c>
      <c r="CH462" s="22" t="str">
        <f t="shared" si="2926"/>
        <v/>
      </c>
      <c r="CI462" s="22" t="str">
        <f>IF(CJ462="","",MAX($CI$10:CI461)+1)</f>
        <v/>
      </c>
      <c r="CJ462" s="22" t="str">
        <f t="shared" si="2927"/>
        <v/>
      </c>
    </row>
    <row r="463" spans="2:88" x14ac:dyDescent="0.25">
      <c r="B463" s="37"/>
      <c r="C463" s="3"/>
      <c r="D463" s="77" t="str">
        <f t="shared" si="2913"/>
        <v/>
      </c>
      <c r="E463" s="38"/>
      <c r="F463" s="38"/>
      <c r="G463" s="78">
        <f t="shared" si="2928"/>
        <v>0</v>
      </c>
      <c r="H463" s="3">
        <v>80</v>
      </c>
      <c r="I463" s="77" t="str">
        <f t="shared" si="2914"/>
        <v/>
      </c>
      <c r="J463" s="32"/>
      <c r="K463" s="3"/>
      <c r="L463" s="39"/>
      <c r="M463" s="39"/>
      <c r="N463" s="39"/>
      <c r="O463" s="39"/>
      <c r="P463" s="39"/>
      <c r="Q463" s="39"/>
      <c r="R463" s="39"/>
      <c r="S463" s="39"/>
      <c r="T463" s="3" t="s">
        <v>645</v>
      </c>
      <c r="U463" s="77" t="str">
        <f t="shared" si="2915"/>
        <v/>
      </c>
      <c r="V463" s="39">
        <v>1</v>
      </c>
      <c r="W463" s="79">
        <f t="shared" si="2929"/>
        <v>0</v>
      </c>
      <c r="X463" s="3">
        <v>0</v>
      </c>
      <c r="Y463" s="77" t="str">
        <f t="shared" si="2916"/>
        <v/>
      </c>
      <c r="Z463" s="3"/>
      <c r="AA463" s="37" t="str">
        <f t="shared" si="2930"/>
        <v/>
      </c>
      <c r="AC463" s="40"/>
      <c r="AD463" s="7"/>
      <c r="AE463" s="77" t="str">
        <f t="shared" si="2917"/>
        <v/>
      </c>
      <c r="AF463" s="81">
        <f t="shared" si="2943"/>
        <v>0</v>
      </c>
      <c r="AG463" s="40"/>
      <c r="AH463" s="7"/>
      <c r="AI463" s="77" t="str">
        <f t="shared" si="2918"/>
        <v/>
      </c>
      <c r="AJ463" s="81">
        <f t="shared" si="2944"/>
        <v>0</v>
      </c>
      <c r="AK463" s="83">
        <f t="shared" si="2945"/>
        <v>0</v>
      </c>
      <c r="AL463" s="83">
        <f t="shared" si="2946"/>
        <v>0</v>
      </c>
      <c r="AN463" s="43">
        <f t="shared" si="2919"/>
        <v>0</v>
      </c>
      <c r="AP463" t="str">
        <f t="shared" si="2947"/>
        <v/>
      </c>
      <c r="AQ463" t="str">
        <f t="shared" si="2948"/>
        <v/>
      </c>
      <c r="AR463" t="str">
        <f t="shared" si="2949"/>
        <v/>
      </c>
      <c r="AS463" t="str">
        <f t="shared" si="2950"/>
        <v/>
      </c>
      <c r="AT463" t="str">
        <f t="shared" si="2951"/>
        <v/>
      </c>
      <c r="AU463" t="str">
        <f t="shared" si="2952"/>
        <v/>
      </c>
      <c r="AV463" t="str">
        <f t="shared" si="2953"/>
        <v/>
      </c>
      <c r="AW463" t="str">
        <f t="shared" si="2954"/>
        <v xml:space="preserve">                              </v>
      </c>
      <c r="AX463" s="23">
        <f t="shared" si="2955"/>
        <v>0</v>
      </c>
      <c r="AY463" s="49" t="str">
        <f t="shared" si="2931"/>
        <v>000000000000000</v>
      </c>
      <c r="AZ463" s="23">
        <f t="shared" si="2956"/>
        <v>0</v>
      </c>
      <c r="BA463" s="49" t="str">
        <f t="shared" si="2931"/>
        <v>000000000000000</v>
      </c>
      <c r="BB463" s="23">
        <f t="shared" si="2957"/>
        <v>0</v>
      </c>
      <c r="BC463" s="49" t="str">
        <f t="shared" ref="BC463" si="2982">IF(BB463&lt;0,SUBSTITUTE(TEXT(BB463,"000000000000,00"),",",""),SUBSTITUTE(TEXT(BB463,"0000000000000,00"),",",""))</f>
        <v>000000000000000</v>
      </c>
      <c r="BD463" s="23">
        <f t="shared" si="2959"/>
        <v>0</v>
      </c>
      <c r="BE463" s="49" t="str">
        <f t="shared" ref="BE463" si="2983">IF(BD463&lt;0,SUBSTITUTE(TEXT(BD463,"000000000000,00"),",",""),SUBSTITUTE(TEXT(BD463,"0000000000000,00"),",",""))</f>
        <v>000000000000000</v>
      </c>
      <c r="BF463" s="23">
        <f t="shared" si="2961"/>
        <v>0</v>
      </c>
      <c r="BG463" s="49" t="str">
        <f t="shared" ref="BG463" si="2984">IF(BF463&lt;0,SUBSTITUTE(TEXT(BF463,"000000000000,00"),",",""),SUBSTITUTE(TEXT(BF463,"0000000000000,00"),",",""))</f>
        <v>000000000000000</v>
      </c>
      <c r="BH463" s="23">
        <f t="shared" si="2963"/>
        <v>0</v>
      </c>
      <c r="BI463" s="49" t="str">
        <f t="shared" ref="BI463" si="2985">IF(BH463&lt;0,SUBSTITUTE(TEXT(BH463,"000000000000,00"),",",""),SUBSTITUTE(TEXT(BH463,"0000000000000,00"),",",""))</f>
        <v>000000000000000</v>
      </c>
      <c r="BJ463" s="23">
        <f t="shared" si="2965"/>
        <v>0</v>
      </c>
      <c r="BK463" s="49" t="str">
        <f t="shared" ref="BK463" si="2986">IF(BJ463&lt;0,SUBSTITUTE(TEXT(BJ463,"000000000000,00"),",",""),SUBSTITUTE(TEXT(BJ463,"0000000000000,00"),",",""))</f>
        <v>000000000000000</v>
      </c>
      <c r="BL463" s="23">
        <f t="shared" si="2967"/>
        <v>0</v>
      </c>
      <c r="BM463" s="49" t="str">
        <f t="shared" ref="BM463" si="2987">IF(BL463&lt;0,SUBSTITUTE(TEXT(BL463,"000000000000,00"),",",""),SUBSTITUTE(TEXT(BL463,"0000000000000,00"),",",""))</f>
        <v>000000000000000</v>
      </c>
      <c r="BN463" t="str">
        <f t="shared" si="2969"/>
        <v>PES</v>
      </c>
      <c r="BO463" t="str">
        <f t="shared" si="2970"/>
        <v>0001000000</v>
      </c>
      <c r="BP463">
        <f t="shared" si="2971"/>
        <v>0</v>
      </c>
      <c r="BQ463">
        <f t="shared" si="2972"/>
        <v>0</v>
      </c>
      <c r="BR463" s="23">
        <f t="shared" si="2973"/>
        <v>0</v>
      </c>
      <c r="BS463" s="49" t="str">
        <f t="shared" si="2938"/>
        <v>000000000000000</v>
      </c>
      <c r="BT463" t="str">
        <f t="shared" si="2974"/>
        <v>00000000</v>
      </c>
      <c r="BU463" s="23">
        <f t="shared" si="2975"/>
        <v>0</v>
      </c>
      <c r="BV463" s="49" t="str">
        <f t="shared" si="2939"/>
        <v/>
      </c>
      <c r="BW463" s="52" t="str">
        <f t="shared" si="2976"/>
        <v/>
      </c>
      <c r="BX463" s="23">
        <f t="shared" si="2977"/>
        <v>0</v>
      </c>
      <c r="BY463" s="49" t="str">
        <f t="shared" si="2940"/>
        <v/>
      </c>
      <c r="BZ463" s="23">
        <f t="shared" si="2978"/>
        <v>0</v>
      </c>
      <c r="CA463" s="49" t="str">
        <f t="shared" si="2941"/>
        <v/>
      </c>
      <c r="CB463" s="52" t="str">
        <f t="shared" si="2979"/>
        <v/>
      </c>
      <c r="CC463" s="23">
        <f t="shared" si="2980"/>
        <v>0</v>
      </c>
      <c r="CD463" s="49" t="str">
        <f t="shared" si="2942"/>
        <v/>
      </c>
      <c r="CE463" s="56" t="str">
        <f>IF(CF463="","",MAX(CE$10:$CE462)+1)</f>
        <v/>
      </c>
      <c r="CF463" t="str">
        <f t="shared" si="2981"/>
        <v/>
      </c>
      <c r="CG463" s="22" t="str">
        <f>IF(CH463="","",MAX($CG$10:CG462)+1)</f>
        <v/>
      </c>
      <c r="CH463" s="22" t="str">
        <f t="shared" si="2926"/>
        <v/>
      </c>
      <c r="CI463" s="22" t="str">
        <f>IF(CJ463="","",MAX($CI$10:CI462)+1)</f>
        <v/>
      </c>
      <c r="CJ463" s="22" t="str">
        <f t="shared" si="2927"/>
        <v/>
      </c>
    </row>
    <row r="464" spans="2:88" x14ac:dyDescent="0.25">
      <c r="B464" s="37"/>
      <c r="C464" s="3"/>
      <c r="D464" s="77" t="str">
        <f t="shared" si="2913"/>
        <v/>
      </c>
      <c r="E464" s="38"/>
      <c r="F464" s="38"/>
      <c r="G464" s="78">
        <f t="shared" si="2928"/>
        <v>0</v>
      </c>
      <c r="H464" s="3">
        <v>80</v>
      </c>
      <c r="I464" s="77" t="str">
        <f t="shared" si="2914"/>
        <v/>
      </c>
      <c r="J464" s="32"/>
      <c r="K464" s="3"/>
      <c r="L464" s="39"/>
      <c r="M464" s="39"/>
      <c r="N464" s="39"/>
      <c r="O464" s="39"/>
      <c r="P464" s="39"/>
      <c r="Q464" s="39"/>
      <c r="R464" s="39"/>
      <c r="S464" s="39"/>
      <c r="T464" s="3" t="s">
        <v>645</v>
      </c>
      <c r="U464" s="77" t="str">
        <f t="shared" si="2915"/>
        <v/>
      </c>
      <c r="V464" s="39">
        <v>1</v>
      </c>
      <c r="W464" s="79">
        <f t="shared" si="2929"/>
        <v>0</v>
      </c>
      <c r="X464" s="3">
        <v>0</v>
      </c>
      <c r="Y464" s="77" t="str">
        <f t="shared" si="2916"/>
        <v/>
      </c>
      <c r="Z464" s="3"/>
      <c r="AA464" s="37" t="str">
        <f t="shared" si="2930"/>
        <v/>
      </c>
      <c r="AC464" s="40"/>
      <c r="AD464" s="7"/>
      <c r="AE464" s="77" t="str">
        <f t="shared" si="2917"/>
        <v/>
      </c>
      <c r="AF464" s="81">
        <f t="shared" si="2943"/>
        <v>0</v>
      </c>
      <c r="AG464" s="40"/>
      <c r="AH464" s="7"/>
      <c r="AI464" s="77" t="str">
        <f t="shared" si="2918"/>
        <v/>
      </c>
      <c r="AJ464" s="81">
        <f t="shared" si="2944"/>
        <v>0</v>
      </c>
      <c r="AK464" s="83">
        <f t="shared" si="2945"/>
        <v>0</v>
      </c>
      <c r="AL464" s="83">
        <f t="shared" si="2946"/>
        <v>0</v>
      </c>
      <c r="AN464" s="43">
        <f t="shared" si="2919"/>
        <v>0</v>
      </c>
      <c r="AP464" t="str">
        <f t="shared" si="2947"/>
        <v/>
      </c>
      <c r="AQ464" t="str">
        <f t="shared" si="2948"/>
        <v/>
      </c>
      <c r="AR464" t="str">
        <f t="shared" si="2949"/>
        <v/>
      </c>
      <c r="AS464" t="str">
        <f t="shared" si="2950"/>
        <v/>
      </c>
      <c r="AT464" t="str">
        <f t="shared" si="2951"/>
        <v/>
      </c>
      <c r="AU464" t="str">
        <f t="shared" si="2952"/>
        <v/>
      </c>
      <c r="AV464" t="str">
        <f t="shared" si="2953"/>
        <v/>
      </c>
      <c r="AW464" t="str">
        <f t="shared" si="2954"/>
        <v xml:space="preserve">                              </v>
      </c>
      <c r="AX464" s="23">
        <f t="shared" si="2955"/>
        <v>0</v>
      </c>
      <c r="AY464" s="49" t="str">
        <f t="shared" si="2931"/>
        <v>000000000000000</v>
      </c>
      <c r="AZ464" s="23">
        <f t="shared" si="2956"/>
        <v>0</v>
      </c>
      <c r="BA464" s="49" t="str">
        <f t="shared" si="2931"/>
        <v>000000000000000</v>
      </c>
      <c r="BB464" s="23">
        <f t="shared" si="2957"/>
        <v>0</v>
      </c>
      <c r="BC464" s="49" t="str">
        <f t="shared" ref="BC464" si="2988">IF(BB464&lt;0,SUBSTITUTE(TEXT(BB464,"000000000000,00"),",",""),SUBSTITUTE(TEXT(BB464,"0000000000000,00"),",",""))</f>
        <v>000000000000000</v>
      </c>
      <c r="BD464" s="23">
        <f t="shared" si="2959"/>
        <v>0</v>
      </c>
      <c r="BE464" s="49" t="str">
        <f t="shared" ref="BE464" si="2989">IF(BD464&lt;0,SUBSTITUTE(TEXT(BD464,"000000000000,00"),",",""),SUBSTITUTE(TEXT(BD464,"0000000000000,00"),",",""))</f>
        <v>000000000000000</v>
      </c>
      <c r="BF464" s="23">
        <f t="shared" si="2961"/>
        <v>0</v>
      </c>
      <c r="BG464" s="49" t="str">
        <f t="shared" ref="BG464" si="2990">IF(BF464&lt;0,SUBSTITUTE(TEXT(BF464,"000000000000,00"),",",""),SUBSTITUTE(TEXT(BF464,"0000000000000,00"),",",""))</f>
        <v>000000000000000</v>
      </c>
      <c r="BH464" s="23">
        <f t="shared" si="2963"/>
        <v>0</v>
      </c>
      <c r="BI464" s="49" t="str">
        <f t="shared" ref="BI464" si="2991">IF(BH464&lt;0,SUBSTITUTE(TEXT(BH464,"000000000000,00"),",",""),SUBSTITUTE(TEXT(BH464,"0000000000000,00"),",",""))</f>
        <v>000000000000000</v>
      </c>
      <c r="BJ464" s="23">
        <f t="shared" si="2965"/>
        <v>0</v>
      </c>
      <c r="BK464" s="49" t="str">
        <f t="shared" ref="BK464" si="2992">IF(BJ464&lt;0,SUBSTITUTE(TEXT(BJ464,"000000000000,00"),",",""),SUBSTITUTE(TEXT(BJ464,"0000000000000,00"),",",""))</f>
        <v>000000000000000</v>
      </c>
      <c r="BL464" s="23">
        <f t="shared" si="2967"/>
        <v>0</v>
      </c>
      <c r="BM464" s="49" t="str">
        <f t="shared" ref="BM464" si="2993">IF(BL464&lt;0,SUBSTITUTE(TEXT(BL464,"000000000000,00"),",",""),SUBSTITUTE(TEXT(BL464,"0000000000000,00"),",",""))</f>
        <v>000000000000000</v>
      </c>
      <c r="BN464" t="str">
        <f t="shared" si="2969"/>
        <v>PES</v>
      </c>
      <c r="BO464" t="str">
        <f t="shared" si="2970"/>
        <v>0001000000</v>
      </c>
      <c r="BP464">
        <f t="shared" si="2971"/>
        <v>0</v>
      </c>
      <c r="BQ464">
        <f t="shared" si="2972"/>
        <v>0</v>
      </c>
      <c r="BR464" s="23">
        <f t="shared" si="2973"/>
        <v>0</v>
      </c>
      <c r="BS464" s="49" t="str">
        <f t="shared" si="2938"/>
        <v>000000000000000</v>
      </c>
      <c r="BT464" t="str">
        <f t="shared" si="2974"/>
        <v>00000000</v>
      </c>
      <c r="BU464" s="23">
        <f t="shared" si="2975"/>
        <v>0</v>
      </c>
      <c r="BV464" s="49" t="str">
        <f t="shared" si="2939"/>
        <v/>
      </c>
      <c r="BW464" s="52" t="str">
        <f t="shared" si="2976"/>
        <v/>
      </c>
      <c r="BX464" s="23">
        <f t="shared" si="2977"/>
        <v>0</v>
      </c>
      <c r="BY464" s="49" t="str">
        <f t="shared" si="2940"/>
        <v/>
      </c>
      <c r="BZ464" s="23">
        <f t="shared" si="2978"/>
        <v>0</v>
      </c>
      <c r="CA464" s="49" t="str">
        <f t="shared" si="2941"/>
        <v/>
      </c>
      <c r="CB464" s="52" t="str">
        <f t="shared" si="2979"/>
        <v/>
      </c>
      <c r="CC464" s="23">
        <f t="shared" si="2980"/>
        <v>0</v>
      </c>
      <c r="CD464" s="49" t="str">
        <f t="shared" si="2942"/>
        <v/>
      </c>
      <c r="CE464" s="56" t="str">
        <f>IF(CF464="","",MAX(CE$10:$CE463)+1)</f>
        <v/>
      </c>
      <c r="CF464" t="str">
        <f t="shared" si="2981"/>
        <v/>
      </c>
      <c r="CG464" s="22" t="str">
        <f>IF(CH464="","",MAX($CG$10:CG463)+1)</f>
        <v/>
      </c>
      <c r="CH464" s="22" t="str">
        <f t="shared" si="2926"/>
        <v/>
      </c>
      <c r="CI464" s="22" t="str">
        <f>IF(CJ464="","",MAX($CI$10:CI463)+1)</f>
        <v/>
      </c>
      <c r="CJ464" s="22" t="str">
        <f t="shared" si="2927"/>
        <v/>
      </c>
    </row>
    <row r="465" spans="2:88" x14ac:dyDescent="0.25">
      <c r="B465" s="37"/>
      <c r="C465" s="3"/>
      <c r="D465" s="77" t="str">
        <f t="shared" si="2913"/>
        <v/>
      </c>
      <c r="E465" s="38"/>
      <c r="F465" s="38"/>
      <c r="G465" s="78">
        <f t="shared" si="2928"/>
        <v>0</v>
      </c>
      <c r="H465" s="3">
        <v>80</v>
      </c>
      <c r="I465" s="77" t="str">
        <f t="shared" si="2914"/>
        <v/>
      </c>
      <c r="J465" s="32"/>
      <c r="K465" s="3"/>
      <c r="L465" s="39"/>
      <c r="M465" s="39"/>
      <c r="N465" s="39"/>
      <c r="O465" s="39"/>
      <c r="P465" s="39"/>
      <c r="Q465" s="39"/>
      <c r="R465" s="39"/>
      <c r="S465" s="39"/>
      <c r="T465" s="3" t="s">
        <v>645</v>
      </c>
      <c r="U465" s="77" t="str">
        <f t="shared" si="2915"/>
        <v/>
      </c>
      <c r="V465" s="39">
        <v>1</v>
      </c>
      <c r="W465" s="79">
        <f t="shared" si="2929"/>
        <v>0</v>
      </c>
      <c r="X465" s="3">
        <v>0</v>
      </c>
      <c r="Y465" s="77" t="str">
        <f t="shared" si="2916"/>
        <v/>
      </c>
      <c r="Z465" s="3"/>
      <c r="AA465" s="37" t="str">
        <f t="shared" si="2930"/>
        <v/>
      </c>
      <c r="AC465" s="40"/>
      <c r="AD465" s="7"/>
      <c r="AE465" s="77" t="str">
        <f t="shared" si="2917"/>
        <v/>
      </c>
      <c r="AF465" s="81">
        <f t="shared" si="2943"/>
        <v>0</v>
      </c>
      <c r="AG465" s="40"/>
      <c r="AH465" s="7"/>
      <c r="AI465" s="77" t="str">
        <f t="shared" si="2918"/>
        <v/>
      </c>
      <c r="AJ465" s="81">
        <f t="shared" si="2944"/>
        <v>0</v>
      </c>
      <c r="AK465" s="83">
        <f t="shared" si="2945"/>
        <v>0</v>
      </c>
      <c r="AL465" s="83">
        <f t="shared" si="2946"/>
        <v>0</v>
      </c>
      <c r="AN465" s="43">
        <f t="shared" si="2919"/>
        <v>0</v>
      </c>
      <c r="AP465" t="str">
        <f t="shared" si="2947"/>
        <v/>
      </c>
      <c r="AQ465" t="str">
        <f t="shared" si="2948"/>
        <v/>
      </c>
      <c r="AR465" t="str">
        <f t="shared" si="2949"/>
        <v/>
      </c>
      <c r="AS465" t="str">
        <f t="shared" si="2950"/>
        <v/>
      </c>
      <c r="AT465" t="str">
        <f t="shared" si="2951"/>
        <v/>
      </c>
      <c r="AU465" t="str">
        <f t="shared" si="2952"/>
        <v/>
      </c>
      <c r="AV465" t="str">
        <f t="shared" si="2953"/>
        <v/>
      </c>
      <c r="AW465" t="str">
        <f t="shared" si="2954"/>
        <v xml:space="preserve">                              </v>
      </c>
      <c r="AX465" s="23">
        <f t="shared" si="2955"/>
        <v>0</v>
      </c>
      <c r="AY465" s="49" t="str">
        <f t="shared" si="2931"/>
        <v>000000000000000</v>
      </c>
      <c r="AZ465" s="23">
        <f t="shared" si="2956"/>
        <v>0</v>
      </c>
      <c r="BA465" s="49" t="str">
        <f t="shared" si="2931"/>
        <v>000000000000000</v>
      </c>
      <c r="BB465" s="23">
        <f t="shared" si="2957"/>
        <v>0</v>
      </c>
      <c r="BC465" s="49" t="str">
        <f t="shared" ref="BC465" si="2994">IF(BB465&lt;0,SUBSTITUTE(TEXT(BB465,"000000000000,00"),",",""),SUBSTITUTE(TEXT(BB465,"0000000000000,00"),",",""))</f>
        <v>000000000000000</v>
      </c>
      <c r="BD465" s="23">
        <f t="shared" si="2959"/>
        <v>0</v>
      </c>
      <c r="BE465" s="49" t="str">
        <f t="shared" ref="BE465" si="2995">IF(BD465&lt;0,SUBSTITUTE(TEXT(BD465,"000000000000,00"),",",""),SUBSTITUTE(TEXT(BD465,"0000000000000,00"),",",""))</f>
        <v>000000000000000</v>
      </c>
      <c r="BF465" s="23">
        <f t="shared" si="2961"/>
        <v>0</v>
      </c>
      <c r="BG465" s="49" t="str">
        <f t="shared" ref="BG465" si="2996">IF(BF465&lt;0,SUBSTITUTE(TEXT(BF465,"000000000000,00"),",",""),SUBSTITUTE(TEXT(BF465,"0000000000000,00"),",",""))</f>
        <v>000000000000000</v>
      </c>
      <c r="BH465" s="23">
        <f t="shared" si="2963"/>
        <v>0</v>
      </c>
      <c r="BI465" s="49" t="str">
        <f t="shared" ref="BI465" si="2997">IF(BH465&lt;0,SUBSTITUTE(TEXT(BH465,"000000000000,00"),",",""),SUBSTITUTE(TEXT(BH465,"0000000000000,00"),",",""))</f>
        <v>000000000000000</v>
      </c>
      <c r="BJ465" s="23">
        <f t="shared" si="2965"/>
        <v>0</v>
      </c>
      <c r="BK465" s="49" t="str">
        <f t="shared" ref="BK465" si="2998">IF(BJ465&lt;0,SUBSTITUTE(TEXT(BJ465,"000000000000,00"),",",""),SUBSTITUTE(TEXT(BJ465,"0000000000000,00"),",",""))</f>
        <v>000000000000000</v>
      </c>
      <c r="BL465" s="23">
        <f t="shared" si="2967"/>
        <v>0</v>
      </c>
      <c r="BM465" s="49" t="str">
        <f t="shared" ref="BM465" si="2999">IF(BL465&lt;0,SUBSTITUTE(TEXT(BL465,"000000000000,00"),",",""),SUBSTITUTE(TEXT(BL465,"0000000000000,00"),",",""))</f>
        <v>000000000000000</v>
      </c>
      <c r="BN465" t="str">
        <f t="shared" si="2969"/>
        <v>PES</v>
      </c>
      <c r="BO465" t="str">
        <f t="shared" si="2970"/>
        <v>0001000000</v>
      </c>
      <c r="BP465">
        <f t="shared" si="2971"/>
        <v>0</v>
      </c>
      <c r="BQ465">
        <f t="shared" si="2972"/>
        <v>0</v>
      </c>
      <c r="BR465" s="23">
        <f t="shared" si="2973"/>
        <v>0</v>
      </c>
      <c r="BS465" s="49" t="str">
        <f t="shared" si="2938"/>
        <v>000000000000000</v>
      </c>
      <c r="BT465" t="str">
        <f t="shared" si="2974"/>
        <v>00000000</v>
      </c>
      <c r="BU465" s="23">
        <f t="shared" si="2975"/>
        <v>0</v>
      </c>
      <c r="BV465" s="49" t="str">
        <f t="shared" si="2939"/>
        <v/>
      </c>
      <c r="BW465" s="52" t="str">
        <f t="shared" si="2976"/>
        <v/>
      </c>
      <c r="BX465" s="23">
        <f t="shared" si="2977"/>
        <v>0</v>
      </c>
      <c r="BY465" s="49" t="str">
        <f t="shared" si="2940"/>
        <v/>
      </c>
      <c r="BZ465" s="23">
        <f t="shared" si="2978"/>
        <v>0</v>
      </c>
      <c r="CA465" s="49" t="str">
        <f t="shared" si="2941"/>
        <v/>
      </c>
      <c r="CB465" s="52" t="str">
        <f t="shared" si="2979"/>
        <v/>
      </c>
      <c r="CC465" s="23">
        <f t="shared" si="2980"/>
        <v>0</v>
      </c>
      <c r="CD465" s="49" t="str">
        <f t="shared" si="2942"/>
        <v/>
      </c>
      <c r="CE465" s="56" t="str">
        <f>IF(CF465="","",MAX(CE$10:$CE464)+1)</f>
        <v/>
      </c>
      <c r="CF465" t="str">
        <f t="shared" si="2981"/>
        <v/>
      </c>
      <c r="CG465" s="22" t="str">
        <f>IF(CH465="","",MAX($CG$10:CG464)+1)</f>
        <v/>
      </c>
      <c r="CH465" s="22" t="str">
        <f t="shared" si="2926"/>
        <v/>
      </c>
      <c r="CI465" s="22" t="str">
        <f>IF(CJ465="","",MAX($CI$10:CI464)+1)</f>
        <v/>
      </c>
      <c r="CJ465" s="22" t="str">
        <f t="shared" si="2927"/>
        <v/>
      </c>
    </row>
    <row r="466" spans="2:88" x14ac:dyDescent="0.25">
      <c r="B466" s="37"/>
      <c r="C466" s="3"/>
      <c r="D466" s="77" t="str">
        <f t="shared" si="2913"/>
        <v/>
      </c>
      <c r="E466" s="38"/>
      <c r="F466" s="38"/>
      <c r="G466" s="78">
        <f t="shared" si="2928"/>
        <v>0</v>
      </c>
      <c r="H466" s="3">
        <v>80</v>
      </c>
      <c r="I466" s="77" t="str">
        <f t="shared" si="2914"/>
        <v/>
      </c>
      <c r="J466" s="32"/>
      <c r="K466" s="3"/>
      <c r="L466" s="39"/>
      <c r="M466" s="39"/>
      <c r="N466" s="39"/>
      <c r="O466" s="39"/>
      <c r="P466" s="39"/>
      <c r="Q466" s="39"/>
      <c r="R466" s="39"/>
      <c r="S466" s="39"/>
      <c r="T466" s="3" t="s">
        <v>645</v>
      </c>
      <c r="U466" s="77" t="str">
        <f t="shared" si="2915"/>
        <v/>
      </c>
      <c r="V466" s="39">
        <v>1</v>
      </c>
      <c r="W466" s="79">
        <f t="shared" si="2929"/>
        <v>0</v>
      </c>
      <c r="X466" s="3">
        <v>0</v>
      </c>
      <c r="Y466" s="77" t="str">
        <f t="shared" si="2916"/>
        <v/>
      </c>
      <c r="Z466" s="3"/>
      <c r="AA466" s="37" t="str">
        <f t="shared" si="2930"/>
        <v/>
      </c>
      <c r="AC466" s="40"/>
      <c r="AD466" s="7"/>
      <c r="AE466" s="77" t="str">
        <f t="shared" si="2917"/>
        <v/>
      </c>
      <c r="AF466" s="81">
        <f t="shared" si="2943"/>
        <v>0</v>
      </c>
      <c r="AG466" s="40"/>
      <c r="AH466" s="7"/>
      <c r="AI466" s="77" t="str">
        <f t="shared" si="2918"/>
        <v/>
      </c>
      <c r="AJ466" s="81">
        <f t="shared" si="2944"/>
        <v>0</v>
      </c>
      <c r="AK466" s="83">
        <f t="shared" si="2945"/>
        <v>0</v>
      </c>
      <c r="AL466" s="83">
        <f t="shared" si="2946"/>
        <v>0</v>
      </c>
      <c r="AN466" s="43">
        <f t="shared" si="2919"/>
        <v>0</v>
      </c>
      <c r="AP466" t="str">
        <f t="shared" si="2947"/>
        <v/>
      </c>
      <c r="AQ466" t="str">
        <f t="shared" si="2948"/>
        <v/>
      </c>
      <c r="AR466" t="str">
        <f t="shared" si="2949"/>
        <v/>
      </c>
      <c r="AS466" t="str">
        <f t="shared" si="2950"/>
        <v/>
      </c>
      <c r="AT466" t="str">
        <f t="shared" si="2951"/>
        <v/>
      </c>
      <c r="AU466" t="str">
        <f t="shared" si="2952"/>
        <v/>
      </c>
      <c r="AV466" t="str">
        <f t="shared" si="2953"/>
        <v/>
      </c>
      <c r="AW466" t="str">
        <f t="shared" si="2954"/>
        <v xml:space="preserve">                              </v>
      </c>
      <c r="AX466" s="23">
        <f t="shared" si="2955"/>
        <v>0</v>
      </c>
      <c r="AY466" s="49" t="str">
        <f t="shared" si="2931"/>
        <v>000000000000000</v>
      </c>
      <c r="AZ466" s="23">
        <f t="shared" si="2956"/>
        <v>0</v>
      </c>
      <c r="BA466" s="49" t="str">
        <f t="shared" si="2931"/>
        <v>000000000000000</v>
      </c>
      <c r="BB466" s="23">
        <f t="shared" si="2957"/>
        <v>0</v>
      </c>
      <c r="BC466" s="49" t="str">
        <f t="shared" ref="BC466" si="3000">IF(BB466&lt;0,SUBSTITUTE(TEXT(BB466,"000000000000,00"),",",""),SUBSTITUTE(TEXT(BB466,"0000000000000,00"),",",""))</f>
        <v>000000000000000</v>
      </c>
      <c r="BD466" s="23">
        <f t="shared" si="2959"/>
        <v>0</v>
      </c>
      <c r="BE466" s="49" t="str">
        <f t="shared" ref="BE466" si="3001">IF(BD466&lt;0,SUBSTITUTE(TEXT(BD466,"000000000000,00"),",",""),SUBSTITUTE(TEXT(BD466,"0000000000000,00"),",",""))</f>
        <v>000000000000000</v>
      </c>
      <c r="BF466" s="23">
        <f t="shared" si="2961"/>
        <v>0</v>
      </c>
      <c r="BG466" s="49" t="str">
        <f t="shared" ref="BG466" si="3002">IF(BF466&lt;0,SUBSTITUTE(TEXT(BF466,"000000000000,00"),",",""),SUBSTITUTE(TEXT(BF466,"0000000000000,00"),",",""))</f>
        <v>000000000000000</v>
      </c>
      <c r="BH466" s="23">
        <f t="shared" si="2963"/>
        <v>0</v>
      </c>
      <c r="BI466" s="49" t="str">
        <f t="shared" ref="BI466" si="3003">IF(BH466&lt;0,SUBSTITUTE(TEXT(BH466,"000000000000,00"),",",""),SUBSTITUTE(TEXT(BH466,"0000000000000,00"),",",""))</f>
        <v>000000000000000</v>
      </c>
      <c r="BJ466" s="23">
        <f t="shared" si="2965"/>
        <v>0</v>
      </c>
      <c r="BK466" s="49" t="str">
        <f t="shared" ref="BK466" si="3004">IF(BJ466&lt;0,SUBSTITUTE(TEXT(BJ466,"000000000000,00"),",",""),SUBSTITUTE(TEXT(BJ466,"0000000000000,00"),",",""))</f>
        <v>000000000000000</v>
      </c>
      <c r="BL466" s="23">
        <f t="shared" si="2967"/>
        <v>0</v>
      </c>
      <c r="BM466" s="49" t="str">
        <f t="shared" ref="BM466" si="3005">IF(BL466&lt;0,SUBSTITUTE(TEXT(BL466,"000000000000,00"),",",""),SUBSTITUTE(TEXT(BL466,"0000000000000,00"),",",""))</f>
        <v>000000000000000</v>
      </c>
      <c r="BN466" t="str">
        <f t="shared" si="2969"/>
        <v>PES</v>
      </c>
      <c r="BO466" t="str">
        <f t="shared" si="2970"/>
        <v>0001000000</v>
      </c>
      <c r="BP466">
        <f t="shared" si="2971"/>
        <v>0</v>
      </c>
      <c r="BQ466">
        <f t="shared" si="2972"/>
        <v>0</v>
      </c>
      <c r="BR466" s="23">
        <f t="shared" si="2973"/>
        <v>0</v>
      </c>
      <c r="BS466" s="49" t="str">
        <f t="shared" si="2938"/>
        <v>000000000000000</v>
      </c>
      <c r="BT466" t="str">
        <f t="shared" si="2974"/>
        <v>00000000</v>
      </c>
      <c r="BU466" s="23">
        <f t="shared" si="2975"/>
        <v>0</v>
      </c>
      <c r="BV466" s="49" t="str">
        <f t="shared" si="2939"/>
        <v/>
      </c>
      <c r="BW466" s="52" t="str">
        <f t="shared" si="2976"/>
        <v/>
      </c>
      <c r="BX466" s="23">
        <f t="shared" si="2977"/>
        <v>0</v>
      </c>
      <c r="BY466" s="49" t="str">
        <f t="shared" si="2940"/>
        <v/>
      </c>
      <c r="BZ466" s="23">
        <f t="shared" si="2978"/>
        <v>0</v>
      </c>
      <c r="CA466" s="49" t="str">
        <f t="shared" si="2941"/>
        <v/>
      </c>
      <c r="CB466" s="52" t="str">
        <f t="shared" si="2979"/>
        <v/>
      </c>
      <c r="CC466" s="23">
        <f t="shared" si="2980"/>
        <v>0</v>
      </c>
      <c r="CD466" s="49" t="str">
        <f t="shared" si="2942"/>
        <v/>
      </c>
      <c r="CE466" s="56" t="str">
        <f>IF(CF466="","",MAX(CE$10:$CE465)+1)</f>
        <v/>
      </c>
      <c r="CF466" t="str">
        <f t="shared" si="2981"/>
        <v/>
      </c>
      <c r="CG466" s="22" t="str">
        <f>IF(CH466="","",MAX($CG$10:CG465)+1)</f>
        <v/>
      </c>
      <c r="CH466" s="22" t="str">
        <f t="shared" si="2926"/>
        <v/>
      </c>
      <c r="CI466" s="22" t="str">
        <f>IF(CJ466="","",MAX($CI$10:CI465)+1)</f>
        <v/>
      </c>
      <c r="CJ466" s="22" t="str">
        <f t="shared" si="2927"/>
        <v/>
      </c>
    </row>
    <row r="467" spans="2:88" x14ac:dyDescent="0.25">
      <c r="B467" s="37"/>
      <c r="C467" s="3"/>
      <c r="D467" s="77" t="str">
        <f t="shared" si="2913"/>
        <v/>
      </c>
      <c r="E467" s="38"/>
      <c r="F467" s="38"/>
      <c r="G467" s="78">
        <f t="shared" si="2928"/>
        <v>0</v>
      </c>
      <c r="H467" s="3">
        <v>80</v>
      </c>
      <c r="I467" s="77" t="str">
        <f t="shared" si="2914"/>
        <v/>
      </c>
      <c r="J467" s="32"/>
      <c r="K467" s="3"/>
      <c r="L467" s="39"/>
      <c r="M467" s="39"/>
      <c r="N467" s="39"/>
      <c r="O467" s="39"/>
      <c r="P467" s="39"/>
      <c r="Q467" s="39"/>
      <c r="R467" s="39"/>
      <c r="S467" s="39"/>
      <c r="T467" s="3" t="s">
        <v>645</v>
      </c>
      <c r="U467" s="77" t="str">
        <f t="shared" si="2915"/>
        <v/>
      </c>
      <c r="V467" s="39">
        <v>1</v>
      </c>
      <c r="W467" s="79">
        <f t="shared" si="2929"/>
        <v>0</v>
      </c>
      <c r="X467" s="3">
        <v>0</v>
      </c>
      <c r="Y467" s="77" t="str">
        <f t="shared" si="2916"/>
        <v/>
      </c>
      <c r="Z467" s="3"/>
      <c r="AA467" s="37" t="str">
        <f t="shared" si="2930"/>
        <v/>
      </c>
      <c r="AC467" s="40"/>
      <c r="AD467" s="7"/>
      <c r="AE467" s="77" t="str">
        <f t="shared" si="2917"/>
        <v/>
      </c>
      <c r="AF467" s="81">
        <f t="shared" si="2943"/>
        <v>0</v>
      </c>
      <c r="AG467" s="40"/>
      <c r="AH467" s="7"/>
      <c r="AI467" s="77" t="str">
        <f t="shared" si="2918"/>
        <v/>
      </c>
      <c r="AJ467" s="81">
        <f t="shared" si="2944"/>
        <v>0</v>
      </c>
      <c r="AK467" s="83">
        <f t="shared" si="2945"/>
        <v>0</v>
      </c>
      <c r="AL467" s="83">
        <f t="shared" si="2946"/>
        <v>0</v>
      </c>
      <c r="AN467" s="43">
        <f t="shared" si="2919"/>
        <v>0</v>
      </c>
      <c r="AP467" t="str">
        <f t="shared" si="2947"/>
        <v/>
      </c>
      <c r="AQ467" t="str">
        <f t="shared" si="2948"/>
        <v/>
      </c>
      <c r="AR467" t="str">
        <f t="shared" si="2949"/>
        <v/>
      </c>
      <c r="AS467" t="str">
        <f t="shared" si="2950"/>
        <v/>
      </c>
      <c r="AT467" t="str">
        <f t="shared" si="2951"/>
        <v/>
      </c>
      <c r="AU467" t="str">
        <f t="shared" si="2952"/>
        <v/>
      </c>
      <c r="AV467" t="str">
        <f t="shared" si="2953"/>
        <v/>
      </c>
      <c r="AW467" t="str">
        <f t="shared" si="2954"/>
        <v xml:space="preserve">                              </v>
      </c>
      <c r="AX467" s="23">
        <f t="shared" si="2955"/>
        <v>0</v>
      </c>
      <c r="AY467" s="49" t="str">
        <f t="shared" si="2931"/>
        <v>000000000000000</v>
      </c>
      <c r="AZ467" s="23">
        <f t="shared" si="2956"/>
        <v>0</v>
      </c>
      <c r="BA467" s="49" t="str">
        <f t="shared" si="2931"/>
        <v>000000000000000</v>
      </c>
      <c r="BB467" s="23">
        <f t="shared" si="2957"/>
        <v>0</v>
      </c>
      <c r="BC467" s="49" t="str">
        <f t="shared" ref="BC467" si="3006">IF(BB467&lt;0,SUBSTITUTE(TEXT(BB467,"000000000000,00"),",",""),SUBSTITUTE(TEXT(BB467,"0000000000000,00"),",",""))</f>
        <v>000000000000000</v>
      </c>
      <c r="BD467" s="23">
        <f t="shared" si="2959"/>
        <v>0</v>
      </c>
      <c r="BE467" s="49" t="str">
        <f t="shared" ref="BE467" si="3007">IF(BD467&lt;0,SUBSTITUTE(TEXT(BD467,"000000000000,00"),",",""),SUBSTITUTE(TEXT(BD467,"0000000000000,00"),",",""))</f>
        <v>000000000000000</v>
      </c>
      <c r="BF467" s="23">
        <f t="shared" si="2961"/>
        <v>0</v>
      </c>
      <c r="BG467" s="49" t="str">
        <f t="shared" ref="BG467" si="3008">IF(BF467&lt;0,SUBSTITUTE(TEXT(BF467,"000000000000,00"),",",""),SUBSTITUTE(TEXT(BF467,"0000000000000,00"),",",""))</f>
        <v>000000000000000</v>
      </c>
      <c r="BH467" s="23">
        <f t="shared" si="2963"/>
        <v>0</v>
      </c>
      <c r="BI467" s="49" t="str">
        <f t="shared" ref="BI467" si="3009">IF(BH467&lt;0,SUBSTITUTE(TEXT(BH467,"000000000000,00"),",",""),SUBSTITUTE(TEXT(BH467,"0000000000000,00"),",",""))</f>
        <v>000000000000000</v>
      </c>
      <c r="BJ467" s="23">
        <f t="shared" si="2965"/>
        <v>0</v>
      </c>
      <c r="BK467" s="49" t="str">
        <f t="shared" ref="BK467" si="3010">IF(BJ467&lt;0,SUBSTITUTE(TEXT(BJ467,"000000000000,00"),",",""),SUBSTITUTE(TEXT(BJ467,"0000000000000,00"),",",""))</f>
        <v>000000000000000</v>
      </c>
      <c r="BL467" s="23">
        <f t="shared" si="2967"/>
        <v>0</v>
      </c>
      <c r="BM467" s="49" t="str">
        <f t="shared" ref="BM467" si="3011">IF(BL467&lt;0,SUBSTITUTE(TEXT(BL467,"000000000000,00"),",",""),SUBSTITUTE(TEXT(BL467,"0000000000000,00"),",",""))</f>
        <v>000000000000000</v>
      </c>
      <c r="BN467" t="str">
        <f t="shared" si="2969"/>
        <v>PES</v>
      </c>
      <c r="BO467" t="str">
        <f t="shared" si="2970"/>
        <v>0001000000</v>
      </c>
      <c r="BP467">
        <f t="shared" si="2971"/>
        <v>0</v>
      </c>
      <c r="BQ467">
        <f t="shared" si="2972"/>
        <v>0</v>
      </c>
      <c r="BR467" s="23">
        <f t="shared" si="2973"/>
        <v>0</v>
      </c>
      <c r="BS467" s="49" t="str">
        <f t="shared" si="2938"/>
        <v>000000000000000</v>
      </c>
      <c r="BT467" t="str">
        <f t="shared" si="2974"/>
        <v>00000000</v>
      </c>
      <c r="BU467" s="23">
        <f t="shared" si="2975"/>
        <v>0</v>
      </c>
      <c r="BV467" s="49" t="str">
        <f t="shared" si="2939"/>
        <v/>
      </c>
      <c r="BW467" s="52" t="str">
        <f t="shared" si="2976"/>
        <v/>
      </c>
      <c r="BX467" s="23">
        <f t="shared" si="2977"/>
        <v>0</v>
      </c>
      <c r="BY467" s="49" t="str">
        <f t="shared" si="2940"/>
        <v/>
      </c>
      <c r="BZ467" s="23">
        <f t="shared" si="2978"/>
        <v>0</v>
      </c>
      <c r="CA467" s="49" t="str">
        <f t="shared" si="2941"/>
        <v/>
      </c>
      <c r="CB467" s="52" t="str">
        <f t="shared" si="2979"/>
        <v/>
      </c>
      <c r="CC467" s="23">
        <f t="shared" si="2980"/>
        <v>0</v>
      </c>
      <c r="CD467" s="49" t="str">
        <f t="shared" si="2942"/>
        <v/>
      </c>
      <c r="CE467" s="56" t="str">
        <f>IF(CF467="","",MAX(CE$10:$CE466)+1)</f>
        <v/>
      </c>
      <c r="CF467" t="str">
        <f t="shared" si="2981"/>
        <v/>
      </c>
      <c r="CG467" s="22" t="str">
        <f>IF(CH467="","",MAX($CG$10:CG466)+1)</f>
        <v/>
      </c>
      <c r="CH467" s="22" t="str">
        <f t="shared" si="2926"/>
        <v/>
      </c>
      <c r="CI467" s="22" t="str">
        <f>IF(CJ467="","",MAX($CI$10:CI466)+1)</f>
        <v/>
      </c>
      <c r="CJ467" s="22" t="str">
        <f t="shared" si="2927"/>
        <v/>
      </c>
    </row>
    <row r="468" spans="2:88" x14ac:dyDescent="0.25">
      <c r="B468" s="37"/>
      <c r="C468" s="3"/>
      <c r="D468" s="77" t="str">
        <f t="shared" si="2913"/>
        <v/>
      </c>
      <c r="E468" s="38"/>
      <c r="F468" s="38"/>
      <c r="G468" s="78">
        <f t="shared" si="2928"/>
        <v>0</v>
      </c>
      <c r="H468" s="3">
        <v>80</v>
      </c>
      <c r="I468" s="77" t="str">
        <f t="shared" si="2914"/>
        <v/>
      </c>
      <c r="J468" s="32"/>
      <c r="K468" s="3"/>
      <c r="L468" s="39"/>
      <c r="M468" s="39"/>
      <c r="N468" s="39"/>
      <c r="O468" s="39"/>
      <c r="P468" s="39"/>
      <c r="Q468" s="39"/>
      <c r="R468" s="39"/>
      <c r="S468" s="39"/>
      <c r="T468" s="3" t="s">
        <v>645</v>
      </c>
      <c r="U468" s="77" t="str">
        <f t="shared" si="2915"/>
        <v/>
      </c>
      <c r="V468" s="39">
        <v>1</v>
      </c>
      <c r="W468" s="79">
        <f t="shared" si="2929"/>
        <v>0</v>
      </c>
      <c r="X468" s="3">
        <v>0</v>
      </c>
      <c r="Y468" s="77" t="str">
        <f t="shared" si="2916"/>
        <v/>
      </c>
      <c r="Z468" s="3"/>
      <c r="AA468" s="37" t="str">
        <f t="shared" si="2930"/>
        <v/>
      </c>
      <c r="AC468" s="40"/>
      <c r="AD468" s="7"/>
      <c r="AE468" s="77" t="str">
        <f t="shared" si="2917"/>
        <v/>
      </c>
      <c r="AF468" s="81">
        <f t="shared" si="2943"/>
        <v>0</v>
      </c>
      <c r="AG468" s="40"/>
      <c r="AH468" s="7"/>
      <c r="AI468" s="77" t="str">
        <f t="shared" si="2918"/>
        <v/>
      </c>
      <c r="AJ468" s="81">
        <f t="shared" si="2944"/>
        <v>0</v>
      </c>
      <c r="AK468" s="83">
        <f t="shared" si="2945"/>
        <v>0</v>
      </c>
      <c r="AL468" s="83">
        <f t="shared" si="2946"/>
        <v>0</v>
      </c>
      <c r="AN468" s="43">
        <f t="shared" si="2919"/>
        <v>0</v>
      </c>
      <c r="AP468" t="str">
        <f t="shared" si="2947"/>
        <v/>
      </c>
      <c r="AQ468" t="str">
        <f t="shared" si="2948"/>
        <v/>
      </c>
      <c r="AR468" t="str">
        <f t="shared" si="2949"/>
        <v/>
      </c>
      <c r="AS468" t="str">
        <f t="shared" si="2950"/>
        <v/>
      </c>
      <c r="AT468" t="str">
        <f t="shared" si="2951"/>
        <v/>
      </c>
      <c r="AU468" t="str">
        <f t="shared" si="2952"/>
        <v/>
      </c>
      <c r="AV468" t="str">
        <f t="shared" si="2953"/>
        <v/>
      </c>
      <c r="AW468" t="str">
        <f t="shared" si="2954"/>
        <v xml:space="preserve">                              </v>
      </c>
      <c r="AX468" s="23">
        <f t="shared" si="2955"/>
        <v>0</v>
      </c>
      <c r="AY468" s="49" t="str">
        <f t="shared" si="2931"/>
        <v>000000000000000</v>
      </c>
      <c r="AZ468" s="23">
        <f t="shared" si="2956"/>
        <v>0</v>
      </c>
      <c r="BA468" s="49" t="str">
        <f t="shared" si="2931"/>
        <v>000000000000000</v>
      </c>
      <c r="BB468" s="23">
        <f t="shared" si="2957"/>
        <v>0</v>
      </c>
      <c r="BC468" s="49" t="str">
        <f t="shared" ref="BC468" si="3012">IF(BB468&lt;0,SUBSTITUTE(TEXT(BB468,"000000000000,00"),",",""),SUBSTITUTE(TEXT(BB468,"0000000000000,00"),",",""))</f>
        <v>000000000000000</v>
      </c>
      <c r="BD468" s="23">
        <f t="shared" si="2959"/>
        <v>0</v>
      </c>
      <c r="BE468" s="49" t="str">
        <f t="shared" ref="BE468" si="3013">IF(BD468&lt;0,SUBSTITUTE(TEXT(BD468,"000000000000,00"),",",""),SUBSTITUTE(TEXT(BD468,"0000000000000,00"),",",""))</f>
        <v>000000000000000</v>
      </c>
      <c r="BF468" s="23">
        <f t="shared" si="2961"/>
        <v>0</v>
      </c>
      <c r="BG468" s="49" t="str">
        <f t="shared" ref="BG468" si="3014">IF(BF468&lt;0,SUBSTITUTE(TEXT(BF468,"000000000000,00"),",",""),SUBSTITUTE(TEXT(BF468,"0000000000000,00"),",",""))</f>
        <v>000000000000000</v>
      </c>
      <c r="BH468" s="23">
        <f t="shared" si="2963"/>
        <v>0</v>
      </c>
      <c r="BI468" s="49" t="str">
        <f t="shared" ref="BI468" si="3015">IF(BH468&lt;0,SUBSTITUTE(TEXT(BH468,"000000000000,00"),",",""),SUBSTITUTE(TEXT(BH468,"0000000000000,00"),",",""))</f>
        <v>000000000000000</v>
      </c>
      <c r="BJ468" s="23">
        <f t="shared" si="2965"/>
        <v>0</v>
      </c>
      <c r="BK468" s="49" t="str">
        <f t="shared" ref="BK468" si="3016">IF(BJ468&lt;0,SUBSTITUTE(TEXT(BJ468,"000000000000,00"),",",""),SUBSTITUTE(TEXT(BJ468,"0000000000000,00"),",",""))</f>
        <v>000000000000000</v>
      </c>
      <c r="BL468" s="23">
        <f t="shared" si="2967"/>
        <v>0</v>
      </c>
      <c r="BM468" s="49" t="str">
        <f t="shared" ref="BM468" si="3017">IF(BL468&lt;0,SUBSTITUTE(TEXT(BL468,"000000000000,00"),",",""),SUBSTITUTE(TEXT(BL468,"0000000000000,00"),",",""))</f>
        <v>000000000000000</v>
      </c>
      <c r="BN468" t="str">
        <f t="shared" si="2969"/>
        <v>PES</v>
      </c>
      <c r="BO468" t="str">
        <f t="shared" si="2970"/>
        <v>0001000000</v>
      </c>
      <c r="BP468">
        <f t="shared" si="2971"/>
        <v>0</v>
      </c>
      <c r="BQ468">
        <f t="shared" si="2972"/>
        <v>0</v>
      </c>
      <c r="BR468" s="23">
        <f t="shared" si="2973"/>
        <v>0</v>
      </c>
      <c r="BS468" s="49" t="str">
        <f t="shared" si="2938"/>
        <v>000000000000000</v>
      </c>
      <c r="BT468" t="str">
        <f t="shared" si="2974"/>
        <v>00000000</v>
      </c>
      <c r="BU468" s="23">
        <f t="shared" si="2975"/>
        <v>0</v>
      </c>
      <c r="BV468" s="49" t="str">
        <f t="shared" si="2939"/>
        <v/>
      </c>
      <c r="BW468" s="52" t="str">
        <f t="shared" si="2976"/>
        <v/>
      </c>
      <c r="BX468" s="23">
        <f t="shared" si="2977"/>
        <v>0</v>
      </c>
      <c r="BY468" s="49" t="str">
        <f t="shared" si="2940"/>
        <v/>
      </c>
      <c r="BZ468" s="23">
        <f t="shared" si="2978"/>
        <v>0</v>
      </c>
      <c r="CA468" s="49" t="str">
        <f t="shared" si="2941"/>
        <v/>
      </c>
      <c r="CB468" s="52" t="str">
        <f t="shared" si="2979"/>
        <v/>
      </c>
      <c r="CC468" s="23">
        <f t="shared" si="2980"/>
        <v>0</v>
      </c>
      <c r="CD468" s="49" t="str">
        <f t="shared" si="2942"/>
        <v/>
      </c>
      <c r="CE468" s="56" t="str">
        <f>IF(CF468="","",MAX(CE$10:$CE467)+1)</f>
        <v/>
      </c>
      <c r="CF468" t="str">
        <f t="shared" si="2981"/>
        <v/>
      </c>
      <c r="CG468" s="22" t="str">
        <f>IF(CH468="","",MAX($CG$10:CG467)+1)</f>
        <v/>
      </c>
      <c r="CH468" s="22" t="str">
        <f t="shared" si="2926"/>
        <v/>
      </c>
      <c r="CI468" s="22" t="str">
        <f>IF(CJ468="","",MAX($CI$10:CI467)+1)</f>
        <v/>
      </c>
      <c r="CJ468" s="22" t="str">
        <f t="shared" si="2927"/>
        <v/>
      </c>
    </row>
    <row r="469" spans="2:88" x14ac:dyDescent="0.25">
      <c r="B469" s="37"/>
      <c r="C469" s="3"/>
      <c r="D469" s="77" t="str">
        <f t="shared" si="2913"/>
        <v/>
      </c>
      <c r="E469" s="38"/>
      <c r="F469" s="38"/>
      <c r="G469" s="78">
        <f t="shared" si="2928"/>
        <v>0</v>
      </c>
      <c r="H469" s="3">
        <v>80</v>
      </c>
      <c r="I469" s="77" t="str">
        <f t="shared" si="2914"/>
        <v/>
      </c>
      <c r="J469" s="32"/>
      <c r="K469" s="3"/>
      <c r="L469" s="39"/>
      <c r="M469" s="39"/>
      <c r="N469" s="39"/>
      <c r="O469" s="39"/>
      <c r="P469" s="39"/>
      <c r="Q469" s="39"/>
      <c r="R469" s="39"/>
      <c r="S469" s="39"/>
      <c r="T469" s="3" t="s">
        <v>645</v>
      </c>
      <c r="U469" s="77" t="str">
        <f t="shared" si="2915"/>
        <v/>
      </c>
      <c r="V469" s="39">
        <v>1</v>
      </c>
      <c r="W469" s="79">
        <f t="shared" si="2929"/>
        <v>0</v>
      </c>
      <c r="X469" s="3">
        <v>0</v>
      </c>
      <c r="Y469" s="77" t="str">
        <f t="shared" si="2916"/>
        <v/>
      </c>
      <c r="Z469" s="3"/>
      <c r="AA469" s="37" t="str">
        <f t="shared" si="2930"/>
        <v/>
      </c>
      <c r="AC469" s="40"/>
      <c r="AD469" s="7"/>
      <c r="AE469" s="77" t="str">
        <f t="shared" si="2917"/>
        <v/>
      </c>
      <c r="AF469" s="81">
        <f t="shared" si="2943"/>
        <v>0</v>
      </c>
      <c r="AG469" s="40"/>
      <c r="AH469" s="7"/>
      <c r="AI469" s="77" t="str">
        <f t="shared" si="2918"/>
        <v/>
      </c>
      <c r="AJ469" s="81">
        <f t="shared" si="2944"/>
        <v>0</v>
      </c>
      <c r="AK469" s="83">
        <f t="shared" si="2945"/>
        <v>0</v>
      </c>
      <c r="AL469" s="83">
        <f t="shared" si="2946"/>
        <v>0</v>
      </c>
      <c r="AN469" s="43">
        <f t="shared" si="2919"/>
        <v>0</v>
      </c>
      <c r="AP469" t="str">
        <f t="shared" si="2947"/>
        <v/>
      </c>
      <c r="AQ469" t="str">
        <f t="shared" si="2948"/>
        <v/>
      </c>
      <c r="AR469" t="str">
        <f t="shared" si="2949"/>
        <v/>
      </c>
      <c r="AS469" t="str">
        <f t="shared" si="2950"/>
        <v/>
      </c>
      <c r="AT469" t="str">
        <f t="shared" si="2951"/>
        <v/>
      </c>
      <c r="AU469" t="str">
        <f t="shared" si="2952"/>
        <v/>
      </c>
      <c r="AV469" t="str">
        <f t="shared" si="2953"/>
        <v/>
      </c>
      <c r="AW469" t="str">
        <f t="shared" si="2954"/>
        <v xml:space="preserve">                              </v>
      </c>
      <c r="AX469" s="23">
        <f t="shared" si="2955"/>
        <v>0</v>
      </c>
      <c r="AY469" s="49" t="str">
        <f t="shared" si="2931"/>
        <v>000000000000000</v>
      </c>
      <c r="AZ469" s="23">
        <f t="shared" si="2956"/>
        <v>0</v>
      </c>
      <c r="BA469" s="49" t="str">
        <f t="shared" si="2931"/>
        <v>000000000000000</v>
      </c>
      <c r="BB469" s="23">
        <f t="shared" si="2957"/>
        <v>0</v>
      </c>
      <c r="BC469" s="49" t="str">
        <f t="shared" ref="BC469" si="3018">IF(BB469&lt;0,SUBSTITUTE(TEXT(BB469,"000000000000,00"),",",""),SUBSTITUTE(TEXT(BB469,"0000000000000,00"),",",""))</f>
        <v>000000000000000</v>
      </c>
      <c r="BD469" s="23">
        <f t="shared" si="2959"/>
        <v>0</v>
      </c>
      <c r="BE469" s="49" t="str">
        <f t="shared" ref="BE469" si="3019">IF(BD469&lt;0,SUBSTITUTE(TEXT(BD469,"000000000000,00"),",",""),SUBSTITUTE(TEXT(BD469,"0000000000000,00"),",",""))</f>
        <v>000000000000000</v>
      </c>
      <c r="BF469" s="23">
        <f t="shared" si="2961"/>
        <v>0</v>
      </c>
      <c r="BG469" s="49" t="str">
        <f t="shared" ref="BG469" si="3020">IF(BF469&lt;0,SUBSTITUTE(TEXT(BF469,"000000000000,00"),",",""),SUBSTITUTE(TEXT(BF469,"0000000000000,00"),",",""))</f>
        <v>000000000000000</v>
      </c>
      <c r="BH469" s="23">
        <f t="shared" si="2963"/>
        <v>0</v>
      </c>
      <c r="BI469" s="49" t="str">
        <f t="shared" ref="BI469" si="3021">IF(BH469&lt;0,SUBSTITUTE(TEXT(BH469,"000000000000,00"),",",""),SUBSTITUTE(TEXT(BH469,"0000000000000,00"),",",""))</f>
        <v>000000000000000</v>
      </c>
      <c r="BJ469" s="23">
        <f t="shared" si="2965"/>
        <v>0</v>
      </c>
      <c r="BK469" s="49" t="str">
        <f t="shared" ref="BK469" si="3022">IF(BJ469&lt;0,SUBSTITUTE(TEXT(BJ469,"000000000000,00"),",",""),SUBSTITUTE(TEXT(BJ469,"0000000000000,00"),",",""))</f>
        <v>000000000000000</v>
      </c>
      <c r="BL469" s="23">
        <f t="shared" si="2967"/>
        <v>0</v>
      </c>
      <c r="BM469" s="49" t="str">
        <f t="shared" ref="BM469" si="3023">IF(BL469&lt;0,SUBSTITUTE(TEXT(BL469,"000000000000,00"),",",""),SUBSTITUTE(TEXT(BL469,"0000000000000,00"),",",""))</f>
        <v>000000000000000</v>
      </c>
      <c r="BN469" t="str">
        <f t="shared" si="2969"/>
        <v>PES</v>
      </c>
      <c r="BO469" t="str">
        <f t="shared" si="2970"/>
        <v>0001000000</v>
      </c>
      <c r="BP469">
        <f t="shared" si="2971"/>
        <v>0</v>
      </c>
      <c r="BQ469">
        <f t="shared" si="2972"/>
        <v>0</v>
      </c>
      <c r="BR469" s="23">
        <f t="shared" si="2973"/>
        <v>0</v>
      </c>
      <c r="BS469" s="49" t="str">
        <f t="shared" si="2938"/>
        <v>000000000000000</v>
      </c>
      <c r="BT469" t="str">
        <f t="shared" si="2974"/>
        <v>00000000</v>
      </c>
      <c r="BU469" s="23">
        <f t="shared" si="2975"/>
        <v>0</v>
      </c>
      <c r="BV469" s="49" t="str">
        <f t="shared" si="2939"/>
        <v/>
      </c>
      <c r="BW469" s="52" t="str">
        <f t="shared" si="2976"/>
        <v/>
      </c>
      <c r="BX469" s="23">
        <f t="shared" si="2977"/>
        <v>0</v>
      </c>
      <c r="BY469" s="49" t="str">
        <f t="shared" si="2940"/>
        <v/>
      </c>
      <c r="BZ469" s="23">
        <f t="shared" si="2978"/>
        <v>0</v>
      </c>
      <c r="CA469" s="49" t="str">
        <f t="shared" si="2941"/>
        <v/>
      </c>
      <c r="CB469" s="52" t="str">
        <f t="shared" si="2979"/>
        <v/>
      </c>
      <c r="CC469" s="23">
        <f t="shared" si="2980"/>
        <v>0</v>
      </c>
      <c r="CD469" s="49" t="str">
        <f t="shared" si="2942"/>
        <v/>
      </c>
      <c r="CE469" s="56" t="str">
        <f>IF(CF469="","",MAX(CE$10:$CE468)+1)</f>
        <v/>
      </c>
      <c r="CF469" t="str">
        <f t="shared" si="2981"/>
        <v/>
      </c>
      <c r="CG469" s="22" t="str">
        <f>IF(CH469="","",MAX($CG$10:CG468)+1)</f>
        <v/>
      </c>
      <c r="CH469" s="22" t="str">
        <f t="shared" si="2926"/>
        <v/>
      </c>
      <c r="CI469" s="22" t="str">
        <f>IF(CJ469="","",MAX($CI$10:CI468)+1)</f>
        <v/>
      </c>
      <c r="CJ469" s="22" t="str">
        <f t="shared" si="2927"/>
        <v/>
      </c>
    </row>
    <row r="470" spans="2:88" x14ac:dyDescent="0.25">
      <c r="B470" s="37"/>
      <c r="C470" s="3"/>
      <c r="D470" s="77" t="str">
        <f t="shared" si="2913"/>
        <v/>
      </c>
      <c r="E470" s="38"/>
      <c r="F470" s="38"/>
      <c r="G470" s="78">
        <f t="shared" si="2928"/>
        <v>0</v>
      </c>
      <c r="H470" s="3">
        <v>80</v>
      </c>
      <c r="I470" s="77" t="str">
        <f t="shared" si="2914"/>
        <v/>
      </c>
      <c r="J470" s="32"/>
      <c r="K470" s="3"/>
      <c r="L470" s="39"/>
      <c r="M470" s="39"/>
      <c r="N470" s="39"/>
      <c r="O470" s="39"/>
      <c r="P470" s="39"/>
      <c r="Q470" s="39"/>
      <c r="R470" s="39"/>
      <c r="S470" s="39"/>
      <c r="T470" s="3" t="s">
        <v>645</v>
      </c>
      <c r="U470" s="77" t="str">
        <f t="shared" si="2915"/>
        <v/>
      </c>
      <c r="V470" s="39">
        <v>1</v>
      </c>
      <c r="W470" s="79">
        <f t="shared" si="2929"/>
        <v>0</v>
      </c>
      <c r="X470" s="3">
        <v>0</v>
      </c>
      <c r="Y470" s="77" t="str">
        <f t="shared" si="2916"/>
        <v/>
      </c>
      <c r="Z470" s="3"/>
      <c r="AA470" s="37" t="str">
        <f t="shared" si="2930"/>
        <v/>
      </c>
      <c r="AC470" s="40"/>
      <c r="AD470" s="7"/>
      <c r="AE470" s="77" t="str">
        <f t="shared" si="2917"/>
        <v/>
      </c>
      <c r="AF470" s="81">
        <f t="shared" si="2943"/>
        <v>0</v>
      </c>
      <c r="AG470" s="40"/>
      <c r="AH470" s="7"/>
      <c r="AI470" s="77" t="str">
        <f t="shared" si="2918"/>
        <v/>
      </c>
      <c r="AJ470" s="81">
        <f t="shared" si="2944"/>
        <v>0</v>
      </c>
      <c r="AK470" s="83">
        <f t="shared" si="2945"/>
        <v>0</v>
      </c>
      <c r="AL470" s="83">
        <f t="shared" si="2946"/>
        <v>0</v>
      </c>
      <c r="AN470" s="43">
        <f t="shared" si="2919"/>
        <v>0</v>
      </c>
      <c r="AP470" t="str">
        <f t="shared" si="2947"/>
        <v/>
      </c>
      <c r="AQ470" t="str">
        <f t="shared" si="2948"/>
        <v/>
      </c>
      <c r="AR470" t="str">
        <f t="shared" si="2949"/>
        <v/>
      </c>
      <c r="AS470" t="str">
        <f t="shared" si="2950"/>
        <v/>
      </c>
      <c r="AT470" t="str">
        <f t="shared" si="2951"/>
        <v/>
      </c>
      <c r="AU470" t="str">
        <f t="shared" si="2952"/>
        <v/>
      </c>
      <c r="AV470" t="str">
        <f t="shared" si="2953"/>
        <v/>
      </c>
      <c r="AW470" t="str">
        <f t="shared" si="2954"/>
        <v xml:space="preserve">                              </v>
      </c>
      <c r="AX470" s="23">
        <f t="shared" si="2955"/>
        <v>0</v>
      </c>
      <c r="AY470" s="49" t="str">
        <f t="shared" si="2931"/>
        <v>000000000000000</v>
      </c>
      <c r="AZ470" s="23">
        <f t="shared" si="2956"/>
        <v>0</v>
      </c>
      <c r="BA470" s="49" t="str">
        <f t="shared" si="2931"/>
        <v>000000000000000</v>
      </c>
      <c r="BB470" s="23">
        <f t="shared" si="2957"/>
        <v>0</v>
      </c>
      <c r="BC470" s="49" t="str">
        <f t="shared" ref="BC470" si="3024">IF(BB470&lt;0,SUBSTITUTE(TEXT(BB470,"000000000000,00"),",",""),SUBSTITUTE(TEXT(BB470,"0000000000000,00"),",",""))</f>
        <v>000000000000000</v>
      </c>
      <c r="BD470" s="23">
        <f t="shared" si="2959"/>
        <v>0</v>
      </c>
      <c r="BE470" s="49" t="str">
        <f t="shared" ref="BE470" si="3025">IF(BD470&lt;0,SUBSTITUTE(TEXT(BD470,"000000000000,00"),",",""),SUBSTITUTE(TEXT(BD470,"0000000000000,00"),",",""))</f>
        <v>000000000000000</v>
      </c>
      <c r="BF470" s="23">
        <f t="shared" si="2961"/>
        <v>0</v>
      </c>
      <c r="BG470" s="49" t="str">
        <f t="shared" ref="BG470" si="3026">IF(BF470&lt;0,SUBSTITUTE(TEXT(BF470,"000000000000,00"),",",""),SUBSTITUTE(TEXT(BF470,"0000000000000,00"),",",""))</f>
        <v>000000000000000</v>
      </c>
      <c r="BH470" s="23">
        <f t="shared" si="2963"/>
        <v>0</v>
      </c>
      <c r="BI470" s="49" t="str">
        <f t="shared" ref="BI470" si="3027">IF(BH470&lt;0,SUBSTITUTE(TEXT(BH470,"000000000000,00"),",",""),SUBSTITUTE(TEXT(BH470,"0000000000000,00"),",",""))</f>
        <v>000000000000000</v>
      </c>
      <c r="BJ470" s="23">
        <f t="shared" si="2965"/>
        <v>0</v>
      </c>
      <c r="BK470" s="49" t="str">
        <f t="shared" ref="BK470" si="3028">IF(BJ470&lt;0,SUBSTITUTE(TEXT(BJ470,"000000000000,00"),",",""),SUBSTITUTE(TEXT(BJ470,"0000000000000,00"),",",""))</f>
        <v>000000000000000</v>
      </c>
      <c r="BL470" s="23">
        <f t="shared" si="2967"/>
        <v>0</v>
      </c>
      <c r="BM470" s="49" t="str">
        <f t="shared" ref="BM470" si="3029">IF(BL470&lt;0,SUBSTITUTE(TEXT(BL470,"000000000000,00"),",",""),SUBSTITUTE(TEXT(BL470,"0000000000000,00"),",",""))</f>
        <v>000000000000000</v>
      </c>
      <c r="BN470" t="str">
        <f t="shared" si="2969"/>
        <v>PES</v>
      </c>
      <c r="BO470" t="str">
        <f t="shared" si="2970"/>
        <v>0001000000</v>
      </c>
      <c r="BP470">
        <f t="shared" si="2971"/>
        <v>0</v>
      </c>
      <c r="BQ470">
        <f t="shared" si="2972"/>
        <v>0</v>
      </c>
      <c r="BR470" s="23">
        <f t="shared" si="2973"/>
        <v>0</v>
      </c>
      <c r="BS470" s="49" t="str">
        <f t="shared" si="2938"/>
        <v>000000000000000</v>
      </c>
      <c r="BT470" t="str">
        <f t="shared" si="2974"/>
        <v>00000000</v>
      </c>
      <c r="BU470" s="23">
        <f t="shared" si="2975"/>
        <v>0</v>
      </c>
      <c r="BV470" s="49" t="str">
        <f t="shared" si="2939"/>
        <v/>
      </c>
      <c r="BW470" s="52" t="str">
        <f t="shared" si="2976"/>
        <v/>
      </c>
      <c r="BX470" s="23">
        <f t="shared" si="2977"/>
        <v>0</v>
      </c>
      <c r="BY470" s="49" t="str">
        <f t="shared" si="2940"/>
        <v/>
      </c>
      <c r="BZ470" s="23">
        <f t="shared" si="2978"/>
        <v>0</v>
      </c>
      <c r="CA470" s="49" t="str">
        <f t="shared" si="2941"/>
        <v/>
      </c>
      <c r="CB470" s="52" t="str">
        <f t="shared" si="2979"/>
        <v/>
      </c>
      <c r="CC470" s="23">
        <f t="shared" si="2980"/>
        <v>0</v>
      </c>
      <c r="CD470" s="49" t="str">
        <f t="shared" si="2942"/>
        <v/>
      </c>
      <c r="CE470" s="56" t="str">
        <f>IF(CF470="","",MAX(CE$10:$CE469)+1)</f>
        <v/>
      </c>
      <c r="CF470" t="str">
        <f t="shared" si="2981"/>
        <v/>
      </c>
      <c r="CG470" s="22" t="str">
        <f>IF(CH470="","",MAX($CG$10:CG469)+1)</f>
        <v/>
      </c>
      <c r="CH470" s="22" t="str">
        <f t="shared" si="2926"/>
        <v/>
      </c>
      <c r="CI470" s="22" t="str">
        <f>IF(CJ470="","",MAX($CI$10:CI469)+1)</f>
        <v/>
      </c>
      <c r="CJ470" s="22" t="str">
        <f t="shared" si="2927"/>
        <v/>
      </c>
    </row>
    <row r="471" spans="2:88" x14ac:dyDescent="0.25">
      <c r="B471" s="37"/>
      <c r="C471" s="3"/>
      <c r="D471" s="77" t="str">
        <f t="shared" si="2913"/>
        <v/>
      </c>
      <c r="E471" s="38"/>
      <c r="F471" s="38"/>
      <c r="G471" s="78">
        <f t="shared" si="2928"/>
        <v>0</v>
      </c>
      <c r="H471" s="3">
        <v>80</v>
      </c>
      <c r="I471" s="77" t="str">
        <f t="shared" si="2914"/>
        <v/>
      </c>
      <c r="J471" s="32"/>
      <c r="K471" s="3"/>
      <c r="L471" s="39"/>
      <c r="M471" s="39"/>
      <c r="N471" s="39"/>
      <c r="O471" s="39"/>
      <c r="P471" s="39"/>
      <c r="Q471" s="39"/>
      <c r="R471" s="39"/>
      <c r="S471" s="39"/>
      <c r="T471" s="3" t="s">
        <v>645</v>
      </c>
      <c r="U471" s="77" t="str">
        <f t="shared" si="2915"/>
        <v/>
      </c>
      <c r="V471" s="39">
        <v>1</v>
      </c>
      <c r="W471" s="79">
        <f t="shared" si="2929"/>
        <v>0</v>
      </c>
      <c r="X471" s="3">
        <v>0</v>
      </c>
      <c r="Y471" s="77" t="str">
        <f t="shared" si="2916"/>
        <v/>
      </c>
      <c r="Z471" s="3"/>
      <c r="AA471" s="37" t="str">
        <f t="shared" si="2930"/>
        <v/>
      </c>
      <c r="AC471" s="40"/>
      <c r="AD471" s="7"/>
      <c r="AE471" s="77" t="str">
        <f t="shared" si="2917"/>
        <v/>
      </c>
      <c r="AF471" s="81">
        <f t="shared" si="2943"/>
        <v>0</v>
      </c>
      <c r="AG471" s="40"/>
      <c r="AH471" s="7"/>
      <c r="AI471" s="77" t="str">
        <f t="shared" si="2918"/>
        <v/>
      </c>
      <c r="AJ471" s="81">
        <f t="shared" si="2944"/>
        <v>0</v>
      </c>
      <c r="AK471" s="83">
        <f t="shared" si="2945"/>
        <v>0</v>
      </c>
      <c r="AL471" s="83">
        <f t="shared" si="2946"/>
        <v>0</v>
      </c>
      <c r="AN471" s="43">
        <f t="shared" si="2919"/>
        <v>0</v>
      </c>
      <c r="AP471" t="str">
        <f t="shared" si="2947"/>
        <v/>
      </c>
      <c r="AQ471" t="str">
        <f t="shared" si="2948"/>
        <v/>
      </c>
      <c r="AR471" t="str">
        <f t="shared" si="2949"/>
        <v/>
      </c>
      <c r="AS471" t="str">
        <f t="shared" si="2950"/>
        <v/>
      </c>
      <c r="AT471" t="str">
        <f t="shared" si="2951"/>
        <v/>
      </c>
      <c r="AU471" t="str">
        <f t="shared" si="2952"/>
        <v/>
      </c>
      <c r="AV471" t="str">
        <f t="shared" si="2953"/>
        <v/>
      </c>
      <c r="AW471" t="str">
        <f t="shared" si="2954"/>
        <v xml:space="preserve">                              </v>
      </c>
      <c r="AX471" s="23">
        <f t="shared" si="2955"/>
        <v>0</v>
      </c>
      <c r="AY471" s="49" t="str">
        <f t="shared" si="2931"/>
        <v>000000000000000</v>
      </c>
      <c r="AZ471" s="23">
        <f t="shared" si="2956"/>
        <v>0</v>
      </c>
      <c r="BA471" s="49" t="str">
        <f t="shared" si="2931"/>
        <v>000000000000000</v>
      </c>
      <c r="BB471" s="23">
        <f t="shared" si="2957"/>
        <v>0</v>
      </c>
      <c r="BC471" s="49" t="str">
        <f t="shared" ref="BC471" si="3030">IF(BB471&lt;0,SUBSTITUTE(TEXT(BB471,"000000000000,00"),",",""),SUBSTITUTE(TEXT(BB471,"0000000000000,00"),",",""))</f>
        <v>000000000000000</v>
      </c>
      <c r="BD471" s="23">
        <f t="shared" si="2959"/>
        <v>0</v>
      </c>
      <c r="BE471" s="49" t="str">
        <f t="shared" ref="BE471" si="3031">IF(BD471&lt;0,SUBSTITUTE(TEXT(BD471,"000000000000,00"),",",""),SUBSTITUTE(TEXT(BD471,"0000000000000,00"),",",""))</f>
        <v>000000000000000</v>
      </c>
      <c r="BF471" s="23">
        <f t="shared" si="2961"/>
        <v>0</v>
      </c>
      <c r="BG471" s="49" t="str">
        <f t="shared" ref="BG471" si="3032">IF(BF471&lt;0,SUBSTITUTE(TEXT(BF471,"000000000000,00"),",",""),SUBSTITUTE(TEXT(BF471,"0000000000000,00"),",",""))</f>
        <v>000000000000000</v>
      </c>
      <c r="BH471" s="23">
        <f t="shared" si="2963"/>
        <v>0</v>
      </c>
      <c r="BI471" s="49" t="str">
        <f t="shared" ref="BI471" si="3033">IF(BH471&lt;0,SUBSTITUTE(TEXT(BH471,"000000000000,00"),",",""),SUBSTITUTE(TEXT(BH471,"0000000000000,00"),",",""))</f>
        <v>000000000000000</v>
      </c>
      <c r="BJ471" s="23">
        <f t="shared" si="2965"/>
        <v>0</v>
      </c>
      <c r="BK471" s="49" t="str">
        <f t="shared" ref="BK471" si="3034">IF(BJ471&lt;0,SUBSTITUTE(TEXT(BJ471,"000000000000,00"),",",""),SUBSTITUTE(TEXT(BJ471,"0000000000000,00"),",",""))</f>
        <v>000000000000000</v>
      </c>
      <c r="BL471" s="23">
        <f t="shared" si="2967"/>
        <v>0</v>
      </c>
      <c r="BM471" s="49" t="str">
        <f t="shared" ref="BM471" si="3035">IF(BL471&lt;0,SUBSTITUTE(TEXT(BL471,"000000000000,00"),",",""),SUBSTITUTE(TEXT(BL471,"0000000000000,00"),",",""))</f>
        <v>000000000000000</v>
      </c>
      <c r="BN471" t="str">
        <f t="shared" si="2969"/>
        <v>PES</v>
      </c>
      <c r="BO471" t="str">
        <f t="shared" si="2970"/>
        <v>0001000000</v>
      </c>
      <c r="BP471">
        <f t="shared" si="2971"/>
        <v>0</v>
      </c>
      <c r="BQ471">
        <f t="shared" si="2972"/>
        <v>0</v>
      </c>
      <c r="BR471" s="23">
        <f t="shared" si="2973"/>
        <v>0</v>
      </c>
      <c r="BS471" s="49" t="str">
        <f t="shared" si="2938"/>
        <v>000000000000000</v>
      </c>
      <c r="BT471" t="str">
        <f t="shared" si="2974"/>
        <v>00000000</v>
      </c>
      <c r="BU471" s="23">
        <f t="shared" si="2975"/>
        <v>0</v>
      </c>
      <c r="BV471" s="49" t="str">
        <f t="shared" si="2939"/>
        <v/>
      </c>
      <c r="BW471" s="52" t="str">
        <f t="shared" si="2976"/>
        <v/>
      </c>
      <c r="BX471" s="23">
        <f t="shared" si="2977"/>
        <v>0</v>
      </c>
      <c r="BY471" s="49" t="str">
        <f t="shared" si="2940"/>
        <v/>
      </c>
      <c r="BZ471" s="23">
        <f t="shared" si="2978"/>
        <v>0</v>
      </c>
      <c r="CA471" s="49" t="str">
        <f t="shared" si="2941"/>
        <v/>
      </c>
      <c r="CB471" s="52" t="str">
        <f t="shared" si="2979"/>
        <v/>
      </c>
      <c r="CC471" s="23">
        <f t="shared" si="2980"/>
        <v>0</v>
      </c>
      <c r="CD471" s="49" t="str">
        <f t="shared" si="2942"/>
        <v/>
      </c>
      <c r="CE471" s="56" t="str">
        <f>IF(CF471="","",MAX(CE$10:$CE470)+1)</f>
        <v/>
      </c>
      <c r="CF471" t="str">
        <f t="shared" si="2981"/>
        <v/>
      </c>
      <c r="CG471" s="22" t="str">
        <f>IF(CH471="","",MAX($CG$10:CG470)+1)</f>
        <v/>
      </c>
      <c r="CH471" s="22" t="str">
        <f t="shared" si="2926"/>
        <v/>
      </c>
      <c r="CI471" s="22" t="str">
        <f>IF(CJ471="","",MAX($CI$10:CI470)+1)</f>
        <v/>
      </c>
      <c r="CJ471" s="22" t="str">
        <f t="shared" si="2927"/>
        <v/>
      </c>
    </row>
    <row r="472" spans="2:88" x14ac:dyDescent="0.25">
      <c r="B472" s="37"/>
      <c r="C472" s="3"/>
      <c r="D472" s="77" t="str">
        <f t="shared" si="2913"/>
        <v/>
      </c>
      <c r="E472" s="38"/>
      <c r="F472" s="38"/>
      <c r="G472" s="78">
        <f t="shared" si="2928"/>
        <v>0</v>
      </c>
      <c r="H472" s="3">
        <v>80</v>
      </c>
      <c r="I472" s="77" t="str">
        <f t="shared" si="2914"/>
        <v/>
      </c>
      <c r="J472" s="32"/>
      <c r="K472" s="3"/>
      <c r="L472" s="39"/>
      <c r="M472" s="39"/>
      <c r="N472" s="39"/>
      <c r="O472" s="39"/>
      <c r="P472" s="39"/>
      <c r="Q472" s="39"/>
      <c r="R472" s="39"/>
      <c r="S472" s="39"/>
      <c r="T472" s="3" t="s">
        <v>645</v>
      </c>
      <c r="U472" s="77" t="str">
        <f t="shared" si="2915"/>
        <v/>
      </c>
      <c r="V472" s="39">
        <v>1</v>
      </c>
      <c r="W472" s="79">
        <f t="shared" si="2929"/>
        <v>0</v>
      </c>
      <c r="X472" s="3">
        <v>0</v>
      </c>
      <c r="Y472" s="77" t="str">
        <f t="shared" si="2916"/>
        <v/>
      </c>
      <c r="Z472" s="3"/>
      <c r="AA472" s="37" t="str">
        <f t="shared" si="2930"/>
        <v/>
      </c>
      <c r="AC472" s="40"/>
      <c r="AD472" s="7"/>
      <c r="AE472" s="77" t="str">
        <f t="shared" si="2917"/>
        <v/>
      </c>
      <c r="AF472" s="81">
        <f t="shared" si="2943"/>
        <v>0</v>
      </c>
      <c r="AG472" s="40"/>
      <c r="AH472" s="7"/>
      <c r="AI472" s="77" t="str">
        <f t="shared" si="2918"/>
        <v/>
      </c>
      <c r="AJ472" s="81">
        <f t="shared" si="2944"/>
        <v>0</v>
      </c>
      <c r="AK472" s="83">
        <f t="shared" si="2945"/>
        <v>0</v>
      </c>
      <c r="AL472" s="83">
        <f t="shared" si="2946"/>
        <v>0</v>
      </c>
      <c r="AN472" s="43">
        <f t="shared" si="2919"/>
        <v>0</v>
      </c>
      <c r="AP472" t="str">
        <f t="shared" si="2947"/>
        <v/>
      </c>
      <c r="AQ472" t="str">
        <f t="shared" si="2948"/>
        <v/>
      </c>
      <c r="AR472" t="str">
        <f t="shared" si="2949"/>
        <v/>
      </c>
      <c r="AS472" t="str">
        <f t="shared" si="2950"/>
        <v/>
      </c>
      <c r="AT472" t="str">
        <f t="shared" si="2951"/>
        <v/>
      </c>
      <c r="AU472" t="str">
        <f t="shared" si="2952"/>
        <v/>
      </c>
      <c r="AV472" t="str">
        <f t="shared" si="2953"/>
        <v/>
      </c>
      <c r="AW472" t="str">
        <f t="shared" si="2954"/>
        <v xml:space="preserve">                              </v>
      </c>
      <c r="AX472" s="23">
        <f t="shared" si="2955"/>
        <v>0</v>
      </c>
      <c r="AY472" s="49" t="str">
        <f t="shared" si="2931"/>
        <v>000000000000000</v>
      </c>
      <c r="AZ472" s="23">
        <f t="shared" si="2956"/>
        <v>0</v>
      </c>
      <c r="BA472" s="49" t="str">
        <f t="shared" si="2931"/>
        <v>000000000000000</v>
      </c>
      <c r="BB472" s="23">
        <f t="shared" si="2957"/>
        <v>0</v>
      </c>
      <c r="BC472" s="49" t="str">
        <f t="shared" ref="BC472" si="3036">IF(BB472&lt;0,SUBSTITUTE(TEXT(BB472,"000000000000,00"),",",""),SUBSTITUTE(TEXT(BB472,"0000000000000,00"),",",""))</f>
        <v>000000000000000</v>
      </c>
      <c r="BD472" s="23">
        <f t="shared" si="2959"/>
        <v>0</v>
      </c>
      <c r="BE472" s="49" t="str">
        <f t="shared" ref="BE472" si="3037">IF(BD472&lt;0,SUBSTITUTE(TEXT(BD472,"000000000000,00"),",",""),SUBSTITUTE(TEXT(BD472,"0000000000000,00"),",",""))</f>
        <v>000000000000000</v>
      </c>
      <c r="BF472" s="23">
        <f t="shared" si="2961"/>
        <v>0</v>
      </c>
      <c r="BG472" s="49" t="str">
        <f t="shared" ref="BG472" si="3038">IF(BF472&lt;0,SUBSTITUTE(TEXT(BF472,"000000000000,00"),",",""),SUBSTITUTE(TEXT(BF472,"0000000000000,00"),",",""))</f>
        <v>000000000000000</v>
      </c>
      <c r="BH472" s="23">
        <f t="shared" si="2963"/>
        <v>0</v>
      </c>
      <c r="BI472" s="49" t="str">
        <f t="shared" ref="BI472" si="3039">IF(BH472&lt;0,SUBSTITUTE(TEXT(BH472,"000000000000,00"),",",""),SUBSTITUTE(TEXT(BH472,"0000000000000,00"),",",""))</f>
        <v>000000000000000</v>
      </c>
      <c r="BJ472" s="23">
        <f t="shared" si="2965"/>
        <v>0</v>
      </c>
      <c r="BK472" s="49" t="str">
        <f t="shared" ref="BK472" si="3040">IF(BJ472&lt;0,SUBSTITUTE(TEXT(BJ472,"000000000000,00"),",",""),SUBSTITUTE(TEXT(BJ472,"0000000000000,00"),",",""))</f>
        <v>000000000000000</v>
      </c>
      <c r="BL472" s="23">
        <f t="shared" si="2967"/>
        <v>0</v>
      </c>
      <c r="BM472" s="49" t="str">
        <f t="shared" ref="BM472" si="3041">IF(BL472&lt;0,SUBSTITUTE(TEXT(BL472,"000000000000,00"),",",""),SUBSTITUTE(TEXT(BL472,"0000000000000,00"),",",""))</f>
        <v>000000000000000</v>
      </c>
      <c r="BN472" t="str">
        <f t="shared" si="2969"/>
        <v>PES</v>
      </c>
      <c r="BO472" t="str">
        <f t="shared" si="2970"/>
        <v>0001000000</v>
      </c>
      <c r="BP472">
        <f t="shared" si="2971"/>
        <v>0</v>
      </c>
      <c r="BQ472">
        <f t="shared" si="2972"/>
        <v>0</v>
      </c>
      <c r="BR472" s="23">
        <f t="shared" si="2973"/>
        <v>0</v>
      </c>
      <c r="BS472" s="49" t="str">
        <f t="shared" si="2938"/>
        <v>000000000000000</v>
      </c>
      <c r="BT472" t="str">
        <f t="shared" si="2974"/>
        <v>00000000</v>
      </c>
      <c r="BU472" s="23">
        <f t="shared" si="2975"/>
        <v>0</v>
      </c>
      <c r="BV472" s="49" t="str">
        <f t="shared" si="2939"/>
        <v/>
      </c>
      <c r="BW472" s="52" t="str">
        <f t="shared" si="2976"/>
        <v/>
      </c>
      <c r="BX472" s="23">
        <f t="shared" si="2977"/>
        <v>0</v>
      </c>
      <c r="BY472" s="49" t="str">
        <f t="shared" si="2940"/>
        <v/>
      </c>
      <c r="BZ472" s="23">
        <f t="shared" si="2978"/>
        <v>0</v>
      </c>
      <c r="CA472" s="49" t="str">
        <f t="shared" si="2941"/>
        <v/>
      </c>
      <c r="CB472" s="52" t="str">
        <f t="shared" si="2979"/>
        <v/>
      </c>
      <c r="CC472" s="23">
        <f t="shared" si="2980"/>
        <v>0</v>
      </c>
      <c r="CD472" s="49" t="str">
        <f t="shared" si="2942"/>
        <v/>
      </c>
      <c r="CE472" s="56" t="str">
        <f>IF(CF472="","",MAX(CE$10:$CE471)+1)</f>
        <v/>
      </c>
      <c r="CF472" t="str">
        <f t="shared" si="2981"/>
        <v/>
      </c>
      <c r="CG472" s="22" t="str">
        <f>IF(CH472="","",MAX($CG$10:CG471)+1)</f>
        <v/>
      </c>
      <c r="CH472" s="22" t="str">
        <f t="shared" si="2926"/>
        <v/>
      </c>
      <c r="CI472" s="22" t="str">
        <f>IF(CJ472="","",MAX($CI$10:CI471)+1)</f>
        <v/>
      </c>
      <c r="CJ472" s="22" t="str">
        <f t="shared" si="2927"/>
        <v/>
      </c>
    </row>
    <row r="473" spans="2:88" x14ac:dyDescent="0.25">
      <c r="B473" s="37"/>
      <c r="C473" s="3"/>
      <c r="D473" s="77" t="str">
        <f t="shared" si="2913"/>
        <v/>
      </c>
      <c r="E473" s="38"/>
      <c r="F473" s="38"/>
      <c r="G473" s="78">
        <f t="shared" si="2928"/>
        <v>0</v>
      </c>
      <c r="H473" s="3">
        <v>80</v>
      </c>
      <c r="I473" s="77" t="str">
        <f t="shared" si="2914"/>
        <v/>
      </c>
      <c r="J473" s="32"/>
      <c r="K473" s="3"/>
      <c r="L473" s="39"/>
      <c r="M473" s="39"/>
      <c r="N473" s="39"/>
      <c r="O473" s="39"/>
      <c r="P473" s="39"/>
      <c r="Q473" s="39"/>
      <c r="R473" s="39"/>
      <c r="S473" s="39"/>
      <c r="T473" s="3" t="s">
        <v>645</v>
      </c>
      <c r="U473" s="77" t="str">
        <f t="shared" si="2915"/>
        <v/>
      </c>
      <c r="V473" s="39">
        <v>1</v>
      </c>
      <c r="W473" s="79">
        <f t="shared" si="2929"/>
        <v>0</v>
      </c>
      <c r="X473" s="3">
        <v>0</v>
      </c>
      <c r="Y473" s="77" t="str">
        <f t="shared" si="2916"/>
        <v/>
      </c>
      <c r="Z473" s="3"/>
      <c r="AA473" s="37" t="str">
        <f t="shared" si="2930"/>
        <v/>
      </c>
      <c r="AC473" s="40"/>
      <c r="AD473" s="7"/>
      <c r="AE473" s="77" t="str">
        <f t="shared" si="2917"/>
        <v/>
      </c>
      <c r="AF473" s="81">
        <f t="shared" si="2943"/>
        <v>0</v>
      </c>
      <c r="AG473" s="40"/>
      <c r="AH473" s="7"/>
      <c r="AI473" s="77" t="str">
        <f t="shared" si="2918"/>
        <v/>
      </c>
      <c r="AJ473" s="81">
        <f t="shared" si="2944"/>
        <v>0</v>
      </c>
      <c r="AK473" s="83">
        <f t="shared" si="2945"/>
        <v>0</v>
      </c>
      <c r="AL473" s="83">
        <f t="shared" si="2946"/>
        <v>0</v>
      </c>
      <c r="AN473" s="43">
        <f t="shared" si="2919"/>
        <v>0</v>
      </c>
      <c r="AP473" t="str">
        <f t="shared" si="2947"/>
        <v/>
      </c>
      <c r="AQ473" t="str">
        <f t="shared" si="2948"/>
        <v/>
      </c>
      <c r="AR473" t="str">
        <f t="shared" si="2949"/>
        <v/>
      </c>
      <c r="AS473" t="str">
        <f t="shared" si="2950"/>
        <v/>
      </c>
      <c r="AT473" t="str">
        <f t="shared" si="2951"/>
        <v/>
      </c>
      <c r="AU473" t="str">
        <f t="shared" si="2952"/>
        <v/>
      </c>
      <c r="AV473" t="str">
        <f t="shared" si="2953"/>
        <v/>
      </c>
      <c r="AW473" t="str">
        <f t="shared" si="2954"/>
        <v xml:space="preserve">                              </v>
      </c>
      <c r="AX473" s="23">
        <f t="shared" si="2955"/>
        <v>0</v>
      </c>
      <c r="AY473" s="49" t="str">
        <f t="shared" si="2931"/>
        <v>000000000000000</v>
      </c>
      <c r="AZ473" s="23">
        <f t="shared" si="2956"/>
        <v>0</v>
      </c>
      <c r="BA473" s="49" t="str">
        <f t="shared" si="2931"/>
        <v>000000000000000</v>
      </c>
      <c r="BB473" s="23">
        <f t="shared" si="2957"/>
        <v>0</v>
      </c>
      <c r="BC473" s="49" t="str">
        <f t="shared" ref="BC473" si="3042">IF(BB473&lt;0,SUBSTITUTE(TEXT(BB473,"000000000000,00"),",",""),SUBSTITUTE(TEXT(BB473,"0000000000000,00"),",",""))</f>
        <v>000000000000000</v>
      </c>
      <c r="BD473" s="23">
        <f t="shared" si="2959"/>
        <v>0</v>
      </c>
      <c r="BE473" s="49" t="str">
        <f t="shared" ref="BE473" si="3043">IF(BD473&lt;0,SUBSTITUTE(TEXT(BD473,"000000000000,00"),",",""),SUBSTITUTE(TEXT(BD473,"0000000000000,00"),",",""))</f>
        <v>000000000000000</v>
      </c>
      <c r="BF473" s="23">
        <f t="shared" si="2961"/>
        <v>0</v>
      </c>
      <c r="BG473" s="49" t="str">
        <f t="shared" ref="BG473" si="3044">IF(BF473&lt;0,SUBSTITUTE(TEXT(BF473,"000000000000,00"),",",""),SUBSTITUTE(TEXT(BF473,"0000000000000,00"),",",""))</f>
        <v>000000000000000</v>
      </c>
      <c r="BH473" s="23">
        <f t="shared" si="2963"/>
        <v>0</v>
      </c>
      <c r="BI473" s="49" t="str">
        <f t="shared" ref="BI473" si="3045">IF(BH473&lt;0,SUBSTITUTE(TEXT(BH473,"000000000000,00"),",",""),SUBSTITUTE(TEXT(BH473,"0000000000000,00"),",",""))</f>
        <v>000000000000000</v>
      </c>
      <c r="BJ473" s="23">
        <f t="shared" si="2965"/>
        <v>0</v>
      </c>
      <c r="BK473" s="49" t="str">
        <f t="shared" ref="BK473" si="3046">IF(BJ473&lt;0,SUBSTITUTE(TEXT(BJ473,"000000000000,00"),",",""),SUBSTITUTE(TEXT(BJ473,"0000000000000,00"),",",""))</f>
        <v>000000000000000</v>
      </c>
      <c r="BL473" s="23">
        <f t="shared" si="2967"/>
        <v>0</v>
      </c>
      <c r="BM473" s="49" t="str">
        <f t="shared" ref="BM473" si="3047">IF(BL473&lt;0,SUBSTITUTE(TEXT(BL473,"000000000000,00"),",",""),SUBSTITUTE(TEXT(BL473,"0000000000000,00"),",",""))</f>
        <v>000000000000000</v>
      </c>
      <c r="BN473" t="str">
        <f t="shared" si="2969"/>
        <v>PES</v>
      </c>
      <c r="BO473" t="str">
        <f t="shared" si="2970"/>
        <v>0001000000</v>
      </c>
      <c r="BP473">
        <f t="shared" si="2971"/>
        <v>0</v>
      </c>
      <c r="BQ473">
        <f t="shared" si="2972"/>
        <v>0</v>
      </c>
      <c r="BR473" s="23">
        <f t="shared" si="2973"/>
        <v>0</v>
      </c>
      <c r="BS473" s="49" t="str">
        <f t="shared" si="2938"/>
        <v>000000000000000</v>
      </c>
      <c r="BT473" t="str">
        <f t="shared" si="2974"/>
        <v>00000000</v>
      </c>
      <c r="BU473" s="23">
        <f t="shared" si="2975"/>
        <v>0</v>
      </c>
      <c r="BV473" s="49" t="str">
        <f t="shared" si="2939"/>
        <v/>
      </c>
      <c r="BW473" s="52" t="str">
        <f t="shared" si="2976"/>
        <v/>
      </c>
      <c r="BX473" s="23">
        <f t="shared" si="2977"/>
        <v>0</v>
      </c>
      <c r="BY473" s="49" t="str">
        <f t="shared" si="2940"/>
        <v/>
      </c>
      <c r="BZ473" s="23">
        <f t="shared" si="2978"/>
        <v>0</v>
      </c>
      <c r="CA473" s="49" t="str">
        <f t="shared" si="2941"/>
        <v/>
      </c>
      <c r="CB473" s="52" t="str">
        <f t="shared" si="2979"/>
        <v/>
      </c>
      <c r="CC473" s="23">
        <f t="shared" si="2980"/>
        <v>0</v>
      </c>
      <c r="CD473" s="49" t="str">
        <f t="shared" si="2942"/>
        <v/>
      </c>
      <c r="CE473" s="56" t="str">
        <f>IF(CF473="","",MAX(CE$10:$CE472)+1)</f>
        <v/>
      </c>
      <c r="CF473" t="str">
        <f t="shared" si="2981"/>
        <v/>
      </c>
      <c r="CG473" s="22" t="str">
        <f>IF(CH473="","",MAX($CG$10:CG472)+1)</f>
        <v/>
      </c>
      <c r="CH473" s="22" t="str">
        <f t="shared" si="2926"/>
        <v/>
      </c>
      <c r="CI473" s="22" t="str">
        <f>IF(CJ473="","",MAX($CI$10:CI472)+1)</f>
        <v/>
      </c>
      <c r="CJ473" s="22" t="str">
        <f t="shared" si="2927"/>
        <v/>
      </c>
    </row>
    <row r="474" spans="2:88" x14ac:dyDescent="0.25">
      <c r="B474" s="37"/>
      <c r="C474" s="3"/>
      <c r="D474" s="77" t="str">
        <f t="shared" si="2913"/>
        <v/>
      </c>
      <c r="E474" s="38"/>
      <c r="F474" s="38"/>
      <c r="G474" s="78">
        <f t="shared" si="2928"/>
        <v>0</v>
      </c>
      <c r="H474" s="3">
        <v>80</v>
      </c>
      <c r="I474" s="77" t="str">
        <f t="shared" si="2914"/>
        <v/>
      </c>
      <c r="J474" s="32"/>
      <c r="K474" s="3"/>
      <c r="L474" s="39"/>
      <c r="M474" s="39"/>
      <c r="N474" s="39"/>
      <c r="O474" s="39"/>
      <c r="P474" s="39"/>
      <c r="Q474" s="39"/>
      <c r="R474" s="39"/>
      <c r="S474" s="39"/>
      <c r="T474" s="3" t="s">
        <v>645</v>
      </c>
      <c r="U474" s="77" t="str">
        <f t="shared" si="2915"/>
        <v/>
      </c>
      <c r="V474" s="39">
        <v>1</v>
      </c>
      <c r="W474" s="79">
        <f t="shared" si="2929"/>
        <v>0</v>
      </c>
      <c r="X474" s="3">
        <v>0</v>
      </c>
      <c r="Y474" s="77" t="str">
        <f t="shared" si="2916"/>
        <v/>
      </c>
      <c r="Z474" s="3"/>
      <c r="AA474" s="37" t="str">
        <f t="shared" si="2930"/>
        <v/>
      </c>
      <c r="AC474" s="40"/>
      <c r="AD474" s="7"/>
      <c r="AE474" s="77" t="str">
        <f t="shared" si="2917"/>
        <v/>
      </c>
      <c r="AF474" s="81">
        <f t="shared" si="2943"/>
        <v>0</v>
      </c>
      <c r="AG474" s="40"/>
      <c r="AH474" s="7"/>
      <c r="AI474" s="77" t="str">
        <f t="shared" si="2918"/>
        <v/>
      </c>
      <c r="AJ474" s="81">
        <f t="shared" si="2944"/>
        <v>0</v>
      </c>
      <c r="AK474" s="83">
        <f t="shared" si="2945"/>
        <v>0</v>
      </c>
      <c r="AL474" s="83">
        <f t="shared" si="2946"/>
        <v>0</v>
      </c>
      <c r="AN474" s="43">
        <f t="shared" si="2919"/>
        <v>0</v>
      </c>
      <c r="AP474" t="str">
        <f t="shared" si="2947"/>
        <v/>
      </c>
      <c r="AQ474" t="str">
        <f t="shared" si="2948"/>
        <v/>
      </c>
      <c r="AR474" t="str">
        <f t="shared" si="2949"/>
        <v/>
      </c>
      <c r="AS474" t="str">
        <f t="shared" si="2950"/>
        <v/>
      </c>
      <c r="AT474" t="str">
        <f t="shared" si="2951"/>
        <v/>
      </c>
      <c r="AU474" t="str">
        <f t="shared" si="2952"/>
        <v/>
      </c>
      <c r="AV474" t="str">
        <f t="shared" si="2953"/>
        <v/>
      </c>
      <c r="AW474" t="str">
        <f t="shared" si="2954"/>
        <v xml:space="preserve">                              </v>
      </c>
      <c r="AX474" s="23">
        <f t="shared" si="2955"/>
        <v>0</v>
      </c>
      <c r="AY474" s="49" t="str">
        <f t="shared" si="2931"/>
        <v>000000000000000</v>
      </c>
      <c r="AZ474" s="23">
        <f t="shared" si="2956"/>
        <v>0</v>
      </c>
      <c r="BA474" s="49" t="str">
        <f t="shared" si="2931"/>
        <v>000000000000000</v>
      </c>
      <c r="BB474" s="23">
        <f t="shared" si="2957"/>
        <v>0</v>
      </c>
      <c r="BC474" s="49" t="str">
        <f t="shared" ref="BC474" si="3048">IF(BB474&lt;0,SUBSTITUTE(TEXT(BB474,"000000000000,00"),",",""),SUBSTITUTE(TEXT(BB474,"0000000000000,00"),",",""))</f>
        <v>000000000000000</v>
      </c>
      <c r="BD474" s="23">
        <f t="shared" si="2959"/>
        <v>0</v>
      </c>
      <c r="BE474" s="49" t="str">
        <f t="shared" ref="BE474" si="3049">IF(BD474&lt;0,SUBSTITUTE(TEXT(BD474,"000000000000,00"),",",""),SUBSTITUTE(TEXT(BD474,"0000000000000,00"),",",""))</f>
        <v>000000000000000</v>
      </c>
      <c r="BF474" s="23">
        <f t="shared" si="2961"/>
        <v>0</v>
      </c>
      <c r="BG474" s="49" t="str">
        <f t="shared" ref="BG474" si="3050">IF(BF474&lt;0,SUBSTITUTE(TEXT(BF474,"000000000000,00"),",",""),SUBSTITUTE(TEXT(BF474,"0000000000000,00"),",",""))</f>
        <v>000000000000000</v>
      </c>
      <c r="BH474" s="23">
        <f t="shared" si="2963"/>
        <v>0</v>
      </c>
      <c r="BI474" s="49" t="str">
        <f t="shared" ref="BI474" si="3051">IF(BH474&lt;0,SUBSTITUTE(TEXT(BH474,"000000000000,00"),",",""),SUBSTITUTE(TEXT(BH474,"0000000000000,00"),",",""))</f>
        <v>000000000000000</v>
      </c>
      <c r="BJ474" s="23">
        <f t="shared" si="2965"/>
        <v>0</v>
      </c>
      <c r="BK474" s="49" t="str">
        <f t="shared" ref="BK474" si="3052">IF(BJ474&lt;0,SUBSTITUTE(TEXT(BJ474,"000000000000,00"),",",""),SUBSTITUTE(TEXT(BJ474,"0000000000000,00"),",",""))</f>
        <v>000000000000000</v>
      </c>
      <c r="BL474" s="23">
        <f t="shared" si="2967"/>
        <v>0</v>
      </c>
      <c r="BM474" s="49" t="str">
        <f t="shared" ref="BM474" si="3053">IF(BL474&lt;0,SUBSTITUTE(TEXT(BL474,"000000000000,00"),",",""),SUBSTITUTE(TEXT(BL474,"0000000000000,00"),",",""))</f>
        <v>000000000000000</v>
      </c>
      <c r="BN474" t="str">
        <f t="shared" si="2969"/>
        <v>PES</v>
      </c>
      <c r="BO474" t="str">
        <f t="shared" si="2970"/>
        <v>0001000000</v>
      </c>
      <c r="BP474">
        <f t="shared" si="2971"/>
        <v>0</v>
      </c>
      <c r="BQ474">
        <f t="shared" si="2972"/>
        <v>0</v>
      </c>
      <c r="BR474" s="23">
        <f t="shared" si="2973"/>
        <v>0</v>
      </c>
      <c r="BS474" s="49" t="str">
        <f t="shared" si="2938"/>
        <v>000000000000000</v>
      </c>
      <c r="BT474" t="str">
        <f t="shared" si="2974"/>
        <v>00000000</v>
      </c>
      <c r="BU474" s="23">
        <f t="shared" si="2975"/>
        <v>0</v>
      </c>
      <c r="BV474" s="49" t="str">
        <f t="shared" si="2939"/>
        <v/>
      </c>
      <c r="BW474" s="52" t="str">
        <f t="shared" si="2976"/>
        <v/>
      </c>
      <c r="BX474" s="23">
        <f t="shared" si="2977"/>
        <v>0</v>
      </c>
      <c r="BY474" s="49" t="str">
        <f t="shared" si="2940"/>
        <v/>
      </c>
      <c r="BZ474" s="23">
        <f t="shared" si="2978"/>
        <v>0</v>
      </c>
      <c r="CA474" s="49" t="str">
        <f t="shared" si="2941"/>
        <v/>
      </c>
      <c r="CB474" s="52" t="str">
        <f t="shared" si="2979"/>
        <v/>
      </c>
      <c r="CC474" s="23">
        <f t="shared" si="2980"/>
        <v>0</v>
      </c>
      <c r="CD474" s="49" t="str">
        <f t="shared" si="2942"/>
        <v/>
      </c>
      <c r="CE474" s="56" t="str">
        <f>IF(CF474="","",MAX(CE$10:$CE473)+1)</f>
        <v/>
      </c>
      <c r="CF474" t="str">
        <f t="shared" si="2981"/>
        <v/>
      </c>
      <c r="CG474" s="22" t="str">
        <f>IF(CH474="","",MAX($CG$10:CG473)+1)</f>
        <v/>
      </c>
      <c r="CH474" s="22" t="str">
        <f t="shared" si="2926"/>
        <v/>
      </c>
      <c r="CI474" s="22" t="str">
        <f>IF(CJ474="","",MAX($CI$10:CI473)+1)</f>
        <v/>
      </c>
      <c r="CJ474" s="22" t="str">
        <f t="shared" si="2927"/>
        <v/>
      </c>
    </row>
    <row r="475" spans="2:88" x14ac:dyDescent="0.25">
      <c r="B475" s="37"/>
      <c r="C475" s="3"/>
      <c r="D475" s="77" t="str">
        <f t="shared" si="2913"/>
        <v/>
      </c>
      <c r="E475" s="38"/>
      <c r="F475" s="38"/>
      <c r="G475" s="78">
        <f t="shared" si="2928"/>
        <v>0</v>
      </c>
      <c r="H475" s="3">
        <v>80</v>
      </c>
      <c r="I475" s="77" t="str">
        <f t="shared" si="2914"/>
        <v/>
      </c>
      <c r="J475" s="32"/>
      <c r="K475" s="3"/>
      <c r="L475" s="39"/>
      <c r="M475" s="39"/>
      <c r="N475" s="39"/>
      <c r="O475" s="39"/>
      <c r="P475" s="39"/>
      <c r="Q475" s="39"/>
      <c r="R475" s="39"/>
      <c r="S475" s="39"/>
      <c r="T475" s="3" t="s">
        <v>645</v>
      </c>
      <c r="U475" s="77" t="str">
        <f t="shared" si="2915"/>
        <v/>
      </c>
      <c r="V475" s="39">
        <v>1</v>
      </c>
      <c r="W475" s="79">
        <f t="shared" si="2929"/>
        <v>0</v>
      </c>
      <c r="X475" s="3">
        <v>0</v>
      </c>
      <c r="Y475" s="77" t="str">
        <f t="shared" si="2916"/>
        <v/>
      </c>
      <c r="Z475" s="3"/>
      <c r="AA475" s="37" t="str">
        <f t="shared" si="2930"/>
        <v/>
      </c>
      <c r="AC475" s="40"/>
      <c r="AD475" s="7"/>
      <c r="AE475" s="77" t="str">
        <f t="shared" si="2917"/>
        <v/>
      </c>
      <c r="AF475" s="81">
        <f t="shared" si="2943"/>
        <v>0</v>
      </c>
      <c r="AG475" s="40"/>
      <c r="AH475" s="7"/>
      <c r="AI475" s="77" t="str">
        <f t="shared" si="2918"/>
        <v/>
      </c>
      <c r="AJ475" s="81">
        <f t="shared" si="2944"/>
        <v>0</v>
      </c>
      <c r="AK475" s="83">
        <f t="shared" si="2945"/>
        <v>0</v>
      </c>
      <c r="AL475" s="83">
        <f t="shared" si="2946"/>
        <v>0</v>
      </c>
      <c r="AN475" s="43">
        <f t="shared" si="2919"/>
        <v>0</v>
      </c>
      <c r="AP475" t="str">
        <f t="shared" si="2947"/>
        <v/>
      </c>
      <c r="AQ475" t="str">
        <f t="shared" si="2948"/>
        <v/>
      </c>
      <c r="AR475" t="str">
        <f t="shared" si="2949"/>
        <v/>
      </c>
      <c r="AS475" t="str">
        <f t="shared" si="2950"/>
        <v/>
      </c>
      <c r="AT475" t="str">
        <f t="shared" si="2951"/>
        <v/>
      </c>
      <c r="AU475" t="str">
        <f t="shared" si="2952"/>
        <v/>
      </c>
      <c r="AV475" t="str">
        <f t="shared" si="2953"/>
        <v/>
      </c>
      <c r="AW475" t="str">
        <f t="shared" si="2954"/>
        <v xml:space="preserve">                              </v>
      </c>
      <c r="AX475" s="23">
        <f t="shared" si="2955"/>
        <v>0</v>
      </c>
      <c r="AY475" s="49" t="str">
        <f t="shared" si="2931"/>
        <v>000000000000000</v>
      </c>
      <c r="AZ475" s="23">
        <f t="shared" si="2956"/>
        <v>0</v>
      </c>
      <c r="BA475" s="49" t="str">
        <f t="shared" si="2931"/>
        <v>000000000000000</v>
      </c>
      <c r="BB475" s="23">
        <f t="shared" si="2957"/>
        <v>0</v>
      </c>
      <c r="BC475" s="49" t="str">
        <f t="shared" ref="BC475" si="3054">IF(BB475&lt;0,SUBSTITUTE(TEXT(BB475,"000000000000,00"),",",""),SUBSTITUTE(TEXT(BB475,"0000000000000,00"),",",""))</f>
        <v>000000000000000</v>
      </c>
      <c r="BD475" s="23">
        <f t="shared" si="2959"/>
        <v>0</v>
      </c>
      <c r="BE475" s="49" t="str">
        <f t="shared" ref="BE475" si="3055">IF(BD475&lt;0,SUBSTITUTE(TEXT(BD475,"000000000000,00"),",",""),SUBSTITUTE(TEXT(BD475,"0000000000000,00"),",",""))</f>
        <v>000000000000000</v>
      </c>
      <c r="BF475" s="23">
        <f t="shared" si="2961"/>
        <v>0</v>
      </c>
      <c r="BG475" s="49" t="str">
        <f t="shared" ref="BG475" si="3056">IF(BF475&lt;0,SUBSTITUTE(TEXT(BF475,"000000000000,00"),",",""),SUBSTITUTE(TEXT(BF475,"0000000000000,00"),",",""))</f>
        <v>000000000000000</v>
      </c>
      <c r="BH475" s="23">
        <f t="shared" si="2963"/>
        <v>0</v>
      </c>
      <c r="BI475" s="49" t="str">
        <f t="shared" ref="BI475" si="3057">IF(BH475&lt;0,SUBSTITUTE(TEXT(BH475,"000000000000,00"),",",""),SUBSTITUTE(TEXT(BH475,"0000000000000,00"),",",""))</f>
        <v>000000000000000</v>
      </c>
      <c r="BJ475" s="23">
        <f t="shared" si="2965"/>
        <v>0</v>
      </c>
      <c r="BK475" s="49" t="str">
        <f t="shared" ref="BK475" si="3058">IF(BJ475&lt;0,SUBSTITUTE(TEXT(BJ475,"000000000000,00"),",",""),SUBSTITUTE(TEXT(BJ475,"0000000000000,00"),",",""))</f>
        <v>000000000000000</v>
      </c>
      <c r="BL475" s="23">
        <f t="shared" si="2967"/>
        <v>0</v>
      </c>
      <c r="BM475" s="49" t="str">
        <f t="shared" ref="BM475" si="3059">IF(BL475&lt;0,SUBSTITUTE(TEXT(BL475,"000000000000,00"),",",""),SUBSTITUTE(TEXT(BL475,"0000000000000,00"),",",""))</f>
        <v>000000000000000</v>
      </c>
      <c r="BN475" t="str">
        <f t="shared" si="2969"/>
        <v>PES</v>
      </c>
      <c r="BO475" t="str">
        <f t="shared" si="2970"/>
        <v>0001000000</v>
      </c>
      <c r="BP475">
        <f t="shared" si="2971"/>
        <v>0</v>
      </c>
      <c r="BQ475">
        <f t="shared" si="2972"/>
        <v>0</v>
      </c>
      <c r="BR475" s="23">
        <f t="shared" si="2973"/>
        <v>0</v>
      </c>
      <c r="BS475" s="49" t="str">
        <f t="shared" si="2938"/>
        <v>000000000000000</v>
      </c>
      <c r="BT475" t="str">
        <f t="shared" si="2974"/>
        <v>00000000</v>
      </c>
      <c r="BU475" s="23">
        <f t="shared" si="2975"/>
        <v>0</v>
      </c>
      <c r="BV475" s="49" t="str">
        <f t="shared" si="2939"/>
        <v/>
      </c>
      <c r="BW475" s="52" t="str">
        <f t="shared" si="2976"/>
        <v/>
      </c>
      <c r="BX475" s="23">
        <f t="shared" si="2977"/>
        <v>0</v>
      </c>
      <c r="BY475" s="49" t="str">
        <f t="shared" si="2940"/>
        <v/>
      </c>
      <c r="BZ475" s="23">
        <f t="shared" si="2978"/>
        <v>0</v>
      </c>
      <c r="CA475" s="49" t="str">
        <f t="shared" si="2941"/>
        <v/>
      </c>
      <c r="CB475" s="52" t="str">
        <f t="shared" si="2979"/>
        <v/>
      </c>
      <c r="CC475" s="23">
        <f t="shared" si="2980"/>
        <v>0</v>
      </c>
      <c r="CD475" s="49" t="str">
        <f t="shared" si="2942"/>
        <v/>
      </c>
      <c r="CE475" s="56" t="str">
        <f>IF(CF475="","",MAX(CE$10:$CE474)+1)</f>
        <v/>
      </c>
      <c r="CF475" t="str">
        <f t="shared" si="2981"/>
        <v/>
      </c>
      <c r="CG475" s="22" t="str">
        <f>IF(CH475="","",MAX($CG$10:CG474)+1)</f>
        <v/>
      </c>
      <c r="CH475" s="22" t="str">
        <f t="shared" si="2926"/>
        <v/>
      </c>
      <c r="CI475" s="22" t="str">
        <f>IF(CJ475="","",MAX($CI$10:CI474)+1)</f>
        <v/>
      </c>
      <c r="CJ475" s="22" t="str">
        <f t="shared" si="2927"/>
        <v/>
      </c>
    </row>
    <row r="476" spans="2:88" x14ac:dyDescent="0.25">
      <c r="B476" s="37"/>
      <c r="C476" s="3"/>
      <c r="D476" s="77" t="str">
        <f t="shared" si="2913"/>
        <v/>
      </c>
      <c r="E476" s="38"/>
      <c r="F476" s="38"/>
      <c r="G476" s="78">
        <f t="shared" si="2928"/>
        <v>0</v>
      </c>
      <c r="H476" s="3">
        <v>80</v>
      </c>
      <c r="I476" s="77" t="str">
        <f t="shared" si="2914"/>
        <v/>
      </c>
      <c r="J476" s="32"/>
      <c r="K476" s="3"/>
      <c r="L476" s="39"/>
      <c r="M476" s="39"/>
      <c r="N476" s="39"/>
      <c r="O476" s="39"/>
      <c r="P476" s="39"/>
      <c r="Q476" s="39"/>
      <c r="R476" s="39"/>
      <c r="S476" s="39"/>
      <c r="T476" s="3" t="s">
        <v>645</v>
      </c>
      <c r="U476" s="77" t="str">
        <f t="shared" si="2915"/>
        <v/>
      </c>
      <c r="V476" s="39">
        <v>1</v>
      </c>
      <c r="W476" s="79">
        <f t="shared" si="2929"/>
        <v>0</v>
      </c>
      <c r="X476" s="3">
        <v>0</v>
      </c>
      <c r="Y476" s="77" t="str">
        <f t="shared" si="2916"/>
        <v/>
      </c>
      <c r="Z476" s="3"/>
      <c r="AA476" s="37" t="str">
        <f t="shared" si="2930"/>
        <v/>
      </c>
      <c r="AC476" s="40"/>
      <c r="AD476" s="7"/>
      <c r="AE476" s="77" t="str">
        <f t="shared" si="2917"/>
        <v/>
      </c>
      <c r="AF476" s="81">
        <f t="shared" si="2943"/>
        <v>0</v>
      </c>
      <c r="AG476" s="40"/>
      <c r="AH476" s="7"/>
      <c r="AI476" s="77" t="str">
        <f t="shared" si="2918"/>
        <v/>
      </c>
      <c r="AJ476" s="81">
        <f t="shared" si="2944"/>
        <v>0</v>
      </c>
      <c r="AK476" s="83">
        <f t="shared" si="2945"/>
        <v>0</v>
      </c>
      <c r="AL476" s="83">
        <f t="shared" si="2946"/>
        <v>0</v>
      </c>
      <c r="AN476" s="43">
        <f t="shared" si="2919"/>
        <v>0</v>
      </c>
      <c r="AP476" t="str">
        <f t="shared" si="2947"/>
        <v/>
      </c>
      <c r="AQ476" t="str">
        <f t="shared" si="2948"/>
        <v/>
      </c>
      <c r="AR476" t="str">
        <f t="shared" si="2949"/>
        <v/>
      </c>
      <c r="AS476" t="str">
        <f t="shared" si="2950"/>
        <v/>
      </c>
      <c r="AT476" t="str">
        <f t="shared" si="2951"/>
        <v/>
      </c>
      <c r="AU476" t="str">
        <f t="shared" si="2952"/>
        <v/>
      </c>
      <c r="AV476" t="str">
        <f t="shared" si="2953"/>
        <v/>
      </c>
      <c r="AW476" t="str">
        <f t="shared" si="2954"/>
        <v xml:space="preserve">                              </v>
      </c>
      <c r="AX476" s="23">
        <f t="shared" si="2955"/>
        <v>0</v>
      </c>
      <c r="AY476" s="49" t="str">
        <f t="shared" si="2931"/>
        <v>000000000000000</v>
      </c>
      <c r="AZ476" s="23">
        <f t="shared" si="2956"/>
        <v>0</v>
      </c>
      <c r="BA476" s="49" t="str">
        <f t="shared" si="2931"/>
        <v>000000000000000</v>
      </c>
      <c r="BB476" s="23">
        <f t="shared" si="2957"/>
        <v>0</v>
      </c>
      <c r="BC476" s="49" t="str">
        <f t="shared" ref="BC476" si="3060">IF(BB476&lt;0,SUBSTITUTE(TEXT(BB476,"000000000000,00"),",",""),SUBSTITUTE(TEXT(BB476,"0000000000000,00"),",",""))</f>
        <v>000000000000000</v>
      </c>
      <c r="BD476" s="23">
        <f t="shared" si="2959"/>
        <v>0</v>
      </c>
      <c r="BE476" s="49" t="str">
        <f t="shared" ref="BE476" si="3061">IF(BD476&lt;0,SUBSTITUTE(TEXT(BD476,"000000000000,00"),",",""),SUBSTITUTE(TEXT(BD476,"0000000000000,00"),",",""))</f>
        <v>000000000000000</v>
      </c>
      <c r="BF476" s="23">
        <f t="shared" si="2961"/>
        <v>0</v>
      </c>
      <c r="BG476" s="49" t="str">
        <f t="shared" ref="BG476" si="3062">IF(BF476&lt;0,SUBSTITUTE(TEXT(BF476,"000000000000,00"),",",""),SUBSTITUTE(TEXT(BF476,"0000000000000,00"),",",""))</f>
        <v>000000000000000</v>
      </c>
      <c r="BH476" s="23">
        <f t="shared" si="2963"/>
        <v>0</v>
      </c>
      <c r="BI476" s="49" t="str">
        <f t="shared" ref="BI476" si="3063">IF(BH476&lt;0,SUBSTITUTE(TEXT(BH476,"000000000000,00"),",",""),SUBSTITUTE(TEXT(BH476,"0000000000000,00"),",",""))</f>
        <v>000000000000000</v>
      </c>
      <c r="BJ476" s="23">
        <f t="shared" si="2965"/>
        <v>0</v>
      </c>
      <c r="BK476" s="49" t="str">
        <f t="shared" ref="BK476" si="3064">IF(BJ476&lt;0,SUBSTITUTE(TEXT(BJ476,"000000000000,00"),",",""),SUBSTITUTE(TEXT(BJ476,"0000000000000,00"),",",""))</f>
        <v>000000000000000</v>
      </c>
      <c r="BL476" s="23">
        <f t="shared" si="2967"/>
        <v>0</v>
      </c>
      <c r="BM476" s="49" t="str">
        <f t="shared" ref="BM476" si="3065">IF(BL476&lt;0,SUBSTITUTE(TEXT(BL476,"000000000000,00"),",",""),SUBSTITUTE(TEXT(BL476,"0000000000000,00"),",",""))</f>
        <v>000000000000000</v>
      </c>
      <c r="BN476" t="str">
        <f t="shared" si="2969"/>
        <v>PES</v>
      </c>
      <c r="BO476" t="str">
        <f t="shared" si="2970"/>
        <v>0001000000</v>
      </c>
      <c r="BP476">
        <f t="shared" si="2971"/>
        <v>0</v>
      </c>
      <c r="BQ476">
        <f t="shared" si="2972"/>
        <v>0</v>
      </c>
      <c r="BR476" s="23">
        <f t="shared" si="2973"/>
        <v>0</v>
      </c>
      <c r="BS476" s="49" t="str">
        <f t="shared" si="2938"/>
        <v>000000000000000</v>
      </c>
      <c r="BT476" t="str">
        <f t="shared" si="2974"/>
        <v>00000000</v>
      </c>
      <c r="BU476" s="23">
        <f t="shared" si="2975"/>
        <v>0</v>
      </c>
      <c r="BV476" s="49" t="str">
        <f t="shared" si="2939"/>
        <v/>
      </c>
      <c r="BW476" s="52" t="str">
        <f t="shared" si="2976"/>
        <v/>
      </c>
      <c r="BX476" s="23">
        <f t="shared" si="2977"/>
        <v>0</v>
      </c>
      <c r="BY476" s="49" t="str">
        <f t="shared" si="2940"/>
        <v/>
      </c>
      <c r="BZ476" s="23">
        <f t="shared" si="2978"/>
        <v>0</v>
      </c>
      <c r="CA476" s="49" t="str">
        <f t="shared" si="2941"/>
        <v/>
      </c>
      <c r="CB476" s="52" t="str">
        <f t="shared" si="2979"/>
        <v/>
      </c>
      <c r="CC476" s="23">
        <f t="shared" si="2980"/>
        <v>0</v>
      </c>
      <c r="CD476" s="49" t="str">
        <f t="shared" si="2942"/>
        <v/>
      </c>
      <c r="CE476" s="56" t="str">
        <f>IF(CF476="","",MAX(CE$10:$CE475)+1)</f>
        <v/>
      </c>
      <c r="CF476" t="str">
        <f t="shared" si="2981"/>
        <v/>
      </c>
      <c r="CG476" s="22" t="str">
        <f>IF(CH476="","",MAX($CG$10:CG475)+1)</f>
        <v/>
      </c>
      <c r="CH476" s="22" t="str">
        <f t="shared" si="2926"/>
        <v/>
      </c>
      <c r="CI476" s="22" t="str">
        <f>IF(CJ476="","",MAX($CI$10:CI475)+1)</f>
        <v/>
      </c>
      <c r="CJ476" s="22" t="str">
        <f t="shared" si="2927"/>
        <v/>
      </c>
    </row>
    <row r="477" spans="2:88" x14ac:dyDescent="0.25">
      <c r="B477" s="37"/>
      <c r="C477" s="3"/>
      <c r="D477" s="77" t="str">
        <f t="shared" si="2913"/>
        <v/>
      </c>
      <c r="E477" s="38"/>
      <c r="F477" s="38"/>
      <c r="G477" s="78">
        <f t="shared" si="2928"/>
        <v>0</v>
      </c>
      <c r="H477" s="3">
        <v>80</v>
      </c>
      <c r="I477" s="77" t="str">
        <f t="shared" si="2914"/>
        <v/>
      </c>
      <c r="J477" s="32"/>
      <c r="K477" s="3"/>
      <c r="L477" s="39"/>
      <c r="M477" s="39"/>
      <c r="N477" s="39"/>
      <c r="O477" s="39"/>
      <c r="P477" s="39"/>
      <c r="Q477" s="39"/>
      <c r="R477" s="39"/>
      <c r="S477" s="39"/>
      <c r="T477" s="3" t="s">
        <v>645</v>
      </c>
      <c r="U477" s="77" t="str">
        <f t="shared" si="2915"/>
        <v/>
      </c>
      <c r="V477" s="39">
        <v>1</v>
      </c>
      <c r="W477" s="79">
        <f t="shared" si="2929"/>
        <v>0</v>
      </c>
      <c r="X477" s="3">
        <v>0</v>
      </c>
      <c r="Y477" s="77" t="str">
        <f t="shared" si="2916"/>
        <v/>
      </c>
      <c r="Z477" s="3"/>
      <c r="AA477" s="37" t="str">
        <f t="shared" si="2930"/>
        <v/>
      </c>
      <c r="AC477" s="40"/>
      <c r="AD477" s="7"/>
      <c r="AE477" s="77" t="str">
        <f t="shared" si="2917"/>
        <v/>
      </c>
      <c r="AF477" s="81">
        <f t="shared" si="2943"/>
        <v>0</v>
      </c>
      <c r="AG477" s="40"/>
      <c r="AH477" s="7"/>
      <c r="AI477" s="77" t="str">
        <f t="shared" si="2918"/>
        <v/>
      </c>
      <c r="AJ477" s="81">
        <f t="shared" si="2944"/>
        <v>0</v>
      </c>
      <c r="AK477" s="83">
        <f t="shared" si="2945"/>
        <v>0</v>
      </c>
      <c r="AL477" s="83">
        <f t="shared" si="2946"/>
        <v>0</v>
      </c>
      <c r="AN477" s="43">
        <f t="shared" si="2919"/>
        <v>0</v>
      </c>
      <c r="AP477" t="str">
        <f t="shared" si="2947"/>
        <v/>
      </c>
      <c r="AQ477" t="str">
        <f t="shared" si="2948"/>
        <v/>
      </c>
      <c r="AR477" t="str">
        <f t="shared" si="2949"/>
        <v/>
      </c>
      <c r="AS477" t="str">
        <f t="shared" si="2950"/>
        <v/>
      </c>
      <c r="AT477" t="str">
        <f t="shared" si="2951"/>
        <v/>
      </c>
      <c r="AU477" t="str">
        <f t="shared" si="2952"/>
        <v/>
      </c>
      <c r="AV477" t="str">
        <f t="shared" si="2953"/>
        <v/>
      </c>
      <c r="AW477" t="str">
        <f t="shared" si="2954"/>
        <v xml:space="preserve">                              </v>
      </c>
      <c r="AX477" s="23">
        <f t="shared" si="2955"/>
        <v>0</v>
      </c>
      <c r="AY477" s="49" t="str">
        <f t="shared" si="2931"/>
        <v>000000000000000</v>
      </c>
      <c r="AZ477" s="23">
        <f t="shared" si="2956"/>
        <v>0</v>
      </c>
      <c r="BA477" s="49" t="str">
        <f t="shared" si="2931"/>
        <v>000000000000000</v>
      </c>
      <c r="BB477" s="23">
        <f t="shared" si="2957"/>
        <v>0</v>
      </c>
      <c r="BC477" s="49" t="str">
        <f t="shared" ref="BC477" si="3066">IF(BB477&lt;0,SUBSTITUTE(TEXT(BB477,"000000000000,00"),",",""),SUBSTITUTE(TEXT(BB477,"0000000000000,00"),",",""))</f>
        <v>000000000000000</v>
      </c>
      <c r="BD477" s="23">
        <f t="shared" si="2959"/>
        <v>0</v>
      </c>
      <c r="BE477" s="49" t="str">
        <f t="shared" ref="BE477" si="3067">IF(BD477&lt;0,SUBSTITUTE(TEXT(BD477,"000000000000,00"),",",""),SUBSTITUTE(TEXT(BD477,"0000000000000,00"),",",""))</f>
        <v>000000000000000</v>
      </c>
      <c r="BF477" s="23">
        <f t="shared" si="2961"/>
        <v>0</v>
      </c>
      <c r="BG477" s="49" t="str">
        <f t="shared" ref="BG477" si="3068">IF(BF477&lt;0,SUBSTITUTE(TEXT(BF477,"000000000000,00"),",",""),SUBSTITUTE(TEXT(BF477,"0000000000000,00"),",",""))</f>
        <v>000000000000000</v>
      </c>
      <c r="BH477" s="23">
        <f t="shared" si="2963"/>
        <v>0</v>
      </c>
      <c r="BI477" s="49" t="str">
        <f t="shared" ref="BI477" si="3069">IF(BH477&lt;0,SUBSTITUTE(TEXT(BH477,"000000000000,00"),",",""),SUBSTITUTE(TEXT(BH477,"0000000000000,00"),",",""))</f>
        <v>000000000000000</v>
      </c>
      <c r="BJ477" s="23">
        <f t="shared" si="2965"/>
        <v>0</v>
      </c>
      <c r="BK477" s="49" t="str">
        <f t="shared" ref="BK477" si="3070">IF(BJ477&lt;0,SUBSTITUTE(TEXT(BJ477,"000000000000,00"),",",""),SUBSTITUTE(TEXT(BJ477,"0000000000000,00"),",",""))</f>
        <v>000000000000000</v>
      </c>
      <c r="BL477" s="23">
        <f t="shared" si="2967"/>
        <v>0</v>
      </c>
      <c r="BM477" s="49" t="str">
        <f t="shared" ref="BM477" si="3071">IF(BL477&lt;0,SUBSTITUTE(TEXT(BL477,"000000000000,00"),",",""),SUBSTITUTE(TEXT(BL477,"0000000000000,00"),",",""))</f>
        <v>000000000000000</v>
      </c>
      <c r="BN477" t="str">
        <f t="shared" si="2969"/>
        <v>PES</v>
      </c>
      <c r="BO477" t="str">
        <f t="shared" si="2970"/>
        <v>0001000000</v>
      </c>
      <c r="BP477">
        <f t="shared" si="2971"/>
        <v>0</v>
      </c>
      <c r="BQ477">
        <f t="shared" si="2972"/>
        <v>0</v>
      </c>
      <c r="BR477" s="23">
        <f t="shared" si="2973"/>
        <v>0</v>
      </c>
      <c r="BS477" s="49" t="str">
        <f t="shared" si="2938"/>
        <v>000000000000000</v>
      </c>
      <c r="BT477" t="str">
        <f t="shared" si="2974"/>
        <v>00000000</v>
      </c>
      <c r="BU477" s="23">
        <f t="shared" si="2975"/>
        <v>0</v>
      </c>
      <c r="BV477" s="49" t="str">
        <f t="shared" si="2939"/>
        <v/>
      </c>
      <c r="BW477" s="52" t="str">
        <f t="shared" si="2976"/>
        <v/>
      </c>
      <c r="BX477" s="23">
        <f t="shared" si="2977"/>
        <v>0</v>
      </c>
      <c r="BY477" s="49" t="str">
        <f t="shared" si="2940"/>
        <v/>
      </c>
      <c r="BZ477" s="23">
        <f t="shared" si="2978"/>
        <v>0</v>
      </c>
      <c r="CA477" s="49" t="str">
        <f t="shared" si="2941"/>
        <v/>
      </c>
      <c r="CB477" s="52" t="str">
        <f t="shared" si="2979"/>
        <v/>
      </c>
      <c r="CC477" s="23">
        <f t="shared" si="2980"/>
        <v>0</v>
      </c>
      <c r="CD477" s="49" t="str">
        <f t="shared" si="2942"/>
        <v/>
      </c>
      <c r="CE477" s="56" t="str">
        <f>IF(CF477="","",MAX(CE$10:$CE476)+1)</f>
        <v/>
      </c>
      <c r="CF477" t="str">
        <f t="shared" si="2981"/>
        <v/>
      </c>
      <c r="CG477" s="22" t="str">
        <f>IF(CH477="","",MAX($CG$10:CG476)+1)</f>
        <v/>
      </c>
      <c r="CH477" s="22" t="str">
        <f t="shared" si="2926"/>
        <v/>
      </c>
      <c r="CI477" s="22" t="str">
        <f>IF(CJ477="","",MAX($CI$10:CI476)+1)</f>
        <v/>
      </c>
      <c r="CJ477" s="22" t="str">
        <f t="shared" si="2927"/>
        <v/>
      </c>
    </row>
    <row r="478" spans="2:88" x14ac:dyDescent="0.25">
      <c r="B478" s="37"/>
      <c r="C478" s="3"/>
      <c r="D478" s="77" t="str">
        <f t="shared" si="2913"/>
        <v/>
      </c>
      <c r="E478" s="38"/>
      <c r="F478" s="38"/>
      <c r="G478" s="78">
        <f t="shared" si="2928"/>
        <v>0</v>
      </c>
      <c r="H478" s="3">
        <v>80</v>
      </c>
      <c r="I478" s="77" t="str">
        <f t="shared" si="2914"/>
        <v/>
      </c>
      <c r="J478" s="32"/>
      <c r="K478" s="3"/>
      <c r="L478" s="39"/>
      <c r="M478" s="39"/>
      <c r="N478" s="39"/>
      <c r="O478" s="39"/>
      <c r="P478" s="39"/>
      <c r="Q478" s="39"/>
      <c r="R478" s="39"/>
      <c r="S478" s="39"/>
      <c r="T478" s="3" t="s">
        <v>645</v>
      </c>
      <c r="U478" s="77" t="str">
        <f t="shared" si="2915"/>
        <v/>
      </c>
      <c r="V478" s="39">
        <v>1</v>
      </c>
      <c r="W478" s="79">
        <f t="shared" si="2929"/>
        <v>0</v>
      </c>
      <c r="X478" s="3">
        <v>0</v>
      </c>
      <c r="Y478" s="77" t="str">
        <f t="shared" si="2916"/>
        <v/>
      </c>
      <c r="Z478" s="3"/>
      <c r="AA478" s="37" t="str">
        <f t="shared" si="2930"/>
        <v/>
      </c>
      <c r="AC478" s="40"/>
      <c r="AD478" s="7"/>
      <c r="AE478" s="77" t="str">
        <f t="shared" si="2917"/>
        <v/>
      </c>
      <c r="AF478" s="81">
        <f t="shared" si="2943"/>
        <v>0</v>
      </c>
      <c r="AG478" s="40"/>
      <c r="AH478" s="7"/>
      <c r="AI478" s="77" t="str">
        <f t="shared" si="2918"/>
        <v/>
      </c>
      <c r="AJ478" s="81">
        <f t="shared" si="2944"/>
        <v>0</v>
      </c>
      <c r="AK478" s="83">
        <f t="shared" si="2945"/>
        <v>0</v>
      </c>
      <c r="AL478" s="83">
        <f t="shared" si="2946"/>
        <v>0</v>
      </c>
      <c r="AN478" s="43">
        <f t="shared" si="2919"/>
        <v>0</v>
      </c>
      <c r="AP478" t="str">
        <f t="shared" si="2947"/>
        <v/>
      </c>
      <c r="AQ478" t="str">
        <f t="shared" si="2948"/>
        <v/>
      </c>
      <c r="AR478" t="str">
        <f t="shared" si="2949"/>
        <v/>
      </c>
      <c r="AS478" t="str">
        <f t="shared" si="2950"/>
        <v/>
      </c>
      <c r="AT478" t="str">
        <f t="shared" si="2951"/>
        <v/>
      </c>
      <c r="AU478" t="str">
        <f t="shared" si="2952"/>
        <v/>
      </c>
      <c r="AV478" t="str">
        <f t="shared" si="2953"/>
        <v/>
      </c>
      <c r="AW478" t="str">
        <f t="shared" si="2954"/>
        <v xml:space="preserve">                              </v>
      </c>
      <c r="AX478" s="23">
        <f t="shared" si="2955"/>
        <v>0</v>
      </c>
      <c r="AY478" s="49" t="str">
        <f t="shared" si="2931"/>
        <v>000000000000000</v>
      </c>
      <c r="AZ478" s="23">
        <f t="shared" si="2956"/>
        <v>0</v>
      </c>
      <c r="BA478" s="49" t="str">
        <f t="shared" si="2931"/>
        <v>000000000000000</v>
      </c>
      <c r="BB478" s="23">
        <f t="shared" si="2957"/>
        <v>0</v>
      </c>
      <c r="BC478" s="49" t="str">
        <f t="shared" ref="BC478" si="3072">IF(BB478&lt;0,SUBSTITUTE(TEXT(BB478,"000000000000,00"),",",""),SUBSTITUTE(TEXT(BB478,"0000000000000,00"),",",""))</f>
        <v>000000000000000</v>
      </c>
      <c r="BD478" s="23">
        <f t="shared" si="2959"/>
        <v>0</v>
      </c>
      <c r="BE478" s="49" t="str">
        <f t="shared" ref="BE478" si="3073">IF(BD478&lt;0,SUBSTITUTE(TEXT(BD478,"000000000000,00"),",",""),SUBSTITUTE(TEXT(BD478,"0000000000000,00"),",",""))</f>
        <v>000000000000000</v>
      </c>
      <c r="BF478" s="23">
        <f t="shared" si="2961"/>
        <v>0</v>
      </c>
      <c r="BG478" s="49" t="str">
        <f t="shared" ref="BG478" si="3074">IF(BF478&lt;0,SUBSTITUTE(TEXT(BF478,"000000000000,00"),",",""),SUBSTITUTE(TEXT(BF478,"0000000000000,00"),",",""))</f>
        <v>000000000000000</v>
      </c>
      <c r="BH478" s="23">
        <f t="shared" si="2963"/>
        <v>0</v>
      </c>
      <c r="BI478" s="49" t="str">
        <f t="shared" ref="BI478" si="3075">IF(BH478&lt;0,SUBSTITUTE(TEXT(BH478,"000000000000,00"),",",""),SUBSTITUTE(TEXT(BH478,"0000000000000,00"),",",""))</f>
        <v>000000000000000</v>
      </c>
      <c r="BJ478" s="23">
        <f t="shared" si="2965"/>
        <v>0</v>
      </c>
      <c r="BK478" s="49" t="str">
        <f t="shared" ref="BK478" si="3076">IF(BJ478&lt;0,SUBSTITUTE(TEXT(BJ478,"000000000000,00"),",",""),SUBSTITUTE(TEXT(BJ478,"0000000000000,00"),",",""))</f>
        <v>000000000000000</v>
      </c>
      <c r="BL478" s="23">
        <f t="shared" si="2967"/>
        <v>0</v>
      </c>
      <c r="BM478" s="49" t="str">
        <f t="shared" ref="BM478" si="3077">IF(BL478&lt;0,SUBSTITUTE(TEXT(BL478,"000000000000,00"),",",""),SUBSTITUTE(TEXT(BL478,"0000000000000,00"),",",""))</f>
        <v>000000000000000</v>
      </c>
      <c r="BN478" t="str">
        <f t="shared" si="2969"/>
        <v>PES</v>
      </c>
      <c r="BO478" t="str">
        <f t="shared" si="2970"/>
        <v>0001000000</v>
      </c>
      <c r="BP478">
        <f t="shared" si="2971"/>
        <v>0</v>
      </c>
      <c r="BQ478">
        <f t="shared" si="2972"/>
        <v>0</v>
      </c>
      <c r="BR478" s="23">
        <f t="shared" si="2973"/>
        <v>0</v>
      </c>
      <c r="BS478" s="49" t="str">
        <f t="shared" si="2938"/>
        <v>000000000000000</v>
      </c>
      <c r="BT478" t="str">
        <f t="shared" si="2974"/>
        <v>00000000</v>
      </c>
      <c r="BU478" s="23">
        <f t="shared" si="2975"/>
        <v>0</v>
      </c>
      <c r="BV478" s="49" t="str">
        <f t="shared" si="2939"/>
        <v/>
      </c>
      <c r="BW478" s="52" t="str">
        <f t="shared" si="2976"/>
        <v/>
      </c>
      <c r="BX478" s="23">
        <f t="shared" si="2977"/>
        <v>0</v>
      </c>
      <c r="BY478" s="49" t="str">
        <f t="shared" si="2940"/>
        <v/>
      </c>
      <c r="BZ478" s="23">
        <f t="shared" si="2978"/>
        <v>0</v>
      </c>
      <c r="CA478" s="49" t="str">
        <f t="shared" si="2941"/>
        <v/>
      </c>
      <c r="CB478" s="52" t="str">
        <f t="shared" si="2979"/>
        <v/>
      </c>
      <c r="CC478" s="23">
        <f t="shared" si="2980"/>
        <v>0</v>
      </c>
      <c r="CD478" s="49" t="str">
        <f t="shared" si="2942"/>
        <v/>
      </c>
      <c r="CE478" s="56" t="str">
        <f>IF(CF478="","",MAX(CE$10:$CE477)+1)</f>
        <v/>
      </c>
      <c r="CF478" t="str">
        <f t="shared" si="2981"/>
        <v/>
      </c>
      <c r="CG478" s="22" t="str">
        <f>IF(CH478="","",MAX($CG$10:CG477)+1)</f>
        <v/>
      </c>
      <c r="CH478" s="22" t="str">
        <f t="shared" si="2926"/>
        <v/>
      </c>
      <c r="CI478" s="22" t="str">
        <f>IF(CJ478="","",MAX($CI$10:CI477)+1)</f>
        <v/>
      </c>
      <c r="CJ478" s="22" t="str">
        <f t="shared" si="2927"/>
        <v/>
      </c>
    </row>
    <row r="479" spans="2:88" x14ac:dyDescent="0.25">
      <c r="B479" s="37"/>
      <c r="C479" s="3"/>
      <c r="D479" s="77" t="str">
        <f t="shared" si="2913"/>
        <v/>
      </c>
      <c r="E479" s="38"/>
      <c r="F479" s="38"/>
      <c r="G479" s="78">
        <f t="shared" si="2928"/>
        <v>0</v>
      </c>
      <c r="H479" s="3">
        <v>80</v>
      </c>
      <c r="I479" s="77" t="str">
        <f t="shared" si="2914"/>
        <v/>
      </c>
      <c r="J479" s="32"/>
      <c r="K479" s="3"/>
      <c r="L479" s="39"/>
      <c r="M479" s="39"/>
      <c r="N479" s="39"/>
      <c r="O479" s="39"/>
      <c r="P479" s="39"/>
      <c r="Q479" s="39"/>
      <c r="R479" s="39"/>
      <c r="S479" s="39"/>
      <c r="T479" s="3" t="s">
        <v>645</v>
      </c>
      <c r="U479" s="77" t="str">
        <f t="shared" si="2915"/>
        <v/>
      </c>
      <c r="V479" s="39">
        <v>1</v>
      </c>
      <c r="W479" s="79">
        <f t="shared" si="2929"/>
        <v>0</v>
      </c>
      <c r="X479" s="3">
        <v>0</v>
      </c>
      <c r="Y479" s="77" t="str">
        <f t="shared" si="2916"/>
        <v/>
      </c>
      <c r="Z479" s="3"/>
      <c r="AA479" s="37" t="str">
        <f t="shared" si="2930"/>
        <v/>
      </c>
      <c r="AC479" s="40"/>
      <c r="AD479" s="7"/>
      <c r="AE479" s="77" t="str">
        <f t="shared" si="2917"/>
        <v/>
      </c>
      <c r="AF479" s="81">
        <f t="shared" si="2943"/>
        <v>0</v>
      </c>
      <c r="AG479" s="40"/>
      <c r="AH479" s="7"/>
      <c r="AI479" s="77" t="str">
        <f t="shared" si="2918"/>
        <v/>
      </c>
      <c r="AJ479" s="81">
        <f t="shared" si="2944"/>
        <v>0</v>
      </c>
      <c r="AK479" s="83">
        <f t="shared" si="2945"/>
        <v>0</v>
      </c>
      <c r="AL479" s="83">
        <f t="shared" si="2946"/>
        <v>0</v>
      </c>
      <c r="AN479" s="43">
        <f t="shared" si="2919"/>
        <v>0</v>
      </c>
      <c r="AP479" t="str">
        <f t="shared" si="2947"/>
        <v/>
      </c>
      <c r="AQ479" t="str">
        <f t="shared" si="2948"/>
        <v/>
      </c>
      <c r="AR479" t="str">
        <f t="shared" si="2949"/>
        <v/>
      </c>
      <c r="AS479" t="str">
        <f t="shared" si="2950"/>
        <v/>
      </c>
      <c r="AT479" t="str">
        <f t="shared" si="2951"/>
        <v/>
      </c>
      <c r="AU479" t="str">
        <f t="shared" si="2952"/>
        <v/>
      </c>
      <c r="AV479" t="str">
        <f t="shared" si="2953"/>
        <v/>
      </c>
      <c r="AW479" t="str">
        <f t="shared" si="2954"/>
        <v xml:space="preserve">                              </v>
      </c>
      <c r="AX479" s="23">
        <f t="shared" si="2955"/>
        <v>0</v>
      </c>
      <c r="AY479" s="49" t="str">
        <f t="shared" si="2931"/>
        <v>000000000000000</v>
      </c>
      <c r="AZ479" s="23">
        <f t="shared" si="2956"/>
        <v>0</v>
      </c>
      <c r="BA479" s="49" t="str">
        <f t="shared" si="2931"/>
        <v>000000000000000</v>
      </c>
      <c r="BB479" s="23">
        <f t="shared" si="2957"/>
        <v>0</v>
      </c>
      <c r="BC479" s="49" t="str">
        <f t="shared" ref="BC479" si="3078">IF(BB479&lt;0,SUBSTITUTE(TEXT(BB479,"000000000000,00"),",",""),SUBSTITUTE(TEXT(BB479,"0000000000000,00"),",",""))</f>
        <v>000000000000000</v>
      </c>
      <c r="BD479" s="23">
        <f t="shared" si="2959"/>
        <v>0</v>
      </c>
      <c r="BE479" s="49" t="str">
        <f t="shared" ref="BE479" si="3079">IF(BD479&lt;0,SUBSTITUTE(TEXT(BD479,"000000000000,00"),",",""),SUBSTITUTE(TEXT(BD479,"0000000000000,00"),",",""))</f>
        <v>000000000000000</v>
      </c>
      <c r="BF479" s="23">
        <f t="shared" si="2961"/>
        <v>0</v>
      </c>
      <c r="BG479" s="49" t="str">
        <f t="shared" ref="BG479" si="3080">IF(BF479&lt;0,SUBSTITUTE(TEXT(BF479,"000000000000,00"),",",""),SUBSTITUTE(TEXT(BF479,"0000000000000,00"),",",""))</f>
        <v>000000000000000</v>
      </c>
      <c r="BH479" s="23">
        <f t="shared" si="2963"/>
        <v>0</v>
      </c>
      <c r="BI479" s="49" t="str">
        <f t="shared" ref="BI479" si="3081">IF(BH479&lt;0,SUBSTITUTE(TEXT(BH479,"000000000000,00"),",",""),SUBSTITUTE(TEXT(BH479,"0000000000000,00"),",",""))</f>
        <v>000000000000000</v>
      </c>
      <c r="BJ479" s="23">
        <f t="shared" si="2965"/>
        <v>0</v>
      </c>
      <c r="BK479" s="49" t="str">
        <f t="shared" ref="BK479" si="3082">IF(BJ479&lt;0,SUBSTITUTE(TEXT(BJ479,"000000000000,00"),",",""),SUBSTITUTE(TEXT(BJ479,"0000000000000,00"),",",""))</f>
        <v>000000000000000</v>
      </c>
      <c r="BL479" s="23">
        <f t="shared" si="2967"/>
        <v>0</v>
      </c>
      <c r="BM479" s="49" t="str">
        <f t="shared" ref="BM479" si="3083">IF(BL479&lt;0,SUBSTITUTE(TEXT(BL479,"000000000000,00"),",",""),SUBSTITUTE(TEXT(BL479,"0000000000000,00"),",",""))</f>
        <v>000000000000000</v>
      </c>
      <c r="BN479" t="str">
        <f t="shared" si="2969"/>
        <v>PES</v>
      </c>
      <c r="BO479" t="str">
        <f t="shared" si="2970"/>
        <v>0001000000</v>
      </c>
      <c r="BP479">
        <f t="shared" si="2971"/>
        <v>0</v>
      </c>
      <c r="BQ479">
        <f t="shared" si="2972"/>
        <v>0</v>
      </c>
      <c r="BR479" s="23">
        <f t="shared" si="2973"/>
        <v>0</v>
      </c>
      <c r="BS479" s="49" t="str">
        <f t="shared" si="2938"/>
        <v>000000000000000</v>
      </c>
      <c r="BT479" t="str">
        <f t="shared" si="2974"/>
        <v>00000000</v>
      </c>
      <c r="BU479" s="23">
        <f t="shared" si="2975"/>
        <v>0</v>
      </c>
      <c r="BV479" s="49" t="str">
        <f t="shared" si="2939"/>
        <v/>
      </c>
      <c r="BW479" s="52" t="str">
        <f t="shared" si="2976"/>
        <v/>
      </c>
      <c r="BX479" s="23">
        <f t="shared" si="2977"/>
        <v>0</v>
      </c>
      <c r="BY479" s="49" t="str">
        <f t="shared" si="2940"/>
        <v/>
      </c>
      <c r="BZ479" s="23">
        <f t="shared" si="2978"/>
        <v>0</v>
      </c>
      <c r="CA479" s="49" t="str">
        <f t="shared" si="2941"/>
        <v/>
      </c>
      <c r="CB479" s="52" t="str">
        <f t="shared" si="2979"/>
        <v/>
      </c>
      <c r="CC479" s="23">
        <f t="shared" si="2980"/>
        <v>0</v>
      </c>
      <c r="CD479" s="49" t="str">
        <f t="shared" si="2942"/>
        <v/>
      </c>
      <c r="CE479" s="56" t="str">
        <f>IF(CF479="","",MAX(CE$10:$CE478)+1)</f>
        <v/>
      </c>
      <c r="CF479" t="str">
        <f t="shared" si="2981"/>
        <v/>
      </c>
      <c r="CG479" s="22" t="str">
        <f>IF(CH479="","",MAX($CG$10:CG478)+1)</f>
        <v/>
      </c>
      <c r="CH479" s="22" t="str">
        <f t="shared" si="2926"/>
        <v/>
      </c>
      <c r="CI479" s="22" t="str">
        <f>IF(CJ479="","",MAX($CI$10:CI478)+1)</f>
        <v/>
      </c>
      <c r="CJ479" s="22" t="str">
        <f t="shared" si="2927"/>
        <v/>
      </c>
    </row>
    <row r="480" spans="2:88" x14ac:dyDescent="0.25">
      <c r="B480" s="37"/>
      <c r="C480" s="3"/>
      <c r="D480" s="77" t="str">
        <f t="shared" si="2913"/>
        <v/>
      </c>
      <c r="E480" s="38"/>
      <c r="F480" s="38"/>
      <c r="G480" s="78">
        <f t="shared" si="2928"/>
        <v>0</v>
      </c>
      <c r="H480" s="3">
        <v>80</v>
      </c>
      <c r="I480" s="77" t="str">
        <f t="shared" si="2914"/>
        <v/>
      </c>
      <c r="J480" s="32"/>
      <c r="K480" s="3"/>
      <c r="L480" s="39"/>
      <c r="M480" s="39"/>
      <c r="N480" s="39"/>
      <c r="O480" s="39"/>
      <c r="P480" s="39"/>
      <c r="Q480" s="39"/>
      <c r="R480" s="39"/>
      <c r="S480" s="39"/>
      <c r="T480" s="3" t="s">
        <v>645</v>
      </c>
      <c r="U480" s="77" t="str">
        <f t="shared" si="2915"/>
        <v/>
      </c>
      <c r="V480" s="39">
        <v>1</v>
      </c>
      <c r="W480" s="79">
        <f t="shared" si="2929"/>
        <v>0</v>
      </c>
      <c r="X480" s="3">
        <v>0</v>
      </c>
      <c r="Y480" s="77" t="str">
        <f t="shared" si="2916"/>
        <v/>
      </c>
      <c r="Z480" s="3"/>
      <c r="AA480" s="37" t="str">
        <f t="shared" si="2930"/>
        <v/>
      </c>
      <c r="AC480" s="40"/>
      <c r="AD480" s="7"/>
      <c r="AE480" s="77" t="str">
        <f t="shared" si="2917"/>
        <v/>
      </c>
      <c r="AF480" s="81">
        <f t="shared" si="2943"/>
        <v>0</v>
      </c>
      <c r="AG480" s="40"/>
      <c r="AH480" s="7"/>
      <c r="AI480" s="77" t="str">
        <f t="shared" si="2918"/>
        <v/>
      </c>
      <c r="AJ480" s="81">
        <f t="shared" si="2944"/>
        <v>0</v>
      </c>
      <c r="AK480" s="83">
        <f t="shared" si="2945"/>
        <v>0</v>
      </c>
      <c r="AL480" s="83">
        <f t="shared" si="2946"/>
        <v>0</v>
      </c>
      <c r="AN480" s="43">
        <f t="shared" si="2919"/>
        <v>0</v>
      </c>
      <c r="AP480" t="str">
        <f t="shared" si="2947"/>
        <v/>
      </c>
      <c r="AQ480" t="str">
        <f t="shared" si="2948"/>
        <v/>
      </c>
      <c r="AR480" t="str">
        <f t="shared" si="2949"/>
        <v/>
      </c>
      <c r="AS480" t="str">
        <f t="shared" si="2950"/>
        <v/>
      </c>
      <c r="AT480" t="str">
        <f t="shared" si="2951"/>
        <v/>
      </c>
      <c r="AU480" t="str">
        <f t="shared" si="2952"/>
        <v/>
      </c>
      <c r="AV480" t="str">
        <f t="shared" si="2953"/>
        <v/>
      </c>
      <c r="AW480" t="str">
        <f t="shared" si="2954"/>
        <v xml:space="preserve">                              </v>
      </c>
      <c r="AX480" s="23">
        <f t="shared" si="2955"/>
        <v>0</v>
      </c>
      <c r="AY480" s="49" t="str">
        <f t="shared" si="2931"/>
        <v>000000000000000</v>
      </c>
      <c r="AZ480" s="23">
        <f t="shared" si="2956"/>
        <v>0</v>
      </c>
      <c r="BA480" s="49" t="str">
        <f t="shared" si="2931"/>
        <v>000000000000000</v>
      </c>
      <c r="BB480" s="23">
        <f t="shared" si="2957"/>
        <v>0</v>
      </c>
      <c r="BC480" s="49" t="str">
        <f t="shared" ref="BC480" si="3084">IF(BB480&lt;0,SUBSTITUTE(TEXT(BB480,"000000000000,00"),",",""),SUBSTITUTE(TEXT(BB480,"0000000000000,00"),",",""))</f>
        <v>000000000000000</v>
      </c>
      <c r="BD480" s="23">
        <f t="shared" si="2959"/>
        <v>0</v>
      </c>
      <c r="BE480" s="49" t="str">
        <f t="shared" ref="BE480" si="3085">IF(BD480&lt;0,SUBSTITUTE(TEXT(BD480,"000000000000,00"),",",""),SUBSTITUTE(TEXT(BD480,"0000000000000,00"),",",""))</f>
        <v>000000000000000</v>
      </c>
      <c r="BF480" s="23">
        <f t="shared" si="2961"/>
        <v>0</v>
      </c>
      <c r="BG480" s="49" t="str">
        <f t="shared" ref="BG480" si="3086">IF(BF480&lt;0,SUBSTITUTE(TEXT(BF480,"000000000000,00"),",",""),SUBSTITUTE(TEXT(BF480,"0000000000000,00"),",",""))</f>
        <v>000000000000000</v>
      </c>
      <c r="BH480" s="23">
        <f t="shared" si="2963"/>
        <v>0</v>
      </c>
      <c r="BI480" s="49" t="str">
        <f t="shared" ref="BI480" si="3087">IF(BH480&lt;0,SUBSTITUTE(TEXT(BH480,"000000000000,00"),",",""),SUBSTITUTE(TEXT(BH480,"0000000000000,00"),",",""))</f>
        <v>000000000000000</v>
      </c>
      <c r="BJ480" s="23">
        <f t="shared" si="2965"/>
        <v>0</v>
      </c>
      <c r="BK480" s="49" t="str">
        <f t="shared" ref="BK480" si="3088">IF(BJ480&lt;0,SUBSTITUTE(TEXT(BJ480,"000000000000,00"),",",""),SUBSTITUTE(TEXT(BJ480,"0000000000000,00"),",",""))</f>
        <v>000000000000000</v>
      </c>
      <c r="BL480" s="23">
        <f t="shared" si="2967"/>
        <v>0</v>
      </c>
      <c r="BM480" s="49" t="str">
        <f t="shared" ref="BM480" si="3089">IF(BL480&lt;0,SUBSTITUTE(TEXT(BL480,"000000000000,00"),",",""),SUBSTITUTE(TEXT(BL480,"0000000000000,00"),",",""))</f>
        <v>000000000000000</v>
      </c>
      <c r="BN480" t="str">
        <f t="shared" si="2969"/>
        <v>PES</v>
      </c>
      <c r="BO480" t="str">
        <f t="shared" si="2970"/>
        <v>0001000000</v>
      </c>
      <c r="BP480">
        <f t="shared" si="2971"/>
        <v>0</v>
      </c>
      <c r="BQ480">
        <f t="shared" si="2972"/>
        <v>0</v>
      </c>
      <c r="BR480" s="23">
        <f t="shared" si="2973"/>
        <v>0</v>
      </c>
      <c r="BS480" s="49" t="str">
        <f t="shared" si="2938"/>
        <v>000000000000000</v>
      </c>
      <c r="BT480" t="str">
        <f t="shared" si="2974"/>
        <v>00000000</v>
      </c>
      <c r="BU480" s="23">
        <f t="shared" si="2975"/>
        <v>0</v>
      </c>
      <c r="BV480" s="49" t="str">
        <f t="shared" si="2939"/>
        <v/>
      </c>
      <c r="BW480" s="52" t="str">
        <f t="shared" si="2976"/>
        <v/>
      </c>
      <c r="BX480" s="23">
        <f t="shared" si="2977"/>
        <v>0</v>
      </c>
      <c r="BY480" s="49" t="str">
        <f t="shared" si="2940"/>
        <v/>
      </c>
      <c r="BZ480" s="23">
        <f t="shared" si="2978"/>
        <v>0</v>
      </c>
      <c r="CA480" s="49" t="str">
        <f t="shared" si="2941"/>
        <v/>
      </c>
      <c r="CB480" s="52" t="str">
        <f t="shared" si="2979"/>
        <v/>
      </c>
      <c r="CC480" s="23">
        <f t="shared" si="2980"/>
        <v>0</v>
      </c>
      <c r="CD480" s="49" t="str">
        <f t="shared" si="2942"/>
        <v/>
      </c>
      <c r="CE480" s="56" t="str">
        <f>IF(CF480="","",MAX(CE$10:$CE479)+1)</f>
        <v/>
      </c>
      <c r="CF480" t="str">
        <f t="shared" si="2981"/>
        <v/>
      </c>
      <c r="CG480" s="22" t="str">
        <f>IF(CH480="","",MAX($CG$10:CG479)+1)</f>
        <v/>
      </c>
      <c r="CH480" s="22" t="str">
        <f t="shared" si="2926"/>
        <v/>
      </c>
      <c r="CI480" s="22" t="str">
        <f>IF(CJ480="","",MAX($CI$10:CI479)+1)</f>
        <v/>
      </c>
      <c r="CJ480" s="22" t="str">
        <f t="shared" si="2927"/>
        <v/>
      </c>
    </row>
    <row r="481" spans="2:88" x14ac:dyDescent="0.25">
      <c r="B481" s="37"/>
      <c r="C481" s="3"/>
      <c r="D481" s="77" t="str">
        <f t="shared" si="2913"/>
        <v/>
      </c>
      <c r="E481" s="38"/>
      <c r="F481" s="38"/>
      <c r="G481" s="78">
        <f t="shared" si="2928"/>
        <v>0</v>
      </c>
      <c r="H481" s="3">
        <v>80</v>
      </c>
      <c r="I481" s="77" t="str">
        <f t="shared" si="2914"/>
        <v/>
      </c>
      <c r="J481" s="32"/>
      <c r="K481" s="3"/>
      <c r="L481" s="39"/>
      <c r="M481" s="39"/>
      <c r="N481" s="39"/>
      <c r="O481" s="39"/>
      <c r="P481" s="39"/>
      <c r="Q481" s="39"/>
      <c r="R481" s="39"/>
      <c r="S481" s="39"/>
      <c r="T481" s="3" t="s">
        <v>645</v>
      </c>
      <c r="U481" s="77" t="str">
        <f t="shared" si="2915"/>
        <v/>
      </c>
      <c r="V481" s="39">
        <v>1</v>
      </c>
      <c r="W481" s="79">
        <f t="shared" si="2929"/>
        <v>0</v>
      </c>
      <c r="X481" s="3">
        <v>0</v>
      </c>
      <c r="Y481" s="77" t="str">
        <f t="shared" si="2916"/>
        <v/>
      </c>
      <c r="Z481" s="3"/>
      <c r="AA481" s="37" t="str">
        <f t="shared" si="2930"/>
        <v/>
      </c>
      <c r="AC481" s="40"/>
      <c r="AD481" s="7"/>
      <c r="AE481" s="77" t="str">
        <f t="shared" si="2917"/>
        <v/>
      </c>
      <c r="AF481" s="81">
        <f t="shared" si="2943"/>
        <v>0</v>
      </c>
      <c r="AG481" s="40"/>
      <c r="AH481" s="7"/>
      <c r="AI481" s="77" t="str">
        <f t="shared" si="2918"/>
        <v/>
      </c>
      <c r="AJ481" s="81">
        <f t="shared" si="2944"/>
        <v>0</v>
      </c>
      <c r="AK481" s="83">
        <f t="shared" si="2945"/>
        <v>0</v>
      </c>
      <c r="AL481" s="83">
        <f t="shared" si="2946"/>
        <v>0</v>
      </c>
      <c r="AN481" s="43">
        <f t="shared" si="2919"/>
        <v>0</v>
      </c>
      <c r="AP481" t="str">
        <f t="shared" si="2947"/>
        <v/>
      </c>
      <c r="AQ481" t="str">
        <f t="shared" si="2948"/>
        <v/>
      </c>
      <c r="AR481" t="str">
        <f t="shared" si="2949"/>
        <v/>
      </c>
      <c r="AS481" t="str">
        <f t="shared" si="2950"/>
        <v/>
      </c>
      <c r="AT481" t="str">
        <f t="shared" si="2951"/>
        <v/>
      </c>
      <c r="AU481" t="str">
        <f t="shared" si="2952"/>
        <v/>
      </c>
      <c r="AV481" t="str">
        <f t="shared" si="2953"/>
        <v/>
      </c>
      <c r="AW481" t="str">
        <f t="shared" si="2954"/>
        <v xml:space="preserve">                              </v>
      </c>
      <c r="AX481" s="23">
        <f t="shared" si="2955"/>
        <v>0</v>
      </c>
      <c r="AY481" s="49" t="str">
        <f t="shared" si="2931"/>
        <v>000000000000000</v>
      </c>
      <c r="AZ481" s="23">
        <f t="shared" si="2956"/>
        <v>0</v>
      </c>
      <c r="BA481" s="49" t="str">
        <f t="shared" si="2931"/>
        <v>000000000000000</v>
      </c>
      <c r="BB481" s="23">
        <f t="shared" si="2957"/>
        <v>0</v>
      </c>
      <c r="BC481" s="49" t="str">
        <f t="shared" ref="BC481" si="3090">IF(BB481&lt;0,SUBSTITUTE(TEXT(BB481,"000000000000,00"),",",""),SUBSTITUTE(TEXT(BB481,"0000000000000,00"),",",""))</f>
        <v>000000000000000</v>
      </c>
      <c r="BD481" s="23">
        <f t="shared" si="2959"/>
        <v>0</v>
      </c>
      <c r="BE481" s="49" t="str">
        <f t="shared" ref="BE481" si="3091">IF(BD481&lt;0,SUBSTITUTE(TEXT(BD481,"000000000000,00"),",",""),SUBSTITUTE(TEXT(BD481,"0000000000000,00"),",",""))</f>
        <v>000000000000000</v>
      </c>
      <c r="BF481" s="23">
        <f t="shared" si="2961"/>
        <v>0</v>
      </c>
      <c r="BG481" s="49" t="str">
        <f t="shared" ref="BG481" si="3092">IF(BF481&lt;0,SUBSTITUTE(TEXT(BF481,"000000000000,00"),",",""),SUBSTITUTE(TEXT(BF481,"0000000000000,00"),",",""))</f>
        <v>000000000000000</v>
      </c>
      <c r="BH481" s="23">
        <f t="shared" si="2963"/>
        <v>0</v>
      </c>
      <c r="BI481" s="49" t="str">
        <f t="shared" ref="BI481" si="3093">IF(BH481&lt;0,SUBSTITUTE(TEXT(BH481,"000000000000,00"),",",""),SUBSTITUTE(TEXT(BH481,"0000000000000,00"),",",""))</f>
        <v>000000000000000</v>
      </c>
      <c r="BJ481" s="23">
        <f t="shared" si="2965"/>
        <v>0</v>
      </c>
      <c r="BK481" s="49" t="str">
        <f t="shared" ref="BK481" si="3094">IF(BJ481&lt;0,SUBSTITUTE(TEXT(BJ481,"000000000000,00"),",",""),SUBSTITUTE(TEXT(BJ481,"0000000000000,00"),",",""))</f>
        <v>000000000000000</v>
      </c>
      <c r="BL481" s="23">
        <f t="shared" si="2967"/>
        <v>0</v>
      </c>
      <c r="BM481" s="49" t="str">
        <f t="shared" ref="BM481" si="3095">IF(BL481&lt;0,SUBSTITUTE(TEXT(BL481,"000000000000,00"),",",""),SUBSTITUTE(TEXT(BL481,"0000000000000,00"),",",""))</f>
        <v>000000000000000</v>
      </c>
      <c r="BN481" t="str">
        <f t="shared" si="2969"/>
        <v>PES</v>
      </c>
      <c r="BO481" t="str">
        <f t="shared" si="2970"/>
        <v>0001000000</v>
      </c>
      <c r="BP481">
        <f t="shared" si="2971"/>
        <v>0</v>
      </c>
      <c r="BQ481">
        <f t="shared" si="2972"/>
        <v>0</v>
      </c>
      <c r="BR481" s="23">
        <f t="shared" si="2973"/>
        <v>0</v>
      </c>
      <c r="BS481" s="49" t="str">
        <f t="shared" si="2938"/>
        <v>000000000000000</v>
      </c>
      <c r="BT481" t="str">
        <f t="shared" si="2974"/>
        <v>00000000</v>
      </c>
      <c r="BU481" s="23">
        <f t="shared" si="2975"/>
        <v>0</v>
      </c>
      <c r="BV481" s="49" t="str">
        <f t="shared" si="2939"/>
        <v/>
      </c>
      <c r="BW481" s="52" t="str">
        <f t="shared" si="2976"/>
        <v/>
      </c>
      <c r="BX481" s="23">
        <f t="shared" si="2977"/>
        <v>0</v>
      </c>
      <c r="BY481" s="49" t="str">
        <f t="shared" si="2940"/>
        <v/>
      </c>
      <c r="BZ481" s="23">
        <f t="shared" si="2978"/>
        <v>0</v>
      </c>
      <c r="CA481" s="49" t="str">
        <f t="shared" si="2941"/>
        <v/>
      </c>
      <c r="CB481" s="52" t="str">
        <f t="shared" si="2979"/>
        <v/>
      </c>
      <c r="CC481" s="23">
        <f t="shared" si="2980"/>
        <v>0</v>
      </c>
      <c r="CD481" s="49" t="str">
        <f t="shared" si="2942"/>
        <v/>
      </c>
      <c r="CE481" s="56" t="str">
        <f>IF(CF481="","",MAX(CE$10:$CE480)+1)</f>
        <v/>
      </c>
      <c r="CF481" t="str">
        <f t="shared" si="2981"/>
        <v/>
      </c>
      <c r="CG481" s="22" t="str">
        <f>IF(CH481="","",MAX($CG$10:CG480)+1)</f>
        <v/>
      </c>
      <c r="CH481" s="22" t="str">
        <f t="shared" si="2926"/>
        <v/>
      </c>
      <c r="CI481" s="22" t="str">
        <f>IF(CJ481="","",MAX($CI$10:CI480)+1)</f>
        <v/>
      </c>
      <c r="CJ481" s="22" t="str">
        <f t="shared" si="2927"/>
        <v/>
      </c>
    </row>
    <row r="482" spans="2:88" x14ac:dyDescent="0.25">
      <c r="B482" s="37"/>
      <c r="C482" s="3"/>
      <c r="D482" s="77" t="str">
        <f t="shared" si="2913"/>
        <v/>
      </c>
      <c r="E482" s="38"/>
      <c r="F482" s="38"/>
      <c r="G482" s="78">
        <f t="shared" si="2928"/>
        <v>0</v>
      </c>
      <c r="H482" s="3">
        <v>80</v>
      </c>
      <c r="I482" s="77" t="str">
        <f t="shared" si="2914"/>
        <v/>
      </c>
      <c r="J482" s="32"/>
      <c r="K482" s="3"/>
      <c r="L482" s="39"/>
      <c r="M482" s="39"/>
      <c r="N482" s="39"/>
      <c r="O482" s="39"/>
      <c r="P482" s="39"/>
      <c r="Q482" s="39"/>
      <c r="R482" s="39"/>
      <c r="S482" s="39"/>
      <c r="T482" s="3" t="s">
        <v>645</v>
      </c>
      <c r="U482" s="77" t="str">
        <f t="shared" si="2915"/>
        <v/>
      </c>
      <c r="V482" s="39">
        <v>1</v>
      </c>
      <c r="W482" s="79">
        <f t="shared" si="2929"/>
        <v>0</v>
      </c>
      <c r="X482" s="3">
        <v>0</v>
      </c>
      <c r="Y482" s="77" t="str">
        <f t="shared" si="2916"/>
        <v/>
      </c>
      <c r="Z482" s="3"/>
      <c r="AA482" s="37" t="str">
        <f t="shared" si="2930"/>
        <v/>
      </c>
      <c r="AC482" s="40"/>
      <c r="AD482" s="7"/>
      <c r="AE482" s="77" t="str">
        <f t="shared" si="2917"/>
        <v/>
      </c>
      <c r="AF482" s="81">
        <f t="shared" si="2943"/>
        <v>0</v>
      </c>
      <c r="AG482" s="40"/>
      <c r="AH482" s="7"/>
      <c r="AI482" s="77" t="str">
        <f t="shared" si="2918"/>
        <v/>
      </c>
      <c r="AJ482" s="81">
        <f t="shared" si="2944"/>
        <v>0</v>
      </c>
      <c r="AK482" s="83">
        <f t="shared" si="2945"/>
        <v>0</v>
      </c>
      <c r="AL482" s="83">
        <f t="shared" si="2946"/>
        <v>0</v>
      </c>
      <c r="AN482" s="43">
        <f t="shared" si="2919"/>
        <v>0</v>
      </c>
      <c r="AP482" t="str">
        <f t="shared" si="2947"/>
        <v/>
      </c>
      <c r="AQ482" t="str">
        <f t="shared" si="2948"/>
        <v/>
      </c>
      <c r="AR482" t="str">
        <f t="shared" si="2949"/>
        <v/>
      </c>
      <c r="AS482" t="str">
        <f t="shared" si="2950"/>
        <v/>
      </c>
      <c r="AT482" t="str">
        <f t="shared" si="2951"/>
        <v/>
      </c>
      <c r="AU482" t="str">
        <f t="shared" si="2952"/>
        <v/>
      </c>
      <c r="AV482" t="str">
        <f t="shared" si="2953"/>
        <v/>
      </c>
      <c r="AW482" t="str">
        <f t="shared" si="2954"/>
        <v xml:space="preserve">                              </v>
      </c>
      <c r="AX482" s="23">
        <f t="shared" si="2955"/>
        <v>0</v>
      </c>
      <c r="AY482" s="49" t="str">
        <f t="shared" si="2931"/>
        <v>000000000000000</v>
      </c>
      <c r="AZ482" s="23">
        <f t="shared" si="2956"/>
        <v>0</v>
      </c>
      <c r="BA482" s="49" t="str">
        <f t="shared" si="2931"/>
        <v>000000000000000</v>
      </c>
      <c r="BB482" s="23">
        <f t="shared" si="2957"/>
        <v>0</v>
      </c>
      <c r="BC482" s="49" t="str">
        <f t="shared" ref="BC482" si="3096">IF(BB482&lt;0,SUBSTITUTE(TEXT(BB482,"000000000000,00"),",",""),SUBSTITUTE(TEXT(BB482,"0000000000000,00"),",",""))</f>
        <v>000000000000000</v>
      </c>
      <c r="BD482" s="23">
        <f t="shared" si="2959"/>
        <v>0</v>
      </c>
      <c r="BE482" s="49" t="str">
        <f t="shared" ref="BE482" si="3097">IF(BD482&lt;0,SUBSTITUTE(TEXT(BD482,"000000000000,00"),",",""),SUBSTITUTE(TEXT(BD482,"0000000000000,00"),",",""))</f>
        <v>000000000000000</v>
      </c>
      <c r="BF482" s="23">
        <f t="shared" si="2961"/>
        <v>0</v>
      </c>
      <c r="BG482" s="49" t="str">
        <f t="shared" ref="BG482" si="3098">IF(BF482&lt;0,SUBSTITUTE(TEXT(BF482,"000000000000,00"),",",""),SUBSTITUTE(TEXT(BF482,"0000000000000,00"),",",""))</f>
        <v>000000000000000</v>
      </c>
      <c r="BH482" s="23">
        <f t="shared" si="2963"/>
        <v>0</v>
      </c>
      <c r="BI482" s="49" t="str">
        <f t="shared" ref="BI482" si="3099">IF(BH482&lt;0,SUBSTITUTE(TEXT(BH482,"000000000000,00"),",",""),SUBSTITUTE(TEXT(BH482,"0000000000000,00"),",",""))</f>
        <v>000000000000000</v>
      </c>
      <c r="BJ482" s="23">
        <f t="shared" si="2965"/>
        <v>0</v>
      </c>
      <c r="BK482" s="49" t="str">
        <f t="shared" ref="BK482" si="3100">IF(BJ482&lt;0,SUBSTITUTE(TEXT(BJ482,"000000000000,00"),",",""),SUBSTITUTE(TEXT(BJ482,"0000000000000,00"),",",""))</f>
        <v>000000000000000</v>
      </c>
      <c r="BL482" s="23">
        <f t="shared" si="2967"/>
        <v>0</v>
      </c>
      <c r="BM482" s="49" t="str">
        <f t="shared" ref="BM482" si="3101">IF(BL482&lt;0,SUBSTITUTE(TEXT(BL482,"000000000000,00"),",",""),SUBSTITUTE(TEXT(BL482,"0000000000000,00"),",",""))</f>
        <v>000000000000000</v>
      </c>
      <c r="BN482" t="str">
        <f t="shared" si="2969"/>
        <v>PES</v>
      </c>
      <c r="BO482" t="str">
        <f t="shared" si="2970"/>
        <v>0001000000</v>
      </c>
      <c r="BP482">
        <f t="shared" si="2971"/>
        <v>0</v>
      </c>
      <c r="BQ482">
        <f t="shared" si="2972"/>
        <v>0</v>
      </c>
      <c r="BR482" s="23">
        <f t="shared" si="2973"/>
        <v>0</v>
      </c>
      <c r="BS482" s="49" t="str">
        <f t="shared" si="2938"/>
        <v>000000000000000</v>
      </c>
      <c r="BT482" t="str">
        <f t="shared" si="2974"/>
        <v>00000000</v>
      </c>
      <c r="BU482" s="23">
        <f t="shared" si="2975"/>
        <v>0</v>
      </c>
      <c r="BV482" s="49" t="str">
        <f t="shared" si="2939"/>
        <v/>
      </c>
      <c r="BW482" s="52" t="str">
        <f t="shared" si="2976"/>
        <v/>
      </c>
      <c r="BX482" s="23">
        <f t="shared" si="2977"/>
        <v>0</v>
      </c>
      <c r="BY482" s="49" t="str">
        <f t="shared" si="2940"/>
        <v/>
      </c>
      <c r="BZ482" s="23">
        <f t="shared" si="2978"/>
        <v>0</v>
      </c>
      <c r="CA482" s="49" t="str">
        <f t="shared" si="2941"/>
        <v/>
      </c>
      <c r="CB482" s="52" t="str">
        <f t="shared" si="2979"/>
        <v/>
      </c>
      <c r="CC482" s="23">
        <f t="shared" si="2980"/>
        <v>0</v>
      </c>
      <c r="CD482" s="49" t="str">
        <f t="shared" si="2942"/>
        <v/>
      </c>
      <c r="CE482" s="56" t="str">
        <f>IF(CF482="","",MAX(CE$10:$CE481)+1)</f>
        <v/>
      </c>
      <c r="CF482" t="str">
        <f t="shared" si="2981"/>
        <v/>
      </c>
      <c r="CG482" s="22" t="str">
        <f>IF(CH482="","",MAX($CG$10:CG481)+1)</f>
        <v/>
      </c>
      <c r="CH482" s="22" t="str">
        <f t="shared" si="2926"/>
        <v/>
      </c>
      <c r="CI482" s="22" t="str">
        <f>IF(CJ482="","",MAX($CI$10:CI481)+1)</f>
        <v/>
      </c>
      <c r="CJ482" s="22" t="str">
        <f t="shared" si="2927"/>
        <v/>
      </c>
    </row>
    <row r="483" spans="2:88" x14ac:dyDescent="0.25">
      <c r="B483" s="37"/>
      <c r="C483" s="3"/>
      <c r="D483" s="77" t="str">
        <f t="shared" si="2913"/>
        <v/>
      </c>
      <c r="E483" s="38"/>
      <c r="F483" s="38"/>
      <c r="G483" s="78">
        <f t="shared" si="2928"/>
        <v>0</v>
      </c>
      <c r="H483" s="3">
        <v>80</v>
      </c>
      <c r="I483" s="77" t="str">
        <f t="shared" si="2914"/>
        <v/>
      </c>
      <c r="J483" s="32"/>
      <c r="K483" s="3"/>
      <c r="L483" s="39"/>
      <c r="M483" s="39"/>
      <c r="N483" s="39"/>
      <c r="O483" s="39"/>
      <c r="P483" s="39"/>
      <c r="Q483" s="39"/>
      <c r="R483" s="39"/>
      <c r="S483" s="39"/>
      <c r="T483" s="3" t="s">
        <v>645</v>
      </c>
      <c r="U483" s="77" t="str">
        <f t="shared" si="2915"/>
        <v/>
      </c>
      <c r="V483" s="39">
        <v>1</v>
      </c>
      <c r="W483" s="79">
        <f t="shared" si="2929"/>
        <v>0</v>
      </c>
      <c r="X483" s="3">
        <v>0</v>
      </c>
      <c r="Y483" s="77" t="str">
        <f t="shared" si="2916"/>
        <v/>
      </c>
      <c r="Z483" s="3"/>
      <c r="AA483" s="37" t="str">
        <f t="shared" si="2930"/>
        <v/>
      </c>
      <c r="AC483" s="40"/>
      <c r="AD483" s="7"/>
      <c r="AE483" s="77" t="str">
        <f t="shared" si="2917"/>
        <v/>
      </c>
      <c r="AF483" s="81">
        <f t="shared" si="2943"/>
        <v>0</v>
      </c>
      <c r="AG483" s="40"/>
      <c r="AH483" s="7"/>
      <c r="AI483" s="77" t="str">
        <f t="shared" si="2918"/>
        <v/>
      </c>
      <c r="AJ483" s="81">
        <f t="shared" si="2944"/>
        <v>0</v>
      </c>
      <c r="AK483" s="83">
        <f t="shared" si="2945"/>
        <v>0</v>
      </c>
      <c r="AL483" s="83">
        <f t="shared" si="2946"/>
        <v>0</v>
      </c>
      <c r="AN483" s="43">
        <f t="shared" si="2919"/>
        <v>0</v>
      </c>
      <c r="AP483" t="str">
        <f t="shared" si="2947"/>
        <v/>
      </c>
      <c r="AQ483" t="str">
        <f t="shared" si="2948"/>
        <v/>
      </c>
      <c r="AR483" t="str">
        <f t="shared" si="2949"/>
        <v/>
      </c>
      <c r="AS483" t="str">
        <f t="shared" si="2950"/>
        <v/>
      </c>
      <c r="AT483" t="str">
        <f t="shared" si="2951"/>
        <v/>
      </c>
      <c r="AU483" t="str">
        <f t="shared" si="2952"/>
        <v/>
      </c>
      <c r="AV483" t="str">
        <f t="shared" si="2953"/>
        <v/>
      </c>
      <c r="AW483" t="str">
        <f t="shared" si="2954"/>
        <v xml:space="preserve">                              </v>
      </c>
      <c r="AX483" s="23">
        <f t="shared" si="2955"/>
        <v>0</v>
      </c>
      <c r="AY483" s="49" t="str">
        <f t="shared" si="2931"/>
        <v>000000000000000</v>
      </c>
      <c r="AZ483" s="23">
        <f t="shared" si="2956"/>
        <v>0</v>
      </c>
      <c r="BA483" s="49" t="str">
        <f t="shared" si="2931"/>
        <v>000000000000000</v>
      </c>
      <c r="BB483" s="23">
        <f t="shared" si="2957"/>
        <v>0</v>
      </c>
      <c r="BC483" s="49" t="str">
        <f t="shared" ref="BC483" si="3102">IF(BB483&lt;0,SUBSTITUTE(TEXT(BB483,"000000000000,00"),",",""),SUBSTITUTE(TEXT(BB483,"0000000000000,00"),",",""))</f>
        <v>000000000000000</v>
      </c>
      <c r="BD483" s="23">
        <f t="shared" si="2959"/>
        <v>0</v>
      </c>
      <c r="BE483" s="49" t="str">
        <f t="shared" ref="BE483" si="3103">IF(BD483&lt;0,SUBSTITUTE(TEXT(BD483,"000000000000,00"),",",""),SUBSTITUTE(TEXT(BD483,"0000000000000,00"),",",""))</f>
        <v>000000000000000</v>
      </c>
      <c r="BF483" s="23">
        <f t="shared" si="2961"/>
        <v>0</v>
      </c>
      <c r="BG483" s="49" t="str">
        <f t="shared" ref="BG483" si="3104">IF(BF483&lt;0,SUBSTITUTE(TEXT(BF483,"000000000000,00"),",",""),SUBSTITUTE(TEXT(BF483,"0000000000000,00"),",",""))</f>
        <v>000000000000000</v>
      </c>
      <c r="BH483" s="23">
        <f t="shared" si="2963"/>
        <v>0</v>
      </c>
      <c r="BI483" s="49" t="str">
        <f t="shared" ref="BI483" si="3105">IF(BH483&lt;0,SUBSTITUTE(TEXT(BH483,"000000000000,00"),",",""),SUBSTITUTE(TEXT(BH483,"0000000000000,00"),",",""))</f>
        <v>000000000000000</v>
      </c>
      <c r="BJ483" s="23">
        <f t="shared" si="2965"/>
        <v>0</v>
      </c>
      <c r="BK483" s="49" t="str">
        <f t="shared" ref="BK483" si="3106">IF(BJ483&lt;0,SUBSTITUTE(TEXT(BJ483,"000000000000,00"),",",""),SUBSTITUTE(TEXT(BJ483,"0000000000000,00"),",",""))</f>
        <v>000000000000000</v>
      </c>
      <c r="BL483" s="23">
        <f t="shared" si="2967"/>
        <v>0</v>
      </c>
      <c r="BM483" s="49" t="str">
        <f t="shared" ref="BM483" si="3107">IF(BL483&lt;0,SUBSTITUTE(TEXT(BL483,"000000000000,00"),",",""),SUBSTITUTE(TEXT(BL483,"0000000000000,00"),",",""))</f>
        <v>000000000000000</v>
      </c>
      <c r="BN483" t="str">
        <f t="shared" si="2969"/>
        <v>PES</v>
      </c>
      <c r="BO483" t="str">
        <f t="shared" si="2970"/>
        <v>0001000000</v>
      </c>
      <c r="BP483">
        <f t="shared" si="2971"/>
        <v>0</v>
      </c>
      <c r="BQ483">
        <f t="shared" si="2972"/>
        <v>0</v>
      </c>
      <c r="BR483" s="23">
        <f t="shared" si="2973"/>
        <v>0</v>
      </c>
      <c r="BS483" s="49" t="str">
        <f t="shared" si="2938"/>
        <v>000000000000000</v>
      </c>
      <c r="BT483" t="str">
        <f t="shared" si="2974"/>
        <v>00000000</v>
      </c>
      <c r="BU483" s="23">
        <f t="shared" si="2975"/>
        <v>0</v>
      </c>
      <c r="BV483" s="49" t="str">
        <f t="shared" si="2939"/>
        <v/>
      </c>
      <c r="BW483" s="52" t="str">
        <f t="shared" si="2976"/>
        <v/>
      </c>
      <c r="BX483" s="23">
        <f t="shared" si="2977"/>
        <v>0</v>
      </c>
      <c r="BY483" s="49" t="str">
        <f t="shared" si="2940"/>
        <v/>
      </c>
      <c r="BZ483" s="23">
        <f t="shared" si="2978"/>
        <v>0</v>
      </c>
      <c r="CA483" s="49" t="str">
        <f t="shared" si="2941"/>
        <v/>
      </c>
      <c r="CB483" s="52" t="str">
        <f t="shared" si="2979"/>
        <v/>
      </c>
      <c r="CC483" s="23">
        <f t="shared" si="2980"/>
        <v>0</v>
      </c>
      <c r="CD483" s="49" t="str">
        <f t="shared" si="2942"/>
        <v/>
      </c>
      <c r="CE483" s="56" t="str">
        <f>IF(CF483="","",MAX(CE$10:$CE482)+1)</f>
        <v/>
      </c>
      <c r="CF483" t="str">
        <f t="shared" si="2981"/>
        <v/>
      </c>
      <c r="CG483" s="22" t="str">
        <f>IF(CH483="","",MAX($CG$10:CG482)+1)</f>
        <v/>
      </c>
      <c r="CH483" s="22" t="str">
        <f t="shared" si="2926"/>
        <v/>
      </c>
      <c r="CI483" s="22" t="str">
        <f>IF(CJ483="","",MAX($CI$10:CI482)+1)</f>
        <v/>
      </c>
      <c r="CJ483" s="22" t="str">
        <f t="shared" si="2927"/>
        <v/>
      </c>
    </row>
    <row r="484" spans="2:88" x14ac:dyDescent="0.25">
      <c r="B484" s="37"/>
      <c r="C484" s="3"/>
      <c r="D484" s="77" t="str">
        <f t="shared" si="2913"/>
        <v/>
      </c>
      <c r="E484" s="38"/>
      <c r="F484" s="38"/>
      <c r="G484" s="78">
        <f t="shared" si="2928"/>
        <v>0</v>
      </c>
      <c r="H484" s="3">
        <v>80</v>
      </c>
      <c r="I484" s="77" t="str">
        <f t="shared" si="2914"/>
        <v/>
      </c>
      <c r="J484" s="32"/>
      <c r="K484" s="3"/>
      <c r="L484" s="39"/>
      <c r="M484" s="39"/>
      <c r="N484" s="39"/>
      <c r="O484" s="39"/>
      <c r="P484" s="39"/>
      <c r="Q484" s="39"/>
      <c r="R484" s="39"/>
      <c r="S484" s="39"/>
      <c r="T484" s="3" t="s">
        <v>645</v>
      </c>
      <c r="U484" s="77" t="str">
        <f t="shared" si="2915"/>
        <v/>
      </c>
      <c r="V484" s="39">
        <v>1</v>
      </c>
      <c r="W484" s="79">
        <f t="shared" si="2929"/>
        <v>0</v>
      </c>
      <c r="X484" s="3">
        <v>0</v>
      </c>
      <c r="Y484" s="77" t="str">
        <f t="shared" si="2916"/>
        <v/>
      </c>
      <c r="Z484" s="3"/>
      <c r="AA484" s="37" t="str">
        <f t="shared" si="2930"/>
        <v/>
      </c>
      <c r="AC484" s="40"/>
      <c r="AD484" s="7"/>
      <c r="AE484" s="77" t="str">
        <f t="shared" si="2917"/>
        <v/>
      </c>
      <c r="AF484" s="81">
        <f t="shared" si="2943"/>
        <v>0</v>
      </c>
      <c r="AG484" s="40"/>
      <c r="AH484" s="7"/>
      <c r="AI484" s="77" t="str">
        <f t="shared" si="2918"/>
        <v/>
      </c>
      <c r="AJ484" s="81">
        <f t="shared" si="2944"/>
        <v>0</v>
      </c>
      <c r="AK484" s="83">
        <f t="shared" si="2945"/>
        <v>0</v>
      </c>
      <c r="AL484" s="83">
        <f t="shared" si="2946"/>
        <v>0</v>
      </c>
      <c r="AN484" s="43">
        <f t="shared" si="2919"/>
        <v>0</v>
      </c>
      <c r="AP484" t="str">
        <f t="shared" si="2947"/>
        <v/>
      </c>
      <c r="AQ484" t="str">
        <f t="shared" si="2948"/>
        <v/>
      </c>
      <c r="AR484" t="str">
        <f t="shared" si="2949"/>
        <v/>
      </c>
      <c r="AS484" t="str">
        <f t="shared" si="2950"/>
        <v/>
      </c>
      <c r="AT484" t="str">
        <f t="shared" si="2951"/>
        <v/>
      </c>
      <c r="AU484" t="str">
        <f t="shared" si="2952"/>
        <v/>
      </c>
      <c r="AV484" t="str">
        <f t="shared" si="2953"/>
        <v/>
      </c>
      <c r="AW484" t="str">
        <f t="shared" si="2954"/>
        <v xml:space="preserve">                              </v>
      </c>
      <c r="AX484" s="23">
        <f t="shared" si="2955"/>
        <v>0</v>
      </c>
      <c r="AY484" s="49" t="str">
        <f t="shared" si="2931"/>
        <v>000000000000000</v>
      </c>
      <c r="AZ484" s="23">
        <f t="shared" si="2956"/>
        <v>0</v>
      </c>
      <c r="BA484" s="49" t="str">
        <f t="shared" si="2931"/>
        <v>000000000000000</v>
      </c>
      <c r="BB484" s="23">
        <f t="shared" si="2957"/>
        <v>0</v>
      </c>
      <c r="BC484" s="49" t="str">
        <f t="shared" ref="BC484" si="3108">IF(BB484&lt;0,SUBSTITUTE(TEXT(BB484,"000000000000,00"),",",""),SUBSTITUTE(TEXT(BB484,"0000000000000,00"),",",""))</f>
        <v>000000000000000</v>
      </c>
      <c r="BD484" s="23">
        <f t="shared" si="2959"/>
        <v>0</v>
      </c>
      <c r="BE484" s="49" t="str">
        <f t="shared" ref="BE484" si="3109">IF(BD484&lt;0,SUBSTITUTE(TEXT(BD484,"000000000000,00"),",",""),SUBSTITUTE(TEXT(BD484,"0000000000000,00"),",",""))</f>
        <v>000000000000000</v>
      </c>
      <c r="BF484" s="23">
        <f t="shared" si="2961"/>
        <v>0</v>
      </c>
      <c r="BG484" s="49" t="str">
        <f t="shared" ref="BG484" si="3110">IF(BF484&lt;0,SUBSTITUTE(TEXT(BF484,"000000000000,00"),",",""),SUBSTITUTE(TEXT(BF484,"0000000000000,00"),",",""))</f>
        <v>000000000000000</v>
      </c>
      <c r="BH484" s="23">
        <f t="shared" si="2963"/>
        <v>0</v>
      </c>
      <c r="BI484" s="49" t="str">
        <f t="shared" ref="BI484" si="3111">IF(BH484&lt;0,SUBSTITUTE(TEXT(BH484,"000000000000,00"),",",""),SUBSTITUTE(TEXT(BH484,"0000000000000,00"),",",""))</f>
        <v>000000000000000</v>
      </c>
      <c r="BJ484" s="23">
        <f t="shared" si="2965"/>
        <v>0</v>
      </c>
      <c r="BK484" s="49" t="str">
        <f t="shared" ref="BK484" si="3112">IF(BJ484&lt;0,SUBSTITUTE(TEXT(BJ484,"000000000000,00"),",",""),SUBSTITUTE(TEXT(BJ484,"0000000000000,00"),",",""))</f>
        <v>000000000000000</v>
      </c>
      <c r="BL484" s="23">
        <f t="shared" si="2967"/>
        <v>0</v>
      </c>
      <c r="BM484" s="49" t="str">
        <f t="shared" ref="BM484" si="3113">IF(BL484&lt;0,SUBSTITUTE(TEXT(BL484,"000000000000,00"),",",""),SUBSTITUTE(TEXT(BL484,"0000000000000,00"),",",""))</f>
        <v>000000000000000</v>
      </c>
      <c r="BN484" t="str">
        <f t="shared" si="2969"/>
        <v>PES</v>
      </c>
      <c r="BO484" t="str">
        <f t="shared" si="2970"/>
        <v>0001000000</v>
      </c>
      <c r="BP484">
        <f t="shared" si="2971"/>
        <v>0</v>
      </c>
      <c r="BQ484">
        <f t="shared" si="2972"/>
        <v>0</v>
      </c>
      <c r="BR484" s="23">
        <f t="shared" si="2973"/>
        <v>0</v>
      </c>
      <c r="BS484" s="49" t="str">
        <f t="shared" si="2938"/>
        <v>000000000000000</v>
      </c>
      <c r="BT484" t="str">
        <f t="shared" si="2974"/>
        <v>00000000</v>
      </c>
      <c r="BU484" s="23">
        <f t="shared" si="2975"/>
        <v>0</v>
      </c>
      <c r="BV484" s="49" t="str">
        <f t="shared" si="2939"/>
        <v/>
      </c>
      <c r="BW484" s="52" t="str">
        <f t="shared" si="2976"/>
        <v/>
      </c>
      <c r="BX484" s="23">
        <f t="shared" si="2977"/>
        <v>0</v>
      </c>
      <c r="BY484" s="49" t="str">
        <f t="shared" si="2940"/>
        <v/>
      </c>
      <c r="BZ484" s="23">
        <f t="shared" si="2978"/>
        <v>0</v>
      </c>
      <c r="CA484" s="49" t="str">
        <f t="shared" si="2941"/>
        <v/>
      </c>
      <c r="CB484" s="52" t="str">
        <f t="shared" si="2979"/>
        <v/>
      </c>
      <c r="CC484" s="23">
        <f t="shared" si="2980"/>
        <v>0</v>
      </c>
      <c r="CD484" s="49" t="str">
        <f t="shared" si="2942"/>
        <v/>
      </c>
      <c r="CE484" s="56" t="str">
        <f>IF(CF484="","",MAX(CE$10:$CE483)+1)</f>
        <v/>
      </c>
      <c r="CF484" t="str">
        <f t="shared" si="2981"/>
        <v/>
      </c>
      <c r="CG484" s="22" t="str">
        <f>IF(CH484="","",MAX($CG$10:CG483)+1)</f>
        <v/>
      </c>
      <c r="CH484" s="22" t="str">
        <f t="shared" si="2926"/>
        <v/>
      </c>
      <c r="CI484" s="22" t="str">
        <f>IF(CJ484="","",MAX($CI$10:CI483)+1)</f>
        <v/>
      </c>
      <c r="CJ484" s="22" t="str">
        <f t="shared" si="2927"/>
        <v/>
      </c>
    </row>
    <row r="485" spans="2:88" x14ac:dyDescent="0.25">
      <c r="B485" s="37"/>
      <c r="C485" s="3"/>
      <c r="D485" s="77" t="str">
        <f t="shared" si="2913"/>
        <v/>
      </c>
      <c r="E485" s="38"/>
      <c r="F485" s="38"/>
      <c r="G485" s="78">
        <f t="shared" si="2928"/>
        <v>0</v>
      </c>
      <c r="H485" s="3">
        <v>80</v>
      </c>
      <c r="I485" s="77" t="str">
        <f t="shared" si="2914"/>
        <v/>
      </c>
      <c r="J485" s="32"/>
      <c r="K485" s="3"/>
      <c r="L485" s="39"/>
      <c r="M485" s="39"/>
      <c r="N485" s="39"/>
      <c r="O485" s="39"/>
      <c r="P485" s="39"/>
      <c r="Q485" s="39"/>
      <c r="R485" s="39"/>
      <c r="S485" s="39"/>
      <c r="T485" s="3" t="s">
        <v>645</v>
      </c>
      <c r="U485" s="77" t="str">
        <f t="shared" si="2915"/>
        <v/>
      </c>
      <c r="V485" s="39">
        <v>1</v>
      </c>
      <c r="W485" s="79">
        <f t="shared" si="2929"/>
        <v>0</v>
      </c>
      <c r="X485" s="3">
        <v>0</v>
      </c>
      <c r="Y485" s="77" t="str">
        <f t="shared" si="2916"/>
        <v/>
      </c>
      <c r="Z485" s="3"/>
      <c r="AA485" s="37" t="str">
        <f t="shared" si="2930"/>
        <v/>
      </c>
      <c r="AC485" s="40"/>
      <c r="AD485" s="7"/>
      <c r="AE485" s="77" t="str">
        <f t="shared" si="2917"/>
        <v/>
      </c>
      <c r="AF485" s="81">
        <f t="shared" si="2943"/>
        <v>0</v>
      </c>
      <c r="AG485" s="40"/>
      <c r="AH485" s="7"/>
      <c r="AI485" s="77" t="str">
        <f t="shared" si="2918"/>
        <v/>
      </c>
      <c r="AJ485" s="81">
        <f t="shared" si="2944"/>
        <v>0</v>
      </c>
      <c r="AK485" s="83">
        <f t="shared" si="2945"/>
        <v>0</v>
      </c>
      <c r="AL485" s="83">
        <f t="shared" si="2946"/>
        <v>0</v>
      </c>
      <c r="AN485" s="43">
        <f t="shared" si="2919"/>
        <v>0</v>
      </c>
      <c r="AP485" t="str">
        <f t="shared" si="2947"/>
        <v/>
      </c>
      <c r="AQ485" t="str">
        <f t="shared" si="2948"/>
        <v/>
      </c>
      <c r="AR485" t="str">
        <f t="shared" si="2949"/>
        <v/>
      </c>
      <c r="AS485" t="str">
        <f t="shared" si="2950"/>
        <v/>
      </c>
      <c r="AT485" t="str">
        <f t="shared" si="2951"/>
        <v/>
      </c>
      <c r="AU485" t="str">
        <f t="shared" si="2952"/>
        <v/>
      </c>
      <c r="AV485" t="str">
        <f t="shared" si="2953"/>
        <v/>
      </c>
      <c r="AW485" t="str">
        <f t="shared" si="2954"/>
        <v xml:space="preserve">                              </v>
      </c>
      <c r="AX485" s="23">
        <f t="shared" si="2955"/>
        <v>0</v>
      </c>
      <c r="AY485" s="49" t="str">
        <f t="shared" si="2931"/>
        <v>000000000000000</v>
      </c>
      <c r="AZ485" s="23">
        <f t="shared" si="2956"/>
        <v>0</v>
      </c>
      <c r="BA485" s="49" t="str">
        <f t="shared" si="2931"/>
        <v>000000000000000</v>
      </c>
      <c r="BB485" s="23">
        <f t="shared" si="2957"/>
        <v>0</v>
      </c>
      <c r="BC485" s="49" t="str">
        <f t="shared" ref="BC485" si="3114">IF(BB485&lt;0,SUBSTITUTE(TEXT(BB485,"000000000000,00"),",",""),SUBSTITUTE(TEXT(BB485,"0000000000000,00"),",",""))</f>
        <v>000000000000000</v>
      </c>
      <c r="BD485" s="23">
        <f t="shared" si="2959"/>
        <v>0</v>
      </c>
      <c r="BE485" s="49" t="str">
        <f t="shared" ref="BE485" si="3115">IF(BD485&lt;0,SUBSTITUTE(TEXT(BD485,"000000000000,00"),",",""),SUBSTITUTE(TEXT(BD485,"0000000000000,00"),",",""))</f>
        <v>000000000000000</v>
      </c>
      <c r="BF485" s="23">
        <f t="shared" si="2961"/>
        <v>0</v>
      </c>
      <c r="BG485" s="49" t="str">
        <f t="shared" ref="BG485" si="3116">IF(BF485&lt;0,SUBSTITUTE(TEXT(BF485,"000000000000,00"),",",""),SUBSTITUTE(TEXT(BF485,"0000000000000,00"),",",""))</f>
        <v>000000000000000</v>
      </c>
      <c r="BH485" s="23">
        <f t="shared" si="2963"/>
        <v>0</v>
      </c>
      <c r="BI485" s="49" t="str">
        <f t="shared" ref="BI485" si="3117">IF(BH485&lt;0,SUBSTITUTE(TEXT(BH485,"000000000000,00"),",",""),SUBSTITUTE(TEXT(BH485,"0000000000000,00"),",",""))</f>
        <v>000000000000000</v>
      </c>
      <c r="BJ485" s="23">
        <f t="shared" si="2965"/>
        <v>0</v>
      </c>
      <c r="BK485" s="49" t="str">
        <f t="shared" ref="BK485" si="3118">IF(BJ485&lt;0,SUBSTITUTE(TEXT(BJ485,"000000000000,00"),",",""),SUBSTITUTE(TEXT(BJ485,"0000000000000,00"),",",""))</f>
        <v>000000000000000</v>
      </c>
      <c r="BL485" s="23">
        <f t="shared" si="2967"/>
        <v>0</v>
      </c>
      <c r="BM485" s="49" t="str">
        <f t="shared" ref="BM485" si="3119">IF(BL485&lt;0,SUBSTITUTE(TEXT(BL485,"000000000000,00"),",",""),SUBSTITUTE(TEXT(BL485,"0000000000000,00"),",",""))</f>
        <v>000000000000000</v>
      </c>
      <c r="BN485" t="str">
        <f t="shared" si="2969"/>
        <v>PES</v>
      </c>
      <c r="BO485" t="str">
        <f t="shared" si="2970"/>
        <v>0001000000</v>
      </c>
      <c r="BP485">
        <f t="shared" si="2971"/>
        <v>0</v>
      </c>
      <c r="BQ485">
        <f t="shared" si="2972"/>
        <v>0</v>
      </c>
      <c r="BR485" s="23">
        <f t="shared" si="2973"/>
        <v>0</v>
      </c>
      <c r="BS485" s="49" t="str">
        <f t="shared" si="2938"/>
        <v>000000000000000</v>
      </c>
      <c r="BT485" t="str">
        <f t="shared" si="2974"/>
        <v>00000000</v>
      </c>
      <c r="BU485" s="23">
        <f t="shared" si="2975"/>
        <v>0</v>
      </c>
      <c r="BV485" s="49" t="str">
        <f t="shared" si="2939"/>
        <v/>
      </c>
      <c r="BW485" s="52" t="str">
        <f t="shared" si="2976"/>
        <v/>
      </c>
      <c r="BX485" s="23">
        <f t="shared" si="2977"/>
        <v>0</v>
      </c>
      <c r="BY485" s="49" t="str">
        <f t="shared" si="2940"/>
        <v/>
      </c>
      <c r="BZ485" s="23">
        <f t="shared" si="2978"/>
        <v>0</v>
      </c>
      <c r="CA485" s="49" t="str">
        <f t="shared" si="2941"/>
        <v/>
      </c>
      <c r="CB485" s="52" t="str">
        <f t="shared" si="2979"/>
        <v/>
      </c>
      <c r="CC485" s="23">
        <f t="shared" si="2980"/>
        <v>0</v>
      </c>
      <c r="CD485" s="49" t="str">
        <f t="shared" si="2942"/>
        <v/>
      </c>
      <c r="CE485" s="56" t="str">
        <f>IF(CF485="","",MAX(CE$10:$CE484)+1)</f>
        <v/>
      </c>
      <c r="CF485" t="str">
        <f t="shared" si="2981"/>
        <v/>
      </c>
      <c r="CG485" s="22" t="str">
        <f>IF(CH485="","",MAX($CG$10:CG484)+1)</f>
        <v/>
      </c>
      <c r="CH485" s="22" t="str">
        <f t="shared" si="2926"/>
        <v/>
      </c>
      <c r="CI485" s="22" t="str">
        <f>IF(CJ485="","",MAX($CI$10:CI484)+1)</f>
        <v/>
      </c>
      <c r="CJ485" s="22" t="str">
        <f t="shared" si="2927"/>
        <v/>
      </c>
    </row>
    <row r="486" spans="2:88" x14ac:dyDescent="0.25">
      <c r="B486" s="37"/>
      <c r="C486" s="3"/>
      <c r="D486" s="77" t="str">
        <f t="shared" si="2913"/>
        <v/>
      </c>
      <c r="E486" s="38"/>
      <c r="F486" s="38"/>
      <c r="G486" s="78">
        <f t="shared" si="2928"/>
        <v>0</v>
      </c>
      <c r="H486" s="3">
        <v>80</v>
      </c>
      <c r="I486" s="77" t="str">
        <f t="shared" si="2914"/>
        <v/>
      </c>
      <c r="J486" s="32"/>
      <c r="K486" s="3"/>
      <c r="L486" s="39"/>
      <c r="M486" s="39"/>
      <c r="N486" s="39"/>
      <c r="O486" s="39"/>
      <c r="P486" s="39"/>
      <c r="Q486" s="39"/>
      <c r="R486" s="39"/>
      <c r="S486" s="39"/>
      <c r="T486" s="3" t="s">
        <v>645</v>
      </c>
      <c r="U486" s="77" t="str">
        <f t="shared" si="2915"/>
        <v/>
      </c>
      <c r="V486" s="39">
        <v>1</v>
      </c>
      <c r="W486" s="79">
        <f t="shared" si="2929"/>
        <v>0</v>
      </c>
      <c r="X486" s="3">
        <v>0</v>
      </c>
      <c r="Y486" s="77" t="str">
        <f t="shared" si="2916"/>
        <v/>
      </c>
      <c r="Z486" s="3"/>
      <c r="AA486" s="37" t="str">
        <f t="shared" si="2930"/>
        <v/>
      </c>
      <c r="AC486" s="40"/>
      <c r="AD486" s="7"/>
      <c r="AE486" s="77" t="str">
        <f t="shared" si="2917"/>
        <v/>
      </c>
      <c r="AF486" s="81">
        <f t="shared" si="2943"/>
        <v>0</v>
      </c>
      <c r="AG486" s="40"/>
      <c r="AH486" s="7"/>
      <c r="AI486" s="77" t="str">
        <f t="shared" si="2918"/>
        <v/>
      </c>
      <c r="AJ486" s="81">
        <f t="shared" si="2944"/>
        <v>0</v>
      </c>
      <c r="AK486" s="83">
        <f t="shared" si="2945"/>
        <v>0</v>
      </c>
      <c r="AL486" s="83">
        <f t="shared" si="2946"/>
        <v>0</v>
      </c>
      <c r="AN486" s="43">
        <f t="shared" si="2919"/>
        <v>0</v>
      </c>
      <c r="AP486" t="str">
        <f t="shared" si="2947"/>
        <v/>
      </c>
      <c r="AQ486" t="str">
        <f t="shared" si="2948"/>
        <v/>
      </c>
      <c r="AR486" t="str">
        <f t="shared" si="2949"/>
        <v/>
      </c>
      <c r="AS486" t="str">
        <f t="shared" si="2950"/>
        <v/>
      </c>
      <c r="AT486" t="str">
        <f t="shared" si="2951"/>
        <v/>
      </c>
      <c r="AU486" t="str">
        <f t="shared" si="2952"/>
        <v/>
      </c>
      <c r="AV486" t="str">
        <f t="shared" si="2953"/>
        <v/>
      </c>
      <c r="AW486" t="str">
        <f t="shared" si="2954"/>
        <v xml:space="preserve">                              </v>
      </c>
      <c r="AX486" s="23">
        <f t="shared" si="2955"/>
        <v>0</v>
      </c>
      <c r="AY486" s="49" t="str">
        <f t="shared" si="2931"/>
        <v>000000000000000</v>
      </c>
      <c r="AZ486" s="23">
        <f t="shared" si="2956"/>
        <v>0</v>
      </c>
      <c r="BA486" s="49" t="str">
        <f t="shared" si="2931"/>
        <v>000000000000000</v>
      </c>
      <c r="BB486" s="23">
        <f t="shared" si="2957"/>
        <v>0</v>
      </c>
      <c r="BC486" s="49" t="str">
        <f t="shared" ref="BC486" si="3120">IF(BB486&lt;0,SUBSTITUTE(TEXT(BB486,"000000000000,00"),",",""),SUBSTITUTE(TEXT(BB486,"0000000000000,00"),",",""))</f>
        <v>000000000000000</v>
      </c>
      <c r="BD486" s="23">
        <f t="shared" si="2959"/>
        <v>0</v>
      </c>
      <c r="BE486" s="49" t="str">
        <f t="shared" ref="BE486" si="3121">IF(BD486&lt;0,SUBSTITUTE(TEXT(BD486,"000000000000,00"),",",""),SUBSTITUTE(TEXT(BD486,"0000000000000,00"),",",""))</f>
        <v>000000000000000</v>
      </c>
      <c r="BF486" s="23">
        <f t="shared" si="2961"/>
        <v>0</v>
      </c>
      <c r="BG486" s="49" t="str">
        <f t="shared" ref="BG486" si="3122">IF(BF486&lt;0,SUBSTITUTE(TEXT(BF486,"000000000000,00"),",",""),SUBSTITUTE(TEXT(BF486,"0000000000000,00"),",",""))</f>
        <v>000000000000000</v>
      </c>
      <c r="BH486" s="23">
        <f t="shared" si="2963"/>
        <v>0</v>
      </c>
      <c r="BI486" s="49" t="str">
        <f t="shared" ref="BI486" si="3123">IF(BH486&lt;0,SUBSTITUTE(TEXT(BH486,"000000000000,00"),",",""),SUBSTITUTE(TEXT(BH486,"0000000000000,00"),",",""))</f>
        <v>000000000000000</v>
      </c>
      <c r="BJ486" s="23">
        <f t="shared" si="2965"/>
        <v>0</v>
      </c>
      <c r="BK486" s="49" t="str">
        <f t="shared" ref="BK486" si="3124">IF(BJ486&lt;0,SUBSTITUTE(TEXT(BJ486,"000000000000,00"),",",""),SUBSTITUTE(TEXT(BJ486,"0000000000000,00"),",",""))</f>
        <v>000000000000000</v>
      </c>
      <c r="BL486" s="23">
        <f t="shared" si="2967"/>
        <v>0</v>
      </c>
      <c r="BM486" s="49" t="str">
        <f t="shared" ref="BM486" si="3125">IF(BL486&lt;0,SUBSTITUTE(TEXT(BL486,"000000000000,00"),",",""),SUBSTITUTE(TEXT(BL486,"0000000000000,00"),",",""))</f>
        <v>000000000000000</v>
      </c>
      <c r="BN486" t="str">
        <f t="shared" si="2969"/>
        <v>PES</v>
      </c>
      <c r="BO486" t="str">
        <f t="shared" si="2970"/>
        <v>0001000000</v>
      </c>
      <c r="BP486">
        <f t="shared" si="2971"/>
        <v>0</v>
      </c>
      <c r="BQ486">
        <f t="shared" si="2972"/>
        <v>0</v>
      </c>
      <c r="BR486" s="23">
        <f t="shared" si="2973"/>
        <v>0</v>
      </c>
      <c r="BS486" s="49" t="str">
        <f t="shared" si="2938"/>
        <v>000000000000000</v>
      </c>
      <c r="BT486" t="str">
        <f t="shared" si="2974"/>
        <v>00000000</v>
      </c>
      <c r="BU486" s="23">
        <f t="shared" si="2975"/>
        <v>0</v>
      </c>
      <c r="BV486" s="49" t="str">
        <f t="shared" si="2939"/>
        <v/>
      </c>
      <c r="BW486" s="52" t="str">
        <f t="shared" si="2976"/>
        <v/>
      </c>
      <c r="BX486" s="23">
        <f t="shared" si="2977"/>
        <v>0</v>
      </c>
      <c r="BY486" s="49" t="str">
        <f t="shared" si="2940"/>
        <v/>
      </c>
      <c r="BZ486" s="23">
        <f t="shared" si="2978"/>
        <v>0</v>
      </c>
      <c r="CA486" s="49" t="str">
        <f t="shared" si="2941"/>
        <v/>
      </c>
      <c r="CB486" s="52" t="str">
        <f t="shared" si="2979"/>
        <v/>
      </c>
      <c r="CC486" s="23">
        <f t="shared" si="2980"/>
        <v>0</v>
      </c>
      <c r="CD486" s="49" t="str">
        <f t="shared" si="2942"/>
        <v/>
      </c>
      <c r="CE486" s="56" t="str">
        <f>IF(CF486="","",MAX(CE$10:$CE485)+1)</f>
        <v/>
      </c>
      <c r="CF486" t="str">
        <f t="shared" si="2981"/>
        <v/>
      </c>
      <c r="CG486" s="22" t="str">
        <f>IF(CH486="","",MAX($CG$10:CG485)+1)</f>
        <v/>
      </c>
      <c r="CH486" s="22" t="str">
        <f t="shared" si="2926"/>
        <v/>
      </c>
      <c r="CI486" s="22" t="str">
        <f>IF(CJ486="","",MAX($CI$10:CI485)+1)</f>
        <v/>
      </c>
      <c r="CJ486" s="22" t="str">
        <f t="shared" si="2927"/>
        <v/>
      </c>
    </row>
    <row r="487" spans="2:88" x14ac:dyDescent="0.25">
      <c r="B487" s="37"/>
      <c r="C487" s="3"/>
      <c r="D487" s="77" t="str">
        <f t="shared" si="2913"/>
        <v/>
      </c>
      <c r="E487" s="38"/>
      <c r="F487" s="38"/>
      <c r="G487" s="78">
        <f t="shared" si="2928"/>
        <v>0</v>
      </c>
      <c r="H487" s="3">
        <v>80</v>
      </c>
      <c r="I487" s="77" t="str">
        <f t="shared" si="2914"/>
        <v/>
      </c>
      <c r="J487" s="32"/>
      <c r="K487" s="3"/>
      <c r="L487" s="39"/>
      <c r="M487" s="39"/>
      <c r="N487" s="39"/>
      <c r="O487" s="39"/>
      <c r="P487" s="39"/>
      <c r="Q487" s="39"/>
      <c r="R487" s="39"/>
      <c r="S487" s="39"/>
      <c r="T487" s="3" t="s">
        <v>645</v>
      </c>
      <c r="U487" s="77" t="str">
        <f t="shared" si="2915"/>
        <v/>
      </c>
      <c r="V487" s="39">
        <v>1</v>
      </c>
      <c r="W487" s="79">
        <f t="shared" si="2929"/>
        <v>0</v>
      </c>
      <c r="X487" s="3">
        <v>0</v>
      </c>
      <c r="Y487" s="77" t="str">
        <f t="shared" si="2916"/>
        <v/>
      </c>
      <c r="Z487" s="3"/>
      <c r="AA487" s="37" t="str">
        <f t="shared" si="2930"/>
        <v/>
      </c>
      <c r="AC487" s="40"/>
      <c r="AD487" s="7"/>
      <c r="AE487" s="77" t="str">
        <f t="shared" si="2917"/>
        <v/>
      </c>
      <c r="AF487" s="81">
        <f t="shared" si="2943"/>
        <v>0</v>
      </c>
      <c r="AG487" s="40"/>
      <c r="AH487" s="7"/>
      <c r="AI487" s="77" t="str">
        <f t="shared" si="2918"/>
        <v/>
      </c>
      <c r="AJ487" s="81">
        <f t="shared" si="2944"/>
        <v>0</v>
      </c>
      <c r="AK487" s="83">
        <f t="shared" si="2945"/>
        <v>0</v>
      </c>
      <c r="AL487" s="83">
        <f t="shared" si="2946"/>
        <v>0</v>
      </c>
      <c r="AN487" s="43">
        <f t="shared" si="2919"/>
        <v>0</v>
      </c>
      <c r="AP487" t="str">
        <f t="shared" si="2947"/>
        <v/>
      </c>
      <c r="AQ487" t="str">
        <f t="shared" si="2948"/>
        <v/>
      </c>
      <c r="AR487" t="str">
        <f t="shared" si="2949"/>
        <v/>
      </c>
      <c r="AS487" t="str">
        <f t="shared" si="2950"/>
        <v/>
      </c>
      <c r="AT487" t="str">
        <f t="shared" si="2951"/>
        <v/>
      </c>
      <c r="AU487" t="str">
        <f t="shared" si="2952"/>
        <v/>
      </c>
      <c r="AV487" t="str">
        <f t="shared" si="2953"/>
        <v/>
      </c>
      <c r="AW487" t="str">
        <f t="shared" si="2954"/>
        <v xml:space="preserve">                              </v>
      </c>
      <c r="AX487" s="23">
        <f t="shared" si="2955"/>
        <v>0</v>
      </c>
      <c r="AY487" s="49" t="str">
        <f t="shared" si="2931"/>
        <v>000000000000000</v>
      </c>
      <c r="AZ487" s="23">
        <f t="shared" si="2956"/>
        <v>0</v>
      </c>
      <c r="BA487" s="49" t="str">
        <f t="shared" si="2931"/>
        <v>000000000000000</v>
      </c>
      <c r="BB487" s="23">
        <f t="shared" si="2957"/>
        <v>0</v>
      </c>
      <c r="BC487" s="49" t="str">
        <f t="shared" ref="BC487" si="3126">IF(BB487&lt;0,SUBSTITUTE(TEXT(BB487,"000000000000,00"),",",""),SUBSTITUTE(TEXT(BB487,"0000000000000,00"),",",""))</f>
        <v>000000000000000</v>
      </c>
      <c r="BD487" s="23">
        <f t="shared" si="2959"/>
        <v>0</v>
      </c>
      <c r="BE487" s="49" t="str">
        <f t="shared" ref="BE487" si="3127">IF(BD487&lt;0,SUBSTITUTE(TEXT(BD487,"000000000000,00"),",",""),SUBSTITUTE(TEXT(BD487,"0000000000000,00"),",",""))</f>
        <v>000000000000000</v>
      </c>
      <c r="BF487" s="23">
        <f t="shared" si="2961"/>
        <v>0</v>
      </c>
      <c r="BG487" s="49" t="str">
        <f t="shared" ref="BG487" si="3128">IF(BF487&lt;0,SUBSTITUTE(TEXT(BF487,"000000000000,00"),",",""),SUBSTITUTE(TEXT(BF487,"0000000000000,00"),",",""))</f>
        <v>000000000000000</v>
      </c>
      <c r="BH487" s="23">
        <f t="shared" si="2963"/>
        <v>0</v>
      </c>
      <c r="BI487" s="49" t="str">
        <f t="shared" ref="BI487" si="3129">IF(BH487&lt;0,SUBSTITUTE(TEXT(BH487,"000000000000,00"),",",""),SUBSTITUTE(TEXT(BH487,"0000000000000,00"),",",""))</f>
        <v>000000000000000</v>
      </c>
      <c r="BJ487" s="23">
        <f t="shared" si="2965"/>
        <v>0</v>
      </c>
      <c r="BK487" s="49" t="str">
        <f t="shared" ref="BK487" si="3130">IF(BJ487&lt;0,SUBSTITUTE(TEXT(BJ487,"000000000000,00"),",",""),SUBSTITUTE(TEXT(BJ487,"0000000000000,00"),",",""))</f>
        <v>000000000000000</v>
      </c>
      <c r="BL487" s="23">
        <f t="shared" si="2967"/>
        <v>0</v>
      </c>
      <c r="BM487" s="49" t="str">
        <f t="shared" ref="BM487" si="3131">IF(BL487&lt;0,SUBSTITUTE(TEXT(BL487,"000000000000,00"),",",""),SUBSTITUTE(TEXT(BL487,"0000000000000,00"),",",""))</f>
        <v>000000000000000</v>
      </c>
      <c r="BN487" t="str">
        <f t="shared" si="2969"/>
        <v>PES</v>
      </c>
      <c r="BO487" t="str">
        <f t="shared" si="2970"/>
        <v>0001000000</v>
      </c>
      <c r="BP487">
        <f t="shared" si="2971"/>
        <v>0</v>
      </c>
      <c r="BQ487">
        <f t="shared" si="2972"/>
        <v>0</v>
      </c>
      <c r="BR487" s="23">
        <f t="shared" si="2973"/>
        <v>0</v>
      </c>
      <c r="BS487" s="49" t="str">
        <f t="shared" si="2938"/>
        <v>000000000000000</v>
      </c>
      <c r="BT487" t="str">
        <f t="shared" si="2974"/>
        <v>00000000</v>
      </c>
      <c r="BU487" s="23">
        <f t="shared" si="2975"/>
        <v>0</v>
      </c>
      <c r="BV487" s="49" t="str">
        <f t="shared" si="2939"/>
        <v/>
      </c>
      <c r="BW487" s="52" t="str">
        <f t="shared" si="2976"/>
        <v/>
      </c>
      <c r="BX487" s="23">
        <f t="shared" si="2977"/>
        <v>0</v>
      </c>
      <c r="BY487" s="49" t="str">
        <f t="shared" si="2940"/>
        <v/>
      </c>
      <c r="BZ487" s="23">
        <f t="shared" si="2978"/>
        <v>0</v>
      </c>
      <c r="CA487" s="49" t="str">
        <f t="shared" si="2941"/>
        <v/>
      </c>
      <c r="CB487" s="52" t="str">
        <f t="shared" si="2979"/>
        <v/>
      </c>
      <c r="CC487" s="23">
        <f t="shared" si="2980"/>
        <v>0</v>
      </c>
      <c r="CD487" s="49" t="str">
        <f t="shared" si="2942"/>
        <v/>
      </c>
      <c r="CE487" s="56" t="str">
        <f>IF(CF487="","",MAX(CE$10:$CE486)+1)</f>
        <v/>
      </c>
      <c r="CF487" t="str">
        <f t="shared" si="2981"/>
        <v/>
      </c>
      <c r="CG487" s="22" t="str">
        <f>IF(CH487="","",MAX($CG$10:CG486)+1)</f>
        <v/>
      </c>
      <c r="CH487" s="22" t="str">
        <f t="shared" si="2926"/>
        <v/>
      </c>
      <c r="CI487" s="22" t="str">
        <f>IF(CJ487="","",MAX($CI$10:CI486)+1)</f>
        <v/>
      </c>
      <c r="CJ487" s="22" t="str">
        <f t="shared" si="2927"/>
        <v/>
      </c>
    </row>
    <row r="488" spans="2:88" x14ac:dyDescent="0.25">
      <c r="B488" s="37"/>
      <c r="C488" s="3"/>
      <c r="D488" s="77" t="str">
        <f t="shared" si="2913"/>
        <v/>
      </c>
      <c r="E488" s="38"/>
      <c r="F488" s="38"/>
      <c r="G488" s="78">
        <f t="shared" si="2928"/>
        <v>0</v>
      </c>
      <c r="H488" s="3">
        <v>80</v>
      </c>
      <c r="I488" s="77" t="str">
        <f t="shared" si="2914"/>
        <v/>
      </c>
      <c r="J488" s="32"/>
      <c r="K488" s="3"/>
      <c r="L488" s="39"/>
      <c r="M488" s="39"/>
      <c r="N488" s="39"/>
      <c r="O488" s="39"/>
      <c r="P488" s="39"/>
      <c r="Q488" s="39"/>
      <c r="R488" s="39"/>
      <c r="S488" s="39"/>
      <c r="T488" s="3" t="s">
        <v>645</v>
      </c>
      <c r="U488" s="77" t="str">
        <f t="shared" si="2915"/>
        <v/>
      </c>
      <c r="V488" s="39">
        <v>1</v>
      </c>
      <c r="W488" s="79">
        <f t="shared" si="2929"/>
        <v>0</v>
      </c>
      <c r="X488" s="3">
        <v>0</v>
      </c>
      <c r="Y488" s="77" t="str">
        <f t="shared" si="2916"/>
        <v/>
      </c>
      <c r="Z488" s="3"/>
      <c r="AA488" s="37" t="str">
        <f t="shared" si="2930"/>
        <v/>
      </c>
      <c r="AC488" s="40"/>
      <c r="AD488" s="7"/>
      <c r="AE488" s="77" t="str">
        <f t="shared" si="2917"/>
        <v/>
      </c>
      <c r="AF488" s="81">
        <f t="shared" si="2943"/>
        <v>0</v>
      </c>
      <c r="AG488" s="40"/>
      <c r="AH488" s="7"/>
      <c r="AI488" s="77" t="str">
        <f t="shared" si="2918"/>
        <v/>
      </c>
      <c r="AJ488" s="81">
        <f t="shared" si="2944"/>
        <v>0</v>
      </c>
      <c r="AK488" s="83">
        <f t="shared" si="2945"/>
        <v>0</v>
      </c>
      <c r="AL488" s="83">
        <f t="shared" si="2946"/>
        <v>0</v>
      </c>
      <c r="AN488" s="43">
        <f t="shared" si="2919"/>
        <v>0</v>
      </c>
      <c r="AP488" t="str">
        <f t="shared" si="2947"/>
        <v/>
      </c>
      <c r="AQ488" t="str">
        <f t="shared" si="2948"/>
        <v/>
      </c>
      <c r="AR488" t="str">
        <f t="shared" si="2949"/>
        <v/>
      </c>
      <c r="AS488" t="str">
        <f t="shared" si="2950"/>
        <v/>
      </c>
      <c r="AT488" t="str">
        <f t="shared" si="2951"/>
        <v/>
      </c>
      <c r="AU488" t="str">
        <f t="shared" si="2952"/>
        <v/>
      </c>
      <c r="AV488" t="str">
        <f t="shared" si="2953"/>
        <v/>
      </c>
      <c r="AW488" t="str">
        <f t="shared" si="2954"/>
        <v xml:space="preserve">                              </v>
      </c>
      <c r="AX488" s="23">
        <f t="shared" si="2955"/>
        <v>0</v>
      </c>
      <c r="AY488" s="49" t="str">
        <f t="shared" si="2931"/>
        <v>000000000000000</v>
      </c>
      <c r="AZ488" s="23">
        <f t="shared" si="2956"/>
        <v>0</v>
      </c>
      <c r="BA488" s="49" t="str">
        <f t="shared" si="2931"/>
        <v>000000000000000</v>
      </c>
      <c r="BB488" s="23">
        <f t="shared" si="2957"/>
        <v>0</v>
      </c>
      <c r="BC488" s="49" t="str">
        <f t="shared" ref="BC488" si="3132">IF(BB488&lt;0,SUBSTITUTE(TEXT(BB488,"000000000000,00"),",",""),SUBSTITUTE(TEXT(BB488,"0000000000000,00"),",",""))</f>
        <v>000000000000000</v>
      </c>
      <c r="BD488" s="23">
        <f t="shared" si="2959"/>
        <v>0</v>
      </c>
      <c r="BE488" s="49" t="str">
        <f t="shared" ref="BE488" si="3133">IF(BD488&lt;0,SUBSTITUTE(TEXT(BD488,"000000000000,00"),",",""),SUBSTITUTE(TEXT(BD488,"0000000000000,00"),",",""))</f>
        <v>000000000000000</v>
      </c>
      <c r="BF488" s="23">
        <f t="shared" si="2961"/>
        <v>0</v>
      </c>
      <c r="BG488" s="49" t="str">
        <f t="shared" ref="BG488" si="3134">IF(BF488&lt;0,SUBSTITUTE(TEXT(BF488,"000000000000,00"),",",""),SUBSTITUTE(TEXT(BF488,"0000000000000,00"),",",""))</f>
        <v>000000000000000</v>
      </c>
      <c r="BH488" s="23">
        <f t="shared" si="2963"/>
        <v>0</v>
      </c>
      <c r="BI488" s="49" t="str">
        <f t="shared" ref="BI488" si="3135">IF(BH488&lt;0,SUBSTITUTE(TEXT(BH488,"000000000000,00"),",",""),SUBSTITUTE(TEXT(BH488,"0000000000000,00"),",",""))</f>
        <v>000000000000000</v>
      </c>
      <c r="BJ488" s="23">
        <f t="shared" si="2965"/>
        <v>0</v>
      </c>
      <c r="BK488" s="49" t="str">
        <f t="shared" ref="BK488" si="3136">IF(BJ488&lt;0,SUBSTITUTE(TEXT(BJ488,"000000000000,00"),",",""),SUBSTITUTE(TEXT(BJ488,"0000000000000,00"),",",""))</f>
        <v>000000000000000</v>
      </c>
      <c r="BL488" s="23">
        <f t="shared" si="2967"/>
        <v>0</v>
      </c>
      <c r="BM488" s="49" t="str">
        <f t="shared" ref="BM488" si="3137">IF(BL488&lt;0,SUBSTITUTE(TEXT(BL488,"000000000000,00"),",",""),SUBSTITUTE(TEXT(BL488,"0000000000000,00"),",",""))</f>
        <v>000000000000000</v>
      </c>
      <c r="BN488" t="str">
        <f t="shared" si="2969"/>
        <v>PES</v>
      </c>
      <c r="BO488" t="str">
        <f t="shared" si="2970"/>
        <v>0001000000</v>
      </c>
      <c r="BP488">
        <f t="shared" si="2971"/>
        <v>0</v>
      </c>
      <c r="BQ488">
        <f t="shared" si="2972"/>
        <v>0</v>
      </c>
      <c r="BR488" s="23">
        <f t="shared" si="2973"/>
        <v>0</v>
      </c>
      <c r="BS488" s="49" t="str">
        <f t="shared" si="2938"/>
        <v>000000000000000</v>
      </c>
      <c r="BT488" t="str">
        <f t="shared" si="2974"/>
        <v>00000000</v>
      </c>
      <c r="BU488" s="23">
        <f t="shared" si="2975"/>
        <v>0</v>
      </c>
      <c r="BV488" s="49" t="str">
        <f t="shared" si="2939"/>
        <v/>
      </c>
      <c r="BW488" s="52" t="str">
        <f t="shared" si="2976"/>
        <v/>
      </c>
      <c r="BX488" s="23">
        <f t="shared" si="2977"/>
        <v>0</v>
      </c>
      <c r="BY488" s="49" t="str">
        <f t="shared" si="2940"/>
        <v/>
      </c>
      <c r="BZ488" s="23">
        <f t="shared" si="2978"/>
        <v>0</v>
      </c>
      <c r="CA488" s="49" t="str">
        <f t="shared" si="2941"/>
        <v/>
      </c>
      <c r="CB488" s="52" t="str">
        <f t="shared" si="2979"/>
        <v/>
      </c>
      <c r="CC488" s="23">
        <f t="shared" si="2980"/>
        <v>0</v>
      </c>
      <c r="CD488" s="49" t="str">
        <f t="shared" si="2942"/>
        <v/>
      </c>
      <c r="CE488" s="56" t="str">
        <f>IF(CF488="","",MAX(CE$10:$CE487)+1)</f>
        <v/>
      </c>
      <c r="CF488" t="str">
        <f t="shared" si="2981"/>
        <v/>
      </c>
      <c r="CG488" s="22" t="str">
        <f>IF(CH488="","",MAX($CG$10:CG487)+1)</f>
        <v/>
      </c>
      <c r="CH488" s="22" t="str">
        <f t="shared" si="2926"/>
        <v/>
      </c>
      <c r="CI488" s="22" t="str">
        <f>IF(CJ488="","",MAX($CI$10:CI487)+1)</f>
        <v/>
      </c>
      <c r="CJ488" s="22" t="str">
        <f t="shared" si="2927"/>
        <v/>
      </c>
    </row>
    <row r="489" spans="2:88" x14ac:dyDescent="0.25">
      <c r="B489" s="37"/>
      <c r="C489" s="3"/>
      <c r="D489" s="77" t="str">
        <f t="shared" si="2913"/>
        <v/>
      </c>
      <c r="E489" s="38"/>
      <c r="F489" s="38"/>
      <c r="G489" s="78">
        <f t="shared" si="2928"/>
        <v>0</v>
      </c>
      <c r="H489" s="3">
        <v>80</v>
      </c>
      <c r="I489" s="77" t="str">
        <f t="shared" si="2914"/>
        <v/>
      </c>
      <c r="J489" s="32"/>
      <c r="K489" s="3"/>
      <c r="L489" s="39"/>
      <c r="M489" s="39"/>
      <c r="N489" s="39"/>
      <c r="O489" s="39"/>
      <c r="P489" s="39"/>
      <c r="Q489" s="39"/>
      <c r="R489" s="39"/>
      <c r="S489" s="39"/>
      <c r="T489" s="3" t="s">
        <v>645</v>
      </c>
      <c r="U489" s="77" t="str">
        <f t="shared" si="2915"/>
        <v/>
      </c>
      <c r="V489" s="39">
        <v>1</v>
      </c>
      <c r="W489" s="79">
        <f t="shared" si="2929"/>
        <v>0</v>
      </c>
      <c r="X489" s="3">
        <v>0</v>
      </c>
      <c r="Y489" s="77" t="str">
        <f t="shared" si="2916"/>
        <v/>
      </c>
      <c r="Z489" s="3"/>
      <c r="AA489" s="37" t="str">
        <f t="shared" si="2930"/>
        <v/>
      </c>
      <c r="AC489" s="40"/>
      <c r="AD489" s="7"/>
      <c r="AE489" s="77" t="str">
        <f t="shared" si="2917"/>
        <v/>
      </c>
      <c r="AF489" s="81">
        <f t="shared" si="2943"/>
        <v>0</v>
      </c>
      <c r="AG489" s="40"/>
      <c r="AH489" s="7"/>
      <c r="AI489" s="77" t="str">
        <f t="shared" si="2918"/>
        <v/>
      </c>
      <c r="AJ489" s="81">
        <f t="shared" si="2944"/>
        <v>0</v>
      </c>
      <c r="AK489" s="83">
        <f t="shared" si="2945"/>
        <v>0</v>
      </c>
      <c r="AL489" s="83">
        <f t="shared" si="2946"/>
        <v>0</v>
      </c>
      <c r="AN489" s="43">
        <f t="shared" si="2919"/>
        <v>0</v>
      </c>
      <c r="AP489" t="str">
        <f t="shared" si="2947"/>
        <v/>
      </c>
      <c r="AQ489" t="str">
        <f t="shared" si="2948"/>
        <v/>
      </c>
      <c r="AR489" t="str">
        <f t="shared" si="2949"/>
        <v/>
      </c>
      <c r="AS489" t="str">
        <f t="shared" si="2950"/>
        <v/>
      </c>
      <c r="AT489" t="str">
        <f t="shared" si="2951"/>
        <v/>
      </c>
      <c r="AU489" t="str">
        <f t="shared" si="2952"/>
        <v/>
      </c>
      <c r="AV489" t="str">
        <f t="shared" si="2953"/>
        <v/>
      </c>
      <c r="AW489" t="str">
        <f t="shared" si="2954"/>
        <v xml:space="preserve">                              </v>
      </c>
      <c r="AX489" s="23">
        <f t="shared" si="2955"/>
        <v>0</v>
      </c>
      <c r="AY489" s="49" t="str">
        <f t="shared" si="2931"/>
        <v>000000000000000</v>
      </c>
      <c r="AZ489" s="23">
        <f t="shared" si="2956"/>
        <v>0</v>
      </c>
      <c r="BA489" s="49" t="str">
        <f t="shared" si="2931"/>
        <v>000000000000000</v>
      </c>
      <c r="BB489" s="23">
        <f t="shared" si="2957"/>
        <v>0</v>
      </c>
      <c r="BC489" s="49" t="str">
        <f t="shared" ref="BC489" si="3138">IF(BB489&lt;0,SUBSTITUTE(TEXT(BB489,"000000000000,00"),",",""),SUBSTITUTE(TEXT(BB489,"0000000000000,00"),",",""))</f>
        <v>000000000000000</v>
      </c>
      <c r="BD489" s="23">
        <f t="shared" si="2959"/>
        <v>0</v>
      </c>
      <c r="BE489" s="49" t="str">
        <f t="shared" ref="BE489" si="3139">IF(BD489&lt;0,SUBSTITUTE(TEXT(BD489,"000000000000,00"),",",""),SUBSTITUTE(TEXT(BD489,"0000000000000,00"),",",""))</f>
        <v>000000000000000</v>
      </c>
      <c r="BF489" s="23">
        <f t="shared" si="2961"/>
        <v>0</v>
      </c>
      <c r="BG489" s="49" t="str">
        <f t="shared" ref="BG489" si="3140">IF(BF489&lt;0,SUBSTITUTE(TEXT(BF489,"000000000000,00"),",",""),SUBSTITUTE(TEXT(BF489,"0000000000000,00"),",",""))</f>
        <v>000000000000000</v>
      </c>
      <c r="BH489" s="23">
        <f t="shared" si="2963"/>
        <v>0</v>
      </c>
      <c r="BI489" s="49" t="str">
        <f t="shared" ref="BI489" si="3141">IF(BH489&lt;0,SUBSTITUTE(TEXT(BH489,"000000000000,00"),",",""),SUBSTITUTE(TEXT(BH489,"0000000000000,00"),",",""))</f>
        <v>000000000000000</v>
      </c>
      <c r="BJ489" s="23">
        <f t="shared" si="2965"/>
        <v>0</v>
      </c>
      <c r="BK489" s="49" t="str">
        <f t="shared" ref="BK489" si="3142">IF(BJ489&lt;0,SUBSTITUTE(TEXT(BJ489,"000000000000,00"),",",""),SUBSTITUTE(TEXT(BJ489,"0000000000000,00"),",",""))</f>
        <v>000000000000000</v>
      </c>
      <c r="BL489" s="23">
        <f t="shared" si="2967"/>
        <v>0</v>
      </c>
      <c r="BM489" s="49" t="str">
        <f t="shared" ref="BM489" si="3143">IF(BL489&lt;0,SUBSTITUTE(TEXT(BL489,"000000000000,00"),",",""),SUBSTITUTE(TEXT(BL489,"0000000000000,00"),",",""))</f>
        <v>000000000000000</v>
      </c>
      <c r="BN489" t="str">
        <f t="shared" si="2969"/>
        <v>PES</v>
      </c>
      <c r="BO489" t="str">
        <f t="shared" si="2970"/>
        <v>0001000000</v>
      </c>
      <c r="BP489">
        <f t="shared" si="2971"/>
        <v>0</v>
      </c>
      <c r="BQ489">
        <f t="shared" si="2972"/>
        <v>0</v>
      </c>
      <c r="BR489" s="23">
        <f t="shared" si="2973"/>
        <v>0</v>
      </c>
      <c r="BS489" s="49" t="str">
        <f t="shared" si="2938"/>
        <v>000000000000000</v>
      </c>
      <c r="BT489" t="str">
        <f t="shared" si="2974"/>
        <v>00000000</v>
      </c>
      <c r="BU489" s="23">
        <f t="shared" si="2975"/>
        <v>0</v>
      </c>
      <c r="BV489" s="49" t="str">
        <f t="shared" si="2939"/>
        <v/>
      </c>
      <c r="BW489" s="52" t="str">
        <f t="shared" si="2976"/>
        <v/>
      </c>
      <c r="BX489" s="23">
        <f t="shared" si="2977"/>
        <v>0</v>
      </c>
      <c r="BY489" s="49" t="str">
        <f t="shared" si="2940"/>
        <v/>
      </c>
      <c r="BZ489" s="23">
        <f t="shared" si="2978"/>
        <v>0</v>
      </c>
      <c r="CA489" s="49" t="str">
        <f t="shared" si="2941"/>
        <v/>
      </c>
      <c r="CB489" s="52" t="str">
        <f t="shared" si="2979"/>
        <v/>
      </c>
      <c r="CC489" s="23">
        <f t="shared" si="2980"/>
        <v>0</v>
      </c>
      <c r="CD489" s="49" t="str">
        <f t="shared" si="2942"/>
        <v/>
      </c>
      <c r="CE489" s="56" t="str">
        <f>IF(CF489="","",MAX(CE$10:$CE488)+1)</f>
        <v/>
      </c>
      <c r="CF489" t="str">
        <f t="shared" si="2981"/>
        <v/>
      </c>
      <c r="CG489" s="22" t="str">
        <f>IF(CH489="","",MAX($CG$10:CG488)+1)</f>
        <v/>
      </c>
      <c r="CH489" s="22" t="str">
        <f t="shared" si="2926"/>
        <v/>
      </c>
      <c r="CI489" s="22" t="str">
        <f>IF(CJ489="","",MAX($CI$10:CI488)+1)</f>
        <v/>
      </c>
      <c r="CJ489" s="22" t="str">
        <f t="shared" si="2927"/>
        <v/>
      </c>
    </row>
    <row r="490" spans="2:88" x14ac:dyDescent="0.25">
      <c r="B490" s="37"/>
      <c r="C490" s="3"/>
      <c r="D490" s="77" t="str">
        <f t="shared" si="2913"/>
        <v/>
      </c>
      <c r="E490" s="38"/>
      <c r="F490" s="38"/>
      <c r="G490" s="78">
        <f t="shared" si="2928"/>
        <v>0</v>
      </c>
      <c r="H490" s="3">
        <v>80</v>
      </c>
      <c r="I490" s="77" t="str">
        <f t="shared" si="2914"/>
        <v/>
      </c>
      <c r="J490" s="32"/>
      <c r="K490" s="3"/>
      <c r="L490" s="39"/>
      <c r="M490" s="39"/>
      <c r="N490" s="39"/>
      <c r="O490" s="39"/>
      <c r="P490" s="39"/>
      <c r="Q490" s="39"/>
      <c r="R490" s="39"/>
      <c r="S490" s="39"/>
      <c r="T490" s="3" t="s">
        <v>645</v>
      </c>
      <c r="U490" s="77" t="str">
        <f t="shared" si="2915"/>
        <v/>
      </c>
      <c r="V490" s="39">
        <v>1</v>
      </c>
      <c r="W490" s="79">
        <f t="shared" si="2929"/>
        <v>0</v>
      </c>
      <c r="X490" s="3">
        <v>0</v>
      </c>
      <c r="Y490" s="77" t="str">
        <f t="shared" si="2916"/>
        <v/>
      </c>
      <c r="Z490" s="3"/>
      <c r="AA490" s="37" t="str">
        <f t="shared" si="2930"/>
        <v/>
      </c>
      <c r="AC490" s="40"/>
      <c r="AD490" s="7"/>
      <c r="AE490" s="77" t="str">
        <f t="shared" si="2917"/>
        <v/>
      </c>
      <c r="AF490" s="81">
        <f t="shared" si="2943"/>
        <v>0</v>
      </c>
      <c r="AG490" s="40"/>
      <c r="AH490" s="7"/>
      <c r="AI490" s="77" t="str">
        <f t="shared" si="2918"/>
        <v/>
      </c>
      <c r="AJ490" s="81">
        <f t="shared" si="2944"/>
        <v>0</v>
      </c>
      <c r="AK490" s="83">
        <f t="shared" si="2945"/>
        <v>0</v>
      </c>
      <c r="AL490" s="83">
        <f t="shared" si="2946"/>
        <v>0</v>
      </c>
      <c r="AN490" s="43">
        <f t="shared" si="2919"/>
        <v>0</v>
      </c>
      <c r="AP490" t="str">
        <f t="shared" si="2947"/>
        <v/>
      </c>
      <c r="AQ490" t="str">
        <f t="shared" si="2948"/>
        <v/>
      </c>
      <c r="AR490" t="str">
        <f t="shared" si="2949"/>
        <v/>
      </c>
      <c r="AS490" t="str">
        <f t="shared" si="2950"/>
        <v/>
      </c>
      <c r="AT490" t="str">
        <f t="shared" si="2951"/>
        <v/>
      </c>
      <c r="AU490" t="str">
        <f t="shared" si="2952"/>
        <v/>
      </c>
      <c r="AV490" t="str">
        <f t="shared" si="2953"/>
        <v/>
      </c>
      <c r="AW490" t="str">
        <f t="shared" si="2954"/>
        <v xml:space="preserve">                              </v>
      </c>
      <c r="AX490" s="23">
        <f t="shared" si="2955"/>
        <v>0</v>
      </c>
      <c r="AY490" s="49" t="str">
        <f t="shared" si="2931"/>
        <v>000000000000000</v>
      </c>
      <c r="AZ490" s="23">
        <f t="shared" si="2956"/>
        <v>0</v>
      </c>
      <c r="BA490" s="49" t="str">
        <f t="shared" si="2931"/>
        <v>000000000000000</v>
      </c>
      <c r="BB490" s="23">
        <f t="shared" si="2957"/>
        <v>0</v>
      </c>
      <c r="BC490" s="49" t="str">
        <f t="shared" ref="BC490" si="3144">IF(BB490&lt;0,SUBSTITUTE(TEXT(BB490,"000000000000,00"),",",""),SUBSTITUTE(TEXT(BB490,"0000000000000,00"),",",""))</f>
        <v>000000000000000</v>
      </c>
      <c r="BD490" s="23">
        <f t="shared" si="2959"/>
        <v>0</v>
      </c>
      <c r="BE490" s="49" t="str">
        <f t="shared" ref="BE490" si="3145">IF(BD490&lt;0,SUBSTITUTE(TEXT(BD490,"000000000000,00"),",",""),SUBSTITUTE(TEXT(BD490,"0000000000000,00"),",",""))</f>
        <v>000000000000000</v>
      </c>
      <c r="BF490" s="23">
        <f t="shared" si="2961"/>
        <v>0</v>
      </c>
      <c r="BG490" s="49" t="str">
        <f t="shared" ref="BG490" si="3146">IF(BF490&lt;0,SUBSTITUTE(TEXT(BF490,"000000000000,00"),",",""),SUBSTITUTE(TEXT(BF490,"0000000000000,00"),",",""))</f>
        <v>000000000000000</v>
      </c>
      <c r="BH490" s="23">
        <f t="shared" si="2963"/>
        <v>0</v>
      </c>
      <c r="BI490" s="49" t="str">
        <f t="shared" ref="BI490" si="3147">IF(BH490&lt;0,SUBSTITUTE(TEXT(BH490,"000000000000,00"),",",""),SUBSTITUTE(TEXT(BH490,"0000000000000,00"),",",""))</f>
        <v>000000000000000</v>
      </c>
      <c r="BJ490" s="23">
        <f t="shared" si="2965"/>
        <v>0</v>
      </c>
      <c r="BK490" s="49" t="str">
        <f t="shared" ref="BK490" si="3148">IF(BJ490&lt;0,SUBSTITUTE(TEXT(BJ490,"000000000000,00"),",",""),SUBSTITUTE(TEXT(BJ490,"0000000000000,00"),",",""))</f>
        <v>000000000000000</v>
      </c>
      <c r="BL490" s="23">
        <f t="shared" si="2967"/>
        <v>0</v>
      </c>
      <c r="BM490" s="49" t="str">
        <f t="shared" ref="BM490" si="3149">IF(BL490&lt;0,SUBSTITUTE(TEXT(BL490,"000000000000,00"),",",""),SUBSTITUTE(TEXT(BL490,"0000000000000,00"),",",""))</f>
        <v>000000000000000</v>
      </c>
      <c r="BN490" t="str">
        <f t="shared" si="2969"/>
        <v>PES</v>
      </c>
      <c r="BO490" t="str">
        <f t="shared" si="2970"/>
        <v>0001000000</v>
      </c>
      <c r="BP490">
        <f t="shared" si="2971"/>
        <v>0</v>
      </c>
      <c r="BQ490">
        <f t="shared" si="2972"/>
        <v>0</v>
      </c>
      <c r="BR490" s="23">
        <f t="shared" si="2973"/>
        <v>0</v>
      </c>
      <c r="BS490" s="49" t="str">
        <f t="shared" si="2938"/>
        <v>000000000000000</v>
      </c>
      <c r="BT490" t="str">
        <f t="shared" si="2974"/>
        <v>00000000</v>
      </c>
      <c r="BU490" s="23">
        <f t="shared" si="2975"/>
        <v>0</v>
      </c>
      <c r="BV490" s="49" t="str">
        <f t="shared" si="2939"/>
        <v/>
      </c>
      <c r="BW490" s="52" t="str">
        <f t="shared" si="2976"/>
        <v/>
      </c>
      <c r="BX490" s="23">
        <f t="shared" si="2977"/>
        <v>0</v>
      </c>
      <c r="BY490" s="49" t="str">
        <f t="shared" si="2940"/>
        <v/>
      </c>
      <c r="BZ490" s="23">
        <f t="shared" si="2978"/>
        <v>0</v>
      </c>
      <c r="CA490" s="49" t="str">
        <f t="shared" si="2941"/>
        <v/>
      </c>
      <c r="CB490" s="52" t="str">
        <f t="shared" si="2979"/>
        <v/>
      </c>
      <c r="CC490" s="23">
        <f t="shared" si="2980"/>
        <v>0</v>
      </c>
      <c r="CD490" s="49" t="str">
        <f t="shared" si="2942"/>
        <v/>
      </c>
      <c r="CE490" s="56" t="str">
        <f>IF(CF490="","",MAX(CE$10:$CE489)+1)</f>
        <v/>
      </c>
      <c r="CF490" t="str">
        <f t="shared" si="2981"/>
        <v/>
      </c>
      <c r="CG490" s="22" t="str">
        <f>IF(CH490="","",MAX($CG$10:CG489)+1)</f>
        <v/>
      </c>
      <c r="CH490" s="22" t="str">
        <f t="shared" si="2926"/>
        <v/>
      </c>
      <c r="CI490" s="22" t="str">
        <f>IF(CJ490="","",MAX($CI$10:CI489)+1)</f>
        <v/>
      </c>
      <c r="CJ490" s="22" t="str">
        <f t="shared" si="2927"/>
        <v/>
      </c>
    </row>
    <row r="491" spans="2:88" x14ac:dyDescent="0.25">
      <c r="B491" s="37"/>
      <c r="C491" s="3"/>
      <c r="D491" s="77" t="str">
        <f t="shared" si="2913"/>
        <v/>
      </c>
      <c r="E491" s="38"/>
      <c r="F491" s="38"/>
      <c r="G491" s="78">
        <f t="shared" si="2928"/>
        <v>0</v>
      </c>
      <c r="H491" s="3">
        <v>80</v>
      </c>
      <c r="I491" s="77" t="str">
        <f t="shared" si="2914"/>
        <v/>
      </c>
      <c r="J491" s="32"/>
      <c r="K491" s="3"/>
      <c r="L491" s="39"/>
      <c r="M491" s="39"/>
      <c r="N491" s="39"/>
      <c r="O491" s="39"/>
      <c r="P491" s="39"/>
      <c r="Q491" s="39"/>
      <c r="R491" s="39"/>
      <c r="S491" s="39"/>
      <c r="T491" s="3" t="s">
        <v>645</v>
      </c>
      <c r="U491" s="77" t="str">
        <f t="shared" si="2915"/>
        <v/>
      </c>
      <c r="V491" s="39">
        <v>1</v>
      </c>
      <c r="W491" s="79">
        <f t="shared" si="2929"/>
        <v>0</v>
      </c>
      <c r="X491" s="3">
        <v>0</v>
      </c>
      <c r="Y491" s="77" t="str">
        <f t="shared" si="2916"/>
        <v/>
      </c>
      <c r="Z491" s="3"/>
      <c r="AA491" s="37" t="str">
        <f t="shared" si="2930"/>
        <v/>
      </c>
      <c r="AC491" s="40"/>
      <c r="AD491" s="7"/>
      <c r="AE491" s="77" t="str">
        <f t="shared" si="2917"/>
        <v/>
      </c>
      <c r="AF491" s="81">
        <f t="shared" si="2943"/>
        <v>0</v>
      </c>
      <c r="AG491" s="40"/>
      <c r="AH491" s="7"/>
      <c r="AI491" s="77" t="str">
        <f t="shared" si="2918"/>
        <v/>
      </c>
      <c r="AJ491" s="81">
        <f t="shared" si="2944"/>
        <v>0</v>
      </c>
      <c r="AK491" s="83">
        <f t="shared" si="2945"/>
        <v>0</v>
      </c>
      <c r="AL491" s="83">
        <f t="shared" si="2946"/>
        <v>0</v>
      </c>
      <c r="AN491" s="43">
        <f t="shared" si="2919"/>
        <v>0</v>
      </c>
      <c r="AP491" t="str">
        <f t="shared" si="2947"/>
        <v/>
      </c>
      <c r="AQ491" t="str">
        <f t="shared" si="2948"/>
        <v/>
      </c>
      <c r="AR491" t="str">
        <f t="shared" si="2949"/>
        <v/>
      </c>
      <c r="AS491" t="str">
        <f t="shared" si="2950"/>
        <v/>
      </c>
      <c r="AT491" t="str">
        <f t="shared" si="2951"/>
        <v/>
      </c>
      <c r="AU491" t="str">
        <f t="shared" si="2952"/>
        <v/>
      </c>
      <c r="AV491" t="str">
        <f t="shared" si="2953"/>
        <v/>
      </c>
      <c r="AW491" t="str">
        <f t="shared" si="2954"/>
        <v xml:space="preserve">                              </v>
      </c>
      <c r="AX491" s="23">
        <f t="shared" si="2955"/>
        <v>0</v>
      </c>
      <c r="AY491" s="49" t="str">
        <f t="shared" si="2931"/>
        <v>000000000000000</v>
      </c>
      <c r="AZ491" s="23">
        <f t="shared" si="2956"/>
        <v>0</v>
      </c>
      <c r="BA491" s="49" t="str">
        <f t="shared" si="2931"/>
        <v>000000000000000</v>
      </c>
      <c r="BB491" s="23">
        <f t="shared" si="2957"/>
        <v>0</v>
      </c>
      <c r="BC491" s="49" t="str">
        <f t="shared" ref="BC491" si="3150">IF(BB491&lt;0,SUBSTITUTE(TEXT(BB491,"000000000000,00"),",",""),SUBSTITUTE(TEXT(BB491,"0000000000000,00"),",",""))</f>
        <v>000000000000000</v>
      </c>
      <c r="BD491" s="23">
        <f t="shared" si="2959"/>
        <v>0</v>
      </c>
      <c r="BE491" s="49" t="str">
        <f t="shared" ref="BE491" si="3151">IF(BD491&lt;0,SUBSTITUTE(TEXT(BD491,"000000000000,00"),",",""),SUBSTITUTE(TEXT(BD491,"0000000000000,00"),",",""))</f>
        <v>000000000000000</v>
      </c>
      <c r="BF491" s="23">
        <f t="shared" si="2961"/>
        <v>0</v>
      </c>
      <c r="BG491" s="49" t="str">
        <f t="shared" ref="BG491" si="3152">IF(BF491&lt;0,SUBSTITUTE(TEXT(BF491,"000000000000,00"),",",""),SUBSTITUTE(TEXT(BF491,"0000000000000,00"),",",""))</f>
        <v>000000000000000</v>
      </c>
      <c r="BH491" s="23">
        <f t="shared" si="2963"/>
        <v>0</v>
      </c>
      <c r="BI491" s="49" t="str">
        <f t="shared" ref="BI491" si="3153">IF(BH491&lt;0,SUBSTITUTE(TEXT(BH491,"000000000000,00"),",",""),SUBSTITUTE(TEXT(BH491,"0000000000000,00"),",",""))</f>
        <v>000000000000000</v>
      </c>
      <c r="BJ491" s="23">
        <f t="shared" si="2965"/>
        <v>0</v>
      </c>
      <c r="BK491" s="49" t="str">
        <f t="shared" ref="BK491" si="3154">IF(BJ491&lt;0,SUBSTITUTE(TEXT(BJ491,"000000000000,00"),",",""),SUBSTITUTE(TEXT(BJ491,"0000000000000,00"),",",""))</f>
        <v>000000000000000</v>
      </c>
      <c r="BL491" s="23">
        <f t="shared" si="2967"/>
        <v>0</v>
      </c>
      <c r="BM491" s="49" t="str">
        <f t="shared" ref="BM491" si="3155">IF(BL491&lt;0,SUBSTITUTE(TEXT(BL491,"000000000000,00"),",",""),SUBSTITUTE(TEXT(BL491,"0000000000000,00"),",",""))</f>
        <v>000000000000000</v>
      </c>
      <c r="BN491" t="str">
        <f t="shared" si="2969"/>
        <v>PES</v>
      </c>
      <c r="BO491" t="str">
        <f t="shared" si="2970"/>
        <v>0001000000</v>
      </c>
      <c r="BP491">
        <f t="shared" si="2971"/>
        <v>0</v>
      </c>
      <c r="BQ491">
        <f t="shared" si="2972"/>
        <v>0</v>
      </c>
      <c r="BR491" s="23">
        <f t="shared" si="2973"/>
        <v>0</v>
      </c>
      <c r="BS491" s="49" t="str">
        <f t="shared" si="2938"/>
        <v>000000000000000</v>
      </c>
      <c r="BT491" t="str">
        <f t="shared" si="2974"/>
        <v>00000000</v>
      </c>
      <c r="BU491" s="23">
        <f t="shared" si="2975"/>
        <v>0</v>
      </c>
      <c r="BV491" s="49" t="str">
        <f t="shared" si="2939"/>
        <v/>
      </c>
      <c r="BW491" s="52" t="str">
        <f t="shared" si="2976"/>
        <v/>
      </c>
      <c r="BX491" s="23">
        <f t="shared" si="2977"/>
        <v>0</v>
      </c>
      <c r="BY491" s="49" t="str">
        <f t="shared" si="2940"/>
        <v/>
      </c>
      <c r="BZ491" s="23">
        <f t="shared" si="2978"/>
        <v>0</v>
      </c>
      <c r="CA491" s="49" t="str">
        <f t="shared" si="2941"/>
        <v/>
      </c>
      <c r="CB491" s="52" t="str">
        <f t="shared" si="2979"/>
        <v/>
      </c>
      <c r="CC491" s="23">
        <f t="shared" si="2980"/>
        <v>0</v>
      </c>
      <c r="CD491" s="49" t="str">
        <f t="shared" si="2942"/>
        <v/>
      </c>
      <c r="CE491" s="56" t="str">
        <f>IF(CF491="","",MAX(CE$10:$CE490)+1)</f>
        <v/>
      </c>
      <c r="CF491" t="str">
        <f t="shared" si="2981"/>
        <v/>
      </c>
      <c r="CG491" s="22" t="str">
        <f>IF(CH491="","",MAX($CG$10:CG490)+1)</f>
        <v/>
      </c>
      <c r="CH491" s="22" t="str">
        <f t="shared" si="2926"/>
        <v/>
      </c>
      <c r="CI491" s="22" t="str">
        <f>IF(CJ491="","",MAX($CI$10:CI490)+1)</f>
        <v/>
      </c>
      <c r="CJ491" s="22" t="str">
        <f t="shared" si="2927"/>
        <v/>
      </c>
    </row>
    <row r="492" spans="2:88" x14ac:dyDescent="0.25">
      <c r="B492" s="37"/>
      <c r="C492" s="3"/>
      <c r="D492" s="77" t="str">
        <f t="shared" si="2913"/>
        <v/>
      </c>
      <c r="E492" s="38"/>
      <c r="F492" s="38"/>
      <c r="G492" s="78">
        <f t="shared" si="2928"/>
        <v>0</v>
      </c>
      <c r="H492" s="3">
        <v>80</v>
      </c>
      <c r="I492" s="77" t="str">
        <f t="shared" si="2914"/>
        <v/>
      </c>
      <c r="J492" s="32"/>
      <c r="K492" s="3"/>
      <c r="L492" s="39"/>
      <c r="M492" s="39"/>
      <c r="N492" s="39"/>
      <c r="O492" s="39"/>
      <c r="P492" s="39"/>
      <c r="Q492" s="39"/>
      <c r="R492" s="39"/>
      <c r="S492" s="39"/>
      <c r="T492" s="3" t="s">
        <v>645</v>
      </c>
      <c r="U492" s="77" t="str">
        <f t="shared" si="2915"/>
        <v/>
      </c>
      <c r="V492" s="39">
        <v>1</v>
      </c>
      <c r="W492" s="79">
        <f t="shared" si="2929"/>
        <v>0</v>
      </c>
      <c r="X492" s="3">
        <v>0</v>
      </c>
      <c r="Y492" s="77" t="str">
        <f t="shared" si="2916"/>
        <v/>
      </c>
      <c r="Z492" s="3"/>
      <c r="AA492" s="37" t="str">
        <f t="shared" si="2930"/>
        <v/>
      </c>
      <c r="AC492" s="40"/>
      <c r="AD492" s="7"/>
      <c r="AE492" s="77" t="str">
        <f t="shared" si="2917"/>
        <v/>
      </c>
      <c r="AF492" s="81">
        <f t="shared" si="2943"/>
        <v>0</v>
      </c>
      <c r="AG492" s="40"/>
      <c r="AH492" s="7"/>
      <c r="AI492" s="77" t="str">
        <f t="shared" si="2918"/>
        <v/>
      </c>
      <c r="AJ492" s="81">
        <f t="shared" si="2944"/>
        <v>0</v>
      </c>
      <c r="AK492" s="83">
        <f t="shared" si="2945"/>
        <v>0</v>
      </c>
      <c r="AL492" s="83">
        <f t="shared" si="2946"/>
        <v>0</v>
      </c>
      <c r="AN492" s="43">
        <f t="shared" si="2919"/>
        <v>0</v>
      </c>
      <c r="AP492" t="str">
        <f t="shared" si="2947"/>
        <v/>
      </c>
      <c r="AQ492" t="str">
        <f t="shared" si="2948"/>
        <v/>
      </c>
      <c r="AR492" t="str">
        <f t="shared" si="2949"/>
        <v/>
      </c>
      <c r="AS492" t="str">
        <f t="shared" si="2950"/>
        <v/>
      </c>
      <c r="AT492" t="str">
        <f t="shared" si="2951"/>
        <v/>
      </c>
      <c r="AU492" t="str">
        <f t="shared" si="2952"/>
        <v/>
      </c>
      <c r="AV492" t="str">
        <f t="shared" si="2953"/>
        <v/>
      </c>
      <c r="AW492" t="str">
        <f t="shared" si="2954"/>
        <v xml:space="preserve">                              </v>
      </c>
      <c r="AX492" s="23">
        <f t="shared" si="2955"/>
        <v>0</v>
      </c>
      <c r="AY492" s="49" t="str">
        <f t="shared" si="2931"/>
        <v>000000000000000</v>
      </c>
      <c r="AZ492" s="23">
        <f t="shared" si="2956"/>
        <v>0</v>
      </c>
      <c r="BA492" s="49" t="str">
        <f t="shared" si="2931"/>
        <v>000000000000000</v>
      </c>
      <c r="BB492" s="23">
        <f t="shared" si="2957"/>
        <v>0</v>
      </c>
      <c r="BC492" s="49" t="str">
        <f t="shared" ref="BC492" si="3156">IF(BB492&lt;0,SUBSTITUTE(TEXT(BB492,"000000000000,00"),",",""),SUBSTITUTE(TEXT(BB492,"0000000000000,00"),",",""))</f>
        <v>000000000000000</v>
      </c>
      <c r="BD492" s="23">
        <f t="shared" si="2959"/>
        <v>0</v>
      </c>
      <c r="BE492" s="49" t="str">
        <f t="shared" ref="BE492" si="3157">IF(BD492&lt;0,SUBSTITUTE(TEXT(BD492,"000000000000,00"),",",""),SUBSTITUTE(TEXT(BD492,"0000000000000,00"),",",""))</f>
        <v>000000000000000</v>
      </c>
      <c r="BF492" s="23">
        <f t="shared" si="2961"/>
        <v>0</v>
      </c>
      <c r="BG492" s="49" t="str">
        <f t="shared" ref="BG492" si="3158">IF(BF492&lt;0,SUBSTITUTE(TEXT(BF492,"000000000000,00"),",",""),SUBSTITUTE(TEXT(BF492,"0000000000000,00"),",",""))</f>
        <v>000000000000000</v>
      </c>
      <c r="BH492" s="23">
        <f t="shared" si="2963"/>
        <v>0</v>
      </c>
      <c r="BI492" s="49" t="str">
        <f t="shared" ref="BI492" si="3159">IF(BH492&lt;0,SUBSTITUTE(TEXT(BH492,"000000000000,00"),",",""),SUBSTITUTE(TEXT(BH492,"0000000000000,00"),",",""))</f>
        <v>000000000000000</v>
      </c>
      <c r="BJ492" s="23">
        <f t="shared" si="2965"/>
        <v>0</v>
      </c>
      <c r="BK492" s="49" t="str">
        <f t="shared" ref="BK492" si="3160">IF(BJ492&lt;0,SUBSTITUTE(TEXT(BJ492,"000000000000,00"),",",""),SUBSTITUTE(TEXT(BJ492,"0000000000000,00"),",",""))</f>
        <v>000000000000000</v>
      </c>
      <c r="BL492" s="23">
        <f t="shared" si="2967"/>
        <v>0</v>
      </c>
      <c r="BM492" s="49" t="str">
        <f t="shared" ref="BM492" si="3161">IF(BL492&lt;0,SUBSTITUTE(TEXT(BL492,"000000000000,00"),",",""),SUBSTITUTE(TEXT(BL492,"0000000000000,00"),",",""))</f>
        <v>000000000000000</v>
      </c>
      <c r="BN492" t="str">
        <f t="shared" si="2969"/>
        <v>PES</v>
      </c>
      <c r="BO492" t="str">
        <f t="shared" si="2970"/>
        <v>0001000000</v>
      </c>
      <c r="BP492">
        <f t="shared" si="2971"/>
        <v>0</v>
      </c>
      <c r="BQ492">
        <f t="shared" si="2972"/>
        <v>0</v>
      </c>
      <c r="BR492" s="23">
        <f t="shared" si="2973"/>
        <v>0</v>
      </c>
      <c r="BS492" s="49" t="str">
        <f t="shared" si="2938"/>
        <v>000000000000000</v>
      </c>
      <c r="BT492" t="str">
        <f t="shared" si="2974"/>
        <v>00000000</v>
      </c>
      <c r="BU492" s="23">
        <f t="shared" si="2975"/>
        <v>0</v>
      </c>
      <c r="BV492" s="49" t="str">
        <f t="shared" si="2939"/>
        <v/>
      </c>
      <c r="BW492" s="52" t="str">
        <f t="shared" si="2976"/>
        <v/>
      </c>
      <c r="BX492" s="23">
        <f t="shared" si="2977"/>
        <v>0</v>
      </c>
      <c r="BY492" s="49" t="str">
        <f t="shared" si="2940"/>
        <v/>
      </c>
      <c r="BZ492" s="23">
        <f t="shared" si="2978"/>
        <v>0</v>
      </c>
      <c r="CA492" s="49" t="str">
        <f t="shared" si="2941"/>
        <v/>
      </c>
      <c r="CB492" s="52" t="str">
        <f t="shared" si="2979"/>
        <v/>
      </c>
      <c r="CC492" s="23">
        <f t="shared" si="2980"/>
        <v>0</v>
      </c>
      <c r="CD492" s="49" t="str">
        <f t="shared" si="2942"/>
        <v/>
      </c>
      <c r="CE492" s="56" t="str">
        <f>IF(CF492="","",MAX(CE$10:$CE491)+1)</f>
        <v/>
      </c>
      <c r="CF492" t="str">
        <f t="shared" si="2981"/>
        <v/>
      </c>
      <c r="CG492" s="22" t="str">
        <f>IF(CH492="","",MAX($CG$10:CG491)+1)</f>
        <v/>
      </c>
      <c r="CH492" s="22" t="str">
        <f t="shared" si="2926"/>
        <v/>
      </c>
      <c r="CI492" s="22" t="str">
        <f>IF(CJ492="","",MAX($CI$10:CI491)+1)</f>
        <v/>
      </c>
      <c r="CJ492" s="22" t="str">
        <f t="shared" si="2927"/>
        <v/>
      </c>
    </row>
    <row r="493" spans="2:88" x14ac:dyDescent="0.25">
      <c r="B493" s="37"/>
      <c r="C493" s="3"/>
      <c r="D493" s="77" t="str">
        <f t="shared" si="2913"/>
        <v/>
      </c>
      <c r="E493" s="38"/>
      <c r="F493" s="38"/>
      <c r="G493" s="78">
        <f t="shared" si="2928"/>
        <v>0</v>
      </c>
      <c r="H493" s="3">
        <v>80</v>
      </c>
      <c r="I493" s="77" t="str">
        <f t="shared" si="2914"/>
        <v/>
      </c>
      <c r="J493" s="32"/>
      <c r="K493" s="3"/>
      <c r="L493" s="39"/>
      <c r="M493" s="39"/>
      <c r="N493" s="39"/>
      <c r="O493" s="39"/>
      <c r="P493" s="39"/>
      <c r="Q493" s="39"/>
      <c r="R493" s="39"/>
      <c r="S493" s="39"/>
      <c r="T493" s="3" t="s">
        <v>645</v>
      </c>
      <c r="U493" s="77" t="str">
        <f t="shared" si="2915"/>
        <v/>
      </c>
      <c r="V493" s="39">
        <v>1</v>
      </c>
      <c r="W493" s="79">
        <f t="shared" si="2929"/>
        <v>0</v>
      </c>
      <c r="X493" s="3">
        <v>0</v>
      </c>
      <c r="Y493" s="77" t="str">
        <f t="shared" si="2916"/>
        <v/>
      </c>
      <c r="Z493" s="3"/>
      <c r="AA493" s="37" t="str">
        <f t="shared" si="2930"/>
        <v/>
      </c>
      <c r="AC493" s="40"/>
      <c r="AD493" s="7"/>
      <c r="AE493" s="77" t="str">
        <f t="shared" si="2917"/>
        <v/>
      </c>
      <c r="AF493" s="81">
        <f t="shared" si="2943"/>
        <v>0</v>
      </c>
      <c r="AG493" s="40"/>
      <c r="AH493" s="7"/>
      <c r="AI493" s="77" t="str">
        <f t="shared" si="2918"/>
        <v/>
      </c>
      <c r="AJ493" s="81">
        <f t="shared" si="2944"/>
        <v>0</v>
      </c>
      <c r="AK493" s="83">
        <f t="shared" si="2945"/>
        <v>0</v>
      </c>
      <c r="AL493" s="83">
        <f t="shared" si="2946"/>
        <v>0</v>
      </c>
      <c r="AN493" s="43">
        <f t="shared" si="2919"/>
        <v>0</v>
      </c>
      <c r="AP493" t="str">
        <f t="shared" si="2947"/>
        <v/>
      </c>
      <c r="AQ493" t="str">
        <f t="shared" si="2948"/>
        <v/>
      </c>
      <c r="AR493" t="str">
        <f t="shared" si="2949"/>
        <v/>
      </c>
      <c r="AS493" t="str">
        <f t="shared" si="2950"/>
        <v/>
      </c>
      <c r="AT493" t="str">
        <f t="shared" si="2951"/>
        <v/>
      </c>
      <c r="AU493" t="str">
        <f t="shared" si="2952"/>
        <v/>
      </c>
      <c r="AV493" t="str">
        <f t="shared" si="2953"/>
        <v/>
      </c>
      <c r="AW493" t="str">
        <f t="shared" si="2954"/>
        <v xml:space="preserve">                              </v>
      </c>
      <c r="AX493" s="23">
        <f t="shared" si="2955"/>
        <v>0</v>
      </c>
      <c r="AY493" s="49" t="str">
        <f t="shared" si="2931"/>
        <v>000000000000000</v>
      </c>
      <c r="AZ493" s="23">
        <f t="shared" si="2956"/>
        <v>0</v>
      </c>
      <c r="BA493" s="49" t="str">
        <f t="shared" si="2931"/>
        <v>000000000000000</v>
      </c>
      <c r="BB493" s="23">
        <f t="shared" si="2957"/>
        <v>0</v>
      </c>
      <c r="BC493" s="49" t="str">
        <f t="shared" ref="BC493" si="3162">IF(BB493&lt;0,SUBSTITUTE(TEXT(BB493,"000000000000,00"),",",""),SUBSTITUTE(TEXT(BB493,"0000000000000,00"),",",""))</f>
        <v>000000000000000</v>
      </c>
      <c r="BD493" s="23">
        <f t="shared" si="2959"/>
        <v>0</v>
      </c>
      <c r="BE493" s="49" t="str">
        <f t="shared" ref="BE493" si="3163">IF(BD493&lt;0,SUBSTITUTE(TEXT(BD493,"000000000000,00"),",",""),SUBSTITUTE(TEXT(BD493,"0000000000000,00"),",",""))</f>
        <v>000000000000000</v>
      </c>
      <c r="BF493" s="23">
        <f t="shared" si="2961"/>
        <v>0</v>
      </c>
      <c r="BG493" s="49" t="str">
        <f t="shared" ref="BG493" si="3164">IF(BF493&lt;0,SUBSTITUTE(TEXT(BF493,"000000000000,00"),",",""),SUBSTITUTE(TEXT(BF493,"0000000000000,00"),",",""))</f>
        <v>000000000000000</v>
      </c>
      <c r="BH493" s="23">
        <f t="shared" si="2963"/>
        <v>0</v>
      </c>
      <c r="BI493" s="49" t="str">
        <f t="shared" ref="BI493" si="3165">IF(BH493&lt;0,SUBSTITUTE(TEXT(BH493,"000000000000,00"),",",""),SUBSTITUTE(TEXT(BH493,"0000000000000,00"),",",""))</f>
        <v>000000000000000</v>
      </c>
      <c r="BJ493" s="23">
        <f t="shared" si="2965"/>
        <v>0</v>
      </c>
      <c r="BK493" s="49" t="str">
        <f t="shared" ref="BK493" si="3166">IF(BJ493&lt;0,SUBSTITUTE(TEXT(BJ493,"000000000000,00"),",",""),SUBSTITUTE(TEXT(BJ493,"0000000000000,00"),",",""))</f>
        <v>000000000000000</v>
      </c>
      <c r="BL493" s="23">
        <f t="shared" si="2967"/>
        <v>0</v>
      </c>
      <c r="BM493" s="49" t="str">
        <f t="shared" ref="BM493" si="3167">IF(BL493&lt;0,SUBSTITUTE(TEXT(BL493,"000000000000,00"),",",""),SUBSTITUTE(TEXT(BL493,"0000000000000,00"),",",""))</f>
        <v>000000000000000</v>
      </c>
      <c r="BN493" t="str">
        <f t="shared" si="2969"/>
        <v>PES</v>
      </c>
      <c r="BO493" t="str">
        <f t="shared" si="2970"/>
        <v>0001000000</v>
      </c>
      <c r="BP493">
        <f t="shared" si="2971"/>
        <v>0</v>
      </c>
      <c r="BQ493">
        <f t="shared" si="2972"/>
        <v>0</v>
      </c>
      <c r="BR493" s="23">
        <f t="shared" si="2973"/>
        <v>0</v>
      </c>
      <c r="BS493" s="49" t="str">
        <f t="shared" si="2938"/>
        <v>000000000000000</v>
      </c>
      <c r="BT493" t="str">
        <f t="shared" si="2974"/>
        <v>00000000</v>
      </c>
      <c r="BU493" s="23">
        <f t="shared" si="2975"/>
        <v>0</v>
      </c>
      <c r="BV493" s="49" t="str">
        <f t="shared" si="2939"/>
        <v/>
      </c>
      <c r="BW493" s="52" t="str">
        <f t="shared" si="2976"/>
        <v/>
      </c>
      <c r="BX493" s="23">
        <f t="shared" si="2977"/>
        <v>0</v>
      </c>
      <c r="BY493" s="49" t="str">
        <f t="shared" si="2940"/>
        <v/>
      </c>
      <c r="BZ493" s="23">
        <f t="shared" si="2978"/>
        <v>0</v>
      </c>
      <c r="CA493" s="49" t="str">
        <f t="shared" si="2941"/>
        <v/>
      </c>
      <c r="CB493" s="52" t="str">
        <f t="shared" si="2979"/>
        <v/>
      </c>
      <c r="CC493" s="23">
        <f t="shared" si="2980"/>
        <v>0</v>
      </c>
      <c r="CD493" s="49" t="str">
        <f t="shared" si="2942"/>
        <v/>
      </c>
      <c r="CE493" s="56" t="str">
        <f>IF(CF493="","",MAX(CE$10:$CE492)+1)</f>
        <v/>
      </c>
      <c r="CF493" t="str">
        <f t="shared" si="2981"/>
        <v/>
      </c>
      <c r="CG493" s="22" t="str">
        <f>IF(CH493="","",MAX($CG$10:CG492)+1)</f>
        <v/>
      </c>
      <c r="CH493" s="22" t="str">
        <f t="shared" si="2926"/>
        <v/>
      </c>
      <c r="CI493" s="22" t="str">
        <f>IF(CJ493="","",MAX($CI$10:CI492)+1)</f>
        <v/>
      </c>
      <c r="CJ493" s="22" t="str">
        <f t="shared" si="2927"/>
        <v/>
      </c>
    </row>
    <row r="494" spans="2:88" x14ac:dyDescent="0.25">
      <c r="B494" s="37"/>
      <c r="C494" s="3"/>
      <c r="D494" s="77" t="str">
        <f t="shared" si="2913"/>
        <v/>
      </c>
      <c r="E494" s="38"/>
      <c r="F494" s="38"/>
      <c r="G494" s="78">
        <f t="shared" si="2928"/>
        <v>0</v>
      </c>
      <c r="H494" s="3">
        <v>80</v>
      </c>
      <c r="I494" s="77" t="str">
        <f t="shared" si="2914"/>
        <v/>
      </c>
      <c r="J494" s="32"/>
      <c r="K494" s="3"/>
      <c r="L494" s="39"/>
      <c r="M494" s="39"/>
      <c r="N494" s="39"/>
      <c r="O494" s="39"/>
      <c r="P494" s="39"/>
      <c r="Q494" s="39"/>
      <c r="R494" s="39"/>
      <c r="S494" s="39"/>
      <c r="T494" s="3" t="s">
        <v>645</v>
      </c>
      <c r="U494" s="77" t="str">
        <f t="shared" si="2915"/>
        <v/>
      </c>
      <c r="V494" s="39">
        <v>1</v>
      </c>
      <c r="W494" s="79">
        <f t="shared" si="2929"/>
        <v>0</v>
      </c>
      <c r="X494" s="3">
        <v>0</v>
      </c>
      <c r="Y494" s="77" t="str">
        <f t="shared" si="2916"/>
        <v/>
      </c>
      <c r="Z494" s="3"/>
      <c r="AA494" s="37" t="str">
        <f t="shared" si="2930"/>
        <v/>
      </c>
      <c r="AC494" s="40"/>
      <c r="AD494" s="7"/>
      <c r="AE494" s="77" t="str">
        <f t="shared" si="2917"/>
        <v/>
      </c>
      <c r="AF494" s="81">
        <f t="shared" si="2943"/>
        <v>0</v>
      </c>
      <c r="AG494" s="40"/>
      <c r="AH494" s="7"/>
      <c r="AI494" s="77" t="str">
        <f t="shared" si="2918"/>
        <v/>
      </c>
      <c r="AJ494" s="81">
        <f t="shared" si="2944"/>
        <v>0</v>
      </c>
      <c r="AK494" s="83">
        <f t="shared" si="2945"/>
        <v>0</v>
      </c>
      <c r="AL494" s="83">
        <f t="shared" si="2946"/>
        <v>0</v>
      </c>
      <c r="AN494" s="43">
        <f t="shared" si="2919"/>
        <v>0</v>
      </c>
      <c r="AP494" t="str">
        <f t="shared" si="2947"/>
        <v/>
      </c>
      <c r="AQ494" t="str">
        <f t="shared" si="2948"/>
        <v/>
      </c>
      <c r="AR494" t="str">
        <f t="shared" si="2949"/>
        <v/>
      </c>
      <c r="AS494" t="str">
        <f t="shared" si="2950"/>
        <v/>
      </c>
      <c r="AT494" t="str">
        <f t="shared" si="2951"/>
        <v/>
      </c>
      <c r="AU494" t="str">
        <f t="shared" si="2952"/>
        <v/>
      </c>
      <c r="AV494" t="str">
        <f t="shared" si="2953"/>
        <v/>
      </c>
      <c r="AW494" t="str">
        <f t="shared" si="2954"/>
        <v xml:space="preserve">                              </v>
      </c>
      <c r="AX494" s="23">
        <f t="shared" si="2955"/>
        <v>0</v>
      </c>
      <c r="AY494" s="49" t="str">
        <f t="shared" si="2931"/>
        <v>000000000000000</v>
      </c>
      <c r="AZ494" s="23">
        <f t="shared" si="2956"/>
        <v>0</v>
      </c>
      <c r="BA494" s="49" t="str">
        <f t="shared" si="2931"/>
        <v>000000000000000</v>
      </c>
      <c r="BB494" s="23">
        <f t="shared" si="2957"/>
        <v>0</v>
      </c>
      <c r="BC494" s="49" t="str">
        <f t="shared" ref="BC494" si="3168">IF(BB494&lt;0,SUBSTITUTE(TEXT(BB494,"000000000000,00"),",",""),SUBSTITUTE(TEXT(BB494,"0000000000000,00"),",",""))</f>
        <v>000000000000000</v>
      </c>
      <c r="BD494" s="23">
        <f t="shared" si="2959"/>
        <v>0</v>
      </c>
      <c r="BE494" s="49" t="str">
        <f t="shared" ref="BE494" si="3169">IF(BD494&lt;0,SUBSTITUTE(TEXT(BD494,"000000000000,00"),",",""),SUBSTITUTE(TEXT(BD494,"0000000000000,00"),",",""))</f>
        <v>000000000000000</v>
      </c>
      <c r="BF494" s="23">
        <f t="shared" si="2961"/>
        <v>0</v>
      </c>
      <c r="BG494" s="49" t="str">
        <f t="shared" ref="BG494" si="3170">IF(BF494&lt;0,SUBSTITUTE(TEXT(BF494,"000000000000,00"),",",""),SUBSTITUTE(TEXT(BF494,"0000000000000,00"),",",""))</f>
        <v>000000000000000</v>
      </c>
      <c r="BH494" s="23">
        <f t="shared" si="2963"/>
        <v>0</v>
      </c>
      <c r="BI494" s="49" t="str">
        <f t="shared" ref="BI494" si="3171">IF(BH494&lt;0,SUBSTITUTE(TEXT(BH494,"000000000000,00"),",",""),SUBSTITUTE(TEXT(BH494,"0000000000000,00"),",",""))</f>
        <v>000000000000000</v>
      </c>
      <c r="BJ494" s="23">
        <f t="shared" si="2965"/>
        <v>0</v>
      </c>
      <c r="BK494" s="49" t="str">
        <f t="shared" ref="BK494" si="3172">IF(BJ494&lt;0,SUBSTITUTE(TEXT(BJ494,"000000000000,00"),",",""),SUBSTITUTE(TEXT(BJ494,"0000000000000,00"),",",""))</f>
        <v>000000000000000</v>
      </c>
      <c r="BL494" s="23">
        <f t="shared" si="2967"/>
        <v>0</v>
      </c>
      <c r="BM494" s="49" t="str">
        <f t="shared" ref="BM494" si="3173">IF(BL494&lt;0,SUBSTITUTE(TEXT(BL494,"000000000000,00"),",",""),SUBSTITUTE(TEXT(BL494,"0000000000000,00"),",",""))</f>
        <v>000000000000000</v>
      </c>
      <c r="BN494" t="str">
        <f t="shared" si="2969"/>
        <v>PES</v>
      </c>
      <c r="BO494" t="str">
        <f t="shared" si="2970"/>
        <v>0001000000</v>
      </c>
      <c r="BP494">
        <f t="shared" si="2971"/>
        <v>0</v>
      </c>
      <c r="BQ494">
        <f t="shared" si="2972"/>
        <v>0</v>
      </c>
      <c r="BR494" s="23">
        <f t="shared" si="2973"/>
        <v>0</v>
      </c>
      <c r="BS494" s="49" t="str">
        <f t="shared" si="2938"/>
        <v>000000000000000</v>
      </c>
      <c r="BT494" t="str">
        <f t="shared" si="2974"/>
        <v>00000000</v>
      </c>
      <c r="BU494" s="23">
        <f t="shared" si="2975"/>
        <v>0</v>
      </c>
      <c r="BV494" s="49" t="str">
        <f t="shared" si="2939"/>
        <v/>
      </c>
      <c r="BW494" s="52" t="str">
        <f t="shared" si="2976"/>
        <v/>
      </c>
      <c r="BX494" s="23">
        <f t="shared" si="2977"/>
        <v>0</v>
      </c>
      <c r="BY494" s="49" t="str">
        <f t="shared" si="2940"/>
        <v/>
      </c>
      <c r="BZ494" s="23">
        <f t="shared" si="2978"/>
        <v>0</v>
      </c>
      <c r="CA494" s="49" t="str">
        <f t="shared" si="2941"/>
        <v/>
      </c>
      <c r="CB494" s="52" t="str">
        <f t="shared" si="2979"/>
        <v/>
      </c>
      <c r="CC494" s="23">
        <f t="shared" si="2980"/>
        <v>0</v>
      </c>
      <c r="CD494" s="49" t="str">
        <f t="shared" si="2942"/>
        <v/>
      </c>
      <c r="CE494" s="56" t="str">
        <f>IF(CF494="","",MAX(CE$10:$CE493)+1)</f>
        <v/>
      </c>
      <c r="CF494" t="str">
        <f t="shared" si="2981"/>
        <v/>
      </c>
      <c r="CG494" s="22" t="str">
        <f>IF(CH494="","",MAX($CG$10:CG493)+1)</f>
        <v/>
      </c>
      <c r="CH494" s="22" t="str">
        <f t="shared" si="2926"/>
        <v/>
      </c>
      <c r="CI494" s="22" t="str">
        <f>IF(CJ494="","",MAX($CI$10:CI493)+1)</f>
        <v/>
      </c>
      <c r="CJ494" s="22" t="str">
        <f t="shared" si="2927"/>
        <v/>
      </c>
    </row>
    <row r="495" spans="2:88" x14ac:dyDescent="0.25">
      <c r="B495" s="37"/>
      <c r="C495" s="3"/>
      <c r="D495" s="77" t="str">
        <f t="shared" si="2913"/>
        <v/>
      </c>
      <c r="E495" s="38"/>
      <c r="F495" s="38"/>
      <c r="G495" s="78">
        <f t="shared" si="2928"/>
        <v>0</v>
      </c>
      <c r="H495" s="3">
        <v>80</v>
      </c>
      <c r="I495" s="77" t="str">
        <f t="shared" si="2914"/>
        <v/>
      </c>
      <c r="J495" s="32"/>
      <c r="K495" s="3"/>
      <c r="L495" s="39"/>
      <c r="M495" s="39"/>
      <c r="N495" s="39"/>
      <c r="O495" s="39"/>
      <c r="P495" s="39"/>
      <c r="Q495" s="39"/>
      <c r="R495" s="39"/>
      <c r="S495" s="39"/>
      <c r="T495" s="3" t="s">
        <v>645</v>
      </c>
      <c r="U495" s="77" t="str">
        <f t="shared" si="2915"/>
        <v/>
      </c>
      <c r="V495" s="39">
        <v>1</v>
      </c>
      <c r="W495" s="79">
        <f t="shared" si="2929"/>
        <v>0</v>
      </c>
      <c r="X495" s="3">
        <v>0</v>
      </c>
      <c r="Y495" s="77" t="str">
        <f t="shared" si="2916"/>
        <v/>
      </c>
      <c r="Z495" s="3"/>
      <c r="AA495" s="37" t="str">
        <f t="shared" si="2930"/>
        <v/>
      </c>
      <c r="AC495" s="40"/>
      <c r="AD495" s="7"/>
      <c r="AE495" s="77" t="str">
        <f t="shared" si="2917"/>
        <v/>
      </c>
      <c r="AF495" s="81">
        <f t="shared" si="2943"/>
        <v>0</v>
      </c>
      <c r="AG495" s="40"/>
      <c r="AH495" s="7"/>
      <c r="AI495" s="77" t="str">
        <f t="shared" si="2918"/>
        <v/>
      </c>
      <c r="AJ495" s="81">
        <f t="shared" si="2944"/>
        <v>0</v>
      </c>
      <c r="AK495" s="83">
        <f t="shared" si="2945"/>
        <v>0</v>
      </c>
      <c r="AL495" s="83">
        <f t="shared" si="2946"/>
        <v>0</v>
      </c>
      <c r="AN495" s="43">
        <f t="shared" si="2919"/>
        <v>0</v>
      </c>
      <c r="AP495" t="str">
        <f t="shared" si="2947"/>
        <v/>
      </c>
      <c r="AQ495" t="str">
        <f t="shared" si="2948"/>
        <v/>
      </c>
      <c r="AR495" t="str">
        <f t="shared" si="2949"/>
        <v/>
      </c>
      <c r="AS495" t="str">
        <f t="shared" si="2950"/>
        <v/>
      </c>
      <c r="AT495" t="str">
        <f t="shared" si="2951"/>
        <v/>
      </c>
      <c r="AU495" t="str">
        <f t="shared" si="2952"/>
        <v/>
      </c>
      <c r="AV495" t="str">
        <f t="shared" si="2953"/>
        <v/>
      </c>
      <c r="AW495" t="str">
        <f t="shared" si="2954"/>
        <v xml:space="preserve">                              </v>
      </c>
      <c r="AX495" s="23">
        <f t="shared" si="2955"/>
        <v>0</v>
      </c>
      <c r="AY495" s="49" t="str">
        <f t="shared" si="2931"/>
        <v>000000000000000</v>
      </c>
      <c r="AZ495" s="23">
        <f t="shared" si="2956"/>
        <v>0</v>
      </c>
      <c r="BA495" s="49" t="str">
        <f t="shared" si="2931"/>
        <v>000000000000000</v>
      </c>
      <c r="BB495" s="23">
        <f t="shared" si="2957"/>
        <v>0</v>
      </c>
      <c r="BC495" s="49" t="str">
        <f t="shared" ref="BC495" si="3174">IF(BB495&lt;0,SUBSTITUTE(TEXT(BB495,"000000000000,00"),",",""),SUBSTITUTE(TEXT(BB495,"0000000000000,00"),",",""))</f>
        <v>000000000000000</v>
      </c>
      <c r="BD495" s="23">
        <f t="shared" si="2959"/>
        <v>0</v>
      </c>
      <c r="BE495" s="49" t="str">
        <f t="shared" ref="BE495" si="3175">IF(BD495&lt;0,SUBSTITUTE(TEXT(BD495,"000000000000,00"),",",""),SUBSTITUTE(TEXT(BD495,"0000000000000,00"),",",""))</f>
        <v>000000000000000</v>
      </c>
      <c r="BF495" s="23">
        <f t="shared" si="2961"/>
        <v>0</v>
      </c>
      <c r="BG495" s="49" t="str">
        <f t="shared" ref="BG495" si="3176">IF(BF495&lt;0,SUBSTITUTE(TEXT(BF495,"000000000000,00"),",",""),SUBSTITUTE(TEXT(BF495,"0000000000000,00"),",",""))</f>
        <v>000000000000000</v>
      </c>
      <c r="BH495" s="23">
        <f t="shared" si="2963"/>
        <v>0</v>
      </c>
      <c r="BI495" s="49" t="str">
        <f t="shared" ref="BI495" si="3177">IF(BH495&lt;0,SUBSTITUTE(TEXT(BH495,"000000000000,00"),",",""),SUBSTITUTE(TEXT(BH495,"0000000000000,00"),",",""))</f>
        <v>000000000000000</v>
      </c>
      <c r="BJ495" s="23">
        <f t="shared" si="2965"/>
        <v>0</v>
      </c>
      <c r="BK495" s="49" t="str">
        <f t="shared" ref="BK495" si="3178">IF(BJ495&lt;0,SUBSTITUTE(TEXT(BJ495,"000000000000,00"),",",""),SUBSTITUTE(TEXT(BJ495,"0000000000000,00"),",",""))</f>
        <v>000000000000000</v>
      </c>
      <c r="BL495" s="23">
        <f t="shared" si="2967"/>
        <v>0</v>
      </c>
      <c r="BM495" s="49" t="str">
        <f t="shared" ref="BM495" si="3179">IF(BL495&lt;0,SUBSTITUTE(TEXT(BL495,"000000000000,00"),",",""),SUBSTITUTE(TEXT(BL495,"0000000000000,00"),",",""))</f>
        <v>000000000000000</v>
      </c>
      <c r="BN495" t="str">
        <f t="shared" si="2969"/>
        <v>PES</v>
      </c>
      <c r="BO495" t="str">
        <f t="shared" si="2970"/>
        <v>0001000000</v>
      </c>
      <c r="BP495">
        <f t="shared" si="2971"/>
        <v>0</v>
      </c>
      <c r="BQ495">
        <f t="shared" si="2972"/>
        <v>0</v>
      </c>
      <c r="BR495" s="23">
        <f t="shared" si="2973"/>
        <v>0</v>
      </c>
      <c r="BS495" s="49" t="str">
        <f t="shared" si="2938"/>
        <v>000000000000000</v>
      </c>
      <c r="BT495" t="str">
        <f t="shared" si="2974"/>
        <v>00000000</v>
      </c>
      <c r="BU495" s="23">
        <f t="shared" si="2975"/>
        <v>0</v>
      </c>
      <c r="BV495" s="49" t="str">
        <f t="shared" si="2939"/>
        <v/>
      </c>
      <c r="BW495" s="52" t="str">
        <f t="shared" si="2976"/>
        <v/>
      </c>
      <c r="BX495" s="23">
        <f t="shared" si="2977"/>
        <v>0</v>
      </c>
      <c r="BY495" s="49" t="str">
        <f t="shared" si="2940"/>
        <v/>
      </c>
      <c r="BZ495" s="23">
        <f t="shared" si="2978"/>
        <v>0</v>
      </c>
      <c r="CA495" s="49" t="str">
        <f t="shared" si="2941"/>
        <v/>
      </c>
      <c r="CB495" s="52" t="str">
        <f t="shared" si="2979"/>
        <v/>
      </c>
      <c r="CC495" s="23">
        <f t="shared" si="2980"/>
        <v>0</v>
      </c>
      <c r="CD495" s="49" t="str">
        <f t="shared" si="2942"/>
        <v/>
      </c>
      <c r="CE495" s="56" t="str">
        <f>IF(CF495="","",MAX(CE$10:$CE494)+1)</f>
        <v/>
      </c>
      <c r="CF495" t="str">
        <f t="shared" si="2981"/>
        <v/>
      </c>
      <c r="CG495" s="22" t="str">
        <f>IF(CH495="","",MAX($CG$10:CG494)+1)</f>
        <v/>
      </c>
      <c r="CH495" s="22" t="str">
        <f t="shared" si="2926"/>
        <v/>
      </c>
      <c r="CI495" s="22" t="str">
        <f>IF(CJ495="","",MAX($CI$10:CI494)+1)</f>
        <v/>
      </c>
      <c r="CJ495" s="22" t="str">
        <f t="shared" si="2927"/>
        <v/>
      </c>
    </row>
    <row r="496" spans="2:88" x14ac:dyDescent="0.25">
      <c r="B496" s="37"/>
      <c r="C496" s="3"/>
      <c r="D496" s="77" t="str">
        <f t="shared" si="2913"/>
        <v/>
      </c>
      <c r="E496" s="38"/>
      <c r="F496" s="38"/>
      <c r="G496" s="78">
        <f t="shared" si="2928"/>
        <v>0</v>
      </c>
      <c r="H496" s="3">
        <v>80</v>
      </c>
      <c r="I496" s="77" t="str">
        <f t="shared" si="2914"/>
        <v/>
      </c>
      <c r="J496" s="32"/>
      <c r="K496" s="3"/>
      <c r="L496" s="39"/>
      <c r="M496" s="39"/>
      <c r="N496" s="39"/>
      <c r="O496" s="39"/>
      <c r="P496" s="39"/>
      <c r="Q496" s="39"/>
      <c r="R496" s="39"/>
      <c r="S496" s="39"/>
      <c r="T496" s="3" t="s">
        <v>645</v>
      </c>
      <c r="U496" s="77" t="str">
        <f t="shared" si="2915"/>
        <v/>
      </c>
      <c r="V496" s="39">
        <v>1</v>
      </c>
      <c r="W496" s="79">
        <f t="shared" si="2929"/>
        <v>0</v>
      </c>
      <c r="X496" s="3">
        <v>0</v>
      </c>
      <c r="Y496" s="77" t="str">
        <f t="shared" si="2916"/>
        <v/>
      </c>
      <c r="Z496" s="3"/>
      <c r="AA496" s="37" t="str">
        <f t="shared" si="2930"/>
        <v/>
      </c>
      <c r="AC496" s="40"/>
      <c r="AD496" s="7"/>
      <c r="AE496" s="77" t="str">
        <f t="shared" si="2917"/>
        <v/>
      </c>
      <c r="AF496" s="81">
        <f t="shared" si="2943"/>
        <v>0</v>
      </c>
      <c r="AG496" s="40"/>
      <c r="AH496" s="7"/>
      <c r="AI496" s="77" t="str">
        <f t="shared" si="2918"/>
        <v/>
      </c>
      <c r="AJ496" s="81">
        <f t="shared" si="2944"/>
        <v>0</v>
      </c>
      <c r="AK496" s="83">
        <f t="shared" si="2945"/>
        <v>0</v>
      </c>
      <c r="AL496" s="83">
        <f t="shared" si="2946"/>
        <v>0</v>
      </c>
      <c r="AN496" s="43">
        <f t="shared" si="2919"/>
        <v>0</v>
      </c>
      <c r="AP496" t="str">
        <f t="shared" si="2947"/>
        <v/>
      </c>
      <c r="AQ496" t="str">
        <f t="shared" si="2948"/>
        <v/>
      </c>
      <c r="AR496" t="str">
        <f t="shared" si="2949"/>
        <v/>
      </c>
      <c r="AS496" t="str">
        <f t="shared" si="2950"/>
        <v/>
      </c>
      <c r="AT496" t="str">
        <f t="shared" si="2951"/>
        <v/>
      </c>
      <c r="AU496" t="str">
        <f t="shared" si="2952"/>
        <v/>
      </c>
      <c r="AV496" t="str">
        <f t="shared" si="2953"/>
        <v/>
      </c>
      <c r="AW496" t="str">
        <f t="shared" si="2954"/>
        <v xml:space="preserve">                              </v>
      </c>
      <c r="AX496" s="23">
        <f t="shared" si="2955"/>
        <v>0</v>
      </c>
      <c r="AY496" s="49" t="str">
        <f t="shared" si="2931"/>
        <v>000000000000000</v>
      </c>
      <c r="AZ496" s="23">
        <f t="shared" si="2956"/>
        <v>0</v>
      </c>
      <c r="BA496" s="49" t="str">
        <f t="shared" si="2931"/>
        <v>000000000000000</v>
      </c>
      <c r="BB496" s="23">
        <f t="shared" si="2957"/>
        <v>0</v>
      </c>
      <c r="BC496" s="49" t="str">
        <f t="shared" ref="BC496" si="3180">IF(BB496&lt;0,SUBSTITUTE(TEXT(BB496,"000000000000,00"),",",""),SUBSTITUTE(TEXT(BB496,"0000000000000,00"),",",""))</f>
        <v>000000000000000</v>
      </c>
      <c r="BD496" s="23">
        <f t="shared" si="2959"/>
        <v>0</v>
      </c>
      <c r="BE496" s="49" t="str">
        <f t="shared" ref="BE496" si="3181">IF(BD496&lt;0,SUBSTITUTE(TEXT(BD496,"000000000000,00"),",",""),SUBSTITUTE(TEXT(BD496,"0000000000000,00"),",",""))</f>
        <v>000000000000000</v>
      </c>
      <c r="BF496" s="23">
        <f t="shared" si="2961"/>
        <v>0</v>
      </c>
      <c r="BG496" s="49" t="str">
        <f t="shared" ref="BG496" si="3182">IF(BF496&lt;0,SUBSTITUTE(TEXT(BF496,"000000000000,00"),",",""),SUBSTITUTE(TEXT(BF496,"0000000000000,00"),",",""))</f>
        <v>000000000000000</v>
      </c>
      <c r="BH496" s="23">
        <f t="shared" si="2963"/>
        <v>0</v>
      </c>
      <c r="BI496" s="49" t="str">
        <f t="shared" ref="BI496" si="3183">IF(BH496&lt;0,SUBSTITUTE(TEXT(BH496,"000000000000,00"),",",""),SUBSTITUTE(TEXT(BH496,"0000000000000,00"),",",""))</f>
        <v>000000000000000</v>
      </c>
      <c r="BJ496" s="23">
        <f t="shared" si="2965"/>
        <v>0</v>
      </c>
      <c r="BK496" s="49" t="str">
        <f t="shared" ref="BK496" si="3184">IF(BJ496&lt;0,SUBSTITUTE(TEXT(BJ496,"000000000000,00"),",",""),SUBSTITUTE(TEXT(BJ496,"0000000000000,00"),",",""))</f>
        <v>000000000000000</v>
      </c>
      <c r="BL496" s="23">
        <f t="shared" si="2967"/>
        <v>0</v>
      </c>
      <c r="BM496" s="49" t="str">
        <f t="shared" ref="BM496" si="3185">IF(BL496&lt;0,SUBSTITUTE(TEXT(BL496,"000000000000,00"),",",""),SUBSTITUTE(TEXT(BL496,"0000000000000,00"),",",""))</f>
        <v>000000000000000</v>
      </c>
      <c r="BN496" t="str">
        <f t="shared" si="2969"/>
        <v>PES</v>
      </c>
      <c r="BO496" t="str">
        <f t="shared" si="2970"/>
        <v>0001000000</v>
      </c>
      <c r="BP496">
        <f t="shared" si="2971"/>
        <v>0</v>
      </c>
      <c r="BQ496">
        <f t="shared" si="2972"/>
        <v>0</v>
      </c>
      <c r="BR496" s="23">
        <f t="shared" si="2973"/>
        <v>0</v>
      </c>
      <c r="BS496" s="49" t="str">
        <f t="shared" si="2938"/>
        <v>000000000000000</v>
      </c>
      <c r="BT496" t="str">
        <f t="shared" si="2974"/>
        <v>00000000</v>
      </c>
      <c r="BU496" s="23">
        <f t="shared" si="2975"/>
        <v>0</v>
      </c>
      <c r="BV496" s="49" t="str">
        <f t="shared" si="2939"/>
        <v/>
      </c>
      <c r="BW496" s="52" t="str">
        <f t="shared" si="2976"/>
        <v/>
      </c>
      <c r="BX496" s="23">
        <f t="shared" si="2977"/>
        <v>0</v>
      </c>
      <c r="BY496" s="49" t="str">
        <f t="shared" si="2940"/>
        <v/>
      </c>
      <c r="BZ496" s="23">
        <f t="shared" si="2978"/>
        <v>0</v>
      </c>
      <c r="CA496" s="49" t="str">
        <f t="shared" si="2941"/>
        <v/>
      </c>
      <c r="CB496" s="52" t="str">
        <f t="shared" si="2979"/>
        <v/>
      </c>
      <c r="CC496" s="23">
        <f t="shared" si="2980"/>
        <v>0</v>
      </c>
      <c r="CD496" s="49" t="str">
        <f t="shared" si="2942"/>
        <v/>
      </c>
      <c r="CE496" s="56" t="str">
        <f>IF(CF496="","",MAX(CE$10:$CE495)+1)</f>
        <v/>
      </c>
      <c r="CF496" t="str">
        <f t="shared" si="2981"/>
        <v/>
      </c>
      <c r="CG496" s="22" t="str">
        <f>IF(CH496="","",MAX($CG$10:CG495)+1)</f>
        <v/>
      </c>
      <c r="CH496" s="22" t="str">
        <f t="shared" si="2926"/>
        <v/>
      </c>
      <c r="CI496" s="22" t="str">
        <f>IF(CJ496="","",MAX($CI$10:CI495)+1)</f>
        <v/>
      </c>
      <c r="CJ496" s="22" t="str">
        <f t="shared" si="2927"/>
        <v/>
      </c>
    </row>
    <row r="497" spans="2:88" x14ac:dyDescent="0.25">
      <c r="B497" s="37"/>
      <c r="C497" s="3"/>
      <c r="D497" s="77" t="str">
        <f t="shared" si="2913"/>
        <v/>
      </c>
      <c r="E497" s="38"/>
      <c r="F497" s="38"/>
      <c r="G497" s="78">
        <f t="shared" si="2928"/>
        <v>0</v>
      </c>
      <c r="H497" s="3">
        <v>80</v>
      </c>
      <c r="I497" s="77" t="str">
        <f t="shared" si="2914"/>
        <v/>
      </c>
      <c r="J497" s="32"/>
      <c r="K497" s="3"/>
      <c r="L497" s="39"/>
      <c r="M497" s="39"/>
      <c r="N497" s="39"/>
      <c r="O497" s="39"/>
      <c r="P497" s="39"/>
      <c r="Q497" s="39"/>
      <c r="R497" s="39"/>
      <c r="S497" s="39"/>
      <c r="T497" s="3" t="s">
        <v>645</v>
      </c>
      <c r="U497" s="77" t="str">
        <f t="shared" si="2915"/>
        <v/>
      </c>
      <c r="V497" s="39">
        <v>1</v>
      </c>
      <c r="W497" s="79">
        <f t="shared" si="2929"/>
        <v>0</v>
      </c>
      <c r="X497" s="3">
        <v>0</v>
      </c>
      <c r="Y497" s="77" t="str">
        <f t="shared" si="2916"/>
        <v/>
      </c>
      <c r="Z497" s="3"/>
      <c r="AA497" s="37" t="str">
        <f t="shared" si="2930"/>
        <v/>
      </c>
      <c r="AC497" s="40"/>
      <c r="AD497" s="7"/>
      <c r="AE497" s="77" t="str">
        <f t="shared" si="2917"/>
        <v/>
      </c>
      <c r="AF497" s="81">
        <f t="shared" si="2943"/>
        <v>0</v>
      </c>
      <c r="AG497" s="40"/>
      <c r="AH497" s="7"/>
      <c r="AI497" s="77" t="str">
        <f t="shared" si="2918"/>
        <v/>
      </c>
      <c r="AJ497" s="81">
        <f t="shared" si="2944"/>
        <v>0</v>
      </c>
      <c r="AK497" s="83">
        <f t="shared" si="2945"/>
        <v>0</v>
      </c>
      <c r="AL497" s="83">
        <f t="shared" si="2946"/>
        <v>0</v>
      </c>
      <c r="AN497" s="43">
        <f t="shared" si="2919"/>
        <v>0</v>
      </c>
      <c r="AP497" t="str">
        <f t="shared" si="2947"/>
        <v/>
      </c>
      <c r="AQ497" t="str">
        <f t="shared" si="2948"/>
        <v/>
      </c>
      <c r="AR497" t="str">
        <f t="shared" si="2949"/>
        <v/>
      </c>
      <c r="AS497" t="str">
        <f t="shared" si="2950"/>
        <v/>
      </c>
      <c r="AT497" t="str">
        <f t="shared" si="2951"/>
        <v/>
      </c>
      <c r="AU497" t="str">
        <f t="shared" si="2952"/>
        <v/>
      </c>
      <c r="AV497" t="str">
        <f t="shared" si="2953"/>
        <v/>
      </c>
      <c r="AW497" t="str">
        <f t="shared" si="2954"/>
        <v xml:space="preserve">                              </v>
      </c>
      <c r="AX497" s="23">
        <f t="shared" si="2955"/>
        <v>0</v>
      </c>
      <c r="AY497" s="49" t="str">
        <f t="shared" si="2931"/>
        <v>000000000000000</v>
      </c>
      <c r="AZ497" s="23">
        <f t="shared" si="2956"/>
        <v>0</v>
      </c>
      <c r="BA497" s="49" t="str">
        <f t="shared" si="2931"/>
        <v>000000000000000</v>
      </c>
      <c r="BB497" s="23">
        <f t="shared" si="2957"/>
        <v>0</v>
      </c>
      <c r="BC497" s="49" t="str">
        <f t="shared" ref="BC497" si="3186">IF(BB497&lt;0,SUBSTITUTE(TEXT(BB497,"000000000000,00"),",",""),SUBSTITUTE(TEXT(BB497,"0000000000000,00"),",",""))</f>
        <v>000000000000000</v>
      </c>
      <c r="BD497" s="23">
        <f t="shared" si="2959"/>
        <v>0</v>
      </c>
      <c r="BE497" s="49" t="str">
        <f t="shared" ref="BE497" si="3187">IF(BD497&lt;0,SUBSTITUTE(TEXT(BD497,"000000000000,00"),",",""),SUBSTITUTE(TEXT(BD497,"0000000000000,00"),",",""))</f>
        <v>000000000000000</v>
      </c>
      <c r="BF497" s="23">
        <f t="shared" si="2961"/>
        <v>0</v>
      </c>
      <c r="BG497" s="49" t="str">
        <f t="shared" ref="BG497" si="3188">IF(BF497&lt;0,SUBSTITUTE(TEXT(BF497,"000000000000,00"),",",""),SUBSTITUTE(TEXT(BF497,"0000000000000,00"),",",""))</f>
        <v>000000000000000</v>
      </c>
      <c r="BH497" s="23">
        <f t="shared" si="2963"/>
        <v>0</v>
      </c>
      <c r="BI497" s="49" t="str">
        <f t="shared" ref="BI497" si="3189">IF(BH497&lt;0,SUBSTITUTE(TEXT(BH497,"000000000000,00"),",",""),SUBSTITUTE(TEXT(BH497,"0000000000000,00"),",",""))</f>
        <v>000000000000000</v>
      </c>
      <c r="BJ497" s="23">
        <f t="shared" si="2965"/>
        <v>0</v>
      </c>
      <c r="BK497" s="49" t="str">
        <f t="shared" ref="BK497" si="3190">IF(BJ497&lt;0,SUBSTITUTE(TEXT(BJ497,"000000000000,00"),",",""),SUBSTITUTE(TEXT(BJ497,"0000000000000,00"),",",""))</f>
        <v>000000000000000</v>
      </c>
      <c r="BL497" s="23">
        <f t="shared" si="2967"/>
        <v>0</v>
      </c>
      <c r="BM497" s="49" t="str">
        <f t="shared" ref="BM497" si="3191">IF(BL497&lt;0,SUBSTITUTE(TEXT(BL497,"000000000000,00"),",",""),SUBSTITUTE(TEXT(BL497,"0000000000000,00"),",",""))</f>
        <v>000000000000000</v>
      </c>
      <c r="BN497" t="str">
        <f t="shared" si="2969"/>
        <v>PES</v>
      </c>
      <c r="BO497" t="str">
        <f t="shared" si="2970"/>
        <v>0001000000</v>
      </c>
      <c r="BP497">
        <f t="shared" si="2971"/>
        <v>0</v>
      </c>
      <c r="BQ497">
        <f t="shared" si="2972"/>
        <v>0</v>
      </c>
      <c r="BR497" s="23">
        <f t="shared" si="2973"/>
        <v>0</v>
      </c>
      <c r="BS497" s="49" t="str">
        <f t="shared" si="2938"/>
        <v>000000000000000</v>
      </c>
      <c r="BT497" t="str">
        <f t="shared" si="2974"/>
        <v>00000000</v>
      </c>
      <c r="BU497" s="23">
        <f t="shared" si="2975"/>
        <v>0</v>
      </c>
      <c r="BV497" s="49" t="str">
        <f t="shared" si="2939"/>
        <v/>
      </c>
      <c r="BW497" s="52" t="str">
        <f t="shared" si="2976"/>
        <v/>
      </c>
      <c r="BX497" s="23">
        <f t="shared" si="2977"/>
        <v>0</v>
      </c>
      <c r="BY497" s="49" t="str">
        <f t="shared" si="2940"/>
        <v/>
      </c>
      <c r="BZ497" s="23">
        <f t="shared" si="2978"/>
        <v>0</v>
      </c>
      <c r="CA497" s="49" t="str">
        <f t="shared" si="2941"/>
        <v/>
      </c>
      <c r="CB497" s="52" t="str">
        <f t="shared" si="2979"/>
        <v/>
      </c>
      <c r="CC497" s="23">
        <f t="shared" si="2980"/>
        <v>0</v>
      </c>
      <c r="CD497" s="49" t="str">
        <f t="shared" si="2942"/>
        <v/>
      </c>
      <c r="CE497" s="56" t="str">
        <f>IF(CF497="","",MAX(CE$10:$CE496)+1)</f>
        <v/>
      </c>
      <c r="CF497" t="str">
        <f t="shared" si="2981"/>
        <v/>
      </c>
      <c r="CG497" s="22" t="str">
        <f>IF(CH497="","",MAX($CG$10:CG496)+1)</f>
        <v/>
      </c>
      <c r="CH497" s="22" t="str">
        <f t="shared" si="2926"/>
        <v/>
      </c>
      <c r="CI497" s="22" t="str">
        <f>IF(CJ497="","",MAX($CI$10:CI496)+1)</f>
        <v/>
      </c>
      <c r="CJ497" s="22" t="str">
        <f t="shared" si="2927"/>
        <v/>
      </c>
    </row>
    <row r="498" spans="2:88" x14ac:dyDescent="0.25">
      <c r="B498" s="37"/>
      <c r="C498" s="3"/>
      <c r="D498" s="77" t="str">
        <f t="shared" si="2913"/>
        <v/>
      </c>
      <c r="E498" s="38"/>
      <c r="F498" s="38"/>
      <c r="G498" s="78">
        <f t="shared" si="2928"/>
        <v>0</v>
      </c>
      <c r="H498" s="3">
        <v>80</v>
      </c>
      <c r="I498" s="77" t="str">
        <f t="shared" si="2914"/>
        <v/>
      </c>
      <c r="J498" s="32"/>
      <c r="K498" s="3"/>
      <c r="L498" s="39"/>
      <c r="M498" s="39"/>
      <c r="N498" s="39"/>
      <c r="O498" s="39"/>
      <c r="P498" s="39"/>
      <c r="Q498" s="39"/>
      <c r="R498" s="39"/>
      <c r="S498" s="39"/>
      <c r="T498" s="3" t="s">
        <v>645</v>
      </c>
      <c r="U498" s="77" t="str">
        <f t="shared" si="2915"/>
        <v/>
      </c>
      <c r="V498" s="39">
        <v>1</v>
      </c>
      <c r="W498" s="79">
        <f t="shared" si="2929"/>
        <v>0</v>
      </c>
      <c r="X498" s="3">
        <v>0</v>
      </c>
      <c r="Y498" s="77" t="str">
        <f t="shared" si="2916"/>
        <v/>
      </c>
      <c r="Z498" s="3"/>
      <c r="AA498" s="37" t="str">
        <f t="shared" si="2930"/>
        <v/>
      </c>
      <c r="AC498" s="40"/>
      <c r="AD498" s="7"/>
      <c r="AE498" s="77" t="str">
        <f t="shared" si="2917"/>
        <v/>
      </c>
      <c r="AF498" s="81">
        <f t="shared" si="2943"/>
        <v>0</v>
      </c>
      <c r="AG498" s="40"/>
      <c r="AH498" s="7"/>
      <c r="AI498" s="77" t="str">
        <f t="shared" si="2918"/>
        <v/>
      </c>
      <c r="AJ498" s="81">
        <f t="shared" si="2944"/>
        <v>0</v>
      </c>
      <c r="AK498" s="83">
        <f t="shared" si="2945"/>
        <v>0</v>
      </c>
      <c r="AL498" s="83">
        <f t="shared" si="2946"/>
        <v>0</v>
      </c>
      <c r="AN498" s="43">
        <f t="shared" si="2919"/>
        <v>0</v>
      </c>
      <c r="AP498" t="str">
        <f t="shared" si="2947"/>
        <v/>
      </c>
      <c r="AQ498" t="str">
        <f t="shared" si="2948"/>
        <v/>
      </c>
      <c r="AR498" t="str">
        <f t="shared" si="2949"/>
        <v/>
      </c>
      <c r="AS498" t="str">
        <f t="shared" si="2950"/>
        <v/>
      </c>
      <c r="AT498" t="str">
        <f t="shared" si="2951"/>
        <v/>
      </c>
      <c r="AU498" t="str">
        <f t="shared" si="2952"/>
        <v/>
      </c>
      <c r="AV498" t="str">
        <f t="shared" si="2953"/>
        <v/>
      </c>
      <c r="AW498" t="str">
        <f t="shared" si="2954"/>
        <v xml:space="preserve">                              </v>
      </c>
      <c r="AX498" s="23">
        <f t="shared" si="2955"/>
        <v>0</v>
      </c>
      <c r="AY498" s="49" t="str">
        <f t="shared" si="2931"/>
        <v>000000000000000</v>
      </c>
      <c r="AZ498" s="23">
        <f t="shared" si="2956"/>
        <v>0</v>
      </c>
      <c r="BA498" s="49" t="str">
        <f t="shared" si="2931"/>
        <v>000000000000000</v>
      </c>
      <c r="BB498" s="23">
        <f t="shared" si="2957"/>
        <v>0</v>
      </c>
      <c r="BC498" s="49" t="str">
        <f t="shared" ref="BC498" si="3192">IF(BB498&lt;0,SUBSTITUTE(TEXT(BB498,"000000000000,00"),",",""),SUBSTITUTE(TEXT(BB498,"0000000000000,00"),",",""))</f>
        <v>000000000000000</v>
      </c>
      <c r="BD498" s="23">
        <f t="shared" si="2959"/>
        <v>0</v>
      </c>
      <c r="BE498" s="49" t="str">
        <f t="shared" ref="BE498" si="3193">IF(BD498&lt;0,SUBSTITUTE(TEXT(BD498,"000000000000,00"),",",""),SUBSTITUTE(TEXT(BD498,"0000000000000,00"),",",""))</f>
        <v>000000000000000</v>
      </c>
      <c r="BF498" s="23">
        <f t="shared" si="2961"/>
        <v>0</v>
      </c>
      <c r="BG498" s="49" t="str">
        <f t="shared" ref="BG498" si="3194">IF(BF498&lt;0,SUBSTITUTE(TEXT(BF498,"000000000000,00"),",",""),SUBSTITUTE(TEXT(BF498,"0000000000000,00"),",",""))</f>
        <v>000000000000000</v>
      </c>
      <c r="BH498" s="23">
        <f t="shared" si="2963"/>
        <v>0</v>
      </c>
      <c r="BI498" s="49" t="str">
        <f t="shared" ref="BI498" si="3195">IF(BH498&lt;0,SUBSTITUTE(TEXT(BH498,"000000000000,00"),",",""),SUBSTITUTE(TEXT(BH498,"0000000000000,00"),",",""))</f>
        <v>000000000000000</v>
      </c>
      <c r="BJ498" s="23">
        <f t="shared" si="2965"/>
        <v>0</v>
      </c>
      <c r="BK498" s="49" t="str">
        <f t="shared" ref="BK498" si="3196">IF(BJ498&lt;0,SUBSTITUTE(TEXT(BJ498,"000000000000,00"),",",""),SUBSTITUTE(TEXT(BJ498,"0000000000000,00"),",",""))</f>
        <v>000000000000000</v>
      </c>
      <c r="BL498" s="23">
        <f t="shared" si="2967"/>
        <v>0</v>
      </c>
      <c r="BM498" s="49" t="str">
        <f t="shared" ref="BM498" si="3197">IF(BL498&lt;0,SUBSTITUTE(TEXT(BL498,"000000000000,00"),",",""),SUBSTITUTE(TEXT(BL498,"0000000000000,00"),",",""))</f>
        <v>000000000000000</v>
      </c>
      <c r="BN498" t="str">
        <f t="shared" si="2969"/>
        <v>PES</v>
      </c>
      <c r="BO498" t="str">
        <f t="shared" si="2970"/>
        <v>0001000000</v>
      </c>
      <c r="BP498">
        <f t="shared" si="2971"/>
        <v>0</v>
      </c>
      <c r="BQ498">
        <f t="shared" si="2972"/>
        <v>0</v>
      </c>
      <c r="BR498" s="23">
        <f t="shared" si="2973"/>
        <v>0</v>
      </c>
      <c r="BS498" s="49" t="str">
        <f t="shared" si="2938"/>
        <v>000000000000000</v>
      </c>
      <c r="BT498" t="str">
        <f t="shared" si="2974"/>
        <v>00000000</v>
      </c>
      <c r="BU498" s="23">
        <f t="shared" si="2975"/>
        <v>0</v>
      </c>
      <c r="BV498" s="49" t="str">
        <f t="shared" si="2939"/>
        <v/>
      </c>
      <c r="BW498" s="52" t="str">
        <f t="shared" si="2976"/>
        <v/>
      </c>
      <c r="BX498" s="23">
        <f t="shared" si="2977"/>
        <v>0</v>
      </c>
      <c r="BY498" s="49" t="str">
        <f t="shared" si="2940"/>
        <v/>
      </c>
      <c r="BZ498" s="23">
        <f t="shared" si="2978"/>
        <v>0</v>
      </c>
      <c r="CA498" s="49" t="str">
        <f t="shared" si="2941"/>
        <v/>
      </c>
      <c r="CB498" s="52" t="str">
        <f t="shared" si="2979"/>
        <v/>
      </c>
      <c r="CC498" s="23">
        <f t="shared" si="2980"/>
        <v>0</v>
      </c>
      <c r="CD498" s="49" t="str">
        <f t="shared" si="2942"/>
        <v/>
      </c>
      <c r="CE498" s="56" t="str">
        <f>IF(CF498="","",MAX(CE$10:$CE497)+1)</f>
        <v/>
      </c>
      <c r="CF498" t="str">
        <f t="shared" si="2981"/>
        <v/>
      </c>
      <c r="CG498" s="22" t="str">
        <f>IF(CH498="","",MAX($CG$10:CG497)+1)</f>
        <v/>
      </c>
      <c r="CH498" s="22" t="str">
        <f t="shared" si="2926"/>
        <v/>
      </c>
      <c r="CI498" s="22" t="str">
        <f>IF(CJ498="","",MAX($CI$10:CI497)+1)</f>
        <v/>
      </c>
      <c r="CJ498" s="22" t="str">
        <f t="shared" si="2927"/>
        <v/>
      </c>
    </row>
    <row r="499" spans="2:88" x14ac:dyDescent="0.25">
      <c r="B499" s="37"/>
      <c r="C499" s="3"/>
      <c r="D499" s="77" t="str">
        <f t="shared" si="2913"/>
        <v/>
      </c>
      <c r="E499" s="38"/>
      <c r="F499" s="38"/>
      <c r="G499" s="78">
        <f t="shared" si="2928"/>
        <v>0</v>
      </c>
      <c r="H499" s="3">
        <v>80</v>
      </c>
      <c r="I499" s="77" t="str">
        <f t="shared" si="2914"/>
        <v/>
      </c>
      <c r="J499" s="32"/>
      <c r="K499" s="3"/>
      <c r="L499" s="39"/>
      <c r="M499" s="39"/>
      <c r="N499" s="39"/>
      <c r="O499" s="39"/>
      <c r="P499" s="39"/>
      <c r="Q499" s="39"/>
      <c r="R499" s="39"/>
      <c r="S499" s="39"/>
      <c r="T499" s="3" t="s">
        <v>645</v>
      </c>
      <c r="U499" s="77" t="str">
        <f t="shared" si="2915"/>
        <v/>
      </c>
      <c r="V499" s="39">
        <v>1</v>
      </c>
      <c r="W499" s="79">
        <f t="shared" si="2929"/>
        <v>0</v>
      </c>
      <c r="X499" s="3">
        <v>0</v>
      </c>
      <c r="Y499" s="77" t="str">
        <f t="shared" si="2916"/>
        <v/>
      </c>
      <c r="Z499" s="3"/>
      <c r="AA499" s="37" t="str">
        <f t="shared" si="2930"/>
        <v/>
      </c>
      <c r="AC499" s="40"/>
      <c r="AD499" s="7"/>
      <c r="AE499" s="77" t="str">
        <f t="shared" si="2917"/>
        <v/>
      </c>
      <c r="AF499" s="81">
        <f t="shared" si="2943"/>
        <v>0</v>
      </c>
      <c r="AG499" s="40"/>
      <c r="AH499" s="7"/>
      <c r="AI499" s="77" t="str">
        <f t="shared" si="2918"/>
        <v/>
      </c>
      <c r="AJ499" s="81">
        <f t="shared" si="2944"/>
        <v>0</v>
      </c>
      <c r="AK499" s="83">
        <f t="shared" si="2945"/>
        <v>0</v>
      </c>
      <c r="AL499" s="83">
        <f t="shared" si="2946"/>
        <v>0</v>
      </c>
      <c r="AN499" s="43">
        <f t="shared" si="2919"/>
        <v>0</v>
      </c>
      <c r="AP499" t="str">
        <f t="shared" si="2947"/>
        <v/>
      </c>
      <c r="AQ499" t="str">
        <f t="shared" si="2948"/>
        <v/>
      </c>
      <c r="AR499" t="str">
        <f t="shared" si="2949"/>
        <v/>
      </c>
      <c r="AS499" t="str">
        <f t="shared" si="2950"/>
        <v/>
      </c>
      <c r="AT499" t="str">
        <f t="shared" si="2951"/>
        <v/>
      </c>
      <c r="AU499" t="str">
        <f t="shared" si="2952"/>
        <v/>
      </c>
      <c r="AV499" t="str">
        <f t="shared" si="2953"/>
        <v/>
      </c>
      <c r="AW499" t="str">
        <f t="shared" si="2954"/>
        <v xml:space="preserve">                              </v>
      </c>
      <c r="AX499" s="23">
        <f t="shared" si="2955"/>
        <v>0</v>
      </c>
      <c r="AY499" s="49" t="str">
        <f t="shared" si="2931"/>
        <v>000000000000000</v>
      </c>
      <c r="AZ499" s="23">
        <f t="shared" si="2956"/>
        <v>0</v>
      </c>
      <c r="BA499" s="49" t="str">
        <f t="shared" si="2931"/>
        <v>000000000000000</v>
      </c>
      <c r="BB499" s="23">
        <f t="shared" si="2957"/>
        <v>0</v>
      </c>
      <c r="BC499" s="49" t="str">
        <f t="shared" ref="BC499" si="3198">IF(BB499&lt;0,SUBSTITUTE(TEXT(BB499,"000000000000,00"),",",""),SUBSTITUTE(TEXT(BB499,"0000000000000,00"),",",""))</f>
        <v>000000000000000</v>
      </c>
      <c r="BD499" s="23">
        <f t="shared" si="2959"/>
        <v>0</v>
      </c>
      <c r="BE499" s="49" t="str">
        <f t="shared" ref="BE499" si="3199">IF(BD499&lt;0,SUBSTITUTE(TEXT(BD499,"000000000000,00"),",",""),SUBSTITUTE(TEXT(BD499,"0000000000000,00"),",",""))</f>
        <v>000000000000000</v>
      </c>
      <c r="BF499" s="23">
        <f t="shared" si="2961"/>
        <v>0</v>
      </c>
      <c r="BG499" s="49" t="str">
        <f t="shared" ref="BG499" si="3200">IF(BF499&lt;0,SUBSTITUTE(TEXT(BF499,"000000000000,00"),",",""),SUBSTITUTE(TEXT(BF499,"0000000000000,00"),",",""))</f>
        <v>000000000000000</v>
      </c>
      <c r="BH499" s="23">
        <f t="shared" si="2963"/>
        <v>0</v>
      </c>
      <c r="BI499" s="49" t="str">
        <f t="shared" ref="BI499" si="3201">IF(BH499&lt;0,SUBSTITUTE(TEXT(BH499,"000000000000,00"),",",""),SUBSTITUTE(TEXT(BH499,"0000000000000,00"),",",""))</f>
        <v>000000000000000</v>
      </c>
      <c r="BJ499" s="23">
        <f t="shared" si="2965"/>
        <v>0</v>
      </c>
      <c r="BK499" s="49" t="str">
        <f t="shared" ref="BK499" si="3202">IF(BJ499&lt;0,SUBSTITUTE(TEXT(BJ499,"000000000000,00"),",",""),SUBSTITUTE(TEXT(BJ499,"0000000000000,00"),",",""))</f>
        <v>000000000000000</v>
      </c>
      <c r="BL499" s="23">
        <f t="shared" si="2967"/>
        <v>0</v>
      </c>
      <c r="BM499" s="49" t="str">
        <f t="shared" ref="BM499" si="3203">IF(BL499&lt;0,SUBSTITUTE(TEXT(BL499,"000000000000,00"),",",""),SUBSTITUTE(TEXT(BL499,"0000000000000,00"),",",""))</f>
        <v>000000000000000</v>
      </c>
      <c r="BN499" t="str">
        <f t="shared" si="2969"/>
        <v>PES</v>
      </c>
      <c r="BO499" t="str">
        <f t="shared" si="2970"/>
        <v>0001000000</v>
      </c>
      <c r="BP499">
        <f t="shared" si="2971"/>
        <v>0</v>
      </c>
      <c r="BQ499">
        <f t="shared" si="2972"/>
        <v>0</v>
      </c>
      <c r="BR499" s="23">
        <f t="shared" si="2973"/>
        <v>0</v>
      </c>
      <c r="BS499" s="49" t="str">
        <f t="shared" si="2938"/>
        <v>000000000000000</v>
      </c>
      <c r="BT499" t="str">
        <f t="shared" si="2974"/>
        <v>00000000</v>
      </c>
      <c r="BU499" s="23">
        <f t="shared" si="2975"/>
        <v>0</v>
      </c>
      <c r="BV499" s="49" t="str">
        <f t="shared" si="2939"/>
        <v/>
      </c>
      <c r="BW499" s="52" t="str">
        <f t="shared" si="2976"/>
        <v/>
      </c>
      <c r="BX499" s="23">
        <f t="shared" si="2977"/>
        <v>0</v>
      </c>
      <c r="BY499" s="49" t="str">
        <f t="shared" si="2940"/>
        <v/>
      </c>
      <c r="BZ499" s="23">
        <f t="shared" si="2978"/>
        <v>0</v>
      </c>
      <c r="CA499" s="49" t="str">
        <f t="shared" si="2941"/>
        <v/>
      </c>
      <c r="CB499" s="52" t="str">
        <f t="shared" si="2979"/>
        <v/>
      </c>
      <c r="CC499" s="23">
        <f t="shared" si="2980"/>
        <v>0</v>
      </c>
      <c r="CD499" s="49" t="str">
        <f t="shared" si="2942"/>
        <v/>
      </c>
      <c r="CE499" s="56" t="str">
        <f>IF(CF499="","",MAX(CE$10:$CE498)+1)</f>
        <v/>
      </c>
      <c r="CF499" t="str">
        <f t="shared" si="2981"/>
        <v/>
      </c>
      <c r="CG499" s="22" t="str">
        <f>IF(CH499="","",MAX($CG$10:CG498)+1)</f>
        <v/>
      </c>
      <c r="CH499" s="22" t="str">
        <f t="shared" si="2926"/>
        <v/>
      </c>
      <c r="CI499" s="22" t="str">
        <f>IF(CJ499="","",MAX($CI$10:CI498)+1)</f>
        <v/>
      </c>
      <c r="CJ499" s="22" t="str">
        <f t="shared" si="2927"/>
        <v/>
      </c>
    </row>
    <row r="500" spans="2:88" x14ac:dyDescent="0.25">
      <c r="B500" s="37"/>
      <c r="C500" s="3"/>
      <c r="D500" s="77" t="str">
        <f t="shared" si="2913"/>
        <v/>
      </c>
      <c r="E500" s="38"/>
      <c r="F500" s="38"/>
      <c r="G500" s="78">
        <f t="shared" si="2928"/>
        <v>0</v>
      </c>
      <c r="H500" s="3">
        <v>80</v>
      </c>
      <c r="I500" s="77" t="str">
        <f t="shared" si="2914"/>
        <v/>
      </c>
      <c r="J500" s="32"/>
      <c r="K500" s="3"/>
      <c r="L500" s="39"/>
      <c r="M500" s="39"/>
      <c r="N500" s="39"/>
      <c r="O500" s="39"/>
      <c r="P500" s="39"/>
      <c r="Q500" s="39"/>
      <c r="R500" s="39"/>
      <c r="S500" s="39"/>
      <c r="T500" s="3" t="s">
        <v>645</v>
      </c>
      <c r="U500" s="77" t="str">
        <f t="shared" si="2915"/>
        <v/>
      </c>
      <c r="V500" s="39">
        <v>1</v>
      </c>
      <c r="W500" s="79">
        <f t="shared" si="2929"/>
        <v>0</v>
      </c>
      <c r="X500" s="3">
        <v>0</v>
      </c>
      <c r="Y500" s="77" t="str">
        <f t="shared" si="2916"/>
        <v/>
      </c>
      <c r="Z500" s="3"/>
      <c r="AA500" s="37" t="str">
        <f t="shared" si="2930"/>
        <v/>
      </c>
      <c r="AC500" s="40"/>
      <c r="AD500" s="7"/>
      <c r="AE500" s="77" t="str">
        <f t="shared" si="2917"/>
        <v/>
      </c>
      <c r="AF500" s="81">
        <f t="shared" si="2943"/>
        <v>0</v>
      </c>
      <c r="AG500" s="40"/>
      <c r="AH500" s="7"/>
      <c r="AI500" s="77" t="str">
        <f t="shared" si="2918"/>
        <v/>
      </c>
      <c r="AJ500" s="81">
        <f t="shared" si="2944"/>
        <v>0</v>
      </c>
      <c r="AK500" s="83">
        <f t="shared" si="2945"/>
        <v>0</v>
      </c>
      <c r="AL500" s="83">
        <f t="shared" si="2946"/>
        <v>0</v>
      </c>
      <c r="AN500" s="43">
        <f t="shared" si="2919"/>
        <v>0</v>
      </c>
      <c r="AP500" t="str">
        <f t="shared" si="2947"/>
        <v/>
      </c>
      <c r="AQ500" t="str">
        <f t="shared" si="2948"/>
        <v/>
      </c>
      <c r="AR500" t="str">
        <f t="shared" si="2949"/>
        <v/>
      </c>
      <c r="AS500" t="str">
        <f t="shared" si="2950"/>
        <v/>
      </c>
      <c r="AT500" t="str">
        <f t="shared" si="2951"/>
        <v/>
      </c>
      <c r="AU500" t="str">
        <f t="shared" si="2952"/>
        <v/>
      </c>
      <c r="AV500" t="str">
        <f t="shared" si="2953"/>
        <v/>
      </c>
      <c r="AW500" t="str">
        <f t="shared" si="2954"/>
        <v xml:space="preserve">                              </v>
      </c>
      <c r="AX500" s="23">
        <f t="shared" si="2955"/>
        <v>0</v>
      </c>
      <c r="AY500" s="49" t="str">
        <f t="shared" si="2931"/>
        <v>000000000000000</v>
      </c>
      <c r="AZ500" s="23">
        <f t="shared" si="2956"/>
        <v>0</v>
      </c>
      <c r="BA500" s="49" t="str">
        <f t="shared" si="2931"/>
        <v>000000000000000</v>
      </c>
      <c r="BB500" s="23">
        <f t="shared" si="2957"/>
        <v>0</v>
      </c>
      <c r="BC500" s="49" t="str">
        <f t="shared" ref="BC500" si="3204">IF(BB500&lt;0,SUBSTITUTE(TEXT(BB500,"000000000000,00"),",",""),SUBSTITUTE(TEXT(BB500,"0000000000000,00"),",",""))</f>
        <v>000000000000000</v>
      </c>
      <c r="BD500" s="23">
        <f t="shared" si="2959"/>
        <v>0</v>
      </c>
      <c r="BE500" s="49" t="str">
        <f t="shared" ref="BE500" si="3205">IF(BD500&lt;0,SUBSTITUTE(TEXT(BD500,"000000000000,00"),",",""),SUBSTITUTE(TEXT(BD500,"0000000000000,00"),",",""))</f>
        <v>000000000000000</v>
      </c>
      <c r="BF500" s="23">
        <f t="shared" si="2961"/>
        <v>0</v>
      </c>
      <c r="BG500" s="49" t="str">
        <f t="shared" ref="BG500" si="3206">IF(BF500&lt;0,SUBSTITUTE(TEXT(BF500,"000000000000,00"),",",""),SUBSTITUTE(TEXT(BF500,"0000000000000,00"),",",""))</f>
        <v>000000000000000</v>
      </c>
      <c r="BH500" s="23">
        <f t="shared" si="2963"/>
        <v>0</v>
      </c>
      <c r="BI500" s="49" t="str">
        <f t="shared" ref="BI500" si="3207">IF(BH500&lt;0,SUBSTITUTE(TEXT(BH500,"000000000000,00"),",",""),SUBSTITUTE(TEXT(BH500,"0000000000000,00"),",",""))</f>
        <v>000000000000000</v>
      </c>
      <c r="BJ500" s="23">
        <f t="shared" si="2965"/>
        <v>0</v>
      </c>
      <c r="BK500" s="49" t="str">
        <f t="shared" ref="BK500" si="3208">IF(BJ500&lt;0,SUBSTITUTE(TEXT(BJ500,"000000000000,00"),",",""),SUBSTITUTE(TEXT(BJ500,"0000000000000,00"),",",""))</f>
        <v>000000000000000</v>
      </c>
      <c r="BL500" s="23">
        <f t="shared" si="2967"/>
        <v>0</v>
      </c>
      <c r="BM500" s="49" t="str">
        <f t="shared" ref="BM500" si="3209">IF(BL500&lt;0,SUBSTITUTE(TEXT(BL500,"000000000000,00"),",",""),SUBSTITUTE(TEXT(BL500,"0000000000000,00"),",",""))</f>
        <v>000000000000000</v>
      </c>
      <c r="BN500" t="str">
        <f t="shared" si="2969"/>
        <v>PES</v>
      </c>
      <c r="BO500" t="str">
        <f t="shared" si="2970"/>
        <v>0001000000</v>
      </c>
      <c r="BP500">
        <f t="shared" si="2971"/>
        <v>0</v>
      </c>
      <c r="BQ500">
        <f t="shared" si="2972"/>
        <v>0</v>
      </c>
      <c r="BR500" s="23">
        <f t="shared" si="2973"/>
        <v>0</v>
      </c>
      <c r="BS500" s="49" t="str">
        <f t="shared" si="2938"/>
        <v>000000000000000</v>
      </c>
      <c r="BT500" t="str">
        <f t="shared" si="2974"/>
        <v>00000000</v>
      </c>
      <c r="BU500" s="23">
        <f t="shared" si="2975"/>
        <v>0</v>
      </c>
      <c r="BV500" s="49" t="str">
        <f t="shared" si="2939"/>
        <v/>
      </c>
      <c r="BW500" s="52" t="str">
        <f t="shared" si="2976"/>
        <v/>
      </c>
      <c r="BX500" s="23">
        <f t="shared" si="2977"/>
        <v>0</v>
      </c>
      <c r="BY500" s="49" t="str">
        <f t="shared" si="2940"/>
        <v/>
      </c>
      <c r="BZ500" s="23">
        <f t="shared" si="2978"/>
        <v>0</v>
      </c>
      <c r="CA500" s="49" t="str">
        <f t="shared" si="2941"/>
        <v/>
      </c>
      <c r="CB500" s="52" t="str">
        <f t="shared" si="2979"/>
        <v/>
      </c>
      <c r="CC500" s="23">
        <f t="shared" si="2980"/>
        <v>0</v>
      </c>
      <c r="CD500" s="49" t="str">
        <f t="shared" si="2942"/>
        <v/>
      </c>
      <c r="CE500" s="56" t="str">
        <f>IF(CF500="","",MAX(CE$10:$CE499)+1)</f>
        <v/>
      </c>
      <c r="CF500" t="str">
        <f t="shared" si="2981"/>
        <v/>
      </c>
      <c r="CG500" s="22" t="str">
        <f>IF(CH500="","",MAX($CG$10:CG499)+1)</f>
        <v/>
      </c>
      <c r="CH500" s="22" t="str">
        <f t="shared" si="2926"/>
        <v/>
      </c>
      <c r="CI500" s="22" t="str">
        <f>IF(CJ500="","",MAX($CI$10:CI499)+1)</f>
        <v/>
      </c>
      <c r="CJ500" s="22" t="str">
        <f t="shared" si="2927"/>
        <v/>
      </c>
    </row>
    <row r="501" spans="2:88" x14ac:dyDescent="0.25">
      <c r="B501" s="37"/>
      <c r="C501" s="3"/>
      <c r="D501" s="77" t="str">
        <f t="shared" si="2913"/>
        <v/>
      </c>
      <c r="E501" s="38"/>
      <c r="F501" s="38"/>
      <c r="G501" s="78">
        <f t="shared" si="2928"/>
        <v>0</v>
      </c>
      <c r="H501" s="3">
        <v>80</v>
      </c>
      <c r="I501" s="77" t="str">
        <f t="shared" si="2914"/>
        <v/>
      </c>
      <c r="J501" s="32"/>
      <c r="K501" s="3"/>
      <c r="L501" s="39"/>
      <c r="M501" s="39"/>
      <c r="N501" s="39"/>
      <c r="O501" s="39"/>
      <c r="P501" s="39"/>
      <c r="Q501" s="39"/>
      <c r="R501" s="39"/>
      <c r="S501" s="39"/>
      <c r="T501" s="3" t="s">
        <v>645</v>
      </c>
      <c r="U501" s="77" t="str">
        <f t="shared" si="2915"/>
        <v/>
      </c>
      <c r="V501" s="39">
        <v>1</v>
      </c>
      <c r="W501" s="79">
        <f t="shared" si="2929"/>
        <v>0</v>
      </c>
      <c r="X501" s="3">
        <v>0</v>
      </c>
      <c r="Y501" s="77" t="str">
        <f t="shared" si="2916"/>
        <v/>
      </c>
      <c r="Z501" s="3"/>
      <c r="AA501" s="37" t="str">
        <f t="shared" si="2930"/>
        <v/>
      </c>
      <c r="AC501" s="40"/>
      <c r="AD501" s="7"/>
      <c r="AE501" s="77" t="str">
        <f t="shared" si="2917"/>
        <v/>
      </c>
      <c r="AF501" s="81">
        <f t="shared" si="2943"/>
        <v>0</v>
      </c>
      <c r="AG501" s="40"/>
      <c r="AH501" s="7"/>
      <c r="AI501" s="77" t="str">
        <f t="shared" si="2918"/>
        <v/>
      </c>
      <c r="AJ501" s="81">
        <f t="shared" si="2944"/>
        <v>0</v>
      </c>
      <c r="AK501" s="83">
        <f t="shared" si="2945"/>
        <v>0</v>
      </c>
      <c r="AL501" s="83">
        <f t="shared" si="2946"/>
        <v>0</v>
      </c>
      <c r="AN501" s="43">
        <f t="shared" si="2919"/>
        <v>0</v>
      </c>
      <c r="AP501" t="str">
        <f t="shared" si="2947"/>
        <v/>
      </c>
      <c r="AQ501" t="str">
        <f t="shared" si="2948"/>
        <v/>
      </c>
      <c r="AR501" t="str">
        <f t="shared" si="2949"/>
        <v/>
      </c>
      <c r="AS501" t="str">
        <f t="shared" si="2950"/>
        <v/>
      </c>
      <c r="AT501" t="str">
        <f t="shared" si="2951"/>
        <v/>
      </c>
      <c r="AU501" t="str">
        <f t="shared" si="2952"/>
        <v/>
      </c>
      <c r="AV501" t="str">
        <f t="shared" si="2953"/>
        <v/>
      </c>
      <c r="AW501" t="str">
        <f t="shared" si="2954"/>
        <v xml:space="preserve">                              </v>
      </c>
      <c r="AX501" s="23">
        <f t="shared" si="2955"/>
        <v>0</v>
      </c>
      <c r="AY501" s="49" t="str">
        <f t="shared" si="2931"/>
        <v>000000000000000</v>
      </c>
      <c r="AZ501" s="23">
        <f t="shared" si="2956"/>
        <v>0</v>
      </c>
      <c r="BA501" s="49" t="str">
        <f t="shared" si="2931"/>
        <v>000000000000000</v>
      </c>
      <c r="BB501" s="23">
        <f t="shared" si="2957"/>
        <v>0</v>
      </c>
      <c r="BC501" s="49" t="str">
        <f t="shared" ref="BC501" si="3210">IF(BB501&lt;0,SUBSTITUTE(TEXT(BB501,"000000000000,00"),",",""),SUBSTITUTE(TEXT(BB501,"0000000000000,00"),",",""))</f>
        <v>000000000000000</v>
      </c>
      <c r="BD501" s="23">
        <f t="shared" si="2959"/>
        <v>0</v>
      </c>
      <c r="BE501" s="49" t="str">
        <f t="shared" ref="BE501" si="3211">IF(BD501&lt;0,SUBSTITUTE(TEXT(BD501,"000000000000,00"),",",""),SUBSTITUTE(TEXT(BD501,"0000000000000,00"),",",""))</f>
        <v>000000000000000</v>
      </c>
      <c r="BF501" s="23">
        <f t="shared" si="2961"/>
        <v>0</v>
      </c>
      <c r="BG501" s="49" t="str">
        <f t="shared" ref="BG501" si="3212">IF(BF501&lt;0,SUBSTITUTE(TEXT(BF501,"000000000000,00"),",",""),SUBSTITUTE(TEXT(BF501,"0000000000000,00"),",",""))</f>
        <v>000000000000000</v>
      </c>
      <c r="BH501" s="23">
        <f t="shared" si="2963"/>
        <v>0</v>
      </c>
      <c r="BI501" s="49" t="str">
        <f t="shared" ref="BI501" si="3213">IF(BH501&lt;0,SUBSTITUTE(TEXT(BH501,"000000000000,00"),",",""),SUBSTITUTE(TEXT(BH501,"0000000000000,00"),",",""))</f>
        <v>000000000000000</v>
      </c>
      <c r="BJ501" s="23">
        <f t="shared" si="2965"/>
        <v>0</v>
      </c>
      <c r="BK501" s="49" t="str">
        <f t="shared" ref="BK501" si="3214">IF(BJ501&lt;0,SUBSTITUTE(TEXT(BJ501,"000000000000,00"),",",""),SUBSTITUTE(TEXT(BJ501,"0000000000000,00"),",",""))</f>
        <v>000000000000000</v>
      </c>
      <c r="BL501" s="23">
        <f t="shared" si="2967"/>
        <v>0</v>
      </c>
      <c r="BM501" s="49" t="str">
        <f t="shared" ref="BM501" si="3215">IF(BL501&lt;0,SUBSTITUTE(TEXT(BL501,"000000000000,00"),",",""),SUBSTITUTE(TEXT(BL501,"0000000000000,00"),",",""))</f>
        <v>000000000000000</v>
      </c>
      <c r="BN501" t="str">
        <f t="shared" si="2969"/>
        <v>PES</v>
      </c>
      <c r="BO501" t="str">
        <f t="shared" si="2970"/>
        <v>0001000000</v>
      </c>
      <c r="BP501">
        <f t="shared" si="2971"/>
        <v>0</v>
      </c>
      <c r="BQ501">
        <f t="shared" si="2972"/>
        <v>0</v>
      </c>
      <c r="BR501" s="23">
        <f t="shared" si="2973"/>
        <v>0</v>
      </c>
      <c r="BS501" s="49" t="str">
        <f t="shared" si="2938"/>
        <v>000000000000000</v>
      </c>
      <c r="BT501" t="str">
        <f t="shared" si="2974"/>
        <v>00000000</v>
      </c>
      <c r="BU501" s="23">
        <f t="shared" si="2975"/>
        <v>0</v>
      </c>
      <c r="BV501" s="49" t="str">
        <f t="shared" si="2939"/>
        <v/>
      </c>
      <c r="BW501" s="52" t="str">
        <f t="shared" si="2976"/>
        <v/>
      </c>
      <c r="BX501" s="23">
        <f t="shared" si="2977"/>
        <v>0</v>
      </c>
      <c r="BY501" s="49" t="str">
        <f t="shared" si="2940"/>
        <v/>
      </c>
      <c r="BZ501" s="23">
        <f t="shared" si="2978"/>
        <v>0</v>
      </c>
      <c r="CA501" s="49" t="str">
        <f t="shared" si="2941"/>
        <v/>
      </c>
      <c r="CB501" s="52" t="str">
        <f t="shared" si="2979"/>
        <v/>
      </c>
      <c r="CC501" s="23">
        <f t="shared" si="2980"/>
        <v>0</v>
      </c>
      <c r="CD501" s="49" t="str">
        <f t="shared" si="2942"/>
        <v/>
      </c>
      <c r="CE501" s="56" t="str">
        <f>IF(CF501="","",MAX(CE$10:$CE500)+1)</f>
        <v/>
      </c>
      <c r="CF501" t="str">
        <f t="shared" si="2981"/>
        <v/>
      </c>
      <c r="CG501" s="22" t="str">
        <f>IF(CH501="","",MAX($CG$10:CG500)+1)</f>
        <v/>
      </c>
      <c r="CH501" s="22" t="str">
        <f t="shared" si="2926"/>
        <v/>
      </c>
      <c r="CI501" s="22" t="str">
        <f>IF(CJ501="","",MAX($CI$10:CI500)+1)</f>
        <v/>
      </c>
      <c r="CJ501" s="22" t="str">
        <f t="shared" si="2927"/>
        <v/>
      </c>
    </row>
    <row r="502" spans="2:88" x14ac:dyDescent="0.25">
      <c r="B502" s="37"/>
      <c r="C502" s="3"/>
      <c r="D502" s="77" t="str">
        <f t="shared" si="2913"/>
        <v/>
      </c>
      <c r="E502" s="38"/>
      <c r="F502" s="38"/>
      <c r="G502" s="78">
        <f t="shared" si="2928"/>
        <v>0</v>
      </c>
      <c r="H502" s="3">
        <v>80</v>
      </c>
      <c r="I502" s="77" t="str">
        <f t="shared" si="2914"/>
        <v/>
      </c>
      <c r="J502" s="32"/>
      <c r="K502" s="3"/>
      <c r="L502" s="39"/>
      <c r="M502" s="39"/>
      <c r="N502" s="39"/>
      <c r="O502" s="39"/>
      <c r="P502" s="39"/>
      <c r="Q502" s="39"/>
      <c r="R502" s="39"/>
      <c r="S502" s="39"/>
      <c r="T502" s="3" t="s">
        <v>645</v>
      </c>
      <c r="U502" s="77" t="str">
        <f t="shared" si="2915"/>
        <v/>
      </c>
      <c r="V502" s="39">
        <v>1</v>
      </c>
      <c r="W502" s="79">
        <f t="shared" si="2929"/>
        <v>0</v>
      </c>
      <c r="X502" s="3">
        <v>0</v>
      </c>
      <c r="Y502" s="77" t="str">
        <f t="shared" si="2916"/>
        <v/>
      </c>
      <c r="Z502" s="3"/>
      <c r="AA502" s="37" t="str">
        <f t="shared" si="2930"/>
        <v/>
      </c>
      <c r="AC502" s="40"/>
      <c r="AD502" s="7"/>
      <c r="AE502" s="77" t="str">
        <f t="shared" si="2917"/>
        <v/>
      </c>
      <c r="AF502" s="81">
        <f t="shared" si="2943"/>
        <v>0</v>
      </c>
      <c r="AG502" s="40"/>
      <c r="AH502" s="7"/>
      <c r="AI502" s="77" t="str">
        <f t="shared" si="2918"/>
        <v/>
      </c>
      <c r="AJ502" s="81">
        <f t="shared" si="2944"/>
        <v>0</v>
      </c>
      <c r="AK502" s="83">
        <f t="shared" si="2945"/>
        <v>0</v>
      </c>
      <c r="AL502" s="83">
        <f t="shared" si="2946"/>
        <v>0</v>
      </c>
      <c r="AN502" s="43">
        <f t="shared" si="2919"/>
        <v>0</v>
      </c>
      <c r="AP502" t="str">
        <f t="shared" si="2947"/>
        <v/>
      </c>
      <c r="AQ502" t="str">
        <f t="shared" si="2948"/>
        <v/>
      </c>
      <c r="AR502" t="str">
        <f t="shared" si="2949"/>
        <v/>
      </c>
      <c r="AS502" t="str">
        <f t="shared" si="2950"/>
        <v/>
      </c>
      <c r="AT502" t="str">
        <f t="shared" si="2951"/>
        <v/>
      </c>
      <c r="AU502" t="str">
        <f t="shared" si="2952"/>
        <v/>
      </c>
      <c r="AV502" t="str">
        <f t="shared" si="2953"/>
        <v/>
      </c>
      <c r="AW502" t="str">
        <f t="shared" si="2954"/>
        <v xml:space="preserve">                              </v>
      </c>
      <c r="AX502" s="23">
        <f t="shared" si="2955"/>
        <v>0</v>
      </c>
      <c r="AY502" s="49" t="str">
        <f t="shared" si="2931"/>
        <v>000000000000000</v>
      </c>
      <c r="AZ502" s="23">
        <f t="shared" si="2956"/>
        <v>0</v>
      </c>
      <c r="BA502" s="49" t="str">
        <f t="shared" si="2931"/>
        <v>000000000000000</v>
      </c>
      <c r="BB502" s="23">
        <f t="shared" si="2957"/>
        <v>0</v>
      </c>
      <c r="BC502" s="49" t="str">
        <f t="shared" ref="BC502" si="3216">IF(BB502&lt;0,SUBSTITUTE(TEXT(BB502,"000000000000,00"),",",""),SUBSTITUTE(TEXT(BB502,"0000000000000,00"),",",""))</f>
        <v>000000000000000</v>
      </c>
      <c r="BD502" s="23">
        <f t="shared" si="2959"/>
        <v>0</v>
      </c>
      <c r="BE502" s="49" t="str">
        <f t="shared" ref="BE502" si="3217">IF(BD502&lt;0,SUBSTITUTE(TEXT(BD502,"000000000000,00"),",",""),SUBSTITUTE(TEXT(BD502,"0000000000000,00"),",",""))</f>
        <v>000000000000000</v>
      </c>
      <c r="BF502" s="23">
        <f t="shared" si="2961"/>
        <v>0</v>
      </c>
      <c r="BG502" s="49" t="str">
        <f t="shared" ref="BG502" si="3218">IF(BF502&lt;0,SUBSTITUTE(TEXT(BF502,"000000000000,00"),",",""),SUBSTITUTE(TEXT(BF502,"0000000000000,00"),",",""))</f>
        <v>000000000000000</v>
      </c>
      <c r="BH502" s="23">
        <f t="shared" si="2963"/>
        <v>0</v>
      </c>
      <c r="BI502" s="49" t="str">
        <f t="shared" ref="BI502" si="3219">IF(BH502&lt;0,SUBSTITUTE(TEXT(BH502,"000000000000,00"),",",""),SUBSTITUTE(TEXT(BH502,"0000000000000,00"),",",""))</f>
        <v>000000000000000</v>
      </c>
      <c r="BJ502" s="23">
        <f t="shared" si="2965"/>
        <v>0</v>
      </c>
      <c r="BK502" s="49" t="str">
        <f t="shared" ref="BK502" si="3220">IF(BJ502&lt;0,SUBSTITUTE(TEXT(BJ502,"000000000000,00"),",",""),SUBSTITUTE(TEXT(BJ502,"0000000000000,00"),",",""))</f>
        <v>000000000000000</v>
      </c>
      <c r="BL502" s="23">
        <f t="shared" si="2967"/>
        <v>0</v>
      </c>
      <c r="BM502" s="49" t="str">
        <f t="shared" ref="BM502" si="3221">IF(BL502&lt;0,SUBSTITUTE(TEXT(BL502,"000000000000,00"),",",""),SUBSTITUTE(TEXT(BL502,"0000000000000,00"),",",""))</f>
        <v>000000000000000</v>
      </c>
      <c r="BN502" t="str">
        <f t="shared" si="2969"/>
        <v>PES</v>
      </c>
      <c r="BO502" t="str">
        <f t="shared" si="2970"/>
        <v>0001000000</v>
      </c>
      <c r="BP502">
        <f t="shared" si="2971"/>
        <v>0</v>
      </c>
      <c r="BQ502">
        <f t="shared" si="2972"/>
        <v>0</v>
      </c>
      <c r="BR502" s="23">
        <f t="shared" si="2973"/>
        <v>0</v>
      </c>
      <c r="BS502" s="49" t="str">
        <f t="shared" si="2938"/>
        <v>000000000000000</v>
      </c>
      <c r="BT502" t="str">
        <f t="shared" si="2974"/>
        <v>00000000</v>
      </c>
      <c r="BU502" s="23">
        <f t="shared" si="2975"/>
        <v>0</v>
      </c>
      <c r="BV502" s="49" t="str">
        <f t="shared" si="2939"/>
        <v/>
      </c>
      <c r="BW502" s="52" t="str">
        <f t="shared" si="2976"/>
        <v/>
      </c>
      <c r="BX502" s="23">
        <f t="shared" si="2977"/>
        <v>0</v>
      </c>
      <c r="BY502" s="49" t="str">
        <f t="shared" si="2940"/>
        <v/>
      </c>
      <c r="BZ502" s="23">
        <f t="shared" si="2978"/>
        <v>0</v>
      </c>
      <c r="CA502" s="49" t="str">
        <f t="shared" si="2941"/>
        <v/>
      </c>
      <c r="CB502" s="52" t="str">
        <f t="shared" si="2979"/>
        <v/>
      </c>
      <c r="CC502" s="23">
        <f t="shared" si="2980"/>
        <v>0</v>
      </c>
      <c r="CD502" s="49" t="str">
        <f t="shared" si="2942"/>
        <v/>
      </c>
      <c r="CE502" s="56" t="str">
        <f>IF(CF502="","",MAX(CE$10:$CE501)+1)</f>
        <v/>
      </c>
      <c r="CF502" t="str">
        <f t="shared" si="2981"/>
        <v/>
      </c>
      <c r="CG502" s="22" t="str">
        <f>IF(CH502="","",MAX($CG$10:CG501)+1)</f>
        <v/>
      </c>
      <c r="CH502" s="22" t="str">
        <f t="shared" si="2926"/>
        <v/>
      </c>
      <c r="CI502" s="22" t="str">
        <f>IF(CJ502="","",MAX($CI$10:CI501)+1)</f>
        <v/>
      </c>
      <c r="CJ502" s="22" t="str">
        <f t="shared" si="2927"/>
        <v/>
      </c>
    </row>
    <row r="503" spans="2:88" x14ac:dyDescent="0.25">
      <c r="B503" s="37"/>
      <c r="C503" s="3"/>
      <c r="D503" s="77" t="str">
        <f t="shared" si="2913"/>
        <v/>
      </c>
      <c r="E503" s="38"/>
      <c r="F503" s="38"/>
      <c r="G503" s="78">
        <f t="shared" si="2928"/>
        <v>0</v>
      </c>
      <c r="H503" s="3">
        <v>80</v>
      </c>
      <c r="I503" s="77" t="str">
        <f t="shared" si="2914"/>
        <v/>
      </c>
      <c r="J503" s="32"/>
      <c r="K503" s="3"/>
      <c r="L503" s="39"/>
      <c r="M503" s="39"/>
      <c r="N503" s="39"/>
      <c r="O503" s="39"/>
      <c r="P503" s="39"/>
      <c r="Q503" s="39"/>
      <c r="R503" s="39"/>
      <c r="S503" s="39"/>
      <c r="T503" s="3" t="s">
        <v>645</v>
      </c>
      <c r="U503" s="77" t="str">
        <f t="shared" si="2915"/>
        <v/>
      </c>
      <c r="V503" s="39">
        <v>1</v>
      </c>
      <c r="W503" s="79">
        <f t="shared" si="2929"/>
        <v>0</v>
      </c>
      <c r="X503" s="3">
        <v>0</v>
      </c>
      <c r="Y503" s="77" t="str">
        <f t="shared" si="2916"/>
        <v/>
      </c>
      <c r="Z503" s="3"/>
      <c r="AA503" s="37" t="str">
        <f t="shared" si="2930"/>
        <v/>
      </c>
      <c r="AC503" s="40"/>
      <c r="AD503" s="7"/>
      <c r="AE503" s="77" t="str">
        <f t="shared" si="2917"/>
        <v/>
      </c>
      <c r="AF503" s="81">
        <f t="shared" si="2943"/>
        <v>0</v>
      </c>
      <c r="AG503" s="40"/>
      <c r="AH503" s="7"/>
      <c r="AI503" s="77" t="str">
        <f t="shared" si="2918"/>
        <v/>
      </c>
      <c r="AJ503" s="81">
        <f t="shared" si="2944"/>
        <v>0</v>
      </c>
      <c r="AK503" s="83">
        <f t="shared" si="2945"/>
        <v>0</v>
      </c>
      <c r="AL503" s="83">
        <f t="shared" si="2946"/>
        <v>0</v>
      </c>
      <c r="AN503" s="43">
        <f t="shared" si="2919"/>
        <v>0</v>
      </c>
      <c r="AP503" t="str">
        <f t="shared" si="2947"/>
        <v/>
      </c>
      <c r="AQ503" t="str">
        <f t="shared" si="2948"/>
        <v/>
      </c>
      <c r="AR503" t="str">
        <f t="shared" si="2949"/>
        <v/>
      </c>
      <c r="AS503" t="str">
        <f t="shared" si="2950"/>
        <v/>
      </c>
      <c r="AT503" t="str">
        <f t="shared" si="2951"/>
        <v/>
      </c>
      <c r="AU503" t="str">
        <f t="shared" si="2952"/>
        <v/>
      </c>
      <c r="AV503" t="str">
        <f t="shared" si="2953"/>
        <v/>
      </c>
      <c r="AW503" t="str">
        <f t="shared" si="2954"/>
        <v xml:space="preserve">                              </v>
      </c>
      <c r="AX503" s="23">
        <f t="shared" si="2955"/>
        <v>0</v>
      </c>
      <c r="AY503" s="49" t="str">
        <f t="shared" si="2931"/>
        <v>000000000000000</v>
      </c>
      <c r="AZ503" s="23">
        <f t="shared" si="2956"/>
        <v>0</v>
      </c>
      <c r="BA503" s="49" t="str">
        <f t="shared" si="2931"/>
        <v>000000000000000</v>
      </c>
      <c r="BB503" s="23">
        <f t="shared" si="2957"/>
        <v>0</v>
      </c>
      <c r="BC503" s="49" t="str">
        <f t="shared" ref="BC503" si="3222">IF(BB503&lt;0,SUBSTITUTE(TEXT(BB503,"000000000000,00"),",",""),SUBSTITUTE(TEXT(BB503,"0000000000000,00"),",",""))</f>
        <v>000000000000000</v>
      </c>
      <c r="BD503" s="23">
        <f t="shared" si="2959"/>
        <v>0</v>
      </c>
      <c r="BE503" s="49" t="str">
        <f t="shared" ref="BE503" si="3223">IF(BD503&lt;0,SUBSTITUTE(TEXT(BD503,"000000000000,00"),",",""),SUBSTITUTE(TEXT(BD503,"0000000000000,00"),",",""))</f>
        <v>000000000000000</v>
      </c>
      <c r="BF503" s="23">
        <f t="shared" si="2961"/>
        <v>0</v>
      </c>
      <c r="BG503" s="49" t="str">
        <f t="shared" ref="BG503" si="3224">IF(BF503&lt;0,SUBSTITUTE(TEXT(BF503,"000000000000,00"),",",""),SUBSTITUTE(TEXT(BF503,"0000000000000,00"),",",""))</f>
        <v>000000000000000</v>
      </c>
      <c r="BH503" s="23">
        <f t="shared" si="2963"/>
        <v>0</v>
      </c>
      <c r="BI503" s="49" t="str">
        <f t="shared" ref="BI503" si="3225">IF(BH503&lt;0,SUBSTITUTE(TEXT(BH503,"000000000000,00"),",",""),SUBSTITUTE(TEXT(BH503,"0000000000000,00"),",",""))</f>
        <v>000000000000000</v>
      </c>
      <c r="BJ503" s="23">
        <f t="shared" si="2965"/>
        <v>0</v>
      </c>
      <c r="BK503" s="49" t="str">
        <f t="shared" ref="BK503" si="3226">IF(BJ503&lt;0,SUBSTITUTE(TEXT(BJ503,"000000000000,00"),",",""),SUBSTITUTE(TEXT(BJ503,"0000000000000,00"),",",""))</f>
        <v>000000000000000</v>
      </c>
      <c r="BL503" s="23">
        <f t="shared" si="2967"/>
        <v>0</v>
      </c>
      <c r="BM503" s="49" t="str">
        <f t="shared" ref="BM503" si="3227">IF(BL503&lt;0,SUBSTITUTE(TEXT(BL503,"000000000000,00"),",",""),SUBSTITUTE(TEXT(BL503,"0000000000000,00"),",",""))</f>
        <v>000000000000000</v>
      </c>
      <c r="BN503" t="str">
        <f t="shared" si="2969"/>
        <v>PES</v>
      </c>
      <c r="BO503" t="str">
        <f t="shared" si="2970"/>
        <v>0001000000</v>
      </c>
      <c r="BP503">
        <f t="shared" si="2971"/>
        <v>0</v>
      </c>
      <c r="BQ503">
        <f t="shared" si="2972"/>
        <v>0</v>
      </c>
      <c r="BR503" s="23">
        <f t="shared" si="2973"/>
        <v>0</v>
      </c>
      <c r="BS503" s="49" t="str">
        <f t="shared" si="2938"/>
        <v>000000000000000</v>
      </c>
      <c r="BT503" t="str">
        <f t="shared" si="2974"/>
        <v>00000000</v>
      </c>
      <c r="BU503" s="23">
        <f t="shared" si="2975"/>
        <v>0</v>
      </c>
      <c r="BV503" s="49" t="str">
        <f t="shared" si="2939"/>
        <v/>
      </c>
      <c r="BW503" s="52" t="str">
        <f t="shared" si="2976"/>
        <v/>
      </c>
      <c r="BX503" s="23">
        <f t="shared" si="2977"/>
        <v>0</v>
      </c>
      <c r="BY503" s="49" t="str">
        <f t="shared" si="2940"/>
        <v/>
      </c>
      <c r="BZ503" s="23">
        <f t="shared" si="2978"/>
        <v>0</v>
      </c>
      <c r="CA503" s="49" t="str">
        <f t="shared" si="2941"/>
        <v/>
      </c>
      <c r="CB503" s="52" t="str">
        <f t="shared" si="2979"/>
        <v/>
      </c>
      <c r="CC503" s="23">
        <f t="shared" si="2980"/>
        <v>0</v>
      </c>
      <c r="CD503" s="49" t="str">
        <f t="shared" si="2942"/>
        <v/>
      </c>
      <c r="CE503" s="56" t="str">
        <f>IF(CF503="","",MAX(CE$10:$CE502)+1)</f>
        <v/>
      </c>
      <c r="CF503" t="str">
        <f t="shared" si="2981"/>
        <v/>
      </c>
      <c r="CG503" s="22" t="str">
        <f>IF(CH503="","",MAX($CG$10:CG502)+1)</f>
        <v/>
      </c>
      <c r="CH503" s="22" t="str">
        <f t="shared" si="2926"/>
        <v/>
      </c>
      <c r="CI503" s="22" t="str">
        <f>IF(CJ503="","",MAX($CI$10:CI502)+1)</f>
        <v/>
      </c>
      <c r="CJ503" s="22" t="str">
        <f t="shared" si="2927"/>
        <v/>
      </c>
    </row>
    <row r="504" spans="2:88" x14ac:dyDescent="0.25">
      <c r="B504" s="37"/>
      <c r="C504" s="3"/>
      <c r="D504" s="77" t="str">
        <f t="shared" si="2913"/>
        <v/>
      </c>
      <c r="E504" s="38"/>
      <c r="F504" s="38"/>
      <c r="G504" s="78">
        <f t="shared" si="2928"/>
        <v>0</v>
      </c>
      <c r="H504" s="3">
        <v>80</v>
      </c>
      <c r="I504" s="77" t="str">
        <f t="shared" si="2914"/>
        <v/>
      </c>
      <c r="J504" s="32"/>
      <c r="K504" s="3"/>
      <c r="L504" s="39"/>
      <c r="M504" s="39"/>
      <c r="N504" s="39"/>
      <c r="O504" s="39"/>
      <c r="P504" s="39"/>
      <c r="Q504" s="39"/>
      <c r="R504" s="39"/>
      <c r="S504" s="39"/>
      <c r="T504" s="3" t="s">
        <v>645</v>
      </c>
      <c r="U504" s="77" t="str">
        <f t="shared" si="2915"/>
        <v/>
      </c>
      <c r="V504" s="39">
        <v>1</v>
      </c>
      <c r="W504" s="79">
        <f t="shared" si="2929"/>
        <v>0</v>
      </c>
      <c r="X504" s="3">
        <v>0</v>
      </c>
      <c r="Y504" s="77" t="str">
        <f t="shared" si="2916"/>
        <v/>
      </c>
      <c r="Z504" s="3"/>
      <c r="AA504" s="37" t="str">
        <f t="shared" si="2930"/>
        <v/>
      </c>
      <c r="AC504" s="40"/>
      <c r="AD504" s="7"/>
      <c r="AE504" s="77" t="str">
        <f t="shared" si="2917"/>
        <v/>
      </c>
      <c r="AF504" s="81">
        <f t="shared" si="2943"/>
        <v>0</v>
      </c>
      <c r="AG504" s="40"/>
      <c r="AH504" s="7"/>
      <c r="AI504" s="77" t="str">
        <f t="shared" si="2918"/>
        <v/>
      </c>
      <c r="AJ504" s="81">
        <f t="shared" si="2944"/>
        <v>0</v>
      </c>
      <c r="AK504" s="83">
        <f t="shared" si="2945"/>
        <v>0</v>
      </c>
      <c r="AL504" s="83">
        <f t="shared" si="2946"/>
        <v>0</v>
      </c>
      <c r="AN504" s="43">
        <f t="shared" si="2919"/>
        <v>0</v>
      </c>
      <c r="AP504" t="str">
        <f t="shared" si="2947"/>
        <v/>
      </c>
      <c r="AQ504" t="str">
        <f t="shared" si="2948"/>
        <v/>
      </c>
      <c r="AR504" t="str">
        <f t="shared" si="2949"/>
        <v/>
      </c>
      <c r="AS504" t="str">
        <f t="shared" si="2950"/>
        <v/>
      </c>
      <c r="AT504" t="str">
        <f t="shared" si="2951"/>
        <v/>
      </c>
      <c r="AU504" t="str">
        <f t="shared" si="2952"/>
        <v/>
      </c>
      <c r="AV504" t="str">
        <f t="shared" si="2953"/>
        <v/>
      </c>
      <c r="AW504" t="str">
        <f t="shared" si="2954"/>
        <v xml:space="preserve">                              </v>
      </c>
      <c r="AX504" s="23">
        <f t="shared" si="2955"/>
        <v>0</v>
      </c>
      <c r="AY504" s="49" t="str">
        <f t="shared" si="2931"/>
        <v>000000000000000</v>
      </c>
      <c r="AZ504" s="23">
        <f t="shared" si="2956"/>
        <v>0</v>
      </c>
      <c r="BA504" s="49" t="str">
        <f t="shared" si="2931"/>
        <v>000000000000000</v>
      </c>
      <c r="BB504" s="23">
        <f t="shared" si="2957"/>
        <v>0</v>
      </c>
      <c r="BC504" s="49" t="str">
        <f t="shared" ref="BC504" si="3228">IF(BB504&lt;0,SUBSTITUTE(TEXT(BB504,"000000000000,00"),",",""),SUBSTITUTE(TEXT(BB504,"0000000000000,00"),",",""))</f>
        <v>000000000000000</v>
      </c>
      <c r="BD504" s="23">
        <f t="shared" si="2959"/>
        <v>0</v>
      </c>
      <c r="BE504" s="49" t="str">
        <f t="shared" ref="BE504" si="3229">IF(BD504&lt;0,SUBSTITUTE(TEXT(BD504,"000000000000,00"),",",""),SUBSTITUTE(TEXT(BD504,"0000000000000,00"),",",""))</f>
        <v>000000000000000</v>
      </c>
      <c r="BF504" s="23">
        <f t="shared" si="2961"/>
        <v>0</v>
      </c>
      <c r="BG504" s="49" t="str">
        <f t="shared" ref="BG504" si="3230">IF(BF504&lt;0,SUBSTITUTE(TEXT(BF504,"000000000000,00"),",",""),SUBSTITUTE(TEXT(BF504,"0000000000000,00"),",",""))</f>
        <v>000000000000000</v>
      </c>
      <c r="BH504" s="23">
        <f t="shared" si="2963"/>
        <v>0</v>
      </c>
      <c r="BI504" s="49" t="str">
        <f t="shared" ref="BI504" si="3231">IF(BH504&lt;0,SUBSTITUTE(TEXT(BH504,"000000000000,00"),",",""),SUBSTITUTE(TEXT(BH504,"0000000000000,00"),",",""))</f>
        <v>000000000000000</v>
      </c>
      <c r="BJ504" s="23">
        <f t="shared" si="2965"/>
        <v>0</v>
      </c>
      <c r="BK504" s="49" t="str">
        <f t="shared" ref="BK504" si="3232">IF(BJ504&lt;0,SUBSTITUTE(TEXT(BJ504,"000000000000,00"),",",""),SUBSTITUTE(TEXT(BJ504,"0000000000000,00"),",",""))</f>
        <v>000000000000000</v>
      </c>
      <c r="BL504" s="23">
        <f t="shared" si="2967"/>
        <v>0</v>
      </c>
      <c r="BM504" s="49" t="str">
        <f t="shared" ref="BM504" si="3233">IF(BL504&lt;0,SUBSTITUTE(TEXT(BL504,"000000000000,00"),",",""),SUBSTITUTE(TEXT(BL504,"0000000000000,00"),",",""))</f>
        <v>000000000000000</v>
      </c>
      <c r="BN504" t="str">
        <f t="shared" si="2969"/>
        <v>PES</v>
      </c>
      <c r="BO504" t="str">
        <f t="shared" si="2970"/>
        <v>0001000000</v>
      </c>
      <c r="BP504">
        <f t="shared" si="2971"/>
        <v>0</v>
      </c>
      <c r="BQ504">
        <f t="shared" si="2972"/>
        <v>0</v>
      </c>
      <c r="BR504" s="23">
        <f t="shared" si="2973"/>
        <v>0</v>
      </c>
      <c r="BS504" s="49" t="str">
        <f t="shared" si="2938"/>
        <v>000000000000000</v>
      </c>
      <c r="BT504" t="str">
        <f t="shared" si="2974"/>
        <v>00000000</v>
      </c>
      <c r="BU504" s="23">
        <f t="shared" si="2975"/>
        <v>0</v>
      </c>
      <c r="BV504" s="49" t="str">
        <f t="shared" si="2939"/>
        <v/>
      </c>
      <c r="BW504" s="52" t="str">
        <f t="shared" si="2976"/>
        <v/>
      </c>
      <c r="BX504" s="23">
        <f t="shared" si="2977"/>
        <v>0</v>
      </c>
      <c r="BY504" s="49" t="str">
        <f t="shared" si="2940"/>
        <v/>
      </c>
      <c r="BZ504" s="23">
        <f t="shared" si="2978"/>
        <v>0</v>
      </c>
      <c r="CA504" s="49" t="str">
        <f t="shared" si="2941"/>
        <v/>
      </c>
      <c r="CB504" s="52" t="str">
        <f t="shared" si="2979"/>
        <v/>
      </c>
      <c r="CC504" s="23">
        <f t="shared" si="2980"/>
        <v>0</v>
      </c>
      <c r="CD504" s="49" t="str">
        <f t="shared" si="2942"/>
        <v/>
      </c>
      <c r="CE504" s="56" t="str">
        <f>IF(CF504="","",MAX(CE$10:$CE503)+1)</f>
        <v/>
      </c>
      <c r="CF504" t="str">
        <f t="shared" si="2981"/>
        <v/>
      </c>
      <c r="CG504" s="22" t="str">
        <f>IF(CH504="","",MAX($CG$10:CG503)+1)</f>
        <v/>
      </c>
      <c r="CH504" s="22" t="str">
        <f t="shared" si="2926"/>
        <v/>
      </c>
      <c r="CI504" s="22" t="str">
        <f>IF(CJ504="","",MAX($CI$10:CI503)+1)</f>
        <v/>
      </c>
      <c r="CJ504" s="22" t="str">
        <f t="shared" si="2927"/>
        <v/>
      </c>
    </row>
    <row r="505" spans="2:88" x14ac:dyDescent="0.25">
      <c r="B505" s="37"/>
      <c r="C505" s="3"/>
      <c r="D505" s="77" t="str">
        <f t="shared" si="2913"/>
        <v/>
      </c>
      <c r="E505" s="38"/>
      <c r="F505" s="38"/>
      <c r="G505" s="78">
        <f t="shared" si="2928"/>
        <v>0</v>
      </c>
      <c r="H505" s="3">
        <v>80</v>
      </c>
      <c r="I505" s="77" t="str">
        <f t="shared" si="2914"/>
        <v/>
      </c>
      <c r="J505" s="32"/>
      <c r="K505" s="3"/>
      <c r="L505" s="39"/>
      <c r="M505" s="39"/>
      <c r="N505" s="39"/>
      <c r="O505" s="39"/>
      <c r="P505" s="39"/>
      <c r="Q505" s="39"/>
      <c r="R505" s="39"/>
      <c r="S505" s="39"/>
      <c r="T505" s="3" t="s">
        <v>645</v>
      </c>
      <c r="U505" s="77" t="str">
        <f t="shared" si="2915"/>
        <v/>
      </c>
      <c r="V505" s="39">
        <v>1</v>
      </c>
      <c r="W505" s="79">
        <f t="shared" si="2929"/>
        <v>0</v>
      </c>
      <c r="X505" s="3">
        <v>0</v>
      </c>
      <c r="Y505" s="77" t="str">
        <f t="shared" si="2916"/>
        <v/>
      </c>
      <c r="Z505" s="3"/>
      <c r="AA505" s="37" t="str">
        <f t="shared" si="2930"/>
        <v/>
      </c>
      <c r="AC505" s="40"/>
      <c r="AD505" s="7"/>
      <c r="AE505" s="77" t="str">
        <f t="shared" si="2917"/>
        <v/>
      </c>
      <c r="AF505" s="81">
        <f t="shared" si="2943"/>
        <v>0</v>
      </c>
      <c r="AG505" s="40"/>
      <c r="AH505" s="7"/>
      <c r="AI505" s="77" t="str">
        <f t="shared" si="2918"/>
        <v/>
      </c>
      <c r="AJ505" s="81">
        <f t="shared" si="2944"/>
        <v>0</v>
      </c>
      <c r="AK505" s="83">
        <f t="shared" si="2945"/>
        <v>0</v>
      </c>
      <c r="AL505" s="83">
        <f t="shared" si="2946"/>
        <v>0</v>
      </c>
      <c r="AN505" s="43">
        <f t="shared" si="2919"/>
        <v>0</v>
      </c>
      <c r="AP505" t="str">
        <f t="shared" si="2947"/>
        <v/>
      </c>
      <c r="AQ505" t="str">
        <f t="shared" si="2948"/>
        <v/>
      </c>
      <c r="AR505" t="str">
        <f t="shared" si="2949"/>
        <v/>
      </c>
      <c r="AS505" t="str">
        <f t="shared" si="2950"/>
        <v/>
      </c>
      <c r="AT505" t="str">
        <f t="shared" si="2951"/>
        <v/>
      </c>
      <c r="AU505" t="str">
        <f t="shared" si="2952"/>
        <v/>
      </c>
      <c r="AV505" t="str">
        <f t="shared" si="2953"/>
        <v/>
      </c>
      <c r="AW505" t="str">
        <f t="shared" si="2954"/>
        <v xml:space="preserve">                              </v>
      </c>
      <c r="AX505" s="23">
        <f t="shared" si="2955"/>
        <v>0</v>
      </c>
      <c r="AY505" s="49" t="str">
        <f t="shared" si="2931"/>
        <v>000000000000000</v>
      </c>
      <c r="AZ505" s="23">
        <f t="shared" si="2956"/>
        <v>0</v>
      </c>
      <c r="BA505" s="49" t="str">
        <f t="shared" si="2931"/>
        <v>000000000000000</v>
      </c>
      <c r="BB505" s="23">
        <f t="shared" si="2957"/>
        <v>0</v>
      </c>
      <c r="BC505" s="49" t="str">
        <f t="shared" ref="BC505" si="3234">IF(BB505&lt;0,SUBSTITUTE(TEXT(BB505,"000000000000,00"),",",""),SUBSTITUTE(TEXT(BB505,"0000000000000,00"),",",""))</f>
        <v>000000000000000</v>
      </c>
      <c r="BD505" s="23">
        <f t="shared" si="2959"/>
        <v>0</v>
      </c>
      <c r="BE505" s="49" t="str">
        <f t="shared" ref="BE505" si="3235">IF(BD505&lt;0,SUBSTITUTE(TEXT(BD505,"000000000000,00"),",",""),SUBSTITUTE(TEXT(BD505,"0000000000000,00"),",",""))</f>
        <v>000000000000000</v>
      </c>
      <c r="BF505" s="23">
        <f t="shared" si="2961"/>
        <v>0</v>
      </c>
      <c r="BG505" s="49" t="str">
        <f t="shared" ref="BG505" si="3236">IF(BF505&lt;0,SUBSTITUTE(TEXT(BF505,"000000000000,00"),",",""),SUBSTITUTE(TEXT(BF505,"0000000000000,00"),",",""))</f>
        <v>000000000000000</v>
      </c>
      <c r="BH505" s="23">
        <f t="shared" si="2963"/>
        <v>0</v>
      </c>
      <c r="BI505" s="49" t="str">
        <f t="shared" ref="BI505" si="3237">IF(BH505&lt;0,SUBSTITUTE(TEXT(BH505,"000000000000,00"),",",""),SUBSTITUTE(TEXT(BH505,"0000000000000,00"),",",""))</f>
        <v>000000000000000</v>
      </c>
      <c r="BJ505" s="23">
        <f t="shared" si="2965"/>
        <v>0</v>
      </c>
      <c r="BK505" s="49" t="str">
        <f t="shared" ref="BK505" si="3238">IF(BJ505&lt;0,SUBSTITUTE(TEXT(BJ505,"000000000000,00"),",",""),SUBSTITUTE(TEXT(BJ505,"0000000000000,00"),",",""))</f>
        <v>000000000000000</v>
      </c>
      <c r="BL505" s="23">
        <f t="shared" si="2967"/>
        <v>0</v>
      </c>
      <c r="BM505" s="49" t="str">
        <f t="shared" ref="BM505" si="3239">IF(BL505&lt;0,SUBSTITUTE(TEXT(BL505,"000000000000,00"),",",""),SUBSTITUTE(TEXT(BL505,"0000000000000,00"),",",""))</f>
        <v>000000000000000</v>
      </c>
      <c r="BN505" t="str">
        <f t="shared" si="2969"/>
        <v>PES</v>
      </c>
      <c r="BO505" t="str">
        <f t="shared" si="2970"/>
        <v>0001000000</v>
      </c>
      <c r="BP505">
        <f t="shared" si="2971"/>
        <v>0</v>
      </c>
      <c r="BQ505">
        <f t="shared" si="2972"/>
        <v>0</v>
      </c>
      <c r="BR505" s="23">
        <f t="shared" si="2973"/>
        <v>0</v>
      </c>
      <c r="BS505" s="49" t="str">
        <f t="shared" si="2938"/>
        <v>000000000000000</v>
      </c>
      <c r="BT505" t="str">
        <f t="shared" si="2974"/>
        <v>00000000</v>
      </c>
      <c r="BU505" s="23">
        <f t="shared" si="2975"/>
        <v>0</v>
      </c>
      <c r="BV505" s="49" t="str">
        <f t="shared" si="2939"/>
        <v/>
      </c>
      <c r="BW505" s="52" t="str">
        <f t="shared" si="2976"/>
        <v/>
      </c>
      <c r="BX505" s="23">
        <f t="shared" si="2977"/>
        <v>0</v>
      </c>
      <c r="BY505" s="49" t="str">
        <f t="shared" si="2940"/>
        <v/>
      </c>
      <c r="BZ505" s="23">
        <f t="shared" si="2978"/>
        <v>0</v>
      </c>
      <c r="CA505" s="49" t="str">
        <f t="shared" si="2941"/>
        <v/>
      </c>
      <c r="CB505" s="52" t="str">
        <f t="shared" si="2979"/>
        <v/>
      </c>
      <c r="CC505" s="23">
        <f t="shared" si="2980"/>
        <v>0</v>
      </c>
      <c r="CD505" s="49" t="str">
        <f t="shared" si="2942"/>
        <v/>
      </c>
      <c r="CE505" s="56" t="str">
        <f>IF(CF505="","",MAX(CE$10:$CE504)+1)</f>
        <v/>
      </c>
      <c r="CF505" t="str">
        <f t="shared" si="2981"/>
        <v/>
      </c>
      <c r="CG505" s="22" t="str">
        <f>IF(CH505="","",MAX($CG$10:CG504)+1)</f>
        <v/>
      </c>
      <c r="CH505" s="22" t="str">
        <f t="shared" si="2926"/>
        <v/>
      </c>
      <c r="CI505" s="22" t="str">
        <f>IF(CJ505="","",MAX($CI$10:CI504)+1)</f>
        <v/>
      </c>
      <c r="CJ505" s="22" t="str">
        <f t="shared" si="2927"/>
        <v/>
      </c>
    </row>
    <row r="506" spans="2:88" x14ac:dyDescent="0.25">
      <c r="B506" s="37"/>
      <c r="C506" s="3"/>
      <c r="D506" s="77" t="str">
        <f t="shared" si="2913"/>
        <v/>
      </c>
      <c r="E506" s="38"/>
      <c r="F506" s="38"/>
      <c r="G506" s="78">
        <f t="shared" si="2928"/>
        <v>0</v>
      </c>
      <c r="H506" s="3">
        <v>80</v>
      </c>
      <c r="I506" s="77" t="str">
        <f t="shared" si="2914"/>
        <v/>
      </c>
      <c r="J506" s="32"/>
      <c r="K506" s="3"/>
      <c r="L506" s="39"/>
      <c r="M506" s="39"/>
      <c r="N506" s="39"/>
      <c r="O506" s="39"/>
      <c r="P506" s="39"/>
      <c r="Q506" s="39"/>
      <c r="R506" s="39"/>
      <c r="S506" s="39"/>
      <c r="T506" s="3" t="s">
        <v>645</v>
      </c>
      <c r="U506" s="77" t="str">
        <f t="shared" si="2915"/>
        <v/>
      </c>
      <c r="V506" s="39">
        <v>1</v>
      </c>
      <c r="W506" s="79">
        <f t="shared" si="2929"/>
        <v>0</v>
      </c>
      <c r="X506" s="3">
        <v>0</v>
      </c>
      <c r="Y506" s="77" t="str">
        <f t="shared" si="2916"/>
        <v/>
      </c>
      <c r="Z506" s="3"/>
      <c r="AA506" s="37" t="str">
        <f t="shared" si="2930"/>
        <v/>
      </c>
      <c r="AC506" s="40"/>
      <c r="AD506" s="7"/>
      <c r="AE506" s="77" t="str">
        <f t="shared" si="2917"/>
        <v/>
      </c>
      <c r="AF506" s="81">
        <f t="shared" si="2943"/>
        <v>0</v>
      </c>
      <c r="AG506" s="40"/>
      <c r="AH506" s="7"/>
      <c r="AI506" s="77" t="str">
        <f t="shared" si="2918"/>
        <v/>
      </c>
      <c r="AJ506" s="81">
        <f t="shared" si="2944"/>
        <v>0</v>
      </c>
      <c r="AK506" s="83">
        <f t="shared" si="2945"/>
        <v>0</v>
      </c>
      <c r="AL506" s="83">
        <f t="shared" si="2946"/>
        <v>0</v>
      </c>
      <c r="AN506" s="43">
        <f t="shared" si="2919"/>
        <v>0</v>
      </c>
      <c r="AP506" t="str">
        <f t="shared" si="2947"/>
        <v/>
      </c>
      <c r="AQ506" t="str">
        <f t="shared" si="2948"/>
        <v/>
      </c>
      <c r="AR506" t="str">
        <f t="shared" si="2949"/>
        <v/>
      </c>
      <c r="AS506" t="str">
        <f t="shared" si="2950"/>
        <v/>
      </c>
      <c r="AT506" t="str">
        <f t="shared" si="2951"/>
        <v/>
      </c>
      <c r="AU506" t="str">
        <f t="shared" si="2952"/>
        <v/>
      </c>
      <c r="AV506" t="str">
        <f t="shared" si="2953"/>
        <v/>
      </c>
      <c r="AW506" t="str">
        <f t="shared" si="2954"/>
        <v xml:space="preserve">                              </v>
      </c>
      <c r="AX506" s="23">
        <f t="shared" si="2955"/>
        <v>0</v>
      </c>
      <c r="AY506" s="49" t="str">
        <f t="shared" si="2931"/>
        <v>000000000000000</v>
      </c>
      <c r="AZ506" s="23">
        <f t="shared" si="2956"/>
        <v>0</v>
      </c>
      <c r="BA506" s="49" t="str">
        <f t="shared" si="2931"/>
        <v>000000000000000</v>
      </c>
      <c r="BB506" s="23">
        <f t="shared" si="2957"/>
        <v>0</v>
      </c>
      <c r="BC506" s="49" t="str">
        <f t="shared" ref="BC506" si="3240">IF(BB506&lt;0,SUBSTITUTE(TEXT(BB506,"000000000000,00"),",",""),SUBSTITUTE(TEXT(BB506,"0000000000000,00"),",",""))</f>
        <v>000000000000000</v>
      </c>
      <c r="BD506" s="23">
        <f t="shared" si="2959"/>
        <v>0</v>
      </c>
      <c r="BE506" s="49" t="str">
        <f t="shared" ref="BE506" si="3241">IF(BD506&lt;0,SUBSTITUTE(TEXT(BD506,"000000000000,00"),",",""),SUBSTITUTE(TEXT(BD506,"0000000000000,00"),",",""))</f>
        <v>000000000000000</v>
      </c>
      <c r="BF506" s="23">
        <f t="shared" si="2961"/>
        <v>0</v>
      </c>
      <c r="BG506" s="49" t="str">
        <f t="shared" ref="BG506" si="3242">IF(BF506&lt;0,SUBSTITUTE(TEXT(BF506,"000000000000,00"),",",""),SUBSTITUTE(TEXT(BF506,"0000000000000,00"),",",""))</f>
        <v>000000000000000</v>
      </c>
      <c r="BH506" s="23">
        <f t="shared" si="2963"/>
        <v>0</v>
      </c>
      <c r="BI506" s="49" t="str">
        <f t="shared" ref="BI506" si="3243">IF(BH506&lt;0,SUBSTITUTE(TEXT(BH506,"000000000000,00"),",",""),SUBSTITUTE(TEXT(BH506,"0000000000000,00"),",",""))</f>
        <v>000000000000000</v>
      </c>
      <c r="BJ506" s="23">
        <f t="shared" si="2965"/>
        <v>0</v>
      </c>
      <c r="BK506" s="49" t="str">
        <f t="shared" ref="BK506" si="3244">IF(BJ506&lt;0,SUBSTITUTE(TEXT(BJ506,"000000000000,00"),",",""),SUBSTITUTE(TEXT(BJ506,"0000000000000,00"),",",""))</f>
        <v>000000000000000</v>
      </c>
      <c r="BL506" s="23">
        <f t="shared" si="2967"/>
        <v>0</v>
      </c>
      <c r="BM506" s="49" t="str">
        <f t="shared" ref="BM506" si="3245">IF(BL506&lt;0,SUBSTITUTE(TEXT(BL506,"000000000000,00"),",",""),SUBSTITUTE(TEXT(BL506,"0000000000000,00"),",",""))</f>
        <v>000000000000000</v>
      </c>
      <c r="BN506" t="str">
        <f t="shared" si="2969"/>
        <v>PES</v>
      </c>
      <c r="BO506" t="str">
        <f t="shared" si="2970"/>
        <v>0001000000</v>
      </c>
      <c r="BP506">
        <f t="shared" si="2971"/>
        <v>0</v>
      </c>
      <c r="BQ506">
        <f t="shared" si="2972"/>
        <v>0</v>
      </c>
      <c r="BR506" s="23">
        <f t="shared" si="2973"/>
        <v>0</v>
      </c>
      <c r="BS506" s="49" t="str">
        <f t="shared" si="2938"/>
        <v>000000000000000</v>
      </c>
      <c r="BT506" t="str">
        <f t="shared" si="2974"/>
        <v>00000000</v>
      </c>
      <c r="BU506" s="23">
        <f t="shared" si="2975"/>
        <v>0</v>
      </c>
      <c r="BV506" s="49" t="str">
        <f t="shared" si="2939"/>
        <v/>
      </c>
      <c r="BW506" s="52" t="str">
        <f t="shared" si="2976"/>
        <v/>
      </c>
      <c r="BX506" s="23">
        <f t="shared" si="2977"/>
        <v>0</v>
      </c>
      <c r="BY506" s="49" t="str">
        <f t="shared" si="2940"/>
        <v/>
      </c>
      <c r="BZ506" s="23">
        <f t="shared" si="2978"/>
        <v>0</v>
      </c>
      <c r="CA506" s="49" t="str">
        <f t="shared" si="2941"/>
        <v/>
      </c>
      <c r="CB506" s="52" t="str">
        <f t="shared" si="2979"/>
        <v/>
      </c>
      <c r="CC506" s="23">
        <f t="shared" si="2980"/>
        <v>0</v>
      </c>
      <c r="CD506" s="49" t="str">
        <f t="shared" si="2942"/>
        <v/>
      </c>
      <c r="CE506" s="56" t="str">
        <f>IF(CF506="","",MAX(CE$10:$CE505)+1)</f>
        <v/>
      </c>
      <c r="CF506" t="str">
        <f t="shared" si="2981"/>
        <v/>
      </c>
      <c r="CG506" s="22" t="str">
        <f>IF(CH506="","",MAX($CG$10:CG505)+1)</f>
        <v/>
      </c>
      <c r="CH506" s="22" t="str">
        <f t="shared" si="2926"/>
        <v/>
      </c>
      <c r="CI506" s="22" t="str">
        <f>IF(CJ506="","",MAX($CI$10:CI505)+1)</f>
        <v/>
      </c>
      <c r="CJ506" s="22" t="str">
        <f t="shared" si="2927"/>
        <v/>
      </c>
    </row>
    <row r="507" spans="2:88" x14ac:dyDescent="0.25">
      <c r="B507" s="37"/>
      <c r="C507" s="3"/>
      <c r="D507" s="77" t="str">
        <f t="shared" si="2913"/>
        <v/>
      </c>
      <c r="E507" s="38"/>
      <c r="F507" s="38"/>
      <c r="G507" s="78">
        <f t="shared" si="2928"/>
        <v>0</v>
      </c>
      <c r="H507" s="3">
        <v>80</v>
      </c>
      <c r="I507" s="77" t="str">
        <f t="shared" si="2914"/>
        <v/>
      </c>
      <c r="J507" s="32"/>
      <c r="K507" s="3"/>
      <c r="L507" s="39"/>
      <c r="M507" s="39"/>
      <c r="N507" s="39"/>
      <c r="O507" s="39"/>
      <c r="P507" s="39"/>
      <c r="Q507" s="39"/>
      <c r="R507" s="39"/>
      <c r="S507" s="39"/>
      <c r="T507" s="3" t="s">
        <v>645</v>
      </c>
      <c r="U507" s="77" t="str">
        <f t="shared" si="2915"/>
        <v/>
      </c>
      <c r="V507" s="39">
        <v>1</v>
      </c>
      <c r="W507" s="79">
        <f t="shared" si="2929"/>
        <v>0</v>
      </c>
      <c r="X507" s="3">
        <v>0</v>
      </c>
      <c r="Y507" s="77" t="str">
        <f t="shared" si="2916"/>
        <v/>
      </c>
      <c r="Z507" s="3"/>
      <c r="AA507" s="37" t="str">
        <f t="shared" si="2930"/>
        <v/>
      </c>
      <c r="AC507" s="40"/>
      <c r="AD507" s="7"/>
      <c r="AE507" s="77" t="str">
        <f t="shared" si="2917"/>
        <v/>
      </c>
      <c r="AF507" s="81">
        <f t="shared" si="2943"/>
        <v>0</v>
      </c>
      <c r="AG507" s="40"/>
      <c r="AH507" s="7"/>
      <c r="AI507" s="77" t="str">
        <f t="shared" si="2918"/>
        <v/>
      </c>
      <c r="AJ507" s="81">
        <f t="shared" si="2944"/>
        <v>0</v>
      </c>
      <c r="AK507" s="83">
        <f t="shared" si="2945"/>
        <v>0</v>
      </c>
      <c r="AL507" s="83">
        <f t="shared" si="2946"/>
        <v>0</v>
      </c>
      <c r="AN507" s="43">
        <f t="shared" si="2919"/>
        <v>0</v>
      </c>
      <c r="AP507" t="str">
        <f t="shared" si="2947"/>
        <v/>
      </c>
      <c r="AQ507" t="str">
        <f t="shared" si="2948"/>
        <v/>
      </c>
      <c r="AR507" t="str">
        <f t="shared" si="2949"/>
        <v/>
      </c>
      <c r="AS507" t="str">
        <f t="shared" si="2950"/>
        <v/>
      </c>
      <c r="AT507" t="str">
        <f t="shared" si="2951"/>
        <v/>
      </c>
      <c r="AU507" t="str">
        <f t="shared" si="2952"/>
        <v/>
      </c>
      <c r="AV507" t="str">
        <f t="shared" si="2953"/>
        <v/>
      </c>
      <c r="AW507" t="str">
        <f t="shared" si="2954"/>
        <v xml:space="preserve">                              </v>
      </c>
      <c r="AX507" s="23">
        <f t="shared" si="2955"/>
        <v>0</v>
      </c>
      <c r="AY507" s="49" t="str">
        <f t="shared" si="2931"/>
        <v>000000000000000</v>
      </c>
      <c r="AZ507" s="23">
        <f t="shared" si="2956"/>
        <v>0</v>
      </c>
      <c r="BA507" s="49" t="str">
        <f t="shared" si="2931"/>
        <v>000000000000000</v>
      </c>
      <c r="BB507" s="23">
        <f t="shared" si="2957"/>
        <v>0</v>
      </c>
      <c r="BC507" s="49" t="str">
        <f t="shared" ref="BC507" si="3246">IF(BB507&lt;0,SUBSTITUTE(TEXT(BB507,"000000000000,00"),",",""),SUBSTITUTE(TEXT(BB507,"0000000000000,00"),",",""))</f>
        <v>000000000000000</v>
      </c>
      <c r="BD507" s="23">
        <f t="shared" si="2959"/>
        <v>0</v>
      </c>
      <c r="BE507" s="49" t="str">
        <f t="shared" ref="BE507" si="3247">IF(BD507&lt;0,SUBSTITUTE(TEXT(BD507,"000000000000,00"),",",""),SUBSTITUTE(TEXT(BD507,"0000000000000,00"),",",""))</f>
        <v>000000000000000</v>
      </c>
      <c r="BF507" s="23">
        <f t="shared" si="2961"/>
        <v>0</v>
      </c>
      <c r="BG507" s="49" t="str">
        <f t="shared" ref="BG507" si="3248">IF(BF507&lt;0,SUBSTITUTE(TEXT(BF507,"000000000000,00"),",",""),SUBSTITUTE(TEXT(BF507,"0000000000000,00"),",",""))</f>
        <v>000000000000000</v>
      </c>
      <c r="BH507" s="23">
        <f t="shared" si="2963"/>
        <v>0</v>
      </c>
      <c r="BI507" s="49" t="str">
        <f t="shared" ref="BI507" si="3249">IF(BH507&lt;0,SUBSTITUTE(TEXT(BH507,"000000000000,00"),",",""),SUBSTITUTE(TEXT(BH507,"0000000000000,00"),",",""))</f>
        <v>000000000000000</v>
      </c>
      <c r="BJ507" s="23">
        <f t="shared" si="2965"/>
        <v>0</v>
      </c>
      <c r="BK507" s="49" t="str">
        <f t="shared" ref="BK507" si="3250">IF(BJ507&lt;0,SUBSTITUTE(TEXT(BJ507,"000000000000,00"),",",""),SUBSTITUTE(TEXT(BJ507,"0000000000000,00"),",",""))</f>
        <v>000000000000000</v>
      </c>
      <c r="BL507" s="23">
        <f t="shared" si="2967"/>
        <v>0</v>
      </c>
      <c r="BM507" s="49" t="str">
        <f t="shared" ref="BM507" si="3251">IF(BL507&lt;0,SUBSTITUTE(TEXT(BL507,"000000000000,00"),",",""),SUBSTITUTE(TEXT(BL507,"0000000000000,00"),",",""))</f>
        <v>000000000000000</v>
      </c>
      <c r="BN507" t="str">
        <f t="shared" si="2969"/>
        <v>PES</v>
      </c>
      <c r="BO507" t="str">
        <f t="shared" si="2970"/>
        <v>0001000000</v>
      </c>
      <c r="BP507">
        <f t="shared" si="2971"/>
        <v>0</v>
      </c>
      <c r="BQ507">
        <f t="shared" si="2972"/>
        <v>0</v>
      </c>
      <c r="BR507" s="23">
        <f t="shared" si="2973"/>
        <v>0</v>
      </c>
      <c r="BS507" s="49" t="str">
        <f t="shared" si="2938"/>
        <v>000000000000000</v>
      </c>
      <c r="BT507" t="str">
        <f t="shared" si="2974"/>
        <v>00000000</v>
      </c>
      <c r="BU507" s="23">
        <f t="shared" si="2975"/>
        <v>0</v>
      </c>
      <c r="BV507" s="49" t="str">
        <f t="shared" si="2939"/>
        <v/>
      </c>
      <c r="BW507" s="52" t="str">
        <f t="shared" si="2976"/>
        <v/>
      </c>
      <c r="BX507" s="23">
        <f t="shared" si="2977"/>
        <v>0</v>
      </c>
      <c r="BY507" s="49" t="str">
        <f t="shared" si="2940"/>
        <v/>
      </c>
      <c r="BZ507" s="23">
        <f t="shared" si="2978"/>
        <v>0</v>
      </c>
      <c r="CA507" s="49" t="str">
        <f t="shared" si="2941"/>
        <v/>
      </c>
      <c r="CB507" s="52" t="str">
        <f t="shared" si="2979"/>
        <v/>
      </c>
      <c r="CC507" s="23">
        <f t="shared" si="2980"/>
        <v>0</v>
      </c>
      <c r="CD507" s="49" t="str">
        <f t="shared" si="2942"/>
        <v/>
      </c>
      <c r="CE507" s="56" t="str">
        <f>IF(CF507="","",MAX(CE$10:$CE506)+1)</f>
        <v/>
      </c>
      <c r="CF507" t="str">
        <f t="shared" si="2981"/>
        <v/>
      </c>
      <c r="CG507" s="22" t="str">
        <f>IF(CH507="","",MAX($CG$10:CG506)+1)</f>
        <v/>
      </c>
      <c r="CH507" s="22" t="str">
        <f t="shared" si="2926"/>
        <v/>
      </c>
      <c r="CI507" s="22" t="str">
        <f>IF(CJ507="","",MAX($CI$10:CI506)+1)</f>
        <v/>
      </c>
      <c r="CJ507" s="22" t="str">
        <f t="shared" si="2927"/>
        <v/>
      </c>
    </row>
    <row r="508" spans="2:88" x14ac:dyDescent="0.25">
      <c r="B508" s="37"/>
      <c r="C508" s="3"/>
      <c r="D508" s="77" t="str">
        <f t="shared" si="2913"/>
        <v/>
      </c>
      <c r="E508" s="38"/>
      <c r="F508" s="38"/>
      <c r="G508" s="78">
        <f t="shared" si="2928"/>
        <v>0</v>
      </c>
      <c r="H508" s="3">
        <v>80</v>
      </c>
      <c r="I508" s="77" t="str">
        <f t="shared" si="2914"/>
        <v/>
      </c>
      <c r="J508" s="32"/>
      <c r="K508" s="3"/>
      <c r="L508" s="39"/>
      <c r="M508" s="39"/>
      <c r="N508" s="39"/>
      <c r="O508" s="39"/>
      <c r="P508" s="39"/>
      <c r="Q508" s="39"/>
      <c r="R508" s="39"/>
      <c r="S508" s="39"/>
      <c r="T508" s="3" t="s">
        <v>645</v>
      </c>
      <c r="U508" s="77" t="str">
        <f t="shared" si="2915"/>
        <v/>
      </c>
      <c r="V508" s="39">
        <v>1</v>
      </c>
      <c r="W508" s="79">
        <f t="shared" si="2929"/>
        <v>0</v>
      </c>
      <c r="X508" s="3">
        <v>0</v>
      </c>
      <c r="Y508" s="77" t="str">
        <f t="shared" si="2916"/>
        <v/>
      </c>
      <c r="Z508" s="3"/>
      <c r="AA508" s="37" t="str">
        <f t="shared" si="2930"/>
        <v/>
      </c>
      <c r="AC508" s="40"/>
      <c r="AD508" s="7"/>
      <c r="AE508" s="77" t="str">
        <f t="shared" si="2917"/>
        <v/>
      </c>
      <c r="AF508" s="81">
        <f t="shared" si="2943"/>
        <v>0</v>
      </c>
      <c r="AG508" s="40"/>
      <c r="AH508" s="7"/>
      <c r="AI508" s="77" t="str">
        <f t="shared" si="2918"/>
        <v/>
      </c>
      <c r="AJ508" s="81">
        <f t="shared" si="2944"/>
        <v>0</v>
      </c>
      <c r="AK508" s="83">
        <f t="shared" si="2945"/>
        <v>0</v>
      </c>
      <c r="AL508" s="83">
        <f t="shared" si="2946"/>
        <v>0</v>
      </c>
      <c r="AN508" s="43">
        <f t="shared" si="2919"/>
        <v>0</v>
      </c>
      <c r="AP508" t="str">
        <f t="shared" si="2947"/>
        <v/>
      </c>
      <c r="AQ508" t="str">
        <f t="shared" si="2948"/>
        <v/>
      </c>
      <c r="AR508" t="str">
        <f t="shared" si="2949"/>
        <v/>
      </c>
      <c r="AS508" t="str">
        <f t="shared" si="2950"/>
        <v/>
      </c>
      <c r="AT508" t="str">
        <f t="shared" si="2951"/>
        <v/>
      </c>
      <c r="AU508" t="str">
        <f t="shared" si="2952"/>
        <v/>
      </c>
      <c r="AV508" t="str">
        <f t="shared" si="2953"/>
        <v/>
      </c>
      <c r="AW508" t="str">
        <f t="shared" si="2954"/>
        <v xml:space="preserve">                              </v>
      </c>
      <c r="AX508" s="23">
        <f t="shared" si="2955"/>
        <v>0</v>
      </c>
      <c r="AY508" s="49" t="str">
        <f t="shared" si="2931"/>
        <v>000000000000000</v>
      </c>
      <c r="AZ508" s="23">
        <f t="shared" si="2956"/>
        <v>0</v>
      </c>
      <c r="BA508" s="49" t="str">
        <f t="shared" si="2931"/>
        <v>000000000000000</v>
      </c>
      <c r="BB508" s="23">
        <f t="shared" si="2957"/>
        <v>0</v>
      </c>
      <c r="BC508" s="49" t="str">
        <f t="shared" ref="BC508" si="3252">IF(BB508&lt;0,SUBSTITUTE(TEXT(BB508,"000000000000,00"),",",""),SUBSTITUTE(TEXT(BB508,"0000000000000,00"),",",""))</f>
        <v>000000000000000</v>
      </c>
      <c r="BD508" s="23">
        <f t="shared" si="2959"/>
        <v>0</v>
      </c>
      <c r="BE508" s="49" t="str">
        <f t="shared" ref="BE508" si="3253">IF(BD508&lt;0,SUBSTITUTE(TEXT(BD508,"000000000000,00"),",",""),SUBSTITUTE(TEXT(BD508,"0000000000000,00"),",",""))</f>
        <v>000000000000000</v>
      </c>
      <c r="BF508" s="23">
        <f t="shared" si="2961"/>
        <v>0</v>
      </c>
      <c r="BG508" s="49" t="str">
        <f t="shared" ref="BG508" si="3254">IF(BF508&lt;0,SUBSTITUTE(TEXT(BF508,"000000000000,00"),",",""),SUBSTITUTE(TEXT(BF508,"0000000000000,00"),",",""))</f>
        <v>000000000000000</v>
      </c>
      <c r="BH508" s="23">
        <f t="shared" si="2963"/>
        <v>0</v>
      </c>
      <c r="BI508" s="49" t="str">
        <f t="shared" ref="BI508" si="3255">IF(BH508&lt;0,SUBSTITUTE(TEXT(BH508,"000000000000,00"),",",""),SUBSTITUTE(TEXT(BH508,"0000000000000,00"),",",""))</f>
        <v>000000000000000</v>
      </c>
      <c r="BJ508" s="23">
        <f t="shared" si="2965"/>
        <v>0</v>
      </c>
      <c r="BK508" s="49" t="str">
        <f t="shared" ref="BK508" si="3256">IF(BJ508&lt;0,SUBSTITUTE(TEXT(BJ508,"000000000000,00"),",",""),SUBSTITUTE(TEXT(BJ508,"0000000000000,00"),",",""))</f>
        <v>000000000000000</v>
      </c>
      <c r="BL508" s="23">
        <f t="shared" si="2967"/>
        <v>0</v>
      </c>
      <c r="BM508" s="49" t="str">
        <f t="shared" ref="BM508" si="3257">IF(BL508&lt;0,SUBSTITUTE(TEXT(BL508,"000000000000,00"),",",""),SUBSTITUTE(TEXT(BL508,"0000000000000,00"),",",""))</f>
        <v>000000000000000</v>
      </c>
      <c r="BN508" t="str">
        <f t="shared" si="2969"/>
        <v>PES</v>
      </c>
      <c r="BO508" t="str">
        <f t="shared" si="2970"/>
        <v>0001000000</v>
      </c>
      <c r="BP508">
        <f t="shared" si="2971"/>
        <v>0</v>
      </c>
      <c r="BQ508">
        <f t="shared" si="2972"/>
        <v>0</v>
      </c>
      <c r="BR508" s="23">
        <f t="shared" si="2973"/>
        <v>0</v>
      </c>
      <c r="BS508" s="49" t="str">
        <f t="shared" si="2938"/>
        <v>000000000000000</v>
      </c>
      <c r="BT508" t="str">
        <f t="shared" si="2974"/>
        <v>00000000</v>
      </c>
      <c r="BU508" s="23">
        <f t="shared" si="2975"/>
        <v>0</v>
      </c>
      <c r="BV508" s="49" t="str">
        <f t="shared" si="2939"/>
        <v/>
      </c>
      <c r="BW508" s="52" t="str">
        <f t="shared" si="2976"/>
        <v/>
      </c>
      <c r="BX508" s="23">
        <f t="shared" si="2977"/>
        <v>0</v>
      </c>
      <c r="BY508" s="49" t="str">
        <f t="shared" si="2940"/>
        <v/>
      </c>
      <c r="BZ508" s="23">
        <f t="shared" si="2978"/>
        <v>0</v>
      </c>
      <c r="CA508" s="49" t="str">
        <f t="shared" si="2941"/>
        <v/>
      </c>
      <c r="CB508" s="52" t="str">
        <f t="shared" si="2979"/>
        <v/>
      </c>
      <c r="CC508" s="23">
        <f t="shared" si="2980"/>
        <v>0</v>
      </c>
      <c r="CD508" s="49" t="str">
        <f t="shared" si="2942"/>
        <v/>
      </c>
      <c r="CE508" s="56" t="str">
        <f>IF(CF508="","",MAX(CE$10:$CE507)+1)</f>
        <v/>
      </c>
      <c r="CF508" t="str">
        <f t="shared" si="2981"/>
        <v/>
      </c>
      <c r="CG508" s="22" t="str">
        <f>IF(CH508="","",MAX($CG$10:CG507)+1)</f>
        <v/>
      </c>
      <c r="CH508" s="22" t="str">
        <f t="shared" si="2926"/>
        <v/>
      </c>
      <c r="CI508" s="22" t="str">
        <f>IF(CJ508="","",MAX($CI$10:CI507)+1)</f>
        <v/>
      </c>
      <c r="CJ508" s="22" t="str">
        <f t="shared" si="2927"/>
        <v/>
      </c>
    </row>
    <row r="509" spans="2:88" x14ac:dyDescent="0.25">
      <c r="B509" s="37"/>
      <c r="C509" s="3"/>
      <c r="D509" s="77" t="str">
        <f t="shared" si="2913"/>
        <v/>
      </c>
      <c r="E509" s="38"/>
      <c r="F509" s="38"/>
      <c r="G509" s="78">
        <f t="shared" si="2928"/>
        <v>0</v>
      </c>
      <c r="H509" s="3">
        <v>80</v>
      </c>
      <c r="I509" s="77" t="str">
        <f t="shared" si="2914"/>
        <v/>
      </c>
      <c r="J509" s="32"/>
      <c r="K509" s="3"/>
      <c r="L509" s="39"/>
      <c r="M509" s="39"/>
      <c r="N509" s="39"/>
      <c r="O509" s="39"/>
      <c r="P509" s="39"/>
      <c r="Q509" s="39"/>
      <c r="R509" s="39"/>
      <c r="S509" s="39"/>
      <c r="T509" s="3" t="s">
        <v>645</v>
      </c>
      <c r="U509" s="77" t="str">
        <f t="shared" si="2915"/>
        <v/>
      </c>
      <c r="V509" s="39">
        <v>1</v>
      </c>
      <c r="W509" s="79">
        <f t="shared" si="2929"/>
        <v>0</v>
      </c>
      <c r="X509" s="3">
        <v>0</v>
      </c>
      <c r="Y509" s="77" t="str">
        <f t="shared" si="2916"/>
        <v/>
      </c>
      <c r="Z509" s="3"/>
      <c r="AA509" s="37" t="str">
        <f t="shared" si="2930"/>
        <v/>
      </c>
      <c r="AC509" s="40"/>
      <c r="AD509" s="7"/>
      <c r="AE509" s="77" t="str">
        <f t="shared" si="2917"/>
        <v/>
      </c>
      <c r="AF509" s="81">
        <f t="shared" si="2943"/>
        <v>0</v>
      </c>
      <c r="AG509" s="40"/>
      <c r="AH509" s="7"/>
      <c r="AI509" s="77" t="str">
        <f t="shared" si="2918"/>
        <v/>
      </c>
      <c r="AJ509" s="81">
        <f t="shared" si="2944"/>
        <v>0</v>
      </c>
      <c r="AK509" s="83">
        <f t="shared" si="2945"/>
        <v>0</v>
      </c>
      <c r="AL509" s="83">
        <f t="shared" si="2946"/>
        <v>0</v>
      </c>
      <c r="AN509" s="43">
        <f t="shared" si="2919"/>
        <v>0</v>
      </c>
      <c r="AP509" t="str">
        <f t="shared" si="2947"/>
        <v/>
      </c>
      <c r="AQ509" t="str">
        <f t="shared" si="2948"/>
        <v/>
      </c>
      <c r="AR509" t="str">
        <f t="shared" si="2949"/>
        <v/>
      </c>
      <c r="AS509" t="str">
        <f t="shared" si="2950"/>
        <v/>
      </c>
      <c r="AT509" t="str">
        <f t="shared" si="2951"/>
        <v/>
      </c>
      <c r="AU509" t="str">
        <f t="shared" si="2952"/>
        <v/>
      </c>
      <c r="AV509" t="str">
        <f t="shared" si="2953"/>
        <v/>
      </c>
      <c r="AW509" t="str">
        <f t="shared" si="2954"/>
        <v xml:space="preserve">                              </v>
      </c>
      <c r="AX509" s="23">
        <f t="shared" si="2955"/>
        <v>0</v>
      </c>
      <c r="AY509" s="49" t="str">
        <f t="shared" si="2931"/>
        <v>000000000000000</v>
      </c>
      <c r="AZ509" s="23">
        <f t="shared" si="2956"/>
        <v>0</v>
      </c>
      <c r="BA509" s="49" t="str">
        <f t="shared" si="2931"/>
        <v>000000000000000</v>
      </c>
      <c r="BB509" s="23">
        <f t="shared" si="2957"/>
        <v>0</v>
      </c>
      <c r="BC509" s="49" t="str">
        <f t="shared" ref="BC509" si="3258">IF(BB509&lt;0,SUBSTITUTE(TEXT(BB509,"000000000000,00"),",",""),SUBSTITUTE(TEXT(BB509,"0000000000000,00"),",",""))</f>
        <v>000000000000000</v>
      </c>
      <c r="BD509" s="23">
        <f t="shared" si="2959"/>
        <v>0</v>
      </c>
      <c r="BE509" s="49" t="str">
        <f t="shared" ref="BE509" si="3259">IF(BD509&lt;0,SUBSTITUTE(TEXT(BD509,"000000000000,00"),",",""),SUBSTITUTE(TEXT(BD509,"0000000000000,00"),",",""))</f>
        <v>000000000000000</v>
      </c>
      <c r="BF509" s="23">
        <f t="shared" si="2961"/>
        <v>0</v>
      </c>
      <c r="BG509" s="49" t="str">
        <f t="shared" ref="BG509" si="3260">IF(BF509&lt;0,SUBSTITUTE(TEXT(BF509,"000000000000,00"),",",""),SUBSTITUTE(TEXT(BF509,"0000000000000,00"),",",""))</f>
        <v>000000000000000</v>
      </c>
      <c r="BH509" s="23">
        <f t="shared" si="2963"/>
        <v>0</v>
      </c>
      <c r="BI509" s="49" t="str">
        <f t="shared" ref="BI509" si="3261">IF(BH509&lt;0,SUBSTITUTE(TEXT(BH509,"000000000000,00"),",",""),SUBSTITUTE(TEXT(BH509,"0000000000000,00"),",",""))</f>
        <v>000000000000000</v>
      </c>
      <c r="BJ509" s="23">
        <f t="shared" si="2965"/>
        <v>0</v>
      </c>
      <c r="BK509" s="49" t="str">
        <f t="shared" ref="BK509" si="3262">IF(BJ509&lt;0,SUBSTITUTE(TEXT(BJ509,"000000000000,00"),",",""),SUBSTITUTE(TEXT(BJ509,"0000000000000,00"),",",""))</f>
        <v>000000000000000</v>
      </c>
      <c r="BL509" s="23">
        <f t="shared" si="2967"/>
        <v>0</v>
      </c>
      <c r="BM509" s="49" t="str">
        <f t="shared" ref="BM509" si="3263">IF(BL509&lt;0,SUBSTITUTE(TEXT(BL509,"000000000000,00"),",",""),SUBSTITUTE(TEXT(BL509,"0000000000000,00"),",",""))</f>
        <v>000000000000000</v>
      </c>
      <c r="BN509" t="str">
        <f t="shared" si="2969"/>
        <v>PES</v>
      </c>
      <c r="BO509" t="str">
        <f t="shared" si="2970"/>
        <v>0001000000</v>
      </c>
      <c r="BP509">
        <f t="shared" si="2971"/>
        <v>0</v>
      </c>
      <c r="BQ509">
        <f t="shared" si="2972"/>
        <v>0</v>
      </c>
      <c r="BR509" s="23">
        <f t="shared" si="2973"/>
        <v>0</v>
      </c>
      <c r="BS509" s="49" t="str">
        <f t="shared" si="2938"/>
        <v>000000000000000</v>
      </c>
      <c r="BT509" t="str">
        <f t="shared" si="2974"/>
        <v>00000000</v>
      </c>
      <c r="BU509" s="23">
        <f t="shared" si="2975"/>
        <v>0</v>
      </c>
      <c r="BV509" s="49" t="str">
        <f t="shared" si="2939"/>
        <v/>
      </c>
      <c r="BW509" s="52" t="str">
        <f t="shared" si="2976"/>
        <v/>
      </c>
      <c r="BX509" s="23">
        <f t="shared" si="2977"/>
        <v>0</v>
      </c>
      <c r="BY509" s="49" t="str">
        <f t="shared" si="2940"/>
        <v/>
      </c>
      <c r="BZ509" s="23">
        <f t="shared" si="2978"/>
        <v>0</v>
      </c>
      <c r="CA509" s="49" t="str">
        <f t="shared" si="2941"/>
        <v/>
      </c>
      <c r="CB509" s="52" t="str">
        <f t="shared" si="2979"/>
        <v/>
      </c>
      <c r="CC509" s="23">
        <f t="shared" si="2980"/>
        <v>0</v>
      </c>
      <c r="CD509" s="49" t="str">
        <f t="shared" si="2942"/>
        <v/>
      </c>
      <c r="CE509" s="56" t="str">
        <f>IF(CF509="","",MAX(CE$10:$CE508)+1)</f>
        <v/>
      </c>
      <c r="CF509" t="str">
        <f t="shared" si="2981"/>
        <v/>
      </c>
      <c r="CG509" s="22" t="str">
        <f>IF(CH509="","",MAX($CG$10:CG508)+1)</f>
        <v/>
      </c>
      <c r="CH509" s="22" t="str">
        <f t="shared" si="2926"/>
        <v/>
      </c>
      <c r="CI509" s="22" t="str">
        <f>IF(CJ509="","",MAX($CI$10:CI508)+1)</f>
        <v/>
      </c>
      <c r="CJ509" s="22" t="str">
        <f t="shared" si="2927"/>
        <v/>
      </c>
    </row>
    <row r="510" spans="2:88" x14ac:dyDescent="0.25">
      <c r="B510" s="37"/>
      <c r="C510" s="3"/>
      <c r="D510" s="77" t="str">
        <f t="shared" si="2913"/>
        <v/>
      </c>
      <c r="E510" s="38"/>
      <c r="F510" s="38"/>
      <c r="G510" s="78">
        <f t="shared" si="2928"/>
        <v>0</v>
      </c>
      <c r="H510" s="3">
        <v>80</v>
      </c>
      <c r="I510" s="77" t="str">
        <f t="shared" si="2914"/>
        <v/>
      </c>
      <c r="J510" s="32"/>
      <c r="K510" s="3"/>
      <c r="L510" s="39"/>
      <c r="M510" s="39"/>
      <c r="N510" s="39"/>
      <c r="O510" s="39"/>
      <c r="P510" s="39"/>
      <c r="Q510" s="39"/>
      <c r="R510" s="39"/>
      <c r="S510" s="39"/>
      <c r="T510" s="3" t="s">
        <v>645</v>
      </c>
      <c r="U510" s="77" t="str">
        <f t="shared" si="2915"/>
        <v/>
      </c>
      <c r="V510" s="39">
        <v>1</v>
      </c>
      <c r="W510" s="79">
        <f t="shared" si="2929"/>
        <v>0</v>
      </c>
      <c r="X510" s="3">
        <v>0</v>
      </c>
      <c r="Y510" s="77" t="str">
        <f t="shared" si="2916"/>
        <v/>
      </c>
      <c r="Z510" s="3"/>
      <c r="AA510" s="37" t="str">
        <f t="shared" si="2930"/>
        <v/>
      </c>
      <c r="AC510" s="40"/>
      <c r="AD510" s="7"/>
      <c r="AE510" s="77" t="str">
        <f t="shared" si="2917"/>
        <v/>
      </c>
      <c r="AF510" s="81">
        <f t="shared" si="2943"/>
        <v>0</v>
      </c>
      <c r="AG510" s="40"/>
      <c r="AH510" s="7"/>
      <c r="AI510" s="77" t="str">
        <f t="shared" si="2918"/>
        <v/>
      </c>
      <c r="AJ510" s="81">
        <f t="shared" si="2944"/>
        <v>0</v>
      </c>
      <c r="AK510" s="83">
        <f t="shared" si="2945"/>
        <v>0</v>
      </c>
      <c r="AL510" s="83">
        <f t="shared" si="2946"/>
        <v>0</v>
      </c>
      <c r="AN510" s="43">
        <f t="shared" si="2919"/>
        <v>0</v>
      </c>
      <c r="AP510" t="str">
        <f t="shared" si="2947"/>
        <v/>
      </c>
      <c r="AQ510" t="str">
        <f t="shared" si="2948"/>
        <v/>
      </c>
      <c r="AR510" t="str">
        <f t="shared" si="2949"/>
        <v/>
      </c>
      <c r="AS510" t="str">
        <f t="shared" si="2950"/>
        <v/>
      </c>
      <c r="AT510" t="str">
        <f t="shared" si="2951"/>
        <v/>
      </c>
      <c r="AU510" t="str">
        <f t="shared" si="2952"/>
        <v/>
      </c>
      <c r="AV510" t="str">
        <f t="shared" si="2953"/>
        <v/>
      </c>
      <c r="AW510" t="str">
        <f t="shared" si="2954"/>
        <v xml:space="preserve">                              </v>
      </c>
      <c r="AX510" s="23">
        <f t="shared" si="2955"/>
        <v>0</v>
      </c>
      <c r="AY510" s="49" t="str">
        <f t="shared" si="2931"/>
        <v>000000000000000</v>
      </c>
      <c r="AZ510" s="23">
        <f t="shared" si="2956"/>
        <v>0</v>
      </c>
      <c r="BA510" s="49" t="str">
        <f t="shared" si="2931"/>
        <v>000000000000000</v>
      </c>
      <c r="BB510" s="23">
        <f t="shared" si="2957"/>
        <v>0</v>
      </c>
      <c r="BC510" s="49" t="str">
        <f t="shared" ref="BC510" si="3264">IF(BB510&lt;0,SUBSTITUTE(TEXT(BB510,"000000000000,00"),",",""),SUBSTITUTE(TEXT(BB510,"0000000000000,00"),",",""))</f>
        <v>000000000000000</v>
      </c>
      <c r="BD510" s="23">
        <f t="shared" si="2959"/>
        <v>0</v>
      </c>
      <c r="BE510" s="49" t="str">
        <f t="shared" ref="BE510" si="3265">IF(BD510&lt;0,SUBSTITUTE(TEXT(BD510,"000000000000,00"),",",""),SUBSTITUTE(TEXT(BD510,"0000000000000,00"),",",""))</f>
        <v>000000000000000</v>
      </c>
      <c r="BF510" s="23">
        <f t="shared" si="2961"/>
        <v>0</v>
      </c>
      <c r="BG510" s="49" t="str">
        <f t="shared" ref="BG510" si="3266">IF(BF510&lt;0,SUBSTITUTE(TEXT(BF510,"000000000000,00"),",",""),SUBSTITUTE(TEXT(BF510,"0000000000000,00"),",",""))</f>
        <v>000000000000000</v>
      </c>
      <c r="BH510" s="23">
        <f t="shared" si="2963"/>
        <v>0</v>
      </c>
      <c r="BI510" s="49" t="str">
        <f t="shared" ref="BI510" si="3267">IF(BH510&lt;0,SUBSTITUTE(TEXT(BH510,"000000000000,00"),",",""),SUBSTITUTE(TEXT(BH510,"0000000000000,00"),",",""))</f>
        <v>000000000000000</v>
      </c>
      <c r="BJ510" s="23">
        <f t="shared" si="2965"/>
        <v>0</v>
      </c>
      <c r="BK510" s="49" t="str">
        <f t="shared" ref="BK510" si="3268">IF(BJ510&lt;0,SUBSTITUTE(TEXT(BJ510,"000000000000,00"),",",""),SUBSTITUTE(TEXT(BJ510,"0000000000000,00"),",",""))</f>
        <v>000000000000000</v>
      </c>
      <c r="BL510" s="23">
        <f t="shared" si="2967"/>
        <v>0</v>
      </c>
      <c r="BM510" s="49" t="str">
        <f t="shared" ref="BM510" si="3269">IF(BL510&lt;0,SUBSTITUTE(TEXT(BL510,"000000000000,00"),",",""),SUBSTITUTE(TEXT(BL510,"0000000000000,00"),",",""))</f>
        <v>000000000000000</v>
      </c>
      <c r="BN510" t="str">
        <f t="shared" si="2969"/>
        <v>PES</v>
      </c>
      <c r="BO510" t="str">
        <f t="shared" si="2970"/>
        <v>0001000000</v>
      </c>
      <c r="BP510">
        <f t="shared" si="2971"/>
        <v>0</v>
      </c>
      <c r="BQ510">
        <f t="shared" si="2972"/>
        <v>0</v>
      </c>
      <c r="BR510" s="23">
        <f t="shared" si="2973"/>
        <v>0</v>
      </c>
      <c r="BS510" s="49" t="str">
        <f t="shared" si="2938"/>
        <v>000000000000000</v>
      </c>
      <c r="BT510" t="str">
        <f t="shared" si="2974"/>
        <v>00000000</v>
      </c>
      <c r="BU510" s="23">
        <f t="shared" si="2975"/>
        <v>0</v>
      </c>
      <c r="BV510" s="49" t="str">
        <f t="shared" si="2939"/>
        <v/>
      </c>
      <c r="BW510" s="52" t="str">
        <f t="shared" si="2976"/>
        <v/>
      </c>
      <c r="BX510" s="23">
        <f t="shared" si="2977"/>
        <v>0</v>
      </c>
      <c r="BY510" s="49" t="str">
        <f t="shared" si="2940"/>
        <v/>
      </c>
      <c r="BZ510" s="23">
        <f t="shared" si="2978"/>
        <v>0</v>
      </c>
      <c r="CA510" s="49" t="str">
        <f t="shared" si="2941"/>
        <v/>
      </c>
      <c r="CB510" s="52" t="str">
        <f t="shared" si="2979"/>
        <v/>
      </c>
      <c r="CC510" s="23">
        <f t="shared" si="2980"/>
        <v>0</v>
      </c>
      <c r="CD510" s="49" t="str">
        <f t="shared" si="2942"/>
        <v/>
      </c>
      <c r="CE510" s="56" t="str">
        <f>IF(CF510="","",MAX(CE$10:$CE509)+1)</f>
        <v/>
      </c>
      <c r="CF510" t="str">
        <f t="shared" si="2981"/>
        <v/>
      </c>
      <c r="CG510" s="22" t="str">
        <f>IF(CH510="","",MAX($CG$10:CG509)+1)</f>
        <v/>
      </c>
      <c r="CH510" s="22" t="str">
        <f t="shared" si="2926"/>
        <v/>
      </c>
      <c r="CI510" s="22" t="str">
        <f>IF(CJ510="","",MAX($CI$10:CI509)+1)</f>
        <v/>
      </c>
      <c r="CJ510" s="22" t="str">
        <f t="shared" si="2927"/>
        <v/>
      </c>
    </row>
    <row r="511" spans="2:88" x14ac:dyDescent="0.25">
      <c r="B511" s="37"/>
      <c r="C511" s="3"/>
      <c r="D511" s="77" t="str">
        <f t="shared" si="2913"/>
        <v/>
      </c>
      <c r="E511" s="38"/>
      <c r="F511" s="38"/>
      <c r="G511" s="78">
        <f t="shared" si="2928"/>
        <v>0</v>
      </c>
      <c r="H511" s="3">
        <v>80</v>
      </c>
      <c r="I511" s="77" t="str">
        <f t="shared" si="2914"/>
        <v/>
      </c>
      <c r="J511" s="32"/>
      <c r="K511" s="3"/>
      <c r="L511" s="39"/>
      <c r="M511" s="39"/>
      <c r="N511" s="39"/>
      <c r="O511" s="39"/>
      <c r="P511" s="39"/>
      <c r="Q511" s="39"/>
      <c r="R511" s="39"/>
      <c r="S511" s="39"/>
      <c r="T511" s="3" t="s">
        <v>645</v>
      </c>
      <c r="U511" s="77" t="str">
        <f t="shared" si="2915"/>
        <v/>
      </c>
      <c r="V511" s="39">
        <v>1</v>
      </c>
      <c r="W511" s="79">
        <f t="shared" si="2929"/>
        <v>0</v>
      </c>
      <c r="X511" s="3">
        <v>0</v>
      </c>
      <c r="Y511" s="77" t="str">
        <f t="shared" si="2916"/>
        <v/>
      </c>
      <c r="Z511" s="3"/>
      <c r="AA511" s="37" t="str">
        <f t="shared" si="2930"/>
        <v/>
      </c>
      <c r="AC511" s="40"/>
      <c r="AD511" s="7"/>
      <c r="AE511" s="77" t="str">
        <f t="shared" si="2917"/>
        <v/>
      </c>
      <c r="AF511" s="81">
        <f t="shared" si="2943"/>
        <v>0</v>
      </c>
      <c r="AG511" s="40"/>
      <c r="AH511" s="7"/>
      <c r="AI511" s="77" t="str">
        <f t="shared" si="2918"/>
        <v/>
      </c>
      <c r="AJ511" s="81">
        <f t="shared" si="2944"/>
        <v>0</v>
      </c>
      <c r="AK511" s="83">
        <f t="shared" si="2945"/>
        <v>0</v>
      </c>
      <c r="AL511" s="83">
        <f t="shared" si="2946"/>
        <v>0</v>
      </c>
      <c r="AN511" s="43">
        <f t="shared" si="2919"/>
        <v>0</v>
      </c>
      <c r="AP511" t="str">
        <f t="shared" si="2947"/>
        <v/>
      </c>
      <c r="AQ511" t="str">
        <f t="shared" si="2948"/>
        <v/>
      </c>
      <c r="AR511" t="str">
        <f t="shared" si="2949"/>
        <v/>
      </c>
      <c r="AS511" t="str">
        <f t="shared" si="2950"/>
        <v/>
      </c>
      <c r="AT511" t="str">
        <f t="shared" si="2951"/>
        <v/>
      </c>
      <c r="AU511" t="str">
        <f t="shared" si="2952"/>
        <v/>
      </c>
      <c r="AV511" t="str">
        <f t="shared" si="2953"/>
        <v/>
      </c>
      <c r="AW511" t="str">
        <f t="shared" si="2954"/>
        <v xml:space="preserve">                              </v>
      </c>
      <c r="AX511" s="23">
        <f t="shared" si="2955"/>
        <v>0</v>
      </c>
      <c r="AY511" s="49" t="str">
        <f t="shared" si="2931"/>
        <v>000000000000000</v>
      </c>
      <c r="AZ511" s="23">
        <f t="shared" si="2956"/>
        <v>0</v>
      </c>
      <c r="BA511" s="49" t="str">
        <f t="shared" si="2931"/>
        <v>000000000000000</v>
      </c>
      <c r="BB511" s="23">
        <f t="shared" si="2957"/>
        <v>0</v>
      </c>
      <c r="BC511" s="49" t="str">
        <f t="shared" ref="BC511" si="3270">IF(BB511&lt;0,SUBSTITUTE(TEXT(BB511,"000000000000,00"),",",""),SUBSTITUTE(TEXT(BB511,"0000000000000,00"),",",""))</f>
        <v>000000000000000</v>
      </c>
      <c r="BD511" s="23">
        <f t="shared" si="2959"/>
        <v>0</v>
      </c>
      <c r="BE511" s="49" t="str">
        <f t="shared" ref="BE511" si="3271">IF(BD511&lt;0,SUBSTITUTE(TEXT(BD511,"000000000000,00"),",",""),SUBSTITUTE(TEXT(BD511,"0000000000000,00"),",",""))</f>
        <v>000000000000000</v>
      </c>
      <c r="BF511" s="23">
        <f t="shared" si="2961"/>
        <v>0</v>
      </c>
      <c r="BG511" s="49" t="str">
        <f t="shared" ref="BG511" si="3272">IF(BF511&lt;0,SUBSTITUTE(TEXT(BF511,"000000000000,00"),",",""),SUBSTITUTE(TEXT(BF511,"0000000000000,00"),",",""))</f>
        <v>000000000000000</v>
      </c>
      <c r="BH511" s="23">
        <f t="shared" si="2963"/>
        <v>0</v>
      </c>
      <c r="BI511" s="49" t="str">
        <f t="shared" ref="BI511" si="3273">IF(BH511&lt;0,SUBSTITUTE(TEXT(BH511,"000000000000,00"),",",""),SUBSTITUTE(TEXT(BH511,"0000000000000,00"),",",""))</f>
        <v>000000000000000</v>
      </c>
      <c r="BJ511" s="23">
        <f t="shared" si="2965"/>
        <v>0</v>
      </c>
      <c r="BK511" s="49" t="str">
        <f t="shared" ref="BK511" si="3274">IF(BJ511&lt;0,SUBSTITUTE(TEXT(BJ511,"000000000000,00"),",",""),SUBSTITUTE(TEXT(BJ511,"0000000000000,00"),",",""))</f>
        <v>000000000000000</v>
      </c>
      <c r="BL511" s="23">
        <f t="shared" si="2967"/>
        <v>0</v>
      </c>
      <c r="BM511" s="49" t="str">
        <f t="shared" ref="BM511" si="3275">IF(BL511&lt;0,SUBSTITUTE(TEXT(BL511,"000000000000,00"),",",""),SUBSTITUTE(TEXT(BL511,"0000000000000,00"),",",""))</f>
        <v>000000000000000</v>
      </c>
      <c r="BN511" t="str">
        <f t="shared" si="2969"/>
        <v>PES</v>
      </c>
      <c r="BO511" t="str">
        <f t="shared" si="2970"/>
        <v>0001000000</v>
      </c>
      <c r="BP511">
        <f t="shared" si="2971"/>
        <v>0</v>
      </c>
      <c r="BQ511">
        <f t="shared" si="2972"/>
        <v>0</v>
      </c>
      <c r="BR511" s="23">
        <f t="shared" si="2973"/>
        <v>0</v>
      </c>
      <c r="BS511" s="49" t="str">
        <f t="shared" si="2938"/>
        <v>000000000000000</v>
      </c>
      <c r="BT511" t="str">
        <f t="shared" si="2974"/>
        <v>00000000</v>
      </c>
      <c r="BU511" s="23">
        <f t="shared" si="2975"/>
        <v>0</v>
      </c>
      <c r="BV511" s="49" t="str">
        <f t="shared" si="2939"/>
        <v/>
      </c>
      <c r="BW511" s="52" t="str">
        <f t="shared" si="2976"/>
        <v/>
      </c>
      <c r="BX511" s="23">
        <f t="shared" si="2977"/>
        <v>0</v>
      </c>
      <c r="BY511" s="49" t="str">
        <f t="shared" si="2940"/>
        <v/>
      </c>
      <c r="BZ511" s="23">
        <f t="shared" si="2978"/>
        <v>0</v>
      </c>
      <c r="CA511" s="49" t="str">
        <f t="shared" si="2941"/>
        <v/>
      </c>
      <c r="CB511" s="52" t="str">
        <f t="shared" si="2979"/>
        <v/>
      </c>
      <c r="CC511" s="23">
        <f t="shared" si="2980"/>
        <v>0</v>
      </c>
      <c r="CD511" s="49" t="str">
        <f t="shared" si="2942"/>
        <v/>
      </c>
      <c r="CE511" s="56" t="str">
        <f>IF(CF511="","",MAX(CE$10:$CE510)+1)</f>
        <v/>
      </c>
      <c r="CF511" t="str">
        <f t="shared" si="2981"/>
        <v/>
      </c>
      <c r="CG511" s="22" t="str">
        <f>IF(CH511="","",MAX($CG$10:CG510)+1)</f>
        <v/>
      </c>
      <c r="CH511" s="22" t="str">
        <f t="shared" si="2926"/>
        <v/>
      </c>
      <c r="CI511" s="22" t="str">
        <f>IF(CJ511="","",MAX($CI$10:CI510)+1)</f>
        <v/>
      </c>
      <c r="CJ511" s="22" t="str">
        <f t="shared" si="2927"/>
        <v/>
      </c>
    </row>
    <row r="512" spans="2:88" x14ac:dyDescent="0.25">
      <c r="B512" s="37"/>
      <c r="C512" s="3"/>
      <c r="D512" s="77" t="str">
        <f t="shared" si="2913"/>
        <v/>
      </c>
      <c r="E512" s="38"/>
      <c r="F512" s="38"/>
      <c r="G512" s="78">
        <f t="shared" si="2928"/>
        <v>0</v>
      </c>
      <c r="H512" s="3">
        <v>80</v>
      </c>
      <c r="I512" s="77" t="str">
        <f t="shared" si="2914"/>
        <v/>
      </c>
      <c r="J512" s="32"/>
      <c r="K512" s="3"/>
      <c r="L512" s="39"/>
      <c r="M512" s="39"/>
      <c r="N512" s="39"/>
      <c r="O512" s="39"/>
      <c r="P512" s="39"/>
      <c r="Q512" s="39"/>
      <c r="R512" s="39"/>
      <c r="S512" s="39"/>
      <c r="T512" s="3" t="s">
        <v>645</v>
      </c>
      <c r="U512" s="77" t="str">
        <f t="shared" si="2915"/>
        <v/>
      </c>
      <c r="V512" s="39">
        <v>1</v>
      </c>
      <c r="W512" s="79">
        <f t="shared" si="2929"/>
        <v>0</v>
      </c>
      <c r="X512" s="3">
        <v>0</v>
      </c>
      <c r="Y512" s="77" t="str">
        <f t="shared" si="2916"/>
        <v/>
      </c>
      <c r="Z512" s="3"/>
      <c r="AA512" s="37" t="str">
        <f t="shared" si="2930"/>
        <v/>
      </c>
      <c r="AC512" s="40"/>
      <c r="AD512" s="7"/>
      <c r="AE512" s="77" t="str">
        <f t="shared" si="2917"/>
        <v/>
      </c>
      <c r="AF512" s="81">
        <f t="shared" si="2943"/>
        <v>0</v>
      </c>
      <c r="AG512" s="40"/>
      <c r="AH512" s="7"/>
      <c r="AI512" s="77" t="str">
        <f t="shared" si="2918"/>
        <v/>
      </c>
      <c r="AJ512" s="81">
        <f t="shared" si="2944"/>
        <v>0</v>
      </c>
      <c r="AK512" s="83">
        <f t="shared" si="2945"/>
        <v>0</v>
      </c>
      <c r="AL512" s="83">
        <f t="shared" si="2946"/>
        <v>0</v>
      </c>
      <c r="AN512" s="43">
        <f t="shared" si="2919"/>
        <v>0</v>
      </c>
      <c r="AP512" t="str">
        <f t="shared" si="2947"/>
        <v/>
      </c>
      <c r="AQ512" t="str">
        <f t="shared" si="2948"/>
        <v/>
      </c>
      <c r="AR512" t="str">
        <f t="shared" si="2949"/>
        <v/>
      </c>
      <c r="AS512" t="str">
        <f t="shared" si="2950"/>
        <v/>
      </c>
      <c r="AT512" t="str">
        <f t="shared" si="2951"/>
        <v/>
      </c>
      <c r="AU512" t="str">
        <f t="shared" si="2952"/>
        <v/>
      </c>
      <c r="AV512" t="str">
        <f t="shared" si="2953"/>
        <v/>
      </c>
      <c r="AW512" t="str">
        <f t="shared" si="2954"/>
        <v xml:space="preserve">                              </v>
      </c>
      <c r="AX512" s="23">
        <f t="shared" si="2955"/>
        <v>0</v>
      </c>
      <c r="AY512" s="49" t="str">
        <f t="shared" si="2931"/>
        <v>000000000000000</v>
      </c>
      <c r="AZ512" s="23">
        <f t="shared" si="2956"/>
        <v>0</v>
      </c>
      <c r="BA512" s="49" t="str">
        <f t="shared" si="2931"/>
        <v>000000000000000</v>
      </c>
      <c r="BB512" s="23">
        <f t="shared" si="2957"/>
        <v>0</v>
      </c>
      <c r="BC512" s="49" t="str">
        <f t="shared" ref="BC512" si="3276">IF(BB512&lt;0,SUBSTITUTE(TEXT(BB512,"000000000000,00"),",",""),SUBSTITUTE(TEXT(BB512,"0000000000000,00"),",",""))</f>
        <v>000000000000000</v>
      </c>
      <c r="BD512" s="23">
        <f t="shared" si="2959"/>
        <v>0</v>
      </c>
      <c r="BE512" s="49" t="str">
        <f t="shared" ref="BE512" si="3277">IF(BD512&lt;0,SUBSTITUTE(TEXT(BD512,"000000000000,00"),",",""),SUBSTITUTE(TEXT(BD512,"0000000000000,00"),",",""))</f>
        <v>000000000000000</v>
      </c>
      <c r="BF512" s="23">
        <f t="shared" si="2961"/>
        <v>0</v>
      </c>
      <c r="BG512" s="49" t="str">
        <f t="shared" ref="BG512" si="3278">IF(BF512&lt;0,SUBSTITUTE(TEXT(BF512,"000000000000,00"),",",""),SUBSTITUTE(TEXT(BF512,"0000000000000,00"),",",""))</f>
        <v>000000000000000</v>
      </c>
      <c r="BH512" s="23">
        <f t="shared" si="2963"/>
        <v>0</v>
      </c>
      <c r="BI512" s="49" t="str">
        <f t="shared" ref="BI512" si="3279">IF(BH512&lt;0,SUBSTITUTE(TEXT(BH512,"000000000000,00"),",",""),SUBSTITUTE(TEXT(BH512,"0000000000000,00"),",",""))</f>
        <v>000000000000000</v>
      </c>
      <c r="BJ512" s="23">
        <f t="shared" si="2965"/>
        <v>0</v>
      </c>
      <c r="BK512" s="49" t="str">
        <f t="shared" ref="BK512" si="3280">IF(BJ512&lt;0,SUBSTITUTE(TEXT(BJ512,"000000000000,00"),",",""),SUBSTITUTE(TEXT(BJ512,"0000000000000,00"),",",""))</f>
        <v>000000000000000</v>
      </c>
      <c r="BL512" s="23">
        <f t="shared" si="2967"/>
        <v>0</v>
      </c>
      <c r="BM512" s="49" t="str">
        <f t="shared" ref="BM512" si="3281">IF(BL512&lt;0,SUBSTITUTE(TEXT(BL512,"000000000000,00"),",",""),SUBSTITUTE(TEXT(BL512,"0000000000000,00"),",",""))</f>
        <v>000000000000000</v>
      </c>
      <c r="BN512" t="str">
        <f t="shared" si="2969"/>
        <v>PES</v>
      </c>
      <c r="BO512" t="str">
        <f t="shared" si="2970"/>
        <v>0001000000</v>
      </c>
      <c r="BP512">
        <f t="shared" si="2971"/>
        <v>0</v>
      </c>
      <c r="BQ512">
        <f t="shared" si="2972"/>
        <v>0</v>
      </c>
      <c r="BR512" s="23">
        <f t="shared" si="2973"/>
        <v>0</v>
      </c>
      <c r="BS512" s="49" t="str">
        <f t="shared" si="2938"/>
        <v>000000000000000</v>
      </c>
      <c r="BT512" t="str">
        <f t="shared" si="2974"/>
        <v>00000000</v>
      </c>
      <c r="BU512" s="23">
        <f t="shared" si="2975"/>
        <v>0</v>
      </c>
      <c r="BV512" s="49" t="str">
        <f t="shared" si="2939"/>
        <v/>
      </c>
      <c r="BW512" s="52" t="str">
        <f t="shared" si="2976"/>
        <v/>
      </c>
      <c r="BX512" s="23">
        <f t="shared" si="2977"/>
        <v>0</v>
      </c>
      <c r="BY512" s="49" t="str">
        <f t="shared" si="2940"/>
        <v/>
      </c>
      <c r="BZ512" s="23">
        <f t="shared" si="2978"/>
        <v>0</v>
      </c>
      <c r="CA512" s="49" t="str">
        <f t="shared" si="2941"/>
        <v/>
      </c>
      <c r="CB512" s="52" t="str">
        <f t="shared" si="2979"/>
        <v/>
      </c>
      <c r="CC512" s="23">
        <f t="shared" si="2980"/>
        <v>0</v>
      </c>
      <c r="CD512" s="49" t="str">
        <f t="shared" si="2942"/>
        <v/>
      </c>
      <c r="CE512" s="56" t="str">
        <f>IF(CF512="","",MAX(CE$10:$CE511)+1)</f>
        <v/>
      </c>
      <c r="CF512" t="str">
        <f t="shared" si="2981"/>
        <v/>
      </c>
      <c r="CG512" s="22" t="str">
        <f>IF(CH512="","",MAX($CG$10:CG511)+1)</f>
        <v/>
      </c>
      <c r="CH512" s="22" t="str">
        <f t="shared" si="2926"/>
        <v/>
      </c>
      <c r="CI512" s="22" t="str">
        <f>IF(CJ512="","",MAX($CI$10:CI511)+1)</f>
        <v/>
      </c>
      <c r="CJ512" s="22" t="str">
        <f t="shared" si="2927"/>
        <v/>
      </c>
    </row>
    <row r="513" spans="2:88" x14ac:dyDescent="0.25">
      <c r="B513" s="37"/>
      <c r="C513" s="3"/>
      <c r="D513" s="77" t="str">
        <f t="shared" si="2913"/>
        <v/>
      </c>
      <c r="E513" s="38"/>
      <c r="F513" s="38"/>
      <c r="G513" s="78">
        <f t="shared" si="2928"/>
        <v>0</v>
      </c>
      <c r="H513" s="3">
        <v>80</v>
      </c>
      <c r="I513" s="77" t="str">
        <f t="shared" si="2914"/>
        <v/>
      </c>
      <c r="J513" s="32"/>
      <c r="K513" s="3"/>
      <c r="L513" s="39"/>
      <c r="M513" s="39"/>
      <c r="N513" s="39"/>
      <c r="O513" s="39"/>
      <c r="P513" s="39"/>
      <c r="Q513" s="39"/>
      <c r="R513" s="39"/>
      <c r="S513" s="39"/>
      <c r="T513" s="3" t="s">
        <v>645</v>
      </c>
      <c r="U513" s="77" t="str">
        <f t="shared" si="2915"/>
        <v/>
      </c>
      <c r="V513" s="39">
        <v>1</v>
      </c>
      <c r="W513" s="79">
        <f t="shared" si="2929"/>
        <v>0</v>
      </c>
      <c r="X513" s="3">
        <v>0</v>
      </c>
      <c r="Y513" s="77" t="str">
        <f t="shared" si="2916"/>
        <v/>
      </c>
      <c r="Z513" s="3"/>
      <c r="AA513" s="37" t="str">
        <f t="shared" si="2930"/>
        <v/>
      </c>
      <c r="AC513" s="40"/>
      <c r="AD513" s="7"/>
      <c r="AE513" s="77" t="str">
        <f t="shared" si="2917"/>
        <v/>
      </c>
      <c r="AF513" s="81">
        <f t="shared" si="2943"/>
        <v>0</v>
      </c>
      <c r="AG513" s="40"/>
      <c r="AH513" s="7"/>
      <c r="AI513" s="77" t="str">
        <f t="shared" si="2918"/>
        <v/>
      </c>
      <c r="AJ513" s="81">
        <f t="shared" si="2944"/>
        <v>0</v>
      </c>
      <c r="AK513" s="83">
        <f t="shared" si="2945"/>
        <v>0</v>
      </c>
      <c r="AL513" s="83">
        <f t="shared" si="2946"/>
        <v>0</v>
      </c>
      <c r="AN513" s="43">
        <f t="shared" si="2919"/>
        <v>0</v>
      </c>
      <c r="AP513" t="str">
        <f t="shared" si="2947"/>
        <v/>
      </c>
      <c r="AQ513" t="str">
        <f t="shared" si="2948"/>
        <v/>
      </c>
      <c r="AR513" t="str">
        <f t="shared" si="2949"/>
        <v/>
      </c>
      <c r="AS513" t="str">
        <f t="shared" si="2950"/>
        <v/>
      </c>
      <c r="AT513" t="str">
        <f t="shared" si="2951"/>
        <v/>
      </c>
      <c r="AU513" t="str">
        <f t="shared" si="2952"/>
        <v/>
      </c>
      <c r="AV513" t="str">
        <f t="shared" si="2953"/>
        <v/>
      </c>
      <c r="AW513" t="str">
        <f t="shared" si="2954"/>
        <v xml:space="preserve">                              </v>
      </c>
      <c r="AX513" s="23">
        <f t="shared" si="2955"/>
        <v>0</v>
      </c>
      <c r="AY513" s="49" t="str">
        <f t="shared" si="2931"/>
        <v>000000000000000</v>
      </c>
      <c r="AZ513" s="23">
        <f t="shared" si="2956"/>
        <v>0</v>
      </c>
      <c r="BA513" s="49" t="str">
        <f t="shared" si="2931"/>
        <v>000000000000000</v>
      </c>
      <c r="BB513" s="23">
        <f t="shared" si="2957"/>
        <v>0</v>
      </c>
      <c r="BC513" s="49" t="str">
        <f t="shared" ref="BC513" si="3282">IF(BB513&lt;0,SUBSTITUTE(TEXT(BB513,"000000000000,00"),",",""),SUBSTITUTE(TEXT(BB513,"0000000000000,00"),",",""))</f>
        <v>000000000000000</v>
      </c>
      <c r="BD513" s="23">
        <f t="shared" si="2959"/>
        <v>0</v>
      </c>
      <c r="BE513" s="49" t="str">
        <f t="shared" ref="BE513" si="3283">IF(BD513&lt;0,SUBSTITUTE(TEXT(BD513,"000000000000,00"),",",""),SUBSTITUTE(TEXT(BD513,"0000000000000,00"),",",""))</f>
        <v>000000000000000</v>
      </c>
      <c r="BF513" s="23">
        <f t="shared" si="2961"/>
        <v>0</v>
      </c>
      <c r="BG513" s="49" t="str">
        <f t="shared" ref="BG513" si="3284">IF(BF513&lt;0,SUBSTITUTE(TEXT(BF513,"000000000000,00"),",",""),SUBSTITUTE(TEXT(BF513,"0000000000000,00"),",",""))</f>
        <v>000000000000000</v>
      </c>
      <c r="BH513" s="23">
        <f t="shared" si="2963"/>
        <v>0</v>
      </c>
      <c r="BI513" s="49" t="str">
        <f t="shared" ref="BI513" si="3285">IF(BH513&lt;0,SUBSTITUTE(TEXT(BH513,"000000000000,00"),",",""),SUBSTITUTE(TEXT(BH513,"0000000000000,00"),",",""))</f>
        <v>000000000000000</v>
      </c>
      <c r="BJ513" s="23">
        <f t="shared" si="2965"/>
        <v>0</v>
      </c>
      <c r="BK513" s="49" t="str">
        <f t="shared" ref="BK513" si="3286">IF(BJ513&lt;0,SUBSTITUTE(TEXT(BJ513,"000000000000,00"),",",""),SUBSTITUTE(TEXT(BJ513,"0000000000000,00"),",",""))</f>
        <v>000000000000000</v>
      </c>
      <c r="BL513" s="23">
        <f t="shared" si="2967"/>
        <v>0</v>
      </c>
      <c r="BM513" s="49" t="str">
        <f t="shared" ref="BM513" si="3287">IF(BL513&lt;0,SUBSTITUTE(TEXT(BL513,"000000000000,00"),",",""),SUBSTITUTE(TEXT(BL513,"0000000000000,00"),",",""))</f>
        <v>000000000000000</v>
      </c>
      <c r="BN513" t="str">
        <f t="shared" si="2969"/>
        <v>PES</v>
      </c>
      <c r="BO513" t="str">
        <f t="shared" si="2970"/>
        <v>0001000000</v>
      </c>
      <c r="BP513">
        <f t="shared" si="2971"/>
        <v>0</v>
      </c>
      <c r="BQ513">
        <f t="shared" si="2972"/>
        <v>0</v>
      </c>
      <c r="BR513" s="23">
        <f t="shared" si="2973"/>
        <v>0</v>
      </c>
      <c r="BS513" s="49" t="str">
        <f t="shared" si="2938"/>
        <v>000000000000000</v>
      </c>
      <c r="BT513" t="str">
        <f t="shared" si="2974"/>
        <v>00000000</v>
      </c>
      <c r="BU513" s="23">
        <f t="shared" si="2975"/>
        <v>0</v>
      </c>
      <c r="BV513" s="49" t="str">
        <f t="shared" si="2939"/>
        <v/>
      </c>
      <c r="BW513" s="52" t="str">
        <f t="shared" si="2976"/>
        <v/>
      </c>
      <c r="BX513" s="23">
        <f t="shared" si="2977"/>
        <v>0</v>
      </c>
      <c r="BY513" s="49" t="str">
        <f t="shared" si="2940"/>
        <v/>
      </c>
      <c r="BZ513" s="23">
        <f t="shared" si="2978"/>
        <v>0</v>
      </c>
      <c r="CA513" s="49" t="str">
        <f t="shared" si="2941"/>
        <v/>
      </c>
      <c r="CB513" s="52" t="str">
        <f t="shared" si="2979"/>
        <v/>
      </c>
      <c r="CC513" s="23">
        <f t="shared" si="2980"/>
        <v>0</v>
      </c>
      <c r="CD513" s="49" t="str">
        <f t="shared" si="2942"/>
        <v/>
      </c>
      <c r="CE513" s="56" t="str">
        <f>IF(CF513="","",MAX(CE$10:$CE512)+1)</f>
        <v/>
      </c>
      <c r="CF513" t="str">
        <f t="shared" si="2981"/>
        <v/>
      </c>
      <c r="CG513" s="22" t="str">
        <f>IF(CH513="","",MAX($CG$10:CG512)+1)</f>
        <v/>
      </c>
      <c r="CH513" s="22" t="str">
        <f t="shared" si="2926"/>
        <v/>
      </c>
      <c r="CI513" s="22" t="str">
        <f>IF(CJ513="","",MAX($CI$10:CI512)+1)</f>
        <v/>
      </c>
      <c r="CJ513" s="22" t="str">
        <f t="shared" si="2927"/>
        <v/>
      </c>
    </row>
    <row r="514" spans="2:88" x14ac:dyDescent="0.25">
      <c r="B514" s="37"/>
      <c r="C514" s="3"/>
      <c r="D514" s="77" t="str">
        <f t="shared" si="2913"/>
        <v/>
      </c>
      <c r="E514" s="38"/>
      <c r="F514" s="38"/>
      <c r="G514" s="78">
        <f t="shared" si="2928"/>
        <v>0</v>
      </c>
      <c r="H514" s="3">
        <v>80</v>
      </c>
      <c r="I514" s="77" t="str">
        <f t="shared" si="2914"/>
        <v/>
      </c>
      <c r="J514" s="32"/>
      <c r="K514" s="3"/>
      <c r="L514" s="39"/>
      <c r="M514" s="39"/>
      <c r="N514" s="39"/>
      <c r="O514" s="39"/>
      <c r="P514" s="39"/>
      <c r="Q514" s="39"/>
      <c r="R514" s="39"/>
      <c r="S514" s="39"/>
      <c r="T514" s="3" t="s">
        <v>645</v>
      </c>
      <c r="U514" s="77" t="str">
        <f t="shared" si="2915"/>
        <v/>
      </c>
      <c r="V514" s="39">
        <v>1</v>
      </c>
      <c r="W514" s="79">
        <f t="shared" si="2929"/>
        <v>0</v>
      </c>
      <c r="X514" s="3">
        <v>0</v>
      </c>
      <c r="Y514" s="77" t="str">
        <f t="shared" si="2916"/>
        <v/>
      </c>
      <c r="Z514" s="3"/>
      <c r="AA514" s="37" t="str">
        <f t="shared" si="2930"/>
        <v/>
      </c>
      <c r="AC514" s="40"/>
      <c r="AD514" s="7"/>
      <c r="AE514" s="77" t="str">
        <f t="shared" si="2917"/>
        <v/>
      </c>
      <c r="AF514" s="81">
        <f t="shared" si="2943"/>
        <v>0</v>
      </c>
      <c r="AG514" s="40"/>
      <c r="AH514" s="7"/>
      <c r="AI514" s="77" t="str">
        <f t="shared" si="2918"/>
        <v/>
      </c>
      <c r="AJ514" s="81">
        <f t="shared" si="2944"/>
        <v>0</v>
      </c>
      <c r="AK514" s="83">
        <f t="shared" si="2945"/>
        <v>0</v>
      </c>
      <c r="AL514" s="83">
        <f t="shared" si="2946"/>
        <v>0</v>
      </c>
      <c r="AN514" s="43">
        <f t="shared" si="2919"/>
        <v>0</v>
      </c>
      <c r="AP514" t="str">
        <f t="shared" si="2947"/>
        <v/>
      </c>
      <c r="AQ514" t="str">
        <f t="shared" si="2948"/>
        <v/>
      </c>
      <c r="AR514" t="str">
        <f t="shared" si="2949"/>
        <v/>
      </c>
      <c r="AS514" t="str">
        <f t="shared" si="2950"/>
        <v/>
      </c>
      <c r="AT514" t="str">
        <f t="shared" si="2951"/>
        <v/>
      </c>
      <c r="AU514" t="str">
        <f t="shared" si="2952"/>
        <v/>
      </c>
      <c r="AV514" t="str">
        <f t="shared" si="2953"/>
        <v/>
      </c>
      <c r="AW514" t="str">
        <f t="shared" si="2954"/>
        <v xml:space="preserve">                              </v>
      </c>
      <c r="AX514" s="23">
        <f t="shared" si="2955"/>
        <v>0</v>
      </c>
      <c r="AY514" s="49" t="str">
        <f t="shared" si="2931"/>
        <v>000000000000000</v>
      </c>
      <c r="AZ514" s="23">
        <f t="shared" si="2956"/>
        <v>0</v>
      </c>
      <c r="BA514" s="49" t="str">
        <f t="shared" si="2931"/>
        <v>000000000000000</v>
      </c>
      <c r="BB514" s="23">
        <f t="shared" si="2957"/>
        <v>0</v>
      </c>
      <c r="BC514" s="49" t="str">
        <f t="shared" ref="BC514" si="3288">IF(BB514&lt;0,SUBSTITUTE(TEXT(BB514,"000000000000,00"),",",""),SUBSTITUTE(TEXT(BB514,"0000000000000,00"),",",""))</f>
        <v>000000000000000</v>
      </c>
      <c r="BD514" s="23">
        <f t="shared" si="2959"/>
        <v>0</v>
      </c>
      <c r="BE514" s="49" t="str">
        <f t="shared" ref="BE514" si="3289">IF(BD514&lt;0,SUBSTITUTE(TEXT(BD514,"000000000000,00"),",",""),SUBSTITUTE(TEXT(BD514,"0000000000000,00"),",",""))</f>
        <v>000000000000000</v>
      </c>
      <c r="BF514" s="23">
        <f t="shared" si="2961"/>
        <v>0</v>
      </c>
      <c r="BG514" s="49" t="str">
        <f t="shared" ref="BG514" si="3290">IF(BF514&lt;0,SUBSTITUTE(TEXT(BF514,"000000000000,00"),",",""),SUBSTITUTE(TEXT(BF514,"0000000000000,00"),",",""))</f>
        <v>000000000000000</v>
      </c>
      <c r="BH514" s="23">
        <f t="shared" si="2963"/>
        <v>0</v>
      </c>
      <c r="BI514" s="49" t="str">
        <f t="shared" ref="BI514" si="3291">IF(BH514&lt;0,SUBSTITUTE(TEXT(BH514,"000000000000,00"),",",""),SUBSTITUTE(TEXT(BH514,"0000000000000,00"),",",""))</f>
        <v>000000000000000</v>
      </c>
      <c r="BJ514" s="23">
        <f t="shared" si="2965"/>
        <v>0</v>
      </c>
      <c r="BK514" s="49" t="str">
        <f t="shared" ref="BK514" si="3292">IF(BJ514&lt;0,SUBSTITUTE(TEXT(BJ514,"000000000000,00"),",",""),SUBSTITUTE(TEXT(BJ514,"0000000000000,00"),",",""))</f>
        <v>000000000000000</v>
      </c>
      <c r="BL514" s="23">
        <f t="shared" si="2967"/>
        <v>0</v>
      </c>
      <c r="BM514" s="49" t="str">
        <f t="shared" ref="BM514" si="3293">IF(BL514&lt;0,SUBSTITUTE(TEXT(BL514,"000000000000,00"),",",""),SUBSTITUTE(TEXT(BL514,"0000000000000,00"),",",""))</f>
        <v>000000000000000</v>
      </c>
      <c r="BN514" t="str">
        <f t="shared" si="2969"/>
        <v>PES</v>
      </c>
      <c r="BO514" t="str">
        <f t="shared" si="2970"/>
        <v>0001000000</v>
      </c>
      <c r="BP514">
        <f t="shared" si="2971"/>
        <v>0</v>
      </c>
      <c r="BQ514">
        <f t="shared" si="2972"/>
        <v>0</v>
      </c>
      <c r="BR514" s="23">
        <f t="shared" si="2973"/>
        <v>0</v>
      </c>
      <c r="BS514" s="49" t="str">
        <f t="shared" si="2938"/>
        <v>000000000000000</v>
      </c>
      <c r="BT514" t="str">
        <f t="shared" si="2974"/>
        <v>00000000</v>
      </c>
      <c r="BU514" s="23">
        <f t="shared" si="2975"/>
        <v>0</v>
      </c>
      <c r="BV514" s="49" t="str">
        <f t="shared" si="2939"/>
        <v/>
      </c>
      <c r="BW514" s="52" t="str">
        <f t="shared" si="2976"/>
        <v/>
      </c>
      <c r="BX514" s="23">
        <f t="shared" si="2977"/>
        <v>0</v>
      </c>
      <c r="BY514" s="49" t="str">
        <f t="shared" si="2940"/>
        <v/>
      </c>
      <c r="BZ514" s="23">
        <f t="shared" si="2978"/>
        <v>0</v>
      </c>
      <c r="CA514" s="49" t="str">
        <f t="shared" si="2941"/>
        <v/>
      </c>
      <c r="CB514" s="52" t="str">
        <f t="shared" si="2979"/>
        <v/>
      </c>
      <c r="CC514" s="23">
        <f t="shared" si="2980"/>
        <v>0</v>
      </c>
      <c r="CD514" s="49" t="str">
        <f t="shared" si="2942"/>
        <v/>
      </c>
      <c r="CE514" s="56" t="str">
        <f>IF(CF514="","",MAX(CE$10:$CE513)+1)</f>
        <v/>
      </c>
      <c r="CF514" t="str">
        <f t="shared" si="2981"/>
        <v/>
      </c>
      <c r="CG514" s="22" t="str">
        <f>IF(CH514="","",MAX($CG$10:CG513)+1)</f>
        <v/>
      </c>
      <c r="CH514" s="22" t="str">
        <f t="shared" si="2926"/>
        <v/>
      </c>
      <c r="CI514" s="22" t="str">
        <f>IF(CJ514="","",MAX($CI$10:CI513)+1)</f>
        <v/>
      </c>
      <c r="CJ514" s="22" t="str">
        <f t="shared" si="2927"/>
        <v/>
      </c>
    </row>
    <row r="515" spans="2:88" x14ac:dyDescent="0.25">
      <c r="B515" s="37"/>
      <c r="C515" s="3"/>
      <c r="D515" s="77" t="str">
        <f t="shared" si="2913"/>
        <v/>
      </c>
      <c r="E515" s="38"/>
      <c r="F515" s="38"/>
      <c r="G515" s="78">
        <f t="shared" si="2928"/>
        <v>0</v>
      </c>
      <c r="H515" s="3">
        <v>80</v>
      </c>
      <c r="I515" s="77" t="str">
        <f t="shared" si="2914"/>
        <v/>
      </c>
      <c r="J515" s="32"/>
      <c r="K515" s="3"/>
      <c r="L515" s="39"/>
      <c r="M515" s="39"/>
      <c r="N515" s="39"/>
      <c r="O515" s="39"/>
      <c r="P515" s="39"/>
      <c r="Q515" s="39"/>
      <c r="R515" s="39"/>
      <c r="S515" s="39"/>
      <c r="T515" s="3" t="s">
        <v>645</v>
      </c>
      <c r="U515" s="77" t="str">
        <f t="shared" si="2915"/>
        <v/>
      </c>
      <c r="V515" s="39">
        <v>1</v>
      </c>
      <c r="W515" s="79">
        <f t="shared" si="2929"/>
        <v>0</v>
      </c>
      <c r="X515" s="3">
        <v>0</v>
      </c>
      <c r="Y515" s="77" t="str">
        <f t="shared" si="2916"/>
        <v/>
      </c>
      <c r="Z515" s="3"/>
      <c r="AA515" s="37" t="str">
        <f t="shared" si="2930"/>
        <v/>
      </c>
      <c r="AC515" s="40"/>
      <c r="AD515" s="7"/>
      <c r="AE515" s="77" t="str">
        <f t="shared" si="2917"/>
        <v/>
      </c>
      <c r="AF515" s="81">
        <f t="shared" si="2943"/>
        <v>0</v>
      </c>
      <c r="AG515" s="40"/>
      <c r="AH515" s="7"/>
      <c r="AI515" s="77" t="str">
        <f t="shared" si="2918"/>
        <v/>
      </c>
      <c r="AJ515" s="81">
        <f t="shared" si="2944"/>
        <v>0</v>
      </c>
      <c r="AK515" s="83">
        <f t="shared" si="2945"/>
        <v>0</v>
      </c>
      <c r="AL515" s="83">
        <f t="shared" si="2946"/>
        <v>0</v>
      </c>
      <c r="AN515" s="43">
        <f t="shared" si="2919"/>
        <v>0</v>
      </c>
      <c r="AP515" t="str">
        <f t="shared" si="2947"/>
        <v/>
      </c>
      <c r="AQ515" t="str">
        <f t="shared" si="2948"/>
        <v/>
      </c>
      <c r="AR515" t="str">
        <f t="shared" si="2949"/>
        <v/>
      </c>
      <c r="AS515" t="str">
        <f t="shared" si="2950"/>
        <v/>
      </c>
      <c r="AT515" t="str">
        <f t="shared" si="2951"/>
        <v/>
      </c>
      <c r="AU515" t="str">
        <f t="shared" si="2952"/>
        <v/>
      </c>
      <c r="AV515" t="str">
        <f t="shared" si="2953"/>
        <v/>
      </c>
      <c r="AW515" t="str">
        <f t="shared" si="2954"/>
        <v xml:space="preserve">                              </v>
      </c>
      <c r="AX515" s="23">
        <f t="shared" si="2955"/>
        <v>0</v>
      </c>
      <c r="AY515" s="49" t="str">
        <f t="shared" si="2931"/>
        <v>000000000000000</v>
      </c>
      <c r="AZ515" s="23">
        <f t="shared" si="2956"/>
        <v>0</v>
      </c>
      <c r="BA515" s="49" t="str">
        <f t="shared" si="2931"/>
        <v>000000000000000</v>
      </c>
      <c r="BB515" s="23">
        <f t="shared" si="2957"/>
        <v>0</v>
      </c>
      <c r="BC515" s="49" t="str">
        <f t="shared" ref="BC515" si="3294">IF(BB515&lt;0,SUBSTITUTE(TEXT(BB515,"000000000000,00"),",",""),SUBSTITUTE(TEXT(BB515,"0000000000000,00"),",",""))</f>
        <v>000000000000000</v>
      </c>
      <c r="BD515" s="23">
        <f t="shared" si="2959"/>
        <v>0</v>
      </c>
      <c r="BE515" s="49" t="str">
        <f t="shared" ref="BE515" si="3295">IF(BD515&lt;0,SUBSTITUTE(TEXT(BD515,"000000000000,00"),",",""),SUBSTITUTE(TEXT(BD515,"0000000000000,00"),",",""))</f>
        <v>000000000000000</v>
      </c>
      <c r="BF515" s="23">
        <f t="shared" si="2961"/>
        <v>0</v>
      </c>
      <c r="BG515" s="49" t="str">
        <f t="shared" ref="BG515" si="3296">IF(BF515&lt;0,SUBSTITUTE(TEXT(BF515,"000000000000,00"),",",""),SUBSTITUTE(TEXT(BF515,"0000000000000,00"),",",""))</f>
        <v>000000000000000</v>
      </c>
      <c r="BH515" s="23">
        <f t="shared" si="2963"/>
        <v>0</v>
      </c>
      <c r="BI515" s="49" t="str">
        <f t="shared" ref="BI515" si="3297">IF(BH515&lt;0,SUBSTITUTE(TEXT(BH515,"000000000000,00"),",",""),SUBSTITUTE(TEXT(BH515,"0000000000000,00"),",",""))</f>
        <v>000000000000000</v>
      </c>
      <c r="BJ515" s="23">
        <f t="shared" si="2965"/>
        <v>0</v>
      </c>
      <c r="BK515" s="49" t="str">
        <f t="shared" ref="BK515" si="3298">IF(BJ515&lt;0,SUBSTITUTE(TEXT(BJ515,"000000000000,00"),",",""),SUBSTITUTE(TEXT(BJ515,"0000000000000,00"),",",""))</f>
        <v>000000000000000</v>
      </c>
      <c r="BL515" s="23">
        <f t="shared" si="2967"/>
        <v>0</v>
      </c>
      <c r="BM515" s="49" t="str">
        <f t="shared" ref="BM515" si="3299">IF(BL515&lt;0,SUBSTITUTE(TEXT(BL515,"000000000000,00"),",",""),SUBSTITUTE(TEXT(BL515,"0000000000000,00"),",",""))</f>
        <v>000000000000000</v>
      </c>
      <c r="BN515" t="str">
        <f t="shared" si="2969"/>
        <v>PES</v>
      </c>
      <c r="BO515" t="str">
        <f t="shared" si="2970"/>
        <v>0001000000</v>
      </c>
      <c r="BP515">
        <f t="shared" si="2971"/>
        <v>0</v>
      </c>
      <c r="BQ515">
        <f t="shared" si="2972"/>
        <v>0</v>
      </c>
      <c r="BR515" s="23">
        <f t="shared" si="2973"/>
        <v>0</v>
      </c>
      <c r="BS515" s="49" t="str">
        <f t="shared" si="2938"/>
        <v>000000000000000</v>
      </c>
      <c r="BT515" t="str">
        <f t="shared" si="2974"/>
        <v>00000000</v>
      </c>
      <c r="BU515" s="23">
        <f t="shared" si="2975"/>
        <v>0</v>
      </c>
      <c r="BV515" s="49" t="str">
        <f t="shared" si="2939"/>
        <v/>
      </c>
      <c r="BW515" s="52" t="str">
        <f t="shared" si="2976"/>
        <v/>
      </c>
      <c r="BX515" s="23">
        <f t="shared" si="2977"/>
        <v>0</v>
      </c>
      <c r="BY515" s="49" t="str">
        <f t="shared" si="2940"/>
        <v/>
      </c>
      <c r="BZ515" s="23">
        <f t="shared" si="2978"/>
        <v>0</v>
      </c>
      <c r="CA515" s="49" t="str">
        <f t="shared" si="2941"/>
        <v/>
      </c>
      <c r="CB515" s="52" t="str">
        <f t="shared" si="2979"/>
        <v/>
      </c>
      <c r="CC515" s="23">
        <f t="shared" si="2980"/>
        <v>0</v>
      </c>
      <c r="CD515" s="49" t="str">
        <f t="shared" si="2942"/>
        <v/>
      </c>
      <c r="CE515" s="56" t="str">
        <f>IF(CF515="","",MAX(CE$10:$CE514)+1)</f>
        <v/>
      </c>
      <c r="CF515" t="str">
        <f t="shared" si="2981"/>
        <v/>
      </c>
      <c r="CG515" s="22" t="str">
        <f>IF(CH515="","",MAX($CG$10:CG514)+1)</f>
        <v/>
      </c>
      <c r="CH515" s="22" t="str">
        <f t="shared" si="2926"/>
        <v/>
      </c>
      <c r="CI515" s="22" t="str">
        <f>IF(CJ515="","",MAX($CI$10:CI514)+1)</f>
        <v/>
      </c>
      <c r="CJ515" s="22" t="str">
        <f t="shared" si="2927"/>
        <v/>
      </c>
    </row>
    <row r="516" spans="2:88" x14ac:dyDescent="0.25">
      <c r="B516" s="37"/>
      <c r="C516" s="3"/>
      <c r="D516" s="77" t="str">
        <f t="shared" si="2913"/>
        <v/>
      </c>
      <c r="E516" s="38"/>
      <c r="F516" s="38"/>
      <c r="G516" s="78">
        <f t="shared" si="2928"/>
        <v>0</v>
      </c>
      <c r="H516" s="3">
        <v>80</v>
      </c>
      <c r="I516" s="77" t="str">
        <f t="shared" si="2914"/>
        <v/>
      </c>
      <c r="J516" s="32"/>
      <c r="K516" s="3"/>
      <c r="L516" s="39"/>
      <c r="M516" s="39"/>
      <c r="N516" s="39"/>
      <c r="O516" s="39"/>
      <c r="P516" s="39"/>
      <c r="Q516" s="39"/>
      <c r="R516" s="39"/>
      <c r="S516" s="39"/>
      <c r="T516" s="3" t="s">
        <v>645</v>
      </c>
      <c r="U516" s="77" t="str">
        <f t="shared" si="2915"/>
        <v/>
      </c>
      <c r="V516" s="39">
        <v>1</v>
      </c>
      <c r="W516" s="79">
        <f t="shared" si="2929"/>
        <v>0</v>
      </c>
      <c r="X516" s="3">
        <v>0</v>
      </c>
      <c r="Y516" s="77" t="str">
        <f t="shared" si="2916"/>
        <v/>
      </c>
      <c r="Z516" s="3"/>
      <c r="AA516" s="37" t="str">
        <f t="shared" si="2930"/>
        <v/>
      </c>
      <c r="AC516" s="40"/>
      <c r="AD516" s="7"/>
      <c r="AE516" s="77" t="str">
        <f t="shared" si="2917"/>
        <v/>
      </c>
      <c r="AF516" s="81">
        <f t="shared" si="2943"/>
        <v>0</v>
      </c>
      <c r="AG516" s="40"/>
      <c r="AH516" s="7"/>
      <c r="AI516" s="77" t="str">
        <f t="shared" si="2918"/>
        <v/>
      </c>
      <c r="AJ516" s="81">
        <f t="shared" si="2944"/>
        <v>0</v>
      </c>
      <c r="AK516" s="83">
        <f t="shared" si="2945"/>
        <v>0</v>
      </c>
      <c r="AL516" s="83">
        <f t="shared" si="2946"/>
        <v>0</v>
      </c>
      <c r="AN516" s="43">
        <f t="shared" si="2919"/>
        <v>0</v>
      </c>
      <c r="AP516" t="str">
        <f t="shared" si="2947"/>
        <v/>
      </c>
      <c r="AQ516" t="str">
        <f t="shared" si="2948"/>
        <v/>
      </c>
      <c r="AR516" t="str">
        <f t="shared" si="2949"/>
        <v/>
      </c>
      <c r="AS516" t="str">
        <f t="shared" si="2950"/>
        <v/>
      </c>
      <c r="AT516" t="str">
        <f t="shared" si="2951"/>
        <v/>
      </c>
      <c r="AU516" t="str">
        <f t="shared" si="2952"/>
        <v/>
      </c>
      <c r="AV516" t="str">
        <f t="shared" si="2953"/>
        <v/>
      </c>
      <c r="AW516" t="str">
        <f t="shared" si="2954"/>
        <v xml:space="preserve">                              </v>
      </c>
      <c r="AX516" s="23">
        <f t="shared" si="2955"/>
        <v>0</v>
      </c>
      <c r="AY516" s="49" t="str">
        <f t="shared" si="2931"/>
        <v>000000000000000</v>
      </c>
      <c r="AZ516" s="23">
        <f t="shared" si="2956"/>
        <v>0</v>
      </c>
      <c r="BA516" s="49" t="str">
        <f t="shared" si="2931"/>
        <v>000000000000000</v>
      </c>
      <c r="BB516" s="23">
        <f t="shared" si="2957"/>
        <v>0</v>
      </c>
      <c r="BC516" s="49" t="str">
        <f t="shared" ref="BC516" si="3300">IF(BB516&lt;0,SUBSTITUTE(TEXT(BB516,"000000000000,00"),",",""),SUBSTITUTE(TEXT(BB516,"0000000000000,00"),",",""))</f>
        <v>000000000000000</v>
      </c>
      <c r="BD516" s="23">
        <f t="shared" si="2959"/>
        <v>0</v>
      </c>
      <c r="BE516" s="49" t="str">
        <f t="shared" ref="BE516" si="3301">IF(BD516&lt;0,SUBSTITUTE(TEXT(BD516,"000000000000,00"),",",""),SUBSTITUTE(TEXT(BD516,"0000000000000,00"),",",""))</f>
        <v>000000000000000</v>
      </c>
      <c r="BF516" s="23">
        <f t="shared" si="2961"/>
        <v>0</v>
      </c>
      <c r="BG516" s="49" t="str">
        <f t="shared" ref="BG516" si="3302">IF(BF516&lt;0,SUBSTITUTE(TEXT(BF516,"000000000000,00"),",",""),SUBSTITUTE(TEXT(BF516,"0000000000000,00"),",",""))</f>
        <v>000000000000000</v>
      </c>
      <c r="BH516" s="23">
        <f t="shared" si="2963"/>
        <v>0</v>
      </c>
      <c r="BI516" s="49" t="str">
        <f t="shared" ref="BI516" si="3303">IF(BH516&lt;0,SUBSTITUTE(TEXT(BH516,"000000000000,00"),",",""),SUBSTITUTE(TEXT(BH516,"0000000000000,00"),",",""))</f>
        <v>000000000000000</v>
      </c>
      <c r="BJ516" s="23">
        <f t="shared" si="2965"/>
        <v>0</v>
      </c>
      <c r="BK516" s="49" t="str">
        <f t="shared" ref="BK516" si="3304">IF(BJ516&lt;0,SUBSTITUTE(TEXT(BJ516,"000000000000,00"),",",""),SUBSTITUTE(TEXT(BJ516,"0000000000000,00"),",",""))</f>
        <v>000000000000000</v>
      </c>
      <c r="BL516" s="23">
        <f t="shared" si="2967"/>
        <v>0</v>
      </c>
      <c r="BM516" s="49" t="str">
        <f t="shared" ref="BM516" si="3305">IF(BL516&lt;0,SUBSTITUTE(TEXT(BL516,"000000000000,00"),",",""),SUBSTITUTE(TEXT(BL516,"0000000000000,00"),",",""))</f>
        <v>000000000000000</v>
      </c>
      <c r="BN516" t="str">
        <f t="shared" si="2969"/>
        <v>PES</v>
      </c>
      <c r="BO516" t="str">
        <f t="shared" si="2970"/>
        <v>0001000000</v>
      </c>
      <c r="BP516">
        <f t="shared" si="2971"/>
        <v>0</v>
      </c>
      <c r="BQ516">
        <f t="shared" si="2972"/>
        <v>0</v>
      </c>
      <c r="BR516" s="23">
        <f t="shared" si="2973"/>
        <v>0</v>
      </c>
      <c r="BS516" s="49" t="str">
        <f t="shared" si="2938"/>
        <v>000000000000000</v>
      </c>
      <c r="BT516" t="str">
        <f t="shared" si="2974"/>
        <v>00000000</v>
      </c>
      <c r="BU516" s="23">
        <f t="shared" si="2975"/>
        <v>0</v>
      </c>
      <c r="BV516" s="49" t="str">
        <f t="shared" si="2939"/>
        <v/>
      </c>
      <c r="BW516" s="52" t="str">
        <f t="shared" si="2976"/>
        <v/>
      </c>
      <c r="BX516" s="23">
        <f t="shared" si="2977"/>
        <v>0</v>
      </c>
      <c r="BY516" s="49" t="str">
        <f t="shared" si="2940"/>
        <v/>
      </c>
      <c r="BZ516" s="23">
        <f t="shared" si="2978"/>
        <v>0</v>
      </c>
      <c r="CA516" s="49" t="str">
        <f t="shared" si="2941"/>
        <v/>
      </c>
      <c r="CB516" s="52" t="str">
        <f t="shared" si="2979"/>
        <v/>
      </c>
      <c r="CC516" s="23">
        <f t="shared" si="2980"/>
        <v>0</v>
      </c>
      <c r="CD516" s="49" t="str">
        <f t="shared" si="2942"/>
        <v/>
      </c>
      <c r="CE516" s="56" t="str">
        <f>IF(CF516="","",MAX(CE$10:$CE515)+1)</f>
        <v/>
      </c>
      <c r="CF516" t="str">
        <f t="shared" si="2981"/>
        <v/>
      </c>
      <c r="CG516" s="22" t="str">
        <f>IF(CH516="","",MAX($CG$10:CG515)+1)</f>
        <v/>
      </c>
      <c r="CH516" s="22" t="str">
        <f t="shared" si="2926"/>
        <v/>
      </c>
      <c r="CI516" s="22" t="str">
        <f>IF(CJ516="","",MAX($CI$10:CI515)+1)</f>
        <v/>
      </c>
      <c r="CJ516" s="22" t="str">
        <f t="shared" si="2927"/>
        <v/>
      </c>
    </row>
    <row r="517" spans="2:88" x14ac:dyDescent="0.25">
      <c r="B517" s="37"/>
      <c r="C517" s="3"/>
      <c r="D517" s="77" t="str">
        <f t="shared" si="2913"/>
        <v/>
      </c>
      <c r="E517" s="38"/>
      <c r="F517" s="38"/>
      <c r="G517" s="78">
        <f t="shared" si="2928"/>
        <v>0</v>
      </c>
      <c r="H517" s="3">
        <v>80</v>
      </c>
      <c r="I517" s="77" t="str">
        <f t="shared" si="2914"/>
        <v/>
      </c>
      <c r="J517" s="32"/>
      <c r="K517" s="3"/>
      <c r="L517" s="39"/>
      <c r="M517" s="39"/>
      <c r="N517" s="39"/>
      <c r="O517" s="39"/>
      <c r="P517" s="39"/>
      <c r="Q517" s="39"/>
      <c r="R517" s="39"/>
      <c r="S517" s="39"/>
      <c r="T517" s="3" t="s">
        <v>645</v>
      </c>
      <c r="U517" s="77" t="str">
        <f t="shared" si="2915"/>
        <v/>
      </c>
      <c r="V517" s="39">
        <v>1</v>
      </c>
      <c r="W517" s="79">
        <f t="shared" si="2929"/>
        <v>0</v>
      </c>
      <c r="X517" s="3">
        <v>0</v>
      </c>
      <c r="Y517" s="77" t="str">
        <f t="shared" si="2916"/>
        <v/>
      </c>
      <c r="Z517" s="3"/>
      <c r="AA517" s="37" t="str">
        <f t="shared" si="2930"/>
        <v/>
      </c>
      <c r="AC517" s="40"/>
      <c r="AD517" s="7"/>
      <c r="AE517" s="77" t="str">
        <f t="shared" si="2917"/>
        <v/>
      </c>
      <c r="AF517" s="81">
        <f t="shared" si="2943"/>
        <v>0</v>
      </c>
      <c r="AG517" s="40"/>
      <c r="AH517" s="7"/>
      <c r="AI517" s="77" t="str">
        <f t="shared" si="2918"/>
        <v/>
      </c>
      <c r="AJ517" s="81">
        <f t="shared" si="2944"/>
        <v>0</v>
      </c>
      <c r="AK517" s="83">
        <f t="shared" si="2945"/>
        <v>0</v>
      </c>
      <c r="AL517" s="83">
        <f t="shared" si="2946"/>
        <v>0</v>
      </c>
      <c r="AN517" s="43">
        <f t="shared" si="2919"/>
        <v>0</v>
      </c>
      <c r="AP517" t="str">
        <f t="shared" si="2947"/>
        <v/>
      </c>
      <c r="AQ517" t="str">
        <f t="shared" si="2948"/>
        <v/>
      </c>
      <c r="AR517" t="str">
        <f t="shared" si="2949"/>
        <v/>
      </c>
      <c r="AS517" t="str">
        <f t="shared" si="2950"/>
        <v/>
      </c>
      <c r="AT517" t="str">
        <f t="shared" si="2951"/>
        <v/>
      </c>
      <c r="AU517" t="str">
        <f t="shared" si="2952"/>
        <v/>
      </c>
      <c r="AV517" t="str">
        <f t="shared" si="2953"/>
        <v/>
      </c>
      <c r="AW517" t="str">
        <f t="shared" si="2954"/>
        <v xml:space="preserve">                              </v>
      </c>
      <c r="AX517" s="23">
        <f t="shared" si="2955"/>
        <v>0</v>
      </c>
      <c r="AY517" s="49" t="str">
        <f t="shared" si="2931"/>
        <v>000000000000000</v>
      </c>
      <c r="AZ517" s="23">
        <f t="shared" si="2956"/>
        <v>0</v>
      </c>
      <c r="BA517" s="49" t="str">
        <f t="shared" si="2931"/>
        <v>000000000000000</v>
      </c>
      <c r="BB517" s="23">
        <f t="shared" si="2957"/>
        <v>0</v>
      </c>
      <c r="BC517" s="49" t="str">
        <f t="shared" ref="BC517" si="3306">IF(BB517&lt;0,SUBSTITUTE(TEXT(BB517,"000000000000,00"),",",""),SUBSTITUTE(TEXT(BB517,"0000000000000,00"),",",""))</f>
        <v>000000000000000</v>
      </c>
      <c r="BD517" s="23">
        <f t="shared" si="2959"/>
        <v>0</v>
      </c>
      <c r="BE517" s="49" t="str">
        <f t="shared" ref="BE517" si="3307">IF(BD517&lt;0,SUBSTITUTE(TEXT(BD517,"000000000000,00"),",",""),SUBSTITUTE(TEXT(BD517,"0000000000000,00"),",",""))</f>
        <v>000000000000000</v>
      </c>
      <c r="BF517" s="23">
        <f t="shared" si="2961"/>
        <v>0</v>
      </c>
      <c r="BG517" s="49" t="str">
        <f t="shared" ref="BG517" si="3308">IF(BF517&lt;0,SUBSTITUTE(TEXT(BF517,"000000000000,00"),",",""),SUBSTITUTE(TEXT(BF517,"0000000000000,00"),",",""))</f>
        <v>000000000000000</v>
      </c>
      <c r="BH517" s="23">
        <f t="shared" si="2963"/>
        <v>0</v>
      </c>
      <c r="BI517" s="49" t="str">
        <f t="shared" ref="BI517" si="3309">IF(BH517&lt;0,SUBSTITUTE(TEXT(BH517,"000000000000,00"),",",""),SUBSTITUTE(TEXT(BH517,"0000000000000,00"),",",""))</f>
        <v>000000000000000</v>
      </c>
      <c r="BJ517" s="23">
        <f t="shared" si="2965"/>
        <v>0</v>
      </c>
      <c r="BK517" s="49" t="str">
        <f t="shared" ref="BK517" si="3310">IF(BJ517&lt;0,SUBSTITUTE(TEXT(BJ517,"000000000000,00"),",",""),SUBSTITUTE(TEXT(BJ517,"0000000000000,00"),",",""))</f>
        <v>000000000000000</v>
      </c>
      <c r="BL517" s="23">
        <f t="shared" si="2967"/>
        <v>0</v>
      </c>
      <c r="BM517" s="49" t="str">
        <f t="shared" ref="BM517" si="3311">IF(BL517&lt;0,SUBSTITUTE(TEXT(BL517,"000000000000,00"),",",""),SUBSTITUTE(TEXT(BL517,"0000000000000,00"),",",""))</f>
        <v>000000000000000</v>
      </c>
      <c r="BN517" t="str">
        <f t="shared" si="2969"/>
        <v>PES</v>
      </c>
      <c r="BO517" t="str">
        <f t="shared" si="2970"/>
        <v>0001000000</v>
      </c>
      <c r="BP517">
        <f t="shared" si="2971"/>
        <v>0</v>
      </c>
      <c r="BQ517">
        <f t="shared" si="2972"/>
        <v>0</v>
      </c>
      <c r="BR517" s="23">
        <f t="shared" si="2973"/>
        <v>0</v>
      </c>
      <c r="BS517" s="49" t="str">
        <f t="shared" si="2938"/>
        <v>000000000000000</v>
      </c>
      <c r="BT517" t="str">
        <f t="shared" si="2974"/>
        <v>00000000</v>
      </c>
      <c r="BU517" s="23">
        <f t="shared" si="2975"/>
        <v>0</v>
      </c>
      <c r="BV517" s="49" t="str">
        <f t="shared" si="2939"/>
        <v/>
      </c>
      <c r="BW517" s="52" t="str">
        <f t="shared" si="2976"/>
        <v/>
      </c>
      <c r="BX517" s="23">
        <f t="shared" si="2977"/>
        <v>0</v>
      </c>
      <c r="BY517" s="49" t="str">
        <f t="shared" si="2940"/>
        <v/>
      </c>
      <c r="BZ517" s="23">
        <f t="shared" si="2978"/>
        <v>0</v>
      </c>
      <c r="CA517" s="49" t="str">
        <f t="shared" si="2941"/>
        <v/>
      </c>
      <c r="CB517" s="52" t="str">
        <f t="shared" si="2979"/>
        <v/>
      </c>
      <c r="CC517" s="23">
        <f t="shared" si="2980"/>
        <v>0</v>
      </c>
      <c r="CD517" s="49" t="str">
        <f t="shared" si="2942"/>
        <v/>
      </c>
      <c r="CE517" s="56" t="str">
        <f>IF(CF517="","",MAX(CE$10:$CE516)+1)</f>
        <v/>
      </c>
      <c r="CF517" t="str">
        <f t="shared" si="2981"/>
        <v/>
      </c>
      <c r="CG517" s="22" t="str">
        <f>IF(CH517="","",MAX($CG$10:CG516)+1)</f>
        <v/>
      </c>
      <c r="CH517" s="22" t="str">
        <f t="shared" si="2926"/>
        <v/>
      </c>
      <c r="CI517" s="22" t="str">
        <f>IF(CJ517="","",MAX($CI$10:CI516)+1)</f>
        <v/>
      </c>
      <c r="CJ517" s="22" t="str">
        <f t="shared" si="2927"/>
        <v/>
      </c>
    </row>
    <row r="518" spans="2:88" x14ac:dyDescent="0.25">
      <c r="B518" s="37"/>
      <c r="C518" s="3"/>
      <c r="D518" s="77" t="str">
        <f t="shared" si="2913"/>
        <v/>
      </c>
      <c r="E518" s="38"/>
      <c r="F518" s="38"/>
      <c r="G518" s="78">
        <f t="shared" si="2928"/>
        <v>0</v>
      </c>
      <c r="H518" s="3">
        <v>80</v>
      </c>
      <c r="I518" s="77" t="str">
        <f t="shared" si="2914"/>
        <v/>
      </c>
      <c r="J518" s="32"/>
      <c r="K518" s="3"/>
      <c r="L518" s="39"/>
      <c r="M518" s="39"/>
      <c r="N518" s="39"/>
      <c r="O518" s="39"/>
      <c r="P518" s="39"/>
      <c r="Q518" s="39"/>
      <c r="R518" s="39"/>
      <c r="S518" s="39"/>
      <c r="T518" s="3" t="s">
        <v>645</v>
      </c>
      <c r="U518" s="77" t="str">
        <f t="shared" si="2915"/>
        <v/>
      </c>
      <c r="V518" s="39">
        <v>1</v>
      </c>
      <c r="W518" s="79">
        <f t="shared" si="2929"/>
        <v>0</v>
      </c>
      <c r="X518" s="3">
        <v>0</v>
      </c>
      <c r="Y518" s="77" t="str">
        <f t="shared" si="2916"/>
        <v/>
      </c>
      <c r="Z518" s="3"/>
      <c r="AA518" s="37" t="str">
        <f t="shared" si="2930"/>
        <v/>
      </c>
      <c r="AC518" s="40"/>
      <c r="AD518" s="7"/>
      <c r="AE518" s="77" t="str">
        <f t="shared" si="2917"/>
        <v/>
      </c>
      <c r="AF518" s="81">
        <f t="shared" si="2943"/>
        <v>0</v>
      </c>
      <c r="AG518" s="40"/>
      <c r="AH518" s="7"/>
      <c r="AI518" s="77" t="str">
        <f t="shared" si="2918"/>
        <v/>
      </c>
      <c r="AJ518" s="81">
        <f t="shared" si="2944"/>
        <v>0</v>
      </c>
      <c r="AK518" s="83">
        <f t="shared" si="2945"/>
        <v>0</v>
      </c>
      <c r="AL518" s="83">
        <f t="shared" si="2946"/>
        <v>0</v>
      </c>
      <c r="AN518" s="43">
        <f t="shared" si="2919"/>
        <v>0</v>
      </c>
      <c r="AP518" t="str">
        <f t="shared" si="2947"/>
        <v/>
      </c>
      <c r="AQ518" t="str">
        <f t="shared" si="2948"/>
        <v/>
      </c>
      <c r="AR518" t="str">
        <f t="shared" si="2949"/>
        <v/>
      </c>
      <c r="AS518" t="str">
        <f t="shared" si="2950"/>
        <v/>
      </c>
      <c r="AT518" t="str">
        <f t="shared" si="2951"/>
        <v/>
      </c>
      <c r="AU518" t="str">
        <f t="shared" si="2952"/>
        <v/>
      </c>
      <c r="AV518" t="str">
        <f t="shared" si="2953"/>
        <v/>
      </c>
      <c r="AW518" t="str">
        <f t="shared" si="2954"/>
        <v xml:space="preserve">                              </v>
      </c>
      <c r="AX518" s="23">
        <f t="shared" si="2955"/>
        <v>0</v>
      </c>
      <c r="AY518" s="49" t="str">
        <f t="shared" si="2931"/>
        <v>000000000000000</v>
      </c>
      <c r="AZ518" s="23">
        <f t="shared" si="2956"/>
        <v>0</v>
      </c>
      <c r="BA518" s="49" t="str">
        <f t="shared" si="2931"/>
        <v>000000000000000</v>
      </c>
      <c r="BB518" s="23">
        <f t="shared" si="2957"/>
        <v>0</v>
      </c>
      <c r="BC518" s="49" t="str">
        <f t="shared" ref="BC518" si="3312">IF(BB518&lt;0,SUBSTITUTE(TEXT(BB518,"000000000000,00"),",",""),SUBSTITUTE(TEXT(BB518,"0000000000000,00"),",",""))</f>
        <v>000000000000000</v>
      </c>
      <c r="BD518" s="23">
        <f t="shared" si="2959"/>
        <v>0</v>
      </c>
      <c r="BE518" s="49" t="str">
        <f t="shared" ref="BE518" si="3313">IF(BD518&lt;0,SUBSTITUTE(TEXT(BD518,"000000000000,00"),",",""),SUBSTITUTE(TEXT(BD518,"0000000000000,00"),",",""))</f>
        <v>000000000000000</v>
      </c>
      <c r="BF518" s="23">
        <f t="shared" si="2961"/>
        <v>0</v>
      </c>
      <c r="BG518" s="49" t="str">
        <f t="shared" ref="BG518" si="3314">IF(BF518&lt;0,SUBSTITUTE(TEXT(BF518,"000000000000,00"),",",""),SUBSTITUTE(TEXT(BF518,"0000000000000,00"),",",""))</f>
        <v>000000000000000</v>
      </c>
      <c r="BH518" s="23">
        <f t="shared" si="2963"/>
        <v>0</v>
      </c>
      <c r="BI518" s="49" t="str">
        <f t="shared" ref="BI518" si="3315">IF(BH518&lt;0,SUBSTITUTE(TEXT(BH518,"000000000000,00"),",",""),SUBSTITUTE(TEXT(BH518,"0000000000000,00"),",",""))</f>
        <v>000000000000000</v>
      </c>
      <c r="BJ518" s="23">
        <f t="shared" si="2965"/>
        <v>0</v>
      </c>
      <c r="BK518" s="49" t="str">
        <f t="shared" ref="BK518" si="3316">IF(BJ518&lt;0,SUBSTITUTE(TEXT(BJ518,"000000000000,00"),",",""),SUBSTITUTE(TEXT(BJ518,"0000000000000,00"),",",""))</f>
        <v>000000000000000</v>
      </c>
      <c r="BL518" s="23">
        <f t="shared" si="2967"/>
        <v>0</v>
      </c>
      <c r="BM518" s="49" t="str">
        <f t="shared" ref="BM518" si="3317">IF(BL518&lt;0,SUBSTITUTE(TEXT(BL518,"000000000000,00"),",",""),SUBSTITUTE(TEXT(BL518,"0000000000000,00"),",",""))</f>
        <v>000000000000000</v>
      </c>
      <c r="BN518" t="str">
        <f t="shared" si="2969"/>
        <v>PES</v>
      </c>
      <c r="BO518" t="str">
        <f t="shared" si="2970"/>
        <v>0001000000</v>
      </c>
      <c r="BP518">
        <f t="shared" si="2971"/>
        <v>0</v>
      </c>
      <c r="BQ518">
        <f t="shared" si="2972"/>
        <v>0</v>
      </c>
      <c r="BR518" s="23">
        <f t="shared" si="2973"/>
        <v>0</v>
      </c>
      <c r="BS518" s="49" t="str">
        <f t="shared" si="2938"/>
        <v>000000000000000</v>
      </c>
      <c r="BT518" t="str">
        <f t="shared" si="2974"/>
        <v>00000000</v>
      </c>
      <c r="BU518" s="23">
        <f t="shared" si="2975"/>
        <v>0</v>
      </c>
      <c r="BV518" s="49" t="str">
        <f t="shared" si="2939"/>
        <v/>
      </c>
      <c r="BW518" s="52" t="str">
        <f t="shared" si="2976"/>
        <v/>
      </c>
      <c r="BX518" s="23">
        <f t="shared" si="2977"/>
        <v>0</v>
      </c>
      <c r="BY518" s="49" t="str">
        <f t="shared" si="2940"/>
        <v/>
      </c>
      <c r="BZ518" s="23">
        <f t="shared" si="2978"/>
        <v>0</v>
      </c>
      <c r="CA518" s="49" t="str">
        <f t="shared" si="2941"/>
        <v/>
      </c>
      <c r="CB518" s="52" t="str">
        <f t="shared" si="2979"/>
        <v/>
      </c>
      <c r="CC518" s="23">
        <f t="shared" si="2980"/>
        <v>0</v>
      </c>
      <c r="CD518" s="49" t="str">
        <f t="shared" si="2942"/>
        <v/>
      </c>
      <c r="CE518" s="56" t="str">
        <f>IF(CF518="","",MAX(CE$10:$CE517)+1)</f>
        <v/>
      </c>
      <c r="CF518" t="str">
        <f t="shared" si="2981"/>
        <v/>
      </c>
      <c r="CG518" s="22" t="str">
        <f>IF(CH518="","",MAX($CG$10:CG517)+1)</f>
        <v/>
      </c>
      <c r="CH518" s="22" t="str">
        <f t="shared" si="2926"/>
        <v/>
      </c>
      <c r="CI518" s="22" t="str">
        <f>IF(CJ518="","",MAX($CI$10:CI517)+1)</f>
        <v/>
      </c>
      <c r="CJ518" s="22" t="str">
        <f t="shared" si="2927"/>
        <v/>
      </c>
    </row>
    <row r="519" spans="2:88" x14ac:dyDescent="0.25">
      <c r="B519" s="37"/>
      <c r="C519" s="3"/>
      <c r="D519" s="77" t="str">
        <f t="shared" si="2913"/>
        <v/>
      </c>
      <c r="E519" s="38"/>
      <c r="F519" s="38"/>
      <c r="G519" s="78">
        <f t="shared" si="2928"/>
        <v>0</v>
      </c>
      <c r="H519" s="3">
        <v>80</v>
      </c>
      <c r="I519" s="77" t="str">
        <f t="shared" si="2914"/>
        <v/>
      </c>
      <c r="J519" s="32"/>
      <c r="K519" s="3"/>
      <c r="L519" s="39"/>
      <c r="M519" s="39"/>
      <c r="N519" s="39"/>
      <c r="O519" s="39"/>
      <c r="P519" s="39"/>
      <c r="Q519" s="39"/>
      <c r="R519" s="39"/>
      <c r="S519" s="39"/>
      <c r="T519" s="3" t="s">
        <v>645</v>
      </c>
      <c r="U519" s="77" t="str">
        <f t="shared" si="2915"/>
        <v/>
      </c>
      <c r="V519" s="39">
        <v>1</v>
      </c>
      <c r="W519" s="79">
        <f t="shared" si="2929"/>
        <v>0</v>
      </c>
      <c r="X519" s="3">
        <v>0</v>
      </c>
      <c r="Y519" s="77" t="str">
        <f t="shared" si="2916"/>
        <v/>
      </c>
      <c r="Z519" s="3"/>
      <c r="AA519" s="37" t="str">
        <f t="shared" si="2930"/>
        <v/>
      </c>
      <c r="AC519" s="40"/>
      <c r="AD519" s="7"/>
      <c r="AE519" s="77" t="str">
        <f t="shared" si="2917"/>
        <v/>
      </c>
      <c r="AF519" s="81">
        <f t="shared" si="2943"/>
        <v>0</v>
      </c>
      <c r="AG519" s="40"/>
      <c r="AH519" s="7"/>
      <c r="AI519" s="77" t="str">
        <f t="shared" si="2918"/>
        <v/>
      </c>
      <c r="AJ519" s="81">
        <f t="shared" si="2944"/>
        <v>0</v>
      </c>
      <c r="AK519" s="83">
        <f t="shared" si="2945"/>
        <v>0</v>
      </c>
      <c r="AL519" s="83">
        <f t="shared" si="2946"/>
        <v>0</v>
      </c>
      <c r="AN519" s="43">
        <f t="shared" si="2919"/>
        <v>0</v>
      </c>
      <c r="AP519" t="str">
        <f t="shared" si="2947"/>
        <v/>
      </c>
      <c r="AQ519" t="str">
        <f t="shared" si="2948"/>
        <v/>
      </c>
      <c r="AR519" t="str">
        <f t="shared" si="2949"/>
        <v/>
      </c>
      <c r="AS519" t="str">
        <f t="shared" si="2950"/>
        <v/>
      </c>
      <c r="AT519" t="str">
        <f t="shared" si="2951"/>
        <v/>
      </c>
      <c r="AU519" t="str">
        <f t="shared" si="2952"/>
        <v/>
      </c>
      <c r="AV519" t="str">
        <f t="shared" si="2953"/>
        <v/>
      </c>
      <c r="AW519" t="str">
        <f t="shared" si="2954"/>
        <v xml:space="preserve">                              </v>
      </c>
      <c r="AX519" s="23">
        <f t="shared" si="2955"/>
        <v>0</v>
      </c>
      <c r="AY519" s="49" t="str">
        <f t="shared" si="2931"/>
        <v>000000000000000</v>
      </c>
      <c r="AZ519" s="23">
        <f t="shared" si="2956"/>
        <v>0</v>
      </c>
      <c r="BA519" s="49" t="str">
        <f t="shared" si="2931"/>
        <v>000000000000000</v>
      </c>
      <c r="BB519" s="23">
        <f t="shared" si="2957"/>
        <v>0</v>
      </c>
      <c r="BC519" s="49" t="str">
        <f t="shared" ref="BC519" si="3318">IF(BB519&lt;0,SUBSTITUTE(TEXT(BB519,"000000000000,00"),",",""),SUBSTITUTE(TEXT(BB519,"0000000000000,00"),",",""))</f>
        <v>000000000000000</v>
      </c>
      <c r="BD519" s="23">
        <f t="shared" si="2959"/>
        <v>0</v>
      </c>
      <c r="BE519" s="49" t="str">
        <f t="shared" ref="BE519" si="3319">IF(BD519&lt;0,SUBSTITUTE(TEXT(BD519,"000000000000,00"),",",""),SUBSTITUTE(TEXT(BD519,"0000000000000,00"),",",""))</f>
        <v>000000000000000</v>
      </c>
      <c r="BF519" s="23">
        <f t="shared" si="2961"/>
        <v>0</v>
      </c>
      <c r="BG519" s="49" t="str">
        <f t="shared" ref="BG519" si="3320">IF(BF519&lt;0,SUBSTITUTE(TEXT(BF519,"000000000000,00"),",",""),SUBSTITUTE(TEXT(BF519,"0000000000000,00"),",",""))</f>
        <v>000000000000000</v>
      </c>
      <c r="BH519" s="23">
        <f t="shared" si="2963"/>
        <v>0</v>
      </c>
      <c r="BI519" s="49" t="str">
        <f t="shared" ref="BI519" si="3321">IF(BH519&lt;0,SUBSTITUTE(TEXT(BH519,"000000000000,00"),",",""),SUBSTITUTE(TEXT(BH519,"0000000000000,00"),",",""))</f>
        <v>000000000000000</v>
      </c>
      <c r="BJ519" s="23">
        <f t="shared" si="2965"/>
        <v>0</v>
      </c>
      <c r="BK519" s="49" t="str">
        <f t="shared" ref="BK519" si="3322">IF(BJ519&lt;0,SUBSTITUTE(TEXT(BJ519,"000000000000,00"),",",""),SUBSTITUTE(TEXT(BJ519,"0000000000000,00"),",",""))</f>
        <v>000000000000000</v>
      </c>
      <c r="BL519" s="23">
        <f t="shared" si="2967"/>
        <v>0</v>
      </c>
      <c r="BM519" s="49" t="str">
        <f t="shared" ref="BM519" si="3323">IF(BL519&lt;0,SUBSTITUTE(TEXT(BL519,"000000000000,00"),",",""),SUBSTITUTE(TEXT(BL519,"0000000000000,00"),",",""))</f>
        <v>000000000000000</v>
      </c>
      <c r="BN519" t="str">
        <f t="shared" si="2969"/>
        <v>PES</v>
      </c>
      <c r="BO519" t="str">
        <f t="shared" si="2970"/>
        <v>0001000000</v>
      </c>
      <c r="BP519">
        <f t="shared" si="2971"/>
        <v>0</v>
      </c>
      <c r="BQ519">
        <f t="shared" si="2972"/>
        <v>0</v>
      </c>
      <c r="BR519" s="23">
        <f t="shared" si="2973"/>
        <v>0</v>
      </c>
      <c r="BS519" s="49" t="str">
        <f t="shared" si="2938"/>
        <v>000000000000000</v>
      </c>
      <c r="BT519" t="str">
        <f t="shared" si="2974"/>
        <v>00000000</v>
      </c>
      <c r="BU519" s="23">
        <f t="shared" si="2975"/>
        <v>0</v>
      </c>
      <c r="BV519" s="49" t="str">
        <f t="shared" si="2939"/>
        <v/>
      </c>
      <c r="BW519" s="52" t="str">
        <f t="shared" si="2976"/>
        <v/>
      </c>
      <c r="BX519" s="23">
        <f t="shared" si="2977"/>
        <v>0</v>
      </c>
      <c r="BY519" s="49" t="str">
        <f t="shared" si="2940"/>
        <v/>
      </c>
      <c r="BZ519" s="23">
        <f t="shared" si="2978"/>
        <v>0</v>
      </c>
      <c r="CA519" s="49" t="str">
        <f t="shared" si="2941"/>
        <v/>
      </c>
      <c r="CB519" s="52" t="str">
        <f t="shared" si="2979"/>
        <v/>
      </c>
      <c r="CC519" s="23">
        <f t="shared" si="2980"/>
        <v>0</v>
      </c>
      <c r="CD519" s="49" t="str">
        <f t="shared" si="2942"/>
        <v/>
      </c>
      <c r="CE519" s="56" t="str">
        <f>IF(CF519="","",MAX(CE$10:$CE518)+1)</f>
        <v/>
      </c>
      <c r="CF519" t="str">
        <f t="shared" si="2981"/>
        <v/>
      </c>
      <c r="CG519" s="22" t="str">
        <f>IF(CH519="","",MAX($CG$10:CG518)+1)</f>
        <v/>
      </c>
      <c r="CH519" s="22" t="str">
        <f t="shared" si="2926"/>
        <v/>
      </c>
      <c r="CI519" s="22" t="str">
        <f>IF(CJ519="","",MAX($CI$10:CI518)+1)</f>
        <v/>
      </c>
      <c r="CJ519" s="22" t="str">
        <f t="shared" si="2927"/>
        <v/>
      </c>
    </row>
    <row r="520" spans="2:88" x14ac:dyDescent="0.25">
      <c r="B520" s="37"/>
      <c r="C520" s="3"/>
      <c r="D520" s="77" t="str">
        <f t="shared" si="2913"/>
        <v/>
      </c>
      <c r="E520" s="38"/>
      <c r="F520" s="38"/>
      <c r="G520" s="78">
        <f t="shared" si="2928"/>
        <v>0</v>
      </c>
      <c r="H520" s="3">
        <v>80</v>
      </c>
      <c r="I520" s="77" t="str">
        <f t="shared" si="2914"/>
        <v/>
      </c>
      <c r="J520" s="32"/>
      <c r="K520" s="3"/>
      <c r="L520" s="39"/>
      <c r="M520" s="39"/>
      <c r="N520" s="39"/>
      <c r="O520" s="39"/>
      <c r="P520" s="39"/>
      <c r="Q520" s="39"/>
      <c r="R520" s="39"/>
      <c r="S520" s="39"/>
      <c r="T520" s="3" t="s">
        <v>645</v>
      </c>
      <c r="U520" s="77" t="str">
        <f t="shared" si="2915"/>
        <v/>
      </c>
      <c r="V520" s="39">
        <v>1</v>
      </c>
      <c r="W520" s="79">
        <f t="shared" si="2929"/>
        <v>0</v>
      </c>
      <c r="X520" s="3">
        <v>0</v>
      </c>
      <c r="Y520" s="77" t="str">
        <f t="shared" si="2916"/>
        <v/>
      </c>
      <c r="Z520" s="3"/>
      <c r="AA520" s="37" t="str">
        <f t="shared" si="2930"/>
        <v/>
      </c>
      <c r="AC520" s="40"/>
      <c r="AD520" s="7"/>
      <c r="AE520" s="77" t="str">
        <f t="shared" si="2917"/>
        <v/>
      </c>
      <c r="AF520" s="81">
        <f t="shared" si="2943"/>
        <v>0</v>
      </c>
      <c r="AG520" s="40"/>
      <c r="AH520" s="7"/>
      <c r="AI520" s="77" t="str">
        <f t="shared" si="2918"/>
        <v/>
      </c>
      <c r="AJ520" s="81">
        <f t="shared" si="2944"/>
        <v>0</v>
      </c>
      <c r="AK520" s="83">
        <f t="shared" si="2945"/>
        <v>0</v>
      </c>
      <c r="AL520" s="83">
        <f t="shared" si="2946"/>
        <v>0</v>
      </c>
      <c r="AN520" s="43">
        <f t="shared" si="2919"/>
        <v>0</v>
      </c>
      <c r="AP520" t="str">
        <f t="shared" si="2947"/>
        <v/>
      </c>
      <c r="AQ520" t="str">
        <f t="shared" si="2948"/>
        <v/>
      </c>
      <c r="AR520" t="str">
        <f t="shared" si="2949"/>
        <v/>
      </c>
      <c r="AS520" t="str">
        <f t="shared" si="2950"/>
        <v/>
      </c>
      <c r="AT520" t="str">
        <f t="shared" si="2951"/>
        <v/>
      </c>
      <c r="AU520" t="str">
        <f t="shared" si="2952"/>
        <v/>
      </c>
      <c r="AV520" t="str">
        <f t="shared" si="2953"/>
        <v/>
      </c>
      <c r="AW520" t="str">
        <f t="shared" si="2954"/>
        <v xml:space="preserve">                              </v>
      </c>
      <c r="AX520" s="23">
        <f t="shared" si="2955"/>
        <v>0</v>
      </c>
      <c r="AY520" s="49" t="str">
        <f t="shared" si="2931"/>
        <v>000000000000000</v>
      </c>
      <c r="AZ520" s="23">
        <f t="shared" si="2956"/>
        <v>0</v>
      </c>
      <c r="BA520" s="49" t="str">
        <f t="shared" si="2931"/>
        <v>000000000000000</v>
      </c>
      <c r="BB520" s="23">
        <f t="shared" si="2957"/>
        <v>0</v>
      </c>
      <c r="BC520" s="49" t="str">
        <f t="shared" ref="BC520" si="3324">IF(BB520&lt;0,SUBSTITUTE(TEXT(BB520,"000000000000,00"),",",""),SUBSTITUTE(TEXT(BB520,"0000000000000,00"),",",""))</f>
        <v>000000000000000</v>
      </c>
      <c r="BD520" s="23">
        <f t="shared" si="2959"/>
        <v>0</v>
      </c>
      <c r="BE520" s="49" t="str">
        <f t="shared" ref="BE520" si="3325">IF(BD520&lt;0,SUBSTITUTE(TEXT(BD520,"000000000000,00"),",",""),SUBSTITUTE(TEXT(BD520,"0000000000000,00"),",",""))</f>
        <v>000000000000000</v>
      </c>
      <c r="BF520" s="23">
        <f t="shared" si="2961"/>
        <v>0</v>
      </c>
      <c r="BG520" s="49" t="str">
        <f t="shared" ref="BG520" si="3326">IF(BF520&lt;0,SUBSTITUTE(TEXT(BF520,"000000000000,00"),",",""),SUBSTITUTE(TEXT(BF520,"0000000000000,00"),",",""))</f>
        <v>000000000000000</v>
      </c>
      <c r="BH520" s="23">
        <f t="shared" si="2963"/>
        <v>0</v>
      </c>
      <c r="BI520" s="49" t="str">
        <f t="shared" ref="BI520" si="3327">IF(BH520&lt;0,SUBSTITUTE(TEXT(BH520,"000000000000,00"),",",""),SUBSTITUTE(TEXT(BH520,"0000000000000,00"),",",""))</f>
        <v>000000000000000</v>
      </c>
      <c r="BJ520" s="23">
        <f t="shared" si="2965"/>
        <v>0</v>
      </c>
      <c r="BK520" s="49" t="str">
        <f t="shared" ref="BK520" si="3328">IF(BJ520&lt;0,SUBSTITUTE(TEXT(BJ520,"000000000000,00"),",",""),SUBSTITUTE(TEXT(BJ520,"0000000000000,00"),",",""))</f>
        <v>000000000000000</v>
      </c>
      <c r="BL520" s="23">
        <f t="shared" si="2967"/>
        <v>0</v>
      </c>
      <c r="BM520" s="49" t="str">
        <f t="shared" ref="BM520" si="3329">IF(BL520&lt;0,SUBSTITUTE(TEXT(BL520,"000000000000,00"),",",""),SUBSTITUTE(TEXT(BL520,"0000000000000,00"),",",""))</f>
        <v>000000000000000</v>
      </c>
      <c r="BN520" t="str">
        <f t="shared" si="2969"/>
        <v>PES</v>
      </c>
      <c r="BO520" t="str">
        <f t="shared" si="2970"/>
        <v>0001000000</v>
      </c>
      <c r="BP520">
        <f t="shared" si="2971"/>
        <v>0</v>
      </c>
      <c r="BQ520">
        <f t="shared" si="2972"/>
        <v>0</v>
      </c>
      <c r="BR520" s="23">
        <f t="shared" si="2973"/>
        <v>0</v>
      </c>
      <c r="BS520" s="49" t="str">
        <f t="shared" si="2938"/>
        <v>000000000000000</v>
      </c>
      <c r="BT520" t="str">
        <f t="shared" si="2974"/>
        <v>00000000</v>
      </c>
      <c r="BU520" s="23">
        <f t="shared" si="2975"/>
        <v>0</v>
      </c>
      <c r="BV520" s="49" t="str">
        <f t="shared" si="2939"/>
        <v/>
      </c>
      <c r="BW520" s="52" t="str">
        <f t="shared" si="2976"/>
        <v/>
      </c>
      <c r="BX520" s="23">
        <f t="shared" si="2977"/>
        <v>0</v>
      </c>
      <c r="BY520" s="49" t="str">
        <f t="shared" si="2940"/>
        <v/>
      </c>
      <c r="BZ520" s="23">
        <f t="shared" si="2978"/>
        <v>0</v>
      </c>
      <c r="CA520" s="49" t="str">
        <f t="shared" si="2941"/>
        <v/>
      </c>
      <c r="CB520" s="52" t="str">
        <f t="shared" si="2979"/>
        <v/>
      </c>
      <c r="CC520" s="23">
        <f t="shared" si="2980"/>
        <v>0</v>
      </c>
      <c r="CD520" s="49" t="str">
        <f t="shared" si="2942"/>
        <v/>
      </c>
      <c r="CE520" s="56" t="str">
        <f>IF(CF520="","",MAX(CE$10:$CE519)+1)</f>
        <v/>
      </c>
      <c r="CF520" t="str">
        <f t="shared" si="2981"/>
        <v/>
      </c>
      <c r="CG520" s="22" t="str">
        <f>IF(CH520="","",MAX($CG$10:CG519)+1)</f>
        <v/>
      </c>
      <c r="CH520" s="22" t="str">
        <f t="shared" si="2926"/>
        <v/>
      </c>
      <c r="CI520" s="22" t="str">
        <f>IF(CJ520="","",MAX($CI$10:CI519)+1)</f>
        <v/>
      </c>
      <c r="CJ520" s="22" t="str">
        <f t="shared" si="2927"/>
        <v/>
      </c>
    </row>
    <row r="521" spans="2:88" x14ac:dyDescent="0.25">
      <c r="B521" s="37"/>
      <c r="C521" s="3"/>
      <c r="D521" s="77" t="str">
        <f t="shared" si="2913"/>
        <v/>
      </c>
      <c r="E521" s="38"/>
      <c r="F521" s="38"/>
      <c r="G521" s="78">
        <f t="shared" si="2928"/>
        <v>0</v>
      </c>
      <c r="H521" s="3">
        <v>80</v>
      </c>
      <c r="I521" s="77" t="str">
        <f t="shared" si="2914"/>
        <v/>
      </c>
      <c r="J521" s="32"/>
      <c r="K521" s="3"/>
      <c r="L521" s="39"/>
      <c r="M521" s="39"/>
      <c r="N521" s="39"/>
      <c r="O521" s="39"/>
      <c r="P521" s="39"/>
      <c r="Q521" s="39"/>
      <c r="R521" s="39"/>
      <c r="S521" s="39"/>
      <c r="T521" s="3" t="s">
        <v>645</v>
      </c>
      <c r="U521" s="77" t="str">
        <f t="shared" si="2915"/>
        <v/>
      </c>
      <c r="V521" s="39">
        <v>1</v>
      </c>
      <c r="W521" s="79">
        <f t="shared" si="2929"/>
        <v>0</v>
      </c>
      <c r="X521" s="3">
        <v>0</v>
      </c>
      <c r="Y521" s="77" t="str">
        <f t="shared" si="2916"/>
        <v/>
      </c>
      <c r="Z521" s="3"/>
      <c r="AA521" s="37" t="str">
        <f t="shared" si="2930"/>
        <v/>
      </c>
      <c r="AC521" s="40"/>
      <c r="AD521" s="7"/>
      <c r="AE521" s="77" t="str">
        <f t="shared" si="2917"/>
        <v/>
      </c>
      <c r="AF521" s="81">
        <f t="shared" si="2943"/>
        <v>0</v>
      </c>
      <c r="AG521" s="40"/>
      <c r="AH521" s="7"/>
      <c r="AI521" s="77" t="str">
        <f t="shared" si="2918"/>
        <v/>
      </c>
      <c r="AJ521" s="81">
        <f t="shared" si="2944"/>
        <v>0</v>
      </c>
      <c r="AK521" s="83">
        <f t="shared" si="2945"/>
        <v>0</v>
      </c>
      <c r="AL521" s="83">
        <f t="shared" si="2946"/>
        <v>0</v>
      </c>
      <c r="AN521" s="43">
        <f t="shared" si="2919"/>
        <v>0</v>
      </c>
      <c r="AP521" t="str">
        <f t="shared" si="2947"/>
        <v/>
      </c>
      <c r="AQ521" t="str">
        <f t="shared" si="2948"/>
        <v/>
      </c>
      <c r="AR521" t="str">
        <f t="shared" si="2949"/>
        <v/>
      </c>
      <c r="AS521" t="str">
        <f t="shared" si="2950"/>
        <v/>
      </c>
      <c r="AT521" t="str">
        <f t="shared" si="2951"/>
        <v/>
      </c>
      <c r="AU521" t="str">
        <f t="shared" si="2952"/>
        <v/>
      </c>
      <c r="AV521" t="str">
        <f t="shared" si="2953"/>
        <v/>
      </c>
      <c r="AW521" t="str">
        <f t="shared" si="2954"/>
        <v xml:space="preserve">                              </v>
      </c>
      <c r="AX521" s="23">
        <f t="shared" si="2955"/>
        <v>0</v>
      </c>
      <c r="AY521" s="49" t="str">
        <f t="shared" si="2931"/>
        <v>000000000000000</v>
      </c>
      <c r="AZ521" s="23">
        <f t="shared" si="2956"/>
        <v>0</v>
      </c>
      <c r="BA521" s="49" t="str">
        <f t="shared" si="2931"/>
        <v>000000000000000</v>
      </c>
      <c r="BB521" s="23">
        <f t="shared" si="2957"/>
        <v>0</v>
      </c>
      <c r="BC521" s="49" t="str">
        <f t="shared" ref="BC521" si="3330">IF(BB521&lt;0,SUBSTITUTE(TEXT(BB521,"000000000000,00"),",",""),SUBSTITUTE(TEXT(BB521,"0000000000000,00"),",",""))</f>
        <v>000000000000000</v>
      </c>
      <c r="BD521" s="23">
        <f t="shared" si="2959"/>
        <v>0</v>
      </c>
      <c r="BE521" s="49" t="str">
        <f t="shared" ref="BE521" si="3331">IF(BD521&lt;0,SUBSTITUTE(TEXT(BD521,"000000000000,00"),",",""),SUBSTITUTE(TEXT(BD521,"0000000000000,00"),",",""))</f>
        <v>000000000000000</v>
      </c>
      <c r="BF521" s="23">
        <f t="shared" si="2961"/>
        <v>0</v>
      </c>
      <c r="BG521" s="49" t="str">
        <f t="shared" ref="BG521" si="3332">IF(BF521&lt;0,SUBSTITUTE(TEXT(BF521,"000000000000,00"),",",""),SUBSTITUTE(TEXT(BF521,"0000000000000,00"),",",""))</f>
        <v>000000000000000</v>
      </c>
      <c r="BH521" s="23">
        <f t="shared" si="2963"/>
        <v>0</v>
      </c>
      <c r="BI521" s="49" t="str">
        <f t="shared" ref="BI521" si="3333">IF(BH521&lt;0,SUBSTITUTE(TEXT(BH521,"000000000000,00"),",",""),SUBSTITUTE(TEXT(BH521,"0000000000000,00"),",",""))</f>
        <v>000000000000000</v>
      </c>
      <c r="BJ521" s="23">
        <f t="shared" si="2965"/>
        <v>0</v>
      </c>
      <c r="BK521" s="49" t="str">
        <f t="shared" ref="BK521" si="3334">IF(BJ521&lt;0,SUBSTITUTE(TEXT(BJ521,"000000000000,00"),",",""),SUBSTITUTE(TEXT(BJ521,"0000000000000,00"),",",""))</f>
        <v>000000000000000</v>
      </c>
      <c r="BL521" s="23">
        <f t="shared" si="2967"/>
        <v>0</v>
      </c>
      <c r="BM521" s="49" t="str">
        <f t="shared" ref="BM521" si="3335">IF(BL521&lt;0,SUBSTITUTE(TEXT(BL521,"000000000000,00"),",",""),SUBSTITUTE(TEXT(BL521,"0000000000000,00"),",",""))</f>
        <v>000000000000000</v>
      </c>
      <c r="BN521" t="str">
        <f t="shared" si="2969"/>
        <v>PES</v>
      </c>
      <c r="BO521" t="str">
        <f t="shared" si="2970"/>
        <v>0001000000</v>
      </c>
      <c r="BP521">
        <f t="shared" si="2971"/>
        <v>0</v>
      </c>
      <c r="BQ521">
        <f t="shared" si="2972"/>
        <v>0</v>
      </c>
      <c r="BR521" s="23">
        <f t="shared" si="2973"/>
        <v>0</v>
      </c>
      <c r="BS521" s="49" t="str">
        <f t="shared" si="2938"/>
        <v>000000000000000</v>
      </c>
      <c r="BT521" t="str">
        <f t="shared" si="2974"/>
        <v>00000000</v>
      </c>
      <c r="BU521" s="23">
        <f t="shared" si="2975"/>
        <v>0</v>
      </c>
      <c r="BV521" s="49" t="str">
        <f t="shared" si="2939"/>
        <v/>
      </c>
      <c r="BW521" s="52" t="str">
        <f t="shared" si="2976"/>
        <v/>
      </c>
      <c r="BX521" s="23">
        <f t="shared" si="2977"/>
        <v>0</v>
      </c>
      <c r="BY521" s="49" t="str">
        <f t="shared" si="2940"/>
        <v/>
      </c>
      <c r="BZ521" s="23">
        <f t="shared" si="2978"/>
        <v>0</v>
      </c>
      <c r="CA521" s="49" t="str">
        <f t="shared" si="2941"/>
        <v/>
      </c>
      <c r="CB521" s="52" t="str">
        <f t="shared" si="2979"/>
        <v/>
      </c>
      <c r="CC521" s="23">
        <f t="shared" si="2980"/>
        <v>0</v>
      </c>
      <c r="CD521" s="49" t="str">
        <f t="shared" si="2942"/>
        <v/>
      </c>
      <c r="CE521" s="56" t="str">
        <f>IF(CF521="","",MAX(CE$10:$CE520)+1)</f>
        <v/>
      </c>
      <c r="CF521" t="str">
        <f t="shared" si="2981"/>
        <v/>
      </c>
      <c r="CG521" s="22" t="str">
        <f>IF(CH521="","",MAX($CG$10:CG520)+1)</f>
        <v/>
      </c>
      <c r="CH521" s="22" t="str">
        <f t="shared" si="2926"/>
        <v/>
      </c>
      <c r="CI521" s="22" t="str">
        <f>IF(CJ521="","",MAX($CI$10:CI520)+1)</f>
        <v/>
      </c>
      <c r="CJ521" s="22" t="str">
        <f t="shared" si="2927"/>
        <v/>
      </c>
    </row>
    <row r="522" spans="2:88" x14ac:dyDescent="0.25">
      <c r="B522" s="37"/>
      <c r="C522" s="3"/>
      <c r="D522" s="77" t="str">
        <f t="shared" si="2913"/>
        <v/>
      </c>
      <c r="E522" s="38"/>
      <c r="F522" s="38"/>
      <c r="G522" s="78">
        <f t="shared" si="2928"/>
        <v>0</v>
      </c>
      <c r="H522" s="3">
        <v>80</v>
      </c>
      <c r="I522" s="77" t="str">
        <f t="shared" si="2914"/>
        <v/>
      </c>
      <c r="J522" s="32"/>
      <c r="K522" s="3"/>
      <c r="L522" s="39"/>
      <c r="M522" s="39"/>
      <c r="N522" s="39"/>
      <c r="O522" s="39"/>
      <c r="P522" s="39"/>
      <c r="Q522" s="39"/>
      <c r="R522" s="39"/>
      <c r="S522" s="39"/>
      <c r="T522" s="3" t="s">
        <v>645</v>
      </c>
      <c r="U522" s="77" t="str">
        <f t="shared" si="2915"/>
        <v/>
      </c>
      <c r="V522" s="39">
        <v>1</v>
      </c>
      <c r="W522" s="79">
        <f t="shared" si="2929"/>
        <v>0</v>
      </c>
      <c r="X522" s="3">
        <v>0</v>
      </c>
      <c r="Y522" s="77" t="str">
        <f t="shared" si="2916"/>
        <v/>
      </c>
      <c r="Z522" s="3"/>
      <c r="AA522" s="37" t="str">
        <f t="shared" si="2930"/>
        <v/>
      </c>
      <c r="AC522" s="40"/>
      <c r="AD522" s="7"/>
      <c r="AE522" s="77" t="str">
        <f t="shared" si="2917"/>
        <v/>
      </c>
      <c r="AF522" s="81">
        <f t="shared" si="2943"/>
        <v>0</v>
      </c>
      <c r="AG522" s="40"/>
      <c r="AH522" s="7"/>
      <c r="AI522" s="77" t="str">
        <f t="shared" si="2918"/>
        <v/>
      </c>
      <c r="AJ522" s="81">
        <f t="shared" si="2944"/>
        <v>0</v>
      </c>
      <c r="AK522" s="83">
        <f t="shared" si="2945"/>
        <v>0</v>
      </c>
      <c r="AL522" s="83">
        <f t="shared" si="2946"/>
        <v>0</v>
      </c>
      <c r="AN522" s="43">
        <f t="shared" si="2919"/>
        <v>0</v>
      </c>
      <c r="AP522" t="str">
        <f t="shared" si="2947"/>
        <v/>
      </c>
      <c r="AQ522" t="str">
        <f t="shared" si="2948"/>
        <v/>
      </c>
      <c r="AR522" t="str">
        <f t="shared" si="2949"/>
        <v/>
      </c>
      <c r="AS522" t="str">
        <f t="shared" si="2950"/>
        <v/>
      </c>
      <c r="AT522" t="str">
        <f t="shared" si="2951"/>
        <v/>
      </c>
      <c r="AU522" t="str">
        <f t="shared" si="2952"/>
        <v/>
      </c>
      <c r="AV522" t="str">
        <f t="shared" si="2953"/>
        <v/>
      </c>
      <c r="AW522" t="str">
        <f t="shared" si="2954"/>
        <v xml:space="preserve">                              </v>
      </c>
      <c r="AX522" s="23">
        <f t="shared" si="2955"/>
        <v>0</v>
      </c>
      <c r="AY522" s="49" t="str">
        <f t="shared" si="2931"/>
        <v>000000000000000</v>
      </c>
      <c r="AZ522" s="23">
        <f t="shared" si="2956"/>
        <v>0</v>
      </c>
      <c r="BA522" s="49" t="str">
        <f t="shared" si="2931"/>
        <v>000000000000000</v>
      </c>
      <c r="BB522" s="23">
        <f t="shared" si="2957"/>
        <v>0</v>
      </c>
      <c r="BC522" s="49" t="str">
        <f t="shared" ref="BC522" si="3336">IF(BB522&lt;0,SUBSTITUTE(TEXT(BB522,"000000000000,00"),",",""),SUBSTITUTE(TEXT(BB522,"0000000000000,00"),",",""))</f>
        <v>000000000000000</v>
      </c>
      <c r="BD522" s="23">
        <f t="shared" si="2959"/>
        <v>0</v>
      </c>
      <c r="BE522" s="49" t="str">
        <f t="shared" ref="BE522" si="3337">IF(BD522&lt;0,SUBSTITUTE(TEXT(BD522,"000000000000,00"),",",""),SUBSTITUTE(TEXT(BD522,"0000000000000,00"),",",""))</f>
        <v>000000000000000</v>
      </c>
      <c r="BF522" s="23">
        <f t="shared" si="2961"/>
        <v>0</v>
      </c>
      <c r="BG522" s="49" t="str">
        <f t="shared" ref="BG522" si="3338">IF(BF522&lt;0,SUBSTITUTE(TEXT(BF522,"000000000000,00"),",",""),SUBSTITUTE(TEXT(BF522,"0000000000000,00"),",",""))</f>
        <v>000000000000000</v>
      </c>
      <c r="BH522" s="23">
        <f t="shared" si="2963"/>
        <v>0</v>
      </c>
      <c r="BI522" s="49" t="str">
        <f t="shared" ref="BI522" si="3339">IF(BH522&lt;0,SUBSTITUTE(TEXT(BH522,"000000000000,00"),",",""),SUBSTITUTE(TEXT(BH522,"0000000000000,00"),",",""))</f>
        <v>000000000000000</v>
      </c>
      <c r="BJ522" s="23">
        <f t="shared" si="2965"/>
        <v>0</v>
      </c>
      <c r="BK522" s="49" t="str">
        <f t="shared" ref="BK522" si="3340">IF(BJ522&lt;0,SUBSTITUTE(TEXT(BJ522,"000000000000,00"),",",""),SUBSTITUTE(TEXT(BJ522,"0000000000000,00"),",",""))</f>
        <v>000000000000000</v>
      </c>
      <c r="BL522" s="23">
        <f t="shared" si="2967"/>
        <v>0</v>
      </c>
      <c r="BM522" s="49" t="str">
        <f t="shared" ref="BM522" si="3341">IF(BL522&lt;0,SUBSTITUTE(TEXT(BL522,"000000000000,00"),",",""),SUBSTITUTE(TEXT(BL522,"0000000000000,00"),",",""))</f>
        <v>000000000000000</v>
      </c>
      <c r="BN522" t="str">
        <f t="shared" si="2969"/>
        <v>PES</v>
      </c>
      <c r="BO522" t="str">
        <f t="shared" si="2970"/>
        <v>0001000000</v>
      </c>
      <c r="BP522">
        <f t="shared" si="2971"/>
        <v>0</v>
      </c>
      <c r="BQ522">
        <f t="shared" si="2972"/>
        <v>0</v>
      </c>
      <c r="BR522" s="23">
        <f t="shared" si="2973"/>
        <v>0</v>
      </c>
      <c r="BS522" s="49" t="str">
        <f t="shared" si="2938"/>
        <v>000000000000000</v>
      </c>
      <c r="BT522" t="str">
        <f t="shared" si="2974"/>
        <v>00000000</v>
      </c>
      <c r="BU522" s="23">
        <f t="shared" si="2975"/>
        <v>0</v>
      </c>
      <c r="BV522" s="49" t="str">
        <f t="shared" si="2939"/>
        <v/>
      </c>
      <c r="BW522" s="52" t="str">
        <f t="shared" si="2976"/>
        <v/>
      </c>
      <c r="BX522" s="23">
        <f t="shared" si="2977"/>
        <v>0</v>
      </c>
      <c r="BY522" s="49" t="str">
        <f t="shared" si="2940"/>
        <v/>
      </c>
      <c r="BZ522" s="23">
        <f t="shared" si="2978"/>
        <v>0</v>
      </c>
      <c r="CA522" s="49" t="str">
        <f t="shared" si="2941"/>
        <v/>
      </c>
      <c r="CB522" s="52" t="str">
        <f t="shared" si="2979"/>
        <v/>
      </c>
      <c r="CC522" s="23">
        <f t="shared" si="2980"/>
        <v>0</v>
      </c>
      <c r="CD522" s="49" t="str">
        <f t="shared" si="2942"/>
        <v/>
      </c>
      <c r="CE522" s="56" t="str">
        <f>IF(CF522="","",MAX(CE$10:$CE521)+1)</f>
        <v/>
      </c>
      <c r="CF522" t="str">
        <f t="shared" si="2981"/>
        <v/>
      </c>
      <c r="CG522" s="22" t="str">
        <f>IF(CH522="","",MAX($CG$10:CG521)+1)</f>
        <v/>
      </c>
      <c r="CH522" s="22" t="str">
        <f t="shared" si="2926"/>
        <v/>
      </c>
      <c r="CI522" s="22" t="str">
        <f>IF(CJ522="","",MAX($CI$10:CI521)+1)</f>
        <v/>
      </c>
      <c r="CJ522" s="22" t="str">
        <f t="shared" si="2927"/>
        <v/>
      </c>
    </row>
    <row r="523" spans="2:88" x14ac:dyDescent="0.25">
      <c r="B523" s="37"/>
      <c r="C523" s="3"/>
      <c r="D523" s="77" t="str">
        <f t="shared" si="2913"/>
        <v/>
      </c>
      <c r="E523" s="38"/>
      <c r="F523" s="38"/>
      <c r="G523" s="78">
        <f t="shared" si="2928"/>
        <v>0</v>
      </c>
      <c r="H523" s="3">
        <v>80</v>
      </c>
      <c r="I523" s="77" t="str">
        <f t="shared" si="2914"/>
        <v/>
      </c>
      <c r="J523" s="32"/>
      <c r="K523" s="3"/>
      <c r="L523" s="39"/>
      <c r="M523" s="39"/>
      <c r="N523" s="39"/>
      <c r="O523" s="39"/>
      <c r="P523" s="39"/>
      <c r="Q523" s="39"/>
      <c r="R523" s="39"/>
      <c r="S523" s="39"/>
      <c r="T523" s="3" t="s">
        <v>645</v>
      </c>
      <c r="U523" s="77" t="str">
        <f t="shared" si="2915"/>
        <v/>
      </c>
      <c r="V523" s="39">
        <v>1</v>
      </c>
      <c r="W523" s="79">
        <f t="shared" si="2929"/>
        <v>0</v>
      </c>
      <c r="X523" s="3">
        <v>0</v>
      </c>
      <c r="Y523" s="77" t="str">
        <f t="shared" si="2916"/>
        <v/>
      </c>
      <c r="Z523" s="3"/>
      <c r="AA523" s="37" t="str">
        <f t="shared" si="2930"/>
        <v/>
      </c>
      <c r="AC523" s="40"/>
      <c r="AD523" s="7"/>
      <c r="AE523" s="77" t="str">
        <f t="shared" si="2917"/>
        <v/>
      </c>
      <c r="AF523" s="81">
        <f t="shared" si="2943"/>
        <v>0</v>
      </c>
      <c r="AG523" s="40"/>
      <c r="AH523" s="7"/>
      <c r="AI523" s="77" t="str">
        <f t="shared" si="2918"/>
        <v/>
      </c>
      <c r="AJ523" s="81">
        <f t="shared" si="2944"/>
        <v>0</v>
      </c>
      <c r="AK523" s="83">
        <f t="shared" si="2945"/>
        <v>0</v>
      </c>
      <c r="AL523" s="83">
        <f t="shared" si="2946"/>
        <v>0</v>
      </c>
      <c r="AN523" s="43">
        <f t="shared" si="2919"/>
        <v>0</v>
      </c>
      <c r="AP523" t="str">
        <f t="shared" si="2947"/>
        <v/>
      </c>
      <c r="AQ523" t="str">
        <f t="shared" si="2948"/>
        <v/>
      </c>
      <c r="AR523" t="str">
        <f t="shared" si="2949"/>
        <v/>
      </c>
      <c r="AS523" t="str">
        <f t="shared" si="2950"/>
        <v/>
      </c>
      <c r="AT523" t="str">
        <f t="shared" si="2951"/>
        <v/>
      </c>
      <c r="AU523" t="str">
        <f t="shared" si="2952"/>
        <v/>
      </c>
      <c r="AV523" t="str">
        <f t="shared" si="2953"/>
        <v/>
      </c>
      <c r="AW523" t="str">
        <f t="shared" si="2954"/>
        <v xml:space="preserve">                              </v>
      </c>
      <c r="AX523" s="23">
        <f t="shared" si="2955"/>
        <v>0</v>
      </c>
      <c r="AY523" s="49" t="str">
        <f t="shared" si="2931"/>
        <v>000000000000000</v>
      </c>
      <c r="AZ523" s="23">
        <f t="shared" si="2956"/>
        <v>0</v>
      </c>
      <c r="BA523" s="49" t="str">
        <f t="shared" si="2931"/>
        <v>000000000000000</v>
      </c>
      <c r="BB523" s="23">
        <f t="shared" si="2957"/>
        <v>0</v>
      </c>
      <c r="BC523" s="49" t="str">
        <f t="shared" ref="BC523" si="3342">IF(BB523&lt;0,SUBSTITUTE(TEXT(BB523,"000000000000,00"),",",""),SUBSTITUTE(TEXT(BB523,"0000000000000,00"),",",""))</f>
        <v>000000000000000</v>
      </c>
      <c r="BD523" s="23">
        <f t="shared" si="2959"/>
        <v>0</v>
      </c>
      <c r="BE523" s="49" t="str">
        <f t="shared" ref="BE523" si="3343">IF(BD523&lt;0,SUBSTITUTE(TEXT(BD523,"000000000000,00"),",",""),SUBSTITUTE(TEXT(BD523,"0000000000000,00"),",",""))</f>
        <v>000000000000000</v>
      </c>
      <c r="BF523" s="23">
        <f t="shared" si="2961"/>
        <v>0</v>
      </c>
      <c r="BG523" s="49" t="str">
        <f t="shared" ref="BG523" si="3344">IF(BF523&lt;0,SUBSTITUTE(TEXT(BF523,"000000000000,00"),",",""),SUBSTITUTE(TEXT(BF523,"0000000000000,00"),",",""))</f>
        <v>000000000000000</v>
      </c>
      <c r="BH523" s="23">
        <f t="shared" si="2963"/>
        <v>0</v>
      </c>
      <c r="BI523" s="49" t="str">
        <f t="shared" ref="BI523" si="3345">IF(BH523&lt;0,SUBSTITUTE(TEXT(BH523,"000000000000,00"),",",""),SUBSTITUTE(TEXT(BH523,"0000000000000,00"),",",""))</f>
        <v>000000000000000</v>
      </c>
      <c r="BJ523" s="23">
        <f t="shared" si="2965"/>
        <v>0</v>
      </c>
      <c r="BK523" s="49" t="str">
        <f t="shared" ref="BK523" si="3346">IF(BJ523&lt;0,SUBSTITUTE(TEXT(BJ523,"000000000000,00"),",",""),SUBSTITUTE(TEXT(BJ523,"0000000000000,00"),",",""))</f>
        <v>000000000000000</v>
      </c>
      <c r="BL523" s="23">
        <f t="shared" si="2967"/>
        <v>0</v>
      </c>
      <c r="BM523" s="49" t="str">
        <f t="shared" ref="BM523" si="3347">IF(BL523&lt;0,SUBSTITUTE(TEXT(BL523,"000000000000,00"),",",""),SUBSTITUTE(TEXT(BL523,"0000000000000,00"),",",""))</f>
        <v>000000000000000</v>
      </c>
      <c r="BN523" t="str">
        <f t="shared" si="2969"/>
        <v>PES</v>
      </c>
      <c r="BO523" t="str">
        <f t="shared" si="2970"/>
        <v>0001000000</v>
      </c>
      <c r="BP523">
        <f t="shared" si="2971"/>
        <v>0</v>
      </c>
      <c r="BQ523">
        <f t="shared" si="2972"/>
        <v>0</v>
      </c>
      <c r="BR523" s="23">
        <f t="shared" si="2973"/>
        <v>0</v>
      </c>
      <c r="BS523" s="49" t="str">
        <f t="shared" si="2938"/>
        <v>000000000000000</v>
      </c>
      <c r="BT523" t="str">
        <f t="shared" si="2974"/>
        <v>00000000</v>
      </c>
      <c r="BU523" s="23">
        <f t="shared" si="2975"/>
        <v>0</v>
      </c>
      <c r="BV523" s="49" t="str">
        <f t="shared" si="2939"/>
        <v/>
      </c>
      <c r="BW523" s="52" t="str">
        <f t="shared" si="2976"/>
        <v/>
      </c>
      <c r="BX523" s="23">
        <f t="shared" si="2977"/>
        <v>0</v>
      </c>
      <c r="BY523" s="49" t="str">
        <f t="shared" si="2940"/>
        <v/>
      </c>
      <c r="BZ523" s="23">
        <f t="shared" si="2978"/>
        <v>0</v>
      </c>
      <c r="CA523" s="49" t="str">
        <f t="shared" si="2941"/>
        <v/>
      </c>
      <c r="CB523" s="52" t="str">
        <f t="shared" si="2979"/>
        <v/>
      </c>
      <c r="CC523" s="23">
        <f t="shared" si="2980"/>
        <v>0</v>
      </c>
      <c r="CD523" s="49" t="str">
        <f t="shared" si="2942"/>
        <v/>
      </c>
      <c r="CE523" s="56" t="str">
        <f>IF(CF523="","",MAX(CE$10:$CE522)+1)</f>
        <v/>
      </c>
      <c r="CF523" t="str">
        <f t="shared" si="2981"/>
        <v/>
      </c>
      <c r="CG523" s="22" t="str">
        <f>IF(CH523="","",MAX($CG$10:CG522)+1)</f>
        <v/>
      </c>
      <c r="CH523" s="22" t="str">
        <f t="shared" si="2926"/>
        <v/>
      </c>
      <c r="CI523" s="22" t="str">
        <f>IF(CJ523="","",MAX($CI$10:CI522)+1)</f>
        <v/>
      </c>
      <c r="CJ523" s="22" t="str">
        <f t="shared" si="2927"/>
        <v/>
      </c>
    </row>
    <row r="524" spans="2:88" x14ac:dyDescent="0.25">
      <c r="B524" s="37"/>
      <c r="C524" s="3"/>
      <c r="D524" s="77" t="str">
        <f t="shared" ref="D524:D587" si="3348">IF(B524="","",IF(ISERROR(VLOOKUP(C524,T_CompVentas,2,FALSE)),"",VLOOKUP(C524,T_CompVentas,2,FALSE)))</f>
        <v/>
      </c>
      <c r="E524" s="38"/>
      <c r="F524" s="38"/>
      <c r="G524" s="78">
        <f t="shared" si="2928"/>
        <v>0</v>
      </c>
      <c r="H524" s="3">
        <v>80</v>
      </c>
      <c r="I524" s="77" t="str">
        <f t="shared" ref="I524:I587" si="3349">IF(B524="","",IF(H524="","",IF(ISERROR(VLOOKUP(H524,T_Documentos,2,FALSE)),"",VLOOKUP(H524,T_Documentos,2,FALSE))))</f>
        <v/>
      </c>
      <c r="J524" s="32"/>
      <c r="K524" s="3"/>
      <c r="L524" s="39"/>
      <c r="M524" s="39"/>
      <c r="N524" s="39"/>
      <c r="O524" s="39"/>
      <c r="P524" s="39"/>
      <c r="Q524" s="39"/>
      <c r="R524" s="39"/>
      <c r="S524" s="39"/>
      <c r="T524" s="3" t="s">
        <v>645</v>
      </c>
      <c r="U524" s="77" t="str">
        <f t="shared" ref="U524:U587" si="3350">IF(B524="","",IF(ISERROR(VLOOKUP(T524,T_Monedas,2,FALSE)),"",VLOOKUP(T524,T_Monedas,2,FALSE)))</f>
        <v/>
      </c>
      <c r="V524" s="39">
        <v>1</v>
      </c>
      <c r="W524" s="79">
        <f t="shared" si="2929"/>
        <v>0</v>
      </c>
      <c r="X524" s="3">
        <v>0</v>
      </c>
      <c r="Y524" s="77" t="str">
        <f t="shared" ref="Y524:Y587" si="3351">IF(B524="","",IF(ISERROR(VLOOKUP(X524,T_CodOperVentas,2,FALSE)),"",VLOOKUP(X524,T_CodOperVentas,2,FALSE)))</f>
        <v/>
      </c>
      <c r="Z524" s="3"/>
      <c r="AA524" s="37" t="str">
        <f t="shared" si="2930"/>
        <v/>
      </c>
      <c r="AC524" s="40"/>
      <c r="AD524" s="7"/>
      <c r="AE524" s="77" t="str">
        <f t="shared" ref="AE524:AE587" si="3352">IF(B524="","",IF(AD524="","",IF(ISERROR(VLOOKUP(AD524,T_Alicuotas,2,FALSE)),"",VLOOKUP(AD524,T_Alicuotas,2,FALSE))))</f>
        <v/>
      </c>
      <c r="AF524" s="81">
        <f t="shared" si="2943"/>
        <v>0</v>
      </c>
      <c r="AG524" s="40"/>
      <c r="AH524" s="7"/>
      <c r="AI524" s="77" t="str">
        <f t="shared" ref="AI524:AI587" si="3353">IF(B524="","",IF(AH524="","",IF(ISERROR(VLOOKUP(AH524,T_Alicuotas,2,FALSE)),"",VLOOKUP(AH524,T_Alicuotas,2,FALSE))))</f>
        <v/>
      </c>
      <c r="AJ524" s="81">
        <f t="shared" si="2944"/>
        <v>0</v>
      </c>
      <c r="AK524" s="83">
        <f t="shared" si="2945"/>
        <v>0</v>
      </c>
      <c r="AL524" s="83">
        <f t="shared" si="2946"/>
        <v>0</v>
      </c>
      <c r="AN524" s="43">
        <f t="shared" ref="AN524:AN587" si="3354">+L524-M524-N524-O524-P524-Q524-R524-S524-AC524-AF524-AG524-AJ524</f>
        <v>0</v>
      </c>
      <c r="AP524" t="str">
        <f t="shared" si="2947"/>
        <v/>
      </c>
      <c r="AQ524" t="str">
        <f t="shared" si="2948"/>
        <v/>
      </c>
      <c r="AR524" t="str">
        <f t="shared" si="2949"/>
        <v/>
      </c>
      <c r="AS524" t="str">
        <f t="shared" si="2950"/>
        <v/>
      </c>
      <c r="AT524" t="str">
        <f t="shared" si="2951"/>
        <v/>
      </c>
      <c r="AU524" t="str">
        <f t="shared" si="2952"/>
        <v/>
      </c>
      <c r="AV524" t="str">
        <f t="shared" si="2953"/>
        <v/>
      </c>
      <c r="AW524" t="str">
        <f t="shared" si="2954"/>
        <v xml:space="preserve">                              </v>
      </c>
      <c r="AX524" s="23">
        <f t="shared" si="2955"/>
        <v>0</v>
      </c>
      <c r="AY524" s="49" t="str">
        <f t="shared" si="2931"/>
        <v>000000000000000</v>
      </c>
      <c r="AZ524" s="23">
        <f t="shared" si="2956"/>
        <v>0</v>
      </c>
      <c r="BA524" s="49" t="str">
        <f t="shared" si="2931"/>
        <v>000000000000000</v>
      </c>
      <c r="BB524" s="23">
        <f t="shared" si="2957"/>
        <v>0</v>
      </c>
      <c r="BC524" s="49" t="str">
        <f t="shared" ref="BC524" si="3355">IF(BB524&lt;0,SUBSTITUTE(TEXT(BB524,"000000000000,00"),",",""),SUBSTITUTE(TEXT(BB524,"0000000000000,00"),",",""))</f>
        <v>000000000000000</v>
      </c>
      <c r="BD524" s="23">
        <f t="shared" si="2959"/>
        <v>0</v>
      </c>
      <c r="BE524" s="49" t="str">
        <f t="shared" ref="BE524" si="3356">IF(BD524&lt;0,SUBSTITUTE(TEXT(BD524,"000000000000,00"),",",""),SUBSTITUTE(TEXT(BD524,"0000000000000,00"),",",""))</f>
        <v>000000000000000</v>
      </c>
      <c r="BF524" s="23">
        <f t="shared" si="2961"/>
        <v>0</v>
      </c>
      <c r="BG524" s="49" t="str">
        <f t="shared" ref="BG524" si="3357">IF(BF524&lt;0,SUBSTITUTE(TEXT(BF524,"000000000000,00"),",",""),SUBSTITUTE(TEXT(BF524,"0000000000000,00"),",",""))</f>
        <v>000000000000000</v>
      </c>
      <c r="BH524" s="23">
        <f t="shared" si="2963"/>
        <v>0</v>
      </c>
      <c r="BI524" s="49" t="str">
        <f t="shared" ref="BI524" si="3358">IF(BH524&lt;0,SUBSTITUTE(TEXT(BH524,"000000000000,00"),",",""),SUBSTITUTE(TEXT(BH524,"0000000000000,00"),",",""))</f>
        <v>000000000000000</v>
      </c>
      <c r="BJ524" s="23">
        <f t="shared" si="2965"/>
        <v>0</v>
      </c>
      <c r="BK524" s="49" t="str">
        <f t="shared" ref="BK524" si="3359">IF(BJ524&lt;0,SUBSTITUTE(TEXT(BJ524,"000000000000,00"),",",""),SUBSTITUTE(TEXT(BJ524,"0000000000000,00"),",",""))</f>
        <v>000000000000000</v>
      </c>
      <c r="BL524" s="23">
        <f t="shared" si="2967"/>
        <v>0</v>
      </c>
      <c r="BM524" s="49" t="str">
        <f t="shared" ref="BM524" si="3360">IF(BL524&lt;0,SUBSTITUTE(TEXT(BL524,"000000000000,00"),",",""),SUBSTITUTE(TEXT(BL524,"0000000000000,00"),",",""))</f>
        <v>000000000000000</v>
      </c>
      <c r="BN524" t="str">
        <f t="shared" si="2969"/>
        <v>PES</v>
      </c>
      <c r="BO524" t="str">
        <f t="shared" si="2970"/>
        <v>0001000000</v>
      </c>
      <c r="BP524">
        <f t="shared" si="2971"/>
        <v>0</v>
      </c>
      <c r="BQ524">
        <f t="shared" si="2972"/>
        <v>0</v>
      </c>
      <c r="BR524" s="23">
        <f t="shared" si="2973"/>
        <v>0</v>
      </c>
      <c r="BS524" s="49" t="str">
        <f t="shared" si="2938"/>
        <v>000000000000000</v>
      </c>
      <c r="BT524" t="str">
        <f t="shared" si="2974"/>
        <v>00000000</v>
      </c>
      <c r="BU524" s="23">
        <f t="shared" si="2975"/>
        <v>0</v>
      </c>
      <c r="BV524" s="49" t="str">
        <f t="shared" si="2939"/>
        <v/>
      </c>
      <c r="BW524" s="52" t="str">
        <f t="shared" si="2976"/>
        <v/>
      </c>
      <c r="BX524" s="23">
        <f t="shared" si="2977"/>
        <v>0</v>
      </c>
      <c r="BY524" s="49" t="str">
        <f t="shared" si="2940"/>
        <v/>
      </c>
      <c r="BZ524" s="23">
        <f t="shared" si="2978"/>
        <v>0</v>
      </c>
      <c r="CA524" s="49" t="str">
        <f t="shared" si="2941"/>
        <v/>
      </c>
      <c r="CB524" s="52" t="str">
        <f t="shared" si="2979"/>
        <v/>
      </c>
      <c r="CC524" s="23">
        <f t="shared" si="2980"/>
        <v>0</v>
      </c>
      <c r="CD524" s="49" t="str">
        <f t="shared" si="2942"/>
        <v/>
      </c>
      <c r="CE524" s="56" t="str">
        <f>IF(CF524="","",MAX(CE$10:$CE523)+1)</f>
        <v/>
      </c>
      <c r="CF524" t="str">
        <f t="shared" si="2981"/>
        <v/>
      </c>
      <c r="CG524" s="22" t="str">
        <f>IF(CH524="","",MAX($CG$10:CG523)+1)</f>
        <v/>
      </c>
      <c r="CH524" s="22" t="str">
        <f t="shared" ref="CH524:CH587" si="3361">IF(BV524="","",AQ524&amp;AR524&amp;AS524&amp;BV524&amp;BW524&amp;BY524)</f>
        <v/>
      </c>
      <c r="CI524" s="22" t="str">
        <f>IF(CJ524="","",MAX($CI$10:CI523)+1)</f>
        <v/>
      </c>
      <c r="CJ524" s="22" t="str">
        <f t="shared" ref="CJ524:CJ587" si="3362">IF(CA524="","",AQ524&amp;AR524&amp;AS524&amp;CA524&amp;CB524&amp;CD524)</f>
        <v/>
      </c>
    </row>
    <row r="525" spans="2:88" x14ac:dyDescent="0.25">
      <c r="B525" s="37"/>
      <c r="C525" s="3"/>
      <c r="D525" s="77" t="str">
        <f t="shared" si="3348"/>
        <v/>
      </c>
      <c r="E525" s="38"/>
      <c r="F525" s="38"/>
      <c r="G525" s="78">
        <f t="shared" ref="G525:G588" si="3363">+F525</f>
        <v>0</v>
      </c>
      <c r="H525" s="3">
        <v>80</v>
      </c>
      <c r="I525" s="77" t="str">
        <f t="shared" si="3349"/>
        <v/>
      </c>
      <c r="J525" s="32"/>
      <c r="K525" s="3"/>
      <c r="L525" s="39"/>
      <c r="M525" s="39"/>
      <c r="N525" s="39"/>
      <c r="O525" s="39"/>
      <c r="P525" s="39"/>
      <c r="Q525" s="39"/>
      <c r="R525" s="39"/>
      <c r="S525" s="39"/>
      <c r="T525" s="3" t="s">
        <v>645</v>
      </c>
      <c r="U525" s="77" t="str">
        <f t="shared" si="3350"/>
        <v/>
      </c>
      <c r="V525" s="39">
        <v>1</v>
      </c>
      <c r="W525" s="79">
        <f t="shared" ref="W525:W588" si="3364">IF(AD525="",0,1)+IF(OR(AH525=""),0,1)</f>
        <v>0</v>
      </c>
      <c r="X525" s="3">
        <v>0</v>
      </c>
      <c r="Y525" s="77" t="str">
        <f t="shared" si="3351"/>
        <v/>
      </c>
      <c r="Z525" s="3"/>
      <c r="AA525" s="37" t="str">
        <f t="shared" ref="AA525:AA588" si="3365">IF(OR(B525="",C525=82),"",B525)</f>
        <v/>
      </c>
      <c r="AC525" s="40"/>
      <c r="AD525" s="7"/>
      <c r="AE525" s="77" t="str">
        <f t="shared" si="3352"/>
        <v/>
      </c>
      <c r="AF525" s="81">
        <f t="shared" si="2943"/>
        <v>0</v>
      </c>
      <c r="AG525" s="40"/>
      <c r="AH525" s="7"/>
      <c r="AI525" s="77" t="str">
        <f t="shared" si="3353"/>
        <v/>
      </c>
      <c r="AJ525" s="81">
        <f t="shared" si="2944"/>
        <v>0</v>
      </c>
      <c r="AK525" s="83">
        <f t="shared" si="2945"/>
        <v>0</v>
      </c>
      <c r="AL525" s="83">
        <f t="shared" si="2946"/>
        <v>0</v>
      </c>
      <c r="AN525" s="43">
        <f t="shared" si="3354"/>
        <v>0</v>
      </c>
      <c r="AP525" t="str">
        <f t="shared" si="2947"/>
        <v/>
      </c>
      <c r="AQ525" t="str">
        <f t="shared" si="2948"/>
        <v/>
      </c>
      <c r="AR525" t="str">
        <f t="shared" si="2949"/>
        <v/>
      </c>
      <c r="AS525" t="str">
        <f t="shared" si="2950"/>
        <v/>
      </c>
      <c r="AT525" t="str">
        <f t="shared" si="2951"/>
        <v/>
      </c>
      <c r="AU525" t="str">
        <f t="shared" si="2952"/>
        <v/>
      </c>
      <c r="AV525" t="str">
        <f t="shared" si="2953"/>
        <v/>
      </c>
      <c r="AW525" t="str">
        <f t="shared" si="2954"/>
        <v xml:space="preserve">                              </v>
      </c>
      <c r="AX525" s="23">
        <f t="shared" si="2955"/>
        <v>0</v>
      </c>
      <c r="AY525" s="49" t="str">
        <f t="shared" ref="AY525:BA588" si="3366">IF(AX525&lt;0,SUBSTITUTE(TEXT(AX525,"000000000000,00"),",",""),SUBSTITUTE(TEXT(AX525,"0000000000000,00"),",",""))</f>
        <v>000000000000000</v>
      </c>
      <c r="AZ525" s="23">
        <f t="shared" si="2956"/>
        <v>0</v>
      </c>
      <c r="BA525" s="49" t="str">
        <f t="shared" si="3366"/>
        <v>000000000000000</v>
      </c>
      <c r="BB525" s="23">
        <f t="shared" si="2957"/>
        <v>0</v>
      </c>
      <c r="BC525" s="49" t="str">
        <f t="shared" ref="BC525" si="3367">IF(BB525&lt;0,SUBSTITUTE(TEXT(BB525,"000000000000,00"),",",""),SUBSTITUTE(TEXT(BB525,"0000000000000,00"),",",""))</f>
        <v>000000000000000</v>
      </c>
      <c r="BD525" s="23">
        <f t="shared" si="2959"/>
        <v>0</v>
      </c>
      <c r="BE525" s="49" t="str">
        <f t="shared" ref="BE525" si="3368">IF(BD525&lt;0,SUBSTITUTE(TEXT(BD525,"000000000000,00"),",",""),SUBSTITUTE(TEXT(BD525,"0000000000000,00"),",",""))</f>
        <v>000000000000000</v>
      </c>
      <c r="BF525" s="23">
        <f t="shared" si="2961"/>
        <v>0</v>
      </c>
      <c r="BG525" s="49" t="str">
        <f t="shared" ref="BG525" si="3369">IF(BF525&lt;0,SUBSTITUTE(TEXT(BF525,"000000000000,00"),",",""),SUBSTITUTE(TEXT(BF525,"0000000000000,00"),",",""))</f>
        <v>000000000000000</v>
      </c>
      <c r="BH525" s="23">
        <f t="shared" si="2963"/>
        <v>0</v>
      </c>
      <c r="BI525" s="49" t="str">
        <f t="shared" ref="BI525" si="3370">IF(BH525&lt;0,SUBSTITUTE(TEXT(BH525,"000000000000,00"),",",""),SUBSTITUTE(TEXT(BH525,"0000000000000,00"),",",""))</f>
        <v>000000000000000</v>
      </c>
      <c r="BJ525" s="23">
        <f t="shared" si="2965"/>
        <v>0</v>
      </c>
      <c r="BK525" s="49" t="str">
        <f t="shared" ref="BK525" si="3371">IF(BJ525&lt;0,SUBSTITUTE(TEXT(BJ525,"000000000000,00"),",",""),SUBSTITUTE(TEXT(BJ525,"0000000000000,00"),",",""))</f>
        <v>000000000000000</v>
      </c>
      <c r="BL525" s="23">
        <f t="shared" si="2967"/>
        <v>0</v>
      </c>
      <c r="BM525" s="49" t="str">
        <f t="shared" ref="BM525" si="3372">IF(BL525&lt;0,SUBSTITUTE(TEXT(BL525,"000000000000,00"),",",""),SUBSTITUTE(TEXT(BL525,"0000000000000,00"),",",""))</f>
        <v>000000000000000</v>
      </c>
      <c r="BN525" t="str">
        <f t="shared" si="2969"/>
        <v>PES</v>
      </c>
      <c r="BO525" t="str">
        <f t="shared" si="2970"/>
        <v>0001000000</v>
      </c>
      <c r="BP525">
        <f t="shared" si="2971"/>
        <v>0</v>
      </c>
      <c r="BQ525">
        <f t="shared" si="2972"/>
        <v>0</v>
      </c>
      <c r="BR525" s="23">
        <f t="shared" si="2973"/>
        <v>0</v>
      </c>
      <c r="BS525" s="49" t="str">
        <f t="shared" ref="BS525:BS588" si="3373">IF(BR525&lt;0,SUBSTITUTE(TEXT(BR525,"000000000000,00"),",",""),SUBSTITUTE(TEXT(BR525,"0000000000000,00"),",",""))</f>
        <v>000000000000000</v>
      </c>
      <c r="BT525" t="str">
        <f t="shared" si="2974"/>
        <v>00000000</v>
      </c>
      <c r="BU525" s="23">
        <f t="shared" si="2975"/>
        <v>0</v>
      </c>
      <c r="BV525" s="49" t="str">
        <f t="shared" ref="BV525:BV588" si="3374">IF(BW525="","",IF(BU525&lt;0,SUBSTITUTE(TEXT(BU525,"000000000000,00"),",",""),SUBSTITUTE(TEXT(BU525,"0000000000000,00"),",","")))</f>
        <v/>
      </c>
      <c r="BW525" s="52" t="str">
        <f t="shared" si="2976"/>
        <v/>
      </c>
      <c r="BX525" s="23">
        <f t="shared" si="2977"/>
        <v>0</v>
      </c>
      <c r="BY525" s="49" t="str">
        <f t="shared" ref="BY525:BY588" si="3375">IF(BW525="","",IF(BX525&lt;0,SUBSTITUTE(TEXT(BX525,"000000000000,00"),",",""),SUBSTITUTE(TEXT(BX525,"0000000000000,00"),",","")))</f>
        <v/>
      </c>
      <c r="BZ525" s="23">
        <f t="shared" si="2978"/>
        <v>0</v>
      </c>
      <c r="CA525" s="49" t="str">
        <f t="shared" ref="CA525:CA588" si="3376">IF(CB525="","",IF(BZ525&lt;0,SUBSTITUTE(TEXT(BZ525,"000000000000,00"),",",""),SUBSTITUTE(TEXT(BZ525,"0000000000000,00"),",","")))</f>
        <v/>
      </c>
      <c r="CB525" s="52" t="str">
        <f t="shared" si="2979"/>
        <v/>
      </c>
      <c r="CC525" s="23">
        <f t="shared" si="2980"/>
        <v>0</v>
      </c>
      <c r="CD525" s="49" t="str">
        <f t="shared" ref="CD525:CD588" si="3377">IF(CB525="","",IF(CC525&lt;0,SUBSTITUTE(TEXT(CC525,"000000000000,00"),",",""),SUBSTITUTE(TEXT(CC525,"0000000000000,00"),",","")))</f>
        <v/>
      </c>
      <c r="CE525" s="56" t="str">
        <f>IF(CF525="","",MAX(CE$10:$CE524)+1)</f>
        <v/>
      </c>
      <c r="CF525" t="str">
        <f t="shared" si="2981"/>
        <v/>
      </c>
      <c r="CG525" s="22" t="str">
        <f>IF(CH525="","",MAX($CG$10:CG524)+1)</f>
        <v/>
      </c>
      <c r="CH525" s="22" t="str">
        <f t="shared" si="3361"/>
        <v/>
      </c>
      <c r="CI525" s="22" t="str">
        <f>IF(CJ525="","",MAX($CI$10:CI524)+1)</f>
        <v/>
      </c>
      <c r="CJ525" s="22" t="str">
        <f t="shared" si="3362"/>
        <v/>
      </c>
    </row>
    <row r="526" spans="2:88" x14ac:dyDescent="0.25">
      <c r="B526" s="37"/>
      <c r="C526" s="3"/>
      <c r="D526" s="77" t="str">
        <f t="shared" si="3348"/>
        <v/>
      </c>
      <c r="E526" s="38"/>
      <c r="F526" s="38"/>
      <c r="G526" s="78">
        <f t="shared" si="3363"/>
        <v>0</v>
      </c>
      <c r="H526" s="3">
        <v>80</v>
      </c>
      <c r="I526" s="77" t="str">
        <f t="shared" si="3349"/>
        <v/>
      </c>
      <c r="J526" s="32"/>
      <c r="K526" s="3"/>
      <c r="L526" s="39"/>
      <c r="M526" s="39"/>
      <c r="N526" s="39"/>
      <c r="O526" s="39"/>
      <c r="P526" s="39"/>
      <c r="Q526" s="39"/>
      <c r="R526" s="39"/>
      <c r="S526" s="39"/>
      <c r="T526" s="3" t="s">
        <v>645</v>
      </c>
      <c r="U526" s="77" t="str">
        <f t="shared" si="3350"/>
        <v/>
      </c>
      <c r="V526" s="39">
        <v>1</v>
      </c>
      <c r="W526" s="79">
        <f t="shared" si="3364"/>
        <v>0</v>
      </c>
      <c r="X526" s="3">
        <v>0</v>
      </c>
      <c r="Y526" s="77" t="str">
        <f t="shared" si="3351"/>
        <v/>
      </c>
      <c r="Z526" s="3"/>
      <c r="AA526" s="37" t="str">
        <f t="shared" si="3365"/>
        <v/>
      </c>
      <c r="AC526" s="40"/>
      <c r="AD526" s="7"/>
      <c r="AE526" s="77" t="str">
        <f t="shared" si="3352"/>
        <v/>
      </c>
      <c r="AF526" s="81">
        <f t="shared" ref="AF526:AF589" si="3378">ROUND(AC526*AD526/100,2)</f>
        <v>0</v>
      </c>
      <c r="AG526" s="40"/>
      <c r="AH526" s="7"/>
      <c r="AI526" s="77" t="str">
        <f t="shared" si="3353"/>
        <v/>
      </c>
      <c r="AJ526" s="81">
        <f t="shared" ref="AJ526:AJ589" si="3379">ROUND(AG526*AH526/100,2)</f>
        <v>0</v>
      </c>
      <c r="AK526" s="83">
        <f t="shared" ref="AK526:AK589" si="3380">+AC526+AG526</f>
        <v>0</v>
      </c>
      <c r="AL526" s="83">
        <f t="shared" ref="AL526:AL589" si="3381">+AF526+AJ526</f>
        <v>0</v>
      </c>
      <c r="AN526" s="43">
        <f t="shared" si="3354"/>
        <v>0</v>
      </c>
      <c r="AP526" t="str">
        <f t="shared" ref="AP526:AP589" si="3382">IF(B526="","",TEXT(B526,$AP$8))</f>
        <v/>
      </c>
      <c r="AQ526" t="str">
        <f t="shared" ref="AQ526:AQ589" si="3383">IF(B526="","",IF(C526="","",TEXT(C526,"000")))</f>
        <v/>
      </c>
      <c r="AR526" t="str">
        <f t="shared" ref="AR526:AR589" si="3384">IF(B526="","",IF(E526="","00000",TEXT(RIGHT(E526,5),"00000")))</f>
        <v/>
      </c>
      <c r="AS526" t="str">
        <f t="shared" ref="AS526:AS589" si="3385">IF(B526="","",IF(F526="","00000000000000000000",TEXT(RIGHT(F526,20),"00000000000000000000")))</f>
        <v/>
      </c>
      <c r="AT526" t="str">
        <f t="shared" ref="AT526:AT589" si="3386">IF(B526="","",IF(G526="","00000000000000000000",TEXT(RIGHT(G526,20),"00000000000000000000")))</f>
        <v/>
      </c>
      <c r="AU526" t="str">
        <f t="shared" ref="AU526:AU589" si="3387">IF(B526="","",IF(C526="","",TEXT(RIGHT(H526,4),"00")))</f>
        <v/>
      </c>
      <c r="AV526" t="str">
        <f t="shared" ref="AV526:AV589" si="3388">IF(B526="","",TEXT(SUBSTITUTE(J526,"-",""),"00000000000000000000"))</f>
        <v/>
      </c>
      <c r="AW526" t="str">
        <f t="shared" ref="AW526:AW589" si="3389">IF(LEN(K526)&gt;30,LEFT(K526,30),K526&amp;REPT(" ",30-LEN(K526)))</f>
        <v xml:space="preserve">                              </v>
      </c>
      <c r="AX526" s="23">
        <f t="shared" ref="AX526:AX589" si="3390">IF(TRIM(L526)="",0,TRUNC(L526,2))</f>
        <v>0</v>
      </c>
      <c r="AY526" s="49" t="str">
        <f t="shared" si="3366"/>
        <v>000000000000000</v>
      </c>
      <c r="AZ526" s="23">
        <f t="shared" ref="AZ526:AZ589" si="3391">IF(TRIM(M526)="",0,TRUNC(M526,2))</f>
        <v>0</v>
      </c>
      <c r="BA526" s="49" t="str">
        <f t="shared" si="3366"/>
        <v>000000000000000</v>
      </c>
      <c r="BB526" s="23">
        <f t="shared" ref="BB526:BB589" si="3392">IF(TRIM(N526)="",0,TRUNC(N526,2))</f>
        <v>0</v>
      </c>
      <c r="BC526" s="49" t="str">
        <f t="shared" ref="BC526" si="3393">IF(BB526&lt;0,SUBSTITUTE(TEXT(BB526,"000000000000,00"),",",""),SUBSTITUTE(TEXT(BB526,"0000000000000,00"),",",""))</f>
        <v>000000000000000</v>
      </c>
      <c r="BD526" s="23">
        <f t="shared" ref="BD526:BD589" si="3394">IF(TRIM(O526)="",0,TRUNC(O526,2))</f>
        <v>0</v>
      </c>
      <c r="BE526" s="49" t="str">
        <f t="shared" ref="BE526" si="3395">IF(BD526&lt;0,SUBSTITUTE(TEXT(BD526,"000000000000,00"),",",""),SUBSTITUTE(TEXT(BD526,"0000000000000,00"),",",""))</f>
        <v>000000000000000</v>
      </c>
      <c r="BF526" s="23">
        <f t="shared" ref="BF526:BF589" si="3396">IF(TRIM(P526)="",0,TRUNC(P526,2))</f>
        <v>0</v>
      </c>
      <c r="BG526" s="49" t="str">
        <f t="shared" ref="BG526" si="3397">IF(BF526&lt;0,SUBSTITUTE(TEXT(BF526,"000000000000,00"),",",""),SUBSTITUTE(TEXT(BF526,"0000000000000,00"),",",""))</f>
        <v>000000000000000</v>
      </c>
      <c r="BH526" s="23">
        <f t="shared" ref="BH526:BH589" si="3398">IF(TRIM(Q526)="",0,TRUNC(Q526,2))</f>
        <v>0</v>
      </c>
      <c r="BI526" s="49" t="str">
        <f t="shared" ref="BI526" si="3399">IF(BH526&lt;0,SUBSTITUTE(TEXT(BH526,"000000000000,00"),",",""),SUBSTITUTE(TEXT(BH526,"0000000000000,00"),",",""))</f>
        <v>000000000000000</v>
      </c>
      <c r="BJ526" s="23">
        <f t="shared" ref="BJ526:BJ589" si="3400">IF(TRIM(R526)="",0,TRUNC(R526,2))</f>
        <v>0</v>
      </c>
      <c r="BK526" s="49" t="str">
        <f t="shared" ref="BK526" si="3401">IF(BJ526&lt;0,SUBSTITUTE(TEXT(BJ526,"000000000000,00"),",",""),SUBSTITUTE(TEXT(BJ526,"0000000000000,00"),",",""))</f>
        <v>000000000000000</v>
      </c>
      <c r="BL526" s="23">
        <f t="shared" ref="BL526:BL589" si="3402">IF(TRIM(S526)="",0,TRUNC(S526,2))</f>
        <v>0</v>
      </c>
      <c r="BM526" s="49" t="str">
        <f t="shared" ref="BM526" si="3403">IF(BL526&lt;0,SUBSTITUTE(TEXT(BL526,"000000000000,00"),",",""),SUBSTITUTE(TEXT(BL526,"0000000000000,00"),",",""))</f>
        <v>000000000000000</v>
      </c>
      <c r="BN526" t="str">
        <f t="shared" ref="BN526:BN589" si="3404">TEXT(T526,"000")</f>
        <v>PES</v>
      </c>
      <c r="BO526" t="str">
        <f t="shared" ref="BO526:BO589" si="3405">IF(V526&lt;0,SUBSTITUTE(TEXT(V526,"000,000000"),",",""),SUBSTITUTE(TEXT(V526,"0000,000000"),",",""))</f>
        <v>0001000000</v>
      </c>
      <c r="BP526">
        <f t="shared" ref="BP526:BP589" si="3406">W526</f>
        <v>0</v>
      </c>
      <c r="BQ526">
        <f t="shared" ref="BQ526:BQ589" si="3407">X526</f>
        <v>0</v>
      </c>
      <c r="BR526" s="23">
        <f t="shared" ref="BR526:BR589" si="3408">IF(TRIM(Z526)="",0,TRUNC(Z526,2))</f>
        <v>0</v>
      </c>
      <c r="BS526" s="49" t="str">
        <f t="shared" si="3373"/>
        <v>000000000000000</v>
      </c>
      <c r="BT526" t="str">
        <f t="shared" ref="BT526:BT589" si="3409">IF(AA526="","00000000",TEXT(AA526,$AP$8))</f>
        <v>00000000</v>
      </c>
      <c r="BU526" s="23">
        <f t="shared" ref="BU526:BU589" si="3410">IF(TRIM(AC526)="",0,TRUNC(AC526,2))</f>
        <v>0</v>
      </c>
      <c r="BV526" s="49" t="str">
        <f t="shared" si="3374"/>
        <v/>
      </c>
      <c r="BW526" s="52" t="str">
        <f t="shared" ref="BW526:BW589" si="3411">IF(AE526="","",TEXT(AE526,"0000"))</f>
        <v/>
      </c>
      <c r="BX526" s="23">
        <f t="shared" ref="BX526:BX589" si="3412">IF(TRIM(AF526)="",0,TRUNC(AF526,2))</f>
        <v>0</v>
      </c>
      <c r="BY526" s="49" t="str">
        <f t="shared" si="3375"/>
        <v/>
      </c>
      <c r="BZ526" s="23">
        <f t="shared" ref="BZ526:BZ589" si="3413">IF(TRIM(AG526)="",0,TRUNC(AG526,2))</f>
        <v>0</v>
      </c>
      <c r="CA526" s="49" t="str">
        <f t="shared" si="3376"/>
        <v/>
      </c>
      <c r="CB526" s="52" t="str">
        <f t="shared" ref="CB526:CB589" si="3414">IF(AI526="","",TEXT(AI526,"0000"))</f>
        <v/>
      </c>
      <c r="CC526" s="23">
        <f t="shared" ref="CC526:CC589" si="3415">IF(TRIM(AJ526)="",0,TRUNC(AJ526,2))</f>
        <v>0</v>
      </c>
      <c r="CD526" s="49" t="str">
        <f t="shared" si="3377"/>
        <v/>
      </c>
      <c r="CE526" s="56" t="str">
        <f>IF(CF526="","",MAX(CE$10:$CE525)+1)</f>
        <v/>
      </c>
      <c r="CF526" t="str">
        <f t="shared" ref="CF526:CF589" si="3416">IF(B526="","",AP526&amp;AQ526&amp;AR526&amp;AS526&amp;AT526&amp;AU526&amp;AV526&amp;AW526&amp;AY526&amp;BA526&amp;BC526&amp;BE526&amp;BG526&amp;BI526&amp;BK526&amp;BM526&amp;BN526&amp;BO526&amp;BP526&amp;BQ526&amp;BS526&amp;BT526)</f>
        <v/>
      </c>
      <c r="CG526" s="22" t="str">
        <f>IF(CH526="","",MAX($CG$10:CG525)+1)</f>
        <v/>
      </c>
      <c r="CH526" s="22" t="str">
        <f t="shared" si="3361"/>
        <v/>
      </c>
      <c r="CI526" s="22" t="str">
        <f>IF(CJ526="","",MAX($CI$10:CI525)+1)</f>
        <v/>
      </c>
      <c r="CJ526" s="22" t="str">
        <f t="shared" si="3362"/>
        <v/>
      </c>
    </row>
    <row r="527" spans="2:88" x14ac:dyDescent="0.25">
      <c r="B527" s="37"/>
      <c r="C527" s="3"/>
      <c r="D527" s="77" t="str">
        <f t="shared" si="3348"/>
        <v/>
      </c>
      <c r="E527" s="38"/>
      <c r="F527" s="38"/>
      <c r="G527" s="78">
        <f t="shared" si="3363"/>
        <v>0</v>
      </c>
      <c r="H527" s="3">
        <v>80</v>
      </c>
      <c r="I527" s="77" t="str">
        <f t="shared" si="3349"/>
        <v/>
      </c>
      <c r="J527" s="32"/>
      <c r="K527" s="3"/>
      <c r="L527" s="39"/>
      <c r="M527" s="39"/>
      <c r="N527" s="39"/>
      <c r="O527" s="39"/>
      <c r="P527" s="39"/>
      <c r="Q527" s="39"/>
      <c r="R527" s="39"/>
      <c r="S527" s="39"/>
      <c r="T527" s="3" t="s">
        <v>645</v>
      </c>
      <c r="U527" s="77" t="str">
        <f t="shared" si="3350"/>
        <v/>
      </c>
      <c r="V527" s="39">
        <v>1</v>
      </c>
      <c r="W527" s="79">
        <f t="shared" si="3364"/>
        <v>0</v>
      </c>
      <c r="X527" s="3">
        <v>0</v>
      </c>
      <c r="Y527" s="77" t="str">
        <f t="shared" si="3351"/>
        <v/>
      </c>
      <c r="Z527" s="3"/>
      <c r="AA527" s="37" t="str">
        <f t="shared" si="3365"/>
        <v/>
      </c>
      <c r="AC527" s="40"/>
      <c r="AD527" s="7"/>
      <c r="AE527" s="77" t="str">
        <f t="shared" si="3352"/>
        <v/>
      </c>
      <c r="AF527" s="81">
        <f t="shared" si="3378"/>
        <v>0</v>
      </c>
      <c r="AG527" s="40"/>
      <c r="AH527" s="7"/>
      <c r="AI527" s="77" t="str">
        <f t="shared" si="3353"/>
        <v/>
      </c>
      <c r="AJ527" s="81">
        <f t="shared" si="3379"/>
        <v>0</v>
      </c>
      <c r="AK527" s="83">
        <f t="shared" si="3380"/>
        <v>0</v>
      </c>
      <c r="AL527" s="83">
        <f t="shared" si="3381"/>
        <v>0</v>
      </c>
      <c r="AN527" s="43">
        <f t="shared" si="3354"/>
        <v>0</v>
      </c>
      <c r="AP527" t="str">
        <f t="shared" si="3382"/>
        <v/>
      </c>
      <c r="AQ527" t="str">
        <f t="shared" si="3383"/>
        <v/>
      </c>
      <c r="AR527" t="str">
        <f t="shared" si="3384"/>
        <v/>
      </c>
      <c r="AS527" t="str">
        <f t="shared" si="3385"/>
        <v/>
      </c>
      <c r="AT527" t="str">
        <f t="shared" si="3386"/>
        <v/>
      </c>
      <c r="AU527" t="str">
        <f t="shared" si="3387"/>
        <v/>
      </c>
      <c r="AV527" t="str">
        <f t="shared" si="3388"/>
        <v/>
      </c>
      <c r="AW527" t="str">
        <f t="shared" si="3389"/>
        <v xml:space="preserve">                              </v>
      </c>
      <c r="AX527" s="23">
        <f t="shared" si="3390"/>
        <v>0</v>
      </c>
      <c r="AY527" s="49" t="str">
        <f t="shared" si="3366"/>
        <v>000000000000000</v>
      </c>
      <c r="AZ527" s="23">
        <f t="shared" si="3391"/>
        <v>0</v>
      </c>
      <c r="BA527" s="49" t="str">
        <f t="shared" si="3366"/>
        <v>000000000000000</v>
      </c>
      <c r="BB527" s="23">
        <f t="shared" si="3392"/>
        <v>0</v>
      </c>
      <c r="BC527" s="49" t="str">
        <f t="shared" ref="BC527" si="3417">IF(BB527&lt;0,SUBSTITUTE(TEXT(BB527,"000000000000,00"),",",""),SUBSTITUTE(TEXT(BB527,"0000000000000,00"),",",""))</f>
        <v>000000000000000</v>
      </c>
      <c r="BD527" s="23">
        <f t="shared" si="3394"/>
        <v>0</v>
      </c>
      <c r="BE527" s="49" t="str">
        <f t="shared" ref="BE527" si="3418">IF(BD527&lt;0,SUBSTITUTE(TEXT(BD527,"000000000000,00"),",",""),SUBSTITUTE(TEXT(BD527,"0000000000000,00"),",",""))</f>
        <v>000000000000000</v>
      </c>
      <c r="BF527" s="23">
        <f t="shared" si="3396"/>
        <v>0</v>
      </c>
      <c r="BG527" s="49" t="str">
        <f t="shared" ref="BG527" si="3419">IF(BF527&lt;0,SUBSTITUTE(TEXT(BF527,"000000000000,00"),",",""),SUBSTITUTE(TEXT(BF527,"0000000000000,00"),",",""))</f>
        <v>000000000000000</v>
      </c>
      <c r="BH527" s="23">
        <f t="shared" si="3398"/>
        <v>0</v>
      </c>
      <c r="BI527" s="49" t="str">
        <f t="shared" ref="BI527" si="3420">IF(BH527&lt;0,SUBSTITUTE(TEXT(BH527,"000000000000,00"),",",""),SUBSTITUTE(TEXT(BH527,"0000000000000,00"),",",""))</f>
        <v>000000000000000</v>
      </c>
      <c r="BJ527" s="23">
        <f t="shared" si="3400"/>
        <v>0</v>
      </c>
      <c r="BK527" s="49" t="str">
        <f t="shared" ref="BK527" si="3421">IF(BJ527&lt;0,SUBSTITUTE(TEXT(BJ527,"000000000000,00"),",",""),SUBSTITUTE(TEXT(BJ527,"0000000000000,00"),",",""))</f>
        <v>000000000000000</v>
      </c>
      <c r="BL527" s="23">
        <f t="shared" si="3402"/>
        <v>0</v>
      </c>
      <c r="BM527" s="49" t="str">
        <f t="shared" ref="BM527" si="3422">IF(BL527&lt;0,SUBSTITUTE(TEXT(BL527,"000000000000,00"),",",""),SUBSTITUTE(TEXT(BL527,"0000000000000,00"),",",""))</f>
        <v>000000000000000</v>
      </c>
      <c r="BN527" t="str">
        <f t="shared" si="3404"/>
        <v>PES</v>
      </c>
      <c r="BO527" t="str">
        <f t="shared" si="3405"/>
        <v>0001000000</v>
      </c>
      <c r="BP527">
        <f t="shared" si="3406"/>
        <v>0</v>
      </c>
      <c r="BQ527">
        <f t="shared" si="3407"/>
        <v>0</v>
      </c>
      <c r="BR527" s="23">
        <f t="shared" si="3408"/>
        <v>0</v>
      </c>
      <c r="BS527" s="49" t="str">
        <f t="shared" si="3373"/>
        <v>000000000000000</v>
      </c>
      <c r="BT527" t="str">
        <f t="shared" si="3409"/>
        <v>00000000</v>
      </c>
      <c r="BU527" s="23">
        <f t="shared" si="3410"/>
        <v>0</v>
      </c>
      <c r="BV527" s="49" t="str">
        <f t="shared" si="3374"/>
        <v/>
      </c>
      <c r="BW527" s="52" t="str">
        <f t="shared" si="3411"/>
        <v/>
      </c>
      <c r="BX527" s="23">
        <f t="shared" si="3412"/>
        <v>0</v>
      </c>
      <c r="BY527" s="49" t="str">
        <f t="shared" si="3375"/>
        <v/>
      </c>
      <c r="BZ527" s="23">
        <f t="shared" si="3413"/>
        <v>0</v>
      </c>
      <c r="CA527" s="49" t="str">
        <f t="shared" si="3376"/>
        <v/>
      </c>
      <c r="CB527" s="52" t="str">
        <f t="shared" si="3414"/>
        <v/>
      </c>
      <c r="CC527" s="23">
        <f t="shared" si="3415"/>
        <v>0</v>
      </c>
      <c r="CD527" s="49" t="str">
        <f t="shared" si="3377"/>
        <v/>
      </c>
      <c r="CE527" s="56" t="str">
        <f>IF(CF527="","",MAX(CE$10:$CE526)+1)</f>
        <v/>
      </c>
      <c r="CF527" t="str">
        <f t="shared" si="3416"/>
        <v/>
      </c>
      <c r="CG527" s="22" t="str">
        <f>IF(CH527="","",MAX($CG$10:CG526)+1)</f>
        <v/>
      </c>
      <c r="CH527" s="22" t="str">
        <f t="shared" si="3361"/>
        <v/>
      </c>
      <c r="CI527" s="22" t="str">
        <f>IF(CJ527="","",MAX($CI$10:CI526)+1)</f>
        <v/>
      </c>
      <c r="CJ527" s="22" t="str">
        <f t="shared" si="3362"/>
        <v/>
      </c>
    </row>
    <row r="528" spans="2:88" x14ac:dyDescent="0.25">
      <c r="B528" s="37"/>
      <c r="C528" s="3"/>
      <c r="D528" s="77" t="str">
        <f t="shared" si="3348"/>
        <v/>
      </c>
      <c r="E528" s="38"/>
      <c r="F528" s="38"/>
      <c r="G528" s="78">
        <f t="shared" si="3363"/>
        <v>0</v>
      </c>
      <c r="H528" s="3">
        <v>80</v>
      </c>
      <c r="I528" s="77" t="str">
        <f t="shared" si="3349"/>
        <v/>
      </c>
      <c r="J528" s="32"/>
      <c r="K528" s="3"/>
      <c r="L528" s="39"/>
      <c r="M528" s="39"/>
      <c r="N528" s="39"/>
      <c r="O528" s="39"/>
      <c r="P528" s="39"/>
      <c r="Q528" s="39"/>
      <c r="R528" s="39"/>
      <c r="S528" s="39"/>
      <c r="T528" s="3" t="s">
        <v>645</v>
      </c>
      <c r="U528" s="77" t="str">
        <f t="shared" si="3350"/>
        <v/>
      </c>
      <c r="V528" s="39">
        <v>1</v>
      </c>
      <c r="W528" s="79">
        <f t="shared" si="3364"/>
        <v>0</v>
      </c>
      <c r="X528" s="3">
        <v>0</v>
      </c>
      <c r="Y528" s="77" t="str">
        <f t="shared" si="3351"/>
        <v/>
      </c>
      <c r="Z528" s="3"/>
      <c r="AA528" s="37" t="str">
        <f t="shared" si="3365"/>
        <v/>
      </c>
      <c r="AC528" s="40"/>
      <c r="AD528" s="7"/>
      <c r="AE528" s="77" t="str">
        <f t="shared" si="3352"/>
        <v/>
      </c>
      <c r="AF528" s="81">
        <f t="shared" si="3378"/>
        <v>0</v>
      </c>
      <c r="AG528" s="40"/>
      <c r="AH528" s="7"/>
      <c r="AI528" s="77" t="str">
        <f t="shared" si="3353"/>
        <v/>
      </c>
      <c r="AJ528" s="81">
        <f t="shared" si="3379"/>
        <v>0</v>
      </c>
      <c r="AK528" s="83">
        <f t="shared" si="3380"/>
        <v>0</v>
      </c>
      <c r="AL528" s="83">
        <f t="shared" si="3381"/>
        <v>0</v>
      </c>
      <c r="AN528" s="43">
        <f t="shared" si="3354"/>
        <v>0</v>
      </c>
      <c r="AP528" t="str">
        <f t="shared" si="3382"/>
        <v/>
      </c>
      <c r="AQ528" t="str">
        <f t="shared" si="3383"/>
        <v/>
      </c>
      <c r="AR528" t="str">
        <f t="shared" si="3384"/>
        <v/>
      </c>
      <c r="AS528" t="str">
        <f t="shared" si="3385"/>
        <v/>
      </c>
      <c r="AT528" t="str">
        <f t="shared" si="3386"/>
        <v/>
      </c>
      <c r="AU528" t="str">
        <f t="shared" si="3387"/>
        <v/>
      </c>
      <c r="AV528" t="str">
        <f t="shared" si="3388"/>
        <v/>
      </c>
      <c r="AW528" t="str">
        <f t="shared" si="3389"/>
        <v xml:space="preserve">                              </v>
      </c>
      <c r="AX528" s="23">
        <f t="shared" si="3390"/>
        <v>0</v>
      </c>
      <c r="AY528" s="49" t="str">
        <f t="shared" si="3366"/>
        <v>000000000000000</v>
      </c>
      <c r="AZ528" s="23">
        <f t="shared" si="3391"/>
        <v>0</v>
      </c>
      <c r="BA528" s="49" t="str">
        <f t="shared" si="3366"/>
        <v>000000000000000</v>
      </c>
      <c r="BB528" s="23">
        <f t="shared" si="3392"/>
        <v>0</v>
      </c>
      <c r="BC528" s="49" t="str">
        <f t="shared" ref="BC528" si="3423">IF(BB528&lt;0,SUBSTITUTE(TEXT(BB528,"000000000000,00"),",",""),SUBSTITUTE(TEXT(BB528,"0000000000000,00"),",",""))</f>
        <v>000000000000000</v>
      </c>
      <c r="BD528" s="23">
        <f t="shared" si="3394"/>
        <v>0</v>
      </c>
      <c r="BE528" s="49" t="str">
        <f t="shared" ref="BE528" si="3424">IF(BD528&lt;0,SUBSTITUTE(TEXT(BD528,"000000000000,00"),",",""),SUBSTITUTE(TEXT(BD528,"0000000000000,00"),",",""))</f>
        <v>000000000000000</v>
      </c>
      <c r="BF528" s="23">
        <f t="shared" si="3396"/>
        <v>0</v>
      </c>
      <c r="BG528" s="49" t="str">
        <f t="shared" ref="BG528" si="3425">IF(BF528&lt;0,SUBSTITUTE(TEXT(BF528,"000000000000,00"),",",""),SUBSTITUTE(TEXT(BF528,"0000000000000,00"),",",""))</f>
        <v>000000000000000</v>
      </c>
      <c r="BH528" s="23">
        <f t="shared" si="3398"/>
        <v>0</v>
      </c>
      <c r="BI528" s="49" t="str">
        <f t="shared" ref="BI528" si="3426">IF(BH528&lt;0,SUBSTITUTE(TEXT(BH528,"000000000000,00"),",",""),SUBSTITUTE(TEXT(BH528,"0000000000000,00"),",",""))</f>
        <v>000000000000000</v>
      </c>
      <c r="BJ528" s="23">
        <f t="shared" si="3400"/>
        <v>0</v>
      </c>
      <c r="BK528" s="49" t="str">
        <f t="shared" ref="BK528" si="3427">IF(BJ528&lt;0,SUBSTITUTE(TEXT(BJ528,"000000000000,00"),",",""),SUBSTITUTE(TEXT(BJ528,"0000000000000,00"),",",""))</f>
        <v>000000000000000</v>
      </c>
      <c r="BL528" s="23">
        <f t="shared" si="3402"/>
        <v>0</v>
      </c>
      <c r="BM528" s="49" t="str">
        <f t="shared" ref="BM528" si="3428">IF(BL528&lt;0,SUBSTITUTE(TEXT(BL528,"000000000000,00"),",",""),SUBSTITUTE(TEXT(BL528,"0000000000000,00"),",",""))</f>
        <v>000000000000000</v>
      </c>
      <c r="BN528" t="str">
        <f t="shared" si="3404"/>
        <v>PES</v>
      </c>
      <c r="BO528" t="str">
        <f t="shared" si="3405"/>
        <v>0001000000</v>
      </c>
      <c r="BP528">
        <f t="shared" si="3406"/>
        <v>0</v>
      </c>
      <c r="BQ528">
        <f t="shared" si="3407"/>
        <v>0</v>
      </c>
      <c r="BR528" s="23">
        <f t="shared" si="3408"/>
        <v>0</v>
      </c>
      <c r="BS528" s="49" t="str">
        <f t="shared" si="3373"/>
        <v>000000000000000</v>
      </c>
      <c r="BT528" t="str">
        <f t="shared" si="3409"/>
        <v>00000000</v>
      </c>
      <c r="BU528" s="23">
        <f t="shared" si="3410"/>
        <v>0</v>
      </c>
      <c r="BV528" s="49" t="str">
        <f t="shared" si="3374"/>
        <v/>
      </c>
      <c r="BW528" s="52" t="str">
        <f t="shared" si="3411"/>
        <v/>
      </c>
      <c r="BX528" s="23">
        <f t="shared" si="3412"/>
        <v>0</v>
      </c>
      <c r="BY528" s="49" t="str">
        <f t="shared" si="3375"/>
        <v/>
      </c>
      <c r="BZ528" s="23">
        <f t="shared" si="3413"/>
        <v>0</v>
      </c>
      <c r="CA528" s="49" t="str">
        <f t="shared" si="3376"/>
        <v/>
      </c>
      <c r="CB528" s="52" t="str">
        <f t="shared" si="3414"/>
        <v/>
      </c>
      <c r="CC528" s="23">
        <f t="shared" si="3415"/>
        <v>0</v>
      </c>
      <c r="CD528" s="49" t="str">
        <f t="shared" si="3377"/>
        <v/>
      </c>
      <c r="CE528" s="56" t="str">
        <f>IF(CF528="","",MAX(CE$10:$CE527)+1)</f>
        <v/>
      </c>
      <c r="CF528" t="str">
        <f t="shared" si="3416"/>
        <v/>
      </c>
      <c r="CG528" s="22" t="str">
        <f>IF(CH528="","",MAX($CG$10:CG527)+1)</f>
        <v/>
      </c>
      <c r="CH528" s="22" t="str">
        <f t="shared" si="3361"/>
        <v/>
      </c>
      <c r="CI528" s="22" t="str">
        <f>IF(CJ528="","",MAX($CI$10:CI527)+1)</f>
        <v/>
      </c>
      <c r="CJ528" s="22" t="str">
        <f t="shared" si="3362"/>
        <v/>
      </c>
    </row>
    <row r="529" spans="2:88" x14ac:dyDescent="0.25">
      <c r="B529" s="37"/>
      <c r="C529" s="3"/>
      <c r="D529" s="77" t="str">
        <f t="shared" si="3348"/>
        <v/>
      </c>
      <c r="E529" s="38"/>
      <c r="F529" s="38"/>
      <c r="G529" s="78">
        <f t="shared" si="3363"/>
        <v>0</v>
      </c>
      <c r="H529" s="3">
        <v>80</v>
      </c>
      <c r="I529" s="77" t="str">
        <f t="shared" si="3349"/>
        <v/>
      </c>
      <c r="J529" s="32"/>
      <c r="K529" s="3"/>
      <c r="L529" s="39"/>
      <c r="M529" s="39"/>
      <c r="N529" s="39"/>
      <c r="O529" s="39"/>
      <c r="P529" s="39"/>
      <c r="Q529" s="39"/>
      <c r="R529" s="39"/>
      <c r="S529" s="39"/>
      <c r="T529" s="3" t="s">
        <v>645</v>
      </c>
      <c r="U529" s="77" t="str">
        <f t="shared" si="3350"/>
        <v/>
      </c>
      <c r="V529" s="39">
        <v>1</v>
      </c>
      <c r="W529" s="79">
        <f t="shared" si="3364"/>
        <v>0</v>
      </c>
      <c r="X529" s="3">
        <v>0</v>
      </c>
      <c r="Y529" s="77" t="str">
        <f t="shared" si="3351"/>
        <v/>
      </c>
      <c r="Z529" s="3"/>
      <c r="AA529" s="37" t="str">
        <f t="shared" si="3365"/>
        <v/>
      </c>
      <c r="AC529" s="40"/>
      <c r="AD529" s="7"/>
      <c r="AE529" s="77" t="str">
        <f t="shared" si="3352"/>
        <v/>
      </c>
      <c r="AF529" s="81">
        <f t="shared" si="3378"/>
        <v>0</v>
      </c>
      <c r="AG529" s="40"/>
      <c r="AH529" s="7"/>
      <c r="AI529" s="77" t="str">
        <f t="shared" si="3353"/>
        <v/>
      </c>
      <c r="AJ529" s="81">
        <f t="shared" si="3379"/>
        <v>0</v>
      </c>
      <c r="AK529" s="83">
        <f t="shared" si="3380"/>
        <v>0</v>
      </c>
      <c r="AL529" s="83">
        <f t="shared" si="3381"/>
        <v>0</v>
      </c>
      <c r="AN529" s="43">
        <f t="shared" si="3354"/>
        <v>0</v>
      </c>
      <c r="AP529" t="str">
        <f t="shared" si="3382"/>
        <v/>
      </c>
      <c r="AQ529" t="str">
        <f t="shared" si="3383"/>
        <v/>
      </c>
      <c r="AR529" t="str">
        <f t="shared" si="3384"/>
        <v/>
      </c>
      <c r="AS529" t="str">
        <f t="shared" si="3385"/>
        <v/>
      </c>
      <c r="AT529" t="str">
        <f t="shared" si="3386"/>
        <v/>
      </c>
      <c r="AU529" t="str">
        <f t="shared" si="3387"/>
        <v/>
      </c>
      <c r="AV529" t="str">
        <f t="shared" si="3388"/>
        <v/>
      </c>
      <c r="AW529" t="str">
        <f t="shared" si="3389"/>
        <v xml:space="preserve">                              </v>
      </c>
      <c r="AX529" s="23">
        <f t="shared" si="3390"/>
        <v>0</v>
      </c>
      <c r="AY529" s="49" t="str">
        <f t="shared" si="3366"/>
        <v>000000000000000</v>
      </c>
      <c r="AZ529" s="23">
        <f t="shared" si="3391"/>
        <v>0</v>
      </c>
      <c r="BA529" s="49" t="str">
        <f t="shared" si="3366"/>
        <v>000000000000000</v>
      </c>
      <c r="BB529" s="23">
        <f t="shared" si="3392"/>
        <v>0</v>
      </c>
      <c r="BC529" s="49" t="str">
        <f t="shared" ref="BC529" si="3429">IF(BB529&lt;0,SUBSTITUTE(TEXT(BB529,"000000000000,00"),",",""),SUBSTITUTE(TEXT(BB529,"0000000000000,00"),",",""))</f>
        <v>000000000000000</v>
      </c>
      <c r="BD529" s="23">
        <f t="shared" si="3394"/>
        <v>0</v>
      </c>
      <c r="BE529" s="49" t="str">
        <f t="shared" ref="BE529" si="3430">IF(BD529&lt;0,SUBSTITUTE(TEXT(BD529,"000000000000,00"),",",""),SUBSTITUTE(TEXT(BD529,"0000000000000,00"),",",""))</f>
        <v>000000000000000</v>
      </c>
      <c r="BF529" s="23">
        <f t="shared" si="3396"/>
        <v>0</v>
      </c>
      <c r="BG529" s="49" t="str">
        <f t="shared" ref="BG529" si="3431">IF(BF529&lt;0,SUBSTITUTE(TEXT(BF529,"000000000000,00"),",",""),SUBSTITUTE(TEXT(BF529,"0000000000000,00"),",",""))</f>
        <v>000000000000000</v>
      </c>
      <c r="BH529" s="23">
        <f t="shared" si="3398"/>
        <v>0</v>
      </c>
      <c r="BI529" s="49" t="str">
        <f t="shared" ref="BI529" si="3432">IF(BH529&lt;0,SUBSTITUTE(TEXT(BH529,"000000000000,00"),",",""),SUBSTITUTE(TEXT(BH529,"0000000000000,00"),",",""))</f>
        <v>000000000000000</v>
      </c>
      <c r="BJ529" s="23">
        <f t="shared" si="3400"/>
        <v>0</v>
      </c>
      <c r="BK529" s="49" t="str">
        <f t="shared" ref="BK529" si="3433">IF(BJ529&lt;0,SUBSTITUTE(TEXT(BJ529,"000000000000,00"),",",""),SUBSTITUTE(TEXT(BJ529,"0000000000000,00"),",",""))</f>
        <v>000000000000000</v>
      </c>
      <c r="BL529" s="23">
        <f t="shared" si="3402"/>
        <v>0</v>
      </c>
      <c r="BM529" s="49" t="str">
        <f t="shared" ref="BM529" si="3434">IF(BL529&lt;0,SUBSTITUTE(TEXT(BL529,"000000000000,00"),",",""),SUBSTITUTE(TEXT(BL529,"0000000000000,00"),",",""))</f>
        <v>000000000000000</v>
      </c>
      <c r="BN529" t="str">
        <f t="shared" si="3404"/>
        <v>PES</v>
      </c>
      <c r="BO529" t="str">
        <f t="shared" si="3405"/>
        <v>0001000000</v>
      </c>
      <c r="BP529">
        <f t="shared" si="3406"/>
        <v>0</v>
      </c>
      <c r="BQ529">
        <f t="shared" si="3407"/>
        <v>0</v>
      </c>
      <c r="BR529" s="23">
        <f t="shared" si="3408"/>
        <v>0</v>
      </c>
      <c r="BS529" s="49" t="str">
        <f t="shared" si="3373"/>
        <v>000000000000000</v>
      </c>
      <c r="BT529" t="str">
        <f t="shared" si="3409"/>
        <v>00000000</v>
      </c>
      <c r="BU529" s="23">
        <f t="shared" si="3410"/>
        <v>0</v>
      </c>
      <c r="BV529" s="49" t="str">
        <f t="shared" si="3374"/>
        <v/>
      </c>
      <c r="BW529" s="52" t="str">
        <f t="shared" si="3411"/>
        <v/>
      </c>
      <c r="BX529" s="23">
        <f t="shared" si="3412"/>
        <v>0</v>
      </c>
      <c r="BY529" s="49" t="str">
        <f t="shared" si="3375"/>
        <v/>
      </c>
      <c r="BZ529" s="23">
        <f t="shared" si="3413"/>
        <v>0</v>
      </c>
      <c r="CA529" s="49" t="str">
        <f t="shared" si="3376"/>
        <v/>
      </c>
      <c r="CB529" s="52" t="str">
        <f t="shared" si="3414"/>
        <v/>
      </c>
      <c r="CC529" s="23">
        <f t="shared" si="3415"/>
        <v>0</v>
      </c>
      <c r="CD529" s="49" t="str">
        <f t="shared" si="3377"/>
        <v/>
      </c>
      <c r="CE529" s="56" t="str">
        <f>IF(CF529="","",MAX(CE$10:$CE528)+1)</f>
        <v/>
      </c>
      <c r="CF529" t="str">
        <f t="shared" si="3416"/>
        <v/>
      </c>
      <c r="CG529" s="22" t="str">
        <f>IF(CH529="","",MAX($CG$10:CG528)+1)</f>
        <v/>
      </c>
      <c r="CH529" s="22" t="str">
        <f t="shared" si="3361"/>
        <v/>
      </c>
      <c r="CI529" s="22" t="str">
        <f>IF(CJ529="","",MAX($CI$10:CI528)+1)</f>
        <v/>
      </c>
      <c r="CJ529" s="22" t="str">
        <f t="shared" si="3362"/>
        <v/>
      </c>
    </row>
    <row r="530" spans="2:88" x14ac:dyDescent="0.25">
      <c r="B530" s="37"/>
      <c r="C530" s="3"/>
      <c r="D530" s="77" t="str">
        <f t="shared" si="3348"/>
        <v/>
      </c>
      <c r="E530" s="38"/>
      <c r="F530" s="38"/>
      <c r="G530" s="78">
        <f t="shared" si="3363"/>
        <v>0</v>
      </c>
      <c r="H530" s="3">
        <v>80</v>
      </c>
      <c r="I530" s="77" t="str">
        <f t="shared" si="3349"/>
        <v/>
      </c>
      <c r="J530" s="32"/>
      <c r="K530" s="3"/>
      <c r="L530" s="39"/>
      <c r="M530" s="39"/>
      <c r="N530" s="39"/>
      <c r="O530" s="39"/>
      <c r="P530" s="39"/>
      <c r="Q530" s="39"/>
      <c r="R530" s="39"/>
      <c r="S530" s="39"/>
      <c r="T530" s="3" t="s">
        <v>645</v>
      </c>
      <c r="U530" s="77" t="str">
        <f t="shared" si="3350"/>
        <v/>
      </c>
      <c r="V530" s="39">
        <v>1</v>
      </c>
      <c r="W530" s="79">
        <f t="shared" si="3364"/>
        <v>0</v>
      </c>
      <c r="X530" s="3">
        <v>0</v>
      </c>
      <c r="Y530" s="77" t="str">
        <f t="shared" si="3351"/>
        <v/>
      </c>
      <c r="Z530" s="3"/>
      <c r="AA530" s="37" t="str">
        <f t="shared" si="3365"/>
        <v/>
      </c>
      <c r="AC530" s="40"/>
      <c r="AD530" s="7"/>
      <c r="AE530" s="77" t="str">
        <f t="shared" si="3352"/>
        <v/>
      </c>
      <c r="AF530" s="81">
        <f t="shared" si="3378"/>
        <v>0</v>
      </c>
      <c r="AG530" s="40"/>
      <c r="AH530" s="7"/>
      <c r="AI530" s="77" t="str">
        <f t="shared" si="3353"/>
        <v/>
      </c>
      <c r="AJ530" s="81">
        <f t="shared" si="3379"/>
        <v>0</v>
      </c>
      <c r="AK530" s="83">
        <f t="shared" si="3380"/>
        <v>0</v>
      </c>
      <c r="AL530" s="83">
        <f t="shared" si="3381"/>
        <v>0</v>
      </c>
      <c r="AN530" s="43">
        <f t="shared" si="3354"/>
        <v>0</v>
      </c>
      <c r="AP530" t="str">
        <f t="shared" si="3382"/>
        <v/>
      </c>
      <c r="AQ530" t="str">
        <f t="shared" si="3383"/>
        <v/>
      </c>
      <c r="AR530" t="str">
        <f t="shared" si="3384"/>
        <v/>
      </c>
      <c r="AS530" t="str">
        <f t="shared" si="3385"/>
        <v/>
      </c>
      <c r="AT530" t="str">
        <f t="shared" si="3386"/>
        <v/>
      </c>
      <c r="AU530" t="str">
        <f t="shared" si="3387"/>
        <v/>
      </c>
      <c r="AV530" t="str">
        <f t="shared" si="3388"/>
        <v/>
      </c>
      <c r="AW530" t="str">
        <f t="shared" si="3389"/>
        <v xml:space="preserve">                              </v>
      </c>
      <c r="AX530" s="23">
        <f t="shared" si="3390"/>
        <v>0</v>
      </c>
      <c r="AY530" s="49" t="str">
        <f t="shared" si="3366"/>
        <v>000000000000000</v>
      </c>
      <c r="AZ530" s="23">
        <f t="shared" si="3391"/>
        <v>0</v>
      </c>
      <c r="BA530" s="49" t="str">
        <f t="shared" si="3366"/>
        <v>000000000000000</v>
      </c>
      <c r="BB530" s="23">
        <f t="shared" si="3392"/>
        <v>0</v>
      </c>
      <c r="BC530" s="49" t="str">
        <f t="shared" ref="BC530" si="3435">IF(BB530&lt;0,SUBSTITUTE(TEXT(BB530,"000000000000,00"),",",""),SUBSTITUTE(TEXT(BB530,"0000000000000,00"),",",""))</f>
        <v>000000000000000</v>
      </c>
      <c r="BD530" s="23">
        <f t="shared" si="3394"/>
        <v>0</v>
      </c>
      <c r="BE530" s="49" t="str">
        <f t="shared" ref="BE530" si="3436">IF(BD530&lt;0,SUBSTITUTE(TEXT(BD530,"000000000000,00"),",",""),SUBSTITUTE(TEXT(BD530,"0000000000000,00"),",",""))</f>
        <v>000000000000000</v>
      </c>
      <c r="BF530" s="23">
        <f t="shared" si="3396"/>
        <v>0</v>
      </c>
      <c r="BG530" s="49" t="str">
        <f t="shared" ref="BG530" si="3437">IF(BF530&lt;0,SUBSTITUTE(TEXT(BF530,"000000000000,00"),",",""),SUBSTITUTE(TEXT(BF530,"0000000000000,00"),",",""))</f>
        <v>000000000000000</v>
      </c>
      <c r="BH530" s="23">
        <f t="shared" si="3398"/>
        <v>0</v>
      </c>
      <c r="BI530" s="49" t="str">
        <f t="shared" ref="BI530" si="3438">IF(BH530&lt;0,SUBSTITUTE(TEXT(BH530,"000000000000,00"),",",""),SUBSTITUTE(TEXT(BH530,"0000000000000,00"),",",""))</f>
        <v>000000000000000</v>
      </c>
      <c r="BJ530" s="23">
        <f t="shared" si="3400"/>
        <v>0</v>
      </c>
      <c r="BK530" s="49" t="str">
        <f t="shared" ref="BK530" si="3439">IF(BJ530&lt;0,SUBSTITUTE(TEXT(BJ530,"000000000000,00"),",",""),SUBSTITUTE(TEXT(BJ530,"0000000000000,00"),",",""))</f>
        <v>000000000000000</v>
      </c>
      <c r="BL530" s="23">
        <f t="shared" si="3402"/>
        <v>0</v>
      </c>
      <c r="BM530" s="49" t="str">
        <f t="shared" ref="BM530" si="3440">IF(BL530&lt;0,SUBSTITUTE(TEXT(BL530,"000000000000,00"),",",""),SUBSTITUTE(TEXT(BL530,"0000000000000,00"),",",""))</f>
        <v>000000000000000</v>
      </c>
      <c r="BN530" t="str">
        <f t="shared" si="3404"/>
        <v>PES</v>
      </c>
      <c r="BO530" t="str">
        <f t="shared" si="3405"/>
        <v>0001000000</v>
      </c>
      <c r="BP530">
        <f t="shared" si="3406"/>
        <v>0</v>
      </c>
      <c r="BQ530">
        <f t="shared" si="3407"/>
        <v>0</v>
      </c>
      <c r="BR530" s="23">
        <f t="shared" si="3408"/>
        <v>0</v>
      </c>
      <c r="BS530" s="49" t="str">
        <f t="shared" si="3373"/>
        <v>000000000000000</v>
      </c>
      <c r="BT530" t="str">
        <f t="shared" si="3409"/>
        <v>00000000</v>
      </c>
      <c r="BU530" s="23">
        <f t="shared" si="3410"/>
        <v>0</v>
      </c>
      <c r="BV530" s="49" t="str">
        <f t="shared" si="3374"/>
        <v/>
      </c>
      <c r="BW530" s="52" t="str">
        <f t="shared" si="3411"/>
        <v/>
      </c>
      <c r="BX530" s="23">
        <f t="shared" si="3412"/>
        <v>0</v>
      </c>
      <c r="BY530" s="49" t="str">
        <f t="shared" si="3375"/>
        <v/>
      </c>
      <c r="BZ530" s="23">
        <f t="shared" si="3413"/>
        <v>0</v>
      </c>
      <c r="CA530" s="49" t="str">
        <f t="shared" si="3376"/>
        <v/>
      </c>
      <c r="CB530" s="52" t="str">
        <f t="shared" si="3414"/>
        <v/>
      </c>
      <c r="CC530" s="23">
        <f t="shared" si="3415"/>
        <v>0</v>
      </c>
      <c r="CD530" s="49" t="str">
        <f t="shared" si="3377"/>
        <v/>
      </c>
      <c r="CE530" s="56" t="str">
        <f>IF(CF530="","",MAX(CE$10:$CE529)+1)</f>
        <v/>
      </c>
      <c r="CF530" t="str">
        <f t="shared" si="3416"/>
        <v/>
      </c>
      <c r="CG530" s="22" t="str">
        <f>IF(CH530="","",MAX($CG$10:CG529)+1)</f>
        <v/>
      </c>
      <c r="CH530" s="22" t="str">
        <f t="shared" si="3361"/>
        <v/>
      </c>
      <c r="CI530" s="22" t="str">
        <f>IF(CJ530="","",MAX($CI$10:CI529)+1)</f>
        <v/>
      </c>
      <c r="CJ530" s="22" t="str">
        <f t="shared" si="3362"/>
        <v/>
      </c>
    </row>
    <row r="531" spans="2:88" x14ac:dyDescent="0.25">
      <c r="B531" s="37"/>
      <c r="C531" s="3"/>
      <c r="D531" s="77" t="str">
        <f t="shared" si="3348"/>
        <v/>
      </c>
      <c r="E531" s="38"/>
      <c r="F531" s="38"/>
      <c r="G531" s="78">
        <f t="shared" si="3363"/>
        <v>0</v>
      </c>
      <c r="H531" s="3">
        <v>80</v>
      </c>
      <c r="I531" s="77" t="str">
        <f t="shared" si="3349"/>
        <v/>
      </c>
      <c r="J531" s="32"/>
      <c r="K531" s="3"/>
      <c r="L531" s="39"/>
      <c r="M531" s="39"/>
      <c r="N531" s="39"/>
      <c r="O531" s="39"/>
      <c r="P531" s="39"/>
      <c r="Q531" s="39"/>
      <c r="R531" s="39"/>
      <c r="S531" s="39"/>
      <c r="T531" s="3" t="s">
        <v>645</v>
      </c>
      <c r="U531" s="77" t="str">
        <f t="shared" si="3350"/>
        <v/>
      </c>
      <c r="V531" s="39">
        <v>1</v>
      </c>
      <c r="W531" s="79">
        <f t="shared" si="3364"/>
        <v>0</v>
      </c>
      <c r="X531" s="3">
        <v>0</v>
      </c>
      <c r="Y531" s="77" t="str">
        <f t="shared" si="3351"/>
        <v/>
      </c>
      <c r="Z531" s="3"/>
      <c r="AA531" s="37" t="str">
        <f t="shared" si="3365"/>
        <v/>
      </c>
      <c r="AC531" s="40"/>
      <c r="AD531" s="7"/>
      <c r="AE531" s="77" t="str">
        <f t="shared" si="3352"/>
        <v/>
      </c>
      <c r="AF531" s="81">
        <f t="shared" si="3378"/>
        <v>0</v>
      </c>
      <c r="AG531" s="40"/>
      <c r="AH531" s="7"/>
      <c r="AI531" s="77" t="str">
        <f t="shared" si="3353"/>
        <v/>
      </c>
      <c r="AJ531" s="81">
        <f t="shared" si="3379"/>
        <v>0</v>
      </c>
      <c r="AK531" s="83">
        <f t="shared" si="3380"/>
        <v>0</v>
      </c>
      <c r="AL531" s="83">
        <f t="shared" si="3381"/>
        <v>0</v>
      </c>
      <c r="AN531" s="43">
        <f t="shared" si="3354"/>
        <v>0</v>
      </c>
      <c r="AP531" t="str">
        <f t="shared" si="3382"/>
        <v/>
      </c>
      <c r="AQ531" t="str">
        <f t="shared" si="3383"/>
        <v/>
      </c>
      <c r="AR531" t="str">
        <f t="shared" si="3384"/>
        <v/>
      </c>
      <c r="AS531" t="str">
        <f t="shared" si="3385"/>
        <v/>
      </c>
      <c r="AT531" t="str">
        <f t="shared" si="3386"/>
        <v/>
      </c>
      <c r="AU531" t="str">
        <f t="shared" si="3387"/>
        <v/>
      </c>
      <c r="AV531" t="str">
        <f t="shared" si="3388"/>
        <v/>
      </c>
      <c r="AW531" t="str">
        <f t="shared" si="3389"/>
        <v xml:space="preserve">                              </v>
      </c>
      <c r="AX531" s="23">
        <f t="shared" si="3390"/>
        <v>0</v>
      </c>
      <c r="AY531" s="49" t="str">
        <f t="shared" si="3366"/>
        <v>000000000000000</v>
      </c>
      <c r="AZ531" s="23">
        <f t="shared" si="3391"/>
        <v>0</v>
      </c>
      <c r="BA531" s="49" t="str">
        <f t="shared" si="3366"/>
        <v>000000000000000</v>
      </c>
      <c r="BB531" s="23">
        <f t="shared" si="3392"/>
        <v>0</v>
      </c>
      <c r="BC531" s="49" t="str">
        <f t="shared" ref="BC531" si="3441">IF(BB531&lt;0,SUBSTITUTE(TEXT(BB531,"000000000000,00"),",",""),SUBSTITUTE(TEXT(BB531,"0000000000000,00"),",",""))</f>
        <v>000000000000000</v>
      </c>
      <c r="BD531" s="23">
        <f t="shared" si="3394"/>
        <v>0</v>
      </c>
      <c r="BE531" s="49" t="str">
        <f t="shared" ref="BE531" si="3442">IF(BD531&lt;0,SUBSTITUTE(TEXT(BD531,"000000000000,00"),",",""),SUBSTITUTE(TEXT(BD531,"0000000000000,00"),",",""))</f>
        <v>000000000000000</v>
      </c>
      <c r="BF531" s="23">
        <f t="shared" si="3396"/>
        <v>0</v>
      </c>
      <c r="BG531" s="49" t="str">
        <f t="shared" ref="BG531" si="3443">IF(BF531&lt;0,SUBSTITUTE(TEXT(BF531,"000000000000,00"),",",""),SUBSTITUTE(TEXT(BF531,"0000000000000,00"),",",""))</f>
        <v>000000000000000</v>
      </c>
      <c r="BH531" s="23">
        <f t="shared" si="3398"/>
        <v>0</v>
      </c>
      <c r="BI531" s="49" t="str">
        <f t="shared" ref="BI531" si="3444">IF(BH531&lt;0,SUBSTITUTE(TEXT(BH531,"000000000000,00"),",",""),SUBSTITUTE(TEXT(BH531,"0000000000000,00"),",",""))</f>
        <v>000000000000000</v>
      </c>
      <c r="BJ531" s="23">
        <f t="shared" si="3400"/>
        <v>0</v>
      </c>
      <c r="BK531" s="49" t="str">
        <f t="shared" ref="BK531" si="3445">IF(BJ531&lt;0,SUBSTITUTE(TEXT(BJ531,"000000000000,00"),",",""),SUBSTITUTE(TEXT(BJ531,"0000000000000,00"),",",""))</f>
        <v>000000000000000</v>
      </c>
      <c r="BL531" s="23">
        <f t="shared" si="3402"/>
        <v>0</v>
      </c>
      <c r="BM531" s="49" t="str">
        <f t="shared" ref="BM531" si="3446">IF(BL531&lt;0,SUBSTITUTE(TEXT(BL531,"000000000000,00"),",",""),SUBSTITUTE(TEXT(BL531,"0000000000000,00"),",",""))</f>
        <v>000000000000000</v>
      </c>
      <c r="BN531" t="str">
        <f t="shared" si="3404"/>
        <v>PES</v>
      </c>
      <c r="BO531" t="str">
        <f t="shared" si="3405"/>
        <v>0001000000</v>
      </c>
      <c r="BP531">
        <f t="shared" si="3406"/>
        <v>0</v>
      </c>
      <c r="BQ531">
        <f t="shared" si="3407"/>
        <v>0</v>
      </c>
      <c r="BR531" s="23">
        <f t="shared" si="3408"/>
        <v>0</v>
      </c>
      <c r="BS531" s="49" t="str">
        <f t="shared" si="3373"/>
        <v>000000000000000</v>
      </c>
      <c r="BT531" t="str">
        <f t="shared" si="3409"/>
        <v>00000000</v>
      </c>
      <c r="BU531" s="23">
        <f t="shared" si="3410"/>
        <v>0</v>
      </c>
      <c r="BV531" s="49" t="str">
        <f t="shared" si="3374"/>
        <v/>
      </c>
      <c r="BW531" s="52" t="str">
        <f t="shared" si="3411"/>
        <v/>
      </c>
      <c r="BX531" s="23">
        <f t="shared" si="3412"/>
        <v>0</v>
      </c>
      <c r="BY531" s="49" t="str">
        <f t="shared" si="3375"/>
        <v/>
      </c>
      <c r="BZ531" s="23">
        <f t="shared" si="3413"/>
        <v>0</v>
      </c>
      <c r="CA531" s="49" t="str">
        <f t="shared" si="3376"/>
        <v/>
      </c>
      <c r="CB531" s="52" t="str">
        <f t="shared" si="3414"/>
        <v/>
      </c>
      <c r="CC531" s="23">
        <f t="shared" si="3415"/>
        <v>0</v>
      </c>
      <c r="CD531" s="49" t="str">
        <f t="shared" si="3377"/>
        <v/>
      </c>
      <c r="CE531" s="56" t="str">
        <f>IF(CF531="","",MAX(CE$10:$CE530)+1)</f>
        <v/>
      </c>
      <c r="CF531" t="str">
        <f t="shared" si="3416"/>
        <v/>
      </c>
      <c r="CG531" s="22" t="str">
        <f>IF(CH531="","",MAX($CG$10:CG530)+1)</f>
        <v/>
      </c>
      <c r="CH531" s="22" t="str">
        <f t="shared" si="3361"/>
        <v/>
      </c>
      <c r="CI531" s="22" t="str">
        <f>IF(CJ531="","",MAX($CI$10:CI530)+1)</f>
        <v/>
      </c>
      <c r="CJ531" s="22" t="str">
        <f t="shared" si="3362"/>
        <v/>
      </c>
    </row>
    <row r="532" spans="2:88" x14ac:dyDescent="0.25">
      <c r="B532" s="37"/>
      <c r="C532" s="3"/>
      <c r="D532" s="77" t="str">
        <f t="shared" si="3348"/>
        <v/>
      </c>
      <c r="E532" s="38"/>
      <c r="F532" s="38"/>
      <c r="G532" s="78">
        <f t="shared" si="3363"/>
        <v>0</v>
      </c>
      <c r="H532" s="3">
        <v>80</v>
      </c>
      <c r="I532" s="77" t="str">
        <f t="shared" si="3349"/>
        <v/>
      </c>
      <c r="J532" s="32"/>
      <c r="K532" s="3"/>
      <c r="L532" s="39"/>
      <c r="M532" s="39"/>
      <c r="N532" s="39"/>
      <c r="O532" s="39"/>
      <c r="P532" s="39"/>
      <c r="Q532" s="39"/>
      <c r="R532" s="39"/>
      <c r="S532" s="39"/>
      <c r="T532" s="3" t="s">
        <v>645</v>
      </c>
      <c r="U532" s="77" t="str">
        <f t="shared" si="3350"/>
        <v/>
      </c>
      <c r="V532" s="39">
        <v>1</v>
      </c>
      <c r="W532" s="79">
        <f t="shared" si="3364"/>
        <v>0</v>
      </c>
      <c r="X532" s="3">
        <v>0</v>
      </c>
      <c r="Y532" s="77" t="str">
        <f t="shared" si="3351"/>
        <v/>
      </c>
      <c r="Z532" s="3"/>
      <c r="AA532" s="37" t="str">
        <f t="shared" si="3365"/>
        <v/>
      </c>
      <c r="AC532" s="40"/>
      <c r="AD532" s="7"/>
      <c r="AE532" s="77" t="str">
        <f t="shared" si="3352"/>
        <v/>
      </c>
      <c r="AF532" s="81">
        <f t="shared" si="3378"/>
        <v>0</v>
      </c>
      <c r="AG532" s="40"/>
      <c r="AH532" s="7"/>
      <c r="AI532" s="77" t="str">
        <f t="shared" si="3353"/>
        <v/>
      </c>
      <c r="AJ532" s="81">
        <f t="shared" si="3379"/>
        <v>0</v>
      </c>
      <c r="AK532" s="83">
        <f t="shared" si="3380"/>
        <v>0</v>
      </c>
      <c r="AL532" s="83">
        <f t="shared" si="3381"/>
        <v>0</v>
      </c>
      <c r="AN532" s="43">
        <f t="shared" si="3354"/>
        <v>0</v>
      </c>
      <c r="AP532" t="str">
        <f t="shared" si="3382"/>
        <v/>
      </c>
      <c r="AQ532" t="str">
        <f t="shared" si="3383"/>
        <v/>
      </c>
      <c r="AR532" t="str">
        <f t="shared" si="3384"/>
        <v/>
      </c>
      <c r="AS532" t="str">
        <f t="shared" si="3385"/>
        <v/>
      </c>
      <c r="AT532" t="str">
        <f t="shared" si="3386"/>
        <v/>
      </c>
      <c r="AU532" t="str">
        <f t="shared" si="3387"/>
        <v/>
      </c>
      <c r="AV532" t="str">
        <f t="shared" si="3388"/>
        <v/>
      </c>
      <c r="AW532" t="str">
        <f t="shared" si="3389"/>
        <v xml:space="preserve">                              </v>
      </c>
      <c r="AX532" s="23">
        <f t="shared" si="3390"/>
        <v>0</v>
      </c>
      <c r="AY532" s="49" t="str">
        <f t="shared" si="3366"/>
        <v>000000000000000</v>
      </c>
      <c r="AZ532" s="23">
        <f t="shared" si="3391"/>
        <v>0</v>
      </c>
      <c r="BA532" s="49" t="str">
        <f t="shared" si="3366"/>
        <v>000000000000000</v>
      </c>
      <c r="BB532" s="23">
        <f t="shared" si="3392"/>
        <v>0</v>
      </c>
      <c r="BC532" s="49" t="str">
        <f t="shared" ref="BC532" si="3447">IF(BB532&lt;0,SUBSTITUTE(TEXT(BB532,"000000000000,00"),",",""),SUBSTITUTE(TEXT(BB532,"0000000000000,00"),",",""))</f>
        <v>000000000000000</v>
      </c>
      <c r="BD532" s="23">
        <f t="shared" si="3394"/>
        <v>0</v>
      </c>
      <c r="BE532" s="49" t="str">
        <f t="shared" ref="BE532" si="3448">IF(BD532&lt;0,SUBSTITUTE(TEXT(BD532,"000000000000,00"),",",""),SUBSTITUTE(TEXT(BD532,"0000000000000,00"),",",""))</f>
        <v>000000000000000</v>
      </c>
      <c r="BF532" s="23">
        <f t="shared" si="3396"/>
        <v>0</v>
      </c>
      <c r="BG532" s="49" t="str">
        <f t="shared" ref="BG532" si="3449">IF(BF532&lt;0,SUBSTITUTE(TEXT(BF532,"000000000000,00"),",",""),SUBSTITUTE(TEXT(BF532,"0000000000000,00"),",",""))</f>
        <v>000000000000000</v>
      </c>
      <c r="BH532" s="23">
        <f t="shared" si="3398"/>
        <v>0</v>
      </c>
      <c r="BI532" s="49" t="str">
        <f t="shared" ref="BI532" si="3450">IF(BH532&lt;0,SUBSTITUTE(TEXT(BH532,"000000000000,00"),",",""),SUBSTITUTE(TEXT(BH532,"0000000000000,00"),",",""))</f>
        <v>000000000000000</v>
      </c>
      <c r="BJ532" s="23">
        <f t="shared" si="3400"/>
        <v>0</v>
      </c>
      <c r="BK532" s="49" t="str">
        <f t="shared" ref="BK532" si="3451">IF(BJ532&lt;0,SUBSTITUTE(TEXT(BJ532,"000000000000,00"),",",""),SUBSTITUTE(TEXT(BJ532,"0000000000000,00"),",",""))</f>
        <v>000000000000000</v>
      </c>
      <c r="BL532" s="23">
        <f t="shared" si="3402"/>
        <v>0</v>
      </c>
      <c r="BM532" s="49" t="str">
        <f t="shared" ref="BM532" si="3452">IF(BL532&lt;0,SUBSTITUTE(TEXT(BL532,"000000000000,00"),",",""),SUBSTITUTE(TEXT(BL532,"0000000000000,00"),",",""))</f>
        <v>000000000000000</v>
      </c>
      <c r="BN532" t="str">
        <f t="shared" si="3404"/>
        <v>PES</v>
      </c>
      <c r="BO532" t="str">
        <f t="shared" si="3405"/>
        <v>0001000000</v>
      </c>
      <c r="BP532">
        <f t="shared" si="3406"/>
        <v>0</v>
      </c>
      <c r="BQ532">
        <f t="shared" si="3407"/>
        <v>0</v>
      </c>
      <c r="BR532" s="23">
        <f t="shared" si="3408"/>
        <v>0</v>
      </c>
      <c r="BS532" s="49" t="str">
        <f t="shared" si="3373"/>
        <v>000000000000000</v>
      </c>
      <c r="BT532" t="str">
        <f t="shared" si="3409"/>
        <v>00000000</v>
      </c>
      <c r="BU532" s="23">
        <f t="shared" si="3410"/>
        <v>0</v>
      </c>
      <c r="BV532" s="49" t="str">
        <f t="shared" si="3374"/>
        <v/>
      </c>
      <c r="BW532" s="52" t="str">
        <f t="shared" si="3411"/>
        <v/>
      </c>
      <c r="BX532" s="23">
        <f t="shared" si="3412"/>
        <v>0</v>
      </c>
      <c r="BY532" s="49" t="str">
        <f t="shared" si="3375"/>
        <v/>
      </c>
      <c r="BZ532" s="23">
        <f t="shared" si="3413"/>
        <v>0</v>
      </c>
      <c r="CA532" s="49" t="str">
        <f t="shared" si="3376"/>
        <v/>
      </c>
      <c r="CB532" s="52" t="str">
        <f t="shared" si="3414"/>
        <v/>
      </c>
      <c r="CC532" s="23">
        <f t="shared" si="3415"/>
        <v>0</v>
      </c>
      <c r="CD532" s="49" t="str">
        <f t="shared" si="3377"/>
        <v/>
      </c>
      <c r="CE532" s="56" t="str">
        <f>IF(CF532="","",MAX(CE$10:$CE531)+1)</f>
        <v/>
      </c>
      <c r="CF532" t="str">
        <f t="shared" si="3416"/>
        <v/>
      </c>
      <c r="CG532" s="22" t="str">
        <f>IF(CH532="","",MAX($CG$10:CG531)+1)</f>
        <v/>
      </c>
      <c r="CH532" s="22" t="str">
        <f t="shared" si="3361"/>
        <v/>
      </c>
      <c r="CI532" s="22" t="str">
        <f>IF(CJ532="","",MAX($CI$10:CI531)+1)</f>
        <v/>
      </c>
      <c r="CJ532" s="22" t="str">
        <f t="shared" si="3362"/>
        <v/>
      </c>
    </row>
    <row r="533" spans="2:88" x14ac:dyDescent="0.25">
      <c r="B533" s="37"/>
      <c r="C533" s="3"/>
      <c r="D533" s="77" t="str">
        <f t="shared" si="3348"/>
        <v/>
      </c>
      <c r="E533" s="38"/>
      <c r="F533" s="38"/>
      <c r="G533" s="78">
        <f t="shared" si="3363"/>
        <v>0</v>
      </c>
      <c r="H533" s="3">
        <v>80</v>
      </c>
      <c r="I533" s="77" t="str">
        <f t="shared" si="3349"/>
        <v/>
      </c>
      <c r="J533" s="32"/>
      <c r="K533" s="3"/>
      <c r="L533" s="39"/>
      <c r="M533" s="39"/>
      <c r="N533" s="39"/>
      <c r="O533" s="39"/>
      <c r="P533" s="39"/>
      <c r="Q533" s="39"/>
      <c r="R533" s="39"/>
      <c r="S533" s="39"/>
      <c r="T533" s="3" t="s">
        <v>645</v>
      </c>
      <c r="U533" s="77" t="str">
        <f t="shared" si="3350"/>
        <v/>
      </c>
      <c r="V533" s="39">
        <v>1</v>
      </c>
      <c r="W533" s="79">
        <f t="shared" si="3364"/>
        <v>0</v>
      </c>
      <c r="X533" s="3">
        <v>0</v>
      </c>
      <c r="Y533" s="77" t="str">
        <f t="shared" si="3351"/>
        <v/>
      </c>
      <c r="Z533" s="3"/>
      <c r="AA533" s="37" t="str">
        <f t="shared" si="3365"/>
        <v/>
      </c>
      <c r="AC533" s="40"/>
      <c r="AD533" s="7"/>
      <c r="AE533" s="77" t="str">
        <f t="shared" si="3352"/>
        <v/>
      </c>
      <c r="AF533" s="81">
        <f t="shared" si="3378"/>
        <v>0</v>
      </c>
      <c r="AG533" s="40"/>
      <c r="AH533" s="7"/>
      <c r="AI533" s="77" t="str">
        <f t="shared" si="3353"/>
        <v/>
      </c>
      <c r="AJ533" s="81">
        <f t="shared" si="3379"/>
        <v>0</v>
      </c>
      <c r="AK533" s="83">
        <f t="shared" si="3380"/>
        <v>0</v>
      </c>
      <c r="AL533" s="83">
        <f t="shared" si="3381"/>
        <v>0</v>
      </c>
      <c r="AN533" s="43">
        <f t="shared" si="3354"/>
        <v>0</v>
      </c>
      <c r="AP533" t="str">
        <f t="shared" si="3382"/>
        <v/>
      </c>
      <c r="AQ533" t="str">
        <f t="shared" si="3383"/>
        <v/>
      </c>
      <c r="AR533" t="str">
        <f t="shared" si="3384"/>
        <v/>
      </c>
      <c r="AS533" t="str">
        <f t="shared" si="3385"/>
        <v/>
      </c>
      <c r="AT533" t="str">
        <f t="shared" si="3386"/>
        <v/>
      </c>
      <c r="AU533" t="str">
        <f t="shared" si="3387"/>
        <v/>
      </c>
      <c r="AV533" t="str">
        <f t="shared" si="3388"/>
        <v/>
      </c>
      <c r="AW533" t="str">
        <f t="shared" si="3389"/>
        <v xml:space="preserve">                              </v>
      </c>
      <c r="AX533" s="23">
        <f t="shared" si="3390"/>
        <v>0</v>
      </c>
      <c r="AY533" s="49" t="str">
        <f t="shared" si="3366"/>
        <v>000000000000000</v>
      </c>
      <c r="AZ533" s="23">
        <f t="shared" si="3391"/>
        <v>0</v>
      </c>
      <c r="BA533" s="49" t="str">
        <f t="shared" si="3366"/>
        <v>000000000000000</v>
      </c>
      <c r="BB533" s="23">
        <f t="shared" si="3392"/>
        <v>0</v>
      </c>
      <c r="BC533" s="49" t="str">
        <f t="shared" ref="BC533" si="3453">IF(BB533&lt;0,SUBSTITUTE(TEXT(BB533,"000000000000,00"),",",""),SUBSTITUTE(TEXT(BB533,"0000000000000,00"),",",""))</f>
        <v>000000000000000</v>
      </c>
      <c r="BD533" s="23">
        <f t="shared" si="3394"/>
        <v>0</v>
      </c>
      <c r="BE533" s="49" t="str">
        <f t="shared" ref="BE533" si="3454">IF(BD533&lt;0,SUBSTITUTE(TEXT(BD533,"000000000000,00"),",",""),SUBSTITUTE(TEXT(BD533,"0000000000000,00"),",",""))</f>
        <v>000000000000000</v>
      </c>
      <c r="BF533" s="23">
        <f t="shared" si="3396"/>
        <v>0</v>
      </c>
      <c r="BG533" s="49" t="str">
        <f t="shared" ref="BG533" si="3455">IF(BF533&lt;0,SUBSTITUTE(TEXT(BF533,"000000000000,00"),",",""),SUBSTITUTE(TEXT(BF533,"0000000000000,00"),",",""))</f>
        <v>000000000000000</v>
      </c>
      <c r="BH533" s="23">
        <f t="shared" si="3398"/>
        <v>0</v>
      </c>
      <c r="BI533" s="49" t="str">
        <f t="shared" ref="BI533" si="3456">IF(BH533&lt;0,SUBSTITUTE(TEXT(BH533,"000000000000,00"),",",""),SUBSTITUTE(TEXT(BH533,"0000000000000,00"),",",""))</f>
        <v>000000000000000</v>
      </c>
      <c r="BJ533" s="23">
        <f t="shared" si="3400"/>
        <v>0</v>
      </c>
      <c r="BK533" s="49" t="str">
        <f t="shared" ref="BK533" si="3457">IF(BJ533&lt;0,SUBSTITUTE(TEXT(BJ533,"000000000000,00"),",",""),SUBSTITUTE(TEXT(BJ533,"0000000000000,00"),",",""))</f>
        <v>000000000000000</v>
      </c>
      <c r="BL533" s="23">
        <f t="shared" si="3402"/>
        <v>0</v>
      </c>
      <c r="BM533" s="49" t="str">
        <f t="shared" ref="BM533" si="3458">IF(BL533&lt;0,SUBSTITUTE(TEXT(BL533,"000000000000,00"),",",""),SUBSTITUTE(TEXT(BL533,"0000000000000,00"),",",""))</f>
        <v>000000000000000</v>
      </c>
      <c r="BN533" t="str">
        <f t="shared" si="3404"/>
        <v>PES</v>
      </c>
      <c r="BO533" t="str">
        <f t="shared" si="3405"/>
        <v>0001000000</v>
      </c>
      <c r="BP533">
        <f t="shared" si="3406"/>
        <v>0</v>
      </c>
      <c r="BQ533">
        <f t="shared" si="3407"/>
        <v>0</v>
      </c>
      <c r="BR533" s="23">
        <f t="shared" si="3408"/>
        <v>0</v>
      </c>
      <c r="BS533" s="49" t="str">
        <f t="shared" si="3373"/>
        <v>000000000000000</v>
      </c>
      <c r="BT533" t="str">
        <f t="shared" si="3409"/>
        <v>00000000</v>
      </c>
      <c r="BU533" s="23">
        <f t="shared" si="3410"/>
        <v>0</v>
      </c>
      <c r="BV533" s="49" t="str">
        <f t="shared" si="3374"/>
        <v/>
      </c>
      <c r="BW533" s="52" t="str">
        <f t="shared" si="3411"/>
        <v/>
      </c>
      <c r="BX533" s="23">
        <f t="shared" si="3412"/>
        <v>0</v>
      </c>
      <c r="BY533" s="49" t="str">
        <f t="shared" si="3375"/>
        <v/>
      </c>
      <c r="BZ533" s="23">
        <f t="shared" si="3413"/>
        <v>0</v>
      </c>
      <c r="CA533" s="49" t="str">
        <f t="shared" si="3376"/>
        <v/>
      </c>
      <c r="CB533" s="52" t="str">
        <f t="shared" si="3414"/>
        <v/>
      </c>
      <c r="CC533" s="23">
        <f t="shared" si="3415"/>
        <v>0</v>
      </c>
      <c r="CD533" s="49" t="str">
        <f t="shared" si="3377"/>
        <v/>
      </c>
      <c r="CE533" s="56" t="str">
        <f>IF(CF533="","",MAX(CE$10:$CE532)+1)</f>
        <v/>
      </c>
      <c r="CF533" t="str">
        <f t="shared" si="3416"/>
        <v/>
      </c>
      <c r="CG533" s="22" t="str">
        <f>IF(CH533="","",MAX($CG$10:CG532)+1)</f>
        <v/>
      </c>
      <c r="CH533" s="22" t="str">
        <f t="shared" si="3361"/>
        <v/>
      </c>
      <c r="CI533" s="22" t="str">
        <f>IF(CJ533="","",MAX($CI$10:CI532)+1)</f>
        <v/>
      </c>
      <c r="CJ533" s="22" t="str">
        <f t="shared" si="3362"/>
        <v/>
      </c>
    </row>
    <row r="534" spans="2:88" x14ac:dyDescent="0.25">
      <c r="B534" s="37"/>
      <c r="C534" s="3"/>
      <c r="D534" s="77" t="str">
        <f t="shared" si="3348"/>
        <v/>
      </c>
      <c r="E534" s="38"/>
      <c r="F534" s="38"/>
      <c r="G534" s="78">
        <f t="shared" si="3363"/>
        <v>0</v>
      </c>
      <c r="H534" s="3">
        <v>80</v>
      </c>
      <c r="I534" s="77" t="str">
        <f t="shared" si="3349"/>
        <v/>
      </c>
      <c r="J534" s="32"/>
      <c r="K534" s="3"/>
      <c r="L534" s="39"/>
      <c r="M534" s="39"/>
      <c r="N534" s="39"/>
      <c r="O534" s="39"/>
      <c r="P534" s="39"/>
      <c r="Q534" s="39"/>
      <c r="R534" s="39"/>
      <c r="S534" s="39"/>
      <c r="T534" s="3" t="s">
        <v>645</v>
      </c>
      <c r="U534" s="77" t="str">
        <f t="shared" si="3350"/>
        <v/>
      </c>
      <c r="V534" s="39">
        <v>1</v>
      </c>
      <c r="W534" s="79">
        <f t="shared" si="3364"/>
        <v>0</v>
      </c>
      <c r="X534" s="3">
        <v>0</v>
      </c>
      <c r="Y534" s="77" t="str">
        <f t="shared" si="3351"/>
        <v/>
      </c>
      <c r="Z534" s="3"/>
      <c r="AA534" s="37" t="str">
        <f t="shared" si="3365"/>
        <v/>
      </c>
      <c r="AC534" s="40"/>
      <c r="AD534" s="7"/>
      <c r="AE534" s="77" t="str">
        <f t="shared" si="3352"/>
        <v/>
      </c>
      <c r="AF534" s="81">
        <f t="shared" si="3378"/>
        <v>0</v>
      </c>
      <c r="AG534" s="40"/>
      <c r="AH534" s="7"/>
      <c r="AI534" s="77" t="str">
        <f t="shared" si="3353"/>
        <v/>
      </c>
      <c r="AJ534" s="81">
        <f t="shared" si="3379"/>
        <v>0</v>
      </c>
      <c r="AK534" s="83">
        <f t="shared" si="3380"/>
        <v>0</v>
      </c>
      <c r="AL534" s="83">
        <f t="shared" si="3381"/>
        <v>0</v>
      </c>
      <c r="AN534" s="43">
        <f t="shared" si="3354"/>
        <v>0</v>
      </c>
      <c r="AP534" t="str">
        <f t="shared" si="3382"/>
        <v/>
      </c>
      <c r="AQ534" t="str">
        <f t="shared" si="3383"/>
        <v/>
      </c>
      <c r="AR534" t="str">
        <f t="shared" si="3384"/>
        <v/>
      </c>
      <c r="AS534" t="str">
        <f t="shared" si="3385"/>
        <v/>
      </c>
      <c r="AT534" t="str">
        <f t="shared" si="3386"/>
        <v/>
      </c>
      <c r="AU534" t="str">
        <f t="shared" si="3387"/>
        <v/>
      </c>
      <c r="AV534" t="str">
        <f t="shared" si="3388"/>
        <v/>
      </c>
      <c r="AW534" t="str">
        <f t="shared" si="3389"/>
        <v xml:space="preserve">                              </v>
      </c>
      <c r="AX534" s="23">
        <f t="shared" si="3390"/>
        <v>0</v>
      </c>
      <c r="AY534" s="49" t="str">
        <f t="shared" si="3366"/>
        <v>000000000000000</v>
      </c>
      <c r="AZ534" s="23">
        <f t="shared" si="3391"/>
        <v>0</v>
      </c>
      <c r="BA534" s="49" t="str">
        <f t="shared" si="3366"/>
        <v>000000000000000</v>
      </c>
      <c r="BB534" s="23">
        <f t="shared" si="3392"/>
        <v>0</v>
      </c>
      <c r="BC534" s="49" t="str">
        <f t="shared" ref="BC534" si="3459">IF(BB534&lt;0,SUBSTITUTE(TEXT(BB534,"000000000000,00"),",",""),SUBSTITUTE(TEXT(BB534,"0000000000000,00"),",",""))</f>
        <v>000000000000000</v>
      </c>
      <c r="BD534" s="23">
        <f t="shared" si="3394"/>
        <v>0</v>
      </c>
      <c r="BE534" s="49" t="str">
        <f t="shared" ref="BE534" si="3460">IF(BD534&lt;0,SUBSTITUTE(TEXT(BD534,"000000000000,00"),",",""),SUBSTITUTE(TEXT(BD534,"0000000000000,00"),",",""))</f>
        <v>000000000000000</v>
      </c>
      <c r="BF534" s="23">
        <f t="shared" si="3396"/>
        <v>0</v>
      </c>
      <c r="BG534" s="49" t="str">
        <f t="shared" ref="BG534" si="3461">IF(BF534&lt;0,SUBSTITUTE(TEXT(BF534,"000000000000,00"),",",""),SUBSTITUTE(TEXT(BF534,"0000000000000,00"),",",""))</f>
        <v>000000000000000</v>
      </c>
      <c r="BH534" s="23">
        <f t="shared" si="3398"/>
        <v>0</v>
      </c>
      <c r="BI534" s="49" t="str">
        <f t="shared" ref="BI534" si="3462">IF(BH534&lt;0,SUBSTITUTE(TEXT(BH534,"000000000000,00"),",",""),SUBSTITUTE(TEXT(BH534,"0000000000000,00"),",",""))</f>
        <v>000000000000000</v>
      </c>
      <c r="BJ534" s="23">
        <f t="shared" si="3400"/>
        <v>0</v>
      </c>
      <c r="BK534" s="49" t="str">
        <f t="shared" ref="BK534" si="3463">IF(BJ534&lt;0,SUBSTITUTE(TEXT(BJ534,"000000000000,00"),",",""),SUBSTITUTE(TEXT(BJ534,"0000000000000,00"),",",""))</f>
        <v>000000000000000</v>
      </c>
      <c r="BL534" s="23">
        <f t="shared" si="3402"/>
        <v>0</v>
      </c>
      <c r="BM534" s="49" t="str">
        <f t="shared" ref="BM534" si="3464">IF(BL534&lt;0,SUBSTITUTE(TEXT(BL534,"000000000000,00"),",",""),SUBSTITUTE(TEXT(BL534,"0000000000000,00"),",",""))</f>
        <v>000000000000000</v>
      </c>
      <c r="BN534" t="str">
        <f t="shared" si="3404"/>
        <v>PES</v>
      </c>
      <c r="BO534" t="str">
        <f t="shared" si="3405"/>
        <v>0001000000</v>
      </c>
      <c r="BP534">
        <f t="shared" si="3406"/>
        <v>0</v>
      </c>
      <c r="BQ534">
        <f t="shared" si="3407"/>
        <v>0</v>
      </c>
      <c r="BR534" s="23">
        <f t="shared" si="3408"/>
        <v>0</v>
      </c>
      <c r="BS534" s="49" t="str">
        <f t="shared" si="3373"/>
        <v>000000000000000</v>
      </c>
      <c r="BT534" t="str">
        <f t="shared" si="3409"/>
        <v>00000000</v>
      </c>
      <c r="BU534" s="23">
        <f t="shared" si="3410"/>
        <v>0</v>
      </c>
      <c r="BV534" s="49" t="str">
        <f t="shared" si="3374"/>
        <v/>
      </c>
      <c r="BW534" s="52" t="str">
        <f t="shared" si="3411"/>
        <v/>
      </c>
      <c r="BX534" s="23">
        <f t="shared" si="3412"/>
        <v>0</v>
      </c>
      <c r="BY534" s="49" t="str">
        <f t="shared" si="3375"/>
        <v/>
      </c>
      <c r="BZ534" s="23">
        <f t="shared" si="3413"/>
        <v>0</v>
      </c>
      <c r="CA534" s="49" t="str">
        <f t="shared" si="3376"/>
        <v/>
      </c>
      <c r="CB534" s="52" t="str">
        <f t="shared" si="3414"/>
        <v/>
      </c>
      <c r="CC534" s="23">
        <f t="shared" si="3415"/>
        <v>0</v>
      </c>
      <c r="CD534" s="49" t="str">
        <f t="shared" si="3377"/>
        <v/>
      </c>
      <c r="CE534" s="56" t="str">
        <f>IF(CF534="","",MAX(CE$10:$CE533)+1)</f>
        <v/>
      </c>
      <c r="CF534" t="str">
        <f t="shared" si="3416"/>
        <v/>
      </c>
      <c r="CG534" s="22" t="str">
        <f>IF(CH534="","",MAX($CG$10:CG533)+1)</f>
        <v/>
      </c>
      <c r="CH534" s="22" t="str">
        <f t="shared" si="3361"/>
        <v/>
      </c>
      <c r="CI534" s="22" t="str">
        <f>IF(CJ534="","",MAX($CI$10:CI533)+1)</f>
        <v/>
      </c>
      <c r="CJ534" s="22" t="str">
        <f t="shared" si="3362"/>
        <v/>
      </c>
    </row>
    <row r="535" spans="2:88" x14ac:dyDescent="0.25">
      <c r="B535" s="37"/>
      <c r="C535" s="3"/>
      <c r="D535" s="77" t="str">
        <f t="shared" si="3348"/>
        <v/>
      </c>
      <c r="E535" s="38"/>
      <c r="F535" s="38"/>
      <c r="G535" s="78">
        <f t="shared" si="3363"/>
        <v>0</v>
      </c>
      <c r="H535" s="3">
        <v>80</v>
      </c>
      <c r="I535" s="77" t="str">
        <f t="shared" si="3349"/>
        <v/>
      </c>
      <c r="J535" s="32"/>
      <c r="K535" s="3"/>
      <c r="L535" s="39"/>
      <c r="M535" s="39"/>
      <c r="N535" s="39"/>
      <c r="O535" s="39"/>
      <c r="P535" s="39"/>
      <c r="Q535" s="39"/>
      <c r="R535" s="39"/>
      <c r="S535" s="39"/>
      <c r="T535" s="3" t="s">
        <v>645</v>
      </c>
      <c r="U535" s="77" t="str">
        <f t="shared" si="3350"/>
        <v/>
      </c>
      <c r="V535" s="39">
        <v>1</v>
      </c>
      <c r="W535" s="79">
        <f t="shared" si="3364"/>
        <v>0</v>
      </c>
      <c r="X535" s="3">
        <v>0</v>
      </c>
      <c r="Y535" s="77" t="str">
        <f t="shared" si="3351"/>
        <v/>
      </c>
      <c r="Z535" s="3"/>
      <c r="AA535" s="37" t="str">
        <f t="shared" si="3365"/>
        <v/>
      </c>
      <c r="AC535" s="40"/>
      <c r="AD535" s="7"/>
      <c r="AE535" s="77" t="str">
        <f t="shared" si="3352"/>
        <v/>
      </c>
      <c r="AF535" s="81">
        <f t="shared" si="3378"/>
        <v>0</v>
      </c>
      <c r="AG535" s="40"/>
      <c r="AH535" s="7"/>
      <c r="AI535" s="77" t="str">
        <f t="shared" si="3353"/>
        <v/>
      </c>
      <c r="AJ535" s="81">
        <f t="shared" si="3379"/>
        <v>0</v>
      </c>
      <c r="AK535" s="83">
        <f t="shared" si="3380"/>
        <v>0</v>
      </c>
      <c r="AL535" s="83">
        <f t="shared" si="3381"/>
        <v>0</v>
      </c>
      <c r="AN535" s="43">
        <f t="shared" si="3354"/>
        <v>0</v>
      </c>
      <c r="AP535" t="str">
        <f t="shared" si="3382"/>
        <v/>
      </c>
      <c r="AQ535" t="str">
        <f t="shared" si="3383"/>
        <v/>
      </c>
      <c r="AR535" t="str">
        <f t="shared" si="3384"/>
        <v/>
      </c>
      <c r="AS535" t="str">
        <f t="shared" si="3385"/>
        <v/>
      </c>
      <c r="AT535" t="str">
        <f t="shared" si="3386"/>
        <v/>
      </c>
      <c r="AU535" t="str">
        <f t="shared" si="3387"/>
        <v/>
      </c>
      <c r="AV535" t="str">
        <f t="shared" si="3388"/>
        <v/>
      </c>
      <c r="AW535" t="str">
        <f t="shared" si="3389"/>
        <v xml:space="preserve">                              </v>
      </c>
      <c r="AX535" s="23">
        <f t="shared" si="3390"/>
        <v>0</v>
      </c>
      <c r="AY535" s="49" t="str">
        <f t="shared" si="3366"/>
        <v>000000000000000</v>
      </c>
      <c r="AZ535" s="23">
        <f t="shared" si="3391"/>
        <v>0</v>
      </c>
      <c r="BA535" s="49" t="str">
        <f t="shared" si="3366"/>
        <v>000000000000000</v>
      </c>
      <c r="BB535" s="23">
        <f t="shared" si="3392"/>
        <v>0</v>
      </c>
      <c r="BC535" s="49" t="str">
        <f t="shared" ref="BC535" si="3465">IF(BB535&lt;0,SUBSTITUTE(TEXT(BB535,"000000000000,00"),",",""),SUBSTITUTE(TEXT(BB535,"0000000000000,00"),",",""))</f>
        <v>000000000000000</v>
      </c>
      <c r="BD535" s="23">
        <f t="shared" si="3394"/>
        <v>0</v>
      </c>
      <c r="BE535" s="49" t="str">
        <f t="shared" ref="BE535" si="3466">IF(BD535&lt;0,SUBSTITUTE(TEXT(BD535,"000000000000,00"),",",""),SUBSTITUTE(TEXT(BD535,"0000000000000,00"),",",""))</f>
        <v>000000000000000</v>
      </c>
      <c r="BF535" s="23">
        <f t="shared" si="3396"/>
        <v>0</v>
      </c>
      <c r="BG535" s="49" t="str">
        <f t="shared" ref="BG535" si="3467">IF(BF535&lt;0,SUBSTITUTE(TEXT(BF535,"000000000000,00"),",",""),SUBSTITUTE(TEXT(BF535,"0000000000000,00"),",",""))</f>
        <v>000000000000000</v>
      </c>
      <c r="BH535" s="23">
        <f t="shared" si="3398"/>
        <v>0</v>
      </c>
      <c r="BI535" s="49" t="str">
        <f t="shared" ref="BI535" si="3468">IF(BH535&lt;0,SUBSTITUTE(TEXT(BH535,"000000000000,00"),",",""),SUBSTITUTE(TEXT(BH535,"0000000000000,00"),",",""))</f>
        <v>000000000000000</v>
      </c>
      <c r="BJ535" s="23">
        <f t="shared" si="3400"/>
        <v>0</v>
      </c>
      <c r="BK535" s="49" t="str">
        <f t="shared" ref="BK535" si="3469">IF(BJ535&lt;0,SUBSTITUTE(TEXT(BJ535,"000000000000,00"),",",""),SUBSTITUTE(TEXT(BJ535,"0000000000000,00"),",",""))</f>
        <v>000000000000000</v>
      </c>
      <c r="BL535" s="23">
        <f t="shared" si="3402"/>
        <v>0</v>
      </c>
      <c r="BM535" s="49" t="str">
        <f t="shared" ref="BM535" si="3470">IF(BL535&lt;0,SUBSTITUTE(TEXT(BL535,"000000000000,00"),",",""),SUBSTITUTE(TEXT(BL535,"0000000000000,00"),",",""))</f>
        <v>000000000000000</v>
      </c>
      <c r="BN535" t="str">
        <f t="shared" si="3404"/>
        <v>PES</v>
      </c>
      <c r="BO535" t="str">
        <f t="shared" si="3405"/>
        <v>0001000000</v>
      </c>
      <c r="BP535">
        <f t="shared" si="3406"/>
        <v>0</v>
      </c>
      <c r="BQ535">
        <f t="shared" si="3407"/>
        <v>0</v>
      </c>
      <c r="BR535" s="23">
        <f t="shared" si="3408"/>
        <v>0</v>
      </c>
      <c r="BS535" s="49" t="str">
        <f t="shared" si="3373"/>
        <v>000000000000000</v>
      </c>
      <c r="BT535" t="str">
        <f t="shared" si="3409"/>
        <v>00000000</v>
      </c>
      <c r="BU535" s="23">
        <f t="shared" si="3410"/>
        <v>0</v>
      </c>
      <c r="BV535" s="49" t="str">
        <f t="shared" si="3374"/>
        <v/>
      </c>
      <c r="BW535" s="52" t="str">
        <f t="shared" si="3411"/>
        <v/>
      </c>
      <c r="BX535" s="23">
        <f t="shared" si="3412"/>
        <v>0</v>
      </c>
      <c r="BY535" s="49" t="str">
        <f t="shared" si="3375"/>
        <v/>
      </c>
      <c r="BZ535" s="23">
        <f t="shared" si="3413"/>
        <v>0</v>
      </c>
      <c r="CA535" s="49" t="str">
        <f t="shared" si="3376"/>
        <v/>
      </c>
      <c r="CB535" s="52" t="str">
        <f t="shared" si="3414"/>
        <v/>
      </c>
      <c r="CC535" s="23">
        <f t="shared" si="3415"/>
        <v>0</v>
      </c>
      <c r="CD535" s="49" t="str">
        <f t="shared" si="3377"/>
        <v/>
      </c>
      <c r="CE535" s="56" t="str">
        <f>IF(CF535="","",MAX(CE$10:$CE534)+1)</f>
        <v/>
      </c>
      <c r="CF535" t="str">
        <f t="shared" si="3416"/>
        <v/>
      </c>
      <c r="CG535" s="22" t="str">
        <f>IF(CH535="","",MAX($CG$10:CG534)+1)</f>
        <v/>
      </c>
      <c r="CH535" s="22" t="str">
        <f t="shared" si="3361"/>
        <v/>
      </c>
      <c r="CI535" s="22" t="str">
        <f>IF(CJ535="","",MAX($CI$10:CI534)+1)</f>
        <v/>
      </c>
      <c r="CJ535" s="22" t="str">
        <f t="shared" si="3362"/>
        <v/>
      </c>
    </row>
    <row r="536" spans="2:88" x14ac:dyDescent="0.25">
      <c r="B536" s="37"/>
      <c r="C536" s="3"/>
      <c r="D536" s="77" t="str">
        <f t="shared" si="3348"/>
        <v/>
      </c>
      <c r="E536" s="38"/>
      <c r="F536" s="38"/>
      <c r="G536" s="78">
        <f t="shared" si="3363"/>
        <v>0</v>
      </c>
      <c r="H536" s="3">
        <v>80</v>
      </c>
      <c r="I536" s="77" t="str">
        <f t="shared" si="3349"/>
        <v/>
      </c>
      <c r="J536" s="32"/>
      <c r="K536" s="3"/>
      <c r="L536" s="39"/>
      <c r="M536" s="39"/>
      <c r="N536" s="39"/>
      <c r="O536" s="39"/>
      <c r="P536" s="39"/>
      <c r="Q536" s="39"/>
      <c r="R536" s="39"/>
      <c r="S536" s="39"/>
      <c r="T536" s="3" t="s">
        <v>645</v>
      </c>
      <c r="U536" s="77" t="str">
        <f t="shared" si="3350"/>
        <v/>
      </c>
      <c r="V536" s="39">
        <v>1</v>
      </c>
      <c r="W536" s="79">
        <f t="shared" si="3364"/>
        <v>0</v>
      </c>
      <c r="X536" s="3">
        <v>0</v>
      </c>
      <c r="Y536" s="77" t="str">
        <f t="shared" si="3351"/>
        <v/>
      </c>
      <c r="Z536" s="3"/>
      <c r="AA536" s="37" t="str">
        <f t="shared" si="3365"/>
        <v/>
      </c>
      <c r="AC536" s="40"/>
      <c r="AD536" s="7"/>
      <c r="AE536" s="77" t="str">
        <f t="shared" si="3352"/>
        <v/>
      </c>
      <c r="AF536" s="81">
        <f t="shared" si="3378"/>
        <v>0</v>
      </c>
      <c r="AG536" s="40"/>
      <c r="AH536" s="7"/>
      <c r="AI536" s="77" t="str">
        <f t="shared" si="3353"/>
        <v/>
      </c>
      <c r="AJ536" s="81">
        <f t="shared" si="3379"/>
        <v>0</v>
      </c>
      <c r="AK536" s="83">
        <f t="shared" si="3380"/>
        <v>0</v>
      </c>
      <c r="AL536" s="83">
        <f t="shared" si="3381"/>
        <v>0</v>
      </c>
      <c r="AN536" s="43">
        <f t="shared" si="3354"/>
        <v>0</v>
      </c>
      <c r="AP536" t="str">
        <f t="shared" si="3382"/>
        <v/>
      </c>
      <c r="AQ536" t="str">
        <f t="shared" si="3383"/>
        <v/>
      </c>
      <c r="AR536" t="str">
        <f t="shared" si="3384"/>
        <v/>
      </c>
      <c r="AS536" t="str">
        <f t="shared" si="3385"/>
        <v/>
      </c>
      <c r="AT536" t="str">
        <f t="shared" si="3386"/>
        <v/>
      </c>
      <c r="AU536" t="str">
        <f t="shared" si="3387"/>
        <v/>
      </c>
      <c r="AV536" t="str">
        <f t="shared" si="3388"/>
        <v/>
      </c>
      <c r="AW536" t="str">
        <f t="shared" si="3389"/>
        <v xml:space="preserve">                              </v>
      </c>
      <c r="AX536" s="23">
        <f t="shared" si="3390"/>
        <v>0</v>
      </c>
      <c r="AY536" s="49" t="str">
        <f t="shared" si="3366"/>
        <v>000000000000000</v>
      </c>
      <c r="AZ536" s="23">
        <f t="shared" si="3391"/>
        <v>0</v>
      </c>
      <c r="BA536" s="49" t="str">
        <f t="shared" si="3366"/>
        <v>000000000000000</v>
      </c>
      <c r="BB536" s="23">
        <f t="shared" si="3392"/>
        <v>0</v>
      </c>
      <c r="BC536" s="49" t="str">
        <f t="shared" ref="BC536" si="3471">IF(BB536&lt;0,SUBSTITUTE(TEXT(BB536,"000000000000,00"),",",""),SUBSTITUTE(TEXT(BB536,"0000000000000,00"),",",""))</f>
        <v>000000000000000</v>
      </c>
      <c r="BD536" s="23">
        <f t="shared" si="3394"/>
        <v>0</v>
      </c>
      <c r="BE536" s="49" t="str">
        <f t="shared" ref="BE536" si="3472">IF(BD536&lt;0,SUBSTITUTE(TEXT(BD536,"000000000000,00"),",",""),SUBSTITUTE(TEXT(BD536,"0000000000000,00"),",",""))</f>
        <v>000000000000000</v>
      </c>
      <c r="BF536" s="23">
        <f t="shared" si="3396"/>
        <v>0</v>
      </c>
      <c r="BG536" s="49" t="str">
        <f t="shared" ref="BG536" si="3473">IF(BF536&lt;0,SUBSTITUTE(TEXT(BF536,"000000000000,00"),",",""),SUBSTITUTE(TEXT(BF536,"0000000000000,00"),",",""))</f>
        <v>000000000000000</v>
      </c>
      <c r="BH536" s="23">
        <f t="shared" si="3398"/>
        <v>0</v>
      </c>
      <c r="BI536" s="49" t="str">
        <f t="shared" ref="BI536" si="3474">IF(BH536&lt;0,SUBSTITUTE(TEXT(BH536,"000000000000,00"),",",""),SUBSTITUTE(TEXT(BH536,"0000000000000,00"),",",""))</f>
        <v>000000000000000</v>
      </c>
      <c r="BJ536" s="23">
        <f t="shared" si="3400"/>
        <v>0</v>
      </c>
      <c r="BK536" s="49" t="str">
        <f t="shared" ref="BK536" si="3475">IF(BJ536&lt;0,SUBSTITUTE(TEXT(BJ536,"000000000000,00"),",",""),SUBSTITUTE(TEXT(BJ536,"0000000000000,00"),",",""))</f>
        <v>000000000000000</v>
      </c>
      <c r="BL536" s="23">
        <f t="shared" si="3402"/>
        <v>0</v>
      </c>
      <c r="BM536" s="49" t="str">
        <f t="shared" ref="BM536" si="3476">IF(BL536&lt;0,SUBSTITUTE(TEXT(BL536,"000000000000,00"),",",""),SUBSTITUTE(TEXT(BL536,"0000000000000,00"),",",""))</f>
        <v>000000000000000</v>
      </c>
      <c r="BN536" t="str">
        <f t="shared" si="3404"/>
        <v>PES</v>
      </c>
      <c r="BO536" t="str">
        <f t="shared" si="3405"/>
        <v>0001000000</v>
      </c>
      <c r="BP536">
        <f t="shared" si="3406"/>
        <v>0</v>
      </c>
      <c r="BQ536">
        <f t="shared" si="3407"/>
        <v>0</v>
      </c>
      <c r="BR536" s="23">
        <f t="shared" si="3408"/>
        <v>0</v>
      </c>
      <c r="BS536" s="49" t="str">
        <f t="shared" si="3373"/>
        <v>000000000000000</v>
      </c>
      <c r="BT536" t="str">
        <f t="shared" si="3409"/>
        <v>00000000</v>
      </c>
      <c r="BU536" s="23">
        <f t="shared" si="3410"/>
        <v>0</v>
      </c>
      <c r="BV536" s="49" t="str">
        <f t="shared" si="3374"/>
        <v/>
      </c>
      <c r="BW536" s="52" t="str">
        <f t="shared" si="3411"/>
        <v/>
      </c>
      <c r="BX536" s="23">
        <f t="shared" si="3412"/>
        <v>0</v>
      </c>
      <c r="BY536" s="49" t="str">
        <f t="shared" si="3375"/>
        <v/>
      </c>
      <c r="BZ536" s="23">
        <f t="shared" si="3413"/>
        <v>0</v>
      </c>
      <c r="CA536" s="49" t="str">
        <f t="shared" si="3376"/>
        <v/>
      </c>
      <c r="CB536" s="52" t="str">
        <f t="shared" si="3414"/>
        <v/>
      </c>
      <c r="CC536" s="23">
        <f t="shared" si="3415"/>
        <v>0</v>
      </c>
      <c r="CD536" s="49" t="str">
        <f t="shared" si="3377"/>
        <v/>
      </c>
      <c r="CE536" s="56" t="str">
        <f>IF(CF536="","",MAX(CE$10:$CE535)+1)</f>
        <v/>
      </c>
      <c r="CF536" t="str">
        <f t="shared" si="3416"/>
        <v/>
      </c>
      <c r="CG536" s="22" t="str">
        <f>IF(CH536="","",MAX($CG$10:CG535)+1)</f>
        <v/>
      </c>
      <c r="CH536" s="22" t="str">
        <f t="shared" si="3361"/>
        <v/>
      </c>
      <c r="CI536" s="22" t="str">
        <f>IF(CJ536="","",MAX($CI$10:CI535)+1)</f>
        <v/>
      </c>
      <c r="CJ536" s="22" t="str">
        <f t="shared" si="3362"/>
        <v/>
      </c>
    </row>
    <row r="537" spans="2:88" x14ac:dyDescent="0.25">
      <c r="B537" s="37"/>
      <c r="C537" s="3"/>
      <c r="D537" s="77" t="str">
        <f t="shared" si="3348"/>
        <v/>
      </c>
      <c r="E537" s="38"/>
      <c r="F537" s="38"/>
      <c r="G537" s="78">
        <f t="shared" si="3363"/>
        <v>0</v>
      </c>
      <c r="H537" s="3">
        <v>80</v>
      </c>
      <c r="I537" s="77" t="str">
        <f t="shared" si="3349"/>
        <v/>
      </c>
      <c r="J537" s="32"/>
      <c r="K537" s="3"/>
      <c r="L537" s="39"/>
      <c r="M537" s="39"/>
      <c r="N537" s="39"/>
      <c r="O537" s="39"/>
      <c r="P537" s="39"/>
      <c r="Q537" s="39"/>
      <c r="R537" s="39"/>
      <c r="S537" s="39"/>
      <c r="T537" s="3" t="s">
        <v>645</v>
      </c>
      <c r="U537" s="77" t="str">
        <f t="shared" si="3350"/>
        <v/>
      </c>
      <c r="V537" s="39">
        <v>1</v>
      </c>
      <c r="W537" s="79">
        <f t="shared" si="3364"/>
        <v>0</v>
      </c>
      <c r="X537" s="3">
        <v>0</v>
      </c>
      <c r="Y537" s="77" t="str">
        <f t="shared" si="3351"/>
        <v/>
      </c>
      <c r="Z537" s="3"/>
      <c r="AA537" s="37" t="str">
        <f t="shared" si="3365"/>
        <v/>
      </c>
      <c r="AC537" s="40"/>
      <c r="AD537" s="7"/>
      <c r="AE537" s="77" t="str">
        <f t="shared" si="3352"/>
        <v/>
      </c>
      <c r="AF537" s="81">
        <f t="shared" si="3378"/>
        <v>0</v>
      </c>
      <c r="AG537" s="40"/>
      <c r="AH537" s="7"/>
      <c r="AI537" s="77" t="str">
        <f t="shared" si="3353"/>
        <v/>
      </c>
      <c r="AJ537" s="81">
        <f t="shared" si="3379"/>
        <v>0</v>
      </c>
      <c r="AK537" s="83">
        <f t="shared" si="3380"/>
        <v>0</v>
      </c>
      <c r="AL537" s="83">
        <f t="shared" si="3381"/>
        <v>0</v>
      </c>
      <c r="AN537" s="43">
        <f t="shared" si="3354"/>
        <v>0</v>
      </c>
      <c r="AP537" t="str">
        <f t="shared" si="3382"/>
        <v/>
      </c>
      <c r="AQ537" t="str">
        <f t="shared" si="3383"/>
        <v/>
      </c>
      <c r="AR537" t="str">
        <f t="shared" si="3384"/>
        <v/>
      </c>
      <c r="AS537" t="str">
        <f t="shared" si="3385"/>
        <v/>
      </c>
      <c r="AT537" t="str">
        <f t="shared" si="3386"/>
        <v/>
      </c>
      <c r="AU537" t="str">
        <f t="shared" si="3387"/>
        <v/>
      </c>
      <c r="AV537" t="str">
        <f t="shared" si="3388"/>
        <v/>
      </c>
      <c r="AW537" t="str">
        <f t="shared" si="3389"/>
        <v xml:space="preserve">                              </v>
      </c>
      <c r="AX537" s="23">
        <f t="shared" si="3390"/>
        <v>0</v>
      </c>
      <c r="AY537" s="49" t="str">
        <f t="shared" si="3366"/>
        <v>000000000000000</v>
      </c>
      <c r="AZ537" s="23">
        <f t="shared" si="3391"/>
        <v>0</v>
      </c>
      <c r="BA537" s="49" t="str">
        <f t="shared" si="3366"/>
        <v>000000000000000</v>
      </c>
      <c r="BB537" s="23">
        <f t="shared" si="3392"/>
        <v>0</v>
      </c>
      <c r="BC537" s="49" t="str">
        <f t="shared" ref="BC537" si="3477">IF(BB537&lt;0,SUBSTITUTE(TEXT(BB537,"000000000000,00"),",",""),SUBSTITUTE(TEXT(BB537,"0000000000000,00"),",",""))</f>
        <v>000000000000000</v>
      </c>
      <c r="BD537" s="23">
        <f t="shared" si="3394"/>
        <v>0</v>
      </c>
      <c r="BE537" s="49" t="str">
        <f t="shared" ref="BE537" si="3478">IF(BD537&lt;0,SUBSTITUTE(TEXT(BD537,"000000000000,00"),",",""),SUBSTITUTE(TEXT(BD537,"0000000000000,00"),",",""))</f>
        <v>000000000000000</v>
      </c>
      <c r="BF537" s="23">
        <f t="shared" si="3396"/>
        <v>0</v>
      </c>
      <c r="BG537" s="49" t="str">
        <f t="shared" ref="BG537" si="3479">IF(BF537&lt;0,SUBSTITUTE(TEXT(BF537,"000000000000,00"),",",""),SUBSTITUTE(TEXT(BF537,"0000000000000,00"),",",""))</f>
        <v>000000000000000</v>
      </c>
      <c r="BH537" s="23">
        <f t="shared" si="3398"/>
        <v>0</v>
      </c>
      <c r="BI537" s="49" t="str">
        <f t="shared" ref="BI537" si="3480">IF(BH537&lt;0,SUBSTITUTE(TEXT(BH537,"000000000000,00"),",",""),SUBSTITUTE(TEXT(BH537,"0000000000000,00"),",",""))</f>
        <v>000000000000000</v>
      </c>
      <c r="BJ537" s="23">
        <f t="shared" si="3400"/>
        <v>0</v>
      </c>
      <c r="BK537" s="49" t="str">
        <f t="shared" ref="BK537" si="3481">IF(BJ537&lt;0,SUBSTITUTE(TEXT(BJ537,"000000000000,00"),",",""),SUBSTITUTE(TEXT(BJ537,"0000000000000,00"),",",""))</f>
        <v>000000000000000</v>
      </c>
      <c r="BL537" s="23">
        <f t="shared" si="3402"/>
        <v>0</v>
      </c>
      <c r="BM537" s="49" t="str">
        <f t="shared" ref="BM537" si="3482">IF(BL537&lt;0,SUBSTITUTE(TEXT(BL537,"000000000000,00"),",",""),SUBSTITUTE(TEXT(BL537,"0000000000000,00"),",",""))</f>
        <v>000000000000000</v>
      </c>
      <c r="BN537" t="str">
        <f t="shared" si="3404"/>
        <v>PES</v>
      </c>
      <c r="BO537" t="str">
        <f t="shared" si="3405"/>
        <v>0001000000</v>
      </c>
      <c r="BP537">
        <f t="shared" si="3406"/>
        <v>0</v>
      </c>
      <c r="BQ537">
        <f t="shared" si="3407"/>
        <v>0</v>
      </c>
      <c r="BR537" s="23">
        <f t="shared" si="3408"/>
        <v>0</v>
      </c>
      <c r="BS537" s="49" t="str">
        <f t="shared" si="3373"/>
        <v>000000000000000</v>
      </c>
      <c r="BT537" t="str">
        <f t="shared" si="3409"/>
        <v>00000000</v>
      </c>
      <c r="BU537" s="23">
        <f t="shared" si="3410"/>
        <v>0</v>
      </c>
      <c r="BV537" s="49" t="str">
        <f t="shared" si="3374"/>
        <v/>
      </c>
      <c r="BW537" s="52" t="str">
        <f t="shared" si="3411"/>
        <v/>
      </c>
      <c r="BX537" s="23">
        <f t="shared" si="3412"/>
        <v>0</v>
      </c>
      <c r="BY537" s="49" t="str">
        <f t="shared" si="3375"/>
        <v/>
      </c>
      <c r="BZ537" s="23">
        <f t="shared" si="3413"/>
        <v>0</v>
      </c>
      <c r="CA537" s="49" t="str">
        <f t="shared" si="3376"/>
        <v/>
      </c>
      <c r="CB537" s="52" t="str">
        <f t="shared" si="3414"/>
        <v/>
      </c>
      <c r="CC537" s="23">
        <f t="shared" si="3415"/>
        <v>0</v>
      </c>
      <c r="CD537" s="49" t="str">
        <f t="shared" si="3377"/>
        <v/>
      </c>
      <c r="CE537" s="56" t="str">
        <f>IF(CF537="","",MAX(CE$10:$CE536)+1)</f>
        <v/>
      </c>
      <c r="CF537" t="str">
        <f t="shared" si="3416"/>
        <v/>
      </c>
      <c r="CG537" s="22" t="str">
        <f>IF(CH537="","",MAX($CG$10:CG536)+1)</f>
        <v/>
      </c>
      <c r="CH537" s="22" t="str">
        <f t="shared" si="3361"/>
        <v/>
      </c>
      <c r="CI537" s="22" t="str">
        <f>IF(CJ537="","",MAX($CI$10:CI536)+1)</f>
        <v/>
      </c>
      <c r="CJ537" s="22" t="str">
        <f t="shared" si="3362"/>
        <v/>
      </c>
    </row>
    <row r="538" spans="2:88" x14ac:dyDescent="0.25">
      <c r="B538" s="37"/>
      <c r="C538" s="3"/>
      <c r="D538" s="77" t="str">
        <f t="shared" si="3348"/>
        <v/>
      </c>
      <c r="E538" s="38"/>
      <c r="F538" s="38"/>
      <c r="G538" s="78">
        <f t="shared" si="3363"/>
        <v>0</v>
      </c>
      <c r="H538" s="3">
        <v>80</v>
      </c>
      <c r="I538" s="77" t="str">
        <f t="shared" si="3349"/>
        <v/>
      </c>
      <c r="J538" s="32"/>
      <c r="K538" s="3"/>
      <c r="L538" s="39"/>
      <c r="M538" s="39"/>
      <c r="N538" s="39"/>
      <c r="O538" s="39"/>
      <c r="P538" s="39"/>
      <c r="Q538" s="39"/>
      <c r="R538" s="39"/>
      <c r="S538" s="39"/>
      <c r="T538" s="3" t="s">
        <v>645</v>
      </c>
      <c r="U538" s="77" t="str">
        <f t="shared" si="3350"/>
        <v/>
      </c>
      <c r="V538" s="39">
        <v>1</v>
      </c>
      <c r="W538" s="79">
        <f t="shared" si="3364"/>
        <v>0</v>
      </c>
      <c r="X538" s="3">
        <v>0</v>
      </c>
      <c r="Y538" s="77" t="str">
        <f t="shared" si="3351"/>
        <v/>
      </c>
      <c r="Z538" s="3"/>
      <c r="AA538" s="37" t="str">
        <f t="shared" si="3365"/>
        <v/>
      </c>
      <c r="AC538" s="40"/>
      <c r="AD538" s="7"/>
      <c r="AE538" s="77" t="str">
        <f t="shared" si="3352"/>
        <v/>
      </c>
      <c r="AF538" s="81">
        <f t="shared" si="3378"/>
        <v>0</v>
      </c>
      <c r="AG538" s="40"/>
      <c r="AH538" s="7"/>
      <c r="AI538" s="77" t="str">
        <f t="shared" si="3353"/>
        <v/>
      </c>
      <c r="AJ538" s="81">
        <f t="shared" si="3379"/>
        <v>0</v>
      </c>
      <c r="AK538" s="83">
        <f t="shared" si="3380"/>
        <v>0</v>
      </c>
      <c r="AL538" s="83">
        <f t="shared" si="3381"/>
        <v>0</v>
      </c>
      <c r="AN538" s="43">
        <f t="shared" si="3354"/>
        <v>0</v>
      </c>
      <c r="AP538" t="str">
        <f t="shared" si="3382"/>
        <v/>
      </c>
      <c r="AQ538" t="str">
        <f t="shared" si="3383"/>
        <v/>
      </c>
      <c r="AR538" t="str">
        <f t="shared" si="3384"/>
        <v/>
      </c>
      <c r="AS538" t="str">
        <f t="shared" si="3385"/>
        <v/>
      </c>
      <c r="AT538" t="str">
        <f t="shared" si="3386"/>
        <v/>
      </c>
      <c r="AU538" t="str">
        <f t="shared" si="3387"/>
        <v/>
      </c>
      <c r="AV538" t="str">
        <f t="shared" si="3388"/>
        <v/>
      </c>
      <c r="AW538" t="str">
        <f t="shared" si="3389"/>
        <v xml:space="preserve">                              </v>
      </c>
      <c r="AX538" s="23">
        <f t="shared" si="3390"/>
        <v>0</v>
      </c>
      <c r="AY538" s="49" t="str">
        <f t="shared" si="3366"/>
        <v>000000000000000</v>
      </c>
      <c r="AZ538" s="23">
        <f t="shared" si="3391"/>
        <v>0</v>
      </c>
      <c r="BA538" s="49" t="str">
        <f t="shared" si="3366"/>
        <v>000000000000000</v>
      </c>
      <c r="BB538" s="23">
        <f t="shared" si="3392"/>
        <v>0</v>
      </c>
      <c r="BC538" s="49" t="str">
        <f t="shared" ref="BC538" si="3483">IF(BB538&lt;0,SUBSTITUTE(TEXT(BB538,"000000000000,00"),",",""),SUBSTITUTE(TEXT(BB538,"0000000000000,00"),",",""))</f>
        <v>000000000000000</v>
      </c>
      <c r="BD538" s="23">
        <f t="shared" si="3394"/>
        <v>0</v>
      </c>
      <c r="BE538" s="49" t="str">
        <f t="shared" ref="BE538" si="3484">IF(BD538&lt;0,SUBSTITUTE(TEXT(BD538,"000000000000,00"),",",""),SUBSTITUTE(TEXT(BD538,"0000000000000,00"),",",""))</f>
        <v>000000000000000</v>
      </c>
      <c r="BF538" s="23">
        <f t="shared" si="3396"/>
        <v>0</v>
      </c>
      <c r="BG538" s="49" t="str">
        <f t="shared" ref="BG538" si="3485">IF(BF538&lt;0,SUBSTITUTE(TEXT(BF538,"000000000000,00"),",",""),SUBSTITUTE(TEXT(BF538,"0000000000000,00"),",",""))</f>
        <v>000000000000000</v>
      </c>
      <c r="BH538" s="23">
        <f t="shared" si="3398"/>
        <v>0</v>
      </c>
      <c r="BI538" s="49" t="str">
        <f t="shared" ref="BI538" si="3486">IF(BH538&lt;0,SUBSTITUTE(TEXT(BH538,"000000000000,00"),",",""),SUBSTITUTE(TEXT(BH538,"0000000000000,00"),",",""))</f>
        <v>000000000000000</v>
      </c>
      <c r="BJ538" s="23">
        <f t="shared" si="3400"/>
        <v>0</v>
      </c>
      <c r="BK538" s="49" t="str">
        <f t="shared" ref="BK538" si="3487">IF(BJ538&lt;0,SUBSTITUTE(TEXT(BJ538,"000000000000,00"),",",""),SUBSTITUTE(TEXT(BJ538,"0000000000000,00"),",",""))</f>
        <v>000000000000000</v>
      </c>
      <c r="BL538" s="23">
        <f t="shared" si="3402"/>
        <v>0</v>
      </c>
      <c r="BM538" s="49" t="str">
        <f t="shared" ref="BM538" si="3488">IF(BL538&lt;0,SUBSTITUTE(TEXT(BL538,"000000000000,00"),",",""),SUBSTITUTE(TEXT(BL538,"0000000000000,00"),",",""))</f>
        <v>000000000000000</v>
      </c>
      <c r="BN538" t="str">
        <f t="shared" si="3404"/>
        <v>PES</v>
      </c>
      <c r="BO538" t="str">
        <f t="shared" si="3405"/>
        <v>0001000000</v>
      </c>
      <c r="BP538">
        <f t="shared" si="3406"/>
        <v>0</v>
      </c>
      <c r="BQ538">
        <f t="shared" si="3407"/>
        <v>0</v>
      </c>
      <c r="BR538" s="23">
        <f t="shared" si="3408"/>
        <v>0</v>
      </c>
      <c r="BS538" s="49" t="str">
        <f t="shared" si="3373"/>
        <v>000000000000000</v>
      </c>
      <c r="BT538" t="str">
        <f t="shared" si="3409"/>
        <v>00000000</v>
      </c>
      <c r="BU538" s="23">
        <f t="shared" si="3410"/>
        <v>0</v>
      </c>
      <c r="BV538" s="49" t="str">
        <f t="shared" si="3374"/>
        <v/>
      </c>
      <c r="BW538" s="52" t="str">
        <f t="shared" si="3411"/>
        <v/>
      </c>
      <c r="BX538" s="23">
        <f t="shared" si="3412"/>
        <v>0</v>
      </c>
      <c r="BY538" s="49" t="str">
        <f t="shared" si="3375"/>
        <v/>
      </c>
      <c r="BZ538" s="23">
        <f t="shared" si="3413"/>
        <v>0</v>
      </c>
      <c r="CA538" s="49" t="str">
        <f t="shared" si="3376"/>
        <v/>
      </c>
      <c r="CB538" s="52" t="str">
        <f t="shared" si="3414"/>
        <v/>
      </c>
      <c r="CC538" s="23">
        <f t="shared" si="3415"/>
        <v>0</v>
      </c>
      <c r="CD538" s="49" t="str">
        <f t="shared" si="3377"/>
        <v/>
      </c>
      <c r="CE538" s="56" t="str">
        <f>IF(CF538="","",MAX(CE$10:$CE537)+1)</f>
        <v/>
      </c>
      <c r="CF538" t="str">
        <f t="shared" si="3416"/>
        <v/>
      </c>
      <c r="CG538" s="22" t="str">
        <f>IF(CH538="","",MAX($CG$10:CG537)+1)</f>
        <v/>
      </c>
      <c r="CH538" s="22" t="str">
        <f t="shared" si="3361"/>
        <v/>
      </c>
      <c r="CI538" s="22" t="str">
        <f>IF(CJ538="","",MAX($CI$10:CI537)+1)</f>
        <v/>
      </c>
      <c r="CJ538" s="22" t="str">
        <f t="shared" si="3362"/>
        <v/>
      </c>
    </row>
    <row r="539" spans="2:88" x14ac:dyDescent="0.25">
      <c r="B539" s="37"/>
      <c r="C539" s="3"/>
      <c r="D539" s="77" t="str">
        <f t="shared" si="3348"/>
        <v/>
      </c>
      <c r="E539" s="38"/>
      <c r="F539" s="38"/>
      <c r="G539" s="78">
        <f t="shared" si="3363"/>
        <v>0</v>
      </c>
      <c r="H539" s="3">
        <v>80</v>
      </c>
      <c r="I539" s="77" t="str">
        <f t="shared" si="3349"/>
        <v/>
      </c>
      <c r="J539" s="32"/>
      <c r="K539" s="3"/>
      <c r="L539" s="39"/>
      <c r="M539" s="39"/>
      <c r="N539" s="39"/>
      <c r="O539" s="39"/>
      <c r="P539" s="39"/>
      <c r="Q539" s="39"/>
      <c r="R539" s="39"/>
      <c r="S539" s="39"/>
      <c r="T539" s="3" t="s">
        <v>645</v>
      </c>
      <c r="U539" s="77" t="str">
        <f t="shared" si="3350"/>
        <v/>
      </c>
      <c r="V539" s="39">
        <v>1</v>
      </c>
      <c r="W539" s="79">
        <f t="shared" si="3364"/>
        <v>0</v>
      </c>
      <c r="X539" s="3">
        <v>0</v>
      </c>
      <c r="Y539" s="77" t="str">
        <f t="shared" si="3351"/>
        <v/>
      </c>
      <c r="Z539" s="3"/>
      <c r="AA539" s="37" t="str">
        <f t="shared" si="3365"/>
        <v/>
      </c>
      <c r="AC539" s="40"/>
      <c r="AD539" s="7"/>
      <c r="AE539" s="77" t="str">
        <f t="shared" si="3352"/>
        <v/>
      </c>
      <c r="AF539" s="81">
        <f t="shared" si="3378"/>
        <v>0</v>
      </c>
      <c r="AG539" s="40"/>
      <c r="AH539" s="7"/>
      <c r="AI539" s="77" t="str">
        <f t="shared" si="3353"/>
        <v/>
      </c>
      <c r="AJ539" s="81">
        <f t="shared" si="3379"/>
        <v>0</v>
      </c>
      <c r="AK539" s="83">
        <f t="shared" si="3380"/>
        <v>0</v>
      </c>
      <c r="AL539" s="83">
        <f t="shared" si="3381"/>
        <v>0</v>
      </c>
      <c r="AN539" s="43">
        <f t="shared" si="3354"/>
        <v>0</v>
      </c>
      <c r="AP539" t="str">
        <f t="shared" si="3382"/>
        <v/>
      </c>
      <c r="AQ539" t="str">
        <f t="shared" si="3383"/>
        <v/>
      </c>
      <c r="AR539" t="str">
        <f t="shared" si="3384"/>
        <v/>
      </c>
      <c r="AS539" t="str">
        <f t="shared" si="3385"/>
        <v/>
      </c>
      <c r="AT539" t="str">
        <f t="shared" si="3386"/>
        <v/>
      </c>
      <c r="AU539" t="str">
        <f t="shared" si="3387"/>
        <v/>
      </c>
      <c r="AV539" t="str">
        <f t="shared" si="3388"/>
        <v/>
      </c>
      <c r="AW539" t="str">
        <f t="shared" si="3389"/>
        <v xml:space="preserve">                              </v>
      </c>
      <c r="AX539" s="23">
        <f t="shared" si="3390"/>
        <v>0</v>
      </c>
      <c r="AY539" s="49" t="str">
        <f t="shared" si="3366"/>
        <v>000000000000000</v>
      </c>
      <c r="AZ539" s="23">
        <f t="shared" si="3391"/>
        <v>0</v>
      </c>
      <c r="BA539" s="49" t="str">
        <f t="shared" si="3366"/>
        <v>000000000000000</v>
      </c>
      <c r="BB539" s="23">
        <f t="shared" si="3392"/>
        <v>0</v>
      </c>
      <c r="BC539" s="49" t="str">
        <f t="shared" ref="BC539" si="3489">IF(BB539&lt;0,SUBSTITUTE(TEXT(BB539,"000000000000,00"),",",""),SUBSTITUTE(TEXT(BB539,"0000000000000,00"),",",""))</f>
        <v>000000000000000</v>
      </c>
      <c r="BD539" s="23">
        <f t="shared" si="3394"/>
        <v>0</v>
      </c>
      <c r="BE539" s="49" t="str">
        <f t="shared" ref="BE539" si="3490">IF(BD539&lt;0,SUBSTITUTE(TEXT(BD539,"000000000000,00"),",",""),SUBSTITUTE(TEXT(BD539,"0000000000000,00"),",",""))</f>
        <v>000000000000000</v>
      </c>
      <c r="BF539" s="23">
        <f t="shared" si="3396"/>
        <v>0</v>
      </c>
      <c r="BG539" s="49" t="str">
        <f t="shared" ref="BG539" si="3491">IF(BF539&lt;0,SUBSTITUTE(TEXT(BF539,"000000000000,00"),",",""),SUBSTITUTE(TEXT(BF539,"0000000000000,00"),",",""))</f>
        <v>000000000000000</v>
      </c>
      <c r="BH539" s="23">
        <f t="shared" si="3398"/>
        <v>0</v>
      </c>
      <c r="BI539" s="49" t="str">
        <f t="shared" ref="BI539" si="3492">IF(BH539&lt;0,SUBSTITUTE(TEXT(BH539,"000000000000,00"),",",""),SUBSTITUTE(TEXT(BH539,"0000000000000,00"),",",""))</f>
        <v>000000000000000</v>
      </c>
      <c r="BJ539" s="23">
        <f t="shared" si="3400"/>
        <v>0</v>
      </c>
      <c r="BK539" s="49" t="str">
        <f t="shared" ref="BK539" si="3493">IF(BJ539&lt;0,SUBSTITUTE(TEXT(BJ539,"000000000000,00"),",",""),SUBSTITUTE(TEXT(BJ539,"0000000000000,00"),",",""))</f>
        <v>000000000000000</v>
      </c>
      <c r="BL539" s="23">
        <f t="shared" si="3402"/>
        <v>0</v>
      </c>
      <c r="BM539" s="49" t="str">
        <f t="shared" ref="BM539" si="3494">IF(BL539&lt;0,SUBSTITUTE(TEXT(BL539,"000000000000,00"),",",""),SUBSTITUTE(TEXT(BL539,"0000000000000,00"),",",""))</f>
        <v>000000000000000</v>
      </c>
      <c r="BN539" t="str">
        <f t="shared" si="3404"/>
        <v>PES</v>
      </c>
      <c r="BO539" t="str">
        <f t="shared" si="3405"/>
        <v>0001000000</v>
      </c>
      <c r="BP539">
        <f t="shared" si="3406"/>
        <v>0</v>
      </c>
      <c r="BQ539">
        <f t="shared" si="3407"/>
        <v>0</v>
      </c>
      <c r="BR539" s="23">
        <f t="shared" si="3408"/>
        <v>0</v>
      </c>
      <c r="BS539" s="49" t="str">
        <f t="shared" si="3373"/>
        <v>000000000000000</v>
      </c>
      <c r="BT539" t="str">
        <f t="shared" si="3409"/>
        <v>00000000</v>
      </c>
      <c r="BU539" s="23">
        <f t="shared" si="3410"/>
        <v>0</v>
      </c>
      <c r="BV539" s="49" t="str">
        <f t="shared" si="3374"/>
        <v/>
      </c>
      <c r="BW539" s="52" t="str">
        <f t="shared" si="3411"/>
        <v/>
      </c>
      <c r="BX539" s="23">
        <f t="shared" si="3412"/>
        <v>0</v>
      </c>
      <c r="BY539" s="49" t="str">
        <f t="shared" si="3375"/>
        <v/>
      </c>
      <c r="BZ539" s="23">
        <f t="shared" si="3413"/>
        <v>0</v>
      </c>
      <c r="CA539" s="49" t="str">
        <f t="shared" si="3376"/>
        <v/>
      </c>
      <c r="CB539" s="52" t="str">
        <f t="shared" si="3414"/>
        <v/>
      </c>
      <c r="CC539" s="23">
        <f t="shared" si="3415"/>
        <v>0</v>
      </c>
      <c r="CD539" s="49" t="str">
        <f t="shared" si="3377"/>
        <v/>
      </c>
      <c r="CE539" s="56" t="str">
        <f>IF(CF539="","",MAX(CE$10:$CE538)+1)</f>
        <v/>
      </c>
      <c r="CF539" t="str">
        <f t="shared" si="3416"/>
        <v/>
      </c>
      <c r="CG539" s="22" t="str">
        <f>IF(CH539="","",MAX($CG$10:CG538)+1)</f>
        <v/>
      </c>
      <c r="CH539" s="22" t="str">
        <f t="shared" si="3361"/>
        <v/>
      </c>
      <c r="CI539" s="22" t="str">
        <f>IF(CJ539="","",MAX($CI$10:CI538)+1)</f>
        <v/>
      </c>
      <c r="CJ539" s="22" t="str">
        <f t="shared" si="3362"/>
        <v/>
      </c>
    </row>
    <row r="540" spans="2:88" x14ac:dyDescent="0.25">
      <c r="B540" s="37"/>
      <c r="C540" s="3"/>
      <c r="D540" s="77" t="str">
        <f t="shared" si="3348"/>
        <v/>
      </c>
      <c r="E540" s="38"/>
      <c r="F540" s="38"/>
      <c r="G540" s="78">
        <f t="shared" si="3363"/>
        <v>0</v>
      </c>
      <c r="H540" s="3">
        <v>80</v>
      </c>
      <c r="I540" s="77" t="str">
        <f t="shared" si="3349"/>
        <v/>
      </c>
      <c r="J540" s="32"/>
      <c r="K540" s="3"/>
      <c r="L540" s="39"/>
      <c r="M540" s="39"/>
      <c r="N540" s="39"/>
      <c r="O540" s="39"/>
      <c r="P540" s="39"/>
      <c r="Q540" s="39"/>
      <c r="R540" s="39"/>
      <c r="S540" s="39"/>
      <c r="T540" s="3" t="s">
        <v>645</v>
      </c>
      <c r="U540" s="77" t="str">
        <f t="shared" si="3350"/>
        <v/>
      </c>
      <c r="V540" s="39">
        <v>1</v>
      </c>
      <c r="W540" s="79">
        <f t="shared" si="3364"/>
        <v>0</v>
      </c>
      <c r="X540" s="3">
        <v>0</v>
      </c>
      <c r="Y540" s="77" t="str">
        <f t="shared" si="3351"/>
        <v/>
      </c>
      <c r="Z540" s="3"/>
      <c r="AA540" s="37" t="str">
        <f t="shared" si="3365"/>
        <v/>
      </c>
      <c r="AC540" s="40"/>
      <c r="AD540" s="7"/>
      <c r="AE540" s="77" t="str">
        <f t="shared" si="3352"/>
        <v/>
      </c>
      <c r="AF540" s="81">
        <f t="shared" si="3378"/>
        <v>0</v>
      </c>
      <c r="AG540" s="40"/>
      <c r="AH540" s="7"/>
      <c r="AI540" s="77" t="str">
        <f t="shared" si="3353"/>
        <v/>
      </c>
      <c r="AJ540" s="81">
        <f t="shared" si="3379"/>
        <v>0</v>
      </c>
      <c r="AK540" s="83">
        <f t="shared" si="3380"/>
        <v>0</v>
      </c>
      <c r="AL540" s="83">
        <f t="shared" si="3381"/>
        <v>0</v>
      </c>
      <c r="AN540" s="43">
        <f t="shared" si="3354"/>
        <v>0</v>
      </c>
      <c r="AP540" t="str">
        <f t="shared" si="3382"/>
        <v/>
      </c>
      <c r="AQ540" t="str">
        <f t="shared" si="3383"/>
        <v/>
      </c>
      <c r="AR540" t="str">
        <f t="shared" si="3384"/>
        <v/>
      </c>
      <c r="AS540" t="str">
        <f t="shared" si="3385"/>
        <v/>
      </c>
      <c r="AT540" t="str">
        <f t="shared" si="3386"/>
        <v/>
      </c>
      <c r="AU540" t="str">
        <f t="shared" si="3387"/>
        <v/>
      </c>
      <c r="AV540" t="str">
        <f t="shared" si="3388"/>
        <v/>
      </c>
      <c r="AW540" t="str">
        <f t="shared" si="3389"/>
        <v xml:space="preserve">                              </v>
      </c>
      <c r="AX540" s="23">
        <f t="shared" si="3390"/>
        <v>0</v>
      </c>
      <c r="AY540" s="49" t="str">
        <f t="shared" si="3366"/>
        <v>000000000000000</v>
      </c>
      <c r="AZ540" s="23">
        <f t="shared" si="3391"/>
        <v>0</v>
      </c>
      <c r="BA540" s="49" t="str">
        <f t="shared" si="3366"/>
        <v>000000000000000</v>
      </c>
      <c r="BB540" s="23">
        <f t="shared" si="3392"/>
        <v>0</v>
      </c>
      <c r="BC540" s="49" t="str">
        <f t="shared" ref="BC540" si="3495">IF(BB540&lt;0,SUBSTITUTE(TEXT(BB540,"000000000000,00"),",",""),SUBSTITUTE(TEXT(BB540,"0000000000000,00"),",",""))</f>
        <v>000000000000000</v>
      </c>
      <c r="BD540" s="23">
        <f t="shared" si="3394"/>
        <v>0</v>
      </c>
      <c r="BE540" s="49" t="str">
        <f t="shared" ref="BE540" si="3496">IF(BD540&lt;0,SUBSTITUTE(TEXT(BD540,"000000000000,00"),",",""),SUBSTITUTE(TEXT(BD540,"0000000000000,00"),",",""))</f>
        <v>000000000000000</v>
      </c>
      <c r="BF540" s="23">
        <f t="shared" si="3396"/>
        <v>0</v>
      </c>
      <c r="BG540" s="49" t="str">
        <f t="shared" ref="BG540" si="3497">IF(BF540&lt;0,SUBSTITUTE(TEXT(BF540,"000000000000,00"),",",""),SUBSTITUTE(TEXT(BF540,"0000000000000,00"),",",""))</f>
        <v>000000000000000</v>
      </c>
      <c r="BH540" s="23">
        <f t="shared" si="3398"/>
        <v>0</v>
      </c>
      <c r="BI540" s="49" t="str">
        <f t="shared" ref="BI540" si="3498">IF(BH540&lt;0,SUBSTITUTE(TEXT(BH540,"000000000000,00"),",",""),SUBSTITUTE(TEXT(BH540,"0000000000000,00"),",",""))</f>
        <v>000000000000000</v>
      </c>
      <c r="BJ540" s="23">
        <f t="shared" si="3400"/>
        <v>0</v>
      </c>
      <c r="BK540" s="49" t="str">
        <f t="shared" ref="BK540" si="3499">IF(BJ540&lt;0,SUBSTITUTE(TEXT(BJ540,"000000000000,00"),",",""),SUBSTITUTE(TEXT(BJ540,"0000000000000,00"),",",""))</f>
        <v>000000000000000</v>
      </c>
      <c r="BL540" s="23">
        <f t="shared" si="3402"/>
        <v>0</v>
      </c>
      <c r="BM540" s="49" t="str">
        <f t="shared" ref="BM540" si="3500">IF(BL540&lt;0,SUBSTITUTE(TEXT(BL540,"000000000000,00"),",",""),SUBSTITUTE(TEXT(BL540,"0000000000000,00"),",",""))</f>
        <v>000000000000000</v>
      </c>
      <c r="BN540" t="str">
        <f t="shared" si="3404"/>
        <v>PES</v>
      </c>
      <c r="BO540" t="str">
        <f t="shared" si="3405"/>
        <v>0001000000</v>
      </c>
      <c r="BP540">
        <f t="shared" si="3406"/>
        <v>0</v>
      </c>
      <c r="BQ540">
        <f t="shared" si="3407"/>
        <v>0</v>
      </c>
      <c r="BR540" s="23">
        <f t="shared" si="3408"/>
        <v>0</v>
      </c>
      <c r="BS540" s="49" t="str">
        <f t="shared" si="3373"/>
        <v>000000000000000</v>
      </c>
      <c r="BT540" t="str">
        <f t="shared" si="3409"/>
        <v>00000000</v>
      </c>
      <c r="BU540" s="23">
        <f t="shared" si="3410"/>
        <v>0</v>
      </c>
      <c r="BV540" s="49" t="str">
        <f t="shared" si="3374"/>
        <v/>
      </c>
      <c r="BW540" s="52" t="str">
        <f t="shared" si="3411"/>
        <v/>
      </c>
      <c r="BX540" s="23">
        <f t="shared" si="3412"/>
        <v>0</v>
      </c>
      <c r="BY540" s="49" t="str">
        <f t="shared" si="3375"/>
        <v/>
      </c>
      <c r="BZ540" s="23">
        <f t="shared" si="3413"/>
        <v>0</v>
      </c>
      <c r="CA540" s="49" t="str">
        <f t="shared" si="3376"/>
        <v/>
      </c>
      <c r="CB540" s="52" t="str">
        <f t="shared" si="3414"/>
        <v/>
      </c>
      <c r="CC540" s="23">
        <f t="shared" si="3415"/>
        <v>0</v>
      </c>
      <c r="CD540" s="49" t="str">
        <f t="shared" si="3377"/>
        <v/>
      </c>
      <c r="CE540" s="56" t="str">
        <f>IF(CF540="","",MAX(CE$10:$CE539)+1)</f>
        <v/>
      </c>
      <c r="CF540" t="str">
        <f t="shared" si="3416"/>
        <v/>
      </c>
      <c r="CG540" s="22" t="str">
        <f>IF(CH540="","",MAX($CG$10:CG539)+1)</f>
        <v/>
      </c>
      <c r="CH540" s="22" t="str">
        <f t="shared" si="3361"/>
        <v/>
      </c>
      <c r="CI540" s="22" t="str">
        <f>IF(CJ540="","",MAX($CI$10:CI539)+1)</f>
        <v/>
      </c>
      <c r="CJ540" s="22" t="str">
        <f t="shared" si="3362"/>
        <v/>
      </c>
    </row>
    <row r="541" spans="2:88" x14ac:dyDescent="0.25">
      <c r="B541" s="37"/>
      <c r="C541" s="3"/>
      <c r="D541" s="77" t="str">
        <f t="shared" si="3348"/>
        <v/>
      </c>
      <c r="E541" s="38"/>
      <c r="F541" s="38"/>
      <c r="G541" s="78">
        <f t="shared" si="3363"/>
        <v>0</v>
      </c>
      <c r="H541" s="3">
        <v>80</v>
      </c>
      <c r="I541" s="77" t="str">
        <f t="shared" si="3349"/>
        <v/>
      </c>
      <c r="J541" s="32"/>
      <c r="K541" s="3"/>
      <c r="L541" s="39"/>
      <c r="M541" s="39"/>
      <c r="N541" s="39"/>
      <c r="O541" s="39"/>
      <c r="P541" s="39"/>
      <c r="Q541" s="39"/>
      <c r="R541" s="39"/>
      <c r="S541" s="39"/>
      <c r="T541" s="3" t="s">
        <v>645</v>
      </c>
      <c r="U541" s="77" t="str">
        <f t="shared" si="3350"/>
        <v/>
      </c>
      <c r="V541" s="39">
        <v>1</v>
      </c>
      <c r="W541" s="79">
        <f t="shared" si="3364"/>
        <v>0</v>
      </c>
      <c r="X541" s="3">
        <v>0</v>
      </c>
      <c r="Y541" s="77" t="str">
        <f t="shared" si="3351"/>
        <v/>
      </c>
      <c r="Z541" s="3"/>
      <c r="AA541" s="37" t="str">
        <f t="shared" si="3365"/>
        <v/>
      </c>
      <c r="AC541" s="40"/>
      <c r="AD541" s="7"/>
      <c r="AE541" s="77" t="str">
        <f t="shared" si="3352"/>
        <v/>
      </c>
      <c r="AF541" s="81">
        <f t="shared" si="3378"/>
        <v>0</v>
      </c>
      <c r="AG541" s="40"/>
      <c r="AH541" s="7"/>
      <c r="AI541" s="77" t="str">
        <f t="shared" si="3353"/>
        <v/>
      </c>
      <c r="AJ541" s="81">
        <f t="shared" si="3379"/>
        <v>0</v>
      </c>
      <c r="AK541" s="83">
        <f t="shared" si="3380"/>
        <v>0</v>
      </c>
      <c r="AL541" s="83">
        <f t="shared" si="3381"/>
        <v>0</v>
      </c>
      <c r="AN541" s="43">
        <f t="shared" si="3354"/>
        <v>0</v>
      </c>
      <c r="AP541" t="str">
        <f t="shared" si="3382"/>
        <v/>
      </c>
      <c r="AQ541" t="str">
        <f t="shared" si="3383"/>
        <v/>
      </c>
      <c r="AR541" t="str">
        <f t="shared" si="3384"/>
        <v/>
      </c>
      <c r="AS541" t="str">
        <f t="shared" si="3385"/>
        <v/>
      </c>
      <c r="AT541" t="str">
        <f t="shared" si="3386"/>
        <v/>
      </c>
      <c r="AU541" t="str">
        <f t="shared" si="3387"/>
        <v/>
      </c>
      <c r="AV541" t="str">
        <f t="shared" si="3388"/>
        <v/>
      </c>
      <c r="AW541" t="str">
        <f t="shared" si="3389"/>
        <v xml:space="preserve">                              </v>
      </c>
      <c r="AX541" s="23">
        <f t="shared" si="3390"/>
        <v>0</v>
      </c>
      <c r="AY541" s="49" t="str">
        <f t="shared" si="3366"/>
        <v>000000000000000</v>
      </c>
      <c r="AZ541" s="23">
        <f t="shared" si="3391"/>
        <v>0</v>
      </c>
      <c r="BA541" s="49" t="str">
        <f t="shared" si="3366"/>
        <v>000000000000000</v>
      </c>
      <c r="BB541" s="23">
        <f t="shared" si="3392"/>
        <v>0</v>
      </c>
      <c r="BC541" s="49" t="str">
        <f t="shared" ref="BC541" si="3501">IF(BB541&lt;0,SUBSTITUTE(TEXT(BB541,"000000000000,00"),",",""),SUBSTITUTE(TEXT(BB541,"0000000000000,00"),",",""))</f>
        <v>000000000000000</v>
      </c>
      <c r="BD541" s="23">
        <f t="shared" si="3394"/>
        <v>0</v>
      </c>
      <c r="BE541" s="49" t="str">
        <f t="shared" ref="BE541" si="3502">IF(BD541&lt;0,SUBSTITUTE(TEXT(BD541,"000000000000,00"),",",""),SUBSTITUTE(TEXT(BD541,"0000000000000,00"),",",""))</f>
        <v>000000000000000</v>
      </c>
      <c r="BF541" s="23">
        <f t="shared" si="3396"/>
        <v>0</v>
      </c>
      <c r="BG541" s="49" t="str">
        <f t="shared" ref="BG541" si="3503">IF(BF541&lt;0,SUBSTITUTE(TEXT(BF541,"000000000000,00"),",",""),SUBSTITUTE(TEXT(BF541,"0000000000000,00"),",",""))</f>
        <v>000000000000000</v>
      </c>
      <c r="BH541" s="23">
        <f t="shared" si="3398"/>
        <v>0</v>
      </c>
      <c r="BI541" s="49" t="str">
        <f t="shared" ref="BI541" si="3504">IF(BH541&lt;0,SUBSTITUTE(TEXT(BH541,"000000000000,00"),",",""),SUBSTITUTE(TEXT(BH541,"0000000000000,00"),",",""))</f>
        <v>000000000000000</v>
      </c>
      <c r="BJ541" s="23">
        <f t="shared" si="3400"/>
        <v>0</v>
      </c>
      <c r="BK541" s="49" t="str">
        <f t="shared" ref="BK541" si="3505">IF(BJ541&lt;0,SUBSTITUTE(TEXT(BJ541,"000000000000,00"),",",""),SUBSTITUTE(TEXT(BJ541,"0000000000000,00"),",",""))</f>
        <v>000000000000000</v>
      </c>
      <c r="BL541" s="23">
        <f t="shared" si="3402"/>
        <v>0</v>
      </c>
      <c r="BM541" s="49" t="str">
        <f t="shared" ref="BM541" si="3506">IF(BL541&lt;0,SUBSTITUTE(TEXT(BL541,"000000000000,00"),",",""),SUBSTITUTE(TEXT(BL541,"0000000000000,00"),",",""))</f>
        <v>000000000000000</v>
      </c>
      <c r="BN541" t="str">
        <f t="shared" si="3404"/>
        <v>PES</v>
      </c>
      <c r="BO541" t="str">
        <f t="shared" si="3405"/>
        <v>0001000000</v>
      </c>
      <c r="BP541">
        <f t="shared" si="3406"/>
        <v>0</v>
      </c>
      <c r="BQ541">
        <f t="shared" si="3407"/>
        <v>0</v>
      </c>
      <c r="BR541" s="23">
        <f t="shared" si="3408"/>
        <v>0</v>
      </c>
      <c r="BS541" s="49" t="str">
        <f t="shared" si="3373"/>
        <v>000000000000000</v>
      </c>
      <c r="BT541" t="str">
        <f t="shared" si="3409"/>
        <v>00000000</v>
      </c>
      <c r="BU541" s="23">
        <f t="shared" si="3410"/>
        <v>0</v>
      </c>
      <c r="BV541" s="49" t="str">
        <f t="shared" si="3374"/>
        <v/>
      </c>
      <c r="BW541" s="52" t="str">
        <f t="shared" si="3411"/>
        <v/>
      </c>
      <c r="BX541" s="23">
        <f t="shared" si="3412"/>
        <v>0</v>
      </c>
      <c r="BY541" s="49" t="str">
        <f t="shared" si="3375"/>
        <v/>
      </c>
      <c r="BZ541" s="23">
        <f t="shared" si="3413"/>
        <v>0</v>
      </c>
      <c r="CA541" s="49" t="str">
        <f t="shared" si="3376"/>
        <v/>
      </c>
      <c r="CB541" s="52" t="str">
        <f t="shared" si="3414"/>
        <v/>
      </c>
      <c r="CC541" s="23">
        <f t="shared" si="3415"/>
        <v>0</v>
      </c>
      <c r="CD541" s="49" t="str">
        <f t="shared" si="3377"/>
        <v/>
      </c>
      <c r="CE541" s="56" t="str">
        <f>IF(CF541="","",MAX(CE$10:$CE540)+1)</f>
        <v/>
      </c>
      <c r="CF541" t="str">
        <f t="shared" si="3416"/>
        <v/>
      </c>
      <c r="CG541" s="22" t="str">
        <f>IF(CH541="","",MAX($CG$10:CG540)+1)</f>
        <v/>
      </c>
      <c r="CH541" s="22" t="str">
        <f t="shared" si="3361"/>
        <v/>
      </c>
      <c r="CI541" s="22" t="str">
        <f>IF(CJ541="","",MAX($CI$10:CI540)+1)</f>
        <v/>
      </c>
      <c r="CJ541" s="22" t="str">
        <f t="shared" si="3362"/>
        <v/>
      </c>
    </row>
    <row r="542" spans="2:88" x14ac:dyDescent="0.25">
      <c r="B542" s="37"/>
      <c r="C542" s="3"/>
      <c r="D542" s="77" t="str">
        <f t="shared" si="3348"/>
        <v/>
      </c>
      <c r="E542" s="38"/>
      <c r="F542" s="38"/>
      <c r="G542" s="78">
        <f t="shared" si="3363"/>
        <v>0</v>
      </c>
      <c r="H542" s="3">
        <v>80</v>
      </c>
      <c r="I542" s="77" t="str">
        <f t="shared" si="3349"/>
        <v/>
      </c>
      <c r="J542" s="32"/>
      <c r="K542" s="3"/>
      <c r="L542" s="39"/>
      <c r="M542" s="39"/>
      <c r="N542" s="39"/>
      <c r="O542" s="39"/>
      <c r="P542" s="39"/>
      <c r="Q542" s="39"/>
      <c r="R542" s="39"/>
      <c r="S542" s="39"/>
      <c r="T542" s="3" t="s">
        <v>645</v>
      </c>
      <c r="U542" s="77" t="str">
        <f t="shared" si="3350"/>
        <v/>
      </c>
      <c r="V542" s="39">
        <v>1</v>
      </c>
      <c r="W542" s="79">
        <f t="shared" si="3364"/>
        <v>0</v>
      </c>
      <c r="X542" s="3">
        <v>0</v>
      </c>
      <c r="Y542" s="77" t="str">
        <f t="shared" si="3351"/>
        <v/>
      </c>
      <c r="Z542" s="3"/>
      <c r="AA542" s="37" t="str">
        <f t="shared" si="3365"/>
        <v/>
      </c>
      <c r="AC542" s="40"/>
      <c r="AD542" s="7"/>
      <c r="AE542" s="77" t="str">
        <f t="shared" si="3352"/>
        <v/>
      </c>
      <c r="AF542" s="81">
        <f t="shared" si="3378"/>
        <v>0</v>
      </c>
      <c r="AG542" s="40"/>
      <c r="AH542" s="7"/>
      <c r="AI542" s="77" t="str">
        <f t="shared" si="3353"/>
        <v/>
      </c>
      <c r="AJ542" s="81">
        <f t="shared" si="3379"/>
        <v>0</v>
      </c>
      <c r="AK542" s="83">
        <f t="shared" si="3380"/>
        <v>0</v>
      </c>
      <c r="AL542" s="83">
        <f t="shared" si="3381"/>
        <v>0</v>
      </c>
      <c r="AN542" s="43">
        <f t="shared" si="3354"/>
        <v>0</v>
      </c>
      <c r="AP542" t="str">
        <f t="shared" si="3382"/>
        <v/>
      </c>
      <c r="AQ542" t="str">
        <f t="shared" si="3383"/>
        <v/>
      </c>
      <c r="AR542" t="str">
        <f t="shared" si="3384"/>
        <v/>
      </c>
      <c r="AS542" t="str">
        <f t="shared" si="3385"/>
        <v/>
      </c>
      <c r="AT542" t="str">
        <f t="shared" si="3386"/>
        <v/>
      </c>
      <c r="AU542" t="str">
        <f t="shared" si="3387"/>
        <v/>
      </c>
      <c r="AV542" t="str">
        <f t="shared" si="3388"/>
        <v/>
      </c>
      <c r="AW542" t="str">
        <f t="shared" si="3389"/>
        <v xml:space="preserve">                              </v>
      </c>
      <c r="AX542" s="23">
        <f t="shared" si="3390"/>
        <v>0</v>
      </c>
      <c r="AY542" s="49" t="str">
        <f t="shared" si="3366"/>
        <v>000000000000000</v>
      </c>
      <c r="AZ542" s="23">
        <f t="shared" si="3391"/>
        <v>0</v>
      </c>
      <c r="BA542" s="49" t="str">
        <f t="shared" si="3366"/>
        <v>000000000000000</v>
      </c>
      <c r="BB542" s="23">
        <f t="shared" si="3392"/>
        <v>0</v>
      </c>
      <c r="BC542" s="49" t="str">
        <f t="shared" ref="BC542" si="3507">IF(BB542&lt;0,SUBSTITUTE(TEXT(BB542,"000000000000,00"),",",""),SUBSTITUTE(TEXT(BB542,"0000000000000,00"),",",""))</f>
        <v>000000000000000</v>
      </c>
      <c r="BD542" s="23">
        <f t="shared" si="3394"/>
        <v>0</v>
      </c>
      <c r="BE542" s="49" t="str">
        <f t="shared" ref="BE542" si="3508">IF(BD542&lt;0,SUBSTITUTE(TEXT(BD542,"000000000000,00"),",",""),SUBSTITUTE(TEXT(BD542,"0000000000000,00"),",",""))</f>
        <v>000000000000000</v>
      </c>
      <c r="BF542" s="23">
        <f t="shared" si="3396"/>
        <v>0</v>
      </c>
      <c r="BG542" s="49" t="str">
        <f t="shared" ref="BG542" si="3509">IF(BF542&lt;0,SUBSTITUTE(TEXT(BF542,"000000000000,00"),",",""),SUBSTITUTE(TEXT(BF542,"0000000000000,00"),",",""))</f>
        <v>000000000000000</v>
      </c>
      <c r="BH542" s="23">
        <f t="shared" si="3398"/>
        <v>0</v>
      </c>
      <c r="BI542" s="49" t="str">
        <f t="shared" ref="BI542" si="3510">IF(BH542&lt;0,SUBSTITUTE(TEXT(BH542,"000000000000,00"),",",""),SUBSTITUTE(TEXT(BH542,"0000000000000,00"),",",""))</f>
        <v>000000000000000</v>
      </c>
      <c r="BJ542" s="23">
        <f t="shared" si="3400"/>
        <v>0</v>
      </c>
      <c r="BK542" s="49" t="str">
        <f t="shared" ref="BK542" si="3511">IF(BJ542&lt;0,SUBSTITUTE(TEXT(BJ542,"000000000000,00"),",",""),SUBSTITUTE(TEXT(BJ542,"0000000000000,00"),",",""))</f>
        <v>000000000000000</v>
      </c>
      <c r="BL542" s="23">
        <f t="shared" si="3402"/>
        <v>0</v>
      </c>
      <c r="BM542" s="49" t="str">
        <f t="shared" ref="BM542" si="3512">IF(BL542&lt;0,SUBSTITUTE(TEXT(BL542,"000000000000,00"),",",""),SUBSTITUTE(TEXT(BL542,"0000000000000,00"),",",""))</f>
        <v>000000000000000</v>
      </c>
      <c r="BN542" t="str">
        <f t="shared" si="3404"/>
        <v>PES</v>
      </c>
      <c r="BO542" t="str">
        <f t="shared" si="3405"/>
        <v>0001000000</v>
      </c>
      <c r="BP542">
        <f t="shared" si="3406"/>
        <v>0</v>
      </c>
      <c r="BQ542">
        <f t="shared" si="3407"/>
        <v>0</v>
      </c>
      <c r="BR542" s="23">
        <f t="shared" si="3408"/>
        <v>0</v>
      </c>
      <c r="BS542" s="49" t="str">
        <f t="shared" si="3373"/>
        <v>000000000000000</v>
      </c>
      <c r="BT542" t="str">
        <f t="shared" si="3409"/>
        <v>00000000</v>
      </c>
      <c r="BU542" s="23">
        <f t="shared" si="3410"/>
        <v>0</v>
      </c>
      <c r="BV542" s="49" t="str">
        <f t="shared" si="3374"/>
        <v/>
      </c>
      <c r="BW542" s="52" t="str">
        <f t="shared" si="3411"/>
        <v/>
      </c>
      <c r="BX542" s="23">
        <f t="shared" si="3412"/>
        <v>0</v>
      </c>
      <c r="BY542" s="49" t="str">
        <f t="shared" si="3375"/>
        <v/>
      </c>
      <c r="BZ542" s="23">
        <f t="shared" si="3413"/>
        <v>0</v>
      </c>
      <c r="CA542" s="49" t="str">
        <f t="shared" si="3376"/>
        <v/>
      </c>
      <c r="CB542" s="52" t="str">
        <f t="shared" si="3414"/>
        <v/>
      </c>
      <c r="CC542" s="23">
        <f t="shared" si="3415"/>
        <v>0</v>
      </c>
      <c r="CD542" s="49" t="str">
        <f t="shared" si="3377"/>
        <v/>
      </c>
      <c r="CE542" s="56" t="str">
        <f>IF(CF542="","",MAX(CE$10:$CE541)+1)</f>
        <v/>
      </c>
      <c r="CF542" t="str">
        <f t="shared" si="3416"/>
        <v/>
      </c>
      <c r="CG542" s="22" t="str">
        <f>IF(CH542="","",MAX($CG$10:CG541)+1)</f>
        <v/>
      </c>
      <c r="CH542" s="22" t="str">
        <f t="shared" si="3361"/>
        <v/>
      </c>
      <c r="CI542" s="22" t="str">
        <f>IF(CJ542="","",MAX($CI$10:CI541)+1)</f>
        <v/>
      </c>
      <c r="CJ542" s="22" t="str">
        <f t="shared" si="3362"/>
        <v/>
      </c>
    </row>
    <row r="543" spans="2:88" x14ac:dyDescent="0.25">
      <c r="B543" s="37"/>
      <c r="C543" s="3"/>
      <c r="D543" s="77" t="str">
        <f t="shared" si="3348"/>
        <v/>
      </c>
      <c r="E543" s="38"/>
      <c r="F543" s="38"/>
      <c r="G543" s="78">
        <f t="shared" si="3363"/>
        <v>0</v>
      </c>
      <c r="H543" s="3">
        <v>80</v>
      </c>
      <c r="I543" s="77" t="str">
        <f t="shared" si="3349"/>
        <v/>
      </c>
      <c r="J543" s="32"/>
      <c r="K543" s="3"/>
      <c r="L543" s="39"/>
      <c r="M543" s="39"/>
      <c r="N543" s="39"/>
      <c r="O543" s="39"/>
      <c r="P543" s="39"/>
      <c r="Q543" s="39"/>
      <c r="R543" s="39"/>
      <c r="S543" s="39"/>
      <c r="T543" s="3" t="s">
        <v>645</v>
      </c>
      <c r="U543" s="77" t="str">
        <f t="shared" si="3350"/>
        <v/>
      </c>
      <c r="V543" s="39">
        <v>1</v>
      </c>
      <c r="W543" s="79">
        <f t="shared" si="3364"/>
        <v>0</v>
      </c>
      <c r="X543" s="3">
        <v>0</v>
      </c>
      <c r="Y543" s="77" t="str">
        <f t="shared" si="3351"/>
        <v/>
      </c>
      <c r="Z543" s="3"/>
      <c r="AA543" s="37" t="str">
        <f t="shared" si="3365"/>
        <v/>
      </c>
      <c r="AC543" s="40"/>
      <c r="AD543" s="7"/>
      <c r="AE543" s="77" t="str">
        <f t="shared" si="3352"/>
        <v/>
      </c>
      <c r="AF543" s="81">
        <f t="shared" si="3378"/>
        <v>0</v>
      </c>
      <c r="AG543" s="40"/>
      <c r="AH543" s="7"/>
      <c r="AI543" s="77" t="str">
        <f t="shared" si="3353"/>
        <v/>
      </c>
      <c r="AJ543" s="81">
        <f t="shared" si="3379"/>
        <v>0</v>
      </c>
      <c r="AK543" s="83">
        <f t="shared" si="3380"/>
        <v>0</v>
      </c>
      <c r="AL543" s="83">
        <f t="shared" si="3381"/>
        <v>0</v>
      </c>
      <c r="AN543" s="43">
        <f t="shared" si="3354"/>
        <v>0</v>
      </c>
      <c r="AP543" t="str">
        <f t="shared" si="3382"/>
        <v/>
      </c>
      <c r="AQ543" t="str">
        <f t="shared" si="3383"/>
        <v/>
      </c>
      <c r="AR543" t="str">
        <f t="shared" si="3384"/>
        <v/>
      </c>
      <c r="AS543" t="str">
        <f t="shared" si="3385"/>
        <v/>
      </c>
      <c r="AT543" t="str">
        <f t="shared" si="3386"/>
        <v/>
      </c>
      <c r="AU543" t="str">
        <f t="shared" si="3387"/>
        <v/>
      </c>
      <c r="AV543" t="str">
        <f t="shared" si="3388"/>
        <v/>
      </c>
      <c r="AW543" t="str">
        <f t="shared" si="3389"/>
        <v xml:space="preserve">                              </v>
      </c>
      <c r="AX543" s="23">
        <f t="shared" si="3390"/>
        <v>0</v>
      </c>
      <c r="AY543" s="49" t="str">
        <f t="shared" si="3366"/>
        <v>000000000000000</v>
      </c>
      <c r="AZ543" s="23">
        <f t="shared" si="3391"/>
        <v>0</v>
      </c>
      <c r="BA543" s="49" t="str">
        <f t="shared" si="3366"/>
        <v>000000000000000</v>
      </c>
      <c r="BB543" s="23">
        <f t="shared" si="3392"/>
        <v>0</v>
      </c>
      <c r="BC543" s="49" t="str">
        <f t="shared" ref="BC543" si="3513">IF(BB543&lt;0,SUBSTITUTE(TEXT(BB543,"000000000000,00"),",",""),SUBSTITUTE(TEXT(BB543,"0000000000000,00"),",",""))</f>
        <v>000000000000000</v>
      </c>
      <c r="BD543" s="23">
        <f t="shared" si="3394"/>
        <v>0</v>
      </c>
      <c r="BE543" s="49" t="str">
        <f t="shared" ref="BE543" si="3514">IF(BD543&lt;0,SUBSTITUTE(TEXT(BD543,"000000000000,00"),",",""),SUBSTITUTE(TEXT(BD543,"0000000000000,00"),",",""))</f>
        <v>000000000000000</v>
      </c>
      <c r="BF543" s="23">
        <f t="shared" si="3396"/>
        <v>0</v>
      </c>
      <c r="BG543" s="49" t="str">
        <f t="shared" ref="BG543" si="3515">IF(BF543&lt;0,SUBSTITUTE(TEXT(BF543,"000000000000,00"),",",""),SUBSTITUTE(TEXT(BF543,"0000000000000,00"),",",""))</f>
        <v>000000000000000</v>
      </c>
      <c r="BH543" s="23">
        <f t="shared" si="3398"/>
        <v>0</v>
      </c>
      <c r="BI543" s="49" t="str">
        <f t="shared" ref="BI543" si="3516">IF(BH543&lt;0,SUBSTITUTE(TEXT(BH543,"000000000000,00"),",",""),SUBSTITUTE(TEXT(BH543,"0000000000000,00"),",",""))</f>
        <v>000000000000000</v>
      </c>
      <c r="BJ543" s="23">
        <f t="shared" si="3400"/>
        <v>0</v>
      </c>
      <c r="BK543" s="49" t="str">
        <f t="shared" ref="BK543" si="3517">IF(BJ543&lt;0,SUBSTITUTE(TEXT(BJ543,"000000000000,00"),",",""),SUBSTITUTE(TEXT(BJ543,"0000000000000,00"),",",""))</f>
        <v>000000000000000</v>
      </c>
      <c r="BL543" s="23">
        <f t="shared" si="3402"/>
        <v>0</v>
      </c>
      <c r="BM543" s="49" t="str">
        <f t="shared" ref="BM543" si="3518">IF(BL543&lt;0,SUBSTITUTE(TEXT(BL543,"000000000000,00"),",",""),SUBSTITUTE(TEXT(BL543,"0000000000000,00"),",",""))</f>
        <v>000000000000000</v>
      </c>
      <c r="BN543" t="str">
        <f t="shared" si="3404"/>
        <v>PES</v>
      </c>
      <c r="BO543" t="str">
        <f t="shared" si="3405"/>
        <v>0001000000</v>
      </c>
      <c r="BP543">
        <f t="shared" si="3406"/>
        <v>0</v>
      </c>
      <c r="BQ543">
        <f t="shared" si="3407"/>
        <v>0</v>
      </c>
      <c r="BR543" s="23">
        <f t="shared" si="3408"/>
        <v>0</v>
      </c>
      <c r="BS543" s="49" t="str">
        <f t="shared" si="3373"/>
        <v>000000000000000</v>
      </c>
      <c r="BT543" t="str">
        <f t="shared" si="3409"/>
        <v>00000000</v>
      </c>
      <c r="BU543" s="23">
        <f t="shared" si="3410"/>
        <v>0</v>
      </c>
      <c r="BV543" s="49" t="str">
        <f t="shared" si="3374"/>
        <v/>
      </c>
      <c r="BW543" s="52" t="str">
        <f t="shared" si="3411"/>
        <v/>
      </c>
      <c r="BX543" s="23">
        <f t="shared" si="3412"/>
        <v>0</v>
      </c>
      <c r="BY543" s="49" t="str">
        <f t="shared" si="3375"/>
        <v/>
      </c>
      <c r="BZ543" s="23">
        <f t="shared" si="3413"/>
        <v>0</v>
      </c>
      <c r="CA543" s="49" t="str">
        <f t="shared" si="3376"/>
        <v/>
      </c>
      <c r="CB543" s="52" t="str">
        <f t="shared" si="3414"/>
        <v/>
      </c>
      <c r="CC543" s="23">
        <f t="shared" si="3415"/>
        <v>0</v>
      </c>
      <c r="CD543" s="49" t="str">
        <f t="shared" si="3377"/>
        <v/>
      </c>
      <c r="CE543" s="56" t="str">
        <f>IF(CF543="","",MAX(CE$10:$CE542)+1)</f>
        <v/>
      </c>
      <c r="CF543" t="str">
        <f t="shared" si="3416"/>
        <v/>
      </c>
      <c r="CG543" s="22" t="str">
        <f>IF(CH543="","",MAX($CG$10:CG542)+1)</f>
        <v/>
      </c>
      <c r="CH543" s="22" t="str">
        <f t="shared" si="3361"/>
        <v/>
      </c>
      <c r="CI543" s="22" t="str">
        <f>IF(CJ543="","",MAX($CI$10:CI542)+1)</f>
        <v/>
      </c>
      <c r="CJ543" s="22" t="str">
        <f t="shared" si="3362"/>
        <v/>
      </c>
    </row>
    <row r="544" spans="2:88" x14ac:dyDescent="0.25">
      <c r="B544" s="37"/>
      <c r="C544" s="3"/>
      <c r="D544" s="77" t="str">
        <f t="shared" si="3348"/>
        <v/>
      </c>
      <c r="E544" s="38"/>
      <c r="F544" s="38"/>
      <c r="G544" s="78">
        <f t="shared" si="3363"/>
        <v>0</v>
      </c>
      <c r="H544" s="3">
        <v>80</v>
      </c>
      <c r="I544" s="77" t="str">
        <f t="shared" si="3349"/>
        <v/>
      </c>
      <c r="J544" s="32"/>
      <c r="K544" s="3"/>
      <c r="L544" s="39"/>
      <c r="M544" s="39"/>
      <c r="N544" s="39"/>
      <c r="O544" s="39"/>
      <c r="P544" s="39"/>
      <c r="Q544" s="39"/>
      <c r="R544" s="39"/>
      <c r="S544" s="39"/>
      <c r="T544" s="3" t="s">
        <v>645</v>
      </c>
      <c r="U544" s="77" t="str">
        <f t="shared" si="3350"/>
        <v/>
      </c>
      <c r="V544" s="39">
        <v>1</v>
      </c>
      <c r="W544" s="79">
        <f t="shared" si="3364"/>
        <v>0</v>
      </c>
      <c r="X544" s="3">
        <v>0</v>
      </c>
      <c r="Y544" s="77" t="str">
        <f t="shared" si="3351"/>
        <v/>
      </c>
      <c r="Z544" s="3"/>
      <c r="AA544" s="37" t="str">
        <f t="shared" si="3365"/>
        <v/>
      </c>
      <c r="AC544" s="40"/>
      <c r="AD544" s="7"/>
      <c r="AE544" s="77" t="str">
        <f t="shared" si="3352"/>
        <v/>
      </c>
      <c r="AF544" s="81">
        <f t="shared" si="3378"/>
        <v>0</v>
      </c>
      <c r="AG544" s="40"/>
      <c r="AH544" s="7"/>
      <c r="AI544" s="77" t="str">
        <f t="shared" si="3353"/>
        <v/>
      </c>
      <c r="AJ544" s="81">
        <f t="shared" si="3379"/>
        <v>0</v>
      </c>
      <c r="AK544" s="83">
        <f t="shared" si="3380"/>
        <v>0</v>
      </c>
      <c r="AL544" s="83">
        <f t="shared" si="3381"/>
        <v>0</v>
      </c>
      <c r="AN544" s="43">
        <f t="shared" si="3354"/>
        <v>0</v>
      </c>
      <c r="AP544" t="str">
        <f t="shared" si="3382"/>
        <v/>
      </c>
      <c r="AQ544" t="str">
        <f t="shared" si="3383"/>
        <v/>
      </c>
      <c r="AR544" t="str">
        <f t="shared" si="3384"/>
        <v/>
      </c>
      <c r="AS544" t="str">
        <f t="shared" si="3385"/>
        <v/>
      </c>
      <c r="AT544" t="str">
        <f t="shared" si="3386"/>
        <v/>
      </c>
      <c r="AU544" t="str">
        <f t="shared" si="3387"/>
        <v/>
      </c>
      <c r="AV544" t="str">
        <f t="shared" si="3388"/>
        <v/>
      </c>
      <c r="AW544" t="str">
        <f t="shared" si="3389"/>
        <v xml:space="preserve">                              </v>
      </c>
      <c r="AX544" s="23">
        <f t="shared" si="3390"/>
        <v>0</v>
      </c>
      <c r="AY544" s="49" t="str">
        <f t="shared" si="3366"/>
        <v>000000000000000</v>
      </c>
      <c r="AZ544" s="23">
        <f t="shared" si="3391"/>
        <v>0</v>
      </c>
      <c r="BA544" s="49" t="str">
        <f t="shared" si="3366"/>
        <v>000000000000000</v>
      </c>
      <c r="BB544" s="23">
        <f t="shared" si="3392"/>
        <v>0</v>
      </c>
      <c r="BC544" s="49" t="str">
        <f t="shared" ref="BC544" si="3519">IF(BB544&lt;0,SUBSTITUTE(TEXT(BB544,"000000000000,00"),",",""),SUBSTITUTE(TEXT(BB544,"0000000000000,00"),",",""))</f>
        <v>000000000000000</v>
      </c>
      <c r="BD544" s="23">
        <f t="shared" si="3394"/>
        <v>0</v>
      </c>
      <c r="BE544" s="49" t="str">
        <f t="shared" ref="BE544" si="3520">IF(BD544&lt;0,SUBSTITUTE(TEXT(BD544,"000000000000,00"),",",""),SUBSTITUTE(TEXT(BD544,"0000000000000,00"),",",""))</f>
        <v>000000000000000</v>
      </c>
      <c r="BF544" s="23">
        <f t="shared" si="3396"/>
        <v>0</v>
      </c>
      <c r="BG544" s="49" t="str">
        <f t="shared" ref="BG544" si="3521">IF(BF544&lt;0,SUBSTITUTE(TEXT(BF544,"000000000000,00"),",",""),SUBSTITUTE(TEXT(BF544,"0000000000000,00"),",",""))</f>
        <v>000000000000000</v>
      </c>
      <c r="BH544" s="23">
        <f t="shared" si="3398"/>
        <v>0</v>
      </c>
      <c r="BI544" s="49" t="str">
        <f t="shared" ref="BI544" si="3522">IF(BH544&lt;0,SUBSTITUTE(TEXT(BH544,"000000000000,00"),",",""),SUBSTITUTE(TEXT(BH544,"0000000000000,00"),",",""))</f>
        <v>000000000000000</v>
      </c>
      <c r="BJ544" s="23">
        <f t="shared" si="3400"/>
        <v>0</v>
      </c>
      <c r="BK544" s="49" t="str">
        <f t="shared" ref="BK544" si="3523">IF(BJ544&lt;0,SUBSTITUTE(TEXT(BJ544,"000000000000,00"),",",""),SUBSTITUTE(TEXT(BJ544,"0000000000000,00"),",",""))</f>
        <v>000000000000000</v>
      </c>
      <c r="BL544" s="23">
        <f t="shared" si="3402"/>
        <v>0</v>
      </c>
      <c r="BM544" s="49" t="str">
        <f t="shared" ref="BM544" si="3524">IF(BL544&lt;0,SUBSTITUTE(TEXT(BL544,"000000000000,00"),",",""),SUBSTITUTE(TEXT(BL544,"0000000000000,00"),",",""))</f>
        <v>000000000000000</v>
      </c>
      <c r="BN544" t="str">
        <f t="shared" si="3404"/>
        <v>PES</v>
      </c>
      <c r="BO544" t="str">
        <f t="shared" si="3405"/>
        <v>0001000000</v>
      </c>
      <c r="BP544">
        <f t="shared" si="3406"/>
        <v>0</v>
      </c>
      <c r="BQ544">
        <f t="shared" si="3407"/>
        <v>0</v>
      </c>
      <c r="BR544" s="23">
        <f t="shared" si="3408"/>
        <v>0</v>
      </c>
      <c r="BS544" s="49" t="str">
        <f t="shared" si="3373"/>
        <v>000000000000000</v>
      </c>
      <c r="BT544" t="str">
        <f t="shared" si="3409"/>
        <v>00000000</v>
      </c>
      <c r="BU544" s="23">
        <f t="shared" si="3410"/>
        <v>0</v>
      </c>
      <c r="BV544" s="49" t="str">
        <f t="shared" si="3374"/>
        <v/>
      </c>
      <c r="BW544" s="52" t="str">
        <f t="shared" si="3411"/>
        <v/>
      </c>
      <c r="BX544" s="23">
        <f t="shared" si="3412"/>
        <v>0</v>
      </c>
      <c r="BY544" s="49" t="str">
        <f t="shared" si="3375"/>
        <v/>
      </c>
      <c r="BZ544" s="23">
        <f t="shared" si="3413"/>
        <v>0</v>
      </c>
      <c r="CA544" s="49" t="str">
        <f t="shared" si="3376"/>
        <v/>
      </c>
      <c r="CB544" s="52" t="str">
        <f t="shared" si="3414"/>
        <v/>
      </c>
      <c r="CC544" s="23">
        <f t="shared" si="3415"/>
        <v>0</v>
      </c>
      <c r="CD544" s="49" t="str">
        <f t="shared" si="3377"/>
        <v/>
      </c>
      <c r="CE544" s="56" t="str">
        <f>IF(CF544="","",MAX(CE$10:$CE543)+1)</f>
        <v/>
      </c>
      <c r="CF544" t="str">
        <f t="shared" si="3416"/>
        <v/>
      </c>
      <c r="CG544" s="22" t="str">
        <f>IF(CH544="","",MAX($CG$10:CG543)+1)</f>
        <v/>
      </c>
      <c r="CH544" s="22" t="str">
        <f t="shared" si="3361"/>
        <v/>
      </c>
      <c r="CI544" s="22" t="str">
        <f>IF(CJ544="","",MAX($CI$10:CI543)+1)</f>
        <v/>
      </c>
      <c r="CJ544" s="22" t="str">
        <f t="shared" si="3362"/>
        <v/>
      </c>
    </row>
    <row r="545" spans="2:88" x14ac:dyDescent="0.25">
      <c r="B545" s="37"/>
      <c r="C545" s="3"/>
      <c r="D545" s="77" t="str">
        <f t="shared" si="3348"/>
        <v/>
      </c>
      <c r="E545" s="38"/>
      <c r="F545" s="38"/>
      <c r="G545" s="78">
        <f t="shared" si="3363"/>
        <v>0</v>
      </c>
      <c r="H545" s="3">
        <v>80</v>
      </c>
      <c r="I545" s="77" t="str">
        <f t="shared" si="3349"/>
        <v/>
      </c>
      <c r="J545" s="32"/>
      <c r="K545" s="3"/>
      <c r="L545" s="39"/>
      <c r="M545" s="39"/>
      <c r="N545" s="39"/>
      <c r="O545" s="39"/>
      <c r="P545" s="39"/>
      <c r="Q545" s="39"/>
      <c r="R545" s="39"/>
      <c r="S545" s="39"/>
      <c r="T545" s="3" t="s">
        <v>645</v>
      </c>
      <c r="U545" s="77" t="str">
        <f t="shared" si="3350"/>
        <v/>
      </c>
      <c r="V545" s="39">
        <v>1</v>
      </c>
      <c r="W545" s="79">
        <f t="shared" si="3364"/>
        <v>0</v>
      </c>
      <c r="X545" s="3">
        <v>0</v>
      </c>
      <c r="Y545" s="77" t="str">
        <f t="shared" si="3351"/>
        <v/>
      </c>
      <c r="Z545" s="3"/>
      <c r="AA545" s="37" t="str">
        <f t="shared" si="3365"/>
        <v/>
      </c>
      <c r="AC545" s="40"/>
      <c r="AD545" s="7"/>
      <c r="AE545" s="77" t="str">
        <f t="shared" si="3352"/>
        <v/>
      </c>
      <c r="AF545" s="81">
        <f t="shared" si="3378"/>
        <v>0</v>
      </c>
      <c r="AG545" s="40"/>
      <c r="AH545" s="7"/>
      <c r="AI545" s="77" t="str">
        <f t="shared" si="3353"/>
        <v/>
      </c>
      <c r="AJ545" s="81">
        <f t="shared" si="3379"/>
        <v>0</v>
      </c>
      <c r="AK545" s="83">
        <f t="shared" si="3380"/>
        <v>0</v>
      </c>
      <c r="AL545" s="83">
        <f t="shared" si="3381"/>
        <v>0</v>
      </c>
      <c r="AN545" s="43">
        <f t="shared" si="3354"/>
        <v>0</v>
      </c>
      <c r="AP545" t="str">
        <f t="shared" si="3382"/>
        <v/>
      </c>
      <c r="AQ545" t="str">
        <f t="shared" si="3383"/>
        <v/>
      </c>
      <c r="AR545" t="str">
        <f t="shared" si="3384"/>
        <v/>
      </c>
      <c r="AS545" t="str">
        <f t="shared" si="3385"/>
        <v/>
      </c>
      <c r="AT545" t="str">
        <f t="shared" si="3386"/>
        <v/>
      </c>
      <c r="AU545" t="str">
        <f t="shared" si="3387"/>
        <v/>
      </c>
      <c r="AV545" t="str">
        <f t="shared" si="3388"/>
        <v/>
      </c>
      <c r="AW545" t="str">
        <f t="shared" si="3389"/>
        <v xml:space="preserve">                              </v>
      </c>
      <c r="AX545" s="23">
        <f t="shared" si="3390"/>
        <v>0</v>
      </c>
      <c r="AY545" s="49" t="str">
        <f t="shared" si="3366"/>
        <v>000000000000000</v>
      </c>
      <c r="AZ545" s="23">
        <f t="shared" si="3391"/>
        <v>0</v>
      </c>
      <c r="BA545" s="49" t="str">
        <f t="shared" si="3366"/>
        <v>000000000000000</v>
      </c>
      <c r="BB545" s="23">
        <f t="shared" si="3392"/>
        <v>0</v>
      </c>
      <c r="BC545" s="49" t="str">
        <f t="shared" ref="BC545" si="3525">IF(BB545&lt;0,SUBSTITUTE(TEXT(BB545,"000000000000,00"),",",""),SUBSTITUTE(TEXT(BB545,"0000000000000,00"),",",""))</f>
        <v>000000000000000</v>
      </c>
      <c r="BD545" s="23">
        <f t="shared" si="3394"/>
        <v>0</v>
      </c>
      <c r="BE545" s="49" t="str">
        <f t="shared" ref="BE545" si="3526">IF(BD545&lt;0,SUBSTITUTE(TEXT(BD545,"000000000000,00"),",",""),SUBSTITUTE(TEXT(BD545,"0000000000000,00"),",",""))</f>
        <v>000000000000000</v>
      </c>
      <c r="BF545" s="23">
        <f t="shared" si="3396"/>
        <v>0</v>
      </c>
      <c r="BG545" s="49" t="str">
        <f t="shared" ref="BG545" si="3527">IF(BF545&lt;0,SUBSTITUTE(TEXT(BF545,"000000000000,00"),",",""),SUBSTITUTE(TEXT(BF545,"0000000000000,00"),",",""))</f>
        <v>000000000000000</v>
      </c>
      <c r="BH545" s="23">
        <f t="shared" si="3398"/>
        <v>0</v>
      </c>
      <c r="BI545" s="49" t="str">
        <f t="shared" ref="BI545" si="3528">IF(BH545&lt;0,SUBSTITUTE(TEXT(BH545,"000000000000,00"),",",""),SUBSTITUTE(TEXT(BH545,"0000000000000,00"),",",""))</f>
        <v>000000000000000</v>
      </c>
      <c r="BJ545" s="23">
        <f t="shared" si="3400"/>
        <v>0</v>
      </c>
      <c r="BK545" s="49" t="str">
        <f t="shared" ref="BK545" si="3529">IF(BJ545&lt;0,SUBSTITUTE(TEXT(BJ545,"000000000000,00"),",",""),SUBSTITUTE(TEXT(BJ545,"0000000000000,00"),",",""))</f>
        <v>000000000000000</v>
      </c>
      <c r="BL545" s="23">
        <f t="shared" si="3402"/>
        <v>0</v>
      </c>
      <c r="BM545" s="49" t="str">
        <f t="shared" ref="BM545" si="3530">IF(BL545&lt;0,SUBSTITUTE(TEXT(BL545,"000000000000,00"),",",""),SUBSTITUTE(TEXT(BL545,"0000000000000,00"),",",""))</f>
        <v>000000000000000</v>
      </c>
      <c r="BN545" t="str">
        <f t="shared" si="3404"/>
        <v>PES</v>
      </c>
      <c r="BO545" t="str">
        <f t="shared" si="3405"/>
        <v>0001000000</v>
      </c>
      <c r="BP545">
        <f t="shared" si="3406"/>
        <v>0</v>
      </c>
      <c r="BQ545">
        <f t="shared" si="3407"/>
        <v>0</v>
      </c>
      <c r="BR545" s="23">
        <f t="shared" si="3408"/>
        <v>0</v>
      </c>
      <c r="BS545" s="49" t="str">
        <f t="shared" si="3373"/>
        <v>000000000000000</v>
      </c>
      <c r="BT545" t="str">
        <f t="shared" si="3409"/>
        <v>00000000</v>
      </c>
      <c r="BU545" s="23">
        <f t="shared" si="3410"/>
        <v>0</v>
      </c>
      <c r="BV545" s="49" t="str">
        <f t="shared" si="3374"/>
        <v/>
      </c>
      <c r="BW545" s="52" t="str">
        <f t="shared" si="3411"/>
        <v/>
      </c>
      <c r="BX545" s="23">
        <f t="shared" si="3412"/>
        <v>0</v>
      </c>
      <c r="BY545" s="49" t="str">
        <f t="shared" si="3375"/>
        <v/>
      </c>
      <c r="BZ545" s="23">
        <f t="shared" si="3413"/>
        <v>0</v>
      </c>
      <c r="CA545" s="49" t="str">
        <f t="shared" si="3376"/>
        <v/>
      </c>
      <c r="CB545" s="52" t="str">
        <f t="shared" si="3414"/>
        <v/>
      </c>
      <c r="CC545" s="23">
        <f t="shared" si="3415"/>
        <v>0</v>
      </c>
      <c r="CD545" s="49" t="str">
        <f t="shared" si="3377"/>
        <v/>
      </c>
      <c r="CE545" s="56" t="str">
        <f>IF(CF545="","",MAX(CE$10:$CE544)+1)</f>
        <v/>
      </c>
      <c r="CF545" t="str">
        <f t="shared" si="3416"/>
        <v/>
      </c>
      <c r="CG545" s="22" t="str">
        <f>IF(CH545="","",MAX($CG$10:CG544)+1)</f>
        <v/>
      </c>
      <c r="CH545" s="22" t="str">
        <f t="shared" si="3361"/>
        <v/>
      </c>
      <c r="CI545" s="22" t="str">
        <f>IF(CJ545="","",MAX($CI$10:CI544)+1)</f>
        <v/>
      </c>
      <c r="CJ545" s="22" t="str">
        <f t="shared" si="3362"/>
        <v/>
      </c>
    </row>
    <row r="546" spans="2:88" x14ac:dyDescent="0.25">
      <c r="B546" s="37"/>
      <c r="C546" s="3"/>
      <c r="D546" s="77" t="str">
        <f t="shared" si="3348"/>
        <v/>
      </c>
      <c r="E546" s="38"/>
      <c r="F546" s="38"/>
      <c r="G546" s="78">
        <f t="shared" si="3363"/>
        <v>0</v>
      </c>
      <c r="H546" s="3">
        <v>80</v>
      </c>
      <c r="I546" s="77" t="str">
        <f t="shared" si="3349"/>
        <v/>
      </c>
      <c r="J546" s="32"/>
      <c r="K546" s="3"/>
      <c r="L546" s="39"/>
      <c r="M546" s="39"/>
      <c r="N546" s="39"/>
      <c r="O546" s="39"/>
      <c r="P546" s="39"/>
      <c r="Q546" s="39"/>
      <c r="R546" s="39"/>
      <c r="S546" s="39"/>
      <c r="T546" s="3" t="s">
        <v>645</v>
      </c>
      <c r="U546" s="77" t="str">
        <f t="shared" si="3350"/>
        <v/>
      </c>
      <c r="V546" s="39">
        <v>1</v>
      </c>
      <c r="W546" s="79">
        <f t="shared" si="3364"/>
        <v>0</v>
      </c>
      <c r="X546" s="3">
        <v>0</v>
      </c>
      <c r="Y546" s="77" t="str">
        <f t="shared" si="3351"/>
        <v/>
      </c>
      <c r="Z546" s="3"/>
      <c r="AA546" s="37" t="str">
        <f t="shared" si="3365"/>
        <v/>
      </c>
      <c r="AC546" s="40"/>
      <c r="AD546" s="7"/>
      <c r="AE546" s="77" t="str">
        <f t="shared" si="3352"/>
        <v/>
      </c>
      <c r="AF546" s="81">
        <f t="shared" si="3378"/>
        <v>0</v>
      </c>
      <c r="AG546" s="40"/>
      <c r="AH546" s="7"/>
      <c r="AI546" s="77" t="str">
        <f t="shared" si="3353"/>
        <v/>
      </c>
      <c r="AJ546" s="81">
        <f t="shared" si="3379"/>
        <v>0</v>
      </c>
      <c r="AK546" s="83">
        <f t="shared" si="3380"/>
        <v>0</v>
      </c>
      <c r="AL546" s="83">
        <f t="shared" si="3381"/>
        <v>0</v>
      </c>
      <c r="AN546" s="43">
        <f t="shared" si="3354"/>
        <v>0</v>
      </c>
      <c r="AP546" t="str">
        <f t="shared" si="3382"/>
        <v/>
      </c>
      <c r="AQ546" t="str">
        <f t="shared" si="3383"/>
        <v/>
      </c>
      <c r="AR546" t="str">
        <f t="shared" si="3384"/>
        <v/>
      </c>
      <c r="AS546" t="str">
        <f t="shared" si="3385"/>
        <v/>
      </c>
      <c r="AT546" t="str">
        <f t="shared" si="3386"/>
        <v/>
      </c>
      <c r="AU546" t="str">
        <f t="shared" si="3387"/>
        <v/>
      </c>
      <c r="AV546" t="str">
        <f t="shared" si="3388"/>
        <v/>
      </c>
      <c r="AW546" t="str">
        <f t="shared" si="3389"/>
        <v xml:space="preserve">                              </v>
      </c>
      <c r="AX546" s="23">
        <f t="shared" si="3390"/>
        <v>0</v>
      </c>
      <c r="AY546" s="49" t="str">
        <f t="shared" si="3366"/>
        <v>000000000000000</v>
      </c>
      <c r="AZ546" s="23">
        <f t="shared" si="3391"/>
        <v>0</v>
      </c>
      <c r="BA546" s="49" t="str">
        <f t="shared" si="3366"/>
        <v>000000000000000</v>
      </c>
      <c r="BB546" s="23">
        <f t="shared" si="3392"/>
        <v>0</v>
      </c>
      <c r="BC546" s="49" t="str">
        <f t="shared" ref="BC546" si="3531">IF(BB546&lt;0,SUBSTITUTE(TEXT(BB546,"000000000000,00"),",",""),SUBSTITUTE(TEXT(BB546,"0000000000000,00"),",",""))</f>
        <v>000000000000000</v>
      </c>
      <c r="BD546" s="23">
        <f t="shared" si="3394"/>
        <v>0</v>
      </c>
      <c r="BE546" s="49" t="str">
        <f t="shared" ref="BE546" si="3532">IF(BD546&lt;0,SUBSTITUTE(TEXT(BD546,"000000000000,00"),",",""),SUBSTITUTE(TEXT(BD546,"0000000000000,00"),",",""))</f>
        <v>000000000000000</v>
      </c>
      <c r="BF546" s="23">
        <f t="shared" si="3396"/>
        <v>0</v>
      </c>
      <c r="BG546" s="49" t="str">
        <f t="shared" ref="BG546" si="3533">IF(BF546&lt;0,SUBSTITUTE(TEXT(BF546,"000000000000,00"),",",""),SUBSTITUTE(TEXT(BF546,"0000000000000,00"),",",""))</f>
        <v>000000000000000</v>
      </c>
      <c r="BH546" s="23">
        <f t="shared" si="3398"/>
        <v>0</v>
      </c>
      <c r="BI546" s="49" t="str">
        <f t="shared" ref="BI546" si="3534">IF(BH546&lt;0,SUBSTITUTE(TEXT(BH546,"000000000000,00"),",",""),SUBSTITUTE(TEXT(BH546,"0000000000000,00"),",",""))</f>
        <v>000000000000000</v>
      </c>
      <c r="BJ546" s="23">
        <f t="shared" si="3400"/>
        <v>0</v>
      </c>
      <c r="BK546" s="49" t="str">
        <f t="shared" ref="BK546" si="3535">IF(BJ546&lt;0,SUBSTITUTE(TEXT(BJ546,"000000000000,00"),",",""),SUBSTITUTE(TEXT(BJ546,"0000000000000,00"),",",""))</f>
        <v>000000000000000</v>
      </c>
      <c r="BL546" s="23">
        <f t="shared" si="3402"/>
        <v>0</v>
      </c>
      <c r="BM546" s="49" t="str">
        <f t="shared" ref="BM546" si="3536">IF(BL546&lt;0,SUBSTITUTE(TEXT(BL546,"000000000000,00"),",",""),SUBSTITUTE(TEXT(BL546,"0000000000000,00"),",",""))</f>
        <v>000000000000000</v>
      </c>
      <c r="BN546" t="str">
        <f t="shared" si="3404"/>
        <v>PES</v>
      </c>
      <c r="BO546" t="str">
        <f t="shared" si="3405"/>
        <v>0001000000</v>
      </c>
      <c r="BP546">
        <f t="shared" si="3406"/>
        <v>0</v>
      </c>
      <c r="BQ546">
        <f t="shared" si="3407"/>
        <v>0</v>
      </c>
      <c r="BR546" s="23">
        <f t="shared" si="3408"/>
        <v>0</v>
      </c>
      <c r="BS546" s="49" t="str">
        <f t="shared" si="3373"/>
        <v>000000000000000</v>
      </c>
      <c r="BT546" t="str">
        <f t="shared" si="3409"/>
        <v>00000000</v>
      </c>
      <c r="BU546" s="23">
        <f t="shared" si="3410"/>
        <v>0</v>
      </c>
      <c r="BV546" s="49" t="str">
        <f t="shared" si="3374"/>
        <v/>
      </c>
      <c r="BW546" s="52" t="str">
        <f t="shared" si="3411"/>
        <v/>
      </c>
      <c r="BX546" s="23">
        <f t="shared" si="3412"/>
        <v>0</v>
      </c>
      <c r="BY546" s="49" t="str">
        <f t="shared" si="3375"/>
        <v/>
      </c>
      <c r="BZ546" s="23">
        <f t="shared" si="3413"/>
        <v>0</v>
      </c>
      <c r="CA546" s="49" t="str">
        <f t="shared" si="3376"/>
        <v/>
      </c>
      <c r="CB546" s="52" t="str">
        <f t="shared" si="3414"/>
        <v/>
      </c>
      <c r="CC546" s="23">
        <f t="shared" si="3415"/>
        <v>0</v>
      </c>
      <c r="CD546" s="49" t="str">
        <f t="shared" si="3377"/>
        <v/>
      </c>
      <c r="CE546" s="56" t="str">
        <f>IF(CF546="","",MAX(CE$10:$CE545)+1)</f>
        <v/>
      </c>
      <c r="CF546" t="str">
        <f t="shared" si="3416"/>
        <v/>
      </c>
      <c r="CG546" s="22" t="str">
        <f>IF(CH546="","",MAX($CG$10:CG545)+1)</f>
        <v/>
      </c>
      <c r="CH546" s="22" t="str">
        <f t="shared" si="3361"/>
        <v/>
      </c>
      <c r="CI546" s="22" t="str">
        <f>IF(CJ546="","",MAX($CI$10:CI545)+1)</f>
        <v/>
      </c>
      <c r="CJ546" s="22" t="str">
        <f t="shared" si="3362"/>
        <v/>
      </c>
    </row>
    <row r="547" spans="2:88" x14ac:dyDescent="0.25">
      <c r="B547" s="37"/>
      <c r="C547" s="3"/>
      <c r="D547" s="77" t="str">
        <f t="shared" si="3348"/>
        <v/>
      </c>
      <c r="E547" s="38"/>
      <c r="F547" s="38"/>
      <c r="G547" s="78">
        <f t="shared" si="3363"/>
        <v>0</v>
      </c>
      <c r="H547" s="3">
        <v>80</v>
      </c>
      <c r="I547" s="77" t="str">
        <f t="shared" si="3349"/>
        <v/>
      </c>
      <c r="J547" s="32"/>
      <c r="K547" s="3"/>
      <c r="L547" s="39"/>
      <c r="M547" s="39"/>
      <c r="N547" s="39"/>
      <c r="O547" s="39"/>
      <c r="P547" s="39"/>
      <c r="Q547" s="39"/>
      <c r="R547" s="39"/>
      <c r="S547" s="39"/>
      <c r="T547" s="3" t="s">
        <v>645</v>
      </c>
      <c r="U547" s="77" t="str">
        <f t="shared" si="3350"/>
        <v/>
      </c>
      <c r="V547" s="39">
        <v>1</v>
      </c>
      <c r="W547" s="79">
        <f t="shared" si="3364"/>
        <v>0</v>
      </c>
      <c r="X547" s="3">
        <v>0</v>
      </c>
      <c r="Y547" s="77" t="str">
        <f t="shared" si="3351"/>
        <v/>
      </c>
      <c r="Z547" s="3"/>
      <c r="AA547" s="37" t="str">
        <f t="shared" si="3365"/>
        <v/>
      </c>
      <c r="AC547" s="40"/>
      <c r="AD547" s="7"/>
      <c r="AE547" s="77" t="str">
        <f t="shared" si="3352"/>
        <v/>
      </c>
      <c r="AF547" s="81">
        <f t="shared" si="3378"/>
        <v>0</v>
      </c>
      <c r="AG547" s="40"/>
      <c r="AH547" s="7"/>
      <c r="AI547" s="77" t="str">
        <f t="shared" si="3353"/>
        <v/>
      </c>
      <c r="AJ547" s="81">
        <f t="shared" si="3379"/>
        <v>0</v>
      </c>
      <c r="AK547" s="83">
        <f t="shared" si="3380"/>
        <v>0</v>
      </c>
      <c r="AL547" s="83">
        <f t="shared" si="3381"/>
        <v>0</v>
      </c>
      <c r="AN547" s="43">
        <f t="shared" si="3354"/>
        <v>0</v>
      </c>
      <c r="AP547" t="str">
        <f t="shared" si="3382"/>
        <v/>
      </c>
      <c r="AQ547" t="str">
        <f t="shared" si="3383"/>
        <v/>
      </c>
      <c r="AR547" t="str">
        <f t="shared" si="3384"/>
        <v/>
      </c>
      <c r="AS547" t="str">
        <f t="shared" si="3385"/>
        <v/>
      </c>
      <c r="AT547" t="str">
        <f t="shared" si="3386"/>
        <v/>
      </c>
      <c r="AU547" t="str">
        <f t="shared" si="3387"/>
        <v/>
      </c>
      <c r="AV547" t="str">
        <f t="shared" si="3388"/>
        <v/>
      </c>
      <c r="AW547" t="str">
        <f t="shared" si="3389"/>
        <v xml:space="preserve">                              </v>
      </c>
      <c r="AX547" s="23">
        <f t="shared" si="3390"/>
        <v>0</v>
      </c>
      <c r="AY547" s="49" t="str">
        <f t="shared" si="3366"/>
        <v>000000000000000</v>
      </c>
      <c r="AZ547" s="23">
        <f t="shared" si="3391"/>
        <v>0</v>
      </c>
      <c r="BA547" s="49" t="str">
        <f t="shared" si="3366"/>
        <v>000000000000000</v>
      </c>
      <c r="BB547" s="23">
        <f t="shared" si="3392"/>
        <v>0</v>
      </c>
      <c r="BC547" s="49" t="str">
        <f t="shared" ref="BC547" si="3537">IF(BB547&lt;0,SUBSTITUTE(TEXT(BB547,"000000000000,00"),",",""),SUBSTITUTE(TEXT(BB547,"0000000000000,00"),",",""))</f>
        <v>000000000000000</v>
      </c>
      <c r="BD547" s="23">
        <f t="shared" si="3394"/>
        <v>0</v>
      </c>
      <c r="BE547" s="49" t="str">
        <f t="shared" ref="BE547" si="3538">IF(BD547&lt;0,SUBSTITUTE(TEXT(BD547,"000000000000,00"),",",""),SUBSTITUTE(TEXT(BD547,"0000000000000,00"),",",""))</f>
        <v>000000000000000</v>
      </c>
      <c r="BF547" s="23">
        <f t="shared" si="3396"/>
        <v>0</v>
      </c>
      <c r="BG547" s="49" t="str">
        <f t="shared" ref="BG547" si="3539">IF(BF547&lt;0,SUBSTITUTE(TEXT(BF547,"000000000000,00"),",",""),SUBSTITUTE(TEXT(BF547,"0000000000000,00"),",",""))</f>
        <v>000000000000000</v>
      </c>
      <c r="BH547" s="23">
        <f t="shared" si="3398"/>
        <v>0</v>
      </c>
      <c r="BI547" s="49" t="str">
        <f t="shared" ref="BI547" si="3540">IF(BH547&lt;0,SUBSTITUTE(TEXT(BH547,"000000000000,00"),",",""),SUBSTITUTE(TEXT(BH547,"0000000000000,00"),",",""))</f>
        <v>000000000000000</v>
      </c>
      <c r="BJ547" s="23">
        <f t="shared" si="3400"/>
        <v>0</v>
      </c>
      <c r="BK547" s="49" t="str">
        <f t="shared" ref="BK547" si="3541">IF(BJ547&lt;0,SUBSTITUTE(TEXT(BJ547,"000000000000,00"),",",""),SUBSTITUTE(TEXT(BJ547,"0000000000000,00"),",",""))</f>
        <v>000000000000000</v>
      </c>
      <c r="BL547" s="23">
        <f t="shared" si="3402"/>
        <v>0</v>
      </c>
      <c r="BM547" s="49" t="str">
        <f t="shared" ref="BM547" si="3542">IF(BL547&lt;0,SUBSTITUTE(TEXT(BL547,"000000000000,00"),",",""),SUBSTITUTE(TEXT(BL547,"0000000000000,00"),",",""))</f>
        <v>000000000000000</v>
      </c>
      <c r="BN547" t="str">
        <f t="shared" si="3404"/>
        <v>PES</v>
      </c>
      <c r="BO547" t="str">
        <f t="shared" si="3405"/>
        <v>0001000000</v>
      </c>
      <c r="BP547">
        <f t="shared" si="3406"/>
        <v>0</v>
      </c>
      <c r="BQ547">
        <f t="shared" si="3407"/>
        <v>0</v>
      </c>
      <c r="BR547" s="23">
        <f t="shared" si="3408"/>
        <v>0</v>
      </c>
      <c r="BS547" s="49" t="str">
        <f t="shared" si="3373"/>
        <v>000000000000000</v>
      </c>
      <c r="BT547" t="str">
        <f t="shared" si="3409"/>
        <v>00000000</v>
      </c>
      <c r="BU547" s="23">
        <f t="shared" si="3410"/>
        <v>0</v>
      </c>
      <c r="BV547" s="49" t="str">
        <f t="shared" si="3374"/>
        <v/>
      </c>
      <c r="BW547" s="52" t="str">
        <f t="shared" si="3411"/>
        <v/>
      </c>
      <c r="BX547" s="23">
        <f t="shared" si="3412"/>
        <v>0</v>
      </c>
      <c r="BY547" s="49" t="str">
        <f t="shared" si="3375"/>
        <v/>
      </c>
      <c r="BZ547" s="23">
        <f t="shared" si="3413"/>
        <v>0</v>
      </c>
      <c r="CA547" s="49" t="str">
        <f t="shared" si="3376"/>
        <v/>
      </c>
      <c r="CB547" s="52" t="str">
        <f t="shared" si="3414"/>
        <v/>
      </c>
      <c r="CC547" s="23">
        <f t="shared" si="3415"/>
        <v>0</v>
      </c>
      <c r="CD547" s="49" t="str">
        <f t="shared" si="3377"/>
        <v/>
      </c>
      <c r="CE547" s="56" t="str">
        <f>IF(CF547="","",MAX(CE$10:$CE546)+1)</f>
        <v/>
      </c>
      <c r="CF547" t="str">
        <f t="shared" si="3416"/>
        <v/>
      </c>
      <c r="CG547" s="22" t="str">
        <f>IF(CH547="","",MAX($CG$10:CG546)+1)</f>
        <v/>
      </c>
      <c r="CH547" s="22" t="str">
        <f t="shared" si="3361"/>
        <v/>
      </c>
      <c r="CI547" s="22" t="str">
        <f>IF(CJ547="","",MAX($CI$10:CI546)+1)</f>
        <v/>
      </c>
      <c r="CJ547" s="22" t="str">
        <f t="shared" si="3362"/>
        <v/>
      </c>
    </row>
    <row r="548" spans="2:88" x14ac:dyDescent="0.25">
      <c r="B548" s="37"/>
      <c r="C548" s="3"/>
      <c r="D548" s="77" t="str">
        <f t="shared" si="3348"/>
        <v/>
      </c>
      <c r="E548" s="38"/>
      <c r="F548" s="38"/>
      <c r="G548" s="78">
        <f t="shared" si="3363"/>
        <v>0</v>
      </c>
      <c r="H548" s="3">
        <v>80</v>
      </c>
      <c r="I548" s="77" t="str">
        <f t="shared" si="3349"/>
        <v/>
      </c>
      <c r="J548" s="32"/>
      <c r="K548" s="3"/>
      <c r="L548" s="39"/>
      <c r="M548" s="39"/>
      <c r="N548" s="39"/>
      <c r="O548" s="39"/>
      <c r="P548" s="39"/>
      <c r="Q548" s="39"/>
      <c r="R548" s="39"/>
      <c r="S548" s="39"/>
      <c r="T548" s="3" t="s">
        <v>645</v>
      </c>
      <c r="U548" s="77" t="str">
        <f t="shared" si="3350"/>
        <v/>
      </c>
      <c r="V548" s="39">
        <v>1</v>
      </c>
      <c r="W548" s="79">
        <f t="shared" si="3364"/>
        <v>0</v>
      </c>
      <c r="X548" s="3">
        <v>0</v>
      </c>
      <c r="Y548" s="77" t="str">
        <f t="shared" si="3351"/>
        <v/>
      </c>
      <c r="Z548" s="3"/>
      <c r="AA548" s="37" t="str">
        <f t="shared" si="3365"/>
        <v/>
      </c>
      <c r="AC548" s="40"/>
      <c r="AD548" s="7"/>
      <c r="AE548" s="77" t="str">
        <f t="shared" si="3352"/>
        <v/>
      </c>
      <c r="AF548" s="81">
        <f t="shared" si="3378"/>
        <v>0</v>
      </c>
      <c r="AG548" s="40"/>
      <c r="AH548" s="7"/>
      <c r="AI548" s="77" t="str">
        <f t="shared" si="3353"/>
        <v/>
      </c>
      <c r="AJ548" s="81">
        <f t="shared" si="3379"/>
        <v>0</v>
      </c>
      <c r="AK548" s="83">
        <f t="shared" si="3380"/>
        <v>0</v>
      </c>
      <c r="AL548" s="83">
        <f t="shared" si="3381"/>
        <v>0</v>
      </c>
      <c r="AN548" s="43">
        <f t="shared" si="3354"/>
        <v>0</v>
      </c>
      <c r="AP548" t="str">
        <f t="shared" si="3382"/>
        <v/>
      </c>
      <c r="AQ548" t="str">
        <f t="shared" si="3383"/>
        <v/>
      </c>
      <c r="AR548" t="str">
        <f t="shared" si="3384"/>
        <v/>
      </c>
      <c r="AS548" t="str">
        <f t="shared" si="3385"/>
        <v/>
      </c>
      <c r="AT548" t="str">
        <f t="shared" si="3386"/>
        <v/>
      </c>
      <c r="AU548" t="str">
        <f t="shared" si="3387"/>
        <v/>
      </c>
      <c r="AV548" t="str">
        <f t="shared" si="3388"/>
        <v/>
      </c>
      <c r="AW548" t="str">
        <f t="shared" si="3389"/>
        <v xml:space="preserve">                              </v>
      </c>
      <c r="AX548" s="23">
        <f t="shared" si="3390"/>
        <v>0</v>
      </c>
      <c r="AY548" s="49" t="str">
        <f t="shared" si="3366"/>
        <v>000000000000000</v>
      </c>
      <c r="AZ548" s="23">
        <f t="shared" si="3391"/>
        <v>0</v>
      </c>
      <c r="BA548" s="49" t="str">
        <f t="shared" si="3366"/>
        <v>000000000000000</v>
      </c>
      <c r="BB548" s="23">
        <f t="shared" si="3392"/>
        <v>0</v>
      </c>
      <c r="BC548" s="49" t="str">
        <f t="shared" ref="BC548" si="3543">IF(BB548&lt;0,SUBSTITUTE(TEXT(BB548,"000000000000,00"),",",""),SUBSTITUTE(TEXT(BB548,"0000000000000,00"),",",""))</f>
        <v>000000000000000</v>
      </c>
      <c r="BD548" s="23">
        <f t="shared" si="3394"/>
        <v>0</v>
      </c>
      <c r="BE548" s="49" t="str">
        <f t="shared" ref="BE548" si="3544">IF(BD548&lt;0,SUBSTITUTE(TEXT(BD548,"000000000000,00"),",",""),SUBSTITUTE(TEXT(BD548,"0000000000000,00"),",",""))</f>
        <v>000000000000000</v>
      </c>
      <c r="BF548" s="23">
        <f t="shared" si="3396"/>
        <v>0</v>
      </c>
      <c r="BG548" s="49" t="str">
        <f t="shared" ref="BG548" si="3545">IF(BF548&lt;0,SUBSTITUTE(TEXT(BF548,"000000000000,00"),",",""),SUBSTITUTE(TEXT(BF548,"0000000000000,00"),",",""))</f>
        <v>000000000000000</v>
      </c>
      <c r="BH548" s="23">
        <f t="shared" si="3398"/>
        <v>0</v>
      </c>
      <c r="BI548" s="49" t="str">
        <f t="shared" ref="BI548" si="3546">IF(BH548&lt;0,SUBSTITUTE(TEXT(BH548,"000000000000,00"),",",""),SUBSTITUTE(TEXT(BH548,"0000000000000,00"),",",""))</f>
        <v>000000000000000</v>
      </c>
      <c r="BJ548" s="23">
        <f t="shared" si="3400"/>
        <v>0</v>
      </c>
      <c r="BK548" s="49" t="str">
        <f t="shared" ref="BK548" si="3547">IF(BJ548&lt;0,SUBSTITUTE(TEXT(BJ548,"000000000000,00"),",",""),SUBSTITUTE(TEXT(BJ548,"0000000000000,00"),",",""))</f>
        <v>000000000000000</v>
      </c>
      <c r="BL548" s="23">
        <f t="shared" si="3402"/>
        <v>0</v>
      </c>
      <c r="BM548" s="49" t="str">
        <f t="shared" ref="BM548" si="3548">IF(BL548&lt;0,SUBSTITUTE(TEXT(BL548,"000000000000,00"),",",""),SUBSTITUTE(TEXT(BL548,"0000000000000,00"),",",""))</f>
        <v>000000000000000</v>
      </c>
      <c r="BN548" t="str">
        <f t="shared" si="3404"/>
        <v>PES</v>
      </c>
      <c r="BO548" t="str">
        <f t="shared" si="3405"/>
        <v>0001000000</v>
      </c>
      <c r="BP548">
        <f t="shared" si="3406"/>
        <v>0</v>
      </c>
      <c r="BQ548">
        <f t="shared" si="3407"/>
        <v>0</v>
      </c>
      <c r="BR548" s="23">
        <f t="shared" si="3408"/>
        <v>0</v>
      </c>
      <c r="BS548" s="49" t="str">
        <f t="shared" si="3373"/>
        <v>000000000000000</v>
      </c>
      <c r="BT548" t="str">
        <f t="shared" si="3409"/>
        <v>00000000</v>
      </c>
      <c r="BU548" s="23">
        <f t="shared" si="3410"/>
        <v>0</v>
      </c>
      <c r="BV548" s="49" t="str">
        <f t="shared" si="3374"/>
        <v/>
      </c>
      <c r="BW548" s="52" t="str">
        <f t="shared" si="3411"/>
        <v/>
      </c>
      <c r="BX548" s="23">
        <f t="shared" si="3412"/>
        <v>0</v>
      </c>
      <c r="BY548" s="49" t="str">
        <f t="shared" si="3375"/>
        <v/>
      </c>
      <c r="BZ548" s="23">
        <f t="shared" si="3413"/>
        <v>0</v>
      </c>
      <c r="CA548" s="49" t="str">
        <f t="shared" si="3376"/>
        <v/>
      </c>
      <c r="CB548" s="52" t="str">
        <f t="shared" si="3414"/>
        <v/>
      </c>
      <c r="CC548" s="23">
        <f t="shared" si="3415"/>
        <v>0</v>
      </c>
      <c r="CD548" s="49" t="str">
        <f t="shared" si="3377"/>
        <v/>
      </c>
      <c r="CE548" s="56" t="str">
        <f>IF(CF548="","",MAX(CE$10:$CE547)+1)</f>
        <v/>
      </c>
      <c r="CF548" t="str">
        <f t="shared" si="3416"/>
        <v/>
      </c>
      <c r="CG548" s="22" t="str">
        <f>IF(CH548="","",MAX($CG$10:CG547)+1)</f>
        <v/>
      </c>
      <c r="CH548" s="22" t="str">
        <f t="shared" si="3361"/>
        <v/>
      </c>
      <c r="CI548" s="22" t="str">
        <f>IF(CJ548="","",MAX($CI$10:CI547)+1)</f>
        <v/>
      </c>
      <c r="CJ548" s="22" t="str">
        <f t="shared" si="3362"/>
        <v/>
      </c>
    </row>
    <row r="549" spans="2:88" x14ac:dyDescent="0.25">
      <c r="B549" s="37"/>
      <c r="C549" s="3"/>
      <c r="D549" s="77" t="str">
        <f t="shared" si="3348"/>
        <v/>
      </c>
      <c r="E549" s="38"/>
      <c r="F549" s="38"/>
      <c r="G549" s="78">
        <f t="shared" si="3363"/>
        <v>0</v>
      </c>
      <c r="H549" s="3">
        <v>80</v>
      </c>
      <c r="I549" s="77" t="str">
        <f t="shared" si="3349"/>
        <v/>
      </c>
      <c r="J549" s="32"/>
      <c r="K549" s="3"/>
      <c r="L549" s="39"/>
      <c r="M549" s="39"/>
      <c r="N549" s="39"/>
      <c r="O549" s="39"/>
      <c r="P549" s="39"/>
      <c r="Q549" s="39"/>
      <c r="R549" s="39"/>
      <c r="S549" s="39"/>
      <c r="T549" s="3" t="s">
        <v>645</v>
      </c>
      <c r="U549" s="77" t="str">
        <f t="shared" si="3350"/>
        <v/>
      </c>
      <c r="V549" s="39">
        <v>1</v>
      </c>
      <c r="W549" s="79">
        <f t="shared" si="3364"/>
        <v>0</v>
      </c>
      <c r="X549" s="3">
        <v>0</v>
      </c>
      <c r="Y549" s="77" t="str">
        <f t="shared" si="3351"/>
        <v/>
      </c>
      <c r="Z549" s="3"/>
      <c r="AA549" s="37" t="str">
        <f t="shared" si="3365"/>
        <v/>
      </c>
      <c r="AC549" s="40"/>
      <c r="AD549" s="7"/>
      <c r="AE549" s="77" t="str">
        <f t="shared" si="3352"/>
        <v/>
      </c>
      <c r="AF549" s="81">
        <f t="shared" si="3378"/>
        <v>0</v>
      </c>
      <c r="AG549" s="40"/>
      <c r="AH549" s="7"/>
      <c r="AI549" s="77" t="str">
        <f t="shared" si="3353"/>
        <v/>
      </c>
      <c r="AJ549" s="81">
        <f t="shared" si="3379"/>
        <v>0</v>
      </c>
      <c r="AK549" s="83">
        <f t="shared" si="3380"/>
        <v>0</v>
      </c>
      <c r="AL549" s="83">
        <f t="shared" si="3381"/>
        <v>0</v>
      </c>
      <c r="AN549" s="43">
        <f t="shared" si="3354"/>
        <v>0</v>
      </c>
      <c r="AP549" t="str">
        <f t="shared" si="3382"/>
        <v/>
      </c>
      <c r="AQ549" t="str">
        <f t="shared" si="3383"/>
        <v/>
      </c>
      <c r="AR549" t="str">
        <f t="shared" si="3384"/>
        <v/>
      </c>
      <c r="AS549" t="str">
        <f t="shared" si="3385"/>
        <v/>
      </c>
      <c r="AT549" t="str">
        <f t="shared" si="3386"/>
        <v/>
      </c>
      <c r="AU549" t="str">
        <f t="shared" si="3387"/>
        <v/>
      </c>
      <c r="AV549" t="str">
        <f t="shared" si="3388"/>
        <v/>
      </c>
      <c r="AW549" t="str">
        <f t="shared" si="3389"/>
        <v xml:space="preserve">                              </v>
      </c>
      <c r="AX549" s="23">
        <f t="shared" si="3390"/>
        <v>0</v>
      </c>
      <c r="AY549" s="49" t="str">
        <f t="shared" si="3366"/>
        <v>000000000000000</v>
      </c>
      <c r="AZ549" s="23">
        <f t="shared" si="3391"/>
        <v>0</v>
      </c>
      <c r="BA549" s="49" t="str">
        <f t="shared" si="3366"/>
        <v>000000000000000</v>
      </c>
      <c r="BB549" s="23">
        <f t="shared" si="3392"/>
        <v>0</v>
      </c>
      <c r="BC549" s="49" t="str">
        <f t="shared" ref="BC549" si="3549">IF(BB549&lt;0,SUBSTITUTE(TEXT(BB549,"000000000000,00"),",",""),SUBSTITUTE(TEXT(BB549,"0000000000000,00"),",",""))</f>
        <v>000000000000000</v>
      </c>
      <c r="BD549" s="23">
        <f t="shared" si="3394"/>
        <v>0</v>
      </c>
      <c r="BE549" s="49" t="str">
        <f t="shared" ref="BE549" si="3550">IF(BD549&lt;0,SUBSTITUTE(TEXT(BD549,"000000000000,00"),",",""),SUBSTITUTE(TEXT(BD549,"0000000000000,00"),",",""))</f>
        <v>000000000000000</v>
      </c>
      <c r="BF549" s="23">
        <f t="shared" si="3396"/>
        <v>0</v>
      </c>
      <c r="BG549" s="49" t="str">
        <f t="shared" ref="BG549" si="3551">IF(BF549&lt;0,SUBSTITUTE(TEXT(BF549,"000000000000,00"),",",""),SUBSTITUTE(TEXT(BF549,"0000000000000,00"),",",""))</f>
        <v>000000000000000</v>
      </c>
      <c r="BH549" s="23">
        <f t="shared" si="3398"/>
        <v>0</v>
      </c>
      <c r="BI549" s="49" t="str">
        <f t="shared" ref="BI549" si="3552">IF(BH549&lt;0,SUBSTITUTE(TEXT(BH549,"000000000000,00"),",",""),SUBSTITUTE(TEXT(BH549,"0000000000000,00"),",",""))</f>
        <v>000000000000000</v>
      </c>
      <c r="BJ549" s="23">
        <f t="shared" si="3400"/>
        <v>0</v>
      </c>
      <c r="BK549" s="49" t="str">
        <f t="shared" ref="BK549" si="3553">IF(BJ549&lt;0,SUBSTITUTE(TEXT(BJ549,"000000000000,00"),",",""),SUBSTITUTE(TEXT(BJ549,"0000000000000,00"),",",""))</f>
        <v>000000000000000</v>
      </c>
      <c r="BL549" s="23">
        <f t="shared" si="3402"/>
        <v>0</v>
      </c>
      <c r="BM549" s="49" t="str">
        <f t="shared" ref="BM549" si="3554">IF(BL549&lt;0,SUBSTITUTE(TEXT(BL549,"000000000000,00"),",",""),SUBSTITUTE(TEXT(BL549,"0000000000000,00"),",",""))</f>
        <v>000000000000000</v>
      </c>
      <c r="BN549" t="str">
        <f t="shared" si="3404"/>
        <v>PES</v>
      </c>
      <c r="BO549" t="str">
        <f t="shared" si="3405"/>
        <v>0001000000</v>
      </c>
      <c r="BP549">
        <f t="shared" si="3406"/>
        <v>0</v>
      </c>
      <c r="BQ549">
        <f t="shared" si="3407"/>
        <v>0</v>
      </c>
      <c r="BR549" s="23">
        <f t="shared" si="3408"/>
        <v>0</v>
      </c>
      <c r="BS549" s="49" t="str">
        <f t="shared" si="3373"/>
        <v>000000000000000</v>
      </c>
      <c r="BT549" t="str">
        <f t="shared" si="3409"/>
        <v>00000000</v>
      </c>
      <c r="BU549" s="23">
        <f t="shared" si="3410"/>
        <v>0</v>
      </c>
      <c r="BV549" s="49" t="str">
        <f t="shared" si="3374"/>
        <v/>
      </c>
      <c r="BW549" s="52" t="str">
        <f t="shared" si="3411"/>
        <v/>
      </c>
      <c r="BX549" s="23">
        <f t="shared" si="3412"/>
        <v>0</v>
      </c>
      <c r="BY549" s="49" t="str">
        <f t="shared" si="3375"/>
        <v/>
      </c>
      <c r="BZ549" s="23">
        <f t="shared" si="3413"/>
        <v>0</v>
      </c>
      <c r="CA549" s="49" t="str">
        <f t="shared" si="3376"/>
        <v/>
      </c>
      <c r="CB549" s="52" t="str">
        <f t="shared" si="3414"/>
        <v/>
      </c>
      <c r="CC549" s="23">
        <f t="shared" si="3415"/>
        <v>0</v>
      </c>
      <c r="CD549" s="49" t="str">
        <f t="shared" si="3377"/>
        <v/>
      </c>
      <c r="CE549" s="56" t="str">
        <f>IF(CF549="","",MAX(CE$10:$CE548)+1)</f>
        <v/>
      </c>
      <c r="CF549" t="str">
        <f t="shared" si="3416"/>
        <v/>
      </c>
      <c r="CG549" s="22" t="str">
        <f>IF(CH549="","",MAX($CG$10:CG548)+1)</f>
        <v/>
      </c>
      <c r="CH549" s="22" t="str">
        <f t="shared" si="3361"/>
        <v/>
      </c>
      <c r="CI549" s="22" t="str">
        <f>IF(CJ549="","",MAX($CI$10:CI548)+1)</f>
        <v/>
      </c>
      <c r="CJ549" s="22" t="str">
        <f t="shared" si="3362"/>
        <v/>
      </c>
    </row>
    <row r="550" spans="2:88" x14ac:dyDescent="0.25">
      <c r="B550" s="37"/>
      <c r="C550" s="3"/>
      <c r="D550" s="77" t="str">
        <f t="shared" si="3348"/>
        <v/>
      </c>
      <c r="E550" s="38"/>
      <c r="F550" s="38"/>
      <c r="G550" s="78">
        <f t="shared" si="3363"/>
        <v>0</v>
      </c>
      <c r="H550" s="3">
        <v>80</v>
      </c>
      <c r="I550" s="77" t="str">
        <f t="shared" si="3349"/>
        <v/>
      </c>
      <c r="J550" s="32"/>
      <c r="K550" s="3"/>
      <c r="L550" s="39"/>
      <c r="M550" s="39"/>
      <c r="N550" s="39"/>
      <c r="O550" s="39"/>
      <c r="P550" s="39"/>
      <c r="Q550" s="39"/>
      <c r="R550" s="39"/>
      <c r="S550" s="39"/>
      <c r="T550" s="3" t="s">
        <v>645</v>
      </c>
      <c r="U550" s="77" t="str">
        <f t="shared" si="3350"/>
        <v/>
      </c>
      <c r="V550" s="39">
        <v>1</v>
      </c>
      <c r="W550" s="79">
        <f t="shared" si="3364"/>
        <v>0</v>
      </c>
      <c r="X550" s="3">
        <v>0</v>
      </c>
      <c r="Y550" s="77" t="str">
        <f t="shared" si="3351"/>
        <v/>
      </c>
      <c r="Z550" s="3"/>
      <c r="AA550" s="37" t="str">
        <f t="shared" si="3365"/>
        <v/>
      </c>
      <c r="AC550" s="40"/>
      <c r="AD550" s="7"/>
      <c r="AE550" s="77" t="str">
        <f t="shared" si="3352"/>
        <v/>
      </c>
      <c r="AF550" s="81">
        <f t="shared" si="3378"/>
        <v>0</v>
      </c>
      <c r="AG550" s="40"/>
      <c r="AH550" s="7"/>
      <c r="AI550" s="77" t="str">
        <f t="shared" si="3353"/>
        <v/>
      </c>
      <c r="AJ550" s="81">
        <f t="shared" si="3379"/>
        <v>0</v>
      </c>
      <c r="AK550" s="83">
        <f t="shared" si="3380"/>
        <v>0</v>
      </c>
      <c r="AL550" s="83">
        <f t="shared" si="3381"/>
        <v>0</v>
      </c>
      <c r="AN550" s="43">
        <f t="shared" si="3354"/>
        <v>0</v>
      </c>
      <c r="AP550" t="str">
        <f t="shared" si="3382"/>
        <v/>
      </c>
      <c r="AQ550" t="str">
        <f t="shared" si="3383"/>
        <v/>
      </c>
      <c r="AR550" t="str">
        <f t="shared" si="3384"/>
        <v/>
      </c>
      <c r="AS550" t="str">
        <f t="shared" si="3385"/>
        <v/>
      </c>
      <c r="AT550" t="str">
        <f t="shared" si="3386"/>
        <v/>
      </c>
      <c r="AU550" t="str">
        <f t="shared" si="3387"/>
        <v/>
      </c>
      <c r="AV550" t="str">
        <f t="shared" si="3388"/>
        <v/>
      </c>
      <c r="AW550" t="str">
        <f t="shared" si="3389"/>
        <v xml:space="preserve">                              </v>
      </c>
      <c r="AX550" s="23">
        <f t="shared" si="3390"/>
        <v>0</v>
      </c>
      <c r="AY550" s="49" t="str">
        <f t="shared" si="3366"/>
        <v>000000000000000</v>
      </c>
      <c r="AZ550" s="23">
        <f t="shared" si="3391"/>
        <v>0</v>
      </c>
      <c r="BA550" s="49" t="str">
        <f t="shared" si="3366"/>
        <v>000000000000000</v>
      </c>
      <c r="BB550" s="23">
        <f t="shared" si="3392"/>
        <v>0</v>
      </c>
      <c r="BC550" s="49" t="str">
        <f t="shared" ref="BC550" si="3555">IF(BB550&lt;0,SUBSTITUTE(TEXT(BB550,"000000000000,00"),",",""),SUBSTITUTE(TEXT(BB550,"0000000000000,00"),",",""))</f>
        <v>000000000000000</v>
      </c>
      <c r="BD550" s="23">
        <f t="shared" si="3394"/>
        <v>0</v>
      </c>
      <c r="BE550" s="49" t="str">
        <f t="shared" ref="BE550" si="3556">IF(BD550&lt;0,SUBSTITUTE(TEXT(BD550,"000000000000,00"),",",""),SUBSTITUTE(TEXT(BD550,"0000000000000,00"),",",""))</f>
        <v>000000000000000</v>
      </c>
      <c r="BF550" s="23">
        <f t="shared" si="3396"/>
        <v>0</v>
      </c>
      <c r="BG550" s="49" t="str">
        <f t="shared" ref="BG550" si="3557">IF(BF550&lt;0,SUBSTITUTE(TEXT(BF550,"000000000000,00"),",",""),SUBSTITUTE(TEXT(BF550,"0000000000000,00"),",",""))</f>
        <v>000000000000000</v>
      </c>
      <c r="BH550" s="23">
        <f t="shared" si="3398"/>
        <v>0</v>
      </c>
      <c r="BI550" s="49" t="str">
        <f t="shared" ref="BI550" si="3558">IF(BH550&lt;0,SUBSTITUTE(TEXT(BH550,"000000000000,00"),",",""),SUBSTITUTE(TEXT(BH550,"0000000000000,00"),",",""))</f>
        <v>000000000000000</v>
      </c>
      <c r="BJ550" s="23">
        <f t="shared" si="3400"/>
        <v>0</v>
      </c>
      <c r="BK550" s="49" t="str">
        <f t="shared" ref="BK550" si="3559">IF(BJ550&lt;0,SUBSTITUTE(TEXT(BJ550,"000000000000,00"),",",""),SUBSTITUTE(TEXT(BJ550,"0000000000000,00"),",",""))</f>
        <v>000000000000000</v>
      </c>
      <c r="BL550" s="23">
        <f t="shared" si="3402"/>
        <v>0</v>
      </c>
      <c r="BM550" s="49" t="str">
        <f t="shared" ref="BM550" si="3560">IF(BL550&lt;0,SUBSTITUTE(TEXT(BL550,"000000000000,00"),",",""),SUBSTITUTE(TEXT(BL550,"0000000000000,00"),",",""))</f>
        <v>000000000000000</v>
      </c>
      <c r="BN550" t="str">
        <f t="shared" si="3404"/>
        <v>PES</v>
      </c>
      <c r="BO550" t="str">
        <f t="shared" si="3405"/>
        <v>0001000000</v>
      </c>
      <c r="BP550">
        <f t="shared" si="3406"/>
        <v>0</v>
      </c>
      <c r="BQ550">
        <f t="shared" si="3407"/>
        <v>0</v>
      </c>
      <c r="BR550" s="23">
        <f t="shared" si="3408"/>
        <v>0</v>
      </c>
      <c r="BS550" s="49" t="str">
        <f t="shared" si="3373"/>
        <v>000000000000000</v>
      </c>
      <c r="BT550" t="str">
        <f t="shared" si="3409"/>
        <v>00000000</v>
      </c>
      <c r="BU550" s="23">
        <f t="shared" si="3410"/>
        <v>0</v>
      </c>
      <c r="BV550" s="49" t="str">
        <f t="shared" si="3374"/>
        <v/>
      </c>
      <c r="BW550" s="52" t="str">
        <f t="shared" si="3411"/>
        <v/>
      </c>
      <c r="BX550" s="23">
        <f t="shared" si="3412"/>
        <v>0</v>
      </c>
      <c r="BY550" s="49" t="str">
        <f t="shared" si="3375"/>
        <v/>
      </c>
      <c r="BZ550" s="23">
        <f t="shared" si="3413"/>
        <v>0</v>
      </c>
      <c r="CA550" s="49" t="str">
        <f t="shared" si="3376"/>
        <v/>
      </c>
      <c r="CB550" s="52" t="str">
        <f t="shared" si="3414"/>
        <v/>
      </c>
      <c r="CC550" s="23">
        <f t="shared" si="3415"/>
        <v>0</v>
      </c>
      <c r="CD550" s="49" t="str">
        <f t="shared" si="3377"/>
        <v/>
      </c>
      <c r="CE550" s="56" t="str">
        <f>IF(CF550="","",MAX(CE$10:$CE549)+1)</f>
        <v/>
      </c>
      <c r="CF550" t="str">
        <f t="shared" si="3416"/>
        <v/>
      </c>
      <c r="CG550" s="22" t="str">
        <f>IF(CH550="","",MAX($CG$10:CG549)+1)</f>
        <v/>
      </c>
      <c r="CH550" s="22" t="str">
        <f t="shared" si="3361"/>
        <v/>
      </c>
      <c r="CI550" s="22" t="str">
        <f>IF(CJ550="","",MAX($CI$10:CI549)+1)</f>
        <v/>
      </c>
      <c r="CJ550" s="22" t="str">
        <f t="shared" si="3362"/>
        <v/>
      </c>
    </row>
    <row r="551" spans="2:88" x14ac:dyDescent="0.25">
      <c r="B551" s="37"/>
      <c r="C551" s="3"/>
      <c r="D551" s="77" t="str">
        <f t="shared" si="3348"/>
        <v/>
      </c>
      <c r="E551" s="38"/>
      <c r="F551" s="38"/>
      <c r="G551" s="78">
        <f t="shared" si="3363"/>
        <v>0</v>
      </c>
      <c r="H551" s="3">
        <v>80</v>
      </c>
      <c r="I551" s="77" t="str">
        <f t="shared" si="3349"/>
        <v/>
      </c>
      <c r="J551" s="32"/>
      <c r="K551" s="3"/>
      <c r="L551" s="39"/>
      <c r="M551" s="39"/>
      <c r="N551" s="39"/>
      <c r="O551" s="39"/>
      <c r="P551" s="39"/>
      <c r="Q551" s="39"/>
      <c r="R551" s="39"/>
      <c r="S551" s="39"/>
      <c r="T551" s="3" t="s">
        <v>645</v>
      </c>
      <c r="U551" s="77" t="str">
        <f t="shared" si="3350"/>
        <v/>
      </c>
      <c r="V551" s="39">
        <v>1</v>
      </c>
      <c r="W551" s="79">
        <f t="shared" si="3364"/>
        <v>0</v>
      </c>
      <c r="X551" s="3">
        <v>0</v>
      </c>
      <c r="Y551" s="77" t="str">
        <f t="shared" si="3351"/>
        <v/>
      </c>
      <c r="Z551" s="3"/>
      <c r="AA551" s="37" t="str">
        <f t="shared" si="3365"/>
        <v/>
      </c>
      <c r="AC551" s="40"/>
      <c r="AD551" s="7"/>
      <c r="AE551" s="77" t="str">
        <f t="shared" si="3352"/>
        <v/>
      </c>
      <c r="AF551" s="81">
        <f t="shared" si="3378"/>
        <v>0</v>
      </c>
      <c r="AG551" s="40"/>
      <c r="AH551" s="7"/>
      <c r="AI551" s="77" t="str">
        <f t="shared" si="3353"/>
        <v/>
      </c>
      <c r="AJ551" s="81">
        <f t="shared" si="3379"/>
        <v>0</v>
      </c>
      <c r="AK551" s="83">
        <f t="shared" si="3380"/>
        <v>0</v>
      </c>
      <c r="AL551" s="83">
        <f t="shared" si="3381"/>
        <v>0</v>
      </c>
      <c r="AN551" s="43">
        <f t="shared" si="3354"/>
        <v>0</v>
      </c>
      <c r="AP551" t="str">
        <f t="shared" si="3382"/>
        <v/>
      </c>
      <c r="AQ551" t="str">
        <f t="shared" si="3383"/>
        <v/>
      </c>
      <c r="AR551" t="str">
        <f t="shared" si="3384"/>
        <v/>
      </c>
      <c r="AS551" t="str">
        <f t="shared" si="3385"/>
        <v/>
      </c>
      <c r="AT551" t="str">
        <f t="shared" si="3386"/>
        <v/>
      </c>
      <c r="AU551" t="str">
        <f t="shared" si="3387"/>
        <v/>
      </c>
      <c r="AV551" t="str">
        <f t="shared" si="3388"/>
        <v/>
      </c>
      <c r="AW551" t="str">
        <f t="shared" si="3389"/>
        <v xml:space="preserve">                              </v>
      </c>
      <c r="AX551" s="23">
        <f t="shared" si="3390"/>
        <v>0</v>
      </c>
      <c r="AY551" s="49" t="str">
        <f t="shared" si="3366"/>
        <v>000000000000000</v>
      </c>
      <c r="AZ551" s="23">
        <f t="shared" si="3391"/>
        <v>0</v>
      </c>
      <c r="BA551" s="49" t="str">
        <f t="shared" si="3366"/>
        <v>000000000000000</v>
      </c>
      <c r="BB551" s="23">
        <f t="shared" si="3392"/>
        <v>0</v>
      </c>
      <c r="BC551" s="49" t="str">
        <f t="shared" ref="BC551" si="3561">IF(BB551&lt;0,SUBSTITUTE(TEXT(BB551,"000000000000,00"),",",""),SUBSTITUTE(TEXT(BB551,"0000000000000,00"),",",""))</f>
        <v>000000000000000</v>
      </c>
      <c r="BD551" s="23">
        <f t="shared" si="3394"/>
        <v>0</v>
      </c>
      <c r="BE551" s="49" t="str">
        <f t="shared" ref="BE551" si="3562">IF(BD551&lt;0,SUBSTITUTE(TEXT(BD551,"000000000000,00"),",",""),SUBSTITUTE(TEXT(BD551,"0000000000000,00"),",",""))</f>
        <v>000000000000000</v>
      </c>
      <c r="BF551" s="23">
        <f t="shared" si="3396"/>
        <v>0</v>
      </c>
      <c r="BG551" s="49" t="str">
        <f t="shared" ref="BG551" si="3563">IF(BF551&lt;0,SUBSTITUTE(TEXT(BF551,"000000000000,00"),",",""),SUBSTITUTE(TEXT(BF551,"0000000000000,00"),",",""))</f>
        <v>000000000000000</v>
      </c>
      <c r="BH551" s="23">
        <f t="shared" si="3398"/>
        <v>0</v>
      </c>
      <c r="BI551" s="49" t="str">
        <f t="shared" ref="BI551" si="3564">IF(BH551&lt;0,SUBSTITUTE(TEXT(BH551,"000000000000,00"),",",""),SUBSTITUTE(TEXT(BH551,"0000000000000,00"),",",""))</f>
        <v>000000000000000</v>
      </c>
      <c r="BJ551" s="23">
        <f t="shared" si="3400"/>
        <v>0</v>
      </c>
      <c r="BK551" s="49" t="str">
        <f t="shared" ref="BK551" si="3565">IF(BJ551&lt;0,SUBSTITUTE(TEXT(BJ551,"000000000000,00"),",",""),SUBSTITUTE(TEXT(BJ551,"0000000000000,00"),",",""))</f>
        <v>000000000000000</v>
      </c>
      <c r="BL551" s="23">
        <f t="shared" si="3402"/>
        <v>0</v>
      </c>
      <c r="BM551" s="49" t="str">
        <f t="shared" ref="BM551" si="3566">IF(BL551&lt;0,SUBSTITUTE(TEXT(BL551,"000000000000,00"),",",""),SUBSTITUTE(TEXT(BL551,"0000000000000,00"),",",""))</f>
        <v>000000000000000</v>
      </c>
      <c r="BN551" t="str">
        <f t="shared" si="3404"/>
        <v>PES</v>
      </c>
      <c r="BO551" t="str">
        <f t="shared" si="3405"/>
        <v>0001000000</v>
      </c>
      <c r="BP551">
        <f t="shared" si="3406"/>
        <v>0</v>
      </c>
      <c r="BQ551">
        <f t="shared" si="3407"/>
        <v>0</v>
      </c>
      <c r="BR551" s="23">
        <f t="shared" si="3408"/>
        <v>0</v>
      </c>
      <c r="BS551" s="49" t="str">
        <f t="shared" si="3373"/>
        <v>000000000000000</v>
      </c>
      <c r="BT551" t="str">
        <f t="shared" si="3409"/>
        <v>00000000</v>
      </c>
      <c r="BU551" s="23">
        <f t="shared" si="3410"/>
        <v>0</v>
      </c>
      <c r="BV551" s="49" t="str">
        <f t="shared" si="3374"/>
        <v/>
      </c>
      <c r="BW551" s="52" t="str">
        <f t="shared" si="3411"/>
        <v/>
      </c>
      <c r="BX551" s="23">
        <f t="shared" si="3412"/>
        <v>0</v>
      </c>
      <c r="BY551" s="49" t="str">
        <f t="shared" si="3375"/>
        <v/>
      </c>
      <c r="BZ551" s="23">
        <f t="shared" si="3413"/>
        <v>0</v>
      </c>
      <c r="CA551" s="49" t="str">
        <f t="shared" si="3376"/>
        <v/>
      </c>
      <c r="CB551" s="52" t="str">
        <f t="shared" si="3414"/>
        <v/>
      </c>
      <c r="CC551" s="23">
        <f t="shared" si="3415"/>
        <v>0</v>
      </c>
      <c r="CD551" s="49" t="str">
        <f t="shared" si="3377"/>
        <v/>
      </c>
      <c r="CE551" s="56" t="str">
        <f>IF(CF551="","",MAX(CE$10:$CE550)+1)</f>
        <v/>
      </c>
      <c r="CF551" t="str">
        <f t="shared" si="3416"/>
        <v/>
      </c>
      <c r="CG551" s="22" t="str">
        <f>IF(CH551="","",MAX($CG$10:CG550)+1)</f>
        <v/>
      </c>
      <c r="CH551" s="22" t="str">
        <f t="shared" si="3361"/>
        <v/>
      </c>
      <c r="CI551" s="22" t="str">
        <f>IF(CJ551="","",MAX($CI$10:CI550)+1)</f>
        <v/>
      </c>
      <c r="CJ551" s="22" t="str">
        <f t="shared" si="3362"/>
        <v/>
      </c>
    </row>
    <row r="552" spans="2:88" x14ac:dyDescent="0.25">
      <c r="B552" s="37"/>
      <c r="C552" s="3"/>
      <c r="D552" s="77" t="str">
        <f t="shared" si="3348"/>
        <v/>
      </c>
      <c r="E552" s="38"/>
      <c r="F552" s="38"/>
      <c r="G552" s="78">
        <f t="shared" si="3363"/>
        <v>0</v>
      </c>
      <c r="H552" s="3">
        <v>80</v>
      </c>
      <c r="I552" s="77" t="str">
        <f t="shared" si="3349"/>
        <v/>
      </c>
      <c r="J552" s="32"/>
      <c r="K552" s="3"/>
      <c r="L552" s="39"/>
      <c r="M552" s="39"/>
      <c r="N552" s="39"/>
      <c r="O552" s="39"/>
      <c r="P552" s="39"/>
      <c r="Q552" s="39"/>
      <c r="R552" s="39"/>
      <c r="S552" s="39"/>
      <c r="T552" s="3" t="s">
        <v>645</v>
      </c>
      <c r="U552" s="77" t="str">
        <f t="shared" si="3350"/>
        <v/>
      </c>
      <c r="V552" s="39">
        <v>1</v>
      </c>
      <c r="W552" s="79">
        <f t="shared" si="3364"/>
        <v>0</v>
      </c>
      <c r="X552" s="3">
        <v>0</v>
      </c>
      <c r="Y552" s="77" t="str">
        <f t="shared" si="3351"/>
        <v/>
      </c>
      <c r="Z552" s="3"/>
      <c r="AA552" s="37" t="str">
        <f t="shared" si="3365"/>
        <v/>
      </c>
      <c r="AC552" s="40"/>
      <c r="AD552" s="7"/>
      <c r="AE552" s="77" t="str">
        <f t="shared" si="3352"/>
        <v/>
      </c>
      <c r="AF552" s="81">
        <f t="shared" si="3378"/>
        <v>0</v>
      </c>
      <c r="AG552" s="40"/>
      <c r="AH552" s="7"/>
      <c r="AI552" s="77" t="str">
        <f t="shared" si="3353"/>
        <v/>
      </c>
      <c r="AJ552" s="81">
        <f t="shared" si="3379"/>
        <v>0</v>
      </c>
      <c r="AK552" s="83">
        <f t="shared" si="3380"/>
        <v>0</v>
      </c>
      <c r="AL552" s="83">
        <f t="shared" si="3381"/>
        <v>0</v>
      </c>
      <c r="AN552" s="43">
        <f t="shared" si="3354"/>
        <v>0</v>
      </c>
      <c r="AP552" t="str">
        <f t="shared" si="3382"/>
        <v/>
      </c>
      <c r="AQ552" t="str">
        <f t="shared" si="3383"/>
        <v/>
      </c>
      <c r="AR552" t="str">
        <f t="shared" si="3384"/>
        <v/>
      </c>
      <c r="AS552" t="str">
        <f t="shared" si="3385"/>
        <v/>
      </c>
      <c r="AT552" t="str">
        <f t="shared" si="3386"/>
        <v/>
      </c>
      <c r="AU552" t="str">
        <f t="shared" si="3387"/>
        <v/>
      </c>
      <c r="AV552" t="str">
        <f t="shared" si="3388"/>
        <v/>
      </c>
      <c r="AW552" t="str">
        <f t="shared" si="3389"/>
        <v xml:space="preserve">                              </v>
      </c>
      <c r="AX552" s="23">
        <f t="shared" si="3390"/>
        <v>0</v>
      </c>
      <c r="AY552" s="49" t="str">
        <f t="shared" si="3366"/>
        <v>000000000000000</v>
      </c>
      <c r="AZ552" s="23">
        <f t="shared" si="3391"/>
        <v>0</v>
      </c>
      <c r="BA552" s="49" t="str">
        <f t="shared" si="3366"/>
        <v>000000000000000</v>
      </c>
      <c r="BB552" s="23">
        <f t="shared" si="3392"/>
        <v>0</v>
      </c>
      <c r="BC552" s="49" t="str">
        <f t="shared" ref="BC552" si="3567">IF(BB552&lt;0,SUBSTITUTE(TEXT(BB552,"000000000000,00"),",",""),SUBSTITUTE(TEXT(BB552,"0000000000000,00"),",",""))</f>
        <v>000000000000000</v>
      </c>
      <c r="BD552" s="23">
        <f t="shared" si="3394"/>
        <v>0</v>
      </c>
      <c r="BE552" s="49" t="str">
        <f t="shared" ref="BE552" si="3568">IF(BD552&lt;0,SUBSTITUTE(TEXT(BD552,"000000000000,00"),",",""),SUBSTITUTE(TEXT(BD552,"0000000000000,00"),",",""))</f>
        <v>000000000000000</v>
      </c>
      <c r="BF552" s="23">
        <f t="shared" si="3396"/>
        <v>0</v>
      </c>
      <c r="BG552" s="49" t="str">
        <f t="shared" ref="BG552" si="3569">IF(BF552&lt;0,SUBSTITUTE(TEXT(BF552,"000000000000,00"),",",""),SUBSTITUTE(TEXT(BF552,"0000000000000,00"),",",""))</f>
        <v>000000000000000</v>
      </c>
      <c r="BH552" s="23">
        <f t="shared" si="3398"/>
        <v>0</v>
      </c>
      <c r="BI552" s="49" t="str">
        <f t="shared" ref="BI552" si="3570">IF(BH552&lt;0,SUBSTITUTE(TEXT(BH552,"000000000000,00"),",",""),SUBSTITUTE(TEXT(BH552,"0000000000000,00"),",",""))</f>
        <v>000000000000000</v>
      </c>
      <c r="BJ552" s="23">
        <f t="shared" si="3400"/>
        <v>0</v>
      </c>
      <c r="BK552" s="49" t="str">
        <f t="shared" ref="BK552" si="3571">IF(BJ552&lt;0,SUBSTITUTE(TEXT(BJ552,"000000000000,00"),",",""),SUBSTITUTE(TEXT(BJ552,"0000000000000,00"),",",""))</f>
        <v>000000000000000</v>
      </c>
      <c r="BL552" s="23">
        <f t="shared" si="3402"/>
        <v>0</v>
      </c>
      <c r="BM552" s="49" t="str">
        <f t="shared" ref="BM552" si="3572">IF(BL552&lt;0,SUBSTITUTE(TEXT(BL552,"000000000000,00"),",",""),SUBSTITUTE(TEXT(BL552,"0000000000000,00"),",",""))</f>
        <v>000000000000000</v>
      </c>
      <c r="BN552" t="str">
        <f t="shared" si="3404"/>
        <v>PES</v>
      </c>
      <c r="BO552" t="str">
        <f t="shared" si="3405"/>
        <v>0001000000</v>
      </c>
      <c r="BP552">
        <f t="shared" si="3406"/>
        <v>0</v>
      </c>
      <c r="BQ552">
        <f t="shared" si="3407"/>
        <v>0</v>
      </c>
      <c r="BR552" s="23">
        <f t="shared" si="3408"/>
        <v>0</v>
      </c>
      <c r="BS552" s="49" t="str">
        <f t="shared" si="3373"/>
        <v>000000000000000</v>
      </c>
      <c r="BT552" t="str">
        <f t="shared" si="3409"/>
        <v>00000000</v>
      </c>
      <c r="BU552" s="23">
        <f t="shared" si="3410"/>
        <v>0</v>
      </c>
      <c r="BV552" s="49" t="str">
        <f t="shared" si="3374"/>
        <v/>
      </c>
      <c r="BW552" s="52" t="str">
        <f t="shared" si="3411"/>
        <v/>
      </c>
      <c r="BX552" s="23">
        <f t="shared" si="3412"/>
        <v>0</v>
      </c>
      <c r="BY552" s="49" t="str">
        <f t="shared" si="3375"/>
        <v/>
      </c>
      <c r="BZ552" s="23">
        <f t="shared" si="3413"/>
        <v>0</v>
      </c>
      <c r="CA552" s="49" t="str">
        <f t="shared" si="3376"/>
        <v/>
      </c>
      <c r="CB552" s="52" t="str">
        <f t="shared" si="3414"/>
        <v/>
      </c>
      <c r="CC552" s="23">
        <f t="shared" si="3415"/>
        <v>0</v>
      </c>
      <c r="CD552" s="49" t="str">
        <f t="shared" si="3377"/>
        <v/>
      </c>
      <c r="CE552" s="56" t="str">
        <f>IF(CF552="","",MAX(CE$10:$CE551)+1)</f>
        <v/>
      </c>
      <c r="CF552" t="str">
        <f t="shared" si="3416"/>
        <v/>
      </c>
      <c r="CG552" s="22" t="str">
        <f>IF(CH552="","",MAX($CG$10:CG551)+1)</f>
        <v/>
      </c>
      <c r="CH552" s="22" t="str">
        <f t="shared" si="3361"/>
        <v/>
      </c>
      <c r="CI552" s="22" t="str">
        <f>IF(CJ552="","",MAX($CI$10:CI551)+1)</f>
        <v/>
      </c>
      <c r="CJ552" s="22" t="str">
        <f t="shared" si="3362"/>
        <v/>
      </c>
    </row>
    <row r="553" spans="2:88" x14ac:dyDescent="0.25">
      <c r="B553" s="37"/>
      <c r="C553" s="3"/>
      <c r="D553" s="77" t="str">
        <f t="shared" si="3348"/>
        <v/>
      </c>
      <c r="E553" s="38"/>
      <c r="F553" s="38"/>
      <c r="G553" s="78">
        <f t="shared" si="3363"/>
        <v>0</v>
      </c>
      <c r="H553" s="3">
        <v>80</v>
      </c>
      <c r="I553" s="77" t="str">
        <f t="shared" si="3349"/>
        <v/>
      </c>
      <c r="J553" s="32"/>
      <c r="K553" s="3"/>
      <c r="L553" s="39"/>
      <c r="M553" s="39"/>
      <c r="N553" s="39"/>
      <c r="O553" s="39"/>
      <c r="P553" s="39"/>
      <c r="Q553" s="39"/>
      <c r="R553" s="39"/>
      <c r="S553" s="39"/>
      <c r="T553" s="3" t="s">
        <v>645</v>
      </c>
      <c r="U553" s="77" t="str">
        <f t="shared" si="3350"/>
        <v/>
      </c>
      <c r="V553" s="39">
        <v>1</v>
      </c>
      <c r="W553" s="79">
        <f t="shared" si="3364"/>
        <v>0</v>
      </c>
      <c r="X553" s="3">
        <v>0</v>
      </c>
      <c r="Y553" s="77" t="str">
        <f t="shared" si="3351"/>
        <v/>
      </c>
      <c r="Z553" s="3"/>
      <c r="AA553" s="37" t="str">
        <f t="shared" si="3365"/>
        <v/>
      </c>
      <c r="AC553" s="40"/>
      <c r="AD553" s="7"/>
      <c r="AE553" s="77" t="str">
        <f t="shared" si="3352"/>
        <v/>
      </c>
      <c r="AF553" s="81">
        <f t="shared" si="3378"/>
        <v>0</v>
      </c>
      <c r="AG553" s="40"/>
      <c r="AH553" s="7"/>
      <c r="AI553" s="77" t="str">
        <f t="shared" si="3353"/>
        <v/>
      </c>
      <c r="AJ553" s="81">
        <f t="shared" si="3379"/>
        <v>0</v>
      </c>
      <c r="AK553" s="83">
        <f t="shared" si="3380"/>
        <v>0</v>
      </c>
      <c r="AL553" s="83">
        <f t="shared" si="3381"/>
        <v>0</v>
      </c>
      <c r="AN553" s="43">
        <f t="shared" si="3354"/>
        <v>0</v>
      </c>
      <c r="AP553" t="str">
        <f t="shared" si="3382"/>
        <v/>
      </c>
      <c r="AQ553" t="str">
        <f t="shared" si="3383"/>
        <v/>
      </c>
      <c r="AR553" t="str">
        <f t="shared" si="3384"/>
        <v/>
      </c>
      <c r="AS553" t="str">
        <f t="shared" si="3385"/>
        <v/>
      </c>
      <c r="AT553" t="str">
        <f t="shared" si="3386"/>
        <v/>
      </c>
      <c r="AU553" t="str">
        <f t="shared" si="3387"/>
        <v/>
      </c>
      <c r="AV553" t="str">
        <f t="shared" si="3388"/>
        <v/>
      </c>
      <c r="AW553" t="str">
        <f t="shared" si="3389"/>
        <v xml:space="preserve">                              </v>
      </c>
      <c r="AX553" s="23">
        <f t="shared" si="3390"/>
        <v>0</v>
      </c>
      <c r="AY553" s="49" t="str">
        <f t="shared" si="3366"/>
        <v>000000000000000</v>
      </c>
      <c r="AZ553" s="23">
        <f t="shared" si="3391"/>
        <v>0</v>
      </c>
      <c r="BA553" s="49" t="str">
        <f t="shared" si="3366"/>
        <v>000000000000000</v>
      </c>
      <c r="BB553" s="23">
        <f t="shared" si="3392"/>
        <v>0</v>
      </c>
      <c r="BC553" s="49" t="str">
        <f t="shared" ref="BC553" si="3573">IF(BB553&lt;0,SUBSTITUTE(TEXT(BB553,"000000000000,00"),",",""),SUBSTITUTE(TEXT(BB553,"0000000000000,00"),",",""))</f>
        <v>000000000000000</v>
      </c>
      <c r="BD553" s="23">
        <f t="shared" si="3394"/>
        <v>0</v>
      </c>
      <c r="BE553" s="49" t="str">
        <f t="shared" ref="BE553" si="3574">IF(BD553&lt;0,SUBSTITUTE(TEXT(BD553,"000000000000,00"),",",""),SUBSTITUTE(TEXT(BD553,"0000000000000,00"),",",""))</f>
        <v>000000000000000</v>
      </c>
      <c r="BF553" s="23">
        <f t="shared" si="3396"/>
        <v>0</v>
      </c>
      <c r="BG553" s="49" t="str">
        <f t="shared" ref="BG553" si="3575">IF(BF553&lt;0,SUBSTITUTE(TEXT(BF553,"000000000000,00"),",",""),SUBSTITUTE(TEXT(BF553,"0000000000000,00"),",",""))</f>
        <v>000000000000000</v>
      </c>
      <c r="BH553" s="23">
        <f t="shared" si="3398"/>
        <v>0</v>
      </c>
      <c r="BI553" s="49" t="str">
        <f t="shared" ref="BI553" si="3576">IF(BH553&lt;0,SUBSTITUTE(TEXT(BH553,"000000000000,00"),",",""),SUBSTITUTE(TEXT(BH553,"0000000000000,00"),",",""))</f>
        <v>000000000000000</v>
      </c>
      <c r="BJ553" s="23">
        <f t="shared" si="3400"/>
        <v>0</v>
      </c>
      <c r="BK553" s="49" t="str">
        <f t="shared" ref="BK553" si="3577">IF(BJ553&lt;0,SUBSTITUTE(TEXT(BJ553,"000000000000,00"),",",""),SUBSTITUTE(TEXT(BJ553,"0000000000000,00"),",",""))</f>
        <v>000000000000000</v>
      </c>
      <c r="BL553" s="23">
        <f t="shared" si="3402"/>
        <v>0</v>
      </c>
      <c r="BM553" s="49" t="str">
        <f t="shared" ref="BM553" si="3578">IF(BL553&lt;0,SUBSTITUTE(TEXT(BL553,"000000000000,00"),",",""),SUBSTITUTE(TEXT(BL553,"0000000000000,00"),",",""))</f>
        <v>000000000000000</v>
      </c>
      <c r="BN553" t="str">
        <f t="shared" si="3404"/>
        <v>PES</v>
      </c>
      <c r="BO553" t="str">
        <f t="shared" si="3405"/>
        <v>0001000000</v>
      </c>
      <c r="BP553">
        <f t="shared" si="3406"/>
        <v>0</v>
      </c>
      <c r="BQ553">
        <f t="shared" si="3407"/>
        <v>0</v>
      </c>
      <c r="BR553" s="23">
        <f t="shared" si="3408"/>
        <v>0</v>
      </c>
      <c r="BS553" s="49" t="str">
        <f t="shared" si="3373"/>
        <v>000000000000000</v>
      </c>
      <c r="BT553" t="str">
        <f t="shared" si="3409"/>
        <v>00000000</v>
      </c>
      <c r="BU553" s="23">
        <f t="shared" si="3410"/>
        <v>0</v>
      </c>
      <c r="BV553" s="49" t="str">
        <f t="shared" si="3374"/>
        <v/>
      </c>
      <c r="BW553" s="52" t="str">
        <f t="shared" si="3411"/>
        <v/>
      </c>
      <c r="BX553" s="23">
        <f t="shared" si="3412"/>
        <v>0</v>
      </c>
      <c r="BY553" s="49" t="str">
        <f t="shared" si="3375"/>
        <v/>
      </c>
      <c r="BZ553" s="23">
        <f t="shared" si="3413"/>
        <v>0</v>
      </c>
      <c r="CA553" s="49" t="str">
        <f t="shared" si="3376"/>
        <v/>
      </c>
      <c r="CB553" s="52" t="str">
        <f t="shared" si="3414"/>
        <v/>
      </c>
      <c r="CC553" s="23">
        <f t="shared" si="3415"/>
        <v>0</v>
      </c>
      <c r="CD553" s="49" t="str">
        <f t="shared" si="3377"/>
        <v/>
      </c>
      <c r="CE553" s="56" t="str">
        <f>IF(CF553="","",MAX(CE$10:$CE552)+1)</f>
        <v/>
      </c>
      <c r="CF553" t="str">
        <f t="shared" si="3416"/>
        <v/>
      </c>
      <c r="CG553" s="22" t="str">
        <f>IF(CH553="","",MAX($CG$10:CG552)+1)</f>
        <v/>
      </c>
      <c r="CH553" s="22" t="str">
        <f t="shared" si="3361"/>
        <v/>
      </c>
      <c r="CI553" s="22" t="str">
        <f>IF(CJ553="","",MAX($CI$10:CI552)+1)</f>
        <v/>
      </c>
      <c r="CJ553" s="22" t="str">
        <f t="shared" si="3362"/>
        <v/>
      </c>
    </row>
    <row r="554" spans="2:88" x14ac:dyDescent="0.25">
      <c r="B554" s="37"/>
      <c r="C554" s="3"/>
      <c r="D554" s="77" t="str">
        <f t="shared" si="3348"/>
        <v/>
      </c>
      <c r="E554" s="38"/>
      <c r="F554" s="38"/>
      <c r="G554" s="78">
        <f t="shared" si="3363"/>
        <v>0</v>
      </c>
      <c r="H554" s="3">
        <v>80</v>
      </c>
      <c r="I554" s="77" t="str">
        <f t="shared" si="3349"/>
        <v/>
      </c>
      <c r="J554" s="32"/>
      <c r="K554" s="3"/>
      <c r="L554" s="39"/>
      <c r="M554" s="39"/>
      <c r="N554" s="39"/>
      <c r="O554" s="39"/>
      <c r="P554" s="39"/>
      <c r="Q554" s="39"/>
      <c r="R554" s="39"/>
      <c r="S554" s="39"/>
      <c r="T554" s="3" t="s">
        <v>645</v>
      </c>
      <c r="U554" s="77" t="str">
        <f t="shared" si="3350"/>
        <v/>
      </c>
      <c r="V554" s="39">
        <v>1</v>
      </c>
      <c r="W554" s="79">
        <f t="shared" si="3364"/>
        <v>0</v>
      </c>
      <c r="X554" s="3">
        <v>0</v>
      </c>
      <c r="Y554" s="77" t="str">
        <f t="shared" si="3351"/>
        <v/>
      </c>
      <c r="Z554" s="3"/>
      <c r="AA554" s="37" t="str">
        <f t="shared" si="3365"/>
        <v/>
      </c>
      <c r="AC554" s="40"/>
      <c r="AD554" s="7"/>
      <c r="AE554" s="77" t="str">
        <f t="shared" si="3352"/>
        <v/>
      </c>
      <c r="AF554" s="81">
        <f t="shared" si="3378"/>
        <v>0</v>
      </c>
      <c r="AG554" s="40"/>
      <c r="AH554" s="7"/>
      <c r="AI554" s="77" t="str">
        <f t="shared" si="3353"/>
        <v/>
      </c>
      <c r="AJ554" s="81">
        <f t="shared" si="3379"/>
        <v>0</v>
      </c>
      <c r="AK554" s="83">
        <f t="shared" si="3380"/>
        <v>0</v>
      </c>
      <c r="AL554" s="83">
        <f t="shared" si="3381"/>
        <v>0</v>
      </c>
      <c r="AN554" s="43">
        <f t="shared" si="3354"/>
        <v>0</v>
      </c>
      <c r="AP554" t="str">
        <f t="shared" si="3382"/>
        <v/>
      </c>
      <c r="AQ554" t="str">
        <f t="shared" si="3383"/>
        <v/>
      </c>
      <c r="AR554" t="str">
        <f t="shared" si="3384"/>
        <v/>
      </c>
      <c r="AS554" t="str">
        <f t="shared" si="3385"/>
        <v/>
      </c>
      <c r="AT554" t="str">
        <f t="shared" si="3386"/>
        <v/>
      </c>
      <c r="AU554" t="str">
        <f t="shared" si="3387"/>
        <v/>
      </c>
      <c r="AV554" t="str">
        <f t="shared" si="3388"/>
        <v/>
      </c>
      <c r="AW554" t="str">
        <f t="shared" si="3389"/>
        <v xml:space="preserve">                              </v>
      </c>
      <c r="AX554" s="23">
        <f t="shared" si="3390"/>
        <v>0</v>
      </c>
      <c r="AY554" s="49" t="str">
        <f t="shared" si="3366"/>
        <v>000000000000000</v>
      </c>
      <c r="AZ554" s="23">
        <f t="shared" si="3391"/>
        <v>0</v>
      </c>
      <c r="BA554" s="49" t="str">
        <f t="shared" si="3366"/>
        <v>000000000000000</v>
      </c>
      <c r="BB554" s="23">
        <f t="shared" si="3392"/>
        <v>0</v>
      </c>
      <c r="BC554" s="49" t="str">
        <f t="shared" ref="BC554" si="3579">IF(BB554&lt;0,SUBSTITUTE(TEXT(BB554,"000000000000,00"),",",""),SUBSTITUTE(TEXT(BB554,"0000000000000,00"),",",""))</f>
        <v>000000000000000</v>
      </c>
      <c r="BD554" s="23">
        <f t="shared" si="3394"/>
        <v>0</v>
      </c>
      <c r="BE554" s="49" t="str">
        <f t="shared" ref="BE554" si="3580">IF(BD554&lt;0,SUBSTITUTE(TEXT(BD554,"000000000000,00"),",",""),SUBSTITUTE(TEXT(BD554,"0000000000000,00"),",",""))</f>
        <v>000000000000000</v>
      </c>
      <c r="BF554" s="23">
        <f t="shared" si="3396"/>
        <v>0</v>
      </c>
      <c r="BG554" s="49" t="str">
        <f t="shared" ref="BG554" si="3581">IF(BF554&lt;0,SUBSTITUTE(TEXT(BF554,"000000000000,00"),",",""),SUBSTITUTE(TEXT(BF554,"0000000000000,00"),",",""))</f>
        <v>000000000000000</v>
      </c>
      <c r="BH554" s="23">
        <f t="shared" si="3398"/>
        <v>0</v>
      </c>
      <c r="BI554" s="49" t="str">
        <f t="shared" ref="BI554" si="3582">IF(BH554&lt;0,SUBSTITUTE(TEXT(BH554,"000000000000,00"),",",""),SUBSTITUTE(TEXT(BH554,"0000000000000,00"),",",""))</f>
        <v>000000000000000</v>
      </c>
      <c r="BJ554" s="23">
        <f t="shared" si="3400"/>
        <v>0</v>
      </c>
      <c r="BK554" s="49" t="str">
        <f t="shared" ref="BK554" si="3583">IF(BJ554&lt;0,SUBSTITUTE(TEXT(BJ554,"000000000000,00"),",",""),SUBSTITUTE(TEXT(BJ554,"0000000000000,00"),",",""))</f>
        <v>000000000000000</v>
      </c>
      <c r="BL554" s="23">
        <f t="shared" si="3402"/>
        <v>0</v>
      </c>
      <c r="BM554" s="49" t="str">
        <f t="shared" ref="BM554" si="3584">IF(BL554&lt;0,SUBSTITUTE(TEXT(BL554,"000000000000,00"),",",""),SUBSTITUTE(TEXT(BL554,"0000000000000,00"),",",""))</f>
        <v>000000000000000</v>
      </c>
      <c r="BN554" t="str">
        <f t="shared" si="3404"/>
        <v>PES</v>
      </c>
      <c r="BO554" t="str">
        <f t="shared" si="3405"/>
        <v>0001000000</v>
      </c>
      <c r="BP554">
        <f t="shared" si="3406"/>
        <v>0</v>
      </c>
      <c r="BQ554">
        <f t="shared" si="3407"/>
        <v>0</v>
      </c>
      <c r="BR554" s="23">
        <f t="shared" si="3408"/>
        <v>0</v>
      </c>
      <c r="BS554" s="49" t="str">
        <f t="shared" si="3373"/>
        <v>000000000000000</v>
      </c>
      <c r="BT554" t="str">
        <f t="shared" si="3409"/>
        <v>00000000</v>
      </c>
      <c r="BU554" s="23">
        <f t="shared" si="3410"/>
        <v>0</v>
      </c>
      <c r="BV554" s="49" t="str">
        <f t="shared" si="3374"/>
        <v/>
      </c>
      <c r="BW554" s="52" t="str">
        <f t="shared" si="3411"/>
        <v/>
      </c>
      <c r="BX554" s="23">
        <f t="shared" si="3412"/>
        <v>0</v>
      </c>
      <c r="BY554" s="49" t="str">
        <f t="shared" si="3375"/>
        <v/>
      </c>
      <c r="BZ554" s="23">
        <f t="shared" si="3413"/>
        <v>0</v>
      </c>
      <c r="CA554" s="49" t="str">
        <f t="shared" si="3376"/>
        <v/>
      </c>
      <c r="CB554" s="52" t="str">
        <f t="shared" si="3414"/>
        <v/>
      </c>
      <c r="CC554" s="23">
        <f t="shared" si="3415"/>
        <v>0</v>
      </c>
      <c r="CD554" s="49" t="str">
        <f t="shared" si="3377"/>
        <v/>
      </c>
      <c r="CE554" s="56" t="str">
        <f>IF(CF554="","",MAX(CE$10:$CE553)+1)</f>
        <v/>
      </c>
      <c r="CF554" t="str">
        <f t="shared" si="3416"/>
        <v/>
      </c>
      <c r="CG554" s="22" t="str">
        <f>IF(CH554="","",MAX($CG$10:CG553)+1)</f>
        <v/>
      </c>
      <c r="CH554" s="22" t="str">
        <f t="shared" si="3361"/>
        <v/>
      </c>
      <c r="CI554" s="22" t="str">
        <f>IF(CJ554="","",MAX($CI$10:CI553)+1)</f>
        <v/>
      </c>
      <c r="CJ554" s="22" t="str">
        <f t="shared" si="3362"/>
        <v/>
      </c>
    </row>
    <row r="555" spans="2:88" x14ac:dyDescent="0.25">
      <c r="B555" s="37"/>
      <c r="C555" s="3"/>
      <c r="D555" s="77" t="str">
        <f t="shared" si="3348"/>
        <v/>
      </c>
      <c r="E555" s="38"/>
      <c r="F555" s="38"/>
      <c r="G555" s="78">
        <f t="shared" si="3363"/>
        <v>0</v>
      </c>
      <c r="H555" s="3">
        <v>80</v>
      </c>
      <c r="I555" s="77" t="str">
        <f t="shared" si="3349"/>
        <v/>
      </c>
      <c r="J555" s="32"/>
      <c r="K555" s="3"/>
      <c r="L555" s="39"/>
      <c r="M555" s="39"/>
      <c r="N555" s="39"/>
      <c r="O555" s="39"/>
      <c r="P555" s="39"/>
      <c r="Q555" s="39"/>
      <c r="R555" s="39"/>
      <c r="S555" s="39"/>
      <c r="T555" s="3" t="s">
        <v>645</v>
      </c>
      <c r="U555" s="77" t="str">
        <f t="shared" si="3350"/>
        <v/>
      </c>
      <c r="V555" s="39">
        <v>1</v>
      </c>
      <c r="W555" s="79">
        <f t="shared" si="3364"/>
        <v>0</v>
      </c>
      <c r="X555" s="3">
        <v>0</v>
      </c>
      <c r="Y555" s="77" t="str">
        <f t="shared" si="3351"/>
        <v/>
      </c>
      <c r="Z555" s="3"/>
      <c r="AA555" s="37" t="str">
        <f t="shared" si="3365"/>
        <v/>
      </c>
      <c r="AC555" s="40"/>
      <c r="AD555" s="7"/>
      <c r="AE555" s="77" t="str">
        <f t="shared" si="3352"/>
        <v/>
      </c>
      <c r="AF555" s="81">
        <f t="shared" si="3378"/>
        <v>0</v>
      </c>
      <c r="AG555" s="40"/>
      <c r="AH555" s="7"/>
      <c r="AI555" s="77" t="str">
        <f t="shared" si="3353"/>
        <v/>
      </c>
      <c r="AJ555" s="81">
        <f t="shared" si="3379"/>
        <v>0</v>
      </c>
      <c r="AK555" s="83">
        <f t="shared" si="3380"/>
        <v>0</v>
      </c>
      <c r="AL555" s="83">
        <f t="shared" si="3381"/>
        <v>0</v>
      </c>
      <c r="AN555" s="43">
        <f t="shared" si="3354"/>
        <v>0</v>
      </c>
      <c r="AP555" t="str">
        <f t="shared" si="3382"/>
        <v/>
      </c>
      <c r="AQ555" t="str">
        <f t="shared" si="3383"/>
        <v/>
      </c>
      <c r="AR555" t="str">
        <f t="shared" si="3384"/>
        <v/>
      </c>
      <c r="AS555" t="str">
        <f t="shared" si="3385"/>
        <v/>
      </c>
      <c r="AT555" t="str">
        <f t="shared" si="3386"/>
        <v/>
      </c>
      <c r="AU555" t="str">
        <f t="shared" si="3387"/>
        <v/>
      </c>
      <c r="AV555" t="str">
        <f t="shared" si="3388"/>
        <v/>
      </c>
      <c r="AW555" t="str">
        <f t="shared" si="3389"/>
        <v xml:space="preserve">                              </v>
      </c>
      <c r="AX555" s="23">
        <f t="shared" si="3390"/>
        <v>0</v>
      </c>
      <c r="AY555" s="49" t="str">
        <f t="shared" si="3366"/>
        <v>000000000000000</v>
      </c>
      <c r="AZ555" s="23">
        <f t="shared" si="3391"/>
        <v>0</v>
      </c>
      <c r="BA555" s="49" t="str">
        <f t="shared" si="3366"/>
        <v>000000000000000</v>
      </c>
      <c r="BB555" s="23">
        <f t="shared" si="3392"/>
        <v>0</v>
      </c>
      <c r="BC555" s="49" t="str">
        <f t="shared" ref="BC555" si="3585">IF(BB555&lt;0,SUBSTITUTE(TEXT(BB555,"000000000000,00"),",",""),SUBSTITUTE(TEXT(BB555,"0000000000000,00"),",",""))</f>
        <v>000000000000000</v>
      </c>
      <c r="BD555" s="23">
        <f t="shared" si="3394"/>
        <v>0</v>
      </c>
      <c r="BE555" s="49" t="str">
        <f t="shared" ref="BE555" si="3586">IF(BD555&lt;0,SUBSTITUTE(TEXT(BD555,"000000000000,00"),",",""),SUBSTITUTE(TEXT(BD555,"0000000000000,00"),",",""))</f>
        <v>000000000000000</v>
      </c>
      <c r="BF555" s="23">
        <f t="shared" si="3396"/>
        <v>0</v>
      </c>
      <c r="BG555" s="49" t="str">
        <f t="shared" ref="BG555" si="3587">IF(BF555&lt;0,SUBSTITUTE(TEXT(BF555,"000000000000,00"),",",""),SUBSTITUTE(TEXT(BF555,"0000000000000,00"),",",""))</f>
        <v>000000000000000</v>
      </c>
      <c r="BH555" s="23">
        <f t="shared" si="3398"/>
        <v>0</v>
      </c>
      <c r="BI555" s="49" t="str">
        <f t="shared" ref="BI555" si="3588">IF(BH555&lt;0,SUBSTITUTE(TEXT(BH555,"000000000000,00"),",",""),SUBSTITUTE(TEXT(BH555,"0000000000000,00"),",",""))</f>
        <v>000000000000000</v>
      </c>
      <c r="BJ555" s="23">
        <f t="shared" si="3400"/>
        <v>0</v>
      </c>
      <c r="BK555" s="49" t="str">
        <f t="shared" ref="BK555" si="3589">IF(BJ555&lt;0,SUBSTITUTE(TEXT(BJ555,"000000000000,00"),",",""),SUBSTITUTE(TEXT(BJ555,"0000000000000,00"),",",""))</f>
        <v>000000000000000</v>
      </c>
      <c r="BL555" s="23">
        <f t="shared" si="3402"/>
        <v>0</v>
      </c>
      <c r="BM555" s="49" t="str">
        <f t="shared" ref="BM555" si="3590">IF(BL555&lt;0,SUBSTITUTE(TEXT(BL555,"000000000000,00"),",",""),SUBSTITUTE(TEXT(BL555,"0000000000000,00"),",",""))</f>
        <v>000000000000000</v>
      </c>
      <c r="BN555" t="str">
        <f t="shared" si="3404"/>
        <v>PES</v>
      </c>
      <c r="BO555" t="str">
        <f t="shared" si="3405"/>
        <v>0001000000</v>
      </c>
      <c r="BP555">
        <f t="shared" si="3406"/>
        <v>0</v>
      </c>
      <c r="BQ555">
        <f t="shared" si="3407"/>
        <v>0</v>
      </c>
      <c r="BR555" s="23">
        <f t="shared" si="3408"/>
        <v>0</v>
      </c>
      <c r="BS555" s="49" t="str">
        <f t="shared" si="3373"/>
        <v>000000000000000</v>
      </c>
      <c r="BT555" t="str">
        <f t="shared" si="3409"/>
        <v>00000000</v>
      </c>
      <c r="BU555" s="23">
        <f t="shared" si="3410"/>
        <v>0</v>
      </c>
      <c r="BV555" s="49" t="str">
        <f t="shared" si="3374"/>
        <v/>
      </c>
      <c r="BW555" s="52" t="str">
        <f t="shared" si="3411"/>
        <v/>
      </c>
      <c r="BX555" s="23">
        <f t="shared" si="3412"/>
        <v>0</v>
      </c>
      <c r="BY555" s="49" t="str">
        <f t="shared" si="3375"/>
        <v/>
      </c>
      <c r="BZ555" s="23">
        <f t="shared" si="3413"/>
        <v>0</v>
      </c>
      <c r="CA555" s="49" t="str">
        <f t="shared" si="3376"/>
        <v/>
      </c>
      <c r="CB555" s="52" t="str">
        <f t="shared" si="3414"/>
        <v/>
      </c>
      <c r="CC555" s="23">
        <f t="shared" si="3415"/>
        <v>0</v>
      </c>
      <c r="CD555" s="49" t="str">
        <f t="shared" si="3377"/>
        <v/>
      </c>
      <c r="CE555" s="56" t="str">
        <f>IF(CF555="","",MAX(CE$10:$CE554)+1)</f>
        <v/>
      </c>
      <c r="CF555" t="str">
        <f t="shared" si="3416"/>
        <v/>
      </c>
      <c r="CG555" s="22" t="str">
        <f>IF(CH555="","",MAX($CG$10:CG554)+1)</f>
        <v/>
      </c>
      <c r="CH555" s="22" t="str">
        <f t="shared" si="3361"/>
        <v/>
      </c>
      <c r="CI555" s="22" t="str">
        <f>IF(CJ555="","",MAX($CI$10:CI554)+1)</f>
        <v/>
      </c>
      <c r="CJ555" s="22" t="str">
        <f t="shared" si="3362"/>
        <v/>
      </c>
    </row>
    <row r="556" spans="2:88" x14ac:dyDescent="0.25">
      <c r="B556" s="37"/>
      <c r="C556" s="3"/>
      <c r="D556" s="77" t="str">
        <f t="shared" si="3348"/>
        <v/>
      </c>
      <c r="E556" s="38"/>
      <c r="F556" s="38"/>
      <c r="G556" s="78">
        <f t="shared" si="3363"/>
        <v>0</v>
      </c>
      <c r="H556" s="3">
        <v>80</v>
      </c>
      <c r="I556" s="77" t="str">
        <f t="shared" si="3349"/>
        <v/>
      </c>
      <c r="J556" s="32"/>
      <c r="K556" s="3"/>
      <c r="L556" s="39"/>
      <c r="M556" s="39"/>
      <c r="N556" s="39"/>
      <c r="O556" s="39"/>
      <c r="P556" s="39"/>
      <c r="Q556" s="39"/>
      <c r="R556" s="39"/>
      <c r="S556" s="39"/>
      <c r="T556" s="3" t="s">
        <v>645</v>
      </c>
      <c r="U556" s="77" t="str">
        <f t="shared" si="3350"/>
        <v/>
      </c>
      <c r="V556" s="39">
        <v>1</v>
      </c>
      <c r="W556" s="79">
        <f t="shared" si="3364"/>
        <v>0</v>
      </c>
      <c r="X556" s="3">
        <v>0</v>
      </c>
      <c r="Y556" s="77" t="str">
        <f t="shared" si="3351"/>
        <v/>
      </c>
      <c r="Z556" s="3"/>
      <c r="AA556" s="37" t="str">
        <f t="shared" si="3365"/>
        <v/>
      </c>
      <c r="AC556" s="40"/>
      <c r="AD556" s="7"/>
      <c r="AE556" s="77" t="str">
        <f t="shared" si="3352"/>
        <v/>
      </c>
      <c r="AF556" s="81">
        <f t="shared" si="3378"/>
        <v>0</v>
      </c>
      <c r="AG556" s="40"/>
      <c r="AH556" s="7"/>
      <c r="AI556" s="77" t="str">
        <f t="shared" si="3353"/>
        <v/>
      </c>
      <c r="AJ556" s="81">
        <f t="shared" si="3379"/>
        <v>0</v>
      </c>
      <c r="AK556" s="83">
        <f t="shared" si="3380"/>
        <v>0</v>
      </c>
      <c r="AL556" s="83">
        <f t="shared" si="3381"/>
        <v>0</v>
      </c>
      <c r="AN556" s="43">
        <f t="shared" si="3354"/>
        <v>0</v>
      </c>
      <c r="AP556" t="str">
        <f t="shared" si="3382"/>
        <v/>
      </c>
      <c r="AQ556" t="str">
        <f t="shared" si="3383"/>
        <v/>
      </c>
      <c r="AR556" t="str">
        <f t="shared" si="3384"/>
        <v/>
      </c>
      <c r="AS556" t="str">
        <f t="shared" si="3385"/>
        <v/>
      </c>
      <c r="AT556" t="str">
        <f t="shared" si="3386"/>
        <v/>
      </c>
      <c r="AU556" t="str">
        <f t="shared" si="3387"/>
        <v/>
      </c>
      <c r="AV556" t="str">
        <f t="shared" si="3388"/>
        <v/>
      </c>
      <c r="AW556" t="str">
        <f t="shared" si="3389"/>
        <v xml:space="preserve">                              </v>
      </c>
      <c r="AX556" s="23">
        <f t="shared" si="3390"/>
        <v>0</v>
      </c>
      <c r="AY556" s="49" t="str">
        <f t="shared" si="3366"/>
        <v>000000000000000</v>
      </c>
      <c r="AZ556" s="23">
        <f t="shared" si="3391"/>
        <v>0</v>
      </c>
      <c r="BA556" s="49" t="str">
        <f t="shared" si="3366"/>
        <v>000000000000000</v>
      </c>
      <c r="BB556" s="23">
        <f t="shared" si="3392"/>
        <v>0</v>
      </c>
      <c r="BC556" s="49" t="str">
        <f t="shared" ref="BC556" si="3591">IF(BB556&lt;0,SUBSTITUTE(TEXT(BB556,"000000000000,00"),",",""),SUBSTITUTE(TEXT(BB556,"0000000000000,00"),",",""))</f>
        <v>000000000000000</v>
      </c>
      <c r="BD556" s="23">
        <f t="shared" si="3394"/>
        <v>0</v>
      </c>
      <c r="BE556" s="49" t="str">
        <f t="shared" ref="BE556" si="3592">IF(BD556&lt;0,SUBSTITUTE(TEXT(BD556,"000000000000,00"),",",""),SUBSTITUTE(TEXT(BD556,"0000000000000,00"),",",""))</f>
        <v>000000000000000</v>
      </c>
      <c r="BF556" s="23">
        <f t="shared" si="3396"/>
        <v>0</v>
      </c>
      <c r="BG556" s="49" t="str">
        <f t="shared" ref="BG556" si="3593">IF(BF556&lt;0,SUBSTITUTE(TEXT(BF556,"000000000000,00"),",",""),SUBSTITUTE(TEXT(BF556,"0000000000000,00"),",",""))</f>
        <v>000000000000000</v>
      </c>
      <c r="BH556" s="23">
        <f t="shared" si="3398"/>
        <v>0</v>
      </c>
      <c r="BI556" s="49" t="str">
        <f t="shared" ref="BI556" si="3594">IF(BH556&lt;0,SUBSTITUTE(TEXT(BH556,"000000000000,00"),",",""),SUBSTITUTE(TEXT(BH556,"0000000000000,00"),",",""))</f>
        <v>000000000000000</v>
      </c>
      <c r="BJ556" s="23">
        <f t="shared" si="3400"/>
        <v>0</v>
      </c>
      <c r="BK556" s="49" t="str">
        <f t="shared" ref="BK556" si="3595">IF(BJ556&lt;0,SUBSTITUTE(TEXT(BJ556,"000000000000,00"),",",""),SUBSTITUTE(TEXT(BJ556,"0000000000000,00"),",",""))</f>
        <v>000000000000000</v>
      </c>
      <c r="BL556" s="23">
        <f t="shared" si="3402"/>
        <v>0</v>
      </c>
      <c r="BM556" s="49" t="str">
        <f t="shared" ref="BM556" si="3596">IF(BL556&lt;0,SUBSTITUTE(TEXT(BL556,"000000000000,00"),",",""),SUBSTITUTE(TEXT(BL556,"0000000000000,00"),",",""))</f>
        <v>000000000000000</v>
      </c>
      <c r="BN556" t="str">
        <f t="shared" si="3404"/>
        <v>PES</v>
      </c>
      <c r="BO556" t="str">
        <f t="shared" si="3405"/>
        <v>0001000000</v>
      </c>
      <c r="BP556">
        <f t="shared" si="3406"/>
        <v>0</v>
      </c>
      <c r="BQ556">
        <f t="shared" si="3407"/>
        <v>0</v>
      </c>
      <c r="BR556" s="23">
        <f t="shared" si="3408"/>
        <v>0</v>
      </c>
      <c r="BS556" s="49" t="str">
        <f t="shared" si="3373"/>
        <v>000000000000000</v>
      </c>
      <c r="BT556" t="str">
        <f t="shared" si="3409"/>
        <v>00000000</v>
      </c>
      <c r="BU556" s="23">
        <f t="shared" si="3410"/>
        <v>0</v>
      </c>
      <c r="BV556" s="49" t="str">
        <f t="shared" si="3374"/>
        <v/>
      </c>
      <c r="BW556" s="52" t="str">
        <f t="shared" si="3411"/>
        <v/>
      </c>
      <c r="BX556" s="23">
        <f t="shared" si="3412"/>
        <v>0</v>
      </c>
      <c r="BY556" s="49" t="str">
        <f t="shared" si="3375"/>
        <v/>
      </c>
      <c r="BZ556" s="23">
        <f t="shared" si="3413"/>
        <v>0</v>
      </c>
      <c r="CA556" s="49" t="str">
        <f t="shared" si="3376"/>
        <v/>
      </c>
      <c r="CB556" s="52" t="str">
        <f t="shared" si="3414"/>
        <v/>
      </c>
      <c r="CC556" s="23">
        <f t="shared" si="3415"/>
        <v>0</v>
      </c>
      <c r="CD556" s="49" t="str">
        <f t="shared" si="3377"/>
        <v/>
      </c>
      <c r="CE556" s="56" t="str">
        <f>IF(CF556="","",MAX(CE$10:$CE555)+1)</f>
        <v/>
      </c>
      <c r="CF556" t="str">
        <f t="shared" si="3416"/>
        <v/>
      </c>
      <c r="CG556" s="22" t="str">
        <f>IF(CH556="","",MAX($CG$10:CG555)+1)</f>
        <v/>
      </c>
      <c r="CH556" s="22" t="str">
        <f t="shared" si="3361"/>
        <v/>
      </c>
      <c r="CI556" s="22" t="str">
        <f>IF(CJ556="","",MAX($CI$10:CI555)+1)</f>
        <v/>
      </c>
      <c r="CJ556" s="22" t="str">
        <f t="shared" si="3362"/>
        <v/>
      </c>
    </row>
    <row r="557" spans="2:88" x14ac:dyDescent="0.25">
      <c r="B557" s="37"/>
      <c r="C557" s="3"/>
      <c r="D557" s="77" t="str">
        <f t="shared" si="3348"/>
        <v/>
      </c>
      <c r="E557" s="38"/>
      <c r="F557" s="38"/>
      <c r="G557" s="78">
        <f t="shared" si="3363"/>
        <v>0</v>
      </c>
      <c r="H557" s="3">
        <v>80</v>
      </c>
      <c r="I557" s="77" t="str">
        <f t="shared" si="3349"/>
        <v/>
      </c>
      <c r="J557" s="32"/>
      <c r="K557" s="3"/>
      <c r="L557" s="39"/>
      <c r="M557" s="39"/>
      <c r="N557" s="39"/>
      <c r="O557" s="39"/>
      <c r="P557" s="39"/>
      <c r="Q557" s="39"/>
      <c r="R557" s="39"/>
      <c r="S557" s="39"/>
      <c r="T557" s="3" t="s">
        <v>645</v>
      </c>
      <c r="U557" s="77" t="str">
        <f t="shared" si="3350"/>
        <v/>
      </c>
      <c r="V557" s="39">
        <v>1</v>
      </c>
      <c r="W557" s="79">
        <f t="shared" si="3364"/>
        <v>0</v>
      </c>
      <c r="X557" s="3">
        <v>0</v>
      </c>
      <c r="Y557" s="77" t="str">
        <f t="shared" si="3351"/>
        <v/>
      </c>
      <c r="Z557" s="3"/>
      <c r="AA557" s="37" t="str">
        <f t="shared" si="3365"/>
        <v/>
      </c>
      <c r="AC557" s="40"/>
      <c r="AD557" s="7"/>
      <c r="AE557" s="77" t="str">
        <f t="shared" si="3352"/>
        <v/>
      </c>
      <c r="AF557" s="81">
        <f t="shared" si="3378"/>
        <v>0</v>
      </c>
      <c r="AG557" s="40"/>
      <c r="AH557" s="7"/>
      <c r="AI557" s="77" t="str">
        <f t="shared" si="3353"/>
        <v/>
      </c>
      <c r="AJ557" s="81">
        <f t="shared" si="3379"/>
        <v>0</v>
      </c>
      <c r="AK557" s="83">
        <f t="shared" si="3380"/>
        <v>0</v>
      </c>
      <c r="AL557" s="83">
        <f t="shared" si="3381"/>
        <v>0</v>
      </c>
      <c r="AN557" s="43">
        <f t="shared" si="3354"/>
        <v>0</v>
      </c>
      <c r="AP557" t="str">
        <f t="shared" si="3382"/>
        <v/>
      </c>
      <c r="AQ557" t="str">
        <f t="shared" si="3383"/>
        <v/>
      </c>
      <c r="AR557" t="str">
        <f t="shared" si="3384"/>
        <v/>
      </c>
      <c r="AS557" t="str">
        <f t="shared" si="3385"/>
        <v/>
      </c>
      <c r="AT557" t="str">
        <f t="shared" si="3386"/>
        <v/>
      </c>
      <c r="AU557" t="str">
        <f t="shared" si="3387"/>
        <v/>
      </c>
      <c r="AV557" t="str">
        <f t="shared" si="3388"/>
        <v/>
      </c>
      <c r="AW557" t="str">
        <f t="shared" si="3389"/>
        <v xml:space="preserve">                              </v>
      </c>
      <c r="AX557" s="23">
        <f t="shared" si="3390"/>
        <v>0</v>
      </c>
      <c r="AY557" s="49" t="str">
        <f t="shared" si="3366"/>
        <v>000000000000000</v>
      </c>
      <c r="AZ557" s="23">
        <f t="shared" si="3391"/>
        <v>0</v>
      </c>
      <c r="BA557" s="49" t="str">
        <f t="shared" si="3366"/>
        <v>000000000000000</v>
      </c>
      <c r="BB557" s="23">
        <f t="shared" si="3392"/>
        <v>0</v>
      </c>
      <c r="BC557" s="49" t="str">
        <f t="shared" ref="BC557" si="3597">IF(BB557&lt;0,SUBSTITUTE(TEXT(BB557,"000000000000,00"),",",""),SUBSTITUTE(TEXT(BB557,"0000000000000,00"),",",""))</f>
        <v>000000000000000</v>
      </c>
      <c r="BD557" s="23">
        <f t="shared" si="3394"/>
        <v>0</v>
      </c>
      <c r="BE557" s="49" t="str">
        <f t="shared" ref="BE557" si="3598">IF(BD557&lt;0,SUBSTITUTE(TEXT(BD557,"000000000000,00"),",",""),SUBSTITUTE(TEXT(BD557,"0000000000000,00"),",",""))</f>
        <v>000000000000000</v>
      </c>
      <c r="BF557" s="23">
        <f t="shared" si="3396"/>
        <v>0</v>
      </c>
      <c r="BG557" s="49" t="str">
        <f t="shared" ref="BG557" si="3599">IF(BF557&lt;0,SUBSTITUTE(TEXT(BF557,"000000000000,00"),",",""),SUBSTITUTE(TEXT(BF557,"0000000000000,00"),",",""))</f>
        <v>000000000000000</v>
      </c>
      <c r="BH557" s="23">
        <f t="shared" si="3398"/>
        <v>0</v>
      </c>
      <c r="BI557" s="49" t="str">
        <f t="shared" ref="BI557" si="3600">IF(BH557&lt;0,SUBSTITUTE(TEXT(BH557,"000000000000,00"),",",""),SUBSTITUTE(TEXT(BH557,"0000000000000,00"),",",""))</f>
        <v>000000000000000</v>
      </c>
      <c r="BJ557" s="23">
        <f t="shared" si="3400"/>
        <v>0</v>
      </c>
      <c r="BK557" s="49" t="str">
        <f t="shared" ref="BK557" si="3601">IF(BJ557&lt;0,SUBSTITUTE(TEXT(BJ557,"000000000000,00"),",",""),SUBSTITUTE(TEXT(BJ557,"0000000000000,00"),",",""))</f>
        <v>000000000000000</v>
      </c>
      <c r="BL557" s="23">
        <f t="shared" si="3402"/>
        <v>0</v>
      </c>
      <c r="BM557" s="49" t="str">
        <f t="shared" ref="BM557" si="3602">IF(BL557&lt;0,SUBSTITUTE(TEXT(BL557,"000000000000,00"),",",""),SUBSTITUTE(TEXT(BL557,"0000000000000,00"),",",""))</f>
        <v>000000000000000</v>
      </c>
      <c r="BN557" t="str">
        <f t="shared" si="3404"/>
        <v>PES</v>
      </c>
      <c r="BO557" t="str">
        <f t="shared" si="3405"/>
        <v>0001000000</v>
      </c>
      <c r="BP557">
        <f t="shared" si="3406"/>
        <v>0</v>
      </c>
      <c r="BQ557">
        <f t="shared" si="3407"/>
        <v>0</v>
      </c>
      <c r="BR557" s="23">
        <f t="shared" si="3408"/>
        <v>0</v>
      </c>
      <c r="BS557" s="49" t="str">
        <f t="shared" si="3373"/>
        <v>000000000000000</v>
      </c>
      <c r="BT557" t="str">
        <f t="shared" si="3409"/>
        <v>00000000</v>
      </c>
      <c r="BU557" s="23">
        <f t="shared" si="3410"/>
        <v>0</v>
      </c>
      <c r="BV557" s="49" t="str">
        <f t="shared" si="3374"/>
        <v/>
      </c>
      <c r="BW557" s="52" t="str">
        <f t="shared" si="3411"/>
        <v/>
      </c>
      <c r="BX557" s="23">
        <f t="shared" si="3412"/>
        <v>0</v>
      </c>
      <c r="BY557" s="49" t="str">
        <f t="shared" si="3375"/>
        <v/>
      </c>
      <c r="BZ557" s="23">
        <f t="shared" si="3413"/>
        <v>0</v>
      </c>
      <c r="CA557" s="49" t="str">
        <f t="shared" si="3376"/>
        <v/>
      </c>
      <c r="CB557" s="52" t="str">
        <f t="shared" si="3414"/>
        <v/>
      </c>
      <c r="CC557" s="23">
        <f t="shared" si="3415"/>
        <v>0</v>
      </c>
      <c r="CD557" s="49" t="str">
        <f t="shared" si="3377"/>
        <v/>
      </c>
      <c r="CE557" s="56" t="str">
        <f>IF(CF557="","",MAX(CE$10:$CE556)+1)</f>
        <v/>
      </c>
      <c r="CF557" t="str">
        <f t="shared" si="3416"/>
        <v/>
      </c>
      <c r="CG557" s="22" t="str">
        <f>IF(CH557="","",MAX($CG$10:CG556)+1)</f>
        <v/>
      </c>
      <c r="CH557" s="22" t="str">
        <f t="shared" si="3361"/>
        <v/>
      </c>
      <c r="CI557" s="22" t="str">
        <f>IF(CJ557="","",MAX($CI$10:CI556)+1)</f>
        <v/>
      </c>
      <c r="CJ557" s="22" t="str">
        <f t="shared" si="3362"/>
        <v/>
      </c>
    </row>
    <row r="558" spans="2:88" x14ac:dyDescent="0.25">
      <c r="B558" s="37"/>
      <c r="C558" s="3"/>
      <c r="D558" s="77" t="str">
        <f t="shared" si="3348"/>
        <v/>
      </c>
      <c r="E558" s="38"/>
      <c r="F558" s="38"/>
      <c r="G558" s="78">
        <f t="shared" si="3363"/>
        <v>0</v>
      </c>
      <c r="H558" s="3">
        <v>80</v>
      </c>
      <c r="I558" s="77" t="str">
        <f t="shared" si="3349"/>
        <v/>
      </c>
      <c r="J558" s="32"/>
      <c r="K558" s="3"/>
      <c r="L558" s="39"/>
      <c r="M558" s="39"/>
      <c r="N558" s="39"/>
      <c r="O558" s="39"/>
      <c r="P558" s="39"/>
      <c r="Q558" s="39"/>
      <c r="R558" s="39"/>
      <c r="S558" s="39"/>
      <c r="T558" s="3" t="s">
        <v>645</v>
      </c>
      <c r="U558" s="77" t="str">
        <f t="shared" si="3350"/>
        <v/>
      </c>
      <c r="V558" s="39">
        <v>1</v>
      </c>
      <c r="W558" s="79">
        <f t="shared" si="3364"/>
        <v>0</v>
      </c>
      <c r="X558" s="3">
        <v>0</v>
      </c>
      <c r="Y558" s="77" t="str">
        <f t="shared" si="3351"/>
        <v/>
      </c>
      <c r="Z558" s="3"/>
      <c r="AA558" s="37" t="str">
        <f t="shared" si="3365"/>
        <v/>
      </c>
      <c r="AC558" s="40"/>
      <c r="AD558" s="7"/>
      <c r="AE558" s="77" t="str">
        <f t="shared" si="3352"/>
        <v/>
      </c>
      <c r="AF558" s="81">
        <f t="shared" si="3378"/>
        <v>0</v>
      </c>
      <c r="AG558" s="40"/>
      <c r="AH558" s="7"/>
      <c r="AI558" s="77" t="str">
        <f t="shared" si="3353"/>
        <v/>
      </c>
      <c r="AJ558" s="81">
        <f t="shared" si="3379"/>
        <v>0</v>
      </c>
      <c r="AK558" s="83">
        <f t="shared" si="3380"/>
        <v>0</v>
      </c>
      <c r="AL558" s="83">
        <f t="shared" si="3381"/>
        <v>0</v>
      </c>
      <c r="AN558" s="43">
        <f t="shared" si="3354"/>
        <v>0</v>
      </c>
      <c r="AP558" t="str">
        <f t="shared" si="3382"/>
        <v/>
      </c>
      <c r="AQ558" t="str">
        <f t="shared" si="3383"/>
        <v/>
      </c>
      <c r="AR558" t="str">
        <f t="shared" si="3384"/>
        <v/>
      </c>
      <c r="AS558" t="str">
        <f t="shared" si="3385"/>
        <v/>
      </c>
      <c r="AT558" t="str">
        <f t="shared" si="3386"/>
        <v/>
      </c>
      <c r="AU558" t="str">
        <f t="shared" si="3387"/>
        <v/>
      </c>
      <c r="AV558" t="str">
        <f t="shared" si="3388"/>
        <v/>
      </c>
      <c r="AW558" t="str">
        <f t="shared" si="3389"/>
        <v xml:space="preserve">                              </v>
      </c>
      <c r="AX558" s="23">
        <f t="shared" si="3390"/>
        <v>0</v>
      </c>
      <c r="AY558" s="49" t="str">
        <f t="shared" si="3366"/>
        <v>000000000000000</v>
      </c>
      <c r="AZ558" s="23">
        <f t="shared" si="3391"/>
        <v>0</v>
      </c>
      <c r="BA558" s="49" t="str">
        <f t="shared" si="3366"/>
        <v>000000000000000</v>
      </c>
      <c r="BB558" s="23">
        <f t="shared" si="3392"/>
        <v>0</v>
      </c>
      <c r="BC558" s="49" t="str">
        <f t="shared" ref="BC558" si="3603">IF(BB558&lt;0,SUBSTITUTE(TEXT(BB558,"000000000000,00"),",",""),SUBSTITUTE(TEXT(BB558,"0000000000000,00"),",",""))</f>
        <v>000000000000000</v>
      </c>
      <c r="BD558" s="23">
        <f t="shared" si="3394"/>
        <v>0</v>
      </c>
      <c r="BE558" s="49" t="str">
        <f t="shared" ref="BE558" si="3604">IF(BD558&lt;0,SUBSTITUTE(TEXT(BD558,"000000000000,00"),",",""),SUBSTITUTE(TEXT(BD558,"0000000000000,00"),",",""))</f>
        <v>000000000000000</v>
      </c>
      <c r="BF558" s="23">
        <f t="shared" si="3396"/>
        <v>0</v>
      </c>
      <c r="BG558" s="49" t="str">
        <f t="shared" ref="BG558" si="3605">IF(BF558&lt;0,SUBSTITUTE(TEXT(BF558,"000000000000,00"),",",""),SUBSTITUTE(TEXT(BF558,"0000000000000,00"),",",""))</f>
        <v>000000000000000</v>
      </c>
      <c r="BH558" s="23">
        <f t="shared" si="3398"/>
        <v>0</v>
      </c>
      <c r="BI558" s="49" t="str">
        <f t="shared" ref="BI558" si="3606">IF(BH558&lt;0,SUBSTITUTE(TEXT(BH558,"000000000000,00"),",",""),SUBSTITUTE(TEXT(BH558,"0000000000000,00"),",",""))</f>
        <v>000000000000000</v>
      </c>
      <c r="BJ558" s="23">
        <f t="shared" si="3400"/>
        <v>0</v>
      </c>
      <c r="BK558" s="49" t="str">
        <f t="shared" ref="BK558" si="3607">IF(BJ558&lt;0,SUBSTITUTE(TEXT(BJ558,"000000000000,00"),",",""),SUBSTITUTE(TEXT(BJ558,"0000000000000,00"),",",""))</f>
        <v>000000000000000</v>
      </c>
      <c r="BL558" s="23">
        <f t="shared" si="3402"/>
        <v>0</v>
      </c>
      <c r="BM558" s="49" t="str">
        <f t="shared" ref="BM558" si="3608">IF(BL558&lt;0,SUBSTITUTE(TEXT(BL558,"000000000000,00"),",",""),SUBSTITUTE(TEXT(BL558,"0000000000000,00"),",",""))</f>
        <v>000000000000000</v>
      </c>
      <c r="BN558" t="str">
        <f t="shared" si="3404"/>
        <v>PES</v>
      </c>
      <c r="BO558" t="str">
        <f t="shared" si="3405"/>
        <v>0001000000</v>
      </c>
      <c r="BP558">
        <f t="shared" si="3406"/>
        <v>0</v>
      </c>
      <c r="BQ558">
        <f t="shared" si="3407"/>
        <v>0</v>
      </c>
      <c r="BR558" s="23">
        <f t="shared" si="3408"/>
        <v>0</v>
      </c>
      <c r="BS558" s="49" t="str">
        <f t="shared" si="3373"/>
        <v>000000000000000</v>
      </c>
      <c r="BT558" t="str">
        <f t="shared" si="3409"/>
        <v>00000000</v>
      </c>
      <c r="BU558" s="23">
        <f t="shared" si="3410"/>
        <v>0</v>
      </c>
      <c r="BV558" s="49" t="str">
        <f t="shared" si="3374"/>
        <v/>
      </c>
      <c r="BW558" s="52" t="str">
        <f t="shared" si="3411"/>
        <v/>
      </c>
      <c r="BX558" s="23">
        <f t="shared" si="3412"/>
        <v>0</v>
      </c>
      <c r="BY558" s="49" t="str">
        <f t="shared" si="3375"/>
        <v/>
      </c>
      <c r="BZ558" s="23">
        <f t="shared" si="3413"/>
        <v>0</v>
      </c>
      <c r="CA558" s="49" t="str">
        <f t="shared" si="3376"/>
        <v/>
      </c>
      <c r="CB558" s="52" t="str">
        <f t="shared" si="3414"/>
        <v/>
      </c>
      <c r="CC558" s="23">
        <f t="shared" si="3415"/>
        <v>0</v>
      </c>
      <c r="CD558" s="49" t="str">
        <f t="shared" si="3377"/>
        <v/>
      </c>
      <c r="CE558" s="56" t="str">
        <f>IF(CF558="","",MAX(CE$10:$CE557)+1)</f>
        <v/>
      </c>
      <c r="CF558" t="str">
        <f t="shared" si="3416"/>
        <v/>
      </c>
      <c r="CG558" s="22" t="str">
        <f>IF(CH558="","",MAX($CG$10:CG557)+1)</f>
        <v/>
      </c>
      <c r="CH558" s="22" t="str">
        <f t="shared" si="3361"/>
        <v/>
      </c>
      <c r="CI558" s="22" t="str">
        <f>IF(CJ558="","",MAX($CI$10:CI557)+1)</f>
        <v/>
      </c>
      <c r="CJ558" s="22" t="str">
        <f t="shared" si="3362"/>
        <v/>
      </c>
    </row>
    <row r="559" spans="2:88" x14ac:dyDescent="0.25">
      <c r="B559" s="37"/>
      <c r="C559" s="3"/>
      <c r="D559" s="77" t="str">
        <f t="shared" si="3348"/>
        <v/>
      </c>
      <c r="E559" s="38"/>
      <c r="F559" s="38"/>
      <c r="G559" s="78">
        <f t="shared" si="3363"/>
        <v>0</v>
      </c>
      <c r="H559" s="3">
        <v>80</v>
      </c>
      <c r="I559" s="77" t="str">
        <f t="shared" si="3349"/>
        <v/>
      </c>
      <c r="J559" s="32"/>
      <c r="K559" s="3"/>
      <c r="L559" s="39"/>
      <c r="M559" s="39"/>
      <c r="N559" s="39"/>
      <c r="O559" s="39"/>
      <c r="P559" s="39"/>
      <c r="Q559" s="39"/>
      <c r="R559" s="39"/>
      <c r="S559" s="39"/>
      <c r="T559" s="3" t="s">
        <v>645</v>
      </c>
      <c r="U559" s="77" t="str">
        <f t="shared" si="3350"/>
        <v/>
      </c>
      <c r="V559" s="39">
        <v>1</v>
      </c>
      <c r="W559" s="79">
        <f t="shared" si="3364"/>
        <v>0</v>
      </c>
      <c r="X559" s="3">
        <v>0</v>
      </c>
      <c r="Y559" s="77" t="str">
        <f t="shared" si="3351"/>
        <v/>
      </c>
      <c r="Z559" s="3"/>
      <c r="AA559" s="37" t="str">
        <f t="shared" si="3365"/>
        <v/>
      </c>
      <c r="AC559" s="40"/>
      <c r="AD559" s="7"/>
      <c r="AE559" s="77" t="str">
        <f t="shared" si="3352"/>
        <v/>
      </c>
      <c r="AF559" s="81">
        <f t="shared" si="3378"/>
        <v>0</v>
      </c>
      <c r="AG559" s="40"/>
      <c r="AH559" s="7"/>
      <c r="AI559" s="77" t="str">
        <f t="shared" si="3353"/>
        <v/>
      </c>
      <c r="AJ559" s="81">
        <f t="shared" si="3379"/>
        <v>0</v>
      </c>
      <c r="AK559" s="83">
        <f t="shared" si="3380"/>
        <v>0</v>
      </c>
      <c r="AL559" s="83">
        <f t="shared" si="3381"/>
        <v>0</v>
      </c>
      <c r="AN559" s="43">
        <f t="shared" si="3354"/>
        <v>0</v>
      </c>
      <c r="AP559" t="str">
        <f t="shared" si="3382"/>
        <v/>
      </c>
      <c r="AQ559" t="str">
        <f t="shared" si="3383"/>
        <v/>
      </c>
      <c r="AR559" t="str">
        <f t="shared" si="3384"/>
        <v/>
      </c>
      <c r="AS559" t="str">
        <f t="shared" si="3385"/>
        <v/>
      </c>
      <c r="AT559" t="str">
        <f t="shared" si="3386"/>
        <v/>
      </c>
      <c r="AU559" t="str">
        <f t="shared" si="3387"/>
        <v/>
      </c>
      <c r="AV559" t="str">
        <f t="shared" si="3388"/>
        <v/>
      </c>
      <c r="AW559" t="str">
        <f t="shared" si="3389"/>
        <v xml:space="preserve">                              </v>
      </c>
      <c r="AX559" s="23">
        <f t="shared" si="3390"/>
        <v>0</v>
      </c>
      <c r="AY559" s="49" t="str">
        <f t="shared" si="3366"/>
        <v>000000000000000</v>
      </c>
      <c r="AZ559" s="23">
        <f t="shared" si="3391"/>
        <v>0</v>
      </c>
      <c r="BA559" s="49" t="str">
        <f t="shared" si="3366"/>
        <v>000000000000000</v>
      </c>
      <c r="BB559" s="23">
        <f t="shared" si="3392"/>
        <v>0</v>
      </c>
      <c r="BC559" s="49" t="str">
        <f t="shared" ref="BC559" si="3609">IF(BB559&lt;0,SUBSTITUTE(TEXT(BB559,"000000000000,00"),",",""),SUBSTITUTE(TEXT(BB559,"0000000000000,00"),",",""))</f>
        <v>000000000000000</v>
      </c>
      <c r="BD559" s="23">
        <f t="shared" si="3394"/>
        <v>0</v>
      </c>
      <c r="BE559" s="49" t="str">
        <f t="shared" ref="BE559" si="3610">IF(BD559&lt;0,SUBSTITUTE(TEXT(BD559,"000000000000,00"),",",""),SUBSTITUTE(TEXT(BD559,"0000000000000,00"),",",""))</f>
        <v>000000000000000</v>
      </c>
      <c r="BF559" s="23">
        <f t="shared" si="3396"/>
        <v>0</v>
      </c>
      <c r="BG559" s="49" t="str">
        <f t="shared" ref="BG559" si="3611">IF(BF559&lt;0,SUBSTITUTE(TEXT(BF559,"000000000000,00"),",",""),SUBSTITUTE(TEXT(BF559,"0000000000000,00"),",",""))</f>
        <v>000000000000000</v>
      </c>
      <c r="BH559" s="23">
        <f t="shared" si="3398"/>
        <v>0</v>
      </c>
      <c r="BI559" s="49" t="str">
        <f t="shared" ref="BI559" si="3612">IF(BH559&lt;0,SUBSTITUTE(TEXT(BH559,"000000000000,00"),",",""),SUBSTITUTE(TEXT(BH559,"0000000000000,00"),",",""))</f>
        <v>000000000000000</v>
      </c>
      <c r="BJ559" s="23">
        <f t="shared" si="3400"/>
        <v>0</v>
      </c>
      <c r="BK559" s="49" t="str">
        <f t="shared" ref="BK559" si="3613">IF(BJ559&lt;0,SUBSTITUTE(TEXT(BJ559,"000000000000,00"),",",""),SUBSTITUTE(TEXT(BJ559,"0000000000000,00"),",",""))</f>
        <v>000000000000000</v>
      </c>
      <c r="BL559" s="23">
        <f t="shared" si="3402"/>
        <v>0</v>
      </c>
      <c r="BM559" s="49" t="str">
        <f t="shared" ref="BM559" si="3614">IF(BL559&lt;0,SUBSTITUTE(TEXT(BL559,"000000000000,00"),",",""),SUBSTITUTE(TEXT(BL559,"0000000000000,00"),",",""))</f>
        <v>000000000000000</v>
      </c>
      <c r="BN559" t="str">
        <f t="shared" si="3404"/>
        <v>PES</v>
      </c>
      <c r="BO559" t="str">
        <f t="shared" si="3405"/>
        <v>0001000000</v>
      </c>
      <c r="BP559">
        <f t="shared" si="3406"/>
        <v>0</v>
      </c>
      <c r="BQ559">
        <f t="shared" si="3407"/>
        <v>0</v>
      </c>
      <c r="BR559" s="23">
        <f t="shared" si="3408"/>
        <v>0</v>
      </c>
      <c r="BS559" s="49" t="str">
        <f t="shared" si="3373"/>
        <v>000000000000000</v>
      </c>
      <c r="BT559" t="str">
        <f t="shared" si="3409"/>
        <v>00000000</v>
      </c>
      <c r="BU559" s="23">
        <f t="shared" si="3410"/>
        <v>0</v>
      </c>
      <c r="BV559" s="49" t="str">
        <f t="shared" si="3374"/>
        <v/>
      </c>
      <c r="BW559" s="52" t="str">
        <f t="shared" si="3411"/>
        <v/>
      </c>
      <c r="BX559" s="23">
        <f t="shared" si="3412"/>
        <v>0</v>
      </c>
      <c r="BY559" s="49" t="str">
        <f t="shared" si="3375"/>
        <v/>
      </c>
      <c r="BZ559" s="23">
        <f t="shared" si="3413"/>
        <v>0</v>
      </c>
      <c r="CA559" s="49" t="str">
        <f t="shared" si="3376"/>
        <v/>
      </c>
      <c r="CB559" s="52" t="str">
        <f t="shared" si="3414"/>
        <v/>
      </c>
      <c r="CC559" s="23">
        <f t="shared" si="3415"/>
        <v>0</v>
      </c>
      <c r="CD559" s="49" t="str">
        <f t="shared" si="3377"/>
        <v/>
      </c>
      <c r="CE559" s="56" t="str">
        <f>IF(CF559="","",MAX(CE$10:$CE558)+1)</f>
        <v/>
      </c>
      <c r="CF559" t="str">
        <f t="shared" si="3416"/>
        <v/>
      </c>
      <c r="CG559" s="22" t="str">
        <f>IF(CH559="","",MAX($CG$10:CG558)+1)</f>
        <v/>
      </c>
      <c r="CH559" s="22" t="str">
        <f t="shared" si="3361"/>
        <v/>
      </c>
      <c r="CI559" s="22" t="str">
        <f>IF(CJ559="","",MAX($CI$10:CI558)+1)</f>
        <v/>
      </c>
      <c r="CJ559" s="22" t="str">
        <f t="shared" si="3362"/>
        <v/>
      </c>
    </row>
    <row r="560" spans="2:88" x14ac:dyDescent="0.25">
      <c r="B560" s="37"/>
      <c r="C560" s="3"/>
      <c r="D560" s="77" t="str">
        <f t="shared" si="3348"/>
        <v/>
      </c>
      <c r="E560" s="38"/>
      <c r="F560" s="38"/>
      <c r="G560" s="78">
        <f t="shared" si="3363"/>
        <v>0</v>
      </c>
      <c r="H560" s="3">
        <v>80</v>
      </c>
      <c r="I560" s="77" t="str">
        <f t="shared" si="3349"/>
        <v/>
      </c>
      <c r="J560" s="32"/>
      <c r="K560" s="3"/>
      <c r="L560" s="39"/>
      <c r="M560" s="39"/>
      <c r="N560" s="39"/>
      <c r="O560" s="39"/>
      <c r="P560" s="39"/>
      <c r="Q560" s="39"/>
      <c r="R560" s="39"/>
      <c r="S560" s="39"/>
      <c r="T560" s="3" t="s">
        <v>645</v>
      </c>
      <c r="U560" s="77" t="str">
        <f t="shared" si="3350"/>
        <v/>
      </c>
      <c r="V560" s="39">
        <v>1</v>
      </c>
      <c r="W560" s="79">
        <f t="shared" si="3364"/>
        <v>0</v>
      </c>
      <c r="X560" s="3">
        <v>0</v>
      </c>
      <c r="Y560" s="77" t="str">
        <f t="shared" si="3351"/>
        <v/>
      </c>
      <c r="Z560" s="3"/>
      <c r="AA560" s="37" t="str">
        <f t="shared" si="3365"/>
        <v/>
      </c>
      <c r="AC560" s="40"/>
      <c r="AD560" s="7"/>
      <c r="AE560" s="77" t="str">
        <f t="shared" si="3352"/>
        <v/>
      </c>
      <c r="AF560" s="81">
        <f t="shared" si="3378"/>
        <v>0</v>
      </c>
      <c r="AG560" s="40"/>
      <c r="AH560" s="7"/>
      <c r="AI560" s="77" t="str">
        <f t="shared" si="3353"/>
        <v/>
      </c>
      <c r="AJ560" s="81">
        <f t="shared" si="3379"/>
        <v>0</v>
      </c>
      <c r="AK560" s="83">
        <f t="shared" si="3380"/>
        <v>0</v>
      </c>
      <c r="AL560" s="83">
        <f t="shared" si="3381"/>
        <v>0</v>
      </c>
      <c r="AN560" s="43">
        <f t="shared" si="3354"/>
        <v>0</v>
      </c>
      <c r="AP560" t="str">
        <f t="shared" si="3382"/>
        <v/>
      </c>
      <c r="AQ560" t="str">
        <f t="shared" si="3383"/>
        <v/>
      </c>
      <c r="AR560" t="str">
        <f t="shared" si="3384"/>
        <v/>
      </c>
      <c r="AS560" t="str">
        <f t="shared" si="3385"/>
        <v/>
      </c>
      <c r="AT560" t="str">
        <f t="shared" si="3386"/>
        <v/>
      </c>
      <c r="AU560" t="str">
        <f t="shared" si="3387"/>
        <v/>
      </c>
      <c r="AV560" t="str">
        <f t="shared" si="3388"/>
        <v/>
      </c>
      <c r="AW560" t="str">
        <f t="shared" si="3389"/>
        <v xml:space="preserve">                              </v>
      </c>
      <c r="AX560" s="23">
        <f t="shared" si="3390"/>
        <v>0</v>
      </c>
      <c r="AY560" s="49" t="str">
        <f t="shared" si="3366"/>
        <v>000000000000000</v>
      </c>
      <c r="AZ560" s="23">
        <f t="shared" si="3391"/>
        <v>0</v>
      </c>
      <c r="BA560" s="49" t="str">
        <f t="shared" si="3366"/>
        <v>000000000000000</v>
      </c>
      <c r="BB560" s="23">
        <f t="shared" si="3392"/>
        <v>0</v>
      </c>
      <c r="BC560" s="49" t="str">
        <f t="shared" ref="BC560" si="3615">IF(BB560&lt;0,SUBSTITUTE(TEXT(BB560,"000000000000,00"),",",""),SUBSTITUTE(TEXT(BB560,"0000000000000,00"),",",""))</f>
        <v>000000000000000</v>
      </c>
      <c r="BD560" s="23">
        <f t="shared" si="3394"/>
        <v>0</v>
      </c>
      <c r="BE560" s="49" t="str">
        <f t="shared" ref="BE560" si="3616">IF(BD560&lt;0,SUBSTITUTE(TEXT(BD560,"000000000000,00"),",",""),SUBSTITUTE(TEXT(BD560,"0000000000000,00"),",",""))</f>
        <v>000000000000000</v>
      </c>
      <c r="BF560" s="23">
        <f t="shared" si="3396"/>
        <v>0</v>
      </c>
      <c r="BG560" s="49" t="str">
        <f t="shared" ref="BG560" si="3617">IF(BF560&lt;0,SUBSTITUTE(TEXT(BF560,"000000000000,00"),",",""),SUBSTITUTE(TEXT(BF560,"0000000000000,00"),",",""))</f>
        <v>000000000000000</v>
      </c>
      <c r="BH560" s="23">
        <f t="shared" si="3398"/>
        <v>0</v>
      </c>
      <c r="BI560" s="49" t="str">
        <f t="shared" ref="BI560" si="3618">IF(BH560&lt;0,SUBSTITUTE(TEXT(BH560,"000000000000,00"),",",""),SUBSTITUTE(TEXT(BH560,"0000000000000,00"),",",""))</f>
        <v>000000000000000</v>
      </c>
      <c r="BJ560" s="23">
        <f t="shared" si="3400"/>
        <v>0</v>
      </c>
      <c r="BK560" s="49" t="str">
        <f t="shared" ref="BK560" si="3619">IF(BJ560&lt;0,SUBSTITUTE(TEXT(BJ560,"000000000000,00"),",",""),SUBSTITUTE(TEXT(BJ560,"0000000000000,00"),",",""))</f>
        <v>000000000000000</v>
      </c>
      <c r="BL560" s="23">
        <f t="shared" si="3402"/>
        <v>0</v>
      </c>
      <c r="BM560" s="49" t="str">
        <f t="shared" ref="BM560" si="3620">IF(BL560&lt;0,SUBSTITUTE(TEXT(BL560,"000000000000,00"),",",""),SUBSTITUTE(TEXT(BL560,"0000000000000,00"),",",""))</f>
        <v>000000000000000</v>
      </c>
      <c r="BN560" t="str">
        <f t="shared" si="3404"/>
        <v>PES</v>
      </c>
      <c r="BO560" t="str">
        <f t="shared" si="3405"/>
        <v>0001000000</v>
      </c>
      <c r="BP560">
        <f t="shared" si="3406"/>
        <v>0</v>
      </c>
      <c r="BQ560">
        <f t="shared" si="3407"/>
        <v>0</v>
      </c>
      <c r="BR560" s="23">
        <f t="shared" si="3408"/>
        <v>0</v>
      </c>
      <c r="BS560" s="49" t="str">
        <f t="shared" si="3373"/>
        <v>000000000000000</v>
      </c>
      <c r="BT560" t="str">
        <f t="shared" si="3409"/>
        <v>00000000</v>
      </c>
      <c r="BU560" s="23">
        <f t="shared" si="3410"/>
        <v>0</v>
      </c>
      <c r="BV560" s="49" t="str">
        <f t="shared" si="3374"/>
        <v/>
      </c>
      <c r="BW560" s="52" t="str">
        <f t="shared" si="3411"/>
        <v/>
      </c>
      <c r="BX560" s="23">
        <f t="shared" si="3412"/>
        <v>0</v>
      </c>
      <c r="BY560" s="49" t="str">
        <f t="shared" si="3375"/>
        <v/>
      </c>
      <c r="BZ560" s="23">
        <f t="shared" si="3413"/>
        <v>0</v>
      </c>
      <c r="CA560" s="49" t="str">
        <f t="shared" si="3376"/>
        <v/>
      </c>
      <c r="CB560" s="52" t="str">
        <f t="shared" si="3414"/>
        <v/>
      </c>
      <c r="CC560" s="23">
        <f t="shared" si="3415"/>
        <v>0</v>
      </c>
      <c r="CD560" s="49" t="str">
        <f t="shared" si="3377"/>
        <v/>
      </c>
      <c r="CE560" s="56" t="str">
        <f>IF(CF560="","",MAX(CE$10:$CE559)+1)</f>
        <v/>
      </c>
      <c r="CF560" t="str">
        <f t="shared" si="3416"/>
        <v/>
      </c>
      <c r="CG560" s="22" t="str">
        <f>IF(CH560="","",MAX($CG$10:CG559)+1)</f>
        <v/>
      </c>
      <c r="CH560" s="22" t="str">
        <f t="shared" si="3361"/>
        <v/>
      </c>
      <c r="CI560" s="22" t="str">
        <f>IF(CJ560="","",MAX($CI$10:CI559)+1)</f>
        <v/>
      </c>
      <c r="CJ560" s="22" t="str">
        <f t="shared" si="3362"/>
        <v/>
      </c>
    </row>
    <row r="561" spans="2:88" x14ac:dyDescent="0.25">
      <c r="B561" s="37"/>
      <c r="C561" s="3"/>
      <c r="D561" s="77" t="str">
        <f t="shared" si="3348"/>
        <v/>
      </c>
      <c r="E561" s="38"/>
      <c r="F561" s="38"/>
      <c r="G561" s="78">
        <f t="shared" si="3363"/>
        <v>0</v>
      </c>
      <c r="H561" s="3">
        <v>80</v>
      </c>
      <c r="I561" s="77" t="str">
        <f t="shared" si="3349"/>
        <v/>
      </c>
      <c r="J561" s="32"/>
      <c r="K561" s="3"/>
      <c r="L561" s="39"/>
      <c r="M561" s="39"/>
      <c r="N561" s="39"/>
      <c r="O561" s="39"/>
      <c r="P561" s="39"/>
      <c r="Q561" s="39"/>
      <c r="R561" s="39"/>
      <c r="S561" s="39"/>
      <c r="T561" s="3" t="s">
        <v>645</v>
      </c>
      <c r="U561" s="77" t="str">
        <f t="shared" si="3350"/>
        <v/>
      </c>
      <c r="V561" s="39">
        <v>1</v>
      </c>
      <c r="W561" s="79">
        <f t="shared" si="3364"/>
        <v>0</v>
      </c>
      <c r="X561" s="3">
        <v>0</v>
      </c>
      <c r="Y561" s="77" t="str">
        <f t="shared" si="3351"/>
        <v/>
      </c>
      <c r="Z561" s="3"/>
      <c r="AA561" s="37" t="str">
        <f t="shared" si="3365"/>
        <v/>
      </c>
      <c r="AC561" s="40"/>
      <c r="AD561" s="7"/>
      <c r="AE561" s="77" t="str">
        <f t="shared" si="3352"/>
        <v/>
      </c>
      <c r="AF561" s="81">
        <f t="shared" si="3378"/>
        <v>0</v>
      </c>
      <c r="AG561" s="40"/>
      <c r="AH561" s="7"/>
      <c r="AI561" s="77" t="str">
        <f t="shared" si="3353"/>
        <v/>
      </c>
      <c r="AJ561" s="81">
        <f t="shared" si="3379"/>
        <v>0</v>
      </c>
      <c r="AK561" s="83">
        <f t="shared" si="3380"/>
        <v>0</v>
      </c>
      <c r="AL561" s="83">
        <f t="shared" si="3381"/>
        <v>0</v>
      </c>
      <c r="AN561" s="43">
        <f t="shared" si="3354"/>
        <v>0</v>
      </c>
      <c r="AP561" t="str">
        <f t="shared" si="3382"/>
        <v/>
      </c>
      <c r="AQ561" t="str">
        <f t="shared" si="3383"/>
        <v/>
      </c>
      <c r="AR561" t="str">
        <f t="shared" si="3384"/>
        <v/>
      </c>
      <c r="AS561" t="str">
        <f t="shared" si="3385"/>
        <v/>
      </c>
      <c r="AT561" t="str">
        <f t="shared" si="3386"/>
        <v/>
      </c>
      <c r="AU561" t="str">
        <f t="shared" si="3387"/>
        <v/>
      </c>
      <c r="AV561" t="str">
        <f t="shared" si="3388"/>
        <v/>
      </c>
      <c r="AW561" t="str">
        <f t="shared" si="3389"/>
        <v xml:space="preserve">                              </v>
      </c>
      <c r="AX561" s="23">
        <f t="shared" si="3390"/>
        <v>0</v>
      </c>
      <c r="AY561" s="49" t="str">
        <f t="shared" si="3366"/>
        <v>000000000000000</v>
      </c>
      <c r="AZ561" s="23">
        <f t="shared" si="3391"/>
        <v>0</v>
      </c>
      <c r="BA561" s="49" t="str">
        <f t="shared" si="3366"/>
        <v>000000000000000</v>
      </c>
      <c r="BB561" s="23">
        <f t="shared" si="3392"/>
        <v>0</v>
      </c>
      <c r="BC561" s="49" t="str">
        <f t="shared" ref="BC561" si="3621">IF(BB561&lt;0,SUBSTITUTE(TEXT(BB561,"000000000000,00"),",",""),SUBSTITUTE(TEXT(BB561,"0000000000000,00"),",",""))</f>
        <v>000000000000000</v>
      </c>
      <c r="BD561" s="23">
        <f t="shared" si="3394"/>
        <v>0</v>
      </c>
      <c r="BE561" s="49" t="str">
        <f t="shared" ref="BE561" si="3622">IF(BD561&lt;0,SUBSTITUTE(TEXT(BD561,"000000000000,00"),",",""),SUBSTITUTE(TEXT(BD561,"0000000000000,00"),",",""))</f>
        <v>000000000000000</v>
      </c>
      <c r="BF561" s="23">
        <f t="shared" si="3396"/>
        <v>0</v>
      </c>
      <c r="BG561" s="49" t="str">
        <f t="shared" ref="BG561" si="3623">IF(BF561&lt;0,SUBSTITUTE(TEXT(BF561,"000000000000,00"),",",""),SUBSTITUTE(TEXT(BF561,"0000000000000,00"),",",""))</f>
        <v>000000000000000</v>
      </c>
      <c r="BH561" s="23">
        <f t="shared" si="3398"/>
        <v>0</v>
      </c>
      <c r="BI561" s="49" t="str">
        <f t="shared" ref="BI561" si="3624">IF(BH561&lt;0,SUBSTITUTE(TEXT(BH561,"000000000000,00"),",",""),SUBSTITUTE(TEXT(BH561,"0000000000000,00"),",",""))</f>
        <v>000000000000000</v>
      </c>
      <c r="BJ561" s="23">
        <f t="shared" si="3400"/>
        <v>0</v>
      </c>
      <c r="BK561" s="49" t="str">
        <f t="shared" ref="BK561" si="3625">IF(BJ561&lt;0,SUBSTITUTE(TEXT(BJ561,"000000000000,00"),",",""),SUBSTITUTE(TEXT(BJ561,"0000000000000,00"),",",""))</f>
        <v>000000000000000</v>
      </c>
      <c r="BL561" s="23">
        <f t="shared" si="3402"/>
        <v>0</v>
      </c>
      <c r="BM561" s="49" t="str">
        <f t="shared" ref="BM561" si="3626">IF(BL561&lt;0,SUBSTITUTE(TEXT(BL561,"000000000000,00"),",",""),SUBSTITUTE(TEXT(BL561,"0000000000000,00"),",",""))</f>
        <v>000000000000000</v>
      </c>
      <c r="BN561" t="str">
        <f t="shared" si="3404"/>
        <v>PES</v>
      </c>
      <c r="BO561" t="str">
        <f t="shared" si="3405"/>
        <v>0001000000</v>
      </c>
      <c r="BP561">
        <f t="shared" si="3406"/>
        <v>0</v>
      </c>
      <c r="BQ561">
        <f t="shared" si="3407"/>
        <v>0</v>
      </c>
      <c r="BR561" s="23">
        <f t="shared" si="3408"/>
        <v>0</v>
      </c>
      <c r="BS561" s="49" t="str">
        <f t="shared" si="3373"/>
        <v>000000000000000</v>
      </c>
      <c r="BT561" t="str">
        <f t="shared" si="3409"/>
        <v>00000000</v>
      </c>
      <c r="BU561" s="23">
        <f t="shared" si="3410"/>
        <v>0</v>
      </c>
      <c r="BV561" s="49" t="str">
        <f t="shared" si="3374"/>
        <v/>
      </c>
      <c r="BW561" s="52" t="str">
        <f t="shared" si="3411"/>
        <v/>
      </c>
      <c r="BX561" s="23">
        <f t="shared" si="3412"/>
        <v>0</v>
      </c>
      <c r="BY561" s="49" t="str">
        <f t="shared" si="3375"/>
        <v/>
      </c>
      <c r="BZ561" s="23">
        <f t="shared" si="3413"/>
        <v>0</v>
      </c>
      <c r="CA561" s="49" t="str">
        <f t="shared" si="3376"/>
        <v/>
      </c>
      <c r="CB561" s="52" t="str">
        <f t="shared" si="3414"/>
        <v/>
      </c>
      <c r="CC561" s="23">
        <f t="shared" si="3415"/>
        <v>0</v>
      </c>
      <c r="CD561" s="49" t="str">
        <f t="shared" si="3377"/>
        <v/>
      </c>
      <c r="CE561" s="56" t="str">
        <f>IF(CF561="","",MAX(CE$10:$CE560)+1)</f>
        <v/>
      </c>
      <c r="CF561" t="str">
        <f t="shared" si="3416"/>
        <v/>
      </c>
      <c r="CG561" s="22" t="str">
        <f>IF(CH561="","",MAX($CG$10:CG560)+1)</f>
        <v/>
      </c>
      <c r="CH561" s="22" t="str">
        <f t="shared" si="3361"/>
        <v/>
      </c>
      <c r="CI561" s="22" t="str">
        <f>IF(CJ561="","",MAX($CI$10:CI560)+1)</f>
        <v/>
      </c>
      <c r="CJ561" s="22" t="str">
        <f t="shared" si="3362"/>
        <v/>
      </c>
    </row>
    <row r="562" spans="2:88" x14ac:dyDescent="0.25">
      <c r="B562" s="37"/>
      <c r="C562" s="3"/>
      <c r="D562" s="77" t="str">
        <f t="shared" si="3348"/>
        <v/>
      </c>
      <c r="E562" s="38"/>
      <c r="F562" s="38"/>
      <c r="G562" s="78">
        <f t="shared" si="3363"/>
        <v>0</v>
      </c>
      <c r="H562" s="3">
        <v>80</v>
      </c>
      <c r="I562" s="77" t="str">
        <f t="shared" si="3349"/>
        <v/>
      </c>
      <c r="J562" s="32"/>
      <c r="K562" s="3"/>
      <c r="L562" s="39"/>
      <c r="M562" s="39"/>
      <c r="N562" s="39"/>
      <c r="O562" s="39"/>
      <c r="P562" s="39"/>
      <c r="Q562" s="39"/>
      <c r="R562" s="39"/>
      <c r="S562" s="39"/>
      <c r="T562" s="3" t="s">
        <v>645</v>
      </c>
      <c r="U562" s="77" t="str">
        <f t="shared" si="3350"/>
        <v/>
      </c>
      <c r="V562" s="39">
        <v>1</v>
      </c>
      <c r="W562" s="79">
        <f t="shared" si="3364"/>
        <v>0</v>
      </c>
      <c r="X562" s="3">
        <v>0</v>
      </c>
      <c r="Y562" s="77" t="str">
        <f t="shared" si="3351"/>
        <v/>
      </c>
      <c r="Z562" s="3"/>
      <c r="AA562" s="37" t="str">
        <f t="shared" si="3365"/>
        <v/>
      </c>
      <c r="AC562" s="40"/>
      <c r="AD562" s="7"/>
      <c r="AE562" s="77" t="str">
        <f t="shared" si="3352"/>
        <v/>
      </c>
      <c r="AF562" s="81">
        <f t="shared" si="3378"/>
        <v>0</v>
      </c>
      <c r="AG562" s="40"/>
      <c r="AH562" s="7"/>
      <c r="AI562" s="77" t="str">
        <f t="shared" si="3353"/>
        <v/>
      </c>
      <c r="AJ562" s="81">
        <f t="shared" si="3379"/>
        <v>0</v>
      </c>
      <c r="AK562" s="83">
        <f t="shared" si="3380"/>
        <v>0</v>
      </c>
      <c r="AL562" s="83">
        <f t="shared" si="3381"/>
        <v>0</v>
      </c>
      <c r="AN562" s="43">
        <f t="shared" si="3354"/>
        <v>0</v>
      </c>
      <c r="AP562" t="str">
        <f t="shared" si="3382"/>
        <v/>
      </c>
      <c r="AQ562" t="str">
        <f t="shared" si="3383"/>
        <v/>
      </c>
      <c r="AR562" t="str">
        <f t="shared" si="3384"/>
        <v/>
      </c>
      <c r="AS562" t="str">
        <f t="shared" si="3385"/>
        <v/>
      </c>
      <c r="AT562" t="str">
        <f t="shared" si="3386"/>
        <v/>
      </c>
      <c r="AU562" t="str">
        <f t="shared" si="3387"/>
        <v/>
      </c>
      <c r="AV562" t="str">
        <f t="shared" si="3388"/>
        <v/>
      </c>
      <c r="AW562" t="str">
        <f t="shared" si="3389"/>
        <v xml:space="preserve">                              </v>
      </c>
      <c r="AX562" s="23">
        <f t="shared" si="3390"/>
        <v>0</v>
      </c>
      <c r="AY562" s="49" t="str">
        <f t="shared" si="3366"/>
        <v>000000000000000</v>
      </c>
      <c r="AZ562" s="23">
        <f t="shared" si="3391"/>
        <v>0</v>
      </c>
      <c r="BA562" s="49" t="str">
        <f t="shared" si="3366"/>
        <v>000000000000000</v>
      </c>
      <c r="BB562" s="23">
        <f t="shared" si="3392"/>
        <v>0</v>
      </c>
      <c r="BC562" s="49" t="str">
        <f t="shared" ref="BC562" si="3627">IF(BB562&lt;0,SUBSTITUTE(TEXT(BB562,"000000000000,00"),",",""),SUBSTITUTE(TEXT(BB562,"0000000000000,00"),",",""))</f>
        <v>000000000000000</v>
      </c>
      <c r="BD562" s="23">
        <f t="shared" si="3394"/>
        <v>0</v>
      </c>
      <c r="BE562" s="49" t="str">
        <f t="shared" ref="BE562" si="3628">IF(BD562&lt;0,SUBSTITUTE(TEXT(BD562,"000000000000,00"),",",""),SUBSTITUTE(TEXT(BD562,"0000000000000,00"),",",""))</f>
        <v>000000000000000</v>
      </c>
      <c r="BF562" s="23">
        <f t="shared" si="3396"/>
        <v>0</v>
      </c>
      <c r="BG562" s="49" t="str">
        <f t="shared" ref="BG562" si="3629">IF(BF562&lt;0,SUBSTITUTE(TEXT(BF562,"000000000000,00"),",",""),SUBSTITUTE(TEXT(BF562,"0000000000000,00"),",",""))</f>
        <v>000000000000000</v>
      </c>
      <c r="BH562" s="23">
        <f t="shared" si="3398"/>
        <v>0</v>
      </c>
      <c r="BI562" s="49" t="str">
        <f t="shared" ref="BI562" si="3630">IF(BH562&lt;0,SUBSTITUTE(TEXT(BH562,"000000000000,00"),",",""),SUBSTITUTE(TEXT(BH562,"0000000000000,00"),",",""))</f>
        <v>000000000000000</v>
      </c>
      <c r="BJ562" s="23">
        <f t="shared" si="3400"/>
        <v>0</v>
      </c>
      <c r="BK562" s="49" t="str">
        <f t="shared" ref="BK562" si="3631">IF(BJ562&lt;0,SUBSTITUTE(TEXT(BJ562,"000000000000,00"),",",""),SUBSTITUTE(TEXT(BJ562,"0000000000000,00"),",",""))</f>
        <v>000000000000000</v>
      </c>
      <c r="BL562" s="23">
        <f t="shared" si="3402"/>
        <v>0</v>
      </c>
      <c r="BM562" s="49" t="str">
        <f t="shared" ref="BM562" si="3632">IF(BL562&lt;0,SUBSTITUTE(TEXT(BL562,"000000000000,00"),",",""),SUBSTITUTE(TEXT(BL562,"0000000000000,00"),",",""))</f>
        <v>000000000000000</v>
      </c>
      <c r="BN562" t="str">
        <f t="shared" si="3404"/>
        <v>PES</v>
      </c>
      <c r="BO562" t="str">
        <f t="shared" si="3405"/>
        <v>0001000000</v>
      </c>
      <c r="BP562">
        <f t="shared" si="3406"/>
        <v>0</v>
      </c>
      <c r="BQ562">
        <f t="shared" si="3407"/>
        <v>0</v>
      </c>
      <c r="BR562" s="23">
        <f t="shared" si="3408"/>
        <v>0</v>
      </c>
      <c r="BS562" s="49" t="str">
        <f t="shared" si="3373"/>
        <v>000000000000000</v>
      </c>
      <c r="BT562" t="str">
        <f t="shared" si="3409"/>
        <v>00000000</v>
      </c>
      <c r="BU562" s="23">
        <f t="shared" si="3410"/>
        <v>0</v>
      </c>
      <c r="BV562" s="49" t="str">
        <f t="shared" si="3374"/>
        <v/>
      </c>
      <c r="BW562" s="52" t="str">
        <f t="shared" si="3411"/>
        <v/>
      </c>
      <c r="BX562" s="23">
        <f t="shared" si="3412"/>
        <v>0</v>
      </c>
      <c r="BY562" s="49" t="str">
        <f t="shared" si="3375"/>
        <v/>
      </c>
      <c r="BZ562" s="23">
        <f t="shared" si="3413"/>
        <v>0</v>
      </c>
      <c r="CA562" s="49" t="str">
        <f t="shared" si="3376"/>
        <v/>
      </c>
      <c r="CB562" s="52" t="str">
        <f t="shared" si="3414"/>
        <v/>
      </c>
      <c r="CC562" s="23">
        <f t="shared" si="3415"/>
        <v>0</v>
      </c>
      <c r="CD562" s="49" t="str">
        <f t="shared" si="3377"/>
        <v/>
      </c>
      <c r="CE562" s="56" t="str">
        <f>IF(CF562="","",MAX(CE$10:$CE561)+1)</f>
        <v/>
      </c>
      <c r="CF562" t="str">
        <f t="shared" si="3416"/>
        <v/>
      </c>
      <c r="CG562" s="22" t="str">
        <f>IF(CH562="","",MAX($CG$10:CG561)+1)</f>
        <v/>
      </c>
      <c r="CH562" s="22" t="str">
        <f t="shared" si="3361"/>
        <v/>
      </c>
      <c r="CI562" s="22" t="str">
        <f>IF(CJ562="","",MAX($CI$10:CI561)+1)</f>
        <v/>
      </c>
      <c r="CJ562" s="22" t="str">
        <f t="shared" si="3362"/>
        <v/>
      </c>
    </row>
    <row r="563" spans="2:88" x14ac:dyDescent="0.25">
      <c r="B563" s="37"/>
      <c r="C563" s="3"/>
      <c r="D563" s="77" t="str">
        <f t="shared" si="3348"/>
        <v/>
      </c>
      <c r="E563" s="38"/>
      <c r="F563" s="38"/>
      <c r="G563" s="78">
        <f t="shared" si="3363"/>
        <v>0</v>
      </c>
      <c r="H563" s="3">
        <v>80</v>
      </c>
      <c r="I563" s="77" t="str">
        <f t="shared" si="3349"/>
        <v/>
      </c>
      <c r="J563" s="32"/>
      <c r="K563" s="3"/>
      <c r="L563" s="39"/>
      <c r="M563" s="39"/>
      <c r="N563" s="39"/>
      <c r="O563" s="39"/>
      <c r="P563" s="39"/>
      <c r="Q563" s="39"/>
      <c r="R563" s="39"/>
      <c r="S563" s="39"/>
      <c r="T563" s="3" t="s">
        <v>645</v>
      </c>
      <c r="U563" s="77" t="str">
        <f t="shared" si="3350"/>
        <v/>
      </c>
      <c r="V563" s="39">
        <v>1</v>
      </c>
      <c r="W563" s="79">
        <f t="shared" si="3364"/>
        <v>0</v>
      </c>
      <c r="X563" s="3">
        <v>0</v>
      </c>
      <c r="Y563" s="77" t="str">
        <f t="shared" si="3351"/>
        <v/>
      </c>
      <c r="Z563" s="3"/>
      <c r="AA563" s="37" t="str">
        <f t="shared" si="3365"/>
        <v/>
      </c>
      <c r="AC563" s="40"/>
      <c r="AD563" s="7"/>
      <c r="AE563" s="77" t="str">
        <f t="shared" si="3352"/>
        <v/>
      </c>
      <c r="AF563" s="81">
        <f t="shared" si="3378"/>
        <v>0</v>
      </c>
      <c r="AG563" s="40"/>
      <c r="AH563" s="7"/>
      <c r="AI563" s="77" t="str">
        <f t="shared" si="3353"/>
        <v/>
      </c>
      <c r="AJ563" s="81">
        <f t="shared" si="3379"/>
        <v>0</v>
      </c>
      <c r="AK563" s="83">
        <f t="shared" si="3380"/>
        <v>0</v>
      </c>
      <c r="AL563" s="83">
        <f t="shared" si="3381"/>
        <v>0</v>
      </c>
      <c r="AN563" s="43">
        <f t="shared" si="3354"/>
        <v>0</v>
      </c>
      <c r="AP563" t="str">
        <f t="shared" si="3382"/>
        <v/>
      </c>
      <c r="AQ563" t="str">
        <f t="shared" si="3383"/>
        <v/>
      </c>
      <c r="AR563" t="str">
        <f t="shared" si="3384"/>
        <v/>
      </c>
      <c r="AS563" t="str">
        <f t="shared" si="3385"/>
        <v/>
      </c>
      <c r="AT563" t="str">
        <f t="shared" si="3386"/>
        <v/>
      </c>
      <c r="AU563" t="str">
        <f t="shared" si="3387"/>
        <v/>
      </c>
      <c r="AV563" t="str">
        <f t="shared" si="3388"/>
        <v/>
      </c>
      <c r="AW563" t="str">
        <f t="shared" si="3389"/>
        <v xml:space="preserve">                              </v>
      </c>
      <c r="AX563" s="23">
        <f t="shared" si="3390"/>
        <v>0</v>
      </c>
      <c r="AY563" s="49" t="str">
        <f t="shared" si="3366"/>
        <v>000000000000000</v>
      </c>
      <c r="AZ563" s="23">
        <f t="shared" si="3391"/>
        <v>0</v>
      </c>
      <c r="BA563" s="49" t="str">
        <f t="shared" si="3366"/>
        <v>000000000000000</v>
      </c>
      <c r="BB563" s="23">
        <f t="shared" si="3392"/>
        <v>0</v>
      </c>
      <c r="BC563" s="49" t="str">
        <f t="shared" ref="BC563" si="3633">IF(BB563&lt;0,SUBSTITUTE(TEXT(BB563,"000000000000,00"),",",""),SUBSTITUTE(TEXT(BB563,"0000000000000,00"),",",""))</f>
        <v>000000000000000</v>
      </c>
      <c r="BD563" s="23">
        <f t="shared" si="3394"/>
        <v>0</v>
      </c>
      <c r="BE563" s="49" t="str">
        <f t="shared" ref="BE563" si="3634">IF(BD563&lt;0,SUBSTITUTE(TEXT(BD563,"000000000000,00"),",",""),SUBSTITUTE(TEXT(BD563,"0000000000000,00"),",",""))</f>
        <v>000000000000000</v>
      </c>
      <c r="BF563" s="23">
        <f t="shared" si="3396"/>
        <v>0</v>
      </c>
      <c r="BG563" s="49" t="str">
        <f t="shared" ref="BG563" si="3635">IF(BF563&lt;0,SUBSTITUTE(TEXT(BF563,"000000000000,00"),",",""),SUBSTITUTE(TEXT(BF563,"0000000000000,00"),",",""))</f>
        <v>000000000000000</v>
      </c>
      <c r="BH563" s="23">
        <f t="shared" si="3398"/>
        <v>0</v>
      </c>
      <c r="BI563" s="49" t="str">
        <f t="shared" ref="BI563" si="3636">IF(BH563&lt;0,SUBSTITUTE(TEXT(BH563,"000000000000,00"),",",""),SUBSTITUTE(TEXT(BH563,"0000000000000,00"),",",""))</f>
        <v>000000000000000</v>
      </c>
      <c r="BJ563" s="23">
        <f t="shared" si="3400"/>
        <v>0</v>
      </c>
      <c r="BK563" s="49" t="str">
        <f t="shared" ref="BK563" si="3637">IF(BJ563&lt;0,SUBSTITUTE(TEXT(BJ563,"000000000000,00"),",",""),SUBSTITUTE(TEXT(BJ563,"0000000000000,00"),",",""))</f>
        <v>000000000000000</v>
      </c>
      <c r="BL563" s="23">
        <f t="shared" si="3402"/>
        <v>0</v>
      </c>
      <c r="BM563" s="49" t="str">
        <f t="shared" ref="BM563" si="3638">IF(BL563&lt;0,SUBSTITUTE(TEXT(BL563,"000000000000,00"),",",""),SUBSTITUTE(TEXT(BL563,"0000000000000,00"),",",""))</f>
        <v>000000000000000</v>
      </c>
      <c r="BN563" t="str">
        <f t="shared" si="3404"/>
        <v>PES</v>
      </c>
      <c r="BO563" t="str">
        <f t="shared" si="3405"/>
        <v>0001000000</v>
      </c>
      <c r="BP563">
        <f t="shared" si="3406"/>
        <v>0</v>
      </c>
      <c r="BQ563">
        <f t="shared" si="3407"/>
        <v>0</v>
      </c>
      <c r="BR563" s="23">
        <f t="shared" si="3408"/>
        <v>0</v>
      </c>
      <c r="BS563" s="49" t="str">
        <f t="shared" si="3373"/>
        <v>000000000000000</v>
      </c>
      <c r="BT563" t="str">
        <f t="shared" si="3409"/>
        <v>00000000</v>
      </c>
      <c r="BU563" s="23">
        <f t="shared" si="3410"/>
        <v>0</v>
      </c>
      <c r="BV563" s="49" t="str">
        <f t="shared" si="3374"/>
        <v/>
      </c>
      <c r="BW563" s="52" t="str">
        <f t="shared" si="3411"/>
        <v/>
      </c>
      <c r="BX563" s="23">
        <f t="shared" si="3412"/>
        <v>0</v>
      </c>
      <c r="BY563" s="49" t="str">
        <f t="shared" si="3375"/>
        <v/>
      </c>
      <c r="BZ563" s="23">
        <f t="shared" si="3413"/>
        <v>0</v>
      </c>
      <c r="CA563" s="49" t="str">
        <f t="shared" si="3376"/>
        <v/>
      </c>
      <c r="CB563" s="52" t="str">
        <f t="shared" si="3414"/>
        <v/>
      </c>
      <c r="CC563" s="23">
        <f t="shared" si="3415"/>
        <v>0</v>
      </c>
      <c r="CD563" s="49" t="str">
        <f t="shared" si="3377"/>
        <v/>
      </c>
      <c r="CE563" s="56" t="str">
        <f>IF(CF563="","",MAX(CE$10:$CE562)+1)</f>
        <v/>
      </c>
      <c r="CF563" t="str">
        <f t="shared" si="3416"/>
        <v/>
      </c>
      <c r="CG563" s="22" t="str">
        <f>IF(CH563="","",MAX($CG$10:CG562)+1)</f>
        <v/>
      </c>
      <c r="CH563" s="22" t="str">
        <f t="shared" si="3361"/>
        <v/>
      </c>
      <c r="CI563" s="22" t="str">
        <f>IF(CJ563="","",MAX($CI$10:CI562)+1)</f>
        <v/>
      </c>
      <c r="CJ563" s="22" t="str">
        <f t="shared" si="3362"/>
        <v/>
      </c>
    </row>
    <row r="564" spans="2:88" x14ac:dyDescent="0.25">
      <c r="B564" s="37"/>
      <c r="C564" s="3"/>
      <c r="D564" s="77" t="str">
        <f t="shared" si="3348"/>
        <v/>
      </c>
      <c r="E564" s="38"/>
      <c r="F564" s="38"/>
      <c r="G564" s="78">
        <f t="shared" si="3363"/>
        <v>0</v>
      </c>
      <c r="H564" s="3">
        <v>80</v>
      </c>
      <c r="I564" s="77" t="str">
        <f t="shared" si="3349"/>
        <v/>
      </c>
      <c r="J564" s="32"/>
      <c r="K564" s="3"/>
      <c r="L564" s="39"/>
      <c r="M564" s="39"/>
      <c r="N564" s="39"/>
      <c r="O564" s="39"/>
      <c r="P564" s="39"/>
      <c r="Q564" s="39"/>
      <c r="R564" s="39"/>
      <c r="S564" s="39"/>
      <c r="T564" s="3" t="s">
        <v>645</v>
      </c>
      <c r="U564" s="77" t="str">
        <f t="shared" si="3350"/>
        <v/>
      </c>
      <c r="V564" s="39">
        <v>1</v>
      </c>
      <c r="W564" s="79">
        <f t="shared" si="3364"/>
        <v>0</v>
      </c>
      <c r="X564" s="3">
        <v>0</v>
      </c>
      <c r="Y564" s="77" t="str">
        <f t="shared" si="3351"/>
        <v/>
      </c>
      <c r="Z564" s="3"/>
      <c r="AA564" s="37" t="str">
        <f t="shared" si="3365"/>
        <v/>
      </c>
      <c r="AC564" s="40"/>
      <c r="AD564" s="7"/>
      <c r="AE564" s="77" t="str">
        <f t="shared" si="3352"/>
        <v/>
      </c>
      <c r="AF564" s="81">
        <f t="shared" si="3378"/>
        <v>0</v>
      </c>
      <c r="AG564" s="40"/>
      <c r="AH564" s="7"/>
      <c r="AI564" s="77" t="str">
        <f t="shared" si="3353"/>
        <v/>
      </c>
      <c r="AJ564" s="81">
        <f t="shared" si="3379"/>
        <v>0</v>
      </c>
      <c r="AK564" s="83">
        <f t="shared" si="3380"/>
        <v>0</v>
      </c>
      <c r="AL564" s="83">
        <f t="shared" si="3381"/>
        <v>0</v>
      </c>
      <c r="AN564" s="43">
        <f t="shared" si="3354"/>
        <v>0</v>
      </c>
      <c r="AP564" t="str">
        <f t="shared" si="3382"/>
        <v/>
      </c>
      <c r="AQ564" t="str">
        <f t="shared" si="3383"/>
        <v/>
      </c>
      <c r="AR564" t="str">
        <f t="shared" si="3384"/>
        <v/>
      </c>
      <c r="AS564" t="str">
        <f t="shared" si="3385"/>
        <v/>
      </c>
      <c r="AT564" t="str">
        <f t="shared" si="3386"/>
        <v/>
      </c>
      <c r="AU564" t="str">
        <f t="shared" si="3387"/>
        <v/>
      </c>
      <c r="AV564" t="str">
        <f t="shared" si="3388"/>
        <v/>
      </c>
      <c r="AW564" t="str">
        <f t="shared" si="3389"/>
        <v xml:space="preserve">                              </v>
      </c>
      <c r="AX564" s="23">
        <f t="shared" si="3390"/>
        <v>0</v>
      </c>
      <c r="AY564" s="49" t="str">
        <f t="shared" si="3366"/>
        <v>000000000000000</v>
      </c>
      <c r="AZ564" s="23">
        <f t="shared" si="3391"/>
        <v>0</v>
      </c>
      <c r="BA564" s="49" t="str">
        <f t="shared" si="3366"/>
        <v>000000000000000</v>
      </c>
      <c r="BB564" s="23">
        <f t="shared" si="3392"/>
        <v>0</v>
      </c>
      <c r="BC564" s="49" t="str">
        <f t="shared" ref="BC564" si="3639">IF(BB564&lt;0,SUBSTITUTE(TEXT(BB564,"000000000000,00"),",",""),SUBSTITUTE(TEXT(BB564,"0000000000000,00"),",",""))</f>
        <v>000000000000000</v>
      </c>
      <c r="BD564" s="23">
        <f t="shared" si="3394"/>
        <v>0</v>
      </c>
      <c r="BE564" s="49" t="str">
        <f t="shared" ref="BE564" si="3640">IF(BD564&lt;0,SUBSTITUTE(TEXT(BD564,"000000000000,00"),",",""),SUBSTITUTE(TEXT(BD564,"0000000000000,00"),",",""))</f>
        <v>000000000000000</v>
      </c>
      <c r="BF564" s="23">
        <f t="shared" si="3396"/>
        <v>0</v>
      </c>
      <c r="BG564" s="49" t="str">
        <f t="shared" ref="BG564" si="3641">IF(BF564&lt;0,SUBSTITUTE(TEXT(BF564,"000000000000,00"),",",""),SUBSTITUTE(TEXT(BF564,"0000000000000,00"),",",""))</f>
        <v>000000000000000</v>
      </c>
      <c r="BH564" s="23">
        <f t="shared" si="3398"/>
        <v>0</v>
      </c>
      <c r="BI564" s="49" t="str">
        <f t="shared" ref="BI564" si="3642">IF(BH564&lt;0,SUBSTITUTE(TEXT(BH564,"000000000000,00"),",",""),SUBSTITUTE(TEXT(BH564,"0000000000000,00"),",",""))</f>
        <v>000000000000000</v>
      </c>
      <c r="BJ564" s="23">
        <f t="shared" si="3400"/>
        <v>0</v>
      </c>
      <c r="BK564" s="49" t="str">
        <f t="shared" ref="BK564" si="3643">IF(BJ564&lt;0,SUBSTITUTE(TEXT(BJ564,"000000000000,00"),",",""),SUBSTITUTE(TEXT(BJ564,"0000000000000,00"),",",""))</f>
        <v>000000000000000</v>
      </c>
      <c r="BL564" s="23">
        <f t="shared" si="3402"/>
        <v>0</v>
      </c>
      <c r="BM564" s="49" t="str">
        <f t="shared" ref="BM564" si="3644">IF(BL564&lt;0,SUBSTITUTE(TEXT(BL564,"000000000000,00"),",",""),SUBSTITUTE(TEXT(BL564,"0000000000000,00"),",",""))</f>
        <v>000000000000000</v>
      </c>
      <c r="BN564" t="str">
        <f t="shared" si="3404"/>
        <v>PES</v>
      </c>
      <c r="BO564" t="str">
        <f t="shared" si="3405"/>
        <v>0001000000</v>
      </c>
      <c r="BP564">
        <f t="shared" si="3406"/>
        <v>0</v>
      </c>
      <c r="BQ564">
        <f t="shared" si="3407"/>
        <v>0</v>
      </c>
      <c r="BR564" s="23">
        <f t="shared" si="3408"/>
        <v>0</v>
      </c>
      <c r="BS564" s="49" t="str">
        <f t="shared" si="3373"/>
        <v>000000000000000</v>
      </c>
      <c r="BT564" t="str">
        <f t="shared" si="3409"/>
        <v>00000000</v>
      </c>
      <c r="BU564" s="23">
        <f t="shared" si="3410"/>
        <v>0</v>
      </c>
      <c r="BV564" s="49" t="str">
        <f t="shared" si="3374"/>
        <v/>
      </c>
      <c r="BW564" s="52" t="str">
        <f t="shared" si="3411"/>
        <v/>
      </c>
      <c r="BX564" s="23">
        <f t="shared" si="3412"/>
        <v>0</v>
      </c>
      <c r="BY564" s="49" t="str">
        <f t="shared" si="3375"/>
        <v/>
      </c>
      <c r="BZ564" s="23">
        <f t="shared" si="3413"/>
        <v>0</v>
      </c>
      <c r="CA564" s="49" t="str">
        <f t="shared" si="3376"/>
        <v/>
      </c>
      <c r="CB564" s="52" t="str">
        <f t="shared" si="3414"/>
        <v/>
      </c>
      <c r="CC564" s="23">
        <f t="shared" si="3415"/>
        <v>0</v>
      </c>
      <c r="CD564" s="49" t="str">
        <f t="shared" si="3377"/>
        <v/>
      </c>
      <c r="CE564" s="56" t="str">
        <f>IF(CF564="","",MAX(CE$10:$CE563)+1)</f>
        <v/>
      </c>
      <c r="CF564" t="str">
        <f t="shared" si="3416"/>
        <v/>
      </c>
      <c r="CG564" s="22" t="str">
        <f>IF(CH564="","",MAX($CG$10:CG563)+1)</f>
        <v/>
      </c>
      <c r="CH564" s="22" t="str">
        <f t="shared" si="3361"/>
        <v/>
      </c>
      <c r="CI564" s="22" t="str">
        <f>IF(CJ564="","",MAX($CI$10:CI563)+1)</f>
        <v/>
      </c>
      <c r="CJ564" s="22" t="str">
        <f t="shared" si="3362"/>
        <v/>
      </c>
    </row>
    <row r="565" spans="2:88" x14ac:dyDescent="0.25">
      <c r="B565" s="37"/>
      <c r="C565" s="3"/>
      <c r="D565" s="77" t="str">
        <f t="shared" si="3348"/>
        <v/>
      </c>
      <c r="E565" s="38"/>
      <c r="F565" s="38"/>
      <c r="G565" s="78">
        <f t="shared" si="3363"/>
        <v>0</v>
      </c>
      <c r="H565" s="3">
        <v>80</v>
      </c>
      <c r="I565" s="77" t="str">
        <f t="shared" si="3349"/>
        <v/>
      </c>
      <c r="J565" s="32"/>
      <c r="K565" s="3"/>
      <c r="L565" s="39"/>
      <c r="M565" s="39"/>
      <c r="N565" s="39"/>
      <c r="O565" s="39"/>
      <c r="P565" s="39"/>
      <c r="Q565" s="39"/>
      <c r="R565" s="39"/>
      <c r="S565" s="39"/>
      <c r="T565" s="3" t="s">
        <v>645</v>
      </c>
      <c r="U565" s="77" t="str">
        <f t="shared" si="3350"/>
        <v/>
      </c>
      <c r="V565" s="39">
        <v>1</v>
      </c>
      <c r="W565" s="79">
        <f t="shared" si="3364"/>
        <v>0</v>
      </c>
      <c r="X565" s="3">
        <v>0</v>
      </c>
      <c r="Y565" s="77" t="str">
        <f t="shared" si="3351"/>
        <v/>
      </c>
      <c r="Z565" s="3"/>
      <c r="AA565" s="37" t="str">
        <f t="shared" si="3365"/>
        <v/>
      </c>
      <c r="AC565" s="40"/>
      <c r="AD565" s="7"/>
      <c r="AE565" s="77" t="str">
        <f t="shared" si="3352"/>
        <v/>
      </c>
      <c r="AF565" s="81">
        <f t="shared" si="3378"/>
        <v>0</v>
      </c>
      <c r="AG565" s="40"/>
      <c r="AH565" s="7"/>
      <c r="AI565" s="77" t="str">
        <f t="shared" si="3353"/>
        <v/>
      </c>
      <c r="AJ565" s="81">
        <f t="shared" si="3379"/>
        <v>0</v>
      </c>
      <c r="AK565" s="83">
        <f t="shared" si="3380"/>
        <v>0</v>
      </c>
      <c r="AL565" s="83">
        <f t="shared" si="3381"/>
        <v>0</v>
      </c>
      <c r="AN565" s="43">
        <f t="shared" si="3354"/>
        <v>0</v>
      </c>
      <c r="AP565" t="str">
        <f t="shared" si="3382"/>
        <v/>
      </c>
      <c r="AQ565" t="str">
        <f t="shared" si="3383"/>
        <v/>
      </c>
      <c r="AR565" t="str">
        <f t="shared" si="3384"/>
        <v/>
      </c>
      <c r="AS565" t="str">
        <f t="shared" si="3385"/>
        <v/>
      </c>
      <c r="AT565" t="str">
        <f t="shared" si="3386"/>
        <v/>
      </c>
      <c r="AU565" t="str">
        <f t="shared" si="3387"/>
        <v/>
      </c>
      <c r="AV565" t="str">
        <f t="shared" si="3388"/>
        <v/>
      </c>
      <c r="AW565" t="str">
        <f t="shared" si="3389"/>
        <v xml:space="preserve">                              </v>
      </c>
      <c r="AX565" s="23">
        <f t="shared" si="3390"/>
        <v>0</v>
      </c>
      <c r="AY565" s="49" t="str">
        <f t="shared" si="3366"/>
        <v>000000000000000</v>
      </c>
      <c r="AZ565" s="23">
        <f t="shared" si="3391"/>
        <v>0</v>
      </c>
      <c r="BA565" s="49" t="str">
        <f t="shared" si="3366"/>
        <v>000000000000000</v>
      </c>
      <c r="BB565" s="23">
        <f t="shared" si="3392"/>
        <v>0</v>
      </c>
      <c r="BC565" s="49" t="str">
        <f t="shared" ref="BC565" si="3645">IF(BB565&lt;0,SUBSTITUTE(TEXT(BB565,"000000000000,00"),",",""),SUBSTITUTE(TEXT(BB565,"0000000000000,00"),",",""))</f>
        <v>000000000000000</v>
      </c>
      <c r="BD565" s="23">
        <f t="shared" si="3394"/>
        <v>0</v>
      </c>
      <c r="BE565" s="49" t="str">
        <f t="shared" ref="BE565" si="3646">IF(BD565&lt;0,SUBSTITUTE(TEXT(BD565,"000000000000,00"),",",""),SUBSTITUTE(TEXT(BD565,"0000000000000,00"),",",""))</f>
        <v>000000000000000</v>
      </c>
      <c r="BF565" s="23">
        <f t="shared" si="3396"/>
        <v>0</v>
      </c>
      <c r="BG565" s="49" t="str">
        <f t="shared" ref="BG565" si="3647">IF(BF565&lt;0,SUBSTITUTE(TEXT(BF565,"000000000000,00"),",",""),SUBSTITUTE(TEXT(BF565,"0000000000000,00"),",",""))</f>
        <v>000000000000000</v>
      </c>
      <c r="BH565" s="23">
        <f t="shared" si="3398"/>
        <v>0</v>
      </c>
      <c r="BI565" s="49" t="str">
        <f t="shared" ref="BI565" si="3648">IF(BH565&lt;0,SUBSTITUTE(TEXT(BH565,"000000000000,00"),",",""),SUBSTITUTE(TEXT(BH565,"0000000000000,00"),",",""))</f>
        <v>000000000000000</v>
      </c>
      <c r="BJ565" s="23">
        <f t="shared" si="3400"/>
        <v>0</v>
      </c>
      <c r="BK565" s="49" t="str">
        <f t="shared" ref="BK565" si="3649">IF(BJ565&lt;0,SUBSTITUTE(TEXT(BJ565,"000000000000,00"),",",""),SUBSTITUTE(TEXT(BJ565,"0000000000000,00"),",",""))</f>
        <v>000000000000000</v>
      </c>
      <c r="BL565" s="23">
        <f t="shared" si="3402"/>
        <v>0</v>
      </c>
      <c r="BM565" s="49" t="str">
        <f t="shared" ref="BM565" si="3650">IF(BL565&lt;0,SUBSTITUTE(TEXT(BL565,"000000000000,00"),",",""),SUBSTITUTE(TEXT(BL565,"0000000000000,00"),",",""))</f>
        <v>000000000000000</v>
      </c>
      <c r="BN565" t="str">
        <f t="shared" si="3404"/>
        <v>PES</v>
      </c>
      <c r="BO565" t="str">
        <f t="shared" si="3405"/>
        <v>0001000000</v>
      </c>
      <c r="BP565">
        <f t="shared" si="3406"/>
        <v>0</v>
      </c>
      <c r="BQ565">
        <f t="shared" si="3407"/>
        <v>0</v>
      </c>
      <c r="BR565" s="23">
        <f t="shared" si="3408"/>
        <v>0</v>
      </c>
      <c r="BS565" s="49" t="str">
        <f t="shared" si="3373"/>
        <v>000000000000000</v>
      </c>
      <c r="BT565" t="str">
        <f t="shared" si="3409"/>
        <v>00000000</v>
      </c>
      <c r="BU565" s="23">
        <f t="shared" si="3410"/>
        <v>0</v>
      </c>
      <c r="BV565" s="49" t="str">
        <f t="shared" si="3374"/>
        <v/>
      </c>
      <c r="BW565" s="52" t="str">
        <f t="shared" si="3411"/>
        <v/>
      </c>
      <c r="BX565" s="23">
        <f t="shared" si="3412"/>
        <v>0</v>
      </c>
      <c r="BY565" s="49" t="str">
        <f t="shared" si="3375"/>
        <v/>
      </c>
      <c r="BZ565" s="23">
        <f t="shared" si="3413"/>
        <v>0</v>
      </c>
      <c r="CA565" s="49" t="str">
        <f t="shared" si="3376"/>
        <v/>
      </c>
      <c r="CB565" s="52" t="str">
        <f t="shared" si="3414"/>
        <v/>
      </c>
      <c r="CC565" s="23">
        <f t="shared" si="3415"/>
        <v>0</v>
      </c>
      <c r="CD565" s="49" t="str">
        <f t="shared" si="3377"/>
        <v/>
      </c>
      <c r="CE565" s="56" t="str">
        <f>IF(CF565="","",MAX(CE$10:$CE564)+1)</f>
        <v/>
      </c>
      <c r="CF565" t="str">
        <f t="shared" si="3416"/>
        <v/>
      </c>
      <c r="CG565" s="22" t="str">
        <f>IF(CH565="","",MAX($CG$10:CG564)+1)</f>
        <v/>
      </c>
      <c r="CH565" s="22" t="str">
        <f t="shared" si="3361"/>
        <v/>
      </c>
      <c r="CI565" s="22" t="str">
        <f>IF(CJ565="","",MAX($CI$10:CI564)+1)</f>
        <v/>
      </c>
      <c r="CJ565" s="22" t="str">
        <f t="shared" si="3362"/>
        <v/>
      </c>
    </row>
    <row r="566" spans="2:88" x14ac:dyDescent="0.25">
      <c r="B566" s="37"/>
      <c r="C566" s="3"/>
      <c r="D566" s="77" t="str">
        <f t="shared" si="3348"/>
        <v/>
      </c>
      <c r="E566" s="38"/>
      <c r="F566" s="38"/>
      <c r="G566" s="78">
        <f t="shared" si="3363"/>
        <v>0</v>
      </c>
      <c r="H566" s="3">
        <v>80</v>
      </c>
      <c r="I566" s="77" t="str">
        <f t="shared" si="3349"/>
        <v/>
      </c>
      <c r="J566" s="32"/>
      <c r="K566" s="3"/>
      <c r="L566" s="39"/>
      <c r="M566" s="39"/>
      <c r="N566" s="39"/>
      <c r="O566" s="39"/>
      <c r="P566" s="39"/>
      <c r="Q566" s="39"/>
      <c r="R566" s="39"/>
      <c r="S566" s="39"/>
      <c r="T566" s="3" t="s">
        <v>645</v>
      </c>
      <c r="U566" s="77" t="str">
        <f t="shared" si="3350"/>
        <v/>
      </c>
      <c r="V566" s="39">
        <v>1</v>
      </c>
      <c r="W566" s="79">
        <f t="shared" si="3364"/>
        <v>0</v>
      </c>
      <c r="X566" s="3">
        <v>0</v>
      </c>
      <c r="Y566" s="77" t="str">
        <f t="shared" si="3351"/>
        <v/>
      </c>
      <c r="Z566" s="3"/>
      <c r="AA566" s="37" t="str">
        <f t="shared" si="3365"/>
        <v/>
      </c>
      <c r="AC566" s="40"/>
      <c r="AD566" s="7"/>
      <c r="AE566" s="77" t="str">
        <f t="shared" si="3352"/>
        <v/>
      </c>
      <c r="AF566" s="81">
        <f t="shared" si="3378"/>
        <v>0</v>
      </c>
      <c r="AG566" s="40"/>
      <c r="AH566" s="7"/>
      <c r="AI566" s="77" t="str">
        <f t="shared" si="3353"/>
        <v/>
      </c>
      <c r="AJ566" s="81">
        <f t="shared" si="3379"/>
        <v>0</v>
      </c>
      <c r="AK566" s="83">
        <f t="shared" si="3380"/>
        <v>0</v>
      </c>
      <c r="AL566" s="83">
        <f t="shared" si="3381"/>
        <v>0</v>
      </c>
      <c r="AN566" s="43">
        <f t="shared" si="3354"/>
        <v>0</v>
      </c>
      <c r="AP566" t="str">
        <f t="shared" si="3382"/>
        <v/>
      </c>
      <c r="AQ566" t="str">
        <f t="shared" si="3383"/>
        <v/>
      </c>
      <c r="AR566" t="str">
        <f t="shared" si="3384"/>
        <v/>
      </c>
      <c r="AS566" t="str">
        <f t="shared" si="3385"/>
        <v/>
      </c>
      <c r="AT566" t="str">
        <f t="shared" si="3386"/>
        <v/>
      </c>
      <c r="AU566" t="str">
        <f t="shared" si="3387"/>
        <v/>
      </c>
      <c r="AV566" t="str">
        <f t="shared" si="3388"/>
        <v/>
      </c>
      <c r="AW566" t="str">
        <f t="shared" si="3389"/>
        <v xml:space="preserve">                              </v>
      </c>
      <c r="AX566" s="23">
        <f t="shared" si="3390"/>
        <v>0</v>
      </c>
      <c r="AY566" s="49" t="str">
        <f t="shared" si="3366"/>
        <v>000000000000000</v>
      </c>
      <c r="AZ566" s="23">
        <f t="shared" si="3391"/>
        <v>0</v>
      </c>
      <c r="BA566" s="49" t="str">
        <f t="shared" si="3366"/>
        <v>000000000000000</v>
      </c>
      <c r="BB566" s="23">
        <f t="shared" si="3392"/>
        <v>0</v>
      </c>
      <c r="BC566" s="49" t="str">
        <f t="shared" ref="BC566" si="3651">IF(BB566&lt;0,SUBSTITUTE(TEXT(BB566,"000000000000,00"),",",""),SUBSTITUTE(TEXT(BB566,"0000000000000,00"),",",""))</f>
        <v>000000000000000</v>
      </c>
      <c r="BD566" s="23">
        <f t="shared" si="3394"/>
        <v>0</v>
      </c>
      <c r="BE566" s="49" t="str">
        <f t="shared" ref="BE566" si="3652">IF(BD566&lt;0,SUBSTITUTE(TEXT(BD566,"000000000000,00"),",",""),SUBSTITUTE(TEXT(BD566,"0000000000000,00"),",",""))</f>
        <v>000000000000000</v>
      </c>
      <c r="BF566" s="23">
        <f t="shared" si="3396"/>
        <v>0</v>
      </c>
      <c r="BG566" s="49" t="str">
        <f t="shared" ref="BG566" si="3653">IF(BF566&lt;0,SUBSTITUTE(TEXT(BF566,"000000000000,00"),",",""),SUBSTITUTE(TEXT(BF566,"0000000000000,00"),",",""))</f>
        <v>000000000000000</v>
      </c>
      <c r="BH566" s="23">
        <f t="shared" si="3398"/>
        <v>0</v>
      </c>
      <c r="BI566" s="49" t="str">
        <f t="shared" ref="BI566" si="3654">IF(BH566&lt;0,SUBSTITUTE(TEXT(BH566,"000000000000,00"),",",""),SUBSTITUTE(TEXT(BH566,"0000000000000,00"),",",""))</f>
        <v>000000000000000</v>
      </c>
      <c r="BJ566" s="23">
        <f t="shared" si="3400"/>
        <v>0</v>
      </c>
      <c r="BK566" s="49" t="str">
        <f t="shared" ref="BK566" si="3655">IF(BJ566&lt;0,SUBSTITUTE(TEXT(BJ566,"000000000000,00"),",",""),SUBSTITUTE(TEXT(BJ566,"0000000000000,00"),",",""))</f>
        <v>000000000000000</v>
      </c>
      <c r="BL566" s="23">
        <f t="shared" si="3402"/>
        <v>0</v>
      </c>
      <c r="BM566" s="49" t="str">
        <f t="shared" ref="BM566" si="3656">IF(BL566&lt;0,SUBSTITUTE(TEXT(BL566,"000000000000,00"),",",""),SUBSTITUTE(TEXT(BL566,"0000000000000,00"),",",""))</f>
        <v>000000000000000</v>
      </c>
      <c r="BN566" t="str">
        <f t="shared" si="3404"/>
        <v>PES</v>
      </c>
      <c r="BO566" t="str">
        <f t="shared" si="3405"/>
        <v>0001000000</v>
      </c>
      <c r="BP566">
        <f t="shared" si="3406"/>
        <v>0</v>
      </c>
      <c r="BQ566">
        <f t="shared" si="3407"/>
        <v>0</v>
      </c>
      <c r="BR566" s="23">
        <f t="shared" si="3408"/>
        <v>0</v>
      </c>
      <c r="BS566" s="49" t="str">
        <f t="shared" si="3373"/>
        <v>000000000000000</v>
      </c>
      <c r="BT566" t="str">
        <f t="shared" si="3409"/>
        <v>00000000</v>
      </c>
      <c r="BU566" s="23">
        <f t="shared" si="3410"/>
        <v>0</v>
      </c>
      <c r="BV566" s="49" t="str">
        <f t="shared" si="3374"/>
        <v/>
      </c>
      <c r="BW566" s="52" t="str">
        <f t="shared" si="3411"/>
        <v/>
      </c>
      <c r="BX566" s="23">
        <f t="shared" si="3412"/>
        <v>0</v>
      </c>
      <c r="BY566" s="49" t="str">
        <f t="shared" si="3375"/>
        <v/>
      </c>
      <c r="BZ566" s="23">
        <f t="shared" si="3413"/>
        <v>0</v>
      </c>
      <c r="CA566" s="49" t="str">
        <f t="shared" si="3376"/>
        <v/>
      </c>
      <c r="CB566" s="52" t="str">
        <f t="shared" si="3414"/>
        <v/>
      </c>
      <c r="CC566" s="23">
        <f t="shared" si="3415"/>
        <v>0</v>
      </c>
      <c r="CD566" s="49" t="str">
        <f t="shared" si="3377"/>
        <v/>
      </c>
      <c r="CE566" s="56" t="str">
        <f>IF(CF566="","",MAX(CE$10:$CE565)+1)</f>
        <v/>
      </c>
      <c r="CF566" t="str">
        <f t="shared" si="3416"/>
        <v/>
      </c>
      <c r="CG566" s="22" t="str">
        <f>IF(CH566="","",MAX($CG$10:CG565)+1)</f>
        <v/>
      </c>
      <c r="CH566" s="22" t="str">
        <f t="shared" si="3361"/>
        <v/>
      </c>
      <c r="CI566" s="22" t="str">
        <f>IF(CJ566="","",MAX($CI$10:CI565)+1)</f>
        <v/>
      </c>
      <c r="CJ566" s="22" t="str">
        <f t="shared" si="3362"/>
        <v/>
      </c>
    </row>
    <row r="567" spans="2:88" x14ac:dyDescent="0.25">
      <c r="B567" s="37"/>
      <c r="C567" s="3"/>
      <c r="D567" s="77" t="str">
        <f t="shared" si="3348"/>
        <v/>
      </c>
      <c r="E567" s="38"/>
      <c r="F567" s="38"/>
      <c r="G567" s="78">
        <f t="shared" si="3363"/>
        <v>0</v>
      </c>
      <c r="H567" s="3">
        <v>80</v>
      </c>
      <c r="I567" s="77" t="str">
        <f t="shared" si="3349"/>
        <v/>
      </c>
      <c r="J567" s="32"/>
      <c r="K567" s="3"/>
      <c r="L567" s="39"/>
      <c r="M567" s="39"/>
      <c r="N567" s="39"/>
      <c r="O567" s="39"/>
      <c r="P567" s="39"/>
      <c r="Q567" s="39"/>
      <c r="R567" s="39"/>
      <c r="S567" s="39"/>
      <c r="T567" s="3" t="s">
        <v>645</v>
      </c>
      <c r="U567" s="77" t="str">
        <f t="shared" si="3350"/>
        <v/>
      </c>
      <c r="V567" s="39">
        <v>1</v>
      </c>
      <c r="W567" s="79">
        <f t="shared" si="3364"/>
        <v>0</v>
      </c>
      <c r="X567" s="3">
        <v>0</v>
      </c>
      <c r="Y567" s="77" t="str">
        <f t="shared" si="3351"/>
        <v/>
      </c>
      <c r="Z567" s="3"/>
      <c r="AA567" s="37" t="str">
        <f t="shared" si="3365"/>
        <v/>
      </c>
      <c r="AC567" s="40"/>
      <c r="AD567" s="7"/>
      <c r="AE567" s="77" t="str">
        <f t="shared" si="3352"/>
        <v/>
      </c>
      <c r="AF567" s="81">
        <f t="shared" si="3378"/>
        <v>0</v>
      </c>
      <c r="AG567" s="40"/>
      <c r="AH567" s="7"/>
      <c r="AI567" s="77" t="str">
        <f t="shared" si="3353"/>
        <v/>
      </c>
      <c r="AJ567" s="81">
        <f t="shared" si="3379"/>
        <v>0</v>
      </c>
      <c r="AK567" s="83">
        <f t="shared" si="3380"/>
        <v>0</v>
      </c>
      <c r="AL567" s="83">
        <f t="shared" si="3381"/>
        <v>0</v>
      </c>
      <c r="AN567" s="43">
        <f t="shared" si="3354"/>
        <v>0</v>
      </c>
      <c r="AP567" t="str">
        <f t="shared" si="3382"/>
        <v/>
      </c>
      <c r="AQ567" t="str">
        <f t="shared" si="3383"/>
        <v/>
      </c>
      <c r="AR567" t="str">
        <f t="shared" si="3384"/>
        <v/>
      </c>
      <c r="AS567" t="str">
        <f t="shared" si="3385"/>
        <v/>
      </c>
      <c r="AT567" t="str">
        <f t="shared" si="3386"/>
        <v/>
      </c>
      <c r="AU567" t="str">
        <f t="shared" si="3387"/>
        <v/>
      </c>
      <c r="AV567" t="str">
        <f t="shared" si="3388"/>
        <v/>
      </c>
      <c r="AW567" t="str">
        <f t="shared" si="3389"/>
        <v xml:space="preserve">                              </v>
      </c>
      <c r="AX567" s="23">
        <f t="shared" si="3390"/>
        <v>0</v>
      </c>
      <c r="AY567" s="49" t="str">
        <f t="shared" si="3366"/>
        <v>000000000000000</v>
      </c>
      <c r="AZ567" s="23">
        <f t="shared" si="3391"/>
        <v>0</v>
      </c>
      <c r="BA567" s="49" t="str">
        <f t="shared" si="3366"/>
        <v>000000000000000</v>
      </c>
      <c r="BB567" s="23">
        <f t="shared" si="3392"/>
        <v>0</v>
      </c>
      <c r="BC567" s="49" t="str">
        <f t="shared" ref="BC567" si="3657">IF(BB567&lt;0,SUBSTITUTE(TEXT(BB567,"000000000000,00"),",",""),SUBSTITUTE(TEXT(BB567,"0000000000000,00"),",",""))</f>
        <v>000000000000000</v>
      </c>
      <c r="BD567" s="23">
        <f t="shared" si="3394"/>
        <v>0</v>
      </c>
      <c r="BE567" s="49" t="str">
        <f t="shared" ref="BE567" si="3658">IF(BD567&lt;0,SUBSTITUTE(TEXT(BD567,"000000000000,00"),",",""),SUBSTITUTE(TEXT(BD567,"0000000000000,00"),",",""))</f>
        <v>000000000000000</v>
      </c>
      <c r="BF567" s="23">
        <f t="shared" si="3396"/>
        <v>0</v>
      </c>
      <c r="BG567" s="49" t="str">
        <f t="shared" ref="BG567" si="3659">IF(BF567&lt;0,SUBSTITUTE(TEXT(BF567,"000000000000,00"),",",""),SUBSTITUTE(TEXT(BF567,"0000000000000,00"),",",""))</f>
        <v>000000000000000</v>
      </c>
      <c r="BH567" s="23">
        <f t="shared" si="3398"/>
        <v>0</v>
      </c>
      <c r="BI567" s="49" t="str">
        <f t="shared" ref="BI567" si="3660">IF(BH567&lt;0,SUBSTITUTE(TEXT(BH567,"000000000000,00"),",",""),SUBSTITUTE(TEXT(BH567,"0000000000000,00"),",",""))</f>
        <v>000000000000000</v>
      </c>
      <c r="BJ567" s="23">
        <f t="shared" si="3400"/>
        <v>0</v>
      </c>
      <c r="BK567" s="49" t="str">
        <f t="shared" ref="BK567" si="3661">IF(BJ567&lt;0,SUBSTITUTE(TEXT(BJ567,"000000000000,00"),",",""),SUBSTITUTE(TEXT(BJ567,"0000000000000,00"),",",""))</f>
        <v>000000000000000</v>
      </c>
      <c r="BL567" s="23">
        <f t="shared" si="3402"/>
        <v>0</v>
      </c>
      <c r="BM567" s="49" t="str">
        <f t="shared" ref="BM567" si="3662">IF(BL567&lt;0,SUBSTITUTE(TEXT(BL567,"000000000000,00"),",",""),SUBSTITUTE(TEXT(BL567,"0000000000000,00"),",",""))</f>
        <v>000000000000000</v>
      </c>
      <c r="BN567" t="str">
        <f t="shared" si="3404"/>
        <v>PES</v>
      </c>
      <c r="BO567" t="str">
        <f t="shared" si="3405"/>
        <v>0001000000</v>
      </c>
      <c r="BP567">
        <f t="shared" si="3406"/>
        <v>0</v>
      </c>
      <c r="BQ567">
        <f t="shared" si="3407"/>
        <v>0</v>
      </c>
      <c r="BR567" s="23">
        <f t="shared" si="3408"/>
        <v>0</v>
      </c>
      <c r="BS567" s="49" t="str">
        <f t="shared" si="3373"/>
        <v>000000000000000</v>
      </c>
      <c r="BT567" t="str">
        <f t="shared" si="3409"/>
        <v>00000000</v>
      </c>
      <c r="BU567" s="23">
        <f t="shared" si="3410"/>
        <v>0</v>
      </c>
      <c r="BV567" s="49" t="str">
        <f t="shared" si="3374"/>
        <v/>
      </c>
      <c r="BW567" s="52" t="str">
        <f t="shared" si="3411"/>
        <v/>
      </c>
      <c r="BX567" s="23">
        <f t="shared" si="3412"/>
        <v>0</v>
      </c>
      <c r="BY567" s="49" t="str">
        <f t="shared" si="3375"/>
        <v/>
      </c>
      <c r="BZ567" s="23">
        <f t="shared" si="3413"/>
        <v>0</v>
      </c>
      <c r="CA567" s="49" t="str">
        <f t="shared" si="3376"/>
        <v/>
      </c>
      <c r="CB567" s="52" t="str">
        <f t="shared" si="3414"/>
        <v/>
      </c>
      <c r="CC567" s="23">
        <f t="shared" si="3415"/>
        <v>0</v>
      </c>
      <c r="CD567" s="49" t="str">
        <f t="shared" si="3377"/>
        <v/>
      </c>
      <c r="CE567" s="56" t="str">
        <f>IF(CF567="","",MAX(CE$10:$CE566)+1)</f>
        <v/>
      </c>
      <c r="CF567" t="str">
        <f t="shared" si="3416"/>
        <v/>
      </c>
      <c r="CG567" s="22" t="str">
        <f>IF(CH567="","",MAX($CG$10:CG566)+1)</f>
        <v/>
      </c>
      <c r="CH567" s="22" t="str">
        <f t="shared" si="3361"/>
        <v/>
      </c>
      <c r="CI567" s="22" t="str">
        <f>IF(CJ567="","",MAX($CI$10:CI566)+1)</f>
        <v/>
      </c>
      <c r="CJ567" s="22" t="str">
        <f t="shared" si="3362"/>
        <v/>
      </c>
    </row>
    <row r="568" spans="2:88" x14ac:dyDescent="0.25">
      <c r="B568" s="37"/>
      <c r="C568" s="3"/>
      <c r="D568" s="77" t="str">
        <f t="shared" si="3348"/>
        <v/>
      </c>
      <c r="E568" s="38"/>
      <c r="F568" s="38"/>
      <c r="G568" s="78">
        <f t="shared" si="3363"/>
        <v>0</v>
      </c>
      <c r="H568" s="3">
        <v>80</v>
      </c>
      <c r="I568" s="77" t="str">
        <f t="shared" si="3349"/>
        <v/>
      </c>
      <c r="J568" s="32"/>
      <c r="K568" s="3"/>
      <c r="L568" s="39"/>
      <c r="M568" s="39"/>
      <c r="N568" s="39"/>
      <c r="O568" s="39"/>
      <c r="P568" s="39"/>
      <c r="Q568" s="39"/>
      <c r="R568" s="39"/>
      <c r="S568" s="39"/>
      <c r="T568" s="3" t="s">
        <v>645</v>
      </c>
      <c r="U568" s="77" t="str">
        <f t="shared" si="3350"/>
        <v/>
      </c>
      <c r="V568" s="39">
        <v>1</v>
      </c>
      <c r="W568" s="79">
        <f t="shared" si="3364"/>
        <v>0</v>
      </c>
      <c r="X568" s="3">
        <v>0</v>
      </c>
      <c r="Y568" s="77" t="str">
        <f t="shared" si="3351"/>
        <v/>
      </c>
      <c r="Z568" s="3"/>
      <c r="AA568" s="37" t="str">
        <f t="shared" si="3365"/>
        <v/>
      </c>
      <c r="AC568" s="40"/>
      <c r="AD568" s="7"/>
      <c r="AE568" s="77" t="str">
        <f t="shared" si="3352"/>
        <v/>
      </c>
      <c r="AF568" s="81">
        <f t="shared" si="3378"/>
        <v>0</v>
      </c>
      <c r="AG568" s="40"/>
      <c r="AH568" s="7"/>
      <c r="AI568" s="77" t="str">
        <f t="shared" si="3353"/>
        <v/>
      </c>
      <c r="AJ568" s="81">
        <f t="shared" si="3379"/>
        <v>0</v>
      </c>
      <c r="AK568" s="83">
        <f t="shared" si="3380"/>
        <v>0</v>
      </c>
      <c r="AL568" s="83">
        <f t="shared" si="3381"/>
        <v>0</v>
      </c>
      <c r="AN568" s="43">
        <f t="shared" si="3354"/>
        <v>0</v>
      </c>
      <c r="AP568" t="str">
        <f t="shared" si="3382"/>
        <v/>
      </c>
      <c r="AQ568" t="str">
        <f t="shared" si="3383"/>
        <v/>
      </c>
      <c r="AR568" t="str">
        <f t="shared" si="3384"/>
        <v/>
      </c>
      <c r="AS568" t="str">
        <f t="shared" si="3385"/>
        <v/>
      </c>
      <c r="AT568" t="str">
        <f t="shared" si="3386"/>
        <v/>
      </c>
      <c r="AU568" t="str">
        <f t="shared" si="3387"/>
        <v/>
      </c>
      <c r="AV568" t="str">
        <f t="shared" si="3388"/>
        <v/>
      </c>
      <c r="AW568" t="str">
        <f t="shared" si="3389"/>
        <v xml:space="preserve">                              </v>
      </c>
      <c r="AX568" s="23">
        <f t="shared" si="3390"/>
        <v>0</v>
      </c>
      <c r="AY568" s="49" t="str">
        <f t="shared" si="3366"/>
        <v>000000000000000</v>
      </c>
      <c r="AZ568" s="23">
        <f t="shared" si="3391"/>
        <v>0</v>
      </c>
      <c r="BA568" s="49" t="str">
        <f t="shared" si="3366"/>
        <v>000000000000000</v>
      </c>
      <c r="BB568" s="23">
        <f t="shared" si="3392"/>
        <v>0</v>
      </c>
      <c r="BC568" s="49" t="str">
        <f t="shared" ref="BC568" si="3663">IF(BB568&lt;0,SUBSTITUTE(TEXT(BB568,"000000000000,00"),",",""),SUBSTITUTE(TEXT(BB568,"0000000000000,00"),",",""))</f>
        <v>000000000000000</v>
      </c>
      <c r="BD568" s="23">
        <f t="shared" si="3394"/>
        <v>0</v>
      </c>
      <c r="BE568" s="49" t="str">
        <f t="shared" ref="BE568" si="3664">IF(BD568&lt;0,SUBSTITUTE(TEXT(BD568,"000000000000,00"),",",""),SUBSTITUTE(TEXT(BD568,"0000000000000,00"),",",""))</f>
        <v>000000000000000</v>
      </c>
      <c r="BF568" s="23">
        <f t="shared" si="3396"/>
        <v>0</v>
      </c>
      <c r="BG568" s="49" t="str">
        <f t="shared" ref="BG568" si="3665">IF(BF568&lt;0,SUBSTITUTE(TEXT(BF568,"000000000000,00"),",",""),SUBSTITUTE(TEXT(BF568,"0000000000000,00"),",",""))</f>
        <v>000000000000000</v>
      </c>
      <c r="BH568" s="23">
        <f t="shared" si="3398"/>
        <v>0</v>
      </c>
      <c r="BI568" s="49" t="str">
        <f t="shared" ref="BI568" si="3666">IF(BH568&lt;0,SUBSTITUTE(TEXT(BH568,"000000000000,00"),",",""),SUBSTITUTE(TEXT(BH568,"0000000000000,00"),",",""))</f>
        <v>000000000000000</v>
      </c>
      <c r="BJ568" s="23">
        <f t="shared" si="3400"/>
        <v>0</v>
      </c>
      <c r="BK568" s="49" t="str">
        <f t="shared" ref="BK568" si="3667">IF(BJ568&lt;0,SUBSTITUTE(TEXT(BJ568,"000000000000,00"),",",""),SUBSTITUTE(TEXT(BJ568,"0000000000000,00"),",",""))</f>
        <v>000000000000000</v>
      </c>
      <c r="BL568" s="23">
        <f t="shared" si="3402"/>
        <v>0</v>
      </c>
      <c r="BM568" s="49" t="str">
        <f t="shared" ref="BM568" si="3668">IF(BL568&lt;0,SUBSTITUTE(TEXT(BL568,"000000000000,00"),",",""),SUBSTITUTE(TEXT(BL568,"0000000000000,00"),",",""))</f>
        <v>000000000000000</v>
      </c>
      <c r="BN568" t="str">
        <f t="shared" si="3404"/>
        <v>PES</v>
      </c>
      <c r="BO568" t="str">
        <f t="shared" si="3405"/>
        <v>0001000000</v>
      </c>
      <c r="BP568">
        <f t="shared" si="3406"/>
        <v>0</v>
      </c>
      <c r="BQ568">
        <f t="shared" si="3407"/>
        <v>0</v>
      </c>
      <c r="BR568" s="23">
        <f t="shared" si="3408"/>
        <v>0</v>
      </c>
      <c r="BS568" s="49" t="str">
        <f t="shared" si="3373"/>
        <v>000000000000000</v>
      </c>
      <c r="BT568" t="str">
        <f t="shared" si="3409"/>
        <v>00000000</v>
      </c>
      <c r="BU568" s="23">
        <f t="shared" si="3410"/>
        <v>0</v>
      </c>
      <c r="BV568" s="49" t="str">
        <f t="shared" si="3374"/>
        <v/>
      </c>
      <c r="BW568" s="52" t="str">
        <f t="shared" si="3411"/>
        <v/>
      </c>
      <c r="BX568" s="23">
        <f t="shared" si="3412"/>
        <v>0</v>
      </c>
      <c r="BY568" s="49" t="str">
        <f t="shared" si="3375"/>
        <v/>
      </c>
      <c r="BZ568" s="23">
        <f t="shared" si="3413"/>
        <v>0</v>
      </c>
      <c r="CA568" s="49" t="str">
        <f t="shared" si="3376"/>
        <v/>
      </c>
      <c r="CB568" s="52" t="str">
        <f t="shared" si="3414"/>
        <v/>
      </c>
      <c r="CC568" s="23">
        <f t="shared" si="3415"/>
        <v>0</v>
      </c>
      <c r="CD568" s="49" t="str">
        <f t="shared" si="3377"/>
        <v/>
      </c>
      <c r="CE568" s="56" t="str">
        <f>IF(CF568="","",MAX(CE$10:$CE567)+1)</f>
        <v/>
      </c>
      <c r="CF568" t="str">
        <f t="shared" si="3416"/>
        <v/>
      </c>
      <c r="CG568" s="22" t="str">
        <f>IF(CH568="","",MAX($CG$10:CG567)+1)</f>
        <v/>
      </c>
      <c r="CH568" s="22" t="str">
        <f t="shared" si="3361"/>
        <v/>
      </c>
      <c r="CI568" s="22" t="str">
        <f>IF(CJ568="","",MAX($CI$10:CI567)+1)</f>
        <v/>
      </c>
      <c r="CJ568" s="22" t="str">
        <f t="shared" si="3362"/>
        <v/>
      </c>
    </row>
    <row r="569" spans="2:88" x14ac:dyDescent="0.25">
      <c r="B569" s="37"/>
      <c r="C569" s="3"/>
      <c r="D569" s="77" t="str">
        <f t="shared" si="3348"/>
        <v/>
      </c>
      <c r="E569" s="38"/>
      <c r="F569" s="38"/>
      <c r="G569" s="78">
        <f t="shared" si="3363"/>
        <v>0</v>
      </c>
      <c r="H569" s="3">
        <v>80</v>
      </c>
      <c r="I569" s="77" t="str">
        <f t="shared" si="3349"/>
        <v/>
      </c>
      <c r="J569" s="32"/>
      <c r="K569" s="3"/>
      <c r="L569" s="39"/>
      <c r="M569" s="39"/>
      <c r="N569" s="39"/>
      <c r="O569" s="39"/>
      <c r="P569" s="39"/>
      <c r="Q569" s="39"/>
      <c r="R569" s="39"/>
      <c r="S569" s="39"/>
      <c r="T569" s="3" t="s">
        <v>645</v>
      </c>
      <c r="U569" s="77" t="str">
        <f t="shared" si="3350"/>
        <v/>
      </c>
      <c r="V569" s="39">
        <v>1</v>
      </c>
      <c r="W569" s="79">
        <f t="shared" si="3364"/>
        <v>0</v>
      </c>
      <c r="X569" s="3">
        <v>0</v>
      </c>
      <c r="Y569" s="77" t="str">
        <f t="shared" si="3351"/>
        <v/>
      </c>
      <c r="Z569" s="3"/>
      <c r="AA569" s="37" t="str">
        <f t="shared" si="3365"/>
        <v/>
      </c>
      <c r="AC569" s="40"/>
      <c r="AD569" s="7"/>
      <c r="AE569" s="77" t="str">
        <f t="shared" si="3352"/>
        <v/>
      </c>
      <c r="AF569" s="81">
        <f t="shared" si="3378"/>
        <v>0</v>
      </c>
      <c r="AG569" s="40"/>
      <c r="AH569" s="7"/>
      <c r="AI569" s="77" t="str">
        <f t="shared" si="3353"/>
        <v/>
      </c>
      <c r="AJ569" s="81">
        <f t="shared" si="3379"/>
        <v>0</v>
      </c>
      <c r="AK569" s="83">
        <f t="shared" si="3380"/>
        <v>0</v>
      </c>
      <c r="AL569" s="83">
        <f t="shared" si="3381"/>
        <v>0</v>
      </c>
      <c r="AN569" s="43">
        <f t="shared" si="3354"/>
        <v>0</v>
      </c>
      <c r="AP569" t="str">
        <f t="shared" si="3382"/>
        <v/>
      </c>
      <c r="AQ569" t="str">
        <f t="shared" si="3383"/>
        <v/>
      </c>
      <c r="AR569" t="str">
        <f t="shared" si="3384"/>
        <v/>
      </c>
      <c r="AS569" t="str">
        <f t="shared" si="3385"/>
        <v/>
      </c>
      <c r="AT569" t="str">
        <f t="shared" si="3386"/>
        <v/>
      </c>
      <c r="AU569" t="str">
        <f t="shared" si="3387"/>
        <v/>
      </c>
      <c r="AV569" t="str">
        <f t="shared" si="3388"/>
        <v/>
      </c>
      <c r="AW569" t="str">
        <f t="shared" si="3389"/>
        <v xml:space="preserve">                              </v>
      </c>
      <c r="AX569" s="23">
        <f t="shared" si="3390"/>
        <v>0</v>
      </c>
      <c r="AY569" s="49" t="str">
        <f t="shared" si="3366"/>
        <v>000000000000000</v>
      </c>
      <c r="AZ569" s="23">
        <f t="shared" si="3391"/>
        <v>0</v>
      </c>
      <c r="BA569" s="49" t="str">
        <f t="shared" si="3366"/>
        <v>000000000000000</v>
      </c>
      <c r="BB569" s="23">
        <f t="shared" si="3392"/>
        <v>0</v>
      </c>
      <c r="BC569" s="49" t="str">
        <f t="shared" ref="BC569" si="3669">IF(BB569&lt;0,SUBSTITUTE(TEXT(BB569,"000000000000,00"),",",""),SUBSTITUTE(TEXT(BB569,"0000000000000,00"),",",""))</f>
        <v>000000000000000</v>
      </c>
      <c r="BD569" s="23">
        <f t="shared" si="3394"/>
        <v>0</v>
      </c>
      <c r="BE569" s="49" t="str">
        <f t="shared" ref="BE569" si="3670">IF(BD569&lt;0,SUBSTITUTE(TEXT(BD569,"000000000000,00"),",",""),SUBSTITUTE(TEXT(BD569,"0000000000000,00"),",",""))</f>
        <v>000000000000000</v>
      </c>
      <c r="BF569" s="23">
        <f t="shared" si="3396"/>
        <v>0</v>
      </c>
      <c r="BG569" s="49" t="str">
        <f t="shared" ref="BG569" si="3671">IF(BF569&lt;0,SUBSTITUTE(TEXT(BF569,"000000000000,00"),",",""),SUBSTITUTE(TEXT(BF569,"0000000000000,00"),",",""))</f>
        <v>000000000000000</v>
      </c>
      <c r="BH569" s="23">
        <f t="shared" si="3398"/>
        <v>0</v>
      </c>
      <c r="BI569" s="49" t="str">
        <f t="shared" ref="BI569" si="3672">IF(BH569&lt;0,SUBSTITUTE(TEXT(BH569,"000000000000,00"),",",""),SUBSTITUTE(TEXT(BH569,"0000000000000,00"),",",""))</f>
        <v>000000000000000</v>
      </c>
      <c r="BJ569" s="23">
        <f t="shared" si="3400"/>
        <v>0</v>
      </c>
      <c r="BK569" s="49" t="str">
        <f t="shared" ref="BK569" si="3673">IF(BJ569&lt;0,SUBSTITUTE(TEXT(BJ569,"000000000000,00"),",",""),SUBSTITUTE(TEXT(BJ569,"0000000000000,00"),",",""))</f>
        <v>000000000000000</v>
      </c>
      <c r="BL569" s="23">
        <f t="shared" si="3402"/>
        <v>0</v>
      </c>
      <c r="BM569" s="49" t="str">
        <f t="shared" ref="BM569" si="3674">IF(BL569&lt;0,SUBSTITUTE(TEXT(BL569,"000000000000,00"),",",""),SUBSTITUTE(TEXT(BL569,"0000000000000,00"),",",""))</f>
        <v>000000000000000</v>
      </c>
      <c r="BN569" t="str">
        <f t="shared" si="3404"/>
        <v>PES</v>
      </c>
      <c r="BO569" t="str">
        <f t="shared" si="3405"/>
        <v>0001000000</v>
      </c>
      <c r="BP569">
        <f t="shared" si="3406"/>
        <v>0</v>
      </c>
      <c r="BQ569">
        <f t="shared" si="3407"/>
        <v>0</v>
      </c>
      <c r="BR569" s="23">
        <f t="shared" si="3408"/>
        <v>0</v>
      </c>
      <c r="BS569" s="49" t="str">
        <f t="shared" si="3373"/>
        <v>000000000000000</v>
      </c>
      <c r="BT569" t="str">
        <f t="shared" si="3409"/>
        <v>00000000</v>
      </c>
      <c r="BU569" s="23">
        <f t="shared" si="3410"/>
        <v>0</v>
      </c>
      <c r="BV569" s="49" t="str">
        <f t="shared" si="3374"/>
        <v/>
      </c>
      <c r="BW569" s="52" t="str">
        <f t="shared" si="3411"/>
        <v/>
      </c>
      <c r="BX569" s="23">
        <f t="shared" si="3412"/>
        <v>0</v>
      </c>
      <c r="BY569" s="49" t="str">
        <f t="shared" si="3375"/>
        <v/>
      </c>
      <c r="BZ569" s="23">
        <f t="shared" si="3413"/>
        <v>0</v>
      </c>
      <c r="CA569" s="49" t="str">
        <f t="shared" si="3376"/>
        <v/>
      </c>
      <c r="CB569" s="52" t="str">
        <f t="shared" si="3414"/>
        <v/>
      </c>
      <c r="CC569" s="23">
        <f t="shared" si="3415"/>
        <v>0</v>
      </c>
      <c r="CD569" s="49" t="str">
        <f t="shared" si="3377"/>
        <v/>
      </c>
      <c r="CE569" s="56" t="str">
        <f>IF(CF569="","",MAX(CE$10:$CE568)+1)</f>
        <v/>
      </c>
      <c r="CF569" t="str">
        <f t="shared" si="3416"/>
        <v/>
      </c>
      <c r="CG569" s="22" t="str">
        <f>IF(CH569="","",MAX($CG$10:CG568)+1)</f>
        <v/>
      </c>
      <c r="CH569" s="22" t="str">
        <f t="shared" si="3361"/>
        <v/>
      </c>
      <c r="CI569" s="22" t="str">
        <f>IF(CJ569="","",MAX($CI$10:CI568)+1)</f>
        <v/>
      </c>
      <c r="CJ569" s="22" t="str">
        <f t="shared" si="3362"/>
        <v/>
      </c>
    </row>
    <row r="570" spans="2:88" x14ac:dyDescent="0.25">
      <c r="B570" s="37"/>
      <c r="C570" s="3"/>
      <c r="D570" s="77" t="str">
        <f t="shared" si="3348"/>
        <v/>
      </c>
      <c r="E570" s="38"/>
      <c r="F570" s="38"/>
      <c r="G570" s="78">
        <f t="shared" si="3363"/>
        <v>0</v>
      </c>
      <c r="H570" s="3">
        <v>80</v>
      </c>
      <c r="I570" s="77" t="str">
        <f t="shared" si="3349"/>
        <v/>
      </c>
      <c r="J570" s="32"/>
      <c r="K570" s="3"/>
      <c r="L570" s="39"/>
      <c r="M570" s="39"/>
      <c r="N570" s="39"/>
      <c r="O570" s="39"/>
      <c r="P570" s="39"/>
      <c r="Q570" s="39"/>
      <c r="R570" s="39"/>
      <c r="S570" s="39"/>
      <c r="T570" s="3" t="s">
        <v>645</v>
      </c>
      <c r="U570" s="77" t="str">
        <f t="shared" si="3350"/>
        <v/>
      </c>
      <c r="V570" s="39">
        <v>1</v>
      </c>
      <c r="W570" s="79">
        <f t="shared" si="3364"/>
        <v>0</v>
      </c>
      <c r="X570" s="3">
        <v>0</v>
      </c>
      <c r="Y570" s="77" t="str">
        <f t="shared" si="3351"/>
        <v/>
      </c>
      <c r="Z570" s="3"/>
      <c r="AA570" s="37" t="str">
        <f t="shared" si="3365"/>
        <v/>
      </c>
      <c r="AC570" s="40"/>
      <c r="AD570" s="7"/>
      <c r="AE570" s="77" t="str">
        <f t="shared" si="3352"/>
        <v/>
      </c>
      <c r="AF570" s="81">
        <f t="shared" si="3378"/>
        <v>0</v>
      </c>
      <c r="AG570" s="40"/>
      <c r="AH570" s="7"/>
      <c r="AI570" s="77" t="str">
        <f t="shared" si="3353"/>
        <v/>
      </c>
      <c r="AJ570" s="81">
        <f t="shared" si="3379"/>
        <v>0</v>
      </c>
      <c r="AK570" s="83">
        <f t="shared" si="3380"/>
        <v>0</v>
      </c>
      <c r="AL570" s="83">
        <f t="shared" si="3381"/>
        <v>0</v>
      </c>
      <c r="AN570" s="43">
        <f t="shared" si="3354"/>
        <v>0</v>
      </c>
      <c r="AP570" t="str">
        <f t="shared" si="3382"/>
        <v/>
      </c>
      <c r="AQ570" t="str">
        <f t="shared" si="3383"/>
        <v/>
      </c>
      <c r="AR570" t="str">
        <f t="shared" si="3384"/>
        <v/>
      </c>
      <c r="AS570" t="str">
        <f t="shared" si="3385"/>
        <v/>
      </c>
      <c r="AT570" t="str">
        <f t="shared" si="3386"/>
        <v/>
      </c>
      <c r="AU570" t="str">
        <f t="shared" si="3387"/>
        <v/>
      </c>
      <c r="AV570" t="str">
        <f t="shared" si="3388"/>
        <v/>
      </c>
      <c r="AW570" t="str">
        <f t="shared" si="3389"/>
        <v xml:space="preserve">                              </v>
      </c>
      <c r="AX570" s="23">
        <f t="shared" si="3390"/>
        <v>0</v>
      </c>
      <c r="AY570" s="49" t="str">
        <f t="shared" si="3366"/>
        <v>000000000000000</v>
      </c>
      <c r="AZ570" s="23">
        <f t="shared" si="3391"/>
        <v>0</v>
      </c>
      <c r="BA570" s="49" t="str">
        <f t="shared" si="3366"/>
        <v>000000000000000</v>
      </c>
      <c r="BB570" s="23">
        <f t="shared" si="3392"/>
        <v>0</v>
      </c>
      <c r="BC570" s="49" t="str">
        <f t="shared" ref="BC570" si="3675">IF(BB570&lt;0,SUBSTITUTE(TEXT(BB570,"000000000000,00"),",",""),SUBSTITUTE(TEXT(BB570,"0000000000000,00"),",",""))</f>
        <v>000000000000000</v>
      </c>
      <c r="BD570" s="23">
        <f t="shared" si="3394"/>
        <v>0</v>
      </c>
      <c r="BE570" s="49" t="str">
        <f t="shared" ref="BE570" si="3676">IF(BD570&lt;0,SUBSTITUTE(TEXT(BD570,"000000000000,00"),",",""),SUBSTITUTE(TEXT(BD570,"0000000000000,00"),",",""))</f>
        <v>000000000000000</v>
      </c>
      <c r="BF570" s="23">
        <f t="shared" si="3396"/>
        <v>0</v>
      </c>
      <c r="BG570" s="49" t="str">
        <f t="shared" ref="BG570" si="3677">IF(BF570&lt;0,SUBSTITUTE(TEXT(BF570,"000000000000,00"),",",""),SUBSTITUTE(TEXT(BF570,"0000000000000,00"),",",""))</f>
        <v>000000000000000</v>
      </c>
      <c r="BH570" s="23">
        <f t="shared" si="3398"/>
        <v>0</v>
      </c>
      <c r="BI570" s="49" t="str">
        <f t="shared" ref="BI570" si="3678">IF(BH570&lt;0,SUBSTITUTE(TEXT(BH570,"000000000000,00"),",",""),SUBSTITUTE(TEXT(BH570,"0000000000000,00"),",",""))</f>
        <v>000000000000000</v>
      </c>
      <c r="BJ570" s="23">
        <f t="shared" si="3400"/>
        <v>0</v>
      </c>
      <c r="BK570" s="49" t="str">
        <f t="shared" ref="BK570" si="3679">IF(BJ570&lt;0,SUBSTITUTE(TEXT(BJ570,"000000000000,00"),",",""),SUBSTITUTE(TEXT(BJ570,"0000000000000,00"),",",""))</f>
        <v>000000000000000</v>
      </c>
      <c r="BL570" s="23">
        <f t="shared" si="3402"/>
        <v>0</v>
      </c>
      <c r="BM570" s="49" t="str">
        <f t="shared" ref="BM570" si="3680">IF(BL570&lt;0,SUBSTITUTE(TEXT(BL570,"000000000000,00"),",",""),SUBSTITUTE(TEXT(BL570,"0000000000000,00"),",",""))</f>
        <v>000000000000000</v>
      </c>
      <c r="BN570" t="str">
        <f t="shared" si="3404"/>
        <v>PES</v>
      </c>
      <c r="BO570" t="str">
        <f t="shared" si="3405"/>
        <v>0001000000</v>
      </c>
      <c r="BP570">
        <f t="shared" si="3406"/>
        <v>0</v>
      </c>
      <c r="BQ570">
        <f t="shared" si="3407"/>
        <v>0</v>
      </c>
      <c r="BR570" s="23">
        <f t="shared" si="3408"/>
        <v>0</v>
      </c>
      <c r="BS570" s="49" t="str">
        <f t="shared" si="3373"/>
        <v>000000000000000</v>
      </c>
      <c r="BT570" t="str">
        <f t="shared" si="3409"/>
        <v>00000000</v>
      </c>
      <c r="BU570" s="23">
        <f t="shared" si="3410"/>
        <v>0</v>
      </c>
      <c r="BV570" s="49" t="str">
        <f t="shared" si="3374"/>
        <v/>
      </c>
      <c r="BW570" s="52" t="str">
        <f t="shared" si="3411"/>
        <v/>
      </c>
      <c r="BX570" s="23">
        <f t="shared" si="3412"/>
        <v>0</v>
      </c>
      <c r="BY570" s="49" t="str">
        <f t="shared" si="3375"/>
        <v/>
      </c>
      <c r="BZ570" s="23">
        <f t="shared" si="3413"/>
        <v>0</v>
      </c>
      <c r="CA570" s="49" t="str">
        <f t="shared" si="3376"/>
        <v/>
      </c>
      <c r="CB570" s="52" t="str">
        <f t="shared" si="3414"/>
        <v/>
      </c>
      <c r="CC570" s="23">
        <f t="shared" si="3415"/>
        <v>0</v>
      </c>
      <c r="CD570" s="49" t="str">
        <f t="shared" si="3377"/>
        <v/>
      </c>
      <c r="CE570" s="56" t="str">
        <f>IF(CF570="","",MAX(CE$10:$CE569)+1)</f>
        <v/>
      </c>
      <c r="CF570" t="str">
        <f t="shared" si="3416"/>
        <v/>
      </c>
      <c r="CG570" s="22" t="str">
        <f>IF(CH570="","",MAX($CG$10:CG569)+1)</f>
        <v/>
      </c>
      <c r="CH570" s="22" t="str">
        <f t="shared" si="3361"/>
        <v/>
      </c>
      <c r="CI570" s="22" t="str">
        <f>IF(CJ570="","",MAX($CI$10:CI569)+1)</f>
        <v/>
      </c>
      <c r="CJ570" s="22" t="str">
        <f t="shared" si="3362"/>
        <v/>
      </c>
    </row>
    <row r="571" spans="2:88" x14ac:dyDescent="0.25">
      <c r="B571" s="37"/>
      <c r="C571" s="3"/>
      <c r="D571" s="77" t="str">
        <f t="shared" si="3348"/>
        <v/>
      </c>
      <c r="E571" s="38"/>
      <c r="F571" s="38"/>
      <c r="G571" s="78">
        <f t="shared" si="3363"/>
        <v>0</v>
      </c>
      <c r="H571" s="3">
        <v>80</v>
      </c>
      <c r="I571" s="77" t="str">
        <f t="shared" si="3349"/>
        <v/>
      </c>
      <c r="J571" s="32"/>
      <c r="K571" s="3"/>
      <c r="L571" s="39"/>
      <c r="M571" s="39"/>
      <c r="N571" s="39"/>
      <c r="O571" s="39"/>
      <c r="P571" s="39"/>
      <c r="Q571" s="39"/>
      <c r="R571" s="39"/>
      <c r="S571" s="39"/>
      <c r="T571" s="3" t="s">
        <v>645</v>
      </c>
      <c r="U571" s="77" t="str">
        <f t="shared" si="3350"/>
        <v/>
      </c>
      <c r="V571" s="39">
        <v>1</v>
      </c>
      <c r="W571" s="79">
        <f t="shared" si="3364"/>
        <v>0</v>
      </c>
      <c r="X571" s="3">
        <v>0</v>
      </c>
      <c r="Y571" s="77" t="str">
        <f t="shared" si="3351"/>
        <v/>
      </c>
      <c r="Z571" s="3"/>
      <c r="AA571" s="37" t="str">
        <f t="shared" si="3365"/>
        <v/>
      </c>
      <c r="AC571" s="40"/>
      <c r="AD571" s="7"/>
      <c r="AE571" s="77" t="str">
        <f t="shared" si="3352"/>
        <v/>
      </c>
      <c r="AF571" s="81">
        <f t="shared" si="3378"/>
        <v>0</v>
      </c>
      <c r="AG571" s="40"/>
      <c r="AH571" s="7"/>
      <c r="AI571" s="77" t="str">
        <f t="shared" si="3353"/>
        <v/>
      </c>
      <c r="AJ571" s="81">
        <f t="shared" si="3379"/>
        <v>0</v>
      </c>
      <c r="AK571" s="83">
        <f t="shared" si="3380"/>
        <v>0</v>
      </c>
      <c r="AL571" s="83">
        <f t="shared" si="3381"/>
        <v>0</v>
      </c>
      <c r="AN571" s="43">
        <f t="shared" si="3354"/>
        <v>0</v>
      </c>
      <c r="AP571" t="str">
        <f t="shared" si="3382"/>
        <v/>
      </c>
      <c r="AQ571" t="str">
        <f t="shared" si="3383"/>
        <v/>
      </c>
      <c r="AR571" t="str">
        <f t="shared" si="3384"/>
        <v/>
      </c>
      <c r="AS571" t="str">
        <f t="shared" si="3385"/>
        <v/>
      </c>
      <c r="AT571" t="str">
        <f t="shared" si="3386"/>
        <v/>
      </c>
      <c r="AU571" t="str">
        <f t="shared" si="3387"/>
        <v/>
      </c>
      <c r="AV571" t="str">
        <f t="shared" si="3388"/>
        <v/>
      </c>
      <c r="AW571" t="str">
        <f t="shared" si="3389"/>
        <v xml:space="preserve">                              </v>
      </c>
      <c r="AX571" s="23">
        <f t="shared" si="3390"/>
        <v>0</v>
      </c>
      <c r="AY571" s="49" t="str">
        <f t="shared" si="3366"/>
        <v>000000000000000</v>
      </c>
      <c r="AZ571" s="23">
        <f t="shared" si="3391"/>
        <v>0</v>
      </c>
      <c r="BA571" s="49" t="str">
        <f t="shared" si="3366"/>
        <v>000000000000000</v>
      </c>
      <c r="BB571" s="23">
        <f t="shared" si="3392"/>
        <v>0</v>
      </c>
      <c r="BC571" s="49" t="str">
        <f t="shared" ref="BC571" si="3681">IF(BB571&lt;0,SUBSTITUTE(TEXT(BB571,"000000000000,00"),",",""),SUBSTITUTE(TEXT(BB571,"0000000000000,00"),",",""))</f>
        <v>000000000000000</v>
      </c>
      <c r="BD571" s="23">
        <f t="shared" si="3394"/>
        <v>0</v>
      </c>
      <c r="BE571" s="49" t="str">
        <f t="shared" ref="BE571" si="3682">IF(BD571&lt;0,SUBSTITUTE(TEXT(BD571,"000000000000,00"),",",""),SUBSTITUTE(TEXT(BD571,"0000000000000,00"),",",""))</f>
        <v>000000000000000</v>
      </c>
      <c r="BF571" s="23">
        <f t="shared" si="3396"/>
        <v>0</v>
      </c>
      <c r="BG571" s="49" t="str">
        <f t="shared" ref="BG571" si="3683">IF(BF571&lt;0,SUBSTITUTE(TEXT(BF571,"000000000000,00"),",",""),SUBSTITUTE(TEXT(BF571,"0000000000000,00"),",",""))</f>
        <v>000000000000000</v>
      </c>
      <c r="BH571" s="23">
        <f t="shared" si="3398"/>
        <v>0</v>
      </c>
      <c r="BI571" s="49" t="str">
        <f t="shared" ref="BI571" si="3684">IF(BH571&lt;0,SUBSTITUTE(TEXT(BH571,"000000000000,00"),",",""),SUBSTITUTE(TEXT(BH571,"0000000000000,00"),",",""))</f>
        <v>000000000000000</v>
      </c>
      <c r="BJ571" s="23">
        <f t="shared" si="3400"/>
        <v>0</v>
      </c>
      <c r="BK571" s="49" t="str">
        <f t="shared" ref="BK571" si="3685">IF(BJ571&lt;0,SUBSTITUTE(TEXT(BJ571,"000000000000,00"),",",""),SUBSTITUTE(TEXT(BJ571,"0000000000000,00"),",",""))</f>
        <v>000000000000000</v>
      </c>
      <c r="BL571" s="23">
        <f t="shared" si="3402"/>
        <v>0</v>
      </c>
      <c r="BM571" s="49" t="str">
        <f t="shared" ref="BM571" si="3686">IF(BL571&lt;0,SUBSTITUTE(TEXT(BL571,"000000000000,00"),",",""),SUBSTITUTE(TEXT(BL571,"0000000000000,00"),",",""))</f>
        <v>000000000000000</v>
      </c>
      <c r="BN571" t="str">
        <f t="shared" si="3404"/>
        <v>PES</v>
      </c>
      <c r="BO571" t="str">
        <f t="shared" si="3405"/>
        <v>0001000000</v>
      </c>
      <c r="BP571">
        <f t="shared" si="3406"/>
        <v>0</v>
      </c>
      <c r="BQ571">
        <f t="shared" si="3407"/>
        <v>0</v>
      </c>
      <c r="BR571" s="23">
        <f t="shared" si="3408"/>
        <v>0</v>
      </c>
      <c r="BS571" s="49" t="str">
        <f t="shared" si="3373"/>
        <v>000000000000000</v>
      </c>
      <c r="BT571" t="str">
        <f t="shared" si="3409"/>
        <v>00000000</v>
      </c>
      <c r="BU571" s="23">
        <f t="shared" si="3410"/>
        <v>0</v>
      </c>
      <c r="BV571" s="49" t="str">
        <f t="shared" si="3374"/>
        <v/>
      </c>
      <c r="BW571" s="52" t="str">
        <f t="shared" si="3411"/>
        <v/>
      </c>
      <c r="BX571" s="23">
        <f t="shared" si="3412"/>
        <v>0</v>
      </c>
      <c r="BY571" s="49" t="str">
        <f t="shared" si="3375"/>
        <v/>
      </c>
      <c r="BZ571" s="23">
        <f t="shared" si="3413"/>
        <v>0</v>
      </c>
      <c r="CA571" s="49" t="str">
        <f t="shared" si="3376"/>
        <v/>
      </c>
      <c r="CB571" s="52" t="str">
        <f t="shared" si="3414"/>
        <v/>
      </c>
      <c r="CC571" s="23">
        <f t="shared" si="3415"/>
        <v>0</v>
      </c>
      <c r="CD571" s="49" t="str">
        <f t="shared" si="3377"/>
        <v/>
      </c>
      <c r="CE571" s="56" t="str">
        <f>IF(CF571="","",MAX(CE$10:$CE570)+1)</f>
        <v/>
      </c>
      <c r="CF571" t="str">
        <f t="shared" si="3416"/>
        <v/>
      </c>
      <c r="CG571" s="22" t="str">
        <f>IF(CH571="","",MAX($CG$10:CG570)+1)</f>
        <v/>
      </c>
      <c r="CH571" s="22" t="str">
        <f t="shared" si="3361"/>
        <v/>
      </c>
      <c r="CI571" s="22" t="str">
        <f>IF(CJ571="","",MAX($CI$10:CI570)+1)</f>
        <v/>
      </c>
      <c r="CJ571" s="22" t="str">
        <f t="shared" si="3362"/>
        <v/>
      </c>
    </row>
    <row r="572" spans="2:88" x14ac:dyDescent="0.25">
      <c r="B572" s="37"/>
      <c r="C572" s="3"/>
      <c r="D572" s="77" t="str">
        <f t="shared" si="3348"/>
        <v/>
      </c>
      <c r="E572" s="38"/>
      <c r="F572" s="38"/>
      <c r="G572" s="78">
        <f t="shared" si="3363"/>
        <v>0</v>
      </c>
      <c r="H572" s="3">
        <v>80</v>
      </c>
      <c r="I572" s="77" t="str">
        <f t="shared" si="3349"/>
        <v/>
      </c>
      <c r="J572" s="32"/>
      <c r="K572" s="3"/>
      <c r="L572" s="39"/>
      <c r="M572" s="39"/>
      <c r="N572" s="39"/>
      <c r="O572" s="39"/>
      <c r="P572" s="39"/>
      <c r="Q572" s="39"/>
      <c r="R572" s="39"/>
      <c r="S572" s="39"/>
      <c r="T572" s="3" t="s">
        <v>645</v>
      </c>
      <c r="U572" s="77" t="str">
        <f t="shared" si="3350"/>
        <v/>
      </c>
      <c r="V572" s="39">
        <v>1</v>
      </c>
      <c r="W572" s="79">
        <f t="shared" si="3364"/>
        <v>0</v>
      </c>
      <c r="X572" s="3">
        <v>0</v>
      </c>
      <c r="Y572" s="77" t="str">
        <f t="shared" si="3351"/>
        <v/>
      </c>
      <c r="Z572" s="3"/>
      <c r="AA572" s="37" t="str">
        <f t="shared" si="3365"/>
        <v/>
      </c>
      <c r="AC572" s="40"/>
      <c r="AD572" s="7"/>
      <c r="AE572" s="77" t="str">
        <f t="shared" si="3352"/>
        <v/>
      </c>
      <c r="AF572" s="81">
        <f t="shared" si="3378"/>
        <v>0</v>
      </c>
      <c r="AG572" s="40"/>
      <c r="AH572" s="7"/>
      <c r="AI572" s="77" t="str">
        <f t="shared" si="3353"/>
        <v/>
      </c>
      <c r="AJ572" s="81">
        <f t="shared" si="3379"/>
        <v>0</v>
      </c>
      <c r="AK572" s="83">
        <f t="shared" si="3380"/>
        <v>0</v>
      </c>
      <c r="AL572" s="83">
        <f t="shared" si="3381"/>
        <v>0</v>
      </c>
      <c r="AN572" s="43">
        <f t="shared" si="3354"/>
        <v>0</v>
      </c>
      <c r="AP572" t="str">
        <f t="shared" si="3382"/>
        <v/>
      </c>
      <c r="AQ572" t="str">
        <f t="shared" si="3383"/>
        <v/>
      </c>
      <c r="AR572" t="str">
        <f t="shared" si="3384"/>
        <v/>
      </c>
      <c r="AS572" t="str">
        <f t="shared" si="3385"/>
        <v/>
      </c>
      <c r="AT572" t="str">
        <f t="shared" si="3386"/>
        <v/>
      </c>
      <c r="AU572" t="str">
        <f t="shared" si="3387"/>
        <v/>
      </c>
      <c r="AV572" t="str">
        <f t="shared" si="3388"/>
        <v/>
      </c>
      <c r="AW572" t="str">
        <f t="shared" si="3389"/>
        <v xml:space="preserve">                              </v>
      </c>
      <c r="AX572" s="23">
        <f t="shared" si="3390"/>
        <v>0</v>
      </c>
      <c r="AY572" s="49" t="str">
        <f t="shared" si="3366"/>
        <v>000000000000000</v>
      </c>
      <c r="AZ572" s="23">
        <f t="shared" si="3391"/>
        <v>0</v>
      </c>
      <c r="BA572" s="49" t="str">
        <f t="shared" si="3366"/>
        <v>000000000000000</v>
      </c>
      <c r="BB572" s="23">
        <f t="shared" si="3392"/>
        <v>0</v>
      </c>
      <c r="BC572" s="49" t="str">
        <f t="shared" ref="BC572" si="3687">IF(BB572&lt;0,SUBSTITUTE(TEXT(BB572,"000000000000,00"),",",""),SUBSTITUTE(TEXT(BB572,"0000000000000,00"),",",""))</f>
        <v>000000000000000</v>
      </c>
      <c r="BD572" s="23">
        <f t="shared" si="3394"/>
        <v>0</v>
      </c>
      <c r="BE572" s="49" t="str">
        <f t="shared" ref="BE572" si="3688">IF(BD572&lt;0,SUBSTITUTE(TEXT(BD572,"000000000000,00"),",",""),SUBSTITUTE(TEXT(BD572,"0000000000000,00"),",",""))</f>
        <v>000000000000000</v>
      </c>
      <c r="BF572" s="23">
        <f t="shared" si="3396"/>
        <v>0</v>
      </c>
      <c r="BG572" s="49" t="str">
        <f t="shared" ref="BG572" si="3689">IF(BF572&lt;0,SUBSTITUTE(TEXT(BF572,"000000000000,00"),",",""),SUBSTITUTE(TEXT(BF572,"0000000000000,00"),",",""))</f>
        <v>000000000000000</v>
      </c>
      <c r="BH572" s="23">
        <f t="shared" si="3398"/>
        <v>0</v>
      </c>
      <c r="BI572" s="49" t="str">
        <f t="shared" ref="BI572" si="3690">IF(BH572&lt;0,SUBSTITUTE(TEXT(BH572,"000000000000,00"),",",""),SUBSTITUTE(TEXT(BH572,"0000000000000,00"),",",""))</f>
        <v>000000000000000</v>
      </c>
      <c r="BJ572" s="23">
        <f t="shared" si="3400"/>
        <v>0</v>
      </c>
      <c r="BK572" s="49" t="str">
        <f t="shared" ref="BK572" si="3691">IF(BJ572&lt;0,SUBSTITUTE(TEXT(BJ572,"000000000000,00"),",",""),SUBSTITUTE(TEXT(BJ572,"0000000000000,00"),",",""))</f>
        <v>000000000000000</v>
      </c>
      <c r="BL572" s="23">
        <f t="shared" si="3402"/>
        <v>0</v>
      </c>
      <c r="BM572" s="49" t="str">
        <f t="shared" ref="BM572" si="3692">IF(BL572&lt;0,SUBSTITUTE(TEXT(BL572,"000000000000,00"),",",""),SUBSTITUTE(TEXT(BL572,"0000000000000,00"),",",""))</f>
        <v>000000000000000</v>
      </c>
      <c r="BN572" t="str">
        <f t="shared" si="3404"/>
        <v>PES</v>
      </c>
      <c r="BO572" t="str">
        <f t="shared" si="3405"/>
        <v>0001000000</v>
      </c>
      <c r="BP572">
        <f t="shared" si="3406"/>
        <v>0</v>
      </c>
      <c r="BQ572">
        <f t="shared" si="3407"/>
        <v>0</v>
      </c>
      <c r="BR572" s="23">
        <f t="shared" si="3408"/>
        <v>0</v>
      </c>
      <c r="BS572" s="49" t="str">
        <f t="shared" si="3373"/>
        <v>000000000000000</v>
      </c>
      <c r="BT572" t="str">
        <f t="shared" si="3409"/>
        <v>00000000</v>
      </c>
      <c r="BU572" s="23">
        <f t="shared" si="3410"/>
        <v>0</v>
      </c>
      <c r="BV572" s="49" t="str">
        <f t="shared" si="3374"/>
        <v/>
      </c>
      <c r="BW572" s="52" t="str">
        <f t="shared" si="3411"/>
        <v/>
      </c>
      <c r="BX572" s="23">
        <f t="shared" si="3412"/>
        <v>0</v>
      </c>
      <c r="BY572" s="49" t="str">
        <f t="shared" si="3375"/>
        <v/>
      </c>
      <c r="BZ572" s="23">
        <f t="shared" si="3413"/>
        <v>0</v>
      </c>
      <c r="CA572" s="49" t="str">
        <f t="shared" si="3376"/>
        <v/>
      </c>
      <c r="CB572" s="52" t="str">
        <f t="shared" si="3414"/>
        <v/>
      </c>
      <c r="CC572" s="23">
        <f t="shared" si="3415"/>
        <v>0</v>
      </c>
      <c r="CD572" s="49" t="str">
        <f t="shared" si="3377"/>
        <v/>
      </c>
      <c r="CE572" s="56" t="str">
        <f>IF(CF572="","",MAX(CE$10:$CE571)+1)</f>
        <v/>
      </c>
      <c r="CF572" t="str">
        <f t="shared" si="3416"/>
        <v/>
      </c>
      <c r="CG572" s="22" t="str">
        <f>IF(CH572="","",MAX($CG$10:CG571)+1)</f>
        <v/>
      </c>
      <c r="CH572" s="22" t="str">
        <f t="shared" si="3361"/>
        <v/>
      </c>
      <c r="CI572" s="22" t="str">
        <f>IF(CJ572="","",MAX($CI$10:CI571)+1)</f>
        <v/>
      </c>
      <c r="CJ572" s="22" t="str">
        <f t="shared" si="3362"/>
        <v/>
      </c>
    </row>
    <row r="573" spans="2:88" x14ac:dyDescent="0.25">
      <c r="B573" s="37"/>
      <c r="C573" s="3"/>
      <c r="D573" s="77" t="str">
        <f t="shared" si="3348"/>
        <v/>
      </c>
      <c r="E573" s="38"/>
      <c r="F573" s="38"/>
      <c r="G573" s="78">
        <f t="shared" si="3363"/>
        <v>0</v>
      </c>
      <c r="H573" s="3">
        <v>80</v>
      </c>
      <c r="I573" s="77" t="str">
        <f t="shared" si="3349"/>
        <v/>
      </c>
      <c r="J573" s="32"/>
      <c r="K573" s="3"/>
      <c r="L573" s="39"/>
      <c r="M573" s="39"/>
      <c r="N573" s="39"/>
      <c r="O573" s="39"/>
      <c r="P573" s="39"/>
      <c r="Q573" s="39"/>
      <c r="R573" s="39"/>
      <c r="S573" s="39"/>
      <c r="T573" s="3" t="s">
        <v>645</v>
      </c>
      <c r="U573" s="77" t="str">
        <f t="shared" si="3350"/>
        <v/>
      </c>
      <c r="V573" s="39">
        <v>1</v>
      </c>
      <c r="W573" s="79">
        <f t="shared" si="3364"/>
        <v>0</v>
      </c>
      <c r="X573" s="3">
        <v>0</v>
      </c>
      <c r="Y573" s="77" t="str">
        <f t="shared" si="3351"/>
        <v/>
      </c>
      <c r="Z573" s="3"/>
      <c r="AA573" s="37" t="str">
        <f t="shared" si="3365"/>
        <v/>
      </c>
      <c r="AC573" s="40"/>
      <c r="AD573" s="7"/>
      <c r="AE573" s="77" t="str">
        <f t="shared" si="3352"/>
        <v/>
      </c>
      <c r="AF573" s="81">
        <f t="shared" si="3378"/>
        <v>0</v>
      </c>
      <c r="AG573" s="40"/>
      <c r="AH573" s="7"/>
      <c r="AI573" s="77" t="str">
        <f t="shared" si="3353"/>
        <v/>
      </c>
      <c r="AJ573" s="81">
        <f t="shared" si="3379"/>
        <v>0</v>
      </c>
      <c r="AK573" s="83">
        <f t="shared" si="3380"/>
        <v>0</v>
      </c>
      <c r="AL573" s="83">
        <f t="shared" si="3381"/>
        <v>0</v>
      </c>
      <c r="AN573" s="43">
        <f t="shared" si="3354"/>
        <v>0</v>
      </c>
      <c r="AP573" t="str">
        <f t="shared" si="3382"/>
        <v/>
      </c>
      <c r="AQ573" t="str">
        <f t="shared" si="3383"/>
        <v/>
      </c>
      <c r="AR573" t="str">
        <f t="shared" si="3384"/>
        <v/>
      </c>
      <c r="AS573" t="str">
        <f t="shared" si="3385"/>
        <v/>
      </c>
      <c r="AT573" t="str">
        <f t="shared" si="3386"/>
        <v/>
      </c>
      <c r="AU573" t="str">
        <f t="shared" si="3387"/>
        <v/>
      </c>
      <c r="AV573" t="str">
        <f t="shared" si="3388"/>
        <v/>
      </c>
      <c r="AW573" t="str">
        <f t="shared" si="3389"/>
        <v xml:space="preserve">                              </v>
      </c>
      <c r="AX573" s="23">
        <f t="shared" si="3390"/>
        <v>0</v>
      </c>
      <c r="AY573" s="49" t="str">
        <f t="shared" si="3366"/>
        <v>000000000000000</v>
      </c>
      <c r="AZ573" s="23">
        <f t="shared" si="3391"/>
        <v>0</v>
      </c>
      <c r="BA573" s="49" t="str">
        <f t="shared" si="3366"/>
        <v>000000000000000</v>
      </c>
      <c r="BB573" s="23">
        <f t="shared" si="3392"/>
        <v>0</v>
      </c>
      <c r="BC573" s="49" t="str">
        <f t="shared" ref="BC573" si="3693">IF(BB573&lt;0,SUBSTITUTE(TEXT(BB573,"000000000000,00"),",",""),SUBSTITUTE(TEXT(BB573,"0000000000000,00"),",",""))</f>
        <v>000000000000000</v>
      </c>
      <c r="BD573" s="23">
        <f t="shared" si="3394"/>
        <v>0</v>
      </c>
      <c r="BE573" s="49" t="str">
        <f t="shared" ref="BE573" si="3694">IF(BD573&lt;0,SUBSTITUTE(TEXT(BD573,"000000000000,00"),",",""),SUBSTITUTE(TEXT(BD573,"0000000000000,00"),",",""))</f>
        <v>000000000000000</v>
      </c>
      <c r="BF573" s="23">
        <f t="shared" si="3396"/>
        <v>0</v>
      </c>
      <c r="BG573" s="49" t="str">
        <f t="shared" ref="BG573" si="3695">IF(BF573&lt;0,SUBSTITUTE(TEXT(BF573,"000000000000,00"),",",""),SUBSTITUTE(TEXT(BF573,"0000000000000,00"),",",""))</f>
        <v>000000000000000</v>
      </c>
      <c r="BH573" s="23">
        <f t="shared" si="3398"/>
        <v>0</v>
      </c>
      <c r="BI573" s="49" t="str">
        <f t="shared" ref="BI573" si="3696">IF(BH573&lt;0,SUBSTITUTE(TEXT(BH573,"000000000000,00"),",",""),SUBSTITUTE(TEXT(BH573,"0000000000000,00"),",",""))</f>
        <v>000000000000000</v>
      </c>
      <c r="BJ573" s="23">
        <f t="shared" si="3400"/>
        <v>0</v>
      </c>
      <c r="BK573" s="49" t="str">
        <f t="shared" ref="BK573" si="3697">IF(BJ573&lt;0,SUBSTITUTE(TEXT(BJ573,"000000000000,00"),",",""),SUBSTITUTE(TEXT(BJ573,"0000000000000,00"),",",""))</f>
        <v>000000000000000</v>
      </c>
      <c r="BL573" s="23">
        <f t="shared" si="3402"/>
        <v>0</v>
      </c>
      <c r="BM573" s="49" t="str">
        <f t="shared" ref="BM573" si="3698">IF(BL573&lt;0,SUBSTITUTE(TEXT(BL573,"000000000000,00"),",",""),SUBSTITUTE(TEXT(BL573,"0000000000000,00"),",",""))</f>
        <v>000000000000000</v>
      </c>
      <c r="BN573" t="str">
        <f t="shared" si="3404"/>
        <v>PES</v>
      </c>
      <c r="BO573" t="str">
        <f t="shared" si="3405"/>
        <v>0001000000</v>
      </c>
      <c r="BP573">
        <f t="shared" si="3406"/>
        <v>0</v>
      </c>
      <c r="BQ573">
        <f t="shared" si="3407"/>
        <v>0</v>
      </c>
      <c r="BR573" s="23">
        <f t="shared" si="3408"/>
        <v>0</v>
      </c>
      <c r="BS573" s="49" t="str">
        <f t="shared" si="3373"/>
        <v>000000000000000</v>
      </c>
      <c r="BT573" t="str">
        <f t="shared" si="3409"/>
        <v>00000000</v>
      </c>
      <c r="BU573" s="23">
        <f t="shared" si="3410"/>
        <v>0</v>
      </c>
      <c r="BV573" s="49" t="str">
        <f t="shared" si="3374"/>
        <v/>
      </c>
      <c r="BW573" s="52" t="str">
        <f t="shared" si="3411"/>
        <v/>
      </c>
      <c r="BX573" s="23">
        <f t="shared" si="3412"/>
        <v>0</v>
      </c>
      <c r="BY573" s="49" t="str">
        <f t="shared" si="3375"/>
        <v/>
      </c>
      <c r="BZ573" s="23">
        <f t="shared" si="3413"/>
        <v>0</v>
      </c>
      <c r="CA573" s="49" t="str">
        <f t="shared" si="3376"/>
        <v/>
      </c>
      <c r="CB573" s="52" t="str">
        <f t="shared" si="3414"/>
        <v/>
      </c>
      <c r="CC573" s="23">
        <f t="shared" si="3415"/>
        <v>0</v>
      </c>
      <c r="CD573" s="49" t="str">
        <f t="shared" si="3377"/>
        <v/>
      </c>
      <c r="CE573" s="56" t="str">
        <f>IF(CF573="","",MAX(CE$10:$CE572)+1)</f>
        <v/>
      </c>
      <c r="CF573" t="str">
        <f t="shared" si="3416"/>
        <v/>
      </c>
      <c r="CG573" s="22" t="str">
        <f>IF(CH573="","",MAX($CG$10:CG572)+1)</f>
        <v/>
      </c>
      <c r="CH573" s="22" t="str">
        <f t="shared" si="3361"/>
        <v/>
      </c>
      <c r="CI573" s="22" t="str">
        <f>IF(CJ573="","",MAX($CI$10:CI572)+1)</f>
        <v/>
      </c>
      <c r="CJ573" s="22" t="str">
        <f t="shared" si="3362"/>
        <v/>
      </c>
    </row>
    <row r="574" spans="2:88" x14ac:dyDescent="0.25">
      <c r="B574" s="37"/>
      <c r="C574" s="3"/>
      <c r="D574" s="77" t="str">
        <f t="shared" si="3348"/>
        <v/>
      </c>
      <c r="E574" s="38"/>
      <c r="F574" s="38"/>
      <c r="G574" s="78">
        <f t="shared" si="3363"/>
        <v>0</v>
      </c>
      <c r="H574" s="3">
        <v>80</v>
      </c>
      <c r="I574" s="77" t="str">
        <f t="shared" si="3349"/>
        <v/>
      </c>
      <c r="J574" s="32"/>
      <c r="K574" s="3"/>
      <c r="L574" s="39"/>
      <c r="M574" s="39"/>
      <c r="N574" s="39"/>
      <c r="O574" s="39"/>
      <c r="P574" s="39"/>
      <c r="Q574" s="39"/>
      <c r="R574" s="39"/>
      <c r="S574" s="39"/>
      <c r="T574" s="3" t="s">
        <v>645</v>
      </c>
      <c r="U574" s="77" t="str">
        <f t="shared" si="3350"/>
        <v/>
      </c>
      <c r="V574" s="39">
        <v>1</v>
      </c>
      <c r="W574" s="79">
        <f t="shared" si="3364"/>
        <v>0</v>
      </c>
      <c r="X574" s="3">
        <v>0</v>
      </c>
      <c r="Y574" s="77" t="str">
        <f t="shared" si="3351"/>
        <v/>
      </c>
      <c r="Z574" s="3"/>
      <c r="AA574" s="37" t="str">
        <f t="shared" si="3365"/>
        <v/>
      </c>
      <c r="AC574" s="40"/>
      <c r="AD574" s="7"/>
      <c r="AE574" s="77" t="str">
        <f t="shared" si="3352"/>
        <v/>
      </c>
      <c r="AF574" s="81">
        <f t="shared" si="3378"/>
        <v>0</v>
      </c>
      <c r="AG574" s="40"/>
      <c r="AH574" s="7"/>
      <c r="AI574" s="77" t="str">
        <f t="shared" si="3353"/>
        <v/>
      </c>
      <c r="AJ574" s="81">
        <f t="shared" si="3379"/>
        <v>0</v>
      </c>
      <c r="AK574" s="83">
        <f t="shared" si="3380"/>
        <v>0</v>
      </c>
      <c r="AL574" s="83">
        <f t="shared" si="3381"/>
        <v>0</v>
      </c>
      <c r="AN574" s="43">
        <f t="shared" si="3354"/>
        <v>0</v>
      </c>
      <c r="AP574" t="str">
        <f t="shared" si="3382"/>
        <v/>
      </c>
      <c r="AQ574" t="str">
        <f t="shared" si="3383"/>
        <v/>
      </c>
      <c r="AR574" t="str">
        <f t="shared" si="3384"/>
        <v/>
      </c>
      <c r="AS574" t="str">
        <f t="shared" si="3385"/>
        <v/>
      </c>
      <c r="AT574" t="str">
        <f t="shared" si="3386"/>
        <v/>
      </c>
      <c r="AU574" t="str">
        <f t="shared" si="3387"/>
        <v/>
      </c>
      <c r="AV574" t="str">
        <f t="shared" si="3388"/>
        <v/>
      </c>
      <c r="AW574" t="str">
        <f t="shared" si="3389"/>
        <v xml:space="preserve">                              </v>
      </c>
      <c r="AX574" s="23">
        <f t="shared" si="3390"/>
        <v>0</v>
      </c>
      <c r="AY574" s="49" t="str">
        <f t="shared" si="3366"/>
        <v>000000000000000</v>
      </c>
      <c r="AZ574" s="23">
        <f t="shared" si="3391"/>
        <v>0</v>
      </c>
      <c r="BA574" s="49" t="str">
        <f t="shared" si="3366"/>
        <v>000000000000000</v>
      </c>
      <c r="BB574" s="23">
        <f t="shared" si="3392"/>
        <v>0</v>
      </c>
      <c r="BC574" s="49" t="str">
        <f t="shared" ref="BC574" si="3699">IF(BB574&lt;0,SUBSTITUTE(TEXT(BB574,"000000000000,00"),",",""),SUBSTITUTE(TEXT(BB574,"0000000000000,00"),",",""))</f>
        <v>000000000000000</v>
      </c>
      <c r="BD574" s="23">
        <f t="shared" si="3394"/>
        <v>0</v>
      </c>
      <c r="BE574" s="49" t="str">
        <f t="shared" ref="BE574" si="3700">IF(BD574&lt;0,SUBSTITUTE(TEXT(BD574,"000000000000,00"),",",""),SUBSTITUTE(TEXT(BD574,"0000000000000,00"),",",""))</f>
        <v>000000000000000</v>
      </c>
      <c r="BF574" s="23">
        <f t="shared" si="3396"/>
        <v>0</v>
      </c>
      <c r="BG574" s="49" t="str">
        <f t="shared" ref="BG574" si="3701">IF(BF574&lt;0,SUBSTITUTE(TEXT(BF574,"000000000000,00"),",",""),SUBSTITUTE(TEXT(BF574,"0000000000000,00"),",",""))</f>
        <v>000000000000000</v>
      </c>
      <c r="BH574" s="23">
        <f t="shared" si="3398"/>
        <v>0</v>
      </c>
      <c r="BI574" s="49" t="str">
        <f t="shared" ref="BI574" si="3702">IF(BH574&lt;0,SUBSTITUTE(TEXT(BH574,"000000000000,00"),",",""),SUBSTITUTE(TEXT(BH574,"0000000000000,00"),",",""))</f>
        <v>000000000000000</v>
      </c>
      <c r="BJ574" s="23">
        <f t="shared" si="3400"/>
        <v>0</v>
      </c>
      <c r="BK574" s="49" t="str">
        <f t="shared" ref="BK574" si="3703">IF(BJ574&lt;0,SUBSTITUTE(TEXT(BJ574,"000000000000,00"),",",""),SUBSTITUTE(TEXT(BJ574,"0000000000000,00"),",",""))</f>
        <v>000000000000000</v>
      </c>
      <c r="BL574" s="23">
        <f t="shared" si="3402"/>
        <v>0</v>
      </c>
      <c r="BM574" s="49" t="str">
        <f t="shared" ref="BM574" si="3704">IF(BL574&lt;0,SUBSTITUTE(TEXT(BL574,"000000000000,00"),",",""),SUBSTITUTE(TEXT(BL574,"0000000000000,00"),",",""))</f>
        <v>000000000000000</v>
      </c>
      <c r="BN574" t="str">
        <f t="shared" si="3404"/>
        <v>PES</v>
      </c>
      <c r="BO574" t="str">
        <f t="shared" si="3405"/>
        <v>0001000000</v>
      </c>
      <c r="BP574">
        <f t="shared" si="3406"/>
        <v>0</v>
      </c>
      <c r="BQ574">
        <f t="shared" si="3407"/>
        <v>0</v>
      </c>
      <c r="BR574" s="23">
        <f t="shared" si="3408"/>
        <v>0</v>
      </c>
      <c r="BS574" s="49" t="str">
        <f t="shared" si="3373"/>
        <v>000000000000000</v>
      </c>
      <c r="BT574" t="str">
        <f t="shared" si="3409"/>
        <v>00000000</v>
      </c>
      <c r="BU574" s="23">
        <f t="shared" si="3410"/>
        <v>0</v>
      </c>
      <c r="BV574" s="49" t="str">
        <f t="shared" si="3374"/>
        <v/>
      </c>
      <c r="BW574" s="52" t="str">
        <f t="shared" si="3411"/>
        <v/>
      </c>
      <c r="BX574" s="23">
        <f t="shared" si="3412"/>
        <v>0</v>
      </c>
      <c r="BY574" s="49" t="str">
        <f t="shared" si="3375"/>
        <v/>
      </c>
      <c r="BZ574" s="23">
        <f t="shared" si="3413"/>
        <v>0</v>
      </c>
      <c r="CA574" s="49" t="str">
        <f t="shared" si="3376"/>
        <v/>
      </c>
      <c r="CB574" s="52" t="str">
        <f t="shared" si="3414"/>
        <v/>
      </c>
      <c r="CC574" s="23">
        <f t="shared" si="3415"/>
        <v>0</v>
      </c>
      <c r="CD574" s="49" t="str">
        <f t="shared" si="3377"/>
        <v/>
      </c>
      <c r="CE574" s="56" t="str">
        <f>IF(CF574="","",MAX(CE$10:$CE573)+1)</f>
        <v/>
      </c>
      <c r="CF574" t="str">
        <f t="shared" si="3416"/>
        <v/>
      </c>
      <c r="CG574" s="22" t="str">
        <f>IF(CH574="","",MAX($CG$10:CG573)+1)</f>
        <v/>
      </c>
      <c r="CH574" s="22" t="str">
        <f t="shared" si="3361"/>
        <v/>
      </c>
      <c r="CI574" s="22" t="str">
        <f>IF(CJ574="","",MAX($CI$10:CI573)+1)</f>
        <v/>
      </c>
      <c r="CJ574" s="22" t="str">
        <f t="shared" si="3362"/>
        <v/>
      </c>
    </row>
    <row r="575" spans="2:88" x14ac:dyDescent="0.25">
      <c r="B575" s="37"/>
      <c r="C575" s="3"/>
      <c r="D575" s="77" t="str">
        <f t="shared" si="3348"/>
        <v/>
      </c>
      <c r="E575" s="38"/>
      <c r="F575" s="38"/>
      <c r="G575" s="78">
        <f t="shared" si="3363"/>
        <v>0</v>
      </c>
      <c r="H575" s="3">
        <v>80</v>
      </c>
      <c r="I575" s="77" t="str">
        <f t="shared" si="3349"/>
        <v/>
      </c>
      <c r="J575" s="32"/>
      <c r="K575" s="3"/>
      <c r="L575" s="39"/>
      <c r="M575" s="39"/>
      <c r="N575" s="39"/>
      <c r="O575" s="39"/>
      <c r="P575" s="39"/>
      <c r="Q575" s="39"/>
      <c r="R575" s="39"/>
      <c r="S575" s="39"/>
      <c r="T575" s="3" t="s">
        <v>645</v>
      </c>
      <c r="U575" s="77" t="str">
        <f t="shared" si="3350"/>
        <v/>
      </c>
      <c r="V575" s="39">
        <v>1</v>
      </c>
      <c r="W575" s="79">
        <f t="shared" si="3364"/>
        <v>0</v>
      </c>
      <c r="X575" s="3">
        <v>0</v>
      </c>
      <c r="Y575" s="77" t="str">
        <f t="shared" si="3351"/>
        <v/>
      </c>
      <c r="Z575" s="3"/>
      <c r="AA575" s="37" t="str">
        <f t="shared" si="3365"/>
        <v/>
      </c>
      <c r="AC575" s="40"/>
      <c r="AD575" s="7"/>
      <c r="AE575" s="77" t="str">
        <f t="shared" si="3352"/>
        <v/>
      </c>
      <c r="AF575" s="81">
        <f t="shared" si="3378"/>
        <v>0</v>
      </c>
      <c r="AG575" s="40"/>
      <c r="AH575" s="7"/>
      <c r="AI575" s="77" t="str">
        <f t="shared" si="3353"/>
        <v/>
      </c>
      <c r="AJ575" s="81">
        <f t="shared" si="3379"/>
        <v>0</v>
      </c>
      <c r="AK575" s="83">
        <f t="shared" si="3380"/>
        <v>0</v>
      </c>
      <c r="AL575" s="83">
        <f t="shared" si="3381"/>
        <v>0</v>
      </c>
      <c r="AN575" s="43">
        <f t="shared" si="3354"/>
        <v>0</v>
      </c>
      <c r="AP575" t="str">
        <f t="shared" si="3382"/>
        <v/>
      </c>
      <c r="AQ575" t="str">
        <f t="shared" si="3383"/>
        <v/>
      </c>
      <c r="AR575" t="str">
        <f t="shared" si="3384"/>
        <v/>
      </c>
      <c r="AS575" t="str">
        <f t="shared" si="3385"/>
        <v/>
      </c>
      <c r="AT575" t="str">
        <f t="shared" si="3386"/>
        <v/>
      </c>
      <c r="AU575" t="str">
        <f t="shared" si="3387"/>
        <v/>
      </c>
      <c r="AV575" t="str">
        <f t="shared" si="3388"/>
        <v/>
      </c>
      <c r="AW575" t="str">
        <f t="shared" si="3389"/>
        <v xml:space="preserve">                              </v>
      </c>
      <c r="AX575" s="23">
        <f t="shared" si="3390"/>
        <v>0</v>
      </c>
      <c r="AY575" s="49" t="str">
        <f t="shared" si="3366"/>
        <v>000000000000000</v>
      </c>
      <c r="AZ575" s="23">
        <f t="shared" si="3391"/>
        <v>0</v>
      </c>
      <c r="BA575" s="49" t="str">
        <f t="shared" si="3366"/>
        <v>000000000000000</v>
      </c>
      <c r="BB575" s="23">
        <f t="shared" si="3392"/>
        <v>0</v>
      </c>
      <c r="BC575" s="49" t="str">
        <f t="shared" ref="BC575" si="3705">IF(BB575&lt;0,SUBSTITUTE(TEXT(BB575,"000000000000,00"),",",""),SUBSTITUTE(TEXT(BB575,"0000000000000,00"),",",""))</f>
        <v>000000000000000</v>
      </c>
      <c r="BD575" s="23">
        <f t="shared" si="3394"/>
        <v>0</v>
      </c>
      <c r="BE575" s="49" t="str">
        <f t="shared" ref="BE575" si="3706">IF(BD575&lt;0,SUBSTITUTE(TEXT(BD575,"000000000000,00"),",",""),SUBSTITUTE(TEXT(BD575,"0000000000000,00"),",",""))</f>
        <v>000000000000000</v>
      </c>
      <c r="BF575" s="23">
        <f t="shared" si="3396"/>
        <v>0</v>
      </c>
      <c r="BG575" s="49" t="str">
        <f t="shared" ref="BG575" si="3707">IF(BF575&lt;0,SUBSTITUTE(TEXT(BF575,"000000000000,00"),",",""),SUBSTITUTE(TEXT(BF575,"0000000000000,00"),",",""))</f>
        <v>000000000000000</v>
      </c>
      <c r="BH575" s="23">
        <f t="shared" si="3398"/>
        <v>0</v>
      </c>
      <c r="BI575" s="49" t="str">
        <f t="shared" ref="BI575" si="3708">IF(BH575&lt;0,SUBSTITUTE(TEXT(BH575,"000000000000,00"),",",""),SUBSTITUTE(TEXT(BH575,"0000000000000,00"),",",""))</f>
        <v>000000000000000</v>
      </c>
      <c r="BJ575" s="23">
        <f t="shared" si="3400"/>
        <v>0</v>
      </c>
      <c r="BK575" s="49" t="str">
        <f t="shared" ref="BK575" si="3709">IF(BJ575&lt;0,SUBSTITUTE(TEXT(BJ575,"000000000000,00"),",",""),SUBSTITUTE(TEXT(BJ575,"0000000000000,00"),",",""))</f>
        <v>000000000000000</v>
      </c>
      <c r="BL575" s="23">
        <f t="shared" si="3402"/>
        <v>0</v>
      </c>
      <c r="BM575" s="49" t="str">
        <f t="shared" ref="BM575" si="3710">IF(BL575&lt;0,SUBSTITUTE(TEXT(BL575,"000000000000,00"),",",""),SUBSTITUTE(TEXT(BL575,"0000000000000,00"),",",""))</f>
        <v>000000000000000</v>
      </c>
      <c r="BN575" t="str">
        <f t="shared" si="3404"/>
        <v>PES</v>
      </c>
      <c r="BO575" t="str">
        <f t="shared" si="3405"/>
        <v>0001000000</v>
      </c>
      <c r="BP575">
        <f t="shared" si="3406"/>
        <v>0</v>
      </c>
      <c r="BQ575">
        <f t="shared" si="3407"/>
        <v>0</v>
      </c>
      <c r="BR575" s="23">
        <f t="shared" si="3408"/>
        <v>0</v>
      </c>
      <c r="BS575" s="49" t="str">
        <f t="shared" si="3373"/>
        <v>000000000000000</v>
      </c>
      <c r="BT575" t="str">
        <f t="shared" si="3409"/>
        <v>00000000</v>
      </c>
      <c r="BU575" s="23">
        <f t="shared" si="3410"/>
        <v>0</v>
      </c>
      <c r="BV575" s="49" t="str">
        <f t="shared" si="3374"/>
        <v/>
      </c>
      <c r="BW575" s="52" t="str">
        <f t="shared" si="3411"/>
        <v/>
      </c>
      <c r="BX575" s="23">
        <f t="shared" si="3412"/>
        <v>0</v>
      </c>
      <c r="BY575" s="49" t="str">
        <f t="shared" si="3375"/>
        <v/>
      </c>
      <c r="BZ575" s="23">
        <f t="shared" si="3413"/>
        <v>0</v>
      </c>
      <c r="CA575" s="49" t="str">
        <f t="shared" si="3376"/>
        <v/>
      </c>
      <c r="CB575" s="52" t="str">
        <f t="shared" si="3414"/>
        <v/>
      </c>
      <c r="CC575" s="23">
        <f t="shared" si="3415"/>
        <v>0</v>
      </c>
      <c r="CD575" s="49" t="str">
        <f t="shared" si="3377"/>
        <v/>
      </c>
      <c r="CE575" s="56" t="str">
        <f>IF(CF575="","",MAX(CE$10:$CE574)+1)</f>
        <v/>
      </c>
      <c r="CF575" t="str">
        <f t="shared" si="3416"/>
        <v/>
      </c>
      <c r="CG575" s="22" t="str">
        <f>IF(CH575="","",MAX($CG$10:CG574)+1)</f>
        <v/>
      </c>
      <c r="CH575" s="22" t="str">
        <f t="shared" si="3361"/>
        <v/>
      </c>
      <c r="CI575" s="22" t="str">
        <f>IF(CJ575="","",MAX($CI$10:CI574)+1)</f>
        <v/>
      </c>
      <c r="CJ575" s="22" t="str">
        <f t="shared" si="3362"/>
        <v/>
      </c>
    </row>
    <row r="576" spans="2:88" x14ac:dyDescent="0.25">
      <c r="B576" s="37"/>
      <c r="C576" s="3"/>
      <c r="D576" s="77" t="str">
        <f t="shared" si="3348"/>
        <v/>
      </c>
      <c r="E576" s="38"/>
      <c r="F576" s="38"/>
      <c r="G576" s="78">
        <f t="shared" si="3363"/>
        <v>0</v>
      </c>
      <c r="H576" s="3">
        <v>80</v>
      </c>
      <c r="I576" s="77" t="str">
        <f t="shared" si="3349"/>
        <v/>
      </c>
      <c r="J576" s="32"/>
      <c r="K576" s="3"/>
      <c r="L576" s="39"/>
      <c r="M576" s="39"/>
      <c r="N576" s="39"/>
      <c r="O576" s="39"/>
      <c r="P576" s="39"/>
      <c r="Q576" s="39"/>
      <c r="R576" s="39"/>
      <c r="S576" s="39"/>
      <c r="T576" s="3" t="s">
        <v>645</v>
      </c>
      <c r="U576" s="77" t="str">
        <f t="shared" si="3350"/>
        <v/>
      </c>
      <c r="V576" s="39">
        <v>1</v>
      </c>
      <c r="W576" s="79">
        <f t="shared" si="3364"/>
        <v>0</v>
      </c>
      <c r="X576" s="3">
        <v>0</v>
      </c>
      <c r="Y576" s="77" t="str">
        <f t="shared" si="3351"/>
        <v/>
      </c>
      <c r="Z576" s="3"/>
      <c r="AA576" s="37" t="str">
        <f t="shared" si="3365"/>
        <v/>
      </c>
      <c r="AC576" s="40"/>
      <c r="AD576" s="7"/>
      <c r="AE576" s="77" t="str">
        <f t="shared" si="3352"/>
        <v/>
      </c>
      <c r="AF576" s="81">
        <f t="shared" si="3378"/>
        <v>0</v>
      </c>
      <c r="AG576" s="40"/>
      <c r="AH576" s="7"/>
      <c r="AI576" s="77" t="str">
        <f t="shared" si="3353"/>
        <v/>
      </c>
      <c r="AJ576" s="81">
        <f t="shared" si="3379"/>
        <v>0</v>
      </c>
      <c r="AK576" s="83">
        <f t="shared" si="3380"/>
        <v>0</v>
      </c>
      <c r="AL576" s="83">
        <f t="shared" si="3381"/>
        <v>0</v>
      </c>
      <c r="AN576" s="43">
        <f t="shared" si="3354"/>
        <v>0</v>
      </c>
      <c r="AP576" t="str">
        <f t="shared" si="3382"/>
        <v/>
      </c>
      <c r="AQ576" t="str">
        <f t="shared" si="3383"/>
        <v/>
      </c>
      <c r="AR576" t="str">
        <f t="shared" si="3384"/>
        <v/>
      </c>
      <c r="AS576" t="str">
        <f t="shared" si="3385"/>
        <v/>
      </c>
      <c r="AT576" t="str">
        <f t="shared" si="3386"/>
        <v/>
      </c>
      <c r="AU576" t="str">
        <f t="shared" si="3387"/>
        <v/>
      </c>
      <c r="AV576" t="str">
        <f t="shared" si="3388"/>
        <v/>
      </c>
      <c r="AW576" t="str">
        <f t="shared" si="3389"/>
        <v xml:space="preserve">                              </v>
      </c>
      <c r="AX576" s="23">
        <f t="shared" si="3390"/>
        <v>0</v>
      </c>
      <c r="AY576" s="49" t="str">
        <f t="shared" si="3366"/>
        <v>000000000000000</v>
      </c>
      <c r="AZ576" s="23">
        <f t="shared" si="3391"/>
        <v>0</v>
      </c>
      <c r="BA576" s="49" t="str">
        <f t="shared" si="3366"/>
        <v>000000000000000</v>
      </c>
      <c r="BB576" s="23">
        <f t="shared" si="3392"/>
        <v>0</v>
      </c>
      <c r="BC576" s="49" t="str">
        <f t="shared" ref="BC576" si="3711">IF(BB576&lt;0,SUBSTITUTE(TEXT(BB576,"000000000000,00"),",",""),SUBSTITUTE(TEXT(BB576,"0000000000000,00"),",",""))</f>
        <v>000000000000000</v>
      </c>
      <c r="BD576" s="23">
        <f t="shared" si="3394"/>
        <v>0</v>
      </c>
      <c r="BE576" s="49" t="str">
        <f t="shared" ref="BE576" si="3712">IF(BD576&lt;0,SUBSTITUTE(TEXT(BD576,"000000000000,00"),",",""),SUBSTITUTE(TEXT(BD576,"0000000000000,00"),",",""))</f>
        <v>000000000000000</v>
      </c>
      <c r="BF576" s="23">
        <f t="shared" si="3396"/>
        <v>0</v>
      </c>
      <c r="BG576" s="49" t="str">
        <f t="shared" ref="BG576" si="3713">IF(BF576&lt;0,SUBSTITUTE(TEXT(BF576,"000000000000,00"),",",""),SUBSTITUTE(TEXT(BF576,"0000000000000,00"),",",""))</f>
        <v>000000000000000</v>
      </c>
      <c r="BH576" s="23">
        <f t="shared" si="3398"/>
        <v>0</v>
      </c>
      <c r="BI576" s="49" t="str">
        <f t="shared" ref="BI576" si="3714">IF(BH576&lt;0,SUBSTITUTE(TEXT(BH576,"000000000000,00"),",",""),SUBSTITUTE(TEXT(BH576,"0000000000000,00"),",",""))</f>
        <v>000000000000000</v>
      </c>
      <c r="BJ576" s="23">
        <f t="shared" si="3400"/>
        <v>0</v>
      </c>
      <c r="BK576" s="49" t="str">
        <f t="shared" ref="BK576" si="3715">IF(BJ576&lt;0,SUBSTITUTE(TEXT(BJ576,"000000000000,00"),",",""),SUBSTITUTE(TEXT(BJ576,"0000000000000,00"),",",""))</f>
        <v>000000000000000</v>
      </c>
      <c r="BL576" s="23">
        <f t="shared" si="3402"/>
        <v>0</v>
      </c>
      <c r="BM576" s="49" t="str">
        <f t="shared" ref="BM576" si="3716">IF(BL576&lt;0,SUBSTITUTE(TEXT(BL576,"000000000000,00"),",",""),SUBSTITUTE(TEXT(BL576,"0000000000000,00"),",",""))</f>
        <v>000000000000000</v>
      </c>
      <c r="BN576" t="str">
        <f t="shared" si="3404"/>
        <v>PES</v>
      </c>
      <c r="BO576" t="str">
        <f t="shared" si="3405"/>
        <v>0001000000</v>
      </c>
      <c r="BP576">
        <f t="shared" si="3406"/>
        <v>0</v>
      </c>
      <c r="BQ576">
        <f t="shared" si="3407"/>
        <v>0</v>
      </c>
      <c r="BR576" s="23">
        <f t="shared" si="3408"/>
        <v>0</v>
      </c>
      <c r="BS576" s="49" t="str">
        <f t="shared" si="3373"/>
        <v>000000000000000</v>
      </c>
      <c r="BT576" t="str">
        <f t="shared" si="3409"/>
        <v>00000000</v>
      </c>
      <c r="BU576" s="23">
        <f t="shared" si="3410"/>
        <v>0</v>
      </c>
      <c r="BV576" s="49" t="str">
        <f t="shared" si="3374"/>
        <v/>
      </c>
      <c r="BW576" s="52" t="str">
        <f t="shared" si="3411"/>
        <v/>
      </c>
      <c r="BX576" s="23">
        <f t="shared" si="3412"/>
        <v>0</v>
      </c>
      <c r="BY576" s="49" t="str">
        <f t="shared" si="3375"/>
        <v/>
      </c>
      <c r="BZ576" s="23">
        <f t="shared" si="3413"/>
        <v>0</v>
      </c>
      <c r="CA576" s="49" t="str">
        <f t="shared" si="3376"/>
        <v/>
      </c>
      <c r="CB576" s="52" t="str">
        <f t="shared" si="3414"/>
        <v/>
      </c>
      <c r="CC576" s="23">
        <f t="shared" si="3415"/>
        <v>0</v>
      </c>
      <c r="CD576" s="49" t="str">
        <f t="shared" si="3377"/>
        <v/>
      </c>
      <c r="CE576" s="56" t="str">
        <f>IF(CF576="","",MAX(CE$10:$CE575)+1)</f>
        <v/>
      </c>
      <c r="CF576" t="str">
        <f t="shared" si="3416"/>
        <v/>
      </c>
      <c r="CG576" s="22" t="str">
        <f>IF(CH576="","",MAX($CG$10:CG575)+1)</f>
        <v/>
      </c>
      <c r="CH576" s="22" t="str">
        <f t="shared" si="3361"/>
        <v/>
      </c>
      <c r="CI576" s="22" t="str">
        <f>IF(CJ576="","",MAX($CI$10:CI575)+1)</f>
        <v/>
      </c>
      <c r="CJ576" s="22" t="str">
        <f t="shared" si="3362"/>
        <v/>
      </c>
    </row>
    <row r="577" spans="2:88" x14ac:dyDescent="0.25">
      <c r="B577" s="37"/>
      <c r="C577" s="3"/>
      <c r="D577" s="77" t="str">
        <f t="shared" si="3348"/>
        <v/>
      </c>
      <c r="E577" s="38"/>
      <c r="F577" s="38"/>
      <c r="G577" s="78">
        <f t="shared" si="3363"/>
        <v>0</v>
      </c>
      <c r="H577" s="3">
        <v>80</v>
      </c>
      <c r="I577" s="77" t="str">
        <f t="shared" si="3349"/>
        <v/>
      </c>
      <c r="J577" s="32"/>
      <c r="K577" s="3"/>
      <c r="L577" s="39"/>
      <c r="M577" s="39"/>
      <c r="N577" s="39"/>
      <c r="O577" s="39"/>
      <c r="P577" s="39"/>
      <c r="Q577" s="39"/>
      <c r="R577" s="39"/>
      <c r="S577" s="39"/>
      <c r="T577" s="3" t="s">
        <v>645</v>
      </c>
      <c r="U577" s="77" t="str">
        <f t="shared" si="3350"/>
        <v/>
      </c>
      <c r="V577" s="39">
        <v>1</v>
      </c>
      <c r="W577" s="79">
        <f t="shared" si="3364"/>
        <v>0</v>
      </c>
      <c r="X577" s="3">
        <v>0</v>
      </c>
      <c r="Y577" s="77" t="str">
        <f t="shared" si="3351"/>
        <v/>
      </c>
      <c r="Z577" s="3"/>
      <c r="AA577" s="37" t="str">
        <f t="shared" si="3365"/>
        <v/>
      </c>
      <c r="AC577" s="40"/>
      <c r="AD577" s="7"/>
      <c r="AE577" s="77" t="str">
        <f t="shared" si="3352"/>
        <v/>
      </c>
      <c r="AF577" s="81">
        <f t="shared" si="3378"/>
        <v>0</v>
      </c>
      <c r="AG577" s="40"/>
      <c r="AH577" s="7"/>
      <c r="AI577" s="77" t="str">
        <f t="shared" si="3353"/>
        <v/>
      </c>
      <c r="AJ577" s="81">
        <f t="shared" si="3379"/>
        <v>0</v>
      </c>
      <c r="AK577" s="83">
        <f t="shared" si="3380"/>
        <v>0</v>
      </c>
      <c r="AL577" s="83">
        <f t="shared" si="3381"/>
        <v>0</v>
      </c>
      <c r="AN577" s="43">
        <f t="shared" si="3354"/>
        <v>0</v>
      </c>
      <c r="AP577" t="str">
        <f t="shared" si="3382"/>
        <v/>
      </c>
      <c r="AQ577" t="str">
        <f t="shared" si="3383"/>
        <v/>
      </c>
      <c r="AR577" t="str">
        <f t="shared" si="3384"/>
        <v/>
      </c>
      <c r="AS577" t="str">
        <f t="shared" si="3385"/>
        <v/>
      </c>
      <c r="AT577" t="str">
        <f t="shared" si="3386"/>
        <v/>
      </c>
      <c r="AU577" t="str">
        <f t="shared" si="3387"/>
        <v/>
      </c>
      <c r="AV577" t="str">
        <f t="shared" si="3388"/>
        <v/>
      </c>
      <c r="AW577" t="str">
        <f t="shared" si="3389"/>
        <v xml:space="preserve">                              </v>
      </c>
      <c r="AX577" s="23">
        <f t="shared" si="3390"/>
        <v>0</v>
      </c>
      <c r="AY577" s="49" t="str">
        <f t="shared" si="3366"/>
        <v>000000000000000</v>
      </c>
      <c r="AZ577" s="23">
        <f t="shared" si="3391"/>
        <v>0</v>
      </c>
      <c r="BA577" s="49" t="str">
        <f t="shared" si="3366"/>
        <v>000000000000000</v>
      </c>
      <c r="BB577" s="23">
        <f t="shared" si="3392"/>
        <v>0</v>
      </c>
      <c r="BC577" s="49" t="str">
        <f t="shared" ref="BC577" si="3717">IF(BB577&lt;0,SUBSTITUTE(TEXT(BB577,"000000000000,00"),",",""),SUBSTITUTE(TEXT(BB577,"0000000000000,00"),",",""))</f>
        <v>000000000000000</v>
      </c>
      <c r="BD577" s="23">
        <f t="shared" si="3394"/>
        <v>0</v>
      </c>
      <c r="BE577" s="49" t="str">
        <f t="shared" ref="BE577" si="3718">IF(BD577&lt;0,SUBSTITUTE(TEXT(BD577,"000000000000,00"),",",""),SUBSTITUTE(TEXT(BD577,"0000000000000,00"),",",""))</f>
        <v>000000000000000</v>
      </c>
      <c r="BF577" s="23">
        <f t="shared" si="3396"/>
        <v>0</v>
      </c>
      <c r="BG577" s="49" t="str">
        <f t="shared" ref="BG577" si="3719">IF(BF577&lt;0,SUBSTITUTE(TEXT(BF577,"000000000000,00"),",",""),SUBSTITUTE(TEXT(BF577,"0000000000000,00"),",",""))</f>
        <v>000000000000000</v>
      </c>
      <c r="BH577" s="23">
        <f t="shared" si="3398"/>
        <v>0</v>
      </c>
      <c r="BI577" s="49" t="str">
        <f t="shared" ref="BI577" si="3720">IF(BH577&lt;0,SUBSTITUTE(TEXT(BH577,"000000000000,00"),",",""),SUBSTITUTE(TEXT(BH577,"0000000000000,00"),",",""))</f>
        <v>000000000000000</v>
      </c>
      <c r="BJ577" s="23">
        <f t="shared" si="3400"/>
        <v>0</v>
      </c>
      <c r="BK577" s="49" t="str">
        <f t="shared" ref="BK577" si="3721">IF(BJ577&lt;0,SUBSTITUTE(TEXT(BJ577,"000000000000,00"),",",""),SUBSTITUTE(TEXT(BJ577,"0000000000000,00"),",",""))</f>
        <v>000000000000000</v>
      </c>
      <c r="BL577" s="23">
        <f t="shared" si="3402"/>
        <v>0</v>
      </c>
      <c r="BM577" s="49" t="str">
        <f t="shared" ref="BM577" si="3722">IF(BL577&lt;0,SUBSTITUTE(TEXT(BL577,"000000000000,00"),",",""),SUBSTITUTE(TEXT(BL577,"0000000000000,00"),",",""))</f>
        <v>000000000000000</v>
      </c>
      <c r="BN577" t="str">
        <f t="shared" si="3404"/>
        <v>PES</v>
      </c>
      <c r="BO577" t="str">
        <f t="shared" si="3405"/>
        <v>0001000000</v>
      </c>
      <c r="BP577">
        <f t="shared" si="3406"/>
        <v>0</v>
      </c>
      <c r="BQ577">
        <f t="shared" si="3407"/>
        <v>0</v>
      </c>
      <c r="BR577" s="23">
        <f t="shared" si="3408"/>
        <v>0</v>
      </c>
      <c r="BS577" s="49" t="str">
        <f t="shared" si="3373"/>
        <v>000000000000000</v>
      </c>
      <c r="BT577" t="str">
        <f t="shared" si="3409"/>
        <v>00000000</v>
      </c>
      <c r="BU577" s="23">
        <f t="shared" si="3410"/>
        <v>0</v>
      </c>
      <c r="BV577" s="49" t="str">
        <f t="shared" si="3374"/>
        <v/>
      </c>
      <c r="BW577" s="52" t="str">
        <f t="shared" si="3411"/>
        <v/>
      </c>
      <c r="BX577" s="23">
        <f t="shared" si="3412"/>
        <v>0</v>
      </c>
      <c r="BY577" s="49" t="str">
        <f t="shared" si="3375"/>
        <v/>
      </c>
      <c r="BZ577" s="23">
        <f t="shared" si="3413"/>
        <v>0</v>
      </c>
      <c r="CA577" s="49" t="str">
        <f t="shared" si="3376"/>
        <v/>
      </c>
      <c r="CB577" s="52" t="str">
        <f t="shared" si="3414"/>
        <v/>
      </c>
      <c r="CC577" s="23">
        <f t="shared" si="3415"/>
        <v>0</v>
      </c>
      <c r="CD577" s="49" t="str">
        <f t="shared" si="3377"/>
        <v/>
      </c>
      <c r="CE577" s="56" t="str">
        <f>IF(CF577="","",MAX(CE$10:$CE576)+1)</f>
        <v/>
      </c>
      <c r="CF577" t="str">
        <f t="shared" si="3416"/>
        <v/>
      </c>
      <c r="CG577" s="22" t="str">
        <f>IF(CH577="","",MAX($CG$10:CG576)+1)</f>
        <v/>
      </c>
      <c r="CH577" s="22" t="str">
        <f t="shared" si="3361"/>
        <v/>
      </c>
      <c r="CI577" s="22" t="str">
        <f>IF(CJ577="","",MAX($CI$10:CI576)+1)</f>
        <v/>
      </c>
      <c r="CJ577" s="22" t="str">
        <f t="shared" si="3362"/>
        <v/>
      </c>
    </row>
    <row r="578" spans="2:88" x14ac:dyDescent="0.25">
      <c r="B578" s="37"/>
      <c r="C578" s="3"/>
      <c r="D578" s="77" t="str">
        <f t="shared" si="3348"/>
        <v/>
      </c>
      <c r="E578" s="38"/>
      <c r="F578" s="38"/>
      <c r="G578" s="78">
        <f t="shared" si="3363"/>
        <v>0</v>
      </c>
      <c r="H578" s="3">
        <v>80</v>
      </c>
      <c r="I578" s="77" t="str">
        <f t="shared" si="3349"/>
        <v/>
      </c>
      <c r="J578" s="32"/>
      <c r="K578" s="3"/>
      <c r="L578" s="39"/>
      <c r="M578" s="39"/>
      <c r="N578" s="39"/>
      <c r="O578" s="39"/>
      <c r="P578" s="39"/>
      <c r="Q578" s="39"/>
      <c r="R578" s="39"/>
      <c r="S578" s="39"/>
      <c r="T578" s="3" t="s">
        <v>645</v>
      </c>
      <c r="U578" s="77" t="str">
        <f t="shared" si="3350"/>
        <v/>
      </c>
      <c r="V578" s="39">
        <v>1</v>
      </c>
      <c r="W578" s="79">
        <f t="shared" si="3364"/>
        <v>0</v>
      </c>
      <c r="X578" s="3">
        <v>0</v>
      </c>
      <c r="Y578" s="77" t="str">
        <f t="shared" si="3351"/>
        <v/>
      </c>
      <c r="Z578" s="3"/>
      <c r="AA578" s="37" t="str">
        <f t="shared" si="3365"/>
        <v/>
      </c>
      <c r="AC578" s="40"/>
      <c r="AD578" s="7"/>
      <c r="AE578" s="77" t="str">
        <f t="shared" si="3352"/>
        <v/>
      </c>
      <c r="AF578" s="81">
        <f t="shared" si="3378"/>
        <v>0</v>
      </c>
      <c r="AG578" s="40"/>
      <c r="AH578" s="7"/>
      <c r="AI578" s="77" t="str">
        <f t="shared" si="3353"/>
        <v/>
      </c>
      <c r="AJ578" s="81">
        <f t="shared" si="3379"/>
        <v>0</v>
      </c>
      <c r="AK578" s="83">
        <f t="shared" si="3380"/>
        <v>0</v>
      </c>
      <c r="AL578" s="83">
        <f t="shared" si="3381"/>
        <v>0</v>
      </c>
      <c r="AN578" s="43">
        <f t="shared" si="3354"/>
        <v>0</v>
      </c>
      <c r="AP578" t="str">
        <f t="shared" si="3382"/>
        <v/>
      </c>
      <c r="AQ578" t="str">
        <f t="shared" si="3383"/>
        <v/>
      </c>
      <c r="AR578" t="str">
        <f t="shared" si="3384"/>
        <v/>
      </c>
      <c r="AS578" t="str">
        <f t="shared" si="3385"/>
        <v/>
      </c>
      <c r="AT578" t="str">
        <f t="shared" si="3386"/>
        <v/>
      </c>
      <c r="AU578" t="str">
        <f t="shared" si="3387"/>
        <v/>
      </c>
      <c r="AV578" t="str">
        <f t="shared" si="3388"/>
        <v/>
      </c>
      <c r="AW578" t="str">
        <f t="shared" si="3389"/>
        <v xml:space="preserve">                              </v>
      </c>
      <c r="AX578" s="23">
        <f t="shared" si="3390"/>
        <v>0</v>
      </c>
      <c r="AY578" s="49" t="str">
        <f t="shared" si="3366"/>
        <v>000000000000000</v>
      </c>
      <c r="AZ578" s="23">
        <f t="shared" si="3391"/>
        <v>0</v>
      </c>
      <c r="BA578" s="49" t="str">
        <f t="shared" si="3366"/>
        <v>000000000000000</v>
      </c>
      <c r="BB578" s="23">
        <f t="shared" si="3392"/>
        <v>0</v>
      </c>
      <c r="BC578" s="49" t="str">
        <f t="shared" ref="BC578" si="3723">IF(BB578&lt;0,SUBSTITUTE(TEXT(BB578,"000000000000,00"),",",""),SUBSTITUTE(TEXT(BB578,"0000000000000,00"),",",""))</f>
        <v>000000000000000</v>
      </c>
      <c r="BD578" s="23">
        <f t="shared" si="3394"/>
        <v>0</v>
      </c>
      <c r="BE578" s="49" t="str">
        <f t="shared" ref="BE578" si="3724">IF(BD578&lt;0,SUBSTITUTE(TEXT(BD578,"000000000000,00"),",",""),SUBSTITUTE(TEXT(BD578,"0000000000000,00"),",",""))</f>
        <v>000000000000000</v>
      </c>
      <c r="BF578" s="23">
        <f t="shared" si="3396"/>
        <v>0</v>
      </c>
      <c r="BG578" s="49" t="str">
        <f t="shared" ref="BG578" si="3725">IF(BF578&lt;0,SUBSTITUTE(TEXT(BF578,"000000000000,00"),",",""),SUBSTITUTE(TEXT(BF578,"0000000000000,00"),",",""))</f>
        <v>000000000000000</v>
      </c>
      <c r="BH578" s="23">
        <f t="shared" si="3398"/>
        <v>0</v>
      </c>
      <c r="BI578" s="49" t="str">
        <f t="shared" ref="BI578" si="3726">IF(BH578&lt;0,SUBSTITUTE(TEXT(BH578,"000000000000,00"),",",""),SUBSTITUTE(TEXT(BH578,"0000000000000,00"),",",""))</f>
        <v>000000000000000</v>
      </c>
      <c r="BJ578" s="23">
        <f t="shared" si="3400"/>
        <v>0</v>
      </c>
      <c r="BK578" s="49" t="str">
        <f t="shared" ref="BK578" si="3727">IF(BJ578&lt;0,SUBSTITUTE(TEXT(BJ578,"000000000000,00"),",",""),SUBSTITUTE(TEXT(BJ578,"0000000000000,00"),",",""))</f>
        <v>000000000000000</v>
      </c>
      <c r="BL578" s="23">
        <f t="shared" si="3402"/>
        <v>0</v>
      </c>
      <c r="BM578" s="49" t="str">
        <f t="shared" ref="BM578" si="3728">IF(BL578&lt;0,SUBSTITUTE(TEXT(BL578,"000000000000,00"),",",""),SUBSTITUTE(TEXT(BL578,"0000000000000,00"),",",""))</f>
        <v>000000000000000</v>
      </c>
      <c r="BN578" t="str">
        <f t="shared" si="3404"/>
        <v>PES</v>
      </c>
      <c r="BO578" t="str">
        <f t="shared" si="3405"/>
        <v>0001000000</v>
      </c>
      <c r="BP578">
        <f t="shared" si="3406"/>
        <v>0</v>
      </c>
      <c r="BQ578">
        <f t="shared" si="3407"/>
        <v>0</v>
      </c>
      <c r="BR578" s="23">
        <f t="shared" si="3408"/>
        <v>0</v>
      </c>
      <c r="BS578" s="49" t="str">
        <f t="shared" si="3373"/>
        <v>000000000000000</v>
      </c>
      <c r="BT578" t="str">
        <f t="shared" si="3409"/>
        <v>00000000</v>
      </c>
      <c r="BU578" s="23">
        <f t="shared" si="3410"/>
        <v>0</v>
      </c>
      <c r="BV578" s="49" t="str">
        <f t="shared" si="3374"/>
        <v/>
      </c>
      <c r="BW578" s="52" t="str">
        <f t="shared" si="3411"/>
        <v/>
      </c>
      <c r="BX578" s="23">
        <f t="shared" si="3412"/>
        <v>0</v>
      </c>
      <c r="BY578" s="49" t="str">
        <f t="shared" si="3375"/>
        <v/>
      </c>
      <c r="BZ578" s="23">
        <f t="shared" si="3413"/>
        <v>0</v>
      </c>
      <c r="CA578" s="49" t="str">
        <f t="shared" si="3376"/>
        <v/>
      </c>
      <c r="CB578" s="52" t="str">
        <f t="shared" si="3414"/>
        <v/>
      </c>
      <c r="CC578" s="23">
        <f t="shared" si="3415"/>
        <v>0</v>
      </c>
      <c r="CD578" s="49" t="str">
        <f t="shared" si="3377"/>
        <v/>
      </c>
      <c r="CE578" s="56" t="str">
        <f>IF(CF578="","",MAX(CE$10:$CE577)+1)</f>
        <v/>
      </c>
      <c r="CF578" t="str">
        <f t="shared" si="3416"/>
        <v/>
      </c>
      <c r="CG578" s="22" t="str">
        <f>IF(CH578="","",MAX($CG$10:CG577)+1)</f>
        <v/>
      </c>
      <c r="CH578" s="22" t="str">
        <f t="shared" si="3361"/>
        <v/>
      </c>
      <c r="CI578" s="22" t="str">
        <f>IF(CJ578="","",MAX($CI$10:CI577)+1)</f>
        <v/>
      </c>
      <c r="CJ578" s="22" t="str">
        <f t="shared" si="3362"/>
        <v/>
      </c>
    </row>
    <row r="579" spans="2:88" x14ac:dyDescent="0.25">
      <c r="B579" s="37"/>
      <c r="C579" s="3"/>
      <c r="D579" s="77" t="str">
        <f t="shared" si="3348"/>
        <v/>
      </c>
      <c r="E579" s="38"/>
      <c r="F579" s="38"/>
      <c r="G579" s="78">
        <f t="shared" si="3363"/>
        <v>0</v>
      </c>
      <c r="H579" s="3">
        <v>80</v>
      </c>
      <c r="I579" s="77" t="str">
        <f t="shared" si="3349"/>
        <v/>
      </c>
      <c r="J579" s="32"/>
      <c r="K579" s="3"/>
      <c r="L579" s="39"/>
      <c r="M579" s="39"/>
      <c r="N579" s="39"/>
      <c r="O579" s="39"/>
      <c r="P579" s="39"/>
      <c r="Q579" s="39"/>
      <c r="R579" s="39"/>
      <c r="S579" s="39"/>
      <c r="T579" s="3" t="s">
        <v>645</v>
      </c>
      <c r="U579" s="77" t="str">
        <f t="shared" si="3350"/>
        <v/>
      </c>
      <c r="V579" s="39">
        <v>1</v>
      </c>
      <c r="W579" s="79">
        <f t="shared" si="3364"/>
        <v>0</v>
      </c>
      <c r="X579" s="3">
        <v>0</v>
      </c>
      <c r="Y579" s="77" t="str">
        <f t="shared" si="3351"/>
        <v/>
      </c>
      <c r="Z579" s="3"/>
      <c r="AA579" s="37" t="str">
        <f t="shared" si="3365"/>
        <v/>
      </c>
      <c r="AC579" s="40"/>
      <c r="AD579" s="7"/>
      <c r="AE579" s="77" t="str">
        <f t="shared" si="3352"/>
        <v/>
      </c>
      <c r="AF579" s="81">
        <f t="shared" si="3378"/>
        <v>0</v>
      </c>
      <c r="AG579" s="40"/>
      <c r="AH579" s="7"/>
      <c r="AI579" s="77" t="str">
        <f t="shared" si="3353"/>
        <v/>
      </c>
      <c r="AJ579" s="81">
        <f t="shared" si="3379"/>
        <v>0</v>
      </c>
      <c r="AK579" s="83">
        <f t="shared" si="3380"/>
        <v>0</v>
      </c>
      <c r="AL579" s="83">
        <f t="shared" si="3381"/>
        <v>0</v>
      </c>
      <c r="AN579" s="43">
        <f t="shared" si="3354"/>
        <v>0</v>
      </c>
      <c r="AP579" t="str">
        <f t="shared" si="3382"/>
        <v/>
      </c>
      <c r="AQ579" t="str">
        <f t="shared" si="3383"/>
        <v/>
      </c>
      <c r="AR579" t="str">
        <f t="shared" si="3384"/>
        <v/>
      </c>
      <c r="AS579" t="str">
        <f t="shared" si="3385"/>
        <v/>
      </c>
      <c r="AT579" t="str">
        <f t="shared" si="3386"/>
        <v/>
      </c>
      <c r="AU579" t="str">
        <f t="shared" si="3387"/>
        <v/>
      </c>
      <c r="AV579" t="str">
        <f t="shared" si="3388"/>
        <v/>
      </c>
      <c r="AW579" t="str">
        <f t="shared" si="3389"/>
        <v xml:space="preserve">                              </v>
      </c>
      <c r="AX579" s="23">
        <f t="shared" si="3390"/>
        <v>0</v>
      </c>
      <c r="AY579" s="49" t="str">
        <f t="shared" si="3366"/>
        <v>000000000000000</v>
      </c>
      <c r="AZ579" s="23">
        <f t="shared" si="3391"/>
        <v>0</v>
      </c>
      <c r="BA579" s="49" t="str">
        <f t="shared" si="3366"/>
        <v>000000000000000</v>
      </c>
      <c r="BB579" s="23">
        <f t="shared" si="3392"/>
        <v>0</v>
      </c>
      <c r="BC579" s="49" t="str">
        <f t="shared" ref="BC579" si="3729">IF(BB579&lt;0,SUBSTITUTE(TEXT(BB579,"000000000000,00"),",",""),SUBSTITUTE(TEXT(BB579,"0000000000000,00"),",",""))</f>
        <v>000000000000000</v>
      </c>
      <c r="BD579" s="23">
        <f t="shared" si="3394"/>
        <v>0</v>
      </c>
      <c r="BE579" s="49" t="str">
        <f t="shared" ref="BE579" si="3730">IF(BD579&lt;0,SUBSTITUTE(TEXT(BD579,"000000000000,00"),",",""),SUBSTITUTE(TEXT(BD579,"0000000000000,00"),",",""))</f>
        <v>000000000000000</v>
      </c>
      <c r="BF579" s="23">
        <f t="shared" si="3396"/>
        <v>0</v>
      </c>
      <c r="BG579" s="49" t="str">
        <f t="shared" ref="BG579" si="3731">IF(BF579&lt;0,SUBSTITUTE(TEXT(BF579,"000000000000,00"),",",""),SUBSTITUTE(TEXT(BF579,"0000000000000,00"),",",""))</f>
        <v>000000000000000</v>
      </c>
      <c r="BH579" s="23">
        <f t="shared" si="3398"/>
        <v>0</v>
      </c>
      <c r="BI579" s="49" t="str">
        <f t="shared" ref="BI579" si="3732">IF(BH579&lt;0,SUBSTITUTE(TEXT(BH579,"000000000000,00"),",",""),SUBSTITUTE(TEXT(BH579,"0000000000000,00"),",",""))</f>
        <v>000000000000000</v>
      </c>
      <c r="BJ579" s="23">
        <f t="shared" si="3400"/>
        <v>0</v>
      </c>
      <c r="BK579" s="49" t="str">
        <f t="shared" ref="BK579" si="3733">IF(BJ579&lt;0,SUBSTITUTE(TEXT(BJ579,"000000000000,00"),",",""),SUBSTITUTE(TEXT(BJ579,"0000000000000,00"),",",""))</f>
        <v>000000000000000</v>
      </c>
      <c r="BL579" s="23">
        <f t="shared" si="3402"/>
        <v>0</v>
      </c>
      <c r="BM579" s="49" t="str">
        <f t="shared" ref="BM579" si="3734">IF(BL579&lt;0,SUBSTITUTE(TEXT(BL579,"000000000000,00"),",",""),SUBSTITUTE(TEXT(BL579,"0000000000000,00"),",",""))</f>
        <v>000000000000000</v>
      </c>
      <c r="BN579" t="str">
        <f t="shared" si="3404"/>
        <v>PES</v>
      </c>
      <c r="BO579" t="str">
        <f t="shared" si="3405"/>
        <v>0001000000</v>
      </c>
      <c r="BP579">
        <f t="shared" si="3406"/>
        <v>0</v>
      </c>
      <c r="BQ579">
        <f t="shared" si="3407"/>
        <v>0</v>
      </c>
      <c r="BR579" s="23">
        <f t="shared" si="3408"/>
        <v>0</v>
      </c>
      <c r="BS579" s="49" t="str">
        <f t="shared" si="3373"/>
        <v>000000000000000</v>
      </c>
      <c r="BT579" t="str">
        <f t="shared" si="3409"/>
        <v>00000000</v>
      </c>
      <c r="BU579" s="23">
        <f t="shared" si="3410"/>
        <v>0</v>
      </c>
      <c r="BV579" s="49" t="str">
        <f t="shared" si="3374"/>
        <v/>
      </c>
      <c r="BW579" s="52" t="str">
        <f t="shared" si="3411"/>
        <v/>
      </c>
      <c r="BX579" s="23">
        <f t="shared" si="3412"/>
        <v>0</v>
      </c>
      <c r="BY579" s="49" t="str">
        <f t="shared" si="3375"/>
        <v/>
      </c>
      <c r="BZ579" s="23">
        <f t="shared" si="3413"/>
        <v>0</v>
      </c>
      <c r="CA579" s="49" t="str">
        <f t="shared" si="3376"/>
        <v/>
      </c>
      <c r="CB579" s="52" t="str">
        <f t="shared" si="3414"/>
        <v/>
      </c>
      <c r="CC579" s="23">
        <f t="shared" si="3415"/>
        <v>0</v>
      </c>
      <c r="CD579" s="49" t="str">
        <f t="shared" si="3377"/>
        <v/>
      </c>
      <c r="CE579" s="56" t="str">
        <f>IF(CF579="","",MAX(CE$10:$CE578)+1)</f>
        <v/>
      </c>
      <c r="CF579" t="str">
        <f t="shared" si="3416"/>
        <v/>
      </c>
      <c r="CG579" s="22" t="str">
        <f>IF(CH579="","",MAX($CG$10:CG578)+1)</f>
        <v/>
      </c>
      <c r="CH579" s="22" t="str">
        <f t="shared" si="3361"/>
        <v/>
      </c>
      <c r="CI579" s="22" t="str">
        <f>IF(CJ579="","",MAX($CI$10:CI578)+1)</f>
        <v/>
      </c>
      <c r="CJ579" s="22" t="str">
        <f t="shared" si="3362"/>
        <v/>
      </c>
    </row>
    <row r="580" spans="2:88" x14ac:dyDescent="0.25">
      <c r="B580" s="37"/>
      <c r="C580" s="3"/>
      <c r="D580" s="77" t="str">
        <f t="shared" si="3348"/>
        <v/>
      </c>
      <c r="E580" s="38"/>
      <c r="F580" s="38"/>
      <c r="G580" s="78">
        <f t="shared" si="3363"/>
        <v>0</v>
      </c>
      <c r="H580" s="3">
        <v>80</v>
      </c>
      <c r="I580" s="77" t="str">
        <f t="shared" si="3349"/>
        <v/>
      </c>
      <c r="J580" s="32"/>
      <c r="K580" s="3"/>
      <c r="L580" s="39"/>
      <c r="M580" s="39"/>
      <c r="N580" s="39"/>
      <c r="O580" s="39"/>
      <c r="P580" s="39"/>
      <c r="Q580" s="39"/>
      <c r="R580" s="39"/>
      <c r="S580" s="39"/>
      <c r="T580" s="3" t="s">
        <v>645</v>
      </c>
      <c r="U580" s="77" t="str">
        <f t="shared" si="3350"/>
        <v/>
      </c>
      <c r="V580" s="39">
        <v>1</v>
      </c>
      <c r="W580" s="79">
        <f t="shared" si="3364"/>
        <v>0</v>
      </c>
      <c r="X580" s="3">
        <v>0</v>
      </c>
      <c r="Y580" s="77" t="str">
        <f t="shared" si="3351"/>
        <v/>
      </c>
      <c r="Z580" s="3"/>
      <c r="AA580" s="37" t="str">
        <f t="shared" si="3365"/>
        <v/>
      </c>
      <c r="AC580" s="40"/>
      <c r="AD580" s="7"/>
      <c r="AE580" s="77" t="str">
        <f t="shared" si="3352"/>
        <v/>
      </c>
      <c r="AF580" s="81">
        <f t="shared" si="3378"/>
        <v>0</v>
      </c>
      <c r="AG580" s="40"/>
      <c r="AH580" s="7"/>
      <c r="AI580" s="77" t="str">
        <f t="shared" si="3353"/>
        <v/>
      </c>
      <c r="AJ580" s="81">
        <f t="shared" si="3379"/>
        <v>0</v>
      </c>
      <c r="AK580" s="83">
        <f t="shared" si="3380"/>
        <v>0</v>
      </c>
      <c r="AL580" s="83">
        <f t="shared" si="3381"/>
        <v>0</v>
      </c>
      <c r="AN580" s="43">
        <f t="shared" si="3354"/>
        <v>0</v>
      </c>
      <c r="AP580" t="str">
        <f t="shared" si="3382"/>
        <v/>
      </c>
      <c r="AQ580" t="str">
        <f t="shared" si="3383"/>
        <v/>
      </c>
      <c r="AR580" t="str">
        <f t="shared" si="3384"/>
        <v/>
      </c>
      <c r="AS580" t="str">
        <f t="shared" si="3385"/>
        <v/>
      </c>
      <c r="AT580" t="str">
        <f t="shared" si="3386"/>
        <v/>
      </c>
      <c r="AU580" t="str">
        <f t="shared" si="3387"/>
        <v/>
      </c>
      <c r="AV580" t="str">
        <f t="shared" si="3388"/>
        <v/>
      </c>
      <c r="AW580" t="str">
        <f t="shared" si="3389"/>
        <v xml:space="preserve">                              </v>
      </c>
      <c r="AX580" s="23">
        <f t="shared" si="3390"/>
        <v>0</v>
      </c>
      <c r="AY580" s="49" t="str">
        <f t="shared" si="3366"/>
        <v>000000000000000</v>
      </c>
      <c r="AZ580" s="23">
        <f t="shared" si="3391"/>
        <v>0</v>
      </c>
      <c r="BA580" s="49" t="str">
        <f t="shared" si="3366"/>
        <v>000000000000000</v>
      </c>
      <c r="BB580" s="23">
        <f t="shared" si="3392"/>
        <v>0</v>
      </c>
      <c r="BC580" s="49" t="str">
        <f t="shared" ref="BC580" si="3735">IF(BB580&lt;0,SUBSTITUTE(TEXT(BB580,"000000000000,00"),",",""),SUBSTITUTE(TEXT(BB580,"0000000000000,00"),",",""))</f>
        <v>000000000000000</v>
      </c>
      <c r="BD580" s="23">
        <f t="shared" si="3394"/>
        <v>0</v>
      </c>
      <c r="BE580" s="49" t="str">
        <f t="shared" ref="BE580" si="3736">IF(BD580&lt;0,SUBSTITUTE(TEXT(BD580,"000000000000,00"),",",""),SUBSTITUTE(TEXT(BD580,"0000000000000,00"),",",""))</f>
        <v>000000000000000</v>
      </c>
      <c r="BF580" s="23">
        <f t="shared" si="3396"/>
        <v>0</v>
      </c>
      <c r="BG580" s="49" t="str">
        <f t="shared" ref="BG580" si="3737">IF(BF580&lt;0,SUBSTITUTE(TEXT(BF580,"000000000000,00"),",",""),SUBSTITUTE(TEXT(BF580,"0000000000000,00"),",",""))</f>
        <v>000000000000000</v>
      </c>
      <c r="BH580" s="23">
        <f t="shared" si="3398"/>
        <v>0</v>
      </c>
      <c r="BI580" s="49" t="str">
        <f t="shared" ref="BI580" si="3738">IF(BH580&lt;0,SUBSTITUTE(TEXT(BH580,"000000000000,00"),",",""),SUBSTITUTE(TEXT(BH580,"0000000000000,00"),",",""))</f>
        <v>000000000000000</v>
      </c>
      <c r="BJ580" s="23">
        <f t="shared" si="3400"/>
        <v>0</v>
      </c>
      <c r="BK580" s="49" t="str">
        <f t="shared" ref="BK580" si="3739">IF(BJ580&lt;0,SUBSTITUTE(TEXT(BJ580,"000000000000,00"),",",""),SUBSTITUTE(TEXT(BJ580,"0000000000000,00"),",",""))</f>
        <v>000000000000000</v>
      </c>
      <c r="BL580" s="23">
        <f t="shared" si="3402"/>
        <v>0</v>
      </c>
      <c r="BM580" s="49" t="str">
        <f t="shared" ref="BM580" si="3740">IF(BL580&lt;0,SUBSTITUTE(TEXT(BL580,"000000000000,00"),",",""),SUBSTITUTE(TEXT(BL580,"0000000000000,00"),",",""))</f>
        <v>000000000000000</v>
      </c>
      <c r="BN580" t="str">
        <f t="shared" si="3404"/>
        <v>PES</v>
      </c>
      <c r="BO580" t="str">
        <f t="shared" si="3405"/>
        <v>0001000000</v>
      </c>
      <c r="BP580">
        <f t="shared" si="3406"/>
        <v>0</v>
      </c>
      <c r="BQ580">
        <f t="shared" si="3407"/>
        <v>0</v>
      </c>
      <c r="BR580" s="23">
        <f t="shared" si="3408"/>
        <v>0</v>
      </c>
      <c r="BS580" s="49" t="str">
        <f t="shared" si="3373"/>
        <v>000000000000000</v>
      </c>
      <c r="BT580" t="str">
        <f t="shared" si="3409"/>
        <v>00000000</v>
      </c>
      <c r="BU580" s="23">
        <f t="shared" si="3410"/>
        <v>0</v>
      </c>
      <c r="BV580" s="49" t="str">
        <f t="shared" si="3374"/>
        <v/>
      </c>
      <c r="BW580" s="52" t="str">
        <f t="shared" si="3411"/>
        <v/>
      </c>
      <c r="BX580" s="23">
        <f t="shared" si="3412"/>
        <v>0</v>
      </c>
      <c r="BY580" s="49" t="str">
        <f t="shared" si="3375"/>
        <v/>
      </c>
      <c r="BZ580" s="23">
        <f t="shared" si="3413"/>
        <v>0</v>
      </c>
      <c r="CA580" s="49" t="str">
        <f t="shared" si="3376"/>
        <v/>
      </c>
      <c r="CB580" s="52" t="str">
        <f t="shared" si="3414"/>
        <v/>
      </c>
      <c r="CC580" s="23">
        <f t="shared" si="3415"/>
        <v>0</v>
      </c>
      <c r="CD580" s="49" t="str">
        <f t="shared" si="3377"/>
        <v/>
      </c>
      <c r="CE580" s="56" t="str">
        <f>IF(CF580="","",MAX(CE$10:$CE579)+1)</f>
        <v/>
      </c>
      <c r="CF580" t="str">
        <f t="shared" si="3416"/>
        <v/>
      </c>
      <c r="CG580" s="22" t="str">
        <f>IF(CH580="","",MAX($CG$10:CG579)+1)</f>
        <v/>
      </c>
      <c r="CH580" s="22" t="str">
        <f t="shared" si="3361"/>
        <v/>
      </c>
      <c r="CI580" s="22" t="str">
        <f>IF(CJ580="","",MAX($CI$10:CI579)+1)</f>
        <v/>
      </c>
      <c r="CJ580" s="22" t="str">
        <f t="shared" si="3362"/>
        <v/>
      </c>
    </row>
    <row r="581" spans="2:88" x14ac:dyDescent="0.25">
      <c r="B581" s="37"/>
      <c r="C581" s="3"/>
      <c r="D581" s="77" t="str">
        <f t="shared" si="3348"/>
        <v/>
      </c>
      <c r="E581" s="38"/>
      <c r="F581" s="38"/>
      <c r="G581" s="78">
        <f t="shared" si="3363"/>
        <v>0</v>
      </c>
      <c r="H581" s="3">
        <v>80</v>
      </c>
      <c r="I581" s="77" t="str">
        <f t="shared" si="3349"/>
        <v/>
      </c>
      <c r="J581" s="32"/>
      <c r="K581" s="3"/>
      <c r="L581" s="39"/>
      <c r="M581" s="39"/>
      <c r="N581" s="39"/>
      <c r="O581" s="39"/>
      <c r="P581" s="39"/>
      <c r="Q581" s="39"/>
      <c r="R581" s="39"/>
      <c r="S581" s="39"/>
      <c r="T581" s="3" t="s">
        <v>645</v>
      </c>
      <c r="U581" s="77" t="str">
        <f t="shared" si="3350"/>
        <v/>
      </c>
      <c r="V581" s="39">
        <v>1</v>
      </c>
      <c r="W581" s="79">
        <f t="shared" si="3364"/>
        <v>0</v>
      </c>
      <c r="X581" s="3">
        <v>0</v>
      </c>
      <c r="Y581" s="77" t="str">
        <f t="shared" si="3351"/>
        <v/>
      </c>
      <c r="Z581" s="3"/>
      <c r="AA581" s="37" t="str">
        <f t="shared" si="3365"/>
        <v/>
      </c>
      <c r="AC581" s="40"/>
      <c r="AD581" s="7"/>
      <c r="AE581" s="77" t="str">
        <f t="shared" si="3352"/>
        <v/>
      </c>
      <c r="AF581" s="81">
        <f t="shared" si="3378"/>
        <v>0</v>
      </c>
      <c r="AG581" s="40"/>
      <c r="AH581" s="7"/>
      <c r="AI581" s="77" t="str">
        <f t="shared" si="3353"/>
        <v/>
      </c>
      <c r="AJ581" s="81">
        <f t="shared" si="3379"/>
        <v>0</v>
      </c>
      <c r="AK581" s="83">
        <f t="shared" si="3380"/>
        <v>0</v>
      </c>
      <c r="AL581" s="83">
        <f t="shared" si="3381"/>
        <v>0</v>
      </c>
      <c r="AN581" s="43">
        <f t="shared" si="3354"/>
        <v>0</v>
      </c>
      <c r="AP581" t="str">
        <f t="shared" si="3382"/>
        <v/>
      </c>
      <c r="AQ581" t="str">
        <f t="shared" si="3383"/>
        <v/>
      </c>
      <c r="AR581" t="str">
        <f t="shared" si="3384"/>
        <v/>
      </c>
      <c r="AS581" t="str">
        <f t="shared" si="3385"/>
        <v/>
      </c>
      <c r="AT581" t="str">
        <f t="shared" si="3386"/>
        <v/>
      </c>
      <c r="AU581" t="str">
        <f t="shared" si="3387"/>
        <v/>
      </c>
      <c r="AV581" t="str">
        <f t="shared" si="3388"/>
        <v/>
      </c>
      <c r="AW581" t="str">
        <f t="shared" si="3389"/>
        <v xml:space="preserve">                              </v>
      </c>
      <c r="AX581" s="23">
        <f t="shared" si="3390"/>
        <v>0</v>
      </c>
      <c r="AY581" s="49" t="str">
        <f t="shared" si="3366"/>
        <v>000000000000000</v>
      </c>
      <c r="AZ581" s="23">
        <f t="shared" si="3391"/>
        <v>0</v>
      </c>
      <c r="BA581" s="49" t="str">
        <f t="shared" si="3366"/>
        <v>000000000000000</v>
      </c>
      <c r="BB581" s="23">
        <f t="shared" si="3392"/>
        <v>0</v>
      </c>
      <c r="BC581" s="49" t="str">
        <f t="shared" ref="BC581" si="3741">IF(BB581&lt;0,SUBSTITUTE(TEXT(BB581,"000000000000,00"),",",""),SUBSTITUTE(TEXT(BB581,"0000000000000,00"),",",""))</f>
        <v>000000000000000</v>
      </c>
      <c r="BD581" s="23">
        <f t="shared" si="3394"/>
        <v>0</v>
      </c>
      <c r="BE581" s="49" t="str">
        <f t="shared" ref="BE581" si="3742">IF(BD581&lt;0,SUBSTITUTE(TEXT(BD581,"000000000000,00"),",",""),SUBSTITUTE(TEXT(BD581,"0000000000000,00"),",",""))</f>
        <v>000000000000000</v>
      </c>
      <c r="BF581" s="23">
        <f t="shared" si="3396"/>
        <v>0</v>
      </c>
      <c r="BG581" s="49" t="str">
        <f t="shared" ref="BG581" si="3743">IF(BF581&lt;0,SUBSTITUTE(TEXT(BF581,"000000000000,00"),",",""),SUBSTITUTE(TEXT(BF581,"0000000000000,00"),",",""))</f>
        <v>000000000000000</v>
      </c>
      <c r="BH581" s="23">
        <f t="shared" si="3398"/>
        <v>0</v>
      </c>
      <c r="BI581" s="49" t="str">
        <f t="shared" ref="BI581" si="3744">IF(BH581&lt;0,SUBSTITUTE(TEXT(BH581,"000000000000,00"),",",""),SUBSTITUTE(TEXT(BH581,"0000000000000,00"),",",""))</f>
        <v>000000000000000</v>
      </c>
      <c r="BJ581" s="23">
        <f t="shared" si="3400"/>
        <v>0</v>
      </c>
      <c r="BK581" s="49" t="str">
        <f t="shared" ref="BK581" si="3745">IF(BJ581&lt;0,SUBSTITUTE(TEXT(BJ581,"000000000000,00"),",",""),SUBSTITUTE(TEXT(BJ581,"0000000000000,00"),",",""))</f>
        <v>000000000000000</v>
      </c>
      <c r="BL581" s="23">
        <f t="shared" si="3402"/>
        <v>0</v>
      </c>
      <c r="BM581" s="49" t="str">
        <f t="shared" ref="BM581" si="3746">IF(BL581&lt;0,SUBSTITUTE(TEXT(BL581,"000000000000,00"),",",""),SUBSTITUTE(TEXT(BL581,"0000000000000,00"),",",""))</f>
        <v>000000000000000</v>
      </c>
      <c r="BN581" t="str">
        <f t="shared" si="3404"/>
        <v>PES</v>
      </c>
      <c r="BO581" t="str">
        <f t="shared" si="3405"/>
        <v>0001000000</v>
      </c>
      <c r="BP581">
        <f t="shared" si="3406"/>
        <v>0</v>
      </c>
      <c r="BQ581">
        <f t="shared" si="3407"/>
        <v>0</v>
      </c>
      <c r="BR581" s="23">
        <f t="shared" si="3408"/>
        <v>0</v>
      </c>
      <c r="BS581" s="49" t="str">
        <f t="shared" si="3373"/>
        <v>000000000000000</v>
      </c>
      <c r="BT581" t="str">
        <f t="shared" si="3409"/>
        <v>00000000</v>
      </c>
      <c r="BU581" s="23">
        <f t="shared" si="3410"/>
        <v>0</v>
      </c>
      <c r="BV581" s="49" t="str">
        <f t="shared" si="3374"/>
        <v/>
      </c>
      <c r="BW581" s="52" t="str">
        <f t="shared" si="3411"/>
        <v/>
      </c>
      <c r="BX581" s="23">
        <f t="shared" si="3412"/>
        <v>0</v>
      </c>
      <c r="BY581" s="49" t="str">
        <f t="shared" si="3375"/>
        <v/>
      </c>
      <c r="BZ581" s="23">
        <f t="shared" si="3413"/>
        <v>0</v>
      </c>
      <c r="CA581" s="49" t="str">
        <f t="shared" si="3376"/>
        <v/>
      </c>
      <c r="CB581" s="52" t="str">
        <f t="shared" si="3414"/>
        <v/>
      </c>
      <c r="CC581" s="23">
        <f t="shared" si="3415"/>
        <v>0</v>
      </c>
      <c r="CD581" s="49" t="str">
        <f t="shared" si="3377"/>
        <v/>
      </c>
      <c r="CE581" s="56" t="str">
        <f>IF(CF581="","",MAX(CE$10:$CE580)+1)</f>
        <v/>
      </c>
      <c r="CF581" t="str">
        <f t="shared" si="3416"/>
        <v/>
      </c>
      <c r="CG581" s="22" t="str">
        <f>IF(CH581="","",MAX($CG$10:CG580)+1)</f>
        <v/>
      </c>
      <c r="CH581" s="22" t="str">
        <f t="shared" si="3361"/>
        <v/>
      </c>
      <c r="CI581" s="22" t="str">
        <f>IF(CJ581="","",MAX($CI$10:CI580)+1)</f>
        <v/>
      </c>
      <c r="CJ581" s="22" t="str">
        <f t="shared" si="3362"/>
        <v/>
      </c>
    </row>
    <row r="582" spans="2:88" x14ac:dyDescent="0.25">
      <c r="B582" s="37"/>
      <c r="C582" s="3"/>
      <c r="D582" s="77" t="str">
        <f t="shared" si="3348"/>
        <v/>
      </c>
      <c r="E582" s="38"/>
      <c r="F582" s="38"/>
      <c r="G582" s="78">
        <f t="shared" si="3363"/>
        <v>0</v>
      </c>
      <c r="H582" s="3">
        <v>80</v>
      </c>
      <c r="I582" s="77" t="str">
        <f t="shared" si="3349"/>
        <v/>
      </c>
      <c r="J582" s="32"/>
      <c r="K582" s="3"/>
      <c r="L582" s="39"/>
      <c r="M582" s="39"/>
      <c r="N582" s="39"/>
      <c r="O582" s="39"/>
      <c r="P582" s="39"/>
      <c r="Q582" s="39"/>
      <c r="R582" s="39"/>
      <c r="S582" s="39"/>
      <c r="T582" s="3" t="s">
        <v>645</v>
      </c>
      <c r="U582" s="77" t="str">
        <f t="shared" si="3350"/>
        <v/>
      </c>
      <c r="V582" s="39">
        <v>1</v>
      </c>
      <c r="W582" s="79">
        <f t="shared" si="3364"/>
        <v>0</v>
      </c>
      <c r="X582" s="3">
        <v>0</v>
      </c>
      <c r="Y582" s="77" t="str">
        <f t="shared" si="3351"/>
        <v/>
      </c>
      <c r="Z582" s="3"/>
      <c r="AA582" s="37" t="str">
        <f t="shared" si="3365"/>
        <v/>
      </c>
      <c r="AC582" s="40"/>
      <c r="AD582" s="7"/>
      <c r="AE582" s="77" t="str">
        <f t="shared" si="3352"/>
        <v/>
      </c>
      <c r="AF582" s="81">
        <f t="shared" si="3378"/>
        <v>0</v>
      </c>
      <c r="AG582" s="40"/>
      <c r="AH582" s="7"/>
      <c r="AI582" s="77" t="str">
        <f t="shared" si="3353"/>
        <v/>
      </c>
      <c r="AJ582" s="81">
        <f t="shared" si="3379"/>
        <v>0</v>
      </c>
      <c r="AK582" s="83">
        <f t="shared" si="3380"/>
        <v>0</v>
      </c>
      <c r="AL582" s="83">
        <f t="shared" si="3381"/>
        <v>0</v>
      </c>
      <c r="AN582" s="43">
        <f t="shared" si="3354"/>
        <v>0</v>
      </c>
      <c r="AP582" t="str">
        <f t="shared" si="3382"/>
        <v/>
      </c>
      <c r="AQ582" t="str">
        <f t="shared" si="3383"/>
        <v/>
      </c>
      <c r="AR582" t="str">
        <f t="shared" si="3384"/>
        <v/>
      </c>
      <c r="AS582" t="str">
        <f t="shared" si="3385"/>
        <v/>
      </c>
      <c r="AT582" t="str">
        <f t="shared" si="3386"/>
        <v/>
      </c>
      <c r="AU582" t="str">
        <f t="shared" si="3387"/>
        <v/>
      </c>
      <c r="AV582" t="str">
        <f t="shared" si="3388"/>
        <v/>
      </c>
      <c r="AW582" t="str">
        <f t="shared" si="3389"/>
        <v xml:space="preserve">                              </v>
      </c>
      <c r="AX582" s="23">
        <f t="shared" si="3390"/>
        <v>0</v>
      </c>
      <c r="AY582" s="49" t="str">
        <f t="shared" si="3366"/>
        <v>000000000000000</v>
      </c>
      <c r="AZ582" s="23">
        <f t="shared" si="3391"/>
        <v>0</v>
      </c>
      <c r="BA582" s="49" t="str">
        <f t="shared" si="3366"/>
        <v>000000000000000</v>
      </c>
      <c r="BB582" s="23">
        <f t="shared" si="3392"/>
        <v>0</v>
      </c>
      <c r="BC582" s="49" t="str">
        <f t="shared" ref="BC582" si="3747">IF(BB582&lt;0,SUBSTITUTE(TEXT(BB582,"000000000000,00"),",",""),SUBSTITUTE(TEXT(BB582,"0000000000000,00"),",",""))</f>
        <v>000000000000000</v>
      </c>
      <c r="BD582" s="23">
        <f t="shared" si="3394"/>
        <v>0</v>
      </c>
      <c r="BE582" s="49" t="str">
        <f t="shared" ref="BE582" si="3748">IF(BD582&lt;0,SUBSTITUTE(TEXT(BD582,"000000000000,00"),",",""),SUBSTITUTE(TEXT(BD582,"0000000000000,00"),",",""))</f>
        <v>000000000000000</v>
      </c>
      <c r="BF582" s="23">
        <f t="shared" si="3396"/>
        <v>0</v>
      </c>
      <c r="BG582" s="49" t="str">
        <f t="shared" ref="BG582" si="3749">IF(BF582&lt;0,SUBSTITUTE(TEXT(BF582,"000000000000,00"),",",""),SUBSTITUTE(TEXT(BF582,"0000000000000,00"),",",""))</f>
        <v>000000000000000</v>
      </c>
      <c r="BH582" s="23">
        <f t="shared" si="3398"/>
        <v>0</v>
      </c>
      <c r="BI582" s="49" t="str">
        <f t="shared" ref="BI582" si="3750">IF(BH582&lt;0,SUBSTITUTE(TEXT(BH582,"000000000000,00"),",",""),SUBSTITUTE(TEXT(BH582,"0000000000000,00"),",",""))</f>
        <v>000000000000000</v>
      </c>
      <c r="BJ582" s="23">
        <f t="shared" si="3400"/>
        <v>0</v>
      </c>
      <c r="BK582" s="49" t="str">
        <f t="shared" ref="BK582" si="3751">IF(BJ582&lt;0,SUBSTITUTE(TEXT(BJ582,"000000000000,00"),",",""),SUBSTITUTE(TEXT(BJ582,"0000000000000,00"),",",""))</f>
        <v>000000000000000</v>
      </c>
      <c r="BL582" s="23">
        <f t="shared" si="3402"/>
        <v>0</v>
      </c>
      <c r="BM582" s="49" t="str">
        <f t="shared" ref="BM582" si="3752">IF(BL582&lt;0,SUBSTITUTE(TEXT(BL582,"000000000000,00"),",",""),SUBSTITUTE(TEXT(BL582,"0000000000000,00"),",",""))</f>
        <v>000000000000000</v>
      </c>
      <c r="BN582" t="str">
        <f t="shared" si="3404"/>
        <v>PES</v>
      </c>
      <c r="BO582" t="str">
        <f t="shared" si="3405"/>
        <v>0001000000</v>
      </c>
      <c r="BP582">
        <f t="shared" si="3406"/>
        <v>0</v>
      </c>
      <c r="BQ582">
        <f t="shared" si="3407"/>
        <v>0</v>
      </c>
      <c r="BR582" s="23">
        <f t="shared" si="3408"/>
        <v>0</v>
      </c>
      <c r="BS582" s="49" t="str">
        <f t="shared" si="3373"/>
        <v>000000000000000</v>
      </c>
      <c r="BT582" t="str">
        <f t="shared" si="3409"/>
        <v>00000000</v>
      </c>
      <c r="BU582" s="23">
        <f t="shared" si="3410"/>
        <v>0</v>
      </c>
      <c r="BV582" s="49" t="str">
        <f t="shared" si="3374"/>
        <v/>
      </c>
      <c r="BW582" s="52" t="str">
        <f t="shared" si="3411"/>
        <v/>
      </c>
      <c r="BX582" s="23">
        <f t="shared" si="3412"/>
        <v>0</v>
      </c>
      <c r="BY582" s="49" t="str">
        <f t="shared" si="3375"/>
        <v/>
      </c>
      <c r="BZ582" s="23">
        <f t="shared" si="3413"/>
        <v>0</v>
      </c>
      <c r="CA582" s="49" t="str">
        <f t="shared" si="3376"/>
        <v/>
      </c>
      <c r="CB582" s="52" t="str">
        <f t="shared" si="3414"/>
        <v/>
      </c>
      <c r="CC582" s="23">
        <f t="shared" si="3415"/>
        <v>0</v>
      </c>
      <c r="CD582" s="49" t="str">
        <f t="shared" si="3377"/>
        <v/>
      </c>
      <c r="CE582" s="56" t="str">
        <f>IF(CF582="","",MAX(CE$10:$CE581)+1)</f>
        <v/>
      </c>
      <c r="CF582" t="str">
        <f t="shared" si="3416"/>
        <v/>
      </c>
      <c r="CG582" s="22" t="str">
        <f>IF(CH582="","",MAX($CG$10:CG581)+1)</f>
        <v/>
      </c>
      <c r="CH582" s="22" t="str">
        <f t="shared" si="3361"/>
        <v/>
      </c>
      <c r="CI582" s="22" t="str">
        <f>IF(CJ582="","",MAX($CI$10:CI581)+1)</f>
        <v/>
      </c>
      <c r="CJ582" s="22" t="str">
        <f t="shared" si="3362"/>
        <v/>
      </c>
    </row>
    <row r="583" spans="2:88" x14ac:dyDescent="0.25">
      <c r="B583" s="37"/>
      <c r="C583" s="3"/>
      <c r="D583" s="77" t="str">
        <f t="shared" si="3348"/>
        <v/>
      </c>
      <c r="E583" s="38"/>
      <c r="F583" s="38"/>
      <c r="G583" s="78">
        <f t="shared" si="3363"/>
        <v>0</v>
      </c>
      <c r="H583" s="3">
        <v>80</v>
      </c>
      <c r="I583" s="77" t="str">
        <f t="shared" si="3349"/>
        <v/>
      </c>
      <c r="J583" s="32"/>
      <c r="K583" s="3"/>
      <c r="L583" s="39"/>
      <c r="M583" s="39"/>
      <c r="N583" s="39"/>
      <c r="O583" s="39"/>
      <c r="P583" s="39"/>
      <c r="Q583" s="39"/>
      <c r="R583" s="39"/>
      <c r="S583" s="39"/>
      <c r="T583" s="3" t="s">
        <v>645</v>
      </c>
      <c r="U583" s="77" t="str">
        <f t="shared" si="3350"/>
        <v/>
      </c>
      <c r="V583" s="39">
        <v>1</v>
      </c>
      <c r="W583" s="79">
        <f t="shared" si="3364"/>
        <v>0</v>
      </c>
      <c r="X583" s="3">
        <v>0</v>
      </c>
      <c r="Y583" s="77" t="str">
        <f t="shared" si="3351"/>
        <v/>
      </c>
      <c r="Z583" s="3"/>
      <c r="AA583" s="37" t="str">
        <f t="shared" si="3365"/>
        <v/>
      </c>
      <c r="AC583" s="40"/>
      <c r="AD583" s="7"/>
      <c r="AE583" s="77" t="str">
        <f t="shared" si="3352"/>
        <v/>
      </c>
      <c r="AF583" s="81">
        <f t="shared" si="3378"/>
        <v>0</v>
      </c>
      <c r="AG583" s="40"/>
      <c r="AH583" s="7"/>
      <c r="AI583" s="77" t="str">
        <f t="shared" si="3353"/>
        <v/>
      </c>
      <c r="AJ583" s="81">
        <f t="shared" si="3379"/>
        <v>0</v>
      </c>
      <c r="AK583" s="83">
        <f t="shared" si="3380"/>
        <v>0</v>
      </c>
      <c r="AL583" s="83">
        <f t="shared" si="3381"/>
        <v>0</v>
      </c>
      <c r="AN583" s="43">
        <f t="shared" si="3354"/>
        <v>0</v>
      </c>
      <c r="AP583" t="str">
        <f t="shared" si="3382"/>
        <v/>
      </c>
      <c r="AQ583" t="str">
        <f t="shared" si="3383"/>
        <v/>
      </c>
      <c r="AR583" t="str">
        <f t="shared" si="3384"/>
        <v/>
      </c>
      <c r="AS583" t="str">
        <f t="shared" si="3385"/>
        <v/>
      </c>
      <c r="AT583" t="str">
        <f t="shared" si="3386"/>
        <v/>
      </c>
      <c r="AU583" t="str">
        <f t="shared" si="3387"/>
        <v/>
      </c>
      <c r="AV583" t="str">
        <f t="shared" si="3388"/>
        <v/>
      </c>
      <c r="AW583" t="str">
        <f t="shared" si="3389"/>
        <v xml:space="preserve">                              </v>
      </c>
      <c r="AX583" s="23">
        <f t="shared" si="3390"/>
        <v>0</v>
      </c>
      <c r="AY583" s="49" t="str">
        <f t="shared" si="3366"/>
        <v>000000000000000</v>
      </c>
      <c r="AZ583" s="23">
        <f t="shared" si="3391"/>
        <v>0</v>
      </c>
      <c r="BA583" s="49" t="str">
        <f t="shared" si="3366"/>
        <v>000000000000000</v>
      </c>
      <c r="BB583" s="23">
        <f t="shared" si="3392"/>
        <v>0</v>
      </c>
      <c r="BC583" s="49" t="str">
        <f t="shared" ref="BC583" si="3753">IF(BB583&lt;0,SUBSTITUTE(TEXT(BB583,"000000000000,00"),",",""),SUBSTITUTE(TEXT(BB583,"0000000000000,00"),",",""))</f>
        <v>000000000000000</v>
      </c>
      <c r="BD583" s="23">
        <f t="shared" si="3394"/>
        <v>0</v>
      </c>
      <c r="BE583" s="49" t="str">
        <f t="shared" ref="BE583" si="3754">IF(BD583&lt;0,SUBSTITUTE(TEXT(BD583,"000000000000,00"),",",""),SUBSTITUTE(TEXT(BD583,"0000000000000,00"),",",""))</f>
        <v>000000000000000</v>
      </c>
      <c r="BF583" s="23">
        <f t="shared" si="3396"/>
        <v>0</v>
      </c>
      <c r="BG583" s="49" t="str">
        <f t="shared" ref="BG583" si="3755">IF(BF583&lt;0,SUBSTITUTE(TEXT(BF583,"000000000000,00"),",",""),SUBSTITUTE(TEXT(BF583,"0000000000000,00"),",",""))</f>
        <v>000000000000000</v>
      </c>
      <c r="BH583" s="23">
        <f t="shared" si="3398"/>
        <v>0</v>
      </c>
      <c r="BI583" s="49" t="str">
        <f t="shared" ref="BI583" si="3756">IF(BH583&lt;0,SUBSTITUTE(TEXT(BH583,"000000000000,00"),",",""),SUBSTITUTE(TEXT(BH583,"0000000000000,00"),",",""))</f>
        <v>000000000000000</v>
      </c>
      <c r="BJ583" s="23">
        <f t="shared" si="3400"/>
        <v>0</v>
      </c>
      <c r="BK583" s="49" t="str">
        <f t="shared" ref="BK583" si="3757">IF(BJ583&lt;0,SUBSTITUTE(TEXT(BJ583,"000000000000,00"),",",""),SUBSTITUTE(TEXT(BJ583,"0000000000000,00"),",",""))</f>
        <v>000000000000000</v>
      </c>
      <c r="BL583" s="23">
        <f t="shared" si="3402"/>
        <v>0</v>
      </c>
      <c r="BM583" s="49" t="str">
        <f t="shared" ref="BM583" si="3758">IF(BL583&lt;0,SUBSTITUTE(TEXT(BL583,"000000000000,00"),",",""),SUBSTITUTE(TEXT(BL583,"0000000000000,00"),",",""))</f>
        <v>000000000000000</v>
      </c>
      <c r="BN583" t="str">
        <f t="shared" si="3404"/>
        <v>PES</v>
      </c>
      <c r="BO583" t="str">
        <f t="shared" si="3405"/>
        <v>0001000000</v>
      </c>
      <c r="BP583">
        <f t="shared" si="3406"/>
        <v>0</v>
      </c>
      <c r="BQ583">
        <f t="shared" si="3407"/>
        <v>0</v>
      </c>
      <c r="BR583" s="23">
        <f t="shared" si="3408"/>
        <v>0</v>
      </c>
      <c r="BS583" s="49" t="str">
        <f t="shared" si="3373"/>
        <v>000000000000000</v>
      </c>
      <c r="BT583" t="str">
        <f t="shared" si="3409"/>
        <v>00000000</v>
      </c>
      <c r="BU583" s="23">
        <f t="shared" si="3410"/>
        <v>0</v>
      </c>
      <c r="BV583" s="49" t="str">
        <f t="shared" si="3374"/>
        <v/>
      </c>
      <c r="BW583" s="52" t="str">
        <f t="shared" si="3411"/>
        <v/>
      </c>
      <c r="BX583" s="23">
        <f t="shared" si="3412"/>
        <v>0</v>
      </c>
      <c r="BY583" s="49" t="str">
        <f t="shared" si="3375"/>
        <v/>
      </c>
      <c r="BZ583" s="23">
        <f t="shared" si="3413"/>
        <v>0</v>
      </c>
      <c r="CA583" s="49" t="str">
        <f t="shared" si="3376"/>
        <v/>
      </c>
      <c r="CB583" s="52" t="str">
        <f t="shared" si="3414"/>
        <v/>
      </c>
      <c r="CC583" s="23">
        <f t="shared" si="3415"/>
        <v>0</v>
      </c>
      <c r="CD583" s="49" t="str">
        <f t="shared" si="3377"/>
        <v/>
      </c>
      <c r="CE583" s="56" t="str">
        <f>IF(CF583="","",MAX(CE$10:$CE582)+1)</f>
        <v/>
      </c>
      <c r="CF583" t="str">
        <f t="shared" si="3416"/>
        <v/>
      </c>
      <c r="CG583" s="22" t="str">
        <f>IF(CH583="","",MAX($CG$10:CG582)+1)</f>
        <v/>
      </c>
      <c r="CH583" s="22" t="str">
        <f t="shared" si="3361"/>
        <v/>
      </c>
      <c r="CI583" s="22" t="str">
        <f>IF(CJ583="","",MAX($CI$10:CI582)+1)</f>
        <v/>
      </c>
      <c r="CJ583" s="22" t="str">
        <f t="shared" si="3362"/>
        <v/>
      </c>
    </row>
    <row r="584" spans="2:88" x14ac:dyDescent="0.25">
      <c r="B584" s="37"/>
      <c r="C584" s="3"/>
      <c r="D584" s="77" t="str">
        <f t="shared" si="3348"/>
        <v/>
      </c>
      <c r="E584" s="38"/>
      <c r="F584" s="38"/>
      <c r="G584" s="78">
        <f t="shared" si="3363"/>
        <v>0</v>
      </c>
      <c r="H584" s="3">
        <v>80</v>
      </c>
      <c r="I584" s="77" t="str">
        <f t="shared" si="3349"/>
        <v/>
      </c>
      <c r="J584" s="32"/>
      <c r="K584" s="3"/>
      <c r="L584" s="39"/>
      <c r="M584" s="39"/>
      <c r="N584" s="39"/>
      <c r="O584" s="39"/>
      <c r="P584" s="39"/>
      <c r="Q584" s="39"/>
      <c r="R584" s="39"/>
      <c r="S584" s="39"/>
      <c r="T584" s="3" t="s">
        <v>645</v>
      </c>
      <c r="U584" s="77" t="str">
        <f t="shared" si="3350"/>
        <v/>
      </c>
      <c r="V584" s="39">
        <v>1</v>
      </c>
      <c r="W584" s="79">
        <f t="shared" si="3364"/>
        <v>0</v>
      </c>
      <c r="X584" s="3">
        <v>0</v>
      </c>
      <c r="Y584" s="77" t="str">
        <f t="shared" si="3351"/>
        <v/>
      </c>
      <c r="Z584" s="3"/>
      <c r="AA584" s="37" t="str">
        <f t="shared" si="3365"/>
        <v/>
      </c>
      <c r="AC584" s="40"/>
      <c r="AD584" s="7"/>
      <c r="AE584" s="77" t="str">
        <f t="shared" si="3352"/>
        <v/>
      </c>
      <c r="AF584" s="81">
        <f t="shared" si="3378"/>
        <v>0</v>
      </c>
      <c r="AG584" s="40"/>
      <c r="AH584" s="7"/>
      <c r="AI584" s="77" t="str">
        <f t="shared" si="3353"/>
        <v/>
      </c>
      <c r="AJ584" s="81">
        <f t="shared" si="3379"/>
        <v>0</v>
      </c>
      <c r="AK584" s="83">
        <f t="shared" si="3380"/>
        <v>0</v>
      </c>
      <c r="AL584" s="83">
        <f t="shared" si="3381"/>
        <v>0</v>
      </c>
      <c r="AN584" s="43">
        <f t="shared" si="3354"/>
        <v>0</v>
      </c>
      <c r="AP584" t="str">
        <f t="shared" si="3382"/>
        <v/>
      </c>
      <c r="AQ584" t="str">
        <f t="shared" si="3383"/>
        <v/>
      </c>
      <c r="AR584" t="str">
        <f t="shared" si="3384"/>
        <v/>
      </c>
      <c r="AS584" t="str">
        <f t="shared" si="3385"/>
        <v/>
      </c>
      <c r="AT584" t="str">
        <f t="shared" si="3386"/>
        <v/>
      </c>
      <c r="AU584" t="str">
        <f t="shared" si="3387"/>
        <v/>
      </c>
      <c r="AV584" t="str">
        <f t="shared" si="3388"/>
        <v/>
      </c>
      <c r="AW584" t="str">
        <f t="shared" si="3389"/>
        <v xml:space="preserve">                              </v>
      </c>
      <c r="AX584" s="23">
        <f t="shared" si="3390"/>
        <v>0</v>
      </c>
      <c r="AY584" s="49" t="str">
        <f t="shared" si="3366"/>
        <v>000000000000000</v>
      </c>
      <c r="AZ584" s="23">
        <f t="shared" si="3391"/>
        <v>0</v>
      </c>
      <c r="BA584" s="49" t="str">
        <f t="shared" si="3366"/>
        <v>000000000000000</v>
      </c>
      <c r="BB584" s="23">
        <f t="shared" si="3392"/>
        <v>0</v>
      </c>
      <c r="BC584" s="49" t="str">
        <f t="shared" ref="BC584" si="3759">IF(BB584&lt;0,SUBSTITUTE(TEXT(BB584,"000000000000,00"),",",""),SUBSTITUTE(TEXT(BB584,"0000000000000,00"),",",""))</f>
        <v>000000000000000</v>
      </c>
      <c r="BD584" s="23">
        <f t="shared" si="3394"/>
        <v>0</v>
      </c>
      <c r="BE584" s="49" t="str">
        <f t="shared" ref="BE584" si="3760">IF(BD584&lt;0,SUBSTITUTE(TEXT(BD584,"000000000000,00"),",",""),SUBSTITUTE(TEXT(BD584,"0000000000000,00"),",",""))</f>
        <v>000000000000000</v>
      </c>
      <c r="BF584" s="23">
        <f t="shared" si="3396"/>
        <v>0</v>
      </c>
      <c r="BG584" s="49" t="str">
        <f t="shared" ref="BG584" si="3761">IF(BF584&lt;0,SUBSTITUTE(TEXT(BF584,"000000000000,00"),",",""),SUBSTITUTE(TEXT(BF584,"0000000000000,00"),",",""))</f>
        <v>000000000000000</v>
      </c>
      <c r="BH584" s="23">
        <f t="shared" si="3398"/>
        <v>0</v>
      </c>
      <c r="BI584" s="49" t="str">
        <f t="shared" ref="BI584" si="3762">IF(BH584&lt;0,SUBSTITUTE(TEXT(BH584,"000000000000,00"),",",""),SUBSTITUTE(TEXT(BH584,"0000000000000,00"),",",""))</f>
        <v>000000000000000</v>
      </c>
      <c r="BJ584" s="23">
        <f t="shared" si="3400"/>
        <v>0</v>
      </c>
      <c r="BK584" s="49" t="str">
        <f t="shared" ref="BK584" si="3763">IF(BJ584&lt;0,SUBSTITUTE(TEXT(BJ584,"000000000000,00"),",",""),SUBSTITUTE(TEXT(BJ584,"0000000000000,00"),",",""))</f>
        <v>000000000000000</v>
      </c>
      <c r="BL584" s="23">
        <f t="shared" si="3402"/>
        <v>0</v>
      </c>
      <c r="BM584" s="49" t="str">
        <f t="shared" ref="BM584" si="3764">IF(BL584&lt;0,SUBSTITUTE(TEXT(BL584,"000000000000,00"),",",""),SUBSTITUTE(TEXT(BL584,"0000000000000,00"),",",""))</f>
        <v>000000000000000</v>
      </c>
      <c r="BN584" t="str">
        <f t="shared" si="3404"/>
        <v>PES</v>
      </c>
      <c r="BO584" t="str">
        <f t="shared" si="3405"/>
        <v>0001000000</v>
      </c>
      <c r="BP584">
        <f t="shared" si="3406"/>
        <v>0</v>
      </c>
      <c r="BQ584">
        <f t="shared" si="3407"/>
        <v>0</v>
      </c>
      <c r="BR584" s="23">
        <f t="shared" si="3408"/>
        <v>0</v>
      </c>
      <c r="BS584" s="49" t="str">
        <f t="shared" si="3373"/>
        <v>000000000000000</v>
      </c>
      <c r="BT584" t="str">
        <f t="shared" si="3409"/>
        <v>00000000</v>
      </c>
      <c r="BU584" s="23">
        <f t="shared" si="3410"/>
        <v>0</v>
      </c>
      <c r="BV584" s="49" t="str">
        <f t="shared" si="3374"/>
        <v/>
      </c>
      <c r="BW584" s="52" t="str">
        <f t="shared" si="3411"/>
        <v/>
      </c>
      <c r="BX584" s="23">
        <f t="shared" si="3412"/>
        <v>0</v>
      </c>
      <c r="BY584" s="49" t="str">
        <f t="shared" si="3375"/>
        <v/>
      </c>
      <c r="BZ584" s="23">
        <f t="shared" si="3413"/>
        <v>0</v>
      </c>
      <c r="CA584" s="49" t="str">
        <f t="shared" si="3376"/>
        <v/>
      </c>
      <c r="CB584" s="52" t="str">
        <f t="shared" si="3414"/>
        <v/>
      </c>
      <c r="CC584" s="23">
        <f t="shared" si="3415"/>
        <v>0</v>
      </c>
      <c r="CD584" s="49" t="str">
        <f t="shared" si="3377"/>
        <v/>
      </c>
      <c r="CE584" s="56" t="str">
        <f>IF(CF584="","",MAX(CE$10:$CE583)+1)</f>
        <v/>
      </c>
      <c r="CF584" t="str">
        <f t="shared" si="3416"/>
        <v/>
      </c>
      <c r="CG584" s="22" t="str">
        <f>IF(CH584="","",MAX($CG$10:CG583)+1)</f>
        <v/>
      </c>
      <c r="CH584" s="22" t="str">
        <f t="shared" si="3361"/>
        <v/>
      </c>
      <c r="CI584" s="22" t="str">
        <f>IF(CJ584="","",MAX($CI$10:CI583)+1)</f>
        <v/>
      </c>
      <c r="CJ584" s="22" t="str">
        <f t="shared" si="3362"/>
        <v/>
      </c>
    </row>
    <row r="585" spans="2:88" x14ac:dyDescent="0.25">
      <c r="B585" s="37"/>
      <c r="C585" s="3"/>
      <c r="D585" s="77" t="str">
        <f t="shared" si="3348"/>
        <v/>
      </c>
      <c r="E585" s="38"/>
      <c r="F585" s="38"/>
      <c r="G585" s="78">
        <f t="shared" si="3363"/>
        <v>0</v>
      </c>
      <c r="H585" s="3">
        <v>80</v>
      </c>
      <c r="I585" s="77" t="str">
        <f t="shared" si="3349"/>
        <v/>
      </c>
      <c r="J585" s="32"/>
      <c r="K585" s="3"/>
      <c r="L585" s="39"/>
      <c r="M585" s="39"/>
      <c r="N585" s="39"/>
      <c r="O585" s="39"/>
      <c r="P585" s="39"/>
      <c r="Q585" s="39"/>
      <c r="R585" s="39"/>
      <c r="S585" s="39"/>
      <c r="T585" s="3" t="s">
        <v>645</v>
      </c>
      <c r="U585" s="77" t="str">
        <f t="shared" si="3350"/>
        <v/>
      </c>
      <c r="V585" s="39">
        <v>1</v>
      </c>
      <c r="W585" s="79">
        <f t="shared" si="3364"/>
        <v>0</v>
      </c>
      <c r="X585" s="3">
        <v>0</v>
      </c>
      <c r="Y585" s="77" t="str">
        <f t="shared" si="3351"/>
        <v/>
      </c>
      <c r="Z585" s="3"/>
      <c r="AA585" s="37" t="str">
        <f t="shared" si="3365"/>
        <v/>
      </c>
      <c r="AC585" s="40"/>
      <c r="AD585" s="7"/>
      <c r="AE585" s="77" t="str">
        <f t="shared" si="3352"/>
        <v/>
      </c>
      <c r="AF585" s="81">
        <f t="shared" si="3378"/>
        <v>0</v>
      </c>
      <c r="AG585" s="40"/>
      <c r="AH585" s="7"/>
      <c r="AI585" s="77" t="str">
        <f t="shared" si="3353"/>
        <v/>
      </c>
      <c r="AJ585" s="81">
        <f t="shared" si="3379"/>
        <v>0</v>
      </c>
      <c r="AK585" s="83">
        <f t="shared" si="3380"/>
        <v>0</v>
      </c>
      <c r="AL585" s="83">
        <f t="shared" si="3381"/>
        <v>0</v>
      </c>
      <c r="AN585" s="43">
        <f t="shared" si="3354"/>
        <v>0</v>
      </c>
      <c r="AP585" t="str">
        <f t="shared" si="3382"/>
        <v/>
      </c>
      <c r="AQ585" t="str">
        <f t="shared" si="3383"/>
        <v/>
      </c>
      <c r="AR585" t="str">
        <f t="shared" si="3384"/>
        <v/>
      </c>
      <c r="AS585" t="str">
        <f t="shared" si="3385"/>
        <v/>
      </c>
      <c r="AT585" t="str">
        <f t="shared" si="3386"/>
        <v/>
      </c>
      <c r="AU585" t="str">
        <f t="shared" si="3387"/>
        <v/>
      </c>
      <c r="AV585" t="str">
        <f t="shared" si="3388"/>
        <v/>
      </c>
      <c r="AW585" t="str">
        <f t="shared" si="3389"/>
        <v xml:space="preserve">                              </v>
      </c>
      <c r="AX585" s="23">
        <f t="shared" si="3390"/>
        <v>0</v>
      </c>
      <c r="AY585" s="49" t="str">
        <f t="shared" si="3366"/>
        <v>000000000000000</v>
      </c>
      <c r="AZ585" s="23">
        <f t="shared" si="3391"/>
        <v>0</v>
      </c>
      <c r="BA585" s="49" t="str">
        <f t="shared" si="3366"/>
        <v>000000000000000</v>
      </c>
      <c r="BB585" s="23">
        <f t="shared" si="3392"/>
        <v>0</v>
      </c>
      <c r="BC585" s="49" t="str">
        <f t="shared" ref="BC585" si="3765">IF(BB585&lt;0,SUBSTITUTE(TEXT(BB585,"000000000000,00"),",",""),SUBSTITUTE(TEXT(BB585,"0000000000000,00"),",",""))</f>
        <v>000000000000000</v>
      </c>
      <c r="BD585" s="23">
        <f t="shared" si="3394"/>
        <v>0</v>
      </c>
      <c r="BE585" s="49" t="str">
        <f t="shared" ref="BE585" si="3766">IF(BD585&lt;0,SUBSTITUTE(TEXT(BD585,"000000000000,00"),",",""),SUBSTITUTE(TEXT(BD585,"0000000000000,00"),",",""))</f>
        <v>000000000000000</v>
      </c>
      <c r="BF585" s="23">
        <f t="shared" si="3396"/>
        <v>0</v>
      </c>
      <c r="BG585" s="49" t="str">
        <f t="shared" ref="BG585" si="3767">IF(BF585&lt;0,SUBSTITUTE(TEXT(BF585,"000000000000,00"),",",""),SUBSTITUTE(TEXT(BF585,"0000000000000,00"),",",""))</f>
        <v>000000000000000</v>
      </c>
      <c r="BH585" s="23">
        <f t="shared" si="3398"/>
        <v>0</v>
      </c>
      <c r="BI585" s="49" t="str">
        <f t="shared" ref="BI585" si="3768">IF(BH585&lt;0,SUBSTITUTE(TEXT(BH585,"000000000000,00"),",",""),SUBSTITUTE(TEXT(BH585,"0000000000000,00"),",",""))</f>
        <v>000000000000000</v>
      </c>
      <c r="BJ585" s="23">
        <f t="shared" si="3400"/>
        <v>0</v>
      </c>
      <c r="BK585" s="49" t="str">
        <f t="shared" ref="BK585" si="3769">IF(BJ585&lt;0,SUBSTITUTE(TEXT(BJ585,"000000000000,00"),",",""),SUBSTITUTE(TEXT(BJ585,"0000000000000,00"),",",""))</f>
        <v>000000000000000</v>
      </c>
      <c r="BL585" s="23">
        <f t="shared" si="3402"/>
        <v>0</v>
      </c>
      <c r="BM585" s="49" t="str">
        <f t="shared" ref="BM585" si="3770">IF(BL585&lt;0,SUBSTITUTE(TEXT(BL585,"000000000000,00"),",",""),SUBSTITUTE(TEXT(BL585,"0000000000000,00"),",",""))</f>
        <v>000000000000000</v>
      </c>
      <c r="BN585" t="str">
        <f t="shared" si="3404"/>
        <v>PES</v>
      </c>
      <c r="BO585" t="str">
        <f t="shared" si="3405"/>
        <v>0001000000</v>
      </c>
      <c r="BP585">
        <f t="shared" si="3406"/>
        <v>0</v>
      </c>
      <c r="BQ585">
        <f t="shared" si="3407"/>
        <v>0</v>
      </c>
      <c r="BR585" s="23">
        <f t="shared" si="3408"/>
        <v>0</v>
      </c>
      <c r="BS585" s="49" t="str">
        <f t="shared" si="3373"/>
        <v>000000000000000</v>
      </c>
      <c r="BT585" t="str">
        <f t="shared" si="3409"/>
        <v>00000000</v>
      </c>
      <c r="BU585" s="23">
        <f t="shared" si="3410"/>
        <v>0</v>
      </c>
      <c r="BV585" s="49" t="str">
        <f t="shared" si="3374"/>
        <v/>
      </c>
      <c r="BW585" s="52" t="str">
        <f t="shared" si="3411"/>
        <v/>
      </c>
      <c r="BX585" s="23">
        <f t="shared" si="3412"/>
        <v>0</v>
      </c>
      <c r="BY585" s="49" t="str">
        <f t="shared" si="3375"/>
        <v/>
      </c>
      <c r="BZ585" s="23">
        <f t="shared" si="3413"/>
        <v>0</v>
      </c>
      <c r="CA585" s="49" t="str">
        <f t="shared" si="3376"/>
        <v/>
      </c>
      <c r="CB585" s="52" t="str">
        <f t="shared" si="3414"/>
        <v/>
      </c>
      <c r="CC585" s="23">
        <f t="shared" si="3415"/>
        <v>0</v>
      </c>
      <c r="CD585" s="49" t="str">
        <f t="shared" si="3377"/>
        <v/>
      </c>
      <c r="CE585" s="56" t="str">
        <f>IF(CF585="","",MAX(CE$10:$CE584)+1)</f>
        <v/>
      </c>
      <c r="CF585" t="str">
        <f t="shared" si="3416"/>
        <v/>
      </c>
      <c r="CG585" s="22" t="str">
        <f>IF(CH585="","",MAX($CG$10:CG584)+1)</f>
        <v/>
      </c>
      <c r="CH585" s="22" t="str">
        <f t="shared" si="3361"/>
        <v/>
      </c>
      <c r="CI585" s="22" t="str">
        <f>IF(CJ585="","",MAX($CI$10:CI584)+1)</f>
        <v/>
      </c>
      <c r="CJ585" s="22" t="str">
        <f t="shared" si="3362"/>
        <v/>
      </c>
    </row>
    <row r="586" spans="2:88" x14ac:dyDescent="0.25">
      <c r="B586" s="37"/>
      <c r="C586" s="3"/>
      <c r="D586" s="77" t="str">
        <f t="shared" si="3348"/>
        <v/>
      </c>
      <c r="E586" s="38"/>
      <c r="F586" s="38"/>
      <c r="G586" s="78">
        <f t="shared" si="3363"/>
        <v>0</v>
      </c>
      <c r="H586" s="3">
        <v>80</v>
      </c>
      <c r="I586" s="77" t="str">
        <f t="shared" si="3349"/>
        <v/>
      </c>
      <c r="J586" s="32"/>
      <c r="K586" s="3"/>
      <c r="L586" s="39"/>
      <c r="M586" s="39"/>
      <c r="N586" s="39"/>
      <c r="O586" s="39"/>
      <c r="P586" s="39"/>
      <c r="Q586" s="39"/>
      <c r="R586" s="39"/>
      <c r="S586" s="39"/>
      <c r="T586" s="3" t="s">
        <v>645</v>
      </c>
      <c r="U586" s="77" t="str">
        <f t="shared" si="3350"/>
        <v/>
      </c>
      <c r="V586" s="39">
        <v>1</v>
      </c>
      <c r="W586" s="79">
        <f t="shared" si="3364"/>
        <v>0</v>
      </c>
      <c r="X586" s="3">
        <v>0</v>
      </c>
      <c r="Y586" s="77" t="str">
        <f t="shared" si="3351"/>
        <v/>
      </c>
      <c r="Z586" s="3"/>
      <c r="AA586" s="37" t="str">
        <f t="shared" si="3365"/>
        <v/>
      </c>
      <c r="AC586" s="40"/>
      <c r="AD586" s="7"/>
      <c r="AE586" s="77" t="str">
        <f t="shared" si="3352"/>
        <v/>
      </c>
      <c r="AF586" s="81">
        <f t="shared" si="3378"/>
        <v>0</v>
      </c>
      <c r="AG586" s="40"/>
      <c r="AH586" s="7"/>
      <c r="AI586" s="77" t="str">
        <f t="shared" si="3353"/>
        <v/>
      </c>
      <c r="AJ586" s="81">
        <f t="shared" si="3379"/>
        <v>0</v>
      </c>
      <c r="AK586" s="83">
        <f t="shared" si="3380"/>
        <v>0</v>
      </c>
      <c r="AL586" s="83">
        <f t="shared" si="3381"/>
        <v>0</v>
      </c>
      <c r="AN586" s="43">
        <f t="shared" si="3354"/>
        <v>0</v>
      </c>
      <c r="AP586" t="str">
        <f t="shared" si="3382"/>
        <v/>
      </c>
      <c r="AQ586" t="str">
        <f t="shared" si="3383"/>
        <v/>
      </c>
      <c r="AR586" t="str">
        <f t="shared" si="3384"/>
        <v/>
      </c>
      <c r="AS586" t="str">
        <f t="shared" si="3385"/>
        <v/>
      </c>
      <c r="AT586" t="str">
        <f t="shared" si="3386"/>
        <v/>
      </c>
      <c r="AU586" t="str">
        <f t="shared" si="3387"/>
        <v/>
      </c>
      <c r="AV586" t="str">
        <f t="shared" si="3388"/>
        <v/>
      </c>
      <c r="AW586" t="str">
        <f t="shared" si="3389"/>
        <v xml:space="preserve">                              </v>
      </c>
      <c r="AX586" s="23">
        <f t="shared" si="3390"/>
        <v>0</v>
      </c>
      <c r="AY586" s="49" t="str">
        <f t="shared" si="3366"/>
        <v>000000000000000</v>
      </c>
      <c r="AZ586" s="23">
        <f t="shared" si="3391"/>
        <v>0</v>
      </c>
      <c r="BA586" s="49" t="str">
        <f t="shared" si="3366"/>
        <v>000000000000000</v>
      </c>
      <c r="BB586" s="23">
        <f t="shared" si="3392"/>
        <v>0</v>
      </c>
      <c r="BC586" s="49" t="str">
        <f t="shared" ref="BC586" si="3771">IF(BB586&lt;0,SUBSTITUTE(TEXT(BB586,"000000000000,00"),",",""),SUBSTITUTE(TEXT(BB586,"0000000000000,00"),",",""))</f>
        <v>000000000000000</v>
      </c>
      <c r="BD586" s="23">
        <f t="shared" si="3394"/>
        <v>0</v>
      </c>
      <c r="BE586" s="49" t="str">
        <f t="shared" ref="BE586" si="3772">IF(BD586&lt;0,SUBSTITUTE(TEXT(BD586,"000000000000,00"),",",""),SUBSTITUTE(TEXT(BD586,"0000000000000,00"),",",""))</f>
        <v>000000000000000</v>
      </c>
      <c r="BF586" s="23">
        <f t="shared" si="3396"/>
        <v>0</v>
      </c>
      <c r="BG586" s="49" t="str">
        <f t="shared" ref="BG586" si="3773">IF(BF586&lt;0,SUBSTITUTE(TEXT(BF586,"000000000000,00"),",",""),SUBSTITUTE(TEXT(BF586,"0000000000000,00"),",",""))</f>
        <v>000000000000000</v>
      </c>
      <c r="BH586" s="23">
        <f t="shared" si="3398"/>
        <v>0</v>
      </c>
      <c r="BI586" s="49" t="str">
        <f t="shared" ref="BI586" si="3774">IF(BH586&lt;0,SUBSTITUTE(TEXT(BH586,"000000000000,00"),",",""),SUBSTITUTE(TEXT(BH586,"0000000000000,00"),",",""))</f>
        <v>000000000000000</v>
      </c>
      <c r="BJ586" s="23">
        <f t="shared" si="3400"/>
        <v>0</v>
      </c>
      <c r="BK586" s="49" t="str">
        <f t="shared" ref="BK586" si="3775">IF(BJ586&lt;0,SUBSTITUTE(TEXT(BJ586,"000000000000,00"),",",""),SUBSTITUTE(TEXT(BJ586,"0000000000000,00"),",",""))</f>
        <v>000000000000000</v>
      </c>
      <c r="BL586" s="23">
        <f t="shared" si="3402"/>
        <v>0</v>
      </c>
      <c r="BM586" s="49" t="str">
        <f t="shared" ref="BM586" si="3776">IF(BL586&lt;0,SUBSTITUTE(TEXT(BL586,"000000000000,00"),",",""),SUBSTITUTE(TEXT(BL586,"0000000000000,00"),",",""))</f>
        <v>000000000000000</v>
      </c>
      <c r="BN586" t="str">
        <f t="shared" si="3404"/>
        <v>PES</v>
      </c>
      <c r="BO586" t="str">
        <f t="shared" si="3405"/>
        <v>0001000000</v>
      </c>
      <c r="BP586">
        <f t="shared" si="3406"/>
        <v>0</v>
      </c>
      <c r="BQ586">
        <f t="shared" si="3407"/>
        <v>0</v>
      </c>
      <c r="BR586" s="23">
        <f t="shared" si="3408"/>
        <v>0</v>
      </c>
      <c r="BS586" s="49" t="str">
        <f t="shared" si="3373"/>
        <v>000000000000000</v>
      </c>
      <c r="BT586" t="str">
        <f t="shared" si="3409"/>
        <v>00000000</v>
      </c>
      <c r="BU586" s="23">
        <f t="shared" si="3410"/>
        <v>0</v>
      </c>
      <c r="BV586" s="49" t="str">
        <f t="shared" si="3374"/>
        <v/>
      </c>
      <c r="BW586" s="52" t="str">
        <f t="shared" si="3411"/>
        <v/>
      </c>
      <c r="BX586" s="23">
        <f t="shared" si="3412"/>
        <v>0</v>
      </c>
      <c r="BY586" s="49" t="str">
        <f t="shared" si="3375"/>
        <v/>
      </c>
      <c r="BZ586" s="23">
        <f t="shared" si="3413"/>
        <v>0</v>
      </c>
      <c r="CA586" s="49" t="str">
        <f t="shared" si="3376"/>
        <v/>
      </c>
      <c r="CB586" s="52" t="str">
        <f t="shared" si="3414"/>
        <v/>
      </c>
      <c r="CC586" s="23">
        <f t="shared" si="3415"/>
        <v>0</v>
      </c>
      <c r="CD586" s="49" t="str">
        <f t="shared" si="3377"/>
        <v/>
      </c>
      <c r="CE586" s="56" t="str">
        <f>IF(CF586="","",MAX(CE$10:$CE585)+1)</f>
        <v/>
      </c>
      <c r="CF586" t="str">
        <f t="shared" si="3416"/>
        <v/>
      </c>
      <c r="CG586" s="22" t="str">
        <f>IF(CH586="","",MAX($CG$10:CG585)+1)</f>
        <v/>
      </c>
      <c r="CH586" s="22" t="str">
        <f t="shared" si="3361"/>
        <v/>
      </c>
      <c r="CI586" s="22" t="str">
        <f>IF(CJ586="","",MAX($CI$10:CI585)+1)</f>
        <v/>
      </c>
      <c r="CJ586" s="22" t="str">
        <f t="shared" si="3362"/>
        <v/>
      </c>
    </row>
    <row r="587" spans="2:88" x14ac:dyDescent="0.25">
      <c r="B587" s="37"/>
      <c r="C587" s="3"/>
      <c r="D587" s="77" t="str">
        <f t="shared" si="3348"/>
        <v/>
      </c>
      <c r="E587" s="38"/>
      <c r="F587" s="38"/>
      <c r="G587" s="78">
        <f t="shared" si="3363"/>
        <v>0</v>
      </c>
      <c r="H587" s="3">
        <v>80</v>
      </c>
      <c r="I587" s="77" t="str">
        <f t="shared" si="3349"/>
        <v/>
      </c>
      <c r="J587" s="32"/>
      <c r="K587" s="3"/>
      <c r="L587" s="39"/>
      <c r="M587" s="39"/>
      <c r="N587" s="39"/>
      <c r="O587" s="39"/>
      <c r="P587" s="39"/>
      <c r="Q587" s="39"/>
      <c r="R587" s="39"/>
      <c r="S587" s="39"/>
      <c r="T587" s="3" t="s">
        <v>645</v>
      </c>
      <c r="U587" s="77" t="str">
        <f t="shared" si="3350"/>
        <v/>
      </c>
      <c r="V587" s="39">
        <v>1</v>
      </c>
      <c r="W587" s="79">
        <f t="shared" si="3364"/>
        <v>0</v>
      </c>
      <c r="X587" s="3">
        <v>0</v>
      </c>
      <c r="Y587" s="77" t="str">
        <f t="shared" si="3351"/>
        <v/>
      </c>
      <c r="Z587" s="3"/>
      <c r="AA587" s="37" t="str">
        <f t="shared" si="3365"/>
        <v/>
      </c>
      <c r="AC587" s="40"/>
      <c r="AD587" s="7"/>
      <c r="AE587" s="77" t="str">
        <f t="shared" si="3352"/>
        <v/>
      </c>
      <c r="AF587" s="81">
        <f t="shared" si="3378"/>
        <v>0</v>
      </c>
      <c r="AG587" s="40"/>
      <c r="AH587" s="7"/>
      <c r="AI587" s="77" t="str">
        <f t="shared" si="3353"/>
        <v/>
      </c>
      <c r="AJ587" s="81">
        <f t="shared" si="3379"/>
        <v>0</v>
      </c>
      <c r="AK587" s="83">
        <f t="shared" si="3380"/>
        <v>0</v>
      </c>
      <c r="AL587" s="83">
        <f t="shared" si="3381"/>
        <v>0</v>
      </c>
      <c r="AN587" s="43">
        <f t="shared" si="3354"/>
        <v>0</v>
      </c>
      <c r="AP587" t="str">
        <f t="shared" si="3382"/>
        <v/>
      </c>
      <c r="AQ587" t="str">
        <f t="shared" si="3383"/>
        <v/>
      </c>
      <c r="AR587" t="str">
        <f t="shared" si="3384"/>
        <v/>
      </c>
      <c r="AS587" t="str">
        <f t="shared" si="3385"/>
        <v/>
      </c>
      <c r="AT587" t="str">
        <f t="shared" si="3386"/>
        <v/>
      </c>
      <c r="AU587" t="str">
        <f t="shared" si="3387"/>
        <v/>
      </c>
      <c r="AV587" t="str">
        <f t="shared" si="3388"/>
        <v/>
      </c>
      <c r="AW587" t="str">
        <f t="shared" si="3389"/>
        <v xml:space="preserve">                              </v>
      </c>
      <c r="AX587" s="23">
        <f t="shared" si="3390"/>
        <v>0</v>
      </c>
      <c r="AY587" s="49" t="str">
        <f t="shared" si="3366"/>
        <v>000000000000000</v>
      </c>
      <c r="AZ587" s="23">
        <f t="shared" si="3391"/>
        <v>0</v>
      </c>
      <c r="BA587" s="49" t="str">
        <f t="shared" si="3366"/>
        <v>000000000000000</v>
      </c>
      <c r="BB587" s="23">
        <f t="shared" si="3392"/>
        <v>0</v>
      </c>
      <c r="BC587" s="49" t="str">
        <f t="shared" ref="BC587" si="3777">IF(BB587&lt;0,SUBSTITUTE(TEXT(BB587,"000000000000,00"),",",""),SUBSTITUTE(TEXT(BB587,"0000000000000,00"),",",""))</f>
        <v>000000000000000</v>
      </c>
      <c r="BD587" s="23">
        <f t="shared" si="3394"/>
        <v>0</v>
      </c>
      <c r="BE587" s="49" t="str">
        <f t="shared" ref="BE587" si="3778">IF(BD587&lt;0,SUBSTITUTE(TEXT(BD587,"000000000000,00"),",",""),SUBSTITUTE(TEXT(BD587,"0000000000000,00"),",",""))</f>
        <v>000000000000000</v>
      </c>
      <c r="BF587" s="23">
        <f t="shared" si="3396"/>
        <v>0</v>
      </c>
      <c r="BG587" s="49" t="str">
        <f t="shared" ref="BG587" si="3779">IF(BF587&lt;0,SUBSTITUTE(TEXT(BF587,"000000000000,00"),",",""),SUBSTITUTE(TEXT(BF587,"0000000000000,00"),",",""))</f>
        <v>000000000000000</v>
      </c>
      <c r="BH587" s="23">
        <f t="shared" si="3398"/>
        <v>0</v>
      </c>
      <c r="BI587" s="49" t="str">
        <f t="shared" ref="BI587" si="3780">IF(BH587&lt;0,SUBSTITUTE(TEXT(BH587,"000000000000,00"),",",""),SUBSTITUTE(TEXT(BH587,"0000000000000,00"),",",""))</f>
        <v>000000000000000</v>
      </c>
      <c r="BJ587" s="23">
        <f t="shared" si="3400"/>
        <v>0</v>
      </c>
      <c r="BK587" s="49" t="str">
        <f t="shared" ref="BK587" si="3781">IF(BJ587&lt;0,SUBSTITUTE(TEXT(BJ587,"000000000000,00"),",",""),SUBSTITUTE(TEXT(BJ587,"0000000000000,00"),",",""))</f>
        <v>000000000000000</v>
      </c>
      <c r="BL587" s="23">
        <f t="shared" si="3402"/>
        <v>0</v>
      </c>
      <c r="BM587" s="49" t="str">
        <f t="shared" ref="BM587" si="3782">IF(BL587&lt;0,SUBSTITUTE(TEXT(BL587,"000000000000,00"),",",""),SUBSTITUTE(TEXT(BL587,"0000000000000,00"),",",""))</f>
        <v>000000000000000</v>
      </c>
      <c r="BN587" t="str">
        <f t="shared" si="3404"/>
        <v>PES</v>
      </c>
      <c r="BO587" t="str">
        <f t="shared" si="3405"/>
        <v>0001000000</v>
      </c>
      <c r="BP587">
        <f t="shared" si="3406"/>
        <v>0</v>
      </c>
      <c r="BQ587">
        <f t="shared" si="3407"/>
        <v>0</v>
      </c>
      <c r="BR587" s="23">
        <f t="shared" si="3408"/>
        <v>0</v>
      </c>
      <c r="BS587" s="49" t="str">
        <f t="shared" si="3373"/>
        <v>000000000000000</v>
      </c>
      <c r="BT587" t="str">
        <f t="shared" si="3409"/>
        <v>00000000</v>
      </c>
      <c r="BU587" s="23">
        <f t="shared" si="3410"/>
        <v>0</v>
      </c>
      <c r="BV587" s="49" t="str">
        <f t="shared" si="3374"/>
        <v/>
      </c>
      <c r="BW587" s="52" t="str">
        <f t="shared" si="3411"/>
        <v/>
      </c>
      <c r="BX587" s="23">
        <f t="shared" si="3412"/>
        <v>0</v>
      </c>
      <c r="BY587" s="49" t="str">
        <f t="shared" si="3375"/>
        <v/>
      </c>
      <c r="BZ587" s="23">
        <f t="shared" si="3413"/>
        <v>0</v>
      </c>
      <c r="CA587" s="49" t="str">
        <f t="shared" si="3376"/>
        <v/>
      </c>
      <c r="CB587" s="52" t="str">
        <f t="shared" si="3414"/>
        <v/>
      </c>
      <c r="CC587" s="23">
        <f t="shared" si="3415"/>
        <v>0</v>
      </c>
      <c r="CD587" s="49" t="str">
        <f t="shared" si="3377"/>
        <v/>
      </c>
      <c r="CE587" s="56" t="str">
        <f>IF(CF587="","",MAX(CE$10:$CE586)+1)</f>
        <v/>
      </c>
      <c r="CF587" t="str">
        <f t="shared" si="3416"/>
        <v/>
      </c>
      <c r="CG587" s="22" t="str">
        <f>IF(CH587="","",MAX($CG$10:CG586)+1)</f>
        <v/>
      </c>
      <c r="CH587" s="22" t="str">
        <f t="shared" si="3361"/>
        <v/>
      </c>
      <c r="CI587" s="22" t="str">
        <f>IF(CJ587="","",MAX($CI$10:CI586)+1)</f>
        <v/>
      </c>
      <c r="CJ587" s="22" t="str">
        <f t="shared" si="3362"/>
        <v/>
      </c>
    </row>
    <row r="588" spans="2:88" x14ac:dyDescent="0.25">
      <c r="B588" s="37"/>
      <c r="C588" s="3"/>
      <c r="D588" s="77" t="str">
        <f t="shared" ref="D588:D651" si="3783">IF(B588="","",IF(ISERROR(VLOOKUP(C588,T_CompVentas,2,FALSE)),"",VLOOKUP(C588,T_CompVentas,2,FALSE)))</f>
        <v/>
      </c>
      <c r="E588" s="38"/>
      <c r="F588" s="38"/>
      <c r="G588" s="78">
        <f t="shared" si="3363"/>
        <v>0</v>
      </c>
      <c r="H588" s="3">
        <v>80</v>
      </c>
      <c r="I588" s="77" t="str">
        <f t="shared" ref="I588:I651" si="3784">IF(B588="","",IF(H588="","",IF(ISERROR(VLOOKUP(H588,T_Documentos,2,FALSE)),"",VLOOKUP(H588,T_Documentos,2,FALSE))))</f>
        <v/>
      </c>
      <c r="J588" s="32"/>
      <c r="K588" s="3"/>
      <c r="L588" s="39"/>
      <c r="M588" s="39"/>
      <c r="N588" s="39"/>
      <c r="O588" s="39"/>
      <c r="P588" s="39"/>
      <c r="Q588" s="39"/>
      <c r="R588" s="39"/>
      <c r="S588" s="39"/>
      <c r="T588" s="3" t="s">
        <v>645</v>
      </c>
      <c r="U588" s="77" t="str">
        <f t="shared" ref="U588:U651" si="3785">IF(B588="","",IF(ISERROR(VLOOKUP(T588,T_Monedas,2,FALSE)),"",VLOOKUP(T588,T_Monedas,2,FALSE)))</f>
        <v/>
      </c>
      <c r="V588" s="39">
        <v>1</v>
      </c>
      <c r="W588" s="79">
        <f t="shared" si="3364"/>
        <v>0</v>
      </c>
      <c r="X588" s="3">
        <v>0</v>
      </c>
      <c r="Y588" s="77" t="str">
        <f t="shared" ref="Y588:Y651" si="3786">IF(B588="","",IF(ISERROR(VLOOKUP(X588,T_CodOperVentas,2,FALSE)),"",VLOOKUP(X588,T_CodOperVentas,2,FALSE)))</f>
        <v/>
      </c>
      <c r="Z588" s="3"/>
      <c r="AA588" s="37" t="str">
        <f t="shared" si="3365"/>
        <v/>
      </c>
      <c r="AC588" s="40"/>
      <c r="AD588" s="7"/>
      <c r="AE588" s="77" t="str">
        <f t="shared" ref="AE588:AE651" si="3787">IF(B588="","",IF(AD588="","",IF(ISERROR(VLOOKUP(AD588,T_Alicuotas,2,FALSE)),"",VLOOKUP(AD588,T_Alicuotas,2,FALSE))))</f>
        <v/>
      </c>
      <c r="AF588" s="81">
        <f t="shared" si="3378"/>
        <v>0</v>
      </c>
      <c r="AG588" s="40"/>
      <c r="AH588" s="7"/>
      <c r="AI588" s="77" t="str">
        <f t="shared" ref="AI588:AI651" si="3788">IF(B588="","",IF(AH588="","",IF(ISERROR(VLOOKUP(AH588,T_Alicuotas,2,FALSE)),"",VLOOKUP(AH588,T_Alicuotas,2,FALSE))))</f>
        <v/>
      </c>
      <c r="AJ588" s="81">
        <f t="shared" si="3379"/>
        <v>0</v>
      </c>
      <c r="AK588" s="83">
        <f t="shared" si="3380"/>
        <v>0</v>
      </c>
      <c r="AL588" s="83">
        <f t="shared" si="3381"/>
        <v>0</v>
      </c>
      <c r="AN588" s="43">
        <f t="shared" ref="AN588:AN651" si="3789">+L588-M588-N588-O588-P588-Q588-R588-S588-AC588-AF588-AG588-AJ588</f>
        <v>0</v>
      </c>
      <c r="AP588" t="str">
        <f t="shared" si="3382"/>
        <v/>
      </c>
      <c r="AQ588" t="str">
        <f t="shared" si="3383"/>
        <v/>
      </c>
      <c r="AR588" t="str">
        <f t="shared" si="3384"/>
        <v/>
      </c>
      <c r="AS588" t="str">
        <f t="shared" si="3385"/>
        <v/>
      </c>
      <c r="AT588" t="str">
        <f t="shared" si="3386"/>
        <v/>
      </c>
      <c r="AU588" t="str">
        <f t="shared" si="3387"/>
        <v/>
      </c>
      <c r="AV588" t="str">
        <f t="shared" si="3388"/>
        <v/>
      </c>
      <c r="AW588" t="str">
        <f t="shared" si="3389"/>
        <v xml:space="preserve">                              </v>
      </c>
      <c r="AX588" s="23">
        <f t="shared" si="3390"/>
        <v>0</v>
      </c>
      <c r="AY588" s="49" t="str">
        <f t="shared" si="3366"/>
        <v>000000000000000</v>
      </c>
      <c r="AZ588" s="23">
        <f t="shared" si="3391"/>
        <v>0</v>
      </c>
      <c r="BA588" s="49" t="str">
        <f t="shared" si="3366"/>
        <v>000000000000000</v>
      </c>
      <c r="BB588" s="23">
        <f t="shared" si="3392"/>
        <v>0</v>
      </c>
      <c r="BC588" s="49" t="str">
        <f t="shared" ref="BC588" si="3790">IF(BB588&lt;0,SUBSTITUTE(TEXT(BB588,"000000000000,00"),",",""),SUBSTITUTE(TEXT(BB588,"0000000000000,00"),",",""))</f>
        <v>000000000000000</v>
      </c>
      <c r="BD588" s="23">
        <f t="shared" si="3394"/>
        <v>0</v>
      </c>
      <c r="BE588" s="49" t="str">
        <f t="shared" ref="BE588" si="3791">IF(BD588&lt;0,SUBSTITUTE(TEXT(BD588,"000000000000,00"),",",""),SUBSTITUTE(TEXT(BD588,"0000000000000,00"),",",""))</f>
        <v>000000000000000</v>
      </c>
      <c r="BF588" s="23">
        <f t="shared" si="3396"/>
        <v>0</v>
      </c>
      <c r="BG588" s="49" t="str">
        <f t="shared" ref="BG588" si="3792">IF(BF588&lt;0,SUBSTITUTE(TEXT(BF588,"000000000000,00"),",",""),SUBSTITUTE(TEXT(BF588,"0000000000000,00"),",",""))</f>
        <v>000000000000000</v>
      </c>
      <c r="BH588" s="23">
        <f t="shared" si="3398"/>
        <v>0</v>
      </c>
      <c r="BI588" s="49" t="str">
        <f t="shared" ref="BI588" si="3793">IF(BH588&lt;0,SUBSTITUTE(TEXT(BH588,"000000000000,00"),",",""),SUBSTITUTE(TEXT(BH588,"0000000000000,00"),",",""))</f>
        <v>000000000000000</v>
      </c>
      <c r="BJ588" s="23">
        <f t="shared" si="3400"/>
        <v>0</v>
      </c>
      <c r="BK588" s="49" t="str">
        <f t="shared" ref="BK588" si="3794">IF(BJ588&lt;0,SUBSTITUTE(TEXT(BJ588,"000000000000,00"),",",""),SUBSTITUTE(TEXT(BJ588,"0000000000000,00"),",",""))</f>
        <v>000000000000000</v>
      </c>
      <c r="BL588" s="23">
        <f t="shared" si="3402"/>
        <v>0</v>
      </c>
      <c r="BM588" s="49" t="str">
        <f t="shared" ref="BM588" si="3795">IF(BL588&lt;0,SUBSTITUTE(TEXT(BL588,"000000000000,00"),",",""),SUBSTITUTE(TEXT(BL588,"0000000000000,00"),",",""))</f>
        <v>000000000000000</v>
      </c>
      <c r="BN588" t="str">
        <f t="shared" si="3404"/>
        <v>PES</v>
      </c>
      <c r="BO588" t="str">
        <f t="shared" si="3405"/>
        <v>0001000000</v>
      </c>
      <c r="BP588">
        <f t="shared" si="3406"/>
        <v>0</v>
      </c>
      <c r="BQ588">
        <f t="shared" si="3407"/>
        <v>0</v>
      </c>
      <c r="BR588" s="23">
        <f t="shared" si="3408"/>
        <v>0</v>
      </c>
      <c r="BS588" s="49" t="str">
        <f t="shared" si="3373"/>
        <v>000000000000000</v>
      </c>
      <c r="BT588" t="str">
        <f t="shared" si="3409"/>
        <v>00000000</v>
      </c>
      <c r="BU588" s="23">
        <f t="shared" si="3410"/>
        <v>0</v>
      </c>
      <c r="BV588" s="49" t="str">
        <f t="shared" si="3374"/>
        <v/>
      </c>
      <c r="BW588" s="52" t="str">
        <f t="shared" si="3411"/>
        <v/>
      </c>
      <c r="BX588" s="23">
        <f t="shared" si="3412"/>
        <v>0</v>
      </c>
      <c r="BY588" s="49" t="str">
        <f t="shared" si="3375"/>
        <v/>
      </c>
      <c r="BZ588" s="23">
        <f t="shared" si="3413"/>
        <v>0</v>
      </c>
      <c r="CA588" s="49" t="str">
        <f t="shared" si="3376"/>
        <v/>
      </c>
      <c r="CB588" s="52" t="str">
        <f t="shared" si="3414"/>
        <v/>
      </c>
      <c r="CC588" s="23">
        <f t="shared" si="3415"/>
        <v>0</v>
      </c>
      <c r="CD588" s="49" t="str">
        <f t="shared" si="3377"/>
        <v/>
      </c>
      <c r="CE588" s="56" t="str">
        <f>IF(CF588="","",MAX(CE$10:$CE587)+1)</f>
        <v/>
      </c>
      <c r="CF588" t="str">
        <f t="shared" si="3416"/>
        <v/>
      </c>
      <c r="CG588" s="22" t="str">
        <f>IF(CH588="","",MAX($CG$10:CG587)+1)</f>
        <v/>
      </c>
      <c r="CH588" s="22" t="str">
        <f t="shared" ref="CH588:CH651" si="3796">IF(BV588="","",AQ588&amp;AR588&amp;AS588&amp;BV588&amp;BW588&amp;BY588)</f>
        <v/>
      </c>
      <c r="CI588" s="22" t="str">
        <f>IF(CJ588="","",MAX($CI$10:CI587)+1)</f>
        <v/>
      </c>
      <c r="CJ588" s="22" t="str">
        <f t="shared" ref="CJ588:CJ651" si="3797">IF(CA588="","",AQ588&amp;AR588&amp;AS588&amp;CA588&amp;CB588&amp;CD588)</f>
        <v/>
      </c>
    </row>
    <row r="589" spans="2:88" x14ac:dyDescent="0.25">
      <c r="B589" s="37"/>
      <c r="C589" s="3"/>
      <c r="D589" s="77" t="str">
        <f t="shared" si="3783"/>
        <v/>
      </c>
      <c r="E589" s="38"/>
      <c r="F589" s="38"/>
      <c r="G589" s="78">
        <f t="shared" ref="G589:G652" si="3798">+F589</f>
        <v>0</v>
      </c>
      <c r="H589" s="3">
        <v>80</v>
      </c>
      <c r="I589" s="77" t="str">
        <f t="shared" si="3784"/>
        <v/>
      </c>
      <c r="J589" s="32"/>
      <c r="K589" s="3"/>
      <c r="L589" s="39"/>
      <c r="M589" s="39"/>
      <c r="N589" s="39"/>
      <c r="O589" s="39"/>
      <c r="P589" s="39"/>
      <c r="Q589" s="39"/>
      <c r="R589" s="39"/>
      <c r="S589" s="39"/>
      <c r="T589" s="3" t="s">
        <v>645</v>
      </c>
      <c r="U589" s="77" t="str">
        <f t="shared" si="3785"/>
        <v/>
      </c>
      <c r="V589" s="39">
        <v>1</v>
      </c>
      <c r="W589" s="79">
        <f t="shared" ref="W589:W652" si="3799">IF(AD589="",0,1)+IF(OR(AH589=""),0,1)</f>
        <v>0</v>
      </c>
      <c r="X589" s="3">
        <v>0</v>
      </c>
      <c r="Y589" s="77" t="str">
        <f t="shared" si="3786"/>
        <v/>
      </c>
      <c r="Z589" s="3"/>
      <c r="AA589" s="37" t="str">
        <f t="shared" ref="AA589:AA652" si="3800">IF(OR(B589="",C589=82),"",B589)</f>
        <v/>
      </c>
      <c r="AC589" s="40"/>
      <c r="AD589" s="7"/>
      <c r="AE589" s="77" t="str">
        <f t="shared" si="3787"/>
        <v/>
      </c>
      <c r="AF589" s="81">
        <f t="shared" si="3378"/>
        <v>0</v>
      </c>
      <c r="AG589" s="40"/>
      <c r="AH589" s="7"/>
      <c r="AI589" s="77" t="str">
        <f t="shared" si="3788"/>
        <v/>
      </c>
      <c r="AJ589" s="81">
        <f t="shared" si="3379"/>
        <v>0</v>
      </c>
      <c r="AK589" s="83">
        <f t="shared" si="3380"/>
        <v>0</v>
      </c>
      <c r="AL589" s="83">
        <f t="shared" si="3381"/>
        <v>0</v>
      </c>
      <c r="AN589" s="43">
        <f t="shared" si="3789"/>
        <v>0</v>
      </c>
      <c r="AP589" t="str">
        <f t="shared" si="3382"/>
        <v/>
      </c>
      <c r="AQ589" t="str">
        <f t="shared" si="3383"/>
        <v/>
      </c>
      <c r="AR589" t="str">
        <f t="shared" si="3384"/>
        <v/>
      </c>
      <c r="AS589" t="str">
        <f t="shared" si="3385"/>
        <v/>
      </c>
      <c r="AT589" t="str">
        <f t="shared" si="3386"/>
        <v/>
      </c>
      <c r="AU589" t="str">
        <f t="shared" si="3387"/>
        <v/>
      </c>
      <c r="AV589" t="str">
        <f t="shared" si="3388"/>
        <v/>
      </c>
      <c r="AW589" t="str">
        <f t="shared" si="3389"/>
        <v xml:space="preserve">                              </v>
      </c>
      <c r="AX589" s="23">
        <f t="shared" si="3390"/>
        <v>0</v>
      </c>
      <c r="AY589" s="49" t="str">
        <f t="shared" ref="AY589:BA652" si="3801">IF(AX589&lt;0,SUBSTITUTE(TEXT(AX589,"000000000000,00"),",",""),SUBSTITUTE(TEXT(AX589,"0000000000000,00"),",",""))</f>
        <v>000000000000000</v>
      </c>
      <c r="AZ589" s="23">
        <f t="shared" si="3391"/>
        <v>0</v>
      </c>
      <c r="BA589" s="49" t="str">
        <f t="shared" si="3801"/>
        <v>000000000000000</v>
      </c>
      <c r="BB589" s="23">
        <f t="shared" si="3392"/>
        <v>0</v>
      </c>
      <c r="BC589" s="49" t="str">
        <f t="shared" ref="BC589" si="3802">IF(BB589&lt;0,SUBSTITUTE(TEXT(BB589,"000000000000,00"),",",""),SUBSTITUTE(TEXT(BB589,"0000000000000,00"),",",""))</f>
        <v>000000000000000</v>
      </c>
      <c r="BD589" s="23">
        <f t="shared" si="3394"/>
        <v>0</v>
      </c>
      <c r="BE589" s="49" t="str">
        <f t="shared" ref="BE589" si="3803">IF(BD589&lt;0,SUBSTITUTE(TEXT(BD589,"000000000000,00"),",",""),SUBSTITUTE(TEXT(BD589,"0000000000000,00"),",",""))</f>
        <v>000000000000000</v>
      </c>
      <c r="BF589" s="23">
        <f t="shared" si="3396"/>
        <v>0</v>
      </c>
      <c r="BG589" s="49" t="str">
        <f t="shared" ref="BG589" si="3804">IF(BF589&lt;0,SUBSTITUTE(TEXT(BF589,"000000000000,00"),",",""),SUBSTITUTE(TEXT(BF589,"0000000000000,00"),",",""))</f>
        <v>000000000000000</v>
      </c>
      <c r="BH589" s="23">
        <f t="shared" si="3398"/>
        <v>0</v>
      </c>
      <c r="BI589" s="49" t="str">
        <f t="shared" ref="BI589" si="3805">IF(BH589&lt;0,SUBSTITUTE(TEXT(BH589,"000000000000,00"),",",""),SUBSTITUTE(TEXT(BH589,"0000000000000,00"),",",""))</f>
        <v>000000000000000</v>
      </c>
      <c r="BJ589" s="23">
        <f t="shared" si="3400"/>
        <v>0</v>
      </c>
      <c r="BK589" s="49" t="str">
        <f t="shared" ref="BK589" si="3806">IF(BJ589&lt;0,SUBSTITUTE(TEXT(BJ589,"000000000000,00"),",",""),SUBSTITUTE(TEXT(BJ589,"0000000000000,00"),",",""))</f>
        <v>000000000000000</v>
      </c>
      <c r="BL589" s="23">
        <f t="shared" si="3402"/>
        <v>0</v>
      </c>
      <c r="BM589" s="49" t="str">
        <f t="shared" ref="BM589" si="3807">IF(BL589&lt;0,SUBSTITUTE(TEXT(BL589,"000000000000,00"),",",""),SUBSTITUTE(TEXT(BL589,"0000000000000,00"),",",""))</f>
        <v>000000000000000</v>
      </c>
      <c r="BN589" t="str">
        <f t="shared" si="3404"/>
        <v>PES</v>
      </c>
      <c r="BO589" t="str">
        <f t="shared" si="3405"/>
        <v>0001000000</v>
      </c>
      <c r="BP589">
        <f t="shared" si="3406"/>
        <v>0</v>
      </c>
      <c r="BQ589">
        <f t="shared" si="3407"/>
        <v>0</v>
      </c>
      <c r="BR589" s="23">
        <f t="shared" si="3408"/>
        <v>0</v>
      </c>
      <c r="BS589" s="49" t="str">
        <f t="shared" ref="BS589:BS652" si="3808">IF(BR589&lt;0,SUBSTITUTE(TEXT(BR589,"000000000000,00"),",",""),SUBSTITUTE(TEXT(BR589,"0000000000000,00"),",",""))</f>
        <v>000000000000000</v>
      </c>
      <c r="BT589" t="str">
        <f t="shared" si="3409"/>
        <v>00000000</v>
      </c>
      <c r="BU589" s="23">
        <f t="shared" si="3410"/>
        <v>0</v>
      </c>
      <c r="BV589" s="49" t="str">
        <f t="shared" ref="BV589:BV652" si="3809">IF(BW589="","",IF(BU589&lt;0,SUBSTITUTE(TEXT(BU589,"000000000000,00"),",",""),SUBSTITUTE(TEXT(BU589,"0000000000000,00"),",","")))</f>
        <v/>
      </c>
      <c r="BW589" s="52" t="str">
        <f t="shared" si="3411"/>
        <v/>
      </c>
      <c r="BX589" s="23">
        <f t="shared" si="3412"/>
        <v>0</v>
      </c>
      <c r="BY589" s="49" t="str">
        <f t="shared" ref="BY589:BY652" si="3810">IF(BW589="","",IF(BX589&lt;0,SUBSTITUTE(TEXT(BX589,"000000000000,00"),",",""),SUBSTITUTE(TEXT(BX589,"0000000000000,00"),",","")))</f>
        <v/>
      </c>
      <c r="BZ589" s="23">
        <f t="shared" si="3413"/>
        <v>0</v>
      </c>
      <c r="CA589" s="49" t="str">
        <f t="shared" ref="CA589:CA652" si="3811">IF(CB589="","",IF(BZ589&lt;0,SUBSTITUTE(TEXT(BZ589,"000000000000,00"),",",""),SUBSTITUTE(TEXT(BZ589,"0000000000000,00"),",","")))</f>
        <v/>
      </c>
      <c r="CB589" s="52" t="str">
        <f t="shared" si="3414"/>
        <v/>
      </c>
      <c r="CC589" s="23">
        <f t="shared" si="3415"/>
        <v>0</v>
      </c>
      <c r="CD589" s="49" t="str">
        <f t="shared" ref="CD589:CD652" si="3812">IF(CB589="","",IF(CC589&lt;0,SUBSTITUTE(TEXT(CC589,"000000000000,00"),",",""),SUBSTITUTE(TEXT(CC589,"0000000000000,00"),",","")))</f>
        <v/>
      </c>
      <c r="CE589" s="56" t="str">
        <f>IF(CF589="","",MAX(CE$10:$CE588)+1)</f>
        <v/>
      </c>
      <c r="CF589" t="str">
        <f t="shared" si="3416"/>
        <v/>
      </c>
      <c r="CG589" s="22" t="str">
        <f>IF(CH589="","",MAX($CG$10:CG588)+1)</f>
        <v/>
      </c>
      <c r="CH589" s="22" t="str">
        <f t="shared" si="3796"/>
        <v/>
      </c>
      <c r="CI589" s="22" t="str">
        <f>IF(CJ589="","",MAX($CI$10:CI588)+1)</f>
        <v/>
      </c>
      <c r="CJ589" s="22" t="str">
        <f t="shared" si="3797"/>
        <v/>
      </c>
    </row>
    <row r="590" spans="2:88" x14ac:dyDescent="0.25">
      <c r="B590" s="37"/>
      <c r="C590" s="3"/>
      <c r="D590" s="77" t="str">
        <f t="shared" si="3783"/>
        <v/>
      </c>
      <c r="E590" s="38"/>
      <c r="F590" s="38"/>
      <c r="G590" s="78">
        <f t="shared" si="3798"/>
        <v>0</v>
      </c>
      <c r="H590" s="3">
        <v>80</v>
      </c>
      <c r="I590" s="77" t="str">
        <f t="shared" si="3784"/>
        <v/>
      </c>
      <c r="J590" s="32"/>
      <c r="K590" s="3"/>
      <c r="L590" s="39"/>
      <c r="M590" s="39"/>
      <c r="N590" s="39"/>
      <c r="O590" s="39"/>
      <c r="P590" s="39"/>
      <c r="Q590" s="39"/>
      <c r="R590" s="39"/>
      <c r="S590" s="39"/>
      <c r="T590" s="3" t="s">
        <v>645</v>
      </c>
      <c r="U590" s="77" t="str">
        <f t="shared" si="3785"/>
        <v/>
      </c>
      <c r="V590" s="39">
        <v>1</v>
      </c>
      <c r="W590" s="79">
        <f t="shared" si="3799"/>
        <v>0</v>
      </c>
      <c r="X590" s="3">
        <v>0</v>
      </c>
      <c r="Y590" s="77" t="str">
        <f t="shared" si="3786"/>
        <v/>
      </c>
      <c r="Z590" s="3"/>
      <c r="AA590" s="37" t="str">
        <f t="shared" si="3800"/>
        <v/>
      </c>
      <c r="AC590" s="40"/>
      <c r="AD590" s="7"/>
      <c r="AE590" s="77" t="str">
        <f t="shared" si="3787"/>
        <v/>
      </c>
      <c r="AF590" s="81">
        <f t="shared" ref="AF590:AF653" si="3813">ROUND(AC590*AD590/100,2)</f>
        <v>0</v>
      </c>
      <c r="AG590" s="40"/>
      <c r="AH590" s="7"/>
      <c r="AI590" s="77" t="str">
        <f t="shared" si="3788"/>
        <v/>
      </c>
      <c r="AJ590" s="81">
        <f t="shared" ref="AJ590:AJ653" si="3814">ROUND(AG590*AH590/100,2)</f>
        <v>0</v>
      </c>
      <c r="AK590" s="83">
        <f t="shared" ref="AK590:AK653" si="3815">+AC590+AG590</f>
        <v>0</v>
      </c>
      <c r="AL590" s="83">
        <f t="shared" ref="AL590:AL653" si="3816">+AF590+AJ590</f>
        <v>0</v>
      </c>
      <c r="AN590" s="43">
        <f t="shared" si="3789"/>
        <v>0</v>
      </c>
      <c r="AP590" t="str">
        <f t="shared" ref="AP590:AP653" si="3817">IF(B590="","",TEXT(B590,$AP$8))</f>
        <v/>
      </c>
      <c r="AQ590" t="str">
        <f t="shared" ref="AQ590:AQ653" si="3818">IF(B590="","",IF(C590="","",TEXT(C590,"000")))</f>
        <v/>
      </c>
      <c r="AR590" t="str">
        <f t="shared" ref="AR590:AR653" si="3819">IF(B590="","",IF(E590="","00000",TEXT(RIGHT(E590,5),"00000")))</f>
        <v/>
      </c>
      <c r="AS590" t="str">
        <f t="shared" ref="AS590:AS653" si="3820">IF(B590="","",IF(F590="","00000000000000000000",TEXT(RIGHT(F590,20),"00000000000000000000")))</f>
        <v/>
      </c>
      <c r="AT590" t="str">
        <f t="shared" ref="AT590:AT653" si="3821">IF(B590="","",IF(G590="","00000000000000000000",TEXT(RIGHT(G590,20),"00000000000000000000")))</f>
        <v/>
      </c>
      <c r="AU590" t="str">
        <f t="shared" ref="AU590:AU653" si="3822">IF(B590="","",IF(C590="","",TEXT(RIGHT(H590,4),"00")))</f>
        <v/>
      </c>
      <c r="AV590" t="str">
        <f t="shared" ref="AV590:AV653" si="3823">IF(B590="","",TEXT(SUBSTITUTE(J590,"-",""),"00000000000000000000"))</f>
        <v/>
      </c>
      <c r="AW590" t="str">
        <f t="shared" ref="AW590:AW653" si="3824">IF(LEN(K590)&gt;30,LEFT(K590,30),K590&amp;REPT(" ",30-LEN(K590)))</f>
        <v xml:space="preserve">                              </v>
      </c>
      <c r="AX590" s="23">
        <f t="shared" ref="AX590:AX653" si="3825">IF(TRIM(L590)="",0,TRUNC(L590,2))</f>
        <v>0</v>
      </c>
      <c r="AY590" s="49" t="str">
        <f t="shared" si="3801"/>
        <v>000000000000000</v>
      </c>
      <c r="AZ590" s="23">
        <f t="shared" ref="AZ590:AZ653" si="3826">IF(TRIM(M590)="",0,TRUNC(M590,2))</f>
        <v>0</v>
      </c>
      <c r="BA590" s="49" t="str">
        <f t="shared" si="3801"/>
        <v>000000000000000</v>
      </c>
      <c r="BB590" s="23">
        <f t="shared" ref="BB590:BB653" si="3827">IF(TRIM(N590)="",0,TRUNC(N590,2))</f>
        <v>0</v>
      </c>
      <c r="BC590" s="49" t="str">
        <f t="shared" ref="BC590" si="3828">IF(BB590&lt;0,SUBSTITUTE(TEXT(BB590,"000000000000,00"),",",""),SUBSTITUTE(TEXT(BB590,"0000000000000,00"),",",""))</f>
        <v>000000000000000</v>
      </c>
      <c r="BD590" s="23">
        <f t="shared" ref="BD590:BD653" si="3829">IF(TRIM(O590)="",0,TRUNC(O590,2))</f>
        <v>0</v>
      </c>
      <c r="BE590" s="49" t="str">
        <f t="shared" ref="BE590" si="3830">IF(BD590&lt;0,SUBSTITUTE(TEXT(BD590,"000000000000,00"),",",""),SUBSTITUTE(TEXT(BD590,"0000000000000,00"),",",""))</f>
        <v>000000000000000</v>
      </c>
      <c r="BF590" s="23">
        <f t="shared" ref="BF590:BF653" si="3831">IF(TRIM(P590)="",0,TRUNC(P590,2))</f>
        <v>0</v>
      </c>
      <c r="BG590" s="49" t="str">
        <f t="shared" ref="BG590" si="3832">IF(BF590&lt;0,SUBSTITUTE(TEXT(BF590,"000000000000,00"),",",""),SUBSTITUTE(TEXT(BF590,"0000000000000,00"),",",""))</f>
        <v>000000000000000</v>
      </c>
      <c r="BH590" s="23">
        <f t="shared" ref="BH590:BH653" si="3833">IF(TRIM(Q590)="",0,TRUNC(Q590,2))</f>
        <v>0</v>
      </c>
      <c r="BI590" s="49" t="str">
        <f t="shared" ref="BI590" si="3834">IF(BH590&lt;0,SUBSTITUTE(TEXT(BH590,"000000000000,00"),",",""),SUBSTITUTE(TEXT(BH590,"0000000000000,00"),",",""))</f>
        <v>000000000000000</v>
      </c>
      <c r="BJ590" s="23">
        <f t="shared" ref="BJ590:BJ653" si="3835">IF(TRIM(R590)="",0,TRUNC(R590,2))</f>
        <v>0</v>
      </c>
      <c r="BK590" s="49" t="str">
        <f t="shared" ref="BK590" si="3836">IF(BJ590&lt;0,SUBSTITUTE(TEXT(BJ590,"000000000000,00"),",",""),SUBSTITUTE(TEXT(BJ590,"0000000000000,00"),",",""))</f>
        <v>000000000000000</v>
      </c>
      <c r="BL590" s="23">
        <f t="shared" ref="BL590:BL653" si="3837">IF(TRIM(S590)="",0,TRUNC(S590,2))</f>
        <v>0</v>
      </c>
      <c r="BM590" s="49" t="str">
        <f t="shared" ref="BM590" si="3838">IF(BL590&lt;0,SUBSTITUTE(TEXT(BL590,"000000000000,00"),",",""),SUBSTITUTE(TEXT(BL590,"0000000000000,00"),",",""))</f>
        <v>000000000000000</v>
      </c>
      <c r="BN590" t="str">
        <f t="shared" ref="BN590:BN653" si="3839">TEXT(T590,"000")</f>
        <v>PES</v>
      </c>
      <c r="BO590" t="str">
        <f t="shared" ref="BO590:BO653" si="3840">IF(V590&lt;0,SUBSTITUTE(TEXT(V590,"000,000000"),",",""),SUBSTITUTE(TEXT(V590,"0000,000000"),",",""))</f>
        <v>0001000000</v>
      </c>
      <c r="BP590">
        <f t="shared" ref="BP590:BP653" si="3841">W590</f>
        <v>0</v>
      </c>
      <c r="BQ590">
        <f t="shared" ref="BQ590:BQ653" si="3842">X590</f>
        <v>0</v>
      </c>
      <c r="BR590" s="23">
        <f t="shared" ref="BR590:BR653" si="3843">IF(TRIM(Z590)="",0,TRUNC(Z590,2))</f>
        <v>0</v>
      </c>
      <c r="BS590" s="49" t="str">
        <f t="shared" si="3808"/>
        <v>000000000000000</v>
      </c>
      <c r="BT590" t="str">
        <f t="shared" ref="BT590:BT653" si="3844">IF(AA590="","00000000",TEXT(AA590,$AP$8))</f>
        <v>00000000</v>
      </c>
      <c r="BU590" s="23">
        <f t="shared" ref="BU590:BU653" si="3845">IF(TRIM(AC590)="",0,TRUNC(AC590,2))</f>
        <v>0</v>
      </c>
      <c r="BV590" s="49" t="str">
        <f t="shared" si="3809"/>
        <v/>
      </c>
      <c r="BW590" s="52" t="str">
        <f t="shared" ref="BW590:BW653" si="3846">IF(AE590="","",TEXT(AE590,"0000"))</f>
        <v/>
      </c>
      <c r="BX590" s="23">
        <f t="shared" ref="BX590:BX653" si="3847">IF(TRIM(AF590)="",0,TRUNC(AF590,2))</f>
        <v>0</v>
      </c>
      <c r="BY590" s="49" t="str">
        <f t="shared" si="3810"/>
        <v/>
      </c>
      <c r="BZ590" s="23">
        <f t="shared" ref="BZ590:BZ653" si="3848">IF(TRIM(AG590)="",0,TRUNC(AG590,2))</f>
        <v>0</v>
      </c>
      <c r="CA590" s="49" t="str">
        <f t="shared" si="3811"/>
        <v/>
      </c>
      <c r="CB590" s="52" t="str">
        <f t="shared" ref="CB590:CB653" si="3849">IF(AI590="","",TEXT(AI590,"0000"))</f>
        <v/>
      </c>
      <c r="CC590" s="23">
        <f t="shared" ref="CC590:CC653" si="3850">IF(TRIM(AJ590)="",0,TRUNC(AJ590,2))</f>
        <v>0</v>
      </c>
      <c r="CD590" s="49" t="str">
        <f t="shared" si="3812"/>
        <v/>
      </c>
      <c r="CE590" s="56" t="str">
        <f>IF(CF590="","",MAX(CE$10:$CE589)+1)</f>
        <v/>
      </c>
      <c r="CF590" t="str">
        <f t="shared" ref="CF590:CF653" si="3851">IF(B590="","",AP590&amp;AQ590&amp;AR590&amp;AS590&amp;AT590&amp;AU590&amp;AV590&amp;AW590&amp;AY590&amp;BA590&amp;BC590&amp;BE590&amp;BG590&amp;BI590&amp;BK590&amp;BM590&amp;BN590&amp;BO590&amp;BP590&amp;BQ590&amp;BS590&amp;BT590)</f>
        <v/>
      </c>
      <c r="CG590" s="22" t="str">
        <f>IF(CH590="","",MAX($CG$10:CG589)+1)</f>
        <v/>
      </c>
      <c r="CH590" s="22" t="str">
        <f t="shared" si="3796"/>
        <v/>
      </c>
      <c r="CI590" s="22" t="str">
        <f>IF(CJ590="","",MAX($CI$10:CI589)+1)</f>
        <v/>
      </c>
      <c r="CJ590" s="22" t="str">
        <f t="shared" si="3797"/>
        <v/>
      </c>
    </row>
    <row r="591" spans="2:88" x14ac:dyDescent="0.25">
      <c r="B591" s="37"/>
      <c r="C591" s="3"/>
      <c r="D591" s="77" t="str">
        <f t="shared" si="3783"/>
        <v/>
      </c>
      <c r="E591" s="38"/>
      <c r="F591" s="38"/>
      <c r="G591" s="78">
        <f t="shared" si="3798"/>
        <v>0</v>
      </c>
      <c r="H591" s="3">
        <v>80</v>
      </c>
      <c r="I591" s="77" t="str">
        <f t="shared" si="3784"/>
        <v/>
      </c>
      <c r="J591" s="32"/>
      <c r="K591" s="3"/>
      <c r="L591" s="39"/>
      <c r="M591" s="39"/>
      <c r="N591" s="39"/>
      <c r="O591" s="39"/>
      <c r="P591" s="39"/>
      <c r="Q591" s="39"/>
      <c r="R591" s="39"/>
      <c r="S591" s="39"/>
      <c r="T591" s="3" t="s">
        <v>645</v>
      </c>
      <c r="U591" s="77" t="str">
        <f t="shared" si="3785"/>
        <v/>
      </c>
      <c r="V591" s="39">
        <v>1</v>
      </c>
      <c r="W591" s="79">
        <f t="shared" si="3799"/>
        <v>0</v>
      </c>
      <c r="X591" s="3">
        <v>0</v>
      </c>
      <c r="Y591" s="77" t="str">
        <f t="shared" si="3786"/>
        <v/>
      </c>
      <c r="Z591" s="3"/>
      <c r="AA591" s="37" t="str">
        <f t="shared" si="3800"/>
        <v/>
      </c>
      <c r="AC591" s="40"/>
      <c r="AD591" s="7"/>
      <c r="AE591" s="77" t="str">
        <f t="shared" si="3787"/>
        <v/>
      </c>
      <c r="AF591" s="81">
        <f t="shared" si="3813"/>
        <v>0</v>
      </c>
      <c r="AG591" s="40"/>
      <c r="AH591" s="7"/>
      <c r="AI591" s="77" t="str">
        <f t="shared" si="3788"/>
        <v/>
      </c>
      <c r="AJ591" s="81">
        <f t="shared" si="3814"/>
        <v>0</v>
      </c>
      <c r="AK591" s="83">
        <f t="shared" si="3815"/>
        <v>0</v>
      </c>
      <c r="AL591" s="83">
        <f t="shared" si="3816"/>
        <v>0</v>
      </c>
      <c r="AN591" s="43">
        <f t="shared" si="3789"/>
        <v>0</v>
      </c>
      <c r="AP591" t="str">
        <f t="shared" si="3817"/>
        <v/>
      </c>
      <c r="AQ591" t="str">
        <f t="shared" si="3818"/>
        <v/>
      </c>
      <c r="AR591" t="str">
        <f t="shared" si="3819"/>
        <v/>
      </c>
      <c r="AS591" t="str">
        <f t="shared" si="3820"/>
        <v/>
      </c>
      <c r="AT591" t="str">
        <f t="shared" si="3821"/>
        <v/>
      </c>
      <c r="AU591" t="str">
        <f t="shared" si="3822"/>
        <v/>
      </c>
      <c r="AV591" t="str">
        <f t="shared" si="3823"/>
        <v/>
      </c>
      <c r="AW591" t="str">
        <f t="shared" si="3824"/>
        <v xml:space="preserve">                              </v>
      </c>
      <c r="AX591" s="23">
        <f t="shared" si="3825"/>
        <v>0</v>
      </c>
      <c r="AY591" s="49" t="str">
        <f t="shared" si="3801"/>
        <v>000000000000000</v>
      </c>
      <c r="AZ591" s="23">
        <f t="shared" si="3826"/>
        <v>0</v>
      </c>
      <c r="BA591" s="49" t="str">
        <f t="shared" si="3801"/>
        <v>000000000000000</v>
      </c>
      <c r="BB591" s="23">
        <f t="shared" si="3827"/>
        <v>0</v>
      </c>
      <c r="BC591" s="49" t="str">
        <f t="shared" ref="BC591" si="3852">IF(BB591&lt;0,SUBSTITUTE(TEXT(BB591,"000000000000,00"),",",""),SUBSTITUTE(TEXT(BB591,"0000000000000,00"),",",""))</f>
        <v>000000000000000</v>
      </c>
      <c r="BD591" s="23">
        <f t="shared" si="3829"/>
        <v>0</v>
      </c>
      <c r="BE591" s="49" t="str">
        <f t="shared" ref="BE591" si="3853">IF(BD591&lt;0,SUBSTITUTE(TEXT(BD591,"000000000000,00"),",",""),SUBSTITUTE(TEXT(BD591,"0000000000000,00"),",",""))</f>
        <v>000000000000000</v>
      </c>
      <c r="BF591" s="23">
        <f t="shared" si="3831"/>
        <v>0</v>
      </c>
      <c r="BG591" s="49" t="str">
        <f t="shared" ref="BG591" si="3854">IF(BF591&lt;0,SUBSTITUTE(TEXT(BF591,"000000000000,00"),",",""),SUBSTITUTE(TEXT(BF591,"0000000000000,00"),",",""))</f>
        <v>000000000000000</v>
      </c>
      <c r="BH591" s="23">
        <f t="shared" si="3833"/>
        <v>0</v>
      </c>
      <c r="BI591" s="49" t="str">
        <f t="shared" ref="BI591" si="3855">IF(BH591&lt;0,SUBSTITUTE(TEXT(BH591,"000000000000,00"),",",""),SUBSTITUTE(TEXT(BH591,"0000000000000,00"),",",""))</f>
        <v>000000000000000</v>
      </c>
      <c r="BJ591" s="23">
        <f t="shared" si="3835"/>
        <v>0</v>
      </c>
      <c r="BK591" s="49" t="str">
        <f t="shared" ref="BK591" si="3856">IF(BJ591&lt;0,SUBSTITUTE(TEXT(BJ591,"000000000000,00"),",",""),SUBSTITUTE(TEXT(BJ591,"0000000000000,00"),",",""))</f>
        <v>000000000000000</v>
      </c>
      <c r="BL591" s="23">
        <f t="shared" si="3837"/>
        <v>0</v>
      </c>
      <c r="BM591" s="49" t="str">
        <f t="shared" ref="BM591" si="3857">IF(BL591&lt;0,SUBSTITUTE(TEXT(BL591,"000000000000,00"),",",""),SUBSTITUTE(TEXT(BL591,"0000000000000,00"),",",""))</f>
        <v>000000000000000</v>
      </c>
      <c r="BN591" t="str">
        <f t="shared" si="3839"/>
        <v>PES</v>
      </c>
      <c r="BO591" t="str">
        <f t="shared" si="3840"/>
        <v>0001000000</v>
      </c>
      <c r="BP591">
        <f t="shared" si="3841"/>
        <v>0</v>
      </c>
      <c r="BQ591">
        <f t="shared" si="3842"/>
        <v>0</v>
      </c>
      <c r="BR591" s="23">
        <f t="shared" si="3843"/>
        <v>0</v>
      </c>
      <c r="BS591" s="49" t="str">
        <f t="shared" si="3808"/>
        <v>000000000000000</v>
      </c>
      <c r="BT591" t="str">
        <f t="shared" si="3844"/>
        <v>00000000</v>
      </c>
      <c r="BU591" s="23">
        <f t="shared" si="3845"/>
        <v>0</v>
      </c>
      <c r="BV591" s="49" t="str">
        <f t="shared" si="3809"/>
        <v/>
      </c>
      <c r="BW591" s="52" t="str">
        <f t="shared" si="3846"/>
        <v/>
      </c>
      <c r="BX591" s="23">
        <f t="shared" si="3847"/>
        <v>0</v>
      </c>
      <c r="BY591" s="49" t="str">
        <f t="shared" si="3810"/>
        <v/>
      </c>
      <c r="BZ591" s="23">
        <f t="shared" si="3848"/>
        <v>0</v>
      </c>
      <c r="CA591" s="49" t="str">
        <f t="shared" si="3811"/>
        <v/>
      </c>
      <c r="CB591" s="52" t="str">
        <f t="shared" si="3849"/>
        <v/>
      </c>
      <c r="CC591" s="23">
        <f t="shared" si="3850"/>
        <v>0</v>
      </c>
      <c r="CD591" s="49" t="str">
        <f t="shared" si="3812"/>
        <v/>
      </c>
      <c r="CE591" s="56" t="str">
        <f>IF(CF591="","",MAX(CE$10:$CE590)+1)</f>
        <v/>
      </c>
      <c r="CF591" t="str">
        <f t="shared" si="3851"/>
        <v/>
      </c>
      <c r="CG591" s="22" t="str">
        <f>IF(CH591="","",MAX($CG$10:CG590)+1)</f>
        <v/>
      </c>
      <c r="CH591" s="22" t="str">
        <f t="shared" si="3796"/>
        <v/>
      </c>
      <c r="CI591" s="22" t="str">
        <f>IF(CJ591="","",MAX($CI$10:CI590)+1)</f>
        <v/>
      </c>
      <c r="CJ591" s="22" t="str">
        <f t="shared" si="3797"/>
        <v/>
      </c>
    </row>
    <row r="592" spans="2:88" x14ac:dyDescent="0.25">
      <c r="B592" s="37"/>
      <c r="C592" s="3"/>
      <c r="D592" s="77" t="str">
        <f t="shared" si="3783"/>
        <v/>
      </c>
      <c r="E592" s="38"/>
      <c r="F592" s="38"/>
      <c r="G592" s="78">
        <f t="shared" si="3798"/>
        <v>0</v>
      </c>
      <c r="H592" s="3">
        <v>80</v>
      </c>
      <c r="I592" s="77" t="str">
        <f t="shared" si="3784"/>
        <v/>
      </c>
      <c r="J592" s="32"/>
      <c r="K592" s="3"/>
      <c r="L592" s="39"/>
      <c r="M592" s="39"/>
      <c r="N592" s="39"/>
      <c r="O592" s="39"/>
      <c r="P592" s="39"/>
      <c r="Q592" s="39"/>
      <c r="R592" s="39"/>
      <c r="S592" s="39"/>
      <c r="T592" s="3" t="s">
        <v>645</v>
      </c>
      <c r="U592" s="77" t="str">
        <f t="shared" si="3785"/>
        <v/>
      </c>
      <c r="V592" s="39">
        <v>1</v>
      </c>
      <c r="W592" s="79">
        <f t="shared" si="3799"/>
        <v>0</v>
      </c>
      <c r="X592" s="3">
        <v>0</v>
      </c>
      <c r="Y592" s="77" t="str">
        <f t="shared" si="3786"/>
        <v/>
      </c>
      <c r="Z592" s="3"/>
      <c r="AA592" s="37" t="str">
        <f t="shared" si="3800"/>
        <v/>
      </c>
      <c r="AC592" s="40"/>
      <c r="AD592" s="7"/>
      <c r="AE592" s="77" t="str">
        <f t="shared" si="3787"/>
        <v/>
      </c>
      <c r="AF592" s="81">
        <f t="shared" si="3813"/>
        <v>0</v>
      </c>
      <c r="AG592" s="40"/>
      <c r="AH592" s="7"/>
      <c r="AI592" s="77" t="str">
        <f t="shared" si="3788"/>
        <v/>
      </c>
      <c r="AJ592" s="81">
        <f t="shared" si="3814"/>
        <v>0</v>
      </c>
      <c r="AK592" s="83">
        <f t="shared" si="3815"/>
        <v>0</v>
      </c>
      <c r="AL592" s="83">
        <f t="shared" si="3816"/>
        <v>0</v>
      </c>
      <c r="AN592" s="43">
        <f t="shared" si="3789"/>
        <v>0</v>
      </c>
      <c r="AP592" t="str">
        <f t="shared" si="3817"/>
        <v/>
      </c>
      <c r="AQ592" t="str">
        <f t="shared" si="3818"/>
        <v/>
      </c>
      <c r="AR592" t="str">
        <f t="shared" si="3819"/>
        <v/>
      </c>
      <c r="AS592" t="str">
        <f t="shared" si="3820"/>
        <v/>
      </c>
      <c r="AT592" t="str">
        <f t="shared" si="3821"/>
        <v/>
      </c>
      <c r="AU592" t="str">
        <f t="shared" si="3822"/>
        <v/>
      </c>
      <c r="AV592" t="str">
        <f t="shared" si="3823"/>
        <v/>
      </c>
      <c r="AW592" t="str">
        <f t="shared" si="3824"/>
        <v xml:space="preserve">                              </v>
      </c>
      <c r="AX592" s="23">
        <f t="shared" si="3825"/>
        <v>0</v>
      </c>
      <c r="AY592" s="49" t="str">
        <f t="shared" si="3801"/>
        <v>000000000000000</v>
      </c>
      <c r="AZ592" s="23">
        <f t="shared" si="3826"/>
        <v>0</v>
      </c>
      <c r="BA592" s="49" t="str">
        <f t="shared" si="3801"/>
        <v>000000000000000</v>
      </c>
      <c r="BB592" s="23">
        <f t="shared" si="3827"/>
        <v>0</v>
      </c>
      <c r="BC592" s="49" t="str">
        <f t="shared" ref="BC592" si="3858">IF(BB592&lt;0,SUBSTITUTE(TEXT(BB592,"000000000000,00"),",",""),SUBSTITUTE(TEXT(BB592,"0000000000000,00"),",",""))</f>
        <v>000000000000000</v>
      </c>
      <c r="BD592" s="23">
        <f t="shared" si="3829"/>
        <v>0</v>
      </c>
      <c r="BE592" s="49" t="str">
        <f t="shared" ref="BE592" si="3859">IF(BD592&lt;0,SUBSTITUTE(TEXT(BD592,"000000000000,00"),",",""),SUBSTITUTE(TEXT(BD592,"0000000000000,00"),",",""))</f>
        <v>000000000000000</v>
      </c>
      <c r="BF592" s="23">
        <f t="shared" si="3831"/>
        <v>0</v>
      </c>
      <c r="BG592" s="49" t="str">
        <f t="shared" ref="BG592" si="3860">IF(BF592&lt;0,SUBSTITUTE(TEXT(BF592,"000000000000,00"),",",""),SUBSTITUTE(TEXT(BF592,"0000000000000,00"),",",""))</f>
        <v>000000000000000</v>
      </c>
      <c r="BH592" s="23">
        <f t="shared" si="3833"/>
        <v>0</v>
      </c>
      <c r="BI592" s="49" t="str">
        <f t="shared" ref="BI592" si="3861">IF(BH592&lt;0,SUBSTITUTE(TEXT(BH592,"000000000000,00"),",",""),SUBSTITUTE(TEXT(BH592,"0000000000000,00"),",",""))</f>
        <v>000000000000000</v>
      </c>
      <c r="BJ592" s="23">
        <f t="shared" si="3835"/>
        <v>0</v>
      </c>
      <c r="BK592" s="49" t="str">
        <f t="shared" ref="BK592" si="3862">IF(BJ592&lt;0,SUBSTITUTE(TEXT(BJ592,"000000000000,00"),",",""),SUBSTITUTE(TEXT(BJ592,"0000000000000,00"),",",""))</f>
        <v>000000000000000</v>
      </c>
      <c r="BL592" s="23">
        <f t="shared" si="3837"/>
        <v>0</v>
      </c>
      <c r="BM592" s="49" t="str">
        <f t="shared" ref="BM592" si="3863">IF(BL592&lt;0,SUBSTITUTE(TEXT(BL592,"000000000000,00"),",",""),SUBSTITUTE(TEXT(BL592,"0000000000000,00"),",",""))</f>
        <v>000000000000000</v>
      </c>
      <c r="BN592" t="str">
        <f t="shared" si="3839"/>
        <v>PES</v>
      </c>
      <c r="BO592" t="str">
        <f t="shared" si="3840"/>
        <v>0001000000</v>
      </c>
      <c r="BP592">
        <f t="shared" si="3841"/>
        <v>0</v>
      </c>
      <c r="BQ592">
        <f t="shared" si="3842"/>
        <v>0</v>
      </c>
      <c r="BR592" s="23">
        <f t="shared" si="3843"/>
        <v>0</v>
      </c>
      <c r="BS592" s="49" t="str">
        <f t="shared" si="3808"/>
        <v>000000000000000</v>
      </c>
      <c r="BT592" t="str">
        <f t="shared" si="3844"/>
        <v>00000000</v>
      </c>
      <c r="BU592" s="23">
        <f t="shared" si="3845"/>
        <v>0</v>
      </c>
      <c r="BV592" s="49" t="str">
        <f t="shared" si="3809"/>
        <v/>
      </c>
      <c r="BW592" s="52" t="str">
        <f t="shared" si="3846"/>
        <v/>
      </c>
      <c r="BX592" s="23">
        <f t="shared" si="3847"/>
        <v>0</v>
      </c>
      <c r="BY592" s="49" t="str">
        <f t="shared" si="3810"/>
        <v/>
      </c>
      <c r="BZ592" s="23">
        <f t="shared" si="3848"/>
        <v>0</v>
      </c>
      <c r="CA592" s="49" t="str">
        <f t="shared" si="3811"/>
        <v/>
      </c>
      <c r="CB592" s="52" t="str">
        <f t="shared" si="3849"/>
        <v/>
      </c>
      <c r="CC592" s="23">
        <f t="shared" si="3850"/>
        <v>0</v>
      </c>
      <c r="CD592" s="49" t="str">
        <f t="shared" si="3812"/>
        <v/>
      </c>
      <c r="CE592" s="56" t="str">
        <f>IF(CF592="","",MAX(CE$10:$CE591)+1)</f>
        <v/>
      </c>
      <c r="CF592" t="str">
        <f t="shared" si="3851"/>
        <v/>
      </c>
      <c r="CG592" s="22" t="str">
        <f>IF(CH592="","",MAX($CG$10:CG591)+1)</f>
        <v/>
      </c>
      <c r="CH592" s="22" t="str">
        <f t="shared" si="3796"/>
        <v/>
      </c>
      <c r="CI592" s="22" t="str">
        <f>IF(CJ592="","",MAX($CI$10:CI591)+1)</f>
        <v/>
      </c>
      <c r="CJ592" s="22" t="str">
        <f t="shared" si="3797"/>
        <v/>
      </c>
    </row>
    <row r="593" spans="2:88" x14ac:dyDescent="0.25">
      <c r="B593" s="37"/>
      <c r="C593" s="3"/>
      <c r="D593" s="77" t="str">
        <f t="shared" si="3783"/>
        <v/>
      </c>
      <c r="E593" s="38"/>
      <c r="F593" s="38"/>
      <c r="G593" s="78">
        <f t="shared" si="3798"/>
        <v>0</v>
      </c>
      <c r="H593" s="3">
        <v>80</v>
      </c>
      <c r="I593" s="77" t="str">
        <f t="shared" si="3784"/>
        <v/>
      </c>
      <c r="J593" s="32"/>
      <c r="K593" s="3"/>
      <c r="L593" s="39"/>
      <c r="M593" s="39"/>
      <c r="N593" s="39"/>
      <c r="O593" s="39"/>
      <c r="P593" s="39"/>
      <c r="Q593" s="39"/>
      <c r="R593" s="39"/>
      <c r="S593" s="39"/>
      <c r="T593" s="3" t="s">
        <v>645</v>
      </c>
      <c r="U593" s="77" t="str">
        <f t="shared" si="3785"/>
        <v/>
      </c>
      <c r="V593" s="39">
        <v>1</v>
      </c>
      <c r="W593" s="79">
        <f t="shared" si="3799"/>
        <v>0</v>
      </c>
      <c r="X593" s="3">
        <v>0</v>
      </c>
      <c r="Y593" s="77" t="str">
        <f t="shared" si="3786"/>
        <v/>
      </c>
      <c r="Z593" s="3"/>
      <c r="AA593" s="37" t="str">
        <f t="shared" si="3800"/>
        <v/>
      </c>
      <c r="AC593" s="40"/>
      <c r="AD593" s="7"/>
      <c r="AE593" s="77" t="str">
        <f t="shared" si="3787"/>
        <v/>
      </c>
      <c r="AF593" s="81">
        <f t="shared" si="3813"/>
        <v>0</v>
      </c>
      <c r="AG593" s="40"/>
      <c r="AH593" s="7"/>
      <c r="AI593" s="77" t="str">
        <f t="shared" si="3788"/>
        <v/>
      </c>
      <c r="AJ593" s="81">
        <f t="shared" si="3814"/>
        <v>0</v>
      </c>
      <c r="AK593" s="83">
        <f t="shared" si="3815"/>
        <v>0</v>
      </c>
      <c r="AL593" s="83">
        <f t="shared" si="3816"/>
        <v>0</v>
      </c>
      <c r="AN593" s="43">
        <f t="shared" si="3789"/>
        <v>0</v>
      </c>
      <c r="AP593" t="str">
        <f t="shared" si="3817"/>
        <v/>
      </c>
      <c r="AQ593" t="str">
        <f t="shared" si="3818"/>
        <v/>
      </c>
      <c r="AR593" t="str">
        <f t="shared" si="3819"/>
        <v/>
      </c>
      <c r="AS593" t="str">
        <f t="shared" si="3820"/>
        <v/>
      </c>
      <c r="AT593" t="str">
        <f t="shared" si="3821"/>
        <v/>
      </c>
      <c r="AU593" t="str">
        <f t="shared" si="3822"/>
        <v/>
      </c>
      <c r="AV593" t="str">
        <f t="shared" si="3823"/>
        <v/>
      </c>
      <c r="AW593" t="str">
        <f t="shared" si="3824"/>
        <v xml:space="preserve">                              </v>
      </c>
      <c r="AX593" s="23">
        <f t="shared" si="3825"/>
        <v>0</v>
      </c>
      <c r="AY593" s="49" t="str">
        <f t="shared" si="3801"/>
        <v>000000000000000</v>
      </c>
      <c r="AZ593" s="23">
        <f t="shared" si="3826"/>
        <v>0</v>
      </c>
      <c r="BA593" s="49" t="str">
        <f t="shared" si="3801"/>
        <v>000000000000000</v>
      </c>
      <c r="BB593" s="23">
        <f t="shared" si="3827"/>
        <v>0</v>
      </c>
      <c r="BC593" s="49" t="str">
        <f t="shared" ref="BC593" si="3864">IF(BB593&lt;0,SUBSTITUTE(TEXT(BB593,"000000000000,00"),",",""),SUBSTITUTE(TEXT(BB593,"0000000000000,00"),",",""))</f>
        <v>000000000000000</v>
      </c>
      <c r="BD593" s="23">
        <f t="shared" si="3829"/>
        <v>0</v>
      </c>
      <c r="BE593" s="49" t="str">
        <f t="shared" ref="BE593" si="3865">IF(BD593&lt;0,SUBSTITUTE(TEXT(BD593,"000000000000,00"),",",""),SUBSTITUTE(TEXT(BD593,"0000000000000,00"),",",""))</f>
        <v>000000000000000</v>
      </c>
      <c r="BF593" s="23">
        <f t="shared" si="3831"/>
        <v>0</v>
      </c>
      <c r="BG593" s="49" t="str">
        <f t="shared" ref="BG593" si="3866">IF(BF593&lt;0,SUBSTITUTE(TEXT(BF593,"000000000000,00"),",",""),SUBSTITUTE(TEXT(BF593,"0000000000000,00"),",",""))</f>
        <v>000000000000000</v>
      </c>
      <c r="BH593" s="23">
        <f t="shared" si="3833"/>
        <v>0</v>
      </c>
      <c r="BI593" s="49" t="str">
        <f t="shared" ref="BI593" si="3867">IF(BH593&lt;0,SUBSTITUTE(TEXT(BH593,"000000000000,00"),",",""),SUBSTITUTE(TEXT(BH593,"0000000000000,00"),",",""))</f>
        <v>000000000000000</v>
      </c>
      <c r="BJ593" s="23">
        <f t="shared" si="3835"/>
        <v>0</v>
      </c>
      <c r="BK593" s="49" t="str">
        <f t="shared" ref="BK593" si="3868">IF(BJ593&lt;0,SUBSTITUTE(TEXT(BJ593,"000000000000,00"),",",""),SUBSTITUTE(TEXT(BJ593,"0000000000000,00"),",",""))</f>
        <v>000000000000000</v>
      </c>
      <c r="BL593" s="23">
        <f t="shared" si="3837"/>
        <v>0</v>
      </c>
      <c r="BM593" s="49" t="str">
        <f t="shared" ref="BM593" si="3869">IF(BL593&lt;0,SUBSTITUTE(TEXT(BL593,"000000000000,00"),",",""),SUBSTITUTE(TEXT(BL593,"0000000000000,00"),",",""))</f>
        <v>000000000000000</v>
      </c>
      <c r="BN593" t="str">
        <f t="shared" si="3839"/>
        <v>PES</v>
      </c>
      <c r="BO593" t="str">
        <f t="shared" si="3840"/>
        <v>0001000000</v>
      </c>
      <c r="BP593">
        <f t="shared" si="3841"/>
        <v>0</v>
      </c>
      <c r="BQ593">
        <f t="shared" si="3842"/>
        <v>0</v>
      </c>
      <c r="BR593" s="23">
        <f t="shared" si="3843"/>
        <v>0</v>
      </c>
      <c r="BS593" s="49" t="str">
        <f t="shared" si="3808"/>
        <v>000000000000000</v>
      </c>
      <c r="BT593" t="str">
        <f t="shared" si="3844"/>
        <v>00000000</v>
      </c>
      <c r="BU593" s="23">
        <f t="shared" si="3845"/>
        <v>0</v>
      </c>
      <c r="BV593" s="49" t="str">
        <f t="shared" si="3809"/>
        <v/>
      </c>
      <c r="BW593" s="52" t="str">
        <f t="shared" si="3846"/>
        <v/>
      </c>
      <c r="BX593" s="23">
        <f t="shared" si="3847"/>
        <v>0</v>
      </c>
      <c r="BY593" s="49" t="str">
        <f t="shared" si="3810"/>
        <v/>
      </c>
      <c r="BZ593" s="23">
        <f t="shared" si="3848"/>
        <v>0</v>
      </c>
      <c r="CA593" s="49" t="str">
        <f t="shared" si="3811"/>
        <v/>
      </c>
      <c r="CB593" s="52" t="str">
        <f t="shared" si="3849"/>
        <v/>
      </c>
      <c r="CC593" s="23">
        <f t="shared" si="3850"/>
        <v>0</v>
      </c>
      <c r="CD593" s="49" t="str">
        <f t="shared" si="3812"/>
        <v/>
      </c>
      <c r="CE593" s="56" t="str">
        <f>IF(CF593="","",MAX(CE$10:$CE592)+1)</f>
        <v/>
      </c>
      <c r="CF593" t="str">
        <f t="shared" si="3851"/>
        <v/>
      </c>
      <c r="CG593" s="22" t="str">
        <f>IF(CH593="","",MAX($CG$10:CG592)+1)</f>
        <v/>
      </c>
      <c r="CH593" s="22" t="str">
        <f t="shared" si="3796"/>
        <v/>
      </c>
      <c r="CI593" s="22" t="str">
        <f>IF(CJ593="","",MAX($CI$10:CI592)+1)</f>
        <v/>
      </c>
      <c r="CJ593" s="22" t="str">
        <f t="shared" si="3797"/>
        <v/>
      </c>
    </row>
    <row r="594" spans="2:88" x14ac:dyDescent="0.25">
      <c r="B594" s="37"/>
      <c r="C594" s="3"/>
      <c r="D594" s="77" t="str">
        <f t="shared" si="3783"/>
        <v/>
      </c>
      <c r="E594" s="38"/>
      <c r="F594" s="38"/>
      <c r="G594" s="78">
        <f t="shared" si="3798"/>
        <v>0</v>
      </c>
      <c r="H594" s="3">
        <v>80</v>
      </c>
      <c r="I594" s="77" t="str">
        <f t="shared" si="3784"/>
        <v/>
      </c>
      <c r="J594" s="32"/>
      <c r="K594" s="3"/>
      <c r="L594" s="39"/>
      <c r="M594" s="39"/>
      <c r="N594" s="39"/>
      <c r="O594" s="39"/>
      <c r="P594" s="39"/>
      <c r="Q594" s="39"/>
      <c r="R594" s="39"/>
      <c r="S594" s="39"/>
      <c r="T594" s="3" t="s">
        <v>645</v>
      </c>
      <c r="U594" s="77" t="str">
        <f t="shared" si="3785"/>
        <v/>
      </c>
      <c r="V594" s="39">
        <v>1</v>
      </c>
      <c r="W594" s="79">
        <f t="shared" si="3799"/>
        <v>0</v>
      </c>
      <c r="X594" s="3">
        <v>0</v>
      </c>
      <c r="Y594" s="77" t="str">
        <f t="shared" si="3786"/>
        <v/>
      </c>
      <c r="Z594" s="3"/>
      <c r="AA594" s="37" t="str">
        <f t="shared" si="3800"/>
        <v/>
      </c>
      <c r="AC594" s="40"/>
      <c r="AD594" s="7"/>
      <c r="AE594" s="77" t="str">
        <f t="shared" si="3787"/>
        <v/>
      </c>
      <c r="AF594" s="81">
        <f t="shared" si="3813"/>
        <v>0</v>
      </c>
      <c r="AG594" s="40"/>
      <c r="AH594" s="7"/>
      <c r="AI594" s="77" t="str">
        <f t="shared" si="3788"/>
        <v/>
      </c>
      <c r="AJ594" s="81">
        <f t="shared" si="3814"/>
        <v>0</v>
      </c>
      <c r="AK594" s="83">
        <f t="shared" si="3815"/>
        <v>0</v>
      </c>
      <c r="AL594" s="83">
        <f t="shared" si="3816"/>
        <v>0</v>
      </c>
      <c r="AN594" s="43">
        <f t="shared" si="3789"/>
        <v>0</v>
      </c>
      <c r="AP594" t="str">
        <f t="shared" si="3817"/>
        <v/>
      </c>
      <c r="AQ594" t="str">
        <f t="shared" si="3818"/>
        <v/>
      </c>
      <c r="AR594" t="str">
        <f t="shared" si="3819"/>
        <v/>
      </c>
      <c r="AS594" t="str">
        <f t="shared" si="3820"/>
        <v/>
      </c>
      <c r="AT594" t="str">
        <f t="shared" si="3821"/>
        <v/>
      </c>
      <c r="AU594" t="str">
        <f t="shared" si="3822"/>
        <v/>
      </c>
      <c r="AV594" t="str">
        <f t="shared" si="3823"/>
        <v/>
      </c>
      <c r="AW594" t="str">
        <f t="shared" si="3824"/>
        <v xml:space="preserve">                              </v>
      </c>
      <c r="AX594" s="23">
        <f t="shared" si="3825"/>
        <v>0</v>
      </c>
      <c r="AY594" s="49" t="str">
        <f t="shared" si="3801"/>
        <v>000000000000000</v>
      </c>
      <c r="AZ594" s="23">
        <f t="shared" si="3826"/>
        <v>0</v>
      </c>
      <c r="BA594" s="49" t="str">
        <f t="shared" si="3801"/>
        <v>000000000000000</v>
      </c>
      <c r="BB594" s="23">
        <f t="shared" si="3827"/>
        <v>0</v>
      </c>
      <c r="BC594" s="49" t="str">
        <f t="shared" ref="BC594" si="3870">IF(BB594&lt;0,SUBSTITUTE(TEXT(BB594,"000000000000,00"),",",""),SUBSTITUTE(TEXT(BB594,"0000000000000,00"),",",""))</f>
        <v>000000000000000</v>
      </c>
      <c r="BD594" s="23">
        <f t="shared" si="3829"/>
        <v>0</v>
      </c>
      <c r="BE594" s="49" t="str">
        <f t="shared" ref="BE594" si="3871">IF(BD594&lt;0,SUBSTITUTE(TEXT(BD594,"000000000000,00"),",",""),SUBSTITUTE(TEXT(BD594,"0000000000000,00"),",",""))</f>
        <v>000000000000000</v>
      </c>
      <c r="BF594" s="23">
        <f t="shared" si="3831"/>
        <v>0</v>
      </c>
      <c r="BG594" s="49" t="str">
        <f t="shared" ref="BG594" si="3872">IF(BF594&lt;0,SUBSTITUTE(TEXT(BF594,"000000000000,00"),",",""),SUBSTITUTE(TEXT(BF594,"0000000000000,00"),",",""))</f>
        <v>000000000000000</v>
      </c>
      <c r="BH594" s="23">
        <f t="shared" si="3833"/>
        <v>0</v>
      </c>
      <c r="BI594" s="49" t="str">
        <f t="shared" ref="BI594" si="3873">IF(BH594&lt;0,SUBSTITUTE(TEXT(BH594,"000000000000,00"),",",""),SUBSTITUTE(TEXT(BH594,"0000000000000,00"),",",""))</f>
        <v>000000000000000</v>
      </c>
      <c r="BJ594" s="23">
        <f t="shared" si="3835"/>
        <v>0</v>
      </c>
      <c r="BK594" s="49" t="str">
        <f t="shared" ref="BK594" si="3874">IF(BJ594&lt;0,SUBSTITUTE(TEXT(BJ594,"000000000000,00"),",",""),SUBSTITUTE(TEXT(BJ594,"0000000000000,00"),",",""))</f>
        <v>000000000000000</v>
      </c>
      <c r="BL594" s="23">
        <f t="shared" si="3837"/>
        <v>0</v>
      </c>
      <c r="BM594" s="49" t="str">
        <f t="shared" ref="BM594" si="3875">IF(BL594&lt;0,SUBSTITUTE(TEXT(BL594,"000000000000,00"),",",""),SUBSTITUTE(TEXT(BL594,"0000000000000,00"),",",""))</f>
        <v>000000000000000</v>
      </c>
      <c r="BN594" t="str">
        <f t="shared" si="3839"/>
        <v>PES</v>
      </c>
      <c r="BO594" t="str">
        <f t="shared" si="3840"/>
        <v>0001000000</v>
      </c>
      <c r="BP594">
        <f t="shared" si="3841"/>
        <v>0</v>
      </c>
      <c r="BQ594">
        <f t="shared" si="3842"/>
        <v>0</v>
      </c>
      <c r="BR594" s="23">
        <f t="shared" si="3843"/>
        <v>0</v>
      </c>
      <c r="BS594" s="49" t="str">
        <f t="shared" si="3808"/>
        <v>000000000000000</v>
      </c>
      <c r="BT594" t="str">
        <f t="shared" si="3844"/>
        <v>00000000</v>
      </c>
      <c r="BU594" s="23">
        <f t="shared" si="3845"/>
        <v>0</v>
      </c>
      <c r="BV594" s="49" t="str">
        <f t="shared" si="3809"/>
        <v/>
      </c>
      <c r="BW594" s="52" t="str">
        <f t="shared" si="3846"/>
        <v/>
      </c>
      <c r="BX594" s="23">
        <f t="shared" si="3847"/>
        <v>0</v>
      </c>
      <c r="BY594" s="49" t="str">
        <f t="shared" si="3810"/>
        <v/>
      </c>
      <c r="BZ594" s="23">
        <f t="shared" si="3848"/>
        <v>0</v>
      </c>
      <c r="CA594" s="49" t="str">
        <f t="shared" si="3811"/>
        <v/>
      </c>
      <c r="CB594" s="52" t="str">
        <f t="shared" si="3849"/>
        <v/>
      </c>
      <c r="CC594" s="23">
        <f t="shared" si="3850"/>
        <v>0</v>
      </c>
      <c r="CD594" s="49" t="str">
        <f t="shared" si="3812"/>
        <v/>
      </c>
      <c r="CE594" s="56" t="str">
        <f>IF(CF594="","",MAX(CE$10:$CE593)+1)</f>
        <v/>
      </c>
      <c r="CF594" t="str">
        <f t="shared" si="3851"/>
        <v/>
      </c>
      <c r="CG594" s="22" t="str">
        <f>IF(CH594="","",MAX($CG$10:CG593)+1)</f>
        <v/>
      </c>
      <c r="CH594" s="22" t="str">
        <f t="shared" si="3796"/>
        <v/>
      </c>
      <c r="CI594" s="22" t="str">
        <f>IF(CJ594="","",MAX($CI$10:CI593)+1)</f>
        <v/>
      </c>
      <c r="CJ594" s="22" t="str">
        <f t="shared" si="3797"/>
        <v/>
      </c>
    </row>
    <row r="595" spans="2:88" x14ac:dyDescent="0.25">
      <c r="B595" s="37"/>
      <c r="C595" s="3"/>
      <c r="D595" s="77" t="str">
        <f t="shared" si="3783"/>
        <v/>
      </c>
      <c r="E595" s="38"/>
      <c r="F595" s="38"/>
      <c r="G595" s="78">
        <f t="shared" si="3798"/>
        <v>0</v>
      </c>
      <c r="H595" s="3">
        <v>80</v>
      </c>
      <c r="I595" s="77" t="str">
        <f t="shared" si="3784"/>
        <v/>
      </c>
      <c r="J595" s="32"/>
      <c r="K595" s="3"/>
      <c r="L595" s="39"/>
      <c r="M595" s="39"/>
      <c r="N595" s="39"/>
      <c r="O595" s="39"/>
      <c r="P595" s="39"/>
      <c r="Q595" s="39"/>
      <c r="R595" s="39"/>
      <c r="S595" s="39"/>
      <c r="T595" s="3" t="s">
        <v>645</v>
      </c>
      <c r="U595" s="77" t="str">
        <f t="shared" si="3785"/>
        <v/>
      </c>
      <c r="V595" s="39">
        <v>1</v>
      </c>
      <c r="W595" s="79">
        <f t="shared" si="3799"/>
        <v>0</v>
      </c>
      <c r="X595" s="3">
        <v>0</v>
      </c>
      <c r="Y595" s="77" t="str">
        <f t="shared" si="3786"/>
        <v/>
      </c>
      <c r="Z595" s="3"/>
      <c r="AA595" s="37" t="str">
        <f t="shared" si="3800"/>
        <v/>
      </c>
      <c r="AC595" s="40"/>
      <c r="AD595" s="7"/>
      <c r="AE595" s="77" t="str">
        <f t="shared" si="3787"/>
        <v/>
      </c>
      <c r="AF595" s="81">
        <f t="shared" si="3813"/>
        <v>0</v>
      </c>
      <c r="AG595" s="40"/>
      <c r="AH595" s="7"/>
      <c r="AI595" s="77" t="str">
        <f t="shared" si="3788"/>
        <v/>
      </c>
      <c r="AJ595" s="81">
        <f t="shared" si="3814"/>
        <v>0</v>
      </c>
      <c r="AK595" s="83">
        <f t="shared" si="3815"/>
        <v>0</v>
      </c>
      <c r="AL595" s="83">
        <f t="shared" si="3816"/>
        <v>0</v>
      </c>
      <c r="AN595" s="43">
        <f t="shared" si="3789"/>
        <v>0</v>
      </c>
      <c r="AP595" t="str">
        <f t="shared" si="3817"/>
        <v/>
      </c>
      <c r="AQ595" t="str">
        <f t="shared" si="3818"/>
        <v/>
      </c>
      <c r="AR595" t="str">
        <f t="shared" si="3819"/>
        <v/>
      </c>
      <c r="AS595" t="str">
        <f t="shared" si="3820"/>
        <v/>
      </c>
      <c r="AT595" t="str">
        <f t="shared" si="3821"/>
        <v/>
      </c>
      <c r="AU595" t="str">
        <f t="shared" si="3822"/>
        <v/>
      </c>
      <c r="AV595" t="str">
        <f t="shared" si="3823"/>
        <v/>
      </c>
      <c r="AW595" t="str">
        <f t="shared" si="3824"/>
        <v xml:space="preserve">                              </v>
      </c>
      <c r="AX595" s="23">
        <f t="shared" si="3825"/>
        <v>0</v>
      </c>
      <c r="AY595" s="49" t="str">
        <f t="shared" si="3801"/>
        <v>000000000000000</v>
      </c>
      <c r="AZ595" s="23">
        <f t="shared" si="3826"/>
        <v>0</v>
      </c>
      <c r="BA595" s="49" t="str">
        <f t="shared" si="3801"/>
        <v>000000000000000</v>
      </c>
      <c r="BB595" s="23">
        <f t="shared" si="3827"/>
        <v>0</v>
      </c>
      <c r="BC595" s="49" t="str">
        <f t="shared" ref="BC595" si="3876">IF(BB595&lt;0,SUBSTITUTE(TEXT(BB595,"000000000000,00"),",",""),SUBSTITUTE(TEXT(BB595,"0000000000000,00"),",",""))</f>
        <v>000000000000000</v>
      </c>
      <c r="BD595" s="23">
        <f t="shared" si="3829"/>
        <v>0</v>
      </c>
      <c r="BE595" s="49" t="str">
        <f t="shared" ref="BE595" si="3877">IF(BD595&lt;0,SUBSTITUTE(TEXT(BD595,"000000000000,00"),",",""),SUBSTITUTE(TEXT(BD595,"0000000000000,00"),",",""))</f>
        <v>000000000000000</v>
      </c>
      <c r="BF595" s="23">
        <f t="shared" si="3831"/>
        <v>0</v>
      </c>
      <c r="BG595" s="49" t="str">
        <f t="shared" ref="BG595" si="3878">IF(BF595&lt;0,SUBSTITUTE(TEXT(BF595,"000000000000,00"),",",""),SUBSTITUTE(TEXT(BF595,"0000000000000,00"),",",""))</f>
        <v>000000000000000</v>
      </c>
      <c r="BH595" s="23">
        <f t="shared" si="3833"/>
        <v>0</v>
      </c>
      <c r="BI595" s="49" t="str">
        <f t="shared" ref="BI595" si="3879">IF(BH595&lt;0,SUBSTITUTE(TEXT(BH595,"000000000000,00"),",",""),SUBSTITUTE(TEXT(BH595,"0000000000000,00"),",",""))</f>
        <v>000000000000000</v>
      </c>
      <c r="BJ595" s="23">
        <f t="shared" si="3835"/>
        <v>0</v>
      </c>
      <c r="BK595" s="49" t="str">
        <f t="shared" ref="BK595" si="3880">IF(BJ595&lt;0,SUBSTITUTE(TEXT(BJ595,"000000000000,00"),",",""),SUBSTITUTE(TEXT(BJ595,"0000000000000,00"),",",""))</f>
        <v>000000000000000</v>
      </c>
      <c r="BL595" s="23">
        <f t="shared" si="3837"/>
        <v>0</v>
      </c>
      <c r="BM595" s="49" t="str">
        <f t="shared" ref="BM595" si="3881">IF(BL595&lt;0,SUBSTITUTE(TEXT(BL595,"000000000000,00"),",",""),SUBSTITUTE(TEXT(BL595,"0000000000000,00"),",",""))</f>
        <v>000000000000000</v>
      </c>
      <c r="BN595" t="str">
        <f t="shared" si="3839"/>
        <v>PES</v>
      </c>
      <c r="BO595" t="str">
        <f t="shared" si="3840"/>
        <v>0001000000</v>
      </c>
      <c r="BP595">
        <f t="shared" si="3841"/>
        <v>0</v>
      </c>
      <c r="BQ595">
        <f t="shared" si="3842"/>
        <v>0</v>
      </c>
      <c r="BR595" s="23">
        <f t="shared" si="3843"/>
        <v>0</v>
      </c>
      <c r="BS595" s="49" t="str">
        <f t="shared" si="3808"/>
        <v>000000000000000</v>
      </c>
      <c r="BT595" t="str">
        <f t="shared" si="3844"/>
        <v>00000000</v>
      </c>
      <c r="BU595" s="23">
        <f t="shared" si="3845"/>
        <v>0</v>
      </c>
      <c r="BV595" s="49" t="str">
        <f t="shared" si="3809"/>
        <v/>
      </c>
      <c r="BW595" s="52" t="str">
        <f t="shared" si="3846"/>
        <v/>
      </c>
      <c r="BX595" s="23">
        <f t="shared" si="3847"/>
        <v>0</v>
      </c>
      <c r="BY595" s="49" t="str">
        <f t="shared" si="3810"/>
        <v/>
      </c>
      <c r="BZ595" s="23">
        <f t="shared" si="3848"/>
        <v>0</v>
      </c>
      <c r="CA595" s="49" t="str">
        <f t="shared" si="3811"/>
        <v/>
      </c>
      <c r="CB595" s="52" t="str">
        <f t="shared" si="3849"/>
        <v/>
      </c>
      <c r="CC595" s="23">
        <f t="shared" si="3850"/>
        <v>0</v>
      </c>
      <c r="CD595" s="49" t="str">
        <f t="shared" si="3812"/>
        <v/>
      </c>
      <c r="CE595" s="56" t="str">
        <f>IF(CF595="","",MAX(CE$10:$CE594)+1)</f>
        <v/>
      </c>
      <c r="CF595" t="str">
        <f t="shared" si="3851"/>
        <v/>
      </c>
      <c r="CG595" s="22" t="str">
        <f>IF(CH595="","",MAX($CG$10:CG594)+1)</f>
        <v/>
      </c>
      <c r="CH595" s="22" t="str">
        <f t="shared" si="3796"/>
        <v/>
      </c>
      <c r="CI595" s="22" t="str">
        <f>IF(CJ595="","",MAX($CI$10:CI594)+1)</f>
        <v/>
      </c>
      <c r="CJ595" s="22" t="str">
        <f t="shared" si="3797"/>
        <v/>
      </c>
    </row>
    <row r="596" spans="2:88" x14ac:dyDescent="0.25">
      <c r="B596" s="37"/>
      <c r="C596" s="3"/>
      <c r="D596" s="77" t="str">
        <f t="shared" si="3783"/>
        <v/>
      </c>
      <c r="E596" s="38"/>
      <c r="F596" s="38"/>
      <c r="G596" s="78">
        <f t="shared" si="3798"/>
        <v>0</v>
      </c>
      <c r="H596" s="3">
        <v>80</v>
      </c>
      <c r="I596" s="77" t="str">
        <f t="shared" si="3784"/>
        <v/>
      </c>
      <c r="J596" s="32"/>
      <c r="K596" s="3"/>
      <c r="L596" s="39"/>
      <c r="M596" s="39"/>
      <c r="N596" s="39"/>
      <c r="O596" s="39"/>
      <c r="P596" s="39"/>
      <c r="Q596" s="39"/>
      <c r="R596" s="39"/>
      <c r="S596" s="39"/>
      <c r="T596" s="3" t="s">
        <v>645</v>
      </c>
      <c r="U596" s="77" t="str">
        <f t="shared" si="3785"/>
        <v/>
      </c>
      <c r="V596" s="39">
        <v>1</v>
      </c>
      <c r="W596" s="79">
        <f t="shared" si="3799"/>
        <v>0</v>
      </c>
      <c r="X596" s="3">
        <v>0</v>
      </c>
      <c r="Y596" s="77" t="str">
        <f t="shared" si="3786"/>
        <v/>
      </c>
      <c r="Z596" s="3"/>
      <c r="AA596" s="37" t="str">
        <f t="shared" si="3800"/>
        <v/>
      </c>
      <c r="AC596" s="40"/>
      <c r="AD596" s="7"/>
      <c r="AE596" s="77" t="str">
        <f t="shared" si="3787"/>
        <v/>
      </c>
      <c r="AF596" s="81">
        <f t="shared" si="3813"/>
        <v>0</v>
      </c>
      <c r="AG596" s="40"/>
      <c r="AH596" s="7"/>
      <c r="AI596" s="77" t="str">
        <f t="shared" si="3788"/>
        <v/>
      </c>
      <c r="AJ596" s="81">
        <f t="shared" si="3814"/>
        <v>0</v>
      </c>
      <c r="AK596" s="83">
        <f t="shared" si="3815"/>
        <v>0</v>
      </c>
      <c r="AL596" s="83">
        <f t="shared" si="3816"/>
        <v>0</v>
      </c>
      <c r="AN596" s="43">
        <f t="shared" si="3789"/>
        <v>0</v>
      </c>
      <c r="AP596" t="str">
        <f t="shared" si="3817"/>
        <v/>
      </c>
      <c r="AQ596" t="str">
        <f t="shared" si="3818"/>
        <v/>
      </c>
      <c r="AR596" t="str">
        <f t="shared" si="3819"/>
        <v/>
      </c>
      <c r="AS596" t="str">
        <f t="shared" si="3820"/>
        <v/>
      </c>
      <c r="AT596" t="str">
        <f t="shared" si="3821"/>
        <v/>
      </c>
      <c r="AU596" t="str">
        <f t="shared" si="3822"/>
        <v/>
      </c>
      <c r="AV596" t="str">
        <f t="shared" si="3823"/>
        <v/>
      </c>
      <c r="AW596" t="str">
        <f t="shared" si="3824"/>
        <v xml:space="preserve">                              </v>
      </c>
      <c r="AX596" s="23">
        <f t="shared" si="3825"/>
        <v>0</v>
      </c>
      <c r="AY596" s="49" t="str">
        <f t="shared" si="3801"/>
        <v>000000000000000</v>
      </c>
      <c r="AZ596" s="23">
        <f t="shared" si="3826"/>
        <v>0</v>
      </c>
      <c r="BA596" s="49" t="str">
        <f t="shared" si="3801"/>
        <v>000000000000000</v>
      </c>
      <c r="BB596" s="23">
        <f t="shared" si="3827"/>
        <v>0</v>
      </c>
      <c r="BC596" s="49" t="str">
        <f t="shared" ref="BC596" si="3882">IF(BB596&lt;0,SUBSTITUTE(TEXT(BB596,"000000000000,00"),",",""),SUBSTITUTE(TEXT(BB596,"0000000000000,00"),",",""))</f>
        <v>000000000000000</v>
      </c>
      <c r="BD596" s="23">
        <f t="shared" si="3829"/>
        <v>0</v>
      </c>
      <c r="BE596" s="49" t="str">
        <f t="shared" ref="BE596" si="3883">IF(BD596&lt;0,SUBSTITUTE(TEXT(BD596,"000000000000,00"),",",""),SUBSTITUTE(TEXT(BD596,"0000000000000,00"),",",""))</f>
        <v>000000000000000</v>
      </c>
      <c r="BF596" s="23">
        <f t="shared" si="3831"/>
        <v>0</v>
      </c>
      <c r="BG596" s="49" t="str">
        <f t="shared" ref="BG596" si="3884">IF(BF596&lt;0,SUBSTITUTE(TEXT(BF596,"000000000000,00"),",",""),SUBSTITUTE(TEXT(BF596,"0000000000000,00"),",",""))</f>
        <v>000000000000000</v>
      </c>
      <c r="BH596" s="23">
        <f t="shared" si="3833"/>
        <v>0</v>
      </c>
      <c r="BI596" s="49" t="str">
        <f t="shared" ref="BI596" si="3885">IF(BH596&lt;0,SUBSTITUTE(TEXT(BH596,"000000000000,00"),",",""),SUBSTITUTE(TEXT(BH596,"0000000000000,00"),",",""))</f>
        <v>000000000000000</v>
      </c>
      <c r="BJ596" s="23">
        <f t="shared" si="3835"/>
        <v>0</v>
      </c>
      <c r="BK596" s="49" t="str">
        <f t="shared" ref="BK596" si="3886">IF(BJ596&lt;0,SUBSTITUTE(TEXT(BJ596,"000000000000,00"),",",""),SUBSTITUTE(TEXT(BJ596,"0000000000000,00"),",",""))</f>
        <v>000000000000000</v>
      </c>
      <c r="BL596" s="23">
        <f t="shared" si="3837"/>
        <v>0</v>
      </c>
      <c r="BM596" s="49" t="str">
        <f t="shared" ref="BM596" si="3887">IF(BL596&lt;0,SUBSTITUTE(TEXT(BL596,"000000000000,00"),",",""),SUBSTITUTE(TEXT(BL596,"0000000000000,00"),",",""))</f>
        <v>000000000000000</v>
      </c>
      <c r="BN596" t="str">
        <f t="shared" si="3839"/>
        <v>PES</v>
      </c>
      <c r="BO596" t="str">
        <f t="shared" si="3840"/>
        <v>0001000000</v>
      </c>
      <c r="BP596">
        <f t="shared" si="3841"/>
        <v>0</v>
      </c>
      <c r="BQ596">
        <f t="shared" si="3842"/>
        <v>0</v>
      </c>
      <c r="BR596" s="23">
        <f t="shared" si="3843"/>
        <v>0</v>
      </c>
      <c r="BS596" s="49" t="str">
        <f t="shared" si="3808"/>
        <v>000000000000000</v>
      </c>
      <c r="BT596" t="str">
        <f t="shared" si="3844"/>
        <v>00000000</v>
      </c>
      <c r="BU596" s="23">
        <f t="shared" si="3845"/>
        <v>0</v>
      </c>
      <c r="BV596" s="49" t="str">
        <f t="shared" si="3809"/>
        <v/>
      </c>
      <c r="BW596" s="52" t="str">
        <f t="shared" si="3846"/>
        <v/>
      </c>
      <c r="BX596" s="23">
        <f t="shared" si="3847"/>
        <v>0</v>
      </c>
      <c r="BY596" s="49" t="str">
        <f t="shared" si="3810"/>
        <v/>
      </c>
      <c r="BZ596" s="23">
        <f t="shared" si="3848"/>
        <v>0</v>
      </c>
      <c r="CA596" s="49" t="str">
        <f t="shared" si="3811"/>
        <v/>
      </c>
      <c r="CB596" s="52" t="str">
        <f t="shared" si="3849"/>
        <v/>
      </c>
      <c r="CC596" s="23">
        <f t="shared" si="3850"/>
        <v>0</v>
      </c>
      <c r="CD596" s="49" t="str">
        <f t="shared" si="3812"/>
        <v/>
      </c>
      <c r="CE596" s="56" t="str">
        <f>IF(CF596="","",MAX(CE$10:$CE595)+1)</f>
        <v/>
      </c>
      <c r="CF596" t="str">
        <f t="shared" si="3851"/>
        <v/>
      </c>
      <c r="CG596" s="22" t="str">
        <f>IF(CH596="","",MAX($CG$10:CG595)+1)</f>
        <v/>
      </c>
      <c r="CH596" s="22" t="str">
        <f t="shared" si="3796"/>
        <v/>
      </c>
      <c r="CI596" s="22" t="str">
        <f>IF(CJ596="","",MAX($CI$10:CI595)+1)</f>
        <v/>
      </c>
      <c r="CJ596" s="22" t="str">
        <f t="shared" si="3797"/>
        <v/>
      </c>
    </row>
    <row r="597" spans="2:88" x14ac:dyDescent="0.25">
      <c r="B597" s="37"/>
      <c r="C597" s="3"/>
      <c r="D597" s="77" t="str">
        <f t="shared" si="3783"/>
        <v/>
      </c>
      <c r="E597" s="38"/>
      <c r="F597" s="38"/>
      <c r="G597" s="78">
        <f t="shared" si="3798"/>
        <v>0</v>
      </c>
      <c r="H597" s="3">
        <v>80</v>
      </c>
      <c r="I597" s="77" t="str">
        <f t="shared" si="3784"/>
        <v/>
      </c>
      <c r="J597" s="32"/>
      <c r="K597" s="3"/>
      <c r="L597" s="39"/>
      <c r="M597" s="39"/>
      <c r="N597" s="39"/>
      <c r="O597" s="39"/>
      <c r="P597" s="39"/>
      <c r="Q597" s="39"/>
      <c r="R597" s="39"/>
      <c r="S597" s="39"/>
      <c r="T597" s="3" t="s">
        <v>645</v>
      </c>
      <c r="U597" s="77" t="str">
        <f t="shared" si="3785"/>
        <v/>
      </c>
      <c r="V597" s="39">
        <v>1</v>
      </c>
      <c r="W597" s="79">
        <f t="shared" si="3799"/>
        <v>0</v>
      </c>
      <c r="X597" s="3">
        <v>0</v>
      </c>
      <c r="Y597" s="77" t="str">
        <f t="shared" si="3786"/>
        <v/>
      </c>
      <c r="Z597" s="3"/>
      <c r="AA597" s="37" t="str">
        <f t="shared" si="3800"/>
        <v/>
      </c>
      <c r="AC597" s="40"/>
      <c r="AD597" s="7"/>
      <c r="AE597" s="77" t="str">
        <f t="shared" si="3787"/>
        <v/>
      </c>
      <c r="AF597" s="81">
        <f t="shared" si="3813"/>
        <v>0</v>
      </c>
      <c r="AG597" s="40"/>
      <c r="AH597" s="7"/>
      <c r="AI597" s="77" t="str">
        <f t="shared" si="3788"/>
        <v/>
      </c>
      <c r="AJ597" s="81">
        <f t="shared" si="3814"/>
        <v>0</v>
      </c>
      <c r="AK597" s="83">
        <f t="shared" si="3815"/>
        <v>0</v>
      </c>
      <c r="AL597" s="83">
        <f t="shared" si="3816"/>
        <v>0</v>
      </c>
      <c r="AN597" s="43">
        <f t="shared" si="3789"/>
        <v>0</v>
      </c>
      <c r="AP597" t="str">
        <f t="shared" si="3817"/>
        <v/>
      </c>
      <c r="AQ597" t="str">
        <f t="shared" si="3818"/>
        <v/>
      </c>
      <c r="AR597" t="str">
        <f t="shared" si="3819"/>
        <v/>
      </c>
      <c r="AS597" t="str">
        <f t="shared" si="3820"/>
        <v/>
      </c>
      <c r="AT597" t="str">
        <f t="shared" si="3821"/>
        <v/>
      </c>
      <c r="AU597" t="str">
        <f t="shared" si="3822"/>
        <v/>
      </c>
      <c r="AV597" t="str">
        <f t="shared" si="3823"/>
        <v/>
      </c>
      <c r="AW597" t="str">
        <f t="shared" si="3824"/>
        <v xml:space="preserve">                              </v>
      </c>
      <c r="AX597" s="23">
        <f t="shared" si="3825"/>
        <v>0</v>
      </c>
      <c r="AY597" s="49" t="str">
        <f t="shared" si="3801"/>
        <v>000000000000000</v>
      </c>
      <c r="AZ597" s="23">
        <f t="shared" si="3826"/>
        <v>0</v>
      </c>
      <c r="BA597" s="49" t="str">
        <f t="shared" si="3801"/>
        <v>000000000000000</v>
      </c>
      <c r="BB597" s="23">
        <f t="shared" si="3827"/>
        <v>0</v>
      </c>
      <c r="BC597" s="49" t="str">
        <f t="shared" ref="BC597" si="3888">IF(BB597&lt;0,SUBSTITUTE(TEXT(BB597,"000000000000,00"),",",""),SUBSTITUTE(TEXT(BB597,"0000000000000,00"),",",""))</f>
        <v>000000000000000</v>
      </c>
      <c r="BD597" s="23">
        <f t="shared" si="3829"/>
        <v>0</v>
      </c>
      <c r="BE597" s="49" t="str">
        <f t="shared" ref="BE597" si="3889">IF(BD597&lt;0,SUBSTITUTE(TEXT(BD597,"000000000000,00"),",",""),SUBSTITUTE(TEXT(BD597,"0000000000000,00"),",",""))</f>
        <v>000000000000000</v>
      </c>
      <c r="BF597" s="23">
        <f t="shared" si="3831"/>
        <v>0</v>
      </c>
      <c r="BG597" s="49" t="str">
        <f t="shared" ref="BG597" si="3890">IF(BF597&lt;0,SUBSTITUTE(TEXT(BF597,"000000000000,00"),",",""),SUBSTITUTE(TEXT(BF597,"0000000000000,00"),",",""))</f>
        <v>000000000000000</v>
      </c>
      <c r="BH597" s="23">
        <f t="shared" si="3833"/>
        <v>0</v>
      </c>
      <c r="BI597" s="49" t="str">
        <f t="shared" ref="BI597" si="3891">IF(BH597&lt;0,SUBSTITUTE(TEXT(BH597,"000000000000,00"),",",""),SUBSTITUTE(TEXT(BH597,"0000000000000,00"),",",""))</f>
        <v>000000000000000</v>
      </c>
      <c r="BJ597" s="23">
        <f t="shared" si="3835"/>
        <v>0</v>
      </c>
      <c r="BK597" s="49" t="str">
        <f t="shared" ref="BK597" si="3892">IF(BJ597&lt;0,SUBSTITUTE(TEXT(BJ597,"000000000000,00"),",",""),SUBSTITUTE(TEXT(BJ597,"0000000000000,00"),",",""))</f>
        <v>000000000000000</v>
      </c>
      <c r="BL597" s="23">
        <f t="shared" si="3837"/>
        <v>0</v>
      </c>
      <c r="BM597" s="49" t="str">
        <f t="shared" ref="BM597" si="3893">IF(BL597&lt;0,SUBSTITUTE(TEXT(BL597,"000000000000,00"),",",""),SUBSTITUTE(TEXT(BL597,"0000000000000,00"),",",""))</f>
        <v>000000000000000</v>
      </c>
      <c r="BN597" t="str">
        <f t="shared" si="3839"/>
        <v>PES</v>
      </c>
      <c r="BO597" t="str">
        <f t="shared" si="3840"/>
        <v>0001000000</v>
      </c>
      <c r="BP597">
        <f t="shared" si="3841"/>
        <v>0</v>
      </c>
      <c r="BQ597">
        <f t="shared" si="3842"/>
        <v>0</v>
      </c>
      <c r="BR597" s="23">
        <f t="shared" si="3843"/>
        <v>0</v>
      </c>
      <c r="BS597" s="49" t="str">
        <f t="shared" si="3808"/>
        <v>000000000000000</v>
      </c>
      <c r="BT597" t="str">
        <f t="shared" si="3844"/>
        <v>00000000</v>
      </c>
      <c r="BU597" s="23">
        <f t="shared" si="3845"/>
        <v>0</v>
      </c>
      <c r="BV597" s="49" t="str">
        <f t="shared" si="3809"/>
        <v/>
      </c>
      <c r="BW597" s="52" t="str">
        <f t="shared" si="3846"/>
        <v/>
      </c>
      <c r="BX597" s="23">
        <f t="shared" si="3847"/>
        <v>0</v>
      </c>
      <c r="BY597" s="49" t="str">
        <f t="shared" si="3810"/>
        <v/>
      </c>
      <c r="BZ597" s="23">
        <f t="shared" si="3848"/>
        <v>0</v>
      </c>
      <c r="CA597" s="49" t="str">
        <f t="shared" si="3811"/>
        <v/>
      </c>
      <c r="CB597" s="52" t="str">
        <f t="shared" si="3849"/>
        <v/>
      </c>
      <c r="CC597" s="23">
        <f t="shared" si="3850"/>
        <v>0</v>
      </c>
      <c r="CD597" s="49" t="str">
        <f t="shared" si="3812"/>
        <v/>
      </c>
      <c r="CE597" s="56" t="str">
        <f>IF(CF597="","",MAX(CE$10:$CE596)+1)</f>
        <v/>
      </c>
      <c r="CF597" t="str">
        <f t="shared" si="3851"/>
        <v/>
      </c>
      <c r="CG597" s="22" t="str">
        <f>IF(CH597="","",MAX($CG$10:CG596)+1)</f>
        <v/>
      </c>
      <c r="CH597" s="22" t="str">
        <f t="shared" si="3796"/>
        <v/>
      </c>
      <c r="CI597" s="22" t="str">
        <f>IF(CJ597="","",MAX($CI$10:CI596)+1)</f>
        <v/>
      </c>
      <c r="CJ597" s="22" t="str">
        <f t="shared" si="3797"/>
        <v/>
      </c>
    </row>
    <row r="598" spans="2:88" x14ac:dyDescent="0.25">
      <c r="B598" s="37"/>
      <c r="C598" s="3"/>
      <c r="D598" s="77" t="str">
        <f t="shared" si="3783"/>
        <v/>
      </c>
      <c r="E598" s="38"/>
      <c r="F598" s="38"/>
      <c r="G598" s="78">
        <f t="shared" si="3798"/>
        <v>0</v>
      </c>
      <c r="H598" s="3">
        <v>80</v>
      </c>
      <c r="I598" s="77" t="str">
        <f t="shared" si="3784"/>
        <v/>
      </c>
      <c r="J598" s="32"/>
      <c r="K598" s="3"/>
      <c r="L598" s="39"/>
      <c r="M598" s="39"/>
      <c r="N598" s="39"/>
      <c r="O598" s="39"/>
      <c r="P598" s="39"/>
      <c r="Q598" s="39"/>
      <c r="R598" s="39"/>
      <c r="S598" s="39"/>
      <c r="T598" s="3" t="s">
        <v>645</v>
      </c>
      <c r="U598" s="77" t="str">
        <f t="shared" si="3785"/>
        <v/>
      </c>
      <c r="V598" s="39">
        <v>1</v>
      </c>
      <c r="W598" s="79">
        <f t="shared" si="3799"/>
        <v>0</v>
      </c>
      <c r="X598" s="3">
        <v>0</v>
      </c>
      <c r="Y598" s="77" t="str">
        <f t="shared" si="3786"/>
        <v/>
      </c>
      <c r="Z598" s="3"/>
      <c r="AA598" s="37" t="str">
        <f t="shared" si="3800"/>
        <v/>
      </c>
      <c r="AC598" s="40"/>
      <c r="AD598" s="7"/>
      <c r="AE598" s="77" t="str">
        <f t="shared" si="3787"/>
        <v/>
      </c>
      <c r="AF598" s="81">
        <f t="shared" si="3813"/>
        <v>0</v>
      </c>
      <c r="AG598" s="40"/>
      <c r="AH598" s="7"/>
      <c r="AI598" s="77" t="str">
        <f t="shared" si="3788"/>
        <v/>
      </c>
      <c r="AJ598" s="81">
        <f t="shared" si="3814"/>
        <v>0</v>
      </c>
      <c r="AK598" s="83">
        <f t="shared" si="3815"/>
        <v>0</v>
      </c>
      <c r="AL598" s="83">
        <f t="shared" si="3816"/>
        <v>0</v>
      </c>
      <c r="AN598" s="43">
        <f t="shared" si="3789"/>
        <v>0</v>
      </c>
      <c r="AP598" t="str">
        <f t="shared" si="3817"/>
        <v/>
      </c>
      <c r="AQ598" t="str">
        <f t="shared" si="3818"/>
        <v/>
      </c>
      <c r="AR598" t="str">
        <f t="shared" si="3819"/>
        <v/>
      </c>
      <c r="AS598" t="str">
        <f t="shared" si="3820"/>
        <v/>
      </c>
      <c r="AT598" t="str">
        <f t="shared" si="3821"/>
        <v/>
      </c>
      <c r="AU598" t="str">
        <f t="shared" si="3822"/>
        <v/>
      </c>
      <c r="AV598" t="str">
        <f t="shared" si="3823"/>
        <v/>
      </c>
      <c r="AW598" t="str">
        <f t="shared" si="3824"/>
        <v xml:space="preserve">                              </v>
      </c>
      <c r="AX598" s="23">
        <f t="shared" si="3825"/>
        <v>0</v>
      </c>
      <c r="AY598" s="49" t="str">
        <f t="shared" si="3801"/>
        <v>000000000000000</v>
      </c>
      <c r="AZ598" s="23">
        <f t="shared" si="3826"/>
        <v>0</v>
      </c>
      <c r="BA598" s="49" t="str">
        <f t="shared" si="3801"/>
        <v>000000000000000</v>
      </c>
      <c r="BB598" s="23">
        <f t="shared" si="3827"/>
        <v>0</v>
      </c>
      <c r="BC598" s="49" t="str">
        <f t="shared" ref="BC598" si="3894">IF(BB598&lt;0,SUBSTITUTE(TEXT(BB598,"000000000000,00"),",",""),SUBSTITUTE(TEXT(BB598,"0000000000000,00"),",",""))</f>
        <v>000000000000000</v>
      </c>
      <c r="BD598" s="23">
        <f t="shared" si="3829"/>
        <v>0</v>
      </c>
      <c r="BE598" s="49" t="str">
        <f t="shared" ref="BE598" si="3895">IF(BD598&lt;0,SUBSTITUTE(TEXT(BD598,"000000000000,00"),",",""),SUBSTITUTE(TEXT(BD598,"0000000000000,00"),",",""))</f>
        <v>000000000000000</v>
      </c>
      <c r="BF598" s="23">
        <f t="shared" si="3831"/>
        <v>0</v>
      </c>
      <c r="BG598" s="49" t="str">
        <f t="shared" ref="BG598" si="3896">IF(BF598&lt;0,SUBSTITUTE(TEXT(BF598,"000000000000,00"),",",""),SUBSTITUTE(TEXT(BF598,"0000000000000,00"),",",""))</f>
        <v>000000000000000</v>
      </c>
      <c r="BH598" s="23">
        <f t="shared" si="3833"/>
        <v>0</v>
      </c>
      <c r="BI598" s="49" t="str">
        <f t="shared" ref="BI598" si="3897">IF(BH598&lt;0,SUBSTITUTE(TEXT(BH598,"000000000000,00"),",",""),SUBSTITUTE(TEXT(BH598,"0000000000000,00"),",",""))</f>
        <v>000000000000000</v>
      </c>
      <c r="BJ598" s="23">
        <f t="shared" si="3835"/>
        <v>0</v>
      </c>
      <c r="BK598" s="49" t="str">
        <f t="shared" ref="BK598" si="3898">IF(BJ598&lt;0,SUBSTITUTE(TEXT(BJ598,"000000000000,00"),",",""),SUBSTITUTE(TEXT(BJ598,"0000000000000,00"),",",""))</f>
        <v>000000000000000</v>
      </c>
      <c r="BL598" s="23">
        <f t="shared" si="3837"/>
        <v>0</v>
      </c>
      <c r="BM598" s="49" t="str">
        <f t="shared" ref="BM598" si="3899">IF(BL598&lt;0,SUBSTITUTE(TEXT(BL598,"000000000000,00"),",",""),SUBSTITUTE(TEXT(BL598,"0000000000000,00"),",",""))</f>
        <v>000000000000000</v>
      </c>
      <c r="BN598" t="str">
        <f t="shared" si="3839"/>
        <v>PES</v>
      </c>
      <c r="BO598" t="str">
        <f t="shared" si="3840"/>
        <v>0001000000</v>
      </c>
      <c r="BP598">
        <f t="shared" si="3841"/>
        <v>0</v>
      </c>
      <c r="BQ598">
        <f t="shared" si="3842"/>
        <v>0</v>
      </c>
      <c r="BR598" s="23">
        <f t="shared" si="3843"/>
        <v>0</v>
      </c>
      <c r="BS598" s="49" t="str">
        <f t="shared" si="3808"/>
        <v>000000000000000</v>
      </c>
      <c r="BT598" t="str">
        <f t="shared" si="3844"/>
        <v>00000000</v>
      </c>
      <c r="BU598" s="23">
        <f t="shared" si="3845"/>
        <v>0</v>
      </c>
      <c r="BV598" s="49" t="str">
        <f t="shared" si="3809"/>
        <v/>
      </c>
      <c r="BW598" s="52" t="str">
        <f t="shared" si="3846"/>
        <v/>
      </c>
      <c r="BX598" s="23">
        <f t="shared" si="3847"/>
        <v>0</v>
      </c>
      <c r="BY598" s="49" t="str">
        <f t="shared" si="3810"/>
        <v/>
      </c>
      <c r="BZ598" s="23">
        <f t="shared" si="3848"/>
        <v>0</v>
      </c>
      <c r="CA598" s="49" t="str">
        <f t="shared" si="3811"/>
        <v/>
      </c>
      <c r="CB598" s="52" t="str">
        <f t="shared" si="3849"/>
        <v/>
      </c>
      <c r="CC598" s="23">
        <f t="shared" si="3850"/>
        <v>0</v>
      </c>
      <c r="CD598" s="49" t="str">
        <f t="shared" si="3812"/>
        <v/>
      </c>
      <c r="CE598" s="56" t="str">
        <f>IF(CF598="","",MAX(CE$10:$CE597)+1)</f>
        <v/>
      </c>
      <c r="CF598" t="str">
        <f t="shared" si="3851"/>
        <v/>
      </c>
      <c r="CG598" s="22" t="str">
        <f>IF(CH598="","",MAX($CG$10:CG597)+1)</f>
        <v/>
      </c>
      <c r="CH598" s="22" t="str">
        <f t="shared" si="3796"/>
        <v/>
      </c>
      <c r="CI598" s="22" t="str">
        <f>IF(CJ598="","",MAX($CI$10:CI597)+1)</f>
        <v/>
      </c>
      <c r="CJ598" s="22" t="str">
        <f t="shared" si="3797"/>
        <v/>
      </c>
    </row>
    <row r="599" spans="2:88" x14ac:dyDescent="0.25">
      <c r="B599" s="37"/>
      <c r="C599" s="3"/>
      <c r="D599" s="77" t="str">
        <f t="shared" si="3783"/>
        <v/>
      </c>
      <c r="E599" s="38"/>
      <c r="F599" s="38"/>
      <c r="G599" s="78">
        <f t="shared" si="3798"/>
        <v>0</v>
      </c>
      <c r="H599" s="3">
        <v>80</v>
      </c>
      <c r="I599" s="77" t="str">
        <f t="shared" si="3784"/>
        <v/>
      </c>
      <c r="J599" s="32"/>
      <c r="K599" s="3"/>
      <c r="L599" s="39"/>
      <c r="M599" s="39"/>
      <c r="N599" s="39"/>
      <c r="O599" s="39"/>
      <c r="P599" s="39"/>
      <c r="Q599" s="39"/>
      <c r="R599" s="39"/>
      <c r="S599" s="39"/>
      <c r="T599" s="3" t="s">
        <v>645</v>
      </c>
      <c r="U599" s="77" t="str">
        <f t="shared" si="3785"/>
        <v/>
      </c>
      <c r="V599" s="39">
        <v>1</v>
      </c>
      <c r="W599" s="79">
        <f t="shared" si="3799"/>
        <v>0</v>
      </c>
      <c r="X599" s="3">
        <v>0</v>
      </c>
      <c r="Y599" s="77" t="str">
        <f t="shared" si="3786"/>
        <v/>
      </c>
      <c r="Z599" s="3"/>
      <c r="AA599" s="37" t="str">
        <f t="shared" si="3800"/>
        <v/>
      </c>
      <c r="AC599" s="40"/>
      <c r="AD599" s="7"/>
      <c r="AE599" s="77" t="str">
        <f t="shared" si="3787"/>
        <v/>
      </c>
      <c r="AF599" s="81">
        <f t="shared" si="3813"/>
        <v>0</v>
      </c>
      <c r="AG599" s="40"/>
      <c r="AH599" s="7"/>
      <c r="AI599" s="77" t="str">
        <f t="shared" si="3788"/>
        <v/>
      </c>
      <c r="AJ599" s="81">
        <f t="shared" si="3814"/>
        <v>0</v>
      </c>
      <c r="AK599" s="83">
        <f t="shared" si="3815"/>
        <v>0</v>
      </c>
      <c r="AL599" s="83">
        <f t="shared" si="3816"/>
        <v>0</v>
      </c>
      <c r="AN599" s="43">
        <f t="shared" si="3789"/>
        <v>0</v>
      </c>
      <c r="AP599" t="str">
        <f t="shared" si="3817"/>
        <v/>
      </c>
      <c r="AQ599" t="str">
        <f t="shared" si="3818"/>
        <v/>
      </c>
      <c r="AR599" t="str">
        <f t="shared" si="3819"/>
        <v/>
      </c>
      <c r="AS599" t="str">
        <f t="shared" si="3820"/>
        <v/>
      </c>
      <c r="AT599" t="str">
        <f t="shared" si="3821"/>
        <v/>
      </c>
      <c r="AU599" t="str">
        <f t="shared" si="3822"/>
        <v/>
      </c>
      <c r="AV599" t="str">
        <f t="shared" si="3823"/>
        <v/>
      </c>
      <c r="AW599" t="str">
        <f t="shared" si="3824"/>
        <v xml:space="preserve">                              </v>
      </c>
      <c r="AX599" s="23">
        <f t="shared" si="3825"/>
        <v>0</v>
      </c>
      <c r="AY599" s="49" t="str">
        <f t="shared" si="3801"/>
        <v>000000000000000</v>
      </c>
      <c r="AZ599" s="23">
        <f t="shared" si="3826"/>
        <v>0</v>
      </c>
      <c r="BA599" s="49" t="str">
        <f t="shared" si="3801"/>
        <v>000000000000000</v>
      </c>
      <c r="BB599" s="23">
        <f t="shared" si="3827"/>
        <v>0</v>
      </c>
      <c r="BC599" s="49" t="str">
        <f t="shared" ref="BC599" si="3900">IF(BB599&lt;0,SUBSTITUTE(TEXT(BB599,"000000000000,00"),",",""),SUBSTITUTE(TEXT(BB599,"0000000000000,00"),",",""))</f>
        <v>000000000000000</v>
      </c>
      <c r="BD599" s="23">
        <f t="shared" si="3829"/>
        <v>0</v>
      </c>
      <c r="BE599" s="49" t="str">
        <f t="shared" ref="BE599" si="3901">IF(BD599&lt;0,SUBSTITUTE(TEXT(BD599,"000000000000,00"),",",""),SUBSTITUTE(TEXT(BD599,"0000000000000,00"),",",""))</f>
        <v>000000000000000</v>
      </c>
      <c r="BF599" s="23">
        <f t="shared" si="3831"/>
        <v>0</v>
      </c>
      <c r="BG599" s="49" t="str">
        <f t="shared" ref="BG599" si="3902">IF(BF599&lt;0,SUBSTITUTE(TEXT(BF599,"000000000000,00"),",",""),SUBSTITUTE(TEXT(BF599,"0000000000000,00"),",",""))</f>
        <v>000000000000000</v>
      </c>
      <c r="BH599" s="23">
        <f t="shared" si="3833"/>
        <v>0</v>
      </c>
      <c r="BI599" s="49" t="str">
        <f t="shared" ref="BI599" si="3903">IF(BH599&lt;0,SUBSTITUTE(TEXT(BH599,"000000000000,00"),",",""),SUBSTITUTE(TEXT(BH599,"0000000000000,00"),",",""))</f>
        <v>000000000000000</v>
      </c>
      <c r="BJ599" s="23">
        <f t="shared" si="3835"/>
        <v>0</v>
      </c>
      <c r="BK599" s="49" t="str">
        <f t="shared" ref="BK599" si="3904">IF(BJ599&lt;0,SUBSTITUTE(TEXT(BJ599,"000000000000,00"),",",""),SUBSTITUTE(TEXT(BJ599,"0000000000000,00"),",",""))</f>
        <v>000000000000000</v>
      </c>
      <c r="BL599" s="23">
        <f t="shared" si="3837"/>
        <v>0</v>
      </c>
      <c r="BM599" s="49" t="str">
        <f t="shared" ref="BM599" si="3905">IF(BL599&lt;0,SUBSTITUTE(TEXT(BL599,"000000000000,00"),",",""),SUBSTITUTE(TEXT(BL599,"0000000000000,00"),",",""))</f>
        <v>000000000000000</v>
      </c>
      <c r="BN599" t="str">
        <f t="shared" si="3839"/>
        <v>PES</v>
      </c>
      <c r="BO599" t="str">
        <f t="shared" si="3840"/>
        <v>0001000000</v>
      </c>
      <c r="BP599">
        <f t="shared" si="3841"/>
        <v>0</v>
      </c>
      <c r="BQ599">
        <f t="shared" si="3842"/>
        <v>0</v>
      </c>
      <c r="BR599" s="23">
        <f t="shared" si="3843"/>
        <v>0</v>
      </c>
      <c r="BS599" s="49" t="str">
        <f t="shared" si="3808"/>
        <v>000000000000000</v>
      </c>
      <c r="BT599" t="str">
        <f t="shared" si="3844"/>
        <v>00000000</v>
      </c>
      <c r="BU599" s="23">
        <f t="shared" si="3845"/>
        <v>0</v>
      </c>
      <c r="BV599" s="49" t="str">
        <f t="shared" si="3809"/>
        <v/>
      </c>
      <c r="BW599" s="52" t="str">
        <f t="shared" si="3846"/>
        <v/>
      </c>
      <c r="BX599" s="23">
        <f t="shared" si="3847"/>
        <v>0</v>
      </c>
      <c r="BY599" s="49" t="str">
        <f t="shared" si="3810"/>
        <v/>
      </c>
      <c r="BZ599" s="23">
        <f t="shared" si="3848"/>
        <v>0</v>
      </c>
      <c r="CA599" s="49" t="str">
        <f t="shared" si="3811"/>
        <v/>
      </c>
      <c r="CB599" s="52" t="str">
        <f t="shared" si="3849"/>
        <v/>
      </c>
      <c r="CC599" s="23">
        <f t="shared" si="3850"/>
        <v>0</v>
      </c>
      <c r="CD599" s="49" t="str">
        <f t="shared" si="3812"/>
        <v/>
      </c>
      <c r="CE599" s="56" t="str">
        <f>IF(CF599="","",MAX(CE$10:$CE598)+1)</f>
        <v/>
      </c>
      <c r="CF599" t="str">
        <f t="shared" si="3851"/>
        <v/>
      </c>
      <c r="CG599" s="22" t="str">
        <f>IF(CH599="","",MAX($CG$10:CG598)+1)</f>
        <v/>
      </c>
      <c r="CH599" s="22" t="str">
        <f t="shared" si="3796"/>
        <v/>
      </c>
      <c r="CI599" s="22" t="str">
        <f>IF(CJ599="","",MAX($CI$10:CI598)+1)</f>
        <v/>
      </c>
      <c r="CJ599" s="22" t="str">
        <f t="shared" si="3797"/>
        <v/>
      </c>
    </row>
    <row r="600" spans="2:88" x14ac:dyDescent="0.25">
      <c r="B600" s="37"/>
      <c r="C600" s="3"/>
      <c r="D600" s="77" t="str">
        <f t="shared" si="3783"/>
        <v/>
      </c>
      <c r="E600" s="38"/>
      <c r="F600" s="38"/>
      <c r="G600" s="78">
        <f t="shared" si="3798"/>
        <v>0</v>
      </c>
      <c r="H600" s="3">
        <v>80</v>
      </c>
      <c r="I600" s="77" t="str">
        <f t="shared" si="3784"/>
        <v/>
      </c>
      <c r="J600" s="32"/>
      <c r="K600" s="3"/>
      <c r="L600" s="39"/>
      <c r="M600" s="39"/>
      <c r="N600" s="39"/>
      <c r="O600" s="39"/>
      <c r="P600" s="39"/>
      <c r="Q600" s="39"/>
      <c r="R600" s="39"/>
      <c r="S600" s="39"/>
      <c r="T600" s="3" t="s">
        <v>645</v>
      </c>
      <c r="U600" s="77" t="str">
        <f t="shared" si="3785"/>
        <v/>
      </c>
      <c r="V600" s="39">
        <v>1</v>
      </c>
      <c r="W600" s="79">
        <f t="shared" si="3799"/>
        <v>0</v>
      </c>
      <c r="X600" s="3">
        <v>0</v>
      </c>
      <c r="Y600" s="77" t="str">
        <f t="shared" si="3786"/>
        <v/>
      </c>
      <c r="Z600" s="3"/>
      <c r="AA600" s="37" t="str">
        <f t="shared" si="3800"/>
        <v/>
      </c>
      <c r="AC600" s="40"/>
      <c r="AD600" s="7"/>
      <c r="AE600" s="77" t="str">
        <f t="shared" si="3787"/>
        <v/>
      </c>
      <c r="AF600" s="81">
        <f t="shared" si="3813"/>
        <v>0</v>
      </c>
      <c r="AG600" s="40"/>
      <c r="AH600" s="7"/>
      <c r="AI600" s="77" t="str">
        <f t="shared" si="3788"/>
        <v/>
      </c>
      <c r="AJ600" s="81">
        <f t="shared" si="3814"/>
        <v>0</v>
      </c>
      <c r="AK600" s="83">
        <f t="shared" si="3815"/>
        <v>0</v>
      </c>
      <c r="AL600" s="83">
        <f t="shared" si="3816"/>
        <v>0</v>
      </c>
      <c r="AN600" s="43">
        <f t="shared" si="3789"/>
        <v>0</v>
      </c>
      <c r="AP600" t="str">
        <f t="shared" si="3817"/>
        <v/>
      </c>
      <c r="AQ600" t="str">
        <f t="shared" si="3818"/>
        <v/>
      </c>
      <c r="AR600" t="str">
        <f t="shared" si="3819"/>
        <v/>
      </c>
      <c r="AS600" t="str">
        <f t="shared" si="3820"/>
        <v/>
      </c>
      <c r="AT600" t="str">
        <f t="shared" si="3821"/>
        <v/>
      </c>
      <c r="AU600" t="str">
        <f t="shared" si="3822"/>
        <v/>
      </c>
      <c r="AV600" t="str">
        <f t="shared" si="3823"/>
        <v/>
      </c>
      <c r="AW600" t="str">
        <f t="shared" si="3824"/>
        <v xml:space="preserve">                              </v>
      </c>
      <c r="AX600" s="23">
        <f t="shared" si="3825"/>
        <v>0</v>
      </c>
      <c r="AY600" s="49" t="str">
        <f t="shared" si="3801"/>
        <v>000000000000000</v>
      </c>
      <c r="AZ600" s="23">
        <f t="shared" si="3826"/>
        <v>0</v>
      </c>
      <c r="BA600" s="49" t="str">
        <f t="shared" si="3801"/>
        <v>000000000000000</v>
      </c>
      <c r="BB600" s="23">
        <f t="shared" si="3827"/>
        <v>0</v>
      </c>
      <c r="BC600" s="49" t="str">
        <f t="shared" ref="BC600" si="3906">IF(BB600&lt;0,SUBSTITUTE(TEXT(BB600,"000000000000,00"),",",""),SUBSTITUTE(TEXT(BB600,"0000000000000,00"),",",""))</f>
        <v>000000000000000</v>
      </c>
      <c r="BD600" s="23">
        <f t="shared" si="3829"/>
        <v>0</v>
      </c>
      <c r="BE600" s="49" t="str">
        <f t="shared" ref="BE600" si="3907">IF(BD600&lt;0,SUBSTITUTE(TEXT(BD600,"000000000000,00"),",",""),SUBSTITUTE(TEXT(BD600,"0000000000000,00"),",",""))</f>
        <v>000000000000000</v>
      </c>
      <c r="BF600" s="23">
        <f t="shared" si="3831"/>
        <v>0</v>
      </c>
      <c r="BG600" s="49" t="str">
        <f t="shared" ref="BG600" si="3908">IF(BF600&lt;0,SUBSTITUTE(TEXT(BF600,"000000000000,00"),",",""),SUBSTITUTE(TEXT(BF600,"0000000000000,00"),",",""))</f>
        <v>000000000000000</v>
      </c>
      <c r="BH600" s="23">
        <f t="shared" si="3833"/>
        <v>0</v>
      </c>
      <c r="BI600" s="49" t="str">
        <f t="shared" ref="BI600" si="3909">IF(BH600&lt;0,SUBSTITUTE(TEXT(BH600,"000000000000,00"),",",""),SUBSTITUTE(TEXT(BH600,"0000000000000,00"),",",""))</f>
        <v>000000000000000</v>
      </c>
      <c r="BJ600" s="23">
        <f t="shared" si="3835"/>
        <v>0</v>
      </c>
      <c r="BK600" s="49" t="str">
        <f t="shared" ref="BK600" si="3910">IF(BJ600&lt;0,SUBSTITUTE(TEXT(BJ600,"000000000000,00"),",",""),SUBSTITUTE(TEXT(BJ600,"0000000000000,00"),",",""))</f>
        <v>000000000000000</v>
      </c>
      <c r="BL600" s="23">
        <f t="shared" si="3837"/>
        <v>0</v>
      </c>
      <c r="BM600" s="49" t="str">
        <f t="shared" ref="BM600" si="3911">IF(BL600&lt;0,SUBSTITUTE(TEXT(BL600,"000000000000,00"),",",""),SUBSTITUTE(TEXT(BL600,"0000000000000,00"),",",""))</f>
        <v>000000000000000</v>
      </c>
      <c r="BN600" t="str">
        <f t="shared" si="3839"/>
        <v>PES</v>
      </c>
      <c r="BO600" t="str">
        <f t="shared" si="3840"/>
        <v>0001000000</v>
      </c>
      <c r="BP600">
        <f t="shared" si="3841"/>
        <v>0</v>
      </c>
      <c r="BQ600">
        <f t="shared" si="3842"/>
        <v>0</v>
      </c>
      <c r="BR600" s="23">
        <f t="shared" si="3843"/>
        <v>0</v>
      </c>
      <c r="BS600" s="49" t="str">
        <f t="shared" si="3808"/>
        <v>000000000000000</v>
      </c>
      <c r="BT600" t="str">
        <f t="shared" si="3844"/>
        <v>00000000</v>
      </c>
      <c r="BU600" s="23">
        <f t="shared" si="3845"/>
        <v>0</v>
      </c>
      <c r="BV600" s="49" t="str">
        <f t="shared" si="3809"/>
        <v/>
      </c>
      <c r="BW600" s="52" t="str">
        <f t="shared" si="3846"/>
        <v/>
      </c>
      <c r="BX600" s="23">
        <f t="shared" si="3847"/>
        <v>0</v>
      </c>
      <c r="BY600" s="49" t="str">
        <f t="shared" si="3810"/>
        <v/>
      </c>
      <c r="BZ600" s="23">
        <f t="shared" si="3848"/>
        <v>0</v>
      </c>
      <c r="CA600" s="49" t="str">
        <f t="shared" si="3811"/>
        <v/>
      </c>
      <c r="CB600" s="52" t="str">
        <f t="shared" si="3849"/>
        <v/>
      </c>
      <c r="CC600" s="23">
        <f t="shared" si="3850"/>
        <v>0</v>
      </c>
      <c r="CD600" s="49" t="str">
        <f t="shared" si="3812"/>
        <v/>
      </c>
      <c r="CE600" s="56" t="str">
        <f>IF(CF600="","",MAX(CE$10:$CE599)+1)</f>
        <v/>
      </c>
      <c r="CF600" t="str">
        <f t="shared" si="3851"/>
        <v/>
      </c>
      <c r="CG600" s="22" t="str">
        <f>IF(CH600="","",MAX($CG$10:CG599)+1)</f>
        <v/>
      </c>
      <c r="CH600" s="22" t="str">
        <f t="shared" si="3796"/>
        <v/>
      </c>
      <c r="CI600" s="22" t="str">
        <f>IF(CJ600="","",MAX($CI$10:CI599)+1)</f>
        <v/>
      </c>
      <c r="CJ600" s="22" t="str">
        <f t="shared" si="3797"/>
        <v/>
      </c>
    </row>
    <row r="601" spans="2:88" x14ac:dyDescent="0.25">
      <c r="B601" s="37"/>
      <c r="C601" s="3"/>
      <c r="D601" s="77" t="str">
        <f t="shared" si="3783"/>
        <v/>
      </c>
      <c r="E601" s="38"/>
      <c r="F601" s="38"/>
      <c r="G601" s="78">
        <f t="shared" si="3798"/>
        <v>0</v>
      </c>
      <c r="H601" s="3">
        <v>80</v>
      </c>
      <c r="I601" s="77" t="str">
        <f t="shared" si="3784"/>
        <v/>
      </c>
      <c r="J601" s="32"/>
      <c r="K601" s="3"/>
      <c r="L601" s="39"/>
      <c r="M601" s="39"/>
      <c r="N601" s="39"/>
      <c r="O601" s="39"/>
      <c r="P601" s="39"/>
      <c r="Q601" s="39"/>
      <c r="R601" s="39"/>
      <c r="S601" s="39"/>
      <c r="T601" s="3" t="s">
        <v>645</v>
      </c>
      <c r="U601" s="77" t="str">
        <f t="shared" si="3785"/>
        <v/>
      </c>
      <c r="V601" s="39">
        <v>1</v>
      </c>
      <c r="W601" s="79">
        <f t="shared" si="3799"/>
        <v>0</v>
      </c>
      <c r="X601" s="3">
        <v>0</v>
      </c>
      <c r="Y601" s="77" t="str">
        <f t="shared" si="3786"/>
        <v/>
      </c>
      <c r="Z601" s="3"/>
      <c r="AA601" s="37" t="str">
        <f t="shared" si="3800"/>
        <v/>
      </c>
      <c r="AC601" s="40"/>
      <c r="AD601" s="7"/>
      <c r="AE601" s="77" t="str">
        <f t="shared" si="3787"/>
        <v/>
      </c>
      <c r="AF601" s="81">
        <f t="shared" si="3813"/>
        <v>0</v>
      </c>
      <c r="AG601" s="40"/>
      <c r="AH601" s="7"/>
      <c r="AI601" s="77" t="str">
        <f t="shared" si="3788"/>
        <v/>
      </c>
      <c r="AJ601" s="81">
        <f t="shared" si="3814"/>
        <v>0</v>
      </c>
      <c r="AK601" s="83">
        <f t="shared" si="3815"/>
        <v>0</v>
      </c>
      <c r="AL601" s="83">
        <f t="shared" si="3816"/>
        <v>0</v>
      </c>
      <c r="AN601" s="43">
        <f t="shared" si="3789"/>
        <v>0</v>
      </c>
      <c r="AP601" t="str">
        <f t="shared" si="3817"/>
        <v/>
      </c>
      <c r="AQ601" t="str">
        <f t="shared" si="3818"/>
        <v/>
      </c>
      <c r="AR601" t="str">
        <f t="shared" si="3819"/>
        <v/>
      </c>
      <c r="AS601" t="str">
        <f t="shared" si="3820"/>
        <v/>
      </c>
      <c r="AT601" t="str">
        <f t="shared" si="3821"/>
        <v/>
      </c>
      <c r="AU601" t="str">
        <f t="shared" si="3822"/>
        <v/>
      </c>
      <c r="AV601" t="str">
        <f t="shared" si="3823"/>
        <v/>
      </c>
      <c r="AW601" t="str">
        <f t="shared" si="3824"/>
        <v xml:space="preserve">                              </v>
      </c>
      <c r="AX601" s="23">
        <f t="shared" si="3825"/>
        <v>0</v>
      </c>
      <c r="AY601" s="49" t="str">
        <f t="shared" si="3801"/>
        <v>000000000000000</v>
      </c>
      <c r="AZ601" s="23">
        <f t="shared" si="3826"/>
        <v>0</v>
      </c>
      <c r="BA601" s="49" t="str">
        <f t="shared" si="3801"/>
        <v>000000000000000</v>
      </c>
      <c r="BB601" s="23">
        <f t="shared" si="3827"/>
        <v>0</v>
      </c>
      <c r="BC601" s="49" t="str">
        <f t="shared" ref="BC601" si="3912">IF(BB601&lt;0,SUBSTITUTE(TEXT(BB601,"000000000000,00"),",",""),SUBSTITUTE(TEXT(BB601,"0000000000000,00"),",",""))</f>
        <v>000000000000000</v>
      </c>
      <c r="BD601" s="23">
        <f t="shared" si="3829"/>
        <v>0</v>
      </c>
      <c r="BE601" s="49" t="str">
        <f t="shared" ref="BE601" si="3913">IF(BD601&lt;0,SUBSTITUTE(TEXT(BD601,"000000000000,00"),",",""),SUBSTITUTE(TEXT(BD601,"0000000000000,00"),",",""))</f>
        <v>000000000000000</v>
      </c>
      <c r="BF601" s="23">
        <f t="shared" si="3831"/>
        <v>0</v>
      </c>
      <c r="BG601" s="49" t="str">
        <f t="shared" ref="BG601" si="3914">IF(BF601&lt;0,SUBSTITUTE(TEXT(BF601,"000000000000,00"),",",""),SUBSTITUTE(TEXT(BF601,"0000000000000,00"),",",""))</f>
        <v>000000000000000</v>
      </c>
      <c r="BH601" s="23">
        <f t="shared" si="3833"/>
        <v>0</v>
      </c>
      <c r="BI601" s="49" t="str">
        <f t="shared" ref="BI601" si="3915">IF(BH601&lt;0,SUBSTITUTE(TEXT(BH601,"000000000000,00"),",",""),SUBSTITUTE(TEXT(BH601,"0000000000000,00"),",",""))</f>
        <v>000000000000000</v>
      </c>
      <c r="BJ601" s="23">
        <f t="shared" si="3835"/>
        <v>0</v>
      </c>
      <c r="BK601" s="49" t="str">
        <f t="shared" ref="BK601" si="3916">IF(BJ601&lt;0,SUBSTITUTE(TEXT(BJ601,"000000000000,00"),",",""),SUBSTITUTE(TEXT(BJ601,"0000000000000,00"),",",""))</f>
        <v>000000000000000</v>
      </c>
      <c r="BL601" s="23">
        <f t="shared" si="3837"/>
        <v>0</v>
      </c>
      <c r="BM601" s="49" t="str">
        <f t="shared" ref="BM601" si="3917">IF(BL601&lt;0,SUBSTITUTE(TEXT(BL601,"000000000000,00"),",",""),SUBSTITUTE(TEXT(BL601,"0000000000000,00"),",",""))</f>
        <v>000000000000000</v>
      </c>
      <c r="BN601" t="str">
        <f t="shared" si="3839"/>
        <v>PES</v>
      </c>
      <c r="BO601" t="str">
        <f t="shared" si="3840"/>
        <v>0001000000</v>
      </c>
      <c r="BP601">
        <f t="shared" si="3841"/>
        <v>0</v>
      </c>
      <c r="BQ601">
        <f t="shared" si="3842"/>
        <v>0</v>
      </c>
      <c r="BR601" s="23">
        <f t="shared" si="3843"/>
        <v>0</v>
      </c>
      <c r="BS601" s="49" t="str">
        <f t="shared" si="3808"/>
        <v>000000000000000</v>
      </c>
      <c r="BT601" t="str">
        <f t="shared" si="3844"/>
        <v>00000000</v>
      </c>
      <c r="BU601" s="23">
        <f t="shared" si="3845"/>
        <v>0</v>
      </c>
      <c r="BV601" s="49" t="str">
        <f t="shared" si="3809"/>
        <v/>
      </c>
      <c r="BW601" s="52" t="str">
        <f t="shared" si="3846"/>
        <v/>
      </c>
      <c r="BX601" s="23">
        <f t="shared" si="3847"/>
        <v>0</v>
      </c>
      <c r="BY601" s="49" t="str">
        <f t="shared" si="3810"/>
        <v/>
      </c>
      <c r="BZ601" s="23">
        <f t="shared" si="3848"/>
        <v>0</v>
      </c>
      <c r="CA601" s="49" t="str">
        <f t="shared" si="3811"/>
        <v/>
      </c>
      <c r="CB601" s="52" t="str">
        <f t="shared" si="3849"/>
        <v/>
      </c>
      <c r="CC601" s="23">
        <f t="shared" si="3850"/>
        <v>0</v>
      </c>
      <c r="CD601" s="49" t="str">
        <f t="shared" si="3812"/>
        <v/>
      </c>
      <c r="CE601" s="56" t="str">
        <f>IF(CF601="","",MAX(CE$10:$CE600)+1)</f>
        <v/>
      </c>
      <c r="CF601" t="str">
        <f t="shared" si="3851"/>
        <v/>
      </c>
      <c r="CG601" s="22" t="str">
        <f>IF(CH601="","",MAX($CG$10:CG600)+1)</f>
        <v/>
      </c>
      <c r="CH601" s="22" t="str">
        <f t="shared" si="3796"/>
        <v/>
      </c>
      <c r="CI601" s="22" t="str">
        <f>IF(CJ601="","",MAX($CI$10:CI600)+1)</f>
        <v/>
      </c>
      <c r="CJ601" s="22" t="str">
        <f t="shared" si="3797"/>
        <v/>
      </c>
    </row>
    <row r="602" spans="2:88" x14ac:dyDescent="0.25">
      <c r="B602" s="37"/>
      <c r="C602" s="3"/>
      <c r="D602" s="77" t="str">
        <f t="shared" si="3783"/>
        <v/>
      </c>
      <c r="E602" s="38"/>
      <c r="F602" s="38"/>
      <c r="G602" s="78">
        <f t="shared" si="3798"/>
        <v>0</v>
      </c>
      <c r="H602" s="3">
        <v>80</v>
      </c>
      <c r="I602" s="77" t="str">
        <f t="shared" si="3784"/>
        <v/>
      </c>
      <c r="J602" s="32"/>
      <c r="K602" s="3"/>
      <c r="L602" s="39"/>
      <c r="M602" s="39"/>
      <c r="N602" s="39"/>
      <c r="O602" s="39"/>
      <c r="P602" s="39"/>
      <c r="Q602" s="39"/>
      <c r="R602" s="39"/>
      <c r="S602" s="39"/>
      <c r="T602" s="3" t="s">
        <v>645</v>
      </c>
      <c r="U602" s="77" t="str">
        <f t="shared" si="3785"/>
        <v/>
      </c>
      <c r="V602" s="39">
        <v>1</v>
      </c>
      <c r="W602" s="79">
        <f t="shared" si="3799"/>
        <v>0</v>
      </c>
      <c r="X602" s="3">
        <v>0</v>
      </c>
      <c r="Y602" s="77" t="str">
        <f t="shared" si="3786"/>
        <v/>
      </c>
      <c r="Z602" s="3"/>
      <c r="AA602" s="37" t="str">
        <f t="shared" si="3800"/>
        <v/>
      </c>
      <c r="AC602" s="40"/>
      <c r="AD602" s="7"/>
      <c r="AE602" s="77" t="str">
        <f t="shared" si="3787"/>
        <v/>
      </c>
      <c r="AF602" s="81">
        <f t="shared" si="3813"/>
        <v>0</v>
      </c>
      <c r="AG602" s="40"/>
      <c r="AH602" s="7"/>
      <c r="AI602" s="77" t="str">
        <f t="shared" si="3788"/>
        <v/>
      </c>
      <c r="AJ602" s="81">
        <f t="shared" si="3814"/>
        <v>0</v>
      </c>
      <c r="AK602" s="83">
        <f t="shared" si="3815"/>
        <v>0</v>
      </c>
      <c r="AL602" s="83">
        <f t="shared" si="3816"/>
        <v>0</v>
      </c>
      <c r="AN602" s="43">
        <f t="shared" si="3789"/>
        <v>0</v>
      </c>
      <c r="AP602" t="str">
        <f t="shared" si="3817"/>
        <v/>
      </c>
      <c r="AQ602" t="str">
        <f t="shared" si="3818"/>
        <v/>
      </c>
      <c r="AR602" t="str">
        <f t="shared" si="3819"/>
        <v/>
      </c>
      <c r="AS602" t="str">
        <f t="shared" si="3820"/>
        <v/>
      </c>
      <c r="AT602" t="str">
        <f t="shared" si="3821"/>
        <v/>
      </c>
      <c r="AU602" t="str">
        <f t="shared" si="3822"/>
        <v/>
      </c>
      <c r="AV602" t="str">
        <f t="shared" si="3823"/>
        <v/>
      </c>
      <c r="AW602" t="str">
        <f t="shared" si="3824"/>
        <v xml:space="preserve">                              </v>
      </c>
      <c r="AX602" s="23">
        <f t="shared" si="3825"/>
        <v>0</v>
      </c>
      <c r="AY602" s="49" t="str">
        <f t="shared" si="3801"/>
        <v>000000000000000</v>
      </c>
      <c r="AZ602" s="23">
        <f t="shared" si="3826"/>
        <v>0</v>
      </c>
      <c r="BA602" s="49" t="str">
        <f t="shared" si="3801"/>
        <v>000000000000000</v>
      </c>
      <c r="BB602" s="23">
        <f t="shared" si="3827"/>
        <v>0</v>
      </c>
      <c r="BC602" s="49" t="str">
        <f t="shared" ref="BC602" si="3918">IF(BB602&lt;0,SUBSTITUTE(TEXT(BB602,"000000000000,00"),",",""),SUBSTITUTE(TEXT(BB602,"0000000000000,00"),",",""))</f>
        <v>000000000000000</v>
      </c>
      <c r="BD602" s="23">
        <f t="shared" si="3829"/>
        <v>0</v>
      </c>
      <c r="BE602" s="49" t="str">
        <f t="shared" ref="BE602" si="3919">IF(BD602&lt;0,SUBSTITUTE(TEXT(BD602,"000000000000,00"),",",""),SUBSTITUTE(TEXT(BD602,"0000000000000,00"),",",""))</f>
        <v>000000000000000</v>
      </c>
      <c r="BF602" s="23">
        <f t="shared" si="3831"/>
        <v>0</v>
      </c>
      <c r="BG602" s="49" t="str">
        <f t="shared" ref="BG602" si="3920">IF(BF602&lt;0,SUBSTITUTE(TEXT(BF602,"000000000000,00"),",",""),SUBSTITUTE(TEXT(BF602,"0000000000000,00"),",",""))</f>
        <v>000000000000000</v>
      </c>
      <c r="BH602" s="23">
        <f t="shared" si="3833"/>
        <v>0</v>
      </c>
      <c r="BI602" s="49" t="str">
        <f t="shared" ref="BI602" si="3921">IF(BH602&lt;0,SUBSTITUTE(TEXT(BH602,"000000000000,00"),",",""),SUBSTITUTE(TEXT(BH602,"0000000000000,00"),",",""))</f>
        <v>000000000000000</v>
      </c>
      <c r="BJ602" s="23">
        <f t="shared" si="3835"/>
        <v>0</v>
      </c>
      <c r="BK602" s="49" t="str">
        <f t="shared" ref="BK602" si="3922">IF(BJ602&lt;0,SUBSTITUTE(TEXT(BJ602,"000000000000,00"),",",""),SUBSTITUTE(TEXT(BJ602,"0000000000000,00"),",",""))</f>
        <v>000000000000000</v>
      </c>
      <c r="BL602" s="23">
        <f t="shared" si="3837"/>
        <v>0</v>
      </c>
      <c r="BM602" s="49" t="str">
        <f t="shared" ref="BM602" si="3923">IF(BL602&lt;0,SUBSTITUTE(TEXT(BL602,"000000000000,00"),",",""),SUBSTITUTE(TEXT(BL602,"0000000000000,00"),",",""))</f>
        <v>000000000000000</v>
      </c>
      <c r="BN602" t="str">
        <f t="shared" si="3839"/>
        <v>PES</v>
      </c>
      <c r="BO602" t="str">
        <f t="shared" si="3840"/>
        <v>0001000000</v>
      </c>
      <c r="BP602">
        <f t="shared" si="3841"/>
        <v>0</v>
      </c>
      <c r="BQ602">
        <f t="shared" si="3842"/>
        <v>0</v>
      </c>
      <c r="BR602" s="23">
        <f t="shared" si="3843"/>
        <v>0</v>
      </c>
      <c r="BS602" s="49" t="str">
        <f t="shared" si="3808"/>
        <v>000000000000000</v>
      </c>
      <c r="BT602" t="str">
        <f t="shared" si="3844"/>
        <v>00000000</v>
      </c>
      <c r="BU602" s="23">
        <f t="shared" si="3845"/>
        <v>0</v>
      </c>
      <c r="BV602" s="49" t="str">
        <f t="shared" si="3809"/>
        <v/>
      </c>
      <c r="BW602" s="52" t="str">
        <f t="shared" si="3846"/>
        <v/>
      </c>
      <c r="BX602" s="23">
        <f t="shared" si="3847"/>
        <v>0</v>
      </c>
      <c r="BY602" s="49" t="str">
        <f t="shared" si="3810"/>
        <v/>
      </c>
      <c r="BZ602" s="23">
        <f t="shared" si="3848"/>
        <v>0</v>
      </c>
      <c r="CA602" s="49" t="str">
        <f t="shared" si="3811"/>
        <v/>
      </c>
      <c r="CB602" s="52" t="str">
        <f t="shared" si="3849"/>
        <v/>
      </c>
      <c r="CC602" s="23">
        <f t="shared" si="3850"/>
        <v>0</v>
      </c>
      <c r="CD602" s="49" t="str">
        <f t="shared" si="3812"/>
        <v/>
      </c>
      <c r="CE602" s="56" t="str">
        <f>IF(CF602="","",MAX(CE$10:$CE601)+1)</f>
        <v/>
      </c>
      <c r="CF602" t="str">
        <f t="shared" si="3851"/>
        <v/>
      </c>
      <c r="CG602" s="22" t="str">
        <f>IF(CH602="","",MAX($CG$10:CG601)+1)</f>
        <v/>
      </c>
      <c r="CH602" s="22" t="str">
        <f t="shared" si="3796"/>
        <v/>
      </c>
      <c r="CI602" s="22" t="str">
        <f>IF(CJ602="","",MAX($CI$10:CI601)+1)</f>
        <v/>
      </c>
      <c r="CJ602" s="22" t="str">
        <f t="shared" si="3797"/>
        <v/>
      </c>
    </row>
    <row r="603" spans="2:88" x14ac:dyDescent="0.25">
      <c r="B603" s="37"/>
      <c r="C603" s="3"/>
      <c r="D603" s="77" t="str">
        <f t="shared" si="3783"/>
        <v/>
      </c>
      <c r="E603" s="38"/>
      <c r="F603" s="38"/>
      <c r="G603" s="78">
        <f t="shared" si="3798"/>
        <v>0</v>
      </c>
      <c r="H603" s="3">
        <v>80</v>
      </c>
      <c r="I603" s="77" t="str">
        <f t="shared" si="3784"/>
        <v/>
      </c>
      <c r="J603" s="32"/>
      <c r="K603" s="3"/>
      <c r="L603" s="39"/>
      <c r="M603" s="39"/>
      <c r="N603" s="39"/>
      <c r="O603" s="39"/>
      <c r="P603" s="39"/>
      <c r="Q603" s="39"/>
      <c r="R603" s="39"/>
      <c r="S603" s="39"/>
      <c r="T603" s="3" t="s">
        <v>645</v>
      </c>
      <c r="U603" s="77" t="str">
        <f t="shared" si="3785"/>
        <v/>
      </c>
      <c r="V603" s="39">
        <v>1</v>
      </c>
      <c r="W603" s="79">
        <f t="shared" si="3799"/>
        <v>0</v>
      </c>
      <c r="X603" s="3">
        <v>0</v>
      </c>
      <c r="Y603" s="77" t="str">
        <f t="shared" si="3786"/>
        <v/>
      </c>
      <c r="Z603" s="3"/>
      <c r="AA603" s="37" t="str">
        <f t="shared" si="3800"/>
        <v/>
      </c>
      <c r="AC603" s="40"/>
      <c r="AD603" s="7"/>
      <c r="AE603" s="77" t="str">
        <f t="shared" si="3787"/>
        <v/>
      </c>
      <c r="AF603" s="81">
        <f t="shared" si="3813"/>
        <v>0</v>
      </c>
      <c r="AG603" s="40"/>
      <c r="AH603" s="7"/>
      <c r="AI603" s="77" t="str">
        <f t="shared" si="3788"/>
        <v/>
      </c>
      <c r="AJ603" s="81">
        <f t="shared" si="3814"/>
        <v>0</v>
      </c>
      <c r="AK603" s="83">
        <f t="shared" si="3815"/>
        <v>0</v>
      </c>
      <c r="AL603" s="83">
        <f t="shared" si="3816"/>
        <v>0</v>
      </c>
      <c r="AN603" s="43">
        <f t="shared" si="3789"/>
        <v>0</v>
      </c>
      <c r="AP603" t="str">
        <f t="shared" si="3817"/>
        <v/>
      </c>
      <c r="AQ603" t="str">
        <f t="shared" si="3818"/>
        <v/>
      </c>
      <c r="AR603" t="str">
        <f t="shared" si="3819"/>
        <v/>
      </c>
      <c r="AS603" t="str">
        <f t="shared" si="3820"/>
        <v/>
      </c>
      <c r="AT603" t="str">
        <f t="shared" si="3821"/>
        <v/>
      </c>
      <c r="AU603" t="str">
        <f t="shared" si="3822"/>
        <v/>
      </c>
      <c r="AV603" t="str">
        <f t="shared" si="3823"/>
        <v/>
      </c>
      <c r="AW603" t="str">
        <f t="shared" si="3824"/>
        <v xml:space="preserve">                              </v>
      </c>
      <c r="AX603" s="23">
        <f t="shared" si="3825"/>
        <v>0</v>
      </c>
      <c r="AY603" s="49" t="str">
        <f t="shared" si="3801"/>
        <v>000000000000000</v>
      </c>
      <c r="AZ603" s="23">
        <f t="shared" si="3826"/>
        <v>0</v>
      </c>
      <c r="BA603" s="49" t="str">
        <f t="shared" si="3801"/>
        <v>000000000000000</v>
      </c>
      <c r="BB603" s="23">
        <f t="shared" si="3827"/>
        <v>0</v>
      </c>
      <c r="BC603" s="49" t="str">
        <f t="shared" ref="BC603" si="3924">IF(BB603&lt;0,SUBSTITUTE(TEXT(BB603,"000000000000,00"),",",""),SUBSTITUTE(TEXT(BB603,"0000000000000,00"),",",""))</f>
        <v>000000000000000</v>
      </c>
      <c r="BD603" s="23">
        <f t="shared" si="3829"/>
        <v>0</v>
      </c>
      <c r="BE603" s="49" t="str">
        <f t="shared" ref="BE603" si="3925">IF(BD603&lt;0,SUBSTITUTE(TEXT(BD603,"000000000000,00"),",",""),SUBSTITUTE(TEXT(BD603,"0000000000000,00"),",",""))</f>
        <v>000000000000000</v>
      </c>
      <c r="BF603" s="23">
        <f t="shared" si="3831"/>
        <v>0</v>
      </c>
      <c r="BG603" s="49" t="str">
        <f t="shared" ref="BG603" si="3926">IF(BF603&lt;0,SUBSTITUTE(TEXT(BF603,"000000000000,00"),",",""),SUBSTITUTE(TEXT(BF603,"0000000000000,00"),",",""))</f>
        <v>000000000000000</v>
      </c>
      <c r="BH603" s="23">
        <f t="shared" si="3833"/>
        <v>0</v>
      </c>
      <c r="BI603" s="49" t="str">
        <f t="shared" ref="BI603" si="3927">IF(BH603&lt;0,SUBSTITUTE(TEXT(BH603,"000000000000,00"),",",""),SUBSTITUTE(TEXT(BH603,"0000000000000,00"),",",""))</f>
        <v>000000000000000</v>
      </c>
      <c r="BJ603" s="23">
        <f t="shared" si="3835"/>
        <v>0</v>
      </c>
      <c r="BK603" s="49" t="str">
        <f t="shared" ref="BK603" si="3928">IF(BJ603&lt;0,SUBSTITUTE(TEXT(BJ603,"000000000000,00"),",",""),SUBSTITUTE(TEXT(BJ603,"0000000000000,00"),",",""))</f>
        <v>000000000000000</v>
      </c>
      <c r="BL603" s="23">
        <f t="shared" si="3837"/>
        <v>0</v>
      </c>
      <c r="BM603" s="49" t="str">
        <f t="shared" ref="BM603" si="3929">IF(BL603&lt;0,SUBSTITUTE(TEXT(BL603,"000000000000,00"),",",""),SUBSTITUTE(TEXT(BL603,"0000000000000,00"),",",""))</f>
        <v>000000000000000</v>
      </c>
      <c r="BN603" t="str">
        <f t="shared" si="3839"/>
        <v>PES</v>
      </c>
      <c r="BO603" t="str">
        <f t="shared" si="3840"/>
        <v>0001000000</v>
      </c>
      <c r="BP603">
        <f t="shared" si="3841"/>
        <v>0</v>
      </c>
      <c r="BQ603">
        <f t="shared" si="3842"/>
        <v>0</v>
      </c>
      <c r="BR603" s="23">
        <f t="shared" si="3843"/>
        <v>0</v>
      </c>
      <c r="BS603" s="49" t="str">
        <f t="shared" si="3808"/>
        <v>000000000000000</v>
      </c>
      <c r="BT603" t="str">
        <f t="shared" si="3844"/>
        <v>00000000</v>
      </c>
      <c r="BU603" s="23">
        <f t="shared" si="3845"/>
        <v>0</v>
      </c>
      <c r="BV603" s="49" t="str">
        <f t="shared" si="3809"/>
        <v/>
      </c>
      <c r="BW603" s="52" t="str">
        <f t="shared" si="3846"/>
        <v/>
      </c>
      <c r="BX603" s="23">
        <f t="shared" si="3847"/>
        <v>0</v>
      </c>
      <c r="BY603" s="49" t="str">
        <f t="shared" si="3810"/>
        <v/>
      </c>
      <c r="BZ603" s="23">
        <f t="shared" si="3848"/>
        <v>0</v>
      </c>
      <c r="CA603" s="49" t="str">
        <f t="shared" si="3811"/>
        <v/>
      </c>
      <c r="CB603" s="52" t="str">
        <f t="shared" si="3849"/>
        <v/>
      </c>
      <c r="CC603" s="23">
        <f t="shared" si="3850"/>
        <v>0</v>
      </c>
      <c r="CD603" s="49" t="str">
        <f t="shared" si="3812"/>
        <v/>
      </c>
      <c r="CE603" s="56" t="str">
        <f>IF(CF603="","",MAX(CE$10:$CE602)+1)</f>
        <v/>
      </c>
      <c r="CF603" t="str">
        <f t="shared" si="3851"/>
        <v/>
      </c>
      <c r="CG603" s="22" t="str">
        <f>IF(CH603="","",MAX($CG$10:CG602)+1)</f>
        <v/>
      </c>
      <c r="CH603" s="22" t="str">
        <f t="shared" si="3796"/>
        <v/>
      </c>
      <c r="CI603" s="22" t="str">
        <f>IF(CJ603="","",MAX($CI$10:CI602)+1)</f>
        <v/>
      </c>
      <c r="CJ603" s="22" t="str">
        <f t="shared" si="3797"/>
        <v/>
      </c>
    </row>
    <row r="604" spans="2:88" x14ac:dyDescent="0.25">
      <c r="B604" s="37"/>
      <c r="C604" s="3"/>
      <c r="D604" s="77" t="str">
        <f t="shared" si="3783"/>
        <v/>
      </c>
      <c r="E604" s="38"/>
      <c r="F604" s="38"/>
      <c r="G604" s="78">
        <f t="shared" si="3798"/>
        <v>0</v>
      </c>
      <c r="H604" s="3">
        <v>80</v>
      </c>
      <c r="I604" s="77" t="str">
        <f t="shared" si="3784"/>
        <v/>
      </c>
      <c r="J604" s="32"/>
      <c r="K604" s="3"/>
      <c r="L604" s="39"/>
      <c r="M604" s="39"/>
      <c r="N604" s="39"/>
      <c r="O604" s="39"/>
      <c r="P604" s="39"/>
      <c r="Q604" s="39"/>
      <c r="R604" s="39"/>
      <c r="S604" s="39"/>
      <c r="T604" s="3" t="s">
        <v>645</v>
      </c>
      <c r="U604" s="77" t="str">
        <f t="shared" si="3785"/>
        <v/>
      </c>
      <c r="V604" s="39">
        <v>1</v>
      </c>
      <c r="W604" s="79">
        <f t="shared" si="3799"/>
        <v>0</v>
      </c>
      <c r="X604" s="3">
        <v>0</v>
      </c>
      <c r="Y604" s="77" t="str">
        <f t="shared" si="3786"/>
        <v/>
      </c>
      <c r="Z604" s="3"/>
      <c r="AA604" s="37" t="str">
        <f t="shared" si="3800"/>
        <v/>
      </c>
      <c r="AC604" s="40"/>
      <c r="AD604" s="7"/>
      <c r="AE604" s="77" t="str">
        <f t="shared" si="3787"/>
        <v/>
      </c>
      <c r="AF604" s="81">
        <f t="shared" si="3813"/>
        <v>0</v>
      </c>
      <c r="AG604" s="40"/>
      <c r="AH604" s="7"/>
      <c r="AI604" s="77" t="str">
        <f t="shared" si="3788"/>
        <v/>
      </c>
      <c r="AJ604" s="81">
        <f t="shared" si="3814"/>
        <v>0</v>
      </c>
      <c r="AK604" s="83">
        <f t="shared" si="3815"/>
        <v>0</v>
      </c>
      <c r="AL604" s="83">
        <f t="shared" si="3816"/>
        <v>0</v>
      </c>
      <c r="AN604" s="43">
        <f t="shared" si="3789"/>
        <v>0</v>
      </c>
      <c r="AP604" t="str">
        <f t="shared" si="3817"/>
        <v/>
      </c>
      <c r="AQ604" t="str">
        <f t="shared" si="3818"/>
        <v/>
      </c>
      <c r="AR604" t="str">
        <f t="shared" si="3819"/>
        <v/>
      </c>
      <c r="AS604" t="str">
        <f t="shared" si="3820"/>
        <v/>
      </c>
      <c r="AT604" t="str">
        <f t="shared" si="3821"/>
        <v/>
      </c>
      <c r="AU604" t="str">
        <f t="shared" si="3822"/>
        <v/>
      </c>
      <c r="AV604" t="str">
        <f t="shared" si="3823"/>
        <v/>
      </c>
      <c r="AW604" t="str">
        <f t="shared" si="3824"/>
        <v xml:space="preserve">                              </v>
      </c>
      <c r="AX604" s="23">
        <f t="shared" si="3825"/>
        <v>0</v>
      </c>
      <c r="AY604" s="49" t="str">
        <f t="shared" si="3801"/>
        <v>000000000000000</v>
      </c>
      <c r="AZ604" s="23">
        <f t="shared" si="3826"/>
        <v>0</v>
      </c>
      <c r="BA604" s="49" t="str">
        <f t="shared" si="3801"/>
        <v>000000000000000</v>
      </c>
      <c r="BB604" s="23">
        <f t="shared" si="3827"/>
        <v>0</v>
      </c>
      <c r="BC604" s="49" t="str">
        <f t="shared" ref="BC604" si="3930">IF(BB604&lt;0,SUBSTITUTE(TEXT(BB604,"000000000000,00"),",",""),SUBSTITUTE(TEXT(BB604,"0000000000000,00"),",",""))</f>
        <v>000000000000000</v>
      </c>
      <c r="BD604" s="23">
        <f t="shared" si="3829"/>
        <v>0</v>
      </c>
      <c r="BE604" s="49" t="str">
        <f t="shared" ref="BE604" si="3931">IF(BD604&lt;0,SUBSTITUTE(TEXT(BD604,"000000000000,00"),",",""),SUBSTITUTE(TEXT(BD604,"0000000000000,00"),",",""))</f>
        <v>000000000000000</v>
      </c>
      <c r="BF604" s="23">
        <f t="shared" si="3831"/>
        <v>0</v>
      </c>
      <c r="BG604" s="49" t="str">
        <f t="shared" ref="BG604" si="3932">IF(BF604&lt;0,SUBSTITUTE(TEXT(BF604,"000000000000,00"),",",""),SUBSTITUTE(TEXT(BF604,"0000000000000,00"),",",""))</f>
        <v>000000000000000</v>
      </c>
      <c r="BH604" s="23">
        <f t="shared" si="3833"/>
        <v>0</v>
      </c>
      <c r="BI604" s="49" t="str">
        <f t="shared" ref="BI604" si="3933">IF(BH604&lt;0,SUBSTITUTE(TEXT(BH604,"000000000000,00"),",",""),SUBSTITUTE(TEXT(BH604,"0000000000000,00"),",",""))</f>
        <v>000000000000000</v>
      </c>
      <c r="BJ604" s="23">
        <f t="shared" si="3835"/>
        <v>0</v>
      </c>
      <c r="BK604" s="49" t="str">
        <f t="shared" ref="BK604" si="3934">IF(BJ604&lt;0,SUBSTITUTE(TEXT(BJ604,"000000000000,00"),",",""),SUBSTITUTE(TEXT(BJ604,"0000000000000,00"),",",""))</f>
        <v>000000000000000</v>
      </c>
      <c r="BL604" s="23">
        <f t="shared" si="3837"/>
        <v>0</v>
      </c>
      <c r="BM604" s="49" t="str">
        <f t="shared" ref="BM604" si="3935">IF(BL604&lt;0,SUBSTITUTE(TEXT(BL604,"000000000000,00"),",",""),SUBSTITUTE(TEXT(BL604,"0000000000000,00"),",",""))</f>
        <v>000000000000000</v>
      </c>
      <c r="BN604" t="str">
        <f t="shared" si="3839"/>
        <v>PES</v>
      </c>
      <c r="BO604" t="str">
        <f t="shared" si="3840"/>
        <v>0001000000</v>
      </c>
      <c r="BP604">
        <f t="shared" si="3841"/>
        <v>0</v>
      </c>
      <c r="BQ604">
        <f t="shared" si="3842"/>
        <v>0</v>
      </c>
      <c r="BR604" s="23">
        <f t="shared" si="3843"/>
        <v>0</v>
      </c>
      <c r="BS604" s="49" t="str">
        <f t="shared" si="3808"/>
        <v>000000000000000</v>
      </c>
      <c r="BT604" t="str">
        <f t="shared" si="3844"/>
        <v>00000000</v>
      </c>
      <c r="BU604" s="23">
        <f t="shared" si="3845"/>
        <v>0</v>
      </c>
      <c r="BV604" s="49" t="str">
        <f t="shared" si="3809"/>
        <v/>
      </c>
      <c r="BW604" s="52" t="str">
        <f t="shared" si="3846"/>
        <v/>
      </c>
      <c r="BX604" s="23">
        <f t="shared" si="3847"/>
        <v>0</v>
      </c>
      <c r="BY604" s="49" t="str">
        <f t="shared" si="3810"/>
        <v/>
      </c>
      <c r="BZ604" s="23">
        <f t="shared" si="3848"/>
        <v>0</v>
      </c>
      <c r="CA604" s="49" t="str">
        <f t="shared" si="3811"/>
        <v/>
      </c>
      <c r="CB604" s="52" t="str">
        <f t="shared" si="3849"/>
        <v/>
      </c>
      <c r="CC604" s="23">
        <f t="shared" si="3850"/>
        <v>0</v>
      </c>
      <c r="CD604" s="49" t="str">
        <f t="shared" si="3812"/>
        <v/>
      </c>
      <c r="CE604" s="56" t="str">
        <f>IF(CF604="","",MAX(CE$10:$CE603)+1)</f>
        <v/>
      </c>
      <c r="CF604" t="str">
        <f t="shared" si="3851"/>
        <v/>
      </c>
      <c r="CG604" s="22" t="str">
        <f>IF(CH604="","",MAX($CG$10:CG603)+1)</f>
        <v/>
      </c>
      <c r="CH604" s="22" t="str">
        <f t="shared" si="3796"/>
        <v/>
      </c>
      <c r="CI604" s="22" t="str">
        <f>IF(CJ604="","",MAX($CI$10:CI603)+1)</f>
        <v/>
      </c>
      <c r="CJ604" s="22" t="str">
        <f t="shared" si="3797"/>
        <v/>
      </c>
    </row>
    <row r="605" spans="2:88" x14ac:dyDescent="0.25">
      <c r="B605" s="37"/>
      <c r="C605" s="3"/>
      <c r="D605" s="77" t="str">
        <f t="shared" si="3783"/>
        <v/>
      </c>
      <c r="E605" s="38"/>
      <c r="F605" s="38"/>
      <c r="G605" s="78">
        <f t="shared" si="3798"/>
        <v>0</v>
      </c>
      <c r="H605" s="3">
        <v>80</v>
      </c>
      <c r="I605" s="77" t="str">
        <f t="shared" si="3784"/>
        <v/>
      </c>
      <c r="J605" s="32"/>
      <c r="K605" s="3"/>
      <c r="L605" s="39"/>
      <c r="M605" s="39"/>
      <c r="N605" s="39"/>
      <c r="O605" s="39"/>
      <c r="P605" s="39"/>
      <c r="Q605" s="39"/>
      <c r="R605" s="39"/>
      <c r="S605" s="39"/>
      <c r="T605" s="3" t="s">
        <v>645</v>
      </c>
      <c r="U605" s="77" t="str">
        <f t="shared" si="3785"/>
        <v/>
      </c>
      <c r="V605" s="39">
        <v>1</v>
      </c>
      <c r="W605" s="79">
        <f t="shared" si="3799"/>
        <v>0</v>
      </c>
      <c r="X605" s="3">
        <v>0</v>
      </c>
      <c r="Y605" s="77" t="str">
        <f t="shared" si="3786"/>
        <v/>
      </c>
      <c r="Z605" s="3"/>
      <c r="AA605" s="37" t="str">
        <f t="shared" si="3800"/>
        <v/>
      </c>
      <c r="AC605" s="40"/>
      <c r="AD605" s="7"/>
      <c r="AE605" s="77" t="str">
        <f t="shared" si="3787"/>
        <v/>
      </c>
      <c r="AF605" s="81">
        <f t="shared" si="3813"/>
        <v>0</v>
      </c>
      <c r="AG605" s="40"/>
      <c r="AH605" s="7"/>
      <c r="AI605" s="77" t="str">
        <f t="shared" si="3788"/>
        <v/>
      </c>
      <c r="AJ605" s="81">
        <f t="shared" si="3814"/>
        <v>0</v>
      </c>
      <c r="AK605" s="83">
        <f t="shared" si="3815"/>
        <v>0</v>
      </c>
      <c r="AL605" s="83">
        <f t="shared" si="3816"/>
        <v>0</v>
      </c>
      <c r="AN605" s="43">
        <f t="shared" si="3789"/>
        <v>0</v>
      </c>
      <c r="AP605" t="str">
        <f t="shared" si="3817"/>
        <v/>
      </c>
      <c r="AQ605" t="str">
        <f t="shared" si="3818"/>
        <v/>
      </c>
      <c r="AR605" t="str">
        <f t="shared" si="3819"/>
        <v/>
      </c>
      <c r="AS605" t="str">
        <f t="shared" si="3820"/>
        <v/>
      </c>
      <c r="AT605" t="str">
        <f t="shared" si="3821"/>
        <v/>
      </c>
      <c r="AU605" t="str">
        <f t="shared" si="3822"/>
        <v/>
      </c>
      <c r="AV605" t="str">
        <f t="shared" si="3823"/>
        <v/>
      </c>
      <c r="AW605" t="str">
        <f t="shared" si="3824"/>
        <v xml:space="preserve">                              </v>
      </c>
      <c r="AX605" s="23">
        <f t="shared" si="3825"/>
        <v>0</v>
      </c>
      <c r="AY605" s="49" t="str">
        <f t="shared" si="3801"/>
        <v>000000000000000</v>
      </c>
      <c r="AZ605" s="23">
        <f t="shared" si="3826"/>
        <v>0</v>
      </c>
      <c r="BA605" s="49" t="str">
        <f t="shared" si="3801"/>
        <v>000000000000000</v>
      </c>
      <c r="BB605" s="23">
        <f t="shared" si="3827"/>
        <v>0</v>
      </c>
      <c r="BC605" s="49" t="str">
        <f t="shared" ref="BC605" si="3936">IF(BB605&lt;0,SUBSTITUTE(TEXT(BB605,"000000000000,00"),",",""),SUBSTITUTE(TEXT(BB605,"0000000000000,00"),",",""))</f>
        <v>000000000000000</v>
      </c>
      <c r="BD605" s="23">
        <f t="shared" si="3829"/>
        <v>0</v>
      </c>
      <c r="BE605" s="49" t="str">
        <f t="shared" ref="BE605" si="3937">IF(BD605&lt;0,SUBSTITUTE(TEXT(BD605,"000000000000,00"),",",""),SUBSTITUTE(TEXT(BD605,"0000000000000,00"),",",""))</f>
        <v>000000000000000</v>
      </c>
      <c r="BF605" s="23">
        <f t="shared" si="3831"/>
        <v>0</v>
      </c>
      <c r="BG605" s="49" t="str">
        <f t="shared" ref="BG605" si="3938">IF(BF605&lt;0,SUBSTITUTE(TEXT(BF605,"000000000000,00"),",",""),SUBSTITUTE(TEXT(BF605,"0000000000000,00"),",",""))</f>
        <v>000000000000000</v>
      </c>
      <c r="BH605" s="23">
        <f t="shared" si="3833"/>
        <v>0</v>
      </c>
      <c r="BI605" s="49" t="str">
        <f t="shared" ref="BI605" si="3939">IF(BH605&lt;0,SUBSTITUTE(TEXT(BH605,"000000000000,00"),",",""),SUBSTITUTE(TEXT(BH605,"0000000000000,00"),",",""))</f>
        <v>000000000000000</v>
      </c>
      <c r="BJ605" s="23">
        <f t="shared" si="3835"/>
        <v>0</v>
      </c>
      <c r="BK605" s="49" t="str">
        <f t="shared" ref="BK605" si="3940">IF(BJ605&lt;0,SUBSTITUTE(TEXT(BJ605,"000000000000,00"),",",""),SUBSTITUTE(TEXT(BJ605,"0000000000000,00"),",",""))</f>
        <v>000000000000000</v>
      </c>
      <c r="BL605" s="23">
        <f t="shared" si="3837"/>
        <v>0</v>
      </c>
      <c r="BM605" s="49" t="str">
        <f t="shared" ref="BM605" si="3941">IF(BL605&lt;0,SUBSTITUTE(TEXT(BL605,"000000000000,00"),",",""),SUBSTITUTE(TEXT(BL605,"0000000000000,00"),",",""))</f>
        <v>000000000000000</v>
      </c>
      <c r="BN605" t="str">
        <f t="shared" si="3839"/>
        <v>PES</v>
      </c>
      <c r="BO605" t="str">
        <f t="shared" si="3840"/>
        <v>0001000000</v>
      </c>
      <c r="BP605">
        <f t="shared" si="3841"/>
        <v>0</v>
      </c>
      <c r="BQ605">
        <f t="shared" si="3842"/>
        <v>0</v>
      </c>
      <c r="BR605" s="23">
        <f t="shared" si="3843"/>
        <v>0</v>
      </c>
      <c r="BS605" s="49" t="str">
        <f t="shared" si="3808"/>
        <v>000000000000000</v>
      </c>
      <c r="BT605" t="str">
        <f t="shared" si="3844"/>
        <v>00000000</v>
      </c>
      <c r="BU605" s="23">
        <f t="shared" si="3845"/>
        <v>0</v>
      </c>
      <c r="BV605" s="49" t="str">
        <f t="shared" si="3809"/>
        <v/>
      </c>
      <c r="BW605" s="52" t="str">
        <f t="shared" si="3846"/>
        <v/>
      </c>
      <c r="BX605" s="23">
        <f t="shared" si="3847"/>
        <v>0</v>
      </c>
      <c r="BY605" s="49" t="str">
        <f t="shared" si="3810"/>
        <v/>
      </c>
      <c r="BZ605" s="23">
        <f t="shared" si="3848"/>
        <v>0</v>
      </c>
      <c r="CA605" s="49" t="str">
        <f t="shared" si="3811"/>
        <v/>
      </c>
      <c r="CB605" s="52" t="str">
        <f t="shared" si="3849"/>
        <v/>
      </c>
      <c r="CC605" s="23">
        <f t="shared" si="3850"/>
        <v>0</v>
      </c>
      <c r="CD605" s="49" t="str">
        <f t="shared" si="3812"/>
        <v/>
      </c>
      <c r="CE605" s="56" t="str">
        <f>IF(CF605="","",MAX(CE$10:$CE604)+1)</f>
        <v/>
      </c>
      <c r="CF605" t="str">
        <f t="shared" si="3851"/>
        <v/>
      </c>
      <c r="CG605" s="22" t="str">
        <f>IF(CH605="","",MAX($CG$10:CG604)+1)</f>
        <v/>
      </c>
      <c r="CH605" s="22" t="str">
        <f t="shared" si="3796"/>
        <v/>
      </c>
      <c r="CI605" s="22" t="str">
        <f>IF(CJ605="","",MAX($CI$10:CI604)+1)</f>
        <v/>
      </c>
      <c r="CJ605" s="22" t="str">
        <f t="shared" si="3797"/>
        <v/>
      </c>
    </row>
    <row r="606" spans="2:88" x14ac:dyDescent="0.25">
      <c r="B606" s="37"/>
      <c r="C606" s="3"/>
      <c r="D606" s="77" t="str">
        <f t="shared" si="3783"/>
        <v/>
      </c>
      <c r="E606" s="38"/>
      <c r="F606" s="38"/>
      <c r="G606" s="78">
        <f t="shared" si="3798"/>
        <v>0</v>
      </c>
      <c r="H606" s="3">
        <v>80</v>
      </c>
      <c r="I606" s="77" t="str">
        <f t="shared" si="3784"/>
        <v/>
      </c>
      <c r="J606" s="32"/>
      <c r="K606" s="3"/>
      <c r="L606" s="39"/>
      <c r="M606" s="39"/>
      <c r="N606" s="39"/>
      <c r="O606" s="39"/>
      <c r="P606" s="39"/>
      <c r="Q606" s="39"/>
      <c r="R606" s="39"/>
      <c r="S606" s="39"/>
      <c r="T606" s="3" t="s">
        <v>645</v>
      </c>
      <c r="U606" s="77" t="str">
        <f t="shared" si="3785"/>
        <v/>
      </c>
      <c r="V606" s="39">
        <v>1</v>
      </c>
      <c r="W606" s="79">
        <f t="shared" si="3799"/>
        <v>0</v>
      </c>
      <c r="X606" s="3">
        <v>0</v>
      </c>
      <c r="Y606" s="77" t="str">
        <f t="shared" si="3786"/>
        <v/>
      </c>
      <c r="Z606" s="3"/>
      <c r="AA606" s="37" t="str">
        <f t="shared" si="3800"/>
        <v/>
      </c>
      <c r="AC606" s="40"/>
      <c r="AD606" s="7"/>
      <c r="AE606" s="77" t="str">
        <f t="shared" si="3787"/>
        <v/>
      </c>
      <c r="AF606" s="81">
        <f t="shared" si="3813"/>
        <v>0</v>
      </c>
      <c r="AG606" s="40"/>
      <c r="AH606" s="7"/>
      <c r="AI606" s="77" t="str">
        <f t="shared" si="3788"/>
        <v/>
      </c>
      <c r="AJ606" s="81">
        <f t="shared" si="3814"/>
        <v>0</v>
      </c>
      <c r="AK606" s="83">
        <f t="shared" si="3815"/>
        <v>0</v>
      </c>
      <c r="AL606" s="83">
        <f t="shared" si="3816"/>
        <v>0</v>
      </c>
      <c r="AN606" s="43">
        <f t="shared" si="3789"/>
        <v>0</v>
      </c>
      <c r="AP606" t="str">
        <f t="shared" si="3817"/>
        <v/>
      </c>
      <c r="AQ606" t="str">
        <f t="shared" si="3818"/>
        <v/>
      </c>
      <c r="AR606" t="str">
        <f t="shared" si="3819"/>
        <v/>
      </c>
      <c r="AS606" t="str">
        <f t="shared" si="3820"/>
        <v/>
      </c>
      <c r="AT606" t="str">
        <f t="shared" si="3821"/>
        <v/>
      </c>
      <c r="AU606" t="str">
        <f t="shared" si="3822"/>
        <v/>
      </c>
      <c r="AV606" t="str">
        <f t="shared" si="3823"/>
        <v/>
      </c>
      <c r="AW606" t="str">
        <f t="shared" si="3824"/>
        <v xml:space="preserve">                              </v>
      </c>
      <c r="AX606" s="23">
        <f t="shared" si="3825"/>
        <v>0</v>
      </c>
      <c r="AY606" s="49" t="str">
        <f t="shared" si="3801"/>
        <v>000000000000000</v>
      </c>
      <c r="AZ606" s="23">
        <f t="shared" si="3826"/>
        <v>0</v>
      </c>
      <c r="BA606" s="49" t="str">
        <f t="shared" si="3801"/>
        <v>000000000000000</v>
      </c>
      <c r="BB606" s="23">
        <f t="shared" si="3827"/>
        <v>0</v>
      </c>
      <c r="BC606" s="49" t="str">
        <f t="shared" ref="BC606" si="3942">IF(BB606&lt;0,SUBSTITUTE(TEXT(BB606,"000000000000,00"),",",""),SUBSTITUTE(TEXT(BB606,"0000000000000,00"),",",""))</f>
        <v>000000000000000</v>
      </c>
      <c r="BD606" s="23">
        <f t="shared" si="3829"/>
        <v>0</v>
      </c>
      <c r="BE606" s="49" t="str">
        <f t="shared" ref="BE606" si="3943">IF(BD606&lt;0,SUBSTITUTE(TEXT(BD606,"000000000000,00"),",",""),SUBSTITUTE(TEXT(BD606,"0000000000000,00"),",",""))</f>
        <v>000000000000000</v>
      </c>
      <c r="BF606" s="23">
        <f t="shared" si="3831"/>
        <v>0</v>
      </c>
      <c r="BG606" s="49" t="str">
        <f t="shared" ref="BG606" si="3944">IF(BF606&lt;0,SUBSTITUTE(TEXT(BF606,"000000000000,00"),",",""),SUBSTITUTE(TEXT(BF606,"0000000000000,00"),",",""))</f>
        <v>000000000000000</v>
      </c>
      <c r="BH606" s="23">
        <f t="shared" si="3833"/>
        <v>0</v>
      </c>
      <c r="BI606" s="49" t="str">
        <f t="shared" ref="BI606" si="3945">IF(BH606&lt;0,SUBSTITUTE(TEXT(BH606,"000000000000,00"),",",""),SUBSTITUTE(TEXT(BH606,"0000000000000,00"),",",""))</f>
        <v>000000000000000</v>
      </c>
      <c r="BJ606" s="23">
        <f t="shared" si="3835"/>
        <v>0</v>
      </c>
      <c r="BK606" s="49" t="str">
        <f t="shared" ref="BK606" si="3946">IF(BJ606&lt;0,SUBSTITUTE(TEXT(BJ606,"000000000000,00"),",",""),SUBSTITUTE(TEXT(BJ606,"0000000000000,00"),",",""))</f>
        <v>000000000000000</v>
      </c>
      <c r="BL606" s="23">
        <f t="shared" si="3837"/>
        <v>0</v>
      </c>
      <c r="BM606" s="49" t="str">
        <f t="shared" ref="BM606" si="3947">IF(BL606&lt;0,SUBSTITUTE(TEXT(BL606,"000000000000,00"),",",""),SUBSTITUTE(TEXT(BL606,"0000000000000,00"),",",""))</f>
        <v>000000000000000</v>
      </c>
      <c r="BN606" t="str">
        <f t="shared" si="3839"/>
        <v>PES</v>
      </c>
      <c r="BO606" t="str">
        <f t="shared" si="3840"/>
        <v>0001000000</v>
      </c>
      <c r="BP606">
        <f t="shared" si="3841"/>
        <v>0</v>
      </c>
      <c r="BQ606">
        <f t="shared" si="3842"/>
        <v>0</v>
      </c>
      <c r="BR606" s="23">
        <f t="shared" si="3843"/>
        <v>0</v>
      </c>
      <c r="BS606" s="49" t="str">
        <f t="shared" si="3808"/>
        <v>000000000000000</v>
      </c>
      <c r="BT606" t="str">
        <f t="shared" si="3844"/>
        <v>00000000</v>
      </c>
      <c r="BU606" s="23">
        <f t="shared" si="3845"/>
        <v>0</v>
      </c>
      <c r="BV606" s="49" t="str">
        <f t="shared" si="3809"/>
        <v/>
      </c>
      <c r="BW606" s="52" t="str">
        <f t="shared" si="3846"/>
        <v/>
      </c>
      <c r="BX606" s="23">
        <f t="shared" si="3847"/>
        <v>0</v>
      </c>
      <c r="BY606" s="49" t="str">
        <f t="shared" si="3810"/>
        <v/>
      </c>
      <c r="BZ606" s="23">
        <f t="shared" si="3848"/>
        <v>0</v>
      </c>
      <c r="CA606" s="49" t="str">
        <f t="shared" si="3811"/>
        <v/>
      </c>
      <c r="CB606" s="52" t="str">
        <f t="shared" si="3849"/>
        <v/>
      </c>
      <c r="CC606" s="23">
        <f t="shared" si="3850"/>
        <v>0</v>
      </c>
      <c r="CD606" s="49" t="str">
        <f t="shared" si="3812"/>
        <v/>
      </c>
      <c r="CE606" s="56" t="str">
        <f>IF(CF606="","",MAX(CE$10:$CE605)+1)</f>
        <v/>
      </c>
      <c r="CF606" t="str">
        <f t="shared" si="3851"/>
        <v/>
      </c>
      <c r="CG606" s="22" t="str">
        <f>IF(CH606="","",MAX($CG$10:CG605)+1)</f>
        <v/>
      </c>
      <c r="CH606" s="22" t="str">
        <f t="shared" si="3796"/>
        <v/>
      </c>
      <c r="CI606" s="22" t="str">
        <f>IF(CJ606="","",MAX($CI$10:CI605)+1)</f>
        <v/>
      </c>
      <c r="CJ606" s="22" t="str">
        <f t="shared" si="3797"/>
        <v/>
      </c>
    </row>
    <row r="607" spans="2:88" x14ac:dyDescent="0.25">
      <c r="B607" s="37"/>
      <c r="C607" s="3"/>
      <c r="D607" s="77" t="str">
        <f t="shared" si="3783"/>
        <v/>
      </c>
      <c r="E607" s="38"/>
      <c r="F607" s="38"/>
      <c r="G607" s="78">
        <f t="shared" si="3798"/>
        <v>0</v>
      </c>
      <c r="H607" s="3">
        <v>80</v>
      </c>
      <c r="I607" s="77" t="str">
        <f t="shared" si="3784"/>
        <v/>
      </c>
      <c r="J607" s="32"/>
      <c r="K607" s="3"/>
      <c r="L607" s="39"/>
      <c r="M607" s="39"/>
      <c r="N607" s="39"/>
      <c r="O607" s="39"/>
      <c r="P607" s="39"/>
      <c r="Q607" s="39"/>
      <c r="R607" s="39"/>
      <c r="S607" s="39"/>
      <c r="T607" s="3" t="s">
        <v>645</v>
      </c>
      <c r="U607" s="77" t="str">
        <f t="shared" si="3785"/>
        <v/>
      </c>
      <c r="V607" s="39">
        <v>1</v>
      </c>
      <c r="W607" s="79">
        <f t="shared" si="3799"/>
        <v>0</v>
      </c>
      <c r="X607" s="3">
        <v>0</v>
      </c>
      <c r="Y607" s="77" t="str">
        <f t="shared" si="3786"/>
        <v/>
      </c>
      <c r="Z607" s="3"/>
      <c r="AA607" s="37" t="str">
        <f t="shared" si="3800"/>
        <v/>
      </c>
      <c r="AC607" s="40"/>
      <c r="AD607" s="7"/>
      <c r="AE607" s="77" t="str">
        <f t="shared" si="3787"/>
        <v/>
      </c>
      <c r="AF607" s="81">
        <f t="shared" si="3813"/>
        <v>0</v>
      </c>
      <c r="AG607" s="40"/>
      <c r="AH607" s="7"/>
      <c r="AI607" s="77" t="str">
        <f t="shared" si="3788"/>
        <v/>
      </c>
      <c r="AJ607" s="81">
        <f t="shared" si="3814"/>
        <v>0</v>
      </c>
      <c r="AK607" s="83">
        <f t="shared" si="3815"/>
        <v>0</v>
      </c>
      <c r="AL607" s="83">
        <f t="shared" si="3816"/>
        <v>0</v>
      </c>
      <c r="AN607" s="43">
        <f t="shared" si="3789"/>
        <v>0</v>
      </c>
      <c r="AP607" t="str">
        <f t="shared" si="3817"/>
        <v/>
      </c>
      <c r="AQ607" t="str">
        <f t="shared" si="3818"/>
        <v/>
      </c>
      <c r="AR607" t="str">
        <f t="shared" si="3819"/>
        <v/>
      </c>
      <c r="AS607" t="str">
        <f t="shared" si="3820"/>
        <v/>
      </c>
      <c r="AT607" t="str">
        <f t="shared" si="3821"/>
        <v/>
      </c>
      <c r="AU607" t="str">
        <f t="shared" si="3822"/>
        <v/>
      </c>
      <c r="AV607" t="str">
        <f t="shared" si="3823"/>
        <v/>
      </c>
      <c r="AW607" t="str">
        <f t="shared" si="3824"/>
        <v xml:space="preserve">                              </v>
      </c>
      <c r="AX607" s="23">
        <f t="shared" si="3825"/>
        <v>0</v>
      </c>
      <c r="AY607" s="49" t="str">
        <f t="shared" si="3801"/>
        <v>000000000000000</v>
      </c>
      <c r="AZ607" s="23">
        <f t="shared" si="3826"/>
        <v>0</v>
      </c>
      <c r="BA607" s="49" t="str">
        <f t="shared" si="3801"/>
        <v>000000000000000</v>
      </c>
      <c r="BB607" s="23">
        <f t="shared" si="3827"/>
        <v>0</v>
      </c>
      <c r="BC607" s="49" t="str">
        <f t="shared" ref="BC607" si="3948">IF(BB607&lt;0,SUBSTITUTE(TEXT(BB607,"000000000000,00"),",",""),SUBSTITUTE(TEXT(BB607,"0000000000000,00"),",",""))</f>
        <v>000000000000000</v>
      </c>
      <c r="BD607" s="23">
        <f t="shared" si="3829"/>
        <v>0</v>
      </c>
      <c r="BE607" s="49" t="str">
        <f t="shared" ref="BE607" si="3949">IF(BD607&lt;0,SUBSTITUTE(TEXT(BD607,"000000000000,00"),",",""),SUBSTITUTE(TEXT(BD607,"0000000000000,00"),",",""))</f>
        <v>000000000000000</v>
      </c>
      <c r="BF607" s="23">
        <f t="shared" si="3831"/>
        <v>0</v>
      </c>
      <c r="BG607" s="49" t="str">
        <f t="shared" ref="BG607" si="3950">IF(BF607&lt;0,SUBSTITUTE(TEXT(BF607,"000000000000,00"),",",""),SUBSTITUTE(TEXT(BF607,"0000000000000,00"),",",""))</f>
        <v>000000000000000</v>
      </c>
      <c r="BH607" s="23">
        <f t="shared" si="3833"/>
        <v>0</v>
      </c>
      <c r="BI607" s="49" t="str">
        <f t="shared" ref="BI607" si="3951">IF(BH607&lt;0,SUBSTITUTE(TEXT(BH607,"000000000000,00"),",",""),SUBSTITUTE(TEXT(BH607,"0000000000000,00"),",",""))</f>
        <v>000000000000000</v>
      </c>
      <c r="BJ607" s="23">
        <f t="shared" si="3835"/>
        <v>0</v>
      </c>
      <c r="BK607" s="49" t="str">
        <f t="shared" ref="BK607" si="3952">IF(BJ607&lt;0,SUBSTITUTE(TEXT(BJ607,"000000000000,00"),",",""),SUBSTITUTE(TEXT(BJ607,"0000000000000,00"),",",""))</f>
        <v>000000000000000</v>
      </c>
      <c r="BL607" s="23">
        <f t="shared" si="3837"/>
        <v>0</v>
      </c>
      <c r="BM607" s="49" t="str">
        <f t="shared" ref="BM607" si="3953">IF(BL607&lt;0,SUBSTITUTE(TEXT(BL607,"000000000000,00"),",",""),SUBSTITUTE(TEXT(BL607,"0000000000000,00"),",",""))</f>
        <v>000000000000000</v>
      </c>
      <c r="BN607" t="str">
        <f t="shared" si="3839"/>
        <v>PES</v>
      </c>
      <c r="BO607" t="str">
        <f t="shared" si="3840"/>
        <v>0001000000</v>
      </c>
      <c r="BP607">
        <f t="shared" si="3841"/>
        <v>0</v>
      </c>
      <c r="BQ607">
        <f t="shared" si="3842"/>
        <v>0</v>
      </c>
      <c r="BR607" s="23">
        <f t="shared" si="3843"/>
        <v>0</v>
      </c>
      <c r="BS607" s="49" t="str">
        <f t="shared" si="3808"/>
        <v>000000000000000</v>
      </c>
      <c r="BT607" t="str">
        <f t="shared" si="3844"/>
        <v>00000000</v>
      </c>
      <c r="BU607" s="23">
        <f t="shared" si="3845"/>
        <v>0</v>
      </c>
      <c r="BV607" s="49" t="str">
        <f t="shared" si="3809"/>
        <v/>
      </c>
      <c r="BW607" s="52" t="str">
        <f t="shared" si="3846"/>
        <v/>
      </c>
      <c r="BX607" s="23">
        <f t="shared" si="3847"/>
        <v>0</v>
      </c>
      <c r="BY607" s="49" t="str">
        <f t="shared" si="3810"/>
        <v/>
      </c>
      <c r="BZ607" s="23">
        <f t="shared" si="3848"/>
        <v>0</v>
      </c>
      <c r="CA607" s="49" t="str">
        <f t="shared" si="3811"/>
        <v/>
      </c>
      <c r="CB607" s="52" t="str">
        <f t="shared" si="3849"/>
        <v/>
      </c>
      <c r="CC607" s="23">
        <f t="shared" si="3850"/>
        <v>0</v>
      </c>
      <c r="CD607" s="49" t="str">
        <f t="shared" si="3812"/>
        <v/>
      </c>
      <c r="CE607" s="56" t="str">
        <f>IF(CF607="","",MAX(CE$10:$CE606)+1)</f>
        <v/>
      </c>
      <c r="CF607" t="str">
        <f t="shared" si="3851"/>
        <v/>
      </c>
      <c r="CG607" s="22" t="str">
        <f>IF(CH607="","",MAX($CG$10:CG606)+1)</f>
        <v/>
      </c>
      <c r="CH607" s="22" t="str">
        <f t="shared" si="3796"/>
        <v/>
      </c>
      <c r="CI607" s="22" t="str">
        <f>IF(CJ607="","",MAX($CI$10:CI606)+1)</f>
        <v/>
      </c>
      <c r="CJ607" s="22" t="str">
        <f t="shared" si="3797"/>
        <v/>
      </c>
    </row>
    <row r="608" spans="2:88" x14ac:dyDescent="0.25">
      <c r="B608" s="37"/>
      <c r="C608" s="3"/>
      <c r="D608" s="77" t="str">
        <f t="shared" si="3783"/>
        <v/>
      </c>
      <c r="E608" s="38"/>
      <c r="F608" s="38"/>
      <c r="G608" s="78">
        <f t="shared" si="3798"/>
        <v>0</v>
      </c>
      <c r="H608" s="3">
        <v>80</v>
      </c>
      <c r="I608" s="77" t="str">
        <f t="shared" si="3784"/>
        <v/>
      </c>
      <c r="J608" s="32"/>
      <c r="K608" s="3"/>
      <c r="L608" s="39"/>
      <c r="M608" s="39"/>
      <c r="N608" s="39"/>
      <c r="O608" s="39"/>
      <c r="P608" s="39"/>
      <c r="Q608" s="39"/>
      <c r="R608" s="39"/>
      <c r="S608" s="39"/>
      <c r="T608" s="3" t="s">
        <v>645</v>
      </c>
      <c r="U608" s="77" t="str">
        <f t="shared" si="3785"/>
        <v/>
      </c>
      <c r="V608" s="39">
        <v>1</v>
      </c>
      <c r="W608" s="79">
        <f t="shared" si="3799"/>
        <v>0</v>
      </c>
      <c r="X608" s="3">
        <v>0</v>
      </c>
      <c r="Y608" s="77" t="str">
        <f t="shared" si="3786"/>
        <v/>
      </c>
      <c r="Z608" s="3"/>
      <c r="AA608" s="37" t="str">
        <f t="shared" si="3800"/>
        <v/>
      </c>
      <c r="AC608" s="40"/>
      <c r="AD608" s="7"/>
      <c r="AE608" s="77" t="str">
        <f t="shared" si="3787"/>
        <v/>
      </c>
      <c r="AF608" s="81">
        <f t="shared" si="3813"/>
        <v>0</v>
      </c>
      <c r="AG608" s="40"/>
      <c r="AH608" s="7"/>
      <c r="AI608" s="77" t="str">
        <f t="shared" si="3788"/>
        <v/>
      </c>
      <c r="AJ608" s="81">
        <f t="shared" si="3814"/>
        <v>0</v>
      </c>
      <c r="AK608" s="83">
        <f t="shared" si="3815"/>
        <v>0</v>
      </c>
      <c r="AL608" s="83">
        <f t="shared" si="3816"/>
        <v>0</v>
      </c>
      <c r="AN608" s="43">
        <f t="shared" si="3789"/>
        <v>0</v>
      </c>
      <c r="AP608" t="str">
        <f t="shared" si="3817"/>
        <v/>
      </c>
      <c r="AQ608" t="str">
        <f t="shared" si="3818"/>
        <v/>
      </c>
      <c r="AR608" t="str">
        <f t="shared" si="3819"/>
        <v/>
      </c>
      <c r="AS608" t="str">
        <f t="shared" si="3820"/>
        <v/>
      </c>
      <c r="AT608" t="str">
        <f t="shared" si="3821"/>
        <v/>
      </c>
      <c r="AU608" t="str">
        <f t="shared" si="3822"/>
        <v/>
      </c>
      <c r="AV608" t="str">
        <f t="shared" si="3823"/>
        <v/>
      </c>
      <c r="AW608" t="str">
        <f t="shared" si="3824"/>
        <v xml:space="preserve">                              </v>
      </c>
      <c r="AX608" s="23">
        <f t="shared" si="3825"/>
        <v>0</v>
      </c>
      <c r="AY608" s="49" t="str">
        <f t="shared" si="3801"/>
        <v>000000000000000</v>
      </c>
      <c r="AZ608" s="23">
        <f t="shared" si="3826"/>
        <v>0</v>
      </c>
      <c r="BA608" s="49" t="str">
        <f t="shared" si="3801"/>
        <v>000000000000000</v>
      </c>
      <c r="BB608" s="23">
        <f t="shared" si="3827"/>
        <v>0</v>
      </c>
      <c r="BC608" s="49" t="str">
        <f t="shared" ref="BC608" si="3954">IF(BB608&lt;0,SUBSTITUTE(TEXT(BB608,"000000000000,00"),",",""),SUBSTITUTE(TEXT(BB608,"0000000000000,00"),",",""))</f>
        <v>000000000000000</v>
      </c>
      <c r="BD608" s="23">
        <f t="shared" si="3829"/>
        <v>0</v>
      </c>
      <c r="BE608" s="49" t="str">
        <f t="shared" ref="BE608" si="3955">IF(BD608&lt;0,SUBSTITUTE(TEXT(BD608,"000000000000,00"),",",""),SUBSTITUTE(TEXT(BD608,"0000000000000,00"),",",""))</f>
        <v>000000000000000</v>
      </c>
      <c r="BF608" s="23">
        <f t="shared" si="3831"/>
        <v>0</v>
      </c>
      <c r="BG608" s="49" t="str">
        <f t="shared" ref="BG608" si="3956">IF(BF608&lt;0,SUBSTITUTE(TEXT(BF608,"000000000000,00"),",",""),SUBSTITUTE(TEXT(BF608,"0000000000000,00"),",",""))</f>
        <v>000000000000000</v>
      </c>
      <c r="BH608" s="23">
        <f t="shared" si="3833"/>
        <v>0</v>
      </c>
      <c r="BI608" s="49" t="str">
        <f t="shared" ref="BI608" si="3957">IF(BH608&lt;0,SUBSTITUTE(TEXT(BH608,"000000000000,00"),",",""),SUBSTITUTE(TEXT(BH608,"0000000000000,00"),",",""))</f>
        <v>000000000000000</v>
      </c>
      <c r="BJ608" s="23">
        <f t="shared" si="3835"/>
        <v>0</v>
      </c>
      <c r="BK608" s="49" t="str">
        <f t="shared" ref="BK608" si="3958">IF(BJ608&lt;0,SUBSTITUTE(TEXT(BJ608,"000000000000,00"),",",""),SUBSTITUTE(TEXT(BJ608,"0000000000000,00"),",",""))</f>
        <v>000000000000000</v>
      </c>
      <c r="BL608" s="23">
        <f t="shared" si="3837"/>
        <v>0</v>
      </c>
      <c r="BM608" s="49" t="str">
        <f t="shared" ref="BM608" si="3959">IF(BL608&lt;0,SUBSTITUTE(TEXT(BL608,"000000000000,00"),",",""),SUBSTITUTE(TEXT(BL608,"0000000000000,00"),",",""))</f>
        <v>000000000000000</v>
      </c>
      <c r="BN608" t="str">
        <f t="shared" si="3839"/>
        <v>PES</v>
      </c>
      <c r="BO608" t="str">
        <f t="shared" si="3840"/>
        <v>0001000000</v>
      </c>
      <c r="BP608">
        <f t="shared" si="3841"/>
        <v>0</v>
      </c>
      <c r="BQ608">
        <f t="shared" si="3842"/>
        <v>0</v>
      </c>
      <c r="BR608" s="23">
        <f t="shared" si="3843"/>
        <v>0</v>
      </c>
      <c r="BS608" s="49" t="str">
        <f t="shared" si="3808"/>
        <v>000000000000000</v>
      </c>
      <c r="BT608" t="str">
        <f t="shared" si="3844"/>
        <v>00000000</v>
      </c>
      <c r="BU608" s="23">
        <f t="shared" si="3845"/>
        <v>0</v>
      </c>
      <c r="BV608" s="49" t="str">
        <f t="shared" si="3809"/>
        <v/>
      </c>
      <c r="BW608" s="52" t="str">
        <f t="shared" si="3846"/>
        <v/>
      </c>
      <c r="BX608" s="23">
        <f t="shared" si="3847"/>
        <v>0</v>
      </c>
      <c r="BY608" s="49" t="str">
        <f t="shared" si="3810"/>
        <v/>
      </c>
      <c r="BZ608" s="23">
        <f t="shared" si="3848"/>
        <v>0</v>
      </c>
      <c r="CA608" s="49" t="str">
        <f t="shared" si="3811"/>
        <v/>
      </c>
      <c r="CB608" s="52" t="str">
        <f t="shared" si="3849"/>
        <v/>
      </c>
      <c r="CC608" s="23">
        <f t="shared" si="3850"/>
        <v>0</v>
      </c>
      <c r="CD608" s="49" t="str">
        <f t="shared" si="3812"/>
        <v/>
      </c>
      <c r="CE608" s="56" t="str">
        <f>IF(CF608="","",MAX(CE$10:$CE607)+1)</f>
        <v/>
      </c>
      <c r="CF608" t="str">
        <f t="shared" si="3851"/>
        <v/>
      </c>
      <c r="CG608" s="22" t="str">
        <f>IF(CH608="","",MAX($CG$10:CG607)+1)</f>
        <v/>
      </c>
      <c r="CH608" s="22" t="str">
        <f t="shared" si="3796"/>
        <v/>
      </c>
      <c r="CI608" s="22" t="str">
        <f>IF(CJ608="","",MAX($CI$10:CI607)+1)</f>
        <v/>
      </c>
      <c r="CJ608" s="22" t="str">
        <f t="shared" si="3797"/>
        <v/>
      </c>
    </row>
    <row r="609" spans="2:88" x14ac:dyDescent="0.25">
      <c r="B609" s="37"/>
      <c r="C609" s="3"/>
      <c r="D609" s="77" t="str">
        <f t="shared" si="3783"/>
        <v/>
      </c>
      <c r="E609" s="38"/>
      <c r="F609" s="38"/>
      <c r="G609" s="78">
        <f t="shared" si="3798"/>
        <v>0</v>
      </c>
      <c r="H609" s="3">
        <v>80</v>
      </c>
      <c r="I609" s="77" t="str">
        <f t="shared" si="3784"/>
        <v/>
      </c>
      <c r="J609" s="32"/>
      <c r="K609" s="3"/>
      <c r="L609" s="39"/>
      <c r="M609" s="39"/>
      <c r="N609" s="39"/>
      <c r="O609" s="39"/>
      <c r="P609" s="39"/>
      <c r="Q609" s="39"/>
      <c r="R609" s="39"/>
      <c r="S609" s="39"/>
      <c r="T609" s="3" t="s">
        <v>645</v>
      </c>
      <c r="U609" s="77" t="str">
        <f t="shared" si="3785"/>
        <v/>
      </c>
      <c r="V609" s="39">
        <v>1</v>
      </c>
      <c r="W609" s="79">
        <f t="shared" si="3799"/>
        <v>0</v>
      </c>
      <c r="X609" s="3">
        <v>0</v>
      </c>
      <c r="Y609" s="77" t="str">
        <f t="shared" si="3786"/>
        <v/>
      </c>
      <c r="Z609" s="3"/>
      <c r="AA609" s="37" t="str">
        <f t="shared" si="3800"/>
        <v/>
      </c>
      <c r="AC609" s="40"/>
      <c r="AD609" s="7"/>
      <c r="AE609" s="77" t="str">
        <f t="shared" si="3787"/>
        <v/>
      </c>
      <c r="AF609" s="81">
        <f t="shared" si="3813"/>
        <v>0</v>
      </c>
      <c r="AG609" s="40"/>
      <c r="AH609" s="7"/>
      <c r="AI609" s="77" t="str">
        <f t="shared" si="3788"/>
        <v/>
      </c>
      <c r="AJ609" s="81">
        <f t="shared" si="3814"/>
        <v>0</v>
      </c>
      <c r="AK609" s="83">
        <f t="shared" si="3815"/>
        <v>0</v>
      </c>
      <c r="AL609" s="83">
        <f t="shared" si="3816"/>
        <v>0</v>
      </c>
      <c r="AN609" s="43">
        <f t="shared" si="3789"/>
        <v>0</v>
      </c>
      <c r="AP609" t="str">
        <f t="shared" si="3817"/>
        <v/>
      </c>
      <c r="AQ609" t="str">
        <f t="shared" si="3818"/>
        <v/>
      </c>
      <c r="AR609" t="str">
        <f t="shared" si="3819"/>
        <v/>
      </c>
      <c r="AS609" t="str">
        <f t="shared" si="3820"/>
        <v/>
      </c>
      <c r="AT609" t="str">
        <f t="shared" si="3821"/>
        <v/>
      </c>
      <c r="AU609" t="str">
        <f t="shared" si="3822"/>
        <v/>
      </c>
      <c r="AV609" t="str">
        <f t="shared" si="3823"/>
        <v/>
      </c>
      <c r="AW609" t="str">
        <f t="shared" si="3824"/>
        <v xml:space="preserve">                              </v>
      </c>
      <c r="AX609" s="23">
        <f t="shared" si="3825"/>
        <v>0</v>
      </c>
      <c r="AY609" s="49" t="str">
        <f t="shared" si="3801"/>
        <v>000000000000000</v>
      </c>
      <c r="AZ609" s="23">
        <f t="shared" si="3826"/>
        <v>0</v>
      </c>
      <c r="BA609" s="49" t="str">
        <f t="shared" si="3801"/>
        <v>000000000000000</v>
      </c>
      <c r="BB609" s="23">
        <f t="shared" si="3827"/>
        <v>0</v>
      </c>
      <c r="BC609" s="49" t="str">
        <f t="shared" ref="BC609" si="3960">IF(BB609&lt;0,SUBSTITUTE(TEXT(BB609,"000000000000,00"),",",""),SUBSTITUTE(TEXT(BB609,"0000000000000,00"),",",""))</f>
        <v>000000000000000</v>
      </c>
      <c r="BD609" s="23">
        <f t="shared" si="3829"/>
        <v>0</v>
      </c>
      <c r="BE609" s="49" t="str">
        <f t="shared" ref="BE609" si="3961">IF(BD609&lt;0,SUBSTITUTE(TEXT(BD609,"000000000000,00"),",",""),SUBSTITUTE(TEXT(BD609,"0000000000000,00"),",",""))</f>
        <v>000000000000000</v>
      </c>
      <c r="BF609" s="23">
        <f t="shared" si="3831"/>
        <v>0</v>
      </c>
      <c r="BG609" s="49" t="str">
        <f t="shared" ref="BG609" si="3962">IF(BF609&lt;0,SUBSTITUTE(TEXT(BF609,"000000000000,00"),",",""),SUBSTITUTE(TEXT(BF609,"0000000000000,00"),",",""))</f>
        <v>000000000000000</v>
      </c>
      <c r="BH609" s="23">
        <f t="shared" si="3833"/>
        <v>0</v>
      </c>
      <c r="BI609" s="49" t="str">
        <f t="shared" ref="BI609" si="3963">IF(BH609&lt;0,SUBSTITUTE(TEXT(BH609,"000000000000,00"),",",""),SUBSTITUTE(TEXT(BH609,"0000000000000,00"),",",""))</f>
        <v>000000000000000</v>
      </c>
      <c r="BJ609" s="23">
        <f t="shared" si="3835"/>
        <v>0</v>
      </c>
      <c r="BK609" s="49" t="str">
        <f t="shared" ref="BK609" si="3964">IF(BJ609&lt;0,SUBSTITUTE(TEXT(BJ609,"000000000000,00"),",",""),SUBSTITUTE(TEXT(BJ609,"0000000000000,00"),",",""))</f>
        <v>000000000000000</v>
      </c>
      <c r="BL609" s="23">
        <f t="shared" si="3837"/>
        <v>0</v>
      </c>
      <c r="BM609" s="49" t="str">
        <f t="shared" ref="BM609" si="3965">IF(BL609&lt;0,SUBSTITUTE(TEXT(BL609,"000000000000,00"),",",""),SUBSTITUTE(TEXT(BL609,"0000000000000,00"),",",""))</f>
        <v>000000000000000</v>
      </c>
      <c r="BN609" t="str">
        <f t="shared" si="3839"/>
        <v>PES</v>
      </c>
      <c r="BO609" t="str">
        <f t="shared" si="3840"/>
        <v>0001000000</v>
      </c>
      <c r="BP609">
        <f t="shared" si="3841"/>
        <v>0</v>
      </c>
      <c r="BQ609">
        <f t="shared" si="3842"/>
        <v>0</v>
      </c>
      <c r="BR609" s="23">
        <f t="shared" si="3843"/>
        <v>0</v>
      </c>
      <c r="BS609" s="49" t="str">
        <f t="shared" si="3808"/>
        <v>000000000000000</v>
      </c>
      <c r="BT609" t="str">
        <f t="shared" si="3844"/>
        <v>00000000</v>
      </c>
      <c r="BU609" s="23">
        <f t="shared" si="3845"/>
        <v>0</v>
      </c>
      <c r="BV609" s="49" t="str">
        <f t="shared" si="3809"/>
        <v/>
      </c>
      <c r="BW609" s="52" t="str">
        <f t="shared" si="3846"/>
        <v/>
      </c>
      <c r="BX609" s="23">
        <f t="shared" si="3847"/>
        <v>0</v>
      </c>
      <c r="BY609" s="49" t="str">
        <f t="shared" si="3810"/>
        <v/>
      </c>
      <c r="BZ609" s="23">
        <f t="shared" si="3848"/>
        <v>0</v>
      </c>
      <c r="CA609" s="49" t="str">
        <f t="shared" si="3811"/>
        <v/>
      </c>
      <c r="CB609" s="52" t="str">
        <f t="shared" si="3849"/>
        <v/>
      </c>
      <c r="CC609" s="23">
        <f t="shared" si="3850"/>
        <v>0</v>
      </c>
      <c r="CD609" s="49" t="str">
        <f t="shared" si="3812"/>
        <v/>
      </c>
      <c r="CE609" s="56" t="str">
        <f>IF(CF609="","",MAX(CE$10:$CE608)+1)</f>
        <v/>
      </c>
      <c r="CF609" t="str">
        <f t="shared" si="3851"/>
        <v/>
      </c>
      <c r="CG609" s="22" t="str">
        <f>IF(CH609="","",MAX($CG$10:CG608)+1)</f>
        <v/>
      </c>
      <c r="CH609" s="22" t="str">
        <f t="shared" si="3796"/>
        <v/>
      </c>
      <c r="CI609" s="22" t="str">
        <f>IF(CJ609="","",MAX($CI$10:CI608)+1)</f>
        <v/>
      </c>
      <c r="CJ609" s="22" t="str">
        <f t="shared" si="3797"/>
        <v/>
      </c>
    </row>
    <row r="610" spans="2:88" x14ac:dyDescent="0.25">
      <c r="B610" s="37"/>
      <c r="C610" s="3"/>
      <c r="D610" s="77" t="str">
        <f t="shared" si="3783"/>
        <v/>
      </c>
      <c r="E610" s="38"/>
      <c r="F610" s="38"/>
      <c r="G610" s="78">
        <f t="shared" si="3798"/>
        <v>0</v>
      </c>
      <c r="H610" s="3">
        <v>80</v>
      </c>
      <c r="I610" s="77" t="str">
        <f t="shared" si="3784"/>
        <v/>
      </c>
      <c r="J610" s="32"/>
      <c r="K610" s="3"/>
      <c r="L610" s="39"/>
      <c r="M610" s="39"/>
      <c r="N610" s="39"/>
      <c r="O610" s="39"/>
      <c r="P610" s="39"/>
      <c r="Q610" s="39"/>
      <c r="R610" s="39"/>
      <c r="S610" s="39"/>
      <c r="T610" s="3" t="s">
        <v>645</v>
      </c>
      <c r="U610" s="77" t="str">
        <f t="shared" si="3785"/>
        <v/>
      </c>
      <c r="V610" s="39">
        <v>1</v>
      </c>
      <c r="W610" s="79">
        <f t="shared" si="3799"/>
        <v>0</v>
      </c>
      <c r="X610" s="3">
        <v>0</v>
      </c>
      <c r="Y610" s="77" t="str">
        <f t="shared" si="3786"/>
        <v/>
      </c>
      <c r="Z610" s="3"/>
      <c r="AA610" s="37" t="str">
        <f t="shared" si="3800"/>
        <v/>
      </c>
      <c r="AC610" s="40"/>
      <c r="AD610" s="7"/>
      <c r="AE610" s="77" t="str">
        <f t="shared" si="3787"/>
        <v/>
      </c>
      <c r="AF610" s="81">
        <f t="shared" si="3813"/>
        <v>0</v>
      </c>
      <c r="AG610" s="40"/>
      <c r="AH610" s="7"/>
      <c r="AI610" s="77" t="str">
        <f t="shared" si="3788"/>
        <v/>
      </c>
      <c r="AJ610" s="81">
        <f t="shared" si="3814"/>
        <v>0</v>
      </c>
      <c r="AK610" s="83">
        <f t="shared" si="3815"/>
        <v>0</v>
      </c>
      <c r="AL610" s="83">
        <f t="shared" si="3816"/>
        <v>0</v>
      </c>
      <c r="AN610" s="43">
        <f t="shared" si="3789"/>
        <v>0</v>
      </c>
      <c r="AP610" t="str">
        <f t="shared" si="3817"/>
        <v/>
      </c>
      <c r="AQ610" t="str">
        <f t="shared" si="3818"/>
        <v/>
      </c>
      <c r="AR610" t="str">
        <f t="shared" si="3819"/>
        <v/>
      </c>
      <c r="AS610" t="str">
        <f t="shared" si="3820"/>
        <v/>
      </c>
      <c r="AT610" t="str">
        <f t="shared" si="3821"/>
        <v/>
      </c>
      <c r="AU610" t="str">
        <f t="shared" si="3822"/>
        <v/>
      </c>
      <c r="AV610" t="str">
        <f t="shared" si="3823"/>
        <v/>
      </c>
      <c r="AW610" t="str">
        <f t="shared" si="3824"/>
        <v xml:space="preserve">                              </v>
      </c>
      <c r="AX610" s="23">
        <f t="shared" si="3825"/>
        <v>0</v>
      </c>
      <c r="AY610" s="49" t="str">
        <f t="shared" si="3801"/>
        <v>000000000000000</v>
      </c>
      <c r="AZ610" s="23">
        <f t="shared" si="3826"/>
        <v>0</v>
      </c>
      <c r="BA610" s="49" t="str">
        <f t="shared" si="3801"/>
        <v>000000000000000</v>
      </c>
      <c r="BB610" s="23">
        <f t="shared" si="3827"/>
        <v>0</v>
      </c>
      <c r="BC610" s="49" t="str">
        <f t="shared" ref="BC610" si="3966">IF(BB610&lt;0,SUBSTITUTE(TEXT(BB610,"000000000000,00"),",",""),SUBSTITUTE(TEXT(BB610,"0000000000000,00"),",",""))</f>
        <v>000000000000000</v>
      </c>
      <c r="BD610" s="23">
        <f t="shared" si="3829"/>
        <v>0</v>
      </c>
      <c r="BE610" s="49" t="str">
        <f t="shared" ref="BE610" si="3967">IF(BD610&lt;0,SUBSTITUTE(TEXT(BD610,"000000000000,00"),",",""),SUBSTITUTE(TEXT(BD610,"0000000000000,00"),",",""))</f>
        <v>000000000000000</v>
      </c>
      <c r="BF610" s="23">
        <f t="shared" si="3831"/>
        <v>0</v>
      </c>
      <c r="BG610" s="49" t="str">
        <f t="shared" ref="BG610" si="3968">IF(BF610&lt;0,SUBSTITUTE(TEXT(BF610,"000000000000,00"),",",""),SUBSTITUTE(TEXT(BF610,"0000000000000,00"),",",""))</f>
        <v>000000000000000</v>
      </c>
      <c r="BH610" s="23">
        <f t="shared" si="3833"/>
        <v>0</v>
      </c>
      <c r="BI610" s="49" t="str">
        <f t="shared" ref="BI610" si="3969">IF(BH610&lt;0,SUBSTITUTE(TEXT(BH610,"000000000000,00"),",",""),SUBSTITUTE(TEXT(BH610,"0000000000000,00"),",",""))</f>
        <v>000000000000000</v>
      </c>
      <c r="BJ610" s="23">
        <f t="shared" si="3835"/>
        <v>0</v>
      </c>
      <c r="BK610" s="49" t="str">
        <f t="shared" ref="BK610" si="3970">IF(BJ610&lt;0,SUBSTITUTE(TEXT(BJ610,"000000000000,00"),",",""),SUBSTITUTE(TEXT(BJ610,"0000000000000,00"),",",""))</f>
        <v>000000000000000</v>
      </c>
      <c r="BL610" s="23">
        <f t="shared" si="3837"/>
        <v>0</v>
      </c>
      <c r="BM610" s="49" t="str">
        <f t="shared" ref="BM610" si="3971">IF(BL610&lt;0,SUBSTITUTE(TEXT(BL610,"000000000000,00"),",",""),SUBSTITUTE(TEXT(BL610,"0000000000000,00"),",",""))</f>
        <v>000000000000000</v>
      </c>
      <c r="BN610" t="str">
        <f t="shared" si="3839"/>
        <v>PES</v>
      </c>
      <c r="BO610" t="str">
        <f t="shared" si="3840"/>
        <v>0001000000</v>
      </c>
      <c r="BP610">
        <f t="shared" si="3841"/>
        <v>0</v>
      </c>
      <c r="BQ610">
        <f t="shared" si="3842"/>
        <v>0</v>
      </c>
      <c r="BR610" s="23">
        <f t="shared" si="3843"/>
        <v>0</v>
      </c>
      <c r="BS610" s="49" t="str">
        <f t="shared" si="3808"/>
        <v>000000000000000</v>
      </c>
      <c r="BT610" t="str">
        <f t="shared" si="3844"/>
        <v>00000000</v>
      </c>
      <c r="BU610" s="23">
        <f t="shared" si="3845"/>
        <v>0</v>
      </c>
      <c r="BV610" s="49" t="str">
        <f t="shared" si="3809"/>
        <v/>
      </c>
      <c r="BW610" s="52" t="str">
        <f t="shared" si="3846"/>
        <v/>
      </c>
      <c r="BX610" s="23">
        <f t="shared" si="3847"/>
        <v>0</v>
      </c>
      <c r="BY610" s="49" t="str">
        <f t="shared" si="3810"/>
        <v/>
      </c>
      <c r="BZ610" s="23">
        <f t="shared" si="3848"/>
        <v>0</v>
      </c>
      <c r="CA610" s="49" t="str">
        <f t="shared" si="3811"/>
        <v/>
      </c>
      <c r="CB610" s="52" t="str">
        <f t="shared" si="3849"/>
        <v/>
      </c>
      <c r="CC610" s="23">
        <f t="shared" si="3850"/>
        <v>0</v>
      </c>
      <c r="CD610" s="49" t="str">
        <f t="shared" si="3812"/>
        <v/>
      </c>
      <c r="CE610" s="56" t="str">
        <f>IF(CF610="","",MAX(CE$10:$CE609)+1)</f>
        <v/>
      </c>
      <c r="CF610" t="str">
        <f t="shared" si="3851"/>
        <v/>
      </c>
      <c r="CG610" s="22" t="str">
        <f>IF(CH610="","",MAX($CG$10:CG609)+1)</f>
        <v/>
      </c>
      <c r="CH610" s="22" t="str">
        <f t="shared" si="3796"/>
        <v/>
      </c>
      <c r="CI610" s="22" t="str">
        <f>IF(CJ610="","",MAX($CI$10:CI609)+1)</f>
        <v/>
      </c>
      <c r="CJ610" s="22" t="str">
        <f t="shared" si="3797"/>
        <v/>
      </c>
    </row>
    <row r="611" spans="2:88" x14ac:dyDescent="0.25">
      <c r="B611" s="37"/>
      <c r="C611" s="3"/>
      <c r="D611" s="77" t="str">
        <f t="shared" si="3783"/>
        <v/>
      </c>
      <c r="E611" s="38"/>
      <c r="F611" s="38"/>
      <c r="G611" s="78">
        <f t="shared" si="3798"/>
        <v>0</v>
      </c>
      <c r="H611" s="3">
        <v>80</v>
      </c>
      <c r="I611" s="77" t="str">
        <f t="shared" si="3784"/>
        <v/>
      </c>
      <c r="J611" s="32"/>
      <c r="K611" s="3"/>
      <c r="L611" s="39"/>
      <c r="M611" s="39"/>
      <c r="N611" s="39"/>
      <c r="O611" s="39"/>
      <c r="P611" s="39"/>
      <c r="Q611" s="39"/>
      <c r="R611" s="39"/>
      <c r="S611" s="39"/>
      <c r="T611" s="3" t="s">
        <v>645</v>
      </c>
      <c r="U611" s="77" t="str">
        <f t="shared" si="3785"/>
        <v/>
      </c>
      <c r="V611" s="39">
        <v>1</v>
      </c>
      <c r="W611" s="79">
        <f t="shared" si="3799"/>
        <v>0</v>
      </c>
      <c r="X611" s="3">
        <v>0</v>
      </c>
      <c r="Y611" s="77" t="str">
        <f t="shared" si="3786"/>
        <v/>
      </c>
      <c r="Z611" s="3"/>
      <c r="AA611" s="37" t="str">
        <f t="shared" si="3800"/>
        <v/>
      </c>
      <c r="AC611" s="40"/>
      <c r="AD611" s="7"/>
      <c r="AE611" s="77" t="str">
        <f t="shared" si="3787"/>
        <v/>
      </c>
      <c r="AF611" s="81">
        <f t="shared" si="3813"/>
        <v>0</v>
      </c>
      <c r="AG611" s="40"/>
      <c r="AH611" s="7"/>
      <c r="AI611" s="77" t="str">
        <f t="shared" si="3788"/>
        <v/>
      </c>
      <c r="AJ611" s="81">
        <f t="shared" si="3814"/>
        <v>0</v>
      </c>
      <c r="AK611" s="83">
        <f t="shared" si="3815"/>
        <v>0</v>
      </c>
      <c r="AL611" s="83">
        <f t="shared" si="3816"/>
        <v>0</v>
      </c>
      <c r="AN611" s="43">
        <f t="shared" si="3789"/>
        <v>0</v>
      </c>
      <c r="AP611" t="str">
        <f t="shared" si="3817"/>
        <v/>
      </c>
      <c r="AQ611" t="str">
        <f t="shared" si="3818"/>
        <v/>
      </c>
      <c r="AR611" t="str">
        <f t="shared" si="3819"/>
        <v/>
      </c>
      <c r="AS611" t="str">
        <f t="shared" si="3820"/>
        <v/>
      </c>
      <c r="AT611" t="str">
        <f t="shared" si="3821"/>
        <v/>
      </c>
      <c r="AU611" t="str">
        <f t="shared" si="3822"/>
        <v/>
      </c>
      <c r="AV611" t="str">
        <f t="shared" si="3823"/>
        <v/>
      </c>
      <c r="AW611" t="str">
        <f t="shared" si="3824"/>
        <v xml:space="preserve">                              </v>
      </c>
      <c r="AX611" s="23">
        <f t="shared" si="3825"/>
        <v>0</v>
      </c>
      <c r="AY611" s="49" t="str">
        <f t="shared" si="3801"/>
        <v>000000000000000</v>
      </c>
      <c r="AZ611" s="23">
        <f t="shared" si="3826"/>
        <v>0</v>
      </c>
      <c r="BA611" s="49" t="str">
        <f t="shared" si="3801"/>
        <v>000000000000000</v>
      </c>
      <c r="BB611" s="23">
        <f t="shared" si="3827"/>
        <v>0</v>
      </c>
      <c r="BC611" s="49" t="str">
        <f t="shared" ref="BC611" si="3972">IF(BB611&lt;0,SUBSTITUTE(TEXT(BB611,"000000000000,00"),",",""),SUBSTITUTE(TEXT(BB611,"0000000000000,00"),",",""))</f>
        <v>000000000000000</v>
      </c>
      <c r="BD611" s="23">
        <f t="shared" si="3829"/>
        <v>0</v>
      </c>
      <c r="BE611" s="49" t="str">
        <f t="shared" ref="BE611" si="3973">IF(BD611&lt;0,SUBSTITUTE(TEXT(BD611,"000000000000,00"),",",""),SUBSTITUTE(TEXT(BD611,"0000000000000,00"),",",""))</f>
        <v>000000000000000</v>
      </c>
      <c r="BF611" s="23">
        <f t="shared" si="3831"/>
        <v>0</v>
      </c>
      <c r="BG611" s="49" t="str">
        <f t="shared" ref="BG611" si="3974">IF(BF611&lt;0,SUBSTITUTE(TEXT(BF611,"000000000000,00"),",",""),SUBSTITUTE(TEXT(BF611,"0000000000000,00"),",",""))</f>
        <v>000000000000000</v>
      </c>
      <c r="BH611" s="23">
        <f t="shared" si="3833"/>
        <v>0</v>
      </c>
      <c r="BI611" s="49" t="str">
        <f t="shared" ref="BI611" si="3975">IF(BH611&lt;0,SUBSTITUTE(TEXT(BH611,"000000000000,00"),",",""),SUBSTITUTE(TEXT(BH611,"0000000000000,00"),",",""))</f>
        <v>000000000000000</v>
      </c>
      <c r="BJ611" s="23">
        <f t="shared" si="3835"/>
        <v>0</v>
      </c>
      <c r="BK611" s="49" t="str">
        <f t="shared" ref="BK611" si="3976">IF(BJ611&lt;0,SUBSTITUTE(TEXT(BJ611,"000000000000,00"),",",""),SUBSTITUTE(TEXT(BJ611,"0000000000000,00"),",",""))</f>
        <v>000000000000000</v>
      </c>
      <c r="BL611" s="23">
        <f t="shared" si="3837"/>
        <v>0</v>
      </c>
      <c r="BM611" s="49" t="str">
        <f t="shared" ref="BM611" si="3977">IF(BL611&lt;0,SUBSTITUTE(TEXT(BL611,"000000000000,00"),",",""),SUBSTITUTE(TEXT(BL611,"0000000000000,00"),",",""))</f>
        <v>000000000000000</v>
      </c>
      <c r="BN611" t="str">
        <f t="shared" si="3839"/>
        <v>PES</v>
      </c>
      <c r="BO611" t="str">
        <f t="shared" si="3840"/>
        <v>0001000000</v>
      </c>
      <c r="BP611">
        <f t="shared" si="3841"/>
        <v>0</v>
      </c>
      <c r="BQ611">
        <f t="shared" si="3842"/>
        <v>0</v>
      </c>
      <c r="BR611" s="23">
        <f t="shared" si="3843"/>
        <v>0</v>
      </c>
      <c r="BS611" s="49" t="str">
        <f t="shared" si="3808"/>
        <v>000000000000000</v>
      </c>
      <c r="BT611" t="str">
        <f t="shared" si="3844"/>
        <v>00000000</v>
      </c>
      <c r="BU611" s="23">
        <f t="shared" si="3845"/>
        <v>0</v>
      </c>
      <c r="BV611" s="49" t="str">
        <f t="shared" si="3809"/>
        <v/>
      </c>
      <c r="BW611" s="52" t="str">
        <f t="shared" si="3846"/>
        <v/>
      </c>
      <c r="BX611" s="23">
        <f t="shared" si="3847"/>
        <v>0</v>
      </c>
      <c r="BY611" s="49" t="str">
        <f t="shared" si="3810"/>
        <v/>
      </c>
      <c r="BZ611" s="23">
        <f t="shared" si="3848"/>
        <v>0</v>
      </c>
      <c r="CA611" s="49" t="str">
        <f t="shared" si="3811"/>
        <v/>
      </c>
      <c r="CB611" s="52" t="str">
        <f t="shared" si="3849"/>
        <v/>
      </c>
      <c r="CC611" s="23">
        <f t="shared" si="3850"/>
        <v>0</v>
      </c>
      <c r="CD611" s="49" t="str">
        <f t="shared" si="3812"/>
        <v/>
      </c>
      <c r="CE611" s="56" t="str">
        <f>IF(CF611="","",MAX(CE$10:$CE610)+1)</f>
        <v/>
      </c>
      <c r="CF611" t="str">
        <f t="shared" si="3851"/>
        <v/>
      </c>
      <c r="CG611" s="22" t="str">
        <f>IF(CH611="","",MAX($CG$10:CG610)+1)</f>
        <v/>
      </c>
      <c r="CH611" s="22" t="str">
        <f t="shared" si="3796"/>
        <v/>
      </c>
      <c r="CI611" s="22" t="str">
        <f>IF(CJ611="","",MAX($CI$10:CI610)+1)</f>
        <v/>
      </c>
      <c r="CJ611" s="22" t="str">
        <f t="shared" si="3797"/>
        <v/>
      </c>
    </row>
    <row r="612" spans="2:88" x14ac:dyDescent="0.25">
      <c r="B612" s="37"/>
      <c r="C612" s="3"/>
      <c r="D612" s="77" t="str">
        <f t="shared" si="3783"/>
        <v/>
      </c>
      <c r="E612" s="38"/>
      <c r="F612" s="38"/>
      <c r="G612" s="78">
        <f t="shared" si="3798"/>
        <v>0</v>
      </c>
      <c r="H612" s="3">
        <v>80</v>
      </c>
      <c r="I612" s="77" t="str">
        <f t="shared" si="3784"/>
        <v/>
      </c>
      <c r="J612" s="32"/>
      <c r="K612" s="3"/>
      <c r="L612" s="39"/>
      <c r="M612" s="39"/>
      <c r="N612" s="39"/>
      <c r="O612" s="39"/>
      <c r="P612" s="39"/>
      <c r="Q612" s="39"/>
      <c r="R612" s="39"/>
      <c r="S612" s="39"/>
      <c r="T612" s="3" t="s">
        <v>645</v>
      </c>
      <c r="U612" s="77" t="str">
        <f t="shared" si="3785"/>
        <v/>
      </c>
      <c r="V612" s="39">
        <v>1</v>
      </c>
      <c r="W612" s="79">
        <f t="shared" si="3799"/>
        <v>0</v>
      </c>
      <c r="X612" s="3">
        <v>0</v>
      </c>
      <c r="Y612" s="77" t="str">
        <f t="shared" si="3786"/>
        <v/>
      </c>
      <c r="Z612" s="3"/>
      <c r="AA612" s="37" t="str">
        <f t="shared" si="3800"/>
        <v/>
      </c>
      <c r="AC612" s="40"/>
      <c r="AD612" s="7"/>
      <c r="AE612" s="77" t="str">
        <f t="shared" si="3787"/>
        <v/>
      </c>
      <c r="AF612" s="81">
        <f t="shared" si="3813"/>
        <v>0</v>
      </c>
      <c r="AG612" s="40"/>
      <c r="AH612" s="7"/>
      <c r="AI612" s="77" t="str">
        <f t="shared" si="3788"/>
        <v/>
      </c>
      <c r="AJ612" s="81">
        <f t="shared" si="3814"/>
        <v>0</v>
      </c>
      <c r="AK612" s="83">
        <f t="shared" si="3815"/>
        <v>0</v>
      </c>
      <c r="AL612" s="83">
        <f t="shared" si="3816"/>
        <v>0</v>
      </c>
      <c r="AN612" s="43">
        <f t="shared" si="3789"/>
        <v>0</v>
      </c>
      <c r="AP612" t="str">
        <f t="shared" si="3817"/>
        <v/>
      </c>
      <c r="AQ612" t="str">
        <f t="shared" si="3818"/>
        <v/>
      </c>
      <c r="AR612" t="str">
        <f t="shared" si="3819"/>
        <v/>
      </c>
      <c r="AS612" t="str">
        <f t="shared" si="3820"/>
        <v/>
      </c>
      <c r="AT612" t="str">
        <f t="shared" si="3821"/>
        <v/>
      </c>
      <c r="AU612" t="str">
        <f t="shared" si="3822"/>
        <v/>
      </c>
      <c r="AV612" t="str">
        <f t="shared" si="3823"/>
        <v/>
      </c>
      <c r="AW612" t="str">
        <f t="shared" si="3824"/>
        <v xml:space="preserve">                              </v>
      </c>
      <c r="AX612" s="23">
        <f t="shared" si="3825"/>
        <v>0</v>
      </c>
      <c r="AY612" s="49" t="str">
        <f t="shared" si="3801"/>
        <v>000000000000000</v>
      </c>
      <c r="AZ612" s="23">
        <f t="shared" si="3826"/>
        <v>0</v>
      </c>
      <c r="BA612" s="49" t="str">
        <f t="shared" si="3801"/>
        <v>000000000000000</v>
      </c>
      <c r="BB612" s="23">
        <f t="shared" si="3827"/>
        <v>0</v>
      </c>
      <c r="BC612" s="49" t="str">
        <f t="shared" ref="BC612" si="3978">IF(BB612&lt;0,SUBSTITUTE(TEXT(BB612,"000000000000,00"),",",""),SUBSTITUTE(TEXT(BB612,"0000000000000,00"),",",""))</f>
        <v>000000000000000</v>
      </c>
      <c r="BD612" s="23">
        <f t="shared" si="3829"/>
        <v>0</v>
      </c>
      <c r="BE612" s="49" t="str">
        <f t="shared" ref="BE612" si="3979">IF(BD612&lt;0,SUBSTITUTE(TEXT(BD612,"000000000000,00"),",",""),SUBSTITUTE(TEXT(BD612,"0000000000000,00"),",",""))</f>
        <v>000000000000000</v>
      </c>
      <c r="BF612" s="23">
        <f t="shared" si="3831"/>
        <v>0</v>
      </c>
      <c r="BG612" s="49" t="str">
        <f t="shared" ref="BG612" si="3980">IF(BF612&lt;0,SUBSTITUTE(TEXT(BF612,"000000000000,00"),",",""),SUBSTITUTE(TEXT(BF612,"0000000000000,00"),",",""))</f>
        <v>000000000000000</v>
      </c>
      <c r="BH612" s="23">
        <f t="shared" si="3833"/>
        <v>0</v>
      </c>
      <c r="BI612" s="49" t="str">
        <f t="shared" ref="BI612" si="3981">IF(BH612&lt;0,SUBSTITUTE(TEXT(BH612,"000000000000,00"),",",""),SUBSTITUTE(TEXT(BH612,"0000000000000,00"),",",""))</f>
        <v>000000000000000</v>
      </c>
      <c r="BJ612" s="23">
        <f t="shared" si="3835"/>
        <v>0</v>
      </c>
      <c r="BK612" s="49" t="str">
        <f t="shared" ref="BK612" si="3982">IF(BJ612&lt;0,SUBSTITUTE(TEXT(BJ612,"000000000000,00"),",",""),SUBSTITUTE(TEXT(BJ612,"0000000000000,00"),",",""))</f>
        <v>000000000000000</v>
      </c>
      <c r="BL612" s="23">
        <f t="shared" si="3837"/>
        <v>0</v>
      </c>
      <c r="BM612" s="49" t="str">
        <f t="shared" ref="BM612" si="3983">IF(BL612&lt;0,SUBSTITUTE(TEXT(BL612,"000000000000,00"),",",""),SUBSTITUTE(TEXT(BL612,"0000000000000,00"),",",""))</f>
        <v>000000000000000</v>
      </c>
      <c r="BN612" t="str">
        <f t="shared" si="3839"/>
        <v>PES</v>
      </c>
      <c r="BO612" t="str">
        <f t="shared" si="3840"/>
        <v>0001000000</v>
      </c>
      <c r="BP612">
        <f t="shared" si="3841"/>
        <v>0</v>
      </c>
      <c r="BQ612">
        <f t="shared" si="3842"/>
        <v>0</v>
      </c>
      <c r="BR612" s="23">
        <f t="shared" si="3843"/>
        <v>0</v>
      </c>
      <c r="BS612" s="49" t="str">
        <f t="shared" si="3808"/>
        <v>000000000000000</v>
      </c>
      <c r="BT612" t="str">
        <f t="shared" si="3844"/>
        <v>00000000</v>
      </c>
      <c r="BU612" s="23">
        <f t="shared" si="3845"/>
        <v>0</v>
      </c>
      <c r="BV612" s="49" t="str">
        <f t="shared" si="3809"/>
        <v/>
      </c>
      <c r="BW612" s="52" t="str">
        <f t="shared" si="3846"/>
        <v/>
      </c>
      <c r="BX612" s="23">
        <f t="shared" si="3847"/>
        <v>0</v>
      </c>
      <c r="BY612" s="49" t="str">
        <f t="shared" si="3810"/>
        <v/>
      </c>
      <c r="BZ612" s="23">
        <f t="shared" si="3848"/>
        <v>0</v>
      </c>
      <c r="CA612" s="49" t="str">
        <f t="shared" si="3811"/>
        <v/>
      </c>
      <c r="CB612" s="52" t="str">
        <f t="shared" si="3849"/>
        <v/>
      </c>
      <c r="CC612" s="23">
        <f t="shared" si="3850"/>
        <v>0</v>
      </c>
      <c r="CD612" s="49" t="str">
        <f t="shared" si="3812"/>
        <v/>
      </c>
      <c r="CE612" s="56" t="str">
        <f>IF(CF612="","",MAX(CE$10:$CE611)+1)</f>
        <v/>
      </c>
      <c r="CF612" t="str">
        <f t="shared" si="3851"/>
        <v/>
      </c>
      <c r="CG612" s="22" t="str">
        <f>IF(CH612="","",MAX($CG$10:CG611)+1)</f>
        <v/>
      </c>
      <c r="CH612" s="22" t="str">
        <f t="shared" si="3796"/>
        <v/>
      </c>
      <c r="CI612" s="22" t="str">
        <f>IF(CJ612="","",MAX($CI$10:CI611)+1)</f>
        <v/>
      </c>
      <c r="CJ612" s="22" t="str">
        <f t="shared" si="3797"/>
        <v/>
      </c>
    </row>
    <row r="613" spans="2:88" x14ac:dyDescent="0.25">
      <c r="B613" s="37"/>
      <c r="C613" s="3"/>
      <c r="D613" s="77" t="str">
        <f t="shared" si="3783"/>
        <v/>
      </c>
      <c r="E613" s="38"/>
      <c r="F613" s="38"/>
      <c r="G613" s="78">
        <f t="shared" si="3798"/>
        <v>0</v>
      </c>
      <c r="H613" s="3">
        <v>80</v>
      </c>
      <c r="I613" s="77" t="str">
        <f t="shared" si="3784"/>
        <v/>
      </c>
      <c r="J613" s="32"/>
      <c r="K613" s="3"/>
      <c r="L613" s="39"/>
      <c r="M613" s="39"/>
      <c r="N613" s="39"/>
      <c r="O613" s="39"/>
      <c r="P613" s="39"/>
      <c r="Q613" s="39"/>
      <c r="R613" s="39"/>
      <c r="S613" s="39"/>
      <c r="T613" s="3" t="s">
        <v>645</v>
      </c>
      <c r="U613" s="77" t="str">
        <f t="shared" si="3785"/>
        <v/>
      </c>
      <c r="V613" s="39">
        <v>1</v>
      </c>
      <c r="W613" s="79">
        <f t="shared" si="3799"/>
        <v>0</v>
      </c>
      <c r="X613" s="3">
        <v>0</v>
      </c>
      <c r="Y613" s="77" t="str">
        <f t="shared" si="3786"/>
        <v/>
      </c>
      <c r="Z613" s="3"/>
      <c r="AA613" s="37" t="str">
        <f t="shared" si="3800"/>
        <v/>
      </c>
      <c r="AC613" s="40"/>
      <c r="AD613" s="7"/>
      <c r="AE613" s="77" t="str">
        <f t="shared" si="3787"/>
        <v/>
      </c>
      <c r="AF613" s="81">
        <f t="shared" si="3813"/>
        <v>0</v>
      </c>
      <c r="AG613" s="40"/>
      <c r="AH613" s="7"/>
      <c r="AI613" s="77" t="str">
        <f t="shared" si="3788"/>
        <v/>
      </c>
      <c r="AJ613" s="81">
        <f t="shared" si="3814"/>
        <v>0</v>
      </c>
      <c r="AK613" s="83">
        <f t="shared" si="3815"/>
        <v>0</v>
      </c>
      <c r="AL613" s="83">
        <f t="shared" si="3816"/>
        <v>0</v>
      </c>
      <c r="AN613" s="43">
        <f t="shared" si="3789"/>
        <v>0</v>
      </c>
      <c r="AP613" t="str">
        <f t="shared" si="3817"/>
        <v/>
      </c>
      <c r="AQ613" t="str">
        <f t="shared" si="3818"/>
        <v/>
      </c>
      <c r="AR613" t="str">
        <f t="shared" si="3819"/>
        <v/>
      </c>
      <c r="AS613" t="str">
        <f t="shared" si="3820"/>
        <v/>
      </c>
      <c r="AT613" t="str">
        <f t="shared" si="3821"/>
        <v/>
      </c>
      <c r="AU613" t="str">
        <f t="shared" si="3822"/>
        <v/>
      </c>
      <c r="AV613" t="str">
        <f t="shared" si="3823"/>
        <v/>
      </c>
      <c r="AW613" t="str">
        <f t="shared" si="3824"/>
        <v xml:space="preserve">                              </v>
      </c>
      <c r="AX613" s="23">
        <f t="shared" si="3825"/>
        <v>0</v>
      </c>
      <c r="AY613" s="49" t="str">
        <f t="shared" si="3801"/>
        <v>000000000000000</v>
      </c>
      <c r="AZ613" s="23">
        <f t="shared" si="3826"/>
        <v>0</v>
      </c>
      <c r="BA613" s="49" t="str">
        <f t="shared" si="3801"/>
        <v>000000000000000</v>
      </c>
      <c r="BB613" s="23">
        <f t="shared" si="3827"/>
        <v>0</v>
      </c>
      <c r="BC613" s="49" t="str">
        <f t="shared" ref="BC613" si="3984">IF(BB613&lt;0,SUBSTITUTE(TEXT(BB613,"000000000000,00"),",",""),SUBSTITUTE(TEXT(BB613,"0000000000000,00"),",",""))</f>
        <v>000000000000000</v>
      </c>
      <c r="BD613" s="23">
        <f t="shared" si="3829"/>
        <v>0</v>
      </c>
      <c r="BE613" s="49" t="str">
        <f t="shared" ref="BE613" si="3985">IF(BD613&lt;0,SUBSTITUTE(TEXT(BD613,"000000000000,00"),",",""),SUBSTITUTE(TEXT(BD613,"0000000000000,00"),",",""))</f>
        <v>000000000000000</v>
      </c>
      <c r="BF613" s="23">
        <f t="shared" si="3831"/>
        <v>0</v>
      </c>
      <c r="BG613" s="49" t="str">
        <f t="shared" ref="BG613" si="3986">IF(BF613&lt;0,SUBSTITUTE(TEXT(BF613,"000000000000,00"),",",""),SUBSTITUTE(TEXT(BF613,"0000000000000,00"),",",""))</f>
        <v>000000000000000</v>
      </c>
      <c r="BH613" s="23">
        <f t="shared" si="3833"/>
        <v>0</v>
      </c>
      <c r="BI613" s="49" t="str">
        <f t="shared" ref="BI613" si="3987">IF(BH613&lt;0,SUBSTITUTE(TEXT(BH613,"000000000000,00"),",",""),SUBSTITUTE(TEXT(BH613,"0000000000000,00"),",",""))</f>
        <v>000000000000000</v>
      </c>
      <c r="BJ613" s="23">
        <f t="shared" si="3835"/>
        <v>0</v>
      </c>
      <c r="BK613" s="49" t="str">
        <f t="shared" ref="BK613" si="3988">IF(BJ613&lt;0,SUBSTITUTE(TEXT(BJ613,"000000000000,00"),",",""),SUBSTITUTE(TEXT(BJ613,"0000000000000,00"),",",""))</f>
        <v>000000000000000</v>
      </c>
      <c r="BL613" s="23">
        <f t="shared" si="3837"/>
        <v>0</v>
      </c>
      <c r="BM613" s="49" t="str">
        <f t="shared" ref="BM613" si="3989">IF(BL613&lt;0,SUBSTITUTE(TEXT(BL613,"000000000000,00"),",",""),SUBSTITUTE(TEXT(BL613,"0000000000000,00"),",",""))</f>
        <v>000000000000000</v>
      </c>
      <c r="BN613" t="str">
        <f t="shared" si="3839"/>
        <v>PES</v>
      </c>
      <c r="BO613" t="str">
        <f t="shared" si="3840"/>
        <v>0001000000</v>
      </c>
      <c r="BP613">
        <f t="shared" si="3841"/>
        <v>0</v>
      </c>
      <c r="BQ613">
        <f t="shared" si="3842"/>
        <v>0</v>
      </c>
      <c r="BR613" s="23">
        <f t="shared" si="3843"/>
        <v>0</v>
      </c>
      <c r="BS613" s="49" t="str">
        <f t="shared" si="3808"/>
        <v>000000000000000</v>
      </c>
      <c r="BT613" t="str">
        <f t="shared" si="3844"/>
        <v>00000000</v>
      </c>
      <c r="BU613" s="23">
        <f t="shared" si="3845"/>
        <v>0</v>
      </c>
      <c r="BV613" s="49" t="str">
        <f t="shared" si="3809"/>
        <v/>
      </c>
      <c r="BW613" s="52" t="str">
        <f t="shared" si="3846"/>
        <v/>
      </c>
      <c r="BX613" s="23">
        <f t="shared" si="3847"/>
        <v>0</v>
      </c>
      <c r="BY613" s="49" t="str">
        <f t="shared" si="3810"/>
        <v/>
      </c>
      <c r="BZ613" s="23">
        <f t="shared" si="3848"/>
        <v>0</v>
      </c>
      <c r="CA613" s="49" t="str">
        <f t="shared" si="3811"/>
        <v/>
      </c>
      <c r="CB613" s="52" t="str">
        <f t="shared" si="3849"/>
        <v/>
      </c>
      <c r="CC613" s="23">
        <f t="shared" si="3850"/>
        <v>0</v>
      </c>
      <c r="CD613" s="49" t="str">
        <f t="shared" si="3812"/>
        <v/>
      </c>
      <c r="CE613" s="56" t="str">
        <f>IF(CF613="","",MAX(CE$10:$CE612)+1)</f>
        <v/>
      </c>
      <c r="CF613" t="str">
        <f t="shared" si="3851"/>
        <v/>
      </c>
      <c r="CG613" s="22" t="str">
        <f>IF(CH613="","",MAX($CG$10:CG612)+1)</f>
        <v/>
      </c>
      <c r="CH613" s="22" t="str">
        <f t="shared" si="3796"/>
        <v/>
      </c>
      <c r="CI613" s="22" t="str">
        <f>IF(CJ613="","",MAX($CI$10:CI612)+1)</f>
        <v/>
      </c>
      <c r="CJ613" s="22" t="str">
        <f t="shared" si="3797"/>
        <v/>
      </c>
    </row>
    <row r="614" spans="2:88" x14ac:dyDescent="0.25">
      <c r="B614" s="37"/>
      <c r="C614" s="3"/>
      <c r="D614" s="77" t="str">
        <f t="shared" si="3783"/>
        <v/>
      </c>
      <c r="E614" s="38"/>
      <c r="F614" s="38"/>
      <c r="G614" s="78">
        <f t="shared" si="3798"/>
        <v>0</v>
      </c>
      <c r="H614" s="3">
        <v>80</v>
      </c>
      <c r="I614" s="77" t="str">
        <f t="shared" si="3784"/>
        <v/>
      </c>
      <c r="J614" s="32"/>
      <c r="K614" s="3"/>
      <c r="L614" s="39"/>
      <c r="M614" s="39"/>
      <c r="N614" s="39"/>
      <c r="O614" s="39"/>
      <c r="P614" s="39"/>
      <c r="Q614" s="39"/>
      <c r="R614" s="39"/>
      <c r="S614" s="39"/>
      <c r="T614" s="3" t="s">
        <v>645</v>
      </c>
      <c r="U614" s="77" t="str">
        <f t="shared" si="3785"/>
        <v/>
      </c>
      <c r="V614" s="39">
        <v>1</v>
      </c>
      <c r="W614" s="79">
        <f t="shared" si="3799"/>
        <v>0</v>
      </c>
      <c r="X614" s="3">
        <v>0</v>
      </c>
      <c r="Y614" s="77" t="str">
        <f t="shared" si="3786"/>
        <v/>
      </c>
      <c r="Z614" s="3"/>
      <c r="AA614" s="37" t="str">
        <f t="shared" si="3800"/>
        <v/>
      </c>
      <c r="AC614" s="40"/>
      <c r="AD614" s="7"/>
      <c r="AE614" s="77" t="str">
        <f t="shared" si="3787"/>
        <v/>
      </c>
      <c r="AF614" s="81">
        <f t="shared" si="3813"/>
        <v>0</v>
      </c>
      <c r="AG614" s="40"/>
      <c r="AH614" s="7"/>
      <c r="AI614" s="77" t="str">
        <f t="shared" si="3788"/>
        <v/>
      </c>
      <c r="AJ614" s="81">
        <f t="shared" si="3814"/>
        <v>0</v>
      </c>
      <c r="AK614" s="83">
        <f t="shared" si="3815"/>
        <v>0</v>
      </c>
      <c r="AL614" s="83">
        <f t="shared" si="3816"/>
        <v>0</v>
      </c>
      <c r="AN614" s="43">
        <f t="shared" si="3789"/>
        <v>0</v>
      </c>
      <c r="AP614" t="str">
        <f t="shared" si="3817"/>
        <v/>
      </c>
      <c r="AQ614" t="str">
        <f t="shared" si="3818"/>
        <v/>
      </c>
      <c r="AR614" t="str">
        <f t="shared" si="3819"/>
        <v/>
      </c>
      <c r="AS614" t="str">
        <f t="shared" si="3820"/>
        <v/>
      </c>
      <c r="AT614" t="str">
        <f t="shared" si="3821"/>
        <v/>
      </c>
      <c r="AU614" t="str">
        <f t="shared" si="3822"/>
        <v/>
      </c>
      <c r="AV614" t="str">
        <f t="shared" si="3823"/>
        <v/>
      </c>
      <c r="AW614" t="str">
        <f t="shared" si="3824"/>
        <v xml:space="preserve">                              </v>
      </c>
      <c r="AX614" s="23">
        <f t="shared" si="3825"/>
        <v>0</v>
      </c>
      <c r="AY614" s="49" t="str">
        <f t="shared" si="3801"/>
        <v>000000000000000</v>
      </c>
      <c r="AZ614" s="23">
        <f t="shared" si="3826"/>
        <v>0</v>
      </c>
      <c r="BA614" s="49" t="str">
        <f t="shared" si="3801"/>
        <v>000000000000000</v>
      </c>
      <c r="BB614" s="23">
        <f t="shared" si="3827"/>
        <v>0</v>
      </c>
      <c r="BC614" s="49" t="str">
        <f t="shared" ref="BC614" si="3990">IF(BB614&lt;0,SUBSTITUTE(TEXT(BB614,"000000000000,00"),",",""),SUBSTITUTE(TEXT(BB614,"0000000000000,00"),",",""))</f>
        <v>000000000000000</v>
      </c>
      <c r="BD614" s="23">
        <f t="shared" si="3829"/>
        <v>0</v>
      </c>
      <c r="BE614" s="49" t="str">
        <f t="shared" ref="BE614" si="3991">IF(BD614&lt;0,SUBSTITUTE(TEXT(BD614,"000000000000,00"),",",""),SUBSTITUTE(TEXT(BD614,"0000000000000,00"),",",""))</f>
        <v>000000000000000</v>
      </c>
      <c r="BF614" s="23">
        <f t="shared" si="3831"/>
        <v>0</v>
      </c>
      <c r="BG614" s="49" t="str">
        <f t="shared" ref="BG614" si="3992">IF(BF614&lt;0,SUBSTITUTE(TEXT(BF614,"000000000000,00"),",",""),SUBSTITUTE(TEXT(BF614,"0000000000000,00"),",",""))</f>
        <v>000000000000000</v>
      </c>
      <c r="BH614" s="23">
        <f t="shared" si="3833"/>
        <v>0</v>
      </c>
      <c r="BI614" s="49" t="str">
        <f t="shared" ref="BI614" si="3993">IF(BH614&lt;0,SUBSTITUTE(TEXT(BH614,"000000000000,00"),",",""),SUBSTITUTE(TEXT(BH614,"0000000000000,00"),",",""))</f>
        <v>000000000000000</v>
      </c>
      <c r="BJ614" s="23">
        <f t="shared" si="3835"/>
        <v>0</v>
      </c>
      <c r="BK614" s="49" t="str">
        <f t="shared" ref="BK614" si="3994">IF(BJ614&lt;0,SUBSTITUTE(TEXT(BJ614,"000000000000,00"),",",""),SUBSTITUTE(TEXT(BJ614,"0000000000000,00"),",",""))</f>
        <v>000000000000000</v>
      </c>
      <c r="BL614" s="23">
        <f t="shared" si="3837"/>
        <v>0</v>
      </c>
      <c r="BM614" s="49" t="str">
        <f t="shared" ref="BM614" si="3995">IF(BL614&lt;0,SUBSTITUTE(TEXT(BL614,"000000000000,00"),",",""),SUBSTITUTE(TEXT(BL614,"0000000000000,00"),",",""))</f>
        <v>000000000000000</v>
      </c>
      <c r="BN614" t="str">
        <f t="shared" si="3839"/>
        <v>PES</v>
      </c>
      <c r="BO614" t="str">
        <f t="shared" si="3840"/>
        <v>0001000000</v>
      </c>
      <c r="BP614">
        <f t="shared" si="3841"/>
        <v>0</v>
      </c>
      <c r="BQ614">
        <f t="shared" si="3842"/>
        <v>0</v>
      </c>
      <c r="BR614" s="23">
        <f t="shared" si="3843"/>
        <v>0</v>
      </c>
      <c r="BS614" s="49" t="str">
        <f t="shared" si="3808"/>
        <v>000000000000000</v>
      </c>
      <c r="BT614" t="str">
        <f t="shared" si="3844"/>
        <v>00000000</v>
      </c>
      <c r="BU614" s="23">
        <f t="shared" si="3845"/>
        <v>0</v>
      </c>
      <c r="BV614" s="49" t="str">
        <f t="shared" si="3809"/>
        <v/>
      </c>
      <c r="BW614" s="52" t="str">
        <f t="shared" si="3846"/>
        <v/>
      </c>
      <c r="BX614" s="23">
        <f t="shared" si="3847"/>
        <v>0</v>
      </c>
      <c r="BY614" s="49" t="str">
        <f t="shared" si="3810"/>
        <v/>
      </c>
      <c r="BZ614" s="23">
        <f t="shared" si="3848"/>
        <v>0</v>
      </c>
      <c r="CA614" s="49" t="str">
        <f t="shared" si="3811"/>
        <v/>
      </c>
      <c r="CB614" s="52" t="str">
        <f t="shared" si="3849"/>
        <v/>
      </c>
      <c r="CC614" s="23">
        <f t="shared" si="3850"/>
        <v>0</v>
      </c>
      <c r="CD614" s="49" t="str">
        <f t="shared" si="3812"/>
        <v/>
      </c>
      <c r="CE614" s="56" t="str">
        <f>IF(CF614="","",MAX(CE$10:$CE613)+1)</f>
        <v/>
      </c>
      <c r="CF614" t="str">
        <f t="shared" si="3851"/>
        <v/>
      </c>
      <c r="CG614" s="22" t="str">
        <f>IF(CH614="","",MAX($CG$10:CG613)+1)</f>
        <v/>
      </c>
      <c r="CH614" s="22" t="str">
        <f t="shared" si="3796"/>
        <v/>
      </c>
      <c r="CI614" s="22" t="str">
        <f>IF(CJ614="","",MAX($CI$10:CI613)+1)</f>
        <v/>
      </c>
      <c r="CJ614" s="22" t="str">
        <f t="shared" si="3797"/>
        <v/>
      </c>
    </row>
    <row r="615" spans="2:88" x14ac:dyDescent="0.25">
      <c r="B615" s="37"/>
      <c r="C615" s="3"/>
      <c r="D615" s="77" t="str">
        <f t="shared" si="3783"/>
        <v/>
      </c>
      <c r="E615" s="38"/>
      <c r="F615" s="38"/>
      <c r="G615" s="78">
        <f t="shared" si="3798"/>
        <v>0</v>
      </c>
      <c r="H615" s="3">
        <v>80</v>
      </c>
      <c r="I615" s="77" t="str">
        <f t="shared" si="3784"/>
        <v/>
      </c>
      <c r="J615" s="32"/>
      <c r="K615" s="3"/>
      <c r="L615" s="39"/>
      <c r="M615" s="39"/>
      <c r="N615" s="39"/>
      <c r="O615" s="39"/>
      <c r="P615" s="39"/>
      <c r="Q615" s="39"/>
      <c r="R615" s="39"/>
      <c r="S615" s="39"/>
      <c r="T615" s="3" t="s">
        <v>645</v>
      </c>
      <c r="U615" s="77" t="str">
        <f t="shared" si="3785"/>
        <v/>
      </c>
      <c r="V615" s="39">
        <v>1</v>
      </c>
      <c r="W615" s="79">
        <f t="shared" si="3799"/>
        <v>0</v>
      </c>
      <c r="X615" s="3">
        <v>0</v>
      </c>
      <c r="Y615" s="77" t="str">
        <f t="shared" si="3786"/>
        <v/>
      </c>
      <c r="Z615" s="3"/>
      <c r="AA615" s="37" t="str">
        <f t="shared" si="3800"/>
        <v/>
      </c>
      <c r="AC615" s="40"/>
      <c r="AD615" s="7"/>
      <c r="AE615" s="77" t="str">
        <f t="shared" si="3787"/>
        <v/>
      </c>
      <c r="AF615" s="81">
        <f t="shared" si="3813"/>
        <v>0</v>
      </c>
      <c r="AG615" s="40"/>
      <c r="AH615" s="7"/>
      <c r="AI615" s="77" t="str">
        <f t="shared" si="3788"/>
        <v/>
      </c>
      <c r="AJ615" s="81">
        <f t="shared" si="3814"/>
        <v>0</v>
      </c>
      <c r="AK615" s="83">
        <f t="shared" si="3815"/>
        <v>0</v>
      </c>
      <c r="AL615" s="83">
        <f t="shared" si="3816"/>
        <v>0</v>
      </c>
      <c r="AN615" s="43">
        <f t="shared" si="3789"/>
        <v>0</v>
      </c>
      <c r="AP615" t="str">
        <f t="shared" si="3817"/>
        <v/>
      </c>
      <c r="AQ615" t="str">
        <f t="shared" si="3818"/>
        <v/>
      </c>
      <c r="AR615" t="str">
        <f t="shared" si="3819"/>
        <v/>
      </c>
      <c r="AS615" t="str">
        <f t="shared" si="3820"/>
        <v/>
      </c>
      <c r="AT615" t="str">
        <f t="shared" si="3821"/>
        <v/>
      </c>
      <c r="AU615" t="str">
        <f t="shared" si="3822"/>
        <v/>
      </c>
      <c r="AV615" t="str">
        <f t="shared" si="3823"/>
        <v/>
      </c>
      <c r="AW615" t="str">
        <f t="shared" si="3824"/>
        <v xml:space="preserve">                              </v>
      </c>
      <c r="AX615" s="23">
        <f t="shared" si="3825"/>
        <v>0</v>
      </c>
      <c r="AY615" s="49" t="str">
        <f t="shared" si="3801"/>
        <v>000000000000000</v>
      </c>
      <c r="AZ615" s="23">
        <f t="shared" si="3826"/>
        <v>0</v>
      </c>
      <c r="BA615" s="49" t="str">
        <f t="shared" si="3801"/>
        <v>000000000000000</v>
      </c>
      <c r="BB615" s="23">
        <f t="shared" si="3827"/>
        <v>0</v>
      </c>
      <c r="BC615" s="49" t="str">
        <f t="shared" ref="BC615" si="3996">IF(BB615&lt;0,SUBSTITUTE(TEXT(BB615,"000000000000,00"),",",""),SUBSTITUTE(TEXT(BB615,"0000000000000,00"),",",""))</f>
        <v>000000000000000</v>
      </c>
      <c r="BD615" s="23">
        <f t="shared" si="3829"/>
        <v>0</v>
      </c>
      <c r="BE615" s="49" t="str">
        <f t="shared" ref="BE615" si="3997">IF(BD615&lt;0,SUBSTITUTE(TEXT(BD615,"000000000000,00"),",",""),SUBSTITUTE(TEXT(BD615,"0000000000000,00"),",",""))</f>
        <v>000000000000000</v>
      </c>
      <c r="BF615" s="23">
        <f t="shared" si="3831"/>
        <v>0</v>
      </c>
      <c r="BG615" s="49" t="str">
        <f t="shared" ref="BG615" si="3998">IF(BF615&lt;0,SUBSTITUTE(TEXT(BF615,"000000000000,00"),",",""),SUBSTITUTE(TEXT(BF615,"0000000000000,00"),",",""))</f>
        <v>000000000000000</v>
      </c>
      <c r="BH615" s="23">
        <f t="shared" si="3833"/>
        <v>0</v>
      </c>
      <c r="BI615" s="49" t="str">
        <f t="shared" ref="BI615" si="3999">IF(BH615&lt;0,SUBSTITUTE(TEXT(BH615,"000000000000,00"),",",""),SUBSTITUTE(TEXT(BH615,"0000000000000,00"),",",""))</f>
        <v>000000000000000</v>
      </c>
      <c r="BJ615" s="23">
        <f t="shared" si="3835"/>
        <v>0</v>
      </c>
      <c r="BK615" s="49" t="str">
        <f t="shared" ref="BK615" si="4000">IF(BJ615&lt;0,SUBSTITUTE(TEXT(BJ615,"000000000000,00"),",",""),SUBSTITUTE(TEXT(BJ615,"0000000000000,00"),",",""))</f>
        <v>000000000000000</v>
      </c>
      <c r="BL615" s="23">
        <f t="shared" si="3837"/>
        <v>0</v>
      </c>
      <c r="BM615" s="49" t="str">
        <f t="shared" ref="BM615" si="4001">IF(BL615&lt;0,SUBSTITUTE(TEXT(BL615,"000000000000,00"),",",""),SUBSTITUTE(TEXT(BL615,"0000000000000,00"),",",""))</f>
        <v>000000000000000</v>
      </c>
      <c r="BN615" t="str">
        <f t="shared" si="3839"/>
        <v>PES</v>
      </c>
      <c r="BO615" t="str">
        <f t="shared" si="3840"/>
        <v>0001000000</v>
      </c>
      <c r="BP615">
        <f t="shared" si="3841"/>
        <v>0</v>
      </c>
      <c r="BQ615">
        <f t="shared" si="3842"/>
        <v>0</v>
      </c>
      <c r="BR615" s="23">
        <f t="shared" si="3843"/>
        <v>0</v>
      </c>
      <c r="BS615" s="49" t="str">
        <f t="shared" si="3808"/>
        <v>000000000000000</v>
      </c>
      <c r="BT615" t="str">
        <f t="shared" si="3844"/>
        <v>00000000</v>
      </c>
      <c r="BU615" s="23">
        <f t="shared" si="3845"/>
        <v>0</v>
      </c>
      <c r="BV615" s="49" t="str">
        <f t="shared" si="3809"/>
        <v/>
      </c>
      <c r="BW615" s="52" t="str">
        <f t="shared" si="3846"/>
        <v/>
      </c>
      <c r="BX615" s="23">
        <f t="shared" si="3847"/>
        <v>0</v>
      </c>
      <c r="BY615" s="49" t="str">
        <f t="shared" si="3810"/>
        <v/>
      </c>
      <c r="BZ615" s="23">
        <f t="shared" si="3848"/>
        <v>0</v>
      </c>
      <c r="CA615" s="49" t="str">
        <f t="shared" si="3811"/>
        <v/>
      </c>
      <c r="CB615" s="52" t="str">
        <f t="shared" si="3849"/>
        <v/>
      </c>
      <c r="CC615" s="23">
        <f t="shared" si="3850"/>
        <v>0</v>
      </c>
      <c r="CD615" s="49" t="str">
        <f t="shared" si="3812"/>
        <v/>
      </c>
      <c r="CE615" s="56" t="str">
        <f>IF(CF615="","",MAX(CE$10:$CE614)+1)</f>
        <v/>
      </c>
      <c r="CF615" t="str">
        <f t="shared" si="3851"/>
        <v/>
      </c>
      <c r="CG615" s="22" t="str">
        <f>IF(CH615="","",MAX($CG$10:CG614)+1)</f>
        <v/>
      </c>
      <c r="CH615" s="22" t="str">
        <f t="shared" si="3796"/>
        <v/>
      </c>
      <c r="CI615" s="22" t="str">
        <f>IF(CJ615="","",MAX($CI$10:CI614)+1)</f>
        <v/>
      </c>
      <c r="CJ615" s="22" t="str">
        <f t="shared" si="3797"/>
        <v/>
      </c>
    </row>
    <row r="616" spans="2:88" x14ac:dyDescent="0.25">
      <c r="B616" s="37"/>
      <c r="C616" s="3"/>
      <c r="D616" s="77" t="str">
        <f t="shared" si="3783"/>
        <v/>
      </c>
      <c r="E616" s="38"/>
      <c r="F616" s="38"/>
      <c r="G616" s="78">
        <f t="shared" si="3798"/>
        <v>0</v>
      </c>
      <c r="H616" s="3">
        <v>80</v>
      </c>
      <c r="I616" s="77" t="str">
        <f t="shared" si="3784"/>
        <v/>
      </c>
      <c r="J616" s="32"/>
      <c r="K616" s="3"/>
      <c r="L616" s="39"/>
      <c r="M616" s="39"/>
      <c r="N616" s="39"/>
      <c r="O616" s="39"/>
      <c r="P616" s="39"/>
      <c r="Q616" s="39"/>
      <c r="R616" s="39"/>
      <c r="S616" s="39"/>
      <c r="T616" s="3" t="s">
        <v>645</v>
      </c>
      <c r="U616" s="77" t="str">
        <f t="shared" si="3785"/>
        <v/>
      </c>
      <c r="V616" s="39">
        <v>1</v>
      </c>
      <c r="W616" s="79">
        <f t="shared" si="3799"/>
        <v>0</v>
      </c>
      <c r="X616" s="3">
        <v>0</v>
      </c>
      <c r="Y616" s="77" t="str">
        <f t="shared" si="3786"/>
        <v/>
      </c>
      <c r="Z616" s="3"/>
      <c r="AA616" s="37" t="str">
        <f t="shared" si="3800"/>
        <v/>
      </c>
      <c r="AC616" s="40"/>
      <c r="AD616" s="7"/>
      <c r="AE616" s="77" t="str">
        <f t="shared" si="3787"/>
        <v/>
      </c>
      <c r="AF616" s="81">
        <f t="shared" si="3813"/>
        <v>0</v>
      </c>
      <c r="AG616" s="40"/>
      <c r="AH616" s="7"/>
      <c r="AI616" s="77" t="str">
        <f t="shared" si="3788"/>
        <v/>
      </c>
      <c r="AJ616" s="81">
        <f t="shared" si="3814"/>
        <v>0</v>
      </c>
      <c r="AK616" s="83">
        <f t="shared" si="3815"/>
        <v>0</v>
      </c>
      <c r="AL616" s="83">
        <f t="shared" si="3816"/>
        <v>0</v>
      </c>
      <c r="AN616" s="43">
        <f t="shared" si="3789"/>
        <v>0</v>
      </c>
      <c r="AP616" t="str">
        <f t="shared" si="3817"/>
        <v/>
      </c>
      <c r="AQ616" t="str">
        <f t="shared" si="3818"/>
        <v/>
      </c>
      <c r="AR616" t="str">
        <f t="shared" si="3819"/>
        <v/>
      </c>
      <c r="AS616" t="str">
        <f t="shared" si="3820"/>
        <v/>
      </c>
      <c r="AT616" t="str">
        <f t="shared" si="3821"/>
        <v/>
      </c>
      <c r="AU616" t="str">
        <f t="shared" si="3822"/>
        <v/>
      </c>
      <c r="AV616" t="str">
        <f t="shared" si="3823"/>
        <v/>
      </c>
      <c r="AW616" t="str">
        <f t="shared" si="3824"/>
        <v xml:space="preserve">                              </v>
      </c>
      <c r="AX616" s="23">
        <f t="shared" si="3825"/>
        <v>0</v>
      </c>
      <c r="AY616" s="49" t="str">
        <f t="shared" si="3801"/>
        <v>000000000000000</v>
      </c>
      <c r="AZ616" s="23">
        <f t="shared" si="3826"/>
        <v>0</v>
      </c>
      <c r="BA616" s="49" t="str">
        <f t="shared" si="3801"/>
        <v>000000000000000</v>
      </c>
      <c r="BB616" s="23">
        <f t="shared" si="3827"/>
        <v>0</v>
      </c>
      <c r="BC616" s="49" t="str">
        <f t="shared" ref="BC616" si="4002">IF(BB616&lt;0,SUBSTITUTE(TEXT(BB616,"000000000000,00"),",",""),SUBSTITUTE(TEXT(BB616,"0000000000000,00"),",",""))</f>
        <v>000000000000000</v>
      </c>
      <c r="BD616" s="23">
        <f t="shared" si="3829"/>
        <v>0</v>
      </c>
      <c r="BE616" s="49" t="str">
        <f t="shared" ref="BE616" si="4003">IF(BD616&lt;0,SUBSTITUTE(TEXT(BD616,"000000000000,00"),",",""),SUBSTITUTE(TEXT(BD616,"0000000000000,00"),",",""))</f>
        <v>000000000000000</v>
      </c>
      <c r="BF616" s="23">
        <f t="shared" si="3831"/>
        <v>0</v>
      </c>
      <c r="BG616" s="49" t="str">
        <f t="shared" ref="BG616" si="4004">IF(BF616&lt;0,SUBSTITUTE(TEXT(BF616,"000000000000,00"),",",""),SUBSTITUTE(TEXT(BF616,"0000000000000,00"),",",""))</f>
        <v>000000000000000</v>
      </c>
      <c r="BH616" s="23">
        <f t="shared" si="3833"/>
        <v>0</v>
      </c>
      <c r="BI616" s="49" t="str">
        <f t="shared" ref="BI616" si="4005">IF(BH616&lt;0,SUBSTITUTE(TEXT(BH616,"000000000000,00"),",",""),SUBSTITUTE(TEXT(BH616,"0000000000000,00"),",",""))</f>
        <v>000000000000000</v>
      </c>
      <c r="BJ616" s="23">
        <f t="shared" si="3835"/>
        <v>0</v>
      </c>
      <c r="BK616" s="49" t="str">
        <f t="shared" ref="BK616" si="4006">IF(BJ616&lt;0,SUBSTITUTE(TEXT(BJ616,"000000000000,00"),",",""),SUBSTITUTE(TEXT(BJ616,"0000000000000,00"),",",""))</f>
        <v>000000000000000</v>
      </c>
      <c r="BL616" s="23">
        <f t="shared" si="3837"/>
        <v>0</v>
      </c>
      <c r="BM616" s="49" t="str">
        <f t="shared" ref="BM616" si="4007">IF(BL616&lt;0,SUBSTITUTE(TEXT(BL616,"000000000000,00"),",",""),SUBSTITUTE(TEXT(BL616,"0000000000000,00"),",",""))</f>
        <v>000000000000000</v>
      </c>
      <c r="BN616" t="str">
        <f t="shared" si="3839"/>
        <v>PES</v>
      </c>
      <c r="BO616" t="str">
        <f t="shared" si="3840"/>
        <v>0001000000</v>
      </c>
      <c r="BP616">
        <f t="shared" si="3841"/>
        <v>0</v>
      </c>
      <c r="BQ616">
        <f t="shared" si="3842"/>
        <v>0</v>
      </c>
      <c r="BR616" s="23">
        <f t="shared" si="3843"/>
        <v>0</v>
      </c>
      <c r="BS616" s="49" t="str">
        <f t="shared" si="3808"/>
        <v>000000000000000</v>
      </c>
      <c r="BT616" t="str">
        <f t="shared" si="3844"/>
        <v>00000000</v>
      </c>
      <c r="BU616" s="23">
        <f t="shared" si="3845"/>
        <v>0</v>
      </c>
      <c r="BV616" s="49" t="str">
        <f t="shared" si="3809"/>
        <v/>
      </c>
      <c r="BW616" s="52" t="str">
        <f t="shared" si="3846"/>
        <v/>
      </c>
      <c r="BX616" s="23">
        <f t="shared" si="3847"/>
        <v>0</v>
      </c>
      <c r="BY616" s="49" t="str">
        <f t="shared" si="3810"/>
        <v/>
      </c>
      <c r="BZ616" s="23">
        <f t="shared" si="3848"/>
        <v>0</v>
      </c>
      <c r="CA616" s="49" t="str">
        <f t="shared" si="3811"/>
        <v/>
      </c>
      <c r="CB616" s="52" t="str">
        <f t="shared" si="3849"/>
        <v/>
      </c>
      <c r="CC616" s="23">
        <f t="shared" si="3850"/>
        <v>0</v>
      </c>
      <c r="CD616" s="49" t="str">
        <f t="shared" si="3812"/>
        <v/>
      </c>
      <c r="CE616" s="56" t="str">
        <f>IF(CF616="","",MAX(CE$10:$CE615)+1)</f>
        <v/>
      </c>
      <c r="CF616" t="str">
        <f t="shared" si="3851"/>
        <v/>
      </c>
      <c r="CG616" s="22" t="str">
        <f>IF(CH616="","",MAX($CG$10:CG615)+1)</f>
        <v/>
      </c>
      <c r="CH616" s="22" t="str">
        <f t="shared" si="3796"/>
        <v/>
      </c>
      <c r="CI616" s="22" t="str">
        <f>IF(CJ616="","",MAX($CI$10:CI615)+1)</f>
        <v/>
      </c>
      <c r="CJ616" s="22" t="str">
        <f t="shared" si="3797"/>
        <v/>
      </c>
    </row>
    <row r="617" spans="2:88" x14ac:dyDescent="0.25">
      <c r="B617" s="37"/>
      <c r="C617" s="3"/>
      <c r="D617" s="77" t="str">
        <f t="shared" si="3783"/>
        <v/>
      </c>
      <c r="E617" s="38"/>
      <c r="F617" s="38"/>
      <c r="G617" s="78">
        <f t="shared" si="3798"/>
        <v>0</v>
      </c>
      <c r="H617" s="3">
        <v>80</v>
      </c>
      <c r="I617" s="77" t="str">
        <f t="shared" si="3784"/>
        <v/>
      </c>
      <c r="J617" s="32"/>
      <c r="K617" s="3"/>
      <c r="L617" s="39"/>
      <c r="M617" s="39"/>
      <c r="N617" s="39"/>
      <c r="O617" s="39"/>
      <c r="P617" s="39"/>
      <c r="Q617" s="39"/>
      <c r="R617" s="39"/>
      <c r="S617" s="39"/>
      <c r="T617" s="3" t="s">
        <v>645</v>
      </c>
      <c r="U617" s="77" t="str">
        <f t="shared" si="3785"/>
        <v/>
      </c>
      <c r="V617" s="39">
        <v>1</v>
      </c>
      <c r="W617" s="79">
        <f t="shared" si="3799"/>
        <v>0</v>
      </c>
      <c r="X617" s="3">
        <v>0</v>
      </c>
      <c r="Y617" s="77" t="str">
        <f t="shared" si="3786"/>
        <v/>
      </c>
      <c r="Z617" s="3"/>
      <c r="AA617" s="37" t="str">
        <f t="shared" si="3800"/>
        <v/>
      </c>
      <c r="AC617" s="40"/>
      <c r="AD617" s="7"/>
      <c r="AE617" s="77" t="str">
        <f t="shared" si="3787"/>
        <v/>
      </c>
      <c r="AF617" s="81">
        <f t="shared" si="3813"/>
        <v>0</v>
      </c>
      <c r="AG617" s="40"/>
      <c r="AH617" s="7"/>
      <c r="AI617" s="77" t="str">
        <f t="shared" si="3788"/>
        <v/>
      </c>
      <c r="AJ617" s="81">
        <f t="shared" si="3814"/>
        <v>0</v>
      </c>
      <c r="AK617" s="83">
        <f t="shared" si="3815"/>
        <v>0</v>
      </c>
      <c r="AL617" s="83">
        <f t="shared" si="3816"/>
        <v>0</v>
      </c>
      <c r="AN617" s="43">
        <f t="shared" si="3789"/>
        <v>0</v>
      </c>
      <c r="AP617" t="str">
        <f t="shared" si="3817"/>
        <v/>
      </c>
      <c r="AQ617" t="str">
        <f t="shared" si="3818"/>
        <v/>
      </c>
      <c r="AR617" t="str">
        <f t="shared" si="3819"/>
        <v/>
      </c>
      <c r="AS617" t="str">
        <f t="shared" si="3820"/>
        <v/>
      </c>
      <c r="AT617" t="str">
        <f t="shared" si="3821"/>
        <v/>
      </c>
      <c r="AU617" t="str">
        <f t="shared" si="3822"/>
        <v/>
      </c>
      <c r="AV617" t="str">
        <f t="shared" si="3823"/>
        <v/>
      </c>
      <c r="AW617" t="str">
        <f t="shared" si="3824"/>
        <v xml:space="preserve">                              </v>
      </c>
      <c r="AX617" s="23">
        <f t="shared" si="3825"/>
        <v>0</v>
      </c>
      <c r="AY617" s="49" t="str">
        <f t="shared" si="3801"/>
        <v>000000000000000</v>
      </c>
      <c r="AZ617" s="23">
        <f t="shared" si="3826"/>
        <v>0</v>
      </c>
      <c r="BA617" s="49" t="str">
        <f t="shared" si="3801"/>
        <v>000000000000000</v>
      </c>
      <c r="BB617" s="23">
        <f t="shared" si="3827"/>
        <v>0</v>
      </c>
      <c r="BC617" s="49" t="str">
        <f t="shared" ref="BC617" si="4008">IF(BB617&lt;0,SUBSTITUTE(TEXT(BB617,"000000000000,00"),",",""),SUBSTITUTE(TEXT(BB617,"0000000000000,00"),",",""))</f>
        <v>000000000000000</v>
      </c>
      <c r="BD617" s="23">
        <f t="shared" si="3829"/>
        <v>0</v>
      </c>
      <c r="BE617" s="49" t="str">
        <f t="shared" ref="BE617" si="4009">IF(BD617&lt;0,SUBSTITUTE(TEXT(BD617,"000000000000,00"),",",""),SUBSTITUTE(TEXT(BD617,"0000000000000,00"),",",""))</f>
        <v>000000000000000</v>
      </c>
      <c r="BF617" s="23">
        <f t="shared" si="3831"/>
        <v>0</v>
      </c>
      <c r="BG617" s="49" t="str">
        <f t="shared" ref="BG617" si="4010">IF(BF617&lt;0,SUBSTITUTE(TEXT(BF617,"000000000000,00"),",",""),SUBSTITUTE(TEXT(BF617,"0000000000000,00"),",",""))</f>
        <v>000000000000000</v>
      </c>
      <c r="BH617" s="23">
        <f t="shared" si="3833"/>
        <v>0</v>
      </c>
      <c r="BI617" s="49" t="str">
        <f t="shared" ref="BI617" si="4011">IF(BH617&lt;0,SUBSTITUTE(TEXT(BH617,"000000000000,00"),",",""),SUBSTITUTE(TEXT(BH617,"0000000000000,00"),",",""))</f>
        <v>000000000000000</v>
      </c>
      <c r="BJ617" s="23">
        <f t="shared" si="3835"/>
        <v>0</v>
      </c>
      <c r="BK617" s="49" t="str">
        <f t="shared" ref="BK617" si="4012">IF(BJ617&lt;0,SUBSTITUTE(TEXT(BJ617,"000000000000,00"),",",""),SUBSTITUTE(TEXT(BJ617,"0000000000000,00"),",",""))</f>
        <v>000000000000000</v>
      </c>
      <c r="BL617" s="23">
        <f t="shared" si="3837"/>
        <v>0</v>
      </c>
      <c r="BM617" s="49" t="str">
        <f t="shared" ref="BM617" si="4013">IF(BL617&lt;0,SUBSTITUTE(TEXT(BL617,"000000000000,00"),",",""),SUBSTITUTE(TEXT(BL617,"0000000000000,00"),",",""))</f>
        <v>000000000000000</v>
      </c>
      <c r="BN617" t="str">
        <f t="shared" si="3839"/>
        <v>PES</v>
      </c>
      <c r="BO617" t="str">
        <f t="shared" si="3840"/>
        <v>0001000000</v>
      </c>
      <c r="BP617">
        <f t="shared" si="3841"/>
        <v>0</v>
      </c>
      <c r="BQ617">
        <f t="shared" si="3842"/>
        <v>0</v>
      </c>
      <c r="BR617" s="23">
        <f t="shared" si="3843"/>
        <v>0</v>
      </c>
      <c r="BS617" s="49" t="str">
        <f t="shared" si="3808"/>
        <v>000000000000000</v>
      </c>
      <c r="BT617" t="str">
        <f t="shared" si="3844"/>
        <v>00000000</v>
      </c>
      <c r="BU617" s="23">
        <f t="shared" si="3845"/>
        <v>0</v>
      </c>
      <c r="BV617" s="49" t="str">
        <f t="shared" si="3809"/>
        <v/>
      </c>
      <c r="BW617" s="52" t="str">
        <f t="shared" si="3846"/>
        <v/>
      </c>
      <c r="BX617" s="23">
        <f t="shared" si="3847"/>
        <v>0</v>
      </c>
      <c r="BY617" s="49" t="str">
        <f t="shared" si="3810"/>
        <v/>
      </c>
      <c r="BZ617" s="23">
        <f t="shared" si="3848"/>
        <v>0</v>
      </c>
      <c r="CA617" s="49" t="str">
        <f t="shared" si="3811"/>
        <v/>
      </c>
      <c r="CB617" s="52" t="str">
        <f t="shared" si="3849"/>
        <v/>
      </c>
      <c r="CC617" s="23">
        <f t="shared" si="3850"/>
        <v>0</v>
      </c>
      <c r="CD617" s="49" t="str">
        <f t="shared" si="3812"/>
        <v/>
      </c>
      <c r="CE617" s="56" t="str">
        <f>IF(CF617="","",MAX(CE$10:$CE616)+1)</f>
        <v/>
      </c>
      <c r="CF617" t="str">
        <f t="shared" si="3851"/>
        <v/>
      </c>
      <c r="CG617" s="22" t="str">
        <f>IF(CH617="","",MAX($CG$10:CG616)+1)</f>
        <v/>
      </c>
      <c r="CH617" s="22" t="str">
        <f t="shared" si="3796"/>
        <v/>
      </c>
      <c r="CI617" s="22" t="str">
        <f>IF(CJ617="","",MAX($CI$10:CI616)+1)</f>
        <v/>
      </c>
      <c r="CJ617" s="22" t="str">
        <f t="shared" si="3797"/>
        <v/>
      </c>
    </row>
    <row r="618" spans="2:88" x14ac:dyDescent="0.25">
      <c r="B618" s="37"/>
      <c r="C618" s="3"/>
      <c r="D618" s="77" t="str">
        <f t="shared" si="3783"/>
        <v/>
      </c>
      <c r="E618" s="38"/>
      <c r="F618" s="38"/>
      <c r="G618" s="78">
        <f t="shared" si="3798"/>
        <v>0</v>
      </c>
      <c r="H618" s="3">
        <v>80</v>
      </c>
      <c r="I618" s="77" t="str">
        <f t="shared" si="3784"/>
        <v/>
      </c>
      <c r="J618" s="32"/>
      <c r="K618" s="3"/>
      <c r="L618" s="39"/>
      <c r="M618" s="39"/>
      <c r="N618" s="39"/>
      <c r="O618" s="39"/>
      <c r="P618" s="39"/>
      <c r="Q618" s="39"/>
      <c r="R618" s="39"/>
      <c r="S618" s="39"/>
      <c r="T618" s="3" t="s">
        <v>645</v>
      </c>
      <c r="U618" s="77" t="str">
        <f t="shared" si="3785"/>
        <v/>
      </c>
      <c r="V618" s="39">
        <v>1</v>
      </c>
      <c r="W618" s="79">
        <f t="shared" si="3799"/>
        <v>0</v>
      </c>
      <c r="X618" s="3">
        <v>0</v>
      </c>
      <c r="Y618" s="77" t="str">
        <f t="shared" si="3786"/>
        <v/>
      </c>
      <c r="Z618" s="3"/>
      <c r="AA618" s="37" t="str">
        <f t="shared" si="3800"/>
        <v/>
      </c>
      <c r="AC618" s="40"/>
      <c r="AD618" s="7"/>
      <c r="AE618" s="77" t="str">
        <f t="shared" si="3787"/>
        <v/>
      </c>
      <c r="AF618" s="81">
        <f t="shared" si="3813"/>
        <v>0</v>
      </c>
      <c r="AG618" s="40"/>
      <c r="AH618" s="7"/>
      <c r="AI618" s="77" t="str">
        <f t="shared" si="3788"/>
        <v/>
      </c>
      <c r="AJ618" s="81">
        <f t="shared" si="3814"/>
        <v>0</v>
      </c>
      <c r="AK618" s="83">
        <f t="shared" si="3815"/>
        <v>0</v>
      </c>
      <c r="AL618" s="83">
        <f t="shared" si="3816"/>
        <v>0</v>
      </c>
      <c r="AN618" s="43">
        <f t="shared" si="3789"/>
        <v>0</v>
      </c>
      <c r="AP618" t="str">
        <f t="shared" si="3817"/>
        <v/>
      </c>
      <c r="AQ618" t="str">
        <f t="shared" si="3818"/>
        <v/>
      </c>
      <c r="AR618" t="str">
        <f t="shared" si="3819"/>
        <v/>
      </c>
      <c r="AS618" t="str">
        <f t="shared" si="3820"/>
        <v/>
      </c>
      <c r="AT618" t="str">
        <f t="shared" si="3821"/>
        <v/>
      </c>
      <c r="AU618" t="str">
        <f t="shared" si="3822"/>
        <v/>
      </c>
      <c r="AV618" t="str">
        <f t="shared" si="3823"/>
        <v/>
      </c>
      <c r="AW618" t="str">
        <f t="shared" si="3824"/>
        <v xml:space="preserve">                              </v>
      </c>
      <c r="AX618" s="23">
        <f t="shared" si="3825"/>
        <v>0</v>
      </c>
      <c r="AY618" s="49" t="str">
        <f t="shared" si="3801"/>
        <v>000000000000000</v>
      </c>
      <c r="AZ618" s="23">
        <f t="shared" si="3826"/>
        <v>0</v>
      </c>
      <c r="BA618" s="49" t="str">
        <f t="shared" si="3801"/>
        <v>000000000000000</v>
      </c>
      <c r="BB618" s="23">
        <f t="shared" si="3827"/>
        <v>0</v>
      </c>
      <c r="BC618" s="49" t="str">
        <f t="shared" ref="BC618" si="4014">IF(BB618&lt;0,SUBSTITUTE(TEXT(BB618,"000000000000,00"),",",""),SUBSTITUTE(TEXT(BB618,"0000000000000,00"),",",""))</f>
        <v>000000000000000</v>
      </c>
      <c r="BD618" s="23">
        <f t="shared" si="3829"/>
        <v>0</v>
      </c>
      <c r="BE618" s="49" t="str">
        <f t="shared" ref="BE618" si="4015">IF(BD618&lt;0,SUBSTITUTE(TEXT(BD618,"000000000000,00"),",",""),SUBSTITUTE(TEXT(BD618,"0000000000000,00"),",",""))</f>
        <v>000000000000000</v>
      </c>
      <c r="BF618" s="23">
        <f t="shared" si="3831"/>
        <v>0</v>
      </c>
      <c r="BG618" s="49" t="str">
        <f t="shared" ref="BG618" si="4016">IF(BF618&lt;0,SUBSTITUTE(TEXT(BF618,"000000000000,00"),",",""),SUBSTITUTE(TEXT(BF618,"0000000000000,00"),",",""))</f>
        <v>000000000000000</v>
      </c>
      <c r="BH618" s="23">
        <f t="shared" si="3833"/>
        <v>0</v>
      </c>
      <c r="BI618" s="49" t="str">
        <f t="shared" ref="BI618" si="4017">IF(BH618&lt;0,SUBSTITUTE(TEXT(BH618,"000000000000,00"),",",""),SUBSTITUTE(TEXT(BH618,"0000000000000,00"),",",""))</f>
        <v>000000000000000</v>
      </c>
      <c r="BJ618" s="23">
        <f t="shared" si="3835"/>
        <v>0</v>
      </c>
      <c r="BK618" s="49" t="str">
        <f t="shared" ref="BK618" si="4018">IF(BJ618&lt;0,SUBSTITUTE(TEXT(BJ618,"000000000000,00"),",",""),SUBSTITUTE(TEXT(BJ618,"0000000000000,00"),",",""))</f>
        <v>000000000000000</v>
      </c>
      <c r="BL618" s="23">
        <f t="shared" si="3837"/>
        <v>0</v>
      </c>
      <c r="BM618" s="49" t="str">
        <f t="shared" ref="BM618" si="4019">IF(BL618&lt;0,SUBSTITUTE(TEXT(BL618,"000000000000,00"),",",""),SUBSTITUTE(TEXT(BL618,"0000000000000,00"),",",""))</f>
        <v>000000000000000</v>
      </c>
      <c r="BN618" t="str">
        <f t="shared" si="3839"/>
        <v>PES</v>
      </c>
      <c r="BO618" t="str">
        <f t="shared" si="3840"/>
        <v>0001000000</v>
      </c>
      <c r="BP618">
        <f t="shared" si="3841"/>
        <v>0</v>
      </c>
      <c r="BQ618">
        <f t="shared" si="3842"/>
        <v>0</v>
      </c>
      <c r="BR618" s="23">
        <f t="shared" si="3843"/>
        <v>0</v>
      </c>
      <c r="BS618" s="49" t="str">
        <f t="shared" si="3808"/>
        <v>000000000000000</v>
      </c>
      <c r="BT618" t="str">
        <f t="shared" si="3844"/>
        <v>00000000</v>
      </c>
      <c r="BU618" s="23">
        <f t="shared" si="3845"/>
        <v>0</v>
      </c>
      <c r="BV618" s="49" t="str">
        <f t="shared" si="3809"/>
        <v/>
      </c>
      <c r="BW618" s="52" t="str">
        <f t="shared" si="3846"/>
        <v/>
      </c>
      <c r="BX618" s="23">
        <f t="shared" si="3847"/>
        <v>0</v>
      </c>
      <c r="BY618" s="49" t="str">
        <f t="shared" si="3810"/>
        <v/>
      </c>
      <c r="BZ618" s="23">
        <f t="shared" si="3848"/>
        <v>0</v>
      </c>
      <c r="CA618" s="49" t="str">
        <f t="shared" si="3811"/>
        <v/>
      </c>
      <c r="CB618" s="52" t="str">
        <f t="shared" si="3849"/>
        <v/>
      </c>
      <c r="CC618" s="23">
        <f t="shared" si="3850"/>
        <v>0</v>
      </c>
      <c r="CD618" s="49" t="str">
        <f t="shared" si="3812"/>
        <v/>
      </c>
      <c r="CE618" s="56" t="str">
        <f>IF(CF618="","",MAX(CE$10:$CE617)+1)</f>
        <v/>
      </c>
      <c r="CF618" t="str">
        <f t="shared" si="3851"/>
        <v/>
      </c>
      <c r="CG618" s="22" t="str">
        <f>IF(CH618="","",MAX($CG$10:CG617)+1)</f>
        <v/>
      </c>
      <c r="CH618" s="22" t="str">
        <f t="shared" si="3796"/>
        <v/>
      </c>
      <c r="CI618" s="22" t="str">
        <f>IF(CJ618="","",MAX($CI$10:CI617)+1)</f>
        <v/>
      </c>
      <c r="CJ618" s="22" t="str">
        <f t="shared" si="3797"/>
        <v/>
      </c>
    </row>
    <row r="619" spans="2:88" x14ac:dyDescent="0.25">
      <c r="B619" s="37"/>
      <c r="C619" s="3"/>
      <c r="D619" s="77" t="str">
        <f t="shared" si="3783"/>
        <v/>
      </c>
      <c r="E619" s="38"/>
      <c r="F619" s="38"/>
      <c r="G619" s="78">
        <f t="shared" si="3798"/>
        <v>0</v>
      </c>
      <c r="H619" s="3">
        <v>80</v>
      </c>
      <c r="I619" s="77" t="str">
        <f t="shared" si="3784"/>
        <v/>
      </c>
      <c r="J619" s="32"/>
      <c r="K619" s="3"/>
      <c r="L619" s="39"/>
      <c r="M619" s="39"/>
      <c r="N619" s="39"/>
      <c r="O619" s="39"/>
      <c r="P619" s="39"/>
      <c r="Q619" s="39"/>
      <c r="R619" s="39"/>
      <c r="S619" s="39"/>
      <c r="T619" s="3" t="s">
        <v>645</v>
      </c>
      <c r="U619" s="77" t="str">
        <f t="shared" si="3785"/>
        <v/>
      </c>
      <c r="V619" s="39">
        <v>1</v>
      </c>
      <c r="W619" s="79">
        <f t="shared" si="3799"/>
        <v>0</v>
      </c>
      <c r="X619" s="3">
        <v>0</v>
      </c>
      <c r="Y619" s="77" t="str">
        <f t="shared" si="3786"/>
        <v/>
      </c>
      <c r="Z619" s="3"/>
      <c r="AA619" s="37" t="str">
        <f t="shared" si="3800"/>
        <v/>
      </c>
      <c r="AC619" s="40"/>
      <c r="AD619" s="7"/>
      <c r="AE619" s="77" t="str">
        <f t="shared" si="3787"/>
        <v/>
      </c>
      <c r="AF619" s="81">
        <f t="shared" si="3813"/>
        <v>0</v>
      </c>
      <c r="AG619" s="40"/>
      <c r="AH619" s="7"/>
      <c r="AI619" s="77" t="str">
        <f t="shared" si="3788"/>
        <v/>
      </c>
      <c r="AJ619" s="81">
        <f t="shared" si="3814"/>
        <v>0</v>
      </c>
      <c r="AK619" s="83">
        <f t="shared" si="3815"/>
        <v>0</v>
      </c>
      <c r="AL619" s="83">
        <f t="shared" si="3816"/>
        <v>0</v>
      </c>
      <c r="AN619" s="43">
        <f t="shared" si="3789"/>
        <v>0</v>
      </c>
      <c r="AP619" t="str">
        <f t="shared" si="3817"/>
        <v/>
      </c>
      <c r="AQ619" t="str">
        <f t="shared" si="3818"/>
        <v/>
      </c>
      <c r="AR619" t="str">
        <f t="shared" si="3819"/>
        <v/>
      </c>
      <c r="AS619" t="str">
        <f t="shared" si="3820"/>
        <v/>
      </c>
      <c r="AT619" t="str">
        <f t="shared" si="3821"/>
        <v/>
      </c>
      <c r="AU619" t="str">
        <f t="shared" si="3822"/>
        <v/>
      </c>
      <c r="AV619" t="str">
        <f t="shared" si="3823"/>
        <v/>
      </c>
      <c r="AW619" t="str">
        <f t="shared" si="3824"/>
        <v xml:space="preserve">                              </v>
      </c>
      <c r="AX619" s="23">
        <f t="shared" si="3825"/>
        <v>0</v>
      </c>
      <c r="AY619" s="49" t="str">
        <f t="shared" si="3801"/>
        <v>000000000000000</v>
      </c>
      <c r="AZ619" s="23">
        <f t="shared" si="3826"/>
        <v>0</v>
      </c>
      <c r="BA619" s="49" t="str">
        <f t="shared" si="3801"/>
        <v>000000000000000</v>
      </c>
      <c r="BB619" s="23">
        <f t="shared" si="3827"/>
        <v>0</v>
      </c>
      <c r="BC619" s="49" t="str">
        <f t="shared" ref="BC619" si="4020">IF(BB619&lt;0,SUBSTITUTE(TEXT(BB619,"000000000000,00"),",",""),SUBSTITUTE(TEXT(BB619,"0000000000000,00"),",",""))</f>
        <v>000000000000000</v>
      </c>
      <c r="BD619" s="23">
        <f t="shared" si="3829"/>
        <v>0</v>
      </c>
      <c r="BE619" s="49" t="str">
        <f t="shared" ref="BE619" si="4021">IF(BD619&lt;0,SUBSTITUTE(TEXT(BD619,"000000000000,00"),",",""),SUBSTITUTE(TEXT(BD619,"0000000000000,00"),",",""))</f>
        <v>000000000000000</v>
      </c>
      <c r="BF619" s="23">
        <f t="shared" si="3831"/>
        <v>0</v>
      </c>
      <c r="BG619" s="49" t="str">
        <f t="shared" ref="BG619" si="4022">IF(BF619&lt;0,SUBSTITUTE(TEXT(BF619,"000000000000,00"),",",""),SUBSTITUTE(TEXT(BF619,"0000000000000,00"),",",""))</f>
        <v>000000000000000</v>
      </c>
      <c r="BH619" s="23">
        <f t="shared" si="3833"/>
        <v>0</v>
      </c>
      <c r="BI619" s="49" t="str">
        <f t="shared" ref="BI619" si="4023">IF(BH619&lt;0,SUBSTITUTE(TEXT(BH619,"000000000000,00"),",",""),SUBSTITUTE(TEXT(BH619,"0000000000000,00"),",",""))</f>
        <v>000000000000000</v>
      </c>
      <c r="BJ619" s="23">
        <f t="shared" si="3835"/>
        <v>0</v>
      </c>
      <c r="BK619" s="49" t="str">
        <f t="shared" ref="BK619" si="4024">IF(BJ619&lt;0,SUBSTITUTE(TEXT(BJ619,"000000000000,00"),",",""),SUBSTITUTE(TEXT(BJ619,"0000000000000,00"),",",""))</f>
        <v>000000000000000</v>
      </c>
      <c r="BL619" s="23">
        <f t="shared" si="3837"/>
        <v>0</v>
      </c>
      <c r="BM619" s="49" t="str">
        <f t="shared" ref="BM619" si="4025">IF(BL619&lt;0,SUBSTITUTE(TEXT(BL619,"000000000000,00"),",",""),SUBSTITUTE(TEXT(BL619,"0000000000000,00"),",",""))</f>
        <v>000000000000000</v>
      </c>
      <c r="BN619" t="str">
        <f t="shared" si="3839"/>
        <v>PES</v>
      </c>
      <c r="BO619" t="str">
        <f t="shared" si="3840"/>
        <v>0001000000</v>
      </c>
      <c r="BP619">
        <f t="shared" si="3841"/>
        <v>0</v>
      </c>
      <c r="BQ619">
        <f t="shared" si="3842"/>
        <v>0</v>
      </c>
      <c r="BR619" s="23">
        <f t="shared" si="3843"/>
        <v>0</v>
      </c>
      <c r="BS619" s="49" t="str">
        <f t="shared" si="3808"/>
        <v>000000000000000</v>
      </c>
      <c r="BT619" t="str">
        <f t="shared" si="3844"/>
        <v>00000000</v>
      </c>
      <c r="BU619" s="23">
        <f t="shared" si="3845"/>
        <v>0</v>
      </c>
      <c r="BV619" s="49" t="str">
        <f t="shared" si="3809"/>
        <v/>
      </c>
      <c r="BW619" s="52" t="str">
        <f t="shared" si="3846"/>
        <v/>
      </c>
      <c r="BX619" s="23">
        <f t="shared" si="3847"/>
        <v>0</v>
      </c>
      <c r="BY619" s="49" t="str">
        <f t="shared" si="3810"/>
        <v/>
      </c>
      <c r="BZ619" s="23">
        <f t="shared" si="3848"/>
        <v>0</v>
      </c>
      <c r="CA619" s="49" t="str">
        <f t="shared" si="3811"/>
        <v/>
      </c>
      <c r="CB619" s="52" t="str">
        <f t="shared" si="3849"/>
        <v/>
      </c>
      <c r="CC619" s="23">
        <f t="shared" si="3850"/>
        <v>0</v>
      </c>
      <c r="CD619" s="49" t="str">
        <f t="shared" si="3812"/>
        <v/>
      </c>
      <c r="CE619" s="56" t="str">
        <f>IF(CF619="","",MAX(CE$10:$CE618)+1)</f>
        <v/>
      </c>
      <c r="CF619" t="str">
        <f t="shared" si="3851"/>
        <v/>
      </c>
      <c r="CG619" s="22" t="str">
        <f>IF(CH619="","",MAX($CG$10:CG618)+1)</f>
        <v/>
      </c>
      <c r="CH619" s="22" t="str">
        <f t="shared" si="3796"/>
        <v/>
      </c>
      <c r="CI619" s="22" t="str">
        <f>IF(CJ619="","",MAX($CI$10:CI618)+1)</f>
        <v/>
      </c>
      <c r="CJ619" s="22" t="str">
        <f t="shared" si="3797"/>
        <v/>
      </c>
    </row>
    <row r="620" spans="2:88" x14ac:dyDescent="0.25">
      <c r="B620" s="37"/>
      <c r="C620" s="3"/>
      <c r="D620" s="77" t="str">
        <f t="shared" si="3783"/>
        <v/>
      </c>
      <c r="E620" s="38"/>
      <c r="F620" s="38"/>
      <c r="G620" s="78">
        <f t="shared" si="3798"/>
        <v>0</v>
      </c>
      <c r="H620" s="3">
        <v>80</v>
      </c>
      <c r="I620" s="77" t="str">
        <f t="shared" si="3784"/>
        <v/>
      </c>
      <c r="J620" s="32"/>
      <c r="K620" s="3"/>
      <c r="L620" s="39"/>
      <c r="M620" s="39"/>
      <c r="N620" s="39"/>
      <c r="O620" s="39"/>
      <c r="P620" s="39"/>
      <c r="Q620" s="39"/>
      <c r="R620" s="39"/>
      <c r="S620" s="39"/>
      <c r="T620" s="3" t="s">
        <v>645</v>
      </c>
      <c r="U620" s="77" t="str">
        <f t="shared" si="3785"/>
        <v/>
      </c>
      <c r="V620" s="39">
        <v>1</v>
      </c>
      <c r="W620" s="79">
        <f t="shared" si="3799"/>
        <v>0</v>
      </c>
      <c r="X620" s="3">
        <v>0</v>
      </c>
      <c r="Y620" s="77" t="str">
        <f t="shared" si="3786"/>
        <v/>
      </c>
      <c r="Z620" s="3"/>
      <c r="AA620" s="37" t="str">
        <f t="shared" si="3800"/>
        <v/>
      </c>
      <c r="AC620" s="40"/>
      <c r="AD620" s="7"/>
      <c r="AE620" s="77" t="str">
        <f t="shared" si="3787"/>
        <v/>
      </c>
      <c r="AF620" s="81">
        <f t="shared" si="3813"/>
        <v>0</v>
      </c>
      <c r="AG620" s="40"/>
      <c r="AH620" s="7"/>
      <c r="AI620" s="77" t="str">
        <f t="shared" si="3788"/>
        <v/>
      </c>
      <c r="AJ620" s="81">
        <f t="shared" si="3814"/>
        <v>0</v>
      </c>
      <c r="AK620" s="83">
        <f t="shared" si="3815"/>
        <v>0</v>
      </c>
      <c r="AL620" s="83">
        <f t="shared" si="3816"/>
        <v>0</v>
      </c>
      <c r="AN620" s="43">
        <f t="shared" si="3789"/>
        <v>0</v>
      </c>
      <c r="AP620" t="str">
        <f t="shared" si="3817"/>
        <v/>
      </c>
      <c r="AQ620" t="str">
        <f t="shared" si="3818"/>
        <v/>
      </c>
      <c r="AR620" t="str">
        <f t="shared" si="3819"/>
        <v/>
      </c>
      <c r="AS620" t="str">
        <f t="shared" si="3820"/>
        <v/>
      </c>
      <c r="AT620" t="str">
        <f t="shared" si="3821"/>
        <v/>
      </c>
      <c r="AU620" t="str">
        <f t="shared" si="3822"/>
        <v/>
      </c>
      <c r="AV620" t="str">
        <f t="shared" si="3823"/>
        <v/>
      </c>
      <c r="AW620" t="str">
        <f t="shared" si="3824"/>
        <v xml:space="preserve">                              </v>
      </c>
      <c r="AX620" s="23">
        <f t="shared" si="3825"/>
        <v>0</v>
      </c>
      <c r="AY620" s="49" t="str">
        <f t="shared" si="3801"/>
        <v>000000000000000</v>
      </c>
      <c r="AZ620" s="23">
        <f t="shared" si="3826"/>
        <v>0</v>
      </c>
      <c r="BA620" s="49" t="str">
        <f t="shared" si="3801"/>
        <v>000000000000000</v>
      </c>
      <c r="BB620" s="23">
        <f t="shared" si="3827"/>
        <v>0</v>
      </c>
      <c r="BC620" s="49" t="str">
        <f t="shared" ref="BC620" si="4026">IF(BB620&lt;0,SUBSTITUTE(TEXT(BB620,"000000000000,00"),",",""),SUBSTITUTE(TEXT(BB620,"0000000000000,00"),",",""))</f>
        <v>000000000000000</v>
      </c>
      <c r="BD620" s="23">
        <f t="shared" si="3829"/>
        <v>0</v>
      </c>
      <c r="BE620" s="49" t="str">
        <f t="shared" ref="BE620" si="4027">IF(BD620&lt;0,SUBSTITUTE(TEXT(BD620,"000000000000,00"),",",""),SUBSTITUTE(TEXT(BD620,"0000000000000,00"),",",""))</f>
        <v>000000000000000</v>
      </c>
      <c r="BF620" s="23">
        <f t="shared" si="3831"/>
        <v>0</v>
      </c>
      <c r="BG620" s="49" t="str">
        <f t="shared" ref="BG620" si="4028">IF(BF620&lt;0,SUBSTITUTE(TEXT(BF620,"000000000000,00"),",",""),SUBSTITUTE(TEXT(BF620,"0000000000000,00"),",",""))</f>
        <v>000000000000000</v>
      </c>
      <c r="BH620" s="23">
        <f t="shared" si="3833"/>
        <v>0</v>
      </c>
      <c r="BI620" s="49" t="str">
        <f t="shared" ref="BI620" si="4029">IF(BH620&lt;0,SUBSTITUTE(TEXT(BH620,"000000000000,00"),",",""),SUBSTITUTE(TEXT(BH620,"0000000000000,00"),",",""))</f>
        <v>000000000000000</v>
      </c>
      <c r="BJ620" s="23">
        <f t="shared" si="3835"/>
        <v>0</v>
      </c>
      <c r="BK620" s="49" t="str">
        <f t="shared" ref="BK620" si="4030">IF(BJ620&lt;0,SUBSTITUTE(TEXT(BJ620,"000000000000,00"),",",""),SUBSTITUTE(TEXT(BJ620,"0000000000000,00"),",",""))</f>
        <v>000000000000000</v>
      </c>
      <c r="BL620" s="23">
        <f t="shared" si="3837"/>
        <v>0</v>
      </c>
      <c r="BM620" s="49" t="str">
        <f t="shared" ref="BM620" si="4031">IF(BL620&lt;0,SUBSTITUTE(TEXT(BL620,"000000000000,00"),",",""),SUBSTITUTE(TEXT(BL620,"0000000000000,00"),",",""))</f>
        <v>000000000000000</v>
      </c>
      <c r="BN620" t="str">
        <f t="shared" si="3839"/>
        <v>PES</v>
      </c>
      <c r="BO620" t="str">
        <f t="shared" si="3840"/>
        <v>0001000000</v>
      </c>
      <c r="BP620">
        <f t="shared" si="3841"/>
        <v>0</v>
      </c>
      <c r="BQ620">
        <f t="shared" si="3842"/>
        <v>0</v>
      </c>
      <c r="BR620" s="23">
        <f t="shared" si="3843"/>
        <v>0</v>
      </c>
      <c r="BS620" s="49" t="str">
        <f t="shared" si="3808"/>
        <v>000000000000000</v>
      </c>
      <c r="BT620" t="str">
        <f t="shared" si="3844"/>
        <v>00000000</v>
      </c>
      <c r="BU620" s="23">
        <f t="shared" si="3845"/>
        <v>0</v>
      </c>
      <c r="BV620" s="49" t="str">
        <f t="shared" si="3809"/>
        <v/>
      </c>
      <c r="BW620" s="52" t="str">
        <f t="shared" si="3846"/>
        <v/>
      </c>
      <c r="BX620" s="23">
        <f t="shared" si="3847"/>
        <v>0</v>
      </c>
      <c r="BY620" s="49" t="str">
        <f t="shared" si="3810"/>
        <v/>
      </c>
      <c r="BZ620" s="23">
        <f t="shared" si="3848"/>
        <v>0</v>
      </c>
      <c r="CA620" s="49" t="str">
        <f t="shared" si="3811"/>
        <v/>
      </c>
      <c r="CB620" s="52" t="str">
        <f t="shared" si="3849"/>
        <v/>
      </c>
      <c r="CC620" s="23">
        <f t="shared" si="3850"/>
        <v>0</v>
      </c>
      <c r="CD620" s="49" t="str">
        <f t="shared" si="3812"/>
        <v/>
      </c>
      <c r="CE620" s="56" t="str">
        <f>IF(CF620="","",MAX(CE$10:$CE619)+1)</f>
        <v/>
      </c>
      <c r="CF620" t="str">
        <f t="shared" si="3851"/>
        <v/>
      </c>
      <c r="CG620" s="22" t="str">
        <f>IF(CH620="","",MAX($CG$10:CG619)+1)</f>
        <v/>
      </c>
      <c r="CH620" s="22" t="str">
        <f t="shared" si="3796"/>
        <v/>
      </c>
      <c r="CI620" s="22" t="str">
        <f>IF(CJ620="","",MAX($CI$10:CI619)+1)</f>
        <v/>
      </c>
      <c r="CJ620" s="22" t="str">
        <f t="shared" si="3797"/>
        <v/>
      </c>
    </row>
    <row r="621" spans="2:88" x14ac:dyDescent="0.25">
      <c r="B621" s="37"/>
      <c r="C621" s="3"/>
      <c r="D621" s="77" t="str">
        <f t="shared" si="3783"/>
        <v/>
      </c>
      <c r="E621" s="38"/>
      <c r="F621" s="38"/>
      <c r="G621" s="78">
        <f t="shared" si="3798"/>
        <v>0</v>
      </c>
      <c r="H621" s="3">
        <v>80</v>
      </c>
      <c r="I621" s="77" t="str">
        <f t="shared" si="3784"/>
        <v/>
      </c>
      <c r="J621" s="32"/>
      <c r="K621" s="3"/>
      <c r="L621" s="39"/>
      <c r="M621" s="39"/>
      <c r="N621" s="39"/>
      <c r="O621" s="39"/>
      <c r="P621" s="39"/>
      <c r="Q621" s="39"/>
      <c r="R621" s="39"/>
      <c r="S621" s="39"/>
      <c r="T621" s="3" t="s">
        <v>645</v>
      </c>
      <c r="U621" s="77" t="str">
        <f t="shared" si="3785"/>
        <v/>
      </c>
      <c r="V621" s="39">
        <v>1</v>
      </c>
      <c r="W621" s="79">
        <f t="shared" si="3799"/>
        <v>0</v>
      </c>
      <c r="X621" s="3">
        <v>0</v>
      </c>
      <c r="Y621" s="77" t="str">
        <f t="shared" si="3786"/>
        <v/>
      </c>
      <c r="Z621" s="3"/>
      <c r="AA621" s="37" t="str">
        <f t="shared" si="3800"/>
        <v/>
      </c>
      <c r="AC621" s="40"/>
      <c r="AD621" s="7"/>
      <c r="AE621" s="77" t="str">
        <f t="shared" si="3787"/>
        <v/>
      </c>
      <c r="AF621" s="81">
        <f t="shared" si="3813"/>
        <v>0</v>
      </c>
      <c r="AG621" s="40"/>
      <c r="AH621" s="7"/>
      <c r="AI621" s="77" t="str">
        <f t="shared" si="3788"/>
        <v/>
      </c>
      <c r="AJ621" s="81">
        <f t="shared" si="3814"/>
        <v>0</v>
      </c>
      <c r="AK621" s="83">
        <f t="shared" si="3815"/>
        <v>0</v>
      </c>
      <c r="AL621" s="83">
        <f t="shared" si="3816"/>
        <v>0</v>
      </c>
      <c r="AN621" s="43">
        <f t="shared" si="3789"/>
        <v>0</v>
      </c>
      <c r="AP621" t="str">
        <f t="shared" si="3817"/>
        <v/>
      </c>
      <c r="AQ621" t="str">
        <f t="shared" si="3818"/>
        <v/>
      </c>
      <c r="AR621" t="str">
        <f t="shared" si="3819"/>
        <v/>
      </c>
      <c r="AS621" t="str">
        <f t="shared" si="3820"/>
        <v/>
      </c>
      <c r="AT621" t="str">
        <f t="shared" si="3821"/>
        <v/>
      </c>
      <c r="AU621" t="str">
        <f t="shared" si="3822"/>
        <v/>
      </c>
      <c r="AV621" t="str">
        <f t="shared" si="3823"/>
        <v/>
      </c>
      <c r="AW621" t="str">
        <f t="shared" si="3824"/>
        <v xml:space="preserve">                              </v>
      </c>
      <c r="AX621" s="23">
        <f t="shared" si="3825"/>
        <v>0</v>
      </c>
      <c r="AY621" s="49" t="str">
        <f t="shared" si="3801"/>
        <v>000000000000000</v>
      </c>
      <c r="AZ621" s="23">
        <f t="shared" si="3826"/>
        <v>0</v>
      </c>
      <c r="BA621" s="49" t="str">
        <f t="shared" si="3801"/>
        <v>000000000000000</v>
      </c>
      <c r="BB621" s="23">
        <f t="shared" si="3827"/>
        <v>0</v>
      </c>
      <c r="BC621" s="49" t="str">
        <f t="shared" ref="BC621" si="4032">IF(BB621&lt;0,SUBSTITUTE(TEXT(BB621,"000000000000,00"),",",""),SUBSTITUTE(TEXT(BB621,"0000000000000,00"),",",""))</f>
        <v>000000000000000</v>
      </c>
      <c r="BD621" s="23">
        <f t="shared" si="3829"/>
        <v>0</v>
      </c>
      <c r="BE621" s="49" t="str">
        <f t="shared" ref="BE621" si="4033">IF(BD621&lt;0,SUBSTITUTE(TEXT(BD621,"000000000000,00"),",",""),SUBSTITUTE(TEXT(BD621,"0000000000000,00"),",",""))</f>
        <v>000000000000000</v>
      </c>
      <c r="BF621" s="23">
        <f t="shared" si="3831"/>
        <v>0</v>
      </c>
      <c r="BG621" s="49" t="str">
        <f t="shared" ref="BG621" si="4034">IF(BF621&lt;0,SUBSTITUTE(TEXT(BF621,"000000000000,00"),",",""),SUBSTITUTE(TEXT(BF621,"0000000000000,00"),",",""))</f>
        <v>000000000000000</v>
      </c>
      <c r="BH621" s="23">
        <f t="shared" si="3833"/>
        <v>0</v>
      </c>
      <c r="BI621" s="49" t="str">
        <f t="shared" ref="BI621" si="4035">IF(BH621&lt;0,SUBSTITUTE(TEXT(BH621,"000000000000,00"),",",""),SUBSTITUTE(TEXT(BH621,"0000000000000,00"),",",""))</f>
        <v>000000000000000</v>
      </c>
      <c r="BJ621" s="23">
        <f t="shared" si="3835"/>
        <v>0</v>
      </c>
      <c r="BK621" s="49" t="str">
        <f t="shared" ref="BK621" si="4036">IF(BJ621&lt;0,SUBSTITUTE(TEXT(BJ621,"000000000000,00"),",",""),SUBSTITUTE(TEXT(BJ621,"0000000000000,00"),",",""))</f>
        <v>000000000000000</v>
      </c>
      <c r="BL621" s="23">
        <f t="shared" si="3837"/>
        <v>0</v>
      </c>
      <c r="BM621" s="49" t="str">
        <f t="shared" ref="BM621" si="4037">IF(BL621&lt;0,SUBSTITUTE(TEXT(BL621,"000000000000,00"),",",""),SUBSTITUTE(TEXT(BL621,"0000000000000,00"),",",""))</f>
        <v>000000000000000</v>
      </c>
      <c r="BN621" t="str">
        <f t="shared" si="3839"/>
        <v>PES</v>
      </c>
      <c r="BO621" t="str">
        <f t="shared" si="3840"/>
        <v>0001000000</v>
      </c>
      <c r="BP621">
        <f t="shared" si="3841"/>
        <v>0</v>
      </c>
      <c r="BQ621">
        <f t="shared" si="3842"/>
        <v>0</v>
      </c>
      <c r="BR621" s="23">
        <f t="shared" si="3843"/>
        <v>0</v>
      </c>
      <c r="BS621" s="49" t="str">
        <f t="shared" si="3808"/>
        <v>000000000000000</v>
      </c>
      <c r="BT621" t="str">
        <f t="shared" si="3844"/>
        <v>00000000</v>
      </c>
      <c r="BU621" s="23">
        <f t="shared" si="3845"/>
        <v>0</v>
      </c>
      <c r="BV621" s="49" t="str">
        <f t="shared" si="3809"/>
        <v/>
      </c>
      <c r="BW621" s="52" t="str">
        <f t="shared" si="3846"/>
        <v/>
      </c>
      <c r="BX621" s="23">
        <f t="shared" si="3847"/>
        <v>0</v>
      </c>
      <c r="BY621" s="49" t="str">
        <f t="shared" si="3810"/>
        <v/>
      </c>
      <c r="BZ621" s="23">
        <f t="shared" si="3848"/>
        <v>0</v>
      </c>
      <c r="CA621" s="49" t="str">
        <f t="shared" si="3811"/>
        <v/>
      </c>
      <c r="CB621" s="52" t="str">
        <f t="shared" si="3849"/>
        <v/>
      </c>
      <c r="CC621" s="23">
        <f t="shared" si="3850"/>
        <v>0</v>
      </c>
      <c r="CD621" s="49" t="str">
        <f t="shared" si="3812"/>
        <v/>
      </c>
      <c r="CE621" s="56" t="str">
        <f>IF(CF621="","",MAX(CE$10:$CE620)+1)</f>
        <v/>
      </c>
      <c r="CF621" t="str">
        <f t="shared" si="3851"/>
        <v/>
      </c>
      <c r="CG621" s="22" t="str">
        <f>IF(CH621="","",MAX($CG$10:CG620)+1)</f>
        <v/>
      </c>
      <c r="CH621" s="22" t="str">
        <f t="shared" si="3796"/>
        <v/>
      </c>
      <c r="CI621" s="22" t="str">
        <f>IF(CJ621="","",MAX($CI$10:CI620)+1)</f>
        <v/>
      </c>
      <c r="CJ621" s="22" t="str">
        <f t="shared" si="3797"/>
        <v/>
      </c>
    </row>
    <row r="622" spans="2:88" x14ac:dyDescent="0.25">
      <c r="B622" s="37"/>
      <c r="C622" s="3"/>
      <c r="D622" s="77" t="str">
        <f t="shared" si="3783"/>
        <v/>
      </c>
      <c r="E622" s="38"/>
      <c r="F622" s="38"/>
      <c r="G622" s="78">
        <f t="shared" si="3798"/>
        <v>0</v>
      </c>
      <c r="H622" s="3">
        <v>80</v>
      </c>
      <c r="I622" s="77" t="str">
        <f t="shared" si="3784"/>
        <v/>
      </c>
      <c r="J622" s="32"/>
      <c r="K622" s="3"/>
      <c r="L622" s="39"/>
      <c r="M622" s="39"/>
      <c r="N622" s="39"/>
      <c r="O622" s="39"/>
      <c r="P622" s="39"/>
      <c r="Q622" s="39"/>
      <c r="R622" s="39"/>
      <c r="S622" s="39"/>
      <c r="T622" s="3" t="s">
        <v>645</v>
      </c>
      <c r="U622" s="77" t="str">
        <f t="shared" si="3785"/>
        <v/>
      </c>
      <c r="V622" s="39">
        <v>1</v>
      </c>
      <c r="W622" s="79">
        <f t="shared" si="3799"/>
        <v>0</v>
      </c>
      <c r="X622" s="3">
        <v>0</v>
      </c>
      <c r="Y622" s="77" t="str">
        <f t="shared" si="3786"/>
        <v/>
      </c>
      <c r="Z622" s="3"/>
      <c r="AA622" s="37" t="str">
        <f t="shared" si="3800"/>
        <v/>
      </c>
      <c r="AC622" s="40"/>
      <c r="AD622" s="7"/>
      <c r="AE622" s="77" t="str">
        <f t="shared" si="3787"/>
        <v/>
      </c>
      <c r="AF622" s="81">
        <f t="shared" si="3813"/>
        <v>0</v>
      </c>
      <c r="AG622" s="40"/>
      <c r="AH622" s="7"/>
      <c r="AI622" s="77" t="str">
        <f t="shared" si="3788"/>
        <v/>
      </c>
      <c r="AJ622" s="81">
        <f t="shared" si="3814"/>
        <v>0</v>
      </c>
      <c r="AK622" s="83">
        <f t="shared" si="3815"/>
        <v>0</v>
      </c>
      <c r="AL622" s="83">
        <f t="shared" si="3816"/>
        <v>0</v>
      </c>
      <c r="AN622" s="43">
        <f t="shared" si="3789"/>
        <v>0</v>
      </c>
      <c r="AP622" t="str">
        <f t="shared" si="3817"/>
        <v/>
      </c>
      <c r="AQ622" t="str">
        <f t="shared" si="3818"/>
        <v/>
      </c>
      <c r="AR622" t="str">
        <f t="shared" si="3819"/>
        <v/>
      </c>
      <c r="AS622" t="str">
        <f t="shared" si="3820"/>
        <v/>
      </c>
      <c r="AT622" t="str">
        <f t="shared" si="3821"/>
        <v/>
      </c>
      <c r="AU622" t="str">
        <f t="shared" si="3822"/>
        <v/>
      </c>
      <c r="AV622" t="str">
        <f t="shared" si="3823"/>
        <v/>
      </c>
      <c r="AW622" t="str">
        <f t="shared" si="3824"/>
        <v xml:space="preserve">                              </v>
      </c>
      <c r="AX622" s="23">
        <f t="shared" si="3825"/>
        <v>0</v>
      </c>
      <c r="AY622" s="49" t="str">
        <f t="shared" si="3801"/>
        <v>000000000000000</v>
      </c>
      <c r="AZ622" s="23">
        <f t="shared" si="3826"/>
        <v>0</v>
      </c>
      <c r="BA622" s="49" t="str">
        <f t="shared" si="3801"/>
        <v>000000000000000</v>
      </c>
      <c r="BB622" s="23">
        <f t="shared" si="3827"/>
        <v>0</v>
      </c>
      <c r="BC622" s="49" t="str">
        <f t="shared" ref="BC622" si="4038">IF(BB622&lt;0,SUBSTITUTE(TEXT(BB622,"000000000000,00"),",",""),SUBSTITUTE(TEXT(BB622,"0000000000000,00"),",",""))</f>
        <v>000000000000000</v>
      </c>
      <c r="BD622" s="23">
        <f t="shared" si="3829"/>
        <v>0</v>
      </c>
      <c r="BE622" s="49" t="str">
        <f t="shared" ref="BE622" si="4039">IF(BD622&lt;0,SUBSTITUTE(TEXT(BD622,"000000000000,00"),",",""),SUBSTITUTE(TEXT(BD622,"0000000000000,00"),",",""))</f>
        <v>000000000000000</v>
      </c>
      <c r="BF622" s="23">
        <f t="shared" si="3831"/>
        <v>0</v>
      </c>
      <c r="BG622" s="49" t="str">
        <f t="shared" ref="BG622" si="4040">IF(BF622&lt;0,SUBSTITUTE(TEXT(BF622,"000000000000,00"),",",""),SUBSTITUTE(TEXT(BF622,"0000000000000,00"),",",""))</f>
        <v>000000000000000</v>
      </c>
      <c r="BH622" s="23">
        <f t="shared" si="3833"/>
        <v>0</v>
      </c>
      <c r="BI622" s="49" t="str">
        <f t="shared" ref="BI622" si="4041">IF(BH622&lt;0,SUBSTITUTE(TEXT(BH622,"000000000000,00"),",",""),SUBSTITUTE(TEXT(BH622,"0000000000000,00"),",",""))</f>
        <v>000000000000000</v>
      </c>
      <c r="BJ622" s="23">
        <f t="shared" si="3835"/>
        <v>0</v>
      </c>
      <c r="BK622" s="49" t="str">
        <f t="shared" ref="BK622" si="4042">IF(BJ622&lt;0,SUBSTITUTE(TEXT(BJ622,"000000000000,00"),",",""),SUBSTITUTE(TEXT(BJ622,"0000000000000,00"),",",""))</f>
        <v>000000000000000</v>
      </c>
      <c r="BL622" s="23">
        <f t="shared" si="3837"/>
        <v>0</v>
      </c>
      <c r="BM622" s="49" t="str">
        <f t="shared" ref="BM622" si="4043">IF(BL622&lt;0,SUBSTITUTE(TEXT(BL622,"000000000000,00"),",",""),SUBSTITUTE(TEXT(BL622,"0000000000000,00"),",",""))</f>
        <v>000000000000000</v>
      </c>
      <c r="BN622" t="str">
        <f t="shared" si="3839"/>
        <v>PES</v>
      </c>
      <c r="BO622" t="str">
        <f t="shared" si="3840"/>
        <v>0001000000</v>
      </c>
      <c r="BP622">
        <f t="shared" si="3841"/>
        <v>0</v>
      </c>
      <c r="BQ622">
        <f t="shared" si="3842"/>
        <v>0</v>
      </c>
      <c r="BR622" s="23">
        <f t="shared" si="3843"/>
        <v>0</v>
      </c>
      <c r="BS622" s="49" t="str">
        <f t="shared" si="3808"/>
        <v>000000000000000</v>
      </c>
      <c r="BT622" t="str">
        <f t="shared" si="3844"/>
        <v>00000000</v>
      </c>
      <c r="BU622" s="23">
        <f t="shared" si="3845"/>
        <v>0</v>
      </c>
      <c r="BV622" s="49" t="str">
        <f t="shared" si="3809"/>
        <v/>
      </c>
      <c r="BW622" s="52" t="str">
        <f t="shared" si="3846"/>
        <v/>
      </c>
      <c r="BX622" s="23">
        <f t="shared" si="3847"/>
        <v>0</v>
      </c>
      <c r="BY622" s="49" t="str">
        <f t="shared" si="3810"/>
        <v/>
      </c>
      <c r="BZ622" s="23">
        <f t="shared" si="3848"/>
        <v>0</v>
      </c>
      <c r="CA622" s="49" t="str">
        <f t="shared" si="3811"/>
        <v/>
      </c>
      <c r="CB622" s="52" t="str">
        <f t="shared" si="3849"/>
        <v/>
      </c>
      <c r="CC622" s="23">
        <f t="shared" si="3850"/>
        <v>0</v>
      </c>
      <c r="CD622" s="49" t="str">
        <f t="shared" si="3812"/>
        <v/>
      </c>
      <c r="CE622" s="56" t="str">
        <f>IF(CF622="","",MAX(CE$10:$CE621)+1)</f>
        <v/>
      </c>
      <c r="CF622" t="str">
        <f t="shared" si="3851"/>
        <v/>
      </c>
      <c r="CG622" s="22" t="str">
        <f>IF(CH622="","",MAX($CG$10:CG621)+1)</f>
        <v/>
      </c>
      <c r="CH622" s="22" t="str">
        <f t="shared" si="3796"/>
        <v/>
      </c>
      <c r="CI622" s="22" t="str">
        <f>IF(CJ622="","",MAX($CI$10:CI621)+1)</f>
        <v/>
      </c>
      <c r="CJ622" s="22" t="str">
        <f t="shared" si="3797"/>
        <v/>
      </c>
    </row>
    <row r="623" spans="2:88" x14ac:dyDescent="0.25">
      <c r="B623" s="37"/>
      <c r="C623" s="3"/>
      <c r="D623" s="77" t="str">
        <f t="shared" si="3783"/>
        <v/>
      </c>
      <c r="E623" s="38"/>
      <c r="F623" s="38"/>
      <c r="G623" s="78">
        <f t="shared" si="3798"/>
        <v>0</v>
      </c>
      <c r="H623" s="3">
        <v>80</v>
      </c>
      <c r="I623" s="77" t="str">
        <f t="shared" si="3784"/>
        <v/>
      </c>
      <c r="J623" s="32"/>
      <c r="K623" s="3"/>
      <c r="L623" s="39"/>
      <c r="M623" s="39"/>
      <c r="N623" s="39"/>
      <c r="O623" s="39"/>
      <c r="P623" s="39"/>
      <c r="Q623" s="39"/>
      <c r="R623" s="39"/>
      <c r="S623" s="39"/>
      <c r="T623" s="3" t="s">
        <v>645</v>
      </c>
      <c r="U623" s="77" t="str">
        <f t="shared" si="3785"/>
        <v/>
      </c>
      <c r="V623" s="39">
        <v>1</v>
      </c>
      <c r="W623" s="79">
        <f t="shared" si="3799"/>
        <v>0</v>
      </c>
      <c r="X623" s="3">
        <v>0</v>
      </c>
      <c r="Y623" s="77" t="str">
        <f t="shared" si="3786"/>
        <v/>
      </c>
      <c r="Z623" s="3"/>
      <c r="AA623" s="37" t="str">
        <f t="shared" si="3800"/>
        <v/>
      </c>
      <c r="AC623" s="40"/>
      <c r="AD623" s="7"/>
      <c r="AE623" s="77" t="str">
        <f t="shared" si="3787"/>
        <v/>
      </c>
      <c r="AF623" s="81">
        <f t="shared" si="3813"/>
        <v>0</v>
      </c>
      <c r="AG623" s="40"/>
      <c r="AH623" s="7"/>
      <c r="AI623" s="77" t="str">
        <f t="shared" si="3788"/>
        <v/>
      </c>
      <c r="AJ623" s="81">
        <f t="shared" si="3814"/>
        <v>0</v>
      </c>
      <c r="AK623" s="83">
        <f t="shared" si="3815"/>
        <v>0</v>
      </c>
      <c r="AL623" s="83">
        <f t="shared" si="3816"/>
        <v>0</v>
      </c>
      <c r="AN623" s="43">
        <f t="shared" si="3789"/>
        <v>0</v>
      </c>
      <c r="AP623" t="str">
        <f t="shared" si="3817"/>
        <v/>
      </c>
      <c r="AQ623" t="str">
        <f t="shared" si="3818"/>
        <v/>
      </c>
      <c r="AR623" t="str">
        <f t="shared" si="3819"/>
        <v/>
      </c>
      <c r="AS623" t="str">
        <f t="shared" si="3820"/>
        <v/>
      </c>
      <c r="AT623" t="str">
        <f t="shared" si="3821"/>
        <v/>
      </c>
      <c r="AU623" t="str">
        <f t="shared" si="3822"/>
        <v/>
      </c>
      <c r="AV623" t="str">
        <f t="shared" si="3823"/>
        <v/>
      </c>
      <c r="AW623" t="str">
        <f t="shared" si="3824"/>
        <v xml:space="preserve">                              </v>
      </c>
      <c r="AX623" s="23">
        <f t="shared" si="3825"/>
        <v>0</v>
      </c>
      <c r="AY623" s="49" t="str">
        <f t="shared" si="3801"/>
        <v>000000000000000</v>
      </c>
      <c r="AZ623" s="23">
        <f t="shared" si="3826"/>
        <v>0</v>
      </c>
      <c r="BA623" s="49" t="str">
        <f t="shared" si="3801"/>
        <v>000000000000000</v>
      </c>
      <c r="BB623" s="23">
        <f t="shared" si="3827"/>
        <v>0</v>
      </c>
      <c r="BC623" s="49" t="str">
        <f t="shared" ref="BC623" si="4044">IF(BB623&lt;0,SUBSTITUTE(TEXT(BB623,"000000000000,00"),",",""),SUBSTITUTE(TEXT(BB623,"0000000000000,00"),",",""))</f>
        <v>000000000000000</v>
      </c>
      <c r="BD623" s="23">
        <f t="shared" si="3829"/>
        <v>0</v>
      </c>
      <c r="BE623" s="49" t="str">
        <f t="shared" ref="BE623" si="4045">IF(BD623&lt;0,SUBSTITUTE(TEXT(BD623,"000000000000,00"),",",""),SUBSTITUTE(TEXT(BD623,"0000000000000,00"),",",""))</f>
        <v>000000000000000</v>
      </c>
      <c r="BF623" s="23">
        <f t="shared" si="3831"/>
        <v>0</v>
      </c>
      <c r="BG623" s="49" t="str">
        <f t="shared" ref="BG623" si="4046">IF(BF623&lt;0,SUBSTITUTE(TEXT(BF623,"000000000000,00"),",",""),SUBSTITUTE(TEXT(BF623,"0000000000000,00"),",",""))</f>
        <v>000000000000000</v>
      </c>
      <c r="BH623" s="23">
        <f t="shared" si="3833"/>
        <v>0</v>
      </c>
      <c r="BI623" s="49" t="str">
        <f t="shared" ref="BI623" si="4047">IF(BH623&lt;0,SUBSTITUTE(TEXT(BH623,"000000000000,00"),",",""),SUBSTITUTE(TEXT(BH623,"0000000000000,00"),",",""))</f>
        <v>000000000000000</v>
      </c>
      <c r="BJ623" s="23">
        <f t="shared" si="3835"/>
        <v>0</v>
      </c>
      <c r="BK623" s="49" t="str">
        <f t="shared" ref="BK623" si="4048">IF(BJ623&lt;0,SUBSTITUTE(TEXT(BJ623,"000000000000,00"),",",""),SUBSTITUTE(TEXT(BJ623,"0000000000000,00"),",",""))</f>
        <v>000000000000000</v>
      </c>
      <c r="BL623" s="23">
        <f t="shared" si="3837"/>
        <v>0</v>
      </c>
      <c r="BM623" s="49" t="str">
        <f t="shared" ref="BM623" si="4049">IF(BL623&lt;0,SUBSTITUTE(TEXT(BL623,"000000000000,00"),",",""),SUBSTITUTE(TEXT(BL623,"0000000000000,00"),",",""))</f>
        <v>000000000000000</v>
      </c>
      <c r="BN623" t="str">
        <f t="shared" si="3839"/>
        <v>PES</v>
      </c>
      <c r="BO623" t="str">
        <f t="shared" si="3840"/>
        <v>0001000000</v>
      </c>
      <c r="BP623">
        <f t="shared" si="3841"/>
        <v>0</v>
      </c>
      <c r="BQ623">
        <f t="shared" si="3842"/>
        <v>0</v>
      </c>
      <c r="BR623" s="23">
        <f t="shared" si="3843"/>
        <v>0</v>
      </c>
      <c r="BS623" s="49" t="str">
        <f t="shared" si="3808"/>
        <v>000000000000000</v>
      </c>
      <c r="BT623" t="str">
        <f t="shared" si="3844"/>
        <v>00000000</v>
      </c>
      <c r="BU623" s="23">
        <f t="shared" si="3845"/>
        <v>0</v>
      </c>
      <c r="BV623" s="49" t="str">
        <f t="shared" si="3809"/>
        <v/>
      </c>
      <c r="BW623" s="52" t="str">
        <f t="shared" si="3846"/>
        <v/>
      </c>
      <c r="BX623" s="23">
        <f t="shared" si="3847"/>
        <v>0</v>
      </c>
      <c r="BY623" s="49" t="str">
        <f t="shared" si="3810"/>
        <v/>
      </c>
      <c r="BZ623" s="23">
        <f t="shared" si="3848"/>
        <v>0</v>
      </c>
      <c r="CA623" s="49" t="str">
        <f t="shared" si="3811"/>
        <v/>
      </c>
      <c r="CB623" s="52" t="str">
        <f t="shared" si="3849"/>
        <v/>
      </c>
      <c r="CC623" s="23">
        <f t="shared" si="3850"/>
        <v>0</v>
      </c>
      <c r="CD623" s="49" t="str">
        <f t="shared" si="3812"/>
        <v/>
      </c>
      <c r="CE623" s="56" t="str">
        <f>IF(CF623="","",MAX(CE$10:$CE622)+1)</f>
        <v/>
      </c>
      <c r="CF623" t="str">
        <f t="shared" si="3851"/>
        <v/>
      </c>
      <c r="CG623" s="22" t="str">
        <f>IF(CH623="","",MAX($CG$10:CG622)+1)</f>
        <v/>
      </c>
      <c r="CH623" s="22" t="str">
        <f t="shared" si="3796"/>
        <v/>
      </c>
      <c r="CI623" s="22" t="str">
        <f>IF(CJ623="","",MAX($CI$10:CI622)+1)</f>
        <v/>
      </c>
      <c r="CJ623" s="22" t="str">
        <f t="shared" si="3797"/>
        <v/>
      </c>
    </row>
    <row r="624" spans="2:88" x14ac:dyDescent="0.25">
      <c r="B624" s="37"/>
      <c r="C624" s="3"/>
      <c r="D624" s="77" t="str">
        <f t="shared" si="3783"/>
        <v/>
      </c>
      <c r="E624" s="38"/>
      <c r="F624" s="38"/>
      <c r="G624" s="78">
        <f t="shared" si="3798"/>
        <v>0</v>
      </c>
      <c r="H624" s="3">
        <v>80</v>
      </c>
      <c r="I624" s="77" t="str">
        <f t="shared" si="3784"/>
        <v/>
      </c>
      <c r="J624" s="32"/>
      <c r="K624" s="3"/>
      <c r="L624" s="39"/>
      <c r="M624" s="39"/>
      <c r="N624" s="39"/>
      <c r="O624" s="39"/>
      <c r="P624" s="39"/>
      <c r="Q624" s="39"/>
      <c r="R624" s="39"/>
      <c r="S624" s="39"/>
      <c r="T624" s="3" t="s">
        <v>645</v>
      </c>
      <c r="U624" s="77" t="str">
        <f t="shared" si="3785"/>
        <v/>
      </c>
      <c r="V624" s="39">
        <v>1</v>
      </c>
      <c r="W624" s="79">
        <f t="shared" si="3799"/>
        <v>0</v>
      </c>
      <c r="X624" s="3">
        <v>0</v>
      </c>
      <c r="Y624" s="77" t="str">
        <f t="shared" si="3786"/>
        <v/>
      </c>
      <c r="Z624" s="3"/>
      <c r="AA624" s="37" t="str">
        <f t="shared" si="3800"/>
        <v/>
      </c>
      <c r="AC624" s="40"/>
      <c r="AD624" s="7"/>
      <c r="AE624" s="77" t="str">
        <f t="shared" si="3787"/>
        <v/>
      </c>
      <c r="AF624" s="81">
        <f t="shared" si="3813"/>
        <v>0</v>
      </c>
      <c r="AG624" s="40"/>
      <c r="AH624" s="7"/>
      <c r="AI624" s="77" t="str">
        <f t="shared" si="3788"/>
        <v/>
      </c>
      <c r="AJ624" s="81">
        <f t="shared" si="3814"/>
        <v>0</v>
      </c>
      <c r="AK624" s="83">
        <f t="shared" si="3815"/>
        <v>0</v>
      </c>
      <c r="AL624" s="83">
        <f t="shared" si="3816"/>
        <v>0</v>
      </c>
      <c r="AN624" s="43">
        <f t="shared" si="3789"/>
        <v>0</v>
      </c>
      <c r="AP624" t="str">
        <f t="shared" si="3817"/>
        <v/>
      </c>
      <c r="AQ624" t="str">
        <f t="shared" si="3818"/>
        <v/>
      </c>
      <c r="AR624" t="str">
        <f t="shared" si="3819"/>
        <v/>
      </c>
      <c r="AS624" t="str">
        <f t="shared" si="3820"/>
        <v/>
      </c>
      <c r="AT624" t="str">
        <f t="shared" si="3821"/>
        <v/>
      </c>
      <c r="AU624" t="str">
        <f t="shared" si="3822"/>
        <v/>
      </c>
      <c r="AV624" t="str">
        <f t="shared" si="3823"/>
        <v/>
      </c>
      <c r="AW624" t="str">
        <f t="shared" si="3824"/>
        <v xml:space="preserve">                              </v>
      </c>
      <c r="AX624" s="23">
        <f t="shared" si="3825"/>
        <v>0</v>
      </c>
      <c r="AY624" s="49" t="str">
        <f t="shared" si="3801"/>
        <v>000000000000000</v>
      </c>
      <c r="AZ624" s="23">
        <f t="shared" si="3826"/>
        <v>0</v>
      </c>
      <c r="BA624" s="49" t="str">
        <f t="shared" si="3801"/>
        <v>000000000000000</v>
      </c>
      <c r="BB624" s="23">
        <f t="shared" si="3827"/>
        <v>0</v>
      </c>
      <c r="BC624" s="49" t="str">
        <f t="shared" ref="BC624" si="4050">IF(BB624&lt;0,SUBSTITUTE(TEXT(BB624,"000000000000,00"),",",""),SUBSTITUTE(TEXT(BB624,"0000000000000,00"),",",""))</f>
        <v>000000000000000</v>
      </c>
      <c r="BD624" s="23">
        <f t="shared" si="3829"/>
        <v>0</v>
      </c>
      <c r="BE624" s="49" t="str">
        <f t="shared" ref="BE624" si="4051">IF(BD624&lt;0,SUBSTITUTE(TEXT(BD624,"000000000000,00"),",",""),SUBSTITUTE(TEXT(BD624,"0000000000000,00"),",",""))</f>
        <v>000000000000000</v>
      </c>
      <c r="BF624" s="23">
        <f t="shared" si="3831"/>
        <v>0</v>
      </c>
      <c r="BG624" s="49" t="str">
        <f t="shared" ref="BG624" si="4052">IF(BF624&lt;0,SUBSTITUTE(TEXT(BF624,"000000000000,00"),",",""),SUBSTITUTE(TEXT(BF624,"0000000000000,00"),",",""))</f>
        <v>000000000000000</v>
      </c>
      <c r="BH624" s="23">
        <f t="shared" si="3833"/>
        <v>0</v>
      </c>
      <c r="BI624" s="49" t="str">
        <f t="shared" ref="BI624" si="4053">IF(BH624&lt;0,SUBSTITUTE(TEXT(BH624,"000000000000,00"),",",""),SUBSTITUTE(TEXT(BH624,"0000000000000,00"),",",""))</f>
        <v>000000000000000</v>
      </c>
      <c r="BJ624" s="23">
        <f t="shared" si="3835"/>
        <v>0</v>
      </c>
      <c r="BK624" s="49" t="str">
        <f t="shared" ref="BK624" si="4054">IF(BJ624&lt;0,SUBSTITUTE(TEXT(BJ624,"000000000000,00"),",",""),SUBSTITUTE(TEXT(BJ624,"0000000000000,00"),",",""))</f>
        <v>000000000000000</v>
      </c>
      <c r="BL624" s="23">
        <f t="shared" si="3837"/>
        <v>0</v>
      </c>
      <c r="BM624" s="49" t="str">
        <f t="shared" ref="BM624" si="4055">IF(BL624&lt;0,SUBSTITUTE(TEXT(BL624,"000000000000,00"),",",""),SUBSTITUTE(TEXT(BL624,"0000000000000,00"),",",""))</f>
        <v>000000000000000</v>
      </c>
      <c r="BN624" t="str">
        <f t="shared" si="3839"/>
        <v>PES</v>
      </c>
      <c r="BO624" t="str">
        <f t="shared" si="3840"/>
        <v>0001000000</v>
      </c>
      <c r="BP624">
        <f t="shared" si="3841"/>
        <v>0</v>
      </c>
      <c r="BQ624">
        <f t="shared" si="3842"/>
        <v>0</v>
      </c>
      <c r="BR624" s="23">
        <f t="shared" si="3843"/>
        <v>0</v>
      </c>
      <c r="BS624" s="49" t="str">
        <f t="shared" si="3808"/>
        <v>000000000000000</v>
      </c>
      <c r="BT624" t="str">
        <f t="shared" si="3844"/>
        <v>00000000</v>
      </c>
      <c r="BU624" s="23">
        <f t="shared" si="3845"/>
        <v>0</v>
      </c>
      <c r="BV624" s="49" t="str">
        <f t="shared" si="3809"/>
        <v/>
      </c>
      <c r="BW624" s="52" t="str">
        <f t="shared" si="3846"/>
        <v/>
      </c>
      <c r="BX624" s="23">
        <f t="shared" si="3847"/>
        <v>0</v>
      </c>
      <c r="BY624" s="49" t="str">
        <f t="shared" si="3810"/>
        <v/>
      </c>
      <c r="BZ624" s="23">
        <f t="shared" si="3848"/>
        <v>0</v>
      </c>
      <c r="CA624" s="49" t="str">
        <f t="shared" si="3811"/>
        <v/>
      </c>
      <c r="CB624" s="52" t="str">
        <f t="shared" si="3849"/>
        <v/>
      </c>
      <c r="CC624" s="23">
        <f t="shared" si="3850"/>
        <v>0</v>
      </c>
      <c r="CD624" s="49" t="str">
        <f t="shared" si="3812"/>
        <v/>
      </c>
      <c r="CE624" s="56" t="str">
        <f>IF(CF624="","",MAX(CE$10:$CE623)+1)</f>
        <v/>
      </c>
      <c r="CF624" t="str">
        <f t="shared" si="3851"/>
        <v/>
      </c>
      <c r="CG624" s="22" t="str">
        <f>IF(CH624="","",MAX($CG$10:CG623)+1)</f>
        <v/>
      </c>
      <c r="CH624" s="22" t="str">
        <f t="shared" si="3796"/>
        <v/>
      </c>
      <c r="CI624" s="22" t="str">
        <f>IF(CJ624="","",MAX($CI$10:CI623)+1)</f>
        <v/>
      </c>
      <c r="CJ624" s="22" t="str">
        <f t="shared" si="3797"/>
        <v/>
      </c>
    </row>
    <row r="625" spans="2:88" x14ac:dyDescent="0.25">
      <c r="B625" s="37"/>
      <c r="C625" s="3"/>
      <c r="D625" s="77" t="str">
        <f t="shared" si="3783"/>
        <v/>
      </c>
      <c r="E625" s="38"/>
      <c r="F625" s="38"/>
      <c r="G625" s="78">
        <f t="shared" si="3798"/>
        <v>0</v>
      </c>
      <c r="H625" s="3">
        <v>80</v>
      </c>
      <c r="I625" s="77" t="str">
        <f t="shared" si="3784"/>
        <v/>
      </c>
      <c r="J625" s="32"/>
      <c r="K625" s="3"/>
      <c r="L625" s="39"/>
      <c r="M625" s="39"/>
      <c r="N625" s="39"/>
      <c r="O625" s="39"/>
      <c r="P625" s="39"/>
      <c r="Q625" s="39"/>
      <c r="R625" s="39"/>
      <c r="S625" s="39"/>
      <c r="T625" s="3" t="s">
        <v>645</v>
      </c>
      <c r="U625" s="77" t="str">
        <f t="shared" si="3785"/>
        <v/>
      </c>
      <c r="V625" s="39">
        <v>1</v>
      </c>
      <c r="W625" s="79">
        <f t="shared" si="3799"/>
        <v>0</v>
      </c>
      <c r="X625" s="3">
        <v>0</v>
      </c>
      <c r="Y625" s="77" t="str">
        <f t="shared" si="3786"/>
        <v/>
      </c>
      <c r="Z625" s="3"/>
      <c r="AA625" s="37" t="str">
        <f t="shared" si="3800"/>
        <v/>
      </c>
      <c r="AC625" s="40"/>
      <c r="AD625" s="7"/>
      <c r="AE625" s="77" t="str">
        <f t="shared" si="3787"/>
        <v/>
      </c>
      <c r="AF625" s="81">
        <f t="shared" si="3813"/>
        <v>0</v>
      </c>
      <c r="AG625" s="40"/>
      <c r="AH625" s="7"/>
      <c r="AI625" s="77" t="str">
        <f t="shared" si="3788"/>
        <v/>
      </c>
      <c r="AJ625" s="81">
        <f t="shared" si="3814"/>
        <v>0</v>
      </c>
      <c r="AK625" s="83">
        <f t="shared" si="3815"/>
        <v>0</v>
      </c>
      <c r="AL625" s="83">
        <f t="shared" si="3816"/>
        <v>0</v>
      </c>
      <c r="AN625" s="43">
        <f t="shared" si="3789"/>
        <v>0</v>
      </c>
      <c r="AP625" t="str">
        <f t="shared" si="3817"/>
        <v/>
      </c>
      <c r="AQ625" t="str">
        <f t="shared" si="3818"/>
        <v/>
      </c>
      <c r="AR625" t="str">
        <f t="shared" si="3819"/>
        <v/>
      </c>
      <c r="AS625" t="str">
        <f t="shared" si="3820"/>
        <v/>
      </c>
      <c r="AT625" t="str">
        <f t="shared" si="3821"/>
        <v/>
      </c>
      <c r="AU625" t="str">
        <f t="shared" si="3822"/>
        <v/>
      </c>
      <c r="AV625" t="str">
        <f t="shared" si="3823"/>
        <v/>
      </c>
      <c r="AW625" t="str">
        <f t="shared" si="3824"/>
        <v xml:space="preserve">                              </v>
      </c>
      <c r="AX625" s="23">
        <f t="shared" si="3825"/>
        <v>0</v>
      </c>
      <c r="AY625" s="49" t="str">
        <f t="shared" si="3801"/>
        <v>000000000000000</v>
      </c>
      <c r="AZ625" s="23">
        <f t="shared" si="3826"/>
        <v>0</v>
      </c>
      <c r="BA625" s="49" t="str">
        <f t="shared" si="3801"/>
        <v>000000000000000</v>
      </c>
      <c r="BB625" s="23">
        <f t="shared" si="3827"/>
        <v>0</v>
      </c>
      <c r="BC625" s="49" t="str">
        <f t="shared" ref="BC625" si="4056">IF(BB625&lt;0,SUBSTITUTE(TEXT(BB625,"000000000000,00"),",",""),SUBSTITUTE(TEXT(BB625,"0000000000000,00"),",",""))</f>
        <v>000000000000000</v>
      </c>
      <c r="BD625" s="23">
        <f t="shared" si="3829"/>
        <v>0</v>
      </c>
      <c r="BE625" s="49" t="str">
        <f t="shared" ref="BE625" si="4057">IF(BD625&lt;0,SUBSTITUTE(TEXT(BD625,"000000000000,00"),",",""),SUBSTITUTE(TEXT(BD625,"0000000000000,00"),",",""))</f>
        <v>000000000000000</v>
      </c>
      <c r="BF625" s="23">
        <f t="shared" si="3831"/>
        <v>0</v>
      </c>
      <c r="BG625" s="49" t="str">
        <f t="shared" ref="BG625" si="4058">IF(BF625&lt;0,SUBSTITUTE(TEXT(BF625,"000000000000,00"),",",""),SUBSTITUTE(TEXT(BF625,"0000000000000,00"),",",""))</f>
        <v>000000000000000</v>
      </c>
      <c r="BH625" s="23">
        <f t="shared" si="3833"/>
        <v>0</v>
      </c>
      <c r="BI625" s="49" t="str">
        <f t="shared" ref="BI625" si="4059">IF(BH625&lt;0,SUBSTITUTE(TEXT(BH625,"000000000000,00"),",",""),SUBSTITUTE(TEXT(BH625,"0000000000000,00"),",",""))</f>
        <v>000000000000000</v>
      </c>
      <c r="BJ625" s="23">
        <f t="shared" si="3835"/>
        <v>0</v>
      </c>
      <c r="BK625" s="49" t="str">
        <f t="shared" ref="BK625" si="4060">IF(BJ625&lt;0,SUBSTITUTE(TEXT(BJ625,"000000000000,00"),",",""),SUBSTITUTE(TEXT(BJ625,"0000000000000,00"),",",""))</f>
        <v>000000000000000</v>
      </c>
      <c r="BL625" s="23">
        <f t="shared" si="3837"/>
        <v>0</v>
      </c>
      <c r="BM625" s="49" t="str">
        <f t="shared" ref="BM625" si="4061">IF(BL625&lt;0,SUBSTITUTE(TEXT(BL625,"000000000000,00"),",",""),SUBSTITUTE(TEXT(BL625,"0000000000000,00"),",",""))</f>
        <v>000000000000000</v>
      </c>
      <c r="BN625" t="str">
        <f t="shared" si="3839"/>
        <v>PES</v>
      </c>
      <c r="BO625" t="str">
        <f t="shared" si="3840"/>
        <v>0001000000</v>
      </c>
      <c r="BP625">
        <f t="shared" si="3841"/>
        <v>0</v>
      </c>
      <c r="BQ625">
        <f t="shared" si="3842"/>
        <v>0</v>
      </c>
      <c r="BR625" s="23">
        <f t="shared" si="3843"/>
        <v>0</v>
      </c>
      <c r="BS625" s="49" t="str">
        <f t="shared" si="3808"/>
        <v>000000000000000</v>
      </c>
      <c r="BT625" t="str">
        <f t="shared" si="3844"/>
        <v>00000000</v>
      </c>
      <c r="BU625" s="23">
        <f t="shared" si="3845"/>
        <v>0</v>
      </c>
      <c r="BV625" s="49" t="str">
        <f t="shared" si="3809"/>
        <v/>
      </c>
      <c r="BW625" s="52" t="str">
        <f t="shared" si="3846"/>
        <v/>
      </c>
      <c r="BX625" s="23">
        <f t="shared" si="3847"/>
        <v>0</v>
      </c>
      <c r="BY625" s="49" t="str">
        <f t="shared" si="3810"/>
        <v/>
      </c>
      <c r="BZ625" s="23">
        <f t="shared" si="3848"/>
        <v>0</v>
      </c>
      <c r="CA625" s="49" t="str">
        <f t="shared" si="3811"/>
        <v/>
      </c>
      <c r="CB625" s="52" t="str">
        <f t="shared" si="3849"/>
        <v/>
      </c>
      <c r="CC625" s="23">
        <f t="shared" si="3850"/>
        <v>0</v>
      </c>
      <c r="CD625" s="49" t="str">
        <f t="shared" si="3812"/>
        <v/>
      </c>
      <c r="CE625" s="56" t="str">
        <f>IF(CF625="","",MAX(CE$10:$CE624)+1)</f>
        <v/>
      </c>
      <c r="CF625" t="str">
        <f t="shared" si="3851"/>
        <v/>
      </c>
      <c r="CG625" s="22" t="str">
        <f>IF(CH625="","",MAX($CG$10:CG624)+1)</f>
        <v/>
      </c>
      <c r="CH625" s="22" t="str">
        <f t="shared" si="3796"/>
        <v/>
      </c>
      <c r="CI625" s="22" t="str">
        <f>IF(CJ625="","",MAX($CI$10:CI624)+1)</f>
        <v/>
      </c>
      <c r="CJ625" s="22" t="str">
        <f t="shared" si="3797"/>
        <v/>
      </c>
    </row>
    <row r="626" spans="2:88" x14ac:dyDescent="0.25">
      <c r="B626" s="37"/>
      <c r="C626" s="3"/>
      <c r="D626" s="77" t="str">
        <f t="shared" si="3783"/>
        <v/>
      </c>
      <c r="E626" s="38"/>
      <c r="F626" s="38"/>
      <c r="G626" s="78">
        <f t="shared" si="3798"/>
        <v>0</v>
      </c>
      <c r="H626" s="3">
        <v>80</v>
      </c>
      <c r="I626" s="77" t="str">
        <f t="shared" si="3784"/>
        <v/>
      </c>
      <c r="J626" s="32"/>
      <c r="K626" s="3"/>
      <c r="L626" s="39"/>
      <c r="M626" s="39"/>
      <c r="N626" s="39"/>
      <c r="O626" s="39"/>
      <c r="P626" s="39"/>
      <c r="Q626" s="39"/>
      <c r="R626" s="39"/>
      <c r="S626" s="39"/>
      <c r="T626" s="3" t="s">
        <v>645</v>
      </c>
      <c r="U626" s="77" t="str">
        <f t="shared" si="3785"/>
        <v/>
      </c>
      <c r="V626" s="39">
        <v>1</v>
      </c>
      <c r="W626" s="79">
        <f t="shared" si="3799"/>
        <v>0</v>
      </c>
      <c r="X626" s="3">
        <v>0</v>
      </c>
      <c r="Y626" s="77" t="str">
        <f t="shared" si="3786"/>
        <v/>
      </c>
      <c r="Z626" s="3"/>
      <c r="AA626" s="37" t="str">
        <f t="shared" si="3800"/>
        <v/>
      </c>
      <c r="AC626" s="40"/>
      <c r="AD626" s="7"/>
      <c r="AE626" s="77" t="str">
        <f t="shared" si="3787"/>
        <v/>
      </c>
      <c r="AF626" s="81">
        <f t="shared" si="3813"/>
        <v>0</v>
      </c>
      <c r="AG626" s="40"/>
      <c r="AH626" s="7"/>
      <c r="AI626" s="77" t="str">
        <f t="shared" si="3788"/>
        <v/>
      </c>
      <c r="AJ626" s="81">
        <f t="shared" si="3814"/>
        <v>0</v>
      </c>
      <c r="AK626" s="83">
        <f t="shared" si="3815"/>
        <v>0</v>
      </c>
      <c r="AL626" s="83">
        <f t="shared" si="3816"/>
        <v>0</v>
      </c>
      <c r="AN626" s="43">
        <f t="shared" si="3789"/>
        <v>0</v>
      </c>
      <c r="AP626" t="str">
        <f t="shared" si="3817"/>
        <v/>
      </c>
      <c r="AQ626" t="str">
        <f t="shared" si="3818"/>
        <v/>
      </c>
      <c r="AR626" t="str">
        <f t="shared" si="3819"/>
        <v/>
      </c>
      <c r="AS626" t="str">
        <f t="shared" si="3820"/>
        <v/>
      </c>
      <c r="AT626" t="str">
        <f t="shared" si="3821"/>
        <v/>
      </c>
      <c r="AU626" t="str">
        <f t="shared" si="3822"/>
        <v/>
      </c>
      <c r="AV626" t="str">
        <f t="shared" si="3823"/>
        <v/>
      </c>
      <c r="AW626" t="str">
        <f t="shared" si="3824"/>
        <v xml:space="preserve">                              </v>
      </c>
      <c r="AX626" s="23">
        <f t="shared" si="3825"/>
        <v>0</v>
      </c>
      <c r="AY626" s="49" t="str">
        <f t="shared" si="3801"/>
        <v>000000000000000</v>
      </c>
      <c r="AZ626" s="23">
        <f t="shared" si="3826"/>
        <v>0</v>
      </c>
      <c r="BA626" s="49" t="str">
        <f t="shared" si="3801"/>
        <v>000000000000000</v>
      </c>
      <c r="BB626" s="23">
        <f t="shared" si="3827"/>
        <v>0</v>
      </c>
      <c r="BC626" s="49" t="str">
        <f t="shared" ref="BC626" si="4062">IF(BB626&lt;0,SUBSTITUTE(TEXT(BB626,"000000000000,00"),",",""),SUBSTITUTE(TEXT(BB626,"0000000000000,00"),",",""))</f>
        <v>000000000000000</v>
      </c>
      <c r="BD626" s="23">
        <f t="shared" si="3829"/>
        <v>0</v>
      </c>
      <c r="BE626" s="49" t="str">
        <f t="shared" ref="BE626" si="4063">IF(BD626&lt;0,SUBSTITUTE(TEXT(BD626,"000000000000,00"),",",""),SUBSTITUTE(TEXT(BD626,"0000000000000,00"),",",""))</f>
        <v>000000000000000</v>
      </c>
      <c r="BF626" s="23">
        <f t="shared" si="3831"/>
        <v>0</v>
      </c>
      <c r="BG626" s="49" t="str">
        <f t="shared" ref="BG626" si="4064">IF(BF626&lt;0,SUBSTITUTE(TEXT(BF626,"000000000000,00"),",",""),SUBSTITUTE(TEXT(BF626,"0000000000000,00"),",",""))</f>
        <v>000000000000000</v>
      </c>
      <c r="BH626" s="23">
        <f t="shared" si="3833"/>
        <v>0</v>
      </c>
      <c r="BI626" s="49" t="str">
        <f t="shared" ref="BI626" si="4065">IF(BH626&lt;0,SUBSTITUTE(TEXT(BH626,"000000000000,00"),",",""),SUBSTITUTE(TEXT(BH626,"0000000000000,00"),",",""))</f>
        <v>000000000000000</v>
      </c>
      <c r="BJ626" s="23">
        <f t="shared" si="3835"/>
        <v>0</v>
      </c>
      <c r="BK626" s="49" t="str">
        <f t="shared" ref="BK626" si="4066">IF(BJ626&lt;0,SUBSTITUTE(TEXT(BJ626,"000000000000,00"),",",""),SUBSTITUTE(TEXT(BJ626,"0000000000000,00"),",",""))</f>
        <v>000000000000000</v>
      </c>
      <c r="BL626" s="23">
        <f t="shared" si="3837"/>
        <v>0</v>
      </c>
      <c r="BM626" s="49" t="str">
        <f t="shared" ref="BM626" si="4067">IF(BL626&lt;0,SUBSTITUTE(TEXT(BL626,"000000000000,00"),",",""),SUBSTITUTE(TEXT(BL626,"0000000000000,00"),",",""))</f>
        <v>000000000000000</v>
      </c>
      <c r="BN626" t="str">
        <f t="shared" si="3839"/>
        <v>PES</v>
      </c>
      <c r="BO626" t="str">
        <f t="shared" si="3840"/>
        <v>0001000000</v>
      </c>
      <c r="BP626">
        <f t="shared" si="3841"/>
        <v>0</v>
      </c>
      <c r="BQ626">
        <f t="shared" si="3842"/>
        <v>0</v>
      </c>
      <c r="BR626" s="23">
        <f t="shared" si="3843"/>
        <v>0</v>
      </c>
      <c r="BS626" s="49" t="str">
        <f t="shared" si="3808"/>
        <v>000000000000000</v>
      </c>
      <c r="BT626" t="str">
        <f t="shared" si="3844"/>
        <v>00000000</v>
      </c>
      <c r="BU626" s="23">
        <f t="shared" si="3845"/>
        <v>0</v>
      </c>
      <c r="BV626" s="49" t="str">
        <f t="shared" si="3809"/>
        <v/>
      </c>
      <c r="BW626" s="52" t="str">
        <f t="shared" si="3846"/>
        <v/>
      </c>
      <c r="BX626" s="23">
        <f t="shared" si="3847"/>
        <v>0</v>
      </c>
      <c r="BY626" s="49" t="str">
        <f t="shared" si="3810"/>
        <v/>
      </c>
      <c r="BZ626" s="23">
        <f t="shared" si="3848"/>
        <v>0</v>
      </c>
      <c r="CA626" s="49" t="str">
        <f t="shared" si="3811"/>
        <v/>
      </c>
      <c r="CB626" s="52" t="str">
        <f t="shared" si="3849"/>
        <v/>
      </c>
      <c r="CC626" s="23">
        <f t="shared" si="3850"/>
        <v>0</v>
      </c>
      <c r="CD626" s="49" t="str">
        <f t="shared" si="3812"/>
        <v/>
      </c>
      <c r="CE626" s="56" t="str">
        <f>IF(CF626="","",MAX(CE$10:$CE625)+1)</f>
        <v/>
      </c>
      <c r="CF626" t="str">
        <f t="shared" si="3851"/>
        <v/>
      </c>
      <c r="CG626" s="22" t="str">
        <f>IF(CH626="","",MAX($CG$10:CG625)+1)</f>
        <v/>
      </c>
      <c r="CH626" s="22" t="str">
        <f t="shared" si="3796"/>
        <v/>
      </c>
      <c r="CI626" s="22" t="str">
        <f>IF(CJ626="","",MAX($CI$10:CI625)+1)</f>
        <v/>
      </c>
      <c r="CJ626" s="22" t="str">
        <f t="shared" si="3797"/>
        <v/>
      </c>
    </row>
    <row r="627" spans="2:88" x14ac:dyDescent="0.25">
      <c r="B627" s="37"/>
      <c r="C627" s="3"/>
      <c r="D627" s="77" t="str">
        <f t="shared" si="3783"/>
        <v/>
      </c>
      <c r="E627" s="38"/>
      <c r="F627" s="38"/>
      <c r="G627" s="78">
        <f t="shared" si="3798"/>
        <v>0</v>
      </c>
      <c r="H627" s="3">
        <v>80</v>
      </c>
      <c r="I627" s="77" t="str">
        <f t="shared" si="3784"/>
        <v/>
      </c>
      <c r="J627" s="32"/>
      <c r="K627" s="3"/>
      <c r="L627" s="39"/>
      <c r="M627" s="39"/>
      <c r="N627" s="39"/>
      <c r="O627" s="39"/>
      <c r="P627" s="39"/>
      <c r="Q627" s="39"/>
      <c r="R627" s="39"/>
      <c r="S627" s="39"/>
      <c r="T627" s="3" t="s">
        <v>645</v>
      </c>
      <c r="U627" s="77" t="str">
        <f t="shared" si="3785"/>
        <v/>
      </c>
      <c r="V627" s="39">
        <v>1</v>
      </c>
      <c r="W627" s="79">
        <f t="shared" si="3799"/>
        <v>0</v>
      </c>
      <c r="X627" s="3">
        <v>0</v>
      </c>
      <c r="Y627" s="77" t="str">
        <f t="shared" si="3786"/>
        <v/>
      </c>
      <c r="Z627" s="3"/>
      <c r="AA627" s="37" t="str">
        <f t="shared" si="3800"/>
        <v/>
      </c>
      <c r="AC627" s="40"/>
      <c r="AD627" s="7"/>
      <c r="AE627" s="77" t="str">
        <f t="shared" si="3787"/>
        <v/>
      </c>
      <c r="AF627" s="81">
        <f t="shared" si="3813"/>
        <v>0</v>
      </c>
      <c r="AG627" s="40"/>
      <c r="AH627" s="7"/>
      <c r="AI627" s="77" t="str">
        <f t="shared" si="3788"/>
        <v/>
      </c>
      <c r="AJ627" s="81">
        <f t="shared" si="3814"/>
        <v>0</v>
      </c>
      <c r="AK627" s="83">
        <f t="shared" si="3815"/>
        <v>0</v>
      </c>
      <c r="AL627" s="83">
        <f t="shared" si="3816"/>
        <v>0</v>
      </c>
      <c r="AN627" s="43">
        <f t="shared" si="3789"/>
        <v>0</v>
      </c>
      <c r="AP627" t="str">
        <f t="shared" si="3817"/>
        <v/>
      </c>
      <c r="AQ627" t="str">
        <f t="shared" si="3818"/>
        <v/>
      </c>
      <c r="AR627" t="str">
        <f t="shared" si="3819"/>
        <v/>
      </c>
      <c r="AS627" t="str">
        <f t="shared" si="3820"/>
        <v/>
      </c>
      <c r="AT627" t="str">
        <f t="shared" si="3821"/>
        <v/>
      </c>
      <c r="AU627" t="str">
        <f t="shared" si="3822"/>
        <v/>
      </c>
      <c r="AV627" t="str">
        <f t="shared" si="3823"/>
        <v/>
      </c>
      <c r="AW627" t="str">
        <f t="shared" si="3824"/>
        <v xml:space="preserve">                              </v>
      </c>
      <c r="AX627" s="23">
        <f t="shared" si="3825"/>
        <v>0</v>
      </c>
      <c r="AY627" s="49" t="str">
        <f t="shared" si="3801"/>
        <v>000000000000000</v>
      </c>
      <c r="AZ627" s="23">
        <f t="shared" si="3826"/>
        <v>0</v>
      </c>
      <c r="BA627" s="49" t="str">
        <f t="shared" si="3801"/>
        <v>000000000000000</v>
      </c>
      <c r="BB627" s="23">
        <f t="shared" si="3827"/>
        <v>0</v>
      </c>
      <c r="BC627" s="49" t="str">
        <f t="shared" ref="BC627" si="4068">IF(BB627&lt;0,SUBSTITUTE(TEXT(BB627,"000000000000,00"),",",""),SUBSTITUTE(TEXT(BB627,"0000000000000,00"),",",""))</f>
        <v>000000000000000</v>
      </c>
      <c r="BD627" s="23">
        <f t="shared" si="3829"/>
        <v>0</v>
      </c>
      <c r="BE627" s="49" t="str">
        <f t="shared" ref="BE627" si="4069">IF(BD627&lt;0,SUBSTITUTE(TEXT(BD627,"000000000000,00"),",",""),SUBSTITUTE(TEXT(BD627,"0000000000000,00"),",",""))</f>
        <v>000000000000000</v>
      </c>
      <c r="BF627" s="23">
        <f t="shared" si="3831"/>
        <v>0</v>
      </c>
      <c r="BG627" s="49" t="str">
        <f t="shared" ref="BG627" si="4070">IF(BF627&lt;0,SUBSTITUTE(TEXT(BF627,"000000000000,00"),",",""),SUBSTITUTE(TEXT(BF627,"0000000000000,00"),",",""))</f>
        <v>000000000000000</v>
      </c>
      <c r="BH627" s="23">
        <f t="shared" si="3833"/>
        <v>0</v>
      </c>
      <c r="BI627" s="49" t="str">
        <f t="shared" ref="BI627" si="4071">IF(BH627&lt;0,SUBSTITUTE(TEXT(BH627,"000000000000,00"),",",""),SUBSTITUTE(TEXT(BH627,"0000000000000,00"),",",""))</f>
        <v>000000000000000</v>
      </c>
      <c r="BJ627" s="23">
        <f t="shared" si="3835"/>
        <v>0</v>
      </c>
      <c r="BK627" s="49" t="str">
        <f t="shared" ref="BK627" si="4072">IF(BJ627&lt;0,SUBSTITUTE(TEXT(BJ627,"000000000000,00"),",",""),SUBSTITUTE(TEXT(BJ627,"0000000000000,00"),",",""))</f>
        <v>000000000000000</v>
      </c>
      <c r="BL627" s="23">
        <f t="shared" si="3837"/>
        <v>0</v>
      </c>
      <c r="BM627" s="49" t="str">
        <f t="shared" ref="BM627" si="4073">IF(BL627&lt;0,SUBSTITUTE(TEXT(BL627,"000000000000,00"),",",""),SUBSTITUTE(TEXT(BL627,"0000000000000,00"),",",""))</f>
        <v>000000000000000</v>
      </c>
      <c r="BN627" t="str">
        <f t="shared" si="3839"/>
        <v>PES</v>
      </c>
      <c r="BO627" t="str">
        <f t="shared" si="3840"/>
        <v>0001000000</v>
      </c>
      <c r="BP627">
        <f t="shared" si="3841"/>
        <v>0</v>
      </c>
      <c r="BQ627">
        <f t="shared" si="3842"/>
        <v>0</v>
      </c>
      <c r="BR627" s="23">
        <f t="shared" si="3843"/>
        <v>0</v>
      </c>
      <c r="BS627" s="49" t="str">
        <f t="shared" si="3808"/>
        <v>000000000000000</v>
      </c>
      <c r="BT627" t="str">
        <f t="shared" si="3844"/>
        <v>00000000</v>
      </c>
      <c r="BU627" s="23">
        <f t="shared" si="3845"/>
        <v>0</v>
      </c>
      <c r="BV627" s="49" t="str">
        <f t="shared" si="3809"/>
        <v/>
      </c>
      <c r="BW627" s="52" t="str">
        <f t="shared" si="3846"/>
        <v/>
      </c>
      <c r="BX627" s="23">
        <f t="shared" si="3847"/>
        <v>0</v>
      </c>
      <c r="BY627" s="49" t="str">
        <f t="shared" si="3810"/>
        <v/>
      </c>
      <c r="BZ627" s="23">
        <f t="shared" si="3848"/>
        <v>0</v>
      </c>
      <c r="CA627" s="49" t="str">
        <f t="shared" si="3811"/>
        <v/>
      </c>
      <c r="CB627" s="52" t="str">
        <f t="shared" si="3849"/>
        <v/>
      </c>
      <c r="CC627" s="23">
        <f t="shared" si="3850"/>
        <v>0</v>
      </c>
      <c r="CD627" s="49" t="str">
        <f t="shared" si="3812"/>
        <v/>
      </c>
      <c r="CE627" s="56" t="str">
        <f>IF(CF627="","",MAX(CE$10:$CE626)+1)</f>
        <v/>
      </c>
      <c r="CF627" t="str">
        <f t="shared" si="3851"/>
        <v/>
      </c>
      <c r="CG627" s="22" t="str">
        <f>IF(CH627="","",MAX($CG$10:CG626)+1)</f>
        <v/>
      </c>
      <c r="CH627" s="22" t="str">
        <f t="shared" si="3796"/>
        <v/>
      </c>
      <c r="CI627" s="22" t="str">
        <f>IF(CJ627="","",MAX($CI$10:CI626)+1)</f>
        <v/>
      </c>
      <c r="CJ627" s="22" t="str">
        <f t="shared" si="3797"/>
        <v/>
      </c>
    </row>
    <row r="628" spans="2:88" x14ac:dyDescent="0.25">
      <c r="B628" s="37"/>
      <c r="C628" s="3"/>
      <c r="D628" s="77" t="str">
        <f t="shared" si="3783"/>
        <v/>
      </c>
      <c r="E628" s="38"/>
      <c r="F628" s="38"/>
      <c r="G628" s="78">
        <f t="shared" si="3798"/>
        <v>0</v>
      </c>
      <c r="H628" s="3">
        <v>80</v>
      </c>
      <c r="I628" s="77" t="str">
        <f t="shared" si="3784"/>
        <v/>
      </c>
      <c r="J628" s="32"/>
      <c r="K628" s="3"/>
      <c r="L628" s="39"/>
      <c r="M628" s="39"/>
      <c r="N628" s="39"/>
      <c r="O628" s="39"/>
      <c r="P628" s="39"/>
      <c r="Q628" s="39"/>
      <c r="R628" s="39"/>
      <c r="S628" s="39"/>
      <c r="T628" s="3" t="s">
        <v>645</v>
      </c>
      <c r="U628" s="77" t="str">
        <f t="shared" si="3785"/>
        <v/>
      </c>
      <c r="V628" s="39">
        <v>1</v>
      </c>
      <c r="W628" s="79">
        <f t="shared" si="3799"/>
        <v>0</v>
      </c>
      <c r="X628" s="3">
        <v>0</v>
      </c>
      <c r="Y628" s="77" t="str">
        <f t="shared" si="3786"/>
        <v/>
      </c>
      <c r="Z628" s="3"/>
      <c r="AA628" s="37" t="str">
        <f t="shared" si="3800"/>
        <v/>
      </c>
      <c r="AC628" s="40"/>
      <c r="AD628" s="7"/>
      <c r="AE628" s="77" t="str">
        <f t="shared" si="3787"/>
        <v/>
      </c>
      <c r="AF628" s="81">
        <f t="shared" si="3813"/>
        <v>0</v>
      </c>
      <c r="AG628" s="40"/>
      <c r="AH628" s="7"/>
      <c r="AI628" s="77" t="str">
        <f t="shared" si="3788"/>
        <v/>
      </c>
      <c r="AJ628" s="81">
        <f t="shared" si="3814"/>
        <v>0</v>
      </c>
      <c r="AK628" s="83">
        <f t="shared" si="3815"/>
        <v>0</v>
      </c>
      <c r="AL628" s="83">
        <f t="shared" si="3816"/>
        <v>0</v>
      </c>
      <c r="AN628" s="43">
        <f t="shared" si="3789"/>
        <v>0</v>
      </c>
      <c r="AP628" t="str">
        <f t="shared" si="3817"/>
        <v/>
      </c>
      <c r="AQ628" t="str">
        <f t="shared" si="3818"/>
        <v/>
      </c>
      <c r="AR628" t="str">
        <f t="shared" si="3819"/>
        <v/>
      </c>
      <c r="AS628" t="str">
        <f t="shared" si="3820"/>
        <v/>
      </c>
      <c r="AT628" t="str">
        <f t="shared" si="3821"/>
        <v/>
      </c>
      <c r="AU628" t="str">
        <f t="shared" si="3822"/>
        <v/>
      </c>
      <c r="AV628" t="str">
        <f t="shared" si="3823"/>
        <v/>
      </c>
      <c r="AW628" t="str">
        <f t="shared" si="3824"/>
        <v xml:space="preserve">                              </v>
      </c>
      <c r="AX628" s="23">
        <f t="shared" si="3825"/>
        <v>0</v>
      </c>
      <c r="AY628" s="49" t="str">
        <f t="shared" si="3801"/>
        <v>000000000000000</v>
      </c>
      <c r="AZ628" s="23">
        <f t="shared" si="3826"/>
        <v>0</v>
      </c>
      <c r="BA628" s="49" t="str">
        <f t="shared" si="3801"/>
        <v>000000000000000</v>
      </c>
      <c r="BB628" s="23">
        <f t="shared" si="3827"/>
        <v>0</v>
      </c>
      <c r="BC628" s="49" t="str">
        <f t="shared" ref="BC628" si="4074">IF(BB628&lt;0,SUBSTITUTE(TEXT(BB628,"000000000000,00"),",",""),SUBSTITUTE(TEXT(BB628,"0000000000000,00"),",",""))</f>
        <v>000000000000000</v>
      </c>
      <c r="BD628" s="23">
        <f t="shared" si="3829"/>
        <v>0</v>
      </c>
      <c r="BE628" s="49" t="str">
        <f t="shared" ref="BE628" si="4075">IF(BD628&lt;0,SUBSTITUTE(TEXT(BD628,"000000000000,00"),",",""),SUBSTITUTE(TEXT(BD628,"0000000000000,00"),",",""))</f>
        <v>000000000000000</v>
      </c>
      <c r="BF628" s="23">
        <f t="shared" si="3831"/>
        <v>0</v>
      </c>
      <c r="BG628" s="49" t="str">
        <f t="shared" ref="BG628" si="4076">IF(BF628&lt;0,SUBSTITUTE(TEXT(BF628,"000000000000,00"),",",""),SUBSTITUTE(TEXT(BF628,"0000000000000,00"),",",""))</f>
        <v>000000000000000</v>
      </c>
      <c r="BH628" s="23">
        <f t="shared" si="3833"/>
        <v>0</v>
      </c>
      <c r="BI628" s="49" t="str">
        <f t="shared" ref="BI628" si="4077">IF(BH628&lt;0,SUBSTITUTE(TEXT(BH628,"000000000000,00"),",",""),SUBSTITUTE(TEXT(BH628,"0000000000000,00"),",",""))</f>
        <v>000000000000000</v>
      </c>
      <c r="BJ628" s="23">
        <f t="shared" si="3835"/>
        <v>0</v>
      </c>
      <c r="BK628" s="49" t="str">
        <f t="shared" ref="BK628" si="4078">IF(BJ628&lt;0,SUBSTITUTE(TEXT(BJ628,"000000000000,00"),",",""),SUBSTITUTE(TEXT(BJ628,"0000000000000,00"),",",""))</f>
        <v>000000000000000</v>
      </c>
      <c r="BL628" s="23">
        <f t="shared" si="3837"/>
        <v>0</v>
      </c>
      <c r="BM628" s="49" t="str">
        <f t="shared" ref="BM628" si="4079">IF(BL628&lt;0,SUBSTITUTE(TEXT(BL628,"000000000000,00"),",",""),SUBSTITUTE(TEXT(BL628,"0000000000000,00"),",",""))</f>
        <v>000000000000000</v>
      </c>
      <c r="BN628" t="str">
        <f t="shared" si="3839"/>
        <v>PES</v>
      </c>
      <c r="BO628" t="str">
        <f t="shared" si="3840"/>
        <v>0001000000</v>
      </c>
      <c r="BP628">
        <f t="shared" si="3841"/>
        <v>0</v>
      </c>
      <c r="BQ628">
        <f t="shared" si="3842"/>
        <v>0</v>
      </c>
      <c r="BR628" s="23">
        <f t="shared" si="3843"/>
        <v>0</v>
      </c>
      <c r="BS628" s="49" t="str">
        <f t="shared" si="3808"/>
        <v>000000000000000</v>
      </c>
      <c r="BT628" t="str">
        <f t="shared" si="3844"/>
        <v>00000000</v>
      </c>
      <c r="BU628" s="23">
        <f t="shared" si="3845"/>
        <v>0</v>
      </c>
      <c r="BV628" s="49" t="str">
        <f t="shared" si="3809"/>
        <v/>
      </c>
      <c r="BW628" s="52" t="str">
        <f t="shared" si="3846"/>
        <v/>
      </c>
      <c r="BX628" s="23">
        <f t="shared" si="3847"/>
        <v>0</v>
      </c>
      <c r="BY628" s="49" t="str">
        <f t="shared" si="3810"/>
        <v/>
      </c>
      <c r="BZ628" s="23">
        <f t="shared" si="3848"/>
        <v>0</v>
      </c>
      <c r="CA628" s="49" t="str">
        <f t="shared" si="3811"/>
        <v/>
      </c>
      <c r="CB628" s="52" t="str">
        <f t="shared" si="3849"/>
        <v/>
      </c>
      <c r="CC628" s="23">
        <f t="shared" si="3850"/>
        <v>0</v>
      </c>
      <c r="CD628" s="49" t="str">
        <f t="shared" si="3812"/>
        <v/>
      </c>
      <c r="CE628" s="56" t="str">
        <f>IF(CF628="","",MAX(CE$10:$CE627)+1)</f>
        <v/>
      </c>
      <c r="CF628" t="str">
        <f t="shared" si="3851"/>
        <v/>
      </c>
      <c r="CG628" s="22" t="str">
        <f>IF(CH628="","",MAX($CG$10:CG627)+1)</f>
        <v/>
      </c>
      <c r="CH628" s="22" t="str">
        <f t="shared" si="3796"/>
        <v/>
      </c>
      <c r="CI628" s="22" t="str">
        <f>IF(CJ628="","",MAX($CI$10:CI627)+1)</f>
        <v/>
      </c>
      <c r="CJ628" s="22" t="str">
        <f t="shared" si="3797"/>
        <v/>
      </c>
    </row>
    <row r="629" spans="2:88" x14ac:dyDescent="0.25">
      <c r="B629" s="37"/>
      <c r="C629" s="3"/>
      <c r="D629" s="77" t="str">
        <f t="shared" si="3783"/>
        <v/>
      </c>
      <c r="E629" s="38"/>
      <c r="F629" s="38"/>
      <c r="G629" s="78">
        <f t="shared" si="3798"/>
        <v>0</v>
      </c>
      <c r="H629" s="3">
        <v>80</v>
      </c>
      <c r="I629" s="77" t="str">
        <f t="shared" si="3784"/>
        <v/>
      </c>
      <c r="J629" s="32"/>
      <c r="K629" s="3"/>
      <c r="L629" s="39"/>
      <c r="M629" s="39"/>
      <c r="N629" s="39"/>
      <c r="O629" s="39"/>
      <c r="P629" s="39"/>
      <c r="Q629" s="39"/>
      <c r="R629" s="39"/>
      <c r="S629" s="39"/>
      <c r="T629" s="3" t="s">
        <v>645</v>
      </c>
      <c r="U629" s="77" t="str">
        <f t="shared" si="3785"/>
        <v/>
      </c>
      <c r="V629" s="39">
        <v>1</v>
      </c>
      <c r="W629" s="79">
        <f t="shared" si="3799"/>
        <v>0</v>
      </c>
      <c r="X629" s="3">
        <v>0</v>
      </c>
      <c r="Y629" s="77" t="str">
        <f t="shared" si="3786"/>
        <v/>
      </c>
      <c r="Z629" s="3"/>
      <c r="AA629" s="37" t="str">
        <f t="shared" si="3800"/>
        <v/>
      </c>
      <c r="AC629" s="40"/>
      <c r="AD629" s="7"/>
      <c r="AE629" s="77" t="str">
        <f t="shared" si="3787"/>
        <v/>
      </c>
      <c r="AF629" s="81">
        <f t="shared" si="3813"/>
        <v>0</v>
      </c>
      <c r="AG629" s="40"/>
      <c r="AH629" s="7"/>
      <c r="AI629" s="77" t="str">
        <f t="shared" si="3788"/>
        <v/>
      </c>
      <c r="AJ629" s="81">
        <f t="shared" si="3814"/>
        <v>0</v>
      </c>
      <c r="AK629" s="83">
        <f t="shared" si="3815"/>
        <v>0</v>
      </c>
      <c r="AL629" s="83">
        <f t="shared" si="3816"/>
        <v>0</v>
      </c>
      <c r="AN629" s="43">
        <f t="shared" si="3789"/>
        <v>0</v>
      </c>
      <c r="AP629" t="str">
        <f t="shared" si="3817"/>
        <v/>
      </c>
      <c r="AQ629" t="str">
        <f t="shared" si="3818"/>
        <v/>
      </c>
      <c r="AR629" t="str">
        <f t="shared" si="3819"/>
        <v/>
      </c>
      <c r="AS629" t="str">
        <f t="shared" si="3820"/>
        <v/>
      </c>
      <c r="AT629" t="str">
        <f t="shared" si="3821"/>
        <v/>
      </c>
      <c r="AU629" t="str">
        <f t="shared" si="3822"/>
        <v/>
      </c>
      <c r="AV629" t="str">
        <f t="shared" si="3823"/>
        <v/>
      </c>
      <c r="AW629" t="str">
        <f t="shared" si="3824"/>
        <v xml:space="preserve">                              </v>
      </c>
      <c r="AX629" s="23">
        <f t="shared" si="3825"/>
        <v>0</v>
      </c>
      <c r="AY629" s="49" t="str">
        <f t="shared" si="3801"/>
        <v>000000000000000</v>
      </c>
      <c r="AZ629" s="23">
        <f t="shared" si="3826"/>
        <v>0</v>
      </c>
      <c r="BA629" s="49" t="str">
        <f t="shared" si="3801"/>
        <v>000000000000000</v>
      </c>
      <c r="BB629" s="23">
        <f t="shared" si="3827"/>
        <v>0</v>
      </c>
      <c r="BC629" s="49" t="str">
        <f t="shared" ref="BC629" si="4080">IF(BB629&lt;0,SUBSTITUTE(TEXT(BB629,"000000000000,00"),",",""),SUBSTITUTE(TEXT(BB629,"0000000000000,00"),",",""))</f>
        <v>000000000000000</v>
      </c>
      <c r="BD629" s="23">
        <f t="shared" si="3829"/>
        <v>0</v>
      </c>
      <c r="BE629" s="49" t="str">
        <f t="shared" ref="BE629" si="4081">IF(BD629&lt;0,SUBSTITUTE(TEXT(BD629,"000000000000,00"),",",""),SUBSTITUTE(TEXT(BD629,"0000000000000,00"),",",""))</f>
        <v>000000000000000</v>
      </c>
      <c r="BF629" s="23">
        <f t="shared" si="3831"/>
        <v>0</v>
      </c>
      <c r="BG629" s="49" t="str">
        <f t="shared" ref="BG629" si="4082">IF(BF629&lt;0,SUBSTITUTE(TEXT(BF629,"000000000000,00"),",",""),SUBSTITUTE(TEXT(BF629,"0000000000000,00"),",",""))</f>
        <v>000000000000000</v>
      </c>
      <c r="BH629" s="23">
        <f t="shared" si="3833"/>
        <v>0</v>
      </c>
      <c r="BI629" s="49" t="str">
        <f t="shared" ref="BI629" si="4083">IF(BH629&lt;0,SUBSTITUTE(TEXT(BH629,"000000000000,00"),",",""),SUBSTITUTE(TEXT(BH629,"0000000000000,00"),",",""))</f>
        <v>000000000000000</v>
      </c>
      <c r="BJ629" s="23">
        <f t="shared" si="3835"/>
        <v>0</v>
      </c>
      <c r="BK629" s="49" t="str">
        <f t="shared" ref="BK629" si="4084">IF(BJ629&lt;0,SUBSTITUTE(TEXT(BJ629,"000000000000,00"),",",""),SUBSTITUTE(TEXT(BJ629,"0000000000000,00"),",",""))</f>
        <v>000000000000000</v>
      </c>
      <c r="BL629" s="23">
        <f t="shared" si="3837"/>
        <v>0</v>
      </c>
      <c r="BM629" s="49" t="str">
        <f t="shared" ref="BM629" si="4085">IF(BL629&lt;0,SUBSTITUTE(TEXT(BL629,"000000000000,00"),",",""),SUBSTITUTE(TEXT(BL629,"0000000000000,00"),",",""))</f>
        <v>000000000000000</v>
      </c>
      <c r="BN629" t="str">
        <f t="shared" si="3839"/>
        <v>PES</v>
      </c>
      <c r="BO629" t="str">
        <f t="shared" si="3840"/>
        <v>0001000000</v>
      </c>
      <c r="BP629">
        <f t="shared" si="3841"/>
        <v>0</v>
      </c>
      <c r="BQ629">
        <f t="shared" si="3842"/>
        <v>0</v>
      </c>
      <c r="BR629" s="23">
        <f t="shared" si="3843"/>
        <v>0</v>
      </c>
      <c r="BS629" s="49" t="str">
        <f t="shared" si="3808"/>
        <v>000000000000000</v>
      </c>
      <c r="BT629" t="str">
        <f t="shared" si="3844"/>
        <v>00000000</v>
      </c>
      <c r="BU629" s="23">
        <f t="shared" si="3845"/>
        <v>0</v>
      </c>
      <c r="BV629" s="49" t="str">
        <f t="shared" si="3809"/>
        <v/>
      </c>
      <c r="BW629" s="52" t="str">
        <f t="shared" si="3846"/>
        <v/>
      </c>
      <c r="BX629" s="23">
        <f t="shared" si="3847"/>
        <v>0</v>
      </c>
      <c r="BY629" s="49" t="str">
        <f t="shared" si="3810"/>
        <v/>
      </c>
      <c r="BZ629" s="23">
        <f t="shared" si="3848"/>
        <v>0</v>
      </c>
      <c r="CA629" s="49" t="str">
        <f t="shared" si="3811"/>
        <v/>
      </c>
      <c r="CB629" s="52" t="str">
        <f t="shared" si="3849"/>
        <v/>
      </c>
      <c r="CC629" s="23">
        <f t="shared" si="3850"/>
        <v>0</v>
      </c>
      <c r="CD629" s="49" t="str">
        <f t="shared" si="3812"/>
        <v/>
      </c>
      <c r="CE629" s="56" t="str">
        <f>IF(CF629="","",MAX(CE$10:$CE628)+1)</f>
        <v/>
      </c>
      <c r="CF629" t="str">
        <f t="shared" si="3851"/>
        <v/>
      </c>
      <c r="CG629" s="22" t="str">
        <f>IF(CH629="","",MAX($CG$10:CG628)+1)</f>
        <v/>
      </c>
      <c r="CH629" s="22" t="str">
        <f t="shared" si="3796"/>
        <v/>
      </c>
      <c r="CI629" s="22" t="str">
        <f>IF(CJ629="","",MAX($CI$10:CI628)+1)</f>
        <v/>
      </c>
      <c r="CJ629" s="22" t="str">
        <f t="shared" si="3797"/>
        <v/>
      </c>
    </row>
    <row r="630" spans="2:88" x14ac:dyDescent="0.25">
      <c r="B630" s="37"/>
      <c r="C630" s="3"/>
      <c r="D630" s="77" t="str">
        <f t="shared" si="3783"/>
        <v/>
      </c>
      <c r="E630" s="38"/>
      <c r="F630" s="38"/>
      <c r="G630" s="78">
        <f t="shared" si="3798"/>
        <v>0</v>
      </c>
      <c r="H630" s="3">
        <v>80</v>
      </c>
      <c r="I630" s="77" t="str">
        <f t="shared" si="3784"/>
        <v/>
      </c>
      <c r="J630" s="32"/>
      <c r="K630" s="3"/>
      <c r="L630" s="39"/>
      <c r="M630" s="39"/>
      <c r="N630" s="39"/>
      <c r="O630" s="39"/>
      <c r="P630" s="39"/>
      <c r="Q630" s="39"/>
      <c r="R630" s="39"/>
      <c r="S630" s="39"/>
      <c r="T630" s="3" t="s">
        <v>645</v>
      </c>
      <c r="U630" s="77" t="str">
        <f t="shared" si="3785"/>
        <v/>
      </c>
      <c r="V630" s="39">
        <v>1</v>
      </c>
      <c r="W630" s="79">
        <f t="shared" si="3799"/>
        <v>0</v>
      </c>
      <c r="X630" s="3">
        <v>0</v>
      </c>
      <c r="Y630" s="77" t="str">
        <f t="shared" si="3786"/>
        <v/>
      </c>
      <c r="Z630" s="3"/>
      <c r="AA630" s="37" t="str">
        <f t="shared" si="3800"/>
        <v/>
      </c>
      <c r="AC630" s="40"/>
      <c r="AD630" s="7"/>
      <c r="AE630" s="77" t="str">
        <f t="shared" si="3787"/>
        <v/>
      </c>
      <c r="AF630" s="81">
        <f t="shared" si="3813"/>
        <v>0</v>
      </c>
      <c r="AG630" s="40"/>
      <c r="AH630" s="7"/>
      <c r="AI630" s="77" t="str">
        <f t="shared" si="3788"/>
        <v/>
      </c>
      <c r="AJ630" s="81">
        <f t="shared" si="3814"/>
        <v>0</v>
      </c>
      <c r="AK630" s="83">
        <f t="shared" si="3815"/>
        <v>0</v>
      </c>
      <c r="AL630" s="83">
        <f t="shared" si="3816"/>
        <v>0</v>
      </c>
      <c r="AN630" s="43">
        <f t="shared" si="3789"/>
        <v>0</v>
      </c>
      <c r="AP630" t="str">
        <f t="shared" si="3817"/>
        <v/>
      </c>
      <c r="AQ630" t="str">
        <f t="shared" si="3818"/>
        <v/>
      </c>
      <c r="AR630" t="str">
        <f t="shared" si="3819"/>
        <v/>
      </c>
      <c r="AS630" t="str">
        <f t="shared" si="3820"/>
        <v/>
      </c>
      <c r="AT630" t="str">
        <f t="shared" si="3821"/>
        <v/>
      </c>
      <c r="AU630" t="str">
        <f t="shared" si="3822"/>
        <v/>
      </c>
      <c r="AV630" t="str">
        <f t="shared" si="3823"/>
        <v/>
      </c>
      <c r="AW630" t="str">
        <f t="shared" si="3824"/>
        <v xml:space="preserve">                              </v>
      </c>
      <c r="AX630" s="23">
        <f t="shared" si="3825"/>
        <v>0</v>
      </c>
      <c r="AY630" s="49" t="str">
        <f t="shared" si="3801"/>
        <v>000000000000000</v>
      </c>
      <c r="AZ630" s="23">
        <f t="shared" si="3826"/>
        <v>0</v>
      </c>
      <c r="BA630" s="49" t="str">
        <f t="shared" si="3801"/>
        <v>000000000000000</v>
      </c>
      <c r="BB630" s="23">
        <f t="shared" si="3827"/>
        <v>0</v>
      </c>
      <c r="BC630" s="49" t="str">
        <f t="shared" ref="BC630" si="4086">IF(BB630&lt;0,SUBSTITUTE(TEXT(BB630,"000000000000,00"),",",""),SUBSTITUTE(TEXT(BB630,"0000000000000,00"),",",""))</f>
        <v>000000000000000</v>
      </c>
      <c r="BD630" s="23">
        <f t="shared" si="3829"/>
        <v>0</v>
      </c>
      <c r="BE630" s="49" t="str">
        <f t="shared" ref="BE630" si="4087">IF(BD630&lt;0,SUBSTITUTE(TEXT(BD630,"000000000000,00"),",",""),SUBSTITUTE(TEXT(BD630,"0000000000000,00"),",",""))</f>
        <v>000000000000000</v>
      </c>
      <c r="BF630" s="23">
        <f t="shared" si="3831"/>
        <v>0</v>
      </c>
      <c r="BG630" s="49" t="str">
        <f t="shared" ref="BG630" si="4088">IF(BF630&lt;0,SUBSTITUTE(TEXT(BF630,"000000000000,00"),",",""),SUBSTITUTE(TEXT(BF630,"0000000000000,00"),",",""))</f>
        <v>000000000000000</v>
      </c>
      <c r="BH630" s="23">
        <f t="shared" si="3833"/>
        <v>0</v>
      </c>
      <c r="BI630" s="49" t="str">
        <f t="shared" ref="BI630" si="4089">IF(BH630&lt;0,SUBSTITUTE(TEXT(BH630,"000000000000,00"),",",""),SUBSTITUTE(TEXT(BH630,"0000000000000,00"),",",""))</f>
        <v>000000000000000</v>
      </c>
      <c r="BJ630" s="23">
        <f t="shared" si="3835"/>
        <v>0</v>
      </c>
      <c r="BK630" s="49" t="str">
        <f t="shared" ref="BK630" si="4090">IF(BJ630&lt;0,SUBSTITUTE(TEXT(BJ630,"000000000000,00"),",",""),SUBSTITUTE(TEXT(BJ630,"0000000000000,00"),",",""))</f>
        <v>000000000000000</v>
      </c>
      <c r="BL630" s="23">
        <f t="shared" si="3837"/>
        <v>0</v>
      </c>
      <c r="BM630" s="49" t="str">
        <f t="shared" ref="BM630" si="4091">IF(BL630&lt;0,SUBSTITUTE(TEXT(BL630,"000000000000,00"),",",""),SUBSTITUTE(TEXT(BL630,"0000000000000,00"),",",""))</f>
        <v>000000000000000</v>
      </c>
      <c r="BN630" t="str">
        <f t="shared" si="3839"/>
        <v>PES</v>
      </c>
      <c r="BO630" t="str">
        <f t="shared" si="3840"/>
        <v>0001000000</v>
      </c>
      <c r="BP630">
        <f t="shared" si="3841"/>
        <v>0</v>
      </c>
      <c r="BQ630">
        <f t="shared" si="3842"/>
        <v>0</v>
      </c>
      <c r="BR630" s="23">
        <f t="shared" si="3843"/>
        <v>0</v>
      </c>
      <c r="BS630" s="49" t="str">
        <f t="shared" si="3808"/>
        <v>000000000000000</v>
      </c>
      <c r="BT630" t="str">
        <f t="shared" si="3844"/>
        <v>00000000</v>
      </c>
      <c r="BU630" s="23">
        <f t="shared" si="3845"/>
        <v>0</v>
      </c>
      <c r="BV630" s="49" t="str">
        <f t="shared" si="3809"/>
        <v/>
      </c>
      <c r="BW630" s="52" t="str">
        <f t="shared" si="3846"/>
        <v/>
      </c>
      <c r="BX630" s="23">
        <f t="shared" si="3847"/>
        <v>0</v>
      </c>
      <c r="BY630" s="49" t="str">
        <f t="shared" si="3810"/>
        <v/>
      </c>
      <c r="BZ630" s="23">
        <f t="shared" si="3848"/>
        <v>0</v>
      </c>
      <c r="CA630" s="49" t="str">
        <f t="shared" si="3811"/>
        <v/>
      </c>
      <c r="CB630" s="52" t="str">
        <f t="shared" si="3849"/>
        <v/>
      </c>
      <c r="CC630" s="23">
        <f t="shared" si="3850"/>
        <v>0</v>
      </c>
      <c r="CD630" s="49" t="str">
        <f t="shared" si="3812"/>
        <v/>
      </c>
      <c r="CE630" s="56" t="str">
        <f>IF(CF630="","",MAX(CE$10:$CE629)+1)</f>
        <v/>
      </c>
      <c r="CF630" t="str">
        <f t="shared" si="3851"/>
        <v/>
      </c>
      <c r="CG630" s="22" t="str">
        <f>IF(CH630="","",MAX($CG$10:CG629)+1)</f>
        <v/>
      </c>
      <c r="CH630" s="22" t="str">
        <f t="shared" si="3796"/>
        <v/>
      </c>
      <c r="CI630" s="22" t="str">
        <f>IF(CJ630="","",MAX($CI$10:CI629)+1)</f>
        <v/>
      </c>
      <c r="CJ630" s="22" t="str">
        <f t="shared" si="3797"/>
        <v/>
      </c>
    </row>
    <row r="631" spans="2:88" x14ac:dyDescent="0.25">
      <c r="B631" s="37"/>
      <c r="C631" s="3"/>
      <c r="D631" s="77" t="str">
        <f t="shared" si="3783"/>
        <v/>
      </c>
      <c r="E631" s="38"/>
      <c r="F631" s="38"/>
      <c r="G631" s="78">
        <f t="shared" si="3798"/>
        <v>0</v>
      </c>
      <c r="H631" s="3">
        <v>80</v>
      </c>
      <c r="I631" s="77" t="str">
        <f t="shared" si="3784"/>
        <v/>
      </c>
      <c r="J631" s="32"/>
      <c r="K631" s="3"/>
      <c r="L631" s="39"/>
      <c r="M631" s="39"/>
      <c r="N631" s="39"/>
      <c r="O631" s="39"/>
      <c r="P631" s="39"/>
      <c r="Q631" s="39"/>
      <c r="R631" s="39"/>
      <c r="S631" s="39"/>
      <c r="T631" s="3" t="s">
        <v>645</v>
      </c>
      <c r="U631" s="77" t="str">
        <f t="shared" si="3785"/>
        <v/>
      </c>
      <c r="V631" s="39">
        <v>1</v>
      </c>
      <c r="W631" s="79">
        <f t="shared" si="3799"/>
        <v>0</v>
      </c>
      <c r="X631" s="3">
        <v>0</v>
      </c>
      <c r="Y631" s="77" t="str">
        <f t="shared" si="3786"/>
        <v/>
      </c>
      <c r="Z631" s="3"/>
      <c r="AA631" s="37" t="str">
        <f t="shared" si="3800"/>
        <v/>
      </c>
      <c r="AC631" s="40"/>
      <c r="AD631" s="7"/>
      <c r="AE631" s="77" t="str">
        <f t="shared" si="3787"/>
        <v/>
      </c>
      <c r="AF631" s="81">
        <f t="shared" si="3813"/>
        <v>0</v>
      </c>
      <c r="AG631" s="40"/>
      <c r="AH631" s="7"/>
      <c r="AI631" s="77" t="str">
        <f t="shared" si="3788"/>
        <v/>
      </c>
      <c r="AJ631" s="81">
        <f t="shared" si="3814"/>
        <v>0</v>
      </c>
      <c r="AK631" s="83">
        <f t="shared" si="3815"/>
        <v>0</v>
      </c>
      <c r="AL631" s="83">
        <f t="shared" si="3816"/>
        <v>0</v>
      </c>
      <c r="AN631" s="43">
        <f t="shared" si="3789"/>
        <v>0</v>
      </c>
      <c r="AP631" t="str">
        <f t="shared" si="3817"/>
        <v/>
      </c>
      <c r="AQ631" t="str">
        <f t="shared" si="3818"/>
        <v/>
      </c>
      <c r="AR631" t="str">
        <f t="shared" si="3819"/>
        <v/>
      </c>
      <c r="AS631" t="str">
        <f t="shared" si="3820"/>
        <v/>
      </c>
      <c r="AT631" t="str">
        <f t="shared" si="3821"/>
        <v/>
      </c>
      <c r="AU631" t="str">
        <f t="shared" si="3822"/>
        <v/>
      </c>
      <c r="AV631" t="str">
        <f t="shared" si="3823"/>
        <v/>
      </c>
      <c r="AW631" t="str">
        <f t="shared" si="3824"/>
        <v xml:space="preserve">                              </v>
      </c>
      <c r="AX631" s="23">
        <f t="shared" si="3825"/>
        <v>0</v>
      </c>
      <c r="AY631" s="49" t="str">
        <f t="shared" si="3801"/>
        <v>000000000000000</v>
      </c>
      <c r="AZ631" s="23">
        <f t="shared" si="3826"/>
        <v>0</v>
      </c>
      <c r="BA631" s="49" t="str">
        <f t="shared" si="3801"/>
        <v>000000000000000</v>
      </c>
      <c r="BB631" s="23">
        <f t="shared" si="3827"/>
        <v>0</v>
      </c>
      <c r="BC631" s="49" t="str">
        <f t="shared" ref="BC631" si="4092">IF(BB631&lt;0,SUBSTITUTE(TEXT(BB631,"000000000000,00"),",",""),SUBSTITUTE(TEXT(BB631,"0000000000000,00"),",",""))</f>
        <v>000000000000000</v>
      </c>
      <c r="BD631" s="23">
        <f t="shared" si="3829"/>
        <v>0</v>
      </c>
      <c r="BE631" s="49" t="str">
        <f t="shared" ref="BE631" si="4093">IF(BD631&lt;0,SUBSTITUTE(TEXT(BD631,"000000000000,00"),",",""),SUBSTITUTE(TEXT(BD631,"0000000000000,00"),",",""))</f>
        <v>000000000000000</v>
      </c>
      <c r="BF631" s="23">
        <f t="shared" si="3831"/>
        <v>0</v>
      </c>
      <c r="BG631" s="49" t="str">
        <f t="shared" ref="BG631" si="4094">IF(BF631&lt;0,SUBSTITUTE(TEXT(BF631,"000000000000,00"),",",""),SUBSTITUTE(TEXT(BF631,"0000000000000,00"),",",""))</f>
        <v>000000000000000</v>
      </c>
      <c r="BH631" s="23">
        <f t="shared" si="3833"/>
        <v>0</v>
      </c>
      <c r="BI631" s="49" t="str">
        <f t="shared" ref="BI631" si="4095">IF(BH631&lt;0,SUBSTITUTE(TEXT(BH631,"000000000000,00"),",",""),SUBSTITUTE(TEXT(BH631,"0000000000000,00"),",",""))</f>
        <v>000000000000000</v>
      </c>
      <c r="BJ631" s="23">
        <f t="shared" si="3835"/>
        <v>0</v>
      </c>
      <c r="BK631" s="49" t="str">
        <f t="shared" ref="BK631" si="4096">IF(BJ631&lt;0,SUBSTITUTE(TEXT(BJ631,"000000000000,00"),",",""),SUBSTITUTE(TEXT(BJ631,"0000000000000,00"),",",""))</f>
        <v>000000000000000</v>
      </c>
      <c r="BL631" s="23">
        <f t="shared" si="3837"/>
        <v>0</v>
      </c>
      <c r="BM631" s="49" t="str">
        <f t="shared" ref="BM631" si="4097">IF(BL631&lt;0,SUBSTITUTE(TEXT(BL631,"000000000000,00"),",",""),SUBSTITUTE(TEXT(BL631,"0000000000000,00"),",",""))</f>
        <v>000000000000000</v>
      </c>
      <c r="BN631" t="str">
        <f t="shared" si="3839"/>
        <v>PES</v>
      </c>
      <c r="BO631" t="str">
        <f t="shared" si="3840"/>
        <v>0001000000</v>
      </c>
      <c r="BP631">
        <f t="shared" si="3841"/>
        <v>0</v>
      </c>
      <c r="BQ631">
        <f t="shared" si="3842"/>
        <v>0</v>
      </c>
      <c r="BR631" s="23">
        <f t="shared" si="3843"/>
        <v>0</v>
      </c>
      <c r="BS631" s="49" t="str">
        <f t="shared" si="3808"/>
        <v>000000000000000</v>
      </c>
      <c r="BT631" t="str">
        <f t="shared" si="3844"/>
        <v>00000000</v>
      </c>
      <c r="BU631" s="23">
        <f t="shared" si="3845"/>
        <v>0</v>
      </c>
      <c r="BV631" s="49" t="str">
        <f t="shared" si="3809"/>
        <v/>
      </c>
      <c r="BW631" s="52" t="str">
        <f t="shared" si="3846"/>
        <v/>
      </c>
      <c r="BX631" s="23">
        <f t="shared" si="3847"/>
        <v>0</v>
      </c>
      <c r="BY631" s="49" t="str">
        <f t="shared" si="3810"/>
        <v/>
      </c>
      <c r="BZ631" s="23">
        <f t="shared" si="3848"/>
        <v>0</v>
      </c>
      <c r="CA631" s="49" t="str">
        <f t="shared" si="3811"/>
        <v/>
      </c>
      <c r="CB631" s="52" t="str">
        <f t="shared" si="3849"/>
        <v/>
      </c>
      <c r="CC631" s="23">
        <f t="shared" si="3850"/>
        <v>0</v>
      </c>
      <c r="CD631" s="49" t="str">
        <f t="shared" si="3812"/>
        <v/>
      </c>
      <c r="CE631" s="56" t="str">
        <f>IF(CF631="","",MAX(CE$10:$CE630)+1)</f>
        <v/>
      </c>
      <c r="CF631" t="str">
        <f t="shared" si="3851"/>
        <v/>
      </c>
      <c r="CG631" s="22" t="str">
        <f>IF(CH631="","",MAX($CG$10:CG630)+1)</f>
        <v/>
      </c>
      <c r="CH631" s="22" t="str">
        <f t="shared" si="3796"/>
        <v/>
      </c>
      <c r="CI631" s="22" t="str">
        <f>IF(CJ631="","",MAX($CI$10:CI630)+1)</f>
        <v/>
      </c>
      <c r="CJ631" s="22" t="str">
        <f t="shared" si="3797"/>
        <v/>
      </c>
    </row>
    <row r="632" spans="2:88" x14ac:dyDescent="0.25">
      <c r="B632" s="37"/>
      <c r="C632" s="3"/>
      <c r="D632" s="77" t="str">
        <f t="shared" si="3783"/>
        <v/>
      </c>
      <c r="E632" s="38"/>
      <c r="F632" s="38"/>
      <c r="G632" s="78">
        <f t="shared" si="3798"/>
        <v>0</v>
      </c>
      <c r="H632" s="3">
        <v>80</v>
      </c>
      <c r="I632" s="77" t="str">
        <f t="shared" si="3784"/>
        <v/>
      </c>
      <c r="J632" s="32"/>
      <c r="K632" s="3"/>
      <c r="L632" s="39"/>
      <c r="M632" s="39"/>
      <c r="N632" s="39"/>
      <c r="O632" s="39"/>
      <c r="P632" s="39"/>
      <c r="Q632" s="39"/>
      <c r="R632" s="39"/>
      <c r="S632" s="39"/>
      <c r="T632" s="3" t="s">
        <v>645</v>
      </c>
      <c r="U632" s="77" t="str">
        <f t="shared" si="3785"/>
        <v/>
      </c>
      <c r="V632" s="39">
        <v>1</v>
      </c>
      <c r="W632" s="79">
        <f t="shared" si="3799"/>
        <v>0</v>
      </c>
      <c r="X632" s="3">
        <v>0</v>
      </c>
      <c r="Y632" s="77" t="str">
        <f t="shared" si="3786"/>
        <v/>
      </c>
      <c r="Z632" s="3"/>
      <c r="AA632" s="37" t="str">
        <f t="shared" si="3800"/>
        <v/>
      </c>
      <c r="AC632" s="40"/>
      <c r="AD632" s="7"/>
      <c r="AE632" s="77" t="str">
        <f t="shared" si="3787"/>
        <v/>
      </c>
      <c r="AF632" s="81">
        <f t="shared" si="3813"/>
        <v>0</v>
      </c>
      <c r="AG632" s="40"/>
      <c r="AH632" s="7"/>
      <c r="AI632" s="77" t="str">
        <f t="shared" si="3788"/>
        <v/>
      </c>
      <c r="AJ632" s="81">
        <f t="shared" si="3814"/>
        <v>0</v>
      </c>
      <c r="AK632" s="83">
        <f t="shared" si="3815"/>
        <v>0</v>
      </c>
      <c r="AL632" s="83">
        <f t="shared" si="3816"/>
        <v>0</v>
      </c>
      <c r="AN632" s="43">
        <f t="shared" si="3789"/>
        <v>0</v>
      </c>
      <c r="AP632" t="str">
        <f t="shared" si="3817"/>
        <v/>
      </c>
      <c r="AQ632" t="str">
        <f t="shared" si="3818"/>
        <v/>
      </c>
      <c r="AR632" t="str">
        <f t="shared" si="3819"/>
        <v/>
      </c>
      <c r="AS632" t="str">
        <f t="shared" si="3820"/>
        <v/>
      </c>
      <c r="AT632" t="str">
        <f t="shared" si="3821"/>
        <v/>
      </c>
      <c r="AU632" t="str">
        <f t="shared" si="3822"/>
        <v/>
      </c>
      <c r="AV632" t="str">
        <f t="shared" si="3823"/>
        <v/>
      </c>
      <c r="AW632" t="str">
        <f t="shared" si="3824"/>
        <v xml:space="preserve">                              </v>
      </c>
      <c r="AX632" s="23">
        <f t="shared" si="3825"/>
        <v>0</v>
      </c>
      <c r="AY632" s="49" t="str">
        <f t="shared" si="3801"/>
        <v>000000000000000</v>
      </c>
      <c r="AZ632" s="23">
        <f t="shared" si="3826"/>
        <v>0</v>
      </c>
      <c r="BA632" s="49" t="str">
        <f t="shared" si="3801"/>
        <v>000000000000000</v>
      </c>
      <c r="BB632" s="23">
        <f t="shared" si="3827"/>
        <v>0</v>
      </c>
      <c r="BC632" s="49" t="str">
        <f t="shared" ref="BC632" si="4098">IF(BB632&lt;0,SUBSTITUTE(TEXT(BB632,"000000000000,00"),",",""),SUBSTITUTE(TEXT(BB632,"0000000000000,00"),",",""))</f>
        <v>000000000000000</v>
      </c>
      <c r="BD632" s="23">
        <f t="shared" si="3829"/>
        <v>0</v>
      </c>
      <c r="BE632" s="49" t="str">
        <f t="shared" ref="BE632" si="4099">IF(BD632&lt;0,SUBSTITUTE(TEXT(BD632,"000000000000,00"),",",""),SUBSTITUTE(TEXT(BD632,"0000000000000,00"),",",""))</f>
        <v>000000000000000</v>
      </c>
      <c r="BF632" s="23">
        <f t="shared" si="3831"/>
        <v>0</v>
      </c>
      <c r="BG632" s="49" t="str">
        <f t="shared" ref="BG632" si="4100">IF(BF632&lt;0,SUBSTITUTE(TEXT(BF632,"000000000000,00"),",",""),SUBSTITUTE(TEXT(BF632,"0000000000000,00"),",",""))</f>
        <v>000000000000000</v>
      </c>
      <c r="BH632" s="23">
        <f t="shared" si="3833"/>
        <v>0</v>
      </c>
      <c r="BI632" s="49" t="str">
        <f t="shared" ref="BI632" si="4101">IF(BH632&lt;0,SUBSTITUTE(TEXT(BH632,"000000000000,00"),",",""),SUBSTITUTE(TEXT(BH632,"0000000000000,00"),",",""))</f>
        <v>000000000000000</v>
      </c>
      <c r="BJ632" s="23">
        <f t="shared" si="3835"/>
        <v>0</v>
      </c>
      <c r="BK632" s="49" t="str">
        <f t="shared" ref="BK632" si="4102">IF(BJ632&lt;0,SUBSTITUTE(TEXT(BJ632,"000000000000,00"),",",""),SUBSTITUTE(TEXT(BJ632,"0000000000000,00"),",",""))</f>
        <v>000000000000000</v>
      </c>
      <c r="BL632" s="23">
        <f t="shared" si="3837"/>
        <v>0</v>
      </c>
      <c r="BM632" s="49" t="str">
        <f t="shared" ref="BM632" si="4103">IF(BL632&lt;0,SUBSTITUTE(TEXT(BL632,"000000000000,00"),",",""),SUBSTITUTE(TEXT(BL632,"0000000000000,00"),",",""))</f>
        <v>000000000000000</v>
      </c>
      <c r="BN632" t="str">
        <f t="shared" si="3839"/>
        <v>PES</v>
      </c>
      <c r="BO632" t="str">
        <f t="shared" si="3840"/>
        <v>0001000000</v>
      </c>
      <c r="BP632">
        <f t="shared" si="3841"/>
        <v>0</v>
      </c>
      <c r="BQ632">
        <f t="shared" si="3842"/>
        <v>0</v>
      </c>
      <c r="BR632" s="23">
        <f t="shared" si="3843"/>
        <v>0</v>
      </c>
      <c r="BS632" s="49" t="str">
        <f t="shared" si="3808"/>
        <v>000000000000000</v>
      </c>
      <c r="BT632" t="str">
        <f t="shared" si="3844"/>
        <v>00000000</v>
      </c>
      <c r="BU632" s="23">
        <f t="shared" si="3845"/>
        <v>0</v>
      </c>
      <c r="BV632" s="49" t="str">
        <f t="shared" si="3809"/>
        <v/>
      </c>
      <c r="BW632" s="52" t="str">
        <f t="shared" si="3846"/>
        <v/>
      </c>
      <c r="BX632" s="23">
        <f t="shared" si="3847"/>
        <v>0</v>
      </c>
      <c r="BY632" s="49" t="str">
        <f t="shared" si="3810"/>
        <v/>
      </c>
      <c r="BZ632" s="23">
        <f t="shared" si="3848"/>
        <v>0</v>
      </c>
      <c r="CA632" s="49" t="str">
        <f t="shared" si="3811"/>
        <v/>
      </c>
      <c r="CB632" s="52" t="str">
        <f t="shared" si="3849"/>
        <v/>
      </c>
      <c r="CC632" s="23">
        <f t="shared" si="3850"/>
        <v>0</v>
      </c>
      <c r="CD632" s="49" t="str">
        <f t="shared" si="3812"/>
        <v/>
      </c>
      <c r="CE632" s="56" t="str">
        <f>IF(CF632="","",MAX(CE$10:$CE631)+1)</f>
        <v/>
      </c>
      <c r="CF632" t="str">
        <f t="shared" si="3851"/>
        <v/>
      </c>
      <c r="CG632" s="22" t="str">
        <f>IF(CH632="","",MAX($CG$10:CG631)+1)</f>
        <v/>
      </c>
      <c r="CH632" s="22" t="str">
        <f t="shared" si="3796"/>
        <v/>
      </c>
      <c r="CI632" s="22" t="str">
        <f>IF(CJ632="","",MAX($CI$10:CI631)+1)</f>
        <v/>
      </c>
      <c r="CJ632" s="22" t="str">
        <f t="shared" si="3797"/>
        <v/>
      </c>
    </row>
    <row r="633" spans="2:88" x14ac:dyDescent="0.25">
      <c r="B633" s="37"/>
      <c r="C633" s="3"/>
      <c r="D633" s="77" t="str">
        <f t="shared" si="3783"/>
        <v/>
      </c>
      <c r="E633" s="38"/>
      <c r="F633" s="38"/>
      <c r="G633" s="78">
        <f t="shared" si="3798"/>
        <v>0</v>
      </c>
      <c r="H633" s="3">
        <v>80</v>
      </c>
      <c r="I633" s="77" t="str">
        <f t="shared" si="3784"/>
        <v/>
      </c>
      <c r="J633" s="32"/>
      <c r="K633" s="3"/>
      <c r="L633" s="39"/>
      <c r="M633" s="39"/>
      <c r="N633" s="39"/>
      <c r="O633" s="39"/>
      <c r="P633" s="39"/>
      <c r="Q633" s="39"/>
      <c r="R633" s="39"/>
      <c r="S633" s="39"/>
      <c r="T633" s="3" t="s">
        <v>645</v>
      </c>
      <c r="U633" s="77" t="str">
        <f t="shared" si="3785"/>
        <v/>
      </c>
      <c r="V633" s="39">
        <v>1</v>
      </c>
      <c r="W633" s="79">
        <f t="shared" si="3799"/>
        <v>0</v>
      </c>
      <c r="X633" s="3">
        <v>0</v>
      </c>
      <c r="Y633" s="77" t="str">
        <f t="shared" si="3786"/>
        <v/>
      </c>
      <c r="Z633" s="3"/>
      <c r="AA633" s="37" t="str">
        <f t="shared" si="3800"/>
        <v/>
      </c>
      <c r="AC633" s="40"/>
      <c r="AD633" s="7"/>
      <c r="AE633" s="77" t="str">
        <f t="shared" si="3787"/>
        <v/>
      </c>
      <c r="AF633" s="81">
        <f t="shared" si="3813"/>
        <v>0</v>
      </c>
      <c r="AG633" s="40"/>
      <c r="AH633" s="7"/>
      <c r="AI633" s="77" t="str">
        <f t="shared" si="3788"/>
        <v/>
      </c>
      <c r="AJ633" s="81">
        <f t="shared" si="3814"/>
        <v>0</v>
      </c>
      <c r="AK633" s="83">
        <f t="shared" si="3815"/>
        <v>0</v>
      </c>
      <c r="AL633" s="83">
        <f t="shared" si="3816"/>
        <v>0</v>
      </c>
      <c r="AN633" s="43">
        <f t="shared" si="3789"/>
        <v>0</v>
      </c>
      <c r="AP633" t="str">
        <f t="shared" si="3817"/>
        <v/>
      </c>
      <c r="AQ633" t="str">
        <f t="shared" si="3818"/>
        <v/>
      </c>
      <c r="AR633" t="str">
        <f t="shared" si="3819"/>
        <v/>
      </c>
      <c r="AS633" t="str">
        <f t="shared" si="3820"/>
        <v/>
      </c>
      <c r="AT633" t="str">
        <f t="shared" si="3821"/>
        <v/>
      </c>
      <c r="AU633" t="str">
        <f t="shared" si="3822"/>
        <v/>
      </c>
      <c r="AV633" t="str">
        <f t="shared" si="3823"/>
        <v/>
      </c>
      <c r="AW633" t="str">
        <f t="shared" si="3824"/>
        <v xml:space="preserve">                              </v>
      </c>
      <c r="AX633" s="23">
        <f t="shared" si="3825"/>
        <v>0</v>
      </c>
      <c r="AY633" s="49" t="str">
        <f t="shared" si="3801"/>
        <v>000000000000000</v>
      </c>
      <c r="AZ633" s="23">
        <f t="shared" si="3826"/>
        <v>0</v>
      </c>
      <c r="BA633" s="49" t="str">
        <f t="shared" si="3801"/>
        <v>000000000000000</v>
      </c>
      <c r="BB633" s="23">
        <f t="shared" si="3827"/>
        <v>0</v>
      </c>
      <c r="BC633" s="49" t="str">
        <f t="shared" ref="BC633" si="4104">IF(BB633&lt;0,SUBSTITUTE(TEXT(BB633,"000000000000,00"),",",""),SUBSTITUTE(TEXT(BB633,"0000000000000,00"),",",""))</f>
        <v>000000000000000</v>
      </c>
      <c r="BD633" s="23">
        <f t="shared" si="3829"/>
        <v>0</v>
      </c>
      <c r="BE633" s="49" t="str">
        <f t="shared" ref="BE633" si="4105">IF(BD633&lt;0,SUBSTITUTE(TEXT(BD633,"000000000000,00"),",",""),SUBSTITUTE(TEXT(BD633,"0000000000000,00"),",",""))</f>
        <v>000000000000000</v>
      </c>
      <c r="BF633" s="23">
        <f t="shared" si="3831"/>
        <v>0</v>
      </c>
      <c r="BG633" s="49" t="str">
        <f t="shared" ref="BG633" si="4106">IF(BF633&lt;0,SUBSTITUTE(TEXT(BF633,"000000000000,00"),",",""),SUBSTITUTE(TEXT(BF633,"0000000000000,00"),",",""))</f>
        <v>000000000000000</v>
      </c>
      <c r="BH633" s="23">
        <f t="shared" si="3833"/>
        <v>0</v>
      </c>
      <c r="BI633" s="49" t="str">
        <f t="shared" ref="BI633" si="4107">IF(BH633&lt;0,SUBSTITUTE(TEXT(BH633,"000000000000,00"),",",""),SUBSTITUTE(TEXT(BH633,"0000000000000,00"),",",""))</f>
        <v>000000000000000</v>
      </c>
      <c r="BJ633" s="23">
        <f t="shared" si="3835"/>
        <v>0</v>
      </c>
      <c r="BK633" s="49" t="str">
        <f t="shared" ref="BK633" si="4108">IF(BJ633&lt;0,SUBSTITUTE(TEXT(BJ633,"000000000000,00"),",",""),SUBSTITUTE(TEXT(BJ633,"0000000000000,00"),",",""))</f>
        <v>000000000000000</v>
      </c>
      <c r="BL633" s="23">
        <f t="shared" si="3837"/>
        <v>0</v>
      </c>
      <c r="BM633" s="49" t="str">
        <f t="shared" ref="BM633" si="4109">IF(BL633&lt;0,SUBSTITUTE(TEXT(BL633,"000000000000,00"),",",""),SUBSTITUTE(TEXT(BL633,"0000000000000,00"),",",""))</f>
        <v>000000000000000</v>
      </c>
      <c r="BN633" t="str">
        <f t="shared" si="3839"/>
        <v>PES</v>
      </c>
      <c r="BO633" t="str">
        <f t="shared" si="3840"/>
        <v>0001000000</v>
      </c>
      <c r="BP633">
        <f t="shared" si="3841"/>
        <v>0</v>
      </c>
      <c r="BQ633">
        <f t="shared" si="3842"/>
        <v>0</v>
      </c>
      <c r="BR633" s="23">
        <f t="shared" si="3843"/>
        <v>0</v>
      </c>
      <c r="BS633" s="49" t="str">
        <f t="shared" si="3808"/>
        <v>000000000000000</v>
      </c>
      <c r="BT633" t="str">
        <f t="shared" si="3844"/>
        <v>00000000</v>
      </c>
      <c r="BU633" s="23">
        <f t="shared" si="3845"/>
        <v>0</v>
      </c>
      <c r="BV633" s="49" t="str">
        <f t="shared" si="3809"/>
        <v/>
      </c>
      <c r="BW633" s="52" t="str">
        <f t="shared" si="3846"/>
        <v/>
      </c>
      <c r="BX633" s="23">
        <f t="shared" si="3847"/>
        <v>0</v>
      </c>
      <c r="BY633" s="49" t="str">
        <f t="shared" si="3810"/>
        <v/>
      </c>
      <c r="BZ633" s="23">
        <f t="shared" si="3848"/>
        <v>0</v>
      </c>
      <c r="CA633" s="49" t="str">
        <f t="shared" si="3811"/>
        <v/>
      </c>
      <c r="CB633" s="52" t="str">
        <f t="shared" si="3849"/>
        <v/>
      </c>
      <c r="CC633" s="23">
        <f t="shared" si="3850"/>
        <v>0</v>
      </c>
      <c r="CD633" s="49" t="str">
        <f t="shared" si="3812"/>
        <v/>
      </c>
      <c r="CE633" s="56" t="str">
        <f>IF(CF633="","",MAX(CE$10:$CE632)+1)</f>
        <v/>
      </c>
      <c r="CF633" t="str">
        <f t="shared" si="3851"/>
        <v/>
      </c>
      <c r="CG633" s="22" t="str">
        <f>IF(CH633="","",MAX($CG$10:CG632)+1)</f>
        <v/>
      </c>
      <c r="CH633" s="22" t="str">
        <f t="shared" si="3796"/>
        <v/>
      </c>
      <c r="CI633" s="22" t="str">
        <f>IF(CJ633="","",MAX($CI$10:CI632)+1)</f>
        <v/>
      </c>
      <c r="CJ633" s="22" t="str">
        <f t="shared" si="3797"/>
        <v/>
      </c>
    </row>
    <row r="634" spans="2:88" x14ac:dyDescent="0.25">
      <c r="B634" s="37"/>
      <c r="C634" s="3"/>
      <c r="D634" s="77" t="str">
        <f t="shared" si="3783"/>
        <v/>
      </c>
      <c r="E634" s="38"/>
      <c r="F634" s="38"/>
      <c r="G634" s="78">
        <f t="shared" si="3798"/>
        <v>0</v>
      </c>
      <c r="H634" s="3">
        <v>80</v>
      </c>
      <c r="I634" s="77" t="str">
        <f t="shared" si="3784"/>
        <v/>
      </c>
      <c r="J634" s="32"/>
      <c r="K634" s="3"/>
      <c r="L634" s="39"/>
      <c r="M634" s="39"/>
      <c r="N634" s="39"/>
      <c r="O634" s="39"/>
      <c r="P634" s="39"/>
      <c r="Q634" s="39"/>
      <c r="R634" s="39"/>
      <c r="S634" s="39"/>
      <c r="T634" s="3" t="s">
        <v>645</v>
      </c>
      <c r="U634" s="77" t="str">
        <f t="shared" si="3785"/>
        <v/>
      </c>
      <c r="V634" s="39">
        <v>1</v>
      </c>
      <c r="W634" s="79">
        <f t="shared" si="3799"/>
        <v>0</v>
      </c>
      <c r="X634" s="3">
        <v>0</v>
      </c>
      <c r="Y634" s="77" t="str">
        <f t="shared" si="3786"/>
        <v/>
      </c>
      <c r="Z634" s="3"/>
      <c r="AA634" s="37" t="str">
        <f t="shared" si="3800"/>
        <v/>
      </c>
      <c r="AC634" s="40"/>
      <c r="AD634" s="7"/>
      <c r="AE634" s="77" t="str">
        <f t="shared" si="3787"/>
        <v/>
      </c>
      <c r="AF634" s="81">
        <f t="shared" si="3813"/>
        <v>0</v>
      </c>
      <c r="AG634" s="40"/>
      <c r="AH634" s="7"/>
      <c r="AI634" s="77" t="str">
        <f t="shared" si="3788"/>
        <v/>
      </c>
      <c r="AJ634" s="81">
        <f t="shared" si="3814"/>
        <v>0</v>
      </c>
      <c r="AK634" s="83">
        <f t="shared" si="3815"/>
        <v>0</v>
      </c>
      <c r="AL634" s="83">
        <f t="shared" si="3816"/>
        <v>0</v>
      </c>
      <c r="AN634" s="43">
        <f t="shared" si="3789"/>
        <v>0</v>
      </c>
      <c r="AP634" t="str">
        <f t="shared" si="3817"/>
        <v/>
      </c>
      <c r="AQ634" t="str">
        <f t="shared" si="3818"/>
        <v/>
      </c>
      <c r="AR634" t="str">
        <f t="shared" si="3819"/>
        <v/>
      </c>
      <c r="AS634" t="str">
        <f t="shared" si="3820"/>
        <v/>
      </c>
      <c r="AT634" t="str">
        <f t="shared" si="3821"/>
        <v/>
      </c>
      <c r="AU634" t="str">
        <f t="shared" si="3822"/>
        <v/>
      </c>
      <c r="AV634" t="str">
        <f t="shared" si="3823"/>
        <v/>
      </c>
      <c r="AW634" t="str">
        <f t="shared" si="3824"/>
        <v xml:space="preserve">                              </v>
      </c>
      <c r="AX634" s="23">
        <f t="shared" si="3825"/>
        <v>0</v>
      </c>
      <c r="AY634" s="49" t="str">
        <f t="shared" si="3801"/>
        <v>000000000000000</v>
      </c>
      <c r="AZ634" s="23">
        <f t="shared" si="3826"/>
        <v>0</v>
      </c>
      <c r="BA634" s="49" t="str">
        <f t="shared" si="3801"/>
        <v>000000000000000</v>
      </c>
      <c r="BB634" s="23">
        <f t="shared" si="3827"/>
        <v>0</v>
      </c>
      <c r="BC634" s="49" t="str">
        <f t="shared" ref="BC634" si="4110">IF(BB634&lt;0,SUBSTITUTE(TEXT(BB634,"000000000000,00"),",",""),SUBSTITUTE(TEXT(BB634,"0000000000000,00"),",",""))</f>
        <v>000000000000000</v>
      </c>
      <c r="BD634" s="23">
        <f t="shared" si="3829"/>
        <v>0</v>
      </c>
      <c r="BE634" s="49" t="str">
        <f t="shared" ref="BE634" si="4111">IF(BD634&lt;0,SUBSTITUTE(TEXT(BD634,"000000000000,00"),",",""),SUBSTITUTE(TEXT(BD634,"0000000000000,00"),",",""))</f>
        <v>000000000000000</v>
      </c>
      <c r="BF634" s="23">
        <f t="shared" si="3831"/>
        <v>0</v>
      </c>
      <c r="BG634" s="49" t="str">
        <f t="shared" ref="BG634" si="4112">IF(BF634&lt;0,SUBSTITUTE(TEXT(BF634,"000000000000,00"),",",""),SUBSTITUTE(TEXT(BF634,"0000000000000,00"),",",""))</f>
        <v>000000000000000</v>
      </c>
      <c r="BH634" s="23">
        <f t="shared" si="3833"/>
        <v>0</v>
      </c>
      <c r="BI634" s="49" t="str">
        <f t="shared" ref="BI634" si="4113">IF(BH634&lt;0,SUBSTITUTE(TEXT(BH634,"000000000000,00"),",",""),SUBSTITUTE(TEXT(BH634,"0000000000000,00"),",",""))</f>
        <v>000000000000000</v>
      </c>
      <c r="BJ634" s="23">
        <f t="shared" si="3835"/>
        <v>0</v>
      </c>
      <c r="BK634" s="49" t="str">
        <f t="shared" ref="BK634" si="4114">IF(BJ634&lt;0,SUBSTITUTE(TEXT(BJ634,"000000000000,00"),",",""),SUBSTITUTE(TEXT(BJ634,"0000000000000,00"),",",""))</f>
        <v>000000000000000</v>
      </c>
      <c r="BL634" s="23">
        <f t="shared" si="3837"/>
        <v>0</v>
      </c>
      <c r="BM634" s="49" t="str">
        <f t="shared" ref="BM634" si="4115">IF(BL634&lt;0,SUBSTITUTE(TEXT(BL634,"000000000000,00"),",",""),SUBSTITUTE(TEXT(BL634,"0000000000000,00"),",",""))</f>
        <v>000000000000000</v>
      </c>
      <c r="BN634" t="str">
        <f t="shared" si="3839"/>
        <v>PES</v>
      </c>
      <c r="BO634" t="str">
        <f t="shared" si="3840"/>
        <v>0001000000</v>
      </c>
      <c r="BP634">
        <f t="shared" si="3841"/>
        <v>0</v>
      </c>
      <c r="BQ634">
        <f t="shared" si="3842"/>
        <v>0</v>
      </c>
      <c r="BR634" s="23">
        <f t="shared" si="3843"/>
        <v>0</v>
      </c>
      <c r="BS634" s="49" t="str">
        <f t="shared" si="3808"/>
        <v>000000000000000</v>
      </c>
      <c r="BT634" t="str">
        <f t="shared" si="3844"/>
        <v>00000000</v>
      </c>
      <c r="BU634" s="23">
        <f t="shared" si="3845"/>
        <v>0</v>
      </c>
      <c r="BV634" s="49" t="str">
        <f t="shared" si="3809"/>
        <v/>
      </c>
      <c r="BW634" s="52" t="str">
        <f t="shared" si="3846"/>
        <v/>
      </c>
      <c r="BX634" s="23">
        <f t="shared" si="3847"/>
        <v>0</v>
      </c>
      <c r="BY634" s="49" t="str">
        <f t="shared" si="3810"/>
        <v/>
      </c>
      <c r="BZ634" s="23">
        <f t="shared" si="3848"/>
        <v>0</v>
      </c>
      <c r="CA634" s="49" t="str">
        <f t="shared" si="3811"/>
        <v/>
      </c>
      <c r="CB634" s="52" t="str">
        <f t="shared" si="3849"/>
        <v/>
      </c>
      <c r="CC634" s="23">
        <f t="shared" si="3850"/>
        <v>0</v>
      </c>
      <c r="CD634" s="49" t="str">
        <f t="shared" si="3812"/>
        <v/>
      </c>
      <c r="CE634" s="56" t="str">
        <f>IF(CF634="","",MAX(CE$10:$CE633)+1)</f>
        <v/>
      </c>
      <c r="CF634" t="str">
        <f t="shared" si="3851"/>
        <v/>
      </c>
      <c r="CG634" s="22" t="str">
        <f>IF(CH634="","",MAX($CG$10:CG633)+1)</f>
        <v/>
      </c>
      <c r="CH634" s="22" t="str">
        <f t="shared" si="3796"/>
        <v/>
      </c>
      <c r="CI634" s="22" t="str">
        <f>IF(CJ634="","",MAX($CI$10:CI633)+1)</f>
        <v/>
      </c>
      <c r="CJ634" s="22" t="str">
        <f t="shared" si="3797"/>
        <v/>
      </c>
    </row>
    <row r="635" spans="2:88" x14ac:dyDescent="0.25">
      <c r="B635" s="37"/>
      <c r="C635" s="3"/>
      <c r="D635" s="77" t="str">
        <f t="shared" si="3783"/>
        <v/>
      </c>
      <c r="E635" s="38"/>
      <c r="F635" s="38"/>
      <c r="G635" s="78">
        <f t="shared" si="3798"/>
        <v>0</v>
      </c>
      <c r="H635" s="3">
        <v>80</v>
      </c>
      <c r="I635" s="77" t="str">
        <f t="shared" si="3784"/>
        <v/>
      </c>
      <c r="J635" s="32"/>
      <c r="K635" s="3"/>
      <c r="L635" s="39"/>
      <c r="M635" s="39"/>
      <c r="N635" s="39"/>
      <c r="O635" s="39"/>
      <c r="P635" s="39"/>
      <c r="Q635" s="39"/>
      <c r="R635" s="39"/>
      <c r="S635" s="39"/>
      <c r="T635" s="3" t="s">
        <v>645</v>
      </c>
      <c r="U635" s="77" t="str">
        <f t="shared" si="3785"/>
        <v/>
      </c>
      <c r="V635" s="39">
        <v>1</v>
      </c>
      <c r="W635" s="79">
        <f t="shared" si="3799"/>
        <v>0</v>
      </c>
      <c r="X635" s="3">
        <v>0</v>
      </c>
      <c r="Y635" s="77" t="str">
        <f t="shared" si="3786"/>
        <v/>
      </c>
      <c r="Z635" s="3"/>
      <c r="AA635" s="37" t="str">
        <f t="shared" si="3800"/>
        <v/>
      </c>
      <c r="AC635" s="40"/>
      <c r="AD635" s="7"/>
      <c r="AE635" s="77" t="str">
        <f t="shared" si="3787"/>
        <v/>
      </c>
      <c r="AF635" s="81">
        <f t="shared" si="3813"/>
        <v>0</v>
      </c>
      <c r="AG635" s="40"/>
      <c r="AH635" s="7"/>
      <c r="AI635" s="77" t="str">
        <f t="shared" si="3788"/>
        <v/>
      </c>
      <c r="AJ635" s="81">
        <f t="shared" si="3814"/>
        <v>0</v>
      </c>
      <c r="AK635" s="83">
        <f t="shared" si="3815"/>
        <v>0</v>
      </c>
      <c r="AL635" s="83">
        <f t="shared" si="3816"/>
        <v>0</v>
      </c>
      <c r="AN635" s="43">
        <f t="shared" si="3789"/>
        <v>0</v>
      </c>
      <c r="AP635" t="str">
        <f t="shared" si="3817"/>
        <v/>
      </c>
      <c r="AQ635" t="str">
        <f t="shared" si="3818"/>
        <v/>
      </c>
      <c r="AR635" t="str">
        <f t="shared" si="3819"/>
        <v/>
      </c>
      <c r="AS635" t="str">
        <f t="shared" si="3820"/>
        <v/>
      </c>
      <c r="AT635" t="str">
        <f t="shared" si="3821"/>
        <v/>
      </c>
      <c r="AU635" t="str">
        <f t="shared" si="3822"/>
        <v/>
      </c>
      <c r="AV635" t="str">
        <f t="shared" si="3823"/>
        <v/>
      </c>
      <c r="AW635" t="str">
        <f t="shared" si="3824"/>
        <v xml:space="preserve">                              </v>
      </c>
      <c r="AX635" s="23">
        <f t="shared" si="3825"/>
        <v>0</v>
      </c>
      <c r="AY635" s="49" t="str">
        <f t="shared" si="3801"/>
        <v>000000000000000</v>
      </c>
      <c r="AZ635" s="23">
        <f t="shared" si="3826"/>
        <v>0</v>
      </c>
      <c r="BA635" s="49" t="str">
        <f t="shared" si="3801"/>
        <v>000000000000000</v>
      </c>
      <c r="BB635" s="23">
        <f t="shared" si="3827"/>
        <v>0</v>
      </c>
      <c r="BC635" s="49" t="str">
        <f t="shared" ref="BC635" si="4116">IF(BB635&lt;0,SUBSTITUTE(TEXT(BB635,"000000000000,00"),",",""),SUBSTITUTE(TEXT(BB635,"0000000000000,00"),",",""))</f>
        <v>000000000000000</v>
      </c>
      <c r="BD635" s="23">
        <f t="shared" si="3829"/>
        <v>0</v>
      </c>
      <c r="BE635" s="49" t="str">
        <f t="shared" ref="BE635" si="4117">IF(BD635&lt;0,SUBSTITUTE(TEXT(BD635,"000000000000,00"),",",""),SUBSTITUTE(TEXT(BD635,"0000000000000,00"),",",""))</f>
        <v>000000000000000</v>
      </c>
      <c r="BF635" s="23">
        <f t="shared" si="3831"/>
        <v>0</v>
      </c>
      <c r="BG635" s="49" t="str">
        <f t="shared" ref="BG635" si="4118">IF(BF635&lt;0,SUBSTITUTE(TEXT(BF635,"000000000000,00"),",",""),SUBSTITUTE(TEXT(BF635,"0000000000000,00"),",",""))</f>
        <v>000000000000000</v>
      </c>
      <c r="BH635" s="23">
        <f t="shared" si="3833"/>
        <v>0</v>
      </c>
      <c r="BI635" s="49" t="str">
        <f t="shared" ref="BI635" si="4119">IF(BH635&lt;0,SUBSTITUTE(TEXT(BH635,"000000000000,00"),",",""),SUBSTITUTE(TEXT(BH635,"0000000000000,00"),",",""))</f>
        <v>000000000000000</v>
      </c>
      <c r="BJ635" s="23">
        <f t="shared" si="3835"/>
        <v>0</v>
      </c>
      <c r="BK635" s="49" t="str">
        <f t="shared" ref="BK635" si="4120">IF(BJ635&lt;0,SUBSTITUTE(TEXT(BJ635,"000000000000,00"),",",""),SUBSTITUTE(TEXT(BJ635,"0000000000000,00"),",",""))</f>
        <v>000000000000000</v>
      </c>
      <c r="BL635" s="23">
        <f t="shared" si="3837"/>
        <v>0</v>
      </c>
      <c r="BM635" s="49" t="str">
        <f t="shared" ref="BM635" si="4121">IF(BL635&lt;0,SUBSTITUTE(TEXT(BL635,"000000000000,00"),",",""),SUBSTITUTE(TEXT(BL635,"0000000000000,00"),",",""))</f>
        <v>000000000000000</v>
      </c>
      <c r="BN635" t="str">
        <f t="shared" si="3839"/>
        <v>PES</v>
      </c>
      <c r="BO635" t="str">
        <f t="shared" si="3840"/>
        <v>0001000000</v>
      </c>
      <c r="BP635">
        <f t="shared" si="3841"/>
        <v>0</v>
      </c>
      <c r="BQ635">
        <f t="shared" si="3842"/>
        <v>0</v>
      </c>
      <c r="BR635" s="23">
        <f t="shared" si="3843"/>
        <v>0</v>
      </c>
      <c r="BS635" s="49" t="str">
        <f t="shared" si="3808"/>
        <v>000000000000000</v>
      </c>
      <c r="BT635" t="str">
        <f t="shared" si="3844"/>
        <v>00000000</v>
      </c>
      <c r="BU635" s="23">
        <f t="shared" si="3845"/>
        <v>0</v>
      </c>
      <c r="BV635" s="49" t="str">
        <f t="shared" si="3809"/>
        <v/>
      </c>
      <c r="BW635" s="52" t="str">
        <f t="shared" si="3846"/>
        <v/>
      </c>
      <c r="BX635" s="23">
        <f t="shared" si="3847"/>
        <v>0</v>
      </c>
      <c r="BY635" s="49" t="str">
        <f t="shared" si="3810"/>
        <v/>
      </c>
      <c r="BZ635" s="23">
        <f t="shared" si="3848"/>
        <v>0</v>
      </c>
      <c r="CA635" s="49" t="str">
        <f t="shared" si="3811"/>
        <v/>
      </c>
      <c r="CB635" s="52" t="str">
        <f t="shared" si="3849"/>
        <v/>
      </c>
      <c r="CC635" s="23">
        <f t="shared" si="3850"/>
        <v>0</v>
      </c>
      <c r="CD635" s="49" t="str">
        <f t="shared" si="3812"/>
        <v/>
      </c>
      <c r="CE635" s="56" t="str">
        <f>IF(CF635="","",MAX(CE$10:$CE634)+1)</f>
        <v/>
      </c>
      <c r="CF635" t="str">
        <f t="shared" si="3851"/>
        <v/>
      </c>
      <c r="CG635" s="22" t="str">
        <f>IF(CH635="","",MAX($CG$10:CG634)+1)</f>
        <v/>
      </c>
      <c r="CH635" s="22" t="str">
        <f t="shared" si="3796"/>
        <v/>
      </c>
      <c r="CI635" s="22" t="str">
        <f>IF(CJ635="","",MAX($CI$10:CI634)+1)</f>
        <v/>
      </c>
      <c r="CJ635" s="22" t="str">
        <f t="shared" si="3797"/>
        <v/>
      </c>
    </row>
    <row r="636" spans="2:88" x14ac:dyDescent="0.25">
      <c r="B636" s="37"/>
      <c r="C636" s="3"/>
      <c r="D636" s="77" t="str">
        <f t="shared" si="3783"/>
        <v/>
      </c>
      <c r="E636" s="38"/>
      <c r="F636" s="38"/>
      <c r="G636" s="78">
        <f t="shared" si="3798"/>
        <v>0</v>
      </c>
      <c r="H636" s="3">
        <v>80</v>
      </c>
      <c r="I636" s="77" t="str">
        <f t="shared" si="3784"/>
        <v/>
      </c>
      <c r="J636" s="32"/>
      <c r="K636" s="3"/>
      <c r="L636" s="39"/>
      <c r="M636" s="39"/>
      <c r="N636" s="39"/>
      <c r="O636" s="39"/>
      <c r="P636" s="39"/>
      <c r="Q636" s="39"/>
      <c r="R636" s="39"/>
      <c r="S636" s="39"/>
      <c r="T636" s="3" t="s">
        <v>645</v>
      </c>
      <c r="U636" s="77" t="str">
        <f t="shared" si="3785"/>
        <v/>
      </c>
      <c r="V636" s="39">
        <v>1</v>
      </c>
      <c r="W636" s="79">
        <f t="shared" si="3799"/>
        <v>0</v>
      </c>
      <c r="X636" s="3">
        <v>0</v>
      </c>
      <c r="Y636" s="77" t="str">
        <f t="shared" si="3786"/>
        <v/>
      </c>
      <c r="Z636" s="3"/>
      <c r="AA636" s="37" t="str">
        <f t="shared" si="3800"/>
        <v/>
      </c>
      <c r="AC636" s="40"/>
      <c r="AD636" s="7"/>
      <c r="AE636" s="77" t="str">
        <f t="shared" si="3787"/>
        <v/>
      </c>
      <c r="AF636" s="81">
        <f t="shared" si="3813"/>
        <v>0</v>
      </c>
      <c r="AG636" s="40"/>
      <c r="AH636" s="7"/>
      <c r="AI636" s="77" t="str">
        <f t="shared" si="3788"/>
        <v/>
      </c>
      <c r="AJ636" s="81">
        <f t="shared" si="3814"/>
        <v>0</v>
      </c>
      <c r="AK636" s="83">
        <f t="shared" si="3815"/>
        <v>0</v>
      </c>
      <c r="AL636" s="83">
        <f t="shared" si="3816"/>
        <v>0</v>
      </c>
      <c r="AN636" s="43">
        <f t="shared" si="3789"/>
        <v>0</v>
      </c>
      <c r="AP636" t="str">
        <f t="shared" si="3817"/>
        <v/>
      </c>
      <c r="AQ636" t="str">
        <f t="shared" si="3818"/>
        <v/>
      </c>
      <c r="AR636" t="str">
        <f t="shared" si="3819"/>
        <v/>
      </c>
      <c r="AS636" t="str">
        <f t="shared" si="3820"/>
        <v/>
      </c>
      <c r="AT636" t="str">
        <f t="shared" si="3821"/>
        <v/>
      </c>
      <c r="AU636" t="str">
        <f t="shared" si="3822"/>
        <v/>
      </c>
      <c r="AV636" t="str">
        <f t="shared" si="3823"/>
        <v/>
      </c>
      <c r="AW636" t="str">
        <f t="shared" si="3824"/>
        <v xml:space="preserve">                              </v>
      </c>
      <c r="AX636" s="23">
        <f t="shared" si="3825"/>
        <v>0</v>
      </c>
      <c r="AY636" s="49" t="str">
        <f t="shared" si="3801"/>
        <v>000000000000000</v>
      </c>
      <c r="AZ636" s="23">
        <f t="shared" si="3826"/>
        <v>0</v>
      </c>
      <c r="BA636" s="49" t="str">
        <f t="shared" si="3801"/>
        <v>000000000000000</v>
      </c>
      <c r="BB636" s="23">
        <f t="shared" si="3827"/>
        <v>0</v>
      </c>
      <c r="BC636" s="49" t="str">
        <f t="shared" ref="BC636" si="4122">IF(BB636&lt;0,SUBSTITUTE(TEXT(BB636,"000000000000,00"),",",""),SUBSTITUTE(TEXT(BB636,"0000000000000,00"),",",""))</f>
        <v>000000000000000</v>
      </c>
      <c r="BD636" s="23">
        <f t="shared" si="3829"/>
        <v>0</v>
      </c>
      <c r="BE636" s="49" t="str">
        <f t="shared" ref="BE636" si="4123">IF(BD636&lt;0,SUBSTITUTE(TEXT(BD636,"000000000000,00"),",",""),SUBSTITUTE(TEXT(BD636,"0000000000000,00"),",",""))</f>
        <v>000000000000000</v>
      </c>
      <c r="BF636" s="23">
        <f t="shared" si="3831"/>
        <v>0</v>
      </c>
      <c r="BG636" s="49" t="str">
        <f t="shared" ref="BG636" si="4124">IF(BF636&lt;0,SUBSTITUTE(TEXT(BF636,"000000000000,00"),",",""),SUBSTITUTE(TEXT(BF636,"0000000000000,00"),",",""))</f>
        <v>000000000000000</v>
      </c>
      <c r="BH636" s="23">
        <f t="shared" si="3833"/>
        <v>0</v>
      </c>
      <c r="BI636" s="49" t="str">
        <f t="shared" ref="BI636" si="4125">IF(BH636&lt;0,SUBSTITUTE(TEXT(BH636,"000000000000,00"),",",""),SUBSTITUTE(TEXT(BH636,"0000000000000,00"),",",""))</f>
        <v>000000000000000</v>
      </c>
      <c r="BJ636" s="23">
        <f t="shared" si="3835"/>
        <v>0</v>
      </c>
      <c r="BK636" s="49" t="str">
        <f t="shared" ref="BK636" si="4126">IF(BJ636&lt;0,SUBSTITUTE(TEXT(BJ636,"000000000000,00"),",",""),SUBSTITUTE(TEXT(BJ636,"0000000000000,00"),",",""))</f>
        <v>000000000000000</v>
      </c>
      <c r="BL636" s="23">
        <f t="shared" si="3837"/>
        <v>0</v>
      </c>
      <c r="BM636" s="49" t="str">
        <f t="shared" ref="BM636" si="4127">IF(BL636&lt;0,SUBSTITUTE(TEXT(BL636,"000000000000,00"),",",""),SUBSTITUTE(TEXT(BL636,"0000000000000,00"),",",""))</f>
        <v>000000000000000</v>
      </c>
      <c r="BN636" t="str">
        <f t="shared" si="3839"/>
        <v>PES</v>
      </c>
      <c r="BO636" t="str">
        <f t="shared" si="3840"/>
        <v>0001000000</v>
      </c>
      <c r="BP636">
        <f t="shared" si="3841"/>
        <v>0</v>
      </c>
      <c r="BQ636">
        <f t="shared" si="3842"/>
        <v>0</v>
      </c>
      <c r="BR636" s="23">
        <f t="shared" si="3843"/>
        <v>0</v>
      </c>
      <c r="BS636" s="49" t="str">
        <f t="shared" si="3808"/>
        <v>000000000000000</v>
      </c>
      <c r="BT636" t="str">
        <f t="shared" si="3844"/>
        <v>00000000</v>
      </c>
      <c r="BU636" s="23">
        <f t="shared" si="3845"/>
        <v>0</v>
      </c>
      <c r="BV636" s="49" t="str">
        <f t="shared" si="3809"/>
        <v/>
      </c>
      <c r="BW636" s="52" t="str">
        <f t="shared" si="3846"/>
        <v/>
      </c>
      <c r="BX636" s="23">
        <f t="shared" si="3847"/>
        <v>0</v>
      </c>
      <c r="BY636" s="49" t="str">
        <f t="shared" si="3810"/>
        <v/>
      </c>
      <c r="BZ636" s="23">
        <f t="shared" si="3848"/>
        <v>0</v>
      </c>
      <c r="CA636" s="49" t="str">
        <f t="shared" si="3811"/>
        <v/>
      </c>
      <c r="CB636" s="52" t="str">
        <f t="shared" si="3849"/>
        <v/>
      </c>
      <c r="CC636" s="23">
        <f t="shared" si="3850"/>
        <v>0</v>
      </c>
      <c r="CD636" s="49" t="str">
        <f t="shared" si="3812"/>
        <v/>
      </c>
      <c r="CE636" s="56" t="str">
        <f>IF(CF636="","",MAX(CE$10:$CE635)+1)</f>
        <v/>
      </c>
      <c r="CF636" t="str">
        <f t="shared" si="3851"/>
        <v/>
      </c>
      <c r="CG636" s="22" t="str">
        <f>IF(CH636="","",MAX($CG$10:CG635)+1)</f>
        <v/>
      </c>
      <c r="CH636" s="22" t="str">
        <f t="shared" si="3796"/>
        <v/>
      </c>
      <c r="CI636" s="22" t="str">
        <f>IF(CJ636="","",MAX($CI$10:CI635)+1)</f>
        <v/>
      </c>
      <c r="CJ636" s="22" t="str">
        <f t="shared" si="3797"/>
        <v/>
      </c>
    </row>
    <row r="637" spans="2:88" x14ac:dyDescent="0.25">
      <c r="B637" s="37"/>
      <c r="C637" s="3"/>
      <c r="D637" s="77" t="str">
        <f t="shared" si="3783"/>
        <v/>
      </c>
      <c r="E637" s="38"/>
      <c r="F637" s="38"/>
      <c r="G637" s="78">
        <f t="shared" si="3798"/>
        <v>0</v>
      </c>
      <c r="H637" s="3">
        <v>80</v>
      </c>
      <c r="I637" s="77" t="str">
        <f t="shared" si="3784"/>
        <v/>
      </c>
      <c r="J637" s="32"/>
      <c r="K637" s="3"/>
      <c r="L637" s="39"/>
      <c r="M637" s="39"/>
      <c r="N637" s="39"/>
      <c r="O637" s="39"/>
      <c r="P637" s="39"/>
      <c r="Q637" s="39"/>
      <c r="R637" s="39"/>
      <c r="S637" s="39"/>
      <c r="T637" s="3" t="s">
        <v>645</v>
      </c>
      <c r="U637" s="77" t="str">
        <f t="shared" si="3785"/>
        <v/>
      </c>
      <c r="V637" s="39">
        <v>1</v>
      </c>
      <c r="W637" s="79">
        <f t="shared" si="3799"/>
        <v>0</v>
      </c>
      <c r="X637" s="3">
        <v>0</v>
      </c>
      <c r="Y637" s="77" t="str">
        <f t="shared" si="3786"/>
        <v/>
      </c>
      <c r="Z637" s="3"/>
      <c r="AA637" s="37" t="str">
        <f t="shared" si="3800"/>
        <v/>
      </c>
      <c r="AC637" s="40"/>
      <c r="AD637" s="7"/>
      <c r="AE637" s="77" t="str">
        <f t="shared" si="3787"/>
        <v/>
      </c>
      <c r="AF637" s="81">
        <f t="shared" si="3813"/>
        <v>0</v>
      </c>
      <c r="AG637" s="40"/>
      <c r="AH637" s="7"/>
      <c r="AI637" s="77" t="str">
        <f t="shared" si="3788"/>
        <v/>
      </c>
      <c r="AJ637" s="81">
        <f t="shared" si="3814"/>
        <v>0</v>
      </c>
      <c r="AK637" s="83">
        <f t="shared" si="3815"/>
        <v>0</v>
      </c>
      <c r="AL637" s="83">
        <f t="shared" si="3816"/>
        <v>0</v>
      </c>
      <c r="AN637" s="43">
        <f t="shared" si="3789"/>
        <v>0</v>
      </c>
      <c r="AP637" t="str">
        <f t="shared" si="3817"/>
        <v/>
      </c>
      <c r="AQ637" t="str">
        <f t="shared" si="3818"/>
        <v/>
      </c>
      <c r="AR637" t="str">
        <f t="shared" si="3819"/>
        <v/>
      </c>
      <c r="AS637" t="str">
        <f t="shared" si="3820"/>
        <v/>
      </c>
      <c r="AT637" t="str">
        <f t="shared" si="3821"/>
        <v/>
      </c>
      <c r="AU637" t="str">
        <f t="shared" si="3822"/>
        <v/>
      </c>
      <c r="AV637" t="str">
        <f t="shared" si="3823"/>
        <v/>
      </c>
      <c r="AW637" t="str">
        <f t="shared" si="3824"/>
        <v xml:space="preserve">                              </v>
      </c>
      <c r="AX637" s="23">
        <f t="shared" si="3825"/>
        <v>0</v>
      </c>
      <c r="AY637" s="49" t="str">
        <f t="shared" si="3801"/>
        <v>000000000000000</v>
      </c>
      <c r="AZ637" s="23">
        <f t="shared" si="3826"/>
        <v>0</v>
      </c>
      <c r="BA637" s="49" t="str">
        <f t="shared" si="3801"/>
        <v>000000000000000</v>
      </c>
      <c r="BB637" s="23">
        <f t="shared" si="3827"/>
        <v>0</v>
      </c>
      <c r="BC637" s="49" t="str">
        <f t="shared" ref="BC637" si="4128">IF(BB637&lt;0,SUBSTITUTE(TEXT(BB637,"000000000000,00"),",",""),SUBSTITUTE(TEXT(BB637,"0000000000000,00"),",",""))</f>
        <v>000000000000000</v>
      </c>
      <c r="BD637" s="23">
        <f t="shared" si="3829"/>
        <v>0</v>
      </c>
      <c r="BE637" s="49" t="str">
        <f t="shared" ref="BE637" si="4129">IF(BD637&lt;0,SUBSTITUTE(TEXT(BD637,"000000000000,00"),",",""),SUBSTITUTE(TEXT(BD637,"0000000000000,00"),",",""))</f>
        <v>000000000000000</v>
      </c>
      <c r="BF637" s="23">
        <f t="shared" si="3831"/>
        <v>0</v>
      </c>
      <c r="BG637" s="49" t="str">
        <f t="shared" ref="BG637" si="4130">IF(BF637&lt;0,SUBSTITUTE(TEXT(BF637,"000000000000,00"),",",""),SUBSTITUTE(TEXT(BF637,"0000000000000,00"),",",""))</f>
        <v>000000000000000</v>
      </c>
      <c r="BH637" s="23">
        <f t="shared" si="3833"/>
        <v>0</v>
      </c>
      <c r="BI637" s="49" t="str">
        <f t="shared" ref="BI637" si="4131">IF(BH637&lt;0,SUBSTITUTE(TEXT(BH637,"000000000000,00"),",",""),SUBSTITUTE(TEXT(BH637,"0000000000000,00"),",",""))</f>
        <v>000000000000000</v>
      </c>
      <c r="BJ637" s="23">
        <f t="shared" si="3835"/>
        <v>0</v>
      </c>
      <c r="BK637" s="49" t="str">
        <f t="shared" ref="BK637" si="4132">IF(BJ637&lt;0,SUBSTITUTE(TEXT(BJ637,"000000000000,00"),",",""),SUBSTITUTE(TEXT(BJ637,"0000000000000,00"),",",""))</f>
        <v>000000000000000</v>
      </c>
      <c r="BL637" s="23">
        <f t="shared" si="3837"/>
        <v>0</v>
      </c>
      <c r="BM637" s="49" t="str">
        <f t="shared" ref="BM637" si="4133">IF(BL637&lt;0,SUBSTITUTE(TEXT(BL637,"000000000000,00"),",",""),SUBSTITUTE(TEXT(BL637,"0000000000000,00"),",",""))</f>
        <v>000000000000000</v>
      </c>
      <c r="BN637" t="str">
        <f t="shared" si="3839"/>
        <v>PES</v>
      </c>
      <c r="BO637" t="str">
        <f t="shared" si="3840"/>
        <v>0001000000</v>
      </c>
      <c r="BP637">
        <f t="shared" si="3841"/>
        <v>0</v>
      </c>
      <c r="BQ637">
        <f t="shared" si="3842"/>
        <v>0</v>
      </c>
      <c r="BR637" s="23">
        <f t="shared" si="3843"/>
        <v>0</v>
      </c>
      <c r="BS637" s="49" t="str">
        <f t="shared" si="3808"/>
        <v>000000000000000</v>
      </c>
      <c r="BT637" t="str">
        <f t="shared" si="3844"/>
        <v>00000000</v>
      </c>
      <c r="BU637" s="23">
        <f t="shared" si="3845"/>
        <v>0</v>
      </c>
      <c r="BV637" s="49" t="str">
        <f t="shared" si="3809"/>
        <v/>
      </c>
      <c r="BW637" s="52" t="str">
        <f t="shared" si="3846"/>
        <v/>
      </c>
      <c r="BX637" s="23">
        <f t="shared" si="3847"/>
        <v>0</v>
      </c>
      <c r="BY637" s="49" t="str">
        <f t="shared" si="3810"/>
        <v/>
      </c>
      <c r="BZ637" s="23">
        <f t="shared" si="3848"/>
        <v>0</v>
      </c>
      <c r="CA637" s="49" t="str">
        <f t="shared" si="3811"/>
        <v/>
      </c>
      <c r="CB637" s="52" t="str">
        <f t="shared" si="3849"/>
        <v/>
      </c>
      <c r="CC637" s="23">
        <f t="shared" si="3850"/>
        <v>0</v>
      </c>
      <c r="CD637" s="49" t="str">
        <f t="shared" si="3812"/>
        <v/>
      </c>
      <c r="CE637" s="56" t="str">
        <f>IF(CF637="","",MAX(CE$10:$CE636)+1)</f>
        <v/>
      </c>
      <c r="CF637" t="str">
        <f t="shared" si="3851"/>
        <v/>
      </c>
      <c r="CG637" s="22" t="str">
        <f>IF(CH637="","",MAX($CG$10:CG636)+1)</f>
        <v/>
      </c>
      <c r="CH637" s="22" t="str">
        <f t="shared" si="3796"/>
        <v/>
      </c>
      <c r="CI637" s="22" t="str">
        <f>IF(CJ637="","",MAX($CI$10:CI636)+1)</f>
        <v/>
      </c>
      <c r="CJ637" s="22" t="str">
        <f t="shared" si="3797"/>
        <v/>
      </c>
    </row>
    <row r="638" spans="2:88" x14ac:dyDescent="0.25">
      <c r="B638" s="37"/>
      <c r="C638" s="3"/>
      <c r="D638" s="77" t="str">
        <f t="shared" si="3783"/>
        <v/>
      </c>
      <c r="E638" s="38"/>
      <c r="F638" s="38"/>
      <c r="G638" s="78">
        <f t="shared" si="3798"/>
        <v>0</v>
      </c>
      <c r="H638" s="3">
        <v>80</v>
      </c>
      <c r="I638" s="77" t="str">
        <f t="shared" si="3784"/>
        <v/>
      </c>
      <c r="J638" s="32"/>
      <c r="K638" s="3"/>
      <c r="L638" s="39"/>
      <c r="M638" s="39"/>
      <c r="N638" s="39"/>
      <c r="O638" s="39"/>
      <c r="P638" s="39"/>
      <c r="Q638" s="39"/>
      <c r="R638" s="39"/>
      <c r="S638" s="39"/>
      <c r="T638" s="3" t="s">
        <v>645</v>
      </c>
      <c r="U638" s="77" t="str">
        <f t="shared" si="3785"/>
        <v/>
      </c>
      <c r="V638" s="39">
        <v>1</v>
      </c>
      <c r="W638" s="79">
        <f t="shared" si="3799"/>
        <v>0</v>
      </c>
      <c r="X638" s="3">
        <v>0</v>
      </c>
      <c r="Y638" s="77" t="str">
        <f t="shared" si="3786"/>
        <v/>
      </c>
      <c r="Z638" s="3"/>
      <c r="AA638" s="37" t="str">
        <f t="shared" si="3800"/>
        <v/>
      </c>
      <c r="AC638" s="40"/>
      <c r="AD638" s="7"/>
      <c r="AE638" s="77" t="str">
        <f t="shared" si="3787"/>
        <v/>
      </c>
      <c r="AF638" s="81">
        <f t="shared" si="3813"/>
        <v>0</v>
      </c>
      <c r="AG638" s="40"/>
      <c r="AH638" s="7"/>
      <c r="AI638" s="77" t="str">
        <f t="shared" si="3788"/>
        <v/>
      </c>
      <c r="AJ638" s="81">
        <f t="shared" si="3814"/>
        <v>0</v>
      </c>
      <c r="AK638" s="83">
        <f t="shared" si="3815"/>
        <v>0</v>
      </c>
      <c r="AL638" s="83">
        <f t="shared" si="3816"/>
        <v>0</v>
      </c>
      <c r="AN638" s="43">
        <f t="shared" si="3789"/>
        <v>0</v>
      </c>
      <c r="AP638" t="str">
        <f t="shared" si="3817"/>
        <v/>
      </c>
      <c r="AQ638" t="str">
        <f t="shared" si="3818"/>
        <v/>
      </c>
      <c r="AR638" t="str">
        <f t="shared" si="3819"/>
        <v/>
      </c>
      <c r="AS638" t="str">
        <f t="shared" si="3820"/>
        <v/>
      </c>
      <c r="AT638" t="str">
        <f t="shared" si="3821"/>
        <v/>
      </c>
      <c r="AU638" t="str">
        <f t="shared" si="3822"/>
        <v/>
      </c>
      <c r="AV638" t="str">
        <f t="shared" si="3823"/>
        <v/>
      </c>
      <c r="AW638" t="str">
        <f t="shared" si="3824"/>
        <v xml:space="preserve">                              </v>
      </c>
      <c r="AX638" s="23">
        <f t="shared" si="3825"/>
        <v>0</v>
      </c>
      <c r="AY638" s="49" t="str">
        <f t="shared" si="3801"/>
        <v>000000000000000</v>
      </c>
      <c r="AZ638" s="23">
        <f t="shared" si="3826"/>
        <v>0</v>
      </c>
      <c r="BA638" s="49" t="str">
        <f t="shared" si="3801"/>
        <v>000000000000000</v>
      </c>
      <c r="BB638" s="23">
        <f t="shared" si="3827"/>
        <v>0</v>
      </c>
      <c r="BC638" s="49" t="str">
        <f t="shared" ref="BC638" si="4134">IF(BB638&lt;0,SUBSTITUTE(TEXT(BB638,"000000000000,00"),",",""),SUBSTITUTE(TEXT(BB638,"0000000000000,00"),",",""))</f>
        <v>000000000000000</v>
      </c>
      <c r="BD638" s="23">
        <f t="shared" si="3829"/>
        <v>0</v>
      </c>
      <c r="BE638" s="49" t="str">
        <f t="shared" ref="BE638" si="4135">IF(BD638&lt;0,SUBSTITUTE(TEXT(BD638,"000000000000,00"),",",""),SUBSTITUTE(TEXT(BD638,"0000000000000,00"),",",""))</f>
        <v>000000000000000</v>
      </c>
      <c r="BF638" s="23">
        <f t="shared" si="3831"/>
        <v>0</v>
      </c>
      <c r="BG638" s="49" t="str">
        <f t="shared" ref="BG638" si="4136">IF(BF638&lt;0,SUBSTITUTE(TEXT(BF638,"000000000000,00"),",",""),SUBSTITUTE(TEXT(BF638,"0000000000000,00"),",",""))</f>
        <v>000000000000000</v>
      </c>
      <c r="BH638" s="23">
        <f t="shared" si="3833"/>
        <v>0</v>
      </c>
      <c r="BI638" s="49" t="str">
        <f t="shared" ref="BI638" si="4137">IF(BH638&lt;0,SUBSTITUTE(TEXT(BH638,"000000000000,00"),",",""),SUBSTITUTE(TEXT(BH638,"0000000000000,00"),",",""))</f>
        <v>000000000000000</v>
      </c>
      <c r="BJ638" s="23">
        <f t="shared" si="3835"/>
        <v>0</v>
      </c>
      <c r="BK638" s="49" t="str">
        <f t="shared" ref="BK638" si="4138">IF(BJ638&lt;0,SUBSTITUTE(TEXT(BJ638,"000000000000,00"),",",""),SUBSTITUTE(TEXT(BJ638,"0000000000000,00"),",",""))</f>
        <v>000000000000000</v>
      </c>
      <c r="BL638" s="23">
        <f t="shared" si="3837"/>
        <v>0</v>
      </c>
      <c r="BM638" s="49" t="str">
        <f t="shared" ref="BM638" si="4139">IF(BL638&lt;0,SUBSTITUTE(TEXT(BL638,"000000000000,00"),",",""),SUBSTITUTE(TEXT(BL638,"0000000000000,00"),",",""))</f>
        <v>000000000000000</v>
      </c>
      <c r="BN638" t="str">
        <f t="shared" si="3839"/>
        <v>PES</v>
      </c>
      <c r="BO638" t="str">
        <f t="shared" si="3840"/>
        <v>0001000000</v>
      </c>
      <c r="BP638">
        <f t="shared" si="3841"/>
        <v>0</v>
      </c>
      <c r="BQ638">
        <f t="shared" si="3842"/>
        <v>0</v>
      </c>
      <c r="BR638" s="23">
        <f t="shared" si="3843"/>
        <v>0</v>
      </c>
      <c r="BS638" s="49" t="str">
        <f t="shared" si="3808"/>
        <v>000000000000000</v>
      </c>
      <c r="BT638" t="str">
        <f t="shared" si="3844"/>
        <v>00000000</v>
      </c>
      <c r="BU638" s="23">
        <f t="shared" si="3845"/>
        <v>0</v>
      </c>
      <c r="BV638" s="49" t="str">
        <f t="shared" si="3809"/>
        <v/>
      </c>
      <c r="BW638" s="52" t="str">
        <f t="shared" si="3846"/>
        <v/>
      </c>
      <c r="BX638" s="23">
        <f t="shared" si="3847"/>
        <v>0</v>
      </c>
      <c r="BY638" s="49" t="str">
        <f t="shared" si="3810"/>
        <v/>
      </c>
      <c r="BZ638" s="23">
        <f t="shared" si="3848"/>
        <v>0</v>
      </c>
      <c r="CA638" s="49" t="str">
        <f t="shared" si="3811"/>
        <v/>
      </c>
      <c r="CB638" s="52" t="str">
        <f t="shared" si="3849"/>
        <v/>
      </c>
      <c r="CC638" s="23">
        <f t="shared" si="3850"/>
        <v>0</v>
      </c>
      <c r="CD638" s="49" t="str">
        <f t="shared" si="3812"/>
        <v/>
      </c>
      <c r="CE638" s="56" t="str">
        <f>IF(CF638="","",MAX(CE$10:$CE637)+1)</f>
        <v/>
      </c>
      <c r="CF638" t="str">
        <f t="shared" si="3851"/>
        <v/>
      </c>
      <c r="CG638" s="22" t="str">
        <f>IF(CH638="","",MAX($CG$10:CG637)+1)</f>
        <v/>
      </c>
      <c r="CH638" s="22" t="str">
        <f t="shared" si="3796"/>
        <v/>
      </c>
      <c r="CI638" s="22" t="str">
        <f>IF(CJ638="","",MAX($CI$10:CI637)+1)</f>
        <v/>
      </c>
      <c r="CJ638" s="22" t="str">
        <f t="shared" si="3797"/>
        <v/>
      </c>
    </row>
    <row r="639" spans="2:88" x14ac:dyDescent="0.25">
      <c r="B639" s="37"/>
      <c r="C639" s="3"/>
      <c r="D639" s="77" t="str">
        <f t="shared" si="3783"/>
        <v/>
      </c>
      <c r="E639" s="38"/>
      <c r="F639" s="38"/>
      <c r="G639" s="78">
        <f t="shared" si="3798"/>
        <v>0</v>
      </c>
      <c r="H639" s="3">
        <v>80</v>
      </c>
      <c r="I639" s="77" t="str">
        <f t="shared" si="3784"/>
        <v/>
      </c>
      <c r="J639" s="32"/>
      <c r="K639" s="3"/>
      <c r="L639" s="39"/>
      <c r="M639" s="39"/>
      <c r="N639" s="39"/>
      <c r="O639" s="39"/>
      <c r="P639" s="39"/>
      <c r="Q639" s="39"/>
      <c r="R639" s="39"/>
      <c r="S639" s="39"/>
      <c r="T639" s="3" t="s">
        <v>645</v>
      </c>
      <c r="U639" s="77" t="str">
        <f t="shared" si="3785"/>
        <v/>
      </c>
      <c r="V639" s="39">
        <v>1</v>
      </c>
      <c r="W639" s="79">
        <f t="shared" si="3799"/>
        <v>0</v>
      </c>
      <c r="X639" s="3">
        <v>0</v>
      </c>
      <c r="Y639" s="77" t="str">
        <f t="shared" si="3786"/>
        <v/>
      </c>
      <c r="Z639" s="3"/>
      <c r="AA639" s="37" t="str">
        <f t="shared" si="3800"/>
        <v/>
      </c>
      <c r="AC639" s="40"/>
      <c r="AD639" s="7"/>
      <c r="AE639" s="77" t="str">
        <f t="shared" si="3787"/>
        <v/>
      </c>
      <c r="AF639" s="81">
        <f t="shared" si="3813"/>
        <v>0</v>
      </c>
      <c r="AG639" s="40"/>
      <c r="AH639" s="7"/>
      <c r="AI639" s="77" t="str">
        <f t="shared" si="3788"/>
        <v/>
      </c>
      <c r="AJ639" s="81">
        <f t="shared" si="3814"/>
        <v>0</v>
      </c>
      <c r="AK639" s="83">
        <f t="shared" si="3815"/>
        <v>0</v>
      </c>
      <c r="AL639" s="83">
        <f t="shared" si="3816"/>
        <v>0</v>
      </c>
      <c r="AN639" s="43">
        <f t="shared" si="3789"/>
        <v>0</v>
      </c>
      <c r="AP639" t="str">
        <f t="shared" si="3817"/>
        <v/>
      </c>
      <c r="AQ639" t="str">
        <f t="shared" si="3818"/>
        <v/>
      </c>
      <c r="AR639" t="str">
        <f t="shared" si="3819"/>
        <v/>
      </c>
      <c r="AS639" t="str">
        <f t="shared" si="3820"/>
        <v/>
      </c>
      <c r="AT639" t="str">
        <f t="shared" si="3821"/>
        <v/>
      </c>
      <c r="AU639" t="str">
        <f t="shared" si="3822"/>
        <v/>
      </c>
      <c r="AV639" t="str">
        <f t="shared" si="3823"/>
        <v/>
      </c>
      <c r="AW639" t="str">
        <f t="shared" si="3824"/>
        <v xml:space="preserve">                              </v>
      </c>
      <c r="AX639" s="23">
        <f t="shared" si="3825"/>
        <v>0</v>
      </c>
      <c r="AY639" s="49" t="str">
        <f t="shared" si="3801"/>
        <v>000000000000000</v>
      </c>
      <c r="AZ639" s="23">
        <f t="shared" si="3826"/>
        <v>0</v>
      </c>
      <c r="BA639" s="49" t="str">
        <f t="shared" si="3801"/>
        <v>000000000000000</v>
      </c>
      <c r="BB639" s="23">
        <f t="shared" si="3827"/>
        <v>0</v>
      </c>
      <c r="BC639" s="49" t="str">
        <f t="shared" ref="BC639" si="4140">IF(BB639&lt;0,SUBSTITUTE(TEXT(BB639,"000000000000,00"),",",""),SUBSTITUTE(TEXT(BB639,"0000000000000,00"),",",""))</f>
        <v>000000000000000</v>
      </c>
      <c r="BD639" s="23">
        <f t="shared" si="3829"/>
        <v>0</v>
      </c>
      <c r="BE639" s="49" t="str">
        <f t="shared" ref="BE639" si="4141">IF(BD639&lt;0,SUBSTITUTE(TEXT(BD639,"000000000000,00"),",",""),SUBSTITUTE(TEXT(BD639,"0000000000000,00"),",",""))</f>
        <v>000000000000000</v>
      </c>
      <c r="BF639" s="23">
        <f t="shared" si="3831"/>
        <v>0</v>
      </c>
      <c r="BG639" s="49" t="str">
        <f t="shared" ref="BG639" si="4142">IF(BF639&lt;0,SUBSTITUTE(TEXT(BF639,"000000000000,00"),",",""),SUBSTITUTE(TEXT(BF639,"0000000000000,00"),",",""))</f>
        <v>000000000000000</v>
      </c>
      <c r="BH639" s="23">
        <f t="shared" si="3833"/>
        <v>0</v>
      </c>
      <c r="BI639" s="49" t="str">
        <f t="shared" ref="BI639" si="4143">IF(BH639&lt;0,SUBSTITUTE(TEXT(BH639,"000000000000,00"),",",""),SUBSTITUTE(TEXT(BH639,"0000000000000,00"),",",""))</f>
        <v>000000000000000</v>
      </c>
      <c r="BJ639" s="23">
        <f t="shared" si="3835"/>
        <v>0</v>
      </c>
      <c r="BK639" s="49" t="str">
        <f t="shared" ref="BK639" si="4144">IF(BJ639&lt;0,SUBSTITUTE(TEXT(BJ639,"000000000000,00"),",",""),SUBSTITUTE(TEXT(BJ639,"0000000000000,00"),",",""))</f>
        <v>000000000000000</v>
      </c>
      <c r="BL639" s="23">
        <f t="shared" si="3837"/>
        <v>0</v>
      </c>
      <c r="BM639" s="49" t="str">
        <f t="shared" ref="BM639" si="4145">IF(BL639&lt;0,SUBSTITUTE(TEXT(BL639,"000000000000,00"),",",""),SUBSTITUTE(TEXT(BL639,"0000000000000,00"),",",""))</f>
        <v>000000000000000</v>
      </c>
      <c r="BN639" t="str">
        <f t="shared" si="3839"/>
        <v>PES</v>
      </c>
      <c r="BO639" t="str">
        <f t="shared" si="3840"/>
        <v>0001000000</v>
      </c>
      <c r="BP639">
        <f t="shared" si="3841"/>
        <v>0</v>
      </c>
      <c r="BQ639">
        <f t="shared" si="3842"/>
        <v>0</v>
      </c>
      <c r="BR639" s="23">
        <f t="shared" si="3843"/>
        <v>0</v>
      </c>
      <c r="BS639" s="49" t="str">
        <f t="shared" si="3808"/>
        <v>000000000000000</v>
      </c>
      <c r="BT639" t="str">
        <f t="shared" si="3844"/>
        <v>00000000</v>
      </c>
      <c r="BU639" s="23">
        <f t="shared" si="3845"/>
        <v>0</v>
      </c>
      <c r="BV639" s="49" t="str">
        <f t="shared" si="3809"/>
        <v/>
      </c>
      <c r="BW639" s="52" t="str">
        <f t="shared" si="3846"/>
        <v/>
      </c>
      <c r="BX639" s="23">
        <f t="shared" si="3847"/>
        <v>0</v>
      </c>
      <c r="BY639" s="49" t="str">
        <f t="shared" si="3810"/>
        <v/>
      </c>
      <c r="BZ639" s="23">
        <f t="shared" si="3848"/>
        <v>0</v>
      </c>
      <c r="CA639" s="49" t="str">
        <f t="shared" si="3811"/>
        <v/>
      </c>
      <c r="CB639" s="52" t="str">
        <f t="shared" si="3849"/>
        <v/>
      </c>
      <c r="CC639" s="23">
        <f t="shared" si="3850"/>
        <v>0</v>
      </c>
      <c r="CD639" s="49" t="str">
        <f t="shared" si="3812"/>
        <v/>
      </c>
      <c r="CE639" s="56" t="str">
        <f>IF(CF639="","",MAX(CE$10:$CE638)+1)</f>
        <v/>
      </c>
      <c r="CF639" t="str">
        <f t="shared" si="3851"/>
        <v/>
      </c>
      <c r="CG639" s="22" t="str">
        <f>IF(CH639="","",MAX($CG$10:CG638)+1)</f>
        <v/>
      </c>
      <c r="CH639" s="22" t="str">
        <f t="shared" si="3796"/>
        <v/>
      </c>
      <c r="CI639" s="22" t="str">
        <f>IF(CJ639="","",MAX($CI$10:CI638)+1)</f>
        <v/>
      </c>
      <c r="CJ639" s="22" t="str">
        <f t="shared" si="3797"/>
        <v/>
      </c>
    </row>
    <row r="640" spans="2:88" x14ac:dyDescent="0.25">
      <c r="B640" s="37"/>
      <c r="C640" s="3"/>
      <c r="D640" s="77" t="str">
        <f t="shared" si="3783"/>
        <v/>
      </c>
      <c r="E640" s="38"/>
      <c r="F640" s="38"/>
      <c r="G640" s="78">
        <f t="shared" si="3798"/>
        <v>0</v>
      </c>
      <c r="H640" s="3">
        <v>80</v>
      </c>
      <c r="I640" s="77" t="str">
        <f t="shared" si="3784"/>
        <v/>
      </c>
      <c r="J640" s="32"/>
      <c r="K640" s="3"/>
      <c r="L640" s="39"/>
      <c r="M640" s="39"/>
      <c r="N640" s="39"/>
      <c r="O640" s="39"/>
      <c r="P640" s="39"/>
      <c r="Q640" s="39"/>
      <c r="R640" s="39"/>
      <c r="S640" s="39"/>
      <c r="T640" s="3" t="s">
        <v>645</v>
      </c>
      <c r="U640" s="77" t="str">
        <f t="shared" si="3785"/>
        <v/>
      </c>
      <c r="V640" s="39">
        <v>1</v>
      </c>
      <c r="W640" s="79">
        <f t="shared" si="3799"/>
        <v>0</v>
      </c>
      <c r="X640" s="3">
        <v>0</v>
      </c>
      <c r="Y640" s="77" t="str">
        <f t="shared" si="3786"/>
        <v/>
      </c>
      <c r="Z640" s="3"/>
      <c r="AA640" s="37" t="str">
        <f t="shared" si="3800"/>
        <v/>
      </c>
      <c r="AC640" s="40"/>
      <c r="AD640" s="7"/>
      <c r="AE640" s="77" t="str">
        <f t="shared" si="3787"/>
        <v/>
      </c>
      <c r="AF640" s="81">
        <f t="shared" si="3813"/>
        <v>0</v>
      </c>
      <c r="AG640" s="40"/>
      <c r="AH640" s="7"/>
      <c r="AI640" s="77" t="str">
        <f t="shared" si="3788"/>
        <v/>
      </c>
      <c r="AJ640" s="81">
        <f t="shared" si="3814"/>
        <v>0</v>
      </c>
      <c r="AK640" s="83">
        <f t="shared" si="3815"/>
        <v>0</v>
      </c>
      <c r="AL640" s="83">
        <f t="shared" si="3816"/>
        <v>0</v>
      </c>
      <c r="AN640" s="43">
        <f t="shared" si="3789"/>
        <v>0</v>
      </c>
      <c r="AP640" t="str">
        <f t="shared" si="3817"/>
        <v/>
      </c>
      <c r="AQ640" t="str">
        <f t="shared" si="3818"/>
        <v/>
      </c>
      <c r="AR640" t="str">
        <f t="shared" si="3819"/>
        <v/>
      </c>
      <c r="AS640" t="str">
        <f t="shared" si="3820"/>
        <v/>
      </c>
      <c r="AT640" t="str">
        <f t="shared" si="3821"/>
        <v/>
      </c>
      <c r="AU640" t="str">
        <f t="shared" si="3822"/>
        <v/>
      </c>
      <c r="AV640" t="str">
        <f t="shared" si="3823"/>
        <v/>
      </c>
      <c r="AW640" t="str">
        <f t="shared" si="3824"/>
        <v xml:space="preserve">                              </v>
      </c>
      <c r="AX640" s="23">
        <f t="shared" si="3825"/>
        <v>0</v>
      </c>
      <c r="AY640" s="49" t="str">
        <f t="shared" si="3801"/>
        <v>000000000000000</v>
      </c>
      <c r="AZ640" s="23">
        <f t="shared" si="3826"/>
        <v>0</v>
      </c>
      <c r="BA640" s="49" t="str">
        <f t="shared" si="3801"/>
        <v>000000000000000</v>
      </c>
      <c r="BB640" s="23">
        <f t="shared" si="3827"/>
        <v>0</v>
      </c>
      <c r="BC640" s="49" t="str">
        <f t="shared" ref="BC640" si="4146">IF(BB640&lt;0,SUBSTITUTE(TEXT(BB640,"000000000000,00"),",",""),SUBSTITUTE(TEXT(BB640,"0000000000000,00"),",",""))</f>
        <v>000000000000000</v>
      </c>
      <c r="BD640" s="23">
        <f t="shared" si="3829"/>
        <v>0</v>
      </c>
      <c r="BE640" s="49" t="str">
        <f t="shared" ref="BE640" si="4147">IF(BD640&lt;0,SUBSTITUTE(TEXT(BD640,"000000000000,00"),",",""),SUBSTITUTE(TEXT(BD640,"0000000000000,00"),",",""))</f>
        <v>000000000000000</v>
      </c>
      <c r="BF640" s="23">
        <f t="shared" si="3831"/>
        <v>0</v>
      </c>
      <c r="BG640" s="49" t="str">
        <f t="shared" ref="BG640" si="4148">IF(BF640&lt;0,SUBSTITUTE(TEXT(BF640,"000000000000,00"),",",""),SUBSTITUTE(TEXT(BF640,"0000000000000,00"),",",""))</f>
        <v>000000000000000</v>
      </c>
      <c r="BH640" s="23">
        <f t="shared" si="3833"/>
        <v>0</v>
      </c>
      <c r="BI640" s="49" t="str">
        <f t="shared" ref="BI640" si="4149">IF(BH640&lt;0,SUBSTITUTE(TEXT(BH640,"000000000000,00"),",",""),SUBSTITUTE(TEXT(BH640,"0000000000000,00"),",",""))</f>
        <v>000000000000000</v>
      </c>
      <c r="BJ640" s="23">
        <f t="shared" si="3835"/>
        <v>0</v>
      </c>
      <c r="BK640" s="49" t="str">
        <f t="shared" ref="BK640" si="4150">IF(BJ640&lt;0,SUBSTITUTE(TEXT(BJ640,"000000000000,00"),",",""),SUBSTITUTE(TEXT(BJ640,"0000000000000,00"),",",""))</f>
        <v>000000000000000</v>
      </c>
      <c r="BL640" s="23">
        <f t="shared" si="3837"/>
        <v>0</v>
      </c>
      <c r="BM640" s="49" t="str">
        <f t="shared" ref="BM640" si="4151">IF(BL640&lt;0,SUBSTITUTE(TEXT(BL640,"000000000000,00"),",",""),SUBSTITUTE(TEXT(BL640,"0000000000000,00"),",",""))</f>
        <v>000000000000000</v>
      </c>
      <c r="BN640" t="str">
        <f t="shared" si="3839"/>
        <v>PES</v>
      </c>
      <c r="BO640" t="str">
        <f t="shared" si="3840"/>
        <v>0001000000</v>
      </c>
      <c r="BP640">
        <f t="shared" si="3841"/>
        <v>0</v>
      </c>
      <c r="BQ640">
        <f t="shared" si="3842"/>
        <v>0</v>
      </c>
      <c r="BR640" s="23">
        <f t="shared" si="3843"/>
        <v>0</v>
      </c>
      <c r="BS640" s="49" t="str">
        <f t="shared" si="3808"/>
        <v>000000000000000</v>
      </c>
      <c r="BT640" t="str">
        <f t="shared" si="3844"/>
        <v>00000000</v>
      </c>
      <c r="BU640" s="23">
        <f t="shared" si="3845"/>
        <v>0</v>
      </c>
      <c r="BV640" s="49" t="str">
        <f t="shared" si="3809"/>
        <v/>
      </c>
      <c r="BW640" s="52" t="str">
        <f t="shared" si="3846"/>
        <v/>
      </c>
      <c r="BX640" s="23">
        <f t="shared" si="3847"/>
        <v>0</v>
      </c>
      <c r="BY640" s="49" t="str">
        <f t="shared" si="3810"/>
        <v/>
      </c>
      <c r="BZ640" s="23">
        <f t="shared" si="3848"/>
        <v>0</v>
      </c>
      <c r="CA640" s="49" t="str">
        <f t="shared" si="3811"/>
        <v/>
      </c>
      <c r="CB640" s="52" t="str">
        <f t="shared" si="3849"/>
        <v/>
      </c>
      <c r="CC640" s="23">
        <f t="shared" si="3850"/>
        <v>0</v>
      </c>
      <c r="CD640" s="49" t="str">
        <f t="shared" si="3812"/>
        <v/>
      </c>
      <c r="CE640" s="56" t="str">
        <f>IF(CF640="","",MAX(CE$10:$CE639)+1)</f>
        <v/>
      </c>
      <c r="CF640" t="str">
        <f t="shared" si="3851"/>
        <v/>
      </c>
      <c r="CG640" s="22" t="str">
        <f>IF(CH640="","",MAX($CG$10:CG639)+1)</f>
        <v/>
      </c>
      <c r="CH640" s="22" t="str">
        <f t="shared" si="3796"/>
        <v/>
      </c>
      <c r="CI640" s="22" t="str">
        <f>IF(CJ640="","",MAX($CI$10:CI639)+1)</f>
        <v/>
      </c>
      <c r="CJ640" s="22" t="str">
        <f t="shared" si="3797"/>
        <v/>
      </c>
    </row>
    <row r="641" spans="2:88" x14ac:dyDescent="0.25">
      <c r="B641" s="37"/>
      <c r="C641" s="3"/>
      <c r="D641" s="77" t="str">
        <f t="shared" si="3783"/>
        <v/>
      </c>
      <c r="E641" s="38"/>
      <c r="F641" s="38"/>
      <c r="G641" s="78">
        <f t="shared" si="3798"/>
        <v>0</v>
      </c>
      <c r="H641" s="3">
        <v>80</v>
      </c>
      <c r="I641" s="77" t="str">
        <f t="shared" si="3784"/>
        <v/>
      </c>
      <c r="J641" s="32"/>
      <c r="K641" s="3"/>
      <c r="L641" s="39"/>
      <c r="M641" s="39"/>
      <c r="N641" s="39"/>
      <c r="O641" s="39"/>
      <c r="P641" s="39"/>
      <c r="Q641" s="39"/>
      <c r="R641" s="39"/>
      <c r="S641" s="39"/>
      <c r="T641" s="3" t="s">
        <v>645</v>
      </c>
      <c r="U641" s="77" t="str">
        <f t="shared" si="3785"/>
        <v/>
      </c>
      <c r="V641" s="39">
        <v>1</v>
      </c>
      <c r="W641" s="79">
        <f t="shared" si="3799"/>
        <v>0</v>
      </c>
      <c r="X641" s="3">
        <v>0</v>
      </c>
      <c r="Y641" s="77" t="str">
        <f t="shared" si="3786"/>
        <v/>
      </c>
      <c r="Z641" s="3"/>
      <c r="AA641" s="37" t="str">
        <f t="shared" si="3800"/>
        <v/>
      </c>
      <c r="AC641" s="40"/>
      <c r="AD641" s="7"/>
      <c r="AE641" s="77" t="str">
        <f t="shared" si="3787"/>
        <v/>
      </c>
      <c r="AF641" s="81">
        <f t="shared" si="3813"/>
        <v>0</v>
      </c>
      <c r="AG641" s="40"/>
      <c r="AH641" s="7"/>
      <c r="AI641" s="77" t="str">
        <f t="shared" si="3788"/>
        <v/>
      </c>
      <c r="AJ641" s="81">
        <f t="shared" si="3814"/>
        <v>0</v>
      </c>
      <c r="AK641" s="83">
        <f t="shared" si="3815"/>
        <v>0</v>
      </c>
      <c r="AL641" s="83">
        <f t="shared" si="3816"/>
        <v>0</v>
      </c>
      <c r="AN641" s="43">
        <f t="shared" si="3789"/>
        <v>0</v>
      </c>
      <c r="AP641" t="str">
        <f t="shared" si="3817"/>
        <v/>
      </c>
      <c r="AQ641" t="str">
        <f t="shared" si="3818"/>
        <v/>
      </c>
      <c r="AR641" t="str">
        <f t="shared" si="3819"/>
        <v/>
      </c>
      <c r="AS641" t="str">
        <f t="shared" si="3820"/>
        <v/>
      </c>
      <c r="AT641" t="str">
        <f t="shared" si="3821"/>
        <v/>
      </c>
      <c r="AU641" t="str">
        <f t="shared" si="3822"/>
        <v/>
      </c>
      <c r="AV641" t="str">
        <f t="shared" si="3823"/>
        <v/>
      </c>
      <c r="AW641" t="str">
        <f t="shared" si="3824"/>
        <v xml:space="preserve">                              </v>
      </c>
      <c r="AX641" s="23">
        <f t="shared" si="3825"/>
        <v>0</v>
      </c>
      <c r="AY641" s="49" t="str">
        <f t="shared" si="3801"/>
        <v>000000000000000</v>
      </c>
      <c r="AZ641" s="23">
        <f t="shared" si="3826"/>
        <v>0</v>
      </c>
      <c r="BA641" s="49" t="str">
        <f t="shared" si="3801"/>
        <v>000000000000000</v>
      </c>
      <c r="BB641" s="23">
        <f t="shared" si="3827"/>
        <v>0</v>
      </c>
      <c r="BC641" s="49" t="str">
        <f t="shared" ref="BC641" si="4152">IF(BB641&lt;0,SUBSTITUTE(TEXT(BB641,"000000000000,00"),",",""),SUBSTITUTE(TEXT(BB641,"0000000000000,00"),",",""))</f>
        <v>000000000000000</v>
      </c>
      <c r="BD641" s="23">
        <f t="shared" si="3829"/>
        <v>0</v>
      </c>
      <c r="BE641" s="49" t="str">
        <f t="shared" ref="BE641" si="4153">IF(BD641&lt;0,SUBSTITUTE(TEXT(BD641,"000000000000,00"),",",""),SUBSTITUTE(TEXT(BD641,"0000000000000,00"),",",""))</f>
        <v>000000000000000</v>
      </c>
      <c r="BF641" s="23">
        <f t="shared" si="3831"/>
        <v>0</v>
      </c>
      <c r="BG641" s="49" t="str">
        <f t="shared" ref="BG641" si="4154">IF(BF641&lt;0,SUBSTITUTE(TEXT(BF641,"000000000000,00"),",",""),SUBSTITUTE(TEXT(BF641,"0000000000000,00"),",",""))</f>
        <v>000000000000000</v>
      </c>
      <c r="BH641" s="23">
        <f t="shared" si="3833"/>
        <v>0</v>
      </c>
      <c r="BI641" s="49" t="str">
        <f t="shared" ref="BI641" si="4155">IF(BH641&lt;0,SUBSTITUTE(TEXT(BH641,"000000000000,00"),",",""),SUBSTITUTE(TEXT(BH641,"0000000000000,00"),",",""))</f>
        <v>000000000000000</v>
      </c>
      <c r="BJ641" s="23">
        <f t="shared" si="3835"/>
        <v>0</v>
      </c>
      <c r="BK641" s="49" t="str">
        <f t="shared" ref="BK641" si="4156">IF(BJ641&lt;0,SUBSTITUTE(TEXT(BJ641,"000000000000,00"),",",""),SUBSTITUTE(TEXT(BJ641,"0000000000000,00"),",",""))</f>
        <v>000000000000000</v>
      </c>
      <c r="BL641" s="23">
        <f t="shared" si="3837"/>
        <v>0</v>
      </c>
      <c r="BM641" s="49" t="str">
        <f t="shared" ref="BM641" si="4157">IF(BL641&lt;0,SUBSTITUTE(TEXT(BL641,"000000000000,00"),",",""),SUBSTITUTE(TEXT(BL641,"0000000000000,00"),",",""))</f>
        <v>000000000000000</v>
      </c>
      <c r="BN641" t="str">
        <f t="shared" si="3839"/>
        <v>PES</v>
      </c>
      <c r="BO641" t="str">
        <f t="shared" si="3840"/>
        <v>0001000000</v>
      </c>
      <c r="BP641">
        <f t="shared" si="3841"/>
        <v>0</v>
      </c>
      <c r="BQ641">
        <f t="shared" si="3842"/>
        <v>0</v>
      </c>
      <c r="BR641" s="23">
        <f t="shared" si="3843"/>
        <v>0</v>
      </c>
      <c r="BS641" s="49" t="str">
        <f t="shared" si="3808"/>
        <v>000000000000000</v>
      </c>
      <c r="BT641" t="str">
        <f t="shared" si="3844"/>
        <v>00000000</v>
      </c>
      <c r="BU641" s="23">
        <f t="shared" si="3845"/>
        <v>0</v>
      </c>
      <c r="BV641" s="49" t="str">
        <f t="shared" si="3809"/>
        <v/>
      </c>
      <c r="BW641" s="52" t="str">
        <f t="shared" si="3846"/>
        <v/>
      </c>
      <c r="BX641" s="23">
        <f t="shared" si="3847"/>
        <v>0</v>
      </c>
      <c r="BY641" s="49" t="str">
        <f t="shared" si="3810"/>
        <v/>
      </c>
      <c r="BZ641" s="23">
        <f t="shared" si="3848"/>
        <v>0</v>
      </c>
      <c r="CA641" s="49" t="str">
        <f t="shared" si="3811"/>
        <v/>
      </c>
      <c r="CB641" s="52" t="str">
        <f t="shared" si="3849"/>
        <v/>
      </c>
      <c r="CC641" s="23">
        <f t="shared" si="3850"/>
        <v>0</v>
      </c>
      <c r="CD641" s="49" t="str">
        <f t="shared" si="3812"/>
        <v/>
      </c>
      <c r="CE641" s="56" t="str">
        <f>IF(CF641="","",MAX(CE$10:$CE640)+1)</f>
        <v/>
      </c>
      <c r="CF641" t="str">
        <f t="shared" si="3851"/>
        <v/>
      </c>
      <c r="CG641" s="22" t="str">
        <f>IF(CH641="","",MAX($CG$10:CG640)+1)</f>
        <v/>
      </c>
      <c r="CH641" s="22" t="str">
        <f t="shared" si="3796"/>
        <v/>
      </c>
      <c r="CI641" s="22" t="str">
        <f>IF(CJ641="","",MAX($CI$10:CI640)+1)</f>
        <v/>
      </c>
      <c r="CJ641" s="22" t="str">
        <f t="shared" si="3797"/>
        <v/>
      </c>
    </row>
    <row r="642" spans="2:88" x14ac:dyDescent="0.25">
      <c r="B642" s="37"/>
      <c r="C642" s="3"/>
      <c r="D642" s="77" t="str">
        <f t="shared" si="3783"/>
        <v/>
      </c>
      <c r="E642" s="38"/>
      <c r="F642" s="38"/>
      <c r="G642" s="78">
        <f t="shared" si="3798"/>
        <v>0</v>
      </c>
      <c r="H642" s="3">
        <v>80</v>
      </c>
      <c r="I642" s="77" t="str">
        <f t="shared" si="3784"/>
        <v/>
      </c>
      <c r="J642" s="32"/>
      <c r="K642" s="3"/>
      <c r="L642" s="39"/>
      <c r="M642" s="39"/>
      <c r="N642" s="39"/>
      <c r="O642" s="39"/>
      <c r="P642" s="39"/>
      <c r="Q642" s="39"/>
      <c r="R642" s="39"/>
      <c r="S642" s="39"/>
      <c r="T642" s="3" t="s">
        <v>645</v>
      </c>
      <c r="U642" s="77" t="str">
        <f t="shared" si="3785"/>
        <v/>
      </c>
      <c r="V642" s="39">
        <v>1</v>
      </c>
      <c r="W642" s="79">
        <f t="shared" si="3799"/>
        <v>0</v>
      </c>
      <c r="X642" s="3">
        <v>0</v>
      </c>
      <c r="Y642" s="77" t="str">
        <f t="shared" si="3786"/>
        <v/>
      </c>
      <c r="Z642" s="3"/>
      <c r="AA642" s="37" t="str">
        <f t="shared" si="3800"/>
        <v/>
      </c>
      <c r="AC642" s="40"/>
      <c r="AD642" s="7"/>
      <c r="AE642" s="77" t="str">
        <f t="shared" si="3787"/>
        <v/>
      </c>
      <c r="AF642" s="81">
        <f t="shared" si="3813"/>
        <v>0</v>
      </c>
      <c r="AG642" s="40"/>
      <c r="AH642" s="7"/>
      <c r="AI642" s="77" t="str">
        <f t="shared" si="3788"/>
        <v/>
      </c>
      <c r="AJ642" s="81">
        <f t="shared" si="3814"/>
        <v>0</v>
      </c>
      <c r="AK642" s="83">
        <f t="shared" si="3815"/>
        <v>0</v>
      </c>
      <c r="AL642" s="83">
        <f t="shared" si="3816"/>
        <v>0</v>
      </c>
      <c r="AN642" s="43">
        <f t="shared" si="3789"/>
        <v>0</v>
      </c>
      <c r="AP642" t="str">
        <f t="shared" si="3817"/>
        <v/>
      </c>
      <c r="AQ642" t="str">
        <f t="shared" si="3818"/>
        <v/>
      </c>
      <c r="AR642" t="str">
        <f t="shared" si="3819"/>
        <v/>
      </c>
      <c r="AS642" t="str">
        <f t="shared" si="3820"/>
        <v/>
      </c>
      <c r="AT642" t="str">
        <f t="shared" si="3821"/>
        <v/>
      </c>
      <c r="AU642" t="str">
        <f t="shared" si="3822"/>
        <v/>
      </c>
      <c r="AV642" t="str">
        <f t="shared" si="3823"/>
        <v/>
      </c>
      <c r="AW642" t="str">
        <f t="shared" si="3824"/>
        <v xml:space="preserve">                              </v>
      </c>
      <c r="AX642" s="23">
        <f t="shared" si="3825"/>
        <v>0</v>
      </c>
      <c r="AY642" s="49" t="str">
        <f t="shared" si="3801"/>
        <v>000000000000000</v>
      </c>
      <c r="AZ642" s="23">
        <f t="shared" si="3826"/>
        <v>0</v>
      </c>
      <c r="BA642" s="49" t="str">
        <f t="shared" si="3801"/>
        <v>000000000000000</v>
      </c>
      <c r="BB642" s="23">
        <f t="shared" si="3827"/>
        <v>0</v>
      </c>
      <c r="BC642" s="49" t="str">
        <f t="shared" ref="BC642" si="4158">IF(BB642&lt;0,SUBSTITUTE(TEXT(BB642,"000000000000,00"),",",""),SUBSTITUTE(TEXT(BB642,"0000000000000,00"),",",""))</f>
        <v>000000000000000</v>
      </c>
      <c r="BD642" s="23">
        <f t="shared" si="3829"/>
        <v>0</v>
      </c>
      <c r="BE642" s="49" t="str">
        <f t="shared" ref="BE642" si="4159">IF(BD642&lt;0,SUBSTITUTE(TEXT(BD642,"000000000000,00"),",",""),SUBSTITUTE(TEXT(BD642,"0000000000000,00"),",",""))</f>
        <v>000000000000000</v>
      </c>
      <c r="BF642" s="23">
        <f t="shared" si="3831"/>
        <v>0</v>
      </c>
      <c r="BG642" s="49" t="str">
        <f t="shared" ref="BG642" si="4160">IF(BF642&lt;0,SUBSTITUTE(TEXT(BF642,"000000000000,00"),",",""),SUBSTITUTE(TEXT(BF642,"0000000000000,00"),",",""))</f>
        <v>000000000000000</v>
      </c>
      <c r="BH642" s="23">
        <f t="shared" si="3833"/>
        <v>0</v>
      </c>
      <c r="BI642" s="49" t="str">
        <f t="shared" ref="BI642" si="4161">IF(BH642&lt;0,SUBSTITUTE(TEXT(BH642,"000000000000,00"),",",""),SUBSTITUTE(TEXT(BH642,"0000000000000,00"),",",""))</f>
        <v>000000000000000</v>
      </c>
      <c r="BJ642" s="23">
        <f t="shared" si="3835"/>
        <v>0</v>
      </c>
      <c r="BK642" s="49" t="str">
        <f t="shared" ref="BK642" si="4162">IF(BJ642&lt;0,SUBSTITUTE(TEXT(BJ642,"000000000000,00"),",",""),SUBSTITUTE(TEXT(BJ642,"0000000000000,00"),",",""))</f>
        <v>000000000000000</v>
      </c>
      <c r="BL642" s="23">
        <f t="shared" si="3837"/>
        <v>0</v>
      </c>
      <c r="BM642" s="49" t="str">
        <f t="shared" ref="BM642" si="4163">IF(BL642&lt;0,SUBSTITUTE(TEXT(BL642,"000000000000,00"),",",""),SUBSTITUTE(TEXT(BL642,"0000000000000,00"),",",""))</f>
        <v>000000000000000</v>
      </c>
      <c r="BN642" t="str">
        <f t="shared" si="3839"/>
        <v>PES</v>
      </c>
      <c r="BO642" t="str">
        <f t="shared" si="3840"/>
        <v>0001000000</v>
      </c>
      <c r="BP642">
        <f t="shared" si="3841"/>
        <v>0</v>
      </c>
      <c r="BQ642">
        <f t="shared" si="3842"/>
        <v>0</v>
      </c>
      <c r="BR642" s="23">
        <f t="shared" si="3843"/>
        <v>0</v>
      </c>
      <c r="BS642" s="49" t="str">
        <f t="shared" si="3808"/>
        <v>000000000000000</v>
      </c>
      <c r="BT642" t="str">
        <f t="shared" si="3844"/>
        <v>00000000</v>
      </c>
      <c r="BU642" s="23">
        <f t="shared" si="3845"/>
        <v>0</v>
      </c>
      <c r="BV642" s="49" t="str">
        <f t="shared" si="3809"/>
        <v/>
      </c>
      <c r="BW642" s="52" t="str">
        <f t="shared" si="3846"/>
        <v/>
      </c>
      <c r="BX642" s="23">
        <f t="shared" si="3847"/>
        <v>0</v>
      </c>
      <c r="BY642" s="49" t="str">
        <f t="shared" si="3810"/>
        <v/>
      </c>
      <c r="BZ642" s="23">
        <f t="shared" si="3848"/>
        <v>0</v>
      </c>
      <c r="CA642" s="49" t="str">
        <f t="shared" si="3811"/>
        <v/>
      </c>
      <c r="CB642" s="52" t="str">
        <f t="shared" si="3849"/>
        <v/>
      </c>
      <c r="CC642" s="23">
        <f t="shared" si="3850"/>
        <v>0</v>
      </c>
      <c r="CD642" s="49" t="str">
        <f t="shared" si="3812"/>
        <v/>
      </c>
      <c r="CE642" s="56" t="str">
        <f>IF(CF642="","",MAX(CE$10:$CE641)+1)</f>
        <v/>
      </c>
      <c r="CF642" t="str">
        <f t="shared" si="3851"/>
        <v/>
      </c>
      <c r="CG642" s="22" t="str">
        <f>IF(CH642="","",MAX($CG$10:CG641)+1)</f>
        <v/>
      </c>
      <c r="CH642" s="22" t="str">
        <f t="shared" si="3796"/>
        <v/>
      </c>
      <c r="CI642" s="22" t="str">
        <f>IF(CJ642="","",MAX($CI$10:CI641)+1)</f>
        <v/>
      </c>
      <c r="CJ642" s="22" t="str">
        <f t="shared" si="3797"/>
        <v/>
      </c>
    </row>
    <row r="643" spans="2:88" x14ac:dyDescent="0.25">
      <c r="B643" s="37"/>
      <c r="C643" s="3"/>
      <c r="D643" s="77" t="str">
        <f t="shared" si="3783"/>
        <v/>
      </c>
      <c r="E643" s="38"/>
      <c r="F643" s="38"/>
      <c r="G643" s="78">
        <f t="shared" si="3798"/>
        <v>0</v>
      </c>
      <c r="H643" s="3">
        <v>80</v>
      </c>
      <c r="I643" s="77" t="str">
        <f t="shared" si="3784"/>
        <v/>
      </c>
      <c r="J643" s="32"/>
      <c r="K643" s="3"/>
      <c r="L643" s="39"/>
      <c r="M643" s="39"/>
      <c r="N643" s="39"/>
      <c r="O643" s="39"/>
      <c r="P643" s="39"/>
      <c r="Q643" s="39"/>
      <c r="R643" s="39"/>
      <c r="S643" s="39"/>
      <c r="T643" s="3" t="s">
        <v>645</v>
      </c>
      <c r="U643" s="77" t="str">
        <f t="shared" si="3785"/>
        <v/>
      </c>
      <c r="V643" s="39">
        <v>1</v>
      </c>
      <c r="W643" s="79">
        <f t="shared" si="3799"/>
        <v>0</v>
      </c>
      <c r="X643" s="3">
        <v>0</v>
      </c>
      <c r="Y643" s="77" t="str">
        <f t="shared" si="3786"/>
        <v/>
      </c>
      <c r="Z643" s="3"/>
      <c r="AA643" s="37" t="str">
        <f t="shared" si="3800"/>
        <v/>
      </c>
      <c r="AC643" s="40"/>
      <c r="AD643" s="7"/>
      <c r="AE643" s="77" t="str">
        <f t="shared" si="3787"/>
        <v/>
      </c>
      <c r="AF643" s="81">
        <f t="shared" si="3813"/>
        <v>0</v>
      </c>
      <c r="AG643" s="40"/>
      <c r="AH643" s="7"/>
      <c r="AI643" s="77" t="str">
        <f t="shared" si="3788"/>
        <v/>
      </c>
      <c r="AJ643" s="81">
        <f t="shared" si="3814"/>
        <v>0</v>
      </c>
      <c r="AK643" s="83">
        <f t="shared" si="3815"/>
        <v>0</v>
      </c>
      <c r="AL643" s="83">
        <f t="shared" si="3816"/>
        <v>0</v>
      </c>
      <c r="AN643" s="43">
        <f t="shared" si="3789"/>
        <v>0</v>
      </c>
      <c r="AP643" t="str">
        <f t="shared" si="3817"/>
        <v/>
      </c>
      <c r="AQ643" t="str">
        <f t="shared" si="3818"/>
        <v/>
      </c>
      <c r="AR643" t="str">
        <f t="shared" si="3819"/>
        <v/>
      </c>
      <c r="AS643" t="str">
        <f t="shared" si="3820"/>
        <v/>
      </c>
      <c r="AT643" t="str">
        <f t="shared" si="3821"/>
        <v/>
      </c>
      <c r="AU643" t="str">
        <f t="shared" si="3822"/>
        <v/>
      </c>
      <c r="AV643" t="str">
        <f t="shared" si="3823"/>
        <v/>
      </c>
      <c r="AW643" t="str">
        <f t="shared" si="3824"/>
        <v xml:space="preserve">                              </v>
      </c>
      <c r="AX643" s="23">
        <f t="shared" si="3825"/>
        <v>0</v>
      </c>
      <c r="AY643" s="49" t="str">
        <f t="shared" si="3801"/>
        <v>000000000000000</v>
      </c>
      <c r="AZ643" s="23">
        <f t="shared" si="3826"/>
        <v>0</v>
      </c>
      <c r="BA643" s="49" t="str">
        <f t="shared" si="3801"/>
        <v>000000000000000</v>
      </c>
      <c r="BB643" s="23">
        <f t="shared" si="3827"/>
        <v>0</v>
      </c>
      <c r="BC643" s="49" t="str">
        <f t="shared" ref="BC643" si="4164">IF(BB643&lt;0,SUBSTITUTE(TEXT(BB643,"000000000000,00"),",",""),SUBSTITUTE(TEXT(BB643,"0000000000000,00"),",",""))</f>
        <v>000000000000000</v>
      </c>
      <c r="BD643" s="23">
        <f t="shared" si="3829"/>
        <v>0</v>
      </c>
      <c r="BE643" s="49" t="str">
        <f t="shared" ref="BE643" si="4165">IF(BD643&lt;0,SUBSTITUTE(TEXT(BD643,"000000000000,00"),",",""),SUBSTITUTE(TEXT(BD643,"0000000000000,00"),",",""))</f>
        <v>000000000000000</v>
      </c>
      <c r="BF643" s="23">
        <f t="shared" si="3831"/>
        <v>0</v>
      </c>
      <c r="BG643" s="49" t="str">
        <f t="shared" ref="BG643" si="4166">IF(BF643&lt;0,SUBSTITUTE(TEXT(BF643,"000000000000,00"),",",""),SUBSTITUTE(TEXT(BF643,"0000000000000,00"),",",""))</f>
        <v>000000000000000</v>
      </c>
      <c r="BH643" s="23">
        <f t="shared" si="3833"/>
        <v>0</v>
      </c>
      <c r="BI643" s="49" t="str">
        <f t="shared" ref="BI643" si="4167">IF(BH643&lt;0,SUBSTITUTE(TEXT(BH643,"000000000000,00"),",",""),SUBSTITUTE(TEXT(BH643,"0000000000000,00"),",",""))</f>
        <v>000000000000000</v>
      </c>
      <c r="BJ643" s="23">
        <f t="shared" si="3835"/>
        <v>0</v>
      </c>
      <c r="BK643" s="49" t="str">
        <f t="shared" ref="BK643" si="4168">IF(BJ643&lt;0,SUBSTITUTE(TEXT(BJ643,"000000000000,00"),",",""),SUBSTITUTE(TEXT(BJ643,"0000000000000,00"),",",""))</f>
        <v>000000000000000</v>
      </c>
      <c r="BL643" s="23">
        <f t="shared" si="3837"/>
        <v>0</v>
      </c>
      <c r="BM643" s="49" t="str">
        <f t="shared" ref="BM643" si="4169">IF(BL643&lt;0,SUBSTITUTE(TEXT(BL643,"000000000000,00"),",",""),SUBSTITUTE(TEXT(BL643,"0000000000000,00"),",",""))</f>
        <v>000000000000000</v>
      </c>
      <c r="BN643" t="str">
        <f t="shared" si="3839"/>
        <v>PES</v>
      </c>
      <c r="BO643" t="str">
        <f t="shared" si="3840"/>
        <v>0001000000</v>
      </c>
      <c r="BP643">
        <f t="shared" si="3841"/>
        <v>0</v>
      </c>
      <c r="BQ643">
        <f t="shared" si="3842"/>
        <v>0</v>
      </c>
      <c r="BR643" s="23">
        <f t="shared" si="3843"/>
        <v>0</v>
      </c>
      <c r="BS643" s="49" t="str">
        <f t="shared" si="3808"/>
        <v>000000000000000</v>
      </c>
      <c r="BT643" t="str">
        <f t="shared" si="3844"/>
        <v>00000000</v>
      </c>
      <c r="BU643" s="23">
        <f t="shared" si="3845"/>
        <v>0</v>
      </c>
      <c r="BV643" s="49" t="str">
        <f t="shared" si="3809"/>
        <v/>
      </c>
      <c r="BW643" s="52" t="str">
        <f t="shared" si="3846"/>
        <v/>
      </c>
      <c r="BX643" s="23">
        <f t="shared" si="3847"/>
        <v>0</v>
      </c>
      <c r="BY643" s="49" t="str">
        <f t="shared" si="3810"/>
        <v/>
      </c>
      <c r="BZ643" s="23">
        <f t="shared" si="3848"/>
        <v>0</v>
      </c>
      <c r="CA643" s="49" t="str">
        <f t="shared" si="3811"/>
        <v/>
      </c>
      <c r="CB643" s="52" t="str">
        <f t="shared" si="3849"/>
        <v/>
      </c>
      <c r="CC643" s="23">
        <f t="shared" si="3850"/>
        <v>0</v>
      </c>
      <c r="CD643" s="49" t="str">
        <f t="shared" si="3812"/>
        <v/>
      </c>
      <c r="CE643" s="56" t="str">
        <f>IF(CF643="","",MAX(CE$10:$CE642)+1)</f>
        <v/>
      </c>
      <c r="CF643" t="str">
        <f t="shared" si="3851"/>
        <v/>
      </c>
      <c r="CG643" s="22" t="str">
        <f>IF(CH643="","",MAX($CG$10:CG642)+1)</f>
        <v/>
      </c>
      <c r="CH643" s="22" t="str">
        <f t="shared" si="3796"/>
        <v/>
      </c>
      <c r="CI643" s="22" t="str">
        <f>IF(CJ643="","",MAX($CI$10:CI642)+1)</f>
        <v/>
      </c>
      <c r="CJ643" s="22" t="str">
        <f t="shared" si="3797"/>
        <v/>
      </c>
    </row>
    <row r="644" spans="2:88" x14ac:dyDescent="0.25">
      <c r="B644" s="37"/>
      <c r="C644" s="3"/>
      <c r="D644" s="77" t="str">
        <f t="shared" si="3783"/>
        <v/>
      </c>
      <c r="E644" s="38"/>
      <c r="F644" s="38"/>
      <c r="G644" s="78">
        <f t="shared" si="3798"/>
        <v>0</v>
      </c>
      <c r="H644" s="3">
        <v>80</v>
      </c>
      <c r="I644" s="77" t="str">
        <f t="shared" si="3784"/>
        <v/>
      </c>
      <c r="J644" s="32"/>
      <c r="K644" s="3"/>
      <c r="L644" s="39"/>
      <c r="M644" s="39"/>
      <c r="N644" s="39"/>
      <c r="O644" s="39"/>
      <c r="P644" s="39"/>
      <c r="Q644" s="39"/>
      <c r="R644" s="39"/>
      <c r="S644" s="39"/>
      <c r="T644" s="3" t="s">
        <v>645</v>
      </c>
      <c r="U644" s="77" t="str">
        <f t="shared" si="3785"/>
        <v/>
      </c>
      <c r="V644" s="39">
        <v>1</v>
      </c>
      <c r="W644" s="79">
        <f t="shared" si="3799"/>
        <v>0</v>
      </c>
      <c r="X644" s="3">
        <v>0</v>
      </c>
      <c r="Y644" s="77" t="str">
        <f t="shared" si="3786"/>
        <v/>
      </c>
      <c r="Z644" s="3"/>
      <c r="AA644" s="37" t="str">
        <f t="shared" si="3800"/>
        <v/>
      </c>
      <c r="AC644" s="40"/>
      <c r="AD644" s="7"/>
      <c r="AE644" s="77" t="str">
        <f t="shared" si="3787"/>
        <v/>
      </c>
      <c r="AF644" s="81">
        <f t="shared" si="3813"/>
        <v>0</v>
      </c>
      <c r="AG644" s="40"/>
      <c r="AH644" s="7"/>
      <c r="AI644" s="77" t="str">
        <f t="shared" si="3788"/>
        <v/>
      </c>
      <c r="AJ644" s="81">
        <f t="shared" si="3814"/>
        <v>0</v>
      </c>
      <c r="AK644" s="83">
        <f t="shared" si="3815"/>
        <v>0</v>
      </c>
      <c r="AL644" s="83">
        <f t="shared" si="3816"/>
        <v>0</v>
      </c>
      <c r="AN644" s="43">
        <f t="shared" si="3789"/>
        <v>0</v>
      </c>
      <c r="AP644" t="str">
        <f t="shared" si="3817"/>
        <v/>
      </c>
      <c r="AQ644" t="str">
        <f t="shared" si="3818"/>
        <v/>
      </c>
      <c r="AR644" t="str">
        <f t="shared" si="3819"/>
        <v/>
      </c>
      <c r="AS644" t="str">
        <f t="shared" si="3820"/>
        <v/>
      </c>
      <c r="AT644" t="str">
        <f t="shared" si="3821"/>
        <v/>
      </c>
      <c r="AU644" t="str">
        <f t="shared" si="3822"/>
        <v/>
      </c>
      <c r="AV644" t="str">
        <f t="shared" si="3823"/>
        <v/>
      </c>
      <c r="AW644" t="str">
        <f t="shared" si="3824"/>
        <v xml:space="preserve">                              </v>
      </c>
      <c r="AX644" s="23">
        <f t="shared" si="3825"/>
        <v>0</v>
      </c>
      <c r="AY644" s="49" t="str">
        <f t="shared" si="3801"/>
        <v>000000000000000</v>
      </c>
      <c r="AZ644" s="23">
        <f t="shared" si="3826"/>
        <v>0</v>
      </c>
      <c r="BA644" s="49" t="str">
        <f t="shared" si="3801"/>
        <v>000000000000000</v>
      </c>
      <c r="BB644" s="23">
        <f t="shared" si="3827"/>
        <v>0</v>
      </c>
      <c r="BC644" s="49" t="str">
        <f t="shared" ref="BC644" si="4170">IF(BB644&lt;0,SUBSTITUTE(TEXT(BB644,"000000000000,00"),",",""),SUBSTITUTE(TEXT(BB644,"0000000000000,00"),",",""))</f>
        <v>000000000000000</v>
      </c>
      <c r="BD644" s="23">
        <f t="shared" si="3829"/>
        <v>0</v>
      </c>
      <c r="BE644" s="49" t="str">
        <f t="shared" ref="BE644" si="4171">IF(BD644&lt;0,SUBSTITUTE(TEXT(BD644,"000000000000,00"),",",""),SUBSTITUTE(TEXT(BD644,"0000000000000,00"),",",""))</f>
        <v>000000000000000</v>
      </c>
      <c r="BF644" s="23">
        <f t="shared" si="3831"/>
        <v>0</v>
      </c>
      <c r="BG644" s="49" t="str">
        <f t="shared" ref="BG644" si="4172">IF(BF644&lt;0,SUBSTITUTE(TEXT(BF644,"000000000000,00"),",",""),SUBSTITUTE(TEXT(BF644,"0000000000000,00"),",",""))</f>
        <v>000000000000000</v>
      </c>
      <c r="BH644" s="23">
        <f t="shared" si="3833"/>
        <v>0</v>
      </c>
      <c r="BI644" s="49" t="str">
        <f t="shared" ref="BI644" si="4173">IF(BH644&lt;0,SUBSTITUTE(TEXT(BH644,"000000000000,00"),",",""),SUBSTITUTE(TEXT(BH644,"0000000000000,00"),",",""))</f>
        <v>000000000000000</v>
      </c>
      <c r="BJ644" s="23">
        <f t="shared" si="3835"/>
        <v>0</v>
      </c>
      <c r="BK644" s="49" t="str">
        <f t="shared" ref="BK644" si="4174">IF(BJ644&lt;0,SUBSTITUTE(TEXT(BJ644,"000000000000,00"),",",""),SUBSTITUTE(TEXT(BJ644,"0000000000000,00"),",",""))</f>
        <v>000000000000000</v>
      </c>
      <c r="BL644" s="23">
        <f t="shared" si="3837"/>
        <v>0</v>
      </c>
      <c r="BM644" s="49" t="str">
        <f t="shared" ref="BM644" si="4175">IF(BL644&lt;0,SUBSTITUTE(TEXT(BL644,"000000000000,00"),",",""),SUBSTITUTE(TEXT(BL644,"0000000000000,00"),",",""))</f>
        <v>000000000000000</v>
      </c>
      <c r="BN644" t="str">
        <f t="shared" si="3839"/>
        <v>PES</v>
      </c>
      <c r="BO644" t="str">
        <f t="shared" si="3840"/>
        <v>0001000000</v>
      </c>
      <c r="BP644">
        <f t="shared" si="3841"/>
        <v>0</v>
      </c>
      <c r="BQ644">
        <f t="shared" si="3842"/>
        <v>0</v>
      </c>
      <c r="BR644" s="23">
        <f t="shared" si="3843"/>
        <v>0</v>
      </c>
      <c r="BS644" s="49" t="str">
        <f t="shared" si="3808"/>
        <v>000000000000000</v>
      </c>
      <c r="BT644" t="str">
        <f t="shared" si="3844"/>
        <v>00000000</v>
      </c>
      <c r="BU644" s="23">
        <f t="shared" si="3845"/>
        <v>0</v>
      </c>
      <c r="BV644" s="49" t="str">
        <f t="shared" si="3809"/>
        <v/>
      </c>
      <c r="BW644" s="52" t="str">
        <f t="shared" si="3846"/>
        <v/>
      </c>
      <c r="BX644" s="23">
        <f t="shared" si="3847"/>
        <v>0</v>
      </c>
      <c r="BY644" s="49" t="str">
        <f t="shared" si="3810"/>
        <v/>
      </c>
      <c r="BZ644" s="23">
        <f t="shared" si="3848"/>
        <v>0</v>
      </c>
      <c r="CA644" s="49" t="str">
        <f t="shared" si="3811"/>
        <v/>
      </c>
      <c r="CB644" s="52" t="str">
        <f t="shared" si="3849"/>
        <v/>
      </c>
      <c r="CC644" s="23">
        <f t="shared" si="3850"/>
        <v>0</v>
      </c>
      <c r="CD644" s="49" t="str">
        <f t="shared" si="3812"/>
        <v/>
      </c>
      <c r="CE644" s="56" t="str">
        <f>IF(CF644="","",MAX(CE$10:$CE643)+1)</f>
        <v/>
      </c>
      <c r="CF644" t="str">
        <f t="shared" si="3851"/>
        <v/>
      </c>
      <c r="CG644" s="22" t="str">
        <f>IF(CH644="","",MAX($CG$10:CG643)+1)</f>
        <v/>
      </c>
      <c r="CH644" s="22" t="str">
        <f t="shared" si="3796"/>
        <v/>
      </c>
      <c r="CI644" s="22" t="str">
        <f>IF(CJ644="","",MAX($CI$10:CI643)+1)</f>
        <v/>
      </c>
      <c r="CJ644" s="22" t="str">
        <f t="shared" si="3797"/>
        <v/>
      </c>
    </row>
    <row r="645" spans="2:88" x14ac:dyDescent="0.25">
      <c r="B645" s="37"/>
      <c r="C645" s="3"/>
      <c r="D645" s="77" t="str">
        <f t="shared" si="3783"/>
        <v/>
      </c>
      <c r="E645" s="38"/>
      <c r="F645" s="38"/>
      <c r="G645" s="78">
        <f t="shared" si="3798"/>
        <v>0</v>
      </c>
      <c r="H645" s="3">
        <v>80</v>
      </c>
      <c r="I645" s="77" t="str">
        <f t="shared" si="3784"/>
        <v/>
      </c>
      <c r="J645" s="32"/>
      <c r="K645" s="3"/>
      <c r="L645" s="39"/>
      <c r="M645" s="39"/>
      <c r="N645" s="39"/>
      <c r="O645" s="39"/>
      <c r="P645" s="39"/>
      <c r="Q645" s="39"/>
      <c r="R645" s="39"/>
      <c r="S645" s="39"/>
      <c r="T645" s="3" t="s">
        <v>645</v>
      </c>
      <c r="U645" s="77" t="str">
        <f t="shared" si="3785"/>
        <v/>
      </c>
      <c r="V645" s="39">
        <v>1</v>
      </c>
      <c r="W645" s="79">
        <f t="shared" si="3799"/>
        <v>0</v>
      </c>
      <c r="X645" s="3">
        <v>0</v>
      </c>
      <c r="Y645" s="77" t="str">
        <f t="shared" si="3786"/>
        <v/>
      </c>
      <c r="Z645" s="3"/>
      <c r="AA645" s="37" t="str">
        <f t="shared" si="3800"/>
        <v/>
      </c>
      <c r="AC645" s="40"/>
      <c r="AD645" s="7"/>
      <c r="AE645" s="77" t="str">
        <f t="shared" si="3787"/>
        <v/>
      </c>
      <c r="AF645" s="81">
        <f t="shared" si="3813"/>
        <v>0</v>
      </c>
      <c r="AG645" s="40"/>
      <c r="AH645" s="7"/>
      <c r="AI645" s="77" t="str">
        <f t="shared" si="3788"/>
        <v/>
      </c>
      <c r="AJ645" s="81">
        <f t="shared" si="3814"/>
        <v>0</v>
      </c>
      <c r="AK645" s="83">
        <f t="shared" si="3815"/>
        <v>0</v>
      </c>
      <c r="AL645" s="83">
        <f t="shared" si="3816"/>
        <v>0</v>
      </c>
      <c r="AN645" s="43">
        <f t="shared" si="3789"/>
        <v>0</v>
      </c>
      <c r="AP645" t="str">
        <f t="shared" si="3817"/>
        <v/>
      </c>
      <c r="AQ645" t="str">
        <f t="shared" si="3818"/>
        <v/>
      </c>
      <c r="AR645" t="str">
        <f t="shared" si="3819"/>
        <v/>
      </c>
      <c r="AS645" t="str">
        <f t="shared" si="3820"/>
        <v/>
      </c>
      <c r="AT645" t="str">
        <f t="shared" si="3821"/>
        <v/>
      </c>
      <c r="AU645" t="str">
        <f t="shared" si="3822"/>
        <v/>
      </c>
      <c r="AV645" t="str">
        <f t="shared" si="3823"/>
        <v/>
      </c>
      <c r="AW645" t="str">
        <f t="shared" si="3824"/>
        <v xml:space="preserve">                              </v>
      </c>
      <c r="AX645" s="23">
        <f t="shared" si="3825"/>
        <v>0</v>
      </c>
      <c r="AY645" s="49" t="str">
        <f t="shared" si="3801"/>
        <v>000000000000000</v>
      </c>
      <c r="AZ645" s="23">
        <f t="shared" si="3826"/>
        <v>0</v>
      </c>
      <c r="BA645" s="49" t="str">
        <f t="shared" si="3801"/>
        <v>000000000000000</v>
      </c>
      <c r="BB645" s="23">
        <f t="shared" si="3827"/>
        <v>0</v>
      </c>
      <c r="BC645" s="49" t="str">
        <f t="shared" ref="BC645" si="4176">IF(BB645&lt;0,SUBSTITUTE(TEXT(BB645,"000000000000,00"),",",""),SUBSTITUTE(TEXT(BB645,"0000000000000,00"),",",""))</f>
        <v>000000000000000</v>
      </c>
      <c r="BD645" s="23">
        <f t="shared" si="3829"/>
        <v>0</v>
      </c>
      <c r="BE645" s="49" t="str">
        <f t="shared" ref="BE645" si="4177">IF(BD645&lt;0,SUBSTITUTE(TEXT(BD645,"000000000000,00"),",",""),SUBSTITUTE(TEXT(BD645,"0000000000000,00"),",",""))</f>
        <v>000000000000000</v>
      </c>
      <c r="BF645" s="23">
        <f t="shared" si="3831"/>
        <v>0</v>
      </c>
      <c r="BG645" s="49" t="str">
        <f t="shared" ref="BG645" si="4178">IF(BF645&lt;0,SUBSTITUTE(TEXT(BF645,"000000000000,00"),",",""),SUBSTITUTE(TEXT(BF645,"0000000000000,00"),",",""))</f>
        <v>000000000000000</v>
      </c>
      <c r="BH645" s="23">
        <f t="shared" si="3833"/>
        <v>0</v>
      </c>
      <c r="BI645" s="49" t="str">
        <f t="shared" ref="BI645" si="4179">IF(BH645&lt;0,SUBSTITUTE(TEXT(BH645,"000000000000,00"),",",""),SUBSTITUTE(TEXT(BH645,"0000000000000,00"),",",""))</f>
        <v>000000000000000</v>
      </c>
      <c r="BJ645" s="23">
        <f t="shared" si="3835"/>
        <v>0</v>
      </c>
      <c r="BK645" s="49" t="str">
        <f t="shared" ref="BK645" si="4180">IF(BJ645&lt;0,SUBSTITUTE(TEXT(BJ645,"000000000000,00"),",",""),SUBSTITUTE(TEXT(BJ645,"0000000000000,00"),",",""))</f>
        <v>000000000000000</v>
      </c>
      <c r="BL645" s="23">
        <f t="shared" si="3837"/>
        <v>0</v>
      </c>
      <c r="BM645" s="49" t="str">
        <f t="shared" ref="BM645" si="4181">IF(BL645&lt;0,SUBSTITUTE(TEXT(BL645,"000000000000,00"),",",""),SUBSTITUTE(TEXT(BL645,"0000000000000,00"),",",""))</f>
        <v>000000000000000</v>
      </c>
      <c r="BN645" t="str">
        <f t="shared" si="3839"/>
        <v>PES</v>
      </c>
      <c r="BO645" t="str">
        <f t="shared" si="3840"/>
        <v>0001000000</v>
      </c>
      <c r="BP645">
        <f t="shared" si="3841"/>
        <v>0</v>
      </c>
      <c r="BQ645">
        <f t="shared" si="3842"/>
        <v>0</v>
      </c>
      <c r="BR645" s="23">
        <f t="shared" si="3843"/>
        <v>0</v>
      </c>
      <c r="BS645" s="49" t="str">
        <f t="shared" si="3808"/>
        <v>000000000000000</v>
      </c>
      <c r="BT645" t="str">
        <f t="shared" si="3844"/>
        <v>00000000</v>
      </c>
      <c r="BU645" s="23">
        <f t="shared" si="3845"/>
        <v>0</v>
      </c>
      <c r="BV645" s="49" t="str">
        <f t="shared" si="3809"/>
        <v/>
      </c>
      <c r="BW645" s="52" t="str">
        <f t="shared" si="3846"/>
        <v/>
      </c>
      <c r="BX645" s="23">
        <f t="shared" si="3847"/>
        <v>0</v>
      </c>
      <c r="BY645" s="49" t="str">
        <f t="shared" si="3810"/>
        <v/>
      </c>
      <c r="BZ645" s="23">
        <f t="shared" si="3848"/>
        <v>0</v>
      </c>
      <c r="CA645" s="49" t="str">
        <f t="shared" si="3811"/>
        <v/>
      </c>
      <c r="CB645" s="52" t="str">
        <f t="shared" si="3849"/>
        <v/>
      </c>
      <c r="CC645" s="23">
        <f t="shared" si="3850"/>
        <v>0</v>
      </c>
      <c r="CD645" s="49" t="str">
        <f t="shared" si="3812"/>
        <v/>
      </c>
      <c r="CE645" s="56" t="str">
        <f>IF(CF645="","",MAX(CE$10:$CE644)+1)</f>
        <v/>
      </c>
      <c r="CF645" t="str">
        <f t="shared" si="3851"/>
        <v/>
      </c>
      <c r="CG645" s="22" t="str">
        <f>IF(CH645="","",MAX($CG$10:CG644)+1)</f>
        <v/>
      </c>
      <c r="CH645" s="22" t="str">
        <f t="shared" si="3796"/>
        <v/>
      </c>
      <c r="CI645" s="22" t="str">
        <f>IF(CJ645="","",MAX($CI$10:CI644)+1)</f>
        <v/>
      </c>
      <c r="CJ645" s="22" t="str">
        <f t="shared" si="3797"/>
        <v/>
      </c>
    </row>
    <row r="646" spans="2:88" x14ac:dyDescent="0.25">
      <c r="B646" s="37"/>
      <c r="C646" s="3"/>
      <c r="D646" s="77" t="str">
        <f t="shared" si="3783"/>
        <v/>
      </c>
      <c r="E646" s="38"/>
      <c r="F646" s="38"/>
      <c r="G646" s="78">
        <f t="shared" si="3798"/>
        <v>0</v>
      </c>
      <c r="H646" s="3">
        <v>80</v>
      </c>
      <c r="I646" s="77" t="str">
        <f t="shared" si="3784"/>
        <v/>
      </c>
      <c r="J646" s="32"/>
      <c r="K646" s="3"/>
      <c r="L646" s="39"/>
      <c r="M646" s="39"/>
      <c r="N646" s="39"/>
      <c r="O646" s="39"/>
      <c r="P646" s="39"/>
      <c r="Q646" s="39"/>
      <c r="R646" s="39"/>
      <c r="S646" s="39"/>
      <c r="T646" s="3" t="s">
        <v>645</v>
      </c>
      <c r="U646" s="77" t="str">
        <f t="shared" si="3785"/>
        <v/>
      </c>
      <c r="V646" s="39">
        <v>1</v>
      </c>
      <c r="W646" s="79">
        <f t="shared" si="3799"/>
        <v>0</v>
      </c>
      <c r="X646" s="3">
        <v>0</v>
      </c>
      <c r="Y646" s="77" t="str">
        <f t="shared" si="3786"/>
        <v/>
      </c>
      <c r="Z646" s="3"/>
      <c r="AA646" s="37" t="str">
        <f t="shared" si="3800"/>
        <v/>
      </c>
      <c r="AC646" s="40"/>
      <c r="AD646" s="7"/>
      <c r="AE646" s="77" t="str">
        <f t="shared" si="3787"/>
        <v/>
      </c>
      <c r="AF646" s="81">
        <f t="shared" si="3813"/>
        <v>0</v>
      </c>
      <c r="AG646" s="40"/>
      <c r="AH646" s="7"/>
      <c r="AI646" s="77" t="str">
        <f t="shared" si="3788"/>
        <v/>
      </c>
      <c r="AJ646" s="81">
        <f t="shared" si="3814"/>
        <v>0</v>
      </c>
      <c r="AK646" s="83">
        <f t="shared" si="3815"/>
        <v>0</v>
      </c>
      <c r="AL646" s="83">
        <f t="shared" si="3816"/>
        <v>0</v>
      </c>
      <c r="AN646" s="43">
        <f t="shared" si="3789"/>
        <v>0</v>
      </c>
      <c r="AP646" t="str">
        <f t="shared" si="3817"/>
        <v/>
      </c>
      <c r="AQ646" t="str">
        <f t="shared" si="3818"/>
        <v/>
      </c>
      <c r="AR646" t="str">
        <f t="shared" si="3819"/>
        <v/>
      </c>
      <c r="AS646" t="str">
        <f t="shared" si="3820"/>
        <v/>
      </c>
      <c r="AT646" t="str">
        <f t="shared" si="3821"/>
        <v/>
      </c>
      <c r="AU646" t="str">
        <f t="shared" si="3822"/>
        <v/>
      </c>
      <c r="AV646" t="str">
        <f t="shared" si="3823"/>
        <v/>
      </c>
      <c r="AW646" t="str">
        <f t="shared" si="3824"/>
        <v xml:space="preserve">                              </v>
      </c>
      <c r="AX646" s="23">
        <f t="shared" si="3825"/>
        <v>0</v>
      </c>
      <c r="AY646" s="49" t="str">
        <f t="shared" si="3801"/>
        <v>000000000000000</v>
      </c>
      <c r="AZ646" s="23">
        <f t="shared" si="3826"/>
        <v>0</v>
      </c>
      <c r="BA646" s="49" t="str">
        <f t="shared" si="3801"/>
        <v>000000000000000</v>
      </c>
      <c r="BB646" s="23">
        <f t="shared" si="3827"/>
        <v>0</v>
      </c>
      <c r="BC646" s="49" t="str">
        <f t="shared" ref="BC646" si="4182">IF(BB646&lt;0,SUBSTITUTE(TEXT(BB646,"000000000000,00"),",",""),SUBSTITUTE(TEXT(BB646,"0000000000000,00"),",",""))</f>
        <v>000000000000000</v>
      </c>
      <c r="BD646" s="23">
        <f t="shared" si="3829"/>
        <v>0</v>
      </c>
      <c r="BE646" s="49" t="str">
        <f t="shared" ref="BE646" si="4183">IF(BD646&lt;0,SUBSTITUTE(TEXT(BD646,"000000000000,00"),",",""),SUBSTITUTE(TEXT(BD646,"0000000000000,00"),",",""))</f>
        <v>000000000000000</v>
      </c>
      <c r="BF646" s="23">
        <f t="shared" si="3831"/>
        <v>0</v>
      </c>
      <c r="BG646" s="49" t="str">
        <f t="shared" ref="BG646" si="4184">IF(BF646&lt;0,SUBSTITUTE(TEXT(BF646,"000000000000,00"),",",""),SUBSTITUTE(TEXT(BF646,"0000000000000,00"),",",""))</f>
        <v>000000000000000</v>
      </c>
      <c r="BH646" s="23">
        <f t="shared" si="3833"/>
        <v>0</v>
      </c>
      <c r="BI646" s="49" t="str">
        <f t="shared" ref="BI646" si="4185">IF(BH646&lt;0,SUBSTITUTE(TEXT(BH646,"000000000000,00"),",",""),SUBSTITUTE(TEXT(BH646,"0000000000000,00"),",",""))</f>
        <v>000000000000000</v>
      </c>
      <c r="BJ646" s="23">
        <f t="shared" si="3835"/>
        <v>0</v>
      </c>
      <c r="BK646" s="49" t="str">
        <f t="shared" ref="BK646" si="4186">IF(BJ646&lt;0,SUBSTITUTE(TEXT(BJ646,"000000000000,00"),",",""),SUBSTITUTE(TEXT(BJ646,"0000000000000,00"),",",""))</f>
        <v>000000000000000</v>
      </c>
      <c r="BL646" s="23">
        <f t="shared" si="3837"/>
        <v>0</v>
      </c>
      <c r="BM646" s="49" t="str">
        <f t="shared" ref="BM646" si="4187">IF(BL646&lt;0,SUBSTITUTE(TEXT(BL646,"000000000000,00"),",",""),SUBSTITUTE(TEXT(BL646,"0000000000000,00"),",",""))</f>
        <v>000000000000000</v>
      </c>
      <c r="BN646" t="str">
        <f t="shared" si="3839"/>
        <v>PES</v>
      </c>
      <c r="BO646" t="str">
        <f t="shared" si="3840"/>
        <v>0001000000</v>
      </c>
      <c r="BP646">
        <f t="shared" si="3841"/>
        <v>0</v>
      </c>
      <c r="BQ646">
        <f t="shared" si="3842"/>
        <v>0</v>
      </c>
      <c r="BR646" s="23">
        <f t="shared" si="3843"/>
        <v>0</v>
      </c>
      <c r="BS646" s="49" t="str">
        <f t="shared" si="3808"/>
        <v>000000000000000</v>
      </c>
      <c r="BT646" t="str">
        <f t="shared" si="3844"/>
        <v>00000000</v>
      </c>
      <c r="BU646" s="23">
        <f t="shared" si="3845"/>
        <v>0</v>
      </c>
      <c r="BV646" s="49" t="str">
        <f t="shared" si="3809"/>
        <v/>
      </c>
      <c r="BW646" s="52" t="str">
        <f t="shared" si="3846"/>
        <v/>
      </c>
      <c r="BX646" s="23">
        <f t="shared" si="3847"/>
        <v>0</v>
      </c>
      <c r="BY646" s="49" t="str">
        <f t="shared" si="3810"/>
        <v/>
      </c>
      <c r="BZ646" s="23">
        <f t="shared" si="3848"/>
        <v>0</v>
      </c>
      <c r="CA646" s="49" t="str">
        <f t="shared" si="3811"/>
        <v/>
      </c>
      <c r="CB646" s="52" t="str">
        <f t="shared" si="3849"/>
        <v/>
      </c>
      <c r="CC646" s="23">
        <f t="shared" si="3850"/>
        <v>0</v>
      </c>
      <c r="CD646" s="49" t="str">
        <f t="shared" si="3812"/>
        <v/>
      </c>
      <c r="CE646" s="56" t="str">
        <f>IF(CF646="","",MAX(CE$10:$CE645)+1)</f>
        <v/>
      </c>
      <c r="CF646" t="str">
        <f t="shared" si="3851"/>
        <v/>
      </c>
      <c r="CG646" s="22" t="str">
        <f>IF(CH646="","",MAX($CG$10:CG645)+1)</f>
        <v/>
      </c>
      <c r="CH646" s="22" t="str">
        <f t="shared" si="3796"/>
        <v/>
      </c>
      <c r="CI646" s="22" t="str">
        <f>IF(CJ646="","",MAX($CI$10:CI645)+1)</f>
        <v/>
      </c>
      <c r="CJ646" s="22" t="str">
        <f t="shared" si="3797"/>
        <v/>
      </c>
    </row>
    <row r="647" spans="2:88" x14ac:dyDescent="0.25">
      <c r="B647" s="37"/>
      <c r="C647" s="3"/>
      <c r="D647" s="77" t="str">
        <f t="shared" si="3783"/>
        <v/>
      </c>
      <c r="E647" s="38"/>
      <c r="F647" s="38"/>
      <c r="G647" s="78">
        <f t="shared" si="3798"/>
        <v>0</v>
      </c>
      <c r="H647" s="3">
        <v>80</v>
      </c>
      <c r="I647" s="77" t="str">
        <f t="shared" si="3784"/>
        <v/>
      </c>
      <c r="J647" s="32"/>
      <c r="K647" s="3"/>
      <c r="L647" s="39"/>
      <c r="M647" s="39"/>
      <c r="N647" s="39"/>
      <c r="O647" s="39"/>
      <c r="P647" s="39"/>
      <c r="Q647" s="39"/>
      <c r="R647" s="39"/>
      <c r="S647" s="39"/>
      <c r="T647" s="3" t="s">
        <v>645</v>
      </c>
      <c r="U647" s="77" t="str">
        <f t="shared" si="3785"/>
        <v/>
      </c>
      <c r="V647" s="39">
        <v>1</v>
      </c>
      <c r="W647" s="79">
        <f t="shared" si="3799"/>
        <v>0</v>
      </c>
      <c r="X647" s="3">
        <v>0</v>
      </c>
      <c r="Y647" s="77" t="str">
        <f t="shared" si="3786"/>
        <v/>
      </c>
      <c r="Z647" s="3"/>
      <c r="AA647" s="37" t="str">
        <f t="shared" si="3800"/>
        <v/>
      </c>
      <c r="AC647" s="40"/>
      <c r="AD647" s="7"/>
      <c r="AE647" s="77" t="str">
        <f t="shared" si="3787"/>
        <v/>
      </c>
      <c r="AF647" s="81">
        <f t="shared" si="3813"/>
        <v>0</v>
      </c>
      <c r="AG647" s="40"/>
      <c r="AH647" s="7"/>
      <c r="AI647" s="77" t="str">
        <f t="shared" si="3788"/>
        <v/>
      </c>
      <c r="AJ647" s="81">
        <f t="shared" si="3814"/>
        <v>0</v>
      </c>
      <c r="AK647" s="83">
        <f t="shared" si="3815"/>
        <v>0</v>
      </c>
      <c r="AL647" s="83">
        <f t="shared" si="3816"/>
        <v>0</v>
      </c>
      <c r="AN647" s="43">
        <f t="shared" si="3789"/>
        <v>0</v>
      </c>
      <c r="AP647" t="str">
        <f t="shared" si="3817"/>
        <v/>
      </c>
      <c r="AQ647" t="str">
        <f t="shared" si="3818"/>
        <v/>
      </c>
      <c r="AR647" t="str">
        <f t="shared" si="3819"/>
        <v/>
      </c>
      <c r="AS647" t="str">
        <f t="shared" si="3820"/>
        <v/>
      </c>
      <c r="AT647" t="str">
        <f t="shared" si="3821"/>
        <v/>
      </c>
      <c r="AU647" t="str">
        <f t="shared" si="3822"/>
        <v/>
      </c>
      <c r="AV647" t="str">
        <f t="shared" si="3823"/>
        <v/>
      </c>
      <c r="AW647" t="str">
        <f t="shared" si="3824"/>
        <v xml:space="preserve">                              </v>
      </c>
      <c r="AX647" s="23">
        <f t="shared" si="3825"/>
        <v>0</v>
      </c>
      <c r="AY647" s="49" t="str">
        <f t="shared" si="3801"/>
        <v>000000000000000</v>
      </c>
      <c r="AZ647" s="23">
        <f t="shared" si="3826"/>
        <v>0</v>
      </c>
      <c r="BA647" s="49" t="str">
        <f t="shared" si="3801"/>
        <v>000000000000000</v>
      </c>
      <c r="BB647" s="23">
        <f t="shared" si="3827"/>
        <v>0</v>
      </c>
      <c r="BC647" s="49" t="str">
        <f t="shared" ref="BC647" si="4188">IF(BB647&lt;0,SUBSTITUTE(TEXT(BB647,"000000000000,00"),",",""),SUBSTITUTE(TEXT(BB647,"0000000000000,00"),",",""))</f>
        <v>000000000000000</v>
      </c>
      <c r="BD647" s="23">
        <f t="shared" si="3829"/>
        <v>0</v>
      </c>
      <c r="BE647" s="49" t="str">
        <f t="shared" ref="BE647" si="4189">IF(BD647&lt;0,SUBSTITUTE(TEXT(BD647,"000000000000,00"),",",""),SUBSTITUTE(TEXT(BD647,"0000000000000,00"),",",""))</f>
        <v>000000000000000</v>
      </c>
      <c r="BF647" s="23">
        <f t="shared" si="3831"/>
        <v>0</v>
      </c>
      <c r="BG647" s="49" t="str">
        <f t="shared" ref="BG647" si="4190">IF(BF647&lt;0,SUBSTITUTE(TEXT(BF647,"000000000000,00"),",",""),SUBSTITUTE(TEXT(BF647,"0000000000000,00"),",",""))</f>
        <v>000000000000000</v>
      </c>
      <c r="BH647" s="23">
        <f t="shared" si="3833"/>
        <v>0</v>
      </c>
      <c r="BI647" s="49" t="str">
        <f t="shared" ref="BI647" si="4191">IF(BH647&lt;0,SUBSTITUTE(TEXT(BH647,"000000000000,00"),",",""),SUBSTITUTE(TEXT(BH647,"0000000000000,00"),",",""))</f>
        <v>000000000000000</v>
      </c>
      <c r="BJ647" s="23">
        <f t="shared" si="3835"/>
        <v>0</v>
      </c>
      <c r="BK647" s="49" t="str">
        <f t="shared" ref="BK647" si="4192">IF(BJ647&lt;0,SUBSTITUTE(TEXT(BJ647,"000000000000,00"),",",""),SUBSTITUTE(TEXT(BJ647,"0000000000000,00"),",",""))</f>
        <v>000000000000000</v>
      </c>
      <c r="BL647" s="23">
        <f t="shared" si="3837"/>
        <v>0</v>
      </c>
      <c r="BM647" s="49" t="str">
        <f t="shared" ref="BM647" si="4193">IF(BL647&lt;0,SUBSTITUTE(TEXT(BL647,"000000000000,00"),",",""),SUBSTITUTE(TEXT(BL647,"0000000000000,00"),",",""))</f>
        <v>000000000000000</v>
      </c>
      <c r="BN647" t="str">
        <f t="shared" si="3839"/>
        <v>PES</v>
      </c>
      <c r="BO647" t="str">
        <f t="shared" si="3840"/>
        <v>0001000000</v>
      </c>
      <c r="BP647">
        <f t="shared" si="3841"/>
        <v>0</v>
      </c>
      <c r="BQ647">
        <f t="shared" si="3842"/>
        <v>0</v>
      </c>
      <c r="BR647" s="23">
        <f t="shared" si="3843"/>
        <v>0</v>
      </c>
      <c r="BS647" s="49" t="str">
        <f t="shared" si="3808"/>
        <v>000000000000000</v>
      </c>
      <c r="BT647" t="str">
        <f t="shared" si="3844"/>
        <v>00000000</v>
      </c>
      <c r="BU647" s="23">
        <f t="shared" si="3845"/>
        <v>0</v>
      </c>
      <c r="BV647" s="49" t="str">
        <f t="shared" si="3809"/>
        <v/>
      </c>
      <c r="BW647" s="52" t="str">
        <f t="shared" si="3846"/>
        <v/>
      </c>
      <c r="BX647" s="23">
        <f t="shared" si="3847"/>
        <v>0</v>
      </c>
      <c r="BY647" s="49" t="str">
        <f t="shared" si="3810"/>
        <v/>
      </c>
      <c r="BZ647" s="23">
        <f t="shared" si="3848"/>
        <v>0</v>
      </c>
      <c r="CA647" s="49" t="str">
        <f t="shared" si="3811"/>
        <v/>
      </c>
      <c r="CB647" s="52" t="str">
        <f t="shared" si="3849"/>
        <v/>
      </c>
      <c r="CC647" s="23">
        <f t="shared" si="3850"/>
        <v>0</v>
      </c>
      <c r="CD647" s="49" t="str">
        <f t="shared" si="3812"/>
        <v/>
      </c>
      <c r="CE647" s="56" t="str">
        <f>IF(CF647="","",MAX(CE$10:$CE646)+1)</f>
        <v/>
      </c>
      <c r="CF647" t="str">
        <f t="shared" si="3851"/>
        <v/>
      </c>
      <c r="CG647" s="22" t="str">
        <f>IF(CH647="","",MAX($CG$10:CG646)+1)</f>
        <v/>
      </c>
      <c r="CH647" s="22" t="str">
        <f t="shared" si="3796"/>
        <v/>
      </c>
      <c r="CI647" s="22" t="str">
        <f>IF(CJ647="","",MAX($CI$10:CI646)+1)</f>
        <v/>
      </c>
      <c r="CJ647" s="22" t="str">
        <f t="shared" si="3797"/>
        <v/>
      </c>
    </row>
    <row r="648" spans="2:88" x14ac:dyDescent="0.25">
      <c r="B648" s="37"/>
      <c r="C648" s="3"/>
      <c r="D648" s="77" t="str">
        <f t="shared" si="3783"/>
        <v/>
      </c>
      <c r="E648" s="38"/>
      <c r="F648" s="38"/>
      <c r="G648" s="78">
        <f t="shared" si="3798"/>
        <v>0</v>
      </c>
      <c r="H648" s="3">
        <v>80</v>
      </c>
      <c r="I648" s="77" t="str">
        <f t="shared" si="3784"/>
        <v/>
      </c>
      <c r="J648" s="32"/>
      <c r="K648" s="3"/>
      <c r="L648" s="39"/>
      <c r="M648" s="39"/>
      <c r="N648" s="39"/>
      <c r="O648" s="39"/>
      <c r="P648" s="39"/>
      <c r="Q648" s="39"/>
      <c r="R648" s="39"/>
      <c r="S648" s="39"/>
      <c r="T648" s="3" t="s">
        <v>645</v>
      </c>
      <c r="U648" s="77" t="str">
        <f t="shared" si="3785"/>
        <v/>
      </c>
      <c r="V648" s="39">
        <v>1</v>
      </c>
      <c r="W648" s="79">
        <f t="shared" si="3799"/>
        <v>0</v>
      </c>
      <c r="X648" s="3">
        <v>0</v>
      </c>
      <c r="Y648" s="77" t="str">
        <f t="shared" si="3786"/>
        <v/>
      </c>
      <c r="Z648" s="3"/>
      <c r="AA648" s="37" t="str">
        <f t="shared" si="3800"/>
        <v/>
      </c>
      <c r="AC648" s="40"/>
      <c r="AD648" s="7"/>
      <c r="AE648" s="77" t="str">
        <f t="shared" si="3787"/>
        <v/>
      </c>
      <c r="AF648" s="81">
        <f t="shared" si="3813"/>
        <v>0</v>
      </c>
      <c r="AG648" s="40"/>
      <c r="AH648" s="7"/>
      <c r="AI648" s="77" t="str">
        <f t="shared" si="3788"/>
        <v/>
      </c>
      <c r="AJ648" s="81">
        <f t="shared" si="3814"/>
        <v>0</v>
      </c>
      <c r="AK648" s="83">
        <f t="shared" si="3815"/>
        <v>0</v>
      </c>
      <c r="AL648" s="83">
        <f t="shared" si="3816"/>
        <v>0</v>
      </c>
      <c r="AN648" s="43">
        <f t="shared" si="3789"/>
        <v>0</v>
      </c>
      <c r="AP648" t="str">
        <f t="shared" si="3817"/>
        <v/>
      </c>
      <c r="AQ648" t="str">
        <f t="shared" si="3818"/>
        <v/>
      </c>
      <c r="AR648" t="str">
        <f t="shared" si="3819"/>
        <v/>
      </c>
      <c r="AS648" t="str">
        <f t="shared" si="3820"/>
        <v/>
      </c>
      <c r="AT648" t="str">
        <f t="shared" si="3821"/>
        <v/>
      </c>
      <c r="AU648" t="str">
        <f t="shared" si="3822"/>
        <v/>
      </c>
      <c r="AV648" t="str">
        <f t="shared" si="3823"/>
        <v/>
      </c>
      <c r="AW648" t="str">
        <f t="shared" si="3824"/>
        <v xml:space="preserve">                              </v>
      </c>
      <c r="AX648" s="23">
        <f t="shared" si="3825"/>
        <v>0</v>
      </c>
      <c r="AY648" s="49" t="str">
        <f t="shared" si="3801"/>
        <v>000000000000000</v>
      </c>
      <c r="AZ648" s="23">
        <f t="shared" si="3826"/>
        <v>0</v>
      </c>
      <c r="BA648" s="49" t="str">
        <f t="shared" si="3801"/>
        <v>000000000000000</v>
      </c>
      <c r="BB648" s="23">
        <f t="shared" si="3827"/>
        <v>0</v>
      </c>
      <c r="BC648" s="49" t="str">
        <f t="shared" ref="BC648" si="4194">IF(BB648&lt;0,SUBSTITUTE(TEXT(BB648,"000000000000,00"),",",""),SUBSTITUTE(TEXT(BB648,"0000000000000,00"),",",""))</f>
        <v>000000000000000</v>
      </c>
      <c r="BD648" s="23">
        <f t="shared" si="3829"/>
        <v>0</v>
      </c>
      <c r="BE648" s="49" t="str">
        <f t="shared" ref="BE648" si="4195">IF(BD648&lt;0,SUBSTITUTE(TEXT(BD648,"000000000000,00"),",",""),SUBSTITUTE(TEXT(BD648,"0000000000000,00"),",",""))</f>
        <v>000000000000000</v>
      </c>
      <c r="BF648" s="23">
        <f t="shared" si="3831"/>
        <v>0</v>
      </c>
      <c r="BG648" s="49" t="str">
        <f t="shared" ref="BG648" si="4196">IF(BF648&lt;0,SUBSTITUTE(TEXT(BF648,"000000000000,00"),",",""),SUBSTITUTE(TEXT(BF648,"0000000000000,00"),",",""))</f>
        <v>000000000000000</v>
      </c>
      <c r="BH648" s="23">
        <f t="shared" si="3833"/>
        <v>0</v>
      </c>
      <c r="BI648" s="49" t="str">
        <f t="shared" ref="BI648" si="4197">IF(BH648&lt;0,SUBSTITUTE(TEXT(BH648,"000000000000,00"),",",""),SUBSTITUTE(TEXT(BH648,"0000000000000,00"),",",""))</f>
        <v>000000000000000</v>
      </c>
      <c r="BJ648" s="23">
        <f t="shared" si="3835"/>
        <v>0</v>
      </c>
      <c r="BK648" s="49" t="str">
        <f t="shared" ref="BK648" si="4198">IF(BJ648&lt;0,SUBSTITUTE(TEXT(BJ648,"000000000000,00"),",",""),SUBSTITUTE(TEXT(BJ648,"0000000000000,00"),",",""))</f>
        <v>000000000000000</v>
      </c>
      <c r="BL648" s="23">
        <f t="shared" si="3837"/>
        <v>0</v>
      </c>
      <c r="BM648" s="49" t="str">
        <f t="shared" ref="BM648" si="4199">IF(BL648&lt;0,SUBSTITUTE(TEXT(BL648,"000000000000,00"),",",""),SUBSTITUTE(TEXT(BL648,"0000000000000,00"),",",""))</f>
        <v>000000000000000</v>
      </c>
      <c r="BN648" t="str">
        <f t="shared" si="3839"/>
        <v>PES</v>
      </c>
      <c r="BO648" t="str">
        <f t="shared" si="3840"/>
        <v>0001000000</v>
      </c>
      <c r="BP648">
        <f t="shared" si="3841"/>
        <v>0</v>
      </c>
      <c r="BQ648">
        <f t="shared" si="3842"/>
        <v>0</v>
      </c>
      <c r="BR648" s="23">
        <f t="shared" si="3843"/>
        <v>0</v>
      </c>
      <c r="BS648" s="49" t="str">
        <f t="shared" si="3808"/>
        <v>000000000000000</v>
      </c>
      <c r="BT648" t="str">
        <f t="shared" si="3844"/>
        <v>00000000</v>
      </c>
      <c r="BU648" s="23">
        <f t="shared" si="3845"/>
        <v>0</v>
      </c>
      <c r="BV648" s="49" t="str">
        <f t="shared" si="3809"/>
        <v/>
      </c>
      <c r="BW648" s="52" t="str">
        <f t="shared" si="3846"/>
        <v/>
      </c>
      <c r="BX648" s="23">
        <f t="shared" si="3847"/>
        <v>0</v>
      </c>
      <c r="BY648" s="49" t="str">
        <f t="shared" si="3810"/>
        <v/>
      </c>
      <c r="BZ648" s="23">
        <f t="shared" si="3848"/>
        <v>0</v>
      </c>
      <c r="CA648" s="49" t="str">
        <f t="shared" si="3811"/>
        <v/>
      </c>
      <c r="CB648" s="52" t="str">
        <f t="shared" si="3849"/>
        <v/>
      </c>
      <c r="CC648" s="23">
        <f t="shared" si="3850"/>
        <v>0</v>
      </c>
      <c r="CD648" s="49" t="str">
        <f t="shared" si="3812"/>
        <v/>
      </c>
      <c r="CE648" s="56" t="str">
        <f>IF(CF648="","",MAX(CE$10:$CE647)+1)</f>
        <v/>
      </c>
      <c r="CF648" t="str">
        <f t="shared" si="3851"/>
        <v/>
      </c>
      <c r="CG648" s="22" t="str">
        <f>IF(CH648="","",MAX($CG$10:CG647)+1)</f>
        <v/>
      </c>
      <c r="CH648" s="22" t="str">
        <f t="shared" si="3796"/>
        <v/>
      </c>
      <c r="CI648" s="22" t="str">
        <f>IF(CJ648="","",MAX($CI$10:CI647)+1)</f>
        <v/>
      </c>
      <c r="CJ648" s="22" t="str">
        <f t="shared" si="3797"/>
        <v/>
      </c>
    </row>
    <row r="649" spans="2:88" x14ac:dyDescent="0.25">
      <c r="B649" s="37"/>
      <c r="C649" s="3"/>
      <c r="D649" s="77" t="str">
        <f t="shared" si="3783"/>
        <v/>
      </c>
      <c r="E649" s="38"/>
      <c r="F649" s="38"/>
      <c r="G649" s="78">
        <f t="shared" si="3798"/>
        <v>0</v>
      </c>
      <c r="H649" s="3">
        <v>80</v>
      </c>
      <c r="I649" s="77" t="str">
        <f t="shared" si="3784"/>
        <v/>
      </c>
      <c r="J649" s="32"/>
      <c r="K649" s="3"/>
      <c r="L649" s="39"/>
      <c r="M649" s="39"/>
      <c r="N649" s="39"/>
      <c r="O649" s="39"/>
      <c r="P649" s="39"/>
      <c r="Q649" s="39"/>
      <c r="R649" s="39"/>
      <c r="S649" s="39"/>
      <c r="T649" s="3" t="s">
        <v>645</v>
      </c>
      <c r="U649" s="77" t="str">
        <f t="shared" si="3785"/>
        <v/>
      </c>
      <c r="V649" s="39">
        <v>1</v>
      </c>
      <c r="W649" s="79">
        <f t="shared" si="3799"/>
        <v>0</v>
      </c>
      <c r="X649" s="3">
        <v>0</v>
      </c>
      <c r="Y649" s="77" t="str">
        <f t="shared" si="3786"/>
        <v/>
      </c>
      <c r="Z649" s="3"/>
      <c r="AA649" s="37" t="str">
        <f t="shared" si="3800"/>
        <v/>
      </c>
      <c r="AC649" s="40"/>
      <c r="AD649" s="7"/>
      <c r="AE649" s="77" t="str">
        <f t="shared" si="3787"/>
        <v/>
      </c>
      <c r="AF649" s="81">
        <f t="shared" si="3813"/>
        <v>0</v>
      </c>
      <c r="AG649" s="40"/>
      <c r="AH649" s="7"/>
      <c r="AI649" s="77" t="str">
        <f t="shared" si="3788"/>
        <v/>
      </c>
      <c r="AJ649" s="81">
        <f t="shared" si="3814"/>
        <v>0</v>
      </c>
      <c r="AK649" s="83">
        <f t="shared" si="3815"/>
        <v>0</v>
      </c>
      <c r="AL649" s="83">
        <f t="shared" si="3816"/>
        <v>0</v>
      </c>
      <c r="AN649" s="43">
        <f t="shared" si="3789"/>
        <v>0</v>
      </c>
      <c r="AP649" t="str">
        <f t="shared" si="3817"/>
        <v/>
      </c>
      <c r="AQ649" t="str">
        <f t="shared" si="3818"/>
        <v/>
      </c>
      <c r="AR649" t="str">
        <f t="shared" si="3819"/>
        <v/>
      </c>
      <c r="AS649" t="str">
        <f t="shared" si="3820"/>
        <v/>
      </c>
      <c r="AT649" t="str">
        <f t="shared" si="3821"/>
        <v/>
      </c>
      <c r="AU649" t="str">
        <f t="shared" si="3822"/>
        <v/>
      </c>
      <c r="AV649" t="str">
        <f t="shared" si="3823"/>
        <v/>
      </c>
      <c r="AW649" t="str">
        <f t="shared" si="3824"/>
        <v xml:space="preserve">                              </v>
      </c>
      <c r="AX649" s="23">
        <f t="shared" si="3825"/>
        <v>0</v>
      </c>
      <c r="AY649" s="49" t="str">
        <f t="shared" si="3801"/>
        <v>000000000000000</v>
      </c>
      <c r="AZ649" s="23">
        <f t="shared" si="3826"/>
        <v>0</v>
      </c>
      <c r="BA649" s="49" t="str">
        <f t="shared" si="3801"/>
        <v>000000000000000</v>
      </c>
      <c r="BB649" s="23">
        <f t="shared" si="3827"/>
        <v>0</v>
      </c>
      <c r="BC649" s="49" t="str">
        <f t="shared" ref="BC649" si="4200">IF(BB649&lt;0,SUBSTITUTE(TEXT(BB649,"000000000000,00"),",",""),SUBSTITUTE(TEXT(BB649,"0000000000000,00"),",",""))</f>
        <v>000000000000000</v>
      </c>
      <c r="BD649" s="23">
        <f t="shared" si="3829"/>
        <v>0</v>
      </c>
      <c r="BE649" s="49" t="str">
        <f t="shared" ref="BE649" si="4201">IF(BD649&lt;0,SUBSTITUTE(TEXT(BD649,"000000000000,00"),",",""),SUBSTITUTE(TEXT(BD649,"0000000000000,00"),",",""))</f>
        <v>000000000000000</v>
      </c>
      <c r="BF649" s="23">
        <f t="shared" si="3831"/>
        <v>0</v>
      </c>
      <c r="BG649" s="49" t="str">
        <f t="shared" ref="BG649" si="4202">IF(BF649&lt;0,SUBSTITUTE(TEXT(BF649,"000000000000,00"),",",""),SUBSTITUTE(TEXT(BF649,"0000000000000,00"),",",""))</f>
        <v>000000000000000</v>
      </c>
      <c r="BH649" s="23">
        <f t="shared" si="3833"/>
        <v>0</v>
      </c>
      <c r="BI649" s="49" t="str">
        <f t="shared" ref="BI649" si="4203">IF(BH649&lt;0,SUBSTITUTE(TEXT(BH649,"000000000000,00"),",",""),SUBSTITUTE(TEXT(BH649,"0000000000000,00"),",",""))</f>
        <v>000000000000000</v>
      </c>
      <c r="BJ649" s="23">
        <f t="shared" si="3835"/>
        <v>0</v>
      </c>
      <c r="BK649" s="49" t="str">
        <f t="shared" ref="BK649" si="4204">IF(BJ649&lt;0,SUBSTITUTE(TEXT(BJ649,"000000000000,00"),",",""),SUBSTITUTE(TEXT(BJ649,"0000000000000,00"),",",""))</f>
        <v>000000000000000</v>
      </c>
      <c r="BL649" s="23">
        <f t="shared" si="3837"/>
        <v>0</v>
      </c>
      <c r="BM649" s="49" t="str">
        <f t="shared" ref="BM649" si="4205">IF(BL649&lt;0,SUBSTITUTE(TEXT(BL649,"000000000000,00"),",",""),SUBSTITUTE(TEXT(BL649,"0000000000000,00"),",",""))</f>
        <v>000000000000000</v>
      </c>
      <c r="BN649" t="str">
        <f t="shared" si="3839"/>
        <v>PES</v>
      </c>
      <c r="BO649" t="str">
        <f t="shared" si="3840"/>
        <v>0001000000</v>
      </c>
      <c r="BP649">
        <f t="shared" si="3841"/>
        <v>0</v>
      </c>
      <c r="BQ649">
        <f t="shared" si="3842"/>
        <v>0</v>
      </c>
      <c r="BR649" s="23">
        <f t="shared" si="3843"/>
        <v>0</v>
      </c>
      <c r="BS649" s="49" t="str">
        <f t="shared" si="3808"/>
        <v>000000000000000</v>
      </c>
      <c r="BT649" t="str">
        <f t="shared" si="3844"/>
        <v>00000000</v>
      </c>
      <c r="BU649" s="23">
        <f t="shared" si="3845"/>
        <v>0</v>
      </c>
      <c r="BV649" s="49" t="str">
        <f t="shared" si="3809"/>
        <v/>
      </c>
      <c r="BW649" s="52" t="str">
        <f t="shared" si="3846"/>
        <v/>
      </c>
      <c r="BX649" s="23">
        <f t="shared" si="3847"/>
        <v>0</v>
      </c>
      <c r="BY649" s="49" t="str">
        <f t="shared" si="3810"/>
        <v/>
      </c>
      <c r="BZ649" s="23">
        <f t="shared" si="3848"/>
        <v>0</v>
      </c>
      <c r="CA649" s="49" t="str">
        <f t="shared" si="3811"/>
        <v/>
      </c>
      <c r="CB649" s="52" t="str">
        <f t="shared" si="3849"/>
        <v/>
      </c>
      <c r="CC649" s="23">
        <f t="shared" si="3850"/>
        <v>0</v>
      </c>
      <c r="CD649" s="49" t="str">
        <f t="shared" si="3812"/>
        <v/>
      </c>
      <c r="CE649" s="56" t="str">
        <f>IF(CF649="","",MAX(CE$10:$CE648)+1)</f>
        <v/>
      </c>
      <c r="CF649" t="str">
        <f t="shared" si="3851"/>
        <v/>
      </c>
      <c r="CG649" s="22" t="str">
        <f>IF(CH649="","",MAX($CG$10:CG648)+1)</f>
        <v/>
      </c>
      <c r="CH649" s="22" t="str">
        <f t="shared" si="3796"/>
        <v/>
      </c>
      <c r="CI649" s="22" t="str">
        <f>IF(CJ649="","",MAX($CI$10:CI648)+1)</f>
        <v/>
      </c>
      <c r="CJ649" s="22" t="str">
        <f t="shared" si="3797"/>
        <v/>
      </c>
    </row>
    <row r="650" spans="2:88" x14ac:dyDescent="0.25">
      <c r="B650" s="37"/>
      <c r="C650" s="3"/>
      <c r="D650" s="77" t="str">
        <f t="shared" si="3783"/>
        <v/>
      </c>
      <c r="E650" s="38"/>
      <c r="F650" s="38"/>
      <c r="G650" s="78">
        <f t="shared" si="3798"/>
        <v>0</v>
      </c>
      <c r="H650" s="3">
        <v>80</v>
      </c>
      <c r="I650" s="77" t="str">
        <f t="shared" si="3784"/>
        <v/>
      </c>
      <c r="J650" s="32"/>
      <c r="K650" s="3"/>
      <c r="L650" s="39"/>
      <c r="M650" s="39"/>
      <c r="N650" s="39"/>
      <c r="O650" s="39"/>
      <c r="P650" s="39"/>
      <c r="Q650" s="39"/>
      <c r="R650" s="39"/>
      <c r="S650" s="39"/>
      <c r="T650" s="3" t="s">
        <v>645</v>
      </c>
      <c r="U650" s="77" t="str">
        <f t="shared" si="3785"/>
        <v/>
      </c>
      <c r="V650" s="39">
        <v>1</v>
      </c>
      <c r="W650" s="79">
        <f t="shared" si="3799"/>
        <v>0</v>
      </c>
      <c r="X650" s="3">
        <v>0</v>
      </c>
      <c r="Y650" s="77" t="str">
        <f t="shared" si="3786"/>
        <v/>
      </c>
      <c r="Z650" s="3"/>
      <c r="AA650" s="37" t="str">
        <f t="shared" si="3800"/>
        <v/>
      </c>
      <c r="AC650" s="40"/>
      <c r="AD650" s="7"/>
      <c r="AE650" s="77" t="str">
        <f t="shared" si="3787"/>
        <v/>
      </c>
      <c r="AF650" s="81">
        <f t="shared" si="3813"/>
        <v>0</v>
      </c>
      <c r="AG650" s="40"/>
      <c r="AH650" s="7"/>
      <c r="AI650" s="77" t="str">
        <f t="shared" si="3788"/>
        <v/>
      </c>
      <c r="AJ650" s="81">
        <f t="shared" si="3814"/>
        <v>0</v>
      </c>
      <c r="AK650" s="83">
        <f t="shared" si="3815"/>
        <v>0</v>
      </c>
      <c r="AL650" s="83">
        <f t="shared" si="3816"/>
        <v>0</v>
      </c>
      <c r="AN650" s="43">
        <f t="shared" si="3789"/>
        <v>0</v>
      </c>
      <c r="AP650" t="str">
        <f t="shared" si="3817"/>
        <v/>
      </c>
      <c r="AQ650" t="str">
        <f t="shared" si="3818"/>
        <v/>
      </c>
      <c r="AR650" t="str">
        <f t="shared" si="3819"/>
        <v/>
      </c>
      <c r="AS650" t="str">
        <f t="shared" si="3820"/>
        <v/>
      </c>
      <c r="AT650" t="str">
        <f t="shared" si="3821"/>
        <v/>
      </c>
      <c r="AU650" t="str">
        <f t="shared" si="3822"/>
        <v/>
      </c>
      <c r="AV650" t="str">
        <f t="shared" si="3823"/>
        <v/>
      </c>
      <c r="AW650" t="str">
        <f t="shared" si="3824"/>
        <v xml:space="preserve">                              </v>
      </c>
      <c r="AX650" s="23">
        <f t="shared" si="3825"/>
        <v>0</v>
      </c>
      <c r="AY650" s="49" t="str">
        <f t="shared" si="3801"/>
        <v>000000000000000</v>
      </c>
      <c r="AZ650" s="23">
        <f t="shared" si="3826"/>
        <v>0</v>
      </c>
      <c r="BA650" s="49" t="str">
        <f t="shared" si="3801"/>
        <v>000000000000000</v>
      </c>
      <c r="BB650" s="23">
        <f t="shared" si="3827"/>
        <v>0</v>
      </c>
      <c r="BC650" s="49" t="str">
        <f t="shared" ref="BC650" si="4206">IF(BB650&lt;0,SUBSTITUTE(TEXT(BB650,"000000000000,00"),",",""),SUBSTITUTE(TEXT(BB650,"0000000000000,00"),",",""))</f>
        <v>000000000000000</v>
      </c>
      <c r="BD650" s="23">
        <f t="shared" si="3829"/>
        <v>0</v>
      </c>
      <c r="BE650" s="49" t="str">
        <f t="shared" ref="BE650" si="4207">IF(BD650&lt;0,SUBSTITUTE(TEXT(BD650,"000000000000,00"),",",""),SUBSTITUTE(TEXT(BD650,"0000000000000,00"),",",""))</f>
        <v>000000000000000</v>
      </c>
      <c r="BF650" s="23">
        <f t="shared" si="3831"/>
        <v>0</v>
      </c>
      <c r="BG650" s="49" t="str">
        <f t="shared" ref="BG650" si="4208">IF(BF650&lt;0,SUBSTITUTE(TEXT(BF650,"000000000000,00"),",",""),SUBSTITUTE(TEXT(BF650,"0000000000000,00"),",",""))</f>
        <v>000000000000000</v>
      </c>
      <c r="BH650" s="23">
        <f t="shared" si="3833"/>
        <v>0</v>
      </c>
      <c r="BI650" s="49" t="str">
        <f t="shared" ref="BI650" si="4209">IF(BH650&lt;0,SUBSTITUTE(TEXT(BH650,"000000000000,00"),",",""),SUBSTITUTE(TEXT(BH650,"0000000000000,00"),",",""))</f>
        <v>000000000000000</v>
      </c>
      <c r="BJ650" s="23">
        <f t="shared" si="3835"/>
        <v>0</v>
      </c>
      <c r="BK650" s="49" t="str">
        <f t="shared" ref="BK650" si="4210">IF(BJ650&lt;0,SUBSTITUTE(TEXT(BJ650,"000000000000,00"),",",""),SUBSTITUTE(TEXT(BJ650,"0000000000000,00"),",",""))</f>
        <v>000000000000000</v>
      </c>
      <c r="BL650" s="23">
        <f t="shared" si="3837"/>
        <v>0</v>
      </c>
      <c r="BM650" s="49" t="str">
        <f t="shared" ref="BM650" si="4211">IF(BL650&lt;0,SUBSTITUTE(TEXT(BL650,"000000000000,00"),",",""),SUBSTITUTE(TEXT(BL650,"0000000000000,00"),",",""))</f>
        <v>000000000000000</v>
      </c>
      <c r="BN650" t="str">
        <f t="shared" si="3839"/>
        <v>PES</v>
      </c>
      <c r="BO650" t="str">
        <f t="shared" si="3840"/>
        <v>0001000000</v>
      </c>
      <c r="BP650">
        <f t="shared" si="3841"/>
        <v>0</v>
      </c>
      <c r="BQ650">
        <f t="shared" si="3842"/>
        <v>0</v>
      </c>
      <c r="BR650" s="23">
        <f t="shared" si="3843"/>
        <v>0</v>
      </c>
      <c r="BS650" s="49" t="str">
        <f t="shared" si="3808"/>
        <v>000000000000000</v>
      </c>
      <c r="BT650" t="str">
        <f t="shared" si="3844"/>
        <v>00000000</v>
      </c>
      <c r="BU650" s="23">
        <f t="shared" si="3845"/>
        <v>0</v>
      </c>
      <c r="BV650" s="49" t="str">
        <f t="shared" si="3809"/>
        <v/>
      </c>
      <c r="BW650" s="52" t="str">
        <f t="shared" si="3846"/>
        <v/>
      </c>
      <c r="BX650" s="23">
        <f t="shared" si="3847"/>
        <v>0</v>
      </c>
      <c r="BY650" s="49" t="str">
        <f t="shared" si="3810"/>
        <v/>
      </c>
      <c r="BZ650" s="23">
        <f t="shared" si="3848"/>
        <v>0</v>
      </c>
      <c r="CA650" s="49" t="str">
        <f t="shared" si="3811"/>
        <v/>
      </c>
      <c r="CB650" s="52" t="str">
        <f t="shared" si="3849"/>
        <v/>
      </c>
      <c r="CC650" s="23">
        <f t="shared" si="3850"/>
        <v>0</v>
      </c>
      <c r="CD650" s="49" t="str">
        <f t="shared" si="3812"/>
        <v/>
      </c>
      <c r="CE650" s="56" t="str">
        <f>IF(CF650="","",MAX(CE$10:$CE649)+1)</f>
        <v/>
      </c>
      <c r="CF650" t="str">
        <f t="shared" si="3851"/>
        <v/>
      </c>
      <c r="CG650" s="22" t="str">
        <f>IF(CH650="","",MAX($CG$10:CG649)+1)</f>
        <v/>
      </c>
      <c r="CH650" s="22" t="str">
        <f t="shared" si="3796"/>
        <v/>
      </c>
      <c r="CI650" s="22" t="str">
        <f>IF(CJ650="","",MAX($CI$10:CI649)+1)</f>
        <v/>
      </c>
      <c r="CJ650" s="22" t="str">
        <f t="shared" si="3797"/>
        <v/>
      </c>
    </row>
    <row r="651" spans="2:88" x14ac:dyDescent="0.25">
      <c r="B651" s="37"/>
      <c r="C651" s="3"/>
      <c r="D651" s="77" t="str">
        <f t="shared" si="3783"/>
        <v/>
      </c>
      <c r="E651" s="38"/>
      <c r="F651" s="38"/>
      <c r="G651" s="78">
        <f t="shared" si="3798"/>
        <v>0</v>
      </c>
      <c r="H651" s="3">
        <v>80</v>
      </c>
      <c r="I651" s="77" t="str">
        <f t="shared" si="3784"/>
        <v/>
      </c>
      <c r="J651" s="32"/>
      <c r="K651" s="3"/>
      <c r="L651" s="39"/>
      <c r="M651" s="39"/>
      <c r="N651" s="39"/>
      <c r="O651" s="39"/>
      <c r="P651" s="39"/>
      <c r="Q651" s="39"/>
      <c r="R651" s="39"/>
      <c r="S651" s="39"/>
      <c r="T651" s="3" t="s">
        <v>645</v>
      </c>
      <c r="U651" s="77" t="str">
        <f t="shared" si="3785"/>
        <v/>
      </c>
      <c r="V651" s="39">
        <v>1</v>
      </c>
      <c r="W651" s="79">
        <f t="shared" si="3799"/>
        <v>0</v>
      </c>
      <c r="X651" s="3">
        <v>0</v>
      </c>
      <c r="Y651" s="77" t="str">
        <f t="shared" si="3786"/>
        <v/>
      </c>
      <c r="Z651" s="3"/>
      <c r="AA651" s="37" t="str">
        <f t="shared" si="3800"/>
        <v/>
      </c>
      <c r="AC651" s="40"/>
      <c r="AD651" s="7"/>
      <c r="AE651" s="77" t="str">
        <f t="shared" si="3787"/>
        <v/>
      </c>
      <c r="AF651" s="81">
        <f t="shared" si="3813"/>
        <v>0</v>
      </c>
      <c r="AG651" s="40"/>
      <c r="AH651" s="7"/>
      <c r="AI651" s="77" t="str">
        <f t="shared" si="3788"/>
        <v/>
      </c>
      <c r="AJ651" s="81">
        <f t="shared" si="3814"/>
        <v>0</v>
      </c>
      <c r="AK651" s="83">
        <f t="shared" si="3815"/>
        <v>0</v>
      </c>
      <c r="AL651" s="83">
        <f t="shared" si="3816"/>
        <v>0</v>
      </c>
      <c r="AN651" s="43">
        <f t="shared" si="3789"/>
        <v>0</v>
      </c>
      <c r="AP651" t="str">
        <f t="shared" si="3817"/>
        <v/>
      </c>
      <c r="AQ651" t="str">
        <f t="shared" si="3818"/>
        <v/>
      </c>
      <c r="AR651" t="str">
        <f t="shared" si="3819"/>
        <v/>
      </c>
      <c r="AS651" t="str">
        <f t="shared" si="3820"/>
        <v/>
      </c>
      <c r="AT651" t="str">
        <f t="shared" si="3821"/>
        <v/>
      </c>
      <c r="AU651" t="str">
        <f t="shared" si="3822"/>
        <v/>
      </c>
      <c r="AV651" t="str">
        <f t="shared" si="3823"/>
        <v/>
      </c>
      <c r="AW651" t="str">
        <f t="shared" si="3824"/>
        <v xml:space="preserve">                              </v>
      </c>
      <c r="AX651" s="23">
        <f t="shared" si="3825"/>
        <v>0</v>
      </c>
      <c r="AY651" s="49" t="str">
        <f t="shared" si="3801"/>
        <v>000000000000000</v>
      </c>
      <c r="AZ651" s="23">
        <f t="shared" si="3826"/>
        <v>0</v>
      </c>
      <c r="BA651" s="49" t="str">
        <f t="shared" si="3801"/>
        <v>000000000000000</v>
      </c>
      <c r="BB651" s="23">
        <f t="shared" si="3827"/>
        <v>0</v>
      </c>
      <c r="BC651" s="49" t="str">
        <f t="shared" ref="BC651" si="4212">IF(BB651&lt;0,SUBSTITUTE(TEXT(BB651,"000000000000,00"),",",""),SUBSTITUTE(TEXT(BB651,"0000000000000,00"),",",""))</f>
        <v>000000000000000</v>
      </c>
      <c r="BD651" s="23">
        <f t="shared" si="3829"/>
        <v>0</v>
      </c>
      <c r="BE651" s="49" t="str">
        <f t="shared" ref="BE651" si="4213">IF(BD651&lt;0,SUBSTITUTE(TEXT(BD651,"000000000000,00"),",",""),SUBSTITUTE(TEXT(BD651,"0000000000000,00"),",",""))</f>
        <v>000000000000000</v>
      </c>
      <c r="BF651" s="23">
        <f t="shared" si="3831"/>
        <v>0</v>
      </c>
      <c r="BG651" s="49" t="str">
        <f t="shared" ref="BG651" si="4214">IF(BF651&lt;0,SUBSTITUTE(TEXT(BF651,"000000000000,00"),",",""),SUBSTITUTE(TEXT(BF651,"0000000000000,00"),",",""))</f>
        <v>000000000000000</v>
      </c>
      <c r="BH651" s="23">
        <f t="shared" si="3833"/>
        <v>0</v>
      </c>
      <c r="BI651" s="49" t="str">
        <f t="shared" ref="BI651" si="4215">IF(BH651&lt;0,SUBSTITUTE(TEXT(BH651,"000000000000,00"),",",""),SUBSTITUTE(TEXT(BH651,"0000000000000,00"),",",""))</f>
        <v>000000000000000</v>
      </c>
      <c r="BJ651" s="23">
        <f t="shared" si="3835"/>
        <v>0</v>
      </c>
      <c r="BK651" s="49" t="str">
        <f t="shared" ref="BK651" si="4216">IF(BJ651&lt;0,SUBSTITUTE(TEXT(BJ651,"000000000000,00"),",",""),SUBSTITUTE(TEXT(BJ651,"0000000000000,00"),",",""))</f>
        <v>000000000000000</v>
      </c>
      <c r="BL651" s="23">
        <f t="shared" si="3837"/>
        <v>0</v>
      </c>
      <c r="BM651" s="49" t="str">
        <f t="shared" ref="BM651" si="4217">IF(BL651&lt;0,SUBSTITUTE(TEXT(BL651,"000000000000,00"),",",""),SUBSTITUTE(TEXT(BL651,"0000000000000,00"),",",""))</f>
        <v>000000000000000</v>
      </c>
      <c r="BN651" t="str">
        <f t="shared" si="3839"/>
        <v>PES</v>
      </c>
      <c r="BO651" t="str">
        <f t="shared" si="3840"/>
        <v>0001000000</v>
      </c>
      <c r="BP651">
        <f t="shared" si="3841"/>
        <v>0</v>
      </c>
      <c r="BQ651">
        <f t="shared" si="3842"/>
        <v>0</v>
      </c>
      <c r="BR651" s="23">
        <f t="shared" si="3843"/>
        <v>0</v>
      </c>
      <c r="BS651" s="49" t="str">
        <f t="shared" si="3808"/>
        <v>000000000000000</v>
      </c>
      <c r="BT651" t="str">
        <f t="shared" si="3844"/>
        <v>00000000</v>
      </c>
      <c r="BU651" s="23">
        <f t="shared" si="3845"/>
        <v>0</v>
      </c>
      <c r="BV651" s="49" t="str">
        <f t="shared" si="3809"/>
        <v/>
      </c>
      <c r="BW651" s="52" t="str">
        <f t="shared" si="3846"/>
        <v/>
      </c>
      <c r="BX651" s="23">
        <f t="shared" si="3847"/>
        <v>0</v>
      </c>
      <c r="BY651" s="49" t="str">
        <f t="shared" si="3810"/>
        <v/>
      </c>
      <c r="BZ651" s="23">
        <f t="shared" si="3848"/>
        <v>0</v>
      </c>
      <c r="CA651" s="49" t="str">
        <f t="shared" si="3811"/>
        <v/>
      </c>
      <c r="CB651" s="52" t="str">
        <f t="shared" si="3849"/>
        <v/>
      </c>
      <c r="CC651" s="23">
        <f t="shared" si="3850"/>
        <v>0</v>
      </c>
      <c r="CD651" s="49" t="str">
        <f t="shared" si="3812"/>
        <v/>
      </c>
      <c r="CE651" s="56" t="str">
        <f>IF(CF651="","",MAX(CE$10:$CE650)+1)</f>
        <v/>
      </c>
      <c r="CF651" t="str">
        <f t="shared" si="3851"/>
        <v/>
      </c>
      <c r="CG651" s="22" t="str">
        <f>IF(CH651="","",MAX($CG$10:CG650)+1)</f>
        <v/>
      </c>
      <c r="CH651" s="22" t="str">
        <f t="shared" si="3796"/>
        <v/>
      </c>
      <c r="CI651" s="22" t="str">
        <f>IF(CJ651="","",MAX($CI$10:CI650)+1)</f>
        <v/>
      </c>
      <c r="CJ651" s="22" t="str">
        <f t="shared" si="3797"/>
        <v/>
      </c>
    </row>
    <row r="652" spans="2:88" x14ac:dyDescent="0.25">
      <c r="B652" s="37"/>
      <c r="C652" s="3"/>
      <c r="D652" s="77" t="str">
        <f t="shared" ref="D652:D715" si="4218">IF(B652="","",IF(ISERROR(VLOOKUP(C652,T_CompVentas,2,FALSE)),"",VLOOKUP(C652,T_CompVentas,2,FALSE)))</f>
        <v/>
      </c>
      <c r="E652" s="38"/>
      <c r="F652" s="38"/>
      <c r="G652" s="78">
        <f t="shared" si="3798"/>
        <v>0</v>
      </c>
      <c r="H652" s="3">
        <v>80</v>
      </c>
      <c r="I652" s="77" t="str">
        <f t="shared" ref="I652:I715" si="4219">IF(B652="","",IF(H652="","",IF(ISERROR(VLOOKUP(H652,T_Documentos,2,FALSE)),"",VLOOKUP(H652,T_Documentos,2,FALSE))))</f>
        <v/>
      </c>
      <c r="J652" s="32"/>
      <c r="K652" s="3"/>
      <c r="L652" s="39"/>
      <c r="M652" s="39"/>
      <c r="N652" s="39"/>
      <c r="O652" s="39"/>
      <c r="P652" s="39"/>
      <c r="Q652" s="39"/>
      <c r="R652" s="39"/>
      <c r="S652" s="39"/>
      <c r="T652" s="3" t="s">
        <v>645</v>
      </c>
      <c r="U652" s="77" t="str">
        <f t="shared" ref="U652:U715" si="4220">IF(B652="","",IF(ISERROR(VLOOKUP(T652,T_Monedas,2,FALSE)),"",VLOOKUP(T652,T_Monedas,2,FALSE)))</f>
        <v/>
      </c>
      <c r="V652" s="39">
        <v>1</v>
      </c>
      <c r="W652" s="79">
        <f t="shared" si="3799"/>
        <v>0</v>
      </c>
      <c r="X652" s="3">
        <v>0</v>
      </c>
      <c r="Y652" s="77" t="str">
        <f t="shared" ref="Y652:Y715" si="4221">IF(B652="","",IF(ISERROR(VLOOKUP(X652,T_CodOperVentas,2,FALSE)),"",VLOOKUP(X652,T_CodOperVentas,2,FALSE)))</f>
        <v/>
      </c>
      <c r="Z652" s="3"/>
      <c r="AA652" s="37" t="str">
        <f t="shared" si="3800"/>
        <v/>
      </c>
      <c r="AC652" s="40"/>
      <c r="AD652" s="7"/>
      <c r="AE652" s="77" t="str">
        <f t="shared" ref="AE652:AE715" si="4222">IF(B652="","",IF(AD652="","",IF(ISERROR(VLOOKUP(AD652,T_Alicuotas,2,FALSE)),"",VLOOKUP(AD652,T_Alicuotas,2,FALSE))))</f>
        <v/>
      </c>
      <c r="AF652" s="81">
        <f t="shared" si="3813"/>
        <v>0</v>
      </c>
      <c r="AG652" s="40"/>
      <c r="AH652" s="7"/>
      <c r="AI652" s="77" t="str">
        <f t="shared" ref="AI652:AI715" si="4223">IF(B652="","",IF(AH652="","",IF(ISERROR(VLOOKUP(AH652,T_Alicuotas,2,FALSE)),"",VLOOKUP(AH652,T_Alicuotas,2,FALSE))))</f>
        <v/>
      </c>
      <c r="AJ652" s="81">
        <f t="shared" si="3814"/>
        <v>0</v>
      </c>
      <c r="AK652" s="83">
        <f t="shared" si="3815"/>
        <v>0</v>
      </c>
      <c r="AL652" s="83">
        <f t="shared" si="3816"/>
        <v>0</v>
      </c>
      <c r="AN652" s="43">
        <f t="shared" ref="AN652:AN715" si="4224">+L652-M652-N652-O652-P652-Q652-R652-S652-AC652-AF652-AG652-AJ652</f>
        <v>0</v>
      </c>
      <c r="AP652" t="str">
        <f t="shared" si="3817"/>
        <v/>
      </c>
      <c r="AQ652" t="str">
        <f t="shared" si="3818"/>
        <v/>
      </c>
      <c r="AR652" t="str">
        <f t="shared" si="3819"/>
        <v/>
      </c>
      <c r="AS652" t="str">
        <f t="shared" si="3820"/>
        <v/>
      </c>
      <c r="AT652" t="str">
        <f t="shared" si="3821"/>
        <v/>
      </c>
      <c r="AU652" t="str">
        <f t="shared" si="3822"/>
        <v/>
      </c>
      <c r="AV652" t="str">
        <f t="shared" si="3823"/>
        <v/>
      </c>
      <c r="AW652" t="str">
        <f t="shared" si="3824"/>
        <v xml:space="preserve">                              </v>
      </c>
      <c r="AX652" s="23">
        <f t="shared" si="3825"/>
        <v>0</v>
      </c>
      <c r="AY652" s="49" t="str">
        <f t="shared" si="3801"/>
        <v>000000000000000</v>
      </c>
      <c r="AZ652" s="23">
        <f t="shared" si="3826"/>
        <v>0</v>
      </c>
      <c r="BA652" s="49" t="str">
        <f t="shared" si="3801"/>
        <v>000000000000000</v>
      </c>
      <c r="BB652" s="23">
        <f t="shared" si="3827"/>
        <v>0</v>
      </c>
      <c r="BC652" s="49" t="str">
        <f t="shared" ref="BC652" si="4225">IF(BB652&lt;0,SUBSTITUTE(TEXT(BB652,"000000000000,00"),",",""),SUBSTITUTE(TEXT(BB652,"0000000000000,00"),",",""))</f>
        <v>000000000000000</v>
      </c>
      <c r="BD652" s="23">
        <f t="shared" si="3829"/>
        <v>0</v>
      </c>
      <c r="BE652" s="49" t="str">
        <f t="shared" ref="BE652" si="4226">IF(BD652&lt;0,SUBSTITUTE(TEXT(BD652,"000000000000,00"),",",""),SUBSTITUTE(TEXT(BD652,"0000000000000,00"),",",""))</f>
        <v>000000000000000</v>
      </c>
      <c r="BF652" s="23">
        <f t="shared" si="3831"/>
        <v>0</v>
      </c>
      <c r="BG652" s="49" t="str">
        <f t="shared" ref="BG652" si="4227">IF(BF652&lt;0,SUBSTITUTE(TEXT(BF652,"000000000000,00"),",",""),SUBSTITUTE(TEXT(BF652,"0000000000000,00"),",",""))</f>
        <v>000000000000000</v>
      </c>
      <c r="BH652" s="23">
        <f t="shared" si="3833"/>
        <v>0</v>
      </c>
      <c r="BI652" s="49" t="str">
        <f t="shared" ref="BI652" si="4228">IF(BH652&lt;0,SUBSTITUTE(TEXT(BH652,"000000000000,00"),",",""),SUBSTITUTE(TEXT(BH652,"0000000000000,00"),",",""))</f>
        <v>000000000000000</v>
      </c>
      <c r="BJ652" s="23">
        <f t="shared" si="3835"/>
        <v>0</v>
      </c>
      <c r="BK652" s="49" t="str">
        <f t="shared" ref="BK652" si="4229">IF(BJ652&lt;0,SUBSTITUTE(TEXT(BJ652,"000000000000,00"),",",""),SUBSTITUTE(TEXT(BJ652,"0000000000000,00"),",",""))</f>
        <v>000000000000000</v>
      </c>
      <c r="BL652" s="23">
        <f t="shared" si="3837"/>
        <v>0</v>
      </c>
      <c r="BM652" s="49" t="str">
        <f t="shared" ref="BM652" si="4230">IF(BL652&lt;0,SUBSTITUTE(TEXT(BL652,"000000000000,00"),",",""),SUBSTITUTE(TEXT(BL652,"0000000000000,00"),",",""))</f>
        <v>000000000000000</v>
      </c>
      <c r="BN652" t="str">
        <f t="shared" si="3839"/>
        <v>PES</v>
      </c>
      <c r="BO652" t="str">
        <f t="shared" si="3840"/>
        <v>0001000000</v>
      </c>
      <c r="BP652">
        <f t="shared" si="3841"/>
        <v>0</v>
      </c>
      <c r="BQ652">
        <f t="shared" si="3842"/>
        <v>0</v>
      </c>
      <c r="BR652" s="23">
        <f t="shared" si="3843"/>
        <v>0</v>
      </c>
      <c r="BS652" s="49" t="str">
        <f t="shared" si="3808"/>
        <v>000000000000000</v>
      </c>
      <c r="BT652" t="str">
        <f t="shared" si="3844"/>
        <v>00000000</v>
      </c>
      <c r="BU652" s="23">
        <f t="shared" si="3845"/>
        <v>0</v>
      </c>
      <c r="BV652" s="49" t="str">
        <f t="shared" si="3809"/>
        <v/>
      </c>
      <c r="BW652" s="52" t="str">
        <f t="shared" si="3846"/>
        <v/>
      </c>
      <c r="BX652" s="23">
        <f t="shared" si="3847"/>
        <v>0</v>
      </c>
      <c r="BY652" s="49" t="str">
        <f t="shared" si="3810"/>
        <v/>
      </c>
      <c r="BZ652" s="23">
        <f t="shared" si="3848"/>
        <v>0</v>
      </c>
      <c r="CA652" s="49" t="str">
        <f t="shared" si="3811"/>
        <v/>
      </c>
      <c r="CB652" s="52" t="str">
        <f t="shared" si="3849"/>
        <v/>
      </c>
      <c r="CC652" s="23">
        <f t="shared" si="3850"/>
        <v>0</v>
      </c>
      <c r="CD652" s="49" t="str">
        <f t="shared" si="3812"/>
        <v/>
      </c>
      <c r="CE652" s="56" t="str">
        <f>IF(CF652="","",MAX(CE$10:$CE651)+1)</f>
        <v/>
      </c>
      <c r="CF652" t="str">
        <f t="shared" si="3851"/>
        <v/>
      </c>
      <c r="CG652" s="22" t="str">
        <f>IF(CH652="","",MAX($CG$10:CG651)+1)</f>
        <v/>
      </c>
      <c r="CH652" s="22" t="str">
        <f t="shared" ref="CH652:CH715" si="4231">IF(BV652="","",AQ652&amp;AR652&amp;AS652&amp;BV652&amp;BW652&amp;BY652)</f>
        <v/>
      </c>
      <c r="CI652" s="22" t="str">
        <f>IF(CJ652="","",MAX($CI$10:CI651)+1)</f>
        <v/>
      </c>
      <c r="CJ652" s="22" t="str">
        <f t="shared" ref="CJ652:CJ715" si="4232">IF(CA652="","",AQ652&amp;AR652&amp;AS652&amp;CA652&amp;CB652&amp;CD652)</f>
        <v/>
      </c>
    </row>
    <row r="653" spans="2:88" x14ac:dyDescent="0.25">
      <c r="B653" s="37"/>
      <c r="C653" s="3"/>
      <c r="D653" s="77" t="str">
        <f t="shared" si="4218"/>
        <v/>
      </c>
      <c r="E653" s="38"/>
      <c r="F653" s="38"/>
      <c r="G653" s="78">
        <f t="shared" ref="G653:G716" si="4233">+F653</f>
        <v>0</v>
      </c>
      <c r="H653" s="3">
        <v>80</v>
      </c>
      <c r="I653" s="77" t="str">
        <f t="shared" si="4219"/>
        <v/>
      </c>
      <c r="J653" s="32"/>
      <c r="K653" s="3"/>
      <c r="L653" s="39"/>
      <c r="M653" s="39"/>
      <c r="N653" s="39"/>
      <c r="O653" s="39"/>
      <c r="P653" s="39"/>
      <c r="Q653" s="39"/>
      <c r="R653" s="39"/>
      <c r="S653" s="39"/>
      <c r="T653" s="3" t="s">
        <v>645</v>
      </c>
      <c r="U653" s="77" t="str">
        <f t="shared" si="4220"/>
        <v/>
      </c>
      <c r="V653" s="39">
        <v>1</v>
      </c>
      <c r="W653" s="79">
        <f t="shared" ref="W653:W716" si="4234">IF(AD653="",0,1)+IF(OR(AH653=""),0,1)</f>
        <v>0</v>
      </c>
      <c r="X653" s="3">
        <v>0</v>
      </c>
      <c r="Y653" s="77" t="str">
        <f t="shared" si="4221"/>
        <v/>
      </c>
      <c r="Z653" s="3"/>
      <c r="AA653" s="37" t="str">
        <f t="shared" ref="AA653:AA716" si="4235">IF(OR(B653="",C653=82),"",B653)</f>
        <v/>
      </c>
      <c r="AC653" s="40"/>
      <c r="AD653" s="7"/>
      <c r="AE653" s="77" t="str">
        <f t="shared" si="4222"/>
        <v/>
      </c>
      <c r="AF653" s="81">
        <f t="shared" si="3813"/>
        <v>0</v>
      </c>
      <c r="AG653" s="40"/>
      <c r="AH653" s="7"/>
      <c r="AI653" s="77" t="str">
        <f t="shared" si="4223"/>
        <v/>
      </c>
      <c r="AJ653" s="81">
        <f t="shared" si="3814"/>
        <v>0</v>
      </c>
      <c r="AK653" s="83">
        <f t="shared" si="3815"/>
        <v>0</v>
      </c>
      <c r="AL653" s="83">
        <f t="shared" si="3816"/>
        <v>0</v>
      </c>
      <c r="AN653" s="43">
        <f t="shared" si="4224"/>
        <v>0</v>
      </c>
      <c r="AP653" t="str">
        <f t="shared" si="3817"/>
        <v/>
      </c>
      <c r="AQ653" t="str">
        <f t="shared" si="3818"/>
        <v/>
      </c>
      <c r="AR653" t="str">
        <f t="shared" si="3819"/>
        <v/>
      </c>
      <c r="AS653" t="str">
        <f t="shared" si="3820"/>
        <v/>
      </c>
      <c r="AT653" t="str">
        <f t="shared" si="3821"/>
        <v/>
      </c>
      <c r="AU653" t="str">
        <f t="shared" si="3822"/>
        <v/>
      </c>
      <c r="AV653" t="str">
        <f t="shared" si="3823"/>
        <v/>
      </c>
      <c r="AW653" t="str">
        <f t="shared" si="3824"/>
        <v xml:space="preserve">                              </v>
      </c>
      <c r="AX653" s="23">
        <f t="shared" si="3825"/>
        <v>0</v>
      </c>
      <c r="AY653" s="49" t="str">
        <f t="shared" ref="AY653:BA716" si="4236">IF(AX653&lt;0,SUBSTITUTE(TEXT(AX653,"000000000000,00"),",",""),SUBSTITUTE(TEXT(AX653,"0000000000000,00"),",",""))</f>
        <v>000000000000000</v>
      </c>
      <c r="AZ653" s="23">
        <f t="shared" si="3826"/>
        <v>0</v>
      </c>
      <c r="BA653" s="49" t="str">
        <f t="shared" si="4236"/>
        <v>000000000000000</v>
      </c>
      <c r="BB653" s="23">
        <f t="shared" si="3827"/>
        <v>0</v>
      </c>
      <c r="BC653" s="49" t="str">
        <f t="shared" ref="BC653" si="4237">IF(BB653&lt;0,SUBSTITUTE(TEXT(BB653,"000000000000,00"),",",""),SUBSTITUTE(TEXT(BB653,"0000000000000,00"),",",""))</f>
        <v>000000000000000</v>
      </c>
      <c r="BD653" s="23">
        <f t="shared" si="3829"/>
        <v>0</v>
      </c>
      <c r="BE653" s="49" t="str">
        <f t="shared" ref="BE653" si="4238">IF(BD653&lt;0,SUBSTITUTE(TEXT(BD653,"000000000000,00"),",",""),SUBSTITUTE(TEXT(BD653,"0000000000000,00"),",",""))</f>
        <v>000000000000000</v>
      </c>
      <c r="BF653" s="23">
        <f t="shared" si="3831"/>
        <v>0</v>
      </c>
      <c r="BG653" s="49" t="str">
        <f t="shared" ref="BG653" si="4239">IF(BF653&lt;0,SUBSTITUTE(TEXT(BF653,"000000000000,00"),",",""),SUBSTITUTE(TEXT(BF653,"0000000000000,00"),",",""))</f>
        <v>000000000000000</v>
      </c>
      <c r="BH653" s="23">
        <f t="shared" si="3833"/>
        <v>0</v>
      </c>
      <c r="BI653" s="49" t="str">
        <f t="shared" ref="BI653" si="4240">IF(BH653&lt;0,SUBSTITUTE(TEXT(BH653,"000000000000,00"),",",""),SUBSTITUTE(TEXT(BH653,"0000000000000,00"),",",""))</f>
        <v>000000000000000</v>
      </c>
      <c r="BJ653" s="23">
        <f t="shared" si="3835"/>
        <v>0</v>
      </c>
      <c r="BK653" s="49" t="str">
        <f t="shared" ref="BK653" si="4241">IF(BJ653&lt;0,SUBSTITUTE(TEXT(BJ653,"000000000000,00"),",",""),SUBSTITUTE(TEXT(BJ653,"0000000000000,00"),",",""))</f>
        <v>000000000000000</v>
      </c>
      <c r="BL653" s="23">
        <f t="shared" si="3837"/>
        <v>0</v>
      </c>
      <c r="BM653" s="49" t="str">
        <f t="shared" ref="BM653" si="4242">IF(BL653&lt;0,SUBSTITUTE(TEXT(BL653,"000000000000,00"),",",""),SUBSTITUTE(TEXT(BL653,"0000000000000,00"),",",""))</f>
        <v>000000000000000</v>
      </c>
      <c r="BN653" t="str">
        <f t="shared" si="3839"/>
        <v>PES</v>
      </c>
      <c r="BO653" t="str">
        <f t="shared" si="3840"/>
        <v>0001000000</v>
      </c>
      <c r="BP653">
        <f t="shared" si="3841"/>
        <v>0</v>
      </c>
      <c r="BQ653">
        <f t="shared" si="3842"/>
        <v>0</v>
      </c>
      <c r="BR653" s="23">
        <f t="shared" si="3843"/>
        <v>0</v>
      </c>
      <c r="BS653" s="49" t="str">
        <f t="shared" ref="BS653:BS716" si="4243">IF(BR653&lt;0,SUBSTITUTE(TEXT(BR653,"000000000000,00"),",",""),SUBSTITUTE(TEXT(BR653,"0000000000000,00"),",",""))</f>
        <v>000000000000000</v>
      </c>
      <c r="BT653" t="str">
        <f t="shared" si="3844"/>
        <v>00000000</v>
      </c>
      <c r="BU653" s="23">
        <f t="shared" si="3845"/>
        <v>0</v>
      </c>
      <c r="BV653" s="49" t="str">
        <f t="shared" ref="BV653:BV716" si="4244">IF(BW653="","",IF(BU653&lt;0,SUBSTITUTE(TEXT(BU653,"000000000000,00"),",",""),SUBSTITUTE(TEXT(BU653,"0000000000000,00"),",","")))</f>
        <v/>
      </c>
      <c r="BW653" s="52" t="str">
        <f t="shared" si="3846"/>
        <v/>
      </c>
      <c r="BX653" s="23">
        <f t="shared" si="3847"/>
        <v>0</v>
      </c>
      <c r="BY653" s="49" t="str">
        <f t="shared" ref="BY653:BY716" si="4245">IF(BW653="","",IF(BX653&lt;0,SUBSTITUTE(TEXT(BX653,"000000000000,00"),",",""),SUBSTITUTE(TEXT(BX653,"0000000000000,00"),",","")))</f>
        <v/>
      </c>
      <c r="BZ653" s="23">
        <f t="shared" si="3848"/>
        <v>0</v>
      </c>
      <c r="CA653" s="49" t="str">
        <f t="shared" ref="CA653:CA716" si="4246">IF(CB653="","",IF(BZ653&lt;0,SUBSTITUTE(TEXT(BZ653,"000000000000,00"),",",""),SUBSTITUTE(TEXT(BZ653,"0000000000000,00"),",","")))</f>
        <v/>
      </c>
      <c r="CB653" s="52" t="str">
        <f t="shared" si="3849"/>
        <v/>
      </c>
      <c r="CC653" s="23">
        <f t="shared" si="3850"/>
        <v>0</v>
      </c>
      <c r="CD653" s="49" t="str">
        <f t="shared" ref="CD653:CD716" si="4247">IF(CB653="","",IF(CC653&lt;0,SUBSTITUTE(TEXT(CC653,"000000000000,00"),",",""),SUBSTITUTE(TEXT(CC653,"0000000000000,00"),",","")))</f>
        <v/>
      </c>
      <c r="CE653" s="56" t="str">
        <f>IF(CF653="","",MAX(CE$10:$CE652)+1)</f>
        <v/>
      </c>
      <c r="CF653" t="str">
        <f t="shared" si="3851"/>
        <v/>
      </c>
      <c r="CG653" s="22" t="str">
        <f>IF(CH653="","",MAX($CG$10:CG652)+1)</f>
        <v/>
      </c>
      <c r="CH653" s="22" t="str">
        <f t="shared" si="4231"/>
        <v/>
      </c>
      <c r="CI653" s="22" t="str">
        <f>IF(CJ653="","",MAX($CI$10:CI652)+1)</f>
        <v/>
      </c>
      <c r="CJ653" s="22" t="str">
        <f t="shared" si="4232"/>
        <v/>
      </c>
    </row>
    <row r="654" spans="2:88" x14ac:dyDescent="0.25">
      <c r="B654" s="37"/>
      <c r="C654" s="3"/>
      <c r="D654" s="77" t="str">
        <f t="shared" si="4218"/>
        <v/>
      </c>
      <c r="E654" s="38"/>
      <c r="F654" s="38"/>
      <c r="G654" s="78">
        <f t="shared" si="4233"/>
        <v>0</v>
      </c>
      <c r="H654" s="3">
        <v>80</v>
      </c>
      <c r="I654" s="77" t="str">
        <f t="shared" si="4219"/>
        <v/>
      </c>
      <c r="J654" s="32"/>
      <c r="K654" s="3"/>
      <c r="L654" s="39"/>
      <c r="M654" s="39"/>
      <c r="N654" s="39"/>
      <c r="O654" s="39"/>
      <c r="P654" s="39"/>
      <c r="Q654" s="39"/>
      <c r="R654" s="39"/>
      <c r="S654" s="39"/>
      <c r="T654" s="3" t="s">
        <v>645</v>
      </c>
      <c r="U654" s="77" t="str">
        <f t="shared" si="4220"/>
        <v/>
      </c>
      <c r="V654" s="39">
        <v>1</v>
      </c>
      <c r="W654" s="79">
        <f t="shared" si="4234"/>
        <v>0</v>
      </c>
      <c r="X654" s="3">
        <v>0</v>
      </c>
      <c r="Y654" s="77" t="str">
        <f t="shared" si="4221"/>
        <v/>
      </c>
      <c r="Z654" s="3"/>
      <c r="AA654" s="37" t="str">
        <f t="shared" si="4235"/>
        <v/>
      </c>
      <c r="AC654" s="40"/>
      <c r="AD654" s="7"/>
      <c r="AE654" s="77" t="str">
        <f t="shared" si="4222"/>
        <v/>
      </c>
      <c r="AF654" s="81">
        <f t="shared" ref="AF654:AF717" si="4248">ROUND(AC654*AD654/100,2)</f>
        <v>0</v>
      </c>
      <c r="AG654" s="40"/>
      <c r="AH654" s="7"/>
      <c r="AI654" s="77" t="str">
        <f t="shared" si="4223"/>
        <v/>
      </c>
      <c r="AJ654" s="81">
        <f t="shared" ref="AJ654:AJ717" si="4249">ROUND(AG654*AH654/100,2)</f>
        <v>0</v>
      </c>
      <c r="AK654" s="83">
        <f t="shared" ref="AK654:AK717" si="4250">+AC654+AG654</f>
        <v>0</v>
      </c>
      <c r="AL654" s="83">
        <f t="shared" ref="AL654:AL717" si="4251">+AF654+AJ654</f>
        <v>0</v>
      </c>
      <c r="AN654" s="43">
        <f t="shared" si="4224"/>
        <v>0</v>
      </c>
      <c r="AP654" t="str">
        <f t="shared" ref="AP654:AP717" si="4252">IF(B654="","",TEXT(B654,$AP$8))</f>
        <v/>
      </c>
      <c r="AQ654" t="str">
        <f t="shared" ref="AQ654:AQ717" si="4253">IF(B654="","",IF(C654="","",TEXT(C654,"000")))</f>
        <v/>
      </c>
      <c r="AR654" t="str">
        <f t="shared" ref="AR654:AR717" si="4254">IF(B654="","",IF(E654="","00000",TEXT(RIGHT(E654,5),"00000")))</f>
        <v/>
      </c>
      <c r="AS654" t="str">
        <f t="shared" ref="AS654:AS717" si="4255">IF(B654="","",IF(F654="","00000000000000000000",TEXT(RIGHT(F654,20),"00000000000000000000")))</f>
        <v/>
      </c>
      <c r="AT654" t="str">
        <f t="shared" ref="AT654:AT717" si="4256">IF(B654="","",IF(G654="","00000000000000000000",TEXT(RIGHT(G654,20),"00000000000000000000")))</f>
        <v/>
      </c>
      <c r="AU654" t="str">
        <f t="shared" ref="AU654:AU717" si="4257">IF(B654="","",IF(C654="","",TEXT(RIGHT(H654,4),"00")))</f>
        <v/>
      </c>
      <c r="AV654" t="str">
        <f t="shared" ref="AV654:AV717" si="4258">IF(B654="","",TEXT(SUBSTITUTE(J654,"-",""),"00000000000000000000"))</f>
        <v/>
      </c>
      <c r="AW654" t="str">
        <f t="shared" ref="AW654:AW717" si="4259">IF(LEN(K654)&gt;30,LEFT(K654,30),K654&amp;REPT(" ",30-LEN(K654)))</f>
        <v xml:space="preserve">                              </v>
      </c>
      <c r="AX654" s="23">
        <f t="shared" ref="AX654:AX717" si="4260">IF(TRIM(L654)="",0,TRUNC(L654,2))</f>
        <v>0</v>
      </c>
      <c r="AY654" s="49" t="str">
        <f t="shared" si="4236"/>
        <v>000000000000000</v>
      </c>
      <c r="AZ654" s="23">
        <f t="shared" ref="AZ654:AZ717" si="4261">IF(TRIM(M654)="",0,TRUNC(M654,2))</f>
        <v>0</v>
      </c>
      <c r="BA654" s="49" t="str">
        <f t="shared" si="4236"/>
        <v>000000000000000</v>
      </c>
      <c r="BB654" s="23">
        <f t="shared" ref="BB654:BB717" si="4262">IF(TRIM(N654)="",0,TRUNC(N654,2))</f>
        <v>0</v>
      </c>
      <c r="BC654" s="49" t="str">
        <f t="shared" ref="BC654" si="4263">IF(BB654&lt;0,SUBSTITUTE(TEXT(BB654,"000000000000,00"),",",""),SUBSTITUTE(TEXT(BB654,"0000000000000,00"),",",""))</f>
        <v>000000000000000</v>
      </c>
      <c r="BD654" s="23">
        <f t="shared" ref="BD654:BD717" si="4264">IF(TRIM(O654)="",0,TRUNC(O654,2))</f>
        <v>0</v>
      </c>
      <c r="BE654" s="49" t="str">
        <f t="shared" ref="BE654" si="4265">IF(BD654&lt;0,SUBSTITUTE(TEXT(BD654,"000000000000,00"),",",""),SUBSTITUTE(TEXT(BD654,"0000000000000,00"),",",""))</f>
        <v>000000000000000</v>
      </c>
      <c r="BF654" s="23">
        <f t="shared" ref="BF654:BF717" si="4266">IF(TRIM(P654)="",0,TRUNC(P654,2))</f>
        <v>0</v>
      </c>
      <c r="BG654" s="49" t="str">
        <f t="shared" ref="BG654" si="4267">IF(BF654&lt;0,SUBSTITUTE(TEXT(BF654,"000000000000,00"),",",""),SUBSTITUTE(TEXT(BF654,"0000000000000,00"),",",""))</f>
        <v>000000000000000</v>
      </c>
      <c r="BH654" s="23">
        <f t="shared" ref="BH654:BH717" si="4268">IF(TRIM(Q654)="",0,TRUNC(Q654,2))</f>
        <v>0</v>
      </c>
      <c r="BI654" s="49" t="str">
        <f t="shared" ref="BI654" si="4269">IF(BH654&lt;0,SUBSTITUTE(TEXT(BH654,"000000000000,00"),",",""),SUBSTITUTE(TEXT(BH654,"0000000000000,00"),",",""))</f>
        <v>000000000000000</v>
      </c>
      <c r="BJ654" s="23">
        <f t="shared" ref="BJ654:BJ717" si="4270">IF(TRIM(R654)="",0,TRUNC(R654,2))</f>
        <v>0</v>
      </c>
      <c r="BK654" s="49" t="str">
        <f t="shared" ref="BK654" si="4271">IF(BJ654&lt;0,SUBSTITUTE(TEXT(BJ654,"000000000000,00"),",",""),SUBSTITUTE(TEXT(BJ654,"0000000000000,00"),",",""))</f>
        <v>000000000000000</v>
      </c>
      <c r="BL654" s="23">
        <f t="shared" ref="BL654:BL717" si="4272">IF(TRIM(S654)="",0,TRUNC(S654,2))</f>
        <v>0</v>
      </c>
      <c r="BM654" s="49" t="str">
        <f t="shared" ref="BM654" si="4273">IF(BL654&lt;0,SUBSTITUTE(TEXT(BL654,"000000000000,00"),",",""),SUBSTITUTE(TEXT(BL654,"0000000000000,00"),",",""))</f>
        <v>000000000000000</v>
      </c>
      <c r="BN654" t="str">
        <f t="shared" ref="BN654:BN717" si="4274">TEXT(T654,"000")</f>
        <v>PES</v>
      </c>
      <c r="BO654" t="str">
        <f t="shared" ref="BO654:BO717" si="4275">IF(V654&lt;0,SUBSTITUTE(TEXT(V654,"000,000000"),",",""),SUBSTITUTE(TEXT(V654,"0000,000000"),",",""))</f>
        <v>0001000000</v>
      </c>
      <c r="BP654">
        <f t="shared" ref="BP654:BP717" si="4276">W654</f>
        <v>0</v>
      </c>
      <c r="BQ654">
        <f t="shared" ref="BQ654:BQ717" si="4277">X654</f>
        <v>0</v>
      </c>
      <c r="BR654" s="23">
        <f t="shared" ref="BR654:BR717" si="4278">IF(TRIM(Z654)="",0,TRUNC(Z654,2))</f>
        <v>0</v>
      </c>
      <c r="BS654" s="49" t="str">
        <f t="shared" si="4243"/>
        <v>000000000000000</v>
      </c>
      <c r="BT654" t="str">
        <f t="shared" ref="BT654:BT717" si="4279">IF(AA654="","00000000",TEXT(AA654,$AP$8))</f>
        <v>00000000</v>
      </c>
      <c r="BU654" s="23">
        <f t="shared" ref="BU654:BU717" si="4280">IF(TRIM(AC654)="",0,TRUNC(AC654,2))</f>
        <v>0</v>
      </c>
      <c r="BV654" s="49" t="str">
        <f t="shared" si="4244"/>
        <v/>
      </c>
      <c r="BW654" s="52" t="str">
        <f t="shared" ref="BW654:BW717" si="4281">IF(AE654="","",TEXT(AE654,"0000"))</f>
        <v/>
      </c>
      <c r="BX654" s="23">
        <f t="shared" ref="BX654:BX717" si="4282">IF(TRIM(AF654)="",0,TRUNC(AF654,2))</f>
        <v>0</v>
      </c>
      <c r="BY654" s="49" t="str">
        <f t="shared" si="4245"/>
        <v/>
      </c>
      <c r="BZ654" s="23">
        <f t="shared" ref="BZ654:BZ717" si="4283">IF(TRIM(AG654)="",0,TRUNC(AG654,2))</f>
        <v>0</v>
      </c>
      <c r="CA654" s="49" t="str">
        <f t="shared" si="4246"/>
        <v/>
      </c>
      <c r="CB654" s="52" t="str">
        <f t="shared" ref="CB654:CB717" si="4284">IF(AI654="","",TEXT(AI654,"0000"))</f>
        <v/>
      </c>
      <c r="CC654" s="23">
        <f t="shared" ref="CC654:CC717" si="4285">IF(TRIM(AJ654)="",0,TRUNC(AJ654,2))</f>
        <v>0</v>
      </c>
      <c r="CD654" s="49" t="str">
        <f t="shared" si="4247"/>
        <v/>
      </c>
      <c r="CE654" s="56" t="str">
        <f>IF(CF654="","",MAX(CE$10:$CE653)+1)</f>
        <v/>
      </c>
      <c r="CF654" t="str">
        <f t="shared" ref="CF654:CF717" si="4286">IF(B654="","",AP654&amp;AQ654&amp;AR654&amp;AS654&amp;AT654&amp;AU654&amp;AV654&amp;AW654&amp;AY654&amp;BA654&amp;BC654&amp;BE654&amp;BG654&amp;BI654&amp;BK654&amp;BM654&amp;BN654&amp;BO654&amp;BP654&amp;BQ654&amp;BS654&amp;BT654)</f>
        <v/>
      </c>
      <c r="CG654" s="22" t="str">
        <f>IF(CH654="","",MAX($CG$10:CG653)+1)</f>
        <v/>
      </c>
      <c r="CH654" s="22" t="str">
        <f t="shared" si="4231"/>
        <v/>
      </c>
      <c r="CI654" s="22" t="str">
        <f>IF(CJ654="","",MAX($CI$10:CI653)+1)</f>
        <v/>
      </c>
      <c r="CJ654" s="22" t="str">
        <f t="shared" si="4232"/>
        <v/>
      </c>
    </row>
    <row r="655" spans="2:88" x14ac:dyDescent="0.25">
      <c r="B655" s="37"/>
      <c r="C655" s="3"/>
      <c r="D655" s="77" t="str">
        <f t="shared" si="4218"/>
        <v/>
      </c>
      <c r="E655" s="38"/>
      <c r="F655" s="38"/>
      <c r="G655" s="78">
        <f t="shared" si="4233"/>
        <v>0</v>
      </c>
      <c r="H655" s="3">
        <v>80</v>
      </c>
      <c r="I655" s="77" t="str">
        <f t="shared" si="4219"/>
        <v/>
      </c>
      <c r="J655" s="32"/>
      <c r="K655" s="3"/>
      <c r="L655" s="39"/>
      <c r="M655" s="39"/>
      <c r="N655" s="39"/>
      <c r="O655" s="39"/>
      <c r="P655" s="39"/>
      <c r="Q655" s="39"/>
      <c r="R655" s="39"/>
      <c r="S655" s="39"/>
      <c r="T655" s="3" t="s">
        <v>645</v>
      </c>
      <c r="U655" s="77" t="str">
        <f t="shared" si="4220"/>
        <v/>
      </c>
      <c r="V655" s="39">
        <v>1</v>
      </c>
      <c r="W655" s="79">
        <f t="shared" si="4234"/>
        <v>0</v>
      </c>
      <c r="X655" s="3">
        <v>0</v>
      </c>
      <c r="Y655" s="77" t="str">
        <f t="shared" si="4221"/>
        <v/>
      </c>
      <c r="Z655" s="3"/>
      <c r="AA655" s="37" t="str">
        <f t="shared" si="4235"/>
        <v/>
      </c>
      <c r="AC655" s="40"/>
      <c r="AD655" s="7"/>
      <c r="AE655" s="77" t="str">
        <f t="shared" si="4222"/>
        <v/>
      </c>
      <c r="AF655" s="81">
        <f t="shared" si="4248"/>
        <v>0</v>
      </c>
      <c r="AG655" s="40"/>
      <c r="AH655" s="7"/>
      <c r="AI655" s="77" t="str">
        <f t="shared" si="4223"/>
        <v/>
      </c>
      <c r="AJ655" s="81">
        <f t="shared" si="4249"/>
        <v>0</v>
      </c>
      <c r="AK655" s="83">
        <f t="shared" si="4250"/>
        <v>0</v>
      </c>
      <c r="AL655" s="83">
        <f t="shared" si="4251"/>
        <v>0</v>
      </c>
      <c r="AN655" s="43">
        <f t="shared" si="4224"/>
        <v>0</v>
      </c>
      <c r="AP655" t="str">
        <f t="shared" si="4252"/>
        <v/>
      </c>
      <c r="AQ655" t="str">
        <f t="shared" si="4253"/>
        <v/>
      </c>
      <c r="AR655" t="str">
        <f t="shared" si="4254"/>
        <v/>
      </c>
      <c r="AS655" t="str">
        <f t="shared" si="4255"/>
        <v/>
      </c>
      <c r="AT655" t="str">
        <f t="shared" si="4256"/>
        <v/>
      </c>
      <c r="AU655" t="str">
        <f t="shared" si="4257"/>
        <v/>
      </c>
      <c r="AV655" t="str">
        <f t="shared" si="4258"/>
        <v/>
      </c>
      <c r="AW655" t="str">
        <f t="shared" si="4259"/>
        <v xml:space="preserve">                              </v>
      </c>
      <c r="AX655" s="23">
        <f t="shared" si="4260"/>
        <v>0</v>
      </c>
      <c r="AY655" s="49" t="str">
        <f t="shared" si="4236"/>
        <v>000000000000000</v>
      </c>
      <c r="AZ655" s="23">
        <f t="shared" si="4261"/>
        <v>0</v>
      </c>
      <c r="BA655" s="49" t="str">
        <f t="shared" si="4236"/>
        <v>000000000000000</v>
      </c>
      <c r="BB655" s="23">
        <f t="shared" si="4262"/>
        <v>0</v>
      </c>
      <c r="BC655" s="49" t="str">
        <f t="shared" ref="BC655" si="4287">IF(BB655&lt;0,SUBSTITUTE(TEXT(BB655,"000000000000,00"),",",""),SUBSTITUTE(TEXT(BB655,"0000000000000,00"),",",""))</f>
        <v>000000000000000</v>
      </c>
      <c r="BD655" s="23">
        <f t="shared" si="4264"/>
        <v>0</v>
      </c>
      <c r="BE655" s="49" t="str">
        <f t="shared" ref="BE655" si="4288">IF(BD655&lt;0,SUBSTITUTE(TEXT(BD655,"000000000000,00"),",",""),SUBSTITUTE(TEXT(BD655,"0000000000000,00"),",",""))</f>
        <v>000000000000000</v>
      </c>
      <c r="BF655" s="23">
        <f t="shared" si="4266"/>
        <v>0</v>
      </c>
      <c r="BG655" s="49" t="str">
        <f t="shared" ref="BG655" si="4289">IF(BF655&lt;0,SUBSTITUTE(TEXT(BF655,"000000000000,00"),",",""),SUBSTITUTE(TEXT(BF655,"0000000000000,00"),",",""))</f>
        <v>000000000000000</v>
      </c>
      <c r="BH655" s="23">
        <f t="shared" si="4268"/>
        <v>0</v>
      </c>
      <c r="BI655" s="49" t="str">
        <f t="shared" ref="BI655" si="4290">IF(BH655&lt;0,SUBSTITUTE(TEXT(BH655,"000000000000,00"),",",""),SUBSTITUTE(TEXT(BH655,"0000000000000,00"),",",""))</f>
        <v>000000000000000</v>
      </c>
      <c r="BJ655" s="23">
        <f t="shared" si="4270"/>
        <v>0</v>
      </c>
      <c r="BK655" s="49" t="str">
        <f t="shared" ref="BK655" si="4291">IF(BJ655&lt;0,SUBSTITUTE(TEXT(BJ655,"000000000000,00"),",",""),SUBSTITUTE(TEXT(BJ655,"0000000000000,00"),",",""))</f>
        <v>000000000000000</v>
      </c>
      <c r="BL655" s="23">
        <f t="shared" si="4272"/>
        <v>0</v>
      </c>
      <c r="BM655" s="49" t="str">
        <f t="shared" ref="BM655" si="4292">IF(BL655&lt;0,SUBSTITUTE(TEXT(BL655,"000000000000,00"),",",""),SUBSTITUTE(TEXT(BL655,"0000000000000,00"),",",""))</f>
        <v>000000000000000</v>
      </c>
      <c r="BN655" t="str">
        <f t="shared" si="4274"/>
        <v>PES</v>
      </c>
      <c r="BO655" t="str">
        <f t="shared" si="4275"/>
        <v>0001000000</v>
      </c>
      <c r="BP655">
        <f t="shared" si="4276"/>
        <v>0</v>
      </c>
      <c r="BQ655">
        <f t="shared" si="4277"/>
        <v>0</v>
      </c>
      <c r="BR655" s="23">
        <f t="shared" si="4278"/>
        <v>0</v>
      </c>
      <c r="BS655" s="49" t="str">
        <f t="shared" si="4243"/>
        <v>000000000000000</v>
      </c>
      <c r="BT655" t="str">
        <f t="shared" si="4279"/>
        <v>00000000</v>
      </c>
      <c r="BU655" s="23">
        <f t="shared" si="4280"/>
        <v>0</v>
      </c>
      <c r="BV655" s="49" t="str">
        <f t="shared" si="4244"/>
        <v/>
      </c>
      <c r="BW655" s="52" t="str">
        <f t="shared" si="4281"/>
        <v/>
      </c>
      <c r="BX655" s="23">
        <f t="shared" si="4282"/>
        <v>0</v>
      </c>
      <c r="BY655" s="49" t="str">
        <f t="shared" si="4245"/>
        <v/>
      </c>
      <c r="BZ655" s="23">
        <f t="shared" si="4283"/>
        <v>0</v>
      </c>
      <c r="CA655" s="49" t="str">
        <f t="shared" si="4246"/>
        <v/>
      </c>
      <c r="CB655" s="52" t="str">
        <f t="shared" si="4284"/>
        <v/>
      </c>
      <c r="CC655" s="23">
        <f t="shared" si="4285"/>
        <v>0</v>
      </c>
      <c r="CD655" s="49" t="str">
        <f t="shared" si="4247"/>
        <v/>
      </c>
      <c r="CE655" s="56" t="str">
        <f>IF(CF655="","",MAX(CE$10:$CE654)+1)</f>
        <v/>
      </c>
      <c r="CF655" t="str">
        <f t="shared" si="4286"/>
        <v/>
      </c>
      <c r="CG655" s="22" t="str">
        <f>IF(CH655="","",MAX($CG$10:CG654)+1)</f>
        <v/>
      </c>
      <c r="CH655" s="22" t="str">
        <f t="shared" si="4231"/>
        <v/>
      </c>
      <c r="CI655" s="22" t="str">
        <f>IF(CJ655="","",MAX($CI$10:CI654)+1)</f>
        <v/>
      </c>
      <c r="CJ655" s="22" t="str">
        <f t="shared" si="4232"/>
        <v/>
      </c>
    </row>
    <row r="656" spans="2:88" x14ac:dyDescent="0.25">
      <c r="B656" s="37"/>
      <c r="C656" s="3"/>
      <c r="D656" s="77" t="str">
        <f t="shared" si="4218"/>
        <v/>
      </c>
      <c r="E656" s="38"/>
      <c r="F656" s="38"/>
      <c r="G656" s="78">
        <f t="shared" si="4233"/>
        <v>0</v>
      </c>
      <c r="H656" s="3">
        <v>80</v>
      </c>
      <c r="I656" s="77" t="str">
        <f t="shared" si="4219"/>
        <v/>
      </c>
      <c r="J656" s="32"/>
      <c r="K656" s="3"/>
      <c r="L656" s="39"/>
      <c r="M656" s="39"/>
      <c r="N656" s="39"/>
      <c r="O656" s="39"/>
      <c r="P656" s="39"/>
      <c r="Q656" s="39"/>
      <c r="R656" s="39"/>
      <c r="S656" s="39"/>
      <c r="T656" s="3" t="s">
        <v>645</v>
      </c>
      <c r="U656" s="77" t="str">
        <f t="shared" si="4220"/>
        <v/>
      </c>
      <c r="V656" s="39">
        <v>1</v>
      </c>
      <c r="W656" s="79">
        <f t="shared" si="4234"/>
        <v>0</v>
      </c>
      <c r="X656" s="3">
        <v>0</v>
      </c>
      <c r="Y656" s="77" t="str">
        <f t="shared" si="4221"/>
        <v/>
      </c>
      <c r="Z656" s="3"/>
      <c r="AA656" s="37" t="str">
        <f t="shared" si="4235"/>
        <v/>
      </c>
      <c r="AC656" s="40"/>
      <c r="AD656" s="7"/>
      <c r="AE656" s="77" t="str">
        <f t="shared" si="4222"/>
        <v/>
      </c>
      <c r="AF656" s="81">
        <f t="shared" si="4248"/>
        <v>0</v>
      </c>
      <c r="AG656" s="40"/>
      <c r="AH656" s="7"/>
      <c r="AI656" s="77" t="str">
        <f t="shared" si="4223"/>
        <v/>
      </c>
      <c r="AJ656" s="81">
        <f t="shared" si="4249"/>
        <v>0</v>
      </c>
      <c r="AK656" s="83">
        <f t="shared" si="4250"/>
        <v>0</v>
      </c>
      <c r="AL656" s="83">
        <f t="shared" si="4251"/>
        <v>0</v>
      </c>
      <c r="AN656" s="43">
        <f t="shared" si="4224"/>
        <v>0</v>
      </c>
      <c r="AP656" t="str">
        <f t="shared" si="4252"/>
        <v/>
      </c>
      <c r="AQ656" t="str">
        <f t="shared" si="4253"/>
        <v/>
      </c>
      <c r="AR656" t="str">
        <f t="shared" si="4254"/>
        <v/>
      </c>
      <c r="AS656" t="str">
        <f t="shared" si="4255"/>
        <v/>
      </c>
      <c r="AT656" t="str">
        <f t="shared" si="4256"/>
        <v/>
      </c>
      <c r="AU656" t="str">
        <f t="shared" si="4257"/>
        <v/>
      </c>
      <c r="AV656" t="str">
        <f t="shared" si="4258"/>
        <v/>
      </c>
      <c r="AW656" t="str">
        <f t="shared" si="4259"/>
        <v xml:space="preserve">                              </v>
      </c>
      <c r="AX656" s="23">
        <f t="shared" si="4260"/>
        <v>0</v>
      </c>
      <c r="AY656" s="49" t="str">
        <f t="shared" si="4236"/>
        <v>000000000000000</v>
      </c>
      <c r="AZ656" s="23">
        <f t="shared" si="4261"/>
        <v>0</v>
      </c>
      <c r="BA656" s="49" t="str">
        <f t="shared" si="4236"/>
        <v>000000000000000</v>
      </c>
      <c r="BB656" s="23">
        <f t="shared" si="4262"/>
        <v>0</v>
      </c>
      <c r="BC656" s="49" t="str">
        <f t="shared" ref="BC656" si="4293">IF(BB656&lt;0,SUBSTITUTE(TEXT(BB656,"000000000000,00"),",",""),SUBSTITUTE(TEXT(BB656,"0000000000000,00"),",",""))</f>
        <v>000000000000000</v>
      </c>
      <c r="BD656" s="23">
        <f t="shared" si="4264"/>
        <v>0</v>
      </c>
      <c r="BE656" s="49" t="str">
        <f t="shared" ref="BE656" si="4294">IF(BD656&lt;0,SUBSTITUTE(TEXT(BD656,"000000000000,00"),",",""),SUBSTITUTE(TEXT(BD656,"0000000000000,00"),",",""))</f>
        <v>000000000000000</v>
      </c>
      <c r="BF656" s="23">
        <f t="shared" si="4266"/>
        <v>0</v>
      </c>
      <c r="BG656" s="49" t="str">
        <f t="shared" ref="BG656" si="4295">IF(BF656&lt;0,SUBSTITUTE(TEXT(BF656,"000000000000,00"),",",""),SUBSTITUTE(TEXT(BF656,"0000000000000,00"),",",""))</f>
        <v>000000000000000</v>
      </c>
      <c r="BH656" s="23">
        <f t="shared" si="4268"/>
        <v>0</v>
      </c>
      <c r="BI656" s="49" t="str">
        <f t="shared" ref="BI656" si="4296">IF(BH656&lt;0,SUBSTITUTE(TEXT(BH656,"000000000000,00"),",",""),SUBSTITUTE(TEXT(BH656,"0000000000000,00"),",",""))</f>
        <v>000000000000000</v>
      </c>
      <c r="BJ656" s="23">
        <f t="shared" si="4270"/>
        <v>0</v>
      </c>
      <c r="BK656" s="49" t="str">
        <f t="shared" ref="BK656" si="4297">IF(BJ656&lt;0,SUBSTITUTE(TEXT(BJ656,"000000000000,00"),",",""),SUBSTITUTE(TEXT(BJ656,"0000000000000,00"),",",""))</f>
        <v>000000000000000</v>
      </c>
      <c r="BL656" s="23">
        <f t="shared" si="4272"/>
        <v>0</v>
      </c>
      <c r="BM656" s="49" t="str">
        <f t="shared" ref="BM656" si="4298">IF(BL656&lt;0,SUBSTITUTE(TEXT(BL656,"000000000000,00"),",",""),SUBSTITUTE(TEXT(BL656,"0000000000000,00"),",",""))</f>
        <v>000000000000000</v>
      </c>
      <c r="BN656" t="str">
        <f t="shared" si="4274"/>
        <v>PES</v>
      </c>
      <c r="BO656" t="str">
        <f t="shared" si="4275"/>
        <v>0001000000</v>
      </c>
      <c r="BP656">
        <f t="shared" si="4276"/>
        <v>0</v>
      </c>
      <c r="BQ656">
        <f t="shared" si="4277"/>
        <v>0</v>
      </c>
      <c r="BR656" s="23">
        <f t="shared" si="4278"/>
        <v>0</v>
      </c>
      <c r="BS656" s="49" t="str">
        <f t="shared" si="4243"/>
        <v>000000000000000</v>
      </c>
      <c r="BT656" t="str">
        <f t="shared" si="4279"/>
        <v>00000000</v>
      </c>
      <c r="BU656" s="23">
        <f t="shared" si="4280"/>
        <v>0</v>
      </c>
      <c r="BV656" s="49" t="str">
        <f t="shared" si="4244"/>
        <v/>
      </c>
      <c r="BW656" s="52" t="str">
        <f t="shared" si="4281"/>
        <v/>
      </c>
      <c r="BX656" s="23">
        <f t="shared" si="4282"/>
        <v>0</v>
      </c>
      <c r="BY656" s="49" t="str">
        <f t="shared" si="4245"/>
        <v/>
      </c>
      <c r="BZ656" s="23">
        <f t="shared" si="4283"/>
        <v>0</v>
      </c>
      <c r="CA656" s="49" t="str">
        <f t="shared" si="4246"/>
        <v/>
      </c>
      <c r="CB656" s="52" t="str">
        <f t="shared" si="4284"/>
        <v/>
      </c>
      <c r="CC656" s="23">
        <f t="shared" si="4285"/>
        <v>0</v>
      </c>
      <c r="CD656" s="49" t="str">
        <f t="shared" si="4247"/>
        <v/>
      </c>
      <c r="CE656" s="56" t="str">
        <f>IF(CF656="","",MAX(CE$10:$CE655)+1)</f>
        <v/>
      </c>
      <c r="CF656" t="str">
        <f t="shared" si="4286"/>
        <v/>
      </c>
      <c r="CG656" s="22" t="str">
        <f>IF(CH656="","",MAX($CG$10:CG655)+1)</f>
        <v/>
      </c>
      <c r="CH656" s="22" t="str">
        <f t="shared" si="4231"/>
        <v/>
      </c>
      <c r="CI656" s="22" t="str">
        <f>IF(CJ656="","",MAX($CI$10:CI655)+1)</f>
        <v/>
      </c>
      <c r="CJ656" s="22" t="str">
        <f t="shared" si="4232"/>
        <v/>
      </c>
    </row>
    <row r="657" spans="2:88" x14ac:dyDescent="0.25">
      <c r="B657" s="37"/>
      <c r="C657" s="3"/>
      <c r="D657" s="77" t="str">
        <f t="shared" si="4218"/>
        <v/>
      </c>
      <c r="E657" s="38"/>
      <c r="F657" s="38"/>
      <c r="G657" s="78">
        <f t="shared" si="4233"/>
        <v>0</v>
      </c>
      <c r="H657" s="3">
        <v>80</v>
      </c>
      <c r="I657" s="77" t="str">
        <f t="shared" si="4219"/>
        <v/>
      </c>
      <c r="J657" s="32"/>
      <c r="K657" s="3"/>
      <c r="L657" s="39"/>
      <c r="M657" s="39"/>
      <c r="N657" s="39"/>
      <c r="O657" s="39"/>
      <c r="P657" s="39"/>
      <c r="Q657" s="39"/>
      <c r="R657" s="39"/>
      <c r="S657" s="39"/>
      <c r="T657" s="3" t="s">
        <v>645</v>
      </c>
      <c r="U657" s="77" t="str">
        <f t="shared" si="4220"/>
        <v/>
      </c>
      <c r="V657" s="39">
        <v>1</v>
      </c>
      <c r="W657" s="79">
        <f t="shared" si="4234"/>
        <v>0</v>
      </c>
      <c r="X657" s="3">
        <v>0</v>
      </c>
      <c r="Y657" s="77" t="str">
        <f t="shared" si="4221"/>
        <v/>
      </c>
      <c r="Z657" s="3"/>
      <c r="AA657" s="37" t="str">
        <f t="shared" si="4235"/>
        <v/>
      </c>
      <c r="AC657" s="40"/>
      <c r="AD657" s="7"/>
      <c r="AE657" s="77" t="str">
        <f t="shared" si="4222"/>
        <v/>
      </c>
      <c r="AF657" s="81">
        <f t="shared" si="4248"/>
        <v>0</v>
      </c>
      <c r="AG657" s="40"/>
      <c r="AH657" s="7"/>
      <c r="AI657" s="77" t="str">
        <f t="shared" si="4223"/>
        <v/>
      </c>
      <c r="AJ657" s="81">
        <f t="shared" si="4249"/>
        <v>0</v>
      </c>
      <c r="AK657" s="83">
        <f t="shared" si="4250"/>
        <v>0</v>
      </c>
      <c r="AL657" s="83">
        <f t="shared" si="4251"/>
        <v>0</v>
      </c>
      <c r="AN657" s="43">
        <f t="shared" si="4224"/>
        <v>0</v>
      </c>
      <c r="AP657" t="str">
        <f t="shared" si="4252"/>
        <v/>
      </c>
      <c r="AQ657" t="str">
        <f t="shared" si="4253"/>
        <v/>
      </c>
      <c r="AR657" t="str">
        <f t="shared" si="4254"/>
        <v/>
      </c>
      <c r="AS657" t="str">
        <f t="shared" si="4255"/>
        <v/>
      </c>
      <c r="AT657" t="str">
        <f t="shared" si="4256"/>
        <v/>
      </c>
      <c r="AU657" t="str">
        <f t="shared" si="4257"/>
        <v/>
      </c>
      <c r="AV657" t="str">
        <f t="shared" si="4258"/>
        <v/>
      </c>
      <c r="AW657" t="str">
        <f t="shared" si="4259"/>
        <v xml:space="preserve">                              </v>
      </c>
      <c r="AX657" s="23">
        <f t="shared" si="4260"/>
        <v>0</v>
      </c>
      <c r="AY657" s="49" t="str">
        <f t="shared" si="4236"/>
        <v>000000000000000</v>
      </c>
      <c r="AZ657" s="23">
        <f t="shared" si="4261"/>
        <v>0</v>
      </c>
      <c r="BA657" s="49" t="str">
        <f t="shared" si="4236"/>
        <v>000000000000000</v>
      </c>
      <c r="BB657" s="23">
        <f t="shared" si="4262"/>
        <v>0</v>
      </c>
      <c r="BC657" s="49" t="str">
        <f t="shared" ref="BC657" si="4299">IF(BB657&lt;0,SUBSTITUTE(TEXT(BB657,"000000000000,00"),",",""),SUBSTITUTE(TEXT(BB657,"0000000000000,00"),",",""))</f>
        <v>000000000000000</v>
      </c>
      <c r="BD657" s="23">
        <f t="shared" si="4264"/>
        <v>0</v>
      </c>
      <c r="BE657" s="49" t="str">
        <f t="shared" ref="BE657" si="4300">IF(BD657&lt;0,SUBSTITUTE(TEXT(BD657,"000000000000,00"),",",""),SUBSTITUTE(TEXT(BD657,"0000000000000,00"),",",""))</f>
        <v>000000000000000</v>
      </c>
      <c r="BF657" s="23">
        <f t="shared" si="4266"/>
        <v>0</v>
      </c>
      <c r="BG657" s="49" t="str">
        <f t="shared" ref="BG657" si="4301">IF(BF657&lt;0,SUBSTITUTE(TEXT(BF657,"000000000000,00"),",",""),SUBSTITUTE(TEXT(BF657,"0000000000000,00"),",",""))</f>
        <v>000000000000000</v>
      </c>
      <c r="BH657" s="23">
        <f t="shared" si="4268"/>
        <v>0</v>
      </c>
      <c r="BI657" s="49" t="str">
        <f t="shared" ref="BI657" si="4302">IF(BH657&lt;0,SUBSTITUTE(TEXT(BH657,"000000000000,00"),",",""),SUBSTITUTE(TEXT(BH657,"0000000000000,00"),",",""))</f>
        <v>000000000000000</v>
      </c>
      <c r="BJ657" s="23">
        <f t="shared" si="4270"/>
        <v>0</v>
      </c>
      <c r="BK657" s="49" t="str">
        <f t="shared" ref="BK657" si="4303">IF(BJ657&lt;0,SUBSTITUTE(TEXT(BJ657,"000000000000,00"),",",""),SUBSTITUTE(TEXT(BJ657,"0000000000000,00"),",",""))</f>
        <v>000000000000000</v>
      </c>
      <c r="BL657" s="23">
        <f t="shared" si="4272"/>
        <v>0</v>
      </c>
      <c r="BM657" s="49" t="str">
        <f t="shared" ref="BM657" si="4304">IF(BL657&lt;0,SUBSTITUTE(TEXT(BL657,"000000000000,00"),",",""),SUBSTITUTE(TEXT(BL657,"0000000000000,00"),",",""))</f>
        <v>000000000000000</v>
      </c>
      <c r="BN657" t="str">
        <f t="shared" si="4274"/>
        <v>PES</v>
      </c>
      <c r="BO657" t="str">
        <f t="shared" si="4275"/>
        <v>0001000000</v>
      </c>
      <c r="BP657">
        <f t="shared" si="4276"/>
        <v>0</v>
      </c>
      <c r="BQ657">
        <f t="shared" si="4277"/>
        <v>0</v>
      </c>
      <c r="BR657" s="23">
        <f t="shared" si="4278"/>
        <v>0</v>
      </c>
      <c r="BS657" s="49" t="str">
        <f t="shared" si="4243"/>
        <v>000000000000000</v>
      </c>
      <c r="BT657" t="str">
        <f t="shared" si="4279"/>
        <v>00000000</v>
      </c>
      <c r="BU657" s="23">
        <f t="shared" si="4280"/>
        <v>0</v>
      </c>
      <c r="BV657" s="49" t="str">
        <f t="shared" si="4244"/>
        <v/>
      </c>
      <c r="BW657" s="52" t="str">
        <f t="shared" si="4281"/>
        <v/>
      </c>
      <c r="BX657" s="23">
        <f t="shared" si="4282"/>
        <v>0</v>
      </c>
      <c r="BY657" s="49" t="str">
        <f t="shared" si="4245"/>
        <v/>
      </c>
      <c r="BZ657" s="23">
        <f t="shared" si="4283"/>
        <v>0</v>
      </c>
      <c r="CA657" s="49" t="str">
        <f t="shared" si="4246"/>
        <v/>
      </c>
      <c r="CB657" s="52" t="str">
        <f t="shared" si="4284"/>
        <v/>
      </c>
      <c r="CC657" s="23">
        <f t="shared" si="4285"/>
        <v>0</v>
      </c>
      <c r="CD657" s="49" t="str">
        <f t="shared" si="4247"/>
        <v/>
      </c>
      <c r="CE657" s="56" t="str">
        <f>IF(CF657="","",MAX(CE$10:$CE656)+1)</f>
        <v/>
      </c>
      <c r="CF657" t="str">
        <f t="shared" si="4286"/>
        <v/>
      </c>
      <c r="CG657" s="22" t="str">
        <f>IF(CH657="","",MAX($CG$10:CG656)+1)</f>
        <v/>
      </c>
      <c r="CH657" s="22" t="str">
        <f t="shared" si="4231"/>
        <v/>
      </c>
      <c r="CI657" s="22" t="str">
        <f>IF(CJ657="","",MAX($CI$10:CI656)+1)</f>
        <v/>
      </c>
      <c r="CJ657" s="22" t="str">
        <f t="shared" si="4232"/>
        <v/>
      </c>
    </row>
    <row r="658" spans="2:88" x14ac:dyDescent="0.25">
      <c r="B658" s="37"/>
      <c r="C658" s="3"/>
      <c r="D658" s="77" t="str">
        <f t="shared" si="4218"/>
        <v/>
      </c>
      <c r="E658" s="38"/>
      <c r="F658" s="38"/>
      <c r="G658" s="78">
        <f t="shared" si="4233"/>
        <v>0</v>
      </c>
      <c r="H658" s="3">
        <v>80</v>
      </c>
      <c r="I658" s="77" t="str">
        <f t="shared" si="4219"/>
        <v/>
      </c>
      <c r="J658" s="32"/>
      <c r="K658" s="3"/>
      <c r="L658" s="39"/>
      <c r="M658" s="39"/>
      <c r="N658" s="39"/>
      <c r="O658" s="39"/>
      <c r="P658" s="39"/>
      <c r="Q658" s="39"/>
      <c r="R658" s="39"/>
      <c r="S658" s="39"/>
      <c r="T658" s="3" t="s">
        <v>645</v>
      </c>
      <c r="U658" s="77" t="str">
        <f t="shared" si="4220"/>
        <v/>
      </c>
      <c r="V658" s="39">
        <v>1</v>
      </c>
      <c r="W658" s="79">
        <f t="shared" si="4234"/>
        <v>0</v>
      </c>
      <c r="X658" s="3">
        <v>0</v>
      </c>
      <c r="Y658" s="77" t="str">
        <f t="shared" si="4221"/>
        <v/>
      </c>
      <c r="Z658" s="3"/>
      <c r="AA658" s="37" t="str">
        <f t="shared" si="4235"/>
        <v/>
      </c>
      <c r="AC658" s="40"/>
      <c r="AD658" s="7"/>
      <c r="AE658" s="77" t="str">
        <f t="shared" si="4222"/>
        <v/>
      </c>
      <c r="AF658" s="81">
        <f t="shared" si="4248"/>
        <v>0</v>
      </c>
      <c r="AG658" s="40"/>
      <c r="AH658" s="7"/>
      <c r="AI658" s="77" t="str">
        <f t="shared" si="4223"/>
        <v/>
      </c>
      <c r="AJ658" s="81">
        <f t="shared" si="4249"/>
        <v>0</v>
      </c>
      <c r="AK658" s="83">
        <f t="shared" si="4250"/>
        <v>0</v>
      </c>
      <c r="AL658" s="83">
        <f t="shared" si="4251"/>
        <v>0</v>
      </c>
      <c r="AN658" s="43">
        <f t="shared" si="4224"/>
        <v>0</v>
      </c>
      <c r="AP658" t="str">
        <f t="shared" si="4252"/>
        <v/>
      </c>
      <c r="AQ658" t="str">
        <f t="shared" si="4253"/>
        <v/>
      </c>
      <c r="AR658" t="str">
        <f t="shared" si="4254"/>
        <v/>
      </c>
      <c r="AS658" t="str">
        <f t="shared" si="4255"/>
        <v/>
      </c>
      <c r="AT658" t="str">
        <f t="shared" si="4256"/>
        <v/>
      </c>
      <c r="AU658" t="str">
        <f t="shared" si="4257"/>
        <v/>
      </c>
      <c r="AV658" t="str">
        <f t="shared" si="4258"/>
        <v/>
      </c>
      <c r="AW658" t="str">
        <f t="shared" si="4259"/>
        <v xml:space="preserve">                              </v>
      </c>
      <c r="AX658" s="23">
        <f t="shared" si="4260"/>
        <v>0</v>
      </c>
      <c r="AY658" s="49" t="str">
        <f t="shared" si="4236"/>
        <v>000000000000000</v>
      </c>
      <c r="AZ658" s="23">
        <f t="shared" si="4261"/>
        <v>0</v>
      </c>
      <c r="BA658" s="49" t="str">
        <f t="shared" si="4236"/>
        <v>000000000000000</v>
      </c>
      <c r="BB658" s="23">
        <f t="shared" si="4262"/>
        <v>0</v>
      </c>
      <c r="BC658" s="49" t="str">
        <f t="shared" ref="BC658" si="4305">IF(BB658&lt;0,SUBSTITUTE(TEXT(BB658,"000000000000,00"),",",""),SUBSTITUTE(TEXT(BB658,"0000000000000,00"),",",""))</f>
        <v>000000000000000</v>
      </c>
      <c r="BD658" s="23">
        <f t="shared" si="4264"/>
        <v>0</v>
      </c>
      <c r="BE658" s="49" t="str">
        <f t="shared" ref="BE658" si="4306">IF(BD658&lt;0,SUBSTITUTE(TEXT(BD658,"000000000000,00"),",",""),SUBSTITUTE(TEXT(BD658,"0000000000000,00"),",",""))</f>
        <v>000000000000000</v>
      </c>
      <c r="BF658" s="23">
        <f t="shared" si="4266"/>
        <v>0</v>
      </c>
      <c r="BG658" s="49" t="str">
        <f t="shared" ref="BG658" si="4307">IF(BF658&lt;0,SUBSTITUTE(TEXT(BF658,"000000000000,00"),",",""),SUBSTITUTE(TEXT(BF658,"0000000000000,00"),",",""))</f>
        <v>000000000000000</v>
      </c>
      <c r="BH658" s="23">
        <f t="shared" si="4268"/>
        <v>0</v>
      </c>
      <c r="BI658" s="49" t="str">
        <f t="shared" ref="BI658" si="4308">IF(BH658&lt;0,SUBSTITUTE(TEXT(BH658,"000000000000,00"),",",""),SUBSTITUTE(TEXT(BH658,"0000000000000,00"),",",""))</f>
        <v>000000000000000</v>
      </c>
      <c r="BJ658" s="23">
        <f t="shared" si="4270"/>
        <v>0</v>
      </c>
      <c r="BK658" s="49" t="str">
        <f t="shared" ref="BK658" si="4309">IF(BJ658&lt;0,SUBSTITUTE(TEXT(BJ658,"000000000000,00"),",",""),SUBSTITUTE(TEXT(BJ658,"0000000000000,00"),",",""))</f>
        <v>000000000000000</v>
      </c>
      <c r="BL658" s="23">
        <f t="shared" si="4272"/>
        <v>0</v>
      </c>
      <c r="BM658" s="49" t="str">
        <f t="shared" ref="BM658" si="4310">IF(BL658&lt;0,SUBSTITUTE(TEXT(BL658,"000000000000,00"),",",""),SUBSTITUTE(TEXT(BL658,"0000000000000,00"),",",""))</f>
        <v>000000000000000</v>
      </c>
      <c r="BN658" t="str">
        <f t="shared" si="4274"/>
        <v>PES</v>
      </c>
      <c r="BO658" t="str">
        <f t="shared" si="4275"/>
        <v>0001000000</v>
      </c>
      <c r="BP658">
        <f t="shared" si="4276"/>
        <v>0</v>
      </c>
      <c r="BQ658">
        <f t="shared" si="4277"/>
        <v>0</v>
      </c>
      <c r="BR658" s="23">
        <f t="shared" si="4278"/>
        <v>0</v>
      </c>
      <c r="BS658" s="49" t="str">
        <f t="shared" si="4243"/>
        <v>000000000000000</v>
      </c>
      <c r="BT658" t="str">
        <f t="shared" si="4279"/>
        <v>00000000</v>
      </c>
      <c r="BU658" s="23">
        <f t="shared" si="4280"/>
        <v>0</v>
      </c>
      <c r="BV658" s="49" t="str">
        <f t="shared" si="4244"/>
        <v/>
      </c>
      <c r="BW658" s="52" t="str">
        <f t="shared" si="4281"/>
        <v/>
      </c>
      <c r="BX658" s="23">
        <f t="shared" si="4282"/>
        <v>0</v>
      </c>
      <c r="BY658" s="49" t="str">
        <f t="shared" si="4245"/>
        <v/>
      </c>
      <c r="BZ658" s="23">
        <f t="shared" si="4283"/>
        <v>0</v>
      </c>
      <c r="CA658" s="49" t="str">
        <f t="shared" si="4246"/>
        <v/>
      </c>
      <c r="CB658" s="52" t="str">
        <f t="shared" si="4284"/>
        <v/>
      </c>
      <c r="CC658" s="23">
        <f t="shared" si="4285"/>
        <v>0</v>
      </c>
      <c r="CD658" s="49" t="str">
        <f t="shared" si="4247"/>
        <v/>
      </c>
      <c r="CE658" s="56" t="str">
        <f>IF(CF658="","",MAX(CE$10:$CE657)+1)</f>
        <v/>
      </c>
      <c r="CF658" t="str">
        <f t="shared" si="4286"/>
        <v/>
      </c>
      <c r="CG658" s="22" t="str">
        <f>IF(CH658="","",MAX($CG$10:CG657)+1)</f>
        <v/>
      </c>
      <c r="CH658" s="22" t="str">
        <f t="shared" si="4231"/>
        <v/>
      </c>
      <c r="CI658" s="22" t="str">
        <f>IF(CJ658="","",MAX($CI$10:CI657)+1)</f>
        <v/>
      </c>
      <c r="CJ658" s="22" t="str">
        <f t="shared" si="4232"/>
        <v/>
      </c>
    </row>
    <row r="659" spans="2:88" x14ac:dyDescent="0.25">
      <c r="B659" s="37"/>
      <c r="C659" s="3"/>
      <c r="D659" s="77" t="str">
        <f t="shared" si="4218"/>
        <v/>
      </c>
      <c r="E659" s="38"/>
      <c r="F659" s="38"/>
      <c r="G659" s="78">
        <f t="shared" si="4233"/>
        <v>0</v>
      </c>
      <c r="H659" s="3">
        <v>80</v>
      </c>
      <c r="I659" s="77" t="str">
        <f t="shared" si="4219"/>
        <v/>
      </c>
      <c r="J659" s="32"/>
      <c r="K659" s="3"/>
      <c r="L659" s="39"/>
      <c r="M659" s="39"/>
      <c r="N659" s="39"/>
      <c r="O659" s="39"/>
      <c r="P659" s="39"/>
      <c r="Q659" s="39"/>
      <c r="R659" s="39"/>
      <c r="S659" s="39"/>
      <c r="T659" s="3" t="s">
        <v>645</v>
      </c>
      <c r="U659" s="77" t="str">
        <f t="shared" si="4220"/>
        <v/>
      </c>
      <c r="V659" s="39">
        <v>1</v>
      </c>
      <c r="W659" s="79">
        <f t="shared" si="4234"/>
        <v>0</v>
      </c>
      <c r="X659" s="3">
        <v>0</v>
      </c>
      <c r="Y659" s="77" t="str">
        <f t="shared" si="4221"/>
        <v/>
      </c>
      <c r="Z659" s="3"/>
      <c r="AA659" s="37" t="str">
        <f t="shared" si="4235"/>
        <v/>
      </c>
      <c r="AC659" s="40"/>
      <c r="AD659" s="7"/>
      <c r="AE659" s="77" t="str">
        <f t="shared" si="4222"/>
        <v/>
      </c>
      <c r="AF659" s="81">
        <f t="shared" si="4248"/>
        <v>0</v>
      </c>
      <c r="AG659" s="40"/>
      <c r="AH659" s="7"/>
      <c r="AI659" s="77" t="str">
        <f t="shared" si="4223"/>
        <v/>
      </c>
      <c r="AJ659" s="81">
        <f t="shared" si="4249"/>
        <v>0</v>
      </c>
      <c r="AK659" s="83">
        <f t="shared" si="4250"/>
        <v>0</v>
      </c>
      <c r="AL659" s="83">
        <f t="shared" si="4251"/>
        <v>0</v>
      </c>
      <c r="AN659" s="43">
        <f t="shared" si="4224"/>
        <v>0</v>
      </c>
      <c r="AP659" t="str">
        <f t="shared" si="4252"/>
        <v/>
      </c>
      <c r="AQ659" t="str">
        <f t="shared" si="4253"/>
        <v/>
      </c>
      <c r="AR659" t="str">
        <f t="shared" si="4254"/>
        <v/>
      </c>
      <c r="AS659" t="str">
        <f t="shared" si="4255"/>
        <v/>
      </c>
      <c r="AT659" t="str">
        <f t="shared" si="4256"/>
        <v/>
      </c>
      <c r="AU659" t="str">
        <f t="shared" si="4257"/>
        <v/>
      </c>
      <c r="AV659" t="str">
        <f t="shared" si="4258"/>
        <v/>
      </c>
      <c r="AW659" t="str">
        <f t="shared" si="4259"/>
        <v xml:space="preserve">                              </v>
      </c>
      <c r="AX659" s="23">
        <f t="shared" si="4260"/>
        <v>0</v>
      </c>
      <c r="AY659" s="49" t="str">
        <f t="shared" si="4236"/>
        <v>000000000000000</v>
      </c>
      <c r="AZ659" s="23">
        <f t="shared" si="4261"/>
        <v>0</v>
      </c>
      <c r="BA659" s="49" t="str">
        <f t="shared" si="4236"/>
        <v>000000000000000</v>
      </c>
      <c r="BB659" s="23">
        <f t="shared" si="4262"/>
        <v>0</v>
      </c>
      <c r="BC659" s="49" t="str">
        <f t="shared" ref="BC659" si="4311">IF(BB659&lt;0,SUBSTITUTE(TEXT(BB659,"000000000000,00"),",",""),SUBSTITUTE(TEXT(BB659,"0000000000000,00"),",",""))</f>
        <v>000000000000000</v>
      </c>
      <c r="BD659" s="23">
        <f t="shared" si="4264"/>
        <v>0</v>
      </c>
      <c r="BE659" s="49" t="str">
        <f t="shared" ref="BE659" si="4312">IF(BD659&lt;0,SUBSTITUTE(TEXT(BD659,"000000000000,00"),",",""),SUBSTITUTE(TEXT(BD659,"0000000000000,00"),",",""))</f>
        <v>000000000000000</v>
      </c>
      <c r="BF659" s="23">
        <f t="shared" si="4266"/>
        <v>0</v>
      </c>
      <c r="BG659" s="49" t="str">
        <f t="shared" ref="BG659" si="4313">IF(BF659&lt;0,SUBSTITUTE(TEXT(BF659,"000000000000,00"),",",""),SUBSTITUTE(TEXT(BF659,"0000000000000,00"),",",""))</f>
        <v>000000000000000</v>
      </c>
      <c r="BH659" s="23">
        <f t="shared" si="4268"/>
        <v>0</v>
      </c>
      <c r="BI659" s="49" t="str">
        <f t="shared" ref="BI659" si="4314">IF(BH659&lt;0,SUBSTITUTE(TEXT(BH659,"000000000000,00"),",",""),SUBSTITUTE(TEXT(BH659,"0000000000000,00"),",",""))</f>
        <v>000000000000000</v>
      </c>
      <c r="BJ659" s="23">
        <f t="shared" si="4270"/>
        <v>0</v>
      </c>
      <c r="BK659" s="49" t="str">
        <f t="shared" ref="BK659" si="4315">IF(BJ659&lt;0,SUBSTITUTE(TEXT(BJ659,"000000000000,00"),",",""),SUBSTITUTE(TEXT(BJ659,"0000000000000,00"),",",""))</f>
        <v>000000000000000</v>
      </c>
      <c r="BL659" s="23">
        <f t="shared" si="4272"/>
        <v>0</v>
      </c>
      <c r="BM659" s="49" t="str">
        <f t="shared" ref="BM659" si="4316">IF(BL659&lt;0,SUBSTITUTE(TEXT(BL659,"000000000000,00"),",",""),SUBSTITUTE(TEXT(BL659,"0000000000000,00"),",",""))</f>
        <v>000000000000000</v>
      </c>
      <c r="BN659" t="str">
        <f t="shared" si="4274"/>
        <v>PES</v>
      </c>
      <c r="BO659" t="str">
        <f t="shared" si="4275"/>
        <v>0001000000</v>
      </c>
      <c r="BP659">
        <f t="shared" si="4276"/>
        <v>0</v>
      </c>
      <c r="BQ659">
        <f t="shared" si="4277"/>
        <v>0</v>
      </c>
      <c r="BR659" s="23">
        <f t="shared" si="4278"/>
        <v>0</v>
      </c>
      <c r="BS659" s="49" t="str">
        <f t="shared" si="4243"/>
        <v>000000000000000</v>
      </c>
      <c r="BT659" t="str">
        <f t="shared" si="4279"/>
        <v>00000000</v>
      </c>
      <c r="BU659" s="23">
        <f t="shared" si="4280"/>
        <v>0</v>
      </c>
      <c r="BV659" s="49" t="str">
        <f t="shared" si="4244"/>
        <v/>
      </c>
      <c r="BW659" s="52" t="str">
        <f t="shared" si="4281"/>
        <v/>
      </c>
      <c r="BX659" s="23">
        <f t="shared" si="4282"/>
        <v>0</v>
      </c>
      <c r="BY659" s="49" t="str">
        <f t="shared" si="4245"/>
        <v/>
      </c>
      <c r="BZ659" s="23">
        <f t="shared" si="4283"/>
        <v>0</v>
      </c>
      <c r="CA659" s="49" t="str">
        <f t="shared" si="4246"/>
        <v/>
      </c>
      <c r="CB659" s="52" t="str">
        <f t="shared" si="4284"/>
        <v/>
      </c>
      <c r="CC659" s="23">
        <f t="shared" si="4285"/>
        <v>0</v>
      </c>
      <c r="CD659" s="49" t="str">
        <f t="shared" si="4247"/>
        <v/>
      </c>
      <c r="CE659" s="56" t="str">
        <f>IF(CF659="","",MAX(CE$10:$CE658)+1)</f>
        <v/>
      </c>
      <c r="CF659" t="str">
        <f t="shared" si="4286"/>
        <v/>
      </c>
      <c r="CG659" s="22" t="str">
        <f>IF(CH659="","",MAX($CG$10:CG658)+1)</f>
        <v/>
      </c>
      <c r="CH659" s="22" t="str">
        <f t="shared" si="4231"/>
        <v/>
      </c>
      <c r="CI659" s="22" t="str">
        <f>IF(CJ659="","",MAX($CI$10:CI658)+1)</f>
        <v/>
      </c>
      <c r="CJ659" s="22" t="str">
        <f t="shared" si="4232"/>
        <v/>
      </c>
    </row>
    <row r="660" spans="2:88" x14ac:dyDescent="0.25">
      <c r="B660" s="37"/>
      <c r="C660" s="3"/>
      <c r="D660" s="77" t="str">
        <f t="shared" si="4218"/>
        <v/>
      </c>
      <c r="E660" s="38"/>
      <c r="F660" s="38"/>
      <c r="G660" s="78">
        <f t="shared" si="4233"/>
        <v>0</v>
      </c>
      <c r="H660" s="3">
        <v>80</v>
      </c>
      <c r="I660" s="77" t="str">
        <f t="shared" si="4219"/>
        <v/>
      </c>
      <c r="J660" s="32"/>
      <c r="K660" s="3"/>
      <c r="L660" s="39"/>
      <c r="M660" s="39"/>
      <c r="N660" s="39"/>
      <c r="O660" s="39"/>
      <c r="P660" s="39"/>
      <c r="Q660" s="39"/>
      <c r="R660" s="39"/>
      <c r="S660" s="39"/>
      <c r="T660" s="3" t="s">
        <v>645</v>
      </c>
      <c r="U660" s="77" t="str">
        <f t="shared" si="4220"/>
        <v/>
      </c>
      <c r="V660" s="39">
        <v>1</v>
      </c>
      <c r="W660" s="79">
        <f t="shared" si="4234"/>
        <v>0</v>
      </c>
      <c r="X660" s="3">
        <v>0</v>
      </c>
      <c r="Y660" s="77" t="str">
        <f t="shared" si="4221"/>
        <v/>
      </c>
      <c r="Z660" s="3"/>
      <c r="AA660" s="37" t="str">
        <f t="shared" si="4235"/>
        <v/>
      </c>
      <c r="AC660" s="40"/>
      <c r="AD660" s="7"/>
      <c r="AE660" s="77" t="str">
        <f t="shared" si="4222"/>
        <v/>
      </c>
      <c r="AF660" s="81">
        <f t="shared" si="4248"/>
        <v>0</v>
      </c>
      <c r="AG660" s="40"/>
      <c r="AH660" s="7"/>
      <c r="AI660" s="77" t="str">
        <f t="shared" si="4223"/>
        <v/>
      </c>
      <c r="AJ660" s="81">
        <f t="shared" si="4249"/>
        <v>0</v>
      </c>
      <c r="AK660" s="83">
        <f t="shared" si="4250"/>
        <v>0</v>
      </c>
      <c r="AL660" s="83">
        <f t="shared" si="4251"/>
        <v>0</v>
      </c>
      <c r="AN660" s="43">
        <f t="shared" si="4224"/>
        <v>0</v>
      </c>
      <c r="AP660" t="str">
        <f t="shared" si="4252"/>
        <v/>
      </c>
      <c r="AQ660" t="str">
        <f t="shared" si="4253"/>
        <v/>
      </c>
      <c r="AR660" t="str">
        <f t="shared" si="4254"/>
        <v/>
      </c>
      <c r="AS660" t="str">
        <f t="shared" si="4255"/>
        <v/>
      </c>
      <c r="AT660" t="str">
        <f t="shared" si="4256"/>
        <v/>
      </c>
      <c r="AU660" t="str">
        <f t="shared" si="4257"/>
        <v/>
      </c>
      <c r="AV660" t="str">
        <f t="shared" si="4258"/>
        <v/>
      </c>
      <c r="AW660" t="str">
        <f t="shared" si="4259"/>
        <v xml:space="preserve">                              </v>
      </c>
      <c r="AX660" s="23">
        <f t="shared" si="4260"/>
        <v>0</v>
      </c>
      <c r="AY660" s="49" t="str">
        <f t="shared" si="4236"/>
        <v>000000000000000</v>
      </c>
      <c r="AZ660" s="23">
        <f t="shared" si="4261"/>
        <v>0</v>
      </c>
      <c r="BA660" s="49" t="str">
        <f t="shared" si="4236"/>
        <v>000000000000000</v>
      </c>
      <c r="BB660" s="23">
        <f t="shared" si="4262"/>
        <v>0</v>
      </c>
      <c r="BC660" s="49" t="str">
        <f t="shared" ref="BC660" si="4317">IF(BB660&lt;0,SUBSTITUTE(TEXT(BB660,"000000000000,00"),",",""),SUBSTITUTE(TEXT(BB660,"0000000000000,00"),",",""))</f>
        <v>000000000000000</v>
      </c>
      <c r="BD660" s="23">
        <f t="shared" si="4264"/>
        <v>0</v>
      </c>
      <c r="BE660" s="49" t="str">
        <f t="shared" ref="BE660" si="4318">IF(BD660&lt;0,SUBSTITUTE(TEXT(BD660,"000000000000,00"),",",""),SUBSTITUTE(TEXT(BD660,"0000000000000,00"),",",""))</f>
        <v>000000000000000</v>
      </c>
      <c r="BF660" s="23">
        <f t="shared" si="4266"/>
        <v>0</v>
      </c>
      <c r="BG660" s="49" t="str">
        <f t="shared" ref="BG660" si="4319">IF(BF660&lt;0,SUBSTITUTE(TEXT(BF660,"000000000000,00"),",",""),SUBSTITUTE(TEXT(BF660,"0000000000000,00"),",",""))</f>
        <v>000000000000000</v>
      </c>
      <c r="BH660" s="23">
        <f t="shared" si="4268"/>
        <v>0</v>
      </c>
      <c r="BI660" s="49" t="str">
        <f t="shared" ref="BI660" si="4320">IF(BH660&lt;0,SUBSTITUTE(TEXT(BH660,"000000000000,00"),",",""),SUBSTITUTE(TEXT(BH660,"0000000000000,00"),",",""))</f>
        <v>000000000000000</v>
      </c>
      <c r="BJ660" s="23">
        <f t="shared" si="4270"/>
        <v>0</v>
      </c>
      <c r="BK660" s="49" t="str">
        <f t="shared" ref="BK660" si="4321">IF(BJ660&lt;0,SUBSTITUTE(TEXT(BJ660,"000000000000,00"),",",""),SUBSTITUTE(TEXT(BJ660,"0000000000000,00"),",",""))</f>
        <v>000000000000000</v>
      </c>
      <c r="BL660" s="23">
        <f t="shared" si="4272"/>
        <v>0</v>
      </c>
      <c r="BM660" s="49" t="str">
        <f t="shared" ref="BM660" si="4322">IF(BL660&lt;0,SUBSTITUTE(TEXT(BL660,"000000000000,00"),",",""),SUBSTITUTE(TEXT(BL660,"0000000000000,00"),",",""))</f>
        <v>000000000000000</v>
      </c>
      <c r="BN660" t="str">
        <f t="shared" si="4274"/>
        <v>PES</v>
      </c>
      <c r="BO660" t="str">
        <f t="shared" si="4275"/>
        <v>0001000000</v>
      </c>
      <c r="BP660">
        <f t="shared" si="4276"/>
        <v>0</v>
      </c>
      <c r="BQ660">
        <f t="shared" si="4277"/>
        <v>0</v>
      </c>
      <c r="BR660" s="23">
        <f t="shared" si="4278"/>
        <v>0</v>
      </c>
      <c r="BS660" s="49" t="str">
        <f t="shared" si="4243"/>
        <v>000000000000000</v>
      </c>
      <c r="BT660" t="str">
        <f t="shared" si="4279"/>
        <v>00000000</v>
      </c>
      <c r="BU660" s="23">
        <f t="shared" si="4280"/>
        <v>0</v>
      </c>
      <c r="BV660" s="49" t="str">
        <f t="shared" si="4244"/>
        <v/>
      </c>
      <c r="BW660" s="52" t="str">
        <f t="shared" si="4281"/>
        <v/>
      </c>
      <c r="BX660" s="23">
        <f t="shared" si="4282"/>
        <v>0</v>
      </c>
      <c r="BY660" s="49" t="str">
        <f t="shared" si="4245"/>
        <v/>
      </c>
      <c r="BZ660" s="23">
        <f t="shared" si="4283"/>
        <v>0</v>
      </c>
      <c r="CA660" s="49" t="str">
        <f t="shared" si="4246"/>
        <v/>
      </c>
      <c r="CB660" s="52" t="str">
        <f t="shared" si="4284"/>
        <v/>
      </c>
      <c r="CC660" s="23">
        <f t="shared" si="4285"/>
        <v>0</v>
      </c>
      <c r="CD660" s="49" t="str">
        <f t="shared" si="4247"/>
        <v/>
      </c>
      <c r="CE660" s="56" t="str">
        <f>IF(CF660="","",MAX(CE$10:$CE659)+1)</f>
        <v/>
      </c>
      <c r="CF660" t="str">
        <f t="shared" si="4286"/>
        <v/>
      </c>
      <c r="CG660" s="22" t="str">
        <f>IF(CH660="","",MAX($CG$10:CG659)+1)</f>
        <v/>
      </c>
      <c r="CH660" s="22" t="str">
        <f t="shared" si="4231"/>
        <v/>
      </c>
      <c r="CI660" s="22" t="str">
        <f>IF(CJ660="","",MAX($CI$10:CI659)+1)</f>
        <v/>
      </c>
      <c r="CJ660" s="22" t="str">
        <f t="shared" si="4232"/>
        <v/>
      </c>
    </row>
    <row r="661" spans="2:88" x14ac:dyDescent="0.25">
      <c r="B661" s="37"/>
      <c r="C661" s="3"/>
      <c r="D661" s="77" t="str">
        <f t="shared" si="4218"/>
        <v/>
      </c>
      <c r="E661" s="38"/>
      <c r="F661" s="38"/>
      <c r="G661" s="78">
        <f t="shared" si="4233"/>
        <v>0</v>
      </c>
      <c r="H661" s="3">
        <v>80</v>
      </c>
      <c r="I661" s="77" t="str">
        <f t="shared" si="4219"/>
        <v/>
      </c>
      <c r="J661" s="32"/>
      <c r="K661" s="3"/>
      <c r="L661" s="39"/>
      <c r="M661" s="39"/>
      <c r="N661" s="39"/>
      <c r="O661" s="39"/>
      <c r="P661" s="39"/>
      <c r="Q661" s="39"/>
      <c r="R661" s="39"/>
      <c r="S661" s="39"/>
      <c r="T661" s="3" t="s">
        <v>645</v>
      </c>
      <c r="U661" s="77" t="str">
        <f t="shared" si="4220"/>
        <v/>
      </c>
      <c r="V661" s="39">
        <v>1</v>
      </c>
      <c r="W661" s="79">
        <f t="shared" si="4234"/>
        <v>0</v>
      </c>
      <c r="X661" s="3">
        <v>0</v>
      </c>
      <c r="Y661" s="77" t="str">
        <f t="shared" si="4221"/>
        <v/>
      </c>
      <c r="Z661" s="3"/>
      <c r="AA661" s="37" t="str">
        <f t="shared" si="4235"/>
        <v/>
      </c>
      <c r="AC661" s="40"/>
      <c r="AD661" s="7"/>
      <c r="AE661" s="77" t="str">
        <f t="shared" si="4222"/>
        <v/>
      </c>
      <c r="AF661" s="81">
        <f t="shared" si="4248"/>
        <v>0</v>
      </c>
      <c r="AG661" s="40"/>
      <c r="AH661" s="7"/>
      <c r="AI661" s="77" t="str">
        <f t="shared" si="4223"/>
        <v/>
      </c>
      <c r="AJ661" s="81">
        <f t="shared" si="4249"/>
        <v>0</v>
      </c>
      <c r="AK661" s="83">
        <f t="shared" si="4250"/>
        <v>0</v>
      </c>
      <c r="AL661" s="83">
        <f t="shared" si="4251"/>
        <v>0</v>
      </c>
      <c r="AN661" s="43">
        <f t="shared" si="4224"/>
        <v>0</v>
      </c>
      <c r="AP661" t="str">
        <f t="shared" si="4252"/>
        <v/>
      </c>
      <c r="AQ661" t="str">
        <f t="shared" si="4253"/>
        <v/>
      </c>
      <c r="AR661" t="str">
        <f t="shared" si="4254"/>
        <v/>
      </c>
      <c r="AS661" t="str">
        <f t="shared" si="4255"/>
        <v/>
      </c>
      <c r="AT661" t="str">
        <f t="shared" si="4256"/>
        <v/>
      </c>
      <c r="AU661" t="str">
        <f t="shared" si="4257"/>
        <v/>
      </c>
      <c r="AV661" t="str">
        <f t="shared" si="4258"/>
        <v/>
      </c>
      <c r="AW661" t="str">
        <f t="shared" si="4259"/>
        <v xml:space="preserve">                              </v>
      </c>
      <c r="AX661" s="23">
        <f t="shared" si="4260"/>
        <v>0</v>
      </c>
      <c r="AY661" s="49" t="str">
        <f t="shared" si="4236"/>
        <v>000000000000000</v>
      </c>
      <c r="AZ661" s="23">
        <f t="shared" si="4261"/>
        <v>0</v>
      </c>
      <c r="BA661" s="49" t="str">
        <f t="shared" si="4236"/>
        <v>000000000000000</v>
      </c>
      <c r="BB661" s="23">
        <f t="shared" si="4262"/>
        <v>0</v>
      </c>
      <c r="BC661" s="49" t="str">
        <f t="shared" ref="BC661" si="4323">IF(BB661&lt;0,SUBSTITUTE(TEXT(BB661,"000000000000,00"),",",""),SUBSTITUTE(TEXT(BB661,"0000000000000,00"),",",""))</f>
        <v>000000000000000</v>
      </c>
      <c r="BD661" s="23">
        <f t="shared" si="4264"/>
        <v>0</v>
      </c>
      <c r="BE661" s="49" t="str">
        <f t="shared" ref="BE661" si="4324">IF(BD661&lt;0,SUBSTITUTE(TEXT(BD661,"000000000000,00"),",",""),SUBSTITUTE(TEXT(BD661,"0000000000000,00"),",",""))</f>
        <v>000000000000000</v>
      </c>
      <c r="BF661" s="23">
        <f t="shared" si="4266"/>
        <v>0</v>
      </c>
      <c r="BG661" s="49" t="str">
        <f t="shared" ref="BG661" si="4325">IF(BF661&lt;0,SUBSTITUTE(TEXT(BF661,"000000000000,00"),",",""),SUBSTITUTE(TEXT(BF661,"0000000000000,00"),",",""))</f>
        <v>000000000000000</v>
      </c>
      <c r="BH661" s="23">
        <f t="shared" si="4268"/>
        <v>0</v>
      </c>
      <c r="BI661" s="49" t="str">
        <f t="shared" ref="BI661" si="4326">IF(BH661&lt;0,SUBSTITUTE(TEXT(BH661,"000000000000,00"),",",""),SUBSTITUTE(TEXT(BH661,"0000000000000,00"),",",""))</f>
        <v>000000000000000</v>
      </c>
      <c r="BJ661" s="23">
        <f t="shared" si="4270"/>
        <v>0</v>
      </c>
      <c r="BK661" s="49" t="str">
        <f t="shared" ref="BK661" si="4327">IF(BJ661&lt;0,SUBSTITUTE(TEXT(BJ661,"000000000000,00"),",",""),SUBSTITUTE(TEXT(BJ661,"0000000000000,00"),",",""))</f>
        <v>000000000000000</v>
      </c>
      <c r="BL661" s="23">
        <f t="shared" si="4272"/>
        <v>0</v>
      </c>
      <c r="BM661" s="49" t="str">
        <f t="shared" ref="BM661" si="4328">IF(BL661&lt;0,SUBSTITUTE(TEXT(BL661,"000000000000,00"),",",""),SUBSTITUTE(TEXT(BL661,"0000000000000,00"),",",""))</f>
        <v>000000000000000</v>
      </c>
      <c r="BN661" t="str">
        <f t="shared" si="4274"/>
        <v>PES</v>
      </c>
      <c r="BO661" t="str">
        <f t="shared" si="4275"/>
        <v>0001000000</v>
      </c>
      <c r="BP661">
        <f t="shared" si="4276"/>
        <v>0</v>
      </c>
      <c r="BQ661">
        <f t="shared" si="4277"/>
        <v>0</v>
      </c>
      <c r="BR661" s="23">
        <f t="shared" si="4278"/>
        <v>0</v>
      </c>
      <c r="BS661" s="49" t="str">
        <f t="shared" si="4243"/>
        <v>000000000000000</v>
      </c>
      <c r="BT661" t="str">
        <f t="shared" si="4279"/>
        <v>00000000</v>
      </c>
      <c r="BU661" s="23">
        <f t="shared" si="4280"/>
        <v>0</v>
      </c>
      <c r="BV661" s="49" t="str">
        <f t="shared" si="4244"/>
        <v/>
      </c>
      <c r="BW661" s="52" t="str">
        <f t="shared" si="4281"/>
        <v/>
      </c>
      <c r="BX661" s="23">
        <f t="shared" si="4282"/>
        <v>0</v>
      </c>
      <c r="BY661" s="49" t="str">
        <f t="shared" si="4245"/>
        <v/>
      </c>
      <c r="BZ661" s="23">
        <f t="shared" si="4283"/>
        <v>0</v>
      </c>
      <c r="CA661" s="49" t="str">
        <f t="shared" si="4246"/>
        <v/>
      </c>
      <c r="CB661" s="52" t="str">
        <f t="shared" si="4284"/>
        <v/>
      </c>
      <c r="CC661" s="23">
        <f t="shared" si="4285"/>
        <v>0</v>
      </c>
      <c r="CD661" s="49" t="str">
        <f t="shared" si="4247"/>
        <v/>
      </c>
      <c r="CE661" s="56" t="str">
        <f>IF(CF661="","",MAX(CE$10:$CE660)+1)</f>
        <v/>
      </c>
      <c r="CF661" t="str">
        <f t="shared" si="4286"/>
        <v/>
      </c>
      <c r="CG661" s="22" t="str">
        <f>IF(CH661="","",MAX($CG$10:CG660)+1)</f>
        <v/>
      </c>
      <c r="CH661" s="22" t="str">
        <f t="shared" si="4231"/>
        <v/>
      </c>
      <c r="CI661" s="22" t="str">
        <f>IF(CJ661="","",MAX($CI$10:CI660)+1)</f>
        <v/>
      </c>
      <c r="CJ661" s="22" t="str">
        <f t="shared" si="4232"/>
        <v/>
      </c>
    </row>
    <row r="662" spans="2:88" x14ac:dyDescent="0.25">
      <c r="B662" s="37"/>
      <c r="C662" s="3"/>
      <c r="D662" s="77" t="str">
        <f t="shared" si="4218"/>
        <v/>
      </c>
      <c r="E662" s="38"/>
      <c r="F662" s="38"/>
      <c r="G662" s="78">
        <f t="shared" si="4233"/>
        <v>0</v>
      </c>
      <c r="H662" s="3">
        <v>80</v>
      </c>
      <c r="I662" s="77" t="str">
        <f t="shared" si="4219"/>
        <v/>
      </c>
      <c r="J662" s="32"/>
      <c r="K662" s="3"/>
      <c r="L662" s="39"/>
      <c r="M662" s="39"/>
      <c r="N662" s="39"/>
      <c r="O662" s="39"/>
      <c r="P662" s="39"/>
      <c r="Q662" s="39"/>
      <c r="R662" s="39"/>
      <c r="S662" s="39"/>
      <c r="T662" s="3" t="s">
        <v>645</v>
      </c>
      <c r="U662" s="77" t="str">
        <f t="shared" si="4220"/>
        <v/>
      </c>
      <c r="V662" s="39">
        <v>1</v>
      </c>
      <c r="W662" s="79">
        <f t="shared" si="4234"/>
        <v>0</v>
      </c>
      <c r="X662" s="3">
        <v>0</v>
      </c>
      <c r="Y662" s="77" t="str">
        <f t="shared" si="4221"/>
        <v/>
      </c>
      <c r="Z662" s="3"/>
      <c r="AA662" s="37" t="str">
        <f t="shared" si="4235"/>
        <v/>
      </c>
      <c r="AC662" s="40"/>
      <c r="AD662" s="7"/>
      <c r="AE662" s="77" t="str">
        <f t="shared" si="4222"/>
        <v/>
      </c>
      <c r="AF662" s="81">
        <f t="shared" si="4248"/>
        <v>0</v>
      </c>
      <c r="AG662" s="40"/>
      <c r="AH662" s="7"/>
      <c r="AI662" s="77" t="str">
        <f t="shared" si="4223"/>
        <v/>
      </c>
      <c r="AJ662" s="81">
        <f t="shared" si="4249"/>
        <v>0</v>
      </c>
      <c r="AK662" s="83">
        <f t="shared" si="4250"/>
        <v>0</v>
      </c>
      <c r="AL662" s="83">
        <f t="shared" si="4251"/>
        <v>0</v>
      </c>
      <c r="AN662" s="43">
        <f t="shared" si="4224"/>
        <v>0</v>
      </c>
      <c r="AP662" t="str">
        <f t="shared" si="4252"/>
        <v/>
      </c>
      <c r="AQ662" t="str">
        <f t="shared" si="4253"/>
        <v/>
      </c>
      <c r="AR662" t="str">
        <f t="shared" si="4254"/>
        <v/>
      </c>
      <c r="AS662" t="str">
        <f t="shared" si="4255"/>
        <v/>
      </c>
      <c r="AT662" t="str">
        <f t="shared" si="4256"/>
        <v/>
      </c>
      <c r="AU662" t="str">
        <f t="shared" si="4257"/>
        <v/>
      </c>
      <c r="AV662" t="str">
        <f t="shared" si="4258"/>
        <v/>
      </c>
      <c r="AW662" t="str">
        <f t="shared" si="4259"/>
        <v xml:space="preserve">                              </v>
      </c>
      <c r="AX662" s="23">
        <f t="shared" si="4260"/>
        <v>0</v>
      </c>
      <c r="AY662" s="49" t="str">
        <f t="shared" si="4236"/>
        <v>000000000000000</v>
      </c>
      <c r="AZ662" s="23">
        <f t="shared" si="4261"/>
        <v>0</v>
      </c>
      <c r="BA662" s="49" t="str">
        <f t="shared" si="4236"/>
        <v>000000000000000</v>
      </c>
      <c r="BB662" s="23">
        <f t="shared" si="4262"/>
        <v>0</v>
      </c>
      <c r="BC662" s="49" t="str">
        <f t="shared" ref="BC662" si="4329">IF(BB662&lt;0,SUBSTITUTE(TEXT(BB662,"000000000000,00"),",",""),SUBSTITUTE(TEXT(BB662,"0000000000000,00"),",",""))</f>
        <v>000000000000000</v>
      </c>
      <c r="BD662" s="23">
        <f t="shared" si="4264"/>
        <v>0</v>
      </c>
      <c r="BE662" s="49" t="str">
        <f t="shared" ref="BE662" si="4330">IF(BD662&lt;0,SUBSTITUTE(TEXT(BD662,"000000000000,00"),",",""),SUBSTITUTE(TEXT(BD662,"0000000000000,00"),",",""))</f>
        <v>000000000000000</v>
      </c>
      <c r="BF662" s="23">
        <f t="shared" si="4266"/>
        <v>0</v>
      </c>
      <c r="BG662" s="49" t="str">
        <f t="shared" ref="BG662" si="4331">IF(BF662&lt;0,SUBSTITUTE(TEXT(BF662,"000000000000,00"),",",""),SUBSTITUTE(TEXT(BF662,"0000000000000,00"),",",""))</f>
        <v>000000000000000</v>
      </c>
      <c r="BH662" s="23">
        <f t="shared" si="4268"/>
        <v>0</v>
      </c>
      <c r="BI662" s="49" t="str">
        <f t="shared" ref="BI662" si="4332">IF(BH662&lt;0,SUBSTITUTE(TEXT(BH662,"000000000000,00"),",",""),SUBSTITUTE(TEXT(BH662,"0000000000000,00"),",",""))</f>
        <v>000000000000000</v>
      </c>
      <c r="BJ662" s="23">
        <f t="shared" si="4270"/>
        <v>0</v>
      </c>
      <c r="BK662" s="49" t="str">
        <f t="shared" ref="BK662" si="4333">IF(BJ662&lt;0,SUBSTITUTE(TEXT(BJ662,"000000000000,00"),",",""),SUBSTITUTE(TEXT(BJ662,"0000000000000,00"),",",""))</f>
        <v>000000000000000</v>
      </c>
      <c r="BL662" s="23">
        <f t="shared" si="4272"/>
        <v>0</v>
      </c>
      <c r="BM662" s="49" t="str">
        <f t="shared" ref="BM662" si="4334">IF(BL662&lt;0,SUBSTITUTE(TEXT(BL662,"000000000000,00"),",",""),SUBSTITUTE(TEXT(BL662,"0000000000000,00"),",",""))</f>
        <v>000000000000000</v>
      </c>
      <c r="BN662" t="str">
        <f t="shared" si="4274"/>
        <v>PES</v>
      </c>
      <c r="BO662" t="str">
        <f t="shared" si="4275"/>
        <v>0001000000</v>
      </c>
      <c r="BP662">
        <f t="shared" si="4276"/>
        <v>0</v>
      </c>
      <c r="BQ662">
        <f t="shared" si="4277"/>
        <v>0</v>
      </c>
      <c r="BR662" s="23">
        <f t="shared" si="4278"/>
        <v>0</v>
      </c>
      <c r="BS662" s="49" t="str">
        <f t="shared" si="4243"/>
        <v>000000000000000</v>
      </c>
      <c r="BT662" t="str">
        <f t="shared" si="4279"/>
        <v>00000000</v>
      </c>
      <c r="BU662" s="23">
        <f t="shared" si="4280"/>
        <v>0</v>
      </c>
      <c r="BV662" s="49" t="str">
        <f t="shared" si="4244"/>
        <v/>
      </c>
      <c r="BW662" s="52" t="str">
        <f t="shared" si="4281"/>
        <v/>
      </c>
      <c r="BX662" s="23">
        <f t="shared" si="4282"/>
        <v>0</v>
      </c>
      <c r="BY662" s="49" t="str">
        <f t="shared" si="4245"/>
        <v/>
      </c>
      <c r="BZ662" s="23">
        <f t="shared" si="4283"/>
        <v>0</v>
      </c>
      <c r="CA662" s="49" t="str">
        <f t="shared" si="4246"/>
        <v/>
      </c>
      <c r="CB662" s="52" t="str">
        <f t="shared" si="4284"/>
        <v/>
      </c>
      <c r="CC662" s="23">
        <f t="shared" si="4285"/>
        <v>0</v>
      </c>
      <c r="CD662" s="49" t="str">
        <f t="shared" si="4247"/>
        <v/>
      </c>
      <c r="CE662" s="56" t="str">
        <f>IF(CF662="","",MAX(CE$10:$CE661)+1)</f>
        <v/>
      </c>
      <c r="CF662" t="str">
        <f t="shared" si="4286"/>
        <v/>
      </c>
      <c r="CG662" s="22" t="str">
        <f>IF(CH662="","",MAX($CG$10:CG661)+1)</f>
        <v/>
      </c>
      <c r="CH662" s="22" t="str">
        <f t="shared" si="4231"/>
        <v/>
      </c>
      <c r="CI662" s="22" t="str">
        <f>IF(CJ662="","",MAX($CI$10:CI661)+1)</f>
        <v/>
      </c>
      <c r="CJ662" s="22" t="str">
        <f t="shared" si="4232"/>
        <v/>
      </c>
    </row>
    <row r="663" spans="2:88" x14ac:dyDescent="0.25">
      <c r="B663" s="37"/>
      <c r="C663" s="3"/>
      <c r="D663" s="77" t="str">
        <f t="shared" si="4218"/>
        <v/>
      </c>
      <c r="E663" s="38"/>
      <c r="F663" s="38"/>
      <c r="G663" s="78">
        <f t="shared" si="4233"/>
        <v>0</v>
      </c>
      <c r="H663" s="3">
        <v>80</v>
      </c>
      <c r="I663" s="77" t="str">
        <f t="shared" si="4219"/>
        <v/>
      </c>
      <c r="J663" s="32"/>
      <c r="K663" s="3"/>
      <c r="L663" s="39"/>
      <c r="M663" s="39"/>
      <c r="N663" s="39"/>
      <c r="O663" s="39"/>
      <c r="P663" s="39"/>
      <c r="Q663" s="39"/>
      <c r="R663" s="39"/>
      <c r="S663" s="39"/>
      <c r="T663" s="3" t="s">
        <v>645</v>
      </c>
      <c r="U663" s="77" t="str">
        <f t="shared" si="4220"/>
        <v/>
      </c>
      <c r="V663" s="39">
        <v>1</v>
      </c>
      <c r="W663" s="79">
        <f t="shared" si="4234"/>
        <v>0</v>
      </c>
      <c r="X663" s="3">
        <v>0</v>
      </c>
      <c r="Y663" s="77" t="str">
        <f t="shared" si="4221"/>
        <v/>
      </c>
      <c r="Z663" s="3"/>
      <c r="AA663" s="37" t="str">
        <f t="shared" si="4235"/>
        <v/>
      </c>
      <c r="AC663" s="40"/>
      <c r="AD663" s="7"/>
      <c r="AE663" s="77" t="str">
        <f t="shared" si="4222"/>
        <v/>
      </c>
      <c r="AF663" s="81">
        <f t="shared" si="4248"/>
        <v>0</v>
      </c>
      <c r="AG663" s="40"/>
      <c r="AH663" s="7"/>
      <c r="AI663" s="77" t="str">
        <f t="shared" si="4223"/>
        <v/>
      </c>
      <c r="AJ663" s="81">
        <f t="shared" si="4249"/>
        <v>0</v>
      </c>
      <c r="AK663" s="83">
        <f t="shared" si="4250"/>
        <v>0</v>
      </c>
      <c r="AL663" s="83">
        <f t="shared" si="4251"/>
        <v>0</v>
      </c>
      <c r="AN663" s="43">
        <f t="shared" si="4224"/>
        <v>0</v>
      </c>
      <c r="AP663" t="str">
        <f t="shared" si="4252"/>
        <v/>
      </c>
      <c r="AQ663" t="str">
        <f t="shared" si="4253"/>
        <v/>
      </c>
      <c r="AR663" t="str">
        <f t="shared" si="4254"/>
        <v/>
      </c>
      <c r="AS663" t="str">
        <f t="shared" si="4255"/>
        <v/>
      </c>
      <c r="AT663" t="str">
        <f t="shared" si="4256"/>
        <v/>
      </c>
      <c r="AU663" t="str">
        <f t="shared" si="4257"/>
        <v/>
      </c>
      <c r="AV663" t="str">
        <f t="shared" si="4258"/>
        <v/>
      </c>
      <c r="AW663" t="str">
        <f t="shared" si="4259"/>
        <v xml:space="preserve">                              </v>
      </c>
      <c r="AX663" s="23">
        <f t="shared" si="4260"/>
        <v>0</v>
      </c>
      <c r="AY663" s="49" t="str">
        <f t="shared" si="4236"/>
        <v>000000000000000</v>
      </c>
      <c r="AZ663" s="23">
        <f t="shared" si="4261"/>
        <v>0</v>
      </c>
      <c r="BA663" s="49" t="str">
        <f t="shared" si="4236"/>
        <v>000000000000000</v>
      </c>
      <c r="BB663" s="23">
        <f t="shared" si="4262"/>
        <v>0</v>
      </c>
      <c r="BC663" s="49" t="str">
        <f t="shared" ref="BC663" si="4335">IF(BB663&lt;0,SUBSTITUTE(TEXT(BB663,"000000000000,00"),",",""),SUBSTITUTE(TEXT(BB663,"0000000000000,00"),",",""))</f>
        <v>000000000000000</v>
      </c>
      <c r="BD663" s="23">
        <f t="shared" si="4264"/>
        <v>0</v>
      </c>
      <c r="BE663" s="49" t="str">
        <f t="shared" ref="BE663" si="4336">IF(BD663&lt;0,SUBSTITUTE(TEXT(BD663,"000000000000,00"),",",""),SUBSTITUTE(TEXT(BD663,"0000000000000,00"),",",""))</f>
        <v>000000000000000</v>
      </c>
      <c r="BF663" s="23">
        <f t="shared" si="4266"/>
        <v>0</v>
      </c>
      <c r="BG663" s="49" t="str">
        <f t="shared" ref="BG663" si="4337">IF(BF663&lt;0,SUBSTITUTE(TEXT(BF663,"000000000000,00"),",",""),SUBSTITUTE(TEXT(BF663,"0000000000000,00"),",",""))</f>
        <v>000000000000000</v>
      </c>
      <c r="BH663" s="23">
        <f t="shared" si="4268"/>
        <v>0</v>
      </c>
      <c r="BI663" s="49" t="str">
        <f t="shared" ref="BI663" si="4338">IF(BH663&lt;0,SUBSTITUTE(TEXT(BH663,"000000000000,00"),",",""),SUBSTITUTE(TEXT(BH663,"0000000000000,00"),",",""))</f>
        <v>000000000000000</v>
      </c>
      <c r="BJ663" s="23">
        <f t="shared" si="4270"/>
        <v>0</v>
      </c>
      <c r="BK663" s="49" t="str">
        <f t="shared" ref="BK663" si="4339">IF(BJ663&lt;0,SUBSTITUTE(TEXT(BJ663,"000000000000,00"),",",""),SUBSTITUTE(TEXT(BJ663,"0000000000000,00"),",",""))</f>
        <v>000000000000000</v>
      </c>
      <c r="BL663" s="23">
        <f t="shared" si="4272"/>
        <v>0</v>
      </c>
      <c r="BM663" s="49" t="str">
        <f t="shared" ref="BM663" si="4340">IF(BL663&lt;0,SUBSTITUTE(TEXT(BL663,"000000000000,00"),",",""),SUBSTITUTE(TEXT(BL663,"0000000000000,00"),",",""))</f>
        <v>000000000000000</v>
      </c>
      <c r="BN663" t="str">
        <f t="shared" si="4274"/>
        <v>PES</v>
      </c>
      <c r="BO663" t="str">
        <f t="shared" si="4275"/>
        <v>0001000000</v>
      </c>
      <c r="BP663">
        <f t="shared" si="4276"/>
        <v>0</v>
      </c>
      <c r="BQ663">
        <f t="shared" si="4277"/>
        <v>0</v>
      </c>
      <c r="BR663" s="23">
        <f t="shared" si="4278"/>
        <v>0</v>
      </c>
      <c r="BS663" s="49" t="str">
        <f t="shared" si="4243"/>
        <v>000000000000000</v>
      </c>
      <c r="BT663" t="str">
        <f t="shared" si="4279"/>
        <v>00000000</v>
      </c>
      <c r="BU663" s="23">
        <f t="shared" si="4280"/>
        <v>0</v>
      </c>
      <c r="BV663" s="49" t="str">
        <f t="shared" si="4244"/>
        <v/>
      </c>
      <c r="BW663" s="52" t="str">
        <f t="shared" si="4281"/>
        <v/>
      </c>
      <c r="BX663" s="23">
        <f t="shared" si="4282"/>
        <v>0</v>
      </c>
      <c r="BY663" s="49" t="str">
        <f t="shared" si="4245"/>
        <v/>
      </c>
      <c r="BZ663" s="23">
        <f t="shared" si="4283"/>
        <v>0</v>
      </c>
      <c r="CA663" s="49" t="str">
        <f t="shared" si="4246"/>
        <v/>
      </c>
      <c r="CB663" s="52" t="str">
        <f t="shared" si="4284"/>
        <v/>
      </c>
      <c r="CC663" s="23">
        <f t="shared" si="4285"/>
        <v>0</v>
      </c>
      <c r="CD663" s="49" t="str">
        <f t="shared" si="4247"/>
        <v/>
      </c>
      <c r="CE663" s="56" t="str">
        <f>IF(CF663="","",MAX(CE$10:$CE662)+1)</f>
        <v/>
      </c>
      <c r="CF663" t="str">
        <f t="shared" si="4286"/>
        <v/>
      </c>
      <c r="CG663" s="22" t="str">
        <f>IF(CH663="","",MAX($CG$10:CG662)+1)</f>
        <v/>
      </c>
      <c r="CH663" s="22" t="str">
        <f t="shared" si="4231"/>
        <v/>
      </c>
      <c r="CI663" s="22" t="str">
        <f>IF(CJ663="","",MAX($CI$10:CI662)+1)</f>
        <v/>
      </c>
      <c r="CJ663" s="22" t="str">
        <f t="shared" si="4232"/>
        <v/>
      </c>
    </row>
    <row r="664" spans="2:88" x14ac:dyDescent="0.25">
      <c r="B664" s="37"/>
      <c r="C664" s="3"/>
      <c r="D664" s="77" t="str">
        <f t="shared" si="4218"/>
        <v/>
      </c>
      <c r="E664" s="38"/>
      <c r="F664" s="38"/>
      <c r="G664" s="78">
        <f t="shared" si="4233"/>
        <v>0</v>
      </c>
      <c r="H664" s="3">
        <v>80</v>
      </c>
      <c r="I664" s="77" t="str">
        <f t="shared" si="4219"/>
        <v/>
      </c>
      <c r="J664" s="32"/>
      <c r="K664" s="3"/>
      <c r="L664" s="39"/>
      <c r="M664" s="39"/>
      <c r="N664" s="39"/>
      <c r="O664" s="39"/>
      <c r="P664" s="39"/>
      <c r="Q664" s="39"/>
      <c r="R664" s="39"/>
      <c r="S664" s="39"/>
      <c r="T664" s="3" t="s">
        <v>645</v>
      </c>
      <c r="U664" s="77" t="str">
        <f t="shared" si="4220"/>
        <v/>
      </c>
      <c r="V664" s="39">
        <v>1</v>
      </c>
      <c r="W664" s="79">
        <f t="shared" si="4234"/>
        <v>0</v>
      </c>
      <c r="X664" s="3">
        <v>0</v>
      </c>
      <c r="Y664" s="77" t="str">
        <f t="shared" si="4221"/>
        <v/>
      </c>
      <c r="Z664" s="3"/>
      <c r="AA664" s="37" t="str">
        <f t="shared" si="4235"/>
        <v/>
      </c>
      <c r="AC664" s="40"/>
      <c r="AD664" s="7"/>
      <c r="AE664" s="77" t="str">
        <f t="shared" si="4222"/>
        <v/>
      </c>
      <c r="AF664" s="81">
        <f t="shared" si="4248"/>
        <v>0</v>
      </c>
      <c r="AG664" s="40"/>
      <c r="AH664" s="7"/>
      <c r="AI664" s="77" t="str">
        <f t="shared" si="4223"/>
        <v/>
      </c>
      <c r="AJ664" s="81">
        <f t="shared" si="4249"/>
        <v>0</v>
      </c>
      <c r="AK664" s="83">
        <f t="shared" si="4250"/>
        <v>0</v>
      </c>
      <c r="AL664" s="83">
        <f t="shared" si="4251"/>
        <v>0</v>
      </c>
      <c r="AN664" s="43">
        <f t="shared" si="4224"/>
        <v>0</v>
      </c>
      <c r="AP664" t="str">
        <f t="shared" si="4252"/>
        <v/>
      </c>
      <c r="AQ664" t="str">
        <f t="shared" si="4253"/>
        <v/>
      </c>
      <c r="AR664" t="str">
        <f t="shared" si="4254"/>
        <v/>
      </c>
      <c r="AS664" t="str">
        <f t="shared" si="4255"/>
        <v/>
      </c>
      <c r="AT664" t="str">
        <f t="shared" si="4256"/>
        <v/>
      </c>
      <c r="AU664" t="str">
        <f t="shared" si="4257"/>
        <v/>
      </c>
      <c r="AV664" t="str">
        <f t="shared" si="4258"/>
        <v/>
      </c>
      <c r="AW664" t="str">
        <f t="shared" si="4259"/>
        <v xml:space="preserve">                              </v>
      </c>
      <c r="AX664" s="23">
        <f t="shared" si="4260"/>
        <v>0</v>
      </c>
      <c r="AY664" s="49" t="str">
        <f t="shared" si="4236"/>
        <v>000000000000000</v>
      </c>
      <c r="AZ664" s="23">
        <f t="shared" si="4261"/>
        <v>0</v>
      </c>
      <c r="BA664" s="49" t="str">
        <f t="shared" si="4236"/>
        <v>000000000000000</v>
      </c>
      <c r="BB664" s="23">
        <f t="shared" si="4262"/>
        <v>0</v>
      </c>
      <c r="BC664" s="49" t="str">
        <f t="shared" ref="BC664" si="4341">IF(BB664&lt;0,SUBSTITUTE(TEXT(BB664,"000000000000,00"),",",""),SUBSTITUTE(TEXT(BB664,"0000000000000,00"),",",""))</f>
        <v>000000000000000</v>
      </c>
      <c r="BD664" s="23">
        <f t="shared" si="4264"/>
        <v>0</v>
      </c>
      <c r="BE664" s="49" t="str">
        <f t="shared" ref="BE664" si="4342">IF(BD664&lt;0,SUBSTITUTE(TEXT(BD664,"000000000000,00"),",",""),SUBSTITUTE(TEXT(BD664,"0000000000000,00"),",",""))</f>
        <v>000000000000000</v>
      </c>
      <c r="BF664" s="23">
        <f t="shared" si="4266"/>
        <v>0</v>
      </c>
      <c r="BG664" s="49" t="str">
        <f t="shared" ref="BG664" si="4343">IF(BF664&lt;0,SUBSTITUTE(TEXT(BF664,"000000000000,00"),",",""),SUBSTITUTE(TEXT(BF664,"0000000000000,00"),",",""))</f>
        <v>000000000000000</v>
      </c>
      <c r="BH664" s="23">
        <f t="shared" si="4268"/>
        <v>0</v>
      </c>
      <c r="BI664" s="49" t="str">
        <f t="shared" ref="BI664" si="4344">IF(BH664&lt;0,SUBSTITUTE(TEXT(BH664,"000000000000,00"),",",""),SUBSTITUTE(TEXT(BH664,"0000000000000,00"),",",""))</f>
        <v>000000000000000</v>
      </c>
      <c r="BJ664" s="23">
        <f t="shared" si="4270"/>
        <v>0</v>
      </c>
      <c r="BK664" s="49" t="str">
        <f t="shared" ref="BK664" si="4345">IF(BJ664&lt;0,SUBSTITUTE(TEXT(BJ664,"000000000000,00"),",",""),SUBSTITUTE(TEXT(BJ664,"0000000000000,00"),",",""))</f>
        <v>000000000000000</v>
      </c>
      <c r="BL664" s="23">
        <f t="shared" si="4272"/>
        <v>0</v>
      </c>
      <c r="BM664" s="49" t="str">
        <f t="shared" ref="BM664" si="4346">IF(BL664&lt;0,SUBSTITUTE(TEXT(BL664,"000000000000,00"),",",""),SUBSTITUTE(TEXT(BL664,"0000000000000,00"),",",""))</f>
        <v>000000000000000</v>
      </c>
      <c r="BN664" t="str">
        <f t="shared" si="4274"/>
        <v>PES</v>
      </c>
      <c r="BO664" t="str">
        <f t="shared" si="4275"/>
        <v>0001000000</v>
      </c>
      <c r="BP664">
        <f t="shared" si="4276"/>
        <v>0</v>
      </c>
      <c r="BQ664">
        <f t="shared" si="4277"/>
        <v>0</v>
      </c>
      <c r="BR664" s="23">
        <f t="shared" si="4278"/>
        <v>0</v>
      </c>
      <c r="BS664" s="49" t="str">
        <f t="shared" si="4243"/>
        <v>000000000000000</v>
      </c>
      <c r="BT664" t="str">
        <f t="shared" si="4279"/>
        <v>00000000</v>
      </c>
      <c r="BU664" s="23">
        <f t="shared" si="4280"/>
        <v>0</v>
      </c>
      <c r="BV664" s="49" t="str">
        <f t="shared" si="4244"/>
        <v/>
      </c>
      <c r="BW664" s="52" t="str">
        <f t="shared" si="4281"/>
        <v/>
      </c>
      <c r="BX664" s="23">
        <f t="shared" si="4282"/>
        <v>0</v>
      </c>
      <c r="BY664" s="49" t="str">
        <f t="shared" si="4245"/>
        <v/>
      </c>
      <c r="BZ664" s="23">
        <f t="shared" si="4283"/>
        <v>0</v>
      </c>
      <c r="CA664" s="49" t="str">
        <f t="shared" si="4246"/>
        <v/>
      </c>
      <c r="CB664" s="52" t="str">
        <f t="shared" si="4284"/>
        <v/>
      </c>
      <c r="CC664" s="23">
        <f t="shared" si="4285"/>
        <v>0</v>
      </c>
      <c r="CD664" s="49" t="str">
        <f t="shared" si="4247"/>
        <v/>
      </c>
      <c r="CE664" s="56" t="str">
        <f>IF(CF664="","",MAX(CE$10:$CE663)+1)</f>
        <v/>
      </c>
      <c r="CF664" t="str">
        <f t="shared" si="4286"/>
        <v/>
      </c>
      <c r="CG664" s="22" t="str">
        <f>IF(CH664="","",MAX($CG$10:CG663)+1)</f>
        <v/>
      </c>
      <c r="CH664" s="22" t="str">
        <f t="shared" si="4231"/>
        <v/>
      </c>
      <c r="CI664" s="22" t="str">
        <f>IF(CJ664="","",MAX($CI$10:CI663)+1)</f>
        <v/>
      </c>
      <c r="CJ664" s="22" t="str">
        <f t="shared" si="4232"/>
        <v/>
      </c>
    </row>
    <row r="665" spans="2:88" x14ac:dyDescent="0.25">
      <c r="B665" s="37"/>
      <c r="C665" s="3"/>
      <c r="D665" s="77" t="str">
        <f t="shared" si="4218"/>
        <v/>
      </c>
      <c r="E665" s="38"/>
      <c r="F665" s="38"/>
      <c r="G665" s="78">
        <f t="shared" si="4233"/>
        <v>0</v>
      </c>
      <c r="H665" s="3">
        <v>80</v>
      </c>
      <c r="I665" s="77" t="str">
        <f t="shared" si="4219"/>
        <v/>
      </c>
      <c r="J665" s="32"/>
      <c r="K665" s="3"/>
      <c r="L665" s="39"/>
      <c r="M665" s="39"/>
      <c r="N665" s="39"/>
      <c r="O665" s="39"/>
      <c r="P665" s="39"/>
      <c r="Q665" s="39"/>
      <c r="R665" s="39"/>
      <c r="S665" s="39"/>
      <c r="T665" s="3" t="s">
        <v>645</v>
      </c>
      <c r="U665" s="77" t="str">
        <f t="shared" si="4220"/>
        <v/>
      </c>
      <c r="V665" s="39">
        <v>1</v>
      </c>
      <c r="W665" s="79">
        <f t="shared" si="4234"/>
        <v>0</v>
      </c>
      <c r="X665" s="3">
        <v>0</v>
      </c>
      <c r="Y665" s="77" t="str">
        <f t="shared" si="4221"/>
        <v/>
      </c>
      <c r="Z665" s="3"/>
      <c r="AA665" s="37" t="str">
        <f t="shared" si="4235"/>
        <v/>
      </c>
      <c r="AC665" s="40"/>
      <c r="AD665" s="7"/>
      <c r="AE665" s="77" t="str">
        <f t="shared" si="4222"/>
        <v/>
      </c>
      <c r="AF665" s="81">
        <f t="shared" si="4248"/>
        <v>0</v>
      </c>
      <c r="AG665" s="40"/>
      <c r="AH665" s="7"/>
      <c r="AI665" s="77" t="str">
        <f t="shared" si="4223"/>
        <v/>
      </c>
      <c r="AJ665" s="81">
        <f t="shared" si="4249"/>
        <v>0</v>
      </c>
      <c r="AK665" s="83">
        <f t="shared" si="4250"/>
        <v>0</v>
      </c>
      <c r="AL665" s="83">
        <f t="shared" si="4251"/>
        <v>0</v>
      </c>
      <c r="AN665" s="43">
        <f t="shared" si="4224"/>
        <v>0</v>
      </c>
      <c r="AP665" t="str">
        <f t="shared" si="4252"/>
        <v/>
      </c>
      <c r="AQ665" t="str">
        <f t="shared" si="4253"/>
        <v/>
      </c>
      <c r="AR665" t="str">
        <f t="shared" si="4254"/>
        <v/>
      </c>
      <c r="AS665" t="str">
        <f t="shared" si="4255"/>
        <v/>
      </c>
      <c r="AT665" t="str">
        <f t="shared" si="4256"/>
        <v/>
      </c>
      <c r="AU665" t="str">
        <f t="shared" si="4257"/>
        <v/>
      </c>
      <c r="AV665" t="str">
        <f t="shared" si="4258"/>
        <v/>
      </c>
      <c r="AW665" t="str">
        <f t="shared" si="4259"/>
        <v xml:space="preserve">                              </v>
      </c>
      <c r="AX665" s="23">
        <f t="shared" si="4260"/>
        <v>0</v>
      </c>
      <c r="AY665" s="49" t="str">
        <f t="shared" si="4236"/>
        <v>000000000000000</v>
      </c>
      <c r="AZ665" s="23">
        <f t="shared" si="4261"/>
        <v>0</v>
      </c>
      <c r="BA665" s="49" t="str">
        <f t="shared" si="4236"/>
        <v>000000000000000</v>
      </c>
      <c r="BB665" s="23">
        <f t="shared" si="4262"/>
        <v>0</v>
      </c>
      <c r="BC665" s="49" t="str">
        <f t="shared" ref="BC665" si="4347">IF(BB665&lt;0,SUBSTITUTE(TEXT(BB665,"000000000000,00"),",",""),SUBSTITUTE(TEXT(BB665,"0000000000000,00"),",",""))</f>
        <v>000000000000000</v>
      </c>
      <c r="BD665" s="23">
        <f t="shared" si="4264"/>
        <v>0</v>
      </c>
      <c r="BE665" s="49" t="str">
        <f t="shared" ref="BE665" si="4348">IF(BD665&lt;0,SUBSTITUTE(TEXT(BD665,"000000000000,00"),",",""),SUBSTITUTE(TEXT(BD665,"0000000000000,00"),",",""))</f>
        <v>000000000000000</v>
      </c>
      <c r="BF665" s="23">
        <f t="shared" si="4266"/>
        <v>0</v>
      </c>
      <c r="BG665" s="49" t="str">
        <f t="shared" ref="BG665" si="4349">IF(BF665&lt;0,SUBSTITUTE(TEXT(BF665,"000000000000,00"),",",""),SUBSTITUTE(TEXT(BF665,"0000000000000,00"),",",""))</f>
        <v>000000000000000</v>
      </c>
      <c r="BH665" s="23">
        <f t="shared" si="4268"/>
        <v>0</v>
      </c>
      <c r="BI665" s="49" t="str">
        <f t="shared" ref="BI665" si="4350">IF(BH665&lt;0,SUBSTITUTE(TEXT(BH665,"000000000000,00"),",",""),SUBSTITUTE(TEXT(BH665,"0000000000000,00"),",",""))</f>
        <v>000000000000000</v>
      </c>
      <c r="BJ665" s="23">
        <f t="shared" si="4270"/>
        <v>0</v>
      </c>
      <c r="BK665" s="49" t="str">
        <f t="shared" ref="BK665" si="4351">IF(BJ665&lt;0,SUBSTITUTE(TEXT(BJ665,"000000000000,00"),",",""),SUBSTITUTE(TEXT(BJ665,"0000000000000,00"),",",""))</f>
        <v>000000000000000</v>
      </c>
      <c r="BL665" s="23">
        <f t="shared" si="4272"/>
        <v>0</v>
      </c>
      <c r="BM665" s="49" t="str">
        <f t="shared" ref="BM665" si="4352">IF(BL665&lt;0,SUBSTITUTE(TEXT(BL665,"000000000000,00"),",",""),SUBSTITUTE(TEXT(BL665,"0000000000000,00"),",",""))</f>
        <v>000000000000000</v>
      </c>
      <c r="BN665" t="str">
        <f t="shared" si="4274"/>
        <v>PES</v>
      </c>
      <c r="BO665" t="str">
        <f t="shared" si="4275"/>
        <v>0001000000</v>
      </c>
      <c r="BP665">
        <f t="shared" si="4276"/>
        <v>0</v>
      </c>
      <c r="BQ665">
        <f t="shared" si="4277"/>
        <v>0</v>
      </c>
      <c r="BR665" s="23">
        <f t="shared" si="4278"/>
        <v>0</v>
      </c>
      <c r="BS665" s="49" t="str">
        <f t="shared" si="4243"/>
        <v>000000000000000</v>
      </c>
      <c r="BT665" t="str">
        <f t="shared" si="4279"/>
        <v>00000000</v>
      </c>
      <c r="BU665" s="23">
        <f t="shared" si="4280"/>
        <v>0</v>
      </c>
      <c r="BV665" s="49" t="str">
        <f t="shared" si="4244"/>
        <v/>
      </c>
      <c r="BW665" s="52" t="str">
        <f t="shared" si="4281"/>
        <v/>
      </c>
      <c r="BX665" s="23">
        <f t="shared" si="4282"/>
        <v>0</v>
      </c>
      <c r="BY665" s="49" t="str">
        <f t="shared" si="4245"/>
        <v/>
      </c>
      <c r="BZ665" s="23">
        <f t="shared" si="4283"/>
        <v>0</v>
      </c>
      <c r="CA665" s="49" t="str">
        <f t="shared" si="4246"/>
        <v/>
      </c>
      <c r="CB665" s="52" t="str">
        <f t="shared" si="4284"/>
        <v/>
      </c>
      <c r="CC665" s="23">
        <f t="shared" si="4285"/>
        <v>0</v>
      </c>
      <c r="CD665" s="49" t="str">
        <f t="shared" si="4247"/>
        <v/>
      </c>
      <c r="CE665" s="56" t="str">
        <f>IF(CF665="","",MAX(CE$10:$CE664)+1)</f>
        <v/>
      </c>
      <c r="CF665" t="str">
        <f t="shared" si="4286"/>
        <v/>
      </c>
      <c r="CG665" s="22" t="str">
        <f>IF(CH665="","",MAX($CG$10:CG664)+1)</f>
        <v/>
      </c>
      <c r="CH665" s="22" t="str">
        <f t="shared" si="4231"/>
        <v/>
      </c>
      <c r="CI665" s="22" t="str">
        <f>IF(CJ665="","",MAX($CI$10:CI664)+1)</f>
        <v/>
      </c>
      <c r="CJ665" s="22" t="str">
        <f t="shared" si="4232"/>
        <v/>
      </c>
    </row>
    <row r="666" spans="2:88" x14ac:dyDescent="0.25">
      <c r="B666" s="37"/>
      <c r="C666" s="3"/>
      <c r="D666" s="77" t="str">
        <f t="shared" si="4218"/>
        <v/>
      </c>
      <c r="E666" s="38"/>
      <c r="F666" s="38"/>
      <c r="G666" s="78">
        <f t="shared" si="4233"/>
        <v>0</v>
      </c>
      <c r="H666" s="3">
        <v>80</v>
      </c>
      <c r="I666" s="77" t="str">
        <f t="shared" si="4219"/>
        <v/>
      </c>
      <c r="J666" s="32"/>
      <c r="K666" s="3"/>
      <c r="L666" s="39"/>
      <c r="M666" s="39"/>
      <c r="N666" s="39"/>
      <c r="O666" s="39"/>
      <c r="P666" s="39"/>
      <c r="Q666" s="39"/>
      <c r="R666" s="39"/>
      <c r="S666" s="39"/>
      <c r="T666" s="3" t="s">
        <v>645</v>
      </c>
      <c r="U666" s="77" t="str">
        <f t="shared" si="4220"/>
        <v/>
      </c>
      <c r="V666" s="39">
        <v>1</v>
      </c>
      <c r="W666" s="79">
        <f t="shared" si="4234"/>
        <v>0</v>
      </c>
      <c r="X666" s="3">
        <v>0</v>
      </c>
      <c r="Y666" s="77" t="str">
        <f t="shared" si="4221"/>
        <v/>
      </c>
      <c r="Z666" s="3"/>
      <c r="AA666" s="37" t="str">
        <f t="shared" si="4235"/>
        <v/>
      </c>
      <c r="AC666" s="40"/>
      <c r="AD666" s="7"/>
      <c r="AE666" s="77" t="str">
        <f t="shared" si="4222"/>
        <v/>
      </c>
      <c r="AF666" s="81">
        <f t="shared" si="4248"/>
        <v>0</v>
      </c>
      <c r="AG666" s="40"/>
      <c r="AH666" s="7"/>
      <c r="AI666" s="77" t="str">
        <f t="shared" si="4223"/>
        <v/>
      </c>
      <c r="AJ666" s="81">
        <f t="shared" si="4249"/>
        <v>0</v>
      </c>
      <c r="AK666" s="83">
        <f t="shared" si="4250"/>
        <v>0</v>
      </c>
      <c r="AL666" s="83">
        <f t="shared" si="4251"/>
        <v>0</v>
      </c>
      <c r="AN666" s="43">
        <f t="shared" si="4224"/>
        <v>0</v>
      </c>
      <c r="AP666" t="str">
        <f t="shared" si="4252"/>
        <v/>
      </c>
      <c r="AQ666" t="str">
        <f t="shared" si="4253"/>
        <v/>
      </c>
      <c r="AR666" t="str">
        <f t="shared" si="4254"/>
        <v/>
      </c>
      <c r="AS666" t="str">
        <f t="shared" si="4255"/>
        <v/>
      </c>
      <c r="AT666" t="str">
        <f t="shared" si="4256"/>
        <v/>
      </c>
      <c r="AU666" t="str">
        <f t="shared" si="4257"/>
        <v/>
      </c>
      <c r="AV666" t="str">
        <f t="shared" si="4258"/>
        <v/>
      </c>
      <c r="AW666" t="str">
        <f t="shared" si="4259"/>
        <v xml:space="preserve">                              </v>
      </c>
      <c r="AX666" s="23">
        <f t="shared" si="4260"/>
        <v>0</v>
      </c>
      <c r="AY666" s="49" t="str">
        <f t="shared" si="4236"/>
        <v>000000000000000</v>
      </c>
      <c r="AZ666" s="23">
        <f t="shared" si="4261"/>
        <v>0</v>
      </c>
      <c r="BA666" s="49" t="str">
        <f t="shared" si="4236"/>
        <v>000000000000000</v>
      </c>
      <c r="BB666" s="23">
        <f t="shared" si="4262"/>
        <v>0</v>
      </c>
      <c r="BC666" s="49" t="str">
        <f t="shared" ref="BC666" si="4353">IF(BB666&lt;0,SUBSTITUTE(TEXT(BB666,"000000000000,00"),",",""),SUBSTITUTE(TEXT(BB666,"0000000000000,00"),",",""))</f>
        <v>000000000000000</v>
      </c>
      <c r="BD666" s="23">
        <f t="shared" si="4264"/>
        <v>0</v>
      </c>
      <c r="BE666" s="49" t="str">
        <f t="shared" ref="BE666" si="4354">IF(BD666&lt;0,SUBSTITUTE(TEXT(BD666,"000000000000,00"),",",""),SUBSTITUTE(TEXT(BD666,"0000000000000,00"),",",""))</f>
        <v>000000000000000</v>
      </c>
      <c r="BF666" s="23">
        <f t="shared" si="4266"/>
        <v>0</v>
      </c>
      <c r="BG666" s="49" t="str">
        <f t="shared" ref="BG666" si="4355">IF(BF666&lt;0,SUBSTITUTE(TEXT(BF666,"000000000000,00"),",",""),SUBSTITUTE(TEXT(BF666,"0000000000000,00"),",",""))</f>
        <v>000000000000000</v>
      </c>
      <c r="BH666" s="23">
        <f t="shared" si="4268"/>
        <v>0</v>
      </c>
      <c r="BI666" s="49" t="str">
        <f t="shared" ref="BI666" si="4356">IF(BH666&lt;0,SUBSTITUTE(TEXT(BH666,"000000000000,00"),",",""),SUBSTITUTE(TEXT(BH666,"0000000000000,00"),",",""))</f>
        <v>000000000000000</v>
      </c>
      <c r="BJ666" s="23">
        <f t="shared" si="4270"/>
        <v>0</v>
      </c>
      <c r="BK666" s="49" t="str">
        <f t="shared" ref="BK666" si="4357">IF(BJ666&lt;0,SUBSTITUTE(TEXT(BJ666,"000000000000,00"),",",""),SUBSTITUTE(TEXT(BJ666,"0000000000000,00"),",",""))</f>
        <v>000000000000000</v>
      </c>
      <c r="BL666" s="23">
        <f t="shared" si="4272"/>
        <v>0</v>
      </c>
      <c r="BM666" s="49" t="str">
        <f t="shared" ref="BM666" si="4358">IF(BL666&lt;0,SUBSTITUTE(TEXT(BL666,"000000000000,00"),",",""),SUBSTITUTE(TEXT(BL666,"0000000000000,00"),",",""))</f>
        <v>000000000000000</v>
      </c>
      <c r="BN666" t="str">
        <f t="shared" si="4274"/>
        <v>PES</v>
      </c>
      <c r="BO666" t="str">
        <f t="shared" si="4275"/>
        <v>0001000000</v>
      </c>
      <c r="BP666">
        <f t="shared" si="4276"/>
        <v>0</v>
      </c>
      <c r="BQ666">
        <f t="shared" si="4277"/>
        <v>0</v>
      </c>
      <c r="BR666" s="23">
        <f t="shared" si="4278"/>
        <v>0</v>
      </c>
      <c r="BS666" s="49" t="str">
        <f t="shared" si="4243"/>
        <v>000000000000000</v>
      </c>
      <c r="BT666" t="str">
        <f t="shared" si="4279"/>
        <v>00000000</v>
      </c>
      <c r="BU666" s="23">
        <f t="shared" si="4280"/>
        <v>0</v>
      </c>
      <c r="BV666" s="49" t="str">
        <f t="shared" si="4244"/>
        <v/>
      </c>
      <c r="BW666" s="52" t="str">
        <f t="shared" si="4281"/>
        <v/>
      </c>
      <c r="BX666" s="23">
        <f t="shared" si="4282"/>
        <v>0</v>
      </c>
      <c r="BY666" s="49" t="str">
        <f t="shared" si="4245"/>
        <v/>
      </c>
      <c r="BZ666" s="23">
        <f t="shared" si="4283"/>
        <v>0</v>
      </c>
      <c r="CA666" s="49" t="str">
        <f t="shared" si="4246"/>
        <v/>
      </c>
      <c r="CB666" s="52" t="str">
        <f t="shared" si="4284"/>
        <v/>
      </c>
      <c r="CC666" s="23">
        <f t="shared" si="4285"/>
        <v>0</v>
      </c>
      <c r="CD666" s="49" t="str">
        <f t="shared" si="4247"/>
        <v/>
      </c>
      <c r="CE666" s="56" t="str">
        <f>IF(CF666="","",MAX(CE$10:$CE665)+1)</f>
        <v/>
      </c>
      <c r="CF666" t="str">
        <f t="shared" si="4286"/>
        <v/>
      </c>
      <c r="CG666" s="22" t="str">
        <f>IF(CH666="","",MAX($CG$10:CG665)+1)</f>
        <v/>
      </c>
      <c r="CH666" s="22" t="str">
        <f t="shared" si="4231"/>
        <v/>
      </c>
      <c r="CI666" s="22" t="str">
        <f>IF(CJ666="","",MAX($CI$10:CI665)+1)</f>
        <v/>
      </c>
      <c r="CJ666" s="22" t="str">
        <f t="shared" si="4232"/>
        <v/>
      </c>
    </row>
    <row r="667" spans="2:88" x14ac:dyDescent="0.25">
      <c r="B667" s="37"/>
      <c r="C667" s="3"/>
      <c r="D667" s="77" t="str">
        <f t="shared" si="4218"/>
        <v/>
      </c>
      <c r="E667" s="38"/>
      <c r="F667" s="38"/>
      <c r="G667" s="78">
        <f t="shared" si="4233"/>
        <v>0</v>
      </c>
      <c r="H667" s="3">
        <v>80</v>
      </c>
      <c r="I667" s="77" t="str">
        <f t="shared" si="4219"/>
        <v/>
      </c>
      <c r="J667" s="32"/>
      <c r="K667" s="3"/>
      <c r="L667" s="39"/>
      <c r="M667" s="39"/>
      <c r="N667" s="39"/>
      <c r="O667" s="39"/>
      <c r="P667" s="39"/>
      <c r="Q667" s="39"/>
      <c r="R667" s="39"/>
      <c r="S667" s="39"/>
      <c r="T667" s="3" t="s">
        <v>645</v>
      </c>
      <c r="U667" s="77" t="str">
        <f t="shared" si="4220"/>
        <v/>
      </c>
      <c r="V667" s="39">
        <v>1</v>
      </c>
      <c r="W667" s="79">
        <f t="shared" si="4234"/>
        <v>0</v>
      </c>
      <c r="X667" s="3">
        <v>0</v>
      </c>
      <c r="Y667" s="77" t="str">
        <f t="shared" si="4221"/>
        <v/>
      </c>
      <c r="Z667" s="3"/>
      <c r="AA667" s="37" t="str">
        <f t="shared" si="4235"/>
        <v/>
      </c>
      <c r="AC667" s="40"/>
      <c r="AD667" s="7"/>
      <c r="AE667" s="77" t="str">
        <f t="shared" si="4222"/>
        <v/>
      </c>
      <c r="AF667" s="81">
        <f t="shared" si="4248"/>
        <v>0</v>
      </c>
      <c r="AG667" s="40"/>
      <c r="AH667" s="7"/>
      <c r="AI667" s="77" t="str">
        <f t="shared" si="4223"/>
        <v/>
      </c>
      <c r="AJ667" s="81">
        <f t="shared" si="4249"/>
        <v>0</v>
      </c>
      <c r="AK667" s="83">
        <f t="shared" si="4250"/>
        <v>0</v>
      </c>
      <c r="AL667" s="83">
        <f t="shared" si="4251"/>
        <v>0</v>
      </c>
      <c r="AN667" s="43">
        <f t="shared" si="4224"/>
        <v>0</v>
      </c>
      <c r="AP667" t="str">
        <f t="shared" si="4252"/>
        <v/>
      </c>
      <c r="AQ667" t="str">
        <f t="shared" si="4253"/>
        <v/>
      </c>
      <c r="AR667" t="str">
        <f t="shared" si="4254"/>
        <v/>
      </c>
      <c r="AS667" t="str">
        <f t="shared" si="4255"/>
        <v/>
      </c>
      <c r="AT667" t="str">
        <f t="shared" si="4256"/>
        <v/>
      </c>
      <c r="AU667" t="str">
        <f t="shared" si="4257"/>
        <v/>
      </c>
      <c r="AV667" t="str">
        <f t="shared" si="4258"/>
        <v/>
      </c>
      <c r="AW667" t="str">
        <f t="shared" si="4259"/>
        <v xml:space="preserve">                              </v>
      </c>
      <c r="AX667" s="23">
        <f t="shared" si="4260"/>
        <v>0</v>
      </c>
      <c r="AY667" s="49" t="str">
        <f t="shared" si="4236"/>
        <v>000000000000000</v>
      </c>
      <c r="AZ667" s="23">
        <f t="shared" si="4261"/>
        <v>0</v>
      </c>
      <c r="BA667" s="49" t="str">
        <f t="shared" si="4236"/>
        <v>000000000000000</v>
      </c>
      <c r="BB667" s="23">
        <f t="shared" si="4262"/>
        <v>0</v>
      </c>
      <c r="BC667" s="49" t="str">
        <f t="shared" ref="BC667" si="4359">IF(BB667&lt;0,SUBSTITUTE(TEXT(BB667,"000000000000,00"),",",""),SUBSTITUTE(TEXT(BB667,"0000000000000,00"),",",""))</f>
        <v>000000000000000</v>
      </c>
      <c r="BD667" s="23">
        <f t="shared" si="4264"/>
        <v>0</v>
      </c>
      <c r="BE667" s="49" t="str">
        <f t="shared" ref="BE667" si="4360">IF(BD667&lt;0,SUBSTITUTE(TEXT(BD667,"000000000000,00"),",",""),SUBSTITUTE(TEXT(BD667,"0000000000000,00"),",",""))</f>
        <v>000000000000000</v>
      </c>
      <c r="BF667" s="23">
        <f t="shared" si="4266"/>
        <v>0</v>
      </c>
      <c r="BG667" s="49" t="str">
        <f t="shared" ref="BG667" si="4361">IF(BF667&lt;0,SUBSTITUTE(TEXT(BF667,"000000000000,00"),",",""),SUBSTITUTE(TEXT(BF667,"0000000000000,00"),",",""))</f>
        <v>000000000000000</v>
      </c>
      <c r="BH667" s="23">
        <f t="shared" si="4268"/>
        <v>0</v>
      </c>
      <c r="BI667" s="49" t="str">
        <f t="shared" ref="BI667" si="4362">IF(BH667&lt;0,SUBSTITUTE(TEXT(BH667,"000000000000,00"),",",""),SUBSTITUTE(TEXT(BH667,"0000000000000,00"),",",""))</f>
        <v>000000000000000</v>
      </c>
      <c r="BJ667" s="23">
        <f t="shared" si="4270"/>
        <v>0</v>
      </c>
      <c r="BK667" s="49" t="str">
        <f t="shared" ref="BK667" si="4363">IF(BJ667&lt;0,SUBSTITUTE(TEXT(BJ667,"000000000000,00"),",",""),SUBSTITUTE(TEXT(BJ667,"0000000000000,00"),",",""))</f>
        <v>000000000000000</v>
      </c>
      <c r="BL667" s="23">
        <f t="shared" si="4272"/>
        <v>0</v>
      </c>
      <c r="BM667" s="49" t="str">
        <f t="shared" ref="BM667" si="4364">IF(BL667&lt;0,SUBSTITUTE(TEXT(BL667,"000000000000,00"),",",""),SUBSTITUTE(TEXT(BL667,"0000000000000,00"),",",""))</f>
        <v>000000000000000</v>
      </c>
      <c r="BN667" t="str">
        <f t="shared" si="4274"/>
        <v>PES</v>
      </c>
      <c r="BO667" t="str">
        <f t="shared" si="4275"/>
        <v>0001000000</v>
      </c>
      <c r="BP667">
        <f t="shared" si="4276"/>
        <v>0</v>
      </c>
      <c r="BQ667">
        <f t="shared" si="4277"/>
        <v>0</v>
      </c>
      <c r="BR667" s="23">
        <f t="shared" si="4278"/>
        <v>0</v>
      </c>
      <c r="BS667" s="49" t="str">
        <f t="shared" si="4243"/>
        <v>000000000000000</v>
      </c>
      <c r="BT667" t="str">
        <f t="shared" si="4279"/>
        <v>00000000</v>
      </c>
      <c r="BU667" s="23">
        <f t="shared" si="4280"/>
        <v>0</v>
      </c>
      <c r="BV667" s="49" t="str">
        <f t="shared" si="4244"/>
        <v/>
      </c>
      <c r="BW667" s="52" t="str">
        <f t="shared" si="4281"/>
        <v/>
      </c>
      <c r="BX667" s="23">
        <f t="shared" si="4282"/>
        <v>0</v>
      </c>
      <c r="BY667" s="49" t="str">
        <f t="shared" si="4245"/>
        <v/>
      </c>
      <c r="BZ667" s="23">
        <f t="shared" si="4283"/>
        <v>0</v>
      </c>
      <c r="CA667" s="49" t="str">
        <f t="shared" si="4246"/>
        <v/>
      </c>
      <c r="CB667" s="52" t="str">
        <f t="shared" si="4284"/>
        <v/>
      </c>
      <c r="CC667" s="23">
        <f t="shared" si="4285"/>
        <v>0</v>
      </c>
      <c r="CD667" s="49" t="str">
        <f t="shared" si="4247"/>
        <v/>
      </c>
      <c r="CE667" s="56" t="str">
        <f>IF(CF667="","",MAX(CE$10:$CE666)+1)</f>
        <v/>
      </c>
      <c r="CF667" t="str">
        <f t="shared" si="4286"/>
        <v/>
      </c>
      <c r="CG667" s="22" t="str">
        <f>IF(CH667="","",MAX($CG$10:CG666)+1)</f>
        <v/>
      </c>
      <c r="CH667" s="22" t="str">
        <f t="shared" si="4231"/>
        <v/>
      </c>
      <c r="CI667" s="22" t="str">
        <f>IF(CJ667="","",MAX($CI$10:CI666)+1)</f>
        <v/>
      </c>
      <c r="CJ667" s="22" t="str">
        <f t="shared" si="4232"/>
        <v/>
      </c>
    </row>
    <row r="668" spans="2:88" x14ac:dyDescent="0.25">
      <c r="B668" s="37"/>
      <c r="C668" s="3"/>
      <c r="D668" s="77" t="str">
        <f t="shared" si="4218"/>
        <v/>
      </c>
      <c r="E668" s="38"/>
      <c r="F668" s="38"/>
      <c r="G668" s="78">
        <f t="shared" si="4233"/>
        <v>0</v>
      </c>
      <c r="H668" s="3">
        <v>80</v>
      </c>
      <c r="I668" s="77" t="str">
        <f t="shared" si="4219"/>
        <v/>
      </c>
      <c r="J668" s="32"/>
      <c r="K668" s="3"/>
      <c r="L668" s="39"/>
      <c r="M668" s="39"/>
      <c r="N668" s="39"/>
      <c r="O668" s="39"/>
      <c r="P668" s="39"/>
      <c r="Q668" s="39"/>
      <c r="R668" s="39"/>
      <c r="S668" s="39"/>
      <c r="T668" s="3" t="s">
        <v>645</v>
      </c>
      <c r="U668" s="77" t="str">
        <f t="shared" si="4220"/>
        <v/>
      </c>
      <c r="V668" s="39">
        <v>1</v>
      </c>
      <c r="W668" s="79">
        <f t="shared" si="4234"/>
        <v>0</v>
      </c>
      <c r="X668" s="3">
        <v>0</v>
      </c>
      <c r="Y668" s="77" t="str">
        <f t="shared" si="4221"/>
        <v/>
      </c>
      <c r="Z668" s="3"/>
      <c r="AA668" s="37" t="str">
        <f t="shared" si="4235"/>
        <v/>
      </c>
      <c r="AC668" s="40"/>
      <c r="AD668" s="7"/>
      <c r="AE668" s="77" t="str">
        <f t="shared" si="4222"/>
        <v/>
      </c>
      <c r="AF668" s="81">
        <f t="shared" si="4248"/>
        <v>0</v>
      </c>
      <c r="AG668" s="40"/>
      <c r="AH668" s="7"/>
      <c r="AI668" s="77" t="str">
        <f t="shared" si="4223"/>
        <v/>
      </c>
      <c r="AJ668" s="81">
        <f t="shared" si="4249"/>
        <v>0</v>
      </c>
      <c r="AK668" s="83">
        <f t="shared" si="4250"/>
        <v>0</v>
      </c>
      <c r="AL668" s="83">
        <f t="shared" si="4251"/>
        <v>0</v>
      </c>
      <c r="AN668" s="43">
        <f t="shared" si="4224"/>
        <v>0</v>
      </c>
      <c r="AP668" t="str">
        <f t="shared" si="4252"/>
        <v/>
      </c>
      <c r="AQ668" t="str">
        <f t="shared" si="4253"/>
        <v/>
      </c>
      <c r="AR668" t="str">
        <f t="shared" si="4254"/>
        <v/>
      </c>
      <c r="AS668" t="str">
        <f t="shared" si="4255"/>
        <v/>
      </c>
      <c r="AT668" t="str">
        <f t="shared" si="4256"/>
        <v/>
      </c>
      <c r="AU668" t="str">
        <f t="shared" si="4257"/>
        <v/>
      </c>
      <c r="AV668" t="str">
        <f t="shared" si="4258"/>
        <v/>
      </c>
      <c r="AW668" t="str">
        <f t="shared" si="4259"/>
        <v xml:space="preserve">                              </v>
      </c>
      <c r="AX668" s="23">
        <f t="shared" si="4260"/>
        <v>0</v>
      </c>
      <c r="AY668" s="49" t="str">
        <f t="shared" si="4236"/>
        <v>000000000000000</v>
      </c>
      <c r="AZ668" s="23">
        <f t="shared" si="4261"/>
        <v>0</v>
      </c>
      <c r="BA668" s="49" t="str">
        <f t="shared" si="4236"/>
        <v>000000000000000</v>
      </c>
      <c r="BB668" s="23">
        <f t="shared" si="4262"/>
        <v>0</v>
      </c>
      <c r="BC668" s="49" t="str">
        <f t="shared" ref="BC668" si="4365">IF(BB668&lt;0,SUBSTITUTE(TEXT(BB668,"000000000000,00"),",",""),SUBSTITUTE(TEXT(BB668,"0000000000000,00"),",",""))</f>
        <v>000000000000000</v>
      </c>
      <c r="BD668" s="23">
        <f t="shared" si="4264"/>
        <v>0</v>
      </c>
      <c r="BE668" s="49" t="str">
        <f t="shared" ref="BE668" si="4366">IF(BD668&lt;0,SUBSTITUTE(TEXT(BD668,"000000000000,00"),",",""),SUBSTITUTE(TEXT(BD668,"0000000000000,00"),",",""))</f>
        <v>000000000000000</v>
      </c>
      <c r="BF668" s="23">
        <f t="shared" si="4266"/>
        <v>0</v>
      </c>
      <c r="BG668" s="49" t="str">
        <f t="shared" ref="BG668" si="4367">IF(BF668&lt;0,SUBSTITUTE(TEXT(BF668,"000000000000,00"),",",""),SUBSTITUTE(TEXT(BF668,"0000000000000,00"),",",""))</f>
        <v>000000000000000</v>
      </c>
      <c r="BH668" s="23">
        <f t="shared" si="4268"/>
        <v>0</v>
      </c>
      <c r="BI668" s="49" t="str">
        <f t="shared" ref="BI668" si="4368">IF(BH668&lt;0,SUBSTITUTE(TEXT(BH668,"000000000000,00"),",",""),SUBSTITUTE(TEXT(BH668,"0000000000000,00"),",",""))</f>
        <v>000000000000000</v>
      </c>
      <c r="BJ668" s="23">
        <f t="shared" si="4270"/>
        <v>0</v>
      </c>
      <c r="BK668" s="49" t="str">
        <f t="shared" ref="BK668" si="4369">IF(BJ668&lt;0,SUBSTITUTE(TEXT(BJ668,"000000000000,00"),",",""),SUBSTITUTE(TEXT(BJ668,"0000000000000,00"),",",""))</f>
        <v>000000000000000</v>
      </c>
      <c r="BL668" s="23">
        <f t="shared" si="4272"/>
        <v>0</v>
      </c>
      <c r="BM668" s="49" t="str">
        <f t="shared" ref="BM668" si="4370">IF(BL668&lt;0,SUBSTITUTE(TEXT(BL668,"000000000000,00"),",",""),SUBSTITUTE(TEXT(BL668,"0000000000000,00"),",",""))</f>
        <v>000000000000000</v>
      </c>
      <c r="BN668" t="str">
        <f t="shared" si="4274"/>
        <v>PES</v>
      </c>
      <c r="BO668" t="str">
        <f t="shared" si="4275"/>
        <v>0001000000</v>
      </c>
      <c r="BP668">
        <f t="shared" si="4276"/>
        <v>0</v>
      </c>
      <c r="BQ668">
        <f t="shared" si="4277"/>
        <v>0</v>
      </c>
      <c r="BR668" s="23">
        <f t="shared" si="4278"/>
        <v>0</v>
      </c>
      <c r="BS668" s="49" t="str">
        <f t="shared" si="4243"/>
        <v>000000000000000</v>
      </c>
      <c r="BT668" t="str">
        <f t="shared" si="4279"/>
        <v>00000000</v>
      </c>
      <c r="BU668" s="23">
        <f t="shared" si="4280"/>
        <v>0</v>
      </c>
      <c r="BV668" s="49" t="str">
        <f t="shared" si="4244"/>
        <v/>
      </c>
      <c r="BW668" s="52" t="str">
        <f t="shared" si="4281"/>
        <v/>
      </c>
      <c r="BX668" s="23">
        <f t="shared" si="4282"/>
        <v>0</v>
      </c>
      <c r="BY668" s="49" t="str">
        <f t="shared" si="4245"/>
        <v/>
      </c>
      <c r="BZ668" s="23">
        <f t="shared" si="4283"/>
        <v>0</v>
      </c>
      <c r="CA668" s="49" t="str">
        <f t="shared" si="4246"/>
        <v/>
      </c>
      <c r="CB668" s="52" t="str">
        <f t="shared" si="4284"/>
        <v/>
      </c>
      <c r="CC668" s="23">
        <f t="shared" si="4285"/>
        <v>0</v>
      </c>
      <c r="CD668" s="49" t="str">
        <f t="shared" si="4247"/>
        <v/>
      </c>
      <c r="CE668" s="56" t="str">
        <f>IF(CF668="","",MAX(CE$10:$CE667)+1)</f>
        <v/>
      </c>
      <c r="CF668" t="str">
        <f t="shared" si="4286"/>
        <v/>
      </c>
      <c r="CG668" s="22" t="str">
        <f>IF(CH668="","",MAX($CG$10:CG667)+1)</f>
        <v/>
      </c>
      <c r="CH668" s="22" t="str">
        <f t="shared" si="4231"/>
        <v/>
      </c>
      <c r="CI668" s="22" t="str">
        <f>IF(CJ668="","",MAX($CI$10:CI667)+1)</f>
        <v/>
      </c>
      <c r="CJ668" s="22" t="str">
        <f t="shared" si="4232"/>
        <v/>
      </c>
    </row>
    <row r="669" spans="2:88" x14ac:dyDescent="0.25">
      <c r="B669" s="37"/>
      <c r="C669" s="3"/>
      <c r="D669" s="77" t="str">
        <f t="shared" si="4218"/>
        <v/>
      </c>
      <c r="E669" s="38"/>
      <c r="F669" s="38"/>
      <c r="G669" s="78">
        <f t="shared" si="4233"/>
        <v>0</v>
      </c>
      <c r="H669" s="3">
        <v>80</v>
      </c>
      <c r="I669" s="77" t="str">
        <f t="shared" si="4219"/>
        <v/>
      </c>
      <c r="J669" s="32"/>
      <c r="K669" s="3"/>
      <c r="L669" s="39"/>
      <c r="M669" s="39"/>
      <c r="N669" s="39"/>
      <c r="O669" s="39"/>
      <c r="P669" s="39"/>
      <c r="Q669" s="39"/>
      <c r="R669" s="39"/>
      <c r="S669" s="39"/>
      <c r="T669" s="3" t="s">
        <v>645</v>
      </c>
      <c r="U669" s="77" t="str">
        <f t="shared" si="4220"/>
        <v/>
      </c>
      <c r="V669" s="39">
        <v>1</v>
      </c>
      <c r="W669" s="79">
        <f t="shared" si="4234"/>
        <v>0</v>
      </c>
      <c r="X669" s="3">
        <v>0</v>
      </c>
      <c r="Y669" s="77" t="str">
        <f t="shared" si="4221"/>
        <v/>
      </c>
      <c r="Z669" s="3"/>
      <c r="AA669" s="37" t="str">
        <f t="shared" si="4235"/>
        <v/>
      </c>
      <c r="AC669" s="40"/>
      <c r="AD669" s="7"/>
      <c r="AE669" s="77" t="str">
        <f t="shared" si="4222"/>
        <v/>
      </c>
      <c r="AF669" s="81">
        <f t="shared" si="4248"/>
        <v>0</v>
      </c>
      <c r="AG669" s="40"/>
      <c r="AH669" s="7"/>
      <c r="AI669" s="77" t="str">
        <f t="shared" si="4223"/>
        <v/>
      </c>
      <c r="AJ669" s="81">
        <f t="shared" si="4249"/>
        <v>0</v>
      </c>
      <c r="AK669" s="83">
        <f t="shared" si="4250"/>
        <v>0</v>
      </c>
      <c r="AL669" s="83">
        <f t="shared" si="4251"/>
        <v>0</v>
      </c>
      <c r="AN669" s="43">
        <f t="shared" si="4224"/>
        <v>0</v>
      </c>
      <c r="AP669" t="str">
        <f t="shared" si="4252"/>
        <v/>
      </c>
      <c r="AQ669" t="str">
        <f t="shared" si="4253"/>
        <v/>
      </c>
      <c r="AR669" t="str">
        <f t="shared" si="4254"/>
        <v/>
      </c>
      <c r="AS669" t="str">
        <f t="shared" si="4255"/>
        <v/>
      </c>
      <c r="AT669" t="str">
        <f t="shared" si="4256"/>
        <v/>
      </c>
      <c r="AU669" t="str">
        <f t="shared" si="4257"/>
        <v/>
      </c>
      <c r="AV669" t="str">
        <f t="shared" si="4258"/>
        <v/>
      </c>
      <c r="AW669" t="str">
        <f t="shared" si="4259"/>
        <v xml:space="preserve">                              </v>
      </c>
      <c r="AX669" s="23">
        <f t="shared" si="4260"/>
        <v>0</v>
      </c>
      <c r="AY669" s="49" t="str">
        <f t="shared" si="4236"/>
        <v>000000000000000</v>
      </c>
      <c r="AZ669" s="23">
        <f t="shared" si="4261"/>
        <v>0</v>
      </c>
      <c r="BA669" s="49" t="str">
        <f t="shared" si="4236"/>
        <v>000000000000000</v>
      </c>
      <c r="BB669" s="23">
        <f t="shared" si="4262"/>
        <v>0</v>
      </c>
      <c r="BC669" s="49" t="str">
        <f t="shared" ref="BC669" si="4371">IF(BB669&lt;0,SUBSTITUTE(TEXT(BB669,"000000000000,00"),",",""),SUBSTITUTE(TEXT(BB669,"0000000000000,00"),",",""))</f>
        <v>000000000000000</v>
      </c>
      <c r="BD669" s="23">
        <f t="shared" si="4264"/>
        <v>0</v>
      </c>
      <c r="BE669" s="49" t="str">
        <f t="shared" ref="BE669" si="4372">IF(BD669&lt;0,SUBSTITUTE(TEXT(BD669,"000000000000,00"),",",""),SUBSTITUTE(TEXT(BD669,"0000000000000,00"),",",""))</f>
        <v>000000000000000</v>
      </c>
      <c r="BF669" s="23">
        <f t="shared" si="4266"/>
        <v>0</v>
      </c>
      <c r="BG669" s="49" t="str">
        <f t="shared" ref="BG669" si="4373">IF(BF669&lt;0,SUBSTITUTE(TEXT(BF669,"000000000000,00"),",",""),SUBSTITUTE(TEXT(BF669,"0000000000000,00"),",",""))</f>
        <v>000000000000000</v>
      </c>
      <c r="BH669" s="23">
        <f t="shared" si="4268"/>
        <v>0</v>
      </c>
      <c r="BI669" s="49" t="str">
        <f t="shared" ref="BI669" si="4374">IF(BH669&lt;0,SUBSTITUTE(TEXT(BH669,"000000000000,00"),",",""),SUBSTITUTE(TEXT(BH669,"0000000000000,00"),",",""))</f>
        <v>000000000000000</v>
      </c>
      <c r="BJ669" s="23">
        <f t="shared" si="4270"/>
        <v>0</v>
      </c>
      <c r="BK669" s="49" t="str">
        <f t="shared" ref="BK669" si="4375">IF(BJ669&lt;0,SUBSTITUTE(TEXT(BJ669,"000000000000,00"),",",""),SUBSTITUTE(TEXT(BJ669,"0000000000000,00"),",",""))</f>
        <v>000000000000000</v>
      </c>
      <c r="BL669" s="23">
        <f t="shared" si="4272"/>
        <v>0</v>
      </c>
      <c r="BM669" s="49" t="str">
        <f t="shared" ref="BM669" si="4376">IF(BL669&lt;0,SUBSTITUTE(TEXT(BL669,"000000000000,00"),",",""),SUBSTITUTE(TEXT(BL669,"0000000000000,00"),",",""))</f>
        <v>000000000000000</v>
      </c>
      <c r="BN669" t="str">
        <f t="shared" si="4274"/>
        <v>PES</v>
      </c>
      <c r="BO669" t="str">
        <f t="shared" si="4275"/>
        <v>0001000000</v>
      </c>
      <c r="BP669">
        <f t="shared" si="4276"/>
        <v>0</v>
      </c>
      <c r="BQ669">
        <f t="shared" si="4277"/>
        <v>0</v>
      </c>
      <c r="BR669" s="23">
        <f t="shared" si="4278"/>
        <v>0</v>
      </c>
      <c r="BS669" s="49" t="str">
        <f t="shared" si="4243"/>
        <v>000000000000000</v>
      </c>
      <c r="BT669" t="str">
        <f t="shared" si="4279"/>
        <v>00000000</v>
      </c>
      <c r="BU669" s="23">
        <f t="shared" si="4280"/>
        <v>0</v>
      </c>
      <c r="BV669" s="49" t="str">
        <f t="shared" si="4244"/>
        <v/>
      </c>
      <c r="BW669" s="52" t="str">
        <f t="shared" si="4281"/>
        <v/>
      </c>
      <c r="BX669" s="23">
        <f t="shared" si="4282"/>
        <v>0</v>
      </c>
      <c r="BY669" s="49" t="str">
        <f t="shared" si="4245"/>
        <v/>
      </c>
      <c r="BZ669" s="23">
        <f t="shared" si="4283"/>
        <v>0</v>
      </c>
      <c r="CA669" s="49" t="str">
        <f t="shared" si="4246"/>
        <v/>
      </c>
      <c r="CB669" s="52" t="str">
        <f t="shared" si="4284"/>
        <v/>
      </c>
      <c r="CC669" s="23">
        <f t="shared" si="4285"/>
        <v>0</v>
      </c>
      <c r="CD669" s="49" t="str">
        <f t="shared" si="4247"/>
        <v/>
      </c>
      <c r="CE669" s="56" t="str">
        <f>IF(CF669="","",MAX(CE$10:$CE668)+1)</f>
        <v/>
      </c>
      <c r="CF669" t="str">
        <f t="shared" si="4286"/>
        <v/>
      </c>
      <c r="CG669" s="22" t="str">
        <f>IF(CH669="","",MAX($CG$10:CG668)+1)</f>
        <v/>
      </c>
      <c r="CH669" s="22" t="str">
        <f t="shared" si="4231"/>
        <v/>
      </c>
      <c r="CI669" s="22" t="str">
        <f>IF(CJ669="","",MAX($CI$10:CI668)+1)</f>
        <v/>
      </c>
      <c r="CJ669" s="22" t="str">
        <f t="shared" si="4232"/>
        <v/>
      </c>
    </row>
    <row r="670" spans="2:88" x14ac:dyDescent="0.25">
      <c r="B670" s="37"/>
      <c r="C670" s="3"/>
      <c r="D670" s="77" t="str">
        <f t="shared" si="4218"/>
        <v/>
      </c>
      <c r="E670" s="38"/>
      <c r="F670" s="38"/>
      <c r="G670" s="78">
        <f t="shared" si="4233"/>
        <v>0</v>
      </c>
      <c r="H670" s="3">
        <v>80</v>
      </c>
      <c r="I670" s="77" t="str">
        <f t="shared" si="4219"/>
        <v/>
      </c>
      <c r="J670" s="32"/>
      <c r="K670" s="3"/>
      <c r="L670" s="39"/>
      <c r="M670" s="39"/>
      <c r="N670" s="39"/>
      <c r="O670" s="39"/>
      <c r="P670" s="39"/>
      <c r="Q670" s="39"/>
      <c r="R670" s="39"/>
      <c r="S670" s="39"/>
      <c r="T670" s="3" t="s">
        <v>645</v>
      </c>
      <c r="U670" s="77" t="str">
        <f t="shared" si="4220"/>
        <v/>
      </c>
      <c r="V670" s="39">
        <v>1</v>
      </c>
      <c r="W670" s="79">
        <f t="shared" si="4234"/>
        <v>0</v>
      </c>
      <c r="X670" s="3">
        <v>0</v>
      </c>
      <c r="Y670" s="77" t="str">
        <f t="shared" si="4221"/>
        <v/>
      </c>
      <c r="Z670" s="3"/>
      <c r="AA670" s="37" t="str">
        <f t="shared" si="4235"/>
        <v/>
      </c>
      <c r="AC670" s="40"/>
      <c r="AD670" s="7"/>
      <c r="AE670" s="77" t="str">
        <f t="shared" si="4222"/>
        <v/>
      </c>
      <c r="AF670" s="81">
        <f t="shared" si="4248"/>
        <v>0</v>
      </c>
      <c r="AG670" s="40"/>
      <c r="AH670" s="7"/>
      <c r="AI670" s="77" t="str">
        <f t="shared" si="4223"/>
        <v/>
      </c>
      <c r="AJ670" s="81">
        <f t="shared" si="4249"/>
        <v>0</v>
      </c>
      <c r="AK670" s="83">
        <f t="shared" si="4250"/>
        <v>0</v>
      </c>
      <c r="AL670" s="83">
        <f t="shared" si="4251"/>
        <v>0</v>
      </c>
      <c r="AN670" s="43">
        <f t="shared" si="4224"/>
        <v>0</v>
      </c>
      <c r="AP670" t="str">
        <f t="shared" si="4252"/>
        <v/>
      </c>
      <c r="AQ670" t="str">
        <f t="shared" si="4253"/>
        <v/>
      </c>
      <c r="AR670" t="str">
        <f t="shared" si="4254"/>
        <v/>
      </c>
      <c r="AS670" t="str">
        <f t="shared" si="4255"/>
        <v/>
      </c>
      <c r="AT670" t="str">
        <f t="shared" si="4256"/>
        <v/>
      </c>
      <c r="AU670" t="str">
        <f t="shared" si="4257"/>
        <v/>
      </c>
      <c r="AV670" t="str">
        <f t="shared" si="4258"/>
        <v/>
      </c>
      <c r="AW670" t="str">
        <f t="shared" si="4259"/>
        <v xml:space="preserve">                              </v>
      </c>
      <c r="AX670" s="23">
        <f t="shared" si="4260"/>
        <v>0</v>
      </c>
      <c r="AY670" s="49" t="str">
        <f t="shared" si="4236"/>
        <v>000000000000000</v>
      </c>
      <c r="AZ670" s="23">
        <f t="shared" si="4261"/>
        <v>0</v>
      </c>
      <c r="BA670" s="49" t="str">
        <f t="shared" si="4236"/>
        <v>000000000000000</v>
      </c>
      <c r="BB670" s="23">
        <f t="shared" si="4262"/>
        <v>0</v>
      </c>
      <c r="BC670" s="49" t="str">
        <f t="shared" ref="BC670" si="4377">IF(BB670&lt;0,SUBSTITUTE(TEXT(BB670,"000000000000,00"),",",""),SUBSTITUTE(TEXT(BB670,"0000000000000,00"),",",""))</f>
        <v>000000000000000</v>
      </c>
      <c r="BD670" s="23">
        <f t="shared" si="4264"/>
        <v>0</v>
      </c>
      <c r="BE670" s="49" t="str">
        <f t="shared" ref="BE670" si="4378">IF(BD670&lt;0,SUBSTITUTE(TEXT(BD670,"000000000000,00"),",",""),SUBSTITUTE(TEXT(BD670,"0000000000000,00"),",",""))</f>
        <v>000000000000000</v>
      </c>
      <c r="BF670" s="23">
        <f t="shared" si="4266"/>
        <v>0</v>
      </c>
      <c r="BG670" s="49" t="str">
        <f t="shared" ref="BG670" si="4379">IF(BF670&lt;0,SUBSTITUTE(TEXT(BF670,"000000000000,00"),",",""),SUBSTITUTE(TEXT(BF670,"0000000000000,00"),",",""))</f>
        <v>000000000000000</v>
      </c>
      <c r="BH670" s="23">
        <f t="shared" si="4268"/>
        <v>0</v>
      </c>
      <c r="BI670" s="49" t="str">
        <f t="shared" ref="BI670" si="4380">IF(BH670&lt;0,SUBSTITUTE(TEXT(BH670,"000000000000,00"),",",""),SUBSTITUTE(TEXT(BH670,"0000000000000,00"),",",""))</f>
        <v>000000000000000</v>
      </c>
      <c r="BJ670" s="23">
        <f t="shared" si="4270"/>
        <v>0</v>
      </c>
      <c r="BK670" s="49" t="str">
        <f t="shared" ref="BK670" si="4381">IF(BJ670&lt;0,SUBSTITUTE(TEXT(BJ670,"000000000000,00"),",",""),SUBSTITUTE(TEXT(BJ670,"0000000000000,00"),",",""))</f>
        <v>000000000000000</v>
      </c>
      <c r="BL670" s="23">
        <f t="shared" si="4272"/>
        <v>0</v>
      </c>
      <c r="BM670" s="49" t="str">
        <f t="shared" ref="BM670" si="4382">IF(BL670&lt;0,SUBSTITUTE(TEXT(BL670,"000000000000,00"),",",""),SUBSTITUTE(TEXT(BL670,"0000000000000,00"),",",""))</f>
        <v>000000000000000</v>
      </c>
      <c r="BN670" t="str">
        <f t="shared" si="4274"/>
        <v>PES</v>
      </c>
      <c r="BO670" t="str">
        <f t="shared" si="4275"/>
        <v>0001000000</v>
      </c>
      <c r="BP670">
        <f t="shared" si="4276"/>
        <v>0</v>
      </c>
      <c r="BQ670">
        <f t="shared" si="4277"/>
        <v>0</v>
      </c>
      <c r="BR670" s="23">
        <f t="shared" si="4278"/>
        <v>0</v>
      </c>
      <c r="BS670" s="49" t="str">
        <f t="shared" si="4243"/>
        <v>000000000000000</v>
      </c>
      <c r="BT670" t="str">
        <f t="shared" si="4279"/>
        <v>00000000</v>
      </c>
      <c r="BU670" s="23">
        <f t="shared" si="4280"/>
        <v>0</v>
      </c>
      <c r="BV670" s="49" t="str">
        <f t="shared" si="4244"/>
        <v/>
      </c>
      <c r="BW670" s="52" t="str">
        <f t="shared" si="4281"/>
        <v/>
      </c>
      <c r="BX670" s="23">
        <f t="shared" si="4282"/>
        <v>0</v>
      </c>
      <c r="BY670" s="49" t="str">
        <f t="shared" si="4245"/>
        <v/>
      </c>
      <c r="BZ670" s="23">
        <f t="shared" si="4283"/>
        <v>0</v>
      </c>
      <c r="CA670" s="49" t="str">
        <f t="shared" si="4246"/>
        <v/>
      </c>
      <c r="CB670" s="52" t="str">
        <f t="shared" si="4284"/>
        <v/>
      </c>
      <c r="CC670" s="23">
        <f t="shared" si="4285"/>
        <v>0</v>
      </c>
      <c r="CD670" s="49" t="str">
        <f t="shared" si="4247"/>
        <v/>
      </c>
      <c r="CE670" s="56" t="str">
        <f>IF(CF670="","",MAX(CE$10:$CE669)+1)</f>
        <v/>
      </c>
      <c r="CF670" t="str">
        <f t="shared" si="4286"/>
        <v/>
      </c>
      <c r="CG670" s="22" t="str">
        <f>IF(CH670="","",MAX($CG$10:CG669)+1)</f>
        <v/>
      </c>
      <c r="CH670" s="22" t="str">
        <f t="shared" si="4231"/>
        <v/>
      </c>
      <c r="CI670" s="22" t="str">
        <f>IF(CJ670="","",MAX($CI$10:CI669)+1)</f>
        <v/>
      </c>
      <c r="CJ670" s="22" t="str">
        <f t="shared" si="4232"/>
        <v/>
      </c>
    </row>
    <row r="671" spans="2:88" x14ac:dyDescent="0.25">
      <c r="B671" s="37"/>
      <c r="C671" s="3"/>
      <c r="D671" s="77" t="str">
        <f t="shared" si="4218"/>
        <v/>
      </c>
      <c r="E671" s="38"/>
      <c r="F671" s="38"/>
      <c r="G671" s="78">
        <f t="shared" si="4233"/>
        <v>0</v>
      </c>
      <c r="H671" s="3">
        <v>80</v>
      </c>
      <c r="I671" s="77" t="str">
        <f t="shared" si="4219"/>
        <v/>
      </c>
      <c r="J671" s="32"/>
      <c r="K671" s="3"/>
      <c r="L671" s="39"/>
      <c r="M671" s="39"/>
      <c r="N671" s="39"/>
      <c r="O671" s="39"/>
      <c r="P671" s="39"/>
      <c r="Q671" s="39"/>
      <c r="R671" s="39"/>
      <c r="S671" s="39"/>
      <c r="T671" s="3" t="s">
        <v>645</v>
      </c>
      <c r="U671" s="77" t="str">
        <f t="shared" si="4220"/>
        <v/>
      </c>
      <c r="V671" s="39">
        <v>1</v>
      </c>
      <c r="W671" s="79">
        <f t="shared" si="4234"/>
        <v>0</v>
      </c>
      <c r="X671" s="3">
        <v>0</v>
      </c>
      <c r="Y671" s="77" t="str">
        <f t="shared" si="4221"/>
        <v/>
      </c>
      <c r="Z671" s="3"/>
      <c r="AA671" s="37" t="str">
        <f t="shared" si="4235"/>
        <v/>
      </c>
      <c r="AC671" s="40"/>
      <c r="AD671" s="7"/>
      <c r="AE671" s="77" t="str">
        <f t="shared" si="4222"/>
        <v/>
      </c>
      <c r="AF671" s="81">
        <f t="shared" si="4248"/>
        <v>0</v>
      </c>
      <c r="AG671" s="40"/>
      <c r="AH671" s="7"/>
      <c r="AI671" s="77" t="str">
        <f t="shared" si="4223"/>
        <v/>
      </c>
      <c r="AJ671" s="81">
        <f t="shared" si="4249"/>
        <v>0</v>
      </c>
      <c r="AK671" s="83">
        <f t="shared" si="4250"/>
        <v>0</v>
      </c>
      <c r="AL671" s="83">
        <f t="shared" si="4251"/>
        <v>0</v>
      </c>
      <c r="AN671" s="43">
        <f t="shared" si="4224"/>
        <v>0</v>
      </c>
      <c r="AP671" t="str">
        <f t="shared" si="4252"/>
        <v/>
      </c>
      <c r="AQ671" t="str">
        <f t="shared" si="4253"/>
        <v/>
      </c>
      <c r="AR671" t="str">
        <f t="shared" si="4254"/>
        <v/>
      </c>
      <c r="AS671" t="str">
        <f t="shared" si="4255"/>
        <v/>
      </c>
      <c r="AT671" t="str">
        <f t="shared" si="4256"/>
        <v/>
      </c>
      <c r="AU671" t="str">
        <f t="shared" si="4257"/>
        <v/>
      </c>
      <c r="AV671" t="str">
        <f t="shared" si="4258"/>
        <v/>
      </c>
      <c r="AW671" t="str">
        <f t="shared" si="4259"/>
        <v xml:space="preserve">                              </v>
      </c>
      <c r="AX671" s="23">
        <f t="shared" si="4260"/>
        <v>0</v>
      </c>
      <c r="AY671" s="49" t="str">
        <f t="shared" si="4236"/>
        <v>000000000000000</v>
      </c>
      <c r="AZ671" s="23">
        <f t="shared" si="4261"/>
        <v>0</v>
      </c>
      <c r="BA671" s="49" t="str">
        <f t="shared" si="4236"/>
        <v>000000000000000</v>
      </c>
      <c r="BB671" s="23">
        <f t="shared" si="4262"/>
        <v>0</v>
      </c>
      <c r="BC671" s="49" t="str">
        <f t="shared" ref="BC671" si="4383">IF(BB671&lt;0,SUBSTITUTE(TEXT(BB671,"000000000000,00"),",",""),SUBSTITUTE(TEXT(BB671,"0000000000000,00"),",",""))</f>
        <v>000000000000000</v>
      </c>
      <c r="BD671" s="23">
        <f t="shared" si="4264"/>
        <v>0</v>
      </c>
      <c r="BE671" s="49" t="str">
        <f t="shared" ref="BE671" si="4384">IF(BD671&lt;0,SUBSTITUTE(TEXT(BD671,"000000000000,00"),",",""),SUBSTITUTE(TEXT(BD671,"0000000000000,00"),",",""))</f>
        <v>000000000000000</v>
      </c>
      <c r="BF671" s="23">
        <f t="shared" si="4266"/>
        <v>0</v>
      </c>
      <c r="BG671" s="49" t="str">
        <f t="shared" ref="BG671" si="4385">IF(BF671&lt;0,SUBSTITUTE(TEXT(BF671,"000000000000,00"),",",""),SUBSTITUTE(TEXT(BF671,"0000000000000,00"),",",""))</f>
        <v>000000000000000</v>
      </c>
      <c r="BH671" s="23">
        <f t="shared" si="4268"/>
        <v>0</v>
      </c>
      <c r="BI671" s="49" t="str">
        <f t="shared" ref="BI671" si="4386">IF(BH671&lt;0,SUBSTITUTE(TEXT(BH671,"000000000000,00"),",",""),SUBSTITUTE(TEXT(BH671,"0000000000000,00"),",",""))</f>
        <v>000000000000000</v>
      </c>
      <c r="BJ671" s="23">
        <f t="shared" si="4270"/>
        <v>0</v>
      </c>
      <c r="BK671" s="49" t="str">
        <f t="shared" ref="BK671" si="4387">IF(BJ671&lt;0,SUBSTITUTE(TEXT(BJ671,"000000000000,00"),",",""),SUBSTITUTE(TEXT(BJ671,"0000000000000,00"),",",""))</f>
        <v>000000000000000</v>
      </c>
      <c r="BL671" s="23">
        <f t="shared" si="4272"/>
        <v>0</v>
      </c>
      <c r="BM671" s="49" t="str">
        <f t="shared" ref="BM671" si="4388">IF(BL671&lt;0,SUBSTITUTE(TEXT(BL671,"000000000000,00"),",",""),SUBSTITUTE(TEXT(BL671,"0000000000000,00"),",",""))</f>
        <v>000000000000000</v>
      </c>
      <c r="BN671" t="str">
        <f t="shared" si="4274"/>
        <v>PES</v>
      </c>
      <c r="BO671" t="str">
        <f t="shared" si="4275"/>
        <v>0001000000</v>
      </c>
      <c r="BP671">
        <f t="shared" si="4276"/>
        <v>0</v>
      </c>
      <c r="BQ671">
        <f t="shared" si="4277"/>
        <v>0</v>
      </c>
      <c r="BR671" s="23">
        <f t="shared" si="4278"/>
        <v>0</v>
      </c>
      <c r="BS671" s="49" t="str">
        <f t="shared" si="4243"/>
        <v>000000000000000</v>
      </c>
      <c r="BT671" t="str">
        <f t="shared" si="4279"/>
        <v>00000000</v>
      </c>
      <c r="BU671" s="23">
        <f t="shared" si="4280"/>
        <v>0</v>
      </c>
      <c r="BV671" s="49" t="str">
        <f t="shared" si="4244"/>
        <v/>
      </c>
      <c r="BW671" s="52" t="str">
        <f t="shared" si="4281"/>
        <v/>
      </c>
      <c r="BX671" s="23">
        <f t="shared" si="4282"/>
        <v>0</v>
      </c>
      <c r="BY671" s="49" t="str">
        <f t="shared" si="4245"/>
        <v/>
      </c>
      <c r="BZ671" s="23">
        <f t="shared" si="4283"/>
        <v>0</v>
      </c>
      <c r="CA671" s="49" t="str">
        <f t="shared" si="4246"/>
        <v/>
      </c>
      <c r="CB671" s="52" t="str">
        <f t="shared" si="4284"/>
        <v/>
      </c>
      <c r="CC671" s="23">
        <f t="shared" si="4285"/>
        <v>0</v>
      </c>
      <c r="CD671" s="49" t="str">
        <f t="shared" si="4247"/>
        <v/>
      </c>
      <c r="CE671" s="56" t="str">
        <f>IF(CF671="","",MAX(CE$10:$CE670)+1)</f>
        <v/>
      </c>
      <c r="CF671" t="str">
        <f t="shared" si="4286"/>
        <v/>
      </c>
      <c r="CG671" s="22" t="str">
        <f>IF(CH671="","",MAX($CG$10:CG670)+1)</f>
        <v/>
      </c>
      <c r="CH671" s="22" t="str">
        <f t="shared" si="4231"/>
        <v/>
      </c>
      <c r="CI671" s="22" t="str">
        <f>IF(CJ671="","",MAX($CI$10:CI670)+1)</f>
        <v/>
      </c>
      <c r="CJ671" s="22" t="str">
        <f t="shared" si="4232"/>
        <v/>
      </c>
    </row>
    <row r="672" spans="2:88" x14ac:dyDescent="0.25">
      <c r="B672" s="37"/>
      <c r="C672" s="3"/>
      <c r="D672" s="77" t="str">
        <f t="shared" si="4218"/>
        <v/>
      </c>
      <c r="E672" s="38"/>
      <c r="F672" s="38"/>
      <c r="G672" s="78">
        <f t="shared" si="4233"/>
        <v>0</v>
      </c>
      <c r="H672" s="3">
        <v>80</v>
      </c>
      <c r="I672" s="77" t="str">
        <f t="shared" si="4219"/>
        <v/>
      </c>
      <c r="J672" s="32"/>
      <c r="K672" s="3"/>
      <c r="L672" s="39"/>
      <c r="M672" s="39"/>
      <c r="N672" s="39"/>
      <c r="O672" s="39"/>
      <c r="P672" s="39"/>
      <c r="Q672" s="39"/>
      <c r="R672" s="39"/>
      <c r="S672" s="39"/>
      <c r="T672" s="3" t="s">
        <v>645</v>
      </c>
      <c r="U672" s="77" t="str">
        <f t="shared" si="4220"/>
        <v/>
      </c>
      <c r="V672" s="39">
        <v>1</v>
      </c>
      <c r="W672" s="79">
        <f t="shared" si="4234"/>
        <v>0</v>
      </c>
      <c r="X672" s="3">
        <v>0</v>
      </c>
      <c r="Y672" s="77" t="str">
        <f t="shared" si="4221"/>
        <v/>
      </c>
      <c r="Z672" s="3"/>
      <c r="AA672" s="37" t="str">
        <f t="shared" si="4235"/>
        <v/>
      </c>
      <c r="AC672" s="40"/>
      <c r="AD672" s="7"/>
      <c r="AE672" s="77" t="str">
        <f t="shared" si="4222"/>
        <v/>
      </c>
      <c r="AF672" s="81">
        <f t="shared" si="4248"/>
        <v>0</v>
      </c>
      <c r="AG672" s="40"/>
      <c r="AH672" s="7"/>
      <c r="AI672" s="77" t="str">
        <f t="shared" si="4223"/>
        <v/>
      </c>
      <c r="AJ672" s="81">
        <f t="shared" si="4249"/>
        <v>0</v>
      </c>
      <c r="AK672" s="83">
        <f t="shared" si="4250"/>
        <v>0</v>
      </c>
      <c r="AL672" s="83">
        <f t="shared" si="4251"/>
        <v>0</v>
      </c>
      <c r="AN672" s="43">
        <f t="shared" si="4224"/>
        <v>0</v>
      </c>
      <c r="AP672" t="str">
        <f t="shared" si="4252"/>
        <v/>
      </c>
      <c r="AQ672" t="str">
        <f t="shared" si="4253"/>
        <v/>
      </c>
      <c r="AR672" t="str">
        <f t="shared" si="4254"/>
        <v/>
      </c>
      <c r="AS672" t="str">
        <f t="shared" si="4255"/>
        <v/>
      </c>
      <c r="AT672" t="str">
        <f t="shared" si="4256"/>
        <v/>
      </c>
      <c r="AU672" t="str">
        <f t="shared" si="4257"/>
        <v/>
      </c>
      <c r="AV672" t="str">
        <f t="shared" si="4258"/>
        <v/>
      </c>
      <c r="AW672" t="str">
        <f t="shared" si="4259"/>
        <v xml:space="preserve">                              </v>
      </c>
      <c r="AX672" s="23">
        <f t="shared" si="4260"/>
        <v>0</v>
      </c>
      <c r="AY672" s="49" t="str">
        <f t="shared" si="4236"/>
        <v>000000000000000</v>
      </c>
      <c r="AZ672" s="23">
        <f t="shared" si="4261"/>
        <v>0</v>
      </c>
      <c r="BA672" s="49" t="str">
        <f t="shared" si="4236"/>
        <v>000000000000000</v>
      </c>
      <c r="BB672" s="23">
        <f t="shared" si="4262"/>
        <v>0</v>
      </c>
      <c r="BC672" s="49" t="str">
        <f t="shared" ref="BC672" si="4389">IF(BB672&lt;0,SUBSTITUTE(TEXT(BB672,"000000000000,00"),",",""),SUBSTITUTE(TEXT(BB672,"0000000000000,00"),",",""))</f>
        <v>000000000000000</v>
      </c>
      <c r="BD672" s="23">
        <f t="shared" si="4264"/>
        <v>0</v>
      </c>
      <c r="BE672" s="49" t="str">
        <f t="shared" ref="BE672" si="4390">IF(BD672&lt;0,SUBSTITUTE(TEXT(BD672,"000000000000,00"),",",""),SUBSTITUTE(TEXT(BD672,"0000000000000,00"),",",""))</f>
        <v>000000000000000</v>
      </c>
      <c r="BF672" s="23">
        <f t="shared" si="4266"/>
        <v>0</v>
      </c>
      <c r="BG672" s="49" t="str">
        <f t="shared" ref="BG672" si="4391">IF(BF672&lt;0,SUBSTITUTE(TEXT(BF672,"000000000000,00"),",",""),SUBSTITUTE(TEXT(BF672,"0000000000000,00"),",",""))</f>
        <v>000000000000000</v>
      </c>
      <c r="BH672" s="23">
        <f t="shared" si="4268"/>
        <v>0</v>
      </c>
      <c r="BI672" s="49" t="str">
        <f t="shared" ref="BI672" si="4392">IF(BH672&lt;0,SUBSTITUTE(TEXT(BH672,"000000000000,00"),",",""),SUBSTITUTE(TEXT(BH672,"0000000000000,00"),",",""))</f>
        <v>000000000000000</v>
      </c>
      <c r="BJ672" s="23">
        <f t="shared" si="4270"/>
        <v>0</v>
      </c>
      <c r="BK672" s="49" t="str">
        <f t="shared" ref="BK672" si="4393">IF(BJ672&lt;0,SUBSTITUTE(TEXT(BJ672,"000000000000,00"),",",""),SUBSTITUTE(TEXT(BJ672,"0000000000000,00"),",",""))</f>
        <v>000000000000000</v>
      </c>
      <c r="BL672" s="23">
        <f t="shared" si="4272"/>
        <v>0</v>
      </c>
      <c r="BM672" s="49" t="str">
        <f t="shared" ref="BM672" si="4394">IF(BL672&lt;0,SUBSTITUTE(TEXT(BL672,"000000000000,00"),",",""),SUBSTITUTE(TEXT(BL672,"0000000000000,00"),",",""))</f>
        <v>000000000000000</v>
      </c>
      <c r="BN672" t="str">
        <f t="shared" si="4274"/>
        <v>PES</v>
      </c>
      <c r="BO672" t="str">
        <f t="shared" si="4275"/>
        <v>0001000000</v>
      </c>
      <c r="BP672">
        <f t="shared" si="4276"/>
        <v>0</v>
      </c>
      <c r="BQ672">
        <f t="shared" si="4277"/>
        <v>0</v>
      </c>
      <c r="BR672" s="23">
        <f t="shared" si="4278"/>
        <v>0</v>
      </c>
      <c r="BS672" s="49" t="str">
        <f t="shared" si="4243"/>
        <v>000000000000000</v>
      </c>
      <c r="BT672" t="str">
        <f t="shared" si="4279"/>
        <v>00000000</v>
      </c>
      <c r="BU672" s="23">
        <f t="shared" si="4280"/>
        <v>0</v>
      </c>
      <c r="BV672" s="49" t="str">
        <f t="shared" si="4244"/>
        <v/>
      </c>
      <c r="BW672" s="52" t="str">
        <f t="shared" si="4281"/>
        <v/>
      </c>
      <c r="BX672" s="23">
        <f t="shared" si="4282"/>
        <v>0</v>
      </c>
      <c r="BY672" s="49" t="str">
        <f t="shared" si="4245"/>
        <v/>
      </c>
      <c r="BZ672" s="23">
        <f t="shared" si="4283"/>
        <v>0</v>
      </c>
      <c r="CA672" s="49" t="str">
        <f t="shared" si="4246"/>
        <v/>
      </c>
      <c r="CB672" s="52" t="str">
        <f t="shared" si="4284"/>
        <v/>
      </c>
      <c r="CC672" s="23">
        <f t="shared" si="4285"/>
        <v>0</v>
      </c>
      <c r="CD672" s="49" t="str">
        <f t="shared" si="4247"/>
        <v/>
      </c>
      <c r="CE672" s="56" t="str">
        <f>IF(CF672="","",MAX(CE$10:$CE671)+1)</f>
        <v/>
      </c>
      <c r="CF672" t="str">
        <f t="shared" si="4286"/>
        <v/>
      </c>
      <c r="CG672" s="22" t="str">
        <f>IF(CH672="","",MAX($CG$10:CG671)+1)</f>
        <v/>
      </c>
      <c r="CH672" s="22" t="str">
        <f t="shared" si="4231"/>
        <v/>
      </c>
      <c r="CI672" s="22" t="str">
        <f>IF(CJ672="","",MAX($CI$10:CI671)+1)</f>
        <v/>
      </c>
      <c r="CJ672" s="22" t="str">
        <f t="shared" si="4232"/>
        <v/>
      </c>
    </row>
    <row r="673" spans="2:88" x14ac:dyDescent="0.25">
      <c r="B673" s="37"/>
      <c r="C673" s="3"/>
      <c r="D673" s="77" t="str">
        <f t="shared" si="4218"/>
        <v/>
      </c>
      <c r="E673" s="38"/>
      <c r="F673" s="38"/>
      <c r="G673" s="78">
        <f t="shared" si="4233"/>
        <v>0</v>
      </c>
      <c r="H673" s="3">
        <v>80</v>
      </c>
      <c r="I673" s="77" t="str">
        <f t="shared" si="4219"/>
        <v/>
      </c>
      <c r="J673" s="32"/>
      <c r="K673" s="3"/>
      <c r="L673" s="39"/>
      <c r="M673" s="39"/>
      <c r="N673" s="39"/>
      <c r="O673" s="39"/>
      <c r="P673" s="39"/>
      <c r="Q673" s="39"/>
      <c r="R673" s="39"/>
      <c r="S673" s="39"/>
      <c r="T673" s="3" t="s">
        <v>645</v>
      </c>
      <c r="U673" s="77" t="str">
        <f t="shared" si="4220"/>
        <v/>
      </c>
      <c r="V673" s="39">
        <v>1</v>
      </c>
      <c r="W673" s="79">
        <f t="shared" si="4234"/>
        <v>0</v>
      </c>
      <c r="X673" s="3">
        <v>0</v>
      </c>
      <c r="Y673" s="77" t="str">
        <f t="shared" si="4221"/>
        <v/>
      </c>
      <c r="Z673" s="3"/>
      <c r="AA673" s="37" t="str">
        <f t="shared" si="4235"/>
        <v/>
      </c>
      <c r="AC673" s="40"/>
      <c r="AD673" s="7"/>
      <c r="AE673" s="77" t="str">
        <f t="shared" si="4222"/>
        <v/>
      </c>
      <c r="AF673" s="81">
        <f t="shared" si="4248"/>
        <v>0</v>
      </c>
      <c r="AG673" s="40"/>
      <c r="AH673" s="7"/>
      <c r="AI673" s="77" t="str">
        <f t="shared" si="4223"/>
        <v/>
      </c>
      <c r="AJ673" s="81">
        <f t="shared" si="4249"/>
        <v>0</v>
      </c>
      <c r="AK673" s="83">
        <f t="shared" si="4250"/>
        <v>0</v>
      </c>
      <c r="AL673" s="83">
        <f t="shared" si="4251"/>
        <v>0</v>
      </c>
      <c r="AN673" s="43">
        <f t="shared" si="4224"/>
        <v>0</v>
      </c>
      <c r="AP673" t="str">
        <f t="shared" si="4252"/>
        <v/>
      </c>
      <c r="AQ673" t="str">
        <f t="shared" si="4253"/>
        <v/>
      </c>
      <c r="AR673" t="str">
        <f t="shared" si="4254"/>
        <v/>
      </c>
      <c r="AS673" t="str">
        <f t="shared" si="4255"/>
        <v/>
      </c>
      <c r="AT673" t="str">
        <f t="shared" si="4256"/>
        <v/>
      </c>
      <c r="AU673" t="str">
        <f t="shared" si="4257"/>
        <v/>
      </c>
      <c r="AV673" t="str">
        <f t="shared" si="4258"/>
        <v/>
      </c>
      <c r="AW673" t="str">
        <f t="shared" si="4259"/>
        <v xml:space="preserve">                              </v>
      </c>
      <c r="AX673" s="23">
        <f t="shared" si="4260"/>
        <v>0</v>
      </c>
      <c r="AY673" s="49" t="str">
        <f t="shared" si="4236"/>
        <v>000000000000000</v>
      </c>
      <c r="AZ673" s="23">
        <f t="shared" si="4261"/>
        <v>0</v>
      </c>
      <c r="BA673" s="49" t="str">
        <f t="shared" si="4236"/>
        <v>000000000000000</v>
      </c>
      <c r="BB673" s="23">
        <f t="shared" si="4262"/>
        <v>0</v>
      </c>
      <c r="BC673" s="49" t="str">
        <f t="shared" ref="BC673" si="4395">IF(BB673&lt;0,SUBSTITUTE(TEXT(BB673,"000000000000,00"),",",""),SUBSTITUTE(TEXT(BB673,"0000000000000,00"),",",""))</f>
        <v>000000000000000</v>
      </c>
      <c r="BD673" s="23">
        <f t="shared" si="4264"/>
        <v>0</v>
      </c>
      <c r="BE673" s="49" t="str">
        <f t="shared" ref="BE673" si="4396">IF(BD673&lt;0,SUBSTITUTE(TEXT(BD673,"000000000000,00"),",",""),SUBSTITUTE(TEXT(BD673,"0000000000000,00"),",",""))</f>
        <v>000000000000000</v>
      </c>
      <c r="BF673" s="23">
        <f t="shared" si="4266"/>
        <v>0</v>
      </c>
      <c r="BG673" s="49" t="str">
        <f t="shared" ref="BG673" si="4397">IF(BF673&lt;0,SUBSTITUTE(TEXT(BF673,"000000000000,00"),",",""),SUBSTITUTE(TEXT(BF673,"0000000000000,00"),",",""))</f>
        <v>000000000000000</v>
      </c>
      <c r="BH673" s="23">
        <f t="shared" si="4268"/>
        <v>0</v>
      </c>
      <c r="BI673" s="49" t="str">
        <f t="shared" ref="BI673" si="4398">IF(BH673&lt;0,SUBSTITUTE(TEXT(BH673,"000000000000,00"),",",""),SUBSTITUTE(TEXT(BH673,"0000000000000,00"),",",""))</f>
        <v>000000000000000</v>
      </c>
      <c r="BJ673" s="23">
        <f t="shared" si="4270"/>
        <v>0</v>
      </c>
      <c r="BK673" s="49" t="str">
        <f t="shared" ref="BK673" si="4399">IF(BJ673&lt;0,SUBSTITUTE(TEXT(BJ673,"000000000000,00"),",",""),SUBSTITUTE(TEXT(BJ673,"0000000000000,00"),",",""))</f>
        <v>000000000000000</v>
      </c>
      <c r="BL673" s="23">
        <f t="shared" si="4272"/>
        <v>0</v>
      </c>
      <c r="BM673" s="49" t="str">
        <f t="shared" ref="BM673" si="4400">IF(BL673&lt;0,SUBSTITUTE(TEXT(BL673,"000000000000,00"),",",""),SUBSTITUTE(TEXT(BL673,"0000000000000,00"),",",""))</f>
        <v>000000000000000</v>
      </c>
      <c r="BN673" t="str">
        <f t="shared" si="4274"/>
        <v>PES</v>
      </c>
      <c r="BO673" t="str">
        <f t="shared" si="4275"/>
        <v>0001000000</v>
      </c>
      <c r="BP673">
        <f t="shared" si="4276"/>
        <v>0</v>
      </c>
      <c r="BQ673">
        <f t="shared" si="4277"/>
        <v>0</v>
      </c>
      <c r="BR673" s="23">
        <f t="shared" si="4278"/>
        <v>0</v>
      </c>
      <c r="BS673" s="49" t="str">
        <f t="shared" si="4243"/>
        <v>000000000000000</v>
      </c>
      <c r="BT673" t="str">
        <f t="shared" si="4279"/>
        <v>00000000</v>
      </c>
      <c r="BU673" s="23">
        <f t="shared" si="4280"/>
        <v>0</v>
      </c>
      <c r="BV673" s="49" t="str">
        <f t="shared" si="4244"/>
        <v/>
      </c>
      <c r="BW673" s="52" t="str">
        <f t="shared" si="4281"/>
        <v/>
      </c>
      <c r="BX673" s="23">
        <f t="shared" si="4282"/>
        <v>0</v>
      </c>
      <c r="BY673" s="49" t="str">
        <f t="shared" si="4245"/>
        <v/>
      </c>
      <c r="BZ673" s="23">
        <f t="shared" si="4283"/>
        <v>0</v>
      </c>
      <c r="CA673" s="49" t="str">
        <f t="shared" si="4246"/>
        <v/>
      </c>
      <c r="CB673" s="52" t="str">
        <f t="shared" si="4284"/>
        <v/>
      </c>
      <c r="CC673" s="23">
        <f t="shared" si="4285"/>
        <v>0</v>
      </c>
      <c r="CD673" s="49" t="str">
        <f t="shared" si="4247"/>
        <v/>
      </c>
      <c r="CE673" s="56" t="str">
        <f>IF(CF673="","",MAX(CE$10:$CE672)+1)</f>
        <v/>
      </c>
      <c r="CF673" t="str">
        <f t="shared" si="4286"/>
        <v/>
      </c>
      <c r="CG673" s="22" t="str">
        <f>IF(CH673="","",MAX($CG$10:CG672)+1)</f>
        <v/>
      </c>
      <c r="CH673" s="22" t="str">
        <f t="shared" si="4231"/>
        <v/>
      </c>
      <c r="CI673" s="22" t="str">
        <f>IF(CJ673="","",MAX($CI$10:CI672)+1)</f>
        <v/>
      </c>
      <c r="CJ673" s="22" t="str">
        <f t="shared" si="4232"/>
        <v/>
      </c>
    </row>
    <row r="674" spans="2:88" x14ac:dyDescent="0.25">
      <c r="B674" s="37"/>
      <c r="C674" s="3"/>
      <c r="D674" s="77" t="str">
        <f t="shared" si="4218"/>
        <v/>
      </c>
      <c r="E674" s="38"/>
      <c r="F674" s="38"/>
      <c r="G674" s="78">
        <f t="shared" si="4233"/>
        <v>0</v>
      </c>
      <c r="H674" s="3">
        <v>80</v>
      </c>
      <c r="I674" s="77" t="str">
        <f t="shared" si="4219"/>
        <v/>
      </c>
      <c r="J674" s="32"/>
      <c r="K674" s="3"/>
      <c r="L674" s="39"/>
      <c r="M674" s="39"/>
      <c r="N674" s="39"/>
      <c r="O674" s="39"/>
      <c r="P674" s="39"/>
      <c r="Q674" s="39"/>
      <c r="R674" s="39"/>
      <c r="S674" s="39"/>
      <c r="T674" s="3" t="s">
        <v>645</v>
      </c>
      <c r="U674" s="77" t="str">
        <f t="shared" si="4220"/>
        <v/>
      </c>
      <c r="V674" s="39">
        <v>1</v>
      </c>
      <c r="W674" s="79">
        <f t="shared" si="4234"/>
        <v>0</v>
      </c>
      <c r="X674" s="3">
        <v>0</v>
      </c>
      <c r="Y674" s="77" t="str">
        <f t="shared" si="4221"/>
        <v/>
      </c>
      <c r="Z674" s="3"/>
      <c r="AA674" s="37" t="str">
        <f t="shared" si="4235"/>
        <v/>
      </c>
      <c r="AC674" s="40"/>
      <c r="AD674" s="7"/>
      <c r="AE674" s="77" t="str">
        <f t="shared" si="4222"/>
        <v/>
      </c>
      <c r="AF674" s="81">
        <f t="shared" si="4248"/>
        <v>0</v>
      </c>
      <c r="AG674" s="40"/>
      <c r="AH674" s="7"/>
      <c r="AI674" s="77" t="str">
        <f t="shared" si="4223"/>
        <v/>
      </c>
      <c r="AJ674" s="81">
        <f t="shared" si="4249"/>
        <v>0</v>
      </c>
      <c r="AK674" s="83">
        <f t="shared" si="4250"/>
        <v>0</v>
      </c>
      <c r="AL674" s="83">
        <f t="shared" si="4251"/>
        <v>0</v>
      </c>
      <c r="AN674" s="43">
        <f t="shared" si="4224"/>
        <v>0</v>
      </c>
      <c r="AP674" t="str">
        <f t="shared" si="4252"/>
        <v/>
      </c>
      <c r="AQ674" t="str">
        <f t="shared" si="4253"/>
        <v/>
      </c>
      <c r="AR674" t="str">
        <f t="shared" si="4254"/>
        <v/>
      </c>
      <c r="AS674" t="str">
        <f t="shared" si="4255"/>
        <v/>
      </c>
      <c r="AT674" t="str">
        <f t="shared" si="4256"/>
        <v/>
      </c>
      <c r="AU674" t="str">
        <f t="shared" si="4257"/>
        <v/>
      </c>
      <c r="AV674" t="str">
        <f t="shared" si="4258"/>
        <v/>
      </c>
      <c r="AW674" t="str">
        <f t="shared" si="4259"/>
        <v xml:space="preserve">                              </v>
      </c>
      <c r="AX674" s="23">
        <f t="shared" si="4260"/>
        <v>0</v>
      </c>
      <c r="AY674" s="49" t="str">
        <f t="shared" si="4236"/>
        <v>000000000000000</v>
      </c>
      <c r="AZ674" s="23">
        <f t="shared" si="4261"/>
        <v>0</v>
      </c>
      <c r="BA674" s="49" t="str">
        <f t="shared" si="4236"/>
        <v>000000000000000</v>
      </c>
      <c r="BB674" s="23">
        <f t="shared" si="4262"/>
        <v>0</v>
      </c>
      <c r="BC674" s="49" t="str">
        <f t="shared" ref="BC674" si="4401">IF(BB674&lt;0,SUBSTITUTE(TEXT(BB674,"000000000000,00"),",",""),SUBSTITUTE(TEXT(BB674,"0000000000000,00"),",",""))</f>
        <v>000000000000000</v>
      </c>
      <c r="BD674" s="23">
        <f t="shared" si="4264"/>
        <v>0</v>
      </c>
      <c r="BE674" s="49" t="str">
        <f t="shared" ref="BE674" si="4402">IF(BD674&lt;0,SUBSTITUTE(TEXT(BD674,"000000000000,00"),",",""),SUBSTITUTE(TEXT(BD674,"0000000000000,00"),",",""))</f>
        <v>000000000000000</v>
      </c>
      <c r="BF674" s="23">
        <f t="shared" si="4266"/>
        <v>0</v>
      </c>
      <c r="BG674" s="49" t="str">
        <f t="shared" ref="BG674" si="4403">IF(BF674&lt;0,SUBSTITUTE(TEXT(BF674,"000000000000,00"),",",""),SUBSTITUTE(TEXT(BF674,"0000000000000,00"),",",""))</f>
        <v>000000000000000</v>
      </c>
      <c r="BH674" s="23">
        <f t="shared" si="4268"/>
        <v>0</v>
      </c>
      <c r="BI674" s="49" t="str">
        <f t="shared" ref="BI674" si="4404">IF(BH674&lt;0,SUBSTITUTE(TEXT(BH674,"000000000000,00"),",",""),SUBSTITUTE(TEXT(BH674,"0000000000000,00"),",",""))</f>
        <v>000000000000000</v>
      </c>
      <c r="BJ674" s="23">
        <f t="shared" si="4270"/>
        <v>0</v>
      </c>
      <c r="BK674" s="49" t="str">
        <f t="shared" ref="BK674" si="4405">IF(BJ674&lt;0,SUBSTITUTE(TEXT(BJ674,"000000000000,00"),",",""),SUBSTITUTE(TEXT(BJ674,"0000000000000,00"),",",""))</f>
        <v>000000000000000</v>
      </c>
      <c r="BL674" s="23">
        <f t="shared" si="4272"/>
        <v>0</v>
      </c>
      <c r="BM674" s="49" t="str">
        <f t="shared" ref="BM674" si="4406">IF(BL674&lt;0,SUBSTITUTE(TEXT(BL674,"000000000000,00"),",",""),SUBSTITUTE(TEXT(BL674,"0000000000000,00"),",",""))</f>
        <v>000000000000000</v>
      </c>
      <c r="BN674" t="str">
        <f t="shared" si="4274"/>
        <v>PES</v>
      </c>
      <c r="BO674" t="str">
        <f t="shared" si="4275"/>
        <v>0001000000</v>
      </c>
      <c r="BP674">
        <f t="shared" si="4276"/>
        <v>0</v>
      </c>
      <c r="BQ674">
        <f t="shared" si="4277"/>
        <v>0</v>
      </c>
      <c r="BR674" s="23">
        <f t="shared" si="4278"/>
        <v>0</v>
      </c>
      <c r="BS674" s="49" t="str">
        <f t="shared" si="4243"/>
        <v>000000000000000</v>
      </c>
      <c r="BT674" t="str">
        <f t="shared" si="4279"/>
        <v>00000000</v>
      </c>
      <c r="BU674" s="23">
        <f t="shared" si="4280"/>
        <v>0</v>
      </c>
      <c r="BV674" s="49" t="str">
        <f t="shared" si="4244"/>
        <v/>
      </c>
      <c r="BW674" s="52" t="str">
        <f t="shared" si="4281"/>
        <v/>
      </c>
      <c r="BX674" s="23">
        <f t="shared" si="4282"/>
        <v>0</v>
      </c>
      <c r="BY674" s="49" t="str">
        <f t="shared" si="4245"/>
        <v/>
      </c>
      <c r="BZ674" s="23">
        <f t="shared" si="4283"/>
        <v>0</v>
      </c>
      <c r="CA674" s="49" t="str">
        <f t="shared" si="4246"/>
        <v/>
      </c>
      <c r="CB674" s="52" t="str">
        <f t="shared" si="4284"/>
        <v/>
      </c>
      <c r="CC674" s="23">
        <f t="shared" si="4285"/>
        <v>0</v>
      </c>
      <c r="CD674" s="49" t="str">
        <f t="shared" si="4247"/>
        <v/>
      </c>
      <c r="CE674" s="56" t="str">
        <f>IF(CF674="","",MAX(CE$10:$CE673)+1)</f>
        <v/>
      </c>
      <c r="CF674" t="str">
        <f t="shared" si="4286"/>
        <v/>
      </c>
      <c r="CG674" s="22" t="str">
        <f>IF(CH674="","",MAX($CG$10:CG673)+1)</f>
        <v/>
      </c>
      <c r="CH674" s="22" t="str">
        <f t="shared" si="4231"/>
        <v/>
      </c>
      <c r="CI674" s="22" t="str">
        <f>IF(CJ674="","",MAX($CI$10:CI673)+1)</f>
        <v/>
      </c>
      <c r="CJ674" s="22" t="str">
        <f t="shared" si="4232"/>
        <v/>
      </c>
    </row>
    <row r="675" spans="2:88" x14ac:dyDescent="0.25">
      <c r="B675" s="37"/>
      <c r="C675" s="3"/>
      <c r="D675" s="77" t="str">
        <f t="shared" si="4218"/>
        <v/>
      </c>
      <c r="E675" s="38"/>
      <c r="F675" s="38"/>
      <c r="G675" s="78">
        <f t="shared" si="4233"/>
        <v>0</v>
      </c>
      <c r="H675" s="3">
        <v>80</v>
      </c>
      <c r="I675" s="77" t="str">
        <f t="shared" si="4219"/>
        <v/>
      </c>
      <c r="J675" s="32"/>
      <c r="K675" s="3"/>
      <c r="L675" s="39"/>
      <c r="M675" s="39"/>
      <c r="N675" s="39"/>
      <c r="O675" s="39"/>
      <c r="P675" s="39"/>
      <c r="Q675" s="39"/>
      <c r="R675" s="39"/>
      <c r="S675" s="39"/>
      <c r="T675" s="3" t="s">
        <v>645</v>
      </c>
      <c r="U675" s="77" t="str">
        <f t="shared" si="4220"/>
        <v/>
      </c>
      <c r="V675" s="39">
        <v>1</v>
      </c>
      <c r="W675" s="79">
        <f t="shared" si="4234"/>
        <v>0</v>
      </c>
      <c r="X675" s="3">
        <v>0</v>
      </c>
      <c r="Y675" s="77" t="str">
        <f t="shared" si="4221"/>
        <v/>
      </c>
      <c r="Z675" s="3"/>
      <c r="AA675" s="37" t="str">
        <f t="shared" si="4235"/>
        <v/>
      </c>
      <c r="AC675" s="40"/>
      <c r="AD675" s="7"/>
      <c r="AE675" s="77" t="str">
        <f t="shared" si="4222"/>
        <v/>
      </c>
      <c r="AF675" s="81">
        <f t="shared" si="4248"/>
        <v>0</v>
      </c>
      <c r="AG675" s="40"/>
      <c r="AH675" s="7"/>
      <c r="AI675" s="77" t="str">
        <f t="shared" si="4223"/>
        <v/>
      </c>
      <c r="AJ675" s="81">
        <f t="shared" si="4249"/>
        <v>0</v>
      </c>
      <c r="AK675" s="83">
        <f t="shared" si="4250"/>
        <v>0</v>
      </c>
      <c r="AL675" s="83">
        <f t="shared" si="4251"/>
        <v>0</v>
      </c>
      <c r="AN675" s="43">
        <f t="shared" si="4224"/>
        <v>0</v>
      </c>
      <c r="AP675" t="str">
        <f t="shared" si="4252"/>
        <v/>
      </c>
      <c r="AQ675" t="str">
        <f t="shared" si="4253"/>
        <v/>
      </c>
      <c r="AR675" t="str">
        <f t="shared" si="4254"/>
        <v/>
      </c>
      <c r="AS675" t="str">
        <f t="shared" si="4255"/>
        <v/>
      </c>
      <c r="AT675" t="str">
        <f t="shared" si="4256"/>
        <v/>
      </c>
      <c r="AU675" t="str">
        <f t="shared" si="4257"/>
        <v/>
      </c>
      <c r="AV675" t="str">
        <f t="shared" si="4258"/>
        <v/>
      </c>
      <c r="AW675" t="str">
        <f t="shared" si="4259"/>
        <v xml:space="preserve">                              </v>
      </c>
      <c r="AX675" s="23">
        <f t="shared" si="4260"/>
        <v>0</v>
      </c>
      <c r="AY675" s="49" t="str">
        <f t="shared" si="4236"/>
        <v>000000000000000</v>
      </c>
      <c r="AZ675" s="23">
        <f t="shared" si="4261"/>
        <v>0</v>
      </c>
      <c r="BA675" s="49" t="str">
        <f t="shared" si="4236"/>
        <v>000000000000000</v>
      </c>
      <c r="BB675" s="23">
        <f t="shared" si="4262"/>
        <v>0</v>
      </c>
      <c r="BC675" s="49" t="str">
        <f t="shared" ref="BC675" si="4407">IF(BB675&lt;0,SUBSTITUTE(TEXT(BB675,"000000000000,00"),",",""),SUBSTITUTE(TEXT(BB675,"0000000000000,00"),",",""))</f>
        <v>000000000000000</v>
      </c>
      <c r="BD675" s="23">
        <f t="shared" si="4264"/>
        <v>0</v>
      </c>
      <c r="BE675" s="49" t="str">
        <f t="shared" ref="BE675" si="4408">IF(BD675&lt;0,SUBSTITUTE(TEXT(BD675,"000000000000,00"),",",""),SUBSTITUTE(TEXT(BD675,"0000000000000,00"),",",""))</f>
        <v>000000000000000</v>
      </c>
      <c r="BF675" s="23">
        <f t="shared" si="4266"/>
        <v>0</v>
      </c>
      <c r="BG675" s="49" t="str">
        <f t="shared" ref="BG675" si="4409">IF(BF675&lt;0,SUBSTITUTE(TEXT(BF675,"000000000000,00"),",",""),SUBSTITUTE(TEXT(BF675,"0000000000000,00"),",",""))</f>
        <v>000000000000000</v>
      </c>
      <c r="BH675" s="23">
        <f t="shared" si="4268"/>
        <v>0</v>
      </c>
      <c r="BI675" s="49" t="str">
        <f t="shared" ref="BI675" si="4410">IF(BH675&lt;0,SUBSTITUTE(TEXT(BH675,"000000000000,00"),",",""),SUBSTITUTE(TEXT(BH675,"0000000000000,00"),",",""))</f>
        <v>000000000000000</v>
      </c>
      <c r="BJ675" s="23">
        <f t="shared" si="4270"/>
        <v>0</v>
      </c>
      <c r="BK675" s="49" t="str">
        <f t="shared" ref="BK675" si="4411">IF(BJ675&lt;0,SUBSTITUTE(TEXT(BJ675,"000000000000,00"),",",""),SUBSTITUTE(TEXT(BJ675,"0000000000000,00"),",",""))</f>
        <v>000000000000000</v>
      </c>
      <c r="BL675" s="23">
        <f t="shared" si="4272"/>
        <v>0</v>
      </c>
      <c r="BM675" s="49" t="str">
        <f t="shared" ref="BM675" si="4412">IF(BL675&lt;0,SUBSTITUTE(TEXT(BL675,"000000000000,00"),",",""),SUBSTITUTE(TEXT(BL675,"0000000000000,00"),",",""))</f>
        <v>000000000000000</v>
      </c>
      <c r="BN675" t="str">
        <f t="shared" si="4274"/>
        <v>PES</v>
      </c>
      <c r="BO675" t="str">
        <f t="shared" si="4275"/>
        <v>0001000000</v>
      </c>
      <c r="BP675">
        <f t="shared" si="4276"/>
        <v>0</v>
      </c>
      <c r="BQ675">
        <f t="shared" si="4277"/>
        <v>0</v>
      </c>
      <c r="BR675" s="23">
        <f t="shared" si="4278"/>
        <v>0</v>
      </c>
      <c r="BS675" s="49" t="str">
        <f t="shared" si="4243"/>
        <v>000000000000000</v>
      </c>
      <c r="BT675" t="str">
        <f t="shared" si="4279"/>
        <v>00000000</v>
      </c>
      <c r="BU675" s="23">
        <f t="shared" si="4280"/>
        <v>0</v>
      </c>
      <c r="BV675" s="49" t="str">
        <f t="shared" si="4244"/>
        <v/>
      </c>
      <c r="BW675" s="52" t="str">
        <f t="shared" si="4281"/>
        <v/>
      </c>
      <c r="BX675" s="23">
        <f t="shared" si="4282"/>
        <v>0</v>
      </c>
      <c r="BY675" s="49" t="str">
        <f t="shared" si="4245"/>
        <v/>
      </c>
      <c r="BZ675" s="23">
        <f t="shared" si="4283"/>
        <v>0</v>
      </c>
      <c r="CA675" s="49" t="str">
        <f t="shared" si="4246"/>
        <v/>
      </c>
      <c r="CB675" s="52" t="str">
        <f t="shared" si="4284"/>
        <v/>
      </c>
      <c r="CC675" s="23">
        <f t="shared" si="4285"/>
        <v>0</v>
      </c>
      <c r="CD675" s="49" t="str">
        <f t="shared" si="4247"/>
        <v/>
      </c>
      <c r="CE675" s="56" t="str">
        <f>IF(CF675="","",MAX(CE$10:$CE674)+1)</f>
        <v/>
      </c>
      <c r="CF675" t="str">
        <f t="shared" si="4286"/>
        <v/>
      </c>
      <c r="CG675" s="22" t="str">
        <f>IF(CH675="","",MAX($CG$10:CG674)+1)</f>
        <v/>
      </c>
      <c r="CH675" s="22" t="str">
        <f t="shared" si="4231"/>
        <v/>
      </c>
      <c r="CI675" s="22" t="str">
        <f>IF(CJ675="","",MAX($CI$10:CI674)+1)</f>
        <v/>
      </c>
      <c r="CJ675" s="22" t="str">
        <f t="shared" si="4232"/>
        <v/>
      </c>
    </row>
    <row r="676" spans="2:88" x14ac:dyDescent="0.25">
      <c r="B676" s="37"/>
      <c r="C676" s="3"/>
      <c r="D676" s="77" t="str">
        <f t="shared" si="4218"/>
        <v/>
      </c>
      <c r="E676" s="38"/>
      <c r="F676" s="38"/>
      <c r="G676" s="78">
        <f t="shared" si="4233"/>
        <v>0</v>
      </c>
      <c r="H676" s="3">
        <v>80</v>
      </c>
      <c r="I676" s="77" t="str">
        <f t="shared" si="4219"/>
        <v/>
      </c>
      <c r="J676" s="32"/>
      <c r="K676" s="3"/>
      <c r="L676" s="39"/>
      <c r="M676" s="39"/>
      <c r="N676" s="39"/>
      <c r="O676" s="39"/>
      <c r="P676" s="39"/>
      <c r="Q676" s="39"/>
      <c r="R676" s="39"/>
      <c r="S676" s="39"/>
      <c r="T676" s="3" t="s">
        <v>645</v>
      </c>
      <c r="U676" s="77" t="str">
        <f t="shared" si="4220"/>
        <v/>
      </c>
      <c r="V676" s="39">
        <v>1</v>
      </c>
      <c r="W676" s="79">
        <f t="shared" si="4234"/>
        <v>0</v>
      </c>
      <c r="X676" s="3">
        <v>0</v>
      </c>
      <c r="Y676" s="77" t="str">
        <f t="shared" si="4221"/>
        <v/>
      </c>
      <c r="Z676" s="3"/>
      <c r="AA676" s="37" t="str">
        <f t="shared" si="4235"/>
        <v/>
      </c>
      <c r="AC676" s="40"/>
      <c r="AD676" s="7"/>
      <c r="AE676" s="77" t="str">
        <f t="shared" si="4222"/>
        <v/>
      </c>
      <c r="AF676" s="81">
        <f t="shared" si="4248"/>
        <v>0</v>
      </c>
      <c r="AG676" s="40"/>
      <c r="AH676" s="7"/>
      <c r="AI676" s="77" t="str">
        <f t="shared" si="4223"/>
        <v/>
      </c>
      <c r="AJ676" s="81">
        <f t="shared" si="4249"/>
        <v>0</v>
      </c>
      <c r="AK676" s="83">
        <f t="shared" si="4250"/>
        <v>0</v>
      </c>
      <c r="AL676" s="83">
        <f t="shared" si="4251"/>
        <v>0</v>
      </c>
      <c r="AN676" s="43">
        <f t="shared" si="4224"/>
        <v>0</v>
      </c>
      <c r="AP676" t="str">
        <f t="shared" si="4252"/>
        <v/>
      </c>
      <c r="AQ676" t="str">
        <f t="shared" si="4253"/>
        <v/>
      </c>
      <c r="AR676" t="str">
        <f t="shared" si="4254"/>
        <v/>
      </c>
      <c r="AS676" t="str">
        <f t="shared" si="4255"/>
        <v/>
      </c>
      <c r="AT676" t="str">
        <f t="shared" si="4256"/>
        <v/>
      </c>
      <c r="AU676" t="str">
        <f t="shared" si="4257"/>
        <v/>
      </c>
      <c r="AV676" t="str">
        <f t="shared" si="4258"/>
        <v/>
      </c>
      <c r="AW676" t="str">
        <f t="shared" si="4259"/>
        <v xml:space="preserve">                              </v>
      </c>
      <c r="AX676" s="23">
        <f t="shared" si="4260"/>
        <v>0</v>
      </c>
      <c r="AY676" s="49" t="str">
        <f t="shared" si="4236"/>
        <v>000000000000000</v>
      </c>
      <c r="AZ676" s="23">
        <f t="shared" si="4261"/>
        <v>0</v>
      </c>
      <c r="BA676" s="49" t="str">
        <f t="shared" si="4236"/>
        <v>000000000000000</v>
      </c>
      <c r="BB676" s="23">
        <f t="shared" si="4262"/>
        <v>0</v>
      </c>
      <c r="BC676" s="49" t="str">
        <f t="shared" ref="BC676" si="4413">IF(BB676&lt;0,SUBSTITUTE(TEXT(BB676,"000000000000,00"),",",""),SUBSTITUTE(TEXT(BB676,"0000000000000,00"),",",""))</f>
        <v>000000000000000</v>
      </c>
      <c r="BD676" s="23">
        <f t="shared" si="4264"/>
        <v>0</v>
      </c>
      <c r="BE676" s="49" t="str">
        <f t="shared" ref="BE676" si="4414">IF(BD676&lt;0,SUBSTITUTE(TEXT(BD676,"000000000000,00"),",",""),SUBSTITUTE(TEXT(BD676,"0000000000000,00"),",",""))</f>
        <v>000000000000000</v>
      </c>
      <c r="BF676" s="23">
        <f t="shared" si="4266"/>
        <v>0</v>
      </c>
      <c r="BG676" s="49" t="str">
        <f t="shared" ref="BG676" si="4415">IF(BF676&lt;0,SUBSTITUTE(TEXT(BF676,"000000000000,00"),",",""),SUBSTITUTE(TEXT(BF676,"0000000000000,00"),",",""))</f>
        <v>000000000000000</v>
      </c>
      <c r="BH676" s="23">
        <f t="shared" si="4268"/>
        <v>0</v>
      </c>
      <c r="BI676" s="49" t="str">
        <f t="shared" ref="BI676" si="4416">IF(BH676&lt;0,SUBSTITUTE(TEXT(BH676,"000000000000,00"),",",""),SUBSTITUTE(TEXT(BH676,"0000000000000,00"),",",""))</f>
        <v>000000000000000</v>
      </c>
      <c r="BJ676" s="23">
        <f t="shared" si="4270"/>
        <v>0</v>
      </c>
      <c r="BK676" s="49" t="str">
        <f t="shared" ref="BK676" si="4417">IF(BJ676&lt;0,SUBSTITUTE(TEXT(BJ676,"000000000000,00"),",",""),SUBSTITUTE(TEXT(BJ676,"0000000000000,00"),",",""))</f>
        <v>000000000000000</v>
      </c>
      <c r="BL676" s="23">
        <f t="shared" si="4272"/>
        <v>0</v>
      </c>
      <c r="BM676" s="49" t="str">
        <f t="shared" ref="BM676" si="4418">IF(BL676&lt;0,SUBSTITUTE(TEXT(BL676,"000000000000,00"),",",""),SUBSTITUTE(TEXT(BL676,"0000000000000,00"),",",""))</f>
        <v>000000000000000</v>
      </c>
      <c r="BN676" t="str">
        <f t="shared" si="4274"/>
        <v>PES</v>
      </c>
      <c r="BO676" t="str">
        <f t="shared" si="4275"/>
        <v>0001000000</v>
      </c>
      <c r="BP676">
        <f t="shared" si="4276"/>
        <v>0</v>
      </c>
      <c r="BQ676">
        <f t="shared" si="4277"/>
        <v>0</v>
      </c>
      <c r="BR676" s="23">
        <f t="shared" si="4278"/>
        <v>0</v>
      </c>
      <c r="BS676" s="49" t="str">
        <f t="shared" si="4243"/>
        <v>000000000000000</v>
      </c>
      <c r="BT676" t="str">
        <f t="shared" si="4279"/>
        <v>00000000</v>
      </c>
      <c r="BU676" s="23">
        <f t="shared" si="4280"/>
        <v>0</v>
      </c>
      <c r="BV676" s="49" t="str">
        <f t="shared" si="4244"/>
        <v/>
      </c>
      <c r="BW676" s="52" t="str">
        <f t="shared" si="4281"/>
        <v/>
      </c>
      <c r="BX676" s="23">
        <f t="shared" si="4282"/>
        <v>0</v>
      </c>
      <c r="BY676" s="49" t="str">
        <f t="shared" si="4245"/>
        <v/>
      </c>
      <c r="BZ676" s="23">
        <f t="shared" si="4283"/>
        <v>0</v>
      </c>
      <c r="CA676" s="49" t="str">
        <f t="shared" si="4246"/>
        <v/>
      </c>
      <c r="CB676" s="52" t="str">
        <f t="shared" si="4284"/>
        <v/>
      </c>
      <c r="CC676" s="23">
        <f t="shared" si="4285"/>
        <v>0</v>
      </c>
      <c r="CD676" s="49" t="str">
        <f t="shared" si="4247"/>
        <v/>
      </c>
      <c r="CE676" s="56" t="str">
        <f>IF(CF676="","",MAX(CE$10:$CE675)+1)</f>
        <v/>
      </c>
      <c r="CF676" t="str">
        <f t="shared" si="4286"/>
        <v/>
      </c>
      <c r="CG676" s="22" t="str">
        <f>IF(CH676="","",MAX($CG$10:CG675)+1)</f>
        <v/>
      </c>
      <c r="CH676" s="22" t="str">
        <f t="shared" si="4231"/>
        <v/>
      </c>
      <c r="CI676" s="22" t="str">
        <f>IF(CJ676="","",MAX($CI$10:CI675)+1)</f>
        <v/>
      </c>
      <c r="CJ676" s="22" t="str">
        <f t="shared" si="4232"/>
        <v/>
      </c>
    </row>
    <row r="677" spans="2:88" x14ac:dyDescent="0.25">
      <c r="B677" s="37"/>
      <c r="C677" s="3"/>
      <c r="D677" s="77" t="str">
        <f t="shared" si="4218"/>
        <v/>
      </c>
      <c r="E677" s="38"/>
      <c r="F677" s="38"/>
      <c r="G677" s="78">
        <f t="shared" si="4233"/>
        <v>0</v>
      </c>
      <c r="H677" s="3">
        <v>80</v>
      </c>
      <c r="I677" s="77" t="str">
        <f t="shared" si="4219"/>
        <v/>
      </c>
      <c r="J677" s="32"/>
      <c r="K677" s="3"/>
      <c r="L677" s="39"/>
      <c r="M677" s="39"/>
      <c r="N677" s="39"/>
      <c r="O677" s="39"/>
      <c r="P677" s="39"/>
      <c r="Q677" s="39"/>
      <c r="R677" s="39"/>
      <c r="S677" s="39"/>
      <c r="T677" s="3" t="s">
        <v>645</v>
      </c>
      <c r="U677" s="77" t="str">
        <f t="shared" si="4220"/>
        <v/>
      </c>
      <c r="V677" s="39">
        <v>1</v>
      </c>
      <c r="W677" s="79">
        <f t="shared" si="4234"/>
        <v>0</v>
      </c>
      <c r="X677" s="3">
        <v>0</v>
      </c>
      <c r="Y677" s="77" t="str">
        <f t="shared" si="4221"/>
        <v/>
      </c>
      <c r="Z677" s="3"/>
      <c r="AA677" s="37" t="str">
        <f t="shared" si="4235"/>
        <v/>
      </c>
      <c r="AC677" s="40"/>
      <c r="AD677" s="7"/>
      <c r="AE677" s="77" t="str">
        <f t="shared" si="4222"/>
        <v/>
      </c>
      <c r="AF677" s="81">
        <f t="shared" si="4248"/>
        <v>0</v>
      </c>
      <c r="AG677" s="40"/>
      <c r="AH677" s="7"/>
      <c r="AI677" s="77" t="str">
        <f t="shared" si="4223"/>
        <v/>
      </c>
      <c r="AJ677" s="81">
        <f t="shared" si="4249"/>
        <v>0</v>
      </c>
      <c r="AK677" s="83">
        <f t="shared" si="4250"/>
        <v>0</v>
      </c>
      <c r="AL677" s="83">
        <f t="shared" si="4251"/>
        <v>0</v>
      </c>
      <c r="AN677" s="43">
        <f t="shared" si="4224"/>
        <v>0</v>
      </c>
      <c r="AP677" t="str">
        <f t="shared" si="4252"/>
        <v/>
      </c>
      <c r="AQ677" t="str">
        <f t="shared" si="4253"/>
        <v/>
      </c>
      <c r="AR677" t="str">
        <f t="shared" si="4254"/>
        <v/>
      </c>
      <c r="AS677" t="str">
        <f t="shared" si="4255"/>
        <v/>
      </c>
      <c r="AT677" t="str">
        <f t="shared" si="4256"/>
        <v/>
      </c>
      <c r="AU677" t="str">
        <f t="shared" si="4257"/>
        <v/>
      </c>
      <c r="AV677" t="str">
        <f t="shared" si="4258"/>
        <v/>
      </c>
      <c r="AW677" t="str">
        <f t="shared" si="4259"/>
        <v xml:space="preserve">                              </v>
      </c>
      <c r="AX677" s="23">
        <f t="shared" si="4260"/>
        <v>0</v>
      </c>
      <c r="AY677" s="49" t="str">
        <f t="shared" si="4236"/>
        <v>000000000000000</v>
      </c>
      <c r="AZ677" s="23">
        <f t="shared" si="4261"/>
        <v>0</v>
      </c>
      <c r="BA677" s="49" t="str">
        <f t="shared" si="4236"/>
        <v>000000000000000</v>
      </c>
      <c r="BB677" s="23">
        <f t="shared" si="4262"/>
        <v>0</v>
      </c>
      <c r="BC677" s="49" t="str">
        <f t="shared" ref="BC677" si="4419">IF(BB677&lt;0,SUBSTITUTE(TEXT(BB677,"000000000000,00"),",",""),SUBSTITUTE(TEXT(BB677,"0000000000000,00"),",",""))</f>
        <v>000000000000000</v>
      </c>
      <c r="BD677" s="23">
        <f t="shared" si="4264"/>
        <v>0</v>
      </c>
      <c r="BE677" s="49" t="str">
        <f t="shared" ref="BE677" si="4420">IF(BD677&lt;0,SUBSTITUTE(TEXT(BD677,"000000000000,00"),",",""),SUBSTITUTE(TEXT(BD677,"0000000000000,00"),",",""))</f>
        <v>000000000000000</v>
      </c>
      <c r="BF677" s="23">
        <f t="shared" si="4266"/>
        <v>0</v>
      </c>
      <c r="BG677" s="49" t="str">
        <f t="shared" ref="BG677" si="4421">IF(BF677&lt;0,SUBSTITUTE(TEXT(BF677,"000000000000,00"),",",""),SUBSTITUTE(TEXT(BF677,"0000000000000,00"),",",""))</f>
        <v>000000000000000</v>
      </c>
      <c r="BH677" s="23">
        <f t="shared" si="4268"/>
        <v>0</v>
      </c>
      <c r="BI677" s="49" t="str">
        <f t="shared" ref="BI677" si="4422">IF(BH677&lt;0,SUBSTITUTE(TEXT(BH677,"000000000000,00"),",",""),SUBSTITUTE(TEXT(BH677,"0000000000000,00"),",",""))</f>
        <v>000000000000000</v>
      </c>
      <c r="BJ677" s="23">
        <f t="shared" si="4270"/>
        <v>0</v>
      </c>
      <c r="BK677" s="49" t="str">
        <f t="shared" ref="BK677" si="4423">IF(BJ677&lt;0,SUBSTITUTE(TEXT(BJ677,"000000000000,00"),",",""),SUBSTITUTE(TEXT(BJ677,"0000000000000,00"),",",""))</f>
        <v>000000000000000</v>
      </c>
      <c r="BL677" s="23">
        <f t="shared" si="4272"/>
        <v>0</v>
      </c>
      <c r="BM677" s="49" t="str">
        <f t="shared" ref="BM677" si="4424">IF(BL677&lt;0,SUBSTITUTE(TEXT(BL677,"000000000000,00"),",",""),SUBSTITUTE(TEXT(BL677,"0000000000000,00"),",",""))</f>
        <v>000000000000000</v>
      </c>
      <c r="BN677" t="str">
        <f t="shared" si="4274"/>
        <v>PES</v>
      </c>
      <c r="BO677" t="str">
        <f t="shared" si="4275"/>
        <v>0001000000</v>
      </c>
      <c r="BP677">
        <f t="shared" si="4276"/>
        <v>0</v>
      </c>
      <c r="BQ677">
        <f t="shared" si="4277"/>
        <v>0</v>
      </c>
      <c r="BR677" s="23">
        <f t="shared" si="4278"/>
        <v>0</v>
      </c>
      <c r="BS677" s="49" t="str">
        <f t="shared" si="4243"/>
        <v>000000000000000</v>
      </c>
      <c r="BT677" t="str">
        <f t="shared" si="4279"/>
        <v>00000000</v>
      </c>
      <c r="BU677" s="23">
        <f t="shared" si="4280"/>
        <v>0</v>
      </c>
      <c r="BV677" s="49" t="str">
        <f t="shared" si="4244"/>
        <v/>
      </c>
      <c r="BW677" s="52" t="str">
        <f t="shared" si="4281"/>
        <v/>
      </c>
      <c r="BX677" s="23">
        <f t="shared" si="4282"/>
        <v>0</v>
      </c>
      <c r="BY677" s="49" t="str">
        <f t="shared" si="4245"/>
        <v/>
      </c>
      <c r="BZ677" s="23">
        <f t="shared" si="4283"/>
        <v>0</v>
      </c>
      <c r="CA677" s="49" t="str">
        <f t="shared" si="4246"/>
        <v/>
      </c>
      <c r="CB677" s="52" t="str">
        <f t="shared" si="4284"/>
        <v/>
      </c>
      <c r="CC677" s="23">
        <f t="shared" si="4285"/>
        <v>0</v>
      </c>
      <c r="CD677" s="49" t="str">
        <f t="shared" si="4247"/>
        <v/>
      </c>
      <c r="CE677" s="56" t="str">
        <f>IF(CF677="","",MAX(CE$10:$CE676)+1)</f>
        <v/>
      </c>
      <c r="CF677" t="str">
        <f t="shared" si="4286"/>
        <v/>
      </c>
      <c r="CG677" s="22" t="str">
        <f>IF(CH677="","",MAX($CG$10:CG676)+1)</f>
        <v/>
      </c>
      <c r="CH677" s="22" t="str">
        <f t="shared" si="4231"/>
        <v/>
      </c>
      <c r="CI677" s="22" t="str">
        <f>IF(CJ677="","",MAX($CI$10:CI676)+1)</f>
        <v/>
      </c>
      <c r="CJ677" s="22" t="str">
        <f t="shared" si="4232"/>
        <v/>
      </c>
    </row>
    <row r="678" spans="2:88" x14ac:dyDescent="0.25">
      <c r="B678" s="37"/>
      <c r="C678" s="3"/>
      <c r="D678" s="77" t="str">
        <f t="shared" si="4218"/>
        <v/>
      </c>
      <c r="E678" s="38"/>
      <c r="F678" s="38"/>
      <c r="G678" s="78">
        <f t="shared" si="4233"/>
        <v>0</v>
      </c>
      <c r="H678" s="3">
        <v>80</v>
      </c>
      <c r="I678" s="77" t="str">
        <f t="shared" si="4219"/>
        <v/>
      </c>
      <c r="J678" s="32"/>
      <c r="K678" s="3"/>
      <c r="L678" s="39"/>
      <c r="M678" s="39"/>
      <c r="N678" s="39"/>
      <c r="O678" s="39"/>
      <c r="P678" s="39"/>
      <c r="Q678" s="39"/>
      <c r="R678" s="39"/>
      <c r="S678" s="39"/>
      <c r="T678" s="3" t="s">
        <v>645</v>
      </c>
      <c r="U678" s="77" t="str">
        <f t="shared" si="4220"/>
        <v/>
      </c>
      <c r="V678" s="39">
        <v>1</v>
      </c>
      <c r="W678" s="79">
        <f t="shared" si="4234"/>
        <v>0</v>
      </c>
      <c r="X678" s="3">
        <v>0</v>
      </c>
      <c r="Y678" s="77" t="str">
        <f t="shared" si="4221"/>
        <v/>
      </c>
      <c r="Z678" s="3"/>
      <c r="AA678" s="37" t="str">
        <f t="shared" si="4235"/>
        <v/>
      </c>
      <c r="AC678" s="40"/>
      <c r="AD678" s="7"/>
      <c r="AE678" s="77" t="str">
        <f t="shared" si="4222"/>
        <v/>
      </c>
      <c r="AF678" s="81">
        <f t="shared" si="4248"/>
        <v>0</v>
      </c>
      <c r="AG678" s="40"/>
      <c r="AH678" s="7"/>
      <c r="AI678" s="77" t="str">
        <f t="shared" si="4223"/>
        <v/>
      </c>
      <c r="AJ678" s="81">
        <f t="shared" si="4249"/>
        <v>0</v>
      </c>
      <c r="AK678" s="83">
        <f t="shared" si="4250"/>
        <v>0</v>
      </c>
      <c r="AL678" s="83">
        <f t="shared" si="4251"/>
        <v>0</v>
      </c>
      <c r="AN678" s="43">
        <f t="shared" si="4224"/>
        <v>0</v>
      </c>
      <c r="AP678" t="str">
        <f t="shared" si="4252"/>
        <v/>
      </c>
      <c r="AQ678" t="str">
        <f t="shared" si="4253"/>
        <v/>
      </c>
      <c r="AR678" t="str">
        <f t="shared" si="4254"/>
        <v/>
      </c>
      <c r="AS678" t="str">
        <f t="shared" si="4255"/>
        <v/>
      </c>
      <c r="AT678" t="str">
        <f t="shared" si="4256"/>
        <v/>
      </c>
      <c r="AU678" t="str">
        <f t="shared" si="4257"/>
        <v/>
      </c>
      <c r="AV678" t="str">
        <f t="shared" si="4258"/>
        <v/>
      </c>
      <c r="AW678" t="str">
        <f t="shared" si="4259"/>
        <v xml:space="preserve">                              </v>
      </c>
      <c r="AX678" s="23">
        <f t="shared" si="4260"/>
        <v>0</v>
      </c>
      <c r="AY678" s="49" t="str">
        <f t="shared" si="4236"/>
        <v>000000000000000</v>
      </c>
      <c r="AZ678" s="23">
        <f t="shared" si="4261"/>
        <v>0</v>
      </c>
      <c r="BA678" s="49" t="str">
        <f t="shared" si="4236"/>
        <v>000000000000000</v>
      </c>
      <c r="BB678" s="23">
        <f t="shared" si="4262"/>
        <v>0</v>
      </c>
      <c r="BC678" s="49" t="str">
        <f t="shared" ref="BC678" si="4425">IF(BB678&lt;0,SUBSTITUTE(TEXT(BB678,"000000000000,00"),",",""),SUBSTITUTE(TEXT(BB678,"0000000000000,00"),",",""))</f>
        <v>000000000000000</v>
      </c>
      <c r="BD678" s="23">
        <f t="shared" si="4264"/>
        <v>0</v>
      </c>
      <c r="BE678" s="49" t="str">
        <f t="shared" ref="BE678" si="4426">IF(BD678&lt;0,SUBSTITUTE(TEXT(BD678,"000000000000,00"),",",""),SUBSTITUTE(TEXT(BD678,"0000000000000,00"),",",""))</f>
        <v>000000000000000</v>
      </c>
      <c r="BF678" s="23">
        <f t="shared" si="4266"/>
        <v>0</v>
      </c>
      <c r="BG678" s="49" t="str">
        <f t="shared" ref="BG678" si="4427">IF(BF678&lt;0,SUBSTITUTE(TEXT(BF678,"000000000000,00"),",",""),SUBSTITUTE(TEXT(BF678,"0000000000000,00"),",",""))</f>
        <v>000000000000000</v>
      </c>
      <c r="BH678" s="23">
        <f t="shared" si="4268"/>
        <v>0</v>
      </c>
      <c r="BI678" s="49" t="str">
        <f t="shared" ref="BI678" si="4428">IF(BH678&lt;0,SUBSTITUTE(TEXT(BH678,"000000000000,00"),",",""),SUBSTITUTE(TEXT(BH678,"0000000000000,00"),",",""))</f>
        <v>000000000000000</v>
      </c>
      <c r="BJ678" s="23">
        <f t="shared" si="4270"/>
        <v>0</v>
      </c>
      <c r="BK678" s="49" t="str">
        <f t="shared" ref="BK678" si="4429">IF(BJ678&lt;0,SUBSTITUTE(TEXT(BJ678,"000000000000,00"),",",""),SUBSTITUTE(TEXT(BJ678,"0000000000000,00"),",",""))</f>
        <v>000000000000000</v>
      </c>
      <c r="BL678" s="23">
        <f t="shared" si="4272"/>
        <v>0</v>
      </c>
      <c r="BM678" s="49" t="str">
        <f t="shared" ref="BM678" si="4430">IF(BL678&lt;0,SUBSTITUTE(TEXT(BL678,"000000000000,00"),",",""),SUBSTITUTE(TEXT(BL678,"0000000000000,00"),",",""))</f>
        <v>000000000000000</v>
      </c>
      <c r="BN678" t="str">
        <f t="shared" si="4274"/>
        <v>PES</v>
      </c>
      <c r="BO678" t="str">
        <f t="shared" si="4275"/>
        <v>0001000000</v>
      </c>
      <c r="BP678">
        <f t="shared" si="4276"/>
        <v>0</v>
      </c>
      <c r="BQ678">
        <f t="shared" si="4277"/>
        <v>0</v>
      </c>
      <c r="BR678" s="23">
        <f t="shared" si="4278"/>
        <v>0</v>
      </c>
      <c r="BS678" s="49" t="str">
        <f t="shared" si="4243"/>
        <v>000000000000000</v>
      </c>
      <c r="BT678" t="str">
        <f t="shared" si="4279"/>
        <v>00000000</v>
      </c>
      <c r="BU678" s="23">
        <f t="shared" si="4280"/>
        <v>0</v>
      </c>
      <c r="BV678" s="49" t="str">
        <f t="shared" si="4244"/>
        <v/>
      </c>
      <c r="BW678" s="52" t="str">
        <f t="shared" si="4281"/>
        <v/>
      </c>
      <c r="BX678" s="23">
        <f t="shared" si="4282"/>
        <v>0</v>
      </c>
      <c r="BY678" s="49" t="str">
        <f t="shared" si="4245"/>
        <v/>
      </c>
      <c r="BZ678" s="23">
        <f t="shared" si="4283"/>
        <v>0</v>
      </c>
      <c r="CA678" s="49" t="str">
        <f t="shared" si="4246"/>
        <v/>
      </c>
      <c r="CB678" s="52" t="str">
        <f t="shared" si="4284"/>
        <v/>
      </c>
      <c r="CC678" s="23">
        <f t="shared" si="4285"/>
        <v>0</v>
      </c>
      <c r="CD678" s="49" t="str">
        <f t="shared" si="4247"/>
        <v/>
      </c>
      <c r="CE678" s="56" t="str">
        <f>IF(CF678="","",MAX(CE$10:$CE677)+1)</f>
        <v/>
      </c>
      <c r="CF678" t="str">
        <f t="shared" si="4286"/>
        <v/>
      </c>
      <c r="CG678" s="22" t="str">
        <f>IF(CH678="","",MAX($CG$10:CG677)+1)</f>
        <v/>
      </c>
      <c r="CH678" s="22" t="str">
        <f t="shared" si="4231"/>
        <v/>
      </c>
      <c r="CI678" s="22" t="str">
        <f>IF(CJ678="","",MAX($CI$10:CI677)+1)</f>
        <v/>
      </c>
      <c r="CJ678" s="22" t="str">
        <f t="shared" si="4232"/>
        <v/>
      </c>
    </row>
    <row r="679" spans="2:88" x14ac:dyDescent="0.25">
      <c r="B679" s="37"/>
      <c r="C679" s="3"/>
      <c r="D679" s="77" t="str">
        <f t="shared" si="4218"/>
        <v/>
      </c>
      <c r="E679" s="38"/>
      <c r="F679" s="38"/>
      <c r="G679" s="78">
        <f t="shared" si="4233"/>
        <v>0</v>
      </c>
      <c r="H679" s="3">
        <v>80</v>
      </c>
      <c r="I679" s="77" t="str">
        <f t="shared" si="4219"/>
        <v/>
      </c>
      <c r="J679" s="32"/>
      <c r="K679" s="3"/>
      <c r="L679" s="39"/>
      <c r="M679" s="39"/>
      <c r="N679" s="39"/>
      <c r="O679" s="39"/>
      <c r="P679" s="39"/>
      <c r="Q679" s="39"/>
      <c r="R679" s="39"/>
      <c r="S679" s="39"/>
      <c r="T679" s="3" t="s">
        <v>645</v>
      </c>
      <c r="U679" s="77" t="str">
        <f t="shared" si="4220"/>
        <v/>
      </c>
      <c r="V679" s="39">
        <v>1</v>
      </c>
      <c r="W679" s="79">
        <f t="shared" si="4234"/>
        <v>0</v>
      </c>
      <c r="X679" s="3">
        <v>0</v>
      </c>
      <c r="Y679" s="77" t="str">
        <f t="shared" si="4221"/>
        <v/>
      </c>
      <c r="Z679" s="3"/>
      <c r="AA679" s="37" t="str">
        <f t="shared" si="4235"/>
        <v/>
      </c>
      <c r="AC679" s="40"/>
      <c r="AD679" s="7"/>
      <c r="AE679" s="77" t="str">
        <f t="shared" si="4222"/>
        <v/>
      </c>
      <c r="AF679" s="81">
        <f t="shared" si="4248"/>
        <v>0</v>
      </c>
      <c r="AG679" s="40"/>
      <c r="AH679" s="7"/>
      <c r="AI679" s="77" t="str">
        <f t="shared" si="4223"/>
        <v/>
      </c>
      <c r="AJ679" s="81">
        <f t="shared" si="4249"/>
        <v>0</v>
      </c>
      <c r="AK679" s="83">
        <f t="shared" si="4250"/>
        <v>0</v>
      </c>
      <c r="AL679" s="83">
        <f t="shared" si="4251"/>
        <v>0</v>
      </c>
      <c r="AN679" s="43">
        <f t="shared" si="4224"/>
        <v>0</v>
      </c>
      <c r="AP679" t="str">
        <f t="shared" si="4252"/>
        <v/>
      </c>
      <c r="AQ679" t="str">
        <f t="shared" si="4253"/>
        <v/>
      </c>
      <c r="AR679" t="str">
        <f t="shared" si="4254"/>
        <v/>
      </c>
      <c r="AS679" t="str">
        <f t="shared" si="4255"/>
        <v/>
      </c>
      <c r="AT679" t="str">
        <f t="shared" si="4256"/>
        <v/>
      </c>
      <c r="AU679" t="str">
        <f t="shared" si="4257"/>
        <v/>
      </c>
      <c r="AV679" t="str">
        <f t="shared" si="4258"/>
        <v/>
      </c>
      <c r="AW679" t="str">
        <f t="shared" si="4259"/>
        <v xml:space="preserve">                              </v>
      </c>
      <c r="AX679" s="23">
        <f t="shared" si="4260"/>
        <v>0</v>
      </c>
      <c r="AY679" s="49" t="str">
        <f t="shared" si="4236"/>
        <v>000000000000000</v>
      </c>
      <c r="AZ679" s="23">
        <f t="shared" si="4261"/>
        <v>0</v>
      </c>
      <c r="BA679" s="49" t="str">
        <f t="shared" si="4236"/>
        <v>000000000000000</v>
      </c>
      <c r="BB679" s="23">
        <f t="shared" si="4262"/>
        <v>0</v>
      </c>
      <c r="BC679" s="49" t="str">
        <f t="shared" ref="BC679" si="4431">IF(BB679&lt;0,SUBSTITUTE(TEXT(BB679,"000000000000,00"),",",""),SUBSTITUTE(TEXT(BB679,"0000000000000,00"),",",""))</f>
        <v>000000000000000</v>
      </c>
      <c r="BD679" s="23">
        <f t="shared" si="4264"/>
        <v>0</v>
      </c>
      <c r="BE679" s="49" t="str">
        <f t="shared" ref="BE679" si="4432">IF(BD679&lt;0,SUBSTITUTE(TEXT(BD679,"000000000000,00"),",",""),SUBSTITUTE(TEXT(BD679,"0000000000000,00"),",",""))</f>
        <v>000000000000000</v>
      </c>
      <c r="BF679" s="23">
        <f t="shared" si="4266"/>
        <v>0</v>
      </c>
      <c r="BG679" s="49" t="str">
        <f t="shared" ref="BG679" si="4433">IF(BF679&lt;0,SUBSTITUTE(TEXT(BF679,"000000000000,00"),",",""),SUBSTITUTE(TEXT(BF679,"0000000000000,00"),",",""))</f>
        <v>000000000000000</v>
      </c>
      <c r="BH679" s="23">
        <f t="shared" si="4268"/>
        <v>0</v>
      </c>
      <c r="BI679" s="49" t="str">
        <f t="shared" ref="BI679" si="4434">IF(BH679&lt;0,SUBSTITUTE(TEXT(BH679,"000000000000,00"),",",""),SUBSTITUTE(TEXT(BH679,"0000000000000,00"),",",""))</f>
        <v>000000000000000</v>
      </c>
      <c r="BJ679" s="23">
        <f t="shared" si="4270"/>
        <v>0</v>
      </c>
      <c r="BK679" s="49" t="str">
        <f t="shared" ref="BK679" si="4435">IF(BJ679&lt;0,SUBSTITUTE(TEXT(BJ679,"000000000000,00"),",",""),SUBSTITUTE(TEXT(BJ679,"0000000000000,00"),",",""))</f>
        <v>000000000000000</v>
      </c>
      <c r="BL679" s="23">
        <f t="shared" si="4272"/>
        <v>0</v>
      </c>
      <c r="BM679" s="49" t="str">
        <f t="shared" ref="BM679" si="4436">IF(BL679&lt;0,SUBSTITUTE(TEXT(BL679,"000000000000,00"),",",""),SUBSTITUTE(TEXT(BL679,"0000000000000,00"),",",""))</f>
        <v>000000000000000</v>
      </c>
      <c r="BN679" t="str">
        <f t="shared" si="4274"/>
        <v>PES</v>
      </c>
      <c r="BO679" t="str">
        <f t="shared" si="4275"/>
        <v>0001000000</v>
      </c>
      <c r="BP679">
        <f t="shared" si="4276"/>
        <v>0</v>
      </c>
      <c r="BQ679">
        <f t="shared" si="4277"/>
        <v>0</v>
      </c>
      <c r="BR679" s="23">
        <f t="shared" si="4278"/>
        <v>0</v>
      </c>
      <c r="BS679" s="49" t="str">
        <f t="shared" si="4243"/>
        <v>000000000000000</v>
      </c>
      <c r="BT679" t="str">
        <f t="shared" si="4279"/>
        <v>00000000</v>
      </c>
      <c r="BU679" s="23">
        <f t="shared" si="4280"/>
        <v>0</v>
      </c>
      <c r="BV679" s="49" t="str">
        <f t="shared" si="4244"/>
        <v/>
      </c>
      <c r="BW679" s="52" t="str">
        <f t="shared" si="4281"/>
        <v/>
      </c>
      <c r="BX679" s="23">
        <f t="shared" si="4282"/>
        <v>0</v>
      </c>
      <c r="BY679" s="49" t="str">
        <f t="shared" si="4245"/>
        <v/>
      </c>
      <c r="BZ679" s="23">
        <f t="shared" si="4283"/>
        <v>0</v>
      </c>
      <c r="CA679" s="49" t="str">
        <f t="shared" si="4246"/>
        <v/>
      </c>
      <c r="CB679" s="52" t="str">
        <f t="shared" si="4284"/>
        <v/>
      </c>
      <c r="CC679" s="23">
        <f t="shared" si="4285"/>
        <v>0</v>
      </c>
      <c r="CD679" s="49" t="str">
        <f t="shared" si="4247"/>
        <v/>
      </c>
      <c r="CE679" s="56" t="str">
        <f>IF(CF679="","",MAX(CE$10:$CE678)+1)</f>
        <v/>
      </c>
      <c r="CF679" t="str">
        <f t="shared" si="4286"/>
        <v/>
      </c>
      <c r="CG679" s="22" t="str">
        <f>IF(CH679="","",MAX($CG$10:CG678)+1)</f>
        <v/>
      </c>
      <c r="CH679" s="22" t="str">
        <f t="shared" si="4231"/>
        <v/>
      </c>
      <c r="CI679" s="22" t="str">
        <f>IF(CJ679="","",MAX($CI$10:CI678)+1)</f>
        <v/>
      </c>
      <c r="CJ679" s="22" t="str">
        <f t="shared" si="4232"/>
        <v/>
      </c>
    </row>
    <row r="680" spans="2:88" x14ac:dyDescent="0.25">
      <c r="B680" s="37"/>
      <c r="C680" s="3"/>
      <c r="D680" s="77" t="str">
        <f t="shared" si="4218"/>
        <v/>
      </c>
      <c r="E680" s="38"/>
      <c r="F680" s="38"/>
      <c r="G680" s="78">
        <f t="shared" si="4233"/>
        <v>0</v>
      </c>
      <c r="H680" s="3">
        <v>80</v>
      </c>
      <c r="I680" s="77" t="str">
        <f t="shared" si="4219"/>
        <v/>
      </c>
      <c r="J680" s="32"/>
      <c r="K680" s="3"/>
      <c r="L680" s="39"/>
      <c r="M680" s="39"/>
      <c r="N680" s="39"/>
      <c r="O680" s="39"/>
      <c r="P680" s="39"/>
      <c r="Q680" s="39"/>
      <c r="R680" s="39"/>
      <c r="S680" s="39"/>
      <c r="T680" s="3" t="s">
        <v>645</v>
      </c>
      <c r="U680" s="77" t="str">
        <f t="shared" si="4220"/>
        <v/>
      </c>
      <c r="V680" s="39">
        <v>1</v>
      </c>
      <c r="W680" s="79">
        <f t="shared" si="4234"/>
        <v>0</v>
      </c>
      <c r="X680" s="3">
        <v>0</v>
      </c>
      <c r="Y680" s="77" t="str">
        <f t="shared" si="4221"/>
        <v/>
      </c>
      <c r="Z680" s="3"/>
      <c r="AA680" s="37" t="str">
        <f t="shared" si="4235"/>
        <v/>
      </c>
      <c r="AC680" s="40"/>
      <c r="AD680" s="7"/>
      <c r="AE680" s="77" t="str">
        <f t="shared" si="4222"/>
        <v/>
      </c>
      <c r="AF680" s="81">
        <f t="shared" si="4248"/>
        <v>0</v>
      </c>
      <c r="AG680" s="40"/>
      <c r="AH680" s="7"/>
      <c r="AI680" s="77" t="str">
        <f t="shared" si="4223"/>
        <v/>
      </c>
      <c r="AJ680" s="81">
        <f t="shared" si="4249"/>
        <v>0</v>
      </c>
      <c r="AK680" s="83">
        <f t="shared" si="4250"/>
        <v>0</v>
      </c>
      <c r="AL680" s="83">
        <f t="shared" si="4251"/>
        <v>0</v>
      </c>
      <c r="AN680" s="43">
        <f t="shared" si="4224"/>
        <v>0</v>
      </c>
      <c r="AP680" t="str">
        <f t="shared" si="4252"/>
        <v/>
      </c>
      <c r="AQ680" t="str">
        <f t="shared" si="4253"/>
        <v/>
      </c>
      <c r="AR680" t="str">
        <f t="shared" si="4254"/>
        <v/>
      </c>
      <c r="AS680" t="str">
        <f t="shared" si="4255"/>
        <v/>
      </c>
      <c r="AT680" t="str">
        <f t="shared" si="4256"/>
        <v/>
      </c>
      <c r="AU680" t="str">
        <f t="shared" si="4257"/>
        <v/>
      </c>
      <c r="AV680" t="str">
        <f t="shared" si="4258"/>
        <v/>
      </c>
      <c r="AW680" t="str">
        <f t="shared" si="4259"/>
        <v xml:space="preserve">                              </v>
      </c>
      <c r="AX680" s="23">
        <f t="shared" si="4260"/>
        <v>0</v>
      </c>
      <c r="AY680" s="49" t="str">
        <f t="shared" si="4236"/>
        <v>000000000000000</v>
      </c>
      <c r="AZ680" s="23">
        <f t="shared" si="4261"/>
        <v>0</v>
      </c>
      <c r="BA680" s="49" t="str">
        <f t="shared" si="4236"/>
        <v>000000000000000</v>
      </c>
      <c r="BB680" s="23">
        <f t="shared" si="4262"/>
        <v>0</v>
      </c>
      <c r="BC680" s="49" t="str">
        <f t="shared" ref="BC680" si="4437">IF(BB680&lt;0,SUBSTITUTE(TEXT(BB680,"000000000000,00"),",",""),SUBSTITUTE(TEXT(BB680,"0000000000000,00"),",",""))</f>
        <v>000000000000000</v>
      </c>
      <c r="BD680" s="23">
        <f t="shared" si="4264"/>
        <v>0</v>
      </c>
      <c r="BE680" s="49" t="str">
        <f t="shared" ref="BE680" si="4438">IF(BD680&lt;0,SUBSTITUTE(TEXT(BD680,"000000000000,00"),",",""),SUBSTITUTE(TEXT(BD680,"0000000000000,00"),",",""))</f>
        <v>000000000000000</v>
      </c>
      <c r="BF680" s="23">
        <f t="shared" si="4266"/>
        <v>0</v>
      </c>
      <c r="BG680" s="49" t="str">
        <f t="shared" ref="BG680" si="4439">IF(BF680&lt;0,SUBSTITUTE(TEXT(BF680,"000000000000,00"),",",""),SUBSTITUTE(TEXT(BF680,"0000000000000,00"),",",""))</f>
        <v>000000000000000</v>
      </c>
      <c r="BH680" s="23">
        <f t="shared" si="4268"/>
        <v>0</v>
      </c>
      <c r="BI680" s="49" t="str">
        <f t="shared" ref="BI680" si="4440">IF(BH680&lt;0,SUBSTITUTE(TEXT(BH680,"000000000000,00"),",",""),SUBSTITUTE(TEXT(BH680,"0000000000000,00"),",",""))</f>
        <v>000000000000000</v>
      </c>
      <c r="BJ680" s="23">
        <f t="shared" si="4270"/>
        <v>0</v>
      </c>
      <c r="BK680" s="49" t="str">
        <f t="shared" ref="BK680" si="4441">IF(BJ680&lt;0,SUBSTITUTE(TEXT(BJ680,"000000000000,00"),",",""),SUBSTITUTE(TEXT(BJ680,"0000000000000,00"),",",""))</f>
        <v>000000000000000</v>
      </c>
      <c r="BL680" s="23">
        <f t="shared" si="4272"/>
        <v>0</v>
      </c>
      <c r="BM680" s="49" t="str">
        <f t="shared" ref="BM680" si="4442">IF(BL680&lt;0,SUBSTITUTE(TEXT(BL680,"000000000000,00"),",",""),SUBSTITUTE(TEXT(BL680,"0000000000000,00"),",",""))</f>
        <v>000000000000000</v>
      </c>
      <c r="BN680" t="str">
        <f t="shared" si="4274"/>
        <v>PES</v>
      </c>
      <c r="BO680" t="str">
        <f t="shared" si="4275"/>
        <v>0001000000</v>
      </c>
      <c r="BP680">
        <f t="shared" si="4276"/>
        <v>0</v>
      </c>
      <c r="BQ680">
        <f t="shared" si="4277"/>
        <v>0</v>
      </c>
      <c r="BR680" s="23">
        <f t="shared" si="4278"/>
        <v>0</v>
      </c>
      <c r="BS680" s="49" t="str">
        <f t="shared" si="4243"/>
        <v>000000000000000</v>
      </c>
      <c r="BT680" t="str">
        <f t="shared" si="4279"/>
        <v>00000000</v>
      </c>
      <c r="BU680" s="23">
        <f t="shared" si="4280"/>
        <v>0</v>
      </c>
      <c r="BV680" s="49" t="str">
        <f t="shared" si="4244"/>
        <v/>
      </c>
      <c r="BW680" s="52" t="str">
        <f t="shared" si="4281"/>
        <v/>
      </c>
      <c r="BX680" s="23">
        <f t="shared" si="4282"/>
        <v>0</v>
      </c>
      <c r="BY680" s="49" t="str">
        <f t="shared" si="4245"/>
        <v/>
      </c>
      <c r="BZ680" s="23">
        <f t="shared" si="4283"/>
        <v>0</v>
      </c>
      <c r="CA680" s="49" t="str">
        <f t="shared" si="4246"/>
        <v/>
      </c>
      <c r="CB680" s="52" t="str">
        <f t="shared" si="4284"/>
        <v/>
      </c>
      <c r="CC680" s="23">
        <f t="shared" si="4285"/>
        <v>0</v>
      </c>
      <c r="CD680" s="49" t="str">
        <f t="shared" si="4247"/>
        <v/>
      </c>
      <c r="CE680" s="56" t="str">
        <f>IF(CF680="","",MAX(CE$10:$CE679)+1)</f>
        <v/>
      </c>
      <c r="CF680" t="str">
        <f t="shared" si="4286"/>
        <v/>
      </c>
      <c r="CG680" s="22" t="str">
        <f>IF(CH680="","",MAX($CG$10:CG679)+1)</f>
        <v/>
      </c>
      <c r="CH680" s="22" t="str">
        <f t="shared" si="4231"/>
        <v/>
      </c>
      <c r="CI680" s="22" t="str">
        <f>IF(CJ680="","",MAX($CI$10:CI679)+1)</f>
        <v/>
      </c>
      <c r="CJ680" s="22" t="str">
        <f t="shared" si="4232"/>
        <v/>
      </c>
    </row>
    <row r="681" spans="2:88" x14ac:dyDescent="0.25">
      <c r="B681" s="37"/>
      <c r="C681" s="3"/>
      <c r="D681" s="77" t="str">
        <f t="shared" si="4218"/>
        <v/>
      </c>
      <c r="E681" s="38"/>
      <c r="F681" s="38"/>
      <c r="G681" s="78">
        <f t="shared" si="4233"/>
        <v>0</v>
      </c>
      <c r="H681" s="3">
        <v>80</v>
      </c>
      <c r="I681" s="77" t="str">
        <f t="shared" si="4219"/>
        <v/>
      </c>
      <c r="J681" s="32"/>
      <c r="K681" s="3"/>
      <c r="L681" s="39"/>
      <c r="M681" s="39"/>
      <c r="N681" s="39"/>
      <c r="O681" s="39"/>
      <c r="P681" s="39"/>
      <c r="Q681" s="39"/>
      <c r="R681" s="39"/>
      <c r="S681" s="39"/>
      <c r="T681" s="3" t="s">
        <v>645</v>
      </c>
      <c r="U681" s="77" t="str">
        <f t="shared" si="4220"/>
        <v/>
      </c>
      <c r="V681" s="39">
        <v>1</v>
      </c>
      <c r="W681" s="79">
        <f t="shared" si="4234"/>
        <v>0</v>
      </c>
      <c r="X681" s="3">
        <v>0</v>
      </c>
      <c r="Y681" s="77" t="str">
        <f t="shared" si="4221"/>
        <v/>
      </c>
      <c r="Z681" s="3"/>
      <c r="AA681" s="37" t="str">
        <f t="shared" si="4235"/>
        <v/>
      </c>
      <c r="AC681" s="40"/>
      <c r="AD681" s="7"/>
      <c r="AE681" s="77" t="str">
        <f t="shared" si="4222"/>
        <v/>
      </c>
      <c r="AF681" s="81">
        <f t="shared" si="4248"/>
        <v>0</v>
      </c>
      <c r="AG681" s="40"/>
      <c r="AH681" s="7"/>
      <c r="AI681" s="77" t="str">
        <f t="shared" si="4223"/>
        <v/>
      </c>
      <c r="AJ681" s="81">
        <f t="shared" si="4249"/>
        <v>0</v>
      </c>
      <c r="AK681" s="83">
        <f t="shared" si="4250"/>
        <v>0</v>
      </c>
      <c r="AL681" s="83">
        <f t="shared" si="4251"/>
        <v>0</v>
      </c>
      <c r="AN681" s="43">
        <f t="shared" si="4224"/>
        <v>0</v>
      </c>
      <c r="AP681" t="str">
        <f t="shared" si="4252"/>
        <v/>
      </c>
      <c r="AQ681" t="str">
        <f t="shared" si="4253"/>
        <v/>
      </c>
      <c r="AR681" t="str">
        <f t="shared" si="4254"/>
        <v/>
      </c>
      <c r="AS681" t="str">
        <f t="shared" si="4255"/>
        <v/>
      </c>
      <c r="AT681" t="str">
        <f t="shared" si="4256"/>
        <v/>
      </c>
      <c r="AU681" t="str">
        <f t="shared" si="4257"/>
        <v/>
      </c>
      <c r="AV681" t="str">
        <f t="shared" si="4258"/>
        <v/>
      </c>
      <c r="AW681" t="str">
        <f t="shared" si="4259"/>
        <v xml:space="preserve">                              </v>
      </c>
      <c r="AX681" s="23">
        <f t="shared" si="4260"/>
        <v>0</v>
      </c>
      <c r="AY681" s="49" t="str">
        <f t="shared" si="4236"/>
        <v>000000000000000</v>
      </c>
      <c r="AZ681" s="23">
        <f t="shared" si="4261"/>
        <v>0</v>
      </c>
      <c r="BA681" s="49" t="str">
        <f t="shared" si="4236"/>
        <v>000000000000000</v>
      </c>
      <c r="BB681" s="23">
        <f t="shared" si="4262"/>
        <v>0</v>
      </c>
      <c r="BC681" s="49" t="str">
        <f t="shared" ref="BC681" si="4443">IF(BB681&lt;0,SUBSTITUTE(TEXT(BB681,"000000000000,00"),",",""),SUBSTITUTE(TEXT(BB681,"0000000000000,00"),",",""))</f>
        <v>000000000000000</v>
      </c>
      <c r="BD681" s="23">
        <f t="shared" si="4264"/>
        <v>0</v>
      </c>
      <c r="BE681" s="49" t="str">
        <f t="shared" ref="BE681" si="4444">IF(BD681&lt;0,SUBSTITUTE(TEXT(BD681,"000000000000,00"),",",""),SUBSTITUTE(TEXT(BD681,"0000000000000,00"),",",""))</f>
        <v>000000000000000</v>
      </c>
      <c r="BF681" s="23">
        <f t="shared" si="4266"/>
        <v>0</v>
      </c>
      <c r="BG681" s="49" t="str">
        <f t="shared" ref="BG681" si="4445">IF(BF681&lt;0,SUBSTITUTE(TEXT(BF681,"000000000000,00"),",",""),SUBSTITUTE(TEXT(BF681,"0000000000000,00"),",",""))</f>
        <v>000000000000000</v>
      </c>
      <c r="BH681" s="23">
        <f t="shared" si="4268"/>
        <v>0</v>
      </c>
      <c r="BI681" s="49" t="str">
        <f t="shared" ref="BI681" si="4446">IF(BH681&lt;0,SUBSTITUTE(TEXT(BH681,"000000000000,00"),",",""),SUBSTITUTE(TEXT(BH681,"0000000000000,00"),",",""))</f>
        <v>000000000000000</v>
      </c>
      <c r="BJ681" s="23">
        <f t="shared" si="4270"/>
        <v>0</v>
      </c>
      <c r="BK681" s="49" t="str">
        <f t="shared" ref="BK681" si="4447">IF(BJ681&lt;0,SUBSTITUTE(TEXT(BJ681,"000000000000,00"),",",""),SUBSTITUTE(TEXT(BJ681,"0000000000000,00"),",",""))</f>
        <v>000000000000000</v>
      </c>
      <c r="BL681" s="23">
        <f t="shared" si="4272"/>
        <v>0</v>
      </c>
      <c r="BM681" s="49" t="str">
        <f t="shared" ref="BM681" si="4448">IF(BL681&lt;0,SUBSTITUTE(TEXT(BL681,"000000000000,00"),",",""),SUBSTITUTE(TEXT(BL681,"0000000000000,00"),",",""))</f>
        <v>000000000000000</v>
      </c>
      <c r="BN681" t="str">
        <f t="shared" si="4274"/>
        <v>PES</v>
      </c>
      <c r="BO681" t="str">
        <f t="shared" si="4275"/>
        <v>0001000000</v>
      </c>
      <c r="BP681">
        <f t="shared" si="4276"/>
        <v>0</v>
      </c>
      <c r="BQ681">
        <f t="shared" si="4277"/>
        <v>0</v>
      </c>
      <c r="BR681" s="23">
        <f t="shared" si="4278"/>
        <v>0</v>
      </c>
      <c r="BS681" s="49" t="str">
        <f t="shared" si="4243"/>
        <v>000000000000000</v>
      </c>
      <c r="BT681" t="str">
        <f t="shared" si="4279"/>
        <v>00000000</v>
      </c>
      <c r="BU681" s="23">
        <f t="shared" si="4280"/>
        <v>0</v>
      </c>
      <c r="BV681" s="49" t="str">
        <f t="shared" si="4244"/>
        <v/>
      </c>
      <c r="BW681" s="52" t="str">
        <f t="shared" si="4281"/>
        <v/>
      </c>
      <c r="BX681" s="23">
        <f t="shared" si="4282"/>
        <v>0</v>
      </c>
      <c r="BY681" s="49" t="str">
        <f t="shared" si="4245"/>
        <v/>
      </c>
      <c r="BZ681" s="23">
        <f t="shared" si="4283"/>
        <v>0</v>
      </c>
      <c r="CA681" s="49" t="str">
        <f t="shared" si="4246"/>
        <v/>
      </c>
      <c r="CB681" s="52" t="str">
        <f t="shared" si="4284"/>
        <v/>
      </c>
      <c r="CC681" s="23">
        <f t="shared" si="4285"/>
        <v>0</v>
      </c>
      <c r="CD681" s="49" t="str">
        <f t="shared" si="4247"/>
        <v/>
      </c>
      <c r="CE681" s="56" t="str">
        <f>IF(CF681="","",MAX(CE$10:$CE680)+1)</f>
        <v/>
      </c>
      <c r="CF681" t="str">
        <f t="shared" si="4286"/>
        <v/>
      </c>
      <c r="CG681" s="22" t="str">
        <f>IF(CH681="","",MAX($CG$10:CG680)+1)</f>
        <v/>
      </c>
      <c r="CH681" s="22" t="str">
        <f t="shared" si="4231"/>
        <v/>
      </c>
      <c r="CI681" s="22" t="str">
        <f>IF(CJ681="","",MAX($CI$10:CI680)+1)</f>
        <v/>
      </c>
      <c r="CJ681" s="22" t="str">
        <f t="shared" si="4232"/>
        <v/>
      </c>
    </row>
    <row r="682" spans="2:88" x14ac:dyDescent="0.25">
      <c r="B682" s="37"/>
      <c r="C682" s="3"/>
      <c r="D682" s="77" t="str">
        <f t="shared" si="4218"/>
        <v/>
      </c>
      <c r="E682" s="38"/>
      <c r="F682" s="38"/>
      <c r="G682" s="78">
        <f t="shared" si="4233"/>
        <v>0</v>
      </c>
      <c r="H682" s="3">
        <v>80</v>
      </c>
      <c r="I682" s="77" t="str">
        <f t="shared" si="4219"/>
        <v/>
      </c>
      <c r="J682" s="32"/>
      <c r="K682" s="3"/>
      <c r="L682" s="39"/>
      <c r="M682" s="39"/>
      <c r="N682" s="39"/>
      <c r="O682" s="39"/>
      <c r="P682" s="39"/>
      <c r="Q682" s="39"/>
      <c r="R682" s="39"/>
      <c r="S682" s="39"/>
      <c r="T682" s="3" t="s">
        <v>645</v>
      </c>
      <c r="U682" s="77" t="str">
        <f t="shared" si="4220"/>
        <v/>
      </c>
      <c r="V682" s="39">
        <v>1</v>
      </c>
      <c r="W682" s="79">
        <f t="shared" si="4234"/>
        <v>0</v>
      </c>
      <c r="X682" s="3">
        <v>0</v>
      </c>
      <c r="Y682" s="77" t="str">
        <f t="shared" si="4221"/>
        <v/>
      </c>
      <c r="Z682" s="3"/>
      <c r="AA682" s="37" t="str">
        <f t="shared" si="4235"/>
        <v/>
      </c>
      <c r="AC682" s="40"/>
      <c r="AD682" s="7"/>
      <c r="AE682" s="77" t="str">
        <f t="shared" si="4222"/>
        <v/>
      </c>
      <c r="AF682" s="81">
        <f t="shared" si="4248"/>
        <v>0</v>
      </c>
      <c r="AG682" s="40"/>
      <c r="AH682" s="7"/>
      <c r="AI682" s="77" t="str">
        <f t="shared" si="4223"/>
        <v/>
      </c>
      <c r="AJ682" s="81">
        <f t="shared" si="4249"/>
        <v>0</v>
      </c>
      <c r="AK682" s="83">
        <f t="shared" si="4250"/>
        <v>0</v>
      </c>
      <c r="AL682" s="83">
        <f t="shared" si="4251"/>
        <v>0</v>
      </c>
      <c r="AN682" s="43">
        <f t="shared" si="4224"/>
        <v>0</v>
      </c>
      <c r="AP682" t="str">
        <f t="shared" si="4252"/>
        <v/>
      </c>
      <c r="AQ682" t="str">
        <f t="shared" si="4253"/>
        <v/>
      </c>
      <c r="AR682" t="str">
        <f t="shared" si="4254"/>
        <v/>
      </c>
      <c r="AS682" t="str">
        <f t="shared" si="4255"/>
        <v/>
      </c>
      <c r="AT682" t="str">
        <f t="shared" si="4256"/>
        <v/>
      </c>
      <c r="AU682" t="str">
        <f t="shared" si="4257"/>
        <v/>
      </c>
      <c r="AV682" t="str">
        <f t="shared" si="4258"/>
        <v/>
      </c>
      <c r="AW682" t="str">
        <f t="shared" si="4259"/>
        <v xml:space="preserve">                              </v>
      </c>
      <c r="AX682" s="23">
        <f t="shared" si="4260"/>
        <v>0</v>
      </c>
      <c r="AY682" s="49" t="str">
        <f t="shared" si="4236"/>
        <v>000000000000000</v>
      </c>
      <c r="AZ682" s="23">
        <f t="shared" si="4261"/>
        <v>0</v>
      </c>
      <c r="BA682" s="49" t="str">
        <f t="shared" si="4236"/>
        <v>000000000000000</v>
      </c>
      <c r="BB682" s="23">
        <f t="shared" si="4262"/>
        <v>0</v>
      </c>
      <c r="BC682" s="49" t="str">
        <f t="shared" ref="BC682" si="4449">IF(BB682&lt;0,SUBSTITUTE(TEXT(BB682,"000000000000,00"),",",""),SUBSTITUTE(TEXT(BB682,"0000000000000,00"),",",""))</f>
        <v>000000000000000</v>
      </c>
      <c r="BD682" s="23">
        <f t="shared" si="4264"/>
        <v>0</v>
      </c>
      <c r="BE682" s="49" t="str">
        <f t="shared" ref="BE682" si="4450">IF(BD682&lt;0,SUBSTITUTE(TEXT(BD682,"000000000000,00"),",",""),SUBSTITUTE(TEXT(BD682,"0000000000000,00"),",",""))</f>
        <v>000000000000000</v>
      </c>
      <c r="BF682" s="23">
        <f t="shared" si="4266"/>
        <v>0</v>
      </c>
      <c r="BG682" s="49" t="str">
        <f t="shared" ref="BG682" si="4451">IF(BF682&lt;0,SUBSTITUTE(TEXT(BF682,"000000000000,00"),",",""),SUBSTITUTE(TEXT(BF682,"0000000000000,00"),",",""))</f>
        <v>000000000000000</v>
      </c>
      <c r="BH682" s="23">
        <f t="shared" si="4268"/>
        <v>0</v>
      </c>
      <c r="BI682" s="49" t="str">
        <f t="shared" ref="BI682" si="4452">IF(BH682&lt;0,SUBSTITUTE(TEXT(BH682,"000000000000,00"),",",""),SUBSTITUTE(TEXT(BH682,"0000000000000,00"),",",""))</f>
        <v>000000000000000</v>
      </c>
      <c r="BJ682" s="23">
        <f t="shared" si="4270"/>
        <v>0</v>
      </c>
      <c r="BK682" s="49" t="str">
        <f t="shared" ref="BK682" si="4453">IF(BJ682&lt;0,SUBSTITUTE(TEXT(BJ682,"000000000000,00"),",",""),SUBSTITUTE(TEXT(BJ682,"0000000000000,00"),",",""))</f>
        <v>000000000000000</v>
      </c>
      <c r="BL682" s="23">
        <f t="shared" si="4272"/>
        <v>0</v>
      </c>
      <c r="BM682" s="49" t="str">
        <f t="shared" ref="BM682" si="4454">IF(BL682&lt;0,SUBSTITUTE(TEXT(BL682,"000000000000,00"),",",""),SUBSTITUTE(TEXT(BL682,"0000000000000,00"),",",""))</f>
        <v>000000000000000</v>
      </c>
      <c r="BN682" t="str">
        <f t="shared" si="4274"/>
        <v>PES</v>
      </c>
      <c r="BO682" t="str">
        <f t="shared" si="4275"/>
        <v>0001000000</v>
      </c>
      <c r="BP682">
        <f t="shared" si="4276"/>
        <v>0</v>
      </c>
      <c r="BQ682">
        <f t="shared" si="4277"/>
        <v>0</v>
      </c>
      <c r="BR682" s="23">
        <f t="shared" si="4278"/>
        <v>0</v>
      </c>
      <c r="BS682" s="49" t="str">
        <f t="shared" si="4243"/>
        <v>000000000000000</v>
      </c>
      <c r="BT682" t="str">
        <f t="shared" si="4279"/>
        <v>00000000</v>
      </c>
      <c r="BU682" s="23">
        <f t="shared" si="4280"/>
        <v>0</v>
      </c>
      <c r="BV682" s="49" t="str">
        <f t="shared" si="4244"/>
        <v/>
      </c>
      <c r="BW682" s="52" t="str">
        <f t="shared" si="4281"/>
        <v/>
      </c>
      <c r="BX682" s="23">
        <f t="shared" si="4282"/>
        <v>0</v>
      </c>
      <c r="BY682" s="49" t="str">
        <f t="shared" si="4245"/>
        <v/>
      </c>
      <c r="BZ682" s="23">
        <f t="shared" si="4283"/>
        <v>0</v>
      </c>
      <c r="CA682" s="49" t="str">
        <f t="shared" si="4246"/>
        <v/>
      </c>
      <c r="CB682" s="52" t="str">
        <f t="shared" si="4284"/>
        <v/>
      </c>
      <c r="CC682" s="23">
        <f t="shared" si="4285"/>
        <v>0</v>
      </c>
      <c r="CD682" s="49" t="str">
        <f t="shared" si="4247"/>
        <v/>
      </c>
      <c r="CE682" s="56" t="str">
        <f>IF(CF682="","",MAX(CE$10:$CE681)+1)</f>
        <v/>
      </c>
      <c r="CF682" t="str">
        <f t="shared" si="4286"/>
        <v/>
      </c>
      <c r="CG682" s="22" t="str">
        <f>IF(CH682="","",MAX($CG$10:CG681)+1)</f>
        <v/>
      </c>
      <c r="CH682" s="22" t="str">
        <f t="shared" si="4231"/>
        <v/>
      </c>
      <c r="CI682" s="22" t="str">
        <f>IF(CJ682="","",MAX($CI$10:CI681)+1)</f>
        <v/>
      </c>
      <c r="CJ682" s="22" t="str">
        <f t="shared" si="4232"/>
        <v/>
      </c>
    </row>
    <row r="683" spans="2:88" x14ac:dyDescent="0.25">
      <c r="B683" s="37"/>
      <c r="C683" s="3"/>
      <c r="D683" s="77" t="str">
        <f t="shared" si="4218"/>
        <v/>
      </c>
      <c r="E683" s="38"/>
      <c r="F683" s="38"/>
      <c r="G683" s="78">
        <f t="shared" si="4233"/>
        <v>0</v>
      </c>
      <c r="H683" s="3">
        <v>80</v>
      </c>
      <c r="I683" s="77" t="str">
        <f t="shared" si="4219"/>
        <v/>
      </c>
      <c r="J683" s="32"/>
      <c r="K683" s="3"/>
      <c r="L683" s="39"/>
      <c r="M683" s="39"/>
      <c r="N683" s="39"/>
      <c r="O683" s="39"/>
      <c r="P683" s="39"/>
      <c r="Q683" s="39"/>
      <c r="R683" s="39"/>
      <c r="S683" s="39"/>
      <c r="T683" s="3" t="s">
        <v>645</v>
      </c>
      <c r="U683" s="77" t="str">
        <f t="shared" si="4220"/>
        <v/>
      </c>
      <c r="V683" s="39">
        <v>1</v>
      </c>
      <c r="W683" s="79">
        <f t="shared" si="4234"/>
        <v>0</v>
      </c>
      <c r="X683" s="3">
        <v>0</v>
      </c>
      <c r="Y683" s="77" t="str">
        <f t="shared" si="4221"/>
        <v/>
      </c>
      <c r="Z683" s="3"/>
      <c r="AA683" s="37" t="str">
        <f t="shared" si="4235"/>
        <v/>
      </c>
      <c r="AC683" s="40"/>
      <c r="AD683" s="7"/>
      <c r="AE683" s="77" t="str">
        <f t="shared" si="4222"/>
        <v/>
      </c>
      <c r="AF683" s="81">
        <f t="shared" si="4248"/>
        <v>0</v>
      </c>
      <c r="AG683" s="40"/>
      <c r="AH683" s="7"/>
      <c r="AI683" s="77" t="str">
        <f t="shared" si="4223"/>
        <v/>
      </c>
      <c r="AJ683" s="81">
        <f t="shared" si="4249"/>
        <v>0</v>
      </c>
      <c r="AK683" s="83">
        <f t="shared" si="4250"/>
        <v>0</v>
      </c>
      <c r="AL683" s="83">
        <f t="shared" si="4251"/>
        <v>0</v>
      </c>
      <c r="AN683" s="43">
        <f t="shared" si="4224"/>
        <v>0</v>
      </c>
      <c r="AP683" t="str">
        <f t="shared" si="4252"/>
        <v/>
      </c>
      <c r="AQ683" t="str">
        <f t="shared" si="4253"/>
        <v/>
      </c>
      <c r="AR683" t="str">
        <f t="shared" si="4254"/>
        <v/>
      </c>
      <c r="AS683" t="str">
        <f t="shared" si="4255"/>
        <v/>
      </c>
      <c r="AT683" t="str">
        <f t="shared" si="4256"/>
        <v/>
      </c>
      <c r="AU683" t="str">
        <f t="shared" si="4257"/>
        <v/>
      </c>
      <c r="AV683" t="str">
        <f t="shared" si="4258"/>
        <v/>
      </c>
      <c r="AW683" t="str">
        <f t="shared" si="4259"/>
        <v xml:space="preserve">                              </v>
      </c>
      <c r="AX683" s="23">
        <f t="shared" si="4260"/>
        <v>0</v>
      </c>
      <c r="AY683" s="49" t="str">
        <f t="shared" si="4236"/>
        <v>000000000000000</v>
      </c>
      <c r="AZ683" s="23">
        <f t="shared" si="4261"/>
        <v>0</v>
      </c>
      <c r="BA683" s="49" t="str">
        <f t="shared" si="4236"/>
        <v>000000000000000</v>
      </c>
      <c r="BB683" s="23">
        <f t="shared" si="4262"/>
        <v>0</v>
      </c>
      <c r="BC683" s="49" t="str">
        <f t="shared" ref="BC683" si="4455">IF(BB683&lt;0,SUBSTITUTE(TEXT(BB683,"000000000000,00"),",",""),SUBSTITUTE(TEXT(BB683,"0000000000000,00"),",",""))</f>
        <v>000000000000000</v>
      </c>
      <c r="BD683" s="23">
        <f t="shared" si="4264"/>
        <v>0</v>
      </c>
      <c r="BE683" s="49" t="str">
        <f t="shared" ref="BE683" si="4456">IF(BD683&lt;0,SUBSTITUTE(TEXT(BD683,"000000000000,00"),",",""),SUBSTITUTE(TEXT(BD683,"0000000000000,00"),",",""))</f>
        <v>000000000000000</v>
      </c>
      <c r="BF683" s="23">
        <f t="shared" si="4266"/>
        <v>0</v>
      </c>
      <c r="BG683" s="49" t="str">
        <f t="shared" ref="BG683" si="4457">IF(BF683&lt;0,SUBSTITUTE(TEXT(BF683,"000000000000,00"),",",""),SUBSTITUTE(TEXT(BF683,"0000000000000,00"),",",""))</f>
        <v>000000000000000</v>
      </c>
      <c r="BH683" s="23">
        <f t="shared" si="4268"/>
        <v>0</v>
      </c>
      <c r="BI683" s="49" t="str">
        <f t="shared" ref="BI683" si="4458">IF(BH683&lt;0,SUBSTITUTE(TEXT(BH683,"000000000000,00"),",",""),SUBSTITUTE(TEXT(BH683,"0000000000000,00"),",",""))</f>
        <v>000000000000000</v>
      </c>
      <c r="BJ683" s="23">
        <f t="shared" si="4270"/>
        <v>0</v>
      </c>
      <c r="BK683" s="49" t="str">
        <f t="shared" ref="BK683" si="4459">IF(BJ683&lt;0,SUBSTITUTE(TEXT(BJ683,"000000000000,00"),",",""),SUBSTITUTE(TEXT(BJ683,"0000000000000,00"),",",""))</f>
        <v>000000000000000</v>
      </c>
      <c r="BL683" s="23">
        <f t="shared" si="4272"/>
        <v>0</v>
      </c>
      <c r="BM683" s="49" t="str">
        <f t="shared" ref="BM683" si="4460">IF(BL683&lt;0,SUBSTITUTE(TEXT(BL683,"000000000000,00"),",",""),SUBSTITUTE(TEXT(BL683,"0000000000000,00"),",",""))</f>
        <v>000000000000000</v>
      </c>
      <c r="BN683" t="str">
        <f t="shared" si="4274"/>
        <v>PES</v>
      </c>
      <c r="BO683" t="str">
        <f t="shared" si="4275"/>
        <v>0001000000</v>
      </c>
      <c r="BP683">
        <f t="shared" si="4276"/>
        <v>0</v>
      </c>
      <c r="BQ683">
        <f t="shared" si="4277"/>
        <v>0</v>
      </c>
      <c r="BR683" s="23">
        <f t="shared" si="4278"/>
        <v>0</v>
      </c>
      <c r="BS683" s="49" t="str">
        <f t="shared" si="4243"/>
        <v>000000000000000</v>
      </c>
      <c r="BT683" t="str">
        <f t="shared" si="4279"/>
        <v>00000000</v>
      </c>
      <c r="BU683" s="23">
        <f t="shared" si="4280"/>
        <v>0</v>
      </c>
      <c r="BV683" s="49" t="str">
        <f t="shared" si="4244"/>
        <v/>
      </c>
      <c r="BW683" s="52" t="str">
        <f t="shared" si="4281"/>
        <v/>
      </c>
      <c r="BX683" s="23">
        <f t="shared" si="4282"/>
        <v>0</v>
      </c>
      <c r="BY683" s="49" t="str">
        <f t="shared" si="4245"/>
        <v/>
      </c>
      <c r="BZ683" s="23">
        <f t="shared" si="4283"/>
        <v>0</v>
      </c>
      <c r="CA683" s="49" t="str">
        <f t="shared" si="4246"/>
        <v/>
      </c>
      <c r="CB683" s="52" t="str">
        <f t="shared" si="4284"/>
        <v/>
      </c>
      <c r="CC683" s="23">
        <f t="shared" si="4285"/>
        <v>0</v>
      </c>
      <c r="CD683" s="49" t="str">
        <f t="shared" si="4247"/>
        <v/>
      </c>
      <c r="CE683" s="56" t="str">
        <f>IF(CF683="","",MAX(CE$10:$CE682)+1)</f>
        <v/>
      </c>
      <c r="CF683" t="str">
        <f t="shared" si="4286"/>
        <v/>
      </c>
      <c r="CG683" s="22" t="str">
        <f>IF(CH683="","",MAX($CG$10:CG682)+1)</f>
        <v/>
      </c>
      <c r="CH683" s="22" t="str">
        <f t="shared" si="4231"/>
        <v/>
      </c>
      <c r="CI683" s="22" t="str">
        <f>IF(CJ683="","",MAX($CI$10:CI682)+1)</f>
        <v/>
      </c>
      <c r="CJ683" s="22" t="str">
        <f t="shared" si="4232"/>
        <v/>
      </c>
    </row>
    <row r="684" spans="2:88" x14ac:dyDescent="0.25">
      <c r="B684" s="37"/>
      <c r="C684" s="3"/>
      <c r="D684" s="77" t="str">
        <f t="shared" si="4218"/>
        <v/>
      </c>
      <c r="E684" s="38"/>
      <c r="F684" s="38"/>
      <c r="G684" s="78">
        <f t="shared" si="4233"/>
        <v>0</v>
      </c>
      <c r="H684" s="3">
        <v>80</v>
      </c>
      <c r="I684" s="77" t="str">
        <f t="shared" si="4219"/>
        <v/>
      </c>
      <c r="J684" s="32"/>
      <c r="K684" s="3"/>
      <c r="L684" s="39"/>
      <c r="M684" s="39"/>
      <c r="N684" s="39"/>
      <c r="O684" s="39"/>
      <c r="P684" s="39"/>
      <c r="Q684" s="39"/>
      <c r="R684" s="39"/>
      <c r="S684" s="39"/>
      <c r="T684" s="3" t="s">
        <v>645</v>
      </c>
      <c r="U684" s="77" t="str">
        <f t="shared" si="4220"/>
        <v/>
      </c>
      <c r="V684" s="39">
        <v>1</v>
      </c>
      <c r="W684" s="79">
        <f t="shared" si="4234"/>
        <v>0</v>
      </c>
      <c r="X684" s="3">
        <v>0</v>
      </c>
      <c r="Y684" s="77" t="str">
        <f t="shared" si="4221"/>
        <v/>
      </c>
      <c r="Z684" s="3"/>
      <c r="AA684" s="37" t="str">
        <f t="shared" si="4235"/>
        <v/>
      </c>
      <c r="AC684" s="40"/>
      <c r="AD684" s="7"/>
      <c r="AE684" s="77" t="str">
        <f t="shared" si="4222"/>
        <v/>
      </c>
      <c r="AF684" s="81">
        <f t="shared" si="4248"/>
        <v>0</v>
      </c>
      <c r="AG684" s="40"/>
      <c r="AH684" s="7"/>
      <c r="AI684" s="77" t="str">
        <f t="shared" si="4223"/>
        <v/>
      </c>
      <c r="AJ684" s="81">
        <f t="shared" si="4249"/>
        <v>0</v>
      </c>
      <c r="AK684" s="83">
        <f t="shared" si="4250"/>
        <v>0</v>
      </c>
      <c r="AL684" s="83">
        <f t="shared" si="4251"/>
        <v>0</v>
      </c>
      <c r="AN684" s="43">
        <f t="shared" si="4224"/>
        <v>0</v>
      </c>
      <c r="AP684" t="str">
        <f t="shared" si="4252"/>
        <v/>
      </c>
      <c r="AQ684" t="str">
        <f t="shared" si="4253"/>
        <v/>
      </c>
      <c r="AR684" t="str">
        <f t="shared" si="4254"/>
        <v/>
      </c>
      <c r="AS684" t="str">
        <f t="shared" si="4255"/>
        <v/>
      </c>
      <c r="AT684" t="str">
        <f t="shared" si="4256"/>
        <v/>
      </c>
      <c r="AU684" t="str">
        <f t="shared" si="4257"/>
        <v/>
      </c>
      <c r="AV684" t="str">
        <f t="shared" si="4258"/>
        <v/>
      </c>
      <c r="AW684" t="str">
        <f t="shared" si="4259"/>
        <v xml:space="preserve">                              </v>
      </c>
      <c r="AX684" s="23">
        <f t="shared" si="4260"/>
        <v>0</v>
      </c>
      <c r="AY684" s="49" t="str">
        <f t="shared" si="4236"/>
        <v>000000000000000</v>
      </c>
      <c r="AZ684" s="23">
        <f t="shared" si="4261"/>
        <v>0</v>
      </c>
      <c r="BA684" s="49" t="str">
        <f t="shared" si="4236"/>
        <v>000000000000000</v>
      </c>
      <c r="BB684" s="23">
        <f t="shared" si="4262"/>
        <v>0</v>
      </c>
      <c r="BC684" s="49" t="str">
        <f t="shared" ref="BC684" si="4461">IF(BB684&lt;0,SUBSTITUTE(TEXT(BB684,"000000000000,00"),",",""),SUBSTITUTE(TEXT(BB684,"0000000000000,00"),",",""))</f>
        <v>000000000000000</v>
      </c>
      <c r="BD684" s="23">
        <f t="shared" si="4264"/>
        <v>0</v>
      </c>
      <c r="BE684" s="49" t="str">
        <f t="shared" ref="BE684" si="4462">IF(BD684&lt;0,SUBSTITUTE(TEXT(BD684,"000000000000,00"),",",""),SUBSTITUTE(TEXT(BD684,"0000000000000,00"),",",""))</f>
        <v>000000000000000</v>
      </c>
      <c r="BF684" s="23">
        <f t="shared" si="4266"/>
        <v>0</v>
      </c>
      <c r="BG684" s="49" t="str">
        <f t="shared" ref="BG684" si="4463">IF(BF684&lt;0,SUBSTITUTE(TEXT(BF684,"000000000000,00"),",",""),SUBSTITUTE(TEXT(BF684,"0000000000000,00"),",",""))</f>
        <v>000000000000000</v>
      </c>
      <c r="BH684" s="23">
        <f t="shared" si="4268"/>
        <v>0</v>
      </c>
      <c r="BI684" s="49" t="str">
        <f t="shared" ref="BI684" si="4464">IF(BH684&lt;0,SUBSTITUTE(TEXT(BH684,"000000000000,00"),",",""),SUBSTITUTE(TEXT(BH684,"0000000000000,00"),",",""))</f>
        <v>000000000000000</v>
      </c>
      <c r="BJ684" s="23">
        <f t="shared" si="4270"/>
        <v>0</v>
      </c>
      <c r="BK684" s="49" t="str">
        <f t="shared" ref="BK684" si="4465">IF(BJ684&lt;0,SUBSTITUTE(TEXT(BJ684,"000000000000,00"),",",""),SUBSTITUTE(TEXT(BJ684,"0000000000000,00"),",",""))</f>
        <v>000000000000000</v>
      </c>
      <c r="BL684" s="23">
        <f t="shared" si="4272"/>
        <v>0</v>
      </c>
      <c r="BM684" s="49" t="str">
        <f t="shared" ref="BM684" si="4466">IF(BL684&lt;0,SUBSTITUTE(TEXT(BL684,"000000000000,00"),",",""),SUBSTITUTE(TEXT(BL684,"0000000000000,00"),",",""))</f>
        <v>000000000000000</v>
      </c>
      <c r="BN684" t="str">
        <f t="shared" si="4274"/>
        <v>PES</v>
      </c>
      <c r="BO684" t="str">
        <f t="shared" si="4275"/>
        <v>0001000000</v>
      </c>
      <c r="BP684">
        <f t="shared" si="4276"/>
        <v>0</v>
      </c>
      <c r="BQ684">
        <f t="shared" si="4277"/>
        <v>0</v>
      </c>
      <c r="BR684" s="23">
        <f t="shared" si="4278"/>
        <v>0</v>
      </c>
      <c r="BS684" s="49" t="str">
        <f t="shared" si="4243"/>
        <v>000000000000000</v>
      </c>
      <c r="BT684" t="str">
        <f t="shared" si="4279"/>
        <v>00000000</v>
      </c>
      <c r="BU684" s="23">
        <f t="shared" si="4280"/>
        <v>0</v>
      </c>
      <c r="BV684" s="49" t="str">
        <f t="shared" si="4244"/>
        <v/>
      </c>
      <c r="BW684" s="52" t="str">
        <f t="shared" si="4281"/>
        <v/>
      </c>
      <c r="BX684" s="23">
        <f t="shared" si="4282"/>
        <v>0</v>
      </c>
      <c r="BY684" s="49" t="str">
        <f t="shared" si="4245"/>
        <v/>
      </c>
      <c r="BZ684" s="23">
        <f t="shared" si="4283"/>
        <v>0</v>
      </c>
      <c r="CA684" s="49" t="str">
        <f t="shared" si="4246"/>
        <v/>
      </c>
      <c r="CB684" s="52" t="str">
        <f t="shared" si="4284"/>
        <v/>
      </c>
      <c r="CC684" s="23">
        <f t="shared" si="4285"/>
        <v>0</v>
      </c>
      <c r="CD684" s="49" t="str">
        <f t="shared" si="4247"/>
        <v/>
      </c>
      <c r="CE684" s="56" t="str">
        <f>IF(CF684="","",MAX(CE$10:$CE683)+1)</f>
        <v/>
      </c>
      <c r="CF684" t="str">
        <f t="shared" si="4286"/>
        <v/>
      </c>
      <c r="CG684" s="22" t="str">
        <f>IF(CH684="","",MAX($CG$10:CG683)+1)</f>
        <v/>
      </c>
      <c r="CH684" s="22" t="str">
        <f t="shared" si="4231"/>
        <v/>
      </c>
      <c r="CI684" s="22" t="str">
        <f>IF(CJ684="","",MAX($CI$10:CI683)+1)</f>
        <v/>
      </c>
      <c r="CJ684" s="22" t="str">
        <f t="shared" si="4232"/>
        <v/>
      </c>
    </row>
    <row r="685" spans="2:88" x14ac:dyDescent="0.25">
      <c r="B685" s="37"/>
      <c r="C685" s="3"/>
      <c r="D685" s="77" t="str">
        <f t="shared" si="4218"/>
        <v/>
      </c>
      <c r="E685" s="38"/>
      <c r="F685" s="38"/>
      <c r="G685" s="78">
        <f t="shared" si="4233"/>
        <v>0</v>
      </c>
      <c r="H685" s="3">
        <v>80</v>
      </c>
      <c r="I685" s="77" t="str">
        <f t="shared" si="4219"/>
        <v/>
      </c>
      <c r="J685" s="32"/>
      <c r="K685" s="3"/>
      <c r="L685" s="39"/>
      <c r="M685" s="39"/>
      <c r="N685" s="39"/>
      <c r="O685" s="39"/>
      <c r="P685" s="39"/>
      <c r="Q685" s="39"/>
      <c r="R685" s="39"/>
      <c r="S685" s="39"/>
      <c r="T685" s="3" t="s">
        <v>645</v>
      </c>
      <c r="U685" s="77" t="str">
        <f t="shared" si="4220"/>
        <v/>
      </c>
      <c r="V685" s="39">
        <v>1</v>
      </c>
      <c r="W685" s="79">
        <f t="shared" si="4234"/>
        <v>0</v>
      </c>
      <c r="X685" s="3">
        <v>0</v>
      </c>
      <c r="Y685" s="77" t="str">
        <f t="shared" si="4221"/>
        <v/>
      </c>
      <c r="Z685" s="3"/>
      <c r="AA685" s="37" t="str">
        <f t="shared" si="4235"/>
        <v/>
      </c>
      <c r="AC685" s="40"/>
      <c r="AD685" s="7"/>
      <c r="AE685" s="77" t="str">
        <f t="shared" si="4222"/>
        <v/>
      </c>
      <c r="AF685" s="81">
        <f t="shared" si="4248"/>
        <v>0</v>
      </c>
      <c r="AG685" s="40"/>
      <c r="AH685" s="7"/>
      <c r="AI685" s="77" t="str">
        <f t="shared" si="4223"/>
        <v/>
      </c>
      <c r="AJ685" s="81">
        <f t="shared" si="4249"/>
        <v>0</v>
      </c>
      <c r="AK685" s="83">
        <f t="shared" si="4250"/>
        <v>0</v>
      </c>
      <c r="AL685" s="83">
        <f t="shared" si="4251"/>
        <v>0</v>
      </c>
      <c r="AN685" s="43">
        <f t="shared" si="4224"/>
        <v>0</v>
      </c>
      <c r="AP685" t="str">
        <f t="shared" si="4252"/>
        <v/>
      </c>
      <c r="AQ685" t="str">
        <f t="shared" si="4253"/>
        <v/>
      </c>
      <c r="AR685" t="str">
        <f t="shared" si="4254"/>
        <v/>
      </c>
      <c r="AS685" t="str">
        <f t="shared" si="4255"/>
        <v/>
      </c>
      <c r="AT685" t="str">
        <f t="shared" si="4256"/>
        <v/>
      </c>
      <c r="AU685" t="str">
        <f t="shared" si="4257"/>
        <v/>
      </c>
      <c r="AV685" t="str">
        <f t="shared" si="4258"/>
        <v/>
      </c>
      <c r="AW685" t="str">
        <f t="shared" si="4259"/>
        <v xml:space="preserve">                              </v>
      </c>
      <c r="AX685" s="23">
        <f t="shared" si="4260"/>
        <v>0</v>
      </c>
      <c r="AY685" s="49" t="str">
        <f t="shared" si="4236"/>
        <v>000000000000000</v>
      </c>
      <c r="AZ685" s="23">
        <f t="shared" si="4261"/>
        <v>0</v>
      </c>
      <c r="BA685" s="49" t="str">
        <f t="shared" si="4236"/>
        <v>000000000000000</v>
      </c>
      <c r="BB685" s="23">
        <f t="shared" si="4262"/>
        <v>0</v>
      </c>
      <c r="BC685" s="49" t="str">
        <f t="shared" ref="BC685" si="4467">IF(BB685&lt;0,SUBSTITUTE(TEXT(BB685,"000000000000,00"),",",""),SUBSTITUTE(TEXT(BB685,"0000000000000,00"),",",""))</f>
        <v>000000000000000</v>
      </c>
      <c r="BD685" s="23">
        <f t="shared" si="4264"/>
        <v>0</v>
      </c>
      <c r="BE685" s="49" t="str">
        <f t="shared" ref="BE685" si="4468">IF(BD685&lt;0,SUBSTITUTE(TEXT(BD685,"000000000000,00"),",",""),SUBSTITUTE(TEXT(BD685,"0000000000000,00"),",",""))</f>
        <v>000000000000000</v>
      </c>
      <c r="BF685" s="23">
        <f t="shared" si="4266"/>
        <v>0</v>
      </c>
      <c r="BG685" s="49" t="str">
        <f t="shared" ref="BG685" si="4469">IF(BF685&lt;0,SUBSTITUTE(TEXT(BF685,"000000000000,00"),",",""),SUBSTITUTE(TEXT(BF685,"0000000000000,00"),",",""))</f>
        <v>000000000000000</v>
      </c>
      <c r="BH685" s="23">
        <f t="shared" si="4268"/>
        <v>0</v>
      </c>
      <c r="BI685" s="49" t="str">
        <f t="shared" ref="BI685" si="4470">IF(BH685&lt;0,SUBSTITUTE(TEXT(BH685,"000000000000,00"),",",""),SUBSTITUTE(TEXT(BH685,"0000000000000,00"),",",""))</f>
        <v>000000000000000</v>
      </c>
      <c r="BJ685" s="23">
        <f t="shared" si="4270"/>
        <v>0</v>
      </c>
      <c r="BK685" s="49" t="str">
        <f t="shared" ref="BK685" si="4471">IF(BJ685&lt;0,SUBSTITUTE(TEXT(BJ685,"000000000000,00"),",",""),SUBSTITUTE(TEXT(BJ685,"0000000000000,00"),",",""))</f>
        <v>000000000000000</v>
      </c>
      <c r="BL685" s="23">
        <f t="shared" si="4272"/>
        <v>0</v>
      </c>
      <c r="BM685" s="49" t="str">
        <f t="shared" ref="BM685" si="4472">IF(BL685&lt;0,SUBSTITUTE(TEXT(BL685,"000000000000,00"),",",""),SUBSTITUTE(TEXT(BL685,"0000000000000,00"),",",""))</f>
        <v>000000000000000</v>
      </c>
      <c r="BN685" t="str">
        <f t="shared" si="4274"/>
        <v>PES</v>
      </c>
      <c r="BO685" t="str">
        <f t="shared" si="4275"/>
        <v>0001000000</v>
      </c>
      <c r="BP685">
        <f t="shared" si="4276"/>
        <v>0</v>
      </c>
      <c r="BQ685">
        <f t="shared" si="4277"/>
        <v>0</v>
      </c>
      <c r="BR685" s="23">
        <f t="shared" si="4278"/>
        <v>0</v>
      </c>
      <c r="BS685" s="49" t="str">
        <f t="shared" si="4243"/>
        <v>000000000000000</v>
      </c>
      <c r="BT685" t="str">
        <f t="shared" si="4279"/>
        <v>00000000</v>
      </c>
      <c r="BU685" s="23">
        <f t="shared" si="4280"/>
        <v>0</v>
      </c>
      <c r="BV685" s="49" t="str">
        <f t="shared" si="4244"/>
        <v/>
      </c>
      <c r="BW685" s="52" t="str">
        <f t="shared" si="4281"/>
        <v/>
      </c>
      <c r="BX685" s="23">
        <f t="shared" si="4282"/>
        <v>0</v>
      </c>
      <c r="BY685" s="49" t="str">
        <f t="shared" si="4245"/>
        <v/>
      </c>
      <c r="BZ685" s="23">
        <f t="shared" si="4283"/>
        <v>0</v>
      </c>
      <c r="CA685" s="49" t="str">
        <f t="shared" si="4246"/>
        <v/>
      </c>
      <c r="CB685" s="52" t="str">
        <f t="shared" si="4284"/>
        <v/>
      </c>
      <c r="CC685" s="23">
        <f t="shared" si="4285"/>
        <v>0</v>
      </c>
      <c r="CD685" s="49" t="str">
        <f t="shared" si="4247"/>
        <v/>
      </c>
      <c r="CE685" s="56" t="str">
        <f>IF(CF685="","",MAX(CE$10:$CE684)+1)</f>
        <v/>
      </c>
      <c r="CF685" t="str">
        <f t="shared" si="4286"/>
        <v/>
      </c>
      <c r="CG685" s="22" t="str">
        <f>IF(CH685="","",MAX($CG$10:CG684)+1)</f>
        <v/>
      </c>
      <c r="CH685" s="22" t="str">
        <f t="shared" si="4231"/>
        <v/>
      </c>
      <c r="CI685" s="22" t="str">
        <f>IF(CJ685="","",MAX($CI$10:CI684)+1)</f>
        <v/>
      </c>
      <c r="CJ685" s="22" t="str">
        <f t="shared" si="4232"/>
        <v/>
      </c>
    </row>
    <row r="686" spans="2:88" x14ac:dyDescent="0.25">
      <c r="B686" s="37"/>
      <c r="C686" s="3"/>
      <c r="D686" s="77" t="str">
        <f t="shared" si="4218"/>
        <v/>
      </c>
      <c r="E686" s="38"/>
      <c r="F686" s="38"/>
      <c r="G686" s="78">
        <f t="shared" si="4233"/>
        <v>0</v>
      </c>
      <c r="H686" s="3">
        <v>80</v>
      </c>
      <c r="I686" s="77" t="str">
        <f t="shared" si="4219"/>
        <v/>
      </c>
      <c r="J686" s="32"/>
      <c r="K686" s="3"/>
      <c r="L686" s="39"/>
      <c r="M686" s="39"/>
      <c r="N686" s="39"/>
      <c r="O686" s="39"/>
      <c r="P686" s="39"/>
      <c r="Q686" s="39"/>
      <c r="R686" s="39"/>
      <c r="S686" s="39"/>
      <c r="T686" s="3" t="s">
        <v>645</v>
      </c>
      <c r="U686" s="77" t="str">
        <f t="shared" si="4220"/>
        <v/>
      </c>
      <c r="V686" s="39">
        <v>1</v>
      </c>
      <c r="W686" s="79">
        <f t="shared" si="4234"/>
        <v>0</v>
      </c>
      <c r="X686" s="3">
        <v>0</v>
      </c>
      <c r="Y686" s="77" t="str">
        <f t="shared" si="4221"/>
        <v/>
      </c>
      <c r="Z686" s="3"/>
      <c r="AA686" s="37" t="str">
        <f t="shared" si="4235"/>
        <v/>
      </c>
      <c r="AC686" s="40"/>
      <c r="AD686" s="7"/>
      <c r="AE686" s="77" t="str">
        <f t="shared" si="4222"/>
        <v/>
      </c>
      <c r="AF686" s="81">
        <f t="shared" si="4248"/>
        <v>0</v>
      </c>
      <c r="AG686" s="40"/>
      <c r="AH686" s="7"/>
      <c r="AI686" s="77" t="str">
        <f t="shared" si="4223"/>
        <v/>
      </c>
      <c r="AJ686" s="81">
        <f t="shared" si="4249"/>
        <v>0</v>
      </c>
      <c r="AK686" s="83">
        <f t="shared" si="4250"/>
        <v>0</v>
      </c>
      <c r="AL686" s="83">
        <f t="shared" si="4251"/>
        <v>0</v>
      </c>
      <c r="AN686" s="43">
        <f t="shared" si="4224"/>
        <v>0</v>
      </c>
      <c r="AP686" t="str">
        <f t="shared" si="4252"/>
        <v/>
      </c>
      <c r="AQ686" t="str">
        <f t="shared" si="4253"/>
        <v/>
      </c>
      <c r="AR686" t="str">
        <f t="shared" si="4254"/>
        <v/>
      </c>
      <c r="AS686" t="str">
        <f t="shared" si="4255"/>
        <v/>
      </c>
      <c r="AT686" t="str">
        <f t="shared" si="4256"/>
        <v/>
      </c>
      <c r="AU686" t="str">
        <f t="shared" si="4257"/>
        <v/>
      </c>
      <c r="AV686" t="str">
        <f t="shared" si="4258"/>
        <v/>
      </c>
      <c r="AW686" t="str">
        <f t="shared" si="4259"/>
        <v xml:space="preserve">                              </v>
      </c>
      <c r="AX686" s="23">
        <f t="shared" si="4260"/>
        <v>0</v>
      </c>
      <c r="AY686" s="49" t="str">
        <f t="shared" si="4236"/>
        <v>000000000000000</v>
      </c>
      <c r="AZ686" s="23">
        <f t="shared" si="4261"/>
        <v>0</v>
      </c>
      <c r="BA686" s="49" t="str">
        <f t="shared" si="4236"/>
        <v>000000000000000</v>
      </c>
      <c r="BB686" s="23">
        <f t="shared" si="4262"/>
        <v>0</v>
      </c>
      <c r="BC686" s="49" t="str">
        <f t="shared" ref="BC686" si="4473">IF(BB686&lt;0,SUBSTITUTE(TEXT(BB686,"000000000000,00"),",",""),SUBSTITUTE(TEXT(BB686,"0000000000000,00"),",",""))</f>
        <v>000000000000000</v>
      </c>
      <c r="BD686" s="23">
        <f t="shared" si="4264"/>
        <v>0</v>
      </c>
      <c r="BE686" s="49" t="str">
        <f t="shared" ref="BE686" si="4474">IF(BD686&lt;0,SUBSTITUTE(TEXT(BD686,"000000000000,00"),",",""),SUBSTITUTE(TEXT(BD686,"0000000000000,00"),",",""))</f>
        <v>000000000000000</v>
      </c>
      <c r="BF686" s="23">
        <f t="shared" si="4266"/>
        <v>0</v>
      </c>
      <c r="BG686" s="49" t="str">
        <f t="shared" ref="BG686" si="4475">IF(BF686&lt;0,SUBSTITUTE(TEXT(BF686,"000000000000,00"),",",""),SUBSTITUTE(TEXT(BF686,"0000000000000,00"),",",""))</f>
        <v>000000000000000</v>
      </c>
      <c r="BH686" s="23">
        <f t="shared" si="4268"/>
        <v>0</v>
      </c>
      <c r="BI686" s="49" t="str">
        <f t="shared" ref="BI686" si="4476">IF(BH686&lt;0,SUBSTITUTE(TEXT(BH686,"000000000000,00"),",",""),SUBSTITUTE(TEXT(BH686,"0000000000000,00"),",",""))</f>
        <v>000000000000000</v>
      </c>
      <c r="BJ686" s="23">
        <f t="shared" si="4270"/>
        <v>0</v>
      </c>
      <c r="BK686" s="49" t="str">
        <f t="shared" ref="BK686" si="4477">IF(BJ686&lt;0,SUBSTITUTE(TEXT(BJ686,"000000000000,00"),",",""),SUBSTITUTE(TEXT(BJ686,"0000000000000,00"),",",""))</f>
        <v>000000000000000</v>
      </c>
      <c r="BL686" s="23">
        <f t="shared" si="4272"/>
        <v>0</v>
      </c>
      <c r="BM686" s="49" t="str">
        <f t="shared" ref="BM686" si="4478">IF(BL686&lt;0,SUBSTITUTE(TEXT(BL686,"000000000000,00"),",",""),SUBSTITUTE(TEXT(BL686,"0000000000000,00"),",",""))</f>
        <v>000000000000000</v>
      </c>
      <c r="BN686" t="str">
        <f t="shared" si="4274"/>
        <v>PES</v>
      </c>
      <c r="BO686" t="str">
        <f t="shared" si="4275"/>
        <v>0001000000</v>
      </c>
      <c r="BP686">
        <f t="shared" si="4276"/>
        <v>0</v>
      </c>
      <c r="BQ686">
        <f t="shared" si="4277"/>
        <v>0</v>
      </c>
      <c r="BR686" s="23">
        <f t="shared" si="4278"/>
        <v>0</v>
      </c>
      <c r="BS686" s="49" t="str">
        <f t="shared" si="4243"/>
        <v>000000000000000</v>
      </c>
      <c r="BT686" t="str">
        <f t="shared" si="4279"/>
        <v>00000000</v>
      </c>
      <c r="BU686" s="23">
        <f t="shared" si="4280"/>
        <v>0</v>
      </c>
      <c r="BV686" s="49" t="str">
        <f t="shared" si="4244"/>
        <v/>
      </c>
      <c r="BW686" s="52" t="str">
        <f t="shared" si="4281"/>
        <v/>
      </c>
      <c r="BX686" s="23">
        <f t="shared" si="4282"/>
        <v>0</v>
      </c>
      <c r="BY686" s="49" t="str">
        <f t="shared" si="4245"/>
        <v/>
      </c>
      <c r="BZ686" s="23">
        <f t="shared" si="4283"/>
        <v>0</v>
      </c>
      <c r="CA686" s="49" t="str">
        <f t="shared" si="4246"/>
        <v/>
      </c>
      <c r="CB686" s="52" t="str">
        <f t="shared" si="4284"/>
        <v/>
      </c>
      <c r="CC686" s="23">
        <f t="shared" si="4285"/>
        <v>0</v>
      </c>
      <c r="CD686" s="49" t="str">
        <f t="shared" si="4247"/>
        <v/>
      </c>
      <c r="CE686" s="56" t="str">
        <f>IF(CF686="","",MAX(CE$10:$CE685)+1)</f>
        <v/>
      </c>
      <c r="CF686" t="str">
        <f t="shared" si="4286"/>
        <v/>
      </c>
      <c r="CG686" s="22" t="str">
        <f>IF(CH686="","",MAX($CG$10:CG685)+1)</f>
        <v/>
      </c>
      <c r="CH686" s="22" t="str">
        <f t="shared" si="4231"/>
        <v/>
      </c>
      <c r="CI686" s="22" t="str">
        <f>IF(CJ686="","",MAX($CI$10:CI685)+1)</f>
        <v/>
      </c>
      <c r="CJ686" s="22" t="str">
        <f t="shared" si="4232"/>
        <v/>
      </c>
    </row>
    <row r="687" spans="2:88" x14ac:dyDescent="0.25">
      <c r="B687" s="37"/>
      <c r="C687" s="3"/>
      <c r="D687" s="77" t="str">
        <f t="shared" si="4218"/>
        <v/>
      </c>
      <c r="E687" s="38"/>
      <c r="F687" s="38"/>
      <c r="G687" s="78">
        <f t="shared" si="4233"/>
        <v>0</v>
      </c>
      <c r="H687" s="3">
        <v>80</v>
      </c>
      <c r="I687" s="77" t="str">
        <f t="shared" si="4219"/>
        <v/>
      </c>
      <c r="J687" s="32"/>
      <c r="K687" s="3"/>
      <c r="L687" s="39"/>
      <c r="M687" s="39"/>
      <c r="N687" s="39"/>
      <c r="O687" s="39"/>
      <c r="P687" s="39"/>
      <c r="Q687" s="39"/>
      <c r="R687" s="39"/>
      <c r="S687" s="39"/>
      <c r="T687" s="3" t="s">
        <v>645</v>
      </c>
      <c r="U687" s="77" t="str">
        <f t="shared" si="4220"/>
        <v/>
      </c>
      <c r="V687" s="39">
        <v>1</v>
      </c>
      <c r="W687" s="79">
        <f t="shared" si="4234"/>
        <v>0</v>
      </c>
      <c r="X687" s="3">
        <v>0</v>
      </c>
      <c r="Y687" s="77" t="str">
        <f t="shared" si="4221"/>
        <v/>
      </c>
      <c r="Z687" s="3"/>
      <c r="AA687" s="37" t="str">
        <f t="shared" si="4235"/>
        <v/>
      </c>
      <c r="AC687" s="40"/>
      <c r="AD687" s="7"/>
      <c r="AE687" s="77" t="str">
        <f t="shared" si="4222"/>
        <v/>
      </c>
      <c r="AF687" s="81">
        <f t="shared" si="4248"/>
        <v>0</v>
      </c>
      <c r="AG687" s="40"/>
      <c r="AH687" s="7"/>
      <c r="AI687" s="77" t="str">
        <f t="shared" si="4223"/>
        <v/>
      </c>
      <c r="AJ687" s="81">
        <f t="shared" si="4249"/>
        <v>0</v>
      </c>
      <c r="AK687" s="83">
        <f t="shared" si="4250"/>
        <v>0</v>
      </c>
      <c r="AL687" s="83">
        <f t="shared" si="4251"/>
        <v>0</v>
      </c>
      <c r="AN687" s="43">
        <f t="shared" si="4224"/>
        <v>0</v>
      </c>
      <c r="AP687" t="str">
        <f t="shared" si="4252"/>
        <v/>
      </c>
      <c r="AQ687" t="str">
        <f t="shared" si="4253"/>
        <v/>
      </c>
      <c r="AR687" t="str">
        <f t="shared" si="4254"/>
        <v/>
      </c>
      <c r="AS687" t="str">
        <f t="shared" si="4255"/>
        <v/>
      </c>
      <c r="AT687" t="str">
        <f t="shared" si="4256"/>
        <v/>
      </c>
      <c r="AU687" t="str">
        <f t="shared" si="4257"/>
        <v/>
      </c>
      <c r="AV687" t="str">
        <f t="shared" si="4258"/>
        <v/>
      </c>
      <c r="AW687" t="str">
        <f t="shared" si="4259"/>
        <v xml:space="preserve">                              </v>
      </c>
      <c r="AX687" s="23">
        <f t="shared" si="4260"/>
        <v>0</v>
      </c>
      <c r="AY687" s="49" t="str">
        <f t="shared" si="4236"/>
        <v>000000000000000</v>
      </c>
      <c r="AZ687" s="23">
        <f t="shared" si="4261"/>
        <v>0</v>
      </c>
      <c r="BA687" s="49" t="str">
        <f t="shared" si="4236"/>
        <v>000000000000000</v>
      </c>
      <c r="BB687" s="23">
        <f t="shared" si="4262"/>
        <v>0</v>
      </c>
      <c r="BC687" s="49" t="str">
        <f t="shared" ref="BC687" si="4479">IF(BB687&lt;0,SUBSTITUTE(TEXT(BB687,"000000000000,00"),",",""),SUBSTITUTE(TEXT(BB687,"0000000000000,00"),",",""))</f>
        <v>000000000000000</v>
      </c>
      <c r="BD687" s="23">
        <f t="shared" si="4264"/>
        <v>0</v>
      </c>
      <c r="BE687" s="49" t="str">
        <f t="shared" ref="BE687" si="4480">IF(BD687&lt;0,SUBSTITUTE(TEXT(BD687,"000000000000,00"),",",""),SUBSTITUTE(TEXT(BD687,"0000000000000,00"),",",""))</f>
        <v>000000000000000</v>
      </c>
      <c r="BF687" s="23">
        <f t="shared" si="4266"/>
        <v>0</v>
      </c>
      <c r="BG687" s="49" t="str">
        <f t="shared" ref="BG687" si="4481">IF(BF687&lt;0,SUBSTITUTE(TEXT(BF687,"000000000000,00"),",",""),SUBSTITUTE(TEXT(BF687,"0000000000000,00"),",",""))</f>
        <v>000000000000000</v>
      </c>
      <c r="BH687" s="23">
        <f t="shared" si="4268"/>
        <v>0</v>
      </c>
      <c r="BI687" s="49" t="str">
        <f t="shared" ref="BI687" si="4482">IF(BH687&lt;0,SUBSTITUTE(TEXT(BH687,"000000000000,00"),",",""),SUBSTITUTE(TEXT(BH687,"0000000000000,00"),",",""))</f>
        <v>000000000000000</v>
      </c>
      <c r="BJ687" s="23">
        <f t="shared" si="4270"/>
        <v>0</v>
      </c>
      <c r="BK687" s="49" t="str">
        <f t="shared" ref="BK687" si="4483">IF(BJ687&lt;0,SUBSTITUTE(TEXT(BJ687,"000000000000,00"),",",""),SUBSTITUTE(TEXT(BJ687,"0000000000000,00"),",",""))</f>
        <v>000000000000000</v>
      </c>
      <c r="BL687" s="23">
        <f t="shared" si="4272"/>
        <v>0</v>
      </c>
      <c r="BM687" s="49" t="str">
        <f t="shared" ref="BM687" si="4484">IF(BL687&lt;0,SUBSTITUTE(TEXT(BL687,"000000000000,00"),",",""),SUBSTITUTE(TEXT(BL687,"0000000000000,00"),",",""))</f>
        <v>000000000000000</v>
      </c>
      <c r="BN687" t="str">
        <f t="shared" si="4274"/>
        <v>PES</v>
      </c>
      <c r="BO687" t="str">
        <f t="shared" si="4275"/>
        <v>0001000000</v>
      </c>
      <c r="BP687">
        <f t="shared" si="4276"/>
        <v>0</v>
      </c>
      <c r="BQ687">
        <f t="shared" si="4277"/>
        <v>0</v>
      </c>
      <c r="BR687" s="23">
        <f t="shared" si="4278"/>
        <v>0</v>
      </c>
      <c r="BS687" s="49" t="str">
        <f t="shared" si="4243"/>
        <v>000000000000000</v>
      </c>
      <c r="BT687" t="str">
        <f t="shared" si="4279"/>
        <v>00000000</v>
      </c>
      <c r="BU687" s="23">
        <f t="shared" si="4280"/>
        <v>0</v>
      </c>
      <c r="BV687" s="49" t="str">
        <f t="shared" si="4244"/>
        <v/>
      </c>
      <c r="BW687" s="52" t="str">
        <f t="shared" si="4281"/>
        <v/>
      </c>
      <c r="BX687" s="23">
        <f t="shared" si="4282"/>
        <v>0</v>
      </c>
      <c r="BY687" s="49" t="str">
        <f t="shared" si="4245"/>
        <v/>
      </c>
      <c r="BZ687" s="23">
        <f t="shared" si="4283"/>
        <v>0</v>
      </c>
      <c r="CA687" s="49" t="str">
        <f t="shared" si="4246"/>
        <v/>
      </c>
      <c r="CB687" s="52" t="str">
        <f t="shared" si="4284"/>
        <v/>
      </c>
      <c r="CC687" s="23">
        <f t="shared" si="4285"/>
        <v>0</v>
      </c>
      <c r="CD687" s="49" t="str">
        <f t="shared" si="4247"/>
        <v/>
      </c>
      <c r="CE687" s="56" t="str">
        <f>IF(CF687="","",MAX(CE$10:$CE686)+1)</f>
        <v/>
      </c>
      <c r="CF687" t="str">
        <f t="shared" si="4286"/>
        <v/>
      </c>
      <c r="CG687" s="22" t="str">
        <f>IF(CH687="","",MAX($CG$10:CG686)+1)</f>
        <v/>
      </c>
      <c r="CH687" s="22" t="str">
        <f t="shared" si="4231"/>
        <v/>
      </c>
      <c r="CI687" s="22" t="str">
        <f>IF(CJ687="","",MAX($CI$10:CI686)+1)</f>
        <v/>
      </c>
      <c r="CJ687" s="22" t="str">
        <f t="shared" si="4232"/>
        <v/>
      </c>
    </row>
    <row r="688" spans="2:88" x14ac:dyDescent="0.25">
      <c r="B688" s="37"/>
      <c r="C688" s="3"/>
      <c r="D688" s="77" t="str">
        <f t="shared" si="4218"/>
        <v/>
      </c>
      <c r="E688" s="38"/>
      <c r="F688" s="38"/>
      <c r="G688" s="78">
        <f t="shared" si="4233"/>
        <v>0</v>
      </c>
      <c r="H688" s="3">
        <v>80</v>
      </c>
      <c r="I688" s="77" t="str">
        <f t="shared" si="4219"/>
        <v/>
      </c>
      <c r="J688" s="32"/>
      <c r="K688" s="3"/>
      <c r="L688" s="39"/>
      <c r="M688" s="39"/>
      <c r="N688" s="39"/>
      <c r="O688" s="39"/>
      <c r="P688" s="39"/>
      <c r="Q688" s="39"/>
      <c r="R688" s="39"/>
      <c r="S688" s="39"/>
      <c r="T688" s="3" t="s">
        <v>645</v>
      </c>
      <c r="U688" s="77" t="str">
        <f t="shared" si="4220"/>
        <v/>
      </c>
      <c r="V688" s="39">
        <v>1</v>
      </c>
      <c r="W688" s="79">
        <f t="shared" si="4234"/>
        <v>0</v>
      </c>
      <c r="X688" s="3">
        <v>0</v>
      </c>
      <c r="Y688" s="77" t="str">
        <f t="shared" si="4221"/>
        <v/>
      </c>
      <c r="Z688" s="3"/>
      <c r="AA688" s="37" t="str">
        <f t="shared" si="4235"/>
        <v/>
      </c>
      <c r="AC688" s="40"/>
      <c r="AD688" s="7"/>
      <c r="AE688" s="77" t="str">
        <f t="shared" si="4222"/>
        <v/>
      </c>
      <c r="AF688" s="81">
        <f t="shared" si="4248"/>
        <v>0</v>
      </c>
      <c r="AG688" s="40"/>
      <c r="AH688" s="7"/>
      <c r="AI688" s="77" t="str">
        <f t="shared" si="4223"/>
        <v/>
      </c>
      <c r="AJ688" s="81">
        <f t="shared" si="4249"/>
        <v>0</v>
      </c>
      <c r="AK688" s="83">
        <f t="shared" si="4250"/>
        <v>0</v>
      </c>
      <c r="AL688" s="83">
        <f t="shared" si="4251"/>
        <v>0</v>
      </c>
      <c r="AN688" s="43">
        <f t="shared" si="4224"/>
        <v>0</v>
      </c>
      <c r="AP688" t="str">
        <f t="shared" si="4252"/>
        <v/>
      </c>
      <c r="AQ688" t="str">
        <f t="shared" si="4253"/>
        <v/>
      </c>
      <c r="AR688" t="str">
        <f t="shared" si="4254"/>
        <v/>
      </c>
      <c r="AS688" t="str">
        <f t="shared" si="4255"/>
        <v/>
      </c>
      <c r="AT688" t="str">
        <f t="shared" si="4256"/>
        <v/>
      </c>
      <c r="AU688" t="str">
        <f t="shared" si="4257"/>
        <v/>
      </c>
      <c r="AV688" t="str">
        <f t="shared" si="4258"/>
        <v/>
      </c>
      <c r="AW688" t="str">
        <f t="shared" si="4259"/>
        <v xml:space="preserve">                              </v>
      </c>
      <c r="AX688" s="23">
        <f t="shared" si="4260"/>
        <v>0</v>
      </c>
      <c r="AY688" s="49" t="str">
        <f t="shared" si="4236"/>
        <v>000000000000000</v>
      </c>
      <c r="AZ688" s="23">
        <f t="shared" si="4261"/>
        <v>0</v>
      </c>
      <c r="BA688" s="49" t="str">
        <f t="shared" si="4236"/>
        <v>000000000000000</v>
      </c>
      <c r="BB688" s="23">
        <f t="shared" si="4262"/>
        <v>0</v>
      </c>
      <c r="BC688" s="49" t="str">
        <f t="shared" ref="BC688" si="4485">IF(BB688&lt;0,SUBSTITUTE(TEXT(BB688,"000000000000,00"),",",""),SUBSTITUTE(TEXT(BB688,"0000000000000,00"),",",""))</f>
        <v>000000000000000</v>
      </c>
      <c r="BD688" s="23">
        <f t="shared" si="4264"/>
        <v>0</v>
      </c>
      <c r="BE688" s="49" t="str">
        <f t="shared" ref="BE688" si="4486">IF(BD688&lt;0,SUBSTITUTE(TEXT(BD688,"000000000000,00"),",",""),SUBSTITUTE(TEXT(BD688,"0000000000000,00"),",",""))</f>
        <v>000000000000000</v>
      </c>
      <c r="BF688" s="23">
        <f t="shared" si="4266"/>
        <v>0</v>
      </c>
      <c r="BG688" s="49" t="str">
        <f t="shared" ref="BG688" si="4487">IF(BF688&lt;0,SUBSTITUTE(TEXT(BF688,"000000000000,00"),",",""),SUBSTITUTE(TEXT(BF688,"0000000000000,00"),",",""))</f>
        <v>000000000000000</v>
      </c>
      <c r="BH688" s="23">
        <f t="shared" si="4268"/>
        <v>0</v>
      </c>
      <c r="BI688" s="49" t="str">
        <f t="shared" ref="BI688" si="4488">IF(BH688&lt;0,SUBSTITUTE(TEXT(BH688,"000000000000,00"),",",""),SUBSTITUTE(TEXT(BH688,"0000000000000,00"),",",""))</f>
        <v>000000000000000</v>
      </c>
      <c r="BJ688" s="23">
        <f t="shared" si="4270"/>
        <v>0</v>
      </c>
      <c r="BK688" s="49" t="str">
        <f t="shared" ref="BK688" si="4489">IF(BJ688&lt;0,SUBSTITUTE(TEXT(BJ688,"000000000000,00"),",",""),SUBSTITUTE(TEXT(BJ688,"0000000000000,00"),",",""))</f>
        <v>000000000000000</v>
      </c>
      <c r="BL688" s="23">
        <f t="shared" si="4272"/>
        <v>0</v>
      </c>
      <c r="BM688" s="49" t="str">
        <f t="shared" ref="BM688" si="4490">IF(BL688&lt;0,SUBSTITUTE(TEXT(BL688,"000000000000,00"),",",""),SUBSTITUTE(TEXT(BL688,"0000000000000,00"),",",""))</f>
        <v>000000000000000</v>
      </c>
      <c r="BN688" t="str">
        <f t="shared" si="4274"/>
        <v>PES</v>
      </c>
      <c r="BO688" t="str">
        <f t="shared" si="4275"/>
        <v>0001000000</v>
      </c>
      <c r="BP688">
        <f t="shared" si="4276"/>
        <v>0</v>
      </c>
      <c r="BQ688">
        <f t="shared" si="4277"/>
        <v>0</v>
      </c>
      <c r="BR688" s="23">
        <f t="shared" si="4278"/>
        <v>0</v>
      </c>
      <c r="BS688" s="49" t="str">
        <f t="shared" si="4243"/>
        <v>000000000000000</v>
      </c>
      <c r="BT688" t="str">
        <f t="shared" si="4279"/>
        <v>00000000</v>
      </c>
      <c r="BU688" s="23">
        <f t="shared" si="4280"/>
        <v>0</v>
      </c>
      <c r="BV688" s="49" t="str">
        <f t="shared" si="4244"/>
        <v/>
      </c>
      <c r="BW688" s="52" t="str">
        <f t="shared" si="4281"/>
        <v/>
      </c>
      <c r="BX688" s="23">
        <f t="shared" si="4282"/>
        <v>0</v>
      </c>
      <c r="BY688" s="49" t="str">
        <f t="shared" si="4245"/>
        <v/>
      </c>
      <c r="BZ688" s="23">
        <f t="shared" si="4283"/>
        <v>0</v>
      </c>
      <c r="CA688" s="49" t="str">
        <f t="shared" si="4246"/>
        <v/>
      </c>
      <c r="CB688" s="52" t="str">
        <f t="shared" si="4284"/>
        <v/>
      </c>
      <c r="CC688" s="23">
        <f t="shared" si="4285"/>
        <v>0</v>
      </c>
      <c r="CD688" s="49" t="str">
        <f t="shared" si="4247"/>
        <v/>
      </c>
      <c r="CE688" s="56" t="str">
        <f>IF(CF688="","",MAX(CE$10:$CE687)+1)</f>
        <v/>
      </c>
      <c r="CF688" t="str">
        <f t="shared" si="4286"/>
        <v/>
      </c>
      <c r="CG688" s="22" t="str">
        <f>IF(CH688="","",MAX($CG$10:CG687)+1)</f>
        <v/>
      </c>
      <c r="CH688" s="22" t="str">
        <f t="shared" si="4231"/>
        <v/>
      </c>
      <c r="CI688" s="22" t="str">
        <f>IF(CJ688="","",MAX($CI$10:CI687)+1)</f>
        <v/>
      </c>
      <c r="CJ688" s="22" t="str">
        <f t="shared" si="4232"/>
        <v/>
      </c>
    </row>
    <row r="689" spans="2:88" x14ac:dyDescent="0.25">
      <c r="B689" s="37"/>
      <c r="C689" s="3"/>
      <c r="D689" s="77" t="str">
        <f t="shared" si="4218"/>
        <v/>
      </c>
      <c r="E689" s="38"/>
      <c r="F689" s="38"/>
      <c r="G689" s="78">
        <f t="shared" si="4233"/>
        <v>0</v>
      </c>
      <c r="H689" s="3">
        <v>80</v>
      </c>
      <c r="I689" s="77" t="str">
        <f t="shared" si="4219"/>
        <v/>
      </c>
      <c r="J689" s="32"/>
      <c r="K689" s="3"/>
      <c r="L689" s="39"/>
      <c r="M689" s="39"/>
      <c r="N689" s="39"/>
      <c r="O689" s="39"/>
      <c r="P689" s="39"/>
      <c r="Q689" s="39"/>
      <c r="R689" s="39"/>
      <c r="S689" s="39"/>
      <c r="T689" s="3" t="s">
        <v>645</v>
      </c>
      <c r="U689" s="77" t="str">
        <f t="shared" si="4220"/>
        <v/>
      </c>
      <c r="V689" s="39">
        <v>1</v>
      </c>
      <c r="W689" s="79">
        <f t="shared" si="4234"/>
        <v>0</v>
      </c>
      <c r="X689" s="3">
        <v>0</v>
      </c>
      <c r="Y689" s="77" t="str">
        <f t="shared" si="4221"/>
        <v/>
      </c>
      <c r="Z689" s="3"/>
      <c r="AA689" s="37" t="str">
        <f t="shared" si="4235"/>
        <v/>
      </c>
      <c r="AC689" s="40"/>
      <c r="AD689" s="7"/>
      <c r="AE689" s="77" t="str">
        <f t="shared" si="4222"/>
        <v/>
      </c>
      <c r="AF689" s="81">
        <f t="shared" si="4248"/>
        <v>0</v>
      </c>
      <c r="AG689" s="40"/>
      <c r="AH689" s="7"/>
      <c r="AI689" s="77" t="str">
        <f t="shared" si="4223"/>
        <v/>
      </c>
      <c r="AJ689" s="81">
        <f t="shared" si="4249"/>
        <v>0</v>
      </c>
      <c r="AK689" s="83">
        <f t="shared" si="4250"/>
        <v>0</v>
      </c>
      <c r="AL689" s="83">
        <f t="shared" si="4251"/>
        <v>0</v>
      </c>
      <c r="AN689" s="43">
        <f t="shared" si="4224"/>
        <v>0</v>
      </c>
      <c r="AP689" t="str">
        <f t="shared" si="4252"/>
        <v/>
      </c>
      <c r="AQ689" t="str">
        <f t="shared" si="4253"/>
        <v/>
      </c>
      <c r="AR689" t="str">
        <f t="shared" si="4254"/>
        <v/>
      </c>
      <c r="AS689" t="str">
        <f t="shared" si="4255"/>
        <v/>
      </c>
      <c r="AT689" t="str">
        <f t="shared" si="4256"/>
        <v/>
      </c>
      <c r="AU689" t="str">
        <f t="shared" si="4257"/>
        <v/>
      </c>
      <c r="AV689" t="str">
        <f t="shared" si="4258"/>
        <v/>
      </c>
      <c r="AW689" t="str">
        <f t="shared" si="4259"/>
        <v xml:space="preserve">                              </v>
      </c>
      <c r="AX689" s="23">
        <f t="shared" si="4260"/>
        <v>0</v>
      </c>
      <c r="AY689" s="49" t="str">
        <f t="shared" si="4236"/>
        <v>000000000000000</v>
      </c>
      <c r="AZ689" s="23">
        <f t="shared" si="4261"/>
        <v>0</v>
      </c>
      <c r="BA689" s="49" t="str">
        <f t="shared" si="4236"/>
        <v>000000000000000</v>
      </c>
      <c r="BB689" s="23">
        <f t="shared" si="4262"/>
        <v>0</v>
      </c>
      <c r="BC689" s="49" t="str">
        <f t="shared" ref="BC689" si="4491">IF(BB689&lt;0,SUBSTITUTE(TEXT(BB689,"000000000000,00"),",",""),SUBSTITUTE(TEXT(BB689,"0000000000000,00"),",",""))</f>
        <v>000000000000000</v>
      </c>
      <c r="BD689" s="23">
        <f t="shared" si="4264"/>
        <v>0</v>
      </c>
      <c r="BE689" s="49" t="str">
        <f t="shared" ref="BE689" si="4492">IF(BD689&lt;0,SUBSTITUTE(TEXT(BD689,"000000000000,00"),",",""),SUBSTITUTE(TEXT(BD689,"0000000000000,00"),",",""))</f>
        <v>000000000000000</v>
      </c>
      <c r="BF689" s="23">
        <f t="shared" si="4266"/>
        <v>0</v>
      </c>
      <c r="BG689" s="49" t="str">
        <f t="shared" ref="BG689" si="4493">IF(BF689&lt;0,SUBSTITUTE(TEXT(BF689,"000000000000,00"),",",""),SUBSTITUTE(TEXT(BF689,"0000000000000,00"),",",""))</f>
        <v>000000000000000</v>
      </c>
      <c r="BH689" s="23">
        <f t="shared" si="4268"/>
        <v>0</v>
      </c>
      <c r="BI689" s="49" t="str">
        <f t="shared" ref="BI689" si="4494">IF(BH689&lt;0,SUBSTITUTE(TEXT(BH689,"000000000000,00"),",",""),SUBSTITUTE(TEXT(BH689,"0000000000000,00"),",",""))</f>
        <v>000000000000000</v>
      </c>
      <c r="BJ689" s="23">
        <f t="shared" si="4270"/>
        <v>0</v>
      </c>
      <c r="BK689" s="49" t="str">
        <f t="shared" ref="BK689" si="4495">IF(BJ689&lt;0,SUBSTITUTE(TEXT(BJ689,"000000000000,00"),",",""),SUBSTITUTE(TEXT(BJ689,"0000000000000,00"),",",""))</f>
        <v>000000000000000</v>
      </c>
      <c r="BL689" s="23">
        <f t="shared" si="4272"/>
        <v>0</v>
      </c>
      <c r="BM689" s="49" t="str">
        <f t="shared" ref="BM689" si="4496">IF(BL689&lt;0,SUBSTITUTE(TEXT(BL689,"000000000000,00"),",",""),SUBSTITUTE(TEXT(BL689,"0000000000000,00"),",",""))</f>
        <v>000000000000000</v>
      </c>
      <c r="BN689" t="str">
        <f t="shared" si="4274"/>
        <v>PES</v>
      </c>
      <c r="BO689" t="str">
        <f t="shared" si="4275"/>
        <v>0001000000</v>
      </c>
      <c r="BP689">
        <f t="shared" si="4276"/>
        <v>0</v>
      </c>
      <c r="BQ689">
        <f t="shared" si="4277"/>
        <v>0</v>
      </c>
      <c r="BR689" s="23">
        <f t="shared" si="4278"/>
        <v>0</v>
      </c>
      <c r="BS689" s="49" t="str">
        <f t="shared" si="4243"/>
        <v>000000000000000</v>
      </c>
      <c r="BT689" t="str">
        <f t="shared" si="4279"/>
        <v>00000000</v>
      </c>
      <c r="BU689" s="23">
        <f t="shared" si="4280"/>
        <v>0</v>
      </c>
      <c r="BV689" s="49" t="str">
        <f t="shared" si="4244"/>
        <v/>
      </c>
      <c r="BW689" s="52" t="str">
        <f t="shared" si="4281"/>
        <v/>
      </c>
      <c r="BX689" s="23">
        <f t="shared" si="4282"/>
        <v>0</v>
      </c>
      <c r="BY689" s="49" t="str">
        <f t="shared" si="4245"/>
        <v/>
      </c>
      <c r="BZ689" s="23">
        <f t="shared" si="4283"/>
        <v>0</v>
      </c>
      <c r="CA689" s="49" t="str">
        <f t="shared" si="4246"/>
        <v/>
      </c>
      <c r="CB689" s="52" t="str">
        <f t="shared" si="4284"/>
        <v/>
      </c>
      <c r="CC689" s="23">
        <f t="shared" si="4285"/>
        <v>0</v>
      </c>
      <c r="CD689" s="49" t="str">
        <f t="shared" si="4247"/>
        <v/>
      </c>
      <c r="CE689" s="56" t="str">
        <f>IF(CF689="","",MAX(CE$10:$CE688)+1)</f>
        <v/>
      </c>
      <c r="CF689" t="str">
        <f t="shared" si="4286"/>
        <v/>
      </c>
      <c r="CG689" s="22" t="str">
        <f>IF(CH689="","",MAX($CG$10:CG688)+1)</f>
        <v/>
      </c>
      <c r="CH689" s="22" t="str">
        <f t="shared" si="4231"/>
        <v/>
      </c>
      <c r="CI689" s="22" t="str">
        <f>IF(CJ689="","",MAX($CI$10:CI688)+1)</f>
        <v/>
      </c>
      <c r="CJ689" s="22" t="str">
        <f t="shared" si="4232"/>
        <v/>
      </c>
    </row>
    <row r="690" spans="2:88" x14ac:dyDescent="0.25">
      <c r="B690" s="37"/>
      <c r="C690" s="3"/>
      <c r="D690" s="77" t="str">
        <f t="shared" si="4218"/>
        <v/>
      </c>
      <c r="E690" s="38"/>
      <c r="F690" s="38"/>
      <c r="G690" s="78">
        <f t="shared" si="4233"/>
        <v>0</v>
      </c>
      <c r="H690" s="3">
        <v>80</v>
      </c>
      <c r="I690" s="77" t="str">
        <f t="shared" si="4219"/>
        <v/>
      </c>
      <c r="J690" s="32"/>
      <c r="K690" s="3"/>
      <c r="L690" s="39"/>
      <c r="M690" s="39"/>
      <c r="N690" s="39"/>
      <c r="O690" s="39"/>
      <c r="P690" s="39"/>
      <c r="Q690" s="39"/>
      <c r="R690" s="39"/>
      <c r="S690" s="39"/>
      <c r="T690" s="3" t="s">
        <v>645</v>
      </c>
      <c r="U690" s="77" t="str">
        <f t="shared" si="4220"/>
        <v/>
      </c>
      <c r="V690" s="39">
        <v>1</v>
      </c>
      <c r="W690" s="79">
        <f t="shared" si="4234"/>
        <v>0</v>
      </c>
      <c r="X690" s="3">
        <v>0</v>
      </c>
      <c r="Y690" s="77" t="str">
        <f t="shared" si="4221"/>
        <v/>
      </c>
      <c r="Z690" s="3"/>
      <c r="AA690" s="37" t="str">
        <f t="shared" si="4235"/>
        <v/>
      </c>
      <c r="AC690" s="40"/>
      <c r="AD690" s="7"/>
      <c r="AE690" s="77" t="str">
        <f t="shared" si="4222"/>
        <v/>
      </c>
      <c r="AF690" s="81">
        <f t="shared" si="4248"/>
        <v>0</v>
      </c>
      <c r="AG690" s="40"/>
      <c r="AH690" s="7"/>
      <c r="AI690" s="77" t="str">
        <f t="shared" si="4223"/>
        <v/>
      </c>
      <c r="AJ690" s="81">
        <f t="shared" si="4249"/>
        <v>0</v>
      </c>
      <c r="AK690" s="83">
        <f t="shared" si="4250"/>
        <v>0</v>
      </c>
      <c r="AL690" s="83">
        <f t="shared" si="4251"/>
        <v>0</v>
      </c>
      <c r="AN690" s="43">
        <f t="shared" si="4224"/>
        <v>0</v>
      </c>
      <c r="AP690" t="str">
        <f t="shared" si="4252"/>
        <v/>
      </c>
      <c r="AQ690" t="str">
        <f t="shared" si="4253"/>
        <v/>
      </c>
      <c r="AR690" t="str">
        <f t="shared" si="4254"/>
        <v/>
      </c>
      <c r="AS690" t="str">
        <f t="shared" si="4255"/>
        <v/>
      </c>
      <c r="AT690" t="str">
        <f t="shared" si="4256"/>
        <v/>
      </c>
      <c r="AU690" t="str">
        <f t="shared" si="4257"/>
        <v/>
      </c>
      <c r="AV690" t="str">
        <f t="shared" si="4258"/>
        <v/>
      </c>
      <c r="AW690" t="str">
        <f t="shared" si="4259"/>
        <v xml:space="preserve">                              </v>
      </c>
      <c r="AX690" s="23">
        <f t="shared" si="4260"/>
        <v>0</v>
      </c>
      <c r="AY690" s="49" t="str">
        <f t="shared" si="4236"/>
        <v>000000000000000</v>
      </c>
      <c r="AZ690" s="23">
        <f t="shared" si="4261"/>
        <v>0</v>
      </c>
      <c r="BA690" s="49" t="str">
        <f t="shared" si="4236"/>
        <v>000000000000000</v>
      </c>
      <c r="BB690" s="23">
        <f t="shared" si="4262"/>
        <v>0</v>
      </c>
      <c r="BC690" s="49" t="str">
        <f t="shared" ref="BC690" si="4497">IF(BB690&lt;0,SUBSTITUTE(TEXT(BB690,"000000000000,00"),",",""),SUBSTITUTE(TEXT(BB690,"0000000000000,00"),",",""))</f>
        <v>000000000000000</v>
      </c>
      <c r="BD690" s="23">
        <f t="shared" si="4264"/>
        <v>0</v>
      </c>
      <c r="BE690" s="49" t="str">
        <f t="shared" ref="BE690" si="4498">IF(BD690&lt;0,SUBSTITUTE(TEXT(BD690,"000000000000,00"),",",""),SUBSTITUTE(TEXT(BD690,"0000000000000,00"),",",""))</f>
        <v>000000000000000</v>
      </c>
      <c r="BF690" s="23">
        <f t="shared" si="4266"/>
        <v>0</v>
      </c>
      <c r="BG690" s="49" t="str">
        <f t="shared" ref="BG690" si="4499">IF(BF690&lt;0,SUBSTITUTE(TEXT(BF690,"000000000000,00"),",",""),SUBSTITUTE(TEXT(BF690,"0000000000000,00"),",",""))</f>
        <v>000000000000000</v>
      </c>
      <c r="BH690" s="23">
        <f t="shared" si="4268"/>
        <v>0</v>
      </c>
      <c r="BI690" s="49" t="str">
        <f t="shared" ref="BI690" si="4500">IF(BH690&lt;0,SUBSTITUTE(TEXT(BH690,"000000000000,00"),",",""),SUBSTITUTE(TEXT(BH690,"0000000000000,00"),",",""))</f>
        <v>000000000000000</v>
      </c>
      <c r="BJ690" s="23">
        <f t="shared" si="4270"/>
        <v>0</v>
      </c>
      <c r="BK690" s="49" t="str">
        <f t="shared" ref="BK690" si="4501">IF(BJ690&lt;0,SUBSTITUTE(TEXT(BJ690,"000000000000,00"),",",""),SUBSTITUTE(TEXT(BJ690,"0000000000000,00"),",",""))</f>
        <v>000000000000000</v>
      </c>
      <c r="BL690" s="23">
        <f t="shared" si="4272"/>
        <v>0</v>
      </c>
      <c r="BM690" s="49" t="str">
        <f t="shared" ref="BM690" si="4502">IF(BL690&lt;0,SUBSTITUTE(TEXT(BL690,"000000000000,00"),",",""),SUBSTITUTE(TEXT(BL690,"0000000000000,00"),",",""))</f>
        <v>000000000000000</v>
      </c>
      <c r="BN690" t="str">
        <f t="shared" si="4274"/>
        <v>PES</v>
      </c>
      <c r="BO690" t="str">
        <f t="shared" si="4275"/>
        <v>0001000000</v>
      </c>
      <c r="BP690">
        <f t="shared" si="4276"/>
        <v>0</v>
      </c>
      <c r="BQ690">
        <f t="shared" si="4277"/>
        <v>0</v>
      </c>
      <c r="BR690" s="23">
        <f t="shared" si="4278"/>
        <v>0</v>
      </c>
      <c r="BS690" s="49" t="str">
        <f t="shared" si="4243"/>
        <v>000000000000000</v>
      </c>
      <c r="BT690" t="str">
        <f t="shared" si="4279"/>
        <v>00000000</v>
      </c>
      <c r="BU690" s="23">
        <f t="shared" si="4280"/>
        <v>0</v>
      </c>
      <c r="BV690" s="49" t="str">
        <f t="shared" si="4244"/>
        <v/>
      </c>
      <c r="BW690" s="52" t="str">
        <f t="shared" si="4281"/>
        <v/>
      </c>
      <c r="BX690" s="23">
        <f t="shared" si="4282"/>
        <v>0</v>
      </c>
      <c r="BY690" s="49" t="str">
        <f t="shared" si="4245"/>
        <v/>
      </c>
      <c r="BZ690" s="23">
        <f t="shared" si="4283"/>
        <v>0</v>
      </c>
      <c r="CA690" s="49" t="str">
        <f t="shared" si="4246"/>
        <v/>
      </c>
      <c r="CB690" s="52" t="str">
        <f t="shared" si="4284"/>
        <v/>
      </c>
      <c r="CC690" s="23">
        <f t="shared" si="4285"/>
        <v>0</v>
      </c>
      <c r="CD690" s="49" t="str">
        <f t="shared" si="4247"/>
        <v/>
      </c>
      <c r="CE690" s="56" t="str">
        <f>IF(CF690="","",MAX(CE$10:$CE689)+1)</f>
        <v/>
      </c>
      <c r="CF690" t="str">
        <f t="shared" si="4286"/>
        <v/>
      </c>
      <c r="CG690" s="22" t="str">
        <f>IF(CH690="","",MAX($CG$10:CG689)+1)</f>
        <v/>
      </c>
      <c r="CH690" s="22" t="str">
        <f t="shared" si="4231"/>
        <v/>
      </c>
      <c r="CI690" s="22" t="str">
        <f>IF(CJ690="","",MAX($CI$10:CI689)+1)</f>
        <v/>
      </c>
      <c r="CJ690" s="22" t="str">
        <f t="shared" si="4232"/>
        <v/>
      </c>
    </row>
    <row r="691" spans="2:88" x14ac:dyDescent="0.25">
      <c r="B691" s="37"/>
      <c r="C691" s="3"/>
      <c r="D691" s="77" t="str">
        <f t="shared" si="4218"/>
        <v/>
      </c>
      <c r="E691" s="38"/>
      <c r="F691" s="38"/>
      <c r="G691" s="78">
        <f t="shared" si="4233"/>
        <v>0</v>
      </c>
      <c r="H691" s="3">
        <v>80</v>
      </c>
      <c r="I691" s="77" t="str">
        <f t="shared" si="4219"/>
        <v/>
      </c>
      <c r="J691" s="32"/>
      <c r="K691" s="3"/>
      <c r="L691" s="39"/>
      <c r="M691" s="39"/>
      <c r="N691" s="39"/>
      <c r="O691" s="39"/>
      <c r="P691" s="39"/>
      <c r="Q691" s="39"/>
      <c r="R691" s="39"/>
      <c r="S691" s="39"/>
      <c r="T691" s="3" t="s">
        <v>645</v>
      </c>
      <c r="U691" s="77" t="str">
        <f t="shared" si="4220"/>
        <v/>
      </c>
      <c r="V691" s="39">
        <v>1</v>
      </c>
      <c r="W691" s="79">
        <f t="shared" si="4234"/>
        <v>0</v>
      </c>
      <c r="X691" s="3">
        <v>0</v>
      </c>
      <c r="Y691" s="77" t="str">
        <f t="shared" si="4221"/>
        <v/>
      </c>
      <c r="Z691" s="3"/>
      <c r="AA691" s="37" t="str">
        <f t="shared" si="4235"/>
        <v/>
      </c>
      <c r="AC691" s="40"/>
      <c r="AD691" s="7"/>
      <c r="AE691" s="77" t="str">
        <f t="shared" si="4222"/>
        <v/>
      </c>
      <c r="AF691" s="81">
        <f t="shared" si="4248"/>
        <v>0</v>
      </c>
      <c r="AG691" s="40"/>
      <c r="AH691" s="7"/>
      <c r="AI691" s="77" t="str">
        <f t="shared" si="4223"/>
        <v/>
      </c>
      <c r="AJ691" s="81">
        <f t="shared" si="4249"/>
        <v>0</v>
      </c>
      <c r="AK691" s="83">
        <f t="shared" si="4250"/>
        <v>0</v>
      </c>
      <c r="AL691" s="83">
        <f t="shared" si="4251"/>
        <v>0</v>
      </c>
      <c r="AN691" s="43">
        <f t="shared" si="4224"/>
        <v>0</v>
      </c>
      <c r="AP691" t="str">
        <f t="shared" si="4252"/>
        <v/>
      </c>
      <c r="AQ691" t="str">
        <f t="shared" si="4253"/>
        <v/>
      </c>
      <c r="AR691" t="str">
        <f t="shared" si="4254"/>
        <v/>
      </c>
      <c r="AS691" t="str">
        <f t="shared" si="4255"/>
        <v/>
      </c>
      <c r="AT691" t="str">
        <f t="shared" si="4256"/>
        <v/>
      </c>
      <c r="AU691" t="str">
        <f t="shared" si="4257"/>
        <v/>
      </c>
      <c r="AV691" t="str">
        <f t="shared" si="4258"/>
        <v/>
      </c>
      <c r="AW691" t="str">
        <f t="shared" si="4259"/>
        <v xml:space="preserve">                              </v>
      </c>
      <c r="AX691" s="23">
        <f t="shared" si="4260"/>
        <v>0</v>
      </c>
      <c r="AY691" s="49" t="str">
        <f t="shared" si="4236"/>
        <v>000000000000000</v>
      </c>
      <c r="AZ691" s="23">
        <f t="shared" si="4261"/>
        <v>0</v>
      </c>
      <c r="BA691" s="49" t="str">
        <f t="shared" si="4236"/>
        <v>000000000000000</v>
      </c>
      <c r="BB691" s="23">
        <f t="shared" si="4262"/>
        <v>0</v>
      </c>
      <c r="BC691" s="49" t="str">
        <f t="shared" ref="BC691" si="4503">IF(BB691&lt;0,SUBSTITUTE(TEXT(BB691,"000000000000,00"),",",""),SUBSTITUTE(TEXT(BB691,"0000000000000,00"),",",""))</f>
        <v>000000000000000</v>
      </c>
      <c r="BD691" s="23">
        <f t="shared" si="4264"/>
        <v>0</v>
      </c>
      <c r="BE691" s="49" t="str">
        <f t="shared" ref="BE691" si="4504">IF(BD691&lt;0,SUBSTITUTE(TEXT(BD691,"000000000000,00"),",",""),SUBSTITUTE(TEXT(BD691,"0000000000000,00"),",",""))</f>
        <v>000000000000000</v>
      </c>
      <c r="BF691" s="23">
        <f t="shared" si="4266"/>
        <v>0</v>
      </c>
      <c r="BG691" s="49" t="str">
        <f t="shared" ref="BG691" si="4505">IF(BF691&lt;0,SUBSTITUTE(TEXT(BF691,"000000000000,00"),",",""),SUBSTITUTE(TEXT(BF691,"0000000000000,00"),",",""))</f>
        <v>000000000000000</v>
      </c>
      <c r="BH691" s="23">
        <f t="shared" si="4268"/>
        <v>0</v>
      </c>
      <c r="BI691" s="49" t="str">
        <f t="shared" ref="BI691" si="4506">IF(BH691&lt;0,SUBSTITUTE(TEXT(BH691,"000000000000,00"),",",""),SUBSTITUTE(TEXT(BH691,"0000000000000,00"),",",""))</f>
        <v>000000000000000</v>
      </c>
      <c r="BJ691" s="23">
        <f t="shared" si="4270"/>
        <v>0</v>
      </c>
      <c r="BK691" s="49" t="str">
        <f t="shared" ref="BK691" si="4507">IF(BJ691&lt;0,SUBSTITUTE(TEXT(BJ691,"000000000000,00"),",",""),SUBSTITUTE(TEXT(BJ691,"0000000000000,00"),",",""))</f>
        <v>000000000000000</v>
      </c>
      <c r="BL691" s="23">
        <f t="shared" si="4272"/>
        <v>0</v>
      </c>
      <c r="BM691" s="49" t="str">
        <f t="shared" ref="BM691" si="4508">IF(BL691&lt;0,SUBSTITUTE(TEXT(BL691,"000000000000,00"),",",""),SUBSTITUTE(TEXT(BL691,"0000000000000,00"),",",""))</f>
        <v>000000000000000</v>
      </c>
      <c r="BN691" t="str">
        <f t="shared" si="4274"/>
        <v>PES</v>
      </c>
      <c r="BO691" t="str">
        <f t="shared" si="4275"/>
        <v>0001000000</v>
      </c>
      <c r="BP691">
        <f t="shared" si="4276"/>
        <v>0</v>
      </c>
      <c r="BQ691">
        <f t="shared" si="4277"/>
        <v>0</v>
      </c>
      <c r="BR691" s="23">
        <f t="shared" si="4278"/>
        <v>0</v>
      </c>
      <c r="BS691" s="49" t="str">
        <f t="shared" si="4243"/>
        <v>000000000000000</v>
      </c>
      <c r="BT691" t="str">
        <f t="shared" si="4279"/>
        <v>00000000</v>
      </c>
      <c r="BU691" s="23">
        <f t="shared" si="4280"/>
        <v>0</v>
      </c>
      <c r="BV691" s="49" t="str">
        <f t="shared" si="4244"/>
        <v/>
      </c>
      <c r="BW691" s="52" t="str">
        <f t="shared" si="4281"/>
        <v/>
      </c>
      <c r="BX691" s="23">
        <f t="shared" si="4282"/>
        <v>0</v>
      </c>
      <c r="BY691" s="49" t="str">
        <f t="shared" si="4245"/>
        <v/>
      </c>
      <c r="BZ691" s="23">
        <f t="shared" si="4283"/>
        <v>0</v>
      </c>
      <c r="CA691" s="49" t="str">
        <f t="shared" si="4246"/>
        <v/>
      </c>
      <c r="CB691" s="52" t="str">
        <f t="shared" si="4284"/>
        <v/>
      </c>
      <c r="CC691" s="23">
        <f t="shared" si="4285"/>
        <v>0</v>
      </c>
      <c r="CD691" s="49" t="str">
        <f t="shared" si="4247"/>
        <v/>
      </c>
      <c r="CE691" s="56" t="str">
        <f>IF(CF691="","",MAX(CE$10:$CE690)+1)</f>
        <v/>
      </c>
      <c r="CF691" t="str">
        <f t="shared" si="4286"/>
        <v/>
      </c>
      <c r="CG691" s="22" t="str">
        <f>IF(CH691="","",MAX($CG$10:CG690)+1)</f>
        <v/>
      </c>
      <c r="CH691" s="22" t="str">
        <f t="shared" si="4231"/>
        <v/>
      </c>
      <c r="CI691" s="22" t="str">
        <f>IF(CJ691="","",MAX($CI$10:CI690)+1)</f>
        <v/>
      </c>
      <c r="CJ691" s="22" t="str">
        <f t="shared" si="4232"/>
        <v/>
      </c>
    </row>
    <row r="692" spans="2:88" x14ac:dyDescent="0.25">
      <c r="B692" s="37"/>
      <c r="C692" s="3"/>
      <c r="D692" s="77" t="str">
        <f t="shared" si="4218"/>
        <v/>
      </c>
      <c r="E692" s="38"/>
      <c r="F692" s="38"/>
      <c r="G692" s="78">
        <f t="shared" si="4233"/>
        <v>0</v>
      </c>
      <c r="H692" s="3">
        <v>80</v>
      </c>
      <c r="I692" s="77" t="str">
        <f t="shared" si="4219"/>
        <v/>
      </c>
      <c r="J692" s="32"/>
      <c r="K692" s="3"/>
      <c r="L692" s="39"/>
      <c r="M692" s="39"/>
      <c r="N692" s="39"/>
      <c r="O692" s="39"/>
      <c r="P692" s="39"/>
      <c r="Q692" s="39"/>
      <c r="R692" s="39"/>
      <c r="S692" s="39"/>
      <c r="T692" s="3" t="s">
        <v>645</v>
      </c>
      <c r="U692" s="77" t="str">
        <f t="shared" si="4220"/>
        <v/>
      </c>
      <c r="V692" s="39">
        <v>1</v>
      </c>
      <c r="W692" s="79">
        <f t="shared" si="4234"/>
        <v>0</v>
      </c>
      <c r="X692" s="3">
        <v>0</v>
      </c>
      <c r="Y692" s="77" t="str">
        <f t="shared" si="4221"/>
        <v/>
      </c>
      <c r="Z692" s="3"/>
      <c r="AA692" s="37" t="str">
        <f t="shared" si="4235"/>
        <v/>
      </c>
      <c r="AC692" s="40"/>
      <c r="AD692" s="7"/>
      <c r="AE692" s="77" t="str">
        <f t="shared" si="4222"/>
        <v/>
      </c>
      <c r="AF692" s="81">
        <f t="shared" si="4248"/>
        <v>0</v>
      </c>
      <c r="AG692" s="40"/>
      <c r="AH692" s="7"/>
      <c r="AI692" s="77" t="str">
        <f t="shared" si="4223"/>
        <v/>
      </c>
      <c r="AJ692" s="81">
        <f t="shared" si="4249"/>
        <v>0</v>
      </c>
      <c r="AK692" s="83">
        <f t="shared" si="4250"/>
        <v>0</v>
      </c>
      <c r="AL692" s="83">
        <f t="shared" si="4251"/>
        <v>0</v>
      </c>
      <c r="AN692" s="43">
        <f t="shared" si="4224"/>
        <v>0</v>
      </c>
      <c r="AP692" t="str">
        <f t="shared" si="4252"/>
        <v/>
      </c>
      <c r="AQ692" t="str">
        <f t="shared" si="4253"/>
        <v/>
      </c>
      <c r="AR692" t="str">
        <f t="shared" si="4254"/>
        <v/>
      </c>
      <c r="AS692" t="str">
        <f t="shared" si="4255"/>
        <v/>
      </c>
      <c r="AT692" t="str">
        <f t="shared" si="4256"/>
        <v/>
      </c>
      <c r="AU692" t="str">
        <f t="shared" si="4257"/>
        <v/>
      </c>
      <c r="AV692" t="str">
        <f t="shared" si="4258"/>
        <v/>
      </c>
      <c r="AW692" t="str">
        <f t="shared" si="4259"/>
        <v xml:space="preserve">                              </v>
      </c>
      <c r="AX692" s="23">
        <f t="shared" si="4260"/>
        <v>0</v>
      </c>
      <c r="AY692" s="49" t="str">
        <f t="shared" si="4236"/>
        <v>000000000000000</v>
      </c>
      <c r="AZ692" s="23">
        <f t="shared" si="4261"/>
        <v>0</v>
      </c>
      <c r="BA692" s="49" t="str">
        <f t="shared" si="4236"/>
        <v>000000000000000</v>
      </c>
      <c r="BB692" s="23">
        <f t="shared" si="4262"/>
        <v>0</v>
      </c>
      <c r="BC692" s="49" t="str">
        <f t="shared" ref="BC692" si="4509">IF(BB692&lt;0,SUBSTITUTE(TEXT(BB692,"000000000000,00"),",",""),SUBSTITUTE(TEXT(BB692,"0000000000000,00"),",",""))</f>
        <v>000000000000000</v>
      </c>
      <c r="BD692" s="23">
        <f t="shared" si="4264"/>
        <v>0</v>
      </c>
      <c r="BE692" s="49" t="str">
        <f t="shared" ref="BE692" si="4510">IF(BD692&lt;0,SUBSTITUTE(TEXT(BD692,"000000000000,00"),",",""),SUBSTITUTE(TEXT(BD692,"0000000000000,00"),",",""))</f>
        <v>000000000000000</v>
      </c>
      <c r="BF692" s="23">
        <f t="shared" si="4266"/>
        <v>0</v>
      </c>
      <c r="BG692" s="49" t="str">
        <f t="shared" ref="BG692" si="4511">IF(BF692&lt;0,SUBSTITUTE(TEXT(BF692,"000000000000,00"),",",""),SUBSTITUTE(TEXT(BF692,"0000000000000,00"),",",""))</f>
        <v>000000000000000</v>
      </c>
      <c r="BH692" s="23">
        <f t="shared" si="4268"/>
        <v>0</v>
      </c>
      <c r="BI692" s="49" t="str">
        <f t="shared" ref="BI692" si="4512">IF(BH692&lt;0,SUBSTITUTE(TEXT(BH692,"000000000000,00"),",",""),SUBSTITUTE(TEXT(BH692,"0000000000000,00"),",",""))</f>
        <v>000000000000000</v>
      </c>
      <c r="BJ692" s="23">
        <f t="shared" si="4270"/>
        <v>0</v>
      </c>
      <c r="BK692" s="49" t="str">
        <f t="shared" ref="BK692" si="4513">IF(BJ692&lt;0,SUBSTITUTE(TEXT(BJ692,"000000000000,00"),",",""),SUBSTITUTE(TEXT(BJ692,"0000000000000,00"),",",""))</f>
        <v>000000000000000</v>
      </c>
      <c r="BL692" s="23">
        <f t="shared" si="4272"/>
        <v>0</v>
      </c>
      <c r="BM692" s="49" t="str">
        <f t="shared" ref="BM692" si="4514">IF(BL692&lt;0,SUBSTITUTE(TEXT(BL692,"000000000000,00"),",",""),SUBSTITUTE(TEXT(BL692,"0000000000000,00"),",",""))</f>
        <v>000000000000000</v>
      </c>
      <c r="BN692" t="str">
        <f t="shared" si="4274"/>
        <v>PES</v>
      </c>
      <c r="BO692" t="str">
        <f t="shared" si="4275"/>
        <v>0001000000</v>
      </c>
      <c r="BP692">
        <f t="shared" si="4276"/>
        <v>0</v>
      </c>
      <c r="BQ692">
        <f t="shared" si="4277"/>
        <v>0</v>
      </c>
      <c r="BR692" s="23">
        <f t="shared" si="4278"/>
        <v>0</v>
      </c>
      <c r="BS692" s="49" t="str">
        <f t="shared" si="4243"/>
        <v>000000000000000</v>
      </c>
      <c r="BT692" t="str">
        <f t="shared" si="4279"/>
        <v>00000000</v>
      </c>
      <c r="BU692" s="23">
        <f t="shared" si="4280"/>
        <v>0</v>
      </c>
      <c r="BV692" s="49" t="str">
        <f t="shared" si="4244"/>
        <v/>
      </c>
      <c r="BW692" s="52" t="str">
        <f t="shared" si="4281"/>
        <v/>
      </c>
      <c r="BX692" s="23">
        <f t="shared" si="4282"/>
        <v>0</v>
      </c>
      <c r="BY692" s="49" t="str">
        <f t="shared" si="4245"/>
        <v/>
      </c>
      <c r="BZ692" s="23">
        <f t="shared" si="4283"/>
        <v>0</v>
      </c>
      <c r="CA692" s="49" t="str">
        <f t="shared" si="4246"/>
        <v/>
      </c>
      <c r="CB692" s="52" t="str">
        <f t="shared" si="4284"/>
        <v/>
      </c>
      <c r="CC692" s="23">
        <f t="shared" si="4285"/>
        <v>0</v>
      </c>
      <c r="CD692" s="49" t="str">
        <f t="shared" si="4247"/>
        <v/>
      </c>
      <c r="CE692" s="56" t="str">
        <f>IF(CF692="","",MAX(CE$10:$CE691)+1)</f>
        <v/>
      </c>
      <c r="CF692" t="str">
        <f t="shared" si="4286"/>
        <v/>
      </c>
      <c r="CG692" s="22" t="str">
        <f>IF(CH692="","",MAX($CG$10:CG691)+1)</f>
        <v/>
      </c>
      <c r="CH692" s="22" t="str">
        <f t="shared" si="4231"/>
        <v/>
      </c>
      <c r="CI692" s="22" t="str">
        <f>IF(CJ692="","",MAX($CI$10:CI691)+1)</f>
        <v/>
      </c>
      <c r="CJ692" s="22" t="str">
        <f t="shared" si="4232"/>
        <v/>
      </c>
    </row>
    <row r="693" spans="2:88" x14ac:dyDescent="0.25">
      <c r="B693" s="37"/>
      <c r="C693" s="3"/>
      <c r="D693" s="77" t="str">
        <f t="shared" si="4218"/>
        <v/>
      </c>
      <c r="E693" s="38"/>
      <c r="F693" s="38"/>
      <c r="G693" s="78">
        <f t="shared" si="4233"/>
        <v>0</v>
      </c>
      <c r="H693" s="3">
        <v>80</v>
      </c>
      <c r="I693" s="77" t="str">
        <f t="shared" si="4219"/>
        <v/>
      </c>
      <c r="J693" s="32"/>
      <c r="K693" s="3"/>
      <c r="L693" s="39"/>
      <c r="M693" s="39"/>
      <c r="N693" s="39"/>
      <c r="O693" s="39"/>
      <c r="P693" s="39"/>
      <c r="Q693" s="39"/>
      <c r="R693" s="39"/>
      <c r="S693" s="39"/>
      <c r="T693" s="3" t="s">
        <v>645</v>
      </c>
      <c r="U693" s="77" t="str">
        <f t="shared" si="4220"/>
        <v/>
      </c>
      <c r="V693" s="39">
        <v>1</v>
      </c>
      <c r="W693" s="79">
        <f t="shared" si="4234"/>
        <v>0</v>
      </c>
      <c r="X693" s="3">
        <v>0</v>
      </c>
      <c r="Y693" s="77" t="str">
        <f t="shared" si="4221"/>
        <v/>
      </c>
      <c r="Z693" s="3"/>
      <c r="AA693" s="37" t="str">
        <f t="shared" si="4235"/>
        <v/>
      </c>
      <c r="AC693" s="40"/>
      <c r="AD693" s="7"/>
      <c r="AE693" s="77" t="str">
        <f t="shared" si="4222"/>
        <v/>
      </c>
      <c r="AF693" s="81">
        <f t="shared" si="4248"/>
        <v>0</v>
      </c>
      <c r="AG693" s="40"/>
      <c r="AH693" s="7"/>
      <c r="AI693" s="77" t="str">
        <f t="shared" si="4223"/>
        <v/>
      </c>
      <c r="AJ693" s="81">
        <f t="shared" si="4249"/>
        <v>0</v>
      </c>
      <c r="AK693" s="83">
        <f t="shared" si="4250"/>
        <v>0</v>
      </c>
      <c r="AL693" s="83">
        <f t="shared" si="4251"/>
        <v>0</v>
      </c>
      <c r="AN693" s="43">
        <f t="shared" si="4224"/>
        <v>0</v>
      </c>
      <c r="AP693" t="str">
        <f t="shared" si="4252"/>
        <v/>
      </c>
      <c r="AQ693" t="str">
        <f t="shared" si="4253"/>
        <v/>
      </c>
      <c r="AR693" t="str">
        <f t="shared" si="4254"/>
        <v/>
      </c>
      <c r="AS693" t="str">
        <f t="shared" si="4255"/>
        <v/>
      </c>
      <c r="AT693" t="str">
        <f t="shared" si="4256"/>
        <v/>
      </c>
      <c r="AU693" t="str">
        <f t="shared" si="4257"/>
        <v/>
      </c>
      <c r="AV693" t="str">
        <f t="shared" si="4258"/>
        <v/>
      </c>
      <c r="AW693" t="str">
        <f t="shared" si="4259"/>
        <v xml:space="preserve">                              </v>
      </c>
      <c r="AX693" s="23">
        <f t="shared" si="4260"/>
        <v>0</v>
      </c>
      <c r="AY693" s="49" t="str">
        <f t="shared" si="4236"/>
        <v>000000000000000</v>
      </c>
      <c r="AZ693" s="23">
        <f t="shared" si="4261"/>
        <v>0</v>
      </c>
      <c r="BA693" s="49" t="str">
        <f t="shared" si="4236"/>
        <v>000000000000000</v>
      </c>
      <c r="BB693" s="23">
        <f t="shared" si="4262"/>
        <v>0</v>
      </c>
      <c r="BC693" s="49" t="str">
        <f t="shared" ref="BC693" si="4515">IF(BB693&lt;0,SUBSTITUTE(TEXT(BB693,"000000000000,00"),",",""),SUBSTITUTE(TEXT(BB693,"0000000000000,00"),",",""))</f>
        <v>000000000000000</v>
      </c>
      <c r="BD693" s="23">
        <f t="shared" si="4264"/>
        <v>0</v>
      </c>
      <c r="BE693" s="49" t="str">
        <f t="shared" ref="BE693" si="4516">IF(BD693&lt;0,SUBSTITUTE(TEXT(BD693,"000000000000,00"),",",""),SUBSTITUTE(TEXT(BD693,"0000000000000,00"),",",""))</f>
        <v>000000000000000</v>
      </c>
      <c r="BF693" s="23">
        <f t="shared" si="4266"/>
        <v>0</v>
      </c>
      <c r="BG693" s="49" t="str">
        <f t="shared" ref="BG693" si="4517">IF(BF693&lt;0,SUBSTITUTE(TEXT(BF693,"000000000000,00"),",",""),SUBSTITUTE(TEXT(BF693,"0000000000000,00"),",",""))</f>
        <v>000000000000000</v>
      </c>
      <c r="BH693" s="23">
        <f t="shared" si="4268"/>
        <v>0</v>
      </c>
      <c r="BI693" s="49" t="str">
        <f t="shared" ref="BI693" si="4518">IF(BH693&lt;0,SUBSTITUTE(TEXT(BH693,"000000000000,00"),",",""),SUBSTITUTE(TEXT(BH693,"0000000000000,00"),",",""))</f>
        <v>000000000000000</v>
      </c>
      <c r="BJ693" s="23">
        <f t="shared" si="4270"/>
        <v>0</v>
      </c>
      <c r="BK693" s="49" t="str">
        <f t="shared" ref="BK693" si="4519">IF(BJ693&lt;0,SUBSTITUTE(TEXT(BJ693,"000000000000,00"),",",""),SUBSTITUTE(TEXT(BJ693,"0000000000000,00"),",",""))</f>
        <v>000000000000000</v>
      </c>
      <c r="BL693" s="23">
        <f t="shared" si="4272"/>
        <v>0</v>
      </c>
      <c r="BM693" s="49" t="str">
        <f t="shared" ref="BM693" si="4520">IF(BL693&lt;0,SUBSTITUTE(TEXT(BL693,"000000000000,00"),",",""),SUBSTITUTE(TEXT(BL693,"0000000000000,00"),",",""))</f>
        <v>000000000000000</v>
      </c>
      <c r="BN693" t="str">
        <f t="shared" si="4274"/>
        <v>PES</v>
      </c>
      <c r="BO693" t="str">
        <f t="shared" si="4275"/>
        <v>0001000000</v>
      </c>
      <c r="BP693">
        <f t="shared" si="4276"/>
        <v>0</v>
      </c>
      <c r="BQ693">
        <f t="shared" si="4277"/>
        <v>0</v>
      </c>
      <c r="BR693" s="23">
        <f t="shared" si="4278"/>
        <v>0</v>
      </c>
      <c r="BS693" s="49" t="str">
        <f t="shared" si="4243"/>
        <v>000000000000000</v>
      </c>
      <c r="BT693" t="str">
        <f t="shared" si="4279"/>
        <v>00000000</v>
      </c>
      <c r="BU693" s="23">
        <f t="shared" si="4280"/>
        <v>0</v>
      </c>
      <c r="BV693" s="49" t="str">
        <f t="shared" si="4244"/>
        <v/>
      </c>
      <c r="BW693" s="52" t="str">
        <f t="shared" si="4281"/>
        <v/>
      </c>
      <c r="BX693" s="23">
        <f t="shared" si="4282"/>
        <v>0</v>
      </c>
      <c r="BY693" s="49" t="str">
        <f t="shared" si="4245"/>
        <v/>
      </c>
      <c r="BZ693" s="23">
        <f t="shared" si="4283"/>
        <v>0</v>
      </c>
      <c r="CA693" s="49" t="str">
        <f t="shared" si="4246"/>
        <v/>
      </c>
      <c r="CB693" s="52" t="str">
        <f t="shared" si="4284"/>
        <v/>
      </c>
      <c r="CC693" s="23">
        <f t="shared" si="4285"/>
        <v>0</v>
      </c>
      <c r="CD693" s="49" t="str">
        <f t="shared" si="4247"/>
        <v/>
      </c>
      <c r="CE693" s="56" t="str">
        <f>IF(CF693="","",MAX(CE$10:$CE692)+1)</f>
        <v/>
      </c>
      <c r="CF693" t="str">
        <f t="shared" si="4286"/>
        <v/>
      </c>
      <c r="CG693" s="22" t="str">
        <f>IF(CH693="","",MAX($CG$10:CG692)+1)</f>
        <v/>
      </c>
      <c r="CH693" s="22" t="str">
        <f t="shared" si="4231"/>
        <v/>
      </c>
      <c r="CI693" s="22" t="str">
        <f>IF(CJ693="","",MAX($CI$10:CI692)+1)</f>
        <v/>
      </c>
      <c r="CJ693" s="22" t="str">
        <f t="shared" si="4232"/>
        <v/>
      </c>
    </row>
    <row r="694" spans="2:88" x14ac:dyDescent="0.25">
      <c r="B694" s="37"/>
      <c r="C694" s="3"/>
      <c r="D694" s="77" t="str">
        <f t="shared" si="4218"/>
        <v/>
      </c>
      <c r="E694" s="38"/>
      <c r="F694" s="38"/>
      <c r="G694" s="78">
        <f t="shared" si="4233"/>
        <v>0</v>
      </c>
      <c r="H694" s="3">
        <v>80</v>
      </c>
      <c r="I694" s="77" t="str">
        <f t="shared" si="4219"/>
        <v/>
      </c>
      <c r="J694" s="32"/>
      <c r="K694" s="3"/>
      <c r="L694" s="39"/>
      <c r="M694" s="39"/>
      <c r="N694" s="39"/>
      <c r="O694" s="39"/>
      <c r="P694" s="39"/>
      <c r="Q694" s="39"/>
      <c r="R694" s="39"/>
      <c r="S694" s="39"/>
      <c r="T694" s="3" t="s">
        <v>645</v>
      </c>
      <c r="U694" s="77" t="str">
        <f t="shared" si="4220"/>
        <v/>
      </c>
      <c r="V694" s="39">
        <v>1</v>
      </c>
      <c r="W694" s="79">
        <f t="shared" si="4234"/>
        <v>0</v>
      </c>
      <c r="X694" s="3">
        <v>0</v>
      </c>
      <c r="Y694" s="77" t="str">
        <f t="shared" si="4221"/>
        <v/>
      </c>
      <c r="Z694" s="3"/>
      <c r="AA694" s="37" t="str">
        <f t="shared" si="4235"/>
        <v/>
      </c>
      <c r="AC694" s="40"/>
      <c r="AD694" s="7"/>
      <c r="AE694" s="77" t="str">
        <f t="shared" si="4222"/>
        <v/>
      </c>
      <c r="AF694" s="81">
        <f t="shared" si="4248"/>
        <v>0</v>
      </c>
      <c r="AG694" s="40"/>
      <c r="AH694" s="7"/>
      <c r="AI694" s="77" t="str">
        <f t="shared" si="4223"/>
        <v/>
      </c>
      <c r="AJ694" s="81">
        <f t="shared" si="4249"/>
        <v>0</v>
      </c>
      <c r="AK694" s="83">
        <f t="shared" si="4250"/>
        <v>0</v>
      </c>
      <c r="AL694" s="83">
        <f t="shared" si="4251"/>
        <v>0</v>
      </c>
      <c r="AN694" s="43">
        <f t="shared" si="4224"/>
        <v>0</v>
      </c>
      <c r="AP694" t="str">
        <f t="shared" si="4252"/>
        <v/>
      </c>
      <c r="AQ694" t="str">
        <f t="shared" si="4253"/>
        <v/>
      </c>
      <c r="AR694" t="str">
        <f t="shared" si="4254"/>
        <v/>
      </c>
      <c r="AS694" t="str">
        <f t="shared" si="4255"/>
        <v/>
      </c>
      <c r="AT694" t="str">
        <f t="shared" si="4256"/>
        <v/>
      </c>
      <c r="AU694" t="str">
        <f t="shared" si="4257"/>
        <v/>
      </c>
      <c r="AV694" t="str">
        <f t="shared" si="4258"/>
        <v/>
      </c>
      <c r="AW694" t="str">
        <f t="shared" si="4259"/>
        <v xml:space="preserve">                              </v>
      </c>
      <c r="AX694" s="23">
        <f t="shared" si="4260"/>
        <v>0</v>
      </c>
      <c r="AY694" s="49" t="str">
        <f t="shared" si="4236"/>
        <v>000000000000000</v>
      </c>
      <c r="AZ694" s="23">
        <f t="shared" si="4261"/>
        <v>0</v>
      </c>
      <c r="BA694" s="49" t="str">
        <f t="shared" si="4236"/>
        <v>000000000000000</v>
      </c>
      <c r="BB694" s="23">
        <f t="shared" si="4262"/>
        <v>0</v>
      </c>
      <c r="BC694" s="49" t="str">
        <f t="shared" ref="BC694" si="4521">IF(BB694&lt;0,SUBSTITUTE(TEXT(BB694,"000000000000,00"),",",""),SUBSTITUTE(TEXT(BB694,"0000000000000,00"),",",""))</f>
        <v>000000000000000</v>
      </c>
      <c r="BD694" s="23">
        <f t="shared" si="4264"/>
        <v>0</v>
      </c>
      <c r="BE694" s="49" t="str">
        <f t="shared" ref="BE694" si="4522">IF(BD694&lt;0,SUBSTITUTE(TEXT(BD694,"000000000000,00"),",",""),SUBSTITUTE(TEXT(BD694,"0000000000000,00"),",",""))</f>
        <v>000000000000000</v>
      </c>
      <c r="BF694" s="23">
        <f t="shared" si="4266"/>
        <v>0</v>
      </c>
      <c r="BG694" s="49" t="str">
        <f t="shared" ref="BG694" si="4523">IF(BF694&lt;0,SUBSTITUTE(TEXT(BF694,"000000000000,00"),",",""),SUBSTITUTE(TEXT(BF694,"0000000000000,00"),",",""))</f>
        <v>000000000000000</v>
      </c>
      <c r="BH694" s="23">
        <f t="shared" si="4268"/>
        <v>0</v>
      </c>
      <c r="BI694" s="49" t="str">
        <f t="shared" ref="BI694" si="4524">IF(BH694&lt;0,SUBSTITUTE(TEXT(BH694,"000000000000,00"),",",""),SUBSTITUTE(TEXT(BH694,"0000000000000,00"),",",""))</f>
        <v>000000000000000</v>
      </c>
      <c r="BJ694" s="23">
        <f t="shared" si="4270"/>
        <v>0</v>
      </c>
      <c r="BK694" s="49" t="str">
        <f t="shared" ref="BK694" si="4525">IF(BJ694&lt;0,SUBSTITUTE(TEXT(BJ694,"000000000000,00"),",",""),SUBSTITUTE(TEXT(BJ694,"0000000000000,00"),",",""))</f>
        <v>000000000000000</v>
      </c>
      <c r="BL694" s="23">
        <f t="shared" si="4272"/>
        <v>0</v>
      </c>
      <c r="BM694" s="49" t="str">
        <f t="shared" ref="BM694" si="4526">IF(BL694&lt;0,SUBSTITUTE(TEXT(BL694,"000000000000,00"),",",""),SUBSTITUTE(TEXT(BL694,"0000000000000,00"),",",""))</f>
        <v>000000000000000</v>
      </c>
      <c r="BN694" t="str">
        <f t="shared" si="4274"/>
        <v>PES</v>
      </c>
      <c r="BO694" t="str">
        <f t="shared" si="4275"/>
        <v>0001000000</v>
      </c>
      <c r="BP694">
        <f t="shared" si="4276"/>
        <v>0</v>
      </c>
      <c r="BQ694">
        <f t="shared" si="4277"/>
        <v>0</v>
      </c>
      <c r="BR694" s="23">
        <f t="shared" si="4278"/>
        <v>0</v>
      </c>
      <c r="BS694" s="49" t="str">
        <f t="shared" si="4243"/>
        <v>000000000000000</v>
      </c>
      <c r="BT694" t="str">
        <f t="shared" si="4279"/>
        <v>00000000</v>
      </c>
      <c r="BU694" s="23">
        <f t="shared" si="4280"/>
        <v>0</v>
      </c>
      <c r="BV694" s="49" t="str">
        <f t="shared" si="4244"/>
        <v/>
      </c>
      <c r="BW694" s="52" t="str">
        <f t="shared" si="4281"/>
        <v/>
      </c>
      <c r="BX694" s="23">
        <f t="shared" si="4282"/>
        <v>0</v>
      </c>
      <c r="BY694" s="49" t="str">
        <f t="shared" si="4245"/>
        <v/>
      </c>
      <c r="BZ694" s="23">
        <f t="shared" si="4283"/>
        <v>0</v>
      </c>
      <c r="CA694" s="49" t="str">
        <f t="shared" si="4246"/>
        <v/>
      </c>
      <c r="CB694" s="52" t="str">
        <f t="shared" si="4284"/>
        <v/>
      </c>
      <c r="CC694" s="23">
        <f t="shared" si="4285"/>
        <v>0</v>
      </c>
      <c r="CD694" s="49" t="str">
        <f t="shared" si="4247"/>
        <v/>
      </c>
      <c r="CE694" s="56" t="str">
        <f>IF(CF694="","",MAX(CE$10:$CE693)+1)</f>
        <v/>
      </c>
      <c r="CF694" t="str">
        <f t="shared" si="4286"/>
        <v/>
      </c>
      <c r="CG694" s="22" t="str">
        <f>IF(CH694="","",MAX($CG$10:CG693)+1)</f>
        <v/>
      </c>
      <c r="CH694" s="22" t="str">
        <f t="shared" si="4231"/>
        <v/>
      </c>
      <c r="CI694" s="22" t="str">
        <f>IF(CJ694="","",MAX($CI$10:CI693)+1)</f>
        <v/>
      </c>
      <c r="CJ694" s="22" t="str">
        <f t="shared" si="4232"/>
        <v/>
      </c>
    </row>
    <row r="695" spans="2:88" x14ac:dyDescent="0.25">
      <c r="B695" s="37"/>
      <c r="C695" s="3"/>
      <c r="D695" s="77" t="str">
        <f t="shared" si="4218"/>
        <v/>
      </c>
      <c r="E695" s="38"/>
      <c r="F695" s="38"/>
      <c r="G695" s="78">
        <f t="shared" si="4233"/>
        <v>0</v>
      </c>
      <c r="H695" s="3">
        <v>80</v>
      </c>
      <c r="I695" s="77" t="str">
        <f t="shared" si="4219"/>
        <v/>
      </c>
      <c r="J695" s="32"/>
      <c r="K695" s="3"/>
      <c r="L695" s="39"/>
      <c r="M695" s="39"/>
      <c r="N695" s="39"/>
      <c r="O695" s="39"/>
      <c r="P695" s="39"/>
      <c r="Q695" s="39"/>
      <c r="R695" s="39"/>
      <c r="S695" s="39"/>
      <c r="T695" s="3" t="s">
        <v>645</v>
      </c>
      <c r="U695" s="77" t="str">
        <f t="shared" si="4220"/>
        <v/>
      </c>
      <c r="V695" s="39">
        <v>1</v>
      </c>
      <c r="W695" s="79">
        <f t="shared" si="4234"/>
        <v>0</v>
      </c>
      <c r="X695" s="3">
        <v>0</v>
      </c>
      <c r="Y695" s="77" t="str">
        <f t="shared" si="4221"/>
        <v/>
      </c>
      <c r="Z695" s="3"/>
      <c r="AA695" s="37" t="str">
        <f t="shared" si="4235"/>
        <v/>
      </c>
      <c r="AC695" s="40"/>
      <c r="AD695" s="7"/>
      <c r="AE695" s="77" t="str">
        <f t="shared" si="4222"/>
        <v/>
      </c>
      <c r="AF695" s="81">
        <f t="shared" si="4248"/>
        <v>0</v>
      </c>
      <c r="AG695" s="40"/>
      <c r="AH695" s="7"/>
      <c r="AI695" s="77" t="str">
        <f t="shared" si="4223"/>
        <v/>
      </c>
      <c r="AJ695" s="81">
        <f t="shared" si="4249"/>
        <v>0</v>
      </c>
      <c r="AK695" s="83">
        <f t="shared" si="4250"/>
        <v>0</v>
      </c>
      <c r="AL695" s="83">
        <f t="shared" si="4251"/>
        <v>0</v>
      </c>
      <c r="AN695" s="43">
        <f t="shared" si="4224"/>
        <v>0</v>
      </c>
      <c r="AP695" t="str">
        <f t="shared" si="4252"/>
        <v/>
      </c>
      <c r="AQ695" t="str">
        <f t="shared" si="4253"/>
        <v/>
      </c>
      <c r="AR695" t="str">
        <f t="shared" si="4254"/>
        <v/>
      </c>
      <c r="AS695" t="str">
        <f t="shared" si="4255"/>
        <v/>
      </c>
      <c r="AT695" t="str">
        <f t="shared" si="4256"/>
        <v/>
      </c>
      <c r="AU695" t="str">
        <f t="shared" si="4257"/>
        <v/>
      </c>
      <c r="AV695" t="str">
        <f t="shared" si="4258"/>
        <v/>
      </c>
      <c r="AW695" t="str">
        <f t="shared" si="4259"/>
        <v xml:space="preserve">                              </v>
      </c>
      <c r="AX695" s="23">
        <f t="shared" si="4260"/>
        <v>0</v>
      </c>
      <c r="AY695" s="49" t="str">
        <f t="shared" si="4236"/>
        <v>000000000000000</v>
      </c>
      <c r="AZ695" s="23">
        <f t="shared" si="4261"/>
        <v>0</v>
      </c>
      <c r="BA695" s="49" t="str">
        <f t="shared" si="4236"/>
        <v>000000000000000</v>
      </c>
      <c r="BB695" s="23">
        <f t="shared" si="4262"/>
        <v>0</v>
      </c>
      <c r="BC695" s="49" t="str">
        <f t="shared" ref="BC695" si="4527">IF(BB695&lt;0,SUBSTITUTE(TEXT(BB695,"000000000000,00"),",",""),SUBSTITUTE(TEXT(BB695,"0000000000000,00"),",",""))</f>
        <v>000000000000000</v>
      </c>
      <c r="BD695" s="23">
        <f t="shared" si="4264"/>
        <v>0</v>
      </c>
      <c r="BE695" s="49" t="str">
        <f t="shared" ref="BE695" si="4528">IF(BD695&lt;0,SUBSTITUTE(TEXT(BD695,"000000000000,00"),",",""),SUBSTITUTE(TEXT(BD695,"0000000000000,00"),",",""))</f>
        <v>000000000000000</v>
      </c>
      <c r="BF695" s="23">
        <f t="shared" si="4266"/>
        <v>0</v>
      </c>
      <c r="BG695" s="49" t="str">
        <f t="shared" ref="BG695" si="4529">IF(BF695&lt;0,SUBSTITUTE(TEXT(BF695,"000000000000,00"),",",""),SUBSTITUTE(TEXT(BF695,"0000000000000,00"),",",""))</f>
        <v>000000000000000</v>
      </c>
      <c r="BH695" s="23">
        <f t="shared" si="4268"/>
        <v>0</v>
      </c>
      <c r="BI695" s="49" t="str">
        <f t="shared" ref="BI695" si="4530">IF(BH695&lt;0,SUBSTITUTE(TEXT(BH695,"000000000000,00"),",",""),SUBSTITUTE(TEXT(BH695,"0000000000000,00"),",",""))</f>
        <v>000000000000000</v>
      </c>
      <c r="BJ695" s="23">
        <f t="shared" si="4270"/>
        <v>0</v>
      </c>
      <c r="BK695" s="49" t="str">
        <f t="shared" ref="BK695" si="4531">IF(BJ695&lt;0,SUBSTITUTE(TEXT(BJ695,"000000000000,00"),",",""),SUBSTITUTE(TEXT(BJ695,"0000000000000,00"),",",""))</f>
        <v>000000000000000</v>
      </c>
      <c r="BL695" s="23">
        <f t="shared" si="4272"/>
        <v>0</v>
      </c>
      <c r="BM695" s="49" t="str">
        <f t="shared" ref="BM695" si="4532">IF(BL695&lt;0,SUBSTITUTE(TEXT(BL695,"000000000000,00"),",",""),SUBSTITUTE(TEXT(BL695,"0000000000000,00"),",",""))</f>
        <v>000000000000000</v>
      </c>
      <c r="BN695" t="str">
        <f t="shared" si="4274"/>
        <v>PES</v>
      </c>
      <c r="BO695" t="str">
        <f t="shared" si="4275"/>
        <v>0001000000</v>
      </c>
      <c r="BP695">
        <f t="shared" si="4276"/>
        <v>0</v>
      </c>
      <c r="BQ695">
        <f t="shared" si="4277"/>
        <v>0</v>
      </c>
      <c r="BR695" s="23">
        <f t="shared" si="4278"/>
        <v>0</v>
      </c>
      <c r="BS695" s="49" t="str">
        <f t="shared" si="4243"/>
        <v>000000000000000</v>
      </c>
      <c r="BT695" t="str">
        <f t="shared" si="4279"/>
        <v>00000000</v>
      </c>
      <c r="BU695" s="23">
        <f t="shared" si="4280"/>
        <v>0</v>
      </c>
      <c r="BV695" s="49" t="str">
        <f t="shared" si="4244"/>
        <v/>
      </c>
      <c r="BW695" s="52" t="str">
        <f t="shared" si="4281"/>
        <v/>
      </c>
      <c r="BX695" s="23">
        <f t="shared" si="4282"/>
        <v>0</v>
      </c>
      <c r="BY695" s="49" t="str">
        <f t="shared" si="4245"/>
        <v/>
      </c>
      <c r="BZ695" s="23">
        <f t="shared" si="4283"/>
        <v>0</v>
      </c>
      <c r="CA695" s="49" t="str">
        <f t="shared" si="4246"/>
        <v/>
      </c>
      <c r="CB695" s="52" t="str">
        <f t="shared" si="4284"/>
        <v/>
      </c>
      <c r="CC695" s="23">
        <f t="shared" si="4285"/>
        <v>0</v>
      </c>
      <c r="CD695" s="49" t="str">
        <f t="shared" si="4247"/>
        <v/>
      </c>
      <c r="CE695" s="56" t="str">
        <f>IF(CF695="","",MAX(CE$10:$CE694)+1)</f>
        <v/>
      </c>
      <c r="CF695" t="str">
        <f t="shared" si="4286"/>
        <v/>
      </c>
      <c r="CG695" s="22" t="str">
        <f>IF(CH695="","",MAX($CG$10:CG694)+1)</f>
        <v/>
      </c>
      <c r="CH695" s="22" t="str">
        <f t="shared" si="4231"/>
        <v/>
      </c>
      <c r="CI695" s="22" t="str">
        <f>IF(CJ695="","",MAX($CI$10:CI694)+1)</f>
        <v/>
      </c>
      <c r="CJ695" s="22" t="str">
        <f t="shared" si="4232"/>
        <v/>
      </c>
    </row>
    <row r="696" spans="2:88" x14ac:dyDescent="0.25">
      <c r="B696" s="37"/>
      <c r="C696" s="3"/>
      <c r="D696" s="77" t="str">
        <f t="shared" si="4218"/>
        <v/>
      </c>
      <c r="E696" s="38"/>
      <c r="F696" s="38"/>
      <c r="G696" s="78">
        <f t="shared" si="4233"/>
        <v>0</v>
      </c>
      <c r="H696" s="3">
        <v>80</v>
      </c>
      <c r="I696" s="77" t="str">
        <f t="shared" si="4219"/>
        <v/>
      </c>
      <c r="J696" s="32"/>
      <c r="K696" s="3"/>
      <c r="L696" s="39"/>
      <c r="M696" s="39"/>
      <c r="N696" s="39"/>
      <c r="O696" s="39"/>
      <c r="P696" s="39"/>
      <c r="Q696" s="39"/>
      <c r="R696" s="39"/>
      <c r="S696" s="39"/>
      <c r="T696" s="3" t="s">
        <v>645</v>
      </c>
      <c r="U696" s="77" t="str">
        <f t="shared" si="4220"/>
        <v/>
      </c>
      <c r="V696" s="39">
        <v>1</v>
      </c>
      <c r="W696" s="79">
        <f t="shared" si="4234"/>
        <v>0</v>
      </c>
      <c r="X696" s="3">
        <v>0</v>
      </c>
      <c r="Y696" s="77" t="str">
        <f t="shared" si="4221"/>
        <v/>
      </c>
      <c r="Z696" s="3"/>
      <c r="AA696" s="37" t="str">
        <f t="shared" si="4235"/>
        <v/>
      </c>
      <c r="AC696" s="40"/>
      <c r="AD696" s="7"/>
      <c r="AE696" s="77" t="str">
        <f t="shared" si="4222"/>
        <v/>
      </c>
      <c r="AF696" s="81">
        <f t="shared" si="4248"/>
        <v>0</v>
      </c>
      <c r="AG696" s="40"/>
      <c r="AH696" s="7"/>
      <c r="AI696" s="77" t="str">
        <f t="shared" si="4223"/>
        <v/>
      </c>
      <c r="AJ696" s="81">
        <f t="shared" si="4249"/>
        <v>0</v>
      </c>
      <c r="AK696" s="83">
        <f t="shared" si="4250"/>
        <v>0</v>
      </c>
      <c r="AL696" s="83">
        <f t="shared" si="4251"/>
        <v>0</v>
      </c>
      <c r="AN696" s="43">
        <f t="shared" si="4224"/>
        <v>0</v>
      </c>
      <c r="AP696" t="str">
        <f t="shared" si="4252"/>
        <v/>
      </c>
      <c r="AQ696" t="str">
        <f t="shared" si="4253"/>
        <v/>
      </c>
      <c r="AR696" t="str">
        <f t="shared" si="4254"/>
        <v/>
      </c>
      <c r="AS696" t="str">
        <f t="shared" si="4255"/>
        <v/>
      </c>
      <c r="AT696" t="str">
        <f t="shared" si="4256"/>
        <v/>
      </c>
      <c r="AU696" t="str">
        <f t="shared" si="4257"/>
        <v/>
      </c>
      <c r="AV696" t="str">
        <f t="shared" si="4258"/>
        <v/>
      </c>
      <c r="AW696" t="str">
        <f t="shared" si="4259"/>
        <v xml:space="preserve">                              </v>
      </c>
      <c r="AX696" s="23">
        <f t="shared" si="4260"/>
        <v>0</v>
      </c>
      <c r="AY696" s="49" t="str">
        <f t="shared" si="4236"/>
        <v>000000000000000</v>
      </c>
      <c r="AZ696" s="23">
        <f t="shared" si="4261"/>
        <v>0</v>
      </c>
      <c r="BA696" s="49" t="str">
        <f t="shared" si="4236"/>
        <v>000000000000000</v>
      </c>
      <c r="BB696" s="23">
        <f t="shared" si="4262"/>
        <v>0</v>
      </c>
      <c r="BC696" s="49" t="str">
        <f t="shared" ref="BC696" si="4533">IF(BB696&lt;0,SUBSTITUTE(TEXT(BB696,"000000000000,00"),",",""),SUBSTITUTE(TEXT(BB696,"0000000000000,00"),",",""))</f>
        <v>000000000000000</v>
      </c>
      <c r="BD696" s="23">
        <f t="shared" si="4264"/>
        <v>0</v>
      </c>
      <c r="BE696" s="49" t="str">
        <f t="shared" ref="BE696" si="4534">IF(BD696&lt;0,SUBSTITUTE(TEXT(BD696,"000000000000,00"),",",""),SUBSTITUTE(TEXT(BD696,"0000000000000,00"),",",""))</f>
        <v>000000000000000</v>
      </c>
      <c r="BF696" s="23">
        <f t="shared" si="4266"/>
        <v>0</v>
      </c>
      <c r="BG696" s="49" t="str">
        <f t="shared" ref="BG696" si="4535">IF(BF696&lt;0,SUBSTITUTE(TEXT(BF696,"000000000000,00"),",",""),SUBSTITUTE(TEXT(BF696,"0000000000000,00"),",",""))</f>
        <v>000000000000000</v>
      </c>
      <c r="BH696" s="23">
        <f t="shared" si="4268"/>
        <v>0</v>
      </c>
      <c r="BI696" s="49" t="str">
        <f t="shared" ref="BI696" si="4536">IF(BH696&lt;0,SUBSTITUTE(TEXT(BH696,"000000000000,00"),",",""),SUBSTITUTE(TEXT(BH696,"0000000000000,00"),",",""))</f>
        <v>000000000000000</v>
      </c>
      <c r="BJ696" s="23">
        <f t="shared" si="4270"/>
        <v>0</v>
      </c>
      <c r="BK696" s="49" t="str">
        <f t="shared" ref="BK696" si="4537">IF(BJ696&lt;0,SUBSTITUTE(TEXT(BJ696,"000000000000,00"),",",""),SUBSTITUTE(TEXT(BJ696,"0000000000000,00"),",",""))</f>
        <v>000000000000000</v>
      </c>
      <c r="BL696" s="23">
        <f t="shared" si="4272"/>
        <v>0</v>
      </c>
      <c r="BM696" s="49" t="str">
        <f t="shared" ref="BM696" si="4538">IF(BL696&lt;0,SUBSTITUTE(TEXT(BL696,"000000000000,00"),",",""),SUBSTITUTE(TEXT(BL696,"0000000000000,00"),",",""))</f>
        <v>000000000000000</v>
      </c>
      <c r="BN696" t="str">
        <f t="shared" si="4274"/>
        <v>PES</v>
      </c>
      <c r="BO696" t="str">
        <f t="shared" si="4275"/>
        <v>0001000000</v>
      </c>
      <c r="BP696">
        <f t="shared" si="4276"/>
        <v>0</v>
      </c>
      <c r="BQ696">
        <f t="shared" si="4277"/>
        <v>0</v>
      </c>
      <c r="BR696" s="23">
        <f t="shared" si="4278"/>
        <v>0</v>
      </c>
      <c r="BS696" s="49" t="str">
        <f t="shared" si="4243"/>
        <v>000000000000000</v>
      </c>
      <c r="BT696" t="str">
        <f t="shared" si="4279"/>
        <v>00000000</v>
      </c>
      <c r="BU696" s="23">
        <f t="shared" si="4280"/>
        <v>0</v>
      </c>
      <c r="BV696" s="49" t="str">
        <f t="shared" si="4244"/>
        <v/>
      </c>
      <c r="BW696" s="52" t="str">
        <f t="shared" si="4281"/>
        <v/>
      </c>
      <c r="BX696" s="23">
        <f t="shared" si="4282"/>
        <v>0</v>
      </c>
      <c r="BY696" s="49" t="str">
        <f t="shared" si="4245"/>
        <v/>
      </c>
      <c r="BZ696" s="23">
        <f t="shared" si="4283"/>
        <v>0</v>
      </c>
      <c r="CA696" s="49" t="str">
        <f t="shared" si="4246"/>
        <v/>
      </c>
      <c r="CB696" s="52" t="str">
        <f t="shared" si="4284"/>
        <v/>
      </c>
      <c r="CC696" s="23">
        <f t="shared" si="4285"/>
        <v>0</v>
      </c>
      <c r="CD696" s="49" t="str">
        <f t="shared" si="4247"/>
        <v/>
      </c>
      <c r="CE696" s="56" t="str">
        <f>IF(CF696="","",MAX(CE$10:$CE695)+1)</f>
        <v/>
      </c>
      <c r="CF696" t="str">
        <f t="shared" si="4286"/>
        <v/>
      </c>
      <c r="CG696" s="22" t="str">
        <f>IF(CH696="","",MAX($CG$10:CG695)+1)</f>
        <v/>
      </c>
      <c r="CH696" s="22" t="str">
        <f t="shared" si="4231"/>
        <v/>
      </c>
      <c r="CI696" s="22" t="str">
        <f>IF(CJ696="","",MAX($CI$10:CI695)+1)</f>
        <v/>
      </c>
      <c r="CJ696" s="22" t="str">
        <f t="shared" si="4232"/>
        <v/>
      </c>
    </row>
    <row r="697" spans="2:88" x14ac:dyDescent="0.25">
      <c r="B697" s="37"/>
      <c r="C697" s="3"/>
      <c r="D697" s="77" t="str">
        <f t="shared" si="4218"/>
        <v/>
      </c>
      <c r="E697" s="38"/>
      <c r="F697" s="38"/>
      <c r="G697" s="78">
        <f t="shared" si="4233"/>
        <v>0</v>
      </c>
      <c r="H697" s="3">
        <v>80</v>
      </c>
      <c r="I697" s="77" t="str">
        <f t="shared" si="4219"/>
        <v/>
      </c>
      <c r="J697" s="32"/>
      <c r="K697" s="3"/>
      <c r="L697" s="39"/>
      <c r="M697" s="39"/>
      <c r="N697" s="39"/>
      <c r="O697" s="39"/>
      <c r="P697" s="39"/>
      <c r="Q697" s="39"/>
      <c r="R697" s="39"/>
      <c r="S697" s="39"/>
      <c r="T697" s="3" t="s">
        <v>645</v>
      </c>
      <c r="U697" s="77" t="str">
        <f t="shared" si="4220"/>
        <v/>
      </c>
      <c r="V697" s="39">
        <v>1</v>
      </c>
      <c r="W697" s="79">
        <f t="shared" si="4234"/>
        <v>0</v>
      </c>
      <c r="X697" s="3">
        <v>0</v>
      </c>
      <c r="Y697" s="77" t="str">
        <f t="shared" si="4221"/>
        <v/>
      </c>
      <c r="Z697" s="3"/>
      <c r="AA697" s="37" t="str">
        <f t="shared" si="4235"/>
        <v/>
      </c>
      <c r="AC697" s="40"/>
      <c r="AD697" s="7"/>
      <c r="AE697" s="77" t="str">
        <f t="shared" si="4222"/>
        <v/>
      </c>
      <c r="AF697" s="81">
        <f t="shared" si="4248"/>
        <v>0</v>
      </c>
      <c r="AG697" s="40"/>
      <c r="AH697" s="7"/>
      <c r="AI697" s="77" t="str">
        <f t="shared" si="4223"/>
        <v/>
      </c>
      <c r="AJ697" s="81">
        <f t="shared" si="4249"/>
        <v>0</v>
      </c>
      <c r="AK697" s="83">
        <f t="shared" si="4250"/>
        <v>0</v>
      </c>
      <c r="AL697" s="83">
        <f t="shared" si="4251"/>
        <v>0</v>
      </c>
      <c r="AN697" s="43">
        <f t="shared" si="4224"/>
        <v>0</v>
      </c>
      <c r="AP697" t="str">
        <f t="shared" si="4252"/>
        <v/>
      </c>
      <c r="AQ697" t="str">
        <f t="shared" si="4253"/>
        <v/>
      </c>
      <c r="AR697" t="str">
        <f t="shared" si="4254"/>
        <v/>
      </c>
      <c r="AS697" t="str">
        <f t="shared" si="4255"/>
        <v/>
      </c>
      <c r="AT697" t="str">
        <f t="shared" si="4256"/>
        <v/>
      </c>
      <c r="AU697" t="str">
        <f t="shared" si="4257"/>
        <v/>
      </c>
      <c r="AV697" t="str">
        <f t="shared" si="4258"/>
        <v/>
      </c>
      <c r="AW697" t="str">
        <f t="shared" si="4259"/>
        <v xml:space="preserve">                              </v>
      </c>
      <c r="AX697" s="23">
        <f t="shared" si="4260"/>
        <v>0</v>
      </c>
      <c r="AY697" s="49" t="str">
        <f t="shared" si="4236"/>
        <v>000000000000000</v>
      </c>
      <c r="AZ697" s="23">
        <f t="shared" si="4261"/>
        <v>0</v>
      </c>
      <c r="BA697" s="49" t="str">
        <f t="shared" si="4236"/>
        <v>000000000000000</v>
      </c>
      <c r="BB697" s="23">
        <f t="shared" si="4262"/>
        <v>0</v>
      </c>
      <c r="BC697" s="49" t="str">
        <f t="shared" ref="BC697" si="4539">IF(BB697&lt;0,SUBSTITUTE(TEXT(BB697,"000000000000,00"),",",""),SUBSTITUTE(TEXT(BB697,"0000000000000,00"),",",""))</f>
        <v>000000000000000</v>
      </c>
      <c r="BD697" s="23">
        <f t="shared" si="4264"/>
        <v>0</v>
      </c>
      <c r="BE697" s="49" t="str">
        <f t="shared" ref="BE697" si="4540">IF(BD697&lt;0,SUBSTITUTE(TEXT(BD697,"000000000000,00"),",",""),SUBSTITUTE(TEXT(BD697,"0000000000000,00"),",",""))</f>
        <v>000000000000000</v>
      </c>
      <c r="BF697" s="23">
        <f t="shared" si="4266"/>
        <v>0</v>
      </c>
      <c r="BG697" s="49" t="str">
        <f t="shared" ref="BG697" si="4541">IF(BF697&lt;0,SUBSTITUTE(TEXT(BF697,"000000000000,00"),",",""),SUBSTITUTE(TEXT(BF697,"0000000000000,00"),",",""))</f>
        <v>000000000000000</v>
      </c>
      <c r="BH697" s="23">
        <f t="shared" si="4268"/>
        <v>0</v>
      </c>
      <c r="BI697" s="49" t="str">
        <f t="shared" ref="BI697" si="4542">IF(BH697&lt;0,SUBSTITUTE(TEXT(BH697,"000000000000,00"),",",""),SUBSTITUTE(TEXT(BH697,"0000000000000,00"),",",""))</f>
        <v>000000000000000</v>
      </c>
      <c r="BJ697" s="23">
        <f t="shared" si="4270"/>
        <v>0</v>
      </c>
      <c r="BK697" s="49" t="str">
        <f t="shared" ref="BK697" si="4543">IF(BJ697&lt;0,SUBSTITUTE(TEXT(BJ697,"000000000000,00"),",",""),SUBSTITUTE(TEXT(BJ697,"0000000000000,00"),",",""))</f>
        <v>000000000000000</v>
      </c>
      <c r="BL697" s="23">
        <f t="shared" si="4272"/>
        <v>0</v>
      </c>
      <c r="BM697" s="49" t="str">
        <f t="shared" ref="BM697" si="4544">IF(BL697&lt;0,SUBSTITUTE(TEXT(BL697,"000000000000,00"),",",""),SUBSTITUTE(TEXT(BL697,"0000000000000,00"),",",""))</f>
        <v>000000000000000</v>
      </c>
      <c r="BN697" t="str">
        <f t="shared" si="4274"/>
        <v>PES</v>
      </c>
      <c r="BO697" t="str">
        <f t="shared" si="4275"/>
        <v>0001000000</v>
      </c>
      <c r="BP697">
        <f t="shared" si="4276"/>
        <v>0</v>
      </c>
      <c r="BQ697">
        <f t="shared" si="4277"/>
        <v>0</v>
      </c>
      <c r="BR697" s="23">
        <f t="shared" si="4278"/>
        <v>0</v>
      </c>
      <c r="BS697" s="49" t="str">
        <f t="shared" si="4243"/>
        <v>000000000000000</v>
      </c>
      <c r="BT697" t="str">
        <f t="shared" si="4279"/>
        <v>00000000</v>
      </c>
      <c r="BU697" s="23">
        <f t="shared" si="4280"/>
        <v>0</v>
      </c>
      <c r="BV697" s="49" t="str">
        <f t="shared" si="4244"/>
        <v/>
      </c>
      <c r="BW697" s="52" t="str">
        <f t="shared" si="4281"/>
        <v/>
      </c>
      <c r="BX697" s="23">
        <f t="shared" si="4282"/>
        <v>0</v>
      </c>
      <c r="BY697" s="49" t="str">
        <f t="shared" si="4245"/>
        <v/>
      </c>
      <c r="BZ697" s="23">
        <f t="shared" si="4283"/>
        <v>0</v>
      </c>
      <c r="CA697" s="49" t="str">
        <f t="shared" si="4246"/>
        <v/>
      </c>
      <c r="CB697" s="52" t="str">
        <f t="shared" si="4284"/>
        <v/>
      </c>
      <c r="CC697" s="23">
        <f t="shared" si="4285"/>
        <v>0</v>
      </c>
      <c r="CD697" s="49" t="str">
        <f t="shared" si="4247"/>
        <v/>
      </c>
      <c r="CE697" s="56" t="str">
        <f>IF(CF697="","",MAX(CE$10:$CE696)+1)</f>
        <v/>
      </c>
      <c r="CF697" t="str">
        <f t="shared" si="4286"/>
        <v/>
      </c>
      <c r="CG697" s="22" t="str">
        <f>IF(CH697="","",MAX($CG$10:CG696)+1)</f>
        <v/>
      </c>
      <c r="CH697" s="22" t="str">
        <f t="shared" si="4231"/>
        <v/>
      </c>
      <c r="CI697" s="22" t="str">
        <f>IF(CJ697="","",MAX($CI$10:CI696)+1)</f>
        <v/>
      </c>
      <c r="CJ697" s="22" t="str">
        <f t="shared" si="4232"/>
        <v/>
      </c>
    </row>
    <row r="698" spans="2:88" x14ac:dyDescent="0.25">
      <c r="B698" s="37"/>
      <c r="C698" s="3"/>
      <c r="D698" s="77" t="str">
        <f t="shared" si="4218"/>
        <v/>
      </c>
      <c r="E698" s="38"/>
      <c r="F698" s="38"/>
      <c r="G698" s="78">
        <f t="shared" si="4233"/>
        <v>0</v>
      </c>
      <c r="H698" s="3">
        <v>80</v>
      </c>
      <c r="I698" s="77" t="str">
        <f t="shared" si="4219"/>
        <v/>
      </c>
      <c r="J698" s="32"/>
      <c r="K698" s="3"/>
      <c r="L698" s="39"/>
      <c r="M698" s="39"/>
      <c r="N698" s="39"/>
      <c r="O698" s="39"/>
      <c r="P698" s="39"/>
      <c r="Q698" s="39"/>
      <c r="R698" s="39"/>
      <c r="S698" s="39"/>
      <c r="T698" s="3" t="s">
        <v>645</v>
      </c>
      <c r="U698" s="77" t="str">
        <f t="shared" si="4220"/>
        <v/>
      </c>
      <c r="V698" s="39">
        <v>1</v>
      </c>
      <c r="W698" s="79">
        <f t="shared" si="4234"/>
        <v>0</v>
      </c>
      <c r="X698" s="3">
        <v>0</v>
      </c>
      <c r="Y698" s="77" t="str">
        <f t="shared" si="4221"/>
        <v/>
      </c>
      <c r="Z698" s="3"/>
      <c r="AA698" s="37" t="str">
        <f t="shared" si="4235"/>
        <v/>
      </c>
      <c r="AC698" s="40"/>
      <c r="AD698" s="7"/>
      <c r="AE698" s="77" t="str">
        <f t="shared" si="4222"/>
        <v/>
      </c>
      <c r="AF698" s="81">
        <f t="shared" si="4248"/>
        <v>0</v>
      </c>
      <c r="AG698" s="40"/>
      <c r="AH698" s="7"/>
      <c r="AI698" s="77" t="str">
        <f t="shared" si="4223"/>
        <v/>
      </c>
      <c r="AJ698" s="81">
        <f t="shared" si="4249"/>
        <v>0</v>
      </c>
      <c r="AK698" s="83">
        <f t="shared" si="4250"/>
        <v>0</v>
      </c>
      <c r="AL698" s="83">
        <f t="shared" si="4251"/>
        <v>0</v>
      </c>
      <c r="AN698" s="43">
        <f t="shared" si="4224"/>
        <v>0</v>
      </c>
      <c r="AP698" t="str">
        <f t="shared" si="4252"/>
        <v/>
      </c>
      <c r="AQ698" t="str">
        <f t="shared" si="4253"/>
        <v/>
      </c>
      <c r="AR698" t="str">
        <f t="shared" si="4254"/>
        <v/>
      </c>
      <c r="AS698" t="str">
        <f t="shared" si="4255"/>
        <v/>
      </c>
      <c r="AT698" t="str">
        <f t="shared" si="4256"/>
        <v/>
      </c>
      <c r="AU698" t="str">
        <f t="shared" si="4257"/>
        <v/>
      </c>
      <c r="AV698" t="str">
        <f t="shared" si="4258"/>
        <v/>
      </c>
      <c r="AW698" t="str">
        <f t="shared" si="4259"/>
        <v xml:space="preserve">                              </v>
      </c>
      <c r="AX698" s="23">
        <f t="shared" si="4260"/>
        <v>0</v>
      </c>
      <c r="AY698" s="49" t="str">
        <f t="shared" si="4236"/>
        <v>000000000000000</v>
      </c>
      <c r="AZ698" s="23">
        <f t="shared" si="4261"/>
        <v>0</v>
      </c>
      <c r="BA698" s="49" t="str">
        <f t="shared" si="4236"/>
        <v>000000000000000</v>
      </c>
      <c r="BB698" s="23">
        <f t="shared" si="4262"/>
        <v>0</v>
      </c>
      <c r="BC698" s="49" t="str">
        <f t="shared" ref="BC698" si="4545">IF(BB698&lt;0,SUBSTITUTE(TEXT(BB698,"000000000000,00"),",",""),SUBSTITUTE(TEXT(BB698,"0000000000000,00"),",",""))</f>
        <v>000000000000000</v>
      </c>
      <c r="BD698" s="23">
        <f t="shared" si="4264"/>
        <v>0</v>
      </c>
      <c r="BE698" s="49" t="str">
        <f t="shared" ref="BE698" si="4546">IF(BD698&lt;0,SUBSTITUTE(TEXT(BD698,"000000000000,00"),",",""),SUBSTITUTE(TEXT(BD698,"0000000000000,00"),",",""))</f>
        <v>000000000000000</v>
      </c>
      <c r="BF698" s="23">
        <f t="shared" si="4266"/>
        <v>0</v>
      </c>
      <c r="BG698" s="49" t="str">
        <f t="shared" ref="BG698" si="4547">IF(BF698&lt;0,SUBSTITUTE(TEXT(BF698,"000000000000,00"),",",""),SUBSTITUTE(TEXT(BF698,"0000000000000,00"),",",""))</f>
        <v>000000000000000</v>
      </c>
      <c r="BH698" s="23">
        <f t="shared" si="4268"/>
        <v>0</v>
      </c>
      <c r="BI698" s="49" t="str">
        <f t="shared" ref="BI698" si="4548">IF(BH698&lt;0,SUBSTITUTE(TEXT(BH698,"000000000000,00"),",",""),SUBSTITUTE(TEXT(BH698,"0000000000000,00"),",",""))</f>
        <v>000000000000000</v>
      </c>
      <c r="BJ698" s="23">
        <f t="shared" si="4270"/>
        <v>0</v>
      </c>
      <c r="BK698" s="49" t="str">
        <f t="shared" ref="BK698" si="4549">IF(BJ698&lt;0,SUBSTITUTE(TEXT(BJ698,"000000000000,00"),",",""),SUBSTITUTE(TEXT(BJ698,"0000000000000,00"),",",""))</f>
        <v>000000000000000</v>
      </c>
      <c r="BL698" s="23">
        <f t="shared" si="4272"/>
        <v>0</v>
      </c>
      <c r="BM698" s="49" t="str">
        <f t="shared" ref="BM698" si="4550">IF(BL698&lt;0,SUBSTITUTE(TEXT(BL698,"000000000000,00"),",",""),SUBSTITUTE(TEXT(BL698,"0000000000000,00"),",",""))</f>
        <v>000000000000000</v>
      </c>
      <c r="BN698" t="str">
        <f t="shared" si="4274"/>
        <v>PES</v>
      </c>
      <c r="BO698" t="str">
        <f t="shared" si="4275"/>
        <v>0001000000</v>
      </c>
      <c r="BP698">
        <f t="shared" si="4276"/>
        <v>0</v>
      </c>
      <c r="BQ698">
        <f t="shared" si="4277"/>
        <v>0</v>
      </c>
      <c r="BR698" s="23">
        <f t="shared" si="4278"/>
        <v>0</v>
      </c>
      <c r="BS698" s="49" t="str">
        <f t="shared" si="4243"/>
        <v>000000000000000</v>
      </c>
      <c r="BT698" t="str">
        <f t="shared" si="4279"/>
        <v>00000000</v>
      </c>
      <c r="BU698" s="23">
        <f t="shared" si="4280"/>
        <v>0</v>
      </c>
      <c r="BV698" s="49" t="str">
        <f t="shared" si="4244"/>
        <v/>
      </c>
      <c r="BW698" s="52" t="str">
        <f t="shared" si="4281"/>
        <v/>
      </c>
      <c r="BX698" s="23">
        <f t="shared" si="4282"/>
        <v>0</v>
      </c>
      <c r="BY698" s="49" t="str">
        <f t="shared" si="4245"/>
        <v/>
      </c>
      <c r="BZ698" s="23">
        <f t="shared" si="4283"/>
        <v>0</v>
      </c>
      <c r="CA698" s="49" t="str">
        <f t="shared" si="4246"/>
        <v/>
      </c>
      <c r="CB698" s="52" t="str">
        <f t="shared" si="4284"/>
        <v/>
      </c>
      <c r="CC698" s="23">
        <f t="shared" si="4285"/>
        <v>0</v>
      </c>
      <c r="CD698" s="49" t="str">
        <f t="shared" si="4247"/>
        <v/>
      </c>
      <c r="CE698" s="56" t="str">
        <f>IF(CF698="","",MAX(CE$10:$CE697)+1)</f>
        <v/>
      </c>
      <c r="CF698" t="str">
        <f t="shared" si="4286"/>
        <v/>
      </c>
      <c r="CG698" s="22" t="str">
        <f>IF(CH698="","",MAX($CG$10:CG697)+1)</f>
        <v/>
      </c>
      <c r="CH698" s="22" t="str">
        <f t="shared" si="4231"/>
        <v/>
      </c>
      <c r="CI698" s="22" t="str">
        <f>IF(CJ698="","",MAX($CI$10:CI697)+1)</f>
        <v/>
      </c>
      <c r="CJ698" s="22" t="str">
        <f t="shared" si="4232"/>
        <v/>
      </c>
    </row>
    <row r="699" spans="2:88" x14ac:dyDescent="0.25">
      <c r="B699" s="37"/>
      <c r="C699" s="3"/>
      <c r="D699" s="77" t="str">
        <f t="shared" si="4218"/>
        <v/>
      </c>
      <c r="E699" s="38"/>
      <c r="F699" s="38"/>
      <c r="G699" s="78">
        <f t="shared" si="4233"/>
        <v>0</v>
      </c>
      <c r="H699" s="3">
        <v>80</v>
      </c>
      <c r="I699" s="77" t="str">
        <f t="shared" si="4219"/>
        <v/>
      </c>
      <c r="J699" s="32"/>
      <c r="K699" s="3"/>
      <c r="L699" s="39"/>
      <c r="M699" s="39"/>
      <c r="N699" s="39"/>
      <c r="O699" s="39"/>
      <c r="P699" s="39"/>
      <c r="Q699" s="39"/>
      <c r="R699" s="39"/>
      <c r="S699" s="39"/>
      <c r="T699" s="3" t="s">
        <v>645</v>
      </c>
      <c r="U699" s="77" t="str">
        <f t="shared" si="4220"/>
        <v/>
      </c>
      <c r="V699" s="39">
        <v>1</v>
      </c>
      <c r="W699" s="79">
        <f t="shared" si="4234"/>
        <v>0</v>
      </c>
      <c r="X699" s="3">
        <v>0</v>
      </c>
      <c r="Y699" s="77" t="str">
        <f t="shared" si="4221"/>
        <v/>
      </c>
      <c r="Z699" s="3"/>
      <c r="AA699" s="37" t="str">
        <f t="shared" si="4235"/>
        <v/>
      </c>
      <c r="AC699" s="40"/>
      <c r="AD699" s="7"/>
      <c r="AE699" s="77" t="str">
        <f t="shared" si="4222"/>
        <v/>
      </c>
      <c r="AF699" s="81">
        <f t="shared" si="4248"/>
        <v>0</v>
      </c>
      <c r="AG699" s="40"/>
      <c r="AH699" s="7"/>
      <c r="AI699" s="77" t="str">
        <f t="shared" si="4223"/>
        <v/>
      </c>
      <c r="AJ699" s="81">
        <f t="shared" si="4249"/>
        <v>0</v>
      </c>
      <c r="AK699" s="83">
        <f t="shared" si="4250"/>
        <v>0</v>
      </c>
      <c r="AL699" s="83">
        <f t="shared" si="4251"/>
        <v>0</v>
      </c>
      <c r="AN699" s="43">
        <f t="shared" si="4224"/>
        <v>0</v>
      </c>
      <c r="AP699" t="str">
        <f t="shared" si="4252"/>
        <v/>
      </c>
      <c r="AQ699" t="str">
        <f t="shared" si="4253"/>
        <v/>
      </c>
      <c r="AR699" t="str">
        <f t="shared" si="4254"/>
        <v/>
      </c>
      <c r="AS699" t="str">
        <f t="shared" si="4255"/>
        <v/>
      </c>
      <c r="AT699" t="str">
        <f t="shared" si="4256"/>
        <v/>
      </c>
      <c r="AU699" t="str">
        <f t="shared" si="4257"/>
        <v/>
      </c>
      <c r="AV699" t="str">
        <f t="shared" si="4258"/>
        <v/>
      </c>
      <c r="AW699" t="str">
        <f t="shared" si="4259"/>
        <v xml:space="preserve">                              </v>
      </c>
      <c r="AX699" s="23">
        <f t="shared" si="4260"/>
        <v>0</v>
      </c>
      <c r="AY699" s="49" t="str">
        <f t="shared" si="4236"/>
        <v>000000000000000</v>
      </c>
      <c r="AZ699" s="23">
        <f t="shared" si="4261"/>
        <v>0</v>
      </c>
      <c r="BA699" s="49" t="str">
        <f t="shared" si="4236"/>
        <v>000000000000000</v>
      </c>
      <c r="BB699" s="23">
        <f t="shared" si="4262"/>
        <v>0</v>
      </c>
      <c r="BC699" s="49" t="str">
        <f t="shared" ref="BC699" si="4551">IF(BB699&lt;0,SUBSTITUTE(TEXT(BB699,"000000000000,00"),",",""),SUBSTITUTE(TEXT(BB699,"0000000000000,00"),",",""))</f>
        <v>000000000000000</v>
      </c>
      <c r="BD699" s="23">
        <f t="shared" si="4264"/>
        <v>0</v>
      </c>
      <c r="BE699" s="49" t="str">
        <f t="shared" ref="BE699" si="4552">IF(BD699&lt;0,SUBSTITUTE(TEXT(BD699,"000000000000,00"),",",""),SUBSTITUTE(TEXT(BD699,"0000000000000,00"),",",""))</f>
        <v>000000000000000</v>
      </c>
      <c r="BF699" s="23">
        <f t="shared" si="4266"/>
        <v>0</v>
      </c>
      <c r="BG699" s="49" t="str">
        <f t="shared" ref="BG699" si="4553">IF(BF699&lt;0,SUBSTITUTE(TEXT(BF699,"000000000000,00"),",",""),SUBSTITUTE(TEXT(BF699,"0000000000000,00"),",",""))</f>
        <v>000000000000000</v>
      </c>
      <c r="BH699" s="23">
        <f t="shared" si="4268"/>
        <v>0</v>
      </c>
      <c r="BI699" s="49" t="str">
        <f t="shared" ref="BI699" si="4554">IF(BH699&lt;0,SUBSTITUTE(TEXT(BH699,"000000000000,00"),",",""),SUBSTITUTE(TEXT(BH699,"0000000000000,00"),",",""))</f>
        <v>000000000000000</v>
      </c>
      <c r="BJ699" s="23">
        <f t="shared" si="4270"/>
        <v>0</v>
      </c>
      <c r="BK699" s="49" t="str">
        <f t="shared" ref="BK699" si="4555">IF(BJ699&lt;0,SUBSTITUTE(TEXT(BJ699,"000000000000,00"),",",""),SUBSTITUTE(TEXT(BJ699,"0000000000000,00"),",",""))</f>
        <v>000000000000000</v>
      </c>
      <c r="BL699" s="23">
        <f t="shared" si="4272"/>
        <v>0</v>
      </c>
      <c r="BM699" s="49" t="str">
        <f t="shared" ref="BM699" si="4556">IF(BL699&lt;0,SUBSTITUTE(TEXT(BL699,"000000000000,00"),",",""),SUBSTITUTE(TEXT(BL699,"0000000000000,00"),",",""))</f>
        <v>000000000000000</v>
      </c>
      <c r="BN699" t="str">
        <f t="shared" si="4274"/>
        <v>PES</v>
      </c>
      <c r="BO699" t="str">
        <f t="shared" si="4275"/>
        <v>0001000000</v>
      </c>
      <c r="BP699">
        <f t="shared" si="4276"/>
        <v>0</v>
      </c>
      <c r="BQ699">
        <f t="shared" si="4277"/>
        <v>0</v>
      </c>
      <c r="BR699" s="23">
        <f t="shared" si="4278"/>
        <v>0</v>
      </c>
      <c r="BS699" s="49" t="str">
        <f t="shared" si="4243"/>
        <v>000000000000000</v>
      </c>
      <c r="BT699" t="str">
        <f t="shared" si="4279"/>
        <v>00000000</v>
      </c>
      <c r="BU699" s="23">
        <f t="shared" si="4280"/>
        <v>0</v>
      </c>
      <c r="BV699" s="49" t="str">
        <f t="shared" si="4244"/>
        <v/>
      </c>
      <c r="BW699" s="52" t="str">
        <f t="shared" si="4281"/>
        <v/>
      </c>
      <c r="BX699" s="23">
        <f t="shared" si="4282"/>
        <v>0</v>
      </c>
      <c r="BY699" s="49" t="str">
        <f t="shared" si="4245"/>
        <v/>
      </c>
      <c r="BZ699" s="23">
        <f t="shared" si="4283"/>
        <v>0</v>
      </c>
      <c r="CA699" s="49" t="str">
        <f t="shared" si="4246"/>
        <v/>
      </c>
      <c r="CB699" s="52" t="str">
        <f t="shared" si="4284"/>
        <v/>
      </c>
      <c r="CC699" s="23">
        <f t="shared" si="4285"/>
        <v>0</v>
      </c>
      <c r="CD699" s="49" t="str">
        <f t="shared" si="4247"/>
        <v/>
      </c>
      <c r="CE699" s="56" t="str">
        <f>IF(CF699="","",MAX(CE$10:$CE698)+1)</f>
        <v/>
      </c>
      <c r="CF699" t="str">
        <f t="shared" si="4286"/>
        <v/>
      </c>
      <c r="CG699" s="22" t="str">
        <f>IF(CH699="","",MAX($CG$10:CG698)+1)</f>
        <v/>
      </c>
      <c r="CH699" s="22" t="str">
        <f t="shared" si="4231"/>
        <v/>
      </c>
      <c r="CI699" s="22" t="str">
        <f>IF(CJ699="","",MAX($CI$10:CI698)+1)</f>
        <v/>
      </c>
      <c r="CJ699" s="22" t="str">
        <f t="shared" si="4232"/>
        <v/>
      </c>
    </row>
    <row r="700" spans="2:88" x14ac:dyDescent="0.25">
      <c r="B700" s="37"/>
      <c r="C700" s="3"/>
      <c r="D700" s="77" t="str">
        <f t="shared" si="4218"/>
        <v/>
      </c>
      <c r="E700" s="38"/>
      <c r="F700" s="38"/>
      <c r="G700" s="78">
        <f t="shared" si="4233"/>
        <v>0</v>
      </c>
      <c r="H700" s="3">
        <v>80</v>
      </c>
      <c r="I700" s="77" t="str">
        <f t="shared" si="4219"/>
        <v/>
      </c>
      <c r="J700" s="32"/>
      <c r="K700" s="3"/>
      <c r="L700" s="39"/>
      <c r="M700" s="39"/>
      <c r="N700" s="39"/>
      <c r="O700" s="39"/>
      <c r="P700" s="39"/>
      <c r="Q700" s="39"/>
      <c r="R700" s="39"/>
      <c r="S700" s="39"/>
      <c r="T700" s="3" t="s">
        <v>645</v>
      </c>
      <c r="U700" s="77" t="str">
        <f t="shared" si="4220"/>
        <v/>
      </c>
      <c r="V700" s="39">
        <v>1</v>
      </c>
      <c r="W700" s="79">
        <f t="shared" si="4234"/>
        <v>0</v>
      </c>
      <c r="X700" s="3">
        <v>0</v>
      </c>
      <c r="Y700" s="77" t="str">
        <f t="shared" si="4221"/>
        <v/>
      </c>
      <c r="Z700" s="3"/>
      <c r="AA700" s="37" t="str">
        <f t="shared" si="4235"/>
        <v/>
      </c>
      <c r="AC700" s="40"/>
      <c r="AD700" s="7"/>
      <c r="AE700" s="77" t="str">
        <f t="shared" si="4222"/>
        <v/>
      </c>
      <c r="AF700" s="81">
        <f t="shared" si="4248"/>
        <v>0</v>
      </c>
      <c r="AG700" s="40"/>
      <c r="AH700" s="7"/>
      <c r="AI700" s="77" t="str">
        <f t="shared" si="4223"/>
        <v/>
      </c>
      <c r="AJ700" s="81">
        <f t="shared" si="4249"/>
        <v>0</v>
      </c>
      <c r="AK700" s="83">
        <f t="shared" si="4250"/>
        <v>0</v>
      </c>
      <c r="AL700" s="83">
        <f t="shared" si="4251"/>
        <v>0</v>
      </c>
      <c r="AN700" s="43">
        <f t="shared" si="4224"/>
        <v>0</v>
      </c>
      <c r="AP700" t="str">
        <f t="shared" si="4252"/>
        <v/>
      </c>
      <c r="AQ700" t="str">
        <f t="shared" si="4253"/>
        <v/>
      </c>
      <c r="AR700" t="str">
        <f t="shared" si="4254"/>
        <v/>
      </c>
      <c r="AS700" t="str">
        <f t="shared" si="4255"/>
        <v/>
      </c>
      <c r="AT700" t="str">
        <f t="shared" si="4256"/>
        <v/>
      </c>
      <c r="AU700" t="str">
        <f t="shared" si="4257"/>
        <v/>
      </c>
      <c r="AV700" t="str">
        <f t="shared" si="4258"/>
        <v/>
      </c>
      <c r="AW700" t="str">
        <f t="shared" si="4259"/>
        <v xml:space="preserve">                              </v>
      </c>
      <c r="AX700" s="23">
        <f t="shared" si="4260"/>
        <v>0</v>
      </c>
      <c r="AY700" s="49" t="str">
        <f t="shared" si="4236"/>
        <v>000000000000000</v>
      </c>
      <c r="AZ700" s="23">
        <f t="shared" si="4261"/>
        <v>0</v>
      </c>
      <c r="BA700" s="49" t="str">
        <f t="shared" si="4236"/>
        <v>000000000000000</v>
      </c>
      <c r="BB700" s="23">
        <f t="shared" si="4262"/>
        <v>0</v>
      </c>
      <c r="BC700" s="49" t="str">
        <f t="shared" ref="BC700" si="4557">IF(BB700&lt;0,SUBSTITUTE(TEXT(BB700,"000000000000,00"),",",""),SUBSTITUTE(TEXT(BB700,"0000000000000,00"),",",""))</f>
        <v>000000000000000</v>
      </c>
      <c r="BD700" s="23">
        <f t="shared" si="4264"/>
        <v>0</v>
      </c>
      <c r="BE700" s="49" t="str">
        <f t="shared" ref="BE700" si="4558">IF(BD700&lt;0,SUBSTITUTE(TEXT(BD700,"000000000000,00"),",",""),SUBSTITUTE(TEXT(BD700,"0000000000000,00"),",",""))</f>
        <v>000000000000000</v>
      </c>
      <c r="BF700" s="23">
        <f t="shared" si="4266"/>
        <v>0</v>
      </c>
      <c r="BG700" s="49" t="str">
        <f t="shared" ref="BG700" si="4559">IF(BF700&lt;0,SUBSTITUTE(TEXT(BF700,"000000000000,00"),",",""),SUBSTITUTE(TEXT(BF700,"0000000000000,00"),",",""))</f>
        <v>000000000000000</v>
      </c>
      <c r="BH700" s="23">
        <f t="shared" si="4268"/>
        <v>0</v>
      </c>
      <c r="BI700" s="49" t="str">
        <f t="shared" ref="BI700" si="4560">IF(BH700&lt;0,SUBSTITUTE(TEXT(BH700,"000000000000,00"),",",""),SUBSTITUTE(TEXT(BH700,"0000000000000,00"),",",""))</f>
        <v>000000000000000</v>
      </c>
      <c r="BJ700" s="23">
        <f t="shared" si="4270"/>
        <v>0</v>
      </c>
      <c r="BK700" s="49" t="str">
        <f t="shared" ref="BK700" si="4561">IF(BJ700&lt;0,SUBSTITUTE(TEXT(BJ700,"000000000000,00"),",",""),SUBSTITUTE(TEXT(BJ700,"0000000000000,00"),",",""))</f>
        <v>000000000000000</v>
      </c>
      <c r="BL700" s="23">
        <f t="shared" si="4272"/>
        <v>0</v>
      </c>
      <c r="BM700" s="49" t="str">
        <f t="shared" ref="BM700" si="4562">IF(BL700&lt;0,SUBSTITUTE(TEXT(BL700,"000000000000,00"),",",""),SUBSTITUTE(TEXT(BL700,"0000000000000,00"),",",""))</f>
        <v>000000000000000</v>
      </c>
      <c r="BN700" t="str">
        <f t="shared" si="4274"/>
        <v>PES</v>
      </c>
      <c r="BO700" t="str">
        <f t="shared" si="4275"/>
        <v>0001000000</v>
      </c>
      <c r="BP700">
        <f t="shared" si="4276"/>
        <v>0</v>
      </c>
      <c r="BQ700">
        <f t="shared" si="4277"/>
        <v>0</v>
      </c>
      <c r="BR700" s="23">
        <f t="shared" si="4278"/>
        <v>0</v>
      </c>
      <c r="BS700" s="49" t="str">
        <f t="shared" si="4243"/>
        <v>000000000000000</v>
      </c>
      <c r="BT700" t="str">
        <f t="shared" si="4279"/>
        <v>00000000</v>
      </c>
      <c r="BU700" s="23">
        <f t="shared" si="4280"/>
        <v>0</v>
      </c>
      <c r="BV700" s="49" t="str">
        <f t="shared" si="4244"/>
        <v/>
      </c>
      <c r="BW700" s="52" t="str">
        <f t="shared" si="4281"/>
        <v/>
      </c>
      <c r="BX700" s="23">
        <f t="shared" si="4282"/>
        <v>0</v>
      </c>
      <c r="BY700" s="49" t="str">
        <f t="shared" si="4245"/>
        <v/>
      </c>
      <c r="BZ700" s="23">
        <f t="shared" si="4283"/>
        <v>0</v>
      </c>
      <c r="CA700" s="49" t="str">
        <f t="shared" si="4246"/>
        <v/>
      </c>
      <c r="CB700" s="52" t="str">
        <f t="shared" si="4284"/>
        <v/>
      </c>
      <c r="CC700" s="23">
        <f t="shared" si="4285"/>
        <v>0</v>
      </c>
      <c r="CD700" s="49" t="str">
        <f t="shared" si="4247"/>
        <v/>
      </c>
      <c r="CE700" s="56" t="str">
        <f>IF(CF700="","",MAX(CE$10:$CE699)+1)</f>
        <v/>
      </c>
      <c r="CF700" t="str">
        <f t="shared" si="4286"/>
        <v/>
      </c>
      <c r="CG700" s="22" t="str">
        <f>IF(CH700="","",MAX($CG$10:CG699)+1)</f>
        <v/>
      </c>
      <c r="CH700" s="22" t="str">
        <f t="shared" si="4231"/>
        <v/>
      </c>
      <c r="CI700" s="22" t="str">
        <f>IF(CJ700="","",MAX($CI$10:CI699)+1)</f>
        <v/>
      </c>
      <c r="CJ700" s="22" t="str">
        <f t="shared" si="4232"/>
        <v/>
      </c>
    </row>
    <row r="701" spans="2:88" x14ac:dyDescent="0.25">
      <c r="B701" s="37"/>
      <c r="C701" s="3"/>
      <c r="D701" s="77" t="str">
        <f t="shared" si="4218"/>
        <v/>
      </c>
      <c r="E701" s="38"/>
      <c r="F701" s="38"/>
      <c r="G701" s="78">
        <f t="shared" si="4233"/>
        <v>0</v>
      </c>
      <c r="H701" s="3">
        <v>80</v>
      </c>
      <c r="I701" s="77" t="str">
        <f t="shared" si="4219"/>
        <v/>
      </c>
      <c r="J701" s="32"/>
      <c r="K701" s="3"/>
      <c r="L701" s="39"/>
      <c r="M701" s="39"/>
      <c r="N701" s="39"/>
      <c r="O701" s="39"/>
      <c r="P701" s="39"/>
      <c r="Q701" s="39"/>
      <c r="R701" s="39"/>
      <c r="S701" s="39"/>
      <c r="T701" s="3" t="s">
        <v>645</v>
      </c>
      <c r="U701" s="77" t="str">
        <f t="shared" si="4220"/>
        <v/>
      </c>
      <c r="V701" s="39">
        <v>1</v>
      </c>
      <c r="W701" s="79">
        <f t="shared" si="4234"/>
        <v>0</v>
      </c>
      <c r="X701" s="3">
        <v>0</v>
      </c>
      <c r="Y701" s="77" t="str">
        <f t="shared" si="4221"/>
        <v/>
      </c>
      <c r="Z701" s="3"/>
      <c r="AA701" s="37" t="str">
        <f t="shared" si="4235"/>
        <v/>
      </c>
      <c r="AC701" s="40"/>
      <c r="AD701" s="7"/>
      <c r="AE701" s="77" t="str">
        <f t="shared" si="4222"/>
        <v/>
      </c>
      <c r="AF701" s="81">
        <f t="shared" si="4248"/>
        <v>0</v>
      </c>
      <c r="AG701" s="40"/>
      <c r="AH701" s="7"/>
      <c r="AI701" s="77" t="str">
        <f t="shared" si="4223"/>
        <v/>
      </c>
      <c r="AJ701" s="81">
        <f t="shared" si="4249"/>
        <v>0</v>
      </c>
      <c r="AK701" s="83">
        <f t="shared" si="4250"/>
        <v>0</v>
      </c>
      <c r="AL701" s="83">
        <f t="shared" si="4251"/>
        <v>0</v>
      </c>
      <c r="AN701" s="43">
        <f t="shared" si="4224"/>
        <v>0</v>
      </c>
      <c r="AP701" t="str">
        <f t="shared" si="4252"/>
        <v/>
      </c>
      <c r="AQ701" t="str">
        <f t="shared" si="4253"/>
        <v/>
      </c>
      <c r="AR701" t="str">
        <f t="shared" si="4254"/>
        <v/>
      </c>
      <c r="AS701" t="str">
        <f t="shared" si="4255"/>
        <v/>
      </c>
      <c r="AT701" t="str">
        <f t="shared" si="4256"/>
        <v/>
      </c>
      <c r="AU701" t="str">
        <f t="shared" si="4257"/>
        <v/>
      </c>
      <c r="AV701" t="str">
        <f t="shared" si="4258"/>
        <v/>
      </c>
      <c r="AW701" t="str">
        <f t="shared" si="4259"/>
        <v xml:space="preserve">                              </v>
      </c>
      <c r="AX701" s="23">
        <f t="shared" si="4260"/>
        <v>0</v>
      </c>
      <c r="AY701" s="49" t="str">
        <f t="shared" si="4236"/>
        <v>000000000000000</v>
      </c>
      <c r="AZ701" s="23">
        <f t="shared" si="4261"/>
        <v>0</v>
      </c>
      <c r="BA701" s="49" t="str">
        <f t="shared" si="4236"/>
        <v>000000000000000</v>
      </c>
      <c r="BB701" s="23">
        <f t="shared" si="4262"/>
        <v>0</v>
      </c>
      <c r="BC701" s="49" t="str">
        <f t="shared" ref="BC701" si="4563">IF(BB701&lt;0,SUBSTITUTE(TEXT(BB701,"000000000000,00"),",",""),SUBSTITUTE(TEXT(BB701,"0000000000000,00"),",",""))</f>
        <v>000000000000000</v>
      </c>
      <c r="BD701" s="23">
        <f t="shared" si="4264"/>
        <v>0</v>
      </c>
      <c r="BE701" s="49" t="str">
        <f t="shared" ref="BE701" si="4564">IF(BD701&lt;0,SUBSTITUTE(TEXT(BD701,"000000000000,00"),",",""),SUBSTITUTE(TEXT(BD701,"0000000000000,00"),",",""))</f>
        <v>000000000000000</v>
      </c>
      <c r="BF701" s="23">
        <f t="shared" si="4266"/>
        <v>0</v>
      </c>
      <c r="BG701" s="49" t="str">
        <f t="shared" ref="BG701" si="4565">IF(BF701&lt;0,SUBSTITUTE(TEXT(BF701,"000000000000,00"),",",""),SUBSTITUTE(TEXT(BF701,"0000000000000,00"),",",""))</f>
        <v>000000000000000</v>
      </c>
      <c r="BH701" s="23">
        <f t="shared" si="4268"/>
        <v>0</v>
      </c>
      <c r="BI701" s="49" t="str">
        <f t="shared" ref="BI701" si="4566">IF(BH701&lt;0,SUBSTITUTE(TEXT(BH701,"000000000000,00"),",",""),SUBSTITUTE(TEXT(BH701,"0000000000000,00"),",",""))</f>
        <v>000000000000000</v>
      </c>
      <c r="BJ701" s="23">
        <f t="shared" si="4270"/>
        <v>0</v>
      </c>
      <c r="BK701" s="49" t="str">
        <f t="shared" ref="BK701" si="4567">IF(BJ701&lt;0,SUBSTITUTE(TEXT(BJ701,"000000000000,00"),",",""),SUBSTITUTE(TEXT(BJ701,"0000000000000,00"),",",""))</f>
        <v>000000000000000</v>
      </c>
      <c r="BL701" s="23">
        <f t="shared" si="4272"/>
        <v>0</v>
      </c>
      <c r="BM701" s="49" t="str">
        <f t="shared" ref="BM701" si="4568">IF(BL701&lt;0,SUBSTITUTE(TEXT(BL701,"000000000000,00"),",",""),SUBSTITUTE(TEXT(BL701,"0000000000000,00"),",",""))</f>
        <v>000000000000000</v>
      </c>
      <c r="BN701" t="str">
        <f t="shared" si="4274"/>
        <v>PES</v>
      </c>
      <c r="BO701" t="str">
        <f t="shared" si="4275"/>
        <v>0001000000</v>
      </c>
      <c r="BP701">
        <f t="shared" si="4276"/>
        <v>0</v>
      </c>
      <c r="BQ701">
        <f t="shared" si="4277"/>
        <v>0</v>
      </c>
      <c r="BR701" s="23">
        <f t="shared" si="4278"/>
        <v>0</v>
      </c>
      <c r="BS701" s="49" t="str">
        <f t="shared" si="4243"/>
        <v>000000000000000</v>
      </c>
      <c r="BT701" t="str">
        <f t="shared" si="4279"/>
        <v>00000000</v>
      </c>
      <c r="BU701" s="23">
        <f t="shared" si="4280"/>
        <v>0</v>
      </c>
      <c r="BV701" s="49" t="str">
        <f t="shared" si="4244"/>
        <v/>
      </c>
      <c r="BW701" s="52" t="str">
        <f t="shared" si="4281"/>
        <v/>
      </c>
      <c r="BX701" s="23">
        <f t="shared" si="4282"/>
        <v>0</v>
      </c>
      <c r="BY701" s="49" t="str">
        <f t="shared" si="4245"/>
        <v/>
      </c>
      <c r="BZ701" s="23">
        <f t="shared" si="4283"/>
        <v>0</v>
      </c>
      <c r="CA701" s="49" t="str">
        <f t="shared" si="4246"/>
        <v/>
      </c>
      <c r="CB701" s="52" t="str">
        <f t="shared" si="4284"/>
        <v/>
      </c>
      <c r="CC701" s="23">
        <f t="shared" si="4285"/>
        <v>0</v>
      </c>
      <c r="CD701" s="49" t="str">
        <f t="shared" si="4247"/>
        <v/>
      </c>
      <c r="CE701" s="56" t="str">
        <f>IF(CF701="","",MAX(CE$10:$CE700)+1)</f>
        <v/>
      </c>
      <c r="CF701" t="str">
        <f t="shared" si="4286"/>
        <v/>
      </c>
      <c r="CG701" s="22" t="str">
        <f>IF(CH701="","",MAX($CG$10:CG700)+1)</f>
        <v/>
      </c>
      <c r="CH701" s="22" t="str">
        <f t="shared" si="4231"/>
        <v/>
      </c>
      <c r="CI701" s="22" t="str">
        <f>IF(CJ701="","",MAX($CI$10:CI700)+1)</f>
        <v/>
      </c>
      <c r="CJ701" s="22" t="str">
        <f t="shared" si="4232"/>
        <v/>
      </c>
    </row>
    <row r="702" spans="2:88" x14ac:dyDescent="0.25">
      <c r="B702" s="37"/>
      <c r="C702" s="3"/>
      <c r="D702" s="77" t="str">
        <f t="shared" si="4218"/>
        <v/>
      </c>
      <c r="E702" s="38"/>
      <c r="F702" s="38"/>
      <c r="G702" s="78">
        <f t="shared" si="4233"/>
        <v>0</v>
      </c>
      <c r="H702" s="3">
        <v>80</v>
      </c>
      <c r="I702" s="77" t="str">
        <f t="shared" si="4219"/>
        <v/>
      </c>
      <c r="J702" s="32"/>
      <c r="K702" s="3"/>
      <c r="L702" s="39"/>
      <c r="M702" s="39"/>
      <c r="N702" s="39"/>
      <c r="O702" s="39"/>
      <c r="P702" s="39"/>
      <c r="Q702" s="39"/>
      <c r="R702" s="39"/>
      <c r="S702" s="39"/>
      <c r="T702" s="3" t="s">
        <v>645</v>
      </c>
      <c r="U702" s="77" t="str">
        <f t="shared" si="4220"/>
        <v/>
      </c>
      <c r="V702" s="39">
        <v>1</v>
      </c>
      <c r="W702" s="79">
        <f t="shared" si="4234"/>
        <v>0</v>
      </c>
      <c r="X702" s="3">
        <v>0</v>
      </c>
      <c r="Y702" s="77" t="str">
        <f t="shared" si="4221"/>
        <v/>
      </c>
      <c r="Z702" s="3"/>
      <c r="AA702" s="37" t="str">
        <f t="shared" si="4235"/>
        <v/>
      </c>
      <c r="AC702" s="40"/>
      <c r="AD702" s="7"/>
      <c r="AE702" s="77" t="str">
        <f t="shared" si="4222"/>
        <v/>
      </c>
      <c r="AF702" s="81">
        <f t="shared" si="4248"/>
        <v>0</v>
      </c>
      <c r="AG702" s="40"/>
      <c r="AH702" s="7"/>
      <c r="AI702" s="77" t="str">
        <f t="shared" si="4223"/>
        <v/>
      </c>
      <c r="AJ702" s="81">
        <f t="shared" si="4249"/>
        <v>0</v>
      </c>
      <c r="AK702" s="83">
        <f t="shared" si="4250"/>
        <v>0</v>
      </c>
      <c r="AL702" s="83">
        <f t="shared" si="4251"/>
        <v>0</v>
      </c>
      <c r="AN702" s="43">
        <f t="shared" si="4224"/>
        <v>0</v>
      </c>
      <c r="AP702" t="str">
        <f t="shared" si="4252"/>
        <v/>
      </c>
      <c r="AQ702" t="str">
        <f t="shared" si="4253"/>
        <v/>
      </c>
      <c r="AR702" t="str">
        <f t="shared" si="4254"/>
        <v/>
      </c>
      <c r="AS702" t="str">
        <f t="shared" si="4255"/>
        <v/>
      </c>
      <c r="AT702" t="str">
        <f t="shared" si="4256"/>
        <v/>
      </c>
      <c r="AU702" t="str">
        <f t="shared" si="4257"/>
        <v/>
      </c>
      <c r="AV702" t="str">
        <f t="shared" si="4258"/>
        <v/>
      </c>
      <c r="AW702" t="str">
        <f t="shared" si="4259"/>
        <v xml:space="preserve">                              </v>
      </c>
      <c r="AX702" s="23">
        <f t="shared" si="4260"/>
        <v>0</v>
      </c>
      <c r="AY702" s="49" t="str">
        <f t="shared" si="4236"/>
        <v>000000000000000</v>
      </c>
      <c r="AZ702" s="23">
        <f t="shared" si="4261"/>
        <v>0</v>
      </c>
      <c r="BA702" s="49" t="str">
        <f t="shared" si="4236"/>
        <v>000000000000000</v>
      </c>
      <c r="BB702" s="23">
        <f t="shared" si="4262"/>
        <v>0</v>
      </c>
      <c r="BC702" s="49" t="str">
        <f t="shared" ref="BC702" si="4569">IF(BB702&lt;0,SUBSTITUTE(TEXT(BB702,"000000000000,00"),",",""),SUBSTITUTE(TEXT(BB702,"0000000000000,00"),",",""))</f>
        <v>000000000000000</v>
      </c>
      <c r="BD702" s="23">
        <f t="shared" si="4264"/>
        <v>0</v>
      </c>
      <c r="BE702" s="49" t="str">
        <f t="shared" ref="BE702" si="4570">IF(BD702&lt;0,SUBSTITUTE(TEXT(BD702,"000000000000,00"),",",""),SUBSTITUTE(TEXT(BD702,"0000000000000,00"),",",""))</f>
        <v>000000000000000</v>
      </c>
      <c r="BF702" s="23">
        <f t="shared" si="4266"/>
        <v>0</v>
      </c>
      <c r="BG702" s="49" t="str">
        <f t="shared" ref="BG702" si="4571">IF(BF702&lt;0,SUBSTITUTE(TEXT(BF702,"000000000000,00"),",",""),SUBSTITUTE(TEXT(BF702,"0000000000000,00"),",",""))</f>
        <v>000000000000000</v>
      </c>
      <c r="BH702" s="23">
        <f t="shared" si="4268"/>
        <v>0</v>
      </c>
      <c r="BI702" s="49" t="str">
        <f t="shared" ref="BI702" si="4572">IF(BH702&lt;0,SUBSTITUTE(TEXT(BH702,"000000000000,00"),",",""),SUBSTITUTE(TEXT(BH702,"0000000000000,00"),",",""))</f>
        <v>000000000000000</v>
      </c>
      <c r="BJ702" s="23">
        <f t="shared" si="4270"/>
        <v>0</v>
      </c>
      <c r="BK702" s="49" t="str">
        <f t="shared" ref="BK702" si="4573">IF(BJ702&lt;0,SUBSTITUTE(TEXT(BJ702,"000000000000,00"),",",""),SUBSTITUTE(TEXT(BJ702,"0000000000000,00"),",",""))</f>
        <v>000000000000000</v>
      </c>
      <c r="BL702" s="23">
        <f t="shared" si="4272"/>
        <v>0</v>
      </c>
      <c r="BM702" s="49" t="str">
        <f t="shared" ref="BM702" si="4574">IF(BL702&lt;0,SUBSTITUTE(TEXT(BL702,"000000000000,00"),",",""),SUBSTITUTE(TEXT(BL702,"0000000000000,00"),",",""))</f>
        <v>000000000000000</v>
      </c>
      <c r="BN702" t="str">
        <f t="shared" si="4274"/>
        <v>PES</v>
      </c>
      <c r="BO702" t="str">
        <f t="shared" si="4275"/>
        <v>0001000000</v>
      </c>
      <c r="BP702">
        <f t="shared" si="4276"/>
        <v>0</v>
      </c>
      <c r="BQ702">
        <f t="shared" si="4277"/>
        <v>0</v>
      </c>
      <c r="BR702" s="23">
        <f t="shared" si="4278"/>
        <v>0</v>
      </c>
      <c r="BS702" s="49" t="str">
        <f t="shared" si="4243"/>
        <v>000000000000000</v>
      </c>
      <c r="BT702" t="str">
        <f t="shared" si="4279"/>
        <v>00000000</v>
      </c>
      <c r="BU702" s="23">
        <f t="shared" si="4280"/>
        <v>0</v>
      </c>
      <c r="BV702" s="49" t="str">
        <f t="shared" si="4244"/>
        <v/>
      </c>
      <c r="BW702" s="52" t="str">
        <f t="shared" si="4281"/>
        <v/>
      </c>
      <c r="BX702" s="23">
        <f t="shared" si="4282"/>
        <v>0</v>
      </c>
      <c r="BY702" s="49" t="str">
        <f t="shared" si="4245"/>
        <v/>
      </c>
      <c r="BZ702" s="23">
        <f t="shared" si="4283"/>
        <v>0</v>
      </c>
      <c r="CA702" s="49" t="str">
        <f t="shared" si="4246"/>
        <v/>
      </c>
      <c r="CB702" s="52" t="str">
        <f t="shared" si="4284"/>
        <v/>
      </c>
      <c r="CC702" s="23">
        <f t="shared" si="4285"/>
        <v>0</v>
      </c>
      <c r="CD702" s="49" t="str">
        <f t="shared" si="4247"/>
        <v/>
      </c>
      <c r="CE702" s="56" t="str">
        <f>IF(CF702="","",MAX(CE$10:$CE701)+1)</f>
        <v/>
      </c>
      <c r="CF702" t="str">
        <f t="shared" si="4286"/>
        <v/>
      </c>
      <c r="CG702" s="22" t="str">
        <f>IF(CH702="","",MAX($CG$10:CG701)+1)</f>
        <v/>
      </c>
      <c r="CH702" s="22" t="str">
        <f t="shared" si="4231"/>
        <v/>
      </c>
      <c r="CI702" s="22" t="str">
        <f>IF(CJ702="","",MAX($CI$10:CI701)+1)</f>
        <v/>
      </c>
      <c r="CJ702" s="22" t="str">
        <f t="shared" si="4232"/>
        <v/>
      </c>
    </row>
    <row r="703" spans="2:88" x14ac:dyDescent="0.25">
      <c r="B703" s="37"/>
      <c r="C703" s="3"/>
      <c r="D703" s="77" t="str">
        <f t="shared" si="4218"/>
        <v/>
      </c>
      <c r="E703" s="38"/>
      <c r="F703" s="38"/>
      <c r="G703" s="78">
        <f t="shared" si="4233"/>
        <v>0</v>
      </c>
      <c r="H703" s="3">
        <v>80</v>
      </c>
      <c r="I703" s="77" t="str">
        <f t="shared" si="4219"/>
        <v/>
      </c>
      <c r="J703" s="32"/>
      <c r="K703" s="3"/>
      <c r="L703" s="39"/>
      <c r="M703" s="39"/>
      <c r="N703" s="39"/>
      <c r="O703" s="39"/>
      <c r="P703" s="39"/>
      <c r="Q703" s="39"/>
      <c r="R703" s="39"/>
      <c r="S703" s="39"/>
      <c r="T703" s="3" t="s">
        <v>645</v>
      </c>
      <c r="U703" s="77" t="str">
        <f t="shared" si="4220"/>
        <v/>
      </c>
      <c r="V703" s="39">
        <v>1</v>
      </c>
      <c r="W703" s="79">
        <f t="shared" si="4234"/>
        <v>0</v>
      </c>
      <c r="X703" s="3">
        <v>0</v>
      </c>
      <c r="Y703" s="77" t="str">
        <f t="shared" si="4221"/>
        <v/>
      </c>
      <c r="Z703" s="3"/>
      <c r="AA703" s="37" t="str">
        <f t="shared" si="4235"/>
        <v/>
      </c>
      <c r="AC703" s="40"/>
      <c r="AD703" s="7"/>
      <c r="AE703" s="77" t="str">
        <f t="shared" si="4222"/>
        <v/>
      </c>
      <c r="AF703" s="81">
        <f t="shared" si="4248"/>
        <v>0</v>
      </c>
      <c r="AG703" s="40"/>
      <c r="AH703" s="7"/>
      <c r="AI703" s="77" t="str">
        <f t="shared" si="4223"/>
        <v/>
      </c>
      <c r="AJ703" s="81">
        <f t="shared" si="4249"/>
        <v>0</v>
      </c>
      <c r="AK703" s="83">
        <f t="shared" si="4250"/>
        <v>0</v>
      </c>
      <c r="AL703" s="83">
        <f t="shared" si="4251"/>
        <v>0</v>
      </c>
      <c r="AN703" s="43">
        <f t="shared" si="4224"/>
        <v>0</v>
      </c>
      <c r="AP703" t="str">
        <f t="shared" si="4252"/>
        <v/>
      </c>
      <c r="AQ703" t="str">
        <f t="shared" si="4253"/>
        <v/>
      </c>
      <c r="AR703" t="str">
        <f t="shared" si="4254"/>
        <v/>
      </c>
      <c r="AS703" t="str">
        <f t="shared" si="4255"/>
        <v/>
      </c>
      <c r="AT703" t="str">
        <f t="shared" si="4256"/>
        <v/>
      </c>
      <c r="AU703" t="str">
        <f t="shared" si="4257"/>
        <v/>
      </c>
      <c r="AV703" t="str">
        <f t="shared" si="4258"/>
        <v/>
      </c>
      <c r="AW703" t="str">
        <f t="shared" si="4259"/>
        <v xml:space="preserve">                              </v>
      </c>
      <c r="AX703" s="23">
        <f t="shared" si="4260"/>
        <v>0</v>
      </c>
      <c r="AY703" s="49" t="str">
        <f t="shared" si="4236"/>
        <v>000000000000000</v>
      </c>
      <c r="AZ703" s="23">
        <f t="shared" si="4261"/>
        <v>0</v>
      </c>
      <c r="BA703" s="49" t="str">
        <f t="shared" si="4236"/>
        <v>000000000000000</v>
      </c>
      <c r="BB703" s="23">
        <f t="shared" si="4262"/>
        <v>0</v>
      </c>
      <c r="BC703" s="49" t="str">
        <f t="shared" ref="BC703" si="4575">IF(BB703&lt;0,SUBSTITUTE(TEXT(BB703,"000000000000,00"),",",""),SUBSTITUTE(TEXT(BB703,"0000000000000,00"),",",""))</f>
        <v>000000000000000</v>
      </c>
      <c r="BD703" s="23">
        <f t="shared" si="4264"/>
        <v>0</v>
      </c>
      <c r="BE703" s="49" t="str">
        <f t="shared" ref="BE703" si="4576">IF(BD703&lt;0,SUBSTITUTE(TEXT(BD703,"000000000000,00"),",",""),SUBSTITUTE(TEXT(BD703,"0000000000000,00"),",",""))</f>
        <v>000000000000000</v>
      </c>
      <c r="BF703" s="23">
        <f t="shared" si="4266"/>
        <v>0</v>
      </c>
      <c r="BG703" s="49" t="str">
        <f t="shared" ref="BG703" si="4577">IF(BF703&lt;0,SUBSTITUTE(TEXT(BF703,"000000000000,00"),",",""),SUBSTITUTE(TEXT(BF703,"0000000000000,00"),",",""))</f>
        <v>000000000000000</v>
      </c>
      <c r="BH703" s="23">
        <f t="shared" si="4268"/>
        <v>0</v>
      </c>
      <c r="BI703" s="49" t="str">
        <f t="shared" ref="BI703" si="4578">IF(BH703&lt;0,SUBSTITUTE(TEXT(BH703,"000000000000,00"),",",""),SUBSTITUTE(TEXT(BH703,"0000000000000,00"),",",""))</f>
        <v>000000000000000</v>
      </c>
      <c r="BJ703" s="23">
        <f t="shared" si="4270"/>
        <v>0</v>
      </c>
      <c r="BK703" s="49" t="str">
        <f t="shared" ref="BK703" si="4579">IF(BJ703&lt;0,SUBSTITUTE(TEXT(BJ703,"000000000000,00"),",",""),SUBSTITUTE(TEXT(BJ703,"0000000000000,00"),",",""))</f>
        <v>000000000000000</v>
      </c>
      <c r="BL703" s="23">
        <f t="shared" si="4272"/>
        <v>0</v>
      </c>
      <c r="BM703" s="49" t="str">
        <f t="shared" ref="BM703" si="4580">IF(BL703&lt;0,SUBSTITUTE(TEXT(BL703,"000000000000,00"),",",""),SUBSTITUTE(TEXT(BL703,"0000000000000,00"),",",""))</f>
        <v>000000000000000</v>
      </c>
      <c r="BN703" t="str">
        <f t="shared" si="4274"/>
        <v>PES</v>
      </c>
      <c r="BO703" t="str">
        <f t="shared" si="4275"/>
        <v>0001000000</v>
      </c>
      <c r="BP703">
        <f t="shared" si="4276"/>
        <v>0</v>
      </c>
      <c r="BQ703">
        <f t="shared" si="4277"/>
        <v>0</v>
      </c>
      <c r="BR703" s="23">
        <f t="shared" si="4278"/>
        <v>0</v>
      </c>
      <c r="BS703" s="49" t="str">
        <f t="shared" si="4243"/>
        <v>000000000000000</v>
      </c>
      <c r="BT703" t="str">
        <f t="shared" si="4279"/>
        <v>00000000</v>
      </c>
      <c r="BU703" s="23">
        <f t="shared" si="4280"/>
        <v>0</v>
      </c>
      <c r="BV703" s="49" t="str">
        <f t="shared" si="4244"/>
        <v/>
      </c>
      <c r="BW703" s="52" t="str">
        <f t="shared" si="4281"/>
        <v/>
      </c>
      <c r="BX703" s="23">
        <f t="shared" si="4282"/>
        <v>0</v>
      </c>
      <c r="BY703" s="49" t="str">
        <f t="shared" si="4245"/>
        <v/>
      </c>
      <c r="BZ703" s="23">
        <f t="shared" si="4283"/>
        <v>0</v>
      </c>
      <c r="CA703" s="49" t="str">
        <f t="shared" si="4246"/>
        <v/>
      </c>
      <c r="CB703" s="52" t="str">
        <f t="shared" si="4284"/>
        <v/>
      </c>
      <c r="CC703" s="23">
        <f t="shared" si="4285"/>
        <v>0</v>
      </c>
      <c r="CD703" s="49" t="str">
        <f t="shared" si="4247"/>
        <v/>
      </c>
      <c r="CE703" s="56" t="str">
        <f>IF(CF703="","",MAX(CE$10:$CE702)+1)</f>
        <v/>
      </c>
      <c r="CF703" t="str">
        <f t="shared" si="4286"/>
        <v/>
      </c>
      <c r="CG703" s="22" t="str">
        <f>IF(CH703="","",MAX($CG$10:CG702)+1)</f>
        <v/>
      </c>
      <c r="CH703" s="22" t="str">
        <f t="shared" si="4231"/>
        <v/>
      </c>
      <c r="CI703" s="22" t="str">
        <f>IF(CJ703="","",MAX($CI$10:CI702)+1)</f>
        <v/>
      </c>
      <c r="CJ703" s="22" t="str">
        <f t="shared" si="4232"/>
        <v/>
      </c>
    </row>
    <row r="704" spans="2:88" x14ac:dyDescent="0.25">
      <c r="B704" s="37"/>
      <c r="C704" s="3"/>
      <c r="D704" s="77" t="str">
        <f t="shared" si="4218"/>
        <v/>
      </c>
      <c r="E704" s="38"/>
      <c r="F704" s="38"/>
      <c r="G704" s="78">
        <f t="shared" si="4233"/>
        <v>0</v>
      </c>
      <c r="H704" s="3">
        <v>80</v>
      </c>
      <c r="I704" s="77" t="str">
        <f t="shared" si="4219"/>
        <v/>
      </c>
      <c r="J704" s="32"/>
      <c r="K704" s="3"/>
      <c r="L704" s="39"/>
      <c r="M704" s="39"/>
      <c r="N704" s="39"/>
      <c r="O704" s="39"/>
      <c r="P704" s="39"/>
      <c r="Q704" s="39"/>
      <c r="R704" s="39"/>
      <c r="S704" s="39"/>
      <c r="T704" s="3" t="s">
        <v>645</v>
      </c>
      <c r="U704" s="77" t="str">
        <f t="shared" si="4220"/>
        <v/>
      </c>
      <c r="V704" s="39">
        <v>1</v>
      </c>
      <c r="W704" s="79">
        <f t="shared" si="4234"/>
        <v>0</v>
      </c>
      <c r="X704" s="3">
        <v>0</v>
      </c>
      <c r="Y704" s="77" t="str">
        <f t="shared" si="4221"/>
        <v/>
      </c>
      <c r="Z704" s="3"/>
      <c r="AA704" s="37" t="str">
        <f t="shared" si="4235"/>
        <v/>
      </c>
      <c r="AC704" s="40"/>
      <c r="AD704" s="7"/>
      <c r="AE704" s="77" t="str">
        <f t="shared" si="4222"/>
        <v/>
      </c>
      <c r="AF704" s="81">
        <f t="shared" si="4248"/>
        <v>0</v>
      </c>
      <c r="AG704" s="40"/>
      <c r="AH704" s="7"/>
      <c r="AI704" s="77" t="str">
        <f t="shared" si="4223"/>
        <v/>
      </c>
      <c r="AJ704" s="81">
        <f t="shared" si="4249"/>
        <v>0</v>
      </c>
      <c r="AK704" s="83">
        <f t="shared" si="4250"/>
        <v>0</v>
      </c>
      <c r="AL704" s="83">
        <f t="shared" si="4251"/>
        <v>0</v>
      </c>
      <c r="AN704" s="43">
        <f t="shared" si="4224"/>
        <v>0</v>
      </c>
      <c r="AP704" t="str">
        <f t="shared" si="4252"/>
        <v/>
      </c>
      <c r="AQ704" t="str">
        <f t="shared" si="4253"/>
        <v/>
      </c>
      <c r="AR704" t="str">
        <f t="shared" si="4254"/>
        <v/>
      </c>
      <c r="AS704" t="str">
        <f t="shared" si="4255"/>
        <v/>
      </c>
      <c r="AT704" t="str">
        <f t="shared" si="4256"/>
        <v/>
      </c>
      <c r="AU704" t="str">
        <f t="shared" si="4257"/>
        <v/>
      </c>
      <c r="AV704" t="str">
        <f t="shared" si="4258"/>
        <v/>
      </c>
      <c r="AW704" t="str">
        <f t="shared" si="4259"/>
        <v xml:space="preserve">                              </v>
      </c>
      <c r="AX704" s="23">
        <f t="shared" si="4260"/>
        <v>0</v>
      </c>
      <c r="AY704" s="49" t="str">
        <f t="shared" si="4236"/>
        <v>000000000000000</v>
      </c>
      <c r="AZ704" s="23">
        <f t="shared" si="4261"/>
        <v>0</v>
      </c>
      <c r="BA704" s="49" t="str">
        <f t="shared" si="4236"/>
        <v>000000000000000</v>
      </c>
      <c r="BB704" s="23">
        <f t="shared" si="4262"/>
        <v>0</v>
      </c>
      <c r="BC704" s="49" t="str">
        <f t="shared" ref="BC704" si="4581">IF(BB704&lt;0,SUBSTITUTE(TEXT(BB704,"000000000000,00"),",",""),SUBSTITUTE(TEXT(BB704,"0000000000000,00"),",",""))</f>
        <v>000000000000000</v>
      </c>
      <c r="BD704" s="23">
        <f t="shared" si="4264"/>
        <v>0</v>
      </c>
      <c r="BE704" s="49" t="str">
        <f t="shared" ref="BE704" si="4582">IF(BD704&lt;0,SUBSTITUTE(TEXT(BD704,"000000000000,00"),",",""),SUBSTITUTE(TEXT(BD704,"0000000000000,00"),",",""))</f>
        <v>000000000000000</v>
      </c>
      <c r="BF704" s="23">
        <f t="shared" si="4266"/>
        <v>0</v>
      </c>
      <c r="BG704" s="49" t="str">
        <f t="shared" ref="BG704" si="4583">IF(BF704&lt;0,SUBSTITUTE(TEXT(BF704,"000000000000,00"),",",""),SUBSTITUTE(TEXT(BF704,"0000000000000,00"),",",""))</f>
        <v>000000000000000</v>
      </c>
      <c r="BH704" s="23">
        <f t="shared" si="4268"/>
        <v>0</v>
      </c>
      <c r="BI704" s="49" t="str">
        <f t="shared" ref="BI704" si="4584">IF(BH704&lt;0,SUBSTITUTE(TEXT(BH704,"000000000000,00"),",",""),SUBSTITUTE(TEXT(BH704,"0000000000000,00"),",",""))</f>
        <v>000000000000000</v>
      </c>
      <c r="BJ704" s="23">
        <f t="shared" si="4270"/>
        <v>0</v>
      </c>
      <c r="BK704" s="49" t="str">
        <f t="shared" ref="BK704" si="4585">IF(BJ704&lt;0,SUBSTITUTE(TEXT(BJ704,"000000000000,00"),",",""),SUBSTITUTE(TEXT(BJ704,"0000000000000,00"),",",""))</f>
        <v>000000000000000</v>
      </c>
      <c r="BL704" s="23">
        <f t="shared" si="4272"/>
        <v>0</v>
      </c>
      <c r="BM704" s="49" t="str">
        <f t="shared" ref="BM704" si="4586">IF(BL704&lt;0,SUBSTITUTE(TEXT(BL704,"000000000000,00"),",",""),SUBSTITUTE(TEXT(BL704,"0000000000000,00"),",",""))</f>
        <v>000000000000000</v>
      </c>
      <c r="BN704" t="str">
        <f t="shared" si="4274"/>
        <v>PES</v>
      </c>
      <c r="BO704" t="str">
        <f t="shared" si="4275"/>
        <v>0001000000</v>
      </c>
      <c r="BP704">
        <f t="shared" si="4276"/>
        <v>0</v>
      </c>
      <c r="BQ704">
        <f t="shared" si="4277"/>
        <v>0</v>
      </c>
      <c r="BR704" s="23">
        <f t="shared" si="4278"/>
        <v>0</v>
      </c>
      <c r="BS704" s="49" t="str">
        <f t="shared" si="4243"/>
        <v>000000000000000</v>
      </c>
      <c r="BT704" t="str">
        <f t="shared" si="4279"/>
        <v>00000000</v>
      </c>
      <c r="BU704" s="23">
        <f t="shared" si="4280"/>
        <v>0</v>
      </c>
      <c r="BV704" s="49" t="str">
        <f t="shared" si="4244"/>
        <v/>
      </c>
      <c r="BW704" s="52" t="str">
        <f t="shared" si="4281"/>
        <v/>
      </c>
      <c r="BX704" s="23">
        <f t="shared" si="4282"/>
        <v>0</v>
      </c>
      <c r="BY704" s="49" t="str">
        <f t="shared" si="4245"/>
        <v/>
      </c>
      <c r="BZ704" s="23">
        <f t="shared" si="4283"/>
        <v>0</v>
      </c>
      <c r="CA704" s="49" t="str">
        <f t="shared" si="4246"/>
        <v/>
      </c>
      <c r="CB704" s="52" t="str">
        <f t="shared" si="4284"/>
        <v/>
      </c>
      <c r="CC704" s="23">
        <f t="shared" si="4285"/>
        <v>0</v>
      </c>
      <c r="CD704" s="49" t="str">
        <f t="shared" si="4247"/>
        <v/>
      </c>
      <c r="CE704" s="56" t="str">
        <f>IF(CF704="","",MAX(CE$10:$CE703)+1)</f>
        <v/>
      </c>
      <c r="CF704" t="str">
        <f t="shared" si="4286"/>
        <v/>
      </c>
      <c r="CG704" s="22" t="str">
        <f>IF(CH704="","",MAX($CG$10:CG703)+1)</f>
        <v/>
      </c>
      <c r="CH704" s="22" t="str">
        <f t="shared" si="4231"/>
        <v/>
      </c>
      <c r="CI704" s="22" t="str">
        <f>IF(CJ704="","",MAX($CI$10:CI703)+1)</f>
        <v/>
      </c>
      <c r="CJ704" s="22" t="str">
        <f t="shared" si="4232"/>
        <v/>
      </c>
    </row>
    <row r="705" spans="2:88" x14ac:dyDescent="0.25">
      <c r="B705" s="37"/>
      <c r="C705" s="3"/>
      <c r="D705" s="77" t="str">
        <f t="shared" si="4218"/>
        <v/>
      </c>
      <c r="E705" s="38"/>
      <c r="F705" s="38"/>
      <c r="G705" s="78">
        <f t="shared" si="4233"/>
        <v>0</v>
      </c>
      <c r="H705" s="3">
        <v>80</v>
      </c>
      <c r="I705" s="77" t="str">
        <f t="shared" si="4219"/>
        <v/>
      </c>
      <c r="J705" s="32"/>
      <c r="K705" s="3"/>
      <c r="L705" s="39"/>
      <c r="M705" s="39"/>
      <c r="N705" s="39"/>
      <c r="O705" s="39"/>
      <c r="P705" s="39"/>
      <c r="Q705" s="39"/>
      <c r="R705" s="39"/>
      <c r="S705" s="39"/>
      <c r="T705" s="3" t="s">
        <v>645</v>
      </c>
      <c r="U705" s="77" t="str">
        <f t="shared" si="4220"/>
        <v/>
      </c>
      <c r="V705" s="39">
        <v>1</v>
      </c>
      <c r="W705" s="79">
        <f t="shared" si="4234"/>
        <v>0</v>
      </c>
      <c r="X705" s="3">
        <v>0</v>
      </c>
      <c r="Y705" s="77" t="str">
        <f t="shared" si="4221"/>
        <v/>
      </c>
      <c r="Z705" s="3"/>
      <c r="AA705" s="37" t="str">
        <f t="shared" si="4235"/>
        <v/>
      </c>
      <c r="AC705" s="40"/>
      <c r="AD705" s="7"/>
      <c r="AE705" s="77" t="str">
        <f t="shared" si="4222"/>
        <v/>
      </c>
      <c r="AF705" s="81">
        <f t="shared" si="4248"/>
        <v>0</v>
      </c>
      <c r="AG705" s="40"/>
      <c r="AH705" s="7"/>
      <c r="AI705" s="77" t="str">
        <f t="shared" si="4223"/>
        <v/>
      </c>
      <c r="AJ705" s="81">
        <f t="shared" si="4249"/>
        <v>0</v>
      </c>
      <c r="AK705" s="83">
        <f t="shared" si="4250"/>
        <v>0</v>
      </c>
      <c r="AL705" s="83">
        <f t="shared" si="4251"/>
        <v>0</v>
      </c>
      <c r="AN705" s="43">
        <f t="shared" si="4224"/>
        <v>0</v>
      </c>
      <c r="AP705" t="str">
        <f t="shared" si="4252"/>
        <v/>
      </c>
      <c r="AQ705" t="str">
        <f t="shared" si="4253"/>
        <v/>
      </c>
      <c r="AR705" t="str">
        <f t="shared" si="4254"/>
        <v/>
      </c>
      <c r="AS705" t="str">
        <f t="shared" si="4255"/>
        <v/>
      </c>
      <c r="AT705" t="str">
        <f t="shared" si="4256"/>
        <v/>
      </c>
      <c r="AU705" t="str">
        <f t="shared" si="4257"/>
        <v/>
      </c>
      <c r="AV705" t="str">
        <f t="shared" si="4258"/>
        <v/>
      </c>
      <c r="AW705" t="str">
        <f t="shared" si="4259"/>
        <v xml:space="preserve">                              </v>
      </c>
      <c r="AX705" s="23">
        <f t="shared" si="4260"/>
        <v>0</v>
      </c>
      <c r="AY705" s="49" t="str">
        <f t="shared" si="4236"/>
        <v>000000000000000</v>
      </c>
      <c r="AZ705" s="23">
        <f t="shared" si="4261"/>
        <v>0</v>
      </c>
      <c r="BA705" s="49" t="str">
        <f t="shared" si="4236"/>
        <v>000000000000000</v>
      </c>
      <c r="BB705" s="23">
        <f t="shared" si="4262"/>
        <v>0</v>
      </c>
      <c r="BC705" s="49" t="str">
        <f t="shared" ref="BC705" si="4587">IF(BB705&lt;0,SUBSTITUTE(TEXT(BB705,"000000000000,00"),",",""),SUBSTITUTE(TEXT(BB705,"0000000000000,00"),",",""))</f>
        <v>000000000000000</v>
      </c>
      <c r="BD705" s="23">
        <f t="shared" si="4264"/>
        <v>0</v>
      </c>
      <c r="BE705" s="49" t="str">
        <f t="shared" ref="BE705" si="4588">IF(BD705&lt;0,SUBSTITUTE(TEXT(BD705,"000000000000,00"),",",""),SUBSTITUTE(TEXT(BD705,"0000000000000,00"),",",""))</f>
        <v>000000000000000</v>
      </c>
      <c r="BF705" s="23">
        <f t="shared" si="4266"/>
        <v>0</v>
      </c>
      <c r="BG705" s="49" t="str">
        <f t="shared" ref="BG705" si="4589">IF(BF705&lt;0,SUBSTITUTE(TEXT(BF705,"000000000000,00"),",",""),SUBSTITUTE(TEXT(BF705,"0000000000000,00"),",",""))</f>
        <v>000000000000000</v>
      </c>
      <c r="BH705" s="23">
        <f t="shared" si="4268"/>
        <v>0</v>
      </c>
      <c r="BI705" s="49" t="str">
        <f t="shared" ref="BI705" si="4590">IF(BH705&lt;0,SUBSTITUTE(TEXT(BH705,"000000000000,00"),",",""),SUBSTITUTE(TEXT(BH705,"0000000000000,00"),",",""))</f>
        <v>000000000000000</v>
      </c>
      <c r="BJ705" s="23">
        <f t="shared" si="4270"/>
        <v>0</v>
      </c>
      <c r="BK705" s="49" t="str">
        <f t="shared" ref="BK705" si="4591">IF(BJ705&lt;0,SUBSTITUTE(TEXT(BJ705,"000000000000,00"),",",""),SUBSTITUTE(TEXT(BJ705,"0000000000000,00"),",",""))</f>
        <v>000000000000000</v>
      </c>
      <c r="BL705" s="23">
        <f t="shared" si="4272"/>
        <v>0</v>
      </c>
      <c r="BM705" s="49" t="str">
        <f t="shared" ref="BM705" si="4592">IF(BL705&lt;0,SUBSTITUTE(TEXT(BL705,"000000000000,00"),",",""),SUBSTITUTE(TEXT(BL705,"0000000000000,00"),",",""))</f>
        <v>000000000000000</v>
      </c>
      <c r="BN705" t="str">
        <f t="shared" si="4274"/>
        <v>PES</v>
      </c>
      <c r="BO705" t="str">
        <f t="shared" si="4275"/>
        <v>0001000000</v>
      </c>
      <c r="BP705">
        <f t="shared" si="4276"/>
        <v>0</v>
      </c>
      <c r="BQ705">
        <f t="shared" si="4277"/>
        <v>0</v>
      </c>
      <c r="BR705" s="23">
        <f t="shared" si="4278"/>
        <v>0</v>
      </c>
      <c r="BS705" s="49" t="str">
        <f t="shared" si="4243"/>
        <v>000000000000000</v>
      </c>
      <c r="BT705" t="str">
        <f t="shared" si="4279"/>
        <v>00000000</v>
      </c>
      <c r="BU705" s="23">
        <f t="shared" si="4280"/>
        <v>0</v>
      </c>
      <c r="BV705" s="49" t="str">
        <f t="shared" si="4244"/>
        <v/>
      </c>
      <c r="BW705" s="52" t="str">
        <f t="shared" si="4281"/>
        <v/>
      </c>
      <c r="BX705" s="23">
        <f t="shared" si="4282"/>
        <v>0</v>
      </c>
      <c r="BY705" s="49" t="str">
        <f t="shared" si="4245"/>
        <v/>
      </c>
      <c r="BZ705" s="23">
        <f t="shared" si="4283"/>
        <v>0</v>
      </c>
      <c r="CA705" s="49" t="str">
        <f t="shared" si="4246"/>
        <v/>
      </c>
      <c r="CB705" s="52" t="str">
        <f t="shared" si="4284"/>
        <v/>
      </c>
      <c r="CC705" s="23">
        <f t="shared" si="4285"/>
        <v>0</v>
      </c>
      <c r="CD705" s="49" t="str">
        <f t="shared" si="4247"/>
        <v/>
      </c>
      <c r="CE705" s="56" t="str">
        <f>IF(CF705="","",MAX(CE$10:$CE704)+1)</f>
        <v/>
      </c>
      <c r="CF705" t="str">
        <f t="shared" si="4286"/>
        <v/>
      </c>
      <c r="CG705" s="22" t="str">
        <f>IF(CH705="","",MAX($CG$10:CG704)+1)</f>
        <v/>
      </c>
      <c r="CH705" s="22" t="str">
        <f t="shared" si="4231"/>
        <v/>
      </c>
      <c r="CI705" s="22" t="str">
        <f>IF(CJ705="","",MAX($CI$10:CI704)+1)</f>
        <v/>
      </c>
      <c r="CJ705" s="22" t="str">
        <f t="shared" si="4232"/>
        <v/>
      </c>
    </row>
    <row r="706" spans="2:88" x14ac:dyDescent="0.25">
      <c r="B706" s="37"/>
      <c r="C706" s="3"/>
      <c r="D706" s="77" t="str">
        <f t="shared" si="4218"/>
        <v/>
      </c>
      <c r="E706" s="38"/>
      <c r="F706" s="38"/>
      <c r="G706" s="78">
        <f t="shared" si="4233"/>
        <v>0</v>
      </c>
      <c r="H706" s="3">
        <v>80</v>
      </c>
      <c r="I706" s="77" t="str">
        <f t="shared" si="4219"/>
        <v/>
      </c>
      <c r="J706" s="32"/>
      <c r="K706" s="3"/>
      <c r="L706" s="39"/>
      <c r="M706" s="39"/>
      <c r="N706" s="39"/>
      <c r="O706" s="39"/>
      <c r="P706" s="39"/>
      <c r="Q706" s="39"/>
      <c r="R706" s="39"/>
      <c r="S706" s="39"/>
      <c r="T706" s="3" t="s">
        <v>645</v>
      </c>
      <c r="U706" s="77" t="str">
        <f t="shared" si="4220"/>
        <v/>
      </c>
      <c r="V706" s="39">
        <v>1</v>
      </c>
      <c r="W706" s="79">
        <f t="shared" si="4234"/>
        <v>0</v>
      </c>
      <c r="X706" s="3">
        <v>0</v>
      </c>
      <c r="Y706" s="77" t="str">
        <f t="shared" si="4221"/>
        <v/>
      </c>
      <c r="Z706" s="3"/>
      <c r="AA706" s="37" t="str">
        <f t="shared" si="4235"/>
        <v/>
      </c>
      <c r="AC706" s="40"/>
      <c r="AD706" s="7"/>
      <c r="AE706" s="77" t="str">
        <f t="shared" si="4222"/>
        <v/>
      </c>
      <c r="AF706" s="81">
        <f t="shared" si="4248"/>
        <v>0</v>
      </c>
      <c r="AG706" s="40"/>
      <c r="AH706" s="7"/>
      <c r="AI706" s="77" t="str">
        <f t="shared" si="4223"/>
        <v/>
      </c>
      <c r="AJ706" s="81">
        <f t="shared" si="4249"/>
        <v>0</v>
      </c>
      <c r="AK706" s="83">
        <f t="shared" si="4250"/>
        <v>0</v>
      </c>
      <c r="AL706" s="83">
        <f t="shared" si="4251"/>
        <v>0</v>
      </c>
      <c r="AN706" s="43">
        <f t="shared" si="4224"/>
        <v>0</v>
      </c>
      <c r="AP706" t="str">
        <f t="shared" si="4252"/>
        <v/>
      </c>
      <c r="AQ706" t="str">
        <f t="shared" si="4253"/>
        <v/>
      </c>
      <c r="AR706" t="str">
        <f t="shared" si="4254"/>
        <v/>
      </c>
      <c r="AS706" t="str">
        <f t="shared" si="4255"/>
        <v/>
      </c>
      <c r="AT706" t="str">
        <f t="shared" si="4256"/>
        <v/>
      </c>
      <c r="AU706" t="str">
        <f t="shared" si="4257"/>
        <v/>
      </c>
      <c r="AV706" t="str">
        <f t="shared" si="4258"/>
        <v/>
      </c>
      <c r="AW706" t="str">
        <f t="shared" si="4259"/>
        <v xml:space="preserve">                              </v>
      </c>
      <c r="AX706" s="23">
        <f t="shared" si="4260"/>
        <v>0</v>
      </c>
      <c r="AY706" s="49" t="str">
        <f t="shared" si="4236"/>
        <v>000000000000000</v>
      </c>
      <c r="AZ706" s="23">
        <f t="shared" si="4261"/>
        <v>0</v>
      </c>
      <c r="BA706" s="49" t="str">
        <f t="shared" si="4236"/>
        <v>000000000000000</v>
      </c>
      <c r="BB706" s="23">
        <f t="shared" si="4262"/>
        <v>0</v>
      </c>
      <c r="BC706" s="49" t="str">
        <f t="shared" ref="BC706" si="4593">IF(BB706&lt;0,SUBSTITUTE(TEXT(BB706,"000000000000,00"),",",""),SUBSTITUTE(TEXT(BB706,"0000000000000,00"),",",""))</f>
        <v>000000000000000</v>
      </c>
      <c r="BD706" s="23">
        <f t="shared" si="4264"/>
        <v>0</v>
      </c>
      <c r="BE706" s="49" t="str">
        <f t="shared" ref="BE706" si="4594">IF(BD706&lt;0,SUBSTITUTE(TEXT(BD706,"000000000000,00"),",",""),SUBSTITUTE(TEXT(BD706,"0000000000000,00"),",",""))</f>
        <v>000000000000000</v>
      </c>
      <c r="BF706" s="23">
        <f t="shared" si="4266"/>
        <v>0</v>
      </c>
      <c r="BG706" s="49" t="str">
        <f t="shared" ref="BG706" si="4595">IF(BF706&lt;0,SUBSTITUTE(TEXT(BF706,"000000000000,00"),",",""),SUBSTITUTE(TEXT(BF706,"0000000000000,00"),",",""))</f>
        <v>000000000000000</v>
      </c>
      <c r="BH706" s="23">
        <f t="shared" si="4268"/>
        <v>0</v>
      </c>
      <c r="BI706" s="49" t="str">
        <f t="shared" ref="BI706" si="4596">IF(BH706&lt;0,SUBSTITUTE(TEXT(BH706,"000000000000,00"),",",""),SUBSTITUTE(TEXT(BH706,"0000000000000,00"),",",""))</f>
        <v>000000000000000</v>
      </c>
      <c r="BJ706" s="23">
        <f t="shared" si="4270"/>
        <v>0</v>
      </c>
      <c r="BK706" s="49" t="str">
        <f t="shared" ref="BK706" si="4597">IF(BJ706&lt;0,SUBSTITUTE(TEXT(BJ706,"000000000000,00"),",",""),SUBSTITUTE(TEXT(BJ706,"0000000000000,00"),",",""))</f>
        <v>000000000000000</v>
      </c>
      <c r="BL706" s="23">
        <f t="shared" si="4272"/>
        <v>0</v>
      </c>
      <c r="BM706" s="49" t="str">
        <f t="shared" ref="BM706" si="4598">IF(BL706&lt;0,SUBSTITUTE(TEXT(BL706,"000000000000,00"),",",""),SUBSTITUTE(TEXT(BL706,"0000000000000,00"),",",""))</f>
        <v>000000000000000</v>
      </c>
      <c r="BN706" t="str">
        <f t="shared" si="4274"/>
        <v>PES</v>
      </c>
      <c r="BO706" t="str">
        <f t="shared" si="4275"/>
        <v>0001000000</v>
      </c>
      <c r="BP706">
        <f t="shared" si="4276"/>
        <v>0</v>
      </c>
      <c r="BQ706">
        <f t="shared" si="4277"/>
        <v>0</v>
      </c>
      <c r="BR706" s="23">
        <f t="shared" si="4278"/>
        <v>0</v>
      </c>
      <c r="BS706" s="49" t="str">
        <f t="shared" si="4243"/>
        <v>000000000000000</v>
      </c>
      <c r="BT706" t="str">
        <f t="shared" si="4279"/>
        <v>00000000</v>
      </c>
      <c r="BU706" s="23">
        <f t="shared" si="4280"/>
        <v>0</v>
      </c>
      <c r="BV706" s="49" t="str">
        <f t="shared" si="4244"/>
        <v/>
      </c>
      <c r="BW706" s="52" t="str">
        <f t="shared" si="4281"/>
        <v/>
      </c>
      <c r="BX706" s="23">
        <f t="shared" si="4282"/>
        <v>0</v>
      </c>
      <c r="BY706" s="49" t="str">
        <f t="shared" si="4245"/>
        <v/>
      </c>
      <c r="BZ706" s="23">
        <f t="shared" si="4283"/>
        <v>0</v>
      </c>
      <c r="CA706" s="49" t="str">
        <f t="shared" si="4246"/>
        <v/>
      </c>
      <c r="CB706" s="52" t="str">
        <f t="shared" si="4284"/>
        <v/>
      </c>
      <c r="CC706" s="23">
        <f t="shared" si="4285"/>
        <v>0</v>
      </c>
      <c r="CD706" s="49" t="str">
        <f t="shared" si="4247"/>
        <v/>
      </c>
      <c r="CE706" s="56" t="str">
        <f>IF(CF706="","",MAX(CE$10:$CE705)+1)</f>
        <v/>
      </c>
      <c r="CF706" t="str">
        <f t="shared" si="4286"/>
        <v/>
      </c>
      <c r="CG706" s="22" t="str">
        <f>IF(CH706="","",MAX($CG$10:CG705)+1)</f>
        <v/>
      </c>
      <c r="CH706" s="22" t="str">
        <f t="shared" si="4231"/>
        <v/>
      </c>
      <c r="CI706" s="22" t="str">
        <f>IF(CJ706="","",MAX($CI$10:CI705)+1)</f>
        <v/>
      </c>
      <c r="CJ706" s="22" t="str">
        <f t="shared" si="4232"/>
        <v/>
      </c>
    </row>
    <row r="707" spans="2:88" x14ac:dyDescent="0.25">
      <c r="B707" s="37"/>
      <c r="C707" s="3"/>
      <c r="D707" s="77" t="str">
        <f t="shared" si="4218"/>
        <v/>
      </c>
      <c r="E707" s="38"/>
      <c r="F707" s="38"/>
      <c r="G707" s="78">
        <f t="shared" si="4233"/>
        <v>0</v>
      </c>
      <c r="H707" s="3">
        <v>80</v>
      </c>
      <c r="I707" s="77" t="str">
        <f t="shared" si="4219"/>
        <v/>
      </c>
      <c r="J707" s="32"/>
      <c r="K707" s="3"/>
      <c r="L707" s="39"/>
      <c r="M707" s="39"/>
      <c r="N707" s="39"/>
      <c r="O707" s="39"/>
      <c r="P707" s="39"/>
      <c r="Q707" s="39"/>
      <c r="R707" s="39"/>
      <c r="S707" s="39"/>
      <c r="T707" s="3" t="s">
        <v>645</v>
      </c>
      <c r="U707" s="77" t="str">
        <f t="shared" si="4220"/>
        <v/>
      </c>
      <c r="V707" s="39">
        <v>1</v>
      </c>
      <c r="W707" s="79">
        <f t="shared" si="4234"/>
        <v>0</v>
      </c>
      <c r="X707" s="3">
        <v>0</v>
      </c>
      <c r="Y707" s="77" t="str">
        <f t="shared" si="4221"/>
        <v/>
      </c>
      <c r="Z707" s="3"/>
      <c r="AA707" s="37" t="str">
        <f t="shared" si="4235"/>
        <v/>
      </c>
      <c r="AC707" s="40"/>
      <c r="AD707" s="7"/>
      <c r="AE707" s="77" t="str">
        <f t="shared" si="4222"/>
        <v/>
      </c>
      <c r="AF707" s="81">
        <f t="shared" si="4248"/>
        <v>0</v>
      </c>
      <c r="AG707" s="40"/>
      <c r="AH707" s="7"/>
      <c r="AI707" s="77" t="str">
        <f t="shared" si="4223"/>
        <v/>
      </c>
      <c r="AJ707" s="81">
        <f t="shared" si="4249"/>
        <v>0</v>
      </c>
      <c r="AK707" s="83">
        <f t="shared" si="4250"/>
        <v>0</v>
      </c>
      <c r="AL707" s="83">
        <f t="shared" si="4251"/>
        <v>0</v>
      </c>
      <c r="AN707" s="43">
        <f t="shared" si="4224"/>
        <v>0</v>
      </c>
      <c r="AP707" t="str">
        <f t="shared" si="4252"/>
        <v/>
      </c>
      <c r="AQ707" t="str">
        <f t="shared" si="4253"/>
        <v/>
      </c>
      <c r="AR707" t="str">
        <f t="shared" si="4254"/>
        <v/>
      </c>
      <c r="AS707" t="str">
        <f t="shared" si="4255"/>
        <v/>
      </c>
      <c r="AT707" t="str">
        <f t="shared" si="4256"/>
        <v/>
      </c>
      <c r="AU707" t="str">
        <f t="shared" si="4257"/>
        <v/>
      </c>
      <c r="AV707" t="str">
        <f t="shared" si="4258"/>
        <v/>
      </c>
      <c r="AW707" t="str">
        <f t="shared" si="4259"/>
        <v xml:space="preserve">                              </v>
      </c>
      <c r="AX707" s="23">
        <f t="shared" si="4260"/>
        <v>0</v>
      </c>
      <c r="AY707" s="49" t="str">
        <f t="shared" si="4236"/>
        <v>000000000000000</v>
      </c>
      <c r="AZ707" s="23">
        <f t="shared" si="4261"/>
        <v>0</v>
      </c>
      <c r="BA707" s="49" t="str">
        <f t="shared" si="4236"/>
        <v>000000000000000</v>
      </c>
      <c r="BB707" s="23">
        <f t="shared" si="4262"/>
        <v>0</v>
      </c>
      <c r="BC707" s="49" t="str">
        <f t="shared" ref="BC707" si="4599">IF(BB707&lt;0,SUBSTITUTE(TEXT(BB707,"000000000000,00"),",",""),SUBSTITUTE(TEXT(BB707,"0000000000000,00"),",",""))</f>
        <v>000000000000000</v>
      </c>
      <c r="BD707" s="23">
        <f t="shared" si="4264"/>
        <v>0</v>
      </c>
      <c r="BE707" s="49" t="str">
        <f t="shared" ref="BE707" si="4600">IF(BD707&lt;0,SUBSTITUTE(TEXT(BD707,"000000000000,00"),",",""),SUBSTITUTE(TEXT(BD707,"0000000000000,00"),",",""))</f>
        <v>000000000000000</v>
      </c>
      <c r="BF707" s="23">
        <f t="shared" si="4266"/>
        <v>0</v>
      </c>
      <c r="BG707" s="49" t="str">
        <f t="shared" ref="BG707" si="4601">IF(BF707&lt;0,SUBSTITUTE(TEXT(BF707,"000000000000,00"),",",""),SUBSTITUTE(TEXT(BF707,"0000000000000,00"),",",""))</f>
        <v>000000000000000</v>
      </c>
      <c r="BH707" s="23">
        <f t="shared" si="4268"/>
        <v>0</v>
      </c>
      <c r="BI707" s="49" t="str">
        <f t="shared" ref="BI707" si="4602">IF(BH707&lt;0,SUBSTITUTE(TEXT(BH707,"000000000000,00"),",",""),SUBSTITUTE(TEXT(BH707,"0000000000000,00"),",",""))</f>
        <v>000000000000000</v>
      </c>
      <c r="BJ707" s="23">
        <f t="shared" si="4270"/>
        <v>0</v>
      </c>
      <c r="BK707" s="49" t="str">
        <f t="shared" ref="BK707" si="4603">IF(BJ707&lt;0,SUBSTITUTE(TEXT(BJ707,"000000000000,00"),",",""),SUBSTITUTE(TEXT(BJ707,"0000000000000,00"),",",""))</f>
        <v>000000000000000</v>
      </c>
      <c r="BL707" s="23">
        <f t="shared" si="4272"/>
        <v>0</v>
      </c>
      <c r="BM707" s="49" t="str">
        <f t="shared" ref="BM707" si="4604">IF(BL707&lt;0,SUBSTITUTE(TEXT(BL707,"000000000000,00"),",",""),SUBSTITUTE(TEXT(BL707,"0000000000000,00"),",",""))</f>
        <v>000000000000000</v>
      </c>
      <c r="BN707" t="str">
        <f t="shared" si="4274"/>
        <v>PES</v>
      </c>
      <c r="BO707" t="str">
        <f t="shared" si="4275"/>
        <v>0001000000</v>
      </c>
      <c r="BP707">
        <f t="shared" si="4276"/>
        <v>0</v>
      </c>
      <c r="BQ707">
        <f t="shared" si="4277"/>
        <v>0</v>
      </c>
      <c r="BR707" s="23">
        <f t="shared" si="4278"/>
        <v>0</v>
      </c>
      <c r="BS707" s="49" t="str">
        <f t="shared" si="4243"/>
        <v>000000000000000</v>
      </c>
      <c r="BT707" t="str">
        <f t="shared" si="4279"/>
        <v>00000000</v>
      </c>
      <c r="BU707" s="23">
        <f t="shared" si="4280"/>
        <v>0</v>
      </c>
      <c r="BV707" s="49" t="str">
        <f t="shared" si="4244"/>
        <v/>
      </c>
      <c r="BW707" s="52" t="str">
        <f t="shared" si="4281"/>
        <v/>
      </c>
      <c r="BX707" s="23">
        <f t="shared" si="4282"/>
        <v>0</v>
      </c>
      <c r="BY707" s="49" t="str">
        <f t="shared" si="4245"/>
        <v/>
      </c>
      <c r="BZ707" s="23">
        <f t="shared" si="4283"/>
        <v>0</v>
      </c>
      <c r="CA707" s="49" t="str">
        <f t="shared" si="4246"/>
        <v/>
      </c>
      <c r="CB707" s="52" t="str">
        <f t="shared" si="4284"/>
        <v/>
      </c>
      <c r="CC707" s="23">
        <f t="shared" si="4285"/>
        <v>0</v>
      </c>
      <c r="CD707" s="49" t="str">
        <f t="shared" si="4247"/>
        <v/>
      </c>
      <c r="CE707" s="56" t="str">
        <f>IF(CF707="","",MAX(CE$10:$CE706)+1)</f>
        <v/>
      </c>
      <c r="CF707" t="str">
        <f t="shared" si="4286"/>
        <v/>
      </c>
      <c r="CG707" s="22" t="str">
        <f>IF(CH707="","",MAX($CG$10:CG706)+1)</f>
        <v/>
      </c>
      <c r="CH707" s="22" t="str">
        <f t="shared" si="4231"/>
        <v/>
      </c>
      <c r="CI707" s="22" t="str">
        <f>IF(CJ707="","",MAX($CI$10:CI706)+1)</f>
        <v/>
      </c>
      <c r="CJ707" s="22" t="str">
        <f t="shared" si="4232"/>
        <v/>
      </c>
    </row>
    <row r="708" spans="2:88" x14ac:dyDescent="0.25">
      <c r="B708" s="37"/>
      <c r="C708" s="3"/>
      <c r="D708" s="77" t="str">
        <f t="shared" si="4218"/>
        <v/>
      </c>
      <c r="E708" s="38"/>
      <c r="F708" s="38"/>
      <c r="G708" s="78">
        <f t="shared" si="4233"/>
        <v>0</v>
      </c>
      <c r="H708" s="3">
        <v>80</v>
      </c>
      <c r="I708" s="77" t="str">
        <f t="shared" si="4219"/>
        <v/>
      </c>
      <c r="J708" s="32"/>
      <c r="K708" s="3"/>
      <c r="L708" s="39"/>
      <c r="M708" s="39"/>
      <c r="N708" s="39"/>
      <c r="O708" s="39"/>
      <c r="P708" s="39"/>
      <c r="Q708" s="39"/>
      <c r="R708" s="39"/>
      <c r="S708" s="39"/>
      <c r="T708" s="3" t="s">
        <v>645</v>
      </c>
      <c r="U708" s="77" t="str">
        <f t="shared" si="4220"/>
        <v/>
      </c>
      <c r="V708" s="39">
        <v>1</v>
      </c>
      <c r="W708" s="79">
        <f t="shared" si="4234"/>
        <v>0</v>
      </c>
      <c r="X708" s="3">
        <v>0</v>
      </c>
      <c r="Y708" s="77" t="str">
        <f t="shared" si="4221"/>
        <v/>
      </c>
      <c r="Z708" s="3"/>
      <c r="AA708" s="37" t="str">
        <f t="shared" si="4235"/>
        <v/>
      </c>
      <c r="AC708" s="40"/>
      <c r="AD708" s="7"/>
      <c r="AE708" s="77" t="str">
        <f t="shared" si="4222"/>
        <v/>
      </c>
      <c r="AF708" s="81">
        <f t="shared" si="4248"/>
        <v>0</v>
      </c>
      <c r="AG708" s="40"/>
      <c r="AH708" s="7"/>
      <c r="AI708" s="77" t="str">
        <f t="shared" si="4223"/>
        <v/>
      </c>
      <c r="AJ708" s="81">
        <f t="shared" si="4249"/>
        <v>0</v>
      </c>
      <c r="AK708" s="83">
        <f t="shared" si="4250"/>
        <v>0</v>
      </c>
      <c r="AL708" s="83">
        <f t="shared" si="4251"/>
        <v>0</v>
      </c>
      <c r="AN708" s="43">
        <f t="shared" si="4224"/>
        <v>0</v>
      </c>
      <c r="AP708" t="str">
        <f t="shared" si="4252"/>
        <v/>
      </c>
      <c r="AQ708" t="str">
        <f t="shared" si="4253"/>
        <v/>
      </c>
      <c r="AR708" t="str">
        <f t="shared" si="4254"/>
        <v/>
      </c>
      <c r="AS708" t="str">
        <f t="shared" si="4255"/>
        <v/>
      </c>
      <c r="AT708" t="str">
        <f t="shared" si="4256"/>
        <v/>
      </c>
      <c r="AU708" t="str">
        <f t="shared" si="4257"/>
        <v/>
      </c>
      <c r="AV708" t="str">
        <f t="shared" si="4258"/>
        <v/>
      </c>
      <c r="AW708" t="str">
        <f t="shared" si="4259"/>
        <v xml:space="preserve">                              </v>
      </c>
      <c r="AX708" s="23">
        <f t="shared" si="4260"/>
        <v>0</v>
      </c>
      <c r="AY708" s="49" t="str">
        <f t="shared" si="4236"/>
        <v>000000000000000</v>
      </c>
      <c r="AZ708" s="23">
        <f t="shared" si="4261"/>
        <v>0</v>
      </c>
      <c r="BA708" s="49" t="str">
        <f t="shared" si="4236"/>
        <v>000000000000000</v>
      </c>
      <c r="BB708" s="23">
        <f t="shared" si="4262"/>
        <v>0</v>
      </c>
      <c r="BC708" s="49" t="str">
        <f t="shared" ref="BC708" si="4605">IF(BB708&lt;0,SUBSTITUTE(TEXT(BB708,"000000000000,00"),",",""),SUBSTITUTE(TEXT(BB708,"0000000000000,00"),",",""))</f>
        <v>000000000000000</v>
      </c>
      <c r="BD708" s="23">
        <f t="shared" si="4264"/>
        <v>0</v>
      </c>
      <c r="BE708" s="49" t="str">
        <f t="shared" ref="BE708" si="4606">IF(BD708&lt;0,SUBSTITUTE(TEXT(BD708,"000000000000,00"),",",""),SUBSTITUTE(TEXT(BD708,"0000000000000,00"),",",""))</f>
        <v>000000000000000</v>
      </c>
      <c r="BF708" s="23">
        <f t="shared" si="4266"/>
        <v>0</v>
      </c>
      <c r="BG708" s="49" t="str">
        <f t="shared" ref="BG708" si="4607">IF(BF708&lt;0,SUBSTITUTE(TEXT(BF708,"000000000000,00"),",",""),SUBSTITUTE(TEXT(BF708,"0000000000000,00"),",",""))</f>
        <v>000000000000000</v>
      </c>
      <c r="BH708" s="23">
        <f t="shared" si="4268"/>
        <v>0</v>
      </c>
      <c r="BI708" s="49" t="str">
        <f t="shared" ref="BI708" si="4608">IF(BH708&lt;0,SUBSTITUTE(TEXT(BH708,"000000000000,00"),",",""),SUBSTITUTE(TEXT(BH708,"0000000000000,00"),",",""))</f>
        <v>000000000000000</v>
      </c>
      <c r="BJ708" s="23">
        <f t="shared" si="4270"/>
        <v>0</v>
      </c>
      <c r="BK708" s="49" t="str">
        <f t="shared" ref="BK708" si="4609">IF(BJ708&lt;0,SUBSTITUTE(TEXT(BJ708,"000000000000,00"),",",""),SUBSTITUTE(TEXT(BJ708,"0000000000000,00"),",",""))</f>
        <v>000000000000000</v>
      </c>
      <c r="BL708" s="23">
        <f t="shared" si="4272"/>
        <v>0</v>
      </c>
      <c r="BM708" s="49" t="str">
        <f t="shared" ref="BM708" si="4610">IF(BL708&lt;0,SUBSTITUTE(TEXT(BL708,"000000000000,00"),",",""),SUBSTITUTE(TEXT(BL708,"0000000000000,00"),",",""))</f>
        <v>000000000000000</v>
      </c>
      <c r="BN708" t="str">
        <f t="shared" si="4274"/>
        <v>PES</v>
      </c>
      <c r="BO708" t="str">
        <f t="shared" si="4275"/>
        <v>0001000000</v>
      </c>
      <c r="BP708">
        <f t="shared" si="4276"/>
        <v>0</v>
      </c>
      <c r="BQ708">
        <f t="shared" si="4277"/>
        <v>0</v>
      </c>
      <c r="BR708" s="23">
        <f t="shared" si="4278"/>
        <v>0</v>
      </c>
      <c r="BS708" s="49" t="str">
        <f t="shared" si="4243"/>
        <v>000000000000000</v>
      </c>
      <c r="BT708" t="str">
        <f t="shared" si="4279"/>
        <v>00000000</v>
      </c>
      <c r="BU708" s="23">
        <f t="shared" si="4280"/>
        <v>0</v>
      </c>
      <c r="BV708" s="49" t="str">
        <f t="shared" si="4244"/>
        <v/>
      </c>
      <c r="BW708" s="52" t="str">
        <f t="shared" si="4281"/>
        <v/>
      </c>
      <c r="BX708" s="23">
        <f t="shared" si="4282"/>
        <v>0</v>
      </c>
      <c r="BY708" s="49" t="str">
        <f t="shared" si="4245"/>
        <v/>
      </c>
      <c r="BZ708" s="23">
        <f t="shared" si="4283"/>
        <v>0</v>
      </c>
      <c r="CA708" s="49" t="str">
        <f t="shared" si="4246"/>
        <v/>
      </c>
      <c r="CB708" s="52" t="str">
        <f t="shared" si="4284"/>
        <v/>
      </c>
      <c r="CC708" s="23">
        <f t="shared" si="4285"/>
        <v>0</v>
      </c>
      <c r="CD708" s="49" t="str">
        <f t="shared" si="4247"/>
        <v/>
      </c>
      <c r="CE708" s="56" t="str">
        <f>IF(CF708="","",MAX(CE$10:$CE707)+1)</f>
        <v/>
      </c>
      <c r="CF708" t="str">
        <f t="shared" si="4286"/>
        <v/>
      </c>
      <c r="CG708" s="22" t="str">
        <f>IF(CH708="","",MAX($CG$10:CG707)+1)</f>
        <v/>
      </c>
      <c r="CH708" s="22" t="str">
        <f t="shared" si="4231"/>
        <v/>
      </c>
      <c r="CI708" s="22" t="str">
        <f>IF(CJ708="","",MAX($CI$10:CI707)+1)</f>
        <v/>
      </c>
      <c r="CJ708" s="22" t="str">
        <f t="shared" si="4232"/>
        <v/>
      </c>
    </row>
    <row r="709" spans="2:88" x14ac:dyDescent="0.25">
      <c r="B709" s="37"/>
      <c r="C709" s="3"/>
      <c r="D709" s="77" t="str">
        <f t="shared" si="4218"/>
        <v/>
      </c>
      <c r="E709" s="38"/>
      <c r="F709" s="38"/>
      <c r="G709" s="78">
        <f t="shared" si="4233"/>
        <v>0</v>
      </c>
      <c r="H709" s="3">
        <v>80</v>
      </c>
      <c r="I709" s="77" t="str">
        <f t="shared" si="4219"/>
        <v/>
      </c>
      <c r="J709" s="32"/>
      <c r="K709" s="3"/>
      <c r="L709" s="39"/>
      <c r="M709" s="39"/>
      <c r="N709" s="39"/>
      <c r="O709" s="39"/>
      <c r="P709" s="39"/>
      <c r="Q709" s="39"/>
      <c r="R709" s="39"/>
      <c r="S709" s="39"/>
      <c r="T709" s="3" t="s">
        <v>645</v>
      </c>
      <c r="U709" s="77" t="str">
        <f t="shared" si="4220"/>
        <v/>
      </c>
      <c r="V709" s="39">
        <v>1</v>
      </c>
      <c r="W709" s="79">
        <f t="shared" si="4234"/>
        <v>0</v>
      </c>
      <c r="X709" s="3">
        <v>0</v>
      </c>
      <c r="Y709" s="77" t="str">
        <f t="shared" si="4221"/>
        <v/>
      </c>
      <c r="Z709" s="3"/>
      <c r="AA709" s="37" t="str">
        <f t="shared" si="4235"/>
        <v/>
      </c>
      <c r="AC709" s="40"/>
      <c r="AD709" s="7"/>
      <c r="AE709" s="77" t="str">
        <f t="shared" si="4222"/>
        <v/>
      </c>
      <c r="AF709" s="81">
        <f t="shared" si="4248"/>
        <v>0</v>
      </c>
      <c r="AG709" s="40"/>
      <c r="AH709" s="7"/>
      <c r="AI709" s="77" t="str">
        <f t="shared" si="4223"/>
        <v/>
      </c>
      <c r="AJ709" s="81">
        <f t="shared" si="4249"/>
        <v>0</v>
      </c>
      <c r="AK709" s="83">
        <f t="shared" si="4250"/>
        <v>0</v>
      </c>
      <c r="AL709" s="83">
        <f t="shared" si="4251"/>
        <v>0</v>
      </c>
      <c r="AN709" s="43">
        <f t="shared" si="4224"/>
        <v>0</v>
      </c>
      <c r="AP709" t="str">
        <f t="shared" si="4252"/>
        <v/>
      </c>
      <c r="AQ709" t="str">
        <f t="shared" si="4253"/>
        <v/>
      </c>
      <c r="AR709" t="str">
        <f t="shared" si="4254"/>
        <v/>
      </c>
      <c r="AS709" t="str">
        <f t="shared" si="4255"/>
        <v/>
      </c>
      <c r="AT709" t="str">
        <f t="shared" si="4256"/>
        <v/>
      </c>
      <c r="AU709" t="str">
        <f t="shared" si="4257"/>
        <v/>
      </c>
      <c r="AV709" t="str">
        <f t="shared" si="4258"/>
        <v/>
      </c>
      <c r="AW709" t="str">
        <f t="shared" si="4259"/>
        <v xml:space="preserve">                              </v>
      </c>
      <c r="AX709" s="23">
        <f t="shared" si="4260"/>
        <v>0</v>
      </c>
      <c r="AY709" s="49" t="str">
        <f t="shared" si="4236"/>
        <v>000000000000000</v>
      </c>
      <c r="AZ709" s="23">
        <f t="shared" si="4261"/>
        <v>0</v>
      </c>
      <c r="BA709" s="49" t="str">
        <f t="shared" si="4236"/>
        <v>000000000000000</v>
      </c>
      <c r="BB709" s="23">
        <f t="shared" si="4262"/>
        <v>0</v>
      </c>
      <c r="BC709" s="49" t="str">
        <f t="shared" ref="BC709" si="4611">IF(BB709&lt;0,SUBSTITUTE(TEXT(BB709,"000000000000,00"),",",""),SUBSTITUTE(TEXT(BB709,"0000000000000,00"),",",""))</f>
        <v>000000000000000</v>
      </c>
      <c r="BD709" s="23">
        <f t="shared" si="4264"/>
        <v>0</v>
      </c>
      <c r="BE709" s="49" t="str">
        <f t="shared" ref="BE709" si="4612">IF(BD709&lt;0,SUBSTITUTE(TEXT(BD709,"000000000000,00"),",",""),SUBSTITUTE(TEXT(BD709,"0000000000000,00"),",",""))</f>
        <v>000000000000000</v>
      </c>
      <c r="BF709" s="23">
        <f t="shared" si="4266"/>
        <v>0</v>
      </c>
      <c r="BG709" s="49" t="str">
        <f t="shared" ref="BG709" si="4613">IF(BF709&lt;0,SUBSTITUTE(TEXT(BF709,"000000000000,00"),",",""),SUBSTITUTE(TEXT(BF709,"0000000000000,00"),",",""))</f>
        <v>000000000000000</v>
      </c>
      <c r="BH709" s="23">
        <f t="shared" si="4268"/>
        <v>0</v>
      </c>
      <c r="BI709" s="49" t="str">
        <f t="shared" ref="BI709" si="4614">IF(BH709&lt;0,SUBSTITUTE(TEXT(BH709,"000000000000,00"),",",""),SUBSTITUTE(TEXT(BH709,"0000000000000,00"),",",""))</f>
        <v>000000000000000</v>
      </c>
      <c r="BJ709" s="23">
        <f t="shared" si="4270"/>
        <v>0</v>
      </c>
      <c r="BK709" s="49" t="str">
        <f t="shared" ref="BK709" si="4615">IF(BJ709&lt;0,SUBSTITUTE(TEXT(BJ709,"000000000000,00"),",",""),SUBSTITUTE(TEXT(BJ709,"0000000000000,00"),",",""))</f>
        <v>000000000000000</v>
      </c>
      <c r="BL709" s="23">
        <f t="shared" si="4272"/>
        <v>0</v>
      </c>
      <c r="BM709" s="49" t="str">
        <f t="shared" ref="BM709" si="4616">IF(BL709&lt;0,SUBSTITUTE(TEXT(BL709,"000000000000,00"),",",""),SUBSTITUTE(TEXT(BL709,"0000000000000,00"),",",""))</f>
        <v>000000000000000</v>
      </c>
      <c r="BN709" t="str">
        <f t="shared" si="4274"/>
        <v>PES</v>
      </c>
      <c r="BO709" t="str">
        <f t="shared" si="4275"/>
        <v>0001000000</v>
      </c>
      <c r="BP709">
        <f t="shared" si="4276"/>
        <v>0</v>
      </c>
      <c r="BQ709">
        <f t="shared" si="4277"/>
        <v>0</v>
      </c>
      <c r="BR709" s="23">
        <f t="shared" si="4278"/>
        <v>0</v>
      </c>
      <c r="BS709" s="49" t="str">
        <f t="shared" si="4243"/>
        <v>000000000000000</v>
      </c>
      <c r="BT709" t="str">
        <f t="shared" si="4279"/>
        <v>00000000</v>
      </c>
      <c r="BU709" s="23">
        <f t="shared" si="4280"/>
        <v>0</v>
      </c>
      <c r="BV709" s="49" t="str">
        <f t="shared" si="4244"/>
        <v/>
      </c>
      <c r="BW709" s="52" t="str">
        <f t="shared" si="4281"/>
        <v/>
      </c>
      <c r="BX709" s="23">
        <f t="shared" si="4282"/>
        <v>0</v>
      </c>
      <c r="BY709" s="49" t="str">
        <f t="shared" si="4245"/>
        <v/>
      </c>
      <c r="BZ709" s="23">
        <f t="shared" si="4283"/>
        <v>0</v>
      </c>
      <c r="CA709" s="49" t="str">
        <f t="shared" si="4246"/>
        <v/>
      </c>
      <c r="CB709" s="52" t="str">
        <f t="shared" si="4284"/>
        <v/>
      </c>
      <c r="CC709" s="23">
        <f t="shared" si="4285"/>
        <v>0</v>
      </c>
      <c r="CD709" s="49" t="str">
        <f t="shared" si="4247"/>
        <v/>
      </c>
      <c r="CE709" s="56" t="str">
        <f>IF(CF709="","",MAX(CE$10:$CE708)+1)</f>
        <v/>
      </c>
      <c r="CF709" t="str">
        <f t="shared" si="4286"/>
        <v/>
      </c>
      <c r="CG709" s="22" t="str">
        <f>IF(CH709="","",MAX($CG$10:CG708)+1)</f>
        <v/>
      </c>
      <c r="CH709" s="22" t="str">
        <f t="shared" si="4231"/>
        <v/>
      </c>
      <c r="CI709" s="22" t="str">
        <f>IF(CJ709="","",MAX($CI$10:CI708)+1)</f>
        <v/>
      </c>
      <c r="CJ709" s="22" t="str">
        <f t="shared" si="4232"/>
        <v/>
      </c>
    </row>
    <row r="710" spans="2:88" x14ac:dyDescent="0.25">
      <c r="B710" s="37"/>
      <c r="C710" s="3"/>
      <c r="D710" s="77" t="str">
        <f t="shared" si="4218"/>
        <v/>
      </c>
      <c r="E710" s="38"/>
      <c r="F710" s="38"/>
      <c r="G710" s="78">
        <f t="shared" si="4233"/>
        <v>0</v>
      </c>
      <c r="H710" s="3">
        <v>80</v>
      </c>
      <c r="I710" s="77" t="str">
        <f t="shared" si="4219"/>
        <v/>
      </c>
      <c r="J710" s="32"/>
      <c r="K710" s="3"/>
      <c r="L710" s="39"/>
      <c r="M710" s="39"/>
      <c r="N710" s="39"/>
      <c r="O710" s="39"/>
      <c r="P710" s="39"/>
      <c r="Q710" s="39"/>
      <c r="R710" s="39"/>
      <c r="S710" s="39"/>
      <c r="T710" s="3" t="s">
        <v>645</v>
      </c>
      <c r="U710" s="77" t="str">
        <f t="shared" si="4220"/>
        <v/>
      </c>
      <c r="V710" s="39">
        <v>1</v>
      </c>
      <c r="W710" s="79">
        <f t="shared" si="4234"/>
        <v>0</v>
      </c>
      <c r="X710" s="3">
        <v>0</v>
      </c>
      <c r="Y710" s="77" t="str">
        <f t="shared" si="4221"/>
        <v/>
      </c>
      <c r="Z710" s="3"/>
      <c r="AA710" s="37" t="str">
        <f t="shared" si="4235"/>
        <v/>
      </c>
      <c r="AC710" s="40"/>
      <c r="AD710" s="7"/>
      <c r="AE710" s="77" t="str">
        <f t="shared" si="4222"/>
        <v/>
      </c>
      <c r="AF710" s="81">
        <f t="shared" si="4248"/>
        <v>0</v>
      </c>
      <c r="AG710" s="40"/>
      <c r="AH710" s="7"/>
      <c r="AI710" s="77" t="str">
        <f t="shared" si="4223"/>
        <v/>
      </c>
      <c r="AJ710" s="81">
        <f t="shared" si="4249"/>
        <v>0</v>
      </c>
      <c r="AK710" s="83">
        <f t="shared" si="4250"/>
        <v>0</v>
      </c>
      <c r="AL710" s="83">
        <f t="shared" si="4251"/>
        <v>0</v>
      </c>
      <c r="AN710" s="43">
        <f t="shared" si="4224"/>
        <v>0</v>
      </c>
      <c r="AP710" t="str">
        <f t="shared" si="4252"/>
        <v/>
      </c>
      <c r="AQ710" t="str">
        <f t="shared" si="4253"/>
        <v/>
      </c>
      <c r="AR710" t="str">
        <f t="shared" si="4254"/>
        <v/>
      </c>
      <c r="AS710" t="str">
        <f t="shared" si="4255"/>
        <v/>
      </c>
      <c r="AT710" t="str">
        <f t="shared" si="4256"/>
        <v/>
      </c>
      <c r="AU710" t="str">
        <f t="shared" si="4257"/>
        <v/>
      </c>
      <c r="AV710" t="str">
        <f t="shared" si="4258"/>
        <v/>
      </c>
      <c r="AW710" t="str">
        <f t="shared" si="4259"/>
        <v xml:space="preserve">                              </v>
      </c>
      <c r="AX710" s="23">
        <f t="shared" si="4260"/>
        <v>0</v>
      </c>
      <c r="AY710" s="49" t="str">
        <f t="shared" si="4236"/>
        <v>000000000000000</v>
      </c>
      <c r="AZ710" s="23">
        <f t="shared" si="4261"/>
        <v>0</v>
      </c>
      <c r="BA710" s="49" t="str">
        <f t="shared" si="4236"/>
        <v>000000000000000</v>
      </c>
      <c r="BB710" s="23">
        <f t="shared" si="4262"/>
        <v>0</v>
      </c>
      <c r="BC710" s="49" t="str">
        <f t="shared" ref="BC710" si="4617">IF(BB710&lt;0,SUBSTITUTE(TEXT(BB710,"000000000000,00"),",",""),SUBSTITUTE(TEXT(BB710,"0000000000000,00"),",",""))</f>
        <v>000000000000000</v>
      </c>
      <c r="BD710" s="23">
        <f t="shared" si="4264"/>
        <v>0</v>
      </c>
      <c r="BE710" s="49" t="str">
        <f t="shared" ref="BE710" si="4618">IF(BD710&lt;0,SUBSTITUTE(TEXT(BD710,"000000000000,00"),",",""),SUBSTITUTE(TEXT(BD710,"0000000000000,00"),",",""))</f>
        <v>000000000000000</v>
      </c>
      <c r="BF710" s="23">
        <f t="shared" si="4266"/>
        <v>0</v>
      </c>
      <c r="BG710" s="49" t="str">
        <f t="shared" ref="BG710" si="4619">IF(BF710&lt;0,SUBSTITUTE(TEXT(BF710,"000000000000,00"),",",""),SUBSTITUTE(TEXT(BF710,"0000000000000,00"),",",""))</f>
        <v>000000000000000</v>
      </c>
      <c r="BH710" s="23">
        <f t="shared" si="4268"/>
        <v>0</v>
      </c>
      <c r="BI710" s="49" t="str">
        <f t="shared" ref="BI710" si="4620">IF(BH710&lt;0,SUBSTITUTE(TEXT(BH710,"000000000000,00"),",",""),SUBSTITUTE(TEXT(BH710,"0000000000000,00"),",",""))</f>
        <v>000000000000000</v>
      </c>
      <c r="BJ710" s="23">
        <f t="shared" si="4270"/>
        <v>0</v>
      </c>
      <c r="BK710" s="49" t="str">
        <f t="shared" ref="BK710" si="4621">IF(BJ710&lt;0,SUBSTITUTE(TEXT(BJ710,"000000000000,00"),",",""),SUBSTITUTE(TEXT(BJ710,"0000000000000,00"),",",""))</f>
        <v>000000000000000</v>
      </c>
      <c r="BL710" s="23">
        <f t="shared" si="4272"/>
        <v>0</v>
      </c>
      <c r="BM710" s="49" t="str">
        <f t="shared" ref="BM710" si="4622">IF(BL710&lt;0,SUBSTITUTE(TEXT(BL710,"000000000000,00"),",",""),SUBSTITUTE(TEXT(BL710,"0000000000000,00"),",",""))</f>
        <v>000000000000000</v>
      </c>
      <c r="BN710" t="str">
        <f t="shared" si="4274"/>
        <v>PES</v>
      </c>
      <c r="BO710" t="str">
        <f t="shared" si="4275"/>
        <v>0001000000</v>
      </c>
      <c r="BP710">
        <f t="shared" si="4276"/>
        <v>0</v>
      </c>
      <c r="BQ710">
        <f t="shared" si="4277"/>
        <v>0</v>
      </c>
      <c r="BR710" s="23">
        <f t="shared" si="4278"/>
        <v>0</v>
      </c>
      <c r="BS710" s="49" t="str">
        <f t="shared" si="4243"/>
        <v>000000000000000</v>
      </c>
      <c r="BT710" t="str">
        <f t="shared" si="4279"/>
        <v>00000000</v>
      </c>
      <c r="BU710" s="23">
        <f t="shared" si="4280"/>
        <v>0</v>
      </c>
      <c r="BV710" s="49" t="str">
        <f t="shared" si="4244"/>
        <v/>
      </c>
      <c r="BW710" s="52" t="str">
        <f t="shared" si="4281"/>
        <v/>
      </c>
      <c r="BX710" s="23">
        <f t="shared" si="4282"/>
        <v>0</v>
      </c>
      <c r="BY710" s="49" t="str">
        <f t="shared" si="4245"/>
        <v/>
      </c>
      <c r="BZ710" s="23">
        <f t="shared" si="4283"/>
        <v>0</v>
      </c>
      <c r="CA710" s="49" t="str">
        <f t="shared" si="4246"/>
        <v/>
      </c>
      <c r="CB710" s="52" t="str">
        <f t="shared" si="4284"/>
        <v/>
      </c>
      <c r="CC710" s="23">
        <f t="shared" si="4285"/>
        <v>0</v>
      </c>
      <c r="CD710" s="49" t="str">
        <f t="shared" si="4247"/>
        <v/>
      </c>
      <c r="CE710" s="56" t="str">
        <f>IF(CF710="","",MAX(CE$10:$CE709)+1)</f>
        <v/>
      </c>
      <c r="CF710" t="str">
        <f t="shared" si="4286"/>
        <v/>
      </c>
      <c r="CG710" s="22" t="str">
        <f>IF(CH710="","",MAX($CG$10:CG709)+1)</f>
        <v/>
      </c>
      <c r="CH710" s="22" t="str">
        <f t="shared" si="4231"/>
        <v/>
      </c>
      <c r="CI710" s="22" t="str">
        <f>IF(CJ710="","",MAX($CI$10:CI709)+1)</f>
        <v/>
      </c>
      <c r="CJ710" s="22" t="str">
        <f t="shared" si="4232"/>
        <v/>
      </c>
    </row>
    <row r="711" spans="2:88" x14ac:dyDescent="0.25">
      <c r="B711" s="37"/>
      <c r="C711" s="3"/>
      <c r="D711" s="77" t="str">
        <f t="shared" si="4218"/>
        <v/>
      </c>
      <c r="E711" s="38"/>
      <c r="F711" s="38"/>
      <c r="G711" s="78">
        <f t="shared" si="4233"/>
        <v>0</v>
      </c>
      <c r="H711" s="3">
        <v>80</v>
      </c>
      <c r="I711" s="77" t="str">
        <f t="shared" si="4219"/>
        <v/>
      </c>
      <c r="J711" s="32"/>
      <c r="K711" s="3"/>
      <c r="L711" s="39"/>
      <c r="M711" s="39"/>
      <c r="N711" s="39"/>
      <c r="O711" s="39"/>
      <c r="P711" s="39"/>
      <c r="Q711" s="39"/>
      <c r="R711" s="39"/>
      <c r="S711" s="39"/>
      <c r="T711" s="3" t="s">
        <v>645</v>
      </c>
      <c r="U711" s="77" t="str">
        <f t="shared" si="4220"/>
        <v/>
      </c>
      <c r="V711" s="39">
        <v>1</v>
      </c>
      <c r="W711" s="79">
        <f t="shared" si="4234"/>
        <v>0</v>
      </c>
      <c r="X711" s="3">
        <v>0</v>
      </c>
      <c r="Y711" s="77" t="str">
        <f t="shared" si="4221"/>
        <v/>
      </c>
      <c r="Z711" s="3"/>
      <c r="AA711" s="37" t="str">
        <f t="shared" si="4235"/>
        <v/>
      </c>
      <c r="AC711" s="40"/>
      <c r="AD711" s="7"/>
      <c r="AE711" s="77" t="str">
        <f t="shared" si="4222"/>
        <v/>
      </c>
      <c r="AF711" s="81">
        <f t="shared" si="4248"/>
        <v>0</v>
      </c>
      <c r="AG711" s="40"/>
      <c r="AH711" s="7"/>
      <c r="AI711" s="77" t="str">
        <f t="shared" si="4223"/>
        <v/>
      </c>
      <c r="AJ711" s="81">
        <f t="shared" si="4249"/>
        <v>0</v>
      </c>
      <c r="AK711" s="83">
        <f t="shared" si="4250"/>
        <v>0</v>
      </c>
      <c r="AL711" s="83">
        <f t="shared" si="4251"/>
        <v>0</v>
      </c>
      <c r="AN711" s="43">
        <f t="shared" si="4224"/>
        <v>0</v>
      </c>
      <c r="AP711" t="str">
        <f t="shared" si="4252"/>
        <v/>
      </c>
      <c r="AQ711" t="str">
        <f t="shared" si="4253"/>
        <v/>
      </c>
      <c r="AR711" t="str">
        <f t="shared" si="4254"/>
        <v/>
      </c>
      <c r="AS711" t="str">
        <f t="shared" si="4255"/>
        <v/>
      </c>
      <c r="AT711" t="str">
        <f t="shared" si="4256"/>
        <v/>
      </c>
      <c r="AU711" t="str">
        <f t="shared" si="4257"/>
        <v/>
      </c>
      <c r="AV711" t="str">
        <f t="shared" si="4258"/>
        <v/>
      </c>
      <c r="AW711" t="str">
        <f t="shared" si="4259"/>
        <v xml:space="preserve">                              </v>
      </c>
      <c r="AX711" s="23">
        <f t="shared" si="4260"/>
        <v>0</v>
      </c>
      <c r="AY711" s="49" t="str">
        <f t="shared" si="4236"/>
        <v>000000000000000</v>
      </c>
      <c r="AZ711" s="23">
        <f t="shared" si="4261"/>
        <v>0</v>
      </c>
      <c r="BA711" s="49" t="str">
        <f t="shared" si="4236"/>
        <v>000000000000000</v>
      </c>
      <c r="BB711" s="23">
        <f t="shared" si="4262"/>
        <v>0</v>
      </c>
      <c r="BC711" s="49" t="str">
        <f t="shared" ref="BC711" si="4623">IF(BB711&lt;0,SUBSTITUTE(TEXT(BB711,"000000000000,00"),",",""),SUBSTITUTE(TEXT(BB711,"0000000000000,00"),",",""))</f>
        <v>000000000000000</v>
      </c>
      <c r="BD711" s="23">
        <f t="shared" si="4264"/>
        <v>0</v>
      </c>
      <c r="BE711" s="49" t="str">
        <f t="shared" ref="BE711" si="4624">IF(BD711&lt;0,SUBSTITUTE(TEXT(BD711,"000000000000,00"),",",""),SUBSTITUTE(TEXT(BD711,"0000000000000,00"),",",""))</f>
        <v>000000000000000</v>
      </c>
      <c r="BF711" s="23">
        <f t="shared" si="4266"/>
        <v>0</v>
      </c>
      <c r="BG711" s="49" t="str">
        <f t="shared" ref="BG711" si="4625">IF(BF711&lt;0,SUBSTITUTE(TEXT(BF711,"000000000000,00"),",",""),SUBSTITUTE(TEXT(BF711,"0000000000000,00"),",",""))</f>
        <v>000000000000000</v>
      </c>
      <c r="BH711" s="23">
        <f t="shared" si="4268"/>
        <v>0</v>
      </c>
      <c r="BI711" s="49" t="str">
        <f t="shared" ref="BI711" si="4626">IF(BH711&lt;0,SUBSTITUTE(TEXT(BH711,"000000000000,00"),",",""),SUBSTITUTE(TEXT(BH711,"0000000000000,00"),",",""))</f>
        <v>000000000000000</v>
      </c>
      <c r="BJ711" s="23">
        <f t="shared" si="4270"/>
        <v>0</v>
      </c>
      <c r="BK711" s="49" t="str">
        <f t="shared" ref="BK711" si="4627">IF(BJ711&lt;0,SUBSTITUTE(TEXT(BJ711,"000000000000,00"),",",""),SUBSTITUTE(TEXT(BJ711,"0000000000000,00"),",",""))</f>
        <v>000000000000000</v>
      </c>
      <c r="BL711" s="23">
        <f t="shared" si="4272"/>
        <v>0</v>
      </c>
      <c r="BM711" s="49" t="str">
        <f t="shared" ref="BM711" si="4628">IF(BL711&lt;0,SUBSTITUTE(TEXT(BL711,"000000000000,00"),",",""),SUBSTITUTE(TEXT(BL711,"0000000000000,00"),",",""))</f>
        <v>000000000000000</v>
      </c>
      <c r="BN711" t="str">
        <f t="shared" si="4274"/>
        <v>PES</v>
      </c>
      <c r="BO711" t="str">
        <f t="shared" si="4275"/>
        <v>0001000000</v>
      </c>
      <c r="BP711">
        <f t="shared" si="4276"/>
        <v>0</v>
      </c>
      <c r="BQ711">
        <f t="shared" si="4277"/>
        <v>0</v>
      </c>
      <c r="BR711" s="23">
        <f t="shared" si="4278"/>
        <v>0</v>
      </c>
      <c r="BS711" s="49" t="str">
        <f t="shared" si="4243"/>
        <v>000000000000000</v>
      </c>
      <c r="BT711" t="str">
        <f t="shared" si="4279"/>
        <v>00000000</v>
      </c>
      <c r="BU711" s="23">
        <f t="shared" si="4280"/>
        <v>0</v>
      </c>
      <c r="BV711" s="49" t="str">
        <f t="shared" si="4244"/>
        <v/>
      </c>
      <c r="BW711" s="52" t="str">
        <f t="shared" si="4281"/>
        <v/>
      </c>
      <c r="BX711" s="23">
        <f t="shared" si="4282"/>
        <v>0</v>
      </c>
      <c r="BY711" s="49" t="str">
        <f t="shared" si="4245"/>
        <v/>
      </c>
      <c r="BZ711" s="23">
        <f t="shared" si="4283"/>
        <v>0</v>
      </c>
      <c r="CA711" s="49" t="str">
        <f t="shared" si="4246"/>
        <v/>
      </c>
      <c r="CB711" s="52" t="str">
        <f t="shared" si="4284"/>
        <v/>
      </c>
      <c r="CC711" s="23">
        <f t="shared" si="4285"/>
        <v>0</v>
      </c>
      <c r="CD711" s="49" t="str">
        <f t="shared" si="4247"/>
        <v/>
      </c>
      <c r="CE711" s="56" t="str">
        <f>IF(CF711="","",MAX(CE$10:$CE710)+1)</f>
        <v/>
      </c>
      <c r="CF711" t="str">
        <f t="shared" si="4286"/>
        <v/>
      </c>
      <c r="CG711" s="22" t="str">
        <f>IF(CH711="","",MAX($CG$10:CG710)+1)</f>
        <v/>
      </c>
      <c r="CH711" s="22" t="str">
        <f t="shared" si="4231"/>
        <v/>
      </c>
      <c r="CI711" s="22" t="str">
        <f>IF(CJ711="","",MAX($CI$10:CI710)+1)</f>
        <v/>
      </c>
      <c r="CJ711" s="22" t="str">
        <f t="shared" si="4232"/>
        <v/>
      </c>
    </row>
    <row r="712" spans="2:88" x14ac:dyDescent="0.25">
      <c r="B712" s="37"/>
      <c r="C712" s="3"/>
      <c r="D712" s="77" t="str">
        <f t="shared" si="4218"/>
        <v/>
      </c>
      <c r="E712" s="38"/>
      <c r="F712" s="38"/>
      <c r="G712" s="78">
        <f t="shared" si="4233"/>
        <v>0</v>
      </c>
      <c r="H712" s="3">
        <v>80</v>
      </c>
      <c r="I712" s="77" t="str">
        <f t="shared" si="4219"/>
        <v/>
      </c>
      <c r="J712" s="32"/>
      <c r="K712" s="3"/>
      <c r="L712" s="39"/>
      <c r="M712" s="39"/>
      <c r="N712" s="39"/>
      <c r="O712" s="39"/>
      <c r="P712" s="39"/>
      <c r="Q712" s="39"/>
      <c r="R712" s="39"/>
      <c r="S712" s="39"/>
      <c r="T712" s="3" t="s">
        <v>645</v>
      </c>
      <c r="U712" s="77" t="str">
        <f t="shared" si="4220"/>
        <v/>
      </c>
      <c r="V712" s="39">
        <v>1</v>
      </c>
      <c r="W712" s="79">
        <f t="shared" si="4234"/>
        <v>0</v>
      </c>
      <c r="X712" s="3">
        <v>0</v>
      </c>
      <c r="Y712" s="77" t="str">
        <f t="shared" si="4221"/>
        <v/>
      </c>
      <c r="Z712" s="3"/>
      <c r="AA712" s="37" t="str">
        <f t="shared" si="4235"/>
        <v/>
      </c>
      <c r="AC712" s="40"/>
      <c r="AD712" s="7"/>
      <c r="AE712" s="77" t="str">
        <f t="shared" si="4222"/>
        <v/>
      </c>
      <c r="AF712" s="81">
        <f t="shared" si="4248"/>
        <v>0</v>
      </c>
      <c r="AG712" s="40"/>
      <c r="AH712" s="7"/>
      <c r="AI712" s="77" t="str">
        <f t="shared" si="4223"/>
        <v/>
      </c>
      <c r="AJ712" s="81">
        <f t="shared" si="4249"/>
        <v>0</v>
      </c>
      <c r="AK712" s="83">
        <f t="shared" si="4250"/>
        <v>0</v>
      </c>
      <c r="AL712" s="83">
        <f t="shared" si="4251"/>
        <v>0</v>
      </c>
      <c r="AN712" s="43">
        <f t="shared" si="4224"/>
        <v>0</v>
      </c>
      <c r="AP712" t="str">
        <f t="shared" si="4252"/>
        <v/>
      </c>
      <c r="AQ712" t="str">
        <f t="shared" si="4253"/>
        <v/>
      </c>
      <c r="AR712" t="str">
        <f t="shared" si="4254"/>
        <v/>
      </c>
      <c r="AS712" t="str">
        <f t="shared" si="4255"/>
        <v/>
      </c>
      <c r="AT712" t="str">
        <f t="shared" si="4256"/>
        <v/>
      </c>
      <c r="AU712" t="str">
        <f t="shared" si="4257"/>
        <v/>
      </c>
      <c r="AV712" t="str">
        <f t="shared" si="4258"/>
        <v/>
      </c>
      <c r="AW712" t="str">
        <f t="shared" si="4259"/>
        <v xml:space="preserve">                              </v>
      </c>
      <c r="AX712" s="23">
        <f t="shared" si="4260"/>
        <v>0</v>
      </c>
      <c r="AY712" s="49" t="str">
        <f t="shared" si="4236"/>
        <v>000000000000000</v>
      </c>
      <c r="AZ712" s="23">
        <f t="shared" si="4261"/>
        <v>0</v>
      </c>
      <c r="BA712" s="49" t="str">
        <f t="shared" si="4236"/>
        <v>000000000000000</v>
      </c>
      <c r="BB712" s="23">
        <f t="shared" si="4262"/>
        <v>0</v>
      </c>
      <c r="BC712" s="49" t="str">
        <f t="shared" ref="BC712" si="4629">IF(BB712&lt;0,SUBSTITUTE(TEXT(BB712,"000000000000,00"),",",""),SUBSTITUTE(TEXT(BB712,"0000000000000,00"),",",""))</f>
        <v>000000000000000</v>
      </c>
      <c r="BD712" s="23">
        <f t="shared" si="4264"/>
        <v>0</v>
      </c>
      <c r="BE712" s="49" t="str">
        <f t="shared" ref="BE712" si="4630">IF(BD712&lt;0,SUBSTITUTE(TEXT(BD712,"000000000000,00"),",",""),SUBSTITUTE(TEXT(BD712,"0000000000000,00"),",",""))</f>
        <v>000000000000000</v>
      </c>
      <c r="BF712" s="23">
        <f t="shared" si="4266"/>
        <v>0</v>
      </c>
      <c r="BG712" s="49" t="str">
        <f t="shared" ref="BG712" si="4631">IF(BF712&lt;0,SUBSTITUTE(TEXT(BF712,"000000000000,00"),",",""),SUBSTITUTE(TEXT(BF712,"0000000000000,00"),",",""))</f>
        <v>000000000000000</v>
      </c>
      <c r="BH712" s="23">
        <f t="shared" si="4268"/>
        <v>0</v>
      </c>
      <c r="BI712" s="49" t="str">
        <f t="shared" ref="BI712" si="4632">IF(BH712&lt;0,SUBSTITUTE(TEXT(BH712,"000000000000,00"),",",""),SUBSTITUTE(TEXT(BH712,"0000000000000,00"),",",""))</f>
        <v>000000000000000</v>
      </c>
      <c r="BJ712" s="23">
        <f t="shared" si="4270"/>
        <v>0</v>
      </c>
      <c r="BK712" s="49" t="str">
        <f t="shared" ref="BK712" si="4633">IF(BJ712&lt;0,SUBSTITUTE(TEXT(BJ712,"000000000000,00"),",",""),SUBSTITUTE(TEXT(BJ712,"0000000000000,00"),",",""))</f>
        <v>000000000000000</v>
      </c>
      <c r="BL712" s="23">
        <f t="shared" si="4272"/>
        <v>0</v>
      </c>
      <c r="BM712" s="49" t="str">
        <f t="shared" ref="BM712" si="4634">IF(BL712&lt;0,SUBSTITUTE(TEXT(BL712,"000000000000,00"),",",""),SUBSTITUTE(TEXT(BL712,"0000000000000,00"),",",""))</f>
        <v>000000000000000</v>
      </c>
      <c r="BN712" t="str">
        <f t="shared" si="4274"/>
        <v>PES</v>
      </c>
      <c r="BO712" t="str">
        <f t="shared" si="4275"/>
        <v>0001000000</v>
      </c>
      <c r="BP712">
        <f t="shared" si="4276"/>
        <v>0</v>
      </c>
      <c r="BQ712">
        <f t="shared" si="4277"/>
        <v>0</v>
      </c>
      <c r="BR712" s="23">
        <f t="shared" si="4278"/>
        <v>0</v>
      </c>
      <c r="BS712" s="49" t="str">
        <f t="shared" si="4243"/>
        <v>000000000000000</v>
      </c>
      <c r="BT712" t="str">
        <f t="shared" si="4279"/>
        <v>00000000</v>
      </c>
      <c r="BU712" s="23">
        <f t="shared" si="4280"/>
        <v>0</v>
      </c>
      <c r="BV712" s="49" t="str">
        <f t="shared" si="4244"/>
        <v/>
      </c>
      <c r="BW712" s="52" t="str">
        <f t="shared" si="4281"/>
        <v/>
      </c>
      <c r="BX712" s="23">
        <f t="shared" si="4282"/>
        <v>0</v>
      </c>
      <c r="BY712" s="49" t="str">
        <f t="shared" si="4245"/>
        <v/>
      </c>
      <c r="BZ712" s="23">
        <f t="shared" si="4283"/>
        <v>0</v>
      </c>
      <c r="CA712" s="49" t="str">
        <f t="shared" si="4246"/>
        <v/>
      </c>
      <c r="CB712" s="52" t="str">
        <f t="shared" si="4284"/>
        <v/>
      </c>
      <c r="CC712" s="23">
        <f t="shared" si="4285"/>
        <v>0</v>
      </c>
      <c r="CD712" s="49" t="str">
        <f t="shared" si="4247"/>
        <v/>
      </c>
      <c r="CE712" s="56" t="str">
        <f>IF(CF712="","",MAX(CE$10:$CE711)+1)</f>
        <v/>
      </c>
      <c r="CF712" t="str">
        <f t="shared" si="4286"/>
        <v/>
      </c>
      <c r="CG712" s="22" t="str">
        <f>IF(CH712="","",MAX($CG$10:CG711)+1)</f>
        <v/>
      </c>
      <c r="CH712" s="22" t="str">
        <f t="shared" si="4231"/>
        <v/>
      </c>
      <c r="CI712" s="22" t="str">
        <f>IF(CJ712="","",MAX($CI$10:CI711)+1)</f>
        <v/>
      </c>
      <c r="CJ712" s="22" t="str">
        <f t="shared" si="4232"/>
        <v/>
      </c>
    </row>
    <row r="713" spans="2:88" x14ac:dyDescent="0.25">
      <c r="B713" s="37"/>
      <c r="C713" s="3"/>
      <c r="D713" s="77" t="str">
        <f t="shared" si="4218"/>
        <v/>
      </c>
      <c r="E713" s="38"/>
      <c r="F713" s="38"/>
      <c r="G713" s="78">
        <f t="shared" si="4233"/>
        <v>0</v>
      </c>
      <c r="H713" s="3">
        <v>80</v>
      </c>
      <c r="I713" s="77" t="str">
        <f t="shared" si="4219"/>
        <v/>
      </c>
      <c r="J713" s="32"/>
      <c r="K713" s="3"/>
      <c r="L713" s="39"/>
      <c r="M713" s="39"/>
      <c r="N713" s="39"/>
      <c r="O713" s="39"/>
      <c r="P713" s="39"/>
      <c r="Q713" s="39"/>
      <c r="R713" s="39"/>
      <c r="S713" s="39"/>
      <c r="T713" s="3" t="s">
        <v>645</v>
      </c>
      <c r="U713" s="77" t="str">
        <f t="shared" si="4220"/>
        <v/>
      </c>
      <c r="V713" s="39">
        <v>1</v>
      </c>
      <c r="W713" s="79">
        <f t="shared" si="4234"/>
        <v>0</v>
      </c>
      <c r="X713" s="3">
        <v>0</v>
      </c>
      <c r="Y713" s="77" t="str">
        <f t="shared" si="4221"/>
        <v/>
      </c>
      <c r="Z713" s="3"/>
      <c r="AA713" s="37" t="str">
        <f t="shared" si="4235"/>
        <v/>
      </c>
      <c r="AC713" s="40"/>
      <c r="AD713" s="7"/>
      <c r="AE713" s="77" t="str">
        <f t="shared" si="4222"/>
        <v/>
      </c>
      <c r="AF713" s="81">
        <f t="shared" si="4248"/>
        <v>0</v>
      </c>
      <c r="AG713" s="40"/>
      <c r="AH713" s="7"/>
      <c r="AI713" s="77" t="str">
        <f t="shared" si="4223"/>
        <v/>
      </c>
      <c r="AJ713" s="81">
        <f t="shared" si="4249"/>
        <v>0</v>
      </c>
      <c r="AK713" s="83">
        <f t="shared" si="4250"/>
        <v>0</v>
      </c>
      <c r="AL713" s="83">
        <f t="shared" si="4251"/>
        <v>0</v>
      </c>
      <c r="AN713" s="43">
        <f t="shared" si="4224"/>
        <v>0</v>
      </c>
      <c r="AP713" t="str">
        <f t="shared" si="4252"/>
        <v/>
      </c>
      <c r="AQ713" t="str">
        <f t="shared" si="4253"/>
        <v/>
      </c>
      <c r="AR713" t="str">
        <f t="shared" si="4254"/>
        <v/>
      </c>
      <c r="AS713" t="str">
        <f t="shared" si="4255"/>
        <v/>
      </c>
      <c r="AT713" t="str">
        <f t="shared" si="4256"/>
        <v/>
      </c>
      <c r="AU713" t="str">
        <f t="shared" si="4257"/>
        <v/>
      </c>
      <c r="AV713" t="str">
        <f t="shared" si="4258"/>
        <v/>
      </c>
      <c r="AW713" t="str">
        <f t="shared" si="4259"/>
        <v xml:space="preserve">                              </v>
      </c>
      <c r="AX713" s="23">
        <f t="shared" si="4260"/>
        <v>0</v>
      </c>
      <c r="AY713" s="49" t="str">
        <f t="shared" si="4236"/>
        <v>000000000000000</v>
      </c>
      <c r="AZ713" s="23">
        <f t="shared" si="4261"/>
        <v>0</v>
      </c>
      <c r="BA713" s="49" t="str">
        <f t="shared" si="4236"/>
        <v>000000000000000</v>
      </c>
      <c r="BB713" s="23">
        <f t="shared" si="4262"/>
        <v>0</v>
      </c>
      <c r="BC713" s="49" t="str">
        <f t="shared" ref="BC713" si="4635">IF(BB713&lt;0,SUBSTITUTE(TEXT(BB713,"000000000000,00"),",",""),SUBSTITUTE(TEXT(BB713,"0000000000000,00"),",",""))</f>
        <v>000000000000000</v>
      </c>
      <c r="BD713" s="23">
        <f t="shared" si="4264"/>
        <v>0</v>
      </c>
      <c r="BE713" s="49" t="str">
        <f t="shared" ref="BE713" si="4636">IF(BD713&lt;0,SUBSTITUTE(TEXT(BD713,"000000000000,00"),",",""),SUBSTITUTE(TEXT(BD713,"0000000000000,00"),",",""))</f>
        <v>000000000000000</v>
      </c>
      <c r="BF713" s="23">
        <f t="shared" si="4266"/>
        <v>0</v>
      </c>
      <c r="BG713" s="49" t="str">
        <f t="shared" ref="BG713" si="4637">IF(BF713&lt;0,SUBSTITUTE(TEXT(BF713,"000000000000,00"),",",""),SUBSTITUTE(TEXT(BF713,"0000000000000,00"),",",""))</f>
        <v>000000000000000</v>
      </c>
      <c r="BH713" s="23">
        <f t="shared" si="4268"/>
        <v>0</v>
      </c>
      <c r="BI713" s="49" t="str">
        <f t="shared" ref="BI713" si="4638">IF(BH713&lt;0,SUBSTITUTE(TEXT(BH713,"000000000000,00"),",",""),SUBSTITUTE(TEXT(BH713,"0000000000000,00"),",",""))</f>
        <v>000000000000000</v>
      </c>
      <c r="BJ713" s="23">
        <f t="shared" si="4270"/>
        <v>0</v>
      </c>
      <c r="BK713" s="49" t="str">
        <f t="shared" ref="BK713" si="4639">IF(BJ713&lt;0,SUBSTITUTE(TEXT(BJ713,"000000000000,00"),",",""),SUBSTITUTE(TEXT(BJ713,"0000000000000,00"),",",""))</f>
        <v>000000000000000</v>
      </c>
      <c r="BL713" s="23">
        <f t="shared" si="4272"/>
        <v>0</v>
      </c>
      <c r="BM713" s="49" t="str">
        <f t="shared" ref="BM713" si="4640">IF(BL713&lt;0,SUBSTITUTE(TEXT(BL713,"000000000000,00"),",",""),SUBSTITUTE(TEXT(BL713,"0000000000000,00"),",",""))</f>
        <v>000000000000000</v>
      </c>
      <c r="BN713" t="str">
        <f t="shared" si="4274"/>
        <v>PES</v>
      </c>
      <c r="BO713" t="str">
        <f t="shared" si="4275"/>
        <v>0001000000</v>
      </c>
      <c r="BP713">
        <f t="shared" si="4276"/>
        <v>0</v>
      </c>
      <c r="BQ713">
        <f t="shared" si="4277"/>
        <v>0</v>
      </c>
      <c r="BR713" s="23">
        <f t="shared" si="4278"/>
        <v>0</v>
      </c>
      <c r="BS713" s="49" t="str">
        <f t="shared" si="4243"/>
        <v>000000000000000</v>
      </c>
      <c r="BT713" t="str">
        <f t="shared" si="4279"/>
        <v>00000000</v>
      </c>
      <c r="BU713" s="23">
        <f t="shared" si="4280"/>
        <v>0</v>
      </c>
      <c r="BV713" s="49" t="str">
        <f t="shared" si="4244"/>
        <v/>
      </c>
      <c r="BW713" s="52" t="str">
        <f t="shared" si="4281"/>
        <v/>
      </c>
      <c r="BX713" s="23">
        <f t="shared" si="4282"/>
        <v>0</v>
      </c>
      <c r="BY713" s="49" t="str">
        <f t="shared" si="4245"/>
        <v/>
      </c>
      <c r="BZ713" s="23">
        <f t="shared" si="4283"/>
        <v>0</v>
      </c>
      <c r="CA713" s="49" t="str">
        <f t="shared" si="4246"/>
        <v/>
      </c>
      <c r="CB713" s="52" t="str">
        <f t="shared" si="4284"/>
        <v/>
      </c>
      <c r="CC713" s="23">
        <f t="shared" si="4285"/>
        <v>0</v>
      </c>
      <c r="CD713" s="49" t="str">
        <f t="shared" si="4247"/>
        <v/>
      </c>
      <c r="CE713" s="56" t="str">
        <f>IF(CF713="","",MAX(CE$10:$CE712)+1)</f>
        <v/>
      </c>
      <c r="CF713" t="str">
        <f t="shared" si="4286"/>
        <v/>
      </c>
      <c r="CG713" s="22" t="str">
        <f>IF(CH713="","",MAX($CG$10:CG712)+1)</f>
        <v/>
      </c>
      <c r="CH713" s="22" t="str">
        <f t="shared" si="4231"/>
        <v/>
      </c>
      <c r="CI713" s="22" t="str">
        <f>IF(CJ713="","",MAX($CI$10:CI712)+1)</f>
        <v/>
      </c>
      <c r="CJ713" s="22" t="str">
        <f t="shared" si="4232"/>
        <v/>
      </c>
    </row>
    <row r="714" spans="2:88" x14ac:dyDescent="0.25">
      <c r="B714" s="37"/>
      <c r="C714" s="3"/>
      <c r="D714" s="77" t="str">
        <f t="shared" si="4218"/>
        <v/>
      </c>
      <c r="E714" s="38"/>
      <c r="F714" s="38"/>
      <c r="G714" s="78">
        <f t="shared" si="4233"/>
        <v>0</v>
      </c>
      <c r="H714" s="3">
        <v>80</v>
      </c>
      <c r="I714" s="77" t="str">
        <f t="shared" si="4219"/>
        <v/>
      </c>
      <c r="J714" s="32"/>
      <c r="K714" s="3"/>
      <c r="L714" s="39"/>
      <c r="M714" s="39"/>
      <c r="N714" s="39"/>
      <c r="O714" s="39"/>
      <c r="P714" s="39"/>
      <c r="Q714" s="39"/>
      <c r="R714" s="39"/>
      <c r="S714" s="39"/>
      <c r="T714" s="3" t="s">
        <v>645</v>
      </c>
      <c r="U714" s="77" t="str">
        <f t="shared" si="4220"/>
        <v/>
      </c>
      <c r="V714" s="39">
        <v>1</v>
      </c>
      <c r="W714" s="79">
        <f t="shared" si="4234"/>
        <v>0</v>
      </c>
      <c r="X714" s="3">
        <v>0</v>
      </c>
      <c r="Y714" s="77" t="str">
        <f t="shared" si="4221"/>
        <v/>
      </c>
      <c r="Z714" s="3"/>
      <c r="AA714" s="37" t="str">
        <f t="shared" si="4235"/>
        <v/>
      </c>
      <c r="AC714" s="40"/>
      <c r="AD714" s="7"/>
      <c r="AE714" s="77" t="str">
        <f t="shared" si="4222"/>
        <v/>
      </c>
      <c r="AF714" s="81">
        <f t="shared" si="4248"/>
        <v>0</v>
      </c>
      <c r="AG714" s="40"/>
      <c r="AH714" s="7"/>
      <c r="AI714" s="77" t="str">
        <f t="shared" si="4223"/>
        <v/>
      </c>
      <c r="AJ714" s="81">
        <f t="shared" si="4249"/>
        <v>0</v>
      </c>
      <c r="AK714" s="83">
        <f t="shared" si="4250"/>
        <v>0</v>
      </c>
      <c r="AL714" s="83">
        <f t="shared" si="4251"/>
        <v>0</v>
      </c>
      <c r="AN714" s="43">
        <f t="shared" si="4224"/>
        <v>0</v>
      </c>
      <c r="AP714" t="str">
        <f t="shared" si="4252"/>
        <v/>
      </c>
      <c r="AQ714" t="str">
        <f t="shared" si="4253"/>
        <v/>
      </c>
      <c r="AR714" t="str">
        <f t="shared" si="4254"/>
        <v/>
      </c>
      <c r="AS714" t="str">
        <f t="shared" si="4255"/>
        <v/>
      </c>
      <c r="AT714" t="str">
        <f t="shared" si="4256"/>
        <v/>
      </c>
      <c r="AU714" t="str">
        <f t="shared" si="4257"/>
        <v/>
      </c>
      <c r="AV714" t="str">
        <f t="shared" si="4258"/>
        <v/>
      </c>
      <c r="AW714" t="str">
        <f t="shared" si="4259"/>
        <v xml:space="preserve">                              </v>
      </c>
      <c r="AX714" s="23">
        <f t="shared" si="4260"/>
        <v>0</v>
      </c>
      <c r="AY714" s="49" t="str">
        <f t="shared" si="4236"/>
        <v>000000000000000</v>
      </c>
      <c r="AZ714" s="23">
        <f t="shared" si="4261"/>
        <v>0</v>
      </c>
      <c r="BA714" s="49" t="str">
        <f t="shared" si="4236"/>
        <v>000000000000000</v>
      </c>
      <c r="BB714" s="23">
        <f t="shared" si="4262"/>
        <v>0</v>
      </c>
      <c r="BC714" s="49" t="str">
        <f t="shared" ref="BC714" si="4641">IF(BB714&lt;0,SUBSTITUTE(TEXT(BB714,"000000000000,00"),",",""),SUBSTITUTE(TEXT(BB714,"0000000000000,00"),",",""))</f>
        <v>000000000000000</v>
      </c>
      <c r="BD714" s="23">
        <f t="shared" si="4264"/>
        <v>0</v>
      </c>
      <c r="BE714" s="49" t="str">
        <f t="shared" ref="BE714" si="4642">IF(BD714&lt;0,SUBSTITUTE(TEXT(BD714,"000000000000,00"),",",""),SUBSTITUTE(TEXT(BD714,"0000000000000,00"),",",""))</f>
        <v>000000000000000</v>
      </c>
      <c r="BF714" s="23">
        <f t="shared" si="4266"/>
        <v>0</v>
      </c>
      <c r="BG714" s="49" t="str">
        <f t="shared" ref="BG714" si="4643">IF(BF714&lt;0,SUBSTITUTE(TEXT(BF714,"000000000000,00"),",",""),SUBSTITUTE(TEXT(BF714,"0000000000000,00"),",",""))</f>
        <v>000000000000000</v>
      </c>
      <c r="BH714" s="23">
        <f t="shared" si="4268"/>
        <v>0</v>
      </c>
      <c r="BI714" s="49" t="str">
        <f t="shared" ref="BI714" si="4644">IF(BH714&lt;0,SUBSTITUTE(TEXT(BH714,"000000000000,00"),",",""),SUBSTITUTE(TEXT(BH714,"0000000000000,00"),",",""))</f>
        <v>000000000000000</v>
      </c>
      <c r="BJ714" s="23">
        <f t="shared" si="4270"/>
        <v>0</v>
      </c>
      <c r="BK714" s="49" t="str">
        <f t="shared" ref="BK714" si="4645">IF(BJ714&lt;0,SUBSTITUTE(TEXT(BJ714,"000000000000,00"),",",""),SUBSTITUTE(TEXT(BJ714,"0000000000000,00"),",",""))</f>
        <v>000000000000000</v>
      </c>
      <c r="BL714" s="23">
        <f t="shared" si="4272"/>
        <v>0</v>
      </c>
      <c r="BM714" s="49" t="str">
        <f t="shared" ref="BM714" si="4646">IF(BL714&lt;0,SUBSTITUTE(TEXT(BL714,"000000000000,00"),",",""),SUBSTITUTE(TEXT(BL714,"0000000000000,00"),",",""))</f>
        <v>000000000000000</v>
      </c>
      <c r="BN714" t="str">
        <f t="shared" si="4274"/>
        <v>PES</v>
      </c>
      <c r="BO714" t="str">
        <f t="shared" si="4275"/>
        <v>0001000000</v>
      </c>
      <c r="BP714">
        <f t="shared" si="4276"/>
        <v>0</v>
      </c>
      <c r="BQ714">
        <f t="shared" si="4277"/>
        <v>0</v>
      </c>
      <c r="BR714" s="23">
        <f t="shared" si="4278"/>
        <v>0</v>
      </c>
      <c r="BS714" s="49" t="str">
        <f t="shared" si="4243"/>
        <v>000000000000000</v>
      </c>
      <c r="BT714" t="str">
        <f t="shared" si="4279"/>
        <v>00000000</v>
      </c>
      <c r="BU714" s="23">
        <f t="shared" si="4280"/>
        <v>0</v>
      </c>
      <c r="BV714" s="49" t="str">
        <f t="shared" si="4244"/>
        <v/>
      </c>
      <c r="BW714" s="52" t="str">
        <f t="shared" si="4281"/>
        <v/>
      </c>
      <c r="BX714" s="23">
        <f t="shared" si="4282"/>
        <v>0</v>
      </c>
      <c r="BY714" s="49" t="str">
        <f t="shared" si="4245"/>
        <v/>
      </c>
      <c r="BZ714" s="23">
        <f t="shared" si="4283"/>
        <v>0</v>
      </c>
      <c r="CA714" s="49" t="str">
        <f t="shared" si="4246"/>
        <v/>
      </c>
      <c r="CB714" s="52" t="str">
        <f t="shared" si="4284"/>
        <v/>
      </c>
      <c r="CC714" s="23">
        <f t="shared" si="4285"/>
        <v>0</v>
      </c>
      <c r="CD714" s="49" t="str">
        <f t="shared" si="4247"/>
        <v/>
      </c>
      <c r="CE714" s="56" t="str">
        <f>IF(CF714="","",MAX(CE$10:$CE713)+1)</f>
        <v/>
      </c>
      <c r="CF714" t="str">
        <f t="shared" si="4286"/>
        <v/>
      </c>
      <c r="CG714" s="22" t="str">
        <f>IF(CH714="","",MAX($CG$10:CG713)+1)</f>
        <v/>
      </c>
      <c r="CH714" s="22" t="str">
        <f t="shared" si="4231"/>
        <v/>
      </c>
      <c r="CI714" s="22" t="str">
        <f>IF(CJ714="","",MAX($CI$10:CI713)+1)</f>
        <v/>
      </c>
      <c r="CJ714" s="22" t="str">
        <f t="shared" si="4232"/>
        <v/>
      </c>
    </row>
    <row r="715" spans="2:88" x14ac:dyDescent="0.25">
      <c r="B715" s="37"/>
      <c r="C715" s="3"/>
      <c r="D715" s="77" t="str">
        <f t="shared" si="4218"/>
        <v/>
      </c>
      <c r="E715" s="38"/>
      <c r="F715" s="38"/>
      <c r="G715" s="78">
        <f t="shared" si="4233"/>
        <v>0</v>
      </c>
      <c r="H715" s="3">
        <v>80</v>
      </c>
      <c r="I715" s="77" t="str">
        <f t="shared" si="4219"/>
        <v/>
      </c>
      <c r="J715" s="32"/>
      <c r="K715" s="3"/>
      <c r="L715" s="39"/>
      <c r="M715" s="39"/>
      <c r="N715" s="39"/>
      <c r="O715" s="39"/>
      <c r="P715" s="39"/>
      <c r="Q715" s="39"/>
      <c r="R715" s="39"/>
      <c r="S715" s="39"/>
      <c r="T715" s="3" t="s">
        <v>645</v>
      </c>
      <c r="U715" s="77" t="str">
        <f t="shared" si="4220"/>
        <v/>
      </c>
      <c r="V715" s="39">
        <v>1</v>
      </c>
      <c r="W715" s="79">
        <f t="shared" si="4234"/>
        <v>0</v>
      </c>
      <c r="X715" s="3">
        <v>0</v>
      </c>
      <c r="Y715" s="77" t="str">
        <f t="shared" si="4221"/>
        <v/>
      </c>
      <c r="Z715" s="3"/>
      <c r="AA715" s="37" t="str">
        <f t="shared" si="4235"/>
        <v/>
      </c>
      <c r="AC715" s="40"/>
      <c r="AD715" s="7"/>
      <c r="AE715" s="77" t="str">
        <f t="shared" si="4222"/>
        <v/>
      </c>
      <c r="AF715" s="81">
        <f t="shared" si="4248"/>
        <v>0</v>
      </c>
      <c r="AG715" s="40"/>
      <c r="AH715" s="7"/>
      <c r="AI715" s="77" t="str">
        <f t="shared" si="4223"/>
        <v/>
      </c>
      <c r="AJ715" s="81">
        <f t="shared" si="4249"/>
        <v>0</v>
      </c>
      <c r="AK715" s="83">
        <f t="shared" si="4250"/>
        <v>0</v>
      </c>
      <c r="AL715" s="83">
        <f t="shared" si="4251"/>
        <v>0</v>
      </c>
      <c r="AN715" s="43">
        <f t="shared" si="4224"/>
        <v>0</v>
      </c>
      <c r="AP715" t="str">
        <f t="shared" si="4252"/>
        <v/>
      </c>
      <c r="AQ715" t="str">
        <f t="shared" si="4253"/>
        <v/>
      </c>
      <c r="AR715" t="str">
        <f t="shared" si="4254"/>
        <v/>
      </c>
      <c r="AS715" t="str">
        <f t="shared" si="4255"/>
        <v/>
      </c>
      <c r="AT715" t="str">
        <f t="shared" si="4256"/>
        <v/>
      </c>
      <c r="AU715" t="str">
        <f t="shared" si="4257"/>
        <v/>
      </c>
      <c r="AV715" t="str">
        <f t="shared" si="4258"/>
        <v/>
      </c>
      <c r="AW715" t="str">
        <f t="shared" si="4259"/>
        <v xml:space="preserve">                              </v>
      </c>
      <c r="AX715" s="23">
        <f t="shared" si="4260"/>
        <v>0</v>
      </c>
      <c r="AY715" s="49" t="str">
        <f t="shared" si="4236"/>
        <v>000000000000000</v>
      </c>
      <c r="AZ715" s="23">
        <f t="shared" si="4261"/>
        <v>0</v>
      </c>
      <c r="BA715" s="49" t="str">
        <f t="shared" si="4236"/>
        <v>000000000000000</v>
      </c>
      <c r="BB715" s="23">
        <f t="shared" si="4262"/>
        <v>0</v>
      </c>
      <c r="BC715" s="49" t="str">
        <f t="shared" ref="BC715" si="4647">IF(BB715&lt;0,SUBSTITUTE(TEXT(BB715,"000000000000,00"),",",""),SUBSTITUTE(TEXT(BB715,"0000000000000,00"),",",""))</f>
        <v>000000000000000</v>
      </c>
      <c r="BD715" s="23">
        <f t="shared" si="4264"/>
        <v>0</v>
      </c>
      <c r="BE715" s="49" t="str">
        <f t="shared" ref="BE715" si="4648">IF(BD715&lt;0,SUBSTITUTE(TEXT(BD715,"000000000000,00"),",",""),SUBSTITUTE(TEXT(BD715,"0000000000000,00"),",",""))</f>
        <v>000000000000000</v>
      </c>
      <c r="BF715" s="23">
        <f t="shared" si="4266"/>
        <v>0</v>
      </c>
      <c r="BG715" s="49" t="str">
        <f t="shared" ref="BG715" si="4649">IF(BF715&lt;0,SUBSTITUTE(TEXT(BF715,"000000000000,00"),",",""),SUBSTITUTE(TEXT(BF715,"0000000000000,00"),",",""))</f>
        <v>000000000000000</v>
      </c>
      <c r="BH715" s="23">
        <f t="shared" si="4268"/>
        <v>0</v>
      </c>
      <c r="BI715" s="49" t="str">
        <f t="shared" ref="BI715" si="4650">IF(BH715&lt;0,SUBSTITUTE(TEXT(BH715,"000000000000,00"),",",""),SUBSTITUTE(TEXT(BH715,"0000000000000,00"),",",""))</f>
        <v>000000000000000</v>
      </c>
      <c r="BJ715" s="23">
        <f t="shared" si="4270"/>
        <v>0</v>
      </c>
      <c r="BK715" s="49" t="str">
        <f t="shared" ref="BK715" si="4651">IF(BJ715&lt;0,SUBSTITUTE(TEXT(BJ715,"000000000000,00"),",",""),SUBSTITUTE(TEXT(BJ715,"0000000000000,00"),",",""))</f>
        <v>000000000000000</v>
      </c>
      <c r="BL715" s="23">
        <f t="shared" si="4272"/>
        <v>0</v>
      </c>
      <c r="BM715" s="49" t="str">
        <f t="shared" ref="BM715" si="4652">IF(BL715&lt;0,SUBSTITUTE(TEXT(BL715,"000000000000,00"),",",""),SUBSTITUTE(TEXT(BL715,"0000000000000,00"),",",""))</f>
        <v>000000000000000</v>
      </c>
      <c r="BN715" t="str">
        <f t="shared" si="4274"/>
        <v>PES</v>
      </c>
      <c r="BO715" t="str">
        <f t="shared" si="4275"/>
        <v>0001000000</v>
      </c>
      <c r="BP715">
        <f t="shared" si="4276"/>
        <v>0</v>
      </c>
      <c r="BQ715">
        <f t="shared" si="4277"/>
        <v>0</v>
      </c>
      <c r="BR715" s="23">
        <f t="shared" si="4278"/>
        <v>0</v>
      </c>
      <c r="BS715" s="49" t="str">
        <f t="shared" si="4243"/>
        <v>000000000000000</v>
      </c>
      <c r="BT715" t="str">
        <f t="shared" si="4279"/>
        <v>00000000</v>
      </c>
      <c r="BU715" s="23">
        <f t="shared" si="4280"/>
        <v>0</v>
      </c>
      <c r="BV715" s="49" t="str">
        <f t="shared" si="4244"/>
        <v/>
      </c>
      <c r="BW715" s="52" t="str">
        <f t="shared" si="4281"/>
        <v/>
      </c>
      <c r="BX715" s="23">
        <f t="shared" si="4282"/>
        <v>0</v>
      </c>
      <c r="BY715" s="49" t="str">
        <f t="shared" si="4245"/>
        <v/>
      </c>
      <c r="BZ715" s="23">
        <f t="shared" si="4283"/>
        <v>0</v>
      </c>
      <c r="CA715" s="49" t="str">
        <f t="shared" si="4246"/>
        <v/>
      </c>
      <c r="CB715" s="52" t="str">
        <f t="shared" si="4284"/>
        <v/>
      </c>
      <c r="CC715" s="23">
        <f t="shared" si="4285"/>
        <v>0</v>
      </c>
      <c r="CD715" s="49" t="str">
        <f t="shared" si="4247"/>
        <v/>
      </c>
      <c r="CE715" s="56" t="str">
        <f>IF(CF715="","",MAX(CE$10:$CE714)+1)</f>
        <v/>
      </c>
      <c r="CF715" t="str">
        <f t="shared" si="4286"/>
        <v/>
      </c>
      <c r="CG715" s="22" t="str">
        <f>IF(CH715="","",MAX($CG$10:CG714)+1)</f>
        <v/>
      </c>
      <c r="CH715" s="22" t="str">
        <f t="shared" si="4231"/>
        <v/>
      </c>
      <c r="CI715" s="22" t="str">
        <f>IF(CJ715="","",MAX($CI$10:CI714)+1)</f>
        <v/>
      </c>
      <c r="CJ715" s="22" t="str">
        <f t="shared" si="4232"/>
        <v/>
      </c>
    </row>
    <row r="716" spans="2:88" x14ac:dyDescent="0.25">
      <c r="B716" s="37"/>
      <c r="C716" s="3"/>
      <c r="D716" s="77" t="str">
        <f t="shared" ref="D716:D779" si="4653">IF(B716="","",IF(ISERROR(VLOOKUP(C716,T_CompVentas,2,FALSE)),"",VLOOKUP(C716,T_CompVentas,2,FALSE)))</f>
        <v/>
      </c>
      <c r="E716" s="38"/>
      <c r="F716" s="38"/>
      <c r="G716" s="78">
        <f t="shared" si="4233"/>
        <v>0</v>
      </c>
      <c r="H716" s="3">
        <v>80</v>
      </c>
      <c r="I716" s="77" t="str">
        <f t="shared" ref="I716:I779" si="4654">IF(B716="","",IF(H716="","",IF(ISERROR(VLOOKUP(H716,T_Documentos,2,FALSE)),"",VLOOKUP(H716,T_Documentos,2,FALSE))))</f>
        <v/>
      </c>
      <c r="J716" s="32"/>
      <c r="K716" s="3"/>
      <c r="L716" s="39"/>
      <c r="M716" s="39"/>
      <c r="N716" s="39"/>
      <c r="O716" s="39"/>
      <c r="P716" s="39"/>
      <c r="Q716" s="39"/>
      <c r="R716" s="39"/>
      <c r="S716" s="39"/>
      <c r="T716" s="3" t="s">
        <v>645</v>
      </c>
      <c r="U716" s="77" t="str">
        <f t="shared" ref="U716:U779" si="4655">IF(B716="","",IF(ISERROR(VLOOKUP(T716,T_Monedas,2,FALSE)),"",VLOOKUP(T716,T_Monedas,2,FALSE)))</f>
        <v/>
      </c>
      <c r="V716" s="39">
        <v>1</v>
      </c>
      <c r="W716" s="79">
        <f t="shared" si="4234"/>
        <v>0</v>
      </c>
      <c r="X716" s="3">
        <v>0</v>
      </c>
      <c r="Y716" s="77" t="str">
        <f t="shared" ref="Y716:Y779" si="4656">IF(B716="","",IF(ISERROR(VLOOKUP(X716,T_CodOperVentas,2,FALSE)),"",VLOOKUP(X716,T_CodOperVentas,2,FALSE)))</f>
        <v/>
      </c>
      <c r="Z716" s="3"/>
      <c r="AA716" s="37" t="str">
        <f t="shared" si="4235"/>
        <v/>
      </c>
      <c r="AC716" s="40"/>
      <c r="AD716" s="7"/>
      <c r="AE716" s="77" t="str">
        <f t="shared" ref="AE716:AE779" si="4657">IF(B716="","",IF(AD716="","",IF(ISERROR(VLOOKUP(AD716,T_Alicuotas,2,FALSE)),"",VLOOKUP(AD716,T_Alicuotas,2,FALSE))))</f>
        <v/>
      </c>
      <c r="AF716" s="81">
        <f t="shared" si="4248"/>
        <v>0</v>
      </c>
      <c r="AG716" s="40"/>
      <c r="AH716" s="7"/>
      <c r="AI716" s="77" t="str">
        <f t="shared" ref="AI716:AI779" si="4658">IF(B716="","",IF(AH716="","",IF(ISERROR(VLOOKUP(AH716,T_Alicuotas,2,FALSE)),"",VLOOKUP(AH716,T_Alicuotas,2,FALSE))))</f>
        <v/>
      </c>
      <c r="AJ716" s="81">
        <f t="shared" si="4249"/>
        <v>0</v>
      </c>
      <c r="AK716" s="83">
        <f t="shared" si="4250"/>
        <v>0</v>
      </c>
      <c r="AL716" s="83">
        <f t="shared" si="4251"/>
        <v>0</v>
      </c>
      <c r="AN716" s="43">
        <f t="shared" ref="AN716:AN779" si="4659">+L716-M716-N716-O716-P716-Q716-R716-S716-AC716-AF716-AG716-AJ716</f>
        <v>0</v>
      </c>
      <c r="AP716" t="str">
        <f t="shared" si="4252"/>
        <v/>
      </c>
      <c r="AQ716" t="str">
        <f t="shared" si="4253"/>
        <v/>
      </c>
      <c r="AR716" t="str">
        <f t="shared" si="4254"/>
        <v/>
      </c>
      <c r="AS716" t="str">
        <f t="shared" si="4255"/>
        <v/>
      </c>
      <c r="AT716" t="str">
        <f t="shared" si="4256"/>
        <v/>
      </c>
      <c r="AU716" t="str">
        <f t="shared" si="4257"/>
        <v/>
      </c>
      <c r="AV716" t="str">
        <f t="shared" si="4258"/>
        <v/>
      </c>
      <c r="AW716" t="str">
        <f t="shared" si="4259"/>
        <v xml:space="preserve">                              </v>
      </c>
      <c r="AX716" s="23">
        <f t="shared" si="4260"/>
        <v>0</v>
      </c>
      <c r="AY716" s="49" t="str">
        <f t="shared" si="4236"/>
        <v>000000000000000</v>
      </c>
      <c r="AZ716" s="23">
        <f t="shared" si="4261"/>
        <v>0</v>
      </c>
      <c r="BA716" s="49" t="str">
        <f t="shared" si="4236"/>
        <v>000000000000000</v>
      </c>
      <c r="BB716" s="23">
        <f t="shared" si="4262"/>
        <v>0</v>
      </c>
      <c r="BC716" s="49" t="str">
        <f t="shared" ref="BC716" si="4660">IF(BB716&lt;0,SUBSTITUTE(TEXT(BB716,"000000000000,00"),",",""),SUBSTITUTE(TEXT(BB716,"0000000000000,00"),",",""))</f>
        <v>000000000000000</v>
      </c>
      <c r="BD716" s="23">
        <f t="shared" si="4264"/>
        <v>0</v>
      </c>
      <c r="BE716" s="49" t="str">
        <f t="shared" ref="BE716" si="4661">IF(BD716&lt;0,SUBSTITUTE(TEXT(BD716,"000000000000,00"),",",""),SUBSTITUTE(TEXT(BD716,"0000000000000,00"),",",""))</f>
        <v>000000000000000</v>
      </c>
      <c r="BF716" s="23">
        <f t="shared" si="4266"/>
        <v>0</v>
      </c>
      <c r="BG716" s="49" t="str">
        <f t="shared" ref="BG716" si="4662">IF(BF716&lt;0,SUBSTITUTE(TEXT(BF716,"000000000000,00"),",",""),SUBSTITUTE(TEXT(BF716,"0000000000000,00"),",",""))</f>
        <v>000000000000000</v>
      </c>
      <c r="BH716" s="23">
        <f t="shared" si="4268"/>
        <v>0</v>
      </c>
      <c r="BI716" s="49" t="str">
        <f t="shared" ref="BI716" si="4663">IF(BH716&lt;0,SUBSTITUTE(TEXT(BH716,"000000000000,00"),",",""),SUBSTITUTE(TEXT(BH716,"0000000000000,00"),",",""))</f>
        <v>000000000000000</v>
      </c>
      <c r="BJ716" s="23">
        <f t="shared" si="4270"/>
        <v>0</v>
      </c>
      <c r="BK716" s="49" t="str">
        <f t="shared" ref="BK716" si="4664">IF(BJ716&lt;0,SUBSTITUTE(TEXT(BJ716,"000000000000,00"),",",""),SUBSTITUTE(TEXT(BJ716,"0000000000000,00"),",",""))</f>
        <v>000000000000000</v>
      </c>
      <c r="BL716" s="23">
        <f t="shared" si="4272"/>
        <v>0</v>
      </c>
      <c r="BM716" s="49" t="str">
        <f t="shared" ref="BM716" si="4665">IF(BL716&lt;0,SUBSTITUTE(TEXT(BL716,"000000000000,00"),",",""),SUBSTITUTE(TEXT(BL716,"0000000000000,00"),",",""))</f>
        <v>000000000000000</v>
      </c>
      <c r="BN716" t="str">
        <f t="shared" si="4274"/>
        <v>PES</v>
      </c>
      <c r="BO716" t="str">
        <f t="shared" si="4275"/>
        <v>0001000000</v>
      </c>
      <c r="BP716">
        <f t="shared" si="4276"/>
        <v>0</v>
      </c>
      <c r="BQ716">
        <f t="shared" si="4277"/>
        <v>0</v>
      </c>
      <c r="BR716" s="23">
        <f t="shared" si="4278"/>
        <v>0</v>
      </c>
      <c r="BS716" s="49" t="str">
        <f t="shared" si="4243"/>
        <v>000000000000000</v>
      </c>
      <c r="BT716" t="str">
        <f t="shared" si="4279"/>
        <v>00000000</v>
      </c>
      <c r="BU716" s="23">
        <f t="shared" si="4280"/>
        <v>0</v>
      </c>
      <c r="BV716" s="49" t="str">
        <f t="shared" si="4244"/>
        <v/>
      </c>
      <c r="BW716" s="52" t="str">
        <f t="shared" si="4281"/>
        <v/>
      </c>
      <c r="BX716" s="23">
        <f t="shared" si="4282"/>
        <v>0</v>
      </c>
      <c r="BY716" s="49" t="str">
        <f t="shared" si="4245"/>
        <v/>
      </c>
      <c r="BZ716" s="23">
        <f t="shared" si="4283"/>
        <v>0</v>
      </c>
      <c r="CA716" s="49" t="str">
        <f t="shared" si="4246"/>
        <v/>
      </c>
      <c r="CB716" s="52" t="str">
        <f t="shared" si="4284"/>
        <v/>
      </c>
      <c r="CC716" s="23">
        <f t="shared" si="4285"/>
        <v>0</v>
      </c>
      <c r="CD716" s="49" t="str">
        <f t="shared" si="4247"/>
        <v/>
      </c>
      <c r="CE716" s="56" t="str">
        <f>IF(CF716="","",MAX(CE$10:$CE715)+1)</f>
        <v/>
      </c>
      <c r="CF716" t="str">
        <f t="shared" si="4286"/>
        <v/>
      </c>
      <c r="CG716" s="22" t="str">
        <f>IF(CH716="","",MAX($CG$10:CG715)+1)</f>
        <v/>
      </c>
      <c r="CH716" s="22" t="str">
        <f t="shared" ref="CH716:CH779" si="4666">IF(BV716="","",AQ716&amp;AR716&amp;AS716&amp;BV716&amp;BW716&amp;BY716)</f>
        <v/>
      </c>
      <c r="CI716" s="22" t="str">
        <f>IF(CJ716="","",MAX($CI$10:CI715)+1)</f>
        <v/>
      </c>
      <c r="CJ716" s="22" t="str">
        <f t="shared" ref="CJ716:CJ779" si="4667">IF(CA716="","",AQ716&amp;AR716&amp;AS716&amp;CA716&amp;CB716&amp;CD716)</f>
        <v/>
      </c>
    </row>
    <row r="717" spans="2:88" x14ac:dyDescent="0.25">
      <c r="B717" s="37"/>
      <c r="C717" s="3"/>
      <c r="D717" s="77" t="str">
        <f t="shared" si="4653"/>
        <v/>
      </c>
      <c r="E717" s="38"/>
      <c r="F717" s="38"/>
      <c r="G717" s="78">
        <f t="shared" ref="G717:G780" si="4668">+F717</f>
        <v>0</v>
      </c>
      <c r="H717" s="3">
        <v>80</v>
      </c>
      <c r="I717" s="77" t="str">
        <f t="shared" si="4654"/>
        <v/>
      </c>
      <c r="J717" s="32"/>
      <c r="K717" s="3"/>
      <c r="L717" s="39"/>
      <c r="M717" s="39"/>
      <c r="N717" s="39"/>
      <c r="O717" s="39"/>
      <c r="P717" s="39"/>
      <c r="Q717" s="39"/>
      <c r="R717" s="39"/>
      <c r="S717" s="39"/>
      <c r="T717" s="3" t="s">
        <v>645</v>
      </c>
      <c r="U717" s="77" t="str">
        <f t="shared" si="4655"/>
        <v/>
      </c>
      <c r="V717" s="39">
        <v>1</v>
      </c>
      <c r="W717" s="79">
        <f t="shared" ref="W717:W780" si="4669">IF(AD717="",0,1)+IF(OR(AH717=""),0,1)</f>
        <v>0</v>
      </c>
      <c r="X717" s="3">
        <v>0</v>
      </c>
      <c r="Y717" s="77" t="str">
        <f t="shared" si="4656"/>
        <v/>
      </c>
      <c r="Z717" s="3"/>
      <c r="AA717" s="37" t="str">
        <f t="shared" ref="AA717:AA780" si="4670">IF(OR(B717="",C717=82),"",B717)</f>
        <v/>
      </c>
      <c r="AC717" s="40"/>
      <c r="AD717" s="7"/>
      <c r="AE717" s="77" t="str">
        <f t="shared" si="4657"/>
        <v/>
      </c>
      <c r="AF717" s="81">
        <f t="shared" si="4248"/>
        <v>0</v>
      </c>
      <c r="AG717" s="40"/>
      <c r="AH717" s="7"/>
      <c r="AI717" s="77" t="str">
        <f t="shared" si="4658"/>
        <v/>
      </c>
      <c r="AJ717" s="81">
        <f t="shared" si="4249"/>
        <v>0</v>
      </c>
      <c r="AK717" s="83">
        <f t="shared" si="4250"/>
        <v>0</v>
      </c>
      <c r="AL717" s="83">
        <f t="shared" si="4251"/>
        <v>0</v>
      </c>
      <c r="AN717" s="43">
        <f t="shared" si="4659"/>
        <v>0</v>
      </c>
      <c r="AP717" t="str">
        <f t="shared" si="4252"/>
        <v/>
      </c>
      <c r="AQ717" t="str">
        <f t="shared" si="4253"/>
        <v/>
      </c>
      <c r="AR717" t="str">
        <f t="shared" si="4254"/>
        <v/>
      </c>
      <c r="AS717" t="str">
        <f t="shared" si="4255"/>
        <v/>
      </c>
      <c r="AT717" t="str">
        <f t="shared" si="4256"/>
        <v/>
      </c>
      <c r="AU717" t="str">
        <f t="shared" si="4257"/>
        <v/>
      </c>
      <c r="AV717" t="str">
        <f t="shared" si="4258"/>
        <v/>
      </c>
      <c r="AW717" t="str">
        <f t="shared" si="4259"/>
        <v xml:space="preserve">                              </v>
      </c>
      <c r="AX717" s="23">
        <f t="shared" si="4260"/>
        <v>0</v>
      </c>
      <c r="AY717" s="49" t="str">
        <f t="shared" ref="AY717:BA780" si="4671">IF(AX717&lt;0,SUBSTITUTE(TEXT(AX717,"000000000000,00"),",",""),SUBSTITUTE(TEXT(AX717,"0000000000000,00"),",",""))</f>
        <v>000000000000000</v>
      </c>
      <c r="AZ717" s="23">
        <f t="shared" si="4261"/>
        <v>0</v>
      </c>
      <c r="BA717" s="49" t="str">
        <f t="shared" si="4671"/>
        <v>000000000000000</v>
      </c>
      <c r="BB717" s="23">
        <f t="shared" si="4262"/>
        <v>0</v>
      </c>
      <c r="BC717" s="49" t="str">
        <f t="shared" ref="BC717" si="4672">IF(BB717&lt;0,SUBSTITUTE(TEXT(BB717,"000000000000,00"),",",""),SUBSTITUTE(TEXT(BB717,"0000000000000,00"),",",""))</f>
        <v>000000000000000</v>
      </c>
      <c r="BD717" s="23">
        <f t="shared" si="4264"/>
        <v>0</v>
      </c>
      <c r="BE717" s="49" t="str">
        <f t="shared" ref="BE717" si="4673">IF(BD717&lt;0,SUBSTITUTE(TEXT(BD717,"000000000000,00"),",",""),SUBSTITUTE(TEXT(BD717,"0000000000000,00"),",",""))</f>
        <v>000000000000000</v>
      </c>
      <c r="BF717" s="23">
        <f t="shared" si="4266"/>
        <v>0</v>
      </c>
      <c r="BG717" s="49" t="str">
        <f t="shared" ref="BG717" si="4674">IF(BF717&lt;0,SUBSTITUTE(TEXT(BF717,"000000000000,00"),",",""),SUBSTITUTE(TEXT(BF717,"0000000000000,00"),",",""))</f>
        <v>000000000000000</v>
      </c>
      <c r="BH717" s="23">
        <f t="shared" si="4268"/>
        <v>0</v>
      </c>
      <c r="BI717" s="49" t="str">
        <f t="shared" ref="BI717" si="4675">IF(BH717&lt;0,SUBSTITUTE(TEXT(BH717,"000000000000,00"),",",""),SUBSTITUTE(TEXT(BH717,"0000000000000,00"),",",""))</f>
        <v>000000000000000</v>
      </c>
      <c r="BJ717" s="23">
        <f t="shared" si="4270"/>
        <v>0</v>
      </c>
      <c r="BK717" s="49" t="str">
        <f t="shared" ref="BK717" si="4676">IF(BJ717&lt;0,SUBSTITUTE(TEXT(BJ717,"000000000000,00"),",",""),SUBSTITUTE(TEXT(BJ717,"0000000000000,00"),",",""))</f>
        <v>000000000000000</v>
      </c>
      <c r="BL717" s="23">
        <f t="shared" si="4272"/>
        <v>0</v>
      </c>
      <c r="BM717" s="49" t="str">
        <f t="shared" ref="BM717" si="4677">IF(BL717&lt;0,SUBSTITUTE(TEXT(BL717,"000000000000,00"),",",""),SUBSTITUTE(TEXT(BL717,"0000000000000,00"),",",""))</f>
        <v>000000000000000</v>
      </c>
      <c r="BN717" t="str">
        <f t="shared" si="4274"/>
        <v>PES</v>
      </c>
      <c r="BO717" t="str">
        <f t="shared" si="4275"/>
        <v>0001000000</v>
      </c>
      <c r="BP717">
        <f t="shared" si="4276"/>
        <v>0</v>
      </c>
      <c r="BQ717">
        <f t="shared" si="4277"/>
        <v>0</v>
      </c>
      <c r="BR717" s="23">
        <f t="shared" si="4278"/>
        <v>0</v>
      </c>
      <c r="BS717" s="49" t="str">
        <f t="shared" ref="BS717:BS780" si="4678">IF(BR717&lt;0,SUBSTITUTE(TEXT(BR717,"000000000000,00"),",",""),SUBSTITUTE(TEXT(BR717,"0000000000000,00"),",",""))</f>
        <v>000000000000000</v>
      </c>
      <c r="BT717" t="str">
        <f t="shared" si="4279"/>
        <v>00000000</v>
      </c>
      <c r="BU717" s="23">
        <f t="shared" si="4280"/>
        <v>0</v>
      </c>
      <c r="BV717" s="49" t="str">
        <f t="shared" ref="BV717:BV780" si="4679">IF(BW717="","",IF(BU717&lt;0,SUBSTITUTE(TEXT(BU717,"000000000000,00"),",",""),SUBSTITUTE(TEXT(BU717,"0000000000000,00"),",","")))</f>
        <v/>
      </c>
      <c r="BW717" s="52" t="str">
        <f t="shared" si="4281"/>
        <v/>
      </c>
      <c r="BX717" s="23">
        <f t="shared" si="4282"/>
        <v>0</v>
      </c>
      <c r="BY717" s="49" t="str">
        <f t="shared" ref="BY717:BY780" si="4680">IF(BW717="","",IF(BX717&lt;0,SUBSTITUTE(TEXT(BX717,"000000000000,00"),",",""),SUBSTITUTE(TEXT(BX717,"0000000000000,00"),",","")))</f>
        <v/>
      </c>
      <c r="BZ717" s="23">
        <f t="shared" si="4283"/>
        <v>0</v>
      </c>
      <c r="CA717" s="49" t="str">
        <f t="shared" ref="CA717:CA780" si="4681">IF(CB717="","",IF(BZ717&lt;0,SUBSTITUTE(TEXT(BZ717,"000000000000,00"),",",""),SUBSTITUTE(TEXT(BZ717,"0000000000000,00"),",","")))</f>
        <v/>
      </c>
      <c r="CB717" s="52" t="str">
        <f t="shared" si="4284"/>
        <v/>
      </c>
      <c r="CC717" s="23">
        <f t="shared" si="4285"/>
        <v>0</v>
      </c>
      <c r="CD717" s="49" t="str">
        <f t="shared" ref="CD717:CD780" si="4682">IF(CB717="","",IF(CC717&lt;0,SUBSTITUTE(TEXT(CC717,"000000000000,00"),",",""),SUBSTITUTE(TEXT(CC717,"0000000000000,00"),",","")))</f>
        <v/>
      </c>
      <c r="CE717" s="56" t="str">
        <f>IF(CF717="","",MAX(CE$10:$CE716)+1)</f>
        <v/>
      </c>
      <c r="CF717" t="str">
        <f t="shared" si="4286"/>
        <v/>
      </c>
      <c r="CG717" s="22" t="str">
        <f>IF(CH717="","",MAX($CG$10:CG716)+1)</f>
        <v/>
      </c>
      <c r="CH717" s="22" t="str">
        <f t="shared" si="4666"/>
        <v/>
      </c>
      <c r="CI717" s="22" t="str">
        <f>IF(CJ717="","",MAX($CI$10:CI716)+1)</f>
        <v/>
      </c>
      <c r="CJ717" s="22" t="str">
        <f t="shared" si="4667"/>
        <v/>
      </c>
    </row>
    <row r="718" spans="2:88" x14ac:dyDescent="0.25">
      <c r="B718" s="37"/>
      <c r="C718" s="3"/>
      <c r="D718" s="77" t="str">
        <f t="shared" si="4653"/>
        <v/>
      </c>
      <c r="E718" s="38"/>
      <c r="F718" s="38"/>
      <c r="G718" s="78">
        <f t="shared" si="4668"/>
        <v>0</v>
      </c>
      <c r="H718" s="3">
        <v>80</v>
      </c>
      <c r="I718" s="77" t="str">
        <f t="shared" si="4654"/>
        <v/>
      </c>
      <c r="J718" s="32"/>
      <c r="K718" s="3"/>
      <c r="L718" s="39"/>
      <c r="M718" s="39"/>
      <c r="N718" s="39"/>
      <c r="O718" s="39"/>
      <c r="P718" s="39"/>
      <c r="Q718" s="39"/>
      <c r="R718" s="39"/>
      <c r="S718" s="39"/>
      <c r="T718" s="3" t="s">
        <v>645</v>
      </c>
      <c r="U718" s="77" t="str">
        <f t="shared" si="4655"/>
        <v/>
      </c>
      <c r="V718" s="39">
        <v>1</v>
      </c>
      <c r="W718" s="79">
        <f t="shared" si="4669"/>
        <v>0</v>
      </c>
      <c r="X718" s="3">
        <v>0</v>
      </c>
      <c r="Y718" s="77" t="str">
        <f t="shared" si="4656"/>
        <v/>
      </c>
      <c r="Z718" s="3"/>
      <c r="AA718" s="37" t="str">
        <f t="shared" si="4670"/>
        <v/>
      </c>
      <c r="AC718" s="40"/>
      <c r="AD718" s="7"/>
      <c r="AE718" s="77" t="str">
        <f t="shared" si="4657"/>
        <v/>
      </c>
      <c r="AF718" s="81">
        <f t="shared" ref="AF718:AF781" si="4683">ROUND(AC718*AD718/100,2)</f>
        <v>0</v>
      </c>
      <c r="AG718" s="40"/>
      <c r="AH718" s="7"/>
      <c r="AI718" s="77" t="str">
        <f t="shared" si="4658"/>
        <v/>
      </c>
      <c r="AJ718" s="81">
        <f t="shared" ref="AJ718:AJ781" si="4684">ROUND(AG718*AH718/100,2)</f>
        <v>0</v>
      </c>
      <c r="AK718" s="83">
        <f t="shared" ref="AK718:AK781" si="4685">+AC718+AG718</f>
        <v>0</v>
      </c>
      <c r="AL718" s="83">
        <f t="shared" ref="AL718:AL781" si="4686">+AF718+AJ718</f>
        <v>0</v>
      </c>
      <c r="AN718" s="43">
        <f t="shared" si="4659"/>
        <v>0</v>
      </c>
      <c r="AP718" t="str">
        <f t="shared" ref="AP718:AP781" si="4687">IF(B718="","",TEXT(B718,$AP$8))</f>
        <v/>
      </c>
      <c r="AQ718" t="str">
        <f t="shared" ref="AQ718:AQ781" si="4688">IF(B718="","",IF(C718="","",TEXT(C718,"000")))</f>
        <v/>
      </c>
      <c r="AR718" t="str">
        <f t="shared" ref="AR718:AR781" si="4689">IF(B718="","",IF(E718="","00000",TEXT(RIGHT(E718,5),"00000")))</f>
        <v/>
      </c>
      <c r="AS718" t="str">
        <f t="shared" ref="AS718:AS781" si="4690">IF(B718="","",IF(F718="","00000000000000000000",TEXT(RIGHT(F718,20),"00000000000000000000")))</f>
        <v/>
      </c>
      <c r="AT718" t="str">
        <f t="shared" ref="AT718:AT781" si="4691">IF(B718="","",IF(G718="","00000000000000000000",TEXT(RIGHT(G718,20),"00000000000000000000")))</f>
        <v/>
      </c>
      <c r="AU718" t="str">
        <f t="shared" ref="AU718:AU781" si="4692">IF(B718="","",IF(C718="","",TEXT(RIGHT(H718,4),"00")))</f>
        <v/>
      </c>
      <c r="AV718" t="str">
        <f t="shared" ref="AV718:AV781" si="4693">IF(B718="","",TEXT(SUBSTITUTE(J718,"-",""),"00000000000000000000"))</f>
        <v/>
      </c>
      <c r="AW718" t="str">
        <f t="shared" ref="AW718:AW781" si="4694">IF(LEN(K718)&gt;30,LEFT(K718,30),K718&amp;REPT(" ",30-LEN(K718)))</f>
        <v xml:space="preserve">                              </v>
      </c>
      <c r="AX718" s="23">
        <f t="shared" ref="AX718:AX781" si="4695">IF(TRIM(L718)="",0,TRUNC(L718,2))</f>
        <v>0</v>
      </c>
      <c r="AY718" s="49" t="str">
        <f t="shared" si="4671"/>
        <v>000000000000000</v>
      </c>
      <c r="AZ718" s="23">
        <f t="shared" ref="AZ718:AZ781" si="4696">IF(TRIM(M718)="",0,TRUNC(M718,2))</f>
        <v>0</v>
      </c>
      <c r="BA718" s="49" t="str">
        <f t="shared" si="4671"/>
        <v>000000000000000</v>
      </c>
      <c r="BB718" s="23">
        <f t="shared" ref="BB718:BB781" si="4697">IF(TRIM(N718)="",0,TRUNC(N718,2))</f>
        <v>0</v>
      </c>
      <c r="BC718" s="49" t="str">
        <f t="shared" ref="BC718" si="4698">IF(BB718&lt;0,SUBSTITUTE(TEXT(BB718,"000000000000,00"),",",""),SUBSTITUTE(TEXT(BB718,"0000000000000,00"),",",""))</f>
        <v>000000000000000</v>
      </c>
      <c r="BD718" s="23">
        <f t="shared" ref="BD718:BD781" si="4699">IF(TRIM(O718)="",0,TRUNC(O718,2))</f>
        <v>0</v>
      </c>
      <c r="BE718" s="49" t="str">
        <f t="shared" ref="BE718" si="4700">IF(BD718&lt;0,SUBSTITUTE(TEXT(BD718,"000000000000,00"),",",""),SUBSTITUTE(TEXT(BD718,"0000000000000,00"),",",""))</f>
        <v>000000000000000</v>
      </c>
      <c r="BF718" s="23">
        <f t="shared" ref="BF718:BF781" si="4701">IF(TRIM(P718)="",0,TRUNC(P718,2))</f>
        <v>0</v>
      </c>
      <c r="BG718" s="49" t="str">
        <f t="shared" ref="BG718" si="4702">IF(BF718&lt;0,SUBSTITUTE(TEXT(BF718,"000000000000,00"),",",""),SUBSTITUTE(TEXT(BF718,"0000000000000,00"),",",""))</f>
        <v>000000000000000</v>
      </c>
      <c r="BH718" s="23">
        <f t="shared" ref="BH718:BH781" si="4703">IF(TRIM(Q718)="",0,TRUNC(Q718,2))</f>
        <v>0</v>
      </c>
      <c r="BI718" s="49" t="str">
        <f t="shared" ref="BI718" si="4704">IF(BH718&lt;0,SUBSTITUTE(TEXT(BH718,"000000000000,00"),",",""),SUBSTITUTE(TEXT(BH718,"0000000000000,00"),",",""))</f>
        <v>000000000000000</v>
      </c>
      <c r="BJ718" s="23">
        <f t="shared" ref="BJ718:BJ781" si="4705">IF(TRIM(R718)="",0,TRUNC(R718,2))</f>
        <v>0</v>
      </c>
      <c r="BK718" s="49" t="str">
        <f t="shared" ref="BK718" si="4706">IF(BJ718&lt;0,SUBSTITUTE(TEXT(BJ718,"000000000000,00"),",",""),SUBSTITUTE(TEXT(BJ718,"0000000000000,00"),",",""))</f>
        <v>000000000000000</v>
      </c>
      <c r="BL718" s="23">
        <f t="shared" ref="BL718:BL781" si="4707">IF(TRIM(S718)="",0,TRUNC(S718,2))</f>
        <v>0</v>
      </c>
      <c r="BM718" s="49" t="str">
        <f t="shared" ref="BM718" si="4708">IF(BL718&lt;0,SUBSTITUTE(TEXT(BL718,"000000000000,00"),",",""),SUBSTITUTE(TEXT(BL718,"0000000000000,00"),",",""))</f>
        <v>000000000000000</v>
      </c>
      <c r="BN718" t="str">
        <f t="shared" ref="BN718:BN781" si="4709">TEXT(T718,"000")</f>
        <v>PES</v>
      </c>
      <c r="BO718" t="str">
        <f t="shared" ref="BO718:BO781" si="4710">IF(V718&lt;0,SUBSTITUTE(TEXT(V718,"000,000000"),",",""),SUBSTITUTE(TEXT(V718,"0000,000000"),",",""))</f>
        <v>0001000000</v>
      </c>
      <c r="BP718">
        <f t="shared" ref="BP718:BP781" si="4711">W718</f>
        <v>0</v>
      </c>
      <c r="BQ718">
        <f t="shared" ref="BQ718:BQ781" si="4712">X718</f>
        <v>0</v>
      </c>
      <c r="BR718" s="23">
        <f t="shared" ref="BR718:BR781" si="4713">IF(TRIM(Z718)="",0,TRUNC(Z718,2))</f>
        <v>0</v>
      </c>
      <c r="BS718" s="49" t="str">
        <f t="shared" si="4678"/>
        <v>000000000000000</v>
      </c>
      <c r="BT718" t="str">
        <f t="shared" ref="BT718:BT781" si="4714">IF(AA718="","00000000",TEXT(AA718,$AP$8))</f>
        <v>00000000</v>
      </c>
      <c r="BU718" s="23">
        <f t="shared" ref="BU718:BU781" si="4715">IF(TRIM(AC718)="",0,TRUNC(AC718,2))</f>
        <v>0</v>
      </c>
      <c r="BV718" s="49" t="str">
        <f t="shared" si="4679"/>
        <v/>
      </c>
      <c r="BW718" s="52" t="str">
        <f t="shared" ref="BW718:BW781" si="4716">IF(AE718="","",TEXT(AE718,"0000"))</f>
        <v/>
      </c>
      <c r="BX718" s="23">
        <f t="shared" ref="BX718:BX781" si="4717">IF(TRIM(AF718)="",0,TRUNC(AF718,2))</f>
        <v>0</v>
      </c>
      <c r="BY718" s="49" t="str">
        <f t="shared" si="4680"/>
        <v/>
      </c>
      <c r="BZ718" s="23">
        <f t="shared" ref="BZ718:BZ781" si="4718">IF(TRIM(AG718)="",0,TRUNC(AG718,2))</f>
        <v>0</v>
      </c>
      <c r="CA718" s="49" t="str">
        <f t="shared" si="4681"/>
        <v/>
      </c>
      <c r="CB718" s="52" t="str">
        <f t="shared" ref="CB718:CB781" si="4719">IF(AI718="","",TEXT(AI718,"0000"))</f>
        <v/>
      </c>
      <c r="CC718" s="23">
        <f t="shared" ref="CC718:CC781" si="4720">IF(TRIM(AJ718)="",0,TRUNC(AJ718,2))</f>
        <v>0</v>
      </c>
      <c r="CD718" s="49" t="str">
        <f t="shared" si="4682"/>
        <v/>
      </c>
      <c r="CE718" s="56" t="str">
        <f>IF(CF718="","",MAX(CE$10:$CE717)+1)</f>
        <v/>
      </c>
      <c r="CF718" t="str">
        <f t="shared" ref="CF718:CF781" si="4721">IF(B718="","",AP718&amp;AQ718&amp;AR718&amp;AS718&amp;AT718&amp;AU718&amp;AV718&amp;AW718&amp;AY718&amp;BA718&amp;BC718&amp;BE718&amp;BG718&amp;BI718&amp;BK718&amp;BM718&amp;BN718&amp;BO718&amp;BP718&amp;BQ718&amp;BS718&amp;BT718)</f>
        <v/>
      </c>
      <c r="CG718" s="22" t="str">
        <f>IF(CH718="","",MAX($CG$10:CG717)+1)</f>
        <v/>
      </c>
      <c r="CH718" s="22" t="str">
        <f t="shared" si="4666"/>
        <v/>
      </c>
      <c r="CI718" s="22" t="str">
        <f>IF(CJ718="","",MAX($CI$10:CI717)+1)</f>
        <v/>
      </c>
      <c r="CJ718" s="22" t="str">
        <f t="shared" si="4667"/>
        <v/>
      </c>
    </row>
    <row r="719" spans="2:88" x14ac:dyDescent="0.25">
      <c r="B719" s="37"/>
      <c r="C719" s="3"/>
      <c r="D719" s="77" t="str">
        <f t="shared" si="4653"/>
        <v/>
      </c>
      <c r="E719" s="38"/>
      <c r="F719" s="38"/>
      <c r="G719" s="78">
        <f t="shared" si="4668"/>
        <v>0</v>
      </c>
      <c r="H719" s="3">
        <v>80</v>
      </c>
      <c r="I719" s="77" t="str">
        <f t="shared" si="4654"/>
        <v/>
      </c>
      <c r="J719" s="32"/>
      <c r="K719" s="3"/>
      <c r="L719" s="39"/>
      <c r="M719" s="39"/>
      <c r="N719" s="39"/>
      <c r="O719" s="39"/>
      <c r="P719" s="39"/>
      <c r="Q719" s="39"/>
      <c r="R719" s="39"/>
      <c r="S719" s="39"/>
      <c r="T719" s="3" t="s">
        <v>645</v>
      </c>
      <c r="U719" s="77" t="str">
        <f t="shared" si="4655"/>
        <v/>
      </c>
      <c r="V719" s="39">
        <v>1</v>
      </c>
      <c r="W719" s="79">
        <f t="shared" si="4669"/>
        <v>0</v>
      </c>
      <c r="X719" s="3">
        <v>0</v>
      </c>
      <c r="Y719" s="77" t="str">
        <f t="shared" si="4656"/>
        <v/>
      </c>
      <c r="Z719" s="3"/>
      <c r="AA719" s="37" t="str">
        <f t="shared" si="4670"/>
        <v/>
      </c>
      <c r="AC719" s="40"/>
      <c r="AD719" s="7"/>
      <c r="AE719" s="77" t="str">
        <f t="shared" si="4657"/>
        <v/>
      </c>
      <c r="AF719" s="81">
        <f t="shared" si="4683"/>
        <v>0</v>
      </c>
      <c r="AG719" s="40"/>
      <c r="AH719" s="7"/>
      <c r="AI719" s="77" t="str">
        <f t="shared" si="4658"/>
        <v/>
      </c>
      <c r="AJ719" s="81">
        <f t="shared" si="4684"/>
        <v>0</v>
      </c>
      <c r="AK719" s="83">
        <f t="shared" si="4685"/>
        <v>0</v>
      </c>
      <c r="AL719" s="83">
        <f t="shared" si="4686"/>
        <v>0</v>
      </c>
      <c r="AN719" s="43">
        <f t="shared" si="4659"/>
        <v>0</v>
      </c>
      <c r="AP719" t="str">
        <f t="shared" si="4687"/>
        <v/>
      </c>
      <c r="AQ719" t="str">
        <f t="shared" si="4688"/>
        <v/>
      </c>
      <c r="AR719" t="str">
        <f t="shared" si="4689"/>
        <v/>
      </c>
      <c r="AS719" t="str">
        <f t="shared" si="4690"/>
        <v/>
      </c>
      <c r="AT719" t="str">
        <f t="shared" si="4691"/>
        <v/>
      </c>
      <c r="AU719" t="str">
        <f t="shared" si="4692"/>
        <v/>
      </c>
      <c r="AV719" t="str">
        <f t="shared" si="4693"/>
        <v/>
      </c>
      <c r="AW719" t="str">
        <f t="shared" si="4694"/>
        <v xml:space="preserve">                              </v>
      </c>
      <c r="AX719" s="23">
        <f t="shared" si="4695"/>
        <v>0</v>
      </c>
      <c r="AY719" s="49" t="str">
        <f t="shared" si="4671"/>
        <v>000000000000000</v>
      </c>
      <c r="AZ719" s="23">
        <f t="shared" si="4696"/>
        <v>0</v>
      </c>
      <c r="BA719" s="49" t="str">
        <f t="shared" si="4671"/>
        <v>000000000000000</v>
      </c>
      <c r="BB719" s="23">
        <f t="shared" si="4697"/>
        <v>0</v>
      </c>
      <c r="BC719" s="49" t="str">
        <f t="shared" ref="BC719" si="4722">IF(BB719&lt;0,SUBSTITUTE(TEXT(BB719,"000000000000,00"),",",""),SUBSTITUTE(TEXT(BB719,"0000000000000,00"),",",""))</f>
        <v>000000000000000</v>
      </c>
      <c r="BD719" s="23">
        <f t="shared" si="4699"/>
        <v>0</v>
      </c>
      <c r="BE719" s="49" t="str">
        <f t="shared" ref="BE719" si="4723">IF(BD719&lt;0,SUBSTITUTE(TEXT(BD719,"000000000000,00"),",",""),SUBSTITUTE(TEXT(BD719,"0000000000000,00"),",",""))</f>
        <v>000000000000000</v>
      </c>
      <c r="BF719" s="23">
        <f t="shared" si="4701"/>
        <v>0</v>
      </c>
      <c r="BG719" s="49" t="str">
        <f t="shared" ref="BG719" si="4724">IF(BF719&lt;0,SUBSTITUTE(TEXT(BF719,"000000000000,00"),",",""),SUBSTITUTE(TEXT(BF719,"0000000000000,00"),",",""))</f>
        <v>000000000000000</v>
      </c>
      <c r="BH719" s="23">
        <f t="shared" si="4703"/>
        <v>0</v>
      </c>
      <c r="BI719" s="49" t="str">
        <f t="shared" ref="BI719" si="4725">IF(BH719&lt;0,SUBSTITUTE(TEXT(BH719,"000000000000,00"),",",""),SUBSTITUTE(TEXT(BH719,"0000000000000,00"),",",""))</f>
        <v>000000000000000</v>
      </c>
      <c r="BJ719" s="23">
        <f t="shared" si="4705"/>
        <v>0</v>
      </c>
      <c r="BK719" s="49" t="str">
        <f t="shared" ref="BK719" si="4726">IF(BJ719&lt;0,SUBSTITUTE(TEXT(BJ719,"000000000000,00"),",",""),SUBSTITUTE(TEXT(BJ719,"0000000000000,00"),",",""))</f>
        <v>000000000000000</v>
      </c>
      <c r="BL719" s="23">
        <f t="shared" si="4707"/>
        <v>0</v>
      </c>
      <c r="BM719" s="49" t="str">
        <f t="shared" ref="BM719" si="4727">IF(BL719&lt;0,SUBSTITUTE(TEXT(BL719,"000000000000,00"),",",""),SUBSTITUTE(TEXT(BL719,"0000000000000,00"),",",""))</f>
        <v>000000000000000</v>
      </c>
      <c r="BN719" t="str">
        <f t="shared" si="4709"/>
        <v>PES</v>
      </c>
      <c r="BO719" t="str">
        <f t="shared" si="4710"/>
        <v>0001000000</v>
      </c>
      <c r="BP719">
        <f t="shared" si="4711"/>
        <v>0</v>
      </c>
      <c r="BQ719">
        <f t="shared" si="4712"/>
        <v>0</v>
      </c>
      <c r="BR719" s="23">
        <f t="shared" si="4713"/>
        <v>0</v>
      </c>
      <c r="BS719" s="49" t="str">
        <f t="shared" si="4678"/>
        <v>000000000000000</v>
      </c>
      <c r="BT719" t="str">
        <f t="shared" si="4714"/>
        <v>00000000</v>
      </c>
      <c r="BU719" s="23">
        <f t="shared" si="4715"/>
        <v>0</v>
      </c>
      <c r="BV719" s="49" t="str">
        <f t="shared" si="4679"/>
        <v/>
      </c>
      <c r="BW719" s="52" t="str">
        <f t="shared" si="4716"/>
        <v/>
      </c>
      <c r="BX719" s="23">
        <f t="shared" si="4717"/>
        <v>0</v>
      </c>
      <c r="BY719" s="49" t="str">
        <f t="shared" si="4680"/>
        <v/>
      </c>
      <c r="BZ719" s="23">
        <f t="shared" si="4718"/>
        <v>0</v>
      </c>
      <c r="CA719" s="49" t="str">
        <f t="shared" si="4681"/>
        <v/>
      </c>
      <c r="CB719" s="52" t="str">
        <f t="shared" si="4719"/>
        <v/>
      </c>
      <c r="CC719" s="23">
        <f t="shared" si="4720"/>
        <v>0</v>
      </c>
      <c r="CD719" s="49" t="str">
        <f t="shared" si="4682"/>
        <v/>
      </c>
      <c r="CE719" s="56" t="str">
        <f>IF(CF719="","",MAX(CE$10:$CE718)+1)</f>
        <v/>
      </c>
      <c r="CF719" t="str">
        <f t="shared" si="4721"/>
        <v/>
      </c>
      <c r="CG719" s="22" t="str">
        <f>IF(CH719="","",MAX($CG$10:CG718)+1)</f>
        <v/>
      </c>
      <c r="CH719" s="22" t="str">
        <f t="shared" si="4666"/>
        <v/>
      </c>
      <c r="CI719" s="22" t="str">
        <f>IF(CJ719="","",MAX($CI$10:CI718)+1)</f>
        <v/>
      </c>
      <c r="CJ719" s="22" t="str">
        <f t="shared" si="4667"/>
        <v/>
      </c>
    </row>
    <row r="720" spans="2:88" x14ac:dyDescent="0.25">
      <c r="B720" s="37"/>
      <c r="C720" s="3"/>
      <c r="D720" s="77" t="str">
        <f t="shared" si="4653"/>
        <v/>
      </c>
      <c r="E720" s="38"/>
      <c r="F720" s="38"/>
      <c r="G720" s="78">
        <f t="shared" si="4668"/>
        <v>0</v>
      </c>
      <c r="H720" s="3">
        <v>80</v>
      </c>
      <c r="I720" s="77" t="str">
        <f t="shared" si="4654"/>
        <v/>
      </c>
      <c r="J720" s="32"/>
      <c r="K720" s="3"/>
      <c r="L720" s="39"/>
      <c r="M720" s="39"/>
      <c r="N720" s="39"/>
      <c r="O720" s="39"/>
      <c r="P720" s="39"/>
      <c r="Q720" s="39"/>
      <c r="R720" s="39"/>
      <c r="S720" s="39"/>
      <c r="T720" s="3" t="s">
        <v>645</v>
      </c>
      <c r="U720" s="77" t="str">
        <f t="shared" si="4655"/>
        <v/>
      </c>
      <c r="V720" s="39">
        <v>1</v>
      </c>
      <c r="W720" s="79">
        <f t="shared" si="4669"/>
        <v>0</v>
      </c>
      <c r="X720" s="3">
        <v>0</v>
      </c>
      <c r="Y720" s="77" t="str">
        <f t="shared" si="4656"/>
        <v/>
      </c>
      <c r="Z720" s="3"/>
      <c r="AA720" s="37" t="str">
        <f t="shared" si="4670"/>
        <v/>
      </c>
      <c r="AC720" s="40"/>
      <c r="AD720" s="7"/>
      <c r="AE720" s="77" t="str">
        <f t="shared" si="4657"/>
        <v/>
      </c>
      <c r="AF720" s="81">
        <f t="shared" si="4683"/>
        <v>0</v>
      </c>
      <c r="AG720" s="40"/>
      <c r="AH720" s="7"/>
      <c r="AI720" s="77" t="str">
        <f t="shared" si="4658"/>
        <v/>
      </c>
      <c r="AJ720" s="81">
        <f t="shared" si="4684"/>
        <v>0</v>
      </c>
      <c r="AK720" s="83">
        <f t="shared" si="4685"/>
        <v>0</v>
      </c>
      <c r="AL720" s="83">
        <f t="shared" si="4686"/>
        <v>0</v>
      </c>
      <c r="AN720" s="43">
        <f t="shared" si="4659"/>
        <v>0</v>
      </c>
      <c r="AP720" t="str">
        <f t="shared" si="4687"/>
        <v/>
      </c>
      <c r="AQ720" t="str">
        <f t="shared" si="4688"/>
        <v/>
      </c>
      <c r="AR720" t="str">
        <f t="shared" si="4689"/>
        <v/>
      </c>
      <c r="AS720" t="str">
        <f t="shared" si="4690"/>
        <v/>
      </c>
      <c r="AT720" t="str">
        <f t="shared" si="4691"/>
        <v/>
      </c>
      <c r="AU720" t="str">
        <f t="shared" si="4692"/>
        <v/>
      </c>
      <c r="AV720" t="str">
        <f t="shared" si="4693"/>
        <v/>
      </c>
      <c r="AW720" t="str">
        <f t="shared" si="4694"/>
        <v xml:space="preserve">                              </v>
      </c>
      <c r="AX720" s="23">
        <f t="shared" si="4695"/>
        <v>0</v>
      </c>
      <c r="AY720" s="49" t="str">
        <f t="shared" si="4671"/>
        <v>000000000000000</v>
      </c>
      <c r="AZ720" s="23">
        <f t="shared" si="4696"/>
        <v>0</v>
      </c>
      <c r="BA720" s="49" t="str">
        <f t="shared" si="4671"/>
        <v>000000000000000</v>
      </c>
      <c r="BB720" s="23">
        <f t="shared" si="4697"/>
        <v>0</v>
      </c>
      <c r="BC720" s="49" t="str">
        <f t="shared" ref="BC720" si="4728">IF(BB720&lt;0,SUBSTITUTE(TEXT(BB720,"000000000000,00"),",",""),SUBSTITUTE(TEXT(BB720,"0000000000000,00"),",",""))</f>
        <v>000000000000000</v>
      </c>
      <c r="BD720" s="23">
        <f t="shared" si="4699"/>
        <v>0</v>
      </c>
      <c r="BE720" s="49" t="str">
        <f t="shared" ref="BE720" si="4729">IF(BD720&lt;0,SUBSTITUTE(TEXT(BD720,"000000000000,00"),",",""),SUBSTITUTE(TEXT(BD720,"0000000000000,00"),",",""))</f>
        <v>000000000000000</v>
      </c>
      <c r="BF720" s="23">
        <f t="shared" si="4701"/>
        <v>0</v>
      </c>
      <c r="BG720" s="49" t="str">
        <f t="shared" ref="BG720" si="4730">IF(BF720&lt;0,SUBSTITUTE(TEXT(BF720,"000000000000,00"),",",""),SUBSTITUTE(TEXT(BF720,"0000000000000,00"),",",""))</f>
        <v>000000000000000</v>
      </c>
      <c r="BH720" s="23">
        <f t="shared" si="4703"/>
        <v>0</v>
      </c>
      <c r="BI720" s="49" t="str">
        <f t="shared" ref="BI720" si="4731">IF(BH720&lt;0,SUBSTITUTE(TEXT(BH720,"000000000000,00"),",",""),SUBSTITUTE(TEXT(BH720,"0000000000000,00"),",",""))</f>
        <v>000000000000000</v>
      </c>
      <c r="BJ720" s="23">
        <f t="shared" si="4705"/>
        <v>0</v>
      </c>
      <c r="BK720" s="49" t="str">
        <f t="shared" ref="BK720" si="4732">IF(BJ720&lt;0,SUBSTITUTE(TEXT(BJ720,"000000000000,00"),",",""),SUBSTITUTE(TEXT(BJ720,"0000000000000,00"),",",""))</f>
        <v>000000000000000</v>
      </c>
      <c r="BL720" s="23">
        <f t="shared" si="4707"/>
        <v>0</v>
      </c>
      <c r="BM720" s="49" t="str">
        <f t="shared" ref="BM720" si="4733">IF(BL720&lt;0,SUBSTITUTE(TEXT(BL720,"000000000000,00"),",",""),SUBSTITUTE(TEXT(BL720,"0000000000000,00"),",",""))</f>
        <v>000000000000000</v>
      </c>
      <c r="BN720" t="str">
        <f t="shared" si="4709"/>
        <v>PES</v>
      </c>
      <c r="BO720" t="str">
        <f t="shared" si="4710"/>
        <v>0001000000</v>
      </c>
      <c r="BP720">
        <f t="shared" si="4711"/>
        <v>0</v>
      </c>
      <c r="BQ720">
        <f t="shared" si="4712"/>
        <v>0</v>
      </c>
      <c r="BR720" s="23">
        <f t="shared" si="4713"/>
        <v>0</v>
      </c>
      <c r="BS720" s="49" t="str">
        <f t="shared" si="4678"/>
        <v>000000000000000</v>
      </c>
      <c r="BT720" t="str">
        <f t="shared" si="4714"/>
        <v>00000000</v>
      </c>
      <c r="BU720" s="23">
        <f t="shared" si="4715"/>
        <v>0</v>
      </c>
      <c r="BV720" s="49" t="str">
        <f t="shared" si="4679"/>
        <v/>
      </c>
      <c r="BW720" s="52" t="str">
        <f t="shared" si="4716"/>
        <v/>
      </c>
      <c r="BX720" s="23">
        <f t="shared" si="4717"/>
        <v>0</v>
      </c>
      <c r="BY720" s="49" t="str">
        <f t="shared" si="4680"/>
        <v/>
      </c>
      <c r="BZ720" s="23">
        <f t="shared" si="4718"/>
        <v>0</v>
      </c>
      <c r="CA720" s="49" t="str">
        <f t="shared" si="4681"/>
        <v/>
      </c>
      <c r="CB720" s="52" t="str">
        <f t="shared" si="4719"/>
        <v/>
      </c>
      <c r="CC720" s="23">
        <f t="shared" si="4720"/>
        <v>0</v>
      </c>
      <c r="CD720" s="49" t="str">
        <f t="shared" si="4682"/>
        <v/>
      </c>
      <c r="CE720" s="56" t="str">
        <f>IF(CF720="","",MAX(CE$10:$CE719)+1)</f>
        <v/>
      </c>
      <c r="CF720" t="str">
        <f t="shared" si="4721"/>
        <v/>
      </c>
      <c r="CG720" s="22" t="str">
        <f>IF(CH720="","",MAX($CG$10:CG719)+1)</f>
        <v/>
      </c>
      <c r="CH720" s="22" t="str">
        <f t="shared" si="4666"/>
        <v/>
      </c>
      <c r="CI720" s="22" t="str">
        <f>IF(CJ720="","",MAX($CI$10:CI719)+1)</f>
        <v/>
      </c>
      <c r="CJ720" s="22" t="str">
        <f t="shared" si="4667"/>
        <v/>
      </c>
    </row>
    <row r="721" spans="2:88" x14ac:dyDescent="0.25">
      <c r="B721" s="37"/>
      <c r="C721" s="3"/>
      <c r="D721" s="77" t="str">
        <f t="shared" si="4653"/>
        <v/>
      </c>
      <c r="E721" s="38"/>
      <c r="F721" s="38"/>
      <c r="G721" s="78">
        <f t="shared" si="4668"/>
        <v>0</v>
      </c>
      <c r="H721" s="3">
        <v>80</v>
      </c>
      <c r="I721" s="77" t="str">
        <f t="shared" si="4654"/>
        <v/>
      </c>
      <c r="J721" s="32"/>
      <c r="K721" s="3"/>
      <c r="L721" s="39"/>
      <c r="M721" s="39"/>
      <c r="N721" s="39"/>
      <c r="O721" s="39"/>
      <c r="P721" s="39"/>
      <c r="Q721" s="39"/>
      <c r="R721" s="39"/>
      <c r="S721" s="39"/>
      <c r="T721" s="3" t="s">
        <v>645</v>
      </c>
      <c r="U721" s="77" t="str">
        <f t="shared" si="4655"/>
        <v/>
      </c>
      <c r="V721" s="39">
        <v>1</v>
      </c>
      <c r="W721" s="79">
        <f t="shared" si="4669"/>
        <v>0</v>
      </c>
      <c r="X721" s="3">
        <v>0</v>
      </c>
      <c r="Y721" s="77" t="str">
        <f t="shared" si="4656"/>
        <v/>
      </c>
      <c r="Z721" s="3"/>
      <c r="AA721" s="37" t="str">
        <f t="shared" si="4670"/>
        <v/>
      </c>
      <c r="AC721" s="40"/>
      <c r="AD721" s="7"/>
      <c r="AE721" s="77" t="str">
        <f t="shared" si="4657"/>
        <v/>
      </c>
      <c r="AF721" s="81">
        <f t="shared" si="4683"/>
        <v>0</v>
      </c>
      <c r="AG721" s="40"/>
      <c r="AH721" s="7"/>
      <c r="AI721" s="77" t="str">
        <f t="shared" si="4658"/>
        <v/>
      </c>
      <c r="AJ721" s="81">
        <f t="shared" si="4684"/>
        <v>0</v>
      </c>
      <c r="AK721" s="83">
        <f t="shared" si="4685"/>
        <v>0</v>
      </c>
      <c r="AL721" s="83">
        <f t="shared" si="4686"/>
        <v>0</v>
      </c>
      <c r="AN721" s="43">
        <f t="shared" si="4659"/>
        <v>0</v>
      </c>
      <c r="AP721" t="str">
        <f t="shared" si="4687"/>
        <v/>
      </c>
      <c r="AQ721" t="str">
        <f t="shared" si="4688"/>
        <v/>
      </c>
      <c r="AR721" t="str">
        <f t="shared" si="4689"/>
        <v/>
      </c>
      <c r="AS721" t="str">
        <f t="shared" si="4690"/>
        <v/>
      </c>
      <c r="AT721" t="str">
        <f t="shared" si="4691"/>
        <v/>
      </c>
      <c r="AU721" t="str">
        <f t="shared" si="4692"/>
        <v/>
      </c>
      <c r="AV721" t="str">
        <f t="shared" si="4693"/>
        <v/>
      </c>
      <c r="AW721" t="str">
        <f t="shared" si="4694"/>
        <v xml:space="preserve">                              </v>
      </c>
      <c r="AX721" s="23">
        <f t="shared" si="4695"/>
        <v>0</v>
      </c>
      <c r="AY721" s="49" t="str">
        <f t="shared" si="4671"/>
        <v>000000000000000</v>
      </c>
      <c r="AZ721" s="23">
        <f t="shared" si="4696"/>
        <v>0</v>
      </c>
      <c r="BA721" s="49" t="str">
        <f t="shared" si="4671"/>
        <v>000000000000000</v>
      </c>
      <c r="BB721" s="23">
        <f t="shared" si="4697"/>
        <v>0</v>
      </c>
      <c r="BC721" s="49" t="str">
        <f t="shared" ref="BC721" si="4734">IF(BB721&lt;0,SUBSTITUTE(TEXT(BB721,"000000000000,00"),",",""),SUBSTITUTE(TEXT(BB721,"0000000000000,00"),",",""))</f>
        <v>000000000000000</v>
      </c>
      <c r="BD721" s="23">
        <f t="shared" si="4699"/>
        <v>0</v>
      </c>
      <c r="BE721" s="49" t="str">
        <f t="shared" ref="BE721" si="4735">IF(BD721&lt;0,SUBSTITUTE(TEXT(BD721,"000000000000,00"),",",""),SUBSTITUTE(TEXT(BD721,"0000000000000,00"),",",""))</f>
        <v>000000000000000</v>
      </c>
      <c r="BF721" s="23">
        <f t="shared" si="4701"/>
        <v>0</v>
      </c>
      <c r="BG721" s="49" t="str">
        <f t="shared" ref="BG721" si="4736">IF(BF721&lt;0,SUBSTITUTE(TEXT(BF721,"000000000000,00"),",",""),SUBSTITUTE(TEXT(BF721,"0000000000000,00"),",",""))</f>
        <v>000000000000000</v>
      </c>
      <c r="BH721" s="23">
        <f t="shared" si="4703"/>
        <v>0</v>
      </c>
      <c r="BI721" s="49" t="str">
        <f t="shared" ref="BI721" si="4737">IF(BH721&lt;0,SUBSTITUTE(TEXT(BH721,"000000000000,00"),",",""),SUBSTITUTE(TEXT(BH721,"0000000000000,00"),",",""))</f>
        <v>000000000000000</v>
      </c>
      <c r="BJ721" s="23">
        <f t="shared" si="4705"/>
        <v>0</v>
      </c>
      <c r="BK721" s="49" t="str">
        <f t="shared" ref="BK721" si="4738">IF(BJ721&lt;0,SUBSTITUTE(TEXT(BJ721,"000000000000,00"),",",""),SUBSTITUTE(TEXT(BJ721,"0000000000000,00"),",",""))</f>
        <v>000000000000000</v>
      </c>
      <c r="BL721" s="23">
        <f t="shared" si="4707"/>
        <v>0</v>
      </c>
      <c r="BM721" s="49" t="str">
        <f t="shared" ref="BM721" si="4739">IF(BL721&lt;0,SUBSTITUTE(TEXT(BL721,"000000000000,00"),",",""),SUBSTITUTE(TEXT(BL721,"0000000000000,00"),",",""))</f>
        <v>000000000000000</v>
      </c>
      <c r="BN721" t="str">
        <f t="shared" si="4709"/>
        <v>PES</v>
      </c>
      <c r="BO721" t="str">
        <f t="shared" si="4710"/>
        <v>0001000000</v>
      </c>
      <c r="BP721">
        <f t="shared" si="4711"/>
        <v>0</v>
      </c>
      <c r="BQ721">
        <f t="shared" si="4712"/>
        <v>0</v>
      </c>
      <c r="BR721" s="23">
        <f t="shared" si="4713"/>
        <v>0</v>
      </c>
      <c r="BS721" s="49" t="str">
        <f t="shared" si="4678"/>
        <v>000000000000000</v>
      </c>
      <c r="BT721" t="str">
        <f t="shared" si="4714"/>
        <v>00000000</v>
      </c>
      <c r="BU721" s="23">
        <f t="shared" si="4715"/>
        <v>0</v>
      </c>
      <c r="BV721" s="49" t="str">
        <f t="shared" si="4679"/>
        <v/>
      </c>
      <c r="BW721" s="52" t="str">
        <f t="shared" si="4716"/>
        <v/>
      </c>
      <c r="BX721" s="23">
        <f t="shared" si="4717"/>
        <v>0</v>
      </c>
      <c r="BY721" s="49" t="str">
        <f t="shared" si="4680"/>
        <v/>
      </c>
      <c r="BZ721" s="23">
        <f t="shared" si="4718"/>
        <v>0</v>
      </c>
      <c r="CA721" s="49" t="str">
        <f t="shared" si="4681"/>
        <v/>
      </c>
      <c r="CB721" s="52" t="str">
        <f t="shared" si="4719"/>
        <v/>
      </c>
      <c r="CC721" s="23">
        <f t="shared" si="4720"/>
        <v>0</v>
      </c>
      <c r="CD721" s="49" t="str">
        <f t="shared" si="4682"/>
        <v/>
      </c>
      <c r="CE721" s="56" t="str">
        <f>IF(CF721="","",MAX(CE$10:$CE720)+1)</f>
        <v/>
      </c>
      <c r="CF721" t="str">
        <f t="shared" si="4721"/>
        <v/>
      </c>
      <c r="CG721" s="22" t="str">
        <f>IF(CH721="","",MAX($CG$10:CG720)+1)</f>
        <v/>
      </c>
      <c r="CH721" s="22" t="str">
        <f t="shared" si="4666"/>
        <v/>
      </c>
      <c r="CI721" s="22" t="str">
        <f>IF(CJ721="","",MAX($CI$10:CI720)+1)</f>
        <v/>
      </c>
      <c r="CJ721" s="22" t="str">
        <f t="shared" si="4667"/>
        <v/>
      </c>
    </row>
    <row r="722" spans="2:88" x14ac:dyDescent="0.25">
      <c r="B722" s="37"/>
      <c r="C722" s="3"/>
      <c r="D722" s="77" t="str">
        <f t="shared" si="4653"/>
        <v/>
      </c>
      <c r="E722" s="38"/>
      <c r="F722" s="38"/>
      <c r="G722" s="78">
        <f t="shared" si="4668"/>
        <v>0</v>
      </c>
      <c r="H722" s="3">
        <v>80</v>
      </c>
      <c r="I722" s="77" t="str">
        <f t="shared" si="4654"/>
        <v/>
      </c>
      <c r="J722" s="32"/>
      <c r="K722" s="3"/>
      <c r="L722" s="39"/>
      <c r="M722" s="39"/>
      <c r="N722" s="39"/>
      <c r="O722" s="39"/>
      <c r="P722" s="39"/>
      <c r="Q722" s="39"/>
      <c r="R722" s="39"/>
      <c r="S722" s="39"/>
      <c r="T722" s="3" t="s">
        <v>645</v>
      </c>
      <c r="U722" s="77" t="str">
        <f t="shared" si="4655"/>
        <v/>
      </c>
      <c r="V722" s="39">
        <v>1</v>
      </c>
      <c r="W722" s="79">
        <f t="shared" si="4669"/>
        <v>0</v>
      </c>
      <c r="X722" s="3">
        <v>0</v>
      </c>
      <c r="Y722" s="77" t="str">
        <f t="shared" si="4656"/>
        <v/>
      </c>
      <c r="Z722" s="3"/>
      <c r="AA722" s="37" t="str">
        <f t="shared" si="4670"/>
        <v/>
      </c>
      <c r="AC722" s="40"/>
      <c r="AD722" s="7"/>
      <c r="AE722" s="77" t="str">
        <f t="shared" si="4657"/>
        <v/>
      </c>
      <c r="AF722" s="81">
        <f t="shared" si="4683"/>
        <v>0</v>
      </c>
      <c r="AG722" s="40"/>
      <c r="AH722" s="7"/>
      <c r="AI722" s="77" t="str">
        <f t="shared" si="4658"/>
        <v/>
      </c>
      <c r="AJ722" s="81">
        <f t="shared" si="4684"/>
        <v>0</v>
      </c>
      <c r="AK722" s="83">
        <f t="shared" si="4685"/>
        <v>0</v>
      </c>
      <c r="AL722" s="83">
        <f t="shared" si="4686"/>
        <v>0</v>
      </c>
      <c r="AN722" s="43">
        <f t="shared" si="4659"/>
        <v>0</v>
      </c>
      <c r="AP722" t="str">
        <f t="shared" si="4687"/>
        <v/>
      </c>
      <c r="AQ722" t="str">
        <f t="shared" si="4688"/>
        <v/>
      </c>
      <c r="AR722" t="str">
        <f t="shared" si="4689"/>
        <v/>
      </c>
      <c r="AS722" t="str">
        <f t="shared" si="4690"/>
        <v/>
      </c>
      <c r="AT722" t="str">
        <f t="shared" si="4691"/>
        <v/>
      </c>
      <c r="AU722" t="str">
        <f t="shared" si="4692"/>
        <v/>
      </c>
      <c r="AV722" t="str">
        <f t="shared" si="4693"/>
        <v/>
      </c>
      <c r="AW722" t="str">
        <f t="shared" si="4694"/>
        <v xml:space="preserve">                              </v>
      </c>
      <c r="AX722" s="23">
        <f t="shared" si="4695"/>
        <v>0</v>
      </c>
      <c r="AY722" s="49" t="str">
        <f t="shared" si="4671"/>
        <v>000000000000000</v>
      </c>
      <c r="AZ722" s="23">
        <f t="shared" si="4696"/>
        <v>0</v>
      </c>
      <c r="BA722" s="49" t="str">
        <f t="shared" si="4671"/>
        <v>000000000000000</v>
      </c>
      <c r="BB722" s="23">
        <f t="shared" si="4697"/>
        <v>0</v>
      </c>
      <c r="BC722" s="49" t="str">
        <f t="shared" ref="BC722" si="4740">IF(BB722&lt;0,SUBSTITUTE(TEXT(BB722,"000000000000,00"),",",""),SUBSTITUTE(TEXT(BB722,"0000000000000,00"),",",""))</f>
        <v>000000000000000</v>
      </c>
      <c r="BD722" s="23">
        <f t="shared" si="4699"/>
        <v>0</v>
      </c>
      <c r="BE722" s="49" t="str">
        <f t="shared" ref="BE722" si="4741">IF(BD722&lt;0,SUBSTITUTE(TEXT(BD722,"000000000000,00"),",",""),SUBSTITUTE(TEXT(BD722,"0000000000000,00"),",",""))</f>
        <v>000000000000000</v>
      </c>
      <c r="BF722" s="23">
        <f t="shared" si="4701"/>
        <v>0</v>
      </c>
      <c r="BG722" s="49" t="str">
        <f t="shared" ref="BG722" si="4742">IF(BF722&lt;0,SUBSTITUTE(TEXT(BF722,"000000000000,00"),",",""),SUBSTITUTE(TEXT(BF722,"0000000000000,00"),",",""))</f>
        <v>000000000000000</v>
      </c>
      <c r="BH722" s="23">
        <f t="shared" si="4703"/>
        <v>0</v>
      </c>
      <c r="BI722" s="49" t="str">
        <f t="shared" ref="BI722" si="4743">IF(BH722&lt;0,SUBSTITUTE(TEXT(BH722,"000000000000,00"),",",""),SUBSTITUTE(TEXT(BH722,"0000000000000,00"),",",""))</f>
        <v>000000000000000</v>
      </c>
      <c r="BJ722" s="23">
        <f t="shared" si="4705"/>
        <v>0</v>
      </c>
      <c r="BK722" s="49" t="str">
        <f t="shared" ref="BK722" si="4744">IF(BJ722&lt;0,SUBSTITUTE(TEXT(BJ722,"000000000000,00"),",",""),SUBSTITUTE(TEXT(BJ722,"0000000000000,00"),",",""))</f>
        <v>000000000000000</v>
      </c>
      <c r="BL722" s="23">
        <f t="shared" si="4707"/>
        <v>0</v>
      </c>
      <c r="BM722" s="49" t="str">
        <f t="shared" ref="BM722" si="4745">IF(BL722&lt;0,SUBSTITUTE(TEXT(BL722,"000000000000,00"),",",""),SUBSTITUTE(TEXT(BL722,"0000000000000,00"),",",""))</f>
        <v>000000000000000</v>
      </c>
      <c r="BN722" t="str">
        <f t="shared" si="4709"/>
        <v>PES</v>
      </c>
      <c r="BO722" t="str">
        <f t="shared" si="4710"/>
        <v>0001000000</v>
      </c>
      <c r="BP722">
        <f t="shared" si="4711"/>
        <v>0</v>
      </c>
      <c r="BQ722">
        <f t="shared" si="4712"/>
        <v>0</v>
      </c>
      <c r="BR722" s="23">
        <f t="shared" si="4713"/>
        <v>0</v>
      </c>
      <c r="BS722" s="49" t="str">
        <f t="shared" si="4678"/>
        <v>000000000000000</v>
      </c>
      <c r="BT722" t="str">
        <f t="shared" si="4714"/>
        <v>00000000</v>
      </c>
      <c r="BU722" s="23">
        <f t="shared" si="4715"/>
        <v>0</v>
      </c>
      <c r="BV722" s="49" t="str">
        <f t="shared" si="4679"/>
        <v/>
      </c>
      <c r="BW722" s="52" t="str">
        <f t="shared" si="4716"/>
        <v/>
      </c>
      <c r="BX722" s="23">
        <f t="shared" si="4717"/>
        <v>0</v>
      </c>
      <c r="BY722" s="49" t="str">
        <f t="shared" si="4680"/>
        <v/>
      </c>
      <c r="BZ722" s="23">
        <f t="shared" si="4718"/>
        <v>0</v>
      </c>
      <c r="CA722" s="49" t="str">
        <f t="shared" si="4681"/>
        <v/>
      </c>
      <c r="CB722" s="52" t="str">
        <f t="shared" si="4719"/>
        <v/>
      </c>
      <c r="CC722" s="23">
        <f t="shared" si="4720"/>
        <v>0</v>
      </c>
      <c r="CD722" s="49" t="str">
        <f t="shared" si="4682"/>
        <v/>
      </c>
      <c r="CE722" s="56" t="str">
        <f>IF(CF722="","",MAX(CE$10:$CE721)+1)</f>
        <v/>
      </c>
      <c r="CF722" t="str">
        <f t="shared" si="4721"/>
        <v/>
      </c>
      <c r="CG722" s="22" t="str">
        <f>IF(CH722="","",MAX($CG$10:CG721)+1)</f>
        <v/>
      </c>
      <c r="CH722" s="22" t="str">
        <f t="shared" si="4666"/>
        <v/>
      </c>
      <c r="CI722" s="22" t="str">
        <f>IF(CJ722="","",MAX($CI$10:CI721)+1)</f>
        <v/>
      </c>
      <c r="CJ722" s="22" t="str">
        <f t="shared" si="4667"/>
        <v/>
      </c>
    </row>
    <row r="723" spans="2:88" x14ac:dyDescent="0.25">
      <c r="B723" s="37"/>
      <c r="C723" s="3"/>
      <c r="D723" s="77" t="str">
        <f t="shared" si="4653"/>
        <v/>
      </c>
      <c r="E723" s="38"/>
      <c r="F723" s="38"/>
      <c r="G723" s="78">
        <f t="shared" si="4668"/>
        <v>0</v>
      </c>
      <c r="H723" s="3">
        <v>80</v>
      </c>
      <c r="I723" s="77" t="str">
        <f t="shared" si="4654"/>
        <v/>
      </c>
      <c r="J723" s="32"/>
      <c r="K723" s="3"/>
      <c r="L723" s="39"/>
      <c r="M723" s="39"/>
      <c r="N723" s="39"/>
      <c r="O723" s="39"/>
      <c r="P723" s="39"/>
      <c r="Q723" s="39"/>
      <c r="R723" s="39"/>
      <c r="S723" s="39"/>
      <c r="T723" s="3" t="s">
        <v>645</v>
      </c>
      <c r="U723" s="77" t="str">
        <f t="shared" si="4655"/>
        <v/>
      </c>
      <c r="V723" s="39">
        <v>1</v>
      </c>
      <c r="W723" s="79">
        <f t="shared" si="4669"/>
        <v>0</v>
      </c>
      <c r="X723" s="3">
        <v>0</v>
      </c>
      <c r="Y723" s="77" t="str">
        <f t="shared" si="4656"/>
        <v/>
      </c>
      <c r="Z723" s="3"/>
      <c r="AA723" s="37" t="str">
        <f t="shared" si="4670"/>
        <v/>
      </c>
      <c r="AC723" s="40"/>
      <c r="AD723" s="7"/>
      <c r="AE723" s="77" t="str">
        <f t="shared" si="4657"/>
        <v/>
      </c>
      <c r="AF723" s="81">
        <f t="shared" si="4683"/>
        <v>0</v>
      </c>
      <c r="AG723" s="40"/>
      <c r="AH723" s="7"/>
      <c r="AI723" s="77" t="str">
        <f t="shared" si="4658"/>
        <v/>
      </c>
      <c r="AJ723" s="81">
        <f t="shared" si="4684"/>
        <v>0</v>
      </c>
      <c r="AK723" s="83">
        <f t="shared" si="4685"/>
        <v>0</v>
      </c>
      <c r="AL723" s="83">
        <f t="shared" si="4686"/>
        <v>0</v>
      </c>
      <c r="AN723" s="43">
        <f t="shared" si="4659"/>
        <v>0</v>
      </c>
      <c r="AP723" t="str">
        <f t="shared" si="4687"/>
        <v/>
      </c>
      <c r="AQ723" t="str">
        <f t="shared" si="4688"/>
        <v/>
      </c>
      <c r="AR723" t="str">
        <f t="shared" si="4689"/>
        <v/>
      </c>
      <c r="AS723" t="str">
        <f t="shared" si="4690"/>
        <v/>
      </c>
      <c r="AT723" t="str">
        <f t="shared" si="4691"/>
        <v/>
      </c>
      <c r="AU723" t="str">
        <f t="shared" si="4692"/>
        <v/>
      </c>
      <c r="AV723" t="str">
        <f t="shared" si="4693"/>
        <v/>
      </c>
      <c r="AW723" t="str">
        <f t="shared" si="4694"/>
        <v xml:space="preserve">                              </v>
      </c>
      <c r="AX723" s="23">
        <f t="shared" si="4695"/>
        <v>0</v>
      </c>
      <c r="AY723" s="49" t="str">
        <f t="shared" si="4671"/>
        <v>000000000000000</v>
      </c>
      <c r="AZ723" s="23">
        <f t="shared" si="4696"/>
        <v>0</v>
      </c>
      <c r="BA723" s="49" t="str">
        <f t="shared" si="4671"/>
        <v>000000000000000</v>
      </c>
      <c r="BB723" s="23">
        <f t="shared" si="4697"/>
        <v>0</v>
      </c>
      <c r="BC723" s="49" t="str">
        <f t="shared" ref="BC723" si="4746">IF(BB723&lt;0,SUBSTITUTE(TEXT(BB723,"000000000000,00"),",",""),SUBSTITUTE(TEXT(BB723,"0000000000000,00"),",",""))</f>
        <v>000000000000000</v>
      </c>
      <c r="BD723" s="23">
        <f t="shared" si="4699"/>
        <v>0</v>
      </c>
      <c r="BE723" s="49" t="str">
        <f t="shared" ref="BE723" si="4747">IF(BD723&lt;0,SUBSTITUTE(TEXT(BD723,"000000000000,00"),",",""),SUBSTITUTE(TEXT(BD723,"0000000000000,00"),",",""))</f>
        <v>000000000000000</v>
      </c>
      <c r="BF723" s="23">
        <f t="shared" si="4701"/>
        <v>0</v>
      </c>
      <c r="BG723" s="49" t="str">
        <f t="shared" ref="BG723" si="4748">IF(BF723&lt;0,SUBSTITUTE(TEXT(BF723,"000000000000,00"),",",""),SUBSTITUTE(TEXT(BF723,"0000000000000,00"),",",""))</f>
        <v>000000000000000</v>
      </c>
      <c r="BH723" s="23">
        <f t="shared" si="4703"/>
        <v>0</v>
      </c>
      <c r="BI723" s="49" t="str">
        <f t="shared" ref="BI723" si="4749">IF(BH723&lt;0,SUBSTITUTE(TEXT(BH723,"000000000000,00"),",",""),SUBSTITUTE(TEXT(BH723,"0000000000000,00"),",",""))</f>
        <v>000000000000000</v>
      </c>
      <c r="BJ723" s="23">
        <f t="shared" si="4705"/>
        <v>0</v>
      </c>
      <c r="BK723" s="49" t="str">
        <f t="shared" ref="BK723" si="4750">IF(BJ723&lt;0,SUBSTITUTE(TEXT(BJ723,"000000000000,00"),",",""),SUBSTITUTE(TEXT(BJ723,"0000000000000,00"),",",""))</f>
        <v>000000000000000</v>
      </c>
      <c r="BL723" s="23">
        <f t="shared" si="4707"/>
        <v>0</v>
      </c>
      <c r="BM723" s="49" t="str">
        <f t="shared" ref="BM723" si="4751">IF(BL723&lt;0,SUBSTITUTE(TEXT(BL723,"000000000000,00"),",",""),SUBSTITUTE(TEXT(BL723,"0000000000000,00"),",",""))</f>
        <v>000000000000000</v>
      </c>
      <c r="BN723" t="str">
        <f t="shared" si="4709"/>
        <v>PES</v>
      </c>
      <c r="BO723" t="str">
        <f t="shared" si="4710"/>
        <v>0001000000</v>
      </c>
      <c r="BP723">
        <f t="shared" si="4711"/>
        <v>0</v>
      </c>
      <c r="BQ723">
        <f t="shared" si="4712"/>
        <v>0</v>
      </c>
      <c r="BR723" s="23">
        <f t="shared" si="4713"/>
        <v>0</v>
      </c>
      <c r="BS723" s="49" t="str">
        <f t="shared" si="4678"/>
        <v>000000000000000</v>
      </c>
      <c r="BT723" t="str">
        <f t="shared" si="4714"/>
        <v>00000000</v>
      </c>
      <c r="BU723" s="23">
        <f t="shared" si="4715"/>
        <v>0</v>
      </c>
      <c r="BV723" s="49" t="str">
        <f t="shared" si="4679"/>
        <v/>
      </c>
      <c r="BW723" s="52" t="str">
        <f t="shared" si="4716"/>
        <v/>
      </c>
      <c r="BX723" s="23">
        <f t="shared" si="4717"/>
        <v>0</v>
      </c>
      <c r="BY723" s="49" t="str">
        <f t="shared" si="4680"/>
        <v/>
      </c>
      <c r="BZ723" s="23">
        <f t="shared" si="4718"/>
        <v>0</v>
      </c>
      <c r="CA723" s="49" t="str">
        <f t="shared" si="4681"/>
        <v/>
      </c>
      <c r="CB723" s="52" t="str">
        <f t="shared" si="4719"/>
        <v/>
      </c>
      <c r="CC723" s="23">
        <f t="shared" si="4720"/>
        <v>0</v>
      </c>
      <c r="CD723" s="49" t="str">
        <f t="shared" si="4682"/>
        <v/>
      </c>
      <c r="CE723" s="56" t="str">
        <f>IF(CF723="","",MAX(CE$10:$CE722)+1)</f>
        <v/>
      </c>
      <c r="CF723" t="str">
        <f t="shared" si="4721"/>
        <v/>
      </c>
      <c r="CG723" s="22" t="str">
        <f>IF(CH723="","",MAX($CG$10:CG722)+1)</f>
        <v/>
      </c>
      <c r="CH723" s="22" t="str">
        <f t="shared" si="4666"/>
        <v/>
      </c>
      <c r="CI723" s="22" t="str">
        <f>IF(CJ723="","",MAX($CI$10:CI722)+1)</f>
        <v/>
      </c>
      <c r="CJ723" s="22" t="str">
        <f t="shared" si="4667"/>
        <v/>
      </c>
    </row>
    <row r="724" spans="2:88" x14ac:dyDescent="0.25">
      <c r="B724" s="37"/>
      <c r="C724" s="3"/>
      <c r="D724" s="77" t="str">
        <f t="shared" si="4653"/>
        <v/>
      </c>
      <c r="E724" s="38"/>
      <c r="F724" s="38"/>
      <c r="G724" s="78">
        <f t="shared" si="4668"/>
        <v>0</v>
      </c>
      <c r="H724" s="3">
        <v>80</v>
      </c>
      <c r="I724" s="77" t="str">
        <f t="shared" si="4654"/>
        <v/>
      </c>
      <c r="J724" s="32"/>
      <c r="K724" s="3"/>
      <c r="L724" s="39"/>
      <c r="M724" s="39"/>
      <c r="N724" s="39"/>
      <c r="O724" s="39"/>
      <c r="P724" s="39"/>
      <c r="Q724" s="39"/>
      <c r="R724" s="39"/>
      <c r="S724" s="39"/>
      <c r="T724" s="3" t="s">
        <v>645</v>
      </c>
      <c r="U724" s="77" t="str">
        <f t="shared" si="4655"/>
        <v/>
      </c>
      <c r="V724" s="39">
        <v>1</v>
      </c>
      <c r="W724" s="79">
        <f t="shared" si="4669"/>
        <v>0</v>
      </c>
      <c r="X724" s="3">
        <v>0</v>
      </c>
      <c r="Y724" s="77" t="str">
        <f t="shared" si="4656"/>
        <v/>
      </c>
      <c r="Z724" s="3"/>
      <c r="AA724" s="37" t="str">
        <f t="shared" si="4670"/>
        <v/>
      </c>
      <c r="AC724" s="40"/>
      <c r="AD724" s="7"/>
      <c r="AE724" s="77" t="str">
        <f t="shared" si="4657"/>
        <v/>
      </c>
      <c r="AF724" s="81">
        <f t="shared" si="4683"/>
        <v>0</v>
      </c>
      <c r="AG724" s="40"/>
      <c r="AH724" s="7"/>
      <c r="AI724" s="77" t="str">
        <f t="shared" si="4658"/>
        <v/>
      </c>
      <c r="AJ724" s="81">
        <f t="shared" si="4684"/>
        <v>0</v>
      </c>
      <c r="AK724" s="83">
        <f t="shared" si="4685"/>
        <v>0</v>
      </c>
      <c r="AL724" s="83">
        <f t="shared" si="4686"/>
        <v>0</v>
      </c>
      <c r="AN724" s="43">
        <f t="shared" si="4659"/>
        <v>0</v>
      </c>
      <c r="AP724" t="str">
        <f t="shared" si="4687"/>
        <v/>
      </c>
      <c r="AQ724" t="str">
        <f t="shared" si="4688"/>
        <v/>
      </c>
      <c r="AR724" t="str">
        <f t="shared" si="4689"/>
        <v/>
      </c>
      <c r="AS724" t="str">
        <f t="shared" si="4690"/>
        <v/>
      </c>
      <c r="AT724" t="str">
        <f t="shared" si="4691"/>
        <v/>
      </c>
      <c r="AU724" t="str">
        <f t="shared" si="4692"/>
        <v/>
      </c>
      <c r="AV724" t="str">
        <f t="shared" si="4693"/>
        <v/>
      </c>
      <c r="AW724" t="str">
        <f t="shared" si="4694"/>
        <v xml:space="preserve">                              </v>
      </c>
      <c r="AX724" s="23">
        <f t="shared" si="4695"/>
        <v>0</v>
      </c>
      <c r="AY724" s="49" t="str">
        <f t="shared" si="4671"/>
        <v>000000000000000</v>
      </c>
      <c r="AZ724" s="23">
        <f t="shared" si="4696"/>
        <v>0</v>
      </c>
      <c r="BA724" s="49" t="str">
        <f t="shared" si="4671"/>
        <v>000000000000000</v>
      </c>
      <c r="BB724" s="23">
        <f t="shared" si="4697"/>
        <v>0</v>
      </c>
      <c r="BC724" s="49" t="str">
        <f t="shared" ref="BC724" si="4752">IF(BB724&lt;0,SUBSTITUTE(TEXT(BB724,"000000000000,00"),",",""),SUBSTITUTE(TEXT(BB724,"0000000000000,00"),",",""))</f>
        <v>000000000000000</v>
      </c>
      <c r="BD724" s="23">
        <f t="shared" si="4699"/>
        <v>0</v>
      </c>
      <c r="BE724" s="49" t="str">
        <f t="shared" ref="BE724" si="4753">IF(BD724&lt;0,SUBSTITUTE(TEXT(BD724,"000000000000,00"),",",""),SUBSTITUTE(TEXT(BD724,"0000000000000,00"),",",""))</f>
        <v>000000000000000</v>
      </c>
      <c r="BF724" s="23">
        <f t="shared" si="4701"/>
        <v>0</v>
      </c>
      <c r="BG724" s="49" t="str">
        <f t="shared" ref="BG724" si="4754">IF(BF724&lt;0,SUBSTITUTE(TEXT(BF724,"000000000000,00"),",",""),SUBSTITUTE(TEXT(BF724,"0000000000000,00"),",",""))</f>
        <v>000000000000000</v>
      </c>
      <c r="BH724" s="23">
        <f t="shared" si="4703"/>
        <v>0</v>
      </c>
      <c r="BI724" s="49" t="str">
        <f t="shared" ref="BI724" si="4755">IF(BH724&lt;0,SUBSTITUTE(TEXT(BH724,"000000000000,00"),",",""),SUBSTITUTE(TEXT(BH724,"0000000000000,00"),",",""))</f>
        <v>000000000000000</v>
      </c>
      <c r="BJ724" s="23">
        <f t="shared" si="4705"/>
        <v>0</v>
      </c>
      <c r="BK724" s="49" t="str">
        <f t="shared" ref="BK724" si="4756">IF(BJ724&lt;0,SUBSTITUTE(TEXT(BJ724,"000000000000,00"),",",""),SUBSTITUTE(TEXT(BJ724,"0000000000000,00"),",",""))</f>
        <v>000000000000000</v>
      </c>
      <c r="BL724" s="23">
        <f t="shared" si="4707"/>
        <v>0</v>
      </c>
      <c r="BM724" s="49" t="str">
        <f t="shared" ref="BM724" si="4757">IF(BL724&lt;0,SUBSTITUTE(TEXT(BL724,"000000000000,00"),",",""),SUBSTITUTE(TEXT(BL724,"0000000000000,00"),",",""))</f>
        <v>000000000000000</v>
      </c>
      <c r="BN724" t="str">
        <f t="shared" si="4709"/>
        <v>PES</v>
      </c>
      <c r="BO724" t="str">
        <f t="shared" si="4710"/>
        <v>0001000000</v>
      </c>
      <c r="BP724">
        <f t="shared" si="4711"/>
        <v>0</v>
      </c>
      <c r="BQ724">
        <f t="shared" si="4712"/>
        <v>0</v>
      </c>
      <c r="BR724" s="23">
        <f t="shared" si="4713"/>
        <v>0</v>
      </c>
      <c r="BS724" s="49" t="str">
        <f t="shared" si="4678"/>
        <v>000000000000000</v>
      </c>
      <c r="BT724" t="str">
        <f t="shared" si="4714"/>
        <v>00000000</v>
      </c>
      <c r="BU724" s="23">
        <f t="shared" si="4715"/>
        <v>0</v>
      </c>
      <c r="BV724" s="49" t="str">
        <f t="shared" si="4679"/>
        <v/>
      </c>
      <c r="BW724" s="52" t="str">
        <f t="shared" si="4716"/>
        <v/>
      </c>
      <c r="BX724" s="23">
        <f t="shared" si="4717"/>
        <v>0</v>
      </c>
      <c r="BY724" s="49" t="str">
        <f t="shared" si="4680"/>
        <v/>
      </c>
      <c r="BZ724" s="23">
        <f t="shared" si="4718"/>
        <v>0</v>
      </c>
      <c r="CA724" s="49" t="str">
        <f t="shared" si="4681"/>
        <v/>
      </c>
      <c r="CB724" s="52" t="str">
        <f t="shared" si="4719"/>
        <v/>
      </c>
      <c r="CC724" s="23">
        <f t="shared" si="4720"/>
        <v>0</v>
      </c>
      <c r="CD724" s="49" t="str">
        <f t="shared" si="4682"/>
        <v/>
      </c>
      <c r="CE724" s="56" t="str">
        <f>IF(CF724="","",MAX(CE$10:$CE723)+1)</f>
        <v/>
      </c>
      <c r="CF724" t="str">
        <f t="shared" si="4721"/>
        <v/>
      </c>
      <c r="CG724" s="22" t="str">
        <f>IF(CH724="","",MAX($CG$10:CG723)+1)</f>
        <v/>
      </c>
      <c r="CH724" s="22" t="str">
        <f t="shared" si="4666"/>
        <v/>
      </c>
      <c r="CI724" s="22" t="str">
        <f>IF(CJ724="","",MAX($CI$10:CI723)+1)</f>
        <v/>
      </c>
      <c r="CJ724" s="22" t="str">
        <f t="shared" si="4667"/>
        <v/>
      </c>
    </row>
    <row r="725" spans="2:88" x14ac:dyDescent="0.25">
      <c r="B725" s="37"/>
      <c r="C725" s="3"/>
      <c r="D725" s="77" t="str">
        <f t="shared" si="4653"/>
        <v/>
      </c>
      <c r="E725" s="38"/>
      <c r="F725" s="38"/>
      <c r="G725" s="78">
        <f t="shared" si="4668"/>
        <v>0</v>
      </c>
      <c r="H725" s="3">
        <v>80</v>
      </c>
      <c r="I725" s="77" t="str">
        <f t="shared" si="4654"/>
        <v/>
      </c>
      <c r="J725" s="32"/>
      <c r="K725" s="3"/>
      <c r="L725" s="39"/>
      <c r="M725" s="39"/>
      <c r="N725" s="39"/>
      <c r="O725" s="39"/>
      <c r="P725" s="39"/>
      <c r="Q725" s="39"/>
      <c r="R725" s="39"/>
      <c r="S725" s="39"/>
      <c r="T725" s="3" t="s">
        <v>645</v>
      </c>
      <c r="U725" s="77" t="str">
        <f t="shared" si="4655"/>
        <v/>
      </c>
      <c r="V725" s="39">
        <v>1</v>
      </c>
      <c r="W725" s="79">
        <f t="shared" si="4669"/>
        <v>0</v>
      </c>
      <c r="X725" s="3">
        <v>0</v>
      </c>
      <c r="Y725" s="77" t="str">
        <f t="shared" si="4656"/>
        <v/>
      </c>
      <c r="Z725" s="3"/>
      <c r="AA725" s="37" t="str">
        <f t="shared" si="4670"/>
        <v/>
      </c>
      <c r="AC725" s="40"/>
      <c r="AD725" s="7"/>
      <c r="AE725" s="77" t="str">
        <f t="shared" si="4657"/>
        <v/>
      </c>
      <c r="AF725" s="81">
        <f t="shared" si="4683"/>
        <v>0</v>
      </c>
      <c r="AG725" s="40"/>
      <c r="AH725" s="7"/>
      <c r="AI725" s="77" t="str">
        <f t="shared" si="4658"/>
        <v/>
      </c>
      <c r="AJ725" s="81">
        <f t="shared" si="4684"/>
        <v>0</v>
      </c>
      <c r="AK725" s="83">
        <f t="shared" si="4685"/>
        <v>0</v>
      </c>
      <c r="AL725" s="83">
        <f t="shared" si="4686"/>
        <v>0</v>
      </c>
      <c r="AN725" s="43">
        <f t="shared" si="4659"/>
        <v>0</v>
      </c>
      <c r="AP725" t="str">
        <f t="shared" si="4687"/>
        <v/>
      </c>
      <c r="AQ725" t="str">
        <f t="shared" si="4688"/>
        <v/>
      </c>
      <c r="AR725" t="str">
        <f t="shared" si="4689"/>
        <v/>
      </c>
      <c r="AS725" t="str">
        <f t="shared" si="4690"/>
        <v/>
      </c>
      <c r="AT725" t="str">
        <f t="shared" si="4691"/>
        <v/>
      </c>
      <c r="AU725" t="str">
        <f t="shared" si="4692"/>
        <v/>
      </c>
      <c r="AV725" t="str">
        <f t="shared" si="4693"/>
        <v/>
      </c>
      <c r="AW725" t="str">
        <f t="shared" si="4694"/>
        <v xml:space="preserve">                              </v>
      </c>
      <c r="AX725" s="23">
        <f t="shared" si="4695"/>
        <v>0</v>
      </c>
      <c r="AY725" s="49" t="str">
        <f t="shared" si="4671"/>
        <v>000000000000000</v>
      </c>
      <c r="AZ725" s="23">
        <f t="shared" si="4696"/>
        <v>0</v>
      </c>
      <c r="BA725" s="49" t="str">
        <f t="shared" si="4671"/>
        <v>000000000000000</v>
      </c>
      <c r="BB725" s="23">
        <f t="shared" si="4697"/>
        <v>0</v>
      </c>
      <c r="BC725" s="49" t="str">
        <f t="shared" ref="BC725" si="4758">IF(BB725&lt;0,SUBSTITUTE(TEXT(BB725,"000000000000,00"),",",""),SUBSTITUTE(TEXT(BB725,"0000000000000,00"),",",""))</f>
        <v>000000000000000</v>
      </c>
      <c r="BD725" s="23">
        <f t="shared" si="4699"/>
        <v>0</v>
      </c>
      <c r="BE725" s="49" t="str">
        <f t="shared" ref="BE725" si="4759">IF(BD725&lt;0,SUBSTITUTE(TEXT(BD725,"000000000000,00"),",",""),SUBSTITUTE(TEXT(BD725,"0000000000000,00"),",",""))</f>
        <v>000000000000000</v>
      </c>
      <c r="BF725" s="23">
        <f t="shared" si="4701"/>
        <v>0</v>
      </c>
      <c r="BG725" s="49" t="str">
        <f t="shared" ref="BG725" si="4760">IF(BF725&lt;0,SUBSTITUTE(TEXT(BF725,"000000000000,00"),",",""),SUBSTITUTE(TEXT(BF725,"0000000000000,00"),",",""))</f>
        <v>000000000000000</v>
      </c>
      <c r="BH725" s="23">
        <f t="shared" si="4703"/>
        <v>0</v>
      </c>
      <c r="BI725" s="49" t="str">
        <f t="shared" ref="BI725" si="4761">IF(BH725&lt;0,SUBSTITUTE(TEXT(BH725,"000000000000,00"),",",""),SUBSTITUTE(TEXT(BH725,"0000000000000,00"),",",""))</f>
        <v>000000000000000</v>
      </c>
      <c r="BJ725" s="23">
        <f t="shared" si="4705"/>
        <v>0</v>
      </c>
      <c r="BK725" s="49" t="str">
        <f t="shared" ref="BK725" si="4762">IF(BJ725&lt;0,SUBSTITUTE(TEXT(BJ725,"000000000000,00"),",",""),SUBSTITUTE(TEXT(BJ725,"0000000000000,00"),",",""))</f>
        <v>000000000000000</v>
      </c>
      <c r="BL725" s="23">
        <f t="shared" si="4707"/>
        <v>0</v>
      </c>
      <c r="BM725" s="49" t="str">
        <f t="shared" ref="BM725" si="4763">IF(BL725&lt;0,SUBSTITUTE(TEXT(BL725,"000000000000,00"),",",""),SUBSTITUTE(TEXT(BL725,"0000000000000,00"),",",""))</f>
        <v>000000000000000</v>
      </c>
      <c r="BN725" t="str">
        <f t="shared" si="4709"/>
        <v>PES</v>
      </c>
      <c r="BO725" t="str">
        <f t="shared" si="4710"/>
        <v>0001000000</v>
      </c>
      <c r="BP725">
        <f t="shared" si="4711"/>
        <v>0</v>
      </c>
      <c r="BQ725">
        <f t="shared" si="4712"/>
        <v>0</v>
      </c>
      <c r="BR725" s="23">
        <f t="shared" si="4713"/>
        <v>0</v>
      </c>
      <c r="BS725" s="49" t="str">
        <f t="shared" si="4678"/>
        <v>000000000000000</v>
      </c>
      <c r="BT725" t="str">
        <f t="shared" si="4714"/>
        <v>00000000</v>
      </c>
      <c r="BU725" s="23">
        <f t="shared" si="4715"/>
        <v>0</v>
      </c>
      <c r="BV725" s="49" t="str">
        <f t="shared" si="4679"/>
        <v/>
      </c>
      <c r="BW725" s="52" t="str">
        <f t="shared" si="4716"/>
        <v/>
      </c>
      <c r="BX725" s="23">
        <f t="shared" si="4717"/>
        <v>0</v>
      </c>
      <c r="BY725" s="49" t="str">
        <f t="shared" si="4680"/>
        <v/>
      </c>
      <c r="BZ725" s="23">
        <f t="shared" si="4718"/>
        <v>0</v>
      </c>
      <c r="CA725" s="49" t="str">
        <f t="shared" si="4681"/>
        <v/>
      </c>
      <c r="CB725" s="52" t="str">
        <f t="shared" si="4719"/>
        <v/>
      </c>
      <c r="CC725" s="23">
        <f t="shared" si="4720"/>
        <v>0</v>
      </c>
      <c r="CD725" s="49" t="str">
        <f t="shared" si="4682"/>
        <v/>
      </c>
      <c r="CE725" s="56" t="str">
        <f>IF(CF725="","",MAX(CE$10:$CE724)+1)</f>
        <v/>
      </c>
      <c r="CF725" t="str">
        <f t="shared" si="4721"/>
        <v/>
      </c>
      <c r="CG725" s="22" t="str">
        <f>IF(CH725="","",MAX($CG$10:CG724)+1)</f>
        <v/>
      </c>
      <c r="CH725" s="22" t="str">
        <f t="shared" si="4666"/>
        <v/>
      </c>
      <c r="CI725" s="22" t="str">
        <f>IF(CJ725="","",MAX($CI$10:CI724)+1)</f>
        <v/>
      </c>
      <c r="CJ725" s="22" t="str">
        <f t="shared" si="4667"/>
        <v/>
      </c>
    </row>
    <row r="726" spans="2:88" x14ac:dyDescent="0.25">
      <c r="B726" s="37"/>
      <c r="C726" s="3"/>
      <c r="D726" s="77" t="str">
        <f t="shared" si="4653"/>
        <v/>
      </c>
      <c r="E726" s="38"/>
      <c r="F726" s="38"/>
      <c r="G726" s="78">
        <f t="shared" si="4668"/>
        <v>0</v>
      </c>
      <c r="H726" s="3">
        <v>80</v>
      </c>
      <c r="I726" s="77" t="str">
        <f t="shared" si="4654"/>
        <v/>
      </c>
      <c r="J726" s="32"/>
      <c r="K726" s="3"/>
      <c r="L726" s="39"/>
      <c r="M726" s="39"/>
      <c r="N726" s="39"/>
      <c r="O726" s="39"/>
      <c r="P726" s="39"/>
      <c r="Q726" s="39"/>
      <c r="R726" s="39"/>
      <c r="S726" s="39"/>
      <c r="T726" s="3" t="s">
        <v>645</v>
      </c>
      <c r="U726" s="77" t="str">
        <f t="shared" si="4655"/>
        <v/>
      </c>
      <c r="V726" s="39">
        <v>1</v>
      </c>
      <c r="W726" s="79">
        <f t="shared" si="4669"/>
        <v>0</v>
      </c>
      <c r="X726" s="3">
        <v>0</v>
      </c>
      <c r="Y726" s="77" t="str">
        <f t="shared" si="4656"/>
        <v/>
      </c>
      <c r="Z726" s="3"/>
      <c r="AA726" s="37" t="str">
        <f t="shared" si="4670"/>
        <v/>
      </c>
      <c r="AC726" s="40"/>
      <c r="AD726" s="7"/>
      <c r="AE726" s="77" t="str">
        <f t="shared" si="4657"/>
        <v/>
      </c>
      <c r="AF726" s="81">
        <f t="shared" si="4683"/>
        <v>0</v>
      </c>
      <c r="AG726" s="40"/>
      <c r="AH726" s="7"/>
      <c r="AI726" s="77" t="str">
        <f t="shared" si="4658"/>
        <v/>
      </c>
      <c r="AJ726" s="81">
        <f t="shared" si="4684"/>
        <v>0</v>
      </c>
      <c r="AK726" s="83">
        <f t="shared" si="4685"/>
        <v>0</v>
      </c>
      <c r="AL726" s="83">
        <f t="shared" si="4686"/>
        <v>0</v>
      </c>
      <c r="AN726" s="43">
        <f t="shared" si="4659"/>
        <v>0</v>
      </c>
      <c r="AP726" t="str">
        <f t="shared" si="4687"/>
        <v/>
      </c>
      <c r="AQ726" t="str">
        <f t="shared" si="4688"/>
        <v/>
      </c>
      <c r="AR726" t="str">
        <f t="shared" si="4689"/>
        <v/>
      </c>
      <c r="AS726" t="str">
        <f t="shared" si="4690"/>
        <v/>
      </c>
      <c r="AT726" t="str">
        <f t="shared" si="4691"/>
        <v/>
      </c>
      <c r="AU726" t="str">
        <f t="shared" si="4692"/>
        <v/>
      </c>
      <c r="AV726" t="str">
        <f t="shared" si="4693"/>
        <v/>
      </c>
      <c r="AW726" t="str">
        <f t="shared" si="4694"/>
        <v xml:space="preserve">                              </v>
      </c>
      <c r="AX726" s="23">
        <f t="shared" si="4695"/>
        <v>0</v>
      </c>
      <c r="AY726" s="49" t="str">
        <f t="shared" si="4671"/>
        <v>000000000000000</v>
      </c>
      <c r="AZ726" s="23">
        <f t="shared" si="4696"/>
        <v>0</v>
      </c>
      <c r="BA726" s="49" t="str">
        <f t="shared" si="4671"/>
        <v>000000000000000</v>
      </c>
      <c r="BB726" s="23">
        <f t="shared" si="4697"/>
        <v>0</v>
      </c>
      <c r="BC726" s="49" t="str">
        <f t="shared" ref="BC726" si="4764">IF(BB726&lt;0,SUBSTITUTE(TEXT(BB726,"000000000000,00"),",",""),SUBSTITUTE(TEXT(BB726,"0000000000000,00"),",",""))</f>
        <v>000000000000000</v>
      </c>
      <c r="BD726" s="23">
        <f t="shared" si="4699"/>
        <v>0</v>
      </c>
      <c r="BE726" s="49" t="str">
        <f t="shared" ref="BE726" si="4765">IF(BD726&lt;0,SUBSTITUTE(TEXT(BD726,"000000000000,00"),",",""),SUBSTITUTE(TEXT(BD726,"0000000000000,00"),",",""))</f>
        <v>000000000000000</v>
      </c>
      <c r="BF726" s="23">
        <f t="shared" si="4701"/>
        <v>0</v>
      </c>
      <c r="BG726" s="49" t="str">
        <f t="shared" ref="BG726" si="4766">IF(BF726&lt;0,SUBSTITUTE(TEXT(BF726,"000000000000,00"),",",""),SUBSTITUTE(TEXT(BF726,"0000000000000,00"),",",""))</f>
        <v>000000000000000</v>
      </c>
      <c r="BH726" s="23">
        <f t="shared" si="4703"/>
        <v>0</v>
      </c>
      <c r="BI726" s="49" t="str">
        <f t="shared" ref="BI726" si="4767">IF(BH726&lt;0,SUBSTITUTE(TEXT(BH726,"000000000000,00"),",",""),SUBSTITUTE(TEXT(BH726,"0000000000000,00"),",",""))</f>
        <v>000000000000000</v>
      </c>
      <c r="BJ726" s="23">
        <f t="shared" si="4705"/>
        <v>0</v>
      </c>
      <c r="BK726" s="49" t="str">
        <f t="shared" ref="BK726" si="4768">IF(BJ726&lt;0,SUBSTITUTE(TEXT(BJ726,"000000000000,00"),",",""),SUBSTITUTE(TEXT(BJ726,"0000000000000,00"),",",""))</f>
        <v>000000000000000</v>
      </c>
      <c r="BL726" s="23">
        <f t="shared" si="4707"/>
        <v>0</v>
      </c>
      <c r="BM726" s="49" t="str">
        <f t="shared" ref="BM726" si="4769">IF(BL726&lt;0,SUBSTITUTE(TEXT(BL726,"000000000000,00"),",",""),SUBSTITUTE(TEXT(BL726,"0000000000000,00"),",",""))</f>
        <v>000000000000000</v>
      </c>
      <c r="BN726" t="str">
        <f t="shared" si="4709"/>
        <v>PES</v>
      </c>
      <c r="BO726" t="str">
        <f t="shared" si="4710"/>
        <v>0001000000</v>
      </c>
      <c r="BP726">
        <f t="shared" si="4711"/>
        <v>0</v>
      </c>
      <c r="BQ726">
        <f t="shared" si="4712"/>
        <v>0</v>
      </c>
      <c r="BR726" s="23">
        <f t="shared" si="4713"/>
        <v>0</v>
      </c>
      <c r="BS726" s="49" t="str">
        <f t="shared" si="4678"/>
        <v>000000000000000</v>
      </c>
      <c r="BT726" t="str">
        <f t="shared" si="4714"/>
        <v>00000000</v>
      </c>
      <c r="BU726" s="23">
        <f t="shared" si="4715"/>
        <v>0</v>
      </c>
      <c r="BV726" s="49" t="str">
        <f t="shared" si="4679"/>
        <v/>
      </c>
      <c r="BW726" s="52" t="str">
        <f t="shared" si="4716"/>
        <v/>
      </c>
      <c r="BX726" s="23">
        <f t="shared" si="4717"/>
        <v>0</v>
      </c>
      <c r="BY726" s="49" t="str">
        <f t="shared" si="4680"/>
        <v/>
      </c>
      <c r="BZ726" s="23">
        <f t="shared" si="4718"/>
        <v>0</v>
      </c>
      <c r="CA726" s="49" t="str">
        <f t="shared" si="4681"/>
        <v/>
      </c>
      <c r="CB726" s="52" t="str">
        <f t="shared" si="4719"/>
        <v/>
      </c>
      <c r="CC726" s="23">
        <f t="shared" si="4720"/>
        <v>0</v>
      </c>
      <c r="CD726" s="49" t="str">
        <f t="shared" si="4682"/>
        <v/>
      </c>
      <c r="CE726" s="56" t="str">
        <f>IF(CF726="","",MAX(CE$10:$CE725)+1)</f>
        <v/>
      </c>
      <c r="CF726" t="str">
        <f t="shared" si="4721"/>
        <v/>
      </c>
      <c r="CG726" s="22" t="str">
        <f>IF(CH726="","",MAX($CG$10:CG725)+1)</f>
        <v/>
      </c>
      <c r="CH726" s="22" t="str">
        <f t="shared" si="4666"/>
        <v/>
      </c>
      <c r="CI726" s="22" t="str">
        <f>IF(CJ726="","",MAX($CI$10:CI725)+1)</f>
        <v/>
      </c>
      <c r="CJ726" s="22" t="str">
        <f t="shared" si="4667"/>
        <v/>
      </c>
    </row>
    <row r="727" spans="2:88" x14ac:dyDescent="0.25">
      <c r="B727" s="37"/>
      <c r="C727" s="3"/>
      <c r="D727" s="77" t="str">
        <f t="shared" si="4653"/>
        <v/>
      </c>
      <c r="E727" s="38"/>
      <c r="F727" s="38"/>
      <c r="G727" s="78">
        <f t="shared" si="4668"/>
        <v>0</v>
      </c>
      <c r="H727" s="3">
        <v>80</v>
      </c>
      <c r="I727" s="77" t="str">
        <f t="shared" si="4654"/>
        <v/>
      </c>
      <c r="J727" s="32"/>
      <c r="K727" s="3"/>
      <c r="L727" s="39"/>
      <c r="M727" s="39"/>
      <c r="N727" s="39"/>
      <c r="O727" s="39"/>
      <c r="P727" s="39"/>
      <c r="Q727" s="39"/>
      <c r="R727" s="39"/>
      <c r="S727" s="39"/>
      <c r="T727" s="3" t="s">
        <v>645</v>
      </c>
      <c r="U727" s="77" t="str">
        <f t="shared" si="4655"/>
        <v/>
      </c>
      <c r="V727" s="39">
        <v>1</v>
      </c>
      <c r="W727" s="79">
        <f t="shared" si="4669"/>
        <v>0</v>
      </c>
      <c r="X727" s="3">
        <v>0</v>
      </c>
      <c r="Y727" s="77" t="str">
        <f t="shared" si="4656"/>
        <v/>
      </c>
      <c r="Z727" s="3"/>
      <c r="AA727" s="37" t="str">
        <f t="shared" si="4670"/>
        <v/>
      </c>
      <c r="AC727" s="40"/>
      <c r="AD727" s="7"/>
      <c r="AE727" s="77" t="str">
        <f t="shared" si="4657"/>
        <v/>
      </c>
      <c r="AF727" s="81">
        <f t="shared" si="4683"/>
        <v>0</v>
      </c>
      <c r="AG727" s="40"/>
      <c r="AH727" s="7"/>
      <c r="AI727" s="77" t="str">
        <f t="shared" si="4658"/>
        <v/>
      </c>
      <c r="AJ727" s="81">
        <f t="shared" si="4684"/>
        <v>0</v>
      </c>
      <c r="AK727" s="83">
        <f t="shared" si="4685"/>
        <v>0</v>
      </c>
      <c r="AL727" s="83">
        <f t="shared" si="4686"/>
        <v>0</v>
      </c>
      <c r="AN727" s="43">
        <f t="shared" si="4659"/>
        <v>0</v>
      </c>
      <c r="AP727" t="str">
        <f t="shared" si="4687"/>
        <v/>
      </c>
      <c r="AQ727" t="str">
        <f t="shared" si="4688"/>
        <v/>
      </c>
      <c r="AR727" t="str">
        <f t="shared" si="4689"/>
        <v/>
      </c>
      <c r="AS727" t="str">
        <f t="shared" si="4690"/>
        <v/>
      </c>
      <c r="AT727" t="str">
        <f t="shared" si="4691"/>
        <v/>
      </c>
      <c r="AU727" t="str">
        <f t="shared" si="4692"/>
        <v/>
      </c>
      <c r="AV727" t="str">
        <f t="shared" si="4693"/>
        <v/>
      </c>
      <c r="AW727" t="str">
        <f t="shared" si="4694"/>
        <v xml:space="preserve">                              </v>
      </c>
      <c r="AX727" s="23">
        <f t="shared" si="4695"/>
        <v>0</v>
      </c>
      <c r="AY727" s="49" t="str">
        <f t="shared" si="4671"/>
        <v>000000000000000</v>
      </c>
      <c r="AZ727" s="23">
        <f t="shared" si="4696"/>
        <v>0</v>
      </c>
      <c r="BA727" s="49" t="str">
        <f t="shared" si="4671"/>
        <v>000000000000000</v>
      </c>
      <c r="BB727" s="23">
        <f t="shared" si="4697"/>
        <v>0</v>
      </c>
      <c r="BC727" s="49" t="str">
        <f t="shared" ref="BC727" si="4770">IF(BB727&lt;0,SUBSTITUTE(TEXT(BB727,"000000000000,00"),",",""),SUBSTITUTE(TEXT(BB727,"0000000000000,00"),",",""))</f>
        <v>000000000000000</v>
      </c>
      <c r="BD727" s="23">
        <f t="shared" si="4699"/>
        <v>0</v>
      </c>
      <c r="BE727" s="49" t="str">
        <f t="shared" ref="BE727" si="4771">IF(BD727&lt;0,SUBSTITUTE(TEXT(BD727,"000000000000,00"),",",""),SUBSTITUTE(TEXT(BD727,"0000000000000,00"),",",""))</f>
        <v>000000000000000</v>
      </c>
      <c r="BF727" s="23">
        <f t="shared" si="4701"/>
        <v>0</v>
      </c>
      <c r="BG727" s="49" t="str">
        <f t="shared" ref="BG727" si="4772">IF(BF727&lt;0,SUBSTITUTE(TEXT(BF727,"000000000000,00"),",",""),SUBSTITUTE(TEXT(BF727,"0000000000000,00"),",",""))</f>
        <v>000000000000000</v>
      </c>
      <c r="BH727" s="23">
        <f t="shared" si="4703"/>
        <v>0</v>
      </c>
      <c r="BI727" s="49" t="str">
        <f t="shared" ref="BI727" si="4773">IF(BH727&lt;0,SUBSTITUTE(TEXT(BH727,"000000000000,00"),",",""),SUBSTITUTE(TEXT(BH727,"0000000000000,00"),",",""))</f>
        <v>000000000000000</v>
      </c>
      <c r="BJ727" s="23">
        <f t="shared" si="4705"/>
        <v>0</v>
      </c>
      <c r="BK727" s="49" t="str">
        <f t="shared" ref="BK727" si="4774">IF(BJ727&lt;0,SUBSTITUTE(TEXT(BJ727,"000000000000,00"),",",""),SUBSTITUTE(TEXT(BJ727,"0000000000000,00"),",",""))</f>
        <v>000000000000000</v>
      </c>
      <c r="BL727" s="23">
        <f t="shared" si="4707"/>
        <v>0</v>
      </c>
      <c r="BM727" s="49" t="str">
        <f t="shared" ref="BM727" si="4775">IF(BL727&lt;0,SUBSTITUTE(TEXT(BL727,"000000000000,00"),",",""),SUBSTITUTE(TEXT(BL727,"0000000000000,00"),",",""))</f>
        <v>000000000000000</v>
      </c>
      <c r="BN727" t="str">
        <f t="shared" si="4709"/>
        <v>PES</v>
      </c>
      <c r="BO727" t="str">
        <f t="shared" si="4710"/>
        <v>0001000000</v>
      </c>
      <c r="BP727">
        <f t="shared" si="4711"/>
        <v>0</v>
      </c>
      <c r="BQ727">
        <f t="shared" si="4712"/>
        <v>0</v>
      </c>
      <c r="BR727" s="23">
        <f t="shared" si="4713"/>
        <v>0</v>
      </c>
      <c r="BS727" s="49" t="str">
        <f t="shared" si="4678"/>
        <v>000000000000000</v>
      </c>
      <c r="BT727" t="str">
        <f t="shared" si="4714"/>
        <v>00000000</v>
      </c>
      <c r="BU727" s="23">
        <f t="shared" si="4715"/>
        <v>0</v>
      </c>
      <c r="BV727" s="49" t="str">
        <f t="shared" si="4679"/>
        <v/>
      </c>
      <c r="BW727" s="52" t="str">
        <f t="shared" si="4716"/>
        <v/>
      </c>
      <c r="BX727" s="23">
        <f t="shared" si="4717"/>
        <v>0</v>
      </c>
      <c r="BY727" s="49" t="str">
        <f t="shared" si="4680"/>
        <v/>
      </c>
      <c r="BZ727" s="23">
        <f t="shared" si="4718"/>
        <v>0</v>
      </c>
      <c r="CA727" s="49" t="str">
        <f t="shared" si="4681"/>
        <v/>
      </c>
      <c r="CB727" s="52" t="str">
        <f t="shared" si="4719"/>
        <v/>
      </c>
      <c r="CC727" s="23">
        <f t="shared" si="4720"/>
        <v>0</v>
      </c>
      <c r="CD727" s="49" t="str">
        <f t="shared" si="4682"/>
        <v/>
      </c>
      <c r="CE727" s="56" t="str">
        <f>IF(CF727="","",MAX(CE$10:$CE726)+1)</f>
        <v/>
      </c>
      <c r="CF727" t="str">
        <f t="shared" si="4721"/>
        <v/>
      </c>
      <c r="CG727" s="22" t="str">
        <f>IF(CH727="","",MAX($CG$10:CG726)+1)</f>
        <v/>
      </c>
      <c r="CH727" s="22" t="str">
        <f t="shared" si="4666"/>
        <v/>
      </c>
      <c r="CI727" s="22" t="str">
        <f>IF(CJ727="","",MAX($CI$10:CI726)+1)</f>
        <v/>
      </c>
      <c r="CJ727" s="22" t="str">
        <f t="shared" si="4667"/>
        <v/>
      </c>
    </row>
    <row r="728" spans="2:88" x14ac:dyDescent="0.25">
      <c r="B728" s="37"/>
      <c r="C728" s="3"/>
      <c r="D728" s="77" t="str">
        <f t="shared" si="4653"/>
        <v/>
      </c>
      <c r="E728" s="38"/>
      <c r="F728" s="38"/>
      <c r="G728" s="78">
        <f t="shared" si="4668"/>
        <v>0</v>
      </c>
      <c r="H728" s="3">
        <v>80</v>
      </c>
      <c r="I728" s="77" t="str">
        <f t="shared" si="4654"/>
        <v/>
      </c>
      <c r="J728" s="32"/>
      <c r="K728" s="3"/>
      <c r="L728" s="39"/>
      <c r="M728" s="39"/>
      <c r="N728" s="39"/>
      <c r="O728" s="39"/>
      <c r="P728" s="39"/>
      <c r="Q728" s="39"/>
      <c r="R728" s="39"/>
      <c r="S728" s="39"/>
      <c r="T728" s="3" t="s">
        <v>645</v>
      </c>
      <c r="U728" s="77" t="str">
        <f t="shared" si="4655"/>
        <v/>
      </c>
      <c r="V728" s="39">
        <v>1</v>
      </c>
      <c r="W728" s="79">
        <f t="shared" si="4669"/>
        <v>0</v>
      </c>
      <c r="X728" s="3">
        <v>0</v>
      </c>
      <c r="Y728" s="77" t="str">
        <f t="shared" si="4656"/>
        <v/>
      </c>
      <c r="Z728" s="3"/>
      <c r="AA728" s="37" t="str">
        <f t="shared" si="4670"/>
        <v/>
      </c>
      <c r="AC728" s="40"/>
      <c r="AD728" s="7"/>
      <c r="AE728" s="77" t="str">
        <f t="shared" si="4657"/>
        <v/>
      </c>
      <c r="AF728" s="81">
        <f t="shared" si="4683"/>
        <v>0</v>
      </c>
      <c r="AG728" s="40"/>
      <c r="AH728" s="7"/>
      <c r="AI728" s="77" t="str">
        <f t="shared" si="4658"/>
        <v/>
      </c>
      <c r="AJ728" s="81">
        <f t="shared" si="4684"/>
        <v>0</v>
      </c>
      <c r="AK728" s="83">
        <f t="shared" si="4685"/>
        <v>0</v>
      </c>
      <c r="AL728" s="83">
        <f t="shared" si="4686"/>
        <v>0</v>
      </c>
      <c r="AN728" s="43">
        <f t="shared" si="4659"/>
        <v>0</v>
      </c>
      <c r="AP728" t="str">
        <f t="shared" si="4687"/>
        <v/>
      </c>
      <c r="AQ728" t="str">
        <f t="shared" si="4688"/>
        <v/>
      </c>
      <c r="AR728" t="str">
        <f t="shared" si="4689"/>
        <v/>
      </c>
      <c r="AS728" t="str">
        <f t="shared" si="4690"/>
        <v/>
      </c>
      <c r="AT728" t="str">
        <f t="shared" si="4691"/>
        <v/>
      </c>
      <c r="AU728" t="str">
        <f t="shared" si="4692"/>
        <v/>
      </c>
      <c r="AV728" t="str">
        <f t="shared" si="4693"/>
        <v/>
      </c>
      <c r="AW728" t="str">
        <f t="shared" si="4694"/>
        <v xml:space="preserve">                              </v>
      </c>
      <c r="AX728" s="23">
        <f t="shared" si="4695"/>
        <v>0</v>
      </c>
      <c r="AY728" s="49" t="str">
        <f t="shared" si="4671"/>
        <v>000000000000000</v>
      </c>
      <c r="AZ728" s="23">
        <f t="shared" si="4696"/>
        <v>0</v>
      </c>
      <c r="BA728" s="49" t="str">
        <f t="shared" si="4671"/>
        <v>000000000000000</v>
      </c>
      <c r="BB728" s="23">
        <f t="shared" si="4697"/>
        <v>0</v>
      </c>
      <c r="BC728" s="49" t="str">
        <f t="shared" ref="BC728" si="4776">IF(BB728&lt;0,SUBSTITUTE(TEXT(BB728,"000000000000,00"),",",""),SUBSTITUTE(TEXT(BB728,"0000000000000,00"),",",""))</f>
        <v>000000000000000</v>
      </c>
      <c r="BD728" s="23">
        <f t="shared" si="4699"/>
        <v>0</v>
      </c>
      <c r="BE728" s="49" t="str">
        <f t="shared" ref="BE728" si="4777">IF(BD728&lt;0,SUBSTITUTE(TEXT(BD728,"000000000000,00"),",",""),SUBSTITUTE(TEXT(BD728,"0000000000000,00"),",",""))</f>
        <v>000000000000000</v>
      </c>
      <c r="BF728" s="23">
        <f t="shared" si="4701"/>
        <v>0</v>
      </c>
      <c r="BG728" s="49" t="str">
        <f t="shared" ref="BG728" si="4778">IF(BF728&lt;0,SUBSTITUTE(TEXT(BF728,"000000000000,00"),",",""),SUBSTITUTE(TEXT(BF728,"0000000000000,00"),",",""))</f>
        <v>000000000000000</v>
      </c>
      <c r="BH728" s="23">
        <f t="shared" si="4703"/>
        <v>0</v>
      </c>
      <c r="BI728" s="49" t="str">
        <f t="shared" ref="BI728" si="4779">IF(BH728&lt;0,SUBSTITUTE(TEXT(BH728,"000000000000,00"),",",""),SUBSTITUTE(TEXT(BH728,"0000000000000,00"),",",""))</f>
        <v>000000000000000</v>
      </c>
      <c r="BJ728" s="23">
        <f t="shared" si="4705"/>
        <v>0</v>
      </c>
      <c r="BK728" s="49" t="str">
        <f t="shared" ref="BK728" si="4780">IF(BJ728&lt;0,SUBSTITUTE(TEXT(BJ728,"000000000000,00"),",",""),SUBSTITUTE(TEXT(BJ728,"0000000000000,00"),",",""))</f>
        <v>000000000000000</v>
      </c>
      <c r="BL728" s="23">
        <f t="shared" si="4707"/>
        <v>0</v>
      </c>
      <c r="BM728" s="49" t="str">
        <f t="shared" ref="BM728" si="4781">IF(BL728&lt;0,SUBSTITUTE(TEXT(BL728,"000000000000,00"),",",""),SUBSTITUTE(TEXT(BL728,"0000000000000,00"),",",""))</f>
        <v>000000000000000</v>
      </c>
      <c r="BN728" t="str">
        <f t="shared" si="4709"/>
        <v>PES</v>
      </c>
      <c r="BO728" t="str">
        <f t="shared" si="4710"/>
        <v>0001000000</v>
      </c>
      <c r="BP728">
        <f t="shared" si="4711"/>
        <v>0</v>
      </c>
      <c r="BQ728">
        <f t="shared" si="4712"/>
        <v>0</v>
      </c>
      <c r="BR728" s="23">
        <f t="shared" si="4713"/>
        <v>0</v>
      </c>
      <c r="BS728" s="49" t="str">
        <f t="shared" si="4678"/>
        <v>000000000000000</v>
      </c>
      <c r="BT728" t="str">
        <f t="shared" si="4714"/>
        <v>00000000</v>
      </c>
      <c r="BU728" s="23">
        <f t="shared" si="4715"/>
        <v>0</v>
      </c>
      <c r="BV728" s="49" t="str">
        <f t="shared" si="4679"/>
        <v/>
      </c>
      <c r="BW728" s="52" t="str">
        <f t="shared" si="4716"/>
        <v/>
      </c>
      <c r="BX728" s="23">
        <f t="shared" si="4717"/>
        <v>0</v>
      </c>
      <c r="BY728" s="49" t="str">
        <f t="shared" si="4680"/>
        <v/>
      </c>
      <c r="BZ728" s="23">
        <f t="shared" si="4718"/>
        <v>0</v>
      </c>
      <c r="CA728" s="49" t="str">
        <f t="shared" si="4681"/>
        <v/>
      </c>
      <c r="CB728" s="52" t="str">
        <f t="shared" si="4719"/>
        <v/>
      </c>
      <c r="CC728" s="23">
        <f t="shared" si="4720"/>
        <v>0</v>
      </c>
      <c r="CD728" s="49" t="str">
        <f t="shared" si="4682"/>
        <v/>
      </c>
      <c r="CE728" s="56" t="str">
        <f>IF(CF728="","",MAX(CE$10:$CE727)+1)</f>
        <v/>
      </c>
      <c r="CF728" t="str">
        <f t="shared" si="4721"/>
        <v/>
      </c>
      <c r="CG728" s="22" t="str">
        <f>IF(CH728="","",MAX($CG$10:CG727)+1)</f>
        <v/>
      </c>
      <c r="CH728" s="22" t="str">
        <f t="shared" si="4666"/>
        <v/>
      </c>
      <c r="CI728" s="22" t="str">
        <f>IF(CJ728="","",MAX($CI$10:CI727)+1)</f>
        <v/>
      </c>
      <c r="CJ728" s="22" t="str">
        <f t="shared" si="4667"/>
        <v/>
      </c>
    </row>
    <row r="729" spans="2:88" x14ac:dyDescent="0.25">
      <c r="B729" s="37"/>
      <c r="C729" s="3"/>
      <c r="D729" s="77" t="str">
        <f t="shared" si="4653"/>
        <v/>
      </c>
      <c r="E729" s="38"/>
      <c r="F729" s="38"/>
      <c r="G729" s="78">
        <f t="shared" si="4668"/>
        <v>0</v>
      </c>
      <c r="H729" s="3">
        <v>80</v>
      </c>
      <c r="I729" s="77" t="str">
        <f t="shared" si="4654"/>
        <v/>
      </c>
      <c r="J729" s="32"/>
      <c r="K729" s="3"/>
      <c r="L729" s="39"/>
      <c r="M729" s="39"/>
      <c r="N729" s="39"/>
      <c r="O729" s="39"/>
      <c r="P729" s="39"/>
      <c r="Q729" s="39"/>
      <c r="R729" s="39"/>
      <c r="S729" s="39"/>
      <c r="T729" s="3" t="s">
        <v>645</v>
      </c>
      <c r="U729" s="77" t="str">
        <f t="shared" si="4655"/>
        <v/>
      </c>
      <c r="V729" s="39">
        <v>1</v>
      </c>
      <c r="W729" s="79">
        <f t="shared" si="4669"/>
        <v>0</v>
      </c>
      <c r="X729" s="3">
        <v>0</v>
      </c>
      <c r="Y729" s="77" t="str">
        <f t="shared" si="4656"/>
        <v/>
      </c>
      <c r="Z729" s="3"/>
      <c r="AA729" s="37" t="str">
        <f t="shared" si="4670"/>
        <v/>
      </c>
      <c r="AC729" s="40"/>
      <c r="AD729" s="7"/>
      <c r="AE729" s="77" t="str">
        <f t="shared" si="4657"/>
        <v/>
      </c>
      <c r="AF729" s="81">
        <f t="shared" si="4683"/>
        <v>0</v>
      </c>
      <c r="AG729" s="40"/>
      <c r="AH729" s="7"/>
      <c r="AI729" s="77" t="str">
        <f t="shared" si="4658"/>
        <v/>
      </c>
      <c r="AJ729" s="81">
        <f t="shared" si="4684"/>
        <v>0</v>
      </c>
      <c r="AK729" s="83">
        <f t="shared" si="4685"/>
        <v>0</v>
      </c>
      <c r="AL729" s="83">
        <f t="shared" si="4686"/>
        <v>0</v>
      </c>
      <c r="AN729" s="43">
        <f t="shared" si="4659"/>
        <v>0</v>
      </c>
      <c r="AP729" t="str">
        <f t="shared" si="4687"/>
        <v/>
      </c>
      <c r="AQ729" t="str">
        <f t="shared" si="4688"/>
        <v/>
      </c>
      <c r="AR729" t="str">
        <f t="shared" si="4689"/>
        <v/>
      </c>
      <c r="AS729" t="str">
        <f t="shared" si="4690"/>
        <v/>
      </c>
      <c r="AT729" t="str">
        <f t="shared" si="4691"/>
        <v/>
      </c>
      <c r="AU729" t="str">
        <f t="shared" si="4692"/>
        <v/>
      </c>
      <c r="AV729" t="str">
        <f t="shared" si="4693"/>
        <v/>
      </c>
      <c r="AW729" t="str">
        <f t="shared" si="4694"/>
        <v xml:space="preserve">                              </v>
      </c>
      <c r="AX729" s="23">
        <f t="shared" si="4695"/>
        <v>0</v>
      </c>
      <c r="AY729" s="49" t="str">
        <f t="shared" si="4671"/>
        <v>000000000000000</v>
      </c>
      <c r="AZ729" s="23">
        <f t="shared" si="4696"/>
        <v>0</v>
      </c>
      <c r="BA729" s="49" t="str">
        <f t="shared" si="4671"/>
        <v>000000000000000</v>
      </c>
      <c r="BB729" s="23">
        <f t="shared" si="4697"/>
        <v>0</v>
      </c>
      <c r="BC729" s="49" t="str">
        <f t="shared" ref="BC729" si="4782">IF(BB729&lt;0,SUBSTITUTE(TEXT(BB729,"000000000000,00"),",",""),SUBSTITUTE(TEXT(BB729,"0000000000000,00"),",",""))</f>
        <v>000000000000000</v>
      </c>
      <c r="BD729" s="23">
        <f t="shared" si="4699"/>
        <v>0</v>
      </c>
      <c r="BE729" s="49" t="str">
        <f t="shared" ref="BE729" si="4783">IF(BD729&lt;0,SUBSTITUTE(TEXT(BD729,"000000000000,00"),",",""),SUBSTITUTE(TEXT(BD729,"0000000000000,00"),",",""))</f>
        <v>000000000000000</v>
      </c>
      <c r="BF729" s="23">
        <f t="shared" si="4701"/>
        <v>0</v>
      </c>
      <c r="BG729" s="49" t="str">
        <f t="shared" ref="BG729" si="4784">IF(BF729&lt;0,SUBSTITUTE(TEXT(BF729,"000000000000,00"),",",""),SUBSTITUTE(TEXT(BF729,"0000000000000,00"),",",""))</f>
        <v>000000000000000</v>
      </c>
      <c r="BH729" s="23">
        <f t="shared" si="4703"/>
        <v>0</v>
      </c>
      <c r="BI729" s="49" t="str">
        <f t="shared" ref="BI729" si="4785">IF(BH729&lt;0,SUBSTITUTE(TEXT(BH729,"000000000000,00"),",",""),SUBSTITUTE(TEXT(BH729,"0000000000000,00"),",",""))</f>
        <v>000000000000000</v>
      </c>
      <c r="BJ729" s="23">
        <f t="shared" si="4705"/>
        <v>0</v>
      </c>
      <c r="BK729" s="49" t="str">
        <f t="shared" ref="BK729" si="4786">IF(BJ729&lt;0,SUBSTITUTE(TEXT(BJ729,"000000000000,00"),",",""),SUBSTITUTE(TEXT(BJ729,"0000000000000,00"),",",""))</f>
        <v>000000000000000</v>
      </c>
      <c r="BL729" s="23">
        <f t="shared" si="4707"/>
        <v>0</v>
      </c>
      <c r="BM729" s="49" t="str">
        <f t="shared" ref="BM729" si="4787">IF(BL729&lt;0,SUBSTITUTE(TEXT(BL729,"000000000000,00"),",",""),SUBSTITUTE(TEXT(BL729,"0000000000000,00"),",",""))</f>
        <v>000000000000000</v>
      </c>
      <c r="BN729" t="str">
        <f t="shared" si="4709"/>
        <v>PES</v>
      </c>
      <c r="BO729" t="str">
        <f t="shared" si="4710"/>
        <v>0001000000</v>
      </c>
      <c r="BP729">
        <f t="shared" si="4711"/>
        <v>0</v>
      </c>
      <c r="BQ729">
        <f t="shared" si="4712"/>
        <v>0</v>
      </c>
      <c r="BR729" s="23">
        <f t="shared" si="4713"/>
        <v>0</v>
      </c>
      <c r="BS729" s="49" t="str">
        <f t="shared" si="4678"/>
        <v>000000000000000</v>
      </c>
      <c r="BT729" t="str">
        <f t="shared" si="4714"/>
        <v>00000000</v>
      </c>
      <c r="BU729" s="23">
        <f t="shared" si="4715"/>
        <v>0</v>
      </c>
      <c r="BV729" s="49" t="str">
        <f t="shared" si="4679"/>
        <v/>
      </c>
      <c r="BW729" s="52" t="str">
        <f t="shared" si="4716"/>
        <v/>
      </c>
      <c r="BX729" s="23">
        <f t="shared" si="4717"/>
        <v>0</v>
      </c>
      <c r="BY729" s="49" t="str">
        <f t="shared" si="4680"/>
        <v/>
      </c>
      <c r="BZ729" s="23">
        <f t="shared" si="4718"/>
        <v>0</v>
      </c>
      <c r="CA729" s="49" t="str">
        <f t="shared" si="4681"/>
        <v/>
      </c>
      <c r="CB729" s="52" t="str">
        <f t="shared" si="4719"/>
        <v/>
      </c>
      <c r="CC729" s="23">
        <f t="shared" si="4720"/>
        <v>0</v>
      </c>
      <c r="CD729" s="49" t="str">
        <f t="shared" si="4682"/>
        <v/>
      </c>
      <c r="CE729" s="56" t="str">
        <f>IF(CF729="","",MAX(CE$10:$CE728)+1)</f>
        <v/>
      </c>
      <c r="CF729" t="str">
        <f t="shared" si="4721"/>
        <v/>
      </c>
      <c r="CG729" s="22" t="str">
        <f>IF(CH729="","",MAX($CG$10:CG728)+1)</f>
        <v/>
      </c>
      <c r="CH729" s="22" t="str">
        <f t="shared" si="4666"/>
        <v/>
      </c>
      <c r="CI729" s="22" t="str">
        <f>IF(CJ729="","",MAX($CI$10:CI728)+1)</f>
        <v/>
      </c>
      <c r="CJ729" s="22" t="str">
        <f t="shared" si="4667"/>
        <v/>
      </c>
    </row>
    <row r="730" spans="2:88" x14ac:dyDescent="0.25">
      <c r="B730" s="37"/>
      <c r="C730" s="3"/>
      <c r="D730" s="77" t="str">
        <f t="shared" si="4653"/>
        <v/>
      </c>
      <c r="E730" s="38"/>
      <c r="F730" s="38"/>
      <c r="G730" s="78">
        <f t="shared" si="4668"/>
        <v>0</v>
      </c>
      <c r="H730" s="3">
        <v>80</v>
      </c>
      <c r="I730" s="77" t="str">
        <f t="shared" si="4654"/>
        <v/>
      </c>
      <c r="J730" s="32"/>
      <c r="K730" s="3"/>
      <c r="L730" s="39"/>
      <c r="M730" s="39"/>
      <c r="N730" s="39"/>
      <c r="O730" s="39"/>
      <c r="P730" s="39"/>
      <c r="Q730" s="39"/>
      <c r="R730" s="39"/>
      <c r="S730" s="39"/>
      <c r="T730" s="3" t="s">
        <v>645</v>
      </c>
      <c r="U730" s="77" t="str">
        <f t="shared" si="4655"/>
        <v/>
      </c>
      <c r="V730" s="39">
        <v>1</v>
      </c>
      <c r="W730" s="79">
        <f t="shared" si="4669"/>
        <v>0</v>
      </c>
      <c r="X730" s="3">
        <v>0</v>
      </c>
      <c r="Y730" s="77" t="str">
        <f t="shared" si="4656"/>
        <v/>
      </c>
      <c r="Z730" s="3"/>
      <c r="AA730" s="37" t="str">
        <f t="shared" si="4670"/>
        <v/>
      </c>
      <c r="AC730" s="40"/>
      <c r="AD730" s="7"/>
      <c r="AE730" s="77" t="str">
        <f t="shared" si="4657"/>
        <v/>
      </c>
      <c r="AF730" s="81">
        <f t="shared" si="4683"/>
        <v>0</v>
      </c>
      <c r="AG730" s="40"/>
      <c r="AH730" s="7"/>
      <c r="AI730" s="77" t="str">
        <f t="shared" si="4658"/>
        <v/>
      </c>
      <c r="AJ730" s="81">
        <f t="shared" si="4684"/>
        <v>0</v>
      </c>
      <c r="AK730" s="83">
        <f t="shared" si="4685"/>
        <v>0</v>
      </c>
      <c r="AL730" s="83">
        <f t="shared" si="4686"/>
        <v>0</v>
      </c>
      <c r="AN730" s="43">
        <f t="shared" si="4659"/>
        <v>0</v>
      </c>
      <c r="AP730" t="str">
        <f t="shared" si="4687"/>
        <v/>
      </c>
      <c r="AQ730" t="str">
        <f t="shared" si="4688"/>
        <v/>
      </c>
      <c r="AR730" t="str">
        <f t="shared" si="4689"/>
        <v/>
      </c>
      <c r="AS730" t="str">
        <f t="shared" si="4690"/>
        <v/>
      </c>
      <c r="AT730" t="str">
        <f t="shared" si="4691"/>
        <v/>
      </c>
      <c r="AU730" t="str">
        <f t="shared" si="4692"/>
        <v/>
      </c>
      <c r="AV730" t="str">
        <f t="shared" si="4693"/>
        <v/>
      </c>
      <c r="AW730" t="str">
        <f t="shared" si="4694"/>
        <v xml:space="preserve">                              </v>
      </c>
      <c r="AX730" s="23">
        <f t="shared" si="4695"/>
        <v>0</v>
      </c>
      <c r="AY730" s="49" t="str">
        <f t="shared" si="4671"/>
        <v>000000000000000</v>
      </c>
      <c r="AZ730" s="23">
        <f t="shared" si="4696"/>
        <v>0</v>
      </c>
      <c r="BA730" s="49" t="str">
        <f t="shared" si="4671"/>
        <v>000000000000000</v>
      </c>
      <c r="BB730" s="23">
        <f t="shared" si="4697"/>
        <v>0</v>
      </c>
      <c r="BC730" s="49" t="str">
        <f t="shared" ref="BC730" si="4788">IF(BB730&lt;0,SUBSTITUTE(TEXT(BB730,"000000000000,00"),",",""),SUBSTITUTE(TEXT(BB730,"0000000000000,00"),",",""))</f>
        <v>000000000000000</v>
      </c>
      <c r="BD730" s="23">
        <f t="shared" si="4699"/>
        <v>0</v>
      </c>
      <c r="BE730" s="49" t="str">
        <f t="shared" ref="BE730" si="4789">IF(BD730&lt;0,SUBSTITUTE(TEXT(BD730,"000000000000,00"),",",""),SUBSTITUTE(TEXT(BD730,"0000000000000,00"),",",""))</f>
        <v>000000000000000</v>
      </c>
      <c r="BF730" s="23">
        <f t="shared" si="4701"/>
        <v>0</v>
      </c>
      <c r="BG730" s="49" t="str">
        <f t="shared" ref="BG730" si="4790">IF(BF730&lt;0,SUBSTITUTE(TEXT(BF730,"000000000000,00"),",",""),SUBSTITUTE(TEXT(BF730,"0000000000000,00"),",",""))</f>
        <v>000000000000000</v>
      </c>
      <c r="BH730" s="23">
        <f t="shared" si="4703"/>
        <v>0</v>
      </c>
      <c r="BI730" s="49" t="str">
        <f t="shared" ref="BI730" si="4791">IF(BH730&lt;0,SUBSTITUTE(TEXT(BH730,"000000000000,00"),",",""),SUBSTITUTE(TEXT(BH730,"0000000000000,00"),",",""))</f>
        <v>000000000000000</v>
      </c>
      <c r="BJ730" s="23">
        <f t="shared" si="4705"/>
        <v>0</v>
      </c>
      <c r="BK730" s="49" t="str">
        <f t="shared" ref="BK730" si="4792">IF(BJ730&lt;0,SUBSTITUTE(TEXT(BJ730,"000000000000,00"),",",""),SUBSTITUTE(TEXT(BJ730,"0000000000000,00"),",",""))</f>
        <v>000000000000000</v>
      </c>
      <c r="BL730" s="23">
        <f t="shared" si="4707"/>
        <v>0</v>
      </c>
      <c r="BM730" s="49" t="str">
        <f t="shared" ref="BM730" si="4793">IF(BL730&lt;0,SUBSTITUTE(TEXT(BL730,"000000000000,00"),",",""),SUBSTITUTE(TEXT(BL730,"0000000000000,00"),",",""))</f>
        <v>000000000000000</v>
      </c>
      <c r="BN730" t="str">
        <f t="shared" si="4709"/>
        <v>PES</v>
      </c>
      <c r="BO730" t="str">
        <f t="shared" si="4710"/>
        <v>0001000000</v>
      </c>
      <c r="BP730">
        <f t="shared" si="4711"/>
        <v>0</v>
      </c>
      <c r="BQ730">
        <f t="shared" si="4712"/>
        <v>0</v>
      </c>
      <c r="BR730" s="23">
        <f t="shared" si="4713"/>
        <v>0</v>
      </c>
      <c r="BS730" s="49" t="str">
        <f t="shared" si="4678"/>
        <v>000000000000000</v>
      </c>
      <c r="BT730" t="str">
        <f t="shared" si="4714"/>
        <v>00000000</v>
      </c>
      <c r="BU730" s="23">
        <f t="shared" si="4715"/>
        <v>0</v>
      </c>
      <c r="BV730" s="49" t="str">
        <f t="shared" si="4679"/>
        <v/>
      </c>
      <c r="BW730" s="52" t="str">
        <f t="shared" si="4716"/>
        <v/>
      </c>
      <c r="BX730" s="23">
        <f t="shared" si="4717"/>
        <v>0</v>
      </c>
      <c r="BY730" s="49" t="str">
        <f t="shared" si="4680"/>
        <v/>
      </c>
      <c r="BZ730" s="23">
        <f t="shared" si="4718"/>
        <v>0</v>
      </c>
      <c r="CA730" s="49" t="str">
        <f t="shared" si="4681"/>
        <v/>
      </c>
      <c r="CB730" s="52" t="str">
        <f t="shared" si="4719"/>
        <v/>
      </c>
      <c r="CC730" s="23">
        <f t="shared" si="4720"/>
        <v>0</v>
      </c>
      <c r="CD730" s="49" t="str">
        <f t="shared" si="4682"/>
        <v/>
      </c>
      <c r="CE730" s="56" t="str">
        <f>IF(CF730="","",MAX(CE$10:$CE729)+1)</f>
        <v/>
      </c>
      <c r="CF730" t="str">
        <f t="shared" si="4721"/>
        <v/>
      </c>
      <c r="CG730" s="22" t="str">
        <f>IF(CH730="","",MAX($CG$10:CG729)+1)</f>
        <v/>
      </c>
      <c r="CH730" s="22" t="str">
        <f t="shared" si="4666"/>
        <v/>
      </c>
      <c r="CI730" s="22" t="str">
        <f>IF(CJ730="","",MAX($CI$10:CI729)+1)</f>
        <v/>
      </c>
      <c r="CJ730" s="22" t="str">
        <f t="shared" si="4667"/>
        <v/>
      </c>
    </row>
    <row r="731" spans="2:88" x14ac:dyDescent="0.25">
      <c r="B731" s="37"/>
      <c r="C731" s="3"/>
      <c r="D731" s="77" t="str">
        <f t="shared" si="4653"/>
        <v/>
      </c>
      <c r="E731" s="38"/>
      <c r="F731" s="38"/>
      <c r="G731" s="78">
        <f t="shared" si="4668"/>
        <v>0</v>
      </c>
      <c r="H731" s="3">
        <v>80</v>
      </c>
      <c r="I731" s="77" t="str">
        <f t="shared" si="4654"/>
        <v/>
      </c>
      <c r="J731" s="32"/>
      <c r="K731" s="3"/>
      <c r="L731" s="39"/>
      <c r="M731" s="39"/>
      <c r="N731" s="39"/>
      <c r="O731" s="39"/>
      <c r="P731" s="39"/>
      <c r="Q731" s="39"/>
      <c r="R731" s="39"/>
      <c r="S731" s="39"/>
      <c r="T731" s="3" t="s">
        <v>645</v>
      </c>
      <c r="U731" s="77" t="str">
        <f t="shared" si="4655"/>
        <v/>
      </c>
      <c r="V731" s="39">
        <v>1</v>
      </c>
      <c r="W731" s="79">
        <f t="shared" si="4669"/>
        <v>0</v>
      </c>
      <c r="X731" s="3">
        <v>0</v>
      </c>
      <c r="Y731" s="77" t="str">
        <f t="shared" si="4656"/>
        <v/>
      </c>
      <c r="Z731" s="3"/>
      <c r="AA731" s="37" t="str">
        <f t="shared" si="4670"/>
        <v/>
      </c>
      <c r="AC731" s="40"/>
      <c r="AD731" s="7"/>
      <c r="AE731" s="77" t="str">
        <f t="shared" si="4657"/>
        <v/>
      </c>
      <c r="AF731" s="81">
        <f t="shared" si="4683"/>
        <v>0</v>
      </c>
      <c r="AG731" s="40"/>
      <c r="AH731" s="7"/>
      <c r="AI731" s="77" t="str">
        <f t="shared" si="4658"/>
        <v/>
      </c>
      <c r="AJ731" s="81">
        <f t="shared" si="4684"/>
        <v>0</v>
      </c>
      <c r="AK731" s="83">
        <f t="shared" si="4685"/>
        <v>0</v>
      </c>
      <c r="AL731" s="83">
        <f t="shared" si="4686"/>
        <v>0</v>
      </c>
      <c r="AN731" s="43">
        <f t="shared" si="4659"/>
        <v>0</v>
      </c>
      <c r="AP731" t="str">
        <f t="shared" si="4687"/>
        <v/>
      </c>
      <c r="AQ731" t="str">
        <f t="shared" si="4688"/>
        <v/>
      </c>
      <c r="AR731" t="str">
        <f t="shared" si="4689"/>
        <v/>
      </c>
      <c r="AS731" t="str">
        <f t="shared" si="4690"/>
        <v/>
      </c>
      <c r="AT731" t="str">
        <f t="shared" si="4691"/>
        <v/>
      </c>
      <c r="AU731" t="str">
        <f t="shared" si="4692"/>
        <v/>
      </c>
      <c r="AV731" t="str">
        <f t="shared" si="4693"/>
        <v/>
      </c>
      <c r="AW731" t="str">
        <f t="shared" si="4694"/>
        <v xml:space="preserve">                              </v>
      </c>
      <c r="AX731" s="23">
        <f t="shared" si="4695"/>
        <v>0</v>
      </c>
      <c r="AY731" s="49" t="str">
        <f t="shared" si="4671"/>
        <v>000000000000000</v>
      </c>
      <c r="AZ731" s="23">
        <f t="shared" si="4696"/>
        <v>0</v>
      </c>
      <c r="BA731" s="49" t="str">
        <f t="shared" si="4671"/>
        <v>000000000000000</v>
      </c>
      <c r="BB731" s="23">
        <f t="shared" si="4697"/>
        <v>0</v>
      </c>
      <c r="BC731" s="49" t="str">
        <f t="shared" ref="BC731" si="4794">IF(BB731&lt;0,SUBSTITUTE(TEXT(BB731,"000000000000,00"),",",""),SUBSTITUTE(TEXT(BB731,"0000000000000,00"),",",""))</f>
        <v>000000000000000</v>
      </c>
      <c r="BD731" s="23">
        <f t="shared" si="4699"/>
        <v>0</v>
      </c>
      <c r="BE731" s="49" t="str">
        <f t="shared" ref="BE731" si="4795">IF(BD731&lt;0,SUBSTITUTE(TEXT(BD731,"000000000000,00"),",",""),SUBSTITUTE(TEXT(BD731,"0000000000000,00"),",",""))</f>
        <v>000000000000000</v>
      </c>
      <c r="BF731" s="23">
        <f t="shared" si="4701"/>
        <v>0</v>
      </c>
      <c r="BG731" s="49" t="str">
        <f t="shared" ref="BG731" si="4796">IF(BF731&lt;0,SUBSTITUTE(TEXT(BF731,"000000000000,00"),",",""),SUBSTITUTE(TEXT(BF731,"0000000000000,00"),",",""))</f>
        <v>000000000000000</v>
      </c>
      <c r="BH731" s="23">
        <f t="shared" si="4703"/>
        <v>0</v>
      </c>
      <c r="BI731" s="49" t="str">
        <f t="shared" ref="BI731" si="4797">IF(BH731&lt;0,SUBSTITUTE(TEXT(BH731,"000000000000,00"),",",""),SUBSTITUTE(TEXT(BH731,"0000000000000,00"),",",""))</f>
        <v>000000000000000</v>
      </c>
      <c r="BJ731" s="23">
        <f t="shared" si="4705"/>
        <v>0</v>
      </c>
      <c r="BK731" s="49" t="str">
        <f t="shared" ref="BK731" si="4798">IF(BJ731&lt;0,SUBSTITUTE(TEXT(BJ731,"000000000000,00"),",",""),SUBSTITUTE(TEXT(BJ731,"0000000000000,00"),",",""))</f>
        <v>000000000000000</v>
      </c>
      <c r="BL731" s="23">
        <f t="shared" si="4707"/>
        <v>0</v>
      </c>
      <c r="BM731" s="49" t="str">
        <f t="shared" ref="BM731" si="4799">IF(BL731&lt;0,SUBSTITUTE(TEXT(BL731,"000000000000,00"),",",""),SUBSTITUTE(TEXT(BL731,"0000000000000,00"),",",""))</f>
        <v>000000000000000</v>
      </c>
      <c r="BN731" t="str">
        <f t="shared" si="4709"/>
        <v>PES</v>
      </c>
      <c r="BO731" t="str">
        <f t="shared" si="4710"/>
        <v>0001000000</v>
      </c>
      <c r="BP731">
        <f t="shared" si="4711"/>
        <v>0</v>
      </c>
      <c r="BQ731">
        <f t="shared" si="4712"/>
        <v>0</v>
      </c>
      <c r="BR731" s="23">
        <f t="shared" si="4713"/>
        <v>0</v>
      </c>
      <c r="BS731" s="49" t="str">
        <f t="shared" si="4678"/>
        <v>000000000000000</v>
      </c>
      <c r="BT731" t="str">
        <f t="shared" si="4714"/>
        <v>00000000</v>
      </c>
      <c r="BU731" s="23">
        <f t="shared" si="4715"/>
        <v>0</v>
      </c>
      <c r="BV731" s="49" t="str">
        <f t="shared" si="4679"/>
        <v/>
      </c>
      <c r="BW731" s="52" t="str">
        <f t="shared" si="4716"/>
        <v/>
      </c>
      <c r="BX731" s="23">
        <f t="shared" si="4717"/>
        <v>0</v>
      </c>
      <c r="BY731" s="49" t="str">
        <f t="shared" si="4680"/>
        <v/>
      </c>
      <c r="BZ731" s="23">
        <f t="shared" si="4718"/>
        <v>0</v>
      </c>
      <c r="CA731" s="49" t="str">
        <f t="shared" si="4681"/>
        <v/>
      </c>
      <c r="CB731" s="52" t="str">
        <f t="shared" si="4719"/>
        <v/>
      </c>
      <c r="CC731" s="23">
        <f t="shared" si="4720"/>
        <v>0</v>
      </c>
      <c r="CD731" s="49" t="str">
        <f t="shared" si="4682"/>
        <v/>
      </c>
      <c r="CE731" s="56" t="str">
        <f>IF(CF731="","",MAX(CE$10:$CE730)+1)</f>
        <v/>
      </c>
      <c r="CF731" t="str">
        <f t="shared" si="4721"/>
        <v/>
      </c>
      <c r="CG731" s="22" t="str">
        <f>IF(CH731="","",MAX($CG$10:CG730)+1)</f>
        <v/>
      </c>
      <c r="CH731" s="22" t="str">
        <f t="shared" si="4666"/>
        <v/>
      </c>
      <c r="CI731" s="22" t="str">
        <f>IF(CJ731="","",MAX($CI$10:CI730)+1)</f>
        <v/>
      </c>
      <c r="CJ731" s="22" t="str">
        <f t="shared" si="4667"/>
        <v/>
      </c>
    </row>
    <row r="732" spans="2:88" x14ac:dyDescent="0.25">
      <c r="B732" s="37"/>
      <c r="C732" s="3"/>
      <c r="D732" s="77" t="str">
        <f t="shared" si="4653"/>
        <v/>
      </c>
      <c r="E732" s="38"/>
      <c r="F732" s="38"/>
      <c r="G732" s="78">
        <f t="shared" si="4668"/>
        <v>0</v>
      </c>
      <c r="H732" s="3">
        <v>80</v>
      </c>
      <c r="I732" s="77" t="str">
        <f t="shared" si="4654"/>
        <v/>
      </c>
      <c r="J732" s="32"/>
      <c r="K732" s="3"/>
      <c r="L732" s="39"/>
      <c r="M732" s="39"/>
      <c r="N732" s="39"/>
      <c r="O732" s="39"/>
      <c r="P732" s="39"/>
      <c r="Q732" s="39"/>
      <c r="R732" s="39"/>
      <c r="S732" s="39"/>
      <c r="T732" s="3" t="s">
        <v>645</v>
      </c>
      <c r="U732" s="77" t="str">
        <f t="shared" si="4655"/>
        <v/>
      </c>
      <c r="V732" s="39">
        <v>1</v>
      </c>
      <c r="W732" s="79">
        <f t="shared" si="4669"/>
        <v>0</v>
      </c>
      <c r="X732" s="3">
        <v>0</v>
      </c>
      <c r="Y732" s="77" t="str">
        <f t="shared" si="4656"/>
        <v/>
      </c>
      <c r="Z732" s="3"/>
      <c r="AA732" s="37" t="str">
        <f t="shared" si="4670"/>
        <v/>
      </c>
      <c r="AC732" s="40"/>
      <c r="AD732" s="7"/>
      <c r="AE732" s="77" t="str">
        <f t="shared" si="4657"/>
        <v/>
      </c>
      <c r="AF732" s="81">
        <f t="shared" si="4683"/>
        <v>0</v>
      </c>
      <c r="AG732" s="40"/>
      <c r="AH732" s="7"/>
      <c r="AI732" s="77" t="str">
        <f t="shared" si="4658"/>
        <v/>
      </c>
      <c r="AJ732" s="81">
        <f t="shared" si="4684"/>
        <v>0</v>
      </c>
      <c r="AK732" s="83">
        <f t="shared" si="4685"/>
        <v>0</v>
      </c>
      <c r="AL732" s="83">
        <f t="shared" si="4686"/>
        <v>0</v>
      </c>
      <c r="AN732" s="43">
        <f t="shared" si="4659"/>
        <v>0</v>
      </c>
      <c r="AP732" t="str">
        <f t="shared" si="4687"/>
        <v/>
      </c>
      <c r="AQ732" t="str">
        <f t="shared" si="4688"/>
        <v/>
      </c>
      <c r="AR732" t="str">
        <f t="shared" si="4689"/>
        <v/>
      </c>
      <c r="AS732" t="str">
        <f t="shared" si="4690"/>
        <v/>
      </c>
      <c r="AT732" t="str">
        <f t="shared" si="4691"/>
        <v/>
      </c>
      <c r="AU732" t="str">
        <f t="shared" si="4692"/>
        <v/>
      </c>
      <c r="AV732" t="str">
        <f t="shared" si="4693"/>
        <v/>
      </c>
      <c r="AW732" t="str">
        <f t="shared" si="4694"/>
        <v xml:space="preserve">                              </v>
      </c>
      <c r="AX732" s="23">
        <f t="shared" si="4695"/>
        <v>0</v>
      </c>
      <c r="AY732" s="49" t="str">
        <f t="shared" si="4671"/>
        <v>000000000000000</v>
      </c>
      <c r="AZ732" s="23">
        <f t="shared" si="4696"/>
        <v>0</v>
      </c>
      <c r="BA732" s="49" t="str">
        <f t="shared" si="4671"/>
        <v>000000000000000</v>
      </c>
      <c r="BB732" s="23">
        <f t="shared" si="4697"/>
        <v>0</v>
      </c>
      <c r="BC732" s="49" t="str">
        <f t="shared" ref="BC732" si="4800">IF(BB732&lt;0,SUBSTITUTE(TEXT(BB732,"000000000000,00"),",",""),SUBSTITUTE(TEXT(BB732,"0000000000000,00"),",",""))</f>
        <v>000000000000000</v>
      </c>
      <c r="BD732" s="23">
        <f t="shared" si="4699"/>
        <v>0</v>
      </c>
      <c r="BE732" s="49" t="str">
        <f t="shared" ref="BE732" si="4801">IF(BD732&lt;0,SUBSTITUTE(TEXT(BD732,"000000000000,00"),",",""),SUBSTITUTE(TEXT(BD732,"0000000000000,00"),",",""))</f>
        <v>000000000000000</v>
      </c>
      <c r="BF732" s="23">
        <f t="shared" si="4701"/>
        <v>0</v>
      </c>
      <c r="BG732" s="49" t="str">
        <f t="shared" ref="BG732" si="4802">IF(BF732&lt;0,SUBSTITUTE(TEXT(BF732,"000000000000,00"),",",""),SUBSTITUTE(TEXT(BF732,"0000000000000,00"),",",""))</f>
        <v>000000000000000</v>
      </c>
      <c r="BH732" s="23">
        <f t="shared" si="4703"/>
        <v>0</v>
      </c>
      <c r="BI732" s="49" t="str">
        <f t="shared" ref="BI732" si="4803">IF(BH732&lt;0,SUBSTITUTE(TEXT(BH732,"000000000000,00"),",",""),SUBSTITUTE(TEXT(BH732,"0000000000000,00"),",",""))</f>
        <v>000000000000000</v>
      </c>
      <c r="BJ732" s="23">
        <f t="shared" si="4705"/>
        <v>0</v>
      </c>
      <c r="BK732" s="49" t="str">
        <f t="shared" ref="BK732" si="4804">IF(BJ732&lt;0,SUBSTITUTE(TEXT(BJ732,"000000000000,00"),",",""),SUBSTITUTE(TEXT(BJ732,"0000000000000,00"),",",""))</f>
        <v>000000000000000</v>
      </c>
      <c r="BL732" s="23">
        <f t="shared" si="4707"/>
        <v>0</v>
      </c>
      <c r="BM732" s="49" t="str">
        <f t="shared" ref="BM732" si="4805">IF(BL732&lt;0,SUBSTITUTE(TEXT(BL732,"000000000000,00"),",",""),SUBSTITUTE(TEXT(BL732,"0000000000000,00"),",",""))</f>
        <v>000000000000000</v>
      </c>
      <c r="BN732" t="str">
        <f t="shared" si="4709"/>
        <v>PES</v>
      </c>
      <c r="BO732" t="str">
        <f t="shared" si="4710"/>
        <v>0001000000</v>
      </c>
      <c r="BP732">
        <f t="shared" si="4711"/>
        <v>0</v>
      </c>
      <c r="BQ732">
        <f t="shared" si="4712"/>
        <v>0</v>
      </c>
      <c r="BR732" s="23">
        <f t="shared" si="4713"/>
        <v>0</v>
      </c>
      <c r="BS732" s="49" t="str">
        <f t="shared" si="4678"/>
        <v>000000000000000</v>
      </c>
      <c r="BT732" t="str">
        <f t="shared" si="4714"/>
        <v>00000000</v>
      </c>
      <c r="BU732" s="23">
        <f t="shared" si="4715"/>
        <v>0</v>
      </c>
      <c r="BV732" s="49" t="str">
        <f t="shared" si="4679"/>
        <v/>
      </c>
      <c r="BW732" s="52" t="str">
        <f t="shared" si="4716"/>
        <v/>
      </c>
      <c r="BX732" s="23">
        <f t="shared" si="4717"/>
        <v>0</v>
      </c>
      <c r="BY732" s="49" t="str">
        <f t="shared" si="4680"/>
        <v/>
      </c>
      <c r="BZ732" s="23">
        <f t="shared" si="4718"/>
        <v>0</v>
      </c>
      <c r="CA732" s="49" t="str">
        <f t="shared" si="4681"/>
        <v/>
      </c>
      <c r="CB732" s="52" t="str">
        <f t="shared" si="4719"/>
        <v/>
      </c>
      <c r="CC732" s="23">
        <f t="shared" si="4720"/>
        <v>0</v>
      </c>
      <c r="CD732" s="49" t="str">
        <f t="shared" si="4682"/>
        <v/>
      </c>
      <c r="CE732" s="56" t="str">
        <f>IF(CF732="","",MAX(CE$10:$CE731)+1)</f>
        <v/>
      </c>
      <c r="CF732" t="str">
        <f t="shared" si="4721"/>
        <v/>
      </c>
      <c r="CG732" s="22" t="str">
        <f>IF(CH732="","",MAX($CG$10:CG731)+1)</f>
        <v/>
      </c>
      <c r="CH732" s="22" t="str">
        <f t="shared" si="4666"/>
        <v/>
      </c>
      <c r="CI732" s="22" t="str">
        <f>IF(CJ732="","",MAX($CI$10:CI731)+1)</f>
        <v/>
      </c>
      <c r="CJ732" s="22" t="str">
        <f t="shared" si="4667"/>
        <v/>
      </c>
    </row>
    <row r="733" spans="2:88" x14ac:dyDescent="0.25">
      <c r="B733" s="37"/>
      <c r="C733" s="3"/>
      <c r="D733" s="77" t="str">
        <f t="shared" si="4653"/>
        <v/>
      </c>
      <c r="E733" s="38"/>
      <c r="F733" s="38"/>
      <c r="G733" s="78">
        <f t="shared" si="4668"/>
        <v>0</v>
      </c>
      <c r="H733" s="3">
        <v>80</v>
      </c>
      <c r="I733" s="77" t="str">
        <f t="shared" si="4654"/>
        <v/>
      </c>
      <c r="J733" s="32"/>
      <c r="K733" s="3"/>
      <c r="L733" s="39"/>
      <c r="M733" s="39"/>
      <c r="N733" s="39"/>
      <c r="O733" s="39"/>
      <c r="P733" s="39"/>
      <c r="Q733" s="39"/>
      <c r="R733" s="39"/>
      <c r="S733" s="39"/>
      <c r="T733" s="3" t="s">
        <v>645</v>
      </c>
      <c r="U733" s="77" t="str">
        <f t="shared" si="4655"/>
        <v/>
      </c>
      <c r="V733" s="39">
        <v>1</v>
      </c>
      <c r="W733" s="79">
        <f t="shared" si="4669"/>
        <v>0</v>
      </c>
      <c r="X733" s="3">
        <v>0</v>
      </c>
      <c r="Y733" s="77" t="str">
        <f t="shared" si="4656"/>
        <v/>
      </c>
      <c r="Z733" s="3"/>
      <c r="AA733" s="37" t="str">
        <f t="shared" si="4670"/>
        <v/>
      </c>
      <c r="AC733" s="40"/>
      <c r="AD733" s="7"/>
      <c r="AE733" s="77" t="str">
        <f t="shared" si="4657"/>
        <v/>
      </c>
      <c r="AF733" s="81">
        <f t="shared" si="4683"/>
        <v>0</v>
      </c>
      <c r="AG733" s="40"/>
      <c r="AH733" s="7"/>
      <c r="AI733" s="77" t="str">
        <f t="shared" si="4658"/>
        <v/>
      </c>
      <c r="AJ733" s="81">
        <f t="shared" si="4684"/>
        <v>0</v>
      </c>
      <c r="AK733" s="83">
        <f t="shared" si="4685"/>
        <v>0</v>
      </c>
      <c r="AL733" s="83">
        <f t="shared" si="4686"/>
        <v>0</v>
      </c>
      <c r="AN733" s="43">
        <f t="shared" si="4659"/>
        <v>0</v>
      </c>
      <c r="AP733" t="str">
        <f t="shared" si="4687"/>
        <v/>
      </c>
      <c r="AQ733" t="str">
        <f t="shared" si="4688"/>
        <v/>
      </c>
      <c r="AR733" t="str">
        <f t="shared" si="4689"/>
        <v/>
      </c>
      <c r="AS733" t="str">
        <f t="shared" si="4690"/>
        <v/>
      </c>
      <c r="AT733" t="str">
        <f t="shared" si="4691"/>
        <v/>
      </c>
      <c r="AU733" t="str">
        <f t="shared" si="4692"/>
        <v/>
      </c>
      <c r="AV733" t="str">
        <f t="shared" si="4693"/>
        <v/>
      </c>
      <c r="AW733" t="str">
        <f t="shared" si="4694"/>
        <v xml:space="preserve">                              </v>
      </c>
      <c r="AX733" s="23">
        <f t="shared" si="4695"/>
        <v>0</v>
      </c>
      <c r="AY733" s="49" t="str">
        <f t="shared" si="4671"/>
        <v>000000000000000</v>
      </c>
      <c r="AZ733" s="23">
        <f t="shared" si="4696"/>
        <v>0</v>
      </c>
      <c r="BA733" s="49" t="str">
        <f t="shared" si="4671"/>
        <v>000000000000000</v>
      </c>
      <c r="BB733" s="23">
        <f t="shared" si="4697"/>
        <v>0</v>
      </c>
      <c r="BC733" s="49" t="str">
        <f t="shared" ref="BC733" si="4806">IF(BB733&lt;0,SUBSTITUTE(TEXT(BB733,"000000000000,00"),",",""),SUBSTITUTE(TEXT(BB733,"0000000000000,00"),",",""))</f>
        <v>000000000000000</v>
      </c>
      <c r="BD733" s="23">
        <f t="shared" si="4699"/>
        <v>0</v>
      </c>
      <c r="BE733" s="49" t="str">
        <f t="shared" ref="BE733" si="4807">IF(BD733&lt;0,SUBSTITUTE(TEXT(BD733,"000000000000,00"),",",""),SUBSTITUTE(TEXT(BD733,"0000000000000,00"),",",""))</f>
        <v>000000000000000</v>
      </c>
      <c r="BF733" s="23">
        <f t="shared" si="4701"/>
        <v>0</v>
      </c>
      <c r="BG733" s="49" t="str">
        <f t="shared" ref="BG733" si="4808">IF(BF733&lt;0,SUBSTITUTE(TEXT(BF733,"000000000000,00"),",",""),SUBSTITUTE(TEXT(BF733,"0000000000000,00"),",",""))</f>
        <v>000000000000000</v>
      </c>
      <c r="BH733" s="23">
        <f t="shared" si="4703"/>
        <v>0</v>
      </c>
      <c r="BI733" s="49" t="str">
        <f t="shared" ref="BI733" si="4809">IF(BH733&lt;0,SUBSTITUTE(TEXT(BH733,"000000000000,00"),",",""),SUBSTITUTE(TEXT(BH733,"0000000000000,00"),",",""))</f>
        <v>000000000000000</v>
      </c>
      <c r="BJ733" s="23">
        <f t="shared" si="4705"/>
        <v>0</v>
      </c>
      <c r="BK733" s="49" t="str">
        <f t="shared" ref="BK733" si="4810">IF(BJ733&lt;0,SUBSTITUTE(TEXT(BJ733,"000000000000,00"),",",""),SUBSTITUTE(TEXT(BJ733,"0000000000000,00"),",",""))</f>
        <v>000000000000000</v>
      </c>
      <c r="BL733" s="23">
        <f t="shared" si="4707"/>
        <v>0</v>
      </c>
      <c r="BM733" s="49" t="str">
        <f t="shared" ref="BM733" si="4811">IF(BL733&lt;0,SUBSTITUTE(TEXT(BL733,"000000000000,00"),",",""),SUBSTITUTE(TEXT(BL733,"0000000000000,00"),",",""))</f>
        <v>000000000000000</v>
      </c>
      <c r="BN733" t="str">
        <f t="shared" si="4709"/>
        <v>PES</v>
      </c>
      <c r="BO733" t="str">
        <f t="shared" si="4710"/>
        <v>0001000000</v>
      </c>
      <c r="BP733">
        <f t="shared" si="4711"/>
        <v>0</v>
      </c>
      <c r="BQ733">
        <f t="shared" si="4712"/>
        <v>0</v>
      </c>
      <c r="BR733" s="23">
        <f t="shared" si="4713"/>
        <v>0</v>
      </c>
      <c r="BS733" s="49" t="str">
        <f t="shared" si="4678"/>
        <v>000000000000000</v>
      </c>
      <c r="BT733" t="str">
        <f t="shared" si="4714"/>
        <v>00000000</v>
      </c>
      <c r="BU733" s="23">
        <f t="shared" si="4715"/>
        <v>0</v>
      </c>
      <c r="BV733" s="49" t="str">
        <f t="shared" si="4679"/>
        <v/>
      </c>
      <c r="BW733" s="52" t="str">
        <f t="shared" si="4716"/>
        <v/>
      </c>
      <c r="BX733" s="23">
        <f t="shared" si="4717"/>
        <v>0</v>
      </c>
      <c r="BY733" s="49" t="str">
        <f t="shared" si="4680"/>
        <v/>
      </c>
      <c r="BZ733" s="23">
        <f t="shared" si="4718"/>
        <v>0</v>
      </c>
      <c r="CA733" s="49" t="str">
        <f t="shared" si="4681"/>
        <v/>
      </c>
      <c r="CB733" s="52" t="str">
        <f t="shared" si="4719"/>
        <v/>
      </c>
      <c r="CC733" s="23">
        <f t="shared" si="4720"/>
        <v>0</v>
      </c>
      <c r="CD733" s="49" t="str">
        <f t="shared" si="4682"/>
        <v/>
      </c>
      <c r="CE733" s="56" t="str">
        <f>IF(CF733="","",MAX(CE$10:$CE732)+1)</f>
        <v/>
      </c>
      <c r="CF733" t="str">
        <f t="shared" si="4721"/>
        <v/>
      </c>
      <c r="CG733" s="22" t="str">
        <f>IF(CH733="","",MAX($CG$10:CG732)+1)</f>
        <v/>
      </c>
      <c r="CH733" s="22" t="str">
        <f t="shared" si="4666"/>
        <v/>
      </c>
      <c r="CI733" s="22" t="str">
        <f>IF(CJ733="","",MAX($CI$10:CI732)+1)</f>
        <v/>
      </c>
      <c r="CJ733" s="22" t="str">
        <f t="shared" si="4667"/>
        <v/>
      </c>
    </row>
    <row r="734" spans="2:88" x14ac:dyDescent="0.25">
      <c r="B734" s="37"/>
      <c r="C734" s="3"/>
      <c r="D734" s="77" t="str">
        <f t="shared" si="4653"/>
        <v/>
      </c>
      <c r="E734" s="38"/>
      <c r="F734" s="38"/>
      <c r="G734" s="78">
        <f t="shared" si="4668"/>
        <v>0</v>
      </c>
      <c r="H734" s="3">
        <v>80</v>
      </c>
      <c r="I734" s="77" t="str">
        <f t="shared" si="4654"/>
        <v/>
      </c>
      <c r="J734" s="32"/>
      <c r="K734" s="3"/>
      <c r="L734" s="39"/>
      <c r="M734" s="39"/>
      <c r="N734" s="39"/>
      <c r="O734" s="39"/>
      <c r="P734" s="39"/>
      <c r="Q734" s="39"/>
      <c r="R734" s="39"/>
      <c r="S734" s="39"/>
      <c r="T734" s="3" t="s">
        <v>645</v>
      </c>
      <c r="U734" s="77" t="str">
        <f t="shared" si="4655"/>
        <v/>
      </c>
      <c r="V734" s="39">
        <v>1</v>
      </c>
      <c r="W734" s="79">
        <f t="shared" si="4669"/>
        <v>0</v>
      </c>
      <c r="X734" s="3">
        <v>0</v>
      </c>
      <c r="Y734" s="77" t="str">
        <f t="shared" si="4656"/>
        <v/>
      </c>
      <c r="Z734" s="3"/>
      <c r="AA734" s="37" t="str">
        <f t="shared" si="4670"/>
        <v/>
      </c>
      <c r="AC734" s="40"/>
      <c r="AD734" s="7"/>
      <c r="AE734" s="77" t="str">
        <f t="shared" si="4657"/>
        <v/>
      </c>
      <c r="AF734" s="81">
        <f t="shared" si="4683"/>
        <v>0</v>
      </c>
      <c r="AG734" s="40"/>
      <c r="AH734" s="7"/>
      <c r="AI734" s="77" t="str">
        <f t="shared" si="4658"/>
        <v/>
      </c>
      <c r="AJ734" s="81">
        <f t="shared" si="4684"/>
        <v>0</v>
      </c>
      <c r="AK734" s="83">
        <f t="shared" si="4685"/>
        <v>0</v>
      </c>
      <c r="AL734" s="83">
        <f t="shared" si="4686"/>
        <v>0</v>
      </c>
      <c r="AN734" s="43">
        <f t="shared" si="4659"/>
        <v>0</v>
      </c>
      <c r="AP734" t="str">
        <f t="shared" si="4687"/>
        <v/>
      </c>
      <c r="AQ734" t="str">
        <f t="shared" si="4688"/>
        <v/>
      </c>
      <c r="AR734" t="str">
        <f t="shared" si="4689"/>
        <v/>
      </c>
      <c r="AS734" t="str">
        <f t="shared" si="4690"/>
        <v/>
      </c>
      <c r="AT734" t="str">
        <f t="shared" si="4691"/>
        <v/>
      </c>
      <c r="AU734" t="str">
        <f t="shared" si="4692"/>
        <v/>
      </c>
      <c r="AV734" t="str">
        <f t="shared" si="4693"/>
        <v/>
      </c>
      <c r="AW734" t="str">
        <f t="shared" si="4694"/>
        <v xml:space="preserve">                              </v>
      </c>
      <c r="AX734" s="23">
        <f t="shared" si="4695"/>
        <v>0</v>
      </c>
      <c r="AY734" s="49" t="str">
        <f t="shared" si="4671"/>
        <v>000000000000000</v>
      </c>
      <c r="AZ734" s="23">
        <f t="shared" si="4696"/>
        <v>0</v>
      </c>
      <c r="BA734" s="49" t="str">
        <f t="shared" si="4671"/>
        <v>000000000000000</v>
      </c>
      <c r="BB734" s="23">
        <f t="shared" si="4697"/>
        <v>0</v>
      </c>
      <c r="BC734" s="49" t="str">
        <f t="shared" ref="BC734" si="4812">IF(BB734&lt;0,SUBSTITUTE(TEXT(BB734,"000000000000,00"),",",""),SUBSTITUTE(TEXT(BB734,"0000000000000,00"),",",""))</f>
        <v>000000000000000</v>
      </c>
      <c r="BD734" s="23">
        <f t="shared" si="4699"/>
        <v>0</v>
      </c>
      <c r="BE734" s="49" t="str">
        <f t="shared" ref="BE734" si="4813">IF(BD734&lt;0,SUBSTITUTE(TEXT(BD734,"000000000000,00"),",",""),SUBSTITUTE(TEXT(BD734,"0000000000000,00"),",",""))</f>
        <v>000000000000000</v>
      </c>
      <c r="BF734" s="23">
        <f t="shared" si="4701"/>
        <v>0</v>
      </c>
      <c r="BG734" s="49" t="str">
        <f t="shared" ref="BG734" si="4814">IF(BF734&lt;0,SUBSTITUTE(TEXT(BF734,"000000000000,00"),",",""),SUBSTITUTE(TEXT(BF734,"0000000000000,00"),",",""))</f>
        <v>000000000000000</v>
      </c>
      <c r="BH734" s="23">
        <f t="shared" si="4703"/>
        <v>0</v>
      </c>
      <c r="BI734" s="49" t="str">
        <f t="shared" ref="BI734" si="4815">IF(BH734&lt;0,SUBSTITUTE(TEXT(BH734,"000000000000,00"),",",""),SUBSTITUTE(TEXT(BH734,"0000000000000,00"),",",""))</f>
        <v>000000000000000</v>
      </c>
      <c r="BJ734" s="23">
        <f t="shared" si="4705"/>
        <v>0</v>
      </c>
      <c r="BK734" s="49" t="str">
        <f t="shared" ref="BK734" si="4816">IF(BJ734&lt;0,SUBSTITUTE(TEXT(BJ734,"000000000000,00"),",",""),SUBSTITUTE(TEXT(BJ734,"0000000000000,00"),",",""))</f>
        <v>000000000000000</v>
      </c>
      <c r="BL734" s="23">
        <f t="shared" si="4707"/>
        <v>0</v>
      </c>
      <c r="BM734" s="49" t="str">
        <f t="shared" ref="BM734" si="4817">IF(BL734&lt;0,SUBSTITUTE(TEXT(BL734,"000000000000,00"),",",""),SUBSTITUTE(TEXT(BL734,"0000000000000,00"),",",""))</f>
        <v>000000000000000</v>
      </c>
      <c r="BN734" t="str">
        <f t="shared" si="4709"/>
        <v>PES</v>
      </c>
      <c r="BO734" t="str">
        <f t="shared" si="4710"/>
        <v>0001000000</v>
      </c>
      <c r="BP734">
        <f t="shared" si="4711"/>
        <v>0</v>
      </c>
      <c r="BQ734">
        <f t="shared" si="4712"/>
        <v>0</v>
      </c>
      <c r="BR734" s="23">
        <f t="shared" si="4713"/>
        <v>0</v>
      </c>
      <c r="BS734" s="49" t="str">
        <f t="shared" si="4678"/>
        <v>000000000000000</v>
      </c>
      <c r="BT734" t="str">
        <f t="shared" si="4714"/>
        <v>00000000</v>
      </c>
      <c r="BU734" s="23">
        <f t="shared" si="4715"/>
        <v>0</v>
      </c>
      <c r="BV734" s="49" t="str">
        <f t="shared" si="4679"/>
        <v/>
      </c>
      <c r="BW734" s="52" t="str">
        <f t="shared" si="4716"/>
        <v/>
      </c>
      <c r="BX734" s="23">
        <f t="shared" si="4717"/>
        <v>0</v>
      </c>
      <c r="BY734" s="49" t="str">
        <f t="shared" si="4680"/>
        <v/>
      </c>
      <c r="BZ734" s="23">
        <f t="shared" si="4718"/>
        <v>0</v>
      </c>
      <c r="CA734" s="49" t="str">
        <f t="shared" si="4681"/>
        <v/>
      </c>
      <c r="CB734" s="52" t="str">
        <f t="shared" si="4719"/>
        <v/>
      </c>
      <c r="CC734" s="23">
        <f t="shared" si="4720"/>
        <v>0</v>
      </c>
      <c r="CD734" s="49" t="str">
        <f t="shared" si="4682"/>
        <v/>
      </c>
      <c r="CE734" s="56" t="str">
        <f>IF(CF734="","",MAX(CE$10:$CE733)+1)</f>
        <v/>
      </c>
      <c r="CF734" t="str">
        <f t="shared" si="4721"/>
        <v/>
      </c>
      <c r="CG734" s="22" t="str">
        <f>IF(CH734="","",MAX($CG$10:CG733)+1)</f>
        <v/>
      </c>
      <c r="CH734" s="22" t="str">
        <f t="shared" si="4666"/>
        <v/>
      </c>
      <c r="CI734" s="22" t="str">
        <f>IF(CJ734="","",MAX($CI$10:CI733)+1)</f>
        <v/>
      </c>
      <c r="CJ734" s="22" t="str">
        <f t="shared" si="4667"/>
        <v/>
      </c>
    </row>
    <row r="735" spans="2:88" x14ac:dyDescent="0.25">
      <c r="B735" s="37"/>
      <c r="C735" s="3"/>
      <c r="D735" s="77" t="str">
        <f t="shared" si="4653"/>
        <v/>
      </c>
      <c r="E735" s="38"/>
      <c r="F735" s="38"/>
      <c r="G735" s="78">
        <f t="shared" si="4668"/>
        <v>0</v>
      </c>
      <c r="H735" s="3">
        <v>80</v>
      </c>
      <c r="I735" s="77" t="str">
        <f t="shared" si="4654"/>
        <v/>
      </c>
      <c r="J735" s="32"/>
      <c r="K735" s="3"/>
      <c r="L735" s="39"/>
      <c r="M735" s="39"/>
      <c r="N735" s="39"/>
      <c r="O735" s="39"/>
      <c r="P735" s="39"/>
      <c r="Q735" s="39"/>
      <c r="R735" s="39"/>
      <c r="S735" s="39"/>
      <c r="T735" s="3" t="s">
        <v>645</v>
      </c>
      <c r="U735" s="77" t="str">
        <f t="shared" si="4655"/>
        <v/>
      </c>
      <c r="V735" s="39">
        <v>1</v>
      </c>
      <c r="W735" s="79">
        <f t="shared" si="4669"/>
        <v>0</v>
      </c>
      <c r="X735" s="3">
        <v>0</v>
      </c>
      <c r="Y735" s="77" t="str">
        <f t="shared" si="4656"/>
        <v/>
      </c>
      <c r="Z735" s="3"/>
      <c r="AA735" s="37" t="str">
        <f t="shared" si="4670"/>
        <v/>
      </c>
      <c r="AC735" s="40"/>
      <c r="AD735" s="7"/>
      <c r="AE735" s="77" t="str">
        <f t="shared" si="4657"/>
        <v/>
      </c>
      <c r="AF735" s="81">
        <f t="shared" si="4683"/>
        <v>0</v>
      </c>
      <c r="AG735" s="40"/>
      <c r="AH735" s="7"/>
      <c r="AI735" s="77" t="str">
        <f t="shared" si="4658"/>
        <v/>
      </c>
      <c r="AJ735" s="81">
        <f t="shared" si="4684"/>
        <v>0</v>
      </c>
      <c r="AK735" s="83">
        <f t="shared" si="4685"/>
        <v>0</v>
      </c>
      <c r="AL735" s="83">
        <f t="shared" si="4686"/>
        <v>0</v>
      </c>
      <c r="AN735" s="43">
        <f t="shared" si="4659"/>
        <v>0</v>
      </c>
      <c r="AP735" t="str">
        <f t="shared" si="4687"/>
        <v/>
      </c>
      <c r="AQ735" t="str">
        <f t="shared" si="4688"/>
        <v/>
      </c>
      <c r="AR735" t="str">
        <f t="shared" si="4689"/>
        <v/>
      </c>
      <c r="AS735" t="str">
        <f t="shared" si="4690"/>
        <v/>
      </c>
      <c r="AT735" t="str">
        <f t="shared" si="4691"/>
        <v/>
      </c>
      <c r="AU735" t="str">
        <f t="shared" si="4692"/>
        <v/>
      </c>
      <c r="AV735" t="str">
        <f t="shared" si="4693"/>
        <v/>
      </c>
      <c r="AW735" t="str">
        <f t="shared" si="4694"/>
        <v xml:space="preserve">                              </v>
      </c>
      <c r="AX735" s="23">
        <f t="shared" si="4695"/>
        <v>0</v>
      </c>
      <c r="AY735" s="49" t="str">
        <f t="shared" si="4671"/>
        <v>000000000000000</v>
      </c>
      <c r="AZ735" s="23">
        <f t="shared" si="4696"/>
        <v>0</v>
      </c>
      <c r="BA735" s="49" t="str">
        <f t="shared" si="4671"/>
        <v>000000000000000</v>
      </c>
      <c r="BB735" s="23">
        <f t="shared" si="4697"/>
        <v>0</v>
      </c>
      <c r="BC735" s="49" t="str">
        <f t="shared" ref="BC735" si="4818">IF(BB735&lt;0,SUBSTITUTE(TEXT(BB735,"000000000000,00"),",",""),SUBSTITUTE(TEXT(BB735,"0000000000000,00"),",",""))</f>
        <v>000000000000000</v>
      </c>
      <c r="BD735" s="23">
        <f t="shared" si="4699"/>
        <v>0</v>
      </c>
      <c r="BE735" s="49" t="str">
        <f t="shared" ref="BE735" si="4819">IF(BD735&lt;0,SUBSTITUTE(TEXT(BD735,"000000000000,00"),",",""),SUBSTITUTE(TEXT(BD735,"0000000000000,00"),",",""))</f>
        <v>000000000000000</v>
      </c>
      <c r="BF735" s="23">
        <f t="shared" si="4701"/>
        <v>0</v>
      </c>
      <c r="BG735" s="49" t="str">
        <f t="shared" ref="BG735" si="4820">IF(BF735&lt;0,SUBSTITUTE(TEXT(BF735,"000000000000,00"),",",""),SUBSTITUTE(TEXT(BF735,"0000000000000,00"),",",""))</f>
        <v>000000000000000</v>
      </c>
      <c r="BH735" s="23">
        <f t="shared" si="4703"/>
        <v>0</v>
      </c>
      <c r="BI735" s="49" t="str">
        <f t="shared" ref="BI735" si="4821">IF(BH735&lt;0,SUBSTITUTE(TEXT(BH735,"000000000000,00"),",",""),SUBSTITUTE(TEXT(BH735,"0000000000000,00"),",",""))</f>
        <v>000000000000000</v>
      </c>
      <c r="BJ735" s="23">
        <f t="shared" si="4705"/>
        <v>0</v>
      </c>
      <c r="BK735" s="49" t="str">
        <f t="shared" ref="BK735" si="4822">IF(BJ735&lt;0,SUBSTITUTE(TEXT(BJ735,"000000000000,00"),",",""),SUBSTITUTE(TEXT(BJ735,"0000000000000,00"),",",""))</f>
        <v>000000000000000</v>
      </c>
      <c r="BL735" s="23">
        <f t="shared" si="4707"/>
        <v>0</v>
      </c>
      <c r="BM735" s="49" t="str">
        <f t="shared" ref="BM735" si="4823">IF(BL735&lt;0,SUBSTITUTE(TEXT(BL735,"000000000000,00"),",",""),SUBSTITUTE(TEXT(BL735,"0000000000000,00"),",",""))</f>
        <v>000000000000000</v>
      </c>
      <c r="BN735" t="str">
        <f t="shared" si="4709"/>
        <v>PES</v>
      </c>
      <c r="BO735" t="str">
        <f t="shared" si="4710"/>
        <v>0001000000</v>
      </c>
      <c r="BP735">
        <f t="shared" si="4711"/>
        <v>0</v>
      </c>
      <c r="BQ735">
        <f t="shared" si="4712"/>
        <v>0</v>
      </c>
      <c r="BR735" s="23">
        <f t="shared" si="4713"/>
        <v>0</v>
      </c>
      <c r="BS735" s="49" t="str">
        <f t="shared" si="4678"/>
        <v>000000000000000</v>
      </c>
      <c r="BT735" t="str">
        <f t="shared" si="4714"/>
        <v>00000000</v>
      </c>
      <c r="BU735" s="23">
        <f t="shared" si="4715"/>
        <v>0</v>
      </c>
      <c r="BV735" s="49" t="str">
        <f t="shared" si="4679"/>
        <v/>
      </c>
      <c r="BW735" s="52" t="str">
        <f t="shared" si="4716"/>
        <v/>
      </c>
      <c r="BX735" s="23">
        <f t="shared" si="4717"/>
        <v>0</v>
      </c>
      <c r="BY735" s="49" t="str">
        <f t="shared" si="4680"/>
        <v/>
      </c>
      <c r="BZ735" s="23">
        <f t="shared" si="4718"/>
        <v>0</v>
      </c>
      <c r="CA735" s="49" t="str">
        <f t="shared" si="4681"/>
        <v/>
      </c>
      <c r="CB735" s="52" t="str">
        <f t="shared" si="4719"/>
        <v/>
      </c>
      <c r="CC735" s="23">
        <f t="shared" si="4720"/>
        <v>0</v>
      </c>
      <c r="CD735" s="49" t="str">
        <f t="shared" si="4682"/>
        <v/>
      </c>
      <c r="CE735" s="56" t="str">
        <f>IF(CF735="","",MAX(CE$10:$CE734)+1)</f>
        <v/>
      </c>
      <c r="CF735" t="str">
        <f t="shared" si="4721"/>
        <v/>
      </c>
      <c r="CG735" s="22" t="str">
        <f>IF(CH735="","",MAX($CG$10:CG734)+1)</f>
        <v/>
      </c>
      <c r="CH735" s="22" t="str">
        <f t="shared" si="4666"/>
        <v/>
      </c>
      <c r="CI735" s="22" t="str">
        <f>IF(CJ735="","",MAX($CI$10:CI734)+1)</f>
        <v/>
      </c>
      <c r="CJ735" s="22" t="str">
        <f t="shared" si="4667"/>
        <v/>
      </c>
    </row>
    <row r="736" spans="2:88" x14ac:dyDescent="0.25">
      <c r="B736" s="37"/>
      <c r="C736" s="3"/>
      <c r="D736" s="77" t="str">
        <f t="shared" si="4653"/>
        <v/>
      </c>
      <c r="E736" s="38"/>
      <c r="F736" s="38"/>
      <c r="G736" s="78">
        <f t="shared" si="4668"/>
        <v>0</v>
      </c>
      <c r="H736" s="3">
        <v>80</v>
      </c>
      <c r="I736" s="77" t="str">
        <f t="shared" si="4654"/>
        <v/>
      </c>
      <c r="J736" s="32"/>
      <c r="K736" s="3"/>
      <c r="L736" s="39"/>
      <c r="M736" s="39"/>
      <c r="N736" s="39"/>
      <c r="O736" s="39"/>
      <c r="P736" s="39"/>
      <c r="Q736" s="39"/>
      <c r="R736" s="39"/>
      <c r="S736" s="39"/>
      <c r="T736" s="3" t="s">
        <v>645</v>
      </c>
      <c r="U736" s="77" t="str">
        <f t="shared" si="4655"/>
        <v/>
      </c>
      <c r="V736" s="39">
        <v>1</v>
      </c>
      <c r="W736" s="79">
        <f t="shared" si="4669"/>
        <v>0</v>
      </c>
      <c r="X736" s="3">
        <v>0</v>
      </c>
      <c r="Y736" s="77" t="str">
        <f t="shared" si="4656"/>
        <v/>
      </c>
      <c r="Z736" s="3"/>
      <c r="AA736" s="37" t="str">
        <f t="shared" si="4670"/>
        <v/>
      </c>
      <c r="AC736" s="40"/>
      <c r="AD736" s="7"/>
      <c r="AE736" s="77" t="str">
        <f t="shared" si="4657"/>
        <v/>
      </c>
      <c r="AF736" s="81">
        <f t="shared" si="4683"/>
        <v>0</v>
      </c>
      <c r="AG736" s="40"/>
      <c r="AH736" s="7"/>
      <c r="AI736" s="77" t="str">
        <f t="shared" si="4658"/>
        <v/>
      </c>
      <c r="AJ736" s="81">
        <f t="shared" si="4684"/>
        <v>0</v>
      </c>
      <c r="AK736" s="83">
        <f t="shared" si="4685"/>
        <v>0</v>
      </c>
      <c r="AL736" s="83">
        <f t="shared" si="4686"/>
        <v>0</v>
      </c>
      <c r="AN736" s="43">
        <f t="shared" si="4659"/>
        <v>0</v>
      </c>
      <c r="AP736" t="str">
        <f t="shared" si="4687"/>
        <v/>
      </c>
      <c r="AQ736" t="str">
        <f t="shared" si="4688"/>
        <v/>
      </c>
      <c r="AR736" t="str">
        <f t="shared" si="4689"/>
        <v/>
      </c>
      <c r="AS736" t="str">
        <f t="shared" si="4690"/>
        <v/>
      </c>
      <c r="AT736" t="str">
        <f t="shared" si="4691"/>
        <v/>
      </c>
      <c r="AU736" t="str">
        <f t="shared" si="4692"/>
        <v/>
      </c>
      <c r="AV736" t="str">
        <f t="shared" si="4693"/>
        <v/>
      </c>
      <c r="AW736" t="str">
        <f t="shared" si="4694"/>
        <v xml:space="preserve">                              </v>
      </c>
      <c r="AX736" s="23">
        <f t="shared" si="4695"/>
        <v>0</v>
      </c>
      <c r="AY736" s="49" t="str">
        <f t="shared" si="4671"/>
        <v>000000000000000</v>
      </c>
      <c r="AZ736" s="23">
        <f t="shared" si="4696"/>
        <v>0</v>
      </c>
      <c r="BA736" s="49" t="str">
        <f t="shared" si="4671"/>
        <v>000000000000000</v>
      </c>
      <c r="BB736" s="23">
        <f t="shared" si="4697"/>
        <v>0</v>
      </c>
      <c r="BC736" s="49" t="str">
        <f t="shared" ref="BC736" si="4824">IF(BB736&lt;0,SUBSTITUTE(TEXT(BB736,"000000000000,00"),",",""),SUBSTITUTE(TEXT(BB736,"0000000000000,00"),",",""))</f>
        <v>000000000000000</v>
      </c>
      <c r="BD736" s="23">
        <f t="shared" si="4699"/>
        <v>0</v>
      </c>
      <c r="BE736" s="49" t="str">
        <f t="shared" ref="BE736" si="4825">IF(BD736&lt;0,SUBSTITUTE(TEXT(BD736,"000000000000,00"),",",""),SUBSTITUTE(TEXT(BD736,"0000000000000,00"),",",""))</f>
        <v>000000000000000</v>
      </c>
      <c r="BF736" s="23">
        <f t="shared" si="4701"/>
        <v>0</v>
      </c>
      <c r="BG736" s="49" t="str">
        <f t="shared" ref="BG736" si="4826">IF(BF736&lt;0,SUBSTITUTE(TEXT(BF736,"000000000000,00"),",",""),SUBSTITUTE(TEXT(BF736,"0000000000000,00"),",",""))</f>
        <v>000000000000000</v>
      </c>
      <c r="BH736" s="23">
        <f t="shared" si="4703"/>
        <v>0</v>
      </c>
      <c r="BI736" s="49" t="str">
        <f t="shared" ref="BI736" si="4827">IF(BH736&lt;0,SUBSTITUTE(TEXT(BH736,"000000000000,00"),",",""),SUBSTITUTE(TEXT(BH736,"0000000000000,00"),",",""))</f>
        <v>000000000000000</v>
      </c>
      <c r="BJ736" s="23">
        <f t="shared" si="4705"/>
        <v>0</v>
      </c>
      <c r="BK736" s="49" t="str">
        <f t="shared" ref="BK736" si="4828">IF(BJ736&lt;0,SUBSTITUTE(TEXT(BJ736,"000000000000,00"),",",""),SUBSTITUTE(TEXT(BJ736,"0000000000000,00"),",",""))</f>
        <v>000000000000000</v>
      </c>
      <c r="BL736" s="23">
        <f t="shared" si="4707"/>
        <v>0</v>
      </c>
      <c r="BM736" s="49" t="str">
        <f t="shared" ref="BM736" si="4829">IF(BL736&lt;0,SUBSTITUTE(TEXT(BL736,"000000000000,00"),",",""),SUBSTITUTE(TEXT(BL736,"0000000000000,00"),",",""))</f>
        <v>000000000000000</v>
      </c>
      <c r="BN736" t="str">
        <f t="shared" si="4709"/>
        <v>PES</v>
      </c>
      <c r="BO736" t="str">
        <f t="shared" si="4710"/>
        <v>0001000000</v>
      </c>
      <c r="BP736">
        <f t="shared" si="4711"/>
        <v>0</v>
      </c>
      <c r="BQ736">
        <f t="shared" si="4712"/>
        <v>0</v>
      </c>
      <c r="BR736" s="23">
        <f t="shared" si="4713"/>
        <v>0</v>
      </c>
      <c r="BS736" s="49" t="str">
        <f t="shared" si="4678"/>
        <v>000000000000000</v>
      </c>
      <c r="BT736" t="str">
        <f t="shared" si="4714"/>
        <v>00000000</v>
      </c>
      <c r="BU736" s="23">
        <f t="shared" si="4715"/>
        <v>0</v>
      </c>
      <c r="BV736" s="49" t="str">
        <f t="shared" si="4679"/>
        <v/>
      </c>
      <c r="BW736" s="52" t="str">
        <f t="shared" si="4716"/>
        <v/>
      </c>
      <c r="BX736" s="23">
        <f t="shared" si="4717"/>
        <v>0</v>
      </c>
      <c r="BY736" s="49" t="str">
        <f t="shared" si="4680"/>
        <v/>
      </c>
      <c r="BZ736" s="23">
        <f t="shared" si="4718"/>
        <v>0</v>
      </c>
      <c r="CA736" s="49" t="str">
        <f t="shared" si="4681"/>
        <v/>
      </c>
      <c r="CB736" s="52" t="str">
        <f t="shared" si="4719"/>
        <v/>
      </c>
      <c r="CC736" s="23">
        <f t="shared" si="4720"/>
        <v>0</v>
      </c>
      <c r="CD736" s="49" t="str">
        <f t="shared" si="4682"/>
        <v/>
      </c>
      <c r="CE736" s="56" t="str">
        <f>IF(CF736="","",MAX(CE$10:$CE735)+1)</f>
        <v/>
      </c>
      <c r="CF736" t="str">
        <f t="shared" si="4721"/>
        <v/>
      </c>
      <c r="CG736" s="22" t="str">
        <f>IF(CH736="","",MAX($CG$10:CG735)+1)</f>
        <v/>
      </c>
      <c r="CH736" s="22" t="str">
        <f t="shared" si="4666"/>
        <v/>
      </c>
      <c r="CI736" s="22" t="str">
        <f>IF(CJ736="","",MAX($CI$10:CI735)+1)</f>
        <v/>
      </c>
      <c r="CJ736" s="22" t="str">
        <f t="shared" si="4667"/>
        <v/>
      </c>
    </row>
    <row r="737" spans="2:88" x14ac:dyDescent="0.25">
      <c r="B737" s="37"/>
      <c r="C737" s="3"/>
      <c r="D737" s="77" t="str">
        <f t="shared" si="4653"/>
        <v/>
      </c>
      <c r="E737" s="38"/>
      <c r="F737" s="38"/>
      <c r="G737" s="78">
        <f t="shared" si="4668"/>
        <v>0</v>
      </c>
      <c r="H737" s="3">
        <v>80</v>
      </c>
      <c r="I737" s="77" t="str">
        <f t="shared" si="4654"/>
        <v/>
      </c>
      <c r="J737" s="32"/>
      <c r="K737" s="3"/>
      <c r="L737" s="39"/>
      <c r="M737" s="39"/>
      <c r="N737" s="39"/>
      <c r="O737" s="39"/>
      <c r="P737" s="39"/>
      <c r="Q737" s="39"/>
      <c r="R737" s="39"/>
      <c r="S737" s="39"/>
      <c r="T737" s="3" t="s">
        <v>645</v>
      </c>
      <c r="U737" s="77" t="str">
        <f t="shared" si="4655"/>
        <v/>
      </c>
      <c r="V737" s="39">
        <v>1</v>
      </c>
      <c r="W737" s="79">
        <f t="shared" si="4669"/>
        <v>0</v>
      </c>
      <c r="X737" s="3">
        <v>0</v>
      </c>
      <c r="Y737" s="77" t="str">
        <f t="shared" si="4656"/>
        <v/>
      </c>
      <c r="Z737" s="3"/>
      <c r="AA737" s="37" t="str">
        <f t="shared" si="4670"/>
        <v/>
      </c>
      <c r="AC737" s="40"/>
      <c r="AD737" s="7"/>
      <c r="AE737" s="77" t="str">
        <f t="shared" si="4657"/>
        <v/>
      </c>
      <c r="AF737" s="81">
        <f t="shared" si="4683"/>
        <v>0</v>
      </c>
      <c r="AG737" s="40"/>
      <c r="AH737" s="7"/>
      <c r="AI737" s="77" t="str">
        <f t="shared" si="4658"/>
        <v/>
      </c>
      <c r="AJ737" s="81">
        <f t="shared" si="4684"/>
        <v>0</v>
      </c>
      <c r="AK737" s="83">
        <f t="shared" si="4685"/>
        <v>0</v>
      </c>
      <c r="AL737" s="83">
        <f t="shared" si="4686"/>
        <v>0</v>
      </c>
      <c r="AN737" s="43">
        <f t="shared" si="4659"/>
        <v>0</v>
      </c>
      <c r="AP737" t="str">
        <f t="shared" si="4687"/>
        <v/>
      </c>
      <c r="AQ737" t="str">
        <f t="shared" si="4688"/>
        <v/>
      </c>
      <c r="AR737" t="str">
        <f t="shared" si="4689"/>
        <v/>
      </c>
      <c r="AS737" t="str">
        <f t="shared" si="4690"/>
        <v/>
      </c>
      <c r="AT737" t="str">
        <f t="shared" si="4691"/>
        <v/>
      </c>
      <c r="AU737" t="str">
        <f t="shared" si="4692"/>
        <v/>
      </c>
      <c r="AV737" t="str">
        <f t="shared" si="4693"/>
        <v/>
      </c>
      <c r="AW737" t="str">
        <f t="shared" si="4694"/>
        <v xml:space="preserve">                              </v>
      </c>
      <c r="AX737" s="23">
        <f t="shared" si="4695"/>
        <v>0</v>
      </c>
      <c r="AY737" s="49" t="str">
        <f t="shared" si="4671"/>
        <v>000000000000000</v>
      </c>
      <c r="AZ737" s="23">
        <f t="shared" si="4696"/>
        <v>0</v>
      </c>
      <c r="BA737" s="49" t="str">
        <f t="shared" si="4671"/>
        <v>000000000000000</v>
      </c>
      <c r="BB737" s="23">
        <f t="shared" si="4697"/>
        <v>0</v>
      </c>
      <c r="BC737" s="49" t="str">
        <f t="shared" ref="BC737" si="4830">IF(BB737&lt;0,SUBSTITUTE(TEXT(BB737,"000000000000,00"),",",""),SUBSTITUTE(TEXT(BB737,"0000000000000,00"),",",""))</f>
        <v>000000000000000</v>
      </c>
      <c r="BD737" s="23">
        <f t="shared" si="4699"/>
        <v>0</v>
      </c>
      <c r="BE737" s="49" t="str">
        <f t="shared" ref="BE737" si="4831">IF(BD737&lt;0,SUBSTITUTE(TEXT(BD737,"000000000000,00"),",",""),SUBSTITUTE(TEXT(BD737,"0000000000000,00"),",",""))</f>
        <v>000000000000000</v>
      </c>
      <c r="BF737" s="23">
        <f t="shared" si="4701"/>
        <v>0</v>
      </c>
      <c r="BG737" s="49" t="str">
        <f t="shared" ref="BG737" si="4832">IF(BF737&lt;0,SUBSTITUTE(TEXT(BF737,"000000000000,00"),",",""),SUBSTITUTE(TEXT(BF737,"0000000000000,00"),",",""))</f>
        <v>000000000000000</v>
      </c>
      <c r="BH737" s="23">
        <f t="shared" si="4703"/>
        <v>0</v>
      </c>
      <c r="BI737" s="49" t="str">
        <f t="shared" ref="BI737" si="4833">IF(BH737&lt;0,SUBSTITUTE(TEXT(BH737,"000000000000,00"),",",""),SUBSTITUTE(TEXT(BH737,"0000000000000,00"),",",""))</f>
        <v>000000000000000</v>
      </c>
      <c r="BJ737" s="23">
        <f t="shared" si="4705"/>
        <v>0</v>
      </c>
      <c r="BK737" s="49" t="str">
        <f t="shared" ref="BK737" si="4834">IF(BJ737&lt;0,SUBSTITUTE(TEXT(BJ737,"000000000000,00"),",",""),SUBSTITUTE(TEXT(BJ737,"0000000000000,00"),",",""))</f>
        <v>000000000000000</v>
      </c>
      <c r="BL737" s="23">
        <f t="shared" si="4707"/>
        <v>0</v>
      </c>
      <c r="BM737" s="49" t="str">
        <f t="shared" ref="BM737" si="4835">IF(BL737&lt;0,SUBSTITUTE(TEXT(BL737,"000000000000,00"),",",""),SUBSTITUTE(TEXT(BL737,"0000000000000,00"),",",""))</f>
        <v>000000000000000</v>
      </c>
      <c r="BN737" t="str">
        <f t="shared" si="4709"/>
        <v>PES</v>
      </c>
      <c r="BO737" t="str">
        <f t="shared" si="4710"/>
        <v>0001000000</v>
      </c>
      <c r="BP737">
        <f t="shared" si="4711"/>
        <v>0</v>
      </c>
      <c r="BQ737">
        <f t="shared" si="4712"/>
        <v>0</v>
      </c>
      <c r="BR737" s="23">
        <f t="shared" si="4713"/>
        <v>0</v>
      </c>
      <c r="BS737" s="49" t="str">
        <f t="shared" si="4678"/>
        <v>000000000000000</v>
      </c>
      <c r="BT737" t="str">
        <f t="shared" si="4714"/>
        <v>00000000</v>
      </c>
      <c r="BU737" s="23">
        <f t="shared" si="4715"/>
        <v>0</v>
      </c>
      <c r="BV737" s="49" t="str">
        <f t="shared" si="4679"/>
        <v/>
      </c>
      <c r="BW737" s="52" t="str">
        <f t="shared" si="4716"/>
        <v/>
      </c>
      <c r="BX737" s="23">
        <f t="shared" si="4717"/>
        <v>0</v>
      </c>
      <c r="BY737" s="49" t="str">
        <f t="shared" si="4680"/>
        <v/>
      </c>
      <c r="BZ737" s="23">
        <f t="shared" si="4718"/>
        <v>0</v>
      </c>
      <c r="CA737" s="49" t="str">
        <f t="shared" si="4681"/>
        <v/>
      </c>
      <c r="CB737" s="52" t="str">
        <f t="shared" si="4719"/>
        <v/>
      </c>
      <c r="CC737" s="23">
        <f t="shared" si="4720"/>
        <v>0</v>
      </c>
      <c r="CD737" s="49" t="str">
        <f t="shared" si="4682"/>
        <v/>
      </c>
      <c r="CE737" s="56" t="str">
        <f>IF(CF737="","",MAX(CE$10:$CE736)+1)</f>
        <v/>
      </c>
      <c r="CF737" t="str">
        <f t="shared" si="4721"/>
        <v/>
      </c>
      <c r="CG737" s="22" t="str">
        <f>IF(CH737="","",MAX($CG$10:CG736)+1)</f>
        <v/>
      </c>
      <c r="CH737" s="22" t="str">
        <f t="shared" si="4666"/>
        <v/>
      </c>
      <c r="CI737" s="22" t="str">
        <f>IF(CJ737="","",MAX($CI$10:CI736)+1)</f>
        <v/>
      </c>
      <c r="CJ737" s="22" t="str">
        <f t="shared" si="4667"/>
        <v/>
      </c>
    </row>
    <row r="738" spans="2:88" x14ac:dyDescent="0.25">
      <c r="B738" s="37"/>
      <c r="C738" s="3"/>
      <c r="D738" s="77" t="str">
        <f t="shared" si="4653"/>
        <v/>
      </c>
      <c r="E738" s="38"/>
      <c r="F738" s="38"/>
      <c r="G738" s="78">
        <f t="shared" si="4668"/>
        <v>0</v>
      </c>
      <c r="H738" s="3">
        <v>80</v>
      </c>
      <c r="I738" s="77" t="str">
        <f t="shared" si="4654"/>
        <v/>
      </c>
      <c r="J738" s="32"/>
      <c r="K738" s="3"/>
      <c r="L738" s="39"/>
      <c r="M738" s="39"/>
      <c r="N738" s="39"/>
      <c r="O738" s="39"/>
      <c r="P738" s="39"/>
      <c r="Q738" s="39"/>
      <c r="R738" s="39"/>
      <c r="S738" s="39"/>
      <c r="T738" s="3" t="s">
        <v>645</v>
      </c>
      <c r="U738" s="77" t="str">
        <f t="shared" si="4655"/>
        <v/>
      </c>
      <c r="V738" s="39">
        <v>1</v>
      </c>
      <c r="W738" s="79">
        <f t="shared" si="4669"/>
        <v>0</v>
      </c>
      <c r="X738" s="3">
        <v>0</v>
      </c>
      <c r="Y738" s="77" t="str">
        <f t="shared" si="4656"/>
        <v/>
      </c>
      <c r="Z738" s="3"/>
      <c r="AA738" s="37" t="str">
        <f t="shared" si="4670"/>
        <v/>
      </c>
      <c r="AC738" s="40"/>
      <c r="AD738" s="7"/>
      <c r="AE738" s="77" t="str">
        <f t="shared" si="4657"/>
        <v/>
      </c>
      <c r="AF738" s="81">
        <f t="shared" si="4683"/>
        <v>0</v>
      </c>
      <c r="AG738" s="40"/>
      <c r="AH738" s="7"/>
      <c r="AI738" s="77" t="str">
        <f t="shared" si="4658"/>
        <v/>
      </c>
      <c r="AJ738" s="81">
        <f t="shared" si="4684"/>
        <v>0</v>
      </c>
      <c r="AK738" s="83">
        <f t="shared" si="4685"/>
        <v>0</v>
      </c>
      <c r="AL738" s="83">
        <f t="shared" si="4686"/>
        <v>0</v>
      </c>
      <c r="AN738" s="43">
        <f t="shared" si="4659"/>
        <v>0</v>
      </c>
      <c r="AP738" t="str">
        <f t="shared" si="4687"/>
        <v/>
      </c>
      <c r="AQ738" t="str">
        <f t="shared" si="4688"/>
        <v/>
      </c>
      <c r="AR738" t="str">
        <f t="shared" si="4689"/>
        <v/>
      </c>
      <c r="AS738" t="str">
        <f t="shared" si="4690"/>
        <v/>
      </c>
      <c r="AT738" t="str">
        <f t="shared" si="4691"/>
        <v/>
      </c>
      <c r="AU738" t="str">
        <f t="shared" si="4692"/>
        <v/>
      </c>
      <c r="AV738" t="str">
        <f t="shared" si="4693"/>
        <v/>
      </c>
      <c r="AW738" t="str">
        <f t="shared" si="4694"/>
        <v xml:space="preserve">                              </v>
      </c>
      <c r="AX738" s="23">
        <f t="shared" si="4695"/>
        <v>0</v>
      </c>
      <c r="AY738" s="49" t="str">
        <f t="shared" si="4671"/>
        <v>000000000000000</v>
      </c>
      <c r="AZ738" s="23">
        <f t="shared" si="4696"/>
        <v>0</v>
      </c>
      <c r="BA738" s="49" t="str">
        <f t="shared" si="4671"/>
        <v>000000000000000</v>
      </c>
      <c r="BB738" s="23">
        <f t="shared" si="4697"/>
        <v>0</v>
      </c>
      <c r="BC738" s="49" t="str">
        <f t="shared" ref="BC738" si="4836">IF(BB738&lt;0,SUBSTITUTE(TEXT(BB738,"000000000000,00"),",",""),SUBSTITUTE(TEXT(BB738,"0000000000000,00"),",",""))</f>
        <v>000000000000000</v>
      </c>
      <c r="BD738" s="23">
        <f t="shared" si="4699"/>
        <v>0</v>
      </c>
      <c r="BE738" s="49" t="str">
        <f t="shared" ref="BE738" si="4837">IF(BD738&lt;0,SUBSTITUTE(TEXT(BD738,"000000000000,00"),",",""),SUBSTITUTE(TEXT(BD738,"0000000000000,00"),",",""))</f>
        <v>000000000000000</v>
      </c>
      <c r="BF738" s="23">
        <f t="shared" si="4701"/>
        <v>0</v>
      </c>
      <c r="BG738" s="49" t="str">
        <f t="shared" ref="BG738" si="4838">IF(BF738&lt;0,SUBSTITUTE(TEXT(BF738,"000000000000,00"),",",""),SUBSTITUTE(TEXT(BF738,"0000000000000,00"),",",""))</f>
        <v>000000000000000</v>
      </c>
      <c r="BH738" s="23">
        <f t="shared" si="4703"/>
        <v>0</v>
      </c>
      <c r="BI738" s="49" t="str">
        <f t="shared" ref="BI738" si="4839">IF(BH738&lt;0,SUBSTITUTE(TEXT(BH738,"000000000000,00"),",",""),SUBSTITUTE(TEXT(BH738,"0000000000000,00"),",",""))</f>
        <v>000000000000000</v>
      </c>
      <c r="BJ738" s="23">
        <f t="shared" si="4705"/>
        <v>0</v>
      </c>
      <c r="BK738" s="49" t="str">
        <f t="shared" ref="BK738" si="4840">IF(BJ738&lt;0,SUBSTITUTE(TEXT(BJ738,"000000000000,00"),",",""),SUBSTITUTE(TEXT(BJ738,"0000000000000,00"),",",""))</f>
        <v>000000000000000</v>
      </c>
      <c r="BL738" s="23">
        <f t="shared" si="4707"/>
        <v>0</v>
      </c>
      <c r="BM738" s="49" t="str">
        <f t="shared" ref="BM738" si="4841">IF(BL738&lt;0,SUBSTITUTE(TEXT(BL738,"000000000000,00"),",",""),SUBSTITUTE(TEXT(BL738,"0000000000000,00"),",",""))</f>
        <v>000000000000000</v>
      </c>
      <c r="BN738" t="str">
        <f t="shared" si="4709"/>
        <v>PES</v>
      </c>
      <c r="BO738" t="str">
        <f t="shared" si="4710"/>
        <v>0001000000</v>
      </c>
      <c r="BP738">
        <f t="shared" si="4711"/>
        <v>0</v>
      </c>
      <c r="BQ738">
        <f t="shared" si="4712"/>
        <v>0</v>
      </c>
      <c r="BR738" s="23">
        <f t="shared" si="4713"/>
        <v>0</v>
      </c>
      <c r="BS738" s="49" t="str">
        <f t="shared" si="4678"/>
        <v>000000000000000</v>
      </c>
      <c r="BT738" t="str">
        <f t="shared" si="4714"/>
        <v>00000000</v>
      </c>
      <c r="BU738" s="23">
        <f t="shared" si="4715"/>
        <v>0</v>
      </c>
      <c r="BV738" s="49" t="str">
        <f t="shared" si="4679"/>
        <v/>
      </c>
      <c r="BW738" s="52" t="str">
        <f t="shared" si="4716"/>
        <v/>
      </c>
      <c r="BX738" s="23">
        <f t="shared" si="4717"/>
        <v>0</v>
      </c>
      <c r="BY738" s="49" t="str">
        <f t="shared" si="4680"/>
        <v/>
      </c>
      <c r="BZ738" s="23">
        <f t="shared" si="4718"/>
        <v>0</v>
      </c>
      <c r="CA738" s="49" t="str">
        <f t="shared" si="4681"/>
        <v/>
      </c>
      <c r="CB738" s="52" t="str">
        <f t="shared" si="4719"/>
        <v/>
      </c>
      <c r="CC738" s="23">
        <f t="shared" si="4720"/>
        <v>0</v>
      </c>
      <c r="CD738" s="49" t="str">
        <f t="shared" si="4682"/>
        <v/>
      </c>
      <c r="CE738" s="56" t="str">
        <f>IF(CF738="","",MAX(CE$10:$CE737)+1)</f>
        <v/>
      </c>
      <c r="CF738" t="str">
        <f t="shared" si="4721"/>
        <v/>
      </c>
      <c r="CG738" s="22" t="str">
        <f>IF(CH738="","",MAX($CG$10:CG737)+1)</f>
        <v/>
      </c>
      <c r="CH738" s="22" t="str">
        <f t="shared" si="4666"/>
        <v/>
      </c>
      <c r="CI738" s="22" t="str">
        <f>IF(CJ738="","",MAX($CI$10:CI737)+1)</f>
        <v/>
      </c>
      <c r="CJ738" s="22" t="str">
        <f t="shared" si="4667"/>
        <v/>
      </c>
    </row>
    <row r="739" spans="2:88" x14ac:dyDescent="0.25">
      <c r="B739" s="37"/>
      <c r="C739" s="3"/>
      <c r="D739" s="77" t="str">
        <f t="shared" si="4653"/>
        <v/>
      </c>
      <c r="E739" s="38"/>
      <c r="F739" s="38"/>
      <c r="G739" s="78">
        <f t="shared" si="4668"/>
        <v>0</v>
      </c>
      <c r="H739" s="3">
        <v>80</v>
      </c>
      <c r="I739" s="77" t="str">
        <f t="shared" si="4654"/>
        <v/>
      </c>
      <c r="J739" s="32"/>
      <c r="K739" s="3"/>
      <c r="L739" s="39"/>
      <c r="M739" s="39"/>
      <c r="N739" s="39"/>
      <c r="O739" s="39"/>
      <c r="P739" s="39"/>
      <c r="Q739" s="39"/>
      <c r="R739" s="39"/>
      <c r="S739" s="39"/>
      <c r="T739" s="3" t="s">
        <v>645</v>
      </c>
      <c r="U739" s="77" t="str">
        <f t="shared" si="4655"/>
        <v/>
      </c>
      <c r="V739" s="39">
        <v>1</v>
      </c>
      <c r="W739" s="79">
        <f t="shared" si="4669"/>
        <v>0</v>
      </c>
      <c r="X739" s="3">
        <v>0</v>
      </c>
      <c r="Y739" s="77" t="str">
        <f t="shared" si="4656"/>
        <v/>
      </c>
      <c r="Z739" s="3"/>
      <c r="AA739" s="37" t="str">
        <f t="shared" si="4670"/>
        <v/>
      </c>
      <c r="AC739" s="40"/>
      <c r="AD739" s="7"/>
      <c r="AE739" s="77" t="str">
        <f t="shared" si="4657"/>
        <v/>
      </c>
      <c r="AF739" s="81">
        <f t="shared" si="4683"/>
        <v>0</v>
      </c>
      <c r="AG739" s="40"/>
      <c r="AH739" s="7"/>
      <c r="AI739" s="77" t="str">
        <f t="shared" si="4658"/>
        <v/>
      </c>
      <c r="AJ739" s="81">
        <f t="shared" si="4684"/>
        <v>0</v>
      </c>
      <c r="AK739" s="83">
        <f t="shared" si="4685"/>
        <v>0</v>
      </c>
      <c r="AL739" s="83">
        <f t="shared" si="4686"/>
        <v>0</v>
      </c>
      <c r="AN739" s="43">
        <f t="shared" si="4659"/>
        <v>0</v>
      </c>
      <c r="AP739" t="str">
        <f t="shared" si="4687"/>
        <v/>
      </c>
      <c r="AQ739" t="str">
        <f t="shared" si="4688"/>
        <v/>
      </c>
      <c r="AR739" t="str">
        <f t="shared" si="4689"/>
        <v/>
      </c>
      <c r="AS739" t="str">
        <f t="shared" si="4690"/>
        <v/>
      </c>
      <c r="AT739" t="str">
        <f t="shared" si="4691"/>
        <v/>
      </c>
      <c r="AU739" t="str">
        <f t="shared" si="4692"/>
        <v/>
      </c>
      <c r="AV739" t="str">
        <f t="shared" si="4693"/>
        <v/>
      </c>
      <c r="AW739" t="str">
        <f t="shared" si="4694"/>
        <v xml:space="preserve">                              </v>
      </c>
      <c r="AX739" s="23">
        <f t="shared" si="4695"/>
        <v>0</v>
      </c>
      <c r="AY739" s="49" t="str">
        <f t="shared" si="4671"/>
        <v>000000000000000</v>
      </c>
      <c r="AZ739" s="23">
        <f t="shared" si="4696"/>
        <v>0</v>
      </c>
      <c r="BA739" s="49" t="str">
        <f t="shared" si="4671"/>
        <v>000000000000000</v>
      </c>
      <c r="BB739" s="23">
        <f t="shared" si="4697"/>
        <v>0</v>
      </c>
      <c r="BC739" s="49" t="str">
        <f t="shared" ref="BC739" si="4842">IF(BB739&lt;0,SUBSTITUTE(TEXT(BB739,"000000000000,00"),",",""),SUBSTITUTE(TEXT(BB739,"0000000000000,00"),",",""))</f>
        <v>000000000000000</v>
      </c>
      <c r="BD739" s="23">
        <f t="shared" si="4699"/>
        <v>0</v>
      </c>
      <c r="BE739" s="49" t="str">
        <f t="shared" ref="BE739" si="4843">IF(BD739&lt;0,SUBSTITUTE(TEXT(BD739,"000000000000,00"),",",""),SUBSTITUTE(TEXT(BD739,"0000000000000,00"),",",""))</f>
        <v>000000000000000</v>
      </c>
      <c r="BF739" s="23">
        <f t="shared" si="4701"/>
        <v>0</v>
      </c>
      <c r="BG739" s="49" t="str">
        <f t="shared" ref="BG739" si="4844">IF(BF739&lt;0,SUBSTITUTE(TEXT(BF739,"000000000000,00"),",",""),SUBSTITUTE(TEXT(BF739,"0000000000000,00"),",",""))</f>
        <v>000000000000000</v>
      </c>
      <c r="BH739" s="23">
        <f t="shared" si="4703"/>
        <v>0</v>
      </c>
      <c r="BI739" s="49" t="str">
        <f t="shared" ref="BI739" si="4845">IF(BH739&lt;0,SUBSTITUTE(TEXT(BH739,"000000000000,00"),",",""),SUBSTITUTE(TEXT(BH739,"0000000000000,00"),",",""))</f>
        <v>000000000000000</v>
      </c>
      <c r="BJ739" s="23">
        <f t="shared" si="4705"/>
        <v>0</v>
      </c>
      <c r="BK739" s="49" t="str">
        <f t="shared" ref="BK739" si="4846">IF(BJ739&lt;0,SUBSTITUTE(TEXT(BJ739,"000000000000,00"),",",""),SUBSTITUTE(TEXT(BJ739,"0000000000000,00"),",",""))</f>
        <v>000000000000000</v>
      </c>
      <c r="BL739" s="23">
        <f t="shared" si="4707"/>
        <v>0</v>
      </c>
      <c r="BM739" s="49" t="str">
        <f t="shared" ref="BM739" si="4847">IF(BL739&lt;0,SUBSTITUTE(TEXT(BL739,"000000000000,00"),",",""),SUBSTITUTE(TEXT(BL739,"0000000000000,00"),",",""))</f>
        <v>000000000000000</v>
      </c>
      <c r="BN739" t="str">
        <f t="shared" si="4709"/>
        <v>PES</v>
      </c>
      <c r="BO739" t="str">
        <f t="shared" si="4710"/>
        <v>0001000000</v>
      </c>
      <c r="BP739">
        <f t="shared" si="4711"/>
        <v>0</v>
      </c>
      <c r="BQ739">
        <f t="shared" si="4712"/>
        <v>0</v>
      </c>
      <c r="BR739" s="23">
        <f t="shared" si="4713"/>
        <v>0</v>
      </c>
      <c r="BS739" s="49" t="str">
        <f t="shared" si="4678"/>
        <v>000000000000000</v>
      </c>
      <c r="BT739" t="str">
        <f t="shared" si="4714"/>
        <v>00000000</v>
      </c>
      <c r="BU739" s="23">
        <f t="shared" si="4715"/>
        <v>0</v>
      </c>
      <c r="BV739" s="49" t="str">
        <f t="shared" si="4679"/>
        <v/>
      </c>
      <c r="BW739" s="52" t="str">
        <f t="shared" si="4716"/>
        <v/>
      </c>
      <c r="BX739" s="23">
        <f t="shared" si="4717"/>
        <v>0</v>
      </c>
      <c r="BY739" s="49" t="str">
        <f t="shared" si="4680"/>
        <v/>
      </c>
      <c r="BZ739" s="23">
        <f t="shared" si="4718"/>
        <v>0</v>
      </c>
      <c r="CA739" s="49" t="str">
        <f t="shared" si="4681"/>
        <v/>
      </c>
      <c r="CB739" s="52" t="str">
        <f t="shared" si="4719"/>
        <v/>
      </c>
      <c r="CC739" s="23">
        <f t="shared" si="4720"/>
        <v>0</v>
      </c>
      <c r="CD739" s="49" t="str">
        <f t="shared" si="4682"/>
        <v/>
      </c>
      <c r="CE739" s="56" t="str">
        <f>IF(CF739="","",MAX(CE$10:$CE738)+1)</f>
        <v/>
      </c>
      <c r="CF739" t="str">
        <f t="shared" si="4721"/>
        <v/>
      </c>
      <c r="CG739" s="22" t="str">
        <f>IF(CH739="","",MAX($CG$10:CG738)+1)</f>
        <v/>
      </c>
      <c r="CH739" s="22" t="str">
        <f t="shared" si="4666"/>
        <v/>
      </c>
      <c r="CI739" s="22" t="str">
        <f>IF(CJ739="","",MAX($CI$10:CI738)+1)</f>
        <v/>
      </c>
      <c r="CJ739" s="22" t="str">
        <f t="shared" si="4667"/>
        <v/>
      </c>
    </row>
    <row r="740" spans="2:88" x14ac:dyDescent="0.25">
      <c r="B740" s="37"/>
      <c r="C740" s="3"/>
      <c r="D740" s="77" t="str">
        <f t="shared" si="4653"/>
        <v/>
      </c>
      <c r="E740" s="38"/>
      <c r="F740" s="38"/>
      <c r="G740" s="78">
        <f t="shared" si="4668"/>
        <v>0</v>
      </c>
      <c r="H740" s="3">
        <v>80</v>
      </c>
      <c r="I740" s="77" t="str">
        <f t="shared" si="4654"/>
        <v/>
      </c>
      <c r="J740" s="32"/>
      <c r="K740" s="3"/>
      <c r="L740" s="39"/>
      <c r="M740" s="39"/>
      <c r="N740" s="39"/>
      <c r="O740" s="39"/>
      <c r="P740" s="39"/>
      <c r="Q740" s="39"/>
      <c r="R740" s="39"/>
      <c r="S740" s="39"/>
      <c r="T740" s="3" t="s">
        <v>645</v>
      </c>
      <c r="U740" s="77" t="str">
        <f t="shared" si="4655"/>
        <v/>
      </c>
      <c r="V740" s="39">
        <v>1</v>
      </c>
      <c r="W740" s="79">
        <f t="shared" si="4669"/>
        <v>0</v>
      </c>
      <c r="X740" s="3">
        <v>0</v>
      </c>
      <c r="Y740" s="77" t="str">
        <f t="shared" si="4656"/>
        <v/>
      </c>
      <c r="Z740" s="3"/>
      <c r="AA740" s="37" t="str">
        <f t="shared" si="4670"/>
        <v/>
      </c>
      <c r="AC740" s="40"/>
      <c r="AD740" s="7"/>
      <c r="AE740" s="77" t="str">
        <f t="shared" si="4657"/>
        <v/>
      </c>
      <c r="AF740" s="81">
        <f t="shared" si="4683"/>
        <v>0</v>
      </c>
      <c r="AG740" s="40"/>
      <c r="AH740" s="7"/>
      <c r="AI740" s="77" t="str">
        <f t="shared" si="4658"/>
        <v/>
      </c>
      <c r="AJ740" s="81">
        <f t="shared" si="4684"/>
        <v>0</v>
      </c>
      <c r="AK740" s="83">
        <f t="shared" si="4685"/>
        <v>0</v>
      </c>
      <c r="AL740" s="83">
        <f t="shared" si="4686"/>
        <v>0</v>
      </c>
      <c r="AN740" s="43">
        <f t="shared" si="4659"/>
        <v>0</v>
      </c>
      <c r="AP740" t="str">
        <f t="shared" si="4687"/>
        <v/>
      </c>
      <c r="AQ740" t="str">
        <f t="shared" si="4688"/>
        <v/>
      </c>
      <c r="AR740" t="str">
        <f t="shared" si="4689"/>
        <v/>
      </c>
      <c r="AS740" t="str">
        <f t="shared" si="4690"/>
        <v/>
      </c>
      <c r="AT740" t="str">
        <f t="shared" si="4691"/>
        <v/>
      </c>
      <c r="AU740" t="str">
        <f t="shared" si="4692"/>
        <v/>
      </c>
      <c r="AV740" t="str">
        <f t="shared" si="4693"/>
        <v/>
      </c>
      <c r="AW740" t="str">
        <f t="shared" si="4694"/>
        <v xml:space="preserve">                              </v>
      </c>
      <c r="AX740" s="23">
        <f t="shared" si="4695"/>
        <v>0</v>
      </c>
      <c r="AY740" s="49" t="str">
        <f t="shared" si="4671"/>
        <v>000000000000000</v>
      </c>
      <c r="AZ740" s="23">
        <f t="shared" si="4696"/>
        <v>0</v>
      </c>
      <c r="BA740" s="49" t="str">
        <f t="shared" si="4671"/>
        <v>000000000000000</v>
      </c>
      <c r="BB740" s="23">
        <f t="shared" si="4697"/>
        <v>0</v>
      </c>
      <c r="BC740" s="49" t="str">
        <f t="shared" ref="BC740" si="4848">IF(BB740&lt;0,SUBSTITUTE(TEXT(BB740,"000000000000,00"),",",""),SUBSTITUTE(TEXT(BB740,"0000000000000,00"),",",""))</f>
        <v>000000000000000</v>
      </c>
      <c r="BD740" s="23">
        <f t="shared" si="4699"/>
        <v>0</v>
      </c>
      <c r="BE740" s="49" t="str">
        <f t="shared" ref="BE740" si="4849">IF(BD740&lt;0,SUBSTITUTE(TEXT(BD740,"000000000000,00"),",",""),SUBSTITUTE(TEXT(BD740,"0000000000000,00"),",",""))</f>
        <v>000000000000000</v>
      </c>
      <c r="BF740" s="23">
        <f t="shared" si="4701"/>
        <v>0</v>
      </c>
      <c r="BG740" s="49" t="str">
        <f t="shared" ref="BG740" si="4850">IF(BF740&lt;0,SUBSTITUTE(TEXT(BF740,"000000000000,00"),",",""),SUBSTITUTE(TEXT(BF740,"0000000000000,00"),",",""))</f>
        <v>000000000000000</v>
      </c>
      <c r="BH740" s="23">
        <f t="shared" si="4703"/>
        <v>0</v>
      </c>
      <c r="BI740" s="49" t="str">
        <f t="shared" ref="BI740" si="4851">IF(BH740&lt;0,SUBSTITUTE(TEXT(BH740,"000000000000,00"),",",""),SUBSTITUTE(TEXT(BH740,"0000000000000,00"),",",""))</f>
        <v>000000000000000</v>
      </c>
      <c r="BJ740" s="23">
        <f t="shared" si="4705"/>
        <v>0</v>
      </c>
      <c r="BK740" s="49" t="str">
        <f t="shared" ref="BK740" si="4852">IF(BJ740&lt;0,SUBSTITUTE(TEXT(BJ740,"000000000000,00"),",",""),SUBSTITUTE(TEXT(BJ740,"0000000000000,00"),",",""))</f>
        <v>000000000000000</v>
      </c>
      <c r="BL740" s="23">
        <f t="shared" si="4707"/>
        <v>0</v>
      </c>
      <c r="BM740" s="49" t="str">
        <f t="shared" ref="BM740" si="4853">IF(BL740&lt;0,SUBSTITUTE(TEXT(BL740,"000000000000,00"),",",""),SUBSTITUTE(TEXT(BL740,"0000000000000,00"),",",""))</f>
        <v>000000000000000</v>
      </c>
      <c r="BN740" t="str">
        <f t="shared" si="4709"/>
        <v>PES</v>
      </c>
      <c r="BO740" t="str">
        <f t="shared" si="4710"/>
        <v>0001000000</v>
      </c>
      <c r="BP740">
        <f t="shared" si="4711"/>
        <v>0</v>
      </c>
      <c r="BQ740">
        <f t="shared" si="4712"/>
        <v>0</v>
      </c>
      <c r="BR740" s="23">
        <f t="shared" si="4713"/>
        <v>0</v>
      </c>
      <c r="BS740" s="49" t="str">
        <f t="shared" si="4678"/>
        <v>000000000000000</v>
      </c>
      <c r="BT740" t="str">
        <f t="shared" si="4714"/>
        <v>00000000</v>
      </c>
      <c r="BU740" s="23">
        <f t="shared" si="4715"/>
        <v>0</v>
      </c>
      <c r="BV740" s="49" t="str">
        <f t="shared" si="4679"/>
        <v/>
      </c>
      <c r="BW740" s="52" t="str">
        <f t="shared" si="4716"/>
        <v/>
      </c>
      <c r="BX740" s="23">
        <f t="shared" si="4717"/>
        <v>0</v>
      </c>
      <c r="BY740" s="49" t="str">
        <f t="shared" si="4680"/>
        <v/>
      </c>
      <c r="BZ740" s="23">
        <f t="shared" si="4718"/>
        <v>0</v>
      </c>
      <c r="CA740" s="49" t="str">
        <f t="shared" si="4681"/>
        <v/>
      </c>
      <c r="CB740" s="52" t="str">
        <f t="shared" si="4719"/>
        <v/>
      </c>
      <c r="CC740" s="23">
        <f t="shared" si="4720"/>
        <v>0</v>
      </c>
      <c r="CD740" s="49" t="str">
        <f t="shared" si="4682"/>
        <v/>
      </c>
      <c r="CE740" s="56" t="str">
        <f>IF(CF740="","",MAX(CE$10:$CE739)+1)</f>
        <v/>
      </c>
      <c r="CF740" t="str">
        <f t="shared" si="4721"/>
        <v/>
      </c>
      <c r="CG740" s="22" t="str">
        <f>IF(CH740="","",MAX($CG$10:CG739)+1)</f>
        <v/>
      </c>
      <c r="CH740" s="22" t="str">
        <f t="shared" si="4666"/>
        <v/>
      </c>
      <c r="CI740" s="22" t="str">
        <f>IF(CJ740="","",MAX($CI$10:CI739)+1)</f>
        <v/>
      </c>
      <c r="CJ740" s="22" t="str">
        <f t="shared" si="4667"/>
        <v/>
      </c>
    </row>
    <row r="741" spans="2:88" x14ac:dyDescent="0.25">
      <c r="B741" s="37"/>
      <c r="C741" s="3"/>
      <c r="D741" s="77" t="str">
        <f t="shared" si="4653"/>
        <v/>
      </c>
      <c r="E741" s="38"/>
      <c r="F741" s="38"/>
      <c r="G741" s="78">
        <f t="shared" si="4668"/>
        <v>0</v>
      </c>
      <c r="H741" s="3">
        <v>80</v>
      </c>
      <c r="I741" s="77" t="str">
        <f t="shared" si="4654"/>
        <v/>
      </c>
      <c r="J741" s="32"/>
      <c r="K741" s="3"/>
      <c r="L741" s="39"/>
      <c r="M741" s="39"/>
      <c r="N741" s="39"/>
      <c r="O741" s="39"/>
      <c r="P741" s="39"/>
      <c r="Q741" s="39"/>
      <c r="R741" s="39"/>
      <c r="S741" s="39"/>
      <c r="T741" s="3" t="s">
        <v>645</v>
      </c>
      <c r="U741" s="77" t="str">
        <f t="shared" si="4655"/>
        <v/>
      </c>
      <c r="V741" s="39">
        <v>1</v>
      </c>
      <c r="W741" s="79">
        <f t="shared" si="4669"/>
        <v>0</v>
      </c>
      <c r="X741" s="3">
        <v>0</v>
      </c>
      <c r="Y741" s="77" t="str">
        <f t="shared" si="4656"/>
        <v/>
      </c>
      <c r="Z741" s="3"/>
      <c r="AA741" s="37" t="str">
        <f t="shared" si="4670"/>
        <v/>
      </c>
      <c r="AC741" s="40"/>
      <c r="AD741" s="7"/>
      <c r="AE741" s="77" t="str">
        <f t="shared" si="4657"/>
        <v/>
      </c>
      <c r="AF741" s="81">
        <f t="shared" si="4683"/>
        <v>0</v>
      </c>
      <c r="AG741" s="40"/>
      <c r="AH741" s="7"/>
      <c r="AI741" s="77" t="str">
        <f t="shared" si="4658"/>
        <v/>
      </c>
      <c r="AJ741" s="81">
        <f t="shared" si="4684"/>
        <v>0</v>
      </c>
      <c r="AK741" s="83">
        <f t="shared" si="4685"/>
        <v>0</v>
      </c>
      <c r="AL741" s="83">
        <f t="shared" si="4686"/>
        <v>0</v>
      </c>
      <c r="AN741" s="43">
        <f t="shared" si="4659"/>
        <v>0</v>
      </c>
      <c r="AP741" t="str">
        <f t="shared" si="4687"/>
        <v/>
      </c>
      <c r="AQ741" t="str">
        <f t="shared" si="4688"/>
        <v/>
      </c>
      <c r="AR741" t="str">
        <f t="shared" si="4689"/>
        <v/>
      </c>
      <c r="AS741" t="str">
        <f t="shared" si="4690"/>
        <v/>
      </c>
      <c r="AT741" t="str">
        <f t="shared" si="4691"/>
        <v/>
      </c>
      <c r="AU741" t="str">
        <f t="shared" si="4692"/>
        <v/>
      </c>
      <c r="AV741" t="str">
        <f t="shared" si="4693"/>
        <v/>
      </c>
      <c r="AW741" t="str">
        <f t="shared" si="4694"/>
        <v xml:space="preserve">                              </v>
      </c>
      <c r="AX741" s="23">
        <f t="shared" si="4695"/>
        <v>0</v>
      </c>
      <c r="AY741" s="49" t="str">
        <f t="shared" si="4671"/>
        <v>000000000000000</v>
      </c>
      <c r="AZ741" s="23">
        <f t="shared" si="4696"/>
        <v>0</v>
      </c>
      <c r="BA741" s="49" t="str">
        <f t="shared" si="4671"/>
        <v>000000000000000</v>
      </c>
      <c r="BB741" s="23">
        <f t="shared" si="4697"/>
        <v>0</v>
      </c>
      <c r="BC741" s="49" t="str">
        <f t="shared" ref="BC741" si="4854">IF(BB741&lt;0,SUBSTITUTE(TEXT(BB741,"000000000000,00"),",",""),SUBSTITUTE(TEXT(BB741,"0000000000000,00"),",",""))</f>
        <v>000000000000000</v>
      </c>
      <c r="BD741" s="23">
        <f t="shared" si="4699"/>
        <v>0</v>
      </c>
      <c r="BE741" s="49" t="str">
        <f t="shared" ref="BE741" si="4855">IF(BD741&lt;0,SUBSTITUTE(TEXT(BD741,"000000000000,00"),",",""),SUBSTITUTE(TEXT(BD741,"0000000000000,00"),",",""))</f>
        <v>000000000000000</v>
      </c>
      <c r="BF741" s="23">
        <f t="shared" si="4701"/>
        <v>0</v>
      </c>
      <c r="BG741" s="49" t="str">
        <f t="shared" ref="BG741" si="4856">IF(BF741&lt;0,SUBSTITUTE(TEXT(BF741,"000000000000,00"),",",""),SUBSTITUTE(TEXT(BF741,"0000000000000,00"),",",""))</f>
        <v>000000000000000</v>
      </c>
      <c r="BH741" s="23">
        <f t="shared" si="4703"/>
        <v>0</v>
      </c>
      <c r="BI741" s="49" t="str">
        <f t="shared" ref="BI741" si="4857">IF(BH741&lt;0,SUBSTITUTE(TEXT(BH741,"000000000000,00"),",",""),SUBSTITUTE(TEXT(BH741,"0000000000000,00"),",",""))</f>
        <v>000000000000000</v>
      </c>
      <c r="BJ741" s="23">
        <f t="shared" si="4705"/>
        <v>0</v>
      </c>
      <c r="BK741" s="49" t="str">
        <f t="shared" ref="BK741" si="4858">IF(BJ741&lt;0,SUBSTITUTE(TEXT(BJ741,"000000000000,00"),",",""),SUBSTITUTE(TEXT(BJ741,"0000000000000,00"),",",""))</f>
        <v>000000000000000</v>
      </c>
      <c r="BL741" s="23">
        <f t="shared" si="4707"/>
        <v>0</v>
      </c>
      <c r="BM741" s="49" t="str">
        <f t="shared" ref="BM741" si="4859">IF(BL741&lt;0,SUBSTITUTE(TEXT(BL741,"000000000000,00"),",",""),SUBSTITUTE(TEXT(BL741,"0000000000000,00"),",",""))</f>
        <v>000000000000000</v>
      </c>
      <c r="BN741" t="str">
        <f t="shared" si="4709"/>
        <v>PES</v>
      </c>
      <c r="BO741" t="str">
        <f t="shared" si="4710"/>
        <v>0001000000</v>
      </c>
      <c r="BP741">
        <f t="shared" si="4711"/>
        <v>0</v>
      </c>
      <c r="BQ741">
        <f t="shared" si="4712"/>
        <v>0</v>
      </c>
      <c r="BR741" s="23">
        <f t="shared" si="4713"/>
        <v>0</v>
      </c>
      <c r="BS741" s="49" t="str">
        <f t="shared" si="4678"/>
        <v>000000000000000</v>
      </c>
      <c r="BT741" t="str">
        <f t="shared" si="4714"/>
        <v>00000000</v>
      </c>
      <c r="BU741" s="23">
        <f t="shared" si="4715"/>
        <v>0</v>
      </c>
      <c r="BV741" s="49" t="str">
        <f t="shared" si="4679"/>
        <v/>
      </c>
      <c r="BW741" s="52" t="str">
        <f t="shared" si="4716"/>
        <v/>
      </c>
      <c r="BX741" s="23">
        <f t="shared" si="4717"/>
        <v>0</v>
      </c>
      <c r="BY741" s="49" t="str">
        <f t="shared" si="4680"/>
        <v/>
      </c>
      <c r="BZ741" s="23">
        <f t="shared" si="4718"/>
        <v>0</v>
      </c>
      <c r="CA741" s="49" t="str">
        <f t="shared" si="4681"/>
        <v/>
      </c>
      <c r="CB741" s="52" t="str">
        <f t="shared" si="4719"/>
        <v/>
      </c>
      <c r="CC741" s="23">
        <f t="shared" si="4720"/>
        <v>0</v>
      </c>
      <c r="CD741" s="49" t="str">
        <f t="shared" si="4682"/>
        <v/>
      </c>
      <c r="CE741" s="56" t="str">
        <f>IF(CF741="","",MAX(CE$10:$CE740)+1)</f>
        <v/>
      </c>
      <c r="CF741" t="str">
        <f t="shared" si="4721"/>
        <v/>
      </c>
      <c r="CG741" s="22" t="str">
        <f>IF(CH741="","",MAX($CG$10:CG740)+1)</f>
        <v/>
      </c>
      <c r="CH741" s="22" t="str">
        <f t="shared" si="4666"/>
        <v/>
      </c>
      <c r="CI741" s="22" t="str">
        <f>IF(CJ741="","",MAX($CI$10:CI740)+1)</f>
        <v/>
      </c>
      <c r="CJ741" s="22" t="str">
        <f t="shared" si="4667"/>
        <v/>
      </c>
    </row>
    <row r="742" spans="2:88" x14ac:dyDescent="0.25">
      <c r="B742" s="37"/>
      <c r="C742" s="3"/>
      <c r="D742" s="77" t="str">
        <f t="shared" si="4653"/>
        <v/>
      </c>
      <c r="E742" s="38"/>
      <c r="F742" s="38"/>
      <c r="G742" s="78">
        <f t="shared" si="4668"/>
        <v>0</v>
      </c>
      <c r="H742" s="3">
        <v>80</v>
      </c>
      <c r="I742" s="77" t="str">
        <f t="shared" si="4654"/>
        <v/>
      </c>
      <c r="J742" s="32"/>
      <c r="K742" s="3"/>
      <c r="L742" s="39"/>
      <c r="M742" s="39"/>
      <c r="N742" s="39"/>
      <c r="O742" s="39"/>
      <c r="P742" s="39"/>
      <c r="Q742" s="39"/>
      <c r="R742" s="39"/>
      <c r="S742" s="39"/>
      <c r="T742" s="3" t="s">
        <v>645</v>
      </c>
      <c r="U742" s="77" t="str">
        <f t="shared" si="4655"/>
        <v/>
      </c>
      <c r="V742" s="39">
        <v>1</v>
      </c>
      <c r="W742" s="79">
        <f t="shared" si="4669"/>
        <v>0</v>
      </c>
      <c r="X742" s="3">
        <v>0</v>
      </c>
      <c r="Y742" s="77" t="str">
        <f t="shared" si="4656"/>
        <v/>
      </c>
      <c r="Z742" s="3"/>
      <c r="AA742" s="37" t="str">
        <f t="shared" si="4670"/>
        <v/>
      </c>
      <c r="AC742" s="40"/>
      <c r="AD742" s="7"/>
      <c r="AE742" s="77" t="str">
        <f t="shared" si="4657"/>
        <v/>
      </c>
      <c r="AF742" s="81">
        <f t="shared" si="4683"/>
        <v>0</v>
      </c>
      <c r="AG742" s="40"/>
      <c r="AH742" s="7"/>
      <c r="AI742" s="77" t="str">
        <f t="shared" si="4658"/>
        <v/>
      </c>
      <c r="AJ742" s="81">
        <f t="shared" si="4684"/>
        <v>0</v>
      </c>
      <c r="AK742" s="83">
        <f t="shared" si="4685"/>
        <v>0</v>
      </c>
      <c r="AL742" s="83">
        <f t="shared" si="4686"/>
        <v>0</v>
      </c>
      <c r="AN742" s="43">
        <f t="shared" si="4659"/>
        <v>0</v>
      </c>
      <c r="AP742" t="str">
        <f t="shared" si="4687"/>
        <v/>
      </c>
      <c r="AQ742" t="str">
        <f t="shared" si="4688"/>
        <v/>
      </c>
      <c r="AR742" t="str">
        <f t="shared" si="4689"/>
        <v/>
      </c>
      <c r="AS742" t="str">
        <f t="shared" si="4690"/>
        <v/>
      </c>
      <c r="AT742" t="str">
        <f t="shared" si="4691"/>
        <v/>
      </c>
      <c r="AU742" t="str">
        <f t="shared" si="4692"/>
        <v/>
      </c>
      <c r="AV742" t="str">
        <f t="shared" si="4693"/>
        <v/>
      </c>
      <c r="AW742" t="str">
        <f t="shared" si="4694"/>
        <v xml:space="preserve">                              </v>
      </c>
      <c r="AX742" s="23">
        <f t="shared" si="4695"/>
        <v>0</v>
      </c>
      <c r="AY742" s="49" t="str">
        <f t="shared" si="4671"/>
        <v>000000000000000</v>
      </c>
      <c r="AZ742" s="23">
        <f t="shared" si="4696"/>
        <v>0</v>
      </c>
      <c r="BA742" s="49" t="str">
        <f t="shared" si="4671"/>
        <v>000000000000000</v>
      </c>
      <c r="BB742" s="23">
        <f t="shared" si="4697"/>
        <v>0</v>
      </c>
      <c r="BC742" s="49" t="str">
        <f t="shared" ref="BC742" si="4860">IF(BB742&lt;0,SUBSTITUTE(TEXT(BB742,"000000000000,00"),",",""),SUBSTITUTE(TEXT(BB742,"0000000000000,00"),",",""))</f>
        <v>000000000000000</v>
      </c>
      <c r="BD742" s="23">
        <f t="shared" si="4699"/>
        <v>0</v>
      </c>
      <c r="BE742" s="49" t="str">
        <f t="shared" ref="BE742" si="4861">IF(BD742&lt;0,SUBSTITUTE(TEXT(BD742,"000000000000,00"),",",""),SUBSTITUTE(TEXT(BD742,"0000000000000,00"),",",""))</f>
        <v>000000000000000</v>
      </c>
      <c r="BF742" s="23">
        <f t="shared" si="4701"/>
        <v>0</v>
      </c>
      <c r="BG742" s="49" t="str">
        <f t="shared" ref="BG742" si="4862">IF(BF742&lt;0,SUBSTITUTE(TEXT(BF742,"000000000000,00"),",",""),SUBSTITUTE(TEXT(BF742,"0000000000000,00"),",",""))</f>
        <v>000000000000000</v>
      </c>
      <c r="BH742" s="23">
        <f t="shared" si="4703"/>
        <v>0</v>
      </c>
      <c r="BI742" s="49" t="str">
        <f t="shared" ref="BI742" si="4863">IF(BH742&lt;0,SUBSTITUTE(TEXT(BH742,"000000000000,00"),",",""),SUBSTITUTE(TEXT(BH742,"0000000000000,00"),",",""))</f>
        <v>000000000000000</v>
      </c>
      <c r="BJ742" s="23">
        <f t="shared" si="4705"/>
        <v>0</v>
      </c>
      <c r="BK742" s="49" t="str">
        <f t="shared" ref="BK742" si="4864">IF(BJ742&lt;0,SUBSTITUTE(TEXT(BJ742,"000000000000,00"),",",""),SUBSTITUTE(TEXT(BJ742,"0000000000000,00"),",",""))</f>
        <v>000000000000000</v>
      </c>
      <c r="BL742" s="23">
        <f t="shared" si="4707"/>
        <v>0</v>
      </c>
      <c r="BM742" s="49" t="str">
        <f t="shared" ref="BM742" si="4865">IF(BL742&lt;0,SUBSTITUTE(TEXT(BL742,"000000000000,00"),",",""),SUBSTITUTE(TEXT(BL742,"0000000000000,00"),",",""))</f>
        <v>000000000000000</v>
      </c>
      <c r="BN742" t="str">
        <f t="shared" si="4709"/>
        <v>PES</v>
      </c>
      <c r="BO742" t="str">
        <f t="shared" si="4710"/>
        <v>0001000000</v>
      </c>
      <c r="BP742">
        <f t="shared" si="4711"/>
        <v>0</v>
      </c>
      <c r="BQ742">
        <f t="shared" si="4712"/>
        <v>0</v>
      </c>
      <c r="BR742" s="23">
        <f t="shared" si="4713"/>
        <v>0</v>
      </c>
      <c r="BS742" s="49" t="str">
        <f t="shared" si="4678"/>
        <v>000000000000000</v>
      </c>
      <c r="BT742" t="str">
        <f t="shared" si="4714"/>
        <v>00000000</v>
      </c>
      <c r="BU742" s="23">
        <f t="shared" si="4715"/>
        <v>0</v>
      </c>
      <c r="BV742" s="49" t="str">
        <f t="shared" si="4679"/>
        <v/>
      </c>
      <c r="BW742" s="52" t="str">
        <f t="shared" si="4716"/>
        <v/>
      </c>
      <c r="BX742" s="23">
        <f t="shared" si="4717"/>
        <v>0</v>
      </c>
      <c r="BY742" s="49" t="str">
        <f t="shared" si="4680"/>
        <v/>
      </c>
      <c r="BZ742" s="23">
        <f t="shared" si="4718"/>
        <v>0</v>
      </c>
      <c r="CA742" s="49" t="str">
        <f t="shared" si="4681"/>
        <v/>
      </c>
      <c r="CB742" s="52" t="str">
        <f t="shared" si="4719"/>
        <v/>
      </c>
      <c r="CC742" s="23">
        <f t="shared" si="4720"/>
        <v>0</v>
      </c>
      <c r="CD742" s="49" t="str">
        <f t="shared" si="4682"/>
        <v/>
      </c>
      <c r="CE742" s="56" t="str">
        <f>IF(CF742="","",MAX(CE$10:$CE741)+1)</f>
        <v/>
      </c>
      <c r="CF742" t="str">
        <f t="shared" si="4721"/>
        <v/>
      </c>
      <c r="CG742" s="22" t="str">
        <f>IF(CH742="","",MAX($CG$10:CG741)+1)</f>
        <v/>
      </c>
      <c r="CH742" s="22" t="str">
        <f t="shared" si="4666"/>
        <v/>
      </c>
      <c r="CI742" s="22" t="str">
        <f>IF(CJ742="","",MAX($CI$10:CI741)+1)</f>
        <v/>
      </c>
      <c r="CJ742" s="22" t="str">
        <f t="shared" si="4667"/>
        <v/>
      </c>
    </row>
    <row r="743" spans="2:88" x14ac:dyDescent="0.25">
      <c r="B743" s="37"/>
      <c r="C743" s="3"/>
      <c r="D743" s="77" t="str">
        <f t="shared" si="4653"/>
        <v/>
      </c>
      <c r="E743" s="38"/>
      <c r="F743" s="38"/>
      <c r="G743" s="78">
        <f t="shared" si="4668"/>
        <v>0</v>
      </c>
      <c r="H743" s="3">
        <v>80</v>
      </c>
      <c r="I743" s="77" t="str">
        <f t="shared" si="4654"/>
        <v/>
      </c>
      <c r="J743" s="32"/>
      <c r="K743" s="3"/>
      <c r="L743" s="39"/>
      <c r="M743" s="39"/>
      <c r="N743" s="39"/>
      <c r="O743" s="39"/>
      <c r="P743" s="39"/>
      <c r="Q743" s="39"/>
      <c r="R743" s="39"/>
      <c r="S743" s="39"/>
      <c r="T743" s="3" t="s">
        <v>645</v>
      </c>
      <c r="U743" s="77" t="str">
        <f t="shared" si="4655"/>
        <v/>
      </c>
      <c r="V743" s="39">
        <v>1</v>
      </c>
      <c r="W743" s="79">
        <f t="shared" si="4669"/>
        <v>0</v>
      </c>
      <c r="X743" s="3">
        <v>0</v>
      </c>
      <c r="Y743" s="77" t="str">
        <f t="shared" si="4656"/>
        <v/>
      </c>
      <c r="Z743" s="3"/>
      <c r="AA743" s="37" t="str">
        <f t="shared" si="4670"/>
        <v/>
      </c>
      <c r="AC743" s="40"/>
      <c r="AD743" s="7"/>
      <c r="AE743" s="77" t="str">
        <f t="shared" si="4657"/>
        <v/>
      </c>
      <c r="AF743" s="81">
        <f t="shared" si="4683"/>
        <v>0</v>
      </c>
      <c r="AG743" s="40"/>
      <c r="AH743" s="7"/>
      <c r="AI743" s="77" t="str">
        <f t="shared" si="4658"/>
        <v/>
      </c>
      <c r="AJ743" s="81">
        <f t="shared" si="4684"/>
        <v>0</v>
      </c>
      <c r="AK743" s="83">
        <f t="shared" si="4685"/>
        <v>0</v>
      </c>
      <c r="AL743" s="83">
        <f t="shared" si="4686"/>
        <v>0</v>
      </c>
      <c r="AN743" s="43">
        <f t="shared" si="4659"/>
        <v>0</v>
      </c>
      <c r="AP743" t="str">
        <f t="shared" si="4687"/>
        <v/>
      </c>
      <c r="AQ743" t="str">
        <f t="shared" si="4688"/>
        <v/>
      </c>
      <c r="AR743" t="str">
        <f t="shared" si="4689"/>
        <v/>
      </c>
      <c r="AS743" t="str">
        <f t="shared" si="4690"/>
        <v/>
      </c>
      <c r="AT743" t="str">
        <f t="shared" si="4691"/>
        <v/>
      </c>
      <c r="AU743" t="str">
        <f t="shared" si="4692"/>
        <v/>
      </c>
      <c r="AV743" t="str">
        <f t="shared" si="4693"/>
        <v/>
      </c>
      <c r="AW743" t="str">
        <f t="shared" si="4694"/>
        <v xml:space="preserve">                              </v>
      </c>
      <c r="AX743" s="23">
        <f t="shared" si="4695"/>
        <v>0</v>
      </c>
      <c r="AY743" s="49" t="str">
        <f t="shared" si="4671"/>
        <v>000000000000000</v>
      </c>
      <c r="AZ743" s="23">
        <f t="shared" si="4696"/>
        <v>0</v>
      </c>
      <c r="BA743" s="49" t="str">
        <f t="shared" si="4671"/>
        <v>000000000000000</v>
      </c>
      <c r="BB743" s="23">
        <f t="shared" si="4697"/>
        <v>0</v>
      </c>
      <c r="BC743" s="49" t="str">
        <f t="shared" ref="BC743" si="4866">IF(BB743&lt;0,SUBSTITUTE(TEXT(BB743,"000000000000,00"),",",""),SUBSTITUTE(TEXT(BB743,"0000000000000,00"),",",""))</f>
        <v>000000000000000</v>
      </c>
      <c r="BD743" s="23">
        <f t="shared" si="4699"/>
        <v>0</v>
      </c>
      <c r="BE743" s="49" t="str">
        <f t="shared" ref="BE743" si="4867">IF(BD743&lt;0,SUBSTITUTE(TEXT(BD743,"000000000000,00"),",",""),SUBSTITUTE(TEXT(BD743,"0000000000000,00"),",",""))</f>
        <v>000000000000000</v>
      </c>
      <c r="BF743" s="23">
        <f t="shared" si="4701"/>
        <v>0</v>
      </c>
      <c r="BG743" s="49" t="str">
        <f t="shared" ref="BG743" si="4868">IF(BF743&lt;0,SUBSTITUTE(TEXT(BF743,"000000000000,00"),",",""),SUBSTITUTE(TEXT(BF743,"0000000000000,00"),",",""))</f>
        <v>000000000000000</v>
      </c>
      <c r="BH743" s="23">
        <f t="shared" si="4703"/>
        <v>0</v>
      </c>
      <c r="BI743" s="49" t="str">
        <f t="shared" ref="BI743" si="4869">IF(BH743&lt;0,SUBSTITUTE(TEXT(BH743,"000000000000,00"),",",""),SUBSTITUTE(TEXT(BH743,"0000000000000,00"),",",""))</f>
        <v>000000000000000</v>
      </c>
      <c r="BJ743" s="23">
        <f t="shared" si="4705"/>
        <v>0</v>
      </c>
      <c r="BK743" s="49" t="str">
        <f t="shared" ref="BK743" si="4870">IF(BJ743&lt;0,SUBSTITUTE(TEXT(BJ743,"000000000000,00"),",",""),SUBSTITUTE(TEXT(BJ743,"0000000000000,00"),",",""))</f>
        <v>000000000000000</v>
      </c>
      <c r="BL743" s="23">
        <f t="shared" si="4707"/>
        <v>0</v>
      </c>
      <c r="BM743" s="49" t="str">
        <f t="shared" ref="BM743" si="4871">IF(BL743&lt;0,SUBSTITUTE(TEXT(BL743,"000000000000,00"),",",""),SUBSTITUTE(TEXT(BL743,"0000000000000,00"),",",""))</f>
        <v>000000000000000</v>
      </c>
      <c r="BN743" t="str">
        <f t="shared" si="4709"/>
        <v>PES</v>
      </c>
      <c r="BO743" t="str">
        <f t="shared" si="4710"/>
        <v>0001000000</v>
      </c>
      <c r="BP743">
        <f t="shared" si="4711"/>
        <v>0</v>
      </c>
      <c r="BQ743">
        <f t="shared" si="4712"/>
        <v>0</v>
      </c>
      <c r="BR743" s="23">
        <f t="shared" si="4713"/>
        <v>0</v>
      </c>
      <c r="BS743" s="49" t="str">
        <f t="shared" si="4678"/>
        <v>000000000000000</v>
      </c>
      <c r="BT743" t="str">
        <f t="shared" si="4714"/>
        <v>00000000</v>
      </c>
      <c r="BU743" s="23">
        <f t="shared" si="4715"/>
        <v>0</v>
      </c>
      <c r="BV743" s="49" t="str">
        <f t="shared" si="4679"/>
        <v/>
      </c>
      <c r="BW743" s="52" t="str">
        <f t="shared" si="4716"/>
        <v/>
      </c>
      <c r="BX743" s="23">
        <f t="shared" si="4717"/>
        <v>0</v>
      </c>
      <c r="BY743" s="49" t="str">
        <f t="shared" si="4680"/>
        <v/>
      </c>
      <c r="BZ743" s="23">
        <f t="shared" si="4718"/>
        <v>0</v>
      </c>
      <c r="CA743" s="49" t="str">
        <f t="shared" si="4681"/>
        <v/>
      </c>
      <c r="CB743" s="52" t="str">
        <f t="shared" si="4719"/>
        <v/>
      </c>
      <c r="CC743" s="23">
        <f t="shared" si="4720"/>
        <v>0</v>
      </c>
      <c r="CD743" s="49" t="str">
        <f t="shared" si="4682"/>
        <v/>
      </c>
      <c r="CE743" s="56" t="str">
        <f>IF(CF743="","",MAX(CE$10:$CE742)+1)</f>
        <v/>
      </c>
      <c r="CF743" t="str">
        <f t="shared" si="4721"/>
        <v/>
      </c>
      <c r="CG743" s="22" t="str">
        <f>IF(CH743="","",MAX($CG$10:CG742)+1)</f>
        <v/>
      </c>
      <c r="CH743" s="22" t="str">
        <f t="shared" si="4666"/>
        <v/>
      </c>
      <c r="CI743" s="22" t="str">
        <f>IF(CJ743="","",MAX($CI$10:CI742)+1)</f>
        <v/>
      </c>
      <c r="CJ743" s="22" t="str">
        <f t="shared" si="4667"/>
        <v/>
      </c>
    </row>
    <row r="744" spans="2:88" x14ac:dyDescent="0.25">
      <c r="B744" s="37"/>
      <c r="C744" s="3"/>
      <c r="D744" s="77" t="str">
        <f t="shared" si="4653"/>
        <v/>
      </c>
      <c r="E744" s="38"/>
      <c r="F744" s="38"/>
      <c r="G744" s="78">
        <f t="shared" si="4668"/>
        <v>0</v>
      </c>
      <c r="H744" s="3">
        <v>80</v>
      </c>
      <c r="I744" s="77" t="str">
        <f t="shared" si="4654"/>
        <v/>
      </c>
      <c r="J744" s="32"/>
      <c r="K744" s="3"/>
      <c r="L744" s="39"/>
      <c r="M744" s="39"/>
      <c r="N744" s="39"/>
      <c r="O744" s="39"/>
      <c r="P744" s="39"/>
      <c r="Q744" s="39"/>
      <c r="R744" s="39"/>
      <c r="S744" s="39"/>
      <c r="T744" s="3" t="s">
        <v>645</v>
      </c>
      <c r="U744" s="77" t="str">
        <f t="shared" si="4655"/>
        <v/>
      </c>
      <c r="V744" s="39">
        <v>1</v>
      </c>
      <c r="W744" s="79">
        <f t="shared" si="4669"/>
        <v>0</v>
      </c>
      <c r="X744" s="3">
        <v>0</v>
      </c>
      <c r="Y744" s="77" t="str">
        <f t="shared" si="4656"/>
        <v/>
      </c>
      <c r="Z744" s="3"/>
      <c r="AA744" s="37" t="str">
        <f t="shared" si="4670"/>
        <v/>
      </c>
      <c r="AC744" s="40"/>
      <c r="AD744" s="7"/>
      <c r="AE744" s="77" t="str">
        <f t="shared" si="4657"/>
        <v/>
      </c>
      <c r="AF744" s="81">
        <f t="shared" si="4683"/>
        <v>0</v>
      </c>
      <c r="AG744" s="40"/>
      <c r="AH744" s="7"/>
      <c r="AI744" s="77" t="str">
        <f t="shared" si="4658"/>
        <v/>
      </c>
      <c r="AJ744" s="81">
        <f t="shared" si="4684"/>
        <v>0</v>
      </c>
      <c r="AK744" s="83">
        <f t="shared" si="4685"/>
        <v>0</v>
      </c>
      <c r="AL744" s="83">
        <f t="shared" si="4686"/>
        <v>0</v>
      </c>
      <c r="AN744" s="43">
        <f t="shared" si="4659"/>
        <v>0</v>
      </c>
      <c r="AP744" t="str">
        <f t="shared" si="4687"/>
        <v/>
      </c>
      <c r="AQ744" t="str">
        <f t="shared" si="4688"/>
        <v/>
      </c>
      <c r="AR744" t="str">
        <f t="shared" si="4689"/>
        <v/>
      </c>
      <c r="AS744" t="str">
        <f t="shared" si="4690"/>
        <v/>
      </c>
      <c r="AT744" t="str">
        <f t="shared" si="4691"/>
        <v/>
      </c>
      <c r="AU744" t="str">
        <f t="shared" si="4692"/>
        <v/>
      </c>
      <c r="AV744" t="str">
        <f t="shared" si="4693"/>
        <v/>
      </c>
      <c r="AW744" t="str">
        <f t="shared" si="4694"/>
        <v xml:space="preserve">                              </v>
      </c>
      <c r="AX744" s="23">
        <f t="shared" si="4695"/>
        <v>0</v>
      </c>
      <c r="AY744" s="49" t="str">
        <f t="shared" si="4671"/>
        <v>000000000000000</v>
      </c>
      <c r="AZ744" s="23">
        <f t="shared" si="4696"/>
        <v>0</v>
      </c>
      <c r="BA744" s="49" t="str">
        <f t="shared" si="4671"/>
        <v>000000000000000</v>
      </c>
      <c r="BB744" s="23">
        <f t="shared" si="4697"/>
        <v>0</v>
      </c>
      <c r="BC744" s="49" t="str">
        <f t="shared" ref="BC744" si="4872">IF(BB744&lt;0,SUBSTITUTE(TEXT(BB744,"000000000000,00"),",",""),SUBSTITUTE(TEXT(BB744,"0000000000000,00"),",",""))</f>
        <v>000000000000000</v>
      </c>
      <c r="BD744" s="23">
        <f t="shared" si="4699"/>
        <v>0</v>
      </c>
      <c r="BE744" s="49" t="str">
        <f t="shared" ref="BE744" si="4873">IF(BD744&lt;0,SUBSTITUTE(TEXT(BD744,"000000000000,00"),",",""),SUBSTITUTE(TEXT(BD744,"0000000000000,00"),",",""))</f>
        <v>000000000000000</v>
      </c>
      <c r="BF744" s="23">
        <f t="shared" si="4701"/>
        <v>0</v>
      </c>
      <c r="BG744" s="49" t="str">
        <f t="shared" ref="BG744" si="4874">IF(BF744&lt;0,SUBSTITUTE(TEXT(BF744,"000000000000,00"),",",""),SUBSTITUTE(TEXT(BF744,"0000000000000,00"),",",""))</f>
        <v>000000000000000</v>
      </c>
      <c r="BH744" s="23">
        <f t="shared" si="4703"/>
        <v>0</v>
      </c>
      <c r="BI744" s="49" t="str">
        <f t="shared" ref="BI744" si="4875">IF(BH744&lt;0,SUBSTITUTE(TEXT(BH744,"000000000000,00"),",",""),SUBSTITUTE(TEXT(BH744,"0000000000000,00"),",",""))</f>
        <v>000000000000000</v>
      </c>
      <c r="BJ744" s="23">
        <f t="shared" si="4705"/>
        <v>0</v>
      </c>
      <c r="BK744" s="49" t="str">
        <f t="shared" ref="BK744" si="4876">IF(BJ744&lt;0,SUBSTITUTE(TEXT(BJ744,"000000000000,00"),",",""),SUBSTITUTE(TEXT(BJ744,"0000000000000,00"),",",""))</f>
        <v>000000000000000</v>
      </c>
      <c r="BL744" s="23">
        <f t="shared" si="4707"/>
        <v>0</v>
      </c>
      <c r="BM744" s="49" t="str">
        <f t="shared" ref="BM744" si="4877">IF(BL744&lt;0,SUBSTITUTE(TEXT(BL744,"000000000000,00"),",",""),SUBSTITUTE(TEXT(BL744,"0000000000000,00"),",",""))</f>
        <v>000000000000000</v>
      </c>
      <c r="BN744" t="str">
        <f t="shared" si="4709"/>
        <v>PES</v>
      </c>
      <c r="BO744" t="str">
        <f t="shared" si="4710"/>
        <v>0001000000</v>
      </c>
      <c r="BP744">
        <f t="shared" si="4711"/>
        <v>0</v>
      </c>
      <c r="BQ744">
        <f t="shared" si="4712"/>
        <v>0</v>
      </c>
      <c r="BR744" s="23">
        <f t="shared" si="4713"/>
        <v>0</v>
      </c>
      <c r="BS744" s="49" t="str">
        <f t="shared" si="4678"/>
        <v>000000000000000</v>
      </c>
      <c r="BT744" t="str">
        <f t="shared" si="4714"/>
        <v>00000000</v>
      </c>
      <c r="BU744" s="23">
        <f t="shared" si="4715"/>
        <v>0</v>
      </c>
      <c r="BV744" s="49" t="str">
        <f t="shared" si="4679"/>
        <v/>
      </c>
      <c r="BW744" s="52" t="str">
        <f t="shared" si="4716"/>
        <v/>
      </c>
      <c r="BX744" s="23">
        <f t="shared" si="4717"/>
        <v>0</v>
      </c>
      <c r="BY744" s="49" t="str">
        <f t="shared" si="4680"/>
        <v/>
      </c>
      <c r="BZ744" s="23">
        <f t="shared" si="4718"/>
        <v>0</v>
      </c>
      <c r="CA744" s="49" t="str">
        <f t="shared" si="4681"/>
        <v/>
      </c>
      <c r="CB744" s="52" t="str">
        <f t="shared" si="4719"/>
        <v/>
      </c>
      <c r="CC744" s="23">
        <f t="shared" si="4720"/>
        <v>0</v>
      </c>
      <c r="CD744" s="49" t="str">
        <f t="shared" si="4682"/>
        <v/>
      </c>
      <c r="CE744" s="56" t="str">
        <f>IF(CF744="","",MAX(CE$10:$CE743)+1)</f>
        <v/>
      </c>
      <c r="CF744" t="str">
        <f t="shared" si="4721"/>
        <v/>
      </c>
      <c r="CG744" s="22" t="str">
        <f>IF(CH744="","",MAX($CG$10:CG743)+1)</f>
        <v/>
      </c>
      <c r="CH744" s="22" t="str">
        <f t="shared" si="4666"/>
        <v/>
      </c>
      <c r="CI744" s="22" t="str">
        <f>IF(CJ744="","",MAX($CI$10:CI743)+1)</f>
        <v/>
      </c>
      <c r="CJ744" s="22" t="str">
        <f t="shared" si="4667"/>
        <v/>
      </c>
    </row>
    <row r="745" spans="2:88" x14ac:dyDescent="0.25">
      <c r="B745" s="37"/>
      <c r="C745" s="3"/>
      <c r="D745" s="77" t="str">
        <f t="shared" si="4653"/>
        <v/>
      </c>
      <c r="E745" s="38"/>
      <c r="F745" s="38"/>
      <c r="G745" s="78">
        <f t="shared" si="4668"/>
        <v>0</v>
      </c>
      <c r="H745" s="3">
        <v>80</v>
      </c>
      <c r="I745" s="77" t="str">
        <f t="shared" si="4654"/>
        <v/>
      </c>
      <c r="J745" s="32"/>
      <c r="K745" s="3"/>
      <c r="L745" s="39"/>
      <c r="M745" s="39"/>
      <c r="N745" s="39"/>
      <c r="O745" s="39"/>
      <c r="P745" s="39"/>
      <c r="Q745" s="39"/>
      <c r="R745" s="39"/>
      <c r="S745" s="39"/>
      <c r="T745" s="3" t="s">
        <v>645</v>
      </c>
      <c r="U745" s="77" t="str">
        <f t="shared" si="4655"/>
        <v/>
      </c>
      <c r="V745" s="39">
        <v>1</v>
      </c>
      <c r="W745" s="79">
        <f t="shared" si="4669"/>
        <v>0</v>
      </c>
      <c r="X745" s="3">
        <v>0</v>
      </c>
      <c r="Y745" s="77" t="str">
        <f t="shared" si="4656"/>
        <v/>
      </c>
      <c r="Z745" s="3"/>
      <c r="AA745" s="37" t="str">
        <f t="shared" si="4670"/>
        <v/>
      </c>
      <c r="AC745" s="40"/>
      <c r="AD745" s="7"/>
      <c r="AE745" s="77" t="str">
        <f t="shared" si="4657"/>
        <v/>
      </c>
      <c r="AF745" s="81">
        <f t="shared" si="4683"/>
        <v>0</v>
      </c>
      <c r="AG745" s="40"/>
      <c r="AH745" s="7"/>
      <c r="AI745" s="77" t="str">
        <f t="shared" si="4658"/>
        <v/>
      </c>
      <c r="AJ745" s="81">
        <f t="shared" si="4684"/>
        <v>0</v>
      </c>
      <c r="AK745" s="83">
        <f t="shared" si="4685"/>
        <v>0</v>
      </c>
      <c r="AL745" s="83">
        <f t="shared" si="4686"/>
        <v>0</v>
      </c>
      <c r="AN745" s="43">
        <f t="shared" si="4659"/>
        <v>0</v>
      </c>
      <c r="AP745" t="str">
        <f t="shared" si="4687"/>
        <v/>
      </c>
      <c r="AQ745" t="str">
        <f t="shared" si="4688"/>
        <v/>
      </c>
      <c r="AR745" t="str">
        <f t="shared" si="4689"/>
        <v/>
      </c>
      <c r="AS745" t="str">
        <f t="shared" si="4690"/>
        <v/>
      </c>
      <c r="AT745" t="str">
        <f t="shared" si="4691"/>
        <v/>
      </c>
      <c r="AU745" t="str">
        <f t="shared" si="4692"/>
        <v/>
      </c>
      <c r="AV745" t="str">
        <f t="shared" si="4693"/>
        <v/>
      </c>
      <c r="AW745" t="str">
        <f t="shared" si="4694"/>
        <v xml:space="preserve">                              </v>
      </c>
      <c r="AX745" s="23">
        <f t="shared" si="4695"/>
        <v>0</v>
      </c>
      <c r="AY745" s="49" t="str">
        <f t="shared" si="4671"/>
        <v>000000000000000</v>
      </c>
      <c r="AZ745" s="23">
        <f t="shared" si="4696"/>
        <v>0</v>
      </c>
      <c r="BA745" s="49" t="str">
        <f t="shared" si="4671"/>
        <v>000000000000000</v>
      </c>
      <c r="BB745" s="23">
        <f t="shared" si="4697"/>
        <v>0</v>
      </c>
      <c r="BC745" s="49" t="str">
        <f t="shared" ref="BC745" si="4878">IF(BB745&lt;0,SUBSTITUTE(TEXT(BB745,"000000000000,00"),",",""),SUBSTITUTE(TEXT(BB745,"0000000000000,00"),",",""))</f>
        <v>000000000000000</v>
      </c>
      <c r="BD745" s="23">
        <f t="shared" si="4699"/>
        <v>0</v>
      </c>
      <c r="BE745" s="49" t="str">
        <f t="shared" ref="BE745" si="4879">IF(BD745&lt;0,SUBSTITUTE(TEXT(BD745,"000000000000,00"),",",""),SUBSTITUTE(TEXT(BD745,"0000000000000,00"),",",""))</f>
        <v>000000000000000</v>
      </c>
      <c r="BF745" s="23">
        <f t="shared" si="4701"/>
        <v>0</v>
      </c>
      <c r="BG745" s="49" t="str">
        <f t="shared" ref="BG745" si="4880">IF(BF745&lt;0,SUBSTITUTE(TEXT(BF745,"000000000000,00"),",",""),SUBSTITUTE(TEXT(BF745,"0000000000000,00"),",",""))</f>
        <v>000000000000000</v>
      </c>
      <c r="BH745" s="23">
        <f t="shared" si="4703"/>
        <v>0</v>
      </c>
      <c r="BI745" s="49" t="str">
        <f t="shared" ref="BI745" si="4881">IF(BH745&lt;0,SUBSTITUTE(TEXT(BH745,"000000000000,00"),",",""),SUBSTITUTE(TEXT(BH745,"0000000000000,00"),",",""))</f>
        <v>000000000000000</v>
      </c>
      <c r="BJ745" s="23">
        <f t="shared" si="4705"/>
        <v>0</v>
      </c>
      <c r="BK745" s="49" t="str">
        <f t="shared" ref="BK745" si="4882">IF(BJ745&lt;0,SUBSTITUTE(TEXT(BJ745,"000000000000,00"),",",""),SUBSTITUTE(TEXT(BJ745,"0000000000000,00"),",",""))</f>
        <v>000000000000000</v>
      </c>
      <c r="BL745" s="23">
        <f t="shared" si="4707"/>
        <v>0</v>
      </c>
      <c r="BM745" s="49" t="str">
        <f t="shared" ref="BM745" si="4883">IF(BL745&lt;0,SUBSTITUTE(TEXT(BL745,"000000000000,00"),",",""),SUBSTITUTE(TEXT(BL745,"0000000000000,00"),",",""))</f>
        <v>000000000000000</v>
      </c>
      <c r="BN745" t="str">
        <f t="shared" si="4709"/>
        <v>PES</v>
      </c>
      <c r="BO745" t="str">
        <f t="shared" si="4710"/>
        <v>0001000000</v>
      </c>
      <c r="BP745">
        <f t="shared" si="4711"/>
        <v>0</v>
      </c>
      <c r="BQ745">
        <f t="shared" si="4712"/>
        <v>0</v>
      </c>
      <c r="BR745" s="23">
        <f t="shared" si="4713"/>
        <v>0</v>
      </c>
      <c r="BS745" s="49" t="str">
        <f t="shared" si="4678"/>
        <v>000000000000000</v>
      </c>
      <c r="BT745" t="str">
        <f t="shared" si="4714"/>
        <v>00000000</v>
      </c>
      <c r="BU745" s="23">
        <f t="shared" si="4715"/>
        <v>0</v>
      </c>
      <c r="BV745" s="49" t="str">
        <f t="shared" si="4679"/>
        <v/>
      </c>
      <c r="BW745" s="52" t="str">
        <f t="shared" si="4716"/>
        <v/>
      </c>
      <c r="BX745" s="23">
        <f t="shared" si="4717"/>
        <v>0</v>
      </c>
      <c r="BY745" s="49" t="str">
        <f t="shared" si="4680"/>
        <v/>
      </c>
      <c r="BZ745" s="23">
        <f t="shared" si="4718"/>
        <v>0</v>
      </c>
      <c r="CA745" s="49" t="str">
        <f t="shared" si="4681"/>
        <v/>
      </c>
      <c r="CB745" s="52" t="str">
        <f t="shared" si="4719"/>
        <v/>
      </c>
      <c r="CC745" s="23">
        <f t="shared" si="4720"/>
        <v>0</v>
      </c>
      <c r="CD745" s="49" t="str">
        <f t="shared" si="4682"/>
        <v/>
      </c>
      <c r="CE745" s="56" t="str">
        <f>IF(CF745="","",MAX(CE$10:$CE744)+1)</f>
        <v/>
      </c>
      <c r="CF745" t="str">
        <f t="shared" si="4721"/>
        <v/>
      </c>
      <c r="CG745" s="22" t="str">
        <f>IF(CH745="","",MAX($CG$10:CG744)+1)</f>
        <v/>
      </c>
      <c r="CH745" s="22" t="str">
        <f t="shared" si="4666"/>
        <v/>
      </c>
      <c r="CI745" s="22" t="str">
        <f>IF(CJ745="","",MAX($CI$10:CI744)+1)</f>
        <v/>
      </c>
      <c r="CJ745" s="22" t="str">
        <f t="shared" si="4667"/>
        <v/>
      </c>
    </row>
    <row r="746" spans="2:88" x14ac:dyDescent="0.25">
      <c r="B746" s="37"/>
      <c r="C746" s="3"/>
      <c r="D746" s="77" t="str">
        <f t="shared" si="4653"/>
        <v/>
      </c>
      <c r="E746" s="38"/>
      <c r="F746" s="38"/>
      <c r="G746" s="78">
        <f t="shared" si="4668"/>
        <v>0</v>
      </c>
      <c r="H746" s="3">
        <v>80</v>
      </c>
      <c r="I746" s="77" t="str">
        <f t="shared" si="4654"/>
        <v/>
      </c>
      <c r="J746" s="32"/>
      <c r="K746" s="3"/>
      <c r="L746" s="39"/>
      <c r="M746" s="39"/>
      <c r="N746" s="39"/>
      <c r="O746" s="39"/>
      <c r="P746" s="39"/>
      <c r="Q746" s="39"/>
      <c r="R746" s="39"/>
      <c r="S746" s="39"/>
      <c r="T746" s="3" t="s">
        <v>645</v>
      </c>
      <c r="U746" s="77" t="str">
        <f t="shared" si="4655"/>
        <v/>
      </c>
      <c r="V746" s="39">
        <v>1</v>
      </c>
      <c r="W746" s="79">
        <f t="shared" si="4669"/>
        <v>0</v>
      </c>
      <c r="X746" s="3">
        <v>0</v>
      </c>
      <c r="Y746" s="77" t="str">
        <f t="shared" si="4656"/>
        <v/>
      </c>
      <c r="Z746" s="3"/>
      <c r="AA746" s="37" t="str">
        <f t="shared" si="4670"/>
        <v/>
      </c>
      <c r="AC746" s="40"/>
      <c r="AD746" s="7"/>
      <c r="AE746" s="77" t="str">
        <f t="shared" si="4657"/>
        <v/>
      </c>
      <c r="AF746" s="81">
        <f t="shared" si="4683"/>
        <v>0</v>
      </c>
      <c r="AG746" s="40"/>
      <c r="AH746" s="7"/>
      <c r="AI746" s="77" t="str">
        <f t="shared" si="4658"/>
        <v/>
      </c>
      <c r="AJ746" s="81">
        <f t="shared" si="4684"/>
        <v>0</v>
      </c>
      <c r="AK746" s="83">
        <f t="shared" si="4685"/>
        <v>0</v>
      </c>
      <c r="AL746" s="83">
        <f t="shared" si="4686"/>
        <v>0</v>
      </c>
      <c r="AN746" s="43">
        <f t="shared" si="4659"/>
        <v>0</v>
      </c>
      <c r="AP746" t="str">
        <f t="shared" si="4687"/>
        <v/>
      </c>
      <c r="AQ746" t="str">
        <f t="shared" si="4688"/>
        <v/>
      </c>
      <c r="AR746" t="str">
        <f t="shared" si="4689"/>
        <v/>
      </c>
      <c r="AS746" t="str">
        <f t="shared" si="4690"/>
        <v/>
      </c>
      <c r="AT746" t="str">
        <f t="shared" si="4691"/>
        <v/>
      </c>
      <c r="AU746" t="str">
        <f t="shared" si="4692"/>
        <v/>
      </c>
      <c r="AV746" t="str">
        <f t="shared" si="4693"/>
        <v/>
      </c>
      <c r="AW746" t="str">
        <f t="shared" si="4694"/>
        <v xml:space="preserve">                              </v>
      </c>
      <c r="AX746" s="23">
        <f t="shared" si="4695"/>
        <v>0</v>
      </c>
      <c r="AY746" s="49" t="str">
        <f t="shared" si="4671"/>
        <v>000000000000000</v>
      </c>
      <c r="AZ746" s="23">
        <f t="shared" si="4696"/>
        <v>0</v>
      </c>
      <c r="BA746" s="49" t="str">
        <f t="shared" si="4671"/>
        <v>000000000000000</v>
      </c>
      <c r="BB746" s="23">
        <f t="shared" si="4697"/>
        <v>0</v>
      </c>
      <c r="BC746" s="49" t="str">
        <f t="shared" ref="BC746" si="4884">IF(BB746&lt;0,SUBSTITUTE(TEXT(BB746,"000000000000,00"),",",""),SUBSTITUTE(TEXT(BB746,"0000000000000,00"),",",""))</f>
        <v>000000000000000</v>
      </c>
      <c r="BD746" s="23">
        <f t="shared" si="4699"/>
        <v>0</v>
      </c>
      <c r="BE746" s="49" t="str">
        <f t="shared" ref="BE746" si="4885">IF(BD746&lt;0,SUBSTITUTE(TEXT(BD746,"000000000000,00"),",",""),SUBSTITUTE(TEXT(BD746,"0000000000000,00"),",",""))</f>
        <v>000000000000000</v>
      </c>
      <c r="BF746" s="23">
        <f t="shared" si="4701"/>
        <v>0</v>
      </c>
      <c r="BG746" s="49" t="str">
        <f t="shared" ref="BG746" si="4886">IF(BF746&lt;0,SUBSTITUTE(TEXT(BF746,"000000000000,00"),",",""),SUBSTITUTE(TEXT(BF746,"0000000000000,00"),",",""))</f>
        <v>000000000000000</v>
      </c>
      <c r="BH746" s="23">
        <f t="shared" si="4703"/>
        <v>0</v>
      </c>
      <c r="BI746" s="49" t="str">
        <f t="shared" ref="BI746" si="4887">IF(BH746&lt;0,SUBSTITUTE(TEXT(BH746,"000000000000,00"),",",""),SUBSTITUTE(TEXT(BH746,"0000000000000,00"),",",""))</f>
        <v>000000000000000</v>
      </c>
      <c r="BJ746" s="23">
        <f t="shared" si="4705"/>
        <v>0</v>
      </c>
      <c r="BK746" s="49" t="str">
        <f t="shared" ref="BK746" si="4888">IF(BJ746&lt;0,SUBSTITUTE(TEXT(BJ746,"000000000000,00"),",",""),SUBSTITUTE(TEXT(BJ746,"0000000000000,00"),",",""))</f>
        <v>000000000000000</v>
      </c>
      <c r="BL746" s="23">
        <f t="shared" si="4707"/>
        <v>0</v>
      </c>
      <c r="BM746" s="49" t="str">
        <f t="shared" ref="BM746" si="4889">IF(BL746&lt;0,SUBSTITUTE(TEXT(BL746,"000000000000,00"),",",""),SUBSTITUTE(TEXT(BL746,"0000000000000,00"),",",""))</f>
        <v>000000000000000</v>
      </c>
      <c r="BN746" t="str">
        <f t="shared" si="4709"/>
        <v>PES</v>
      </c>
      <c r="BO746" t="str">
        <f t="shared" si="4710"/>
        <v>0001000000</v>
      </c>
      <c r="BP746">
        <f t="shared" si="4711"/>
        <v>0</v>
      </c>
      <c r="BQ746">
        <f t="shared" si="4712"/>
        <v>0</v>
      </c>
      <c r="BR746" s="23">
        <f t="shared" si="4713"/>
        <v>0</v>
      </c>
      <c r="BS746" s="49" t="str">
        <f t="shared" si="4678"/>
        <v>000000000000000</v>
      </c>
      <c r="BT746" t="str">
        <f t="shared" si="4714"/>
        <v>00000000</v>
      </c>
      <c r="BU746" s="23">
        <f t="shared" si="4715"/>
        <v>0</v>
      </c>
      <c r="BV746" s="49" t="str">
        <f t="shared" si="4679"/>
        <v/>
      </c>
      <c r="BW746" s="52" t="str">
        <f t="shared" si="4716"/>
        <v/>
      </c>
      <c r="BX746" s="23">
        <f t="shared" si="4717"/>
        <v>0</v>
      </c>
      <c r="BY746" s="49" t="str">
        <f t="shared" si="4680"/>
        <v/>
      </c>
      <c r="BZ746" s="23">
        <f t="shared" si="4718"/>
        <v>0</v>
      </c>
      <c r="CA746" s="49" t="str">
        <f t="shared" si="4681"/>
        <v/>
      </c>
      <c r="CB746" s="52" t="str">
        <f t="shared" si="4719"/>
        <v/>
      </c>
      <c r="CC746" s="23">
        <f t="shared" si="4720"/>
        <v>0</v>
      </c>
      <c r="CD746" s="49" t="str">
        <f t="shared" si="4682"/>
        <v/>
      </c>
      <c r="CE746" s="56" t="str">
        <f>IF(CF746="","",MAX(CE$10:$CE745)+1)</f>
        <v/>
      </c>
      <c r="CF746" t="str">
        <f t="shared" si="4721"/>
        <v/>
      </c>
      <c r="CG746" s="22" t="str">
        <f>IF(CH746="","",MAX($CG$10:CG745)+1)</f>
        <v/>
      </c>
      <c r="CH746" s="22" t="str">
        <f t="shared" si="4666"/>
        <v/>
      </c>
      <c r="CI746" s="22" t="str">
        <f>IF(CJ746="","",MAX($CI$10:CI745)+1)</f>
        <v/>
      </c>
      <c r="CJ746" s="22" t="str">
        <f t="shared" si="4667"/>
        <v/>
      </c>
    </row>
    <row r="747" spans="2:88" x14ac:dyDescent="0.25">
      <c r="B747" s="37"/>
      <c r="C747" s="3"/>
      <c r="D747" s="77" t="str">
        <f t="shared" si="4653"/>
        <v/>
      </c>
      <c r="E747" s="38"/>
      <c r="F747" s="38"/>
      <c r="G747" s="78">
        <f t="shared" si="4668"/>
        <v>0</v>
      </c>
      <c r="H747" s="3">
        <v>80</v>
      </c>
      <c r="I747" s="77" t="str">
        <f t="shared" si="4654"/>
        <v/>
      </c>
      <c r="J747" s="32"/>
      <c r="K747" s="3"/>
      <c r="L747" s="39"/>
      <c r="M747" s="39"/>
      <c r="N747" s="39"/>
      <c r="O747" s="39"/>
      <c r="P747" s="39"/>
      <c r="Q747" s="39"/>
      <c r="R747" s="39"/>
      <c r="S747" s="39"/>
      <c r="T747" s="3" t="s">
        <v>645</v>
      </c>
      <c r="U747" s="77" t="str">
        <f t="shared" si="4655"/>
        <v/>
      </c>
      <c r="V747" s="39">
        <v>1</v>
      </c>
      <c r="W747" s="79">
        <f t="shared" si="4669"/>
        <v>0</v>
      </c>
      <c r="X747" s="3">
        <v>0</v>
      </c>
      <c r="Y747" s="77" t="str">
        <f t="shared" si="4656"/>
        <v/>
      </c>
      <c r="Z747" s="3"/>
      <c r="AA747" s="37" t="str">
        <f t="shared" si="4670"/>
        <v/>
      </c>
      <c r="AC747" s="40"/>
      <c r="AD747" s="7"/>
      <c r="AE747" s="77" t="str">
        <f t="shared" si="4657"/>
        <v/>
      </c>
      <c r="AF747" s="81">
        <f t="shared" si="4683"/>
        <v>0</v>
      </c>
      <c r="AG747" s="40"/>
      <c r="AH747" s="7"/>
      <c r="AI747" s="77" t="str">
        <f t="shared" si="4658"/>
        <v/>
      </c>
      <c r="AJ747" s="81">
        <f t="shared" si="4684"/>
        <v>0</v>
      </c>
      <c r="AK747" s="83">
        <f t="shared" si="4685"/>
        <v>0</v>
      </c>
      <c r="AL747" s="83">
        <f t="shared" si="4686"/>
        <v>0</v>
      </c>
      <c r="AN747" s="43">
        <f t="shared" si="4659"/>
        <v>0</v>
      </c>
      <c r="AP747" t="str">
        <f t="shared" si="4687"/>
        <v/>
      </c>
      <c r="AQ747" t="str">
        <f t="shared" si="4688"/>
        <v/>
      </c>
      <c r="AR747" t="str">
        <f t="shared" si="4689"/>
        <v/>
      </c>
      <c r="AS747" t="str">
        <f t="shared" si="4690"/>
        <v/>
      </c>
      <c r="AT747" t="str">
        <f t="shared" si="4691"/>
        <v/>
      </c>
      <c r="AU747" t="str">
        <f t="shared" si="4692"/>
        <v/>
      </c>
      <c r="AV747" t="str">
        <f t="shared" si="4693"/>
        <v/>
      </c>
      <c r="AW747" t="str">
        <f t="shared" si="4694"/>
        <v xml:space="preserve">                              </v>
      </c>
      <c r="AX747" s="23">
        <f t="shared" si="4695"/>
        <v>0</v>
      </c>
      <c r="AY747" s="49" t="str">
        <f t="shared" si="4671"/>
        <v>000000000000000</v>
      </c>
      <c r="AZ747" s="23">
        <f t="shared" si="4696"/>
        <v>0</v>
      </c>
      <c r="BA747" s="49" t="str">
        <f t="shared" si="4671"/>
        <v>000000000000000</v>
      </c>
      <c r="BB747" s="23">
        <f t="shared" si="4697"/>
        <v>0</v>
      </c>
      <c r="BC747" s="49" t="str">
        <f t="shared" ref="BC747" si="4890">IF(BB747&lt;0,SUBSTITUTE(TEXT(BB747,"000000000000,00"),",",""),SUBSTITUTE(TEXT(BB747,"0000000000000,00"),",",""))</f>
        <v>000000000000000</v>
      </c>
      <c r="BD747" s="23">
        <f t="shared" si="4699"/>
        <v>0</v>
      </c>
      <c r="BE747" s="49" t="str">
        <f t="shared" ref="BE747" si="4891">IF(BD747&lt;0,SUBSTITUTE(TEXT(BD747,"000000000000,00"),",",""),SUBSTITUTE(TEXT(BD747,"0000000000000,00"),",",""))</f>
        <v>000000000000000</v>
      </c>
      <c r="BF747" s="23">
        <f t="shared" si="4701"/>
        <v>0</v>
      </c>
      <c r="BG747" s="49" t="str">
        <f t="shared" ref="BG747" si="4892">IF(BF747&lt;0,SUBSTITUTE(TEXT(BF747,"000000000000,00"),",",""),SUBSTITUTE(TEXT(BF747,"0000000000000,00"),",",""))</f>
        <v>000000000000000</v>
      </c>
      <c r="BH747" s="23">
        <f t="shared" si="4703"/>
        <v>0</v>
      </c>
      <c r="BI747" s="49" t="str">
        <f t="shared" ref="BI747" si="4893">IF(BH747&lt;0,SUBSTITUTE(TEXT(BH747,"000000000000,00"),",",""),SUBSTITUTE(TEXT(BH747,"0000000000000,00"),",",""))</f>
        <v>000000000000000</v>
      </c>
      <c r="BJ747" s="23">
        <f t="shared" si="4705"/>
        <v>0</v>
      </c>
      <c r="BK747" s="49" t="str">
        <f t="shared" ref="BK747" si="4894">IF(BJ747&lt;0,SUBSTITUTE(TEXT(BJ747,"000000000000,00"),",",""),SUBSTITUTE(TEXT(BJ747,"0000000000000,00"),",",""))</f>
        <v>000000000000000</v>
      </c>
      <c r="BL747" s="23">
        <f t="shared" si="4707"/>
        <v>0</v>
      </c>
      <c r="BM747" s="49" t="str">
        <f t="shared" ref="BM747" si="4895">IF(BL747&lt;0,SUBSTITUTE(TEXT(BL747,"000000000000,00"),",",""),SUBSTITUTE(TEXT(BL747,"0000000000000,00"),",",""))</f>
        <v>000000000000000</v>
      </c>
      <c r="BN747" t="str">
        <f t="shared" si="4709"/>
        <v>PES</v>
      </c>
      <c r="BO747" t="str">
        <f t="shared" si="4710"/>
        <v>0001000000</v>
      </c>
      <c r="BP747">
        <f t="shared" si="4711"/>
        <v>0</v>
      </c>
      <c r="BQ747">
        <f t="shared" si="4712"/>
        <v>0</v>
      </c>
      <c r="BR747" s="23">
        <f t="shared" si="4713"/>
        <v>0</v>
      </c>
      <c r="BS747" s="49" t="str">
        <f t="shared" si="4678"/>
        <v>000000000000000</v>
      </c>
      <c r="BT747" t="str">
        <f t="shared" si="4714"/>
        <v>00000000</v>
      </c>
      <c r="BU747" s="23">
        <f t="shared" si="4715"/>
        <v>0</v>
      </c>
      <c r="BV747" s="49" t="str">
        <f t="shared" si="4679"/>
        <v/>
      </c>
      <c r="BW747" s="52" t="str">
        <f t="shared" si="4716"/>
        <v/>
      </c>
      <c r="BX747" s="23">
        <f t="shared" si="4717"/>
        <v>0</v>
      </c>
      <c r="BY747" s="49" t="str">
        <f t="shared" si="4680"/>
        <v/>
      </c>
      <c r="BZ747" s="23">
        <f t="shared" si="4718"/>
        <v>0</v>
      </c>
      <c r="CA747" s="49" t="str">
        <f t="shared" si="4681"/>
        <v/>
      </c>
      <c r="CB747" s="52" t="str">
        <f t="shared" si="4719"/>
        <v/>
      </c>
      <c r="CC747" s="23">
        <f t="shared" si="4720"/>
        <v>0</v>
      </c>
      <c r="CD747" s="49" t="str">
        <f t="shared" si="4682"/>
        <v/>
      </c>
      <c r="CE747" s="56" t="str">
        <f>IF(CF747="","",MAX(CE$10:$CE746)+1)</f>
        <v/>
      </c>
      <c r="CF747" t="str">
        <f t="shared" si="4721"/>
        <v/>
      </c>
      <c r="CG747" s="22" t="str">
        <f>IF(CH747="","",MAX($CG$10:CG746)+1)</f>
        <v/>
      </c>
      <c r="CH747" s="22" t="str">
        <f t="shared" si="4666"/>
        <v/>
      </c>
      <c r="CI747" s="22" t="str">
        <f>IF(CJ747="","",MAX($CI$10:CI746)+1)</f>
        <v/>
      </c>
      <c r="CJ747" s="22" t="str">
        <f t="shared" si="4667"/>
        <v/>
      </c>
    </row>
    <row r="748" spans="2:88" x14ac:dyDescent="0.25">
      <c r="B748" s="37"/>
      <c r="C748" s="3"/>
      <c r="D748" s="77" t="str">
        <f t="shared" si="4653"/>
        <v/>
      </c>
      <c r="E748" s="38"/>
      <c r="F748" s="38"/>
      <c r="G748" s="78">
        <f t="shared" si="4668"/>
        <v>0</v>
      </c>
      <c r="H748" s="3">
        <v>80</v>
      </c>
      <c r="I748" s="77" t="str">
        <f t="shared" si="4654"/>
        <v/>
      </c>
      <c r="J748" s="32"/>
      <c r="K748" s="3"/>
      <c r="L748" s="39"/>
      <c r="M748" s="39"/>
      <c r="N748" s="39"/>
      <c r="O748" s="39"/>
      <c r="P748" s="39"/>
      <c r="Q748" s="39"/>
      <c r="R748" s="39"/>
      <c r="S748" s="39"/>
      <c r="T748" s="3" t="s">
        <v>645</v>
      </c>
      <c r="U748" s="77" t="str">
        <f t="shared" si="4655"/>
        <v/>
      </c>
      <c r="V748" s="39">
        <v>1</v>
      </c>
      <c r="W748" s="79">
        <f t="shared" si="4669"/>
        <v>0</v>
      </c>
      <c r="X748" s="3">
        <v>0</v>
      </c>
      <c r="Y748" s="77" t="str">
        <f t="shared" si="4656"/>
        <v/>
      </c>
      <c r="Z748" s="3"/>
      <c r="AA748" s="37" t="str">
        <f t="shared" si="4670"/>
        <v/>
      </c>
      <c r="AC748" s="40"/>
      <c r="AD748" s="7"/>
      <c r="AE748" s="77" t="str">
        <f t="shared" si="4657"/>
        <v/>
      </c>
      <c r="AF748" s="81">
        <f t="shared" si="4683"/>
        <v>0</v>
      </c>
      <c r="AG748" s="40"/>
      <c r="AH748" s="7"/>
      <c r="AI748" s="77" t="str">
        <f t="shared" si="4658"/>
        <v/>
      </c>
      <c r="AJ748" s="81">
        <f t="shared" si="4684"/>
        <v>0</v>
      </c>
      <c r="AK748" s="83">
        <f t="shared" si="4685"/>
        <v>0</v>
      </c>
      <c r="AL748" s="83">
        <f t="shared" si="4686"/>
        <v>0</v>
      </c>
      <c r="AN748" s="43">
        <f t="shared" si="4659"/>
        <v>0</v>
      </c>
      <c r="AP748" t="str">
        <f t="shared" si="4687"/>
        <v/>
      </c>
      <c r="AQ748" t="str">
        <f t="shared" si="4688"/>
        <v/>
      </c>
      <c r="AR748" t="str">
        <f t="shared" si="4689"/>
        <v/>
      </c>
      <c r="AS748" t="str">
        <f t="shared" si="4690"/>
        <v/>
      </c>
      <c r="AT748" t="str">
        <f t="shared" si="4691"/>
        <v/>
      </c>
      <c r="AU748" t="str">
        <f t="shared" si="4692"/>
        <v/>
      </c>
      <c r="AV748" t="str">
        <f t="shared" si="4693"/>
        <v/>
      </c>
      <c r="AW748" t="str">
        <f t="shared" si="4694"/>
        <v xml:space="preserve">                              </v>
      </c>
      <c r="AX748" s="23">
        <f t="shared" si="4695"/>
        <v>0</v>
      </c>
      <c r="AY748" s="49" t="str">
        <f t="shared" si="4671"/>
        <v>000000000000000</v>
      </c>
      <c r="AZ748" s="23">
        <f t="shared" si="4696"/>
        <v>0</v>
      </c>
      <c r="BA748" s="49" t="str">
        <f t="shared" si="4671"/>
        <v>000000000000000</v>
      </c>
      <c r="BB748" s="23">
        <f t="shared" si="4697"/>
        <v>0</v>
      </c>
      <c r="BC748" s="49" t="str">
        <f t="shared" ref="BC748" si="4896">IF(BB748&lt;0,SUBSTITUTE(TEXT(BB748,"000000000000,00"),",",""),SUBSTITUTE(TEXT(BB748,"0000000000000,00"),",",""))</f>
        <v>000000000000000</v>
      </c>
      <c r="BD748" s="23">
        <f t="shared" si="4699"/>
        <v>0</v>
      </c>
      <c r="BE748" s="49" t="str">
        <f t="shared" ref="BE748" si="4897">IF(BD748&lt;0,SUBSTITUTE(TEXT(BD748,"000000000000,00"),",",""),SUBSTITUTE(TEXT(BD748,"0000000000000,00"),",",""))</f>
        <v>000000000000000</v>
      </c>
      <c r="BF748" s="23">
        <f t="shared" si="4701"/>
        <v>0</v>
      </c>
      <c r="BG748" s="49" t="str">
        <f t="shared" ref="BG748" si="4898">IF(BF748&lt;0,SUBSTITUTE(TEXT(BF748,"000000000000,00"),",",""),SUBSTITUTE(TEXT(BF748,"0000000000000,00"),",",""))</f>
        <v>000000000000000</v>
      </c>
      <c r="BH748" s="23">
        <f t="shared" si="4703"/>
        <v>0</v>
      </c>
      <c r="BI748" s="49" t="str">
        <f t="shared" ref="BI748" si="4899">IF(BH748&lt;0,SUBSTITUTE(TEXT(BH748,"000000000000,00"),",",""),SUBSTITUTE(TEXT(BH748,"0000000000000,00"),",",""))</f>
        <v>000000000000000</v>
      </c>
      <c r="BJ748" s="23">
        <f t="shared" si="4705"/>
        <v>0</v>
      </c>
      <c r="BK748" s="49" t="str">
        <f t="shared" ref="BK748" si="4900">IF(BJ748&lt;0,SUBSTITUTE(TEXT(BJ748,"000000000000,00"),",",""),SUBSTITUTE(TEXT(BJ748,"0000000000000,00"),",",""))</f>
        <v>000000000000000</v>
      </c>
      <c r="BL748" s="23">
        <f t="shared" si="4707"/>
        <v>0</v>
      </c>
      <c r="BM748" s="49" t="str">
        <f t="shared" ref="BM748" si="4901">IF(BL748&lt;0,SUBSTITUTE(TEXT(BL748,"000000000000,00"),",",""),SUBSTITUTE(TEXT(BL748,"0000000000000,00"),",",""))</f>
        <v>000000000000000</v>
      </c>
      <c r="BN748" t="str">
        <f t="shared" si="4709"/>
        <v>PES</v>
      </c>
      <c r="BO748" t="str">
        <f t="shared" si="4710"/>
        <v>0001000000</v>
      </c>
      <c r="BP748">
        <f t="shared" si="4711"/>
        <v>0</v>
      </c>
      <c r="BQ748">
        <f t="shared" si="4712"/>
        <v>0</v>
      </c>
      <c r="BR748" s="23">
        <f t="shared" si="4713"/>
        <v>0</v>
      </c>
      <c r="BS748" s="49" t="str">
        <f t="shared" si="4678"/>
        <v>000000000000000</v>
      </c>
      <c r="BT748" t="str">
        <f t="shared" si="4714"/>
        <v>00000000</v>
      </c>
      <c r="BU748" s="23">
        <f t="shared" si="4715"/>
        <v>0</v>
      </c>
      <c r="BV748" s="49" t="str">
        <f t="shared" si="4679"/>
        <v/>
      </c>
      <c r="BW748" s="52" t="str">
        <f t="shared" si="4716"/>
        <v/>
      </c>
      <c r="BX748" s="23">
        <f t="shared" si="4717"/>
        <v>0</v>
      </c>
      <c r="BY748" s="49" t="str">
        <f t="shared" si="4680"/>
        <v/>
      </c>
      <c r="BZ748" s="23">
        <f t="shared" si="4718"/>
        <v>0</v>
      </c>
      <c r="CA748" s="49" t="str">
        <f t="shared" si="4681"/>
        <v/>
      </c>
      <c r="CB748" s="52" t="str">
        <f t="shared" si="4719"/>
        <v/>
      </c>
      <c r="CC748" s="23">
        <f t="shared" si="4720"/>
        <v>0</v>
      </c>
      <c r="CD748" s="49" t="str">
        <f t="shared" si="4682"/>
        <v/>
      </c>
      <c r="CE748" s="56" t="str">
        <f>IF(CF748="","",MAX(CE$10:$CE747)+1)</f>
        <v/>
      </c>
      <c r="CF748" t="str">
        <f t="shared" si="4721"/>
        <v/>
      </c>
      <c r="CG748" s="22" t="str">
        <f>IF(CH748="","",MAX($CG$10:CG747)+1)</f>
        <v/>
      </c>
      <c r="CH748" s="22" t="str">
        <f t="shared" si="4666"/>
        <v/>
      </c>
      <c r="CI748" s="22" t="str">
        <f>IF(CJ748="","",MAX($CI$10:CI747)+1)</f>
        <v/>
      </c>
      <c r="CJ748" s="22" t="str">
        <f t="shared" si="4667"/>
        <v/>
      </c>
    </row>
    <row r="749" spans="2:88" x14ac:dyDescent="0.25">
      <c r="B749" s="37"/>
      <c r="C749" s="3"/>
      <c r="D749" s="77" t="str">
        <f t="shared" si="4653"/>
        <v/>
      </c>
      <c r="E749" s="38"/>
      <c r="F749" s="38"/>
      <c r="G749" s="78">
        <f t="shared" si="4668"/>
        <v>0</v>
      </c>
      <c r="H749" s="3">
        <v>80</v>
      </c>
      <c r="I749" s="77" t="str">
        <f t="shared" si="4654"/>
        <v/>
      </c>
      <c r="J749" s="32"/>
      <c r="K749" s="3"/>
      <c r="L749" s="39"/>
      <c r="M749" s="39"/>
      <c r="N749" s="39"/>
      <c r="O749" s="39"/>
      <c r="P749" s="39"/>
      <c r="Q749" s="39"/>
      <c r="R749" s="39"/>
      <c r="S749" s="39"/>
      <c r="T749" s="3" t="s">
        <v>645</v>
      </c>
      <c r="U749" s="77" t="str">
        <f t="shared" si="4655"/>
        <v/>
      </c>
      <c r="V749" s="39">
        <v>1</v>
      </c>
      <c r="W749" s="79">
        <f t="shared" si="4669"/>
        <v>0</v>
      </c>
      <c r="X749" s="3">
        <v>0</v>
      </c>
      <c r="Y749" s="77" t="str">
        <f t="shared" si="4656"/>
        <v/>
      </c>
      <c r="Z749" s="3"/>
      <c r="AA749" s="37" t="str">
        <f t="shared" si="4670"/>
        <v/>
      </c>
      <c r="AC749" s="40"/>
      <c r="AD749" s="7"/>
      <c r="AE749" s="77" t="str">
        <f t="shared" si="4657"/>
        <v/>
      </c>
      <c r="AF749" s="81">
        <f t="shared" si="4683"/>
        <v>0</v>
      </c>
      <c r="AG749" s="40"/>
      <c r="AH749" s="7"/>
      <c r="AI749" s="77" t="str">
        <f t="shared" si="4658"/>
        <v/>
      </c>
      <c r="AJ749" s="81">
        <f t="shared" si="4684"/>
        <v>0</v>
      </c>
      <c r="AK749" s="83">
        <f t="shared" si="4685"/>
        <v>0</v>
      </c>
      <c r="AL749" s="83">
        <f t="shared" si="4686"/>
        <v>0</v>
      </c>
      <c r="AN749" s="43">
        <f t="shared" si="4659"/>
        <v>0</v>
      </c>
      <c r="AP749" t="str">
        <f t="shared" si="4687"/>
        <v/>
      </c>
      <c r="AQ749" t="str">
        <f t="shared" si="4688"/>
        <v/>
      </c>
      <c r="AR749" t="str">
        <f t="shared" si="4689"/>
        <v/>
      </c>
      <c r="AS749" t="str">
        <f t="shared" si="4690"/>
        <v/>
      </c>
      <c r="AT749" t="str">
        <f t="shared" si="4691"/>
        <v/>
      </c>
      <c r="AU749" t="str">
        <f t="shared" si="4692"/>
        <v/>
      </c>
      <c r="AV749" t="str">
        <f t="shared" si="4693"/>
        <v/>
      </c>
      <c r="AW749" t="str">
        <f t="shared" si="4694"/>
        <v xml:space="preserve">                              </v>
      </c>
      <c r="AX749" s="23">
        <f t="shared" si="4695"/>
        <v>0</v>
      </c>
      <c r="AY749" s="49" t="str">
        <f t="shared" si="4671"/>
        <v>000000000000000</v>
      </c>
      <c r="AZ749" s="23">
        <f t="shared" si="4696"/>
        <v>0</v>
      </c>
      <c r="BA749" s="49" t="str">
        <f t="shared" si="4671"/>
        <v>000000000000000</v>
      </c>
      <c r="BB749" s="23">
        <f t="shared" si="4697"/>
        <v>0</v>
      </c>
      <c r="BC749" s="49" t="str">
        <f t="shared" ref="BC749" si="4902">IF(BB749&lt;0,SUBSTITUTE(TEXT(BB749,"000000000000,00"),",",""),SUBSTITUTE(TEXT(BB749,"0000000000000,00"),",",""))</f>
        <v>000000000000000</v>
      </c>
      <c r="BD749" s="23">
        <f t="shared" si="4699"/>
        <v>0</v>
      </c>
      <c r="BE749" s="49" t="str">
        <f t="shared" ref="BE749" si="4903">IF(BD749&lt;0,SUBSTITUTE(TEXT(BD749,"000000000000,00"),",",""),SUBSTITUTE(TEXT(BD749,"0000000000000,00"),",",""))</f>
        <v>000000000000000</v>
      </c>
      <c r="BF749" s="23">
        <f t="shared" si="4701"/>
        <v>0</v>
      </c>
      <c r="BG749" s="49" t="str">
        <f t="shared" ref="BG749" si="4904">IF(BF749&lt;0,SUBSTITUTE(TEXT(BF749,"000000000000,00"),",",""),SUBSTITUTE(TEXT(BF749,"0000000000000,00"),",",""))</f>
        <v>000000000000000</v>
      </c>
      <c r="BH749" s="23">
        <f t="shared" si="4703"/>
        <v>0</v>
      </c>
      <c r="BI749" s="49" t="str">
        <f t="shared" ref="BI749" si="4905">IF(BH749&lt;0,SUBSTITUTE(TEXT(BH749,"000000000000,00"),",",""),SUBSTITUTE(TEXT(BH749,"0000000000000,00"),",",""))</f>
        <v>000000000000000</v>
      </c>
      <c r="BJ749" s="23">
        <f t="shared" si="4705"/>
        <v>0</v>
      </c>
      <c r="BK749" s="49" t="str">
        <f t="shared" ref="BK749" si="4906">IF(BJ749&lt;0,SUBSTITUTE(TEXT(BJ749,"000000000000,00"),",",""),SUBSTITUTE(TEXT(BJ749,"0000000000000,00"),",",""))</f>
        <v>000000000000000</v>
      </c>
      <c r="BL749" s="23">
        <f t="shared" si="4707"/>
        <v>0</v>
      </c>
      <c r="BM749" s="49" t="str">
        <f t="shared" ref="BM749" si="4907">IF(BL749&lt;0,SUBSTITUTE(TEXT(BL749,"000000000000,00"),",",""),SUBSTITUTE(TEXT(BL749,"0000000000000,00"),",",""))</f>
        <v>000000000000000</v>
      </c>
      <c r="BN749" t="str">
        <f t="shared" si="4709"/>
        <v>PES</v>
      </c>
      <c r="BO749" t="str">
        <f t="shared" si="4710"/>
        <v>0001000000</v>
      </c>
      <c r="BP749">
        <f t="shared" si="4711"/>
        <v>0</v>
      </c>
      <c r="BQ749">
        <f t="shared" si="4712"/>
        <v>0</v>
      </c>
      <c r="BR749" s="23">
        <f t="shared" si="4713"/>
        <v>0</v>
      </c>
      <c r="BS749" s="49" t="str">
        <f t="shared" si="4678"/>
        <v>000000000000000</v>
      </c>
      <c r="BT749" t="str">
        <f t="shared" si="4714"/>
        <v>00000000</v>
      </c>
      <c r="BU749" s="23">
        <f t="shared" si="4715"/>
        <v>0</v>
      </c>
      <c r="BV749" s="49" t="str">
        <f t="shared" si="4679"/>
        <v/>
      </c>
      <c r="BW749" s="52" t="str">
        <f t="shared" si="4716"/>
        <v/>
      </c>
      <c r="BX749" s="23">
        <f t="shared" si="4717"/>
        <v>0</v>
      </c>
      <c r="BY749" s="49" t="str">
        <f t="shared" si="4680"/>
        <v/>
      </c>
      <c r="BZ749" s="23">
        <f t="shared" si="4718"/>
        <v>0</v>
      </c>
      <c r="CA749" s="49" t="str">
        <f t="shared" si="4681"/>
        <v/>
      </c>
      <c r="CB749" s="52" t="str">
        <f t="shared" si="4719"/>
        <v/>
      </c>
      <c r="CC749" s="23">
        <f t="shared" si="4720"/>
        <v>0</v>
      </c>
      <c r="CD749" s="49" t="str">
        <f t="shared" si="4682"/>
        <v/>
      </c>
      <c r="CE749" s="56" t="str">
        <f>IF(CF749="","",MAX(CE$10:$CE748)+1)</f>
        <v/>
      </c>
      <c r="CF749" t="str">
        <f t="shared" si="4721"/>
        <v/>
      </c>
      <c r="CG749" s="22" t="str">
        <f>IF(CH749="","",MAX($CG$10:CG748)+1)</f>
        <v/>
      </c>
      <c r="CH749" s="22" t="str">
        <f t="shared" si="4666"/>
        <v/>
      </c>
      <c r="CI749" s="22" t="str">
        <f>IF(CJ749="","",MAX($CI$10:CI748)+1)</f>
        <v/>
      </c>
      <c r="CJ749" s="22" t="str">
        <f t="shared" si="4667"/>
        <v/>
      </c>
    </row>
    <row r="750" spans="2:88" x14ac:dyDescent="0.25">
      <c r="B750" s="37"/>
      <c r="C750" s="3"/>
      <c r="D750" s="77" t="str">
        <f t="shared" si="4653"/>
        <v/>
      </c>
      <c r="E750" s="38"/>
      <c r="F750" s="38"/>
      <c r="G750" s="78">
        <f t="shared" si="4668"/>
        <v>0</v>
      </c>
      <c r="H750" s="3">
        <v>80</v>
      </c>
      <c r="I750" s="77" t="str">
        <f t="shared" si="4654"/>
        <v/>
      </c>
      <c r="J750" s="32"/>
      <c r="K750" s="3"/>
      <c r="L750" s="39"/>
      <c r="M750" s="39"/>
      <c r="N750" s="39"/>
      <c r="O750" s="39"/>
      <c r="P750" s="39"/>
      <c r="Q750" s="39"/>
      <c r="R750" s="39"/>
      <c r="S750" s="39"/>
      <c r="T750" s="3" t="s">
        <v>645</v>
      </c>
      <c r="U750" s="77" t="str">
        <f t="shared" si="4655"/>
        <v/>
      </c>
      <c r="V750" s="39">
        <v>1</v>
      </c>
      <c r="W750" s="79">
        <f t="shared" si="4669"/>
        <v>0</v>
      </c>
      <c r="X750" s="3">
        <v>0</v>
      </c>
      <c r="Y750" s="77" t="str">
        <f t="shared" si="4656"/>
        <v/>
      </c>
      <c r="Z750" s="3"/>
      <c r="AA750" s="37" t="str">
        <f t="shared" si="4670"/>
        <v/>
      </c>
      <c r="AC750" s="40"/>
      <c r="AD750" s="7"/>
      <c r="AE750" s="77" t="str">
        <f t="shared" si="4657"/>
        <v/>
      </c>
      <c r="AF750" s="81">
        <f t="shared" si="4683"/>
        <v>0</v>
      </c>
      <c r="AG750" s="40"/>
      <c r="AH750" s="7"/>
      <c r="AI750" s="77" t="str">
        <f t="shared" si="4658"/>
        <v/>
      </c>
      <c r="AJ750" s="81">
        <f t="shared" si="4684"/>
        <v>0</v>
      </c>
      <c r="AK750" s="83">
        <f t="shared" si="4685"/>
        <v>0</v>
      </c>
      <c r="AL750" s="83">
        <f t="shared" si="4686"/>
        <v>0</v>
      </c>
      <c r="AN750" s="43">
        <f t="shared" si="4659"/>
        <v>0</v>
      </c>
      <c r="AP750" t="str">
        <f t="shared" si="4687"/>
        <v/>
      </c>
      <c r="AQ750" t="str">
        <f t="shared" si="4688"/>
        <v/>
      </c>
      <c r="AR750" t="str">
        <f t="shared" si="4689"/>
        <v/>
      </c>
      <c r="AS750" t="str">
        <f t="shared" si="4690"/>
        <v/>
      </c>
      <c r="AT750" t="str">
        <f t="shared" si="4691"/>
        <v/>
      </c>
      <c r="AU750" t="str">
        <f t="shared" si="4692"/>
        <v/>
      </c>
      <c r="AV750" t="str">
        <f t="shared" si="4693"/>
        <v/>
      </c>
      <c r="AW750" t="str">
        <f t="shared" si="4694"/>
        <v xml:space="preserve">                              </v>
      </c>
      <c r="AX750" s="23">
        <f t="shared" si="4695"/>
        <v>0</v>
      </c>
      <c r="AY750" s="49" t="str">
        <f t="shared" si="4671"/>
        <v>000000000000000</v>
      </c>
      <c r="AZ750" s="23">
        <f t="shared" si="4696"/>
        <v>0</v>
      </c>
      <c r="BA750" s="49" t="str">
        <f t="shared" si="4671"/>
        <v>000000000000000</v>
      </c>
      <c r="BB750" s="23">
        <f t="shared" si="4697"/>
        <v>0</v>
      </c>
      <c r="BC750" s="49" t="str">
        <f t="shared" ref="BC750" si="4908">IF(BB750&lt;0,SUBSTITUTE(TEXT(BB750,"000000000000,00"),",",""),SUBSTITUTE(TEXT(BB750,"0000000000000,00"),",",""))</f>
        <v>000000000000000</v>
      </c>
      <c r="BD750" s="23">
        <f t="shared" si="4699"/>
        <v>0</v>
      </c>
      <c r="BE750" s="49" t="str">
        <f t="shared" ref="BE750" si="4909">IF(BD750&lt;0,SUBSTITUTE(TEXT(BD750,"000000000000,00"),",",""),SUBSTITUTE(TEXT(BD750,"0000000000000,00"),",",""))</f>
        <v>000000000000000</v>
      </c>
      <c r="BF750" s="23">
        <f t="shared" si="4701"/>
        <v>0</v>
      </c>
      <c r="BG750" s="49" t="str">
        <f t="shared" ref="BG750" si="4910">IF(BF750&lt;0,SUBSTITUTE(TEXT(BF750,"000000000000,00"),",",""),SUBSTITUTE(TEXT(BF750,"0000000000000,00"),",",""))</f>
        <v>000000000000000</v>
      </c>
      <c r="BH750" s="23">
        <f t="shared" si="4703"/>
        <v>0</v>
      </c>
      <c r="BI750" s="49" t="str">
        <f t="shared" ref="BI750" si="4911">IF(BH750&lt;0,SUBSTITUTE(TEXT(BH750,"000000000000,00"),",",""),SUBSTITUTE(TEXT(BH750,"0000000000000,00"),",",""))</f>
        <v>000000000000000</v>
      </c>
      <c r="BJ750" s="23">
        <f t="shared" si="4705"/>
        <v>0</v>
      </c>
      <c r="BK750" s="49" t="str">
        <f t="shared" ref="BK750" si="4912">IF(BJ750&lt;0,SUBSTITUTE(TEXT(BJ750,"000000000000,00"),",",""),SUBSTITUTE(TEXT(BJ750,"0000000000000,00"),",",""))</f>
        <v>000000000000000</v>
      </c>
      <c r="BL750" s="23">
        <f t="shared" si="4707"/>
        <v>0</v>
      </c>
      <c r="BM750" s="49" t="str">
        <f t="shared" ref="BM750" si="4913">IF(BL750&lt;0,SUBSTITUTE(TEXT(BL750,"000000000000,00"),",",""),SUBSTITUTE(TEXT(BL750,"0000000000000,00"),",",""))</f>
        <v>000000000000000</v>
      </c>
      <c r="BN750" t="str">
        <f t="shared" si="4709"/>
        <v>PES</v>
      </c>
      <c r="BO750" t="str">
        <f t="shared" si="4710"/>
        <v>0001000000</v>
      </c>
      <c r="BP750">
        <f t="shared" si="4711"/>
        <v>0</v>
      </c>
      <c r="BQ750">
        <f t="shared" si="4712"/>
        <v>0</v>
      </c>
      <c r="BR750" s="23">
        <f t="shared" si="4713"/>
        <v>0</v>
      </c>
      <c r="BS750" s="49" t="str">
        <f t="shared" si="4678"/>
        <v>000000000000000</v>
      </c>
      <c r="BT750" t="str">
        <f t="shared" si="4714"/>
        <v>00000000</v>
      </c>
      <c r="BU750" s="23">
        <f t="shared" si="4715"/>
        <v>0</v>
      </c>
      <c r="BV750" s="49" t="str">
        <f t="shared" si="4679"/>
        <v/>
      </c>
      <c r="BW750" s="52" t="str">
        <f t="shared" si="4716"/>
        <v/>
      </c>
      <c r="BX750" s="23">
        <f t="shared" si="4717"/>
        <v>0</v>
      </c>
      <c r="BY750" s="49" t="str">
        <f t="shared" si="4680"/>
        <v/>
      </c>
      <c r="BZ750" s="23">
        <f t="shared" si="4718"/>
        <v>0</v>
      </c>
      <c r="CA750" s="49" t="str">
        <f t="shared" si="4681"/>
        <v/>
      </c>
      <c r="CB750" s="52" t="str">
        <f t="shared" si="4719"/>
        <v/>
      </c>
      <c r="CC750" s="23">
        <f t="shared" si="4720"/>
        <v>0</v>
      </c>
      <c r="CD750" s="49" t="str">
        <f t="shared" si="4682"/>
        <v/>
      </c>
      <c r="CE750" s="56" t="str">
        <f>IF(CF750="","",MAX(CE$10:$CE749)+1)</f>
        <v/>
      </c>
      <c r="CF750" t="str">
        <f t="shared" si="4721"/>
        <v/>
      </c>
      <c r="CG750" s="22" t="str">
        <f>IF(CH750="","",MAX($CG$10:CG749)+1)</f>
        <v/>
      </c>
      <c r="CH750" s="22" t="str">
        <f t="shared" si="4666"/>
        <v/>
      </c>
      <c r="CI750" s="22" t="str">
        <f>IF(CJ750="","",MAX($CI$10:CI749)+1)</f>
        <v/>
      </c>
      <c r="CJ750" s="22" t="str">
        <f t="shared" si="4667"/>
        <v/>
      </c>
    </row>
    <row r="751" spans="2:88" x14ac:dyDescent="0.25">
      <c r="B751" s="37"/>
      <c r="C751" s="3"/>
      <c r="D751" s="77" t="str">
        <f t="shared" si="4653"/>
        <v/>
      </c>
      <c r="E751" s="38"/>
      <c r="F751" s="38"/>
      <c r="G751" s="78">
        <f t="shared" si="4668"/>
        <v>0</v>
      </c>
      <c r="H751" s="3">
        <v>80</v>
      </c>
      <c r="I751" s="77" t="str">
        <f t="shared" si="4654"/>
        <v/>
      </c>
      <c r="J751" s="32"/>
      <c r="K751" s="3"/>
      <c r="L751" s="39"/>
      <c r="M751" s="39"/>
      <c r="N751" s="39"/>
      <c r="O751" s="39"/>
      <c r="P751" s="39"/>
      <c r="Q751" s="39"/>
      <c r="R751" s="39"/>
      <c r="S751" s="39"/>
      <c r="T751" s="3" t="s">
        <v>645</v>
      </c>
      <c r="U751" s="77" t="str">
        <f t="shared" si="4655"/>
        <v/>
      </c>
      <c r="V751" s="39">
        <v>1</v>
      </c>
      <c r="W751" s="79">
        <f t="shared" si="4669"/>
        <v>0</v>
      </c>
      <c r="X751" s="3">
        <v>0</v>
      </c>
      <c r="Y751" s="77" t="str">
        <f t="shared" si="4656"/>
        <v/>
      </c>
      <c r="Z751" s="3"/>
      <c r="AA751" s="37" t="str">
        <f t="shared" si="4670"/>
        <v/>
      </c>
      <c r="AC751" s="40"/>
      <c r="AD751" s="7"/>
      <c r="AE751" s="77" t="str">
        <f t="shared" si="4657"/>
        <v/>
      </c>
      <c r="AF751" s="81">
        <f t="shared" si="4683"/>
        <v>0</v>
      </c>
      <c r="AG751" s="40"/>
      <c r="AH751" s="7"/>
      <c r="AI751" s="77" t="str">
        <f t="shared" si="4658"/>
        <v/>
      </c>
      <c r="AJ751" s="81">
        <f t="shared" si="4684"/>
        <v>0</v>
      </c>
      <c r="AK751" s="83">
        <f t="shared" si="4685"/>
        <v>0</v>
      </c>
      <c r="AL751" s="83">
        <f t="shared" si="4686"/>
        <v>0</v>
      </c>
      <c r="AN751" s="43">
        <f t="shared" si="4659"/>
        <v>0</v>
      </c>
      <c r="AP751" t="str">
        <f t="shared" si="4687"/>
        <v/>
      </c>
      <c r="AQ751" t="str">
        <f t="shared" si="4688"/>
        <v/>
      </c>
      <c r="AR751" t="str">
        <f t="shared" si="4689"/>
        <v/>
      </c>
      <c r="AS751" t="str">
        <f t="shared" si="4690"/>
        <v/>
      </c>
      <c r="AT751" t="str">
        <f t="shared" si="4691"/>
        <v/>
      </c>
      <c r="AU751" t="str">
        <f t="shared" si="4692"/>
        <v/>
      </c>
      <c r="AV751" t="str">
        <f t="shared" si="4693"/>
        <v/>
      </c>
      <c r="AW751" t="str">
        <f t="shared" si="4694"/>
        <v xml:space="preserve">                              </v>
      </c>
      <c r="AX751" s="23">
        <f t="shared" si="4695"/>
        <v>0</v>
      </c>
      <c r="AY751" s="49" t="str">
        <f t="shared" si="4671"/>
        <v>000000000000000</v>
      </c>
      <c r="AZ751" s="23">
        <f t="shared" si="4696"/>
        <v>0</v>
      </c>
      <c r="BA751" s="49" t="str">
        <f t="shared" si="4671"/>
        <v>000000000000000</v>
      </c>
      <c r="BB751" s="23">
        <f t="shared" si="4697"/>
        <v>0</v>
      </c>
      <c r="BC751" s="49" t="str">
        <f t="shared" ref="BC751" si="4914">IF(BB751&lt;0,SUBSTITUTE(TEXT(BB751,"000000000000,00"),",",""),SUBSTITUTE(TEXT(BB751,"0000000000000,00"),",",""))</f>
        <v>000000000000000</v>
      </c>
      <c r="BD751" s="23">
        <f t="shared" si="4699"/>
        <v>0</v>
      </c>
      <c r="BE751" s="49" t="str">
        <f t="shared" ref="BE751" si="4915">IF(BD751&lt;0,SUBSTITUTE(TEXT(BD751,"000000000000,00"),",",""),SUBSTITUTE(TEXT(BD751,"0000000000000,00"),",",""))</f>
        <v>000000000000000</v>
      </c>
      <c r="BF751" s="23">
        <f t="shared" si="4701"/>
        <v>0</v>
      </c>
      <c r="BG751" s="49" t="str">
        <f t="shared" ref="BG751" si="4916">IF(BF751&lt;0,SUBSTITUTE(TEXT(BF751,"000000000000,00"),",",""),SUBSTITUTE(TEXT(BF751,"0000000000000,00"),",",""))</f>
        <v>000000000000000</v>
      </c>
      <c r="BH751" s="23">
        <f t="shared" si="4703"/>
        <v>0</v>
      </c>
      <c r="BI751" s="49" t="str">
        <f t="shared" ref="BI751" si="4917">IF(BH751&lt;0,SUBSTITUTE(TEXT(BH751,"000000000000,00"),",",""),SUBSTITUTE(TEXT(BH751,"0000000000000,00"),",",""))</f>
        <v>000000000000000</v>
      </c>
      <c r="BJ751" s="23">
        <f t="shared" si="4705"/>
        <v>0</v>
      </c>
      <c r="BK751" s="49" t="str">
        <f t="shared" ref="BK751" si="4918">IF(BJ751&lt;0,SUBSTITUTE(TEXT(BJ751,"000000000000,00"),",",""),SUBSTITUTE(TEXT(BJ751,"0000000000000,00"),",",""))</f>
        <v>000000000000000</v>
      </c>
      <c r="BL751" s="23">
        <f t="shared" si="4707"/>
        <v>0</v>
      </c>
      <c r="BM751" s="49" t="str">
        <f t="shared" ref="BM751" si="4919">IF(BL751&lt;0,SUBSTITUTE(TEXT(BL751,"000000000000,00"),",",""),SUBSTITUTE(TEXT(BL751,"0000000000000,00"),",",""))</f>
        <v>000000000000000</v>
      </c>
      <c r="BN751" t="str">
        <f t="shared" si="4709"/>
        <v>PES</v>
      </c>
      <c r="BO751" t="str">
        <f t="shared" si="4710"/>
        <v>0001000000</v>
      </c>
      <c r="BP751">
        <f t="shared" si="4711"/>
        <v>0</v>
      </c>
      <c r="BQ751">
        <f t="shared" si="4712"/>
        <v>0</v>
      </c>
      <c r="BR751" s="23">
        <f t="shared" si="4713"/>
        <v>0</v>
      </c>
      <c r="BS751" s="49" t="str">
        <f t="shared" si="4678"/>
        <v>000000000000000</v>
      </c>
      <c r="BT751" t="str">
        <f t="shared" si="4714"/>
        <v>00000000</v>
      </c>
      <c r="BU751" s="23">
        <f t="shared" si="4715"/>
        <v>0</v>
      </c>
      <c r="BV751" s="49" t="str">
        <f t="shared" si="4679"/>
        <v/>
      </c>
      <c r="BW751" s="52" t="str">
        <f t="shared" si="4716"/>
        <v/>
      </c>
      <c r="BX751" s="23">
        <f t="shared" si="4717"/>
        <v>0</v>
      </c>
      <c r="BY751" s="49" t="str">
        <f t="shared" si="4680"/>
        <v/>
      </c>
      <c r="BZ751" s="23">
        <f t="shared" si="4718"/>
        <v>0</v>
      </c>
      <c r="CA751" s="49" t="str">
        <f t="shared" si="4681"/>
        <v/>
      </c>
      <c r="CB751" s="52" t="str">
        <f t="shared" si="4719"/>
        <v/>
      </c>
      <c r="CC751" s="23">
        <f t="shared" si="4720"/>
        <v>0</v>
      </c>
      <c r="CD751" s="49" t="str">
        <f t="shared" si="4682"/>
        <v/>
      </c>
      <c r="CE751" s="56" t="str">
        <f>IF(CF751="","",MAX(CE$10:$CE750)+1)</f>
        <v/>
      </c>
      <c r="CF751" t="str">
        <f t="shared" si="4721"/>
        <v/>
      </c>
      <c r="CG751" s="22" t="str">
        <f>IF(CH751="","",MAX($CG$10:CG750)+1)</f>
        <v/>
      </c>
      <c r="CH751" s="22" t="str">
        <f t="shared" si="4666"/>
        <v/>
      </c>
      <c r="CI751" s="22" t="str">
        <f>IF(CJ751="","",MAX($CI$10:CI750)+1)</f>
        <v/>
      </c>
      <c r="CJ751" s="22" t="str">
        <f t="shared" si="4667"/>
        <v/>
      </c>
    </row>
    <row r="752" spans="2:88" x14ac:dyDescent="0.25">
      <c r="B752" s="37"/>
      <c r="C752" s="3"/>
      <c r="D752" s="77" t="str">
        <f t="shared" si="4653"/>
        <v/>
      </c>
      <c r="E752" s="38"/>
      <c r="F752" s="38"/>
      <c r="G752" s="78">
        <f t="shared" si="4668"/>
        <v>0</v>
      </c>
      <c r="H752" s="3">
        <v>80</v>
      </c>
      <c r="I752" s="77" t="str">
        <f t="shared" si="4654"/>
        <v/>
      </c>
      <c r="J752" s="32"/>
      <c r="K752" s="3"/>
      <c r="L752" s="39"/>
      <c r="M752" s="39"/>
      <c r="N752" s="39"/>
      <c r="O752" s="39"/>
      <c r="P752" s="39"/>
      <c r="Q752" s="39"/>
      <c r="R752" s="39"/>
      <c r="S752" s="39"/>
      <c r="T752" s="3" t="s">
        <v>645</v>
      </c>
      <c r="U752" s="77" t="str">
        <f t="shared" si="4655"/>
        <v/>
      </c>
      <c r="V752" s="39">
        <v>1</v>
      </c>
      <c r="W752" s="79">
        <f t="shared" si="4669"/>
        <v>0</v>
      </c>
      <c r="X752" s="3">
        <v>0</v>
      </c>
      <c r="Y752" s="77" t="str">
        <f t="shared" si="4656"/>
        <v/>
      </c>
      <c r="Z752" s="3"/>
      <c r="AA752" s="37" t="str">
        <f t="shared" si="4670"/>
        <v/>
      </c>
      <c r="AC752" s="40"/>
      <c r="AD752" s="7"/>
      <c r="AE752" s="77" t="str">
        <f t="shared" si="4657"/>
        <v/>
      </c>
      <c r="AF752" s="81">
        <f t="shared" si="4683"/>
        <v>0</v>
      </c>
      <c r="AG752" s="40"/>
      <c r="AH752" s="7"/>
      <c r="AI752" s="77" t="str">
        <f t="shared" si="4658"/>
        <v/>
      </c>
      <c r="AJ752" s="81">
        <f t="shared" si="4684"/>
        <v>0</v>
      </c>
      <c r="AK752" s="83">
        <f t="shared" si="4685"/>
        <v>0</v>
      </c>
      <c r="AL752" s="83">
        <f t="shared" si="4686"/>
        <v>0</v>
      </c>
      <c r="AN752" s="43">
        <f t="shared" si="4659"/>
        <v>0</v>
      </c>
      <c r="AP752" t="str">
        <f t="shared" si="4687"/>
        <v/>
      </c>
      <c r="AQ752" t="str">
        <f t="shared" si="4688"/>
        <v/>
      </c>
      <c r="AR752" t="str">
        <f t="shared" si="4689"/>
        <v/>
      </c>
      <c r="AS752" t="str">
        <f t="shared" si="4690"/>
        <v/>
      </c>
      <c r="AT752" t="str">
        <f t="shared" si="4691"/>
        <v/>
      </c>
      <c r="AU752" t="str">
        <f t="shared" si="4692"/>
        <v/>
      </c>
      <c r="AV752" t="str">
        <f t="shared" si="4693"/>
        <v/>
      </c>
      <c r="AW752" t="str">
        <f t="shared" si="4694"/>
        <v xml:space="preserve">                              </v>
      </c>
      <c r="AX752" s="23">
        <f t="shared" si="4695"/>
        <v>0</v>
      </c>
      <c r="AY752" s="49" t="str">
        <f t="shared" si="4671"/>
        <v>000000000000000</v>
      </c>
      <c r="AZ752" s="23">
        <f t="shared" si="4696"/>
        <v>0</v>
      </c>
      <c r="BA752" s="49" t="str">
        <f t="shared" si="4671"/>
        <v>000000000000000</v>
      </c>
      <c r="BB752" s="23">
        <f t="shared" si="4697"/>
        <v>0</v>
      </c>
      <c r="BC752" s="49" t="str">
        <f t="shared" ref="BC752" si="4920">IF(BB752&lt;0,SUBSTITUTE(TEXT(BB752,"000000000000,00"),",",""),SUBSTITUTE(TEXT(BB752,"0000000000000,00"),",",""))</f>
        <v>000000000000000</v>
      </c>
      <c r="BD752" s="23">
        <f t="shared" si="4699"/>
        <v>0</v>
      </c>
      <c r="BE752" s="49" t="str">
        <f t="shared" ref="BE752" si="4921">IF(BD752&lt;0,SUBSTITUTE(TEXT(BD752,"000000000000,00"),",",""),SUBSTITUTE(TEXT(BD752,"0000000000000,00"),",",""))</f>
        <v>000000000000000</v>
      </c>
      <c r="BF752" s="23">
        <f t="shared" si="4701"/>
        <v>0</v>
      </c>
      <c r="BG752" s="49" t="str">
        <f t="shared" ref="BG752" si="4922">IF(BF752&lt;0,SUBSTITUTE(TEXT(BF752,"000000000000,00"),",",""),SUBSTITUTE(TEXT(BF752,"0000000000000,00"),",",""))</f>
        <v>000000000000000</v>
      </c>
      <c r="BH752" s="23">
        <f t="shared" si="4703"/>
        <v>0</v>
      </c>
      <c r="BI752" s="49" t="str">
        <f t="shared" ref="BI752" si="4923">IF(BH752&lt;0,SUBSTITUTE(TEXT(BH752,"000000000000,00"),",",""),SUBSTITUTE(TEXT(BH752,"0000000000000,00"),",",""))</f>
        <v>000000000000000</v>
      </c>
      <c r="BJ752" s="23">
        <f t="shared" si="4705"/>
        <v>0</v>
      </c>
      <c r="BK752" s="49" t="str">
        <f t="shared" ref="BK752" si="4924">IF(BJ752&lt;0,SUBSTITUTE(TEXT(BJ752,"000000000000,00"),",",""),SUBSTITUTE(TEXT(BJ752,"0000000000000,00"),",",""))</f>
        <v>000000000000000</v>
      </c>
      <c r="BL752" s="23">
        <f t="shared" si="4707"/>
        <v>0</v>
      </c>
      <c r="BM752" s="49" t="str">
        <f t="shared" ref="BM752" si="4925">IF(BL752&lt;0,SUBSTITUTE(TEXT(BL752,"000000000000,00"),",",""),SUBSTITUTE(TEXT(BL752,"0000000000000,00"),",",""))</f>
        <v>000000000000000</v>
      </c>
      <c r="BN752" t="str">
        <f t="shared" si="4709"/>
        <v>PES</v>
      </c>
      <c r="BO752" t="str">
        <f t="shared" si="4710"/>
        <v>0001000000</v>
      </c>
      <c r="BP752">
        <f t="shared" si="4711"/>
        <v>0</v>
      </c>
      <c r="BQ752">
        <f t="shared" si="4712"/>
        <v>0</v>
      </c>
      <c r="BR752" s="23">
        <f t="shared" si="4713"/>
        <v>0</v>
      </c>
      <c r="BS752" s="49" t="str">
        <f t="shared" si="4678"/>
        <v>000000000000000</v>
      </c>
      <c r="BT752" t="str">
        <f t="shared" si="4714"/>
        <v>00000000</v>
      </c>
      <c r="BU752" s="23">
        <f t="shared" si="4715"/>
        <v>0</v>
      </c>
      <c r="BV752" s="49" t="str">
        <f t="shared" si="4679"/>
        <v/>
      </c>
      <c r="BW752" s="52" t="str">
        <f t="shared" si="4716"/>
        <v/>
      </c>
      <c r="BX752" s="23">
        <f t="shared" si="4717"/>
        <v>0</v>
      </c>
      <c r="BY752" s="49" t="str">
        <f t="shared" si="4680"/>
        <v/>
      </c>
      <c r="BZ752" s="23">
        <f t="shared" si="4718"/>
        <v>0</v>
      </c>
      <c r="CA752" s="49" t="str">
        <f t="shared" si="4681"/>
        <v/>
      </c>
      <c r="CB752" s="52" t="str">
        <f t="shared" si="4719"/>
        <v/>
      </c>
      <c r="CC752" s="23">
        <f t="shared" si="4720"/>
        <v>0</v>
      </c>
      <c r="CD752" s="49" t="str">
        <f t="shared" si="4682"/>
        <v/>
      </c>
      <c r="CE752" s="56" t="str">
        <f>IF(CF752="","",MAX(CE$10:$CE751)+1)</f>
        <v/>
      </c>
      <c r="CF752" t="str">
        <f t="shared" si="4721"/>
        <v/>
      </c>
      <c r="CG752" s="22" t="str">
        <f>IF(CH752="","",MAX($CG$10:CG751)+1)</f>
        <v/>
      </c>
      <c r="CH752" s="22" t="str">
        <f t="shared" si="4666"/>
        <v/>
      </c>
      <c r="CI752" s="22" t="str">
        <f>IF(CJ752="","",MAX($CI$10:CI751)+1)</f>
        <v/>
      </c>
      <c r="CJ752" s="22" t="str">
        <f t="shared" si="4667"/>
        <v/>
      </c>
    </row>
    <row r="753" spans="2:88" x14ac:dyDescent="0.25">
      <c r="B753" s="37"/>
      <c r="C753" s="3"/>
      <c r="D753" s="77" t="str">
        <f t="shared" si="4653"/>
        <v/>
      </c>
      <c r="E753" s="38"/>
      <c r="F753" s="38"/>
      <c r="G753" s="78">
        <f t="shared" si="4668"/>
        <v>0</v>
      </c>
      <c r="H753" s="3">
        <v>80</v>
      </c>
      <c r="I753" s="77" t="str">
        <f t="shared" si="4654"/>
        <v/>
      </c>
      <c r="J753" s="32"/>
      <c r="K753" s="3"/>
      <c r="L753" s="39"/>
      <c r="M753" s="39"/>
      <c r="N753" s="39"/>
      <c r="O753" s="39"/>
      <c r="P753" s="39"/>
      <c r="Q753" s="39"/>
      <c r="R753" s="39"/>
      <c r="S753" s="39"/>
      <c r="T753" s="3" t="s">
        <v>645</v>
      </c>
      <c r="U753" s="77" t="str">
        <f t="shared" si="4655"/>
        <v/>
      </c>
      <c r="V753" s="39">
        <v>1</v>
      </c>
      <c r="W753" s="79">
        <f t="shared" si="4669"/>
        <v>0</v>
      </c>
      <c r="X753" s="3">
        <v>0</v>
      </c>
      <c r="Y753" s="77" t="str">
        <f t="shared" si="4656"/>
        <v/>
      </c>
      <c r="Z753" s="3"/>
      <c r="AA753" s="37" t="str">
        <f t="shared" si="4670"/>
        <v/>
      </c>
      <c r="AC753" s="40"/>
      <c r="AD753" s="7"/>
      <c r="AE753" s="77" t="str">
        <f t="shared" si="4657"/>
        <v/>
      </c>
      <c r="AF753" s="81">
        <f t="shared" si="4683"/>
        <v>0</v>
      </c>
      <c r="AG753" s="40"/>
      <c r="AH753" s="7"/>
      <c r="AI753" s="77" t="str">
        <f t="shared" si="4658"/>
        <v/>
      </c>
      <c r="AJ753" s="81">
        <f t="shared" si="4684"/>
        <v>0</v>
      </c>
      <c r="AK753" s="83">
        <f t="shared" si="4685"/>
        <v>0</v>
      </c>
      <c r="AL753" s="83">
        <f t="shared" si="4686"/>
        <v>0</v>
      </c>
      <c r="AN753" s="43">
        <f t="shared" si="4659"/>
        <v>0</v>
      </c>
      <c r="AP753" t="str">
        <f t="shared" si="4687"/>
        <v/>
      </c>
      <c r="AQ753" t="str">
        <f t="shared" si="4688"/>
        <v/>
      </c>
      <c r="AR753" t="str">
        <f t="shared" si="4689"/>
        <v/>
      </c>
      <c r="AS753" t="str">
        <f t="shared" si="4690"/>
        <v/>
      </c>
      <c r="AT753" t="str">
        <f t="shared" si="4691"/>
        <v/>
      </c>
      <c r="AU753" t="str">
        <f t="shared" si="4692"/>
        <v/>
      </c>
      <c r="AV753" t="str">
        <f t="shared" si="4693"/>
        <v/>
      </c>
      <c r="AW753" t="str">
        <f t="shared" si="4694"/>
        <v xml:space="preserve">                              </v>
      </c>
      <c r="AX753" s="23">
        <f t="shared" si="4695"/>
        <v>0</v>
      </c>
      <c r="AY753" s="49" t="str">
        <f t="shared" si="4671"/>
        <v>000000000000000</v>
      </c>
      <c r="AZ753" s="23">
        <f t="shared" si="4696"/>
        <v>0</v>
      </c>
      <c r="BA753" s="49" t="str">
        <f t="shared" si="4671"/>
        <v>000000000000000</v>
      </c>
      <c r="BB753" s="23">
        <f t="shared" si="4697"/>
        <v>0</v>
      </c>
      <c r="BC753" s="49" t="str">
        <f t="shared" ref="BC753" si="4926">IF(BB753&lt;0,SUBSTITUTE(TEXT(BB753,"000000000000,00"),",",""),SUBSTITUTE(TEXT(BB753,"0000000000000,00"),",",""))</f>
        <v>000000000000000</v>
      </c>
      <c r="BD753" s="23">
        <f t="shared" si="4699"/>
        <v>0</v>
      </c>
      <c r="BE753" s="49" t="str">
        <f t="shared" ref="BE753" si="4927">IF(BD753&lt;0,SUBSTITUTE(TEXT(BD753,"000000000000,00"),",",""),SUBSTITUTE(TEXT(BD753,"0000000000000,00"),",",""))</f>
        <v>000000000000000</v>
      </c>
      <c r="BF753" s="23">
        <f t="shared" si="4701"/>
        <v>0</v>
      </c>
      <c r="BG753" s="49" t="str">
        <f t="shared" ref="BG753" si="4928">IF(BF753&lt;0,SUBSTITUTE(TEXT(BF753,"000000000000,00"),",",""),SUBSTITUTE(TEXT(BF753,"0000000000000,00"),",",""))</f>
        <v>000000000000000</v>
      </c>
      <c r="BH753" s="23">
        <f t="shared" si="4703"/>
        <v>0</v>
      </c>
      <c r="BI753" s="49" t="str">
        <f t="shared" ref="BI753" si="4929">IF(BH753&lt;0,SUBSTITUTE(TEXT(BH753,"000000000000,00"),",",""),SUBSTITUTE(TEXT(BH753,"0000000000000,00"),",",""))</f>
        <v>000000000000000</v>
      </c>
      <c r="BJ753" s="23">
        <f t="shared" si="4705"/>
        <v>0</v>
      </c>
      <c r="BK753" s="49" t="str">
        <f t="shared" ref="BK753" si="4930">IF(BJ753&lt;0,SUBSTITUTE(TEXT(BJ753,"000000000000,00"),",",""),SUBSTITUTE(TEXT(BJ753,"0000000000000,00"),",",""))</f>
        <v>000000000000000</v>
      </c>
      <c r="BL753" s="23">
        <f t="shared" si="4707"/>
        <v>0</v>
      </c>
      <c r="BM753" s="49" t="str">
        <f t="shared" ref="BM753" si="4931">IF(BL753&lt;0,SUBSTITUTE(TEXT(BL753,"000000000000,00"),",",""),SUBSTITUTE(TEXT(BL753,"0000000000000,00"),",",""))</f>
        <v>000000000000000</v>
      </c>
      <c r="BN753" t="str">
        <f t="shared" si="4709"/>
        <v>PES</v>
      </c>
      <c r="BO753" t="str">
        <f t="shared" si="4710"/>
        <v>0001000000</v>
      </c>
      <c r="BP753">
        <f t="shared" si="4711"/>
        <v>0</v>
      </c>
      <c r="BQ753">
        <f t="shared" si="4712"/>
        <v>0</v>
      </c>
      <c r="BR753" s="23">
        <f t="shared" si="4713"/>
        <v>0</v>
      </c>
      <c r="BS753" s="49" t="str">
        <f t="shared" si="4678"/>
        <v>000000000000000</v>
      </c>
      <c r="BT753" t="str">
        <f t="shared" si="4714"/>
        <v>00000000</v>
      </c>
      <c r="BU753" s="23">
        <f t="shared" si="4715"/>
        <v>0</v>
      </c>
      <c r="BV753" s="49" t="str">
        <f t="shared" si="4679"/>
        <v/>
      </c>
      <c r="BW753" s="52" t="str">
        <f t="shared" si="4716"/>
        <v/>
      </c>
      <c r="BX753" s="23">
        <f t="shared" si="4717"/>
        <v>0</v>
      </c>
      <c r="BY753" s="49" t="str">
        <f t="shared" si="4680"/>
        <v/>
      </c>
      <c r="BZ753" s="23">
        <f t="shared" si="4718"/>
        <v>0</v>
      </c>
      <c r="CA753" s="49" t="str">
        <f t="shared" si="4681"/>
        <v/>
      </c>
      <c r="CB753" s="52" t="str">
        <f t="shared" si="4719"/>
        <v/>
      </c>
      <c r="CC753" s="23">
        <f t="shared" si="4720"/>
        <v>0</v>
      </c>
      <c r="CD753" s="49" t="str">
        <f t="shared" si="4682"/>
        <v/>
      </c>
      <c r="CE753" s="56" t="str">
        <f>IF(CF753="","",MAX(CE$10:$CE752)+1)</f>
        <v/>
      </c>
      <c r="CF753" t="str">
        <f t="shared" si="4721"/>
        <v/>
      </c>
      <c r="CG753" s="22" t="str">
        <f>IF(CH753="","",MAX($CG$10:CG752)+1)</f>
        <v/>
      </c>
      <c r="CH753" s="22" t="str">
        <f t="shared" si="4666"/>
        <v/>
      </c>
      <c r="CI753" s="22" t="str">
        <f>IF(CJ753="","",MAX($CI$10:CI752)+1)</f>
        <v/>
      </c>
      <c r="CJ753" s="22" t="str">
        <f t="shared" si="4667"/>
        <v/>
      </c>
    </row>
    <row r="754" spans="2:88" x14ac:dyDescent="0.25">
      <c r="B754" s="37"/>
      <c r="C754" s="3"/>
      <c r="D754" s="77" t="str">
        <f t="shared" si="4653"/>
        <v/>
      </c>
      <c r="E754" s="38"/>
      <c r="F754" s="38"/>
      <c r="G754" s="78">
        <f t="shared" si="4668"/>
        <v>0</v>
      </c>
      <c r="H754" s="3">
        <v>80</v>
      </c>
      <c r="I754" s="77" t="str">
        <f t="shared" si="4654"/>
        <v/>
      </c>
      <c r="J754" s="32"/>
      <c r="K754" s="3"/>
      <c r="L754" s="39"/>
      <c r="M754" s="39"/>
      <c r="N754" s="39"/>
      <c r="O754" s="39"/>
      <c r="P754" s="39"/>
      <c r="Q754" s="39"/>
      <c r="R754" s="39"/>
      <c r="S754" s="39"/>
      <c r="T754" s="3" t="s">
        <v>645</v>
      </c>
      <c r="U754" s="77" t="str">
        <f t="shared" si="4655"/>
        <v/>
      </c>
      <c r="V754" s="39">
        <v>1</v>
      </c>
      <c r="W754" s="79">
        <f t="shared" si="4669"/>
        <v>0</v>
      </c>
      <c r="X754" s="3">
        <v>0</v>
      </c>
      <c r="Y754" s="77" t="str">
        <f t="shared" si="4656"/>
        <v/>
      </c>
      <c r="Z754" s="3"/>
      <c r="AA754" s="37" t="str">
        <f t="shared" si="4670"/>
        <v/>
      </c>
      <c r="AC754" s="40"/>
      <c r="AD754" s="7"/>
      <c r="AE754" s="77" t="str">
        <f t="shared" si="4657"/>
        <v/>
      </c>
      <c r="AF754" s="81">
        <f t="shared" si="4683"/>
        <v>0</v>
      </c>
      <c r="AG754" s="40"/>
      <c r="AH754" s="7"/>
      <c r="AI754" s="77" t="str">
        <f t="shared" si="4658"/>
        <v/>
      </c>
      <c r="AJ754" s="81">
        <f t="shared" si="4684"/>
        <v>0</v>
      </c>
      <c r="AK754" s="83">
        <f t="shared" si="4685"/>
        <v>0</v>
      </c>
      <c r="AL754" s="83">
        <f t="shared" si="4686"/>
        <v>0</v>
      </c>
      <c r="AN754" s="43">
        <f t="shared" si="4659"/>
        <v>0</v>
      </c>
      <c r="AP754" t="str">
        <f t="shared" si="4687"/>
        <v/>
      </c>
      <c r="AQ754" t="str">
        <f t="shared" si="4688"/>
        <v/>
      </c>
      <c r="AR754" t="str">
        <f t="shared" si="4689"/>
        <v/>
      </c>
      <c r="AS754" t="str">
        <f t="shared" si="4690"/>
        <v/>
      </c>
      <c r="AT754" t="str">
        <f t="shared" si="4691"/>
        <v/>
      </c>
      <c r="AU754" t="str">
        <f t="shared" si="4692"/>
        <v/>
      </c>
      <c r="AV754" t="str">
        <f t="shared" si="4693"/>
        <v/>
      </c>
      <c r="AW754" t="str">
        <f t="shared" si="4694"/>
        <v xml:space="preserve">                              </v>
      </c>
      <c r="AX754" s="23">
        <f t="shared" si="4695"/>
        <v>0</v>
      </c>
      <c r="AY754" s="49" t="str">
        <f t="shared" si="4671"/>
        <v>000000000000000</v>
      </c>
      <c r="AZ754" s="23">
        <f t="shared" si="4696"/>
        <v>0</v>
      </c>
      <c r="BA754" s="49" t="str">
        <f t="shared" si="4671"/>
        <v>000000000000000</v>
      </c>
      <c r="BB754" s="23">
        <f t="shared" si="4697"/>
        <v>0</v>
      </c>
      <c r="BC754" s="49" t="str">
        <f t="shared" ref="BC754" si="4932">IF(BB754&lt;0,SUBSTITUTE(TEXT(BB754,"000000000000,00"),",",""),SUBSTITUTE(TEXT(BB754,"0000000000000,00"),",",""))</f>
        <v>000000000000000</v>
      </c>
      <c r="BD754" s="23">
        <f t="shared" si="4699"/>
        <v>0</v>
      </c>
      <c r="BE754" s="49" t="str">
        <f t="shared" ref="BE754" si="4933">IF(BD754&lt;0,SUBSTITUTE(TEXT(BD754,"000000000000,00"),",",""),SUBSTITUTE(TEXT(BD754,"0000000000000,00"),",",""))</f>
        <v>000000000000000</v>
      </c>
      <c r="BF754" s="23">
        <f t="shared" si="4701"/>
        <v>0</v>
      </c>
      <c r="BG754" s="49" t="str">
        <f t="shared" ref="BG754" si="4934">IF(BF754&lt;0,SUBSTITUTE(TEXT(BF754,"000000000000,00"),",",""),SUBSTITUTE(TEXT(BF754,"0000000000000,00"),",",""))</f>
        <v>000000000000000</v>
      </c>
      <c r="BH754" s="23">
        <f t="shared" si="4703"/>
        <v>0</v>
      </c>
      <c r="BI754" s="49" t="str">
        <f t="shared" ref="BI754" si="4935">IF(BH754&lt;0,SUBSTITUTE(TEXT(BH754,"000000000000,00"),",",""),SUBSTITUTE(TEXT(BH754,"0000000000000,00"),",",""))</f>
        <v>000000000000000</v>
      </c>
      <c r="BJ754" s="23">
        <f t="shared" si="4705"/>
        <v>0</v>
      </c>
      <c r="BK754" s="49" t="str">
        <f t="shared" ref="BK754" si="4936">IF(BJ754&lt;0,SUBSTITUTE(TEXT(BJ754,"000000000000,00"),",",""),SUBSTITUTE(TEXT(BJ754,"0000000000000,00"),",",""))</f>
        <v>000000000000000</v>
      </c>
      <c r="BL754" s="23">
        <f t="shared" si="4707"/>
        <v>0</v>
      </c>
      <c r="BM754" s="49" t="str">
        <f t="shared" ref="BM754" si="4937">IF(BL754&lt;0,SUBSTITUTE(TEXT(BL754,"000000000000,00"),",",""),SUBSTITUTE(TEXT(BL754,"0000000000000,00"),",",""))</f>
        <v>000000000000000</v>
      </c>
      <c r="BN754" t="str">
        <f t="shared" si="4709"/>
        <v>PES</v>
      </c>
      <c r="BO754" t="str">
        <f t="shared" si="4710"/>
        <v>0001000000</v>
      </c>
      <c r="BP754">
        <f t="shared" si="4711"/>
        <v>0</v>
      </c>
      <c r="BQ754">
        <f t="shared" si="4712"/>
        <v>0</v>
      </c>
      <c r="BR754" s="23">
        <f t="shared" si="4713"/>
        <v>0</v>
      </c>
      <c r="BS754" s="49" t="str">
        <f t="shared" si="4678"/>
        <v>000000000000000</v>
      </c>
      <c r="BT754" t="str">
        <f t="shared" si="4714"/>
        <v>00000000</v>
      </c>
      <c r="BU754" s="23">
        <f t="shared" si="4715"/>
        <v>0</v>
      </c>
      <c r="BV754" s="49" t="str">
        <f t="shared" si="4679"/>
        <v/>
      </c>
      <c r="BW754" s="52" t="str">
        <f t="shared" si="4716"/>
        <v/>
      </c>
      <c r="BX754" s="23">
        <f t="shared" si="4717"/>
        <v>0</v>
      </c>
      <c r="BY754" s="49" t="str">
        <f t="shared" si="4680"/>
        <v/>
      </c>
      <c r="BZ754" s="23">
        <f t="shared" si="4718"/>
        <v>0</v>
      </c>
      <c r="CA754" s="49" t="str">
        <f t="shared" si="4681"/>
        <v/>
      </c>
      <c r="CB754" s="52" t="str">
        <f t="shared" si="4719"/>
        <v/>
      </c>
      <c r="CC754" s="23">
        <f t="shared" si="4720"/>
        <v>0</v>
      </c>
      <c r="CD754" s="49" t="str">
        <f t="shared" si="4682"/>
        <v/>
      </c>
      <c r="CE754" s="56" t="str">
        <f>IF(CF754="","",MAX(CE$10:$CE753)+1)</f>
        <v/>
      </c>
      <c r="CF754" t="str">
        <f t="shared" si="4721"/>
        <v/>
      </c>
      <c r="CG754" s="22" t="str">
        <f>IF(CH754="","",MAX($CG$10:CG753)+1)</f>
        <v/>
      </c>
      <c r="CH754" s="22" t="str">
        <f t="shared" si="4666"/>
        <v/>
      </c>
      <c r="CI754" s="22" t="str">
        <f>IF(CJ754="","",MAX($CI$10:CI753)+1)</f>
        <v/>
      </c>
      <c r="CJ754" s="22" t="str">
        <f t="shared" si="4667"/>
        <v/>
      </c>
    </row>
    <row r="755" spans="2:88" x14ac:dyDescent="0.25">
      <c r="B755" s="37"/>
      <c r="C755" s="3"/>
      <c r="D755" s="77" t="str">
        <f t="shared" si="4653"/>
        <v/>
      </c>
      <c r="E755" s="38"/>
      <c r="F755" s="38"/>
      <c r="G755" s="78">
        <f t="shared" si="4668"/>
        <v>0</v>
      </c>
      <c r="H755" s="3">
        <v>80</v>
      </c>
      <c r="I755" s="77" t="str">
        <f t="shared" si="4654"/>
        <v/>
      </c>
      <c r="J755" s="32"/>
      <c r="K755" s="3"/>
      <c r="L755" s="39"/>
      <c r="M755" s="39"/>
      <c r="N755" s="39"/>
      <c r="O755" s="39"/>
      <c r="P755" s="39"/>
      <c r="Q755" s="39"/>
      <c r="R755" s="39"/>
      <c r="S755" s="39"/>
      <c r="T755" s="3" t="s">
        <v>645</v>
      </c>
      <c r="U755" s="77" t="str">
        <f t="shared" si="4655"/>
        <v/>
      </c>
      <c r="V755" s="39">
        <v>1</v>
      </c>
      <c r="W755" s="79">
        <f t="shared" si="4669"/>
        <v>0</v>
      </c>
      <c r="X755" s="3">
        <v>0</v>
      </c>
      <c r="Y755" s="77" t="str">
        <f t="shared" si="4656"/>
        <v/>
      </c>
      <c r="Z755" s="3"/>
      <c r="AA755" s="37" t="str">
        <f t="shared" si="4670"/>
        <v/>
      </c>
      <c r="AC755" s="40"/>
      <c r="AD755" s="7"/>
      <c r="AE755" s="77" t="str">
        <f t="shared" si="4657"/>
        <v/>
      </c>
      <c r="AF755" s="81">
        <f t="shared" si="4683"/>
        <v>0</v>
      </c>
      <c r="AG755" s="40"/>
      <c r="AH755" s="7"/>
      <c r="AI755" s="77" t="str">
        <f t="shared" si="4658"/>
        <v/>
      </c>
      <c r="AJ755" s="81">
        <f t="shared" si="4684"/>
        <v>0</v>
      </c>
      <c r="AK755" s="83">
        <f t="shared" si="4685"/>
        <v>0</v>
      </c>
      <c r="AL755" s="83">
        <f t="shared" si="4686"/>
        <v>0</v>
      </c>
      <c r="AN755" s="43">
        <f t="shared" si="4659"/>
        <v>0</v>
      </c>
      <c r="AP755" t="str">
        <f t="shared" si="4687"/>
        <v/>
      </c>
      <c r="AQ755" t="str">
        <f t="shared" si="4688"/>
        <v/>
      </c>
      <c r="AR755" t="str">
        <f t="shared" si="4689"/>
        <v/>
      </c>
      <c r="AS755" t="str">
        <f t="shared" si="4690"/>
        <v/>
      </c>
      <c r="AT755" t="str">
        <f t="shared" si="4691"/>
        <v/>
      </c>
      <c r="AU755" t="str">
        <f t="shared" si="4692"/>
        <v/>
      </c>
      <c r="AV755" t="str">
        <f t="shared" si="4693"/>
        <v/>
      </c>
      <c r="AW755" t="str">
        <f t="shared" si="4694"/>
        <v xml:space="preserve">                              </v>
      </c>
      <c r="AX755" s="23">
        <f t="shared" si="4695"/>
        <v>0</v>
      </c>
      <c r="AY755" s="49" t="str">
        <f t="shared" si="4671"/>
        <v>000000000000000</v>
      </c>
      <c r="AZ755" s="23">
        <f t="shared" si="4696"/>
        <v>0</v>
      </c>
      <c r="BA755" s="49" t="str">
        <f t="shared" si="4671"/>
        <v>000000000000000</v>
      </c>
      <c r="BB755" s="23">
        <f t="shared" si="4697"/>
        <v>0</v>
      </c>
      <c r="BC755" s="49" t="str">
        <f t="shared" ref="BC755" si="4938">IF(BB755&lt;0,SUBSTITUTE(TEXT(BB755,"000000000000,00"),",",""),SUBSTITUTE(TEXT(BB755,"0000000000000,00"),",",""))</f>
        <v>000000000000000</v>
      </c>
      <c r="BD755" s="23">
        <f t="shared" si="4699"/>
        <v>0</v>
      </c>
      <c r="BE755" s="49" t="str">
        <f t="shared" ref="BE755" si="4939">IF(BD755&lt;0,SUBSTITUTE(TEXT(BD755,"000000000000,00"),",",""),SUBSTITUTE(TEXT(BD755,"0000000000000,00"),",",""))</f>
        <v>000000000000000</v>
      </c>
      <c r="BF755" s="23">
        <f t="shared" si="4701"/>
        <v>0</v>
      </c>
      <c r="BG755" s="49" t="str">
        <f t="shared" ref="BG755" si="4940">IF(BF755&lt;0,SUBSTITUTE(TEXT(BF755,"000000000000,00"),",",""),SUBSTITUTE(TEXT(BF755,"0000000000000,00"),",",""))</f>
        <v>000000000000000</v>
      </c>
      <c r="BH755" s="23">
        <f t="shared" si="4703"/>
        <v>0</v>
      </c>
      <c r="BI755" s="49" t="str">
        <f t="shared" ref="BI755" si="4941">IF(BH755&lt;0,SUBSTITUTE(TEXT(BH755,"000000000000,00"),",",""),SUBSTITUTE(TEXT(BH755,"0000000000000,00"),",",""))</f>
        <v>000000000000000</v>
      </c>
      <c r="BJ755" s="23">
        <f t="shared" si="4705"/>
        <v>0</v>
      </c>
      <c r="BK755" s="49" t="str">
        <f t="shared" ref="BK755" si="4942">IF(BJ755&lt;0,SUBSTITUTE(TEXT(BJ755,"000000000000,00"),",",""),SUBSTITUTE(TEXT(BJ755,"0000000000000,00"),",",""))</f>
        <v>000000000000000</v>
      </c>
      <c r="BL755" s="23">
        <f t="shared" si="4707"/>
        <v>0</v>
      </c>
      <c r="BM755" s="49" t="str">
        <f t="shared" ref="BM755" si="4943">IF(BL755&lt;0,SUBSTITUTE(TEXT(BL755,"000000000000,00"),",",""),SUBSTITUTE(TEXT(BL755,"0000000000000,00"),",",""))</f>
        <v>000000000000000</v>
      </c>
      <c r="BN755" t="str">
        <f t="shared" si="4709"/>
        <v>PES</v>
      </c>
      <c r="BO755" t="str">
        <f t="shared" si="4710"/>
        <v>0001000000</v>
      </c>
      <c r="BP755">
        <f t="shared" si="4711"/>
        <v>0</v>
      </c>
      <c r="BQ755">
        <f t="shared" si="4712"/>
        <v>0</v>
      </c>
      <c r="BR755" s="23">
        <f t="shared" si="4713"/>
        <v>0</v>
      </c>
      <c r="BS755" s="49" t="str">
        <f t="shared" si="4678"/>
        <v>000000000000000</v>
      </c>
      <c r="BT755" t="str">
        <f t="shared" si="4714"/>
        <v>00000000</v>
      </c>
      <c r="BU755" s="23">
        <f t="shared" si="4715"/>
        <v>0</v>
      </c>
      <c r="BV755" s="49" t="str">
        <f t="shared" si="4679"/>
        <v/>
      </c>
      <c r="BW755" s="52" t="str">
        <f t="shared" si="4716"/>
        <v/>
      </c>
      <c r="BX755" s="23">
        <f t="shared" si="4717"/>
        <v>0</v>
      </c>
      <c r="BY755" s="49" t="str">
        <f t="shared" si="4680"/>
        <v/>
      </c>
      <c r="BZ755" s="23">
        <f t="shared" si="4718"/>
        <v>0</v>
      </c>
      <c r="CA755" s="49" t="str">
        <f t="shared" si="4681"/>
        <v/>
      </c>
      <c r="CB755" s="52" t="str">
        <f t="shared" si="4719"/>
        <v/>
      </c>
      <c r="CC755" s="23">
        <f t="shared" si="4720"/>
        <v>0</v>
      </c>
      <c r="CD755" s="49" t="str">
        <f t="shared" si="4682"/>
        <v/>
      </c>
      <c r="CE755" s="56" t="str">
        <f>IF(CF755="","",MAX(CE$10:$CE754)+1)</f>
        <v/>
      </c>
      <c r="CF755" t="str">
        <f t="shared" si="4721"/>
        <v/>
      </c>
      <c r="CG755" s="22" t="str">
        <f>IF(CH755="","",MAX($CG$10:CG754)+1)</f>
        <v/>
      </c>
      <c r="CH755" s="22" t="str">
        <f t="shared" si="4666"/>
        <v/>
      </c>
      <c r="CI755" s="22" t="str">
        <f>IF(CJ755="","",MAX($CI$10:CI754)+1)</f>
        <v/>
      </c>
      <c r="CJ755" s="22" t="str">
        <f t="shared" si="4667"/>
        <v/>
      </c>
    </row>
    <row r="756" spans="2:88" x14ac:dyDescent="0.25">
      <c r="B756" s="37"/>
      <c r="C756" s="3"/>
      <c r="D756" s="77" t="str">
        <f t="shared" si="4653"/>
        <v/>
      </c>
      <c r="E756" s="38"/>
      <c r="F756" s="38"/>
      <c r="G756" s="78">
        <f t="shared" si="4668"/>
        <v>0</v>
      </c>
      <c r="H756" s="3">
        <v>80</v>
      </c>
      <c r="I756" s="77" t="str">
        <f t="shared" si="4654"/>
        <v/>
      </c>
      <c r="J756" s="32"/>
      <c r="K756" s="3"/>
      <c r="L756" s="39"/>
      <c r="M756" s="39"/>
      <c r="N756" s="39"/>
      <c r="O756" s="39"/>
      <c r="P756" s="39"/>
      <c r="Q756" s="39"/>
      <c r="R756" s="39"/>
      <c r="S756" s="39"/>
      <c r="T756" s="3" t="s">
        <v>645</v>
      </c>
      <c r="U756" s="77" t="str">
        <f t="shared" si="4655"/>
        <v/>
      </c>
      <c r="V756" s="39">
        <v>1</v>
      </c>
      <c r="W756" s="79">
        <f t="shared" si="4669"/>
        <v>0</v>
      </c>
      <c r="X756" s="3">
        <v>0</v>
      </c>
      <c r="Y756" s="77" t="str">
        <f t="shared" si="4656"/>
        <v/>
      </c>
      <c r="Z756" s="3"/>
      <c r="AA756" s="37" t="str">
        <f t="shared" si="4670"/>
        <v/>
      </c>
      <c r="AC756" s="40"/>
      <c r="AD756" s="7"/>
      <c r="AE756" s="77" t="str">
        <f t="shared" si="4657"/>
        <v/>
      </c>
      <c r="AF756" s="81">
        <f t="shared" si="4683"/>
        <v>0</v>
      </c>
      <c r="AG756" s="40"/>
      <c r="AH756" s="7"/>
      <c r="AI756" s="77" t="str">
        <f t="shared" si="4658"/>
        <v/>
      </c>
      <c r="AJ756" s="81">
        <f t="shared" si="4684"/>
        <v>0</v>
      </c>
      <c r="AK756" s="83">
        <f t="shared" si="4685"/>
        <v>0</v>
      </c>
      <c r="AL756" s="83">
        <f t="shared" si="4686"/>
        <v>0</v>
      </c>
      <c r="AN756" s="43">
        <f t="shared" si="4659"/>
        <v>0</v>
      </c>
      <c r="AP756" t="str">
        <f t="shared" si="4687"/>
        <v/>
      </c>
      <c r="AQ756" t="str">
        <f t="shared" si="4688"/>
        <v/>
      </c>
      <c r="AR756" t="str">
        <f t="shared" si="4689"/>
        <v/>
      </c>
      <c r="AS756" t="str">
        <f t="shared" si="4690"/>
        <v/>
      </c>
      <c r="AT756" t="str">
        <f t="shared" si="4691"/>
        <v/>
      </c>
      <c r="AU756" t="str">
        <f t="shared" si="4692"/>
        <v/>
      </c>
      <c r="AV756" t="str">
        <f t="shared" si="4693"/>
        <v/>
      </c>
      <c r="AW756" t="str">
        <f t="shared" si="4694"/>
        <v xml:space="preserve">                              </v>
      </c>
      <c r="AX756" s="23">
        <f t="shared" si="4695"/>
        <v>0</v>
      </c>
      <c r="AY756" s="49" t="str">
        <f t="shared" si="4671"/>
        <v>000000000000000</v>
      </c>
      <c r="AZ756" s="23">
        <f t="shared" si="4696"/>
        <v>0</v>
      </c>
      <c r="BA756" s="49" t="str">
        <f t="shared" si="4671"/>
        <v>000000000000000</v>
      </c>
      <c r="BB756" s="23">
        <f t="shared" si="4697"/>
        <v>0</v>
      </c>
      <c r="BC756" s="49" t="str">
        <f t="shared" ref="BC756" si="4944">IF(BB756&lt;0,SUBSTITUTE(TEXT(BB756,"000000000000,00"),",",""),SUBSTITUTE(TEXT(BB756,"0000000000000,00"),",",""))</f>
        <v>000000000000000</v>
      </c>
      <c r="BD756" s="23">
        <f t="shared" si="4699"/>
        <v>0</v>
      </c>
      <c r="BE756" s="49" t="str">
        <f t="shared" ref="BE756" si="4945">IF(BD756&lt;0,SUBSTITUTE(TEXT(BD756,"000000000000,00"),",",""),SUBSTITUTE(TEXT(BD756,"0000000000000,00"),",",""))</f>
        <v>000000000000000</v>
      </c>
      <c r="BF756" s="23">
        <f t="shared" si="4701"/>
        <v>0</v>
      </c>
      <c r="BG756" s="49" t="str">
        <f t="shared" ref="BG756" si="4946">IF(BF756&lt;0,SUBSTITUTE(TEXT(BF756,"000000000000,00"),",",""),SUBSTITUTE(TEXT(BF756,"0000000000000,00"),",",""))</f>
        <v>000000000000000</v>
      </c>
      <c r="BH756" s="23">
        <f t="shared" si="4703"/>
        <v>0</v>
      </c>
      <c r="BI756" s="49" t="str">
        <f t="shared" ref="BI756" si="4947">IF(BH756&lt;0,SUBSTITUTE(TEXT(BH756,"000000000000,00"),",",""),SUBSTITUTE(TEXT(BH756,"0000000000000,00"),",",""))</f>
        <v>000000000000000</v>
      </c>
      <c r="BJ756" s="23">
        <f t="shared" si="4705"/>
        <v>0</v>
      </c>
      <c r="BK756" s="49" t="str">
        <f t="shared" ref="BK756" si="4948">IF(BJ756&lt;0,SUBSTITUTE(TEXT(BJ756,"000000000000,00"),",",""),SUBSTITUTE(TEXT(BJ756,"0000000000000,00"),",",""))</f>
        <v>000000000000000</v>
      </c>
      <c r="BL756" s="23">
        <f t="shared" si="4707"/>
        <v>0</v>
      </c>
      <c r="BM756" s="49" t="str">
        <f t="shared" ref="BM756" si="4949">IF(BL756&lt;0,SUBSTITUTE(TEXT(BL756,"000000000000,00"),",",""),SUBSTITUTE(TEXT(BL756,"0000000000000,00"),",",""))</f>
        <v>000000000000000</v>
      </c>
      <c r="BN756" t="str">
        <f t="shared" si="4709"/>
        <v>PES</v>
      </c>
      <c r="BO756" t="str">
        <f t="shared" si="4710"/>
        <v>0001000000</v>
      </c>
      <c r="BP756">
        <f t="shared" si="4711"/>
        <v>0</v>
      </c>
      <c r="BQ756">
        <f t="shared" si="4712"/>
        <v>0</v>
      </c>
      <c r="BR756" s="23">
        <f t="shared" si="4713"/>
        <v>0</v>
      </c>
      <c r="BS756" s="49" t="str">
        <f t="shared" si="4678"/>
        <v>000000000000000</v>
      </c>
      <c r="BT756" t="str">
        <f t="shared" si="4714"/>
        <v>00000000</v>
      </c>
      <c r="BU756" s="23">
        <f t="shared" si="4715"/>
        <v>0</v>
      </c>
      <c r="BV756" s="49" t="str">
        <f t="shared" si="4679"/>
        <v/>
      </c>
      <c r="BW756" s="52" t="str">
        <f t="shared" si="4716"/>
        <v/>
      </c>
      <c r="BX756" s="23">
        <f t="shared" si="4717"/>
        <v>0</v>
      </c>
      <c r="BY756" s="49" t="str">
        <f t="shared" si="4680"/>
        <v/>
      </c>
      <c r="BZ756" s="23">
        <f t="shared" si="4718"/>
        <v>0</v>
      </c>
      <c r="CA756" s="49" t="str">
        <f t="shared" si="4681"/>
        <v/>
      </c>
      <c r="CB756" s="52" t="str">
        <f t="shared" si="4719"/>
        <v/>
      </c>
      <c r="CC756" s="23">
        <f t="shared" si="4720"/>
        <v>0</v>
      </c>
      <c r="CD756" s="49" t="str">
        <f t="shared" si="4682"/>
        <v/>
      </c>
      <c r="CE756" s="56" t="str">
        <f>IF(CF756="","",MAX(CE$10:$CE755)+1)</f>
        <v/>
      </c>
      <c r="CF756" t="str">
        <f t="shared" si="4721"/>
        <v/>
      </c>
      <c r="CG756" s="22" t="str">
        <f>IF(CH756="","",MAX($CG$10:CG755)+1)</f>
        <v/>
      </c>
      <c r="CH756" s="22" t="str">
        <f t="shared" si="4666"/>
        <v/>
      </c>
      <c r="CI756" s="22" t="str">
        <f>IF(CJ756="","",MAX($CI$10:CI755)+1)</f>
        <v/>
      </c>
      <c r="CJ756" s="22" t="str">
        <f t="shared" si="4667"/>
        <v/>
      </c>
    </row>
    <row r="757" spans="2:88" x14ac:dyDescent="0.25">
      <c r="B757" s="37"/>
      <c r="C757" s="3"/>
      <c r="D757" s="77" t="str">
        <f t="shared" si="4653"/>
        <v/>
      </c>
      <c r="E757" s="38"/>
      <c r="F757" s="38"/>
      <c r="G757" s="78">
        <f t="shared" si="4668"/>
        <v>0</v>
      </c>
      <c r="H757" s="3">
        <v>80</v>
      </c>
      <c r="I757" s="77" t="str">
        <f t="shared" si="4654"/>
        <v/>
      </c>
      <c r="J757" s="32"/>
      <c r="K757" s="3"/>
      <c r="L757" s="39"/>
      <c r="M757" s="39"/>
      <c r="N757" s="39"/>
      <c r="O757" s="39"/>
      <c r="P757" s="39"/>
      <c r="Q757" s="39"/>
      <c r="R757" s="39"/>
      <c r="S757" s="39"/>
      <c r="T757" s="3" t="s">
        <v>645</v>
      </c>
      <c r="U757" s="77" t="str">
        <f t="shared" si="4655"/>
        <v/>
      </c>
      <c r="V757" s="39">
        <v>1</v>
      </c>
      <c r="W757" s="79">
        <f t="shared" si="4669"/>
        <v>0</v>
      </c>
      <c r="X757" s="3">
        <v>0</v>
      </c>
      <c r="Y757" s="77" t="str">
        <f t="shared" si="4656"/>
        <v/>
      </c>
      <c r="Z757" s="3"/>
      <c r="AA757" s="37" t="str">
        <f t="shared" si="4670"/>
        <v/>
      </c>
      <c r="AC757" s="40"/>
      <c r="AD757" s="7"/>
      <c r="AE757" s="77" t="str">
        <f t="shared" si="4657"/>
        <v/>
      </c>
      <c r="AF757" s="81">
        <f t="shared" si="4683"/>
        <v>0</v>
      </c>
      <c r="AG757" s="40"/>
      <c r="AH757" s="7"/>
      <c r="AI757" s="77" t="str">
        <f t="shared" si="4658"/>
        <v/>
      </c>
      <c r="AJ757" s="81">
        <f t="shared" si="4684"/>
        <v>0</v>
      </c>
      <c r="AK757" s="83">
        <f t="shared" si="4685"/>
        <v>0</v>
      </c>
      <c r="AL757" s="83">
        <f t="shared" si="4686"/>
        <v>0</v>
      </c>
      <c r="AN757" s="43">
        <f t="shared" si="4659"/>
        <v>0</v>
      </c>
      <c r="AP757" t="str">
        <f t="shared" si="4687"/>
        <v/>
      </c>
      <c r="AQ757" t="str">
        <f t="shared" si="4688"/>
        <v/>
      </c>
      <c r="AR757" t="str">
        <f t="shared" si="4689"/>
        <v/>
      </c>
      <c r="AS757" t="str">
        <f t="shared" si="4690"/>
        <v/>
      </c>
      <c r="AT757" t="str">
        <f t="shared" si="4691"/>
        <v/>
      </c>
      <c r="AU757" t="str">
        <f t="shared" si="4692"/>
        <v/>
      </c>
      <c r="AV757" t="str">
        <f t="shared" si="4693"/>
        <v/>
      </c>
      <c r="AW757" t="str">
        <f t="shared" si="4694"/>
        <v xml:space="preserve">                              </v>
      </c>
      <c r="AX757" s="23">
        <f t="shared" si="4695"/>
        <v>0</v>
      </c>
      <c r="AY757" s="49" t="str">
        <f t="shared" si="4671"/>
        <v>000000000000000</v>
      </c>
      <c r="AZ757" s="23">
        <f t="shared" si="4696"/>
        <v>0</v>
      </c>
      <c r="BA757" s="49" t="str">
        <f t="shared" si="4671"/>
        <v>000000000000000</v>
      </c>
      <c r="BB757" s="23">
        <f t="shared" si="4697"/>
        <v>0</v>
      </c>
      <c r="BC757" s="49" t="str">
        <f t="shared" ref="BC757" si="4950">IF(BB757&lt;0,SUBSTITUTE(TEXT(BB757,"000000000000,00"),",",""),SUBSTITUTE(TEXT(BB757,"0000000000000,00"),",",""))</f>
        <v>000000000000000</v>
      </c>
      <c r="BD757" s="23">
        <f t="shared" si="4699"/>
        <v>0</v>
      </c>
      <c r="BE757" s="49" t="str">
        <f t="shared" ref="BE757" si="4951">IF(BD757&lt;0,SUBSTITUTE(TEXT(BD757,"000000000000,00"),",",""),SUBSTITUTE(TEXT(BD757,"0000000000000,00"),",",""))</f>
        <v>000000000000000</v>
      </c>
      <c r="BF757" s="23">
        <f t="shared" si="4701"/>
        <v>0</v>
      </c>
      <c r="BG757" s="49" t="str">
        <f t="shared" ref="BG757" si="4952">IF(BF757&lt;0,SUBSTITUTE(TEXT(BF757,"000000000000,00"),",",""),SUBSTITUTE(TEXT(BF757,"0000000000000,00"),",",""))</f>
        <v>000000000000000</v>
      </c>
      <c r="BH757" s="23">
        <f t="shared" si="4703"/>
        <v>0</v>
      </c>
      <c r="BI757" s="49" t="str">
        <f t="shared" ref="BI757" si="4953">IF(BH757&lt;0,SUBSTITUTE(TEXT(BH757,"000000000000,00"),",",""),SUBSTITUTE(TEXT(BH757,"0000000000000,00"),",",""))</f>
        <v>000000000000000</v>
      </c>
      <c r="BJ757" s="23">
        <f t="shared" si="4705"/>
        <v>0</v>
      </c>
      <c r="BK757" s="49" t="str">
        <f t="shared" ref="BK757" si="4954">IF(BJ757&lt;0,SUBSTITUTE(TEXT(BJ757,"000000000000,00"),",",""),SUBSTITUTE(TEXT(BJ757,"0000000000000,00"),",",""))</f>
        <v>000000000000000</v>
      </c>
      <c r="BL757" s="23">
        <f t="shared" si="4707"/>
        <v>0</v>
      </c>
      <c r="BM757" s="49" t="str">
        <f t="shared" ref="BM757" si="4955">IF(BL757&lt;0,SUBSTITUTE(TEXT(BL757,"000000000000,00"),",",""),SUBSTITUTE(TEXT(BL757,"0000000000000,00"),",",""))</f>
        <v>000000000000000</v>
      </c>
      <c r="BN757" t="str">
        <f t="shared" si="4709"/>
        <v>PES</v>
      </c>
      <c r="BO757" t="str">
        <f t="shared" si="4710"/>
        <v>0001000000</v>
      </c>
      <c r="BP757">
        <f t="shared" si="4711"/>
        <v>0</v>
      </c>
      <c r="BQ757">
        <f t="shared" si="4712"/>
        <v>0</v>
      </c>
      <c r="BR757" s="23">
        <f t="shared" si="4713"/>
        <v>0</v>
      </c>
      <c r="BS757" s="49" t="str">
        <f t="shared" si="4678"/>
        <v>000000000000000</v>
      </c>
      <c r="BT757" t="str">
        <f t="shared" si="4714"/>
        <v>00000000</v>
      </c>
      <c r="BU757" s="23">
        <f t="shared" si="4715"/>
        <v>0</v>
      </c>
      <c r="BV757" s="49" t="str">
        <f t="shared" si="4679"/>
        <v/>
      </c>
      <c r="BW757" s="52" t="str">
        <f t="shared" si="4716"/>
        <v/>
      </c>
      <c r="BX757" s="23">
        <f t="shared" si="4717"/>
        <v>0</v>
      </c>
      <c r="BY757" s="49" t="str">
        <f t="shared" si="4680"/>
        <v/>
      </c>
      <c r="BZ757" s="23">
        <f t="shared" si="4718"/>
        <v>0</v>
      </c>
      <c r="CA757" s="49" t="str">
        <f t="shared" si="4681"/>
        <v/>
      </c>
      <c r="CB757" s="52" t="str">
        <f t="shared" si="4719"/>
        <v/>
      </c>
      <c r="CC757" s="23">
        <f t="shared" si="4720"/>
        <v>0</v>
      </c>
      <c r="CD757" s="49" t="str">
        <f t="shared" si="4682"/>
        <v/>
      </c>
      <c r="CE757" s="56" t="str">
        <f>IF(CF757="","",MAX(CE$10:$CE756)+1)</f>
        <v/>
      </c>
      <c r="CF757" t="str">
        <f t="shared" si="4721"/>
        <v/>
      </c>
      <c r="CG757" s="22" t="str">
        <f>IF(CH757="","",MAX($CG$10:CG756)+1)</f>
        <v/>
      </c>
      <c r="CH757" s="22" t="str">
        <f t="shared" si="4666"/>
        <v/>
      </c>
      <c r="CI757" s="22" t="str">
        <f>IF(CJ757="","",MAX($CI$10:CI756)+1)</f>
        <v/>
      </c>
      <c r="CJ757" s="22" t="str">
        <f t="shared" si="4667"/>
        <v/>
      </c>
    </row>
    <row r="758" spans="2:88" x14ac:dyDescent="0.25">
      <c r="B758" s="37"/>
      <c r="C758" s="3"/>
      <c r="D758" s="77" t="str">
        <f t="shared" si="4653"/>
        <v/>
      </c>
      <c r="E758" s="38"/>
      <c r="F758" s="38"/>
      <c r="G758" s="78">
        <f t="shared" si="4668"/>
        <v>0</v>
      </c>
      <c r="H758" s="3">
        <v>80</v>
      </c>
      <c r="I758" s="77" t="str">
        <f t="shared" si="4654"/>
        <v/>
      </c>
      <c r="J758" s="32"/>
      <c r="K758" s="3"/>
      <c r="L758" s="39"/>
      <c r="M758" s="39"/>
      <c r="N758" s="39"/>
      <c r="O758" s="39"/>
      <c r="P758" s="39"/>
      <c r="Q758" s="39"/>
      <c r="R758" s="39"/>
      <c r="S758" s="39"/>
      <c r="T758" s="3" t="s">
        <v>645</v>
      </c>
      <c r="U758" s="77" t="str">
        <f t="shared" si="4655"/>
        <v/>
      </c>
      <c r="V758" s="39">
        <v>1</v>
      </c>
      <c r="W758" s="79">
        <f t="shared" si="4669"/>
        <v>0</v>
      </c>
      <c r="X758" s="3">
        <v>0</v>
      </c>
      <c r="Y758" s="77" t="str">
        <f t="shared" si="4656"/>
        <v/>
      </c>
      <c r="Z758" s="3"/>
      <c r="AA758" s="37" t="str">
        <f t="shared" si="4670"/>
        <v/>
      </c>
      <c r="AC758" s="40"/>
      <c r="AD758" s="7"/>
      <c r="AE758" s="77" t="str">
        <f t="shared" si="4657"/>
        <v/>
      </c>
      <c r="AF758" s="81">
        <f t="shared" si="4683"/>
        <v>0</v>
      </c>
      <c r="AG758" s="40"/>
      <c r="AH758" s="7"/>
      <c r="AI758" s="77" t="str">
        <f t="shared" si="4658"/>
        <v/>
      </c>
      <c r="AJ758" s="81">
        <f t="shared" si="4684"/>
        <v>0</v>
      </c>
      <c r="AK758" s="83">
        <f t="shared" si="4685"/>
        <v>0</v>
      </c>
      <c r="AL758" s="83">
        <f t="shared" si="4686"/>
        <v>0</v>
      </c>
      <c r="AN758" s="43">
        <f t="shared" si="4659"/>
        <v>0</v>
      </c>
      <c r="AP758" t="str">
        <f t="shared" si="4687"/>
        <v/>
      </c>
      <c r="AQ758" t="str">
        <f t="shared" si="4688"/>
        <v/>
      </c>
      <c r="AR758" t="str">
        <f t="shared" si="4689"/>
        <v/>
      </c>
      <c r="AS758" t="str">
        <f t="shared" si="4690"/>
        <v/>
      </c>
      <c r="AT758" t="str">
        <f t="shared" si="4691"/>
        <v/>
      </c>
      <c r="AU758" t="str">
        <f t="shared" si="4692"/>
        <v/>
      </c>
      <c r="AV758" t="str">
        <f t="shared" si="4693"/>
        <v/>
      </c>
      <c r="AW758" t="str">
        <f t="shared" si="4694"/>
        <v xml:space="preserve">                              </v>
      </c>
      <c r="AX758" s="23">
        <f t="shared" si="4695"/>
        <v>0</v>
      </c>
      <c r="AY758" s="49" t="str">
        <f t="shared" si="4671"/>
        <v>000000000000000</v>
      </c>
      <c r="AZ758" s="23">
        <f t="shared" si="4696"/>
        <v>0</v>
      </c>
      <c r="BA758" s="49" t="str">
        <f t="shared" si="4671"/>
        <v>000000000000000</v>
      </c>
      <c r="BB758" s="23">
        <f t="shared" si="4697"/>
        <v>0</v>
      </c>
      <c r="BC758" s="49" t="str">
        <f t="shared" ref="BC758" si="4956">IF(BB758&lt;0,SUBSTITUTE(TEXT(BB758,"000000000000,00"),",",""),SUBSTITUTE(TEXT(BB758,"0000000000000,00"),",",""))</f>
        <v>000000000000000</v>
      </c>
      <c r="BD758" s="23">
        <f t="shared" si="4699"/>
        <v>0</v>
      </c>
      <c r="BE758" s="49" t="str">
        <f t="shared" ref="BE758" si="4957">IF(BD758&lt;0,SUBSTITUTE(TEXT(BD758,"000000000000,00"),",",""),SUBSTITUTE(TEXT(BD758,"0000000000000,00"),",",""))</f>
        <v>000000000000000</v>
      </c>
      <c r="BF758" s="23">
        <f t="shared" si="4701"/>
        <v>0</v>
      </c>
      <c r="BG758" s="49" t="str">
        <f t="shared" ref="BG758" si="4958">IF(BF758&lt;0,SUBSTITUTE(TEXT(BF758,"000000000000,00"),",",""),SUBSTITUTE(TEXT(BF758,"0000000000000,00"),",",""))</f>
        <v>000000000000000</v>
      </c>
      <c r="BH758" s="23">
        <f t="shared" si="4703"/>
        <v>0</v>
      </c>
      <c r="BI758" s="49" t="str">
        <f t="shared" ref="BI758" si="4959">IF(BH758&lt;0,SUBSTITUTE(TEXT(BH758,"000000000000,00"),",",""),SUBSTITUTE(TEXT(BH758,"0000000000000,00"),",",""))</f>
        <v>000000000000000</v>
      </c>
      <c r="BJ758" s="23">
        <f t="shared" si="4705"/>
        <v>0</v>
      </c>
      <c r="BK758" s="49" t="str">
        <f t="shared" ref="BK758" si="4960">IF(BJ758&lt;0,SUBSTITUTE(TEXT(BJ758,"000000000000,00"),",",""),SUBSTITUTE(TEXT(BJ758,"0000000000000,00"),",",""))</f>
        <v>000000000000000</v>
      </c>
      <c r="BL758" s="23">
        <f t="shared" si="4707"/>
        <v>0</v>
      </c>
      <c r="BM758" s="49" t="str">
        <f t="shared" ref="BM758" si="4961">IF(BL758&lt;0,SUBSTITUTE(TEXT(BL758,"000000000000,00"),",",""),SUBSTITUTE(TEXT(BL758,"0000000000000,00"),",",""))</f>
        <v>000000000000000</v>
      </c>
      <c r="BN758" t="str">
        <f t="shared" si="4709"/>
        <v>PES</v>
      </c>
      <c r="BO758" t="str">
        <f t="shared" si="4710"/>
        <v>0001000000</v>
      </c>
      <c r="BP758">
        <f t="shared" si="4711"/>
        <v>0</v>
      </c>
      <c r="BQ758">
        <f t="shared" si="4712"/>
        <v>0</v>
      </c>
      <c r="BR758" s="23">
        <f t="shared" si="4713"/>
        <v>0</v>
      </c>
      <c r="BS758" s="49" t="str">
        <f t="shared" si="4678"/>
        <v>000000000000000</v>
      </c>
      <c r="BT758" t="str">
        <f t="shared" si="4714"/>
        <v>00000000</v>
      </c>
      <c r="BU758" s="23">
        <f t="shared" si="4715"/>
        <v>0</v>
      </c>
      <c r="BV758" s="49" t="str">
        <f t="shared" si="4679"/>
        <v/>
      </c>
      <c r="BW758" s="52" t="str">
        <f t="shared" si="4716"/>
        <v/>
      </c>
      <c r="BX758" s="23">
        <f t="shared" si="4717"/>
        <v>0</v>
      </c>
      <c r="BY758" s="49" t="str">
        <f t="shared" si="4680"/>
        <v/>
      </c>
      <c r="BZ758" s="23">
        <f t="shared" si="4718"/>
        <v>0</v>
      </c>
      <c r="CA758" s="49" t="str">
        <f t="shared" si="4681"/>
        <v/>
      </c>
      <c r="CB758" s="52" t="str">
        <f t="shared" si="4719"/>
        <v/>
      </c>
      <c r="CC758" s="23">
        <f t="shared" si="4720"/>
        <v>0</v>
      </c>
      <c r="CD758" s="49" t="str">
        <f t="shared" si="4682"/>
        <v/>
      </c>
      <c r="CE758" s="56" t="str">
        <f>IF(CF758="","",MAX(CE$10:$CE757)+1)</f>
        <v/>
      </c>
      <c r="CF758" t="str">
        <f t="shared" si="4721"/>
        <v/>
      </c>
      <c r="CG758" s="22" t="str">
        <f>IF(CH758="","",MAX($CG$10:CG757)+1)</f>
        <v/>
      </c>
      <c r="CH758" s="22" t="str">
        <f t="shared" si="4666"/>
        <v/>
      </c>
      <c r="CI758" s="22" t="str">
        <f>IF(CJ758="","",MAX($CI$10:CI757)+1)</f>
        <v/>
      </c>
      <c r="CJ758" s="22" t="str">
        <f t="shared" si="4667"/>
        <v/>
      </c>
    </row>
    <row r="759" spans="2:88" x14ac:dyDescent="0.25">
      <c r="B759" s="37"/>
      <c r="C759" s="3"/>
      <c r="D759" s="77" t="str">
        <f t="shared" si="4653"/>
        <v/>
      </c>
      <c r="E759" s="38"/>
      <c r="F759" s="38"/>
      <c r="G759" s="78">
        <f t="shared" si="4668"/>
        <v>0</v>
      </c>
      <c r="H759" s="3">
        <v>80</v>
      </c>
      <c r="I759" s="77" t="str">
        <f t="shared" si="4654"/>
        <v/>
      </c>
      <c r="J759" s="32"/>
      <c r="K759" s="3"/>
      <c r="L759" s="39"/>
      <c r="M759" s="39"/>
      <c r="N759" s="39"/>
      <c r="O759" s="39"/>
      <c r="P759" s="39"/>
      <c r="Q759" s="39"/>
      <c r="R759" s="39"/>
      <c r="S759" s="39"/>
      <c r="T759" s="3" t="s">
        <v>645</v>
      </c>
      <c r="U759" s="77" t="str">
        <f t="shared" si="4655"/>
        <v/>
      </c>
      <c r="V759" s="39">
        <v>1</v>
      </c>
      <c r="W759" s="79">
        <f t="shared" si="4669"/>
        <v>0</v>
      </c>
      <c r="X759" s="3">
        <v>0</v>
      </c>
      <c r="Y759" s="77" t="str">
        <f t="shared" si="4656"/>
        <v/>
      </c>
      <c r="Z759" s="3"/>
      <c r="AA759" s="37" t="str">
        <f t="shared" si="4670"/>
        <v/>
      </c>
      <c r="AC759" s="40"/>
      <c r="AD759" s="7"/>
      <c r="AE759" s="77" t="str">
        <f t="shared" si="4657"/>
        <v/>
      </c>
      <c r="AF759" s="81">
        <f t="shared" si="4683"/>
        <v>0</v>
      </c>
      <c r="AG759" s="40"/>
      <c r="AH759" s="7"/>
      <c r="AI759" s="77" t="str">
        <f t="shared" si="4658"/>
        <v/>
      </c>
      <c r="AJ759" s="81">
        <f t="shared" si="4684"/>
        <v>0</v>
      </c>
      <c r="AK759" s="83">
        <f t="shared" si="4685"/>
        <v>0</v>
      </c>
      <c r="AL759" s="83">
        <f t="shared" si="4686"/>
        <v>0</v>
      </c>
      <c r="AN759" s="43">
        <f t="shared" si="4659"/>
        <v>0</v>
      </c>
      <c r="AP759" t="str">
        <f t="shared" si="4687"/>
        <v/>
      </c>
      <c r="AQ759" t="str">
        <f t="shared" si="4688"/>
        <v/>
      </c>
      <c r="AR759" t="str">
        <f t="shared" si="4689"/>
        <v/>
      </c>
      <c r="AS759" t="str">
        <f t="shared" si="4690"/>
        <v/>
      </c>
      <c r="AT759" t="str">
        <f t="shared" si="4691"/>
        <v/>
      </c>
      <c r="AU759" t="str">
        <f t="shared" si="4692"/>
        <v/>
      </c>
      <c r="AV759" t="str">
        <f t="shared" si="4693"/>
        <v/>
      </c>
      <c r="AW759" t="str">
        <f t="shared" si="4694"/>
        <v xml:space="preserve">                              </v>
      </c>
      <c r="AX759" s="23">
        <f t="shared" si="4695"/>
        <v>0</v>
      </c>
      <c r="AY759" s="49" t="str">
        <f t="shared" si="4671"/>
        <v>000000000000000</v>
      </c>
      <c r="AZ759" s="23">
        <f t="shared" si="4696"/>
        <v>0</v>
      </c>
      <c r="BA759" s="49" t="str">
        <f t="shared" si="4671"/>
        <v>000000000000000</v>
      </c>
      <c r="BB759" s="23">
        <f t="shared" si="4697"/>
        <v>0</v>
      </c>
      <c r="BC759" s="49" t="str">
        <f t="shared" ref="BC759" si="4962">IF(BB759&lt;0,SUBSTITUTE(TEXT(BB759,"000000000000,00"),",",""),SUBSTITUTE(TEXT(BB759,"0000000000000,00"),",",""))</f>
        <v>000000000000000</v>
      </c>
      <c r="BD759" s="23">
        <f t="shared" si="4699"/>
        <v>0</v>
      </c>
      <c r="BE759" s="49" t="str">
        <f t="shared" ref="BE759" si="4963">IF(BD759&lt;0,SUBSTITUTE(TEXT(BD759,"000000000000,00"),",",""),SUBSTITUTE(TEXT(BD759,"0000000000000,00"),",",""))</f>
        <v>000000000000000</v>
      </c>
      <c r="BF759" s="23">
        <f t="shared" si="4701"/>
        <v>0</v>
      </c>
      <c r="BG759" s="49" t="str">
        <f t="shared" ref="BG759" si="4964">IF(BF759&lt;0,SUBSTITUTE(TEXT(BF759,"000000000000,00"),",",""),SUBSTITUTE(TEXT(BF759,"0000000000000,00"),",",""))</f>
        <v>000000000000000</v>
      </c>
      <c r="BH759" s="23">
        <f t="shared" si="4703"/>
        <v>0</v>
      </c>
      <c r="BI759" s="49" t="str">
        <f t="shared" ref="BI759" si="4965">IF(BH759&lt;0,SUBSTITUTE(TEXT(BH759,"000000000000,00"),",",""),SUBSTITUTE(TEXT(BH759,"0000000000000,00"),",",""))</f>
        <v>000000000000000</v>
      </c>
      <c r="BJ759" s="23">
        <f t="shared" si="4705"/>
        <v>0</v>
      </c>
      <c r="BK759" s="49" t="str">
        <f t="shared" ref="BK759" si="4966">IF(BJ759&lt;0,SUBSTITUTE(TEXT(BJ759,"000000000000,00"),",",""),SUBSTITUTE(TEXT(BJ759,"0000000000000,00"),",",""))</f>
        <v>000000000000000</v>
      </c>
      <c r="BL759" s="23">
        <f t="shared" si="4707"/>
        <v>0</v>
      </c>
      <c r="BM759" s="49" t="str">
        <f t="shared" ref="BM759" si="4967">IF(BL759&lt;0,SUBSTITUTE(TEXT(BL759,"000000000000,00"),",",""),SUBSTITUTE(TEXT(BL759,"0000000000000,00"),",",""))</f>
        <v>000000000000000</v>
      </c>
      <c r="BN759" t="str">
        <f t="shared" si="4709"/>
        <v>PES</v>
      </c>
      <c r="BO759" t="str">
        <f t="shared" si="4710"/>
        <v>0001000000</v>
      </c>
      <c r="BP759">
        <f t="shared" si="4711"/>
        <v>0</v>
      </c>
      <c r="BQ759">
        <f t="shared" si="4712"/>
        <v>0</v>
      </c>
      <c r="BR759" s="23">
        <f t="shared" si="4713"/>
        <v>0</v>
      </c>
      <c r="BS759" s="49" t="str">
        <f t="shared" si="4678"/>
        <v>000000000000000</v>
      </c>
      <c r="BT759" t="str">
        <f t="shared" si="4714"/>
        <v>00000000</v>
      </c>
      <c r="BU759" s="23">
        <f t="shared" si="4715"/>
        <v>0</v>
      </c>
      <c r="BV759" s="49" t="str">
        <f t="shared" si="4679"/>
        <v/>
      </c>
      <c r="BW759" s="52" t="str">
        <f t="shared" si="4716"/>
        <v/>
      </c>
      <c r="BX759" s="23">
        <f t="shared" si="4717"/>
        <v>0</v>
      </c>
      <c r="BY759" s="49" t="str">
        <f t="shared" si="4680"/>
        <v/>
      </c>
      <c r="BZ759" s="23">
        <f t="shared" si="4718"/>
        <v>0</v>
      </c>
      <c r="CA759" s="49" t="str">
        <f t="shared" si="4681"/>
        <v/>
      </c>
      <c r="CB759" s="52" t="str">
        <f t="shared" si="4719"/>
        <v/>
      </c>
      <c r="CC759" s="23">
        <f t="shared" si="4720"/>
        <v>0</v>
      </c>
      <c r="CD759" s="49" t="str">
        <f t="shared" si="4682"/>
        <v/>
      </c>
      <c r="CE759" s="56" t="str">
        <f>IF(CF759="","",MAX(CE$10:$CE758)+1)</f>
        <v/>
      </c>
      <c r="CF759" t="str">
        <f t="shared" si="4721"/>
        <v/>
      </c>
      <c r="CG759" s="22" t="str">
        <f>IF(CH759="","",MAX($CG$10:CG758)+1)</f>
        <v/>
      </c>
      <c r="CH759" s="22" t="str">
        <f t="shared" si="4666"/>
        <v/>
      </c>
      <c r="CI759" s="22" t="str">
        <f>IF(CJ759="","",MAX($CI$10:CI758)+1)</f>
        <v/>
      </c>
      <c r="CJ759" s="22" t="str">
        <f t="shared" si="4667"/>
        <v/>
      </c>
    </row>
    <row r="760" spans="2:88" x14ac:dyDescent="0.25">
      <c r="B760" s="37"/>
      <c r="C760" s="3"/>
      <c r="D760" s="77" t="str">
        <f t="shared" si="4653"/>
        <v/>
      </c>
      <c r="E760" s="38"/>
      <c r="F760" s="38"/>
      <c r="G760" s="78">
        <f t="shared" si="4668"/>
        <v>0</v>
      </c>
      <c r="H760" s="3">
        <v>80</v>
      </c>
      <c r="I760" s="77" t="str">
        <f t="shared" si="4654"/>
        <v/>
      </c>
      <c r="J760" s="32"/>
      <c r="K760" s="3"/>
      <c r="L760" s="39"/>
      <c r="M760" s="39"/>
      <c r="N760" s="39"/>
      <c r="O760" s="39"/>
      <c r="P760" s="39"/>
      <c r="Q760" s="39"/>
      <c r="R760" s="39"/>
      <c r="S760" s="39"/>
      <c r="T760" s="3" t="s">
        <v>645</v>
      </c>
      <c r="U760" s="77" t="str">
        <f t="shared" si="4655"/>
        <v/>
      </c>
      <c r="V760" s="39">
        <v>1</v>
      </c>
      <c r="W760" s="79">
        <f t="shared" si="4669"/>
        <v>0</v>
      </c>
      <c r="X760" s="3">
        <v>0</v>
      </c>
      <c r="Y760" s="77" t="str">
        <f t="shared" si="4656"/>
        <v/>
      </c>
      <c r="Z760" s="3"/>
      <c r="AA760" s="37" t="str">
        <f t="shared" si="4670"/>
        <v/>
      </c>
      <c r="AC760" s="40"/>
      <c r="AD760" s="7"/>
      <c r="AE760" s="77" t="str">
        <f t="shared" si="4657"/>
        <v/>
      </c>
      <c r="AF760" s="81">
        <f t="shared" si="4683"/>
        <v>0</v>
      </c>
      <c r="AG760" s="40"/>
      <c r="AH760" s="7"/>
      <c r="AI760" s="77" t="str">
        <f t="shared" si="4658"/>
        <v/>
      </c>
      <c r="AJ760" s="81">
        <f t="shared" si="4684"/>
        <v>0</v>
      </c>
      <c r="AK760" s="83">
        <f t="shared" si="4685"/>
        <v>0</v>
      </c>
      <c r="AL760" s="83">
        <f t="shared" si="4686"/>
        <v>0</v>
      </c>
      <c r="AN760" s="43">
        <f t="shared" si="4659"/>
        <v>0</v>
      </c>
      <c r="AP760" t="str">
        <f t="shared" si="4687"/>
        <v/>
      </c>
      <c r="AQ760" t="str">
        <f t="shared" si="4688"/>
        <v/>
      </c>
      <c r="AR760" t="str">
        <f t="shared" si="4689"/>
        <v/>
      </c>
      <c r="AS760" t="str">
        <f t="shared" si="4690"/>
        <v/>
      </c>
      <c r="AT760" t="str">
        <f t="shared" si="4691"/>
        <v/>
      </c>
      <c r="AU760" t="str">
        <f t="shared" si="4692"/>
        <v/>
      </c>
      <c r="AV760" t="str">
        <f t="shared" si="4693"/>
        <v/>
      </c>
      <c r="AW760" t="str">
        <f t="shared" si="4694"/>
        <v xml:space="preserve">                              </v>
      </c>
      <c r="AX760" s="23">
        <f t="shared" si="4695"/>
        <v>0</v>
      </c>
      <c r="AY760" s="49" t="str">
        <f t="shared" si="4671"/>
        <v>000000000000000</v>
      </c>
      <c r="AZ760" s="23">
        <f t="shared" si="4696"/>
        <v>0</v>
      </c>
      <c r="BA760" s="49" t="str">
        <f t="shared" si="4671"/>
        <v>000000000000000</v>
      </c>
      <c r="BB760" s="23">
        <f t="shared" si="4697"/>
        <v>0</v>
      </c>
      <c r="BC760" s="49" t="str">
        <f t="shared" ref="BC760" si="4968">IF(BB760&lt;0,SUBSTITUTE(TEXT(BB760,"000000000000,00"),",",""),SUBSTITUTE(TEXT(BB760,"0000000000000,00"),",",""))</f>
        <v>000000000000000</v>
      </c>
      <c r="BD760" s="23">
        <f t="shared" si="4699"/>
        <v>0</v>
      </c>
      <c r="BE760" s="49" t="str">
        <f t="shared" ref="BE760" si="4969">IF(BD760&lt;0,SUBSTITUTE(TEXT(BD760,"000000000000,00"),",",""),SUBSTITUTE(TEXT(BD760,"0000000000000,00"),",",""))</f>
        <v>000000000000000</v>
      </c>
      <c r="BF760" s="23">
        <f t="shared" si="4701"/>
        <v>0</v>
      </c>
      <c r="BG760" s="49" t="str">
        <f t="shared" ref="BG760" si="4970">IF(BF760&lt;0,SUBSTITUTE(TEXT(BF760,"000000000000,00"),",",""),SUBSTITUTE(TEXT(BF760,"0000000000000,00"),",",""))</f>
        <v>000000000000000</v>
      </c>
      <c r="BH760" s="23">
        <f t="shared" si="4703"/>
        <v>0</v>
      </c>
      <c r="BI760" s="49" t="str">
        <f t="shared" ref="BI760" si="4971">IF(BH760&lt;0,SUBSTITUTE(TEXT(BH760,"000000000000,00"),",",""),SUBSTITUTE(TEXT(BH760,"0000000000000,00"),",",""))</f>
        <v>000000000000000</v>
      </c>
      <c r="BJ760" s="23">
        <f t="shared" si="4705"/>
        <v>0</v>
      </c>
      <c r="BK760" s="49" t="str">
        <f t="shared" ref="BK760" si="4972">IF(BJ760&lt;0,SUBSTITUTE(TEXT(BJ760,"000000000000,00"),",",""),SUBSTITUTE(TEXT(BJ760,"0000000000000,00"),",",""))</f>
        <v>000000000000000</v>
      </c>
      <c r="BL760" s="23">
        <f t="shared" si="4707"/>
        <v>0</v>
      </c>
      <c r="BM760" s="49" t="str">
        <f t="shared" ref="BM760" si="4973">IF(BL760&lt;0,SUBSTITUTE(TEXT(BL760,"000000000000,00"),",",""),SUBSTITUTE(TEXT(BL760,"0000000000000,00"),",",""))</f>
        <v>000000000000000</v>
      </c>
      <c r="BN760" t="str">
        <f t="shared" si="4709"/>
        <v>PES</v>
      </c>
      <c r="BO760" t="str">
        <f t="shared" si="4710"/>
        <v>0001000000</v>
      </c>
      <c r="BP760">
        <f t="shared" si="4711"/>
        <v>0</v>
      </c>
      <c r="BQ760">
        <f t="shared" si="4712"/>
        <v>0</v>
      </c>
      <c r="BR760" s="23">
        <f t="shared" si="4713"/>
        <v>0</v>
      </c>
      <c r="BS760" s="49" t="str">
        <f t="shared" si="4678"/>
        <v>000000000000000</v>
      </c>
      <c r="BT760" t="str">
        <f t="shared" si="4714"/>
        <v>00000000</v>
      </c>
      <c r="BU760" s="23">
        <f t="shared" si="4715"/>
        <v>0</v>
      </c>
      <c r="BV760" s="49" t="str">
        <f t="shared" si="4679"/>
        <v/>
      </c>
      <c r="BW760" s="52" t="str">
        <f t="shared" si="4716"/>
        <v/>
      </c>
      <c r="BX760" s="23">
        <f t="shared" si="4717"/>
        <v>0</v>
      </c>
      <c r="BY760" s="49" t="str">
        <f t="shared" si="4680"/>
        <v/>
      </c>
      <c r="BZ760" s="23">
        <f t="shared" si="4718"/>
        <v>0</v>
      </c>
      <c r="CA760" s="49" t="str">
        <f t="shared" si="4681"/>
        <v/>
      </c>
      <c r="CB760" s="52" t="str">
        <f t="shared" si="4719"/>
        <v/>
      </c>
      <c r="CC760" s="23">
        <f t="shared" si="4720"/>
        <v>0</v>
      </c>
      <c r="CD760" s="49" t="str">
        <f t="shared" si="4682"/>
        <v/>
      </c>
      <c r="CE760" s="56" t="str">
        <f>IF(CF760="","",MAX(CE$10:$CE759)+1)</f>
        <v/>
      </c>
      <c r="CF760" t="str">
        <f t="shared" si="4721"/>
        <v/>
      </c>
      <c r="CG760" s="22" t="str">
        <f>IF(CH760="","",MAX($CG$10:CG759)+1)</f>
        <v/>
      </c>
      <c r="CH760" s="22" t="str">
        <f t="shared" si="4666"/>
        <v/>
      </c>
      <c r="CI760" s="22" t="str">
        <f>IF(CJ760="","",MAX($CI$10:CI759)+1)</f>
        <v/>
      </c>
      <c r="CJ760" s="22" t="str">
        <f t="shared" si="4667"/>
        <v/>
      </c>
    </row>
    <row r="761" spans="2:88" x14ac:dyDescent="0.25">
      <c r="B761" s="37"/>
      <c r="C761" s="3"/>
      <c r="D761" s="77" t="str">
        <f t="shared" si="4653"/>
        <v/>
      </c>
      <c r="E761" s="38"/>
      <c r="F761" s="38"/>
      <c r="G761" s="78">
        <f t="shared" si="4668"/>
        <v>0</v>
      </c>
      <c r="H761" s="3">
        <v>80</v>
      </c>
      <c r="I761" s="77" t="str">
        <f t="shared" si="4654"/>
        <v/>
      </c>
      <c r="J761" s="32"/>
      <c r="K761" s="3"/>
      <c r="L761" s="39"/>
      <c r="M761" s="39"/>
      <c r="N761" s="39"/>
      <c r="O761" s="39"/>
      <c r="P761" s="39"/>
      <c r="Q761" s="39"/>
      <c r="R761" s="39"/>
      <c r="S761" s="39"/>
      <c r="T761" s="3" t="s">
        <v>645</v>
      </c>
      <c r="U761" s="77" t="str">
        <f t="shared" si="4655"/>
        <v/>
      </c>
      <c r="V761" s="39">
        <v>1</v>
      </c>
      <c r="W761" s="79">
        <f t="shared" si="4669"/>
        <v>0</v>
      </c>
      <c r="X761" s="3">
        <v>0</v>
      </c>
      <c r="Y761" s="77" t="str">
        <f t="shared" si="4656"/>
        <v/>
      </c>
      <c r="Z761" s="3"/>
      <c r="AA761" s="37" t="str">
        <f t="shared" si="4670"/>
        <v/>
      </c>
      <c r="AC761" s="40"/>
      <c r="AD761" s="7"/>
      <c r="AE761" s="77" t="str">
        <f t="shared" si="4657"/>
        <v/>
      </c>
      <c r="AF761" s="81">
        <f t="shared" si="4683"/>
        <v>0</v>
      </c>
      <c r="AG761" s="40"/>
      <c r="AH761" s="7"/>
      <c r="AI761" s="77" t="str">
        <f t="shared" si="4658"/>
        <v/>
      </c>
      <c r="AJ761" s="81">
        <f t="shared" si="4684"/>
        <v>0</v>
      </c>
      <c r="AK761" s="83">
        <f t="shared" si="4685"/>
        <v>0</v>
      </c>
      <c r="AL761" s="83">
        <f t="shared" si="4686"/>
        <v>0</v>
      </c>
      <c r="AN761" s="43">
        <f t="shared" si="4659"/>
        <v>0</v>
      </c>
      <c r="AP761" t="str">
        <f t="shared" si="4687"/>
        <v/>
      </c>
      <c r="AQ761" t="str">
        <f t="shared" si="4688"/>
        <v/>
      </c>
      <c r="AR761" t="str">
        <f t="shared" si="4689"/>
        <v/>
      </c>
      <c r="AS761" t="str">
        <f t="shared" si="4690"/>
        <v/>
      </c>
      <c r="AT761" t="str">
        <f t="shared" si="4691"/>
        <v/>
      </c>
      <c r="AU761" t="str">
        <f t="shared" si="4692"/>
        <v/>
      </c>
      <c r="AV761" t="str">
        <f t="shared" si="4693"/>
        <v/>
      </c>
      <c r="AW761" t="str">
        <f t="shared" si="4694"/>
        <v xml:space="preserve">                              </v>
      </c>
      <c r="AX761" s="23">
        <f t="shared" si="4695"/>
        <v>0</v>
      </c>
      <c r="AY761" s="49" t="str">
        <f t="shared" si="4671"/>
        <v>000000000000000</v>
      </c>
      <c r="AZ761" s="23">
        <f t="shared" si="4696"/>
        <v>0</v>
      </c>
      <c r="BA761" s="49" t="str">
        <f t="shared" si="4671"/>
        <v>000000000000000</v>
      </c>
      <c r="BB761" s="23">
        <f t="shared" si="4697"/>
        <v>0</v>
      </c>
      <c r="BC761" s="49" t="str">
        <f t="shared" ref="BC761" si="4974">IF(BB761&lt;0,SUBSTITUTE(TEXT(BB761,"000000000000,00"),",",""),SUBSTITUTE(TEXT(BB761,"0000000000000,00"),",",""))</f>
        <v>000000000000000</v>
      </c>
      <c r="BD761" s="23">
        <f t="shared" si="4699"/>
        <v>0</v>
      </c>
      <c r="BE761" s="49" t="str">
        <f t="shared" ref="BE761" si="4975">IF(BD761&lt;0,SUBSTITUTE(TEXT(BD761,"000000000000,00"),",",""),SUBSTITUTE(TEXT(BD761,"0000000000000,00"),",",""))</f>
        <v>000000000000000</v>
      </c>
      <c r="BF761" s="23">
        <f t="shared" si="4701"/>
        <v>0</v>
      </c>
      <c r="BG761" s="49" t="str">
        <f t="shared" ref="BG761" si="4976">IF(BF761&lt;0,SUBSTITUTE(TEXT(BF761,"000000000000,00"),",",""),SUBSTITUTE(TEXT(BF761,"0000000000000,00"),",",""))</f>
        <v>000000000000000</v>
      </c>
      <c r="BH761" s="23">
        <f t="shared" si="4703"/>
        <v>0</v>
      </c>
      <c r="BI761" s="49" t="str">
        <f t="shared" ref="BI761" si="4977">IF(BH761&lt;0,SUBSTITUTE(TEXT(BH761,"000000000000,00"),",",""),SUBSTITUTE(TEXT(BH761,"0000000000000,00"),",",""))</f>
        <v>000000000000000</v>
      </c>
      <c r="BJ761" s="23">
        <f t="shared" si="4705"/>
        <v>0</v>
      </c>
      <c r="BK761" s="49" t="str">
        <f t="shared" ref="BK761" si="4978">IF(BJ761&lt;0,SUBSTITUTE(TEXT(BJ761,"000000000000,00"),",",""),SUBSTITUTE(TEXT(BJ761,"0000000000000,00"),",",""))</f>
        <v>000000000000000</v>
      </c>
      <c r="BL761" s="23">
        <f t="shared" si="4707"/>
        <v>0</v>
      </c>
      <c r="BM761" s="49" t="str">
        <f t="shared" ref="BM761" si="4979">IF(BL761&lt;0,SUBSTITUTE(TEXT(BL761,"000000000000,00"),",",""),SUBSTITUTE(TEXT(BL761,"0000000000000,00"),",",""))</f>
        <v>000000000000000</v>
      </c>
      <c r="BN761" t="str">
        <f t="shared" si="4709"/>
        <v>PES</v>
      </c>
      <c r="BO761" t="str">
        <f t="shared" si="4710"/>
        <v>0001000000</v>
      </c>
      <c r="BP761">
        <f t="shared" si="4711"/>
        <v>0</v>
      </c>
      <c r="BQ761">
        <f t="shared" si="4712"/>
        <v>0</v>
      </c>
      <c r="BR761" s="23">
        <f t="shared" si="4713"/>
        <v>0</v>
      </c>
      <c r="BS761" s="49" t="str">
        <f t="shared" si="4678"/>
        <v>000000000000000</v>
      </c>
      <c r="BT761" t="str">
        <f t="shared" si="4714"/>
        <v>00000000</v>
      </c>
      <c r="BU761" s="23">
        <f t="shared" si="4715"/>
        <v>0</v>
      </c>
      <c r="BV761" s="49" t="str">
        <f t="shared" si="4679"/>
        <v/>
      </c>
      <c r="BW761" s="52" t="str">
        <f t="shared" si="4716"/>
        <v/>
      </c>
      <c r="BX761" s="23">
        <f t="shared" si="4717"/>
        <v>0</v>
      </c>
      <c r="BY761" s="49" t="str">
        <f t="shared" si="4680"/>
        <v/>
      </c>
      <c r="BZ761" s="23">
        <f t="shared" si="4718"/>
        <v>0</v>
      </c>
      <c r="CA761" s="49" t="str">
        <f t="shared" si="4681"/>
        <v/>
      </c>
      <c r="CB761" s="52" t="str">
        <f t="shared" si="4719"/>
        <v/>
      </c>
      <c r="CC761" s="23">
        <f t="shared" si="4720"/>
        <v>0</v>
      </c>
      <c r="CD761" s="49" t="str">
        <f t="shared" si="4682"/>
        <v/>
      </c>
      <c r="CE761" s="56" t="str">
        <f>IF(CF761="","",MAX(CE$10:$CE760)+1)</f>
        <v/>
      </c>
      <c r="CF761" t="str">
        <f t="shared" si="4721"/>
        <v/>
      </c>
      <c r="CG761" s="22" t="str">
        <f>IF(CH761="","",MAX($CG$10:CG760)+1)</f>
        <v/>
      </c>
      <c r="CH761" s="22" t="str">
        <f t="shared" si="4666"/>
        <v/>
      </c>
      <c r="CI761" s="22" t="str">
        <f>IF(CJ761="","",MAX($CI$10:CI760)+1)</f>
        <v/>
      </c>
      <c r="CJ761" s="22" t="str">
        <f t="shared" si="4667"/>
        <v/>
      </c>
    </row>
    <row r="762" spans="2:88" x14ac:dyDescent="0.25">
      <c r="B762" s="37"/>
      <c r="C762" s="3"/>
      <c r="D762" s="77" t="str">
        <f t="shared" si="4653"/>
        <v/>
      </c>
      <c r="E762" s="38"/>
      <c r="F762" s="38"/>
      <c r="G762" s="78">
        <f t="shared" si="4668"/>
        <v>0</v>
      </c>
      <c r="H762" s="3">
        <v>80</v>
      </c>
      <c r="I762" s="77" t="str">
        <f t="shared" si="4654"/>
        <v/>
      </c>
      <c r="J762" s="32"/>
      <c r="K762" s="3"/>
      <c r="L762" s="39"/>
      <c r="M762" s="39"/>
      <c r="N762" s="39"/>
      <c r="O762" s="39"/>
      <c r="P762" s="39"/>
      <c r="Q762" s="39"/>
      <c r="R762" s="39"/>
      <c r="S762" s="39"/>
      <c r="T762" s="3" t="s">
        <v>645</v>
      </c>
      <c r="U762" s="77" t="str">
        <f t="shared" si="4655"/>
        <v/>
      </c>
      <c r="V762" s="39">
        <v>1</v>
      </c>
      <c r="W762" s="79">
        <f t="shared" si="4669"/>
        <v>0</v>
      </c>
      <c r="X762" s="3">
        <v>0</v>
      </c>
      <c r="Y762" s="77" t="str">
        <f t="shared" si="4656"/>
        <v/>
      </c>
      <c r="Z762" s="3"/>
      <c r="AA762" s="37" t="str">
        <f t="shared" si="4670"/>
        <v/>
      </c>
      <c r="AC762" s="40"/>
      <c r="AD762" s="7"/>
      <c r="AE762" s="77" t="str">
        <f t="shared" si="4657"/>
        <v/>
      </c>
      <c r="AF762" s="81">
        <f t="shared" si="4683"/>
        <v>0</v>
      </c>
      <c r="AG762" s="40"/>
      <c r="AH762" s="7"/>
      <c r="AI762" s="77" t="str">
        <f t="shared" si="4658"/>
        <v/>
      </c>
      <c r="AJ762" s="81">
        <f t="shared" si="4684"/>
        <v>0</v>
      </c>
      <c r="AK762" s="83">
        <f t="shared" si="4685"/>
        <v>0</v>
      </c>
      <c r="AL762" s="83">
        <f t="shared" si="4686"/>
        <v>0</v>
      </c>
      <c r="AN762" s="43">
        <f t="shared" si="4659"/>
        <v>0</v>
      </c>
      <c r="AP762" t="str">
        <f t="shared" si="4687"/>
        <v/>
      </c>
      <c r="AQ762" t="str">
        <f t="shared" si="4688"/>
        <v/>
      </c>
      <c r="AR762" t="str">
        <f t="shared" si="4689"/>
        <v/>
      </c>
      <c r="AS762" t="str">
        <f t="shared" si="4690"/>
        <v/>
      </c>
      <c r="AT762" t="str">
        <f t="shared" si="4691"/>
        <v/>
      </c>
      <c r="AU762" t="str">
        <f t="shared" si="4692"/>
        <v/>
      </c>
      <c r="AV762" t="str">
        <f t="shared" si="4693"/>
        <v/>
      </c>
      <c r="AW762" t="str">
        <f t="shared" si="4694"/>
        <v xml:space="preserve">                              </v>
      </c>
      <c r="AX762" s="23">
        <f t="shared" si="4695"/>
        <v>0</v>
      </c>
      <c r="AY762" s="49" t="str">
        <f t="shared" si="4671"/>
        <v>000000000000000</v>
      </c>
      <c r="AZ762" s="23">
        <f t="shared" si="4696"/>
        <v>0</v>
      </c>
      <c r="BA762" s="49" t="str">
        <f t="shared" si="4671"/>
        <v>000000000000000</v>
      </c>
      <c r="BB762" s="23">
        <f t="shared" si="4697"/>
        <v>0</v>
      </c>
      <c r="BC762" s="49" t="str">
        <f t="shared" ref="BC762" si="4980">IF(BB762&lt;0,SUBSTITUTE(TEXT(BB762,"000000000000,00"),",",""),SUBSTITUTE(TEXT(BB762,"0000000000000,00"),",",""))</f>
        <v>000000000000000</v>
      </c>
      <c r="BD762" s="23">
        <f t="shared" si="4699"/>
        <v>0</v>
      </c>
      <c r="BE762" s="49" t="str">
        <f t="shared" ref="BE762" si="4981">IF(BD762&lt;0,SUBSTITUTE(TEXT(BD762,"000000000000,00"),",",""),SUBSTITUTE(TEXT(BD762,"0000000000000,00"),",",""))</f>
        <v>000000000000000</v>
      </c>
      <c r="BF762" s="23">
        <f t="shared" si="4701"/>
        <v>0</v>
      </c>
      <c r="BG762" s="49" t="str">
        <f t="shared" ref="BG762" si="4982">IF(BF762&lt;0,SUBSTITUTE(TEXT(BF762,"000000000000,00"),",",""),SUBSTITUTE(TEXT(BF762,"0000000000000,00"),",",""))</f>
        <v>000000000000000</v>
      </c>
      <c r="BH762" s="23">
        <f t="shared" si="4703"/>
        <v>0</v>
      </c>
      <c r="BI762" s="49" t="str">
        <f t="shared" ref="BI762" si="4983">IF(BH762&lt;0,SUBSTITUTE(TEXT(BH762,"000000000000,00"),",",""),SUBSTITUTE(TEXT(BH762,"0000000000000,00"),",",""))</f>
        <v>000000000000000</v>
      </c>
      <c r="BJ762" s="23">
        <f t="shared" si="4705"/>
        <v>0</v>
      </c>
      <c r="BK762" s="49" t="str">
        <f t="shared" ref="BK762" si="4984">IF(BJ762&lt;0,SUBSTITUTE(TEXT(BJ762,"000000000000,00"),",",""),SUBSTITUTE(TEXT(BJ762,"0000000000000,00"),",",""))</f>
        <v>000000000000000</v>
      </c>
      <c r="BL762" s="23">
        <f t="shared" si="4707"/>
        <v>0</v>
      </c>
      <c r="BM762" s="49" t="str">
        <f t="shared" ref="BM762" si="4985">IF(BL762&lt;0,SUBSTITUTE(TEXT(BL762,"000000000000,00"),",",""),SUBSTITUTE(TEXT(BL762,"0000000000000,00"),",",""))</f>
        <v>000000000000000</v>
      </c>
      <c r="BN762" t="str">
        <f t="shared" si="4709"/>
        <v>PES</v>
      </c>
      <c r="BO762" t="str">
        <f t="shared" si="4710"/>
        <v>0001000000</v>
      </c>
      <c r="BP762">
        <f t="shared" si="4711"/>
        <v>0</v>
      </c>
      <c r="BQ762">
        <f t="shared" si="4712"/>
        <v>0</v>
      </c>
      <c r="BR762" s="23">
        <f t="shared" si="4713"/>
        <v>0</v>
      </c>
      <c r="BS762" s="49" t="str">
        <f t="shared" si="4678"/>
        <v>000000000000000</v>
      </c>
      <c r="BT762" t="str">
        <f t="shared" si="4714"/>
        <v>00000000</v>
      </c>
      <c r="BU762" s="23">
        <f t="shared" si="4715"/>
        <v>0</v>
      </c>
      <c r="BV762" s="49" t="str">
        <f t="shared" si="4679"/>
        <v/>
      </c>
      <c r="BW762" s="52" t="str">
        <f t="shared" si="4716"/>
        <v/>
      </c>
      <c r="BX762" s="23">
        <f t="shared" si="4717"/>
        <v>0</v>
      </c>
      <c r="BY762" s="49" t="str">
        <f t="shared" si="4680"/>
        <v/>
      </c>
      <c r="BZ762" s="23">
        <f t="shared" si="4718"/>
        <v>0</v>
      </c>
      <c r="CA762" s="49" t="str">
        <f t="shared" si="4681"/>
        <v/>
      </c>
      <c r="CB762" s="52" t="str">
        <f t="shared" si="4719"/>
        <v/>
      </c>
      <c r="CC762" s="23">
        <f t="shared" si="4720"/>
        <v>0</v>
      </c>
      <c r="CD762" s="49" t="str">
        <f t="shared" si="4682"/>
        <v/>
      </c>
      <c r="CE762" s="56" t="str">
        <f>IF(CF762="","",MAX(CE$10:$CE761)+1)</f>
        <v/>
      </c>
      <c r="CF762" t="str">
        <f t="shared" si="4721"/>
        <v/>
      </c>
      <c r="CG762" s="22" t="str">
        <f>IF(CH762="","",MAX($CG$10:CG761)+1)</f>
        <v/>
      </c>
      <c r="CH762" s="22" t="str">
        <f t="shared" si="4666"/>
        <v/>
      </c>
      <c r="CI762" s="22" t="str">
        <f>IF(CJ762="","",MAX($CI$10:CI761)+1)</f>
        <v/>
      </c>
      <c r="CJ762" s="22" t="str">
        <f t="shared" si="4667"/>
        <v/>
      </c>
    </row>
    <row r="763" spans="2:88" x14ac:dyDescent="0.25">
      <c r="B763" s="37"/>
      <c r="C763" s="3"/>
      <c r="D763" s="77" t="str">
        <f t="shared" si="4653"/>
        <v/>
      </c>
      <c r="E763" s="38"/>
      <c r="F763" s="38"/>
      <c r="G763" s="78">
        <f t="shared" si="4668"/>
        <v>0</v>
      </c>
      <c r="H763" s="3">
        <v>80</v>
      </c>
      <c r="I763" s="77" t="str">
        <f t="shared" si="4654"/>
        <v/>
      </c>
      <c r="J763" s="32"/>
      <c r="K763" s="3"/>
      <c r="L763" s="39"/>
      <c r="M763" s="39"/>
      <c r="N763" s="39"/>
      <c r="O763" s="39"/>
      <c r="P763" s="39"/>
      <c r="Q763" s="39"/>
      <c r="R763" s="39"/>
      <c r="S763" s="39"/>
      <c r="T763" s="3" t="s">
        <v>645</v>
      </c>
      <c r="U763" s="77" t="str">
        <f t="shared" si="4655"/>
        <v/>
      </c>
      <c r="V763" s="39">
        <v>1</v>
      </c>
      <c r="W763" s="79">
        <f t="shared" si="4669"/>
        <v>0</v>
      </c>
      <c r="X763" s="3">
        <v>0</v>
      </c>
      <c r="Y763" s="77" t="str">
        <f t="shared" si="4656"/>
        <v/>
      </c>
      <c r="Z763" s="3"/>
      <c r="AA763" s="37" t="str">
        <f t="shared" si="4670"/>
        <v/>
      </c>
      <c r="AC763" s="40"/>
      <c r="AD763" s="7"/>
      <c r="AE763" s="77" t="str">
        <f t="shared" si="4657"/>
        <v/>
      </c>
      <c r="AF763" s="81">
        <f t="shared" si="4683"/>
        <v>0</v>
      </c>
      <c r="AG763" s="40"/>
      <c r="AH763" s="7"/>
      <c r="AI763" s="77" t="str">
        <f t="shared" si="4658"/>
        <v/>
      </c>
      <c r="AJ763" s="81">
        <f t="shared" si="4684"/>
        <v>0</v>
      </c>
      <c r="AK763" s="83">
        <f t="shared" si="4685"/>
        <v>0</v>
      </c>
      <c r="AL763" s="83">
        <f t="shared" si="4686"/>
        <v>0</v>
      </c>
      <c r="AN763" s="43">
        <f t="shared" si="4659"/>
        <v>0</v>
      </c>
      <c r="AP763" t="str">
        <f t="shared" si="4687"/>
        <v/>
      </c>
      <c r="AQ763" t="str">
        <f t="shared" si="4688"/>
        <v/>
      </c>
      <c r="AR763" t="str">
        <f t="shared" si="4689"/>
        <v/>
      </c>
      <c r="AS763" t="str">
        <f t="shared" si="4690"/>
        <v/>
      </c>
      <c r="AT763" t="str">
        <f t="shared" si="4691"/>
        <v/>
      </c>
      <c r="AU763" t="str">
        <f t="shared" si="4692"/>
        <v/>
      </c>
      <c r="AV763" t="str">
        <f t="shared" si="4693"/>
        <v/>
      </c>
      <c r="AW763" t="str">
        <f t="shared" si="4694"/>
        <v xml:space="preserve">                              </v>
      </c>
      <c r="AX763" s="23">
        <f t="shared" si="4695"/>
        <v>0</v>
      </c>
      <c r="AY763" s="49" t="str">
        <f t="shared" si="4671"/>
        <v>000000000000000</v>
      </c>
      <c r="AZ763" s="23">
        <f t="shared" si="4696"/>
        <v>0</v>
      </c>
      <c r="BA763" s="49" t="str">
        <f t="shared" si="4671"/>
        <v>000000000000000</v>
      </c>
      <c r="BB763" s="23">
        <f t="shared" si="4697"/>
        <v>0</v>
      </c>
      <c r="BC763" s="49" t="str">
        <f t="shared" ref="BC763" si="4986">IF(BB763&lt;0,SUBSTITUTE(TEXT(BB763,"000000000000,00"),",",""),SUBSTITUTE(TEXT(BB763,"0000000000000,00"),",",""))</f>
        <v>000000000000000</v>
      </c>
      <c r="BD763" s="23">
        <f t="shared" si="4699"/>
        <v>0</v>
      </c>
      <c r="BE763" s="49" t="str">
        <f t="shared" ref="BE763" si="4987">IF(BD763&lt;0,SUBSTITUTE(TEXT(BD763,"000000000000,00"),",",""),SUBSTITUTE(TEXT(BD763,"0000000000000,00"),",",""))</f>
        <v>000000000000000</v>
      </c>
      <c r="BF763" s="23">
        <f t="shared" si="4701"/>
        <v>0</v>
      </c>
      <c r="BG763" s="49" t="str">
        <f t="shared" ref="BG763" si="4988">IF(BF763&lt;0,SUBSTITUTE(TEXT(BF763,"000000000000,00"),",",""),SUBSTITUTE(TEXT(BF763,"0000000000000,00"),",",""))</f>
        <v>000000000000000</v>
      </c>
      <c r="BH763" s="23">
        <f t="shared" si="4703"/>
        <v>0</v>
      </c>
      <c r="BI763" s="49" t="str">
        <f t="shared" ref="BI763" si="4989">IF(BH763&lt;0,SUBSTITUTE(TEXT(BH763,"000000000000,00"),",",""),SUBSTITUTE(TEXT(BH763,"0000000000000,00"),",",""))</f>
        <v>000000000000000</v>
      </c>
      <c r="BJ763" s="23">
        <f t="shared" si="4705"/>
        <v>0</v>
      </c>
      <c r="BK763" s="49" t="str">
        <f t="shared" ref="BK763" si="4990">IF(BJ763&lt;0,SUBSTITUTE(TEXT(BJ763,"000000000000,00"),",",""),SUBSTITUTE(TEXT(BJ763,"0000000000000,00"),",",""))</f>
        <v>000000000000000</v>
      </c>
      <c r="BL763" s="23">
        <f t="shared" si="4707"/>
        <v>0</v>
      </c>
      <c r="BM763" s="49" t="str">
        <f t="shared" ref="BM763" si="4991">IF(BL763&lt;0,SUBSTITUTE(TEXT(BL763,"000000000000,00"),",",""),SUBSTITUTE(TEXT(BL763,"0000000000000,00"),",",""))</f>
        <v>000000000000000</v>
      </c>
      <c r="BN763" t="str">
        <f t="shared" si="4709"/>
        <v>PES</v>
      </c>
      <c r="BO763" t="str">
        <f t="shared" si="4710"/>
        <v>0001000000</v>
      </c>
      <c r="BP763">
        <f t="shared" si="4711"/>
        <v>0</v>
      </c>
      <c r="BQ763">
        <f t="shared" si="4712"/>
        <v>0</v>
      </c>
      <c r="BR763" s="23">
        <f t="shared" si="4713"/>
        <v>0</v>
      </c>
      <c r="BS763" s="49" t="str">
        <f t="shared" si="4678"/>
        <v>000000000000000</v>
      </c>
      <c r="BT763" t="str">
        <f t="shared" si="4714"/>
        <v>00000000</v>
      </c>
      <c r="BU763" s="23">
        <f t="shared" si="4715"/>
        <v>0</v>
      </c>
      <c r="BV763" s="49" t="str">
        <f t="shared" si="4679"/>
        <v/>
      </c>
      <c r="BW763" s="52" t="str">
        <f t="shared" si="4716"/>
        <v/>
      </c>
      <c r="BX763" s="23">
        <f t="shared" si="4717"/>
        <v>0</v>
      </c>
      <c r="BY763" s="49" t="str">
        <f t="shared" si="4680"/>
        <v/>
      </c>
      <c r="BZ763" s="23">
        <f t="shared" si="4718"/>
        <v>0</v>
      </c>
      <c r="CA763" s="49" t="str">
        <f t="shared" si="4681"/>
        <v/>
      </c>
      <c r="CB763" s="52" t="str">
        <f t="shared" si="4719"/>
        <v/>
      </c>
      <c r="CC763" s="23">
        <f t="shared" si="4720"/>
        <v>0</v>
      </c>
      <c r="CD763" s="49" t="str">
        <f t="shared" si="4682"/>
        <v/>
      </c>
      <c r="CE763" s="56" t="str">
        <f>IF(CF763="","",MAX(CE$10:$CE762)+1)</f>
        <v/>
      </c>
      <c r="CF763" t="str">
        <f t="shared" si="4721"/>
        <v/>
      </c>
      <c r="CG763" s="22" t="str">
        <f>IF(CH763="","",MAX($CG$10:CG762)+1)</f>
        <v/>
      </c>
      <c r="CH763" s="22" t="str">
        <f t="shared" si="4666"/>
        <v/>
      </c>
      <c r="CI763" s="22" t="str">
        <f>IF(CJ763="","",MAX($CI$10:CI762)+1)</f>
        <v/>
      </c>
      <c r="CJ763" s="22" t="str">
        <f t="shared" si="4667"/>
        <v/>
      </c>
    </row>
    <row r="764" spans="2:88" x14ac:dyDescent="0.25">
      <c r="B764" s="37"/>
      <c r="C764" s="3"/>
      <c r="D764" s="77" t="str">
        <f t="shared" si="4653"/>
        <v/>
      </c>
      <c r="E764" s="38"/>
      <c r="F764" s="38"/>
      <c r="G764" s="78">
        <f t="shared" si="4668"/>
        <v>0</v>
      </c>
      <c r="H764" s="3">
        <v>80</v>
      </c>
      <c r="I764" s="77" t="str">
        <f t="shared" si="4654"/>
        <v/>
      </c>
      <c r="J764" s="32"/>
      <c r="K764" s="3"/>
      <c r="L764" s="39"/>
      <c r="M764" s="39"/>
      <c r="N764" s="39"/>
      <c r="O764" s="39"/>
      <c r="P764" s="39"/>
      <c r="Q764" s="39"/>
      <c r="R764" s="39"/>
      <c r="S764" s="39"/>
      <c r="T764" s="3" t="s">
        <v>645</v>
      </c>
      <c r="U764" s="77" t="str">
        <f t="shared" si="4655"/>
        <v/>
      </c>
      <c r="V764" s="39">
        <v>1</v>
      </c>
      <c r="W764" s="79">
        <f t="shared" si="4669"/>
        <v>0</v>
      </c>
      <c r="X764" s="3">
        <v>0</v>
      </c>
      <c r="Y764" s="77" t="str">
        <f t="shared" si="4656"/>
        <v/>
      </c>
      <c r="Z764" s="3"/>
      <c r="AA764" s="37" t="str">
        <f t="shared" si="4670"/>
        <v/>
      </c>
      <c r="AC764" s="40"/>
      <c r="AD764" s="7"/>
      <c r="AE764" s="77" t="str">
        <f t="shared" si="4657"/>
        <v/>
      </c>
      <c r="AF764" s="81">
        <f t="shared" si="4683"/>
        <v>0</v>
      </c>
      <c r="AG764" s="40"/>
      <c r="AH764" s="7"/>
      <c r="AI764" s="77" t="str">
        <f t="shared" si="4658"/>
        <v/>
      </c>
      <c r="AJ764" s="81">
        <f t="shared" si="4684"/>
        <v>0</v>
      </c>
      <c r="AK764" s="83">
        <f t="shared" si="4685"/>
        <v>0</v>
      </c>
      <c r="AL764" s="83">
        <f t="shared" si="4686"/>
        <v>0</v>
      </c>
      <c r="AN764" s="43">
        <f t="shared" si="4659"/>
        <v>0</v>
      </c>
      <c r="AP764" t="str">
        <f t="shared" si="4687"/>
        <v/>
      </c>
      <c r="AQ764" t="str">
        <f t="shared" si="4688"/>
        <v/>
      </c>
      <c r="AR764" t="str">
        <f t="shared" si="4689"/>
        <v/>
      </c>
      <c r="AS764" t="str">
        <f t="shared" si="4690"/>
        <v/>
      </c>
      <c r="AT764" t="str">
        <f t="shared" si="4691"/>
        <v/>
      </c>
      <c r="AU764" t="str">
        <f t="shared" si="4692"/>
        <v/>
      </c>
      <c r="AV764" t="str">
        <f t="shared" si="4693"/>
        <v/>
      </c>
      <c r="AW764" t="str">
        <f t="shared" si="4694"/>
        <v xml:space="preserve">                              </v>
      </c>
      <c r="AX764" s="23">
        <f t="shared" si="4695"/>
        <v>0</v>
      </c>
      <c r="AY764" s="49" t="str">
        <f t="shared" si="4671"/>
        <v>000000000000000</v>
      </c>
      <c r="AZ764" s="23">
        <f t="shared" si="4696"/>
        <v>0</v>
      </c>
      <c r="BA764" s="49" t="str">
        <f t="shared" si="4671"/>
        <v>000000000000000</v>
      </c>
      <c r="BB764" s="23">
        <f t="shared" si="4697"/>
        <v>0</v>
      </c>
      <c r="BC764" s="49" t="str">
        <f t="shared" ref="BC764" si="4992">IF(BB764&lt;0,SUBSTITUTE(TEXT(BB764,"000000000000,00"),",",""),SUBSTITUTE(TEXT(BB764,"0000000000000,00"),",",""))</f>
        <v>000000000000000</v>
      </c>
      <c r="BD764" s="23">
        <f t="shared" si="4699"/>
        <v>0</v>
      </c>
      <c r="BE764" s="49" t="str">
        <f t="shared" ref="BE764" si="4993">IF(BD764&lt;0,SUBSTITUTE(TEXT(BD764,"000000000000,00"),",",""),SUBSTITUTE(TEXT(BD764,"0000000000000,00"),",",""))</f>
        <v>000000000000000</v>
      </c>
      <c r="BF764" s="23">
        <f t="shared" si="4701"/>
        <v>0</v>
      </c>
      <c r="BG764" s="49" t="str">
        <f t="shared" ref="BG764" si="4994">IF(BF764&lt;0,SUBSTITUTE(TEXT(BF764,"000000000000,00"),",",""),SUBSTITUTE(TEXT(BF764,"0000000000000,00"),",",""))</f>
        <v>000000000000000</v>
      </c>
      <c r="BH764" s="23">
        <f t="shared" si="4703"/>
        <v>0</v>
      </c>
      <c r="BI764" s="49" t="str">
        <f t="shared" ref="BI764" si="4995">IF(BH764&lt;0,SUBSTITUTE(TEXT(BH764,"000000000000,00"),",",""),SUBSTITUTE(TEXT(BH764,"0000000000000,00"),",",""))</f>
        <v>000000000000000</v>
      </c>
      <c r="BJ764" s="23">
        <f t="shared" si="4705"/>
        <v>0</v>
      </c>
      <c r="BK764" s="49" t="str">
        <f t="shared" ref="BK764" si="4996">IF(BJ764&lt;0,SUBSTITUTE(TEXT(BJ764,"000000000000,00"),",",""),SUBSTITUTE(TEXT(BJ764,"0000000000000,00"),",",""))</f>
        <v>000000000000000</v>
      </c>
      <c r="BL764" s="23">
        <f t="shared" si="4707"/>
        <v>0</v>
      </c>
      <c r="BM764" s="49" t="str">
        <f t="shared" ref="BM764" si="4997">IF(BL764&lt;0,SUBSTITUTE(TEXT(BL764,"000000000000,00"),",",""),SUBSTITUTE(TEXT(BL764,"0000000000000,00"),",",""))</f>
        <v>000000000000000</v>
      </c>
      <c r="BN764" t="str">
        <f t="shared" si="4709"/>
        <v>PES</v>
      </c>
      <c r="BO764" t="str">
        <f t="shared" si="4710"/>
        <v>0001000000</v>
      </c>
      <c r="BP764">
        <f t="shared" si="4711"/>
        <v>0</v>
      </c>
      <c r="BQ764">
        <f t="shared" si="4712"/>
        <v>0</v>
      </c>
      <c r="BR764" s="23">
        <f t="shared" si="4713"/>
        <v>0</v>
      </c>
      <c r="BS764" s="49" t="str">
        <f t="shared" si="4678"/>
        <v>000000000000000</v>
      </c>
      <c r="BT764" t="str">
        <f t="shared" si="4714"/>
        <v>00000000</v>
      </c>
      <c r="BU764" s="23">
        <f t="shared" si="4715"/>
        <v>0</v>
      </c>
      <c r="BV764" s="49" t="str">
        <f t="shared" si="4679"/>
        <v/>
      </c>
      <c r="BW764" s="52" t="str">
        <f t="shared" si="4716"/>
        <v/>
      </c>
      <c r="BX764" s="23">
        <f t="shared" si="4717"/>
        <v>0</v>
      </c>
      <c r="BY764" s="49" t="str">
        <f t="shared" si="4680"/>
        <v/>
      </c>
      <c r="BZ764" s="23">
        <f t="shared" si="4718"/>
        <v>0</v>
      </c>
      <c r="CA764" s="49" t="str">
        <f t="shared" si="4681"/>
        <v/>
      </c>
      <c r="CB764" s="52" t="str">
        <f t="shared" si="4719"/>
        <v/>
      </c>
      <c r="CC764" s="23">
        <f t="shared" si="4720"/>
        <v>0</v>
      </c>
      <c r="CD764" s="49" t="str">
        <f t="shared" si="4682"/>
        <v/>
      </c>
      <c r="CE764" s="56" t="str">
        <f>IF(CF764="","",MAX(CE$10:$CE763)+1)</f>
        <v/>
      </c>
      <c r="CF764" t="str">
        <f t="shared" si="4721"/>
        <v/>
      </c>
      <c r="CG764" s="22" t="str">
        <f>IF(CH764="","",MAX($CG$10:CG763)+1)</f>
        <v/>
      </c>
      <c r="CH764" s="22" t="str">
        <f t="shared" si="4666"/>
        <v/>
      </c>
      <c r="CI764" s="22" t="str">
        <f>IF(CJ764="","",MAX($CI$10:CI763)+1)</f>
        <v/>
      </c>
      <c r="CJ764" s="22" t="str">
        <f t="shared" si="4667"/>
        <v/>
      </c>
    </row>
    <row r="765" spans="2:88" x14ac:dyDescent="0.25">
      <c r="B765" s="37"/>
      <c r="C765" s="3"/>
      <c r="D765" s="77" t="str">
        <f t="shared" si="4653"/>
        <v/>
      </c>
      <c r="E765" s="38"/>
      <c r="F765" s="38"/>
      <c r="G765" s="78">
        <f t="shared" si="4668"/>
        <v>0</v>
      </c>
      <c r="H765" s="3">
        <v>80</v>
      </c>
      <c r="I765" s="77" t="str">
        <f t="shared" si="4654"/>
        <v/>
      </c>
      <c r="J765" s="32"/>
      <c r="K765" s="3"/>
      <c r="L765" s="39"/>
      <c r="M765" s="39"/>
      <c r="N765" s="39"/>
      <c r="O765" s="39"/>
      <c r="P765" s="39"/>
      <c r="Q765" s="39"/>
      <c r="R765" s="39"/>
      <c r="S765" s="39"/>
      <c r="T765" s="3" t="s">
        <v>645</v>
      </c>
      <c r="U765" s="77" t="str">
        <f t="shared" si="4655"/>
        <v/>
      </c>
      <c r="V765" s="39">
        <v>1</v>
      </c>
      <c r="W765" s="79">
        <f t="shared" si="4669"/>
        <v>0</v>
      </c>
      <c r="X765" s="3">
        <v>0</v>
      </c>
      <c r="Y765" s="77" t="str">
        <f t="shared" si="4656"/>
        <v/>
      </c>
      <c r="Z765" s="3"/>
      <c r="AA765" s="37" t="str">
        <f t="shared" si="4670"/>
        <v/>
      </c>
      <c r="AC765" s="40"/>
      <c r="AD765" s="7"/>
      <c r="AE765" s="77" t="str">
        <f t="shared" si="4657"/>
        <v/>
      </c>
      <c r="AF765" s="81">
        <f t="shared" si="4683"/>
        <v>0</v>
      </c>
      <c r="AG765" s="40"/>
      <c r="AH765" s="7"/>
      <c r="AI765" s="77" t="str">
        <f t="shared" si="4658"/>
        <v/>
      </c>
      <c r="AJ765" s="81">
        <f t="shared" si="4684"/>
        <v>0</v>
      </c>
      <c r="AK765" s="83">
        <f t="shared" si="4685"/>
        <v>0</v>
      </c>
      <c r="AL765" s="83">
        <f t="shared" si="4686"/>
        <v>0</v>
      </c>
      <c r="AN765" s="43">
        <f t="shared" si="4659"/>
        <v>0</v>
      </c>
      <c r="AP765" t="str">
        <f t="shared" si="4687"/>
        <v/>
      </c>
      <c r="AQ765" t="str">
        <f t="shared" si="4688"/>
        <v/>
      </c>
      <c r="AR765" t="str">
        <f t="shared" si="4689"/>
        <v/>
      </c>
      <c r="AS765" t="str">
        <f t="shared" si="4690"/>
        <v/>
      </c>
      <c r="AT765" t="str">
        <f t="shared" si="4691"/>
        <v/>
      </c>
      <c r="AU765" t="str">
        <f t="shared" si="4692"/>
        <v/>
      </c>
      <c r="AV765" t="str">
        <f t="shared" si="4693"/>
        <v/>
      </c>
      <c r="AW765" t="str">
        <f t="shared" si="4694"/>
        <v xml:space="preserve">                              </v>
      </c>
      <c r="AX765" s="23">
        <f t="shared" si="4695"/>
        <v>0</v>
      </c>
      <c r="AY765" s="49" t="str">
        <f t="shared" si="4671"/>
        <v>000000000000000</v>
      </c>
      <c r="AZ765" s="23">
        <f t="shared" si="4696"/>
        <v>0</v>
      </c>
      <c r="BA765" s="49" t="str">
        <f t="shared" si="4671"/>
        <v>000000000000000</v>
      </c>
      <c r="BB765" s="23">
        <f t="shared" si="4697"/>
        <v>0</v>
      </c>
      <c r="BC765" s="49" t="str">
        <f t="shared" ref="BC765" si="4998">IF(BB765&lt;0,SUBSTITUTE(TEXT(BB765,"000000000000,00"),",",""),SUBSTITUTE(TEXT(BB765,"0000000000000,00"),",",""))</f>
        <v>000000000000000</v>
      </c>
      <c r="BD765" s="23">
        <f t="shared" si="4699"/>
        <v>0</v>
      </c>
      <c r="BE765" s="49" t="str">
        <f t="shared" ref="BE765" si="4999">IF(BD765&lt;0,SUBSTITUTE(TEXT(BD765,"000000000000,00"),",",""),SUBSTITUTE(TEXT(BD765,"0000000000000,00"),",",""))</f>
        <v>000000000000000</v>
      </c>
      <c r="BF765" s="23">
        <f t="shared" si="4701"/>
        <v>0</v>
      </c>
      <c r="BG765" s="49" t="str">
        <f t="shared" ref="BG765" si="5000">IF(BF765&lt;0,SUBSTITUTE(TEXT(BF765,"000000000000,00"),",",""),SUBSTITUTE(TEXT(BF765,"0000000000000,00"),",",""))</f>
        <v>000000000000000</v>
      </c>
      <c r="BH765" s="23">
        <f t="shared" si="4703"/>
        <v>0</v>
      </c>
      <c r="BI765" s="49" t="str">
        <f t="shared" ref="BI765" si="5001">IF(BH765&lt;0,SUBSTITUTE(TEXT(BH765,"000000000000,00"),",",""),SUBSTITUTE(TEXT(BH765,"0000000000000,00"),",",""))</f>
        <v>000000000000000</v>
      </c>
      <c r="BJ765" s="23">
        <f t="shared" si="4705"/>
        <v>0</v>
      </c>
      <c r="BK765" s="49" t="str">
        <f t="shared" ref="BK765" si="5002">IF(BJ765&lt;0,SUBSTITUTE(TEXT(BJ765,"000000000000,00"),",",""),SUBSTITUTE(TEXT(BJ765,"0000000000000,00"),",",""))</f>
        <v>000000000000000</v>
      </c>
      <c r="BL765" s="23">
        <f t="shared" si="4707"/>
        <v>0</v>
      </c>
      <c r="BM765" s="49" t="str">
        <f t="shared" ref="BM765" si="5003">IF(BL765&lt;0,SUBSTITUTE(TEXT(BL765,"000000000000,00"),",",""),SUBSTITUTE(TEXT(BL765,"0000000000000,00"),",",""))</f>
        <v>000000000000000</v>
      </c>
      <c r="BN765" t="str">
        <f t="shared" si="4709"/>
        <v>PES</v>
      </c>
      <c r="BO765" t="str">
        <f t="shared" si="4710"/>
        <v>0001000000</v>
      </c>
      <c r="BP765">
        <f t="shared" si="4711"/>
        <v>0</v>
      </c>
      <c r="BQ765">
        <f t="shared" si="4712"/>
        <v>0</v>
      </c>
      <c r="BR765" s="23">
        <f t="shared" si="4713"/>
        <v>0</v>
      </c>
      <c r="BS765" s="49" t="str">
        <f t="shared" si="4678"/>
        <v>000000000000000</v>
      </c>
      <c r="BT765" t="str">
        <f t="shared" si="4714"/>
        <v>00000000</v>
      </c>
      <c r="BU765" s="23">
        <f t="shared" si="4715"/>
        <v>0</v>
      </c>
      <c r="BV765" s="49" t="str">
        <f t="shared" si="4679"/>
        <v/>
      </c>
      <c r="BW765" s="52" t="str">
        <f t="shared" si="4716"/>
        <v/>
      </c>
      <c r="BX765" s="23">
        <f t="shared" si="4717"/>
        <v>0</v>
      </c>
      <c r="BY765" s="49" t="str">
        <f t="shared" si="4680"/>
        <v/>
      </c>
      <c r="BZ765" s="23">
        <f t="shared" si="4718"/>
        <v>0</v>
      </c>
      <c r="CA765" s="49" t="str">
        <f t="shared" si="4681"/>
        <v/>
      </c>
      <c r="CB765" s="52" t="str">
        <f t="shared" si="4719"/>
        <v/>
      </c>
      <c r="CC765" s="23">
        <f t="shared" si="4720"/>
        <v>0</v>
      </c>
      <c r="CD765" s="49" t="str">
        <f t="shared" si="4682"/>
        <v/>
      </c>
      <c r="CE765" s="56" t="str">
        <f>IF(CF765="","",MAX(CE$10:$CE764)+1)</f>
        <v/>
      </c>
      <c r="CF765" t="str">
        <f t="shared" si="4721"/>
        <v/>
      </c>
      <c r="CG765" s="22" t="str">
        <f>IF(CH765="","",MAX($CG$10:CG764)+1)</f>
        <v/>
      </c>
      <c r="CH765" s="22" t="str">
        <f t="shared" si="4666"/>
        <v/>
      </c>
      <c r="CI765" s="22" t="str">
        <f>IF(CJ765="","",MAX($CI$10:CI764)+1)</f>
        <v/>
      </c>
      <c r="CJ765" s="22" t="str">
        <f t="shared" si="4667"/>
        <v/>
      </c>
    </row>
    <row r="766" spans="2:88" x14ac:dyDescent="0.25">
      <c r="B766" s="37"/>
      <c r="C766" s="3"/>
      <c r="D766" s="77" t="str">
        <f t="shared" si="4653"/>
        <v/>
      </c>
      <c r="E766" s="38"/>
      <c r="F766" s="38"/>
      <c r="G766" s="78">
        <f t="shared" si="4668"/>
        <v>0</v>
      </c>
      <c r="H766" s="3">
        <v>80</v>
      </c>
      <c r="I766" s="77" t="str">
        <f t="shared" si="4654"/>
        <v/>
      </c>
      <c r="J766" s="32"/>
      <c r="K766" s="3"/>
      <c r="L766" s="39"/>
      <c r="M766" s="39"/>
      <c r="N766" s="39"/>
      <c r="O766" s="39"/>
      <c r="P766" s="39"/>
      <c r="Q766" s="39"/>
      <c r="R766" s="39"/>
      <c r="S766" s="39"/>
      <c r="T766" s="3" t="s">
        <v>645</v>
      </c>
      <c r="U766" s="77" t="str">
        <f t="shared" si="4655"/>
        <v/>
      </c>
      <c r="V766" s="39">
        <v>1</v>
      </c>
      <c r="W766" s="79">
        <f t="shared" si="4669"/>
        <v>0</v>
      </c>
      <c r="X766" s="3">
        <v>0</v>
      </c>
      <c r="Y766" s="77" t="str">
        <f t="shared" si="4656"/>
        <v/>
      </c>
      <c r="Z766" s="3"/>
      <c r="AA766" s="37" t="str">
        <f t="shared" si="4670"/>
        <v/>
      </c>
      <c r="AC766" s="40"/>
      <c r="AD766" s="7"/>
      <c r="AE766" s="77" t="str">
        <f t="shared" si="4657"/>
        <v/>
      </c>
      <c r="AF766" s="81">
        <f t="shared" si="4683"/>
        <v>0</v>
      </c>
      <c r="AG766" s="40"/>
      <c r="AH766" s="7"/>
      <c r="AI766" s="77" t="str">
        <f t="shared" si="4658"/>
        <v/>
      </c>
      <c r="AJ766" s="81">
        <f t="shared" si="4684"/>
        <v>0</v>
      </c>
      <c r="AK766" s="83">
        <f t="shared" si="4685"/>
        <v>0</v>
      </c>
      <c r="AL766" s="83">
        <f t="shared" si="4686"/>
        <v>0</v>
      </c>
      <c r="AN766" s="43">
        <f t="shared" si="4659"/>
        <v>0</v>
      </c>
      <c r="AP766" t="str">
        <f t="shared" si="4687"/>
        <v/>
      </c>
      <c r="AQ766" t="str">
        <f t="shared" si="4688"/>
        <v/>
      </c>
      <c r="AR766" t="str">
        <f t="shared" si="4689"/>
        <v/>
      </c>
      <c r="AS766" t="str">
        <f t="shared" si="4690"/>
        <v/>
      </c>
      <c r="AT766" t="str">
        <f t="shared" si="4691"/>
        <v/>
      </c>
      <c r="AU766" t="str">
        <f t="shared" si="4692"/>
        <v/>
      </c>
      <c r="AV766" t="str">
        <f t="shared" si="4693"/>
        <v/>
      </c>
      <c r="AW766" t="str">
        <f t="shared" si="4694"/>
        <v xml:space="preserve">                              </v>
      </c>
      <c r="AX766" s="23">
        <f t="shared" si="4695"/>
        <v>0</v>
      </c>
      <c r="AY766" s="49" t="str">
        <f t="shared" si="4671"/>
        <v>000000000000000</v>
      </c>
      <c r="AZ766" s="23">
        <f t="shared" si="4696"/>
        <v>0</v>
      </c>
      <c r="BA766" s="49" t="str">
        <f t="shared" si="4671"/>
        <v>000000000000000</v>
      </c>
      <c r="BB766" s="23">
        <f t="shared" si="4697"/>
        <v>0</v>
      </c>
      <c r="BC766" s="49" t="str">
        <f t="shared" ref="BC766" si="5004">IF(BB766&lt;0,SUBSTITUTE(TEXT(BB766,"000000000000,00"),",",""),SUBSTITUTE(TEXT(BB766,"0000000000000,00"),",",""))</f>
        <v>000000000000000</v>
      </c>
      <c r="BD766" s="23">
        <f t="shared" si="4699"/>
        <v>0</v>
      </c>
      <c r="BE766" s="49" t="str">
        <f t="shared" ref="BE766" si="5005">IF(BD766&lt;0,SUBSTITUTE(TEXT(BD766,"000000000000,00"),",",""),SUBSTITUTE(TEXT(BD766,"0000000000000,00"),",",""))</f>
        <v>000000000000000</v>
      </c>
      <c r="BF766" s="23">
        <f t="shared" si="4701"/>
        <v>0</v>
      </c>
      <c r="BG766" s="49" t="str">
        <f t="shared" ref="BG766" si="5006">IF(BF766&lt;0,SUBSTITUTE(TEXT(BF766,"000000000000,00"),",",""),SUBSTITUTE(TEXT(BF766,"0000000000000,00"),",",""))</f>
        <v>000000000000000</v>
      </c>
      <c r="BH766" s="23">
        <f t="shared" si="4703"/>
        <v>0</v>
      </c>
      <c r="BI766" s="49" t="str">
        <f t="shared" ref="BI766" si="5007">IF(BH766&lt;0,SUBSTITUTE(TEXT(BH766,"000000000000,00"),",",""),SUBSTITUTE(TEXT(BH766,"0000000000000,00"),",",""))</f>
        <v>000000000000000</v>
      </c>
      <c r="BJ766" s="23">
        <f t="shared" si="4705"/>
        <v>0</v>
      </c>
      <c r="BK766" s="49" t="str">
        <f t="shared" ref="BK766" si="5008">IF(BJ766&lt;0,SUBSTITUTE(TEXT(BJ766,"000000000000,00"),",",""),SUBSTITUTE(TEXT(BJ766,"0000000000000,00"),",",""))</f>
        <v>000000000000000</v>
      </c>
      <c r="BL766" s="23">
        <f t="shared" si="4707"/>
        <v>0</v>
      </c>
      <c r="BM766" s="49" t="str">
        <f t="shared" ref="BM766" si="5009">IF(BL766&lt;0,SUBSTITUTE(TEXT(BL766,"000000000000,00"),",",""),SUBSTITUTE(TEXT(BL766,"0000000000000,00"),",",""))</f>
        <v>000000000000000</v>
      </c>
      <c r="BN766" t="str">
        <f t="shared" si="4709"/>
        <v>PES</v>
      </c>
      <c r="BO766" t="str">
        <f t="shared" si="4710"/>
        <v>0001000000</v>
      </c>
      <c r="BP766">
        <f t="shared" si="4711"/>
        <v>0</v>
      </c>
      <c r="BQ766">
        <f t="shared" si="4712"/>
        <v>0</v>
      </c>
      <c r="BR766" s="23">
        <f t="shared" si="4713"/>
        <v>0</v>
      </c>
      <c r="BS766" s="49" t="str">
        <f t="shared" si="4678"/>
        <v>000000000000000</v>
      </c>
      <c r="BT766" t="str">
        <f t="shared" si="4714"/>
        <v>00000000</v>
      </c>
      <c r="BU766" s="23">
        <f t="shared" si="4715"/>
        <v>0</v>
      </c>
      <c r="BV766" s="49" t="str">
        <f t="shared" si="4679"/>
        <v/>
      </c>
      <c r="BW766" s="52" t="str">
        <f t="shared" si="4716"/>
        <v/>
      </c>
      <c r="BX766" s="23">
        <f t="shared" si="4717"/>
        <v>0</v>
      </c>
      <c r="BY766" s="49" t="str">
        <f t="shared" si="4680"/>
        <v/>
      </c>
      <c r="BZ766" s="23">
        <f t="shared" si="4718"/>
        <v>0</v>
      </c>
      <c r="CA766" s="49" t="str">
        <f t="shared" si="4681"/>
        <v/>
      </c>
      <c r="CB766" s="52" t="str">
        <f t="shared" si="4719"/>
        <v/>
      </c>
      <c r="CC766" s="23">
        <f t="shared" si="4720"/>
        <v>0</v>
      </c>
      <c r="CD766" s="49" t="str">
        <f t="shared" si="4682"/>
        <v/>
      </c>
      <c r="CE766" s="56" t="str">
        <f>IF(CF766="","",MAX(CE$10:$CE765)+1)</f>
        <v/>
      </c>
      <c r="CF766" t="str">
        <f t="shared" si="4721"/>
        <v/>
      </c>
      <c r="CG766" s="22" t="str">
        <f>IF(CH766="","",MAX($CG$10:CG765)+1)</f>
        <v/>
      </c>
      <c r="CH766" s="22" t="str">
        <f t="shared" si="4666"/>
        <v/>
      </c>
      <c r="CI766" s="22" t="str">
        <f>IF(CJ766="","",MAX($CI$10:CI765)+1)</f>
        <v/>
      </c>
      <c r="CJ766" s="22" t="str">
        <f t="shared" si="4667"/>
        <v/>
      </c>
    </row>
    <row r="767" spans="2:88" x14ac:dyDescent="0.25">
      <c r="B767" s="37"/>
      <c r="C767" s="3"/>
      <c r="D767" s="77" t="str">
        <f t="shared" si="4653"/>
        <v/>
      </c>
      <c r="E767" s="38"/>
      <c r="F767" s="38"/>
      <c r="G767" s="78">
        <f t="shared" si="4668"/>
        <v>0</v>
      </c>
      <c r="H767" s="3">
        <v>80</v>
      </c>
      <c r="I767" s="77" t="str">
        <f t="shared" si="4654"/>
        <v/>
      </c>
      <c r="J767" s="32"/>
      <c r="K767" s="3"/>
      <c r="L767" s="39"/>
      <c r="M767" s="39"/>
      <c r="N767" s="39"/>
      <c r="O767" s="39"/>
      <c r="P767" s="39"/>
      <c r="Q767" s="39"/>
      <c r="R767" s="39"/>
      <c r="S767" s="39"/>
      <c r="T767" s="3" t="s">
        <v>645</v>
      </c>
      <c r="U767" s="77" t="str">
        <f t="shared" si="4655"/>
        <v/>
      </c>
      <c r="V767" s="39">
        <v>1</v>
      </c>
      <c r="W767" s="79">
        <f t="shared" si="4669"/>
        <v>0</v>
      </c>
      <c r="X767" s="3">
        <v>0</v>
      </c>
      <c r="Y767" s="77" t="str">
        <f t="shared" si="4656"/>
        <v/>
      </c>
      <c r="Z767" s="3"/>
      <c r="AA767" s="37" t="str">
        <f t="shared" si="4670"/>
        <v/>
      </c>
      <c r="AC767" s="40"/>
      <c r="AD767" s="7"/>
      <c r="AE767" s="77" t="str">
        <f t="shared" si="4657"/>
        <v/>
      </c>
      <c r="AF767" s="81">
        <f t="shared" si="4683"/>
        <v>0</v>
      </c>
      <c r="AG767" s="40"/>
      <c r="AH767" s="7"/>
      <c r="AI767" s="77" t="str">
        <f t="shared" si="4658"/>
        <v/>
      </c>
      <c r="AJ767" s="81">
        <f t="shared" si="4684"/>
        <v>0</v>
      </c>
      <c r="AK767" s="83">
        <f t="shared" si="4685"/>
        <v>0</v>
      </c>
      <c r="AL767" s="83">
        <f t="shared" si="4686"/>
        <v>0</v>
      </c>
      <c r="AN767" s="43">
        <f t="shared" si="4659"/>
        <v>0</v>
      </c>
      <c r="AP767" t="str">
        <f t="shared" si="4687"/>
        <v/>
      </c>
      <c r="AQ767" t="str">
        <f t="shared" si="4688"/>
        <v/>
      </c>
      <c r="AR767" t="str">
        <f t="shared" si="4689"/>
        <v/>
      </c>
      <c r="AS767" t="str">
        <f t="shared" si="4690"/>
        <v/>
      </c>
      <c r="AT767" t="str">
        <f t="shared" si="4691"/>
        <v/>
      </c>
      <c r="AU767" t="str">
        <f t="shared" si="4692"/>
        <v/>
      </c>
      <c r="AV767" t="str">
        <f t="shared" si="4693"/>
        <v/>
      </c>
      <c r="AW767" t="str">
        <f t="shared" si="4694"/>
        <v xml:space="preserve">                              </v>
      </c>
      <c r="AX767" s="23">
        <f t="shared" si="4695"/>
        <v>0</v>
      </c>
      <c r="AY767" s="49" t="str">
        <f t="shared" si="4671"/>
        <v>000000000000000</v>
      </c>
      <c r="AZ767" s="23">
        <f t="shared" si="4696"/>
        <v>0</v>
      </c>
      <c r="BA767" s="49" t="str">
        <f t="shared" si="4671"/>
        <v>000000000000000</v>
      </c>
      <c r="BB767" s="23">
        <f t="shared" si="4697"/>
        <v>0</v>
      </c>
      <c r="BC767" s="49" t="str">
        <f t="shared" ref="BC767" si="5010">IF(BB767&lt;0,SUBSTITUTE(TEXT(BB767,"000000000000,00"),",",""),SUBSTITUTE(TEXT(BB767,"0000000000000,00"),",",""))</f>
        <v>000000000000000</v>
      </c>
      <c r="BD767" s="23">
        <f t="shared" si="4699"/>
        <v>0</v>
      </c>
      <c r="BE767" s="49" t="str">
        <f t="shared" ref="BE767" si="5011">IF(BD767&lt;0,SUBSTITUTE(TEXT(BD767,"000000000000,00"),",",""),SUBSTITUTE(TEXT(BD767,"0000000000000,00"),",",""))</f>
        <v>000000000000000</v>
      </c>
      <c r="BF767" s="23">
        <f t="shared" si="4701"/>
        <v>0</v>
      </c>
      <c r="BG767" s="49" t="str">
        <f t="shared" ref="BG767" si="5012">IF(BF767&lt;0,SUBSTITUTE(TEXT(BF767,"000000000000,00"),",",""),SUBSTITUTE(TEXT(BF767,"0000000000000,00"),",",""))</f>
        <v>000000000000000</v>
      </c>
      <c r="BH767" s="23">
        <f t="shared" si="4703"/>
        <v>0</v>
      </c>
      <c r="BI767" s="49" t="str">
        <f t="shared" ref="BI767" si="5013">IF(BH767&lt;0,SUBSTITUTE(TEXT(BH767,"000000000000,00"),",",""),SUBSTITUTE(TEXT(BH767,"0000000000000,00"),",",""))</f>
        <v>000000000000000</v>
      </c>
      <c r="BJ767" s="23">
        <f t="shared" si="4705"/>
        <v>0</v>
      </c>
      <c r="BK767" s="49" t="str">
        <f t="shared" ref="BK767" si="5014">IF(BJ767&lt;0,SUBSTITUTE(TEXT(BJ767,"000000000000,00"),",",""),SUBSTITUTE(TEXT(BJ767,"0000000000000,00"),",",""))</f>
        <v>000000000000000</v>
      </c>
      <c r="BL767" s="23">
        <f t="shared" si="4707"/>
        <v>0</v>
      </c>
      <c r="BM767" s="49" t="str">
        <f t="shared" ref="BM767" si="5015">IF(BL767&lt;0,SUBSTITUTE(TEXT(BL767,"000000000000,00"),",",""),SUBSTITUTE(TEXT(BL767,"0000000000000,00"),",",""))</f>
        <v>000000000000000</v>
      </c>
      <c r="BN767" t="str">
        <f t="shared" si="4709"/>
        <v>PES</v>
      </c>
      <c r="BO767" t="str">
        <f t="shared" si="4710"/>
        <v>0001000000</v>
      </c>
      <c r="BP767">
        <f t="shared" si="4711"/>
        <v>0</v>
      </c>
      <c r="BQ767">
        <f t="shared" si="4712"/>
        <v>0</v>
      </c>
      <c r="BR767" s="23">
        <f t="shared" si="4713"/>
        <v>0</v>
      </c>
      <c r="BS767" s="49" t="str">
        <f t="shared" si="4678"/>
        <v>000000000000000</v>
      </c>
      <c r="BT767" t="str">
        <f t="shared" si="4714"/>
        <v>00000000</v>
      </c>
      <c r="BU767" s="23">
        <f t="shared" si="4715"/>
        <v>0</v>
      </c>
      <c r="BV767" s="49" t="str">
        <f t="shared" si="4679"/>
        <v/>
      </c>
      <c r="BW767" s="52" t="str">
        <f t="shared" si="4716"/>
        <v/>
      </c>
      <c r="BX767" s="23">
        <f t="shared" si="4717"/>
        <v>0</v>
      </c>
      <c r="BY767" s="49" t="str">
        <f t="shared" si="4680"/>
        <v/>
      </c>
      <c r="BZ767" s="23">
        <f t="shared" si="4718"/>
        <v>0</v>
      </c>
      <c r="CA767" s="49" t="str">
        <f t="shared" si="4681"/>
        <v/>
      </c>
      <c r="CB767" s="52" t="str">
        <f t="shared" si="4719"/>
        <v/>
      </c>
      <c r="CC767" s="23">
        <f t="shared" si="4720"/>
        <v>0</v>
      </c>
      <c r="CD767" s="49" t="str">
        <f t="shared" si="4682"/>
        <v/>
      </c>
      <c r="CE767" s="56" t="str">
        <f>IF(CF767="","",MAX(CE$10:$CE766)+1)</f>
        <v/>
      </c>
      <c r="CF767" t="str">
        <f t="shared" si="4721"/>
        <v/>
      </c>
      <c r="CG767" s="22" t="str">
        <f>IF(CH767="","",MAX($CG$10:CG766)+1)</f>
        <v/>
      </c>
      <c r="CH767" s="22" t="str">
        <f t="shared" si="4666"/>
        <v/>
      </c>
      <c r="CI767" s="22" t="str">
        <f>IF(CJ767="","",MAX($CI$10:CI766)+1)</f>
        <v/>
      </c>
      <c r="CJ767" s="22" t="str">
        <f t="shared" si="4667"/>
        <v/>
      </c>
    </row>
    <row r="768" spans="2:88" x14ac:dyDescent="0.25">
      <c r="B768" s="37"/>
      <c r="C768" s="3"/>
      <c r="D768" s="77" t="str">
        <f t="shared" si="4653"/>
        <v/>
      </c>
      <c r="E768" s="38"/>
      <c r="F768" s="38"/>
      <c r="G768" s="78">
        <f t="shared" si="4668"/>
        <v>0</v>
      </c>
      <c r="H768" s="3">
        <v>80</v>
      </c>
      <c r="I768" s="77" t="str">
        <f t="shared" si="4654"/>
        <v/>
      </c>
      <c r="J768" s="32"/>
      <c r="K768" s="3"/>
      <c r="L768" s="39"/>
      <c r="M768" s="39"/>
      <c r="N768" s="39"/>
      <c r="O768" s="39"/>
      <c r="P768" s="39"/>
      <c r="Q768" s="39"/>
      <c r="R768" s="39"/>
      <c r="S768" s="39"/>
      <c r="T768" s="3" t="s">
        <v>645</v>
      </c>
      <c r="U768" s="77" t="str">
        <f t="shared" si="4655"/>
        <v/>
      </c>
      <c r="V768" s="39">
        <v>1</v>
      </c>
      <c r="W768" s="79">
        <f t="shared" si="4669"/>
        <v>0</v>
      </c>
      <c r="X768" s="3">
        <v>0</v>
      </c>
      <c r="Y768" s="77" t="str">
        <f t="shared" si="4656"/>
        <v/>
      </c>
      <c r="Z768" s="3"/>
      <c r="AA768" s="37" t="str">
        <f t="shared" si="4670"/>
        <v/>
      </c>
      <c r="AC768" s="40"/>
      <c r="AD768" s="7"/>
      <c r="AE768" s="77" t="str">
        <f t="shared" si="4657"/>
        <v/>
      </c>
      <c r="AF768" s="81">
        <f t="shared" si="4683"/>
        <v>0</v>
      </c>
      <c r="AG768" s="40"/>
      <c r="AH768" s="7"/>
      <c r="AI768" s="77" t="str">
        <f t="shared" si="4658"/>
        <v/>
      </c>
      <c r="AJ768" s="81">
        <f t="shared" si="4684"/>
        <v>0</v>
      </c>
      <c r="AK768" s="83">
        <f t="shared" si="4685"/>
        <v>0</v>
      </c>
      <c r="AL768" s="83">
        <f t="shared" si="4686"/>
        <v>0</v>
      </c>
      <c r="AN768" s="43">
        <f t="shared" si="4659"/>
        <v>0</v>
      </c>
      <c r="AP768" t="str">
        <f t="shared" si="4687"/>
        <v/>
      </c>
      <c r="AQ768" t="str">
        <f t="shared" si="4688"/>
        <v/>
      </c>
      <c r="AR768" t="str">
        <f t="shared" si="4689"/>
        <v/>
      </c>
      <c r="AS768" t="str">
        <f t="shared" si="4690"/>
        <v/>
      </c>
      <c r="AT768" t="str">
        <f t="shared" si="4691"/>
        <v/>
      </c>
      <c r="AU768" t="str">
        <f t="shared" si="4692"/>
        <v/>
      </c>
      <c r="AV768" t="str">
        <f t="shared" si="4693"/>
        <v/>
      </c>
      <c r="AW768" t="str">
        <f t="shared" si="4694"/>
        <v xml:space="preserve">                              </v>
      </c>
      <c r="AX768" s="23">
        <f t="shared" si="4695"/>
        <v>0</v>
      </c>
      <c r="AY768" s="49" t="str">
        <f t="shared" si="4671"/>
        <v>000000000000000</v>
      </c>
      <c r="AZ768" s="23">
        <f t="shared" si="4696"/>
        <v>0</v>
      </c>
      <c r="BA768" s="49" t="str">
        <f t="shared" si="4671"/>
        <v>000000000000000</v>
      </c>
      <c r="BB768" s="23">
        <f t="shared" si="4697"/>
        <v>0</v>
      </c>
      <c r="BC768" s="49" t="str">
        <f t="shared" ref="BC768" si="5016">IF(BB768&lt;0,SUBSTITUTE(TEXT(BB768,"000000000000,00"),",",""),SUBSTITUTE(TEXT(BB768,"0000000000000,00"),",",""))</f>
        <v>000000000000000</v>
      </c>
      <c r="BD768" s="23">
        <f t="shared" si="4699"/>
        <v>0</v>
      </c>
      <c r="BE768" s="49" t="str">
        <f t="shared" ref="BE768" si="5017">IF(BD768&lt;0,SUBSTITUTE(TEXT(BD768,"000000000000,00"),",",""),SUBSTITUTE(TEXT(BD768,"0000000000000,00"),",",""))</f>
        <v>000000000000000</v>
      </c>
      <c r="BF768" s="23">
        <f t="shared" si="4701"/>
        <v>0</v>
      </c>
      <c r="BG768" s="49" t="str">
        <f t="shared" ref="BG768" si="5018">IF(BF768&lt;0,SUBSTITUTE(TEXT(BF768,"000000000000,00"),",",""),SUBSTITUTE(TEXT(BF768,"0000000000000,00"),",",""))</f>
        <v>000000000000000</v>
      </c>
      <c r="BH768" s="23">
        <f t="shared" si="4703"/>
        <v>0</v>
      </c>
      <c r="BI768" s="49" t="str">
        <f t="shared" ref="BI768" si="5019">IF(BH768&lt;0,SUBSTITUTE(TEXT(BH768,"000000000000,00"),",",""),SUBSTITUTE(TEXT(BH768,"0000000000000,00"),",",""))</f>
        <v>000000000000000</v>
      </c>
      <c r="BJ768" s="23">
        <f t="shared" si="4705"/>
        <v>0</v>
      </c>
      <c r="BK768" s="49" t="str">
        <f t="shared" ref="BK768" si="5020">IF(BJ768&lt;0,SUBSTITUTE(TEXT(BJ768,"000000000000,00"),",",""),SUBSTITUTE(TEXT(BJ768,"0000000000000,00"),",",""))</f>
        <v>000000000000000</v>
      </c>
      <c r="BL768" s="23">
        <f t="shared" si="4707"/>
        <v>0</v>
      </c>
      <c r="BM768" s="49" t="str">
        <f t="shared" ref="BM768" si="5021">IF(BL768&lt;0,SUBSTITUTE(TEXT(BL768,"000000000000,00"),",",""),SUBSTITUTE(TEXT(BL768,"0000000000000,00"),",",""))</f>
        <v>000000000000000</v>
      </c>
      <c r="BN768" t="str">
        <f t="shared" si="4709"/>
        <v>PES</v>
      </c>
      <c r="BO768" t="str">
        <f t="shared" si="4710"/>
        <v>0001000000</v>
      </c>
      <c r="BP768">
        <f t="shared" si="4711"/>
        <v>0</v>
      </c>
      <c r="BQ768">
        <f t="shared" si="4712"/>
        <v>0</v>
      </c>
      <c r="BR768" s="23">
        <f t="shared" si="4713"/>
        <v>0</v>
      </c>
      <c r="BS768" s="49" t="str">
        <f t="shared" si="4678"/>
        <v>000000000000000</v>
      </c>
      <c r="BT768" t="str">
        <f t="shared" si="4714"/>
        <v>00000000</v>
      </c>
      <c r="BU768" s="23">
        <f t="shared" si="4715"/>
        <v>0</v>
      </c>
      <c r="BV768" s="49" t="str">
        <f t="shared" si="4679"/>
        <v/>
      </c>
      <c r="BW768" s="52" t="str">
        <f t="shared" si="4716"/>
        <v/>
      </c>
      <c r="BX768" s="23">
        <f t="shared" si="4717"/>
        <v>0</v>
      </c>
      <c r="BY768" s="49" t="str">
        <f t="shared" si="4680"/>
        <v/>
      </c>
      <c r="BZ768" s="23">
        <f t="shared" si="4718"/>
        <v>0</v>
      </c>
      <c r="CA768" s="49" t="str">
        <f t="shared" si="4681"/>
        <v/>
      </c>
      <c r="CB768" s="52" t="str">
        <f t="shared" si="4719"/>
        <v/>
      </c>
      <c r="CC768" s="23">
        <f t="shared" si="4720"/>
        <v>0</v>
      </c>
      <c r="CD768" s="49" t="str">
        <f t="shared" si="4682"/>
        <v/>
      </c>
      <c r="CE768" s="56" t="str">
        <f>IF(CF768="","",MAX(CE$10:$CE767)+1)</f>
        <v/>
      </c>
      <c r="CF768" t="str">
        <f t="shared" si="4721"/>
        <v/>
      </c>
      <c r="CG768" s="22" t="str">
        <f>IF(CH768="","",MAX($CG$10:CG767)+1)</f>
        <v/>
      </c>
      <c r="CH768" s="22" t="str">
        <f t="shared" si="4666"/>
        <v/>
      </c>
      <c r="CI768" s="22" t="str">
        <f>IF(CJ768="","",MAX($CI$10:CI767)+1)</f>
        <v/>
      </c>
      <c r="CJ768" s="22" t="str">
        <f t="shared" si="4667"/>
        <v/>
      </c>
    </row>
    <row r="769" spans="2:88" x14ac:dyDescent="0.25">
      <c r="B769" s="37"/>
      <c r="C769" s="3"/>
      <c r="D769" s="77" t="str">
        <f t="shared" si="4653"/>
        <v/>
      </c>
      <c r="E769" s="38"/>
      <c r="F769" s="38"/>
      <c r="G769" s="78">
        <f t="shared" si="4668"/>
        <v>0</v>
      </c>
      <c r="H769" s="3">
        <v>80</v>
      </c>
      <c r="I769" s="77" t="str">
        <f t="shared" si="4654"/>
        <v/>
      </c>
      <c r="J769" s="32"/>
      <c r="K769" s="3"/>
      <c r="L769" s="39"/>
      <c r="M769" s="39"/>
      <c r="N769" s="39"/>
      <c r="O769" s="39"/>
      <c r="P769" s="39"/>
      <c r="Q769" s="39"/>
      <c r="R769" s="39"/>
      <c r="S769" s="39"/>
      <c r="T769" s="3" t="s">
        <v>645</v>
      </c>
      <c r="U769" s="77" t="str">
        <f t="shared" si="4655"/>
        <v/>
      </c>
      <c r="V769" s="39">
        <v>1</v>
      </c>
      <c r="W769" s="79">
        <f t="shared" si="4669"/>
        <v>0</v>
      </c>
      <c r="X769" s="3">
        <v>0</v>
      </c>
      <c r="Y769" s="77" t="str">
        <f t="shared" si="4656"/>
        <v/>
      </c>
      <c r="Z769" s="3"/>
      <c r="AA769" s="37" t="str">
        <f t="shared" si="4670"/>
        <v/>
      </c>
      <c r="AC769" s="40"/>
      <c r="AD769" s="7"/>
      <c r="AE769" s="77" t="str">
        <f t="shared" si="4657"/>
        <v/>
      </c>
      <c r="AF769" s="81">
        <f t="shared" si="4683"/>
        <v>0</v>
      </c>
      <c r="AG769" s="40"/>
      <c r="AH769" s="7"/>
      <c r="AI769" s="77" t="str">
        <f t="shared" si="4658"/>
        <v/>
      </c>
      <c r="AJ769" s="81">
        <f t="shared" si="4684"/>
        <v>0</v>
      </c>
      <c r="AK769" s="83">
        <f t="shared" si="4685"/>
        <v>0</v>
      </c>
      <c r="AL769" s="83">
        <f t="shared" si="4686"/>
        <v>0</v>
      </c>
      <c r="AN769" s="43">
        <f t="shared" si="4659"/>
        <v>0</v>
      </c>
      <c r="AP769" t="str">
        <f t="shared" si="4687"/>
        <v/>
      </c>
      <c r="AQ769" t="str">
        <f t="shared" si="4688"/>
        <v/>
      </c>
      <c r="AR769" t="str">
        <f t="shared" si="4689"/>
        <v/>
      </c>
      <c r="AS769" t="str">
        <f t="shared" si="4690"/>
        <v/>
      </c>
      <c r="AT769" t="str">
        <f t="shared" si="4691"/>
        <v/>
      </c>
      <c r="AU769" t="str">
        <f t="shared" si="4692"/>
        <v/>
      </c>
      <c r="AV769" t="str">
        <f t="shared" si="4693"/>
        <v/>
      </c>
      <c r="AW769" t="str">
        <f t="shared" si="4694"/>
        <v xml:space="preserve">                              </v>
      </c>
      <c r="AX769" s="23">
        <f t="shared" si="4695"/>
        <v>0</v>
      </c>
      <c r="AY769" s="49" t="str">
        <f t="shared" si="4671"/>
        <v>000000000000000</v>
      </c>
      <c r="AZ769" s="23">
        <f t="shared" si="4696"/>
        <v>0</v>
      </c>
      <c r="BA769" s="49" t="str">
        <f t="shared" si="4671"/>
        <v>000000000000000</v>
      </c>
      <c r="BB769" s="23">
        <f t="shared" si="4697"/>
        <v>0</v>
      </c>
      <c r="BC769" s="49" t="str">
        <f t="shared" ref="BC769" si="5022">IF(BB769&lt;0,SUBSTITUTE(TEXT(BB769,"000000000000,00"),",",""),SUBSTITUTE(TEXT(BB769,"0000000000000,00"),",",""))</f>
        <v>000000000000000</v>
      </c>
      <c r="BD769" s="23">
        <f t="shared" si="4699"/>
        <v>0</v>
      </c>
      <c r="BE769" s="49" t="str">
        <f t="shared" ref="BE769" si="5023">IF(BD769&lt;0,SUBSTITUTE(TEXT(BD769,"000000000000,00"),",",""),SUBSTITUTE(TEXT(BD769,"0000000000000,00"),",",""))</f>
        <v>000000000000000</v>
      </c>
      <c r="BF769" s="23">
        <f t="shared" si="4701"/>
        <v>0</v>
      </c>
      <c r="BG769" s="49" t="str">
        <f t="shared" ref="BG769" si="5024">IF(BF769&lt;0,SUBSTITUTE(TEXT(BF769,"000000000000,00"),",",""),SUBSTITUTE(TEXT(BF769,"0000000000000,00"),",",""))</f>
        <v>000000000000000</v>
      </c>
      <c r="BH769" s="23">
        <f t="shared" si="4703"/>
        <v>0</v>
      </c>
      <c r="BI769" s="49" t="str">
        <f t="shared" ref="BI769" si="5025">IF(BH769&lt;0,SUBSTITUTE(TEXT(BH769,"000000000000,00"),",",""),SUBSTITUTE(TEXT(BH769,"0000000000000,00"),",",""))</f>
        <v>000000000000000</v>
      </c>
      <c r="BJ769" s="23">
        <f t="shared" si="4705"/>
        <v>0</v>
      </c>
      <c r="BK769" s="49" t="str">
        <f t="shared" ref="BK769" si="5026">IF(BJ769&lt;0,SUBSTITUTE(TEXT(BJ769,"000000000000,00"),",",""),SUBSTITUTE(TEXT(BJ769,"0000000000000,00"),",",""))</f>
        <v>000000000000000</v>
      </c>
      <c r="BL769" s="23">
        <f t="shared" si="4707"/>
        <v>0</v>
      </c>
      <c r="BM769" s="49" t="str">
        <f t="shared" ref="BM769" si="5027">IF(BL769&lt;0,SUBSTITUTE(TEXT(BL769,"000000000000,00"),",",""),SUBSTITUTE(TEXT(BL769,"0000000000000,00"),",",""))</f>
        <v>000000000000000</v>
      </c>
      <c r="BN769" t="str">
        <f t="shared" si="4709"/>
        <v>PES</v>
      </c>
      <c r="BO769" t="str">
        <f t="shared" si="4710"/>
        <v>0001000000</v>
      </c>
      <c r="BP769">
        <f t="shared" si="4711"/>
        <v>0</v>
      </c>
      <c r="BQ769">
        <f t="shared" si="4712"/>
        <v>0</v>
      </c>
      <c r="BR769" s="23">
        <f t="shared" si="4713"/>
        <v>0</v>
      </c>
      <c r="BS769" s="49" t="str">
        <f t="shared" si="4678"/>
        <v>000000000000000</v>
      </c>
      <c r="BT769" t="str">
        <f t="shared" si="4714"/>
        <v>00000000</v>
      </c>
      <c r="BU769" s="23">
        <f t="shared" si="4715"/>
        <v>0</v>
      </c>
      <c r="BV769" s="49" t="str">
        <f t="shared" si="4679"/>
        <v/>
      </c>
      <c r="BW769" s="52" t="str">
        <f t="shared" si="4716"/>
        <v/>
      </c>
      <c r="BX769" s="23">
        <f t="shared" si="4717"/>
        <v>0</v>
      </c>
      <c r="BY769" s="49" t="str">
        <f t="shared" si="4680"/>
        <v/>
      </c>
      <c r="BZ769" s="23">
        <f t="shared" si="4718"/>
        <v>0</v>
      </c>
      <c r="CA769" s="49" t="str">
        <f t="shared" si="4681"/>
        <v/>
      </c>
      <c r="CB769" s="52" t="str">
        <f t="shared" si="4719"/>
        <v/>
      </c>
      <c r="CC769" s="23">
        <f t="shared" si="4720"/>
        <v>0</v>
      </c>
      <c r="CD769" s="49" t="str">
        <f t="shared" si="4682"/>
        <v/>
      </c>
      <c r="CE769" s="56" t="str">
        <f>IF(CF769="","",MAX(CE$10:$CE768)+1)</f>
        <v/>
      </c>
      <c r="CF769" t="str">
        <f t="shared" si="4721"/>
        <v/>
      </c>
      <c r="CG769" s="22" t="str">
        <f>IF(CH769="","",MAX($CG$10:CG768)+1)</f>
        <v/>
      </c>
      <c r="CH769" s="22" t="str">
        <f t="shared" si="4666"/>
        <v/>
      </c>
      <c r="CI769" s="22" t="str">
        <f>IF(CJ769="","",MAX($CI$10:CI768)+1)</f>
        <v/>
      </c>
      <c r="CJ769" s="22" t="str">
        <f t="shared" si="4667"/>
        <v/>
      </c>
    </row>
    <row r="770" spans="2:88" x14ac:dyDescent="0.25">
      <c r="B770" s="37"/>
      <c r="C770" s="3"/>
      <c r="D770" s="77" t="str">
        <f t="shared" si="4653"/>
        <v/>
      </c>
      <c r="E770" s="38"/>
      <c r="F770" s="38"/>
      <c r="G770" s="78">
        <f t="shared" si="4668"/>
        <v>0</v>
      </c>
      <c r="H770" s="3">
        <v>80</v>
      </c>
      <c r="I770" s="77" t="str">
        <f t="shared" si="4654"/>
        <v/>
      </c>
      <c r="J770" s="32"/>
      <c r="K770" s="3"/>
      <c r="L770" s="39"/>
      <c r="M770" s="39"/>
      <c r="N770" s="39"/>
      <c r="O770" s="39"/>
      <c r="P770" s="39"/>
      <c r="Q770" s="39"/>
      <c r="R770" s="39"/>
      <c r="S770" s="39"/>
      <c r="T770" s="3" t="s">
        <v>645</v>
      </c>
      <c r="U770" s="77" t="str">
        <f t="shared" si="4655"/>
        <v/>
      </c>
      <c r="V770" s="39">
        <v>1</v>
      </c>
      <c r="W770" s="79">
        <f t="shared" si="4669"/>
        <v>0</v>
      </c>
      <c r="X770" s="3">
        <v>0</v>
      </c>
      <c r="Y770" s="77" t="str">
        <f t="shared" si="4656"/>
        <v/>
      </c>
      <c r="Z770" s="3"/>
      <c r="AA770" s="37" t="str">
        <f t="shared" si="4670"/>
        <v/>
      </c>
      <c r="AC770" s="40"/>
      <c r="AD770" s="7"/>
      <c r="AE770" s="77" t="str">
        <f t="shared" si="4657"/>
        <v/>
      </c>
      <c r="AF770" s="81">
        <f t="shared" si="4683"/>
        <v>0</v>
      </c>
      <c r="AG770" s="40"/>
      <c r="AH770" s="7"/>
      <c r="AI770" s="77" t="str">
        <f t="shared" si="4658"/>
        <v/>
      </c>
      <c r="AJ770" s="81">
        <f t="shared" si="4684"/>
        <v>0</v>
      </c>
      <c r="AK770" s="83">
        <f t="shared" si="4685"/>
        <v>0</v>
      </c>
      <c r="AL770" s="83">
        <f t="shared" si="4686"/>
        <v>0</v>
      </c>
      <c r="AN770" s="43">
        <f t="shared" si="4659"/>
        <v>0</v>
      </c>
      <c r="AP770" t="str">
        <f t="shared" si="4687"/>
        <v/>
      </c>
      <c r="AQ770" t="str">
        <f t="shared" si="4688"/>
        <v/>
      </c>
      <c r="AR770" t="str">
        <f t="shared" si="4689"/>
        <v/>
      </c>
      <c r="AS770" t="str">
        <f t="shared" si="4690"/>
        <v/>
      </c>
      <c r="AT770" t="str">
        <f t="shared" si="4691"/>
        <v/>
      </c>
      <c r="AU770" t="str">
        <f t="shared" si="4692"/>
        <v/>
      </c>
      <c r="AV770" t="str">
        <f t="shared" si="4693"/>
        <v/>
      </c>
      <c r="AW770" t="str">
        <f t="shared" si="4694"/>
        <v xml:space="preserve">                              </v>
      </c>
      <c r="AX770" s="23">
        <f t="shared" si="4695"/>
        <v>0</v>
      </c>
      <c r="AY770" s="49" t="str">
        <f t="shared" si="4671"/>
        <v>000000000000000</v>
      </c>
      <c r="AZ770" s="23">
        <f t="shared" si="4696"/>
        <v>0</v>
      </c>
      <c r="BA770" s="49" t="str">
        <f t="shared" si="4671"/>
        <v>000000000000000</v>
      </c>
      <c r="BB770" s="23">
        <f t="shared" si="4697"/>
        <v>0</v>
      </c>
      <c r="BC770" s="49" t="str">
        <f t="shared" ref="BC770" si="5028">IF(BB770&lt;0,SUBSTITUTE(TEXT(BB770,"000000000000,00"),",",""),SUBSTITUTE(TEXT(BB770,"0000000000000,00"),",",""))</f>
        <v>000000000000000</v>
      </c>
      <c r="BD770" s="23">
        <f t="shared" si="4699"/>
        <v>0</v>
      </c>
      <c r="BE770" s="49" t="str">
        <f t="shared" ref="BE770" si="5029">IF(BD770&lt;0,SUBSTITUTE(TEXT(BD770,"000000000000,00"),",",""),SUBSTITUTE(TEXT(BD770,"0000000000000,00"),",",""))</f>
        <v>000000000000000</v>
      </c>
      <c r="BF770" s="23">
        <f t="shared" si="4701"/>
        <v>0</v>
      </c>
      <c r="BG770" s="49" t="str">
        <f t="shared" ref="BG770" si="5030">IF(BF770&lt;0,SUBSTITUTE(TEXT(BF770,"000000000000,00"),",",""),SUBSTITUTE(TEXT(BF770,"0000000000000,00"),",",""))</f>
        <v>000000000000000</v>
      </c>
      <c r="BH770" s="23">
        <f t="shared" si="4703"/>
        <v>0</v>
      </c>
      <c r="BI770" s="49" t="str">
        <f t="shared" ref="BI770" si="5031">IF(BH770&lt;0,SUBSTITUTE(TEXT(BH770,"000000000000,00"),",",""),SUBSTITUTE(TEXT(BH770,"0000000000000,00"),",",""))</f>
        <v>000000000000000</v>
      </c>
      <c r="BJ770" s="23">
        <f t="shared" si="4705"/>
        <v>0</v>
      </c>
      <c r="BK770" s="49" t="str">
        <f t="shared" ref="BK770" si="5032">IF(BJ770&lt;0,SUBSTITUTE(TEXT(BJ770,"000000000000,00"),",",""),SUBSTITUTE(TEXT(BJ770,"0000000000000,00"),",",""))</f>
        <v>000000000000000</v>
      </c>
      <c r="BL770" s="23">
        <f t="shared" si="4707"/>
        <v>0</v>
      </c>
      <c r="BM770" s="49" t="str">
        <f t="shared" ref="BM770" si="5033">IF(BL770&lt;0,SUBSTITUTE(TEXT(BL770,"000000000000,00"),",",""),SUBSTITUTE(TEXT(BL770,"0000000000000,00"),",",""))</f>
        <v>000000000000000</v>
      </c>
      <c r="BN770" t="str">
        <f t="shared" si="4709"/>
        <v>PES</v>
      </c>
      <c r="BO770" t="str">
        <f t="shared" si="4710"/>
        <v>0001000000</v>
      </c>
      <c r="BP770">
        <f t="shared" si="4711"/>
        <v>0</v>
      </c>
      <c r="BQ770">
        <f t="shared" si="4712"/>
        <v>0</v>
      </c>
      <c r="BR770" s="23">
        <f t="shared" si="4713"/>
        <v>0</v>
      </c>
      <c r="BS770" s="49" t="str">
        <f t="shared" si="4678"/>
        <v>000000000000000</v>
      </c>
      <c r="BT770" t="str">
        <f t="shared" si="4714"/>
        <v>00000000</v>
      </c>
      <c r="BU770" s="23">
        <f t="shared" si="4715"/>
        <v>0</v>
      </c>
      <c r="BV770" s="49" t="str">
        <f t="shared" si="4679"/>
        <v/>
      </c>
      <c r="BW770" s="52" t="str">
        <f t="shared" si="4716"/>
        <v/>
      </c>
      <c r="BX770" s="23">
        <f t="shared" si="4717"/>
        <v>0</v>
      </c>
      <c r="BY770" s="49" t="str">
        <f t="shared" si="4680"/>
        <v/>
      </c>
      <c r="BZ770" s="23">
        <f t="shared" si="4718"/>
        <v>0</v>
      </c>
      <c r="CA770" s="49" t="str">
        <f t="shared" si="4681"/>
        <v/>
      </c>
      <c r="CB770" s="52" t="str">
        <f t="shared" si="4719"/>
        <v/>
      </c>
      <c r="CC770" s="23">
        <f t="shared" si="4720"/>
        <v>0</v>
      </c>
      <c r="CD770" s="49" t="str">
        <f t="shared" si="4682"/>
        <v/>
      </c>
      <c r="CE770" s="56" t="str">
        <f>IF(CF770="","",MAX(CE$10:$CE769)+1)</f>
        <v/>
      </c>
      <c r="CF770" t="str">
        <f t="shared" si="4721"/>
        <v/>
      </c>
      <c r="CG770" s="22" t="str">
        <f>IF(CH770="","",MAX($CG$10:CG769)+1)</f>
        <v/>
      </c>
      <c r="CH770" s="22" t="str">
        <f t="shared" si="4666"/>
        <v/>
      </c>
      <c r="CI770" s="22" t="str">
        <f>IF(CJ770="","",MAX($CI$10:CI769)+1)</f>
        <v/>
      </c>
      <c r="CJ770" s="22" t="str">
        <f t="shared" si="4667"/>
        <v/>
      </c>
    </row>
    <row r="771" spans="2:88" x14ac:dyDescent="0.25">
      <c r="B771" s="37"/>
      <c r="C771" s="3"/>
      <c r="D771" s="77" t="str">
        <f t="shared" si="4653"/>
        <v/>
      </c>
      <c r="E771" s="38"/>
      <c r="F771" s="38"/>
      <c r="G771" s="78">
        <f t="shared" si="4668"/>
        <v>0</v>
      </c>
      <c r="H771" s="3">
        <v>80</v>
      </c>
      <c r="I771" s="77" t="str">
        <f t="shared" si="4654"/>
        <v/>
      </c>
      <c r="J771" s="32"/>
      <c r="K771" s="3"/>
      <c r="L771" s="39"/>
      <c r="M771" s="39"/>
      <c r="N771" s="39"/>
      <c r="O771" s="39"/>
      <c r="P771" s="39"/>
      <c r="Q771" s="39"/>
      <c r="R771" s="39"/>
      <c r="S771" s="39"/>
      <c r="T771" s="3" t="s">
        <v>645</v>
      </c>
      <c r="U771" s="77" t="str">
        <f t="shared" si="4655"/>
        <v/>
      </c>
      <c r="V771" s="39">
        <v>1</v>
      </c>
      <c r="W771" s="79">
        <f t="shared" si="4669"/>
        <v>0</v>
      </c>
      <c r="X771" s="3">
        <v>0</v>
      </c>
      <c r="Y771" s="77" t="str">
        <f t="shared" si="4656"/>
        <v/>
      </c>
      <c r="Z771" s="3"/>
      <c r="AA771" s="37" t="str">
        <f t="shared" si="4670"/>
        <v/>
      </c>
      <c r="AC771" s="40"/>
      <c r="AD771" s="7"/>
      <c r="AE771" s="77" t="str">
        <f t="shared" si="4657"/>
        <v/>
      </c>
      <c r="AF771" s="81">
        <f t="shared" si="4683"/>
        <v>0</v>
      </c>
      <c r="AG771" s="40"/>
      <c r="AH771" s="7"/>
      <c r="AI771" s="77" t="str">
        <f t="shared" si="4658"/>
        <v/>
      </c>
      <c r="AJ771" s="81">
        <f t="shared" si="4684"/>
        <v>0</v>
      </c>
      <c r="AK771" s="83">
        <f t="shared" si="4685"/>
        <v>0</v>
      </c>
      <c r="AL771" s="83">
        <f t="shared" si="4686"/>
        <v>0</v>
      </c>
      <c r="AN771" s="43">
        <f t="shared" si="4659"/>
        <v>0</v>
      </c>
      <c r="AP771" t="str">
        <f t="shared" si="4687"/>
        <v/>
      </c>
      <c r="AQ771" t="str">
        <f t="shared" si="4688"/>
        <v/>
      </c>
      <c r="AR771" t="str">
        <f t="shared" si="4689"/>
        <v/>
      </c>
      <c r="AS771" t="str">
        <f t="shared" si="4690"/>
        <v/>
      </c>
      <c r="AT771" t="str">
        <f t="shared" si="4691"/>
        <v/>
      </c>
      <c r="AU771" t="str">
        <f t="shared" si="4692"/>
        <v/>
      </c>
      <c r="AV771" t="str">
        <f t="shared" si="4693"/>
        <v/>
      </c>
      <c r="AW771" t="str">
        <f t="shared" si="4694"/>
        <v xml:space="preserve">                              </v>
      </c>
      <c r="AX771" s="23">
        <f t="shared" si="4695"/>
        <v>0</v>
      </c>
      <c r="AY771" s="49" t="str">
        <f t="shared" si="4671"/>
        <v>000000000000000</v>
      </c>
      <c r="AZ771" s="23">
        <f t="shared" si="4696"/>
        <v>0</v>
      </c>
      <c r="BA771" s="49" t="str">
        <f t="shared" si="4671"/>
        <v>000000000000000</v>
      </c>
      <c r="BB771" s="23">
        <f t="shared" si="4697"/>
        <v>0</v>
      </c>
      <c r="BC771" s="49" t="str">
        <f t="shared" ref="BC771" si="5034">IF(BB771&lt;0,SUBSTITUTE(TEXT(BB771,"000000000000,00"),",",""),SUBSTITUTE(TEXT(BB771,"0000000000000,00"),",",""))</f>
        <v>000000000000000</v>
      </c>
      <c r="BD771" s="23">
        <f t="shared" si="4699"/>
        <v>0</v>
      </c>
      <c r="BE771" s="49" t="str">
        <f t="shared" ref="BE771" si="5035">IF(BD771&lt;0,SUBSTITUTE(TEXT(BD771,"000000000000,00"),",",""),SUBSTITUTE(TEXT(BD771,"0000000000000,00"),",",""))</f>
        <v>000000000000000</v>
      </c>
      <c r="BF771" s="23">
        <f t="shared" si="4701"/>
        <v>0</v>
      </c>
      <c r="BG771" s="49" t="str">
        <f t="shared" ref="BG771" si="5036">IF(BF771&lt;0,SUBSTITUTE(TEXT(BF771,"000000000000,00"),",",""),SUBSTITUTE(TEXT(BF771,"0000000000000,00"),",",""))</f>
        <v>000000000000000</v>
      </c>
      <c r="BH771" s="23">
        <f t="shared" si="4703"/>
        <v>0</v>
      </c>
      <c r="BI771" s="49" t="str">
        <f t="shared" ref="BI771" si="5037">IF(BH771&lt;0,SUBSTITUTE(TEXT(BH771,"000000000000,00"),",",""),SUBSTITUTE(TEXT(BH771,"0000000000000,00"),",",""))</f>
        <v>000000000000000</v>
      </c>
      <c r="BJ771" s="23">
        <f t="shared" si="4705"/>
        <v>0</v>
      </c>
      <c r="BK771" s="49" t="str">
        <f t="shared" ref="BK771" si="5038">IF(BJ771&lt;0,SUBSTITUTE(TEXT(BJ771,"000000000000,00"),",",""),SUBSTITUTE(TEXT(BJ771,"0000000000000,00"),",",""))</f>
        <v>000000000000000</v>
      </c>
      <c r="BL771" s="23">
        <f t="shared" si="4707"/>
        <v>0</v>
      </c>
      <c r="BM771" s="49" t="str">
        <f t="shared" ref="BM771" si="5039">IF(BL771&lt;0,SUBSTITUTE(TEXT(BL771,"000000000000,00"),",",""),SUBSTITUTE(TEXT(BL771,"0000000000000,00"),",",""))</f>
        <v>000000000000000</v>
      </c>
      <c r="BN771" t="str">
        <f t="shared" si="4709"/>
        <v>PES</v>
      </c>
      <c r="BO771" t="str">
        <f t="shared" si="4710"/>
        <v>0001000000</v>
      </c>
      <c r="BP771">
        <f t="shared" si="4711"/>
        <v>0</v>
      </c>
      <c r="BQ771">
        <f t="shared" si="4712"/>
        <v>0</v>
      </c>
      <c r="BR771" s="23">
        <f t="shared" si="4713"/>
        <v>0</v>
      </c>
      <c r="BS771" s="49" t="str">
        <f t="shared" si="4678"/>
        <v>000000000000000</v>
      </c>
      <c r="BT771" t="str">
        <f t="shared" si="4714"/>
        <v>00000000</v>
      </c>
      <c r="BU771" s="23">
        <f t="shared" si="4715"/>
        <v>0</v>
      </c>
      <c r="BV771" s="49" t="str">
        <f t="shared" si="4679"/>
        <v/>
      </c>
      <c r="BW771" s="52" t="str">
        <f t="shared" si="4716"/>
        <v/>
      </c>
      <c r="BX771" s="23">
        <f t="shared" si="4717"/>
        <v>0</v>
      </c>
      <c r="BY771" s="49" t="str">
        <f t="shared" si="4680"/>
        <v/>
      </c>
      <c r="BZ771" s="23">
        <f t="shared" si="4718"/>
        <v>0</v>
      </c>
      <c r="CA771" s="49" t="str">
        <f t="shared" si="4681"/>
        <v/>
      </c>
      <c r="CB771" s="52" t="str">
        <f t="shared" si="4719"/>
        <v/>
      </c>
      <c r="CC771" s="23">
        <f t="shared" si="4720"/>
        <v>0</v>
      </c>
      <c r="CD771" s="49" t="str">
        <f t="shared" si="4682"/>
        <v/>
      </c>
      <c r="CE771" s="56" t="str">
        <f>IF(CF771="","",MAX(CE$10:$CE770)+1)</f>
        <v/>
      </c>
      <c r="CF771" t="str">
        <f t="shared" si="4721"/>
        <v/>
      </c>
      <c r="CG771" s="22" t="str">
        <f>IF(CH771="","",MAX($CG$10:CG770)+1)</f>
        <v/>
      </c>
      <c r="CH771" s="22" t="str">
        <f t="shared" si="4666"/>
        <v/>
      </c>
      <c r="CI771" s="22" t="str">
        <f>IF(CJ771="","",MAX($CI$10:CI770)+1)</f>
        <v/>
      </c>
      <c r="CJ771" s="22" t="str">
        <f t="shared" si="4667"/>
        <v/>
      </c>
    </row>
    <row r="772" spans="2:88" x14ac:dyDescent="0.25">
      <c r="B772" s="37"/>
      <c r="C772" s="3"/>
      <c r="D772" s="77" t="str">
        <f t="shared" si="4653"/>
        <v/>
      </c>
      <c r="E772" s="38"/>
      <c r="F772" s="38"/>
      <c r="G772" s="78">
        <f t="shared" si="4668"/>
        <v>0</v>
      </c>
      <c r="H772" s="3">
        <v>80</v>
      </c>
      <c r="I772" s="77" t="str">
        <f t="shared" si="4654"/>
        <v/>
      </c>
      <c r="J772" s="32"/>
      <c r="K772" s="3"/>
      <c r="L772" s="39"/>
      <c r="M772" s="39"/>
      <c r="N772" s="39"/>
      <c r="O772" s="39"/>
      <c r="P772" s="39"/>
      <c r="Q772" s="39"/>
      <c r="R772" s="39"/>
      <c r="S772" s="39"/>
      <c r="T772" s="3" t="s">
        <v>645</v>
      </c>
      <c r="U772" s="77" t="str">
        <f t="shared" si="4655"/>
        <v/>
      </c>
      <c r="V772" s="39">
        <v>1</v>
      </c>
      <c r="W772" s="79">
        <f t="shared" si="4669"/>
        <v>0</v>
      </c>
      <c r="X772" s="3">
        <v>0</v>
      </c>
      <c r="Y772" s="77" t="str">
        <f t="shared" si="4656"/>
        <v/>
      </c>
      <c r="Z772" s="3"/>
      <c r="AA772" s="37" t="str">
        <f t="shared" si="4670"/>
        <v/>
      </c>
      <c r="AC772" s="40"/>
      <c r="AD772" s="7"/>
      <c r="AE772" s="77" t="str">
        <f t="shared" si="4657"/>
        <v/>
      </c>
      <c r="AF772" s="81">
        <f t="shared" si="4683"/>
        <v>0</v>
      </c>
      <c r="AG772" s="40"/>
      <c r="AH772" s="7"/>
      <c r="AI772" s="77" t="str">
        <f t="shared" si="4658"/>
        <v/>
      </c>
      <c r="AJ772" s="81">
        <f t="shared" si="4684"/>
        <v>0</v>
      </c>
      <c r="AK772" s="83">
        <f t="shared" si="4685"/>
        <v>0</v>
      </c>
      <c r="AL772" s="83">
        <f t="shared" si="4686"/>
        <v>0</v>
      </c>
      <c r="AN772" s="43">
        <f t="shared" si="4659"/>
        <v>0</v>
      </c>
      <c r="AP772" t="str">
        <f t="shared" si="4687"/>
        <v/>
      </c>
      <c r="AQ772" t="str">
        <f t="shared" si="4688"/>
        <v/>
      </c>
      <c r="AR772" t="str">
        <f t="shared" si="4689"/>
        <v/>
      </c>
      <c r="AS772" t="str">
        <f t="shared" si="4690"/>
        <v/>
      </c>
      <c r="AT772" t="str">
        <f t="shared" si="4691"/>
        <v/>
      </c>
      <c r="AU772" t="str">
        <f t="shared" si="4692"/>
        <v/>
      </c>
      <c r="AV772" t="str">
        <f t="shared" si="4693"/>
        <v/>
      </c>
      <c r="AW772" t="str">
        <f t="shared" si="4694"/>
        <v xml:space="preserve">                              </v>
      </c>
      <c r="AX772" s="23">
        <f t="shared" si="4695"/>
        <v>0</v>
      </c>
      <c r="AY772" s="49" t="str">
        <f t="shared" si="4671"/>
        <v>000000000000000</v>
      </c>
      <c r="AZ772" s="23">
        <f t="shared" si="4696"/>
        <v>0</v>
      </c>
      <c r="BA772" s="49" t="str">
        <f t="shared" si="4671"/>
        <v>000000000000000</v>
      </c>
      <c r="BB772" s="23">
        <f t="shared" si="4697"/>
        <v>0</v>
      </c>
      <c r="BC772" s="49" t="str">
        <f t="shared" ref="BC772" si="5040">IF(BB772&lt;0,SUBSTITUTE(TEXT(BB772,"000000000000,00"),",",""),SUBSTITUTE(TEXT(BB772,"0000000000000,00"),",",""))</f>
        <v>000000000000000</v>
      </c>
      <c r="BD772" s="23">
        <f t="shared" si="4699"/>
        <v>0</v>
      </c>
      <c r="BE772" s="49" t="str">
        <f t="shared" ref="BE772" si="5041">IF(BD772&lt;0,SUBSTITUTE(TEXT(BD772,"000000000000,00"),",",""),SUBSTITUTE(TEXT(BD772,"0000000000000,00"),",",""))</f>
        <v>000000000000000</v>
      </c>
      <c r="BF772" s="23">
        <f t="shared" si="4701"/>
        <v>0</v>
      </c>
      <c r="BG772" s="49" t="str">
        <f t="shared" ref="BG772" si="5042">IF(BF772&lt;0,SUBSTITUTE(TEXT(BF772,"000000000000,00"),",",""),SUBSTITUTE(TEXT(BF772,"0000000000000,00"),",",""))</f>
        <v>000000000000000</v>
      </c>
      <c r="BH772" s="23">
        <f t="shared" si="4703"/>
        <v>0</v>
      </c>
      <c r="BI772" s="49" t="str">
        <f t="shared" ref="BI772" si="5043">IF(BH772&lt;0,SUBSTITUTE(TEXT(BH772,"000000000000,00"),",",""),SUBSTITUTE(TEXT(BH772,"0000000000000,00"),",",""))</f>
        <v>000000000000000</v>
      </c>
      <c r="BJ772" s="23">
        <f t="shared" si="4705"/>
        <v>0</v>
      </c>
      <c r="BK772" s="49" t="str">
        <f t="shared" ref="BK772" si="5044">IF(BJ772&lt;0,SUBSTITUTE(TEXT(BJ772,"000000000000,00"),",",""),SUBSTITUTE(TEXT(BJ772,"0000000000000,00"),",",""))</f>
        <v>000000000000000</v>
      </c>
      <c r="BL772" s="23">
        <f t="shared" si="4707"/>
        <v>0</v>
      </c>
      <c r="BM772" s="49" t="str">
        <f t="shared" ref="BM772" si="5045">IF(BL772&lt;0,SUBSTITUTE(TEXT(BL772,"000000000000,00"),",",""),SUBSTITUTE(TEXT(BL772,"0000000000000,00"),",",""))</f>
        <v>000000000000000</v>
      </c>
      <c r="BN772" t="str">
        <f t="shared" si="4709"/>
        <v>PES</v>
      </c>
      <c r="BO772" t="str">
        <f t="shared" si="4710"/>
        <v>0001000000</v>
      </c>
      <c r="BP772">
        <f t="shared" si="4711"/>
        <v>0</v>
      </c>
      <c r="BQ772">
        <f t="shared" si="4712"/>
        <v>0</v>
      </c>
      <c r="BR772" s="23">
        <f t="shared" si="4713"/>
        <v>0</v>
      </c>
      <c r="BS772" s="49" t="str">
        <f t="shared" si="4678"/>
        <v>000000000000000</v>
      </c>
      <c r="BT772" t="str">
        <f t="shared" si="4714"/>
        <v>00000000</v>
      </c>
      <c r="BU772" s="23">
        <f t="shared" si="4715"/>
        <v>0</v>
      </c>
      <c r="BV772" s="49" t="str">
        <f t="shared" si="4679"/>
        <v/>
      </c>
      <c r="BW772" s="52" t="str">
        <f t="shared" si="4716"/>
        <v/>
      </c>
      <c r="BX772" s="23">
        <f t="shared" si="4717"/>
        <v>0</v>
      </c>
      <c r="BY772" s="49" t="str">
        <f t="shared" si="4680"/>
        <v/>
      </c>
      <c r="BZ772" s="23">
        <f t="shared" si="4718"/>
        <v>0</v>
      </c>
      <c r="CA772" s="49" t="str">
        <f t="shared" si="4681"/>
        <v/>
      </c>
      <c r="CB772" s="52" t="str">
        <f t="shared" si="4719"/>
        <v/>
      </c>
      <c r="CC772" s="23">
        <f t="shared" si="4720"/>
        <v>0</v>
      </c>
      <c r="CD772" s="49" t="str">
        <f t="shared" si="4682"/>
        <v/>
      </c>
      <c r="CE772" s="56" t="str">
        <f>IF(CF772="","",MAX(CE$10:$CE771)+1)</f>
        <v/>
      </c>
      <c r="CF772" t="str">
        <f t="shared" si="4721"/>
        <v/>
      </c>
      <c r="CG772" s="22" t="str">
        <f>IF(CH772="","",MAX($CG$10:CG771)+1)</f>
        <v/>
      </c>
      <c r="CH772" s="22" t="str">
        <f t="shared" si="4666"/>
        <v/>
      </c>
      <c r="CI772" s="22" t="str">
        <f>IF(CJ772="","",MAX($CI$10:CI771)+1)</f>
        <v/>
      </c>
      <c r="CJ772" s="22" t="str">
        <f t="shared" si="4667"/>
        <v/>
      </c>
    </row>
    <row r="773" spans="2:88" x14ac:dyDescent="0.25">
      <c r="B773" s="37"/>
      <c r="C773" s="3"/>
      <c r="D773" s="77" t="str">
        <f t="shared" si="4653"/>
        <v/>
      </c>
      <c r="E773" s="38"/>
      <c r="F773" s="38"/>
      <c r="G773" s="78">
        <f t="shared" si="4668"/>
        <v>0</v>
      </c>
      <c r="H773" s="3">
        <v>80</v>
      </c>
      <c r="I773" s="77" t="str">
        <f t="shared" si="4654"/>
        <v/>
      </c>
      <c r="J773" s="32"/>
      <c r="K773" s="3"/>
      <c r="L773" s="39"/>
      <c r="M773" s="39"/>
      <c r="N773" s="39"/>
      <c r="O773" s="39"/>
      <c r="P773" s="39"/>
      <c r="Q773" s="39"/>
      <c r="R773" s="39"/>
      <c r="S773" s="39"/>
      <c r="T773" s="3" t="s">
        <v>645</v>
      </c>
      <c r="U773" s="77" t="str">
        <f t="shared" si="4655"/>
        <v/>
      </c>
      <c r="V773" s="39">
        <v>1</v>
      </c>
      <c r="W773" s="79">
        <f t="shared" si="4669"/>
        <v>0</v>
      </c>
      <c r="X773" s="3">
        <v>0</v>
      </c>
      <c r="Y773" s="77" t="str">
        <f t="shared" si="4656"/>
        <v/>
      </c>
      <c r="Z773" s="3"/>
      <c r="AA773" s="37" t="str">
        <f t="shared" si="4670"/>
        <v/>
      </c>
      <c r="AC773" s="40"/>
      <c r="AD773" s="7"/>
      <c r="AE773" s="77" t="str">
        <f t="shared" si="4657"/>
        <v/>
      </c>
      <c r="AF773" s="81">
        <f t="shared" si="4683"/>
        <v>0</v>
      </c>
      <c r="AG773" s="40"/>
      <c r="AH773" s="7"/>
      <c r="AI773" s="77" t="str">
        <f t="shared" si="4658"/>
        <v/>
      </c>
      <c r="AJ773" s="81">
        <f t="shared" si="4684"/>
        <v>0</v>
      </c>
      <c r="AK773" s="83">
        <f t="shared" si="4685"/>
        <v>0</v>
      </c>
      <c r="AL773" s="83">
        <f t="shared" si="4686"/>
        <v>0</v>
      </c>
      <c r="AN773" s="43">
        <f t="shared" si="4659"/>
        <v>0</v>
      </c>
      <c r="AP773" t="str">
        <f t="shared" si="4687"/>
        <v/>
      </c>
      <c r="AQ773" t="str">
        <f t="shared" si="4688"/>
        <v/>
      </c>
      <c r="AR773" t="str">
        <f t="shared" si="4689"/>
        <v/>
      </c>
      <c r="AS773" t="str">
        <f t="shared" si="4690"/>
        <v/>
      </c>
      <c r="AT773" t="str">
        <f t="shared" si="4691"/>
        <v/>
      </c>
      <c r="AU773" t="str">
        <f t="shared" si="4692"/>
        <v/>
      </c>
      <c r="AV773" t="str">
        <f t="shared" si="4693"/>
        <v/>
      </c>
      <c r="AW773" t="str">
        <f t="shared" si="4694"/>
        <v xml:space="preserve">                              </v>
      </c>
      <c r="AX773" s="23">
        <f t="shared" si="4695"/>
        <v>0</v>
      </c>
      <c r="AY773" s="49" t="str">
        <f t="shared" si="4671"/>
        <v>000000000000000</v>
      </c>
      <c r="AZ773" s="23">
        <f t="shared" si="4696"/>
        <v>0</v>
      </c>
      <c r="BA773" s="49" t="str">
        <f t="shared" si="4671"/>
        <v>000000000000000</v>
      </c>
      <c r="BB773" s="23">
        <f t="shared" si="4697"/>
        <v>0</v>
      </c>
      <c r="BC773" s="49" t="str">
        <f t="shared" ref="BC773" si="5046">IF(BB773&lt;0,SUBSTITUTE(TEXT(BB773,"000000000000,00"),",",""),SUBSTITUTE(TEXT(BB773,"0000000000000,00"),",",""))</f>
        <v>000000000000000</v>
      </c>
      <c r="BD773" s="23">
        <f t="shared" si="4699"/>
        <v>0</v>
      </c>
      <c r="BE773" s="49" t="str">
        <f t="shared" ref="BE773" si="5047">IF(BD773&lt;0,SUBSTITUTE(TEXT(BD773,"000000000000,00"),",",""),SUBSTITUTE(TEXT(BD773,"0000000000000,00"),",",""))</f>
        <v>000000000000000</v>
      </c>
      <c r="BF773" s="23">
        <f t="shared" si="4701"/>
        <v>0</v>
      </c>
      <c r="BG773" s="49" t="str">
        <f t="shared" ref="BG773" si="5048">IF(BF773&lt;0,SUBSTITUTE(TEXT(BF773,"000000000000,00"),",",""),SUBSTITUTE(TEXT(BF773,"0000000000000,00"),",",""))</f>
        <v>000000000000000</v>
      </c>
      <c r="BH773" s="23">
        <f t="shared" si="4703"/>
        <v>0</v>
      </c>
      <c r="BI773" s="49" t="str">
        <f t="shared" ref="BI773" si="5049">IF(BH773&lt;0,SUBSTITUTE(TEXT(BH773,"000000000000,00"),",",""),SUBSTITUTE(TEXT(BH773,"0000000000000,00"),",",""))</f>
        <v>000000000000000</v>
      </c>
      <c r="BJ773" s="23">
        <f t="shared" si="4705"/>
        <v>0</v>
      </c>
      <c r="BK773" s="49" t="str">
        <f t="shared" ref="BK773" si="5050">IF(BJ773&lt;0,SUBSTITUTE(TEXT(BJ773,"000000000000,00"),",",""),SUBSTITUTE(TEXT(BJ773,"0000000000000,00"),",",""))</f>
        <v>000000000000000</v>
      </c>
      <c r="BL773" s="23">
        <f t="shared" si="4707"/>
        <v>0</v>
      </c>
      <c r="BM773" s="49" t="str">
        <f t="shared" ref="BM773" si="5051">IF(BL773&lt;0,SUBSTITUTE(TEXT(BL773,"000000000000,00"),",",""),SUBSTITUTE(TEXT(BL773,"0000000000000,00"),",",""))</f>
        <v>000000000000000</v>
      </c>
      <c r="BN773" t="str">
        <f t="shared" si="4709"/>
        <v>PES</v>
      </c>
      <c r="BO773" t="str">
        <f t="shared" si="4710"/>
        <v>0001000000</v>
      </c>
      <c r="BP773">
        <f t="shared" si="4711"/>
        <v>0</v>
      </c>
      <c r="BQ773">
        <f t="shared" si="4712"/>
        <v>0</v>
      </c>
      <c r="BR773" s="23">
        <f t="shared" si="4713"/>
        <v>0</v>
      </c>
      <c r="BS773" s="49" t="str">
        <f t="shared" si="4678"/>
        <v>000000000000000</v>
      </c>
      <c r="BT773" t="str">
        <f t="shared" si="4714"/>
        <v>00000000</v>
      </c>
      <c r="BU773" s="23">
        <f t="shared" si="4715"/>
        <v>0</v>
      </c>
      <c r="BV773" s="49" t="str">
        <f t="shared" si="4679"/>
        <v/>
      </c>
      <c r="BW773" s="52" t="str">
        <f t="shared" si="4716"/>
        <v/>
      </c>
      <c r="BX773" s="23">
        <f t="shared" si="4717"/>
        <v>0</v>
      </c>
      <c r="BY773" s="49" t="str">
        <f t="shared" si="4680"/>
        <v/>
      </c>
      <c r="BZ773" s="23">
        <f t="shared" si="4718"/>
        <v>0</v>
      </c>
      <c r="CA773" s="49" t="str">
        <f t="shared" si="4681"/>
        <v/>
      </c>
      <c r="CB773" s="52" t="str">
        <f t="shared" si="4719"/>
        <v/>
      </c>
      <c r="CC773" s="23">
        <f t="shared" si="4720"/>
        <v>0</v>
      </c>
      <c r="CD773" s="49" t="str">
        <f t="shared" si="4682"/>
        <v/>
      </c>
      <c r="CE773" s="56" t="str">
        <f>IF(CF773="","",MAX(CE$10:$CE772)+1)</f>
        <v/>
      </c>
      <c r="CF773" t="str">
        <f t="shared" si="4721"/>
        <v/>
      </c>
      <c r="CG773" s="22" t="str">
        <f>IF(CH773="","",MAX($CG$10:CG772)+1)</f>
        <v/>
      </c>
      <c r="CH773" s="22" t="str">
        <f t="shared" si="4666"/>
        <v/>
      </c>
      <c r="CI773" s="22" t="str">
        <f>IF(CJ773="","",MAX($CI$10:CI772)+1)</f>
        <v/>
      </c>
      <c r="CJ773" s="22" t="str">
        <f t="shared" si="4667"/>
        <v/>
      </c>
    </row>
    <row r="774" spans="2:88" x14ac:dyDescent="0.25">
      <c r="B774" s="37"/>
      <c r="C774" s="3"/>
      <c r="D774" s="77" t="str">
        <f t="shared" si="4653"/>
        <v/>
      </c>
      <c r="E774" s="38"/>
      <c r="F774" s="38"/>
      <c r="G774" s="78">
        <f t="shared" si="4668"/>
        <v>0</v>
      </c>
      <c r="H774" s="3">
        <v>80</v>
      </c>
      <c r="I774" s="77" t="str">
        <f t="shared" si="4654"/>
        <v/>
      </c>
      <c r="J774" s="32"/>
      <c r="K774" s="3"/>
      <c r="L774" s="39"/>
      <c r="M774" s="39"/>
      <c r="N774" s="39"/>
      <c r="O774" s="39"/>
      <c r="P774" s="39"/>
      <c r="Q774" s="39"/>
      <c r="R774" s="39"/>
      <c r="S774" s="39"/>
      <c r="T774" s="3" t="s">
        <v>645</v>
      </c>
      <c r="U774" s="77" t="str">
        <f t="shared" si="4655"/>
        <v/>
      </c>
      <c r="V774" s="39">
        <v>1</v>
      </c>
      <c r="W774" s="79">
        <f t="shared" si="4669"/>
        <v>0</v>
      </c>
      <c r="X774" s="3">
        <v>0</v>
      </c>
      <c r="Y774" s="77" t="str">
        <f t="shared" si="4656"/>
        <v/>
      </c>
      <c r="Z774" s="3"/>
      <c r="AA774" s="37" t="str">
        <f t="shared" si="4670"/>
        <v/>
      </c>
      <c r="AC774" s="40"/>
      <c r="AD774" s="7"/>
      <c r="AE774" s="77" t="str">
        <f t="shared" si="4657"/>
        <v/>
      </c>
      <c r="AF774" s="81">
        <f t="shared" si="4683"/>
        <v>0</v>
      </c>
      <c r="AG774" s="40"/>
      <c r="AH774" s="7"/>
      <c r="AI774" s="77" t="str">
        <f t="shared" si="4658"/>
        <v/>
      </c>
      <c r="AJ774" s="81">
        <f t="shared" si="4684"/>
        <v>0</v>
      </c>
      <c r="AK774" s="83">
        <f t="shared" si="4685"/>
        <v>0</v>
      </c>
      <c r="AL774" s="83">
        <f t="shared" si="4686"/>
        <v>0</v>
      </c>
      <c r="AN774" s="43">
        <f t="shared" si="4659"/>
        <v>0</v>
      </c>
      <c r="AP774" t="str">
        <f t="shared" si="4687"/>
        <v/>
      </c>
      <c r="AQ774" t="str">
        <f t="shared" si="4688"/>
        <v/>
      </c>
      <c r="AR774" t="str">
        <f t="shared" si="4689"/>
        <v/>
      </c>
      <c r="AS774" t="str">
        <f t="shared" si="4690"/>
        <v/>
      </c>
      <c r="AT774" t="str">
        <f t="shared" si="4691"/>
        <v/>
      </c>
      <c r="AU774" t="str">
        <f t="shared" si="4692"/>
        <v/>
      </c>
      <c r="AV774" t="str">
        <f t="shared" si="4693"/>
        <v/>
      </c>
      <c r="AW774" t="str">
        <f t="shared" si="4694"/>
        <v xml:space="preserve">                              </v>
      </c>
      <c r="AX774" s="23">
        <f t="shared" si="4695"/>
        <v>0</v>
      </c>
      <c r="AY774" s="49" t="str">
        <f t="shared" si="4671"/>
        <v>000000000000000</v>
      </c>
      <c r="AZ774" s="23">
        <f t="shared" si="4696"/>
        <v>0</v>
      </c>
      <c r="BA774" s="49" t="str">
        <f t="shared" si="4671"/>
        <v>000000000000000</v>
      </c>
      <c r="BB774" s="23">
        <f t="shared" si="4697"/>
        <v>0</v>
      </c>
      <c r="BC774" s="49" t="str">
        <f t="shared" ref="BC774" si="5052">IF(BB774&lt;0,SUBSTITUTE(TEXT(BB774,"000000000000,00"),",",""),SUBSTITUTE(TEXT(BB774,"0000000000000,00"),",",""))</f>
        <v>000000000000000</v>
      </c>
      <c r="BD774" s="23">
        <f t="shared" si="4699"/>
        <v>0</v>
      </c>
      <c r="BE774" s="49" t="str">
        <f t="shared" ref="BE774" si="5053">IF(BD774&lt;0,SUBSTITUTE(TEXT(BD774,"000000000000,00"),",",""),SUBSTITUTE(TEXT(BD774,"0000000000000,00"),",",""))</f>
        <v>000000000000000</v>
      </c>
      <c r="BF774" s="23">
        <f t="shared" si="4701"/>
        <v>0</v>
      </c>
      <c r="BG774" s="49" t="str">
        <f t="shared" ref="BG774" si="5054">IF(BF774&lt;0,SUBSTITUTE(TEXT(BF774,"000000000000,00"),",",""),SUBSTITUTE(TEXT(BF774,"0000000000000,00"),",",""))</f>
        <v>000000000000000</v>
      </c>
      <c r="BH774" s="23">
        <f t="shared" si="4703"/>
        <v>0</v>
      </c>
      <c r="BI774" s="49" t="str">
        <f t="shared" ref="BI774" si="5055">IF(BH774&lt;0,SUBSTITUTE(TEXT(BH774,"000000000000,00"),",",""),SUBSTITUTE(TEXT(BH774,"0000000000000,00"),",",""))</f>
        <v>000000000000000</v>
      </c>
      <c r="BJ774" s="23">
        <f t="shared" si="4705"/>
        <v>0</v>
      </c>
      <c r="BK774" s="49" t="str">
        <f t="shared" ref="BK774" si="5056">IF(BJ774&lt;0,SUBSTITUTE(TEXT(BJ774,"000000000000,00"),",",""),SUBSTITUTE(TEXT(BJ774,"0000000000000,00"),",",""))</f>
        <v>000000000000000</v>
      </c>
      <c r="BL774" s="23">
        <f t="shared" si="4707"/>
        <v>0</v>
      </c>
      <c r="BM774" s="49" t="str">
        <f t="shared" ref="BM774" si="5057">IF(BL774&lt;0,SUBSTITUTE(TEXT(BL774,"000000000000,00"),",",""),SUBSTITUTE(TEXT(BL774,"0000000000000,00"),",",""))</f>
        <v>000000000000000</v>
      </c>
      <c r="BN774" t="str">
        <f t="shared" si="4709"/>
        <v>PES</v>
      </c>
      <c r="BO774" t="str">
        <f t="shared" si="4710"/>
        <v>0001000000</v>
      </c>
      <c r="BP774">
        <f t="shared" si="4711"/>
        <v>0</v>
      </c>
      <c r="BQ774">
        <f t="shared" si="4712"/>
        <v>0</v>
      </c>
      <c r="BR774" s="23">
        <f t="shared" si="4713"/>
        <v>0</v>
      </c>
      <c r="BS774" s="49" t="str">
        <f t="shared" si="4678"/>
        <v>000000000000000</v>
      </c>
      <c r="BT774" t="str">
        <f t="shared" si="4714"/>
        <v>00000000</v>
      </c>
      <c r="BU774" s="23">
        <f t="shared" si="4715"/>
        <v>0</v>
      </c>
      <c r="BV774" s="49" t="str">
        <f t="shared" si="4679"/>
        <v/>
      </c>
      <c r="BW774" s="52" t="str">
        <f t="shared" si="4716"/>
        <v/>
      </c>
      <c r="BX774" s="23">
        <f t="shared" si="4717"/>
        <v>0</v>
      </c>
      <c r="BY774" s="49" t="str">
        <f t="shared" si="4680"/>
        <v/>
      </c>
      <c r="BZ774" s="23">
        <f t="shared" si="4718"/>
        <v>0</v>
      </c>
      <c r="CA774" s="49" t="str">
        <f t="shared" si="4681"/>
        <v/>
      </c>
      <c r="CB774" s="52" t="str">
        <f t="shared" si="4719"/>
        <v/>
      </c>
      <c r="CC774" s="23">
        <f t="shared" si="4720"/>
        <v>0</v>
      </c>
      <c r="CD774" s="49" t="str">
        <f t="shared" si="4682"/>
        <v/>
      </c>
      <c r="CE774" s="56" t="str">
        <f>IF(CF774="","",MAX(CE$10:$CE773)+1)</f>
        <v/>
      </c>
      <c r="CF774" t="str">
        <f t="shared" si="4721"/>
        <v/>
      </c>
      <c r="CG774" s="22" t="str">
        <f>IF(CH774="","",MAX($CG$10:CG773)+1)</f>
        <v/>
      </c>
      <c r="CH774" s="22" t="str">
        <f t="shared" si="4666"/>
        <v/>
      </c>
      <c r="CI774" s="22" t="str">
        <f>IF(CJ774="","",MAX($CI$10:CI773)+1)</f>
        <v/>
      </c>
      <c r="CJ774" s="22" t="str">
        <f t="shared" si="4667"/>
        <v/>
      </c>
    </row>
    <row r="775" spans="2:88" x14ac:dyDescent="0.25">
      <c r="B775" s="37"/>
      <c r="C775" s="3"/>
      <c r="D775" s="77" t="str">
        <f t="shared" si="4653"/>
        <v/>
      </c>
      <c r="E775" s="38"/>
      <c r="F775" s="38"/>
      <c r="G775" s="78">
        <f t="shared" si="4668"/>
        <v>0</v>
      </c>
      <c r="H775" s="3">
        <v>80</v>
      </c>
      <c r="I775" s="77" t="str">
        <f t="shared" si="4654"/>
        <v/>
      </c>
      <c r="J775" s="32"/>
      <c r="K775" s="3"/>
      <c r="L775" s="39"/>
      <c r="M775" s="39"/>
      <c r="N775" s="39"/>
      <c r="O775" s="39"/>
      <c r="P775" s="39"/>
      <c r="Q775" s="39"/>
      <c r="R775" s="39"/>
      <c r="S775" s="39"/>
      <c r="T775" s="3" t="s">
        <v>645</v>
      </c>
      <c r="U775" s="77" t="str">
        <f t="shared" si="4655"/>
        <v/>
      </c>
      <c r="V775" s="39">
        <v>1</v>
      </c>
      <c r="W775" s="79">
        <f t="shared" si="4669"/>
        <v>0</v>
      </c>
      <c r="X775" s="3">
        <v>0</v>
      </c>
      <c r="Y775" s="77" t="str">
        <f t="shared" si="4656"/>
        <v/>
      </c>
      <c r="Z775" s="3"/>
      <c r="AA775" s="37" t="str">
        <f t="shared" si="4670"/>
        <v/>
      </c>
      <c r="AC775" s="40"/>
      <c r="AD775" s="7"/>
      <c r="AE775" s="77" t="str">
        <f t="shared" si="4657"/>
        <v/>
      </c>
      <c r="AF775" s="81">
        <f t="shared" si="4683"/>
        <v>0</v>
      </c>
      <c r="AG775" s="40"/>
      <c r="AH775" s="7"/>
      <c r="AI775" s="77" t="str">
        <f t="shared" si="4658"/>
        <v/>
      </c>
      <c r="AJ775" s="81">
        <f t="shared" si="4684"/>
        <v>0</v>
      </c>
      <c r="AK775" s="83">
        <f t="shared" si="4685"/>
        <v>0</v>
      </c>
      <c r="AL775" s="83">
        <f t="shared" si="4686"/>
        <v>0</v>
      </c>
      <c r="AN775" s="43">
        <f t="shared" si="4659"/>
        <v>0</v>
      </c>
      <c r="AP775" t="str">
        <f t="shared" si="4687"/>
        <v/>
      </c>
      <c r="AQ775" t="str">
        <f t="shared" si="4688"/>
        <v/>
      </c>
      <c r="AR775" t="str">
        <f t="shared" si="4689"/>
        <v/>
      </c>
      <c r="AS775" t="str">
        <f t="shared" si="4690"/>
        <v/>
      </c>
      <c r="AT775" t="str">
        <f t="shared" si="4691"/>
        <v/>
      </c>
      <c r="AU775" t="str">
        <f t="shared" si="4692"/>
        <v/>
      </c>
      <c r="AV775" t="str">
        <f t="shared" si="4693"/>
        <v/>
      </c>
      <c r="AW775" t="str">
        <f t="shared" si="4694"/>
        <v xml:space="preserve">                              </v>
      </c>
      <c r="AX775" s="23">
        <f t="shared" si="4695"/>
        <v>0</v>
      </c>
      <c r="AY775" s="49" t="str">
        <f t="shared" si="4671"/>
        <v>000000000000000</v>
      </c>
      <c r="AZ775" s="23">
        <f t="shared" si="4696"/>
        <v>0</v>
      </c>
      <c r="BA775" s="49" t="str">
        <f t="shared" si="4671"/>
        <v>000000000000000</v>
      </c>
      <c r="BB775" s="23">
        <f t="shared" si="4697"/>
        <v>0</v>
      </c>
      <c r="BC775" s="49" t="str">
        <f t="shared" ref="BC775" si="5058">IF(BB775&lt;0,SUBSTITUTE(TEXT(BB775,"000000000000,00"),",",""),SUBSTITUTE(TEXT(BB775,"0000000000000,00"),",",""))</f>
        <v>000000000000000</v>
      </c>
      <c r="BD775" s="23">
        <f t="shared" si="4699"/>
        <v>0</v>
      </c>
      <c r="BE775" s="49" t="str">
        <f t="shared" ref="BE775" si="5059">IF(BD775&lt;0,SUBSTITUTE(TEXT(BD775,"000000000000,00"),",",""),SUBSTITUTE(TEXT(BD775,"0000000000000,00"),",",""))</f>
        <v>000000000000000</v>
      </c>
      <c r="BF775" s="23">
        <f t="shared" si="4701"/>
        <v>0</v>
      </c>
      <c r="BG775" s="49" t="str">
        <f t="shared" ref="BG775" si="5060">IF(BF775&lt;0,SUBSTITUTE(TEXT(BF775,"000000000000,00"),",",""),SUBSTITUTE(TEXT(BF775,"0000000000000,00"),",",""))</f>
        <v>000000000000000</v>
      </c>
      <c r="BH775" s="23">
        <f t="shared" si="4703"/>
        <v>0</v>
      </c>
      <c r="BI775" s="49" t="str">
        <f t="shared" ref="BI775" si="5061">IF(BH775&lt;0,SUBSTITUTE(TEXT(BH775,"000000000000,00"),",",""),SUBSTITUTE(TEXT(BH775,"0000000000000,00"),",",""))</f>
        <v>000000000000000</v>
      </c>
      <c r="BJ775" s="23">
        <f t="shared" si="4705"/>
        <v>0</v>
      </c>
      <c r="BK775" s="49" t="str">
        <f t="shared" ref="BK775" si="5062">IF(BJ775&lt;0,SUBSTITUTE(TEXT(BJ775,"000000000000,00"),",",""),SUBSTITUTE(TEXT(BJ775,"0000000000000,00"),",",""))</f>
        <v>000000000000000</v>
      </c>
      <c r="BL775" s="23">
        <f t="shared" si="4707"/>
        <v>0</v>
      </c>
      <c r="BM775" s="49" t="str">
        <f t="shared" ref="BM775" si="5063">IF(BL775&lt;0,SUBSTITUTE(TEXT(BL775,"000000000000,00"),",",""),SUBSTITUTE(TEXT(BL775,"0000000000000,00"),",",""))</f>
        <v>000000000000000</v>
      </c>
      <c r="BN775" t="str">
        <f t="shared" si="4709"/>
        <v>PES</v>
      </c>
      <c r="BO775" t="str">
        <f t="shared" si="4710"/>
        <v>0001000000</v>
      </c>
      <c r="BP775">
        <f t="shared" si="4711"/>
        <v>0</v>
      </c>
      <c r="BQ775">
        <f t="shared" si="4712"/>
        <v>0</v>
      </c>
      <c r="BR775" s="23">
        <f t="shared" si="4713"/>
        <v>0</v>
      </c>
      <c r="BS775" s="49" t="str">
        <f t="shared" si="4678"/>
        <v>000000000000000</v>
      </c>
      <c r="BT775" t="str">
        <f t="shared" si="4714"/>
        <v>00000000</v>
      </c>
      <c r="BU775" s="23">
        <f t="shared" si="4715"/>
        <v>0</v>
      </c>
      <c r="BV775" s="49" t="str">
        <f t="shared" si="4679"/>
        <v/>
      </c>
      <c r="BW775" s="52" t="str">
        <f t="shared" si="4716"/>
        <v/>
      </c>
      <c r="BX775" s="23">
        <f t="shared" si="4717"/>
        <v>0</v>
      </c>
      <c r="BY775" s="49" t="str">
        <f t="shared" si="4680"/>
        <v/>
      </c>
      <c r="BZ775" s="23">
        <f t="shared" si="4718"/>
        <v>0</v>
      </c>
      <c r="CA775" s="49" t="str">
        <f t="shared" si="4681"/>
        <v/>
      </c>
      <c r="CB775" s="52" t="str">
        <f t="shared" si="4719"/>
        <v/>
      </c>
      <c r="CC775" s="23">
        <f t="shared" si="4720"/>
        <v>0</v>
      </c>
      <c r="CD775" s="49" t="str">
        <f t="shared" si="4682"/>
        <v/>
      </c>
      <c r="CE775" s="56" t="str">
        <f>IF(CF775="","",MAX(CE$10:$CE774)+1)</f>
        <v/>
      </c>
      <c r="CF775" t="str">
        <f t="shared" si="4721"/>
        <v/>
      </c>
      <c r="CG775" s="22" t="str">
        <f>IF(CH775="","",MAX($CG$10:CG774)+1)</f>
        <v/>
      </c>
      <c r="CH775" s="22" t="str">
        <f t="shared" si="4666"/>
        <v/>
      </c>
      <c r="CI775" s="22" t="str">
        <f>IF(CJ775="","",MAX($CI$10:CI774)+1)</f>
        <v/>
      </c>
      <c r="CJ775" s="22" t="str">
        <f t="shared" si="4667"/>
        <v/>
      </c>
    </row>
    <row r="776" spans="2:88" x14ac:dyDescent="0.25">
      <c r="B776" s="37"/>
      <c r="C776" s="3"/>
      <c r="D776" s="77" t="str">
        <f t="shared" si="4653"/>
        <v/>
      </c>
      <c r="E776" s="38"/>
      <c r="F776" s="38"/>
      <c r="G776" s="78">
        <f t="shared" si="4668"/>
        <v>0</v>
      </c>
      <c r="H776" s="3">
        <v>80</v>
      </c>
      <c r="I776" s="77" t="str">
        <f t="shared" si="4654"/>
        <v/>
      </c>
      <c r="J776" s="32"/>
      <c r="K776" s="3"/>
      <c r="L776" s="39"/>
      <c r="M776" s="39"/>
      <c r="N776" s="39"/>
      <c r="O776" s="39"/>
      <c r="P776" s="39"/>
      <c r="Q776" s="39"/>
      <c r="R776" s="39"/>
      <c r="S776" s="39"/>
      <c r="T776" s="3" t="s">
        <v>645</v>
      </c>
      <c r="U776" s="77" t="str">
        <f t="shared" si="4655"/>
        <v/>
      </c>
      <c r="V776" s="39">
        <v>1</v>
      </c>
      <c r="W776" s="79">
        <f t="shared" si="4669"/>
        <v>0</v>
      </c>
      <c r="X776" s="3">
        <v>0</v>
      </c>
      <c r="Y776" s="77" t="str">
        <f t="shared" si="4656"/>
        <v/>
      </c>
      <c r="Z776" s="3"/>
      <c r="AA776" s="37" t="str">
        <f t="shared" si="4670"/>
        <v/>
      </c>
      <c r="AC776" s="40"/>
      <c r="AD776" s="7"/>
      <c r="AE776" s="77" t="str">
        <f t="shared" si="4657"/>
        <v/>
      </c>
      <c r="AF776" s="81">
        <f t="shared" si="4683"/>
        <v>0</v>
      </c>
      <c r="AG776" s="40"/>
      <c r="AH776" s="7"/>
      <c r="AI776" s="77" t="str">
        <f t="shared" si="4658"/>
        <v/>
      </c>
      <c r="AJ776" s="81">
        <f t="shared" si="4684"/>
        <v>0</v>
      </c>
      <c r="AK776" s="83">
        <f t="shared" si="4685"/>
        <v>0</v>
      </c>
      <c r="AL776" s="83">
        <f t="shared" si="4686"/>
        <v>0</v>
      </c>
      <c r="AN776" s="43">
        <f t="shared" si="4659"/>
        <v>0</v>
      </c>
      <c r="AP776" t="str">
        <f t="shared" si="4687"/>
        <v/>
      </c>
      <c r="AQ776" t="str">
        <f t="shared" si="4688"/>
        <v/>
      </c>
      <c r="AR776" t="str">
        <f t="shared" si="4689"/>
        <v/>
      </c>
      <c r="AS776" t="str">
        <f t="shared" si="4690"/>
        <v/>
      </c>
      <c r="AT776" t="str">
        <f t="shared" si="4691"/>
        <v/>
      </c>
      <c r="AU776" t="str">
        <f t="shared" si="4692"/>
        <v/>
      </c>
      <c r="AV776" t="str">
        <f t="shared" si="4693"/>
        <v/>
      </c>
      <c r="AW776" t="str">
        <f t="shared" si="4694"/>
        <v xml:space="preserve">                              </v>
      </c>
      <c r="AX776" s="23">
        <f t="shared" si="4695"/>
        <v>0</v>
      </c>
      <c r="AY776" s="49" t="str">
        <f t="shared" si="4671"/>
        <v>000000000000000</v>
      </c>
      <c r="AZ776" s="23">
        <f t="shared" si="4696"/>
        <v>0</v>
      </c>
      <c r="BA776" s="49" t="str">
        <f t="shared" si="4671"/>
        <v>000000000000000</v>
      </c>
      <c r="BB776" s="23">
        <f t="shared" si="4697"/>
        <v>0</v>
      </c>
      <c r="BC776" s="49" t="str">
        <f t="shared" ref="BC776" si="5064">IF(BB776&lt;0,SUBSTITUTE(TEXT(BB776,"000000000000,00"),",",""),SUBSTITUTE(TEXT(BB776,"0000000000000,00"),",",""))</f>
        <v>000000000000000</v>
      </c>
      <c r="BD776" s="23">
        <f t="shared" si="4699"/>
        <v>0</v>
      </c>
      <c r="BE776" s="49" t="str">
        <f t="shared" ref="BE776" si="5065">IF(BD776&lt;0,SUBSTITUTE(TEXT(BD776,"000000000000,00"),",",""),SUBSTITUTE(TEXT(BD776,"0000000000000,00"),",",""))</f>
        <v>000000000000000</v>
      </c>
      <c r="BF776" s="23">
        <f t="shared" si="4701"/>
        <v>0</v>
      </c>
      <c r="BG776" s="49" t="str">
        <f t="shared" ref="BG776" si="5066">IF(BF776&lt;0,SUBSTITUTE(TEXT(BF776,"000000000000,00"),",",""),SUBSTITUTE(TEXT(BF776,"0000000000000,00"),",",""))</f>
        <v>000000000000000</v>
      </c>
      <c r="BH776" s="23">
        <f t="shared" si="4703"/>
        <v>0</v>
      </c>
      <c r="BI776" s="49" t="str">
        <f t="shared" ref="BI776" si="5067">IF(BH776&lt;0,SUBSTITUTE(TEXT(BH776,"000000000000,00"),",",""),SUBSTITUTE(TEXT(BH776,"0000000000000,00"),",",""))</f>
        <v>000000000000000</v>
      </c>
      <c r="BJ776" s="23">
        <f t="shared" si="4705"/>
        <v>0</v>
      </c>
      <c r="BK776" s="49" t="str">
        <f t="shared" ref="BK776" si="5068">IF(BJ776&lt;0,SUBSTITUTE(TEXT(BJ776,"000000000000,00"),",",""),SUBSTITUTE(TEXT(BJ776,"0000000000000,00"),",",""))</f>
        <v>000000000000000</v>
      </c>
      <c r="BL776" s="23">
        <f t="shared" si="4707"/>
        <v>0</v>
      </c>
      <c r="BM776" s="49" t="str">
        <f t="shared" ref="BM776" si="5069">IF(BL776&lt;0,SUBSTITUTE(TEXT(BL776,"000000000000,00"),",",""),SUBSTITUTE(TEXT(BL776,"0000000000000,00"),",",""))</f>
        <v>000000000000000</v>
      </c>
      <c r="BN776" t="str">
        <f t="shared" si="4709"/>
        <v>PES</v>
      </c>
      <c r="BO776" t="str">
        <f t="shared" si="4710"/>
        <v>0001000000</v>
      </c>
      <c r="BP776">
        <f t="shared" si="4711"/>
        <v>0</v>
      </c>
      <c r="BQ776">
        <f t="shared" si="4712"/>
        <v>0</v>
      </c>
      <c r="BR776" s="23">
        <f t="shared" si="4713"/>
        <v>0</v>
      </c>
      <c r="BS776" s="49" t="str">
        <f t="shared" si="4678"/>
        <v>000000000000000</v>
      </c>
      <c r="BT776" t="str">
        <f t="shared" si="4714"/>
        <v>00000000</v>
      </c>
      <c r="BU776" s="23">
        <f t="shared" si="4715"/>
        <v>0</v>
      </c>
      <c r="BV776" s="49" t="str">
        <f t="shared" si="4679"/>
        <v/>
      </c>
      <c r="BW776" s="52" t="str">
        <f t="shared" si="4716"/>
        <v/>
      </c>
      <c r="BX776" s="23">
        <f t="shared" si="4717"/>
        <v>0</v>
      </c>
      <c r="BY776" s="49" t="str">
        <f t="shared" si="4680"/>
        <v/>
      </c>
      <c r="BZ776" s="23">
        <f t="shared" si="4718"/>
        <v>0</v>
      </c>
      <c r="CA776" s="49" t="str">
        <f t="shared" si="4681"/>
        <v/>
      </c>
      <c r="CB776" s="52" t="str">
        <f t="shared" si="4719"/>
        <v/>
      </c>
      <c r="CC776" s="23">
        <f t="shared" si="4720"/>
        <v>0</v>
      </c>
      <c r="CD776" s="49" t="str">
        <f t="shared" si="4682"/>
        <v/>
      </c>
      <c r="CE776" s="56" t="str">
        <f>IF(CF776="","",MAX(CE$10:$CE775)+1)</f>
        <v/>
      </c>
      <c r="CF776" t="str">
        <f t="shared" si="4721"/>
        <v/>
      </c>
      <c r="CG776" s="22" t="str">
        <f>IF(CH776="","",MAX($CG$10:CG775)+1)</f>
        <v/>
      </c>
      <c r="CH776" s="22" t="str">
        <f t="shared" si="4666"/>
        <v/>
      </c>
      <c r="CI776" s="22" t="str">
        <f>IF(CJ776="","",MAX($CI$10:CI775)+1)</f>
        <v/>
      </c>
      <c r="CJ776" s="22" t="str">
        <f t="shared" si="4667"/>
        <v/>
      </c>
    </row>
    <row r="777" spans="2:88" x14ac:dyDescent="0.25">
      <c r="B777" s="37"/>
      <c r="C777" s="3"/>
      <c r="D777" s="77" t="str">
        <f t="shared" si="4653"/>
        <v/>
      </c>
      <c r="E777" s="38"/>
      <c r="F777" s="38"/>
      <c r="G777" s="78">
        <f t="shared" si="4668"/>
        <v>0</v>
      </c>
      <c r="H777" s="3">
        <v>80</v>
      </c>
      <c r="I777" s="77" t="str">
        <f t="shared" si="4654"/>
        <v/>
      </c>
      <c r="J777" s="32"/>
      <c r="K777" s="3"/>
      <c r="L777" s="39"/>
      <c r="M777" s="39"/>
      <c r="N777" s="39"/>
      <c r="O777" s="39"/>
      <c r="P777" s="39"/>
      <c r="Q777" s="39"/>
      <c r="R777" s="39"/>
      <c r="S777" s="39"/>
      <c r="T777" s="3" t="s">
        <v>645</v>
      </c>
      <c r="U777" s="77" t="str">
        <f t="shared" si="4655"/>
        <v/>
      </c>
      <c r="V777" s="39">
        <v>1</v>
      </c>
      <c r="W777" s="79">
        <f t="shared" si="4669"/>
        <v>0</v>
      </c>
      <c r="X777" s="3">
        <v>0</v>
      </c>
      <c r="Y777" s="77" t="str">
        <f t="shared" si="4656"/>
        <v/>
      </c>
      <c r="Z777" s="3"/>
      <c r="AA777" s="37" t="str">
        <f t="shared" si="4670"/>
        <v/>
      </c>
      <c r="AC777" s="40"/>
      <c r="AD777" s="7"/>
      <c r="AE777" s="77" t="str">
        <f t="shared" si="4657"/>
        <v/>
      </c>
      <c r="AF777" s="81">
        <f t="shared" si="4683"/>
        <v>0</v>
      </c>
      <c r="AG777" s="40"/>
      <c r="AH777" s="7"/>
      <c r="AI777" s="77" t="str">
        <f t="shared" si="4658"/>
        <v/>
      </c>
      <c r="AJ777" s="81">
        <f t="shared" si="4684"/>
        <v>0</v>
      </c>
      <c r="AK777" s="83">
        <f t="shared" si="4685"/>
        <v>0</v>
      </c>
      <c r="AL777" s="83">
        <f t="shared" si="4686"/>
        <v>0</v>
      </c>
      <c r="AN777" s="43">
        <f t="shared" si="4659"/>
        <v>0</v>
      </c>
      <c r="AP777" t="str">
        <f t="shared" si="4687"/>
        <v/>
      </c>
      <c r="AQ777" t="str">
        <f t="shared" si="4688"/>
        <v/>
      </c>
      <c r="AR777" t="str">
        <f t="shared" si="4689"/>
        <v/>
      </c>
      <c r="AS777" t="str">
        <f t="shared" si="4690"/>
        <v/>
      </c>
      <c r="AT777" t="str">
        <f t="shared" si="4691"/>
        <v/>
      </c>
      <c r="AU777" t="str">
        <f t="shared" si="4692"/>
        <v/>
      </c>
      <c r="AV777" t="str">
        <f t="shared" si="4693"/>
        <v/>
      </c>
      <c r="AW777" t="str">
        <f t="shared" si="4694"/>
        <v xml:space="preserve">                              </v>
      </c>
      <c r="AX777" s="23">
        <f t="shared" si="4695"/>
        <v>0</v>
      </c>
      <c r="AY777" s="49" t="str">
        <f t="shared" si="4671"/>
        <v>000000000000000</v>
      </c>
      <c r="AZ777" s="23">
        <f t="shared" si="4696"/>
        <v>0</v>
      </c>
      <c r="BA777" s="49" t="str">
        <f t="shared" si="4671"/>
        <v>000000000000000</v>
      </c>
      <c r="BB777" s="23">
        <f t="shared" si="4697"/>
        <v>0</v>
      </c>
      <c r="BC777" s="49" t="str">
        <f t="shared" ref="BC777" si="5070">IF(BB777&lt;0,SUBSTITUTE(TEXT(BB777,"000000000000,00"),",",""),SUBSTITUTE(TEXT(BB777,"0000000000000,00"),",",""))</f>
        <v>000000000000000</v>
      </c>
      <c r="BD777" s="23">
        <f t="shared" si="4699"/>
        <v>0</v>
      </c>
      <c r="BE777" s="49" t="str">
        <f t="shared" ref="BE777" si="5071">IF(BD777&lt;0,SUBSTITUTE(TEXT(BD777,"000000000000,00"),",",""),SUBSTITUTE(TEXT(BD777,"0000000000000,00"),",",""))</f>
        <v>000000000000000</v>
      </c>
      <c r="BF777" s="23">
        <f t="shared" si="4701"/>
        <v>0</v>
      </c>
      <c r="BG777" s="49" t="str">
        <f t="shared" ref="BG777" si="5072">IF(BF777&lt;0,SUBSTITUTE(TEXT(BF777,"000000000000,00"),",",""),SUBSTITUTE(TEXT(BF777,"0000000000000,00"),",",""))</f>
        <v>000000000000000</v>
      </c>
      <c r="BH777" s="23">
        <f t="shared" si="4703"/>
        <v>0</v>
      </c>
      <c r="BI777" s="49" t="str">
        <f t="shared" ref="BI777" si="5073">IF(BH777&lt;0,SUBSTITUTE(TEXT(BH777,"000000000000,00"),",",""),SUBSTITUTE(TEXT(BH777,"0000000000000,00"),",",""))</f>
        <v>000000000000000</v>
      </c>
      <c r="BJ777" s="23">
        <f t="shared" si="4705"/>
        <v>0</v>
      </c>
      <c r="BK777" s="49" t="str">
        <f t="shared" ref="BK777" si="5074">IF(BJ777&lt;0,SUBSTITUTE(TEXT(BJ777,"000000000000,00"),",",""),SUBSTITUTE(TEXT(BJ777,"0000000000000,00"),",",""))</f>
        <v>000000000000000</v>
      </c>
      <c r="BL777" s="23">
        <f t="shared" si="4707"/>
        <v>0</v>
      </c>
      <c r="BM777" s="49" t="str">
        <f t="shared" ref="BM777" si="5075">IF(BL777&lt;0,SUBSTITUTE(TEXT(BL777,"000000000000,00"),",",""),SUBSTITUTE(TEXT(BL777,"0000000000000,00"),",",""))</f>
        <v>000000000000000</v>
      </c>
      <c r="BN777" t="str">
        <f t="shared" si="4709"/>
        <v>PES</v>
      </c>
      <c r="BO777" t="str">
        <f t="shared" si="4710"/>
        <v>0001000000</v>
      </c>
      <c r="BP777">
        <f t="shared" si="4711"/>
        <v>0</v>
      </c>
      <c r="BQ777">
        <f t="shared" si="4712"/>
        <v>0</v>
      </c>
      <c r="BR777" s="23">
        <f t="shared" si="4713"/>
        <v>0</v>
      </c>
      <c r="BS777" s="49" t="str">
        <f t="shared" si="4678"/>
        <v>000000000000000</v>
      </c>
      <c r="BT777" t="str">
        <f t="shared" si="4714"/>
        <v>00000000</v>
      </c>
      <c r="BU777" s="23">
        <f t="shared" si="4715"/>
        <v>0</v>
      </c>
      <c r="BV777" s="49" t="str">
        <f t="shared" si="4679"/>
        <v/>
      </c>
      <c r="BW777" s="52" t="str">
        <f t="shared" si="4716"/>
        <v/>
      </c>
      <c r="BX777" s="23">
        <f t="shared" si="4717"/>
        <v>0</v>
      </c>
      <c r="BY777" s="49" t="str">
        <f t="shared" si="4680"/>
        <v/>
      </c>
      <c r="BZ777" s="23">
        <f t="shared" si="4718"/>
        <v>0</v>
      </c>
      <c r="CA777" s="49" t="str">
        <f t="shared" si="4681"/>
        <v/>
      </c>
      <c r="CB777" s="52" t="str">
        <f t="shared" si="4719"/>
        <v/>
      </c>
      <c r="CC777" s="23">
        <f t="shared" si="4720"/>
        <v>0</v>
      </c>
      <c r="CD777" s="49" t="str">
        <f t="shared" si="4682"/>
        <v/>
      </c>
      <c r="CE777" s="56" t="str">
        <f>IF(CF777="","",MAX(CE$10:$CE776)+1)</f>
        <v/>
      </c>
      <c r="CF777" t="str">
        <f t="shared" si="4721"/>
        <v/>
      </c>
      <c r="CG777" s="22" t="str">
        <f>IF(CH777="","",MAX($CG$10:CG776)+1)</f>
        <v/>
      </c>
      <c r="CH777" s="22" t="str">
        <f t="shared" si="4666"/>
        <v/>
      </c>
      <c r="CI777" s="22" t="str">
        <f>IF(CJ777="","",MAX($CI$10:CI776)+1)</f>
        <v/>
      </c>
      <c r="CJ777" s="22" t="str">
        <f t="shared" si="4667"/>
        <v/>
      </c>
    </row>
    <row r="778" spans="2:88" x14ac:dyDescent="0.25">
      <c r="B778" s="37"/>
      <c r="C778" s="3"/>
      <c r="D778" s="77" t="str">
        <f t="shared" si="4653"/>
        <v/>
      </c>
      <c r="E778" s="38"/>
      <c r="F778" s="38"/>
      <c r="G778" s="78">
        <f t="shared" si="4668"/>
        <v>0</v>
      </c>
      <c r="H778" s="3">
        <v>80</v>
      </c>
      <c r="I778" s="77" t="str">
        <f t="shared" si="4654"/>
        <v/>
      </c>
      <c r="J778" s="32"/>
      <c r="K778" s="3"/>
      <c r="L778" s="39"/>
      <c r="M778" s="39"/>
      <c r="N778" s="39"/>
      <c r="O778" s="39"/>
      <c r="P778" s="39"/>
      <c r="Q778" s="39"/>
      <c r="R778" s="39"/>
      <c r="S778" s="39"/>
      <c r="T778" s="3" t="s">
        <v>645</v>
      </c>
      <c r="U778" s="77" t="str">
        <f t="shared" si="4655"/>
        <v/>
      </c>
      <c r="V778" s="39">
        <v>1</v>
      </c>
      <c r="W778" s="79">
        <f t="shared" si="4669"/>
        <v>0</v>
      </c>
      <c r="X778" s="3">
        <v>0</v>
      </c>
      <c r="Y778" s="77" t="str">
        <f t="shared" si="4656"/>
        <v/>
      </c>
      <c r="Z778" s="3"/>
      <c r="AA778" s="37" t="str">
        <f t="shared" si="4670"/>
        <v/>
      </c>
      <c r="AC778" s="40"/>
      <c r="AD778" s="7"/>
      <c r="AE778" s="77" t="str">
        <f t="shared" si="4657"/>
        <v/>
      </c>
      <c r="AF778" s="81">
        <f t="shared" si="4683"/>
        <v>0</v>
      </c>
      <c r="AG778" s="40"/>
      <c r="AH778" s="7"/>
      <c r="AI778" s="77" t="str">
        <f t="shared" si="4658"/>
        <v/>
      </c>
      <c r="AJ778" s="81">
        <f t="shared" si="4684"/>
        <v>0</v>
      </c>
      <c r="AK778" s="83">
        <f t="shared" si="4685"/>
        <v>0</v>
      </c>
      <c r="AL778" s="83">
        <f t="shared" si="4686"/>
        <v>0</v>
      </c>
      <c r="AN778" s="43">
        <f t="shared" si="4659"/>
        <v>0</v>
      </c>
      <c r="AP778" t="str">
        <f t="shared" si="4687"/>
        <v/>
      </c>
      <c r="AQ778" t="str">
        <f t="shared" si="4688"/>
        <v/>
      </c>
      <c r="AR778" t="str">
        <f t="shared" si="4689"/>
        <v/>
      </c>
      <c r="AS778" t="str">
        <f t="shared" si="4690"/>
        <v/>
      </c>
      <c r="AT778" t="str">
        <f t="shared" si="4691"/>
        <v/>
      </c>
      <c r="AU778" t="str">
        <f t="shared" si="4692"/>
        <v/>
      </c>
      <c r="AV778" t="str">
        <f t="shared" si="4693"/>
        <v/>
      </c>
      <c r="AW778" t="str">
        <f t="shared" si="4694"/>
        <v xml:space="preserve">                              </v>
      </c>
      <c r="AX778" s="23">
        <f t="shared" si="4695"/>
        <v>0</v>
      </c>
      <c r="AY778" s="49" t="str">
        <f t="shared" si="4671"/>
        <v>000000000000000</v>
      </c>
      <c r="AZ778" s="23">
        <f t="shared" si="4696"/>
        <v>0</v>
      </c>
      <c r="BA778" s="49" t="str">
        <f t="shared" si="4671"/>
        <v>000000000000000</v>
      </c>
      <c r="BB778" s="23">
        <f t="shared" si="4697"/>
        <v>0</v>
      </c>
      <c r="BC778" s="49" t="str">
        <f t="shared" ref="BC778" si="5076">IF(BB778&lt;0,SUBSTITUTE(TEXT(BB778,"000000000000,00"),",",""),SUBSTITUTE(TEXT(BB778,"0000000000000,00"),",",""))</f>
        <v>000000000000000</v>
      </c>
      <c r="BD778" s="23">
        <f t="shared" si="4699"/>
        <v>0</v>
      </c>
      <c r="BE778" s="49" t="str">
        <f t="shared" ref="BE778" si="5077">IF(BD778&lt;0,SUBSTITUTE(TEXT(BD778,"000000000000,00"),",",""),SUBSTITUTE(TEXT(BD778,"0000000000000,00"),",",""))</f>
        <v>000000000000000</v>
      </c>
      <c r="BF778" s="23">
        <f t="shared" si="4701"/>
        <v>0</v>
      </c>
      <c r="BG778" s="49" t="str">
        <f t="shared" ref="BG778" si="5078">IF(BF778&lt;0,SUBSTITUTE(TEXT(BF778,"000000000000,00"),",",""),SUBSTITUTE(TEXT(BF778,"0000000000000,00"),",",""))</f>
        <v>000000000000000</v>
      </c>
      <c r="BH778" s="23">
        <f t="shared" si="4703"/>
        <v>0</v>
      </c>
      <c r="BI778" s="49" t="str">
        <f t="shared" ref="BI778" si="5079">IF(BH778&lt;0,SUBSTITUTE(TEXT(BH778,"000000000000,00"),",",""),SUBSTITUTE(TEXT(BH778,"0000000000000,00"),",",""))</f>
        <v>000000000000000</v>
      </c>
      <c r="BJ778" s="23">
        <f t="shared" si="4705"/>
        <v>0</v>
      </c>
      <c r="BK778" s="49" t="str">
        <f t="shared" ref="BK778" si="5080">IF(BJ778&lt;0,SUBSTITUTE(TEXT(BJ778,"000000000000,00"),",",""),SUBSTITUTE(TEXT(BJ778,"0000000000000,00"),",",""))</f>
        <v>000000000000000</v>
      </c>
      <c r="BL778" s="23">
        <f t="shared" si="4707"/>
        <v>0</v>
      </c>
      <c r="BM778" s="49" t="str">
        <f t="shared" ref="BM778" si="5081">IF(BL778&lt;0,SUBSTITUTE(TEXT(BL778,"000000000000,00"),",",""),SUBSTITUTE(TEXT(BL778,"0000000000000,00"),",",""))</f>
        <v>000000000000000</v>
      </c>
      <c r="BN778" t="str">
        <f t="shared" si="4709"/>
        <v>PES</v>
      </c>
      <c r="BO778" t="str">
        <f t="shared" si="4710"/>
        <v>0001000000</v>
      </c>
      <c r="BP778">
        <f t="shared" si="4711"/>
        <v>0</v>
      </c>
      <c r="BQ778">
        <f t="shared" si="4712"/>
        <v>0</v>
      </c>
      <c r="BR778" s="23">
        <f t="shared" si="4713"/>
        <v>0</v>
      </c>
      <c r="BS778" s="49" t="str">
        <f t="shared" si="4678"/>
        <v>000000000000000</v>
      </c>
      <c r="BT778" t="str">
        <f t="shared" si="4714"/>
        <v>00000000</v>
      </c>
      <c r="BU778" s="23">
        <f t="shared" si="4715"/>
        <v>0</v>
      </c>
      <c r="BV778" s="49" t="str">
        <f t="shared" si="4679"/>
        <v/>
      </c>
      <c r="BW778" s="52" t="str">
        <f t="shared" si="4716"/>
        <v/>
      </c>
      <c r="BX778" s="23">
        <f t="shared" si="4717"/>
        <v>0</v>
      </c>
      <c r="BY778" s="49" t="str">
        <f t="shared" si="4680"/>
        <v/>
      </c>
      <c r="BZ778" s="23">
        <f t="shared" si="4718"/>
        <v>0</v>
      </c>
      <c r="CA778" s="49" t="str">
        <f t="shared" si="4681"/>
        <v/>
      </c>
      <c r="CB778" s="52" t="str">
        <f t="shared" si="4719"/>
        <v/>
      </c>
      <c r="CC778" s="23">
        <f t="shared" si="4720"/>
        <v>0</v>
      </c>
      <c r="CD778" s="49" t="str">
        <f t="shared" si="4682"/>
        <v/>
      </c>
      <c r="CE778" s="56" t="str">
        <f>IF(CF778="","",MAX(CE$10:$CE777)+1)</f>
        <v/>
      </c>
      <c r="CF778" t="str">
        <f t="shared" si="4721"/>
        <v/>
      </c>
      <c r="CG778" s="22" t="str">
        <f>IF(CH778="","",MAX($CG$10:CG777)+1)</f>
        <v/>
      </c>
      <c r="CH778" s="22" t="str">
        <f t="shared" si="4666"/>
        <v/>
      </c>
      <c r="CI778" s="22" t="str">
        <f>IF(CJ778="","",MAX($CI$10:CI777)+1)</f>
        <v/>
      </c>
      <c r="CJ778" s="22" t="str">
        <f t="shared" si="4667"/>
        <v/>
      </c>
    </row>
    <row r="779" spans="2:88" x14ac:dyDescent="0.25">
      <c r="B779" s="37"/>
      <c r="C779" s="3"/>
      <c r="D779" s="77" t="str">
        <f t="shared" si="4653"/>
        <v/>
      </c>
      <c r="E779" s="38"/>
      <c r="F779" s="38"/>
      <c r="G779" s="78">
        <f t="shared" si="4668"/>
        <v>0</v>
      </c>
      <c r="H779" s="3">
        <v>80</v>
      </c>
      <c r="I779" s="77" t="str">
        <f t="shared" si="4654"/>
        <v/>
      </c>
      <c r="J779" s="32"/>
      <c r="K779" s="3"/>
      <c r="L779" s="39"/>
      <c r="M779" s="39"/>
      <c r="N779" s="39"/>
      <c r="O779" s="39"/>
      <c r="P779" s="39"/>
      <c r="Q779" s="39"/>
      <c r="R779" s="39"/>
      <c r="S779" s="39"/>
      <c r="T779" s="3" t="s">
        <v>645</v>
      </c>
      <c r="U779" s="77" t="str">
        <f t="shared" si="4655"/>
        <v/>
      </c>
      <c r="V779" s="39">
        <v>1</v>
      </c>
      <c r="W779" s="79">
        <f t="shared" si="4669"/>
        <v>0</v>
      </c>
      <c r="X779" s="3">
        <v>0</v>
      </c>
      <c r="Y779" s="77" t="str">
        <f t="shared" si="4656"/>
        <v/>
      </c>
      <c r="Z779" s="3"/>
      <c r="AA779" s="37" t="str">
        <f t="shared" si="4670"/>
        <v/>
      </c>
      <c r="AC779" s="40"/>
      <c r="AD779" s="7"/>
      <c r="AE779" s="77" t="str">
        <f t="shared" si="4657"/>
        <v/>
      </c>
      <c r="AF779" s="81">
        <f t="shared" si="4683"/>
        <v>0</v>
      </c>
      <c r="AG779" s="40"/>
      <c r="AH779" s="7"/>
      <c r="AI779" s="77" t="str">
        <f t="shared" si="4658"/>
        <v/>
      </c>
      <c r="AJ779" s="81">
        <f t="shared" si="4684"/>
        <v>0</v>
      </c>
      <c r="AK779" s="83">
        <f t="shared" si="4685"/>
        <v>0</v>
      </c>
      <c r="AL779" s="83">
        <f t="shared" si="4686"/>
        <v>0</v>
      </c>
      <c r="AN779" s="43">
        <f t="shared" si="4659"/>
        <v>0</v>
      </c>
      <c r="AP779" t="str">
        <f t="shared" si="4687"/>
        <v/>
      </c>
      <c r="AQ779" t="str">
        <f t="shared" si="4688"/>
        <v/>
      </c>
      <c r="AR779" t="str">
        <f t="shared" si="4689"/>
        <v/>
      </c>
      <c r="AS779" t="str">
        <f t="shared" si="4690"/>
        <v/>
      </c>
      <c r="AT779" t="str">
        <f t="shared" si="4691"/>
        <v/>
      </c>
      <c r="AU779" t="str">
        <f t="shared" si="4692"/>
        <v/>
      </c>
      <c r="AV779" t="str">
        <f t="shared" si="4693"/>
        <v/>
      </c>
      <c r="AW779" t="str">
        <f t="shared" si="4694"/>
        <v xml:space="preserve">                              </v>
      </c>
      <c r="AX779" s="23">
        <f t="shared" si="4695"/>
        <v>0</v>
      </c>
      <c r="AY779" s="49" t="str">
        <f t="shared" si="4671"/>
        <v>000000000000000</v>
      </c>
      <c r="AZ779" s="23">
        <f t="shared" si="4696"/>
        <v>0</v>
      </c>
      <c r="BA779" s="49" t="str">
        <f t="shared" si="4671"/>
        <v>000000000000000</v>
      </c>
      <c r="BB779" s="23">
        <f t="shared" si="4697"/>
        <v>0</v>
      </c>
      <c r="BC779" s="49" t="str">
        <f t="shared" ref="BC779" si="5082">IF(BB779&lt;0,SUBSTITUTE(TEXT(BB779,"000000000000,00"),",",""),SUBSTITUTE(TEXT(BB779,"0000000000000,00"),",",""))</f>
        <v>000000000000000</v>
      </c>
      <c r="BD779" s="23">
        <f t="shared" si="4699"/>
        <v>0</v>
      </c>
      <c r="BE779" s="49" t="str">
        <f t="shared" ref="BE779" si="5083">IF(BD779&lt;0,SUBSTITUTE(TEXT(BD779,"000000000000,00"),",",""),SUBSTITUTE(TEXT(BD779,"0000000000000,00"),",",""))</f>
        <v>000000000000000</v>
      </c>
      <c r="BF779" s="23">
        <f t="shared" si="4701"/>
        <v>0</v>
      </c>
      <c r="BG779" s="49" t="str">
        <f t="shared" ref="BG779" si="5084">IF(BF779&lt;0,SUBSTITUTE(TEXT(BF779,"000000000000,00"),",",""),SUBSTITUTE(TEXT(BF779,"0000000000000,00"),",",""))</f>
        <v>000000000000000</v>
      </c>
      <c r="BH779" s="23">
        <f t="shared" si="4703"/>
        <v>0</v>
      </c>
      <c r="BI779" s="49" t="str">
        <f t="shared" ref="BI779" si="5085">IF(BH779&lt;0,SUBSTITUTE(TEXT(BH779,"000000000000,00"),",",""),SUBSTITUTE(TEXT(BH779,"0000000000000,00"),",",""))</f>
        <v>000000000000000</v>
      </c>
      <c r="BJ779" s="23">
        <f t="shared" si="4705"/>
        <v>0</v>
      </c>
      <c r="BK779" s="49" t="str">
        <f t="shared" ref="BK779" si="5086">IF(BJ779&lt;0,SUBSTITUTE(TEXT(BJ779,"000000000000,00"),",",""),SUBSTITUTE(TEXT(BJ779,"0000000000000,00"),",",""))</f>
        <v>000000000000000</v>
      </c>
      <c r="BL779" s="23">
        <f t="shared" si="4707"/>
        <v>0</v>
      </c>
      <c r="BM779" s="49" t="str">
        <f t="shared" ref="BM779" si="5087">IF(BL779&lt;0,SUBSTITUTE(TEXT(BL779,"000000000000,00"),",",""),SUBSTITUTE(TEXT(BL779,"0000000000000,00"),",",""))</f>
        <v>000000000000000</v>
      </c>
      <c r="BN779" t="str">
        <f t="shared" si="4709"/>
        <v>PES</v>
      </c>
      <c r="BO779" t="str">
        <f t="shared" si="4710"/>
        <v>0001000000</v>
      </c>
      <c r="BP779">
        <f t="shared" si="4711"/>
        <v>0</v>
      </c>
      <c r="BQ779">
        <f t="shared" si="4712"/>
        <v>0</v>
      </c>
      <c r="BR779" s="23">
        <f t="shared" si="4713"/>
        <v>0</v>
      </c>
      <c r="BS779" s="49" t="str">
        <f t="shared" si="4678"/>
        <v>000000000000000</v>
      </c>
      <c r="BT779" t="str">
        <f t="shared" si="4714"/>
        <v>00000000</v>
      </c>
      <c r="BU779" s="23">
        <f t="shared" si="4715"/>
        <v>0</v>
      </c>
      <c r="BV779" s="49" t="str">
        <f t="shared" si="4679"/>
        <v/>
      </c>
      <c r="BW779" s="52" t="str">
        <f t="shared" si="4716"/>
        <v/>
      </c>
      <c r="BX779" s="23">
        <f t="shared" si="4717"/>
        <v>0</v>
      </c>
      <c r="BY779" s="49" t="str">
        <f t="shared" si="4680"/>
        <v/>
      </c>
      <c r="BZ779" s="23">
        <f t="shared" si="4718"/>
        <v>0</v>
      </c>
      <c r="CA779" s="49" t="str">
        <f t="shared" si="4681"/>
        <v/>
      </c>
      <c r="CB779" s="52" t="str">
        <f t="shared" si="4719"/>
        <v/>
      </c>
      <c r="CC779" s="23">
        <f t="shared" si="4720"/>
        <v>0</v>
      </c>
      <c r="CD779" s="49" t="str">
        <f t="shared" si="4682"/>
        <v/>
      </c>
      <c r="CE779" s="56" t="str">
        <f>IF(CF779="","",MAX(CE$10:$CE778)+1)</f>
        <v/>
      </c>
      <c r="CF779" t="str">
        <f t="shared" si="4721"/>
        <v/>
      </c>
      <c r="CG779" s="22" t="str">
        <f>IF(CH779="","",MAX($CG$10:CG778)+1)</f>
        <v/>
      </c>
      <c r="CH779" s="22" t="str">
        <f t="shared" si="4666"/>
        <v/>
      </c>
      <c r="CI779" s="22" t="str">
        <f>IF(CJ779="","",MAX($CI$10:CI778)+1)</f>
        <v/>
      </c>
      <c r="CJ779" s="22" t="str">
        <f t="shared" si="4667"/>
        <v/>
      </c>
    </row>
    <row r="780" spans="2:88" x14ac:dyDescent="0.25">
      <c r="B780" s="37"/>
      <c r="C780" s="3"/>
      <c r="D780" s="77" t="str">
        <f t="shared" ref="D780:D843" si="5088">IF(B780="","",IF(ISERROR(VLOOKUP(C780,T_CompVentas,2,FALSE)),"",VLOOKUP(C780,T_CompVentas,2,FALSE)))</f>
        <v/>
      </c>
      <c r="E780" s="38"/>
      <c r="F780" s="38"/>
      <c r="G780" s="78">
        <f t="shared" si="4668"/>
        <v>0</v>
      </c>
      <c r="H780" s="3">
        <v>80</v>
      </c>
      <c r="I780" s="77" t="str">
        <f t="shared" ref="I780:I843" si="5089">IF(B780="","",IF(H780="","",IF(ISERROR(VLOOKUP(H780,T_Documentos,2,FALSE)),"",VLOOKUP(H780,T_Documentos,2,FALSE))))</f>
        <v/>
      </c>
      <c r="J780" s="32"/>
      <c r="K780" s="3"/>
      <c r="L780" s="39"/>
      <c r="M780" s="39"/>
      <c r="N780" s="39"/>
      <c r="O780" s="39"/>
      <c r="P780" s="39"/>
      <c r="Q780" s="39"/>
      <c r="R780" s="39"/>
      <c r="S780" s="39"/>
      <c r="T780" s="3" t="s">
        <v>645</v>
      </c>
      <c r="U780" s="77" t="str">
        <f t="shared" ref="U780:U843" si="5090">IF(B780="","",IF(ISERROR(VLOOKUP(T780,T_Monedas,2,FALSE)),"",VLOOKUP(T780,T_Monedas,2,FALSE)))</f>
        <v/>
      </c>
      <c r="V780" s="39">
        <v>1</v>
      </c>
      <c r="W780" s="79">
        <f t="shared" si="4669"/>
        <v>0</v>
      </c>
      <c r="X780" s="3">
        <v>0</v>
      </c>
      <c r="Y780" s="77" t="str">
        <f t="shared" ref="Y780:Y843" si="5091">IF(B780="","",IF(ISERROR(VLOOKUP(X780,T_CodOperVentas,2,FALSE)),"",VLOOKUP(X780,T_CodOperVentas,2,FALSE)))</f>
        <v/>
      </c>
      <c r="Z780" s="3"/>
      <c r="AA780" s="37" t="str">
        <f t="shared" si="4670"/>
        <v/>
      </c>
      <c r="AC780" s="40"/>
      <c r="AD780" s="7"/>
      <c r="AE780" s="77" t="str">
        <f t="shared" ref="AE780:AE843" si="5092">IF(B780="","",IF(AD780="","",IF(ISERROR(VLOOKUP(AD780,T_Alicuotas,2,FALSE)),"",VLOOKUP(AD780,T_Alicuotas,2,FALSE))))</f>
        <v/>
      </c>
      <c r="AF780" s="81">
        <f t="shared" si="4683"/>
        <v>0</v>
      </c>
      <c r="AG780" s="40"/>
      <c r="AH780" s="7"/>
      <c r="AI780" s="77" t="str">
        <f t="shared" ref="AI780:AI843" si="5093">IF(B780="","",IF(AH780="","",IF(ISERROR(VLOOKUP(AH780,T_Alicuotas,2,FALSE)),"",VLOOKUP(AH780,T_Alicuotas,2,FALSE))))</f>
        <v/>
      </c>
      <c r="AJ780" s="81">
        <f t="shared" si="4684"/>
        <v>0</v>
      </c>
      <c r="AK780" s="83">
        <f t="shared" si="4685"/>
        <v>0</v>
      </c>
      <c r="AL780" s="83">
        <f t="shared" si="4686"/>
        <v>0</v>
      </c>
      <c r="AN780" s="43">
        <f t="shared" ref="AN780:AN843" si="5094">+L780-M780-N780-O780-P780-Q780-R780-S780-AC780-AF780-AG780-AJ780</f>
        <v>0</v>
      </c>
      <c r="AP780" t="str">
        <f t="shared" si="4687"/>
        <v/>
      </c>
      <c r="AQ780" t="str">
        <f t="shared" si="4688"/>
        <v/>
      </c>
      <c r="AR780" t="str">
        <f t="shared" si="4689"/>
        <v/>
      </c>
      <c r="AS780" t="str">
        <f t="shared" si="4690"/>
        <v/>
      </c>
      <c r="AT780" t="str">
        <f t="shared" si="4691"/>
        <v/>
      </c>
      <c r="AU780" t="str">
        <f t="shared" si="4692"/>
        <v/>
      </c>
      <c r="AV780" t="str">
        <f t="shared" si="4693"/>
        <v/>
      </c>
      <c r="AW780" t="str">
        <f t="shared" si="4694"/>
        <v xml:space="preserve">                              </v>
      </c>
      <c r="AX780" s="23">
        <f t="shared" si="4695"/>
        <v>0</v>
      </c>
      <c r="AY780" s="49" t="str">
        <f t="shared" si="4671"/>
        <v>000000000000000</v>
      </c>
      <c r="AZ780" s="23">
        <f t="shared" si="4696"/>
        <v>0</v>
      </c>
      <c r="BA780" s="49" t="str">
        <f t="shared" si="4671"/>
        <v>000000000000000</v>
      </c>
      <c r="BB780" s="23">
        <f t="shared" si="4697"/>
        <v>0</v>
      </c>
      <c r="BC780" s="49" t="str">
        <f t="shared" ref="BC780" si="5095">IF(BB780&lt;0,SUBSTITUTE(TEXT(BB780,"000000000000,00"),",",""),SUBSTITUTE(TEXT(BB780,"0000000000000,00"),",",""))</f>
        <v>000000000000000</v>
      </c>
      <c r="BD780" s="23">
        <f t="shared" si="4699"/>
        <v>0</v>
      </c>
      <c r="BE780" s="49" t="str">
        <f t="shared" ref="BE780" si="5096">IF(BD780&lt;0,SUBSTITUTE(TEXT(BD780,"000000000000,00"),",",""),SUBSTITUTE(TEXT(BD780,"0000000000000,00"),",",""))</f>
        <v>000000000000000</v>
      </c>
      <c r="BF780" s="23">
        <f t="shared" si="4701"/>
        <v>0</v>
      </c>
      <c r="BG780" s="49" t="str">
        <f t="shared" ref="BG780" si="5097">IF(BF780&lt;0,SUBSTITUTE(TEXT(BF780,"000000000000,00"),",",""),SUBSTITUTE(TEXT(BF780,"0000000000000,00"),",",""))</f>
        <v>000000000000000</v>
      </c>
      <c r="BH780" s="23">
        <f t="shared" si="4703"/>
        <v>0</v>
      </c>
      <c r="BI780" s="49" t="str">
        <f t="shared" ref="BI780" si="5098">IF(BH780&lt;0,SUBSTITUTE(TEXT(BH780,"000000000000,00"),",",""),SUBSTITUTE(TEXT(BH780,"0000000000000,00"),",",""))</f>
        <v>000000000000000</v>
      </c>
      <c r="BJ780" s="23">
        <f t="shared" si="4705"/>
        <v>0</v>
      </c>
      <c r="BK780" s="49" t="str">
        <f t="shared" ref="BK780" si="5099">IF(BJ780&lt;0,SUBSTITUTE(TEXT(BJ780,"000000000000,00"),",",""),SUBSTITUTE(TEXT(BJ780,"0000000000000,00"),",",""))</f>
        <v>000000000000000</v>
      </c>
      <c r="BL780" s="23">
        <f t="shared" si="4707"/>
        <v>0</v>
      </c>
      <c r="BM780" s="49" t="str">
        <f t="shared" ref="BM780" si="5100">IF(BL780&lt;0,SUBSTITUTE(TEXT(BL780,"000000000000,00"),",",""),SUBSTITUTE(TEXT(BL780,"0000000000000,00"),",",""))</f>
        <v>000000000000000</v>
      </c>
      <c r="BN780" t="str">
        <f t="shared" si="4709"/>
        <v>PES</v>
      </c>
      <c r="BO780" t="str">
        <f t="shared" si="4710"/>
        <v>0001000000</v>
      </c>
      <c r="BP780">
        <f t="shared" si="4711"/>
        <v>0</v>
      </c>
      <c r="BQ780">
        <f t="shared" si="4712"/>
        <v>0</v>
      </c>
      <c r="BR780" s="23">
        <f t="shared" si="4713"/>
        <v>0</v>
      </c>
      <c r="BS780" s="49" t="str">
        <f t="shared" si="4678"/>
        <v>000000000000000</v>
      </c>
      <c r="BT780" t="str">
        <f t="shared" si="4714"/>
        <v>00000000</v>
      </c>
      <c r="BU780" s="23">
        <f t="shared" si="4715"/>
        <v>0</v>
      </c>
      <c r="BV780" s="49" t="str">
        <f t="shared" si="4679"/>
        <v/>
      </c>
      <c r="BW780" s="52" t="str">
        <f t="shared" si="4716"/>
        <v/>
      </c>
      <c r="BX780" s="23">
        <f t="shared" si="4717"/>
        <v>0</v>
      </c>
      <c r="BY780" s="49" t="str">
        <f t="shared" si="4680"/>
        <v/>
      </c>
      <c r="BZ780" s="23">
        <f t="shared" si="4718"/>
        <v>0</v>
      </c>
      <c r="CA780" s="49" t="str">
        <f t="shared" si="4681"/>
        <v/>
      </c>
      <c r="CB780" s="52" t="str">
        <f t="shared" si="4719"/>
        <v/>
      </c>
      <c r="CC780" s="23">
        <f t="shared" si="4720"/>
        <v>0</v>
      </c>
      <c r="CD780" s="49" t="str">
        <f t="shared" si="4682"/>
        <v/>
      </c>
      <c r="CE780" s="56" t="str">
        <f>IF(CF780="","",MAX(CE$10:$CE779)+1)</f>
        <v/>
      </c>
      <c r="CF780" t="str">
        <f t="shared" si="4721"/>
        <v/>
      </c>
      <c r="CG780" s="22" t="str">
        <f>IF(CH780="","",MAX($CG$10:CG779)+1)</f>
        <v/>
      </c>
      <c r="CH780" s="22" t="str">
        <f t="shared" ref="CH780:CH843" si="5101">IF(BV780="","",AQ780&amp;AR780&amp;AS780&amp;BV780&amp;BW780&amp;BY780)</f>
        <v/>
      </c>
      <c r="CI780" s="22" t="str">
        <f>IF(CJ780="","",MAX($CI$10:CI779)+1)</f>
        <v/>
      </c>
      <c r="CJ780" s="22" t="str">
        <f t="shared" ref="CJ780:CJ843" si="5102">IF(CA780="","",AQ780&amp;AR780&amp;AS780&amp;CA780&amp;CB780&amp;CD780)</f>
        <v/>
      </c>
    </row>
    <row r="781" spans="2:88" x14ac:dyDescent="0.25">
      <c r="B781" s="37"/>
      <c r="C781" s="3"/>
      <c r="D781" s="77" t="str">
        <f t="shared" si="5088"/>
        <v/>
      </c>
      <c r="E781" s="38"/>
      <c r="F781" s="38"/>
      <c r="G781" s="78">
        <f t="shared" ref="G781:G844" si="5103">+F781</f>
        <v>0</v>
      </c>
      <c r="H781" s="3">
        <v>80</v>
      </c>
      <c r="I781" s="77" t="str">
        <f t="shared" si="5089"/>
        <v/>
      </c>
      <c r="J781" s="32"/>
      <c r="K781" s="3"/>
      <c r="L781" s="39"/>
      <c r="M781" s="39"/>
      <c r="N781" s="39"/>
      <c r="O781" s="39"/>
      <c r="P781" s="39"/>
      <c r="Q781" s="39"/>
      <c r="R781" s="39"/>
      <c r="S781" s="39"/>
      <c r="T781" s="3" t="s">
        <v>645</v>
      </c>
      <c r="U781" s="77" t="str">
        <f t="shared" si="5090"/>
        <v/>
      </c>
      <c r="V781" s="39">
        <v>1</v>
      </c>
      <c r="W781" s="79">
        <f t="shared" ref="W781:W844" si="5104">IF(AD781="",0,1)+IF(OR(AH781=""),0,1)</f>
        <v>0</v>
      </c>
      <c r="X781" s="3">
        <v>0</v>
      </c>
      <c r="Y781" s="77" t="str">
        <f t="shared" si="5091"/>
        <v/>
      </c>
      <c r="Z781" s="3"/>
      <c r="AA781" s="37" t="str">
        <f t="shared" ref="AA781:AA844" si="5105">IF(OR(B781="",C781=82),"",B781)</f>
        <v/>
      </c>
      <c r="AC781" s="40"/>
      <c r="AD781" s="7"/>
      <c r="AE781" s="77" t="str">
        <f t="shared" si="5092"/>
        <v/>
      </c>
      <c r="AF781" s="81">
        <f t="shared" si="4683"/>
        <v>0</v>
      </c>
      <c r="AG781" s="40"/>
      <c r="AH781" s="7"/>
      <c r="AI781" s="77" t="str">
        <f t="shared" si="5093"/>
        <v/>
      </c>
      <c r="AJ781" s="81">
        <f t="shared" si="4684"/>
        <v>0</v>
      </c>
      <c r="AK781" s="83">
        <f t="shared" si="4685"/>
        <v>0</v>
      </c>
      <c r="AL781" s="83">
        <f t="shared" si="4686"/>
        <v>0</v>
      </c>
      <c r="AN781" s="43">
        <f t="shared" si="5094"/>
        <v>0</v>
      </c>
      <c r="AP781" t="str">
        <f t="shared" si="4687"/>
        <v/>
      </c>
      <c r="AQ781" t="str">
        <f t="shared" si="4688"/>
        <v/>
      </c>
      <c r="AR781" t="str">
        <f t="shared" si="4689"/>
        <v/>
      </c>
      <c r="AS781" t="str">
        <f t="shared" si="4690"/>
        <v/>
      </c>
      <c r="AT781" t="str">
        <f t="shared" si="4691"/>
        <v/>
      </c>
      <c r="AU781" t="str">
        <f t="shared" si="4692"/>
        <v/>
      </c>
      <c r="AV781" t="str">
        <f t="shared" si="4693"/>
        <v/>
      </c>
      <c r="AW781" t="str">
        <f t="shared" si="4694"/>
        <v xml:space="preserve">                              </v>
      </c>
      <c r="AX781" s="23">
        <f t="shared" si="4695"/>
        <v>0</v>
      </c>
      <c r="AY781" s="49" t="str">
        <f t="shared" ref="AY781:BA844" si="5106">IF(AX781&lt;0,SUBSTITUTE(TEXT(AX781,"000000000000,00"),",",""),SUBSTITUTE(TEXT(AX781,"0000000000000,00"),",",""))</f>
        <v>000000000000000</v>
      </c>
      <c r="AZ781" s="23">
        <f t="shared" si="4696"/>
        <v>0</v>
      </c>
      <c r="BA781" s="49" t="str">
        <f t="shared" si="5106"/>
        <v>000000000000000</v>
      </c>
      <c r="BB781" s="23">
        <f t="shared" si="4697"/>
        <v>0</v>
      </c>
      <c r="BC781" s="49" t="str">
        <f t="shared" ref="BC781" si="5107">IF(BB781&lt;0,SUBSTITUTE(TEXT(BB781,"000000000000,00"),",",""),SUBSTITUTE(TEXT(BB781,"0000000000000,00"),",",""))</f>
        <v>000000000000000</v>
      </c>
      <c r="BD781" s="23">
        <f t="shared" si="4699"/>
        <v>0</v>
      </c>
      <c r="BE781" s="49" t="str">
        <f t="shared" ref="BE781" si="5108">IF(BD781&lt;0,SUBSTITUTE(TEXT(BD781,"000000000000,00"),",",""),SUBSTITUTE(TEXT(BD781,"0000000000000,00"),",",""))</f>
        <v>000000000000000</v>
      </c>
      <c r="BF781" s="23">
        <f t="shared" si="4701"/>
        <v>0</v>
      </c>
      <c r="BG781" s="49" t="str">
        <f t="shared" ref="BG781" si="5109">IF(BF781&lt;0,SUBSTITUTE(TEXT(BF781,"000000000000,00"),",",""),SUBSTITUTE(TEXT(BF781,"0000000000000,00"),",",""))</f>
        <v>000000000000000</v>
      </c>
      <c r="BH781" s="23">
        <f t="shared" si="4703"/>
        <v>0</v>
      </c>
      <c r="BI781" s="49" t="str">
        <f t="shared" ref="BI781" si="5110">IF(BH781&lt;0,SUBSTITUTE(TEXT(BH781,"000000000000,00"),",",""),SUBSTITUTE(TEXT(BH781,"0000000000000,00"),",",""))</f>
        <v>000000000000000</v>
      </c>
      <c r="BJ781" s="23">
        <f t="shared" si="4705"/>
        <v>0</v>
      </c>
      <c r="BK781" s="49" t="str">
        <f t="shared" ref="BK781" si="5111">IF(BJ781&lt;0,SUBSTITUTE(TEXT(BJ781,"000000000000,00"),",",""),SUBSTITUTE(TEXT(BJ781,"0000000000000,00"),",",""))</f>
        <v>000000000000000</v>
      </c>
      <c r="BL781" s="23">
        <f t="shared" si="4707"/>
        <v>0</v>
      </c>
      <c r="BM781" s="49" t="str">
        <f t="shared" ref="BM781" si="5112">IF(BL781&lt;0,SUBSTITUTE(TEXT(BL781,"000000000000,00"),",",""),SUBSTITUTE(TEXT(BL781,"0000000000000,00"),",",""))</f>
        <v>000000000000000</v>
      </c>
      <c r="BN781" t="str">
        <f t="shared" si="4709"/>
        <v>PES</v>
      </c>
      <c r="BO781" t="str">
        <f t="shared" si="4710"/>
        <v>0001000000</v>
      </c>
      <c r="BP781">
        <f t="shared" si="4711"/>
        <v>0</v>
      </c>
      <c r="BQ781">
        <f t="shared" si="4712"/>
        <v>0</v>
      </c>
      <c r="BR781" s="23">
        <f t="shared" si="4713"/>
        <v>0</v>
      </c>
      <c r="BS781" s="49" t="str">
        <f t="shared" ref="BS781:BS844" si="5113">IF(BR781&lt;0,SUBSTITUTE(TEXT(BR781,"000000000000,00"),",",""),SUBSTITUTE(TEXT(BR781,"0000000000000,00"),",",""))</f>
        <v>000000000000000</v>
      </c>
      <c r="BT781" t="str">
        <f t="shared" si="4714"/>
        <v>00000000</v>
      </c>
      <c r="BU781" s="23">
        <f t="shared" si="4715"/>
        <v>0</v>
      </c>
      <c r="BV781" s="49" t="str">
        <f t="shared" ref="BV781:BV844" si="5114">IF(BW781="","",IF(BU781&lt;0,SUBSTITUTE(TEXT(BU781,"000000000000,00"),",",""),SUBSTITUTE(TEXT(BU781,"0000000000000,00"),",","")))</f>
        <v/>
      </c>
      <c r="BW781" s="52" t="str">
        <f t="shared" si="4716"/>
        <v/>
      </c>
      <c r="BX781" s="23">
        <f t="shared" si="4717"/>
        <v>0</v>
      </c>
      <c r="BY781" s="49" t="str">
        <f t="shared" ref="BY781:BY844" si="5115">IF(BW781="","",IF(BX781&lt;0,SUBSTITUTE(TEXT(BX781,"000000000000,00"),",",""),SUBSTITUTE(TEXT(BX781,"0000000000000,00"),",","")))</f>
        <v/>
      </c>
      <c r="BZ781" s="23">
        <f t="shared" si="4718"/>
        <v>0</v>
      </c>
      <c r="CA781" s="49" t="str">
        <f t="shared" ref="CA781:CA844" si="5116">IF(CB781="","",IF(BZ781&lt;0,SUBSTITUTE(TEXT(BZ781,"000000000000,00"),",",""),SUBSTITUTE(TEXT(BZ781,"0000000000000,00"),",","")))</f>
        <v/>
      </c>
      <c r="CB781" s="52" t="str">
        <f t="shared" si="4719"/>
        <v/>
      </c>
      <c r="CC781" s="23">
        <f t="shared" si="4720"/>
        <v>0</v>
      </c>
      <c r="CD781" s="49" t="str">
        <f t="shared" ref="CD781:CD844" si="5117">IF(CB781="","",IF(CC781&lt;0,SUBSTITUTE(TEXT(CC781,"000000000000,00"),",",""),SUBSTITUTE(TEXT(CC781,"0000000000000,00"),",","")))</f>
        <v/>
      </c>
      <c r="CE781" s="56" t="str">
        <f>IF(CF781="","",MAX(CE$10:$CE780)+1)</f>
        <v/>
      </c>
      <c r="CF781" t="str">
        <f t="shared" si="4721"/>
        <v/>
      </c>
      <c r="CG781" s="22" t="str">
        <f>IF(CH781="","",MAX($CG$10:CG780)+1)</f>
        <v/>
      </c>
      <c r="CH781" s="22" t="str">
        <f t="shared" si="5101"/>
        <v/>
      </c>
      <c r="CI781" s="22" t="str">
        <f>IF(CJ781="","",MAX($CI$10:CI780)+1)</f>
        <v/>
      </c>
      <c r="CJ781" s="22" t="str">
        <f t="shared" si="5102"/>
        <v/>
      </c>
    </row>
    <row r="782" spans="2:88" x14ac:dyDescent="0.25">
      <c r="B782" s="37"/>
      <c r="C782" s="3"/>
      <c r="D782" s="77" t="str">
        <f t="shared" si="5088"/>
        <v/>
      </c>
      <c r="E782" s="38"/>
      <c r="F782" s="38"/>
      <c r="G782" s="78">
        <f t="shared" si="5103"/>
        <v>0</v>
      </c>
      <c r="H782" s="3">
        <v>80</v>
      </c>
      <c r="I782" s="77" t="str">
        <f t="shared" si="5089"/>
        <v/>
      </c>
      <c r="J782" s="32"/>
      <c r="K782" s="3"/>
      <c r="L782" s="39"/>
      <c r="M782" s="39"/>
      <c r="N782" s="39"/>
      <c r="O782" s="39"/>
      <c r="P782" s="39"/>
      <c r="Q782" s="39"/>
      <c r="R782" s="39"/>
      <c r="S782" s="39"/>
      <c r="T782" s="3" t="s">
        <v>645</v>
      </c>
      <c r="U782" s="77" t="str">
        <f t="shared" si="5090"/>
        <v/>
      </c>
      <c r="V782" s="39">
        <v>1</v>
      </c>
      <c r="W782" s="79">
        <f t="shared" si="5104"/>
        <v>0</v>
      </c>
      <c r="X782" s="3">
        <v>0</v>
      </c>
      <c r="Y782" s="77" t="str">
        <f t="shared" si="5091"/>
        <v/>
      </c>
      <c r="Z782" s="3"/>
      <c r="AA782" s="37" t="str">
        <f t="shared" si="5105"/>
        <v/>
      </c>
      <c r="AC782" s="40"/>
      <c r="AD782" s="7"/>
      <c r="AE782" s="77" t="str">
        <f t="shared" si="5092"/>
        <v/>
      </c>
      <c r="AF782" s="81">
        <f t="shared" ref="AF782:AF845" si="5118">ROUND(AC782*AD782/100,2)</f>
        <v>0</v>
      </c>
      <c r="AG782" s="40"/>
      <c r="AH782" s="7"/>
      <c r="AI782" s="77" t="str">
        <f t="shared" si="5093"/>
        <v/>
      </c>
      <c r="AJ782" s="81">
        <f t="shared" ref="AJ782:AJ845" si="5119">ROUND(AG782*AH782/100,2)</f>
        <v>0</v>
      </c>
      <c r="AK782" s="83">
        <f t="shared" ref="AK782:AK845" si="5120">+AC782+AG782</f>
        <v>0</v>
      </c>
      <c r="AL782" s="83">
        <f t="shared" ref="AL782:AL845" si="5121">+AF782+AJ782</f>
        <v>0</v>
      </c>
      <c r="AN782" s="43">
        <f t="shared" si="5094"/>
        <v>0</v>
      </c>
      <c r="AP782" t="str">
        <f t="shared" ref="AP782:AP845" si="5122">IF(B782="","",TEXT(B782,$AP$8))</f>
        <v/>
      </c>
      <c r="AQ782" t="str">
        <f t="shared" ref="AQ782:AQ845" si="5123">IF(B782="","",IF(C782="","",TEXT(C782,"000")))</f>
        <v/>
      </c>
      <c r="AR782" t="str">
        <f t="shared" ref="AR782:AR845" si="5124">IF(B782="","",IF(E782="","00000",TEXT(RIGHT(E782,5),"00000")))</f>
        <v/>
      </c>
      <c r="AS782" t="str">
        <f t="shared" ref="AS782:AS845" si="5125">IF(B782="","",IF(F782="","00000000000000000000",TEXT(RIGHT(F782,20),"00000000000000000000")))</f>
        <v/>
      </c>
      <c r="AT782" t="str">
        <f t="shared" ref="AT782:AT845" si="5126">IF(B782="","",IF(G782="","00000000000000000000",TEXT(RIGHT(G782,20),"00000000000000000000")))</f>
        <v/>
      </c>
      <c r="AU782" t="str">
        <f t="shared" ref="AU782:AU845" si="5127">IF(B782="","",IF(C782="","",TEXT(RIGHT(H782,4),"00")))</f>
        <v/>
      </c>
      <c r="AV782" t="str">
        <f t="shared" ref="AV782:AV845" si="5128">IF(B782="","",TEXT(SUBSTITUTE(J782,"-",""),"00000000000000000000"))</f>
        <v/>
      </c>
      <c r="AW782" t="str">
        <f t="shared" ref="AW782:AW845" si="5129">IF(LEN(K782)&gt;30,LEFT(K782,30),K782&amp;REPT(" ",30-LEN(K782)))</f>
        <v xml:space="preserve">                              </v>
      </c>
      <c r="AX782" s="23">
        <f t="shared" ref="AX782:AX845" si="5130">IF(TRIM(L782)="",0,TRUNC(L782,2))</f>
        <v>0</v>
      </c>
      <c r="AY782" s="49" t="str">
        <f t="shared" si="5106"/>
        <v>000000000000000</v>
      </c>
      <c r="AZ782" s="23">
        <f t="shared" ref="AZ782:AZ845" si="5131">IF(TRIM(M782)="",0,TRUNC(M782,2))</f>
        <v>0</v>
      </c>
      <c r="BA782" s="49" t="str">
        <f t="shared" si="5106"/>
        <v>000000000000000</v>
      </c>
      <c r="BB782" s="23">
        <f t="shared" ref="BB782:BB845" si="5132">IF(TRIM(N782)="",0,TRUNC(N782,2))</f>
        <v>0</v>
      </c>
      <c r="BC782" s="49" t="str">
        <f t="shared" ref="BC782" si="5133">IF(BB782&lt;0,SUBSTITUTE(TEXT(BB782,"000000000000,00"),",",""),SUBSTITUTE(TEXT(BB782,"0000000000000,00"),",",""))</f>
        <v>000000000000000</v>
      </c>
      <c r="BD782" s="23">
        <f t="shared" ref="BD782:BD845" si="5134">IF(TRIM(O782)="",0,TRUNC(O782,2))</f>
        <v>0</v>
      </c>
      <c r="BE782" s="49" t="str">
        <f t="shared" ref="BE782" si="5135">IF(BD782&lt;0,SUBSTITUTE(TEXT(BD782,"000000000000,00"),",",""),SUBSTITUTE(TEXT(BD782,"0000000000000,00"),",",""))</f>
        <v>000000000000000</v>
      </c>
      <c r="BF782" s="23">
        <f t="shared" ref="BF782:BF845" si="5136">IF(TRIM(P782)="",0,TRUNC(P782,2))</f>
        <v>0</v>
      </c>
      <c r="BG782" s="49" t="str">
        <f t="shared" ref="BG782" si="5137">IF(BF782&lt;0,SUBSTITUTE(TEXT(BF782,"000000000000,00"),",",""),SUBSTITUTE(TEXT(BF782,"0000000000000,00"),",",""))</f>
        <v>000000000000000</v>
      </c>
      <c r="BH782" s="23">
        <f t="shared" ref="BH782:BH845" si="5138">IF(TRIM(Q782)="",0,TRUNC(Q782,2))</f>
        <v>0</v>
      </c>
      <c r="BI782" s="49" t="str">
        <f t="shared" ref="BI782" si="5139">IF(BH782&lt;0,SUBSTITUTE(TEXT(BH782,"000000000000,00"),",",""),SUBSTITUTE(TEXT(BH782,"0000000000000,00"),",",""))</f>
        <v>000000000000000</v>
      </c>
      <c r="BJ782" s="23">
        <f t="shared" ref="BJ782:BJ845" si="5140">IF(TRIM(R782)="",0,TRUNC(R782,2))</f>
        <v>0</v>
      </c>
      <c r="BK782" s="49" t="str">
        <f t="shared" ref="BK782" si="5141">IF(BJ782&lt;0,SUBSTITUTE(TEXT(BJ782,"000000000000,00"),",",""),SUBSTITUTE(TEXT(BJ782,"0000000000000,00"),",",""))</f>
        <v>000000000000000</v>
      </c>
      <c r="BL782" s="23">
        <f t="shared" ref="BL782:BL845" si="5142">IF(TRIM(S782)="",0,TRUNC(S782,2))</f>
        <v>0</v>
      </c>
      <c r="BM782" s="49" t="str">
        <f t="shared" ref="BM782" si="5143">IF(BL782&lt;0,SUBSTITUTE(TEXT(BL782,"000000000000,00"),",",""),SUBSTITUTE(TEXT(BL782,"0000000000000,00"),",",""))</f>
        <v>000000000000000</v>
      </c>
      <c r="BN782" t="str">
        <f t="shared" ref="BN782:BN845" si="5144">TEXT(T782,"000")</f>
        <v>PES</v>
      </c>
      <c r="BO782" t="str">
        <f t="shared" ref="BO782:BO845" si="5145">IF(V782&lt;0,SUBSTITUTE(TEXT(V782,"000,000000"),",",""),SUBSTITUTE(TEXT(V782,"0000,000000"),",",""))</f>
        <v>0001000000</v>
      </c>
      <c r="BP782">
        <f t="shared" ref="BP782:BP845" si="5146">W782</f>
        <v>0</v>
      </c>
      <c r="BQ782">
        <f t="shared" ref="BQ782:BQ845" si="5147">X782</f>
        <v>0</v>
      </c>
      <c r="BR782" s="23">
        <f t="shared" ref="BR782:BR845" si="5148">IF(TRIM(Z782)="",0,TRUNC(Z782,2))</f>
        <v>0</v>
      </c>
      <c r="BS782" s="49" t="str">
        <f t="shared" si="5113"/>
        <v>000000000000000</v>
      </c>
      <c r="BT782" t="str">
        <f t="shared" ref="BT782:BT845" si="5149">IF(AA782="","00000000",TEXT(AA782,$AP$8))</f>
        <v>00000000</v>
      </c>
      <c r="BU782" s="23">
        <f t="shared" ref="BU782:BU845" si="5150">IF(TRIM(AC782)="",0,TRUNC(AC782,2))</f>
        <v>0</v>
      </c>
      <c r="BV782" s="49" t="str">
        <f t="shared" si="5114"/>
        <v/>
      </c>
      <c r="BW782" s="52" t="str">
        <f t="shared" ref="BW782:BW845" si="5151">IF(AE782="","",TEXT(AE782,"0000"))</f>
        <v/>
      </c>
      <c r="BX782" s="23">
        <f t="shared" ref="BX782:BX845" si="5152">IF(TRIM(AF782)="",0,TRUNC(AF782,2))</f>
        <v>0</v>
      </c>
      <c r="BY782" s="49" t="str">
        <f t="shared" si="5115"/>
        <v/>
      </c>
      <c r="BZ782" s="23">
        <f t="shared" ref="BZ782:BZ845" si="5153">IF(TRIM(AG782)="",0,TRUNC(AG782,2))</f>
        <v>0</v>
      </c>
      <c r="CA782" s="49" t="str">
        <f t="shared" si="5116"/>
        <v/>
      </c>
      <c r="CB782" s="52" t="str">
        <f t="shared" ref="CB782:CB845" si="5154">IF(AI782="","",TEXT(AI782,"0000"))</f>
        <v/>
      </c>
      <c r="CC782" s="23">
        <f t="shared" ref="CC782:CC845" si="5155">IF(TRIM(AJ782)="",0,TRUNC(AJ782,2))</f>
        <v>0</v>
      </c>
      <c r="CD782" s="49" t="str">
        <f t="shared" si="5117"/>
        <v/>
      </c>
      <c r="CE782" s="56" t="str">
        <f>IF(CF782="","",MAX(CE$10:$CE781)+1)</f>
        <v/>
      </c>
      <c r="CF782" t="str">
        <f t="shared" ref="CF782:CF845" si="5156">IF(B782="","",AP782&amp;AQ782&amp;AR782&amp;AS782&amp;AT782&amp;AU782&amp;AV782&amp;AW782&amp;AY782&amp;BA782&amp;BC782&amp;BE782&amp;BG782&amp;BI782&amp;BK782&amp;BM782&amp;BN782&amp;BO782&amp;BP782&amp;BQ782&amp;BS782&amp;BT782)</f>
        <v/>
      </c>
      <c r="CG782" s="22" t="str">
        <f>IF(CH782="","",MAX($CG$10:CG781)+1)</f>
        <v/>
      </c>
      <c r="CH782" s="22" t="str">
        <f t="shared" si="5101"/>
        <v/>
      </c>
      <c r="CI782" s="22" t="str">
        <f>IF(CJ782="","",MAX($CI$10:CI781)+1)</f>
        <v/>
      </c>
      <c r="CJ782" s="22" t="str">
        <f t="shared" si="5102"/>
        <v/>
      </c>
    </row>
    <row r="783" spans="2:88" x14ac:dyDescent="0.25">
      <c r="B783" s="37"/>
      <c r="C783" s="3"/>
      <c r="D783" s="77" t="str">
        <f t="shared" si="5088"/>
        <v/>
      </c>
      <c r="E783" s="38"/>
      <c r="F783" s="38"/>
      <c r="G783" s="78">
        <f t="shared" si="5103"/>
        <v>0</v>
      </c>
      <c r="H783" s="3">
        <v>80</v>
      </c>
      <c r="I783" s="77" t="str">
        <f t="shared" si="5089"/>
        <v/>
      </c>
      <c r="J783" s="32"/>
      <c r="K783" s="3"/>
      <c r="L783" s="39"/>
      <c r="M783" s="39"/>
      <c r="N783" s="39"/>
      <c r="O783" s="39"/>
      <c r="P783" s="39"/>
      <c r="Q783" s="39"/>
      <c r="R783" s="39"/>
      <c r="S783" s="39"/>
      <c r="T783" s="3" t="s">
        <v>645</v>
      </c>
      <c r="U783" s="77" t="str">
        <f t="shared" si="5090"/>
        <v/>
      </c>
      <c r="V783" s="39">
        <v>1</v>
      </c>
      <c r="W783" s="79">
        <f t="shared" si="5104"/>
        <v>0</v>
      </c>
      <c r="X783" s="3">
        <v>0</v>
      </c>
      <c r="Y783" s="77" t="str">
        <f t="shared" si="5091"/>
        <v/>
      </c>
      <c r="Z783" s="3"/>
      <c r="AA783" s="37" t="str">
        <f t="shared" si="5105"/>
        <v/>
      </c>
      <c r="AC783" s="40"/>
      <c r="AD783" s="7"/>
      <c r="AE783" s="77" t="str">
        <f t="shared" si="5092"/>
        <v/>
      </c>
      <c r="AF783" s="81">
        <f t="shared" si="5118"/>
        <v>0</v>
      </c>
      <c r="AG783" s="40"/>
      <c r="AH783" s="7"/>
      <c r="AI783" s="77" t="str">
        <f t="shared" si="5093"/>
        <v/>
      </c>
      <c r="AJ783" s="81">
        <f t="shared" si="5119"/>
        <v>0</v>
      </c>
      <c r="AK783" s="83">
        <f t="shared" si="5120"/>
        <v>0</v>
      </c>
      <c r="AL783" s="83">
        <f t="shared" si="5121"/>
        <v>0</v>
      </c>
      <c r="AN783" s="43">
        <f t="shared" si="5094"/>
        <v>0</v>
      </c>
      <c r="AP783" t="str">
        <f t="shared" si="5122"/>
        <v/>
      </c>
      <c r="AQ783" t="str">
        <f t="shared" si="5123"/>
        <v/>
      </c>
      <c r="AR783" t="str">
        <f t="shared" si="5124"/>
        <v/>
      </c>
      <c r="AS783" t="str">
        <f t="shared" si="5125"/>
        <v/>
      </c>
      <c r="AT783" t="str">
        <f t="shared" si="5126"/>
        <v/>
      </c>
      <c r="AU783" t="str">
        <f t="shared" si="5127"/>
        <v/>
      </c>
      <c r="AV783" t="str">
        <f t="shared" si="5128"/>
        <v/>
      </c>
      <c r="AW783" t="str">
        <f t="shared" si="5129"/>
        <v xml:space="preserve">                              </v>
      </c>
      <c r="AX783" s="23">
        <f t="shared" si="5130"/>
        <v>0</v>
      </c>
      <c r="AY783" s="49" t="str">
        <f t="shared" si="5106"/>
        <v>000000000000000</v>
      </c>
      <c r="AZ783" s="23">
        <f t="shared" si="5131"/>
        <v>0</v>
      </c>
      <c r="BA783" s="49" t="str">
        <f t="shared" si="5106"/>
        <v>000000000000000</v>
      </c>
      <c r="BB783" s="23">
        <f t="shared" si="5132"/>
        <v>0</v>
      </c>
      <c r="BC783" s="49" t="str">
        <f t="shared" ref="BC783" si="5157">IF(BB783&lt;0,SUBSTITUTE(TEXT(BB783,"000000000000,00"),",",""),SUBSTITUTE(TEXT(BB783,"0000000000000,00"),",",""))</f>
        <v>000000000000000</v>
      </c>
      <c r="BD783" s="23">
        <f t="shared" si="5134"/>
        <v>0</v>
      </c>
      <c r="BE783" s="49" t="str">
        <f t="shared" ref="BE783" si="5158">IF(BD783&lt;0,SUBSTITUTE(TEXT(BD783,"000000000000,00"),",",""),SUBSTITUTE(TEXT(BD783,"0000000000000,00"),",",""))</f>
        <v>000000000000000</v>
      </c>
      <c r="BF783" s="23">
        <f t="shared" si="5136"/>
        <v>0</v>
      </c>
      <c r="BG783" s="49" t="str">
        <f t="shared" ref="BG783" si="5159">IF(BF783&lt;0,SUBSTITUTE(TEXT(BF783,"000000000000,00"),",",""),SUBSTITUTE(TEXT(BF783,"0000000000000,00"),",",""))</f>
        <v>000000000000000</v>
      </c>
      <c r="BH783" s="23">
        <f t="shared" si="5138"/>
        <v>0</v>
      </c>
      <c r="BI783" s="49" t="str">
        <f t="shared" ref="BI783" si="5160">IF(BH783&lt;0,SUBSTITUTE(TEXT(BH783,"000000000000,00"),",",""),SUBSTITUTE(TEXT(BH783,"0000000000000,00"),",",""))</f>
        <v>000000000000000</v>
      </c>
      <c r="BJ783" s="23">
        <f t="shared" si="5140"/>
        <v>0</v>
      </c>
      <c r="BK783" s="49" t="str">
        <f t="shared" ref="BK783" si="5161">IF(BJ783&lt;0,SUBSTITUTE(TEXT(BJ783,"000000000000,00"),",",""),SUBSTITUTE(TEXT(BJ783,"0000000000000,00"),",",""))</f>
        <v>000000000000000</v>
      </c>
      <c r="BL783" s="23">
        <f t="shared" si="5142"/>
        <v>0</v>
      </c>
      <c r="BM783" s="49" t="str">
        <f t="shared" ref="BM783" si="5162">IF(BL783&lt;0,SUBSTITUTE(TEXT(BL783,"000000000000,00"),",",""),SUBSTITUTE(TEXT(BL783,"0000000000000,00"),",",""))</f>
        <v>000000000000000</v>
      </c>
      <c r="BN783" t="str">
        <f t="shared" si="5144"/>
        <v>PES</v>
      </c>
      <c r="BO783" t="str">
        <f t="shared" si="5145"/>
        <v>0001000000</v>
      </c>
      <c r="BP783">
        <f t="shared" si="5146"/>
        <v>0</v>
      </c>
      <c r="BQ783">
        <f t="shared" si="5147"/>
        <v>0</v>
      </c>
      <c r="BR783" s="23">
        <f t="shared" si="5148"/>
        <v>0</v>
      </c>
      <c r="BS783" s="49" t="str">
        <f t="shared" si="5113"/>
        <v>000000000000000</v>
      </c>
      <c r="BT783" t="str">
        <f t="shared" si="5149"/>
        <v>00000000</v>
      </c>
      <c r="BU783" s="23">
        <f t="shared" si="5150"/>
        <v>0</v>
      </c>
      <c r="BV783" s="49" t="str">
        <f t="shared" si="5114"/>
        <v/>
      </c>
      <c r="BW783" s="52" t="str">
        <f t="shared" si="5151"/>
        <v/>
      </c>
      <c r="BX783" s="23">
        <f t="shared" si="5152"/>
        <v>0</v>
      </c>
      <c r="BY783" s="49" t="str">
        <f t="shared" si="5115"/>
        <v/>
      </c>
      <c r="BZ783" s="23">
        <f t="shared" si="5153"/>
        <v>0</v>
      </c>
      <c r="CA783" s="49" t="str">
        <f t="shared" si="5116"/>
        <v/>
      </c>
      <c r="CB783" s="52" t="str">
        <f t="shared" si="5154"/>
        <v/>
      </c>
      <c r="CC783" s="23">
        <f t="shared" si="5155"/>
        <v>0</v>
      </c>
      <c r="CD783" s="49" t="str">
        <f t="shared" si="5117"/>
        <v/>
      </c>
      <c r="CE783" s="56" t="str">
        <f>IF(CF783="","",MAX(CE$10:$CE782)+1)</f>
        <v/>
      </c>
      <c r="CF783" t="str">
        <f t="shared" si="5156"/>
        <v/>
      </c>
      <c r="CG783" s="22" t="str">
        <f>IF(CH783="","",MAX($CG$10:CG782)+1)</f>
        <v/>
      </c>
      <c r="CH783" s="22" t="str">
        <f t="shared" si="5101"/>
        <v/>
      </c>
      <c r="CI783" s="22" t="str">
        <f>IF(CJ783="","",MAX($CI$10:CI782)+1)</f>
        <v/>
      </c>
      <c r="CJ783" s="22" t="str">
        <f t="shared" si="5102"/>
        <v/>
      </c>
    </row>
    <row r="784" spans="2:88" x14ac:dyDescent="0.25">
      <c r="B784" s="37"/>
      <c r="C784" s="3"/>
      <c r="D784" s="77" t="str">
        <f t="shared" si="5088"/>
        <v/>
      </c>
      <c r="E784" s="38"/>
      <c r="F784" s="38"/>
      <c r="G784" s="78">
        <f t="shared" si="5103"/>
        <v>0</v>
      </c>
      <c r="H784" s="3">
        <v>80</v>
      </c>
      <c r="I784" s="77" t="str">
        <f t="shared" si="5089"/>
        <v/>
      </c>
      <c r="J784" s="32"/>
      <c r="K784" s="3"/>
      <c r="L784" s="39"/>
      <c r="M784" s="39"/>
      <c r="N784" s="39"/>
      <c r="O784" s="39"/>
      <c r="P784" s="39"/>
      <c r="Q784" s="39"/>
      <c r="R784" s="39"/>
      <c r="S784" s="39"/>
      <c r="T784" s="3" t="s">
        <v>645</v>
      </c>
      <c r="U784" s="77" t="str">
        <f t="shared" si="5090"/>
        <v/>
      </c>
      <c r="V784" s="39">
        <v>1</v>
      </c>
      <c r="W784" s="79">
        <f t="shared" si="5104"/>
        <v>0</v>
      </c>
      <c r="X784" s="3">
        <v>0</v>
      </c>
      <c r="Y784" s="77" t="str">
        <f t="shared" si="5091"/>
        <v/>
      </c>
      <c r="Z784" s="3"/>
      <c r="AA784" s="37" t="str">
        <f t="shared" si="5105"/>
        <v/>
      </c>
      <c r="AC784" s="40"/>
      <c r="AD784" s="7"/>
      <c r="AE784" s="77" t="str">
        <f t="shared" si="5092"/>
        <v/>
      </c>
      <c r="AF784" s="81">
        <f t="shared" si="5118"/>
        <v>0</v>
      </c>
      <c r="AG784" s="40"/>
      <c r="AH784" s="7"/>
      <c r="AI784" s="77" t="str">
        <f t="shared" si="5093"/>
        <v/>
      </c>
      <c r="AJ784" s="81">
        <f t="shared" si="5119"/>
        <v>0</v>
      </c>
      <c r="AK784" s="83">
        <f t="shared" si="5120"/>
        <v>0</v>
      </c>
      <c r="AL784" s="83">
        <f t="shared" si="5121"/>
        <v>0</v>
      </c>
      <c r="AN784" s="43">
        <f t="shared" si="5094"/>
        <v>0</v>
      </c>
      <c r="AP784" t="str">
        <f t="shared" si="5122"/>
        <v/>
      </c>
      <c r="AQ784" t="str">
        <f t="shared" si="5123"/>
        <v/>
      </c>
      <c r="AR784" t="str">
        <f t="shared" si="5124"/>
        <v/>
      </c>
      <c r="AS784" t="str">
        <f t="shared" si="5125"/>
        <v/>
      </c>
      <c r="AT784" t="str">
        <f t="shared" si="5126"/>
        <v/>
      </c>
      <c r="AU784" t="str">
        <f t="shared" si="5127"/>
        <v/>
      </c>
      <c r="AV784" t="str">
        <f t="shared" si="5128"/>
        <v/>
      </c>
      <c r="AW784" t="str">
        <f t="shared" si="5129"/>
        <v xml:space="preserve">                              </v>
      </c>
      <c r="AX784" s="23">
        <f t="shared" si="5130"/>
        <v>0</v>
      </c>
      <c r="AY784" s="49" t="str">
        <f t="shared" si="5106"/>
        <v>000000000000000</v>
      </c>
      <c r="AZ784" s="23">
        <f t="shared" si="5131"/>
        <v>0</v>
      </c>
      <c r="BA784" s="49" t="str">
        <f t="shared" si="5106"/>
        <v>000000000000000</v>
      </c>
      <c r="BB784" s="23">
        <f t="shared" si="5132"/>
        <v>0</v>
      </c>
      <c r="BC784" s="49" t="str">
        <f t="shared" ref="BC784" si="5163">IF(BB784&lt;0,SUBSTITUTE(TEXT(BB784,"000000000000,00"),",",""),SUBSTITUTE(TEXT(BB784,"0000000000000,00"),",",""))</f>
        <v>000000000000000</v>
      </c>
      <c r="BD784" s="23">
        <f t="shared" si="5134"/>
        <v>0</v>
      </c>
      <c r="BE784" s="49" t="str">
        <f t="shared" ref="BE784" si="5164">IF(BD784&lt;0,SUBSTITUTE(TEXT(BD784,"000000000000,00"),",",""),SUBSTITUTE(TEXT(BD784,"0000000000000,00"),",",""))</f>
        <v>000000000000000</v>
      </c>
      <c r="BF784" s="23">
        <f t="shared" si="5136"/>
        <v>0</v>
      </c>
      <c r="BG784" s="49" t="str">
        <f t="shared" ref="BG784" si="5165">IF(BF784&lt;0,SUBSTITUTE(TEXT(BF784,"000000000000,00"),",",""),SUBSTITUTE(TEXT(BF784,"0000000000000,00"),",",""))</f>
        <v>000000000000000</v>
      </c>
      <c r="BH784" s="23">
        <f t="shared" si="5138"/>
        <v>0</v>
      </c>
      <c r="BI784" s="49" t="str">
        <f t="shared" ref="BI784" si="5166">IF(BH784&lt;0,SUBSTITUTE(TEXT(BH784,"000000000000,00"),",",""),SUBSTITUTE(TEXT(BH784,"0000000000000,00"),",",""))</f>
        <v>000000000000000</v>
      </c>
      <c r="BJ784" s="23">
        <f t="shared" si="5140"/>
        <v>0</v>
      </c>
      <c r="BK784" s="49" t="str">
        <f t="shared" ref="BK784" si="5167">IF(BJ784&lt;0,SUBSTITUTE(TEXT(BJ784,"000000000000,00"),",",""),SUBSTITUTE(TEXT(BJ784,"0000000000000,00"),",",""))</f>
        <v>000000000000000</v>
      </c>
      <c r="BL784" s="23">
        <f t="shared" si="5142"/>
        <v>0</v>
      </c>
      <c r="BM784" s="49" t="str">
        <f t="shared" ref="BM784" si="5168">IF(BL784&lt;0,SUBSTITUTE(TEXT(BL784,"000000000000,00"),",",""),SUBSTITUTE(TEXT(BL784,"0000000000000,00"),",",""))</f>
        <v>000000000000000</v>
      </c>
      <c r="BN784" t="str">
        <f t="shared" si="5144"/>
        <v>PES</v>
      </c>
      <c r="BO784" t="str">
        <f t="shared" si="5145"/>
        <v>0001000000</v>
      </c>
      <c r="BP784">
        <f t="shared" si="5146"/>
        <v>0</v>
      </c>
      <c r="BQ784">
        <f t="shared" si="5147"/>
        <v>0</v>
      </c>
      <c r="BR784" s="23">
        <f t="shared" si="5148"/>
        <v>0</v>
      </c>
      <c r="BS784" s="49" t="str">
        <f t="shared" si="5113"/>
        <v>000000000000000</v>
      </c>
      <c r="BT784" t="str">
        <f t="shared" si="5149"/>
        <v>00000000</v>
      </c>
      <c r="BU784" s="23">
        <f t="shared" si="5150"/>
        <v>0</v>
      </c>
      <c r="BV784" s="49" t="str">
        <f t="shared" si="5114"/>
        <v/>
      </c>
      <c r="BW784" s="52" t="str">
        <f t="shared" si="5151"/>
        <v/>
      </c>
      <c r="BX784" s="23">
        <f t="shared" si="5152"/>
        <v>0</v>
      </c>
      <c r="BY784" s="49" t="str">
        <f t="shared" si="5115"/>
        <v/>
      </c>
      <c r="BZ784" s="23">
        <f t="shared" si="5153"/>
        <v>0</v>
      </c>
      <c r="CA784" s="49" t="str">
        <f t="shared" si="5116"/>
        <v/>
      </c>
      <c r="CB784" s="52" t="str">
        <f t="shared" si="5154"/>
        <v/>
      </c>
      <c r="CC784" s="23">
        <f t="shared" si="5155"/>
        <v>0</v>
      </c>
      <c r="CD784" s="49" t="str">
        <f t="shared" si="5117"/>
        <v/>
      </c>
      <c r="CE784" s="56" t="str">
        <f>IF(CF784="","",MAX(CE$10:$CE783)+1)</f>
        <v/>
      </c>
      <c r="CF784" t="str">
        <f t="shared" si="5156"/>
        <v/>
      </c>
      <c r="CG784" s="22" t="str">
        <f>IF(CH784="","",MAX($CG$10:CG783)+1)</f>
        <v/>
      </c>
      <c r="CH784" s="22" t="str">
        <f t="shared" si="5101"/>
        <v/>
      </c>
      <c r="CI784" s="22" t="str">
        <f>IF(CJ784="","",MAX($CI$10:CI783)+1)</f>
        <v/>
      </c>
      <c r="CJ784" s="22" t="str">
        <f t="shared" si="5102"/>
        <v/>
      </c>
    </row>
    <row r="785" spans="2:88" x14ac:dyDescent="0.25">
      <c r="B785" s="37"/>
      <c r="C785" s="3"/>
      <c r="D785" s="77" t="str">
        <f t="shared" si="5088"/>
        <v/>
      </c>
      <c r="E785" s="38"/>
      <c r="F785" s="38"/>
      <c r="G785" s="78">
        <f t="shared" si="5103"/>
        <v>0</v>
      </c>
      <c r="H785" s="3">
        <v>80</v>
      </c>
      <c r="I785" s="77" t="str">
        <f t="shared" si="5089"/>
        <v/>
      </c>
      <c r="J785" s="32"/>
      <c r="K785" s="3"/>
      <c r="L785" s="39"/>
      <c r="M785" s="39"/>
      <c r="N785" s="39"/>
      <c r="O785" s="39"/>
      <c r="P785" s="39"/>
      <c r="Q785" s="39"/>
      <c r="R785" s="39"/>
      <c r="S785" s="39"/>
      <c r="T785" s="3" t="s">
        <v>645</v>
      </c>
      <c r="U785" s="77" t="str">
        <f t="shared" si="5090"/>
        <v/>
      </c>
      <c r="V785" s="39">
        <v>1</v>
      </c>
      <c r="W785" s="79">
        <f t="shared" si="5104"/>
        <v>0</v>
      </c>
      <c r="X785" s="3">
        <v>0</v>
      </c>
      <c r="Y785" s="77" t="str">
        <f t="shared" si="5091"/>
        <v/>
      </c>
      <c r="Z785" s="3"/>
      <c r="AA785" s="37" t="str">
        <f t="shared" si="5105"/>
        <v/>
      </c>
      <c r="AC785" s="40"/>
      <c r="AD785" s="7"/>
      <c r="AE785" s="77" t="str">
        <f t="shared" si="5092"/>
        <v/>
      </c>
      <c r="AF785" s="81">
        <f t="shared" si="5118"/>
        <v>0</v>
      </c>
      <c r="AG785" s="40"/>
      <c r="AH785" s="7"/>
      <c r="AI785" s="77" t="str">
        <f t="shared" si="5093"/>
        <v/>
      </c>
      <c r="AJ785" s="81">
        <f t="shared" si="5119"/>
        <v>0</v>
      </c>
      <c r="AK785" s="83">
        <f t="shared" si="5120"/>
        <v>0</v>
      </c>
      <c r="AL785" s="83">
        <f t="shared" si="5121"/>
        <v>0</v>
      </c>
      <c r="AN785" s="43">
        <f t="shared" si="5094"/>
        <v>0</v>
      </c>
      <c r="AP785" t="str">
        <f t="shared" si="5122"/>
        <v/>
      </c>
      <c r="AQ785" t="str">
        <f t="shared" si="5123"/>
        <v/>
      </c>
      <c r="AR785" t="str">
        <f t="shared" si="5124"/>
        <v/>
      </c>
      <c r="AS785" t="str">
        <f t="shared" si="5125"/>
        <v/>
      </c>
      <c r="AT785" t="str">
        <f t="shared" si="5126"/>
        <v/>
      </c>
      <c r="AU785" t="str">
        <f t="shared" si="5127"/>
        <v/>
      </c>
      <c r="AV785" t="str">
        <f t="shared" si="5128"/>
        <v/>
      </c>
      <c r="AW785" t="str">
        <f t="shared" si="5129"/>
        <v xml:space="preserve">                              </v>
      </c>
      <c r="AX785" s="23">
        <f t="shared" si="5130"/>
        <v>0</v>
      </c>
      <c r="AY785" s="49" t="str">
        <f t="shared" si="5106"/>
        <v>000000000000000</v>
      </c>
      <c r="AZ785" s="23">
        <f t="shared" si="5131"/>
        <v>0</v>
      </c>
      <c r="BA785" s="49" t="str">
        <f t="shared" si="5106"/>
        <v>000000000000000</v>
      </c>
      <c r="BB785" s="23">
        <f t="shared" si="5132"/>
        <v>0</v>
      </c>
      <c r="BC785" s="49" t="str">
        <f t="shared" ref="BC785" si="5169">IF(BB785&lt;0,SUBSTITUTE(TEXT(BB785,"000000000000,00"),",",""),SUBSTITUTE(TEXT(BB785,"0000000000000,00"),",",""))</f>
        <v>000000000000000</v>
      </c>
      <c r="BD785" s="23">
        <f t="shared" si="5134"/>
        <v>0</v>
      </c>
      <c r="BE785" s="49" t="str">
        <f t="shared" ref="BE785" si="5170">IF(BD785&lt;0,SUBSTITUTE(TEXT(BD785,"000000000000,00"),",",""),SUBSTITUTE(TEXT(BD785,"0000000000000,00"),",",""))</f>
        <v>000000000000000</v>
      </c>
      <c r="BF785" s="23">
        <f t="shared" si="5136"/>
        <v>0</v>
      </c>
      <c r="BG785" s="49" t="str">
        <f t="shared" ref="BG785" si="5171">IF(BF785&lt;0,SUBSTITUTE(TEXT(BF785,"000000000000,00"),",",""),SUBSTITUTE(TEXT(BF785,"0000000000000,00"),",",""))</f>
        <v>000000000000000</v>
      </c>
      <c r="BH785" s="23">
        <f t="shared" si="5138"/>
        <v>0</v>
      </c>
      <c r="BI785" s="49" t="str">
        <f t="shared" ref="BI785" si="5172">IF(BH785&lt;0,SUBSTITUTE(TEXT(BH785,"000000000000,00"),",",""),SUBSTITUTE(TEXT(BH785,"0000000000000,00"),",",""))</f>
        <v>000000000000000</v>
      </c>
      <c r="BJ785" s="23">
        <f t="shared" si="5140"/>
        <v>0</v>
      </c>
      <c r="BK785" s="49" t="str">
        <f t="shared" ref="BK785" si="5173">IF(BJ785&lt;0,SUBSTITUTE(TEXT(BJ785,"000000000000,00"),",",""),SUBSTITUTE(TEXT(BJ785,"0000000000000,00"),",",""))</f>
        <v>000000000000000</v>
      </c>
      <c r="BL785" s="23">
        <f t="shared" si="5142"/>
        <v>0</v>
      </c>
      <c r="BM785" s="49" t="str">
        <f t="shared" ref="BM785" si="5174">IF(BL785&lt;0,SUBSTITUTE(TEXT(BL785,"000000000000,00"),",",""),SUBSTITUTE(TEXT(BL785,"0000000000000,00"),",",""))</f>
        <v>000000000000000</v>
      </c>
      <c r="BN785" t="str">
        <f t="shared" si="5144"/>
        <v>PES</v>
      </c>
      <c r="BO785" t="str">
        <f t="shared" si="5145"/>
        <v>0001000000</v>
      </c>
      <c r="BP785">
        <f t="shared" si="5146"/>
        <v>0</v>
      </c>
      <c r="BQ785">
        <f t="shared" si="5147"/>
        <v>0</v>
      </c>
      <c r="BR785" s="23">
        <f t="shared" si="5148"/>
        <v>0</v>
      </c>
      <c r="BS785" s="49" t="str">
        <f t="shared" si="5113"/>
        <v>000000000000000</v>
      </c>
      <c r="BT785" t="str">
        <f t="shared" si="5149"/>
        <v>00000000</v>
      </c>
      <c r="BU785" s="23">
        <f t="shared" si="5150"/>
        <v>0</v>
      </c>
      <c r="BV785" s="49" t="str">
        <f t="shared" si="5114"/>
        <v/>
      </c>
      <c r="BW785" s="52" t="str">
        <f t="shared" si="5151"/>
        <v/>
      </c>
      <c r="BX785" s="23">
        <f t="shared" si="5152"/>
        <v>0</v>
      </c>
      <c r="BY785" s="49" t="str">
        <f t="shared" si="5115"/>
        <v/>
      </c>
      <c r="BZ785" s="23">
        <f t="shared" si="5153"/>
        <v>0</v>
      </c>
      <c r="CA785" s="49" t="str">
        <f t="shared" si="5116"/>
        <v/>
      </c>
      <c r="CB785" s="52" t="str">
        <f t="shared" si="5154"/>
        <v/>
      </c>
      <c r="CC785" s="23">
        <f t="shared" si="5155"/>
        <v>0</v>
      </c>
      <c r="CD785" s="49" t="str">
        <f t="shared" si="5117"/>
        <v/>
      </c>
      <c r="CE785" s="56" t="str">
        <f>IF(CF785="","",MAX(CE$10:$CE784)+1)</f>
        <v/>
      </c>
      <c r="CF785" t="str">
        <f t="shared" si="5156"/>
        <v/>
      </c>
      <c r="CG785" s="22" t="str">
        <f>IF(CH785="","",MAX($CG$10:CG784)+1)</f>
        <v/>
      </c>
      <c r="CH785" s="22" t="str">
        <f t="shared" si="5101"/>
        <v/>
      </c>
      <c r="CI785" s="22" t="str">
        <f>IF(CJ785="","",MAX($CI$10:CI784)+1)</f>
        <v/>
      </c>
      <c r="CJ785" s="22" t="str">
        <f t="shared" si="5102"/>
        <v/>
      </c>
    </row>
    <row r="786" spans="2:88" x14ac:dyDescent="0.25">
      <c r="B786" s="37"/>
      <c r="C786" s="3"/>
      <c r="D786" s="77" t="str">
        <f t="shared" si="5088"/>
        <v/>
      </c>
      <c r="E786" s="38"/>
      <c r="F786" s="38"/>
      <c r="G786" s="78">
        <f t="shared" si="5103"/>
        <v>0</v>
      </c>
      <c r="H786" s="3">
        <v>80</v>
      </c>
      <c r="I786" s="77" t="str">
        <f t="shared" si="5089"/>
        <v/>
      </c>
      <c r="J786" s="32"/>
      <c r="K786" s="3"/>
      <c r="L786" s="39"/>
      <c r="M786" s="39"/>
      <c r="N786" s="39"/>
      <c r="O786" s="39"/>
      <c r="P786" s="39"/>
      <c r="Q786" s="39"/>
      <c r="R786" s="39"/>
      <c r="S786" s="39"/>
      <c r="T786" s="3" t="s">
        <v>645</v>
      </c>
      <c r="U786" s="77" t="str">
        <f t="shared" si="5090"/>
        <v/>
      </c>
      <c r="V786" s="39">
        <v>1</v>
      </c>
      <c r="W786" s="79">
        <f t="shared" si="5104"/>
        <v>0</v>
      </c>
      <c r="X786" s="3">
        <v>0</v>
      </c>
      <c r="Y786" s="77" t="str">
        <f t="shared" si="5091"/>
        <v/>
      </c>
      <c r="Z786" s="3"/>
      <c r="AA786" s="37" t="str">
        <f t="shared" si="5105"/>
        <v/>
      </c>
      <c r="AC786" s="40"/>
      <c r="AD786" s="7"/>
      <c r="AE786" s="77" t="str">
        <f t="shared" si="5092"/>
        <v/>
      </c>
      <c r="AF786" s="81">
        <f t="shared" si="5118"/>
        <v>0</v>
      </c>
      <c r="AG786" s="40"/>
      <c r="AH786" s="7"/>
      <c r="AI786" s="77" t="str">
        <f t="shared" si="5093"/>
        <v/>
      </c>
      <c r="AJ786" s="81">
        <f t="shared" si="5119"/>
        <v>0</v>
      </c>
      <c r="AK786" s="83">
        <f t="shared" si="5120"/>
        <v>0</v>
      </c>
      <c r="AL786" s="83">
        <f t="shared" si="5121"/>
        <v>0</v>
      </c>
      <c r="AN786" s="43">
        <f t="shared" si="5094"/>
        <v>0</v>
      </c>
      <c r="AP786" t="str">
        <f t="shared" si="5122"/>
        <v/>
      </c>
      <c r="AQ786" t="str">
        <f t="shared" si="5123"/>
        <v/>
      </c>
      <c r="AR786" t="str">
        <f t="shared" si="5124"/>
        <v/>
      </c>
      <c r="AS786" t="str">
        <f t="shared" si="5125"/>
        <v/>
      </c>
      <c r="AT786" t="str">
        <f t="shared" si="5126"/>
        <v/>
      </c>
      <c r="AU786" t="str">
        <f t="shared" si="5127"/>
        <v/>
      </c>
      <c r="AV786" t="str">
        <f t="shared" si="5128"/>
        <v/>
      </c>
      <c r="AW786" t="str">
        <f t="shared" si="5129"/>
        <v xml:space="preserve">                              </v>
      </c>
      <c r="AX786" s="23">
        <f t="shared" si="5130"/>
        <v>0</v>
      </c>
      <c r="AY786" s="49" t="str">
        <f t="shared" si="5106"/>
        <v>000000000000000</v>
      </c>
      <c r="AZ786" s="23">
        <f t="shared" si="5131"/>
        <v>0</v>
      </c>
      <c r="BA786" s="49" t="str">
        <f t="shared" si="5106"/>
        <v>000000000000000</v>
      </c>
      <c r="BB786" s="23">
        <f t="shared" si="5132"/>
        <v>0</v>
      </c>
      <c r="BC786" s="49" t="str">
        <f t="shared" ref="BC786" si="5175">IF(BB786&lt;0,SUBSTITUTE(TEXT(BB786,"000000000000,00"),",",""),SUBSTITUTE(TEXT(BB786,"0000000000000,00"),",",""))</f>
        <v>000000000000000</v>
      </c>
      <c r="BD786" s="23">
        <f t="shared" si="5134"/>
        <v>0</v>
      </c>
      <c r="BE786" s="49" t="str">
        <f t="shared" ref="BE786" si="5176">IF(BD786&lt;0,SUBSTITUTE(TEXT(BD786,"000000000000,00"),",",""),SUBSTITUTE(TEXT(BD786,"0000000000000,00"),",",""))</f>
        <v>000000000000000</v>
      </c>
      <c r="BF786" s="23">
        <f t="shared" si="5136"/>
        <v>0</v>
      </c>
      <c r="BG786" s="49" t="str">
        <f t="shared" ref="BG786" si="5177">IF(BF786&lt;0,SUBSTITUTE(TEXT(BF786,"000000000000,00"),",",""),SUBSTITUTE(TEXT(BF786,"0000000000000,00"),",",""))</f>
        <v>000000000000000</v>
      </c>
      <c r="BH786" s="23">
        <f t="shared" si="5138"/>
        <v>0</v>
      </c>
      <c r="BI786" s="49" t="str">
        <f t="shared" ref="BI786" si="5178">IF(BH786&lt;0,SUBSTITUTE(TEXT(BH786,"000000000000,00"),",",""),SUBSTITUTE(TEXT(BH786,"0000000000000,00"),",",""))</f>
        <v>000000000000000</v>
      </c>
      <c r="BJ786" s="23">
        <f t="shared" si="5140"/>
        <v>0</v>
      </c>
      <c r="BK786" s="49" t="str">
        <f t="shared" ref="BK786" si="5179">IF(BJ786&lt;0,SUBSTITUTE(TEXT(BJ786,"000000000000,00"),",",""),SUBSTITUTE(TEXT(BJ786,"0000000000000,00"),",",""))</f>
        <v>000000000000000</v>
      </c>
      <c r="BL786" s="23">
        <f t="shared" si="5142"/>
        <v>0</v>
      </c>
      <c r="BM786" s="49" t="str">
        <f t="shared" ref="BM786" si="5180">IF(BL786&lt;0,SUBSTITUTE(TEXT(BL786,"000000000000,00"),",",""),SUBSTITUTE(TEXT(BL786,"0000000000000,00"),",",""))</f>
        <v>000000000000000</v>
      </c>
      <c r="BN786" t="str">
        <f t="shared" si="5144"/>
        <v>PES</v>
      </c>
      <c r="BO786" t="str">
        <f t="shared" si="5145"/>
        <v>0001000000</v>
      </c>
      <c r="BP786">
        <f t="shared" si="5146"/>
        <v>0</v>
      </c>
      <c r="BQ786">
        <f t="shared" si="5147"/>
        <v>0</v>
      </c>
      <c r="BR786" s="23">
        <f t="shared" si="5148"/>
        <v>0</v>
      </c>
      <c r="BS786" s="49" t="str">
        <f t="shared" si="5113"/>
        <v>000000000000000</v>
      </c>
      <c r="BT786" t="str">
        <f t="shared" si="5149"/>
        <v>00000000</v>
      </c>
      <c r="BU786" s="23">
        <f t="shared" si="5150"/>
        <v>0</v>
      </c>
      <c r="BV786" s="49" t="str">
        <f t="shared" si="5114"/>
        <v/>
      </c>
      <c r="BW786" s="52" t="str">
        <f t="shared" si="5151"/>
        <v/>
      </c>
      <c r="BX786" s="23">
        <f t="shared" si="5152"/>
        <v>0</v>
      </c>
      <c r="BY786" s="49" t="str">
        <f t="shared" si="5115"/>
        <v/>
      </c>
      <c r="BZ786" s="23">
        <f t="shared" si="5153"/>
        <v>0</v>
      </c>
      <c r="CA786" s="49" t="str">
        <f t="shared" si="5116"/>
        <v/>
      </c>
      <c r="CB786" s="52" t="str">
        <f t="shared" si="5154"/>
        <v/>
      </c>
      <c r="CC786" s="23">
        <f t="shared" si="5155"/>
        <v>0</v>
      </c>
      <c r="CD786" s="49" t="str">
        <f t="shared" si="5117"/>
        <v/>
      </c>
      <c r="CE786" s="56" t="str">
        <f>IF(CF786="","",MAX(CE$10:$CE785)+1)</f>
        <v/>
      </c>
      <c r="CF786" t="str">
        <f t="shared" si="5156"/>
        <v/>
      </c>
      <c r="CG786" s="22" t="str">
        <f>IF(CH786="","",MAX($CG$10:CG785)+1)</f>
        <v/>
      </c>
      <c r="CH786" s="22" t="str">
        <f t="shared" si="5101"/>
        <v/>
      </c>
      <c r="CI786" s="22" t="str">
        <f>IF(CJ786="","",MAX($CI$10:CI785)+1)</f>
        <v/>
      </c>
      <c r="CJ786" s="22" t="str">
        <f t="shared" si="5102"/>
        <v/>
      </c>
    </row>
    <row r="787" spans="2:88" x14ac:dyDescent="0.25">
      <c r="B787" s="37"/>
      <c r="C787" s="3"/>
      <c r="D787" s="77" t="str">
        <f t="shared" si="5088"/>
        <v/>
      </c>
      <c r="E787" s="38"/>
      <c r="F787" s="38"/>
      <c r="G787" s="78">
        <f t="shared" si="5103"/>
        <v>0</v>
      </c>
      <c r="H787" s="3">
        <v>80</v>
      </c>
      <c r="I787" s="77" t="str">
        <f t="shared" si="5089"/>
        <v/>
      </c>
      <c r="J787" s="32"/>
      <c r="K787" s="3"/>
      <c r="L787" s="39"/>
      <c r="M787" s="39"/>
      <c r="N787" s="39"/>
      <c r="O787" s="39"/>
      <c r="P787" s="39"/>
      <c r="Q787" s="39"/>
      <c r="R787" s="39"/>
      <c r="S787" s="39"/>
      <c r="T787" s="3" t="s">
        <v>645</v>
      </c>
      <c r="U787" s="77" t="str">
        <f t="shared" si="5090"/>
        <v/>
      </c>
      <c r="V787" s="39">
        <v>1</v>
      </c>
      <c r="W787" s="79">
        <f t="shared" si="5104"/>
        <v>0</v>
      </c>
      <c r="X787" s="3">
        <v>0</v>
      </c>
      <c r="Y787" s="77" t="str">
        <f t="shared" si="5091"/>
        <v/>
      </c>
      <c r="Z787" s="3"/>
      <c r="AA787" s="37" t="str">
        <f t="shared" si="5105"/>
        <v/>
      </c>
      <c r="AC787" s="40"/>
      <c r="AD787" s="7"/>
      <c r="AE787" s="77" t="str">
        <f t="shared" si="5092"/>
        <v/>
      </c>
      <c r="AF787" s="81">
        <f t="shared" si="5118"/>
        <v>0</v>
      </c>
      <c r="AG787" s="40"/>
      <c r="AH787" s="7"/>
      <c r="AI787" s="77" t="str">
        <f t="shared" si="5093"/>
        <v/>
      </c>
      <c r="AJ787" s="81">
        <f t="shared" si="5119"/>
        <v>0</v>
      </c>
      <c r="AK787" s="83">
        <f t="shared" si="5120"/>
        <v>0</v>
      </c>
      <c r="AL787" s="83">
        <f t="shared" si="5121"/>
        <v>0</v>
      </c>
      <c r="AN787" s="43">
        <f t="shared" si="5094"/>
        <v>0</v>
      </c>
      <c r="AP787" t="str">
        <f t="shared" si="5122"/>
        <v/>
      </c>
      <c r="AQ787" t="str">
        <f t="shared" si="5123"/>
        <v/>
      </c>
      <c r="AR787" t="str">
        <f t="shared" si="5124"/>
        <v/>
      </c>
      <c r="AS787" t="str">
        <f t="shared" si="5125"/>
        <v/>
      </c>
      <c r="AT787" t="str">
        <f t="shared" si="5126"/>
        <v/>
      </c>
      <c r="AU787" t="str">
        <f t="shared" si="5127"/>
        <v/>
      </c>
      <c r="AV787" t="str">
        <f t="shared" si="5128"/>
        <v/>
      </c>
      <c r="AW787" t="str">
        <f t="shared" si="5129"/>
        <v xml:space="preserve">                              </v>
      </c>
      <c r="AX787" s="23">
        <f t="shared" si="5130"/>
        <v>0</v>
      </c>
      <c r="AY787" s="49" t="str">
        <f t="shared" si="5106"/>
        <v>000000000000000</v>
      </c>
      <c r="AZ787" s="23">
        <f t="shared" si="5131"/>
        <v>0</v>
      </c>
      <c r="BA787" s="49" t="str">
        <f t="shared" si="5106"/>
        <v>000000000000000</v>
      </c>
      <c r="BB787" s="23">
        <f t="shared" si="5132"/>
        <v>0</v>
      </c>
      <c r="BC787" s="49" t="str">
        <f t="shared" ref="BC787" si="5181">IF(BB787&lt;0,SUBSTITUTE(TEXT(BB787,"000000000000,00"),",",""),SUBSTITUTE(TEXT(BB787,"0000000000000,00"),",",""))</f>
        <v>000000000000000</v>
      </c>
      <c r="BD787" s="23">
        <f t="shared" si="5134"/>
        <v>0</v>
      </c>
      <c r="BE787" s="49" t="str">
        <f t="shared" ref="BE787" si="5182">IF(BD787&lt;0,SUBSTITUTE(TEXT(BD787,"000000000000,00"),",",""),SUBSTITUTE(TEXT(BD787,"0000000000000,00"),",",""))</f>
        <v>000000000000000</v>
      </c>
      <c r="BF787" s="23">
        <f t="shared" si="5136"/>
        <v>0</v>
      </c>
      <c r="BG787" s="49" t="str">
        <f t="shared" ref="BG787" si="5183">IF(BF787&lt;0,SUBSTITUTE(TEXT(BF787,"000000000000,00"),",",""),SUBSTITUTE(TEXT(BF787,"0000000000000,00"),",",""))</f>
        <v>000000000000000</v>
      </c>
      <c r="BH787" s="23">
        <f t="shared" si="5138"/>
        <v>0</v>
      </c>
      <c r="BI787" s="49" t="str">
        <f t="shared" ref="BI787" si="5184">IF(BH787&lt;0,SUBSTITUTE(TEXT(BH787,"000000000000,00"),",",""),SUBSTITUTE(TEXT(BH787,"0000000000000,00"),",",""))</f>
        <v>000000000000000</v>
      </c>
      <c r="BJ787" s="23">
        <f t="shared" si="5140"/>
        <v>0</v>
      </c>
      <c r="BK787" s="49" t="str">
        <f t="shared" ref="BK787" si="5185">IF(BJ787&lt;0,SUBSTITUTE(TEXT(BJ787,"000000000000,00"),",",""),SUBSTITUTE(TEXT(BJ787,"0000000000000,00"),",",""))</f>
        <v>000000000000000</v>
      </c>
      <c r="BL787" s="23">
        <f t="shared" si="5142"/>
        <v>0</v>
      </c>
      <c r="BM787" s="49" t="str">
        <f t="shared" ref="BM787" si="5186">IF(BL787&lt;0,SUBSTITUTE(TEXT(BL787,"000000000000,00"),",",""),SUBSTITUTE(TEXT(BL787,"0000000000000,00"),",",""))</f>
        <v>000000000000000</v>
      </c>
      <c r="BN787" t="str">
        <f t="shared" si="5144"/>
        <v>PES</v>
      </c>
      <c r="BO787" t="str">
        <f t="shared" si="5145"/>
        <v>0001000000</v>
      </c>
      <c r="BP787">
        <f t="shared" si="5146"/>
        <v>0</v>
      </c>
      <c r="BQ787">
        <f t="shared" si="5147"/>
        <v>0</v>
      </c>
      <c r="BR787" s="23">
        <f t="shared" si="5148"/>
        <v>0</v>
      </c>
      <c r="BS787" s="49" t="str">
        <f t="shared" si="5113"/>
        <v>000000000000000</v>
      </c>
      <c r="BT787" t="str">
        <f t="shared" si="5149"/>
        <v>00000000</v>
      </c>
      <c r="BU787" s="23">
        <f t="shared" si="5150"/>
        <v>0</v>
      </c>
      <c r="BV787" s="49" t="str">
        <f t="shared" si="5114"/>
        <v/>
      </c>
      <c r="BW787" s="52" t="str">
        <f t="shared" si="5151"/>
        <v/>
      </c>
      <c r="BX787" s="23">
        <f t="shared" si="5152"/>
        <v>0</v>
      </c>
      <c r="BY787" s="49" t="str">
        <f t="shared" si="5115"/>
        <v/>
      </c>
      <c r="BZ787" s="23">
        <f t="shared" si="5153"/>
        <v>0</v>
      </c>
      <c r="CA787" s="49" t="str">
        <f t="shared" si="5116"/>
        <v/>
      </c>
      <c r="CB787" s="52" t="str">
        <f t="shared" si="5154"/>
        <v/>
      </c>
      <c r="CC787" s="23">
        <f t="shared" si="5155"/>
        <v>0</v>
      </c>
      <c r="CD787" s="49" t="str">
        <f t="shared" si="5117"/>
        <v/>
      </c>
      <c r="CE787" s="56" t="str">
        <f>IF(CF787="","",MAX(CE$10:$CE786)+1)</f>
        <v/>
      </c>
      <c r="CF787" t="str">
        <f t="shared" si="5156"/>
        <v/>
      </c>
      <c r="CG787" s="22" t="str">
        <f>IF(CH787="","",MAX($CG$10:CG786)+1)</f>
        <v/>
      </c>
      <c r="CH787" s="22" t="str">
        <f t="shared" si="5101"/>
        <v/>
      </c>
      <c r="CI787" s="22" t="str">
        <f>IF(CJ787="","",MAX($CI$10:CI786)+1)</f>
        <v/>
      </c>
      <c r="CJ787" s="22" t="str">
        <f t="shared" si="5102"/>
        <v/>
      </c>
    </row>
    <row r="788" spans="2:88" x14ac:dyDescent="0.25">
      <c r="B788" s="37"/>
      <c r="C788" s="3"/>
      <c r="D788" s="77" t="str">
        <f t="shared" si="5088"/>
        <v/>
      </c>
      <c r="E788" s="38"/>
      <c r="F788" s="38"/>
      <c r="G788" s="78">
        <f t="shared" si="5103"/>
        <v>0</v>
      </c>
      <c r="H788" s="3">
        <v>80</v>
      </c>
      <c r="I788" s="77" t="str">
        <f t="shared" si="5089"/>
        <v/>
      </c>
      <c r="J788" s="32"/>
      <c r="K788" s="3"/>
      <c r="L788" s="39"/>
      <c r="M788" s="39"/>
      <c r="N788" s="39"/>
      <c r="O788" s="39"/>
      <c r="P788" s="39"/>
      <c r="Q788" s="39"/>
      <c r="R788" s="39"/>
      <c r="S788" s="39"/>
      <c r="T788" s="3" t="s">
        <v>645</v>
      </c>
      <c r="U788" s="77" t="str">
        <f t="shared" si="5090"/>
        <v/>
      </c>
      <c r="V788" s="39">
        <v>1</v>
      </c>
      <c r="W788" s="79">
        <f t="shared" si="5104"/>
        <v>0</v>
      </c>
      <c r="X788" s="3">
        <v>0</v>
      </c>
      <c r="Y788" s="77" t="str">
        <f t="shared" si="5091"/>
        <v/>
      </c>
      <c r="Z788" s="3"/>
      <c r="AA788" s="37" t="str">
        <f t="shared" si="5105"/>
        <v/>
      </c>
      <c r="AC788" s="40"/>
      <c r="AD788" s="7"/>
      <c r="AE788" s="77" t="str">
        <f t="shared" si="5092"/>
        <v/>
      </c>
      <c r="AF788" s="81">
        <f t="shared" si="5118"/>
        <v>0</v>
      </c>
      <c r="AG788" s="40"/>
      <c r="AH788" s="7"/>
      <c r="AI788" s="77" t="str">
        <f t="shared" si="5093"/>
        <v/>
      </c>
      <c r="AJ788" s="81">
        <f t="shared" si="5119"/>
        <v>0</v>
      </c>
      <c r="AK788" s="83">
        <f t="shared" si="5120"/>
        <v>0</v>
      </c>
      <c r="AL788" s="83">
        <f t="shared" si="5121"/>
        <v>0</v>
      </c>
      <c r="AN788" s="43">
        <f t="shared" si="5094"/>
        <v>0</v>
      </c>
      <c r="AP788" t="str">
        <f t="shared" si="5122"/>
        <v/>
      </c>
      <c r="AQ788" t="str">
        <f t="shared" si="5123"/>
        <v/>
      </c>
      <c r="AR788" t="str">
        <f t="shared" si="5124"/>
        <v/>
      </c>
      <c r="AS788" t="str">
        <f t="shared" si="5125"/>
        <v/>
      </c>
      <c r="AT788" t="str">
        <f t="shared" si="5126"/>
        <v/>
      </c>
      <c r="AU788" t="str">
        <f t="shared" si="5127"/>
        <v/>
      </c>
      <c r="AV788" t="str">
        <f t="shared" si="5128"/>
        <v/>
      </c>
      <c r="AW788" t="str">
        <f t="shared" si="5129"/>
        <v xml:space="preserve">                              </v>
      </c>
      <c r="AX788" s="23">
        <f t="shared" si="5130"/>
        <v>0</v>
      </c>
      <c r="AY788" s="49" t="str">
        <f t="shared" si="5106"/>
        <v>000000000000000</v>
      </c>
      <c r="AZ788" s="23">
        <f t="shared" si="5131"/>
        <v>0</v>
      </c>
      <c r="BA788" s="49" t="str">
        <f t="shared" si="5106"/>
        <v>000000000000000</v>
      </c>
      <c r="BB788" s="23">
        <f t="shared" si="5132"/>
        <v>0</v>
      </c>
      <c r="BC788" s="49" t="str">
        <f t="shared" ref="BC788" si="5187">IF(BB788&lt;0,SUBSTITUTE(TEXT(BB788,"000000000000,00"),",",""),SUBSTITUTE(TEXT(BB788,"0000000000000,00"),",",""))</f>
        <v>000000000000000</v>
      </c>
      <c r="BD788" s="23">
        <f t="shared" si="5134"/>
        <v>0</v>
      </c>
      <c r="BE788" s="49" t="str">
        <f t="shared" ref="BE788" si="5188">IF(BD788&lt;0,SUBSTITUTE(TEXT(BD788,"000000000000,00"),",",""),SUBSTITUTE(TEXT(BD788,"0000000000000,00"),",",""))</f>
        <v>000000000000000</v>
      </c>
      <c r="BF788" s="23">
        <f t="shared" si="5136"/>
        <v>0</v>
      </c>
      <c r="BG788" s="49" t="str">
        <f t="shared" ref="BG788" si="5189">IF(BF788&lt;0,SUBSTITUTE(TEXT(BF788,"000000000000,00"),",",""),SUBSTITUTE(TEXT(BF788,"0000000000000,00"),",",""))</f>
        <v>000000000000000</v>
      </c>
      <c r="BH788" s="23">
        <f t="shared" si="5138"/>
        <v>0</v>
      </c>
      <c r="BI788" s="49" t="str">
        <f t="shared" ref="BI788" si="5190">IF(BH788&lt;0,SUBSTITUTE(TEXT(BH788,"000000000000,00"),",",""),SUBSTITUTE(TEXT(BH788,"0000000000000,00"),",",""))</f>
        <v>000000000000000</v>
      </c>
      <c r="BJ788" s="23">
        <f t="shared" si="5140"/>
        <v>0</v>
      </c>
      <c r="BK788" s="49" t="str">
        <f t="shared" ref="BK788" si="5191">IF(BJ788&lt;0,SUBSTITUTE(TEXT(BJ788,"000000000000,00"),",",""),SUBSTITUTE(TEXT(BJ788,"0000000000000,00"),",",""))</f>
        <v>000000000000000</v>
      </c>
      <c r="BL788" s="23">
        <f t="shared" si="5142"/>
        <v>0</v>
      </c>
      <c r="BM788" s="49" t="str">
        <f t="shared" ref="BM788" si="5192">IF(BL788&lt;0,SUBSTITUTE(TEXT(BL788,"000000000000,00"),",",""),SUBSTITUTE(TEXT(BL788,"0000000000000,00"),",",""))</f>
        <v>000000000000000</v>
      </c>
      <c r="BN788" t="str">
        <f t="shared" si="5144"/>
        <v>PES</v>
      </c>
      <c r="BO788" t="str">
        <f t="shared" si="5145"/>
        <v>0001000000</v>
      </c>
      <c r="BP788">
        <f t="shared" si="5146"/>
        <v>0</v>
      </c>
      <c r="BQ788">
        <f t="shared" si="5147"/>
        <v>0</v>
      </c>
      <c r="BR788" s="23">
        <f t="shared" si="5148"/>
        <v>0</v>
      </c>
      <c r="BS788" s="49" t="str">
        <f t="shared" si="5113"/>
        <v>000000000000000</v>
      </c>
      <c r="BT788" t="str">
        <f t="shared" si="5149"/>
        <v>00000000</v>
      </c>
      <c r="BU788" s="23">
        <f t="shared" si="5150"/>
        <v>0</v>
      </c>
      <c r="BV788" s="49" t="str">
        <f t="shared" si="5114"/>
        <v/>
      </c>
      <c r="BW788" s="52" t="str">
        <f t="shared" si="5151"/>
        <v/>
      </c>
      <c r="BX788" s="23">
        <f t="shared" si="5152"/>
        <v>0</v>
      </c>
      <c r="BY788" s="49" t="str">
        <f t="shared" si="5115"/>
        <v/>
      </c>
      <c r="BZ788" s="23">
        <f t="shared" si="5153"/>
        <v>0</v>
      </c>
      <c r="CA788" s="49" t="str">
        <f t="shared" si="5116"/>
        <v/>
      </c>
      <c r="CB788" s="52" t="str">
        <f t="shared" si="5154"/>
        <v/>
      </c>
      <c r="CC788" s="23">
        <f t="shared" si="5155"/>
        <v>0</v>
      </c>
      <c r="CD788" s="49" t="str">
        <f t="shared" si="5117"/>
        <v/>
      </c>
      <c r="CE788" s="56" t="str">
        <f>IF(CF788="","",MAX(CE$10:$CE787)+1)</f>
        <v/>
      </c>
      <c r="CF788" t="str">
        <f t="shared" si="5156"/>
        <v/>
      </c>
      <c r="CG788" s="22" t="str">
        <f>IF(CH788="","",MAX($CG$10:CG787)+1)</f>
        <v/>
      </c>
      <c r="CH788" s="22" t="str">
        <f t="shared" si="5101"/>
        <v/>
      </c>
      <c r="CI788" s="22" t="str">
        <f>IF(CJ788="","",MAX($CI$10:CI787)+1)</f>
        <v/>
      </c>
      <c r="CJ788" s="22" t="str">
        <f t="shared" si="5102"/>
        <v/>
      </c>
    </row>
    <row r="789" spans="2:88" x14ac:dyDescent="0.25">
      <c r="B789" s="37"/>
      <c r="C789" s="3"/>
      <c r="D789" s="77" t="str">
        <f t="shared" si="5088"/>
        <v/>
      </c>
      <c r="E789" s="38"/>
      <c r="F789" s="38"/>
      <c r="G789" s="78">
        <f t="shared" si="5103"/>
        <v>0</v>
      </c>
      <c r="H789" s="3">
        <v>80</v>
      </c>
      <c r="I789" s="77" t="str">
        <f t="shared" si="5089"/>
        <v/>
      </c>
      <c r="J789" s="32"/>
      <c r="K789" s="3"/>
      <c r="L789" s="39"/>
      <c r="M789" s="39"/>
      <c r="N789" s="39"/>
      <c r="O789" s="39"/>
      <c r="P789" s="39"/>
      <c r="Q789" s="39"/>
      <c r="R789" s="39"/>
      <c r="S789" s="39"/>
      <c r="T789" s="3" t="s">
        <v>645</v>
      </c>
      <c r="U789" s="77" t="str">
        <f t="shared" si="5090"/>
        <v/>
      </c>
      <c r="V789" s="39">
        <v>1</v>
      </c>
      <c r="W789" s="79">
        <f t="shared" si="5104"/>
        <v>0</v>
      </c>
      <c r="X789" s="3">
        <v>0</v>
      </c>
      <c r="Y789" s="77" t="str">
        <f t="shared" si="5091"/>
        <v/>
      </c>
      <c r="Z789" s="3"/>
      <c r="AA789" s="37" t="str">
        <f t="shared" si="5105"/>
        <v/>
      </c>
      <c r="AC789" s="40"/>
      <c r="AD789" s="7"/>
      <c r="AE789" s="77" t="str">
        <f t="shared" si="5092"/>
        <v/>
      </c>
      <c r="AF789" s="81">
        <f t="shared" si="5118"/>
        <v>0</v>
      </c>
      <c r="AG789" s="40"/>
      <c r="AH789" s="7"/>
      <c r="AI789" s="77" t="str">
        <f t="shared" si="5093"/>
        <v/>
      </c>
      <c r="AJ789" s="81">
        <f t="shared" si="5119"/>
        <v>0</v>
      </c>
      <c r="AK789" s="83">
        <f t="shared" si="5120"/>
        <v>0</v>
      </c>
      <c r="AL789" s="83">
        <f t="shared" si="5121"/>
        <v>0</v>
      </c>
      <c r="AN789" s="43">
        <f t="shared" si="5094"/>
        <v>0</v>
      </c>
      <c r="AP789" t="str">
        <f t="shared" si="5122"/>
        <v/>
      </c>
      <c r="AQ789" t="str">
        <f t="shared" si="5123"/>
        <v/>
      </c>
      <c r="AR789" t="str">
        <f t="shared" si="5124"/>
        <v/>
      </c>
      <c r="AS789" t="str">
        <f t="shared" si="5125"/>
        <v/>
      </c>
      <c r="AT789" t="str">
        <f t="shared" si="5126"/>
        <v/>
      </c>
      <c r="AU789" t="str">
        <f t="shared" si="5127"/>
        <v/>
      </c>
      <c r="AV789" t="str">
        <f t="shared" si="5128"/>
        <v/>
      </c>
      <c r="AW789" t="str">
        <f t="shared" si="5129"/>
        <v xml:space="preserve">                              </v>
      </c>
      <c r="AX789" s="23">
        <f t="shared" si="5130"/>
        <v>0</v>
      </c>
      <c r="AY789" s="49" t="str">
        <f t="shared" si="5106"/>
        <v>000000000000000</v>
      </c>
      <c r="AZ789" s="23">
        <f t="shared" si="5131"/>
        <v>0</v>
      </c>
      <c r="BA789" s="49" t="str">
        <f t="shared" si="5106"/>
        <v>000000000000000</v>
      </c>
      <c r="BB789" s="23">
        <f t="shared" si="5132"/>
        <v>0</v>
      </c>
      <c r="BC789" s="49" t="str">
        <f t="shared" ref="BC789" si="5193">IF(BB789&lt;0,SUBSTITUTE(TEXT(BB789,"000000000000,00"),",",""),SUBSTITUTE(TEXT(BB789,"0000000000000,00"),",",""))</f>
        <v>000000000000000</v>
      </c>
      <c r="BD789" s="23">
        <f t="shared" si="5134"/>
        <v>0</v>
      </c>
      <c r="BE789" s="49" t="str">
        <f t="shared" ref="BE789" si="5194">IF(BD789&lt;0,SUBSTITUTE(TEXT(BD789,"000000000000,00"),",",""),SUBSTITUTE(TEXT(BD789,"0000000000000,00"),",",""))</f>
        <v>000000000000000</v>
      </c>
      <c r="BF789" s="23">
        <f t="shared" si="5136"/>
        <v>0</v>
      </c>
      <c r="BG789" s="49" t="str">
        <f t="shared" ref="BG789" si="5195">IF(BF789&lt;0,SUBSTITUTE(TEXT(BF789,"000000000000,00"),",",""),SUBSTITUTE(TEXT(BF789,"0000000000000,00"),",",""))</f>
        <v>000000000000000</v>
      </c>
      <c r="BH789" s="23">
        <f t="shared" si="5138"/>
        <v>0</v>
      </c>
      <c r="BI789" s="49" t="str">
        <f t="shared" ref="BI789" si="5196">IF(BH789&lt;0,SUBSTITUTE(TEXT(BH789,"000000000000,00"),",",""),SUBSTITUTE(TEXT(BH789,"0000000000000,00"),",",""))</f>
        <v>000000000000000</v>
      </c>
      <c r="BJ789" s="23">
        <f t="shared" si="5140"/>
        <v>0</v>
      </c>
      <c r="BK789" s="49" t="str">
        <f t="shared" ref="BK789" si="5197">IF(BJ789&lt;0,SUBSTITUTE(TEXT(BJ789,"000000000000,00"),",",""),SUBSTITUTE(TEXT(BJ789,"0000000000000,00"),",",""))</f>
        <v>000000000000000</v>
      </c>
      <c r="BL789" s="23">
        <f t="shared" si="5142"/>
        <v>0</v>
      </c>
      <c r="BM789" s="49" t="str">
        <f t="shared" ref="BM789" si="5198">IF(BL789&lt;0,SUBSTITUTE(TEXT(BL789,"000000000000,00"),",",""),SUBSTITUTE(TEXT(BL789,"0000000000000,00"),",",""))</f>
        <v>000000000000000</v>
      </c>
      <c r="BN789" t="str">
        <f t="shared" si="5144"/>
        <v>PES</v>
      </c>
      <c r="BO789" t="str">
        <f t="shared" si="5145"/>
        <v>0001000000</v>
      </c>
      <c r="BP789">
        <f t="shared" si="5146"/>
        <v>0</v>
      </c>
      <c r="BQ789">
        <f t="shared" si="5147"/>
        <v>0</v>
      </c>
      <c r="BR789" s="23">
        <f t="shared" si="5148"/>
        <v>0</v>
      </c>
      <c r="BS789" s="49" t="str">
        <f t="shared" si="5113"/>
        <v>000000000000000</v>
      </c>
      <c r="BT789" t="str">
        <f t="shared" si="5149"/>
        <v>00000000</v>
      </c>
      <c r="BU789" s="23">
        <f t="shared" si="5150"/>
        <v>0</v>
      </c>
      <c r="BV789" s="49" t="str">
        <f t="shared" si="5114"/>
        <v/>
      </c>
      <c r="BW789" s="52" t="str">
        <f t="shared" si="5151"/>
        <v/>
      </c>
      <c r="BX789" s="23">
        <f t="shared" si="5152"/>
        <v>0</v>
      </c>
      <c r="BY789" s="49" t="str">
        <f t="shared" si="5115"/>
        <v/>
      </c>
      <c r="BZ789" s="23">
        <f t="shared" si="5153"/>
        <v>0</v>
      </c>
      <c r="CA789" s="49" t="str">
        <f t="shared" si="5116"/>
        <v/>
      </c>
      <c r="CB789" s="52" t="str">
        <f t="shared" si="5154"/>
        <v/>
      </c>
      <c r="CC789" s="23">
        <f t="shared" si="5155"/>
        <v>0</v>
      </c>
      <c r="CD789" s="49" t="str">
        <f t="shared" si="5117"/>
        <v/>
      </c>
      <c r="CE789" s="56" t="str">
        <f>IF(CF789="","",MAX(CE$10:$CE788)+1)</f>
        <v/>
      </c>
      <c r="CF789" t="str">
        <f t="shared" si="5156"/>
        <v/>
      </c>
      <c r="CG789" s="22" t="str">
        <f>IF(CH789="","",MAX($CG$10:CG788)+1)</f>
        <v/>
      </c>
      <c r="CH789" s="22" t="str">
        <f t="shared" si="5101"/>
        <v/>
      </c>
      <c r="CI789" s="22" t="str">
        <f>IF(CJ789="","",MAX($CI$10:CI788)+1)</f>
        <v/>
      </c>
      <c r="CJ789" s="22" t="str">
        <f t="shared" si="5102"/>
        <v/>
      </c>
    </row>
    <row r="790" spans="2:88" x14ac:dyDescent="0.25">
      <c r="B790" s="37"/>
      <c r="C790" s="3"/>
      <c r="D790" s="77" t="str">
        <f t="shared" si="5088"/>
        <v/>
      </c>
      <c r="E790" s="38"/>
      <c r="F790" s="38"/>
      <c r="G790" s="78">
        <f t="shared" si="5103"/>
        <v>0</v>
      </c>
      <c r="H790" s="3">
        <v>80</v>
      </c>
      <c r="I790" s="77" t="str">
        <f t="shared" si="5089"/>
        <v/>
      </c>
      <c r="J790" s="32"/>
      <c r="K790" s="3"/>
      <c r="L790" s="39"/>
      <c r="M790" s="39"/>
      <c r="N790" s="39"/>
      <c r="O790" s="39"/>
      <c r="P790" s="39"/>
      <c r="Q790" s="39"/>
      <c r="R790" s="39"/>
      <c r="S790" s="39"/>
      <c r="T790" s="3" t="s">
        <v>645</v>
      </c>
      <c r="U790" s="77" t="str">
        <f t="shared" si="5090"/>
        <v/>
      </c>
      <c r="V790" s="39">
        <v>1</v>
      </c>
      <c r="W790" s="79">
        <f t="shared" si="5104"/>
        <v>0</v>
      </c>
      <c r="X790" s="3">
        <v>0</v>
      </c>
      <c r="Y790" s="77" t="str">
        <f t="shared" si="5091"/>
        <v/>
      </c>
      <c r="Z790" s="3"/>
      <c r="AA790" s="37" t="str">
        <f t="shared" si="5105"/>
        <v/>
      </c>
      <c r="AC790" s="40"/>
      <c r="AD790" s="7"/>
      <c r="AE790" s="77" t="str">
        <f t="shared" si="5092"/>
        <v/>
      </c>
      <c r="AF790" s="81">
        <f t="shared" si="5118"/>
        <v>0</v>
      </c>
      <c r="AG790" s="40"/>
      <c r="AH790" s="7"/>
      <c r="AI790" s="77" t="str">
        <f t="shared" si="5093"/>
        <v/>
      </c>
      <c r="AJ790" s="81">
        <f t="shared" si="5119"/>
        <v>0</v>
      </c>
      <c r="AK790" s="83">
        <f t="shared" si="5120"/>
        <v>0</v>
      </c>
      <c r="AL790" s="83">
        <f t="shared" si="5121"/>
        <v>0</v>
      </c>
      <c r="AN790" s="43">
        <f t="shared" si="5094"/>
        <v>0</v>
      </c>
      <c r="AP790" t="str">
        <f t="shared" si="5122"/>
        <v/>
      </c>
      <c r="AQ790" t="str">
        <f t="shared" si="5123"/>
        <v/>
      </c>
      <c r="AR790" t="str">
        <f t="shared" si="5124"/>
        <v/>
      </c>
      <c r="AS790" t="str">
        <f t="shared" si="5125"/>
        <v/>
      </c>
      <c r="AT790" t="str">
        <f t="shared" si="5126"/>
        <v/>
      </c>
      <c r="AU790" t="str">
        <f t="shared" si="5127"/>
        <v/>
      </c>
      <c r="AV790" t="str">
        <f t="shared" si="5128"/>
        <v/>
      </c>
      <c r="AW790" t="str">
        <f t="shared" si="5129"/>
        <v xml:space="preserve">                              </v>
      </c>
      <c r="AX790" s="23">
        <f t="shared" si="5130"/>
        <v>0</v>
      </c>
      <c r="AY790" s="49" t="str">
        <f t="shared" si="5106"/>
        <v>000000000000000</v>
      </c>
      <c r="AZ790" s="23">
        <f t="shared" si="5131"/>
        <v>0</v>
      </c>
      <c r="BA790" s="49" t="str">
        <f t="shared" si="5106"/>
        <v>000000000000000</v>
      </c>
      <c r="BB790" s="23">
        <f t="shared" si="5132"/>
        <v>0</v>
      </c>
      <c r="BC790" s="49" t="str">
        <f t="shared" ref="BC790" si="5199">IF(BB790&lt;0,SUBSTITUTE(TEXT(BB790,"000000000000,00"),",",""),SUBSTITUTE(TEXT(BB790,"0000000000000,00"),",",""))</f>
        <v>000000000000000</v>
      </c>
      <c r="BD790" s="23">
        <f t="shared" si="5134"/>
        <v>0</v>
      </c>
      <c r="BE790" s="49" t="str">
        <f t="shared" ref="BE790" si="5200">IF(BD790&lt;0,SUBSTITUTE(TEXT(BD790,"000000000000,00"),",",""),SUBSTITUTE(TEXT(BD790,"0000000000000,00"),",",""))</f>
        <v>000000000000000</v>
      </c>
      <c r="BF790" s="23">
        <f t="shared" si="5136"/>
        <v>0</v>
      </c>
      <c r="BG790" s="49" t="str">
        <f t="shared" ref="BG790" si="5201">IF(BF790&lt;0,SUBSTITUTE(TEXT(BF790,"000000000000,00"),",",""),SUBSTITUTE(TEXT(BF790,"0000000000000,00"),",",""))</f>
        <v>000000000000000</v>
      </c>
      <c r="BH790" s="23">
        <f t="shared" si="5138"/>
        <v>0</v>
      </c>
      <c r="BI790" s="49" t="str">
        <f t="shared" ref="BI790" si="5202">IF(BH790&lt;0,SUBSTITUTE(TEXT(BH790,"000000000000,00"),",",""),SUBSTITUTE(TEXT(BH790,"0000000000000,00"),",",""))</f>
        <v>000000000000000</v>
      </c>
      <c r="BJ790" s="23">
        <f t="shared" si="5140"/>
        <v>0</v>
      </c>
      <c r="BK790" s="49" t="str">
        <f t="shared" ref="BK790" si="5203">IF(BJ790&lt;0,SUBSTITUTE(TEXT(BJ790,"000000000000,00"),",",""),SUBSTITUTE(TEXT(BJ790,"0000000000000,00"),",",""))</f>
        <v>000000000000000</v>
      </c>
      <c r="BL790" s="23">
        <f t="shared" si="5142"/>
        <v>0</v>
      </c>
      <c r="BM790" s="49" t="str">
        <f t="shared" ref="BM790" si="5204">IF(BL790&lt;0,SUBSTITUTE(TEXT(BL790,"000000000000,00"),",",""),SUBSTITUTE(TEXT(BL790,"0000000000000,00"),",",""))</f>
        <v>000000000000000</v>
      </c>
      <c r="BN790" t="str">
        <f t="shared" si="5144"/>
        <v>PES</v>
      </c>
      <c r="BO790" t="str">
        <f t="shared" si="5145"/>
        <v>0001000000</v>
      </c>
      <c r="BP790">
        <f t="shared" si="5146"/>
        <v>0</v>
      </c>
      <c r="BQ790">
        <f t="shared" si="5147"/>
        <v>0</v>
      </c>
      <c r="BR790" s="23">
        <f t="shared" si="5148"/>
        <v>0</v>
      </c>
      <c r="BS790" s="49" t="str">
        <f t="shared" si="5113"/>
        <v>000000000000000</v>
      </c>
      <c r="BT790" t="str">
        <f t="shared" si="5149"/>
        <v>00000000</v>
      </c>
      <c r="BU790" s="23">
        <f t="shared" si="5150"/>
        <v>0</v>
      </c>
      <c r="BV790" s="49" t="str">
        <f t="shared" si="5114"/>
        <v/>
      </c>
      <c r="BW790" s="52" t="str">
        <f t="shared" si="5151"/>
        <v/>
      </c>
      <c r="BX790" s="23">
        <f t="shared" si="5152"/>
        <v>0</v>
      </c>
      <c r="BY790" s="49" t="str">
        <f t="shared" si="5115"/>
        <v/>
      </c>
      <c r="BZ790" s="23">
        <f t="shared" si="5153"/>
        <v>0</v>
      </c>
      <c r="CA790" s="49" t="str">
        <f t="shared" si="5116"/>
        <v/>
      </c>
      <c r="CB790" s="52" t="str">
        <f t="shared" si="5154"/>
        <v/>
      </c>
      <c r="CC790" s="23">
        <f t="shared" si="5155"/>
        <v>0</v>
      </c>
      <c r="CD790" s="49" t="str">
        <f t="shared" si="5117"/>
        <v/>
      </c>
      <c r="CE790" s="56" t="str">
        <f>IF(CF790="","",MAX(CE$10:$CE789)+1)</f>
        <v/>
      </c>
      <c r="CF790" t="str">
        <f t="shared" si="5156"/>
        <v/>
      </c>
      <c r="CG790" s="22" t="str">
        <f>IF(CH790="","",MAX($CG$10:CG789)+1)</f>
        <v/>
      </c>
      <c r="CH790" s="22" t="str">
        <f t="shared" si="5101"/>
        <v/>
      </c>
      <c r="CI790" s="22" t="str">
        <f>IF(CJ790="","",MAX($CI$10:CI789)+1)</f>
        <v/>
      </c>
      <c r="CJ790" s="22" t="str">
        <f t="shared" si="5102"/>
        <v/>
      </c>
    </row>
    <row r="791" spans="2:88" x14ac:dyDescent="0.25">
      <c r="B791" s="37"/>
      <c r="C791" s="3"/>
      <c r="D791" s="77" t="str">
        <f t="shared" si="5088"/>
        <v/>
      </c>
      <c r="E791" s="38"/>
      <c r="F791" s="38"/>
      <c r="G791" s="78">
        <f t="shared" si="5103"/>
        <v>0</v>
      </c>
      <c r="H791" s="3">
        <v>80</v>
      </c>
      <c r="I791" s="77" t="str">
        <f t="shared" si="5089"/>
        <v/>
      </c>
      <c r="J791" s="32"/>
      <c r="K791" s="3"/>
      <c r="L791" s="39"/>
      <c r="M791" s="39"/>
      <c r="N791" s="39"/>
      <c r="O791" s="39"/>
      <c r="P791" s="39"/>
      <c r="Q791" s="39"/>
      <c r="R791" s="39"/>
      <c r="S791" s="39"/>
      <c r="T791" s="3" t="s">
        <v>645</v>
      </c>
      <c r="U791" s="77" t="str">
        <f t="shared" si="5090"/>
        <v/>
      </c>
      <c r="V791" s="39">
        <v>1</v>
      </c>
      <c r="W791" s="79">
        <f t="shared" si="5104"/>
        <v>0</v>
      </c>
      <c r="X791" s="3">
        <v>0</v>
      </c>
      <c r="Y791" s="77" t="str">
        <f t="shared" si="5091"/>
        <v/>
      </c>
      <c r="Z791" s="3"/>
      <c r="AA791" s="37" t="str">
        <f t="shared" si="5105"/>
        <v/>
      </c>
      <c r="AC791" s="40"/>
      <c r="AD791" s="7"/>
      <c r="AE791" s="77" t="str">
        <f t="shared" si="5092"/>
        <v/>
      </c>
      <c r="AF791" s="81">
        <f t="shared" si="5118"/>
        <v>0</v>
      </c>
      <c r="AG791" s="40"/>
      <c r="AH791" s="7"/>
      <c r="AI791" s="77" t="str">
        <f t="shared" si="5093"/>
        <v/>
      </c>
      <c r="AJ791" s="81">
        <f t="shared" si="5119"/>
        <v>0</v>
      </c>
      <c r="AK791" s="83">
        <f t="shared" si="5120"/>
        <v>0</v>
      </c>
      <c r="AL791" s="83">
        <f t="shared" si="5121"/>
        <v>0</v>
      </c>
      <c r="AN791" s="43">
        <f t="shared" si="5094"/>
        <v>0</v>
      </c>
      <c r="AP791" t="str">
        <f t="shared" si="5122"/>
        <v/>
      </c>
      <c r="AQ791" t="str">
        <f t="shared" si="5123"/>
        <v/>
      </c>
      <c r="AR791" t="str">
        <f t="shared" si="5124"/>
        <v/>
      </c>
      <c r="AS791" t="str">
        <f t="shared" si="5125"/>
        <v/>
      </c>
      <c r="AT791" t="str">
        <f t="shared" si="5126"/>
        <v/>
      </c>
      <c r="AU791" t="str">
        <f t="shared" si="5127"/>
        <v/>
      </c>
      <c r="AV791" t="str">
        <f t="shared" si="5128"/>
        <v/>
      </c>
      <c r="AW791" t="str">
        <f t="shared" si="5129"/>
        <v xml:space="preserve">                              </v>
      </c>
      <c r="AX791" s="23">
        <f t="shared" si="5130"/>
        <v>0</v>
      </c>
      <c r="AY791" s="49" t="str">
        <f t="shared" si="5106"/>
        <v>000000000000000</v>
      </c>
      <c r="AZ791" s="23">
        <f t="shared" si="5131"/>
        <v>0</v>
      </c>
      <c r="BA791" s="49" t="str">
        <f t="shared" si="5106"/>
        <v>000000000000000</v>
      </c>
      <c r="BB791" s="23">
        <f t="shared" si="5132"/>
        <v>0</v>
      </c>
      <c r="BC791" s="49" t="str">
        <f t="shared" ref="BC791" si="5205">IF(BB791&lt;0,SUBSTITUTE(TEXT(BB791,"000000000000,00"),",",""),SUBSTITUTE(TEXT(BB791,"0000000000000,00"),",",""))</f>
        <v>000000000000000</v>
      </c>
      <c r="BD791" s="23">
        <f t="shared" si="5134"/>
        <v>0</v>
      </c>
      <c r="BE791" s="49" t="str">
        <f t="shared" ref="BE791" si="5206">IF(BD791&lt;0,SUBSTITUTE(TEXT(BD791,"000000000000,00"),",",""),SUBSTITUTE(TEXT(BD791,"0000000000000,00"),",",""))</f>
        <v>000000000000000</v>
      </c>
      <c r="BF791" s="23">
        <f t="shared" si="5136"/>
        <v>0</v>
      </c>
      <c r="BG791" s="49" t="str">
        <f t="shared" ref="BG791" si="5207">IF(BF791&lt;0,SUBSTITUTE(TEXT(BF791,"000000000000,00"),",",""),SUBSTITUTE(TEXT(BF791,"0000000000000,00"),",",""))</f>
        <v>000000000000000</v>
      </c>
      <c r="BH791" s="23">
        <f t="shared" si="5138"/>
        <v>0</v>
      </c>
      <c r="BI791" s="49" t="str">
        <f t="shared" ref="BI791" si="5208">IF(BH791&lt;0,SUBSTITUTE(TEXT(BH791,"000000000000,00"),",",""),SUBSTITUTE(TEXT(BH791,"0000000000000,00"),",",""))</f>
        <v>000000000000000</v>
      </c>
      <c r="BJ791" s="23">
        <f t="shared" si="5140"/>
        <v>0</v>
      </c>
      <c r="BK791" s="49" t="str">
        <f t="shared" ref="BK791" si="5209">IF(BJ791&lt;0,SUBSTITUTE(TEXT(BJ791,"000000000000,00"),",",""),SUBSTITUTE(TEXT(BJ791,"0000000000000,00"),",",""))</f>
        <v>000000000000000</v>
      </c>
      <c r="BL791" s="23">
        <f t="shared" si="5142"/>
        <v>0</v>
      </c>
      <c r="BM791" s="49" t="str">
        <f t="shared" ref="BM791" si="5210">IF(BL791&lt;0,SUBSTITUTE(TEXT(BL791,"000000000000,00"),",",""),SUBSTITUTE(TEXT(BL791,"0000000000000,00"),",",""))</f>
        <v>000000000000000</v>
      </c>
      <c r="BN791" t="str">
        <f t="shared" si="5144"/>
        <v>PES</v>
      </c>
      <c r="BO791" t="str">
        <f t="shared" si="5145"/>
        <v>0001000000</v>
      </c>
      <c r="BP791">
        <f t="shared" si="5146"/>
        <v>0</v>
      </c>
      <c r="BQ791">
        <f t="shared" si="5147"/>
        <v>0</v>
      </c>
      <c r="BR791" s="23">
        <f t="shared" si="5148"/>
        <v>0</v>
      </c>
      <c r="BS791" s="49" t="str">
        <f t="shared" si="5113"/>
        <v>000000000000000</v>
      </c>
      <c r="BT791" t="str">
        <f t="shared" si="5149"/>
        <v>00000000</v>
      </c>
      <c r="BU791" s="23">
        <f t="shared" si="5150"/>
        <v>0</v>
      </c>
      <c r="BV791" s="49" t="str">
        <f t="shared" si="5114"/>
        <v/>
      </c>
      <c r="BW791" s="52" t="str">
        <f t="shared" si="5151"/>
        <v/>
      </c>
      <c r="BX791" s="23">
        <f t="shared" si="5152"/>
        <v>0</v>
      </c>
      <c r="BY791" s="49" t="str">
        <f t="shared" si="5115"/>
        <v/>
      </c>
      <c r="BZ791" s="23">
        <f t="shared" si="5153"/>
        <v>0</v>
      </c>
      <c r="CA791" s="49" t="str">
        <f t="shared" si="5116"/>
        <v/>
      </c>
      <c r="CB791" s="52" t="str">
        <f t="shared" si="5154"/>
        <v/>
      </c>
      <c r="CC791" s="23">
        <f t="shared" si="5155"/>
        <v>0</v>
      </c>
      <c r="CD791" s="49" t="str">
        <f t="shared" si="5117"/>
        <v/>
      </c>
      <c r="CE791" s="56" t="str">
        <f>IF(CF791="","",MAX(CE$10:$CE790)+1)</f>
        <v/>
      </c>
      <c r="CF791" t="str">
        <f t="shared" si="5156"/>
        <v/>
      </c>
      <c r="CG791" s="22" t="str">
        <f>IF(CH791="","",MAX($CG$10:CG790)+1)</f>
        <v/>
      </c>
      <c r="CH791" s="22" t="str">
        <f t="shared" si="5101"/>
        <v/>
      </c>
      <c r="CI791" s="22" t="str">
        <f>IF(CJ791="","",MAX($CI$10:CI790)+1)</f>
        <v/>
      </c>
      <c r="CJ791" s="22" t="str">
        <f t="shared" si="5102"/>
        <v/>
      </c>
    </row>
    <row r="792" spans="2:88" x14ac:dyDescent="0.25">
      <c r="B792" s="37"/>
      <c r="C792" s="3"/>
      <c r="D792" s="77" t="str">
        <f t="shared" si="5088"/>
        <v/>
      </c>
      <c r="E792" s="38"/>
      <c r="F792" s="38"/>
      <c r="G792" s="78">
        <f t="shared" si="5103"/>
        <v>0</v>
      </c>
      <c r="H792" s="3">
        <v>80</v>
      </c>
      <c r="I792" s="77" t="str">
        <f t="shared" si="5089"/>
        <v/>
      </c>
      <c r="J792" s="32"/>
      <c r="K792" s="3"/>
      <c r="L792" s="39"/>
      <c r="M792" s="39"/>
      <c r="N792" s="39"/>
      <c r="O792" s="39"/>
      <c r="P792" s="39"/>
      <c r="Q792" s="39"/>
      <c r="R792" s="39"/>
      <c r="S792" s="39"/>
      <c r="T792" s="3" t="s">
        <v>645</v>
      </c>
      <c r="U792" s="77" t="str">
        <f t="shared" si="5090"/>
        <v/>
      </c>
      <c r="V792" s="39">
        <v>1</v>
      </c>
      <c r="W792" s="79">
        <f t="shared" si="5104"/>
        <v>0</v>
      </c>
      <c r="X792" s="3">
        <v>0</v>
      </c>
      <c r="Y792" s="77" t="str">
        <f t="shared" si="5091"/>
        <v/>
      </c>
      <c r="Z792" s="3"/>
      <c r="AA792" s="37" t="str">
        <f t="shared" si="5105"/>
        <v/>
      </c>
      <c r="AC792" s="40"/>
      <c r="AD792" s="7"/>
      <c r="AE792" s="77" t="str">
        <f t="shared" si="5092"/>
        <v/>
      </c>
      <c r="AF792" s="81">
        <f t="shared" si="5118"/>
        <v>0</v>
      </c>
      <c r="AG792" s="40"/>
      <c r="AH792" s="7"/>
      <c r="AI792" s="77" t="str">
        <f t="shared" si="5093"/>
        <v/>
      </c>
      <c r="AJ792" s="81">
        <f t="shared" si="5119"/>
        <v>0</v>
      </c>
      <c r="AK792" s="83">
        <f t="shared" si="5120"/>
        <v>0</v>
      </c>
      <c r="AL792" s="83">
        <f t="shared" si="5121"/>
        <v>0</v>
      </c>
      <c r="AN792" s="43">
        <f t="shared" si="5094"/>
        <v>0</v>
      </c>
      <c r="AP792" t="str">
        <f t="shared" si="5122"/>
        <v/>
      </c>
      <c r="AQ792" t="str">
        <f t="shared" si="5123"/>
        <v/>
      </c>
      <c r="AR792" t="str">
        <f t="shared" si="5124"/>
        <v/>
      </c>
      <c r="AS792" t="str">
        <f t="shared" si="5125"/>
        <v/>
      </c>
      <c r="AT792" t="str">
        <f t="shared" si="5126"/>
        <v/>
      </c>
      <c r="AU792" t="str">
        <f t="shared" si="5127"/>
        <v/>
      </c>
      <c r="AV792" t="str">
        <f t="shared" si="5128"/>
        <v/>
      </c>
      <c r="AW792" t="str">
        <f t="shared" si="5129"/>
        <v xml:space="preserve">                              </v>
      </c>
      <c r="AX792" s="23">
        <f t="shared" si="5130"/>
        <v>0</v>
      </c>
      <c r="AY792" s="49" t="str">
        <f t="shared" si="5106"/>
        <v>000000000000000</v>
      </c>
      <c r="AZ792" s="23">
        <f t="shared" si="5131"/>
        <v>0</v>
      </c>
      <c r="BA792" s="49" t="str">
        <f t="shared" si="5106"/>
        <v>000000000000000</v>
      </c>
      <c r="BB792" s="23">
        <f t="shared" si="5132"/>
        <v>0</v>
      </c>
      <c r="BC792" s="49" t="str">
        <f t="shared" ref="BC792" si="5211">IF(BB792&lt;0,SUBSTITUTE(TEXT(BB792,"000000000000,00"),",",""),SUBSTITUTE(TEXT(BB792,"0000000000000,00"),",",""))</f>
        <v>000000000000000</v>
      </c>
      <c r="BD792" s="23">
        <f t="shared" si="5134"/>
        <v>0</v>
      </c>
      <c r="BE792" s="49" t="str">
        <f t="shared" ref="BE792" si="5212">IF(BD792&lt;0,SUBSTITUTE(TEXT(BD792,"000000000000,00"),",",""),SUBSTITUTE(TEXT(BD792,"0000000000000,00"),",",""))</f>
        <v>000000000000000</v>
      </c>
      <c r="BF792" s="23">
        <f t="shared" si="5136"/>
        <v>0</v>
      </c>
      <c r="BG792" s="49" t="str">
        <f t="shared" ref="BG792" si="5213">IF(BF792&lt;0,SUBSTITUTE(TEXT(BF792,"000000000000,00"),",",""),SUBSTITUTE(TEXT(BF792,"0000000000000,00"),",",""))</f>
        <v>000000000000000</v>
      </c>
      <c r="BH792" s="23">
        <f t="shared" si="5138"/>
        <v>0</v>
      </c>
      <c r="BI792" s="49" t="str">
        <f t="shared" ref="BI792" si="5214">IF(BH792&lt;0,SUBSTITUTE(TEXT(BH792,"000000000000,00"),",",""),SUBSTITUTE(TEXT(BH792,"0000000000000,00"),",",""))</f>
        <v>000000000000000</v>
      </c>
      <c r="BJ792" s="23">
        <f t="shared" si="5140"/>
        <v>0</v>
      </c>
      <c r="BK792" s="49" t="str">
        <f t="shared" ref="BK792" si="5215">IF(BJ792&lt;0,SUBSTITUTE(TEXT(BJ792,"000000000000,00"),",",""),SUBSTITUTE(TEXT(BJ792,"0000000000000,00"),",",""))</f>
        <v>000000000000000</v>
      </c>
      <c r="BL792" s="23">
        <f t="shared" si="5142"/>
        <v>0</v>
      </c>
      <c r="BM792" s="49" t="str">
        <f t="shared" ref="BM792" si="5216">IF(BL792&lt;0,SUBSTITUTE(TEXT(BL792,"000000000000,00"),",",""),SUBSTITUTE(TEXT(BL792,"0000000000000,00"),",",""))</f>
        <v>000000000000000</v>
      </c>
      <c r="BN792" t="str">
        <f t="shared" si="5144"/>
        <v>PES</v>
      </c>
      <c r="BO792" t="str">
        <f t="shared" si="5145"/>
        <v>0001000000</v>
      </c>
      <c r="BP792">
        <f t="shared" si="5146"/>
        <v>0</v>
      </c>
      <c r="BQ792">
        <f t="shared" si="5147"/>
        <v>0</v>
      </c>
      <c r="BR792" s="23">
        <f t="shared" si="5148"/>
        <v>0</v>
      </c>
      <c r="BS792" s="49" t="str">
        <f t="shared" si="5113"/>
        <v>000000000000000</v>
      </c>
      <c r="BT792" t="str">
        <f t="shared" si="5149"/>
        <v>00000000</v>
      </c>
      <c r="BU792" s="23">
        <f t="shared" si="5150"/>
        <v>0</v>
      </c>
      <c r="BV792" s="49" t="str">
        <f t="shared" si="5114"/>
        <v/>
      </c>
      <c r="BW792" s="52" t="str">
        <f t="shared" si="5151"/>
        <v/>
      </c>
      <c r="BX792" s="23">
        <f t="shared" si="5152"/>
        <v>0</v>
      </c>
      <c r="BY792" s="49" t="str">
        <f t="shared" si="5115"/>
        <v/>
      </c>
      <c r="BZ792" s="23">
        <f t="shared" si="5153"/>
        <v>0</v>
      </c>
      <c r="CA792" s="49" t="str">
        <f t="shared" si="5116"/>
        <v/>
      </c>
      <c r="CB792" s="52" t="str">
        <f t="shared" si="5154"/>
        <v/>
      </c>
      <c r="CC792" s="23">
        <f t="shared" si="5155"/>
        <v>0</v>
      </c>
      <c r="CD792" s="49" t="str">
        <f t="shared" si="5117"/>
        <v/>
      </c>
      <c r="CE792" s="56" t="str">
        <f>IF(CF792="","",MAX(CE$10:$CE791)+1)</f>
        <v/>
      </c>
      <c r="CF792" t="str">
        <f t="shared" si="5156"/>
        <v/>
      </c>
      <c r="CG792" s="22" t="str">
        <f>IF(CH792="","",MAX($CG$10:CG791)+1)</f>
        <v/>
      </c>
      <c r="CH792" s="22" t="str">
        <f t="shared" si="5101"/>
        <v/>
      </c>
      <c r="CI792" s="22" t="str">
        <f>IF(CJ792="","",MAX($CI$10:CI791)+1)</f>
        <v/>
      </c>
      <c r="CJ792" s="22" t="str">
        <f t="shared" si="5102"/>
        <v/>
      </c>
    </row>
    <row r="793" spans="2:88" x14ac:dyDescent="0.25">
      <c r="B793" s="37"/>
      <c r="C793" s="3"/>
      <c r="D793" s="77" t="str">
        <f t="shared" si="5088"/>
        <v/>
      </c>
      <c r="E793" s="38"/>
      <c r="F793" s="38"/>
      <c r="G793" s="78">
        <f t="shared" si="5103"/>
        <v>0</v>
      </c>
      <c r="H793" s="3">
        <v>80</v>
      </c>
      <c r="I793" s="77" t="str">
        <f t="shared" si="5089"/>
        <v/>
      </c>
      <c r="J793" s="32"/>
      <c r="K793" s="3"/>
      <c r="L793" s="39"/>
      <c r="M793" s="39"/>
      <c r="N793" s="39"/>
      <c r="O793" s="39"/>
      <c r="P793" s="39"/>
      <c r="Q793" s="39"/>
      <c r="R793" s="39"/>
      <c r="S793" s="39"/>
      <c r="T793" s="3" t="s">
        <v>645</v>
      </c>
      <c r="U793" s="77" t="str">
        <f t="shared" si="5090"/>
        <v/>
      </c>
      <c r="V793" s="39">
        <v>1</v>
      </c>
      <c r="W793" s="79">
        <f t="shared" si="5104"/>
        <v>0</v>
      </c>
      <c r="X793" s="3">
        <v>0</v>
      </c>
      <c r="Y793" s="77" t="str">
        <f t="shared" si="5091"/>
        <v/>
      </c>
      <c r="Z793" s="3"/>
      <c r="AA793" s="37" t="str">
        <f t="shared" si="5105"/>
        <v/>
      </c>
      <c r="AC793" s="40"/>
      <c r="AD793" s="7"/>
      <c r="AE793" s="77" t="str">
        <f t="shared" si="5092"/>
        <v/>
      </c>
      <c r="AF793" s="81">
        <f t="shared" si="5118"/>
        <v>0</v>
      </c>
      <c r="AG793" s="40"/>
      <c r="AH793" s="7"/>
      <c r="AI793" s="77" t="str">
        <f t="shared" si="5093"/>
        <v/>
      </c>
      <c r="AJ793" s="81">
        <f t="shared" si="5119"/>
        <v>0</v>
      </c>
      <c r="AK793" s="83">
        <f t="shared" si="5120"/>
        <v>0</v>
      </c>
      <c r="AL793" s="83">
        <f t="shared" si="5121"/>
        <v>0</v>
      </c>
      <c r="AN793" s="43">
        <f t="shared" si="5094"/>
        <v>0</v>
      </c>
      <c r="AP793" t="str">
        <f t="shared" si="5122"/>
        <v/>
      </c>
      <c r="AQ793" t="str">
        <f t="shared" si="5123"/>
        <v/>
      </c>
      <c r="AR793" t="str">
        <f t="shared" si="5124"/>
        <v/>
      </c>
      <c r="AS793" t="str">
        <f t="shared" si="5125"/>
        <v/>
      </c>
      <c r="AT793" t="str">
        <f t="shared" si="5126"/>
        <v/>
      </c>
      <c r="AU793" t="str">
        <f t="shared" si="5127"/>
        <v/>
      </c>
      <c r="AV793" t="str">
        <f t="shared" si="5128"/>
        <v/>
      </c>
      <c r="AW793" t="str">
        <f t="shared" si="5129"/>
        <v xml:space="preserve">                              </v>
      </c>
      <c r="AX793" s="23">
        <f t="shared" si="5130"/>
        <v>0</v>
      </c>
      <c r="AY793" s="49" t="str">
        <f t="shared" si="5106"/>
        <v>000000000000000</v>
      </c>
      <c r="AZ793" s="23">
        <f t="shared" si="5131"/>
        <v>0</v>
      </c>
      <c r="BA793" s="49" t="str">
        <f t="shared" si="5106"/>
        <v>000000000000000</v>
      </c>
      <c r="BB793" s="23">
        <f t="shared" si="5132"/>
        <v>0</v>
      </c>
      <c r="BC793" s="49" t="str">
        <f t="shared" ref="BC793" si="5217">IF(BB793&lt;0,SUBSTITUTE(TEXT(BB793,"000000000000,00"),",",""),SUBSTITUTE(TEXT(BB793,"0000000000000,00"),",",""))</f>
        <v>000000000000000</v>
      </c>
      <c r="BD793" s="23">
        <f t="shared" si="5134"/>
        <v>0</v>
      </c>
      <c r="BE793" s="49" t="str">
        <f t="shared" ref="BE793" si="5218">IF(BD793&lt;0,SUBSTITUTE(TEXT(BD793,"000000000000,00"),",",""),SUBSTITUTE(TEXT(BD793,"0000000000000,00"),",",""))</f>
        <v>000000000000000</v>
      </c>
      <c r="BF793" s="23">
        <f t="shared" si="5136"/>
        <v>0</v>
      </c>
      <c r="BG793" s="49" t="str">
        <f t="shared" ref="BG793" si="5219">IF(BF793&lt;0,SUBSTITUTE(TEXT(BF793,"000000000000,00"),",",""),SUBSTITUTE(TEXT(BF793,"0000000000000,00"),",",""))</f>
        <v>000000000000000</v>
      </c>
      <c r="BH793" s="23">
        <f t="shared" si="5138"/>
        <v>0</v>
      </c>
      <c r="BI793" s="49" t="str">
        <f t="shared" ref="BI793" si="5220">IF(BH793&lt;0,SUBSTITUTE(TEXT(BH793,"000000000000,00"),",",""),SUBSTITUTE(TEXT(BH793,"0000000000000,00"),",",""))</f>
        <v>000000000000000</v>
      </c>
      <c r="BJ793" s="23">
        <f t="shared" si="5140"/>
        <v>0</v>
      </c>
      <c r="BK793" s="49" t="str">
        <f t="shared" ref="BK793" si="5221">IF(BJ793&lt;0,SUBSTITUTE(TEXT(BJ793,"000000000000,00"),",",""),SUBSTITUTE(TEXT(BJ793,"0000000000000,00"),",",""))</f>
        <v>000000000000000</v>
      </c>
      <c r="BL793" s="23">
        <f t="shared" si="5142"/>
        <v>0</v>
      </c>
      <c r="BM793" s="49" t="str">
        <f t="shared" ref="BM793" si="5222">IF(BL793&lt;0,SUBSTITUTE(TEXT(BL793,"000000000000,00"),",",""),SUBSTITUTE(TEXT(BL793,"0000000000000,00"),",",""))</f>
        <v>000000000000000</v>
      </c>
      <c r="BN793" t="str">
        <f t="shared" si="5144"/>
        <v>PES</v>
      </c>
      <c r="BO793" t="str">
        <f t="shared" si="5145"/>
        <v>0001000000</v>
      </c>
      <c r="BP793">
        <f t="shared" si="5146"/>
        <v>0</v>
      </c>
      <c r="BQ793">
        <f t="shared" si="5147"/>
        <v>0</v>
      </c>
      <c r="BR793" s="23">
        <f t="shared" si="5148"/>
        <v>0</v>
      </c>
      <c r="BS793" s="49" t="str">
        <f t="shared" si="5113"/>
        <v>000000000000000</v>
      </c>
      <c r="BT793" t="str">
        <f t="shared" si="5149"/>
        <v>00000000</v>
      </c>
      <c r="BU793" s="23">
        <f t="shared" si="5150"/>
        <v>0</v>
      </c>
      <c r="BV793" s="49" t="str">
        <f t="shared" si="5114"/>
        <v/>
      </c>
      <c r="BW793" s="52" t="str">
        <f t="shared" si="5151"/>
        <v/>
      </c>
      <c r="BX793" s="23">
        <f t="shared" si="5152"/>
        <v>0</v>
      </c>
      <c r="BY793" s="49" t="str">
        <f t="shared" si="5115"/>
        <v/>
      </c>
      <c r="BZ793" s="23">
        <f t="shared" si="5153"/>
        <v>0</v>
      </c>
      <c r="CA793" s="49" t="str">
        <f t="shared" si="5116"/>
        <v/>
      </c>
      <c r="CB793" s="52" t="str">
        <f t="shared" si="5154"/>
        <v/>
      </c>
      <c r="CC793" s="23">
        <f t="shared" si="5155"/>
        <v>0</v>
      </c>
      <c r="CD793" s="49" t="str">
        <f t="shared" si="5117"/>
        <v/>
      </c>
      <c r="CE793" s="56" t="str">
        <f>IF(CF793="","",MAX(CE$10:$CE792)+1)</f>
        <v/>
      </c>
      <c r="CF793" t="str">
        <f t="shared" si="5156"/>
        <v/>
      </c>
      <c r="CG793" s="22" t="str">
        <f>IF(CH793="","",MAX($CG$10:CG792)+1)</f>
        <v/>
      </c>
      <c r="CH793" s="22" t="str">
        <f t="shared" si="5101"/>
        <v/>
      </c>
      <c r="CI793" s="22" t="str">
        <f>IF(CJ793="","",MAX($CI$10:CI792)+1)</f>
        <v/>
      </c>
      <c r="CJ793" s="22" t="str">
        <f t="shared" si="5102"/>
        <v/>
      </c>
    </row>
    <row r="794" spans="2:88" x14ac:dyDescent="0.25">
      <c r="B794" s="37"/>
      <c r="C794" s="3"/>
      <c r="D794" s="77" t="str">
        <f t="shared" si="5088"/>
        <v/>
      </c>
      <c r="E794" s="38"/>
      <c r="F794" s="38"/>
      <c r="G794" s="78">
        <f t="shared" si="5103"/>
        <v>0</v>
      </c>
      <c r="H794" s="3">
        <v>80</v>
      </c>
      <c r="I794" s="77" t="str">
        <f t="shared" si="5089"/>
        <v/>
      </c>
      <c r="J794" s="32"/>
      <c r="K794" s="3"/>
      <c r="L794" s="39"/>
      <c r="M794" s="39"/>
      <c r="N794" s="39"/>
      <c r="O794" s="39"/>
      <c r="P794" s="39"/>
      <c r="Q794" s="39"/>
      <c r="R794" s="39"/>
      <c r="S794" s="39"/>
      <c r="T794" s="3" t="s">
        <v>645</v>
      </c>
      <c r="U794" s="77" t="str">
        <f t="shared" si="5090"/>
        <v/>
      </c>
      <c r="V794" s="39">
        <v>1</v>
      </c>
      <c r="W794" s="79">
        <f t="shared" si="5104"/>
        <v>0</v>
      </c>
      <c r="X794" s="3">
        <v>0</v>
      </c>
      <c r="Y794" s="77" t="str">
        <f t="shared" si="5091"/>
        <v/>
      </c>
      <c r="Z794" s="3"/>
      <c r="AA794" s="37" t="str">
        <f t="shared" si="5105"/>
        <v/>
      </c>
      <c r="AC794" s="40"/>
      <c r="AD794" s="7"/>
      <c r="AE794" s="77" t="str">
        <f t="shared" si="5092"/>
        <v/>
      </c>
      <c r="AF794" s="81">
        <f t="shared" si="5118"/>
        <v>0</v>
      </c>
      <c r="AG794" s="40"/>
      <c r="AH794" s="7"/>
      <c r="AI794" s="77" t="str">
        <f t="shared" si="5093"/>
        <v/>
      </c>
      <c r="AJ794" s="81">
        <f t="shared" si="5119"/>
        <v>0</v>
      </c>
      <c r="AK794" s="83">
        <f t="shared" si="5120"/>
        <v>0</v>
      </c>
      <c r="AL794" s="83">
        <f t="shared" si="5121"/>
        <v>0</v>
      </c>
      <c r="AN794" s="43">
        <f t="shared" si="5094"/>
        <v>0</v>
      </c>
      <c r="AP794" t="str">
        <f t="shared" si="5122"/>
        <v/>
      </c>
      <c r="AQ794" t="str">
        <f t="shared" si="5123"/>
        <v/>
      </c>
      <c r="AR794" t="str">
        <f t="shared" si="5124"/>
        <v/>
      </c>
      <c r="AS794" t="str">
        <f t="shared" si="5125"/>
        <v/>
      </c>
      <c r="AT794" t="str">
        <f t="shared" si="5126"/>
        <v/>
      </c>
      <c r="AU794" t="str">
        <f t="shared" si="5127"/>
        <v/>
      </c>
      <c r="AV794" t="str">
        <f t="shared" si="5128"/>
        <v/>
      </c>
      <c r="AW794" t="str">
        <f t="shared" si="5129"/>
        <v xml:space="preserve">                              </v>
      </c>
      <c r="AX794" s="23">
        <f t="shared" si="5130"/>
        <v>0</v>
      </c>
      <c r="AY794" s="49" t="str">
        <f t="shared" si="5106"/>
        <v>000000000000000</v>
      </c>
      <c r="AZ794" s="23">
        <f t="shared" si="5131"/>
        <v>0</v>
      </c>
      <c r="BA794" s="49" t="str">
        <f t="shared" si="5106"/>
        <v>000000000000000</v>
      </c>
      <c r="BB794" s="23">
        <f t="shared" si="5132"/>
        <v>0</v>
      </c>
      <c r="BC794" s="49" t="str">
        <f t="shared" ref="BC794" si="5223">IF(BB794&lt;0,SUBSTITUTE(TEXT(BB794,"000000000000,00"),",",""),SUBSTITUTE(TEXT(BB794,"0000000000000,00"),",",""))</f>
        <v>000000000000000</v>
      </c>
      <c r="BD794" s="23">
        <f t="shared" si="5134"/>
        <v>0</v>
      </c>
      <c r="BE794" s="49" t="str">
        <f t="shared" ref="BE794" si="5224">IF(BD794&lt;0,SUBSTITUTE(TEXT(BD794,"000000000000,00"),",",""),SUBSTITUTE(TEXT(BD794,"0000000000000,00"),",",""))</f>
        <v>000000000000000</v>
      </c>
      <c r="BF794" s="23">
        <f t="shared" si="5136"/>
        <v>0</v>
      </c>
      <c r="BG794" s="49" t="str">
        <f t="shared" ref="BG794" si="5225">IF(BF794&lt;0,SUBSTITUTE(TEXT(BF794,"000000000000,00"),",",""),SUBSTITUTE(TEXT(BF794,"0000000000000,00"),",",""))</f>
        <v>000000000000000</v>
      </c>
      <c r="BH794" s="23">
        <f t="shared" si="5138"/>
        <v>0</v>
      </c>
      <c r="BI794" s="49" t="str">
        <f t="shared" ref="BI794" si="5226">IF(BH794&lt;0,SUBSTITUTE(TEXT(BH794,"000000000000,00"),",",""),SUBSTITUTE(TEXT(BH794,"0000000000000,00"),",",""))</f>
        <v>000000000000000</v>
      </c>
      <c r="BJ794" s="23">
        <f t="shared" si="5140"/>
        <v>0</v>
      </c>
      <c r="BK794" s="49" t="str">
        <f t="shared" ref="BK794" si="5227">IF(BJ794&lt;0,SUBSTITUTE(TEXT(BJ794,"000000000000,00"),",",""),SUBSTITUTE(TEXT(BJ794,"0000000000000,00"),",",""))</f>
        <v>000000000000000</v>
      </c>
      <c r="BL794" s="23">
        <f t="shared" si="5142"/>
        <v>0</v>
      </c>
      <c r="BM794" s="49" t="str">
        <f t="shared" ref="BM794" si="5228">IF(BL794&lt;0,SUBSTITUTE(TEXT(BL794,"000000000000,00"),",",""),SUBSTITUTE(TEXT(BL794,"0000000000000,00"),",",""))</f>
        <v>000000000000000</v>
      </c>
      <c r="BN794" t="str">
        <f t="shared" si="5144"/>
        <v>PES</v>
      </c>
      <c r="BO794" t="str">
        <f t="shared" si="5145"/>
        <v>0001000000</v>
      </c>
      <c r="BP794">
        <f t="shared" si="5146"/>
        <v>0</v>
      </c>
      <c r="BQ794">
        <f t="shared" si="5147"/>
        <v>0</v>
      </c>
      <c r="BR794" s="23">
        <f t="shared" si="5148"/>
        <v>0</v>
      </c>
      <c r="BS794" s="49" t="str">
        <f t="shared" si="5113"/>
        <v>000000000000000</v>
      </c>
      <c r="BT794" t="str">
        <f t="shared" si="5149"/>
        <v>00000000</v>
      </c>
      <c r="BU794" s="23">
        <f t="shared" si="5150"/>
        <v>0</v>
      </c>
      <c r="BV794" s="49" t="str">
        <f t="shared" si="5114"/>
        <v/>
      </c>
      <c r="BW794" s="52" t="str">
        <f t="shared" si="5151"/>
        <v/>
      </c>
      <c r="BX794" s="23">
        <f t="shared" si="5152"/>
        <v>0</v>
      </c>
      <c r="BY794" s="49" t="str">
        <f t="shared" si="5115"/>
        <v/>
      </c>
      <c r="BZ794" s="23">
        <f t="shared" si="5153"/>
        <v>0</v>
      </c>
      <c r="CA794" s="49" t="str">
        <f t="shared" si="5116"/>
        <v/>
      </c>
      <c r="CB794" s="52" t="str">
        <f t="shared" si="5154"/>
        <v/>
      </c>
      <c r="CC794" s="23">
        <f t="shared" si="5155"/>
        <v>0</v>
      </c>
      <c r="CD794" s="49" t="str">
        <f t="shared" si="5117"/>
        <v/>
      </c>
      <c r="CE794" s="56" t="str">
        <f>IF(CF794="","",MAX(CE$10:$CE793)+1)</f>
        <v/>
      </c>
      <c r="CF794" t="str">
        <f t="shared" si="5156"/>
        <v/>
      </c>
      <c r="CG794" s="22" t="str">
        <f>IF(CH794="","",MAX($CG$10:CG793)+1)</f>
        <v/>
      </c>
      <c r="CH794" s="22" t="str">
        <f t="shared" si="5101"/>
        <v/>
      </c>
      <c r="CI794" s="22" t="str">
        <f>IF(CJ794="","",MAX($CI$10:CI793)+1)</f>
        <v/>
      </c>
      <c r="CJ794" s="22" t="str">
        <f t="shared" si="5102"/>
        <v/>
      </c>
    </row>
    <row r="795" spans="2:88" x14ac:dyDescent="0.25">
      <c r="B795" s="37"/>
      <c r="C795" s="3"/>
      <c r="D795" s="77" t="str">
        <f t="shared" si="5088"/>
        <v/>
      </c>
      <c r="E795" s="38"/>
      <c r="F795" s="38"/>
      <c r="G795" s="78">
        <f t="shared" si="5103"/>
        <v>0</v>
      </c>
      <c r="H795" s="3">
        <v>80</v>
      </c>
      <c r="I795" s="77" t="str">
        <f t="shared" si="5089"/>
        <v/>
      </c>
      <c r="J795" s="32"/>
      <c r="K795" s="3"/>
      <c r="L795" s="39"/>
      <c r="M795" s="39"/>
      <c r="N795" s="39"/>
      <c r="O795" s="39"/>
      <c r="P795" s="39"/>
      <c r="Q795" s="39"/>
      <c r="R795" s="39"/>
      <c r="S795" s="39"/>
      <c r="T795" s="3" t="s">
        <v>645</v>
      </c>
      <c r="U795" s="77" t="str">
        <f t="shared" si="5090"/>
        <v/>
      </c>
      <c r="V795" s="39">
        <v>1</v>
      </c>
      <c r="W795" s="79">
        <f t="shared" si="5104"/>
        <v>0</v>
      </c>
      <c r="X795" s="3">
        <v>0</v>
      </c>
      <c r="Y795" s="77" t="str">
        <f t="shared" si="5091"/>
        <v/>
      </c>
      <c r="Z795" s="3"/>
      <c r="AA795" s="37" t="str">
        <f t="shared" si="5105"/>
        <v/>
      </c>
      <c r="AC795" s="40"/>
      <c r="AD795" s="7"/>
      <c r="AE795" s="77" t="str">
        <f t="shared" si="5092"/>
        <v/>
      </c>
      <c r="AF795" s="81">
        <f t="shared" si="5118"/>
        <v>0</v>
      </c>
      <c r="AG795" s="40"/>
      <c r="AH795" s="7"/>
      <c r="AI795" s="77" t="str">
        <f t="shared" si="5093"/>
        <v/>
      </c>
      <c r="AJ795" s="81">
        <f t="shared" si="5119"/>
        <v>0</v>
      </c>
      <c r="AK795" s="83">
        <f t="shared" si="5120"/>
        <v>0</v>
      </c>
      <c r="AL795" s="83">
        <f t="shared" si="5121"/>
        <v>0</v>
      </c>
      <c r="AN795" s="43">
        <f t="shared" si="5094"/>
        <v>0</v>
      </c>
      <c r="AP795" t="str">
        <f t="shared" si="5122"/>
        <v/>
      </c>
      <c r="AQ795" t="str">
        <f t="shared" si="5123"/>
        <v/>
      </c>
      <c r="AR795" t="str">
        <f t="shared" si="5124"/>
        <v/>
      </c>
      <c r="AS795" t="str">
        <f t="shared" si="5125"/>
        <v/>
      </c>
      <c r="AT795" t="str">
        <f t="shared" si="5126"/>
        <v/>
      </c>
      <c r="AU795" t="str">
        <f t="shared" si="5127"/>
        <v/>
      </c>
      <c r="AV795" t="str">
        <f t="shared" si="5128"/>
        <v/>
      </c>
      <c r="AW795" t="str">
        <f t="shared" si="5129"/>
        <v xml:space="preserve">                              </v>
      </c>
      <c r="AX795" s="23">
        <f t="shared" si="5130"/>
        <v>0</v>
      </c>
      <c r="AY795" s="49" t="str">
        <f t="shared" si="5106"/>
        <v>000000000000000</v>
      </c>
      <c r="AZ795" s="23">
        <f t="shared" si="5131"/>
        <v>0</v>
      </c>
      <c r="BA795" s="49" t="str">
        <f t="shared" si="5106"/>
        <v>000000000000000</v>
      </c>
      <c r="BB795" s="23">
        <f t="shared" si="5132"/>
        <v>0</v>
      </c>
      <c r="BC795" s="49" t="str">
        <f t="shared" ref="BC795" si="5229">IF(BB795&lt;0,SUBSTITUTE(TEXT(BB795,"000000000000,00"),",",""),SUBSTITUTE(TEXT(BB795,"0000000000000,00"),",",""))</f>
        <v>000000000000000</v>
      </c>
      <c r="BD795" s="23">
        <f t="shared" si="5134"/>
        <v>0</v>
      </c>
      <c r="BE795" s="49" t="str">
        <f t="shared" ref="BE795" si="5230">IF(BD795&lt;0,SUBSTITUTE(TEXT(BD795,"000000000000,00"),",",""),SUBSTITUTE(TEXT(BD795,"0000000000000,00"),",",""))</f>
        <v>000000000000000</v>
      </c>
      <c r="BF795" s="23">
        <f t="shared" si="5136"/>
        <v>0</v>
      </c>
      <c r="BG795" s="49" t="str">
        <f t="shared" ref="BG795" si="5231">IF(BF795&lt;0,SUBSTITUTE(TEXT(BF795,"000000000000,00"),",",""),SUBSTITUTE(TEXT(BF795,"0000000000000,00"),",",""))</f>
        <v>000000000000000</v>
      </c>
      <c r="BH795" s="23">
        <f t="shared" si="5138"/>
        <v>0</v>
      </c>
      <c r="BI795" s="49" t="str">
        <f t="shared" ref="BI795" si="5232">IF(BH795&lt;0,SUBSTITUTE(TEXT(BH795,"000000000000,00"),",",""),SUBSTITUTE(TEXT(BH795,"0000000000000,00"),",",""))</f>
        <v>000000000000000</v>
      </c>
      <c r="BJ795" s="23">
        <f t="shared" si="5140"/>
        <v>0</v>
      </c>
      <c r="BK795" s="49" t="str">
        <f t="shared" ref="BK795" si="5233">IF(BJ795&lt;0,SUBSTITUTE(TEXT(BJ795,"000000000000,00"),",",""),SUBSTITUTE(TEXT(BJ795,"0000000000000,00"),",",""))</f>
        <v>000000000000000</v>
      </c>
      <c r="BL795" s="23">
        <f t="shared" si="5142"/>
        <v>0</v>
      </c>
      <c r="BM795" s="49" t="str">
        <f t="shared" ref="BM795" si="5234">IF(BL795&lt;0,SUBSTITUTE(TEXT(BL795,"000000000000,00"),",",""),SUBSTITUTE(TEXT(BL795,"0000000000000,00"),",",""))</f>
        <v>000000000000000</v>
      </c>
      <c r="BN795" t="str">
        <f t="shared" si="5144"/>
        <v>PES</v>
      </c>
      <c r="BO795" t="str">
        <f t="shared" si="5145"/>
        <v>0001000000</v>
      </c>
      <c r="BP795">
        <f t="shared" si="5146"/>
        <v>0</v>
      </c>
      <c r="BQ795">
        <f t="shared" si="5147"/>
        <v>0</v>
      </c>
      <c r="BR795" s="23">
        <f t="shared" si="5148"/>
        <v>0</v>
      </c>
      <c r="BS795" s="49" t="str">
        <f t="shared" si="5113"/>
        <v>000000000000000</v>
      </c>
      <c r="BT795" t="str">
        <f t="shared" si="5149"/>
        <v>00000000</v>
      </c>
      <c r="BU795" s="23">
        <f t="shared" si="5150"/>
        <v>0</v>
      </c>
      <c r="BV795" s="49" t="str">
        <f t="shared" si="5114"/>
        <v/>
      </c>
      <c r="BW795" s="52" t="str">
        <f t="shared" si="5151"/>
        <v/>
      </c>
      <c r="BX795" s="23">
        <f t="shared" si="5152"/>
        <v>0</v>
      </c>
      <c r="BY795" s="49" t="str">
        <f t="shared" si="5115"/>
        <v/>
      </c>
      <c r="BZ795" s="23">
        <f t="shared" si="5153"/>
        <v>0</v>
      </c>
      <c r="CA795" s="49" t="str">
        <f t="shared" si="5116"/>
        <v/>
      </c>
      <c r="CB795" s="52" t="str">
        <f t="shared" si="5154"/>
        <v/>
      </c>
      <c r="CC795" s="23">
        <f t="shared" si="5155"/>
        <v>0</v>
      </c>
      <c r="CD795" s="49" t="str">
        <f t="shared" si="5117"/>
        <v/>
      </c>
      <c r="CE795" s="56" t="str">
        <f>IF(CF795="","",MAX(CE$10:$CE794)+1)</f>
        <v/>
      </c>
      <c r="CF795" t="str">
        <f t="shared" si="5156"/>
        <v/>
      </c>
      <c r="CG795" s="22" t="str">
        <f>IF(CH795="","",MAX($CG$10:CG794)+1)</f>
        <v/>
      </c>
      <c r="CH795" s="22" t="str">
        <f t="shared" si="5101"/>
        <v/>
      </c>
      <c r="CI795" s="22" t="str">
        <f>IF(CJ795="","",MAX($CI$10:CI794)+1)</f>
        <v/>
      </c>
      <c r="CJ795" s="22" t="str">
        <f t="shared" si="5102"/>
        <v/>
      </c>
    </row>
    <row r="796" spans="2:88" x14ac:dyDescent="0.25">
      <c r="B796" s="37"/>
      <c r="C796" s="3"/>
      <c r="D796" s="77" t="str">
        <f t="shared" si="5088"/>
        <v/>
      </c>
      <c r="E796" s="38"/>
      <c r="F796" s="38"/>
      <c r="G796" s="78">
        <f t="shared" si="5103"/>
        <v>0</v>
      </c>
      <c r="H796" s="3">
        <v>80</v>
      </c>
      <c r="I796" s="77" t="str">
        <f t="shared" si="5089"/>
        <v/>
      </c>
      <c r="J796" s="32"/>
      <c r="K796" s="3"/>
      <c r="L796" s="39"/>
      <c r="M796" s="39"/>
      <c r="N796" s="39"/>
      <c r="O796" s="39"/>
      <c r="P796" s="39"/>
      <c r="Q796" s="39"/>
      <c r="R796" s="39"/>
      <c r="S796" s="39"/>
      <c r="T796" s="3" t="s">
        <v>645</v>
      </c>
      <c r="U796" s="77" t="str">
        <f t="shared" si="5090"/>
        <v/>
      </c>
      <c r="V796" s="39">
        <v>1</v>
      </c>
      <c r="W796" s="79">
        <f t="shared" si="5104"/>
        <v>0</v>
      </c>
      <c r="X796" s="3">
        <v>0</v>
      </c>
      <c r="Y796" s="77" t="str">
        <f t="shared" si="5091"/>
        <v/>
      </c>
      <c r="Z796" s="3"/>
      <c r="AA796" s="37" t="str">
        <f t="shared" si="5105"/>
        <v/>
      </c>
      <c r="AC796" s="40"/>
      <c r="AD796" s="7"/>
      <c r="AE796" s="77" t="str">
        <f t="shared" si="5092"/>
        <v/>
      </c>
      <c r="AF796" s="81">
        <f t="shared" si="5118"/>
        <v>0</v>
      </c>
      <c r="AG796" s="40"/>
      <c r="AH796" s="7"/>
      <c r="AI796" s="77" t="str">
        <f t="shared" si="5093"/>
        <v/>
      </c>
      <c r="AJ796" s="81">
        <f t="shared" si="5119"/>
        <v>0</v>
      </c>
      <c r="AK796" s="83">
        <f t="shared" si="5120"/>
        <v>0</v>
      </c>
      <c r="AL796" s="83">
        <f t="shared" si="5121"/>
        <v>0</v>
      </c>
      <c r="AN796" s="43">
        <f t="shared" si="5094"/>
        <v>0</v>
      </c>
      <c r="AP796" t="str">
        <f t="shared" si="5122"/>
        <v/>
      </c>
      <c r="AQ796" t="str">
        <f t="shared" si="5123"/>
        <v/>
      </c>
      <c r="AR796" t="str">
        <f t="shared" si="5124"/>
        <v/>
      </c>
      <c r="AS796" t="str">
        <f t="shared" si="5125"/>
        <v/>
      </c>
      <c r="AT796" t="str">
        <f t="shared" si="5126"/>
        <v/>
      </c>
      <c r="AU796" t="str">
        <f t="shared" si="5127"/>
        <v/>
      </c>
      <c r="AV796" t="str">
        <f t="shared" si="5128"/>
        <v/>
      </c>
      <c r="AW796" t="str">
        <f t="shared" si="5129"/>
        <v xml:space="preserve">                              </v>
      </c>
      <c r="AX796" s="23">
        <f t="shared" si="5130"/>
        <v>0</v>
      </c>
      <c r="AY796" s="49" t="str">
        <f t="shared" si="5106"/>
        <v>000000000000000</v>
      </c>
      <c r="AZ796" s="23">
        <f t="shared" si="5131"/>
        <v>0</v>
      </c>
      <c r="BA796" s="49" t="str">
        <f t="shared" si="5106"/>
        <v>000000000000000</v>
      </c>
      <c r="BB796" s="23">
        <f t="shared" si="5132"/>
        <v>0</v>
      </c>
      <c r="BC796" s="49" t="str">
        <f t="shared" ref="BC796" si="5235">IF(BB796&lt;0,SUBSTITUTE(TEXT(BB796,"000000000000,00"),",",""),SUBSTITUTE(TEXT(BB796,"0000000000000,00"),",",""))</f>
        <v>000000000000000</v>
      </c>
      <c r="BD796" s="23">
        <f t="shared" si="5134"/>
        <v>0</v>
      </c>
      <c r="BE796" s="49" t="str">
        <f t="shared" ref="BE796" si="5236">IF(BD796&lt;0,SUBSTITUTE(TEXT(BD796,"000000000000,00"),",",""),SUBSTITUTE(TEXT(BD796,"0000000000000,00"),",",""))</f>
        <v>000000000000000</v>
      </c>
      <c r="BF796" s="23">
        <f t="shared" si="5136"/>
        <v>0</v>
      </c>
      <c r="BG796" s="49" t="str">
        <f t="shared" ref="BG796" si="5237">IF(BF796&lt;0,SUBSTITUTE(TEXT(BF796,"000000000000,00"),",",""),SUBSTITUTE(TEXT(BF796,"0000000000000,00"),",",""))</f>
        <v>000000000000000</v>
      </c>
      <c r="BH796" s="23">
        <f t="shared" si="5138"/>
        <v>0</v>
      </c>
      <c r="BI796" s="49" t="str">
        <f t="shared" ref="BI796" si="5238">IF(BH796&lt;0,SUBSTITUTE(TEXT(BH796,"000000000000,00"),",",""),SUBSTITUTE(TEXT(BH796,"0000000000000,00"),",",""))</f>
        <v>000000000000000</v>
      </c>
      <c r="BJ796" s="23">
        <f t="shared" si="5140"/>
        <v>0</v>
      </c>
      <c r="BK796" s="49" t="str">
        <f t="shared" ref="BK796" si="5239">IF(BJ796&lt;0,SUBSTITUTE(TEXT(BJ796,"000000000000,00"),",",""),SUBSTITUTE(TEXT(BJ796,"0000000000000,00"),",",""))</f>
        <v>000000000000000</v>
      </c>
      <c r="BL796" s="23">
        <f t="shared" si="5142"/>
        <v>0</v>
      </c>
      <c r="BM796" s="49" t="str">
        <f t="shared" ref="BM796" si="5240">IF(BL796&lt;0,SUBSTITUTE(TEXT(BL796,"000000000000,00"),",",""),SUBSTITUTE(TEXT(BL796,"0000000000000,00"),",",""))</f>
        <v>000000000000000</v>
      </c>
      <c r="BN796" t="str">
        <f t="shared" si="5144"/>
        <v>PES</v>
      </c>
      <c r="BO796" t="str">
        <f t="shared" si="5145"/>
        <v>0001000000</v>
      </c>
      <c r="BP796">
        <f t="shared" si="5146"/>
        <v>0</v>
      </c>
      <c r="BQ796">
        <f t="shared" si="5147"/>
        <v>0</v>
      </c>
      <c r="BR796" s="23">
        <f t="shared" si="5148"/>
        <v>0</v>
      </c>
      <c r="BS796" s="49" t="str">
        <f t="shared" si="5113"/>
        <v>000000000000000</v>
      </c>
      <c r="BT796" t="str">
        <f t="shared" si="5149"/>
        <v>00000000</v>
      </c>
      <c r="BU796" s="23">
        <f t="shared" si="5150"/>
        <v>0</v>
      </c>
      <c r="BV796" s="49" t="str">
        <f t="shared" si="5114"/>
        <v/>
      </c>
      <c r="BW796" s="52" t="str">
        <f t="shared" si="5151"/>
        <v/>
      </c>
      <c r="BX796" s="23">
        <f t="shared" si="5152"/>
        <v>0</v>
      </c>
      <c r="BY796" s="49" t="str">
        <f t="shared" si="5115"/>
        <v/>
      </c>
      <c r="BZ796" s="23">
        <f t="shared" si="5153"/>
        <v>0</v>
      </c>
      <c r="CA796" s="49" t="str">
        <f t="shared" si="5116"/>
        <v/>
      </c>
      <c r="CB796" s="52" t="str">
        <f t="shared" si="5154"/>
        <v/>
      </c>
      <c r="CC796" s="23">
        <f t="shared" si="5155"/>
        <v>0</v>
      </c>
      <c r="CD796" s="49" t="str">
        <f t="shared" si="5117"/>
        <v/>
      </c>
      <c r="CE796" s="56" t="str">
        <f>IF(CF796="","",MAX(CE$10:$CE795)+1)</f>
        <v/>
      </c>
      <c r="CF796" t="str">
        <f t="shared" si="5156"/>
        <v/>
      </c>
      <c r="CG796" s="22" t="str">
        <f>IF(CH796="","",MAX($CG$10:CG795)+1)</f>
        <v/>
      </c>
      <c r="CH796" s="22" t="str">
        <f t="shared" si="5101"/>
        <v/>
      </c>
      <c r="CI796" s="22" t="str">
        <f>IF(CJ796="","",MAX($CI$10:CI795)+1)</f>
        <v/>
      </c>
      <c r="CJ796" s="22" t="str">
        <f t="shared" si="5102"/>
        <v/>
      </c>
    </row>
    <row r="797" spans="2:88" x14ac:dyDescent="0.25">
      <c r="B797" s="37"/>
      <c r="C797" s="3"/>
      <c r="D797" s="77" t="str">
        <f t="shared" si="5088"/>
        <v/>
      </c>
      <c r="E797" s="38"/>
      <c r="F797" s="38"/>
      <c r="G797" s="78">
        <f t="shared" si="5103"/>
        <v>0</v>
      </c>
      <c r="H797" s="3">
        <v>80</v>
      </c>
      <c r="I797" s="77" t="str">
        <f t="shared" si="5089"/>
        <v/>
      </c>
      <c r="J797" s="32"/>
      <c r="K797" s="3"/>
      <c r="L797" s="39"/>
      <c r="M797" s="39"/>
      <c r="N797" s="39"/>
      <c r="O797" s="39"/>
      <c r="P797" s="39"/>
      <c r="Q797" s="39"/>
      <c r="R797" s="39"/>
      <c r="S797" s="39"/>
      <c r="T797" s="3" t="s">
        <v>645</v>
      </c>
      <c r="U797" s="77" t="str">
        <f t="shared" si="5090"/>
        <v/>
      </c>
      <c r="V797" s="39">
        <v>1</v>
      </c>
      <c r="W797" s="79">
        <f t="shared" si="5104"/>
        <v>0</v>
      </c>
      <c r="X797" s="3">
        <v>0</v>
      </c>
      <c r="Y797" s="77" t="str">
        <f t="shared" si="5091"/>
        <v/>
      </c>
      <c r="Z797" s="3"/>
      <c r="AA797" s="37" t="str">
        <f t="shared" si="5105"/>
        <v/>
      </c>
      <c r="AC797" s="40"/>
      <c r="AD797" s="7"/>
      <c r="AE797" s="77" t="str">
        <f t="shared" si="5092"/>
        <v/>
      </c>
      <c r="AF797" s="81">
        <f t="shared" si="5118"/>
        <v>0</v>
      </c>
      <c r="AG797" s="40"/>
      <c r="AH797" s="7"/>
      <c r="AI797" s="77" t="str">
        <f t="shared" si="5093"/>
        <v/>
      </c>
      <c r="AJ797" s="81">
        <f t="shared" si="5119"/>
        <v>0</v>
      </c>
      <c r="AK797" s="83">
        <f t="shared" si="5120"/>
        <v>0</v>
      </c>
      <c r="AL797" s="83">
        <f t="shared" si="5121"/>
        <v>0</v>
      </c>
      <c r="AN797" s="43">
        <f t="shared" si="5094"/>
        <v>0</v>
      </c>
      <c r="AP797" t="str">
        <f t="shared" si="5122"/>
        <v/>
      </c>
      <c r="AQ797" t="str">
        <f t="shared" si="5123"/>
        <v/>
      </c>
      <c r="AR797" t="str">
        <f t="shared" si="5124"/>
        <v/>
      </c>
      <c r="AS797" t="str">
        <f t="shared" si="5125"/>
        <v/>
      </c>
      <c r="AT797" t="str">
        <f t="shared" si="5126"/>
        <v/>
      </c>
      <c r="AU797" t="str">
        <f t="shared" si="5127"/>
        <v/>
      </c>
      <c r="AV797" t="str">
        <f t="shared" si="5128"/>
        <v/>
      </c>
      <c r="AW797" t="str">
        <f t="shared" si="5129"/>
        <v xml:space="preserve">                              </v>
      </c>
      <c r="AX797" s="23">
        <f t="shared" si="5130"/>
        <v>0</v>
      </c>
      <c r="AY797" s="49" t="str">
        <f t="shared" si="5106"/>
        <v>000000000000000</v>
      </c>
      <c r="AZ797" s="23">
        <f t="shared" si="5131"/>
        <v>0</v>
      </c>
      <c r="BA797" s="49" t="str">
        <f t="shared" si="5106"/>
        <v>000000000000000</v>
      </c>
      <c r="BB797" s="23">
        <f t="shared" si="5132"/>
        <v>0</v>
      </c>
      <c r="BC797" s="49" t="str">
        <f t="shared" ref="BC797" si="5241">IF(BB797&lt;0,SUBSTITUTE(TEXT(BB797,"000000000000,00"),",",""),SUBSTITUTE(TEXT(BB797,"0000000000000,00"),",",""))</f>
        <v>000000000000000</v>
      </c>
      <c r="BD797" s="23">
        <f t="shared" si="5134"/>
        <v>0</v>
      </c>
      <c r="BE797" s="49" t="str">
        <f t="shared" ref="BE797" si="5242">IF(BD797&lt;0,SUBSTITUTE(TEXT(BD797,"000000000000,00"),",",""),SUBSTITUTE(TEXT(BD797,"0000000000000,00"),",",""))</f>
        <v>000000000000000</v>
      </c>
      <c r="BF797" s="23">
        <f t="shared" si="5136"/>
        <v>0</v>
      </c>
      <c r="BG797" s="49" t="str">
        <f t="shared" ref="BG797" si="5243">IF(BF797&lt;0,SUBSTITUTE(TEXT(BF797,"000000000000,00"),",",""),SUBSTITUTE(TEXT(BF797,"0000000000000,00"),",",""))</f>
        <v>000000000000000</v>
      </c>
      <c r="BH797" s="23">
        <f t="shared" si="5138"/>
        <v>0</v>
      </c>
      <c r="BI797" s="49" t="str">
        <f t="shared" ref="BI797" si="5244">IF(BH797&lt;0,SUBSTITUTE(TEXT(BH797,"000000000000,00"),",",""),SUBSTITUTE(TEXT(BH797,"0000000000000,00"),",",""))</f>
        <v>000000000000000</v>
      </c>
      <c r="BJ797" s="23">
        <f t="shared" si="5140"/>
        <v>0</v>
      </c>
      <c r="BK797" s="49" t="str">
        <f t="shared" ref="BK797" si="5245">IF(BJ797&lt;0,SUBSTITUTE(TEXT(BJ797,"000000000000,00"),",",""),SUBSTITUTE(TEXT(BJ797,"0000000000000,00"),",",""))</f>
        <v>000000000000000</v>
      </c>
      <c r="BL797" s="23">
        <f t="shared" si="5142"/>
        <v>0</v>
      </c>
      <c r="BM797" s="49" t="str">
        <f t="shared" ref="BM797" si="5246">IF(BL797&lt;0,SUBSTITUTE(TEXT(BL797,"000000000000,00"),",",""),SUBSTITUTE(TEXT(BL797,"0000000000000,00"),",",""))</f>
        <v>000000000000000</v>
      </c>
      <c r="BN797" t="str">
        <f t="shared" si="5144"/>
        <v>PES</v>
      </c>
      <c r="BO797" t="str">
        <f t="shared" si="5145"/>
        <v>0001000000</v>
      </c>
      <c r="BP797">
        <f t="shared" si="5146"/>
        <v>0</v>
      </c>
      <c r="BQ797">
        <f t="shared" si="5147"/>
        <v>0</v>
      </c>
      <c r="BR797" s="23">
        <f t="shared" si="5148"/>
        <v>0</v>
      </c>
      <c r="BS797" s="49" t="str">
        <f t="shared" si="5113"/>
        <v>000000000000000</v>
      </c>
      <c r="BT797" t="str">
        <f t="shared" si="5149"/>
        <v>00000000</v>
      </c>
      <c r="BU797" s="23">
        <f t="shared" si="5150"/>
        <v>0</v>
      </c>
      <c r="BV797" s="49" t="str">
        <f t="shared" si="5114"/>
        <v/>
      </c>
      <c r="BW797" s="52" t="str">
        <f t="shared" si="5151"/>
        <v/>
      </c>
      <c r="BX797" s="23">
        <f t="shared" si="5152"/>
        <v>0</v>
      </c>
      <c r="BY797" s="49" t="str">
        <f t="shared" si="5115"/>
        <v/>
      </c>
      <c r="BZ797" s="23">
        <f t="shared" si="5153"/>
        <v>0</v>
      </c>
      <c r="CA797" s="49" t="str">
        <f t="shared" si="5116"/>
        <v/>
      </c>
      <c r="CB797" s="52" t="str">
        <f t="shared" si="5154"/>
        <v/>
      </c>
      <c r="CC797" s="23">
        <f t="shared" si="5155"/>
        <v>0</v>
      </c>
      <c r="CD797" s="49" t="str">
        <f t="shared" si="5117"/>
        <v/>
      </c>
      <c r="CE797" s="56" t="str">
        <f>IF(CF797="","",MAX(CE$10:$CE796)+1)</f>
        <v/>
      </c>
      <c r="CF797" t="str">
        <f t="shared" si="5156"/>
        <v/>
      </c>
      <c r="CG797" s="22" t="str">
        <f>IF(CH797="","",MAX($CG$10:CG796)+1)</f>
        <v/>
      </c>
      <c r="CH797" s="22" t="str">
        <f t="shared" si="5101"/>
        <v/>
      </c>
      <c r="CI797" s="22" t="str">
        <f>IF(CJ797="","",MAX($CI$10:CI796)+1)</f>
        <v/>
      </c>
      <c r="CJ797" s="22" t="str">
        <f t="shared" si="5102"/>
        <v/>
      </c>
    </row>
    <row r="798" spans="2:88" x14ac:dyDescent="0.25">
      <c r="B798" s="37"/>
      <c r="C798" s="3"/>
      <c r="D798" s="77" t="str">
        <f t="shared" si="5088"/>
        <v/>
      </c>
      <c r="E798" s="38"/>
      <c r="F798" s="38"/>
      <c r="G798" s="78">
        <f t="shared" si="5103"/>
        <v>0</v>
      </c>
      <c r="H798" s="3">
        <v>80</v>
      </c>
      <c r="I798" s="77" t="str">
        <f t="shared" si="5089"/>
        <v/>
      </c>
      <c r="J798" s="32"/>
      <c r="K798" s="3"/>
      <c r="L798" s="39"/>
      <c r="M798" s="39"/>
      <c r="N798" s="39"/>
      <c r="O798" s="39"/>
      <c r="P798" s="39"/>
      <c r="Q798" s="39"/>
      <c r="R798" s="39"/>
      <c r="S798" s="39"/>
      <c r="T798" s="3" t="s">
        <v>645</v>
      </c>
      <c r="U798" s="77" t="str">
        <f t="shared" si="5090"/>
        <v/>
      </c>
      <c r="V798" s="39">
        <v>1</v>
      </c>
      <c r="W798" s="79">
        <f t="shared" si="5104"/>
        <v>0</v>
      </c>
      <c r="X798" s="3">
        <v>0</v>
      </c>
      <c r="Y798" s="77" t="str">
        <f t="shared" si="5091"/>
        <v/>
      </c>
      <c r="Z798" s="3"/>
      <c r="AA798" s="37" t="str">
        <f t="shared" si="5105"/>
        <v/>
      </c>
      <c r="AC798" s="40"/>
      <c r="AD798" s="7"/>
      <c r="AE798" s="77" t="str">
        <f t="shared" si="5092"/>
        <v/>
      </c>
      <c r="AF798" s="81">
        <f t="shared" si="5118"/>
        <v>0</v>
      </c>
      <c r="AG798" s="40"/>
      <c r="AH798" s="7"/>
      <c r="AI798" s="77" t="str">
        <f t="shared" si="5093"/>
        <v/>
      </c>
      <c r="AJ798" s="81">
        <f t="shared" si="5119"/>
        <v>0</v>
      </c>
      <c r="AK798" s="83">
        <f t="shared" si="5120"/>
        <v>0</v>
      </c>
      <c r="AL798" s="83">
        <f t="shared" si="5121"/>
        <v>0</v>
      </c>
      <c r="AN798" s="43">
        <f t="shared" si="5094"/>
        <v>0</v>
      </c>
      <c r="AP798" t="str">
        <f t="shared" si="5122"/>
        <v/>
      </c>
      <c r="AQ798" t="str">
        <f t="shared" si="5123"/>
        <v/>
      </c>
      <c r="AR798" t="str">
        <f t="shared" si="5124"/>
        <v/>
      </c>
      <c r="AS798" t="str">
        <f t="shared" si="5125"/>
        <v/>
      </c>
      <c r="AT798" t="str">
        <f t="shared" si="5126"/>
        <v/>
      </c>
      <c r="AU798" t="str">
        <f t="shared" si="5127"/>
        <v/>
      </c>
      <c r="AV798" t="str">
        <f t="shared" si="5128"/>
        <v/>
      </c>
      <c r="AW798" t="str">
        <f t="shared" si="5129"/>
        <v xml:space="preserve">                              </v>
      </c>
      <c r="AX798" s="23">
        <f t="shared" si="5130"/>
        <v>0</v>
      </c>
      <c r="AY798" s="49" t="str">
        <f t="shared" si="5106"/>
        <v>000000000000000</v>
      </c>
      <c r="AZ798" s="23">
        <f t="shared" si="5131"/>
        <v>0</v>
      </c>
      <c r="BA798" s="49" t="str">
        <f t="shared" si="5106"/>
        <v>000000000000000</v>
      </c>
      <c r="BB798" s="23">
        <f t="shared" si="5132"/>
        <v>0</v>
      </c>
      <c r="BC798" s="49" t="str">
        <f t="shared" ref="BC798" si="5247">IF(BB798&lt;0,SUBSTITUTE(TEXT(BB798,"000000000000,00"),",",""),SUBSTITUTE(TEXT(BB798,"0000000000000,00"),",",""))</f>
        <v>000000000000000</v>
      </c>
      <c r="BD798" s="23">
        <f t="shared" si="5134"/>
        <v>0</v>
      </c>
      <c r="BE798" s="49" t="str">
        <f t="shared" ref="BE798" si="5248">IF(BD798&lt;0,SUBSTITUTE(TEXT(BD798,"000000000000,00"),",",""),SUBSTITUTE(TEXT(BD798,"0000000000000,00"),",",""))</f>
        <v>000000000000000</v>
      </c>
      <c r="BF798" s="23">
        <f t="shared" si="5136"/>
        <v>0</v>
      </c>
      <c r="BG798" s="49" t="str">
        <f t="shared" ref="BG798" si="5249">IF(BF798&lt;0,SUBSTITUTE(TEXT(BF798,"000000000000,00"),",",""),SUBSTITUTE(TEXT(BF798,"0000000000000,00"),",",""))</f>
        <v>000000000000000</v>
      </c>
      <c r="BH798" s="23">
        <f t="shared" si="5138"/>
        <v>0</v>
      </c>
      <c r="BI798" s="49" t="str">
        <f t="shared" ref="BI798" si="5250">IF(BH798&lt;0,SUBSTITUTE(TEXT(BH798,"000000000000,00"),",",""),SUBSTITUTE(TEXT(BH798,"0000000000000,00"),",",""))</f>
        <v>000000000000000</v>
      </c>
      <c r="BJ798" s="23">
        <f t="shared" si="5140"/>
        <v>0</v>
      </c>
      <c r="BK798" s="49" t="str">
        <f t="shared" ref="BK798" si="5251">IF(BJ798&lt;0,SUBSTITUTE(TEXT(BJ798,"000000000000,00"),",",""),SUBSTITUTE(TEXT(BJ798,"0000000000000,00"),",",""))</f>
        <v>000000000000000</v>
      </c>
      <c r="BL798" s="23">
        <f t="shared" si="5142"/>
        <v>0</v>
      </c>
      <c r="BM798" s="49" t="str">
        <f t="shared" ref="BM798" si="5252">IF(BL798&lt;0,SUBSTITUTE(TEXT(BL798,"000000000000,00"),",",""),SUBSTITUTE(TEXT(BL798,"0000000000000,00"),",",""))</f>
        <v>000000000000000</v>
      </c>
      <c r="BN798" t="str">
        <f t="shared" si="5144"/>
        <v>PES</v>
      </c>
      <c r="BO798" t="str">
        <f t="shared" si="5145"/>
        <v>0001000000</v>
      </c>
      <c r="BP798">
        <f t="shared" si="5146"/>
        <v>0</v>
      </c>
      <c r="BQ798">
        <f t="shared" si="5147"/>
        <v>0</v>
      </c>
      <c r="BR798" s="23">
        <f t="shared" si="5148"/>
        <v>0</v>
      </c>
      <c r="BS798" s="49" t="str">
        <f t="shared" si="5113"/>
        <v>000000000000000</v>
      </c>
      <c r="BT798" t="str">
        <f t="shared" si="5149"/>
        <v>00000000</v>
      </c>
      <c r="BU798" s="23">
        <f t="shared" si="5150"/>
        <v>0</v>
      </c>
      <c r="BV798" s="49" t="str">
        <f t="shared" si="5114"/>
        <v/>
      </c>
      <c r="BW798" s="52" t="str">
        <f t="shared" si="5151"/>
        <v/>
      </c>
      <c r="BX798" s="23">
        <f t="shared" si="5152"/>
        <v>0</v>
      </c>
      <c r="BY798" s="49" t="str">
        <f t="shared" si="5115"/>
        <v/>
      </c>
      <c r="BZ798" s="23">
        <f t="shared" si="5153"/>
        <v>0</v>
      </c>
      <c r="CA798" s="49" t="str">
        <f t="shared" si="5116"/>
        <v/>
      </c>
      <c r="CB798" s="52" t="str">
        <f t="shared" si="5154"/>
        <v/>
      </c>
      <c r="CC798" s="23">
        <f t="shared" si="5155"/>
        <v>0</v>
      </c>
      <c r="CD798" s="49" t="str">
        <f t="shared" si="5117"/>
        <v/>
      </c>
      <c r="CE798" s="56" t="str">
        <f>IF(CF798="","",MAX(CE$10:$CE797)+1)</f>
        <v/>
      </c>
      <c r="CF798" t="str">
        <f t="shared" si="5156"/>
        <v/>
      </c>
      <c r="CG798" s="22" t="str">
        <f>IF(CH798="","",MAX($CG$10:CG797)+1)</f>
        <v/>
      </c>
      <c r="CH798" s="22" t="str">
        <f t="shared" si="5101"/>
        <v/>
      </c>
      <c r="CI798" s="22" t="str">
        <f>IF(CJ798="","",MAX($CI$10:CI797)+1)</f>
        <v/>
      </c>
      <c r="CJ798" s="22" t="str">
        <f t="shared" si="5102"/>
        <v/>
      </c>
    </row>
    <row r="799" spans="2:88" x14ac:dyDescent="0.25">
      <c r="B799" s="37"/>
      <c r="C799" s="3"/>
      <c r="D799" s="77" t="str">
        <f t="shared" si="5088"/>
        <v/>
      </c>
      <c r="E799" s="38"/>
      <c r="F799" s="38"/>
      <c r="G799" s="78">
        <f t="shared" si="5103"/>
        <v>0</v>
      </c>
      <c r="H799" s="3">
        <v>80</v>
      </c>
      <c r="I799" s="77" t="str">
        <f t="shared" si="5089"/>
        <v/>
      </c>
      <c r="J799" s="32"/>
      <c r="K799" s="3"/>
      <c r="L799" s="39"/>
      <c r="M799" s="39"/>
      <c r="N799" s="39"/>
      <c r="O799" s="39"/>
      <c r="P799" s="39"/>
      <c r="Q799" s="39"/>
      <c r="R799" s="39"/>
      <c r="S799" s="39"/>
      <c r="T799" s="3" t="s">
        <v>645</v>
      </c>
      <c r="U799" s="77" t="str">
        <f t="shared" si="5090"/>
        <v/>
      </c>
      <c r="V799" s="39">
        <v>1</v>
      </c>
      <c r="W799" s="79">
        <f t="shared" si="5104"/>
        <v>0</v>
      </c>
      <c r="X799" s="3">
        <v>0</v>
      </c>
      <c r="Y799" s="77" t="str">
        <f t="shared" si="5091"/>
        <v/>
      </c>
      <c r="Z799" s="3"/>
      <c r="AA799" s="37" t="str">
        <f t="shared" si="5105"/>
        <v/>
      </c>
      <c r="AC799" s="40"/>
      <c r="AD799" s="7"/>
      <c r="AE799" s="77" t="str">
        <f t="shared" si="5092"/>
        <v/>
      </c>
      <c r="AF799" s="81">
        <f t="shared" si="5118"/>
        <v>0</v>
      </c>
      <c r="AG799" s="40"/>
      <c r="AH799" s="7"/>
      <c r="AI799" s="77" t="str">
        <f t="shared" si="5093"/>
        <v/>
      </c>
      <c r="AJ799" s="81">
        <f t="shared" si="5119"/>
        <v>0</v>
      </c>
      <c r="AK799" s="83">
        <f t="shared" si="5120"/>
        <v>0</v>
      </c>
      <c r="AL799" s="83">
        <f t="shared" si="5121"/>
        <v>0</v>
      </c>
      <c r="AN799" s="43">
        <f t="shared" si="5094"/>
        <v>0</v>
      </c>
      <c r="AP799" t="str">
        <f t="shared" si="5122"/>
        <v/>
      </c>
      <c r="AQ799" t="str">
        <f t="shared" si="5123"/>
        <v/>
      </c>
      <c r="AR799" t="str">
        <f t="shared" si="5124"/>
        <v/>
      </c>
      <c r="AS799" t="str">
        <f t="shared" si="5125"/>
        <v/>
      </c>
      <c r="AT799" t="str">
        <f t="shared" si="5126"/>
        <v/>
      </c>
      <c r="AU799" t="str">
        <f t="shared" si="5127"/>
        <v/>
      </c>
      <c r="AV799" t="str">
        <f t="shared" si="5128"/>
        <v/>
      </c>
      <c r="AW799" t="str">
        <f t="shared" si="5129"/>
        <v xml:space="preserve">                              </v>
      </c>
      <c r="AX799" s="23">
        <f t="shared" si="5130"/>
        <v>0</v>
      </c>
      <c r="AY799" s="49" t="str">
        <f t="shared" si="5106"/>
        <v>000000000000000</v>
      </c>
      <c r="AZ799" s="23">
        <f t="shared" si="5131"/>
        <v>0</v>
      </c>
      <c r="BA799" s="49" t="str">
        <f t="shared" si="5106"/>
        <v>000000000000000</v>
      </c>
      <c r="BB799" s="23">
        <f t="shared" si="5132"/>
        <v>0</v>
      </c>
      <c r="BC799" s="49" t="str">
        <f t="shared" ref="BC799" si="5253">IF(BB799&lt;0,SUBSTITUTE(TEXT(BB799,"000000000000,00"),",",""),SUBSTITUTE(TEXT(BB799,"0000000000000,00"),",",""))</f>
        <v>000000000000000</v>
      </c>
      <c r="BD799" s="23">
        <f t="shared" si="5134"/>
        <v>0</v>
      </c>
      <c r="BE799" s="49" t="str">
        <f t="shared" ref="BE799" si="5254">IF(BD799&lt;0,SUBSTITUTE(TEXT(BD799,"000000000000,00"),",",""),SUBSTITUTE(TEXT(BD799,"0000000000000,00"),",",""))</f>
        <v>000000000000000</v>
      </c>
      <c r="BF799" s="23">
        <f t="shared" si="5136"/>
        <v>0</v>
      </c>
      <c r="BG799" s="49" t="str">
        <f t="shared" ref="BG799" si="5255">IF(BF799&lt;0,SUBSTITUTE(TEXT(BF799,"000000000000,00"),",",""),SUBSTITUTE(TEXT(BF799,"0000000000000,00"),",",""))</f>
        <v>000000000000000</v>
      </c>
      <c r="BH799" s="23">
        <f t="shared" si="5138"/>
        <v>0</v>
      </c>
      <c r="BI799" s="49" t="str">
        <f t="shared" ref="BI799" si="5256">IF(BH799&lt;0,SUBSTITUTE(TEXT(BH799,"000000000000,00"),",",""),SUBSTITUTE(TEXT(BH799,"0000000000000,00"),",",""))</f>
        <v>000000000000000</v>
      </c>
      <c r="BJ799" s="23">
        <f t="shared" si="5140"/>
        <v>0</v>
      </c>
      <c r="BK799" s="49" t="str">
        <f t="shared" ref="BK799" si="5257">IF(BJ799&lt;0,SUBSTITUTE(TEXT(BJ799,"000000000000,00"),",",""),SUBSTITUTE(TEXT(BJ799,"0000000000000,00"),",",""))</f>
        <v>000000000000000</v>
      </c>
      <c r="BL799" s="23">
        <f t="shared" si="5142"/>
        <v>0</v>
      </c>
      <c r="BM799" s="49" t="str">
        <f t="shared" ref="BM799" si="5258">IF(BL799&lt;0,SUBSTITUTE(TEXT(BL799,"000000000000,00"),",",""),SUBSTITUTE(TEXT(BL799,"0000000000000,00"),",",""))</f>
        <v>000000000000000</v>
      </c>
      <c r="BN799" t="str">
        <f t="shared" si="5144"/>
        <v>PES</v>
      </c>
      <c r="BO799" t="str">
        <f t="shared" si="5145"/>
        <v>0001000000</v>
      </c>
      <c r="BP799">
        <f t="shared" si="5146"/>
        <v>0</v>
      </c>
      <c r="BQ799">
        <f t="shared" si="5147"/>
        <v>0</v>
      </c>
      <c r="BR799" s="23">
        <f t="shared" si="5148"/>
        <v>0</v>
      </c>
      <c r="BS799" s="49" t="str">
        <f t="shared" si="5113"/>
        <v>000000000000000</v>
      </c>
      <c r="BT799" t="str">
        <f t="shared" si="5149"/>
        <v>00000000</v>
      </c>
      <c r="BU799" s="23">
        <f t="shared" si="5150"/>
        <v>0</v>
      </c>
      <c r="BV799" s="49" t="str">
        <f t="shared" si="5114"/>
        <v/>
      </c>
      <c r="BW799" s="52" t="str">
        <f t="shared" si="5151"/>
        <v/>
      </c>
      <c r="BX799" s="23">
        <f t="shared" si="5152"/>
        <v>0</v>
      </c>
      <c r="BY799" s="49" t="str">
        <f t="shared" si="5115"/>
        <v/>
      </c>
      <c r="BZ799" s="23">
        <f t="shared" si="5153"/>
        <v>0</v>
      </c>
      <c r="CA799" s="49" t="str">
        <f t="shared" si="5116"/>
        <v/>
      </c>
      <c r="CB799" s="52" t="str">
        <f t="shared" si="5154"/>
        <v/>
      </c>
      <c r="CC799" s="23">
        <f t="shared" si="5155"/>
        <v>0</v>
      </c>
      <c r="CD799" s="49" t="str">
        <f t="shared" si="5117"/>
        <v/>
      </c>
      <c r="CE799" s="56" t="str">
        <f>IF(CF799="","",MAX(CE$10:$CE798)+1)</f>
        <v/>
      </c>
      <c r="CF799" t="str">
        <f t="shared" si="5156"/>
        <v/>
      </c>
      <c r="CG799" s="22" t="str">
        <f>IF(CH799="","",MAX($CG$10:CG798)+1)</f>
        <v/>
      </c>
      <c r="CH799" s="22" t="str">
        <f t="shared" si="5101"/>
        <v/>
      </c>
      <c r="CI799" s="22" t="str">
        <f>IF(CJ799="","",MAX($CI$10:CI798)+1)</f>
        <v/>
      </c>
      <c r="CJ799" s="22" t="str">
        <f t="shared" si="5102"/>
        <v/>
      </c>
    </row>
    <row r="800" spans="2:88" x14ac:dyDescent="0.25">
      <c r="B800" s="37"/>
      <c r="C800" s="3"/>
      <c r="D800" s="77" t="str">
        <f t="shared" si="5088"/>
        <v/>
      </c>
      <c r="E800" s="38"/>
      <c r="F800" s="38"/>
      <c r="G800" s="78">
        <f t="shared" si="5103"/>
        <v>0</v>
      </c>
      <c r="H800" s="3">
        <v>80</v>
      </c>
      <c r="I800" s="77" t="str">
        <f t="shared" si="5089"/>
        <v/>
      </c>
      <c r="J800" s="32"/>
      <c r="K800" s="3"/>
      <c r="L800" s="39"/>
      <c r="M800" s="39"/>
      <c r="N800" s="39"/>
      <c r="O800" s="39"/>
      <c r="P800" s="39"/>
      <c r="Q800" s="39"/>
      <c r="R800" s="39"/>
      <c r="S800" s="39"/>
      <c r="T800" s="3" t="s">
        <v>645</v>
      </c>
      <c r="U800" s="77" t="str">
        <f t="shared" si="5090"/>
        <v/>
      </c>
      <c r="V800" s="39">
        <v>1</v>
      </c>
      <c r="W800" s="79">
        <f t="shared" si="5104"/>
        <v>0</v>
      </c>
      <c r="X800" s="3">
        <v>0</v>
      </c>
      <c r="Y800" s="77" t="str">
        <f t="shared" si="5091"/>
        <v/>
      </c>
      <c r="Z800" s="3"/>
      <c r="AA800" s="37" t="str">
        <f t="shared" si="5105"/>
        <v/>
      </c>
      <c r="AC800" s="40"/>
      <c r="AD800" s="7"/>
      <c r="AE800" s="77" t="str">
        <f t="shared" si="5092"/>
        <v/>
      </c>
      <c r="AF800" s="81">
        <f t="shared" si="5118"/>
        <v>0</v>
      </c>
      <c r="AG800" s="40"/>
      <c r="AH800" s="7"/>
      <c r="AI800" s="77" t="str">
        <f t="shared" si="5093"/>
        <v/>
      </c>
      <c r="AJ800" s="81">
        <f t="shared" si="5119"/>
        <v>0</v>
      </c>
      <c r="AK800" s="83">
        <f t="shared" si="5120"/>
        <v>0</v>
      </c>
      <c r="AL800" s="83">
        <f t="shared" si="5121"/>
        <v>0</v>
      </c>
      <c r="AN800" s="43">
        <f t="shared" si="5094"/>
        <v>0</v>
      </c>
      <c r="AP800" t="str">
        <f t="shared" si="5122"/>
        <v/>
      </c>
      <c r="AQ800" t="str">
        <f t="shared" si="5123"/>
        <v/>
      </c>
      <c r="AR800" t="str">
        <f t="shared" si="5124"/>
        <v/>
      </c>
      <c r="AS800" t="str">
        <f t="shared" si="5125"/>
        <v/>
      </c>
      <c r="AT800" t="str">
        <f t="shared" si="5126"/>
        <v/>
      </c>
      <c r="AU800" t="str">
        <f t="shared" si="5127"/>
        <v/>
      </c>
      <c r="AV800" t="str">
        <f t="shared" si="5128"/>
        <v/>
      </c>
      <c r="AW800" t="str">
        <f t="shared" si="5129"/>
        <v xml:space="preserve">                              </v>
      </c>
      <c r="AX800" s="23">
        <f t="shared" si="5130"/>
        <v>0</v>
      </c>
      <c r="AY800" s="49" t="str">
        <f t="shared" si="5106"/>
        <v>000000000000000</v>
      </c>
      <c r="AZ800" s="23">
        <f t="shared" si="5131"/>
        <v>0</v>
      </c>
      <c r="BA800" s="49" t="str">
        <f t="shared" si="5106"/>
        <v>000000000000000</v>
      </c>
      <c r="BB800" s="23">
        <f t="shared" si="5132"/>
        <v>0</v>
      </c>
      <c r="BC800" s="49" t="str">
        <f t="shared" ref="BC800" si="5259">IF(BB800&lt;0,SUBSTITUTE(TEXT(BB800,"000000000000,00"),",",""),SUBSTITUTE(TEXT(BB800,"0000000000000,00"),",",""))</f>
        <v>000000000000000</v>
      </c>
      <c r="BD800" s="23">
        <f t="shared" si="5134"/>
        <v>0</v>
      </c>
      <c r="BE800" s="49" t="str">
        <f t="shared" ref="BE800" si="5260">IF(BD800&lt;0,SUBSTITUTE(TEXT(BD800,"000000000000,00"),",",""),SUBSTITUTE(TEXT(BD800,"0000000000000,00"),",",""))</f>
        <v>000000000000000</v>
      </c>
      <c r="BF800" s="23">
        <f t="shared" si="5136"/>
        <v>0</v>
      </c>
      <c r="BG800" s="49" t="str">
        <f t="shared" ref="BG800" si="5261">IF(BF800&lt;0,SUBSTITUTE(TEXT(BF800,"000000000000,00"),",",""),SUBSTITUTE(TEXT(BF800,"0000000000000,00"),",",""))</f>
        <v>000000000000000</v>
      </c>
      <c r="BH800" s="23">
        <f t="shared" si="5138"/>
        <v>0</v>
      </c>
      <c r="BI800" s="49" t="str">
        <f t="shared" ref="BI800" si="5262">IF(BH800&lt;0,SUBSTITUTE(TEXT(BH800,"000000000000,00"),",",""),SUBSTITUTE(TEXT(BH800,"0000000000000,00"),",",""))</f>
        <v>000000000000000</v>
      </c>
      <c r="BJ800" s="23">
        <f t="shared" si="5140"/>
        <v>0</v>
      </c>
      <c r="BK800" s="49" t="str">
        <f t="shared" ref="BK800" si="5263">IF(BJ800&lt;0,SUBSTITUTE(TEXT(BJ800,"000000000000,00"),",",""),SUBSTITUTE(TEXT(BJ800,"0000000000000,00"),",",""))</f>
        <v>000000000000000</v>
      </c>
      <c r="BL800" s="23">
        <f t="shared" si="5142"/>
        <v>0</v>
      </c>
      <c r="BM800" s="49" t="str">
        <f t="shared" ref="BM800" si="5264">IF(BL800&lt;0,SUBSTITUTE(TEXT(BL800,"000000000000,00"),",",""),SUBSTITUTE(TEXT(BL800,"0000000000000,00"),",",""))</f>
        <v>000000000000000</v>
      </c>
      <c r="BN800" t="str">
        <f t="shared" si="5144"/>
        <v>PES</v>
      </c>
      <c r="BO800" t="str">
        <f t="shared" si="5145"/>
        <v>0001000000</v>
      </c>
      <c r="BP800">
        <f t="shared" si="5146"/>
        <v>0</v>
      </c>
      <c r="BQ800">
        <f t="shared" si="5147"/>
        <v>0</v>
      </c>
      <c r="BR800" s="23">
        <f t="shared" si="5148"/>
        <v>0</v>
      </c>
      <c r="BS800" s="49" t="str">
        <f t="shared" si="5113"/>
        <v>000000000000000</v>
      </c>
      <c r="BT800" t="str">
        <f t="shared" si="5149"/>
        <v>00000000</v>
      </c>
      <c r="BU800" s="23">
        <f t="shared" si="5150"/>
        <v>0</v>
      </c>
      <c r="BV800" s="49" t="str">
        <f t="shared" si="5114"/>
        <v/>
      </c>
      <c r="BW800" s="52" t="str">
        <f t="shared" si="5151"/>
        <v/>
      </c>
      <c r="BX800" s="23">
        <f t="shared" si="5152"/>
        <v>0</v>
      </c>
      <c r="BY800" s="49" t="str">
        <f t="shared" si="5115"/>
        <v/>
      </c>
      <c r="BZ800" s="23">
        <f t="shared" si="5153"/>
        <v>0</v>
      </c>
      <c r="CA800" s="49" t="str">
        <f t="shared" si="5116"/>
        <v/>
      </c>
      <c r="CB800" s="52" t="str">
        <f t="shared" si="5154"/>
        <v/>
      </c>
      <c r="CC800" s="23">
        <f t="shared" si="5155"/>
        <v>0</v>
      </c>
      <c r="CD800" s="49" t="str">
        <f t="shared" si="5117"/>
        <v/>
      </c>
      <c r="CE800" s="56" t="str">
        <f>IF(CF800="","",MAX(CE$10:$CE799)+1)</f>
        <v/>
      </c>
      <c r="CF800" t="str">
        <f t="shared" si="5156"/>
        <v/>
      </c>
      <c r="CG800" s="22" t="str">
        <f>IF(CH800="","",MAX($CG$10:CG799)+1)</f>
        <v/>
      </c>
      <c r="CH800" s="22" t="str">
        <f t="shared" si="5101"/>
        <v/>
      </c>
      <c r="CI800" s="22" t="str">
        <f>IF(CJ800="","",MAX($CI$10:CI799)+1)</f>
        <v/>
      </c>
      <c r="CJ800" s="22" t="str">
        <f t="shared" si="5102"/>
        <v/>
      </c>
    </row>
    <row r="801" spans="2:88" x14ac:dyDescent="0.25">
      <c r="B801" s="37"/>
      <c r="C801" s="3"/>
      <c r="D801" s="77" t="str">
        <f t="shared" si="5088"/>
        <v/>
      </c>
      <c r="E801" s="38"/>
      <c r="F801" s="38"/>
      <c r="G801" s="78">
        <f t="shared" si="5103"/>
        <v>0</v>
      </c>
      <c r="H801" s="3">
        <v>80</v>
      </c>
      <c r="I801" s="77" t="str">
        <f t="shared" si="5089"/>
        <v/>
      </c>
      <c r="J801" s="32"/>
      <c r="K801" s="3"/>
      <c r="L801" s="39"/>
      <c r="M801" s="39"/>
      <c r="N801" s="39"/>
      <c r="O801" s="39"/>
      <c r="P801" s="39"/>
      <c r="Q801" s="39"/>
      <c r="R801" s="39"/>
      <c r="S801" s="39"/>
      <c r="T801" s="3" t="s">
        <v>645</v>
      </c>
      <c r="U801" s="77" t="str">
        <f t="shared" si="5090"/>
        <v/>
      </c>
      <c r="V801" s="39">
        <v>1</v>
      </c>
      <c r="W801" s="79">
        <f t="shared" si="5104"/>
        <v>0</v>
      </c>
      <c r="X801" s="3">
        <v>0</v>
      </c>
      <c r="Y801" s="77" t="str">
        <f t="shared" si="5091"/>
        <v/>
      </c>
      <c r="Z801" s="3"/>
      <c r="AA801" s="37" t="str">
        <f t="shared" si="5105"/>
        <v/>
      </c>
      <c r="AC801" s="40"/>
      <c r="AD801" s="7"/>
      <c r="AE801" s="77" t="str">
        <f t="shared" si="5092"/>
        <v/>
      </c>
      <c r="AF801" s="81">
        <f t="shared" si="5118"/>
        <v>0</v>
      </c>
      <c r="AG801" s="40"/>
      <c r="AH801" s="7"/>
      <c r="AI801" s="77" t="str">
        <f t="shared" si="5093"/>
        <v/>
      </c>
      <c r="AJ801" s="81">
        <f t="shared" si="5119"/>
        <v>0</v>
      </c>
      <c r="AK801" s="83">
        <f t="shared" si="5120"/>
        <v>0</v>
      </c>
      <c r="AL801" s="83">
        <f t="shared" si="5121"/>
        <v>0</v>
      </c>
      <c r="AN801" s="43">
        <f t="shared" si="5094"/>
        <v>0</v>
      </c>
      <c r="AP801" t="str">
        <f t="shared" si="5122"/>
        <v/>
      </c>
      <c r="AQ801" t="str">
        <f t="shared" si="5123"/>
        <v/>
      </c>
      <c r="AR801" t="str">
        <f t="shared" si="5124"/>
        <v/>
      </c>
      <c r="AS801" t="str">
        <f t="shared" si="5125"/>
        <v/>
      </c>
      <c r="AT801" t="str">
        <f t="shared" si="5126"/>
        <v/>
      </c>
      <c r="AU801" t="str">
        <f t="shared" si="5127"/>
        <v/>
      </c>
      <c r="AV801" t="str">
        <f t="shared" si="5128"/>
        <v/>
      </c>
      <c r="AW801" t="str">
        <f t="shared" si="5129"/>
        <v xml:space="preserve">                              </v>
      </c>
      <c r="AX801" s="23">
        <f t="shared" si="5130"/>
        <v>0</v>
      </c>
      <c r="AY801" s="49" t="str">
        <f t="shared" si="5106"/>
        <v>000000000000000</v>
      </c>
      <c r="AZ801" s="23">
        <f t="shared" si="5131"/>
        <v>0</v>
      </c>
      <c r="BA801" s="49" t="str">
        <f t="shared" si="5106"/>
        <v>000000000000000</v>
      </c>
      <c r="BB801" s="23">
        <f t="shared" si="5132"/>
        <v>0</v>
      </c>
      <c r="BC801" s="49" t="str">
        <f t="shared" ref="BC801" si="5265">IF(BB801&lt;0,SUBSTITUTE(TEXT(BB801,"000000000000,00"),",",""),SUBSTITUTE(TEXT(BB801,"0000000000000,00"),",",""))</f>
        <v>000000000000000</v>
      </c>
      <c r="BD801" s="23">
        <f t="shared" si="5134"/>
        <v>0</v>
      </c>
      <c r="BE801" s="49" t="str">
        <f t="shared" ref="BE801" si="5266">IF(BD801&lt;0,SUBSTITUTE(TEXT(BD801,"000000000000,00"),",",""),SUBSTITUTE(TEXT(BD801,"0000000000000,00"),",",""))</f>
        <v>000000000000000</v>
      </c>
      <c r="BF801" s="23">
        <f t="shared" si="5136"/>
        <v>0</v>
      </c>
      <c r="BG801" s="49" t="str">
        <f t="shared" ref="BG801" si="5267">IF(BF801&lt;0,SUBSTITUTE(TEXT(BF801,"000000000000,00"),",",""),SUBSTITUTE(TEXT(BF801,"0000000000000,00"),",",""))</f>
        <v>000000000000000</v>
      </c>
      <c r="BH801" s="23">
        <f t="shared" si="5138"/>
        <v>0</v>
      </c>
      <c r="BI801" s="49" t="str">
        <f t="shared" ref="BI801" si="5268">IF(BH801&lt;0,SUBSTITUTE(TEXT(BH801,"000000000000,00"),",",""),SUBSTITUTE(TEXT(BH801,"0000000000000,00"),",",""))</f>
        <v>000000000000000</v>
      </c>
      <c r="BJ801" s="23">
        <f t="shared" si="5140"/>
        <v>0</v>
      </c>
      <c r="BK801" s="49" t="str">
        <f t="shared" ref="BK801" si="5269">IF(BJ801&lt;0,SUBSTITUTE(TEXT(BJ801,"000000000000,00"),",",""),SUBSTITUTE(TEXT(BJ801,"0000000000000,00"),",",""))</f>
        <v>000000000000000</v>
      </c>
      <c r="BL801" s="23">
        <f t="shared" si="5142"/>
        <v>0</v>
      </c>
      <c r="BM801" s="49" t="str">
        <f t="shared" ref="BM801" si="5270">IF(BL801&lt;0,SUBSTITUTE(TEXT(BL801,"000000000000,00"),",",""),SUBSTITUTE(TEXT(BL801,"0000000000000,00"),",",""))</f>
        <v>000000000000000</v>
      </c>
      <c r="BN801" t="str">
        <f t="shared" si="5144"/>
        <v>PES</v>
      </c>
      <c r="BO801" t="str">
        <f t="shared" si="5145"/>
        <v>0001000000</v>
      </c>
      <c r="BP801">
        <f t="shared" si="5146"/>
        <v>0</v>
      </c>
      <c r="BQ801">
        <f t="shared" si="5147"/>
        <v>0</v>
      </c>
      <c r="BR801" s="23">
        <f t="shared" si="5148"/>
        <v>0</v>
      </c>
      <c r="BS801" s="49" t="str">
        <f t="shared" si="5113"/>
        <v>000000000000000</v>
      </c>
      <c r="BT801" t="str">
        <f t="shared" si="5149"/>
        <v>00000000</v>
      </c>
      <c r="BU801" s="23">
        <f t="shared" si="5150"/>
        <v>0</v>
      </c>
      <c r="BV801" s="49" t="str">
        <f t="shared" si="5114"/>
        <v/>
      </c>
      <c r="BW801" s="52" t="str">
        <f t="shared" si="5151"/>
        <v/>
      </c>
      <c r="BX801" s="23">
        <f t="shared" si="5152"/>
        <v>0</v>
      </c>
      <c r="BY801" s="49" t="str">
        <f t="shared" si="5115"/>
        <v/>
      </c>
      <c r="BZ801" s="23">
        <f t="shared" si="5153"/>
        <v>0</v>
      </c>
      <c r="CA801" s="49" t="str">
        <f t="shared" si="5116"/>
        <v/>
      </c>
      <c r="CB801" s="52" t="str">
        <f t="shared" si="5154"/>
        <v/>
      </c>
      <c r="CC801" s="23">
        <f t="shared" si="5155"/>
        <v>0</v>
      </c>
      <c r="CD801" s="49" t="str">
        <f t="shared" si="5117"/>
        <v/>
      </c>
      <c r="CE801" s="56" t="str">
        <f>IF(CF801="","",MAX(CE$10:$CE800)+1)</f>
        <v/>
      </c>
      <c r="CF801" t="str">
        <f t="shared" si="5156"/>
        <v/>
      </c>
      <c r="CG801" s="22" t="str">
        <f>IF(CH801="","",MAX($CG$10:CG800)+1)</f>
        <v/>
      </c>
      <c r="CH801" s="22" t="str">
        <f t="shared" si="5101"/>
        <v/>
      </c>
      <c r="CI801" s="22" t="str">
        <f>IF(CJ801="","",MAX($CI$10:CI800)+1)</f>
        <v/>
      </c>
      <c r="CJ801" s="22" t="str">
        <f t="shared" si="5102"/>
        <v/>
      </c>
    </row>
    <row r="802" spans="2:88" x14ac:dyDescent="0.25">
      <c r="B802" s="37"/>
      <c r="C802" s="3"/>
      <c r="D802" s="77" t="str">
        <f t="shared" si="5088"/>
        <v/>
      </c>
      <c r="E802" s="38"/>
      <c r="F802" s="38"/>
      <c r="G802" s="78">
        <f t="shared" si="5103"/>
        <v>0</v>
      </c>
      <c r="H802" s="3">
        <v>80</v>
      </c>
      <c r="I802" s="77" t="str">
        <f t="shared" si="5089"/>
        <v/>
      </c>
      <c r="J802" s="32"/>
      <c r="K802" s="3"/>
      <c r="L802" s="39"/>
      <c r="M802" s="39"/>
      <c r="N802" s="39"/>
      <c r="O802" s="39"/>
      <c r="P802" s="39"/>
      <c r="Q802" s="39"/>
      <c r="R802" s="39"/>
      <c r="S802" s="39"/>
      <c r="T802" s="3" t="s">
        <v>645</v>
      </c>
      <c r="U802" s="77" t="str">
        <f t="shared" si="5090"/>
        <v/>
      </c>
      <c r="V802" s="39">
        <v>1</v>
      </c>
      <c r="W802" s="79">
        <f t="shared" si="5104"/>
        <v>0</v>
      </c>
      <c r="X802" s="3">
        <v>0</v>
      </c>
      <c r="Y802" s="77" t="str">
        <f t="shared" si="5091"/>
        <v/>
      </c>
      <c r="Z802" s="3"/>
      <c r="AA802" s="37" t="str">
        <f t="shared" si="5105"/>
        <v/>
      </c>
      <c r="AC802" s="40"/>
      <c r="AD802" s="7"/>
      <c r="AE802" s="77" t="str">
        <f t="shared" si="5092"/>
        <v/>
      </c>
      <c r="AF802" s="81">
        <f t="shared" si="5118"/>
        <v>0</v>
      </c>
      <c r="AG802" s="40"/>
      <c r="AH802" s="7"/>
      <c r="AI802" s="77" t="str">
        <f t="shared" si="5093"/>
        <v/>
      </c>
      <c r="AJ802" s="81">
        <f t="shared" si="5119"/>
        <v>0</v>
      </c>
      <c r="AK802" s="83">
        <f t="shared" si="5120"/>
        <v>0</v>
      </c>
      <c r="AL802" s="83">
        <f t="shared" si="5121"/>
        <v>0</v>
      </c>
      <c r="AN802" s="43">
        <f t="shared" si="5094"/>
        <v>0</v>
      </c>
      <c r="AP802" t="str">
        <f t="shared" si="5122"/>
        <v/>
      </c>
      <c r="AQ802" t="str">
        <f t="shared" si="5123"/>
        <v/>
      </c>
      <c r="AR802" t="str">
        <f t="shared" si="5124"/>
        <v/>
      </c>
      <c r="AS802" t="str">
        <f t="shared" si="5125"/>
        <v/>
      </c>
      <c r="AT802" t="str">
        <f t="shared" si="5126"/>
        <v/>
      </c>
      <c r="AU802" t="str">
        <f t="shared" si="5127"/>
        <v/>
      </c>
      <c r="AV802" t="str">
        <f t="shared" si="5128"/>
        <v/>
      </c>
      <c r="AW802" t="str">
        <f t="shared" si="5129"/>
        <v xml:space="preserve">                              </v>
      </c>
      <c r="AX802" s="23">
        <f t="shared" si="5130"/>
        <v>0</v>
      </c>
      <c r="AY802" s="49" t="str">
        <f t="shared" si="5106"/>
        <v>000000000000000</v>
      </c>
      <c r="AZ802" s="23">
        <f t="shared" si="5131"/>
        <v>0</v>
      </c>
      <c r="BA802" s="49" t="str">
        <f t="shared" si="5106"/>
        <v>000000000000000</v>
      </c>
      <c r="BB802" s="23">
        <f t="shared" si="5132"/>
        <v>0</v>
      </c>
      <c r="BC802" s="49" t="str">
        <f t="shared" ref="BC802" si="5271">IF(BB802&lt;0,SUBSTITUTE(TEXT(BB802,"000000000000,00"),",",""),SUBSTITUTE(TEXT(BB802,"0000000000000,00"),",",""))</f>
        <v>000000000000000</v>
      </c>
      <c r="BD802" s="23">
        <f t="shared" si="5134"/>
        <v>0</v>
      </c>
      <c r="BE802" s="49" t="str">
        <f t="shared" ref="BE802" si="5272">IF(BD802&lt;0,SUBSTITUTE(TEXT(BD802,"000000000000,00"),",",""),SUBSTITUTE(TEXT(BD802,"0000000000000,00"),",",""))</f>
        <v>000000000000000</v>
      </c>
      <c r="BF802" s="23">
        <f t="shared" si="5136"/>
        <v>0</v>
      </c>
      <c r="BG802" s="49" t="str">
        <f t="shared" ref="BG802" si="5273">IF(BF802&lt;0,SUBSTITUTE(TEXT(BF802,"000000000000,00"),",",""),SUBSTITUTE(TEXT(BF802,"0000000000000,00"),",",""))</f>
        <v>000000000000000</v>
      </c>
      <c r="BH802" s="23">
        <f t="shared" si="5138"/>
        <v>0</v>
      </c>
      <c r="BI802" s="49" t="str">
        <f t="shared" ref="BI802" si="5274">IF(BH802&lt;0,SUBSTITUTE(TEXT(BH802,"000000000000,00"),",",""),SUBSTITUTE(TEXT(BH802,"0000000000000,00"),",",""))</f>
        <v>000000000000000</v>
      </c>
      <c r="BJ802" s="23">
        <f t="shared" si="5140"/>
        <v>0</v>
      </c>
      <c r="BK802" s="49" t="str">
        <f t="shared" ref="BK802" si="5275">IF(BJ802&lt;0,SUBSTITUTE(TEXT(BJ802,"000000000000,00"),",",""),SUBSTITUTE(TEXT(BJ802,"0000000000000,00"),",",""))</f>
        <v>000000000000000</v>
      </c>
      <c r="BL802" s="23">
        <f t="shared" si="5142"/>
        <v>0</v>
      </c>
      <c r="BM802" s="49" t="str">
        <f t="shared" ref="BM802" si="5276">IF(BL802&lt;0,SUBSTITUTE(TEXT(BL802,"000000000000,00"),",",""),SUBSTITUTE(TEXT(BL802,"0000000000000,00"),",",""))</f>
        <v>000000000000000</v>
      </c>
      <c r="BN802" t="str">
        <f t="shared" si="5144"/>
        <v>PES</v>
      </c>
      <c r="BO802" t="str">
        <f t="shared" si="5145"/>
        <v>0001000000</v>
      </c>
      <c r="BP802">
        <f t="shared" si="5146"/>
        <v>0</v>
      </c>
      <c r="BQ802">
        <f t="shared" si="5147"/>
        <v>0</v>
      </c>
      <c r="BR802" s="23">
        <f t="shared" si="5148"/>
        <v>0</v>
      </c>
      <c r="BS802" s="49" t="str">
        <f t="shared" si="5113"/>
        <v>000000000000000</v>
      </c>
      <c r="BT802" t="str">
        <f t="shared" si="5149"/>
        <v>00000000</v>
      </c>
      <c r="BU802" s="23">
        <f t="shared" si="5150"/>
        <v>0</v>
      </c>
      <c r="BV802" s="49" t="str">
        <f t="shared" si="5114"/>
        <v/>
      </c>
      <c r="BW802" s="52" t="str">
        <f t="shared" si="5151"/>
        <v/>
      </c>
      <c r="BX802" s="23">
        <f t="shared" si="5152"/>
        <v>0</v>
      </c>
      <c r="BY802" s="49" t="str">
        <f t="shared" si="5115"/>
        <v/>
      </c>
      <c r="BZ802" s="23">
        <f t="shared" si="5153"/>
        <v>0</v>
      </c>
      <c r="CA802" s="49" t="str">
        <f t="shared" si="5116"/>
        <v/>
      </c>
      <c r="CB802" s="52" t="str">
        <f t="shared" si="5154"/>
        <v/>
      </c>
      <c r="CC802" s="23">
        <f t="shared" si="5155"/>
        <v>0</v>
      </c>
      <c r="CD802" s="49" t="str">
        <f t="shared" si="5117"/>
        <v/>
      </c>
      <c r="CE802" s="56" t="str">
        <f>IF(CF802="","",MAX(CE$10:$CE801)+1)</f>
        <v/>
      </c>
      <c r="CF802" t="str">
        <f t="shared" si="5156"/>
        <v/>
      </c>
      <c r="CG802" s="22" t="str">
        <f>IF(CH802="","",MAX($CG$10:CG801)+1)</f>
        <v/>
      </c>
      <c r="CH802" s="22" t="str">
        <f t="shared" si="5101"/>
        <v/>
      </c>
      <c r="CI802" s="22" t="str">
        <f>IF(CJ802="","",MAX($CI$10:CI801)+1)</f>
        <v/>
      </c>
      <c r="CJ802" s="22" t="str">
        <f t="shared" si="5102"/>
        <v/>
      </c>
    </row>
    <row r="803" spans="2:88" x14ac:dyDescent="0.25">
      <c r="B803" s="37"/>
      <c r="C803" s="3"/>
      <c r="D803" s="77" t="str">
        <f t="shared" si="5088"/>
        <v/>
      </c>
      <c r="E803" s="38"/>
      <c r="F803" s="38"/>
      <c r="G803" s="78">
        <f t="shared" si="5103"/>
        <v>0</v>
      </c>
      <c r="H803" s="3">
        <v>80</v>
      </c>
      <c r="I803" s="77" t="str">
        <f t="shared" si="5089"/>
        <v/>
      </c>
      <c r="J803" s="32"/>
      <c r="K803" s="3"/>
      <c r="L803" s="39"/>
      <c r="M803" s="39"/>
      <c r="N803" s="39"/>
      <c r="O803" s="39"/>
      <c r="P803" s="39"/>
      <c r="Q803" s="39"/>
      <c r="R803" s="39"/>
      <c r="S803" s="39"/>
      <c r="T803" s="3" t="s">
        <v>645</v>
      </c>
      <c r="U803" s="77" t="str">
        <f t="shared" si="5090"/>
        <v/>
      </c>
      <c r="V803" s="39">
        <v>1</v>
      </c>
      <c r="W803" s="79">
        <f t="shared" si="5104"/>
        <v>0</v>
      </c>
      <c r="X803" s="3">
        <v>0</v>
      </c>
      <c r="Y803" s="77" t="str">
        <f t="shared" si="5091"/>
        <v/>
      </c>
      <c r="Z803" s="3"/>
      <c r="AA803" s="37" t="str">
        <f t="shared" si="5105"/>
        <v/>
      </c>
      <c r="AC803" s="40"/>
      <c r="AD803" s="7"/>
      <c r="AE803" s="77" t="str">
        <f t="shared" si="5092"/>
        <v/>
      </c>
      <c r="AF803" s="81">
        <f t="shared" si="5118"/>
        <v>0</v>
      </c>
      <c r="AG803" s="40"/>
      <c r="AH803" s="7"/>
      <c r="AI803" s="77" t="str">
        <f t="shared" si="5093"/>
        <v/>
      </c>
      <c r="AJ803" s="81">
        <f t="shared" si="5119"/>
        <v>0</v>
      </c>
      <c r="AK803" s="83">
        <f t="shared" si="5120"/>
        <v>0</v>
      </c>
      <c r="AL803" s="83">
        <f t="shared" si="5121"/>
        <v>0</v>
      </c>
      <c r="AN803" s="43">
        <f t="shared" si="5094"/>
        <v>0</v>
      </c>
      <c r="AP803" t="str">
        <f t="shared" si="5122"/>
        <v/>
      </c>
      <c r="AQ803" t="str">
        <f t="shared" si="5123"/>
        <v/>
      </c>
      <c r="AR803" t="str">
        <f t="shared" si="5124"/>
        <v/>
      </c>
      <c r="AS803" t="str">
        <f t="shared" si="5125"/>
        <v/>
      </c>
      <c r="AT803" t="str">
        <f t="shared" si="5126"/>
        <v/>
      </c>
      <c r="AU803" t="str">
        <f t="shared" si="5127"/>
        <v/>
      </c>
      <c r="AV803" t="str">
        <f t="shared" si="5128"/>
        <v/>
      </c>
      <c r="AW803" t="str">
        <f t="shared" si="5129"/>
        <v xml:space="preserve">                              </v>
      </c>
      <c r="AX803" s="23">
        <f t="shared" si="5130"/>
        <v>0</v>
      </c>
      <c r="AY803" s="49" t="str">
        <f t="shared" si="5106"/>
        <v>000000000000000</v>
      </c>
      <c r="AZ803" s="23">
        <f t="shared" si="5131"/>
        <v>0</v>
      </c>
      <c r="BA803" s="49" t="str">
        <f t="shared" si="5106"/>
        <v>000000000000000</v>
      </c>
      <c r="BB803" s="23">
        <f t="shared" si="5132"/>
        <v>0</v>
      </c>
      <c r="BC803" s="49" t="str">
        <f t="shared" ref="BC803" si="5277">IF(BB803&lt;0,SUBSTITUTE(TEXT(BB803,"000000000000,00"),",",""),SUBSTITUTE(TEXT(BB803,"0000000000000,00"),",",""))</f>
        <v>000000000000000</v>
      </c>
      <c r="BD803" s="23">
        <f t="shared" si="5134"/>
        <v>0</v>
      </c>
      <c r="BE803" s="49" t="str">
        <f t="shared" ref="BE803" si="5278">IF(BD803&lt;0,SUBSTITUTE(TEXT(BD803,"000000000000,00"),",",""),SUBSTITUTE(TEXT(BD803,"0000000000000,00"),",",""))</f>
        <v>000000000000000</v>
      </c>
      <c r="BF803" s="23">
        <f t="shared" si="5136"/>
        <v>0</v>
      </c>
      <c r="BG803" s="49" t="str">
        <f t="shared" ref="BG803" si="5279">IF(BF803&lt;0,SUBSTITUTE(TEXT(BF803,"000000000000,00"),",",""),SUBSTITUTE(TEXT(BF803,"0000000000000,00"),",",""))</f>
        <v>000000000000000</v>
      </c>
      <c r="BH803" s="23">
        <f t="shared" si="5138"/>
        <v>0</v>
      </c>
      <c r="BI803" s="49" t="str">
        <f t="shared" ref="BI803" si="5280">IF(BH803&lt;0,SUBSTITUTE(TEXT(BH803,"000000000000,00"),",",""),SUBSTITUTE(TEXT(BH803,"0000000000000,00"),",",""))</f>
        <v>000000000000000</v>
      </c>
      <c r="BJ803" s="23">
        <f t="shared" si="5140"/>
        <v>0</v>
      </c>
      <c r="BK803" s="49" t="str">
        <f t="shared" ref="BK803" si="5281">IF(BJ803&lt;0,SUBSTITUTE(TEXT(BJ803,"000000000000,00"),",",""),SUBSTITUTE(TEXT(BJ803,"0000000000000,00"),",",""))</f>
        <v>000000000000000</v>
      </c>
      <c r="BL803" s="23">
        <f t="shared" si="5142"/>
        <v>0</v>
      </c>
      <c r="BM803" s="49" t="str">
        <f t="shared" ref="BM803" si="5282">IF(BL803&lt;0,SUBSTITUTE(TEXT(BL803,"000000000000,00"),",",""),SUBSTITUTE(TEXT(BL803,"0000000000000,00"),",",""))</f>
        <v>000000000000000</v>
      </c>
      <c r="BN803" t="str">
        <f t="shared" si="5144"/>
        <v>PES</v>
      </c>
      <c r="BO803" t="str">
        <f t="shared" si="5145"/>
        <v>0001000000</v>
      </c>
      <c r="BP803">
        <f t="shared" si="5146"/>
        <v>0</v>
      </c>
      <c r="BQ803">
        <f t="shared" si="5147"/>
        <v>0</v>
      </c>
      <c r="BR803" s="23">
        <f t="shared" si="5148"/>
        <v>0</v>
      </c>
      <c r="BS803" s="49" t="str">
        <f t="shared" si="5113"/>
        <v>000000000000000</v>
      </c>
      <c r="BT803" t="str">
        <f t="shared" si="5149"/>
        <v>00000000</v>
      </c>
      <c r="BU803" s="23">
        <f t="shared" si="5150"/>
        <v>0</v>
      </c>
      <c r="BV803" s="49" t="str">
        <f t="shared" si="5114"/>
        <v/>
      </c>
      <c r="BW803" s="52" t="str">
        <f t="shared" si="5151"/>
        <v/>
      </c>
      <c r="BX803" s="23">
        <f t="shared" si="5152"/>
        <v>0</v>
      </c>
      <c r="BY803" s="49" t="str">
        <f t="shared" si="5115"/>
        <v/>
      </c>
      <c r="BZ803" s="23">
        <f t="shared" si="5153"/>
        <v>0</v>
      </c>
      <c r="CA803" s="49" t="str">
        <f t="shared" si="5116"/>
        <v/>
      </c>
      <c r="CB803" s="52" t="str">
        <f t="shared" si="5154"/>
        <v/>
      </c>
      <c r="CC803" s="23">
        <f t="shared" si="5155"/>
        <v>0</v>
      </c>
      <c r="CD803" s="49" t="str">
        <f t="shared" si="5117"/>
        <v/>
      </c>
      <c r="CE803" s="56" t="str">
        <f>IF(CF803="","",MAX(CE$10:$CE802)+1)</f>
        <v/>
      </c>
      <c r="CF803" t="str">
        <f t="shared" si="5156"/>
        <v/>
      </c>
      <c r="CG803" s="22" t="str">
        <f>IF(CH803="","",MAX($CG$10:CG802)+1)</f>
        <v/>
      </c>
      <c r="CH803" s="22" t="str">
        <f t="shared" si="5101"/>
        <v/>
      </c>
      <c r="CI803" s="22" t="str">
        <f>IF(CJ803="","",MAX($CI$10:CI802)+1)</f>
        <v/>
      </c>
      <c r="CJ803" s="22" t="str">
        <f t="shared" si="5102"/>
        <v/>
      </c>
    </row>
    <row r="804" spans="2:88" x14ac:dyDescent="0.25">
      <c r="B804" s="37"/>
      <c r="C804" s="3"/>
      <c r="D804" s="77" t="str">
        <f t="shared" si="5088"/>
        <v/>
      </c>
      <c r="E804" s="38"/>
      <c r="F804" s="38"/>
      <c r="G804" s="78">
        <f t="shared" si="5103"/>
        <v>0</v>
      </c>
      <c r="H804" s="3">
        <v>80</v>
      </c>
      <c r="I804" s="77" t="str">
        <f t="shared" si="5089"/>
        <v/>
      </c>
      <c r="J804" s="32"/>
      <c r="K804" s="3"/>
      <c r="L804" s="39"/>
      <c r="M804" s="39"/>
      <c r="N804" s="39"/>
      <c r="O804" s="39"/>
      <c r="P804" s="39"/>
      <c r="Q804" s="39"/>
      <c r="R804" s="39"/>
      <c r="S804" s="39"/>
      <c r="T804" s="3" t="s">
        <v>645</v>
      </c>
      <c r="U804" s="77" t="str">
        <f t="shared" si="5090"/>
        <v/>
      </c>
      <c r="V804" s="39">
        <v>1</v>
      </c>
      <c r="W804" s="79">
        <f t="shared" si="5104"/>
        <v>0</v>
      </c>
      <c r="X804" s="3">
        <v>0</v>
      </c>
      <c r="Y804" s="77" t="str">
        <f t="shared" si="5091"/>
        <v/>
      </c>
      <c r="Z804" s="3"/>
      <c r="AA804" s="37" t="str">
        <f t="shared" si="5105"/>
        <v/>
      </c>
      <c r="AC804" s="40"/>
      <c r="AD804" s="7"/>
      <c r="AE804" s="77" t="str">
        <f t="shared" si="5092"/>
        <v/>
      </c>
      <c r="AF804" s="81">
        <f t="shared" si="5118"/>
        <v>0</v>
      </c>
      <c r="AG804" s="40"/>
      <c r="AH804" s="7"/>
      <c r="AI804" s="77" t="str">
        <f t="shared" si="5093"/>
        <v/>
      </c>
      <c r="AJ804" s="81">
        <f t="shared" si="5119"/>
        <v>0</v>
      </c>
      <c r="AK804" s="83">
        <f t="shared" si="5120"/>
        <v>0</v>
      </c>
      <c r="AL804" s="83">
        <f t="shared" si="5121"/>
        <v>0</v>
      </c>
      <c r="AN804" s="43">
        <f t="shared" si="5094"/>
        <v>0</v>
      </c>
      <c r="AP804" t="str">
        <f t="shared" si="5122"/>
        <v/>
      </c>
      <c r="AQ804" t="str">
        <f t="shared" si="5123"/>
        <v/>
      </c>
      <c r="AR804" t="str">
        <f t="shared" si="5124"/>
        <v/>
      </c>
      <c r="AS804" t="str">
        <f t="shared" si="5125"/>
        <v/>
      </c>
      <c r="AT804" t="str">
        <f t="shared" si="5126"/>
        <v/>
      </c>
      <c r="AU804" t="str">
        <f t="shared" si="5127"/>
        <v/>
      </c>
      <c r="AV804" t="str">
        <f t="shared" si="5128"/>
        <v/>
      </c>
      <c r="AW804" t="str">
        <f t="shared" si="5129"/>
        <v xml:space="preserve">                              </v>
      </c>
      <c r="AX804" s="23">
        <f t="shared" si="5130"/>
        <v>0</v>
      </c>
      <c r="AY804" s="49" t="str">
        <f t="shared" si="5106"/>
        <v>000000000000000</v>
      </c>
      <c r="AZ804" s="23">
        <f t="shared" si="5131"/>
        <v>0</v>
      </c>
      <c r="BA804" s="49" t="str">
        <f t="shared" si="5106"/>
        <v>000000000000000</v>
      </c>
      <c r="BB804" s="23">
        <f t="shared" si="5132"/>
        <v>0</v>
      </c>
      <c r="BC804" s="49" t="str">
        <f t="shared" ref="BC804" si="5283">IF(BB804&lt;0,SUBSTITUTE(TEXT(BB804,"000000000000,00"),",",""),SUBSTITUTE(TEXT(BB804,"0000000000000,00"),",",""))</f>
        <v>000000000000000</v>
      </c>
      <c r="BD804" s="23">
        <f t="shared" si="5134"/>
        <v>0</v>
      </c>
      <c r="BE804" s="49" t="str">
        <f t="shared" ref="BE804" si="5284">IF(BD804&lt;0,SUBSTITUTE(TEXT(BD804,"000000000000,00"),",",""),SUBSTITUTE(TEXT(BD804,"0000000000000,00"),",",""))</f>
        <v>000000000000000</v>
      </c>
      <c r="BF804" s="23">
        <f t="shared" si="5136"/>
        <v>0</v>
      </c>
      <c r="BG804" s="49" t="str">
        <f t="shared" ref="BG804" si="5285">IF(BF804&lt;0,SUBSTITUTE(TEXT(BF804,"000000000000,00"),",",""),SUBSTITUTE(TEXT(BF804,"0000000000000,00"),",",""))</f>
        <v>000000000000000</v>
      </c>
      <c r="BH804" s="23">
        <f t="shared" si="5138"/>
        <v>0</v>
      </c>
      <c r="BI804" s="49" t="str">
        <f t="shared" ref="BI804" si="5286">IF(BH804&lt;0,SUBSTITUTE(TEXT(BH804,"000000000000,00"),",",""),SUBSTITUTE(TEXT(BH804,"0000000000000,00"),",",""))</f>
        <v>000000000000000</v>
      </c>
      <c r="BJ804" s="23">
        <f t="shared" si="5140"/>
        <v>0</v>
      </c>
      <c r="BK804" s="49" t="str">
        <f t="shared" ref="BK804" si="5287">IF(BJ804&lt;0,SUBSTITUTE(TEXT(BJ804,"000000000000,00"),",",""),SUBSTITUTE(TEXT(BJ804,"0000000000000,00"),",",""))</f>
        <v>000000000000000</v>
      </c>
      <c r="BL804" s="23">
        <f t="shared" si="5142"/>
        <v>0</v>
      </c>
      <c r="BM804" s="49" t="str">
        <f t="shared" ref="BM804" si="5288">IF(BL804&lt;0,SUBSTITUTE(TEXT(BL804,"000000000000,00"),",",""),SUBSTITUTE(TEXT(BL804,"0000000000000,00"),",",""))</f>
        <v>000000000000000</v>
      </c>
      <c r="BN804" t="str">
        <f t="shared" si="5144"/>
        <v>PES</v>
      </c>
      <c r="BO804" t="str">
        <f t="shared" si="5145"/>
        <v>0001000000</v>
      </c>
      <c r="BP804">
        <f t="shared" si="5146"/>
        <v>0</v>
      </c>
      <c r="BQ804">
        <f t="shared" si="5147"/>
        <v>0</v>
      </c>
      <c r="BR804" s="23">
        <f t="shared" si="5148"/>
        <v>0</v>
      </c>
      <c r="BS804" s="49" t="str">
        <f t="shared" si="5113"/>
        <v>000000000000000</v>
      </c>
      <c r="BT804" t="str">
        <f t="shared" si="5149"/>
        <v>00000000</v>
      </c>
      <c r="BU804" s="23">
        <f t="shared" si="5150"/>
        <v>0</v>
      </c>
      <c r="BV804" s="49" t="str">
        <f t="shared" si="5114"/>
        <v/>
      </c>
      <c r="BW804" s="52" t="str">
        <f t="shared" si="5151"/>
        <v/>
      </c>
      <c r="BX804" s="23">
        <f t="shared" si="5152"/>
        <v>0</v>
      </c>
      <c r="BY804" s="49" t="str">
        <f t="shared" si="5115"/>
        <v/>
      </c>
      <c r="BZ804" s="23">
        <f t="shared" si="5153"/>
        <v>0</v>
      </c>
      <c r="CA804" s="49" t="str">
        <f t="shared" si="5116"/>
        <v/>
      </c>
      <c r="CB804" s="52" t="str">
        <f t="shared" si="5154"/>
        <v/>
      </c>
      <c r="CC804" s="23">
        <f t="shared" si="5155"/>
        <v>0</v>
      </c>
      <c r="CD804" s="49" t="str">
        <f t="shared" si="5117"/>
        <v/>
      </c>
      <c r="CE804" s="56" t="str">
        <f>IF(CF804="","",MAX(CE$10:$CE803)+1)</f>
        <v/>
      </c>
      <c r="CF804" t="str">
        <f t="shared" si="5156"/>
        <v/>
      </c>
      <c r="CG804" s="22" t="str">
        <f>IF(CH804="","",MAX($CG$10:CG803)+1)</f>
        <v/>
      </c>
      <c r="CH804" s="22" t="str">
        <f t="shared" si="5101"/>
        <v/>
      </c>
      <c r="CI804" s="22" t="str">
        <f>IF(CJ804="","",MAX($CI$10:CI803)+1)</f>
        <v/>
      </c>
      <c r="CJ804" s="22" t="str">
        <f t="shared" si="5102"/>
        <v/>
      </c>
    </row>
    <row r="805" spans="2:88" x14ac:dyDescent="0.25">
      <c r="B805" s="37"/>
      <c r="C805" s="3"/>
      <c r="D805" s="77" t="str">
        <f t="shared" si="5088"/>
        <v/>
      </c>
      <c r="E805" s="38"/>
      <c r="F805" s="38"/>
      <c r="G805" s="78">
        <f t="shared" si="5103"/>
        <v>0</v>
      </c>
      <c r="H805" s="3">
        <v>80</v>
      </c>
      <c r="I805" s="77" t="str">
        <f t="shared" si="5089"/>
        <v/>
      </c>
      <c r="J805" s="32"/>
      <c r="K805" s="3"/>
      <c r="L805" s="39"/>
      <c r="M805" s="39"/>
      <c r="N805" s="39"/>
      <c r="O805" s="39"/>
      <c r="P805" s="39"/>
      <c r="Q805" s="39"/>
      <c r="R805" s="39"/>
      <c r="S805" s="39"/>
      <c r="T805" s="3" t="s">
        <v>645</v>
      </c>
      <c r="U805" s="77" t="str">
        <f t="shared" si="5090"/>
        <v/>
      </c>
      <c r="V805" s="39">
        <v>1</v>
      </c>
      <c r="W805" s="79">
        <f t="shared" si="5104"/>
        <v>0</v>
      </c>
      <c r="X805" s="3">
        <v>0</v>
      </c>
      <c r="Y805" s="77" t="str">
        <f t="shared" si="5091"/>
        <v/>
      </c>
      <c r="Z805" s="3"/>
      <c r="AA805" s="37" t="str">
        <f t="shared" si="5105"/>
        <v/>
      </c>
      <c r="AC805" s="40"/>
      <c r="AD805" s="7"/>
      <c r="AE805" s="77" t="str">
        <f t="shared" si="5092"/>
        <v/>
      </c>
      <c r="AF805" s="81">
        <f t="shared" si="5118"/>
        <v>0</v>
      </c>
      <c r="AG805" s="40"/>
      <c r="AH805" s="7"/>
      <c r="AI805" s="77" t="str">
        <f t="shared" si="5093"/>
        <v/>
      </c>
      <c r="AJ805" s="81">
        <f t="shared" si="5119"/>
        <v>0</v>
      </c>
      <c r="AK805" s="83">
        <f t="shared" si="5120"/>
        <v>0</v>
      </c>
      <c r="AL805" s="83">
        <f t="shared" si="5121"/>
        <v>0</v>
      </c>
      <c r="AN805" s="43">
        <f t="shared" si="5094"/>
        <v>0</v>
      </c>
      <c r="AP805" t="str">
        <f t="shared" si="5122"/>
        <v/>
      </c>
      <c r="AQ805" t="str">
        <f t="shared" si="5123"/>
        <v/>
      </c>
      <c r="AR805" t="str">
        <f t="shared" si="5124"/>
        <v/>
      </c>
      <c r="AS805" t="str">
        <f t="shared" si="5125"/>
        <v/>
      </c>
      <c r="AT805" t="str">
        <f t="shared" si="5126"/>
        <v/>
      </c>
      <c r="AU805" t="str">
        <f t="shared" si="5127"/>
        <v/>
      </c>
      <c r="AV805" t="str">
        <f t="shared" si="5128"/>
        <v/>
      </c>
      <c r="AW805" t="str">
        <f t="shared" si="5129"/>
        <v xml:space="preserve">                              </v>
      </c>
      <c r="AX805" s="23">
        <f t="shared" si="5130"/>
        <v>0</v>
      </c>
      <c r="AY805" s="49" t="str">
        <f t="shared" si="5106"/>
        <v>000000000000000</v>
      </c>
      <c r="AZ805" s="23">
        <f t="shared" si="5131"/>
        <v>0</v>
      </c>
      <c r="BA805" s="49" t="str">
        <f t="shared" si="5106"/>
        <v>000000000000000</v>
      </c>
      <c r="BB805" s="23">
        <f t="shared" si="5132"/>
        <v>0</v>
      </c>
      <c r="BC805" s="49" t="str">
        <f t="shared" ref="BC805" si="5289">IF(BB805&lt;0,SUBSTITUTE(TEXT(BB805,"000000000000,00"),",",""),SUBSTITUTE(TEXT(BB805,"0000000000000,00"),",",""))</f>
        <v>000000000000000</v>
      </c>
      <c r="BD805" s="23">
        <f t="shared" si="5134"/>
        <v>0</v>
      </c>
      <c r="BE805" s="49" t="str">
        <f t="shared" ref="BE805" si="5290">IF(BD805&lt;0,SUBSTITUTE(TEXT(BD805,"000000000000,00"),",",""),SUBSTITUTE(TEXT(BD805,"0000000000000,00"),",",""))</f>
        <v>000000000000000</v>
      </c>
      <c r="BF805" s="23">
        <f t="shared" si="5136"/>
        <v>0</v>
      </c>
      <c r="BG805" s="49" t="str">
        <f t="shared" ref="BG805" si="5291">IF(BF805&lt;0,SUBSTITUTE(TEXT(BF805,"000000000000,00"),",",""),SUBSTITUTE(TEXT(BF805,"0000000000000,00"),",",""))</f>
        <v>000000000000000</v>
      </c>
      <c r="BH805" s="23">
        <f t="shared" si="5138"/>
        <v>0</v>
      </c>
      <c r="BI805" s="49" t="str">
        <f t="shared" ref="BI805" si="5292">IF(BH805&lt;0,SUBSTITUTE(TEXT(BH805,"000000000000,00"),",",""),SUBSTITUTE(TEXT(BH805,"0000000000000,00"),",",""))</f>
        <v>000000000000000</v>
      </c>
      <c r="BJ805" s="23">
        <f t="shared" si="5140"/>
        <v>0</v>
      </c>
      <c r="BK805" s="49" t="str">
        <f t="shared" ref="BK805" si="5293">IF(BJ805&lt;0,SUBSTITUTE(TEXT(BJ805,"000000000000,00"),",",""),SUBSTITUTE(TEXT(BJ805,"0000000000000,00"),",",""))</f>
        <v>000000000000000</v>
      </c>
      <c r="BL805" s="23">
        <f t="shared" si="5142"/>
        <v>0</v>
      </c>
      <c r="BM805" s="49" t="str">
        <f t="shared" ref="BM805" si="5294">IF(BL805&lt;0,SUBSTITUTE(TEXT(BL805,"000000000000,00"),",",""),SUBSTITUTE(TEXT(BL805,"0000000000000,00"),",",""))</f>
        <v>000000000000000</v>
      </c>
      <c r="BN805" t="str">
        <f t="shared" si="5144"/>
        <v>PES</v>
      </c>
      <c r="BO805" t="str">
        <f t="shared" si="5145"/>
        <v>0001000000</v>
      </c>
      <c r="BP805">
        <f t="shared" si="5146"/>
        <v>0</v>
      </c>
      <c r="BQ805">
        <f t="shared" si="5147"/>
        <v>0</v>
      </c>
      <c r="BR805" s="23">
        <f t="shared" si="5148"/>
        <v>0</v>
      </c>
      <c r="BS805" s="49" t="str">
        <f t="shared" si="5113"/>
        <v>000000000000000</v>
      </c>
      <c r="BT805" t="str">
        <f t="shared" si="5149"/>
        <v>00000000</v>
      </c>
      <c r="BU805" s="23">
        <f t="shared" si="5150"/>
        <v>0</v>
      </c>
      <c r="BV805" s="49" t="str">
        <f t="shared" si="5114"/>
        <v/>
      </c>
      <c r="BW805" s="52" t="str">
        <f t="shared" si="5151"/>
        <v/>
      </c>
      <c r="BX805" s="23">
        <f t="shared" si="5152"/>
        <v>0</v>
      </c>
      <c r="BY805" s="49" t="str">
        <f t="shared" si="5115"/>
        <v/>
      </c>
      <c r="BZ805" s="23">
        <f t="shared" si="5153"/>
        <v>0</v>
      </c>
      <c r="CA805" s="49" t="str">
        <f t="shared" si="5116"/>
        <v/>
      </c>
      <c r="CB805" s="52" t="str">
        <f t="shared" si="5154"/>
        <v/>
      </c>
      <c r="CC805" s="23">
        <f t="shared" si="5155"/>
        <v>0</v>
      </c>
      <c r="CD805" s="49" t="str">
        <f t="shared" si="5117"/>
        <v/>
      </c>
      <c r="CE805" s="56" t="str">
        <f>IF(CF805="","",MAX(CE$10:$CE804)+1)</f>
        <v/>
      </c>
      <c r="CF805" t="str">
        <f t="shared" si="5156"/>
        <v/>
      </c>
      <c r="CG805" s="22" t="str">
        <f>IF(CH805="","",MAX($CG$10:CG804)+1)</f>
        <v/>
      </c>
      <c r="CH805" s="22" t="str">
        <f t="shared" si="5101"/>
        <v/>
      </c>
      <c r="CI805" s="22" t="str">
        <f>IF(CJ805="","",MAX($CI$10:CI804)+1)</f>
        <v/>
      </c>
      <c r="CJ805" s="22" t="str">
        <f t="shared" si="5102"/>
        <v/>
      </c>
    </row>
    <row r="806" spans="2:88" x14ac:dyDescent="0.25">
      <c r="B806" s="37"/>
      <c r="C806" s="3"/>
      <c r="D806" s="77" t="str">
        <f t="shared" si="5088"/>
        <v/>
      </c>
      <c r="E806" s="38"/>
      <c r="F806" s="38"/>
      <c r="G806" s="78">
        <f t="shared" si="5103"/>
        <v>0</v>
      </c>
      <c r="H806" s="3">
        <v>80</v>
      </c>
      <c r="I806" s="77" t="str">
        <f t="shared" si="5089"/>
        <v/>
      </c>
      <c r="J806" s="32"/>
      <c r="K806" s="3"/>
      <c r="L806" s="39"/>
      <c r="M806" s="39"/>
      <c r="N806" s="39"/>
      <c r="O806" s="39"/>
      <c r="P806" s="39"/>
      <c r="Q806" s="39"/>
      <c r="R806" s="39"/>
      <c r="S806" s="39"/>
      <c r="T806" s="3" t="s">
        <v>645</v>
      </c>
      <c r="U806" s="77" t="str">
        <f t="shared" si="5090"/>
        <v/>
      </c>
      <c r="V806" s="39">
        <v>1</v>
      </c>
      <c r="W806" s="79">
        <f t="shared" si="5104"/>
        <v>0</v>
      </c>
      <c r="X806" s="3">
        <v>0</v>
      </c>
      <c r="Y806" s="77" t="str">
        <f t="shared" si="5091"/>
        <v/>
      </c>
      <c r="Z806" s="3"/>
      <c r="AA806" s="37" t="str">
        <f t="shared" si="5105"/>
        <v/>
      </c>
      <c r="AC806" s="40"/>
      <c r="AD806" s="7"/>
      <c r="AE806" s="77" t="str">
        <f t="shared" si="5092"/>
        <v/>
      </c>
      <c r="AF806" s="81">
        <f t="shared" si="5118"/>
        <v>0</v>
      </c>
      <c r="AG806" s="40"/>
      <c r="AH806" s="7"/>
      <c r="AI806" s="77" t="str">
        <f t="shared" si="5093"/>
        <v/>
      </c>
      <c r="AJ806" s="81">
        <f t="shared" si="5119"/>
        <v>0</v>
      </c>
      <c r="AK806" s="83">
        <f t="shared" si="5120"/>
        <v>0</v>
      </c>
      <c r="AL806" s="83">
        <f t="shared" si="5121"/>
        <v>0</v>
      </c>
      <c r="AN806" s="43">
        <f t="shared" si="5094"/>
        <v>0</v>
      </c>
      <c r="AP806" t="str">
        <f t="shared" si="5122"/>
        <v/>
      </c>
      <c r="AQ806" t="str">
        <f t="shared" si="5123"/>
        <v/>
      </c>
      <c r="AR806" t="str">
        <f t="shared" si="5124"/>
        <v/>
      </c>
      <c r="AS806" t="str">
        <f t="shared" si="5125"/>
        <v/>
      </c>
      <c r="AT806" t="str">
        <f t="shared" si="5126"/>
        <v/>
      </c>
      <c r="AU806" t="str">
        <f t="shared" si="5127"/>
        <v/>
      </c>
      <c r="AV806" t="str">
        <f t="shared" si="5128"/>
        <v/>
      </c>
      <c r="AW806" t="str">
        <f t="shared" si="5129"/>
        <v xml:space="preserve">                              </v>
      </c>
      <c r="AX806" s="23">
        <f t="shared" si="5130"/>
        <v>0</v>
      </c>
      <c r="AY806" s="49" t="str">
        <f t="shared" si="5106"/>
        <v>000000000000000</v>
      </c>
      <c r="AZ806" s="23">
        <f t="shared" si="5131"/>
        <v>0</v>
      </c>
      <c r="BA806" s="49" t="str">
        <f t="shared" si="5106"/>
        <v>000000000000000</v>
      </c>
      <c r="BB806" s="23">
        <f t="shared" si="5132"/>
        <v>0</v>
      </c>
      <c r="BC806" s="49" t="str">
        <f t="shared" ref="BC806" si="5295">IF(BB806&lt;0,SUBSTITUTE(TEXT(BB806,"000000000000,00"),",",""),SUBSTITUTE(TEXT(BB806,"0000000000000,00"),",",""))</f>
        <v>000000000000000</v>
      </c>
      <c r="BD806" s="23">
        <f t="shared" si="5134"/>
        <v>0</v>
      </c>
      <c r="BE806" s="49" t="str">
        <f t="shared" ref="BE806" si="5296">IF(BD806&lt;0,SUBSTITUTE(TEXT(BD806,"000000000000,00"),",",""),SUBSTITUTE(TEXT(BD806,"0000000000000,00"),",",""))</f>
        <v>000000000000000</v>
      </c>
      <c r="BF806" s="23">
        <f t="shared" si="5136"/>
        <v>0</v>
      </c>
      <c r="BG806" s="49" t="str">
        <f t="shared" ref="BG806" si="5297">IF(BF806&lt;0,SUBSTITUTE(TEXT(BF806,"000000000000,00"),",",""),SUBSTITUTE(TEXT(BF806,"0000000000000,00"),",",""))</f>
        <v>000000000000000</v>
      </c>
      <c r="BH806" s="23">
        <f t="shared" si="5138"/>
        <v>0</v>
      </c>
      <c r="BI806" s="49" t="str">
        <f t="shared" ref="BI806" si="5298">IF(BH806&lt;0,SUBSTITUTE(TEXT(BH806,"000000000000,00"),",",""),SUBSTITUTE(TEXT(BH806,"0000000000000,00"),",",""))</f>
        <v>000000000000000</v>
      </c>
      <c r="BJ806" s="23">
        <f t="shared" si="5140"/>
        <v>0</v>
      </c>
      <c r="BK806" s="49" t="str">
        <f t="shared" ref="BK806" si="5299">IF(BJ806&lt;0,SUBSTITUTE(TEXT(BJ806,"000000000000,00"),",",""),SUBSTITUTE(TEXT(BJ806,"0000000000000,00"),",",""))</f>
        <v>000000000000000</v>
      </c>
      <c r="BL806" s="23">
        <f t="shared" si="5142"/>
        <v>0</v>
      </c>
      <c r="BM806" s="49" t="str">
        <f t="shared" ref="BM806" si="5300">IF(BL806&lt;0,SUBSTITUTE(TEXT(BL806,"000000000000,00"),",",""),SUBSTITUTE(TEXT(BL806,"0000000000000,00"),",",""))</f>
        <v>000000000000000</v>
      </c>
      <c r="BN806" t="str">
        <f t="shared" si="5144"/>
        <v>PES</v>
      </c>
      <c r="BO806" t="str">
        <f t="shared" si="5145"/>
        <v>0001000000</v>
      </c>
      <c r="BP806">
        <f t="shared" si="5146"/>
        <v>0</v>
      </c>
      <c r="BQ806">
        <f t="shared" si="5147"/>
        <v>0</v>
      </c>
      <c r="BR806" s="23">
        <f t="shared" si="5148"/>
        <v>0</v>
      </c>
      <c r="BS806" s="49" t="str">
        <f t="shared" si="5113"/>
        <v>000000000000000</v>
      </c>
      <c r="BT806" t="str">
        <f t="shared" si="5149"/>
        <v>00000000</v>
      </c>
      <c r="BU806" s="23">
        <f t="shared" si="5150"/>
        <v>0</v>
      </c>
      <c r="BV806" s="49" t="str">
        <f t="shared" si="5114"/>
        <v/>
      </c>
      <c r="BW806" s="52" t="str">
        <f t="shared" si="5151"/>
        <v/>
      </c>
      <c r="BX806" s="23">
        <f t="shared" si="5152"/>
        <v>0</v>
      </c>
      <c r="BY806" s="49" t="str">
        <f t="shared" si="5115"/>
        <v/>
      </c>
      <c r="BZ806" s="23">
        <f t="shared" si="5153"/>
        <v>0</v>
      </c>
      <c r="CA806" s="49" t="str">
        <f t="shared" si="5116"/>
        <v/>
      </c>
      <c r="CB806" s="52" t="str">
        <f t="shared" si="5154"/>
        <v/>
      </c>
      <c r="CC806" s="23">
        <f t="shared" si="5155"/>
        <v>0</v>
      </c>
      <c r="CD806" s="49" t="str">
        <f t="shared" si="5117"/>
        <v/>
      </c>
      <c r="CE806" s="56" t="str">
        <f>IF(CF806="","",MAX(CE$10:$CE805)+1)</f>
        <v/>
      </c>
      <c r="CF806" t="str">
        <f t="shared" si="5156"/>
        <v/>
      </c>
      <c r="CG806" s="22" t="str">
        <f>IF(CH806="","",MAX($CG$10:CG805)+1)</f>
        <v/>
      </c>
      <c r="CH806" s="22" t="str">
        <f t="shared" si="5101"/>
        <v/>
      </c>
      <c r="CI806" s="22" t="str">
        <f>IF(CJ806="","",MAX($CI$10:CI805)+1)</f>
        <v/>
      </c>
      <c r="CJ806" s="22" t="str">
        <f t="shared" si="5102"/>
        <v/>
      </c>
    </row>
    <row r="807" spans="2:88" x14ac:dyDescent="0.25">
      <c r="B807" s="37"/>
      <c r="C807" s="3"/>
      <c r="D807" s="77" t="str">
        <f t="shared" si="5088"/>
        <v/>
      </c>
      <c r="E807" s="38"/>
      <c r="F807" s="38"/>
      <c r="G807" s="78">
        <f t="shared" si="5103"/>
        <v>0</v>
      </c>
      <c r="H807" s="3">
        <v>80</v>
      </c>
      <c r="I807" s="77" t="str">
        <f t="shared" si="5089"/>
        <v/>
      </c>
      <c r="J807" s="32"/>
      <c r="K807" s="3"/>
      <c r="L807" s="39"/>
      <c r="M807" s="39"/>
      <c r="N807" s="39"/>
      <c r="O807" s="39"/>
      <c r="P807" s="39"/>
      <c r="Q807" s="39"/>
      <c r="R807" s="39"/>
      <c r="S807" s="39"/>
      <c r="T807" s="3" t="s">
        <v>645</v>
      </c>
      <c r="U807" s="77" t="str">
        <f t="shared" si="5090"/>
        <v/>
      </c>
      <c r="V807" s="39">
        <v>1</v>
      </c>
      <c r="W807" s="79">
        <f t="shared" si="5104"/>
        <v>0</v>
      </c>
      <c r="X807" s="3">
        <v>0</v>
      </c>
      <c r="Y807" s="77" t="str">
        <f t="shared" si="5091"/>
        <v/>
      </c>
      <c r="Z807" s="3"/>
      <c r="AA807" s="37" t="str">
        <f t="shared" si="5105"/>
        <v/>
      </c>
      <c r="AC807" s="40"/>
      <c r="AD807" s="7"/>
      <c r="AE807" s="77" t="str">
        <f t="shared" si="5092"/>
        <v/>
      </c>
      <c r="AF807" s="81">
        <f t="shared" si="5118"/>
        <v>0</v>
      </c>
      <c r="AG807" s="40"/>
      <c r="AH807" s="7"/>
      <c r="AI807" s="77" t="str">
        <f t="shared" si="5093"/>
        <v/>
      </c>
      <c r="AJ807" s="81">
        <f t="shared" si="5119"/>
        <v>0</v>
      </c>
      <c r="AK807" s="83">
        <f t="shared" si="5120"/>
        <v>0</v>
      </c>
      <c r="AL807" s="83">
        <f t="shared" si="5121"/>
        <v>0</v>
      </c>
      <c r="AN807" s="43">
        <f t="shared" si="5094"/>
        <v>0</v>
      </c>
      <c r="AP807" t="str">
        <f t="shared" si="5122"/>
        <v/>
      </c>
      <c r="AQ807" t="str">
        <f t="shared" si="5123"/>
        <v/>
      </c>
      <c r="AR807" t="str">
        <f t="shared" si="5124"/>
        <v/>
      </c>
      <c r="AS807" t="str">
        <f t="shared" si="5125"/>
        <v/>
      </c>
      <c r="AT807" t="str">
        <f t="shared" si="5126"/>
        <v/>
      </c>
      <c r="AU807" t="str">
        <f t="shared" si="5127"/>
        <v/>
      </c>
      <c r="AV807" t="str">
        <f t="shared" si="5128"/>
        <v/>
      </c>
      <c r="AW807" t="str">
        <f t="shared" si="5129"/>
        <v xml:space="preserve">                              </v>
      </c>
      <c r="AX807" s="23">
        <f t="shared" si="5130"/>
        <v>0</v>
      </c>
      <c r="AY807" s="49" t="str">
        <f t="shared" si="5106"/>
        <v>000000000000000</v>
      </c>
      <c r="AZ807" s="23">
        <f t="shared" si="5131"/>
        <v>0</v>
      </c>
      <c r="BA807" s="49" t="str">
        <f t="shared" si="5106"/>
        <v>000000000000000</v>
      </c>
      <c r="BB807" s="23">
        <f t="shared" si="5132"/>
        <v>0</v>
      </c>
      <c r="BC807" s="49" t="str">
        <f t="shared" ref="BC807" si="5301">IF(BB807&lt;0,SUBSTITUTE(TEXT(BB807,"000000000000,00"),",",""),SUBSTITUTE(TEXT(BB807,"0000000000000,00"),",",""))</f>
        <v>000000000000000</v>
      </c>
      <c r="BD807" s="23">
        <f t="shared" si="5134"/>
        <v>0</v>
      </c>
      <c r="BE807" s="49" t="str">
        <f t="shared" ref="BE807" si="5302">IF(BD807&lt;0,SUBSTITUTE(TEXT(BD807,"000000000000,00"),",",""),SUBSTITUTE(TEXT(BD807,"0000000000000,00"),",",""))</f>
        <v>000000000000000</v>
      </c>
      <c r="BF807" s="23">
        <f t="shared" si="5136"/>
        <v>0</v>
      </c>
      <c r="BG807" s="49" t="str">
        <f t="shared" ref="BG807" si="5303">IF(BF807&lt;0,SUBSTITUTE(TEXT(BF807,"000000000000,00"),",",""),SUBSTITUTE(TEXT(BF807,"0000000000000,00"),",",""))</f>
        <v>000000000000000</v>
      </c>
      <c r="BH807" s="23">
        <f t="shared" si="5138"/>
        <v>0</v>
      </c>
      <c r="BI807" s="49" t="str">
        <f t="shared" ref="BI807" si="5304">IF(BH807&lt;0,SUBSTITUTE(TEXT(BH807,"000000000000,00"),",",""),SUBSTITUTE(TEXT(BH807,"0000000000000,00"),",",""))</f>
        <v>000000000000000</v>
      </c>
      <c r="BJ807" s="23">
        <f t="shared" si="5140"/>
        <v>0</v>
      </c>
      <c r="BK807" s="49" t="str">
        <f t="shared" ref="BK807" si="5305">IF(BJ807&lt;0,SUBSTITUTE(TEXT(BJ807,"000000000000,00"),",",""),SUBSTITUTE(TEXT(BJ807,"0000000000000,00"),",",""))</f>
        <v>000000000000000</v>
      </c>
      <c r="BL807" s="23">
        <f t="shared" si="5142"/>
        <v>0</v>
      </c>
      <c r="BM807" s="49" t="str">
        <f t="shared" ref="BM807" si="5306">IF(BL807&lt;0,SUBSTITUTE(TEXT(BL807,"000000000000,00"),",",""),SUBSTITUTE(TEXT(BL807,"0000000000000,00"),",",""))</f>
        <v>000000000000000</v>
      </c>
      <c r="BN807" t="str">
        <f t="shared" si="5144"/>
        <v>PES</v>
      </c>
      <c r="BO807" t="str">
        <f t="shared" si="5145"/>
        <v>0001000000</v>
      </c>
      <c r="BP807">
        <f t="shared" si="5146"/>
        <v>0</v>
      </c>
      <c r="BQ807">
        <f t="shared" si="5147"/>
        <v>0</v>
      </c>
      <c r="BR807" s="23">
        <f t="shared" si="5148"/>
        <v>0</v>
      </c>
      <c r="BS807" s="49" t="str">
        <f t="shared" si="5113"/>
        <v>000000000000000</v>
      </c>
      <c r="BT807" t="str">
        <f t="shared" si="5149"/>
        <v>00000000</v>
      </c>
      <c r="BU807" s="23">
        <f t="shared" si="5150"/>
        <v>0</v>
      </c>
      <c r="BV807" s="49" t="str">
        <f t="shared" si="5114"/>
        <v/>
      </c>
      <c r="BW807" s="52" t="str">
        <f t="shared" si="5151"/>
        <v/>
      </c>
      <c r="BX807" s="23">
        <f t="shared" si="5152"/>
        <v>0</v>
      </c>
      <c r="BY807" s="49" t="str">
        <f t="shared" si="5115"/>
        <v/>
      </c>
      <c r="BZ807" s="23">
        <f t="shared" si="5153"/>
        <v>0</v>
      </c>
      <c r="CA807" s="49" t="str">
        <f t="shared" si="5116"/>
        <v/>
      </c>
      <c r="CB807" s="52" t="str">
        <f t="shared" si="5154"/>
        <v/>
      </c>
      <c r="CC807" s="23">
        <f t="shared" si="5155"/>
        <v>0</v>
      </c>
      <c r="CD807" s="49" t="str">
        <f t="shared" si="5117"/>
        <v/>
      </c>
      <c r="CE807" s="56" t="str">
        <f>IF(CF807="","",MAX(CE$10:$CE806)+1)</f>
        <v/>
      </c>
      <c r="CF807" t="str">
        <f t="shared" si="5156"/>
        <v/>
      </c>
      <c r="CG807" s="22" t="str">
        <f>IF(CH807="","",MAX($CG$10:CG806)+1)</f>
        <v/>
      </c>
      <c r="CH807" s="22" t="str">
        <f t="shared" si="5101"/>
        <v/>
      </c>
      <c r="CI807" s="22" t="str">
        <f>IF(CJ807="","",MAX($CI$10:CI806)+1)</f>
        <v/>
      </c>
      <c r="CJ807" s="22" t="str">
        <f t="shared" si="5102"/>
        <v/>
      </c>
    </row>
    <row r="808" spans="2:88" x14ac:dyDescent="0.25">
      <c r="B808" s="37"/>
      <c r="C808" s="3"/>
      <c r="D808" s="77" t="str">
        <f t="shared" si="5088"/>
        <v/>
      </c>
      <c r="E808" s="38"/>
      <c r="F808" s="38"/>
      <c r="G808" s="78">
        <f t="shared" si="5103"/>
        <v>0</v>
      </c>
      <c r="H808" s="3">
        <v>80</v>
      </c>
      <c r="I808" s="77" t="str">
        <f t="shared" si="5089"/>
        <v/>
      </c>
      <c r="J808" s="32"/>
      <c r="K808" s="3"/>
      <c r="L808" s="39"/>
      <c r="M808" s="39"/>
      <c r="N808" s="39"/>
      <c r="O808" s="39"/>
      <c r="P808" s="39"/>
      <c r="Q808" s="39"/>
      <c r="R808" s="39"/>
      <c r="S808" s="39"/>
      <c r="T808" s="3" t="s">
        <v>645</v>
      </c>
      <c r="U808" s="77" t="str">
        <f t="shared" si="5090"/>
        <v/>
      </c>
      <c r="V808" s="39">
        <v>1</v>
      </c>
      <c r="W808" s="79">
        <f t="shared" si="5104"/>
        <v>0</v>
      </c>
      <c r="X808" s="3">
        <v>0</v>
      </c>
      <c r="Y808" s="77" t="str">
        <f t="shared" si="5091"/>
        <v/>
      </c>
      <c r="Z808" s="3"/>
      <c r="AA808" s="37" t="str">
        <f t="shared" si="5105"/>
        <v/>
      </c>
      <c r="AC808" s="40"/>
      <c r="AD808" s="7"/>
      <c r="AE808" s="77" t="str">
        <f t="shared" si="5092"/>
        <v/>
      </c>
      <c r="AF808" s="81">
        <f t="shared" si="5118"/>
        <v>0</v>
      </c>
      <c r="AG808" s="40"/>
      <c r="AH808" s="7"/>
      <c r="AI808" s="77" t="str">
        <f t="shared" si="5093"/>
        <v/>
      </c>
      <c r="AJ808" s="81">
        <f t="shared" si="5119"/>
        <v>0</v>
      </c>
      <c r="AK808" s="83">
        <f t="shared" si="5120"/>
        <v>0</v>
      </c>
      <c r="AL808" s="83">
        <f t="shared" si="5121"/>
        <v>0</v>
      </c>
      <c r="AN808" s="43">
        <f t="shared" si="5094"/>
        <v>0</v>
      </c>
      <c r="AP808" t="str">
        <f t="shared" si="5122"/>
        <v/>
      </c>
      <c r="AQ808" t="str">
        <f t="shared" si="5123"/>
        <v/>
      </c>
      <c r="AR808" t="str">
        <f t="shared" si="5124"/>
        <v/>
      </c>
      <c r="AS808" t="str">
        <f t="shared" si="5125"/>
        <v/>
      </c>
      <c r="AT808" t="str">
        <f t="shared" si="5126"/>
        <v/>
      </c>
      <c r="AU808" t="str">
        <f t="shared" si="5127"/>
        <v/>
      </c>
      <c r="AV808" t="str">
        <f t="shared" si="5128"/>
        <v/>
      </c>
      <c r="AW808" t="str">
        <f t="shared" si="5129"/>
        <v xml:space="preserve">                              </v>
      </c>
      <c r="AX808" s="23">
        <f t="shared" si="5130"/>
        <v>0</v>
      </c>
      <c r="AY808" s="49" t="str">
        <f t="shared" si="5106"/>
        <v>000000000000000</v>
      </c>
      <c r="AZ808" s="23">
        <f t="shared" si="5131"/>
        <v>0</v>
      </c>
      <c r="BA808" s="49" t="str">
        <f t="shared" si="5106"/>
        <v>000000000000000</v>
      </c>
      <c r="BB808" s="23">
        <f t="shared" si="5132"/>
        <v>0</v>
      </c>
      <c r="BC808" s="49" t="str">
        <f t="shared" ref="BC808" si="5307">IF(BB808&lt;0,SUBSTITUTE(TEXT(BB808,"000000000000,00"),",",""),SUBSTITUTE(TEXT(BB808,"0000000000000,00"),",",""))</f>
        <v>000000000000000</v>
      </c>
      <c r="BD808" s="23">
        <f t="shared" si="5134"/>
        <v>0</v>
      </c>
      <c r="BE808" s="49" t="str">
        <f t="shared" ref="BE808" si="5308">IF(BD808&lt;0,SUBSTITUTE(TEXT(BD808,"000000000000,00"),",",""),SUBSTITUTE(TEXT(BD808,"0000000000000,00"),",",""))</f>
        <v>000000000000000</v>
      </c>
      <c r="BF808" s="23">
        <f t="shared" si="5136"/>
        <v>0</v>
      </c>
      <c r="BG808" s="49" t="str">
        <f t="shared" ref="BG808" si="5309">IF(BF808&lt;0,SUBSTITUTE(TEXT(BF808,"000000000000,00"),",",""),SUBSTITUTE(TEXT(BF808,"0000000000000,00"),",",""))</f>
        <v>000000000000000</v>
      </c>
      <c r="BH808" s="23">
        <f t="shared" si="5138"/>
        <v>0</v>
      </c>
      <c r="BI808" s="49" t="str">
        <f t="shared" ref="BI808" si="5310">IF(BH808&lt;0,SUBSTITUTE(TEXT(BH808,"000000000000,00"),",",""),SUBSTITUTE(TEXT(BH808,"0000000000000,00"),",",""))</f>
        <v>000000000000000</v>
      </c>
      <c r="BJ808" s="23">
        <f t="shared" si="5140"/>
        <v>0</v>
      </c>
      <c r="BK808" s="49" t="str">
        <f t="shared" ref="BK808" si="5311">IF(BJ808&lt;0,SUBSTITUTE(TEXT(BJ808,"000000000000,00"),",",""),SUBSTITUTE(TEXT(BJ808,"0000000000000,00"),",",""))</f>
        <v>000000000000000</v>
      </c>
      <c r="BL808" s="23">
        <f t="shared" si="5142"/>
        <v>0</v>
      </c>
      <c r="BM808" s="49" t="str">
        <f t="shared" ref="BM808" si="5312">IF(BL808&lt;0,SUBSTITUTE(TEXT(BL808,"000000000000,00"),",",""),SUBSTITUTE(TEXT(BL808,"0000000000000,00"),",",""))</f>
        <v>000000000000000</v>
      </c>
      <c r="BN808" t="str">
        <f t="shared" si="5144"/>
        <v>PES</v>
      </c>
      <c r="BO808" t="str">
        <f t="shared" si="5145"/>
        <v>0001000000</v>
      </c>
      <c r="BP808">
        <f t="shared" si="5146"/>
        <v>0</v>
      </c>
      <c r="BQ808">
        <f t="shared" si="5147"/>
        <v>0</v>
      </c>
      <c r="BR808" s="23">
        <f t="shared" si="5148"/>
        <v>0</v>
      </c>
      <c r="BS808" s="49" t="str">
        <f t="shared" si="5113"/>
        <v>000000000000000</v>
      </c>
      <c r="BT808" t="str">
        <f t="shared" si="5149"/>
        <v>00000000</v>
      </c>
      <c r="BU808" s="23">
        <f t="shared" si="5150"/>
        <v>0</v>
      </c>
      <c r="BV808" s="49" t="str">
        <f t="shared" si="5114"/>
        <v/>
      </c>
      <c r="BW808" s="52" t="str">
        <f t="shared" si="5151"/>
        <v/>
      </c>
      <c r="BX808" s="23">
        <f t="shared" si="5152"/>
        <v>0</v>
      </c>
      <c r="BY808" s="49" t="str">
        <f t="shared" si="5115"/>
        <v/>
      </c>
      <c r="BZ808" s="23">
        <f t="shared" si="5153"/>
        <v>0</v>
      </c>
      <c r="CA808" s="49" t="str">
        <f t="shared" si="5116"/>
        <v/>
      </c>
      <c r="CB808" s="52" t="str">
        <f t="shared" si="5154"/>
        <v/>
      </c>
      <c r="CC808" s="23">
        <f t="shared" si="5155"/>
        <v>0</v>
      </c>
      <c r="CD808" s="49" t="str">
        <f t="shared" si="5117"/>
        <v/>
      </c>
      <c r="CE808" s="56" t="str">
        <f>IF(CF808="","",MAX(CE$10:$CE807)+1)</f>
        <v/>
      </c>
      <c r="CF808" t="str">
        <f t="shared" si="5156"/>
        <v/>
      </c>
      <c r="CG808" s="22" t="str">
        <f>IF(CH808="","",MAX($CG$10:CG807)+1)</f>
        <v/>
      </c>
      <c r="CH808" s="22" t="str">
        <f t="shared" si="5101"/>
        <v/>
      </c>
      <c r="CI808" s="22" t="str">
        <f>IF(CJ808="","",MAX($CI$10:CI807)+1)</f>
        <v/>
      </c>
      <c r="CJ808" s="22" t="str">
        <f t="shared" si="5102"/>
        <v/>
      </c>
    </row>
    <row r="809" spans="2:88" x14ac:dyDescent="0.25">
      <c r="B809" s="37"/>
      <c r="C809" s="3"/>
      <c r="D809" s="77" t="str">
        <f t="shared" si="5088"/>
        <v/>
      </c>
      <c r="E809" s="38"/>
      <c r="F809" s="38"/>
      <c r="G809" s="78">
        <f t="shared" si="5103"/>
        <v>0</v>
      </c>
      <c r="H809" s="3">
        <v>80</v>
      </c>
      <c r="I809" s="77" t="str">
        <f t="shared" si="5089"/>
        <v/>
      </c>
      <c r="J809" s="32"/>
      <c r="K809" s="3"/>
      <c r="L809" s="39"/>
      <c r="M809" s="39"/>
      <c r="N809" s="39"/>
      <c r="O809" s="39"/>
      <c r="P809" s="39"/>
      <c r="Q809" s="39"/>
      <c r="R809" s="39"/>
      <c r="S809" s="39"/>
      <c r="T809" s="3" t="s">
        <v>645</v>
      </c>
      <c r="U809" s="77" t="str">
        <f t="shared" si="5090"/>
        <v/>
      </c>
      <c r="V809" s="39">
        <v>1</v>
      </c>
      <c r="W809" s="79">
        <f t="shared" si="5104"/>
        <v>0</v>
      </c>
      <c r="X809" s="3">
        <v>0</v>
      </c>
      <c r="Y809" s="77" t="str">
        <f t="shared" si="5091"/>
        <v/>
      </c>
      <c r="Z809" s="3"/>
      <c r="AA809" s="37" t="str">
        <f t="shared" si="5105"/>
        <v/>
      </c>
      <c r="AC809" s="40"/>
      <c r="AD809" s="7"/>
      <c r="AE809" s="77" t="str">
        <f t="shared" si="5092"/>
        <v/>
      </c>
      <c r="AF809" s="81">
        <f t="shared" si="5118"/>
        <v>0</v>
      </c>
      <c r="AG809" s="40"/>
      <c r="AH809" s="7"/>
      <c r="AI809" s="77" t="str">
        <f t="shared" si="5093"/>
        <v/>
      </c>
      <c r="AJ809" s="81">
        <f t="shared" si="5119"/>
        <v>0</v>
      </c>
      <c r="AK809" s="83">
        <f t="shared" si="5120"/>
        <v>0</v>
      </c>
      <c r="AL809" s="83">
        <f t="shared" si="5121"/>
        <v>0</v>
      </c>
      <c r="AN809" s="43">
        <f t="shared" si="5094"/>
        <v>0</v>
      </c>
      <c r="AP809" t="str">
        <f t="shared" si="5122"/>
        <v/>
      </c>
      <c r="AQ809" t="str">
        <f t="shared" si="5123"/>
        <v/>
      </c>
      <c r="AR809" t="str">
        <f t="shared" si="5124"/>
        <v/>
      </c>
      <c r="AS809" t="str">
        <f t="shared" si="5125"/>
        <v/>
      </c>
      <c r="AT809" t="str">
        <f t="shared" si="5126"/>
        <v/>
      </c>
      <c r="AU809" t="str">
        <f t="shared" si="5127"/>
        <v/>
      </c>
      <c r="AV809" t="str">
        <f t="shared" si="5128"/>
        <v/>
      </c>
      <c r="AW809" t="str">
        <f t="shared" si="5129"/>
        <v xml:space="preserve">                              </v>
      </c>
      <c r="AX809" s="23">
        <f t="shared" si="5130"/>
        <v>0</v>
      </c>
      <c r="AY809" s="49" t="str">
        <f t="shared" si="5106"/>
        <v>000000000000000</v>
      </c>
      <c r="AZ809" s="23">
        <f t="shared" si="5131"/>
        <v>0</v>
      </c>
      <c r="BA809" s="49" t="str">
        <f t="shared" si="5106"/>
        <v>000000000000000</v>
      </c>
      <c r="BB809" s="23">
        <f t="shared" si="5132"/>
        <v>0</v>
      </c>
      <c r="BC809" s="49" t="str">
        <f t="shared" ref="BC809" si="5313">IF(BB809&lt;0,SUBSTITUTE(TEXT(BB809,"000000000000,00"),",",""),SUBSTITUTE(TEXT(BB809,"0000000000000,00"),",",""))</f>
        <v>000000000000000</v>
      </c>
      <c r="BD809" s="23">
        <f t="shared" si="5134"/>
        <v>0</v>
      </c>
      <c r="BE809" s="49" t="str">
        <f t="shared" ref="BE809" si="5314">IF(BD809&lt;0,SUBSTITUTE(TEXT(BD809,"000000000000,00"),",",""),SUBSTITUTE(TEXT(BD809,"0000000000000,00"),",",""))</f>
        <v>000000000000000</v>
      </c>
      <c r="BF809" s="23">
        <f t="shared" si="5136"/>
        <v>0</v>
      </c>
      <c r="BG809" s="49" t="str">
        <f t="shared" ref="BG809" si="5315">IF(BF809&lt;0,SUBSTITUTE(TEXT(BF809,"000000000000,00"),",",""),SUBSTITUTE(TEXT(BF809,"0000000000000,00"),",",""))</f>
        <v>000000000000000</v>
      </c>
      <c r="BH809" s="23">
        <f t="shared" si="5138"/>
        <v>0</v>
      </c>
      <c r="BI809" s="49" t="str">
        <f t="shared" ref="BI809" si="5316">IF(BH809&lt;0,SUBSTITUTE(TEXT(BH809,"000000000000,00"),",",""),SUBSTITUTE(TEXT(BH809,"0000000000000,00"),",",""))</f>
        <v>000000000000000</v>
      </c>
      <c r="BJ809" s="23">
        <f t="shared" si="5140"/>
        <v>0</v>
      </c>
      <c r="BK809" s="49" t="str">
        <f t="shared" ref="BK809" si="5317">IF(BJ809&lt;0,SUBSTITUTE(TEXT(BJ809,"000000000000,00"),",",""),SUBSTITUTE(TEXT(BJ809,"0000000000000,00"),",",""))</f>
        <v>000000000000000</v>
      </c>
      <c r="BL809" s="23">
        <f t="shared" si="5142"/>
        <v>0</v>
      </c>
      <c r="BM809" s="49" t="str">
        <f t="shared" ref="BM809" si="5318">IF(BL809&lt;0,SUBSTITUTE(TEXT(BL809,"000000000000,00"),",",""),SUBSTITUTE(TEXT(BL809,"0000000000000,00"),",",""))</f>
        <v>000000000000000</v>
      </c>
      <c r="BN809" t="str">
        <f t="shared" si="5144"/>
        <v>PES</v>
      </c>
      <c r="BO809" t="str">
        <f t="shared" si="5145"/>
        <v>0001000000</v>
      </c>
      <c r="BP809">
        <f t="shared" si="5146"/>
        <v>0</v>
      </c>
      <c r="BQ809">
        <f t="shared" si="5147"/>
        <v>0</v>
      </c>
      <c r="BR809" s="23">
        <f t="shared" si="5148"/>
        <v>0</v>
      </c>
      <c r="BS809" s="49" t="str">
        <f t="shared" si="5113"/>
        <v>000000000000000</v>
      </c>
      <c r="BT809" t="str">
        <f t="shared" si="5149"/>
        <v>00000000</v>
      </c>
      <c r="BU809" s="23">
        <f t="shared" si="5150"/>
        <v>0</v>
      </c>
      <c r="BV809" s="49" t="str">
        <f t="shared" si="5114"/>
        <v/>
      </c>
      <c r="BW809" s="52" t="str">
        <f t="shared" si="5151"/>
        <v/>
      </c>
      <c r="BX809" s="23">
        <f t="shared" si="5152"/>
        <v>0</v>
      </c>
      <c r="BY809" s="49" t="str">
        <f t="shared" si="5115"/>
        <v/>
      </c>
      <c r="BZ809" s="23">
        <f t="shared" si="5153"/>
        <v>0</v>
      </c>
      <c r="CA809" s="49" t="str">
        <f t="shared" si="5116"/>
        <v/>
      </c>
      <c r="CB809" s="52" t="str">
        <f t="shared" si="5154"/>
        <v/>
      </c>
      <c r="CC809" s="23">
        <f t="shared" si="5155"/>
        <v>0</v>
      </c>
      <c r="CD809" s="49" t="str">
        <f t="shared" si="5117"/>
        <v/>
      </c>
      <c r="CE809" s="56" t="str">
        <f>IF(CF809="","",MAX(CE$10:$CE808)+1)</f>
        <v/>
      </c>
      <c r="CF809" t="str">
        <f t="shared" si="5156"/>
        <v/>
      </c>
      <c r="CG809" s="22" t="str">
        <f>IF(CH809="","",MAX($CG$10:CG808)+1)</f>
        <v/>
      </c>
      <c r="CH809" s="22" t="str">
        <f t="shared" si="5101"/>
        <v/>
      </c>
      <c r="CI809" s="22" t="str">
        <f>IF(CJ809="","",MAX($CI$10:CI808)+1)</f>
        <v/>
      </c>
      <c r="CJ809" s="22" t="str">
        <f t="shared" si="5102"/>
        <v/>
      </c>
    </row>
    <row r="810" spans="2:88" x14ac:dyDescent="0.25">
      <c r="B810" s="37"/>
      <c r="C810" s="3"/>
      <c r="D810" s="77" t="str">
        <f t="shared" si="5088"/>
        <v/>
      </c>
      <c r="E810" s="38"/>
      <c r="F810" s="38"/>
      <c r="G810" s="78">
        <f t="shared" si="5103"/>
        <v>0</v>
      </c>
      <c r="H810" s="3">
        <v>80</v>
      </c>
      <c r="I810" s="77" t="str">
        <f t="shared" si="5089"/>
        <v/>
      </c>
      <c r="J810" s="32"/>
      <c r="K810" s="3"/>
      <c r="L810" s="39"/>
      <c r="M810" s="39"/>
      <c r="N810" s="39"/>
      <c r="O810" s="39"/>
      <c r="P810" s="39"/>
      <c r="Q810" s="39"/>
      <c r="R810" s="39"/>
      <c r="S810" s="39"/>
      <c r="T810" s="3" t="s">
        <v>645</v>
      </c>
      <c r="U810" s="77" t="str">
        <f t="shared" si="5090"/>
        <v/>
      </c>
      <c r="V810" s="39">
        <v>1</v>
      </c>
      <c r="W810" s="79">
        <f t="shared" si="5104"/>
        <v>0</v>
      </c>
      <c r="X810" s="3">
        <v>0</v>
      </c>
      <c r="Y810" s="77" t="str">
        <f t="shared" si="5091"/>
        <v/>
      </c>
      <c r="Z810" s="3"/>
      <c r="AA810" s="37" t="str">
        <f t="shared" si="5105"/>
        <v/>
      </c>
      <c r="AC810" s="40"/>
      <c r="AD810" s="7"/>
      <c r="AE810" s="77" t="str">
        <f t="shared" si="5092"/>
        <v/>
      </c>
      <c r="AF810" s="81">
        <f t="shared" si="5118"/>
        <v>0</v>
      </c>
      <c r="AG810" s="40"/>
      <c r="AH810" s="7"/>
      <c r="AI810" s="77" t="str">
        <f t="shared" si="5093"/>
        <v/>
      </c>
      <c r="AJ810" s="81">
        <f t="shared" si="5119"/>
        <v>0</v>
      </c>
      <c r="AK810" s="83">
        <f t="shared" si="5120"/>
        <v>0</v>
      </c>
      <c r="AL810" s="83">
        <f t="shared" si="5121"/>
        <v>0</v>
      </c>
      <c r="AN810" s="43">
        <f t="shared" si="5094"/>
        <v>0</v>
      </c>
      <c r="AP810" t="str">
        <f t="shared" si="5122"/>
        <v/>
      </c>
      <c r="AQ810" t="str">
        <f t="shared" si="5123"/>
        <v/>
      </c>
      <c r="AR810" t="str">
        <f t="shared" si="5124"/>
        <v/>
      </c>
      <c r="AS810" t="str">
        <f t="shared" si="5125"/>
        <v/>
      </c>
      <c r="AT810" t="str">
        <f t="shared" si="5126"/>
        <v/>
      </c>
      <c r="AU810" t="str">
        <f t="shared" si="5127"/>
        <v/>
      </c>
      <c r="AV810" t="str">
        <f t="shared" si="5128"/>
        <v/>
      </c>
      <c r="AW810" t="str">
        <f t="shared" si="5129"/>
        <v xml:space="preserve">                              </v>
      </c>
      <c r="AX810" s="23">
        <f t="shared" si="5130"/>
        <v>0</v>
      </c>
      <c r="AY810" s="49" t="str">
        <f t="shared" si="5106"/>
        <v>000000000000000</v>
      </c>
      <c r="AZ810" s="23">
        <f t="shared" si="5131"/>
        <v>0</v>
      </c>
      <c r="BA810" s="49" t="str">
        <f t="shared" si="5106"/>
        <v>000000000000000</v>
      </c>
      <c r="BB810" s="23">
        <f t="shared" si="5132"/>
        <v>0</v>
      </c>
      <c r="BC810" s="49" t="str">
        <f t="shared" ref="BC810" si="5319">IF(BB810&lt;0,SUBSTITUTE(TEXT(BB810,"000000000000,00"),",",""),SUBSTITUTE(TEXT(BB810,"0000000000000,00"),",",""))</f>
        <v>000000000000000</v>
      </c>
      <c r="BD810" s="23">
        <f t="shared" si="5134"/>
        <v>0</v>
      </c>
      <c r="BE810" s="49" t="str">
        <f t="shared" ref="BE810" si="5320">IF(BD810&lt;0,SUBSTITUTE(TEXT(BD810,"000000000000,00"),",",""),SUBSTITUTE(TEXT(BD810,"0000000000000,00"),",",""))</f>
        <v>000000000000000</v>
      </c>
      <c r="BF810" s="23">
        <f t="shared" si="5136"/>
        <v>0</v>
      </c>
      <c r="BG810" s="49" t="str">
        <f t="shared" ref="BG810" si="5321">IF(BF810&lt;0,SUBSTITUTE(TEXT(BF810,"000000000000,00"),",",""),SUBSTITUTE(TEXT(BF810,"0000000000000,00"),",",""))</f>
        <v>000000000000000</v>
      </c>
      <c r="BH810" s="23">
        <f t="shared" si="5138"/>
        <v>0</v>
      </c>
      <c r="BI810" s="49" t="str">
        <f t="shared" ref="BI810" si="5322">IF(BH810&lt;0,SUBSTITUTE(TEXT(BH810,"000000000000,00"),",",""),SUBSTITUTE(TEXT(BH810,"0000000000000,00"),",",""))</f>
        <v>000000000000000</v>
      </c>
      <c r="BJ810" s="23">
        <f t="shared" si="5140"/>
        <v>0</v>
      </c>
      <c r="BK810" s="49" t="str">
        <f t="shared" ref="BK810" si="5323">IF(BJ810&lt;0,SUBSTITUTE(TEXT(BJ810,"000000000000,00"),",",""),SUBSTITUTE(TEXT(BJ810,"0000000000000,00"),",",""))</f>
        <v>000000000000000</v>
      </c>
      <c r="BL810" s="23">
        <f t="shared" si="5142"/>
        <v>0</v>
      </c>
      <c r="BM810" s="49" t="str">
        <f t="shared" ref="BM810" si="5324">IF(BL810&lt;0,SUBSTITUTE(TEXT(BL810,"000000000000,00"),",",""),SUBSTITUTE(TEXT(BL810,"0000000000000,00"),",",""))</f>
        <v>000000000000000</v>
      </c>
      <c r="BN810" t="str">
        <f t="shared" si="5144"/>
        <v>PES</v>
      </c>
      <c r="BO810" t="str">
        <f t="shared" si="5145"/>
        <v>0001000000</v>
      </c>
      <c r="BP810">
        <f t="shared" si="5146"/>
        <v>0</v>
      </c>
      <c r="BQ810">
        <f t="shared" si="5147"/>
        <v>0</v>
      </c>
      <c r="BR810" s="23">
        <f t="shared" si="5148"/>
        <v>0</v>
      </c>
      <c r="BS810" s="49" t="str">
        <f t="shared" si="5113"/>
        <v>000000000000000</v>
      </c>
      <c r="BT810" t="str">
        <f t="shared" si="5149"/>
        <v>00000000</v>
      </c>
      <c r="BU810" s="23">
        <f t="shared" si="5150"/>
        <v>0</v>
      </c>
      <c r="BV810" s="49" t="str">
        <f t="shared" si="5114"/>
        <v/>
      </c>
      <c r="BW810" s="52" t="str">
        <f t="shared" si="5151"/>
        <v/>
      </c>
      <c r="BX810" s="23">
        <f t="shared" si="5152"/>
        <v>0</v>
      </c>
      <c r="BY810" s="49" t="str">
        <f t="shared" si="5115"/>
        <v/>
      </c>
      <c r="BZ810" s="23">
        <f t="shared" si="5153"/>
        <v>0</v>
      </c>
      <c r="CA810" s="49" t="str">
        <f t="shared" si="5116"/>
        <v/>
      </c>
      <c r="CB810" s="52" t="str">
        <f t="shared" si="5154"/>
        <v/>
      </c>
      <c r="CC810" s="23">
        <f t="shared" si="5155"/>
        <v>0</v>
      </c>
      <c r="CD810" s="49" t="str">
        <f t="shared" si="5117"/>
        <v/>
      </c>
      <c r="CE810" s="56" t="str">
        <f>IF(CF810="","",MAX(CE$10:$CE809)+1)</f>
        <v/>
      </c>
      <c r="CF810" t="str">
        <f t="shared" si="5156"/>
        <v/>
      </c>
      <c r="CG810" s="22" t="str">
        <f>IF(CH810="","",MAX($CG$10:CG809)+1)</f>
        <v/>
      </c>
      <c r="CH810" s="22" t="str">
        <f t="shared" si="5101"/>
        <v/>
      </c>
      <c r="CI810" s="22" t="str">
        <f>IF(CJ810="","",MAX($CI$10:CI809)+1)</f>
        <v/>
      </c>
      <c r="CJ810" s="22" t="str">
        <f t="shared" si="5102"/>
        <v/>
      </c>
    </row>
    <row r="811" spans="2:88" x14ac:dyDescent="0.25">
      <c r="B811" s="37"/>
      <c r="C811" s="3"/>
      <c r="D811" s="77" t="str">
        <f t="shared" si="5088"/>
        <v/>
      </c>
      <c r="E811" s="38"/>
      <c r="F811" s="38"/>
      <c r="G811" s="78">
        <f t="shared" si="5103"/>
        <v>0</v>
      </c>
      <c r="H811" s="3">
        <v>80</v>
      </c>
      <c r="I811" s="77" t="str">
        <f t="shared" si="5089"/>
        <v/>
      </c>
      <c r="J811" s="32"/>
      <c r="K811" s="3"/>
      <c r="L811" s="39"/>
      <c r="M811" s="39"/>
      <c r="N811" s="39"/>
      <c r="O811" s="39"/>
      <c r="P811" s="39"/>
      <c r="Q811" s="39"/>
      <c r="R811" s="39"/>
      <c r="S811" s="39"/>
      <c r="T811" s="3" t="s">
        <v>645</v>
      </c>
      <c r="U811" s="77" t="str">
        <f t="shared" si="5090"/>
        <v/>
      </c>
      <c r="V811" s="39">
        <v>1</v>
      </c>
      <c r="W811" s="79">
        <f t="shared" si="5104"/>
        <v>0</v>
      </c>
      <c r="X811" s="3">
        <v>0</v>
      </c>
      <c r="Y811" s="77" t="str">
        <f t="shared" si="5091"/>
        <v/>
      </c>
      <c r="Z811" s="3"/>
      <c r="AA811" s="37" t="str">
        <f t="shared" si="5105"/>
        <v/>
      </c>
      <c r="AC811" s="40"/>
      <c r="AD811" s="7"/>
      <c r="AE811" s="77" t="str">
        <f t="shared" si="5092"/>
        <v/>
      </c>
      <c r="AF811" s="81">
        <f t="shared" si="5118"/>
        <v>0</v>
      </c>
      <c r="AG811" s="40"/>
      <c r="AH811" s="7"/>
      <c r="AI811" s="77" t="str">
        <f t="shared" si="5093"/>
        <v/>
      </c>
      <c r="AJ811" s="81">
        <f t="shared" si="5119"/>
        <v>0</v>
      </c>
      <c r="AK811" s="83">
        <f t="shared" si="5120"/>
        <v>0</v>
      </c>
      <c r="AL811" s="83">
        <f t="shared" si="5121"/>
        <v>0</v>
      </c>
      <c r="AN811" s="43">
        <f t="shared" si="5094"/>
        <v>0</v>
      </c>
      <c r="AP811" t="str">
        <f t="shared" si="5122"/>
        <v/>
      </c>
      <c r="AQ811" t="str">
        <f t="shared" si="5123"/>
        <v/>
      </c>
      <c r="AR811" t="str">
        <f t="shared" si="5124"/>
        <v/>
      </c>
      <c r="AS811" t="str">
        <f t="shared" si="5125"/>
        <v/>
      </c>
      <c r="AT811" t="str">
        <f t="shared" si="5126"/>
        <v/>
      </c>
      <c r="AU811" t="str">
        <f t="shared" si="5127"/>
        <v/>
      </c>
      <c r="AV811" t="str">
        <f t="shared" si="5128"/>
        <v/>
      </c>
      <c r="AW811" t="str">
        <f t="shared" si="5129"/>
        <v xml:space="preserve">                              </v>
      </c>
      <c r="AX811" s="23">
        <f t="shared" si="5130"/>
        <v>0</v>
      </c>
      <c r="AY811" s="49" t="str">
        <f t="shared" si="5106"/>
        <v>000000000000000</v>
      </c>
      <c r="AZ811" s="23">
        <f t="shared" si="5131"/>
        <v>0</v>
      </c>
      <c r="BA811" s="49" t="str">
        <f t="shared" si="5106"/>
        <v>000000000000000</v>
      </c>
      <c r="BB811" s="23">
        <f t="shared" si="5132"/>
        <v>0</v>
      </c>
      <c r="BC811" s="49" t="str">
        <f t="shared" ref="BC811" si="5325">IF(BB811&lt;0,SUBSTITUTE(TEXT(BB811,"000000000000,00"),",",""),SUBSTITUTE(TEXT(BB811,"0000000000000,00"),",",""))</f>
        <v>000000000000000</v>
      </c>
      <c r="BD811" s="23">
        <f t="shared" si="5134"/>
        <v>0</v>
      </c>
      <c r="BE811" s="49" t="str">
        <f t="shared" ref="BE811" si="5326">IF(BD811&lt;0,SUBSTITUTE(TEXT(BD811,"000000000000,00"),",",""),SUBSTITUTE(TEXT(BD811,"0000000000000,00"),",",""))</f>
        <v>000000000000000</v>
      </c>
      <c r="BF811" s="23">
        <f t="shared" si="5136"/>
        <v>0</v>
      </c>
      <c r="BG811" s="49" t="str">
        <f t="shared" ref="BG811" si="5327">IF(BF811&lt;0,SUBSTITUTE(TEXT(BF811,"000000000000,00"),",",""),SUBSTITUTE(TEXT(BF811,"0000000000000,00"),",",""))</f>
        <v>000000000000000</v>
      </c>
      <c r="BH811" s="23">
        <f t="shared" si="5138"/>
        <v>0</v>
      </c>
      <c r="BI811" s="49" t="str">
        <f t="shared" ref="BI811" si="5328">IF(BH811&lt;0,SUBSTITUTE(TEXT(BH811,"000000000000,00"),",",""),SUBSTITUTE(TEXT(BH811,"0000000000000,00"),",",""))</f>
        <v>000000000000000</v>
      </c>
      <c r="BJ811" s="23">
        <f t="shared" si="5140"/>
        <v>0</v>
      </c>
      <c r="BK811" s="49" t="str">
        <f t="shared" ref="BK811" si="5329">IF(BJ811&lt;0,SUBSTITUTE(TEXT(BJ811,"000000000000,00"),",",""),SUBSTITUTE(TEXT(BJ811,"0000000000000,00"),",",""))</f>
        <v>000000000000000</v>
      </c>
      <c r="BL811" s="23">
        <f t="shared" si="5142"/>
        <v>0</v>
      </c>
      <c r="BM811" s="49" t="str">
        <f t="shared" ref="BM811" si="5330">IF(BL811&lt;0,SUBSTITUTE(TEXT(BL811,"000000000000,00"),",",""),SUBSTITUTE(TEXT(BL811,"0000000000000,00"),",",""))</f>
        <v>000000000000000</v>
      </c>
      <c r="BN811" t="str">
        <f t="shared" si="5144"/>
        <v>PES</v>
      </c>
      <c r="BO811" t="str">
        <f t="shared" si="5145"/>
        <v>0001000000</v>
      </c>
      <c r="BP811">
        <f t="shared" si="5146"/>
        <v>0</v>
      </c>
      <c r="BQ811">
        <f t="shared" si="5147"/>
        <v>0</v>
      </c>
      <c r="BR811" s="23">
        <f t="shared" si="5148"/>
        <v>0</v>
      </c>
      <c r="BS811" s="49" t="str">
        <f t="shared" si="5113"/>
        <v>000000000000000</v>
      </c>
      <c r="BT811" t="str">
        <f t="shared" si="5149"/>
        <v>00000000</v>
      </c>
      <c r="BU811" s="23">
        <f t="shared" si="5150"/>
        <v>0</v>
      </c>
      <c r="BV811" s="49" t="str">
        <f t="shared" si="5114"/>
        <v/>
      </c>
      <c r="BW811" s="52" t="str">
        <f t="shared" si="5151"/>
        <v/>
      </c>
      <c r="BX811" s="23">
        <f t="shared" si="5152"/>
        <v>0</v>
      </c>
      <c r="BY811" s="49" t="str">
        <f t="shared" si="5115"/>
        <v/>
      </c>
      <c r="BZ811" s="23">
        <f t="shared" si="5153"/>
        <v>0</v>
      </c>
      <c r="CA811" s="49" t="str">
        <f t="shared" si="5116"/>
        <v/>
      </c>
      <c r="CB811" s="52" t="str">
        <f t="shared" si="5154"/>
        <v/>
      </c>
      <c r="CC811" s="23">
        <f t="shared" si="5155"/>
        <v>0</v>
      </c>
      <c r="CD811" s="49" t="str">
        <f t="shared" si="5117"/>
        <v/>
      </c>
      <c r="CE811" s="56" t="str">
        <f>IF(CF811="","",MAX(CE$10:$CE810)+1)</f>
        <v/>
      </c>
      <c r="CF811" t="str">
        <f t="shared" si="5156"/>
        <v/>
      </c>
      <c r="CG811" s="22" t="str">
        <f>IF(CH811="","",MAX($CG$10:CG810)+1)</f>
        <v/>
      </c>
      <c r="CH811" s="22" t="str">
        <f t="shared" si="5101"/>
        <v/>
      </c>
      <c r="CI811" s="22" t="str">
        <f>IF(CJ811="","",MAX($CI$10:CI810)+1)</f>
        <v/>
      </c>
      <c r="CJ811" s="22" t="str">
        <f t="shared" si="5102"/>
        <v/>
      </c>
    </row>
    <row r="812" spans="2:88" x14ac:dyDescent="0.25">
      <c r="B812" s="37"/>
      <c r="C812" s="3"/>
      <c r="D812" s="77" t="str">
        <f t="shared" si="5088"/>
        <v/>
      </c>
      <c r="E812" s="38"/>
      <c r="F812" s="38"/>
      <c r="G812" s="78">
        <f t="shared" si="5103"/>
        <v>0</v>
      </c>
      <c r="H812" s="3">
        <v>80</v>
      </c>
      <c r="I812" s="77" t="str">
        <f t="shared" si="5089"/>
        <v/>
      </c>
      <c r="J812" s="32"/>
      <c r="K812" s="3"/>
      <c r="L812" s="39"/>
      <c r="M812" s="39"/>
      <c r="N812" s="39"/>
      <c r="O812" s="39"/>
      <c r="P812" s="39"/>
      <c r="Q812" s="39"/>
      <c r="R812" s="39"/>
      <c r="S812" s="39"/>
      <c r="T812" s="3" t="s">
        <v>645</v>
      </c>
      <c r="U812" s="77" t="str">
        <f t="shared" si="5090"/>
        <v/>
      </c>
      <c r="V812" s="39">
        <v>1</v>
      </c>
      <c r="W812" s="79">
        <f t="shared" si="5104"/>
        <v>0</v>
      </c>
      <c r="X812" s="3">
        <v>0</v>
      </c>
      <c r="Y812" s="77" t="str">
        <f t="shared" si="5091"/>
        <v/>
      </c>
      <c r="Z812" s="3"/>
      <c r="AA812" s="37" t="str">
        <f t="shared" si="5105"/>
        <v/>
      </c>
      <c r="AC812" s="40"/>
      <c r="AD812" s="7"/>
      <c r="AE812" s="77" t="str">
        <f t="shared" si="5092"/>
        <v/>
      </c>
      <c r="AF812" s="81">
        <f t="shared" si="5118"/>
        <v>0</v>
      </c>
      <c r="AG812" s="40"/>
      <c r="AH812" s="7"/>
      <c r="AI812" s="77" t="str">
        <f t="shared" si="5093"/>
        <v/>
      </c>
      <c r="AJ812" s="81">
        <f t="shared" si="5119"/>
        <v>0</v>
      </c>
      <c r="AK812" s="83">
        <f t="shared" si="5120"/>
        <v>0</v>
      </c>
      <c r="AL812" s="83">
        <f t="shared" si="5121"/>
        <v>0</v>
      </c>
      <c r="AN812" s="43">
        <f t="shared" si="5094"/>
        <v>0</v>
      </c>
      <c r="AP812" t="str">
        <f t="shared" si="5122"/>
        <v/>
      </c>
      <c r="AQ812" t="str">
        <f t="shared" si="5123"/>
        <v/>
      </c>
      <c r="AR812" t="str">
        <f t="shared" si="5124"/>
        <v/>
      </c>
      <c r="AS812" t="str">
        <f t="shared" si="5125"/>
        <v/>
      </c>
      <c r="AT812" t="str">
        <f t="shared" si="5126"/>
        <v/>
      </c>
      <c r="AU812" t="str">
        <f t="shared" si="5127"/>
        <v/>
      </c>
      <c r="AV812" t="str">
        <f t="shared" si="5128"/>
        <v/>
      </c>
      <c r="AW812" t="str">
        <f t="shared" si="5129"/>
        <v xml:space="preserve">                              </v>
      </c>
      <c r="AX812" s="23">
        <f t="shared" si="5130"/>
        <v>0</v>
      </c>
      <c r="AY812" s="49" t="str">
        <f t="shared" si="5106"/>
        <v>000000000000000</v>
      </c>
      <c r="AZ812" s="23">
        <f t="shared" si="5131"/>
        <v>0</v>
      </c>
      <c r="BA812" s="49" t="str">
        <f t="shared" si="5106"/>
        <v>000000000000000</v>
      </c>
      <c r="BB812" s="23">
        <f t="shared" si="5132"/>
        <v>0</v>
      </c>
      <c r="BC812" s="49" t="str">
        <f t="shared" ref="BC812" si="5331">IF(BB812&lt;0,SUBSTITUTE(TEXT(BB812,"000000000000,00"),",",""),SUBSTITUTE(TEXT(BB812,"0000000000000,00"),",",""))</f>
        <v>000000000000000</v>
      </c>
      <c r="BD812" s="23">
        <f t="shared" si="5134"/>
        <v>0</v>
      </c>
      <c r="BE812" s="49" t="str">
        <f t="shared" ref="BE812" si="5332">IF(BD812&lt;0,SUBSTITUTE(TEXT(BD812,"000000000000,00"),",",""),SUBSTITUTE(TEXT(BD812,"0000000000000,00"),",",""))</f>
        <v>000000000000000</v>
      </c>
      <c r="BF812" s="23">
        <f t="shared" si="5136"/>
        <v>0</v>
      </c>
      <c r="BG812" s="49" t="str">
        <f t="shared" ref="BG812" si="5333">IF(BF812&lt;0,SUBSTITUTE(TEXT(BF812,"000000000000,00"),",",""),SUBSTITUTE(TEXT(BF812,"0000000000000,00"),",",""))</f>
        <v>000000000000000</v>
      </c>
      <c r="BH812" s="23">
        <f t="shared" si="5138"/>
        <v>0</v>
      </c>
      <c r="BI812" s="49" t="str">
        <f t="shared" ref="BI812" si="5334">IF(BH812&lt;0,SUBSTITUTE(TEXT(BH812,"000000000000,00"),",",""),SUBSTITUTE(TEXT(BH812,"0000000000000,00"),",",""))</f>
        <v>000000000000000</v>
      </c>
      <c r="BJ812" s="23">
        <f t="shared" si="5140"/>
        <v>0</v>
      </c>
      <c r="BK812" s="49" t="str">
        <f t="shared" ref="BK812" si="5335">IF(BJ812&lt;0,SUBSTITUTE(TEXT(BJ812,"000000000000,00"),",",""),SUBSTITUTE(TEXT(BJ812,"0000000000000,00"),",",""))</f>
        <v>000000000000000</v>
      </c>
      <c r="BL812" s="23">
        <f t="shared" si="5142"/>
        <v>0</v>
      </c>
      <c r="BM812" s="49" t="str">
        <f t="shared" ref="BM812" si="5336">IF(BL812&lt;0,SUBSTITUTE(TEXT(BL812,"000000000000,00"),",",""),SUBSTITUTE(TEXT(BL812,"0000000000000,00"),",",""))</f>
        <v>000000000000000</v>
      </c>
      <c r="BN812" t="str">
        <f t="shared" si="5144"/>
        <v>PES</v>
      </c>
      <c r="BO812" t="str">
        <f t="shared" si="5145"/>
        <v>0001000000</v>
      </c>
      <c r="BP812">
        <f t="shared" si="5146"/>
        <v>0</v>
      </c>
      <c r="BQ812">
        <f t="shared" si="5147"/>
        <v>0</v>
      </c>
      <c r="BR812" s="23">
        <f t="shared" si="5148"/>
        <v>0</v>
      </c>
      <c r="BS812" s="49" t="str">
        <f t="shared" si="5113"/>
        <v>000000000000000</v>
      </c>
      <c r="BT812" t="str">
        <f t="shared" si="5149"/>
        <v>00000000</v>
      </c>
      <c r="BU812" s="23">
        <f t="shared" si="5150"/>
        <v>0</v>
      </c>
      <c r="BV812" s="49" t="str">
        <f t="shared" si="5114"/>
        <v/>
      </c>
      <c r="BW812" s="52" t="str">
        <f t="shared" si="5151"/>
        <v/>
      </c>
      <c r="BX812" s="23">
        <f t="shared" si="5152"/>
        <v>0</v>
      </c>
      <c r="BY812" s="49" t="str">
        <f t="shared" si="5115"/>
        <v/>
      </c>
      <c r="BZ812" s="23">
        <f t="shared" si="5153"/>
        <v>0</v>
      </c>
      <c r="CA812" s="49" t="str">
        <f t="shared" si="5116"/>
        <v/>
      </c>
      <c r="CB812" s="52" t="str">
        <f t="shared" si="5154"/>
        <v/>
      </c>
      <c r="CC812" s="23">
        <f t="shared" si="5155"/>
        <v>0</v>
      </c>
      <c r="CD812" s="49" t="str">
        <f t="shared" si="5117"/>
        <v/>
      </c>
      <c r="CE812" s="56" t="str">
        <f>IF(CF812="","",MAX(CE$10:$CE811)+1)</f>
        <v/>
      </c>
      <c r="CF812" t="str">
        <f t="shared" si="5156"/>
        <v/>
      </c>
      <c r="CG812" s="22" t="str">
        <f>IF(CH812="","",MAX($CG$10:CG811)+1)</f>
        <v/>
      </c>
      <c r="CH812" s="22" t="str">
        <f t="shared" si="5101"/>
        <v/>
      </c>
      <c r="CI812" s="22" t="str">
        <f>IF(CJ812="","",MAX($CI$10:CI811)+1)</f>
        <v/>
      </c>
      <c r="CJ812" s="22" t="str">
        <f t="shared" si="5102"/>
        <v/>
      </c>
    </row>
    <row r="813" spans="2:88" x14ac:dyDescent="0.25">
      <c r="B813" s="37"/>
      <c r="C813" s="3"/>
      <c r="D813" s="77" t="str">
        <f t="shared" si="5088"/>
        <v/>
      </c>
      <c r="E813" s="38"/>
      <c r="F813" s="38"/>
      <c r="G813" s="78">
        <f t="shared" si="5103"/>
        <v>0</v>
      </c>
      <c r="H813" s="3">
        <v>80</v>
      </c>
      <c r="I813" s="77" t="str">
        <f t="shared" si="5089"/>
        <v/>
      </c>
      <c r="J813" s="32"/>
      <c r="K813" s="3"/>
      <c r="L813" s="39"/>
      <c r="M813" s="39"/>
      <c r="N813" s="39"/>
      <c r="O813" s="39"/>
      <c r="P813" s="39"/>
      <c r="Q813" s="39"/>
      <c r="R813" s="39"/>
      <c r="S813" s="39"/>
      <c r="T813" s="3" t="s">
        <v>645</v>
      </c>
      <c r="U813" s="77" t="str">
        <f t="shared" si="5090"/>
        <v/>
      </c>
      <c r="V813" s="39">
        <v>1</v>
      </c>
      <c r="W813" s="79">
        <f t="shared" si="5104"/>
        <v>0</v>
      </c>
      <c r="X813" s="3">
        <v>0</v>
      </c>
      <c r="Y813" s="77" t="str">
        <f t="shared" si="5091"/>
        <v/>
      </c>
      <c r="Z813" s="3"/>
      <c r="AA813" s="37" t="str">
        <f t="shared" si="5105"/>
        <v/>
      </c>
      <c r="AC813" s="40"/>
      <c r="AD813" s="7"/>
      <c r="AE813" s="77" t="str">
        <f t="shared" si="5092"/>
        <v/>
      </c>
      <c r="AF813" s="81">
        <f t="shared" si="5118"/>
        <v>0</v>
      </c>
      <c r="AG813" s="40"/>
      <c r="AH813" s="7"/>
      <c r="AI813" s="77" t="str">
        <f t="shared" si="5093"/>
        <v/>
      </c>
      <c r="AJ813" s="81">
        <f t="shared" si="5119"/>
        <v>0</v>
      </c>
      <c r="AK813" s="83">
        <f t="shared" si="5120"/>
        <v>0</v>
      </c>
      <c r="AL813" s="83">
        <f t="shared" si="5121"/>
        <v>0</v>
      </c>
      <c r="AN813" s="43">
        <f t="shared" si="5094"/>
        <v>0</v>
      </c>
      <c r="AP813" t="str">
        <f t="shared" si="5122"/>
        <v/>
      </c>
      <c r="AQ813" t="str">
        <f t="shared" si="5123"/>
        <v/>
      </c>
      <c r="AR813" t="str">
        <f t="shared" si="5124"/>
        <v/>
      </c>
      <c r="AS813" t="str">
        <f t="shared" si="5125"/>
        <v/>
      </c>
      <c r="AT813" t="str">
        <f t="shared" si="5126"/>
        <v/>
      </c>
      <c r="AU813" t="str">
        <f t="shared" si="5127"/>
        <v/>
      </c>
      <c r="AV813" t="str">
        <f t="shared" si="5128"/>
        <v/>
      </c>
      <c r="AW813" t="str">
        <f t="shared" si="5129"/>
        <v xml:space="preserve">                              </v>
      </c>
      <c r="AX813" s="23">
        <f t="shared" si="5130"/>
        <v>0</v>
      </c>
      <c r="AY813" s="49" t="str">
        <f t="shared" si="5106"/>
        <v>000000000000000</v>
      </c>
      <c r="AZ813" s="23">
        <f t="shared" si="5131"/>
        <v>0</v>
      </c>
      <c r="BA813" s="49" t="str">
        <f t="shared" si="5106"/>
        <v>000000000000000</v>
      </c>
      <c r="BB813" s="23">
        <f t="shared" si="5132"/>
        <v>0</v>
      </c>
      <c r="BC813" s="49" t="str">
        <f t="shared" ref="BC813" si="5337">IF(BB813&lt;0,SUBSTITUTE(TEXT(BB813,"000000000000,00"),",",""),SUBSTITUTE(TEXT(BB813,"0000000000000,00"),",",""))</f>
        <v>000000000000000</v>
      </c>
      <c r="BD813" s="23">
        <f t="shared" si="5134"/>
        <v>0</v>
      </c>
      <c r="BE813" s="49" t="str">
        <f t="shared" ref="BE813" si="5338">IF(BD813&lt;0,SUBSTITUTE(TEXT(BD813,"000000000000,00"),",",""),SUBSTITUTE(TEXT(BD813,"0000000000000,00"),",",""))</f>
        <v>000000000000000</v>
      </c>
      <c r="BF813" s="23">
        <f t="shared" si="5136"/>
        <v>0</v>
      </c>
      <c r="BG813" s="49" t="str">
        <f t="shared" ref="BG813" si="5339">IF(BF813&lt;0,SUBSTITUTE(TEXT(BF813,"000000000000,00"),",",""),SUBSTITUTE(TEXT(BF813,"0000000000000,00"),",",""))</f>
        <v>000000000000000</v>
      </c>
      <c r="BH813" s="23">
        <f t="shared" si="5138"/>
        <v>0</v>
      </c>
      <c r="BI813" s="49" t="str">
        <f t="shared" ref="BI813" si="5340">IF(BH813&lt;0,SUBSTITUTE(TEXT(BH813,"000000000000,00"),",",""),SUBSTITUTE(TEXT(BH813,"0000000000000,00"),",",""))</f>
        <v>000000000000000</v>
      </c>
      <c r="BJ813" s="23">
        <f t="shared" si="5140"/>
        <v>0</v>
      </c>
      <c r="BK813" s="49" t="str">
        <f t="shared" ref="BK813" si="5341">IF(BJ813&lt;0,SUBSTITUTE(TEXT(BJ813,"000000000000,00"),",",""),SUBSTITUTE(TEXT(BJ813,"0000000000000,00"),",",""))</f>
        <v>000000000000000</v>
      </c>
      <c r="BL813" s="23">
        <f t="shared" si="5142"/>
        <v>0</v>
      </c>
      <c r="BM813" s="49" t="str">
        <f t="shared" ref="BM813" si="5342">IF(BL813&lt;0,SUBSTITUTE(TEXT(BL813,"000000000000,00"),",",""),SUBSTITUTE(TEXT(BL813,"0000000000000,00"),",",""))</f>
        <v>000000000000000</v>
      </c>
      <c r="BN813" t="str">
        <f t="shared" si="5144"/>
        <v>PES</v>
      </c>
      <c r="BO813" t="str">
        <f t="shared" si="5145"/>
        <v>0001000000</v>
      </c>
      <c r="BP813">
        <f t="shared" si="5146"/>
        <v>0</v>
      </c>
      <c r="BQ813">
        <f t="shared" si="5147"/>
        <v>0</v>
      </c>
      <c r="BR813" s="23">
        <f t="shared" si="5148"/>
        <v>0</v>
      </c>
      <c r="BS813" s="49" t="str">
        <f t="shared" si="5113"/>
        <v>000000000000000</v>
      </c>
      <c r="BT813" t="str">
        <f t="shared" si="5149"/>
        <v>00000000</v>
      </c>
      <c r="BU813" s="23">
        <f t="shared" si="5150"/>
        <v>0</v>
      </c>
      <c r="BV813" s="49" t="str">
        <f t="shared" si="5114"/>
        <v/>
      </c>
      <c r="BW813" s="52" t="str">
        <f t="shared" si="5151"/>
        <v/>
      </c>
      <c r="BX813" s="23">
        <f t="shared" si="5152"/>
        <v>0</v>
      </c>
      <c r="BY813" s="49" t="str">
        <f t="shared" si="5115"/>
        <v/>
      </c>
      <c r="BZ813" s="23">
        <f t="shared" si="5153"/>
        <v>0</v>
      </c>
      <c r="CA813" s="49" t="str">
        <f t="shared" si="5116"/>
        <v/>
      </c>
      <c r="CB813" s="52" t="str">
        <f t="shared" si="5154"/>
        <v/>
      </c>
      <c r="CC813" s="23">
        <f t="shared" si="5155"/>
        <v>0</v>
      </c>
      <c r="CD813" s="49" t="str">
        <f t="shared" si="5117"/>
        <v/>
      </c>
      <c r="CE813" s="56" t="str">
        <f>IF(CF813="","",MAX(CE$10:$CE812)+1)</f>
        <v/>
      </c>
      <c r="CF813" t="str">
        <f t="shared" si="5156"/>
        <v/>
      </c>
      <c r="CG813" s="22" t="str">
        <f>IF(CH813="","",MAX($CG$10:CG812)+1)</f>
        <v/>
      </c>
      <c r="CH813" s="22" t="str">
        <f t="shared" si="5101"/>
        <v/>
      </c>
      <c r="CI813" s="22" t="str">
        <f>IF(CJ813="","",MAX($CI$10:CI812)+1)</f>
        <v/>
      </c>
      <c r="CJ813" s="22" t="str">
        <f t="shared" si="5102"/>
        <v/>
      </c>
    </row>
    <row r="814" spans="2:88" x14ac:dyDescent="0.25">
      <c r="B814" s="37"/>
      <c r="C814" s="3"/>
      <c r="D814" s="77" t="str">
        <f t="shared" si="5088"/>
        <v/>
      </c>
      <c r="E814" s="38"/>
      <c r="F814" s="38"/>
      <c r="G814" s="78">
        <f t="shared" si="5103"/>
        <v>0</v>
      </c>
      <c r="H814" s="3">
        <v>80</v>
      </c>
      <c r="I814" s="77" t="str">
        <f t="shared" si="5089"/>
        <v/>
      </c>
      <c r="J814" s="32"/>
      <c r="K814" s="3"/>
      <c r="L814" s="39"/>
      <c r="M814" s="39"/>
      <c r="N814" s="39"/>
      <c r="O814" s="39"/>
      <c r="P814" s="39"/>
      <c r="Q814" s="39"/>
      <c r="R814" s="39"/>
      <c r="S814" s="39"/>
      <c r="T814" s="3" t="s">
        <v>645</v>
      </c>
      <c r="U814" s="77" t="str">
        <f t="shared" si="5090"/>
        <v/>
      </c>
      <c r="V814" s="39">
        <v>1</v>
      </c>
      <c r="W814" s="79">
        <f t="shared" si="5104"/>
        <v>0</v>
      </c>
      <c r="X814" s="3">
        <v>0</v>
      </c>
      <c r="Y814" s="77" t="str">
        <f t="shared" si="5091"/>
        <v/>
      </c>
      <c r="Z814" s="3"/>
      <c r="AA814" s="37" t="str">
        <f t="shared" si="5105"/>
        <v/>
      </c>
      <c r="AC814" s="40"/>
      <c r="AD814" s="7"/>
      <c r="AE814" s="77" t="str">
        <f t="shared" si="5092"/>
        <v/>
      </c>
      <c r="AF814" s="81">
        <f t="shared" si="5118"/>
        <v>0</v>
      </c>
      <c r="AG814" s="40"/>
      <c r="AH814" s="7"/>
      <c r="AI814" s="77" t="str">
        <f t="shared" si="5093"/>
        <v/>
      </c>
      <c r="AJ814" s="81">
        <f t="shared" si="5119"/>
        <v>0</v>
      </c>
      <c r="AK814" s="83">
        <f t="shared" si="5120"/>
        <v>0</v>
      </c>
      <c r="AL814" s="83">
        <f t="shared" si="5121"/>
        <v>0</v>
      </c>
      <c r="AN814" s="43">
        <f t="shared" si="5094"/>
        <v>0</v>
      </c>
      <c r="AP814" t="str">
        <f t="shared" si="5122"/>
        <v/>
      </c>
      <c r="AQ814" t="str">
        <f t="shared" si="5123"/>
        <v/>
      </c>
      <c r="AR814" t="str">
        <f t="shared" si="5124"/>
        <v/>
      </c>
      <c r="AS814" t="str">
        <f t="shared" si="5125"/>
        <v/>
      </c>
      <c r="AT814" t="str">
        <f t="shared" si="5126"/>
        <v/>
      </c>
      <c r="AU814" t="str">
        <f t="shared" si="5127"/>
        <v/>
      </c>
      <c r="AV814" t="str">
        <f t="shared" si="5128"/>
        <v/>
      </c>
      <c r="AW814" t="str">
        <f t="shared" si="5129"/>
        <v xml:space="preserve">                              </v>
      </c>
      <c r="AX814" s="23">
        <f t="shared" si="5130"/>
        <v>0</v>
      </c>
      <c r="AY814" s="49" t="str">
        <f t="shared" si="5106"/>
        <v>000000000000000</v>
      </c>
      <c r="AZ814" s="23">
        <f t="shared" si="5131"/>
        <v>0</v>
      </c>
      <c r="BA814" s="49" t="str">
        <f t="shared" si="5106"/>
        <v>000000000000000</v>
      </c>
      <c r="BB814" s="23">
        <f t="shared" si="5132"/>
        <v>0</v>
      </c>
      <c r="BC814" s="49" t="str">
        <f t="shared" ref="BC814" si="5343">IF(BB814&lt;0,SUBSTITUTE(TEXT(BB814,"000000000000,00"),",",""),SUBSTITUTE(TEXT(BB814,"0000000000000,00"),",",""))</f>
        <v>000000000000000</v>
      </c>
      <c r="BD814" s="23">
        <f t="shared" si="5134"/>
        <v>0</v>
      </c>
      <c r="BE814" s="49" t="str">
        <f t="shared" ref="BE814" si="5344">IF(BD814&lt;0,SUBSTITUTE(TEXT(BD814,"000000000000,00"),",",""),SUBSTITUTE(TEXT(BD814,"0000000000000,00"),",",""))</f>
        <v>000000000000000</v>
      </c>
      <c r="BF814" s="23">
        <f t="shared" si="5136"/>
        <v>0</v>
      </c>
      <c r="BG814" s="49" t="str">
        <f t="shared" ref="BG814" si="5345">IF(BF814&lt;0,SUBSTITUTE(TEXT(BF814,"000000000000,00"),",",""),SUBSTITUTE(TEXT(BF814,"0000000000000,00"),",",""))</f>
        <v>000000000000000</v>
      </c>
      <c r="BH814" s="23">
        <f t="shared" si="5138"/>
        <v>0</v>
      </c>
      <c r="BI814" s="49" t="str">
        <f t="shared" ref="BI814" si="5346">IF(BH814&lt;0,SUBSTITUTE(TEXT(BH814,"000000000000,00"),",",""),SUBSTITUTE(TEXT(BH814,"0000000000000,00"),",",""))</f>
        <v>000000000000000</v>
      </c>
      <c r="BJ814" s="23">
        <f t="shared" si="5140"/>
        <v>0</v>
      </c>
      <c r="BK814" s="49" t="str">
        <f t="shared" ref="BK814" si="5347">IF(BJ814&lt;0,SUBSTITUTE(TEXT(BJ814,"000000000000,00"),",",""),SUBSTITUTE(TEXT(BJ814,"0000000000000,00"),",",""))</f>
        <v>000000000000000</v>
      </c>
      <c r="BL814" s="23">
        <f t="shared" si="5142"/>
        <v>0</v>
      </c>
      <c r="BM814" s="49" t="str">
        <f t="shared" ref="BM814" si="5348">IF(BL814&lt;0,SUBSTITUTE(TEXT(BL814,"000000000000,00"),",",""),SUBSTITUTE(TEXT(BL814,"0000000000000,00"),",",""))</f>
        <v>000000000000000</v>
      </c>
      <c r="BN814" t="str">
        <f t="shared" si="5144"/>
        <v>PES</v>
      </c>
      <c r="BO814" t="str">
        <f t="shared" si="5145"/>
        <v>0001000000</v>
      </c>
      <c r="BP814">
        <f t="shared" si="5146"/>
        <v>0</v>
      </c>
      <c r="BQ814">
        <f t="shared" si="5147"/>
        <v>0</v>
      </c>
      <c r="BR814" s="23">
        <f t="shared" si="5148"/>
        <v>0</v>
      </c>
      <c r="BS814" s="49" t="str">
        <f t="shared" si="5113"/>
        <v>000000000000000</v>
      </c>
      <c r="BT814" t="str">
        <f t="shared" si="5149"/>
        <v>00000000</v>
      </c>
      <c r="BU814" s="23">
        <f t="shared" si="5150"/>
        <v>0</v>
      </c>
      <c r="BV814" s="49" t="str">
        <f t="shared" si="5114"/>
        <v/>
      </c>
      <c r="BW814" s="52" t="str">
        <f t="shared" si="5151"/>
        <v/>
      </c>
      <c r="BX814" s="23">
        <f t="shared" si="5152"/>
        <v>0</v>
      </c>
      <c r="BY814" s="49" t="str">
        <f t="shared" si="5115"/>
        <v/>
      </c>
      <c r="BZ814" s="23">
        <f t="shared" si="5153"/>
        <v>0</v>
      </c>
      <c r="CA814" s="49" t="str">
        <f t="shared" si="5116"/>
        <v/>
      </c>
      <c r="CB814" s="52" t="str">
        <f t="shared" si="5154"/>
        <v/>
      </c>
      <c r="CC814" s="23">
        <f t="shared" si="5155"/>
        <v>0</v>
      </c>
      <c r="CD814" s="49" t="str">
        <f t="shared" si="5117"/>
        <v/>
      </c>
      <c r="CE814" s="56" t="str">
        <f>IF(CF814="","",MAX(CE$10:$CE813)+1)</f>
        <v/>
      </c>
      <c r="CF814" t="str">
        <f t="shared" si="5156"/>
        <v/>
      </c>
      <c r="CG814" s="22" t="str">
        <f>IF(CH814="","",MAX($CG$10:CG813)+1)</f>
        <v/>
      </c>
      <c r="CH814" s="22" t="str">
        <f t="shared" si="5101"/>
        <v/>
      </c>
      <c r="CI814" s="22" t="str">
        <f>IF(CJ814="","",MAX($CI$10:CI813)+1)</f>
        <v/>
      </c>
      <c r="CJ814" s="22" t="str">
        <f t="shared" si="5102"/>
        <v/>
      </c>
    </row>
    <row r="815" spans="2:88" x14ac:dyDescent="0.25">
      <c r="B815" s="37"/>
      <c r="C815" s="3"/>
      <c r="D815" s="77" t="str">
        <f t="shared" si="5088"/>
        <v/>
      </c>
      <c r="E815" s="38"/>
      <c r="F815" s="38"/>
      <c r="G815" s="78">
        <f t="shared" si="5103"/>
        <v>0</v>
      </c>
      <c r="H815" s="3">
        <v>80</v>
      </c>
      <c r="I815" s="77" t="str">
        <f t="shared" si="5089"/>
        <v/>
      </c>
      <c r="J815" s="32"/>
      <c r="K815" s="3"/>
      <c r="L815" s="39"/>
      <c r="M815" s="39"/>
      <c r="N815" s="39"/>
      <c r="O815" s="39"/>
      <c r="P815" s="39"/>
      <c r="Q815" s="39"/>
      <c r="R815" s="39"/>
      <c r="S815" s="39"/>
      <c r="T815" s="3" t="s">
        <v>645</v>
      </c>
      <c r="U815" s="77" t="str">
        <f t="shared" si="5090"/>
        <v/>
      </c>
      <c r="V815" s="39">
        <v>1</v>
      </c>
      <c r="W815" s="79">
        <f t="shared" si="5104"/>
        <v>0</v>
      </c>
      <c r="X815" s="3">
        <v>0</v>
      </c>
      <c r="Y815" s="77" t="str">
        <f t="shared" si="5091"/>
        <v/>
      </c>
      <c r="Z815" s="3"/>
      <c r="AA815" s="37" t="str">
        <f t="shared" si="5105"/>
        <v/>
      </c>
      <c r="AC815" s="40"/>
      <c r="AD815" s="7"/>
      <c r="AE815" s="77" t="str">
        <f t="shared" si="5092"/>
        <v/>
      </c>
      <c r="AF815" s="81">
        <f t="shared" si="5118"/>
        <v>0</v>
      </c>
      <c r="AG815" s="40"/>
      <c r="AH815" s="7"/>
      <c r="AI815" s="77" t="str">
        <f t="shared" si="5093"/>
        <v/>
      </c>
      <c r="AJ815" s="81">
        <f t="shared" si="5119"/>
        <v>0</v>
      </c>
      <c r="AK815" s="83">
        <f t="shared" si="5120"/>
        <v>0</v>
      </c>
      <c r="AL815" s="83">
        <f t="shared" si="5121"/>
        <v>0</v>
      </c>
      <c r="AN815" s="43">
        <f t="shared" si="5094"/>
        <v>0</v>
      </c>
      <c r="AP815" t="str">
        <f t="shared" si="5122"/>
        <v/>
      </c>
      <c r="AQ815" t="str">
        <f t="shared" si="5123"/>
        <v/>
      </c>
      <c r="AR815" t="str">
        <f t="shared" si="5124"/>
        <v/>
      </c>
      <c r="AS815" t="str">
        <f t="shared" si="5125"/>
        <v/>
      </c>
      <c r="AT815" t="str">
        <f t="shared" si="5126"/>
        <v/>
      </c>
      <c r="AU815" t="str">
        <f t="shared" si="5127"/>
        <v/>
      </c>
      <c r="AV815" t="str">
        <f t="shared" si="5128"/>
        <v/>
      </c>
      <c r="AW815" t="str">
        <f t="shared" si="5129"/>
        <v xml:space="preserve">                              </v>
      </c>
      <c r="AX815" s="23">
        <f t="shared" si="5130"/>
        <v>0</v>
      </c>
      <c r="AY815" s="49" t="str">
        <f t="shared" si="5106"/>
        <v>000000000000000</v>
      </c>
      <c r="AZ815" s="23">
        <f t="shared" si="5131"/>
        <v>0</v>
      </c>
      <c r="BA815" s="49" t="str">
        <f t="shared" si="5106"/>
        <v>000000000000000</v>
      </c>
      <c r="BB815" s="23">
        <f t="shared" si="5132"/>
        <v>0</v>
      </c>
      <c r="BC815" s="49" t="str">
        <f t="shared" ref="BC815" si="5349">IF(BB815&lt;0,SUBSTITUTE(TEXT(BB815,"000000000000,00"),",",""),SUBSTITUTE(TEXT(BB815,"0000000000000,00"),",",""))</f>
        <v>000000000000000</v>
      </c>
      <c r="BD815" s="23">
        <f t="shared" si="5134"/>
        <v>0</v>
      </c>
      <c r="BE815" s="49" t="str">
        <f t="shared" ref="BE815" si="5350">IF(BD815&lt;0,SUBSTITUTE(TEXT(BD815,"000000000000,00"),",",""),SUBSTITUTE(TEXT(BD815,"0000000000000,00"),",",""))</f>
        <v>000000000000000</v>
      </c>
      <c r="BF815" s="23">
        <f t="shared" si="5136"/>
        <v>0</v>
      </c>
      <c r="BG815" s="49" t="str">
        <f t="shared" ref="BG815" si="5351">IF(BF815&lt;0,SUBSTITUTE(TEXT(BF815,"000000000000,00"),",",""),SUBSTITUTE(TEXT(BF815,"0000000000000,00"),",",""))</f>
        <v>000000000000000</v>
      </c>
      <c r="BH815" s="23">
        <f t="shared" si="5138"/>
        <v>0</v>
      </c>
      <c r="BI815" s="49" t="str">
        <f t="shared" ref="BI815" si="5352">IF(BH815&lt;0,SUBSTITUTE(TEXT(BH815,"000000000000,00"),",",""),SUBSTITUTE(TEXT(BH815,"0000000000000,00"),",",""))</f>
        <v>000000000000000</v>
      </c>
      <c r="BJ815" s="23">
        <f t="shared" si="5140"/>
        <v>0</v>
      </c>
      <c r="BK815" s="49" t="str">
        <f t="shared" ref="BK815" si="5353">IF(BJ815&lt;0,SUBSTITUTE(TEXT(BJ815,"000000000000,00"),",",""),SUBSTITUTE(TEXT(BJ815,"0000000000000,00"),",",""))</f>
        <v>000000000000000</v>
      </c>
      <c r="BL815" s="23">
        <f t="shared" si="5142"/>
        <v>0</v>
      </c>
      <c r="BM815" s="49" t="str">
        <f t="shared" ref="BM815" si="5354">IF(BL815&lt;0,SUBSTITUTE(TEXT(BL815,"000000000000,00"),",",""),SUBSTITUTE(TEXT(BL815,"0000000000000,00"),",",""))</f>
        <v>000000000000000</v>
      </c>
      <c r="BN815" t="str">
        <f t="shared" si="5144"/>
        <v>PES</v>
      </c>
      <c r="BO815" t="str">
        <f t="shared" si="5145"/>
        <v>0001000000</v>
      </c>
      <c r="BP815">
        <f t="shared" si="5146"/>
        <v>0</v>
      </c>
      <c r="BQ815">
        <f t="shared" si="5147"/>
        <v>0</v>
      </c>
      <c r="BR815" s="23">
        <f t="shared" si="5148"/>
        <v>0</v>
      </c>
      <c r="BS815" s="49" t="str">
        <f t="shared" si="5113"/>
        <v>000000000000000</v>
      </c>
      <c r="BT815" t="str">
        <f t="shared" si="5149"/>
        <v>00000000</v>
      </c>
      <c r="BU815" s="23">
        <f t="shared" si="5150"/>
        <v>0</v>
      </c>
      <c r="BV815" s="49" t="str">
        <f t="shared" si="5114"/>
        <v/>
      </c>
      <c r="BW815" s="52" t="str">
        <f t="shared" si="5151"/>
        <v/>
      </c>
      <c r="BX815" s="23">
        <f t="shared" si="5152"/>
        <v>0</v>
      </c>
      <c r="BY815" s="49" t="str">
        <f t="shared" si="5115"/>
        <v/>
      </c>
      <c r="BZ815" s="23">
        <f t="shared" si="5153"/>
        <v>0</v>
      </c>
      <c r="CA815" s="49" t="str">
        <f t="shared" si="5116"/>
        <v/>
      </c>
      <c r="CB815" s="52" t="str">
        <f t="shared" si="5154"/>
        <v/>
      </c>
      <c r="CC815" s="23">
        <f t="shared" si="5155"/>
        <v>0</v>
      </c>
      <c r="CD815" s="49" t="str">
        <f t="shared" si="5117"/>
        <v/>
      </c>
      <c r="CE815" s="56" t="str">
        <f>IF(CF815="","",MAX(CE$10:$CE814)+1)</f>
        <v/>
      </c>
      <c r="CF815" t="str">
        <f t="shared" si="5156"/>
        <v/>
      </c>
      <c r="CG815" s="22" t="str">
        <f>IF(CH815="","",MAX($CG$10:CG814)+1)</f>
        <v/>
      </c>
      <c r="CH815" s="22" t="str">
        <f t="shared" si="5101"/>
        <v/>
      </c>
      <c r="CI815" s="22" t="str">
        <f>IF(CJ815="","",MAX($CI$10:CI814)+1)</f>
        <v/>
      </c>
      <c r="CJ815" s="22" t="str">
        <f t="shared" si="5102"/>
        <v/>
      </c>
    </row>
    <row r="816" spans="2:88" x14ac:dyDescent="0.25">
      <c r="B816" s="37"/>
      <c r="C816" s="3"/>
      <c r="D816" s="77" t="str">
        <f t="shared" si="5088"/>
        <v/>
      </c>
      <c r="E816" s="38"/>
      <c r="F816" s="38"/>
      <c r="G816" s="78">
        <f t="shared" si="5103"/>
        <v>0</v>
      </c>
      <c r="H816" s="3">
        <v>80</v>
      </c>
      <c r="I816" s="77" t="str">
        <f t="shared" si="5089"/>
        <v/>
      </c>
      <c r="J816" s="32"/>
      <c r="K816" s="3"/>
      <c r="L816" s="39"/>
      <c r="M816" s="39"/>
      <c r="N816" s="39"/>
      <c r="O816" s="39"/>
      <c r="P816" s="39"/>
      <c r="Q816" s="39"/>
      <c r="R816" s="39"/>
      <c r="S816" s="39"/>
      <c r="T816" s="3" t="s">
        <v>645</v>
      </c>
      <c r="U816" s="77" t="str">
        <f t="shared" si="5090"/>
        <v/>
      </c>
      <c r="V816" s="39">
        <v>1</v>
      </c>
      <c r="W816" s="79">
        <f t="shared" si="5104"/>
        <v>0</v>
      </c>
      <c r="X816" s="3">
        <v>0</v>
      </c>
      <c r="Y816" s="77" t="str">
        <f t="shared" si="5091"/>
        <v/>
      </c>
      <c r="Z816" s="3"/>
      <c r="AA816" s="37" t="str">
        <f t="shared" si="5105"/>
        <v/>
      </c>
      <c r="AC816" s="40"/>
      <c r="AD816" s="7"/>
      <c r="AE816" s="77" t="str">
        <f t="shared" si="5092"/>
        <v/>
      </c>
      <c r="AF816" s="81">
        <f t="shared" si="5118"/>
        <v>0</v>
      </c>
      <c r="AG816" s="40"/>
      <c r="AH816" s="7"/>
      <c r="AI816" s="77" t="str">
        <f t="shared" si="5093"/>
        <v/>
      </c>
      <c r="AJ816" s="81">
        <f t="shared" si="5119"/>
        <v>0</v>
      </c>
      <c r="AK816" s="83">
        <f t="shared" si="5120"/>
        <v>0</v>
      </c>
      <c r="AL816" s="83">
        <f t="shared" si="5121"/>
        <v>0</v>
      </c>
      <c r="AN816" s="43">
        <f t="shared" si="5094"/>
        <v>0</v>
      </c>
      <c r="AP816" t="str">
        <f t="shared" si="5122"/>
        <v/>
      </c>
      <c r="AQ816" t="str">
        <f t="shared" si="5123"/>
        <v/>
      </c>
      <c r="AR816" t="str">
        <f t="shared" si="5124"/>
        <v/>
      </c>
      <c r="AS816" t="str">
        <f t="shared" si="5125"/>
        <v/>
      </c>
      <c r="AT816" t="str">
        <f t="shared" si="5126"/>
        <v/>
      </c>
      <c r="AU816" t="str">
        <f t="shared" si="5127"/>
        <v/>
      </c>
      <c r="AV816" t="str">
        <f t="shared" si="5128"/>
        <v/>
      </c>
      <c r="AW816" t="str">
        <f t="shared" si="5129"/>
        <v xml:space="preserve">                              </v>
      </c>
      <c r="AX816" s="23">
        <f t="shared" si="5130"/>
        <v>0</v>
      </c>
      <c r="AY816" s="49" t="str">
        <f t="shared" si="5106"/>
        <v>000000000000000</v>
      </c>
      <c r="AZ816" s="23">
        <f t="shared" si="5131"/>
        <v>0</v>
      </c>
      <c r="BA816" s="49" t="str">
        <f t="shared" si="5106"/>
        <v>000000000000000</v>
      </c>
      <c r="BB816" s="23">
        <f t="shared" si="5132"/>
        <v>0</v>
      </c>
      <c r="BC816" s="49" t="str">
        <f t="shared" ref="BC816" si="5355">IF(BB816&lt;0,SUBSTITUTE(TEXT(BB816,"000000000000,00"),",",""),SUBSTITUTE(TEXT(BB816,"0000000000000,00"),",",""))</f>
        <v>000000000000000</v>
      </c>
      <c r="BD816" s="23">
        <f t="shared" si="5134"/>
        <v>0</v>
      </c>
      <c r="BE816" s="49" t="str">
        <f t="shared" ref="BE816" si="5356">IF(BD816&lt;0,SUBSTITUTE(TEXT(BD816,"000000000000,00"),",",""),SUBSTITUTE(TEXT(BD816,"0000000000000,00"),",",""))</f>
        <v>000000000000000</v>
      </c>
      <c r="BF816" s="23">
        <f t="shared" si="5136"/>
        <v>0</v>
      </c>
      <c r="BG816" s="49" t="str">
        <f t="shared" ref="BG816" si="5357">IF(BF816&lt;0,SUBSTITUTE(TEXT(BF816,"000000000000,00"),",",""),SUBSTITUTE(TEXT(BF816,"0000000000000,00"),",",""))</f>
        <v>000000000000000</v>
      </c>
      <c r="BH816" s="23">
        <f t="shared" si="5138"/>
        <v>0</v>
      </c>
      <c r="BI816" s="49" t="str">
        <f t="shared" ref="BI816" si="5358">IF(BH816&lt;0,SUBSTITUTE(TEXT(BH816,"000000000000,00"),",",""),SUBSTITUTE(TEXT(BH816,"0000000000000,00"),",",""))</f>
        <v>000000000000000</v>
      </c>
      <c r="BJ816" s="23">
        <f t="shared" si="5140"/>
        <v>0</v>
      </c>
      <c r="BK816" s="49" t="str">
        <f t="shared" ref="BK816" si="5359">IF(BJ816&lt;0,SUBSTITUTE(TEXT(BJ816,"000000000000,00"),",",""),SUBSTITUTE(TEXT(BJ816,"0000000000000,00"),",",""))</f>
        <v>000000000000000</v>
      </c>
      <c r="BL816" s="23">
        <f t="shared" si="5142"/>
        <v>0</v>
      </c>
      <c r="BM816" s="49" t="str">
        <f t="shared" ref="BM816" si="5360">IF(BL816&lt;0,SUBSTITUTE(TEXT(BL816,"000000000000,00"),",",""),SUBSTITUTE(TEXT(BL816,"0000000000000,00"),",",""))</f>
        <v>000000000000000</v>
      </c>
      <c r="BN816" t="str">
        <f t="shared" si="5144"/>
        <v>PES</v>
      </c>
      <c r="BO816" t="str">
        <f t="shared" si="5145"/>
        <v>0001000000</v>
      </c>
      <c r="BP816">
        <f t="shared" si="5146"/>
        <v>0</v>
      </c>
      <c r="BQ816">
        <f t="shared" si="5147"/>
        <v>0</v>
      </c>
      <c r="BR816" s="23">
        <f t="shared" si="5148"/>
        <v>0</v>
      </c>
      <c r="BS816" s="49" t="str">
        <f t="shared" si="5113"/>
        <v>000000000000000</v>
      </c>
      <c r="BT816" t="str">
        <f t="shared" si="5149"/>
        <v>00000000</v>
      </c>
      <c r="BU816" s="23">
        <f t="shared" si="5150"/>
        <v>0</v>
      </c>
      <c r="BV816" s="49" t="str">
        <f t="shared" si="5114"/>
        <v/>
      </c>
      <c r="BW816" s="52" t="str">
        <f t="shared" si="5151"/>
        <v/>
      </c>
      <c r="BX816" s="23">
        <f t="shared" si="5152"/>
        <v>0</v>
      </c>
      <c r="BY816" s="49" t="str">
        <f t="shared" si="5115"/>
        <v/>
      </c>
      <c r="BZ816" s="23">
        <f t="shared" si="5153"/>
        <v>0</v>
      </c>
      <c r="CA816" s="49" t="str">
        <f t="shared" si="5116"/>
        <v/>
      </c>
      <c r="CB816" s="52" t="str">
        <f t="shared" si="5154"/>
        <v/>
      </c>
      <c r="CC816" s="23">
        <f t="shared" si="5155"/>
        <v>0</v>
      </c>
      <c r="CD816" s="49" t="str">
        <f t="shared" si="5117"/>
        <v/>
      </c>
      <c r="CE816" s="56" t="str">
        <f>IF(CF816="","",MAX(CE$10:$CE815)+1)</f>
        <v/>
      </c>
      <c r="CF816" t="str">
        <f t="shared" si="5156"/>
        <v/>
      </c>
      <c r="CG816" s="22" t="str">
        <f>IF(CH816="","",MAX($CG$10:CG815)+1)</f>
        <v/>
      </c>
      <c r="CH816" s="22" t="str">
        <f t="shared" si="5101"/>
        <v/>
      </c>
      <c r="CI816" s="22" t="str">
        <f>IF(CJ816="","",MAX($CI$10:CI815)+1)</f>
        <v/>
      </c>
      <c r="CJ816" s="22" t="str">
        <f t="shared" si="5102"/>
        <v/>
      </c>
    </row>
    <row r="817" spans="2:88" x14ac:dyDescent="0.25">
      <c r="B817" s="37"/>
      <c r="C817" s="3"/>
      <c r="D817" s="77" t="str">
        <f t="shared" si="5088"/>
        <v/>
      </c>
      <c r="E817" s="38"/>
      <c r="F817" s="38"/>
      <c r="G817" s="78">
        <f t="shared" si="5103"/>
        <v>0</v>
      </c>
      <c r="H817" s="3">
        <v>80</v>
      </c>
      <c r="I817" s="77" t="str">
        <f t="shared" si="5089"/>
        <v/>
      </c>
      <c r="J817" s="32"/>
      <c r="K817" s="3"/>
      <c r="L817" s="39"/>
      <c r="M817" s="39"/>
      <c r="N817" s="39"/>
      <c r="O817" s="39"/>
      <c r="P817" s="39"/>
      <c r="Q817" s="39"/>
      <c r="R817" s="39"/>
      <c r="S817" s="39"/>
      <c r="T817" s="3" t="s">
        <v>645</v>
      </c>
      <c r="U817" s="77" t="str">
        <f t="shared" si="5090"/>
        <v/>
      </c>
      <c r="V817" s="39">
        <v>1</v>
      </c>
      <c r="W817" s="79">
        <f t="shared" si="5104"/>
        <v>0</v>
      </c>
      <c r="X817" s="3">
        <v>0</v>
      </c>
      <c r="Y817" s="77" t="str">
        <f t="shared" si="5091"/>
        <v/>
      </c>
      <c r="Z817" s="3"/>
      <c r="AA817" s="37" t="str">
        <f t="shared" si="5105"/>
        <v/>
      </c>
      <c r="AC817" s="40"/>
      <c r="AD817" s="7"/>
      <c r="AE817" s="77" t="str">
        <f t="shared" si="5092"/>
        <v/>
      </c>
      <c r="AF817" s="81">
        <f t="shared" si="5118"/>
        <v>0</v>
      </c>
      <c r="AG817" s="40"/>
      <c r="AH817" s="7"/>
      <c r="AI817" s="77" t="str">
        <f t="shared" si="5093"/>
        <v/>
      </c>
      <c r="AJ817" s="81">
        <f t="shared" si="5119"/>
        <v>0</v>
      </c>
      <c r="AK817" s="83">
        <f t="shared" si="5120"/>
        <v>0</v>
      </c>
      <c r="AL817" s="83">
        <f t="shared" si="5121"/>
        <v>0</v>
      </c>
      <c r="AN817" s="43">
        <f t="shared" si="5094"/>
        <v>0</v>
      </c>
      <c r="AP817" t="str">
        <f t="shared" si="5122"/>
        <v/>
      </c>
      <c r="AQ817" t="str">
        <f t="shared" si="5123"/>
        <v/>
      </c>
      <c r="AR817" t="str">
        <f t="shared" si="5124"/>
        <v/>
      </c>
      <c r="AS817" t="str">
        <f t="shared" si="5125"/>
        <v/>
      </c>
      <c r="AT817" t="str">
        <f t="shared" si="5126"/>
        <v/>
      </c>
      <c r="AU817" t="str">
        <f t="shared" si="5127"/>
        <v/>
      </c>
      <c r="AV817" t="str">
        <f t="shared" si="5128"/>
        <v/>
      </c>
      <c r="AW817" t="str">
        <f t="shared" si="5129"/>
        <v xml:space="preserve">                              </v>
      </c>
      <c r="AX817" s="23">
        <f t="shared" si="5130"/>
        <v>0</v>
      </c>
      <c r="AY817" s="49" t="str">
        <f t="shared" si="5106"/>
        <v>000000000000000</v>
      </c>
      <c r="AZ817" s="23">
        <f t="shared" si="5131"/>
        <v>0</v>
      </c>
      <c r="BA817" s="49" t="str">
        <f t="shared" si="5106"/>
        <v>000000000000000</v>
      </c>
      <c r="BB817" s="23">
        <f t="shared" si="5132"/>
        <v>0</v>
      </c>
      <c r="BC817" s="49" t="str">
        <f t="shared" ref="BC817" si="5361">IF(BB817&lt;0,SUBSTITUTE(TEXT(BB817,"000000000000,00"),",",""),SUBSTITUTE(TEXT(BB817,"0000000000000,00"),",",""))</f>
        <v>000000000000000</v>
      </c>
      <c r="BD817" s="23">
        <f t="shared" si="5134"/>
        <v>0</v>
      </c>
      <c r="BE817" s="49" t="str">
        <f t="shared" ref="BE817" si="5362">IF(BD817&lt;0,SUBSTITUTE(TEXT(BD817,"000000000000,00"),",",""),SUBSTITUTE(TEXT(BD817,"0000000000000,00"),",",""))</f>
        <v>000000000000000</v>
      </c>
      <c r="BF817" s="23">
        <f t="shared" si="5136"/>
        <v>0</v>
      </c>
      <c r="BG817" s="49" t="str">
        <f t="shared" ref="BG817" si="5363">IF(BF817&lt;0,SUBSTITUTE(TEXT(BF817,"000000000000,00"),",",""),SUBSTITUTE(TEXT(BF817,"0000000000000,00"),",",""))</f>
        <v>000000000000000</v>
      </c>
      <c r="BH817" s="23">
        <f t="shared" si="5138"/>
        <v>0</v>
      </c>
      <c r="BI817" s="49" t="str">
        <f t="shared" ref="BI817" si="5364">IF(BH817&lt;0,SUBSTITUTE(TEXT(BH817,"000000000000,00"),",",""),SUBSTITUTE(TEXT(BH817,"0000000000000,00"),",",""))</f>
        <v>000000000000000</v>
      </c>
      <c r="BJ817" s="23">
        <f t="shared" si="5140"/>
        <v>0</v>
      </c>
      <c r="BK817" s="49" t="str">
        <f t="shared" ref="BK817" si="5365">IF(BJ817&lt;0,SUBSTITUTE(TEXT(BJ817,"000000000000,00"),",",""),SUBSTITUTE(TEXT(BJ817,"0000000000000,00"),",",""))</f>
        <v>000000000000000</v>
      </c>
      <c r="BL817" s="23">
        <f t="shared" si="5142"/>
        <v>0</v>
      </c>
      <c r="BM817" s="49" t="str">
        <f t="shared" ref="BM817" si="5366">IF(BL817&lt;0,SUBSTITUTE(TEXT(BL817,"000000000000,00"),",",""),SUBSTITUTE(TEXT(BL817,"0000000000000,00"),",",""))</f>
        <v>000000000000000</v>
      </c>
      <c r="BN817" t="str">
        <f t="shared" si="5144"/>
        <v>PES</v>
      </c>
      <c r="BO817" t="str">
        <f t="shared" si="5145"/>
        <v>0001000000</v>
      </c>
      <c r="BP817">
        <f t="shared" si="5146"/>
        <v>0</v>
      </c>
      <c r="BQ817">
        <f t="shared" si="5147"/>
        <v>0</v>
      </c>
      <c r="BR817" s="23">
        <f t="shared" si="5148"/>
        <v>0</v>
      </c>
      <c r="BS817" s="49" t="str">
        <f t="shared" si="5113"/>
        <v>000000000000000</v>
      </c>
      <c r="BT817" t="str">
        <f t="shared" si="5149"/>
        <v>00000000</v>
      </c>
      <c r="BU817" s="23">
        <f t="shared" si="5150"/>
        <v>0</v>
      </c>
      <c r="BV817" s="49" t="str">
        <f t="shared" si="5114"/>
        <v/>
      </c>
      <c r="BW817" s="52" t="str">
        <f t="shared" si="5151"/>
        <v/>
      </c>
      <c r="BX817" s="23">
        <f t="shared" si="5152"/>
        <v>0</v>
      </c>
      <c r="BY817" s="49" t="str">
        <f t="shared" si="5115"/>
        <v/>
      </c>
      <c r="BZ817" s="23">
        <f t="shared" si="5153"/>
        <v>0</v>
      </c>
      <c r="CA817" s="49" t="str">
        <f t="shared" si="5116"/>
        <v/>
      </c>
      <c r="CB817" s="52" t="str">
        <f t="shared" si="5154"/>
        <v/>
      </c>
      <c r="CC817" s="23">
        <f t="shared" si="5155"/>
        <v>0</v>
      </c>
      <c r="CD817" s="49" t="str">
        <f t="shared" si="5117"/>
        <v/>
      </c>
      <c r="CE817" s="56" t="str">
        <f>IF(CF817="","",MAX(CE$10:$CE816)+1)</f>
        <v/>
      </c>
      <c r="CF817" t="str">
        <f t="shared" si="5156"/>
        <v/>
      </c>
      <c r="CG817" s="22" t="str">
        <f>IF(CH817="","",MAX($CG$10:CG816)+1)</f>
        <v/>
      </c>
      <c r="CH817" s="22" t="str">
        <f t="shared" si="5101"/>
        <v/>
      </c>
      <c r="CI817" s="22" t="str">
        <f>IF(CJ817="","",MAX($CI$10:CI816)+1)</f>
        <v/>
      </c>
      <c r="CJ817" s="22" t="str">
        <f t="shared" si="5102"/>
        <v/>
      </c>
    </row>
    <row r="818" spans="2:88" x14ac:dyDescent="0.25">
      <c r="B818" s="37"/>
      <c r="C818" s="3"/>
      <c r="D818" s="77" t="str">
        <f t="shared" si="5088"/>
        <v/>
      </c>
      <c r="E818" s="38"/>
      <c r="F818" s="38"/>
      <c r="G818" s="78">
        <f t="shared" si="5103"/>
        <v>0</v>
      </c>
      <c r="H818" s="3">
        <v>80</v>
      </c>
      <c r="I818" s="77" t="str">
        <f t="shared" si="5089"/>
        <v/>
      </c>
      <c r="J818" s="32"/>
      <c r="K818" s="3"/>
      <c r="L818" s="39"/>
      <c r="M818" s="39"/>
      <c r="N818" s="39"/>
      <c r="O818" s="39"/>
      <c r="P818" s="39"/>
      <c r="Q818" s="39"/>
      <c r="R818" s="39"/>
      <c r="S818" s="39"/>
      <c r="T818" s="3" t="s">
        <v>645</v>
      </c>
      <c r="U818" s="77" t="str">
        <f t="shared" si="5090"/>
        <v/>
      </c>
      <c r="V818" s="39">
        <v>1</v>
      </c>
      <c r="W818" s="79">
        <f t="shared" si="5104"/>
        <v>0</v>
      </c>
      <c r="X818" s="3">
        <v>0</v>
      </c>
      <c r="Y818" s="77" t="str">
        <f t="shared" si="5091"/>
        <v/>
      </c>
      <c r="Z818" s="3"/>
      <c r="AA818" s="37" t="str">
        <f t="shared" si="5105"/>
        <v/>
      </c>
      <c r="AC818" s="40"/>
      <c r="AD818" s="7"/>
      <c r="AE818" s="77" t="str">
        <f t="shared" si="5092"/>
        <v/>
      </c>
      <c r="AF818" s="81">
        <f t="shared" si="5118"/>
        <v>0</v>
      </c>
      <c r="AG818" s="40"/>
      <c r="AH818" s="7"/>
      <c r="AI818" s="77" t="str">
        <f t="shared" si="5093"/>
        <v/>
      </c>
      <c r="AJ818" s="81">
        <f t="shared" si="5119"/>
        <v>0</v>
      </c>
      <c r="AK818" s="83">
        <f t="shared" si="5120"/>
        <v>0</v>
      </c>
      <c r="AL818" s="83">
        <f t="shared" si="5121"/>
        <v>0</v>
      </c>
      <c r="AN818" s="43">
        <f t="shared" si="5094"/>
        <v>0</v>
      </c>
      <c r="AP818" t="str">
        <f t="shared" si="5122"/>
        <v/>
      </c>
      <c r="AQ818" t="str">
        <f t="shared" si="5123"/>
        <v/>
      </c>
      <c r="AR818" t="str">
        <f t="shared" si="5124"/>
        <v/>
      </c>
      <c r="AS818" t="str">
        <f t="shared" si="5125"/>
        <v/>
      </c>
      <c r="AT818" t="str">
        <f t="shared" si="5126"/>
        <v/>
      </c>
      <c r="AU818" t="str">
        <f t="shared" si="5127"/>
        <v/>
      </c>
      <c r="AV818" t="str">
        <f t="shared" si="5128"/>
        <v/>
      </c>
      <c r="AW818" t="str">
        <f t="shared" si="5129"/>
        <v xml:space="preserve">                              </v>
      </c>
      <c r="AX818" s="23">
        <f t="shared" si="5130"/>
        <v>0</v>
      </c>
      <c r="AY818" s="49" t="str">
        <f t="shared" si="5106"/>
        <v>000000000000000</v>
      </c>
      <c r="AZ818" s="23">
        <f t="shared" si="5131"/>
        <v>0</v>
      </c>
      <c r="BA818" s="49" t="str">
        <f t="shared" si="5106"/>
        <v>000000000000000</v>
      </c>
      <c r="BB818" s="23">
        <f t="shared" si="5132"/>
        <v>0</v>
      </c>
      <c r="BC818" s="49" t="str">
        <f t="shared" ref="BC818" si="5367">IF(BB818&lt;0,SUBSTITUTE(TEXT(BB818,"000000000000,00"),",",""),SUBSTITUTE(TEXT(BB818,"0000000000000,00"),",",""))</f>
        <v>000000000000000</v>
      </c>
      <c r="BD818" s="23">
        <f t="shared" si="5134"/>
        <v>0</v>
      </c>
      <c r="BE818" s="49" t="str">
        <f t="shared" ref="BE818" si="5368">IF(BD818&lt;0,SUBSTITUTE(TEXT(BD818,"000000000000,00"),",",""),SUBSTITUTE(TEXT(BD818,"0000000000000,00"),",",""))</f>
        <v>000000000000000</v>
      </c>
      <c r="BF818" s="23">
        <f t="shared" si="5136"/>
        <v>0</v>
      </c>
      <c r="BG818" s="49" t="str">
        <f t="shared" ref="BG818" si="5369">IF(BF818&lt;0,SUBSTITUTE(TEXT(BF818,"000000000000,00"),",",""),SUBSTITUTE(TEXT(BF818,"0000000000000,00"),",",""))</f>
        <v>000000000000000</v>
      </c>
      <c r="BH818" s="23">
        <f t="shared" si="5138"/>
        <v>0</v>
      </c>
      <c r="BI818" s="49" t="str">
        <f t="shared" ref="BI818" si="5370">IF(BH818&lt;0,SUBSTITUTE(TEXT(BH818,"000000000000,00"),",",""),SUBSTITUTE(TEXT(BH818,"0000000000000,00"),",",""))</f>
        <v>000000000000000</v>
      </c>
      <c r="BJ818" s="23">
        <f t="shared" si="5140"/>
        <v>0</v>
      </c>
      <c r="BK818" s="49" t="str">
        <f t="shared" ref="BK818" si="5371">IF(BJ818&lt;0,SUBSTITUTE(TEXT(BJ818,"000000000000,00"),",",""),SUBSTITUTE(TEXT(BJ818,"0000000000000,00"),",",""))</f>
        <v>000000000000000</v>
      </c>
      <c r="BL818" s="23">
        <f t="shared" si="5142"/>
        <v>0</v>
      </c>
      <c r="BM818" s="49" t="str">
        <f t="shared" ref="BM818" si="5372">IF(BL818&lt;0,SUBSTITUTE(TEXT(BL818,"000000000000,00"),",",""),SUBSTITUTE(TEXT(BL818,"0000000000000,00"),",",""))</f>
        <v>000000000000000</v>
      </c>
      <c r="BN818" t="str">
        <f t="shared" si="5144"/>
        <v>PES</v>
      </c>
      <c r="BO818" t="str">
        <f t="shared" si="5145"/>
        <v>0001000000</v>
      </c>
      <c r="BP818">
        <f t="shared" si="5146"/>
        <v>0</v>
      </c>
      <c r="BQ818">
        <f t="shared" si="5147"/>
        <v>0</v>
      </c>
      <c r="BR818" s="23">
        <f t="shared" si="5148"/>
        <v>0</v>
      </c>
      <c r="BS818" s="49" t="str">
        <f t="shared" si="5113"/>
        <v>000000000000000</v>
      </c>
      <c r="BT818" t="str">
        <f t="shared" si="5149"/>
        <v>00000000</v>
      </c>
      <c r="BU818" s="23">
        <f t="shared" si="5150"/>
        <v>0</v>
      </c>
      <c r="BV818" s="49" t="str">
        <f t="shared" si="5114"/>
        <v/>
      </c>
      <c r="BW818" s="52" t="str">
        <f t="shared" si="5151"/>
        <v/>
      </c>
      <c r="BX818" s="23">
        <f t="shared" si="5152"/>
        <v>0</v>
      </c>
      <c r="BY818" s="49" t="str">
        <f t="shared" si="5115"/>
        <v/>
      </c>
      <c r="BZ818" s="23">
        <f t="shared" si="5153"/>
        <v>0</v>
      </c>
      <c r="CA818" s="49" t="str">
        <f t="shared" si="5116"/>
        <v/>
      </c>
      <c r="CB818" s="52" t="str">
        <f t="shared" si="5154"/>
        <v/>
      </c>
      <c r="CC818" s="23">
        <f t="shared" si="5155"/>
        <v>0</v>
      </c>
      <c r="CD818" s="49" t="str">
        <f t="shared" si="5117"/>
        <v/>
      </c>
      <c r="CE818" s="56" t="str">
        <f>IF(CF818="","",MAX(CE$10:$CE817)+1)</f>
        <v/>
      </c>
      <c r="CF818" t="str">
        <f t="shared" si="5156"/>
        <v/>
      </c>
      <c r="CG818" s="22" t="str">
        <f>IF(CH818="","",MAX($CG$10:CG817)+1)</f>
        <v/>
      </c>
      <c r="CH818" s="22" t="str">
        <f t="shared" si="5101"/>
        <v/>
      </c>
      <c r="CI818" s="22" t="str">
        <f>IF(CJ818="","",MAX($CI$10:CI817)+1)</f>
        <v/>
      </c>
      <c r="CJ818" s="22" t="str">
        <f t="shared" si="5102"/>
        <v/>
      </c>
    </row>
    <row r="819" spans="2:88" x14ac:dyDescent="0.25">
      <c r="B819" s="37"/>
      <c r="C819" s="3"/>
      <c r="D819" s="77" t="str">
        <f t="shared" si="5088"/>
        <v/>
      </c>
      <c r="E819" s="38"/>
      <c r="F819" s="38"/>
      <c r="G819" s="78">
        <f t="shared" si="5103"/>
        <v>0</v>
      </c>
      <c r="H819" s="3">
        <v>80</v>
      </c>
      <c r="I819" s="77" t="str">
        <f t="shared" si="5089"/>
        <v/>
      </c>
      <c r="J819" s="32"/>
      <c r="K819" s="3"/>
      <c r="L819" s="39"/>
      <c r="M819" s="39"/>
      <c r="N819" s="39"/>
      <c r="O819" s="39"/>
      <c r="P819" s="39"/>
      <c r="Q819" s="39"/>
      <c r="R819" s="39"/>
      <c r="S819" s="39"/>
      <c r="T819" s="3" t="s">
        <v>645</v>
      </c>
      <c r="U819" s="77" t="str">
        <f t="shared" si="5090"/>
        <v/>
      </c>
      <c r="V819" s="39">
        <v>1</v>
      </c>
      <c r="W819" s="79">
        <f t="shared" si="5104"/>
        <v>0</v>
      </c>
      <c r="X819" s="3">
        <v>0</v>
      </c>
      <c r="Y819" s="77" t="str">
        <f t="shared" si="5091"/>
        <v/>
      </c>
      <c r="Z819" s="3"/>
      <c r="AA819" s="37" t="str">
        <f t="shared" si="5105"/>
        <v/>
      </c>
      <c r="AC819" s="40"/>
      <c r="AD819" s="7"/>
      <c r="AE819" s="77" t="str">
        <f t="shared" si="5092"/>
        <v/>
      </c>
      <c r="AF819" s="81">
        <f t="shared" si="5118"/>
        <v>0</v>
      </c>
      <c r="AG819" s="40"/>
      <c r="AH819" s="7"/>
      <c r="AI819" s="77" t="str">
        <f t="shared" si="5093"/>
        <v/>
      </c>
      <c r="AJ819" s="81">
        <f t="shared" si="5119"/>
        <v>0</v>
      </c>
      <c r="AK819" s="83">
        <f t="shared" si="5120"/>
        <v>0</v>
      </c>
      <c r="AL819" s="83">
        <f t="shared" si="5121"/>
        <v>0</v>
      </c>
      <c r="AN819" s="43">
        <f t="shared" si="5094"/>
        <v>0</v>
      </c>
      <c r="AP819" t="str">
        <f t="shared" si="5122"/>
        <v/>
      </c>
      <c r="AQ819" t="str">
        <f t="shared" si="5123"/>
        <v/>
      </c>
      <c r="AR819" t="str">
        <f t="shared" si="5124"/>
        <v/>
      </c>
      <c r="AS819" t="str">
        <f t="shared" si="5125"/>
        <v/>
      </c>
      <c r="AT819" t="str">
        <f t="shared" si="5126"/>
        <v/>
      </c>
      <c r="AU819" t="str">
        <f t="shared" si="5127"/>
        <v/>
      </c>
      <c r="AV819" t="str">
        <f t="shared" si="5128"/>
        <v/>
      </c>
      <c r="AW819" t="str">
        <f t="shared" si="5129"/>
        <v xml:space="preserve">                              </v>
      </c>
      <c r="AX819" s="23">
        <f t="shared" si="5130"/>
        <v>0</v>
      </c>
      <c r="AY819" s="49" t="str">
        <f t="shared" si="5106"/>
        <v>000000000000000</v>
      </c>
      <c r="AZ819" s="23">
        <f t="shared" si="5131"/>
        <v>0</v>
      </c>
      <c r="BA819" s="49" t="str">
        <f t="shared" si="5106"/>
        <v>000000000000000</v>
      </c>
      <c r="BB819" s="23">
        <f t="shared" si="5132"/>
        <v>0</v>
      </c>
      <c r="BC819" s="49" t="str">
        <f t="shared" ref="BC819" si="5373">IF(BB819&lt;0,SUBSTITUTE(TEXT(BB819,"000000000000,00"),",",""),SUBSTITUTE(TEXT(BB819,"0000000000000,00"),",",""))</f>
        <v>000000000000000</v>
      </c>
      <c r="BD819" s="23">
        <f t="shared" si="5134"/>
        <v>0</v>
      </c>
      <c r="BE819" s="49" t="str">
        <f t="shared" ref="BE819" si="5374">IF(BD819&lt;0,SUBSTITUTE(TEXT(BD819,"000000000000,00"),",",""),SUBSTITUTE(TEXT(BD819,"0000000000000,00"),",",""))</f>
        <v>000000000000000</v>
      </c>
      <c r="BF819" s="23">
        <f t="shared" si="5136"/>
        <v>0</v>
      </c>
      <c r="BG819" s="49" t="str">
        <f t="shared" ref="BG819" si="5375">IF(BF819&lt;0,SUBSTITUTE(TEXT(BF819,"000000000000,00"),",",""),SUBSTITUTE(TEXT(BF819,"0000000000000,00"),",",""))</f>
        <v>000000000000000</v>
      </c>
      <c r="BH819" s="23">
        <f t="shared" si="5138"/>
        <v>0</v>
      </c>
      <c r="BI819" s="49" t="str">
        <f t="shared" ref="BI819" si="5376">IF(BH819&lt;0,SUBSTITUTE(TEXT(BH819,"000000000000,00"),",",""),SUBSTITUTE(TEXT(BH819,"0000000000000,00"),",",""))</f>
        <v>000000000000000</v>
      </c>
      <c r="BJ819" s="23">
        <f t="shared" si="5140"/>
        <v>0</v>
      </c>
      <c r="BK819" s="49" t="str">
        <f t="shared" ref="BK819" si="5377">IF(BJ819&lt;0,SUBSTITUTE(TEXT(BJ819,"000000000000,00"),",",""),SUBSTITUTE(TEXT(BJ819,"0000000000000,00"),",",""))</f>
        <v>000000000000000</v>
      </c>
      <c r="BL819" s="23">
        <f t="shared" si="5142"/>
        <v>0</v>
      </c>
      <c r="BM819" s="49" t="str">
        <f t="shared" ref="BM819" si="5378">IF(BL819&lt;0,SUBSTITUTE(TEXT(BL819,"000000000000,00"),",",""),SUBSTITUTE(TEXT(BL819,"0000000000000,00"),",",""))</f>
        <v>000000000000000</v>
      </c>
      <c r="BN819" t="str">
        <f t="shared" si="5144"/>
        <v>PES</v>
      </c>
      <c r="BO819" t="str">
        <f t="shared" si="5145"/>
        <v>0001000000</v>
      </c>
      <c r="BP819">
        <f t="shared" si="5146"/>
        <v>0</v>
      </c>
      <c r="BQ819">
        <f t="shared" si="5147"/>
        <v>0</v>
      </c>
      <c r="BR819" s="23">
        <f t="shared" si="5148"/>
        <v>0</v>
      </c>
      <c r="BS819" s="49" t="str">
        <f t="shared" si="5113"/>
        <v>000000000000000</v>
      </c>
      <c r="BT819" t="str">
        <f t="shared" si="5149"/>
        <v>00000000</v>
      </c>
      <c r="BU819" s="23">
        <f t="shared" si="5150"/>
        <v>0</v>
      </c>
      <c r="BV819" s="49" t="str">
        <f t="shared" si="5114"/>
        <v/>
      </c>
      <c r="BW819" s="52" t="str">
        <f t="shared" si="5151"/>
        <v/>
      </c>
      <c r="BX819" s="23">
        <f t="shared" si="5152"/>
        <v>0</v>
      </c>
      <c r="BY819" s="49" t="str">
        <f t="shared" si="5115"/>
        <v/>
      </c>
      <c r="BZ819" s="23">
        <f t="shared" si="5153"/>
        <v>0</v>
      </c>
      <c r="CA819" s="49" t="str">
        <f t="shared" si="5116"/>
        <v/>
      </c>
      <c r="CB819" s="52" t="str">
        <f t="shared" si="5154"/>
        <v/>
      </c>
      <c r="CC819" s="23">
        <f t="shared" si="5155"/>
        <v>0</v>
      </c>
      <c r="CD819" s="49" t="str">
        <f t="shared" si="5117"/>
        <v/>
      </c>
      <c r="CE819" s="56" t="str">
        <f>IF(CF819="","",MAX(CE$10:$CE818)+1)</f>
        <v/>
      </c>
      <c r="CF819" t="str">
        <f t="shared" si="5156"/>
        <v/>
      </c>
      <c r="CG819" s="22" t="str">
        <f>IF(CH819="","",MAX($CG$10:CG818)+1)</f>
        <v/>
      </c>
      <c r="CH819" s="22" t="str">
        <f t="shared" si="5101"/>
        <v/>
      </c>
      <c r="CI819" s="22" t="str">
        <f>IF(CJ819="","",MAX($CI$10:CI818)+1)</f>
        <v/>
      </c>
      <c r="CJ819" s="22" t="str">
        <f t="shared" si="5102"/>
        <v/>
      </c>
    </row>
    <row r="820" spans="2:88" x14ac:dyDescent="0.25">
      <c r="B820" s="37"/>
      <c r="C820" s="3"/>
      <c r="D820" s="77" t="str">
        <f t="shared" si="5088"/>
        <v/>
      </c>
      <c r="E820" s="38"/>
      <c r="F820" s="38"/>
      <c r="G820" s="78">
        <f t="shared" si="5103"/>
        <v>0</v>
      </c>
      <c r="H820" s="3">
        <v>80</v>
      </c>
      <c r="I820" s="77" t="str">
        <f t="shared" si="5089"/>
        <v/>
      </c>
      <c r="J820" s="32"/>
      <c r="K820" s="3"/>
      <c r="L820" s="39"/>
      <c r="M820" s="39"/>
      <c r="N820" s="39"/>
      <c r="O820" s="39"/>
      <c r="P820" s="39"/>
      <c r="Q820" s="39"/>
      <c r="R820" s="39"/>
      <c r="S820" s="39"/>
      <c r="T820" s="3" t="s">
        <v>645</v>
      </c>
      <c r="U820" s="77" t="str">
        <f t="shared" si="5090"/>
        <v/>
      </c>
      <c r="V820" s="39">
        <v>1</v>
      </c>
      <c r="W820" s="79">
        <f t="shared" si="5104"/>
        <v>0</v>
      </c>
      <c r="X820" s="3">
        <v>0</v>
      </c>
      <c r="Y820" s="77" t="str">
        <f t="shared" si="5091"/>
        <v/>
      </c>
      <c r="Z820" s="3"/>
      <c r="AA820" s="37" t="str">
        <f t="shared" si="5105"/>
        <v/>
      </c>
      <c r="AC820" s="40"/>
      <c r="AD820" s="7"/>
      <c r="AE820" s="77" t="str">
        <f t="shared" si="5092"/>
        <v/>
      </c>
      <c r="AF820" s="81">
        <f t="shared" si="5118"/>
        <v>0</v>
      </c>
      <c r="AG820" s="40"/>
      <c r="AH820" s="7"/>
      <c r="AI820" s="77" t="str">
        <f t="shared" si="5093"/>
        <v/>
      </c>
      <c r="AJ820" s="81">
        <f t="shared" si="5119"/>
        <v>0</v>
      </c>
      <c r="AK820" s="83">
        <f t="shared" si="5120"/>
        <v>0</v>
      </c>
      <c r="AL820" s="83">
        <f t="shared" si="5121"/>
        <v>0</v>
      </c>
      <c r="AN820" s="43">
        <f t="shared" si="5094"/>
        <v>0</v>
      </c>
      <c r="AP820" t="str">
        <f t="shared" si="5122"/>
        <v/>
      </c>
      <c r="AQ820" t="str">
        <f t="shared" si="5123"/>
        <v/>
      </c>
      <c r="AR820" t="str">
        <f t="shared" si="5124"/>
        <v/>
      </c>
      <c r="AS820" t="str">
        <f t="shared" si="5125"/>
        <v/>
      </c>
      <c r="AT820" t="str">
        <f t="shared" si="5126"/>
        <v/>
      </c>
      <c r="AU820" t="str">
        <f t="shared" si="5127"/>
        <v/>
      </c>
      <c r="AV820" t="str">
        <f t="shared" si="5128"/>
        <v/>
      </c>
      <c r="AW820" t="str">
        <f t="shared" si="5129"/>
        <v xml:space="preserve">                              </v>
      </c>
      <c r="AX820" s="23">
        <f t="shared" si="5130"/>
        <v>0</v>
      </c>
      <c r="AY820" s="49" t="str">
        <f t="shared" si="5106"/>
        <v>000000000000000</v>
      </c>
      <c r="AZ820" s="23">
        <f t="shared" si="5131"/>
        <v>0</v>
      </c>
      <c r="BA820" s="49" t="str">
        <f t="shared" si="5106"/>
        <v>000000000000000</v>
      </c>
      <c r="BB820" s="23">
        <f t="shared" si="5132"/>
        <v>0</v>
      </c>
      <c r="BC820" s="49" t="str">
        <f t="shared" ref="BC820" si="5379">IF(BB820&lt;0,SUBSTITUTE(TEXT(BB820,"000000000000,00"),",",""),SUBSTITUTE(TEXT(BB820,"0000000000000,00"),",",""))</f>
        <v>000000000000000</v>
      </c>
      <c r="BD820" s="23">
        <f t="shared" si="5134"/>
        <v>0</v>
      </c>
      <c r="BE820" s="49" t="str">
        <f t="shared" ref="BE820" si="5380">IF(BD820&lt;0,SUBSTITUTE(TEXT(BD820,"000000000000,00"),",",""),SUBSTITUTE(TEXT(BD820,"0000000000000,00"),",",""))</f>
        <v>000000000000000</v>
      </c>
      <c r="BF820" s="23">
        <f t="shared" si="5136"/>
        <v>0</v>
      </c>
      <c r="BG820" s="49" t="str">
        <f t="shared" ref="BG820" si="5381">IF(BF820&lt;0,SUBSTITUTE(TEXT(BF820,"000000000000,00"),",",""),SUBSTITUTE(TEXT(BF820,"0000000000000,00"),",",""))</f>
        <v>000000000000000</v>
      </c>
      <c r="BH820" s="23">
        <f t="shared" si="5138"/>
        <v>0</v>
      </c>
      <c r="BI820" s="49" t="str">
        <f t="shared" ref="BI820" si="5382">IF(BH820&lt;0,SUBSTITUTE(TEXT(BH820,"000000000000,00"),",",""),SUBSTITUTE(TEXT(BH820,"0000000000000,00"),",",""))</f>
        <v>000000000000000</v>
      </c>
      <c r="BJ820" s="23">
        <f t="shared" si="5140"/>
        <v>0</v>
      </c>
      <c r="BK820" s="49" t="str">
        <f t="shared" ref="BK820" si="5383">IF(BJ820&lt;0,SUBSTITUTE(TEXT(BJ820,"000000000000,00"),",",""),SUBSTITUTE(TEXT(BJ820,"0000000000000,00"),",",""))</f>
        <v>000000000000000</v>
      </c>
      <c r="BL820" s="23">
        <f t="shared" si="5142"/>
        <v>0</v>
      </c>
      <c r="BM820" s="49" t="str">
        <f t="shared" ref="BM820" si="5384">IF(BL820&lt;0,SUBSTITUTE(TEXT(BL820,"000000000000,00"),",",""),SUBSTITUTE(TEXT(BL820,"0000000000000,00"),",",""))</f>
        <v>000000000000000</v>
      </c>
      <c r="BN820" t="str">
        <f t="shared" si="5144"/>
        <v>PES</v>
      </c>
      <c r="BO820" t="str">
        <f t="shared" si="5145"/>
        <v>0001000000</v>
      </c>
      <c r="BP820">
        <f t="shared" si="5146"/>
        <v>0</v>
      </c>
      <c r="BQ820">
        <f t="shared" si="5147"/>
        <v>0</v>
      </c>
      <c r="BR820" s="23">
        <f t="shared" si="5148"/>
        <v>0</v>
      </c>
      <c r="BS820" s="49" t="str">
        <f t="shared" si="5113"/>
        <v>000000000000000</v>
      </c>
      <c r="BT820" t="str">
        <f t="shared" si="5149"/>
        <v>00000000</v>
      </c>
      <c r="BU820" s="23">
        <f t="shared" si="5150"/>
        <v>0</v>
      </c>
      <c r="BV820" s="49" t="str">
        <f t="shared" si="5114"/>
        <v/>
      </c>
      <c r="BW820" s="52" t="str">
        <f t="shared" si="5151"/>
        <v/>
      </c>
      <c r="BX820" s="23">
        <f t="shared" si="5152"/>
        <v>0</v>
      </c>
      <c r="BY820" s="49" t="str">
        <f t="shared" si="5115"/>
        <v/>
      </c>
      <c r="BZ820" s="23">
        <f t="shared" si="5153"/>
        <v>0</v>
      </c>
      <c r="CA820" s="49" t="str">
        <f t="shared" si="5116"/>
        <v/>
      </c>
      <c r="CB820" s="52" t="str">
        <f t="shared" si="5154"/>
        <v/>
      </c>
      <c r="CC820" s="23">
        <f t="shared" si="5155"/>
        <v>0</v>
      </c>
      <c r="CD820" s="49" t="str">
        <f t="shared" si="5117"/>
        <v/>
      </c>
      <c r="CE820" s="56" t="str">
        <f>IF(CF820="","",MAX(CE$10:$CE819)+1)</f>
        <v/>
      </c>
      <c r="CF820" t="str">
        <f t="shared" si="5156"/>
        <v/>
      </c>
      <c r="CG820" s="22" t="str">
        <f>IF(CH820="","",MAX($CG$10:CG819)+1)</f>
        <v/>
      </c>
      <c r="CH820" s="22" t="str">
        <f t="shared" si="5101"/>
        <v/>
      </c>
      <c r="CI820" s="22" t="str">
        <f>IF(CJ820="","",MAX($CI$10:CI819)+1)</f>
        <v/>
      </c>
      <c r="CJ820" s="22" t="str">
        <f t="shared" si="5102"/>
        <v/>
      </c>
    </row>
    <row r="821" spans="2:88" x14ac:dyDescent="0.25">
      <c r="B821" s="37"/>
      <c r="C821" s="3"/>
      <c r="D821" s="77" t="str">
        <f t="shared" si="5088"/>
        <v/>
      </c>
      <c r="E821" s="38"/>
      <c r="F821" s="38"/>
      <c r="G821" s="78">
        <f t="shared" si="5103"/>
        <v>0</v>
      </c>
      <c r="H821" s="3">
        <v>80</v>
      </c>
      <c r="I821" s="77" t="str">
        <f t="shared" si="5089"/>
        <v/>
      </c>
      <c r="J821" s="32"/>
      <c r="K821" s="3"/>
      <c r="L821" s="39"/>
      <c r="M821" s="39"/>
      <c r="N821" s="39"/>
      <c r="O821" s="39"/>
      <c r="P821" s="39"/>
      <c r="Q821" s="39"/>
      <c r="R821" s="39"/>
      <c r="S821" s="39"/>
      <c r="T821" s="3" t="s">
        <v>645</v>
      </c>
      <c r="U821" s="77" t="str">
        <f t="shared" si="5090"/>
        <v/>
      </c>
      <c r="V821" s="39">
        <v>1</v>
      </c>
      <c r="W821" s="79">
        <f t="shared" si="5104"/>
        <v>0</v>
      </c>
      <c r="X821" s="3">
        <v>0</v>
      </c>
      <c r="Y821" s="77" t="str">
        <f t="shared" si="5091"/>
        <v/>
      </c>
      <c r="Z821" s="3"/>
      <c r="AA821" s="37" t="str">
        <f t="shared" si="5105"/>
        <v/>
      </c>
      <c r="AC821" s="40"/>
      <c r="AD821" s="7"/>
      <c r="AE821" s="77" t="str">
        <f t="shared" si="5092"/>
        <v/>
      </c>
      <c r="AF821" s="81">
        <f t="shared" si="5118"/>
        <v>0</v>
      </c>
      <c r="AG821" s="40"/>
      <c r="AH821" s="7"/>
      <c r="AI821" s="77" t="str">
        <f t="shared" si="5093"/>
        <v/>
      </c>
      <c r="AJ821" s="81">
        <f t="shared" si="5119"/>
        <v>0</v>
      </c>
      <c r="AK821" s="83">
        <f t="shared" si="5120"/>
        <v>0</v>
      </c>
      <c r="AL821" s="83">
        <f t="shared" si="5121"/>
        <v>0</v>
      </c>
      <c r="AN821" s="43">
        <f t="shared" si="5094"/>
        <v>0</v>
      </c>
      <c r="AP821" t="str">
        <f t="shared" si="5122"/>
        <v/>
      </c>
      <c r="AQ821" t="str">
        <f t="shared" si="5123"/>
        <v/>
      </c>
      <c r="AR821" t="str">
        <f t="shared" si="5124"/>
        <v/>
      </c>
      <c r="AS821" t="str">
        <f t="shared" si="5125"/>
        <v/>
      </c>
      <c r="AT821" t="str">
        <f t="shared" si="5126"/>
        <v/>
      </c>
      <c r="AU821" t="str">
        <f t="shared" si="5127"/>
        <v/>
      </c>
      <c r="AV821" t="str">
        <f t="shared" si="5128"/>
        <v/>
      </c>
      <c r="AW821" t="str">
        <f t="shared" si="5129"/>
        <v xml:space="preserve">                              </v>
      </c>
      <c r="AX821" s="23">
        <f t="shared" si="5130"/>
        <v>0</v>
      </c>
      <c r="AY821" s="49" t="str">
        <f t="shared" si="5106"/>
        <v>000000000000000</v>
      </c>
      <c r="AZ821" s="23">
        <f t="shared" si="5131"/>
        <v>0</v>
      </c>
      <c r="BA821" s="49" t="str">
        <f t="shared" si="5106"/>
        <v>000000000000000</v>
      </c>
      <c r="BB821" s="23">
        <f t="shared" si="5132"/>
        <v>0</v>
      </c>
      <c r="BC821" s="49" t="str">
        <f t="shared" ref="BC821" si="5385">IF(BB821&lt;0,SUBSTITUTE(TEXT(BB821,"000000000000,00"),",",""),SUBSTITUTE(TEXT(BB821,"0000000000000,00"),",",""))</f>
        <v>000000000000000</v>
      </c>
      <c r="BD821" s="23">
        <f t="shared" si="5134"/>
        <v>0</v>
      </c>
      <c r="BE821" s="49" t="str">
        <f t="shared" ref="BE821" si="5386">IF(BD821&lt;0,SUBSTITUTE(TEXT(BD821,"000000000000,00"),",",""),SUBSTITUTE(TEXT(BD821,"0000000000000,00"),",",""))</f>
        <v>000000000000000</v>
      </c>
      <c r="BF821" s="23">
        <f t="shared" si="5136"/>
        <v>0</v>
      </c>
      <c r="BG821" s="49" t="str">
        <f t="shared" ref="BG821" si="5387">IF(BF821&lt;0,SUBSTITUTE(TEXT(BF821,"000000000000,00"),",",""),SUBSTITUTE(TEXT(BF821,"0000000000000,00"),",",""))</f>
        <v>000000000000000</v>
      </c>
      <c r="BH821" s="23">
        <f t="shared" si="5138"/>
        <v>0</v>
      </c>
      <c r="BI821" s="49" t="str">
        <f t="shared" ref="BI821" si="5388">IF(BH821&lt;0,SUBSTITUTE(TEXT(BH821,"000000000000,00"),",",""),SUBSTITUTE(TEXT(BH821,"0000000000000,00"),",",""))</f>
        <v>000000000000000</v>
      </c>
      <c r="BJ821" s="23">
        <f t="shared" si="5140"/>
        <v>0</v>
      </c>
      <c r="BK821" s="49" t="str">
        <f t="shared" ref="BK821" si="5389">IF(BJ821&lt;0,SUBSTITUTE(TEXT(BJ821,"000000000000,00"),",",""),SUBSTITUTE(TEXT(BJ821,"0000000000000,00"),",",""))</f>
        <v>000000000000000</v>
      </c>
      <c r="BL821" s="23">
        <f t="shared" si="5142"/>
        <v>0</v>
      </c>
      <c r="BM821" s="49" t="str">
        <f t="shared" ref="BM821" si="5390">IF(BL821&lt;0,SUBSTITUTE(TEXT(BL821,"000000000000,00"),",",""),SUBSTITUTE(TEXT(BL821,"0000000000000,00"),",",""))</f>
        <v>000000000000000</v>
      </c>
      <c r="BN821" t="str">
        <f t="shared" si="5144"/>
        <v>PES</v>
      </c>
      <c r="BO821" t="str">
        <f t="shared" si="5145"/>
        <v>0001000000</v>
      </c>
      <c r="BP821">
        <f t="shared" si="5146"/>
        <v>0</v>
      </c>
      <c r="BQ821">
        <f t="shared" si="5147"/>
        <v>0</v>
      </c>
      <c r="BR821" s="23">
        <f t="shared" si="5148"/>
        <v>0</v>
      </c>
      <c r="BS821" s="49" t="str">
        <f t="shared" si="5113"/>
        <v>000000000000000</v>
      </c>
      <c r="BT821" t="str">
        <f t="shared" si="5149"/>
        <v>00000000</v>
      </c>
      <c r="BU821" s="23">
        <f t="shared" si="5150"/>
        <v>0</v>
      </c>
      <c r="BV821" s="49" t="str">
        <f t="shared" si="5114"/>
        <v/>
      </c>
      <c r="BW821" s="52" t="str">
        <f t="shared" si="5151"/>
        <v/>
      </c>
      <c r="BX821" s="23">
        <f t="shared" si="5152"/>
        <v>0</v>
      </c>
      <c r="BY821" s="49" t="str">
        <f t="shared" si="5115"/>
        <v/>
      </c>
      <c r="BZ821" s="23">
        <f t="shared" si="5153"/>
        <v>0</v>
      </c>
      <c r="CA821" s="49" t="str">
        <f t="shared" si="5116"/>
        <v/>
      </c>
      <c r="CB821" s="52" t="str">
        <f t="shared" si="5154"/>
        <v/>
      </c>
      <c r="CC821" s="23">
        <f t="shared" si="5155"/>
        <v>0</v>
      </c>
      <c r="CD821" s="49" t="str">
        <f t="shared" si="5117"/>
        <v/>
      </c>
      <c r="CE821" s="56" t="str">
        <f>IF(CF821="","",MAX(CE$10:$CE820)+1)</f>
        <v/>
      </c>
      <c r="CF821" t="str">
        <f t="shared" si="5156"/>
        <v/>
      </c>
      <c r="CG821" s="22" t="str">
        <f>IF(CH821="","",MAX($CG$10:CG820)+1)</f>
        <v/>
      </c>
      <c r="CH821" s="22" t="str">
        <f t="shared" si="5101"/>
        <v/>
      </c>
      <c r="CI821" s="22" t="str">
        <f>IF(CJ821="","",MAX($CI$10:CI820)+1)</f>
        <v/>
      </c>
      <c r="CJ821" s="22" t="str">
        <f t="shared" si="5102"/>
        <v/>
      </c>
    </row>
    <row r="822" spans="2:88" x14ac:dyDescent="0.25">
      <c r="B822" s="37"/>
      <c r="C822" s="3"/>
      <c r="D822" s="77" t="str">
        <f t="shared" si="5088"/>
        <v/>
      </c>
      <c r="E822" s="38"/>
      <c r="F822" s="38"/>
      <c r="G822" s="78">
        <f t="shared" si="5103"/>
        <v>0</v>
      </c>
      <c r="H822" s="3">
        <v>80</v>
      </c>
      <c r="I822" s="77" t="str">
        <f t="shared" si="5089"/>
        <v/>
      </c>
      <c r="J822" s="32"/>
      <c r="K822" s="3"/>
      <c r="L822" s="39"/>
      <c r="M822" s="39"/>
      <c r="N822" s="39"/>
      <c r="O822" s="39"/>
      <c r="P822" s="39"/>
      <c r="Q822" s="39"/>
      <c r="R822" s="39"/>
      <c r="S822" s="39"/>
      <c r="T822" s="3" t="s">
        <v>645</v>
      </c>
      <c r="U822" s="77" t="str">
        <f t="shared" si="5090"/>
        <v/>
      </c>
      <c r="V822" s="39">
        <v>1</v>
      </c>
      <c r="W822" s="79">
        <f t="shared" si="5104"/>
        <v>0</v>
      </c>
      <c r="X822" s="3">
        <v>0</v>
      </c>
      <c r="Y822" s="77" t="str">
        <f t="shared" si="5091"/>
        <v/>
      </c>
      <c r="Z822" s="3"/>
      <c r="AA822" s="37" t="str">
        <f t="shared" si="5105"/>
        <v/>
      </c>
      <c r="AC822" s="40"/>
      <c r="AD822" s="7"/>
      <c r="AE822" s="77" t="str">
        <f t="shared" si="5092"/>
        <v/>
      </c>
      <c r="AF822" s="81">
        <f t="shared" si="5118"/>
        <v>0</v>
      </c>
      <c r="AG822" s="40"/>
      <c r="AH822" s="7"/>
      <c r="AI822" s="77" t="str">
        <f t="shared" si="5093"/>
        <v/>
      </c>
      <c r="AJ822" s="81">
        <f t="shared" si="5119"/>
        <v>0</v>
      </c>
      <c r="AK822" s="83">
        <f t="shared" si="5120"/>
        <v>0</v>
      </c>
      <c r="AL822" s="83">
        <f t="shared" si="5121"/>
        <v>0</v>
      </c>
      <c r="AN822" s="43">
        <f t="shared" si="5094"/>
        <v>0</v>
      </c>
      <c r="AP822" t="str">
        <f t="shared" si="5122"/>
        <v/>
      </c>
      <c r="AQ822" t="str">
        <f t="shared" si="5123"/>
        <v/>
      </c>
      <c r="AR822" t="str">
        <f t="shared" si="5124"/>
        <v/>
      </c>
      <c r="AS822" t="str">
        <f t="shared" si="5125"/>
        <v/>
      </c>
      <c r="AT822" t="str">
        <f t="shared" si="5126"/>
        <v/>
      </c>
      <c r="AU822" t="str">
        <f t="shared" si="5127"/>
        <v/>
      </c>
      <c r="AV822" t="str">
        <f t="shared" si="5128"/>
        <v/>
      </c>
      <c r="AW822" t="str">
        <f t="shared" si="5129"/>
        <v xml:space="preserve">                              </v>
      </c>
      <c r="AX822" s="23">
        <f t="shared" si="5130"/>
        <v>0</v>
      </c>
      <c r="AY822" s="49" t="str">
        <f t="shared" si="5106"/>
        <v>000000000000000</v>
      </c>
      <c r="AZ822" s="23">
        <f t="shared" si="5131"/>
        <v>0</v>
      </c>
      <c r="BA822" s="49" t="str">
        <f t="shared" si="5106"/>
        <v>000000000000000</v>
      </c>
      <c r="BB822" s="23">
        <f t="shared" si="5132"/>
        <v>0</v>
      </c>
      <c r="BC822" s="49" t="str">
        <f t="shared" ref="BC822" si="5391">IF(BB822&lt;0,SUBSTITUTE(TEXT(BB822,"000000000000,00"),",",""),SUBSTITUTE(TEXT(BB822,"0000000000000,00"),",",""))</f>
        <v>000000000000000</v>
      </c>
      <c r="BD822" s="23">
        <f t="shared" si="5134"/>
        <v>0</v>
      </c>
      <c r="BE822" s="49" t="str">
        <f t="shared" ref="BE822" si="5392">IF(BD822&lt;0,SUBSTITUTE(TEXT(BD822,"000000000000,00"),",",""),SUBSTITUTE(TEXT(BD822,"0000000000000,00"),",",""))</f>
        <v>000000000000000</v>
      </c>
      <c r="BF822" s="23">
        <f t="shared" si="5136"/>
        <v>0</v>
      </c>
      <c r="BG822" s="49" t="str">
        <f t="shared" ref="BG822" si="5393">IF(BF822&lt;0,SUBSTITUTE(TEXT(BF822,"000000000000,00"),",",""),SUBSTITUTE(TEXT(BF822,"0000000000000,00"),",",""))</f>
        <v>000000000000000</v>
      </c>
      <c r="BH822" s="23">
        <f t="shared" si="5138"/>
        <v>0</v>
      </c>
      <c r="BI822" s="49" t="str">
        <f t="shared" ref="BI822" si="5394">IF(BH822&lt;0,SUBSTITUTE(TEXT(BH822,"000000000000,00"),",",""),SUBSTITUTE(TEXT(BH822,"0000000000000,00"),",",""))</f>
        <v>000000000000000</v>
      </c>
      <c r="BJ822" s="23">
        <f t="shared" si="5140"/>
        <v>0</v>
      </c>
      <c r="BK822" s="49" t="str">
        <f t="shared" ref="BK822" si="5395">IF(BJ822&lt;0,SUBSTITUTE(TEXT(BJ822,"000000000000,00"),",",""),SUBSTITUTE(TEXT(BJ822,"0000000000000,00"),",",""))</f>
        <v>000000000000000</v>
      </c>
      <c r="BL822" s="23">
        <f t="shared" si="5142"/>
        <v>0</v>
      </c>
      <c r="BM822" s="49" t="str">
        <f t="shared" ref="BM822" si="5396">IF(BL822&lt;0,SUBSTITUTE(TEXT(BL822,"000000000000,00"),",",""),SUBSTITUTE(TEXT(BL822,"0000000000000,00"),",",""))</f>
        <v>000000000000000</v>
      </c>
      <c r="BN822" t="str">
        <f t="shared" si="5144"/>
        <v>PES</v>
      </c>
      <c r="BO822" t="str">
        <f t="shared" si="5145"/>
        <v>0001000000</v>
      </c>
      <c r="BP822">
        <f t="shared" si="5146"/>
        <v>0</v>
      </c>
      <c r="BQ822">
        <f t="shared" si="5147"/>
        <v>0</v>
      </c>
      <c r="BR822" s="23">
        <f t="shared" si="5148"/>
        <v>0</v>
      </c>
      <c r="BS822" s="49" t="str">
        <f t="shared" si="5113"/>
        <v>000000000000000</v>
      </c>
      <c r="BT822" t="str">
        <f t="shared" si="5149"/>
        <v>00000000</v>
      </c>
      <c r="BU822" s="23">
        <f t="shared" si="5150"/>
        <v>0</v>
      </c>
      <c r="BV822" s="49" t="str">
        <f t="shared" si="5114"/>
        <v/>
      </c>
      <c r="BW822" s="52" t="str">
        <f t="shared" si="5151"/>
        <v/>
      </c>
      <c r="BX822" s="23">
        <f t="shared" si="5152"/>
        <v>0</v>
      </c>
      <c r="BY822" s="49" t="str">
        <f t="shared" si="5115"/>
        <v/>
      </c>
      <c r="BZ822" s="23">
        <f t="shared" si="5153"/>
        <v>0</v>
      </c>
      <c r="CA822" s="49" t="str">
        <f t="shared" si="5116"/>
        <v/>
      </c>
      <c r="CB822" s="52" t="str">
        <f t="shared" si="5154"/>
        <v/>
      </c>
      <c r="CC822" s="23">
        <f t="shared" si="5155"/>
        <v>0</v>
      </c>
      <c r="CD822" s="49" t="str">
        <f t="shared" si="5117"/>
        <v/>
      </c>
      <c r="CE822" s="56" t="str">
        <f>IF(CF822="","",MAX(CE$10:$CE821)+1)</f>
        <v/>
      </c>
      <c r="CF822" t="str">
        <f t="shared" si="5156"/>
        <v/>
      </c>
      <c r="CG822" s="22" t="str">
        <f>IF(CH822="","",MAX($CG$10:CG821)+1)</f>
        <v/>
      </c>
      <c r="CH822" s="22" t="str">
        <f t="shared" si="5101"/>
        <v/>
      </c>
      <c r="CI822" s="22" t="str">
        <f>IF(CJ822="","",MAX($CI$10:CI821)+1)</f>
        <v/>
      </c>
      <c r="CJ822" s="22" t="str">
        <f t="shared" si="5102"/>
        <v/>
      </c>
    </row>
    <row r="823" spans="2:88" x14ac:dyDescent="0.25">
      <c r="B823" s="37"/>
      <c r="C823" s="3"/>
      <c r="D823" s="77" t="str">
        <f t="shared" si="5088"/>
        <v/>
      </c>
      <c r="E823" s="38"/>
      <c r="F823" s="38"/>
      <c r="G823" s="78">
        <f t="shared" si="5103"/>
        <v>0</v>
      </c>
      <c r="H823" s="3">
        <v>80</v>
      </c>
      <c r="I823" s="77" t="str">
        <f t="shared" si="5089"/>
        <v/>
      </c>
      <c r="J823" s="32"/>
      <c r="K823" s="3"/>
      <c r="L823" s="39"/>
      <c r="M823" s="39"/>
      <c r="N823" s="39"/>
      <c r="O823" s="39"/>
      <c r="P823" s="39"/>
      <c r="Q823" s="39"/>
      <c r="R823" s="39"/>
      <c r="S823" s="39"/>
      <c r="T823" s="3" t="s">
        <v>645</v>
      </c>
      <c r="U823" s="77" t="str">
        <f t="shared" si="5090"/>
        <v/>
      </c>
      <c r="V823" s="39">
        <v>1</v>
      </c>
      <c r="W823" s="79">
        <f t="shared" si="5104"/>
        <v>0</v>
      </c>
      <c r="X823" s="3">
        <v>0</v>
      </c>
      <c r="Y823" s="77" t="str">
        <f t="shared" si="5091"/>
        <v/>
      </c>
      <c r="Z823" s="3"/>
      <c r="AA823" s="37" t="str">
        <f t="shared" si="5105"/>
        <v/>
      </c>
      <c r="AC823" s="40"/>
      <c r="AD823" s="7"/>
      <c r="AE823" s="77" t="str">
        <f t="shared" si="5092"/>
        <v/>
      </c>
      <c r="AF823" s="81">
        <f t="shared" si="5118"/>
        <v>0</v>
      </c>
      <c r="AG823" s="40"/>
      <c r="AH823" s="7"/>
      <c r="AI823" s="77" t="str">
        <f t="shared" si="5093"/>
        <v/>
      </c>
      <c r="AJ823" s="81">
        <f t="shared" si="5119"/>
        <v>0</v>
      </c>
      <c r="AK823" s="83">
        <f t="shared" si="5120"/>
        <v>0</v>
      </c>
      <c r="AL823" s="83">
        <f t="shared" si="5121"/>
        <v>0</v>
      </c>
      <c r="AN823" s="43">
        <f t="shared" si="5094"/>
        <v>0</v>
      </c>
      <c r="AP823" t="str">
        <f t="shared" si="5122"/>
        <v/>
      </c>
      <c r="AQ823" t="str">
        <f t="shared" si="5123"/>
        <v/>
      </c>
      <c r="AR823" t="str">
        <f t="shared" si="5124"/>
        <v/>
      </c>
      <c r="AS823" t="str">
        <f t="shared" si="5125"/>
        <v/>
      </c>
      <c r="AT823" t="str">
        <f t="shared" si="5126"/>
        <v/>
      </c>
      <c r="AU823" t="str">
        <f t="shared" si="5127"/>
        <v/>
      </c>
      <c r="AV823" t="str">
        <f t="shared" si="5128"/>
        <v/>
      </c>
      <c r="AW823" t="str">
        <f t="shared" si="5129"/>
        <v xml:space="preserve">                              </v>
      </c>
      <c r="AX823" s="23">
        <f t="shared" si="5130"/>
        <v>0</v>
      </c>
      <c r="AY823" s="49" t="str">
        <f t="shared" si="5106"/>
        <v>000000000000000</v>
      </c>
      <c r="AZ823" s="23">
        <f t="shared" si="5131"/>
        <v>0</v>
      </c>
      <c r="BA823" s="49" t="str">
        <f t="shared" si="5106"/>
        <v>000000000000000</v>
      </c>
      <c r="BB823" s="23">
        <f t="shared" si="5132"/>
        <v>0</v>
      </c>
      <c r="BC823" s="49" t="str">
        <f t="shared" ref="BC823" si="5397">IF(BB823&lt;0,SUBSTITUTE(TEXT(BB823,"000000000000,00"),",",""),SUBSTITUTE(TEXT(BB823,"0000000000000,00"),",",""))</f>
        <v>000000000000000</v>
      </c>
      <c r="BD823" s="23">
        <f t="shared" si="5134"/>
        <v>0</v>
      </c>
      <c r="BE823" s="49" t="str">
        <f t="shared" ref="BE823" si="5398">IF(BD823&lt;0,SUBSTITUTE(TEXT(BD823,"000000000000,00"),",",""),SUBSTITUTE(TEXT(BD823,"0000000000000,00"),",",""))</f>
        <v>000000000000000</v>
      </c>
      <c r="BF823" s="23">
        <f t="shared" si="5136"/>
        <v>0</v>
      </c>
      <c r="BG823" s="49" t="str">
        <f t="shared" ref="BG823" si="5399">IF(BF823&lt;0,SUBSTITUTE(TEXT(BF823,"000000000000,00"),",",""),SUBSTITUTE(TEXT(BF823,"0000000000000,00"),",",""))</f>
        <v>000000000000000</v>
      </c>
      <c r="BH823" s="23">
        <f t="shared" si="5138"/>
        <v>0</v>
      </c>
      <c r="BI823" s="49" t="str">
        <f t="shared" ref="BI823" si="5400">IF(BH823&lt;0,SUBSTITUTE(TEXT(BH823,"000000000000,00"),",",""),SUBSTITUTE(TEXT(BH823,"0000000000000,00"),",",""))</f>
        <v>000000000000000</v>
      </c>
      <c r="BJ823" s="23">
        <f t="shared" si="5140"/>
        <v>0</v>
      </c>
      <c r="BK823" s="49" t="str">
        <f t="shared" ref="BK823" si="5401">IF(BJ823&lt;0,SUBSTITUTE(TEXT(BJ823,"000000000000,00"),",",""),SUBSTITUTE(TEXT(BJ823,"0000000000000,00"),",",""))</f>
        <v>000000000000000</v>
      </c>
      <c r="BL823" s="23">
        <f t="shared" si="5142"/>
        <v>0</v>
      </c>
      <c r="BM823" s="49" t="str">
        <f t="shared" ref="BM823" si="5402">IF(BL823&lt;0,SUBSTITUTE(TEXT(BL823,"000000000000,00"),",",""),SUBSTITUTE(TEXT(BL823,"0000000000000,00"),",",""))</f>
        <v>000000000000000</v>
      </c>
      <c r="BN823" t="str">
        <f t="shared" si="5144"/>
        <v>PES</v>
      </c>
      <c r="BO823" t="str">
        <f t="shared" si="5145"/>
        <v>0001000000</v>
      </c>
      <c r="BP823">
        <f t="shared" si="5146"/>
        <v>0</v>
      </c>
      <c r="BQ823">
        <f t="shared" si="5147"/>
        <v>0</v>
      </c>
      <c r="BR823" s="23">
        <f t="shared" si="5148"/>
        <v>0</v>
      </c>
      <c r="BS823" s="49" t="str">
        <f t="shared" si="5113"/>
        <v>000000000000000</v>
      </c>
      <c r="BT823" t="str">
        <f t="shared" si="5149"/>
        <v>00000000</v>
      </c>
      <c r="BU823" s="23">
        <f t="shared" si="5150"/>
        <v>0</v>
      </c>
      <c r="BV823" s="49" t="str">
        <f t="shared" si="5114"/>
        <v/>
      </c>
      <c r="BW823" s="52" t="str">
        <f t="shared" si="5151"/>
        <v/>
      </c>
      <c r="BX823" s="23">
        <f t="shared" si="5152"/>
        <v>0</v>
      </c>
      <c r="BY823" s="49" t="str">
        <f t="shared" si="5115"/>
        <v/>
      </c>
      <c r="BZ823" s="23">
        <f t="shared" si="5153"/>
        <v>0</v>
      </c>
      <c r="CA823" s="49" t="str">
        <f t="shared" si="5116"/>
        <v/>
      </c>
      <c r="CB823" s="52" t="str">
        <f t="shared" si="5154"/>
        <v/>
      </c>
      <c r="CC823" s="23">
        <f t="shared" si="5155"/>
        <v>0</v>
      </c>
      <c r="CD823" s="49" t="str">
        <f t="shared" si="5117"/>
        <v/>
      </c>
      <c r="CE823" s="56" t="str">
        <f>IF(CF823="","",MAX(CE$10:$CE822)+1)</f>
        <v/>
      </c>
      <c r="CF823" t="str">
        <f t="shared" si="5156"/>
        <v/>
      </c>
      <c r="CG823" s="22" t="str">
        <f>IF(CH823="","",MAX($CG$10:CG822)+1)</f>
        <v/>
      </c>
      <c r="CH823" s="22" t="str">
        <f t="shared" si="5101"/>
        <v/>
      </c>
      <c r="CI823" s="22" t="str">
        <f>IF(CJ823="","",MAX($CI$10:CI822)+1)</f>
        <v/>
      </c>
      <c r="CJ823" s="22" t="str">
        <f t="shared" si="5102"/>
        <v/>
      </c>
    </row>
    <row r="824" spans="2:88" x14ac:dyDescent="0.25">
      <c r="B824" s="37"/>
      <c r="C824" s="3"/>
      <c r="D824" s="77" t="str">
        <f t="shared" si="5088"/>
        <v/>
      </c>
      <c r="E824" s="38"/>
      <c r="F824" s="38"/>
      <c r="G824" s="78">
        <f t="shared" si="5103"/>
        <v>0</v>
      </c>
      <c r="H824" s="3">
        <v>80</v>
      </c>
      <c r="I824" s="77" t="str">
        <f t="shared" si="5089"/>
        <v/>
      </c>
      <c r="J824" s="32"/>
      <c r="K824" s="3"/>
      <c r="L824" s="39"/>
      <c r="M824" s="39"/>
      <c r="N824" s="39"/>
      <c r="O824" s="39"/>
      <c r="P824" s="39"/>
      <c r="Q824" s="39"/>
      <c r="R824" s="39"/>
      <c r="S824" s="39"/>
      <c r="T824" s="3" t="s">
        <v>645</v>
      </c>
      <c r="U824" s="77" t="str">
        <f t="shared" si="5090"/>
        <v/>
      </c>
      <c r="V824" s="39">
        <v>1</v>
      </c>
      <c r="W824" s="79">
        <f t="shared" si="5104"/>
        <v>0</v>
      </c>
      <c r="X824" s="3">
        <v>0</v>
      </c>
      <c r="Y824" s="77" t="str">
        <f t="shared" si="5091"/>
        <v/>
      </c>
      <c r="Z824" s="3"/>
      <c r="AA824" s="37" t="str">
        <f t="shared" si="5105"/>
        <v/>
      </c>
      <c r="AC824" s="40"/>
      <c r="AD824" s="7"/>
      <c r="AE824" s="77" t="str">
        <f t="shared" si="5092"/>
        <v/>
      </c>
      <c r="AF824" s="81">
        <f t="shared" si="5118"/>
        <v>0</v>
      </c>
      <c r="AG824" s="40"/>
      <c r="AH824" s="7"/>
      <c r="AI824" s="77" t="str">
        <f t="shared" si="5093"/>
        <v/>
      </c>
      <c r="AJ824" s="81">
        <f t="shared" si="5119"/>
        <v>0</v>
      </c>
      <c r="AK824" s="83">
        <f t="shared" si="5120"/>
        <v>0</v>
      </c>
      <c r="AL824" s="83">
        <f t="shared" si="5121"/>
        <v>0</v>
      </c>
      <c r="AN824" s="43">
        <f t="shared" si="5094"/>
        <v>0</v>
      </c>
      <c r="AP824" t="str">
        <f t="shared" si="5122"/>
        <v/>
      </c>
      <c r="AQ824" t="str">
        <f t="shared" si="5123"/>
        <v/>
      </c>
      <c r="AR824" t="str">
        <f t="shared" si="5124"/>
        <v/>
      </c>
      <c r="AS824" t="str">
        <f t="shared" si="5125"/>
        <v/>
      </c>
      <c r="AT824" t="str">
        <f t="shared" si="5126"/>
        <v/>
      </c>
      <c r="AU824" t="str">
        <f t="shared" si="5127"/>
        <v/>
      </c>
      <c r="AV824" t="str">
        <f t="shared" si="5128"/>
        <v/>
      </c>
      <c r="AW824" t="str">
        <f t="shared" si="5129"/>
        <v xml:space="preserve">                              </v>
      </c>
      <c r="AX824" s="23">
        <f t="shared" si="5130"/>
        <v>0</v>
      </c>
      <c r="AY824" s="49" t="str">
        <f t="shared" si="5106"/>
        <v>000000000000000</v>
      </c>
      <c r="AZ824" s="23">
        <f t="shared" si="5131"/>
        <v>0</v>
      </c>
      <c r="BA824" s="49" t="str">
        <f t="shared" si="5106"/>
        <v>000000000000000</v>
      </c>
      <c r="BB824" s="23">
        <f t="shared" si="5132"/>
        <v>0</v>
      </c>
      <c r="BC824" s="49" t="str">
        <f t="shared" ref="BC824" si="5403">IF(BB824&lt;0,SUBSTITUTE(TEXT(BB824,"000000000000,00"),",",""),SUBSTITUTE(TEXT(BB824,"0000000000000,00"),",",""))</f>
        <v>000000000000000</v>
      </c>
      <c r="BD824" s="23">
        <f t="shared" si="5134"/>
        <v>0</v>
      </c>
      <c r="BE824" s="49" t="str">
        <f t="shared" ref="BE824" si="5404">IF(BD824&lt;0,SUBSTITUTE(TEXT(BD824,"000000000000,00"),",",""),SUBSTITUTE(TEXT(BD824,"0000000000000,00"),",",""))</f>
        <v>000000000000000</v>
      </c>
      <c r="BF824" s="23">
        <f t="shared" si="5136"/>
        <v>0</v>
      </c>
      <c r="BG824" s="49" t="str">
        <f t="shared" ref="BG824" si="5405">IF(BF824&lt;0,SUBSTITUTE(TEXT(BF824,"000000000000,00"),",",""),SUBSTITUTE(TEXT(BF824,"0000000000000,00"),",",""))</f>
        <v>000000000000000</v>
      </c>
      <c r="BH824" s="23">
        <f t="shared" si="5138"/>
        <v>0</v>
      </c>
      <c r="BI824" s="49" t="str">
        <f t="shared" ref="BI824" si="5406">IF(BH824&lt;0,SUBSTITUTE(TEXT(BH824,"000000000000,00"),",",""),SUBSTITUTE(TEXT(BH824,"0000000000000,00"),",",""))</f>
        <v>000000000000000</v>
      </c>
      <c r="BJ824" s="23">
        <f t="shared" si="5140"/>
        <v>0</v>
      </c>
      <c r="BK824" s="49" t="str">
        <f t="shared" ref="BK824" si="5407">IF(BJ824&lt;0,SUBSTITUTE(TEXT(BJ824,"000000000000,00"),",",""),SUBSTITUTE(TEXT(BJ824,"0000000000000,00"),",",""))</f>
        <v>000000000000000</v>
      </c>
      <c r="BL824" s="23">
        <f t="shared" si="5142"/>
        <v>0</v>
      </c>
      <c r="BM824" s="49" t="str">
        <f t="shared" ref="BM824" si="5408">IF(BL824&lt;0,SUBSTITUTE(TEXT(BL824,"000000000000,00"),",",""),SUBSTITUTE(TEXT(BL824,"0000000000000,00"),",",""))</f>
        <v>000000000000000</v>
      </c>
      <c r="BN824" t="str">
        <f t="shared" si="5144"/>
        <v>PES</v>
      </c>
      <c r="BO824" t="str">
        <f t="shared" si="5145"/>
        <v>0001000000</v>
      </c>
      <c r="BP824">
        <f t="shared" si="5146"/>
        <v>0</v>
      </c>
      <c r="BQ824">
        <f t="shared" si="5147"/>
        <v>0</v>
      </c>
      <c r="BR824" s="23">
        <f t="shared" si="5148"/>
        <v>0</v>
      </c>
      <c r="BS824" s="49" t="str">
        <f t="shared" si="5113"/>
        <v>000000000000000</v>
      </c>
      <c r="BT824" t="str">
        <f t="shared" si="5149"/>
        <v>00000000</v>
      </c>
      <c r="BU824" s="23">
        <f t="shared" si="5150"/>
        <v>0</v>
      </c>
      <c r="BV824" s="49" t="str">
        <f t="shared" si="5114"/>
        <v/>
      </c>
      <c r="BW824" s="52" t="str">
        <f t="shared" si="5151"/>
        <v/>
      </c>
      <c r="BX824" s="23">
        <f t="shared" si="5152"/>
        <v>0</v>
      </c>
      <c r="BY824" s="49" t="str">
        <f t="shared" si="5115"/>
        <v/>
      </c>
      <c r="BZ824" s="23">
        <f t="shared" si="5153"/>
        <v>0</v>
      </c>
      <c r="CA824" s="49" t="str">
        <f t="shared" si="5116"/>
        <v/>
      </c>
      <c r="CB824" s="52" t="str">
        <f t="shared" si="5154"/>
        <v/>
      </c>
      <c r="CC824" s="23">
        <f t="shared" si="5155"/>
        <v>0</v>
      </c>
      <c r="CD824" s="49" t="str">
        <f t="shared" si="5117"/>
        <v/>
      </c>
      <c r="CE824" s="56" t="str">
        <f>IF(CF824="","",MAX(CE$10:$CE823)+1)</f>
        <v/>
      </c>
      <c r="CF824" t="str">
        <f t="shared" si="5156"/>
        <v/>
      </c>
      <c r="CG824" s="22" t="str">
        <f>IF(CH824="","",MAX($CG$10:CG823)+1)</f>
        <v/>
      </c>
      <c r="CH824" s="22" t="str">
        <f t="shared" si="5101"/>
        <v/>
      </c>
      <c r="CI824" s="22" t="str">
        <f>IF(CJ824="","",MAX($CI$10:CI823)+1)</f>
        <v/>
      </c>
      <c r="CJ824" s="22" t="str">
        <f t="shared" si="5102"/>
        <v/>
      </c>
    </row>
    <row r="825" spans="2:88" x14ac:dyDescent="0.25">
      <c r="B825" s="37"/>
      <c r="C825" s="3"/>
      <c r="D825" s="77" t="str">
        <f t="shared" si="5088"/>
        <v/>
      </c>
      <c r="E825" s="38"/>
      <c r="F825" s="38"/>
      <c r="G825" s="78">
        <f t="shared" si="5103"/>
        <v>0</v>
      </c>
      <c r="H825" s="3">
        <v>80</v>
      </c>
      <c r="I825" s="77" t="str">
        <f t="shared" si="5089"/>
        <v/>
      </c>
      <c r="J825" s="32"/>
      <c r="K825" s="3"/>
      <c r="L825" s="39"/>
      <c r="M825" s="39"/>
      <c r="N825" s="39"/>
      <c r="O825" s="39"/>
      <c r="P825" s="39"/>
      <c r="Q825" s="39"/>
      <c r="R825" s="39"/>
      <c r="S825" s="39"/>
      <c r="T825" s="3" t="s">
        <v>645</v>
      </c>
      <c r="U825" s="77" t="str">
        <f t="shared" si="5090"/>
        <v/>
      </c>
      <c r="V825" s="39">
        <v>1</v>
      </c>
      <c r="W825" s="79">
        <f t="shared" si="5104"/>
        <v>0</v>
      </c>
      <c r="X825" s="3">
        <v>0</v>
      </c>
      <c r="Y825" s="77" t="str">
        <f t="shared" si="5091"/>
        <v/>
      </c>
      <c r="Z825" s="3"/>
      <c r="AA825" s="37" t="str">
        <f t="shared" si="5105"/>
        <v/>
      </c>
      <c r="AC825" s="40"/>
      <c r="AD825" s="7"/>
      <c r="AE825" s="77" t="str">
        <f t="shared" si="5092"/>
        <v/>
      </c>
      <c r="AF825" s="81">
        <f t="shared" si="5118"/>
        <v>0</v>
      </c>
      <c r="AG825" s="40"/>
      <c r="AH825" s="7"/>
      <c r="AI825" s="77" t="str">
        <f t="shared" si="5093"/>
        <v/>
      </c>
      <c r="AJ825" s="81">
        <f t="shared" si="5119"/>
        <v>0</v>
      </c>
      <c r="AK825" s="83">
        <f t="shared" si="5120"/>
        <v>0</v>
      </c>
      <c r="AL825" s="83">
        <f t="shared" si="5121"/>
        <v>0</v>
      </c>
      <c r="AN825" s="43">
        <f t="shared" si="5094"/>
        <v>0</v>
      </c>
      <c r="AP825" t="str">
        <f t="shared" si="5122"/>
        <v/>
      </c>
      <c r="AQ825" t="str">
        <f t="shared" si="5123"/>
        <v/>
      </c>
      <c r="AR825" t="str">
        <f t="shared" si="5124"/>
        <v/>
      </c>
      <c r="AS825" t="str">
        <f t="shared" si="5125"/>
        <v/>
      </c>
      <c r="AT825" t="str">
        <f t="shared" si="5126"/>
        <v/>
      </c>
      <c r="AU825" t="str">
        <f t="shared" si="5127"/>
        <v/>
      </c>
      <c r="AV825" t="str">
        <f t="shared" si="5128"/>
        <v/>
      </c>
      <c r="AW825" t="str">
        <f t="shared" si="5129"/>
        <v xml:space="preserve">                              </v>
      </c>
      <c r="AX825" s="23">
        <f t="shared" si="5130"/>
        <v>0</v>
      </c>
      <c r="AY825" s="49" t="str">
        <f t="shared" si="5106"/>
        <v>000000000000000</v>
      </c>
      <c r="AZ825" s="23">
        <f t="shared" si="5131"/>
        <v>0</v>
      </c>
      <c r="BA825" s="49" t="str">
        <f t="shared" si="5106"/>
        <v>000000000000000</v>
      </c>
      <c r="BB825" s="23">
        <f t="shared" si="5132"/>
        <v>0</v>
      </c>
      <c r="BC825" s="49" t="str">
        <f t="shared" ref="BC825" si="5409">IF(BB825&lt;0,SUBSTITUTE(TEXT(BB825,"000000000000,00"),",",""),SUBSTITUTE(TEXT(BB825,"0000000000000,00"),",",""))</f>
        <v>000000000000000</v>
      </c>
      <c r="BD825" s="23">
        <f t="shared" si="5134"/>
        <v>0</v>
      </c>
      <c r="BE825" s="49" t="str">
        <f t="shared" ref="BE825" si="5410">IF(BD825&lt;0,SUBSTITUTE(TEXT(BD825,"000000000000,00"),",",""),SUBSTITUTE(TEXT(BD825,"0000000000000,00"),",",""))</f>
        <v>000000000000000</v>
      </c>
      <c r="BF825" s="23">
        <f t="shared" si="5136"/>
        <v>0</v>
      </c>
      <c r="BG825" s="49" t="str">
        <f t="shared" ref="BG825" si="5411">IF(BF825&lt;0,SUBSTITUTE(TEXT(BF825,"000000000000,00"),",",""),SUBSTITUTE(TEXT(BF825,"0000000000000,00"),",",""))</f>
        <v>000000000000000</v>
      </c>
      <c r="BH825" s="23">
        <f t="shared" si="5138"/>
        <v>0</v>
      </c>
      <c r="BI825" s="49" t="str">
        <f t="shared" ref="BI825" si="5412">IF(BH825&lt;0,SUBSTITUTE(TEXT(BH825,"000000000000,00"),",",""),SUBSTITUTE(TEXT(BH825,"0000000000000,00"),",",""))</f>
        <v>000000000000000</v>
      </c>
      <c r="BJ825" s="23">
        <f t="shared" si="5140"/>
        <v>0</v>
      </c>
      <c r="BK825" s="49" t="str">
        <f t="shared" ref="BK825" si="5413">IF(BJ825&lt;0,SUBSTITUTE(TEXT(BJ825,"000000000000,00"),",",""),SUBSTITUTE(TEXT(BJ825,"0000000000000,00"),",",""))</f>
        <v>000000000000000</v>
      </c>
      <c r="BL825" s="23">
        <f t="shared" si="5142"/>
        <v>0</v>
      </c>
      <c r="BM825" s="49" t="str">
        <f t="shared" ref="BM825" si="5414">IF(BL825&lt;0,SUBSTITUTE(TEXT(BL825,"000000000000,00"),",",""),SUBSTITUTE(TEXT(BL825,"0000000000000,00"),",",""))</f>
        <v>000000000000000</v>
      </c>
      <c r="BN825" t="str">
        <f t="shared" si="5144"/>
        <v>PES</v>
      </c>
      <c r="BO825" t="str">
        <f t="shared" si="5145"/>
        <v>0001000000</v>
      </c>
      <c r="BP825">
        <f t="shared" si="5146"/>
        <v>0</v>
      </c>
      <c r="BQ825">
        <f t="shared" si="5147"/>
        <v>0</v>
      </c>
      <c r="BR825" s="23">
        <f t="shared" si="5148"/>
        <v>0</v>
      </c>
      <c r="BS825" s="49" t="str">
        <f t="shared" si="5113"/>
        <v>000000000000000</v>
      </c>
      <c r="BT825" t="str">
        <f t="shared" si="5149"/>
        <v>00000000</v>
      </c>
      <c r="BU825" s="23">
        <f t="shared" si="5150"/>
        <v>0</v>
      </c>
      <c r="BV825" s="49" t="str">
        <f t="shared" si="5114"/>
        <v/>
      </c>
      <c r="BW825" s="52" t="str">
        <f t="shared" si="5151"/>
        <v/>
      </c>
      <c r="BX825" s="23">
        <f t="shared" si="5152"/>
        <v>0</v>
      </c>
      <c r="BY825" s="49" t="str">
        <f t="shared" si="5115"/>
        <v/>
      </c>
      <c r="BZ825" s="23">
        <f t="shared" si="5153"/>
        <v>0</v>
      </c>
      <c r="CA825" s="49" t="str">
        <f t="shared" si="5116"/>
        <v/>
      </c>
      <c r="CB825" s="52" t="str">
        <f t="shared" si="5154"/>
        <v/>
      </c>
      <c r="CC825" s="23">
        <f t="shared" si="5155"/>
        <v>0</v>
      </c>
      <c r="CD825" s="49" t="str">
        <f t="shared" si="5117"/>
        <v/>
      </c>
      <c r="CE825" s="56" t="str">
        <f>IF(CF825="","",MAX(CE$10:$CE824)+1)</f>
        <v/>
      </c>
      <c r="CF825" t="str">
        <f t="shared" si="5156"/>
        <v/>
      </c>
      <c r="CG825" s="22" t="str">
        <f>IF(CH825="","",MAX($CG$10:CG824)+1)</f>
        <v/>
      </c>
      <c r="CH825" s="22" t="str">
        <f t="shared" si="5101"/>
        <v/>
      </c>
      <c r="CI825" s="22" t="str">
        <f>IF(CJ825="","",MAX($CI$10:CI824)+1)</f>
        <v/>
      </c>
      <c r="CJ825" s="22" t="str">
        <f t="shared" si="5102"/>
        <v/>
      </c>
    </row>
    <row r="826" spans="2:88" x14ac:dyDescent="0.25">
      <c r="B826" s="37"/>
      <c r="C826" s="3"/>
      <c r="D826" s="77" t="str">
        <f t="shared" si="5088"/>
        <v/>
      </c>
      <c r="E826" s="38"/>
      <c r="F826" s="38"/>
      <c r="G826" s="78">
        <f t="shared" si="5103"/>
        <v>0</v>
      </c>
      <c r="H826" s="3">
        <v>80</v>
      </c>
      <c r="I826" s="77" t="str">
        <f t="shared" si="5089"/>
        <v/>
      </c>
      <c r="J826" s="32"/>
      <c r="K826" s="3"/>
      <c r="L826" s="39"/>
      <c r="M826" s="39"/>
      <c r="N826" s="39"/>
      <c r="O826" s="39"/>
      <c r="P826" s="39"/>
      <c r="Q826" s="39"/>
      <c r="R826" s="39"/>
      <c r="S826" s="39"/>
      <c r="T826" s="3" t="s">
        <v>645</v>
      </c>
      <c r="U826" s="77" t="str">
        <f t="shared" si="5090"/>
        <v/>
      </c>
      <c r="V826" s="39">
        <v>1</v>
      </c>
      <c r="W826" s="79">
        <f t="shared" si="5104"/>
        <v>0</v>
      </c>
      <c r="X826" s="3">
        <v>0</v>
      </c>
      <c r="Y826" s="77" t="str">
        <f t="shared" si="5091"/>
        <v/>
      </c>
      <c r="Z826" s="3"/>
      <c r="AA826" s="37" t="str">
        <f t="shared" si="5105"/>
        <v/>
      </c>
      <c r="AC826" s="40"/>
      <c r="AD826" s="7"/>
      <c r="AE826" s="77" t="str">
        <f t="shared" si="5092"/>
        <v/>
      </c>
      <c r="AF826" s="81">
        <f t="shared" si="5118"/>
        <v>0</v>
      </c>
      <c r="AG826" s="40"/>
      <c r="AH826" s="7"/>
      <c r="AI826" s="77" t="str">
        <f t="shared" si="5093"/>
        <v/>
      </c>
      <c r="AJ826" s="81">
        <f t="shared" si="5119"/>
        <v>0</v>
      </c>
      <c r="AK826" s="83">
        <f t="shared" si="5120"/>
        <v>0</v>
      </c>
      <c r="AL826" s="83">
        <f t="shared" si="5121"/>
        <v>0</v>
      </c>
      <c r="AN826" s="43">
        <f t="shared" si="5094"/>
        <v>0</v>
      </c>
      <c r="AP826" t="str">
        <f t="shared" si="5122"/>
        <v/>
      </c>
      <c r="AQ826" t="str">
        <f t="shared" si="5123"/>
        <v/>
      </c>
      <c r="AR826" t="str">
        <f t="shared" si="5124"/>
        <v/>
      </c>
      <c r="AS826" t="str">
        <f t="shared" si="5125"/>
        <v/>
      </c>
      <c r="AT826" t="str">
        <f t="shared" si="5126"/>
        <v/>
      </c>
      <c r="AU826" t="str">
        <f t="shared" si="5127"/>
        <v/>
      </c>
      <c r="AV826" t="str">
        <f t="shared" si="5128"/>
        <v/>
      </c>
      <c r="AW826" t="str">
        <f t="shared" si="5129"/>
        <v xml:space="preserve">                              </v>
      </c>
      <c r="AX826" s="23">
        <f t="shared" si="5130"/>
        <v>0</v>
      </c>
      <c r="AY826" s="49" t="str">
        <f t="shared" si="5106"/>
        <v>000000000000000</v>
      </c>
      <c r="AZ826" s="23">
        <f t="shared" si="5131"/>
        <v>0</v>
      </c>
      <c r="BA826" s="49" t="str">
        <f t="shared" si="5106"/>
        <v>000000000000000</v>
      </c>
      <c r="BB826" s="23">
        <f t="shared" si="5132"/>
        <v>0</v>
      </c>
      <c r="BC826" s="49" t="str">
        <f t="shared" ref="BC826" si="5415">IF(BB826&lt;0,SUBSTITUTE(TEXT(BB826,"000000000000,00"),",",""),SUBSTITUTE(TEXT(BB826,"0000000000000,00"),",",""))</f>
        <v>000000000000000</v>
      </c>
      <c r="BD826" s="23">
        <f t="shared" si="5134"/>
        <v>0</v>
      </c>
      <c r="BE826" s="49" t="str">
        <f t="shared" ref="BE826" si="5416">IF(BD826&lt;0,SUBSTITUTE(TEXT(BD826,"000000000000,00"),",",""),SUBSTITUTE(TEXT(BD826,"0000000000000,00"),",",""))</f>
        <v>000000000000000</v>
      </c>
      <c r="BF826" s="23">
        <f t="shared" si="5136"/>
        <v>0</v>
      </c>
      <c r="BG826" s="49" t="str">
        <f t="shared" ref="BG826" si="5417">IF(BF826&lt;0,SUBSTITUTE(TEXT(BF826,"000000000000,00"),",",""),SUBSTITUTE(TEXT(BF826,"0000000000000,00"),",",""))</f>
        <v>000000000000000</v>
      </c>
      <c r="BH826" s="23">
        <f t="shared" si="5138"/>
        <v>0</v>
      </c>
      <c r="BI826" s="49" t="str">
        <f t="shared" ref="BI826" si="5418">IF(BH826&lt;0,SUBSTITUTE(TEXT(BH826,"000000000000,00"),",",""),SUBSTITUTE(TEXT(BH826,"0000000000000,00"),",",""))</f>
        <v>000000000000000</v>
      </c>
      <c r="BJ826" s="23">
        <f t="shared" si="5140"/>
        <v>0</v>
      </c>
      <c r="BK826" s="49" t="str">
        <f t="shared" ref="BK826" si="5419">IF(BJ826&lt;0,SUBSTITUTE(TEXT(BJ826,"000000000000,00"),",",""),SUBSTITUTE(TEXT(BJ826,"0000000000000,00"),",",""))</f>
        <v>000000000000000</v>
      </c>
      <c r="BL826" s="23">
        <f t="shared" si="5142"/>
        <v>0</v>
      </c>
      <c r="BM826" s="49" t="str">
        <f t="shared" ref="BM826" si="5420">IF(BL826&lt;0,SUBSTITUTE(TEXT(BL826,"000000000000,00"),",",""),SUBSTITUTE(TEXT(BL826,"0000000000000,00"),",",""))</f>
        <v>000000000000000</v>
      </c>
      <c r="BN826" t="str">
        <f t="shared" si="5144"/>
        <v>PES</v>
      </c>
      <c r="BO826" t="str">
        <f t="shared" si="5145"/>
        <v>0001000000</v>
      </c>
      <c r="BP826">
        <f t="shared" si="5146"/>
        <v>0</v>
      </c>
      <c r="BQ826">
        <f t="shared" si="5147"/>
        <v>0</v>
      </c>
      <c r="BR826" s="23">
        <f t="shared" si="5148"/>
        <v>0</v>
      </c>
      <c r="BS826" s="49" t="str">
        <f t="shared" si="5113"/>
        <v>000000000000000</v>
      </c>
      <c r="BT826" t="str">
        <f t="shared" si="5149"/>
        <v>00000000</v>
      </c>
      <c r="BU826" s="23">
        <f t="shared" si="5150"/>
        <v>0</v>
      </c>
      <c r="BV826" s="49" t="str">
        <f t="shared" si="5114"/>
        <v/>
      </c>
      <c r="BW826" s="52" t="str">
        <f t="shared" si="5151"/>
        <v/>
      </c>
      <c r="BX826" s="23">
        <f t="shared" si="5152"/>
        <v>0</v>
      </c>
      <c r="BY826" s="49" t="str">
        <f t="shared" si="5115"/>
        <v/>
      </c>
      <c r="BZ826" s="23">
        <f t="shared" si="5153"/>
        <v>0</v>
      </c>
      <c r="CA826" s="49" t="str">
        <f t="shared" si="5116"/>
        <v/>
      </c>
      <c r="CB826" s="52" t="str">
        <f t="shared" si="5154"/>
        <v/>
      </c>
      <c r="CC826" s="23">
        <f t="shared" si="5155"/>
        <v>0</v>
      </c>
      <c r="CD826" s="49" t="str">
        <f t="shared" si="5117"/>
        <v/>
      </c>
      <c r="CE826" s="56" t="str">
        <f>IF(CF826="","",MAX(CE$10:$CE825)+1)</f>
        <v/>
      </c>
      <c r="CF826" t="str">
        <f t="shared" si="5156"/>
        <v/>
      </c>
      <c r="CG826" s="22" t="str">
        <f>IF(CH826="","",MAX($CG$10:CG825)+1)</f>
        <v/>
      </c>
      <c r="CH826" s="22" t="str">
        <f t="shared" si="5101"/>
        <v/>
      </c>
      <c r="CI826" s="22" t="str">
        <f>IF(CJ826="","",MAX($CI$10:CI825)+1)</f>
        <v/>
      </c>
      <c r="CJ826" s="22" t="str">
        <f t="shared" si="5102"/>
        <v/>
      </c>
    </row>
    <row r="827" spans="2:88" x14ac:dyDescent="0.25">
      <c r="B827" s="37"/>
      <c r="C827" s="3"/>
      <c r="D827" s="77" t="str">
        <f t="shared" si="5088"/>
        <v/>
      </c>
      <c r="E827" s="38"/>
      <c r="F827" s="38"/>
      <c r="G827" s="78">
        <f t="shared" si="5103"/>
        <v>0</v>
      </c>
      <c r="H827" s="3">
        <v>80</v>
      </c>
      <c r="I827" s="77" t="str">
        <f t="shared" si="5089"/>
        <v/>
      </c>
      <c r="J827" s="32"/>
      <c r="K827" s="3"/>
      <c r="L827" s="39"/>
      <c r="M827" s="39"/>
      <c r="N827" s="39"/>
      <c r="O827" s="39"/>
      <c r="P827" s="39"/>
      <c r="Q827" s="39"/>
      <c r="R827" s="39"/>
      <c r="S827" s="39"/>
      <c r="T827" s="3" t="s">
        <v>645</v>
      </c>
      <c r="U827" s="77" t="str">
        <f t="shared" si="5090"/>
        <v/>
      </c>
      <c r="V827" s="39">
        <v>1</v>
      </c>
      <c r="W827" s="79">
        <f t="shared" si="5104"/>
        <v>0</v>
      </c>
      <c r="X827" s="3">
        <v>0</v>
      </c>
      <c r="Y827" s="77" t="str">
        <f t="shared" si="5091"/>
        <v/>
      </c>
      <c r="Z827" s="3"/>
      <c r="AA827" s="37" t="str">
        <f t="shared" si="5105"/>
        <v/>
      </c>
      <c r="AC827" s="40"/>
      <c r="AD827" s="7"/>
      <c r="AE827" s="77" t="str">
        <f t="shared" si="5092"/>
        <v/>
      </c>
      <c r="AF827" s="81">
        <f t="shared" si="5118"/>
        <v>0</v>
      </c>
      <c r="AG827" s="40"/>
      <c r="AH827" s="7"/>
      <c r="AI827" s="77" t="str">
        <f t="shared" si="5093"/>
        <v/>
      </c>
      <c r="AJ827" s="81">
        <f t="shared" si="5119"/>
        <v>0</v>
      </c>
      <c r="AK827" s="83">
        <f t="shared" si="5120"/>
        <v>0</v>
      </c>
      <c r="AL827" s="83">
        <f t="shared" si="5121"/>
        <v>0</v>
      </c>
      <c r="AN827" s="43">
        <f t="shared" si="5094"/>
        <v>0</v>
      </c>
      <c r="AP827" t="str">
        <f t="shared" si="5122"/>
        <v/>
      </c>
      <c r="AQ827" t="str">
        <f t="shared" si="5123"/>
        <v/>
      </c>
      <c r="AR827" t="str">
        <f t="shared" si="5124"/>
        <v/>
      </c>
      <c r="AS827" t="str">
        <f t="shared" si="5125"/>
        <v/>
      </c>
      <c r="AT827" t="str">
        <f t="shared" si="5126"/>
        <v/>
      </c>
      <c r="AU827" t="str">
        <f t="shared" si="5127"/>
        <v/>
      </c>
      <c r="AV827" t="str">
        <f t="shared" si="5128"/>
        <v/>
      </c>
      <c r="AW827" t="str">
        <f t="shared" si="5129"/>
        <v xml:space="preserve">                              </v>
      </c>
      <c r="AX827" s="23">
        <f t="shared" si="5130"/>
        <v>0</v>
      </c>
      <c r="AY827" s="49" t="str">
        <f t="shared" si="5106"/>
        <v>000000000000000</v>
      </c>
      <c r="AZ827" s="23">
        <f t="shared" si="5131"/>
        <v>0</v>
      </c>
      <c r="BA827" s="49" t="str">
        <f t="shared" si="5106"/>
        <v>000000000000000</v>
      </c>
      <c r="BB827" s="23">
        <f t="shared" si="5132"/>
        <v>0</v>
      </c>
      <c r="BC827" s="49" t="str">
        <f t="shared" ref="BC827" si="5421">IF(BB827&lt;0,SUBSTITUTE(TEXT(BB827,"000000000000,00"),",",""),SUBSTITUTE(TEXT(BB827,"0000000000000,00"),",",""))</f>
        <v>000000000000000</v>
      </c>
      <c r="BD827" s="23">
        <f t="shared" si="5134"/>
        <v>0</v>
      </c>
      <c r="BE827" s="49" t="str">
        <f t="shared" ref="BE827" si="5422">IF(BD827&lt;0,SUBSTITUTE(TEXT(BD827,"000000000000,00"),",",""),SUBSTITUTE(TEXT(BD827,"0000000000000,00"),",",""))</f>
        <v>000000000000000</v>
      </c>
      <c r="BF827" s="23">
        <f t="shared" si="5136"/>
        <v>0</v>
      </c>
      <c r="BG827" s="49" t="str">
        <f t="shared" ref="BG827" si="5423">IF(BF827&lt;0,SUBSTITUTE(TEXT(BF827,"000000000000,00"),",",""),SUBSTITUTE(TEXT(BF827,"0000000000000,00"),",",""))</f>
        <v>000000000000000</v>
      </c>
      <c r="BH827" s="23">
        <f t="shared" si="5138"/>
        <v>0</v>
      </c>
      <c r="BI827" s="49" t="str">
        <f t="shared" ref="BI827" si="5424">IF(BH827&lt;0,SUBSTITUTE(TEXT(BH827,"000000000000,00"),",",""),SUBSTITUTE(TEXT(BH827,"0000000000000,00"),",",""))</f>
        <v>000000000000000</v>
      </c>
      <c r="BJ827" s="23">
        <f t="shared" si="5140"/>
        <v>0</v>
      </c>
      <c r="BK827" s="49" t="str">
        <f t="shared" ref="BK827" si="5425">IF(BJ827&lt;0,SUBSTITUTE(TEXT(BJ827,"000000000000,00"),",",""),SUBSTITUTE(TEXT(BJ827,"0000000000000,00"),",",""))</f>
        <v>000000000000000</v>
      </c>
      <c r="BL827" s="23">
        <f t="shared" si="5142"/>
        <v>0</v>
      </c>
      <c r="BM827" s="49" t="str">
        <f t="shared" ref="BM827" si="5426">IF(BL827&lt;0,SUBSTITUTE(TEXT(BL827,"000000000000,00"),",",""),SUBSTITUTE(TEXT(BL827,"0000000000000,00"),",",""))</f>
        <v>000000000000000</v>
      </c>
      <c r="BN827" t="str">
        <f t="shared" si="5144"/>
        <v>PES</v>
      </c>
      <c r="BO827" t="str">
        <f t="shared" si="5145"/>
        <v>0001000000</v>
      </c>
      <c r="BP827">
        <f t="shared" si="5146"/>
        <v>0</v>
      </c>
      <c r="BQ827">
        <f t="shared" si="5147"/>
        <v>0</v>
      </c>
      <c r="BR827" s="23">
        <f t="shared" si="5148"/>
        <v>0</v>
      </c>
      <c r="BS827" s="49" t="str">
        <f t="shared" si="5113"/>
        <v>000000000000000</v>
      </c>
      <c r="BT827" t="str">
        <f t="shared" si="5149"/>
        <v>00000000</v>
      </c>
      <c r="BU827" s="23">
        <f t="shared" si="5150"/>
        <v>0</v>
      </c>
      <c r="BV827" s="49" t="str">
        <f t="shared" si="5114"/>
        <v/>
      </c>
      <c r="BW827" s="52" t="str">
        <f t="shared" si="5151"/>
        <v/>
      </c>
      <c r="BX827" s="23">
        <f t="shared" si="5152"/>
        <v>0</v>
      </c>
      <c r="BY827" s="49" t="str">
        <f t="shared" si="5115"/>
        <v/>
      </c>
      <c r="BZ827" s="23">
        <f t="shared" si="5153"/>
        <v>0</v>
      </c>
      <c r="CA827" s="49" t="str">
        <f t="shared" si="5116"/>
        <v/>
      </c>
      <c r="CB827" s="52" t="str">
        <f t="shared" si="5154"/>
        <v/>
      </c>
      <c r="CC827" s="23">
        <f t="shared" si="5155"/>
        <v>0</v>
      </c>
      <c r="CD827" s="49" t="str">
        <f t="shared" si="5117"/>
        <v/>
      </c>
      <c r="CE827" s="56" t="str">
        <f>IF(CF827="","",MAX(CE$10:$CE826)+1)</f>
        <v/>
      </c>
      <c r="CF827" t="str">
        <f t="shared" si="5156"/>
        <v/>
      </c>
      <c r="CG827" s="22" t="str">
        <f>IF(CH827="","",MAX($CG$10:CG826)+1)</f>
        <v/>
      </c>
      <c r="CH827" s="22" t="str">
        <f t="shared" si="5101"/>
        <v/>
      </c>
      <c r="CI827" s="22" t="str">
        <f>IF(CJ827="","",MAX($CI$10:CI826)+1)</f>
        <v/>
      </c>
      <c r="CJ827" s="22" t="str">
        <f t="shared" si="5102"/>
        <v/>
      </c>
    </row>
    <row r="828" spans="2:88" x14ac:dyDescent="0.25">
      <c r="B828" s="37"/>
      <c r="C828" s="3"/>
      <c r="D828" s="77" t="str">
        <f t="shared" si="5088"/>
        <v/>
      </c>
      <c r="E828" s="38"/>
      <c r="F828" s="38"/>
      <c r="G828" s="78">
        <f t="shared" si="5103"/>
        <v>0</v>
      </c>
      <c r="H828" s="3">
        <v>80</v>
      </c>
      <c r="I828" s="77" t="str">
        <f t="shared" si="5089"/>
        <v/>
      </c>
      <c r="J828" s="32"/>
      <c r="K828" s="3"/>
      <c r="L828" s="39"/>
      <c r="M828" s="39"/>
      <c r="N828" s="39"/>
      <c r="O828" s="39"/>
      <c r="P828" s="39"/>
      <c r="Q828" s="39"/>
      <c r="R828" s="39"/>
      <c r="S828" s="39"/>
      <c r="T828" s="3" t="s">
        <v>645</v>
      </c>
      <c r="U828" s="77" t="str">
        <f t="shared" si="5090"/>
        <v/>
      </c>
      <c r="V828" s="39">
        <v>1</v>
      </c>
      <c r="W828" s="79">
        <f t="shared" si="5104"/>
        <v>0</v>
      </c>
      <c r="X828" s="3">
        <v>0</v>
      </c>
      <c r="Y828" s="77" t="str">
        <f t="shared" si="5091"/>
        <v/>
      </c>
      <c r="Z828" s="3"/>
      <c r="AA828" s="37" t="str">
        <f t="shared" si="5105"/>
        <v/>
      </c>
      <c r="AC828" s="40"/>
      <c r="AD828" s="7"/>
      <c r="AE828" s="77" t="str">
        <f t="shared" si="5092"/>
        <v/>
      </c>
      <c r="AF828" s="81">
        <f t="shared" si="5118"/>
        <v>0</v>
      </c>
      <c r="AG828" s="40"/>
      <c r="AH828" s="7"/>
      <c r="AI828" s="77" t="str">
        <f t="shared" si="5093"/>
        <v/>
      </c>
      <c r="AJ828" s="81">
        <f t="shared" si="5119"/>
        <v>0</v>
      </c>
      <c r="AK828" s="83">
        <f t="shared" si="5120"/>
        <v>0</v>
      </c>
      <c r="AL828" s="83">
        <f t="shared" si="5121"/>
        <v>0</v>
      </c>
      <c r="AN828" s="43">
        <f t="shared" si="5094"/>
        <v>0</v>
      </c>
      <c r="AP828" t="str">
        <f t="shared" si="5122"/>
        <v/>
      </c>
      <c r="AQ828" t="str">
        <f t="shared" si="5123"/>
        <v/>
      </c>
      <c r="AR828" t="str">
        <f t="shared" si="5124"/>
        <v/>
      </c>
      <c r="AS828" t="str">
        <f t="shared" si="5125"/>
        <v/>
      </c>
      <c r="AT828" t="str">
        <f t="shared" si="5126"/>
        <v/>
      </c>
      <c r="AU828" t="str">
        <f t="shared" si="5127"/>
        <v/>
      </c>
      <c r="AV828" t="str">
        <f t="shared" si="5128"/>
        <v/>
      </c>
      <c r="AW828" t="str">
        <f t="shared" si="5129"/>
        <v xml:space="preserve">                              </v>
      </c>
      <c r="AX828" s="23">
        <f t="shared" si="5130"/>
        <v>0</v>
      </c>
      <c r="AY828" s="49" t="str">
        <f t="shared" si="5106"/>
        <v>000000000000000</v>
      </c>
      <c r="AZ828" s="23">
        <f t="shared" si="5131"/>
        <v>0</v>
      </c>
      <c r="BA828" s="49" t="str">
        <f t="shared" si="5106"/>
        <v>000000000000000</v>
      </c>
      <c r="BB828" s="23">
        <f t="shared" si="5132"/>
        <v>0</v>
      </c>
      <c r="BC828" s="49" t="str">
        <f t="shared" ref="BC828" si="5427">IF(BB828&lt;0,SUBSTITUTE(TEXT(BB828,"000000000000,00"),",",""),SUBSTITUTE(TEXT(BB828,"0000000000000,00"),",",""))</f>
        <v>000000000000000</v>
      </c>
      <c r="BD828" s="23">
        <f t="shared" si="5134"/>
        <v>0</v>
      </c>
      <c r="BE828" s="49" t="str">
        <f t="shared" ref="BE828" si="5428">IF(BD828&lt;0,SUBSTITUTE(TEXT(BD828,"000000000000,00"),",",""),SUBSTITUTE(TEXT(BD828,"0000000000000,00"),",",""))</f>
        <v>000000000000000</v>
      </c>
      <c r="BF828" s="23">
        <f t="shared" si="5136"/>
        <v>0</v>
      </c>
      <c r="BG828" s="49" t="str">
        <f t="shared" ref="BG828" si="5429">IF(BF828&lt;0,SUBSTITUTE(TEXT(BF828,"000000000000,00"),",",""),SUBSTITUTE(TEXT(BF828,"0000000000000,00"),",",""))</f>
        <v>000000000000000</v>
      </c>
      <c r="BH828" s="23">
        <f t="shared" si="5138"/>
        <v>0</v>
      </c>
      <c r="BI828" s="49" t="str">
        <f t="shared" ref="BI828" si="5430">IF(BH828&lt;0,SUBSTITUTE(TEXT(BH828,"000000000000,00"),",",""),SUBSTITUTE(TEXT(BH828,"0000000000000,00"),",",""))</f>
        <v>000000000000000</v>
      </c>
      <c r="BJ828" s="23">
        <f t="shared" si="5140"/>
        <v>0</v>
      </c>
      <c r="BK828" s="49" t="str">
        <f t="shared" ref="BK828" si="5431">IF(BJ828&lt;0,SUBSTITUTE(TEXT(BJ828,"000000000000,00"),",",""),SUBSTITUTE(TEXT(BJ828,"0000000000000,00"),",",""))</f>
        <v>000000000000000</v>
      </c>
      <c r="BL828" s="23">
        <f t="shared" si="5142"/>
        <v>0</v>
      </c>
      <c r="BM828" s="49" t="str">
        <f t="shared" ref="BM828" si="5432">IF(BL828&lt;0,SUBSTITUTE(TEXT(BL828,"000000000000,00"),",",""),SUBSTITUTE(TEXT(BL828,"0000000000000,00"),",",""))</f>
        <v>000000000000000</v>
      </c>
      <c r="BN828" t="str">
        <f t="shared" si="5144"/>
        <v>PES</v>
      </c>
      <c r="BO828" t="str">
        <f t="shared" si="5145"/>
        <v>0001000000</v>
      </c>
      <c r="BP828">
        <f t="shared" si="5146"/>
        <v>0</v>
      </c>
      <c r="BQ828">
        <f t="shared" si="5147"/>
        <v>0</v>
      </c>
      <c r="BR828" s="23">
        <f t="shared" si="5148"/>
        <v>0</v>
      </c>
      <c r="BS828" s="49" t="str">
        <f t="shared" si="5113"/>
        <v>000000000000000</v>
      </c>
      <c r="BT828" t="str">
        <f t="shared" si="5149"/>
        <v>00000000</v>
      </c>
      <c r="BU828" s="23">
        <f t="shared" si="5150"/>
        <v>0</v>
      </c>
      <c r="BV828" s="49" t="str">
        <f t="shared" si="5114"/>
        <v/>
      </c>
      <c r="BW828" s="52" t="str">
        <f t="shared" si="5151"/>
        <v/>
      </c>
      <c r="BX828" s="23">
        <f t="shared" si="5152"/>
        <v>0</v>
      </c>
      <c r="BY828" s="49" t="str">
        <f t="shared" si="5115"/>
        <v/>
      </c>
      <c r="BZ828" s="23">
        <f t="shared" si="5153"/>
        <v>0</v>
      </c>
      <c r="CA828" s="49" t="str">
        <f t="shared" si="5116"/>
        <v/>
      </c>
      <c r="CB828" s="52" t="str">
        <f t="shared" si="5154"/>
        <v/>
      </c>
      <c r="CC828" s="23">
        <f t="shared" si="5155"/>
        <v>0</v>
      </c>
      <c r="CD828" s="49" t="str">
        <f t="shared" si="5117"/>
        <v/>
      </c>
      <c r="CE828" s="56" t="str">
        <f>IF(CF828="","",MAX(CE$10:$CE827)+1)</f>
        <v/>
      </c>
      <c r="CF828" t="str">
        <f t="shared" si="5156"/>
        <v/>
      </c>
      <c r="CG828" s="22" t="str">
        <f>IF(CH828="","",MAX($CG$10:CG827)+1)</f>
        <v/>
      </c>
      <c r="CH828" s="22" t="str">
        <f t="shared" si="5101"/>
        <v/>
      </c>
      <c r="CI828" s="22" t="str">
        <f>IF(CJ828="","",MAX($CI$10:CI827)+1)</f>
        <v/>
      </c>
      <c r="CJ828" s="22" t="str">
        <f t="shared" si="5102"/>
        <v/>
      </c>
    </row>
    <row r="829" spans="2:88" x14ac:dyDescent="0.25">
      <c r="B829" s="37"/>
      <c r="C829" s="3"/>
      <c r="D829" s="77" t="str">
        <f t="shared" si="5088"/>
        <v/>
      </c>
      <c r="E829" s="38"/>
      <c r="F829" s="38"/>
      <c r="G829" s="78">
        <f t="shared" si="5103"/>
        <v>0</v>
      </c>
      <c r="H829" s="3">
        <v>80</v>
      </c>
      <c r="I829" s="77" t="str">
        <f t="shared" si="5089"/>
        <v/>
      </c>
      <c r="J829" s="32"/>
      <c r="K829" s="3"/>
      <c r="L829" s="39"/>
      <c r="M829" s="39"/>
      <c r="N829" s="39"/>
      <c r="O829" s="39"/>
      <c r="P829" s="39"/>
      <c r="Q829" s="39"/>
      <c r="R829" s="39"/>
      <c r="S829" s="39"/>
      <c r="T829" s="3" t="s">
        <v>645</v>
      </c>
      <c r="U829" s="77" t="str">
        <f t="shared" si="5090"/>
        <v/>
      </c>
      <c r="V829" s="39">
        <v>1</v>
      </c>
      <c r="W829" s="79">
        <f t="shared" si="5104"/>
        <v>0</v>
      </c>
      <c r="X829" s="3">
        <v>0</v>
      </c>
      <c r="Y829" s="77" t="str">
        <f t="shared" si="5091"/>
        <v/>
      </c>
      <c r="Z829" s="3"/>
      <c r="AA829" s="37" t="str">
        <f t="shared" si="5105"/>
        <v/>
      </c>
      <c r="AC829" s="40"/>
      <c r="AD829" s="7"/>
      <c r="AE829" s="77" t="str">
        <f t="shared" si="5092"/>
        <v/>
      </c>
      <c r="AF829" s="81">
        <f t="shared" si="5118"/>
        <v>0</v>
      </c>
      <c r="AG829" s="40"/>
      <c r="AH829" s="7"/>
      <c r="AI829" s="77" t="str">
        <f t="shared" si="5093"/>
        <v/>
      </c>
      <c r="AJ829" s="81">
        <f t="shared" si="5119"/>
        <v>0</v>
      </c>
      <c r="AK829" s="83">
        <f t="shared" si="5120"/>
        <v>0</v>
      </c>
      <c r="AL829" s="83">
        <f t="shared" si="5121"/>
        <v>0</v>
      </c>
      <c r="AN829" s="43">
        <f t="shared" si="5094"/>
        <v>0</v>
      </c>
      <c r="AP829" t="str">
        <f t="shared" si="5122"/>
        <v/>
      </c>
      <c r="AQ829" t="str">
        <f t="shared" si="5123"/>
        <v/>
      </c>
      <c r="AR829" t="str">
        <f t="shared" si="5124"/>
        <v/>
      </c>
      <c r="AS829" t="str">
        <f t="shared" si="5125"/>
        <v/>
      </c>
      <c r="AT829" t="str">
        <f t="shared" si="5126"/>
        <v/>
      </c>
      <c r="AU829" t="str">
        <f t="shared" si="5127"/>
        <v/>
      </c>
      <c r="AV829" t="str">
        <f t="shared" si="5128"/>
        <v/>
      </c>
      <c r="AW829" t="str">
        <f t="shared" si="5129"/>
        <v xml:space="preserve">                              </v>
      </c>
      <c r="AX829" s="23">
        <f t="shared" si="5130"/>
        <v>0</v>
      </c>
      <c r="AY829" s="49" t="str">
        <f t="shared" si="5106"/>
        <v>000000000000000</v>
      </c>
      <c r="AZ829" s="23">
        <f t="shared" si="5131"/>
        <v>0</v>
      </c>
      <c r="BA829" s="49" t="str">
        <f t="shared" si="5106"/>
        <v>000000000000000</v>
      </c>
      <c r="BB829" s="23">
        <f t="shared" si="5132"/>
        <v>0</v>
      </c>
      <c r="BC829" s="49" t="str">
        <f t="shared" ref="BC829" si="5433">IF(BB829&lt;0,SUBSTITUTE(TEXT(BB829,"000000000000,00"),",",""),SUBSTITUTE(TEXT(BB829,"0000000000000,00"),",",""))</f>
        <v>000000000000000</v>
      </c>
      <c r="BD829" s="23">
        <f t="shared" si="5134"/>
        <v>0</v>
      </c>
      <c r="BE829" s="49" t="str">
        <f t="shared" ref="BE829" si="5434">IF(BD829&lt;0,SUBSTITUTE(TEXT(BD829,"000000000000,00"),",",""),SUBSTITUTE(TEXT(BD829,"0000000000000,00"),",",""))</f>
        <v>000000000000000</v>
      </c>
      <c r="BF829" s="23">
        <f t="shared" si="5136"/>
        <v>0</v>
      </c>
      <c r="BG829" s="49" t="str">
        <f t="shared" ref="BG829" si="5435">IF(BF829&lt;0,SUBSTITUTE(TEXT(BF829,"000000000000,00"),",",""),SUBSTITUTE(TEXT(BF829,"0000000000000,00"),",",""))</f>
        <v>000000000000000</v>
      </c>
      <c r="BH829" s="23">
        <f t="shared" si="5138"/>
        <v>0</v>
      </c>
      <c r="BI829" s="49" t="str">
        <f t="shared" ref="BI829" si="5436">IF(BH829&lt;0,SUBSTITUTE(TEXT(BH829,"000000000000,00"),",",""),SUBSTITUTE(TEXT(BH829,"0000000000000,00"),",",""))</f>
        <v>000000000000000</v>
      </c>
      <c r="BJ829" s="23">
        <f t="shared" si="5140"/>
        <v>0</v>
      </c>
      <c r="BK829" s="49" t="str">
        <f t="shared" ref="BK829" si="5437">IF(BJ829&lt;0,SUBSTITUTE(TEXT(BJ829,"000000000000,00"),",",""),SUBSTITUTE(TEXT(BJ829,"0000000000000,00"),",",""))</f>
        <v>000000000000000</v>
      </c>
      <c r="BL829" s="23">
        <f t="shared" si="5142"/>
        <v>0</v>
      </c>
      <c r="BM829" s="49" t="str">
        <f t="shared" ref="BM829" si="5438">IF(BL829&lt;0,SUBSTITUTE(TEXT(BL829,"000000000000,00"),",",""),SUBSTITUTE(TEXT(BL829,"0000000000000,00"),",",""))</f>
        <v>000000000000000</v>
      </c>
      <c r="BN829" t="str">
        <f t="shared" si="5144"/>
        <v>PES</v>
      </c>
      <c r="BO829" t="str">
        <f t="shared" si="5145"/>
        <v>0001000000</v>
      </c>
      <c r="BP829">
        <f t="shared" si="5146"/>
        <v>0</v>
      </c>
      <c r="BQ829">
        <f t="shared" si="5147"/>
        <v>0</v>
      </c>
      <c r="BR829" s="23">
        <f t="shared" si="5148"/>
        <v>0</v>
      </c>
      <c r="BS829" s="49" t="str">
        <f t="shared" si="5113"/>
        <v>000000000000000</v>
      </c>
      <c r="BT829" t="str">
        <f t="shared" si="5149"/>
        <v>00000000</v>
      </c>
      <c r="BU829" s="23">
        <f t="shared" si="5150"/>
        <v>0</v>
      </c>
      <c r="BV829" s="49" t="str">
        <f t="shared" si="5114"/>
        <v/>
      </c>
      <c r="BW829" s="52" t="str">
        <f t="shared" si="5151"/>
        <v/>
      </c>
      <c r="BX829" s="23">
        <f t="shared" si="5152"/>
        <v>0</v>
      </c>
      <c r="BY829" s="49" t="str">
        <f t="shared" si="5115"/>
        <v/>
      </c>
      <c r="BZ829" s="23">
        <f t="shared" si="5153"/>
        <v>0</v>
      </c>
      <c r="CA829" s="49" t="str">
        <f t="shared" si="5116"/>
        <v/>
      </c>
      <c r="CB829" s="52" t="str">
        <f t="shared" si="5154"/>
        <v/>
      </c>
      <c r="CC829" s="23">
        <f t="shared" si="5155"/>
        <v>0</v>
      </c>
      <c r="CD829" s="49" t="str">
        <f t="shared" si="5117"/>
        <v/>
      </c>
      <c r="CE829" s="56" t="str">
        <f>IF(CF829="","",MAX(CE$10:$CE828)+1)</f>
        <v/>
      </c>
      <c r="CF829" t="str">
        <f t="shared" si="5156"/>
        <v/>
      </c>
      <c r="CG829" s="22" t="str">
        <f>IF(CH829="","",MAX($CG$10:CG828)+1)</f>
        <v/>
      </c>
      <c r="CH829" s="22" t="str">
        <f t="shared" si="5101"/>
        <v/>
      </c>
      <c r="CI829" s="22" t="str">
        <f>IF(CJ829="","",MAX($CI$10:CI828)+1)</f>
        <v/>
      </c>
      <c r="CJ829" s="22" t="str">
        <f t="shared" si="5102"/>
        <v/>
      </c>
    </row>
    <row r="830" spans="2:88" x14ac:dyDescent="0.25">
      <c r="B830" s="37"/>
      <c r="C830" s="3"/>
      <c r="D830" s="77" t="str">
        <f t="shared" si="5088"/>
        <v/>
      </c>
      <c r="E830" s="38"/>
      <c r="F830" s="38"/>
      <c r="G830" s="78">
        <f t="shared" si="5103"/>
        <v>0</v>
      </c>
      <c r="H830" s="3">
        <v>80</v>
      </c>
      <c r="I830" s="77" t="str">
        <f t="shared" si="5089"/>
        <v/>
      </c>
      <c r="J830" s="32"/>
      <c r="K830" s="3"/>
      <c r="L830" s="39"/>
      <c r="M830" s="39"/>
      <c r="N830" s="39"/>
      <c r="O830" s="39"/>
      <c r="P830" s="39"/>
      <c r="Q830" s="39"/>
      <c r="R830" s="39"/>
      <c r="S830" s="39"/>
      <c r="T830" s="3" t="s">
        <v>645</v>
      </c>
      <c r="U830" s="77" t="str">
        <f t="shared" si="5090"/>
        <v/>
      </c>
      <c r="V830" s="39">
        <v>1</v>
      </c>
      <c r="W830" s="79">
        <f t="shared" si="5104"/>
        <v>0</v>
      </c>
      <c r="X830" s="3">
        <v>0</v>
      </c>
      <c r="Y830" s="77" t="str">
        <f t="shared" si="5091"/>
        <v/>
      </c>
      <c r="Z830" s="3"/>
      <c r="AA830" s="37" t="str">
        <f t="shared" si="5105"/>
        <v/>
      </c>
      <c r="AC830" s="40"/>
      <c r="AD830" s="7"/>
      <c r="AE830" s="77" t="str">
        <f t="shared" si="5092"/>
        <v/>
      </c>
      <c r="AF830" s="81">
        <f t="shared" si="5118"/>
        <v>0</v>
      </c>
      <c r="AG830" s="40"/>
      <c r="AH830" s="7"/>
      <c r="AI830" s="77" t="str">
        <f t="shared" si="5093"/>
        <v/>
      </c>
      <c r="AJ830" s="81">
        <f t="shared" si="5119"/>
        <v>0</v>
      </c>
      <c r="AK830" s="83">
        <f t="shared" si="5120"/>
        <v>0</v>
      </c>
      <c r="AL830" s="83">
        <f t="shared" si="5121"/>
        <v>0</v>
      </c>
      <c r="AN830" s="43">
        <f t="shared" si="5094"/>
        <v>0</v>
      </c>
      <c r="AP830" t="str">
        <f t="shared" si="5122"/>
        <v/>
      </c>
      <c r="AQ830" t="str">
        <f t="shared" si="5123"/>
        <v/>
      </c>
      <c r="AR830" t="str">
        <f t="shared" si="5124"/>
        <v/>
      </c>
      <c r="AS830" t="str">
        <f t="shared" si="5125"/>
        <v/>
      </c>
      <c r="AT830" t="str">
        <f t="shared" si="5126"/>
        <v/>
      </c>
      <c r="AU830" t="str">
        <f t="shared" si="5127"/>
        <v/>
      </c>
      <c r="AV830" t="str">
        <f t="shared" si="5128"/>
        <v/>
      </c>
      <c r="AW830" t="str">
        <f t="shared" si="5129"/>
        <v xml:space="preserve">                              </v>
      </c>
      <c r="AX830" s="23">
        <f t="shared" si="5130"/>
        <v>0</v>
      </c>
      <c r="AY830" s="49" t="str">
        <f t="shared" si="5106"/>
        <v>000000000000000</v>
      </c>
      <c r="AZ830" s="23">
        <f t="shared" si="5131"/>
        <v>0</v>
      </c>
      <c r="BA830" s="49" t="str">
        <f t="shared" si="5106"/>
        <v>000000000000000</v>
      </c>
      <c r="BB830" s="23">
        <f t="shared" si="5132"/>
        <v>0</v>
      </c>
      <c r="BC830" s="49" t="str">
        <f t="shared" ref="BC830" si="5439">IF(BB830&lt;0,SUBSTITUTE(TEXT(BB830,"000000000000,00"),",",""),SUBSTITUTE(TEXT(BB830,"0000000000000,00"),",",""))</f>
        <v>000000000000000</v>
      </c>
      <c r="BD830" s="23">
        <f t="shared" si="5134"/>
        <v>0</v>
      </c>
      <c r="BE830" s="49" t="str">
        <f t="shared" ref="BE830" si="5440">IF(BD830&lt;0,SUBSTITUTE(TEXT(BD830,"000000000000,00"),",",""),SUBSTITUTE(TEXT(BD830,"0000000000000,00"),",",""))</f>
        <v>000000000000000</v>
      </c>
      <c r="BF830" s="23">
        <f t="shared" si="5136"/>
        <v>0</v>
      </c>
      <c r="BG830" s="49" t="str">
        <f t="shared" ref="BG830" si="5441">IF(BF830&lt;0,SUBSTITUTE(TEXT(BF830,"000000000000,00"),",",""),SUBSTITUTE(TEXT(BF830,"0000000000000,00"),",",""))</f>
        <v>000000000000000</v>
      </c>
      <c r="BH830" s="23">
        <f t="shared" si="5138"/>
        <v>0</v>
      </c>
      <c r="BI830" s="49" t="str">
        <f t="shared" ref="BI830" si="5442">IF(BH830&lt;0,SUBSTITUTE(TEXT(BH830,"000000000000,00"),",",""),SUBSTITUTE(TEXT(BH830,"0000000000000,00"),",",""))</f>
        <v>000000000000000</v>
      </c>
      <c r="BJ830" s="23">
        <f t="shared" si="5140"/>
        <v>0</v>
      </c>
      <c r="BK830" s="49" t="str">
        <f t="shared" ref="BK830" si="5443">IF(BJ830&lt;0,SUBSTITUTE(TEXT(BJ830,"000000000000,00"),",",""),SUBSTITUTE(TEXT(BJ830,"0000000000000,00"),",",""))</f>
        <v>000000000000000</v>
      </c>
      <c r="BL830" s="23">
        <f t="shared" si="5142"/>
        <v>0</v>
      </c>
      <c r="BM830" s="49" t="str">
        <f t="shared" ref="BM830" si="5444">IF(BL830&lt;0,SUBSTITUTE(TEXT(BL830,"000000000000,00"),",",""),SUBSTITUTE(TEXT(BL830,"0000000000000,00"),",",""))</f>
        <v>000000000000000</v>
      </c>
      <c r="BN830" t="str">
        <f t="shared" si="5144"/>
        <v>PES</v>
      </c>
      <c r="BO830" t="str">
        <f t="shared" si="5145"/>
        <v>0001000000</v>
      </c>
      <c r="BP830">
        <f t="shared" si="5146"/>
        <v>0</v>
      </c>
      <c r="BQ830">
        <f t="shared" si="5147"/>
        <v>0</v>
      </c>
      <c r="BR830" s="23">
        <f t="shared" si="5148"/>
        <v>0</v>
      </c>
      <c r="BS830" s="49" t="str">
        <f t="shared" si="5113"/>
        <v>000000000000000</v>
      </c>
      <c r="BT830" t="str">
        <f t="shared" si="5149"/>
        <v>00000000</v>
      </c>
      <c r="BU830" s="23">
        <f t="shared" si="5150"/>
        <v>0</v>
      </c>
      <c r="BV830" s="49" t="str">
        <f t="shared" si="5114"/>
        <v/>
      </c>
      <c r="BW830" s="52" t="str">
        <f t="shared" si="5151"/>
        <v/>
      </c>
      <c r="BX830" s="23">
        <f t="shared" si="5152"/>
        <v>0</v>
      </c>
      <c r="BY830" s="49" t="str">
        <f t="shared" si="5115"/>
        <v/>
      </c>
      <c r="BZ830" s="23">
        <f t="shared" si="5153"/>
        <v>0</v>
      </c>
      <c r="CA830" s="49" t="str">
        <f t="shared" si="5116"/>
        <v/>
      </c>
      <c r="CB830" s="52" t="str">
        <f t="shared" si="5154"/>
        <v/>
      </c>
      <c r="CC830" s="23">
        <f t="shared" si="5155"/>
        <v>0</v>
      </c>
      <c r="CD830" s="49" t="str">
        <f t="shared" si="5117"/>
        <v/>
      </c>
      <c r="CE830" s="56" t="str">
        <f>IF(CF830="","",MAX(CE$10:$CE829)+1)</f>
        <v/>
      </c>
      <c r="CF830" t="str">
        <f t="shared" si="5156"/>
        <v/>
      </c>
      <c r="CG830" s="22" t="str">
        <f>IF(CH830="","",MAX($CG$10:CG829)+1)</f>
        <v/>
      </c>
      <c r="CH830" s="22" t="str">
        <f t="shared" si="5101"/>
        <v/>
      </c>
      <c r="CI830" s="22" t="str">
        <f>IF(CJ830="","",MAX($CI$10:CI829)+1)</f>
        <v/>
      </c>
      <c r="CJ830" s="22" t="str">
        <f t="shared" si="5102"/>
        <v/>
      </c>
    </row>
    <row r="831" spans="2:88" x14ac:dyDescent="0.25">
      <c r="B831" s="37"/>
      <c r="C831" s="3"/>
      <c r="D831" s="77" t="str">
        <f t="shared" si="5088"/>
        <v/>
      </c>
      <c r="E831" s="38"/>
      <c r="F831" s="38"/>
      <c r="G831" s="78">
        <f t="shared" si="5103"/>
        <v>0</v>
      </c>
      <c r="H831" s="3">
        <v>80</v>
      </c>
      <c r="I831" s="77" t="str">
        <f t="shared" si="5089"/>
        <v/>
      </c>
      <c r="J831" s="32"/>
      <c r="K831" s="3"/>
      <c r="L831" s="39"/>
      <c r="M831" s="39"/>
      <c r="N831" s="39"/>
      <c r="O831" s="39"/>
      <c r="P831" s="39"/>
      <c r="Q831" s="39"/>
      <c r="R831" s="39"/>
      <c r="S831" s="39"/>
      <c r="T831" s="3" t="s">
        <v>645</v>
      </c>
      <c r="U831" s="77" t="str">
        <f t="shared" si="5090"/>
        <v/>
      </c>
      <c r="V831" s="39">
        <v>1</v>
      </c>
      <c r="W831" s="79">
        <f t="shared" si="5104"/>
        <v>0</v>
      </c>
      <c r="X831" s="3">
        <v>0</v>
      </c>
      <c r="Y831" s="77" t="str">
        <f t="shared" si="5091"/>
        <v/>
      </c>
      <c r="Z831" s="3"/>
      <c r="AA831" s="37" t="str">
        <f t="shared" si="5105"/>
        <v/>
      </c>
      <c r="AC831" s="40"/>
      <c r="AD831" s="7"/>
      <c r="AE831" s="77" t="str">
        <f t="shared" si="5092"/>
        <v/>
      </c>
      <c r="AF831" s="81">
        <f t="shared" si="5118"/>
        <v>0</v>
      </c>
      <c r="AG831" s="40"/>
      <c r="AH831" s="7"/>
      <c r="AI831" s="77" t="str">
        <f t="shared" si="5093"/>
        <v/>
      </c>
      <c r="AJ831" s="81">
        <f t="shared" si="5119"/>
        <v>0</v>
      </c>
      <c r="AK831" s="83">
        <f t="shared" si="5120"/>
        <v>0</v>
      </c>
      <c r="AL831" s="83">
        <f t="shared" si="5121"/>
        <v>0</v>
      </c>
      <c r="AN831" s="43">
        <f t="shared" si="5094"/>
        <v>0</v>
      </c>
      <c r="AP831" t="str">
        <f t="shared" si="5122"/>
        <v/>
      </c>
      <c r="AQ831" t="str">
        <f t="shared" si="5123"/>
        <v/>
      </c>
      <c r="AR831" t="str">
        <f t="shared" si="5124"/>
        <v/>
      </c>
      <c r="AS831" t="str">
        <f t="shared" si="5125"/>
        <v/>
      </c>
      <c r="AT831" t="str">
        <f t="shared" si="5126"/>
        <v/>
      </c>
      <c r="AU831" t="str">
        <f t="shared" si="5127"/>
        <v/>
      </c>
      <c r="AV831" t="str">
        <f t="shared" si="5128"/>
        <v/>
      </c>
      <c r="AW831" t="str">
        <f t="shared" si="5129"/>
        <v xml:space="preserve">                              </v>
      </c>
      <c r="AX831" s="23">
        <f t="shared" si="5130"/>
        <v>0</v>
      </c>
      <c r="AY831" s="49" t="str">
        <f t="shared" si="5106"/>
        <v>000000000000000</v>
      </c>
      <c r="AZ831" s="23">
        <f t="shared" si="5131"/>
        <v>0</v>
      </c>
      <c r="BA831" s="49" t="str">
        <f t="shared" si="5106"/>
        <v>000000000000000</v>
      </c>
      <c r="BB831" s="23">
        <f t="shared" si="5132"/>
        <v>0</v>
      </c>
      <c r="BC831" s="49" t="str">
        <f t="shared" ref="BC831" si="5445">IF(BB831&lt;0,SUBSTITUTE(TEXT(BB831,"000000000000,00"),",",""),SUBSTITUTE(TEXT(BB831,"0000000000000,00"),",",""))</f>
        <v>000000000000000</v>
      </c>
      <c r="BD831" s="23">
        <f t="shared" si="5134"/>
        <v>0</v>
      </c>
      <c r="BE831" s="49" t="str">
        <f t="shared" ref="BE831" si="5446">IF(BD831&lt;0,SUBSTITUTE(TEXT(BD831,"000000000000,00"),",",""),SUBSTITUTE(TEXT(BD831,"0000000000000,00"),",",""))</f>
        <v>000000000000000</v>
      </c>
      <c r="BF831" s="23">
        <f t="shared" si="5136"/>
        <v>0</v>
      </c>
      <c r="BG831" s="49" t="str">
        <f t="shared" ref="BG831" si="5447">IF(BF831&lt;0,SUBSTITUTE(TEXT(BF831,"000000000000,00"),",",""),SUBSTITUTE(TEXT(BF831,"0000000000000,00"),",",""))</f>
        <v>000000000000000</v>
      </c>
      <c r="BH831" s="23">
        <f t="shared" si="5138"/>
        <v>0</v>
      </c>
      <c r="BI831" s="49" t="str">
        <f t="shared" ref="BI831" si="5448">IF(BH831&lt;0,SUBSTITUTE(TEXT(BH831,"000000000000,00"),",",""),SUBSTITUTE(TEXT(BH831,"0000000000000,00"),",",""))</f>
        <v>000000000000000</v>
      </c>
      <c r="BJ831" s="23">
        <f t="shared" si="5140"/>
        <v>0</v>
      </c>
      <c r="BK831" s="49" t="str">
        <f t="shared" ref="BK831" si="5449">IF(BJ831&lt;0,SUBSTITUTE(TEXT(BJ831,"000000000000,00"),",",""),SUBSTITUTE(TEXT(BJ831,"0000000000000,00"),",",""))</f>
        <v>000000000000000</v>
      </c>
      <c r="BL831" s="23">
        <f t="shared" si="5142"/>
        <v>0</v>
      </c>
      <c r="BM831" s="49" t="str">
        <f t="shared" ref="BM831" si="5450">IF(BL831&lt;0,SUBSTITUTE(TEXT(BL831,"000000000000,00"),",",""),SUBSTITUTE(TEXT(BL831,"0000000000000,00"),",",""))</f>
        <v>000000000000000</v>
      </c>
      <c r="BN831" t="str">
        <f t="shared" si="5144"/>
        <v>PES</v>
      </c>
      <c r="BO831" t="str">
        <f t="shared" si="5145"/>
        <v>0001000000</v>
      </c>
      <c r="BP831">
        <f t="shared" si="5146"/>
        <v>0</v>
      </c>
      <c r="BQ831">
        <f t="shared" si="5147"/>
        <v>0</v>
      </c>
      <c r="BR831" s="23">
        <f t="shared" si="5148"/>
        <v>0</v>
      </c>
      <c r="BS831" s="49" t="str">
        <f t="shared" si="5113"/>
        <v>000000000000000</v>
      </c>
      <c r="BT831" t="str">
        <f t="shared" si="5149"/>
        <v>00000000</v>
      </c>
      <c r="BU831" s="23">
        <f t="shared" si="5150"/>
        <v>0</v>
      </c>
      <c r="BV831" s="49" t="str">
        <f t="shared" si="5114"/>
        <v/>
      </c>
      <c r="BW831" s="52" t="str">
        <f t="shared" si="5151"/>
        <v/>
      </c>
      <c r="BX831" s="23">
        <f t="shared" si="5152"/>
        <v>0</v>
      </c>
      <c r="BY831" s="49" t="str">
        <f t="shared" si="5115"/>
        <v/>
      </c>
      <c r="BZ831" s="23">
        <f t="shared" si="5153"/>
        <v>0</v>
      </c>
      <c r="CA831" s="49" t="str">
        <f t="shared" si="5116"/>
        <v/>
      </c>
      <c r="CB831" s="52" t="str">
        <f t="shared" si="5154"/>
        <v/>
      </c>
      <c r="CC831" s="23">
        <f t="shared" si="5155"/>
        <v>0</v>
      </c>
      <c r="CD831" s="49" t="str">
        <f t="shared" si="5117"/>
        <v/>
      </c>
      <c r="CE831" s="56" t="str">
        <f>IF(CF831="","",MAX(CE$10:$CE830)+1)</f>
        <v/>
      </c>
      <c r="CF831" t="str">
        <f t="shared" si="5156"/>
        <v/>
      </c>
      <c r="CG831" s="22" t="str">
        <f>IF(CH831="","",MAX($CG$10:CG830)+1)</f>
        <v/>
      </c>
      <c r="CH831" s="22" t="str">
        <f t="shared" si="5101"/>
        <v/>
      </c>
      <c r="CI831" s="22" t="str">
        <f>IF(CJ831="","",MAX($CI$10:CI830)+1)</f>
        <v/>
      </c>
      <c r="CJ831" s="22" t="str">
        <f t="shared" si="5102"/>
        <v/>
      </c>
    </row>
    <row r="832" spans="2:88" x14ac:dyDescent="0.25">
      <c r="B832" s="37"/>
      <c r="C832" s="3"/>
      <c r="D832" s="77" t="str">
        <f t="shared" si="5088"/>
        <v/>
      </c>
      <c r="E832" s="38"/>
      <c r="F832" s="38"/>
      <c r="G832" s="78">
        <f t="shared" si="5103"/>
        <v>0</v>
      </c>
      <c r="H832" s="3">
        <v>80</v>
      </c>
      <c r="I832" s="77" t="str">
        <f t="shared" si="5089"/>
        <v/>
      </c>
      <c r="J832" s="32"/>
      <c r="K832" s="3"/>
      <c r="L832" s="39"/>
      <c r="M832" s="39"/>
      <c r="N832" s="39"/>
      <c r="O832" s="39"/>
      <c r="P832" s="39"/>
      <c r="Q832" s="39"/>
      <c r="R832" s="39"/>
      <c r="S832" s="39"/>
      <c r="T832" s="3" t="s">
        <v>645</v>
      </c>
      <c r="U832" s="77" t="str">
        <f t="shared" si="5090"/>
        <v/>
      </c>
      <c r="V832" s="39">
        <v>1</v>
      </c>
      <c r="W832" s="79">
        <f t="shared" si="5104"/>
        <v>0</v>
      </c>
      <c r="X832" s="3">
        <v>0</v>
      </c>
      <c r="Y832" s="77" t="str">
        <f t="shared" si="5091"/>
        <v/>
      </c>
      <c r="Z832" s="3"/>
      <c r="AA832" s="37" t="str">
        <f t="shared" si="5105"/>
        <v/>
      </c>
      <c r="AC832" s="40"/>
      <c r="AD832" s="7"/>
      <c r="AE832" s="77" t="str">
        <f t="shared" si="5092"/>
        <v/>
      </c>
      <c r="AF832" s="81">
        <f t="shared" si="5118"/>
        <v>0</v>
      </c>
      <c r="AG832" s="40"/>
      <c r="AH832" s="7"/>
      <c r="AI832" s="77" t="str">
        <f t="shared" si="5093"/>
        <v/>
      </c>
      <c r="AJ832" s="81">
        <f t="shared" si="5119"/>
        <v>0</v>
      </c>
      <c r="AK832" s="83">
        <f t="shared" si="5120"/>
        <v>0</v>
      </c>
      <c r="AL832" s="83">
        <f t="shared" si="5121"/>
        <v>0</v>
      </c>
      <c r="AN832" s="43">
        <f t="shared" si="5094"/>
        <v>0</v>
      </c>
      <c r="AP832" t="str">
        <f t="shared" si="5122"/>
        <v/>
      </c>
      <c r="AQ832" t="str">
        <f t="shared" si="5123"/>
        <v/>
      </c>
      <c r="AR832" t="str">
        <f t="shared" si="5124"/>
        <v/>
      </c>
      <c r="AS832" t="str">
        <f t="shared" si="5125"/>
        <v/>
      </c>
      <c r="AT832" t="str">
        <f t="shared" si="5126"/>
        <v/>
      </c>
      <c r="AU832" t="str">
        <f t="shared" si="5127"/>
        <v/>
      </c>
      <c r="AV832" t="str">
        <f t="shared" si="5128"/>
        <v/>
      </c>
      <c r="AW832" t="str">
        <f t="shared" si="5129"/>
        <v xml:space="preserve">                              </v>
      </c>
      <c r="AX832" s="23">
        <f t="shared" si="5130"/>
        <v>0</v>
      </c>
      <c r="AY832" s="49" t="str">
        <f t="shared" si="5106"/>
        <v>000000000000000</v>
      </c>
      <c r="AZ832" s="23">
        <f t="shared" si="5131"/>
        <v>0</v>
      </c>
      <c r="BA832" s="49" t="str">
        <f t="shared" si="5106"/>
        <v>000000000000000</v>
      </c>
      <c r="BB832" s="23">
        <f t="shared" si="5132"/>
        <v>0</v>
      </c>
      <c r="BC832" s="49" t="str">
        <f t="shared" ref="BC832" si="5451">IF(BB832&lt;0,SUBSTITUTE(TEXT(BB832,"000000000000,00"),",",""),SUBSTITUTE(TEXT(BB832,"0000000000000,00"),",",""))</f>
        <v>000000000000000</v>
      </c>
      <c r="BD832" s="23">
        <f t="shared" si="5134"/>
        <v>0</v>
      </c>
      <c r="BE832" s="49" t="str">
        <f t="shared" ref="BE832" si="5452">IF(BD832&lt;0,SUBSTITUTE(TEXT(BD832,"000000000000,00"),",",""),SUBSTITUTE(TEXT(BD832,"0000000000000,00"),",",""))</f>
        <v>000000000000000</v>
      </c>
      <c r="BF832" s="23">
        <f t="shared" si="5136"/>
        <v>0</v>
      </c>
      <c r="BG832" s="49" t="str">
        <f t="shared" ref="BG832" si="5453">IF(BF832&lt;0,SUBSTITUTE(TEXT(BF832,"000000000000,00"),",",""),SUBSTITUTE(TEXT(BF832,"0000000000000,00"),",",""))</f>
        <v>000000000000000</v>
      </c>
      <c r="BH832" s="23">
        <f t="shared" si="5138"/>
        <v>0</v>
      </c>
      <c r="BI832" s="49" t="str">
        <f t="shared" ref="BI832" si="5454">IF(BH832&lt;0,SUBSTITUTE(TEXT(BH832,"000000000000,00"),",",""),SUBSTITUTE(TEXT(BH832,"0000000000000,00"),",",""))</f>
        <v>000000000000000</v>
      </c>
      <c r="BJ832" s="23">
        <f t="shared" si="5140"/>
        <v>0</v>
      </c>
      <c r="BK832" s="49" t="str">
        <f t="shared" ref="BK832" si="5455">IF(BJ832&lt;0,SUBSTITUTE(TEXT(BJ832,"000000000000,00"),",",""),SUBSTITUTE(TEXT(BJ832,"0000000000000,00"),",",""))</f>
        <v>000000000000000</v>
      </c>
      <c r="BL832" s="23">
        <f t="shared" si="5142"/>
        <v>0</v>
      </c>
      <c r="BM832" s="49" t="str">
        <f t="shared" ref="BM832" si="5456">IF(BL832&lt;0,SUBSTITUTE(TEXT(BL832,"000000000000,00"),",",""),SUBSTITUTE(TEXT(BL832,"0000000000000,00"),",",""))</f>
        <v>000000000000000</v>
      </c>
      <c r="BN832" t="str">
        <f t="shared" si="5144"/>
        <v>PES</v>
      </c>
      <c r="BO832" t="str">
        <f t="shared" si="5145"/>
        <v>0001000000</v>
      </c>
      <c r="BP832">
        <f t="shared" si="5146"/>
        <v>0</v>
      </c>
      <c r="BQ832">
        <f t="shared" si="5147"/>
        <v>0</v>
      </c>
      <c r="BR832" s="23">
        <f t="shared" si="5148"/>
        <v>0</v>
      </c>
      <c r="BS832" s="49" t="str">
        <f t="shared" si="5113"/>
        <v>000000000000000</v>
      </c>
      <c r="BT832" t="str">
        <f t="shared" si="5149"/>
        <v>00000000</v>
      </c>
      <c r="BU832" s="23">
        <f t="shared" si="5150"/>
        <v>0</v>
      </c>
      <c r="BV832" s="49" t="str">
        <f t="shared" si="5114"/>
        <v/>
      </c>
      <c r="BW832" s="52" t="str">
        <f t="shared" si="5151"/>
        <v/>
      </c>
      <c r="BX832" s="23">
        <f t="shared" si="5152"/>
        <v>0</v>
      </c>
      <c r="BY832" s="49" t="str">
        <f t="shared" si="5115"/>
        <v/>
      </c>
      <c r="BZ832" s="23">
        <f t="shared" si="5153"/>
        <v>0</v>
      </c>
      <c r="CA832" s="49" t="str">
        <f t="shared" si="5116"/>
        <v/>
      </c>
      <c r="CB832" s="52" t="str">
        <f t="shared" si="5154"/>
        <v/>
      </c>
      <c r="CC832" s="23">
        <f t="shared" si="5155"/>
        <v>0</v>
      </c>
      <c r="CD832" s="49" t="str">
        <f t="shared" si="5117"/>
        <v/>
      </c>
      <c r="CE832" s="56" t="str">
        <f>IF(CF832="","",MAX(CE$10:$CE831)+1)</f>
        <v/>
      </c>
      <c r="CF832" t="str">
        <f t="shared" si="5156"/>
        <v/>
      </c>
      <c r="CG832" s="22" t="str">
        <f>IF(CH832="","",MAX($CG$10:CG831)+1)</f>
        <v/>
      </c>
      <c r="CH832" s="22" t="str">
        <f t="shared" si="5101"/>
        <v/>
      </c>
      <c r="CI832" s="22" t="str">
        <f>IF(CJ832="","",MAX($CI$10:CI831)+1)</f>
        <v/>
      </c>
      <c r="CJ832" s="22" t="str">
        <f t="shared" si="5102"/>
        <v/>
      </c>
    </row>
    <row r="833" spans="2:88" x14ac:dyDescent="0.25">
      <c r="B833" s="37"/>
      <c r="C833" s="3"/>
      <c r="D833" s="77" t="str">
        <f t="shared" si="5088"/>
        <v/>
      </c>
      <c r="E833" s="38"/>
      <c r="F833" s="38"/>
      <c r="G833" s="78">
        <f t="shared" si="5103"/>
        <v>0</v>
      </c>
      <c r="H833" s="3">
        <v>80</v>
      </c>
      <c r="I833" s="77" t="str">
        <f t="shared" si="5089"/>
        <v/>
      </c>
      <c r="J833" s="32"/>
      <c r="K833" s="3"/>
      <c r="L833" s="39"/>
      <c r="M833" s="39"/>
      <c r="N833" s="39"/>
      <c r="O833" s="39"/>
      <c r="P833" s="39"/>
      <c r="Q833" s="39"/>
      <c r="R833" s="39"/>
      <c r="S833" s="39"/>
      <c r="T833" s="3" t="s">
        <v>645</v>
      </c>
      <c r="U833" s="77" t="str">
        <f t="shared" si="5090"/>
        <v/>
      </c>
      <c r="V833" s="39">
        <v>1</v>
      </c>
      <c r="W833" s="79">
        <f t="shared" si="5104"/>
        <v>0</v>
      </c>
      <c r="X833" s="3">
        <v>0</v>
      </c>
      <c r="Y833" s="77" t="str">
        <f t="shared" si="5091"/>
        <v/>
      </c>
      <c r="Z833" s="3"/>
      <c r="AA833" s="37" t="str">
        <f t="shared" si="5105"/>
        <v/>
      </c>
      <c r="AC833" s="40"/>
      <c r="AD833" s="7"/>
      <c r="AE833" s="77" t="str">
        <f t="shared" si="5092"/>
        <v/>
      </c>
      <c r="AF833" s="81">
        <f t="shared" si="5118"/>
        <v>0</v>
      </c>
      <c r="AG833" s="40"/>
      <c r="AH833" s="7"/>
      <c r="AI833" s="77" t="str">
        <f t="shared" si="5093"/>
        <v/>
      </c>
      <c r="AJ833" s="81">
        <f t="shared" si="5119"/>
        <v>0</v>
      </c>
      <c r="AK833" s="83">
        <f t="shared" si="5120"/>
        <v>0</v>
      </c>
      <c r="AL833" s="83">
        <f t="shared" si="5121"/>
        <v>0</v>
      </c>
      <c r="AN833" s="43">
        <f t="shared" si="5094"/>
        <v>0</v>
      </c>
      <c r="AP833" t="str">
        <f t="shared" si="5122"/>
        <v/>
      </c>
      <c r="AQ833" t="str">
        <f t="shared" si="5123"/>
        <v/>
      </c>
      <c r="AR833" t="str">
        <f t="shared" si="5124"/>
        <v/>
      </c>
      <c r="AS833" t="str">
        <f t="shared" si="5125"/>
        <v/>
      </c>
      <c r="AT833" t="str">
        <f t="shared" si="5126"/>
        <v/>
      </c>
      <c r="AU833" t="str">
        <f t="shared" si="5127"/>
        <v/>
      </c>
      <c r="AV833" t="str">
        <f t="shared" si="5128"/>
        <v/>
      </c>
      <c r="AW833" t="str">
        <f t="shared" si="5129"/>
        <v xml:space="preserve">                              </v>
      </c>
      <c r="AX833" s="23">
        <f t="shared" si="5130"/>
        <v>0</v>
      </c>
      <c r="AY833" s="49" t="str">
        <f t="shared" si="5106"/>
        <v>000000000000000</v>
      </c>
      <c r="AZ833" s="23">
        <f t="shared" si="5131"/>
        <v>0</v>
      </c>
      <c r="BA833" s="49" t="str">
        <f t="shared" si="5106"/>
        <v>000000000000000</v>
      </c>
      <c r="BB833" s="23">
        <f t="shared" si="5132"/>
        <v>0</v>
      </c>
      <c r="BC833" s="49" t="str">
        <f t="shared" ref="BC833" si="5457">IF(BB833&lt;0,SUBSTITUTE(TEXT(BB833,"000000000000,00"),",",""),SUBSTITUTE(TEXT(BB833,"0000000000000,00"),",",""))</f>
        <v>000000000000000</v>
      </c>
      <c r="BD833" s="23">
        <f t="shared" si="5134"/>
        <v>0</v>
      </c>
      <c r="BE833" s="49" t="str">
        <f t="shared" ref="BE833" si="5458">IF(BD833&lt;0,SUBSTITUTE(TEXT(BD833,"000000000000,00"),",",""),SUBSTITUTE(TEXT(BD833,"0000000000000,00"),",",""))</f>
        <v>000000000000000</v>
      </c>
      <c r="BF833" s="23">
        <f t="shared" si="5136"/>
        <v>0</v>
      </c>
      <c r="BG833" s="49" t="str">
        <f t="shared" ref="BG833" si="5459">IF(BF833&lt;0,SUBSTITUTE(TEXT(BF833,"000000000000,00"),",",""),SUBSTITUTE(TEXT(BF833,"0000000000000,00"),",",""))</f>
        <v>000000000000000</v>
      </c>
      <c r="BH833" s="23">
        <f t="shared" si="5138"/>
        <v>0</v>
      </c>
      <c r="BI833" s="49" t="str">
        <f t="shared" ref="BI833" si="5460">IF(BH833&lt;0,SUBSTITUTE(TEXT(BH833,"000000000000,00"),",",""),SUBSTITUTE(TEXT(BH833,"0000000000000,00"),",",""))</f>
        <v>000000000000000</v>
      </c>
      <c r="BJ833" s="23">
        <f t="shared" si="5140"/>
        <v>0</v>
      </c>
      <c r="BK833" s="49" t="str">
        <f t="shared" ref="BK833" si="5461">IF(BJ833&lt;0,SUBSTITUTE(TEXT(BJ833,"000000000000,00"),",",""),SUBSTITUTE(TEXT(BJ833,"0000000000000,00"),",",""))</f>
        <v>000000000000000</v>
      </c>
      <c r="BL833" s="23">
        <f t="shared" si="5142"/>
        <v>0</v>
      </c>
      <c r="BM833" s="49" t="str">
        <f t="shared" ref="BM833" si="5462">IF(BL833&lt;0,SUBSTITUTE(TEXT(BL833,"000000000000,00"),",",""),SUBSTITUTE(TEXT(BL833,"0000000000000,00"),",",""))</f>
        <v>000000000000000</v>
      </c>
      <c r="BN833" t="str">
        <f t="shared" si="5144"/>
        <v>PES</v>
      </c>
      <c r="BO833" t="str">
        <f t="shared" si="5145"/>
        <v>0001000000</v>
      </c>
      <c r="BP833">
        <f t="shared" si="5146"/>
        <v>0</v>
      </c>
      <c r="BQ833">
        <f t="shared" si="5147"/>
        <v>0</v>
      </c>
      <c r="BR833" s="23">
        <f t="shared" si="5148"/>
        <v>0</v>
      </c>
      <c r="BS833" s="49" t="str">
        <f t="shared" si="5113"/>
        <v>000000000000000</v>
      </c>
      <c r="BT833" t="str">
        <f t="shared" si="5149"/>
        <v>00000000</v>
      </c>
      <c r="BU833" s="23">
        <f t="shared" si="5150"/>
        <v>0</v>
      </c>
      <c r="BV833" s="49" t="str">
        <f t="shared" si="5114"/>
        <v/>
      </c>
      <c r="BW833" s="52" t="str">
        <f t="shared" si="5151"/>
        <v/>
      </c>
      <c r="BX833" s="23">
        <f t="shared" si="5152"/>
        <v>0</v>
      </c>
      <c r="BY833" s="49" t="str">
        <f t="shared" si="5115"/>
        <v/>
      </c>
      <c r="BZ833" s="23">
        <f t="shared" si="5153"/>
        <v>0</v>
      </c>
      <c r="CA833" s="49" t="str">
        <f t="shared" si="5116"/>
        <v/>
      </c>
      <c r="CB833" s="52" t="str">
        <f t="shared" si="5154"/>
        <v/>
      </c>
      <c r="CC833" s="23">
        <f t="shared" si="5155"/>
        <v>0</v>
      </c>
      <c r="CD833" s="49" t="str">
        <f t="shared" si="5117"/>
        <v/>
      </c>
      <c r="CE833" s="56" t="str">
        <f>IF(CF833="","",MAX(CE$10:$CE832)+1)</f>
        <v/>
      </c>
      <c r="CF833" t="str">
        <f t="shared" si="5156"/>
        <v/>
      </c>
      <c r="CG833" s="22" t="str">
        <f>IF(CH833="","",MAX($CG$10:CG832)+1)</f>
        <v/>
      </c>
      <c r="CH833" s="22" t="str">
        <f t="shared" si="5101"/>
        <v/>
      </c>
      <c r="CI833" s="22" t="str">
        <f>IF(CJ833="","",MAX($CI$10:CI832)+1)</f>
        <v/>
      </c>
      <c r="CJ833" s="22" t="str">
        <f t="shared" si="5102"/>
        <v/>
      </c>
    </row>
    <row r="834" spans="2:88" x14ac:dyDescent="0.25">
      <c r="B834" s="37"/>
      <c r="C834" s="3"/>
      <c r="D834" s="77" t="str">
        <f t="shared" si="5088"/>
        <v/>
      </c>
      <c r="E834" s="38"/>
      <c r="F834" s="38"/>
      <c r="G834" s="78">
        <f t="shared" si="5103"/>
        <v>0</v>
      </c>
      <c r="H834" s="3">
        <v>80</v>
      </c>
      <c r="I834" s="77" t="str">
        <f t="shared" si="5089"/>
        <v/>
      </c>
      <c r="J834" s="32"/>
      <c r="K834" s="3"/>
      <c r="L834" s="39"/>
      <c r="M834" s="39"/>
      <c r="N834" s="39"/>
      <c r="O834" s="39"/>
      <c r="P834" s="39"/>
      <c r="Q834" s="39"/>
      <c r="R834" s="39"/>
      <c r="S834" s="39"/>
      <c r="T834" s="3" t="s">
        <v>645</v>
      </c>
      <c r="U834" s="77" t="str">
        <f t="shared" si="5090"/>
        <v/>
      </c>
      <c r="V834" s="39">
        <v>1</v>
      </c>
      <c r="W834" s="79">
        <f t="shared" si="5104"/>
        <v>0</v>
      </c>
      <c r="X834" s="3">
        <v>0</v>
      </c>
      <c r="Y834" s="77" t="str">
        <f t="shared" si="5091"/>
        <v/>
      </c>
      <c r="Z834" s="3"/>
      <c r="AA834" s="37" t="str">
        <f t="shared" si="5105"/>
        <v/>
      </c>
      <c r="AC834" s="40"/>
      <c r="AD834" s="7"/>
      <c r="AE834" s="77" t="str">
        <f t="shared" si="5092"/>
        <v/>
      </c>
      <c r="AF834" s="81">
        <f t="shared" si="5118"/>
        <v>0</v>
      </c>
      <c r="AG834" s="40"/>
      <c r="AH834" s="7"/>
      <c r="AI834" s="77" t="str">
        <f t="shared" si="5093"/>
        <v/>
      </c>
      <c r="AJ834" s="81">
        <f t="shared" si="5119"/>
        <v>0</v>
      </c>
      <c r="AK834" s="83">
        <f t="shared" si="5120"/>
        <v>0</v>
      </c>
      <c r="AL834" s="83">
        <f t="shared" si="5121"/>
        <v>0</v>
      </c>
      <c r="AN834" s="43">
        <f t="shared" si="5094"/>
        <v>0</v>
      </c>
      <c r="AP834" t="str">
        <f t="shared" si="5122"/>
        <v/>
      </c>
      <c r="AQ834" t="str">
        <f t="shared" si="5123"/>
        <v/>
      </c>
      <c r="AR834" t="str">
        <f t="shared" si="5124"/>
        <v/>
      </c>
      <c r="AS834" t="str">
        <f t="shared" si="5125"/>
        <v/>
      </c>
      <c r="AT834" t="str">
        <f t="shared" si="5126"/>
        <v/>
      </c>
      <c r="AU834" t="str">
        <f t="shared" si="5127"/>
        <v/>
      </c>
      <c r="AV834" t="str">
        <f t="shared" si="5128"/>
        <v/>
      </c>
      <c r="AW834" t="str">
        <f t="shared" si="5129"/>
        <v xml:space="preserve">                              </v>
      </c>
      <c r="AX834" s="23">
        <f t="shared" si="5130"/>
        <v>0</v>
      </c>
      <c r="AY834" s="49" t="str">
        <f t="shared" si="5106"/>
        <v>000000000000000</v>
      </c>
      <c r="AZ834" s="23">
        <f t="shared" si="5131"/>
        <v>0</v>
      </c>
      <c r="BA834" s="49" t="str">
        <f t="shared" si="5106"/>
        <v>000000000000000</v>
      </c>
      <c r="BB834" s="23">
        <f t="shared" si="5132"/>
        <v>0</v>
      </c>
      <c r="BC834" s="49" t="str">
        <f t="shared" ref="BC834" si="5463">IF(BB834&lt;0,SUBSTITUTE(TEXT(BB834,"000000000000,00"),",",""),SUBSTITUTE(TEXT(BB834,"0000000000000,00"),",",""))</f>
        <v>000000000000000</v>
      </c>
      <c r="BD834" s="23">
        <f t="shared" si="5134"/>
        <v>0</v>
      </c>
      <c r="BE834" s="49" t="str">
        <f t="shared" ref="BE834" si="5464">IF(BD834&lt;0,SUBSTITUTE(TEXT(BD834,"000000000000,00"),",",""),SUBSTITUTE(TEXT(BD834,"0000000000000,00"),",",""))</f>
        <v>000000000000000</v>
      </c>
      <c r="BF834" s="23">
        <f t="shared" si="5136"/>
        <v>0</v>
      </c>
      <c r="BG834" s="49" t="str">
        <f t="shared" ref="BG834" si="5465">IF(BF834&lt;0,SUBSTITUTE(TEXT(BF834,"000000000000,00"),",",""),SUBSTITUTE(TEXT(BF834,"0000000000000,00"),",",""))</f>
        <v>000000000000000</v>
      </c>
      <c r="BH834" s="23">
        <f t="shared" si="5138"/>
        <v>0</v>
      </c>
      <c r="BI834" s="49" t="str">
        <f t="shared" ref="BI834" si="5466">IF(BH834&lt;0,SUBSTITUTE(TEXT(BH834,"000000000000,00"),",",""),SUBSTITUTE(TEXT(BH834,"0000000000000,00"),",",""))</f>
        <v>000000000000000</v>
      </c>
      <c r="BJ834" s="23">
        <f t="shared" si="5140"/>
        <v>0</v>
      </c>
      <c r="BK834" s="49" t="str">
        <f t="shared" ref="BK834" si="5467">IF(BJ834&lt;0,SUBSTITUTE(TEXT(BJ834,"000000000000,00"),",",""),SUBSTITUTE(TEXT(BJ834,"0000000000000,00"),",",""))</f>
        <v>000000000000000</v>
      </c>
      <c r="BL834" s="23">
        <f t="shared" si="5142"/>
        <v>0</v>
      </c>
      <c r="BM834" s="49" t="str">
        <f t="shared" ref="BM834" si="5468">IF(BL834&lt;0,SUBSTITUTE(TEXT(BL834,"000000000000,00"),",",""),SUBSTITUTE(TEXT(BL834,"0000000000000,00"),",",""))</f>
        <v>000000000000000</v>
      </c>
      <c r="BN834" t="str">
        <f t="shared" si="5144"/>
        <v>PES</v>
      </c>
      <c r="BO834" t="str">
        <f t="shared" si="5145"/>
        <v>0001000000</v>
      </c>
      <c r="BP834">
        <f t="shared" si="5146"/>
        <v>0</v>
      </c>
      <c r="BQ834">
        <f t="shared" si="5147"/>
        <v>0</v>
      </c>
      <c r="BR834" s="23">
        <f t="shared" si="5148"/>
        <v>0</v>
      </c>
      <c r="BS834" s="49" t="str">
        <f t="shared" si="5113"/>
        <v>000000000000000</v>
      </c>
      <c r="BT834" t="str">
        <f t="shared" si="5149"/>
        <v>00000000</v>
      </c>
      <c r="BU834" s="23">
        <f t="shared" si="5150"/>
        <v>0</v>
      </c>
      <c r="BV834" s="49" t="str">
        <f t="shared" si="5114"/>
        <v/>
      </c>
      <c r="BW834" s="52" t="str">
        <f t="shared" si="5151"/>
        <v/>
      </c>
      <c r="BX834" s="23">
        <f t="shared" si="5152"/>
        <v>0</v>
      </c>
      <c r="BY834" s="49" t="str">
        <f t="shared" si="5115"/>
        <v/>
      </c>
      <c r="BZ834" s="23">
        <f t="shared" si="5153"/>
        <v>0</v>
      </c>
      <c r="CA834" s="49" t="str">
        <f t="shared" si="5116"/>
        <v/>
      </c>
      <c r="CB834" s="52" t="str">
        <f t="shared" si="5154"/>
        <v/>
      </c>
      <c r="CC834" s="23">
        <f t="shared" si="5155"/>
        <v>0</v>
      </c>
      <c r="CD834" s="49" t="str">
        <f t="shared" si="5117"/>
        <v/>
      </c>
      <c r="CE834" s="56" t="str">
        <f>IF(CF834="","",MAX(CE$10:$CE833)+1)</f>
        <v/>
      </c>
      <c r="CF834" t="str">
        <f t="shared" si="5156"/>
        <v/>
      </c>
      <c r="CG834" s="22" t="str">
        <f>IF(CH834="","",MAX($CG$10:CG833)+1)</f>
        <v/>
      </c>
      <c r="CH834" s="22" t="str">
        <f t="shared" si="5101"/>
        <v/>
      </c>
      <c r="CI834" s="22" t="str">
        <f>IF(CJ834="","",MAX($CI$10:CI833)+1)</f>
        <v/>
      </c>
      <c r="CJ834" s="22" t="str">
        <f t="shared" si="5102"/>
        <v/>
      </c>
    </row>
    <row r="835" spans="2:88" x14ac:dyDescent="0.25">
      <c r="B835" s="37"/>
      <c r="C835" s="3"/>
      <c r="D835" s="77" t="str">
        <f t="shared" si="5088"/>
        <v/>
      </c>
      <c r="E835" s="38"/>
      <c r="F835" s="38"/>
      <c r="G835" s="78">
        <f t="shared" si="5103"/>
        <v>0</v>
      </c>
      <c r="H835" s="3">
        <v>80</v>
      </c>
      <c r="I835" s="77" t="str">
        <f t="shared" si="5089"/>
        <v/>
      </c>
      <c r="J835" s="32"/>
      <c r="K835" s="3"/>
      <c r="L835" s="39"/>
      <c r="M835" s="39"/>
      <c r="N835" s="39"/>
      <c r="O835" s="39"/>
      <c r="P835" s="39"/>
      <c r="Q835" s="39"/>
      <c r="R835" s="39"/>
      <c r="S835" s="39"/>
      <c r="T835" s="3" t="s">
        <v>645</v>
      </c>
      <c r="U835" s="77" t="str">
        <f t="shared" si="5090"/>
        <v/>
      </c>
      <c r="V835" s="39">
        <v>1</v>
      </c>
      <c r="W835" s="79">
        <f t="shared" si="5104"/>
        <v>0</v>
      </c>
      <c r="X835" s="3">
        <v>0</v>
      </c>
      <c r="Y835" s="77" t="str">
        <f t="shared" si="5091"/>
        <v/>
      </c>
      <c r="Z835" s="3"/>
      <c r="AA835" s="37" t="str">
        <f t="shared" si="5105"/>
        <v/>
      </c>
      <c r="AC835" s="40"/>
      <c r="AD835" s="7"/>
      <c r="AE835" s="77" t="str">
        <f t="shared" si="5092"/>
        <v/>
      </c>
      <c r="AF835" s="81">
        <f t="shared" si="5118"/>
        <v>0</v>
      </c>
      <c r="AG835" s="40"/>
      <c r="AH835" s="7"/>
      <c r="AI835" s="77" t="str">
        <f t="shared" si="5093"/>
        <v/>
      </c>
      <c r="AJ835" s="81">
        <f t="shared" si="5119"/>
        <v>0</v>
      </c>
      <c r="AK835" s="83">
        <f t="shared" si="5120"/>
        <v>0</v>
      </c>
      <c r="AL835" s="83">
        <f t="shared" si="5121"/>
        <v>0</v>
      </c>
      <c r="AN835" s="43">
        <f t="shared" si="5094"/>
        <v>0</v>
      </c>
      <c r="AP835" t="str">
        <f t="shared" si="5122"/>
        <v/>
      </c>
      <c r="AQ835" t="str">
        <f t="shared" si="5123"/>
        <v/>
      </c>
      <c r="AR835" t="str">
        <f t="shared" si="5124"/>
        <v/>
      </c>
      <c r="AS835" t="str">
        <f t="shared" si="5125"/>
        <v/>
      </c>
      <c r="AT835" t="str">
        <f t="shared" si="5126"/>
        <v/>
      </c>
      <c r="AU835" t="str">
        <f t="shared" si="5127"/>
        <v/>
      </c>
      <c r="AV835" t="str">
        <f t="shared" si="5128"/>
        <v/>
      </c>
      <c r="AW835" t="str">
        <f t="shared" si="5129"/>
        <v xml:space="preserve">                              </v>
      </c>
      <c r="AX835" s="23">
        <f t="shared" si="5130"/>
        <v>0</v>
      </c>
      <c r="AY835" s="49" t="str">
        <f t="shared" si="5106"/>
        <v>000000000000000</v>
      </c>
      <c r="AZ835" s="23">
        <f t="shared" si="5131"/>
        <v>0</v>
      </c>
      <c r="BA835" s="49" t="str">
        <f t="shared" si="5106"/>
        <v>000000000000000</v>
      </c>
      <c r="BB835" s="23">
        <f t="shared" si="5132"/>
        <v>0</v>
      </c>
      <c r="BC835" s="49" t="str">
        <f t="shared" ref="BC835" si="5469">IF(BB835&lt;0,SUBSTITUTE(TEXT(BB835,"000000000000,00"),",",""),SUBSTITUTE(TEXT(BB835,"0000000000000,00"),",",""))</f>
        <v>000000000000000</v>
      </c>
      <c r="BD835" s="23">
        <f t="shared" si="5134"/>
        <v>0</v>
      </c>
      <c r="BE835" s="49" t="str">
        <f t="shared" ref="BE835" si="5470">IF(BD835&lt;0,SUBSTITUTE(TEXT(BD835,"000000000000,00"),",",""),SUBSTITUTE(TEXT(BD835,"0000000000000,00"),",",""))</f>
        <v>000000000000000</v>
      </c>
      <c r="BF835" s="23">
        <f t="shared" si="5136"/>
        <v>0</v>
      </c>
      <c r="BG835" s="49" t="str">
        <f t="shared" ref="BG835" si="5471">IF(BF835&lt;0,SUBSTITUTE(TEXT(BF835,"000000000000,00"),",",""),SUBSTITUTE(TEXT(BF835,"0000000000000,00"),",",""))</f>
        <v>000000000000000</v>
      </c>
      <c r="BH835" s="23">
        <f t="shared" si="5138"/>
        <v>0</v>
      </c>
      <c r="BI835" s="49" t="str">
        <f t="shared" ref="BI835" si="5472">IF(BH835&lt;0,SUBSTITUTE(TEXT(BH835,"000000000000,00"),",",""),SUBSTITUTE(TEXT(BH835,"0000000000000,00"),",",""))</f>
        <v>000000000000000</v>
      </c>
      <c r="BJ835" s="23">
        <f t="shared" si="5140"/>
        <v>0</v>
      </c>
      <c r="BK835" s="49" t="str">
        <f t="shared" ref="BK835" si="5473">IF(BJ835&lt;0,SUBSTITUTE(TEXT(BJ835,"000000000000,00"),",",""),SUBSTITUTE(TEXT(BJ835,"0000000000000,00"),",",""))</f>
        <v>000000000000000</v>
      </c>
      <c r="BL835" s="23">
        <f t="shared" si="5142"/>
        <v>0</v>
      </c>
      <c r="BM835" s="49" t="str">
        <f t="shared" ref="BM835" si="5474">IF(BL835&lt;0,SUBSTITUTE(TEXT(BL835,"000000000000,00"),",",""),SUBSTITUTE(TEXT(BL835,"0000000000000,00"),",",""))</f>
        <v>000000000000000</v>
      </c>
      <c r="BN835" t="str">
        <f t="shared" si="5144"/>
        <v>PES</v>
      </c>
      <c r="BO835" t="str">
        <f t="shared" si="5145"/>
        <v>0001000000</v>
      </c>
      <c r="BP835">
        <f t="shared" si="5146"/>
        <v>0</v>
      </c>
      <c r="BQ835">
        <f t="shared" si="5147"/>
        <v>0</v>
      </c>
      <c r="BR835" s="23">
        <f t="shared" si="5148"/>
        <v>0</v>
      </c>
      <c r="BS835" s="49" t="str">
        <f t="shared" si="5113"/>
        <v>000000000000000</v>
      </c>
      <c r="BT835" t="str">
        <f t="shared" si="5149"/>
        <v>00000000</v>
      </c>
      <c r="BU835" s="23">
        <f t="shared" si="5150"/>
        <v>0</v>
      </c>
      <c r="BV835" s="49" t="str">
        <f t="shared" si="5114"/>
        <v/>
      </c>
      <c r="BW835" s="52" t="str">
        <f t="shared" si="5151"/>
        <v/>
      </c>
      <c r="BX835" s="23">
        <f t="shared" si="5152"/>
        <v>0</v>
      </c>
      <c r="BY835" s="49" t="str">
        <f t="shared" si="5115"/>
        <v/>
      </c>
      <c r="BZ835" s="23">
        <f t="shared" si="5153"/>
        <v>0</v>
      </c>
      <c r="CA835" s="49" t="str">
        <f t="shared" si="5116"/>
        <v/>
      </c>
      <c r="CB835" s="52" t="str">
        <f t="shared" si="5154"/>
        <v/>
      </c>
      <c r="CC835" s="23">
        <f t="shared" si="5155"/>
        <v>0</v>
      </c>
      <c r="CD835" s="49" t="str">
        <f t="shared" si="5117"/>
        <v/>
      </c>
      <c r="CE835" s="56" t="str">
        <f>IF(CF835="","",MAX(CE$10:$CE834)+1)</f>
        <v/>
      </c>
      <c r="CF835" t="str">
        <f t="shared" si="5156"/>
        <v/>
      </c>
      <c r="CG835" s="22" t="str">
        <f>IF(CH835="","",MAX($CG$10:CG834)+1)</f>
        <v/>
      </c>
      <c r="CH835" s="22" t="str">
        <f t="shared" si="5101"/>
        <v/>
      </c>
      <c r="CI835" s="22" t="str">
        <f>IF(CJ835="","",MAX($CI$10:CI834)+1)</f>
        <v/>
      </c>
      <c r="CJ835" s="22" t="str">
        <f t="shared" si="5102"/>
        <v/>
      </c>
    </row>
    <row r="836" spans="2:88" x14ac:dyDescent="0.25">
      <c r="B836" s="37"/>
      <c r="C836" s="3"/>
      <c r="D836" s="77" t="str">
        <f t="shared" si="5088"/>
        <v/>
      </c>
      <c r="E836" s="38"/>
      <c r="F836" s="38"/>
      <c r="G836" s="78">
        <f t="shared" si="5103"/>
        <v>0</v>
      </c>
      <c r="H836" s="3">
        <v>80</v>
      </c>
      <c r="I836" s="77" t="str">
        <f t="shared" si="5089"/>
        <v/>
      </c>
      <c r="J836" s="32"/>
      <c r="K836" s="3"/>
      <c r="L836" s="39"/>
      <c r="M836" s="39"/>
      <c r="N836" s="39"/>
      <c r="O836" s="39"/>
      <c r="P836" s="39"/>
      <c r="Q836" s="39"/>
      <c r="R836" s="39"/>
      <c r="S836" s="39"/>
      <c r="T836" s="3" t="s">
        <v>645</v>
      </c>
      <c r="U836" s="77" t="str">
        <f t="shared" si="5090"/>
        <v/>
      </c>
      <c r="V836" s="39">
        <v>1</v>
      </c>
      <c r="W836" s="79">
        <f t="shared" si="5104"/>
        <v>0</v>
      </c>
      <c r="X836" s="3">
        <v>0</v>
      </c>
      <c r="Y836" s="77" t="str">
        <f t="shared" si="5091"/>
        <v/>
      </c>
      <c r="Z836" s="3"/>
      <c r="AA836" s="37" t="str">
        <f t="shared" si="5105"/>
        <v/>
      </c>
      <c r="AC836" s="40"/>
      <c r="AD836" s="7"/>
      <c r="AE836" s="77" t="str">
        <f t="shared" si="5092"/>
        <v/>
      </c>
      <c r="AF836" s="81">
        <f t="shared" si="5118"/>
        <v>0</v>
      </c>
      <c r="AG836" s="40"/>
      <c r="AH836" s="7"/>
      <c r="AI836" s="77" t="str">
        <f t="shared" si="5093"/>
        <v/>
      </c>
      <c r="AJ836" s="81">
        <f t="shared" si="5119"/>
        <v>0</v>
      </c>
      <c r="AK836" s="83">
        <f t="shared" si="5120"/>
        <v>0</v>
      </c>
      <c r="AL836" s="83">
        <f t="shared" si="5121"/>
        <v>0</v>
      </c>
      <c r="AN836" s="43">
        <f t="shared" si="5094"/>
        <v>0</v>
      </c>
      <c r="AP836" t="str">
        <f t="shared" si="5122"/>
        <v/>
      </c>
      <c r="AQ836" t="str">
        <f t="shared" si="5123"/>
        <v/>
      </c>
      <c r="AR836" t="str">
        <f t="shared" si="5124"/>
        <v/>
      </c>
      <c r="AS836" t="str">
        <f t="shared" si="5125"/>
        <v/>
      </c>
      <c r="AT836" t="str">
        <f t="shared" si="5126"/>
        <v/>
      </c>
      <c r="AU836" t="str">
        <f t="shared" si="5127"/>
        <v/>
      </c>
      <c r="AV836" t="str">
        <f t="shared" si="5128"/>
        <v/>
      </c>
      <c r="AW836" t="str">
        <f t="shared" si="5129"/>
        <v xml:space="preserve">                              </v>
      </c>
      <c r="AX836" s="23">
        <f t="shared" si="5130"/>
        <v>0</v>
      </c>
      <c r="AY836" s="49" t="str">
        <f t="shared" si="5106"/>
        <v>000000000000000</v>
      </c>
      <c r="AZ836" s="23">
        <f t="shared" si="5131"/>
        <v>0</v>
      </c>
      <c r="BA836" s="49" t="str">
        <f t="shared" si="5106"/>
        <v>000000000000000</v>
      </c>
      <c r="BB836" s="23">
        <f t="shared" si="5132"/>
        <v>0</v>
      </c>
      <c r="BC836" s="49" t="str">
        <f t="shared" ref="BC836" si="5475">IF(BB836&lt;0,SUBSTITUTE(TEXT(BB836,"000000000000,00"),",",""),SUBSTITUTE(TEXT(BB836,"0000000000000,00"),",",""))</f>
        <v>000000000000000</v>
      </c>
      <c r="BD836" s="23">
        <f t="shared" si="5134"/>
        <v>0</v>
      </c>
      <c r="BE836" s="49" t="str">
        <f t="shared" ref="BE836" si="5476">IF(BD836&lt;0,SUBSTITUTE(TEXT(BD836,"000000000000,00"),",",""),SUBSTITUTE(TEXT(BD836,"0000000000000,00"),",",""))</f>
        <v>000000000000000</v>
      </c>
      <c r="BF836" s="23">
        <f t="shared" si="5136"/>
        <v>0</v>
      </c>
      <c r="BG836" s="49" t="str">
        <f t="shared" ref="BG836" si="5477">IF(BF836&lt;0,SUBSTITUTE(TEXT(BF836,"000000000000,00"),",",""),SUBSTITUTE(TEXT(BF836,"0000000000000,00"),",",""))</f>
        <v>000000000000000</v>
      </c>
      <c r="BH836" s="23">
        <f t="shared" si="5138"/>
        <v>0</v>
      </c>
      <c r="BI836" s="49" t="str">
        <f t="shared" ref="BI836" si="5478">IF(BH836&lt;0,SUBSTITUTE(TEXT(BH836,"000000000000,00"),",",""),SUBSTITUTE(TEXT(BH836,"0000000000000,00"),",",""))</f>
        <v>000000000000000</v>
      </c>
      <c r="BJ836" s="23">
        <f t="shared" si="5140"/>
        <v>0</v>
      </c>
      <c r="BK836" s="49" t="str">
        <f t="shared" ref="BK836" si="5479">IF(BJ836&lt;0,SUBSTITUTE(TEXT(BJ836,"000000000000,00"),",",""),SUBSTITUTE(TEXT(BJ836,"0000000000000,00"),",",""))</f>
        <v>000000000000000</v>
      </c>
      <c r="BL836" s="23">
        <f t="shared" si="5142"/>
        <v>0</v>
      </c>
      <c r="BM836" s="49" t="str">
        <f t="shared" ref="BM836" si="5480">IF(BL836&lt;0,SUBSTITUTE(TEXT(BL836,"000000000000,00"),",",""),SUBSTITUTE(TEXT(BL836,"0000000000000,00"),",",""))</f>
        <v>000000000000000</v>
      </c>
      <c r="BN836" t="str">
        <f t="shared" si="5144"/>
        <v>PES</v>
      </c>
      <c r="BO836" t="str">
        <f t="shared" si="5145"/>
        <v>0001000000</v>
      </c>
      <c r="BP836">
        <f t="shared" si="5146"/>
        <v>0</v>
      </c>
      <c r="BQ836">
        <f t="shared" si="5147"/>
        <v>0</v>
      </c>
      <c r="BR836" s="23">
        <f t="shared" si="5148"/>
        <v>0</v>
      </c>
      <c r="BS836" s="49" t="str">
        <f t="shared" si="5113"/>
        <v>000000000000000</v>
      </c>
      <c r="BT836" t="str">
        <f t="shared" si="5149"/>
        <v>00000000</v>
      </c>
      <c r="BU836" s="23">
        <f t="shared" si="5150"/>
        <v>0</v>
      </c>
      <c r="BV836" s="49" t="str">
        <f t="shared" si="5114"/>
        <v/>
      </c>
      <c r="BW836" s="52" t="str">
        <f t="shared" si="5151"/>
        <v/>
      </c>
      <c r="BX836" s="23">
        <f t="shared" si="5152"/>
        <v>0</v>
      </c>
      <c r="BY836" s="49" t="str">
        <f t="shared" si="5115"/>
        <v/>
      </c>
      <c r="BZ836" s="23">
        <f t="shared" si="5153"/>
        <v>0</v>
      </c>
      <c r="CA836" s="49" t="str">
        <f t="shared" si="5116"/>
        <v/>
      </c>
      <c r="CB836" s="52" t="str">
        <f t="shared" si="5154"/>
        <v/>
      </c>
      <c r="CC836" s="23">
        <f t="shared" si="5155"/>
        <v>0</v>
      </c>
      <c r="CD836" s="49" t="str">
        <f t="shared" si="5117"/>
        <v/>
      </c>
      <c r="CE836" s="56" t="str">
        <f>IF(CF836="","",MAX(CE$10:$CE835)+1)</f>
        <v/>
      </c>
      <c r="CF836" t="str">
        <f t="shared" si="5156"/>
        <v/>
      </c>
      <c r="CG836" s="22" t="str">
        <f>IF(CH836="","",MAX($CG$10:CG835)+1)</f>
        <v/>
      </c>
      <c r="CH836" s="22" t="str">
        <f t="shared" si="5101"/>
        <v/>
      </c>
      <c r="CI836" s="22" t="str">
        <f>IF(CJ836="","",MAX($CI$10:CI835)+1)</f>
        <v/>
      </c>
      <c r="CJ836" s="22" t="str">
        <f t="shared" si="5102"/>
        <v/>
      </c>
    </row>
    <row r="837" spans="2:88" x14ac:dyDescent="0.25">
      <c r="B837" s="37"/>
      <c r="C837" s="3"/>
      <c r="D837" s="77" t="str">
        <f t="shared" si="5088"/>
        <v/>
      </c>
      <c r="E837" s="38"/>
      <c r="F837" s="38"/>
      <c r="G837" s="78">
        <f t="shared" si="5103"/>
        <v>0</v>
      </c>
      <c r="H837" s="3">
        <v>80</v>
      </c>
      <c r="I837" s="77" t="str">
        <f t="shared" si="5089"/>
        <v/>
      </c>
      <c r="J837" s="32"/>
      <c r="K837" s="3"/>
      <c r="L837" s="39"/>
      <c r="M837" s="39"/>
      <c r="N837" s="39"/>
      <c r="O837" s="39"/>
      <c r="P837" s="39"/>
      <c r="Q837" s="39"/>
      <c r="R837" s="39"/>
      <c r="S837" s="39"/>
      <c r="T837" s="3" t="s">
        <v>645</v>
      </c>
      <c r="U837" s="77" t="str">
        <f t="shared" si="5090"/>
        <v/>
      </c>
      <c r="V837" s="39">
        <v>1</v>
      </c>
      <c r="W837" s="79">
        <f t="shared" si="5104"/>
        <v>0</v>
      </c>
      <c r="X837" s="3">
        <v>0</v>
      </c>
      <c r="Y837" s="77" t="str">
        <f t="shared" si="5091"/>
        <v/>
      </c>
      <c r="Z837" s="3"/>
      <c r="AA837" s="37" t="str">
        <f t="shared" si="5105"/>
        <v/>
      </c>
      <c r="AC837" s="40"/>
      <c r="AD837" s="7"/>
      <c r="AE837" s="77" t="str">
        <f t="shared" si="5092"/>
        <v/>
      </c>
      <c r="AF837" s="81">
        <f t="shared" si="5118"/>
        <v>0</v>
      </c>
      <c r="AG837" s="40"/>
      <c r="AH837" s="7"/>
      <c r="AI837" s="77" t="str">
        <f t="shared" si="5093"/>
        <v/>
      </c>
      <c r="AJ837" s="81">
        <f t="shared" si="5119"/>
        <v>0</v>
      </c>
      <c r="AK837" s="83">
        <f t="shared" si="5120"/>
        <v>0</v>
      </c>
      <c r="AL837" s="83">
        <f t="shared" si="5121"/>
        <v>0</v>
      </c>
      <c r="AN837" s="43">
        <f t="shared" si="5094"/>
        <v>0</v>
      </c>
      <c r="AP837" t="str">
        <f t="shared" si="5122"/>
        <v/>
      </c>
      <c r="AQ837" t="str">
        <f t="shared" si="5123"/>
        <v/>
      </c>
      <c r="AR837" t="str">
        <f t="shared" si="5124"/>
        <v/>
      </c>
      <c r="AS837" t="str">
        <f t="shared" si="5125"/>
        <v/>
      </c>
      <c r="AT837" t="str">
        <f t="shared" si="5126"/>
        <v/>
      </c>
      <c r="AU837" t="str">
        <f t="shared" si="5127"/>
        <v/>
      </c>
      <c r="AV837" t="str">
        <f t="shared" si="5128"/>
        <v/>
      </c>
      <c r="AW837" t="str">
        <f t="shared" si="5129"/>
        <v xml:space="preserve">                              </v>
      </c>
      <c r="AX837" s="23">
        <f t="shared" si="5130"/>
        <v>0</v>
      </c>
      <c r="AY837" s="49" t="str">
        <f t="shared" si="5106"/>
        <v>000000000000000</v>
      </c>
      <c r="AZ837" s="23">
        <f t="shared" si="5131"/>
        <v>0</v>
      </c>
      <c r="BA837" s="49" t="str">
        <f t="shared" si="5106"/>
        <v>000000000000000</v>
      </c>
      <c r="BB837" s="23">
        <f t="shared" si="5132"/>
        <v>0</v>
      </c>
      <c r="BC837" s="49" t="str">
        <f t="shared" ref="BC837" si="5481">IF(BB837&lt;0,SUBSTITUTE(TEXT(BB837,"000000000000,00"),",",""),SUBSTITUTE(TEXT(BB837,"0000000000000,00"),",",""))</f>
        <v>000000000000000</v>
      </c>
      <c r="BD837" s="23">
        <f t="shared" si="5134"/>
        <v>0</v>
      </c>
      <c r="BE837" s="49" t="str">
        <f t="shared" ref="BE837" si="5482">IF(BD837&lt;0,SUBSTITUTE(TEXT(BD837,"000000000000,00"),",",""),SUBSTITUTE(TEXT(BD837,"0000000000000,00"),",",""))</f>
        <v>000000000000000</v>
      </c>
      <c r="BF837" s="23">
        <f t="shared" si="5136"/>
        <v>0</v>
      </c>
      <c r="BG837" s="49" t="str">
        <f t="shared" ref="BG837" si="5483">IF(BF837&lt;0,SUBSTITUTE(TEXT(BF837,"000000000000,00"),",",""),SUBSTITUTE(TEXT(BF837,"0000000000000,00"),",",""))</f>
        <v>000000000000000</v>
      </c>
      <c r="BH837" s="23">
        <f t="shared" si="5138"/>
        <v>0</v>
      </c>
      <c r="BI837" s="49" t="str">
        <f t="shared" ref="BI837" si="5484">IF(BH837&lt;0,SUBSTITUTE(TEXT(BH837,"000000000000,00"),",",""),SUBSTITUTE(TEXT(BH837,"0000000000000,00"),",",""))</f>
        <v>000000000000000</v>
      </c>
      <c r="BJ837" s="23">
        <f t="shared" si="5140"/>
        <v>0</v>
      </c>
      <c r="BK837" s="49" t="str">
        <f t="shared" ref="BK837" si="5485">IF(BJ837&lt;0,SUBSTITUTE(TEXT(BJ837,"000000000000,00"),",",""),SUBSTITUTE(TEXT(BJ837,"0000000000000,00"),",",""))</f>
        <v>000000000000000</v>
      </c>
      <c r="BL837" s="23">
        <f t="shared" si="5142"/>
        <v>0</v>
      </c>
      <c r="BM837" s="49" t="str">
        <f t="shared" ref="BM837" si="5486">IF(BL837&lt;0,SUBSTITUTE(TEXT(BL837,"000000000000,00"),",",""),SUBSTITUTE(TEXT(BL837,"0000000000000,00"),",",""))</f>
        <v>000000000000000</v>
      </c>
      <c r="BN837" t="str">
        <f t="shared" si="5144"/>
        <v>PES</v>
      </c>
      <c r="BO837" t="str">
        <f t="shared" si="5145"/>
        <v>0001000000</v>
      </c>
      <c r="BP837">
        <f t="shared" si="5146"/>
        <v>0</v>
      </c>
      <c r="BQ837">
        <f t="shared" si="5147"/>
        <v>0</v>
      </c>
      <c r="BR837" s="23">
        <f t="shared" si="5148"/>
        <v>0</v>
      </c>
      <c r="BS837" s="49" t="str">
        <f t="shared" si="5113"/>
        <v>000000000000000</v>
      </c>
      <c r="BT837" t="str">
        <f t="shared" si="5149"/>
        <v>00000000</v>
      </c>
      <c r="BU837" s="23">
        <f t="shared" si="5150"/>
        <v>0</v>
      </c>
      <c r="BV837" s="49" t="str">
        <f t="shared" si="5114"/>
        <v/>
      </c>
      <c r="BW837" s="52" t="str">
        <f t="shared" si="5151"/>
        <v/>
      </c>
      <c r="BX837" s="23">
        <f t="shared" si="5152"/>
        <v>0</v>
      </c>
      <c r="BY837" s="49" t="str">
        <f t="shared" si="5115"/>
        <v/>
      </c>
      <c r="BZ837" s="23">
        <f t="shared" si="5153"/>
        <v>0</v>
      </c>
      <c r="CA837" s="49" t="str">
        <f t="shared" si="5116"/>
        <v/>
      </c>
      <c r="CB837" s="52" t="str">
        <f t="shared" si="5154"/>
        <v/>
      </c>
      <c r="CC837" s="23">
        <f t="shared" si="5155"/>
        <v>0</v>
      </c>
      <c r="CD837" s="49" t="str">
        <f t="shared" si="5117"/>
        <v/>
      </c>
      <c r="CE837" s="56" t="str">
        <f>IF(CF837="","",MAX(CE$10:$CE836)+1)</f>
        <v/>
      </c>
      <c r="CF837" t="str">
        <f t="shared" si="5156"/>
        <v/>
      </c>
      <c r="CG837" s="22" t="str">
        <f>IF(CH837="","",MAX($CG$10:CG836)+1)</f>
        <v/>
      </c>
      <c r="CH837" s="22" t="str">
        <f t="shared" si="5101"/>
        <v/>
      </c>
      <c r="CI837" s="22" t="str">
        <f>IF(CJ837="","",MAX($CI$10:CI836)+1)</f>
        <v/>
      </c>
      <c r="CJ837" s="22" t="str">
        <f t="shared" si="5102"/>
        <v/>
      </c>
    </row>
    <row r="838" spans="2:88" x14ac:dyDescent="0.25">
      <c r="B838" s="37"/>
      <c r="C838" s="3"/>
      <c r="D838" s="77" t="str">
        <f t="shared" si="5088"/>
        <v/>
      </c>
      <c r="E838" s="38"/>
      <c r="F838" s="38"/>
      <c r="G838" s="78">
        <f t="shared" si="5103"/>
        <v>0</v>
      </c>
      <c r="H838" s="3">
        <v>80</v>
      </c>
      <c r="I838" s="77" t="str">
        <f t="shared" si="5089"/>
        <v/>
      </c>
      <c r="J838" s="32"/>
      <c r="K838" s="3"/>
      <c r="L838" s="39"/>
      <c r="M838" s="39"/>
      <c r="N838" s="39"/>
      <c r="O838" s="39"/>
      <c r="P838" s="39"/>
      <c r="Q838" s="39"/>
      <c r="R838" s="39"/>
      <c r="S838" s="39"/>
      <c r="T838" s="3" t="s">
        <v>645</v>
      </c>
      <c r="U838" s="77" t="str">
        <f t="shared" si="5090"/>
        <v/>
      </c>
      <c r="V838" s="39">
        <v>1</v>
      </c>
      <c r="W838" s="79">
        <f t="shared" si="5104"/>
        <v>0</v>
      </c>
      <c r="X838" s="3">
        <v>0</v>
      </c>
      <c r="Y838" s="77" t="str">
        <f t="shared" si="5091"/>
        <v/>
      </c>
      <c r="Z838" s="3"/>
      <c r="AA838" s="37" t="str">
        <f t="shared" si="5105"/>
        <v/>
      </c>
      <c r="AC838" s="40"/>
      <c r="AD838" s="7"/>
      <c r="AE838" s="77" t="str">
        <f t="shared" si="5092"/>
        <v/>
      </c>
      <c r="AF838" s="81">
        <f t="shared" si="5118"/>
        <v>0</v>
      </c>
      <c r="AG838" s="40"/>
      <c r="AH838" s="7"/>
      <c r="AI838" s="77" t="str">
        <f t="shared" si="5093"/>
        <v/>
      </c>
      <c r="AJ838" s="81">
        <f t="shared" si="5119"/>
        <v>0</v>
      </c>
      <c r="AK838" s="83">
        <f t="shared" si="5120"/>
        <v>0</v>
      </c>
      <c r="AL838" s="83">
        <f t="shared" si="5121"/>
        <v>0</v>
      </c>
      <c r="AN838" s="43">
        <f t="shared" si="5094"/>
        <v>0</v>
      </c>
      <c r="AP838" t="str">
        <f t="shared" si="5122"/>
        <v/>
      </c>
      <c r="AQ838" t="str">
        <f t="shared" si="5123"/>
        <v/>
      </c>
      <c r="AR838" t="str">
        <f t="shared" si="5124"/>
        <v/>
      </c>
      <c r="AS838" t="str">
        <f t="shared" si="5125"/>
        <v/>
      </c>
      <c r="AT838" t="str">
        <f t="shared" si="5126"/>
        <v/>
      </c>
      <c r="AU838" t="str">
        <f t="shared" si="5127"/>
        <v/>
      </c>
      <c r="AV838" t="str">
        <f t="shared" si="5128"/>
        <v/>
      </c>
      <c r="AW838" t="str">
        <f t="shared" si="5129"/>
        <v xml:space="preserve">                              </v>
      </c>
      <c r="AX838" s="23">
        <f t="shared" si="5130"/>
        <v>0</v>
      </c>
      <c r="AY838" s="49" t="str">
        <f t="shared" si="5106"/>
        <v>000000000000000</v>
      </c>
      <c r="AZ838" s="23">
        <f t="shared" si="5131"/>
        <v>0</v>
      </c>
      <c r="BA838" s="49" t="str">
        <f t="shared" si="5106"/>
        <v>000000000000000</v>
      </c>
      <c r="BB838" s="23">
        <f t="shared" si="5132"/>
        <v>0</v>
      </c>
      <c r="BC838" s="49" t="str">
        <f t="shared" ref="BC838" si="5487">IF(BB838&lt;0,SUBSTITUTE(TEXT(BB838,"000000000000,00"),",",""),SUBSTITUTE(TEXT(BB838,"0000000000000,00"),",",""))</f>
        <v>000000000000000</v>
      </c>
      <c r="BD838" s="23">
        <f t="shared" si="5134"/>
        <v>0</v>
      </c>
      <c r="BE838" s="49" t="str">
        <f t="shared" ref="BE838" si="5488">IF(BD838&lt;0,SUBSTITUTE(TEXT(BD838,"000000000000,00"),",",""),SUBSTITUTE(TEXT(BD838,"0000000000000,00"),",",""))</f>
        <v>000000000000000</v>
      </c>
      <c r="BF838" s="23">
        <f t="shared" si="5136"/>
        <v>0</v>
      </c>
      <c r="BG838" s="49" t="str">
        <f t="shared" ref="BG838" si="5489">IF(BF838&lt;0,SUBSTITUTE(TEXT(BF838,"000000000000,00"),",",""),SUBSTITUTE(TEXT(BF838,"0000000000000,00"),",",""))</f>
        <v>000000000000000</v>
      </c>
      <c r="BH838" s="23">
        <f t="shared" si="5138"/>
        <v>0</v>
      </c>
      <c r="BI838" s="49" t="str">
        <f t="shared" ref="BI838" si="5490">IF(BH838&lt;0,SUBSTITUTE(TEXT(BH838,"000000000000,00"),",",""),SUBSTITUTE(TEXT(BH838,"0000000000000,00"),",",""))</f>
        <v>000000000000000</v>
      </c>
      <c r="BJ838" s="23">
        <f t="shared" si="5140"/>
        <v>0</v>
      </c>
      <c r="BK838" s="49" t="str">
        <f t="shared" ref="BK838" si="5491">IF(BJ838&lt;0,SUBSTITUTE(TEXT(BJ838,"000000000000,00"),",",""),SUBSTITUTE(TEXT(BJ838,"0000000000000,00"),",",""))</f>
        <v>000000000000000</v>
      </c>
      <c r="BL838" s="23">
        <f t="shared" si="5142"/>
        <v>0</v>
      </c>
      <c r="BM838" s="49" t="str">
        <f t="shared" ref="BM838" si="5492">IF(BL838&lt;0,SUBSTITUTE(TEXT(BL838,"000000000000,00"),",",""),SUBSTITUTE(TEXT(BL838,"0000000000000,00"),",",""))</f>
        <v>000000000000000</v>
      </c>
      <c r="BN838" t="str">
        <f t="shared" si="5144"/>
        <v>PES</v>
      </c>
      <c r="BO838" t="str">
        <f t="shared" si="5145"/>
        <v>0001000000</v>
      </c>
      <c r="BP838">
        <f t="shared" si="5146"/>
        <v>0</v>
      </c>
      <c r="BQ838">
        <f t="shared" si="5147"/>
        <v>0</v>
      </c>
      <c r="BR838" s="23">
        <f t="shared" si="5148"/>
        <v>0</v>
      </c>
      <c r="BS838" s="49" t="str">
        <f t="shared" si="5113"/>
        <v>000000000000000</v>
      </c>
      <c r="BT838" t="str">
        <f t="shared" si="5149"/>
        <v>00000000</v>
      </c>
      <c r="BU838" s="23">
        <f t="shared" si="5150"/>
        <v>0</v>
      </c>
      <c r="BV838" s="49" t="str">
        <f t="shared" si="5114"/>
        <v/>
      </c>
      <c r="BW838" s="52" t="str">
        <f t="shared" si="5151"/>
        <v/>
      </c>
      <c r="BX838" s="23">
        <f t="shared" si="5152"/>
        <v>0</v>
      </c>
      <c r="BY838" s="49" t="str">
        <f t="shared" si="5115"/>
        <v/>
      </c>
      <c r="BZ838" s="23">
        <f t="shared" si="5153"/>
        <v>0</v>
      </c>
      <c r="CA838" s="49" t="str">
        <f t="shared" si="5116"/>
        <v/>
      </c>
      <c r="CB838" s="52" t="str">
        <f t="shared" si="5154"/>
        <v/>
      </c>
      <c r="CC838" s="23">
        <f t="shared" si="5155"/>
        <v>0</v>
      </c>
      <c r="CD838" s="49" t="str">
        <f t="shared" si="5117"/>
        <v/>
      </c>
      <c r="CE838" s="56" t="str">
        <f>IF(CF838="","",MAX(CE$10:$CE837)+1)</f>
        <v/>
      </c>
      <c r="CF838" t="str">
        <f t="shared" si="5156"/>
        <v/>
      </c>
      <c r="CG838" s="22" t="str">
        <f>IF(CH838="","",MAX($CG$10:CG837)+1)</f>
        <v/>
      </c>
      <c r="CH838" s="22" t="str">
        <f t="shared" si="5101"/>
        <v/>
      </c>
      <c r="CI838" s="22" t="str">
        <f>IF(CJ838="","",MAX($CI$10:CI837)+1)</f>
        <v/>
      </c>
      <c r="CJ838" s="22" t="str">
        <f t="shared" si="5102"/>
        <v/>
      </c>
    </row>
    <row r="839" spans="2:88" x14ac:dyDescent="0.25">
      <c r="B839" s="37"/>
      <c r="C839" s="3"/>
      <c r="D839" s="77" t="str">
        <f t="shared" si="5088"/>
        <v/>
      </c>
      <c r="E839" s="38"/>
      <c r="F839" s="38"/>
      <c r="G839" s="78">
        <f t="shared" si="5103"/>
        <v>0</v>
      </c>
      <c r="H839" s="3">
        <v>80</v>
      </c>
      <c r="I839" s="77" t="str">
        <f t="shared" si="5089"/>
        <v/>
      </c>
      <c r="J839" s="32"/>
      <c r="K839" s="3"/>
      <c r="L839" s="39"/>
      <c r="M839" s="39"/>
      <c r="N839" s="39"/>
      <c r="O839" s="39"/>
      <c r="P839" s="39"/>
      <c r="Q839" s="39"/>
      <c r="R839" s="39"/>
      <c r="S839" s="39"/>
      <c r="T839" s="3" t="s">
        <v>645</v>
      </c>
      <c r="U839" s="77" t="str">
        <f t="shared" si="5090"/>
        <v/>
      </c>
      <c r="V839" s="39">
        <v>1</v>
      </c>
      <c r="W839" s="79">
        <f t="shared" si="5104"/>
        <v>0</v>
      </c>
      <c r="X839" s="3">
        <v>0</v>
      </c>
      <c r="Y839" s="77" t="str">
        <f t="shared" si="5091"/>
        <v/>
      </c>
      <c r="Z839" s="3"/>
      <c r="AA839" s="37" t="str">
        <f t="shared" si="5105"/>
        <v/>
      </c>
      <c r="AC839" s="40"/>
      <c r="AD839" s="7"/>
      <c r="AE839" s="77" t="str">
        <f t="shared" si="5092"/>
        <v/>
      </c>
      <c r="AF839" s="81">
        <f t="shared" si="5118"/>
        <v>0</v>
      </c>
      <c r="AG839" s="40"/>
      <c r="AH839" s="7"/>
      <c r="AI839" s="77" t="str">
        <f t="shared" si="5093"/>
        <v/>
      </c>
      <c r="AJ839" s="81">
        <f t="shared" si="5119"/>
        <v>0</v>
      </c>
      <c r="AK839" s="83">
        <f t="shared" si="5120"/>
        <v>0</v>
      </c>
      <c r="AL839" s="83">
        <f t="shared" si="5121"/>
        <v>0</v>
      </c>
      <c r="AN839" s="43">
        <f t="shared" si="5094"/>
        <v>0</v>
      </c>
      <c r="AP839" t="str">
        <f t="shared" si="5122"/>
        <v/>
      </c>
      <c r="AQ839" t="str">
        <f t="shared" si="5123"/>
        <v/>
      </c>
      <c r="AR839" t="str">
        <f t="shared" si="5124"/>
        <v/>
      </c>
      <c r="AS839" t="str">
        <f t="shared" si="5125"/>
        <v/>
      </c>
      <c r="AT839" t="str">
        <f t="shared" si="5126"/>
        <v/>
      </c>
      <c r="AU839" t="str">
        <f t="shared" si="5127"/>
        <v/>
      </c>
      <c r="AV839" t="str">
        <f t="shared" si="5128"/>
        <v/>
      </c>
      <c r="AW839" t="str">
        <f t="shared" si="5129"/>
        <v xml:space="preserve">                              </v>
      </c>
      <c r="AX839" s="23">
        <f t="shared" si="5130"/>
        <v>0</v>
      </c>
      <c r="AY839" s="49" t="str">
        <f t="shared" si="5106"/>
        <v>000000000000000</v>
      </c>
      <c r="AZ839" s="23">
        <f t="shared" si="5131"/>
        <v>0</v>
      </c>
      <c r="BA839" s="49" t="str">
        <f t="shared" si="5106"/>
        <v>000000000000000</v>
      </c>
      <c r="BB839" s="23">
        <f t="shared" si="5132"/>
        <v>0</v>
      </c>
      <c r="BC839" s="49" t="str">
        <f t="shared" ref="BC839" si="5493">IF(BB839&lt;0,SUBSTITUTE(TEXT(BB839,"000000000000,00"),",",""),SUBSTITUTE(TEXT(BB839,"0000000000000,00"),",",""))</f>
        <v>000000000000000</v>
      </c>
      <c r="BD839" s="23">
        <f t="shared" si="5134"/>
        <v>0</v>
      </c>
      <c r="BE839" s="49" t="str">
        <f t="shared" ref="BE839" si="5494">IF(BD839&lt;0,SUBSTITUTE(TEXT(BD839,"000000000000,00"),",",""),SUBSTITUTE(TEXT(BD839,"0000000000000,00"),",",""))</f>
        <v>000000000000000</v>
      </c>
      <c r="BF839" s="23">
        <f t="shared" si="5136"/>
        <v>0</v>
      </c>
      <c r="BG839" s="49" t="str">
        <f t="shared" ref="BG839" si="5495">IF(BF839&lt;0,SUBSTITUTE(TEXT(BF839,"000000000000,00"),",",""),SUBSTITUTE(TEXT(BF839,"0000000000000,00"),",",""))</f>
        <v>000000000000000</v>
      </c>
      <c r="BH839" s="23">
        <f t="shared" si="5138"/>
        <v>0</v>
      </c>
      <c r="BI839" s="49" t="str">
        <f t="shared" ref="BI839" si="5496">IF(BH839&lt;0,SUBSTITUTE(TEXT(BH839,"000000000000,00"),",",""),SUBSTITUTE(TEXT(BH839,"0000000000000,00"),",",""))</f>
        <v>000000000000000</v>
      </c>
      <c r="BJ839" s="23">
        <f t="shared" si="5140"/>
        <v>0</v>
      </c>
      <c r="BK839" s="49" t="str">
        <f t="shared" ref="BK839" si="5497">IF(BJ839&lt;0,SUBSTITUTE(TEXT(BJ839,"000000000000,00"),",",""),SUBSTITUTE(TEXT(BJ839,"0000000000000,00"),",",""))</f>
        <v>000000000000000</v>
      </c>
      <c r="BL839" s="23">
        <f t="shared" si="5142"/>
        <v>0</v>
      </c>
      <c r="BM839" s="49" t="str">
        <f t="shared" ref="BM839" si="5498">IF(BL839&lt;0,SUBSTITUTE(TEXT(BL839,"000000000000,00"),",",""),SUBSTITUTE(TEXT(BL839,"0000000000000,00"),",",""))</f>
        <v>000000000000000</v>
      </c>
      <c r="BN839" t="str">
        <f t="shared" si="5144"/>
        <v>PES</v>
      </c>
      <c r="BO839" t="str">
        <f t="shared" si="5145"/>
        <v>0001000000</v>
      </c>
      <c r="BP839">
        <f t="shared" si="5146"/>
        <v>0</v>
      </c>
      <c r="BQ839">
        <f t="shared" si="5147"/>
        <v>0</v>
      </c>
      <c r="BR839" s="23">
        <f t="shared" si="5148"/>
        <v>0</v>
      </c>
      <c r="BS839" s="49" t="str">
        <f t="shared" si="5113"/>
        <v>000000000000000</v>
      </c>
      <c r="BT839" t="str">
        <f t="shared" si="5149"/>
        <v>00000000</v>
      </c>
      <c r="BU839" s="23">
        <f t="shared" si="5150"/>
        <v>0</v>
      </c>
      <c r="BV839" s="49" t="str">
        <f t="shared" si="5114"/>
        <v/>
      </c>
      <c r="BW839" s="52" t="str">
        <f t="shared" si="5151"/>
        <v/>
      </c>
      <c r="BX839" s="23">
        <f t="shared" si="5152"/>
        <v>0</v>
      </c>
      <c r="BY839" s="49" t="str">
        <f t="shared" si="5115"/>
        <v/>
      </c>
      <c r="BZ839" s="23">
        <f t="shared" si="5153"/>
        <v>0</v>
      </c>
      <c r="CA839" s="49" t="str">
        <f t="shared" si="5116"/>
        <v/>
      </c>
      <c r="CB839" s="52" t="str">
        <f t="shared" si="5154"/>
        <v/>
      </c>
      <c r="CC839" s="23">
        <f t="shared" si="5155"/>
        <v>0</v>
      </c>
      <c r="CD839" s="49" t="str">
        <f t="shared" si="5117"/>
        <v/>
      </c>
      <c r="CE839" s="56" t="str">
        <f>IF(CF839="","",MAX(CE$10:$CE838)+1)</f>
        <v/>
      </c>
      <c r="CF839" t="str">
        <f t="shared" si="5156"/>
        <v/>
      </c>
      <c r="CG839" s="22" t="str">
        <f>IF(CH839="","",MAX($CG$10:CG838)+1)</f>
        <v/>
      </c>
      <c r="CH839" s="22" t="str">
        <f t="shared" si="5101"/>
        <v/>
      </c>
      <c r="CI839" s="22" t="str">
        <f>IF(CJ839="","",MAX($CI$10:CI838)+1)</f>
        <v/>
      </c>
      <c r="CJ839" s="22" t="str">
        <f t="shared" si="5102"/>
        <v/>
      </c>
    </row>
    <row r="840" spans="2:88" x14ac:dyDescent="0.25">
      <c r="B840" s="37"/>
      <c r="C840" s="3"/>
      <c r="D840" s="77" t="str">
        <f t="shared" si="5088"/>
        <v/>
      </c>
      <c r="E840" s="38"/>
      <c r="F840" s="38"/>
      <c r="G840" s="78">
        <f t="shared" si="5103"/>
        <v>0</v>
      </c>
      <c r="H840" s="3">
        <v>80</v>
      </c>
      <c r="I840" s="77" t="str">
        <f t="shared" si="5089"/>
        <v/>
      </c>
      <c r="J840" s="32"/>
      <c r="K840" s="3"/>
      <c r="L840" s="39"/>
      <c r="M840" s="39"/>
      <c r="N840" s="39"/>
      <c r="O840" s="39"/>
      <c r="P840" s="39"/>
      <c r="Q840" s="39"/>
      <c r="R840" s="39"/>
      <c r="S840" s="39"/>
      <c r="T840" s="3" t="s">
        <v>645</v>
      </c>
      <c r="U840" s="77" t="str">
        <f t="shared" si="5090"/>
        <v/>
      </c>
      <c r="V840" s="39">
        <v>1</v>
      </c>
      <c r="W840" s="79">
        <f t="shared" si="5104"/>
        <v>0</v>
      </c>
      <c r="X840" s="3">
        <v>0</v>
      </c>
      <c r="Y840" s="77" t="str">
        <f t="shared" si="5091"/>
        <v/>
      </c>
      <c r="Z840" s="3"/>
      <c r="AA840" s="37" t="str">
        <f t="shared" si="5105"/>
        <v/>
      </c>
      <c r="AC840" s="40"/>
      <c r="AD840" s="7"/>
      <c r="AE840" s="77" t="str">
        <f t="shared" si="5092"/>
        <v/>
      </c>
      <c r="AF840" s="81">
        <f t="shared" si="5118"/>
        <v>0</v>
      </c>
      <c r="AG840" s="40"/>
      <c r="AH840" s="7"/>
      <c r="AI840" s="77" t="str">
        <f t="shared" si="5093"/>
        <v/>
      </c>
      <c r="AJ840" s="81">
        <f t="shared" si="5119"/>
        <v>0</v>
      </c>
      <c r="AK840" s="83">
        <f t="shared" si="5120"/>
        <v>0</v>
      </c>
      <c r="AL840" s="83">
        <f t="shared" si="5121"/>
        <v>0</v>
      </c>
      <c r="AN840" s="43">
        <f t="shared" si="5094"/>
        <v>0</v>
      </c>
      <c r="AP840" t="str">
        <f t="shared" si="5122"/>
        <v/>
      </c>
      <c r="AQ840" t="str">
        <f t="shared" si="5123"/>
        <v/>
      </c>
      <c r="AR840" t="str">
        <f t="shared" si="5124"/>
        <v/>
      </c>
      <c r="AS840" t="str">
        <f t="shared" si="5125"/>
        <v/>
      </c>
      <c r="AT840" t="str">
        <f t="shared" si="5126"/>
        <v/>
      </c>
      <c r="AU840" t="str">
        <f t="shared" si="5127"/>
        <v/>
      </c>
      <c r="AV840" t="str">
        <f t="shared" si="5128"/>
        <v/>
      </c>
      <c r="AW840" t="str">
        <f t="shared" si="5129"/>
        <v xml:space="preserve">                              </v>
      </c>
      <c r="AX840" s="23">
        <f t="shared" si="5130"/>
        <v>0</v>
      </c>
      <c r="AY840" s="49" t="str">
        <f t="shared" si="5106"/>
        <v>000000000000000</v>
      </c>
      <c r="AZ840" s="23">
        <f t="shared" si="5131"/>
        <v>0</v>
      </c>
      <c r="BA840" s="49" t="str">
        <f t="shared" si="5106"/>
        <v>000000000000000</v>
      </c>
      <c r="BB840" s="23">
        <f t="shared" si="5132"/>
        <v>0</v>
      </c>
      <c r="BC840" s="49" t="str">
        <f t="shared" ref="BC840" si="5499">IF(BB840&lt;0,SUBSTITUTE(TEXT(BB840,"000000000000,00"),",",""),SUBSTITUTE(TEXT(BB840,"0000000000000,00"),",",""))</f>
        <v>000000000000000</v>
      </c>
      <c r="BD840" s="23">
        <f t="shared" si="5134"/>
        <v>0</v>
      </c>
      <c r="BE840" s="49" t="str">
        <f t="shared" ref="BE840" si="5500">IF(BD840&lt;0,SUBSTITUTE(TEXT(BD840,"000000000000,00"),",",""),SUBSTITUTE(TEXT(BD840,"0000000000000,00"),",",""))</f>
        <v>000000000000000</v>
      </c>
      <c r="BF840" s="23">
        <f t="shared" si="5136"/>
        <v>0</v>
      </c>
      <c r="BG840" s="49" t="str">
        <f t="shared" ref="BG840" si="5501">IF(BF840&lt;0,SUBSTITUTE(TEXT(BF840,"000000000000,00"),",",""),SUBSTITUTE(TEXT(BF840,"0000000000000,00"),",",""))</f>
        <v>000000000000000</v>
      </c>
      <c r="BH840" s="23">
        <f t="shared" si="5138"/>
        <v>0</v>
      </c>
      <c r="BI840" s="49" t="str">
        <f t="shared" ref="BI840" si="5502">IF(BH840&lt;0,SUBSTITUTE(TEXT(BH840,"000000000000,00"),",",""),SUBSTITUTE(TEXT(BH840,"0000000000000,00"),",",""))</f>
        <v>000000000000000</v>
      </c>
      <c r="BJ840" s="23">
        <f t="shared" si="5140"/>
        <v>0</v>
      </c>
      <c r="BK840" s="49" t="str">
        <f t="shared" ref="BK840" si="5503">IF(BJ840&lt;0,SUBSTITUTE(TEXT(BJ840,"000000000000,00"),",",""),SUBSTITUTE(TEXT(BJ840,"0000000000000,00"),",",""))</f>
        <v>000000000000000</v>
      </c>
      <c r="BL840" s="23">
        <f t="shared" si="5142"/>
        <v>0</v>
      </c>
      <c r="BM840" s="49" t="str">
        <f t="shared" ref="BM840" si="5504">IF(BL840&lt;0,SUBSTITUTE(TEXT(BL840,"000000000000,00"),",",""),SUBSTITUTE(TEXT(BL840,"0000000000000,00"),",",""))</f>
        <v>000000000000000</v>
      </c>
      <c r="BN840" t="str">
        <f t="shared" si="5144"/>
        <v>PES</v>
      </c>
      <c r="BO840" t="str">
        <f t="shared" si="5145"/>
        <v>0001000000</v>
      </c>
      <c r="BP840">
        <f t="shared" si="5146"/>
        <v>0</v>
      </c>
      <c r="BQ840">
        <f t="shared" si="5147"/>
        <v>0</v>
      </c>
      <c r="BR840" s="23">
        <f t="shared" si="5148"/>
        <v>0</v>
      </c>
      <c r="BS840" s="49" t="str">
        <f t="shared" si="5113"/>
        <v>000000000000000</v>
      </c>
      <c r="BT840" t="str">
        <f t="shared" si="5149"/>
        <v>00000000</v>
      </c>
      <c r="BU840" s="23">
        <f t="shared" si="5150"/>
        <v>0</v>
      </c>
      <c r="BV840" s="49" t="str">
        <f t="shared" si="5114"/>
        <v/>
      </c>
      <c r="BW840" s="52" t="str">
        <f t="shared" si="5151"/>
        <v/>
      </c>
      <c r="BX840" s="23">
        <f t="shared" si="5152"/>
        <v>0</v>
      </c>
      <c r="BY840" s="49" t="str">
        <f t="shared" si="5115"/>
        <v/>
      </c>
      <c r="BZ840" s="23">
        <f t="shared" si="5153"/>
        <v>0</v>
      </c>
      <c r="CA840" s="49" t="str">
        <f t="shared" si="5116"/>
        <v/>
      </c>
      <c r="CB840" s="52" t="str">
        <f t="shared" si="5154"/>
        <v/>
      </c>
      <c r="CC840" s="23">
        <f t="shared" si="5155"/>
        <v>0</v>
      </c>
      <c r="CD840" s="49" t="str">
        <f t="shared" si="5117"/>
        <v/>
      </c>
      <c r="CE840" s="56" t="str">
        <f>IF(CF840="","",MAX(CE$10:$CE839)+1)</f>
        <v/>
      </c>
      <c r="CF840" t="str">
        <f t="shared" si="5156"/>
        <v/>
      </c>
      <c r="CG840" s="22" t="str">
        <f>IF(CH840="","",MAX($CG$10:CG839)+1)</f>
        <v/>
      </c>
      <c r="CH840" s="22" t="str">
        <f t="shared" si="5101"/>
        <v/>
      </c>
      <c r="CI840" s="22" t="str">
        <f>IF(CJ840="","",MAX($CI$10:CI839)+1)</f>
        <v/>
      </c>
      <c r="CJ840" s="22" t="str">
        <f t="shared" si="5102"/>
        <v/>
      </c>
    </row>
    <row r="841" spans="2:88" x14ac:dyDescent="0.25">
      <c r="B841" s="37"/>
      <c r="C841" s="3"/>
      <c r="D841" s="77" t="str">
        <f t="shared" si="5088"/>
        <v/>
      </c>
      <c r="E841" s="38"/>
      <c r="F841" s="38"/>
      <c r="G841" s="78">
        <f t="shared" si="5103"/>
        <v>0</v>
      </c>
      <c r="H841" s="3">
        <v>80</v>
      </c>
      <c r="I841" s="77" t="str">
        <f t="shared" si="5089"/>
        <v/>
      </c>
      <c r="J841" s="32"/>
      <c r="K841" s="3"/>
      <c r="L841" s="39"/>
      <c r="M841" s="39"/>
      <c r="N841" s="39"/>
      <c r="O841" s="39"/>
      <c r="P841" s="39"/>
      <c r="Q841" s="39"/>
      <c r="R841" s="39"/>
      <c r="S841" s="39"/>
      <c r="T841" s="3" t="s">
        <v>645</v>
      </c>
      <c r="U841" s="77" t="str">
        <f t="shared" si="5090"/>
        <v/>
      </c>
      <c r="V841" s="39">
        <v>1</v>
      </c>
      <c r="W841" s="79">
        <f t="shared" si="5104"/>
        <v>0</v>
      </c>
      <c r="X841" s="3">
        <v>0</v>
      </c>
      <c r="Y841" s="77" t="str">
        <f t="shared" si="5091"/>
        <v/>
      </c>
      <c r="Z841" s="3"/>
      <c r="AA841" s="37" t="str">
        <f t="shared" si="5105"/>
        <v/>
      </c>
      <c r="AC841" s="40"/>
      <c r="AD841" s="7"/>
      <c r="AE841" s="77" t="str">
        <f t="shared" si="5092"/>
        <v/>
      </c>
      <c r="AF841" s="81">
        <f t="shared" si="5118"/>
        <v>0</v>
      </c>
      <c r="AG841" s="40"/>
      <c r="AH841" s="7"/>
      <c r="AI841" s="77" t="str">
        <f t="shared" si="5093"/>
        <v/>
      </c>
      <c r="AJ841" s="81">
        <f t="shared" si="5119"/>
        <v>0</v>
      </c>
      <c r="AK841" s="83">
        <f t="shared" si="5120"/>
        <v>0</v>
      </c>
      <c r="AL841" s="83">
        <f t="shared" si="5121"/>
        <v>0</v>
      </c>
      <c r="AN841" s="43">
        <f t="shared" si="5094"/>
        <v>0</v>
      </c>
      <c r="AP841" t="str">
        <f t="shared" si="5122"/>
        <v/>
      </c>
      <c r="AQ841" t="str">
        <f t="shared" si="5123"/>
        <v/>
      </c>
      <c r="AR841" t="str">
        <f t="shared" si="5124"/>
        <v/>
      </c>
      <c r="AS841" t="str">
        <f t="shared" si="5125"/>
        <v/>
      </c>
      <c r="AT841" t="str">
        <f t="shared" si="5126"/>
        <v/>
      </c>
      <c r="AU841" t="str">
        <f t="shared" si="5127"/>
        <v/>
      </c>
      <c r="AV841" t="str">
        <f t="shared" si="5128"/>
        <v/>
      </c>
      <c r="AW841" t="str">
        <f t="shared" si="5129"/>
        <v xml:space="preserve">                              </v>
      </c>
      <c r="AX841" s="23">
        <f t="shared" si="5130"/>
        <v>0</v>
      </c>
      <c r="AY841" s="49" t="str">
        <f t="shared" si="5106"/>
        <v>000000000000000</v>
      </c>
      <c r="AZ841" s="23">
        <f t="shared" si="5131"/>
        <v>0</v>
      </c>
      <c r="BA841" s="49" t="str">
        <f t="shared" si="5106"/>
        <v>000000000000000</v>
      </c>
      <c r="BB841" s="23">
        <f t="shared" si="5132"/>
        <v>0</v>
      </c>
      <c r="BC841" s="49" t="str">
        <f t="shared" ref="BC841" si="5505">IF(BB841&lt;0,SUBSTITUTE(TEXT(BB841,"000000000000,00"),",",""),SUBSTITUTE(TEXT(BB841,"0000000000000,00"),",",""))</f>
        <v>000000000000000</v>
      </c>
      <c r="BD841" s="23">
        <f t="shared" si="5134"/>
        <v>0</v>
      </c>
      <c r="BE841" s="49" t="str">
        <f t="shared" ref="BE841" si="5506">IF(BD841&lt;0,SUBSTITUTE(TEXT(BD841,"000000000000,00"),",",""),SUBSTITUTE(TEXT(BD841,"0000000000000,00"),",",""))</f>
        <v>000000000000000</v>
      </c>
      <c r="BF841" s="23">
        <f t="shared" si="5136"/>
        <v>0</v>
      </c>
      <c r="BG841" s="49" t="str">
        <f t="shared" ref="BG841" si="5507">IF(BF841&lt;0,SUBSTITUTE(TEXT(BF841,"000000000000,00"),",",""),SUBSTITUTE(TEXT(BF841,"0000000000000,00"),",",""))</f>
        <v>000000000000000</v>
      </c>
      <c r="BH841" s="23">
        <f t="shared" si="5138"/>
        <v>0</v>
      </c>
      <c r="BI841" s="49" t="str">
        <f t="shared" ref="BI841" si="5508">IF(BH841&lt;0,SUBSTITUTE(TEXT(BH841,"000000000000,00"),",",""),SUBSTITUTE(TEXT(BH841,"0000000000000,00"),",",""))</f>
        <v>000000000000000</v>
      </c>
      <c r="BJ841" s="23">
        <f t="shared" si="5140"/>
        <v>0</v>
      </c>
      <c r="BK841" s="49" t="str">
        <f t="shared" ref="BK841" si="5509">IF(BJ841&lt;0,SUBSTITUTE(TEXT(BJ841,"000000000000,00"),",",""),SUBSTITUTE(TEXT(BJ841,"0000000000000,00"),",",""))</f>
        <v>000000000000000</v>
      </c>
      <c r="BL841" s="23">
        <f t="shared" si="5142"/>
        <v>0</v>
      </c>
      <c r="BM841" s="49" t="str">
        <f t="shared" ref="BM841" si="5510">IF(BL841&lt;0,SUBSTITUTE(TEXT(BL841,"000000000000,00"),",",""),SUBSTITUTE(TEXT(BL841,"0000000000000,00"),",",""))</f>
        <v>000000000000000</v>
      </c>
      <c r="BN841" t="str">
        <f t="shared" si="5144"/>
        <v>PES</v>
      </c>
      <c r="BO841" t="str">
        <f t="shared" si="5145"/>
        <v>0001000000</v>
      </c>
      <c r="BP841">
        <f t="shared" si="5146"/>
        <v>0</v>
      </c>
      <c r="BQ841">
        <f t="shared" si="5147"/>
        <v>0</v>
      </c>
      <c r="BR841" s="23">
        <f t="shared" si="5148"/>
        <v>0</v>
      </c>
      <c r="BS841" s="49" t="str">
        <f t="shared" si="5113"/>
        <v>000000000000000</v>
      </c>
      <c r="BT841" t="str">
        <f t="shared" si="5149"/>
        <v>00000000</v>
      </c>
      <c r="BU841" s="23">
        <f t="shared" si="5150"/>
        <v>0</v>
      </c>
      <c r="BV841" s="49" t="str">
        <f t="shared" si="5114"/>
        <v/>
      </c>
      <c r="BW841" s="52" t="str">
        <f t="shared" si="5151"/>
        <v/>
      </c>
      <c r="BX841" s="23">
        <f t="shared" si="5152"/>
        <v>0</v>
      </c>
      <c r="BY841" s="49" t="str">
        <f t="shared" si="5115"/>
        <v/>
      </c>
      <c r="BZ841" s="23">
        <f t="shared" si="5153"/>
        <v>0</v>
      </c>
      <c r="CA841" s="49" t="str">
        <f t="shared" si="5116"/>
        <v/>
      </c>
      <c r="CB841" s="52" t="str">
        <f t="shared" si="5154"/>
        <v/>
      </c>
      <c r="CC841" s="23">
        <f t="shared" si="5155"/>
        <v>0</v>
      </c>
      <c r="CD841" s="49" t="str">
        <f t="shared" si="5117"/>
        <v/>
      </c>
      <c r="CE841" s="56" t="str">
        <f>IF(CF841="","",MAX(CE$10:$CE840)+1)</f>
        <v/>
      </c>
      <c r="CF841" t="str">
        <f t="shared" si="5156"/>
        <v/>
      </c>
      <c r="CG841" s="22" t="str">
        <f>IF(CH841="","",MAX($CG$10:CG840)+1)</f>
        <v/>
      </c>
      <c r="CH841" s="22" t="str">
        <f t="shared" si="5101"/>
        <v/>
      </c>
      <c r="CI841" s="22" t="str">
        <f>IF(CJ841="","",MAX($CI$10:CI840)+1)</f>
        <v/>
      </c>
      <c r="CJ841" s="22" t="str">
        <f t="shared" si="5102"/>
        <v/>
      </c>
    </row>
    <row r="842" spans="2:88" x14ac:dyDescent="0.25">
      <c r="B842" s="37"/>
      <c r="C842" s="3"/>
      <c r="D842" s="77" t="str">
        <f t="shared" si="5088"/>
        <v/>
      </c>
      <c r="E842" s="38"/>
      <c r="F842" s="38"/>
      <c r="G842" s="78">
        <f t="shared" si="5103"/>
        <v>0</v>
      </c>
      <c r="H842" s="3">
        <v>80</v>
      </c>
      <c r="I842" s="77" t="str">
        <f t="shared" si="5089"/>
        <v/>
      </c>
      <c r="J842" s="32"/>
      <c r="K842" s="3"/>
      <c r="L842" s="39"/>
      <c r="M842" s="39"/>
      <c r="N842" s="39"/>
      <c r="O842" s="39"/>
      <c r="P842" s="39"/>
      <c r="Q842" s="39"/>
      <c r="R842" s="39"/>
      <c r="S842" s="39"/>
      <c r="T842" s="3" t="s">
        <v>645</v>
      </c>
      <c r="U842" s="77" t="str">
        <f t="shared" si="5090"/>
        <v/>
      </c>
      <c r="V842" s="39">
        <v>1</v>
      </c>
      <c r="W842" s="79">
        <f t="shared" si="5104"/>
        <v>0</v>
      </c>
      <c r="X842" s="3">
        <v>0</v>
      </c>
      <c r="Y842" s="77" t="str">
        <f t="shared" si="5091"/>
        <v/>
      </c>
      <c r="Z842" s="3"/>
      <c r="AA842" s="37" t="str">
        <f t="shared" si="5105"/>
        <v/>
      </c>
      <c r="AC842" s="40"/>
      <c r="AD842" s="7"/>
      <c r="AE842" s="77" t="str">
        <f t="shared" si="5092"/>
        <v/>
      </c>
      <c r="AF842" s="81">
        <f t="shared" si="5118"/>
        <v>0</v>
      </c>
      <c r="AG842" s="40"/>
      <c r="AH842" s="7"/>
      <c r="AI842" s="77" t="str">
        <f t="shared" si="5093"/>
        <v/>
      </c>
      <c r="AJ842" s="81">
        <f t="shared" si="5119"/>
        <v>0</v>
      </c>
      <c r="AK842" s="83">
        <f t="shared" si="5120"/>
        <v>0</v>
      </c>
      <c r="AL842" s="83">
        <f t="shared" si="5121"/>
        <v>0</v>
      </c>
      <c r="AN842" s="43">
        <f t="shared" si="5094"/>
        <v>0</v>
      </c>
      <c r="AP842" t="str">
        <f t="shared" si="5122"/>
        <v/>
      </c>
      <c r="AQ842" t="str">
        <f t="shared" si="5123"/>
        <v/>
      </c>
      <c r="AR842" t="str">
        <f t="shared" si="5124"/>
        <v/>
      </c>
      <c r="AS842" t="str">
        <f t="shared" si="5125"/>
        <v/>
      </c>
      <c r="AT842" t="str">
        <f t="shared" si="5126"/>
        <v/>
      </c>
      <c r="AU842" t="str">
        <f t="shared" si="5127"/>
        <v/>
      </c>
      <c r="AV842" t="str">
        <f t="shared" si="5128"/>
        <v/>
      </c>
      <c r="AW842" t="str">
        <f t="shared" si="5129"/>
        <v xml:space="preserve">                              </v>
      </c>
      <c r="AX842" s="23">
        <f t="shared" si="5130"/>
        <v>0</v>
      </c>
      <c r="AY842" s="49" t="str">
        <f t="shared" si="5106"/>
        <v>000000000000000</v>
      </c>
      <c r="AZ842" s="23">
        <f t="shared" si="5131"/>
        <v>0</v>
      </c>
      <c r="BA842" s="49" t="str">
        <f t="shared" si="5106"/>
        <v>000000000000000</v>
      </c>
      <c r="BB842" s="23">
        <f t="shared" si="5132"/>
        <v>0</v>
      </c>
      <c r="BC842" s="49" t="str">
        <f t="shared" ref="BC842" si="5511">IF(BB842&lt;0,SUBSTITUTE(TEXT(BB842,"000000000000,00"),",",""),SUBSTITUTE(TEXT(BB842,"0000000000000,00"),",",""))</f>
        <v>000000000000000</v>
      </c>
      <c r="BD842" s="23">
        <f t="shared" si="5134"/>
        <v>0</v>
      </c>
      <c r="BE842" s="49" t="str">
        <f t="shared" ref="BE842" si="5512">IF(BD842&lt;0,SUBSTITUTE(TEXT(BD842,"000000000000,00"),",",""),SUBSTITUTE(TEXT(BD842,"0000000000000,00"),",",""))</f>
        <v>000000000000000</v>
      </c>
      <c r="BF842" s="23">
        <f t="shared" si="5136"/>
        <v>0</v>
      </c>
      <c r="BG842" s="49" t="str">
        <f t="shared" ref="BG842" si="5513">IF(BF842&lt;0,SUBSTITUTE(TEXT(BF842,"000000000000,00"),",",""),SUBSTITUTE(TEXT(BF842,"0000000000000,00"),",",""))</f>
        <v>000000000000000</v>
      </c>
      <c r="BH842" s="23">
        <f t="shared" si="5138"/>
        <v>0</v>
      </c>
      <c r="BI842" s="49" t="str">
        <f t="shared" ref="BI842" si="5514">IF(BH842&lt;0,SUBSTITUTE(TEXT(BH842,"000000000000,00"),",",""),SUBSTITUTE(TEXT(BH842,"0000000000000,00"),",",""))</f>
        <v>000000000000000</v>
      </c>
      <c r="BJ842" s="23">
        <f t="shared" si="5140"/>
        <v>0</v>
      </c>
      <c r="BK842" s="49" t="str">
        <f t="shared" ref="BK842" si="5515">IF(BJ842&lt;0,SUBSTITUTE(TEXT(BJ842,"000000000000,00"),",",""),SUBSTITUTE(TEXT(BJ842,"0000000000000,00"),",",""))</f>
        <v>000000000000000</v>
      </c>
      <c r="BL842" s="23">
        <f t="shared" si="5142"/>
        <v>0</v>
      </c>
      <c r="BM842" s="49" t="str">
        <f t="shared" ref="BM842" si="5516">IF(BL842&lt;0,SUBSTITUTE(TEXT(BL842,"000000000000,00"),",",""),SUBSTITUTE(TEXT(BL842,"0000000000000,00"),",",""))</f>
        <v>000000000000000</v>
      </c>
      <c r="BN842" t="str">
        <f t="shared" si="5144"/>
        <v>PES</v>
      </c>
      <c r="BO842" t="str">
        <f t="shared" si="5145"/>
        <v>0001000000</v>
      </c>
      <c r="BP842">
        <f t="shared" si="5146"/>
        <v>0</v>
      </c>
      <c r="BQ842">
        <f t="shared" si="5147"/>
        <v>0</v>
      </c>
      <c r="BR842" s="23">
        <f t="shared" si="5148"/>
        <v>0</v>
      </c>
      <c r="BS842" s="49" t="str">
        <f t="shared" si="5113"/>
        <v>000000000000000</v>
      </c>
      <c r="BT842" t="str">
        <f t="shared" si="5149"/>
        <v>00000000</v>
      </c>
      <c r="BU842" s="23">
        <f t="shared" si="5150"/>
        <v>0</v>
      </c>
      <c r="BV842" s="49" t="str">
        <f t="shared" si="5114"/>
        <v/>
      </c>
      <c r="BW842" s="52" t="str">
        <f t="shared" si="5151"/>
        <v/>
      </c>
      <c r="BX842" s="23">
        <f t="shared" si="5152"/>
        <v>0</v>
      </c>
      <c r="BY842" s="49" t="str">
        <f t="shared" si="5115"/>
        <v/>
      </c>
      <c r="BZ842" s="23">
        <f t="shared" si="5153"/>
        <v>0</v>
      </c>
      <c r="CA842" s="49" t="str">
        <f t="shared" si="5116"/>
        <v/>
      </c>
      <c r="CB842" s="52" t="str">
        <f t="shared" si="5154"/>
        <v/>
      </c>
      <c r="CC842" s="23">
        <f t="shared" si="5155"/>
        <v>0</v>
      </c>
      <c r="CD842" s="49" t="str">
        <f t="shared" si="5117"/>
        <v/>
      </c>
      <c r="CE842" s="56" t="str">
        <f>IF(CF842="","",MAX(CE$10:$CE841)+1)</f>
        <v/>
      </c>
      <c r="CF842" t="str">
        <f t="shared" si="5156"/>
        <v/>
      </c>
      <c r="CG842" s="22" t="str">
        <f>IF(CH842="","",MAX($CG$10:CG841)+1)</f>
        <v/>
      </c>
      <c r="CH842" s="22" t="str">
        <f t="shared" si="5101"/>
        <v/>
      </c>
      <c r="CI842" s="22" t="str">
        <f>IF(CJ842="","",MAX($CI$10:CI841)+1)</f>
        <v/>
      </c>
      <c r="CJ842" s="22" t="str">
        <f t="shared" si="5102"/>
        <v/>
      </c>
    </row>
    <row r="843" spans="2:88" x14ac:dyDescent="0.25">
      <c r="B843" s="37"/>
      <c r="C843" s="3"/>
      <c r="D843" s="77" t="str">
        <f t="shared" si="5088"/>
        <v/>
      </c>
      <c r="E843" s="38"/>
      <c r="F843" s="38"/>
      <c r="G843" s="78">
        <f t="shared" si="5103"/>
        <v>0</v>
      </c>
      <c r="H843" s="3">
        <v>80</v>
      </c>
      <c r="I843" s="77" t="str">
        <f t="shared" si="5089"/>
        <v/>
      </c>
      <c r="J843" s="32"/>
      <c r="K843" s="3"/>
      <c r="L843" s="39"/>
      <c r="M843" s="39"/>
      <c r="N843" s="39"/>
      <c r="O843" s="39"/>
      <c r="P843" s="39"/>
      <c r="Q843" s="39"/>
      <c r="R843" s="39"/>
      <c r="S843" s="39"/>
      <c r="T843" s="3" t="s">
        <v>645</v>
      </c>
      <c r="U843" s="77" t="str">
        <f t="shared" si="5090"/>
        <v/>
      </c>
      <c r="V843" s="39">
        <v>1</v>
      </c>
      <c r="W843" s="79">
        <f t="shared" si="5104"/>
        <v>0</v>
      </c>
      <c r="X843" s="3">
        <v>0</v>
      </c>
      <c r="Y843" s="77" t="str">
        <f t="shared" si="5091"/>
        <v/>
      </c>
      <c r="Z843" s="3"/>
      <c r="AA843" s="37" t="str">
        <f t="shared" si="5105"/>
        <v/>
      </c>
      <c r="AC843" s="40"/>
      <c r="AD843" s="7"/>
      <c r="AE843" s="77" t="str">
        <f t="shared" si="5092"/>
        <v/>
      </c>
      <c r="AF843" s="81">
        <f t="shared" si="5118"/>
        <v>0</v>
      </c>
      <c r="AG843" s="40"/>
      <c r="AH843" s="7"/>
      <c r="AI843" s="77" t="str">
        <f t="shared" si="5093"/>
        <v/>
      </c>
      <c r="AJ843" s="81">
        <f t="shared" si="5119"/>
        <v>0</v>
      </c>
      <c r="AK843" s="83">
        <f t="shared" si="5120"/>
        <v>0</v>
      </c>
      <c r="AL843" s="83">
        <f t="shared" si="5121"/>
        <v>0</v>
      </c>
      <c r="AN843" s="43">
        <f t="shared" si="5094"/>
        <v>0</v>
      </c>
      <c r="AP843" t="str">
        <f t="shared" si="5122"/>
        <v/>
      </c>
      <c r="AQ843" t="str">
        <f t="shared" si="5123"/>
        <v/>
      </c>
      <c r="AR843" t="str">
        <f t="shared" si="5124"/>
        <v/>
      </c>
      <c r="AS843" t="str">
        <f t="shared" si="5125"/>
        <v/>
      </c>
      <c r="AT843" t="str">
        <f t="shared" si="5126"/>
        <v/>
      </c>
      <c r="AU843" t="str">
        <f t="shared" si="5127"/>
        <v/>
      </c>
      <c r="AV843" t="str">
        <f t="shared" si="5128"/>
        <v/>
      </c>
      <c r="AW843" t="str">
        <f t="shared" si="5129"/>
        <v xml:space="preserve">                              </v>
      </c>
      <c r="AX843" s="23">
        <f t="shared" si="5130"/>
        <v>0</v>
      </c>
      <c r="AY843" s="49" t="str">
        <f t="shared" si="5106"/>
        <v>000000000000000</v>
      </c>
      <c r="AZ843" s="23">
        <f t="shared" si="5131"/>
        <v>0</v>
      </c>
      <c r="BA843" s="49" t="str">
        <f t="shared" si="5106"/>
        <v>000000000000000</v>
      </c>
      <c r="BB843" s="23">
        <f t="shared" si="5132"/>
        <v>0</v>
      </c>
      <c r="BC843" s="49" t="str">
        <f t="shared" ref="BC843" si="5517">IF(BB843&lt;0,SUBSTITUTE(TEXT(BB843,"000000000000,00"),",",""),SUBSTITUTE(TEXT(BB843,"0000000000000,00"),",",""))</f>
        <v>000000000000000</v>
      </c>
      <c r="BD843" s="23">
        <f t="shared" si="5134"/>
        <v>0</v>
      </c>
      <c r="BE843" s="49" t="str">
        <f t="shared" ref="BE843" si="5518">IF(BD843&lt;0,SUBSTITUTE(TEXT(BD843,"000000000000,00"),",",""),SUBSTITUTE(TEXT(BD843,"0000000000000,00"),",",""))</f>
        <v>000000000000000</v>
      </c>
      <c r="BF843" s="23">
        <f t="shared" si="5136"/>
        <v>0</v>
      </c>
      <c r="BG843" s="49" t="str">
        <f t="shared" ref="BG843" si="5519">IF(BF843&lt;0,SUBSTITUTE(TEXT(BF843,"000000000000,00"),",",""),SUBSTITUTE(TEXT(BF843,"0000000000000,00"),",",""))</f>
        <v>000000000000000</v>
      </c>
      <c r="BH843" s="23">
        <f t="shared" si="5138"/>
        <v>0</v>
      </c>
      <c r="BI843" s="49" t="str">
        <f t="shared" ref="BI843" si="5520">IF(BH843&lt;0,SUBSTITUTE(TEXT(BH843,"000000000000,00"),",",""),SUBSTITUTE(TEXT(BH843,"0000000000000,00"),",",""))</f>
        <v>000000000000000</v>
      </c>
      <c r="BJ843" s="23">
        <f t="shared" si="5140"/>
        <v>0</v>
      </c>
      <c r="BK843" s="49" t="str">
        <f t="shared" ref="BK843" si="5521">IF(BJ843&lt;0,SUBSTITUTE(TEXT(BJ843,"000000000000,00"),",",""),SUBSTITUTE(TEXT(BJ843,"0000000000000,00"),",",""))</f>
        <v>000000000000000</v>
      </c>
      <c r="BL843" s="23">
        <f t="shared" si="5142"/>
        <v>0</v>
      </c>
      <c r="BM843" s="49" t="str">
        <f t="shared" ref="BM843" si="5522">IF(BL843&lt;0,SUBSTITUTE(TEXT(BL843,"000000000000,00"),",",""),SUBSTITUTE(TEXT(BL843,"0000000000000,00"),",",""))</f>
        <v>000000000000000</v>
      </c>
      <c r="BN843" t="str">
        <f t="shared" si="5144"/>
        <v>PES</v>
      </c>
      <c r="BO843" t="str">
        <f t="shared" si="5145"/>
        <v>0001000000</v>
      </c>
      <c r="BP843">
        <f t="shared" si="5146"/>
        <v>0</v>
      </c>
      <c r="BQ843">
        <f t="shared" si="5147"/>
        <v>0</v>
      </c>
      <c r="BR843" s="23">
        <f t="shared" si="5148"/>
        <v>0</v>
      </c>
      <c r="BS843" s="49" t="str">
        <f t="shared" si="5113"/>
        <v>000000000000000</v>
      </c>
      <c r="BT843" t="str">
        <f t="shared" si="5149"/>
        <v>00000000</v>
      </c>
      <c r="BU843" s="23">
        <f t="shared" si="5150"/>
        <v>0</v>
      </c>
      <c r="BV843" s="49" t="str">
        <f t="shared" si="5114"/>
        <v/>
      </c>
      <c r="BW843" s="52" t="str">
        <f t="shared" si="5151"/>
        <v/>
      </c>
      <c r="BX843" s="23">
        <f t="shared" si="5152"/>
        <v>0</v>
      </c>
      <c r="BY843" s="49" t="str">
        <f t="shared" si="5115"/>
        <v/>
      </c>
      <c r="BZ843" s="23">
        <f t="shared" si="5153"/>
        <v>0</v>
      </c>
      <c r="CA843" s="49" t="str">
        <f t="shared" si="5116"/>
        <v/>
      </c>
      <c r="CB843" s="52" t="str">
        <f t="shared" si="5154"/>
        <v/>
      </c>
      <c r="CC843" s="23">
        <f t="shared" si="5155"/>
        <v>0</v>
      </c>
      <c r="CD843" s="49" t="str">
        <f t="shared" si="5117"/>
        <v/>
      </c>
      <c r="CE843" s="56" t="str">
        <f>IF(CF843="","",MAX(CE$10:$CE842)+1)</f>
        <v/>
      </c>
      <c r="CF843" t="str">
        <f t="shared" si="5156"/>
        <v/>
      </c>
      <c r="CG843" s="22" t="str">
        <f>IF(CH843="","",MAX($CG$10:CG842)+1)</f>
        <v/>
      </c>
      <c r="CH843" s="22" t="str">
        <f t="shared" si="5101"/>
        <v/>
      </c>
      <c r="CI843" s="22" t="str">
        <f>IF(CJ843="","",MAX($CI$10:CI842)+1)</f>
        <v/>
      </c>
      <c r="CJ843" s="22" t="str">
        <f t="shared" si="5102"/>
        <v/>
      </c>
    </row>
    <row r="844" spans="2:88" x14ac:dyDescent="0.25">
      <c r="B844" s="37"/>
      <c r="C844" s="3"/>
      <c r="D844" s="77" t="str">
        <f t="shared" ref="D844:D907" si="5523">IF(B844="","",IF(ISERROR(VLOOKUP(C844,T_CompVentas,2,FALSE)),"",VLOOKUP(C844,T_CompVentas,2,FALSE)))</f>
        <v/>
      </c>
      <c r="E844" s="38"/>
      <c r="F844" s="38"/>
      <c r="G844" s="78">
        <f t="shared" si="5103"/>
        <v>0</v>
      </c>
      <c r="H844" s="3">
        <v>80</v>
      </c>
      <c r="I844" s="77" t="str">
        <f t="shared" ref="I844:I907" si="5524">IF(B844="","",IF(H844="","",IF(ISERROR(VLOOKUP(H844,T_Documentos,2,FALSE)),"",VLOOKUP(H844,T_Documentos,2,FALSE))))</f>
        <v/>
      </c>
      <c r="J844" s="32"/>
      <c r="K844" s="3"/>
      <c r="L844" s="39"/>
      <c r="M844" s="39"/>
      <c r="N844" s="39"/>
      <c r="O844" s="39"/>
      <c r="P844" s="39"/>
      <c r="Q844" s="39"/>
      <c r="R844" s="39"/>
      <c r="S844" s="39"/>
      <c r="T844" s="3" t="s">
        <v>645</v>
      </c>
      <c r="U844" s="77" t="str">
        <f t="shared" ref="U844:U907" si="5525">IF(B844="","",IF(ISERROR(VLOOKUP(T844,T_Monedas,2,FALSE)),"",VLOOKUP(T844,T_Monedas,2,FALSE)))</f>
        <v/>
      </c>
      <c r="V844" s="39">
        <v>1</v>
      </c>
      <c r="W844" s="79">
        <f t="shared" si="5104"/>
        <v>0</v>
      </c>
      <c r="X844" s="3">
        <v>0</v>
      </c>
      <c r="Y844" s="77" t="str">
        <f t="shared" ref="Y844:Y907" si="5526">IF(B844="","",IF(ISERROR(VLOOKUP(X844,T_CodOperVentas,2,FALSE)),"",VLOOKUP(X844,T_CodOperVentas,2,FALSE)))</f>
        <v/>
      </c>
      <c r="Z844" s="3"/>
      <c r="AA844" s="37" t="str">
        <f t="shared" si="5105"/>
        <v/>
      </c>
      <c r="AC844" s="40"/>
      <c r="AD844" s="7"/>
      <c r="AE844" s="77" t="str">
        <f t="shared" ref="AE844:AE907" si="5527">IF(B844="","",IF(AD844="","",IF(ISERROR(VLOOKUP(AD844,T_Alicuotas,2,FALSE)),"",VLOOKUP(AD844,T_Alicuotas,2,FALSE))))</f>
        <v/>
      </c>
      <c r="AF844" s="81">
        <f t="shared" si="5118"/>
        <v>0</v>
      </c>
      <c r="AG844" s="40"/>
      <c r="AH844" s="7"/>
      <c r="AI844" s="77" t="str">
        <f t="shared" ref="AI844:AI907" si="5528">IF(B844="","",IF(AH844="","",IF(ISERROR(VLOOKUP(AH844,T_Alicuotas,2,FALSE)),"",VLOOKUP(AH844,T_Alicuotas,2,FALSE))))</f>
        <v/>
      </c>
      <c r="AJ844" s="81">
        <f t="shared" si="5119"/>
        <v>0</v>
      </c>
      <c r="AK844" s="83">
        <f t="shared" si="5120"/>
        <v>0</v>
      </c>
      <c r="AL844" s="83">
        <f t="shared" si="5121"/>
        <v>0</v>
      </c>
      <c r="AN844" s="43">
        <f t="shared" ref="AN844:AN907" si="5529">+L844-M844-N844-O844-P844-Q844-R844-S844-AC844-AF844-AG844-AJ844</f>
        <v>0</v>
      </c>
      <c r="AP844" t="str">
        <f t="shared" si="5122"/>
        <v/>
      </c>
      <c r="AQ844" t="str">
        <f t="shared" si="5123"/>
        <v/>
      </c>
      <c r="AR844" t="str">
        <f t="shared" si="5124"/>
        <v/>
      </c>
      <c r="AS844" t="str">
        <f t="shared" si="5125"/>
        <v/>
      </c>
      <c r="AT844" t="str">
        <f t="shared" si="5126"/>
        <v/>
      </c>
      <c r="AU844" t="str">
        <f t="shared" si="5127"/>
        <v/>
      </c>
      <c r="AV844" t="str">
        <f t="shared" si="5128"/>
        <v/>
      </c>
      <c r="AW844" t="str">
        <f t="shared" si="5129"/>
        <v xml:space="preserve">                              </v>
      </c>
      <c r="AX844" s="23">
        <f t="shared" si="5130"/>
        <v>0</v>
      </c>
      <c r="AY844" s="49" t="str">
        <f t="shared" si="5106"/>
        <v>000000000000000</v>
      </c>
      <c r="AZ844" s="23">
        <f t="shared" si="5131"/>
        <v>0</v>
      </c>
      <c r="BA844" s="49" t="str">
        <f t="shared" si="5106"/>
        <v>000000000000000</v>
      </c>
      <c r="BB844" s="23">
        <f t="shared" si="5132"/>
        <v>0</v>
      </c>
      <c r="BC844" s="49" t="str">
        <f t="shared" ref="BC844" si="5530">IF(BB844&lt;0,SUBSTITUTE(TEXT(BB844,"000000000000,00"),",",""),SUBSTITUTE(TEXT(BB844,"0000000000000,00"),",",""))</f>
        <v>000000000000000</v>
      </c>
      <c r="BD844" s="23">
        <f t="shared" si="5134"/>
        <v>0</v>
      </c>
      <c r="BE844" s="49" t="str">
        <f t="shared" ref="BE844" si="5531">IF(BD844&lt;0,SUBSTITUTE(TEXT(BD844,"000000000000,00"),",",""),SUBSTITUTE(TEXT(BD844,"0000000000000,00"),",",""))</f>
        <v>000000000000000</v>
      </c>
      <c r="BF844" s="23">
        <f t="shared" si="5136"/>
        <v>0</v>
      </c>
      <c r="BG844" s="49" t="str">
        <f t="shared" ref="BG844" si="5532">IF(BF844&lt;0,SUBSTITUTE(TEXT(BF844,"000000000000,00"),",",""),SUBSTITUTE(TEXT(BF844,"0000000000000,00"),",",""))</f>
        <v>000000000000000</v>
      </c>
      <c r="BH844" s="23">
        <f t="shared" si="5138"/>
        <v>0</v>
      </c>
      <c r="BI844" s="49" t="str">
        <f t="shared" ref="BI844" si="5533">IF(BH844&lt;0,SUBSTITUTE(TEXT(BH844,"000000000000,00"),",",""),SUBSTITUTE(TEXT(BH844,"0000000000000,00"),",",""))</f>
        <v>000000000000000</v>
      </c>
      <c r="BJ844" s="23">
        <f t="shared" si="5140"/>
        <v>0</v>
      </c>
      <c r="BK844" s="49" t="str">
        <f t="shared" ref="BK844" si="5534">IF(BJ844&lt;0,SUBSTITUTE(TEXT(BJ844,"000000000000,00"),",",""),SUBSTITUTE(TEXT(BJ844,"0000000000000,00"),",",""))</f>
        <v>000000000000000</v>
      </c>
      <c r="BL844" s="23">
        <f t="shared" si="5142"/>
        <v>0</v>
      </c>
      <c r="BM844" s="49" t="str">
        <f t="shared" ref="BM844" si="5535">IF(BL844&lt;0,SUBSTITUTE(TEXT(BL844,"000000000000,00"),",",""),SUBSTITUTE(TEXT(BL844,"0000000000000,00"),",",""))</f>
        <v>000000000000000</v>
      </c>
      <c r="BN844" t="str">
        <f t="shared" si="5144"/>
        <v>PES</v>
      </c>
      <c r="BO844" t="str">
        <f t="shared" si="5145"/>
        <v>0001000000</v>
      </c>
      <c r="BP844">
        <f t="shared" si="5146"/>
        <v>0</v>
      </c>
      <c r="BQ844">
        <f t="shared" si="5147"/>
        <v>0</v>
      </c>
      <c r="BR844" s="23">
        <f t="shared" si="5148"/>
        <v>0</v>
      </c>
      <c r="BS844" s="49" t="str">
        <f t="shared" si="5113"/>
        <v>000000000000000</v>
      </c>
      <c r="BT844" t="str">
        <f t="shared" si="5149"/>
        <v>00000000</v>
      </c>
      <c r="BU844" s="23">
        <f t="shared" si="5150"/>
        <v>0</v>
      </c>
      <c r="BV844" s="49" t="str">
        <f t="shared" si="5114"/>
        <v/>
      </c>
      <c r="BW844" s="52" t="str">
        <f t="shared" si="5151"/>
        <v/>
      </c>
      <c r="BX844" s="23">
        <f t="shared" si="5152"/>
        <v>0</v>
      </c>
      <c r="BY844" s="49" t="str">
        <f t="shared" si="5115"/>
        <v/>
      </c>
      <c r="BZ844" s="23">
        <f t="shared" si="5153"/>
        <v>0</v>
      </c>
      <c r="CA844" s="49" t="str">
        <f t="shared" si="5116"/>
        <v/>
      </c>
      <c r="CB844" s="52" t="str">
        <f t="shared" si="5154"/>
        <v/>
      </c>
      <c r="CC844" s="23">
        <f t="shared" si="5155"/>
        <v>0</v>
      </c>
      <c r="CD844" s="49" t="str">
        <f t="shared" si="5117"/>
        <v/>
      </c>
      <c r="CE844" s="56" t="str">
        <f>IF(CF844="","",MAX(CE$10:$CE843)+1)</f>
        <v/>
      </c>
      <c r="CF844" t="str">
        <f t="shared" si="5156"/>
        <v/>
      </c>
      <c r="CG844" s="22" t="str">
        <f>IF(CH844="","",MAX($CG$10:CG843)+1)</f>
        <v/>
      </c>
      <c r="CH844" s="22" t="str">
        <f t="shared" ref="CH844:CH907" si="5536">IF(BV844="","",AQ844&amp;AR844&amp;AS844&amp;BV844&amp;BW844&amp;BY844)</f>
        <v/>
      </c>
      <c r="CI844" s="22" t="str">
        <f>IF(CJ844="","",MAX($CI$10:CI843)+1)</f>
        <v/>
      </c>
      <c r="CJ844" s="22" t="str">
        <f t="shared" ref="CJ844:CJ907" si="5537">IF(CA844="","",AQ844&amp;AR844&amp;AS844&amp;CA844&amp;CB844&amp;CD844)</f>
        <v/>
      </c>
    </row>
    <row r="845" spans="2:88" x14ac:dyDescent="0.25">
      <c r="B845" s="37"/>
      <c r="C845" s="3"/>
      <c r="D845" s="77" t="str">
        <f t="shared" si="5523"/>
        <v/>
      </c>
      <c r="E845" s="38"/>
      <c r="F845" s="38"/>
      <c r="G845" s="78">
        <f t="shared" ref="G845:G908" si="5538">+F845</f>
        <v>0</v>
      </c>
      <c r="H845" s="3">
        <v>80</v>
      </c>
      <c r="I845" s="77" t="str">
        <f t="shared" si="5524"/>
        <v/>
      </c>
      <c r="J845" s="32"/>
      <c r="K845" s="3"/>
      <c r="L845" s="39"/>
      <c r="M845" s="39"/>
      <c r="N845" s="39"/>
      <c r="O845" s="39"/>
      <c r="P845" s="39"/>
      <c r="Q845" s="39"/>
      <c r="R845" s="39"/>
      <c r="S845" s="39"/>
      <c r="T845" s="3" t="s">
        <v>645</v>
      </c>
      <c r="U845" s="77" t="str">
        <f t="shared" si="5525"/>
        <v/>
      </c>
      <c r="V845" s="39">
        <v>1</v>
      </c>
      <c r="W845" s="79">
        <f t="shared" ref="W845:W908" si="5539">IF(AD845="",0,1)+IF(OR(AH845=""),0,1)</f>
        <v>0</v>
      </c>
      <c r="X845" s="3">
        <v>0</v>
      </c>
      <c r="Y845" s="77" t="str">
        <f t="shared" si="5526"/>
        <v/>
      </c>
      <c r="Z845" s="3"/>
      <c r="AA845" s="37" t="str">
        <f t="shared" ref="AA845:AA908" si="5540">IF(OR(B845="",C845=82),"",B845)</f>
        <v/>
      </c>
      <c r="AC845" s="40"/>
      <c r="AD845" s="7"/>
      <c r="AE845" s="77" t="str">
        <f t="shared" si="5527"/>
        <v/>
      </c>
      <c r="AF845" s="81">
        <f t="shared" si="5118"/>
        <v>0</v>
      </c>
      <c r="AG845" s="40"/>
      <c r="AH845" s="7"/>
      <c r="AI845" s="77" t="str">
        <f t="shared" si="5528"/>
        <v/>
      </c>
      <c r="AJ845" s="81">
        <f t="shared" si="5119"/>
        <v>0</v>
      </c>
      <c r="AK845" s="83">
        <f t="shared" si="5120"/>
        <v>0</v>
      </c>
      <c r="AL845" s="83">
        <f t="shared" si="5121"/>
        <v>0</v>
      </c>
      <c r="AN845" s="43">
        <f t="shared" si="5529"/>
        <v>0</v>
      </c>
      <c r="AP845" t="str">
        <f t="shared" si="5122"/>
        <v/>
      </c>
      <c r="AQ845" t="str">
        <f t="shared" si="5123"/>
        <v/>
      </c>
      <c r="AR845" t="str">
        <f t="shared" si="5124"/>
        <v/>
      </c>
      <c r="AS845" t="str">
        <f t="shared" si="5125"/>
        <v/>
      </c>
      <c r="AT845" t="str">
        <f t="shared" si="5126"/>
        <v/>
      </c>
      <c r="AU845" t="str">
        <f t="shared" si="5127"/>
        <v/>
      </c>
      <c r="AV845" t="str">
        <f t="shared" si="5128"/>
        <v/>
      </c>
      <c r="AW845" t="str">
        <f t="shared" si="5129"/>
        <v xml:space="preserve">                              </v>
      </c>
      <c r="AX845" s="23">
        <f t="shared" si="5130"/>
        <v>0</v>
      </c>
      <c r="AY845" s="49" t="str">
        <f t="shared" ref="AY845:BA908" si="5541">IF(AX845&lt;0,SUBSTITUTE(TEXT(AX845,"000000000000,00"),",",""),SUBSTITUTE(TEXT(AX845,"0000000000000,00"),",",""))</f>
        <v>000000000000000</v>
      </c>
      <c r="AZ845" s="23">
        <f t="shared" si="5131"/>
        <v>0</v>
      </c>
      <c r="BA845" s="49" t="str">
        <f t="shared" si="5541"/>
        <v>000000000000000</v>
      </c>
      <c r="BB845" s="23">
        <f t="shared" si="5132"/>
        <v>0</v>
      </c>
      <c r="BC845" s="49" t="str">
        <f t="shared" ref="BC845" si="5542">IF(BB845&lt;0,SUBSTITUTE(TEXT(BB845,"000000000000,00"),",",""),SUBSTITUTE(TEXT(BB845,"0000000000000,00"),",",""))</f>
        <v>000000000000000</v>
      </c>
      <c r="BD845" s="23">
        <f t="shared" si="5134"/>
        <v>0</v>
      </c>
      <c r="BE845" s="49" t="str">
        <f t="shared" ref="BE845" si="5543">IF(BD845&lt;0,SUBSTITUTE(TEXT(BD845,"000000000000,00"),",",""),SUBSTITUTE(TEXT(BD845,"0000000000000,00"),",",""))</f>
        <v>000000000000000</v>
      </c>
      <c r="BF845" s="23">
        <f t="shared" si="5136"/>
        <v>0</v>
      </c>
      <c r="BG845" s="49" t="str">
        <f t="shared" ref="BG845" si="5544">IF(BF845&lt;0,SUBSTITUTE(TEXT(BF845,"000000000000,00"),",",""),SUBSTITUTE(TEXT(BF845,"0000000000000,00"),",",""))</f>
        <v>000000000000000</v>
      </c>
      <c r="BH845" s="23">
        <f t="shared" si="5138"/>
        <v>0</v>
      </c>
      <c r="BI845" s="49" t="str">
        <f t="shared" ref="BI845" si="5545">IF(BH845&lt;0,SUBSTITUTE(TEXT(BH845,"000000000000,00"),",",""),SUBSTITUTE(TEXT(BH845,"0000000000000,00"),",",""))</f>
        <v>000000000000000</v>
      </c>
      <c r="BJ845" s="23">
        <f t="shared" si="5140"/>
        <v>0</v>
      </c>
      <c r="BK845" s="49" t="str">
        <f t="shared" ref="BK845" si="5546">IF(BJ845&lt;0,SUBSTITUTE(TEXT(BJ845,"000000000000,00"),",",""),SUBSTITUTE(TEXT(BJ845,"0000000000000,00"),",",""))</f>
        <v>000000000000000</v>
      </c>
      <c r="BL845" s="23">
        <f t="shared" si="5142"/>
        <v>0</v>
      </c>
      <c r="BM845" s="49" t="str">
        <f t="shared" ref="BM845" si="5547">IF(BL845&lt;0,SUBSTITUTE(TEXT(BL845,"000000000000,00"),",",""),SUBSTITUTE(TEXT(BL845,"0000000000000,00"),",",""))</f>
        <v>000000000000000</v>
      </c>
      <c r="BN845" t="str">
        <f t="shared" si="5144"/>
        <v>PES</v>
      </c>
      <c r="BO845" t="str">
        <f t="shared" si="5145"/>
        <v>0001000000</v>
      </c>
      <c r="BP845">
        <f t="shared" si="5146"/>
        <v>0</v>
      </c>
      <c r="BQ845">
        <f t="shared" si="5147"/>
        <v>0</v>
      </c>
      <c r="BR845" s="23">
        <f t="shared" si="5148"/>
        <v>0</v>
      </c>
      <c r="BS845" s="49" t="str">
        <f t="shared" ref="BS845:BS908" si="5548">IF(BR845&lt;0,SUBSTITUTE(TEXT(BR845,"000000000000,00"),",",""),SUBSTITUTE(TEXT(BR845,"0000000000000,00"),",",""))</f>
        <v>000000000000000</v>
      </c>
      <c r="BT845" t="str">
        <f t="shared" si="5149"/>
        <v>00000000</v>
      </c>
      <c r="BU845" s="23">
        <f t="shared" si="5150"/>
        <v>0</v>
      </c>
      <c r="BV845" s="49" t="str">
        <f t="shared" ref="BV845:BV908" si="5549">IF(BW845="","",IF(BU845&lt;0,SUBSTITUTE(TEXT(BU845,"000000000000,00"),",",""),SUBSTITUTE(TEXT(BU845,"0000000000000,00"),",","")))</f>
        <v/>
      </c>
      <c r="BW845" s="52" t="str">
        <f t="shared" si="5151"/>
        <v/>
      </c>
      <c r="BX845" s="23">
        <f t="shared" si="5152"/>
        <v>0</v>
      </c>
      <c r="BY845" s="49" t="str">
        <f t="shared" ref="BY845:BY908" si="5550">IF(BW845="","",IF(BX845&lt;0,SUBSTITUTE(TEXT(BX845,"000000000000,00"),",",""),SUBSTITUTE(TEXT(BX845,"0000000000000,00"),",","")))</f>
        <v/>
      </c>
      <c r="BZ845" s="23">
        <f t="shared" si="5153"/>
        <v>0</v>
      </c>
      <c r="CA845" s="49" t="str">
        <f t="shared" ref="CA845:CA908" si="5551">IF(CB845="","",IF(BZ845&lt;0,SUBSTITUTE(TEXT(BZ845,"000000000000,00"),",",""),SUBSTITUTE(TEXT(BZ845,"0000000000000,00"),",","")))</f>
        <v/>
      </c>
      <c r="CB845" s="52" t="str">
        <f t="shared" si="5154"/>
        <v/>
      </c>
      <c r="CC845" s="23">
        <f t="shared" si="5155"/>
        <v>0</v>
      </c>
      <c r="CD845" s="49" t="str">
        <f t="shared" ref="CD845:CD908" si="5552">IF(CB845="","",IF(CC845&lt;0,SUBSTITUTE(TEXT(CC845,"000000000000,00"),",",""),SUBSTITUTE(TEXT(CC845,"0000000000000,00"),",","")))</f>
        <v/>
      </c>
      <c r="CE845" s="56" t="str">
        <f>IF(CF845="","",MAX(CE$10:$CE844)+1)</f>
        <v/>
      </c>
      <c r="CF845" t="str">
        <f t="shared" si="5156"/>
        <v/>
      </c>
      <c r="CG845" s="22" t="str">
        <f>IF(CH845="","",MAX($CG$10:CG844)+1)</f>
        <v/>
      </c>
      <c r="CH845" s="22" t="str">
        <f t="shared" si="5536"/>
        <v/>
      </c>
      <c r="CI845" s="22" t="str">
        <f>IF(CJ845="","",MAX($CI$10:CI844)+1)</f>
        <v/>
      </c>
      <c r="CJ845" s="22" t="str">
        <f t="shared" si="5537"/>
        <v/>
      </c>
    </row>
    <row r="846" spans="2:88" x14ac:dyDescent="0.25">
      <c r="B846" s="37"/>
      <c r="C846" s="3"/>
      <c r="D846" s="77" t="str">
        <f t="shared" si="5523"/>
        <v/>
      </c>
      <c r="E846" s="38"/>
      <c r="F846" s="38"/>
      <c r="G846" s="78">
        <f t="shared" si="5538"/>
        <v>0</v>
      </c>
      <c r="H846" s="3">
        <v>80</v>
      </c>
      <c r="I846" s="77" t="str">
        <f t="shared" si="5524"/>
        <v/>
      </c>
      <c r="J846" s="32"/>
      <c r="K846" s="3"/>
      <c r="L846" s="39"/>
      <c r="M846" s="39"/>
      <c r="N846" s="39"/>
      <c r="O846" s="39"/>
      <c r="P846" s="39"/>
      <c r="Q846" s="39"/>
      <c r="R846" s="39"/>
      <c r="S846" s="39"/>
      <c r="T846" s="3" t="s">
        <v>645</v>
      </c>
      <c r="U846" s="77" t="str">
        <f t="shared" si="5525"/>
        <v/>
      </c>
      <c r="V846" s="39">
        <v>1</v>
      </c>
      <c r="W846" s="79">
        <f t="shared" si="5539"/>
        <v>0</v>
      </c>
      <c r="X846" s="3">
        <v>0</v>
      </c>
      <c r="Y846" s="77" t="str">
        <f t="shared" si="5526"/>
        <v/>
      </c>
      <c r="Z846" s="3"/>
      <c r="AA846" s="37" t="str">
        <f t="shared" si="5540"/>
        <v/>
      </c>
      <c r="AC846" s="40"/>
      <c r="AD846" s="7"/>
      <c r="AE846" s="77" t="str">
        <f t="shared" si="5527"/>
        <v/>
      </c>
      <c r="AF846" s="81">
        <f t="shared" ref="AF846:AF909" si="5553">ROUND(AC846*AD846/100,2)</f>
        <v>0</v>
      </c>
      <c r="AG846" s="40"/>
      <c r="AH846" s="7"/>
      <c r="AI846" s="77" t="str">
        <f t="shared" si="5528"/>
        <v/>
      </c>
      <c r="AJ846" s="81">
        <f t="shared" ref="AJ846:AJ909" si="5554">ROUND(AG846*AH846/100,2)</f>
        <v>0</v>
      </c>
      <c r="AK846" s="83">
        <f t="shared" ref="AK846:AK909" si="5555">+AC846+AG846</f>
        <v>0</v>
      </c>
      <c r="AL846" s="83">
        <f t="shared" ref="AL846:AL909" si="5556">+AF846+AJ846</f>
        <v>0</v>
      </c>
      <c r="AN846" s="43">
        <f t="shared" si="5529"/>
        <v>0</v>
      </c>
      <c r="AP846" t="str">
        <f t="shared" ref="AP846:AP909" si="5557">IF(B846="","",TEXT(B846,$AP$8))</f>
        <v/>
      </c>
      <c r="AQ846" t="str">
        <f t="shared" ref="AQ846:AQ909" si="5558">IF(B846="","",IF(C846="","",TEXT(C846,"000")))</f>
        <v/>
      </c>
      <c r="AR846" t="str">
        <f t="shared" ref="AR846:AR909" si="5559">IF(B846="","",IF(E846="","00000",TEXT(RIGHT(E846,5),"00000")))</f>
        <v/>
      </c>
      <c r="AS846" t="str">
        <f t="shared" ref="AS846:AS909" si="5560">IF(B846="","",IF(F846="","00000000000000000000",TEXT(RIGHT(F846,20),"00000000000000000000")))</f>
        <v/>
      </c>
      <c r="AT846" t="str">
        <f t="shared" ref="AT846:AT909" si="5561">IF(B846="","",IF(G846="","00000000000000000000",TEXT(RIGHT(G846,20),"00000000000000000000")))</f>
        <v/>
      </c>
      <c r="AU846" t="str">
        <f t="shared" ref="AU846:AU909" si="5562">IF(B846="","",IF(C846="","",TEXT(RIGHT(H846,4),"00")))</f>
        <v/>
      </c>
      <c r="AV846" t="str">
        <f t="shared" ref="AV846:AV909" si="5563">IF(B846="","",TEXT(SUBSTITUTE(J846,"-",""),"00000000000000000000"))</f>
        <v/>
      </c>
      <c r="AW846" t="str">
        <f t="shared" ref="AW846:AW909" si="5564">IF(LEN(K846)&gt;30,LEFT(K846,30),K846&amp;REPT(" ",30-LEN(K846)))</f>
        <v xml:space="preserve">                              </v>
      </c>
      <c r="AX846" s="23">
        <f t="shared" ref="AX846:AX909" si="5565">IF(TRIM(L846)="",0,TRUNC(L846,2))</f>
        <v>0</v>
      </c>
      <c r="AY846" s="49" t="str">
        <f t="shared" si="5541"/>
        <v>000000000000000</v>
      </c>
      <c r="AZ846" s="23">
        <f t="shared" ref="AZ846:AZ909" si="5566">IF(TRIM(M846)="",0,TRUNC(M846,2))</f>
        <v>0</v>
      </c>
      <c r="BA846" s="49" t="str">
        <f t="shared" si="5541"/>
        <v>000000000000000</v>
      </c>
      <c r="BB846" s="23">
        <f t="shared" ref="BB846:BB909" si="5567">IF(TRIM(N846)="",0,TRUNC(N846,2))</f>
        <v>0</v>
      </c>
      <c r="BC846" s="49" t="str">
        <f t="shared" ref="BC846" si="5568">IF(BB846&lt;0,SUBSTITUTE(TEXT(BB846,"000000000000,00"),",",""),SUBSTITUTE(TEXT(BB846,"0000000000000,00"),",",""))</f>
        <v>000000000000000</v>
      </c>
      <c r="BD846" s="23">
        <f t="shared" ref="BD846:BD909" si="5569">IF(TRIM(O846)="",0,TRUNC(O846,2))</f>
        <v>0</v>
      </c>
      <c r="BE846" s="49" t="str">
        <f t="shared" ref="BE846" si="5570">IF(BD846&lt;0,SUBSTITUTE(TEXT(BD846,"000000000000,00"),",",""),SUBSTITUTE(TEXT(BD846,"0000000000000,00"),",",""))</f>
        <v>000000000000000</v>
      </c>
      <c r="BF846" s="23">
        <f t="shared" ref="BF846:BF909" si="5571">IF(TRIM(P846)="",0,TRUNC(P846,2))</f>
        <v>0</v>
      </c>
      <c r="BG846" s="49" t="str">
        <f t="shared" ref="BG846" si="5572">IF(BF846&lt;0,SUBSTITUTE(TEXT(BF846,"000000000000,00"),",",""),SUBSTITUTE(TEXT(BF846,"0000000000000,00"),",",""))</f>
        <v>000000000000000</v>
      </c>
      <c r="BH846" s="23">
        <f t="shared" ref="BH846:BH909" si="5573">IF(TRIM(Q846)="",0,TRUNC(Q846,2))</f>
        <v>0</v>
      </c>
      <c r="BI846" s="49" t="str">
        <f t="shared" ref="BI846" si="5574">IF(BH846&lt;0,SUBSTITUTE(TEXT(BH846,"000000000000,00"),",",""),SUBSTITUTE(TEXT(BH846,"0000000000000,00"),",",""))</f>
        <v>000000000000000</v>
      </c>
      <c r="BJ846" s="23">
        <f t="shared" ref="BJ846:BJ909" si="5575">IF(TRIM(R846)="",0,TRUNC(R846,2))</f>
        <v>0</v>
      </c>
      <c r="BK846" s="49" t="str">
        <f t="shared" ref="BK846" si="5576">IF(BJ846&lt;0,SUBSTITUTE(TEXT(BJ846,"000000000000,00"),",",""),SUBSTITUTE(TEXT(BJ846,"0000000000000,00"),",",""))</f>
        <v>000000000000000</v>
      </c>
      <c r="BL846" s="23">
        <f t="shared" ref="BL846:BL909" si="5577">IF(TRIM(S846)="",0,TRUNC(S846,2))</f>
        <v>0</v>
      </c>
      <c r="BM846" s="49" t="str">
        <f t="shared" ref="BM846" si="5578">IF(BL846&lt;0,SUBSTITUTE(TEXT(BL846,"000000000000,00"),",",""),SUBSTITUTE(TEXT(BL846,"0000000000000,00"),",",""))</f>
        <v>000000000000000</v>
      </c>
      <c r="BN846" t="str">
        <f t="shared" ref="BN846:BN909" si="5579">TEXT(T846,"000")</f>
        <v>PES</v>
      </c>
      <c r="BO846" t="str">
        <f t="shared" ref="BO846:BO909" si="5580">IF(V846&lt;0,SUBSTITUTE(TEXT(V846,"000,000000"),",",""),SUBSTITUTE(TEXT(V846,"0000,000000"),",",""))</f>
        <v>0001000000</v>
      </c>
      <c r="BP846">
        <f t="shared" ref="BP846:BP909" si="5581">W846</f>
        <v>0</v>
      </c>
      <c r="BQ846">
        <f t="shared" ref="BQ846:BQ909" si="5582">X846</f>
        <v>0</v>
      </c>
      <c r="BR846" s="23">
        <f t="shared" ref="BR846:BR909" si="5583">IF(TRIM(Z846)="",0,TRUNC(Z846,2))</f>
        <v>0</v>
      </c>
      <c r="BS846" s="49" t="str">
        <f t="shared" si="5548"/>
        <v>000000000000000</v>
      </c>
      <c r="BT846" t="str">
        <f t="shared" ref="BT846:BT909" si="5584">IF(AA846="","00000000",TEXT(AA846,$AP$8))</f>
        <v>00000000</v>
      </c>
      <c r="BU846" s="23">
        <f t="shared" ref="BU846:BU909" si="5585">IF(TRIM(AC846)="",0,TRUNC(AC846,2))</f>
        <v>0</v>
      </c>
      <c r="BV846" s="49" t="str">
        <f t="shared" si="5549"/>
        <v/>
      </c>
      <c r="BW846" s="52" t="str">
        <f t="shared" ref="BW846:BW909" si="5586">IF(AE846="","",TEXT(AE846,"0000"))</f>
        <v/>
      </c>
      <c r="BX846" s="23">
        <f t="shared" ref="BX846:BX909" si="5587">IF(TRIM(AF846)="",0,TRUNC(AF846,2))</f>
        <v>0</v>
      </c>
      <c r="BY846" s="49" t="str">
        <f t="shared" si="5550"/>
        <v/>
      </c>
      <c r="BZ846" s="23">
        <f t="shared" ref="BZ846:BZ909" si="5588">IF(TRIM(AG846)="",0,TRUNC(AG846,2))</f>
        <v>0</v>
      </c>
      <c r="CA846" s="49" t="str">
        <f t="shared" si="5551"/>
        <v/>
      </c>
      <c r="CB846" s="52" t="str">
        <f t="shared" ref="CB846:CB909" si="5589">IF(AI846="","",TEXT(AI846,"0000"))</f>
        <v/>
      </c>
      <c r="CC846" s="23">
        <f t="shared" ref="CC846:CC909" si="5590">IF(TRIM(AJ846)="",0,TRUNC(AJ846,2))</f>
        <v>0</v>
      </c>
      <c r="CD846" s="49" t="str">
        <f t="shared" si="5552"/>
        <v/>
      </c>
      <c r="CE846" s="56" t="str">
        <f>IF(CF846="","",MAX(CE$10:$CE845)+1)</f>
        <v/>
      </c>
      <c r="CF846" t="str">
        <f t="shared" ref="CF846:CF909" si="5591">IF(B846="","",AP846&amp;AQ846&amp;AR846&amp;AS846&amp;AT846&amp;AU846&amp;AV846&amp;AW846&amp;AY846&amp;BA846&amp;BC846&amp;BE846&amp;BG846&amp;BI846&amp;BK846&amp;BM846&amp;BN846&amp;BO846&amp;BP846&amp;BQ846&amp;BS846&amp;BT846)</f>
        <v/>
      </c>
      <c r="CG846" s="22" t="str">
        <f>IF(CH846="","",MAX($CG$10:CG845)+1)</f>
        <v/>
      </c>
      <c r="CH846" s="22" t="str">
        <f t="shared" si="5536"/>
        <v/>
      </c>
      <c r="CI846" s="22" t="str">
        <f>IF(CJ846="","",MAX($CI$10:CI845)+1)</f>
        <v/>
      </c>
      <c r="CJ846" s="22" t="str">
        <f t="shared" si="5537"/>
        <v/>
      </c>
    </row>
    <row r="847" spans="2:88" x14ac:dyDescent="0.25">
      <c r="B847" s="37"/>
      <c r="C847" s="3"/>
      <c r="D847" s="77" t="str">
        <f t="shared" si="5523"/>
        <v/>
      </c>
      <c r="E847" s="38"/>
      <c r="F847" s="38"/>
      <c r="G847" s="78">
        <f t="shared" si="5538"/>
        <v>0</v>
      </c>
      <c r="H847" s="3">
        <v>80</v>
      </c>
      <c r="I847" s="77" t="str">
        <f t="shared" si="5524"/>
        <v/>
      </c>
      <c r="J847" s="32"/>
      <c r="K847" s="3"/>
      <c r="L847" s="39"/>
      <c r="M847" s="39"/>
      <c r="N847" s="39"/>
      <c r="O847" s="39"/>
      <c r="P847" s="39"/>
      <c r="Q847" s="39"/>
      <c r="R847" s="39"/>
      <c r="S847" s="39"/>
      <c r="T847" s="3" t="s">
        <v>645</v>
      </c>
      <c r="U847" s="77" t="str">
        <f t="shared" si="5525"/>
        <v/>
      </c>
      <c r="V847" s="39">
        <v>1</v>
      </c>
      <c r="W847" s="79">
        <f t="shared" si="5539"/>
        <v>0</v>
      </c>
      <c r="X847" s="3">
        <v>0</v>
      </c>
      <c r="Y847" s="77" t="str">
        <f t="shared" si="5526"/>
        <v/>
      </c>
      <c r="Z847" s="3"/>
      <c r="AA847" s="37" t="str">
        <f t="shared" si="5540"/>
        <v/>
      </c>
      <c r="AC847" s="40"/>
      <c r="AD847" s="7"/>
      <c r="AE847" s="77" t="str">
        <f t="shared" si="5527"/>
        <v/>
      </c>
      <c r="AF847" s="81">
        <f t="shared" si="5553"/>
        <v>0</v>
      </c>
      <c r="AG847" s="40"/>
      <c r="AH847" s="7"/>
      <c r="AI847" s="77" t="str">
        <f t="shared" si="5528"/>
        <v/>
      </c>
      <c r="AJ847" s="81">
        <f t="shared" si="5554"/>
        <v>0</v>
      </c>
      <c r="AK847" s="83">
        <f t="shared" si="5555"/>
        <v>0</v>
      </c>
      <c r="AL847" s="83">
        <f t="shared" si="5556"/>
        <v>0</v>
      </c>
      <c r="AN847" s="43">
        <f t="shared" si="5529"/>
        <v>0</v>
      </c>
      <c r="AP847" t="str">
        <f t="shared" si="5557"/>
        <v/>
      </c>
      <c r="AQ847" t="str">
        <f t="shared" si="5558"/>
        <v/>
      </c>
      <c r="AR847" t="str">
        <f t="shared" si="5559"/>
        <v/>
      </c>
      <c r="AS847" t="str">
        <f t="shared" si="5560"/>
        <v/>
      </c>
      <c r="AT847" t="str">
        <f t="shared" si="5561"/>
        <v/>
      </c>
      <c r="AU847" t="str">
        <f t="shared" si="5562"/>
        <v/>
      </c>
      <c r="AV847" t="str">
        <f t="shared" si="5563"/>
        <v/>
      </c>
      <c r="AW847" t="str">
        <f t="shared" si="5564"/>
        <v xml:space="preserve">                              </v>
      </c>
      <c r="AX847" s="23">
        <f t="shared" si="5565"/>
        <v>0</v>
      </c>
      <c r="AY847" s="49" t="str">
        <f t="shared" si="5541"/>
        <v>000000000000000</v>
      </c>
      <c r="AZ847" s="23">
        <f t="shared" si="5566"/>
        <v>0</v>
      </c>
      <c r="BA847" s="49" t="str">
        <f t="shared" si="5541"/>
        <v>000000000000000</v>
      </c>
      <c r="BB847" s="23">
        <f t="shared" si="5567"/>
        <v>0</v>
      </c>
      <c r="BC847" s="49" t="str">
        <f t="shared" ref="BC847" si="5592">IF(BB847&lt;0,SUBSTITUTE(TEXT(BB847,"000000000000,00"),",",""),SUBSTITUTE(TEXT(BB847,"0000000000000,00"),",",""))</f>
        <v>000000000000000</v>
      </c>
      <c r="BD847" s="23">
        <f t="shared" si="5569"/>
        <v>0</v>
      </c>
      <c r="BE847" s="49" t="str">
        <f t="shared" ref="BE847" si="5593">IF(BD847&lt;0,SUBSTITUTE(TEXT(BD847,"000000000000,00"),",",""),SUBSTITUTE(TEXT(BD847,"0000000000000,00"),",",""))</f>
        <v>000000000000000</v>
      </c>
      <c r="BF847" s="23">
        <f t="shared" si="5571"/>
        <v>0</v>
      </c>
      <c r="BG847" s="49" t="str">
        <f t="shared" ref="BG847" si="5594">IF(BF847&lt;0,SUBSTITUTE(TEXT(BF847,"000000000000,00"),",",""),SUBSTITUTE(TEXT(BF847,"0000000000000,00"),",",""))</f>
        <v>000000000000000</v>
      </c>
      <c r="BH847" s="23">
        <f t="shared" si="5573"/>
        <v>0</v>
      </c>
      <c r="BI847" s="49" t="str">
        <f t="shared" ref="BI847" si="5595">IF(BH847&lt;0,SUBSTITUTE(TEXT(BH847,"000000000000,00"),",",""),SUBSTITUTE(TEXT(BH847,"0000000000000,00"),",",""))</f>
        <v>000000000000000</v>
      </c>
      <c r="BJ847" s="23">
        <f t="shared" si="5575"/>
        <v>0</v>
      </c>
      <c r="BK847" s="49" t="str">
        <f t="shared" ref="BK847" si="5596">IF(BJ847&lt;0,SUBSTITUTE(TEXT(BJ847,"000000000000,00"),",",""),SUBSTITUTE(TEXT(BJ847,"0000000000000,00"),",",""))</f>
        <v>000000000000000</v>
      </c>
      <c r="BL847" s="23">
        <f t="shared" si="5577"/>
        <v>0</v>
      </c>
      <c r="BM847" s="49" t="str">
        <f t="shared" ref="BM847" si="5597">IF(BL847&lt;0,SUBSTITUTE(TEXT(BL847,"000000000000,00"),",",""),SUBSTITUTE(TEXT(BL847,"0000000000000,00"),",",""))</f>
        <v>000000000000000</v>
      </c>
      <c r="BN847" t="str">
        <f t="shared" si="5579"/>
        <v>PES</v>
      </c>
      <c r="BO847" t="str">
        <f t="shared" si="5580"/>
        <v>0001000000</v>
      </c>
      <c r="BP847">
        <f t="shared" si="5581"/>
        <v>0</v>
      </c>
      <c r="BQ847">
        <f t="shared" si="5582"/>
        <v>0</v>
      </c>
      <c r="BR847" s="23">
        <f t="shared" si="5583"/>
        <v>0</v>
      </c>
      <c r="BS847" s="49" t="str">
        <f t="shared" si="5548"/>
        <v>000000000000000</v>
      </c>
      <c r="BT847" t="str">
        <f t="shared" si="5584"/>
        <v>00000000</v>
      </c>
      <c r="BU847" s="23">
        <f t="shared" si="5585"/>
        <v>0</v>
      </c>
      <c r="BV847" s="49" t="str">
        <f t="shared" si="5549"/>
        <v/>
      </c>
      <c r="BW847" s="52" t="str">
        <f t="shared" si="5586"/>
        <v/>
      </c>
      <c r="BX847" s="23">
        <f t="shared" si="5587"/>
        <v>0</v>
      </c>
      <c r="BY847" s="49" t="str">
        <f t="shared" si="5550"/>
        <v/>
      </c>
      <c r="BZ847" s="23">
        <f t="shared" si="5588"/>
        <v>0</v>
      </c>
      <c r="CA847" s="49" t="str">
        <f t="shared" si="5551"/>
        <v/>
      </c>
      <c r="CB847" s="52" t="str">
        <f t="shared" si="5589"/>
        <v/>
      </c>
      <c r="CC847" s="23">
        <f t="shared" si="5590"/>
        <v>0</v>
      </c>
      <c r="CD847" s="49" t="str">
        <f t="shared" si="5552"/>
        <v/>
      </c>
      <c r="CE847" s="56" t="str">
        <f>IF(CF847="","",MAX(CE$10:$CE846)+1)</f>
        <v/>
      </c>
      <c r="CF847" t="str">
        <f t="shared" si="5591"/>
        <v/>
      </c>
      <c r="CG847" s="22" t="str">
        <f>IF(CH847="","",MAX($CG$10:CG846)+1)</f>
        <v/>
      </c>
      <c r="CH847" s="22" t="str">
        <f t="shared" si="5536"/>
        <v/>
      </c>
      <c r="CI847" s="22" t="str">
        <f>IF(CJ847="","",MAX($CI$10:CI846)+1)</f>
        <v/>
      </c>
      <c r="CJ847" s="22" t="str">
        <f t="shared" si="5537"/>
        <v/>
      </c>
    </row>
    <row r="848" spans="2:88" x14ac:dyDescent="0.25">
      <c r="B848" s="37"/>
      <c r="C848" s="3"/>
      <c r="D848" s="77" t="str">
        <f t="shared" si="5523"/>
        <v/>
      </c>
      <c r="E848" s="38"/>
      <c r="F848" s="38"/>
      <c r="G848" s="78">
        <f t="shared" si="5538"/>
        <v>0</v>
      </c>
      <c r="H848" s="3">
        <v>80</v>
      </c>
      <c r="I848" s="77" t="str">
        <f t="shared" si="5524"/>
        <v/>
      </c>
      <c r="J848" s="32"/>
      <c r="K848" s="3"/>
      <c r="L848" s="39"/>
      <c r="M848" s="39"/>
      <c r="N848" s="39"/>
      <c r="O848" s="39"/>
      <c r="P848" s="39"/>
      <c r="Q848" s="39"/>
      <c r="R848" s="39"/>
      <c r="S848" s="39"/>
      <c r="T848" s="3" t="s">
        <v>645</v>
      </c>
      <c r="U848" s="77" t="str">
        <f t="shared" si="5525"/>
        <v/>
      </c>
      <c r="V848" s="39">
        <v>1</v>
      </c>
      <c r="W848" s="79">
        <f t="shared" si="5539"/>
        <v>0</v>
      </c>
      <c r="X848" s="3">
        <v>0</v>
      </c>
      <c r="Y848" s="77" t="str">
        <f t="shared" si="5526"/>
        <v/>
      </c>
      <c r="Z848" s="3"/>
      <c r="AA848" s="37" t="str">
        <f t="shared" si="5540"/>
        <v/>
      </c>
      <c r="AC848" s="40"/>
      <c r="AD848" s="7"/>
      <c r="AE848" s="77" t="str">
        <f t="shared" si="5527"/>
        <v/>
      </c>
      <c r="AF848" s="81">
        <f t="shared" si="5553"/>
        <v>0</v>
      </c>
      <c r="AG848" s="40"/>
      <c r="AH848" s="7"/>
      <c r="AI848" s="77" t="str">
        <f t="shared" si="5528"/>
        <v/>
      </c>
      <c r="AJ848" s="81">
        <f t="shared" si="5554"/>
        <v>0</v>
      </c>
      <c r="AK848" s="83">
        <f t="shared" si="5555"/>
        <v>0</v>
      </c>
      <c r="AL848" s="83">
        <f t="shared" si="5556"/>
        <v>0</v>
      </c>
      <c r="AN848" s="43">
        <f t="shared" si="5529"/>
        <v>0</v>
      </c>
      <c r="AP848" t="str">
        <f t="shared" si="5557"/>
        <v/>
      </c>
      <c r="AQ848" t="str">
        <f t="shared" si="5558"/>
        <v/>
      </c>
      <c r="AR848" t="str">
        <f t="shared" si="5559"/>
        <v/>
      </c>
      <c r="AS848" t="str">
        <f t="shared" si="5560"/>
        <v/>
      </c>
      <c r="AT848" t="str">
        <f t="shared" si="5561"/>
        <v/>
      </c>
      <c r="AU848" t="str">
        <f t="shared" si="5562"/>
        <v/>
      </c>
      <c r="AV848" t="str">
        <f t="shared" si="5563"/>
        <v/>
      </c>
      <c r="AW848" t="str">
        <f t="shared" si="5564"/>
        <v xml:space="preserve">                              </v>
      </c>
      <c r="AX848" s="23">
        <f t="shared" si="5565"/>
        <v>0</v>
      </c>
      <c r="AY848" s="49" t="str">
        <f t="shared" si="5541"/>
        <v>000000000000000</v>
      </c>
      <c r="AZ848" s="23">
        <f t="shared" si="5566"/>
        <v>0</v>
      </c>
      <c r="BA848" s="49" t="str">
        <f t="shared" si="5541"/>
        <v>000000000000000</v>
      </c>
      <c r="BB848" s="23">
        <f t="shared" si="5567"/>
        <v>0</v>
      </c>
      <c r="BC848" s="49" t="str">
        <f t="shared" ref="BC848" si="5598">IF(BB848&lt;0,SUBSTITUTE(TEXT(BB848,"000000000000,00"),",",""),SUBSTITUTE(TEXT(BB848,"0000000000000,00"),",",""))</f>
        <v>000000000000000</v>
      </c>
      <c r="BD848" s="23">
        <f t="shared" si="5569"/>
        <v>0</v>
      </c>
      <c r="BE848" s="49" t="str">
        <f t="shared" ref="BE848" si="5599">IF(BD848&lt;0,SUBSTITUTE(TEXT(BD848,"000000000000,00"),",",""),SUBSTITUTE(TEXT(BD848,"0000000000000,00"),",",""))</f>
        <v>000000000000000</v>
      </c>
      <c r="BF848" s="23">
        <f t="shared" si="5571"/>
        <v>0</v>
      </c>
      <c r="BG848" s="49" t="str">
        <f t="shared" ref="BG848" si="5600">IF(BF848&lt;0,SUBSTITUTE(TEXT(BF848,"000000000000,00"),",",""),SUBSTITUTE(TEXT(BF848,"0000000000000,00"),",",""))</f>
        <v>000000000000000</v>
      </c>
      <c r="BH848" s="23">
        <f t="shared" si="5573"/>
        <v>0</v>
      </c>
      <c r="BI848" s="49" t="str">
        <f t="shared" ref="BI848" si="5601">IF(BH848&lt;0,SUBSTITUTE(TEXT(BH848,"000000000000,00"),",",""),SUBSTITUTE(TEXT(BH848,"0000000000000,00"),",",""))</f>
        <v>000000000000000</v>
      </c>
      <c r="BJ848" s="23">
        <f t="shared" si="5575"/>
        <v>0</v>
      </c>
      <c r="BK848" s="49" t="str">
        <f t="shared" ref="BK848" si="5602">IF(BJ848&lt;0,SUBSTITUTE(TEXT(BJ848,"000000000000,00"),",",""),SUBSTITUTE(TEXT(BJ848,"0000000000000,00"),",",""))</f>
        <v>000000000000000</v>
      </c>
      <c r="BL848" s="23">
        <f t="shared" si="5577"/>
        <v>0</v>
      </c>
      <c r="BM848" s="49" t="str">
        <f t="shared" ref="BM848" si="5603">IF(BL848&lt;0,SUBSTITUTE(TEXT(BL848,"000000000000,00"),",",""),SUBSTITUTE(TEXT(BL848,"0000000000000,00"),",",""))</f>
        <v>000000000000000</v>
      </c>
      <c r="BN848" t="str">
        <f t="shared" si="5579"/>
        <v>PES</v>
      </c>
      <c r="BO848" t="str">
        <f t="shared" si="5580"/>
        <v>0001000000</v>
      </c>
      <c r="BP848">
        <f t="shared" si="5581"/>
        <v>0</v>
      </c>
      <c r="BQ848">
        <f t="shared" si="5582"/>
        <v>0</v>
      </c>
      <c r="BR848" s="23">
        <f t="shared" si="5583"/>
        <v>0</v>
      </c>
      <c r="BS848" s="49" t="str">
        <f t="shared" si="5548"/>
        <v>000000000000000</v>
      </c>
      <c r="BT848" t="str">
        <f t="shared" si="5584"/>
        <v>00000000</v>
      </c>
      <c r="BU848" s="23">
        <f t="shared" si="5585"/>
        <v>0</v>
      </c>
      <c r="BV848" s="49" t="str">
        <f t="shared" si="5549"/>
        <v/>
      </c>
      <c r="BW848" s="52" t="str">
        <f t="shared" si="5586"/>
        <v/>
      </c>
      <c r="BX848" s="23">
        <f t="shared" si="5587"/>
        <v>0</v>
      </c>
      <c r="BY848" s="49" t="str">
        <f t="shared" si="5550"/>
        <v/>
      </c>
      <c r="BZ848" s="23">
        <f t="shared" si="5588"/>
        <v>0</v>
      </c>
      <c r="CA848" s="49" t="str">
        <f t="shared" si="5551"/>
        <v/>
      </c>
      <c r="CB848" s="52" t="str">
        <f t="shared" si="5589"/>
        <v/>
      </c>
      <c r="CC848" s="23">
        <f t="shared" si="5590"/>
        <v>0</v>
      </c>
      <c r="CD848" s="49" t="str">
        <f t="shared" si="5552"/>
        <v/>
      </c>
      <c r="CE848" s="56" t="str">
        <f>IF(CF848="","",MAX(CE$10:$CE847)+1)</f>
        <v/>
      </c>
      <c r="CF848" t="str">
        <f t="shared" si="5591"/>
        <v/>
      </c>
      <c r="CG848" s="22" t="str">
        <f>IF(CH848="","",MAX($CG$10:CG847)+1)</f>
        <v/>
      </c>
      <c r="CH848" s="22" t="str">
        <f t="shared" si="5536"/>
        <v/>
      </c>
      <c r="CI848" s="22" t="str">
        <f>IF(CJ848="","",MAX($CI$10:CI847)+1)</f>
        <v/>
      </c>
      <c r="CJ848" s="22" t="str">
        <f t="shared" si="5537"/>
        <v/>
      </c>
    </row>
    <row r="849" spans="2:88" x14ac:dyDescent="0.25">
      <c r="B849" s="37"/>
      <c r="C849" s="3"/>
      <c r="D849" s="77" t="str">
        <f t="shared" si="5523"/>
        <v/>
      </c>
      <c r="E849" s="38"/>
      <c r="F849" s="38"/>
      <c r="G849" s="78">
        <f t="shared" si="5538"/>
        <v>0</v>
      </c>
      <c r="H849" s="3">
        <v>80</v>
      </c>
      <c r="I849" s="77" t="str">
        <f t="shared" si="5524"/>
        <v/>
      </c>
      <c r="J849" s="32"/>
      <c r="K849" s="3"/>
      <c r="L849" s="39"/>
      <c r="M849" s="39"/>
      <c r="N849" s="39"/>
      <c r="O849" s="39"/>
      <c r="P849" s="39"/>
      <c r="Q849" s="39"/>
      <c r="R849" s="39"/>
      <c r="S849" s="39"/>
      <c r="T849" s="3" t="s">
        <v>645</v>
      </c>
      <c r="U849" s="77" t="str">
        <f t="shared" si="5525"/>
        <v/>
      </c>
      <c r="V849" s="39">
        <v>1</v>
      </c>
      <c r="W849" s="79">
        <f t="shared" si="5539"/>
        <v>0</v>
      </c>
      <c r="X849" s="3">
        <v>0</v>
      </c>
      <c r="Y849" s="77" t="str">
        <f t="shared" si="5526"/>
        <v/>
      </c>
      <c r="Z849" s="3"/>
      <c r="AA849" s="37" t="str">
        <f t="shared" si="5540"/>
        <v/>
      </c>
      <c r="AC849" s="40"/>
      <c r="AD849" s="7"/>
      <c r="AE849" s="77" t="str">
        <f t="shared" si="5527"/>
        <v/>
      </c>
      <c r="AF849" s="81">
        <f t="shared" si="5553"/>
        <v>0</v>
      </c>
      <c r="AG849" s="40"/>
      <c r="AH849" s="7"/>
      <c r="AI849" s="77" t="str">
        <f t="shared" si="5528"/>
        <v/>
      </c>
      <c r="AJ849" s="81">
        <f t="shared" si="5554"/>
        <v>0</v>
      </c>
      <c r="AK849" s="83">
        <f t="shared" si="5555"/>
        <v>0</v>
      </c>
      <c r="AL849" s="83">
        <f t="shared" si="5556"/>
        <v>0</v>
      </c>
      <c r="AN849" s="43">
        <f t="shared" si="5529"/>
        <v>0</v>
      </c>
      <c r="AP849" t="str">
        <f t="shared" si="5557"/>
        <v/>
      </c>
      <c r="AQ849" t="str">
        <f t="shared" si="5558"/>
        <v/>
      </c>
      <c r="AR849" t="str">
        <f t="shared" si="5559"/>
        <v/>
      </c>
      <c r="AS849" t="str">
        <f t="shared" si="5560"/>
        <v/>
      </c>
      <c r="AT849" t="str">
        <f t="shared" si="5561"/>
        <v/>
      </c>
      <c r="AU849" t="str">
        <f t="shared" si="5562"/>
        <v/>
      </c>
      <c r="AV849" t="str">
        <f t="shared" si="5563"/>
        <v/>
      </c>
      <c r="AW849" t="str">
        <f t="shared" si="5564"/>
        <v xml:space="preserve">                              </v>
      </c>
      <c r="AX849" s="23">
        <f t="shared" si="5565"/>
        <v>0</v>
      </c>
      <c r="AY849" s="49" t="str">
        <f t="shared" si="5541"/>
        <v>000000000000000</v>
      </c>
      <c r="AZ849" s="23">
        <f t="shared" si="5566"/>
        <v>0</v>
      </c>
      <c r="BA849" s="49" t="str">
        <f t="shared" si="5541"/>
        <v>000000000000000</v>
      </c>
      <c r="BB849" s="23">
        <f t="shared" si="5567"/>
        <v>0</v>
      </c>
      <c r="BC849" s="49" t="str">
        <f t="shared" ref="BC849" si="5604">IF(BB849&lt;0,SUBSTITUTE(TEXT(BB849,"000000000000,00"),",",""),SUBSTITUTE(TEXT(BB849,"0000000000000,00"),",",""))</f>
        <v>000000000000000</v>
      </c>
      <c r="BD849" s="23">
        <f t="shared" si="5569"/>
        <v>0</v>
      </c>
      <c r="BE849" s="49" t="str">
        <f t="shared" ref="BE849" si="5605">IF(BD849&lt;0,SUBSTITUTE(TEXT(BD849,"000000000000,00"),",",""),SUBSTITUTE(TEXT(BD849,"0000000000000,00"),",",""))</f>
        <v>000000000000000</v>
      </c>
      <c r="BF849" s="23">
        <f t="shared" si="5571"/>
        <v>0</v>
      </c>
      <c r="BG849" s="49" t="str">
        <f t="shared" ref="BG849" si="5606">IF(BF849&lt;0,SUBSTITUTE(TEXT(BF849,"000000000000,00"),",",""),SUBSTITUTE(TEXT(BF849,"0000000000000,00"),",",""))</f>
        <v>000000000000000</v>
      </c>
      <c r="BH849" s="23">
        <f t="shared" si="5573"/>
        <v>0</v>
      </c>
      <c r="BI849" s="49" t="str">
        <f t="shared" ref="BI849" si="5607">IF(BH849&lt;0,SUBSTITUTE(TEXT(BH849,"000000000000,00"),",",""),SUBSTITUTE(TEXT(BH849,"0000000000000,00"),",",""))</f>
        <v>000000000000000</v>
      </c>
      <c r="BJ849" s="23">
        <f t="shared" si="5575"/>
        <v>0</v>
      </c>
      <c r="BK849" s="49" t="str">
        <f t="shared" ref="BK849" si="5608">IF(BJ849&lt;0,SUBSTITUTE(TEXT(BJ849,"000000000000,00"),",",""),SUBSTITUTE(TEXT(BJ849,"0000000000000,00"),",",""))</f>
        <v>000000000000000</v>
      </c>
      <c r="BL849" s="23">
        <f t="shared" si="5577"/>
        <v>0</v>
      </c>
      <c r="BM849" s="49" t="str">
        <f t="shared" ref="BM849" si="5609">IF(BL849&lt;0,SUBSTITUTE(TEXT(BL849,"000000000000,00"),",",""),SUBSTITUTE(TEXT(BL849,"0000000000000,00"),",",""))</f>
        <v>000000000000000</v>
      </c>
      <c r="BN849" t="str">
        <f t="shared" si="5579"/>
        <v>PES</v>
      </c>
      <c r="BO849" t="str">
        <f t="shared" si="5580"/>
        <v>0001000000</v>
      </c>
      <c r="BP849">
        <f t="shared" si="5581"/>
        <v>0</v>
      </c>
      <c r="BQ849">
        <f t="shared" si="5582"/>
        <v>0</v>
      </c>
      <c r="BR849" s="23">
        <f t="shared" si="5583"/>
        <v>0</v>
      </c>
      <c r="BS849" s="49" t="str">
        <f t="shared" si="5548"/>
        <v>000000000000000</v>
      </c>
      <c r="BT849" t="str">
        <f t="shared" si="5584"/>
        <v>00000000</v>
      </c>
      <c r="BU849" s="23">
        <f t="shared" si="5585"/>
        <v>0</v>
      </c>
      <c r="BV849" s="49" t="str">
        <f t="shared" si="5549"/>
        <v/>
      </c>
      <c r="BW849" s="52" t="str">
        <f t="shared" si="5586"/>
        <v/>
      </c>
      <c r="BX849" s="23">
        <f t="shared" si="5587"/>
        <v>0</v>
      </c>
      <c r="BY849" s="49" t="str">
        <f t="shared" si="5550"/>
        <v/>
      </c>
      <c r="BZ849" s="23">
        <f t="shared" si="5588"/>
        <v>0</v>
      </c>
      <c r="CA849" s="49" t="str">
        <f t="shared" si="5551"/>
        <v/>
      </c>
      <c r="CB849" s="52" t="str">
        <f t="shared" si="5589"/>
        <v/>
      </c>
      <c r="CC849" s="23">
        <f t="shared" si="5590"/>
        <v>0</v>
      </c>
      <c r="CD849" s="49" t="str">
        <f t="shared" si="5552"/>
        <v/>
      </c>
      <c r="CE849" s="56" t="str">
        <f>IF(CF849="","",MAX(CE$10:$CE848)+1)</f>
        <v/>
      </c>
      <c r="CF849" t="str">
        <f t="shared" si="5591"/>
        <v/>
      </c>
      <c r="CG849" s="22" t="str">
        <f>IF(CH849="","",MAX($CG$10:CG848)+1)</f>
        <v/>
      </c>
      <c r="CH849" s="22" t="str">
        <f t="shared" si="5536"/>
        <v/>
      </c>
      <c r="CI849" s="22" t="str">
        <f>IF(CJ849="","",MAX($CI$10:CI848)+1)</f>
        <v/>
      </c>
      <c r="CJ849" s="22" t="str">
        <f t="shared" si="5537"/>
        <v/>
      </c>
    </row>
    <row r="850" spans="2:88" x14ac:dyDescent="0.25">
      <c r="B850" s="37"/>
      <c r="C850" s="3"/>
      <c r="D850" s="77" t="str">
        <f t="shared" si="5523"/>
        <v/>
      </c>
      <c r="E850" s="38"/>
      <c r="F850" s="38"/>
      <c r="G850" s="78">
        <f t="shared" si="5538"/>
        <v>0</v>
      </c>
      <c r="H850" s="3">
        <v>80</v>
      </c>
      <c r="I850" s="77" t="str">
        <f t="shared" si="5524"/>
        <v/>
      </c>
      <c r="J850" s="32"/>
      <c r="K850" s="3"/>
      <c r="L850" s="39"/>
      <c r="M850" s="39"/>
      <c r="N850" s="39"/>
      <c r="O850" s="39"/>
      <c r="P850" s="39"/>
      <c r="Q850" s="39"/>
      <c r="R850" s="39"/>
      <c r="S850" s="39"/>
      <c r="T850" s="3" t="s">
        <v>645</v>
      </c>
      <c r="U850" s="77" t="str">
        <f t="shared" si="5525"/>
        <v/>
      </c>
      <c r="V850" s="39">
        <v>1</v>
      </c>
      <c r="W850" s="79">
        <f t="shared" si="5539"/>
        <v>0</v>
      </c>
      <c r="X850" s="3">
        <v>0</v>
      </c>
      <c r="Y850" s="77" t="str">
        <f t="shared" si="5526"/>
        <v/>
      </c>
      <c r="Z850" s="3"/>
      <c r="AA850" s="37" t="str">
        <f t="shared" si="5540"/>
        <v/>
      </c>
      <c r="AC850" s="40"/>
      <c r="AD850" s="7"/>
      <c r="AE850" s="77" t="str">
        <f t="shared" si="5527"/>
        <v/>
      </c>
      <c r="AF850" s="81">
        <f t="shared" si="5553"/>
        <v>0</v>
      </c>
      <c r="AG850" s="40"/>
      <c r="AH850" s="7"/>
      <c r="AI850" s="77" t="str">
        <f t="shared" si="5528"/>
        <v/>
      </c>
      <c r="AJ850" s="81">
        <f t="shared" si="5554"/>
        <v>0</v>
      </c>
      <c r="AK850" s="83">
        <f t="shared" si="5555"/>
        <v>0</v>
      </c>
      <c r="AL850" s="83">
        <f t="shared" si="5556"/>
        <v>0</v>
      </c>
      <c r="AN850" s="43">
        <f t="shared" si="5529"/>
        <v>0</v>
      </c>
      <c r="AP850" t="str">
        <f t="shared" si="5557"/>
        <v/>
      </c>
      <c r="AQ850" t="str">
        <f t="shared" si="5558"/>
        <v/>
      </c>
      <c r="AR850" t="str">
        <f t="shared" si="5559"/>
        <v/>
      </c>
      <c r="AS850" t="str">
        <f t="shared" si="5560"/>
        <v/>
      </c>
      <c r="AT850" t="str">
        <f t="shared" si="5561"/>
        <v/>
      </c>
      <c r="AU850" t="str">
        <f t="shared" si="5562"/>
        <v/>
      </c>
      <c r="AV850" t="str">
        <f t="shared" si="5563"/>
        <v/>
      </c>
      <c r="AW850" t="str">
        <f t="shared" si="5564"/>
        <v xml:space="preserve">                              </v>
      </c>
      <c r="AX850" s="23">
        <f t="shared" si="5565"/>
        <v>0</v>
      </c>
      <c r="AY850" s="49" t="str">
        <f t="shared" si="5541"/>
        <v>000000000000000</v>
      </c>
      <c r="AZ850" s="23">
        <f t="shared" si="5566"/>
        <v>0</v>
      </c>
      <c r="BA850" s="49" t="str">
        <f t="shared" si="5541"/>
        <v>000000000000000</v>
      </c>
      <c r="BB850" s="23">
        <f t="shared" si="5567"/>
        <v>0</v>
      </c>
      <c r="BC850" s="49" t="str">
        <f t="shared" ref="BC850" si="5610">IF(BB850&lt;0,SUBSTITUTE(TEXT(BB850,"000000000000,00"),",",""),SUBSTITUTE(TEXT(BB850,"0000000000000,00"),",",""))</f>
        <v>000000000000000</v>
      </c>
      <c r="BD850" s="23">
        <f t="shared" si="5569"/>
        <v>0</v>
      </c>
      <c r="BE850" s="49" t="str">
        <f t="shared" ref="BE850" si="5611">IF(BD850&lt;0,SUBSTITUTE(TEXT(BD850,"000000000000,00"),",",""),SUBSTITUTE(TEXT(BD850,"0000000000000,00"),",",""))</f>
        <v>000000000000000</v>
      </c>
      <c r="BF850" s="23">
        <f t="shared" si="5571"/>
        <v>0</v>
      </c>
      <c r="BG850" s="49" t="str">
        <f t="shared" ref="BG850" si="5612">IF(BF850&lt;0,SUBSTITUTE(TEXT(BF850,"000000000000,00"),",",""),SUBSTITUTE(TEXT(BF850,"0000000000000,00"),",",""))</f>
        <v>000000000000000</v>
      </c>
      <c r="BH850" s="23">
        <f t="shared" si="5573"/>
        <v>0</v>
      </c>
      <c r="BI850" s="49" t="str">
        <f t="shared" ref="BI850" si="5613">IF(BH850&lt;0,SUBSTITUTE(TEXT(BH850,"000000000000,00"),",",""),SUBSTITUTE(TEXT(BH850,"0000000000000,00"),",",""))</f>
        <v>000000000000000</v>
      </c>
      <c r="BJ850" s="23">
        <f t="shared" si="5575"/>
        <v>0</v>
      </c>
      <c r="BK850" s="49" t="str">
        <f t="shared" ref="BK850" si="5614">IF(BJ850&lt;0,SUBSTITUTE(TEXT(BJ850,"000000000000,00"),",",""),SUBSTITUTE(TEXT(BJ850,"0000000000000,00"),",",""))</f>
        <v>000000000000000</v>
      </c>
      <c r="BL850" s="23">
        <f t="shared" si="5577"/>
        <v>0</v>
      </c>
      <c r="BM850" s="49" t="str">
        <f t="shared" ref="BM850" si="5615">IF(BL850&lt;0,SUBSTITUTE(TEXT(BL850,"000000000000,00"),",",""),SUBSTITUTE(TEXT(BL850,"0000000000000,00"),",",""))</f>
        <v>000000000000000</v>
      </c>
      <c r="BN850" t="str">
        <f t="shared" si="5579"/>
        <v>PES</v>
      </c>
      <c r="BO850" t="str">
        <f t="shared" si="5580"/>
        <v>0001000000</v>
      </c>
      <c r="BP850">
        <f t="shared" si="5581"/>
        <v>0</v>
      </c>
      <c r="BQ850">
        <f t="shared" si="5582"/>
        <v>0</v>
      </c>
      <c r="BR850" s="23">
        <f t="shared" si="5583"/>
        <v>0</v>
      </c>
      <c r="BS850" s="49" t="str">
        <f t="shared" si="5548"/>
        <v>000000000000000</v>
      </c>
      <c r="BT850" t="str">
        <f t="shared" si="5584"/>
        <v>00000000</v>
      </c>
      <c r="BU850" s="23">
        <f t="shared" si="5585"/>
        <v>0</v>
      </c>
      <c r="BV850" s="49" t="str">
        <f t="shared" si="5549"/>
        <v/>
      </c>
      <c r="BW850" s="52" t="str">
        <f t="shared" si="5586"/>
        <v/>
      </c>
      <c r="BX850" s="23">
        <f t="shared" si="5587"/>
        <v>0</v>
      </c>
      <c r="BY850" s="49" t="str">
        <f t="shared" si="5550"/>
        <v/>
      </c>
      <c r="BZ850" s="23">
        <f t="shared" si="5588"/>
        <v>0</v>
      </c>
      <c r="CA850" s="49" t="str">
        <f t="shared" si="5551"/>
        <v/>
      </c>
      <c r="CB850" s="52" t="str">
        <f t="shared" si="5589"/>
        <v/>
      </c>
      <c r="CC850" s="23">
        <f t="shared" si="5590"/>
        <v>0</v>
      </c>
      <c r="CD850" s="49" t="str">
        <f t="shared" si="5552"/>
        <v/>
      </c>
      <c r="CE850" s="56" t="str">
        <f>IF(CF850="","",MAX(CE$10:$CE849)+1)</f>
        <v/>
      </c>
      <c r="CF850" t="str">
        <f t="shared" si="5591"/>
        <v/>
      </c>
      <c r="CG850" s="22" t="str">
        <f>IF(CH850="","",MAX($CG$10:CG849)+1)</f>
        <v/>
      </c>
      <c r="CH850" s="22" t="str">
        <f t="shared" si="5536"/>
        <v/>
      </c>
      <c r="CI850" s="22" t="str">
        <f>IF(CJ850="","",MAX($CI$10:CI849)+1)</f>
        <v/>
      </c>
      <c r="CJ850" s="22" t="str">
        <f t="shared" si="5537"/>
        <v/>
      </c>
    </row>
    <row r="851" spans="2:88" x14ac:dyDescent="0.25">
      <c r="B851" s="37"/>
      <c r="C851" s="3"/>
      <c r="D851" s="77" t="str">
        <f t="shared" si="5523"/>
        <v/>
      </c>
      <c r="E851" s="38"/>
      <c r="F851" s="38"/>
      <c r="G851" s="78">
        <f t="shared" si="5538"/>
        <v>0</v>
      </c>
      <c r="H851" s="3">
        <v>80</v>
      </c>
      <c r="I851" s="77" t="str">
        <f t="shared" si="5524"/>
        <v/>
      </c>
      <c r="J851" s="32"/>
      <c r="K851" s="3"/>
      <c r="L851" s="39"/>
      <c r="M851" s="39"/>
      <c r="N851" s="39"/>
      <c r="O851" s="39"/>
      <c r="P851" s="39"/>
      <c r="Q851" s="39"/>
      <c r="R851" s="39"/>
      <c r="S851" s="39"/>
      <c r="T851" s="3" t="s">
        <v>645</v>
      </c>
      <c r="U851" s="77" t="str">
        <f t="shared" si="5525"/>
        <v/>
      </c>
      <c r="V851" s="39">
        <v>1</v>
      </c>
      <c r="W851" s="79">
        <f t="shared" si="5539"/>
        <v>0</v>
      </c>
      <c r="X851" s="3">
        <v>0</v>
      </c>
      <c r="Y851" s="77" t="str">
        <f t="shared" si="5526"/>
        <v/>
      </c>
      <c r="Z851" s="3"/>
      <c r="AA851" s="37" t="str">
        <f t="shared" si="5540"/>
        <v/>
      </c>
      <c r="AC851" s="40"/>
      <c r="AD851" s="7"/>
      <c r="AE851" s="77" t="str">
        <f t="shared" si="5527"/>
        <v/>
      </c>
      <c r="AF851" s="81">
        <f t="shared" si="5553"/>
        <v>0</v>
      </c>
      <c r="AG851" s="40"/>
      <c r="AH851" s="7"/>
      <c r="AI851" s="77" t="str">
        <f t="shared" si="5528"/>
        <v/>
      </c>
      <c r="AJ851" s="81">
        <f t="shared" si="5554"/>
        <v>0</v>
      </c>
      <c r="AK851" s="83">
        <f t="shared" si="5555"/>
        <v>0</v>
      </c>
      <c r="AL851" s="83">
        <f t="shared" si="5556"/>
        <v>0</v>
      </c>
      <c r="AN851" s="43">
        <f t="shared" si="5529"/>
        <v>0</v>
      </c>
      <c r="AP851" t="str">
        <f t="shared" si="5557"/>
        <v/>
      </c>
      <c r="AQ851" t="str">
        <f t="shared" si="5558"/>
        <v/>
      </c>
      <c r="AR851" t="str">
        <f t="shared" si="5559"/>
        <v/>
      </c>
      <c r="AS851" t="str">
        <f t="shared" si="5560"/>
        <v/>
      </c>
      <c r="AT851" t="str">
        <f t="shared" si="5561"/>
        <v/>
      </c>
      <c r="AU851" t="str">
        <f t="shared" si="5562"/>
        <v/>
      </c>
      <c r="AV851" t="str">
        <f t="shared" si="5563"/>
        <v/>
      </c>
      <c r="AW851" t="str">
        <f t="shared" si="5564"/>
        <v xml:space="preserve">                              </v>
      </c>
      <c r="AX851" s="23">
        <f t="shared" si="5565"/>
        <v>0</v>
      </c>
      <c r="AY851" s="49" t="str">
        <f t="shared" si="5541"/>
        <v>000000000000000</v>
      </c>
      <c r="AZ851" s="23">
        <f t="shared" si="5566"/>
        <v>0</v>
      </c>
      <c r="BA851" s="49" t="str">
        <f t="shared" si="5541"/>
        <v>000000000000000</v>
      </c>
      <c r="BB851" s="23">
        <f t="shared" si="5567"/>
        <v>0</v>
      </c>
      <c r="BC851" s="49" t="str">
        <f t="shared" ref="BC851" si="5616">IF(BB851&lt;0,SUBSTITUTE(TEXT(BB851,"000000000000,00"),",",""),SUBSTITUTE(TEXT(BB851,"0000000000000,00"),",",""))</f>
        <v>000000000000000</v>
      </c>
      <c r="BD851" s="23">
        <f t="shared" si="5569"/>
        <v>0</v>
      </c>
      <c r="BE851" s="49" t="str">
        <f t="shared" ref="BE851" si="5617">IF(BD851&lt;0,SUBSTITUTE(TEXT(BD851,"000000000000,00"),",",""),SUBSTITUTE(TEXT(BD851,"0000000000000,00"),",",""))</f>
        <v>000000000000000</v>
      </c>
      <c r="BF851" s="23">
        <f t="shared" si="5571"/>
        <v>0</v>
      </c>
      <c r="BG851" s="49" t="str">
        <f t="shared" ref="BG851" si="5618">IF(BF851&lt;0,SUBSTITUTE(TEXT(BF851,"000000000000,00"),",",""),SUBSTITUTE(TEXT(BF851,"0000000000000,00"),",",""))</f>
        <v>000000000000000</v>
      </c>
      <c r="BH851" s="23">
        <f t="shared" si="5573"/>
        <v>0</v>
      </c>
      <c r="BI851" s="49" t="str">
        <f t="shared" ref="BI851" si="5619">IF(BH851&lt;0,SUBSTITUTE(TEXT(BH851,"000000000000,00"),",",""),SUBSTITUTE(TEXT(BH851,"0000000000000,00"),",",""))</f>
        <v>000000000000000</v>
      </c>
      <c r="BJ851" s="23">
        <f t="shared" si="5575"/>
        <v>0</v>
      </c>
      <c r="BK851" s="49" t="str">
        <f t="shared" ref="BK851" si="5620">IF(BJ851&lt;0,SUBSTITUTE(TEXT(BJ851,"000000000000,00"),",",""),SUBSTITUTE(TEXT(BJ851,"0000000000000,00"),",",""))</f>
        <v>000000000000000</v>
      </c>
      <c r="BL851" s="23">
        <f t="shared" si="5577"/>
        <v>0</v>
      </c>
      <c r="BM851" s="49" t="str">
        <f t="shared" ref="BM851" si="5621">IF(BL851&lt;0,SUBSTITUTE(TEXT(BL851,"000000000000,00"),",",""),SUBSTITUTE(TEXT(BL851,"0000000000000,00"),",",""))</f>
        <v>000000000000000</v>
      </c>
      <c r="BN851" t="str">
        <f t="shared" si="5579"/>
        <v>PES</v>
      </c>
      <c r="BO851" t="str">
        <f t="shared" si="5580"/>
        <v>0001000000</v>
      </c>
      <c r="BP851">
        <f t="shared" si="5581"/>
        <v>0</v>
      </c>
      <c r="BQ851">
        <f t="shared" si="5582"/>
        <v>0</v>
      </c>
      <c r="BR851" s="23">
        <f t="shared" si="5583"/>
        <v>0</v>
      </c>
      <c r="BS851" s="49" t="str">
        <f t="shared" si="5548"/>
        <v>000000000000000</v>
      </c>
      <c r="BT851" t="str">
        <f t="shared" si="5584"/>
        <v>00000000</v>
      </c>
      <c r="BU851" s="23">
        <f t="shared" si="5585"/>
        <v>0</v>
      </c>
      <c r="BV851" s="49" t="str">
        <f t="shared" si="5549"/>
        <v/>
      </c>
      <c r="BW851" s="52" t="str">
        <f t="shared" si="5586"/>
        <v/>
      </c>
      <c r="BX851" s="23">
        <f t="shared" si="5587"/>
        <v>0</v>
      </c>
      <c r="BY851" s="49" t="str">
        <f t="shared" si="5550"/>
        <v/>
      </c>
      <c r="BZ851" s="23">
        <f t="shared" si="5588"/>
        <v>0</v>
      </c>
      <c r="CA851" s="49" t="str">
        <f t="shared" si="5551"/>
        <v/>
      </c>
      <c r="CB851" s="52" t="str">
        <f t="shared" si="5589"/>
        <v/>
      </c>
      <c r="CC851" s="23">
        <f t="shared" si="5590"/>
        <v>0</v>
      </c>
      <c r="CD851" s="49" t="str">
        <f t="shared" si="5552"/>
        <v/>
      </c>
      <c r="CE851" s="56" t="str">
        <f>IF(CF851="","",MAX(CE$10:$CE850)+1)</f>
        <v/>
      </c>
      <c r="CF851" t="str">
        <f t="shared" si="5591"/>
        <v/>
      </c>
      <c r="CG851" s="22" t="str">
        <f>IF(CH851="","",MAX($CG$10:CG850)+1)</f>
        <v/>
      </c>
      <c r="CH851" s="22" t="str">
        <f t="shared" si="5536"/>
        <v/>
      </c>
      <c r="CI851" s="22" t="str">
        <f>IF(CJ851="","",MAX($CI$10:CI850)+1)</f>
        <v/>
      </c>
      <c r="CJ851" s="22" t="str">
        <f t="shared" si="5537"/>
        <v/>
      </c>
    </row>
    <row r="852" spans="2:88" x14ac:dyDescent="0.25">
      <c r="B852" s="37"/>
      <c r="C852" s="3"/>
      <c r="D852" s="77" t="str">
        <f t="shared" si="5523"/>
        <v/>
      </c>
      <c r="E852" s="38"/>
      <c r="F852" s="38"/>
      <c r="G852" s="78">
        <f t="shared" si="5538"/>
        <v>0</v>
      </c>
      <c r="H852" s="3">
        <v>80</v>
      </c>
      <c r="I852" s="77" t="str">
        <f t="shared" si="5524"/>
        <v/>
      </c>
      <c r="J852" s="32"/>
      <c r="K852" s="3"/>
      <c r="L852" s="39"/>
      <c r="M852" s="39"/>
      <c r="N852" s="39"/>
      <c r="O852" s="39"/>
      <c r="P852" s="39"/>
      <c r="Q852" s="39"/>
      <c r="R852" s="39"/>
      <c r="S852" s="39"/>
      <c r="T852" s="3" t="s">
        <v>645</v>
      </c>
      <c r="U852" s="77" t="str">
        <f t="shared" si="5525"/>
        <v/>
      </c>
      <c r="V852" s="39">
        <v>1</v>
      </c>
      <c r="W852" s="79">
        <f t="shared" si="5539"/>
        <v>0</v>
      </c>
      <c r="X852" s="3">
        <v>0</v>
      </c>
      <c r="Y852" s="77" t="str">
        <f t="shared" si="5526"/>
        <v/>
      </c>
      <c r="Z852" s="3"/>
      <c r="AA852" s="37" t="str">
        <f t="shared" si="5540"/>
        <v/>
      </c>
      <c r="AC852" s="40"/>
      <c r="AD852" s="7"/>
      <c r="AE852" s="77" t="str">
        <f t="shared" si="5527"/>
        <v/>
      </c>
      <c r="AF852" s="81">
        <f t="shared" si="5553"/>
        <v>0</v>
      </c>
      <c r="AG852" s="40"/>
      <c r="AH852" s="7"/>
      <c r="AI852" s="77" t="str">
        <f t="shared" si="5528"/>
        <v/>
      </c>
      <c r="AJ852" s="81">
        <f t="shared" si="5554"/>
        <v>0</v>
      </c>
      <c r="AK852" s="83">
        <f t="shared" si="5555"/>
        <v>0</v>
      </c>
      <c r="AL852" s="83">
        <f t="shared" si="5556"/>
        <v>0</v>
      </c>
      <c r="AN852" s="43">
        <f t="shared" si="5529"/>
        <v>0</v>
      </c>
      <c r="AP852" t="str">
        <f t="shared" si="5557"/>
        <v/>
      </c>
      <c r="AQ852" t="str">
        <f t="shared" si="5558"/>
        <v/>
      </c>
      <c r="AR852" t="str">
        <f t="shared" si="5559"/>
        <v/>
      </c>
      <c r="AS852" t="str">
        <f t="shared" si="5560"/>
        <v/>
      </c>
      <c r="AT852" t="str">
        <f t="shared" si="5561"/>
        <v/>
      </c>
      <c r="AU852" t="str">
        <f t="shared" si="5562"/>
        <v/>
      </c>
      <c r="AV852" t="str">
        <f t="shared" si="5563"/>
        <v/>
      </c>
      <c r="AW852" t="str">
        <f t="shared" si="5564"/>
        <v xml:space="preserve">                              </v>
      </c>
      <c r="AX852" s="23">
        <f t="shared" si="5565"/>
        <v>0</v>
      </c>
      <c r="AY852" s="49" t="str">
        <f t="shared" si="5541"/>
        <v>000000000000000</v>
      </c>
      <c r="AZ852" s="23">
        <f t="shared" si="5566"/>
        <v>0</v>
      </c>
      <c r="BA852" s="49" t="str">
        <f t="shared" si="5541"/>
        <v>000000000000000</v>
      </c>
      <c r="BB852" s="23">
        <f t="shared" si="5567"/>
        <v>0</v>
      </c>
      <c r="BC852" s="49" t="str">
        <f t="shared" ref="BC852" si="5622">IF(BB852&lt;0,SUBSTITUTE(TEXT(BB852,"000000000000,00"),",",""),SUBSTITUTE(TEXT(BB852,"0000000000000,00"),",",""))</f>
        <v>000000000000000</v>
      </c>
      <c r="BD852" s="23">
        <f t="shared" si="5569"/>
        <v>0</v>
      </c>
      <c r="BE852" s="49" t="str">
        <f t="shared" ref="BE852" si="5623">IF(BD852&lt;0,SUBSTITUTE(TEXT(BD852,"000000000000,00"),",",""),SUBSTITUTE(TEXT(BD852,"0000000000000,00"),",",""))</f>
        <v>000000000000000</v>
      </c>
      <c r="BF852" s="23">
        <f t="shared" si="5571"/>
        <v>0</v>
      </c>
      <c r="BG852" s="49" t="str">
        <f t="shared" ref="BG852" si="5624">IF(BF852&lt;0,SUBSTITUTE(TEXT(BF852,"000000000000,00"),",",""),SUBSTITUTE(TEXT(BF852,"0000000000000,00"),",",""))</f>
        <v>000000000000000</v>
      </c>
      <c r="BH852" s="23">
        <f t="shared" si="5573"/>
        <v>0</v>
      </c>
      <c r="BI852" s="49" t="str">
        <f t="shared" ref="BI852" si="5625">IF(BH852&lt;0,SUBSTITUTE(TEXT(BH852,"000000000000,00"),",",""),SUBSTITUTE(TEXT(BH852,"0000000000000,00"),",",""))</f>
        <v>000000000000000</v>
      </c>
      <c r="BJ852" s="23">
        <f t="shared" si="5575"/>
        <v>0</v>
      </c>
      <c r="BK852" s="49" t="str">
        <f t="shared" ref="BK852" si="5626">IF(BJ852&lt;0,SUBSTITUTE(TEXT(BJ852,"000000000000,00"),",",""),SUBSTITUTE(TEXT(BJ852,"0000000000000,00"),",",""))</f>
        <v>000000000000000</v>
      </c>
      <c r="BL852" s="23">
        <f t="shared" si="5577"/>
        <v>0</v>
      </c>
      <c r="BM852" s="49" t="str">
        <f t="shared" ref="BM852" si="5627">IF(BL852&lt;0,SUBSTITUTE(TEXT(BL852,"000000000000,00"),",",""),SUBSTITUTE(TEXT(BL852,"0000000000000,00"),",",""))</f>
        <v>000000000000000</v>
      </c>
      <c r="BN852" t="str">
        <f t="shared" si="5579"/>
        <v>PES</v>
      </c>
      <c r="BO852" t="str">
        <f t="shared" si="5580"/>
        <v>0001000000</v>
      </c>
      <c r="BP852">
        <f t="shared" si="5581"/>
        <v>0</v>
      </c>
      <c r="BQ852">
        <f t="shared" si="5582"/>
        <v>0</v>
      </c>
      <c r="BR852" s="23">
        <f t="shared" si="5583"/>
        <v>0</v>
      </c>
      <c r="BS852" s="49" t="str">
        <f t="shared" si="5548"/>
        <v>000000000000000</v>
      </c>
      <c r="BT852" t="str">
        <f t="shared" si="5584"/>
        <v>00000000</v>
      </c>
      <c r="BU852" s="23">
        <f t="shared" si="5585"/>
        <v>0</v>
      </c>
      <c r="BV852" s="49" t="str">
        <f t="shared" si="5549"/>
        <v/>
      </c>
      <c r="BW852" s="52" t="str">
        <f t="shared" si="5586"/>
        <v/>
      </c>
      <c r="BX852" s="23">
        <f t="shared" si="5587"/>
        <v>0</v>
      </c>
      <c r="BY852" s="49" t="str">
        <f t="shared" si="5550"/>
        <v/>
      </c>
      <c r="BZ852" s="23">
        <f t="shared" si="5588"/>
        <v>0</v>
      </c>
      <c r="CA852" s="49" t="str">
        <f t="shared" si="5551"/>
        <v/>
      </c>
      <c r="CB852" s="52" t="str">
        <f t="shared" si="5589"/>
        <v/>
      </c>
      <c r="CC852" s="23">
        <f t="shared" si="5590"/>
        <v>0</v>
      </c>
      <c r="CD852" s="49" t="str">
        <f t="shared" si="5552"/>
        <v/>
      </c>
      <c r="CE852" s="56" t="str">
        <f>IF(CF852="","",MAX(CE$10:$CE851)+1)</f>
        <v/>
      </c>
      <c r="CF852" t="str">
        <f t="shared" si="5591"/>
        <v/>
      </c>
      <c r="CG852" s="22" t="str">
        <f>IF(CH852="","",MAX($CG$10:CG851)+1)</f>
        <v/>
      </c>
      <c r="CH852" s="22" t="str">
        <f t="shared" si="5536"/>
        <v/>
      </c>
      <c r="CI852" s="22" t="str">
        <f>IF(CJ852="","",MAX($CI$10:CI851)+1)</f>
        <v/>
      </c>
      <c r="CJ852" s="22" t="str">
        <f t="shared" si="5537"/>
        <v/>
      </c>
    </row>
    <row r="853" spans="2:88" x14ac:dyDescent="0.25">
      <c r="B853" s="37"/>
      <c r="C853" s="3"/>
      <c r="D853" s="77" t="str">
        <f t="shared" si="5523"/>
        <v/>
      </c>
      <c r="E853" s="38"/>
      <c r="F853" s="38"/>
      <c r="G853" s="78">
        <f t="shared" si="5538"/>
        <v>0</v>
      </c>
      <c r="H853" s="3">
        <v>80</v>
      </c>
      <c r="I853" s="77" t="str">
        <f t="shared" si="5524"/>
        <v/>
      </c>
      <c r="J853" s="32"/>
      <c r="K853" s="3"/>
      <c r="L853" s="39"/>
      <c r="M853" s="39"/>
      <c r="N853" s="39"/>
      <c r="O853" s="39"/>
      <c r="P853" s="39"/>
      <c r="Q853" s="39"/>
      <c r="R853" s="39"/>
      <c r="S853" s="39"/>
      <c r="T853" s="3" t="s">
        <v>645</v>
      </c>
      <c r="U853" s="77" t="str">
        <f t="shared" si="5525"/>
        <v/>
      </c>
      <c r="V853" s="39">
        <v>1</v>
      </c>
      <c r="W853" s="79">
        <f t="shared" si="5539"/>
        <v>0</v>
      </c>
      <c r="X853" s="3">
        <v>0</v>
      </c>
      <c r="Y853" s="77" t="str">
        <f t="shared" si="5526"/>
        <v/>
      </c>
      <c r="Z853" s="3"/>
      <c r="AA853" s="37" t="str">
        <f t="shared" si="5540"/>
        <v/>
      </c>
      <c r="AC853" s="40"/>
      <c r="AD853" s="7"/>
      <c r="AE853" s="77" t="str">
        <f t="shared" si="5527"/>
        <v/>
      </c>
      <c r="AF853" s="81">
        <f t="shared" si="5553"/>
        <v>0</v>
      </c>
      <c r="AG853" s="40"/>
      <c r="AH853" s="7"/>
      <c r="AI853" s="77" t="str">
        <f t="shared" si="5528"/>
        <v/>
      </c>
      <c r="AJ853" s="81">
        <f t="shared" si="5554"/>
        <v>0</v>
      </c>
      <c r="AK853" s="83">
        <f t="shared" si="5555"/>
        <v>0</v>
      </c>
      <c r="AL853" s="83">
        <f t="shared" si="5556"/>
        <v>0</v>
      </c>
      <c r="AN853" s="43">
        <f t="shared" si="5529"/>
        <v>0</v>
      </c>
      <c r="AP853" t="str">
        <f t="shared" si="5557"/>
        <v/>
      </c>
      <c r="AQ853" t="str">
        <f t="shared" si="5558"/>
        <v/>
      </c>
      <c r="AR853" t="str">
        <f t="shared" si="5559"/>
        <v/>
      </c>
      <c r="AS853" t="str">
        <f t="shared" si="5560"/>
        <v/>
      </c>
      <c r="AT853" t="str">
        <f t="shared" si="5561"/>
        <v/>
      </c>
      <c r="AU853" t="str">
        <f t="shared" si="5562"/>
        <v/>
      </c>
      <c r="AV853" t="str">
        <f t="shared" si="5563"/>
        <v/>
      </c>
      <c r="AW853" t="str">
        <f t="shared" si="5564"/>
        <v xml:space="preserve">                              </v>
      </c>
      <c r="AX853" s="23">
        <f t="shared" si="5565"/>
        <v>0</v>
      </c>
      <c r="AY853" s="49" t="str">
        <f t="shared" si="5541"/>
        <v>000000000000000</v>
      </c>
      <c r="AZ853" s="23">
        <f t="shared" si="5566"/>
        <v>0</v>
      </c>
      <c r="BA853" s="49" t="str">
        <f t="shared" si="5541"/>
        <v>000000000000000</v>
      </c>
      <c r="BB853" s="23">
        <f t="shared" si="5567"/>
        <v>0</v>
      </c>
      <c r="BC853" s="49" t="str">
        <f t="shared" ref="BC853" si="5628">IF(BB853&lt;0,SUBSTITUTE(TEXT(BB853,"000000000000,00"),",",""),SUBSTITUTE(TEXT(BB853,"0000000000000,00"),",",""))</f>
        <v>000000000000000</v>
      </c>
      <c r="BD853" s="23">
        <f t="shared" si="5569"/>
        <v>0</v>
      </c>
      <c r="BE853" s="49" t="str">
        <f t="shared" ref="BE853" si="5629">IF(BD853&lt;0,SUBSTITUTE(TEXT(BD853,"000000000000,00"),",",""),SUBSTITUTE(TEXT(BD853,"0000000000000,00"),",",""))</f>
        <v>000000000000000</v>
      </c>
      <c r="BF853" s="23">
        <f t="shared" si="5571"/>
        <v>0</v>
      </c>
      <c r="BG853" s="49" t="str">
        <f t="shared" ref="BG853" si="5630">IF(BF853&lt;0,SUBSTITUTE(TEXT(BF853,"000000000000,00"),",",""),SUBSTITUTE(TEXT(BF853,"0000000000000,00"),",",""))</f>
        <v>000000000000000</v>
      </c>
      <c r="BH853" s="23">
        <f t="shared" si="5573"/>
        <v>0</v>
      </c>
      <c r="BI853" s="49" t="str">
        <f t="shared" ref="BI853" si="5631">IF(BH853&lt;0,SUBSTITUTE(TEXT(BH853,"000000000000,00"),",",""),SUBSTITUTE(TEXT(BH853,"0000000000000,00"),",",""))</f>
        <v>000000000000000</v>
      </c>
      <c r="BJ853" s="23">
        <f t="shared" si="5575"/>
        <v>0</v>
      </c>
      <c r="BK853" s="49" t="str">
        <f t="shared" ref="BK853" si="5632">IF(BJ853&lt;0,SUBSTITUTE(TEXT(BJ853,"000000000000,00"),",",""),SUBSTITUTE(TEXT(BJ853,"0000000000000,00"),",",""))</f>
        <v>000000000000000</v>
      </c>
      <c r="BL853" s="23">
        <f t="shared" si="5577"/>
        <v>0</v>
      </c>
      <c r="BM853" s="49" t="str">
        <f t="shared" ref="BM853" si="5633">IF(BL853&lt;0,SUBSTITUTE(TEXT(BL853,"000000000000,00"),",",""),SUBSTITUTE(TEXT(BL853,"0000000000000,00"),",",""))</f>
        <v>000000000000000</v>
      </c>
      <c r="BN853" t="str">
        <f t="shared" si="5579"/>
        <v>PES</v>
      </c>
      <c r="BO853" t="str">
        <f t="shared" si="5580"/>
        <v>0001000000</v>
      </c>
      <c r="BP853">
        <f t="shared" si="5581"/>
        <v>0</v>
      </c>
      <c r="BQ853">
        <f t="shared" si="5582"/>
        <v>0</v>
      </c>
      <c r="BR853" s="23">
        <f t="shared" si="5583"/>
        <v>0</v>
      </c>
      <c r="BS853" s="49" t="str">
        <f t="shared" si="5548"/>
        <v>000000000000000</v>
      </c>
      <c r="BT853" t="str">
        <f t="shared" si="5584"/>
        <v>00000000</v>
      </c>
      <c r="BU853" s="23">
        <f t="shared" si="5585"/>
        <v>0</v>
      </c>
      <c r="BV853" s="49" t="str">
        <f t="shared" si="5549"/>
        <v/>
      </c>
      <c r="BW853" s="52" t="str">
        <f t="shared" si="5586"/>
        <v/>
      </c>
      <c r="BX853" s="23">
        <f t="shared" si="5587"/>
        <v>0</v>
      </c>
      <c r="BY853" s="49" t="str">
        <f t="shared" si="5550"/>
        <v/>
      </c>
      <c r="BZ853" s="23">
        <f t="shared" si="5588"/>
        <v>0</v>
      </c>
      <c r="CA853" s="49" t="str">
        <f t="shared" si="5551"/>
        <v/>
      </c>
      <c r="CB853" s="52" t="str">
        <f t="shared" si="5589"/>
        <v/>
      </c>
      <c r="CC853" s="23">
        <f t="shared" si="5590"/>
        <v>0</v>
      </c>
      <c r="CD853" s="49" t="str">
        <f t="shared" si="5552"/>
        <v/>
      </c>
      <c r="CE853" s="56" t="str">
        <f>IF(CF853="","",MAX(CE$10:$CE852)+1)</f>
        <v/>
      </c>
      <c r="CF853" t="str">
        <f t="shared" si="5591"/>
        <v/>
      </c>
      <c r="CG853" s="22" t="str">
        <f>IF(CH853="","",MAX($CG$10:CG852)+1)</f>
        <v/>
      </c>
      <c r="CH853" s="22" t="str">
        <f t="shared" si="5536"/>
        <v/>
      </c>
      <c r="CI853" s="22" t="str">
        <f>IF(CJ853="","",MAX($CI$10:CI852)+1)</f>
        <v/>
      </c>
      <c r="CJ853" s="22" t="str">
        <f t="shared" si="5537"/>
        <v/>
      </c>
    </row>
    <row r="854" spans="2:88" x14ac:dyDescent="0.25">
      <c r="B854" s="37"/>
      <c r="C854" s="3"/>
      <c r="D854" s="77" t="str">
        <f t="shared" si="5523"/>
        <v/>
      </c>
      <c r="E854" s="38"/>
      <c r="F854" s="38"/>
      <c r="G854" s="78">
        <f t="shared" si="5538"/>
        <v>0</v>
      </c>
      <c r="H854" s="3">
        <v>80</v>
      </c>
      <c r="I854" s="77" t="str">
        <f t="shared" si="5524"/>
        <v/>
      </c>
      <c r="J854" s="32"/>
      <c r="K854" s="3"/>
      <c r="L854" s="39"/>
      <c r="M854" s="39"/>
      <c r="N854" s="39"/>
      <c r="O854" s="39"/>
      <c r="P854" s="39"/>
      <c r="Q854" s="39"/>
      <c r="R854" s="39"/>
      <c r="S854" s="39"/>
      <c r="T854" s="3" t="s">
        <v>645</v>
      </c>
      <c r="U854" s="77" t="str">
        <f t="shared" si="5525"/>
        <v/>
      </c>
      <c r="V854" s="39">
        <v>1</v>
      </c>
      <c r="W854" s="79">
        <f t="shared" si="5539"/>
        <v>0</v>
      </c>
      <c r="X854" s="3">
        <v>0</v>
      </c>
      <c r="Y854" s="77" t="str">
        <f t="shared" si="5526"/>
        <v/>
      </c>
      <c r="Z854" s="3"/>
      <c r="AA854" s="37" t="str">
        <f t="shared" si="5540"/>
        <v/>
      </c>
      <c r="AC854" s="40"/>
      <c r="AD854" s="7"/>
      <c r="AE854" s="77" t="str">
        <f t="shared" si="5527"/>
        <v/>
      </c>
      <c r="AF854" s="81">
        <f t="shared" si="5553"/>
        <v>0</v>
      </c>
      <c r="AG854" s="40"/>
      <c r="AH854" s="7"/>
      <c r="AI854" s="77" t="str">
        <f t="shared" si="5528"/>
        <v/>
      </c>
      <c r="AJ854" s="81">
        <f t="shared" si="5554"/>
        <v>0</v>
      </c>
      <c r="AK854" s="83">
        <f t="shared" si="5555"/>
        <v>0</v>
      </c>
      <c r="AL854" s="83">
        <f t="shared" si="5556"/>
        <v>0</v>
      </c>
      <c r="AN854" s="43">
        <f t="shared" si="5529"/>
        <v>0</v>
      </c>
      <c r="AP854" t="str">
        <f t="shared" si="5557"/>
        <v/>
      </c>
      <c r="AQ854" t="str">
        <f t="shared" si="5558"/>
        <v/>
      </c>
      <c r="AR854" t="str">
        <f t="shared" si="5559"/>
        <v/>
      </c>
      <c r="AS854" t="str">
        <f t="shared" si="5560"/>
        <v/>
      </c>
      <c r="AT854" t="str">
        <f t="shared" si="5561"/>
        <v/>
      </c>
      <c r="AU854" t="str">
        <f t="shared" si="5562"/>
        <v/>
      </c>
      <c r="AV854" t="str">
        <f t="shared" si="5563"/>
        <v/>
      </c>
      <c r="AW854" t="str">
        <f t="shared" si="5564"/>
        <v xml:space="preserve">                              </v>
      </c>
      <c r="AX854" s="23">
        <f t="shared" si="5565"/>
        <v>0</v>
      </c>
      <c r="AY854" s="49" t="str">
        <f t="shared" si="5541"/>
        <v>000000000000000</v>
      </c>
      <c r="AZ854" s="23">
        <f t="shared" si="5566"/>
        <v>0</v>
      </c>
      <c r="BA854" s="49" t="str">
        <f t="shared" si="5541"/>
        <v>000000000000000</v>
      </c>
      <c r="BB854" s="23">
        <f t="shared" si="5567"/>
        <v>0</v>
      </c>
      <c r="BC854" s="49" t="str">
        <f t="shared" ref="BC854" si="5634">IF(BB854&lt;0,SUBSTITUTE(TEXT(BB854,"000000000000,00"),",",""),SUBSTITUTE(TEXT(BB854,"0000000000000,00"),",",""))</f>
        <v>000000000000000</v>
      </c>
      <c r="BD854" s="23">
        <f t="shared" si="5569"/>
        <v>0</v>
      </c>
      <c r="BE854" s="49" t="str">
        <f t="shared" ref="BE854" si="5635">IF(BD854&lt;0,SUBSTITUTE(TEXT(BD854,"000000000000,00"),",",""),SUBSTITUTE(TEXT(BD854,"0000000000000,00"),",",""))</f>
        <v>000000000000000</v>
      </c>
      <c r="BF854" s="23">
        <f t="shared" si="5571"/>
        <v>0</v>
      </c>
      <c r="BG854" s="49" t="str">
        <f t="shared" ref="BG854" si="5636">IF(BF854&lt;0,SUBSTITUTE(TEXT(BF854,"000000000000,00"),",",""),SUBSTITUTE(TEXT(BF854,"0000000000000,00"),",",""))</f>
        <v>000000000000000</v>
      </c>
      <c r="BH854" s="23">
        <f t="shared" si="5573"/>
        <v>0</v>
      </c>
      <c r="BI854" s="49" t="str">
        <f t="shared" ref="BI854" si="5637">IF(BH854&lt;0,SUBSTITUTE(TEXT(BH854,"000000000000,00"),",",""),SUBSTITUTE(TEXT(BH854,"0000000000000,00"),",",""))</f>
        <v>000000000000000</v>
      </c>
      <c r="BJ854" s="23">
        <f t="shared" si="5575"/>
        <v>0</v>
      </c>
      <c r="BK854" s="49" t="str">
        <f t="shared" ref="BK854" si="5638">IF(BJ854&lt;0,SUBSTITUTE(TEXT(BJ854,"000000000000,00"),",",""),SUBSTITUTE(TEXT(BJ854,"0000000000000,00"),",",""))</f>
        <v>000000000000000</v>
      </c>
      <c r="BL854" s="23">
        <f t="shared" si="5577"/>
        <v>0</v>
      </c>
      <c r="BM854" s="49" t="str">
        <f t="shared" ref="BM854" si="5639">IF(BL854&lt;0,SUBSTITUTE(TEXT(BL854,"000000000000,00"),",",""),SUBSTITUTE(TEXT(BL854,"0000000000000,00"),",",""))</f>
        <v>000000000000000</v>
      </c>
      <c r="BN854" t="str">
        <f t="shared" si="5579"/>
        <v>PES</v>
      </c>
      <c r="BO854" t="str">
        <f t="shared" si="5580"/>
        <v>0001000000</v>
      </c>
      <c r="BP854">
        <f t="shared" si="5581"/>
        <v>0</v>
      </c>
      <c r="BQ854">
        <f t="shared" si="5582"/>
        <v>0</v>
      </c>
      <c r="BR854" s="23">
        <f t="shared" si="5583"/>
        <v>0</v>
      </c>
      <c r="BS854" s="49" t="str">
        <f t="shared" si="5548"/>
        <v>000000000000000</v>
      </c>
      <c r="BT854" t="str">
        <f t="shared" si="5584"/>
        <v>00000000</v>
      </c>
      <c r="BU854" s="23">
        <f t="shared" si="5585"/>
        <v>0</v>
      </c>
      <c r="BV854" s="49" t="str">
        <f t="shared" si="5549"/>
        <v/>
      </c>
      <c r="BW854" s="52" t="str">
        <f t="shared" si="5586"/>
        <v/>
      </c>
      <c r="BX854" s="23">
        <f t="shared" si="5587"/>
        <v>0</v>
      </c>
      <c r="BY854" s="49" t="str">
        <f t="shared" si="5550"/>
        <v/>
      </c>
      <c r="BZ854" s="23">
        <f t="shared" si="5588"/>
        <v>0</v>
      </c>
      <c r="CA854" s="49" t="str">
        <f t="shared" si="5551"/>
        <v/>
      </c>
      <c r="CB854" s="52" t="str">
        <f t="shared" si="5589"/>
        <v/>
      </c>
      <c r="CC854" s="23">
        <f t="shared" si="5590"/>
        <v>0</v>
      </c>
      <c r="CD854" s="49" t="str">
        <f t="shared" si="5552"/>
        <v/>
      </c>
      <c r="CE854" s="56" t="str">
        <f>IF(CF854="","",MAX(CE$10:$CE853)+1)</f>
        <v/>
      </c>
      <c r="CF854" t="str">
        <f t="shared" si="5591"/>
        <v/>
      </c>
      <c r="CG854" s="22" t="str">
        <f>IF(CH854="","",MAX($CG$10:CG853)+1)</f>
        <v/>
      </c>
      <c r="CH854" s="22" t="str">
        <f t="shared" si="5536"/>
        <v/>
      </c>
      <c r="CI854" s="22" t="str">
        <f>IF(CJ854="","",MAX($CI$10:CI853)+1)</f>
        <v/>
      </c>
      <c r="CJ854" s="22" t="str">
        <f t="shared" si="5537"/>
        <v/>
      </c>
    </row>
    <row r="855" spans="2:88" x14ac:dyDescent="0.25">
      <c r="B855" s="37"/>
      <c r="C855" s="3"/>
      <c r="D855" s="77" t="str">
        <f t="shared" si="5523"/>
        <v/>
      </c>
      <c r="E855" s="38"/>
      <c r="F855" s="38"/>
      <c r="G855" s="78">
        <f t="shared" si="5538"/>
        <v>0</v>
      </c>
      <c r="H855" s="3">
        <v>80</v>
      </c>
      <c r="I855" s="77" t="str">
        <f t="shared" si="5524"/>
        <v/>
      </c>
      <c r="J855" s="32"/>
      <c r="K855" s="3"/>
      <c r="L855" s="39"/>
      <c r="M855" s="39"/>
      <c r="N855" s="39"/>
      <c r="O855" s="39"/>
      <c r="P855" s="39"/>
      <c r="Q855" s="39"/>
      <c r="R855" s="39"/>
      <c r="S855" s="39"/>
      <c r="T855" s="3" t="s">
        <v>645</v>
      </c>
      <c r="U855" s="77" t="str">
        <f t="shared" si="5525"/>
        <v/>
      </c>
      <c r="V855" s="39">
        <v>1</v>
      </c>
      <c r="W855" s="79">
        <f t="shared" si="5539"/>
        <v>0</v>
      </c>
      <c r="X855" s="3">
        <v>0</v>
      </c>
      <c r="Y855" s="77" t="str">
        <f t="shared" si="5526"/>
        <v/>
      </c>
      <c r="Z855" s="3"/>
      <c r="AA855" s="37" t="str">
        <f t="shared" si="5540"/>
        <v/>
      </c>
      <c r="AC855" s="40"/>
      <c r="AD855" s="7"/>
      <c r="AE855" s="77" t="str">
        <f t="shared" si="5527"/>
        <v/>
      </c>
      <c r="AF855" s="81">
        <f t="shared" si="5553"/>
        <v>0</v>
      </c>
      <c r="AG855" s="40"/>
      <c r="AH855" s="7"/>
      <c r="AI855" s="77" t="str">
        <f t="shared" si="5528"/>
        <v/>
      </c>
      <c r="AJ855" s="81">
        <f t="shared" si="5554"/>
        <v>0</v>
      </c>
      <c r="AK855" s="83">
        <f t="shared" si="5555"/>
        <v>0</v>
      </c>
      <c r="AL855" s="83">
        <f t="shared" si="5556"/>
        <v>0</v>
      </c>
      <c r="AN855" s="43">
        <f t="shared" si="5529"/>
        <v>0</v>
      </c>
      <c r="AP855" t="str">
        <f t="shared" si="5557"/>
        <v/>
      </c>
      <c r="AQ855" t="str">
        <f t="shared" si="5558"/>
        <v/>
      </c>
      <c r="AR855" t="str">
        <f t="shared" si="5559"/>
        <v/>
      </c>
      <c r="AS855" t="str">
        <f t="shared" si="5560"/>
        <v/>
      </c>
      <c r="AT855" t="str">
        <f t="shared" si="5561"/>
        <v/>
      </c>
      <c r="AU855" t="str">
        <f t="shared" si="5562"/>
        <v/>
      </c>
      <c r="AV855" t="str">
        <f t="shared" si="5563"/>
        <v/>
      </c>
      <c r="AW855" t="str">
        <f t="shared" si="5564"/>
        <v xml:space="preserve">                              </v>
      </c>
      <c r="AX855" s="23">
        <f t="shared" si="5565"/>
        <v>0</v>
      </c>
      <c r="AY855" s="49" t="str">
        <f t="shared" si="5541"/>
        <v>000000000000000</v>
      </c>
      <c r="AZ855" s="23">
        <f t="shared" si="5566"/>
        <v>0</v>
      </c>
      <c r="BA855" s="49" t="str">
        <f t="shared" si="5541"/>
        <v>000000000000000</v>
      </c>
      <c r="BB855" s="23">
        <f t="shared" si="5567"/>
        <v>0</v>
      </c>
      <c r="BC855" s="49" t="str">
        <f t="shared" ref="BC855" si="5640">IF(BB855&lt;0,SUBSTITUTE(TEXT(BB855,"000000000000,00"),",",""),SUBSTITUTE(TEXT(BB855,"0000000000000,00"),",",""))</f>
        <v>000000000000000</v>
      </c>
      <c r="BD855" s="23">
        <f t="shared" si="5569"/>
        <v>0</v>
      </c>
      <c r="BE855" s="49" t="str">
        <f t="shared" ref="BE855" si="5641">IF(BD855&lt;0,SUBSTITUTE(TEXT(BD855,"000000000000,00"),",",""),SUBSTITUTE(TEXT(BD855,"0000000000000,00"),",",""))</f>
        <v>000000000000000</v>
      </c>
      <c r="BF855" s="23">
        <f t="shared" si="5571"/>
        <v>0</v>
      </c>
      <c r="BG855" s="49" t="str">
        <f t="shared" ref="BG855" si="5642">IF(BF855&lt;0,SUBSTITUTE(TEXT(BF855,"000000000000,00"),",",""),SUBSTITUTE(TEXT(BF855,"0000000000000,00"),",",""))</f>
        <v>000000000000000</v>
      </c>
      <c r="BH855" s="23">
        <f t="shared" si="5573"/>
        <v>0</v>
      </c>
      <c r="BI855" s="49" t="str">
        <f t="shared" ref="BI855" si="5643">IF(BH855&lt;0,SUBSTITUTE(TEXT(BH855,"000000000000,00"),",",""),SUBSTITUTE(TEXT(BH855,"0000000000000,00"),",",""))</f>
        <v>000000000000000</v>
      </c>
      <c r="BJ855" s="23">
        <f t="shared" si="5575"/>
        <v>0</v>
      </c>
      <c r="BK855" s="49" t="str">
        <f t="shared" ref="BK855" si="5644">IF(BJ855&lt;0,SUBSTITUTE(TEXT(BJ855,"000000000000,00"),",",""),SUBSTITUTE(TEXT(BJ855,"0000000000000,00"),",",""))</f>
        <v>000000000000000</v>
      </c>
      <c r="BL855" s="23">
        <f t="shared" si="5577"/>
        <v>0</v>
      </c>
      <c r="BM855" s="49" t="str">
        <f t="shared" ref="BM855" si="5645">IF(BL855&lt;0,SUBSTITUTE(TEXT(BL855,"000000000000,00"),",",""),SUBSTITUTE(TEXT(BL855,"0000000000000,00"),",",""))</f>
        <v>000000000000000</v>
      </c>
      <c r="BN855" t="str">
        <f t="shared" si="5579"/>
        <v>PES</v>
      </c>
      <c r="BO855" t="str">
        <f t="shared" si="5580"/>
        <v>0001000000</v>
      </c>
      <c r="BP855">
        <f t="shared" si="5581"/>
        <v>0</v>
      </c>
      <c r="BQ855">
        <f t="shared" si="5582"/>
        <v>0</v>
      </c>
      <c r="BR855" s="23">
        <f t="shared" si="5583"/>
        <v>0</v>
      </c>
      <c r="BS855" s="49" t="str">
        <f t="shared" si="5548"/>
        <v>000000000000000</v>
      </c>
      <c r="BT855" t="str">
        <f t="shared" si="5584"/>
        <v>00000000</v>
      </c>
      <c r="BU855" s="23">
        <f t="shared" si="5585"/>
        <v>0</v>
      </c>
      <c r="BV855" s="49" t="str">
        <f t="shared" si="5549"/>
        <v/>
      </c>
      <c r="BW855" s="52" t="str">
        <f t="shared" si="5586"/>
        <v/>
      </c>
      <c r="BX855" s="23">
        <f t="shared" si="5587"/>
        <v>0</v>
      </c>
      <c r="BY855" s="49" t="str">
        <f t="shared" si="5550"/>
        <v/>
      </c>
      <c r="BZ855" s="23">
        <f t="shared" si="5588"/>
        <v>0</v>
      </c>
      <c r="CA855" s="49" t="str">
        <f t="shared" si="5551"/>
        <v/>
      </c>
      <c r="CB855" s="52" t="str">
        <f t="shared" si="5589"/>
        <v/>
      </c>
      <c r="CC855" s="23">
        <f t="shared" si="5590"/>
        <v>0</v>
      </c>
      <c r="CD855" s="49" t="str">
        <f t="shared" si="5552"/>
        <v/>
      </c>
      <c r="CE855" s="56" t="str">
        <f>IF(CF855="","",MAX(CE$10:$CE854)+1)</f>
        <v/>
      </c>
      <c r="CF855" t="str">
        <f t="shared" si="5591"/>
        <v/>
      </c>
      <c r="CG855" s="22" t="str">
        <f>IF(CH855="","",MAX($CG$10:CG854)+1)</f>
        <v/>
      </c>
      <c r="CH855" s="22" t="str">
        <f t="shared" si="5536"/>
        <v/>
      </c>
      <c r="CI855" s="22" t="str">
        <f>IF(CJ855="","",MAX($CI$10:CI854)+1)</f>
        <v/>
      </c>
      <c r="CJ855" s="22" t="str">
        <f t="shared" si="5537"/>
        <v/>
      </c>
    </row>
    <row r="856" spans="2:88" x14ac:dyDescent="0.25">
      <c r="B856" s="37"/>
      <c r="C856" s="3"/>
      <c r="D856" s="77" t="str">
        <f t="shared" si="5523"/>
        <v/>
      </c>
      <c r="E856" s="38"/>
      <c r="F856" s="38"/>
      <c r="G856" s="78">
        <f t="shared" si="5538"/>
        <v>0</v>
      </c>
      <c r="H856" s="3">
        <v>80</v>
      </c>
      <c r="I856" s="77" t="str">
        <f t="shared" si="5524"/>
        <v/>
      </c>
      <c r="J856" s="32"/>
      <c r="K856" s="3"/>
      <c r="L856" s="39"/>
      <c r="M856" s="39"/>
      <c r="N856" s="39"/>
      <c r="O856" s="39"/>
      <c r="P856" s="39"/>
      <c r="Q856" s="39"/>
      <c r="R856" s="39"/>
      <c r="S856" s="39"/>
      <c r="T856" s="3" t="s">
        <v>645</v>
      </c>
      <c r="U856" s="77" t="str">
        <f t="shared" si="5525"/>
        <v/>
      </c>
      <c r="V856" s="39">
        <v>1</v>
      </c>
      <c r="W856" s="79">
        <f t="shared" si="5539"/>
        <v>0</v>
      </c>
      <c r="X856" s="3">
        <v>0</v>
      </c>
      <c r="Y856" s="77" t="str">
        <f t="shared" si="5526"/>
        <v/>
      </c>
      <c r="Z856" s="3"/>
      <c r="AA856" s="37" t="str">
        <f t="shared" si="5540"/>
        <v/>
      </c>
      <c r="AC856" s="40"/>
      <c r="AD856" s="7"/>
      <c r="AE856" s="77" t="str">
        <f t="shared" si="5527"/>
        <v/>
      </c>
      <c r="AF856" s="81">
        <f t="shared" si="5553"/>
        <v>0</v>
      </c>
      <c r="AG856" s="40"/>
      <c r="AH856" s="7"/>
      <c r="AI856" s="77" t="str">
        <f t="shared" si="5528"/>
        <v/>
      </c>
      <c r="AJ856" s="81">
        <f t="shared" si="5554"/>
        <v>0</v>
      </c>
      <c r="AK856" s="83">
        <f t="shared" si="5555"/>
        <v>0</v>
      </c>
      <c r="AL856" s="83">
        <f t="shared" si="5556"/>
        <v>0</v>
      </c>
      <c r="AN856" s="43">
        <f t="shared" si="5529"/>
        <v>0</v>
      </c>
      <c r="AP856" t="str">
        <f t="shared" si="5557"/>
        <v/>
      </c>
      <c r="AQ856" t="str">
        <f t="shared" si="5558"/>
        <v/>
      </c>
      <c r="AR856" t="str">
        <f t="shared" si="5559"/>
        <v/>
      </c>
      <c r="AS856" t="str">
        <f t="shared" si="5560"/>
        <v/>
      </c>
      <c r="AT856" t="str">
        <f t="shared" si="5561"/>
        <v/>
      </c>
      <c r="AU856" t="str">
        <f t="shared" si="5562"/>
        <v/>
      </c>
      <c r="AV856" t="str">
        <f t="shared" si="5563"/>
        <v/>
      </c>
      <c r="AW856" t="str">
        <f t="shared" si="5564"/>
        <v xml:space="preserve">                              </v>
      </c>
      <c r="AX856" s="23">
        <f t="shared" si="5565"/>
        <v>0</v>
      </c>
      <c r="AY856" s="49" t="str">
        <f t="shared" si="5541"/>
        <v>000000000000000</v>
      </c>
      <c r="AZ856" s="23">
        <f t="shared" si="5566"/>
        <v>0</v>
      </c>
      <c r="BA856" s="49" t="str">
        <f t="shared" si="5541"/>
        <v>000000000000000</v>
      </c>
      <c r="BB856" s="23">
        <f t="shared" si="5567"/>
        <v>0</v>
      </c>
      <c r="BC856" s="49" t="str">
        <f t="shared" ref="BC856" si="5646">IF(BB856&lt;0,SUBSTITUTE(TEXT(BB856,"000000000000,00"),",",""),SUBSTITUTE(TEXT(BB856,"0000000000000,00"),",",""))</f>
        <v>000000000000000</v>
      </c>
      <c r="BD856" s="23">
        <f t="shared" si="5569"/>
        <v>0</v>
      </c>
      <c r="BE856" s="49" t="str">
        <f t="shared" ref="BE856" si="5647">IF(BD856&lt;0,SUBSTITUTE(TEXT(BD856,"000000000000,00"),",",""),SUBSTITUTE(TEXT(BD856,"0000000000000,00"),",",""))</f>
        <v>000000000000000</v>
      </c>
      <c r="BF856" s="23">
        <f t="shared" si="5571"/>
        <v>0</v>
      </c>
      <c r="BG856" s="49" t="str">
        <f t="shared" ref="BG856" si="5648">IF(BF856&lt;0,SUBSTITUTE(TEXT(BF856,"000000000000,00"),",",""),SUBSTITUTE(TEXT(BF856,"0000000000000,00"),",",""))</f>
        <v>000000000000000</v>
      </c>
      <c r="BH856" s="23">
        <f t="shared" si="5573"/>
        <v>0</v>
      </c>
      <c r="BI856" s="49" t="str">
        <f t="shared" ref="BI856" si="5649">IF(BH856&lt;0,SUBSTITUTE(TEXT(BH856,"000000000000,00"),",",""),SUBSTITUTE(TEXT(BH856,"0000000000000,00"),",",""))</f>
        <v>000000000000000</v>
      </c>
      <c r="BJ856" s="23">
        <f t="shared" si="5575"/>
        <v>0</v>
      </c>
      <c r="BK856" s="49" t="str">
        <f t="shared" ref="BK856" si="5650">IF(BJ856&lt;0,SUBSTITUTE(TEXT(BJ856,"000000000000,00"),",",""),SUBSTITUTE(TEXT(BJ856,"0000000000000,00"),",",""))</f>
        <v>000000000000000</v>
      </c>
      <c r="BL856" s="23">
        <f t="shared" si="5577"/>
        <v>0</v>
      </c>
      <c r="BM856" s="49" t="str">
        <f t="shared" ref="BM856" si="5651">IF(BL856&lt;0,SUBSTITUTE(TEXT(BL856,"000000000000,00"),",",""),SUBSTITUTE(TEXT(BL856,"0000000000000,00"),",",""))</f>
        <v>000000000000000</v>
      </c>
      <c r="BN856" t="str">
        <f t="shared" si="5579"/>
        <v>PES</v>
      </c>
      <c r="BO856" t="str">
        <f t="shared" si="5580"/>
        <v>0001000000</v>
      </c>
      <c r="BP856">
        <f t="shared" si="5581"/>
        <v>0</v>
      </c>
      <c r="BQ856">
        <f t="shared" si="5582"/>
        <v>0</v>
      </c>
      <c r="BR856" s="23">
        <f t="shared" si="5583"/>
        <v>0</v>
      </c>
      <c r="BS856" s="49" t="str">
        <f t="shared" si="5548"/>
        <v>000000000000000</v>
      </c>
      <c r="BT856" t="str">
        <f t="shared" si="5584"/>
        <v>00000000</v>
      </c>
      <c r="BU856" s="23">
        <f t="shared" si="5585"/>
        <v>0</v>
      </c>
      <c r="BV856" s="49" t="str">
        <f t="shared" si="5549"/>
        <v/>
      </c>
      <c r="BW856" s="52" t="str">
        <f t="shared" si="5586"/>
        <v/>
      </c>
      <c r="BX856" s="23">
        <f t="shared" si="5587"/>
        <v>0</v>
      </c>
      <c r="BY856" s="49" t="str">
        <f t="shared" si="5550"/>
        <v/>
      </c>
      <c r="BZ856" s="23">
        <f t="shared" si="5588"/>
        <v>0</v>
      </c>
      <c r="CA856" s="49" t="str">
        <f t="shared" si="5551"/>
        <v/>
      </c>
      <c r="CB856" s="52" t="str">
        <f t="shared" si="5589"/>
        <v/>
      </c>
      <c r="CC856" s="23">
        <f t="shared" si="5590"/>
        <v>0</v>
      </c>
      <c r="CD856" s="49" t="str">
        <f t="shared" si="5552"/>
        <v/>
      </c>
      <c r="CE856" s="56" t="str">
        <f>IF(CF856="","",MAX(CE$10:$CE855)+1)</f>
        <v/>
      </c>
      <c r="CF856" t="str">
        <f t="shared" si="5591"/>
        <v/>
      </c>
      <c r="CG856" s="22" t="str">
        <f>IF(CH856="","",MAX($CG$10:CG855)+1)</f>
        <v/>
      </c>
      <c r="CH856" s="22" t="str">
        <f t="shared" si="5536"/>
        <v/>
      </c>
      <c r="CI856" s="22" t="str">
        <f>IF(CJ856="","",MAX($CI$10:CI855)+1)</f>
        <v/>
      </c>
      <c r="CJ856" s="22" t="str">
        <f t="shared" si="5537"/>
        <v/>
      </c>
    </row>
    <row r="857" spans="2:88" x14ac:dyDescent="0.25">
      <c r="B857" s="37"/>
      <c r="C857" s="3"/>
      <c r="D857" s="77" t="str">
        <f t="shared" si="5523"/>
        <v/>
      </c>
      <c r="E857" s="38"/>
      <c r="F857" s="38"/>
      <c r="G857" s="78">
        <f t="shared" si="5538"/>
        <v>0</v>
      </c>
      <c r="H857" s="3">
        <v>80</v>
      </c>
      <c r="I857" s="77" t="str">
        <f t="shared" si="5524"/>
        <v/>
      </c>
      <c r="J857" s="32"/>
      <c r="K857" s="3"/>
      <c r="L857" s="39"/>
      <c r="M857" s="39"/>
      <c r="N857" s="39"/>
      <c r="O857" s="39"/>
      <c r="P857" s="39"/>
      <c r="Q857" s="39"/>
      <c r="R857" s="39"/>
      <c r="S857" s="39"/>
      <c r="T857" s="3" t="s">
        <v>645</v>
      </c>
      <c r="U857" s="77" t="str">
        <f t="shared" si="5525"/>
        <v/>
      </c>
      <c r="V857" s="39">
        <v>1</v>
      </c>
      <c r="W857" s="79">
        <f t="shared" si="5539"/>
        <v>0</v>
      </c>
      <c r="X857" s="3">
        <v>0</v>
      </c>
      <c r="Y857" s="77" t="str">
        <f t="shared" si="5526"/>
        <v/>
      </c>
      <c r="Z857" s="3"/>
      <c r="AA857" s="37" t="str">
        <f t="shared" si="5540"/>
        <v/>
      </c>
      <c r="AC857" s="40"/>
      <c r="AD857" s="7"/>
      <c r="AE857" s="77" t="str">
        <f t="shared" si="5527"/>
        <v/>
      </c>
      <c r="AF857" s="81">
        <f t="shared" si="5553"/>
        <v>0</v>
      </c>
      <c r="AG857" s="40"/>
      <c r="AH857" s="7"/>
      <c r="AI857" s="77" t="str">
        <f t="shared" si="5528"/>
        <v/>
      </c>
      <c r="AJ857" s="81">
        <f t="shared" si="5554"/>
        <v>0</v>
      </c>
      <c r="AK857" s="83">
        <f t="shared" si="5555"/>
        <v>0</v>
      </c>
      <c r="AL857" s="83">
        <f t="shared" si="5556"/>
        <v>0</v>
      </c>
      <c r="AN857" s="43">
        <f t="shared" si="5529"/>
        <v>0</v>
      </c>
      <c r="AP857" t="str">
        <f t="shared" si="5557"/>
        <v/>
      </c>
      <c r="AQ857" t="str">
        <f t="shared" si="5558"/>
        <v/>
      </c>
      <c r="AR857" t="str">
        <f t="shared" si="5559"/>
        <v/>
      </c>
      <c r="AS857" t="str">
        <f t="shared" si="5560"/>
        <v/>
      </c>
      <c r="AT857" t="str">
        <f t="shared" si="5561"/>
        <v/>
      </c>
      <c r="AU857" t="str">
        <f t="shared" si="5562"/>
        <v/>
      </c>
      <c r="AV857" t="str">
        <f t="shared" si="5563"/>
        <v/>
      </c>
      <c r="AW857" t="str">
        <f t="shared" si="5564"/>
        <v xml:space="preserve">                              </v>
      </c>
      <c r="AX857" s="23">
        <f t="shared" si="5565"/>
        <v>0</v>
      </c>
      <c r="AY857" s="49" t="str">
        <f t="shared" si="5541"/>
        <v>000000000000000</v>
      </c>
      <c r="AZ857" s="23">
        <f t="shared" si="5566"/>
        <v>0</v>
      </c>
      <c r="BA857" s="49" t="str">
        <f t="shared" si="5541"/>
        <v>000000000000000</v>
      </c>
      <c r="BB857" s="23">
        <f t="shared" si="5567"/>
        <v>0</v>
      </c>
      <c r="BC857" s="49" t="str">
        <f t="shared" ref="BC857" si="5652">IF(BB857&lt;0,SUBSTITUTE(TEXT(BB857,"000000000000,00"),",",""),SUBSTITUTE(TEXT(BB857,"0000000000000,00"),",",""))</f>
        <v>000000000000000</v>
      </c>
      <c r="BD857" s="23">
        <f t="shared" si="5569"/>
        <v>0</v>
      </c>
      <c r="BE857" s="49" t="str">
        <f t="shared" ref="BE857" si="5653">IF(BD857&lt;0,SUBSTITUTE(TEXT(BD857,"000000000000,00"),",",""),SUBSTITUTE(TEXT(BD857,"0000000000000,00"),",",""))</f>
        <v>000000000000000</v>
      </c>
      <c r="BF857" s="23">
        <f t="shared" si="5571"/>
        <v>0</v>
      </c>
      <c r="BG857" s="49" t="str">
        <f t="shared" ref="BG857" si="5654">IF(BF857&lt;0,SUBSTITUTE(TEXT(BF857,"000000000000,00"),",",""),SUBSTITUTE(TEXT(BF857,"0000000000000,00"),",",""))</f>
        <v>000000000000000</v>
      </c>
      <c r="BH857" s="23">
        <f t="shared" si="5573"/>
        <v>0</v>
      </c>
      <c r="BI857" s="49" t="str">
        <f t="shared" ref="BI857" si="5655">IF(BH857&lt;0,SUBSTITUTE(TEXT(BH857,"000000000000,00"),",",""),SUBSTITUTE(TEXT(BH857,"0000000000000,00"),",",""))</f>
        <v>000000000000000</v>
      </c>
      <c r="BJ857" s="23">
        <f t="shared" si="5575"/>
        <v>0</v>
      </c>
      <c r="BK857" s="49" t="str">
        <f t="shared" ref="BK857" si="5656">IF(BJ857&lt;0,SUBSTITUTE(TEXT(BJ857,"000000000000,00"),",",""),SUBSTITUTE(TEXT(BJ857,"0000000000000,00"),",",""))</f>
        <v>000000000000000</v>
      </c>
      <c r="BL857" s="23">
        <f t="shared" si="5577"/>
        <v>0</v>
      </c>
      <c r="BM857" s="49" t="str">
        <f t="shared" ref="BM857" si="5657">IF(BL857&lt;0,SUBSTITUTE(TEXT(BL857,"000000000000,00"),",",""),SUBSTITUTE(TEXT(BL857,"0000000000000,00"),",",""))</f>
        <v>000000000000000</v>
      </c>
      <c r="BN857" t="str">
        <f t="shared" si="5579"/>
        <v>PES</v>
      </c>
      <c r="BO857" t="str">
        <f t="shared" si="5580"/>
        <v>0001000000</v>
      </c>
      <c r="BP857">
        <f t="shared" si="5581"/>
        <v>0</v>
      </c>
      <c r="BQ857">
        <f t="shared" si="5582"/>
        <v>0</v>
      </c>
      <c r="BR857" s="23">
        <f t="shared" si="5583"/>
        <v>0</v>
      </c>
      <c r="BS857" s="49" t="str">
        <f t="shared" si="5548"/>
        <v>000000000000000</v>
      </c>
      <c r="BT857" t="str">
        <f t="shared" si="5584"/>
        <v>00000000</v>
      </c>
      <c r="BU857" s="23">
        <f t="shared" si="5585"/>
        <v>0</v>
      </c>
      <c r="BV857" s="49" t="str">
        <f t="shared" si="5549"/>
        <v/>
      </c>
      <c r="BW857" s="52" t="str">
        <f t="shared" si="5586"/>
        <v/>
      </c>
      <c r="BX857" s="23">
        <f t="shared" si="5587"/>
        <v>0</v>
      </c>
      <c r="BY857" s="49" t="str">
        <f t="shared" si="5550"/>
        <v/>
      </c>
      <c r="BZ857" s="23">
        <f t="shared" si="5588"/>
        <v>0</v>
      </c>
      <c r="CA857" s="49" t="str">
        <f t="shared" si="5551"/>
        <v/>
      </c>
      <c r="CB857" s="52" t="str">
        <f t="shared" si="5589"/>
        <v/>
      </c>
      <c r="CC857" s="23">
        <f t="shared" si="5590"/>
        <v>0</v>
      </c>
      <c r="CD857" s="49" t="str">
        <f t="shared" si="5552"/>
        <v/>
      </c>
      <c r="CE857" s="56" t="str">
        <f>IF(CF857="","",MAX(CE$10:$CE856)+1)</f>
        <v/>
      </c>
      <c r="CF857" t="str">
        <f t="shared" si="5591"/>
        <v/>
      </c>
      <c r="CG857" s="22" t="str">
        <f>IF(CH857="","",MAX($CG$10:CG856)+1)</f>
        <v/>
      </c>
      <c r="CH857" s="22" t="str">
        <f t="shared" si="5536"/>
        <v/>
      </c>
      <c r="CI857" s="22" t="str">
        <f>IF(CJ857="","",MAX($CI$10:CI856)+1)</f>
        <v/>
      </c>
      <c r="CJ857" s="22" t="str">
        <f t="shared" si="5537"/>
        <v/>
      </c>
    </row>
    <row r="858" spans="2:88" x14ac:dyDescent="0.25">
      <c r="B858" s="37"/>
      <c r="C858" s="3"/>
      <c r="D858" s="77" t="str">
        <f t="shared" si="5523"/>
        <v/>
      </c>
      <c r="E858" s="38"/>
      <c r="F858" s="38"/>
      <c r="G858" s="78">
        <f t="shared" si="5538"/>
        <v>0</v>
      </c>
      <c r="H858" s="3">
        <v>80</v>
      </c>
      <c r="I858" s="77" t="str">
        <f t="shared" si="5524"/>
        <v/>
      </c>
      <c r="J858" s="32"/>
      <c r="K858" s="3"/>
      <c r="L858" s="39"/>
      <c r="M858" s="39"/>
      <c r="N858" s="39"/>
      <c r="O858" s="39"/>
      <c r="P858" s="39"/>
      <c r="Q858" s="39"/>
      <c r="R858" s="39"/>
      <c r="S858" s="39"/>
      <c r="T858" s="3" t="s">
        <v>645</v>
      </c>
      <c r="U858" s="77" t="str">
        <f t="shared" si="5525"/>
        <v/>
      </c>
      <c r="V858" s="39">
        <v>1</v>
      </c>
      <c r="W858" s="79">
        <f t="shared" si="5539"/>
        <v>0</v>
      </c>
      <c r="X858" s="3">
        <v>0</v>
      </c>
      <c r="Y858" s="77" t="str">
        <f t="shared" si="5526"/>
        <v/>
      </c>
      <c r="Z858" s="3"/>
      <c r="AA858" s="37" t="str">
        <f t="shared" si="5540"/>
        <v/>
      </c>
      <c r="AC858" s="40"/>
      <c r="AD858" s="7"/>
      <c r="AE858" s="77" t="str">
        <f t="shared" si="5527"/>
        <v/>
      </c>
      <c r="AF858" s="81">
        <f t="shared" si="5553"/>
        <v>0</v>
      </c>
      <c r="AG858" s="40"/>
      <c r="AH858" s="7"/>
      <c r="AI858" s="77" t="str">
        <f t="shared" si="5528"/>
        <v/>
      </c>
      <c r="AJ858" s="81">
        <f t="shared" si="5554"/>
        <v>0</v>
      </c>
      <c r="AK858" s="83">
        <f t="shared" si="5555"/>
        <v>0</v>
      </c>
      <c r="AL858" s="83">
        <f t="shared" si="5556"/>
        <v>0</v>
      </c>
      <c r="AN858" s="43">
        <f t="shared" si="5529"/>
        <v>0</v>
      </c>
      <c r="AP858" t="str">
        <f t="shared" si="5557"/>
        <v/>
      </c>
      <c r="AQ858" t="str">
        <f t="shared" si="5558"/>
        <v/>
      </c>
      <c r="AR858" t="str">
        <f t="shared" si="5559"/>
        <v/>
      </c>
      <c r="AS858" t="str">
        <f t="shared" si="5560"/>
        <v/>
      </c>
      <c r="AT858" t="str">
        <f t="shared" si="5561"/>
        <v/>
      </c>
      <c r="AU858" t="str">
        <f t="shared" si="5562"/>
        <v/>
      </c>
      <c r="AV858" t="str">
        <f t="shared" si="5563"/>
        <v/>
      </c>
      <c r="AW858" t="str">
        <f t="shared" si="5564"/>
        <v xml:space="preserve">                              </v>
      </c>
      <c r="AX858" s="23">
        <f t="shared" si="5565"/>
        <v>0</v>
      </c>
      <c r="AY858" s="49" t="str">
        <f t="shared" si="5541"/>
        <v>000000000000000</v>
      </c>
      <c r="AZ858" s="23">
        <f t="shared" si="5566"/>
        <v>0</v>
      </c>
      <c r="BA858" s="49" t="str">
        <f t="shared" si="5541"/>
        <v>000000000000000</v>
      </c>
      <c r="BB858" s="23">
        <f t="shared" si="5567"/>
        <v>0</v>
      </c>
      <c r="BC858" s="49" t="str">
        <f t="shared" ref="BC858" si="5658">IF(BB858&lt;0,SUBSTITUTE(TEXT(BB858,"000000000000,00"),",",""),SUBSTITUTE(TEXT(BB858,"0000000000000,00"),",",""))</f>
        <v>000000000000000</v>
      </c>
      <c r="BD858" s="23">
        <f t="shared" si="5569"/>
        <v>0</v>
      </c>
      <c r="BE858" s="49" t="str">
        <f t="shared" ref="BE858" si="5659">IF(BD858&lt;0,SUBSTITUTE(TEXT(BD858,"000000000000,00"),",",""),SUBSTITUTE(TEXT(BD858,"0000000000000,00"),",",""))</f>
        <v>000000000000000</v>
      </c>
      <c r="BF858" s="23">
        <f t="shared" si="5571"/>
        <v>0</v>
      </c>
      <c r="BG858" s="49" t="str">
        <f t="shared" ref="BG858" si="5660">IF(BF858&lt;0,SUBSTITUTE(TEXT(BF858,"000000000000,00"),",",""),SUBSTITUTE(TEXT(BF858,"0000000000000,00"),",",""))</f>
        <v>000000000000000</v>
      </c>
      <c r="BH858" s="23">
        <f t="shared" si="5573"/>
        <v>0</v>
      </c>
      <c r="BI858" s="49" t="str">
        <f t="shared" ref="BI858" si="5661">IF(BH858&lt;0,SUBSTITUTE(TEXT(BH858,"000000000000,00"),",",""),SUBSTITUTE(TEXT(BH858,"0000000000000,00"),",",""))</f>
        <v>000000000000000</v>
      </c>
      <c r="BJ858" s="23">
        <f t="shared" si="5575"/>
        <v>0</v>
      </c>
      <c r="BK858" s="49" t="str">
        <f t="shared" ref="BK858" si="5662">IF(BJ858&lt;0,SUBSTITUTE(TEXT(BJ858,"000000000000,00"),",",""),SUBSTITUTE(TEXT(BJ858,"0000000000000,00"),",",""))</f>
        <v>000000000000000</v>
      </c>
      <c r="BL858" s="23">
        <f t="shared" si="5577"/>
        <v>0</v>
      </c>
      <c r="BM858" s="49" t="str">
        <f t="shared" ref="BM858" si="5663">IF(BL858&lt;0,SUBSTITUTE(TEXT(BL858,"000000000000,00"),",",""),SUBSTITUTE(TEXT(BL858,"0000000000000,00"),",",""))</f>
        <v>000000000000000</v>
      </c>
      <c r="BN858" t="str">
        <f t="shared" si="5579"/>
        <v>PES</v>
      </c>
      <c r="BO858" t="str">
        <f t="shared" si="5580"/>
        <v>0001000000</v>
      </c>
      <c r="BP858">
        <f t="shared" si="5581"/>
        <v>0</v>
      </c>
      <c r="BQ858">
        <f t="shared" si="5582"/>
        <v>0</v>
      </c>
      <c r="BR858" s="23">
        <f t="shared" si="5583"/>
        <v>0</v>
      </c>
      <c r="BS858" s="49" t="str">
        <f t="shared" si="5548"/>
        <v>000000000000000</v>
      </c>
      <c r="BT858" t="str">
        <f t="shared" si="5584"/>
        <v>00000000</v>
      </c>
      <c r="BU858" s="23">
        <f t="shared" si="5585"/>
        <v>0</v>
      </c>
      <c r="BV858" s="49" t="str">
        <f t="shared" si="5549"/>
        <v/>
      </c>
      <c r="BW858" s="52" t="str">
        <f t="shared" si="5586"/>
        <v/>
      </c>
      <c r="BX858" s="23">
        <f t="shared" si="5587"/>
        <v>0</v>
      </c>
      <c r="BY858" s="49" t="str">
        <f t="shared" si="5550"/>
        <v/>
      </c>
      <c r="BZ858" s="23">
        <f t="shared" si="5588"/>
        <v>0</v>
      </c>
      <c r="CA858" s="49" t="str">
        <f t="shared" si="5551"/>
        <v/>
      </c>
      <c r="CB858" s="52" t="str">
        <f t="shared" si="5589"/>
        <v/>
      </c>
      <c r="CC858" s="23">
        <f t="shared" si="5590"/>
        <v>0</v>
      </c>
      <c r="CD858" s="49" t="str">
        <f t="shared" si="5552"/>
        <v/>
      </c>
      <c r="CE858" s="56" t="str">
        <f>IF(CF858="","",MAX(CE$10:$CE857)+1)</f>
        <v/>
      </c>
      <c r="CF858" t="str">
        <f t="shared" si="5591"/>
        <v/>
      </c>
      <c r="CG858" s="22" t="str">
        <f>IF(CH858="","",MAX($CG$10:CG857)+1)</f>
        <v/>
      </c>
      <c r="CH858" s="22" t="str">
        <f t="shared" si="5536"/>
        <v/>
      </c>
      <c r="CI858" s="22" t="str">
        <f>IF(CJ858="","",MAX($CI$10:CI857)+1)</f>
        <v/>
      </c>
      <c r="CJ858" s="22" t="str">
        <f t="shared" si="5537"/>
        <v/>
      </c>
    </row>
    <row r="859" spans="2:88" x14ac:dyDescent="0.25">
      <c r="B859" s="37"/>
      <c r="C859" s="3"/>
      <c r="D859" s="77" t="str">
        <f t="shared" si="5523"/>
        <v/>
      </c>
      <c r="E859" s="38"/>
      <c r="F859" s="38"/>
      <c r="G859" s="78">
        <f t="shared" si="5538"/>
        <v>0</v>
      </c>
      <c r="H859" s="3">
        <v>80</v>
      </c>
      <c r="I859" s="77" t="str">
        <f t="shared" si="5524"/>
        <v/>
      </c>
      <c r="J859" s="32"/>
      <c r="K859" s="3"/>
      <c r="L859" s="39"/>
      <c r="M859" s="39"/>
      <c r="N859" s="39"/>
      <c r="O859" s="39"/>
      <c r="P859" s="39"/>
      <c r="Q859" s="39"/>
      <c r="R859" s="39"/>
      <c r="S859" s="39"/>
      <c r="T859" s="3" t="s">
        <v>645</v>
      </c>
      <c r="U859" s="77" t="str">
        <f t="shared" si="5525"/>
        <v/>
      </c>
      <c r="V859" s="39">
        <v>1</v>
      </c>
      <c r="W859" s="79">
        <f t="shared" si="5539"/>
        <v>0</v>
      </c>
      <c r="X859" s="3">
        <v>0</v>
      </c>
      <c r="Y859" s="77" t="str">
        <f t="shared" si="5526"/>
        <v/>
      </c>
      <c r="Z859" s="3"/>
      <c r="AA859" s="37" t="str">
        <f t="shared" si="5540"/>
        <v/>
      </c>
      <c r="AC859" s="40"/>
      <c r="AD859" s="7"/>
      <c r="AE859" s="77" t="str">
        <f t="shared" si="5527"/>
        <v/>
      </c>
      <c r="AF859" s="81">
        <f t="shared" si="5553"/>
        <v>0</v>
      </c>
      <c r="AG859" s="40"/>
      <c r="AH859" s="7"/>
      <c r="AI859" s="77" t="str">
        <f t="shared" si="5528"/>
        <v/>
      </c>
      <c r="AJ859" s="81">
        <f t="shared" si="5554"/>
        <v>0</v>
      </c>
      <c r="AK859" s="83">
        <f t="shared" si="5555"/>
        <v>0</v>
      </c>
      <c r="AL859" s="83">
        <f t="shared" si="5556"/>
        <v>0</v>
      </c>
      <c r="AN859" s="43">
        <f t="shared" si="5529"/>
        <v>0</v>
      </c>
      <c r="AP859" t="str">
        <f t="shared" si="5557"/>
        <v/>
      </c>
      <c r="AQ859" t="str">
        <f t="shared" si="5558"/>
        <v/>
      </c>
      <c r="AR859" t="str">
        <f t="shared" si="5559"/>
        <v/>
      </c>
      <c r="AS859" t="str">
        <f t="shared" si="5560"/>
        <v/>
      </c>
      <c r="AT859" t="str">
        <f t="shared" si="5561"/>
        <v/>
      </c>
      <c r="AU859" t="str">
        <f t="shared" si="5562"/>
        <v/>
      </c>
      <c r="AV859" t="str">
        <f t="shared" si="5563"/>
        <v/>
      </c>
      <c r="AW859" t="str">
        <f t="shared" si="5564"/>
        <v xml:space="preserve">                              </v>
      </c>
      <c r="AX859" s="23">
        <f t="shared" si="5565"/>
        <v>0</v>
      </c>
      <c r="AY859" s="49" t="str">
        <f t="shared" si="5541"/>
        <v>000000000000000</v>
      </c>
      <c r="AZ859" s="23">
        <f t="shared" si="5566"/>
        <v>0</v>
      </c>
      <c r="BA859" s="49" t="str">
        <f t="shared" si="5541"/>
        <v>000000000000000</v>
      </c>
      <c r="BB859" s="23">
        <f t="shared" si="5567"/>
        <v>0</v>
      </c>
      <c r="BC859" s="49" t="str">
        <f t="shared" ref="BC859" si="5664">IF(BB859&lt;0,SUBSTITUTE(TEXT(BB859,"000000000000,00"),",",""),SUBSTITUTE(TEXT(BB859,"0000000000000,00"),",",""))</f>
        <v>000000000000000</v>
      </c>
      <c r="BD859" s="23">
        <f t="shared" si="5569"/>
        <v>0</v>
      </c>
      <c r="BE859" s="49" t="str">
        <f t="shared" ref="BE859" si="5665">IF(BD859&lt;0,SUBSTITUTE(TEXT(BD859,"000000000000,00"),",",""),SUBSTITUTE(TEXT(BD859,"0000000000000,00"),",",""))</f>
        <v>000000000000000</v>
      </c>
      <c r="BF859" s="23">
        <f t="shared" si="5571"/>
        <v>0</v>
      </c>
      <c r="BG859" s="49" t="str">
        <f t="shared" ref="BG859" si="5666">IF(BF859&lt;0,SUBSTITUTE(TEXT(BF859,"000000000000,00"),",",""),SUBSTITUTE(TEXT(BF859,"0000000000000,00"),",",""))</f>
        <v>000000000000000</v>
      </c>
      <c r="BH859" s="23">
        <f t="shared" si="5573"/>
        <v>0</v>
      </c>
      <c r="BI859" s="49" t="str">
        <f t="shared" ref="BI859" si="5667">IF(BH859&lt;0,SUBSTITUTE(TEXT(BH859,"000000000000,00"),",",""),SUBSTITUTE(TEXT(BH859,"0000000000000,00"),",",""))</f>
        <v>000000000000000</v>
      </c>
      <c r="BJ859" s="23">
        <f t="shared" si="5575"/>
        <v>0</v>
      </c>
      <c r="BK859" s="49" t="str">
        <f t="shared" ref="BK859" si="5668">IF(BJ859&lt;0,SUBSTITUTE(TEXT(BJ859,"000000000000,00"),",",""),SUBSTITUTE(TEXT(BJ859,"0000000000000,00"),",",""))</f>
        <v>000000000000000</v>
      </c>
      <c r="BL859" s="23">
        <f t="shared" si="5577"/>
        <v>0</v>
      </c>
      <c r="BM859" s="49" t="str">
        <f t="shared" ref="BM859" si="5669">IF(BL859&lt;0,SUBSTITUTE(TEXT(BL859,"000000000000,00"),",",""),SUBSTITUTE(TEXT(BL859,"0000000000000,00"),",",""))</f>
        <v>000000000000000</v>
      </c>
      <c r="BN859" t="str">
        <f t="shared" si="5579"/>
        <v>PES</v>
      </c>
      <c r="BO859" t="str">
        <f t="shared" si="5580"/>
        <v>0001000000</v>
      </c>
      <c r="BP859">
        <f t="shared" si="5581"/>
        <v>0</v>
      </c>
      <c r="BQ859">
        <f t="shared" si="5582"/>
        <v>0</v>
      </c>
      <c r="BR859" s="23">
        <f t="shared" si="5583"/>
        <v>0</v>
      </c>
      <c r="BS859" s="49" t="str">
        <f t="shared" si="5548"/>
        <v>000000000000000</v>
      </c>
      <c r="BT859" t="str">
        <f t="shared" si="5584"/>
        <v>00000000</v>
      </c>
      <c r="BU859" s="23">
        <f t="shared" si="5585"/>
        <v>0</v>
      </c>
      <c r="BV859" s="49" t="str">
        <f t="shared" si="5549"/>
        <v/>
      </c>
      <c r="BW859" s="52" t="str">
        <f t="shared" si="5586"/>
        <v/>
      </c>
      <c r="BX859" s="23">
        <f t="shared" si="5587"/>
        <v>0</v>
      </c>
      <c r="BY859" s="49" t="str">
        <f t="shared" si="5550"/>
        <v/>
      </c>
      <c r="BZ859" s="23">
        <f t="shared" si="5588"/>
        <v>0</v>
      </c>
      <c r="CA859" s="49" t="str">
        <f t="shared" si="5551"/>
        <v/>
      </c>
      <c r="CB859" s="52" t="str">
        <f t="shared" si="5589"/>
        <v/>
      </c>
      <c r="CC859" s="23">
        <f t="shared" si="5590"/>
        <v>0</v>
      </c>
      <c r="CD859" s="49" t="str">
        <f t="shared" si="5552"/>
        <v/>
      </c>
      <c r="CE859" s="56" t="str">
        <f>IF(CF859="","",MAX(CE$10:$CE858)+1)</f>
        <v/>
      </c>
      <c r="CF859" t="str">
        <f t="shared" si="5591"/>
        <v/>
      </c>
      <c r="CG859" s="22" t="str">
        <f>IF(CH859="","",MAX($CG$10:CG858)+1)</f>
        <v/>
      </c>
      <c r="CH859" s="22" t="str">
        <f t="shared" si="5536"/>
        <v/>
      </c>
      <c r="CI859" s="22" t="str">
        <f>IF(CJ859="","",MAX($CI$10:CI858)+1)</f>
        <v/>
      </c>
      <c r="CJ859" s="22" t="str">
        <f t="shared" si="5537"/>
        <v/>
      </c>
    </row>
    <row r="860" spans="2:88" x14ac:dyDescent="0.25">
      <c r="B860" s="37"/>
      <c r="C860" s="3"/>
      <c r="D860" s="77" t="str">
        <f t="shared" si="5523"/>
        <v/>
      </c>
      <c r="E860" s="38"/>
      <c r="F860" s="38"/>
      <c r="G860" s="78">
        <f t="shared" si="5538"/>
        <v>0</v>
      </c>
      <c r="H860" s="3">
        <v>80</v>
      </c>
      <c r="I860" s="77" t="str">
        <f t="shared" si="5524"/>
        <v/>
      </c>
      <c r="J860" s="32"/>
      <c r="K860" s="3"/>
      <c r="L860" s="39"/>
      <c r="M860" s="39"/>
      <c r="N860" s="39"/>
      <c r="O860" s="39"/>
      <c r="P860" s="39"/>
      <c r="Q860" s="39"/>
      <c r="R860" s="39"/>
      <c r="S860" s="39"/>
      <c r="T860" s="3" t="s">
        <v>645</v>
      </c>
      <c r="U860" s="77" t="str">
        <f t="shared" si="5525"/>
        <v/>
      </c>
      <c r="V860" s="39">
        <v>1</v>
      </c>
      <c r="W860" s="79">
        <f t="shared" si="5539"/>
        <v>0</v>
      </c>
      <c r="X860" s="3">
        <v>0</v>
      </c>
      <c r="Y860" s="77" t="str">
        <f t="shared" si="5526"/>
        <v/>
      </c>
      <c r="Z860" s="3"/>
      <c r="AA860" s="37" t="str">
        <f t="shared" si="5540"/>
        <v/>
      </c>
      <c r="AC860" s="40"/>
      <c r="AD860" s="7"/>
      <c r="AE860" s="77" t="str">
        <f t="shared" si="5527"/>
        <v/>
      </c>
      <c r="AF860" s="81">
        <f t="shared" si="5553"/>
        <v>0</v>
      </c>
      <c r="AG860" s="40"/>
      <c r="AH860" s="7"/>
      <c r="AI860" s="77" t="str">
        <f t="shared" si="5528"/>
        <v/>
      </c>
      <c r="AJ860" s="81">
        <f t="shared" si="5554"/>
        <v>0</v>
      </c>
      <c r="AK860" s="83">
        <f t="shared" si="5555"/>
        <v>0</v>
      </c>
      <c r="AL860" s="83">
        <f t="shared" si="5556"/>
        <v>0</v>
      </c>
      <c r="AN860" s="43">
        <f t="shared" si="5529"/>
        <v>0</v>
      </c>
      <c r="AP860" t="str">
        <f t="shared" si="5557"/>
        <v/>
      </c>
      <c r="AQ860" t="str">
        <f t="shared" si="5558"/>
        <v/>
      </c>
      <c r="AR860" t="str">
        <f t="shared" si="5559"/>
        <v/>
      </c>
      <c r="AS860" t="str">
        <f t="shared" si="5560"/>
        <v/>
      </c>
      <c r="AT860" t="str">
        <f t="shared" si="5561"/>
        <v/>
      </c>
      <c r="AU860" t="str">
        <f t="shared" si="5562"/>
        <v/>
      </c>
      <c r="AV860" t="str">
        <f t="shared" si="5563"/>
        <v/>
      </c>
      <c r="AW860" t="str">
        <f t="shared" si="5564"/>
        <v xml:space="preserve">                              </v>
      </c>
      <c r="AX860" s="23">
        <f t="shared" si="5565"/>
        <v>0</v>
      </c>
      <c r="AY860" s="49" t="str">
        <f t="shared" si="5541"/>
        <v>000000000000000</v>
      </c>
      <c r="AZ860" s="23">
        <f t="shared" si="5566"/>
        <v>0</v>
      </c>
      <c r="BA860" s="49" t="str">
        <f t="shared" si="5541"/>
        <v>000000000000000</v>
      </c>
      <c r="BB860" s="23">
        <f t="shared" si="5567"/>
        <v>0</v>
      </c>
      <c r="BC860" s="49" t="str">
        <f t="shared" ref="BC860" si="5670">IF(BB860&lt;0,SUBSTITUTE(TEXT(BB860,"000000000000,00"),",",""),SUBSTITUTE(TEXT(BB860,"0000000000000,00"),",",""))</f>
        <v>000000000000000</v>
      </c>
      <c r="BD860" s="23">
        <f t="shared" si="5569"/>
        <v>0</v>
      </c>
      <c r="BE860" s="49" t="str">
        <f t="shared" ref="BE860" si="5671">IF(BD860&lt;0,SUBSTITUTE(TEXT(BD860,"000000000000,00"),",",""),SUBSTITUTE(TEXT(BD860,"0000000000000,00"),",",""))</f>
        <v>000000000000000</v>
      </c>
      <c r="BF860" s="23">
        <f t="shared" si="5571"/>
        <v>0</v>
      </c>
      <c r="BG860" s="49" t="str">
        <f t="shared" ref="BG860" si="5672">IF(BF860&lt;0,SUBSTITUTE(TEXT(BF860,"000000000000,00"),",",""),SUBSTITUTE(TEXT(BF860,"0000000000000,00"),",",""))</f>
        <v>000000000000000</v>
      </c>
      <c r="BH860" s="23">
        <f t="shared" si="5573"/>
        <v>0</v>
      </c>
      <c r="BI860" s="49" t="str">
        <f t="shared" ref="BI860" si="5673">IF(BH860&lt;0,SUBSTITUTE(TEXT(BH860,"000000000000,00"),",",""),SUBSTITUTE(TEXT(BH860,"0000000000000,00"),",",""))</f>
        <v>000000000000000</v>
      </c>
      <c r="BJ860" s="23">
        <f t="shared" si="5575"/>
        <v>0</v>
      </c>
      <c r="BK860" s="49" t="str">
        <f t="shared" ref="BK860" si="5674">IF(BJ860&lt;0,SUBSTITUTE(TEXT(BJ860,"000000000000,00"),",",""),SUBSTITUTE(TEXT(BJ860,"0000000000000,00"),",",""))</f>
        <v>000000000000000</v>
      </c>
      <c r="BL860" s="23">
        <f t="shared" si="5577"/>
        <v>0</v>
      </c>
      <c r="BM860" s="49" t="str">
        <f t="shared" ref="BM860" si="5675">IF(BL860&lt;0,SUBSTITUTE(TEXT(BL860,"000000000000,00"),",",""),SUBSTITUTE(TEXT(BL860,"0000000000000,00"),",",""))</f>
        <v>000000000000000</v>
      </c>
      <c r="BN860" t="str">
        <f t="shared" si="5579"/>
        <v>PES</v>
      </c>
      <c r="BO860" t="str">
        <f t="shared" si="5580"/>
        <v>0001000000</v>
      </c>
      <c r="BP860">
        <f t="shared" si="5581"/>
        <v>0</v>
      </c>
      <c r="BQ860">
        <f t="shared" si="5582"/>
        <v>0</v>
      </c>
      <c r="BR860" s="23">
        <f t="shared" si="5583"/>
        <v>0</v>
      </c>
      <c r="BS860" s="49" t="str">
        <f t="shared" si="5548"/>
        <v>000000000000000</v>
      </c>
      <c r="BT860" t="str">
        <f t="shared" si="5584"/>
        <v>00000000</v>
      </c>
      <c r="BU860" s="23">
        <f t="shared" si="5585"/>
        <v>0</v>
      </c>
      <c r="BV860" s="49" t="str">
        <f t="shared" si="5549"/>
        <v/>
      </c>
      <c r="BW860" s="52" t="str">
        <f t="shared" si="5586"/>
        <v/>
      </c>
      <c r="BX860" s="23">
        <f t="shared" si="5587"/>
        <v>0</v>
      </c>
      <c r="BY860" s="49" t="str">
        <f t="shared" si="5550"/>
        <v/>
      </c>
      <c r="BZ860" s="23">
        <f t="shared" si="5588"/>
        <v>0</v>
      </c>
      <c r="CA860" s="49" t="str">
        <f t="shared" si="5551"/>
        <v/>
      </c>
      <c r="CB860" s="52" t="str">
        <f t="shared" si="5589"/>
        <v/>
      </c>
      <c r="CC860" s="23">
        <f t="shared" si="5590"/>
        <v>0</v>
      </c>
      <c r="CD860" s="49" t="str">
        <f t="shared" si="5552"/>
        <v/>
      </c>
      <c r="CE860" s="56" t="str">
        <f>IF(CF860="","",MAX(CE$10:$CE859)+1)</f>
        <v/>
      </c>
      <c r="CF860" t="str">
        <f t="shared" si="5591"/>
        <v/>
      </c>
      <c r="CG860" s="22" t="str">
        <f>IF(CH860="","",MAX($CG$10:CG859)+1)</f>
        <v/>
      </c>
      <c r="CH860" s="22" t="str">
        <f t="shared" si="5536"/>
        <v/>
      </c>
      <c r="CI860" s="22" t="str">
        <f>IF(CJ860="","",MAX($CI$10:CI859)+1)</f>
        <v/>
      </c>
      <c r="CJ860" s="22" t="str">
        <f t="shared" si="5537"/>
        <v/>
      </c>
    </row>
    <row r="861" spans="2:88" x14ac:dyDescent="0.25">
      <c r="B861" s="37"/>
      <c r="C861" s="3"/>
      <c r="D861" s="77" t="str">
        <f t="shared" si="5523"/>
        <v/>
      </c>
      <c r="E861" s="38"/>
      <c r="F861" s="38"/>
      <c r="G861" s="78">
        <f t="shared" si="5538"/>
        <v>0</v>
      </c>
      <c r="H861" s="3">
        <v>80</v>
      </c>
      <c r="I861" s="77" t="str">
        <f t="shared" si="5524"/>
        <v/>
      </c>
      <c r="J861" s="32"/>
      <c r="K861" s="3"/>
      <c r="L861" s="39"/>
      <c r="M861" s="39"/>
      <c r="N861" s="39"/>
      <c r="O861" s="39"/>
      <c r="P861" s="39"/>
      <c r="Q861" s="39"/>
      <c r="R861" s="39"/>
      <c r="S861" s="39"/>
      <c r="T861" s="3" t="s">
        <v>645</v>
      </c>
      <c r="U861" s="77" t="str">
        <f t="shared" si="5525"/>
        <v/>
      </c>
      <c r="V861" s="39">
        <v>1</v>
      </c>
      <c r="W861" s="79">
        <f t="shared" si="5539"/>
        <v>0</v>
      </c>
      <c r="X861" s="3">
        <v>0</v>
      </c>
      <c r="Y861" s="77" t="str">
        <f t="shared" si="5526"/>
        <v/>
      </c>
      <c r="Z861" s="3"/>
      <c r="AA861" s="37" t="str">
        <f t="shared" si="5540"/>
        <v/>
      </c>
      <c r="AC861" s="40"/>
      <c r="AD861" s="7"/>
      <c r="AE861" s="77" t="str">
        <f t="shared" si="5527"/>
        <v/>
      </c>
      <c r="AF861" s="81">
        <f t="shared" si="5553"/>
        <v>0</v>
      </c>
      <c r="AG861" s="40"/>
      <c r="AH861" s="7"/>
      <c r="AI861" s="77" t="str">
        <f t="shared" si="5528"/>
        <v/>
      </c>
      <c r="AJ861" s="81">
        <f t="shared" si="5554"/>
        <v>0</v>
      </c>
      <c r="AK861" s="83">
        <f t="shared" si="5555"/>
        <v>0</v>
      </c>
      <c r="AL861" s="83">
        <f t="shared" si="5556"/>
        <v>0</v>
      </c>
      <c r="AN861" s="43">
        <f t="shared" si="5529"/>
        <v>0</v>
      </c>
      <c r="AP861" t="str">
        <f t="shared" si="5557"/>
        <v/>
      </c>
      <c r="AQ861" t="str">
        <f t="shared" si="5558"/>
        <v/>
      </c>
      <c r="AR861" t="str">
        <f t="shared" si="5559"/>
        <v/>
      </c>
      <c r="AS861" t="str">
        <f t="shared" si="5560"/>
        <v/>
      </c>
      <c r="AT861" t="str">
        <f t="shared" si="5561"/>
        <v/>
      </c>
      <c r="AU861" t="str">
        <f t="shared" si="5562"/>
        <v/>
      </c>
      <c r="AV861" t="str">
        <f t="shared" si="5563"/>
        <v/>
      </c>
      <c r="AW861" t="str">
        <f t="shared" si="5564"/>
        <v xml:space="preserve">                              </v>
      </c>
      <c r="AX861" s="23">
        <f t="shared" si="5565"/>
        <v>0</v>
      </c>
      <c r="AY861" s="49" t="str">
        <f t="shared" si="5541"/>
        <v>000000000000000</v>
      </c>
      <c r="AZ861" s="23">
        <f t="shared" si="5566"/>
        <v>0</v>
      </c>
      <c r="BA861" s="49" t="str">
        <f t="shared" si="5541"/>
        <v>000000000000000</v>
      </c>
      <c r="BB861" s="23">
        <f t="shared" si="5567"/>
        <v>0</v>
      </c>
      <c r="BC861" s="49" t="str">
        <f t="shared" ref="BC861" si="5676">IF(BB861&lt;0,SUBSTITUTE(TEXT(BB861,"000000000000,00"),",",""),SUBSTITUTE(TEXT(BB861,"0000000000000,00"),",",""))</f>
        <v>000000000000000</v>
      </c>
      <c r="BD861" s="23">
        <f t="shared" si="5569"/>
        <v>0</v>
      </c>
      <c r="BE861" s="49" t="str">
        <f t="shared" ref="BE861" si="5677">IF(BD861&lt;0,SUBSTITUTE(TEXT(BD861,"000000000000,00"),",",""),SUBSTITUTE(TEXT(BD861,"0000000000000,00"),",",""))</f>
        <v>000000000000000</v>
      </c>
      <c r="BF861" s="23">
        <f t="shared" si="5571"/>
        <v>0</v>
      </c>
      <c r="BG861" s="49" t="str">
        <f t="shared" ref="BG861" si="5678">IF(BF861&lt;0,SUBSTITUTE(TEXT(BF861,"000000000000,00"),",",""),SUBSTITUTE(TEXT(BF861,"0000000000000,00"),",",""))</f>
        <v>000000000000000</v>
      </c>
      <c r="BH861" s="23">
        <f t="shared" si="5573"/>
        <v>0</v>
      </c>
      <c r="BI861" s="49" t="str">
        <f t="shared" ref="BI861" si="5679">IF(BH861&lt;0,SUBSTITUTE(TEXT(BH861,"000000000000,00"),",",""),SUBSTITUTE(TEXT(BH861,"0000000000000,00"),",",""))</f>
        <v>000000000000000</v>
      </c>
      <c r="BJ861" s="23">
        <f t="shared" si="5575"/>
        <v>0</v>
      </c>
      <c r="BK861" s="49" t="str">
        <f t="shared" ref="BK861" si="5680">IF(BJ861&lt;0,SUBSTITUTE(TEXT(BJ861,"000000000000,00"),",",""),SUBSTITUTE(TEXT(BJ861,"0000000000000,00"),",",""))</f>
        <v>000000000000000</v>
      </c>
      <c r="BL861" s="23">
        <f t="shared" si="5577"/>
        <v>0</v>
      </c>
      <c r="BM861" s="49" t="str">
        <f t="shared" ref="BM861" si="5681">IF(BL861&lt;0,SUBSTITUTE(TEXT(BL861,"000000000000,00"),",",""),SUBSTITUTE(TEXT(BL861,"0000000000000,00"),",",""))</f>
        <v>000000000000000</v>
      </c>
      <c r="BN861" t="str">
        <f t="shared" si="5579"/>
        <v>PES</v>
      </c>
      <c r="BO861" t="str">
        <f t="shared" si="5580"/>
        <v>0001000000</v>
      </c>
      <c r="BP861">
        <f t="shared" si="5581"/>
        <v>0</v>
      </c>
      <c r="BQ861">
        <f t="shared" si="5582"/>
        <v>0</v>
      </c>
      <c r="BR861" s="23">
        <f t="shared" si="5583"/>
        <v>0</v>
      </c>
      <c r="BS861" s="49" t="str">
        <f t="shared" si="5548"/>
        <v>000000000000000</v>
      </c>
      <c r="BT861" t="str">
        <f t="shared" si="5584"/>
        <v>00000000</v>
      </c>
      <c r="BU861" s="23">
        <f t="shared" si="5585"/>
        <v>0</v>
      </c>
      <c r="BV861" s="49" t="str">
        <f t="shared" si="5549"/>
        <v/>
      </c>
      <c r="BW861" s="52" t="str">
        <f t="shared" si="5586"/>
        <v/>
      </c>
      <c r="BX861" s="23">
        <f t="shared" si="5587"/>
        <v>0</v>
      </c>
      <c r="BY861" s="49" t="str">
        <f t="shared" si="5550"/>
        <v/>
      </c>
      <c r="BZ861" s="23">
        <f t="shared" si="5588"/>
        <v>0</v>
      </c>
      <c r="CA861" s="49" t="str">
        <f t="shared" si="5551"/>
        <v/>
      </c>
      <c r="CB861" s="52" t="str">
        <f t="shared" si="5589"/>
        <v/>
      </c>
      <c r="CC861" s="23">
        <f t="shared" si="5590"/>
        <v>0</v>
      </c>
      <c r="CD861" s="49" t="str">
        <f t="shared" si="5552"/>
        <v/>
      </c>
      <c r="CE861" s="56" t="str">
        <f>IF(CF861="","",MAX(CE$10:$CE860)+1)</f>
        <v/>
      </c>
      <c r="CF861" t="str">
        <f t="shared" si="5591"/>
        <v/>
      </c>
      <c r="CG861" s="22" t="str">
        <f>IF(CH861="","",MAX($CG$10:CG860)+1)</f>
        <v/>
      </c>
      <c r="CH861" s="22" t="str">
        <f t="shared" si="5536"/>
        <v/>
      </c>
      <c r="CI861" s="22" t="str">
        <f>IF(CJ861="","",MAX($CI$10:CI860)+1)</f>
        <v/>
      </c>
      <c r="CJ861" s="22" t="str">
        <f t="shared" si="5537"/>
        <v/>
      </c>
    </row>
    <row r="862" spans="2:88" x14ac:dyDescent="0.25">
      <c r="B862" s="37"/>
      <c r="C862" s="3"/>
      <c r="D862" s="77" t="str">
        <f t="shared" si="5523"/>
        <v/>
      </c>
      <c r="E862" s="38"/>
      <c r="F862" s="38"/>
      <c r="G862" s="78">
        <f t="shared" si="5538"/>
        <v>0</v>
      </c>
      <c r="H862" s="3">
        <v>80</v>
      </c>
      <c r="I862" s="77" t="str">
        <f t="shared" si="5524"/>
        <v/>
      </c>
      <c r="J862" s="32"/>
      <c r="K862" s="3"/>
      <c r="L862" s="39"/>
      <c r="M862" s="39"/>
      <c r="N862" s="39"/>
      <c r="O862" s="39"/>
      <c r="P862" s="39"/>
      <c r="Q862" s="39"/>
      <c r="R862" s="39"/>
      <c r="S862" s="39"/>
      <c r="T862" s="3" t="s">
        <v>645</v>
      </c>
      <c r="U862" s="77" t="str">
        <f t="shared" si="5525"/>
        <v/>
      </c>
      <c r="V862" s="39">
        <v>1</v>
      </c>
      <c r="W862" s="79">
        <f t="shared" si="5539"/>
        <v>0</v>
      </c>
      <c r="X862" s="3">
        <v>0</v>
      </c>
      <c r="Y862" s="77" t="str">
        <f t="shared" si="5526"/>
        <v/>
      </c>
      <c r="Z862" s="3"/>
      <c r="AA862" s="37" t="str">
        <f t="shared" si="5540"/>
        <v/>
      </c>
      <c r="AC862" s="40"/>
      <c r="AD862" s="7"/>
      <c r="AE862" s="77" t="str">
        <f t="shared" si="5527"/>
        <v/>
      </c>
      <c r="AF862" s="81">
        <f t="shared" si="5553"/>
        <v>0</v>
      </c>
      <c r="AG862" s="40"/>
      <c r="AH862" s="7"/>
      <c r="AI862" s="77" t="str">
        <f t="shared" si="5528"/>
        <v/>
      </c>
      <c r="AJ862" s="81">
        <f t="shared" si="5554"/>
        <v>0</v>
      </c>
      <c r="AK862" s="83">
        <f t="shared" si="5555"/>
        <v>0</v>
      </c>
      <c r="AL862" s="83">
        <f t="shared" si="5556"/>
        <v>0</v>
      </c>
      <c r="AN862" s="43">
        <f t="shared" si="5529"/>
        <v>0</v>
      </c>
      <c r="AP862" t="str">
        <f t="shared" si="5557"/>
        <v/>
      </c>
      <c r="AQ862" t="str">
        <f t="shared" si="5558"/>
        <v/>
      </c>
      <c r="AR862" t="str">
        <f t="shared" si="5559"/>
        <v/>
      </c>
      <c r="AS862" t="str">
        <f t="shared" si="5560"/>
        <v/>
      </c>
      <c r="AT862" t="str">
        <f t="shared" si="5561"/>
        <v/>
      </c>
      <c r="AU862" t="str">
        <f t="shared" si="5562"/>
        <v/>
      </c>
      <c r="AV862" t="str">
        <f t="shared" si="5563"/>
        <v/>
      </c>
      <c r="AW862" t="str">
        <f t="shared" si="5564"/>
        <v xml:space="preserve">                              </v>
      </c>
      <c r="AX862" s="23">
        <f t="shared" si="5565"/>
        <v>0</v>
      </c>
      <c r="AY862" s="49" t="str">
        <f t="shared" si="5541"/>
        <v>000000000000000</v>
      </c>
      <c r="AZ862" s="23">
        <f t="shared" si="5566"/>
        <v>0</v>
      </c>
      <c r="BA862" s="49" t="str">
        <f t="shared" si="5541"/>
        <v>000000000000000</v>
      </c>
      <c r="BB862" s="23">
        <f t="shared" si="5567"/>
        <v>0</v>
      </c>
      <c r="BC862" s="49" t="str">
        <f t="shared" ref="BC862" si="5682">IF(BB862&lt;0,SUBSTITUTE(TEXT(BB862,"000000000000,00"),",",""),SUBSTITUTE(TEXT(BB862,"0000000000000,00"),",",""))</f>
        <v>000000000000000</v>
      </c>
      <c r="BD862" s="23">
        <f t="shared" si="5569"/>
        <v>0</v>
      </c>
      <c r="BE862" s="49" t="str">
        <f t="shared" ref="BE862" si="5683">IF(BD862&lt;0,SUBSTITUTE(TEXT(BD862,"000000000000,00"),",",""),SUBSTITUTE(TEXT(BD862,"0000000000000,00"),",",""))</f>
        <v>000000000000000</v>
      </c>
      <c r="BF862" s="23">
        <f t="shared" si="5571"/>
        <v>0</v>
      </c>
      <c r="BG862" s="49" t="str">
        <f t="shared" ref="BG862" si="5684">IF(BF862&lt;0,SUBSTITUTE(TEXT(BF862,"000000000000,00"),",",""),SUBSTITUTE(TEXT(BF862,"0000000000000,00"),",",""))</f>
        <v>000000000000000</v>
      </c>
      <c r="BH862" s="23">
        <f t="shared" si="5573"/>
        <v>0</v>
      </c>
      <c r="BI862" s="49" t="str">
        <f t="shared" ref="BI862" si="5685">IF(BH862&lt;0,SUBSTITUTE(TEXT(BH862,"000000000000,00"),",",""),SUBSTITUTE(TEXT(BH862,"0000000000000,00"),",",""))</f>
        <v>000000000000000</v>
      </c>
      <c r="BJ862" s="23">
        <f t="shared" si="5575"/>
        <v>0</v>
      </c>
      <c r="BK862" s="49" t="str">
        <f t="shared" ref="BK862" si="5686">IF(BJ862&lt;0,SUBSTITUTE(TEXT(BJ862,"000000000000,00"),",",""),SUBSTITUTE(TEXT(BJ862,"0000000000000,00"),",",""))</f>
        <v>000000000000000</v>
      </c>
      <c r="BL862" s="23">
        <f t="shared" si="5577"/>
        <v>0</v>
      </c>
      <c r="BM862" s="49" t="str">
        <f t="shared" ref="BM862" si="5687">IF(BL862&lt;0,SUBSTITUTE(TEXT(BL862,"000000000000,00"),",",""),SUBSTITUTE(TEXT(BL862,"0000000000000,00"),",",""))</f>
        <v>000000000000000</v>
      </c>
      <c r="BN862" t="str">
        <f t="shared" si="5579"/>
        <v>PES</v>
      </c>
      <c r="BO862" t="str">
        <f t="shared" si="5580"/>
        <v>0001000000</v>
      </c>
      <c r="BP862">
        <f t="shared" si="5581"/>
        <v>0</v>
      </c>
      <c r="BQ862">
        <f t="shared" si="5582"/>
        <v>0</v>
      </c>
      <c r="BR862" s="23">
        <f t="shared" si="5583"/>
        <v>0</v>
      </c>
      <c r="BS862" s="49" t="str">
        <f t="shared" si="5548"/>
        <v>000000000000000</v>
      </c>
      <c r="BT862" t="str">
        <f t="shared" si="5584"/>
        <v>00000000</v>
      </c>
      <c r="BU862" s="23">
        <f t="shared" si="5585"/>
        <v>0</v>
      </c>
      <c r="BV862" s="49" t="str">
        <f t="shared" si="5549"/>
        <v/>
      </c>
      <c r="BW862" s="52" t="str">
        <f t="shared" si="5586"/>
        <v/>
      </c>
      <c r="BX862" s="23">
        <f t="shared" si="5587"/>
        <v>0</v>
      </c>
      <c r="BY862" s="49" t="str">
        <f t="shared" si="5550"/>
        <v/>
      </c>
      <c r="BZ862" s="23">
        <f t="shared" si="5588"/>
        <v>0</v>
      </c>
      <c r="CA862" s="49" t="str">
        <f t="shared" si="5551"/>
        <v/>
      </c>
      <c r="CB862" s="52" t="str">
        <f t="shared" si="5589"/>
        <v/>
      </c>
      <c r="CC862" s="23">
        <f t="shared" si="5590"/>
        <v>0</v>
      </c>
      <c r="CD862" s="49" t="str">
        <f t="shared" si="5552"/>
        <v/>
      </c>
      <c r="CE862" s="56" t="str">
        <f>IF(CF862="","",MAX(CE$10:$CE861)+1)</f>
        <v/>
      </c>
      <c r="CF862" t="str">
        <f t="shared" si="5591"/>
        <v/>
      </c>
      <c r="CG862" s="22" t="str">
        <f>IF(CH862="","",MAX($CG$10:CG861)+1)</f>
        <v/>
      </c>
      <c r="CH862" s="22" t="str">
        <f t="shared" si="5536"/>
        <v/>
      </c>
      <c r="CI862" s="22" t="str">
        <f>IF(CJ862="","",MAX($CI$10:CI861)+1)</f>
        <v/>
      </c>
      <c r="CJ862" s="22" t="str">
        <f t="shared" si="5537"/>
        <v/>
      </c>
    </row>
    <row r="863" spans="2:88" x14ac:dyDescent="0.25">
      <c r="B863" s="37"/>
      <c r="C863" s="3"/>
      <c r="D863" s="77" t="str">
        <f t="shared" si="5523"/>
        <v/>
      </c>
      <c r="E863" s="38"/>
      <c r="F863" s="38"/>
      <c r="G863" s="78">
        <f t="shared" si="5538"/>
        <v>0</v>
      </c>
      <c r="H863" s="3">
        <v>80</v>
      </c>
      <c r="I863" s="77" t="str">
        <f t="shared" si="5524"/>
        <v/>
      </c>
      <c r="J863" s="32"/>
      <c r="K863" s="3"/>
      <c r="L863" s="39"/>
      <c r="M863" s="39"/>
      <c r="N863" s="39"/>
      <c r="O863" s="39"/>
      <c r="P863" s="39"/>
      <c r="Q863" s="39"/>
      <c r="R863" s="39"/>
      <c r="S863" s="39"/>
      <c r="T863" s="3" t="s">
        <v>645</v>
      </c>
      <c r="U863" s="77" t="str">
        <f t="shared" si="5525"/>
        <v/>
      </c>
      <c r="V863" s="39">
        <v>1</v>
      </c>
      <c r="W863" s="79">
        <f t="shared" si="5539"/>
        <v>0</v>
      </c>
      <c r="X863" s="3">
        <v>0</v>
      </c>
      <c r="Y863" s="77" t="str">
        <f t="shared" si="5526"/>
        <v/>
      </c>
      <c r="Z863" s="3"/>
      <c r="AA863" s="37" t="str">
        <f t="shared" si="5540"/>
        <v/>
      </c>
      <c r="AC863" s="40"/>
      <c r="AD863" s="7"/>
      <c r="AE863" s="77" t="str">
        <f t="shared" si="5527"/>
        <v/>
      </c>
      <c r="AF863" s="81">
        <f t="shared" si="5553"/>
        <v>0</v>
      </c>
      <c r="AG863" s="40"/>
      <c r="AH863" s="7"/>
      <c r="AI863" s="77" t="str">
        <f t="shared" si="5528"/>
        <v/>
      </c>
      <c r="AJ863" s="81">
        <f t="shared" si="5554"/>
        <v>0</v>
      </c>
      <c r="AK863" s="83">
        <f t="shared" si="5555"/>
        <v>0</v>
      </c>
      <c r="AL863" s="83">
        <f t="shared" si="5556"/>
        <v>0</v>
      </c>
      <c r="AN863" s="43">
        <f t="shared" si="5529"/>
        <v>0</v>
      </c>
      <c r="AP863" t="str">
        <f t="shared" si="5557"/>
        <v/>
      </c>
      <c r="AQ863" t="str">
        <f t="shared" si="5558"/>
        <v/>
      </c>
      <c r="AR863" t="str">
        <f t="shared" si="5559"/>
        <v/>
      </c>
      <c r="AS863" t="str">
        <f t="shared" si="5560"/>
        <v/>
      </c>
      <c r="AT863" t="str">
        <f t="shared" si="5561"/>
        <v/>
      </c>
      <c r="AU863" t="str">
        <f t="shared" si="5562"/>
        <v/>
      </c>
      <c r="AV863" t="str">
        <f t="shared" si="5563"/>
        <v/>
      </c>
      <c r="AW863" t="str">
        <f t="shared" si="5564"/>
        <v xml:space="preserve">                              </v>
      </c>
      <c r="AX863" s="23">
        <f t="shared" si="5565"/>
        <v>0</v>
      </c>
      <c r="AY863" s="49" t="str">
        <f t="shared" si="5541"/>
        <v>000000000000000</v>
      </c>
      <c r="AZ863" s="23">
        <f t="shared" si="5566"/>
        <v>0</v>
      </c>
      <c r="BA863" s="49" t="str">
        <f t="shared" si="5541"/>
        <v>000000000000000</v>
      </c>
      <c r="BB863" s="23">
        <f t="shared" si="5567"/>
        <v>0</v>
      </c>
      <c r="BC863" s="49" t="str">
        <f t="shared" ref="BC863" si="5688">IF(BB863&lt;0,SUBSTITUTE(TEXT(BB863,"000000000000,00"),",",""),SUBSTITUTE(TEXT(BB863,"0000000000000,00"),",",""))</f>
        <v>000000000000000</v>
      </c>
      <c r="BD863" s="23">
        <f t="shared" si="5569"/>
        <v>0</v>
      </c>
      <c r="BE863" s="49" t="str">
        <f t="shared" ref="BE863" si="5689">IF(BD863&lt;0,SUBSTITUTE(TEXT(BD863,"000000000000,00"),",",""),SUBSTITUTE(TEXT(BD863,"0000000000000,00"),",",""))</f>
        <v>000000000000000</v>
      </c>
      <c r="BF863" s="23">
        <f t="shared" si="5571"/>
        <v>0</v>
      </c>
      <c r="BG863" s="49" t="str">
        <f t="shared" ref="BG863" si="5690">IF(BF863&lt;0,SUBSTITUTE(TEXT(BF863,"000000000000,00"),",",""),SUBSTITUTE(TEXT(BF863,"0000000000000,00"),",",""))</f>
        <v>000000000000000</v>
      </c>
      <c r="BH863" s="23">
        <f t="shared" si="5573"/>
        <v>0</v>
      </c>
      <c r="BI863" s="49" t="str">
        <f t="shared" ref="BI863" si="5691">IF(BH863&lt;0,SUBSTITUTE(TEXT(BH863,"000000000000,00"),",",""),SUBSTITUTE(TEXT(BH863,"0000000000000,00"),",",""))</f>
        <v>000000000000000</v>
      </c>
      <c r="BJ863" s="23">
        <f t="shared" si="5575"/>
        <v>0</v>
      </c>
      <c r="BK863" s="49" t="str">
        <f t="shared" ref="BK863" si="5692">IF(BJ863&lt;0,SUBSTITUTE(TEXT(BJ863,"000000000000,00"),",",""),SUBSTITUTE(TEXT(BJ863,"0000000000000,00"),",",""))</f>
        <v>000000000000000</v>
      </c>
      <c r="BL863" s="23">
        <f t="shared" si="5577"/>
        <v>0</v>
      </c>
      <c r="BM863" s="49" t="str">
        <f t="shared" ref="BM863" si="5693">IF(BL863&lt;0,SUBSTITUTE(TEXT(BL863,"000000000000,00"),",",""),SUBSTITUTE(TEXT(BL863,"0000000000000,00"),",",""))</f>
        <v>000000000000000</v>
      </c>
      <c r="BN863" t="str">
        <f t="shared" si="5579"/>
        <v>PES</v>
      </c>
      <c r="BO863" t="str">
        <f t="shared" si="5580"/>
        <v>0001000000</v>
      </c>
      <c r="BP863">
        <f t="shared" si="5581"/>
        <v>0</v>
      </c>
      <c r="BQ863">
        <f t="shared" si="5582"/>
        <v>0</v>
      </c>
      <c r="BR863" s="23">
        <f t="shared" si="5583"/>
        <v>0</v>
      </c>
      <c r="BS863" s="49" t="str">
        <f t="shared" si="5548"/>
        <v>000000000000000</v>
      </c>
      <c r="BT863" t="str">
        <f t="shared" si="5584"/>
        <v>00000000</v>
      </c>
      <c r="BU863" s="23">
        <f t="shared" si="5585"/>
        <v>0</v>
      </c>
      <c r="BV863" s="49" t="str">
        <f t="shared" si="5549"/>
        <v/>
      </c>
      <c r="BW863" s="52" t="str">
        <f t="shared" si="5586"/>
        <v/>
      </c>
      <c r="BX863" s="23">
        <f t="shared" si="5587"/>
        <v>0</v>
      </c>
      <c r="BY863" s="49" t="str">
        <f t="shared" si="5550"/>
        <v/>
      </c>
      <c r="BZ863" s="23">
        <f t="shared" si="5588"/>
        <v>0</v>
      </c>
      <c r="CA863" s="49" t="str">
        <f t="shared" si="5551"/>
        <v/>
      </c>
      <c r="CB863" s="52" t="str">
        <f t="shared" si="5589"/>
        <v/>
      </c>
      <c r="CC863" s="23">
        <f t="shared" si="5590"/>
        <v>0</v>
      </c>
      <c r="CD863" s="49" t="str">
        <f t="shared" si="5552"/>
        <v/>
      </c>
      <c r="CE863" s="56" t="str">
        <f>IF(CF863="","",MAX(CE$10:$CE862)+1)</f>
        <v/>
      </c>
      <c r="CF863" t="str">
        <f t="shared" si="5591"/>
        <v/>
      </c>
      <c r="CG863" s="22" t="str">
        <f>IF(CH863="","",MAX($CG$10:CG862)+1)</f>
        <v/>
      </c>
      <c r="CH863" s="22" t="str">
        <f t="shared" si="5536"/>
        <v/>
      </c>
      <c r="CI863" s="22" t="str">
        <f>IF(CJ863="","",MAX($CI$10:CI862)+1)</f>
        <v/>
      </c>
      <c r="CJ863" s="22" t="str">
        <f t="shared" si="5537"/>
        <v/>
      </c>
    </row>
    <row r="864" spans="2:88" x14ac:dyDescent="0.25">
      <c r="B864" s="37"/>
      <c r="C864" s="3"/>
      <c r="D864" s="77" t="str">
        <f t="shared" si="5523"/>
        <v/>
      </c>
      <c r="E864" s="38"/>
      <c r="F864" s="38"/>
      <c r="G864" s="78">
        <f t="shared" si="5538"/>
        <v>0</v>
      </c>
      <c r="H864" s="3">
        <v>80</v>
      </c>
      <c r="I864" s="77" t="str">
        <f t="shared" si="5524"/>
        <v/>
      </c>
      <c r="J864" s="32"/>
      <c r="K864" s="3"/>
      <c r="L864" s="39"/>
      <c r="M864" s="39"/>
      <c r="N864" s="39"/>
      <c r="O864" s="39"/>
      <c r="P864" s="39"/>
      <c r="Q864" s="39"/>
      <c r="R864" s="39"/>
      <c r="S864" s="39"/>
      <c r="T864" s="3" t="s">
        <v>645</v>
      </c>
      <c r="U864" s="77" t="str">
        <f t="shared" si="5525"/>
        <v/>
      </c>
      <c r="V864" s="39">
        <v>1</v>
      </c>
      <c r="W864" s="79">
        <f t="shared" si="5539"/>
        <v>0</v>
      </c>
      <c r="X864" s="3">
        <v>0</v>
      </c>
      <c r="Y864" s="77" t="str">
        <f t="shared" si="5526"/>
        <v/>
      </c>
      <c r="Z864" s="3"/>
      <c r="AA864" s="37" t="str">
        <f t="shared" si="5540"/>
        <v/>
      </c>
      <c r="AC864" s="40"/>
      <c r="AD864" s="7"/>
      <c r="AE864" s="77" t="str">
        <f t="shared" si="5527"/>
        <v/>
      </c>
      <c r="AF864" s="81">
        <f t="shared" si="5553"/>
        <v>0</v>
      </c>
      <c r="AG864" s="40"/>
      <c r="AH864" s="7"/>
      <c r="AI864" s="77" t="str">
        <f t="shared" si="5528"/>
        <v/>
      </c>
      <c r="AJ864" s="81">
        <f t="shared" si="5554"/>
        <v>0</v>
      </c>
      <c r="AK864" s="83">
        <f t="shared" si="5555"/>
        <v>0</v>
      </c>
      <c r="AL864" s="83">
        <f t="shared" si="5556"/>
        <v>0</v>
      </c>
      <c r="AN864" s="43">
        <f t="shared" si="5529"/>
        <v>0</v>
      </c>
      <c r="AP864" t="str">
        <f t="shared" si="5557"/>
        <v/>
      </c>
      <c r="AQ864" t="str">
        <f t="shared" si="5558"/>
        <v/>
      </c>
      <c r="AR864" t="str">
        <f t="shared" si="5559"/>
        <v/>
      </c>
      <c r="AS864" t="str">
        <f t="shared" si="5560"/>
        <v/>
      </c>
      <c r="AT864" t="str">
        <f t="shared" si="5561"/>
        <v/>
      </c>
      <c r="AU864" t="str">
        <f t="shared" si="5562"/>
        <v/>
      </c>
      <c r="AV864" t="str">
        <f t="shared" si="5563"/>
        <v/>
      </c>
      <c r="AW864" t="str">
        <f t="shared" si="5564"/>
        <v xml:space="preserve">                              </v>
      </c>
      <c r="AX864" s="23">
        <f t="shared" si="5565"/>
        <v>0</v>
      </c>
      <c r="AY864" s="49" t="str">
        <f t="shared" si="5541"/>
        <v>000000000000000</v>
      </c>
      <c r="AZ864" s="23">
        <f t="shared" si="5566"/>
        <v>0</v>
      </c>
      <c r="BA864" s="49" t="str">
        <f t="shared" si="5541"/>
        <v>000000000000000</v>
      </c>
      <c r="BB864" s="23">
        <f t="shared" si="5567"/>
        <v>0</v>
      </c>
      <c r="BC864" s="49" t="str">
        <f t="shared" ref="BC864" si="5694">IF(BB864&lt;0,SUBSTITUTE(TEXT(BB864,"000000000000,00"),",",""),SUBSTITUTE(TEXT(BB864,"0000000000000,00"),",",""))</f>
        <v>000000000000000</v>
      </c>
      <c r="BD864" s="23">
        <f t="shared" si="5569"/>
        <v>0</v>
      </c>
      <c r="BE864" s="49" t="str">
        <f t="shared" ref="BE864" si="5695">IF(BD864&lt;0,SUBSTITUTE(TEXT(BD864,"000000000000,00"),",",""),SUBSTITUTE(TEXT(BD864,"0000000000000,00"),",",""))</f>
        <v>000000000000000</v>
      </c>
      <c r="BF864" s="23">
        <f t="shared" si="5571"/>
        <v>0</v>
      </c>
      <c r="BG864" s="49" t="str">
        <f t="shared" ref="BG864" si="5696">IF(BF864&lt;0,SUBSTITUTE(TEXT(BF864,"000000000000,00"),",",""),SUBSTITUTE(TEXT(BF864,"0000000000000,00"),",",""))</f>
        <v>000000000000000</v>
      </c>
      <c r="BH864" s="23">
        <f t="shared" si="5573"/>
        <v>0</v>
      </c>
      <c r="BI864" s="49" t="str">
        <f t="shared" ref="BI864" si="5697">IF(BH864&lt;0,SUBSTITUTE(TEXT(BH864,"000000000000,00"),",",""),SUBSTITUTE(TEXT(BH864,"0000000000000,00"),",",""))</f>
        <v>000000000000000</v>
      </c>
      <c r="BJ864" s="23">
        <f t="shared" si="5575"/>
        <v>0</v>
      </c>
      <c r="BK864" s="49" t="str">
        <f t="shared" ref="BK864" si="5698">IF(BJ864&lt;0,SUBSTITUTE(TEXT(BJ864,"000000000000,00"),",",""),SUBSTITUTE(TEXT(BJ864,"0000000000000,00"),",",""))</f>
        <v>000000000000000</v>
      </c>
      <c r="BL864" s="23">
        <f t="shared" si="5577"/>
        <v>0</v>
      </c>
      <c r="BM864" s="49" t="str">
        <f t="shared" ref="BM864" si="5699">IF(BL864&lt;0,SUBSTITUTE(TEXT(BL864,"000000000000,00"),",",""),SUBSTITUTE(TEXT(BL864,"0000000000000,00"),",",""))</f>
        <v>000000000000000</v>
      </c>
      <c r="BN864" t="str">
        <f t="shared" si="5579"/>
        <v>PES</v>
      </c>
      <c r="BO864" t="str">
        <f t="shared" si="5580"/>
        <v>0001000000</v>
      </c>
      <c r="BP864">
        <f t="shared" si="5581"/>
        <v>0</v>
      </c>
      <c r="BQ864">
        <f t="shared" si="5582"/>
        <v>0</v>
      </c>
      <c r="BR864" s="23">
        <f t="shared" si="5583"/>
        <v>0</v>
      </c>
      <c r="BS864" s="49" t="str">
        <f t="shared" si="5548"/>
        <v>000000000000000</v>
      </c>
      <c r="BT864" t="str">
        <f t="shared" si="5584"/>
        <v>00000000</v>
      </c>
      <c r="BU864" s="23">
        <f t="shared" si="5585"/>
        <v>0</v>
      </c>
      <c r="BV864" s="49" t="str">
        <f t="shared" si="5549"/>
        <v/>
      </c>
      <c r="BW864" s="52" t="str">
        <f t="shared" si="5586"/>
        <v/>
      </c>
      <c r="BX864" s="23">
        <f t="shared" si="5587"/>
        <v>0</v>
      </c>
      <c r="BY864" s="49" t="str">
        <f t="shared" si="5550"/>
        <v/>
      </c>
      <c r="BZ864" s="23">
        <f t="shared" si="5588"/>
        <v>0</v>
      </c>
      <c r="CA864" s="49" t="str">
        <f t="shared" si="5551"/>
        <v/>
      </c>
      <c r="CB864" s="52" t="str">
        <f t="shared" si="5589"/>
        <v/>
      </c>
      <c r="CC864" s="23">
        <f t="shared" si="5590"/>
        <v>0</v>
      </c>
      <c r="CD864" s="49" t="str">
        <f t="shared" si="5552"/>
        <v/>
      </c>
      <c r="CE864" s="56" t="str">
        <f>IF(CF864="","",MAX(CE$10:$CE863)+1)</f>
        <v/>
      </c>
      <c r="CF864" t="str">
        <f t="shared" si="5591"/>
        <v/>
      </c>
      <c r="CG864" s="22" t="str">
        <f>IF(CH864="","",MAX($CG$10:CG863)+1)</f>
        <v/>
      </c>
      <c r="CH864" s="22" t="str">
        <f t="shared" si="5536"/>
        <v/>
      </c>
      <c r="CI864" s="22" t="str">
        <f>IF(CJ864="","",MAX($CI$10:CI863)+1)</f>
        <v/>
      </c>
      <c r="CJ864" s="22" t="str">
        <f t="shared" si="5537"/>
        <v/>
      </c>
    </row>
    <row r="865" spans="2:88" x14ac:dyDescent="0.25">
      <c r="B865" s="37"/>
      <c r="C865" s="3"/>
      <c r="D865" s="77" t="str">
        <f t="shared" si="5523"/>
        <v/>
      </c>
      <c r="E865" s="38"/>
      <c r="F865" s="38"/>
      <c r="G865" s="78">
        <f t="shared" si="5538"/>
        <v>0</v>
      </c>
      <c r="H865" s="3">
        <v>80</v>
      </c>
      <c r="I865" s="77" t="str">
        <f t="shared" si="5524"/>
        <v/>
      </c>
      <c r="J865" s="32"/>
      <c r="K865" s="3"/>
      <c r="L865" s="39"/>
      <c r="M865" s="39"/>
      <c r="N865" s="39"/>
      <c r="O865" s="39"/>
      <c r="P865" s="39"/>
      <c r="Q865" s="39"/>
      <c r="R865" s="39"/>
      <c r="S865" s="39"/>
      <c r="T865" s="3" t="s">
        <v>645</v>
      </c>
      <c r="U865" s="77" t="str">
        <f t="shared" si="5525"/>
        <v/>
      </c>
      <c r="V865" s="39">
        <v>1</v>
      </c>
      <c r="W865" s="79">
        <f t="shared" si="5539"/>
        <v>0</v>
      </c>
      <c r="X865" s="3">
        <v>0</v>
      </c>
      <c r="Y865" s="77" t="str">
        <f t="shared" si="5526"/>
        <v/>
      </c>
      <c r="Z865" s="3"/>
      <c r="AA865" s="37" t="str">
        <f t="shared" si="5540"/>
        <v/>
      </c>
      <c r="AC865" s="40"/>
      <c r="AD865" s="7"/>
      <c r="AE865" s="77" t="str">
        <f t="shared" si="5527"/>
        <v/>
      </c>
      <c r="AF865" s="81">
        <f t="shared" si="5553"/>
        <v>0</v>
      </c>
      <c r="AG865" s="40"/>
      <c r="AH865" s="7"/>
      <c r="AI865" s="77" t="str">
        <f t="shared" si="5528"/>
        <v/>
      </c>
      <c r="AJ865" s="81">
        <f t="shared" si="5554"/>
        <v>0</v>
      </c>
      <c r="AK865" s="83">
        <f t="shared" si="5555"/>
        <v>0</v>
      </c>
      <c r="AL865" s="83">
        <f t="shared" si="5556"/>
        <v>0</v>
      </c>
      <c r="AN865" s="43">
        <f t="shared" si="5529"/>
        <v>0</v>
      </c>
      <c r="AP865" t="str">
        <f t="shared" si="5557"/>
        <v/>
      </c>
      <c r="AQ865" t="str">
        <f t="shared" si="5558"/>
        <v/>
      </c>
      <c r="AR865" t="str">
        <f t="shared" si="5559"/>
        <v/>
      </c>
      <c r="AS865" t="str">
        <f t="shared" si="5560"/>
        <v/>
      </c>
      <c r="AT865" t="str">
        <f t="shared" si="5561"/>
        <v/>
      </c>
      <c r="AU865" t="str">
        <f t="shared" si="5562"/>
        <v/>
      </c>
      <c r="AV865" t="str">
        <f t="shared" si="5563"/>
        <v/>
      </c>
      <c r="AW865" t="str">
        <f t="shared" si="5564"/>
        <v xml:space="preserve">                              </v>
      </c>
      <c r="AX865" s="23">
        <f t="shared" si="5565"/>
        <v>0</v>
      </c>
      <c r="AY865" s="49" t="str">
        <f t="shared" si="5541"/>
        <v>000000000000000</v>
      </c>
      <c r="AZ865" s="23">
        <f t="shared" si="5566"/>
        <v>0</v>
      </c>
      <c r="BA865" s="49" t="str">
        <f t="shared" si="5541"/>
        <v>000000000000000</v>
      </c>
      <c r="BB865" s="23">
        <f t="shared" si="5567"/>
        <v>0</v>
      </c>
      <c r="BC865" s="49" t="str">
        <f t="shared" ref="BC865" si="5700">IF(BB865&lt;0,SUBSTITUTE(TEXT(BB865,"000000000000,00"),",",""),SUBSTITUTE(TEXT(BB865,"0000000000000,00"),",",""))</f>
        <v>000000000000000</v>
      </c>
      <c r="BD865" s="23">
        <f t="shared" si="5569"/>
        <v>0</v>
      </c>
      <c r="BE865" s="49" t="str">
        <f t="shared" ref="BE865" si="5701">IF(BD865&lt;0,SUBSTITUTE(TEXT(BD865,"000000000000,00"),",",""),SUBSTITUTE(TEXT(BD865,"0000000000000,00"),",",""))</f>
        <v>000000000000000</v>
      </c>
      <c r="BF865" s="23">
        <f t="shared" si="5571"/>
        <v>0</v>
      </c>
      <c r="BG865" s="49" t="str">
        <f t="shared" ref="BG865" si="5702">IF(BF865&lt;0,SUBSTITUTE(TEXT(BF865,"000000000000,00"),",",""),SUBSTITUTE(TEXT(BF865,"0000000000000,00"),",",""))</f>
        <v>000000000000000</v>
      </c>
      <c r="BH865" s="23">
        <f t="shared" si="5573"/>
        <v>0</v>
      </c>
      <c r="BI865" s="49" t="str">
        <f t="shared" ref="BI865" si="5703">IF(BH865&lt;0,SUBSTITUTE(TEXT(BH865,"000000000000,00"),",",""),SUBSTITUTE(TEXT(BH865,"0000000000000,00"),",",""))</f>
        <v>000000000000000</v>
      </c>
      <c r="BJ865" s="23">
        <f t="shared" si="5575"/>
        <v>0</v>
      </c>
      <c r="BK865" s="49" t="str">
        <f t="shared" ref="BK865" si="5704">IF(BJ865&lt;0,SUBSTITUTE(TEXT(BJ865,"000000000000,00"),",",""),SUBSTITUTE(TEXT(BJ865,"0000000000000,00"),",",""))</f>
        <v>000000000000000</v>
      </c>
      <c r="BL865" s="23">
        <f t="shared" si="5577"/>
        <v>0</v>
      </c>
      <c r="BM865" s="49" t="str">
        <f t="shared" ref="BM865" si="5705">IF(BL865&lt;0,SUBSTITUTE(TEXT(BL865,"000000000000,00"),",",""),SUBSTITUTE(TEXT(BL865,"0000000000000,00"),",",""))</f>
        <v>000000000000000</v>
      </c>
      <c r="BN865" t="str">
        <f t="shared" si="5579"/>
        <v>PES</v>
      </c>
      <c r="BO865" t="str">
        <f t="shared" si="5580"/>
        <v>0001000000</v>
      </c>
      <c r="BP865">
        <f t="shared" si="5581"/>
        <v>0</v>
      </c>
      <c r="BQ865">
        <f t="shared" si="5582"/>
        <v>0</v>
      </c>
      <c r="BR865" s="23">
        <f t="shared" si="5583"/>
        <v>0</v>
      </c>
      <c r="BS865" s="49" t="str">
        <f t="shared" si="5548"/>
        <v>000000000000000</v>
      </c>
      <c r="BT865" t="str">
        <f t="shared" si="5584"/>
        <v>00000000</v>
      </c>
      <c r="BU865" s="23">
        <f t="shared" si="5585"/>
        <v>0</v>
      </c>
      <c r="BV865" s="49" t="str">
        <f t="shared" si="5549"/>
        <v/>
      </c>
      <c r="BW865" s="52" t="str">
        <f t="shared" si="5586"/>
        <v/>
      </c>
      <c r="BX865" s="23">
        <f t="shared" si="5587"/>
        <v>0</v>
      </c>
      <c r="BY865" s="49" t="str">
        <f t="shared" si="5550"/>
        <v/>
      </c>
      <c r="BZ865" s="23">
        <f t="shared" si="5588"/>
        <v>0</v>
      </c>
      <c r="CA865" s="49" t="str">
        <f t="shared" si="5551"/>
        <v/>
      </c>
      <c r="CB865" s="52" t="str">
        <f t="shared" si="5589"/>
        <v/>
      </c>
      <c r="CC865" s="23">
        <f t="shared" si="5590"/>
        <v>0</v>
      </c>
      <c r="CD865" s="49" t="str">
        <f t="shared" si="5552"/>
        <v/>
      </c>
      <c r="CE865" s="56" t="str">
        <f>IF(CF865="","",MAX(CE$10:$CE864)+1)</f>
        <v/>
      </c>
      <c r="CF865" t="str">
        <f t="shared" si="5591"/>
        <v/>
      </c>
      <c r="CG865" s="22" t="str">
        <f>IF(CH865="","",MAX($CG$10:CG864)+1)</f>
        <v/>
      </c>
      <c r="CH865" s="22" t="str">
        <f t="shared" si="5536"/>
        <v/>
      </c>
      <c r="CI865" s="22" t="str">
        <f>IF(CJ865="","",MAX($CI$10:CI864)+1)</f>
        <v/>
      </c>
      <c r="CJ865" s="22" t="str">
        <f t="shared" si="5537"/>
        <v/>
      </c>
    </row>
    <row r="866" spans="2:88" x14ac:dyDescent="0.25">
      <c r="B866" s="37"/>
      <c r="C866" s="3"/>
      <c r="D866" s="77" t="str">
        <f t="shared" si="5523"/>
        <v/>
      </c>
      <c r="E866" s="38"/>
      <c r="F866" s="38"/>
      <c r="G866" s="78">
        <f t="shared" si="5538"/>
        <v>0</v>
      </c>
      <c r="H866" s="3">
        <v>80</v>
      </c>
      <c r="I866" s="77" t="str">
        <f t="shared" si="5524"/>
        <v/>
      </c>
      <c r="J866" s="32"/>
      <c r="K866" s="3"/>
      <c r="L866" s="39"/>
      <c r="M866" s="39"/>
      <c r="N866" s="39"/>
      <c r="O866" s="39"/>
      <c r="P866" s="39"/>
      <c r="Q866" s="39"/>
      <c r="R866" s="39"/>
      <c r="S866" s="39"/>
      <c r="T866" s="3" t="s">
        <v>645</v>
      </c>
      <c r="U866" s="77" t="str">
        <f t="shared" si="5525"/>
        <v/>
      </c>
      <c r="V866" s="39">
        <v>1</v>
      </c>
      <c r="W866" s="79">
        <f t="shared" si="5539"/>
        <v>0</v>
      </c>
      <c r="X866" s="3">
        <v>0</v>
      </c>
      <c r="Y866" s="77" t="str">
        <f t="shared" si="5526"/>
        <v/>
      </c>
      <c r="Z866" s="3"/>
      <c r="AA866" s="37" t="str">
        <f t="shared" si="5540"/>
        <v/>
      </c>
      <c r="AC866" s="40"/>
      <c r="AD866" s="7"/>
      <c r="AE866" s="77" t="str">
        <f t="shared" si="5527"/>
        <v/>
      </c>
      <c r="AF866" s="81">
        <f t="shared" si="5553"/>
        <v>0</v>
      </c>
      <c r="AG866" s="40"/>
      <c r="AH866" s="7"/>
      <c r="AI866" s="77" t="str">
        <f t="shared" si="5528"/>
        <v/>
      </c>
      <c r="AJ866" s="81">
        <f t="shared" si="5554"/>
        <v>0</v>
      </c>
      <c r="AK866" s="83">
        <f t="shared" si="5555"/>
        <v>0</v>
      </c>
      <c r="AL866" s="83">
        <f t="shared" si="5556"/>
        <v>0</v>
      </c>
      <c r="AN866" s="43">
        <f t="shared" si="5529"/>
        <v>0</v>
      </c>
      <c r="AP866" t="str">
        <f t="shared" si="5557"/>
        <v/>
      </c>
      <c r="AQ866" t="str">
        <f t="shared" si="5558"/>
        <v/>
      </c>
      <c r="AR866" t="str">
        <f t="shared" si="5559"/>
        <v/>
      </c>
      <c r="AS866" t="str">
        <f t="shared" si="5560"/>
        <v/>
      </c>
      <c r="AT866" t="str">
        <f t="shared" si="5561"/>
        <v/>
      </c>
      <c r="AU866" t="str">
        <f t="shared" si="5562"/>
        <v/>
      </c>
      <c r="AV866" t="str">
        <f t="shared" si="5563"/>
        <v/>
      </c>
      <c r="AW866" t="str">
        <f t="shared" si="5564"/>
        <v xml:space="preserve">                              </v>
      </c>
      <c r="AX866" s="23">
        <f t="shared" si="5565"/>
        <v>0</v>
      </c>
      <c r="AY866" s="49" t="str">
        <f t="shared" si="5541"/>
        <v>000000000000000</v>
      </c>
      <c r="AZ866" s="23">
        <f t="shared" si="5566"/>
        <v>0</v>
      </c>
      <c r="BA866" s="49" t="str">
        <f t="shared" si="5541"/>
        <v>000000000000000</v>
      </c>
      <c r="BB866" s="23">
        <f t="shared" si="5567"/>
        <v>0</v>
      </c>
      <c r="BC866" s="49" t="str">
        <f t="shared" ref="BC866" si="5706">IF(BB866&lt;0,SUBSTITUTE(TEXT(BB866,"000000000000,00"),",",""),SUBSTITUTE(TEXT(BB866,"0000000000000,00"),",",""))</f>
        <v>000000000000000</v>
      </c>
      <c r="BD866" s="23">
        <f t="shared" si="5569"/>
        <v>0</v>
      </c>
      <c r="BE866" s="49" t="str">
        <f t="shared" ref="BE866" si="5707">IF(BD866&lt;0,SUBSTITUTE(TEXT(BD866,"000000000000,00"),",",""),SUBSTITUTE(TEXT(BD866,"0000000000000,00"),",",""))</f>
        <v>000000000000000</v>
      </c>
      <c r="BF866" s="23">
        <f t="shared" si="5571"/>
        <v>0</v>
      </c>
      <c r="BG866" s="49" t="str">
        <f t="shared" ref="BG866" si="5708">IF(BF866&lt;0,SUBSTITUTE(TEXT(BF866,"000000000000,00"),",",""),SUBSTITUTE(TEXT(BF866,"0000000000000,00"),",",""))</f>
        <v>000000000000000</v>
      </c>
      <c r="BH866" s="23">
        <f t="shared" si="5573"/>
        <v>0</v>
      </c>
      <c r="BI866" s="49" t="str">
        <f t="shared" ref="BI866" si="5709">IF(BH866&lt;0,SUBSTITUTE(TEXT(BH866,"000000000000,00"),",",""),SUBSTITUTE(TEXT(BH866,"0000000000000,00"),",",""))</f>
        <v>000000000000000</v>
      </c>
      <c r="BJ866" s="23">
        <f t="shared" si="5575"/>
        <v>0</v>
      </c>
      <c r="BK866" s="49" t="str">
        <f t="shared" ref="BK866" si="5710">IF(BJ866&lt;0,SUBSTITUTE(TEXT(BJ866,"000000000000,00"),",",""),SUBSTITUTE(TEXT(BJ866,"0000000000000,00"),",",""))</f>
        <v>000000000000000</v>
      </c>
      <c r="BL866" s="23">
        <f t="shared" si="5577"/>
        <v>0</v>
      </c>
      <c r="BM866" s="49" t="str">
        <f t="shared" ref="BM866" si="5711">IF(BL866&lt;0,SUBSTITUTE(TEXT(BL866,"000000000000,00"),",",""),SUBSTITUTE(TEXT(BL866,"0000000000000,00"),",",""))</f>
        <v>000000000000000</v>
      </c>
      <c r="BN866" t="str">
        <f t="shared" si="5579"/>
        <v>PES</v>
      </c>
      <c r="BO866" t="str">
        <f t="shared" si="5580"/>
        <v>0001000000</v>
      </c>
      <c r="BP866">
        <f t="shared" si="5581"/>
        <v>0</v>
      </c>
      <c r="BQ866">
        <f t="shared" si="5582"/>
        <v>0</v>
      </c>
      <c r="BR866" s="23">
        <f t="shared" si="5583"/>
        <v>0</v>
      </c>
      <c r="BS866" s="49" t="str">
        <f t="shared" si="5548"/>
        <v>000000000000000</v>
      </c>
      <c r="BT866" t="str">
        <f t="shared" si="5584"/>
        <v>00000000</v>
      </c>
      <c r="BU866" s="23">
        <f t="shared" si="5585"/>
        <v>0</v>
      </c>
      <c r="BV866" s="49" t="str">
        <f t="shared" si="5549"/>
        <v/>
      </c>
      <c r="BW866" s="52" t="str">
        <f t="shared" si="5586"/>
        <v/>
      </c>
      <c r="BX866" s="23">
        <f t="shared" si="5587"/>
        <v>0</v>
      </c>
      <c r="BY866" s="49" t="str">
        <f t="shared" si="5550"/>
        <v/>
      </c>
      <c r="BZ866" s="23">
        <f t="shared" si="5588"/>
        <v>0</v>
      </c>
      <c r="CA866" s="49" t="str">
        <f t="shared" si="5551"/>
        <v/>
      </c>
      <c r="CB866" s="52" t="str">
        <f t="shared" si="5589"/>
        <v/>
      </c>
      <c r="CC866" s="23">
        <f t="shared" si="5590"/>
        <v>0</v>
      </c>
      <c r="CD866" s="49" t="str">
        <f t="shared" si="5552"/>
        <v/>
      </c>
      <c r="CE866" s="56" t="str">
        <f>IF(CF866="","",MAX(CE$10:$CE865)+1)</f>
        <v/>
      </c>
      <c r="CF866" t="str">
        <f t="shared" si="5591"/>
        <v/>
      </c>
      <c r="CG866" s="22" t="str">
        <f>IF(CH866="","",MAX($CG$10:CG865)+1)</f>
        <v/>
      </c>
      <c r="CH866" s="22" t="str">
        <f t="shared" si="5536"/>
        <v/>
      </c>
      <c r="CI866" s="22" t="str">
        <f>IF(CJ866="","",MAX($CI$10:CI865)+1)</f>
        <v/>
      </c>
      <c r="CJ866" s="22" t="str">
        <f t="shared" si="5537"/>
        <v/>
      </c>
    </row>
    <row r="867" spans="2:88" x14ac:dyDescent="0.25">
      <c r="B867" s="37"/>
      <c r="C867" s="3"/>
      <c r="D867" s="77" t="str">
        <f t="shared" si="5523"/>
        <v/>
      </c>
      <c r="E867" s="38"/>
      <c r="F867" s="38"/>
      <c r="G867" s="78">
        <f t="shared" si="5538"/>
        <v>0</v>
      </c>
      <c r="H867" s="3">
        <v>80</v>
      </c>
      <c r="I867" s="77" t="str">
        <f t="shared" si="5524"/>
        <v/>
      </c>
      <c r="J867" s="32"/>
      <c r="K867" s="3"/>
      <c r="L867" s="39"/>
      <c r="M867" s="39"/>
      <c r="N867" s="39"/>
      <c r="O867" s="39"/>
      <c r="P867" s="39"/>
      <c r="Q867" s="39"/>
      <c r="R867" s="39"/>
      <c r="S867" s="39"/>
      <c r="T867" s="3" t="s">
        <v>645</v>
      </c>
      <c r="U867" s="77" t="str">
        <f t="shared" si="5525"/>
        <v/>
      </c>
      <c r="V867" s="39">
        <v>1</v>
      </c>
      <c r="W867" s="79">
        <f t="shared" si="5539"/>
        <v>0</v>
      </c>
      <c r="X867" s="3">
        <v>0</v>
      </c>
      <c r="Y867" s="77" t="str">
        <f t="shared" si="5526"/>
        <v/>
      </c>
      <c r="Z867" s="3"/>
      <c r="AA867" s="37" t="str">
        <f t="shared" si="5540"/>
        <v/>
      </c>
      <c r="AC867" s="40"/>
      <c r="AD867" s="7"/>
      <c r="AE867" s="77" t="str">
        <f t="shared" si="5527"/>
        <v/>
      </c>
      <c r="AF867" s="81">
        <f t="shared" si="5553"/>
        <v>0</v>
      </c>
      <c r="AG867" s="40"/>
      <c r="AH867" s="7"/>
      <c r="AI867" s="77" t="str">
        <f t="shared" si="5528"/>
        <v/>
      </c>
      <c r="AJ867" s="81">
        <f t="shared" si="5554"/>
        <v>0</v>
      </c>
      <c r="AK867" s="83">
        <f t="shared" si="5555"/>
        <v>0</v>
      </c>
      <c r="AL867" s="83">
        <f t="shared" si="5556"/>
        <v>0</v>
      </c>
      <c r="AN867" s="43">
        <f t="shared" si="5529"/>
        <v>0</v>
      </c>
      <c r="AP867" t="str">
        <f t="shared" si="5557"/>
        <v/>
      </c>
      <c r="AQ867" t="str">
        <f t="shared" si="5558"/>
        <v/>
      </c>
      <c r="AR867" t="str">
        <f t="shared" si="5559"/>
        <v/>
      </c>
      <c r="AS867" t="str">
        <f t="shared" si="5560"/>
        <v/>
      </c>
      <c r="AT867" t="str">
        <f t="shared" si="5561"/>
        <v/>
      </c>
      <c r="AU867" t="str">
        <f t="shared" si="5562"/>
        <v/>
      </c>
      <c r="AV867" t="str">
        <f t="shared" si="5563"/>
        <v/>
      </c>
      <c r="AW867" t="str">
        <f t="shared" si="5564"/>
        <v xml:space="preserve">                              </v>
      </c>
      <c r="AX867" s="23">
        <f t="shared" si="5565"/>
        <v>0</v>
      </c>
      <c r="AY867" s="49" t="str">
        <f t="shared" si="5541"/>
        <v>000000000000000</v>
      </c>
      <c r="AZ867" s="23">
        <f t="shared" si="5566"/>
        <v>0</v>
      </c>
      <c r="BA867" s="49" t="str">
        <f t="shared" si="5541"/>
        <v>000000000000000</v>
      </c>
      <c r="BB867" s="23">
        <f t="shared" si="5567"/>
        <v>0</v>
      </c>
      <c r="BC867" s="49" t="str">
        <f t="shared" ref="BC867" si="5712">IF(BB867&lt;0,SUBSTITUTE(TEXT(BB867,"000000000000,00"),",",""),SUBSTITUTE(TEXT(BB867,"0000000000000,00"),",",""))</f>
        <v>000000000000000</v>
      </c>
      <c r="BD867" s="23">
        <f t="shared" si="5569"/>
        <v>0</v>
      </c>
      <c r="BE867" s="49" t="str">
        <f t="shared" ref="BE867" si="5713">IF(BD867&lt;0,SUBSTITUTE(TEXT(BD867,"000000000000,00"),",",""),SUBSTITUTE(TEXT(BD867,"0000000000000,00"),",",""))</f>
        <v>000000000000000</v>
      </c>
      <c r="BF867" s="23">
        <f t="shared" si="5571"/>
        <v>0</v>
      </c>
      <c r="BG867" s="49" t="str">
        <f t="shared" ref="BG867" si="5714">IF(BF867&lt;0,SUBSTITUTE(TEXT(BF867,"000000000000,00"),",",""),SUBSTITUTE(TEXT(BF867,"0000000000000,00"),",",""))</f>
        <v>000000000000000</v>
      </c>
      <c r="BH867" s="23">
        <f t="shared" si="5573"/>
        <v>0</v>
      </c>
      <c r="BI867" s="49" t="str">
        <f t="shared" ref="BI867" si="5715">IF(BH867&lt;0,SUBSTITUTE(TEXT(BH867,"000000000000,00"),",",""),SUBSTITUTE(TEXT(BH867,"0000000000000,00"),",",""))</f>
        <v>000000000000000</v>
      </c>
      <c r="BJ867" s="23">
        <f t="shared" si="5575"/>
        <v>0</v>
      </c>
      <c r="BK867" s="49" t="str">
        <f t="shared" ref="BK867" si="5716">IF(BJ867&lt;0,SUBSTITUTE(TEXT(BJ867,"000000000000,00"),",",""),SUBSTITUTE(TEXT(BJ867,"0000000000000,00"),",",""))</f>
        <v>000000000000000</v>
      </c>
      <c r="BL867" s="23">
        <f t="shared" si="5577"/>
        <v>0</v>
      </c>
      <c r="BM867" s="49" t="str">
        <f t="shared" ref="BM867" si="5717">IF(BL867&lt;0,SUBSTITUTE(TEXT(BL867,"000000000000,00"),",",""),SUBSTITUTE(TEXT(BL867,"0000000000000,00"),",",""))</f>
        <v>000000000000000</v>
      </c>
      <c r="BN867" t="str">
        <f t="shared" si="5579"/>
        <v>PES</v>
      </c>
      <c r="BO867" t="str">
        <f t="shared" si="5580"/>
        <v>0001000000</v>
      </c>
      <c r="BP867">
        <f t="shared" si="5581"/>
        <v>0</v>
      </c>
      <c r="BQ867">
        <f t="shared" si="5582"/>
        <v>0</v>
      </c>
      <c r="BR867" s="23">
        <f t="shared" si="5583"/>
        <v>0</v>
      </c>
      <c r="BS867" s="49" t="str">
        <f t="shared" si="5548"/>
        <v>000000000000000</v>
      </c>
      <c r="BT867" t="str">
        <f t="shared" si="5584"/>
        <v>00000000</v>
      </c>
      <c r="BU867" s="23">
        <f t="shared" si="5585"/>
        <v>0</v>
      </c>
      <c r="BV867" s="49" t="str">
        <f t="shared" si="5549"/>
        <v/>
      </c>
      <c r="BW867" s="52" t="str">
        <f t="shared" si="5586"/>
        <v/>
      </c>
      <c r="BX867" s="23">
        <f t="shared" si="5587"/>
        <v>0</v>
      </c>
      <c r="BY867" s="49" t="str">
        <f t="shared" si="5550"/>
        <v/>
      </c>
      <c r="BZ867" s="23">
        <f t="shared" si="5588"/>
        <v>0</v>
      </c>
      <c r="CA867" s="49" t="str">
        <f t="shared" si="5551"/>
        <v/>
      </c>
      <c r="CB867" s="52" t="str">
        <f t="shared" si="5589"/>
        <v/>
      </c>
      <c r="CC867" s="23">
        <f t="shared" si="5590"/>
        <v>0</v>
      </c>
      <c r="CD867" s="49" t="str">
        <f t="shared" si="5552"/>
        <v/>
      </c>
      <c r="CE867" s="56" t="str">
        <f>IF(CF867="","",MAX(CE$10:$CE866)+1)</f>
        <v/>
      </c>
      <c r="CF867" t="str">
        <f t="shared" si="5591"/>
        <v/>
      </c>
      <c r="CG867" s="22" t="str">
        <f>IF(CH867="","",MAX($CG$10:CG866)+1)</f>
        <v/>
      </c>
      <c r="CH867" s="22" t="str">
        <f t="shared" si="5536"/>
        <v/>
      </c>
      <c r="CI867" s="22" t="str">
        <f>IF(CJ867="","",MAX($CI$10:CI866)+1)</f>
        <v/>
      </c>
      <c r="CJ867" s="22" t="str">
        <f t="shared" si="5537"/>
        <v/>
      </c>
    </row>
    <row r="868" spans="2:88" x14ac:dyDescent="0.25">
      <c r="B868" s="37"/>
      <c r="C868" s="3"/>
      <c r="D868" s="77" t="str">
        <f t="shared" si="5523"/>
        <v/>
      </c>
      <c r="E868" s="38"/>
      <c r="F868" s="38"/>
      <c r="G868" s="78">
        <f t="shared" si="5538"/>
        <v>0</v>
      </c>
      <c r="H868" s="3">
        <v>80</v>
      </c>
      <c r="I868" s="77" t="str">
        <f t="shared" si="5524"/>
        <v/>
      </c>
      <c r="J868" s="32"/>
      <c r="K868" s="3"/>
      <c r="L868" s="39"/>
      <c r="M868" s="39"/>
      <c r="N868" s="39"/>
      <c r="O868" s="39"/>
      <c r="P868" s="39"/>
      <c r="Q868" s="39"/>
      <c r="R868" s="39"/>
      <c r="S868" s="39"/>
      <c r="T868" s="3" t="s">
        <v>645</v>
      </c>
      <c r="U868" s="77" t="str">
        <f t="shared" si="5525"/>
        <v/>
      </c>
      <c r="V868" s="39">
        <v>1</v>
      </c>
      <c r="W868" s="79">
        <f t="shared" si="5539"/>
        <v>0</v>
      </c>
      <c r="X868" s="3">
        <v>0</v>
      </c>
      <c r="Y868" s="77" t="str">
        <f t="shared" si="5526"/>
        <v/>
      </c>
      <c r="Z868" s="3"/>
      <c r="AA868" s="37" t="str">
        <f t="shared" si="5540"/>
        <v/>
      </c>
      <c r="AC868" s="40"/>
      <c r="AD868" s="7"/>
      <c r="AE868" s="77" t="str">
        <f t="shared" si="5527"/>
        <v/>
      </c>
      <c r="AF868" s="81">
        <f t="shared" si="5553"/>
        <v>0</v>
      </c>
      <c r="AG868" s="40"/>
      <c r="AH868" s="7"/>
      <c r="AI868" s="77" t="str">
        <f t="shared" si="5528"/>
        <v/>
      </c>
      <c r="AJ868" s="81">
        <f t="shared" si="5554"/>
        <v>0</v>
      </c>
      <c r="AK868" s="83">
        <f t="shared" si="5555"/>
        <v>0</v>
      </c>
      <c r="AL868" s="83">
        <f t="shared" si="5556"/>
        <v>0</v>
      </c>
      <c r="AN868" s="43">
        <f t="shared" si="5529"/>
        <v>0</v>
      </c>
      <c r="AP868" t="str">
        <f t="shared" si="5557"/>
        <v/>
      </c>
      <c r="AQ868" t="str">
        <f t="shared" si="5558"/>
        <v/>
      </c>
      <c r="AR868" t="str">
        <f t="shared" si="5559"/>
        <v/>
      </c>
      <c r="AS868" t="str">
        <f t="shared" si="5560"/>
        <v/>
      </c>
      <c r="AT868" t="str">
        <f t="shared" si="5561"/>
        <v/>
      </c>
      <c r="AU868" t="str">
        <f t="shared" si="5562"/>
        <v/>
      </c>
      <c r="AV868" t="str">
        <f t="shared" si="5563"/>
        <v/>
      </c>
      <c r="AW868" t="str">
        <f t="shared" si="5564"/>
        <v xml:space="preserve">                              </v>
      </c>
      <c r="AX868" s="23">
        <f t="shared" si="5565"/>
        <v>0</v>
      </c>
      <c r="AY868" s="49" t="str">
        <f t="shared" si="5541"/>
        <v>000000000000000</v>
      </c>
      <c r="AZ868" s="23">
        <f t="shared" si="5566"/>
        <v>0</v>
      </c>
      <c r="BA868" s="49" t="str">
        <f t="shared" si="5541"/>
        <v>000000000000000</v>
      </c>
      <c r="BB868" s="23">
        <f t="shared" si="5567"/>
        <v>0</v>
      </c>
      <c r="BC868" s="49" t="str">
        <f t="shared" ref="BC868" si="5718">IF(BB868&lt;0,SUBSTITUTE(TEXT(BB868,"000000000000,00"),",",""),SUBSTITUTE(TEXT(BB868,"0000000000000,00"),",",""))</f>
        <v>000000000000000</v>
      </c>
      <c r="BD868" s="23">
        <f t="shared" si="5569"/>
        <v>0</v>
      </c>
      <c r="BE868" s="49" t="str">
        <f t="shared" ref="BE868" si="5719">IF(BD868&lt;0,SUBSTITUTE(TEXT(BD868,"000000000000,00"),",",""),SUBSTITUTE(TEXT(BD868,"0000000000000,00"),",",""))</f>
        <v>000000000000000</v>
      </c>
      <c r="BF868" s="23">
        <f t="shared" si="5571"/>
        <v>0</v>
      </c>
      <c r="BG868" s="49" t="str">
        <f t="shared" ref="BG868" si="5720">IF(BF868&lt;0,SUBSTITUTE(TEXT(BF868,"000000000000,00"),",",""),SUBSTITUTE(TEXT(BF868,"0000000000000,00"),",",""))</f>
        <v>000000000000000</v>
      </c>
      <c r="BH868" s="23">
        <f t="shared" si="5573"/>
        <v>0</v>
      </c>
      <c r="BI868" s="49" t="str">
        <f t="shared" ref="BI868" si="5721">IF(BH868&lt;0,SUBSTITUTE(TEXT(BH868,"000000000000,00"),",",""),SUBSTITUTE(TEXT(BH868,"0000000000000,00"),",",""))</f>
        <v>000000000000000</v>
      </c>
      <c r="BJ868" s="23">
        <f t="shared" si="5575"/>
        <v>0</v>
      </c>
      <c r="BK868" s="49" t="str">
        <f t="shared" ref="BK868" si="5722">IF(BJ868&lt;0,SUBSTITUTE(TEXT(BJ868,"000000000000,00"),",",""),SUBSTITUTE(TEXT(BJ868,"0000000000000,00"),",",""))</f>
        <v>000000000000000</v>
      </c>
      <c r="BL868" s="23">
        <f t="shared" si="5577"/>
        <v>0</v>
      </c>
      <c r="BM868" s="49" t="str">
        <f t="shared" ref="BM868" si="5723">IF(BL868&lt;0,SUBSTITUTE(TEXT(BL868,"000000000000,00"),",",""),SUBSTITUTE(TEXT(BL868,"0000000000000,00"),",",""))</f>
        <v>000000000000000</v>
      </c>
      <c r="BN868" t="str">
        <f t="shared" si="5579"/>
        <v>PES</v>
      </c>
      <c r="BO868" t="str">
        <f t="shared" si="5580"/>
        <v>0001000000</v>
      </c>
      <c r="BP868">
        <f t="shared" si="5581"/>
        <v>0</v>
      </c>
      <c r="BQ868">
        <f t="shared" si="5582"/>
        <v>0</v>
      </c>
      <c r="BR868" s="23">
        <f t="shared" si="5583"/>
        <v>0</v>
      </c>
      <c r="BS868" s="49" t="str">
        <f t="shared" si="5548"/>
        <v>000000000000000</v>
      </c>
      <c r="BT868" t="str">
        <f t="shared" si="5584"/>
        <v>00000000</v>
      </c>
      <c r="BU868" s="23">
        <f t="shared" si="5585"/>
        <v>0</v>
      </c>
      <c r="BV868" s="49" t="str">
        <f t="shared" si="5549"/>
        <v/>
      </c>
      <c r="BW868" s="52" t="str">
        <f t="shared" si="5586"/>
        <v/>
      </c>
      <c r="BX868" s="23">
        <f t="shared" si="5587"/>
        <v>0</v>
      </c>
      <c r="BY868" s="49" t="str">
        <f t="shared" si="5550"/>
        <v/>
      </c>
      <c r="BZ868" s="23">
        <f t="shared" si="5588"/>
        <v>0</v>
      </c>
      <c r="CA868" s="49" t="str">
        <f t="shared" si="5551"/>
        <v/>
      </c>
      <c r="CB868" s="52" t="str">
        <f t="shared" si="5589"/>
        <v/>
      </c>
      <c r="CC868" s="23">
        <f t="shared" si="5590"/>
        <v>0</v>
      </c>
      <c r="CD868" s="49" t="str">
        <f t="shared" si="5552"/>
        <v/>
      </c>
      <c r="CE868" s="56" t="str">
        <f>IF(CF868="","",MAX(CE$10:$CE867)+1)</f>
        <v/>
      </c>
      <c r="CF868" t="str">
        <f t="shared" si="5591"/>
        <v/>
      </c>
      <c r="CG868" s="22" t="str">
        <f>IF(CH868="","",MAX($CG$10:CG867)+1)</f>
        <v/>
      </c>
      <c r="CH868" s="22" t="str">
        <f t="shared" si="5536"/>
        <v/>
      </c>
      <c r="CI868" s="22" t="str">
        <f>IF(CJ868="","",MAX($CI$10:CI867)+1)</f>
        <v/>
      </c>
      <c r="CJ868" s="22" t="str">
        <f t="shared" si="5537"/>
        <v/>
      </c>
    </row>
    <row r="869" spans="2:88" x14ac:dyDescent="0.25">
      <c r="B869" s="37"/>
      <c r="C869" s="3"/>
      <c r="D869" s="77" t="str">
        <f t="shared" si="5523"/>
        <v/>
      </c>
      <c r="E869" s="38"/>
      <c r="F869" s="38"/>
      <c r="G869" s="78">
        <f t="shared" si="5538"/>
        <v>0</v>
      </c>
      <c r="H869" s="3">
        <v>80</v>
      </c>
      <c r="I869" s="77" t="str">
        <f t="shared" si="5524"/>
        <v/>
      </c>
      <c r="J869" s="32"/>
      <c r="K869" s="3"/>
      <c r="L869" s="39"/>
      <c r="M869" s="39"/>
      <c r="N869" s="39"/>
      <c r="O869" s="39"/>
      <c r="P869" s="39"/>
      <c r="Q869" s="39"/>
      <c r="R869" s="39"/>
      <c r="S869" s="39"/>
      <c r="T869" s="3" t="s">
        <v>645</v>
      </c>
      <c r="U869" s="77" t="str">
        <f t="shared" si="5525"/>
        <v/>
      </c>
      <c r="V869" s="39">
        <v>1</v>
      </c>
      <c r="W869" s="79">
        <f t="shared" si="5539"/>
        <v>0</v>
      </c>
      <c r="X869" s="3">
        <v>0</v>
      </c>
      <c r="Y869" s="77" t="str">
        <f t="shared" si="5526"/>
        <v/>
      </c>
      <c r="Z869" s="3"/>
      <c r="AA869" s="37" t="str">
        <f t="shared" si="5540"/>
        <v/>
      </c>
      <c r="AC869" s="40"/>
      <c r="AD869" s="7"/>
      <c r="AE869" s="77" t="str">
        <f t="shared" si="5527"/>
        <v/>
      </c>
      <c r="AF869" s="81">
        <f t="shared" si="5553"/>
        <v>0</v>
      </c>
      <c r="AG869" s="40"/>
      <c r="AH869" s="7"/>
      <c r="AI869" s="77" t="str">
        <f t="shared" si="5528"/>
        <v/>
      </c>
      <c r="AJ869" s="81">
        <f t="shared" si="5554"/>
        <v>0</v>
      </c>
      <c r="AK869" s="83">
        <f t="shared" si="5555"/>
        <v>0</v>
      </c>
      <c r="AL869" s="83">
        <f t="shared" si="5556"/>
        <v>0</v>
      </c>
      <c r="AN869" s="43">
        <f t="shared" si="5529"/>
        <v>0</v>
      </c>
      <c r="AP869" t="str">
        <f t="shared" si="5557"/>
        <v/>
      </c>
      <c r="AQ869" t="str">
        <f t="shared" si="5558"/>
        <v/>
      </c>
      <c r="AR869" t="str">
        <f t="shared" si="5559"/>
        <v/>
      </c>
      <c r="AS869" t="str">
        <f t="shared" si="5560"/>
        <v/>
      </c>
      <c r="AT869" t="str">
        <f t="shared" si="5561"/>
        <v/>
      </c>
      <c r="AU869" t="str">
        <f t="shared" si="5562"/>
        <v/>
      </c>
      <c r="AV869" t="str">
        <f t="shared" si="5563"/>
        <v/>
      </c>
      <c r="AW869" t="str">
        <f t="shared" si="5564"/>
        <v xml:space="preserve">                              </v>
      </c>
      <c r="AX869" s="23">
        <f t="shared" si="5565"/>
        <v>0</v>
      </c>
      <c r="AY869" s="49" t="str">
        <f t="shared" si="5541"/>
        <v>000000000000000</v>
      </c>
      <c r="AZ869" s="23">
        <f t="shared" si="5566"/>
        <v>0</v>
      </c>
      <c r="BA869" s="49" t="str">
        <f t="shared" si="5541"/>
        <v>000000000000000</v>
      </c>
      <c r="BB869" s="23">
        <f t="shared" si="5567"/>
        <v>0</v>
      </c>
      <c r="BC869" s="49" t="str">
        <f t="shared" ref="BC869" si="5724">IF(BB869&lt;0,SUBSTITUTE(TEXT(BB869,"000000000000,00"),",",""),SUBSTITUTE(TEXT(BB869,"0000000000000,00"),",",""))</f>
        <v>000000000000000</v>
      </c>
      <c r="BD869" s="23">
        <f t="shared" si="5569"/>
        <v>0</v>
      </c>
      <c r="BE869" s="49" t="str">
        <f t="shared" ref="BE869" si="5725">IF(BD869&lt;0,SUBSTITUTE(TEXT(BD869,"000000000000,00"),",",""),SUBSTITUTE(TEXT(BD869,"0000000000000,00"),",",""))</f>
        <v>000000000000000</v>
      </c>
      <c r="BF869" s="23">
        <f t="shared" si="5571"/>
        <v>0</v>
      </c>
      <c r="BG869" s="49" t="str">
        <f t="shared" ref="BG869" si="5726">IF(BF869&lt;0,SUBSTITUTE(TEXT(BF869,"000000000000,00"),",",""),SUBSTITUTE(TEXT(BF869,"0000000000000,00"),",",""))</f>
        <v>000000000000000</v>
      </c>
      <c r="BH869" s="23">
        <f t="shared" si="5573"/>
        <v>0</v>
      </c>
      <c r="BI869" s="49" t="str">
        <f t="shared" ref="BI869" si="5727">IF(BH869&lt;0,SUBSTITUTE(TEXT(BH869,"000000000000,00"),",",""),SUBSTITUTE(TEXT(BH869,"0000000000000,00"),",",""))</f>
        <v>000000000000000</v>
      </c>
      <c r="BJ869" s="23">
        <f t="shared" si="5575"/>
        <v>0</v>
      </c>
      <c r="BK869" s="49" t="str">
        <f t="shared" ref="BK869" si="5728">IF(BJ869&lt;0,SUBSTITUTE(TEXT(BJ869,"000000000000,00"),",",""),SUBSTITUTE(TEXT(BJ869,"0000000000000,00"),",",""))</f>
        <v>000000000000000</v>
      </c>
      <c r="BL869" s="23">
        <f t="shared" si="5577"/>
        <v>0</v>
      </c>
      <c r="BM869" s="49" t="str">
        <f t="shared" ref="BM869" si="5729">IF(BL869&lt;0,SUBSTITUTE(TEXT(BL869,"000000000000,00"),",",""),SUBSTITUTE(TEXT(BL869,"0000000000000,00"),",",""))</f>
        <v>000000000000000</v>
      </c>
      <c r="BN869" t="str">
        <f t="shared" si="5579"/>
        <v>PES</v>
      </c>
      <c r="BO869" t="str">
        <f t="shared" si="5580"/>
        <v>0001000000</v>
      </c>
      <c r="BP869">
        <f t="shared" si="5581"/>
        <v>0</v>
      </c>
      <c r="BQ869">
        <f t="shared" si="5582"/>
        <v>0</v>
      </c>
      <c r="BR869" s="23">
        <f t="shared" si="5583"/>
        <v>0</v>
      </c>
      <c r="BS869" s="49" t="str">
        <f t="shared" si="5548"/>
        <v>000000000000000</v>
      </c>
      <c r="BT869" t="str">
        <f t="shared" si="5584"/>
        <v>00000000</v>
      </c>
      <c r="BU869" s="23">
        <f t="shared" si="5585"/>
        <v>0</v>
      </c>
      <c r="BV869" s="49" t="str">
        <f t="shared" si="5549"/>
        <v/>
      </c>
      <c r="BW869" s="52" t="str">
        <f t="shared" si="5586"/>
        <v/>
      </c>
      <c r="BX869" s="23">
        <f t="shared" si="5587"/>
        <v>0</v>
      </c>
      <c r="BY869" s="49" t="str">
        <f t="shared" si="5550"/>
        <v/>
      </c>
      <c r="BZ869" s="23">
        <f t="shared" si="5588"/>
        <v>0</v>
      </c>
      <c r="CA869" s="49" t="str">
        <f t="shared" si="5551"/>
        <v/>
      </c>
      <c r="CB869" s="52" t="str">
        <f t="shared" si="5589"/>
        <v/>
      </c>
      <c r="CC869" s="23">
        <f t="shared" si="5590"/>
        <v>0</v>
      </c>
      <c r="CD869" s="49" t="str">
        <f t="shared" si="5552"/>
        <v/>
      </c>
      <c r="CE869" s="56" t="str">
        <f>IF(CF869="","",MAX(CE$10:$CE868)+1)</f>
        <v/>
      </c>
      <c r="CF869" t="str">
        <f t="shared" si="5591"/>
        <v/>
      </c>
      <c r="CG869" s="22" t="str">
        <f>IF(CH869="","",MAX($CG$10:CG868)+1)</f>
        <v/>
      </c>
      <c r="CH869" s="22" t="str">
        <f t="shared" si="5536"/>
        <v/>
      </c>
      <c r="CI869" s="22" t="str">
        <f>IF(CJ869="","",MAX($CI$10:CI868)+1)</f>
        <v/>
      </c>
      <c r="CJ869" s="22" t="str">
        <f t="shared" si="5537"/>
        <v/>
      </c>
    </row>
    <row r="870" spans="2:88" x14ac:dyDescent="0.25">
      <c r="B870" s="37"/>
      <c r="C870" s="3"/>
      <c r="D870" s="77" t="str">
        <f t="shared" si="5523"/>
        <v/>
      </c>
      <c r="E870" s="38"/>
      <c r="F870" s="38"/>
      <c r="G870" s="78">
        <f t="shared" si="5538"/>
        <v>0</v>
      </c>
      <c r="H870" s="3">
        <v>80</v>
      </c>
      <c r="I870" s="77" t="str">
        <f t="shared" si="5524"/>
        <v/>
      </c>
      <c r="J870" s="32"/>
      <c r="K870" s="3"/>
      <c r="L870" s="39"/>
      <c r="M870" s="39"/>
      <c r="N870" s="39"/>
      <c r="O870" s="39"/>
      <c r="P870" s="39"/>
      <c r="Q870" s="39"/>
      <c r="R870" s="39"/>
      <c r="S870" s="39"/>
      <c r="T870" s="3" t="s">
        <v>645</v>
      </c>
      <c r="U870" s="77" t="str">
        <f t="shared" si="5525"/>
        <v/>
      </c>
      <c r="V870" s="39">
        <v>1</v>
      </c>
      <c r="W870" s="79">
        <f t="shared" si="5539"/>
        <v>0</v>
      </c>
      <c r="X870" s="3">
        <v>0</v>
      </c>
      <c r="Y870" s="77" t="str">
        <f t="shared" si="5526"/>
        <v/>
      </c>
      <c r="Z870" s="3"/>
      <c r="AA870" s="37" t="str">
        <f t="shared" si="5540"/>
        <v/>
      </c>
      <c r="AC870" s="40"/>
      <c r="AD870" s="7"/>
      <c r="AE870" s="77" t="str">
        <f t="shared" si="5527"/>
        <v/>
      </c>
      <c r="AF870" s="81">
        <f t="shared" si="5553"/>
        <v>0</v>
      </c>
      <c r="AG870" s="40"/>
      <c r="AH870" s="7"/>
      <c r="AI870" s="77" t="str">
        <f t="shared" si="5528"/>
        <v/>
      </c>
      <c r="AJ870" s="81">
        <f t="shared" si="5554"/>
        <v>0</v>
      </c>
      <c r="AK870" s="83">
        <f t="shared" si="5555"/>
        <v>0</v>
      </c>
      <c r="AL870" s="83">
        <f t="shared" si="5556"/>
        <v>0</v>
      </c>
      <c r="AN870" s="43">
        <f t="shared" si="5529"/>
        <v>0</v>
      </c>
      <c r="AP870" t="str">
        <f t="shared" si="5557"/>
        <v/>
      </c>
      <c r="AQ870" t="str">
        <f t="shared" si="5558"/>
        <v/>
      </c>
      <c r="AR870" t="str">
        <f t="shared" si="5559"/>
        <v/>
      </c>
      <c r="AS870" t="str">
        <f t="shared" si="5560"/>
        <v/>
      </c>
      <c r="AT870" t="str">
        <f t="shared" si="5561"/>
        <v/>
      </c>
      <c r="AU870" t="str">
        <f t="shared" si="5562"/>
        <v/>
      </c>
      <c r="AV870" t="str">
        <f t="shared" si="5563"/>
        <v/>
      </c>
      <c r="AW870" t="str">
        <f t="shared" si="5564"/>
        <v xml:space="preserve">                              </v>
      </c>
      <c r="AX870" s="23">
        <f t="shared" si="5565"/>
        <v>0</v>
      </c>
      <c r="AY870" s="49" t="str">
        <f t="shared" si="5541"/>
        <v>000000000000000</v>
      </c>
      <c r="AZ870" s="23">
        <f t="shared" si="5566"/>
        <v>0</v>
      </c>
      <c r="BA870" s="49" t="str">
        <f t="shared" si="5541"/>
        <v>000000000000000</v>
      </c>
      <c r="BB870" s="23">
        <f t="shared" si="5567"/>
        <v>0</v>
      </c>
      <c r="BC870" s="49" t="str">
        <f t="shared" ref="BC870" si="5730">IF(BB870&lt;0,SUBSTITUTE(TEXT(BB870,"000000000000,00"),",",""),SUBSTITUTE(TEXT(BB870,"0000000000000,00"),",",""))</f>
        <v>000000000000000</v>
      </c>
      <c r="BD870" s="23">
        <f t="shared" si="5569"/>
        <v>0</v>
      </c>
      <c r="BE870" s="49" t="str">
        <f t="shared" ref="BE870" si="5731">IF(BD870&lt;0,SUBSTITUTE(TEXT(BD870,"000000000000,00"),",",""),SUBSTITUTE(TEXT(BD870,"0000000000000,00"),",",""))</f>
        <v>000000000000000</v>
      </c>
      <c r="BF870" s="23">
        <f t="shared" si="5571"/>
        <v>0</v>
      </c>
      <c r="BG870" s="49" t="str">
        <f t="shared" ref="BG870" si="5732">IF(BF870&lt;0,SUBSTITUTE(TEXT(BF870,"000000000000,00"),",",""),SUBSTITUTE(TEXT(BF870,"0000000000000,00"),",",""))</f>
        <v>000000000000000</v>
      </c>
      <c r="BH870" s="23">
        <f t="shared" si="5573"/>
        <v>0</v>
      </c>
      <c r="BI870" s="49" t="str">
        <f t="shared" ref="BI870" si="5733">IF(BH870&lt;0,SUBSTITUTE(TEXT(BH870,"000000000000,00"),",",""),SUBSTITUTE(TEXT(BH870,"0000000000000,00"),",",""))</f>
        <v>000000000000000</v>
      </c>
      <c r="BJ870" s="23">
        <f t="shared" si="5575"/>
        <v>0</v>
      </c>
      <c r="BK870" s="49" t="str">
        <f t="shared" ref="BK870" si="5734">IF(BJ870&lt;0,SUBSTITUTE(TEXT(BJ870,"000000000000,00"),",",""),SUBSTITUTE(TEXT(BJ870,"0000000000000,00"),",",""))</f>
        <v>000000000000000</v>
      </c>
      <c r="BL870" s="23">
        <f t="shared" si="5577"/>
        <v>0</v>
      </c>
      <c r="BM870" s="49" t="str">
        <f t="shared" ref="BM870" si="5735">IF(BL870&lt;0,SUBSTITUTE(TEXT(BL870,"000000000000,00"),",",""),SUBSTITUTE(TEXT(BL870,"0000000000000,00"),",",""))</f>
        <v>000000000000000</v>
      </c>
      <c r="BN870" t="str">
        <f t="shared" si="5579"/>
        <v>PES</v>
      </c>
      <c r="BO870" t="str">
        <f t="shared" si="5580"/>
        <v>0001000000</v>
      </c>
      <c r="BP870">
        <f t="shared" si="5581"/>
        <v>0</v>
      </c>
      <c r="BQ870">
        <f t="shared" si="5582"/>
        <v>0</v>
      </c>
      <c r="BR870" s="23">
        <f t="shared" si="5583"/>
        <v>0</v>
      </c>
      <c r="BS870" s="49" t="str">
        <f t="shared" si="5548"/>
        <v>000000000000000</v>
      </c>
      <c r="BT870" t="str">
        <f t="shared" si="5584"/>
        <v>00000000</v>
      </c>
      <c r="BU870" s="23">
        <f t="shared" si="5585"/>
        <v>0</v>
      </c>
      <c r="BV870" s="49" t="str">
        <f t="shared" si="5549"/>
        <v/>
      </c>
      <c r="BW870" s="52" t="str">
        <f t="shared" si="5586"/>
        <v/>
      </c>
      <c r="BX870" s="23">
        <f t="shared" si="5587"/>
        <v>0</v>
      </c>
      <c r="BY870" s="49" t="str">
        <f t="shared" si="5550"/>
        <v/>
      </c>
      <c r="BZ870" s="23">
        <f t="shared" si="5588"/>
        <v>0</v>
      </c>
      <c r="CA870" s="49" t="str">
        <f t="shared" si="5551"/>
        <v/>
      </c>
      <c r="CB870" s="52" t="str">
        <f t="shared" si="5589"/>
        <v/>
      </c>
      <c r="CC870" s="23">
        <f t="shared" si="5590"/>
        <v>0</v>
      </c>
      <c r="CD870" s="49" t="str">
        <f t="shared" si="5552"/>
        <v/>
      </c>
      <c r="CE870" s="56" t="str">
        <f>IF(CF870="","",MAX(CE$10:$CE869)+1)</f>
        <v/>
      </c>
      <c r="CF870" t="str">
        <f t="shared" si="5591"/>
        <v/>
      </c>
      <c r="CG870" s="22" t="str">
        <f>IF(CH870="","",MAX($CG$10:CG869)+1)</f>
        <v/>
      </c>
      <c r="CH870" s="22" t="str">
        <f t="shared" si="5536"/>
        <v/>
      </c>
      <c r="CI870" s="22" t="str">
        <f>IF(CJ870="","",MAX($CI$10:CI869)+1)</f>
        <v/>
      </c>
      <c r="CJ870" s="22" t="str">
        <f t="shared" si="5537"/>
        <v/>
      </c>
    </row>
    <row r="871" spans="2:88" x14ac:dyDescent="0.25">
      <c r="B871" s="37"/>
      <c r="C871" s="3"/>
      <c r="D871" s="77" t="str">
        <f t="shared" si="5523"/>
        <v/>
      </c>
      <c r="E871" s="38"/>
      <c r="F871" s="38"/>
      <c r="G871" s="78">
        <f t="shared" si="5538"/>
        <v>0</v>
      </c>
      <c r="H871" s="3">
        <v>80</v>
      </c>
      <c r="I871" s="77" t="str">
        <f t="shared" si="5524"/>
        <v/>
      </c>
      <c r="J871" s="32"/>
      <c r="K871" s="3"/>
      <c r="L871" s="39"/>
      <c r="M871" s="39"/>
      <c r="N871" s="39"/>
      <c r="O871" s="39"/>
      <c r="P871" s="39"/>
      <c r="Q871" s="39"/>
      <c r="R871" s="39"/>
      <c r="S871" s="39"/>
      <c r="T871" s="3" t="s">
        <v>645</v>
      </c>
      <c r="U871" s="77" t="str">
        <f t="shared" si="5525"/>
        <v/>
      </c>
      <c r="V871" s="39">
        <v>1</v>
      </c>
      <c r="W871" s="79">
        <f t="shared" si="5539"/>
        <v>0</v>
      </c>
      <c r="X871" s="3">
        <v>0</v>
      </c>
      <c r="Y871" s="77" t="str">
        <f t="shared" si="5526"/>
        <v/>
      </c>
      <c r="Z871" s="3"/>
      <c r="AA871" s="37" t="str">
        <f t="shared" si="5540"/>
        <v/>
      </c>
      <c r="AC871" s="40"/>
      <c r="AD871" s="7"/>
      <c r="AE871" s="77" t="str">
        <f t="shared" si="5527"/>
        <v/>
      </c>
      <c r="AF871" s="81">
        <f t="shared" si="5553"/>
        <v>0</v>
      </c>
      <c r="AG871" s="40"/>
      <c r="AH871" s="7"/>
      <c r="AI871" s="77" t="str">
        <f t="shared" si="5528"/>
        <v/>
      </c>
      <c r="AJ871" s="81">
        <f t="shared" si="5554"/>
        <v>0</v>
      </c>
      <c r="AK871" s="83">
        <f t="shared" si="5555"/>
        <v>0</v>
      </c>
      <c r="AL871" s="83">
        <f t="shared" si="5556"/>
        <v>0</v>
      </c>
      <c r="AN871" s="43">
        <f t="shared" si="5529"/>
        <v>0</v>
      </c>
      <c r="AP871" t="str">
        <f t="shared" si="5557"/>
        <v/>
      </c>
      <c r="AQ871" t="str">
        <f t="shared" si="5558"/>
        <v/>
      </c>
      <c r="AR871" t="str">
        <f t="shared" si="5559"/>
        <v/>
      </c>
      <c r="AS871" t="str">
        <f t="shared" si="5560"/>
        <v/>
      </c>
      <c r="AT871" t="str">
        <f t="shared" si="5561"/>
        <v/>
      </c>
      <c r="AU871" t="str">
        <f t="shared" si="5562"/>
        <v/>
      </c>
      <c r="AV871" t="str">
        <f t="shared" si="5563"/>
        <v/>
      </c>
      <c r="AW871" t="str">
        <f t="shared" si="5564"/>
        <v xml:space="preserve">                              </v>
      </c>
      <c r="AX871" s="23">
        <f t="shared" si="5565"/>
        <v>0</v>
      </c>
      <c r="AY871" s="49" t="str">
        <f t="shared" si="5541"/>
        <v>000000000000000</v>
      </c>
      <c r="AZ871" s="23">
        <f t="shared" si="5566"/>
        <v>0</v>
      </c>
      <c r="BA871" s="49" t="str">
        <f t="shared" si="5541"/>
        <v>000000000000000</v>
      </c>
      <c r="BB871" s="23">
        <f t="shared" si="5567"/>
        <v>0</v>
      </c>
      <c r="BC871" s="49" t="str">
        <f t="shared" ref="BC871" si="5736">IF(BB871&lt;0,SUBSTITUTE(TEXT(BB871,"000000000000,00"),",",""),SUBSTITUTE(TEXT(BB871,"0000000000000,00"),",",""))</f>
        <v>000000000000000</v>
      </c>
      <c r="BD871" s="23">
        <f t="shared" si="5569"/>
        <v>0</v>
      </c>
      <c r="BE871" s="49" t="str">
        <f t="shared" ref="BE871" si="5737">IF(BD871&lt;0,SUBSTITUTE(TEXT(BD871,"000000000000,00"),",",""),SUBSTITUTE(TEXT(BD871,"0000000000000,00"),",",""))</f>
        <v>000000000000000</v>
      </c>
      <c r="BF871" s="23">
        <f t="shared" si="5571"/>
        <v>0</v>
      </c>
      <c r="BG871" s="49" t="str">
        <f t="shared" ref="BG871" si="5738">IF(BF871&lt;0,SUBSTITUTE(TEXT(BF871,"000000000000,00"),",",""),SUBSTITUTE(TEXT(BF871,"0000000000000,00"),",",""))</f>
        <v>000000000000000</v>
      </c>
      <c r="BH871" s="23">
        <f t="shared" si="5573"/>
        <v>0</v>
      </c>
      <c r="BI871" s="49" t="str">
        <f t="shared" ref="BI871" si="5739">IF(BH871&lt;0,SUBSTITUTE(TEXT(BH871,"000000000000,00"),",",""),SUBSTITUTE(TEXT(BH871,"0000000000000,00"),",",""))</f>
        <v>000000000000000</v>
      </c>
      <c r="BJ871" s="23">
        <f t="shared" si="5575"/>
        <v>0</v>
      </c>
      <c r="BK871" s="49" t="str">
        <f t="shared" ref="BK871" si="5740">IF(BJ871&lt;0,SUBSTITUTE(TEXT(BJ871,"000000000000,00"),",",""),SUBSTITUTE(TEXT(BJ871,"0000000000000,00"),",",""))</f>
        <v>000000000000000</v>
      </c>
      <c r="BL871" s="23">
        <f t="shared" si="5577"/>
        <v>0</v>
      </c>
      <c r="BM871" s="49" t="str">
        <f t="shared" ref="BM871" si="5741">IF(BL871&lt;0,SUBSTITUTE(TEXT(BL871,"000000000000,00"),",",""),SUBSTITUTE(TEXT(BL871,"0000000000000,00"),",",""))</f>
        <v>000000000000000</v>
      </c>
      <c r="BN871" t="str">
        <f t="shared" si="5579"/>
        <v>PES</v>
      </c>
      <c r="BO871" t="str">
        <f t="shared" si="5580"/>
        <v>0001000000</v>
      </c>
      <c r="BP871">
        <f t="shared" si="5581"/>
        <v>0</v>
      </c>
      <c r="BQ871">
        <f t="shared" si="5582"/>
        <v>0</v>
      </c>
      <c r="BR871" s="23">
        <f t="shared" si="5583"/>
        <v>0</v>
      </c>
      <c r="BS871" s="49" t="str">
        <f t="shared" si="5548"/>
        <v>000000000000000</v>
      </c>
      <c r="BT871" t="str">
        <f t="shared" si="5584"/>
        <v>00000000</v>
      </c>
      <c r="BU871" s="23">
        <f t="shared" si="5585"/>
        <v>0</v>
      </c>
      <c r="BV871" s="49" t="str">
        <f t="shared" si="5549"/>
        <v/>
      </c>
      <c r="BW871" s="52" t="str">
        <f t="shared" si="5586"/>
        <v/>
      </c>
      <c r="BX871" s="23">
        <f t="shared" si="5587"/>
        <v>0</v>
      </c>
      <c r="BY871" s="49" t="str">
        <f t="shared" si="5550"/>
        <v/>
      </c>
      <c r="BZ871" s="23">
        <f t="shared" si="5588"/>
        <v>0</v>
      </c>
      <c r="CA871" s="49" t="str">
        <f t="shared" si="5551"/>
        <v/>
      </c>
      <c r="CB871" s="52" t="str">
        <f t="shared" si="5589"/>
        <v/>
      </c>
      <c r="CC871" s="23">
        <f t="shared" si="5590"/>
        <v>0</v>
      </c>
      <c r="CD871" s="49" t="str">
        <f t="shared" si="5552"/>
        <v/>
      </c>
      <c r="CE871" s="56" t="str">
        <f>IF(CF871="","",MAX(CE$10:$CE870)+1)</f>
        <v/>
      </c>
      <c r="CF871" t="str">
        <f t="shared" si="5591"/>
        <v/>
      </c>
      <c r="CG871" s="22" t="str">
        <f>IF(CH871="","",MAX($CG$10:CG870)+1)</f>
        <v/>
      </c>
      <c r="CH871" s="22" t="str">
        <f t="shared" si="5536"/>
        <v/>
      </c>
      <c r="CI871" s="22" t="str">
        <f>IF(CJ871="","",MAX($CI$10:CI870)+1)</f>
        <v/>
      </c>
      <c r="CJ871" s="22" t="str">
        <f t="shared" si="5537"/>
        <v/>
      </c>
    </row>
    <row r="872" spans="2:88" x14ac:dyDescent="0.25">
      <c r="B872" s="37"/>
      <c r="C872" s="3"/>
      <c r="D872" s="77" t="str">
        <f t="shared" si="5523"/>
        <v/>
      </c>
      <c r="E872" s="38"/>
      <c r="F872" s="38"/>
      <c r="G872" s="78">
        <f t="shared" si="5538"/>
        <v>0</v>
      </c>
      <c r="H872" s="3">
        <v>80</v>
      </c>
      <c r="I872" s="77" t="str">
        <f t="shared" si="5524"/>
        <v/>
      </c>
      <c r="J872" s="32"/>
      <c r="K872" s="3"/>
      <c r="L872" s="39"/>
      <c r="M872" s="39"/>
      <c r="N872" s="39"/>
      <c r="O872" s="39"/>
      <c r="P872" s="39"/>
      <c r="Q872" s="39"/>
      <c r="R872" s="39"/>
      <c r="S872" s="39"/>
      <c r="T872" s="3" t="s">
        <v>645</v>
      </c>
      <c r="U872" s="77" t="str">
        <f t="shared" si="5525"/>
        <v/>
      </c>
      <c r="V872" s="39">
        <v>1</v>
      </c>
      <c r="W872" s="79">
        <f t="shared" si="5539"/>
        <v>0</v>
      </c>
      <c r="X872" s="3">
        <v>0</v>
      </c>
      <c r="Y872" s="77" t="str">
        <f t="shared" si="5526"/>
        <v/>
      </c>
      <c r="Z872" s="3"/>
      <c r="AA872" s="37" t="str">
        <f t="shared" si="5540"/>
        <v/>
      </c>
      <c r="AC872" s="40"/>
      <c r="AD872" s="7"/>
      <c r="AE872" s="77" t="str">
        <f t="shared" si="5527"/>
        <v/>
      </c>
      <c r="AF872" s="81">
        <f t="shared" si="5553"/>
        <v>0</v>
      </c>
      <c r="AG872" s="40"/>
      <c r="AH872" s="7"/>
      <c r="AI872" s="77" t="str">
        <f t="shared" si="5528"/>
        <v/>
      </c>
      <c r="AJ872" s="81">
        <f t="shared" si="5554"/>
        <v>0</v>
      </c>
      <c r="AK872" s="83">
        <f t="shared" si="5555"/>
        <v>0</v>
      </c>
      <c r="AL872" s="83">
        <f t="shared" si="5556"/>
        <v>0</v>
      </c>
      <c r="AN872" s="43">
        <f t="shared" si="5529"/>
        <v>0</v>
      </c>
      <c r="AP872" t="str">
        <f t="shared" si="5557"/>
        <v/>
      </c>
      <c r="AQ872" t="str">
        <f t="shared" si="5558"/>
        <v/>
      </c>
      <c r="AR872" t="str">
        <f t="shared" si="5559"/>
        <v/>
      </c>
      <c r="AS872" t="str">
        <f t="shared" si="5560"/>
        <v/>
      </c>
      <c r="AT872" t="str">
        <f t="shared" si="5561"/>
        <v/>
      </c>
      <c r="AU872" t="str">
        <f t="shared" si="5562"/>
        <v/>
      </c>
      <c r="AV872" t="str">
        <f t="shared" si="5563"/>
        <v/>
      </c>
      <c r="AW872" t="str">
        <f t="shared" si="5564"/>
        <v xml:space="preserve">                              </v>
      </c>
      <c r="AX872" s="23">
        <f t="shared" si="5565"/>
        <v>0</v>
      </c>
      <c r="AY872" s="49" t="str">
        <f t="shared" si="5541"/>
        <v>000000000000000</v>
      </c>
      <c r="AZ872" s="23">
        <f t="shared" si="5566"/>
        <v>0</v>
      </c>
      <c r="BA872" s="49" t="str">
        <f t="shared" si="5541"/>
        <v>000000000000000</v>
      </c>
      <c r="BB872" s="23">
        <f t="shared" si="5567"/>
        <v>0</v>
      </c>
      <c r="BC872" s="49" t="str">
        <f t="shared" ref="BC872" si="5742">IF(BB872&lt;0,SUBSTITUTE(TEXT(BB872,"000000000000,00"),",",""),SUBSTITUTE(TEXT(BB872,"0000000000000,00"),",",""))</f>
        <v>000000000000000</v>
      </c>
      <c r="BD872" s="23">
        <f t="shared" si="5569"/>
        <v>0</v>
      </c>
      <c r="BE872" s="49" t="str">
        <f t="shared" ref="BE872" si="5743">IF(BD872&lt;0,SUBSTITUTE(TEXT(BD872,"000000000000,00"),",",""),SUBSTITUTE(TEXT(BD872,"0000000000000,00"),",",""))</f>
        <v>000000000000000</v>
      </c>
      <c r="BF872" s="23">
        <f t="shared" si="5571"/>
        <v>0</v>
      </c>
      <c r="BG872" s="49" t="str">
        <f t="shared" ref="BG872" si="5744">IF(BF872&lt;0,SUBSTITUTE(TEXT(BF872,"000000000000,00"),",",""),SUBSTITUTE(TEXT(BF872,"0000000000000,00"),",",""))</f>
        <v>000000000000000</v>
      </c>
      <c r="BH872" s="23">
        <f t="shared" si="5573"/>
        <v>0</v>
      </c>
      <c r="BI872" s="49" t="str">
        <f t="shared" ref="BI872" si="5745">IF(BH872&lt;0,SUBSTITUTE(TEXT(BH872,"000000000000,00"),",",""),SUBSTITUTE(TEXT(BH872,"0000000000000,00"),",",""))</f>
        <v>000000000000000</v>
      </c>
      <c r="BJ872" s="23">
        <f t="shared" si="5575"/>
        <v>0</v>
      </c>
      <c r="BK872" s="49" t="str">
        <f t="shared" ref="BK872" si="5746">IF(BJ872&lt;0,SUBSTITUTE(TEXT(BJ872,"000000000000,00"),",",""),SUBSTITUTE(TEXT(BJ872,"0000000000000,00"),",",""))</f>
        <v>000000000000000</v>
      </c>
      <c r="BL872" s="23">
        <f t="shared" si="5577"/>
        <v>0</v>
      </c>
      <c r="BM872" s="49" t="str">
        <f t="shared" ref="BM872" si="5747">IF(BL872&lt;0,SUBSTITUTE(TEXT(BL872,"000000000000,00"),",",""),SUBSTITUTE(TEXT(BL872,"0000000000000,00"),",",""))</f>
        <v>000000000000000</v>
      </c>
      <c r="BN872" t="str">
        <f t="shared" si="5579"/>
        <v>PES</v>
      </c>
      <c r="BO872" t="str">
        <f t="shared" si="5580"/>
        <v>0001000000</v>
      </c>
      <c r="BP872">
        <f t="shared" si="5581"/>
        <v>0</v>
      </c>
      <c r="BQ872">
        <f t="shared" si="5582"/>
        <v>0</v>
      </c>
      <c r="BR872" s="23">
        <f t="shared" si="5583"/>
        <v>0</v>
      </c>
      <c r="BS872" s="49" t="str">
        <f t="shared" si="5548"/>
        <v>000000000000000</v>
      </c>
      <c r="BT872" t="str">
        <f t="shared" si="5584"/>
        <v>00000000</v>
      </c>
      <c r="BU872" s="23">
        <f t="shared" si="5585"/>
        <v>0</v>
      </c>
      <c r="BV872" s="49" t="str">
        <f t="shared" si="5549"/>
        <v/>
      </c>
      <c r="BW872" s="52" t="str">
        <f t="shared" si="5586"/>
        <v/>
      </c>
      <c r="BX872" s="23">
        <f t="shared" si="5587"/>
        <v>0</v>
      </c>
      <c r="BY872" s="49" t="str">
        <f t="shared" si="5550"/>
        <v/>
      </c>
      <c r="BZ872" s="23">
        <f t="shared" si="5588"/>
        <v>0</v>
      </c>
      <c r="CA872" s="49" t="str">
        <f t="shared" si="5551"/>
        <v/>
      </c>
      <c r="CB872" s="52" t="str">
        <f t="shared" si="5589"/>
        <v/>
      </c>
      <c r="CC872" s="23">
        <f t="shared" si="5590"/>
        <v>0</v>
      </c>
      <c r="CD872" s="49" t="str">
        <f t="shared" si="5552"/>
        <v/>
      </c>
      <c r="CE872" s="56" t="str">
        <f>IF(CF872="","",MAX(CE$10:$CE871)+1)</f>
        <v/>
      </c>
      <c r="CF872" t="str">
        <f t="shared" si="5591"/>
        <v/>
      </c>
      <c r="CG872" s="22" t="str">
        <f>IF(CH872="","",MAX($CG$10:CG871)+1)</f>
        <v/>
      </c>
      <c r="CH872" s="22" t="str">
        <f t="shared" si="5536"/>
        <v/>
      </c>
      <c r="CI872" s="22" t="str">
        <f>IF(CJ872="","",MAX($CI$10:CI871)+1)</f>
        <v/>
      </c>
      <c r="CJ872" s="22" t="str">
        <f t="shared" si="5537"/>
        <v/>
      </c>
    </row>
    <row r="873" spans="2:88" x14ac:dyDescent="0.25">
      <c r="B873" s="37"/>
      <c r="C873" s="3"/>
      <c r="D873" s="77" t="str">
        <f t="shared" si="5523"/>
        <v/>
      </c>
      <c r="E873" s="38"/>
      <c r="F873" s="38"/>
      <c r="G873" s="78">
        <f t="shared" si="5538"/>
        <v>0</v>
      </c>
      <c r="H873" s="3">
        <v>80</v>
      </c>
      <c r="I873" s="77" t="str">
        <f t="shared" si="5524"/>
        <v/>
      </c>
      <c r="J873" s="32"/>
      <c r="K873" s="3"/>
      <c r="L873" s="39"/>
      <c r="M873" s="39"/>
      <c r="N873" s="39"/>
      <c r="O873" s="39"/>
      <c r="P873" s="39"/>
      <c r="Q873" s="39"/>
      <c r="R873" s="39"/>
      <c r="S873" s="39"/>
      <c r="T873" s="3" t="s">
        <v>645</v>
      </c>
      <c r="U873" s="77" t="str">
        <f t="shared" si="5525"/>
        <v/>
      </c>
      <c r="V873" s="39">
        <v>1</v>
      </c>
      <c r="W873" s="79">
        <f t="shared" si="5539"/>
        <v>0</v>
      </c>
      <c r="X873" s="3">
        <v>0</v>
      </c>
      <c r="Y873" s="77" t="str">
        <f t="shared" si="5526"/>
        <v/>
      </c>
      <c r="Z873" s="3"/>
      <c r="AA873" s="37" t="str">
        <f t="shared" si="5540"/>
        <v/>
      </c>
      <c r="AC873" s="40"/>
      <c r="AD873" s="7"/>
      <c r="AE873" s="77" t="str">
        <f t="shared" si="5527"/>
        <v/>
      </c>
      <c r="AF873" s="81">
        <f t="shared" si="5553"/>
        <v>0</v>
      </c>
      <c r="AG873" s="40"/>
      <c r="AH873" s="7"/>
      <c r="AI873" s="77" t="str">
        <f t="shared" si="5528"/>
        <v/>
      </c>
      <c r="AJ873" s="81">
        <f t="shared" si="5554"/>
        <v>0</v>
      </c>
      <c r="AK873" s="83">
        <f t="shared" si="5555"/>
        <v>0</v>
      </c>
      <c r="AL873" s="83">
        <f t="shared" si="5556"/>
        <v>0</v>
      </c>
      <c r="AN873" s="43">
        <f t="shared" si="5529"/>
        <v>0</v>
      </c>
      <c r="AP873" t="str">
        <f t="shared" si="5557"/>
        <v/>
      </c>
      <c r="AQ873" t="str">
        <f t="shared" si="5558"/>
        <v/>
      </c>
      <c r="AR873" t="str">
        <f t="shared" si="5559"/>
        <v/>
      </c>
      <c r="AS873" t="str">
        <f t="shared" si="5560"/>
        <v/>
      </c>
      <c r="AT873" t="str">
        <f t="shared" si="5561"/>
        <v/>
      </c>
      <c r="AU873" t="str">
        <f t="shared" si="5562"/>
        <v/>
      </c>
      <c r="AV873" t="str">
        <f t="shared" si="5563"/>
        <v/>
      </c>
      <c r="AW873" t="str">
        <f t="shared" si="5564"/>
        <v xml:space="preserve">                              </v>
      </c>
      <c r="AX873" s="23">
        <f t="shared" si="5565"/>
        <v>0</v>
      </c>
      <c r="AY873" s="49" t="str">
        <f t="shared" si="5541"/>
        <v>000000000000000</v>
      </c>
      <c r="AZ873" s="23">
        <f t="shared" si="5566"/>
        <v>0</v>
      </c>
      <c r="BA873" s="49" t="str">
        <f t="shared" si="5541"/>
        <v>000000000000000</v>
      </c>
      <c r="BB873" s="23">
        <f t="shared" si="5567"/>
        <v>0</v>
      </c>
      <c r="BC873" s="49" t="str">
        <f t="shared" ref="BC873" si="5748">IF(BB873&lt;0,SUBSTITUTE(TEXT(BB873,"000000000000,00"),",",""),SUBSTITUTE(TEXT(BB873,"0000000000000,00"),",",""))</f>
        <v>000000000000000</v>
      </c>
      <c r="BD873" s="23">
        <f t="shared" si="5569"/>
        <v>0</v>
      </c>
      <c r="BE873" s="49" t="str">
        <f t="shared" ref="BE873" si="5749">IF(BD873&lt;0,SUBSTITUTE(TEXT(BD873,"000000000000,00"),",",""),SUBSTITUTE(TEXT(BD873,"0000000000000,00"),",",""))</f>
        <v>000000000000000</v>
      </c>
      <c r="BF873" s="23">
        <f t="shared" si="5571"/>
        <v>0</v>
      </c>
      <c r="BG873" s="49" t="str">
        <f t="shared" ref="BG873" si="5750">IF(BF873&lt;0,SUBSTITUTE(TEXT(BF873,"000000000000,00"),",",""),SUBSTITUTE(TEXT(BF873,"0000000000000,00"),",",""))</f>
        <v>000000000000000</v>
      </c>
      <c r="BH873" s="23">
        <f t="shared" si="5573"/>
        <v>0</v>
      </c>
      <c r="BI873" s="49" t="str">
        <f t="shared" ref="BI873" si="5751">IF(BH873&lt;0,SUBSTITUTE(TEXT(BH873,"000000000000,00"),",",""),SUBSTITUTE(TEXT(BH873,"0000000000000,00"),",",""))</f>
        <v>000000000000000</v>
      </c>
      <c r="BJ873" s="23">
        <f t="shared" si="5575"/>
        <v>0</v>
      </c>
      <c r="BK873" s="49" t="str">
        <f t="shared" ref="BK873" si="5752">IF(BJ873&lt;0,SUBSTITUTE(TEXT(BJ873,"000000000000,00"),",",""),SUBSTITUTE(TEXT(BJ873,"0000000000000,00"),",",""))</f>
        <v>000000000000000</v>
      </c>
      <c r="BL873" s="23">
        <f t="shared" si="5577"/>
        <v>0</v>
      </c>
      <c r="BM873" s="49" t="str">
        <f t="shared" ref="BM873" si="5753">IF(BL873&lt;0,SUBSTITUTE(TEXT(BL873,"000000000000,00"),",",""),SUBSTITUTE(TEXT(BL873,"0000000000000,00"),",",""))</f>
        <v>000000000000000</v>
      </c>
      <c r="BN873" t="str">
        <f t="shared" si="5579"/>
        <v>PES</v>
      </c>
      <c r="BO873" t="str">
        <f t="shared" si="5580"/>
        <v>0001000000</v>
      </c>
      <c r="BP873">
        <f t="shared" si="5581"/>
        <v>0</v>
      </c>
      <c r="BQ873">
        <f t="shared" si="5582"/>
        <v>0</v>
      </c>
      <c r="BR873" s="23">
        <f t="shared" si="5583"/>
        <v>0</v>
      </c>
      <c r="BS873" s="49" t="str">
        <f t="shared" si="5548"/>
        <v>000000000000000</v>
      </c>
      <c r="BT873" t="str">
        <f t="shared" si="5584"/>
        <v>00000000</v>
      </c>
      <c r="BU873" s="23">
        <f t="shared" si="5585"/>
        <v>0</v>
      </c>
      <c r="BV873" s="49" t="str">
        <f t="shared" si="5549"/>
        <v/>
      </c>
      <c r="BW873" s="52" t="str">
        <f t="shared" si="5586"/>
        <v/>
      </c>
      <c r="BX873" s="23">
        <f t="shared" si="5587"/>
        <v>0</v>
      </c>
      <c r="BY873" s="49" t="str">
        <f t="shared" si="5550"/>
        <v/>
      </c>
      <c r="BZ873" s="23">
        <f t="shared" si="5588"/>
        <v>0</v>
      </c>
      <c r="CA873" s="49" t="str">
        <f t="shared" si="5551"/>
        <v/>
      </c>
      <c r="CB873" s="52" t="str">
        <f t="shared" si="5589"/>
        <v/>
      </c>
      <c r="CC873" s="23">
        <f t="shared" si="5590"/>
        <v>0</v>
      </c>
      <c r="CD873" s="49" t="str">
        <f t="shared" si="5552"/>
        <v/>
      </c>
      <c r="CE873" s="56" t="str">
        <f>IF(CF873="","",MAX(CE$10:$CE872)+1)</f>
        <v/>
      </c>
      <c r="CF873" t="str">
        <f t="shared" si="5591"/>
        <v/>
      </c>
      <c r="CG873" s="22" t="str">
        <f>IF(CH873="","",MAX($CG$10:CG872)+1)</f>
        <v/>
      </c>
      <c r="CH873" s="22" t="str">
        <f t="shared" si="5536"/>
        <v/>
      </c>
      <c r="CI873" s="22" t="str">
        <f>IF(CJ873="","",MAX($CI$10:CI872)+1)</f>
        <v/>
      </c>
      <c r="CJ873" s="22" t="str">
        <f t="shared" si="5537"/>
        <v/>
      </c>
    </row>
    <row r="874" spans="2:88" x14ac:dyDescent="0.25">
      <c r="B874" s="37"/>
      <c r="C874" s="3"/>
      <c r="D874" s="77" t="str">
        <f t="shared" si="5523"/>
        <v/>
      </c>
      <c r="E874" s="38"/>
      <c r="F874" s="38"/>
      <c r="G874" s="78">
        <f t="shared" si="5538"/>
        <v>0</v>
      </c>
      <c r="H874" s="3">
        <v>80</v>
      </c>
      <c r="I874" s="77" t="str">
        <f t="shared" si="5524"/>
        <v/>
      </c>
      <c r="J874" s="32"/>
      <c r="K874" s="3"/>
      <c r="L874" s="39"/>
      <c r="M874" s="39"/>
      <c r="N874" s="39"/>
      <c r="O874" s="39"/>
      <c r="P874" s="39"/>
      <c r="Q874" s="39"/>
      <c r="R874" s="39"/>
      <c r="S874" s="39"/>
      <c r="T874" s="3" t="s">
        <v>645</v>
      </c>
      <c r="U874" s="77" t="str">
        <f t="shared" si="5525"/>
        <v/>
      </c>
      <c r="V874" s="39">
        <v>1</v>
      </c>
      <c r="W874" s="79">
        <f t="shared" si="5539"/>
        <v>0</v>
      </c>
      <c r="X874" s="3">
        <v>0</v>
      </c>
      <c r="Y874" s="77" t="str">
        <f t="shared" si="5526"/>
        <v/>
      </c>
      <c r="Z874" s="3"/>
      <c r="AA874" s="37" t="str">
        <f t="shared" si="5540"/>
        <v/>
      </c>
      <c r="AC874" s="40"/>
      <c r="AD874" s="7"/>
      <c r="AE874" s="77" t="str">
        <f t="shared" si="5527"/>
        <v/>
      </c>
      <c r="AF874" s="81">
        <f t="shared" si="5553"/>
        <v>0</v>
      </c>
      <c r="AG874" s="40"/>
      <c r="AH874" s="7"/>
      <c r="AI874" s="77" t="str">
        <f t="shared" si="5528"/>
        <v/>
      </c>
      <c r="AJ874" s="81">
        <f t="shared" si="5554"/>
        <v>0</v>
      </c>
      <c r="AK874" s="83">
        <f t="shared" si="5555"/>
        <v>0</v>
      </c>
      <c r="AL874" s="83">
        <f t="shared" si="5556"/>
        <v>0</v>
      </c>
      <c r="AN874" s="43">
        <f t="shared" si="5529"/>
        <v>0</v>
      </c>
      <c r="AP874" t="str">
        <f t="shared" si="5557"/>
        <v/>
      </c>
      <c r="AQ874" t="str">
        <f t="shared" si="5558"/>
        <v/>
      </c>
      <c r="AR874" t="str">
        <f t="shared" si="5559"/>
        <v/>
      </c>
      <c r="AS874" t="str">
        <f t="shared" si="5560"/>
        <v/>
      </c>
      <c r="AT874" t="str">
        <f t="shared" si="5561"/>
        <v/>
      </c>
      <c r="AU874" t="str">
        <f t="shared" si="5562"/>
        <v/>
      </c>
      <c r="AV874" t="str">
        <f t="shared" si="5563"/>
        <v/>
      </c>
      <c r="AW874" t="str">
        <f t="shared" si="5564"/>
        <v xml:space="preserve">                              </v>
      </c>
      <c r="AX874" s="23">
        <f t="shared" si="5565"/>
        <v>0</v>
      </c>
      <c r="AY874" s="49" t="str">
        <f t="shared" si="5541"/>
        <v>000000000000000</v>
      </c>
      <c r="AZ874" s="23">
        <f t="shared" si="5566"/>
        <v>0</v>
      </c>
      <c r="BA874" s="49" t="str">
        <f t="shared" si="5541"/>
        <v>000000000000000</v>
      </c>
      <c r="BB874" s="23">
        <f t="shared" si="5567"/>
        <v>0</v>
      </c>
      <c r="BC874" s="49" t="str">
        <f t="shared" ref="BC874" si="5754">IF(BB874&lt;0,SUBSTITUTE(TEXT(BB874,"000000000000,00"),",",""),SUBSTITUTE(TEXT(BB874,"0000000000000,00"),",",""))</f>
        <v>000000000000000</v>
      </c>
      <c r="BD874" s="23">
        <f t="shared" si="5569"/>
        <v>0</v>
      </c>
      <c r="BE874" s="49" t="str">
        <f t="shared" ref="BE874" si="5755">IF(BD874&lt;0,SUBSTITUTE(TEXT(BD874,"000000000000,00"),",",""),SUBSTITUTE(TEXT(BD874,"0000000000000,00"),",",""))</f>
        <v>000000000000000</v>
      </c>
      <c r="BF874" s="23">
        <f t="shared" si="5571"/>
        <v>0</v>
      </c>
      <c r="BG874" s="49" t="str">
        <f t="shared" ref="BG874" si="5756">IF(BF874&lt;0,SUBSTITUTE(TEXT(BF874,"000000000000,00"),",",""),SUBSTITUTE(TEXT(BF874,"0000000000000,00"),",",""))</f>
        <v>000000000000000</v>
      </c>
      <c r="BH874" s="23">
        <f t="shared" si="5573"/>
        <v>0</v>
      </c>
      <c r="BI874" s="49" t="str">
        <f t="shared" ref="BI874" si="5757">IF(BH874&lt;0,SUBSTITUTE(TEXT(BH874,"000000000000,00"),",",""),SUBSTITUTE(TEXT(BH874,"0000000000000,00"),",",""))</f>
        <v>000000000000000</v>
      </c>
      <c r="BJ874" s="23">
        <f t="shared" si="5575"/>
        <v>0</v>
      </c>
      <c r="BK874" s="49" t="str">
        <f t="shared" ref="BK874" si="5758">IF(BJ874&lt;0,SUBSTITUTE(TEXT(BJ874,"000000000000,00"),",",""),SUBSTITUTE(TEXT(BJ874,"0000000000000,00"),",",""))</f>
        <v>000000000000000</v>
      </c>
      <c r="BL874" s="23">
        <f t="shared" si="5577"/>
        <v>0</v>
      </c>
      <c r="BM874" s="49" t="str">
        <f t="shared" ref="BM874" si="5759">IF(BL874&lt;0,SUBSTITUTE(TEXT(BL874,"000000000000,00"),",",""),SUBSTITUTE(TEXT(BL874,"0000000000000,00"),",",""))</f>
        <v>000000000000000</v>
      </c>
      <c r="BN874" t="str">
        <f t="shared" si="5579"/>
        <v>PES</v>
      </c>
      <c r="BO874" t="str">
        <f t="shared" si="5580"/>
        <v>0001000000</v>
      </c>
      <c r="BP874">
        <f t="shared" si="5581"/>
        <v>0</v>
      </c>
      <c r="BQ874">
        <f t="shared" si="5582"/>
        <v>0</v>
      </c>
      <c r="BR874" s="23">
        <f t="shared" si="5583"/>
        <v>0</v>
      </c>
      <c r="BS874" s="49" t="str">
        <f t="shared" si="5548"/>
        <v>000000000000000</v>
      </c>
      <c r="BT874" t="str">
        <f t="shared" si="5584"/>
        <v>00000000</v>
      </c>
      <c r="BU874" s="23">
        <f t="shared" si="5585"/>
        <v>0</v>
      </c>
      <c r="BV874" s="49" t="str">
        <f t="shared" si="5549"/>
        <v/>
      </c>
      <c r="BW874" s="52" t="str">
        <f t="shared" si="5586"/>
        <v/>
      </c>
      <c r="BX874" s="23">
        <f t="shared" si="5587"/>
        <v>0</v>
      </c>
      <c r="BY874" s="49" t="str">
        <f t="shared" si="5550"/>
        <v/>
      </c>
      <c r="BZ874" s="23">
        <f t="shared" si="5588"/>
        <v>0</v>
      </c>
      <c r="CA874" s="49" t="str">
        <f t="shared" si="5551"/>
        <v/>
      </c>
      <c r="CB874" s="52" t="str">
        <f t="shared" si="5589"/>
        <v/>
      </c>
      <c r="CC874" s="23">
        <f t="shared" si="5590"/>
        <v>0</v>
      </c>
      <c r="CD874" s="49" t="str">
        <f t="shared" si="5552"/>
        <v/>
      </c>
      <c r="CE874" s="56" t="str">
        <f>IF(CF874="","",MAX(CE$10:$CE873)+1)</f>
        <v/>
      </c>
      <c r="CF874" t="str">
        <f t="shared" si="5591"/>
        <v/>
      </c>
      <c r="CG874" s="22" t="str">
        <f>IF(CH874="","",MAX($CG$10:CG873)+1)</f>
        <v/>
      </c>
      <c r="CH874" s="22" t="str">
        <f t="shared" si="5536"/>
        <v/>
      </c>
      <c r="CI874" s="22" t="str">
        <f>IF(CJ874="","",MAX($CI$10:CI873)+1)</f>
        <v/>
      </c>
      <c r="CJ874" s="22" t="str">
        <f t="shared" si="5537"/>
        <v/>
      </c>
    </row>
    <row r="875" spans="2:88" x14ac:dyDescent="0.25">
      <c r="B875" s="37"/>
      <c r="C875" s="3"/>
      <c r="D875" s="77" t="str">
        <f t="shared" si="5523"/>
        <v/>
      </c>
      <c r="E875" s="38"/>
      <c r="F875" s="38"/>
      <c r="G875" s="78">
        <f t="shared" si="5538"/>
        <v>0</v>
      </c>
      <c r="H875" s="3">
        <v>80</v>
      </c>
      <c r="I875" s="77" t="str">
        <f t="shared" si="5524"/>
        <v/>
      </c>
      <c r="J875" s="32"/>
      <c r="K875" s="3"/>
      <c r="L875" s="39"/>
      <c r="M875" s="39"/>
      <c r="N875" s="39"/>
      <c r="O875" s="39"/>
      <c r="P875" s="39"/>
      <c r="Q875" s="39"/>
      <c r="R875" s="39"/>
      <c r="S875" s="39"/>
      <c r="T875" s="3" t="s">
        <v>645</v>
      </c>
      <c r="U875" s="77" t="str">
        <f t="shared" si="5525"/>
        <v/>
      </c>
      <c r="V875" s="39">
        <v>1</v>
      </c>
      <c r="W875" s="79">
        <f t="shared" si="5539"/>
        <v>0</v>
      </c>
      <c r="X875" s="3">
        <v>0</v>
      </c>
      <c r="Y875" s="77" t="str">
        <f t="shared" si="5526"/>
        <v/>
      </c>
      <c r="Z875" s="3"/>
      <c r="AA875" s="37" t="str">
        <f t="shared" si="5540"/>
        <v/>
      </c>
      <c r="AC875" s="40"/>
      <c r="AD875" s="7"/>
      <c r="AE875" s="77" t="str">
        <f t="shared" si="5527"/>
        <v/>
      </c>
      <c r="AF875" s="81">
        <f t="shared" si="5553"/>
        <v>0</v>
      </c>
      <c r="AG875" s="40"/>
      <c r="AH875" s="7"/>
      <c r="AI875" s="77" t="str">
        <f t="shared" si="5528"/>
        <v/>
      </c>
      <c r="AJ875" s="81">
        <f t="shared" si="5554"/>
        <v>0</v>
      </c>
      <c r="AK875" s="83">
        <f t="shared" si="5555"/>
        <v>0</v>
      </c>
      <c r="AL875" s="83">
        <f t="shared" si="5556"/>
        <v>0</v>
      </c>
      <c r="AN875" s="43">
        <f t="shared" si="5529"/>
        <v>0</v>
      </c>
      <c r="AP875" t="str">
        <f t="shared" si="5557"/>
        <v/>
      </c>
      <c r="AQ875" t="str">
        <f t="shared" si="5558"/>
        <v/>
      </c>
      <c r="AR875" t="str">
        <f t="shared" si="5559"/>
        <v/>
      </c>
      <c r="AS875" t="str">
        <f t="shared" si="5560"/>
        <v/>
      </c>
      <c r="AT875" t="str">
        <f t="shared" si="5561"/>
        <v/>
      </c>
      <c r="AU875" t="str">
        <f t="shared" si="5562"/>
        <v/>
      </c>
      <c r="AV875" t="str">
        <f t="shared" si="5563"/>
        <v/>
      </c>
      <c r="AW875" t="str">
        <f t="shared" si="5564"/>
        <v xml:space="preserve">                              </v>
      </c>
      <c r="AX875" s="23">
        <f t="shared" si="5565"/>
        <v>0</v>
      </c>
      <c r="AY875" s="49" t="str">
        <f t="shared" si="5541"/>
        <v>000000000000000</v>
      </c>
      <c r="AZ875" s="23">
        <f t="shared" si="5566"/>
        <v>0</v>
      </c>
      <c r="BA875" s="49" t="str">
        <f t="shared" si="5541"/>
        <v>000000000000000</v>
      </c>
      <c r="BB875" s="23">
        <f t="shared" si="5567"/>
        <v>0</v>
      </c>
      <c r="BC875" s="49" t="str">
        <f t="shared" ref="BC875" si="5760">IF(BB875&lt;0,SUBSTITUTE(TEXT(BB875,"000000000000,00"),",",""),SUBSTITUTE(TEXT(BB875,"0000000000000,00"),",",""))</f>
        <v>000000000000000</v>
      </c>
      <c r="BD875" s="23">
        <f t="shared" si="5569"/>
        <v>0</v>
      </c>
      <c r="BE875" s="49" t="str">
        <f t="shared" ref="BE875" si="5761">IF(BD875&lt;0,SUBSTITUTE(TEXT(BD875,"000000000000,00"),",",""),SUBSTITUTE(TEXT(BD875,"0000000000000,00"),",",""))</f>
        <v>000000000000000</v>
      </c>
      <c r="BF875" s="23">
        <f t="shared" si="5571"/>
        <v>0</v>
      </c>
      <c r="BG875" s="49" t="str">
        <f t="shared" ref="BG875" si="5762">IF(BF875&lt;0,SUBSTITUTE(TEXT(BF875,"000000000000,00"),",",""),SUBSTITUTE(TEXT(BF875,"0000000000000,00"),",",""))</f>
        <v>000000000000000</v>
      </c>
      <c r="BH875" s="23">
        <f t="shared" si="5573"/>
        <v>0</v>
      </c>
      <c r="BI875" s="49" t="str">
        <f t="shared" ref="BI875" si="5763">IF(BH875&lt;0,SUBSTITUTE(TEXT(BH875,"000000000000,00"),",",""),SUBSTITUTE(TEXT(BH875,"0000000000000,00"),",",""))</f>
        <v>000000000000000</v>
      </c>
      <c r="BJ875" s="23">
        <f t="shared" si="5575"/>
        <v>0</v>
      </c>
      <c r="BK875" s="49" t="str">
        <f t="shared" ref="BK875" si="5764">IF(BJ875&lt;0,SUBSTITUTE(TEXT(BJ875,"000000000000,00"),",",""),SUBSTITUTE(TEXT(BJ875,"0000000000000,00"),",",""))</f>
        <v>000000000000000</v>
      </c>
      <c r="BL875" s="23">
        <f t="shared" si="5577"/>
        <v>0</v>
      </c>
      <c r="BM875" s="49" t="str">
        <f t="shared" ref="BM875" si="5765">IF(BL875&lt;0,SUBSTITUTE(TEXT(BL875,"000000000000,00"),",",""),SUBSTITUTE(TEXT(BL875,"0000000000000,00"),",",""))</f>
        <v>000000000000000</v>
      </c>
      <c r="BN875" t="str">
        <f t="shared" si="5579"/>
        <v>PES</v>
      </c>
      <c r="BO875" t="str">
        <f t="shared" si="5580"/>
        <v>0001000000</v>
      </c>
      <c r="BP875">
        <f t="shared" si="5581"/>
        <v>0</v>
      </c>
      <c r="BQ875">
        <f t="shared" si="5582"/>
        <v>0</v>
      </c>
      <c r="BR875" s="23">
        <f t="shared" si="5583"/>
        <v>0</v>
      </c>
      <c r="BS875" s="49" t="str">
        <f t="shared" si="5548"/>
        <v>000000000000000</v>
      </c>
      <c r="BT875" t="str">
        <f t="shared" si="5584"/>
        <v>00000000</v>
      </c>
      <c r="BU875" s="23">
        <f t="shared" si="5585"/>
        <v>0</v>
      </c>
      <c r="BV875" s="49" t="str">
        <f t="shared" si="5549"/>
        <v/>
      </c>
      <c r="BW875" s="52" t="str">
        <f t="shared" si="5586"/>
        <v/>
      </c>
      <c r="BX875" s="23">
        <f t="shared" si="5587"/>
        <v>0</v>
      </c>
      <c r="BY875" s="49" t="str">
        <f t="shared" si="5550"/>
        <v/>
      </c>
      <c r="BZ875" s="23">
        <f t="shared" si="5588"/>
        <v>0</v>
      </c>
      <c r="CA875" s="49" t="str">
        <f t="shared" si="5551"/>
        <v/>
      </c>
      <c r="CB875" s="52" t="str">
        <f t="shared" si="5589"/>
        <v/>
      </c>
      <c r="CC875" s="23">
        <f t="shared" si="5590"/>
        <v>0</v>
      </c>
      <c r="CD875" s="49" t="str">
        <f t="shared" si="5552"/>
        <v/>
      </c>
      <c r="CE875" s="56" t="str">
        <f>IF(CF875="","",MAX(CE$10:$CE874)+1)</f>
        <v/>
      </c>
      <c r="CF875" t="str">
        <f t="shared" si="5591"/>
        <v/>
      </c>
      <c r="CG875" s="22" t="str">
        <f>IF(CH875="","",MAX($CG$10:CG874)+1)</f>
        <v/>
      </c>
      <c r="CH875" s="22" t="str">
        <f t="shared" si="5536"/>
        <v/>
      </c>
      <c r="CI875" s="22" t="str">
        <f>IF(CJ875="","",MAX($CI$10:CI874)+1)</f>
        <v/>
      </c>
      <c r="CJ875" s="22" t="str">
        <f t="shared" si="5537"/>
        <v/>
      </c>
    </row>
    <row r="876" spans="2:88" x14ac:dyDescent="0.25">
      <c r="B876" s="37"/>
      <c r="C876" s="3"/>
      <c r="D876" s="77" t="str">
        <f t="shared" si="5523"/>
        <v/>
      </c>
      <c r="E876" s="38"/>
      <c r="F876" s="38"/>
      <c r="G876" s="78">
        <f t="shared" si="5538"/>
        <v>0</v>
      </c>
      <c r="H876" s="3">
        <v>80</v>
      </c>
      <c r="I876" s="77" t="str">
        <f t="shared" si="5524"/>
        <v/>
      </c>
      <c r="J876" s="32"/>
      <c r="K876" s="3"/>
      <c r="L876" s="39"/>
      <c r="M876" s="39"/>
      <c r="N876" s="39"/>
      <c r="O876" s="39"/>
      <c r="P876" s="39"/>
      <c r="Q876" s="39"/>
      <c r="R876" s="39"/>
      <c r="S876" s="39"/>
      <c r="T876" s="3" t="s">
        <v>645</v>
      </c>
      <c r="U876" s="77" t="str">
        <f t="shared" si="5525"/>
        <v/>
      </c>
      <c r="V876" s="39">
        <v>1</v>
      </c>
      <c r="W876" s="79">
        <f t="shared" si="5539"/>
        <v>0</v>
      </c>
      <c r="X876" s="3">
        <v>0</v>
      </c>
      <c r="Y876" s="77" t="str">
        <f t="shared" si="5526"/>
        <v/>
      </c>
      <c r="Z876" s="3"/>
      <c r="AA876" s="37" t="str">
        <f t="shared" si="5540"/>
        <v/>
      </c>
      <c r="AC876" s="40"/>
      <c r="AD876" s="7"/>
      <c r="AE876" s="77" t="str">
        <f t="shared" si="5527"/>
        <v/>
      </c>
      <c r="AF876" s="81">
        <f t="shared" si="5553"/>
        <v>0</v>
      </c>
      <c r="AG876" s="40"/>
      <c r="AH876" s="7"/>
      <c r="AI876" s="77" t="str">
        <f t="shared" si="5528"/>
        <v/>
      </c>
      <c r="AJ876" s="81">
        <f t="shared" si="5554"/>
        <v>0</v>
      </c>
      <c r="AK876" s="83">
        <f t="shared" si="5555"/>
        <v>0</v>
      </c>
      <c r="AL876" s="83">
        <f t="shared" si="5556"/>
        <v>0</v>
      </c>
      <c r="AN876" s="43">
        <f t="shared" si="5529"/>
        <v>0</v>
      </c>
      <c r="AP876" t="str">
        <f t="shared" si="5557"/>
        <v/>
      </c>
      <c r="AQ876" t="str">
        <f t="shared" si="5558"/>
        <v/>
      </c>
      <c r="AR876" t="str">
        <f t="shared" si="5559"/>
        <v/>
      </c>
      <c r="AS876" t="str">
        <f t="shared" si="5560"/>
        <v/>
      </c>
      <c r="AT876" t="str">
        <f t="shared" si="5561"/>
        <v/>
      </c>
      <c r="AU876" t="str">
        <f t="shared" si="5562"/>
        <v/>
      </c>
      <c r="AV876" t="str">
        <f t="shared" si="5563"/>
        <v/>
      </c>
      <c r="AW876" t="str">
        <f t="shared" si="5564"/>
        <v xml:space="preserve">                              </v>
      </c>
      <c r="AX876" s="23">
        <f t="shared" si="5565"/>
        <v>0</v>
      </c>
      <c r="AY876" s="49" t="str">
        <f t="shared" si="5541"/>
        <v>000000000000000</v>
      </c>
      <c r="AZ876" s="23">
        <f t="shared" si="5566"/>
        <v>0</v>
      </c>
      <c r="BA876" s="49" t="str">
        <f t="shared" si="5541"/>
        <v>000000000000000</v>
      </c>
      <c r="BB876" s="23">
        <f t="shared" si="5567"/>
        <v>0</v>
      </c>
      <c r="BC876" s="49" t="str">
        <f t="shared" ref="BC876" si="5766">IF(BB876&lt;0,SUBSTITUTE(TEXT(BB876,"000000000000,00"),",",""),SUBSTITUTE(TEXT(BB876,"0000000000000,00"),",",""))</f>
        <v>000000000000000</v>
      </c>
      <c r="BD876" s="23">
        <f t="shared" si="5569"/>
        <v>0</v>
      </c>
      <c r="BE876" s="49" t="str">
        <f t="shared" ref="BE876" si="5767">IF(BD876&lt;0,SUBSTITUTE(TEXT(BD876,"000000000000,00"),",",""),SUBSTITUTE(TEXT(BD876,"0000000000000,00"),",",""))</f>
        <v>000000000000000</v>
      </c>
      <c r="BF876" s="23">
        <f t="shared" si="5571"/>
        <v>0</v>
      </c>
      <c r="BG876" s="49" t="str">
        <f t="shared" ref="BG876" si="5768">IF(BF876&lt;0,SUBSTITUTE(TEXT(BF876,"000000000000,00"),",",""),SUBSTITUTE(TEXT(BF876,"0000000000000,00"),",",""))</f>
        <v>000000000000000</v>
      </c>
      <c r="BH876" s="23">
        <f t="shared" si="5573"/>
        <v>0</v>
      </c>
      <c r="BI876" s="49" t="str">
        <f t="shared" ref="BI876" si="5769">IF(BH876&lt;0,SUBSTITUTE(TEXT(BH876,"000000000000,00"),",",""),SUBSTITUTE(TEXT(BH876,"0000000000000,00"),",",""))</f>
        <v>000000000000000</v>
      </c>
      <c r="BJ876" s="23">
        <f t="shared" si="5575"/>
        <v>0</v>
      </c>
      <c r="BK876" s="49" t="str">
        <f t="shared" ref="BK876" si="5770">IF(BJ876&lt;0,SUBSTITUTE(TEXT(BJ876,"000000000000,00"),",",""),SUBSTITUTE(TEXT(BJ876,"0000000000000,00"),",",""))</f>
        <v>000000000000000</v>
      </c>
      <c r="BL876" s="23">
        <f t="shared" si="5577"/>
        <v>0</v>
      </c>
      <c r="BM876" s="49" t="str">
        <f t="shared" ref="BM876" si="5771">IF(BL876&lt;0,SUBSTITUTE(TEXT(BL876,"000000000000,00"),",",""),SUBSTITUTE(TEXT(BL876,"0000000000000,00"),",",""))</f>
        <v>000000000000000</v>
      </c>
      <c r="BN876" t="str">
        <f t="shared" si="5579"/>
        <v>PES</v>
      </c>
      <c r="BO876" t="str">
        <f t="shared" si="5580"/>
        <v>0001000000</v>
      </c>
      <c r="BP876">
        <f t="shared" si="5581"/>
        <v>0</v>
      </c>
      <c r="BQ876">
        <f t="shared" si="5582"/>
        <v>0</v>
      </c>
      <c r="BR876" s="23">
        <f t="shared" si="5583"/>
        <v>0</v>
      </c>
      <c r="BS876" s="49" t="str">
        <f t="shared" si="5548"/>
        <v>000000000000000</v>
      </c>
      <c r="BT876" t="str">
        <f t="shared" si="5584"/>
        <v>00000000</v>
      </c>
      <c r="BU876" s="23">
        <f t="shared" si="5585"/>
        <v>0</v>
      </c>
      <c r="BV876" s="49" t="str">
        <f t="shared" si="5549"/>
        <v/>
      </c>
      <c r="BW876" s="52" t="str">
        <f t="shared" si="5586"/>
        <v/>
      </c>
      <c r="BX876" s="23">
        <f t="shared" si="5587"/>
        <v>0</v>
      </c>
      <c r="BY876" s="49" t="str">
        <f t="shared" si="5550"/>
        <v/>
      </c>
      <c r="BZ876" s="23">
        <f t="shared" si="5588"/>
        <v>0</v>
      </c>
      <c r="CA876" s="49" t="str">
        <f t="shared" si="5551"/>
        <v/>
      </c>
      <c r="CB876" s="52" t="str">
        <f t="shared" si="5589"/>
        <v/>
      </c>
      <c r="CC876" s="23">
        <f t="shared" si="5590"/>
        <v>0</v>
      </c>
      <c r="CD876" s="49" t="str">
        <f t="shared" si="5552"/>
        <v/>
      </c>
      <c r="CE876" s="56" t="str">
        <f>IF(CF876="","",MAX(CE$10:$CE875)+1)</f>
        <v/>
      </c>
      <c r="CF876" t="str">
        <f t="shared" si="5591"/>
        <v/>
      </c>
      <c r="CG876" s="22" t="str">
        <f>IF(CH876="","",MAX($CG$10:CG875)+1)</f>
        <v/>
      </c>
      <c r="CH876" s="22" t="str">
        <f t="shared" si="5536"/>
        <v/>
      </c>
      <c r="CI876" s="22" t="str">
        <f>IF(CJ876="","",MAX($CI$10:CI875)+1)</f>
        <v/>
      </c>
      <c r="CJ876" s="22" t="str">
        <f t="shared" si="5537"/>
        <v/>
      </c>
    </row>
    <row r="877" spans="2:88" x14ac:dyDescent="0.25">
      <c r="B877" s="37"/>
      <c r="C877" s="3"/>
      <c r="D877" s="77" t="str">
        <f t="shared" si="5523"/>
        <v/>
      </c>
      <c r="E877" s="38"/>
      <c r="F877" s="38"/>
      <c r="G877" s="78">
        <f t="shared" si="5538"/>
        <v>0</v>
      </c>
      <c r="H877" s="3">
        <v>80</v>
      </c>
      <c r="I877" s="77" t="str">
        <f t="shared" si="5524"/>
        <v/>
      </c>
      <c r="J877" s="32"/>
      <c r="K877" s="3"/>
      <c r="L877" s="39"/>
      <c r="M877" s="39"/>
      <c r="N877" s="39"/>
      <c r="O877" s="39"/>
      <c r="P877" s="39"/>
      <c r="Q877" s="39"/>
      <c r="R877" s="39"/>
      <c r="S877" s="39"/>
      <c r="T877" s="3" t="s">
        <v>645</v>
      </c>
      <c r="U877" s="77" t="str">
        <f t="shared" si="5525"/>
        <v/>
      </c>
      <c r="V877" s="39">
        <v>1</v>
      </c>
      <c r="W877" s="79">
        <f t="shared" si="5539"/>
        <v>0</v>
      </c>
      <c r="X877" s="3">
        <v>0</v>
      </c>
      <c r="Y877" s="77" t="str">
        <f t="shared" si="5526"/>
        <v/>
      </c>
      <c r="Z877" s="3"/>
      <c r="AA877" s="37" t="str">
        <f t="shared" si="5540"/>
        <v/>
      </c>
      <c r="AC877" s="40"/>
      <c r="AD877" s="7"/>
      <c r="AE877" s="77" t="str">
        <f t="shared" si="5527"/>
        <v/>
      </c>
      <c r="AF877" s="81">
        <f t="shared" si="5553"/>
        <v>0</v>
      </c>
      <c r="AG877" s="40"/>
      <c r="AH877" s="7"/>
      <c r="AI877" s="77" t="str">
        <f t="shared" si="5528"/>
        <v/>
      </c>
      <c r="AJ877" s="81">
        <f t="shared" si="5554"/>
        <v>0</v>
      </c>
      <c r="AK877" s="83">
        <f t="shared" si="5555"/>
        <v>0</v>
      </c>
      <c r="AL877" s="83">
        <f t="shared" si="5556"/>
        <v>0</v>
      </c>
      <c r="AN877" s="43">
        <f t="shared" si="5529"/>
        <v>0</v>
      </c>
      <c r="AP877" t="str">
        <f t="shared" si="5557"/>
        <v/>
      </c>
      <c r="AQ877" t="str">
        <f t="shared" si="5558"/>
        <v/>
      </c>
      <c r="AR877" t="str">
        <f t="shared" si="5559"/>
        <v/>
      </c>
      <c r="AS877" t="str">
        <f t="shared" si="5560"/>
        <v/>
      </c>
      <c r="AT877" t="str">
        <f t="shared" si="5561"/>
        <v/>
      </c>
      <c r="AU877" t="str">
        <f t="shared" si="5562"/>
        <v/>
      </c>
      <c r="AV877" t="str">
        <f t="shared" si="5563"/>
        <v/>
      </c>
      <c r="AW877" t="str">
        <f t="shared" si="5564"/>
        <v xml:space="preserve">                              </v>
      </c>
      <c r="AX877" s="23">
        <f t="shared" si="5565"/>
        <v>0</v>
      </c>
      <c r="AY877" s="49" t="str">
        <f t="shared" si="5541"/>
        <v>000000000000000</v>
      </c>
      <c r="AZ877" s="23">
        <f t="shared" si="5566"/>
        <v>0</v>
      </c>
      <c r="BA877" s="49" t="str">
        <f t="shared" si="5541"/>
        <v>000000000000000</v>
      </c>
      <c r="BB877" s="23">
        <f t="shared" si="5567"/>
        <v>0</v>
      </c>
      <c r="BC877" s="49" t="str">
        <f t="shared" ref="BC877" si="5772">IF(BB877&lt;0,SUBSTITUTE(TEXT(BB877,"000000000000,00"),",",""),SUBSTITUTE(TEXT(BB877,"0000000000000,00"),",",""))</f>
        <v>000000000000000</v>
      </c>
      <c r="BD877" s="23">
        <f t="shared" si="5569"/>
        <v>0</v>
      </c>
      <c r="BE877" s="49" t="str">
        <f t="shared" ref="BE877" si="5773">IF(BD877&lt;0,SUBSTITUTE(TEXT(BD877,"000000000000,00"),",",""),SUBSTITUTE(TEXT(BD877,"0000000000000,00"),",",""))</f>
        <v>000000000000000</v>
      </c>
      <c r="BF877" s="23">
        <f t="shared" si="5571"/>
        <v>0</v>
      </c>
      <c r="BG877" s="49" t="str">
        <f t="shared" ref="BG877" si="5774">IF(BF877&lt;0,SUBSTITUTE(TEXT(BF877,"000000000000,00"),",",""),SUBSTITUTE(TEXT(BF877,"0000000000000,00"),",",""))</f>
        <v>000000000000000</v>
      </c>
      <c r="BH877" s="23">
        <f t="shared" si="5573"/>
        <v>0</v>
      </c>
      <c r="BI877" s="49" t="str">
        <f t="shared" ref="BI877" si="5775">IF(BH877&lt;0,SUBSTITUTE(TEXT(BH877,"000000000000,00"),",",""),SUBSTITUTE(TEXT(BH877,"0000000000000,00"),",",""))</f>
        <v>000000000000000</v>
      </c>
      <c r="BJ877" s="23">
        <f t="shared" si="5575"/>
        <v>0</v>
      </c>
      <c r="BK877" s="49" t="str">
        <f t="shared" ref="BK877" si="5776">IF(BJ877&lt;0,SUBSTITUTE(TEXT(BJ877,"000000000000,00"),",",""),SUBSTITUTE(TEXT(BJ877,"0000000000000,00"),",",""))</f>
        <v>000000000000000</v>
      </c>
      <c r="BL877" s="23">
        <f t="shared" si="5577"/>
        <v>0</v>
      </c>
      <c r="BM877" s="49" t="str">
        <f t="shared" ref="BM877" si="5777">IF(BL877&lt;0,SUBSTITUTE(TEXT(BL877,"000000000000,00"),",",""),SUBSTITUTE(TEXT(BL877,"0000000000000,00"),",",""))</f>
        <v>000000000000000</v>
      </c>
      <c r="BN877" t="str">
        <f t="shared" si="5579"/>
        <v>PES</v>
      </c>
      <c r="BO877" t="str">
        <f t="shared" si="5580"/>
        <v>0001000000</v>
      </c>
      <c r="BP877">
        <f t="shared" si="5581"/>
        <v>0</v>
      </c>
      <c r="BQ877">
        <f t="shared" si="5582"/>
        <v>0</v>
      </c>
      <c r="BR877" s="23">
        <f t="shared" si="5583"/>
        <v>0</v>
      </c>
      <c r="BS877" s="49" t="str">
        <f t="shared" si="5548"/>
        <v>000000000000000</v>
      </c>
      <c r="BT877" t="str">
        <f t="shared" si="5584"/>
        <v>00000000</v>
      </c>
      <c r="BU877" s="23">
        <f t="shared" si="5585"/>
        <v>0</v>
      </c>
      <c r="BV877" s="49" t="str">
        <f t="shared" si="5549"/>
        <v/>
      </c>
      <c r="BW877" s="52" t="str">
        <f t="shared" si="5586"/>
        <v/>
      </c>
      <c r="BX877" s="23">
        <f t="shared" si="5587"/>
        <v>0</v>
      </c>
      <c r="BY877" s="49" t="str">
        <f t="shared" si="5550"/>
        <v/>
      </c>
      <c r="BZ877" s="23">
        <f t="shared" si="5588"/>
        <v>0</v>
      </c>
      <c r="CA877" s="49" t="str">
        <f t="shared" si="5551"/>
        <v/>
      </c>
      <c r="CB877" s="52" t="str">
        <f t="shared" si="5589"/>
        <v/>
      </c>
      <c r="CC877" s="23">
        <f t="shared" si="5590"/>
        <v>0</v>
      </c>
      <c r="CD877" s="49" t="str">
        <f t="shared" si="5552"/>
        <v/>
      </c>
      <c r="CE877" s="56" t="str">
        <f>IF(CF877="","",MAX(CE$10:$CE876)+1)</f>
        <v/>
      </c>
      <c r="CF877" t="str">
        <f t="shared" si="5591"/>
        <v/>
      </c>
      <c r="CG877" s="22" t="str">
        <f>IF(CH877="","",MAX($CG$10:CG876)+1)</f>
        <v/>
      </c>
      <c r="CH877" s="22" t="str">
        <f t="shared" si="5536"/>
        <v/>
      </c>
      <c r="CI877" s="22" t="str">
        <f>IF(CJ877="","",MAX($CI$10:CI876)+1)</f>
        <v/>
      </c>
      <c r="CJ877" s="22" t="str">
        <f t="shared" si="5537"/>
        <v/>
      </c>
    </row>
    <row r="878" spans="2:88" x14ac:dyDescent="0.25">
      <c r="B878" s="37"/>
      <c r="C878" s="3"/>
      <c r="D878" s="77" t="str">
        <f t="shared" si="5523"/>
        <v/>
      </c>
      <c r="E878" s="38"/>
      <c r="F878" s="38"/>
      <c r="G878" s="78">
        <f t="shared" si="5538"/>
        <v>0</v>
      </c>
      <c r="H878" s="3">
        <v>80</v>
      </c>
      <c r="I878" s="77" t="str">
        <f t="shared" si="5524"/>
        <v/>
      </c>
      <c r="J878" s="32"/>
      <c r="K878" s="3"/>
      <c r="L878" s="39"/>
      <c r="M878" s="39"/>
      <c r="N878" s="39"/>
      <c r="O878" s="39"/>
      <c r="P878" s="39"/>
      <c r="Q878" s="39"/>
      <c r="R878" s="39"/>
      <c r="S878" s="39"/>
      <c r="T878" s="3" t="s">
        <v>645</v>
      </c>
      <c r="U878" s="77" t="str">
        <f t="shared" si="5525"/>
        <v/>
      </c>
      <c r="V878" s="39">
        <v>1</v>
      </c>
      <c r="W878" s="79">
        <f t="shared" si="5539"/>
        <v>0</v>
      </c>
      <c r="X878" s="3">
        <v>0</v>
      </c>
      <c r="Y878" s="77" t="str">
        <f t="shared" si="5526"/>
        <v/>
      </c>
      <c r="Z878" s="3"/>
      <c r="AA878" s="37" t="str">
        <f t="shared" si="5540"/>
        <v/>
      </c>
      <c r="AC878" s="40"/>
      <c r="AD878" s="7"/>
      <c r="AE878" s="77" t="str">
        <f t="shared" si="5527"/>
        <v/>
      </c>
      <c r="AF878" s="81">
        <f t="shared" si="5553"/>
        <v>0</v>
      </c>
      <c r="AG878" s="40"/>
      <c r="AH878" s="7"/>
      <c r="AI878" s="77" t="str">
        <f t="shared" si="5528"/>
        <v/>
      </c>
      <c r="AJ878" s="81">
        <f t="shared" si="5554"/>
        <v>0</v>
      </c>
      <c r="AK878" s="83">
        <f t="shared" si="5555"/>
        <v>0</v>
      </c>
      <c r="AL878" s="83">
        <f t="shared" si="5556"/>
        <v>0</v>
      </c>
      <c r="AN878" s="43">
        <f t="shared" si="5529"/>
        <v>0</v>
      </c>
      <c r="AP878" t="str">
        <f t="shared" si="5557"/>
        <v/>
      </c>
      <c r="AQ878" t="str">
        <f t="shared" si="5558"/>
        <v/>
      </c>
      <c r="AR878" t="str">
        <f t="shared" si="5559"/>
        <v/>
      </c>
      <c r="AS878" t="str">
        <f t="shared" si="5560"/>
        <v/>
      </c>
      <c r="AT878" t="str">
        <f t="shared" si="5561"/>
        <v/>
      </c>
      <c r="AU878" t="str">
        <f t="shared" si="5562"/>
        <v/>
      </c>
      <c r="AV878" t="str">
        <f t="shared" si="5563"/>
        <v/>
      </c>
      <c r="AW878" t="str">
        <f t="shared" si="5564"/>
        <v xml:space="preserve">                              </v>
      </c>
      <c r="AX878" s="23">
        <f t="shared" si="5565"/>
        <v>0</v>
      </c>
      <c r="AY878" s="49" t="str">
        <f t="shared" si="5541"/>
        <v>000000000000000</v>
      </c>
      <c r="AZ878" s="23">
        <f t="shared" si="5566"/>
        <v>0</v>
      </c>
      <c r="BA878" s="49" t="str">
        <f t="shared" si="5541"/>
        <v>000000000000000</v>
      </c>
      <c r="BB878" s="23">
        <f t="shared" si="5567"/>
        <v>0</v>
      </c>
      <c r="BC878" s="49" t="str">
        <f t="shared" ref="BC878" si="5778">IF(BB878&lt;0,SUBSTITUTE(TEXT(BB878,"000000000000,00"),",",""),SUBSTITUTE(TEXT(BB878,"0000000000000,00"),",",""))</f>
        <v>000000000000000</v>
      </c>
      <c r="BD878" s="23">
        <f t="shared" si="5569"/>
        <v>0</v>
      </c>
      <c r="BE878" s="49" t="str">
        <f t="shared" ref="BE878" si="5779">IF(BD878&lt;0,SUBSTITUTE(TEXT(BD878,"000000000000,00"),",",""),SUBSTITUTE(TEXT(BD878,"0000000000000,00"),",",""))</f>
        <v>000000000000000</v>
      </c>
      <c r="BF878" s="23">
        <f t="shared" si="5571"/>
        <v>0</v>
      </c>
      <c r="BG878" s="49" t="str">
        <f t="shared" ref="BG878" si="5780">IF(BF878&lt;0,SUBSTITUTE(TEXT(BF878,"000000000000,00"),",",""),SUBSTITUTE(TEXT(BF878,"0000000000000,00"),",",""))</f>
        <v>000000000000000</v>
      </c>
      <c r="BH878" s="23">
        <f t="shared" si="5573"/>
        <v>0</v>
      </c>
      <c r="BI878" s="49" t="str">
        <f t="shared" ref="BI878" si="5781">IF(BH878&lt;0,SUBSTITUTE(TEXT(BH878,"000000000000,00"),",",""),SUBSTITUTE(TEXT(BH878,"0000000000000,00"),",",""))</f>
        <v>000000000000000</v>
      </c>
      <c r="BJ878" s="23">
        <f t="shared" si="5575"/>
        <v>0</v>
      </c>
      <c r="BK878" s="49" t="str">
        <f t="shared" ref="BK878" si="5782">IF(BJ878&lt;0,SUBSTITUTE(TEXT(BJ878,"000000000000,00"),",",""),SUBSTITUTE(TEXT(BJ878,"0000000000000,00"),",",""))</f>
        <v>000000000000000</v>
      </c>
      <c r="BL878" s="23">
        <f t="shared" si="5577"/>
        <v>0</v>
      </c>
      <c r="BM878" s="49" t="str">
        <f t="shared" ref="BM878" si="5783">IF(BL878&lt;0,SUBSTITUTE(TEXT(BL878,"000000000000,00"),",",""),SUBSTITUTE(TEXT(BL878,"0000000000000,00"),",",""))</f>
        <v>000000000000000</v>
      </c>
      <c r="BN878" t="str">
        <f t="shared" si="5579"/>
        <v>PES</v>
      </c>
      <c r="BO878" t="str">
        <f t="shared" si="5580"/>
        <v>0001000000</v>
      </c>
      <c r="BP878">
        <f t="shared" si="5581"/>
        <v>0</v>
      </c>
      <c r="BQ878">
        <f t="shared" si="5582"/>
        <v>0</v>
      </c>
      <c r="BR878" s="23">
        <f t="shared" si="5583"/>
        <v>0</v>
      </c>
      <c r="BS878" s="49" t="str">
        <f t="shared" si="5548"/>
        <v>000000000000000</v>
      </c>
      <c r="BT878" t="str">
        <f t="shared" si="5584"/>
        <v>00000000</v>
      </c>
      <c r="BU878" s="23">
        <f t="shared" si="5585"/>
        <v>0</v>
      </c>
      <c r="BV878" s="49" t="str">
        <f t="shared" si="5549"/>
        <v/>
      </c>
      <c r="BW878" s="52" t="str">
        <f t="shared" si="5586"/>
        <v/>
      </c>
      <c r="BX878" s="23">
        <f t="shared" si="5587"/>
        <v>0</v>
      </c>
      <c r="BY878" s="49" t="str">
        <f t="shared" si="5550"/>
        <v/>
      </c>
      <c r="BZ878" s="23">
        <f t="shared" si="5588"/>
        <v>0</v>
      </c>
      <c r="CA878" s="49" t="str">
        <f t="shared" si="5551"/>
        <v/>
      </c>
      <c r="CB878" s="52" t="str">
        <f t="shared" si="5589"/>
        <v/>
      </c>
      <c r="CC878" s="23">
        <f t="shared" si="5590"/>
        <v>0</v>
      </c>
      <c r="CD878" s="49" t="str">
        <f t="shared" si="5552"/>
        <v/>
      </c>
      <c r="CE878" s="56" t="str">
        <f>IF(CF878="","",MAX(CE$10:$CE877)+1)</f>
        <v/>
      </c>
      <c r="CF878" t="str">
        <f t="shared" si="5591"/>
        <v/>
      </c>
      <c r="CG878" s="22" t="str">
        <f>IF(CH878="","",MAX($CG$10:CG877)+1)</f>
        <v/>
      </c>
      <c r="CH878" s="22" t="str">
        <f t="shared" si="5536"/>
        <v/>
      </c>
      <c r="CI878" s="22" t="str">
        <f>IF(CJ878="","",MAX($CI$10:CI877)+1)</f>
        <v/>
      </c>
      <c r="CJ878" s="22" t="str">
        <f t="shared" si="5537"/>
        <v/>
      </c>
    </row>
    <row r="879" spans="2:88" x14ac:dyDescent="0.25">
      <c r="B879" s="37"/>
      <c r="C879" s="3"/>
      <c r="D879" s="77" t="str">
        <f t="shared" si="5523"/>
        <v/>
      </c>
      <c r="E879" s="38"/>
      <c r="F879" s="38"/>
      <c r="G879" s="78">
        <f t="shared" si="5538"/>
        <v>0</v>
      </c>
      <c r="H879" s="3">
        <v>80</v>
      </c>
      <c r="I879" s="77" t="str">
        <f t="shared" si="5524"/>
        <v/>
      </c>
      <c r="J879" s="32"/>
      <c r="K879" s="3"/>
      <c r="L879" s="39"/>
      <c r="M879" s="39"/>
      <c r="N879" s="39"/>
      <c r="O879" s="39"/>
      <c r="P879" s="39"/>
      <c r="Q879" s="39"/>
      <c r="R879" s="39"/>
      <c r="S879" s="39"/>
      <c r="T879" s="3" t="s">
        <v>645</v>
      </c>
      <c r="U879" s="77" t="str">
        <f t="shared" si="5525"/>
        <v/>
      </c>
      <c r="V879" s="39">
        <v>1</v>
      </c>
      <c r="W879" s="79">
        <f t="shared" si="5539"/>
        <v>0</v>
      </c>
      <c r="X879" s="3">
        <v>0</v>
      </c>
      <c r="Y879" s="77" t="str">
        <f t="shared" si="5526"/>
        <v/>
      </c>
      <c r="Z879" s="3"/>
      <c r="AA879" s="37" t="str">
        <f t="shared" si="5540"/>
        <v/>
      </c>
      <c r="AC879" s="40"/>
      <c r="AD879" s="7"/>
      <c r="AE879" s="77" t="str">
        <f t="shared" si="5527"/>
        <v/>
      </c>
      <c r="AF879" s="81">
        <f t="shared" si="5553"/>
        <v>0</v>
      </c>
      <c r="AG879" s="40"/>
      <c r="AH879" s="7"/>
      <c r="AI879" s="77" t="str">
        <f t="shared" si="5528"/>
        <v/>
      </c>
      <c r="AJ879" s="81">
        <f t="shared" si="5554"/>
        <v>0</v>
      </c>
      <c r="AK879" s="83">
        <f t="shared" si="5555"/>
        <v>0</v>
      </c>
      <c r="AL879" s="83">
        <f t="shared" si="5556"/>
        <v>0</v>
      </c>
      <c r="AN879" s="43">
        <f t="shared" si="5529"/>
        <v>0</v>
      </c>
      <c r="AP879" t="str">
        <f t="shared" si="5557"/>
        <v/>
      </c>
      <c r="AQ879" t="str">
        <f t="shared" si="5558"/>
        <v/>
      </c>
      <c r="AR879" t="str">
        <f t="shared" si="5559"/>
        <v/>
      </c>
      <c r="AS879" t="str">
        <f t="shared" si="5560"/>
        <v/>
      </c>
      <c r="AT879" t="str">
        <f t="shared" si="5561"/>
        <v/>
      </c>
      <c r="AU879" t="str">
        <f t="shared" si="5562"/>
        <v/>
      </c>
      <c r="AV879" t="str">
        <f t="shared" si="5563"/>
        <v/>
      </c>
      <c r="AW879" t="str">
        <f t="shared" si="5564"/>
        <v xml:space="preserve">                              </v>
      </c>
      <c r="AX879" s="23">
        <f t="shared" si="5565"/>
        <v>0</v>
      </c>
      <c r="AY879" s="49" t="str">
        <f t="shared" si="5541"/>
        <v>000000000000000</v>
      </c>
      <c r="AZ879" s="23">
        <f t="shared" si="5566"/>
        <v>0</v>
      </c>
      <c r="BA879" s="49" t="str">
        <f t="shared" si="5541"/>
        <v>000000000000000</v>
      </c>
      <c r="BB879" s="23">
        <f t="shared" si="5567"/>
        <v>0</v>
      </c>
      <c r="BC879" s="49" t="str">
        <f t="shared" ref="BC879" si="5784">IF(BB879&lt;0,SUBSTITUTE(TEXT(BB879,"000000000000,00"),",",""),SUBSTITUTE(TEXT(BB879,"0000000000000,00"),",",""))</f>
        <v>000000000000000</v>
      </c>
      <c r="BD879" s="23">
        <f t="shared" si="5569"/>
        <v>0</v>
      </c>
      <c r="BE879" s="49" t="str">
        <f t="shared" ref="BE879" si="5785">IF(BD879&lt;0,SUBSTITUTE(TEXT(BD879,"000000000000,00"),",",""),SUBSTITUTE(TEXT(BD879,"0000000000000,00"),",",""))</f>
        <v>000000000000000</v>
      </c>
      <c r="BF879" s="23">
        <f t="shared" si="5571"/>
        <v>0</v>
      </c>
      <c r="BG879" s="49" t="str">
        <f t="shared" ref="BG879" si="5786">IF(BF879&lt;0,SUBSTITUTE(TEXT(BF879,"000000000000,00"),",",""),SUBSTITUTE(TEXT(BF879,"0000000000000,00"),",",""))</f>
        <v>000000000000000</v>
      </c>
      <c r="BH879" s="23">
        <f t="shared" si="5573"/>
        <v>0</v>
      </c>
      <c r="BI879" s="49" t="str">
        <f t="shared" ref="BI879" si="5787">IF(BH879&lt;0,SUBSTITUTE(TEXT(BH879,"000000000000,00"),",",""),SUBSTITUTE(TEXT(BH879,"0000000000000,00"),",",""))</f>
        <v>000000000000000</v>
      </c>
      <c r="BJ879" s="23">
        <f t="shared" si="5575"/>
        <v>0</v>
      </c>
      <c r="BK879" s="49" t="str">
        <f t="shared" ref="BK879" si="5788">IF(BJ879&lt;0,SUBSTITUTE(TEXT(BJ879,"000000000000,00"),",",""),SUBSTITUTE(TEXT(BJ879,"0000000000000,00"),",",""))</f>
        <v>000000000000000</v>
      </c>
      <c r="BL879" s="23">
        <f t="shared" si="5577"/>
        <v>0</v>
      </c>
      <c r="BM879" s="49" t="str">
        <f t="shared" ref="BM879" si="5789">IF(BL879&lt;0,SUBSTITUTE(TEXT(BL879,"000000000000,00"),",",""),SUBSTITUTE(TEXT(BL879,"0000000000000,00"),",",""))</f>
        <v>000000000000000</v>
      </c>
      <c r="BN879" t="str">
        <f t="shared" si="5579"/>
        <v>PES</v>
      </c>
      <c r="BO879" t="str">
        <f t="shared" si="5580"/>
        <v>0001000000</v>
      </c>
      <c r="BP879">
        <f t="shared" si="5581"/>
        <v>0</v>
      </c>
      <c r="BQ879">
        <f t="shared" si="5582"/>
        <v>0</v>
      </c>
      <c r="BR879" s="23">
        <f t="shared" si="5583"/>
        <v>0</v>
      </c>
      <c r="BS879" s="49" t="str">
        <f t="shared" si="5548"/>
        <v>000000000000000</v>
      </c>
      <c r="BT879" t="str">
        <f t="shared" si="5584"/>
        <v>00000000</v>
      </c>
      <c r="BU879" s="23">
        <f t="shared" si="5585"/>
        <v>0</v>
      </c>
      <c r="BV879" s="49" t="str">
        <f t="shared" si="5549"/>
        <v/>
      </c>
      <c r="BW879" s="52" t="str">
        <f t="shared" si="5586"/>
        <v/>
      </c>
      <c r="BX879" s="23">
        <f t="shared" si="5587"/>
        <v>0</v>
      </c>
      <c r="BY879" s="49" t="str">
        <f t="shared" si="5550"/>
        <v/>
      </c>
      <c r="BZ879" s="23">
        <f t="shared" si="5588"/>
        <v>0</v>
      </c>
      <c r="CA879" s="49" t="str">
        <f t="shared" si="5551"/>
        <v/>
      </c>
      <c r="CB879" s="52" t="str">
        <f t="shared" si="5589"/>
        <v/>
      </c>
      <c r="CC879" s="23">
        <f t="shared" si="5590"/>
        <v>0</v>
      </c>
      <c r="CD879" s="49" t="str">
        <f t="shared" si="5552"/>
        <v/>
      </c>
      <c r="CE879" s="56" t="str">
        <f>IF(CF879="","",MAX(CE$10:$CE878)+1)</f>
        <v/>
      </c>
      <c r="CF879" t="str">
        <f t="shared" si="5591"/>
        <v/>
      </c>
      <c r="CG879" s="22" t="str">
        <f>IF(CH879="","",MAX($CG$10:CG878)+1)</f>
        <v/>
      </c>
      <c r="CH879" s="22" t="str">
        <f t="shared" si="5536"/>
        <v/>
      </c>
      <c r="CI879" s="22" t="str">
        <f>IF(CJ879="","",MAX($CI$10:CI878)+1)</f>
        <v/>
      </c>
      <c r="CJ879" s="22" t="str">
        <f t="shared" si="5537"/>
        <v/>
      </c>
    </row>
    <row r="880" spans="2:88" x14ac:dyDescent="0.25">
      <c r="B880" s="37"/>
      <c r="C880" s="3"/>
      <c r="D880" s="77" t="str">
        <f t="shared" si="5523"/>
        <v/>
      </c>
      <c r="E880" s="38"/>
      <c r="F880" s="38"/>
      <c r="G880" s="78">
        <f t="shared" si="5538"/>
        <v>0</v>
      </c>
      <c r="H880" s="3">
        <v>80</v>
      </c>
      <c r="I880" s="77" t="str">
        <f t="shared" si="5524"/>
        <v/>
      </c>
      <c r="J880" s="32"/>
      <c r="K880" s="3"/>
      <c r="L880" s="39"/>
      <c r="M880" s="39"/>
      <c r="N880" s="39"/>
      <c r="O880" s="39"/>
      <c r="P880" s="39"/>
      <c r="Q880" s="39"/>
      <c r="R880" s="39"/>
      <c r="S880" s="39"/>
      <c r="T880" s="3" t="s">
        <v>645</v>
      </c>
      <c r="U880" s="77" t="str">
        <f t="shared" si="5525"/>
        <v/>
      </c>
      <c r="V880" s="39">
        <v>1</v>
      </c>
      <c r="W880" s="79">
        <f t="shared" si="5539"/>
        <v>0</v>
      </c>
      <c r="X880" s="3">
        <v>0</v>
      </c>
      <c r="Y880" s="77" t="str">
        <f t="shared" si="5526"/>
        <v/>
      </c>
      <c r="Z880" s="3"/>
      <c r="AA880" s="37" t="str">
        <f t="shared" si="5540"/>
        <v/>
      </c>
      <c r="AC880" s="40"/>
      <c r="AD880" s="7"/>
      <c r="AE880" s="77" t="str">
        <f t="shared" si="5527"/>
        <v/>
      </c>
      <c r="AF880" s="81">
        <f t="shared" si="5553"/>
        <v>0</v>
      </c>
      <c r="AG880" s="40"/>
      <c r="AH880" s="7"/>
      <c r="AI880" s="77" t="str">
        <f t="shared" si="5528"/>
        <v/>
      </c>
      <c r="AJ880" s="81">
        <f t="shared" si="5554"/>
        <v>0</v>
      </c>
      <c r="AK880" s="83">
        <f t="shared" si="5555"/>
        <v>0</v>
      </c>
      <c r="AL880" s="83">
        <f t="shared" si="5556"/>
        <v>0</v>
      </c>
      <c r="AN880" s="43">
        <f t="shared" si="5529"/>
        <v>0</v>
      </c>
      <c r="AP880" t="str">
        <f t="shared" si="5557"/>
        <v/>
      </c>
      <c r="AQ880" t="str">
        <f t="shared" si="5558"/>
        <v/>
      </c>
      <c r="AR880" t="str">
        <f t="shared" si="5559"/>
        <v/>
      </c>
      <c r="AS880" t="str">
        <f t="shared" si="5560"/>
        <v/>
      </c>
      <c r="AT880" t="str">
        <f t="shared" si="5561"/>
        <v/>
      </c>
      <c r="AU880" t="str">
        <f t="shared" si="5562"/>
        <v/>
      </c>
      <c r="AV880" t="str">
        <f t="shared" si="5563"/>
        <v/>
      </c>
      <c r="AW880" t="str">
        <f t="shared" si="5564"/>
        <v xml:space="preserve">                              </v>
      </c>
      <c r="AX880" s="23">
        <f t="shared" si="5565"/>
        <v>0</v>
      </c>
      <c r="AY880" s="49" t="str">
        <f t="shared" si="5541"/>
        <v>000000000000000</v>
      </c>
      <c r="AZ880" s="23">
        <f t="shared" si="5566"/>
        <v>0</v>
      </c>
      <c r="BA880" s="49" t="str">
        <f t="shared" si="5541"/>
        <v>000000000000000</v>
      </c>
      <c r="BB880" s="23">
        <f t="shared" si="5567"/>
        <v>0</v>
      </c>
      <c r="BC880" s="49" t="str">
        <f t="shared" ref="BC880" si="5790">IF(BB880&lt;0,SUBSTITUTE(TEXT(BB880,"000000000000,00"),",",""),SUBSTITUTE(TEXT(BB880,"0000000000000,00"),",",""))</f>
        <v>000000000000000</v>
      </c>
      <c r="BD880" s="23">
        <f t="shared" si="5569"/>
        <v>0</v>
      </c>
      <c r="BE880" s="49" t="str">
        <f t="shared" ref="BE880" si="5791">IF(BD880&lt;0,SUBSTITUTE(TEXT(BD880,"000000000000,00"),",",""),SUBSTITUTE(TEXT(BD880,"0000000000000,00"),",",""))</f>
        <v>000000000000000</v>
      </c>
      <c r="BF880" s="23">
        <f t="shared" si="5571"/>
        <v>0</v>
      </c>
      <c r="BG880" s="49" t="str">
        <f t="shared" ref="BG880" si="5792">IF(BF880&lt;0,SUBSTITUTE(TEXT(BF880,"000000000000,00"),",",""),SUBSTITUTE(TEXT(BF880,"0000000000000,00"),",",""))</f>
        <v>000000000000000</v>
      </c>
      <c r="BH880" s="23">
        <f t="shared" si="5573"/>
        <v>0</v>
      </c>
      <c r="BI880" s="49" t="str">
        <f t="shared" ref="BI880" si="5793">IF(BH880&lt;0,SUBSTITUTE(TEXT(BH880,"000000000000,00"),",",""),SUBSTITUTE(TEXT(BH880,"0000000000000,00"),",",""))</f>
        <v>000000000000000</v>
      </c>
      <c r="BJ880" s="23">
        <f t="shared" si="5575"/>
        <v>0</v>
      </c>
      <c r="BK880" s="49" t="str">
        <f t="shared" ref="BK880" si="5794">IF(BJ880&lt;0,SUBSTITUTE(TEXT(BJ880,"000000000000,00"),",",""),SUBSTITUTE(TEXT(BJ880,"0000000000000,00"),",",""))</f>
        <v>000000000000000</v>
      </c>
      <c r="BL880" s="23">
        <f t="shared" si="5577"/>
        <v>0</v>
      </c>
      <c r="BM880" s="49" t="str">
        <f t="shared" ref="BM880" si="5795">IF(BL880&lt;0,SUBSTITUTE(TEXT(BL880,"000000000000,00"),",",""),SUBSTITUTE(TEXT(BL880,"0000000000000,00"),",",""))</f>
        <v>000000000000000</v>
      </c>
      <c r="BN880" t="str">
        <f t="shared" si="5579"/>
        <v>PES</v>
      </c>
      <c r="BO880" t="str">
        <f t="shared" si="5580"/>
        <v>0001000000</v>
      </c>
      <c r="BP880">
        <f t="shared" si="5581"/>
        <v>0</v>
      </c>
      <c r="BQ880">
        <f t="shared" si="5582"/>
        <v>0</v>
      </c>
      <c r="BR880" s="23">
        <f t="shared" si="5583"/>
        <v>0</v>
      </c>
      <c r="BS880" s="49" t="str">
        <f t="shared" si="5548"/>
        <v>000000000000000</v>
      </c>
      <c r="BT880" t="str">
        <f t="shared" si="5584"/>
        <v>00000000</v>
      </c>
      <c r="BU880" s="23">
        <f t="shared" si="5585"/>
        <v>0</v>
      </c>
      <c r="BV880" s="49" t="str">
        <f t="shared" si="5549"/>
        <v/>
      </c>
      <c r="BW880" s="52" t="str">
        <f t="shared" si="5586"/>
        <v/>
      </c>
      <c r="BX880" s="23">
        <f t="shared" si="5587"/>
        <v>0</v>
      </c>
      <c r="BY880" s="49" t="str">
        <f t="shared" si="5550"/>
        <v/>
      </c>
      <c r="BZ880" s="23">
        <f t="shared" si="5588"/>
        <v>0</v>
      </c>
      <c r="CA880" s="49" t="str">
        <f t="shared" si="5551"/>
        <v/>
      </c>
      <c r="CB880" s="52" t="str">
        <f t="shared" si="5589"/>
        <v/>
      </c>
      <c r="CC880" s="23">
        <f t="shared" si="5590"/>
        <v>0</v>
      </c>
      <c r="CD880" s="49" t="str">
        <f t="shared" si="5552"/>
        <v/>
      </c>
      <c r="CE880" s="56" t="str">
        <f>IF(CF880="","",MAX(CE$10:$CE879)+1)</f>
        <v/>
      </c>
      <c r="CF880" t="str">
        <f t="shared" si="5591"/>
        <v/>
      </c>
      <c r="CG880" s="22" t="str">
        <f>IF(CH880="","",MAX($CG$10:CG879)+1)</f>
        <v/>
      </c>
      <c r="CH880" s="22" t="str">
        <f t="shared" si="5536"/>
        <v/>
      </c>
      <c r="CI880" s="22" t="str">
        <f>IF(CJ880="","",MAX($CI$10:CI879)+1)</f>
        <v/>
      </c>
      <c r="CJ880" s="22" t="str">
        <f t="shared" si="5537"/>
        <v/>
      </c>
    </row>
    <row r="881" spans="2:88" x14ac:dyDescent="0.25">
      <c r="B881" s="37"/>
      <c r="C881" s="3"/>
      <c r="D881" s="77" t="str">
        <f t="shared" si="5523"/>
        <v/>
      </c>
      <c r="E881" s="38"/>
      <c r="F881" s="38"/>
      <c r="G881" s="78">
        <f t="shared" si="5538"/>
        <v>0</v>
      </c>
      <c r="H881" s="3">
        <v>80</v>
      </c>
      <c r="I881" s="77" t="str">
        <f t="shared" si="5524"/>
        <v/>
      </c>
      <c r="J881" s="32"/>
      <c r="K881" s="3"/>
      <c r="L881" s="39"/>
      <c r="M881" s="39"/>
      <c r="N881" s="39"/>
      <c r="O881" s="39"/>
      <c r="P881" s="39"/>
      <c r="Q881" s="39"/>
      <c r="R881" s="39"/>
      <c r="S881" s="39"/>
      <c r="T881" s="3" t="s">
        <v>645</v>
      </c>
      <c r="U881" s="77" t="str">
        <f t="shared" si="5525"/>
        <v/>
      </c>
      <c r="V881" s="39">
        <v>1</v>
      </c>
      <c r="W881" s="79">
        <f t="shared" si="5539"/>
        <v>0</v>
      </c>
      <c r="X881" s="3">
        <v>0</v>
      </c>
      <c r="Y881" s="77" t="str">
        <f t="shared" si="5526"/>
        <v/>
      </c>
      <c r="Z881" s="3"/>
      <c r="AA881" s="37" t="str">
        <f t="shared" si="5540"/>
        <v/>
      </c>
      <c r="AC881" s="40"/>
      <c r="AD881" s="7"/>
      <c r="AE881" s="77" t="str">
        <f t="shared" si="5527"/>
        <v/>
      </c>
      <c r="AF881" s="81">
        <f t="shared" si="5553"/>
        <v>0</v>
      </c>
      <c r="AG881" s="40"/>
      <c r="AH881" s="7"/>
      <c r="AI881" s="77" t="str">
        <f t="shared" si="5528"/>
        <v/>
      </c>
      <c r="AJ881" s="81">
        <f t="shared" si="5554"/>
        <v>0</v>
      </c>
      <c r="AK881" s="83">
        <f t="shared" si="5555"/>
        <v>0</v>
      </c>
      <c r="AL881" s="83">
        <f t="shared" si="5556"/>
        <v>0</v>
      </c>
      <c r="AN881" s="43">
        <f t="shared" si="5529"/>
        <v>0</v>
      </c>
      <c r="AP881" t="str">
        <f t="shared" si="5557"/>
        <v/>
      </c>
      <c r="AQ881" t="str">
        <f t="shared" si="5558"/>
        <v/>
      </c>
      <c r="AR881" t="str">
        <f t="shared" si="5559"/>
        <v/>
      </c>
      <c r="AS881" t="str">
        <f t="shared" si="5560"/>
        <v/>
      </c>
      <c r="AT881" t="str">
        <f t="shared" si="5561"/>
        <v/>
      </c>
      <c r="AU881" t="str">
        <f t="shared" si="5562"/>
        <v/>
      </c>
      <c r="AV881" t="str">
        <f t="shared" si="5563"/>
        <v/>
      </c>
      <c r="AW881" t="str">
        <f t="shared" si="5564"/>
        <v xml:space="preserve">                              </v>
      </c>
      <c r="AX881" s="23">
        <f t="shared" si="5565"/>
        <v>0</v>
      </c>
      <c r="AY881" s="49" t="str">
        <f t="shared" si="5541"/>
        <v>000000000000000</v>
      </c>
      <c r="AZ881" s="23">
        <f t="shared" si="5566"/>
        <v>0</v>
      </c>
      <c r="BA881" s="49" t="str">
        <f t="shared" si="5541"/>
        <v>000000000000000</v>
      </c>
      <c r="BB881" s="23">
        <f t="shared" si="5567"/>
        <v>0</v>
      </c>
      <c r="BC881" s="49" t="str">
        <f t="shared" ref="BC881" si="5796">IF(BB881&lt;0,SUBSTITUTE(TEXT(BB881,"000000000000,00"),",",""),SUBSTITUTE(TEXT(BB881,"0000000000000,00"),",",""))</f>
        <v>000000000000000</v>
      </c>
      <c r="BD881" s="23">
        <f t="shared" si="5569"/>
        <v>0</v>
      </c>
      <c r="BE881" s="49" t="str">
        <f t="shared" ref="BE881" si="5797">IF(BD881&lt;0,SUBSTITUTE(TEXT(BD881,"000000000000,00"),",",""),SUBSTITUTE(TEXT(BD881,"0000000000000,00"),",",""))</f>
        <v>000000000000000</v>
      </c>
      <c r="BF881" s="23">
        <f t="shared" si="5571"/>
        <v>0</v>
      </c>
      <c r="BG881" s="49" t="str">
        <f t="shared" ref="BG881" si="5798">IF(BF881&lt;0,SUBSTITUTE(TEXT(BF881,"000000000000,00"),",",""),SUBSTITUTE(TEXT(BF881,"0000000000000,00"),",",""))</f>
        <v>000000000000000</v>
      </c>
      <c r="BH881" s="23">
        <f t="shared" si="5573"/>
        <v>0</v>
      </c>
      <c r="BI881" s="49" t="str">
        <f t="shared" ref="BI881" si="5799">IF(BH881&lt;0,SUBSTITUTE(TEXT(BH881,"000000000000,00"),",",""),SUBSTITUTE(TEXT(BH881,"0000000000000,00"),",",""))</f>
        <v>000000000000000</v>
      </c>
      <c r="BJ881" s="23">
        <f t="shared" si="5575"/>
        <v>0</v>
      </c>
      <c r="BK881" s="49" t="str">
        <f t="shared" ref="BK881" si="5800">IF(BJ881&lt;0,SUBSTITUTE(TEXT(BJ881,"000000000000,00"),",",""),SUBSTITUTE(TEXT(BJ881,"0000000000000,00"),",",""))</f>
        <v>000000000000000</v>
      </c>
      <c r="BL881" s="23">
        <f t="shared" si="5577"/>
        <v>0</v>
      </c>
      <c r="BM881" s="49" t="str">
        <f t="shared" ref="BM881" si="5801">IF(BL881&lt;0,SUBSTITUTE(TEXT(BL881,"000000000000,00"),",",""),SUBSTITUTE(TEXT(BL881,"0000000000000,00"),",",""))</f>
        <v>000000000000000</v>
      </c>
      <c r="BN881" t="str">
        <f t="shared" si="5579"/>
        <v>PES</v>
      </c>
      <c r="BO881" t="str">
        <f t="shared" si="5580"/>
        <v>0001000000</v>
      </c>
      <c r="BP881">
        <f t="shared" si="5581"/>
        <v>0</v>
      </c>
      <c r="BQ881">
        <f t="shared" si="5582"/>
        <v>0</v>
      </c>
      <c r="BR881" s="23">
        <f t="shared" si="5583"/>
        <v>0</v>
      </c>
      <c r="BS881" s="49" t="str">
        <f t="shared" si="5548"/>
        <v>000000000000000</v>
      </c>
      <c r="BT881" t="str">
        <f t="shared" si="5584"/>
        <v>00000000</v>
      </c>
      <c r="BU881" s="23">
        <f t="shared" si="5585"/>
        <v>0</v>
      </c>
      <c r="BV881" s="49" t="str">
        <f t="shared" si="5549"/>
        <v/>
      </c>
      <c r="BW881" s="52" t="str">
        <f t="shared" si="5586"/>
        <v/>
      </c>
      <c r="BX881" s="23">
        <f t="shared" si="5587"/>
        <v>0</v>
      </c>
      <c r="BY881" s="49" t="str">
        <f t="shared" si="5550"/>
        <v/>
      </c>
      <c r="BZ881" s="23">
        <f t="shared" si="5588"/>
        <v>0</v>
      </c>
      <c r="CA881" s="49" t="str">
        <f t="shared" si="5551"/>
        <v/>
      </c>
      <c r="CB881" s="52" t="str">
        <f t="shared" si="5589"/>
        <v/>
      </c>
      <c r="CC881" s="23">
        <f t="shared" si="5590"/>
        <v>0</v>
      </c>
      <c r="CD881" s="49" t="str">
        <f t="shared" si="5552"/>
        <v/>
      </c>
      <c r="CE881" s="56" t="str">
        <f>IF(CF881="","",MAX(CE$10:$CE880)+1)</f>
        <v/>
      </c>
      <c r="CF881" t="str">
        <f t="shared" si="5591"/>
        <v/>
      </c>
      <c r="CG881" s="22" t="str">
        <f>IF(CH881="","",MAX($CG$10:CG880)+1)</f>
        <v/>
      </c>
      <c r="CH881" s="22" t="str">
        <f t="shared" si="5536"/>
        <v/>
      </c>
      <c r="CI881" s="22" t="str">
        <f>IF(CJ881="","",MAX($CI$10:CI880)+1)</f>
        <v/>
      </c>
      <c r="CJ881" s="22" t="str">
        <f t="shared" si="5537"/>
        <v/>
      </c>
    </row>
    <row r="882" spans="2:88" x14ac:dyDescent="0.25">
      <c r="B882" s="37"/>
      <c r="C882" s="3"/>
      <c r="D882" s="77" t="str">
        <f t="shared" si="5523"/>
        <v/>
      </c>
      <c r="E882" s="38"/>
      <c r="F882" s="38"/>
      <c r="G882" s="78">
        <f t="shared" si="5538"/>
        <v>0</v>
      </c>
      <c r="H882" s="3">
        <v>80</v>
      </c>
      <c r="I882" s="77" t="str">
        <f t="shared" si="5524"/>
        <v/>
      </c>
      <c r="J882" s="32"/>
      <c r="K882" s="3"/>
      <c r="L882" s="39"/>
      <c r="M882" s="39"/>
      <c r="N882" s="39"/>
      <c r="O882" s="39"/>
      <c r="P882" s="39"/>
      <c r="Q882" s="39"/>
      <c r="R882" s="39"/>
      <c r="S882" s="39"/>
      <c r="T882" s="3" t="s">
        <v>645</v>
      </c>
      <c r="U882" s="77" t="str">
        <f t="shared" si="5525"/>
        <v/>
      </c>
      <c r="V882" s="39">
        <v>1</v>
      </c>
      <c r="W882" s="79">
        <f t="shared" si="5539"/>
        <v>0</v>
      </c>
      <c r="X882" s="3">
        <v>0</v>
      </c>
      <c r="Y882" s="77" t="str">
        <f t="shared" si="5526"/>
        <v/>
      </c>
      <c r="Z882" s="3"/>
      <c r="AA882" s="37" t="str">
        <f t="shared" si="5540"/>
        <v/>
      </c>
      <c r="AC882" s="40"/>
      <c r="AD882" s="7"/>
      <c r="AE882" s="77" t="str">
        <f t="shared" si="5527"/>
        <v/>
      </c>
      <c r="AF882" s="81">
        <f t="shared" si="5553"/>
        <v>0</v>
      </c>
      <c r="AG882" s="40"/>
      <c r="AH882" s="7"/>
      <c r="AI882" s="77" t="str">
        <f t="shared" si="5528"/>
        <v/>
      </c>
      <c r="AJ882" s="81">
        <f t="shared" si="5554"/>
        <v>0</v>
      </c>
      <c r="AK882" s="83">
        <f t="shared" si="5555"/>
        <v>0</v>
      </c>
      <c r="AL882" s="83">
        <f t="shared" si="5556"/>
        <v>0</v>
      </c>
      <c r="AN882" s="43">
        <f t="shared" si="5529"/>
        <v>0</v>
      </c>
      <c r="AP882" t="str">
        <f t="shared" si="5557"/>
        <v/>
      </c>
      <c r="AQ882" t="str">
        <f t="shared" si="5558"/>
        <v/>
      </c>
      <c r="AR882" t="str">
        <f t="shared" si="5559"/>
        <v/>
      </c>
      <c r="AS882" t="str">
        <f t="shared" si="5560"/>
        <v/>
      </c>
      <c r="AT882" t="str">
        <f t="shared" si="5561"/>
        <v/>
      </c>
      <c r="AU882" t="str">
        <f t="shared" si="5562"/>
        <v/>
      </c>
      <c r="AV882" t="str">
        <f t="shared" si="5563"/>
        <v/>
      </c>
      <c r="AW882" t="str">
        <f t="shared" si="5564"/>
        <v xml:space="preserve">                              </v>
      </c>
      <c r="AX882" s="23">
        <f t="shared" si="5565"/>
        <v>0</v>
      </c>
      <c r="AY882" s="49" t="str">
        <f t="shared" si="5541"/>
        <v>000000000000000</v>
      </c>
      <c r="AZ882" s="23">
        <f t="shared" si="5566"/>
        <v>0</v>
      </c>
      <c r="BA882" s="49" t="str">
        <f t="shared" si="5541"/>
        <v>000000000000000</v>
      </c>
      <c r="BB882" s="23">
        <f t="shared" si="5567"/>
        <v>0</v>
      </c>
      <c r="BC882" s="49" t="str">
        <f t="shared" ref="BC882" si="5802">IF(BB882&lt;0,SUBSTITUTE(TEXT(BB882,"000000000000,00"),",",""),SUBSTITUTE(TEXT(BB882,"0000000000000,00"),",",""))</f>
        <v>000000000000000</v>
      </c>
      <c r="BD882" s="23">
        <f t="shared" si="5569"/>
        <v>0</v>
      </c>
      <c r="BE882" s="49" t="str">
        <f t="shared" ref="BE882" si="5803">IF(BD882&lt;0,SUBSTITUTE(TEXT(BD882,"000000000000,00"),",",""),SUBSTITUTE(TEXT(BD882,"0000000000000,00"),",",""))</f>
        <v>000000000000000</v>
      </c>
      <c r="BF882" s="23">
        <f t="shared" si="5571"/>
        <v>0</v>
      </c>
      <c r="BG882" s="49" t="str">
        <f t="shared" ref="BG882" si="5804">IF(BF882&lt;0,SUBSTITUTE(TEXT(BF882,"000000000000,00"),",",""),SUBSTITUTE(TEXT(BF882,"0000000000000,00"),",",""))</f>
        <v>000000000000000</v>
      </c>
      <c r="BH882" s="23">
        <f t="shared" si="5573"/>
        <v>0</v>
      </c>
      <c r="BI882" s="49" t="str">
        <f t="shared" ref="BI882" si="5805">IF(BH882&lt;0,SUBSTITUTE(TEXT(BH882,"000000000000,00"),",",""),SUBSTITUTE(TEXT(BH882,"0000000000000,00"),",",""))</f>
        <v>000000000000000</v>
      </c>
      <c r="BJ882" s="23">
        <f t="shared" si="5575"/>
        <v>0</v>
      </c>
      <c r="BK882" s="49" t="str">
        <f t="shared" ref="BK882" si="5806">IF(BJ882&lt;0,SUBSTITUTE(TEXT(BJ882,"000000000000,00"),",",""),SUBSTITUTE(TEXT(BJ882,"0000000000000,00"),",",""))</f>
        <v>000000000000000</v>
      </c>
      <c r="BL882" s="23">
        <f t="shared" si="5577"/>
        <v>0</v>
      </c>
      <c r="BM882" s="49" t="str">
        <f t="shared" ref="BM882" si="5807">IF(BL882&lt;0,SUBSTITUTE(TEXT(BL882,"000000000000,00"),",",""),SUBSTITUTE(TEXT(BL882,"0000000000000,00"),",",""))</f>
        <v>000000000000000</v>
      </c>
      <c r="BN882" t="str">
        <f t="shared" si="5579"/>
        <v>PES</v>
      </c>
      <c r="BO882" t="str">
        <f t="shared" si="5580"/>
        <v>0001000000</v>
      </c>
      <c r="BP882">
        <f t="shared" si="5581"/>
        <v>0</v>
      </c>
      <c r="BQ882">
        <f t="shared" si="5582"/>
        <v>0</v>
      </c>
      <c r="BR882" s="23">
        <f t="shared" si="5583"/>
        <v>0</v>
      </c>
      <c r="BS882" s="49" t="str">
        <f t="shared" si="5548"/>
        <v>000000000000000</v>
      </c>
      <c r="BT882" t="str">
        <f t="shared" si="5584"/>
        <v>00000000</v>
      </c>
      <c r="BU882" s="23">
        <f t="shared" si="5585"/>
        <v>0</v>
      </c>
      <c r="BV882" s="49" t="str">
        <f t="shared" si="5549"/>
        <v/>
      </c>
      <c r="BW882" s="52" t="str">
        <f t="shared" si="5586"/>
        <v/>
      </c>
      <c r="BX882" s="23">
        <f t="shared" si="5587"/>
        <v>0</v>
      </c>
      <c r="BY882" s="49" t="str">
        <f t="shared" si="5550"/>
        <v/>
      </c>
      <c r="BZ882" s="23">
        <f t="shared" si="5588"/>
        <v>0</v>
      </c>
      <c r="CA882" s="49" t="str">
        <f t="shared" si="5551"/>
        <v/>
      </c>
      <c r="CB882" s="52" t="str">
        <f t="shared" si="5589"/>
        <v/>
      </c>
      <c r="CC882" s="23">
        <f t="shared" si="5590"/>
        <v>0</v>
      </c>
      <c r="CD882" s="49" t="str">
        <f t="shared" si="5552"/>
        <v/>
      </c>
      <c r="CE882" s="56" t="str">
        <f>IF(CF882="","",MAX(CE$10:$CE881)+1)</f>
        <v/>
      </c>
      <c r="CF882" t="str">
        <f t="shared" si="5591"/>
        <v/>
      </c>
      <c r="CG882" s="22" t="str">
        <f>IF(CH882="","",MAX($CG$10:CG881)+1)</f>
        <v/>
      </c>
      <c r="CH882" s="22" t="str">
        <f t="shared" si="5536"/>
        <v/>
      </c>
      <c r="CI882" s="22" t="str">
        <f>IF(CJ882="","",MAX($CI$10:CI881)+1)</f>
        <v/>
      </c>
      <c r="CJ882" s="22" t="str">
        <f t="shared" si="5537"/>
        <v/>
      </c>
    </row>
    <row r="883" spans="2:88" x14ac:dyDescent="0.25">
      <c r="B883" s="37"/>
      <c r="C883" s="3"/>
      <c r="D883" s="77" t="str">
        <f t="shared" si="5523"/>
        <v/>
      </c>
      <c r="E883" s="38"/>
      <c r="F883" s="38"/>
      <c r="G883" s="78">
        <f t="shared" si="5538"/>
        <v>0</v>
      </c>
      <c r="H883" s="3">
        <v>80</v>
      </c>
      <c r="I883" s="77" t="str">
        <f t="shared" si="5524"/>
        <v/>
      </c>
      <c r="J883" s="32"/>
      <c r="K883" s="3"/>
      <c r="L883" s="39"/>
      <c r="M883" s="39"/>
      <c r="N883" s="39"/>
      <c r="O883" s="39"/>
      <c r="P883" s="39"/>
      <c r="Q883" s="39"/>
      <c r="R883" s="39"/>
      <c r="S883" s="39"/>
      <c r="T883" s="3" t="s">
        <v>645</v>
      </c>
      <c r="U883" s="77" t="str">
        <f t="shared" si="5525"/>
        <v/>
      </c>
      <c r="V883" s="39">
        <v>1</v>
      </c>
      <c r="W883" s="79">
        <f t="shared" si="5539"/>
        <v>0</v>
      </c>
      <c r="X883" s="3">
        <v>0</v>
      </c>
      <c r="Y883" s="77" t="str">
        <f t="shared" si="5526"/>
        <v/>
      </c>
      <c r="Z883" s="3"/>
      <c r="AA883" s="37" t="str">
        <f t="shared" si="5540"/>
        <v/>
      </c>
      <c r="AC883" s="40"/>
      <c r="AD883" s="7"/>
      <c r="AE883" s="77" t="str">
        <f t="shared" si="5527"/>
        <v/>
      </c>
      <c r="AF883" s="81">
        <f t="shared" si="5553"/>
        <v>0</v>
      </c>
      <c r="AG883" s="40"/>
      <c r="AH883" s="7"/>
      <c r="AI883" s="77" t="str">
        <f t="shared" si="5528"/>
        <v/>
      </c>
      <c r="AJ883" s="81">
        <f t="shared" si="5554"/>
        <v>0</v>
      </c>
      <c r="AK883" s="83">
        <f t="shared" si="5555"/>
        <v>0</v>
      </c>
      <c r="AL883" s="83">
        <f t="shared" si="5556"/>
        <v>0</v>
      </c>
      <c r="AN883" s="43">
        <f t="shared" si="5529"/>
        <v>0</v>
      </c>
      <c r="AP883" t="str">
        <f t="shared" si="5557"/>
        <v/>
      </c>
      <c r="AQ883" t="str">
        <f t="shared" si="5558"/>
        <v/>
      </c>
      <c r="AR883" t="str">
        <f t="shared" si="5559"/>
        <v/>
      </c>
      <c r="AS883" t="str">
        <f t="shared" si="5560"/>
        <v/>
      </c>
      <c r="AT883" t="str">
        <f t="shared" si="5561"/>
        <v/>
      </c>
      <c r="AU883" t="str">
        <f t="shared" si="5562"/>
        <v/>
      </c>
      <c r="AV883" t="str">
        <f t="shared" si="5563"/>
        <v/>
      </c>
      <c r="AW883" t="str">
        <f t="shared" si="5564"/>
        <v xml:space="preserve">                              </v>
      </c>
      <c r="AX883" s="23">
        <f t="shared" si="5565"/>
        <v>0</v>
      </c>
      <c r="AY883" s="49" t="str">
        <f t="shared" si="5541"/>
        <v>000000000000000</v>
      </c>
      <c r="AZ883" s="23">
        <f t="shared" si="5566"/>
        <v>0</v>
      </c>
      <c r="BA883" s="49" t="str">
        <f t="shared" si="5541"/>
        <v>000000000000000</v>
      </c>
      <c r="BB883" s="23">
        <f t="shared" si="5567"/>
        <v>0</v>
      </c>
      <c r="BC883" s="49" t="str">
        <f t="shared" ref="BC883" si="5808">IF(BB883&lt;0,SUBSTITUTE(TEXT(BB883,"000000000000,00"),",",""),SUBSTITUTE(TEXT(BB883,"0000000000000,00"),",",""))</f>
        <v>000000000000000</v>
      </c>
      <c r="BD883" s="23">
        <f t="shared" si="5569"/>
        <v>0</v>
      </c>
      <c r="BE883" s="49" t="str">
        <f t="shared" ref="BE883" si="5809">IF(BD883&lt;0,SUBSTITUTE(TEXT(BD883,"000000000000,00"),",",""),SUBSTITUTE(TEXT(BD883,"0000000000000,00"),",",""))</f>
        <v>000000000000000</v>
      </c>
      <c r="BF883" s="23">
        <f t="shared" si="5571"/>
        <v>0</v>
      </c>
      <c r="BG883" s="49" t="str">
        <f t="shared" ref="BG883" si="5810">IF(BF883&lt;0,SUBSTITUTE(TEXT(BF883,"000000000000,00"),",",""),SUBSTITUTE(TEXT(BF883,"0000000000000,00"),",",""))</f>
        <v>000000000000000</v>
      </c>
      <c r="BH883" s="23">
        <f t="shared" si="5573"/>
        <v>0</v>
      </c>
      <c r="BI883" s="49" t="str">
        <f t="shared" ref="BI883" si="5811">IF(BH883&lt;0,SUBSTITUTE(TEXT(BH883,"000000000000,00"),",",""),SUBSTITUTE(TEXT(BH883,"0000000000000,00"),",",""))</f>
        <v>000000000000000</v>
      </c>
      <c r="BJ883" s="23">
        <f t="shared" si="5575"/>
        <v>0</v>
      </c>
      <c r="BK883" s="49" t="str">
        <f t="shared" ref="BK883" si="5812">IF(BJ883&lt;0,SUBSTITUTE(TEXT(BJ883,"000000000000,00"),",",""),SUBSTITUTE(TEXT(BJ883,"0000000000000,00"),",",""))</f>
        <v>000000000000000</v>
      </c>
      <c r="BL883" s="23">
        <f t="shared" si="5577"/>
        <v>0</v>
      </c>
      <c r="BM883" s="49" t="str">
        <f t="shared" ref="BM883" si="5813">IF(BL883&lt;0,SUBSTITUTE(TEXT(BL883,"000000000000,00"),",",""),SUBSTITUTE(TEXT(BL883,"0000000000000,00"),",",""))</f>
        <v>000000000000000</v>
      </c>
      <c r="BN883" t="str">
        <f t="shared" si="5579"/>
        <v>PES</v>
      </c>
      <c r="BO883" t="str">
        <f t="shared" si="5580"/>
        <v>0001000000</v>
      </c>
      <c r="BP883">
        <f t="shared" si="5581"/>
        <v>0</v>
      </c>
      <c r="BQ883">
        <f t="shared" si="5582"/>
        <v>0</v>
      </c>
      <c r="BR883" s="23">
        <f t="shared" si="5583"/>
        <v>0</v>
      </c>
      <c r="BS883" s="49" t="str">
        <f t="shared" si="5548"/>
        <v>000000000000000</v>
      </c>
      <c r="BT883" t="str">
        <f t="shared" si="5584"/>
        <v>00000000</v>
      </c>
      <c r="BU883" s="23">
        <f t="shared" si="5585"/>
        <v>0</v>
      </c>
      <c r="BV883" s="49" t="str">
        <f t="shared" si="5549"/>
        <v/>
      </c>
      <c r="BW883" s="52" t="str">
        <f t="shared" si="5586"/>
        <v/>
      </c>
      <c r="BX883" s="23">
        <f t="shared" si="5587"/>
        <v>0</v>
      </c>
      <c r="BY883" s="49" t="str">
        <f t="shared" si="5550"/>
        <v/>
      </c>
      <c r="BZ883" s="23">
        <f t="shared" si="5588"/>
        <v>0</v>
      </c>
      <c r="CA883" s="49" t="str">
        <f t="shared" si="5551"/>
        <v/>
      </c>
      <c r="CB883" s="52" t="str">
        <f t="shared" si="5589"/>
        <v/>
      </c>
      <c r="CC883" s="23">
        <f t="shared" si="5590"/>
        <v>0</v>
      </c>
      <c r="CD883" s="49" t="str">
        <f t="shared" si="5552"/>
        <v/>
      </c>
      <c r="CE883" s="56" t="str">
        <f>IF(CF883="","",MAX(CE$10:$CE882)+1)</f>
        <v/>
      </c>
      <c r="CF883" t="str">
        <f t="shared" si="5591"/>
        <v/>
      </c>
      <c r="CG883" s="22" t="str">
        <f>IF(CH883="","",MAX($CG$10:CG882)+1)</f>
        <v/>
      </c>
      <c r="CH883" s="22" t="str">
        <f t="shared" si="5536"/>
        <v/>
      </c>
      <c r="CI883" s="22" t="str">
        <f>IF(CJ883="","",MAX($CI$10:CI882)+1)</f>
        <v/>
      </c>
      <c r="CJ883" s="22" t="str">
        <f t="shared" si="5537"/>
        <v/>
      </c>
    </row>
    <row r="884" spans="2:88" x14ac:dyDescent="0.25">
      <c r="B884" s="37"/>
      <c r="C884" s="3"/>
      <c r="D884" s="77" t="str">
        <f t="shared" si="5523"/>
        <v/>
      </c>
      <c r="E884" s="38"/>
      <c r="F884" s="38"/>
      <c r="G884" s="78">
        <f t="shared" si="5538"/>
        <v>0</v>
      </c>
      <c r="H884" s="3">
        <v>80</v>
      </c>
      <c r="I884" s="77" t="str">
        <f t="shared" si="5524"/>
        <v/>
      </c>
      <c r="J884" s="32"/>
      <c r="K884" s="3"/>
      <c r="L884" s="39"/>
      <c r="M884" s="39"/>
      <c r="N884" s="39"/>
      <c r="O884" s="39"/>
      <c r="P884" s="39"/>
      <c r="Q884" s="39"/>
      <c r="R884" s="39"/>
      <c r="S884" s="39"/>
      <c r="T884" s="3" t="s">
        <v>645</v>
      </c>
      <c r="U884" s="77" t="str">
        <f t="shared" si="5525"/>
        <v/>
      </c>
      <c r="V884" s="39">
        <v>1</v>
      </c>
      <c r="W884" s="79">
        <f t="shared" si="5539"/>
        <v>0</v>
      </c>
      <c r="X884" s="3">
        <v>0</v>
      </c>
      <c r="Y884" s="77" t="str">
        <f t="shared" si="5526"/>
        <v/>
      </c>
      <c r="Z884" s="3"/>
      <c r="AA884" s="37" t="str">
        <f t="shared" si="5540"/>
        <v/>
      </c>
      <c r="AC884" s="40"/>
      <c r="AD884" s="7"/>
      <c r="AE884" s="77" t="str">
        <f t="shared" si="5527"/>
        <v/>
      </c>
      <c r="AF884" s="81">
        <f t="shared" si="5553"/>
        <v>0</v>
      </c>
      <c r="AG884" s="40"/>
      <c r="AH884" s="7"/>
      <c r="AI884" s="77" t="str">
        <f t="shared" si="5528"/>
        <v/>
      </c>
      <c r="AJ884" s="81">
        <f t="shared" si="5554"/>
        <v>0</v>
      </c>
      <c r="AK884" s="83">
        <f t="shared" si="5555"/>
        <v>0</v>
      </c>
      <c r="AL884" s="83">
        <f t="shared" si="5556"/>
        <v>0</v>
      </c>
      <c r="AN884" s="43">
        <f t="shared" si="5529"/>
        <v>0</v>
      </c>
      <c r="AP884" t="str">
        <f t="shared" si="5557"/>
        <v/>
      </c>
      <c r="AQ884" t="str">
        <f t="shared" si="5558"/>
        <v/>
      </c>
      <c r="AR884" t="str">
        <f t="shared" si="5559"/>
        <v/>
      </c>
      <c r="AS884" t="str">
        <f t="shared" si="5560"/>
        <v/>
      </c>
      <c r="AT884" t="str">
        <f t="shared" si="5561"/>
        <v/>
      </c>
      <c r="AU884" t="str">
        <f t="shared" si="5562"/>
        <v/>
      </c>
      <c r="AV884" t="str">
        <f t="shared" si="5563"/>
        <v/>
      </c>
      <c r="AW884" t="str">
        <f t="shared" si="5564"/>
        <v xml:space="preserve">                              </v>
      </c>
      <c r="AX884" s="23">
        <f t="shared" si="5565"/>
        <v>0</v>
      </c>
      <c r="AY884" s="49" t="str">
        <f t="shared" si="5541"/>
        <v>000000000000000</v>
      </c>
      <c r="AZ884" s="23">
        <f t="shared" si="5566"/>
        <v>0</v>
      </c>
      <c r="BA884" s="49" t="str">
        <f t="shared" si="5541"/>
        <v>000000000000000</v>
      </c>
      <c r="BB884" s="23">
        <f t="shared" si="5567"/>
        <v>0</v>
      </c>
      <c r="BC884" s="49" t="str">
        <f t="shared" ref="BC884" si="5814">IF(BB884&lt;0,SUBSTITUTE(TEXT(BB884,"000000000000,00"),",",""),SUBSTITUTE(TEXT(BB884,"0000000000000,00"),",",""))</f>
        <v>000000000000000</v>
      </c>
      <c r="BD884" s="23">
        <f t="shared" si="5569"/>
        <v>0</v>
      </c>
      <c r="BE884" s="49" t="str">
        <f t="shared" ref="BE884" si="5815">IF(BD884&lt;0,SUBSTITUTE(TEXT(BD884,"000000000000,00"),",",""),SUBSTITUTE(TEXT(BD884,"0000000000000,00"),",",""))</f>
        <v>000000000000000</v>
      </c>
      <c r="BF884" s="23">
        <f t="shared" si="5571"/>
        <v>0</v>
      </c>
      <c r="BG884" s="49" t="str">
        <f t="shared" ref="BG884" si="5816">IF(BF884&lt;0,SUBSTITUTE(TEXT(BF884,"000000000000,00"),",",""),SUBSTITUTE(TEXT(BF884,"0000000000000,00"),",",""))</f>
        <v>000000000000000</v>
      </c>
      <c r="BH884" s="23">
        <f t="shared" si="5573"/>
        <v>0</v>
      </c>
      <c r="BI884" s="49" t="str">
        <f t="shared" ref="BI884" si="5817">IF(BH884&lt;0,SUBSTITUTE(TEXT(BH884,"000000000000,00"),",",""),SUBSTITUTE(TEXT(BH884,"0000000000000,00"),",",""))</f>
        <v>000000000000000</v>
      </c>
      <c r="BJ884" s="23">
        <f t="shared" si="5575"/>
        <v>0</v>
      </c>
      <c r="BK884" s="49" t="str">
        <f t="shared" ref="BK884" si="5818">IF(BJ884&lt;0,SUBSTITUTE(TEXT(BJ884,"000000000000,00"),",",""),SUBSTITUTE(TEXT(BJ884,"0000000000000,00"),",",""))</f>
        <v>000000000000000</v>
      </c>
      <c r="BL884" s="23">
        <f t="shared" si="5577"/>
        <v>0</v>
      </c>
      <c r="BM884" s="49" t="str">
        <f t="shared" ref="BM884" si="5819">IF(BL884&lt;0,SUBSTITUTE(TEXT(BL884,"000000000000,00"),",",""),SUBSTITUTE(TEXT(BL884,"0000000000000,00"),",",""))</f>
        <v>000000000000000</v>
      </c>
      <c r="BN884" t="str">
        <f t="shared" si="5579"/>
        <v>PES</v>
      </c>
      <c r="BO884" t="str">
        <f t="shared" si="5580"/>
        <v>0001000000</v>
      </c>
      <c r="BP884">
        <f t="shared" si="5581"/>
        <v>0</v>
      </c>
      <c r="BQ884">
        <f t="shared" si="5582"/>
        <v>0</v>
      </c>
      <c r="BR884" s="23">
        <f t="shared" si="5583"/>
        <v>0</v>
      </c>
      <c r="BS884" s="49" t="str">
        <f t="shared" si="5548"/>
        <v>000000000000000</v>
      </c>
      <c r="BT884" t="str">
        <f t="shared" si="5584"/>
        <v>00000000</v>
      </c>
      <c r="BU884" s="23">
        <f t="shared" si="5585"/>
        <v>0</v>
      </c>
      <c r="BV884" s="49" t="str">
        <f t="shared" si="5549"/>
        <v/>
      </c>
      <c r="BW884" s="52" t="str">
        <f t="shared" si="5586"/>
        <v/>
      </c>
      <c r="BX884" s="23">
        <f t="shared" si="5587"/>
        <v>0</v>
      </c>
      <c r="BY884" s="49" t="str">
        <f t="shared" si="5550"/>
        <v/>
      </c>
      <c r="BZ884" s="23">
        <f t="shared" si="5588"/>
        <v>0</v>
      </c>
      <c r="CA884" s="49" t="str">
        <f t="shared" si="5551"/>
        <v/>
      </c>
      <c r="CB884" s="52" t="str">
        <f t="shared" si="5589"/>
        <v/>
      </c>
      <c r="CC884" s="23">
        <f t="shared" si="5590"/>
        <v>0</v>
      </c>
      <c r="CD884" s="49" t="str">
        <f t="shared" si="5552"/>
        <v/>
      </c>
      <c r="CE884" s="56" t="str">
        <f>IF(CF884="","",MAX(CE$10:$CE883)+1)</f>
        <v/>
      </c>
      <c r="CF884" t="str">
        <f t="shared" si="5591"/>
        <v/>
      </c>
      <c r="CG884" s="22" t="str">
        <f>IF(CH884="","",MAX($CG$10:CG883)+1)</f>
        <v/>
      </c>
      <c r="CH884" s="22" t="str">
        <f t="shared" si="5536"/>
        <v/>
      </c>
      <c r="CI884" s="22" t="str">
        <f>IF(CJ884="","",MAX($CI$10:CI883)+1)</f>
        <v/>
      </c>
      <c r="CJ884" s="22" t="str">
        <f t="shared" si="5537"/>
        <v/>
      </c>
    </row>
    <row r="885" spans="2:88" x14ac:dyDescent="0.25">
      <c r="B885" s="37"/>
      <c r="C885" s="3"/>
      <c r="D885" s="77" t="str">
        <f t="shared" si="5523"/>
        <v/>
      </c>
      <c r="E885" s="38"/>
      <c r="F885" s="38"/>
      <c r="G885" s="78">
        <f t="shared" si="5538"/>
        <v>0</v>
      </c>
      <c r="H885" s="3">
        <v>80</v>
      </c>
      <c r="I885" s="77" t="str">
        <f t="shared" si="5524"/>
        <v/>
      </c>
      <c r="J885" s="32"/>
      <c r="K885" s="3"/>
      <c r="L885" s="39"/>
      <c r="M885" s="39"/>
      <c r="N885" s="39"/>
      <c r="O885" s="39"/>
      <c r="P885" s="39"/>
      <c r="Q885" s="39"/>
      <c r="R885" s="39"/>
      <c r="S885" s="39"/>
      <c r="T885" s="3" t="s">
        <v>645</v>
      </c>
      <c r="U885" s="77" t="str">
        <f t="shared" si="5525"/>
        <v/>
      </c>
      <c r="V885" s="39">
        <v>1</v>
      </c>
      <c r="W885" s="79">
        <f t="shared" si="5539"/>
        <v>0</v>
      </c>
      <c r="X885" s="3">
        <v>0</v>
      </c>
      <c r="Y885" s="77" t="str">
        <f t="shared" si="5526"/>
        <v/>
      </c>
      <c r="Z885" s="3"/>
      <c r="AA885" s="37" t="str">
        <f t="shared" si="5540"/>
        <v/>
      </c>
      <c r="AC885" s="40"/>
      <c r="AD885" s="7"/>
      <c r="AE885" s="77" t="str">
        <f t="shared" si="5527"/>
        <v/>
      </c>
      <c r="AF885" s="81">
        <f t="shared" si="5553"/>
        <v>0</v>
      </c>
      <c r="AG885" s="40"/>
      <c r="AH885" s="7"/>
      <c r="AI885" s="77" t="str">
        <f t="shared" si="5528"/>
        <v/>
      </c>
      <c r="AJ885" s="81">
        <f t="shared" si="5554"/>
        <v>0</v>
      </c>
      <c r="AK885" s="83">
        <f t="shared" si="5555"/>
        <v>0</v>
      </c>
      <c r="AL885" s="83">
        <f t="shared" si="5556"/>
        <v>0</v>
      </c>
      <c r="AN885" s="43">
        <f t="shared" si="5529"/>
        <v>0</v>
      </c>
      <c r="AP885" t="str">
        <f t="shared" si="5557"/>
        <v/>
      </c>
      <c r="AQ885" t="str">
        <f t="shared" si="5558"/>
        <v/>
      </c>
      <c r="AR885" t="str">
        <f t="shared" si="5559"/>
        <v/>
      </c>
      <c r="AS885" t="str">
        <f t="shared" si="5560"/>
        <v/>
      </c>
      <c r="AT885" t="str">
        <f t="shared" si="5561"/>
        <v/>
      </c>
      <c r="AU885" t="str">
        <f t="shared" si="5562"/>
        <v/>
      </c>
      <c r="AV885" t="str">
        <f t="shared" si="5563"/>
        <v/>
      </c>
      <c r="AW885" t="str">
        <f t="shared" si="5564"/>
        <v xml:space="preserve">                              </v>
      </c>
      <c r="AX885" s="23">
        <f t="shared" si="5565"/>
        <v>0</v>
      </c>
      <c r="AY885" s="49" t="str">
        <f t="shared" si="5541"/>
        <v>000000000000000</v>
      </c>
      <c r="AZ885" s="23">
        <f t="shared" si="5566"/>
        <v>0</v>
      </c>
      <c r="BA885" s="49" t="str">
        <f t="shared" si="5541"/>
        <v>000000000000000</v>
      </c>
      <c r="BB885" s="23">
        <f t="shared" si="5567"/>
        <v>0</v>
      </c>
      <c r="BC885" s="49" t="str">
        <f t="shared" ref="BC885" si="5820">IF(BB885&lt;0,SUBSTITUTE(TEXT(BB885,"000000000000,00"),",",""),SUBSTITUTE(TEXT(BB885,"0000000000000,00"),",",""))</f>
        <v>000000000000000</v>
      </c>
      <c r="BD885" s="23">
        <f t="shared" si="5569"/>
        <v>0</v>
      </c>
      <c r="BE885" s="49" t="str">
        <f t="shared" ref="BE885" si="5821">IF(BD885&lt;0,SUBSTITUTE(TEXT(BD885,"000000000000,00"),",",""),SUBSTITUTE(TEXT(BD885,"0000000000000,00"),",",""))</f>
        <v>000000000000000</v>
      </c>
      <c r="BF885" s="23">
        <f t="shared" si="5571"/>
        <v>0</v>
      </c>
      <c r="BG885" s="49" t="str">
        <f t="shared" ref="BG885" si="5822">IF(BF885&lt;0,SUBSTITUTE(TEXT(BF885,"000000000000,00"),",",""),SUBSTITUTE(TEXT(BF885,"0000000000000,00"),",",""))</f>
        <v>000000000000000</v>
      </c>
      <c r="BH885" s="23">
        <f t="shared" si="5573"/>
        <v>0</v>
      </c>
      <c r="BI885" s="49" t="str">
        <f t="shared" ref="BI885" si="5823">IF(BH885&lt;0,SUBSTITUTE(TEXT(BH885,"000000000000,00"),",",""),SUBSTITUTE(TEXT(BH885,"0000000000000,00"),",",""))</f>
        <v>000000000000000</v>
      </c>
      <c r="BJ885" s="23">
        <f t="shared" si="5575"/>
        <v>0</v>
      </c>
      <c r="BK885" s="49" t="str">
        <f t="shared" ref="BK885" si="5824">IF(BJ885&lt;0,SUBSTITUTE(TEXT(BJ885,"000000000000,00"),",",""),SUBSTITUTE(TEXT(BJ885,"0000000000000,00"),",",""))</f>
        <v>000000000000000</v>
      </c>
      <c r="BL885" s="23">
        <f t="shared" si="5577"/>
        <v>0</v>
      </c>
      <c r="BM885" s="49" t="str">
        <f t="shared" ref="BM885" si="5825">IF(BL885&lt;0,SUBSTITUTE(TEXT(BL885,"000000000000,00"),",",""),SUBSTITUTE(TEXT(BL885,"0000000000000,00"),",",""))</f>
        <v>000000000000000</v>
      </c>
      <c r="BN885" t="str">
        <f t="shared" si="5579"/>
        <v>PES</v>
      </c>
      <c r="BO885" t="str">
        <f t="shared" si="5580"/>
        <v>0001000000</v>
      </c>
      <c r="BP885">
        <f t="shared" si="5581"/>
        <v>0</v>
      </c>
      <c r="BQ885">
        <f t="shared" si="5582"/>
        <v>0</v>
      </c>
      <c r="BR885" s="23">
        <f t="shared" si="5583"/>
        <v>0</v>
      </c>
      <c r="BS885" s="49" t="str">
        <f t="shared" si="5548"/>
        <v>000000000000000</v>
      </c>
      <c r="BT885" t="str">
        <f t="shared" si="5584"/>
        <v>00000000</v>
      </c>
      <c r="BU885" s="23">
        <f t="shared" si="5585"/>
        <v>0</v>
      </c>
      <c r="BV885" s="49" t="str">
        <f t="shared" si="5549"/>
        <v/>
      </c>
      <c r="BW885" s="52" t="str">
        <f t="shared" si="5586"/>
        <v/>
      </c>
      <c r="BX885" s="23">
        <f t="shared" si="5587"/>
        <v>0</v>
      </c>
      <c r="BY885" s="49" t="str">
        <f t="shared" si="5550"/>
        <v/>
      </c>
      <c r="BZ885" s="23">
        <f t="shared" si="5588"/>
        <v>0</v>
      </c>
      <c r="CA885" s="49" t="str">
        <f t="shared" si="5551"/>
        <v/>
      </c>
      <c r="CB885" s="52" t="str">
        <f t="shared" si="5589"/>
        <v/>
      </c>
      <c r="CC885" s="23">
        <f t="shared" si="5590"/>
        <v>0</v>
      </c>
      <c r="CD885" s="49" t="str">
        <f t="shared" si="5552"/>
        <v/>
      </c>
      <c r="CE885" s="56" t="str">
        <f>IF(CF885="","",MAX(CE$10:$CE884)+1)</f>
        <v/>
      </c>
      <c r="CF885" t="str">
        <f t="shared" si="5591"/>
        <v/>
      </c>
      <c r="CG885" s="22" t="str">
        <f>IF(CH885="","",MAX($CG$10:CG884)+1)</f>
        <v/>
      </c>
      <c r="CH885" s="22" t="str">
        <f t="shared" si="5536"/>
        <v/>
      </c>
      <c r="CI885" s="22" t="str">
        <f>IF(CJ885="","",MAX($CI$10:CI884)+1)</f>
        <v/>
      </c>
      <c r="CJ885" s="22" t="str">
        <f t="shared" si="5537"/>
        <v/>
      </c>
    </row>
    <row r="886" spans="2:88" x14ac:dyDescent="0.25">
      <c r="B886" s="37"/>
      <c r="C886" s="3"/>
      <c r="D886" s="77" t="str">
        <f t="shared" si="5523"/>
        <v/>
      </c>
      <c r="E886" s="38"/>
      <c r="F886" s="38"/>
      <c r="G886" s="78">
        <f t="shared" si="5538"/>
        <v>0</v>
      </c>
      <c r="H886" s="3">
        <v>80</v>
      </c>
      <c r="I886" s="77" t="str">
        <f t="shared" si="5524"/>
        <v/>
      </c>
      <c r="J886" s="32"/>
      <c r="K886" s="3"/>
      <c r="L886" s="39"/>
      <c r="M886" s="39"/>
      <c r="N886" s="39"/>
      <c r="O886" s="39"/>
      <c r="P886" s="39"/>
      <c r="Q886" s="39"/>
      <c r="R886" s="39"/>
      <c r="S886" s="39"/>
      <c r="T886" s="3" t="s">
        <v>645</v>
      </c>
      <c r="U886" s="77" t="str">
        <f t="shared" si="5525"/>
        <v/>
      </c>
      <c r="V886" s="39">
        <v>1</v>
      </c>
      <c r="W886" s="79">
        <f t="shared" si="5539"/>
        <v>0</v>
      </c>
      <c r="X886" s="3">
        <v>0</v>
      </c>
      <c r="Y886" s="77" t="str">
        <f t="shared" si="5526"/>
        <v/>
      </c>
      <c r="Z886" s="3"/>
      <c r="AA886" s="37" t="str">
        <f t="shared" si="5540"/>
        <v/>
      </c>
      <c r="AC886" s="40"/>
      <c r="AD886" s="7"/>
      <c r="AE886" s="77" t="str">
        <f t="shared" si="5527"/>
        <v/>
      </c>
      <c r="AF886" s="81">
        <f t="shared" si="5553"/>
        <v>0</v>
      </c>
      <c r="AG886" s="40"/>
      <c r="AH886" s="7"/>
      <c r="AI886" s="77" t="str">
        <f t="shared" si="5528"/>
        <v/>
      </c>
      <c r="AJ886" s="81">
        <f t="shared" si="5554"/>
        <v>0</v>
      </c>
      <c r="AK886" s="83">
        <f t="shared" si="5555"/>
        <v>0</v>
      </c>
      <c r="AL886" s="83">
        <f t="shared" si="5556"/>
        <v>0</v>
      </c>
      <c r="AN886" s="43">
        <f t="shared" si="5529"/>
        <v>0</v>
      </c>
      <c r="AP886" t="str">
        <f t="shared" si="5557"/>
        <v/>
      </c>
      <c r="AQ886" t="str">
        <f t="shared" si="5558"/>
        <v/>
      </c>
      <c r="AR886" t="str">
        <f t="shared" si="5559"/>
        <v/>
      </c>
      <c r="AS886" t="str">
        <f t="shared" si="5560"/>
        <v/>
      </c>
      <c r="AT886" t="str">
        <f t="shared" si="5561"/>
        <v/>
      </c>
      <c r="AU886" t="str">
        <f t="shared" si="5562"/>
        <v/>
      </c>
      <c r="AV886" t="str">
        <f t="shared" si="5563"/>
        <v/>
      </c>
      <c r="AW886" t="str">
        <f t="shared" si="5564"/>
        <v xml:space="preserve">                              </v>
      </c>
      <c r="AX886" s="23">
        <f t="shared" si="5565"/>
        <v>0</v>
      </c>
      <c r="AY886" s="49" t="str">
        <f t="shared" si="5541"/>
        <v>000000000000000</v>
      </c>
      <c r="AZ886" s="23">
        <f t="shared" si="5566"/>
        <v>0</v>
      </c>
      <c r="BA886" s="49" t="str">
        <f t="shared" si="5541"/>
        <v>000000000000000</v>
      </c>
      <c r="BB886" s="23">
        <f t="shared" si="5567"/>
        <v>0</v>
      </c>
      <c r="BC886" s="49" t="str">
        <f t="shared" ref="BC886" si="5826">IF(BB886&lt;0,SUBSTITUTE(TEXT(BB886,"000000000000,00"),",",""),SUBSTITUTE(TEXT(BB886,"0000000000000,00"),",",""))</f>
        <v>000000000000000</v>
      </c>
      <c r="BD886" s="23">
        <f t="shared" si="5569"/>
        <v>0</v>
      </c>
      <c r="BE886" s="49" t="str">
        <f t="shared" ref="BE886" si="5827">IF(BD886&lt;0,SUBSTITUTE(TEXT(BD886,"000000000000,00"),",",""),SUBSTITUTE(TEXT(BD886,"0000000000000,00"),",",""))</f>
        <v>000000000000000</v>
      </c>
      <c r="BF886" s="23">
        <f t="shared" si="5571"/>
        <v>0</v>
      </c>
      <c r="BG886" s="49" t="str">
        <f t="shared" ref="BG886" si="5828">IF(BF886&lt;0,SUBSTITUTE(TEXT(BF886,"000000000000,00"),",",""),SUBSTITUTE(TEXT(BF886,"0000000000000,00"),",",""))</f>
        <v>000000000000000</v>
      </c>
      <c r="BH886" s="23">
        <f t="shared" si="5573"/>
        <v>0</v>
      </c>
      <c r="BI886" s="49" t="str">
        <f t="shared" ref="BI886" si="5829">IF(BH886&lt;0,SUBSTITUTE(TEXT(BH886,"000000000000,00"),",",""),SUBSTITUTE(TEXT(BH886,"0000000000000,00"),",",""))</f>
        <v>000000000000000</v>
      </c>
      <c r="BJ886" s="23">
        <f t="shared" si="5575"/>
        <v>0</v>
      </c>
      <c r="BK886" s="49" t="str">
        <f t="shared" ref="BK886" si="5830">IF(BJ886&lt;0,SUBSTITUTE(TEXT(BJ886,"000000000000,00"),",",""),SUBSTITUTE(TEXT(BJ886,"0000000000000,00"),",",""))</f>
        <v>000000000000000</v>
      </c>
      <c r="BL886" s="23">
        <f t="shared" si="5577"/>
        <v>0</v>
      </c>
      <c r="BM886" s="49" t="str">
        <f t="shared" ref="BM886" si="5831">IF(BL886&lt;0,SUBSTITUTE(TEXT(BL886,"000000000000,00"),",",""),SUBSTITUTE(TEXT(BL886,"0000000000000,00"),",",""))</f>
        <v>000000000000000</v>
      </c>
      <c r="BN886" t="str">
        <f t="shared" si="5579"/>
        <v>PES</v>
      </c>
      <c r="BO886" t="str">
        <f t="shared" si="5580"/>
        <v>0001000000</v>
      </c>
      <c r="BP886">
        <f t="shared" si="5581"/>
        <v>0</v>
      </c>
      <c r="BQ886">
        <f t="shared" si="5582"/>
        <v>0</v>
      </c>
      <c r="BR886" s="23">
        <f t="shared" si="5583"/>
        <v>0</v>
      </c>
      <c r="BS886" s="49" t="str">
        <f t="shared" si="5548"/>
        <v>000000000000000</v>
      </c>
      <c r="BT886" t="str">
        <f t="shared" si="5584"/>
        <v>00000000</v>
      </c>
      <c r="BU886" s="23">
        <f t="shared" si="5585"/>
        <v>0</v>
      </c>
      <c r="BV886" s="49" t="str">
        <f t="shared" si="5549"/>
        <v/>
      </c>
      <c r="BW886" s="52" t="str">
        <f t="shared" si="5586"/>
        <v/>
      </c>
      <c r="BX886" s="23">
        <f t="shared" si="5587"/>
        <v>0</v>
      </c>
      <c r="BY886" s="49" t="str">
        <f t="shared" si="5550"/>
        <v/>
      </c>
      <c r="BZ886" s="23">
        <f t="shared" si="5588"/>
        <v>0</v>
      </c>
      <c r="CA886" s="49" t="str">
        <f t="shared" si="5551"/>
        <v/>
      </c>
      <c r="CB886" s="52" t="str">
        <f t="shared" si="5589"/>
        <v/>
      </c>
      <c r="CC886" s="23">
        <f t="shared" si="5590"/>
        <v>0</v>
      </c>
      <c r="CD886" s="49" t="str">
        <f t="shared" si="5552"/>
        <v/>
      </c>
      <c r="CE886" s="56" t="str">
        <f>IF(CF886="","",MAX(CE$10:$CE885)+1)</f>
        <v/>
      </c>
      <c r="CF886" t="str">
        <f t="shared" si="5591"/>
        <v/>
      </c>
      <c r="CG886" s="22" t="str">
        <f>IF(CH886="","",MAX($CG$10:CG885)+1)</f>
        <v/>
      </c>
      <c r="CH886" s="22" t="str">
        <f t="shared" si="5536"/>
        <v/>
      </c>
      <c r="CI886" s="22" t="str">
        <f>IF(CJ886="","",MAX($CI$10:CI885)+1)</f>
        <v/>
      </c>
      <c r="CJ886" s="22" t="str">
        <f t="shared" si="5537"/>
        <v/>
      </c>
    </row>
    <row r="887" spans="2:88" x14ac:dyDescent="0.25">
      <c r="B887" s="37"/>
      <c r="C887" s="3"/>
      <c r="D887" s="77" t="str">
        <f t="shared" si="5523"/>
        <v/>
      </c>
      <c r="E887" s="38"/>
      <c r="F887" s="38"/>
      <c r="G887" s="78">
        <f t="shared" si="5538"/>
        <v>0</v>
      </c>
      <c r="H887" s="3">
        <v>80</v>
      </c>
      <c r="I887" s="77" t="str">
        <f t="shared" si="5524"/>
        <v/>
      </c>
      <c r="J887" s="32"/>
      <c r="K887" s="3"/>
      <c r="L887" s="39"/>
      <c r="M887" s="39"/>
      <c r="N887" s="39"/>
      <c r="O887" s="39"/>
      <c r="P887" s="39"/>
      <c r="Q887" s="39"/>
      <c r="R887" s="39"/>
      <c r="S887" s="39"/>
      <c r="T887" s="3" t="s">
        <v>645</v>
      </c>
      <c r="U887" s="77" t="str">
        <f t="shared" si="5525"/>
        <v/>
      </c>
      <c r="V887" s="39">
        <v>1</v>
      </c>
      <c r="W887" s="79">
        <f t="shared" si="5539"/>
        <v>0</v>
      </c>
      <c r="X887" s="3">
        <v>0</v>
      </c>
      <c r="Y887" s="77" t="str">
        <f t="shared" si="5526"/>
        <v/>
      </c>
      <c r="Z887" s="3"/>
      <c r="AA887" s="37" t="str">
        <f t="shared" si="5540"/>
        <v/>
      </c>
      <c r="AC887" s="40"/>
      <c r="AD887" s="7"/>
      <c r="AE887" s="77" t="str">
        <f t="shared" si="5527"/>
        <v/>
      </c>
      <c r="AF887" s="81">
        <f t="shared" si="5553"/>
        <v>0</v>
      </c>
      <c r="AG887" s="40"/>
      <c r="AH887" s="7"/>
      <c r="AI887" s="77" t="str">
        <f t="shared" si="5528"/>
        <v/>
      </c>
      <c r="AJ887" s="81">
        <f t="shared" si="5554"/>
        <v>0</v>
      </c>
      <c r="AK887" s="83">
        <f t="shared" si="5555"/>
        <v>0</v>
      </c>
      <c r="AL887" s="83">
        <f t="shared" si="5556"/>
        <v>0</v>
      </c>
      <c r="AN887" s="43">
        <f t="shared" si="5529"/>
        <v>0</v>
      </c>
      <c r="AP887" t="str">
        <f t="shared" si="5557"/>
        <v/>
      </c>
      <c r="AQ887" t="str">
        <f t="shared" si="5558"/>
        <v/>
      </c>
      <c r="AR887" t="str">
        <f t="shared" si="5559"/>
        <v/>
      </c>
      <c r="AS887" t="str">
        <f t="shared" si="5560"/>
        <v/>
      </c>
      <c r="AT887" t="str">
        <f t="shared" si="5561"/>
        <v/>
      </c>
      <c r="AU887" t="str">
        <f t="shared" si="5562"/>
        <v/>
      </c>
      <c r="AV887" t="str">
        <f t="shared" si="5563"/>
        <v/>
      </c>
      <c r="AW887" t="str">
        <f t="shared" si="5564"/>
        <v xml:space="preserve">                              </v>
      </c>
      <c r="AX887" s="23">
        <f t="shared" si="5565"/>
        <v>0</v>
      </c>
      <c r="AY887" s="49" t="str">
        <f t="shared" si="5541"/>
        <v>000000000000000</v>
      </c>
      <c r="AZ887" s="23">
        <f t="shared" si="5566"/>
        <v>0</v>
      </c>
      <c r="BA887" s="49" t="str">
        <f t="shared" si="5541"/>
        <v>000000000000000</v>
      </c>
      <c r="BB887" s="23">
        <f t="shared" si="5567"/>
        <v>0</v>
      </c>
      <c r="BC887" s="49" t="str">
        <f t="shared" ref="BC887" si="5832">IF(BB887&lt;0,SUBSTITUTE(TEXT(BB887,"000000000000,00"),",",""),SUBSTITUTE(TEXT(BB887,"0000000000000,00"),",",""))</f>
        <v>000000000000000</v>
      </c>
      <c r="BD887" s="23">
        <f t="shared" si="5569"/>
        <v>0</v>
      </c>
      <c r="BE887" s="49" t="str">
        <f t="shared" ref="BE887" si="5833">IF(BD887&lt;0,SUBSTITUTE(TEXT(BD887,"000000000000,00"),",",""),SUBSTITUTE(TEXT(BD887,"0000000000000,00"),",",""))</f>
        <v>000000000000000</v>
      </c>
      <c r="BF887" s="23">
        <f t="shared" si="5571"/>
        <v>0</v>
      </c>
      <c r="BG887" s="49" t="str">
        <f t="shared" ref="BG887" si="5834">IF(BF887&lt;0,SUBSTITUTE(TEXT(BF887,"000000000000,00"),",",""),SUBSTITUTE(TEXT(BF887,"0000000000000,00"),",",""))</f>
        <v>000000000000000</v>
      </c>
      <c r="BH887" s="23">
        <f t="shared" si="5573"/>
        <v>0</v>
      </c>
      <c r="BI887" s="49" t="str">
        <f t="shared" ref="BI887" si="5835">IF(BH887&lt;0,SUBSTITUTE(TEXT(BH887,"000000000000,00"),",",""),SUBSTITUTE(TEXT(BH887,"0000000000000,00"),",",""))</f>
        <v>000000000000000</v>
      </c>
      <c r="BJ887" s="23">
        <f t="shared" si="5575"/>
        <v>0</v>
      </c>
      <c r="BK887" s="49" t="str">
        <f t="shared" ref="BK887" si="5836">IF(BJ887&lt;0,SUBSTITUTE(TEXT(BJ887,"000000000000,00"),",",""),SUBSTITUTE(TEXT(BJ887,"0000000000000,00"),",",""))</f>
        <v>000000000000000</v>
      </c>
      <c r="BL887" s="23">
        <f t="shared" si="5577"/>
        <v>0</v>
      </c>
      <c r="BM887" s="49" t="str">
        <f t="shared" ref="BM887" si="5837">IF(BL887&lt;0,SUBSTITUTE(TEXT(BL887,"000000000000,00"),",",""),SUBSTITUTE(TEXT(BL887,"0000000000000,00"),",",""))</f>
        <v>000000000000000</v>
      </c>
      <c r="BN887" t="str">
        <f t="shared" si="5579"/>
        <v>PES</v>
      </c>
      <c r="BO887" t="str">
        <f t="shared" si="5580"/>
        <v>0001000000</v>
      </c>
      <c r="BP887">
        <f t="shared" si="5581"/>
        <v>0</v>
      </c>
      <c r="BQ887">
        <f t="shared" si="5582"/>
        <v>0</v>
      </c>
      <c r="BR887" s="23">
        <f t="shared" si="5583"/>
        <v>0</v>
      </c>
      <c r="BS887" s="49" t="str">
        <f t="shared" si="5548"/>
        <v>000000000000000</v>
      </c>
      <c r="BT887" t="str">
        <f t="shared" si="5584"/>
        <v>00000000</v>
      </c>
      <c r="BU887" s="23">
        <f t="shared" si="5585"/>
        <v>0</v>
      </c>
      <c r="BV887" s="49" t="str">
        <f t="shared" si="5549"/>
        <v/>
      </c>
      <c r="BW887" s="52" t="str">
        <f t="shared" si="5586"/>
        <v/>
      </c>
      <c r="BX887" s="23">
        <f t="shared" si="5587"/>
        <v>0</v>
      </c>
      <c r="BY887" s="49" t="str">
        <f t="shared" si="5550"/>
        <v/>
      </c>
      <c r="BZ887" s="23">
        <f t="shared" si="5588"/>
        <v>0</v>
      </c>
      <c r="CA887" s="49" t="str">
        <f t="shared" si="5551"/>
        <v/>
      </c>
      <c r="CB887" s="52" t="str">
        <f t="shared" si="5589"/>
        <v/>
      </c>
      <c r="CC887" s="23">
        <f t="shared" si="5590"/>
        <v>0</v>
      </c>
      <c r="CD887" s="49" t="str">
        <f t="shared" si="5552"/>
        <v/>
      </c>
      <c r="CE887" s="56" t="str">
        <f>IF(CF887="","",MAX(CE$10:$CE886)+1)</f>
        <v/>
      </c>
      <c r="CF887" t="str">
        <f t="shared" si="5591"/>
        <v/>
      </c>
      <c r="CG887" s="22" t="str">
        <f>IF(CH887="","",MAX($CG$10:CG886)+1)</f>
        <v/>
      </c>
      <c r="CH887" s="22" t="str">
        <f t="shared" si="5536"/>
        <v/>
      </c>
      <c r="CI887" s="22" t="str">
        <f>IF(CJ887="","",MAX($CI$10:CI886)+1)</f>
        <v/>
      </c>
      <c r="CJ887" s="22" t="str">
        <f t="shared" si="5537"/>
        <v/>
      </c>
    </row>
    <row r="888" spans="2:88" x14ac:dyDescent="0.25">
      <c r="B888" s="37"/>
      <c r="C888" s="3"/>
      <c r="D888" s="77" t="str">
        <f t="shared" si="5523"/>
        <v/>
      </c>
      <c r="E888" s="38"/>
      <c r="F888" s="38"/>
      <c r="G888" s="78">
        <f t="shared" si="5538"/>
        <v>0</v>
      </c>
      <c r="H888" s="3">
        <v>80</v>
      </c>
      <c r="I888" s="77" t="str">
        <f t="shared" si="5524"/>
        <v/>
      </c>
      <c r="J888" s="32"/>
      <c r="K888" s="3"/>
      <c r="L888" s="39"/>
      <c r="M888" s="39"/>
      <c r="N888" s="39"/>
      <c r="O888" s="39"/>
      <c r="P888" s="39"/>
      <c r="Q888" s="39"/>
      <c r="R888" s="39"/>
      <c r="S888" s="39"/>
      <c r="T888" s="3" t="s">
        <v>645</v>
      </c>
      <c r="U888" s="77" t="str">
        <f t="shared" si="5525"/>
        <v/>
      </c>
      <c r="V888" s="39">
        <v>1</v>
      </c>
      <c r="W888" s="79">
        <f t="shared" si="5539"/>
        <v>0</v>
      </c>
      <c r="X888" s="3">
        <v>0</v>
      </c>
      <c r="Y888" s="77" t="str">
        <f t="shared" si="5526"/>
        <v/>
      </c>
      <c r="Z888" s="3"/>
      <c r="AA888" s="37" t="str">
        <f t="shared" si="5540"/>
        <v/>
      </c>
      <c r="AC888" s="40"/>
      <c r="AD888" s="7"/>
      <c r="AE888" s="77" t="str">
        <f t="shared" si="5527"/>
        <v/>
      </c>
      <c r="AF888" s="81">
        <f t="shared" si="5553"/>
        <v>0</v>
      </c>
      <c r="AG888" s="40"/>
      <c r="AH888" s="7"/>
      <c r="AI888" s="77" t="str">
        <f t="shared" si="5528"/>
        <v/>
      </c>
      <c r="AJ888" s="81">
        <f t="shared" si="5554"/>
        <v>0</v>
      </c>
      <c r="AK888" s="83">
        <f t="shared" si="5555"/>
        <v>0</v>
      </c>
      <c r="AL888" s="83">
        <f t="shared" si="5556"/>
        <v>0</v>
      </c>
      <c r="AN888" s="43">
        <f t="shared" si="5529"/>
        <v>0</v>
      </c>
      <c r="AP888" t="str">
        <f t="shared" si="5557"/>
        <v/>
      </c>
      <c r="AQ888" t="str">
        <f t="shared" si="5558"/>
        <v/>
      </c>
      <c r="AR888" t="str">
        <f t="shared" si="5559"/>
        <v/>
      </c>
      <c r="AS888" t="str">
        <f t="shared" si="5560"/>
        <v/>
      </c>
      <c r="AT888" t="str">
        <f t="shared" si="5561"/>
        <v/>
      </c>
      <c r="AU888" t="str">
        <f t="shared" si="5562"/>
        <v/>
      </c>
      <c r="AV888" t="str">
        <f t="shared" si="5563"/>
        <v/>
      </c>
      <c r="AW888" t="str">
        <f t="shared" si="5564"/>
        <v xml:space="preserve">                              </v>
      </c>
      <c r="AX888" s="23">
        <f t="shared" si="5565"/>
        <v>0</v>
      </c>
      <c r="AY888" s="49" t="str">
        <f t="shared" si="5541"/>
        <v>000000000000000</v>
      </c>
      <c r="AZ888" s="23">
        <f t="shared" si="5566"/>
        <v>0</v>
      </c>
      <c r="BA888" s="49" t="str">
        <f t="shared" si="5541"/>
        <v>000000000000000</v>
      </c>
      <c r="BB888" s="23">
        <f t="shared" si="5567"/>
        <v>0</v>
      </c>
      <c r="BC888" s="49" t="str">
        <f t="shared" ref="BC888" si="5838">IF(BB888&lt;0,SUBSTITUTE(TEXT(BB888,"000000000000,00"),",",""),SUBSTITUTE(TEXT(BB888,"0000000000000,00"),",",""))</f>
        <v>000000000000000</v>
      </c>
      <c r="BD888" s="23">
        <f t="shared" si="5569"/>
        <v>0</v>
      </c>
      <c r="BE888" s="49" t="str">
        <f t="shared" ref="BE888" si="5839">IF(BD888&lt;0,SUBSTITUTE(TEXT(BD888,"000000000000,00"),",",""),SUBSTITUTE(TEXT(BD888,"0000000000000,00"),",",""))</f>
        <v>000000000000000</v>
      </c>
      <c r="BF888" s="23">
        <f t="shared" si="5571"/>
        <v>0</v>
      </c>
      <c r="BG888" s="49" t="str">
        <f t="shared" ref="BG888" si="5840">IF(BF888&lt;0,SUBSTITUTE(TEXT(BF888,"000000000000,00"),",",""),SUBSTITUTE(TEXT(BF888,"0000000000000,00"),",",""))</f>
        <v>000000000000000</v>
      </c>
      <c r="BH888" s="23">
        <f t="shared" si="5573"/>
        <v>0</v>
      </c>
      <c r="BI888" s="49" t="str">
        <f t="shared" ref="BI888" si="5841">IF(BH888&lt;0,SUBSTITUTE(TEXT(BH888,"000000000000,00"),",",""),SUBSTITUTE(TEXT(BH888,"0000000000000,00"),",",""))</f>
        <v>000000000000000</v>
      </c>
      <c r="BJ888" s="23">
        <f t="shared" si="5575"/>
        <v>0</v>
      </c>
      <c r="BK888" s="49" t="str">
        <f t="shared" ref="BK888" si="5842">IF(BJ888&lt;0,SUBSTITUTE(TEXT(BJ888,"000000000000,00"),",",""),SUBSTITUTE(TEXT(BJ888,"0000000000000,00"),",",""))</f>
        <v>000000000000000</v>
      </c>
      <c r="BL888" s="23">
        <f t="shared" si="5577"/>
        <v>0</v>
      </c>
      <c r="BM888" s="49" t="str">
        <f t="shared" ref="BM888" si="5843">IF(BL888&lt;0,SUBSTITUTE(TEXT(BL888,"000000000000,00"),",",""),SUBSTITUTE(TEXT(BL888,"0000000000000,00"),",",""))</f>
        <v>000000000000000</v>
      </c>
      <c r="BN888" t="str">
        <f t="shared" si="5579"/>
        <v>PES</v>
      </c>
      <c r="BO888" t="str">
        <f t="shared" si="5580"/>
        <v>0001000000</v>
      </c>
      <c r="BP888">
        <f t="shared" si="5581"/>
        <v>0</v>
      </c>
      <c r="BQ888">
        <f t="shared" si="5582"/>
        <v>0</v>
      </c>
      <c r="BR888" s="23">
        <f t="shared" si="5583"/>
        <v>0</v>
      </c>
      <c r="BS888" s="49" t="str">
        <f t="shared" si="5548"/>
        <v>000000000000000</v>
      </c>
      <c r="BT888" t="str">
        <f t="shared" si="5584"/>
        <v>00000000</v>
      </c>
      <c r="BU888" s="23">
        <f t="shared" si="5585"/>
        <v>0</v>
      </c>
      <c r="BV888" s="49" t="str">
        <f t="shared" si="5549"/>
        <v/>
      </c>
      <c r="BW888" s="52" t="str">
        <f t="shared" si="5586"/>
        <v/>
      </c>
      <c r="BX888" s="23">
        <f t="shared" si="5587"/>
        <v>0</v>
      </c>
      <c r="BY888" s="49" t="str">
        <f t="shared" si="5550"/>
        <v/>
      </c>
      <c r="BZ888" s="23">
        <f t="shared" si="5588"/>
        <v>0</v>
      </c>
      <c r="CA888" s="49" t="str">
        <f t="shared" si="5551"/>
        <v/>
      </c>
      <c r="CB888" s="52" t="str">
        <f t="shared" si="5589"/>
        <v/>
      </c>
      <c r="CC888" s="23">
        <f t="shared" si="5590"/>
        <v>0</v>
      </c>
      <c r="CD888" s="49" t="str">
        <f t="shared" si="5552"/>
        <v/>
      </c>
      <c r="CE888" s="56" t="str">
        <f>IF(CF888="","",MAX(CE$10:$CE887)+1)</f>
        <v/>
      </c>
      <c r="CF888" t="str">
        <f t="shared" si="5591"/>
        <v/>
      </c>
      <c r="CG888" s="22" t="str">
        <f>IF(CH888="","",MAX($CG$10:CG887)+1)</f>
        <v/>
      </c>
      <c r="CH888" s="22" t="str">
        <f t="shared" si="5536"/>
        <v/>
      </c>
      <c r="CI888" s="22" t="str">
        <f>IF(CJ888="","",MAX($CI$10:CI887)+1)</f>
        <v/>
      </c>
      <c r="CJ888" s="22" t="str">
        <f t="shared" si="5537"/>
        <v/>
      </c>
    </row>
    <row r="889" spans="2:88" x14ac:dyDescent="0.25">
      <c r="B889" s="37"/>
      <c r="C889" s="3"/>
      <c r="D889" s="77" t="str">
        <f t="shared" si="5523"/>
        <v/>
      </c>
      <c r="E889" s="38"/>
      <c r="F889" s="38"/>
      <c r="G889" s="78">
        <f t="shared" si="5538"/>
        <v>0</v>
      </c>
      <c r="H889" s="3">
        <v>80</v>
      </c>
      <c r="I889" s="77" t="str">
        <f t="shared" si="5524"/>
        <v/>
      </c>
      <c r="J889" s="32"/>
      <c r="K889" s="3"/>
      <c r="L889" s="39"/>
      <c r="M889" s="39"/>
      <c r="N889" s="39"/>
      <c r="O889" s="39"/>
      <c r="P889" s="39"/>
      <c r="Q889" s="39"/>
      <c r="R889" s="39"/>
      <c r="S889" s="39"/>
      <c r="T889" s="3" t="s">
        <v>645</v>
      </c>
      <c r="U889" s="77" t="str">
        <f t="shared" si="5525"/>
        <v/>
      </c>
      <c r="V889" s="39">
        <v>1</v>
      </c>
      <c r="W889" s="79">
        <f t="shared" si="5539"/>
        <v>0</v>
      </c>
      <c r="X889" s="3">
        <v>0</v>
      </c>
      <c r="Y889" s="77" t="str">
        <f t="shared" si="5526"/>
        <v/>
      </c>
      <c r="Z889" s="3"/>
      <c r="AA889" s="37" t="str">
        <f t="shared" si="5540"/>
        <v/>
      </c>
      <c r="AC889" s="40"/>
      <c r="AD889" s="7"/>
      <c r="AE889" s="77" t="str">
        <f t="shared" si="5527"/>
        <v/>
      </c>
      <c r="AF889" s="81">
        <f t="shared" si="5553"/>
        <v>0</v>
      </c>
      <c r="AG889" s="40"/>
      <c r="AH889" s="7"/>
      <c r="AI889" s="77" t="str">
        <f t="shared" si="5528"/>
        <v/>
      </c>
      <c r="AJ889" s="81">
        <f t="shared" si="5554"/>
        <v>0</v>
      </c>
      <c r="AK889" s="83">
        <f t="shared" si="5555"/>
        <v>0</v>
      </c>
      <c r="AL889" s="83">
        <f t="shared" si="5556"/>
        <v>0</v>
      </c>
      <c r="AN889" s="43">
        <f t="shared" si="5529"/>
        <v>0</v>
      </c>
      <c r="AP889" t="str">
        <f t="shared" si="5557"/>
        <v/>
      </c>
      <c r="AQ889" t="str">
        <f t="shared" si="5558"/>
        <v/>
      </c>
      <c r="AR889" t="str">
        <f t="shared" si="5559"/>
        <v/>
      </c>
      <c r="AS889" t="str">
        <f t="shared" si="5560"/>
        <v/>
      </c>
      <c r="AT889" t="str">
        <f t="shared" si="5561"/>
        <v/>
      </c>
      <c r="AU889" t="str">
        <f t="shared" si="5562"/>
        <v/>
      </c>
      <c r="AV889" t="str">
        <f t="shared" si="5563"/>
        <v/>
      </c>
      <c r="AW889" t="str">
        <f t="shared" si="5564"/>
        <v xml:space="preserve">                              </v>
      </c>
      <c r="AX889" s="23">
        <f t="shared" si="5565"/>
        <v>0</v>
      </c>
      <c r="AY889" s="49" t="str">
        <f t="shared" si="5541"/>
        <v>000000000000000</v>
      </c>
      <c r="AZ889" s="23">
        <f t="shared" si="5566"/>
        <v>0</v>
      </c>
      <c r="BA889" s="49" t="str">
        <f t="shared" si="5541"/>
        <v>000000000000000</v>
      </c>
      <c r="BB889" s="23">
        <f t="shared" si="5567"/>
        <v>0</v>
      </c>
      <c r="BC889" s="49" t="str">
        <f t="shared" ref="BC889" si="5844">IF(BB889&lt;0,SUBSTITUTE(TEXT(BB889,"000000000000,00"),",",""),SUBSTITUTE(TEXT(BB889,"0000000000000,00"),",",""))</f>
        <v>000000000000000</v>
      </c>
      <c r="BD889" s="23">
        <f t="shared" si="5569"/>
        <v>0</v>
      </c>
      <c r="BE889" s="49" t="str">
        <f t="shared" ref="BE889" si="5845">IF(BD889&lt;0,SUBSTITUTE(TEXT(BD889,"000000000000,00"),",",""),SUBSTITUTE(TEXT(BD889,"0000000000000,00"),",",""))</f>
        <v>000000000000000</v>
      </c>
      <c r="BF889" s="23">
        <f t="shared" si="5571"/>
        <v>0</v>
      </c>
      <c r="BG889" s="49" t="str">
        <f t="shared" ref="BG889" si="5846">IF(BF889&lt;0,SUBSTITUTE(TEXT(BF889,"000000000000,00"),",",""),SUBSTITUTE(TEXT(BF889,"0000000000000,00"),",",""))</f>
        <v>000000000000000</v>
      </c>
      <c r="BH889" s="23">
        <f t="shared" si="5573"/>
        <v>0</v>
      </c>
      <c r="BI889" s="49" t="str">
        <f t="shared" ref="BI889" si="5847">IF(BH889&lt;0,SUBSTITUTE(TEXT(BH889,"000000000000,00"),",",""),SUBSTITUTE(TEXT(BH889,"0000000000000,00"),",",""))</f>
        <v>000000000000000</v>
      </c>
      <c r="BJ889" s="23">
        <f t="shared" si="5575"/>
        <v>0</v>
      </c>
      <c r="BK889" s="49" t="str">
        <f t="shared" ref="BK889" si="5848">IF(BJ889&lt;0,SUBSTITUTE(TEXT(BJ889,"000000000000,00"),",",""),SUBSTITUTE(TEXT(BJ889,"0000000000000,00"),",",""))</f>
        <v>000000000000000</v>
      </c>
      <c r="BL889" s="23">
        <f t="shared" si="5577"/>
        <v>0</v>
      </c>
      <c r="BM889" s="49" t="str">
        <f t="shared" ref="BM889" si="5849">IF(BL889&lt;0,SUBSTITUTE(TEXT(BL889,"000000000000,00"),",",""),SUBSTITUTE(TEXT(BL889,"0000000000000,00"),",",""))</f>
        <v>000000000000000</v>
      </c>
      <c r="BN889" t="str">
        <f t="shared" si="5579"/>
        <v>PES</v>
      </c>
      <c r="BO889" t="str">
        <f t="shared" si="5580"/>
        <v>0001000000</v>
      </c>
      <c r="BP889">
        <f t="shared" si="5581"/>
        <v>0</v>
      </c>
      <c r="BQ889">
        <f t="shared" si="5582"/>
        <v>0</v>
      </c>
      <c r="BR889" s="23">
        <f t="shared" si="5583"/>
        <v>0</v>
      </c>
      <c r="BS889" s="49" t="str">
        <f t="shared" si="5548"/>
        <v>000000000000000</v>
      </c>
      <c r="BT889" t="str">
        <f t="shared" si="5584"/>
        <v>00000000</v>
      </c>
      <c r="BU889" s="23">
        <f t="shared" si="5585"/>
        <v>0</v>
      </c>
      <c r="BV889" s="49" t="str">
        <f t="shared" si="5549"/>
        <v/>
      </c>
      <c r="BW889" s="52" t="str">
        <f t="shared" si="5586"/>
        <v/>
      </c>
      <c r="BX889" s="23">
        <f t="shared" si="5587"/>
        <v>0</v>
      </c>
      <c r="BY889" s="49" t="str">
        <f t="shared" si="5550"/>
        <v/>
      </c>
      <c r="BZ889" s="23">
        <f t="shared" si="5588"/>
        <v>0</v>
      </c>
      <c r="CA889" s="49" t="str">
        <f t="shared" si="5551"/>
        <v/>
      </c>
      <c r="CB889" s="52" t="str">
        <f t="shared" si="5589"/>
        <v/>
      </c>
      <c r="CC889" s="23">
        <f t="shared" si="5590"/>
        <v>0</v>
      </c>
      <c r="CD889" s="49" t="str">
        <f t="shared" si="5552"/>
        <v/>
      </c>
      <c r="CE889" s="56" t="str">
        <f>IF(CF889="","",MAX(CE$10:$CE888)+1)</f>
        <v/>
      </c>
      <c r="CF889" t="str">
        <f t="shared" si="5591"/>
        <v/>
      </c>
      <c r="CG889" s="22" t="str">
        <f>IF(CH889="","",MAX($CG$10:CG888)+1)</f>
        <v/>
      </c>
      <c r="CH889" s="22" t="str">
        <f t="shared" si="5536"/>
        <v/>
      </c>
      <c r="CI889" s="22" t="str">
        <f>IF(CJ889="","",MAX($CI$10:CI888)+1)</f>
        <v/>
      </c>
      <c r="CJ889" s="22" t="str">
        <f t="shared" si="5537"/>
        <v/>
      </c>
    </row>
    <row r="890" spans="2:88" x14ac:dyDescent="0.25">
      <c r="B890" s="37"/>
      <c r="C890" s="3"/>
      <c r="D890" s="77" t="str">
        <f t="shared" si="5523"/>
        <v/>
      </c>
      <c r="E890" s="38"/>
      <c r="F890" s="38"/>
      <c r="G890" s="78">
        <f t="shared" si="5538"/>
        <v>0</v>
      </c>
      <c r="H890" s="3">
        <v>80</v>
      </c>
      <c r="I890" s="77" t="str">
        <f t="shared" si="5524"/>
        <v/>
      </c>
      <c r="J890" s="32"/>
      <c r="K890" s="3"/>
      <c r="L890" s="39"/>
      <c r="M890" s="39"/>
      <c r="N890" s="39"/>
      <c r="O890" s="39"/>
      <c r="P890" s="39"/>
      <c r="Q890" s="39"/>
      <c r="R890" s="39"/>
      <c r="S890" s="39"/>
      <c r="T890" s="3" t="s">
        <v>645</v>
      </c>
      <c r="U890" s="77" t="str">
        <f t="shared" si="5525"/>
        <v/>
      </c>
      <c r="V890" s="39">
        <v>1</v>
      </c>
      <c r="W890" s="79">
        <f t="shared" si="5539"/>
        <v>0</v>
      </c>
      <c r="X890" s="3">
        <v>0</v>
      </c>
      <c r="Y890" s="77" t="str">
        <f t="shared" si="5526"/>
        <v/>
      </c>
      <c r="Z890" s="3"/>
      <c r="AA890" s="37" t="str">
        <f t="shared" si="5540"/>
        <v/>
      </c>
      <c r="AC890" s="40"/>
      <c r="AD890" s="7"/>
      <c r="AE890" s="77" t="str">
        <f t="shared" si="5527"/>
        <v/>
      </c>
      <c r="AF890" s="81">
        <f t="shared" si="5553"/>
        <v>0</v>
      </c>
      <c r="AG890" s="40"/>
      <c r="AH890" s="7"/>
      <c r="AI890" s="77" t="str">
        <f t="shared" si="5528"/>
        <v/>
      </c>
      <c r="AJ890" s="81">
        <f t="shared" si="5554"/>
        <v>0</v>
      </c>
      <c r="AK890" s="83">
        <f t="shared" si="5555"/>
        <v>0</v>
      </c>
      <c r="AL890" s="83">
        <f t="shared" si="5556"/>
        <v>0</v>
      </c>
      <c r="AN890" s="43">
        <f t="shared" si="5529"/>
        <v>0</v>
      </c>
      <c r="AP890" t="str">
        <f t="shared" si="5557"/>
        <v/>
      </c>
      <c r="AQ890" t="str">
        <f t="shared" si="5558"/>
        <v/>
      </c>
      <c r="AR890" t="str">
        <f t="shared" si="5559"/>
        <v/>
      </c>
      <c r="AS890" t="str">
        <f t="shared" si="5560"/>
        <v/>
      </c>
      <c r="AT890" t="str">
        <f t="shared" si="5561"/>
        <v/>
      </c>
      <c r="AU890" t="str">
        <f t="shared" si="5562"/>
        <v/>
      </c>
      <c r="AV890" t="str">
        <f t="shared" si="5563"/>
        <v/>
      </c>
      <c r="AW890" t="str">
        <f t="shared" si="5564"/>
        <v xml:space="preserve">                              </v>
      </c>
      <c r="AX890" s="23">
        <f t="shared" si="5565"/>
        <v>0</v>
      </c>
      <c r="AY890" s="49" t="str">
        <f t="shared" si="5541"/>
        <v>000000000000000</v>
      </c>
      <c r="AZ890" s="23">
        <f t="shared" si="5566"/>
        <v>0</v>
      </c>
      <c r="BA890" s="49" t="str">
        <f t="shared" si="5541"/>
        <v>000000000000000</v>
      </c>
      <c r="BB890" s="23">
        <f t="shared" si="5567"/>
        <v>0</v>
      </c>
      <c r="BC890" s="49" t="str">
        <f t="shared" ref="BC890" si="5850">IF(BB890&lt;0,SUBSTITUTE(TEXT(BB890,"000000000000,00"),",",""),SUBSTITUTE(TEXT(BB890,"0000000000000,00"),",",""))</f>
        <v>000000000000000</v>
      </c>
      <c r="BD890" s="23">
        <f t="shared" si="5569"/>
        <v>0</v>
      </c>
      <c r="BE890" s="49" t="str">
        <f t="shared" ref="BE890" si="5851">IF(BD890&lt;0,SUBSTITUTE(TEXT(BD890,"000000000000,00"),",",""),SUBSTITUTE(TEXT(BD890,"0000000000000,00"),",",""))</f>
        <v>000000000000000</v>
      </c>
      <c r="BF890" s="23">
        <f t="shared" si="5571"/>
        <v>0</v>
      </c>
      <c r="BG890" s="49" t="str">
        <f t="shared" ref="BG890" si="5852">IF(BF890&lt;0,SUBSTITUTE(TEXT(BF890,"000000000000,00"),",",""),SUBSTITUTE(TEXT(BF890,"0000000000000,00"),",",""))</f>
        <v>000000000000000</v>
      </c>
      <c r="BH890" s="23">
        <f t="shared" si="5573"/>
        <v>0</v>
      </c>
      <c r="BI890" s="49" t="str">
        <f t="shared" ref="BI890" si="5853">IF(BH890&lt;0,SUBSTITUTE(TEXT(BH890,"000000000000,00"),",",""),SUBSTITUTE(TEXT(BH890,"0000000000000,00"),",",""))</f>
        <v>000000000000000</v>
      </c>
      <c r="BJ890" s="23">
        <f t="shared" si="5575"/>
        <v>0</v>
      </c>
      <c r="BK890" s="49" t="str">
        <f t="shared" ref="BK890" si="5854">IF(BJ890&lt;0,SUBSTITUTE(TEXT(BJ890,"000000000000,00"),",",""),SUBSTITUTE(TEXT(BJ890,"0000000000000,00"),",",""))</f>
        <v>000000000000000</v>
      </c>
      <c r="BL890" s="23">
        <f t="shared" si="5577"/>
        <v>0</v>
      </c>
      <c r="BM890" s="49" t="str">
        <f t="shared" ref="BM890" si="5855">IF(BL890&lt;0,SUBSTITUTE(TEXT(BL890,"000000000000,00"),",",""),SUBSTITUTE(TEXT(BL890,"0000000000000,00"),",",""))</f>
        <v>000000000000000</v>
      </c>
      <c r="BN890" t="str">
        <f t="shared" si="5579"/>
        <v>PES</v>
      </c>
      <c r="BO890" t="str">
        <f t="shared" si="5580"/>
        <v>0001000000</v>
      </c>
      <c r="BP890">
        <f t="shared" si="5581"/>
        <v>0</v>
      </c>
      <c r="BQ890">
        <f t="shared" si="5582"/>
        <v>0</v>
      </c>
      <c r="BR890" s="23">
        <f t="shared" si="5583"/>
        <v>0</v>
      </c>
      <c r="BS890" s="49" t="str">
        <f t="shared" si="5548"/>
        <v>000000000000000</v>
      </c>
      <c r="BT890" t="str">
        <f t="shared" si="5584"/>
        <v>00000000</v>
      </c>
      <c r="BU890" s="23">
        <f t="shared" si="5585"/>
        <v>0</v>
      </c>
      <c r="BV890" s="49" t="str">
        <f t="shared" si="5549"/>
        <v/>
      </c>
      <c r="BW890" s="52" t="str">
        <f t="shared" si="5586"/>
        <v/>
      </c>
      <c r="BX890" s="23">
        <f t="shared" si="5587"/>
        <v>0</v>
      </c>
      <c r="BY890" s="49" t="str">
        <f t="shared" si="5550"/>
        <v/>
      </c>
      <c r="BZ890" s="23">
        <f t="shared" si="5588"/>
        <v>0</v>
      </c>
      <c r="CA890" s="49" t="str">
        <f t="shared" si="5551"/>
        <v/>
      </c>
      <c r="CB890" s="52" t="str">
        <f t="shared" si="5589"/>
        <v/>
      </c>
      <c r="CC890" s="23">
        <f t="shared" si="5590"/>
        <v>0</v>
      </c>
      <c r="CD890" s="49" t="str">
        <f t="shared" si="5552"/>
        <v/>
      </c>
      <c r="CE890" s="56" t="str">
        <f>IF(CF890="","",MAX(CE$10:$CE889)+1)</f>
        <v/>
      </c>
      <c r="CF890" t="str">
        <f t="shared" si="5591"/>
        <v/>
      </c>
      <c r="CG890" s="22" t="str">
        <f>IF(CH890="","",MAX($CG$10:CG889)+1)</f>
        <v/>
      </c>
      <c r="CH890" s="22" t="str">
        <f t="shared" si="5536"/>
        <v/>
      </c>
      <c r="CI890" s="22" t="str">
        <f>IF(CJ890="","",MAX($CI$10:CI889)+1)</f>
        <v/>
      </c>
      <c r="CJ890" s="22" t="str">
        <f t="shared" si="5537"/>
        <v/>
      </c>
    </row>
    <row r="891" spans="2:88" x14ac:dyDescent="0.25">
      <c r="B891" s="37"/>
      <c r="C891" s="3"/>
      <c r="D891" s="77" t="str">
        <f t="shared" si="5523"/>
        <v/>
      </c>
      <c r="E891" s="38"/>
      <c r="F891" s="38"/>
      <c r="G891" s="78">
        <f t="shared" si="5538"/>
        <v>0</v>
      </c>
      <c r="H891" s="3">
        <v>80</v>
      </c>
      <c r="I891" s="77" t="str">
        <f t="shared" si="5524"/>
        <v/>
      </c>
      <c r="J891" s="32"/>
      <c r="K891" s="3"/>
      <c r="L891" s="39"/>
      <c r="M891" s="39"/>
      <c r="N891" s="39"/>
      <c r="O891" s="39"/>
      <c r="P891" s="39"/>
      <c r="Q891" s="39"/>
      <c r="R891" s="39"/>
      <c r="S891" s="39"/>
      <c r="T891" s="3" t="s">
        <v>645</v>
      </c>
      <c r="U891" s="77" t="str">
        <f t="shared" si="5525"/>
        <v/>
      </c>
      <c r="V891" s="39">
        <v>1</v>
      </c>
      <c r="W891" s="79">
        <f t="shared" si="5539"/>
        <v>0</v>
      </c>
      <c r="X891" s="3">
        <v>0</v>
      </c>
      <c r="Y891" s="77" t="str">
        <f t="shared" si="5526"/>
        <v/>
      </c>
      <c r="Z891" s="3"/>
      <c r="AA891" s="37" t="str">
        <f t="shared" si="5540"/>
        <v/>
      </c>
      <c r="AC891" s="40"/>
      <c r="AD891" s="7"/>
      <c r="AE891" s="77" t="str">
        <f t="shared" si="5527"/>
        <v/>
      </c>
      <c r="AF891" s="81">
        <f t="shared" si="5553"/>
        <v>0</v>
      </c>
      <c r="AG891" s="40"/>
      <c r="AH891" s="7"/>
      <c r="AI891" s="77" t="str">
        <f t="shared" si="5528"/>
        <v/>
      </c>
      <c r="AJ891" s="81">
        <f t="shared" si="5554"/>
        <v>0</v>
      </c>
      <c r="AK891" s="83">
        <f t="shared" si="5555"/>
        <v>0</v>
      </c>
      <c r="AL891" s="83">
        <f t="shared" si="5556"/>
        <v>0</v>
      </c>
      <c r="AN891" s="43">
        <f t="shared" si="5529"/>
        <v>0</v>
      </c>
      <c r="AP891" t="str">
        <f t="shared" si="5557"/>
        <v/>
      </c>
      <c r="AQ891" t="str">
        <f t="shared" si="5558"/>
        <v/>
      </c>
      <c r="AR891" t="str">
        <f t="shared" si="5559"/>
        <v/>
      </c>
      <c r="AS891" t="str">
        <f t="shared" si="5560"/>
        <v/>
      </c>
      <c r="AT891" t="str">
        <f t="shared" si="5561"/>
        <v/>
      </c>
      <c r="AU891" t="str">
        <f t="shared" si="5562"/>
        <v/>
      </c>
      <c r="AV891" t="str">
        <f t="shared" si="5563"/>
        <v/>
      </c>
      <c r="AW891" t="str">
        <f t="shared" si="5564"/>
        <v xml:space="preserve">                              </v>
      </c>
      <c r="AX891" s="23">
        <f t="shared" si="5565"/>
        <v>0</v>
      </c>
      <c r="AY891" s="49" t="str">
        <f t="shared" si="5541"/>
        <v>000000000000000</v>
      </c>
      <c r="AZ891" s="23">
        <f t="shared" si="5566"/>
        <v>0</v>
      </c>
      <c r="BA891" s="49" t="str">
        <f t="shared" si="5541"/>
        <v>000000000000000</v>
      </c>
      <c r="BB891" s="23">
        <f t="shared" si="5567"/>
        <v>0</v>
      </c>
      <c r="BC891" s="49" t="str">
        <f t="shared" ref="BC891" si="5856">IF(BB891&lt;0,SUBSTITUTE(TEXT(BB891,"000000000000,00"),",",""),SUBSTITUTE(TEXT(BB891,"0000000000000,00"),",",""))</f>
        <v>000000000000000</v>
      </c>
      <c r="BD891" s="23">
        <f t="shared" si="5569"/>
        <v>0</v>
      </c>
      <c r="BE891" s="49" t="str">
        <f t="shared" ref="BE891" si="5857">IF(BD891&lt;0,SUBSTITUTE(TEXT(BD891,"000000000000,00"),",",""),SUBSTITUTE(TEXT(BD891,"0000000000000,00"),",",""))</f>
        <v>000000000000000</v>
      </c>
      <c r="BF891" s="23">
        <f t="shared" si="5571"/>
        <v>0</v>
      </c>
      <c r="BG891" s="49" t="str">
        <f t="shared" ref="BG891" si="5858">IF(BF891&lt;0,SUBSTITUTE(TEXT(BF891,"000000000000,00"),",",""),SUBSTITUTE(TEXT(BF891,"0000000000000,00"),",",""))</f>
        <v>000000000000000</v>
      </c>
      <c r="BH891" s="23">
        <f t="shared" si="5573"/>
        <v>0</v>
      </c>
      <c r="BI891" s="49" t="str">
        <f t="shared" ref="BI891" si="5859">IF(BH891&lt;0,SUBSTITUTE(TEXT(BH891,"000000000000,00"),",",""),SUBSTITUTE(TEXT(BH891,"0000000000000,00"),",",""))</f>
        <v>000000000000000</v>
      </c>
      <c r="BJ891" s="23">
        <f t="shared" si="5575"/>
        <v>0</v>
      </c>
      <c r="BK891" s="49" t="str">
        <f t="shared" ref="BK891" si="5860">IF(BJ891&lt;0,SUBSTITUTE(TEXT(BJ891,"000000000000,00"),",",""),SUBSTITUTE(TEXT(BJ891,"0000000000000,00"),",",""))</f>
        <v>000000000000000</v>
      </c>
      <c r="BL891" s="23">
        <f t="shared" si="5577"/>
        <v>0</v>
      </c>
      <c r="BM891" s="49" t="str">
        <f t="shared" ref="BM891" si="5861">IF(BL891&lt;0,SUBSTITUTE(TEXT(BL891,"000000000000,00"),",",""),SUBSTITUTE(TEXT(BL891,"0000000000000,00"),",",""))</f>
        <v>000000000000000</v>
      </c>
      <c r="BN891" t="str">
        <f t="shared" si="5579"/>
        <v>PES</v>
      </c>
      <c r="BO891" t="str">
        <f t="shared" si="5580"/>
        <v>0001000000</v>
      </c>
      <c r="BP891">
        <f t="shared" si="5581"/>
        <v>0</v>
      </c>
      <c r="BQ891">
        <f t="shared" si="5582"/>
        <v>0</v>
      </c>
      <c r="BR891" s="23">
        <f t="shared" si="5583"/>
        <v>0</v>
      </c>
      <c r="BS891" s="49" t="str">
        <f t="shared" si="5548"/>
        <v>000000000000000</v>
      </c>
      <c r="BT891" t="str">
        <f t="shared" si="5584"/>
        <v>00000000</v>
      </c>
      <c r="BU891" s="23">
        <f t="shared" si="5585"/>
        <v>0</v>
      </c>
      <c r="BV891" s="49" t="str">
        <f t="shared" si="5549"/>
        <v/>
      </c>
      <c r="BW891" s="52" t="str">
        <f t="shared" si="5586"/>
        <v/>
      </c>
      <c r="BX891" s="23">
        <f t="shared" si="5587"/>
        <v>0</v>
      </c>
      <c r="BY891" s="49" t="str">
        <f t="shared" si="5550"/>
        <v/>
      </c>
      <c r="BZ891" s="23">
        <f t="shared" si="5588"/>
        <v>0</v>
      </c>
      <c r="CA891" s="49" t="str">
        <f t="shared" si="5551"/>
        <v/>
      </c>
      <c r="CB891" s="52" t="str">
        <f t="shared" si="5589"/>
        <v/>
      </c>
      <c r="CC891" s="23">
        <f t="shared" si="5590"/>
        <v>0</v>
      </c>
      <c r="CD891" s="49" t="str">
        <f t="shared" si="5552"/>
        <v/>
      </c>
      <c r="CE891" s="56" t="str">
        <f>IF(CF891="","",MAX(CE$10:$CE890)+1)</f>
        <v/>
      </c>
      <c r="CF891" t="str">
        <f t="shared" si="5591"/>
        <v/>
      </c>
      <c r="CG891" s="22" t="str">
        <f>IF(CH891="","",MAX($CG$10:CG890)+1)</f>
        <v/>
      </c>
      <c r="CH891" s="22" t="str">
        <f t="shared" si="5536"/>
        <v/>
      </c>
      <c r="CI891" s="22" t="str">
        <f>IF(CJ891="","",MAX($CI$10:CI890)+1)</f>
        <v/>
      </c>
      <c r="CJ891" s="22" t="str">
        <f t="shared" si="5537"/>
        <v/>
      </c>
    </row>
    <row r="892" spans="2:88" x14ac:dyDescent="0.25">
      <c r="B892" s="37"/>
      <c r="C892" s="3"/>
      <c r="D892" s="77" t="str">
        <f t="shared" si="5523"/>
        <v/>
      </c>
      <c r="E892" s="38"/>
      <c r="F892" s="38"/>
      <c r="G892" s="78">
        <f t="shared" si="5538"/>
        <v>0</v>
      </c>
      <c r="H892" s="3">
        <v>80</v>
      </c>
      <c r="I892" s="77" t="str">
        <f t="shared" si="5524"/>
        <v/>
      </c>
      <c r="J892" s="32"/>
      <c r="K892" s="3"/>
      <c r="L892" s="39"/>
      <c r="M892" s="39"/>
      <c r="N892" s="39"/>
      <c r="O892" s="39"/>
      <c r="P892" s="39"/>
      <c r="Q892" s="39"/>
      <c r="R892" s="39"/>
      <c r="S892" s="39"/>
      <c r="T892" s="3" t="s">
        <v>645</v>
      </c>
      <c r="U892" s="77" t="str">
        <f t="shared" si="5525"/>
        <v/>
      </c>
      <c r="V892" s="39">
        <v>1</v>
      </c>
      <c r="W892" s="79">
        <f t="shared" si="5539"/>
        <v>0</v>
      </c>
      <c r="X892" s="3">
        <v>0</v>
      </c>
      <c r="Y892" s="77" t="str">
        <f t="shared" si="5526"/>
        <v/>
      </c>
      <c r="Z892" s="3"/>
      <c r="AA892" s="37" t="str">
        <f t="shared" si="5540"/>
        <v/>
      </c>
      <c r="AC892" s="40"/>
      <c r="AD892" s="7"/>
      <c r="AE892" s="77" t="str">
        <f t="shared" si="5527"/>
        <v/>
      </c>
      <c r="AF892" s="81">
        <f t="shared" si="5553"/>
        <v>0</v>
      </c>
      <c r="AG892" s="40"/>
      <c r="AH892" s="7"/>
      <c r="AI892" s="77" t="str">
        <f t="shared" si="5528"/>
        <v/>
      </c>
      <c r="AJ892" s="81">
        <f t="shared" si="5554"/>
        <v>0</v>
      </c>
      <c r="AK892" s="83">
        <f t="shared" si="5555"/>
        <v>0</v>
      </c>
      <c r="AL892" s="83">
        <f t="shared" si="5556"/>
        <v>0</v>
      </c>
      <c r="AN892" s="43">
        <f t="shared" si="5529"/>
        <v>0</v>
      </c>
      <c r="AP892" t="str">
        <f t="shared" si="5557"/>
        <v/>
      </c>
      <c r="AQ892" t="str">
        <f t="shared" si="5558"/>
        <v/>
      </c>
      <c r="AR892" t="str">
        <f t="shared" si="5559"/>
        <v/>
      </c>
      <c r="AS892" t="str">
        <f t="shared" si="5560"/>
        <v/>
      </c>
      <c r="AT892" t="str">
        <f t="shared" si="5561"/>
        <v/>
      </c>
      <c r="AU892" t="str">
        <f t="shared" si="5562"/>
        <v/>
      </c>
      <c r="AV892" t="str">
        <f t="shared" si="5563"/>
        <v/>
      </c>
      <c r="AW892" t="str">
        <f t="shared" si="5564"/>
        <v xml:space="preserve">                              </v>
      </c>
      <c r="AX892" s="23">
        <f t="shared" si="5565"/>
        <v>0</v>
      </c>
      <c r="AY892" s="49" t="str">
        <f t="shared" si="5541"/>
        <v>000000000000000</v>
      </c>
      <c r="AZ892" s="23">
        <f t="shared" si="5566"/>
        <v>0</v>
      </c>
      <c r="BA892" s="49" t="str">
        <f t="shared" si="5541"/>
        <v>000000000000000</v>
      </c>
      <c r="BB892" s="23">
        <f t="shared" si="5567"/>
        <v>0</v>
      </c>
      <c r="BC892" s="49" t="str">
        <f t="shared" ref="BC892" si="5862">IF(BB892&lt;0,SUBSTITUTE(TEXT(BB892,"000000000000,00"),",",""),SUBSTITUTE(TEXT(BB892,"0000000000000,00"),",",""))</f>
        <v>000000000000000</v>
      </c>
      <c r="BD892" s="23">
        <f t="shared" si="5569"/>
        <v>0</v>
      </c>
      <c r="BE892" s="49" t="str">
        <f t="shared" ref="BE892" si="5863">IF(BD892&lt;0,SUBSTITUTE(TEXT(BD892,"000000000000,00"),",",""),SUBSTITUTE(TEXT(BD892,"0000000000000,00"),",",""))</f>
        <v>000000000000000</v>
      </c>
      <c r="BF892" s="23">
        <f t="shared" si="5571"/>
        <v>0</v>
      </c>
      <c r="BG892" s="49" t="str">
        <f t="shared" ref="BG892" si="5864">IF(BF892&lt;0,SUBSTITUTE(TEXT(BF892,"000000000000,00"),",",""),SUBSTITUTE(TEXT(BF892,"0000000000000,00"),",",""))</f>
        <v>000000000000000</v>
      </c>
      <c r="BH892" s="23">
        <f t="shared" si="5573"/>
        <v>0</v>
      </c>
      <c r="BI892" s="49" t="str">
        <f t="shared" ref="BI892" si="5865">IF(BH892&lt;0,SUBSTITUTE(TEXT(BH892,"000000000000,00"),",",""),SUBSTITUTE(TEXT(BH892,"0000000000000,00"),",",""))</f>
        <v>000000000000000</v>
      </c>
      <c r="BJ892" s="23">
        <f t="shared" si="5575"/>
        <v>0</v>
      </c>
      <c r="BK892" s="49" t="str">
        <f t="shared" ref="BK892" si="5866">IF(BJ892&lt;0,SUBSTITUTE(TEXT(BJ892,"000000000000,00"),",",""),SUBSTITUTE(TEXT(BJ892,"0000000000000,00"),",",""))</f>
        <v>000000000000000</v>
      </c>
      <c r="BL892" s="23">
        <f t="shared" si="5577"/>
        <v>0</v>
      </c>
      <c r="BM892" s="49" t="str">
        <f t="shared" ref="BM892" si="5867">IF(BL892&lt;0,SUBSTITUTE(TEXT(BL892,"000000000000,00"),",",""),SUBSTITUTE(TEXT(BL892,"0000000000000,00"),",",""))</f>
        <v>000000000000000</v>
      </c>
      <c r="BN892" t="str">
        <f t="shared" si="5579"/>
        <v>PES</v>
      </c>
      <c r="BO892" t="str">
        <f t="shared" si="5580"/>
        <v>0001000000</v>
      </c>
      <c r="BP892">
        <f t="shared" si="5581"/>
        <v>0</v>
      </c>
      <c r="BQ892">
        <f t="shared" si="5582"/>
        <v>0</v>
      </c>
      <c r="BR892" s="23">
        <f t="shared" si="5583"/>
        <v>0</v>
      </c>
      <c r="BS892" s="49" t="str">
        <f t="shared" si="5548"/>
        <v>000000000000000</v>
      </c>
      <c r="BT892" t="str">
        <f t="shared" si="5584"/>
        <v>00000000</v>
      </c>
      <c r="BU892" s="23">
        <f t="shared" si="5585"/>
        <v>0</v>
      </c>
      <c r="BV892" s="49" t="str">
        <f t="shared" si="5549"/>
        <v/>
      </c>
      <c r="BW892" s="52" t="str">
        <f t="shared" si="5586"/>
        <v/>
      </c>
      <c r="BX892" s="23">
        <f t="shared" si="5587"/>
        <v>0</v>
      </c>
      <c r="BY892" s="49" t="str">
        <f t="shared" si="5550"/>
        <v/>
      </c>
      <c r="BZ892" s="23">
        <f t="shared" si="5588"/>
        <v>0</v>
      </c>
      <c r="CA892" s="49" t="str">
        <f t="shared" si="5551"/>
        <v/>
      </c>
      <c r="CB892" s="52" t="str">
        <f t="shared" si="5589"/>
        <v/>
      </c>
      <c r="CC892" s="23">
        <f t="shared" si="5590"/>
        <v>0</v>
      </c>
      <c r="CD892" s="49" t="str">
        <f t="shared" si="5552"/>
        <v/>
      </c>
      <c r="CE892" s="56" t="str">
        <f>IF(CF892="","",MAX(CE$10:$CE891)+1)</f>
        <v/>
      </c>
      <c r="CF892" t="str">
        <f t="shared" si="5591"/>
        <v/>
      </c>
      <c r="CG892" s="22" t="str">
        <f>IF(CH892="","",MAX($CG$10:CG891)+1)</f>
        <v/>
      </c>
      <c r="CH892" s="22" t="str">
        <f t="shared" si="5536"/>
        <v/>
      </c>
      <c r="CI892" s="22" t="str">
        <f>IF(CJ892="","",MAX($CI$10:CI891)+1)</f>
        <v/>
      </c>
      <c r="CJ892" s="22" t="str">
        <f t="shared" si="5537"/>
        <v/>
      </c>
    </row>
    <row r="893" spans="2:88" x14ac:dyDescent="0.25">
      <c r="B893" s="37"/>
      <c r="C893" s="3"/>
      <c r="D893" s="77" t="str">
        <f t="shared" si="5523"/>
        <v/>
      </c>
      <c r="E893" s="38"/>
      <c r="F893" s="38"/>
      <c r="G893" s="78">
        <f t="shared" si="5538"/>
        <v>0</v>
      </c>
      <c r="H893" s="3">
        <v>80</v>
      </c>
      <c r="I893" s="77" t="str">
        <f t="shared" si="5524"/>
        <v/>
      </c>
      <c r="J893" s="32"/>
      <c r="K893" s="3"/>
      <c r="L893" s="39"/>
      <c r="M893" s="39"/>
      <c r="N893" s="39"/>
      <c r="O893" s="39"/>
      <c r="P893" s="39"/>
      <c r="Q893" s="39"/>
      <c r="R893" s="39"/>
      <c r="S893" s="39"/>
      <c r="T893" s="3" t="s">
        <v>645</v>
      </c>
      <c r="U893" s="77" t="str">
        <f t="shared" si="5525"/>
        <v/>
      </c>
      <c r="V893" s="39">
        <v>1</v>
      </c>
      <c r="W893" s="79">
        <f t="shared" si="5539"/>
        <v>0</v>
      </c>
      <c r="X893" s="3">
        <v>0</v>
      </c>
      <c r="Y893" s="77" t="str">
        <f t="shared" si="5526"/>
        <v/>
      </c>
      <c r="Z893" s="3"/>
      <c r="AA893" s="37" t="str">
        <f t="shared" si="5540"/>
        <v/>
      </c>
      <c r="AC893" s="40"/>
      <c r="AD893" s="7"/>
      <c r="AE893" s="77" t="str">
        <f t="shared" si="5527"/>
        <v/>
      </c>
      <c r="AF893" s="81">
        <f t="shared" si="5553"/>
        <v>0</v>
      </c>
      <c r="AG893" s="40"/>
      <c r="AH893" s="7"/>
      <c r="AI893" s="77" t="str">
        <f t="shared" si="5528"/>
        <v/>
      </c>
      <c r="AJ893" s="81">
        <f t="shared" si="5554"/>
        <v>0</v>
      </c>
      <c r="AK893" s="83">
        <f t="shared" si="5555"/>
        <v>0</v>
      </c>
      <c r="AL893" s="83">
        <f t="shared" si="5556"/>
        <v>0</v>
      </c>
      <c r="AN893" s="43">
        <f t="shared" si="5529"/>
        <v>0</v>
      </c>
      <c r="AP893" t="str">
        <f t="shared" si="5557"/>
        <v/>
      </c>
      <c r="AQ893" t="str">
        <f t="shared" si="5558"/>
        <v/>
      </c>
      <c r="AR893" t="str">
        <f t="shared" si="5559"/>
        <v/>
      </c>
      <c r="AS893" t="str">
        <f t="shared" si="5560"/>
        <v/>
      </c>
      <c r="AT893" t="str">
        <f t="shared" si="5561"/>
        <v/>
      </c>
      <c r="AU893" t="str">
        <f t="shared" si="5562"/>
        <v/>
      </c>
      <c r="AV893" t="str">
        <f t="shared" si="5563"/>
        <v/>
      </c>
      <c r="AW893" t="str">
        <f t="shared" si="5564"/>
        <v xml:space="preserve">                              </v>
      </c>
      <c r="AX893" s="23">
        <f t="shared" si="5565"/>
        <v>0</v>
      </c>
      <c r="AY893" s="49" t="str">
        <f t="shared" si="5541"/>
        <v>000000000000000</v>
      </c>
      <c r="AZ893" s="23">
        <f t="shared" si="5566"/>
        <v>0</v>
      </c>
      <c r="BA893" s="49" t="str">
        <f t="shared" si="5541"/>
        <v>000000000000000</v>
      </c>
      <c r="BB893" s="23">
        <f t="shared" si="5567"/>
        <v>0</v>
      </c>
      <c r="BC893" s="49" t="str">
        <f t="shared" ref="BC893" si="5868">IF(BB893&lt;0,SUBSTITUTE(TEXT(BB893,"000000000000,00"),",",""),SUBSTITUTE(TEXT(BB893,"0000000000000,00"),",",""))</f>
        <v>000000000000000</v>
      </c>
      <c r="BD893" s="23">
        <f t="shared" si="5569"/>
        <v>0</v>
      </c>
      <c r="BE893" s="49" t="str">
        <f t="shared" ref="BE893" si="5869">IF(BD893&lt;0,SUBSTITUTE(TEXT(BD893,"000000000000,00"),",",""),SUBSTITUTE(TEXT(BD893,"0000000000000,00"),",",""))</f>
        <v>000000000000000</v>
      </c>
      <c r="BF893" s="23">
        <f t="shared" si="5571"/>
        <v>0</v>
      </c>
      <c r="BG893" s="49" t="str">
        <f t="shared" ref="BG893" si="5870">IF(BF893&lt;0,SUBSTITUTE(TEXT(BF893,"000000000000,00"),",",""),SUBSTITUTE(TEXT(BF893,"0000000000000,00"),",",""))</f>
        <v>000000000000000</v>
      </c>
      <c r="BH893" s="23">
        <f t="shared" si="5573"/>
        <v>0</v>
      </c>
      <c r="BI893" s="49" t="str">
        <f t="shared" ref="BI893" si="5871">IF(BH893&lt;0,SUBSTITUTE(TEXT(BH893,"000000000000,00"),",",""),SUBSTITUTE(TEXT(BH893,"0000000000000,00"),",",""))</f>
        <v>000000000000000</v>
      </c>
      <c r="BJ893" s="23">
        <f t="shared" si="5575"/>
        <v>0</v>
      </c>
      <c r="BK893" s="49" t="str">
        <f t="shared" ref="BK893" si="5872">IF(BJ893&lt;0,SUBSTITUTE(TEXT(BJ893,"000000000000,00"),",",""),SUBSTITUTE(TEXT(BJ893,"0000000000000,00"),",",""))</f>
        <v>000000000000000</v>
      </c>
      <c r="BL893" s="23">
        <f t="shared" si="5577"/>
        <v>0</v>
      </c>
      <c r="BM893" s="49" t="str">
        <f t="shared" ref="BM893" si="5873">IF(BL893&lt;0,SUBSTITUTE(TEXT(BL893,"000000000000,00"),",",""),SUBSTITUTE(TEXT(BL893,"0000000000000,00"),",",""))</f>
        <v>000000000000000</v>
      </c>
      <c r="BN893" t="str">
        <f t="shared" si="5579"/>
        <v>PES</v>
      </c>
      <c r="BO893" t="str">
        <f t="shared" si="5580"/>
        <v>0001000000</v>
      </c>
      <c r="BP893">
        <f t="shared" si="5581"/>
        <v>0</v>
      </c>
      <c r="BQ893">
        <f t="shared" si="5582"/>
        <v>0</v>
      </c>
      <c r="BR893" s="23">
        <f t="shared" si="5583"/>
        <v>0</v>
      </c>
      <c r="BS893" s="49" t="str">
        <f t="shared" si="5548"/>
        <v>000000000000000</v>
      </c>
      <c r="BT893" t="str">
        <f t="shared" si="5584"/>
        <v>00000000</v>
      </c>
      <c r="BU893" s="23">
        <f t="shared" si="5585"/>
        <v>0</v>
      </c>
      <c r="BV893" s="49" t="str">
        <f t="shared" si="5549"/>
        <v/>
      </c>
      <c r="BW893" s="52" t="str">
        <f t="shared" si="5586"/>
        <v/>
      </c>
      <c r="BX893" s="23">
        <f t="shared" si="5587"/>
        <v>0</v>
      </c>
      <c r="BY893" s="49" t="str">
        <f t="shared" si="5550"/>
        <v/>
      </c>
      <c r="BZ893" s="23">
        <f t="shared" si="5588"/>
        <v>0</v>
      </c>
      <c r="CA893" s="49" t="str">
        <f t="shared" si="5551"/>
        <v/>
      </c>
      <c r="CB893" s="52" t="str">
        <f t="shared" si="5589"/>
        <v/>
      </c>
      <c r="CC893" s="23">
        <f t="shared" si="5590"/>
        <v>0</v>
      </c>
      <c r="CD893" s="49" t="str">
        <f t="shared" si="5552"/>
        <v/>
      </c>
      <c r="CE893" s="56" t="str">
        <f>IF(CF893="","",MAX(CE$10:$CE892)+1)</f>
        <v/>
      </c>
      <c r="CF893" t="str">
        <f t="shared" si="5591"/>
        <v/>
      </c>
      <c r="CG893" s="22" t="str">
        <f>IF(CH893="","",MAX($CG$10:CG892)+1)</f>
        <v/>
      </c>
      <c r="CH893" s="22" t="str">
        <f t="shared" si="5536"/>
        <v/>
      </c>
      <c r="CI893" s="22" t="str">
        <f>IF(CJ893="","",MAX($CI$10:CI892)+1)</f>
        <v/>
      </c>
      <c r="CJ893" s="22" t="str">
        <f t="shared" si="5537"/>
        <v/>
      </c>
    </row>
    <row r="894" spans="2:88" x14ac:dyDescent="0.25">
      <c r="B894" s="37"/>
      <c r="C894" s="3"/>
      <c r="D894" s="77" t="str">
        <f t="shared" si="5523"/>
        <v/>
      </c>
      <c r="E894" s="38"/>
      <c r="F894" s="38"/>
      <c r="G894" s="78">
        <f t="shared" si="5538"/>
        <v>0</v>
      </c>
      <c r="H894" s="3">
        <v>80</v>
      </c>
      <c r="I894" s="77" t="str">
        <f t="shared" si="5524"/>
        <v/>
      </c>
      <c r="J894" s="32"/>
      <c r="K894" s="3"/>
      <c r="L894" s="39"/>
      <c r="M894" s="39"/>
      <c r="N894" s="39"/>
      <c r="O894" s="39"/>
      <c r="P894" s="39"/>
      <c r="Q894" s="39"/>
      <c r="R894" s="39"/>
      <c r="S894" s="39"/>
      <c r="T894" s="3" t="s">
        <v>645</v>
      </c>
      <c r="U894" s="77" t="str">
        <f t="shared" si="5525"/>
        <v/>
      </c>
      <c r="V894" s="39">
        <v>1</v>
      </c>
      <c r="W894" s="79">
        <f t="shared" si="5539"/>
        <v>0</v>
      </c>
      <c r="X894" s="3">
        <v>0</v>
      </c>
      <c r="Y894" s="77" t="str">
        <f t="shared" si="5526"/>
        <v/>
      </c>
      <c r="Z894" s="3"/>
      <c r="AA894" s="37" t="str">
        <f t="shared" si="5540"/>
        <v/>
      </c>
      <c r="AC894" s="40"/>
      <c r="AD894" s="7"/>
      <c r="AE894" s="77" t="str">
        <f t="shared" si="5527"/>
        <v/>
      </c>
      <c r="AF894" s="81">
        <f t="shared" si="5553"/>
        <v>0</v>
      </c>
      <c r="AG894" s="40"/>
      <c r="AH894" s="7"/>
      <c r="AI894" s="77" t="str">
        <f t="shared" si="5528"/>
        <v/>
      </c>
      <c r="AJ894" s="81">
        <f t="shared" si="5554"/>
        <v>0</v>
      </c>
      <c r="AK894" s="83">
        <f t="shared" si="5555"/>
        <v>0</v>
      </c>
      <c r="AL894" s="83">
        <f t="shared" si="5556"/>
        <v>0</v>
      </c>
      <c r="AN894" s="43">
        <f t="shared" si="5529"/>
        <v>0</v>
      </c>
      <c r="AP894" t="str">
        <f t="shared" si="5557"/>
        <v/>
      </c>
      <c r="AQ894" t="str">
        <f t="shared" si="5558"/>
        <v/>
      </c>
      <c r="AR894" t="str">
        <f t="shared" si="5559"/>
        <v/>
      </c>
      <c r="AS894" t="str">
        <f t="shared" si="5560"/>
        <v/>
      </c>
      <c r="AT894" t="str">
        <f t="shared" si="5561"/>
        <v/>
      </c>
      <c r="AU894" t="str">
        <f t="shared" si="5562"/>
        <v/>
      </c>
      <c r="AV894" t="str">
        <f t="shared" si="5563"/>
        <v/>
      </c>
      <c r="AW894" t="str">
        <f t="shared" si="5564"/>
        <v xml:space="preserve">                              </v>
      </c>
      <c r="AX894" s="23">
        <f t="shared" si="5565"/>
        <v>0</v>
      </c>
      <c r="AY894" s="49" t="str">
        <f t="shared" si="5541"/>
        <v>000000000000000</v>
      </c>
      <c r="AZ894" s="23">
        <f t="shared" si="5566"/>
        <v>0</v>
      </c>
      <c r="BA894" s="49" t="str">
        <f t="shared" si="5541"/>
        <v>000000000000000</v>
      </c>
      <c r="BB894" s="23">
        <f t="shared" si="5567"/>
        <v>0</v>
      </c>
      <c r="BC894" s="49" t="str">
        <f t="shared" ref="BC894" si="5874">IF(BB894&lt;0,SUBSTITUTE(TEXT(BB894,"000000000000,00"),",",""),SUBSTITUTE(TEXT(BB894,"0000000000000,00"),",",""))</f>
        <v>000000000000000</v>
      </c>
      <c r="BD894" s="23">
        <f t="shared" si="5569"/>
        <v>0</v>
      </c>
      <c r="BE894" s="49" t="str">
        <f t="shared" ref="BE894" si="5875">IF(BD894&lt;0,SUBSTITUTE(TEXT(BD894,"000000000000,00"),",",""),SUBSTITUTE(TEXT(BD894,"0000000000000,00"),",",""))</f>
        <v>000000000000000</v>
      </c>
      <c r="BF894" s="23">
        <f t="shared" si="5571"/>
        <v>0</v>
      </c>
      <c r="BG894" s="49" t="str">
        <f t="shared" ref="BG894" si="5876">IF(BF894&lt;0,SUBSTITUTE(TEXT(BF894,"000000000000,00"),",",""),SUBSTITUTE(TEXT(BF894,"0000000000000,00"),",",""))</f>
        <v>000000000000000</v>
      </c>
      <c r="BH894" s="23">
        <f t="shared" si="5573"/>
        <v>0</v>
      </c>
      <c r="BI894" s="49" t="str">
        <f t="shared" ref="BI894" si="5877">IF(BH894&lt;0,SUBSTITUTE(TEXT(BH894,"000000000000,00"),",",""),SUBSTITUTE(TEXT(BH894,"0000000000000,00"),",",""))</f>
        <v>000000000000000</v>
      </c>
      <c r="BJ894" s="23">
        <f t="shared" si="5575"/>
        <v>0</v>
      </c>
      <c r="BK894" s="49" t="str">
        <f t="shared" ref="BK894" si="5878">IF(BJ894&lt;0,SUBSTITUTE(TEXT(BJ894,"000000000000,00"),",",""),SUBSTITUTE(TEXT(BJ894,"0000000000000,00"),",",""))</f>
        <v>000000000000000</v>
      </c>
      <c r="BL894" s="23">
        <f t="shared" si="5577"/>
        <v>0</v>
      </c>
      <c r="BM894" s="49" t="str">
        <f t="shared" ref="BM894" si="5879">IF(BL894&lt;0,SUBSTITUTE(TEXT(BL894,"000000000000,00"),",",""),SUBSTITUTE(TEXT(BL894,"0000000000000,00"),",",""))</f>
        <v>000000000000000</v>
      </c>
      <c r="BN894" t="str">
        <f t="shared" si="5579"/>
        <v>PES</v>
      </c>
      <c r="BO894" t="str">
        <f t="shared" si="5580"/>
        <v>0001000000</v>
      </c>
      <c r="BP894">
        <f t="shared" si="5581"/>
        <v>0</v>
      </c>
      <c r="BQ894">
        <f t="shared" si="5582"/>
        <v>0</v>
      </c>
      <c r="BR894" s="23">
        <f t="shared" si="5583"/>
        <v>0</v>
      </c>
      <c r="BS894" s="49" t="str">
        <f t="shared" si="5548"/>
        <v>000000000000000</v>
      </c>
      <c r="BT894" t="str">
        <f t="shared" si="5584"/>
        <v>00000000</v>
      </c>
      <c r="BU894" s="23">
        <f t="shared" si="5585"/>
        <v>0</v>
      </c>
      <c r="BV894" s="49" t="str">
        <f t="shared" si="5549"/>
        <v/>
      </c>
      <c r="BW894" s="52" t="str">
        <f t="shared" si="5586"/>
        <v/>
      </c>
      <c r="BX894" s="23">
        <f t="shared" si="5587"/>
        <v>0</v>
      </c>
      <c r="BY894" s="49" t="str">
        <f t="shared" si="5550"/>
        <v/>
      </c>
      <c r="BZ894" s="23">
        <f t="shared" si="5588"/>
        <v>0</v>
      </c>
      <c r="CA894" s="49" t="str">
        <f t="shared" si="5551"/>
        <v/>
      </c>
      <c r="CB894" s="52" t="str">
        <f t="shared" si="5589"/>
        <v/>
      </c>
      <c r="CC894" s="23">
        <f t="shared" si="5590"/>
        <v>0</v>
      </c>
      <c r="CD894" s="49" t="str">
        <f t="shared" si="5552"/>
        <v/>
      </c>
      <c r="CE894" s="56" t="str">
        <f>IF(CF894="","",MAX(CE$10:$CE893)+1)</f>
        <v/>
      </c>
      <c r="CF894" t="str">
        <f t="shared" si="5591"/>
        <v/>
      </c>
      <c r="CG894" s="22" t="str">
        <f>IF(CH894="","",MAX($CG$10:CG893)+1)</f>
        <v/>
      </c>
      <c r="CH894" s="22" t="str">
        <f t="shared" si="5536"/>
        <v/>
      </c>
      <c r="CI894" s="22" t="str">
        <f>IF(CJ894="","",MAX($CI$10:CI893)+1)</f>
        <v/>
      </c>
      <c r="CJ894" s="22" t="str">
        <f t="shared" si="5537"/>
        <v/>
      </c>
    </row>
    <row r="895" spans="2:88" x14ac:dyDescent="0.25">
      <c r="B895" s="37"/>
      <c r="C895" s="3"/>
      <c r="D895" s="77" t="str">
        <f t="shared" si="5523"/>
        <v/>
      </c>
      <c r="E895" s="38"/>
      <c r="F895" s="38"/>
      <c r="G895" s="78">
        <f t="shared" si="5538"/>
        <v>0</v>
      </c>
      <c r="H895" s="3">
        <v>80</v>
      </c>
      <c r="I895" s="77" t="str">
        <f t="shared" si="5524"/>
        <v/>
      </c>
      <c r="J895" s="32"/>
      <c r="K895" s="3"/>
      <c r="L895" s="39"/>
      <c r="M895" s="39"/>
      <c r="N895" s="39"/>
      <c r="O895" s="39"/>
      <c r="P895" s="39"/>
      <c r="Q895" s="39"/>
      <c r="R895" s="39"/>
      <c r="S895" s="39"/>
      <c r="T895" s="3" t="s">
        <v>645</v>
      </c>
      <c r="U895" s="77" t="str">
        <f t="shared" si="5525"/>
        <v/>
      </c>
      <c r="V895" s="39">
        <v>1</v>
      </c>
      <c r="W895" s="79">
        <f t="shared" si="5539"/>
        <v>0</v>
      </c>
      <c r="X895" s="3">
        <v>0</v>
      </c>
      <c r="Y895" s="77" t="str">
        <f t="shared" si="5526"/>
        <v/>
      </c>
      <c r="Z895" s="3"/>
      <c r="AA895" s="37" t="str">
        <f t="shared" si="5540"/>
        <v/>
      </c>
      <c r="AC895" s="40"/>
      <c r="AD895" s="7"/>
      <c r="AE895" s="77" t="str">
        <f t="shared" si="5527"/>
        <v/>
      </c>
      <c r="AF895" s="81">
        <f t="shared" si="5553"/>
        <v>0</v>
      </c>
      <c r="AG895" s="40"/>
      <c r="AH895" s="7"/>
      <c r="AI895" s="77" t="str">
        <f t="shared" si="5528"/>
        <v/>
      </c>
      <c r="AJ895" s="81">
        <f t="shared" si="5554"/>
        <v>0</v>
      </c>
      <c r="AK895" s="83">
        <f t="shared" si="5555"/>
        <v>0</v>
      </c>
      <c r="AL895" s="83">
        <f t="shared" si="5556"/>
        <v>0</v>
      </c>
      <c r="AN895" s="43">
        <f t="shared" si="5529"/>
        <v>0</v>
      </c>
      <c r="AP895" t="str">
        <f t="shared" si="5557"/>
        <v/>
      </c>
      <c r="AQ895" t="str">
        <f t="shared" si="5558"/>
        <v/>
      </c>
      <c r="AR895" t="str">
        <f t="shared" si="5559"/>
        <v/>
      </c>
      <c r="AS895" t="str">
        <f t="shared" si="5560"/>
        <v/>
      </c>
      <c r="AT895" t="str">
        <f t="shared" si="5561"/>
        <v/>
      </c>
      <c r="AU895" t="str">
        <f t="shared" si="5562"/>
        <v/>
      </c>
      <c r="AV895" t="str">
        <f t="shared" si="5563"/>
        <v/>
      </c>
      <c r="AW895" t="str">
        <f t="shared" si="5564"/>
        <v xml:space="preserve">                              </v>
      </c>
      <c r="AX895" s="23">
        <f t="shared" si="5565"/>
        <v>0</v>
      </c>
      <c r="AY895" s="49" t="str">
        <f t="shared" si="5541"/>
        <v>000000000000000</v>
      </c>
      <c r="AZ895" s="23">
        <f t="shared" si="5566"/>
        <v>0</v>
      </c>
      <c r="BA895" s="49" t="str">
        <f t="shared" si="5541"/>
        <v>000000000000000</v>
      </c>
      <c r="BB895" s="23">
        <f t="shared" si="5567"/>
        <v>0</v>
      </c>
      <c r="BC895" s="49" t="str">
        <f t="shared" ref="BC895" si="5880">IF(BB895&lt;0,SUBSTITUTE(TEXT(BB895,"000000000000,00"),",",""),SUBSTITUTE(TEXT(BB895,"0000000000000,00"),",",""))</f>
        <v>000000000000000</v>
      </c>
      <c r="BD895" s="23">
        <f t="shared" si="5569"/>
        <v>0</v>
      </c>
      <c r="BE895" s="49" t="str">
        <f t="shared" ref="BE895" si="5881">IF(BD895&lt;0,SUBSTITUTE(TEXT(BD895,"000000000000,00"),",",""),SUBSTITUTE(TEXT(BD895,"0000000000000,00"),",",""))</f>
        <v>000000000000000</v>
      </c>
      <c r="BF895" s="23">
        <f t="shared" si="5571"/>
        <v>0</v>
      </c>
      <c r="BG895" s="49" t="str">
        <f t="shared" ref="BG895" si="5882">IF(BF895&lt;0,SUBSTITUTE(TEXT(BF895,"000000000000,00"),",",""),SUBSTITUTE(TEXT(BF895,"0000000000000,00"),",",""))</f>
        <v>000000000000000</v>
      </c>
      <c r="BH895" s="23">
        <f t="shared" si="5573"/>
        <v>0</v>
      </c>
      <c r="BI895" s="49" t="str">
        <f t="shared" ref="BI895" si="5883">IF(BH895&lt;0,SUBSTITUTE(TEXT(BH895,"000000000000,00"),",",""),SUBSTITUTE(TEXT(BH895,"0000000000000,00"),",",""))</f>
        <v>000000000000000</v>
      </c>
      <c r="BJ895" s="23">
        <f t="shared" si="5575"/>
        <v>0</v>
      </c>
      <c r="BK895" s="49" t="str">
        <f t="shared" ref="BK895" si="5884">IF(BJ895&lt;0,SUBSTITUTE(TEXT(BJ895,"000000000000,00"),",",""),SUBSTITUTE(TEXT(BJ895,"0000000000000,00"),",",""))</f>
        <v>000000000000000</v>
      </c>
      <c r="BL895" s="23">
        <f t="shared" si="5577"/>
        <v>0</v>
      </c>
      <c r="BM895" s="49" t="str">
        <f t="shared" ref="BM895" si="5885">IF(BL895&lt;0,SUBSTITUTE(TEXT(BL895,"000000000000,00"),",",""),SUBSTITUTE(TEXT(BL895,"0000000000000,00"),",",""))</f>
        <v>000000000000000</v>
      </c>
      <c r="BN895" t="str">
        <f t="shared" si="5579"/>
        <v>PES</v>
      </c>
      <c r="BO895" t="str">
        <f t="shared" si="5580"/>
        <v>0001000000</v>
      </c>
      <c r="BP895">
        <f t="shared" si="5581"/>
        <v>0</v>
      </c>
      <c r="BQ895">
        <f t="shared" si="5582"/>
        <v>0</v>
      </c>
      <c r="BR895" s="23">
        <f t="shared" si="5583"/>
        <v>0</v>
      </c>
      <c r="BS895" s="49" t="str">
        <f t="shared" si="5548"/>
        <v>000000000000000</v>
      </c>
      <c r="BT895" t="str">
        <f t="shared" si="5584"/>
        <v>00000000</v>
      </c>
      <c r="BU895" s="23">
        <f t="shared" si="5585"/>
        <v>0</v>
      </c>
      <c r="BV895" s="49" t="str">
        <f t="shared" si="5549"/>
        <v/>
      </c>
      <c r="BW895" s="52" t="str">
        <f t="shared" si="5586"/>
        <v/>
      </c>
      <c r="BX895" s="23">
        <f t="shared" si="5587"/>
        <v>0</v>
      </c>
      <c r="BY895" s="49" t="str">
        <f t="shared" si="5550"/>
        <v/>
      </c>
      <c r="BZ895" s="23">
        <f t="shared" si="5588"/>
        <v>0</v>
      </c>
      <c r="CA895" s="49" t="str">
        <f t="shared" si="5551"/>
        <v/>
      </c>
      <c r="CB895" s="52" t="str">
        <f t="shared" si="5589"/>
        <v/>
      </c>
      <c r="CC895" s="23">
        <f t="shared" si="5590"/>
        <v>0</v>
      </c>
      <c r="CD895" s="49" t="str">
        <f t="shared" si="5552"/>
        <v/>
      </c>
      <c r="CE895" s="56" t="str">
        <f>IF(CF895="","",MAX(CE$10:$CE894)+1)</f>
        <v/>
      </c>
      <c r="CF895" t="str">
        <f t="shared" si="5591"/>
        <v/>
      </c>
      <c r="CG895" s="22" t="str">
        <f>IF(CH895="","",MAX($CG$10:CG894)+1)</f>
        <v/>
      </c>
      <c r="CH895" s="22" t="str">
        <f t="shared" si="5536"/>
        <v/>
      </c>
      <c r="CI895" s="22" t="str">
        <f>IF(CJ895="","",MAX($CI$10:CI894)+1)</f>
        <v/>
      </c>
      <c r="CJ895" s="22" t="str">
        <f t="shared" si="5537"/>
        <v/>
      </c>
    </row>
    <row r="896" spans="2:88" x14ac:dyDescent="0.25">
      <c r="B896" s="37"/>
      <c r="C896" s="3"/>
      <c r="D896" s="77" t="str">
        <f t="shared" si="5523"/>
        <v/>
      </c>
      <c r="E896" s="38"/>
      <c r="F896" s="38"/>
      <c r="G896" s="78">
        <f t="shared" si="5538"/>
        <v>0</v>
      </c>
      <c r="H896" s="3">
        <v>80</v>
      </c>
      <c r="I896" s="77" t="str">
        <f t="shared" si="5524"/>
        <v/>
      </c>
      <c r="J896" s="32"/>
      <c r="K896" s="3"/>
      <c r="L896" s="39"/>
      <c r="M896" s="39"/>
      <c r="N896" s="39"/>
      <c r="O896" s="39"/>
      <c r="P896" s="39"/>
      <c r="Q896" s="39"/>
      <c r="R896" s="39"/>
      <c r="S896" s="39"/>
      <c r="T896" s="3" t="s">
        <v>645</v>
      </c>
      <c r="U896" s="77" t="str">
        <f t="shared" si="5525"/>
        <v/>
      </c>
      <c r="V896" s="39">
        <v>1</v>
      </c>
      <c r="W896" s="79">
        <f t="shared" si="5539"/>
        <v>0</v>
      </c>
      <c r="X896" s="3">
        <v>0</v>
      </c>
      <c r="Y896" s="77" t="str">
        <f t="shared" si="5526"/>
        <v/>
      </c>
      <c r="Z896" s="3"/>
      <c r="AA896" s="37" t="str">
        <f t="shared" si="5540"/>
        <v/>
      </c>
      <c r="AC896" s="40"/>
      <c r="AD896" s="7"/>
      <c r="AE896" s="77" t="str">
        <f t="shared" si="5527"/>
        <v/>
      </c>
      <c r="AF896" s="81">
        <f t="shared" si="5553"/>
        <v>0</v>
      </c>
      <c r="AG896" s="40"/>
      <c r="AH896" s="7"/>
      <c r="AI896" s="77" t="str">
        <f t="shared" si="5528"/>
        <v/>
      </c>
      <c r="AJ896" s="81">
        <f t="shared" si="5554"/>
        <v>0</v>
      </c>
      <c r="AK896" s="83">
        <f t="shared" si="5555"/>
        <v>0</v>
      </c>
      <c r="AL896" s="83">
        <f t="shared" si="5556"/>
        <v>0</v>
      </c>
      <c r="AN896" s="43">
        <f t="shared" si="5529"/>
        <v>0</v>
      </c>
      <c r="AP896" t="str">
        <f t="shared" si="5557"/>
        <v/>
      </c>
      <c r="AQ896" t="str">
        <f t="shared" si="5558"/>
        <v/>
      </c>
      <c r="AR896" t="str">
        <f t="shared" si="5559"/>
        <v/>
      </c>
      <c r="AS896" t="str">
        <f t="shared" si="5560"/>
        <v/>
      </c>
      <c r="AT896" t="str">
        <f t="shared" si="5561"/>
        <v/>
      </c>
      <c r="AU896" t="str">
        <f t="shared" si="5562"/>
        <v/>
      </c>
      <c r="AV896" t="str">
        <f t="shared" si="5563"/>
        <v/>
      </c>
      <c r="AW896" t="str">
        <f t="shared" si="5564"/>
        <v xml:space="preserve">                              </v>
      </c>
      <c r="AX896" s="23">
        <f t="shared" si="5565"/>
        <v>0</v>
      </c>
      <c r="AY896" s="49" t="str">
        <f t="shared" si="5541"/>
        <v>000000000000000</v>
      </c>
      <c r="AZ896" s="23">
        <f t="shared" si="5566"/>
        <v>0</v>
      </c>
      <c r="BA896" s="49" t="str">
        <f t="shared" si="5541"/>
        <v>000000000000000</v>
      </c>
      <c r="BB896" s="23">
        <f t="shared" si="5567"/>
        <v>0</v>
      </c>
      <c r="BC896" s="49" t="str">
        <f t="shared" ref="BC896" si="5886">IF(BB896&lt;0,SUBSTITUTE(TEXT(BB896,"000000000000,00"),",",""),SUBSTITUTE(TEXT(BB896,"0000000000000,00"),",",""))</f>
        <v>000000000000000</v>
      </c>
      <c r="BD896" s="23">
        <f t="shared" si="5569"/>
        <v>0</v>
      </c>
      <c r="BE896" s="49" t="str">
        <f t="shared" ref="BE896" si="5887">IF(BD896&lt;0,SUBSTITUTE(TEXT(BD896,"000000000000,00"),",",""),SUBSTITUTE(TEXT(BD896,"0000000000000,00"),",",""))</f>
        <v>000000000000000</v>
      </c>
      <c r="BF896" s="23">
        <f t="shared" si="5571"/>
        <v>0</v>
      </c>
      <c r="BG896" s="49" t="str">
        <f t="shared" ref="BG896" si="5888">IF(BF896&lt;0,SUBSTITUTE(TEXT(BF896,"000000000000,00"),",",""),SUBSTITUTE(TEXT(BF896,"0000000000000,00"),",",""))</f>
        <v>000000000000000</v>
      </c>
      <c r="BH896" s="23">
        <f t="shared" si="5573"/>
        <v>0</v>
      </c>
      <c r="BI896" s="49" t="str">
        <f t="shared" ref="BI896" si="5889">IF(BH896&lt;0,SUBSTITUTE(TEXT(BH896,"000000000000,00"),",",""),SUBSTITUTE(TEXT(BH896,"0000000000000,00"),",",""))</f>
        <v>000000000000000</v>
      </c>
      <c r="BJ896" s="23">
        <f t="shared" si="5575"/>
        <v>0</v>
      </c>
      <c r="BK896" s="49" t="str">
        <f t="shared" ref="BK896" si="5890">IF(BJ896&lt;0,SUBSTITUTE(TEXT(BJ896,"000000000000,00"),",",""),SUBSTITUTE(TEXT(BJ896,"0000000000000,00"),",",""))</f>
        <v>000000000000000</v>
      </c>
      <c r="BL896" s="23">
        <f t="shared" si="5577"/>
        <v>0</v>
      </c>
      <c r="BM896" s="49" t="str">
        <f t="shared" ref="BM896" si="5891">IF(BL896&lt;0,SUBSTITUTE(TEXT(BL896,"000000000000,00"),",",""),SUBSTITUTE(TEXT(BL896,"0000000000000,00"),",",""))</f>
        <v>000000000000000</v>
      </c>
      <c r="BN896" t="str">
        <f t="shared" si="5579"/>
        <v>PES</v>
      </c>
      <c r="BO896" t="str">
        <f t="shared" si="5580"/>
        <v>0001000000</v>
      </c>
      <c r="BP896">
        <f t="shared" si="5581"/>
        <v>0</v>
      </c>
      <c r="BQ896">
        <f t="shared" si="5582"/>
        <v>0</v>
      </c>
      <c r="BR896" s="23">
        <f t="shared" si="5583"/>
        <v>0</v>
      </c>
      <c r="BS896" s="49" t="str">
        <f t="shared" si="5548"/>
        <v>000000000000000</v>
      </c>
      <c r="BT896" t="str">
        <f t="shared" si="5584"/>
        <v>00000000</v>
      </c>
      <c r="BU896" s="23">
        <f t="shared" si="5585"/>
        <v>0</v>
      </c>
      <c r="BV896" s="49" t="str">
        <f t="shared" si="5549"/>
        <v/>
      </c>
      <c r="BW896" s="52" t="str">
        <f t="shared" si="5586"/>
        <v/>
      </c>
      <c r="BX896" s="23">
        <f t="shared" si="5587"/>
        <v>0</v>
      </c>
      <c r="BY896" s="49" t="str">
        <f t="shared" si="5550"/>
        <v/>
      </c>
      <c r="BZ896" s="23">
        <f t="shared" si="5588"/>
        <v>0</v>
      </c>
      <c r="CA896" s="49" t="str">
        <f t="shared" si="5551"/>
        <v/>
      </c>
      <c r="CB896" s="52" t="str">
        <f t="shared" si="5589"/>
        <v/>
      </c>
      <c r="CC896" s="23">
        <f t="shared" si="5590"/>
        <v>0</v>
      </c>
      <c r="CD896" s="49" t="str">
        <f t="shared" si="5552"/>
        <v/>
      </c>
      <c r="CE896" s="56" t="str">
        <f>IF(CF896="","",MAX(CE$10:$CE895)+1)</f>
        <v/>
      </c>
      <c r="CF896" t="str">
        <f t="shared" si="5591"/>
        <v/>
      </c>
      <c r="CG896" s="22" t="str">
        <f>IF(CH896="","",MAX($CG$10:CG895)+1)</f>
        <v/>
      </c>
      <c r="CH896" s="22" t="str">
        <f t="shared" si="5536"/>
        <v/>
      </c>
      <c r="CI896" s="22" t="str">
        <f>IF(CJ896="","",MAX($CI$10:CI895)+1)</f>
        <v/>
      </c>
      <c r="CJ896" s="22" t="str">
        <f t="shared" si="5537"/>
        <v/>
      </c>
    </row>
    <row r="897" spans="2:88" x14ac:dyDescent="0.25">
      <c r="B897" s="37"/>
      <c r="C897" s="3"/>
      <c r="D897" s="77" t="str">
        <f t="shared" si="5523"/>
        <v/>
      </c>
      <c r="E897" s="38"/>
      <c r="F897" s="38"/>
      <c r="G897" s="78">
        <f t="shared" si="5538"/>
        <v>0</v>
      </c>
      <c r="H897" s="3">
        <v>80</v>
      </c>
      <c r="I897" s="77" t="str">
        <f t="shared" si="5524"/>
        <v/>
      </c>
      <c r="J897" s="32"/>
      <c r="K897" s="3"/>
      <c r="L897" s="39"/>
      <c r="M897" s="39"/>
      <c r="N897" s="39"/>
      <c r="O897" s="39"/>
      <c r="P897" s="39"/>
      <c r="Q897" s="39"/>
      <c r="R897" s="39"/>
      <c r="S897" s="39"/>
      <c r="T897" s="3" t="s">
        <v>645</v>
      </c>
      <c r="U897" s="77" t="str">
        <f t="shared" si="5525"/>
        <v/>
      </c>
      <c r="V897" s="39">
        <v>1</v>
      </c>
      <c r="W897" s="79">
        <f t="shared" si="5539"/>
        <v>0</v>
      </c>
      <c r="X897" s="3">
        <v>0</v>
      </c>
      <c r="Y897" s="77" t="str">
        <f t="shared" si="5526"/>
        <v/>
      </c>
      <c r="Z897" s="3"/>
      <c r="AA897" s="37" t="str">
        <f t="shared" si="5540"/>
        <v/>
      </c>
      <c r="AC897" s="40"/>
      <c r="AD897" s="7"/>
      <c r="AE897" s="77" t="str">
        <f t="shared" si="5527"/>
        <v/>
      </c>
      <c r="AF897" s="81">
        <f t="shared" si="5553"/>
        <v>0</v>
      </c>
      <c r="AG897" s="40"/>
      <c r="AH897" s="7"/>
      <c r="AI897" s="77" t="str">
        <f t="shared" si="5528"/>
        <v/>
      </c>
      <c r="AJ897" s="81">
        <f t="shared" si="5554"/>
        <v>0</v>
      </c>
      <c r="AK897" s="83">
        <f t="shared" si="5555"/>
        <v>0</v>
      </c>
      <c r="AL897" s="83">
        <f t="shared" si="5556"/>
        <v>0</v>
      </c>
      <c r="AN897" s="43">
        <f t="shared" si="5529"/>
        <v>0</v>
      </c>
      <c r="AP897" t="str">
        <f t="shared" si="5557"/>
        <v/>
      </c>
      <c r="AQ897" t="str">
        <f t="shared" si="5558"/>
        <v/>
      </c>
      <c r="AR897" t="str">
        <f t="shared" si="5559"/>
        <v/>
      </c>
      <c r="AS897" t="str">
        <f t="shared" si="5560"/>
        <v/>
      </c>
      <c r="AT897" t="str">
        <f t="shared" si="5561"/>
        <v/>
      </c>
      <c r="AU897" t="str">
        <f t="shared" si="5562"/>
        <v/>
      </c>
      <c r="AV897" t="str">
        <f t="shared" si="5563"/>
        <v/>
      </c>
      <c r="AW897" t="str">
        <f t="shared" si="5564"/>
        <v xml:space="preserve">                              </v>
      </c>
      <c r="AX897" s="23">
        <f t="shared" si="5565"/>
        <v>0</v>
      </c>
      <c r="AY897" s="49" t="str">
        <f t="shared" si="5541"/>
        <v>000000000000000</v>
      </c>
      <c r="AZ897" s="23">
        <f t="shared" si="5566"/>
        <v>0</v>
      </c>
      <c r="BA897" s="49" t="str">
        <f t="shared" si="5541"/>
        <v>000000000000000</v>
      </c>
      <c r="BB897" s="23">
        <f t="shared" si="5567"/>
        <v>0</v>
      </c>
      <c r="BC897" s="49" t="str">
        <f t="shared" ref="BC897" si="5892">IF(BB897&lt;0,SUBSTITUTE(TEXT(BB897,"000000000000,00"),",",""),SUBSTITUTE(TEXT(BB897,"0000000000000,00"),",",""))</f>
        <v>000000000000000</v>
      </c>
      <c r="BD897" s="23">
        <f t="shared" si="5569"/>
        <v>0</v>
      </c>
      <c r="BE897" s="49" t="str">
        <f t="shared" ref="BE897" si="5893">IF(BD897&lt;0,SUBSTITUTE(TEXT(BD897,"000000000000,00"),",",""),SUBSTITUTE(TEXT(BD897,"0000000000000,00"),",",""))</f>
        <v>000000000000000</v>
      </c>
      <c r="BF897" s="23">
        <f t="shared" si="5571"/>
        <v>0</v>
      </c>
      <c r="BG897" s="49" t="str">
        <f t="shared" ref="BG897" si="5894">IF(BF897&lt;0,SUBSTITUTE(TEXT(BF897,"000000000000,00"),",",""),SUBSTITUTE(TEXT(BF897,"0000000000000,00"),",",""))</f>
        <v>000000000000000</v>
      </c>
      <c r="BH897" s="23">
        <f t="shared" si="5573"/>
        <v>0</v>
      </c>
      <c r="BI897" s="49" t="str">
        <f t="shared" ref="BI897" si="5895">IF(BH897&lt;0,SUBSTITUTE(TEXT(BH897,"000000000000,00"),",",""),SUBSTITUTE(TEXT(BH897,"0000000000000,00"),",",""))</f>
        <v>000000000000000</v>
      </c>
      <c r="BJ897" s="23">
        <f t="shared" si="5575"/>
        <v>0</v>
      </c>
      <c r="BK897" s="49" t="str">
        <f t="shared" ref="BK897" si="5896">IF(BJ897&lt;0,SUBSTITUTE(TEXT(BJ897,"000000000000,00"),",",""),SUBSTITUTE(TEXT(BJ897,"0000000000000,00"),",",""))</f>
        <v>000000000000000</v>
      </c>
      <c r="BL897" s="23">
        <f t="shared" si="5577"/>
        <v>0</v>
      </c>
      <c r="BM897" s="49" t="str">
        <f t="shared" ref="BM897" si="5897">IF(BL897&lt;0,SUBSTITUTE(TEXT(BL897,"000000000000,00"),",",""),SUBSTITUTE(TEXT(BL897,"0000000000000,00"),",",""))</f>
        <v>000000000000000</v>
      </c>
      <c r="BN897" t="str">
        <f t="shared" si="5579"/>
        <v>PES</v>
      </c>
      <c r="BO897" t="str">
        <f t="shared" si="5580"/>
        <v>0001000000</v>
      </c>
      <c r="BP897">
        <f t="shared" si="5581"/>
        <v>0</v>
      </c>
      <c r="BQ897">
        <f t="shared" si="5582"/>
        <v>0</v>
      </c>
      <c r="BR897" s="23">
        <f t="shared" si="5583"/>
        <v>0</v>
      </c>
      <c r="BS897" s="49" t="str">
        <f t="shared" si="5548"/>
        <v>000000000000000</v>
      </c>
      <c r="BT897" t="str">
        <f t="shared" si="5584"/>
        <v>00000000</v>
      </c>
      <c r="BU897" s="23">
        <f t="shared" si="5585"/>
        <v>0</v>
      </c>
      <c r="BV897" s="49" t="str">
        <f t="shared" si="5549"/>
        <v/>
      </c>
      <c r="BW897" s="52" t="str">
        <f t="shared" si="5586"/>
        <v/>
      </c>
      <c r="BX897" s="23">
        <f t="shared" si="5587"/>
        <v>0</v>
      </c>
      <c r="BY897" s="49" t="str">
        <f t="shared" si="5550"/>
        <v/>
      </c>
      <c r="BZ897" s="23">
        <f t="shared" si="5588"/>
        <v>0</v>
      </c>
      <c r="CA897" s="49" t="str">
        <f t="shared" si="5551"/>
        <v/>
      </c>
      <c r="CB897" s="52" t="str">
        <f t="shared" si="5589"/>
        <v/>
      </c>
      <c r="CC897" s="23">
        <f t="shared" si="5590"/>
        <v>0</v>
      </c>
      <c r="CD897" s="49" t="str">
        <f t="shared" si="5552"/>
        <v/>
      </c>
      <c r="CE897" s="56" t="str">
        <f>IF(CF897="","",MAX(CE$10:$CE896)+1)</f>
        <v/>
      </c>
      <c r="CF897" t="str">
        <f t="shared" si="5591"/>
        <v/>
      </c>
      <c r="CG897" s="22" t="str">
        <f>IF(CH897="","",MAX($CG$10:CG896)+1)</f>
        <v/>
      </c>
      <c r="CH897" s="22" t="str">
        <f t="shared" si="5536"/>
        <v/>
      </c>
      <c r="CI897" s="22" t="str">
        <f>IF(CJ897="","",MAX($CI$10:CI896)+1)</f>
        <v/>
      </c>
      <c r="CJ897" s="22" t="str">
        <f t="shared" si="5537"/>
        <v/>
      </c>
    </row>
    <row r="898" spans="2:88" x14ac:dyDescent="0.25">
      <c r="B898" s="37"/>
      <c r="C898" s="3"/>
      <c r="D898" s="77" t="str">
        <f t="shared" si="5523"/>
        <v/>
      </c>
      <c r="E898" s="38"/>
      <c r="F898" s="38"/>
      <c r="G898" s="78">
        <f t="shared" si="5538"/>
        <v>0</v>
      </c>
      <c r="H898" s="3">
        <v>80</v>
      </c>
      <c r="I898" s="77" t="str">
        <f t="shared" si="5524"/>
        <v/>
      </c>
      <c r="J898" s="32"/>
      <c r="K898" s="3"/>
      <c r="L898" s="39"/>
      <c r="M898" s="39"/>
      <c r="N898" s="39"/>
      <c r="O898" s="39"/>
      <c r="P898" s="39"/>
      <c r="Q898" s="39"/>
      <c r="R898" s="39"/>
      <c r="S898" s="39"/>
      <c r="T898" s="3" t="s">
        <v>645</v>
      </c>
      <c r="U898" s="77" t="str">
        <f t="shared" si="5525"/>
        <v/>
      </c>
      <c r="V898" s="39">
        <v>1</v>
      </c>
      <c r="W898" s="79">
        <f t="shared" si="5539"/>
        <v>0</v>
      </c>
      <c r="X898" s="3">
        <v>0</v>
      </c>
      <c r="Y898" s="77" t="str">
        <f t="shared" si="5526"/>
        <v/>
      </c>
      <c r="Z898" s="3"/>
      <c r="AA898" s="37" t="str">
        <f t="shared" si="5540"/>
        <v/>
      </c>
      <c r="AC898" s="40"/>
      <c r="AD898" s="7"/>
      <c r="AE898" s="77" t="str">
        <f t="shared" si="5527"/>
        <v/>
      </c>
      <c r="AF898" s="81">
        <f t="shared" si="5553"/>
        <v>0</v>
      </c>
      <c r="AG898" s="40"/>
      <c r="AH898" s="7"/>
      <c r="AI898" s="77" t="str">
        <f t="shared" si="5528"/>
        <v/>
      </c>
      <c r="AJ898" s="81">
        <f t="shared" si="5554"/>
        <v>0</v>
      </c>
      <c r="AK898" s="83">
        <f t="shared" si="5555"/>
        <v>0</v>
      </c>
      <c r="AL898" s="83">
        <f t="shared" si="5556"/>
        <v>0</v>
      </c>
      <c r="AN898" s="43">
        <f t="shared" si="5529"/>
        <v>0</v>
      </c>
      <c r="AP898" t="str">
        <f t="shared" si="5557"/>
        <v/>
      </c>
      <c r="AQ898" t="str">
        <f t="shared" si="5558"/>
        <v/>
      </c>
      <c r="AR898" t="str">
        <f t="shared" si="5559"/>
        <v/>
      </c>
      <c r="AS898" t="str">
        <f t="shared" si="5560"/>
        <v/>
      </c>
      <c r="AT898" t="str">
        <f t="shared" si="5561"/>
        <v/>
      </c>
      <c r="AU898" t="str">
        <f t="shared" si="5562"/>
        <v/>
      </c>
      <c r="AV898" t="str">
        <f t="shared" si="5563"/>
        <v/>
      </c>
      <c r="AW898" t="str">
        <f t="shared" si="5564"/>
        <v xml:space="preserve">                              </v>
      </c>
      <c r="AX898" s="23">
        <f t="shared" si="5565"/>
        <v>0</v>
      </c>
      <c r="AY898" s="49" t="str">
        <f t="shared" si="5541"/>
        <v>000000000000000</v>
      </c>
      <c r="AZ898" s="23">
        <f t="shared" si="5566"/>
        <v>0</v>
      </c>
      <c r="BA898" s="49" t="str">
        <f t="shared" si="5541"/>
        <v>000000000000000</v>
      </c>
      <c r="BB898" s="23">
        <f t="shared" si="5567"/>
        <v>0</v>
      </c>
      <c r="BC898" s="49" t="str">
        <f t="shared" ref="BC898" si="5898">IF(BB898&lt;0,SUBSTITUTE(TEXT(BB898,"000000000000,00"),",",""),SUBSTITUTE(TEXT(BB898,"0000000000000,00"),",",""))</f>
        <v>000000000000000</v>
      </c>
      <c r="BD898" s="23">
        <f t="shared" si="5569"/>
        <v>0</v>
      </c>
      <c r="BE898" s="49" t="str">
        <f t="shared" ref="BE898" si="5899">IF(BD898&lt;0,SUBSTITUTE(TEXT(BD898,"000000000000,00"),",",""),SUBSTITUTE(TEXT(BD898,"0000000000000,00"),",",""))</f>
        <v>000000000000000</v>
      </c>
      <c r="BF898" s="23">
        <f t="shared" si="5571"/>
        <v>0</v>
      </c>
      <c r="BG898" s="49" t="str">
        <f t="shared" ref="BG898" si="5900">IF(BF898&lt;0,SUBSTITUTE(TEXT(BF898,"000000000000,00"),",",""),SUBSTITUTE(TEXT(BF898,"0000000000000,00"),",",""))</f>
        <v>000000000000000</v>
      </c>
      <c r="BH898" s="23">
        <f t="shared" si="5573"/>
        <v>0</v>
      </c>
      <c r="BI898" s="49" t="str">
        <f t="shared" ref="BI898" si="5901">IF(BH898&lt;0,SUBSTITUTE(TEXT(BH898,"000000000000,00"),",",""),SUBSTITUTE(TEXT(BH898,"0000000000000,00"),",",""))</f>
        <v>000000000000000</v>
      </c>
      <c r="BJ898" s="23">
        <f t="shared" si="5575"/>
        <v>0</v>
      </c>
      <c r="BK898" s="49" t="str">
        <f t="shared" ref="BK898" si="5902">IF(BJ898&lt;0,SUBSTITUTE(TEXT(BJ898,"000000000000,00"),",",""),SUBSTITUTE(TEXT(BJ898,"0000000000000,00"),",",""))</f>
        <v>000000000000000</v>
      </c>
      <c r="BL898" s="23">
        <f t="shared" si="5577"/>
        <v>0</v>
      </c>
      <c r="BM898" s="49" t="str">
        <f t="shared" ref="BM898" si="5903">IF(BL898&lt;0,SUBSTITUTE(TEXT(BL898,"000000000000,00"),",",""),SUBSTITUTE(TEXT(BL898,"0000000000000,00"),",",""))</f>
        <v>000000000000000</v>
      </c>
      <c r="BN898" t="str">
        <f t="shared" si="5579"/>
        <v>PES</v>
      </c>
      <c r="BO898" t="str">
        <f t="shared" si="5580"/>
        <v>0001000000</v>
      </c>
      <c r="BP898">
        <f t="shared" si="5581"/>
        <v>0</v>
      </c>
      <c r="BQ898">
        <f t="shared" si="5582"/>
        <v>0</v>
      </c>
      <c r="BR898" s="23">
        <f t="shared" si="5583"/>
        <v>0</v>
      </c>
      <c r="BS898" s="49" t="str">
        <f t="shared" si="5548"/>
        <v>000000000000000</v>
      </c>
      <c r="BT898" t="str">
        <f t="shared" si="5584"/>
        <v>00000000</v>
      </c>
      <c r="BU898" s="23">
        <f t="shared" si="5585"/>
        <v>0</v>
      </c>
      <c r="BV898" s="49" t="str">
        <f t="shared" si="5549"/>
        <v/>
      </c>
      <c r="BW898" s="52" t="str">
        <f t="shared" si="5586"/>
        <v/>
      </c>
      <c r="BX898" s="23">
        <f t="shared" si="5587"/>
        <v>0</v>
      </c>
      <c r="BY898" s="49" t="str">
        <f t="shared" si="5550"/>
        <v/>
      </c>
      <c r="BZ898" s="23">
        <f t="shared" si="5588"/>
        <v>0</v>
      </c>
      <c r="CA898" s="49" t="str">
        <f t="shared" si="5551"/>
        <v/>
      </c>
      <c r="CB898" s="52" t="str">
        <f t="shared" si="5589"/>
        <v/>
      </c>
      <c r="CC898" s="23">
        <f t="shared" si="5590"/>
        <v>0</v>
      </c>
      <c r="CD898" s="49" t="str">
        <f t="shared" si="5552"/>
        <v/>
      </c>
      <c r="CE898" s="56" t="str">
        <f>IF(CF898="","",MAX(CE$10:$CE897)+1)</f>
        <v/>
      </c>
      <c r="CF898" t="str">
        <f t="shared" si="5591"/>
        <v/>
      </c>
      <c r="CG898" s="22" t="str">
        <f>IF(CH898="","",MAX($CG$10:CG897)+1)</f>
        <v/>
      </c>
      <c r="CH898" s="22" t="str">
        <f t="shared" si="5536"/>
        <v/>
      </c>
      <c r="CI898" s="22" t="str">
        <f>IF(CJ898="","",MAX($CI$10:CI897)+1)</f>
        <v/>
      </c>
      <c r="CJ898" s="22" t="str">
        <f t="shared" si="5537"/>
        <v/>
      </c>
    </row>
    <row r="899" spans="2:88" x14ac:dyDescent="0.25">
      <c r="B899" s="37"/>
      <c r="C899" s="3"/>
      <c r="D899" s="77" t="str">
        <f t="shared" si="5523"/>
        <v/>
      </c>
      <c r="E899" s="38"/>
      <c r="F899" s="38"/>
      <c r="G899" s="78">
        <f t="shared" si="5538"/>
        <v>0</v>
      </c>
      <c r="H899" s="3">
        <v>80</v>
      </c>
      <c r="I899" s="77" t="str">
        <f t="shared" si="5524"/>
        <v/>
      </c>
      <c r="J899" s="32"/>
      <c r="K899" s="3"/>
      <c r="L899" s="39"/>
      <c r="M899" s="39"/>
      <c r="N899" s="39"/>
      <c r="O899" s="39"/>
      <c r="P899" s="39"/>
      <c r="Q899" s="39"/>
      <c r="R899" s="39"/>
      <c r="S899" s="39"/>
      <c r="T899" s="3" t="s">
        <v>645</v>
      </c>
      <c r="U899" s="77" t="str">
        <f t="shared" si="5525"/>
        <v/>
      </c>
      <c r="V899" s="39">
        <v>1</v>
      </c>
      <c r="W899" s="79">
        <f t="shared" si="5539"/>
        <v>0</v>
      </c>
      <c r="X899" s="3">
        <v>0</v>
      </c>
      <c r="Y899" s="77" t="str">
        <f t="shared" si="5526"/>
        <v/>
      </c>
      <c r="Z899" s="3"/>
      <c r="AA899" s="37" t="str">
        <f t="shared" si="5540"/>
        <v/>
      </c>
      <c r="AC899" s="40"/>
      <c r="AD899" s="7"/>
      <c r="AE899" s="77" t="str">
        <f t="shared" si="5527"/>
        <v/>
      </c>
      <c r="AF899" s="81">
        <f t="shared" si="5553"/>
        <v>0</v>
      </c>
      <c r="AG899" s="40"/>
      <c r="AH899" s="7"/>
      <c r="AI899" s="77" t="str">
        <f t="shared" si="5528"/>
        <v/>
      </c>
      <c r="AJ899" s="81">
        <f t="shared" si="5554"/>
        <v>0</v>
      </c>
      <c r="AK899" s="83">
        <f t="shared" si="5555"/>
        <v>0</v>
      </c>
      <c r="AL899" s="83">
        <f t="shared" si="5556"/>
        <v>0</v>
      </c>
      <c r="AN899" s="43">
        <f t="shared" si="5529"/>
        <v>0</v>
      </c>
      <c r="AP899" t="str">
        <f t="shared" si="5557"/>
        <v/>
      </c>
      <c r="AQ899" t="str">
        <f t="shared" si="5558"/>
        <v/>
      </c>
      <c r="AR899" t="str">
        <f t="shared" si="5559"/>
        <v/>
      </c>
      <c r="AS899" t="str">
        <f t="shared" si="5560"/>
        <v/>
      </c>
      <c r="AT899" t="str">
        <f t="shared" si="5561"/>
        <v/>
      </c>
      <c r="AU899" t="str">
        <f t="shared" si="5562"/>
        <v/>
      </c>
      <c r="AV899" t="str">
        <f t="shared" si="5563"/>
        <v/>
      </c>
      <c r="AW899" t="str">
        <f t="shared" si="5564"/>
        <v xml:space="preserve">                              </v>
      </c>
      <c r="AX899" s="23">
        <f t="shared" si="5565"/>
        <v>0</v>
      </c>
      <c r="AY899" s="49" t="str">
        <f t="shared" si="5541"/>
        <v>000000000000000</v>
      </c>
      <c r="AZ899" s="23">
        <f t="shared" si="5566"/>
        <v>0</v>
      </c>
      <c r="BA899" s="49" t="str">
        <f t="shared" si="5541"/>
        <v>000000000000000</v>
      </c>
      <c r="BB899" s="23">
        <f t="shared" si="5567"/>
        <v>0</v>
      </c>
      <c r="BC899" s="49" t="str">
        <f t="shared" ref="BC899" si="5904">IF(BB899&lt;0,SUBSTITUTE(TEXT(BB899,"000000000000,00"),",",""),SUBSTITUTE(TEXT(BB899,"0000000000000,00"),",",""))</f>
        <v>000000000000000</v>
      </c>
      <c r="BD899" s="23">
        <f t="shared" si="5569"/>
        <v>0</v>
      </c>
      <c r="BE899" s="49" t="str">
        <f t="shared" ref="BE899" si="5905">IF(BD899&lt;0,SUBSTITUTE(TEXT(BD899,"000000000000,00"),",",""),SUBSTITUTE(TEXT(BD899,"0000000000000,00"),",",""))</f>
        <v>000000000000000</v>
      </c>
      <c r="BF899" s="23">
        <f t="shared" si="5571"/>
        <v>0</v>
      </c>
      <c r="BG899" s="49" t="str">
        <f t="shared" ref="BG899" si="5906">IF(BF899&lt;0,SUBSTITUTE(TEXT(BF899,"000000000000,00"),",",""),SUBSTITUTE(TEXT(BF899,"0000000000000,00"),",",""))</f>
        <v>000000000000000</v>
      </c>
      <c r="BH899" s="23">
        <f t="shared" si="5573"/>
        <v>0</v>
      </c>
      <c r="BI899" s="49" t="str">
        <f t="shared" ref="BI899" si="5907">IF(BH899&lt;0,SUBSTITUTE(TEXT(BH899,"000000000000,00"),",",""),SUBSTITUTE(TEXT(BH899,"0000000000000,00"),",",""))</f>
        <v>000000000000000</v>
      </c>
      <c r="BJ899" s="23">
        <f t="shared" si="5575"/>
        <v>0</v>
      </c>
      <c r="BK899" s="49" t="str">
        <f t="shared" ref="BK899" si="5908">IF(BJ899&lt;0,SUBSTITUTE(TEXT(BJ899,"000000000000,00"),",",""),SUBSTITUTE(TEXT(BJ899,"0000000000000,00"),",",""))</f>
        <v>000000000000000</v>
      </c>
      <c r="BL899" s="23">
        <f t="shared" si="5577"/>
        <v>0</v>
      </c>
      <c r="BM899" s="49" t="str">
        <f t="shared" ref="BM899" si="5909">IF(BL899&lt;0,SUBSTITUTE(TEXT(BL899,"000000000000,00"),",",""),SUBSTITUTE(TEXT(BL899,"0000000000000,00"),",",""))</f>
        <v>000000000000000</v>
      </c>
      <c r="BN899" t="str">
        <f t="shared" si="5579"/>
        <v>PES</v>
      </c>
      <c r="BO899" t="str">
        <f t="shared" si="5580"/>
        <v>0001000000</v>
      </c>
      <c r="BP899">
        <f t="shared" si="5581"/>
        <v>0</v>
      </c>
      <c r="BQ899">
        <f t="shared" si="5582"/>
        <v>0</v>
      </c>
      <c r="BR899" s="23">
        <f t="shared" si="5583"/>
        <v>0</v>
      </c>
      <c r="BS899" s="49" t="str">
        <f t="shared" si="5548"/>
        <v>000000000000000</v>
      </c>
      <c r="BT899" t="str">
        <f t="shared" si="5584"/>
        <v>00000000</v>
      </c>
      <c r="BU899" s="23">
        <f t="shared" si="5585"/>
        <v>0</v>
      </c>
      <c r="BV899" s="49" t="str">
        <f t="shared" si="5549"/>
        <v/>
      </c>
      <c r="BW899" s="52" t="str">
        <f t="shared" si="5586"/>
        <v/>
      </c>
      <c r="BX899" s="23">
        <f t="shared" si="5587"/>
        <v>0</v>
      </c>
      <c r="BY899" s="49" t="str">
        <f t="shared" si="5550"/>
        <v/>
      </c>
      <c r="BZ899" s="23">
        <f t="shared" si="5588"/>
        <v>0</v>
      </c>
      <c r="CA899" s="49" t="str">
        <f t="shared" si="5551"/>
        <v/>
      </c>
      <c r="CB899" s="52" t="str">
        <f t="shared" si="5589"/>
        <v/>
      </c>
      <c r="CC899" s="23">
        <f t="shared" si="5590"/>
        <v>0</v>
      </c>
      <c r="CD899" s="49" t="str">
        <f t="shared" si="5552"/>
        <v/>
      </c>
      <c r="CE899" s="56" t="str">
        <f>IF(CF899="","",MAX(CE$10:$CE898)+1)</f>
        <v/>
      </c>
      <c r="CF899" t="str">
        <f t="shared" si="5591"/>
        <v/>
      </c>
      <c r="CG899" s="22" t="str">
        <f>IF(CH899="","",MAX($CG$10:CG898)+1)</f>
        <v/>
      </c>
      <c r="CH899" s="22" t="str">
        <f t="shared" si="5536"/>
        <v/>
      </c>
      <c r="CI899" s="22" t="str">
        <f>IF(CJ899="","",MAX($CI$10:CI898)+1)</f>
        <v/>
      </c>
      <c r="CJ899" s="22" t="str">
        <f t="shared" si="5537"/>
        <v/>
      </c>
    </row>
    <row r="900" spans="2:88" x14ac:dyDescent="0.25">
      <c r="B900" s="37"/>
      <c r="C900" s="3"/>
      <c r="D900" s="77" t="str">
        <f t="shared" si="5523"/>
        <v/>
      </c>
      <c r="E900" s="38"/>
      <c r="F900" s="38"/>
      <c r="G900" s="78">
        <f t="shared" si="5538"/>
        <v>0</v>
      </c>
      <c r="H900" s="3">
        <v>80</v>
      </c>
      <c r="I900" s="77" t="str">
        <f t="shared" si="5524"/>
        <v/>
      </c>
      <c r="J900" s="32"/>
      <c r="K900" s="3"/>
      <c r="L900" s="39"/>
      <c r="M900" s="39"/>
      <c r="N900" s="39"/>
      <c r="O900" s="39"/>
      <c r="P900" s="39"/>
      <c r="Q900" s="39"/>
      <c r="R900" s="39"/>
      <c r="S900" s="39"/>
      <c r="T900" s="3" t="s">
        <v>645</v>
      </c>
      <c r="U900" s="77" t="str">
        <f t="shared" si="5525"/>
        <v/>
      </c>
      <c r="V900" s="39">
        <v>1</v>
      </c>
      <c r="W900" s="79">
        <f t="shared" si="5539"/>
        <v>0</v>
      </c>
      <c r="X900" s="3">
        <v>0</v>
      </c>
      <c r="Y900" s="77" t="str">
        <f t="shared" si="5526"/>
        <v/>
      </c>
      <c r="Z900" s="3"/>
      <c r="AA900" s="37" t="str">
        <f t="shared" si="5540"/>
        <v/>
      </c>
      <c r="AC900" s="40"/>
      <c r="AD900" s="7"/>
      <c r="AE900" s="77" t="str">
        <f t="shared" si="5527"/>
        <v/>
      </c>
      <c r="AF900" s="81">
        <f t="shared" si="5553"/>
        <v>0</v>
      </c>
      <c r="AG900" s="40"/>
      <c r="AH900" s="7"/>
      <c r="AI900" s="77" t="str">
        <f t="shared" si="5528"/>
        <v/>
      </c>
      <c r="AJ900" s="81">
        <f t="shared" si="5554"/>
        <v>0</v>
      </c>
      <c r="AK900" s="83">
        <f t="shared" si="5555"/>
        <v>0</v>
      </c>
      <c r="AL900" s="83">
        <f t="shared" si="5556"/>
        <v>0</v>
      </c>
      <c r="AN900" s="43">
        <f t="shared" si="5529"/>
        <v>0</v>
      </c>
      <c r="AP900" t="str">
        <f t="shared" si="5557"/>
        <v/>
      </c>
      <c r="AQ900" t="str">
        <f t="shared" si="5558"/>
        <v/>
      </c>
      <c r="AR900" t="str">
        <f t="shared" si="5559"/>
        <v/>
      </c>
      <c r="AS900" t="str">
        <f t="shared" si="5560"/>
        <v/>
      </c>
      <c r="AT900" t="str">
        <f t="shared" si="5561"/>
        <v/>
      </c>
      <c r="AU900" t="str">
        <f t="shared" si="5562"/>
        <v/>
      </c>
      <c r="AV900" t="str">
        <f t="shared" si="5563"/>
        <v/>
      </c>
      <c r="AW900" t="str">
        <f t="shared" si="5564"/>
        <v xml:space="preserve">                              </v>
      </c>
      <c r="AX900" s="23">
        <f t="shared" si="5565"/>
        <v>0</v>
      </c>
      <c r="AY900" s="49" t="str">
        <f t="shared" si="5541"/>
        <v>000000000000000</v>
      </c>
      <c r="AZ900" s="23">
        <f t="shared" si="5566"/>
        <v>0</v>
      </c>
      <c r="BA900" s="49" t="str">
        <f t="shared" si="5541"/>
        <v>000000000000000</v>
      </c>
      <c r="BB900" s="23">
        <f t="shared" si="5567"/>
        <v>0</v>
      </c>
      <c r="BC900" s="49" t="str">
        <f t="shared" ref="BC900" si="5910">IF(BB900&lt;0,SUBSTITUTE(TEXT(BB900,"000000000000,00"),",",""),SUBSTITUTE(TEXT(BB900,"0000000000000,00"),",",""))</f>
        <v>000000000000000</v>
      </c>
      <c r="BD900" s="23">
        <f t="shared" si="5569"/>
        <v>0</v>
      </c>
      <c r="BE900" s="49" t="str">
        <f t="shared" ref="BE900" si="5911">IF(BD900&lt;0,SUBSTITUTE(TEXT(BD900,"000000000000,00"),",",""),SUBSTITUTE(TEXT(BD900,"0000000000000,00"),",",""))</f>
        <v>000000000000000</v>
      </c>
      <c r="BF900" s="23">
        <f t="shared" si="5571"/>
        <v>0</v>
      </c>
      <c r="BG900" s="49" t="str">
        <f t="shared" ref="BG900" si="5912">IF(BF900&lt;0,SUBSTITUTE(TEXT(BF900,"000000000000,00"),",",""),SUBSTITUTE(TEXT(BF900,"0000000000000,00"),",",""))</f>
        <v>000000000000000</v>
      </c>
      <c r="BH900" s="23">
        <f t="shared" si="5573"/>
        <v>0</v>
      </c>
      <c r="BI900" s="49" t="str">
        <f t="shared" ref="BI900" si="5913">IF(BH900&lt;0,SUBSTITUTE(TEXT(BH900,"000000000000,00"),",",""),SUBSTITUTE(TEXT(BH900,"0000000000000,00"),",",""))</f>
        <v>000000000000000</v>
      </c>
      <c r="BJ900" s="23">
        <f t="shared" si="5575"/>
        <v>0</v>
      </c>
      <c r="BK900" s="49" t="str">
        <f t="shared" ref="BK900" si="5914">IF(BJ900&lt;0,SUBSTITUTE(TEXT(BJ900,"000000000000,00"),",",""),SUBSTITUTE(TEXT(BJ900,"0000000000000,00"),",",""))</f>
        <v>000000000000000</v>
      </c>
      <c r="BL900" s="23">
        <f t="shared" si="5577"/>
        <v>0</v>
      </c>
      <c r="BM900" s="49" t="str">
        <f t="shared" ref="BM900" si="5915">IF(BL900&lt;0,SUBSTITUTE(TEXT(BL900,"000000000000,00"),",",""),SUBSTITUTE(TEXT(BL900,"0000000000000,00"),",",""))</f>
        <v>000000000000000</v>
      </c>
      <c r="BN900" t="str">
        <f t="shared" si="5579"/>
        <v>PES</v>
      </c>
      <c r="BO900" t="str">
        <f t="shared" si="5580"/>
        <v>0001000000</v>
      </c>
      <c r="BP900">
        <f t="shared" si="5581"/>
        <v>0</v>
      </c>
      <c r="BQ900">
        <f t="shared" si="5582"/>
        <v>0</v>
      </c>
      <c r="BR900" s="23">
        <f t="shared" si="5583"/>
        <v>0</v>
      </c>
      <c r="BS900" s="49" t="str">
        <f t="shared" si="5548"/>
        <v>000000000000000</v>
      </c>
      <c r="BT900" t="str">
        <f t="shared" si="5584"/>
        <v>00000000</v>
      </c>
      <c r="BU900" s="23">
        <f t="shared" si="5585"/>
        <v>0</v>
      </c>
      <c r="BV900" s="49" t="str">
        <f t="shared" si="5549"/>
        <v/>
      </c>
      <c r="BW900" s="52" t="str">
        <f t="shared" si="5586"/>
        <v/>
      </c>
      <c r="BX900" s="23">
        <f t="shared" si="5587"/>
        <v>0</v>
      </c>
      <c r="BY900" s="49" t="str">
        <f t="shared" si="5550"/>
        <v/>
      </c>
      <c r="BZ900" s="23">
        <f t="shared" si="5588"/>
        <v>0</v>
      </c>
      <c r="CA900" s="49" t="str">
        <f t="shared" si="5551"/>
        <v/>
      </c>
      <c r="CB900" s="52" t="str">
        <f t="shared" si="5589"/>
        <v/>
      </c>
      <c r="CC900" s="23">
        <f t="shared" si="5590"/>
        <v>0</v>
      </c>
      <c r="CD900" s="49" t="str">
        <f t="shared" si="5552"/>
        <v/>
      </c>
      <c r="CE900" s="56" t="str">
        <f>IF(CF900="","",MAX(CE$10:$CE899)+1)</f>
        <v/>
      </c>
      <c r="CF900" t="str">
        <f t="shared" si="5591"/>
        <v/>
      </c>
      <c r="CG900" s="22" t="str">
        <f>IF(CH900="","",MAX($CG$10:CG899)+1)</f>
        <v/>
      </c>
      <c r="CH900" s="22" t="str">
        <f t="shared" si="5536"/>
        <v/>
      </c>
      <c r="CI900" s="22" t="str">
        <f>IF(CJ900="","",MAX($CI$10:CI899)+1)</f>
        <v/>
      </c>
      <c r="CJ900" s="22" t="str">
        <f t="shared" si="5537"/>
        <v/>
      </c>
    </row>
    <row r="901" spans="2:88" x14ac:dyDescent="0.25">
      <c r="B901" s="37"/>
      <c r="C901" s="3"/>
      <c r="D901" s="77" t="str">
        <f t="shared" si="5523"/>
        <v/>
      </c>
      <c r="E901" s="38"/>
      <c r="F901" s="38"/>
      <c r="G901" s="78">
        <f t="shared" si="5538"/>
        <v>0</v>
      </c>
      <c r="H901" s="3">
        <v>80</v>
      </c>
      <c r="I901" s="77" t="str">
        <f t="shared" si="5524"/>
        <v/>
      </c>
      <c r="J901" s="32"/>
      <c r="K901" s="3"/>
      <c r="L901" s="39"/>
      <c r="M901" s="39"/>
      <c r="N901" s="39"/>
      <c r="O901" s="39"/>
      <c r="P901" s="39"/>
      <c r="Q901" s="39"/>
      <c r="R901" s="39"/>
      <c r="S901" s="39"/>
      <c r="T901" s="3" t="s">
        <v>645</v>
      </c>
      <c r="U901" s="77" t="str">
        <f t="shared" si="5525"/>
        <v/>
      </c>
      <c r="V901" s="39">
        <v>1</v>
      </c>
      <c r="W901" s="79">
        <f t="shared" si="5539"/>
        <v>0</v>
      </c>
      <c r="X901" s="3">
        <v>0</v>
      </c>
      <c r="Y901" s="77" t="str">
        <f t="shared" si="5526"/>
        <v/>
      </c>
      <c r="Z901" s="3"/>
      <c r="AA901" s="37" t="str">
        <f t="shared" si="5540"/>
        <v/>
      </c>
      <c r="AC901" s="40"/>
      <c r="AD901" s="7"/>
      <c r="AE901" s="77" t="str">
        <f t="shared" si="5527"/>
        <v/>
      </c>
      <c r="AF901" s="81">
        <f t="shared" si="5553"/>
        <v>0</v>
      </c>
      <c r="AG901" s="40"/>
      <c r="AH901" s="7"/>
      <c r="AI901" s="77" t="str">
        <f t="shared" si="5528"/>
        <v/>
      </c>
      <c r="AJ901" s="81">
        <f t="shared" si="5554"/>
        <v>0</v>
      </c>
      <c r="AK901" s="83">
        <f t="shared" si="5555"/>
        <v>0</v>
      </c>
      <c r="AL901" s="83">
        <f t="shared" si="5556"/>
        <v>0</v>
      </c>
      <c r="AN901" s="43">
        <f t="shared" si="5529"/>
        <v>0</v>
      </c>
      <c r="AP901" t="str">
        <f t="shared" si="5557"/>
        <v/>
      </c>
      <c r="AQ901" t="str">
        <f t="shared" si="5558"/>
        <v/>
      </c>
      <c r="AR901" t="str">
        <f t="shared" si="5559"/>
        <v/>
      </c>
      <c r="AS901" t="str">
        <f t="shared" si="5560"/>
        <v/>
      </c>
      <c r="AT901" t="str">
        <f t="shared" si="5561"/>
        <v/>
      </c>
      <c r="AU901" t="str">
        <f t="shared" si="5562"/>
        <v/>
      </c>
      <c r="AV901" t="str">
        <f t="shared" si="5563"/>
        <v/>
      </c>
      <c r="AW901" t="str">
        <f t="shared" si="5564"/>
        <v xml:space="preserve">                              </v>
      </c>
      <c r="AX901" s="23">
        <f t="shared" si="5565"/>
        <v>0</v>
      </c>
      <c r="AY901" s="49" t="str">
        <f t="shared" si="5541"/>
        <v>000000000000000</v>
      </c>
      <c r="AZ901" s="23">
        <f t="shared" si="5566"/>
        <v>0</v>
      </c>
      <c r="BA901" s="49" t="str">
        <f t="shared" si="5541"/>
        <v>000000000000000</v>
      </c>
      <c r="BB901" s="23">
        <f t="shared" si="5567"/>
        <v>0</v>
      </c>
      <c r="BC901" s="49" t="str">
        <f t="shared" ref="BC901" si="5916">IF(BB901&lt;0,SUBSTITUTE(TEXT(BB901,"000000000000,00"),",",""),SUBSTITUTE(TEXT(BB901,"0000000000000,00"),",",""))</f>
        <v>000000000000000</v>
      </c>
      <c r="BD901" s="23">
        <f t="shared" si="5569"/>
        <v>0</v>
      </c>
      <c r="BE901" s="49" t="str">
        <f t="shared" ref="BE901" si="5917">IF(BD901&lt;0,SUBSTITUTE(TEXT(BD901,"000000000000,00"),",",""),SUBSTITUTE(TEXT(BD901,"0000000000000,00"),",",""))</f>
        <v>000000000000000</v>
      </c>
      <c r="BF901" s="23">
        <f t="shared" si="5571"/>
        <v>0</v>
      </c>
      <c r="BG901" s="49" t="str">
        <f t="shared" ref="BG901" si="5918">IF(BF901&lt;0,SUBSTITUTE(TEXT(BF901,"000000000000,00"),",",""),SUBSTITUTE(TEXT(BF901,"0000000000000,00"),",",""))</f>
        <v>000000000000000</v>
      </c>
      <c r="BH901" s="23">
        <f t="shared" si="5573"/>
        <v>0</v>
      </c>
      <c r="BI901" s="49" t="str">
        <f t="shared" ref="BI901" si="5919">IF(BH901&lt;0,SUBSTITUTE(TEXT(BH901,"000000000000,00"),",",""),SUBSTITUTE(TEXT(BH901,"0000000000000,00"),",",""))</f>
        <v>000000000000000</v>
      </c>
      <c r="BJ901" s="23">
        <f t="shared" si="5575"/>
        <v>0</v>
      </c>
      <c r="BK901" s="49" t="str">
        <f t="shared" ref="BK901" si="5920">IF(BJ901&lt;0,SUBSTITUTE(TEXT(BJ901,"000000000000,00"),",",""),SUBSTITUTE(TEXT(BJ901,"0000000000000,00"),",",""))</f>
        <v>000000000000000</v>
      </c>
      <c r="BL901" s="23">
        <f t="shared" si="5577"/>
        <v>0</v>
      </c>
      <c r="BM901" s="49" t="str">
        <f t="shared" ref="BM901" si="5921">IF(BL901&lt;0,SUBSTITUTE(TEXT(BL901,"000000000000,00"),",",""),SUBSTITUTE(TEXT(BL901,"0000000000000,00"),",",""))</f>
        <v>000000000000000</v>
      </c>
      <c r="BN901" t="str">
        <f t="shared" si="5579"/>
        <v>PES</v>
      </c>
      <c r="BO901" t="str">
        <f t="shared" si="5580"/>
        <v>0001000000</v>
      </c>
      <c r="BP901">
        <f t="shared" si="5581"/>
        <v>0</v>
      </c>
      <c r="BQ901">
        <f t="shared" si="5582"/>
        <v>0</v>
      </c>
      <c r="BR901" s="23">
        <f t="shared" si="5583"/>
        <v>0</v>
      </c>
      <c r="BS901" s="49" t="str">
        <f t="shared" si="5548"/>
        <v>000000000000000</v>
      </c>
      <c r="BT901" t="str">
        <f t="shared" si="5584"/>
        <v>00000000</v>
      </c>
      <c r="BU901" s="23">
        <f t="shared" si="5585"/>
        <v>0</v>
      </c>
      <c r="BV901" s="49" t="str">
        <f t="shared" si="5549"/>
        <v/>
      </c>
      <c r="BW901" s="52" t="str">
        <f t="shared" si="5586"/>
        <v/>
      </c>
      <c r="BX901" s="23">
        <f t="shared" si="5587"/>
        <v>0</v>
      </c>
      <c r="BY901" s="49" t="str">
        <f t="shared" si="5550"/>
        <v/>
      </c>
      <c r="BZ901" s="23">
        <f t="shared" si="5588"/>
        <v>0</v>
      </c>
      <c r="CA901" s="49" t="str">
        <f t="shared" si="5551"/>
        <v/>
      </c>
      <c r="CB901" s="52" t="str">
        <f t="shared" si="5589"/>
        <v/>
      </c>
      <c r="CC901" s="23">
        <f t="shared" si="5590"/>
        <v>0</v>
      </c>
      <c r="CD901" s="49" t="str">
        <f t="shared" si="5552"/>
        <v/>
      </c>
      <c r="CE901" s="56" t="str">
        <f>IF(CF901="","",MAX(CE$10:$CE900)+1)</f>
        <v/>
      </c>
      <c r="CF901" t="str">
        <f t="shared" si="5591"/>
        <v/>
      </c>
      <c r="CG901" s="22" t="str">
        <f>IF(CH901="","",MAX($CG$10:CG900)+1)</f>
        <v/>
      </c>
      <c r="CH901" s="22" t="str">
        <f t="shared" si="5536"/>
        <v/>
      </c>
      <c r="CI901" s="22" t="str">
        <f>IF(CJ901="","",MAX($CI$10:CI900)+1)</f>
        <v/>
      </c>
      <c r="CJ901" s="22" t="str">
        <f t="shared" si="5537"/>
        <v/>
      </c>
    </row>
    <row r="902" spans="2:88" x14ac:dyDescent="0.25">
      <c r="B902" s="37"/>
      <c r="C902" s="3"/>
      <c r="D902" s="77" t="str">
        <f t="shared" si="5523"/>
        <v/>
      </c>
      <c r="E902" s="38"/>
      <c r="F902" s="38"/>
      <c r="G902" s="78">
        <f t="shared" si="5538"/>
        <v>0</v>
      </c>
      <c r="H902" s="3">
        <v>80</v>
      </c>
      <c r="I902" s="77" t="str">
        <f t="shared" si="5524"/>
        <v/>
      </c>
      <c r="J902" s="32"/>
      <c r="K902" s="3"/>
      <c r="L902" s="39"/>
      <c r="M902" s="39"/>
      <c r="N902" s="39"/>
      <c r="O902" s="39"/>
      <c r="P902" s="39"/>
      <c r="Q902" s="39"/>
      <c r="R902" s="39"/>
      <c r="S902" s="39"/>
      <c r="T902" s="3" t="s">
        <v>645</v>
      </c>
      <c r="U902" s="77" t="str">
        <f t="shared" si="5525"/>
        <v/>
      </c>
      <c r="V902" s="39">
        <v>1</v>
      </c>
      <c r="W902" s="79">
        <f t="shared" si="5539"/>
        <v>0</v>
      </c>
      <c r="X902" s="3">
        <v>0</v>
      </c>
      <c r="Y902" s="77" t="str">
        <f t="shared" si="5526"/>
        <v/>
      </c>
      <c r="Z902" s="3"/>
      <c r="AA902" s="37" t="str">
        <f t="shared" si="5540"/>
        <v/>
      </c>
      <c r="AC902" s="40"/>
      <c r="AD902" s="7"/>
      <c r="AE902" s="77" t="str">
        <f t="shared" si="5527"/>
        <v/>
      </c>
      <c r="AF902" s="81">
        <f t="shared" si="5553"/>
        <v>0</v>
      </c>
      <c r="AG902" s="40"/>
      <c r="AH902" s="7"/>
      <c r="AI902" s="77" t="str">
        <f t="shared" si="5528"/>
        <v/>
      </c>
      <c r="AJ902" s="81">
        <f t="shared" si="5554"/>
        <v>0</v>
      </c>
      <c r="AK902" s="83">
        <f t="shared" si="5555"/>
        <v>0</v>
      </c>
      <c r="AL902" s="83">
        <f t="shared" si="5556"/>
        <v>0</v>
      </c>
      <c r="AN902" s="43">
        <f t="shared" si="5529"/>
        <v>0</v>
      </c>
      <c r="AP902" t="str">
        <f t="shared" si="5557"/>
        <v/>
      </c>
      <c r="AQ902" t="str">
        <f t="shared" si="5558"/>
        <v/>
      </c>
      <c r="AR902" t="str">
        <f t="shared" si="5559"/>
        <v/>
      </c>
      <c r="AS902" t="str">
        <f t="shared" si="5560"/>
        <v/>
      </c>
      <c r="AT902" t="str">
        <f t="shared" si="5561"/>
        <v/>
      </c>
      <c r="AU902" t="str">
        <f t="shared" si="5562"/>
        <v/>
      </c>
      <c r="AV902" t="str">
        <f t="shared" si="5563"/>
        <v/>
      </c>
      <c r="AW902" t="str">
        <f t="shared" si="5564"/>
        <v xml:space="preserve">                              </v>
      </c>
      <c r="AX902" s="23">
        <f t="shared" si="5565"/>
        <v>0</v>
      </c>
      <c r="AY902" s="49" t="str">
        <f t="shared" si="5541"/>
        <v>000000000000000</v>
      </c>
      <c r="AZ902" s="23">
        <f t="shared" si="5566"/>
        <v>0</v>
      </c>
      <c r="BA902" s="49" t="str">
        <f t="shared" si="5541"/>
        <v>000000000000000</v>
      </c>
      <c r="BB902" s="23">
        <f t="shared" si="5567"/>
        <v>0</v>
      </c>
      <c r="BC902" s="49" t="str">
        <f t="shared" ref="BC902" si="5922">IF(BB902&lt;0,SUBSTITUTE(TEXT(BB902,"000000000000,00"),",",""),SUBSTITUTE(TEXT(BB902,"0000000000000,00"),",",""))</f>
        <v>000000000000000</v>
      </c>
      <c r="BD902" s="23">
        <f t="shared" si="5569"/>
        <v>0</v>
      </c>
      <c r="BE902" s="49" t="str">
        <f t="shared" ref="BE902" si="5923">IF(BD902&lt;0,SUBSTITUTE(TEXT(BD902,"000000000000,00"),",",""),SUBSTITUTE(TEXT(BD902,"0000000000000,00"),",",""))</f>
        <v>000000000000000</v>
      </c>
      <c r="BF902" s="23">
        <f t="shared" si="5571"/>
        <v>0</v>
      </c>
      <c r="BG902" s="49" t="str">
        <f t="shared" ref="BG902" si="5924">IF(BF902&lt;0,SUBSTITUTE(TEXT(BF902,"000000000000,00"),",",""),SUBSTITUTE(TEXT(BF902,"0000000000000,00"),",",""))</f>
        <v>000000000000000</v>
      </c>
      <c r="BH902" s="23">
        <f t="shared" si="5573"/>
        <v>0</v>
      </c>
      <c r="BI902" s="49" t="str">
        <f t="shared" ref="BI902" si="5925">IF(BH902&lt;0,SUBSTITUTE(TEXT(BH902,"000000000000,00"),",",""),SUBSTITUTE(TEXT(BH902,"0000000000000,00"),",",""))</f>
        <v>000000000000000</v>
      </c>
      <c r="BJ902" s="23">
        <f t="shared" si="5575"/>
        <v>0</v>
      </c>
      <c r="BK902" s="49" t="str">
        <f t="shared" ref="BK902" si="5926">IF(BJ902&lt;0,SUBSTITUTE(TEXT(BJ902,"000000000000,00"),",",""),SUBSTITUTE(TEXT(BJ902,"0000000000000,00"),",",""))</f>
        <v>000000000000000</v>
      </c>
      <c r="BL902" s="23">
        <f t="shared" si="5577"/>
        <v>0</v>
      </c>
      <c r="BM902" s="49" t="str">
        <f t="shared" ref="BM902" si="5927">IF(BL902&lt;0,SUBSTITUTE(TEXT(BL902,"000000000000,00"),",",""),SUBSTITUTE(TEXT(BL902,"0000000000000,00"),",",""))</f>
        <v>000000000000000</v>
      </c>
      <c r="BN902" t="str">
        <f t="shared" si="5579"/>
        <v>PES</v>
      </c>
      <c r="BO902" t="str">
        <f t="shared" si="5580"/>
        <v>0001000000</v>
      </c>
      <c r="BP902">
        <f t="shared" si="5581"/>
        <v>0</v>
      </c>
      <c r="BQ902">
        <f t="shared" si="5582"/>
        <v>0</v>
      </c>
      <c r="BR902" s="23">
        <f t="shared" si="5583"/>
        <v>0</v>
      </c>
      <c r="BS902" s="49" t="str">
        <f t="shared" si="5548"/>
        <v>000000000000000</v>
      </c>
      <c r="BT902" t="str">
        <f t="shared" si="5584"/>
        <v>00000000</v>
      </c>
      <c r="BU902" s="23">
        <f t="shared" si="5585"/>
        <v>0</v>
      </c>
      <c r="BV902" s="49" t="str">
        <f t="shared" si="5549"/>
        <v/>
      </c>
      <c r="BW902" s="52" t="str">
        <f t="shared" si="5586"/>
        <v/>
      </c>
      <c r="BX902" s="23">
        <f t="shared" si="5587"/>
        <v>0</v>
      </c>
      <c r="BY902" s="49" t="str">
        <f t="shared" si="5550"/>
        <v/>
      </c>
      <c r="BZ902" s="23">
        <f t="shared" si="5588"/>
        <v>0</v>
      </c>
      <c r="CA902" s="49" t="str">
        <f t="shared" si="5551"/>
        <v/>
      </c>
      <c r="CB902" s="52" t="str">
        <f t="shared" si="5589"/>
        <v/>
      </c>
      <c r="CC902" s="23">
        <f t="shared" si="5590"/>
        <v>0</v>
      </c>
      <c r="CD902" s="49" t="str">
        <f t="shared" si="5552"/>
        <v/>
      </c>
      <c r="CE902" s="56" t="str">
        <f>IF(CF902="","",MAX(CE$10:$CE901)+1)</f>
        <v/>
      </c>
      <c r="CF902" t="str">
        <f t="shared" si="5591"/>
        <v/>
      </c>
      <c r="CG902" s="22" t="str">
        <f>IF(CH902="","",MAX($CG$10:CG901)+1)</f>
        <v/>
      </c>
      <c r="CH902" s="22" t="str">
        <f t="shared" si="5536"/>
        <v/>
      </c>
      <c r="CI902" s="22" t="str">
        <f>IF(CJ902="","",MAX($CI$10:CI901)+1)</f>
        <v/>
      </c>
      <c r="CJ902" s="22" t="str">
        <f t="shared" si="5537"/>
        <v/>
      </c>
    </row>
    <row r="903" spans="2:88" x14ac:dyDescent="0.25">
      <c r="B903" s="37"/>
      <c r="C903" s="3"/>
      <c r="D903" s="77" t="str">
        <f t="shared" si="5523"/>
        <v/>
      </c>
      <c r="E903" s="38"/>
      <c r="F903" s="38"/>
      <c r="G903" s="78">
        <f t="shared" si="5538"/>
        <v>0</v>
      </c>
      <c r="H903" s="3">
        <v>80</v>
      </c>
      <c r="I903" s="77" t="str">
        <f t="shared" si="5524"/>
        <v/>
      </c>
      <c r="J903" s="32"/>
      <c r="K903" s="3"/>
      <c r="L903" s="39"/>
      <c r="M903" s="39"/>
      <c r="N903" s="39"/>
      <c r="O903" s="39"/>
      <c r="P903" s="39"/>
      <c r="Q903" s="39"/>
      <c r="R903" s="39"/>
      <c r="S903" s="39"/>
      <c r="T903" s="3" t="s">
        <v>645</v>
      </c>
      <c r="U903" s="77" t="str">
        <f t="shared" si="5525"/>
        <v/>
      </c>
      <c r="V903" s="39">
        <v>1</v>
      </c>
      <c r="W903" s="79">
        <f t="shared" si="5539"/>
        <v>0</v>
      </c>
      <c r="X903" s="3">
        <v>0</v>
      </c>
      <c r="Y903" s="77" t="str">
        <f t="shared" si="5526"/>
        <v/>
      </c>
      <c r="Z903" s="3"/>
      <c r="AA903" s="37" t="str">
        <f t="shared" si="5540"/>
        <v/>
      </c>
      <c r="AC903" s="40"/>
      <c r="AD903" s="7"/>
      <c r="AE903" s="77" t="str">
        <f t="shared" si="5527"/>
        <v/>
      </c>
      <c r="AF903" s="81">
        <f t="shared" si="5553"/>
        <v>0</v>
      </c>
      <c r="AG903" s="40"/>
      <c r="AH903" s="7"/>
      <c r="AI903" s="77" t="str">
        <f t="shared" si="5528"/>
        <v/>
      </c>
      <c r="AJ903" s="81">
        <f t="shared" si="5554"/>
        <v>0</v>
      </c>
      <c r="AK903" s="83">
        <f t="shared" si="5555"/>
        <v>0</v>
      </c>
      <c r="AL903" s="83">
        <f t="shared" si="5556"/>
        <v>0</v>
      </c>
      <c r="AN903" s="43">
        <f t="shared" si="5529"/>
        <v>0</v>
      </c>
      <c r="AP903" t="str">
        <f t="shared" si="5557"/>
        <v/>
      </c>
      <c r="AQ903" t="str">
        <f t="shared" si="5558"/>
        <v/>
      </c>
      <c r="AR903" t="str">
        <f t="shared" si="5559"/>
        <v/>
      </c>
      <c r="AS903" t="str">
        <f t="shared" si="5560"/>
        <v/>
      </c>
      <c r="AT903" t="str">
        <f t="shared" si="5561"/>
        <v/>
      </c>
      <c r="AU903" t="str">
        <f t="shared" si="5562"/>
        <v/>
      </c>
      <c r="AV903" t="str">
        <f t="shared" si="5563"/>
        <v/>
      </c>
      <c r="AW903" t="str">
        <f t="shared" si="5564"/>
        <v xml:space="preserve">                              </v>
      </c>
      <c r="AX903" s="23">
        <f t="shared" si="5565"/>
        <v>0</v>
      </c>
      <c r="AY903" s="49" t="str">
        <f t="shared" si="5541"/>
        <v>000000000000000</v>
      </c>
      <c r="AZ903" s="23">
        <f t="shared" si="5566"/>
        <v>0</v>
      </c>
      <c r="BA903" s="49" t="str">
        <f t="shared" si="5541"/>
        <v>000000000000000</v>
      </c>
      <c r="BB903" s="23">
        <f t="shared" si="5567"/>
        <v>0</v>
      </c>
      <c r="BC903" s="49" t="str">
        <f t="shared" ref="BC903" si="5928">IF(BB903&lt;0,SUBSTITUTE(TEXT(BB903,"000000000000,00"),",",""),SUBSTITUTE(TEXT(BB903,"0000000000000,00"),",",""))</f>
        <v>000000000000000</v>
      </c>
      <c r="BD903" s="23">
        <f t="shared" si="5569"/>
        <v>0</v>
      </c>
      <c r="BE903" s="49" t="str">
        <f t="shared" ref="BE903" si="5929">IF(BD903&lt;0,SUBSTITUTE(TEXT(BD903,"000000000000,00"),",",""),SUBSTITUTE(TEXT(BD903,"0000000000000,00"),",",""))</f>
        <v>000000000000000</v>
      </c>
      <c r="BF903" s="23">
        <f t="shared" si="5571"/>
        <v>0</v>
      </c>
      <c r="BG903" s="49" t="str">
        <f t="shared" ref="BG903" si="5930">IF(BF903&lt;0,SUBSTITUTE(TEXT(BF903,"000000000000,00"),",",""),SUBSTITUTE(TEXT(BF903,"0000000000000,00"),",",""))</f>
        <v>000000000000000</v>
      </c>
      <c r="BH903" s="23">
        <f t="shared" si="5573"/>
        <v>0</v>
      </c>
      <c r="BI903" s="49" t="str">
        <f t="shared" ref="BI903" si="5931">IF(BH903&lt;0,SUBSTITUTE(TEXT(BH903,"000000000000,00"),",",""),SUBSTITUTE(TEXT(BH903,"0000000000000,00"),",",""))</f>
        <v>000000000000000</v>
      </c>
      <c r="BJ903" s="23">
        <f t="shared" si="5575"/>
        <v>0</v>
      </c>
      <c r="BK903" s="49" t="str">
        <f t="shared" ref="BK903" si="5932">IF(BJ903&lt;0,SUBSTITUTE(TEXT(BJ903,"000000000000,00"),",",""),SUBSTITUTE(TEXT(BJ903,"0000000000000,00"),",",""))</f>
        <v>000000000000000</v>
      </c>
      <c r="BL903" s="23">
        <f t="shared" si="5577"/>
        <v>0</v>
      </c>
      <c r="BM903" s="49" t="str">
        <f t="shared" ref="BM903" si="5933">IF(BL903&lt;0,SUBSTITUTE(TEXT(BL903,"000000000000,00"),",",""),SUBSTITUTE(TEXT(BL903,"0000000000000,00"),",",""))</f>
        <v>000000000000000</v>
      </c>
      <c r="BN903" t="str">
        <f t="shared" si="5579"/>
        <v>PES</v>
      </c>
      <c r="BO903" t="str">
        <f t="shared" si="5580"/>
        <v>0001000000</v>
      </c>
      <c r="BP903">
        <f t="shared" si="5581"/>
        <v>0</v>
      </c>
      <c r="BQ903">
        <f t="shared" si="5582"/>
        <v>0</v>
      </c>
      <c r="BR903" s="23">
        <f t="shared" si="5583"/>
        <v>0</v>
      </c>
      <c r="BS903" s="49" t="str">
        <f t="shared" si="5548"/>
        <v>000000000000000</v>
      </c>
      <c r="BT903" t="str">
        <f t="shared" si="5584"/>
        <v>00000000</v>
      </c>
      <c r="BU903" s="23">
        <f t="shared" si="5585"/>
        <v>0</v>
      </c>
      <c r="BV903" s="49" t="str">
        <f t="shared" si="5549"/>
        <v/>
      </c>
      <c r="BW903" s="52" t="str">
        <f t="shared" si="5586"/>
        <v/>
      </c>
      <c r="BX903" s="23">
        <f t="shared" si="5587"/>
        <v>0</v>
      </c>
      <c r="BY903" s="49" t="str">
        <f t="shared" si="5550"/>
        <v/>
      </c>
      <c r="BZ903" s="23">
        <f t="shared" si="5588"/>
        <v>0</v>
      </c>
      <c r="CA903" s="49" t="str">
        <f t="shared" si="5551"/>
        <v/>
      </c>
      <c r="CB903" s="52" t="str">
        <f t="shared" si="5589"/>
        <v/>
      </c>
      <c r="CC903" s="23">
        <f t="shared" si="5590"/>
        <v>0</v>
      </c>
      <c r="CD903" s="49" t="str">
        <f t="shared" si="5552"/>
        <v/>
      </c>
      <c r="CE903" s="56" t="str">
        <f>IF(CF903="","",MAX(CE$10:$CE902)+1)</f>
        <v/>
      </c>
      <c r="CF903" t="str">
        <f t="shared" si="5591"/>
        <v/>
      </c>
      <c r="CG903" s="22" t="str">
        <f>IF(CH903="","",MAX($CG$10:CG902)+1)</f>
        <v/>
      </c>
      <c r="CH903" s="22" t="str">
        <f t="shared" si="5536"/>
        <v/>
      </c>
      <c r="CI903" s="22" t="str">
        <f>IF(CJ903="","",MAX($CI$10:CI902)+1)</f>
        <v/>
      </c>
      <c r="CJ903" s="22" t="str">
        <f t="shared" si="5537"/>
        <v/>
      </c>
    </row>
    <row r="904" spans="2:88" x14ac:dyDescent="0.25">
      <c r="B904" s="37"/>
      <c r="C904" s="3"/>
      <c r="D904" s="77" t="str">
        <f t="shared" si="5523"/>
        <v/>
      </c>
      <c r="E904" s="38"/>
      <c r="F904" s="38"/>
      <c r="G904" s="78">
        <f t="shared" si="5538"/>
        <v>0</v>
      </c>
      <c r="H904" s="3">
        <v>80</v>
      </c>
      <c r="I904" s="77" t="str">
        <f t="shared" si="5524"/>
        <v/>
      </c>
      <c r="J904" s="32"/>
      <c r="K904" s="3"/>
      <c r="L904" s="39"/>
      <c r="M904" s="39"/>
      <c r="N904" s="39"/>
      <c r="O904" s="39"/>
      <c r="P904" s="39"/>
      <c r="Q904" s="39"/>
      <c r="R904" s="39"/>
      <c r="S904" s="39"/>
      <c r="T904" s="3" t="s">
        <v>645</v>
      </c>
      <c r="U904" s="77" t="str">
        <f t="shared" si="5525"/>
        <v/>
      </c>
      <c r="V904" s="39">
        <v>1</v>
      </c>
      <c r="W904" s="79">
        <f t="shared" si="5539"/>
        <v>0</v>
      </c>
      <c r="X904" s="3">
        <v>0</v>
      </c>
      <c r="Y904" s="77" t="str">
        <f t="shared" si="5526"/>
        <v/>
      </c>
      <c r="Z904" s="3"/>
      <c r="AA904" s="37" t="str">
        <f t="shared" si="5540"/>
        <v/>
      </c>
      <c r="AC904" s="40"/>
      <c r="AD904" s="7"/>
      <c r="AE904" s="77" t="str">
        <f t="shared" si="5527"/>
        <v/>
      </c>
      <c r="AF904" s="81">
        <f t="shared" si="5553"/>
        <v>0</v>
      </c>
      <c r="AG904" s="40"/>
      <c r="AH904" s="7"/>
      <c r="AI904" s="77" t="str">
        <f t="shared" si="5528"/>
        <v/>
      </c>
      <c r="AJ904" s="81">
        <f t="shared" si="5554"/>
        <v>0</v>
      </c>
      <c r="AK904" s="83">
        <f t="shared" si="5555"/>
        <v>0</v>
      </c>
      <c r="AL904" s="83">
        <f t="shared" si="5556"/>
        <v>0</v>
      </c>
      <c r="AN904" s="43">
        <f t="shared" si="5529"/>
        <v>0</v>
      </c>
      <c r="AP904" t="str">
        <f t="shared" si="5557"/>
        <v/>
      </c>
      <c r="AQ904" t="str">
        <f t="shared" si="5558"/>
        <v/>
      </c>
      <c r="AR904" t="str">
        <f t="shared" si="5559"/>
        <v/>
      </c>
      <c r="AS904" t="str">
        <f t="shared" si="5560"/>
        <v/>
      </c>
      <c r="AT904" t="str">
        <f t="shared" si="5561"/>
        <v/>
      </c>
      <c r="AU904" t="str">
        <f t="shared" si="5562"/>
        <v/>
      </c>
      <c r="AV904" t="str">
        <f t="shared" si="5563"/>
        <v/>
      </c>
      <c r="AW904" t="str">
        <f t="shared" si="5564"/>
        <v xml:space="preserve">                              </v>
      </c>
      <c r="AX904" s="23">
        <f t="shared" si="5565"/>
        <v>0</v>
      </c>
      <c r="AY904" s="49" t="str">
        <f t="shared" si="5541"/>
        <v>000000000000000</v>
      </c>
      <c r="AZ904" s="23">
        <f t="shared" si="5566"/>
        <v>0</v>
      </c>
      <c r="BA904" s="49" t="str">
        <f t="shared" si="5541"/>
        <v>000000000000000</v>
      </c>
      <c r="BB904" s="23">
        <f t="shared" si="5567"/>
        <v>0</v>
      </c>
      <c r="BC904" s="49" t="str">
        <f t="shared" ref="BC904" si="5934">IF(BB904&lt;0,SUBSTITUTE(TEXT(BB904,"000000000000,00"),",",""),SUBSTITUTE(TEXT(BB904,"0000000000000,00"),",",""))</f>
        <v>000000000000000</v>
      </c>
      <c r="BD904" s="23">
        <f t="shared" si="5569"/>
        <v>0</v>
      </c>
      <c r="BE904" s="49" t="str">
        <f t="shared" ref="BE904" si="5935">IF(BD904&lt;0,SUBSTITUTE(TEXT(BD904,"000000000000,00"),",",""),SUBSTITUTE(TEXT(BD904,"0000000000000,00"),",",""))</f>
        <v>000000000000000</v>
      </c>
      <c r="BF904" s="23">
        <f t="shared" si="5571"/>
        <v>0</v>
      </c>
      <c r="BG904" s="49" t="str">
        <f t="shared" ref="BG904" si="5936">IF(BF904&lt;0,SUBSTITUTE(TEXT(BF904,"000000000000,00"),",",""),SUBSTITUTE(TEXT(BF904,"0000000000000,00"),",",""))</f>
        <v>000000000000000</v>
      </c>
      <c r="BH904" s="23">
        <f t="shared" si="5573"/>
        <v>0</v>
      </c>
      <c r="BI904" s="49" t="str">
        <f t="shared" ref="BI904" si="5937">IF(BH904&lt;0,SUBSTITUTE(TEXT(BH904,"000000000000,00"),",",""),SUBSTITUTE(TEXT(BH904,"0000000000000,00"),",",""))</f>
        <v>000000000000000</v>
      </c>
      <c r="BJ904" s="23">
        <f t="shared" si="5575"/>
        <v>0</v>
      </c>
      <c r="BK904" s="49" t="str">
        <f t="shared" ref="BK904" si="5938">IF(BJ904&lt;0,SUBSTITUTE(TEXT(BJ904,"000000000000,00"),",",""),SUBSTITUTE(TEXT(BJ904,"0000000000000,00"),",",""))</f>
        <v>000000000000000</v>
      </c>
      <c r="BL904" s="23">
        <f t="shared" si="5577"/>
        <v>0</v>
      </c>
      <c r="BM904" s="49" t="str">
        <f t="shared" ref="BM904" si="5939">IF(BL904&lt;0,SUBSTITUTE(TEXT(BL904,"000000000000,00"),",",""),SUBSTITUTE(TEXT(BL904,"0000000000000,00"),",",""))</f>
        <v>000000000000000</v>
      </c>
      <c r="BN904" t="str">
        <f t="shared" si="5579"/>
        <v>PES</v>
      </c>
      <c r="BO904" t="str">
        <f t="shared" si="5580"/>
        <v>0001000000</v>
      </c>
      <c r="BP904">
        <f t="shared" si="5581"/>
        <v>0</v>
      </c>
      <c r="BQ904">
        <f t="shared" si="5582"/>
        <v>0</v>
      </c>
      <c r="BR904" s="23">
        <f t="shared" si="5583"/>
        <v>0</v>
      </c>
      <c r="BS904" s="49" t="str">
        <f t="shared" si="5548"/>
        <v>000000000000000</v>
      </c>
      <c r="BT904" t="str">
        <f t="shared" si="5584"/>
        <v>00000000</v>
      </c>
      <c r="BU904" s="23">
        <f t="shared" si="5585"/>
        <v>0</v>
      </c>
      <c r="BV904" s="49" t="str">
        <f t="shared" si="5549"/>
        <v/>
      </c>
      <c r="BW904" s="52" t="str">
        <f t="shared" si="5586"/>
        <v/>
      </c>
      <c r="BX904" s="23">
        <f t="shared" si="5587"/>
        <v>0</v>
      </c>
      <c r="BY904" s="49" t="str">
        <f t="shared" si="5550"/>
        <v/>
      </c>
      <c r="BZ904" s="23">
        <f t="shared" si="5588"/>
        <v>0</v>
      </c>
      <c r="CA904" s="49" t="str">
        <f t="shared" si="5551"/>
        <v/>
      </c>
      <c r="CB904" s="52" t="str">
        <f t="shared" si="5589"/>
        <v/>
      </c>
      <c r="CC904" s="23">
        <f t="shared" si="5590"/>
        <v>0</v>
      </c>
      <c r="CD904" s="49" t="str">
        <f t="shared" si="5552"/>
        <v/>
      </c>
      <c r="CE904" s="56" t="str">
        <f>IF(CF904="","",MAX(CE$10:$CE903)+1)</f>
        <v/>
      </c>
      <c r="CF904" t="str">
        <f t="shared" si="5591"/>
        <v/>
      </c>
      <c r="CG904" s="22" t="str">
        <f>IF(CH904="","",MAX($CG$10:CG903)+1)</f>
        <v/>
      </c>
      <c r="CH904" s="22" t="str">
        <f t="shared" si="5536"/>
        <v/>
      </c>
      <c r="CI904" s="22" t="str">
        <f>IF(CJ904="","",MAX($CI$10:CI903)+1)</f>
        <v/>
      </c>
      <c r="CJ904" s="22" t="str">
        <f t="shared" si="5537"/>
        <v/>
      </c>
    </row>
    <row r="905" spans="2:88" x14ac:dyDescent="0.25">
      <c r="B905" s="37"/>
      <c r="C905" s="3"/>
      <c r="D905" s="77" t="str">
        <f t="shared" si="5523"/>
        <v/>
      </c>
      <c r="E905" s="38"/>
      <c r="F905" s="38"/>
      <c r="G905" s="78">
        <f t="shared" si="5538"/>
        <v>0</v>
      </c>
      <c r="H905" s="3">
        <v>80</v>
      </c>
      <c r="I905" s="77" t="str">
        <f t="shared" si="5524"/>
        <v/>
      </c>
      <c r="J905" s="32"/>
      <c r="K905" s="3"/>
      <c r="L905" s="39"/>
      <c r="M905" s="39"/>
      <c r="N905" s="39"/>
      <c r="O905" s="39"/>
      <c r="P905" s="39"/>
      <c r="Q905" s="39"/>
      <c r="R905" s="39"/>
      <c r="S905" s="39"/>
      <c r="T905" s="3" t="s">
        <v>645</v>
      </c>
      <c r="U905" s="77" t="str">
        <f t="shared" si="5525"/>
        <v/>
      </c>
      <c r="V905" s="39">
        <v>1</v>
      </c>
      <c r="W905" s="79">
        <f t="shared" si="5539"/>
        <v>0</v>
      </c>
      <c r="X905" s="3">
        <v>0</v>
      </c>
      <c r="Y905" s="77" t="str">
        <f t="shared" si="5526"/>
        <v/>
      </c>
      <c r="Z905" s="3"/>
      <c r="AA905" s="37" t="str">
        <f t="shared" si="5540"/>
        <v/>
      </c>
      <c r="AC905" s="40"/>
      <c r="AD905" s="7"/>
      <c r="AE905" s="77" t="str">
        <f t="shared" si="5527"/>
        <v/>
      </c>
      <c r="AF905" s="81">
        <f t="shared" si="5553"/>
        <v>0</v>
      </c>
      <c r="AG905" s="40"/>
      <c r="AH905" s="7"/>
      <c r="AI905" s="77" t="str">
        <f t="shared" si="5528"/>
        <v/>
      </c>
      <c r="AJ905" s="81">
        <f t="shared" si="5554"/>
        <v>0</v>
      </c>
      <c r="AK905" s="83">
        <f t="shared" si="5555"/>
        <v>0</v>
      </c>
      <c r="AL905" s="83">
        <f t="shared" si="5556"/>
        <v>0</v>
      </c>
      <c r="AN905" s="43">
        <f t="shared" si="5529"/>
        <v>0</v>
      </c>
      <c r="AP905" t="str">
        <f t="shared" si="5557"/>
        <v/>
      </c>
      <c r="AQ905" t="str">
        <f t="shared" si="5558"/>
        <v/>
      </c>
      <c r="AR905" t="str">
        <f t="shared" si="5559"/>
        <v/>
      </c>
      <c r="AS905" t="str">
        <f t="shared" si="5560"/>
        <v/>
      </c>
      <c r="AT905" t="str">
        <f t="shared" si="5561"/>
        <v/>
      </c>
      <c r="AU905" t="str">
        <f t="shared" si="5562"/>
        <v/>
      </c>
      <c r="AV905" t="str">
        <f t="shared" si="5563"/>
        <v/>
      </c>
      <c r="AW905" t="str">
        <f t="shared" si="5564"/>
        <v xml:space="preserve">                              </v>
      </c>
      <c r="AX905" s="23">
        <f t="shared" si="5565"/>
        <v>0</v>
      </c>
      <c r="AY905" s="49" t="str">
        <f t="shared" si="5541"/>
        <v>000000000000000</v>
      </c>
      <c r="AZ905" s="23">
        <f t="shared" si="5566"/>
        <v>0</v>
      </c>
      <c r="BA905" s="49" t="str">
        <f t="shared" si="5541"/>
        <v>000000000000000</v>
      </c>
      <c r="BB905" s="23">
        <f t="shared" si="5567"/>
        <v>0</v>
      </c>
      <c r="BC905" s="49" t="str">
        <f t="shared" ref="BC905" si="5940">IF(BB905&lt;0,SUBSTITUTE(TEXT(BB905,"000000000000,00"),",",""),SUBSTITUTE(TEXT(BB905,"0000000000000,00"),",",""))</f>
        <v>000000000000000</v>
      </c>
      <c r="BD905" s="23">
        <f t="shared" si="5569"/>
        <v>0</v>
      </c>
      <c r="BE905" s="49" t="str">
        <f t="shared" ref="BE905" si="5941">IF(BD905&lt;0,SUBSTITUTE(TEXT(BD905,"000000000000,00"),",",""),SUBSTITUTE(TEXT(BD905,"0000000000000,00"),",",""))</f>
        <v>000000000000000</v>
      </c>
      <c r="BF905" s="23">
        <f t="shared" si="5571"/>
        <v>0</v>
      </c>
      <c r="BG905" s="49" t="str">
        <f t="shared" ref="BG905" si="5942">IF(BF905&lt;0,SUBSTITUTE(TEXT(BF905,"000000000000,00"),",",""),SUBSTITUTE(TEXT(BF905,"0000000000000,00"),",",""))</f>
        <v>000000000000000</v>
      </c>
      <c r="BH905" s="23">
        <f t="shared" si="5573"/>
        <v>0</v>
      </c>
      <c r="BI905" s="49" t="str">
        <f t="shared" ref="BI905" si="5943">IF(BH905&lt;0,SUBSTITUTE(TEXT(BH905,"000000000000,00"),",",""),SUBSTITUTE(TEXT(BH905,"0000000000000,00"),",",""))</f>
        <v>000000000000000</v>
      </c>
      <c r="BJ905" s="23">
        <f t="shared" si="5575"/>
        <v>0</v>
      </c>
      <c r="BK905" s="49" t="str">
        <f t="shared" ref="BK905" si="5944">IF(BJ905&lt;0,SUBSTITUTE(TEXT(BJ905,"000000000000,00"),",",""),SUBSTITUTE(TEXT(BJ905,"0000000000000,00"),",",""))</f>
        <v>000000000000000</v>
      </c>
      <c r="BL905" s="23">
        <f t="shared" si="5577"/>
        <v>0</v>
      </c>
      <c r="BM905" s="49" t="str">
        <f t="shared" ref="BM905" si="5945">IF(BL905&lt;0,SUBSTITUTE(TEXT(BL905,"000000000000,00"),",",""),SUBSTITUTE(TEXT(BL905,"0000000000000,00"),",",""))</f>
        <v>000000000000000</v>
      </c>
      <c r="BN905" t="str">
        <f t="shared" si="5579"/>
        <v>PES</v>
      </c>
      <c r="BO905" t="str">
        <f t="shared" si="5580"/>
        <v>0001000000</v>
      </c>
      <c r="BP905">
        <f t="shared" si="5581"/>
        <v>0</v>
      </c>
      <c r="BQ905">
        <f t="shared" si="5582"/>
        <v>0</v>
      </c>
      <c r="BR905" s="23">
        <f t="shared" si="5583"/>
        <v>0</v>
      </c>
      <c r="BS905" s="49" t="str">
        <f t="shared" si="5548"/>
        <v>000000000000000</v>
      </c>
      <c r="BT905" t="str">
        <f t="shared" si="5584"/>
        <v>00000000</v>
      </c>
      <c r="BU905" s="23">
        <f t="shared" si="5585"/>
        <v>0</v>
      </c>
      <c r="BV905" s="49" t="str">
        <f t="shared" si="5549"/>
        <v/>
      </c>
      <c r="BW905" s="52" t="str">
        <f t="shared" si="5586"/>
        <v/>
      </c>
      <c r="BX905" s="23">
        <f t="shared" si="5587"/>
        <v>0</v>
      </c>
      <c r="BY905" s="49" t="str">
        <f t="shared" si="5550"/>
        <v/>
      </c>
      <c r="BZ905" s="23">
        <f t="shared" si="5588"/>
        <v>0</v>
      </c>
      <c r="CA905" s="49" t="str">
        <f t="shared" si="5551"/>
        <v/>
      </c>
      <c r="CB905" s="52" t="str">
        <f t="shared" si="5589"/>
        <v/>
      </c>
      <c r="CC905" s="23">
        <f t="shared" si="5590"/>
        <v>0</v>
      </c>
      <c r="CD905" s="49" t="str">
        <f t="shared" si="5552"/>
        <v/>
      </c>
      <c r="CE905" s="56" t="str">
        <f>IF(CF905="","",MAX(CE$10:$CE904)+1)</f>
        <v/>
      </c>
      <c r="CF905" t="str">
        <f t="shared" si="5591"/>
        <v/>
      </c>
      <c r="CG905" s="22" t="str">
        <f>IF(CH905="","",MAX($CG$10:CG904)+1)</f>
        <v/>
      </c>
      <c r="CH905" s="22" t="str">
        <f t="shared" si="5536"/>
        <v/>
      </c>
      <c r="CI905" s="22" t="str">
        <f>IF(CJ905="","",MAX($CI$10:CI904)+1)</f>
        <v/>
      </c>
      <c r="CJ905" s="22" t="str">
        <f t="shared" si="5537"/>
        <v/>
      </c>
    </row>
    <row r="906" spans="2:88" x14ac:dyDescent="0.25">
      <c r="B906" s="37"/>
      <c r="C906" s="3"/>
      <c r="D906" s="77" t="str">
        <f t="shared" si="5523"/>
        <v/>
      </c>
      <c r="E906" s="38"/>
      <c r="F906" s="38"/>
      <c r="G906" s="78">
        <f t="shared" si="5538"/>
        <v>0</v>
      </c>
      <c r="H906" s="3">
        <v>80</v>
      </c>
      <c r="I906" s="77" t="str">
        <f t="shared" si="5524"/>
        <v/>
      </c>
      <c r="J906" s="32"/>
      <c r="K906" s="3"/>
      <c r="L906" s="39"/>
      <c r="M906" s="39"/>
      <c r="N906" s="39"/>
      <c r="O906" s="39"/>
      <c r="P906" s="39"/>
      <c r="Q906" s="39"/>
      <c r="R906" s="39"/>
      <c r="S906" s="39"/>
      <c r="T906" s="3" t="s">
        <v>645</v>
      </c>
      <c r="U906" s="77" t="str">
        <f t="shared" si="5525"/>
        <v/>
      </c>
      <c r="V906" s="39">
        <v>1</v>
      </c>
      <c r="W906" s="79">
        <f t="shared" si="5539"/>
        <v>0</v>
      </c>
      <c r="X906" s="3">
        <v>0</v>
      </c>
      <c r="Y906" s="77" t="str">
        <f t="shared" si="5526"/>
        <v/>
      </c>
      <c r="Z906" s="3"/>
      <c r="AA906" s="37" t="str">
        <f t="shared" si="5540"/>
        <v/>
      </c>
      <c r="AC906" s="40"/>
      <c r="AD906" s="7"/>
      <c r="AE906" s="77" t="str">
        <f t="shared" si="5527"/>
        <v/>
      </c>
      <c r="AF906" s="81">
        <f t="shared" si="5553"/>
        <v>0</v>
      </c>
      <c r="AG906" s="40"/>
      <c r="AH906" s="7"/>
      <c r="AI906" s="77" t="str">
        <f t="shared" si="5528"/>
        <v/>
      </c>
      <c r="AJ906" s="81">
        <f t="shared" si="5554"/>
        <v>0</v>
      </c>
      <c r="AK906" s="83">
        <f t="shared" si="5555"/>
        <v>0</v>
      </c>
      <c r="AL906" s="83">
        <f t="shared" si="5556"/>
        <v>0</v>
      </c>
      <c r="AN906" s="43">
        <f t="shared" si="5529"/>
        <v>0</v>
      </c>
      <c r="AP906" t="str">
        <f t="shared" si="5557"/>
        <v/>
      </c>
      <c r="AQ906" t="str">
        <f t="shared" si="5558"/>
        <v/>
      </c>
      <c r="AR906" t="str">
        <f t="shared" si="5559"/>
        <v/>
      </c>
      <c r="AS906" t="str">
        <f t="shared" si="5560"/>
        <v/>
      </c>
      <c r="AT906" t="str">
        <f t="shared" si="5561"/>
        <v/>
      </c>
      <c r="AU906" t="str">
        <f t="shared" si="5562"/>
        <v/>
      </c>
      <c r="AV906" t="str">
        <f t="shared" si="5563"/>
        <v/>
      </c>
      <c r="AW906" t="str">
        <f t="shared" si="5564"/>
        <v xml:space="preserve">                              </v>
      </c>
      <c r="AX906" s="23">
        <f t="shared" si="5565"/>
        <v>0</v>
      </c>
      <c r="AY906" s="49" t="str">
        <f t="shared" si="5541"/>
        <v>000000000000000</v>
      </c>
      <c r="AZ906" s="23">
        <f t="shared" si="5566"/>
        <v>0</v>
      </c>
      <c r="BA906" s="49" t="str">
        <f t="shared" si="5541"/>
        <v>000000000000000</v>
      </c>
      <c r="BB906" s="23">
        <f t="shared" si="5567"/>
        <v>0</v>
      </c>
      <c r="BC906" s="49" t="str">
        <f t="shared" ref="BC906" si="5946">IF(BB906&lt;0,SUBSTITUTE(TEXT(BB906,"000000000000,00"),",",""),SUBSTITUTE(TEXT(BB906,"0000000000000,00"),",",""))</f>
        <v>000000000000000</v>
      </c>
      <c r="BD906" s="23">
        <f t="shared" si="5569"/>
        <v>0</v>
      </c>
      <c r="BE906" s="49" t="str">
        <f t="shared" ref="BE906" si="5947">IF(BD906&lt;0,SUBSTITUTE(TEXT(BD906,"000000000000,00"),",",""),SUBSTITUTE(TEXT(BD906,"0000000000000,00"),",",""))</f>
        <v>000000000000000</v>
      </c>
      <c r="BF906" s="23">
        <f t="shared" si="5571"/>
        <v>0</v>
      </c>
      <c r="BG906" s="49" t="str">
        <f t="shared" ref="BG906" si="5948">IF(BF906&lt;0,SUBSTITUTE(TEXT(BF906,"000000000000,00"),",",""),SUBSTITUTE(TEXT(BF906,"0000000000000,00"),",",""))</f>
        <v>000000000000000</v>
      </c>
      <c r="BH906" s="23">
        <f t="shared" si="5573"/>
        <v>0</v>
      </c>
      <c r="BI906" s="49" t="str">
        <f t="shared" ref="BI906" si="5949">IF(BH906&lt;0,SUBSTITUTE(TEXT(BH906,"000000000000,00"),",",""),SUBSTITUTE(TEXT(BH906,"0000000000000,00"),",",""))</f>
        <v>000000000000000</v>
      </c>
      <c r="BJ906" s="23">
        <f t="shared" si="5575"/>
        <v>0</v>
      </c>
      <c r="BK906" s="49" t="str">
        <f t="shared" ref="BK906" si="5950">IF(BJ906&lt;0,SUBSTITUTE(TEXT(BJ906,"000000000000,00"),",",""),SUBSTITUTE(TEXT(BJ906,"0000000000000,00"),",",""))</f>
        <v>000000000000000</v>
      </c>
      <c r="BL906" s="23">
        <f t="shared" si="5577"/>
        <v>0</v>
      </c>
      <c r="BM906" s="49" t="str">
        <f t="shared" ref="BM906" si="5951">IF(BL906&lt;0,SUBSTITUTE(TEXT(BL906,"000000000000,00"),",",""),SUBSTITUTE(TEXT(BL906,"0000000000000,00"),",",""))</f>
        <v>000000000000000</v>
      </c>
      <c r="BN906" t="str">
        <f t="shared" si="5579"/>
        <v>PES</v>
      </c>
      <c r="BO906" t="str">
        <f t="shared" si="5580"/>
        <v>0001000000</v>
      </c>
      <c r="BP906">
        <f t="shared" si="5581"/>
        <v>0</v>
      </c>
      <c r="BQ906">
        <f t="shared" si="5582"/>
        <v>0</v>
      </c>
      <c r="BR906" s="23">
        <f t="shared" si="5583"/>
        <v>0</v>
      </c>
      <c r="BS906" s="49" t="str">
        <f t="shared" si="5548"/>
        <v>000000000000000</v>
      </c>
      <c r="BT906" t="str">
        <f t="shared" si="5584"/>
        <v>00000000</v>
      </c>
      <c r="BU906" s="23">
        <f t="shared" si="5585"/>
        <v>0</v>
      </c>
      <c r="BV906" s="49" t="str">
        <f t="shared" si="5549"/>
        <v/>
      </c>
      <c r="BW906" s="52" t="str">
        <f t="shared" si="5586"/>
        <v/>
      </c>
      <c r="BX906" s="23">
        <f t="shared" si="5587"/>
        <v>0</v>
      </c>
      <c r="BY906" s="49" t="str">
        <f t="shared" si="5550"/>
        <v/>
      </c>
      <c r="BZ906" s="23">
        <f t="shared" si="5588"/>
        <v>0</v>
      </c>
      <c r="CA906" s="49" t="str">
        <f t="shared" si="5551"/>
        <v/>
      </c>
      <c r="CB906" s="52" t="str">
        <f t="shared" si="5589"/>
        <v/>
      </c>
      <c r="CC906" s="23">
        <f t="shared" si="5590"/>
        <v>0</v>
      </c>
      <c r="CD906" s="49" t="str">
        <f t="shared" si="5552"/>
        <v/>
      </c>
      <c r="CE906" s="56" t="str">
        <f>IF(CF906="","",MAX(CE$10:$CE905)+1)</f>
        <v/>
      </c>
      <c r="CF906" t="str">
        <f t="shared" si="5591"/>
        <v/>
      </c>
      <c r="CG906" s="22" t="str">
        <f>IF(CH906="","",MAX($CG$10:CG905)+1)</f>
        <v/>
      </c>
      <c r="CH906" s="22" t="str">
        <f t="shared" si="5536"/>
        <v/>
      </c>
      <c r="CI906" s="22" t="str">
        <f>IF(CJ906="","",MAX($CI$10:CI905)+1)</f>
        <v/>
      </c>
      <c r="CJ906" s="22" t="str">
        <f t="shared" si="5537"/>
        <v/>
      </c>
    </row>
    <row r="907" spans="2:88" x14ac:dyDescent="0.25">
      <c r="B907" s="37"/>
      <c r="C907" s="3"/>
      <c r="D907" s="77" t="str">
        <f t="shared" si="5523"/>
        <v/>
      </c>
      <c r="E907" s="38"/>
      <c r="F907" s="38"/>
      <c r="G907" s="78">
        <f t="shared" si="5538"/>
        <v>0</v>
      </c>
      <c r="H907" s="3">
        <v>80</v>
      </c>
      <c r="I907" s="77" t="str">
        <f t="shared" si="5524"/>
        <v/>
      </c>
      <c r="J907" s="32"/>
      <c r="K907" s="3"/>
      <c r="L907" s="39"/>
      <c r="M907" s="39"/>
      <c r="N907" s="39"/>
      <c r="O907" s="39"/>
      <c r="P907" s="39"/>
      <c r="Q907" s="39"/>
      <c r="R907" s="39"/>
      <c r="S907" s="39"/>
      <c r="T907" s="3" t="s">
        <v>645</v>
      </c>
      <c r="U907" s="77" t="str">
        <f t="shared" si="5525"/>
        <v/>
      </c>
      <c r="V907" s="39">
        <v>1</v>
      </c>
      <c r="W907" s="79">
        <f t="shared" si="5539"/>
        <v>0</v>
      </c>
      <c r="X907" s="3">
        <v>0</v>
      </c>
      <c r="Y907" s="77" t="str">
        <f t="shared" si="5526"/>
        <v/>
      </c>
      <c r="Z907" s="3"/>
      <c r="AA907" s="37" t="str">
        <f t="shared" si="5540"/>
        <v/>
      </c>
      <c r="AC907" s="40"/>
      <c r="AD907" s="7"/>
      <c r="AE907" s="77" t="str">
        <f t="shared" si="5527"/>
        <v/>
      </c>
      <c r="AF907" s="81">
        <f t="shared" si="5553"/>
        <v>0</v>
      </c>
      <c r="AG907" s="40"/>
      <c r="AH907" s="7"/>
      <c r="AI907" s="77" t="str">
        <f t="shared" si="5528"/>
        <v/>
      </c>
      <c r="AJ907" s="81">
        <f t="shared" si="5554"/>
        <v>0</v>
      </c>
      <c r="AK907" s="83">
        <f t="shared" si="5555"/>
        <v>0</v>
      </c>
      <c r="AL907" s="83">
        <f t="shared" si="5556"/>
        <v>0</v>
      </c>
      <c r="AN907" s="43">
        <f t="shared" si="5529"/>
        <v>0</v>
      </c>
      <c r="AP907" t="str">
        <f t="shared" si="5557"/>
        <v/>
      </c>
      <c r="AQ907" t="str">
        <f t="shared" si="5558"/>
        <v/>
      </c>
      <c r="AR907" t="str">
        <f t="shared" si="5559"/>
        <v/>
      </c>
      <c r="AS907" t="str">
        <f t="shared" si="5560"/>
        <v/>
      </c>
      <c r="AT907" t="str">
        <f t="shared" si="5561"/>
        <v/>
      </c>
      <c r="AU907" t="str">
        <f t="shared" si="5562"/>
        <v/>
      </c>
      <c r="AV907" t="str">
        <f t="shared" si="5563"/>
        <v/>
      </c>
      <c r="AW907" t="str">
        <f t="shared" si="5564"/>
        <v xml:space="preserve">                              </v>
      </c>
      <c r="AX907" s="23">
        <f t="shared" si="5565"/>
        <v>0</v>
      </c>
      <c r="AY907" s="49" t="str">
        <f t="shared" si="5541"/>
        <v>000000000000000</v>
      </c>
      <c r="AZ907" s="23">
        <f t="shared" si="5566"/>
        <v>0</v>
      </c>
      <c r="BA907" s="49" t="str">
        <f t="shared" si="5541"/>
        <v>000000000000000</v>
      </c>
      <c r="BB907" s="23">
        <f t="shared" si="5567"/>
        <v>0</v>
      </c>
      <c r="BC907" s="49" t="str">
        <f t="shared" ref="BC907" si="5952">IF(BB907&lt;0,SUBSTITUTE(TEXT(BB907,"000000000000,00"),",",""),SUBSTITUTE(TEXT(BB907,"0000000000000,00"),",",""))</f>
        <v>000000000000000</v>
      </c>
      <c r="BD907" s="23">
        <f t="shared" si="5569"/>
        <v>0</v>
      </c>
      <c r="BE907" s="49" t="str">
        <f t="shared" ref="BE907" si="5953">IF(BD907&lt;0,SUBSTITUTE(TEXT(BD907,"000000000000,00"),",",""),SUBSTITUTE(TEXT(BD907,"0000000000000,00"),",",""))</f>
        <v>000000000000000</v>
      </c>
      <c r="BF907" s="23">
        <f t="shared" si="5571"/>
        <v>0</v>
      </c>
      <c r="BG907" s="49" t="str">
        <f t="shared" ref="BG907" si="5954">IF(BF907&lt;0,SUBSTITUTE(TEXT(BF907,"000000000000,00"),",",""),SUBSTITUTE(TEXT(BF907,"0000000000000,00"),",",""))</f>
        <v>000000000000000</v>
      </c>
      <c r="BH907" s="23">
        <f t="shared" si="5573"/>
        <v>0</v>
      </c>
      <c r="BI907" s="49" t="str">
        <f t="shared" ref="BI907" si="5955">IF(BH907&lt;0,SUBSTITUTE(TEXT(BH907,"000000000000,00"),",",""),SUBSTITUTE(TEXT(BH907,"0000000000000,00"),",",""))</f>
        <v>000000000000000</v>
      </c>
      <c r="BJ907" s="23">
        <f t="shared" si="5575"/>
        <v>0</v>
      </c>
      <c r="BK907" s="49" t="str">
        <f t="shared" ref="BK907" si="5956">IF(BJ907&lt;0,SUBSTITUTE(TEXT(BJ907,"000000000000,00"),",",""),SUBSTITUTE(TEXT(BJ907,"0000000000000,00"),",",""))</f>
        <v>000000000000000</v>
      </c>
      <c r="BL907" s="23">
        <f t="shared" si="5577"/>
        <v>0</v>
      </c>
      <c r="BM907" s="49" t="str">
        <f t="shared" ref="BM907" si="5957">IF(BL907&lt;0,SUBSTITUTE(TEXT(BL907,"000000000000,00"),",",""),SUBSTITUTE(TEXT(BL907,"0000000000000,00"),",",""))</f>
        <v>000000000000000</v>
      </c>
      <c r="BN907" t="str">
        <f t="shared" si="5579"/>
        <v>PES</v>
      </c>
      <c r="BO907" t="str">
        <f t="shared" si="5580"/>
        <v>0001000000</v>
      </c>
      <c r="BP907">
        <f t="shared" si="5581"/>
        <v>0</v>
      </c>
      <c r="BQ907">
        <f t="shared" si="5582"/>
        <v>0</v>
      </c>
      <c r="BR907" s="23">
        <f t="shared" si="5583"/>
        <v>0</v>
      </c>
      <c r="BS907" s="49" t="str">
        <f t="shared" si="5548"/>
        <v>000000000000000</v>
      </c>
      <c r="BT907" t="str">
        <f t="shared" si="5584"/>
        <v>00000000</v>
      </c>
      <c r="BU907" s="23">
        <f t="shared" si="5585"/>
        <v>0</v>
      </c>
      <c r="BV907" s="49" t="str">
        <f t="shared" si="5549"/>
        <v/>
      </c>
      <c r="BW907" s="52" t="str">
        <f t="shared" si="5586"/>
        <v/>
      </c>
      <c r="BX907" s="23">
        <f t="shared" si="5587"/>
        <v>0</v>
      </c>
      <c r="BY907" s="49" t="str">
        <f t="shared" si="5550"/>
        <v/>
      </c>
      <c r="BZ907" s="23">
        <f t="shared" si="5588"/>
        <v>0</v>
      </c>
      <c r="CA907" s="49" t="str">
        <f t="shared" si="5551"/>
        <v/>
      </c>
      <c r="CB907" s="52" t="str">
        <f t="shared" si="5589"/>
        <v/>
      </c>
      <c r="CC907" s="23">
        <f t="shared" si="5590"/>
        <v>0</v>
      </c>
      <c r="CD907" s="49" t="str">
        <f t="shared" si="5552"/>
        <v/>
      </c>
      <c r="CE907" s="56" t="str">
        <f>IF(CF907="","",MAX(CE$10:$CE906)+1)</f>
        <v/>
      </c>
      <c r="CF907" t="str">
        <f t="shared" si="5591"/>
        <v/>
      </c>
      <c r="CG907" s="22" t="str">
        <f>IF(CH907="","",MAX($CG$10:CG906)+1)</f>
        <v/>
      </c>
      <c r="CH907" s="22" t="str">
        <f t="shared" si="5536"/>
        <v/>
      </c>
      <c r="CI907" s="22" t="str">
        <f>IF(CJ907="","",MAX($CI$10:CI906)+1)</f>
        <v/>
      </c>
      <c r="CJ907" s="22" t="str">
        <f t="shared" si="5537"/>
        <v/>
      </c>
    </row>
    <row r="908" spans="2:88" x14ac:dyDescent="0.25">
      <c r="B908" s="37"/>
      <c r="C908" s="3"/>
      <c r="D908" s="77" t="str">
        <f t="shared" ref="D908:D971" si="5958">IF(B908="","",IF(ISERROR(VLOOKUP(C908,T_CompVentas,2,FALSE)),"",VLOOKUP(C908,T_CompVentas,2,FALSE)))</f>
        <v/>
      </c>
      <c r="E908" s="38"/>
      <c r="F908" s="38"/>
      <c r="G908" s="78">
        <f t="shared" si="5538"/>
        <v>0</v>
      </c>
      <c r="H908" s="3">
        <v>80</v>
      </c>
      <c r="I908" s="77" t="str">
        <f t="shared" ref="I908:I971" si="5959">IF(B908="","",IF(H908="","",IF(ISERROR(VLOOKUP(H908,T_Documentos,2,FALSE)),"",VLOOKUP(H908,T_Documentos,2,FALSE))))</f>
        <v/>
      </c>
      <c r="J908" s="32"/>
      <c r="K908" s="3"/>
      <c r="L908" s="39"/>
      <c r="M908" s="39"/>
      <c r="N908" s="39"/>
      <c r="O908" s="39"/>
      <c r="P908" s="39"/>
      <c r="Q908" s="39"/>
      <c r="R908" s="39"/>
      <c r="S908" s="39"/>
      <c r="T908" s="3" t="s">
        <v>645</v>
      </c>
      <c r="U908" s="77" t="str">
        <f t="shared" ref="U908:U971" si="5960">IF(B908="","",IF(ISERROR(VLOOKUP(T908,T_Monedas,2,FALSE)),"",VLOOKUP(T908,T_Monedas,2,FALSE)))</f>
        <v/>
      </c>
      <c r="V908" s="39">
        <v>1</v>
      </c>
      <c r="W908" s="79">
        <f t="shared" si="5539"/>
        <v>0</v>
      </c>
      <c r="X908" s="3">
        <v>0</v>
      </c>
      <c r="Y908" s="77" t="str">
        <f t="shared" ref="Y908:Y971" si="5961">IF(B908="","",IF(ISERROR(VLOOKUP(X908,T_CodOperVentas,2,FALSE)),"",VLOOKUP(X908,T_CodOperVentas,2,FALSE)))</f>
        <v/>
      </c>
      <c r="Z908" s="3"/>
      <c r="AA908" s="37" t="str">
        <f t="shared" si="5540"/>
        <v/>
      </c>
      <c r="AC908" s="40"/>
      <c r="AD908" s="7"/>
      <c r="AE908" s="77" t="str">
        <f t="shared" ref="AE908:AE971" si="5962">IF(B908="","",IF(AD908="","",IF(ISERROR(VLOOKUP(AD908,T_Alicuotas,2,FALSE)),"",VLOOKUP(AD908,T_Alicuotas,2,FALSE))))</f>
        <v/>
      </c>
      <c r="AF908" s="81">
        <f t="shared" si="5553"/>
        <v>0</v>
      </c>
      <c r="AG908" s="40"/>
      <c r="AH908" s="7"/>
      <c r="AI908" s="77" t="str">
        <f t="shared" ref="AI908:AI971" si="5963">IF(B908="","",IF(AH908="","",IF(ISERROR(VLOOKUP(AH908,T_Alicuotas,2,FALSE)),"",VLOOKUP(AH908,T_Alicuotas,2,FALSE))))</f>
        <v/>
      </c>
      <c r="AJ908" s="81">
        <f t="shared" si="5554"/>
        <v>0</v>
      </c>
      <c r="AK908" s="83">
        <f t="shared" si="5555"/>
        <v>0</v>
      </c>
      <c r="AL908" s="83">
        <f t="shared" si="5556"/>
        <v>0</v>
      </c>
      <c r="AN908" s="43">
        <f t="shared" ref="AN908:AN971" si="5964">+L908-M908-N908-O908-P908-Q908-R908-S908-AC908-AF908-AG908-AJ908</f>
        <v>0</v>
      </c>
      <c r="AP908" t="str">
        <f t="shared" si="5557"/>
        <v/>
      </c>
      <c r="AQ908" t="str">
        <f t="shared" si="5558"/>
        <v/>
      </c>
      <c r="AR908" t="str">
        <f t="shared" si="5559"/>
        <v/>
      </c>
      <c r="AS908" t="str">
        <f t="shared" si="5560"/>
        <v/>
      </c>
      <c r="AT908" t="str">
        <f t="shared" si="5561"/>
        <v/>
      </c>
      <c r="AU908" t="str">
        <f t="shared" si="5562"/>
        <v/>
      </c>
      <c r="AV908" t="str">
        <f t="shared" si="5563"/>
        <v/>
      </c>
      <c r="AW908" t="str">
        <f t="shared" si="5564"/>
        <v xml:space="preserve">                              </v>
      </c>
      <c r="AX908" s="23">
        <f t="shared" si="5565"/>
        <v>0</v>
      </c>
      <c r="AY908" s="49" t="str">
        <f t="shared" si="5541"/>
        <v>000000000000000</v>
      </c>
      <c r="AZ908" s="23">
        <f t="shared" si="5566"/>
        <v>0</v>
      </c>
      <c r="BA908" s="49" t="str">
        <f t="shared" si="5541"/>
        <v>000000000000000</v>
      </c>
      <c r="BB908" s="23">
        <f t="shared" si="5567"/>
        <v>0</v>
      </c>
      <c r="BC908" s="49" t="str">
        <f t="shared" ref="BC908" si="5965">IF(BB908&lt;0,SUBSTITUTE(TEXT(BB908,"000000000000,00"),",",""),SUBSTITUTE(TEXT(BB908,"0000000000000,00"),",",""))</f>
        <v>000000000000000</v>
      </c>
      <c r="BD908" s="23">
        <f t="shared" si="5569"/>
        <v>0</v>
      </c>
      <c r="BE908" s="49" t="str">
        <f t="shared" ref="BE908" si="5966">IF(BD908&lt;0,SUBSTITUTE(TEXT(BD908,"000000000000,00"),",",""),SUBSTITUTE(TEXT(BD908,"0000000000000,00"),",",""))</f>
        <v>000000000000000</v>
      </c>
      <c r="BF908" s="23">
        <f t="shared" si="5571"/>
        <v>0</v>
      </c>
      <c r="BG908" s="49" t="str">
        <f t="shared" ref="BG908" si="5967">IF(BF908&lt;0,SUBSTITUTE(TEXT(BF908,"000000000000,00"),",",""),SUBSTITUTE(TEXT(BF908,"0000000000000,00"),",",""))</f>
        <v>000000000000000</v>
      </c>
      <c r="BH908" s="23">
        <f t="shared" si="5573"/>
        <v>0</v>
      </c>
      <c r="BI908" s="49" t="str">
        <f t="shared" ref="BI908" si="5968">IF(BH908&lt;0,SUBSTITUTE(TEXT(BH908,"000000000000,00"),",",""),SUBSTITUTE(TEXT(BH908,"0000000000000,00"),",",""))</f>
        <v>000000000000000</v>
      </c>
      <c r="BJ908" s="23">
        <f t="shared" si="5575"/>
        <v>0</v>
      </c>
      <c r="BK908" s="49" t="str">
        <f t="shared" ref="BK908" si="5969">IF(BJ908&lt;0,SUBSTITUTE(TEXT(BJ908,"000000000000,00"),",",""),SUBSTITUTE(TEXT(BJ908,"0000000000000,00"),",",""))</f>
        <v>000000000000000</v>
      </c>
      <c r="BL908" s="23">
        <f t="shared" si="5577"/>
        <v>0</v>
      </c>
      <c r="BM908" s="49" t="str">
        <f t="shared" ref="BM908" si="5970">IF(BL908&lt;0,SUBSTITUTE(TEXT(BL908,"000000000000,00"),",",""),SUBSTITUTE(TEXT(BL908,"0000000000000,00"),",",""))</f>
        <v>000000000000000</v>
      </c>
      <c r="BN908" t="str">
        <f t="shared" si="5579"/>
        <v>PES</v>
      </c>
      <c r="BO908" t="str">
        <f t="shared" si="5580"/>
        <v>0001000000</v>
      </c>
      <c r="BP908">
        <f t="shared" si="5581"/>
        <v>0</v>
      </c>
      <c r="BQ908">
        <f t="shared" si="5582"/>
        <v>0</v>
      </c>
      <c r="BR908" s="23">
        <f t="shared" si="5583"/>
        <v>0</v>
      </c>
      <c r="BS908" s="49" t="str">
        <f t="shared" si="5548"/>
        <v>000000000000000</v>
      </c>
      <c r="BT908" t="str">
        <f t="shared" si="5584"/>
        <v>00000000</v>
      </c>
      <c r="BU908" s="23">
        <f t="shared" si="5585"/>
        <v>0</v>
      </c>
      <c r="BV908" s="49" t="str">
        <f t="shared" si="5549"/>
        <v/>
      </c>
      <c r="BW908" s="52" t="str">
        <f t="shared" si="5586"/>
        <v/>
      </c>
      <c r="BX908" s="23">
        <f t="shared" si="5587"/>
        <v>0</v>
      </c>
      <c r="BY908" s="49" t="str">
        <f t="shared" si="5550"/>
        <v/>
      </c>
      <c r="BZ908" s="23">
        <f t="shared" si="5588"/>
        <v>0</v>
      </c>
      <c r="CA908" s="49" t="str">
        <f t="shared" si="5551"/>
        <v/>
      </c>
      <c r="CB908" s="52" t="str">
        <f t="shared" si="5589"/>
        <v/>
      </c>
      <c r="CC908" s="23">
        <f t="shared" si="5590"/>
        <v>0</v>
      </c>
      <c r="CD908" s="49" t="str">
        <f t="shared" si="5552"/>
        <v/>
      </c>
      <c r="CE908" s="56" t="str">
        <f>IF(CF908="","",MAX(CE$10:$CE907)+1)</f>
        <v/>
      </c>
      <c r="CF908" t="str">
        <f t="shared" si="5591"/>
        <v/>
      </c>
      <c r="CG908" s="22" t="str">
        <f>IF(CH908="","",MAX($CG$10:CG907)+1)</f>
        <v/>
      </c>
      <c r="CH908" s="22" t="str">
        <f t="shared" ref="CH908:CH971" si="5971">IF(BV908="","",AQ908&amp;AR908&amp;AS908&amp;BV908&amp;BW908&amp;BY908)</f>
        <v/>
      </c>
      <c r="CI908" s="22" t="str">
        <f>IF(CJ908="","",MAX($CI$10:CI907)+1)</f>
        <v/>
      </c>
      <c r="CJ908" s="22" t="str">
        <f t="shared" ref="CJ908:CJ971" si="5972">IF(CA908="","",AQ908&amp;AR908&amp;AS908&amp;CA908&amp;CB908&amp;CD908)</f>
        <v/>
      </c>
    </row>
    <row r="909" spans="2:88" x14ac:dyDescent="0.25">
      <c r="B909" s="37"/>
      <c r="C909" s="3"/>
      <c r="D909" s="77" t="str">
        <f t="shared" si="5958"/>
        <v/>
      </c>
      <c r="E909" s="38"/>
      <c r="F909" s="38"/>
      <c r="G909" s="78">
        <f t="shared" ref="G909:G972" si="5973">+F909</f>
        <v>0</v>
      </c>
      <c r="H909" s="3">
        <v>80</v>
      </c>
      <c r="I909" s="77" t="str">
        <f t="shared" si="5959"/>
        <v/>
      </c>
      <c r="J909" s="32"/>
      <c r="K909" s="3"/>
      <c r="L909" s="39"/>
      <c r="M909" s="39"/>
      <c r="N909" s="39"/>
      <c r="O909" s="39"/>
      <c r="P909" s="39"/>
      <c r="Q909" s="39"/>
      <c r="R909" s="39"/>
      <c r="S909" s="39"/>
      <c r="T909" s="3" t="s">
        <v>645</v>
      </c>
      <c r="U909" s="77" t="str">
        <f t="shared" si="5960"/>
        <v/>
      </c>
      <c r="V909" s="39">
        <v>1</v>
      </c>
      <c r="W909" s="79">
        <f t="shared" ref="W909:W972" si="5974">IF(AD909="",0,1)+IF(OR(AH909=""),0,1)</f>
        <v>0</v>
      </c>
      <c r="X909" s="3">
        <v>0</v>
      </c>
      <c r="Y909" s="77" t="str">
        <f t="shared" si="5961"/>
        <v/>
      </c>
      <c r="Z909" s="3"/>
      <c r="AA909" s="37" t="str">
        <f t="shared" ref="AA909:AA972" si="5975">IF(OR(B909="",C909=82),"",B909)</f>
        <v/>
      </c>
      <c r="AC909" s="40"/>
      <c r="AD909" s="7"/>
      <c r="AE909" s="77" t="str">
        <f t="shared" si="5962"/>
        <v/>
      </c>
      <c r="AF909" s="81">
        <f t="shared" si="5553"/>
        <v>0</v>
      </c>
      <c r="AG909" s="40"/>
      <c r="AH909" s="7"/>
      <c r="AI909" s="77" t="str">
        <f t="shared" si="5963"/>
        <v/>
      </c>
      <c r="AJ909" s="81">
        <f t="shared" si="5554"/>
        <v>0</v>
      </c>
      <c r="AK909" s="83">
        <f t="shared" si="5555"/>
        <v>0</v>
      </c>
      <c r="AL909" s="83">
        <f t="shared" si="5556"/>
        <v>0</v>
      </c>
      <c r="AN909" s="43">
        <f t="shared" si="5964"/>
        <v>0</v>
      </c>
      <c r="AP909" t="str">
        <f t="shared" si="5557"/>
        <v/>
      </c>
      <c r="AQ909" t="str">
        <f t="shared" si="5558"/>
        <v/>
      </c>
      <c r="AR909" t="str">
        <f t="shared" si="5559"/>
        <v/>
      </c>
      <c r="AS909" t="str">
        <f t="shared" si="5560"/>
        <v/>
      </c>
      <c r="AT909" t="str">
        <f t="shared" si="5561"/>
        <v/>
      </c>
      <c r="AU909" t="str">
        <f t="shared" si="5562"/>
        <v/>
      </c>
      <c r="AV909" t="str">
        <f t="shared" si="5563"/>
        <v/>
      </c>
      <c r="AW909" t="str">
        <f t="shared" si="5564"/>
        <v xml:space="preserve">                              </v>
      </c>
      <c r="AX909" s="23">
        <f t="shared" si="5565"/>
        <v>0</v>
      </c>
      <c r="AY909" s="49" t="str">
        <f t="shared" ref="AY909:BA972" si="5976">IF(AX909&lt;0,SUBSTITUTE(TEXT(AX909,"000000000000,00"),",",""),SUBSTITUTE(TEXT(AX909,"0000000000000,00"),",",""))</f>
        <v>000000000000000</v>
      </c>
      <c r="AZ909" s="23">
        <f t="shared" si="5566"/>
        <v>0</v>
      </c>
      <c r="BA909" s="49" t="str">
        <f t="shared" si="5976"/>
        <v>000000000000000</v>
      </c>
      <c r="BB909" s="23">
        <f t="shared" si="5567"/>
        <v>0</v>
      </c>
      <c r="BC909" s="49" t="str">
        <f t="shared" ref="BC909" si="5977">IF(BB909&lt;0,SUBSTITUTE(TEXT(BB909,"000000000000,00"),",",""),SUBSTITUTE(TEXT(BB909,"0000000000000,00"),",",""))</f>
        <v>000000000000000</v>
      </c>
      <c r="BD909" s="23">
        <f t="shared" si="5569"/>
        <v>0</v>
      </c>
      <c r="BE909" s="49" t="str">
        <f t="shared" ref="BE909" si="5978">IF(BD909&lt;0,SUBSTITUTE(TEXT(BD909,"000000000000,00"),",",""),SUBSTITUTE(TEXT(BD909,"0000000000000,00"),",",""))</f>
        <v>000000000000000</v>
      </c>
      <c r="BF909" s="23">
        <f t="shared" si="5571"/>
        <v>0</v>
      </c>
      <c r="BG909" s="49" t="str">
        <f t="shared" ref="BG909" si="5979">IF(BF909&lt;0,SUBSTITUTE(TEXT(BF909,"000000000000,00"),",",""),SUBSTITUTE(TEXT(BF909,"0000000000000,00"),",",""))</f>
        <v>000000000000000</v>
      </c>
      <c r="BH909" s="23">
        <f t="shared" si="5573"/>
        <v>0</v>
      </c>
      <c r="BI909" s="49" t="str">
        <f t="shared" ref="BI909" si="5980">IF(BH909&lt;0,SUBSTITUTE(TEXT(BH909,"000000000000,00"),",",""),SUBSTITUTE(TEXT(BH909,"0000000000000,00"),",",""))</f>
        <v>000000000000000</v>
      </c>
      <c r="BJ909" s="23">
        <f t="shared" si="5575"/>
        <v>0</v>
      </c>
      <c r="BK909" s="49" t="str">
        <f t="shared" ref="BK909" si="5981">IF(BJ909&lt;0,SUBSTITUTE(TEXT(BJ909,"000000000000,00"),",",""),SUBSTITUTE(TEXT(BJ909,"0000000000000,00"),",",""))</f>
        <v>000000000000000</v>
      </c>
      <c r="BL909" s="23">
        <f t="shared" si="5577"/>
        <v>0</v>
      </c>
      <c r="BM909" s="49" t="str">
        <f t="shared" ref="BM909" si="5982">IF(BL909&lt;0,SUBSTITUTE(TEXT(BL909,"000000000000,00"),",",""),SUBSTITUTE(TEXT(BL909,"0000000000000,00"),",",""))</f>
        <v>000000000000000</v>
      </c>
      <c r="BN909" t="str">
        <f t="shared" si="5579"/>
        <v>PES</v>
      </c>
      <c r="BO909" t="str">
        <f t="shared" si="5580"/>
        <v>0001000000</v>
      </c>
      <c r="BP909">
        <f t="shared" si="5581"/>
        <v>0</v>
      </c>
      <c r="BQ909">
        <f t="shared" si="5582"/>
        <v>0</v>
      </c>
      <c r="BR909" s="23">
        <f t="shared" si="5583"/>
        <v>0</v>
      </c>
      <c r="BS909" s="49" t="str">
        <f t="shared" ref="BS909:BS972" si="5983">IF(BR909&lt;0,SUBSTITUTE(TEXT(BR909,"000000000000,00"),",",""),SUBSTITUTE(TEXT(BR909,"0000000000000,00"),",",""))</f>
        <v>000000000000000</v>
      </c>
      <c r="BT909" t="str">
        <f t="shared" si="5584"/>
        <v>00000000</v>
      </c>
      <c r="BU909" s="23">
        <f t="shared" si="5585"/>
        <v>0</v>
      </c>
      <c r="BV909" s="49" t="str">
        <f t="shared" ref="BV909:BV972" si="5984">IF(BW909="","",IF(BU909&lt;0,SUBSTITUTE(TEXT(BU909,"000000000000,00"),",",""),SUBSTITUTE(TEXT(BU909,"0000000000000,00"),",","")))</f>
        <v/>
      </c>
      <c r="BW909" s="52" t="str">
        <f t="shared" si="5586"/>
        <v/>
      </c>
      <c r="BX909" s="23">
        <f t="shared" si="5587"/>
        <v>0</v>
      </c>
      <c r="BY909" s="49" t="str">
        <f t="shared" ref="BY909:BY972" si="5985">IF(BW909="","",IF(BX909&lt;0,SUBSTITUTE(TEXT(BX909,"000000000000,00"),",",""),SUBSTITUTE(TEXT(BX909,"0000000000000,00"),",","")))</f>
        <v/>
      </c>
      <c r="BZ909" s="23">
        <f t="shared" si="5588"/>
        <v>0</v>
      </c>
      <c r="CA909" s="49" t="str">
        <f t="shared" ref="CA909:CA972" si="5986">IF(CB909="","",IF(BZ909&lt;0,SUBSTITUTE(TEXT(BZ909,"000000000000,00"),",",""),SUBSTITUTE(TEXT(BZ909,"0000000000000,00"),",","")))</f>
        <v/>
      </c>
      <c r="CB909" s="52" t="str">
        <f t="shared" si="5589"/>
        <v/>
      </c>
      <c r="CC909" s="23">
        <f t="shared" si="5590"/>
        <v>0</v>
      </c>
      <c r="CD909" s="49" t="str">
        <f t="shared" ref="CD909:CD972" si="5987">IF(CB909="","",IF(CC909&lt;0,SUBSTITUTE(TEXT(CC909,"000000000000,00"),",",""),SUBSTITUTE(TEXT(CC909,"0000000000000,00"),",","")))</f>
        <v/>
      </c>
      <c r="CE909" s="56" t="str">
        <f>IF(CF909="","",MAX(CE$10:$CE908)+1)</f>
        <v/>
      </c>
      <c r="CF909" t="str">
        <f t="shared" si="5591"/>
        <v/>
      </c>
      <c r="CG909" s="22" t="str">
        <f>IF(CH909="","",MAX($CG$10:CG908)+1)</f>
        <v/>
      </c>
      <c r="CH909" s="22" t="str">
        <f t="shared" si="5971"/>
        <v/>
      </c>
      <c r="CI909" s="22" t="str">
        <f>IF(CJ909="","",MAX($CI$10:CI908)+1)</f>
        <v/>
      </c>
      <c r="CJ909" s="22" t="str">
        <f t="shared" si="5972"/>
        <v/>
      </c>
    </row>
    <row r="910" spans="2:88" x14ac:dyDescent="0.25">
      <c r="B910" s="37"/>
      <c r="C910" s="3"/>
      <c r="D910" s="77" t="str">
        <f t="shared" si="5958"/>
        <v/>
      </c>
      <c r="E910" s="38"/>
      <c r="F910" s="38"/>
      <c r="G910" s="78">
        <f t="shared" si="5973"/>
        <v>0</v>
      </c>
      <c r="H910" s="3">
        <v>80</v>
      </c>
      <c r="I910" s="77" t="str">
        <f t="shared" si="5959"/>
        <v/>
      </c>
      <c r="J910" s="32"/>
      <c r="K910" s="3"/>
      <c r="L910" s="39"/>
      <c r="M910" s="39"/>
      <c r="N910" s="39"/>
      <c r="O910" s="39"/>
      <c r="P910" s="39"/>
      <c r="Q910" s="39"/>
      <c r="R910" s="39"/>
      <c r="S910" s="39"/>
      <c r="T910" s="3" t="s">
        <v>645</v>
      </c>
      <c r="U910" s="77" t="str">
        <f t="shared" si="5960"/>
        <v/>
      </c>
      <c r="V910" s="39">
        <v>1</v>
      </c>
      <c r="W910" s="79">
        <f t="shared" si="5974"/>
        <v>0</v>
      </c>
      <c r="X910" s="3">
        <v>0</v>
      </c>
      <c r="Y910" s="77" t="str">
        <f t="shared" si="5961"/>
        <v/>
      </c>
      <c r="Z910" s="3"/>
      <c r="AA910" s="37" t="str">
        <f t="shared" si="5975"/>
        <v/>
      </c>
      <c r="AC910" s="40"/>
      <c r="AD910" s="7"/>
      <c r="AE910" s="77" t="str">
        <f t="shared" si="5962"/>
        <v/>
      </c>
      <c r="AF910" s="81">
        <f t="shared" ref="AF910:AF973" si="5988">ROUND(AC910*AD910/100,2)</f>
        <v>0</v>
      </c>
      <c r="AG910" s="40"/>
      <c r="AH910" s="7"/>
      <c r="AI910" s="77" t="str">
        <f t="shared" si="5963"/>
        <v/>
      </c>
      <c r="AJ910" s="81">
        <f t="shared" ref="AJ910:AJ973" si="5989">ROUND(AG910*AH910/100,2)</f>
        <v>0</v>
      </c>
      <c r="AK910" s="83">
        <f t="shared" ref="AK910:AK973" si="5990">+AC910+AG910</f>
        <v>0</v>
      </c>
      <c r="AL910" s="83">
        <f t="shared" ref="AL910:AL973" si="5991">+AF910+AJ910</f>
        <v>0</v>
      </c>
      <c r="AN910" s="43">
        <f t="shared" si="5964"/>
        <v>0</v>
      </c>
      <c r="AP910" t="str">
        <f t="shared" ref="AP910:AP973" si="5992">IF(B910="","",TEXT(B910,$AP$8))</f>
        <v/>
      </c>
      <c r="AQ910" t="str">
        <f t="shared" ref="AQ910:AQ973" si="5993">IF(B910="","",IF(C910="","",TEXT(C910,"000")))</f>
        <v/>
      </c>
      <c r="AR910" t="str">
        <f t="shared" ref="AR910:AR973" si="5994">IF(B910="","",IF(E910="","00000",TEXT(RIGHT(E910,5),"00000")))</f>
        <v/>
      </c>
      <c r="AS910" t="str">
        <f t="shared" ref="AS910:AS973" si="5995">IF(B910="","",IF(F910="","00000000000000000000",TEXT(RIGHT(F910,20),"00000000000000000000")))</f>
        <v/>
      </c>
      <c r="AT910" t="str">
        <f t="shared" ref="AT910:AT973" si="5996">IF(B910="","",IF(G910="","00000000000000000000",TEXT(RIGHT(G910,20),"00000000000000000000")))</f>
        <v/>
      </c>
      <c r="AU910" t="str">
        <f t="shared" ref="AU910:AU973" si="5997">IF(B910="","",IF(C910="","",TEXT(RIGHT(H910,4),"00")))</f>
        <v/>
      </c>
      <c r="AV910" t="str">
        <f t="shared" ref="AV910:AV973" si="5998">IF(B910="","",TEXT(SUBSTITUTE(J910,"-",""),"00000000000000000000"))</f>
        <v/>
      </c>
      <c r="AW910" t="str">
        <f t="shared" ref="AW910:AW973" si="5999">IF(LEN(K910)&gt;30,LEFT(K910,30),K910&amp;REPT(" ",30-LEN(K910)))</f>
        <v xml:space="preserve">                              </v>
      </c>
      <c r="AX910" s="23">
        <f t="shared" ref="AX910:AX973" si="6000">IF(TRIM(L910)="",0,TRUNC(L910,2))</f>
        <v>0</v>
      </c>
      <c r="AY910" s="49" t="str">
        <f t="shared" si="5976"/>
        <v>000000000000000</v>
      </c>
      <c r="AZ910" s="23">
        <f t="shared" ref="AZ910:AZ973" si="6001">IF(TRIM(M910)="",0,TRUNC(M910,2))</f>
        <v>0</v>
      </c>
      <c r="BA910" s="49" t="str">
        <f t="shared" si="5976"/>
        <v>000000000000000</v>
      </c>
      <c r="BB910" s="23">
        <f t="shared" ref="BB910:BB973" si="6002">IF(TRIM(N910)="",0,TRUNC(N910,2))</f>
        <v>0</v>
      </c>
      <c r="BC910" s="49" t="str">
        <f t="shared" ref="BC910" si="6003">IF(BB910&lt;0,SUBSTITUTE(TEXT(BB910,"000000000000,00"),",",""),SUBSTITUTE(TEXT(BB910,"0000000000000,00"),",",""))</f>
        <v>000000000000000</v>
      </c>
      <c r="BD910" s="23">
        <f t="shared" ref="BD910:BD973" si="6004">IF(TRIM(O910)="",0,TRUNC(O910,2))</f>
        <v>0</v>
      </c>
      <c r="BE910" s="49" t="str">
        <f t="shared" ref="BE910" si="6005">IF(BD910&lt;0,SUBSTITUTE(TEXT(BD910,"000000000000,00"),",",""),SUBSTITUTE(TEXT(BD910,"0000000000000,00"),",",""))</f>
        <v>000000000000000</v>
      </c>
      <c r="BF910" s="23">
        <f t="shared" ref="BF910:BF973" si="6006">IF(TRIM(P910)="",0,TRUNC(P910,2))</f>
        <v>0</v>
      </c>
      <c r="BG910" s="49" t="str">
        <f t="shared" ref="BG910" si="6007">IF(BF910&lt;0,SUBSTITUTE(TEXT(BF910,"000000000000,00"),",",""),SUBSTITUTE(TEXT(BF910,"0000000000000,00"),",",""))</f>
        <v>000000000000000</v>
      </c>
      <c r="BH910" s="23">
        <f t="shared" ref="BH910:BH973" si="6008">IF(TRIM(Q910)="",0,TRUNC(Q910,2))</f>
        <v>0</v>
      </c>
      <c r="BI910" s="49" t="str">
        <f t="shared" ref="BI910" si="6009">IF(BH910&lt;0,SUBSTITUTE(TEXT(BH910,"000000000000,00"),",",""),SUBSTITUTE(TEXT(BH910,"0000000000000,00"),",",""))</f>
        <v>000000000000000</v>
      </c>
      <c r="BJ910" s="23">
        <f t="shared" ref="BJ910:BJ973" si="6010">IF(TRIM(R910)="",0,TRUNC(R910,2))</f>
        <v>0</v>
      </c>
      <c r="BK910" s="49" t="str">
        <f t="shared" ref="BK910" si="6011">IF(BJ910&lt;0,SUBSTITUTE(TEXT(BJ910,"000000000000,00"),",",""),SUBSTITUTE(TEXT(BJ910,"0000000000000,00"),",",""))</f>
        <v>000000000000000</v>
      </c>
      <c r="BL910" s="23">
        <f t="shared" ref="BL910:BL973" si="6012">IF(TRIM(S910)="",0,TRUNC(S910,2))</f>
        <v>0</v>
      </c>
      <c r="BM910" s="49" t="str">
        <f t="shared" ref="BM910" si="6013">IF(BL910&lt;0,SUBSTITUTE(TEXT(BL910,"000000000000,00"),",",""),SUBSTITUTE(TEXT(BL910,"0000000000000,00"),",",""))</f>
        <v>000000000000000</v>
      </c>
      <c r="BN910" t="str">
        <f t="shared" ref="BN910:BN973" si="6014">TEXT(T910,"000")</f>
        <v>PES</v>
      </c>
      <c r="BO910" t="str">
        <f t="shared" ref="BO910:BO973" si="6015">IF(V910&lt;0,SUBSTITUTE(TEXT(V910,"000,000000"),",",""),SUBSTITUTE(TEXT(V910,"0000,000000"),",",""))</f>
        <v>0001000000</v>
      </c>
      <c r="BP910">
        <f t="shared" ref="BP910:BP973" si="6016">W910</f>
        <v>0</v>
      </c>
      <c r="BQ910">
        <f t="shared" ref="BQ910:BQ973" si="6017">X910</f>
        <v>0</v>
      </c>
      <c r="BR910" s="23">
        <f t="shared" ref="BR910:BR973" si="6018">IF(TRIM(Z910)="",0,TRUNC(Z910,2))</f>
        <v>0</v>
      </c>
      <c r="BS910" s="49" t="str">
        <f t="shared" si="5983"/>
        <v>000000000000000</v>
      </c>
      <c r="BT910" t="str">
        <f t="shared" ref="BT910:BT973" si="6019">IF(AA910="","00000000",TEXT(AA910,$AP$8))</f>
        <v>00000000</v>
      </c>
      <c r="BU910" s="23">
        <f t="shared" ref="BU910:BU973" si="6020">IF(TRIM(AC910)="",0,TRUNC(AC910,2))</f>
        <v>0</v>
      </c>
      <c r="BV910" s="49" t="str">
        <f t="shared" si="5984"/>
        <v/>
      </c>
      <c r="BW910" s="52" t="str">
        <f t="shared" ref="BW910:BW973" si="6021">IF(AE910="","",TEXT(AE910,"0000"))</f>
        <v/>
      </c>
      <c r="BX910" s="23">
        <f t="shared" ref="BX910:BX973" si="6022">IF(TRIM(AF910)="",0,TRUNC(AF910,2))</f>
        <v>0</v>
      </c>
      <c r="BY910" s="49" t="str">
        <f t="shared" si="5985"/>
        <v/>
      </c>
      <c r="BZ910" s="23">
        <f t="shared" ref="BZ910:BZ973" si="6023">IF(TRIM(AG910)="",0,TRUNC(AG910,2))</f>
        <v>0</v>
      </c>
      <c r="CA910" s="49" t="str">
        <f t="shared" si="5986"/>
        <v/>
      </c>
      <c r="CB910" s="52" t="str">
        <f t="shared" ref="CB910:CB973" si="6024">IF(AI910="","",TEXT(AI910,"0000"))</f>
        <v/>
      </c>
      <c r="CC910" s="23">
        <f t="shared" ref="CC910:CC973" si="6025">IF(TRIM(AJ910)="",0,TRUNC(AJ910,2))</f>
        <v>0</v>
      </c>
      <c r="CD910" s="49" t="str">
        <f t="shared" si="5987"/>
        <v/>
      </c>
      <c r="CE910" s="56" t="str">
        <f>IF(CF910="","",MAX(CE$10:$CE909)+1)</f>
        <v/>
      </c>
      <c r="CF910" t="str">
        <f t="shared" ref="CF910:CF973" si="6026">IF(B910="","",AP910&amp;AQ910&amp;AR910&amp;AS910&amp;AT910&amp;AU910&amp;AV910&amp;AW910&amp;AY910&amp;BA910&amp;BC910&amp;BE910&amp;BG910&amp;BI910&amp;BK910&amp;BM910&amp;BN910&amp;BO910&amp;BP910&amp;BQ910&amp;BS910&amp;BT910)</f>
        <v/>
      </c>
      <c r="CG910" s="22" t="str">
        <f>IF(CH910="","",MAX($CG$10:CG909)+1)</f>
        <v/>
      </c>
      <c r="CH910" s="22" t="str">
        <f t="shared" si="5971"/>
        <v/>
      </c>
      <c r="CI910" s="22" t="str">
        <f>IF(CJ910="","",MAX($CI$10:CI909)+1)</f>
        <v/>
      </c>
      <c r="CJ910" s="22" t="str">
        <f t="shared" si="5972"/>
        <v/>
      </c>
    </row>
    <row r="911" spans="2:88" x14ac:dyDescent="0.25">
      <c r="B911" s="37"/>
      <c r="C911" s="3"/>
      <c r="D911" s="77" t="str">
        <f t="shared" si="5958"/>
        <v/>
      </c>
      <c r="E911" s="38"/>
      <c r="F911" s="38"/>
      <c r="G911" s="78">
        <f t="shared" si="5973"/>
        <v>0</v>
      </c>
      <c r="H911" s="3">
        <v>80</v>
      </c>
      <c r="I911" s="77" t="str">
        <f t="shared" si="5959"/>
        <v/>
      </c>
      <c r="J911" s="32"/>
      <c r="K911" s="3"/>
      <c r="L911" s="39"/>
      <c r="M911" s="39"/>
      <c r="N911" s="39"/>
      <c r="O911" s="39"/>
      <c r="P911" s="39"/>
      <c r="Q911" s="39"/>
      <c r="R911" s="39"/>
      <c r="S911" s="39"/>
      <c r="T911" s="3" t="s">
        <v>645</v>
      </c>
      <c r="U911" s="77" t="str">
        <f t="shared" si="5960"/>
        <v/>
      </c>
      <c r="V911" s="39">
        <v>1</v>
      </c>
      <c r="W911" s="79">
        <f t="shared" si="5974"/>
        <v>0</v>
      </c>
      <c r="X911" s="3">
        <v>0</v>
      </c>
      <c r="Y911" s="77" t="str">
        <f t="shared" si="5961"/>
        <v/>
      </c>
      <c r="Z911" s="3"/>
      <c r="AA911" s="37" t="str">
        <f t="shared" si="5975"/>
        <v/>
      </c>
      <c r="AC911" s="40"/>
      <c r="AD911" s="7"/>
      <c r="AE911" s="77" t="str">
        <f t="shared" si="5962"/>
        <v/>
      </c>
      <c r="AF911" s="81">
        <f t="shared" si="5988"/>
        <v>0</v>
      </c>
      <c r="AG911" s="40"/>
      <c r="AH911" s="7"/>
      <c r="AI911" s="77" t="str">
        <f t="shared" si="5963"/>
        <v/>
      </c>
      <c r="AJ911" s="81">
        <f t="shared" si="5989"/>
        <v>0</v>
      </c>
      <c r="AK911" s="83">
        <f t="shared" si="5990"/>
        <v>0</v>
      </c>
      <c r="AL911" s="83">
        <f t="shared" si="5991"/>
        <v>0</v>
      </c>
      <c r="AN911" s="43">
        <f t="shared" si="5964"/>
        <v>0</v>
      </c>
      <c r="AP911" t="str">
        <f t="shared" si="5992"/>
        <v/>
      </c>
      <c r="AQ911" t="str">
        <f t="shared" si="5993"/>
        <v/>
      </c>
      <c r="AR911" t="str">
        <f t="shared" si="5994"/>
        <v/>
      </c>
      <c r="AS911" t="str">
        <f t="shared" si="5995"/>
        <v/>
      </c>
      <c r="AT911" t="str">
        <f t="shared" si="5996"/>
        <v/>
      </c>
      <c r="AU911" t="str">
        <f t="shared" si="5997"/>
        <v/>
      </c>
      <c r="AV911" t="str">
        <f t="shared" si="5998"/>
        <v/>
      </c>
      <c r="AW911" t="str">
        <f t="shared" si="5999"/>
        <v xml:space="preserve">                              </v>
      </c>
      <c r="AX911" s="23">
        <f t="shared" si="6000"/>
        <v>0</v>
      </c>
      <c r="AY911" s="49" t="str">
        <f t="shared" si="5976"/>
        <v>000000000000000</v>
      </c>
      <c r="AZ911" s="23">
        <f t="shared" si="6001"/>
        <v>0</v>
      </c>
      <c r="BA911" s="49" t="str">
        <f t="shared" si="5976"/>
        <v>000000000000000</v>
      </c>
      <c r="BB911" s="23">
        <f t="shared" si="6002"/>
        <v>0</v>
      </c>
      <c r="BC911" s="49" t="str">
        <f t="shared" ref="BC911" si="6027">IF(BB911&lt;0,SUBSTITUTE(TEXT(BB911,"000000000000,00"),",",""),SUBSTITUTE(TEXT(BB911,"0000000000000,00"),",",""))</f>
        <v>000000000000000</v>
      </c>
      <c r="BD911" s="23">
        <f t="shared" si="6004"/>
        <v>0</v>
      </c>
      <c r="BE911" s="49" t="str">
        <f t="shared" ref="BE911" si="6028">IF(BD911&lt;0,SUBSTITUTE(TEXT(BD911,"000000000000,00"),",",""),SUBSTITUTE(TEXT(BD911,"0000000000000,00"),",",""))</f>
        <v>000000000000000</v>
      </c>
      <c r="BF911" s="23">
        <f t="shared" si="6006"/>
        <v>0</v>
      </c>
      <c r="BG911" s="49" t="str">
        <f t="shared" ref="BG911" si="6029">IF(BF911&lt;0,SUBSTITUTE(TEXT(BF911,"000000000000,00"),",",""),SUBSTITUTE(TEXT(BF911,"0000000000000,00"),",",""))</f>
        <v>000000000000000</v>
      </c>
      <c r="BH911" s="23">
        <f t="shared" si="6008"/>
        <v>0</v>
      </c>
      <c r="BI911" s="49" t="str">
        <f t="shared" ref="BI911" si="6030">IF(BH911&lt;0,SUBSTITUTE(TEXT(BH911,"000000000000,00"),",",""),SUBSTITUTE(TEXT(BH911,"0000000000000,00"),",",""))</f>
        <v>000000000000000</v>
      </c>
      <c r="BJ911" s="23">
        <f t="shared" si="6010"/>
        <v>0</v>
      </c>
      <c r="BK911" s="49" t="str">
        <f t="shared" ref="BK911" si="6031">IF(BJ911&lt;0,SUBSTITUTE(TEXT(BJ911,"000000000000,00"),",",""),SUBSTITUTE(TEXT(BJ911,"0000000000000,00"),",",""))</f>
        <v>000000000000000</v>
      </c>
      <c r="BL911" s="23">
        <f t="shared" si="6012"/>
        <v>0</v>
      </c>
      <c r="BM911" s="49" t="str">
        <f t="shared" ref="BM911" si="6032">IF(BL911&lt;0,SUBSTITUTE(TEXT(BL911,"000000000000,00"),",",""),SUBSTITUTE(TEXT(BL911,"0000000000000,00"),",",""))</f>
        <v>000000000000000</v>
      </c>
      <c r="BN911" t="str">
        <f t="shared" si="6014"/>
        <v>PES</v>
      </c>
      <c r="BO911" t="str">
        <f t="shared" si="6015"/>
        <v>0001000000</v>
      </c>
      <c r="BP911">
        <f t="shared" si="6016"/>
        <v>0</v>
      </c>
      <c r="BQ911">
        <f t="shared" si="6017"/>
        <v>0</v>
      </c>
      <c r="BR911" s="23">
        <f t="shared" si="6018"/>
        <v>0</v>
      </c>
      <c r="BS911" s="49" t="str">
        <f t="shared" si="5983"/>
        <v>000000000000000</v>
      </c>
      <c r="BT911" t="str">
        <f t="shared" si="6019"/>
        <v>00000000</v>
      </c>
      <c r="BU911" s="23">
        <f t="shared" si="6020"/>
        <v>0</v>
      </c>
      <c r="BV911" s="49" t="str">
        <f t="shared" si="5984"/>
        <v/>
      </c>
      <c r="BW911" s="52" t="str">
        <f t="shared" si="6021"/>
        <v/>
      </c>
      <c r="BX911" s="23">
        <f t="shared" si="6022"/>
        <v>0</v>
      </c>
      <c r="BY911" s="49" t="str">
        <f t="shared" si="5985"/>
        <v/>
      </c>
      <c r="BZ911" s="23">
        <f t="shared" si="6023"/>
        <v>0</v>
      </c>
      <c r="CA911" s="49" t="str">
        <f t="shared" si="5986"/>
        <v/>
      </c>
      <c r="CB911" s="52" t="str">
        <f t="shared" si="6024"/>
        <v/>
      </c>
      <c r="CC911" s="23">
        <f t="shared" si="6025"/>
        <v>0</v>
      </c>
      <c r="CD911" s="49" t="str">
        <f t="shared" si="5987"/>
        <v/>
      </c>
      <c r="CE911" s="56" t="str">
        <f>IF(CF911="","",MAX(CE$10:$CE910)+1)</f>
        <v/>
      </c>
      <c r="CF911" t="str">
        <f t="shared" si="6026"/>
        <v/>
      </c>
      <c r="CG911" s="22" t="str">
        <f>IF(CH911="","",MAX($CG$10:CG910)+1)</f>
        <v/>
      </c>
      <c r="CH911" s="22" t="str">
        <f t="shared" si="5971"/>
        <v/>
      </c>
      <c r="CI911" s="22" t="str">
        <f>IF(CJ911="","",MAX($CI$10:CI910)+1)</f>
        <v/>
      </c>
      <c r="CJ911" s="22" t="str">
        <f t="shared" si="5972"/>
        <v/>
      </c>
    </row>
    <row r="912" spans="2:88" x14ac:dyDescent="0.25">
      <c r="B912" s="37"/>
      <c r="C912" s="3"/>
      <c r="D912" s="77" t="str">
        <f t="shared" si="5958"/>
        <v/>
      </c>
      <c r="E912" s="38"/>
      <c r="F912" s="38"/>
      <c r="G912" s="78">
        <f t="shared" si="5973"/>
        <v>0</v>
      </c>
      <c r="H912" s="3">
        <v>80</v>
      </c>
      <c r="I912" s="77" t="str">
        <f t="shared" si="5959"/>
        <v/>
      </c>
      <c r="J912" s="32"/>
      <c r="K912" s="3"/>
      <c r="L912" s="39"/>
      <c r="M912" s="39"/>
      <c r="N912" s="39"/>
      <c r="O912" s="39"/>
      <c r="P912" s="39"/>
      <c r="Q912" s="39"/>
      <c r="R912" s="39"/>
      <c r="S912" s="39"/>
      <c r="T912" s="3" t="s">
        <v>645</v>
      </c>
      <c r="U912" s="77" t="str">
        <f t="shared" si="5960"/>
        <v/>
      </c>
      <c r="V912" s="39">
        <v>1</v>
      </c>
      <c r="W912" s="79">
        <f t="shared" si="5974"/>
        <v>0</v>
      </c>
      <c r="X912" s="3">
        <v>0</v>
      </c>
      <c r="Y912" s="77" t="str">
        <f t="shared" si="5961"/>
        <v/>
      </c>
      <c r="Z912" s="3"/>
      <c r="AA912" s="37" t="str">
        <f t="shared" si="5975"/>
        <v/>
      </c>
      <c r="AC912" s="40"/>
      <c r="AD912" s="7"/>
      <c r="AE912" s="77" t="str">
        <f t="shared" si="5962"/>
        <v/>
      </c>
      <c r="AF912" s="81">
        <f t="shared" si="5988"/>
        <v>0</v>
      </c>
      <c r="AG912" s="40"/>
      <c r="AH912" s="7"/>
      <c r="AI912" s="77" t="str">
        <f t="shared" si="5963"/>
        <v/>
      </c>
      <c r="AJ912" s="81">
        <f t="shared" si="5989"/>
        <v>0</v>
      </c>
      <c r="AK912" s="83">
        <f t="shared" si="5990"/>
        <v>0</v>
      </c>
      <c r="AL912" s="83">
        <f t="shared" si="5991"/>
        <v>0</v>
      </c>
      <c r="AN912" s="43">
        <f t="shared" si="5964"/>
        <v>0</v>
      </c>
      <c r="AP912" t="str">
        <f t="shared" si="5992"/>
        <v/>
      </c>
      <c r="AQ912" t="str">
        <f t="shared" si="5993"/>
        <v/>
      </c>
      <c r="AR912" t="str">
        <f t="shared" si="5994"/>
        <v/>
      </c>
      <c r="AS912" t="str">
        <f t="shared" si="5995"/>
        <v/>
      </c>
      <c r="AT912" t="str">
        <f t="shared" si="5996"/>
        <v/>
      </c>
      <c r="AU912" t="str">
        <f t="shared" si="5997"/>
        <v/>
      </c>
      <c r="AV912" t="str">
        <f t="shared" si="5998"/>
        <v/>
      </c>
      <c r="AW912" t="str">
        <f t="shared" si="5999"/>
        <v xml:space="preserve">                              </v>
      </c>
      <c r="AX912" s="23">
        <f t="shared" si="6000"/>
        <v>0</v>
      </c>
      <c r="AY912" s="49" t="str">
        <f t="shared" si="5976"/>
        <v>000000000000000</v>
      </c>
      <c r="AZ912" s="23">
        <f t="shared" si="6001"/>
        <v>0</v>
      </c>
      <c r="BA912" s="49" t="str">
        <f t="shared" si="5976"/>
        <v>000000000000000</v>
      </c>
      <c r="BB912" s="23">
        <f t="shared" si="6002"/>
        <v>0</v>
      </c>
      <c r="BC912" s="49" t="str">
        <f t="shared" ref="BC912" si="6033">IF(BB912&lt;0,SUBSTITUTE(TEXT(BB912,"000000000000,00"),",",""),SUBSTITUTE(TEXT(BB912,"0000000000000,00"),",",""))</f>
        <v>000000000000000</v>
      </c>
      <c r="BD912" s="23">
        <f t="shared" si="6004"/>
        <v>0</v>
      </c>
      <c r="BE912" s="49" t="str">
        <f t="shared" ref="BE912" si="6034">IF(BD912&lt;0,SUBSTITUTE(TEXT(BD912,"000000000000,00"),",",""),SUBSTITUTE(TEXT(BD912,"0000000000000,00"),",",""))</f>
        <v>000000000000000</v>
      </c>
      <c r="BF912" s="23">
        <f t="shared" si="6006"/>
        <v>0</v>
      </c>
      <c r="BG912" s="49" t="str">
        <f t="shared" ref="BG912" si="6035">IF(BF912&lt;0,SUBSTITUTE(TEXT(BF912,"000000000000,00"),",",""),SUBSTITUTE(TEXT(BF912,"0000000000000,00"),",",""))</f>
        <v>000000000000000</v>
      </c>
      <c r="BH912" s="23">
        <f t="shared" si="6008"/>
        <v>0</v>
      </c>
      <c r="BI912" s="49" t="str">
        <f t="shared" ref="BI912" si="6036">IF(BH912&lt;0,SUBSTITUTE(TEXT(BH912,"000000000000,00"),",",""),SUBSTITUTE(TEXT(BH912,"0000000000000,00"),",",""))</f>
        <v>000000000000000</v>
      </c>
      <c r="BJ912" s="23">
        <f t="shared" si="6010"/>
        <v>0</v>
      </c>
      <c r="BK912" s="49" t="str">
        <f t="shared" ref="BK912" si="6037">IF(BJ912&lt;0,SUBSTITUTE(TEXT(BJ912,"000000000000,00"),",",""),SUBSTITUTE(TEXT(BJ912,"0000000000000,00"),",",""))</f>
        <v>000000000000000</v>
      </c>
      <c r="BL912" s="23">
        <f t="shared" si="6012"/>
        <v>0</v>
      </c>
      <c r="BM912" s="49" t="str">
        <f t="shared" ref="BM912" si="6038">IF(BL912&lt;0,SUBSTITUTE(TEXT(BL912,"000000000000,00"),",",""),SUBSTITUTE(TEXT(BL912,"0000000000000,00"),",",""))</f>
        <v>000000000000000</v>
      </c>
      <c r="BN912" t="str">
        <f t="shared" si="6014"/>
        <v>PES</v>
      </c>
      <c r="BO912" t="str">
        <f t="shared" si="6015"/>
        <v>0001000000</v>
      </c>
      <c r="BP912">
        <f t="shared" si="6016"/>
        <v>0</v>
      </c>
      <c r="BQ912">
        <f t="shared" si="6017"/>
        <v>0</v>
      </c>
      <c r="BR912" s="23">
        <f t="shared" si="6018"/>
        <v>0</v>
      </c>
      <c r="BS912" s="49" t="str">
        <f t="shared" si="5983"/>
        <v>000000000000000</v>
      </c>
      <c r="BT912" t="str">
        <f t="shared" si="6019"/>
        <v>00000000</v>
      </c>
      <c r="BU912" s="23">
        <f t="shared" si="6020"/>
        <v>0</v>
      </c>
      <c r="BV912" s="49" t="str">
        <f t="shared" si="5984"/>
        <v/>
      </c>
      <c r="BW912" s="52" t="str">
        <f t="shared" si="6021"/>
        <v/>
      </c>
      <c r="BX912" s="23">
        <f t="shared" si="6022"/>
        <v>0</v>
      </c>
      <c r="BY912" s="49" t="str">
        <f t="shared" si="5985"/>
        <v/>
      </c>
      <c r="BZ912" s="23">
        <f t="shared" si="6023"/>
        <v>0</v>
      </c>
      <c r="CA912" s="49" t="str">
        <f t="shared" si="5986"/>
        <v/>
      </c>
      <c r="CB912" s="52" t="str">
        <f t="shared" si="6024"/>
        <v/>
      </c>
      <c r="CC912" s="23">
        <f t="shared" si="6025"/>
        <v>0</v>
      </c>
      <c r="CD912" s="49" t="str">
        <f t="shared" si="5987"/>
        <v/>
      </c>
      <c r="CE912" s="56" t="str">
        <f>IF(CF912="","",MAX(CE$10:$CE911)+1)</f>
        <v/>
      </c>
      <c r="CF912" t="str">
        <f t="shared" si="6026"/>
        <v/>
      </c>
      <c r="CG912" s="22" t="str">
        <f>IF(CH912="","",MAX($CG$10:CG911)+1)</f>
        <v/>
      </c>
      <c r="CH912" s="22" t="str">
        <f t="shared" si="5971"/>
        <v/>
      </c>
      <c r="CI912" s="22" t="str">
        <f>IF(CJ912="","",MAX($CI$10:CI911)+1)</f>
        <v/>
      </c>
      <c r="CJ912" s="22" t="str">
        <f t="shared" si="5972"/>
        <v/>
      </c>
    </row>
    <row r="913" spans="2:88" x14ac:dyDescent="0.25">
      <c r="B913" s="37"/>
      <c r="C913" s="3"/>
      <c r="D913" s="77" t="str">
        <f t="shared" si="5958"/>
        <v/>
      </c>
      <c r="E913" s="38"/>
      <c r="F913" s="38"/>
      <c r="G913" s="78">
        <f t="shared" si="5973"/>
        <v>0</v>
      </c>
      <c r="H913" s="3">
        <v>80</v>
      </c>
      <c r="I913" s="77" t="str">
        <f t="shared" si="5959"/>
        <v/>
      </c>
      <c r="J913" s="32"/>
      <c r="K913" s="3"/>
      <c r="L913" s="39"/>
      <c r="M913" s="39"/>
      <c r="N913" s="39"/>
      <c r="O913" s="39"/>
      <c r="P913" s="39"/>
      <c r="Q913" s="39"/>
      <c r="R913" s="39"/>
      <c r="S913" s="39"/>
      <c r="T913" s="3" t="s">
        <v>645</v>
      </c>
      <c r="U913" s="77" t="str">
        <f t="shared" si="5960"/>
        <v/>
      </c>
      <c r="V913" s="39">
        <v>1</v>
      </c>
      <c r="W913" s="79">
        <f t="shared" si="5974"/>
        <v>0</v>
      </c>
      <c r="X913" s="3">
        <v>0</v>
      </c>
      <c r="Y913" s="77" t="str">
        <f t="shared" si="5961"/>
        <v/>
      </c>
      <c r="Z913" s="3"/>
      <c r="AA913" s="37" t="str">
        <f t="shared" si="5975"/>
        <v/>
      </c>
      <c r="AC913" s="40"/>
      <c r="AD913" s="7"/>
      <c r="AE913" s="77" t="str">
        <f t="shared" si="5962"/>
        <v/>
      </c>
      <c r="AF913" s="81">
        <f t="shared" si="5988"/>
        <v>0</v>
      </c>
      <c r="AG913" s="40"/>
      <c r="AH913" s="7"/>
      <c r="AI913" s="77" t="str">
        <f t="shared" si="5963"/>
        <v/>
      </c>
      <c r="AJ913" s="81">
        <f t="shared" si="5989"/>
        <v>0</v>
      </c>
      <c r="AK913" s="83">
        <f t="shared" si="5990"/>
        <v>0</v>
      </c>
      <c r="AL913" s="83">
        <f t="shared" si="5991"/>
        <v>0</v>
      </c>
      <c r="AN913" s="43">
        <f t="shared" si="5964"/>
        <v>0</v>
      </c>
      <c r="AP913" t="str">
        <f t="shared" si="5992"/>
        <v/>
      </c>
      <c r="AQ913" t="str">
        <f t="shared" si="5993"/>
        <v/>
      </c>
      <c r="AR913" t="str">
        <f t="shared" si="5994"/>
        <v/>
      </c>
      <c r="AS913" t="str">
        <f t="shared" si="5995"/>
        <v/>
      </c>
      <c r="AT913" t="str">
        <f t="shared" si="5996"/>
        <v/>
      </c>
      <c r="AU913" t="str">
        <f t="shared" si="5997"/>
        <v/>
      </c>
      <c r="AV913" t="str">
        <f t="shared" si="5998"/>
        <v/>
      </c>
      <c r="AW913" t="str">
        <f t="shared" si="5999"/>
        <v xml:space="preserve">                              </v>
      </c>
      <c r="AX913" s="23">
        <f t="shared" si="6000"/>
        <v>0</v>
      </c>
      <c r="AY913" s="49" t="str">
        <f t="shared" si="5976"/>
        <v>000000000000000</v>
      </c>
      <c r="AZ913" s="23">
        <f t="shared" si="6001"/>
        <v>0</v>
      </c>
      <c r="BA913" s="49" t="str">
        <f t="shared" si="5976"/>
        <v>000000000000000</v>
      </c>
      <c r="BB913" s="23">
        <f t="shared" si="6002"/>
        <v>0</v>
      </c>
      <c r="BC913" s="49" t="str">
        <f t="shared" ref="BC913" si="6039">IF(BB913&lt;0,SUBSTITUTE(TEXT(BB913,"000000000000,00"),",",""),SUBSTITUTE(TEXT(BB913,"0000000000000,00"),",",""))</f>
        <v>000000000000000</v>
      </c>
      <c r="BD913" s="23">
        <f t="shared" si="6004"/>
        <v>0</v>
      </c>
      <c r="BE913" s="49" t="str">
        <f t="shared" ref="BE913" si="6040">IF(BD913&lt;0,SUBSTITUTE(TEXT(BD913,"000000000000,00"),",",""),SUBSTITUTE(TEXT(BD913,"0000000000000,00"),",",""))</f>
        <v>000000000000000</v>
      </c>
      <c r="BF913" s="23">
        <f t="shared" si="6006"/>
        <v>0</v>
      </c>
      <c r="BG913" s="49" t="str">
        <f t="shared" ref="BG913" si="6041">IF(BF913&lt;0,SUBSTITUTE(TEXT(BF913,"000000000000,00"),",",""),SUBSTITUTE(TEXT(BF913,"0000000000000,00"),",",""))</f>
        <v>000000000000000</v>
      </c>
      <c r="BH913" s="23">
        <f t="shared" si="6008"/>
        <v>0</v>
      </c>
      <c r="BI913" s="49" t="str">
        <f t="shared" ref="BI913" si="6042">IF(BH913&lt;0,SUBSTITUTE(TEXT(BH913,"000000000000,00"),",",""),SUBSTITUTE(TEXT(BH913,"0000000000000,00"),",",""))</f>
        <v>000000000000000</v>
      </c>
      <c r="BJ913" s="23">
        <f t="shared" si="6010"/>
        <v>0</v>
      </c>
      <c r="BK913" s="49" t="str">
        <f t="shared" ref="BK913" si="6043">IF(BJ913&lt;0,SUBSTITUTE(TEXT(BJ913,"000000000000,00"),",",""),SUBSTITUTE(TEXT(BJ913,"0000000000000,00"),",",""))</f>
        <v>000000000000000</v>
      </c>
      <c r="BL913" s="23">
        <f t="shared" si="6012"/>
        <v>0</v>
      </c>
      <c r="BM913" s="49" t="str">
        <f t="shared" ref="BM913" si="6044">IF(BL913&lt;0,SUBSTITUTE(TEXT(BL913,"000000000000,00"),",",""),SUBSTITUTE(TEXT(BL913,"0000000000000,00"),",",""))</f>
        <v>000000000000000</v>
      </c>
      <c r="BN913" t="str">
        <f t="shared" si="6014"/>
        <v>PES</v>
      </c>
      <c r="BO913" t="str">
        <f t="shared" si="6015"/>
        <v>0001000000</v>
      </c>
      <c r="BP913">
        <f t="shared" si="6016"/>
        <v>0</v>
      </c>
      <c r="BQ913">
        <f t="shared" si="6017"/>
        <v>0</v>
      </c>
      <c r="BR913" s="23">
        <f t="shared" si="6018"/>
        <v>0</v>
      </c>
      <c r="BS913" s="49" t="str">
        <f t="shared" si="5983"/>
        <v>000000000000000</v>
      </c>
      <c r="BT913" t="str">
        <f t="shared" si="6019"/>
        <v>00000000</v>
      </c>
      <c r="BU913" s="23">
        <f t="shared" si="6020"/>
        <v>0</v>
      </c>
      <c r="BV913" s="49" t="str">
        <f t="shared" si="5984"/>
        <v/>
      </c>
      <c r="BW913" s="52" t="str">
        <f t="shared" si="6021"/>
        <v/>
      </c>
      <c r="BX913" s="23">
        <f t="shared" si="6022"/>
        <v>0</v>
      </c>
      <c r="BY913" s="49" t="str">
        <f t="shared" si="5985"/>
        <v/>
      </c>
      <c r="BZ913" s="23">
        <f t="shared" si="6023"/>
        <v>0</v>
      </c>
      <c r="CA913" s="49" t="str">
        <f t="shared" si="5986"/>
        <v/>
      </c>
      <c r="CB913" s="52" t="str">
        <f t="shared" si="6024"/>
        <v/>
      </c>
      <c r="CC913" s="23">
        <f t="shared" si="6025"/>
        <v>0</v>
      </c>
      <c r="CD913" s="49" t="str">
        <f t="shared" si="5987"/>
        <v/>
      </c>
      <c r="CE913" s="56" t="str">
        <f>IF(CF913="","",MAX(CE$10:$CE912)+1)</f>
        <v/>
      </c>
      <c r="CF913" t="str">
        <f t="shared" si="6026"/>
        <v/>
      </c>
      <c r="CG913" s="22" t="str">
        <f>IF(CH913="","",MAX($CG$10:CG912)+1)</f>
        <v/>
      </c>
      <c r="CH913" s="22" t="str">
        <f t="shared" si="5971"/>
        <v/>
      </c>
      <c r="CI913" s="22" t="str">
        <f>IF(CJ913="","",MAX($CI$10:CI912)+1)</f>
        <v/>
      </c>
      <c r="CJ913" s="22" t="str">
        <f t="shared" si="5972"/>
        <v/>
      </c>
    </row>
    <row r="914" spans="2:88" x14ac:dyDescent="0.25">
      <c r="B914" s="37"/>
      <c r="C914" s="3"/>
      <c r="D914" s="77" t="str">
        <f t="shared" si="5958"/>
        <v/>
      </c>
      <c r="E914" s="38"/>
      <c r="F914" s="38"/>
      <c r="G914" s="78">
        <f t="shared" si="5973"/>
        <v>0</v>
      </c>
      <c r="H914" s="3">
        <v>80</v>
      </c>
      <c r="I914" s="77" t="str">
        <f t="shared" si="5959"/>
        <v/>
      </c>
      <c r="J914" s="32"/>
      <c r="K914" s="3"/>
      <c r="L914" s="39"/>
      <c r="M914" s="39"/>
      <c r="N914" s="39"/>
      <c r="O914" s="39"/>
      <c r="P914" s="39"/>
      <c r="Q914" s="39"/>
      <c r="R914" s="39"/>
      <c r="S914" s="39"/>
      <c r="T914" s="3" t="s">
        <v>645</v>
      </c>
      <c r="U914" s="77" t="str">
        <f t="shared" si="5960"/>
        <v/>
      </c>
      <c r="V914" s="39">
        <v>1</v>
      </c>
      <c r="W914" s="79">
        <f t="shared" si="5974"/>
        <v>0</v>
      </c>
      <c r="X914" s="3">
        <v>0</v>
      </c>
      <c r="Y914" s="77" t="str">
        <f t="shared" si="5961"/>
        <v/>
      </c>
      <c r="Z914" s="3"/>
      <c r="AA914" s="37" t="str">
        <f t="shared" si="5975"/>
        <v/>
      </c>
      <c r="AC914" s="40"/>
      <c r="AD914" s="7"/>
      <c r="AE914" s="77" t="str">
        <f t="shared" si="5962"/>
        <v/>
      </c>
      <c r="AF914" s="81">
        <f t="shared" si="5988"/>
        <v>0</v>
      </c>
      <c r="AG914" s="40"/>
      <c r="AH914" s="7"/>
      <c r="AI914" s="77" t="str">
        <f t="shared" si="5963"/>
        <v/>
      </c>
      <c r="AJ914" s="81">
        <f t="shared" si="5989"/>
        <v>0</v>
      </c>
      <c r="AK914" s="83">
        <f t="shared" si="5990"/>
        <v>0</v>
      </c>
      <c r="AL914" s="83">
        <f t="shared" si="5991"/>
        <v>0</v>
      </c>
      <c r="AN914" s="43">
        <f t="shared" si="5964"/>
        <v>0</v>
      </c>
      <c r="AP914" t="str">
        <f t="shared" si="5992"/>
        <v/>
      </c>
      <c r="AQ914" t="str">
        <f t="shared" si="5993"/>
        <v/>
      </c>
      <c r="AR914" t="str">
        <f t="shared" si="5994"/>
        <v/>
      </c>
      <c r="AS914" t="str">
        <f t="shared" si="5995"/>
        <v/>
      </c>
      <c r="AT914" t="str">
        <f t="shared" si="5996"/>
        <v/>
      </c>
      <c r="AU914" t="str">
        <f t="shared" si="5997"/>
        <v/>
      </c>
      <c r="AV914" t="str">
        <f t="shared" si="5998"/>
        <v/>
      </c>
      <c r="AW914" t="str">
        <f t="shared" si="5999"/>
        <v xml:space="preserve">                              </v>
      </c>
      <c r="AX914" s="23">
        <f t="shared" si="6000"/>
        <v>0</v>
      </c>
      <c r="AY914" s="49" t="str">
        <f t="shared" si="5976"/>
        <v>000000000000000</v>
      </c>
      <c r="AZ914" s="23">
        <f t="shared" si="6001"/>
        <v>0</v>
      </c>
      <c r="BA914" s="49" t="str">
        <f t="shared" si="5976"/>
        <v>000000000000000</v>
      </c>
      <c r="BB914" s="23">
        <f t="shared" si="6002"/>
        <v>0</v>
      </c>
      <c r="BC914" s="49" t="str">
        <f t="shared" ref="BC914" si="6045">IF(BB914&lt;0,SUBSTITUTE(TEXT(BB914,"000000000000,00"),",",""),SUBSTITUTE(TEXT(BB914,"0000000000000,00"),",",""))</f>
        <v>000000000000000</v>
      </c>
      <c r="BD914" s="23">
        <f t="shared" si="6004"/>
        <v>0</v>
      </c>
      <c r="BE914" s="49" t="str">
        <f t="shared" ref="BE914" si="6046">IF(BD914&lt;0,SUBSTITUTE(TEXT(BD914,"000000000000,00"),",",""),SUBSTITUTE(TEXT(BD914,"0000000000000,00"),",",""))</f>
        <v>000000000000000</v>
      </c>
      <c r="BF914" s="23">
        <f t="shared" si="6006"/>
        <v>0</v>
      </c>
      <c r="BG914" s="49" t="str">
        <f t="shared" ref="BG914" si="6047">IF(BF914&lt;0,SUBSTITUTE(TEXT(BF914,"000000000000,00"),",",""),SUBSTITUTE(TEXT(BF914,"0000000000000,00"),",",""))</f>
        <v>000000000000000</v>
      </c>
      <c r="BH914" s="23">
        <f t="shared" si="6008"/>
        <v>0</v>
      </c>
      <c r="BI914" s="49" t="str">
        <f t="shared" ref="BI914" si="6048">IF(BH914&lt;0,SUBSTITUTE(TEXT(BH914,"000000000000,00"),",",""),SUBSTITUTE(TEXT(BH914,"0000000000000,00"),",",""))</f>
        <v>000000000000000</v>
      </c>
      <c r="BJ914" s="23">
        <f t="shared" si="6010"/>
        <v>0</v>
      </c>
      <c r="BK914" s="49" t="str">
        <f t="shared" ref="BK914" si="6049">IF(BJ914&lt;0,SUBSTITUTE(TEXT(BJ914,"000000000000,00"),",",""),SUBSTITUTE(TEXT(BJ914,"0000000000000,00"),",",""))</f>
        <v>000000000000000</v>
      </c>
      <c r="BL914" s="23">
        <f t="shared" si="6012"/>
        <v>0</v>
      </c>
      <c r="BM914" s="49" t="str">
        <f t="shared" ref="BM914" si="6050">IF(BL914&lt;0,SUBSTITUTE(TEXT(BL914,"000000000000,00"),",",""),SUBSTITUTE(TEXT(BL914,"0000000000000,00"),",",""))</f>
        <v>000000000000000</v>
      </c>
      <c r="BN914" t="str">
        <f t="shared" si="6014"/>
        <v>PES</v>
      </c>
      <c r="BO914" t="str">
        <f t="shared" si="6015"/>
        <v>0001000000</v>
      </c>
      <c r="BP914">
        <f t="shared" si="6016"/>
        <v>0</v>
      </c>
      <c r="BQ914">
        <f t="shared" si="6017"/>
        <v>0</v>
      </c>
      <c r="BR914" s="23">
        <f t="shared" si="6018"/>
        <v>0</v>
      </c>
      <c r="BS914" s="49" t="str">
        <f t="shared" si="5983"/>
        <v>000000000000000</v>
      </c>
      <c r="BT914" t="str">
        <f t="shared" si="6019"/>
        <v>00000000</v>
      </c>
      <c r="BU914" s="23">
        <f t="shared" si="6020"/>
        <v>0</v>
      </c>
      <c r="BV914" s="49" t="str">
        <f t="shared" si="5984"/>
        <v/>
      </c>
      <c r="BW914" s="52" t="str">
        <f t="shared" si="6021"/>
        <v/>
      </c>
      <c r="BX914" s="23">
        <f t="shared" si="6022"/>
        <v>0</v>
      </c>
      <c r="BY914" s="49" t="str">
        <f t="shared" si="5985"/>
        <v/>
      </c>
      <c r="BZ914" s="23">
        <f t="shared" si="6023"/>
        <v>0</v>
      </c>
      <c r="CA914" s="49" t="str">
        <f t="shared" si="5986"/>
        <v/>
      </c>
      <c r="CB914" s="52" t="str">
        <f t="shared" si="6024"/>
        <v/>
      </c>
      <c r="CC914" s="23">
        <f t="shared" si="6025"/>
        <v>0</v>
      </c>
      <c r="CD914" s="49" t="str">
        <f t="shared" si="5987"/>
        <v/>
      </c>
      <c r="CE914" s="56" t="str">
        <f>IF(CF914="","",MAX(CE$10:$CE913)+1)</f>
        <v/>
      </c>
      <c r="CF914" t="str">
        <f t="shared" si="6026"/>
        <v/>
      </c>
      <c r="CG914" s="22" t="str">
        <f>IF(CH914="","",MAX($CG$10:CG913)+1)</f>
        <v/>
      </c>
      <c r="CH914" s="22" t="str">
        <f t="shared" si="5971"/>
        <v/>
      </c>
      <c r="CI914" s="22" t="str">
        <f>IF(CJ914="","",MAX($CI$10:CI913)+1)</f>
        <v/>
      </c>
      <c r="CJ914" s="22" t="str">
        <f t="shared" si="5972"/>
        <v/>
      </c>
    </row>
    <row r="915" spans="2:88" x14ac:dyDescent="0.25">
      <c r="B915" s="37"/>
      <c r="C915" s="3"/>
      <c r="D915" s="77" t="str">
        <f t="shared" si="5958"/>
        <v/>
      </c>
      <c r="E915" s="38"/>
      <c r="F915" s="38"/>
      <c r="G915" s="78">
        <f t="shared" si="5973"/>
        <v>0</v>
      </c>
      <c r="H915" s="3">
        <v>80</v>
      </c>
      <c r="I915" s="77" t="str">
        <f t="shared" si="5959"/>
        <v/>
      </c>
      <c r="J915" s="32"/>
      <c r="K915" s="3"/>
      <c r="L915" s="39"/>
      <c r="M915" s="39"/>
      <c r="N915" s="39"/>
      <c r="O915" s="39"/>
      <c r="P915" s="39"/>
      <c r="Q915" s="39"/>
      <c r="R915" s="39"/>
      <c r="S915" s="39"/>
      <c r="T915" s="3" t="s">
        <v>645</v>
      </c>
      <c r="U915" s="77" t="str">
        <f t="shared" si="5960"/>
        <v/>
      </c>
      <c r="V915" s="39">
        <v>1</v>
      </c>
      <c r="W915" s="79">
        <f t="shared" si="5974"/>
        <v>0</v>
      </c>
      <c r="X915" s="3">
        <v>0</v>
      </c>
      <c r="Y915" s="77" t="str">
        <f t="shared" si="5961"/>
        <v/>
      </c>
      <c r="Z915" s="3"/>
      <c r="AA915" s="37" t="str">
        <f t="shared" si="5975"/>
        <v/>
      </c>
      <c r="AC915" s="40"/>
      <c r="AD915" s="7"/>
      <c r="AE915" s="77" t="str">
        <f t="shared" si="5962"/>
        <v/>
      </c>
      <c r="AF915" s="81">
        <f t="shared" si="5988"/>
        <v>0</v>
      </c>
      <c r="AG915" s="40"/>
      <c r="AH915" s="7"/>
      <c r="AI915" s="77" t="str">
        <f t="shared" si="5963"/>
        <v/>
      </c>
      <c r="AJ915" s="81">
        <f t="shared" si="5989"/>
        <v>0</v>
      </c>
      <c r="AK915" s="83">
        <f t="shared" si="5990"/>
        <v>0</v>
      </c>
      <c r="AL915" s="83">
        <f t="shared" si="5991"/>
        <v>0</v>
      </c>
      <c r="AN915" s="43">
        <f t="shared" si="5964"/>
        <v>0</v>
      </c>
      <c r="AP915" t="str">
        <f t="shared" si="5992"/>
        <v/>
      </c>
      <c r="AQ915" t="str">
        <f t="shared" si="5993"/>
        <v/>
      </c>
      <c r="AR915" t="str">
        <f t="shared" si="5994"/>
        <v/>
      </c>
      <c r="AS915" t="str">
        <f t="shared" si="5995"/>
        <v/>
      </c>
      <c r="AT915" t="str">
        <f t="shared" si="5996"/>
        <v/>
      </c>
      <c r="AU915" t="str">
        <f t="shared" si="5997"/>
        <v/>
      </c>
      <c r="AV915" t="str">
        <f t="shared" si="5998"/>
        <v/>
      </c>
      <c r="AW915" t="str">
        <f t="shared" si="5999"/>
        <v xml:space="preserve">                              </v>
      </c>
      <c r="AX915" s="23">
        <f t="shared" si="6000"/>
        <v>0</v>
      </c>
      <c r="AY915" s="49" t="str">
        <f t="shared" si="5976"/>
        <v>000000000000000</v>
      </c>
      <c r="AZ915" s="23">
        <f t="shared" si="6001"/>
        <v>0</v>
      </c>
      <c r="BA915" s="49" t="str">
        <f t="shared" si="5976"/>
        <v>000000000000000</v>
      </c>
      <c r="BB915" s="23">
        <f t="shared" si="6002"/>
        <v>0</v>
      </c>
      <c r="BC915" s="49" t="str">
        <f t="shared" ref="BC915" si="6051">IF(BB915&lt;0,SUBSTITUTE(TEXT(BB915,"000000000000,00"),",",""),SUBSTITUTE(TEXT(BB915,"0000000000000,00"),",",""))</f>
        <v>000000000000000</v>
      </c>
      <c r="BD915" s="23">
        <f t="shared" si="6004"/>
        <v>0</v>
      </c>
      <c r="BE915" s="49" t="str">
        <f t="shared" ref="BE915" si="6052">IF(BD915&lt;0,SUBSTITUTE(TEXT(BD915,"000000000000,00"),",",""),SUBSTITUTE(TEXT(BD915,"0000000000000,00"),",",""))</f>
        <v>000000000000000</v>
      </c>
      <c r="BF915" s="23">
        <f t="shared" si="6006"/>
        <v>0</v>
      </c>
      <c r="BG915" s="49" t="str">
        <f t="shared" ref="BG915" si="6053">IF(BF915&lt;0,SUBSTITUTE(TEXT(BF915,"000000000000,00"),",",""),SUBSTITUTE(TEXT(BF915,"0000000000000,00"),",",""))</f>
        <v>000000000000000</v>
      </c>
      <c r="BH915" s="23">
        <f t="shared" si="6008"/>
        <v>0</v>
      </c>
      <c r="BI915" s="49" t="str">
        <f t="shared" ref="BI915" si="6054">IF(BH915&lt;0,SUBSTITUTE(TEXT(BH915,"000000000000,00"),",",""),SUBSTITUTE(TEXT(BH915,"0000000000000,00"),",",""))</f>
        <v>000000000000000</v>
      </c>
      <c r="BJ915" s="23">
        <f t="shared" si="6010"/>
        <v>0</v>
      </c>
      <c r="BK915" s="49" t="str">
        <f t="shared" ref="BK915" si="6055">IF(BJ915&lt;0,SUBSTITUTE(TEXT(BJ915,"000000000000,00"),",",""),SUBSTITUTE(TEXT(BJ915,"0000000000000,00"),",",""))</f>
        <v>000000000000000</v>
      </c>
      <c r="BL915" s="23">
        <f t="shared" si="6012"/>
        <v>0</v>
      </c>
      <c r="BM915" s="49" t="str">
        <f t="shared" ref="BM915" si="6056">IF(BL915&lt;0,SUBSTITUTE(TEXT(BL915,"000000000000,00"),",",""),SUBSTITUTE(TEXT(BL915,"0000000000000,00"),",",""))</f>
        <v>000000000000000</v>
      </c>
      <c r="BN915" t="str">
        <f t="shared" si="6014"/>
        <v>PES</v>
      </c>
      <c r="BO915" t="str">
        <f t="shared" si="6015"/>
        <v>0001000000</v>
      </c>
      <c r="BP915">
        <f t="shared" si="6016"/>
        <v>0</v>
      </c>
      <c r="BQ915">
        <f t="shared" si="6017"/>
        <v>0</v>
      </c>
      <c r="BR915" s="23">
        <f t="shared" si="6018"/>
        <v>0</v>
      </c>
      <c r="BS915" s="49" t="str">
        <f t="shared" si="5983"/>
        <v>000000000000000</v>
      </c>
      <c r="BT915" t="str">
        <f t="shared" si="6019"/>
        <v>00000000</v>
      </c>
      <c r="BU915" s="23">
        <f t="shared" si="6020"/>
        <v>0</v>
      </c>
      <c r="BV915" s="49" t="str">
        <f t="shared" si="5984"/>
        <v/>
      </c>
      <c r="BW915" s="52" t="str">
        <f t="shared" si="6021"/>
        <v/>
      </c>
      <c r="BX915" s="23">
        <f t="shared" si="6022"/>
        <v>0</v>
      </c>
      <c r="BY915" s="49" t="str">
        <f t="shared" si="5985"/>
        <v/>
      </c>
      <c r="BZ915" s="23">
        <f t="shared" si="6023"/>
        <v>0</v>
      </c>
      <c r="CA915" s="49" t="str">
        <f t="shared" si="5986"/>
        <v/>
      </c>
      <c r="CB915" s="52" t="str">
        <f t="shared" si="6024"/>
        <v/>
      </c>
      <c r="CC915" s="23">
        <f t="shared" si="6025"/>
        <v>0</v>
      </c>
      <c r="CD915" s="49" t="str">
        <f t="shared" si="5987"/>
        <v/>
      </c>
      <c r="CE915" s="56" t="str">
        <f>IF(CF915="","",MAX(CE$10:$CE914)+1)</f>
        <v/>
      </c>
      <c r="CF915" t="str">
        <f t="shared" si="6026"/>
        <v/>
      </c>
      <c r="CG915" s="22" t="str">
        <f>IF(CH915="","",MAX($CG$10:CG914)+1)</f>
        <v/>
      </c>
      <c r="CH915" s="22" t="str">
        <f t="shared" si="5971"/>
        <v/>
      </c>
      <c r="CI915" s="22" t="str">
        <f>IF(CJ915="","",MAX($CI$10:CI914)+1)</f>
        <v/>
      </c>
      <c r="CJ915" s="22" t="str">
        <f t="shared" si="5972"/>
        <v/>
      </c>
    </row>
    <row r="916" spans="2:88" x14ac:dyDescent="0.25">
      <c r="B916" s="37"/>
      <c r="C916" s="3"/>
      <c r="D916" s="77" t="str">
        <f t="shared" si="5958"/>
        <v/>
      </c>
      <c r="E916" s="38"/>
      <c r="F916" s="38"/>
      <c r="G916" s="78">
        <f t="shared" si="5973"/>
        <v>0</v>
      </c>
      <c r="H916" s="3">
        <v>80</v>
      </c>
      <c r="I916" s="77" t="str">
        <f t="shared" si="5959"/>
        <v/>
      </c>
      <c r="J916" s="32"/>
      <c r="K916" s="3"/>
      <c r="L916" s="39"/>
      <c r="M916" s="39"/>
      <c r="N916" s="39"/>
      <c r="O916" s="39"/>
      <c r="P916" s="39"/>
      <c r="Q916" s="39"/>
      <c r="R916" s="39"/>
      <c r="S916" s="39"/>
      <c r="T916" s="3" t="s">
        <v>645</v>
      </c>
      <c r="U916" s="77" t="str">
        <f t="shared" si="5960"/>
        <v/>
      </c>
      <c r="V916" s="39">
        <v>1</v>
      </c>
      <c r="W916" s="79">
        <f t="shared" si="5974"/>
        <v>0</v>
      </c>
      <c r="X916" s="3">
        <v>0</v>
      </c>
      <c r="Y916" s="77" t="str">
        <f t="shared" si="5961"/>
        <v/>
      </c>
      <c r="Z916" s="3"/>
      <c r="AA916" s="37" t="str">
        <f t="shared" si="5975"/>
        <v/>
      </c>
      <c r="AC916" s="40"/>
      <c r="AD916" s="7"/>
      <c r="AE916" s="77" t="str">
        <f t="shared" si="5962"/>
        <v/>
      </c>
      <c r="AF916" s="81">
        <f t="shared" si="5988"/>
        <v>0</v>
      </c>
      <c r="AG916" s="40"/>
      <c r="AH916" s="7"/>
      <c r="AI916" s="77" t="str">
        <f t="shared" si="5963"/>
        <v/>
      </c>
      <c r="AJ916" s="81">
        <f t="shared" si="5989"/>
        <v>0</v>
      </c>
      <c r="AK916" s="83">
        <f t="shared" si="5990"/>
        <v>0</v>
      </c>
      <c r="AL916" s="83">
        <f t="shared" si="5991"/>
        <v>0</v>
      </c>
      <c r="AN916" s="43">
        <f t="shared" si="5964"/>
        <v>0</v>
      </c>
      <c r="AP916" t="str">
        <f t="shared" si="5992"/>
        <v/>
      </c>
      <c r="AQ916" t="str">
        <f t="shared" si="5993"/>
        <v/>
      </c>
      <c r="AR916" t="str">
        <f t="shared" si="5994"/>
        <v/>
      </c>
      <c r="AS916" t="str">
        <f t="shared" si="5995"/>
        <v/>
      </c>
      <c r="AT916" t="str">
        <f t="shared" si="5996"/>
        <v/>
      </c>
      <c r="AU916" t="str">
        <f t="shared" si="5997"/>
        <v/>
      </c>
      <c r="AV916" t="str">
        <f t="shared" si="5998"/>
        <v/>
      </c>
      <c r="AW916" t="str">
        <f t="shared" si="5999"/>
        <v xml:space="preserve">                              </v>
      </c>
      <c r="AX916" s="23">
        <f t="shared" si="6000"/>
        <v>0</v>
      </c>
      <c r="AY916" s="49" t="str">
        <f t="shared" si="5976"/>
        <v>000000000000000</v>
      </c>
      <c r="AZ916" s="23">
        <f t="shared" si="6001"/>
        <v>0</v>
      </c>
      <c r="BA916" s="49" t="str">
        <f t="shared" si="5976"/>
        <v>000000000000000</v>
      </c>
      <c r="BB916" s="23">
        <f t="shared" si="6002"/>
        <v>0</v>
      </c>
      <c r="BC916" s="49" t="str">
        <f t="shared" ref="BC916" si="6057">IF(BB916&lt;0,SUBSTITUTE(TEXT(BB916,"000000000000,00"),",",""),SUBSTITUTE(TEXT(BB916,"0000000000000,00"),",",""))</f>
        <v>000000000000000</v>
      </c>
      <c r="BD916" s="23">
        <f t="shared" si="6004"/>
        <v>0</v>
      </c>
      <c r="BE916" s="49" t="str">
        <f t="shared" ref="BE916" si="6058">IF(BD916&lt;0,SUBSTITUTE(TEXT(BD916,"000000000000,00"),",",""),SUBSTITUTE(TEXT(BD916,"0000000000000,00"),",",""))</f>
        <v>000000000000000</v>
      </c>
      <c r="BF916" s="23">
        <f t="shared" si="6006"/>
        <v>0</v>
      </c>
      <c r="BG916" s="49" t="str">
        <f t="shared" ref="BG916" si="6059">IF(BF916&lt;0,SUBSTITUTE(TEXT(BF916,"000000000000,00"),",",""),SUBSTITUTE(TEXT(BF916,"0000000000000,00"),",",""))</f>
        <v>000000000000000</v>
      </c>
      <c r="BH916" s="23">
        <f t="shared" si="6008"/>
        <v>0</v>
      </c>
      <c r="BI916" s="49" t="str">
        <f t="shared" ref="BI916" si="6060">IF(BH916&lt;0,SUBSTITUTE(TEXT(BH916,"000000000000,00"),",",""),SUBSTITUTE(TEXT(BH916,"0000000000000,00"),",",""))</f>
        <v>000000000000000</v>
      </c>
      <c r="BJ916" s="23">
        <f t="shared" si="6010"/>
        <v>0</v>
      </c>
      <c r="BK916" s="49" t="str">
        <f t="shared" ref="BK916" si="6061">IF(BJ916&lt;0,SUBSTITUTE(TEXT(BJ916,"000000000000,00"),",",""),SUBSTITUTE(TEXT(BJ916,"0000000000000,00"),",",""))</f>
        <v>000000000000000</v>
      </c>
      <c r="BL916" s="23">
        <f t="shared" si="6012"/>
        <v>0</v>
      </c>
      <c r="BM916" s="49" t="str">
        <f t="shared" ref="BM916" si="6062">IF(BL916&lt;0,SUBSTITUTE(TEXT(BL916,"000000000000,00"),",",""),SUBSTITUTE(TEXT(BL916,"0000000000000,00"),",",""))</f>
        <v>000000000000000</v>
      </c>
      <c r="BN916" t="str">
        <f t="shared" si="6014"/>
        <v>PES</v>
      </c>
      <c r="BO916" t="str">
        <f t="shared" si="6015"/>
        <v>0001000000</v>
      </c>
      <c r="BP916">
        <f t="shared" si="6016"/>
        <v>0</v>
      </c>
      <c r="BQ916">
        <f t="shared" si="6017"/>
        <v>0</v>
      </c>
      <c r="BR916" s="23">
        <f t="shared" si="6018"/>
        <v>0</v>
      </c>
      <c r="BS916" s="49" t="str">
        <f t="shared" si="5983"/>
        <v>000000000000000</v>
      </c>
      <c r="BT916" t="str">
        <f t="shared" si="6019"/>
        <v>00000000</v>
      </c>
      <c r="BU916" s="23">
        <f t="shared" si="6020"/>
        <v>0</v>
      </c>
      <c r="BV916" s="49" t="str">
        <f t="shared" si="5984"/>
        <v/>
      </c>
      <c r="BW916" s="52" t="str">
        <f t="shared" si="6021"/>
        <v/>
      </c>
      <c r="BX916" s="23">
        <f t="shared" si="6022"/>
        <v>0</v>
      </c>
      <c r="BY916" s="49" t="str">
        <f t="shared" si="5985"/>
        <v/>
      </c>
      <c r="BZ916" s="23">
        <f t="shared" si="6023"/>
        <v>0</v>
      </c>
      <c r="CA916" s="49" t="str">
        <f t="shared" si="5986"/>
        <v/>
      </c>
      <c r="CB916" s="52" t="str">
        <f t="shared" si="6024"/>
        <v/>
      </c>
      <c r="CC916" s="23">
        <f t="shared" si="6025"/>
        <v>0</v>
      </c>
      <c r="CD916" s="49" t="str">
        <f t="shared" si="5987"/>
        <v/>
      </c>
      <c r="CE916" s="56" t="str">
        <f>IF(CF916="","",MAX(CE$10:$CE915)+1)</f>
        <v/>
      </c>
      <c r="CF916" t="str">
        <f t="shared" si="6026"/>
        <v/>
      </c>
      <c r="CG916" s="22" t="str">
        <f>IF(CH916="","",MAX($CG$10:CG915)+1)</f>
        <v/>
      </c>
      <c r="CH916" s="22" t="str">
        <f t="shared" si="5971"/>
        <v/>
      </c>
      <c r="CI916" s="22" t="str">
        <f>IF(CJ916="","",MAX($CI$10:CI915)+1)</f>
        <v/>
      </c>
      <c r="CJ916" s="22" t="str">
        <f t="shared" si="5972"/>
        <v/>
      </c>
    </row>
    <row r="917" spans="2:88" x14ac:dyDescent="0.25">
      <c r="B917" s="37"/>
      <c r="C917" s="3"/>
      <c r="D917" s="77" t="str">
        <f t="shared" si="5958"/>
        <v/>
      </c>
      <c r="E917" s="38"/>
      <c r="F917" s="38"/>
      <c r="G917" s="78">
        <f t="shared" si="5973"/>
        <v>0</v>
      </c>
      <c r="H917" s="3">
        <v>80</v>
      </c>
      <c r="I917" s="77" t="str">
        <f t="shared" si="5959"/>
        <v/>
      </c>
      <c r="J917" s="32"/>
      <c r="K917" s="3"/>
      <c r="L917" s="39"/>
      <c r="M917" s="39"/>
      <c r="N917" s="39"/>
      <c r="O917" s="39"/>
      <c r="P917" s="39"/>
      <c r="Q917" s="39"/>
      <c r="R917" s="39"/>
      <c r="S917" s="39"/>
      <c r="T917" s="3" t="s">
        <v>645</v>
      </c>
      <c r="U917" s="77" t="str">
        <f t="shared" si="5960"/>
        <v/>
      </c>
      <c r="V917" s="39">
        <v>1</v>
      </c>
      <c r="W917" s="79">
        <f t="shared" si="5974"/>
        <v>0</v>
      </c>
      <c r="X917" s="3">
        <v>0</v>
      </c>
      <c r="Y917" s="77" t="str">
        <f t="shared" si="5961"/>
        <v/>
      </c>
      <c r="Z917" s="3"/>
      <c r="AA917" s="37" t="str">
        <f t="shared" si="5975"/>
        <v/>
      </c>
      <c r="AC917" s="40"/>
      <c r="AD917" s="7"/>
      <c r="AE917" s="77" t="str">
        <f t="shared" si="5962"/>
        <v/>
      </c>
      <c r="AF917" s="81">
        <f t="shared" si="5988"/>
        <v>0</v>
      </c>
      <c r="AG917" s="40"/>
      <c r="AH917" s="7"/>
      <c r="AI917" s="77" t="str">
        <f t="shared" si="5963"/>
        <v/>
      </c>
      <c r="AJ917" s="81">
        <f t="shared" si="5989"/>
        <v>0</v>
      </c>
      <c r="AK917" s="83">
        <f t="shared" si="5990"/>
        <v>0</v>
      </c>
      <c r="AL917" s="83">
        <f t="shared" si="5991"/>
        <v>0</v>
      </c>
      <c r="AN917" s="43">
        <f t="shared" si="5964"/>
        <v>0</v>
      </c>
      <c r="AP917" t="str">
        <f t="shared" si="5992"/>
        <v/>
      </c>
      <c r="AQ917" t="str">
        <f t="shared" si="5993"/>
        <v/>
      </c>
      <c r="AR917" t="str">
        <f t="shared" si="5994"/>
        <v/>
      </c>
      <c r="AS917" t="str">
        <f t="shared" si="5995"/>
        <v/>
      </c>
      <c r="AT917" t="str">
        <f t="shared" si="5996"/>
        <v/>
      </c>
      <c r="AU917" t="str">
        <f t="shared" si="5997"/>
        <v/>
      </c>
      <c r="AV917" t="str">
        <f t="shared" si="5998"/>
        <v/>
      </c>
      <c r="AW917" t="str">
        <f t="shared" si="5999"/>
        <v xml:space="preserve">                              </v>
      </c>
      <c r="AX917" s="23">
        <f t="shared" si="6000"/>
        <v>0</v>
      </c>
      <c r="AY917" s="49" t="str">
        <f t="shared" si="5976"/>
        <v>000000000000000</v>
      </c>
      <c r="AZ917" s="23">
        <f t="shared" si="6001"/>
        <v>0</v>
      </c>
      <c r="BA917" s="49" t="str">
        <f t="shared" si="5976"/>
        <v>000000000000000</v>
      </c>
      <c r="BB917" s="23">
        <f t="shared" si="6002"/>
        <v>0</v>
      </c>
      <c r="BC917" s="49" t="str">
        <f t="shared" ref="BC917" si="6063">IF(BB917&lt;0,SUBSTITUTE(TEXT(BB917,"000000000000,00"),",",""),SUBSTITUTE(TEXT(BB917,"0000000000000,00"),",",""))</f>
        <v>000000000000000</v>
      </c>
      <c r="BD917" s="23">
        <f t="shared" si="6004"/>
        <v>0</v>
      </c>
      <c r="BE917" s="49" t="str">
        <f t="shared" ref="BE917" si="6064">IF(BD917&lt;0,SUBSTITUTE(TEXT(BD917,"000000000000,00"),",",""),SUBSTITUTE(TEXT(BD917,"0000000000000,00"),",",""))</f>
        <v>000000000000000</v>
      </c>
      <c r="BF917" s="23">
        <f t="shared" si="6006"/>
        <v>0</v>
      </c>
      <c r="BG917" s="49" t="str">
        <f t="shared" ref="BG917" si="6065">IF(BF917&lt;0,SUBSTITUTE(TEXT(BF917,"000000000000,00"),",",""),SUBSTITUTE(TEXT(BF917,"0000000000000,00"),",",""))</f>
        <v>000000000000000</v>
      </c>
      <c r="BH917" s="23">
        <f t="shared" si="6008"/>
        <v>0</v>
      </c>
      <c r="BI917" s="49" t="str">
        <f t="shared" ref="BI917" si="6066">IF(BH917&lt;0,SUBSTITUTE(TEXT(BH917,"000000000000,00"),",",""),SUBSTITUTE(TEXT(BH917,"0000000000000,00"),",",""))</f>
        <v>000000000000000</v>
      </c>
      <c r="BJ917" s="23">
        <f t="shared" si="6010"/>
        <v>0</v>
      </c>
      <c r="BK917" s="49" t="str">
        <f t="shared" ref="BK917" si="6067">IF(BJ917&lt;0,SUBSTITUTE(TEXT(BJ917,"000000000000,00"),",",""),SUBSTITUTE(TEXT(BJ917,"0000000000000,00"),",",""))</f>
        <v>000000000000000</v>
      </c>
      <c r="BL917" s="23">
        <f t="shared" si="6012"/>
        <v>0</v>
      </c>
      <c r="BM917" s="49" t="str">
        <f t="shared" ref="BM917" si="6068">IF(BL917&lt;0,SUBSTITUTE(TEXT(BL917,"000000000000,00"),",",""),SUBSTITUTE(TEXT(BL917,"0000000000000,00"),",",""))</f>
        <v>000000000000000</v>
      </c>
      <c r="BN917" t="str">
        <f t="shared" si="6014"/>
        <v>PES</v>
      </c>
      <c r="BO917" t="str">
        <f t="shared" si="6015"/>
        <v>0001000000</v>
      </c>
      <c r="BP917">
        <f t="shared" si="6016"/>
        <v>0</v>
      </c>
      <c r="BQ917">
        <f t="shared" si="6017"/>
        <v>0</v>
      </c>
      <c r="BR917" s="23">
        <f t="shared" si="6018"/>
        <v>0</v>
      </c>
      <c r="BS917" s="49" t="str">
        <f t="shared" si="5983"/>
        <v>000000000000000</v>
      </c>
      <c r="BT917" t="str">
        <f t="shared" si="6019"/>
        <v>00000000</v>
      </c>
      <c r="BU917" s="23">
        <f t="shared" si="6020"/>
        <v>0</v>
      </c>
      <c r="BV917" s="49" t="str">
        <f t="shared" si="5984"/>
        <v/>
      </c>
      <c r="BW917" s="52" t="str">
        <f t="shared" si="6021"/>
        <v/>
      </c>
      <c r="BX917" s="23">
        <f t="shared" si="6022"/>
        <v>0</v>
      </c>
      <c r="BY917" s="49" t="str">
        <f t="shared" si="5985"/>
        <v/>
      </c>
      <c r="BZ917" s="23">
        <f t="shared" si="6023"/>
        <v>0</v>
      </c>
      <c r="CA917" s="49" t="str">
        <f t="shared" si="5986"/>
        <v/>
      </c>
      <c r="CB917" s="52" t="str">
        <f t="shared" si="6024"/>
        <v/>
      </c>
      <c r="CC917" s="23">
        <f t="shared" si="6025"/>
        <v>0</v>
      </c>
      <c r="CD917" s="49" t="str">
        <f t="shared" si="5987"/>
        <v/>
      </c>
      <c r="CE917" s="56" t="str">
        <f>IF(CF917="","",MAX(CE$10:$CE916)+1)</f>
        <v/>
      </c>
      <c r="CF917" t="str">
        <f t="shared" si="6026"/>
        <v/>
      </c>
      <c r="CG917" s="22" t="str">
        <f>IF(CH917="","",MAX($CG$10:CG916)+1)</f>
        <v/>
      </c>
      <c r="CH917" s="22" t="str">
        <f t="shared" si="5971"/>
        <v/>
      </c>
      <c r="CI917" s="22" t="str">
        <f>IF(CJ917="","",MAX($CI$10:CI916)+1)</f>
        <v/>
      </c>
      <c r="CJ917" s="22" t="str">
        <f t="shared" si="5972"/>
        <v/>
      </c>
    </row>
    <row r="918" spans="2:88" x14ac:dyDescent="0.25">
      <c r="B918" s="37"/>
      <c r="C918" s="3"/>
      <c r="D918" s="77" t="str">
        <f t="shared" si="5958"/>
        <v/>
      </c>
      <c r="E918" s="38"/>
      <c r="F918" s="38"/>
      <c r="G918" s="78">
        <f t="shared" si="5973"/>
        <v>0</v>
      </c>
      <c r="H918" s="3">
        <v>80</v>
      </c>
      <c r="I918" s="77" t="str">
        <f t="shared" si="5959"/>
        <v/>
      </c>
      <c r="J918" s="32"/>
      <c r="K918" s="3"/>
      <c r="L918" s="39"/>
      <c r="M918" s="39"/>
      <c r="N918" s="39"/>
      <c r="O918" s="39"/>
      <c r="P918" s="39"/>
      <c r="Q918" s="39"/>
      <c r="R918" s="39"/>
      <c r="S918" s="39"/>
      <c r="T918" s="3" t="s">
        <v>645</v>
      </c>
      <c r="U918" s="77" t="str">
        <f t="shared" si="5960"/>
        <v/>
      </c>
      <c r="V918" s="39">
        <v>1</v>
      </c>
      <c r="W918" s="79">
        <f t="shared" si="5974"/>
        <v>0</v>
      </c>
      <c r="X918" s="3">
        <v>0</v>
      </c>
      <c r="Y918" s="77" t="str">
        <f t="shared" si="5961"/>
        <v/>
      </c>
      <c r="Z918" s="3"/>
      <c r="AA918" s="37" t="str">
        <f t="shared" si="5975"/>
        <v/>
      </c>
      <c r="AC918" s="40"/>
      <c r="AD918" s="7"/>
      <c r="AE918" s="77" t="str">
        <f t="shared" si="5962"/>
        <v/>
      </c>
      <c r="AF918" s="81">
        <f t="shared" si="5988"/>
        <v>0</v>
      </c>
      <c r="AG918" s="40"/>
      <c r="AH918" s="7"/>
      <c r="AI918" s="77" t="str">
        <f t="shared" si="5963"/>
        <v/>
      </c>
      <c r="AJ918" s="81">
        <f t="shared" si="5989"/>
        <v>0</v>
      </c>
      <c r="AK918" s="83">
        <f t="shared" si="5990"/>
        <v>0</v>
      </c>
      <c r="AL918" s="83">
        <f t="shared" si="5991"/>
        <v>0</v>
      </c>
      <c r="AN918" s="43">
        <f t="shared" si="5964"/>
        <v>0</v>
      </c>
      <c r="AP918" t="str">
        <f t="shared" si="5992"/>
        <v/>
      </c>
      <c r="AQ918" t="str">
        <f t="shared" si="5993"/>
        <v/>
      </c>
      <c r="AR918" t="str">
        <f t="shared" si="5994"/>
        <v/>
      </c>
      <c r="AS918" t="str">
        <f t="shared" si="5995"/>
        <v/>
      </c>
      <c r="AT918" t="str">
        <f t="shared" si="5996"/>
        <v/>
      </c>
      <c r="AU918" t="str">
        <f t="shared" si="5997"/>
        <v/>
      </c>
      <c r="AV918" t="str">
        <f t="shared" si="5998"/>
        <v/>
      </c>
      <c r="AW918" t="str">
        <f t="shared" si="5999"/>
        <v xml:space="preserve">                              </v>
      </c>
      <c r="AX918" s="23">
        <f t="shared" si="6000"/>
        <v>0</v>
      </c>
      <c r="AY918" s="49" t="str">
        <f t="shared" si="5976"/>
        <v>000000000000000</v>
      </c>
      <c r="AZ918" s="23">
        <f t="shared" si="6001"/>
        <v>0</v>
      </c>
      <c r="BA918" s="49" t="str">
        <f t="shared" si="5976"/>
        <v>000000000000000</v>
      </c>
      <c r="BB918" s="23">
        <f t="shared" si="6002"/>
        <v>0</v>
      </c>
      <c r="BC918" s="49" t="str">
        <f t="shared" ref="BC918" si="6069">IF(BB918&lt;0,SUBSTITUTE(TEXT(BB918,"000000000000,00"),",",""),SUBSTITUTE(TEXT(BB918,"0000000000000,00"),",",""))</f>
        <v>000000000000000</v>
      </c>
      <c r="BD918" s="23">
        <f t="shared" si="6004"/>
        <v>0</v>
      </c>
      <c r="BE918" s="49" t="str">
        <f t="shared" ref="BE918" si="6070">IF(BD918&lt;0,SUBSTITUTE(TEXT(BD918,"000000000000,00"),",",""),SUBSTITUTE(TEXT(BD918,"0000000000000,00"),",",""))</f>
        <v>000000000000000</v>
      </c>
      <c r="BF918" s="23">
        <f t="shared" si="6006"/>
        <v>0</v>
      </c>
      <c r="BG918" s="49" t="str">
        <f t="shared" ref="BG918" si="6071">IF(BF918&lt;0,SUBSTITUTE(TEXT(BF918,"000000000000,00"),",",""),SUBSTITUTE(TEXT(BF918,"0000000000000,00"),",",""))</f>
        <v>000000000000000</v>
      </c>
      <c r="BH918" s="23">
        <f t="shared" si="6008"/>
        <v>0</v>
      </c>
      <c r="BI918" s="49" t="str">
        <f t="shared" ref="BI918" si="6072">IF(BH918&lt;0,SUBSTITUTE(TEXT(BH918,"000000000000,00"),",",""),SUBSTITUTE(TEXT(BH918,"0000000000000,00"),",",""))</f>
        <v>000000000000000</v>
      </c>
      <c r="BJ918" s="23">
        <f t="shared" si="6010"/>
        <v>0</v>
      </c>
      <c r="BK918" s="49" t="str">
        <f t="shared" ref="BK918" si="6073">IF(BJ918&lt;0,SUBSTITUTE(TEXT(BJ918,"000000000000,00"),",",""),SUBSTITUTE(TEXT(BJ918,"0000000000000,00"),",",""))</f>
        <v>000000000000000</v>
      </c>
      <c r="BL918" s="23">
        <f t="shared" si="6012"/>
        <v>0</v>
      </c>
      <c r="BM918" s="49" t="str">
        <f t="shared" ref="BM918" si="6074">IF(BL918&lt;0,SUBSTITUTE(TEXT(BL918,"000000000000,00"),",",""),SUBSTITUTE(TEXT(BL918,"0000000000000,00"),",",""))</f>
        <v>000000000000000</v>
      </c>
      <c r="BN918" t="str">
        <f t="shared" si="6014"/>
        <v>PES</v>
      </c>
      <c r="BO918" t="str">
        <f t="shared" si="6015"/>
        <v>0001000000</v>
      </c>
      <c r="BP918">
        <f t="shared" si="6016"/>
        <v>0</v>
      </c>
      <c r="BQ918">
        <f t="shared" si="6017"/>
        <v>0</v>
      </c>
      <c r="BR918" s="23">
        <f t="shared" si="6018"/>
        <v>0</v>
      </c>
      <c r="BS918" s="49" t="str">
        <f t="shared" si="5983"/>
        <v>000000000000000</v>
      </c>
      <c r="BT918" t="str">
        <f t="shared" si="6019"/>
        <v>00000000</v>
      </c>
      <c r="BU918" s="23">
        <f t="shared" si="6020"/>
        <v>0</v>
      </c>
      <c r="BV918" s="49" t="str">
        <f t="shared" si="5984"/>
        <v/>
      </c>
      <c r="BW918" s="52" t="str">
        <f t="shared" si="6021"/>
        <v/>
      </c>
      <c r="BX918" s="23">
        <f t="shared" si="6022"/>
        <v>0</v>
      </c>
      <c r="BY918" s="49" t="str">
        <f t="shared" si="5985"/>
        <v/>
      </c>
      <c r="BZ918" s="23">
        <f t="shared" si="6023"/>
        <v>0</v>
      </c>
      <c r="CA918" s="49" t="str">
        <f t="shared" si="5986"/>
        <v/>
      </c>
      <c r="CB918" s="52" t="str">
        <f t="shared" si="6024"/>
        <v/>
      </c>
      <c r="CC918" s="23">
        <f t="shared" si="6025"/>
        <v>0</v>
      </c>
      <c r="CD918" s="49" t="str">
        <f t="shared" si="5987"/>
        <v/>
      </c>
      <c r="CE918" s="56" t="str">
        <f>IF(CF918="","",MAX(CE$10:$CE917)+1)</f>
        <v/>
      </c>
      <c r="CF918" t="str">
        <f t="shared" si="6026"/>
        <v/>
      </c>
      <c r="CG918" s="22" t="str">
        <f>IF(CH918="","",MAX($CG$10:CG917)+1)</f>
        <v/>
      </c>
      <c r="CH918" s="22" t="str">
        <f t="shared" si="5971"/>
        <v/>
      </c>
      <c r="CI918" s="22" t="str">
        <f>IF(CJ918="","",MAX($CI$10:CI917)+1)</f>
        <v/>
      </c>
      <c r="CJ918" s="22" t="str">
        <f t="shared" si="5972"/>
        <v/>
      </c>
    </row>
    <row r="919" spans="2:88" x14ac:dyDescent="0.25">
      <c r="B919" s="37"/>
      <c r="C919" s="3"/>
      <c r="D919" s="77" t="str">
        <f t="shared" si="5958"/>
        <v/>
      </c>
      <c r="E919" s="38"/>
      <c r="F919" s="38"/>
      <c r="G919" s="78">
        <f t="shared" si="5973"/>
        <v>0</v>
      </c>
      <c r="H919" s="3">
        <v>80</v>
      </c>
      <c r="I919" s="77" t="str">
        <f t="shared" si="5959"/>
        <v/>
      </c>
      <c r="J919" s="32"/>
      <c r="K919" s="3"/>
      <c r="L919" s="39"/>
      <c r="M919" s="39"/>
      <c r="N919" s="39"/>
      <c r="O919" s="39"/>
      <c r="P919" s="39"/>
      <c r="Q919" s="39"/>
      <c r="R919" s="39"/>
      <c r="S919" s="39"/>
      <c r="T919" s="3" t="s">
        <v>645</v>
      </c>
      <c r="U919" s="77" t="str">
        <f t="shared" si="5960"/>
        <v/>
      </c>
      <c r="V919" s="39">
        <v>1</v>
      </c>
      <c r="W919" s="79">
        <f t="shared" si="5974"/>
        <v>0</v>
      </c>
      <c r="X919" s="3">
        <v>0</v>
      </c>
      <c r="Y919" s="77" t="str">
        <f t="shared" si="5961"/>
        <v/>
      </c>
      <c r="Z919" s="3"/>
      <c r="AA919" s="37" t="str">
        <f t="shared" si="5975"/>
        <v/>
      </c>
      <c r="AC919" s="40"/>
      <c r="AD919" s="7"/>
      <c r="AE919" s="77" t="str">
        <f t="shared" si="5962"/>
        <v/>
      </c>
      <c r="AF919" s="81">
        <f t="shared" si="5988"/>
        <v>0</v>
      </c>
      <c r="AG919" s="40"/>
      <c r="AH919" s="7"/>
      <c r="AI919" s="77" t="str">
        <f t="shared" si="5963"/>
        <v/>
      </c>
      <c r="AJ919" s="81">
        <f t="shared" si="5989"/>
        <v>0</v>
      </c>
      <c r="AK919" s="83">
        <f t="shared" si="5990"/>
        <v>0</v>
      </c>
      <c r="AL919" s="83">
        <f t="shared" si="5991"/>
        <v>0</v>
      </c>
      <c r="AN919" s="43">
        <f t="shared" si="5964"/>
        <v>0</v>
      </c>
      <c r="AP919" t="str">
        <f t="shared" si="5992"/>
        <v/>
      </c>
      <c r="AQ919" t="str">
        <f t="shared" si="5993"/>
        <v/>
      </c>
      <c r="AR919" t="str">
        <f t="shared" si="5994"/>
        <v/>
      </c>
      <c r="AS919" t="str">
        <f t="shared" si="5995"/>
        <v/>
      </c>
      <c r="AT919" t="str">
        <f t="shared" si="5996"/>
        <v/>
      </c>
      <c r="AU919" t="str">
        <f t="shared" si="5997"/>
        <v/>
      </c>
      <c r="AV919" t="str">
        <f t="shared" si="5998"/>
        <v/>
      </c>
      <c r="AW919" t="str">
        <f t="shared" si="5999"/>
        <v xml:space="preserve">                              </v>
      </c>
      <c r="AX919" s="23">
        <f t="shared" si="6000"/>
        <v>0</v>
      </c>
      <c r="AY919" s="49" t="str">
        <f t="shared" si="5976"/>
        <v>000000000000000</v>
      </c>
      <c r="AZ919" s="23">
        <f t="shared" si="6001"/>
        <v>0</v>
      </c>
      <c r="BA919" s="49" t="str">
        <f t="shared" si="5976"/>
        <v>000000000000000</v>
      </c>
      <c r="BB919" s="23">
        <f t="shared" si="6002"/>
        <v>0</v>
      </c>
      <c r="BC919" s="49" t="str">
        <f t="shared" ref="BC919" si="6075">IF(BB919&lt;0,SUBSTITUTE(TEXT(BB919,"000000000000,00"),",",""),SUBSTITUTE(TEXT(BB919,"0000000000000,00"),",",""))</f>
        <v>000000000000000</v>
      </c>
      <c r="BD919" s="23">
        <f t="shared" si="6004"/>
        <v>0</v>
      </c>
      <c r="BE919" s="49" t="str">
        <f t="shared" ref="BE919" si="6076">IF(BD919&lt;0,SUBSTITUTE(TEXT(BD919,"000000000000,00"),",",""),SUBSTITUTE(TEXT(BD919,"0000000000000,00"),",",""))</f>
        <v>000000000000000</v>
      </c>
      <c r="BF919" s="23">
        <f t="shared" si="6006"/>
        <v>0</v>
      </c>
      <c r="BG919" s="49" t="str">
        <f t="shared" ref="BG919" si="6077">IF(BF919&lt;0,SUBSTITUTE(TEXT(BF919,"000000000000,00"),",",""),SUBSTITUTE(TEXT(BF919,"0000000000000,00"),",",""))</f>
        <v>000000000000000</v>
      </c>
      <c r="BH919" s="23">
        <f t="shared" si="6008"/>
        <v>0</v>
      </c>
      <c r="BI919" s="49" t="str">
        <f t="shared" ref="BI919" si="6078">IF(BH919&lt;0,SUBSTITUTE(TEXT(BH919,"000000000000,00"),",",""),SUBSTITUTE(TEXT(BH919,"0000000000000,00"),",",""))</f>
        <v>000000000000000</v>
      </c>
      <c r="BJ919" s="23">
        <f t="shared" si="6010"/>
        <v>0</v>
      </c>
      <c r="BK919" s="49" t="str">
        <f t="shared" ref="BK919" si="6079">IF(BJ919&lt;0,SUBSTITUTE(TEXT(BJ919,"000000000000,00"),",",""),SUBSTITUTE(TEXT(BJ919,"0000000000000,00"),",",""))</f>
        <v>000000000000000</v>
      </c>
      <c r="BL919" s="23">
        <f t="shared" si="6012"/>
        <v>0</v>
      </c>
      <c r="BM919" s="49" t="str">
        <f t="shared" ref="BM919" si="6080">IF(BL919&lt;0,SUBSTITUTE(TEXT(BL919,"000000000000,00"),",",""),SUBSTITUTE(TEXT(BL919,"0000000000000,00"),",",""))</f>
        <v>000000000000000</v>
      </c>
      <c r="BN919" t="str">
        <f t="shared" si="6014"/>
        <v>PES</v>
      </c>
      <c r="BO919" t="str">
        <f t="shared" si="6015"/>
        <v>0001000000</v>
      </c>
      <c r="BP919">
        <f t="shared" si="6016"/>
        <v>0</v>
      </c>
      <c r="BQ919">
        <f t="shared" si="6017"/>
        <v>0</v>
      </c>
      <c r="BR919" s="23">
        <f t="shared" si="6018"/>
        <v>0</v>
      </c>
      <c r="BS919" s="49" t="str">
        <f t="shared" si="5983"/>
        <v>000000000000000</v>
      </c>
      <c r="BT919" t="str">
        <f t="shared" si="6019"/>
        <v>00000000</v>
      </c>
      <c r="BU919" s="23">
        <f t="shared" si="6020"/>
        <v>0</v>
      </c>
      <c r="BV919" s="49" t="str">
        <f t="shared" si="5984"/>
        <v/>
      </c>
      <c r="BW919" s="52" t="str">
        <f t="shared" si="6021"/>
        <v/>
      </c>
      <c r="BX919" s="23">
        <f t="shared" si="6022"/>
        <v>0</v>
      </c>
      <c r="BY919" s="49" t="str">
        <f t="shared" si="5985"/>
        <v/>
      </c>
      <c r="BZ919" s="23">
        <f t="shared" si="6023"/>
        <v>0</v>
      </c>
      <c r="CA919" s="49" t="str">
        <f t="shared" si="5986"/>
        <v/>
      </c>
      <c r="CB919" s="52" t="str">
        <f t="shared" si="6024"/>
        <v/>
      </c>
      <c r="CC919" s="23">
        <f t="shared" si="6025"/>
        <v>0</v>
      </c>
      <c r="CD919" s="49" t="str">
        <f t="shared" si="5987"/>
        <v/>
      </c>
      <c r="CE919" s="56" t="str">
        <f>IF(CF919="","",MAX(CE$10:$CE918)+1)</f>
        <v/>
      </c>
      <c r="CF919" t="str">
        <f t="shared" si="6026"/>
        <v/>
      </c>
      <c r="CG919" s="22" t="str">
        <f>IF(CH919="","",MAX($CG$10:CG918)+1)</f>
        <v/>
      </c>
      <c r="CH919" s="22" t="str">
        <f t="shared" si="5971"/>
        <v/>
      </c>
      <c r="CI919" s="22" t="str">
        <f>IF(CJ919="","",MAX($CI$10:CI918)+1)</f>
        <v/>
      </c>
      <c r="CJ919" s="22" t="str">
        <f t="shared" si="5972"/>
        <v/>
      </c>
    </row>
    <row r="920" spans="2:88" x14ac:dyDescent="0.25">
      <c r="B920" s="37"/>
      <c r="C920" s="3"/>
      <c r="D920" s="77" t="str">
        <f t="shared" si="5958"/>
        <v/>
      </c>
      <c r="E920" s="38"/>
      <c r="F920" s="38"/>
      <c r="G920" s="78">
        <f t="shared" si="5973"/>
        <v>0</v>
      </c>
      <c r="H920" s="3">
        <v>80</v>
      </c>
      <c r="I920" s="77" t="str">
        <f t="shared" si="5959"/>
        <v/>
      </c>
      <c r="J920" s="32"/>
      <c r="K920" s="3"/>
      <c r="L920" s="39"/>
      <c r="M920" s="39"/>
      <c r="N920" s="39"/>
      <c r="O920" s="39"/>
      <c r="P920" s="39"/>
      <c r="Q920" s="39"/>
      <c r="R920" s="39"/>
      <c r="S920" s="39"/>
      <c r="T920" s="3" t="s">
        <v>645</v>
      </c>
      <c r="U920" s="77" t="str">
        <f t="shared" si="5960"/>
        <v/>
      </c>
      <c r="V920" s="39">
        <v>1</v>
      </c>
      <c r="W920" s="79">
        <f t="shared" si="5974"/>
        <v>0</v>
      </c>
      <c r="X920" s="3">
        <v>0</v>
      </c>
      <c r="Y920" s="77" t="str">
        <f t="shared" si="5961"/>
        <v/>
      </c>
      <c r="Z920" s="3"/>
      <c r="AA920" s="37" t="str">
        <f t="shared" si="5975"/>
        <v/>
      </c>
      <c r="AC920" s="40"/>
      <c r="AD920" s="7"/>
      <c r="AE920" s="77" t="str">
        <f t="shared" si="5962"/>
        <v/>
      </c>
      <c r="AF920" s="81">
        <f t="shared" si="5988"/>
        <v>0</v>
      </c>
      <c r="AG920" s="40"/>
      <c r="AH920" s="7"/>
      <c r="AI920" s="77" t="str">
        <f t="shared" si="5963"/>
        <v/>
      </c>
      <c r="AJ920" s="81">
        <f t="shared" si="5989"/>
        <v>0</v>
      </c>
      <c r="AK920" s="83">
        <f t="shared" si="5990"/>
        <v>0</v>
      </c>
      <c r="AL920" s="83">
        <f t="shared" si="5991"/>
        <v>0</v>
      </c>
      <c r="AN920" s="43">
        <f t="shared" si="5964"/>
        <v>0</v>
      </c>
      <c r="AP920" t="str">
        <f t="shared" si="5992"/>
        <v/>
      </c>
      <c r="AQ920" t="str">
        <f t="shared" si="5993"/>
        <v/>
      </c>
      <c r="AR920" t="str">
        <f t="shared" si="5994"/>
        <v/>
      </c>
      <c r="AS920" t="str">
        <f t="shared" si="5995"/>
        <v/>
      </c>
      <c r="AT920" t="str">
        <f t="shared" si="5996"/>
        <v/>
      </c>
      <c r="AU920" t="str">
        <f t="shared" si="5997"/>
        <v/>
      </c>
      <c r="AV920" t="str">
        <f t="shared" si="5998"/>
        <v/>
      </c>
      <c r="AW920" t="str">
        <f t="shared" si="5999"/>
        <v xml:space="preserve">                              </v>
      </c>
      <c r="AX920" s="23">
        <f t="shared" si="6000"/>
        <v>0</v>
      </c>
      <c r="AY920" s="49" t="str">
        <f t="shared" si="5976"/>
        <v>000000000000000</v>
      </c>
      <c r="AZ920" s="23">
        <f t="shared" si="6001"/>
        <v>0</v>
      </c>
      <c r="BA920" s="49" t="str">
        <f t="shared" si="5976"/>
        <v>000000000000000</v>
      </c>
      <c r="BB920" s="23">
        <f t="shared" si="6002"/>
        <v>0</v>
      </c>
      <c r="BC920" s="49" t="str">
        <f t="shared" ref="BC920" si="6081">IF(BB920&lt;0,SUBSTITUTE(TEXT(BB920,"000000000000,00"),",",""),SUBSTITUTE(TEXT(BB920,"0000000000000,00"),",",""))</f>
        <v>000000000000000</v>
      </c>
      <c r="BD920" s="23">
        <f t="shared" si="6004"/>
        <v>0</v>
      </c>
      <c r="BE920" s="49" t="str">
        <f t="shared" ref="BE920" si="6082">IF(BD920&lt;0,SUBSTITUTE(TEXT(BD920,"000000000000,00"),",",""),SUBSTITUTE(TEXT(BD920,"0000000000000,00"),",",""))</f>
        <v>000000000000000</v>
      </c>
      <c r="BF920" s="23">
        <f t="shared" si="6006"/>
        <v>0</v>
      </c>
      <c r="BG920" s="49" t="str">
        <f t="shared" ref="BG920" si="6083">IF(BF920&lt;0,SUBSTITUTE(TEXT(BF920,"000000000000,00"),",",""),SUBSTITUTE(TEXT(BF920,"0000000000000,00"),",",""))</f>
        <v>000000000000000</v>
      </c>
      <c r="BH920" s="23">
        <f t="shared" si="6008"/>
        <v>0</v>
      </c>
      <c r="BI920" s="49" t="str">
        <f t="shared" ref="BI920" si="6084">IF(BH920&lt;0,SUBSTITUTE(TEXT(BH920,"000000000000,00"),",",""),SUBSTITUTE(TEXT(BH920,"0000000000000,00"),",",""))</f>
        <v>000000000000000</v>
      </c>
      <c r="BJ920" s="23">
        <f t="shared" si="6010"/>
        <v>0</v>
      </c>
      <c r="BK920" s="49" t="str">
        <f t="shared" ref="BK920" si="6085">IF(BJ920&lt;0,SUBSTITUTE(TEXT(BJ920,"000000000000,00"),",",""),SUBSTITUTE(TEXT(BJ920,"0000000000000,00"),",",""))</f>
        <v>000000000000000</v>
      </c>
      <c r="BL920" s="23">
        <f t="shared" si="6012"/>
        <v>0</v>
      </c>
      <c r="BM920" s="49" t="str">
        <f t="shared" ref="BM920" si="6086">IF(BL920&lt;0,SUBSTITUTE(TEXT(BL920,"000000000000,00"),",",""),SUBSTITUTE(TEXT(BL920,"0000000000000,00"),",",""))</f>
        <v>000000000000000</v>
      </c>
      <c r="BN920" t="str">
        <f t="shared" si="6014"/>
        <v>PES</v>
      </c>
      <c r="BO920" t="str">
        <f t="shared" si="6015"/>
        <v>0001000000</v>
      </c>
      <c r="BP920">
        <f t="shared" si="6016"/>
        <v>0</v>
      </c>
      <c r="BQ920">
        <f t="shared" si="6017"/>
        <v>0</v>
      </c>
      <c r="BR920" s="23">
        <f t="shared" si="6018"/>
        <v>0</v>
      </c>
      <c r="BS920" s="49" t="str">
        <f t="shared" si="5983"/>
        <v>000000000000000</v>
      </c>
      <c r="BT920" t="str">
        <f t="shared" si="6019"/>
        <v>00000000</v>
      </c>
      <c r="BU920" s="23">
        <f t="shared" si="6020"/>
        <v>0</v>
      </c>
      <c r="BV920" s="49" t="str">
        <f t="shared" si="5984"/>
        <v/>
      </c>
      <c r="BW920" s="52" t="str">
        <f t="shared" si="6021"/>
        <v/>
      </c>
      <c r="BX920" s="23">
        <f t="shared" si="6022"/>
        <v>0</v>
      </c>
      <c r="BY920" s="49" t="str">
        <f t="shared" si="5985"/>
        <v/>
      </c>
      <c r="BZ920" s="23">
        <f t="shared" si="6023"/>
        <v>0</v>
      </c>
      <c r="CA920" s="49" t="str">
        <f t="shared" si="5986"/>
        <v/>
      </c>
      <c r="CB920" s="52" t="str">
        <f t="shared" si="6024"/>
        <v/>
      </c>
      <c r="CC920" s="23">
        <f t="shared" si="6025"/>
        <v>0</v>
      </c>
      <c r="CD920" s="49" t="str">
        <f t="shared" si="5987"/>
        <v/>
      </c>
      <c r="CE920" s="56" t="str">
        <f>IF(CF920="","",MAX(CE$10:$CE919)+1)</f>
        <v/>
      </c>
      <c r="CF920" t="str">
        <f t="shared" si="6026"/>
        <v/>
      </c>
      <c r="CG920" s="22" t="str">
        <f>IF(CH920="","",MAX($CG$10:CG919)+1)</f>
        <v/>
      </c>
      <c r="CH920" s="22" t="str">
        <f t="shared" si="5971"/>
        <v/>
      </c>
      <c r="CI920" s="22" t="str">
        <f>IF(CJ920="","",MAX($CI$10:CI919)+1)</f>
        <v/>
      </c>
      <c r="CJ920" s="22" t="str">
        <f t="shared" si="5972"/>
        <v/>
      </c>
    </row>
    <row r="921" spans="2:88" x14ac:dyDescent="0.25">
      <c r="B921" s="37"/>
      <c r="C921" s="3"/>
      <c r="D921" s="77" t="str">
        <f t="shared" si="5958"/>
        <v/>
      </c>
      <c r="E921" s="38"/>
      <c r="F921" s="38"/>
      <c r="G921" s="78">
        <f t="shared" si="5973"/>
        <v>0</v>
      </c>
      <c r="H921" s="3">
        <v>80</v>
      </c>
      <c r="I921" s="77" t="str">
        <f t="shared" si="5959"/>
        <v/>
      </c>
      <c r="J921" s="32"/>
      <c r="K921" s="3"/>
      <c r="L921" s="39"/>
      <c r="M921" s="39"/>
      <c r="N921" s="39"/>
      <c r="O921" s="39"/>
      <c r="P921" s="39"/>
      <c r="Q921" s="39"/>
      <c r="R921" s="39"/>
      <c r="S921" s="39"/>
      <c r="T921" s="3" t="s">
        <v>645</v>
      </c>
      <c r="U921" s="77" t="str">
        <f t="shared" si="5960"/>
        <v/>
      </c>
      <c r="V921" s="39">
        <v>1</v>
      </c>
      <c r="W921" s="79">
        <f t="shared" si="5974"/>
        <v>0</v>
      </c>
      <c r="X921" s="3">
        <v>0</v>
      </c>
      <c r="Y921" s="77" t="str">
        <f t="shared" si="5961"/>
        <v/>
      </c>
      <c r="Z921" s="3"/>
      <c r="AA921" s="37" t="str">
        <f t="shared" si="5975"/>
        <v/>
      </c>
      <c r="AC921" s="40"/>
      <c r="AD921" s="7"/>
      <c r="AE921" s="77" t="str">
        <f t="shared" si="5962"/>
        <v/>
      </c>
      <c r="AF921" s="81">
        <f t="shared" si="5988"/>
        <v>0</v>
      </c>
      <c r="AG921" s="40"/>
      <c r="AH921" s="7"/>
      <c r="AI921" s="77" t="str">
        <f t="shared" si="5963"/>
        <v/>
      </c>
      <c r="AJ921" s="81">
        <f t="shared" si="5989"/>
        <v>0</v>
      </c>
      <c r="AK921" s="83">
        <f t="shared" si="5990"/>
        <v>0</v>
      </c>
      <c r="AL921" s="83">
        <f t="shared" si="5991"/>
        <v>0</v>
      </c>
      <c r="AN921" s="43">
        <f t="shared" si="5964"/>
        <v>0</v>
      </c>
      <c r="AP921" t="str">
        <f t="shared" si="5992"/>
        <v/>
      </c>
      <c r="AQ921" t="str">
        <f t="shared" si="5993"/>
        <v/>
      </c>
      <c r="AR921" t="str">
        <f t="shared" si="5994"/>
        <v/>
      </c>
      <c r="AS921" t="str">
        <f t="shared" si="5995"/>
        <v/>
      </c>
      <c r="AT921" t="str">
        <f t="shared" si="5996"/>
        <v/>
      </c>
      <c r="AU921" t="str">
        <f t="shared" si="5997"/>
        <v/>
      </c>
      <c r="AV921" t="str">
        <f t="shared" si="5998"/>
        <v/>
      </c>
      <c r="AW921" t="str">
        <f t="shared" si="5999"/>
        <v xml:space="preserve">                              </v>
      </c>
      <c r="AX921" s="23">
        <f t="shared" si="6000"/>
        <v>0</v>
      </c>
      <c r="AY921" s="49" t="str">
        <f t="shared" si="5976"/>
        <v>000000000000000</v>
      </c>
      <c r="AZ921" s="23">
        <f t="shared" si="6001"/>
        <v>0</v>
      </c>
      <c r="BA921" s="49" t="str">
        <f t="shared" si="5976"/>
        <v>000000000000000</v>
      </c>
      <c r="BB921" s="23">
        <f t="shared" si="6002"/>
        <v>0</v>
      </c>
      <c r="BC921" s="49" t="str">
        <f t="shared" ref="BC921" si="6087">IF(BB921&lt;0,SUBSTITUTE(TEXT(BB921,"000000000000,00"),",",""),SUBSTITUTE(TEXT(BB921,"0000000000000,00"),",",""))</f>
        <v>000000000000000</v>
      </c>
      <c r="BD921" s="23">
        <f t="shared" si="6004"/>
        <v>0</v>
      </c>
      <c r="BE921" s="49" t="str">
        <f t="shared" ref="BE921" si="6088">IF(BD921&lt;0,SUBSTITUTE(TEXT(BD921,"000000000000,00"),",",""),SUBSTITUTE(TEXT(BD921,"0000000000000,00"),",",""))</f>
        <v>000000000000000</v>
      </c>
      <c r="BF921" s="23">
        <f t="shared" si="6006"/>
        <v>0</v>
      </c>
      <c r="BG921" s="49" t="str">
        <f t="shared" ref="BG921" si="6089">IF(BF921&lt;0,SUBSTITUTE(TEXT(BF921,"000000000000,00"),",",""),SUBSTITUTE(TEXT(BF921,"0000000000000,00"),",",""))</f>
        <v>000000000000000</v>
      </c>
      <c r="BH921" s="23">
        <f t="shared" si="6008"/>
        <v>0</v>
      </c>
      <c r="BI921" s="49" t="str">
        <f t="shared" ref="BI921" si="6090">IF(BH921&lt;0,SUBSTITUTE(TEXT(BH921,"000000000000,00"),",",""),SUBSTITUTE(TEXT(BH921,"0000000000000,00"),",",""))</f>
        <v>000000000000000</v>
      </c>
      <c r="BJ921" s="23">
        <f t="shared" si="6010"/>
        <v>0</v>
      </c>
      <c r="BK921" s="49" t="str">
        <f t="shared" ref="BK921" si="6091">IF(BJ921&lt;0,SUBSTITUTE(TEXT(BJ921,"000000000000,00"),",",""),SUBSTITUTE(TEXT(BJ921,"0000000000000,00"),",",""))</f>
        <v>000000000000000</v>
      </c>
      <c r="BL921" s="23">
        <f t="shared" si="6012"/>
        <v>0</v>
      </c>
      <c r="BM921" s="49" t="str">
        <f t="shared" ref="BM921" si="6092">IF(BL921&lt;0,SUBSTITUTE(TEXT(BL921,"000000000000,00"),",",""),SUBSTITUTE(TEXT(BL921,"0000000000000,00"),",",""))</f>
        <v>000000000000000</v>
      </c>
      <c r="BN921" t="str">
        <f t="shared" si="6014"/>
        <v>PES</v>
      </c>
      <c r="BO921" t="str">
        <f t="shared" si="6015"/>
        <v>0001000000</v>
      </c>
      <c r="BP921">
        <f t="shared" si="6016"/>
        <v>0</v>
      </c>
      <c r="BQ921">
        <f t="shared" si="6017"/>
        <v>0</v>
      </c>
      <c r="BR921" s="23">
        <f t="shared" si="6018"/>
        <v>0</v>
      </c>
      <c r="BS921" s="49" t="str">
        <f t="shared" si="5983"/>
        <v>000000000000000</v>
      </c>
      <c r="BT921" t="str">
        <f t="shared" si="6019"/>
        <v>00000000</v>
      </c>
      <c r="BU921" s="23">
        <f t="shared" si="6020"/>
        <v>0</v>
      </c>
      <c r="BV921" s="49" t="str">
        <f t="shared" si="5984"/>
        <v/>
      </c>
      <c r="BW921" s="52" t="str">
        <f t="shared" si="6021"/>
        <v/>
      </c>
      <c r="BX921" s="23">
        <f t="shared" si="6022"/>
        <v>0</v>
      </c>
      <c r="BY921" s="49" t="str">
        <f t="shared" si="5985"/>
        <v/>
      </c>
      <c r="BZ921" s="23">
        <f t="shared" si="6023"/>
        <v>0</v>
      </c>
      <c r="CA921" s="49" t="str">
        <f t="shared" si="5986"/>
        <v/>
      </c>
      <c r="CB921" s="52" t="str">
        <f t="shared" si="6024"/>
        <v/>
      </c>
      <c r="CC921" s="23">
        <f t="shared" si="6025"/>
        <v>0</v>
      </c>
      <c r="CD921" s="49" t="str">
        <f t="shared" si="5987"/>
        <v/>
      </c>
      <c r="CE921" s="56" t="str">
        <f>IF(CF921="","",MAX(CE$10:$CE920)+1)</f>
        <v/>
      </c>
      <c r="CF921" t="str">
        <f t="shared" si="6026"/>
        <v/>
      </c>
      <c r="CG921" s="22" t="str">
        <f>IF(CH921="","",MAX($CG$10:CG920)+1)</f>
        <v/>
      </c>
      <c r="CH921" s="22" t="str">
        <f t="shared" si="5971"/>
        <v/>
      </c>
      <c r="CI921" s="22" t="str">
        <f>IF(CJ921="","",MAX($CI$10:CI920)+1)</f>
        <v/>
      </c>
      <c r="CJ921" s="22" t="str">
        <f t="shared" si="5972"/>
        <v/>
      </c>
    </row>
    <row r="922" spans="2:88" x14ac:dyDescent="0.25">
      <c r="B922" s="37"/>
      <c r="C922" s="3"/>
      <c r="D922" s="77" t="str">
        <f t="shared" si="5958"/>
        <v/>
      </c>
      <c r="E922" s="38"/>
      <c r="F922" s="38"/>
      <c r="G922" s="78">
        <f t="shared" si="5973"/>
        <v>0</v>
      </c>
      <c r="H922" s="3">
        <v>80</v>
      </c>
      <c r="I922" s="77" t="str">
        <f t="shared" si="5959"/>
        <v/>
      </c>
      <c r="J922" s="32"/>
      <c r="K922" s="3"/>
      <c r="L922" s="39"/>
      <c r="M922" s="39"/>
      <c r="N922" s="39"/>
      <c r="O922" s="39"/>
      <c r="P922" s="39"/>
      <c r="Q922" s="39"/>
      <c r="R922" s="39"/>
      <c r="S922" s="39"/>
      <c r="T922" s="3" t="s">
        <v>645</v>
      </c>
      <c r="U922" s="77" t="str">
        <f t="shared" si="5960"/>
        <v/>
      </c>
      <c r="V922" s="39">
        <v>1</v>
      </c>
      <c r="W922" s="79">
        <f t="shared" si="5974"/>
        <v>0</v>
      </c>
      <c r="X922" s="3">
        <v>0</v>
      </c>
      <c r="Y922" s="77" t="str">
        <f t="shared" si="5961"/>
        <v/>
      </c>
      <c r="Z922" s="3"/>
      <c r="AA922" s="37" t="str">
        <f t="shared" si="5975"/>
        <v/>
      </c>
      <c r="AC922" s="40"/>
      <c r="AD922" s="7"/>
      <c r="AE922" s="77" t="str">
        <f t="shared" si="5962"/>
        <v/>
      </c>
      <c r="AF922" s="81">
        <f t="shared" si="5988"/>
        <v>0</v>
      </c>
      <c r="AG922" s="40"/>
      <c r="AH922" s="7"/>
      <c r="AI922" s="77" t="str">
        <f t="shared" si="5963"/>
        <v/>
      </c>
      <c r="AJ922" s="81">
        <f t="shared" si="5989"/>
        <v>0</v>
      </c>
      <c r="AK922" s="83">
        <f t="shared" si="5990"/>
        <v>0</v>
      </c>
      <c r="AL922" s="83">
        <f t="shared" si="5991"/>
        <v>0</v>
      </c>
      <c r="AN922" s="43">
        <f t="shared" si="5964"/>
        <v>0</v>
      </c>
      <c r="AP922" t="str">
        <f t="shared" si="5992"/>
        <v/>
      </c>
      <c r="AQ922" t="str">
        <f t="shared" si="5993"/>
        <v/>
      </c>
      <c r="AR922" t="str">
        <f t="shared" si="5994"/>
        <v/>
      </c>
      <c r="AS922" t="str">
        <f t="shared" si="5995"/>
        <v/>
      </c>
      <c r="AT922" t="str">
        <f t="shared" si="5996"/>
        <v/>
      </c>
      <c r="AU922" t="str">
        <f t="shared" si="5997"/>
        <v/>
      </c>
      <c r="AV922" t="str">
        <f t="shared" si="5998"/>
        <v/>
      </c>
      <c r="AW922" t="str">
        <f t="shared" si="5999"/>
        <v xml:space="preserve">                              </v>
      </c>
      <c r="AX922" s="23">
        <f t="shared" si="6000"/>
        <v>0</v>
      </c>
      <c r="AY922" s="49" t="str">
        <f t="shared" si="5976"/>
        <v>000000000000000</v>
      </c>
      <c r="AZ922" s="23">
        <f t="shared" si="6001"/>
        <v>0</v>
      </c>
      <c r="BA922" s="49" t="str">
        <f t="shared" si="5976"/>
        <v>000000000000000</v>
      </c>
      <c r="BB922" s="23">
        <f t="shared" si="6002"/>
        <v>0</v>
      </c>
      <c r="BC922" s="49" t="str">
        <f t="shared" ref="BC922" si="6093">IF(BB922&lt;0,SUBSTITUTE(TEXT(BB922,"000000000000,00"),",",""),SUBSTITUTE(TEXT(BB922,"0000000000000,00"),",",""))</f>
        <v>000000000000000</v>
      </c>
      <c r="BD922" s="23">
        <f t="shared" si="6004"/>
        <v>0</v>
      </c>
      <c r="BE922" s="49" t="str">
        <f t="shared" ref="BE922" si="6094">IF(BD922&lt;0,SUBSTITUTE(TEXT(BD922,"000000000000,00"),",",""),SUBSTITUTE(TEXT(BD922,"0000000000000,00"),",",""))</f>
        <v>000000000000000</v>
      </c>
      <c r="BF922" s="23">
        <f t="shared" si="6006"/>
        <v>0</v>
      </c>
      <c r="BG922" s="49" t="str">
        <f t="shared" ref="BG922" si="6095">IF(BF922&lt;0,SUBSTITUTE(TEXT(BF922,"000000000000,00"),",",""),SUBSTITUTE(TEXT(BF922,"0000000000000,00"),",",""))</f>
        <v>000000000000000</v>
      </c>
      <c r="BH922" s="23">
        <f t="shared" si="6008"/>
        <v>0</v>
      </c>
      <c r="BI922" s="49" t="str">
        <f t="shared" ref="BI922" si="6096">IF(BH922&lt;0,SUBSTITUTE(TEXT(BH922,"000000000000,00"),",",""),SUBSTITUTE(TEXT(BH922,"0000000000000,00"),",",""))</f>
        <v>000000000000000</v>
      </c>
      <c r="BJ922" s="23">
        <f t="shared" si="6010"/>
        <v>0</v>
      </c>
      <c r="BK922" s="49" t="str">
        <f t="shared" ref="BK922" si="6097">IF(BJ922&lt;0,SUBSTITUTE(TEXT(BJ922,"000000000000,00"),",",""),SUBSTITUTE(TEXT(BJ922,"0000000000000,00"),",",""))</f>
        <v>000000000000000</v>
      </c>
      <c r="BL922" s="23">
        <f t="shared" si="6012"/>
        <v>0</v>
      </c>
      <c r="BM922" s="49" t="str">
        <f t="shared" ref="BM922" si="6098">IF(BL922&lt;0,SUBSTITUTE(TEXT(BL922,"000000000000,00"),",",""),SUBSTITUTE(TEXT(BL922,"0000000000000,00"),",",""))</f>
        <v>000000000000000</v>
      </c>
      <c r="BN922" t="str">
        <f t="shared" si="6014"/>
        <v>PES</v>
      </c>
      <c r="BO922" t="str">
        <f t="shared" si="6015"/>
        <v>0001000000</v>
      </c>
      <c r="BP922">
        <f t="shared" si="6016"/>
        <v>0</v>
      </c>
      <c r="BQ922">
        <f t="shared" si="6017"/>
        <v>0</v>
      </c>
      <c r="BR922" s="23">
        <f t="shared" si="6018"/>
        <v>0</v>
      </c>
      <c r="BS922" s="49" t="str">
        <f t="shared" si="5983"/>
        <v>000000000000000</v>
      </c>
      <c r="BT922" t="str">
        <f t="shared" si="6019"/>
        <v>00000000</v>
      </c>
      <c r="BU922" s="23">
        <f t="shared" si="6020"/>
        <v>0</v>
      </c>
      <c r="BV922" s="49" t="str">
        <f t="shared" si="5984"/>
        <v/>
      </c>
      <c r="BW922" s="52" t="str">
        <f t="shared" si="6021"/>
        <v/>
      </c>
      <c r="BX922" s="23">
        <f t="shared" si="6022"/>
        <v>0</v>
      </c>
      <c r="BY922" s="49" t="str">
        <f t="shared" si="5985"/>
        <v/>
      </c>
      <c r="BZ922" s="23">
        <f t="shared" si="6023"/>
        <v>0</v>
      </c>
      <c r="CA922" s="49" t="str">
        <f t="shared" si="5986"/>
        <v/>
      </c>
      <c r="CB922" s="52" t="str">
        <f t="shared" si="6024"/>
        <v/>
      </c>
      <c r="CC922" s="23">
        <f t="shared" si="6025"/>
        <v>0</v>
      </c>
      <c r="CD922" s="49" t="str">
        <f t="shared" si="5987"/>
        <v/>
      </c>
      <c r="CE922" s="56" t="str">
        <f>IF(CF922="","",MAX(CE$10:$CE921)+1)</f>
        <v/>
      </c>
      <c r="CF922" t="str">
        <f t="shared" si="6026"/>
        <v/>
      </c>
      <c r="CG922" s="22" t="str">
        <f>IF(CH922="","",MAX($CG$10:CG921)+1)</f>
        <v/>
      </c>
      <c r="CH922" s="22" t="str">
        <f t="shared" si="5971"/>
        <v/>
      </c>
      <c r="CI922" s="22" t="str">
        <f>IF(CJ922="","",MAX($CI$10:CI921)+1)</f>
        <v/>
      </c>
      <c r="CJ922" s="22" t="str">
        <f t="shared" si="5972"/>
        <v/>
      </c>
    </row>
    <row r="923" spans="2:88" x14ac:dyDescent="0.25">
      <c r="B923" s="37"/>
      <c r="C923" s="3"/>
      <c r="D923" s="77" t="str">
        <f t="shared" si="5958"/>
        <v/>
      </c>
      <c r="E923" s="38"/>
      <c r="F923" s="38"/>
      <c r="G923" s="78">
        <f t="shared" si="5973"/>
        <v>0</v>
      </c>
      <c r="H923" s="3">
        <v>80</v>
      </c>
      <c r="I923" s="77" t="str">
        <f t="shared" si="5959"/>
        <v/>
      </c>
      <c r="J923" s="32"/>
      <c r="K923" s="3"/>
      <c r="L923" s="39"/>
      <c r="M923" s="39"/>
      <c r="N923" s="39"/>
      <c r="O923" s="39"/>
      <c r="P923" s="39"/>
      <c r="Q923" s="39"/>
      <c r="R923" s="39"/>
      <c r="S923" s="39"/>
      <c r="T923" s="3" t="s">
        <v>645</v>
      </c>
      <c r="U923" s="77" t="str">
        <f t="shared" si="5960"/>
        <v/>
      </c>
      <c r="V923" s="39">
        <v>1</v>
      </c>
      <c r="W923" s="79">
        <f t="shared" si="5974"/>
        <v>0</v>
      </c>
      <c r="X923" s="3">
        <v>0</v>
      </c>
      <c r="Y923" s="77" t="str">
        <f t="shared" si="5961"/>
        <v/>
      </c>
      <c r="Z923" s="3"/>
      <c r="AA923" s="37" t="str">
        <f t="shared" si="5975"/>
        <v/>
      </c>
      <c r="AC923" s="40"/>
      <c r="AD923" s="7"/>
      <c r="AE923" s="77" t="str">
        <f t="shared" si="5962"/>
        <v/>
      </c>
      <c r="AF923" s="81">
        <f t="shared" si="5988"/>
        <v>0</v>
      </c>
      <c r="AG923" s="40"/>
      <c r="AH923" s="7"/>
      <c r="AI923" s="77" t="str">
        <f t="shared" si="5963"/>
        <v/>
      </c>
      <c r="AJ923" s="81">
        <f t="shared" si="5989"/>
        <v>0</v>
      </c>
      <c r="AK923" s="83">
        <f t="shared" si="5990"/>
        <v>0</v>
      </c>
      <c r="AL923" s="83">
        <f t="shared" si="5991"/>
        <v>0</v>
      </c>
      <c r="AN923" s="43">
        <f t="shared" si="5964"/>
        <v>0</v>
      </c>
      <c r="AP923" t="str">
        <f t="shared" si="5992"/>
        <v/>
      </c>
      <c r="AQ923" t="str">
        <f t="shared" si="5993"/>
        <v/>
      </c>
      <c r="AR923" t="str">
        <f t="shared" si="5994"/>
        <v/>
      </c>
      <c r="AS923" t="str">
        <f t="shared" si="5995"/>
        <v/>
      </c>
      <c r="AT923" t="str">
        <f t="shared" si="5996"/>
        <v/>
      </c>
      <c r="AU923" t="str">
        <f t="shared" si="5997"/>
        <v/>
      </c>
      <c r="AV923" t="str">
        <f t="shared" si="5998"/>
        <v/>
      </c>
      <c r="AW923" t="str">
        <f t="shared" si="5999"/>
        <v xml:space="preserve">                              </v>
      </c>
      <c r="AX923" s="23">
        <f t="shared" si="6000"/>
        <v>0</v>
      </c>
      <c r="AY923" s="49" t="str">
        <f t="shared" si="5976"/>
        <v>000000000000000</v>
      </c>
      <c r="AZ923" s="23">
        <f t="shared" si="6001"/>
        <v>0</v>
      </c>
      <c r="BA923" s="49" t="str">
        <f t="shared" si="5976"/>
        <v>000000000000000</v>
      </c>
      <c r="BB923" s="23">
        <f t="shared" si="6002"/>
        <v>0</v>
      </c>
      <c r="BC923" s="49" t="str">
        <f t="shared" ref="BC923" si="6099">IF(BB923&lt;0,SUBSTITUTE(TEXT(BB923,"000000000000,00"),",",""),SUBSTITUTE(TEXT(BB923,"0000000000000,00"),",",""))</f>
        <v>000000000000000</v>
      </c>
      <c r="BD923" s="23">
        <f t="shared" si="6004"/>
        <v>0</v>
      </c>
      <c r="BE923" s="49" t="str">
        <f t="shared" ref="BE923" si="6100">IF(BD923&lt;0,SUBSTITUTE(TEXT(BD923,"000000000000,00"),",",""),SUBSTITUTE(TEXT(BD923,"0000000000000,00"),",",""))</f>
        <v>000000000000000</v>
      </c>
      <c r="BF923" s="23">
        <f t="shared" si="6006"/>
        <v>0</v>
      </c>
      <c r="BG923" s="49" t="str">
        <f t="shared" ref="BG923" si="6101">IF(BF923&lt;0,SUBSTITUTE(TEXT(BF923,"000000000000,00"),",",""),SUBSTITUTE(TEXT(BF923,"0000000000000,00"),",",""))</f>
        <v>000000000000000</v>
      </c>
      <c r="BH923" s="23">
        <f t="shared" si="6008"/>
        <v>0</v>
      </c>
      <c r="BI923" s="49" t="str">
        <f t="shared" ref="BI923" si="6102">IF(BH923&lt;0,SUBSTITUTE(TEXT(BH923,"000000000000,00"),",",""),SUBSTITUTE(TEXT(BH923,"0000000000000,00"),",",""))</f>
        <v>000000000000000</v>
      </c>
      <c r="BJ923" s="23">
        <f t="shared" si="6010"/>
        <v>0</v>
      </c>
      <c r="BK923" s="49" t="str">
        <f t="shared" ref="BK923" si="6103">IF(BJ923&lt;0,SUBSTITUTE(TEXT(BJ923,"000000000000,00"),",",""),SUBSTITUTE(TEXT(BJ923,"0000000000000,00"),",",""))</f>
        <v>000000000000000</v>
      </c>
      <c r="BL923" s="23">
        <f t="shared" si="6012"/>
        <v>0</v>
      </c>
      <c r="BM923" s="49" t="str">
        <f t="shared" ref="BM923" si="6104">IF(BL923&lt;0,SUBSTITUTE(TEXT(BL923,"000000000000,00"),",",""),SUBSTITUTE(TEXT(BL923,"0000000000000,00"),",",""))</f>
        <v>000000000000000</v>
      </c>
      <c r="BN923" t="str">
        <f t="shared" si="6014"/>
        <v>PES</v>
      </c>
      <c r="BO923" t="str">
        <f t="shared" si="6015"/>
        <v>0001000000</v>
      </c>
      <c r="BP923">
        <f t="shared" si="6016"/>
        <v>0</v>
      </c>
      <c r="BQ923">
        <f t="shared" si="6017"/>
        <v>0</v>
      </c>
      <c r="BR923" s="23">
        <f t="shared" si="6018"/>
        <v>0</v>
      </c>
      <c r="BS923" s="49" t="str">
        <f t="shared" si="5983"/>
        <v>000000000000000</v>
      </c>
      <c r="BT923" t="str">
        <f t="shared" si="6019"/>
        <v>00000000</v>
      </c>
      <c r="BU923" s="23">
        <f t="shared" si="6020"/>
        <v>0</v>
      </c>
      <c r="BV923" s="49" t="str">
        <f t="shared" si="5984"/>
        <v/>
      </c>
      <c r="BW923" s="52" t="str">
        <f t="shared" si="6021"/>
        <v/>
      </c>
      <c r="BX923" s="23">
        <f t="shared" si="6022"/>
        <v>0</v>
      </c>
      <c r="BY923" s="49" t="str">
        <f t="shared" si="5985"/>
        <v/>
      </c>
      <c r="BZ923" s="23">
        <f t="shared" si="6023"/>
        <v>0</v>
      </c>
      <c r="CA923" s="49" t="str">
        <f t="shared" si="5986"/>
        <v/>
      </c>
      <c r="CB923" s="52" t="str">
        <f t="shared" si="6024"/>
        <v/>
      </c>
      <c r="CC923" s="23">
        <f t="shared" si="6025"/>
        <v>0</v>
      </c>
      <c r="CD923" s="49" t="str">
        <f t="shared" si="5987"/>
        <v/>
      </c>
      <c r="CE923" s="56" t="str">
        <f>IF(CF923="","",MAX(CE$10:$CE922)+1)</f>
        <v/>
      </c>
      <c r="CF923" t="str">
        <f t="shared" si="6026"/>
        <v/>
      </c>
      <c r="CG923" s="22" t="str">
        <f>IF(CH923="","",MAX($CG$10:CG922)+1)</f>
        <v/>
      </c>
      <c r="CH923" s="22" t="str">
        <f t="shared" si="5971"/>
        <v/>
      </c>
      <c r="CI923" s="22" t="str">
        <f>IF(CJ923="","",MAX($CI$10:CI922)+1)</f>
        <v/>
      </c>
      <c r="CJ923" s="22" t="str">
        <f t="shared" si="5972"/>
        <v/>
      </c>
    </row>
    <row r="924" spans="2:88" x14ac:dyDescent="0.25">
      <c r="B924" s="37"/>
      <c r="C924" s="3"/>
      <c r="D924" s="77" t="str">
        <f t="shared" si="5958"/>
        <v/>
      </c>
      <c r="E924" s="38"/>
      <c r="F924" s="38"/>
      <c r="G924" s="78">
        <f t="shared" si="5973"/>
        <v>0</v>
      </c>
      <c r="H924" s="3">
        <v>80</v>
      </c>
      <c r="I924" s="77" t="str">
        <f t="shared" si="5959"/>
        <v/>
      </c>
      <c r="J924" s="32"/>
      <c r="K924" s="3"/>
      <c r="L924" s="39"/>
      <c r="M924" s="39"/>
      <c r="N924" s="39"/>
      <c r="O924" s="39"/>
      <c r="P924" s="39"/>
      <c r="Q924" s="39"/>
      <c r="R924" s="39"/>
      <c r="S924" s="39"/>
      <c r="T924" s="3" t="s">
        <v>645</v>
      </c>
      <c r="U924" s="77" t="str">
        <f t="shared" si="5960"/>
        <v/>
      </c>
      <c r="V924" s="39">
        <v>1</v>
      </c>
      <c r="W924" s="79">
        <f t="shared" si="5974"/>
        <v>0</v>
      </c>
      <c r="X924" s="3">
        <v>0</v>
      </c>
      <c r="Y924" s="77" t="str">
        <f t="shared" si="5961"/>
        <v/>
      </c>
      <c r="Z924" s="3"/>
      <c r="AA924" s="37" t="str">
        <f t="shared" si="5975"/>
        <v/>
      </c>
      <c r="AC924" s="40"/>
      <c r="AD924" s="7"/>
      <c r="AE924" s="77" t="str">
        <f t="shared" si="5962"/>
        <v/>
      </c>
      <c r="AF924" s="81">
        <f t="shared" si="5988"/>
        <v>0</v>
      </c>
      <c r="AG924" s="40"/>
      <c r="AH924" s="7"/>
      <c r="AI924" s="77" t="str">
        <f t="shared" si="5963"/>
        <v/>
      </c>
      <c r="AJ924" s="81">
        <f t="shared" si="5989"/>
        <v>0</v>
      </c>
      <c r="AK924" s="83">
        <f t="shared" si="5990"/>
        <v>0</v>
      </c>
      <c r="AL924" s="83">
        <f t="shared" si="5991"/>
        <v>0</v>
      </c>
      <c r="AN924" s="43">
        <f t="shared" si="5964"/>
        <v>0</v>
      </c>
      <c r="AP924" t="str">
        <f t="shared" si="5992"/>
        <v/>
      </c>
      <c r="AQ924" t="str">
        <f t="shared" si="5993"/>
        <v/>
      </c>
      <c r="AR924" t="str">
        <f t="shared" si="5994"/>
        <v/>
      </c>
      <c r="AS924" t="str">
        <f t="shared" si="5995"/>
        <v/>
      </c>
      <c r="AT924" t="str">
        <f t="shared" si="5996"/>
        <v/>
      </c>
      <c r="AU924" t="str">
        <f t="shared" si="5997"/>
        <v/>
      </c>
      <c r="AV924" t="str">
        <f t="shared" si="5998"/>
        <v/>
      </c>
      <c r="AW924" t="str">
        <f t="shared" si="5999"/>
        <v xml:space="preserve">                              </v>
      </c>
      <c r="AX924" s="23">
        <f t="shared" si="6000"/>
        <v>0</v>
      </c>
      <c r="AY924" s="49" t="str">
        <f t="shared" si="5976"/>
        <v>000000000000000</v>
      </c>
      <c r="AZ924" s="23">
        <f t="shared" si="6001"/>
        <v>0</v>
      </c>
      <c r="BA924" s="49" t="str">
        <f t="shared" si="5976"/>
        <v>000000000000000</v>
      </c>
      <c r="BB924" s="23">
        <f t="shared" si="6002"/>
        <v>0</v>
      </c>
      <c r="BC924" s="49" t="str">
        <f t="shared" ref="BC924" si="6105">IF(BB924&lt;0,SUBSTITUTE(TEXT(BB924,"000000000000,00"),",",""),SUBSTITUTE(TEXT(BB924,"0000000000000,00"),",",""))</f>
        <v>000000000000000</v>
      </c>
      <c r="BD924" s="23">
        <f t="shared" si="6004"/>
        <v>0</v>
      </c>
      <c r="BE924" s="49" t="str">
        <f t="shared" ref="BE924" si="6106">IF(BD924&lt;0,SUBSTITUTE(TEXT(BD924,"000000000000,00"),",",""),SUBSTITUTE(TEXT(BD924,"0000000000000,00"),",",""))</f>
        <v>000000000000000</v>
      </c>
      <c r="BF924" s="23">
        <f t="shared" si="6006"/>
        <v>0</v>
      </c>
      <c r="BG924" s="49" t="str">
        <f t="shared" ref="BG924" si="6107">IF(BF924&lt;0,SUBSTITUTE(TEXT(BF924,"000000000000,00"),",",""),SUBSTITUTE(TEXT(BF924,"0000000000000,00"),",",""))</f>
        <v>000000000000000</v>
      </c>
      <c r="BH924" s="23">
        <f t="shared" si="6008"/>
        <v>0</v>
      </c>
      <c r="BI924" s="49" t="str">
        <f t="shared" ref="BI924" si="6108">IF(BH924&lt;0,SUBSTITUTE(TEXT(BH924,"000000000000,00"),",",""),SUBSTITUTE(TEXT(BH924,"0000000000000,00"),",",""))</f>
        <v>000000000000000</v>
      </c>
      <c r="BJ924" s="23">
        <f t="shared" si="6010"/>
        <v>0</v>
      </c>
      <c r="BK924" s="49" t="str">
        <f t="shared" ref="BK924" si="6109">IF(BJ924&lt;0,SUBSTITUTE(TEXT(BJ924,"000000000000,00"),",",""),SUBSTITUTE(TEXT(BJ924,"0000000000000,00"),",",""))</f>
        <v>000000000000000</v>
      </c>
      <c r="BL924" s="23">
        <f t="shared" si="6012"/>
        <v>0</v>
      </c>
      <c r="BM924" s="49" t="str">
        <f t="shared" ref="BM924" si="6110">IF(BL924&lt;0,SUBSTITUTE(TEXT(BL924,"000000000000,00"),",",""),SUBSTITUTE(TEXT(BL924,"0000000000000,00"),",",""))</f>
        <v>000000000000000</v>
      </c>
      <c r="BN924" t="str">
        <f t="shared" si="6014"/>
        <v>PES</v>
      </c>
      <c r="BO924" t="str">
        <f t="shared" si="6015"/>
        <v>0001000000</v>
      </c>
      <c r="BP924">
        <f t="shared" si="6016"/>
        <v>0</v>
      </c>
      <c r="BQ924">
        <f t="shared" si="6017"/>
        <v>0</v>
      </c>
      <c r="BR924" s="23">
        <f t="shared" si="6018"/>
        <v>0</v>
      </c>
      <c r="BS924" s="49" t="str">
        <f t="shared" si="5983"/>
        <v>000000000000000</v>
      </c>
      <c r="BT924" t="str">
        <f t="shared" si="6019"/>
        <v>00000000</v>
      </c>
      <c r="BU924" s="23">
        <f t="shared" si="6020"/>
        <v>0</v>
      </c>
      <c r="BV924" s="49" t="str">
        <f t="shared" si="5984"/>
        <v/>
      </c>
      <c r="BW924" s="52" t="str">
        <f t="shared" si="6021"/>
        <v/>
      </c>
      <c r="BX924" s="23">
        <f t="shared" si="6022"/>
        <v>0</v>
      </c>
      <c r="BY924" s="49" t="str">
        <f t="shared" si="5985"/>
        <v/>
      </c>
      <c r="BZ924" s="23">
        <f t="shared" si="6023"/>
        <v>0</v>
      </c>
      <c r="CA924" s="49" t="str">
        <f t="shared" si="5986"/>
        <v/>
      </c>
      <c r="CB924" s="52" t="str">
        <f t="shared" si="6024"/>
        <v/>
      </c>
      <c r="CC924" s="23">
        <f t="shared" si="6025"/>
        <v>0</v>
      </c>
      <c r="CD924" s="49" t="str">
        <f t="shared" si="5987"/>
        <v/>
      </c>
      <c r="CE924" s="56" t="str">
        <f>IF(CF924="","",MAX(CE$10:$CE923)+1)</f>
        <v/>
      </c>
      <c r="CF924" t="str">
        <f t="shared" si="6026"/>
        <v/>
      </c>
      <c r="CG924" s="22" t="str">
        <f>IF(CH924="","",MAX($CG$10:CG923)+1)</f>
        <v/>
      </c>
      <c r="CH924" s="22" t="str">
        <f t="shared" si="5971"/>
        <v/>
      </c>
      <c r="CI924" s="22" t="str">
        <f>IF(CJ924="","",MAX($CI$10:CI923)+1)</f>
        <v/>
      </c>
      <c r="CJ924" s="22" t="str">
        <f t="shared" si="5972"/>
        <v/>
      </c>
    </row>
    <row r="925" spans="2:88" x14ac:dyDescent="0.25">
      <c r="B925" s="37"/>
      <c r="C925" s="3"/>
      <c r="D925" s="77" t="str">
        <f t="shared" si="5958"/>
        <v/>
      </c>
      <c r="E925" s="38"/>
      <c r="F925" s="38"/>
      <c r="G925" s="78">
        <f t="shared" si="5973"/>
        <v>0</v>
      </c>
      <c r="H925" s="3">
        <v>80</v>
      </c>
      <c r="I925" s="77" t="str">
        <f t="shared" si="5959"/>
        <v/>
      </c>
      <c r="J925" s="32"/>
      <c r="K925" s="3"/>
      <c r="L925" s="39"/>
      <c r="M925" s="39"/>
      <c r="N925" s="39"/>
      <c r="O925" s="39"/>
      <c r="P925" s="39"/>
      <c r="Q925" s="39"/>
      <c r="R925" s="39"/>
      <c r="S925" s="39"/>
      <c r="T925" s="3" t="s">
        <v>645</v>
      </c>
      <c r="U925" s="77" t="str">
        <f t="shared" si="5960"/>
        <v/>
      </c>
      <c r="V925" s="39">
        <v>1</v>
      </c>
      <c r="W925" s="79">
        <f t="shared" si="5974"/>
        <v>0</v>
      </c>
      <c r="X925" s="3">
        <v>0</v>
      </c>
      <c r="Y925" s="77" t="str">
        <f t="shared" si="5961"/>
        <v/>
      </c>
      <c r="Z925" s="3"/>
      <c r="AA925" s="37" t="str">
        <f t="shared" si="5975"/>
        <v/>
      </c>
      <c r="AC925" s="40"/>
      <c r="AD925" s="7"/>
      <c r="AE925" s="77" t="str">
        <f t="shared" si="5962"/>
        <v/>
      </c>
      <c r="AF925" s="81">
        <f t="shared" si="5988"/>
        <v>0</v>
      </c>
      <c r="AG925" s="40"/>
      <c r="AH925" s="7"/>
      <c r="AI925" s="77" t="str">
        <f t="shared" si="5963"/>
        <v/>
      </c>
      <c r="AJ925" s="81">
        <f t="shared" si="5989"/>
        <v>0</v>
      </c>
      <c r="AK925" s="83">
        <f t="shared" si="5990"/>
        <v>0</v>
      </c>
      <c r="AL925" s="83">
        <f t="shared" si="5991"/>
        <v>0</v>
      </c>
      <c r="AN925" s="43">
        <f t="shared" si="5964"/>
        <v>0</v>
      </c>
      <c r="AP925" t="str">
        <f t="shared" si="5992"/>
        <v/>
      </c>
      <c r="AQ925" t="str">
        <f t="shared" si="5993"/>
        <v/>
      </c>
      <c r="AR925" t="str">
        <f t="shared" si="5994"/>
        <v/>
      </c>
      <c r="AS925" t="str">
        <f t="shared" si="5995"/>
        <v/>
      </c>
      <c r="AT925" t="str">
        <f t="shared" si="5996"/>
        <v/>
      </c>
      <c r="AU925" t="str">
        <f t="shared" si="5997"/>
        <v/>
      </c>
      <c r="AV925" t="str">
        <f t="shared" si="5998"/>
        <v/>
      </c>
      <c r="AW925" t="str">
        <f t="shared" si="5999"/>
        <v xml:space="preserve">                              </v>
      </c>
      <c r="AX925" s="23">
        <f t="shared" si="6000"/>
        <v>0</v>
      </c>
      <c r="AY925" s="49" t="str">
        <f t="shared" si="5976"/>
        <v>000000000000000</v>
      </c>
      <c r="AZ925" s="23">
        <f t="shared" si="6001"/>
        <v>0</v>
      </c>
      <c r="BA925" s="49" t="str">
        <f t="shared" si="5976"/>
        <v>000000000000000</v>
      </c>
      <c r="BB925" s="23">
        <f t="shared" si="6002"/>
        <v>0</v>
      </c>
      <c r="BC925" s="49" t="str">
        <f t="shared" ref="BC925" si="6111">IF(BB925&lt;0,SUBSTITUTE(TEXT(BB925,"000000000000,00"),",",""),SUBSTITUTE(TEXT(BB925,"0000000000000,00"),",",""))</f>
        <v>000000000000000</v>
      </c>
      <c r="BD925" s="23">
        <f t="shared" si="6004"/>
        <v>0</v>
      </c>
      <c r="BE925" s="49" t="str">
        <f t="shared" ref="BE925" si="6112">IF(BD925&lt;0,SUBSTITUTE(TEXT(BD925,"000000000000,00"),",",""),SUBSTITUTE(TEXT(BD925,"0000000000000,00"),",",""))</f>
        <v>000000000000000</v>
      </c>
      <c r="BF925" s="23">
        <f t="shared" si="6006"/>
        <v>0</v>
      </c>
      <c r="BG925" s="49" t="str">
        <f t="shared" ref="BG925" si="6113">IF(BF925&lt;0,SUBSTITUTE(TEXT(BF925,"000000000000,00"),",",""),SUBSTITUTE(TEXT(BF925,"0000000000000,00"),",",""))</f>
        <v>000000000000000</v>
      </c>
      <c r="BH925" s="23">
        <f t="shared" si="6008"/>
        <v>0</v>
      </c>
      <c r="BI925" s="49" t="str">
        <f t="shared" ref="BI925" si="6114">IF(BH925&lt;0,SUBSTITUTE(TEXT(BH925,"000000000000,00"),",",""),SUBSTITUTE(TEXT(BH925,"0000000000000,00"),",",""))</f>
        <v>000000000000000</v>
      </c>
      <c r="BJ925" s="23">
        <f t="shared" si="6010"/>
        <v>0</v>
      </c>
      <c r="BK925" s="49" t="str">
        <f t="shared" ref="BK925" si="6115">IF(BJ925&lt;0,SUBSTITUTE(TEXT(BJ925,"000000000000,00"),",",""),SUBSTITUTE(TEXT(BJ925,"0000000000000,00"),",",""))</f>
        <v>000000000000000</v>
      </c>
      <c r="BL925" s="23">
        <f t="shared" si="6012"/>
        <v>0</v>
      </c>
      <c r="BM925" s="49" t="str">
        <f t="shared" ref="BM925" si="6116">IF(BL925&lt;0,SUBSTITUTE(TEXT(BL925,"000000000000,00"),",",""),SUBSTITUTE(TEXT(BL925,"0000000000000,00"),",",""))</f>
        <v>000000000000000</v>
      </c>
      <c r="BN925" t="str">
        <f t="shared" si="6014"/>
        <v>PES</v>
      </c>
      <c r="BO925" t="str">
        <f t="shared" si="6015"/>
        <v>0001000000</v>
      </c>
      <c r="BP925">
        <f t="shared" si="6016"/>
        <v>0</v>
      </c>
      <c r="BQ925">
        <f t="shared" si="6017"/>
        <v>0</v>
      </c>
      <c r="BR925" s="23">
        <f t="shared" si="6018"/>
        <v>0</v>
      </c>
      <c r="BS925" s="49" t="str">
        <f t="shared" si="5983"/>
        <v>000000000000000</v>
      </c>
      <c r="BT925" t="str">
        <f t="shared" si="6019"/>
        <v>00000000</v>
      </c>
      <c r="BU925" s="23">
        <f t="shared" si="6020"/>
        <v>0</v>
      </c>
      <c r="BV925" s="49" t="str">
        <f t="shared" si="5984"/>
        <v/>
      </c>
      <c r="BW925" s="52" t="str">
        <f t="shared" si="6021"/>
        <v/>
      </c>
      <c r="BX925" s="23">
        <f t="shared" si="6022"/>
        <v>0</v>
      </c>
      <c r="BY925" s="49" t="str">
        <f t="shared" si="5985"/>
        <v/>
      </c>
      <c r="BZ925" s="23">
        <f t="shared" si="6023"/>
        <v>0</v>
      </c>
      <c r="CA925" s="49" t="str">
        <f t="shared" si="5986"/>
        <v/>
      </c>
      <c r="CB925" s="52" t="str">
        <f t="shared" si="6024"/>
        <v/>
      </c>
      <c r="CC925" s="23">
        <f t="shared" si="6025"/>
        <v>0</v>
      </c>
      <c r="CD925" s="49" t="str">
        <f t="shared" si="5987"/>
        <v/>
      </c>
      <c r="CE925" s="56" t="str">
        <f>IF(CF925="","",MAX(CE$10:$CE924)+1)</f>
        <v/>
      </c>
      <c r="CF925" t="str">
        <f t="shared" si="6026"/>
        <v/>
      </c>
      <c r="CG925" s="22" t="str">
        <f>IF(CH925="","",MAX($CG$10:CG924)+1)</f>
        <v/>
      </c>
      <c r="CH925" s="22" t="str">
        <f t="shared" si="5971"/>
        <v/>
      </c>
      <c r="CI925" s="22" t="str">
        <f>IF(CJ925="","",MAX($CI$10:CI924)+1)</f>
        <v/>
      </c>
      <c r="CJ925" s="22" t="str">
        <f t="shared" si="5972"/>
        <v/>
      </c>
    </row>
    <row r="926" spans="2:88" x14ac:dyDescent="0.25">
      <c r="B926" s="37"/>
      <c r="C926" s="3"/>
      <c r="D926" s="77" t="str">
        <f t="shared" si="5958"/>
        <v/>
      </c>
      <c r="E926" s="38"/>
      <c r="F926" s="38"/>
      <c r="G926" s="78">
        <f t="shared" si="5973"/>
        <v>0</v>
      </c>
      <c r="H926" s="3">
        <v>80</v>
      </c>
      <c r="I926" s="77" t="str">
        <f t="shared" si="5959"/>
        <v/>
      </c>
      <c r="J926" s="32"/>
      <c r="K926" s="3"/>
      <c r="L926" s="39"/>
      <c r="M926" s="39"/>
      <c r="N926" s="39"/>
      <c r="O926" s="39"/>
      <c r="P926" s="39"/>
      <c r="Q926" s="39"/>
      <c r="R926" s="39"/>
      <c r="S926" s="39"/>
      <c r="T926" s="3" t="s">
        <v>645</v>
      </c>
      <c r="U926" s="77" t="str">
        <f t="shared" si="5960"/>
        <v/>
      </c>
      <c r="V926" s="39">
        <v>1</v>
      </c>
      <c r="W926" s="79">
        <f t="shared" si="5974"/>
        <v>0</v>
      </c>
      <c r="X926" s="3">
        <v>0</v>
      </c>
      <c r="Y926" s="77" t="str">
        <f t="shared" si="5961"/>
        <v/>
      </c>
      <c r="Z926" s="3"/>
      <c r="AA926" s="37" t="str">
        <f t="shared" si="5975"/>
        <v/>
      </c>
      <c r="AC926" s="40"/>
      <c r="AD926" s="7"/>
      <c r="AE926" s="77" t="str">
        <f t="shared" si="5962"/>
        <v/>
      </c>
      <c r="AF926" s="81">
        <f t="shared" si="5988"/>
        <v>0</v>
      </c>
      <c r="AG926" s="40"/>
      <c r="AH926" s="7"/>
      <c r="AI926" s="77" t="str">
        <f t="shared" si="5963"/>
        <v/>
      </c>
      <c r="AJ926" s="81">
        <f t="shared" si="5989"/>
        <v>0</v>
      </c>
      <c r="AK926" s="83">
        <f t="shared" si="5990"/>
        <v>0</v>
      </c>
      <c r="AL926" s="83">
        <f t="shared" si="5991"/>
        <v>0</v>
      </c>
      <c r="AN926" s="43">
        <f t="shared" si="5964"/>
        <v>0</v>
      </c>
      <c r="AP926" t="str">
        <f t="shared" si="5992"/>
        <v/>
      </c>
      <c r="AQ926" t="str">
        <f t="shared" si="5993"/>
        <v/>
      </c>
      <c r="AR926" t="str">
        <f t="shared" si="5994"/>
        <v/>
      </c>
      <c r="AS926" t="str">
        <f t="shared" si="5995"/>
        <v/>
      </c>
      <c r="AT926" t="str">
        <f t="shared" si="5996"/>
        <v/>
      </c>
      <c r="AU926" t="str">
        <f t="shared" si="5997"/>
        <v/>
      </c>
      <c r="AV926" t="str">
        <f t="shared" si="5998"/>
        <v/>
      </c>
      <c r="AW926" t="str">
        <f t="shared" si="5999"/>
        <v xml:space="preserve">                              </v>
      </c>
      <c r="AX926" s="23">
        <f t="shared" si="6000"/>
        <v>0</v>
      </c>
      <c r="AY926" s="49" t="str">
        <f t="shared" si="5976"/>
        <v>000000000000000</v>
      </c>
      <c r="AZ926" s="23">
        <f t="shared" si="6001"/>
        <v>0</v>
      </c>
      <c r="BA926" s="49" t="str">
        <f t="shared" si="5976"/>
        <v>000000000000000</v>
      </c>
      <c r="BB926" s="23">
        <f t="shared" si="6002"/>
        <v>0</v>
      </c>
      <c r="BC926" s="49" t="str">
        <f t="shared" ref="BC926" si="6117">IF(BB926&lt;0,SUBSTITUTE(TEXT(BB926,"000000000000,00"),",",""),SUBSTITUTE(TEXT(BB926,"0000000000000,00"),",",""))</f>
        <v>000000000000000</v>
      </c>
      <c r="BD926" s="23">
        <f t="shared" si="6004"/>
        <v>0</v>
      </c>
      <c r="BE926" s="49" t="str">
        <f t="shared" ref="BE926" si="6118">IF(BD926&lt;0,SUBSTITUTE(TEXT(BD926,"000000000000,00"),",",""),SUBSTITUTE(TEXT(BD926,"0000000000000,00"),",",""))</f>
        <v>000000000000000</v>
      </c>
      <c r="BF926" s="23">
        <f t="shared" si="6006"/>
        <v>0</v>
      </c>
      <c r="BG926" s="49" t="str">
        <f t="shared" ref="BG926" si="6119">IF(BF926&lt;0,SUBSTITUTE(TEXT(BF926,"000000000000,00"),",",""),SUBSTITUTE(TEXT(BF926,"0000000000000,00"),",",""))</f>
        <v>000000000000000</v>
      </c>
      <c r="BH926" s="23">
        <f t="shared" si="6008"/>
        <v>0</v>
      </c>
      <c r="BI926" s="49" t="str">
        <f t="shared" ref="BI926" si="6120">IF(BH926&lt;0,SUBSTITUTE(TEXT(BH926,"000000000000,00"),",",""),SUBSTITUTE(TEXT(BH926,"0000000000000,00"),",",""))</f>
        <v>000000000000000</v>
      </c>
      <c r="BJ926" s="23">
        <f t="shared" si="6010"/>
        <v>0</v>
      </c>
      <c r="BK926" s="49" t="str">
        <f t="shared" ref="BK926" si="6121">IF(BJ926&lt;0,SUBSTITUTE(TEXT(BJ926,"000000000000,00"),",",""),SUBSTITUTE(TEXT(BJ926,"0000000000000,00"),",",""))</f>
        <v>000000000000000</v>
      </c>
      <c r="BL926" s="23">
        <f t="shared" si="6012"/>
        <v>0</v>
      </c>
      <c r="BM926" s="49" t="str">
        <f t="shared" ref="BM926" si="6122">IF(BL926&lt;0,SUBSTITUTE(TEXT(BL926,"000000000000,00"),",",""),SUBSTITUTE(TEXT(BL926,"0000000000000,00"),",",""))</f>
        <v>000000000000000</v>
      </c>
      <c r="BN926" t="str">
        <f t="shared" si="6014"/>
        <v>PES</v>
      </c>
      <c r="BO926" t="str">
        <f t="shared" si="6015"/>
        <v>0001000000</v>
      </c>
      <c r="BP926">
        <f t="shared" si="6016"/>
        <v>0</v>
      </c>
      <c r="BQ926">
        <f t="shared" si="6017"/>
        <v>0</v>
      </c>
      <c r="BR926" s="23">
        <f t="shared" si="6018"/>
        <v>0</v>
      </c>
      <c r="BS926" s="49" t="str">
        <f t="shared" si="5983"/>
        <v>000000000000000</v>
      </c>
      <c r="BT926" t="str">
        <f t="shared" si="6019"/>
        <v>00000000</v>
      </c>
      <c r="BU926" s="23">
        <f t="shared" si="6020"/>
        <v>0</v>
      </c>
      <c r="BV926" s="49" t="str">
        <f t="shared" si="5984"/>
        <v/>
      </c>
      <c r="BW926" s="52" t="str">
        <f t="shared" si="6021"/>
        <v/>
      </c>
      <c r="BX926" s="23">
        <f t="shared" si="6022"/>
        <v>0</v>
      </c>
      <c r="BY926" s="49" t="str">
        <f t="shared" si="5985"/>
        <v/>
      </c>
      <c r="BZ926" s="23">
        <f t="shared" si="6023"/>
        <v>0</v>
      </c>
      <c r="CA926" s="49" t="str">
        <f t="shared" si="5986"/>
        <v/>
      </c>
      <c r="CB926" s="52" t="str">
        <f t="shared" si="6024"/>
        <v/>
      </c>
      <c r="CC926" s="23">
        <f t="shared" si="6025"/>
        <v>0</v>
      </c>
      <c r="CD926" s="49" t="str">
        <f t="shared" si="5987"/>
        <v/>
      </c>
      <c r="CE926" s="56" t="str">
        <f>IF(CF926="","",MAX(CE$10:$CE925)+1)</f>
        <v/>
      </c>
      <c r="CF926" t="str">
        <f t="shared" si="6026"/>
        <v/>
      </c>
      <c r="CG926" s="22" t="str">
        <f>IF(CH926="","",MAX($CG$10:CG925)+1)</f>
        <v/>
      </c>
      <c r="CH926" s="22" t="str">
        <f t="shared" si="5971"/>
        <v/>
      </c>
      <c r="CI926" s="22" t="str">
        <f>IF(CJ926="","",MAX($CI$10:CI925)+1)</f>
        <v/>
      </c>
      <c r="CJ926" s="22" t="str">
        <f t="shared" si="5972"/>
        <v/>
      </c>
    </row>
    <row r="927" spans="2:88" x14ac:dyDescent="0.25">
      <c r="B927" s="37"/>
      <c r="C927" s="3"/>
      <c r="D927" s="77" t="str">
        <f t="shared" si="5958"/>
        <v/>
      </c>
      <c r="E927" s="38"/>
      <c r="F927" s="38"/>
      <c r="G927" s="78">
        <f t="shared" si="5973"/>
        <v>0</v>
      </c>
      <c r="H927" s="3">
        <v>80</v>
      </c>
      <c r="I927" s="77" t="str">
        <f t="shared" si="5959"/>
        <v/>
      </c>
      <c r="J927" s="32"/>
      <c r="K927" s="3"/>
      <c r="L927" s="39"/>
      <c r="M927" s="39"/>
      <c r="N927" s="39"/>
      <c r="O927" s="39"/>
      <c r="P927" s="39"/>
      <c r="Q927" s="39"/>
      <c r="R927" s="39"/>
      <c r="S927" s="39"/>
      <c r="T927" s="3" t="s">
        <v>645</v>
      </c>
      <c r="U927" s="77" t="str">
        <f t="shared" si="5960"/>
        <v/>
      </c>
      <c r="V927" s="39">
        <v>1</v>
      </c>
      <c r="W927" s="79">
        <f t="shared" si="5974"/>
        <v>0</v>
      </c>
      <c r="X927" s="3">
        <v>0</v>
      </c>
      <c r="Y927" s="77" t="str">
        <f t="shared" si="5961"/>
        <v/>
      </c>
      <c r="Z927" s="3"/>
      <c r="AA927" s="37" t="str">
        <f t="shared" si="5975"/>
        <v/>
      </c>
      <c r="AC927" s="40"/>
      <c r="AD927" s="7"/>
      <c r="AE927" s="77" t="str">
        <f t="shared" si="5962"/>
        <v/>
      </c>
      <c r="AF927" s="81">
        <f t="shared" si="5988"/>
        <v>0</v>
      </c>
      <c r="AG927" s="40"/>
      <c r="AH927" s="7"/>
      <c r="AI927" s="77" t="str">
        <f t="shared" si="5963"/>
        <v/>
      </c>
      <c r="AJ927" s="81">
        <f t="shared" si="5989"/>
        <v>0</v>
      </c>
      <c r="AK927" s="83">
        <f t="shared" si="5990"/>
        <v>0</v>
      </c>
      <c r="AL927" s="83">
        <f t="shared" si="5991"/>
        <v>0</v>
      </c>
      <c r="AN927" s="43">
        <f t="shared" si="5964"/>
        <v>0</v>
      </c>
      <c r="AP927" t="str">
        <f t="shared" si="5992"/>
        <v/>
      </c>
      <c r="AQ927" t="str">
        <f t="shared" si="5993"/>
        <v/>
      </c>
      <c r="AR927" t="str">
        <f t="shared" si="5994"/>
        <v/>
      </c>
      <c r="AS927" t="str">
        <f t="shared" si="5995"/>
        <v/>
      </c>
      <c r="AT927" t="str">
        <f t="shared" si="5996"/>
        <v/>
      </c>
      <c r="AU927" t="str">
        <f t="shared" si="5997"/>
        <v/>
      </c>
      <c r="AV927" t="str">
        <f t="shared" si="5998"/>
        <v/>
      </c>
      <c r="AW927" t="str">
        <f t="shared" si="5999"/>
        <v xml:space="preserve">                              </v>
      </c>
      <c r="AX927" s="23">
        <f t="shared" si="6000"/>
        <v>0</v>
      </c>
      <c r="AY927" s="49" t="str">
        <f t="shared" si="5976"/>
        <v>000000000000000</v>
      </c>
      <c r="AZ927" s="23">
        <f t="shared" si="6001"/>
        <v>0</v>
      </c>
      <c r="BA927" s="49" t="str">
        <f t="shared" si="5976"/>
        <v>000000000000000</v>
      </c>
      <c r="BB927" s="23">
        <f t="shared" si="6002"/>
        <v>0</v>
      </c>
      <c r="BC927" s="49" t="str">
        <f t="shared" ref="BC927" si="6123">IF(BB927&lt;0,SUBSTITUTE(TEXT(BB927,"000000000000,00"),",",""),SUBSTITUTE(TEXT(BB927,"0000000000000,00"),",",""))</f>
        <v>000000000000000</v>
      </c>
      <c r="BD927" s="23">
        <f t="shared" si="6004"/>
        <v>0</v>
      </c>
      <c r="BE927" s="49" t="str">
        <f t="shared" ref="BE927" si="6124">IF(BD927&lt;0,SUBSTITUTE(TEXT(BD927,"000000000000,00"),",",""),SUBSTITUTE(TEXT(BD927,"0000000000000,00"),",",""))</f>
        <v>000000000000000</v>
      </c>
      <c r="BF927" s="23">
        <f t="shared" si="6006"/>
        <v>0</v>
      </c>
      <c r="BG927" s="49" t="str">
        <f t="shared" ref="BG927" si="6125">IF(BF927&lt;0,SUBSTITUTE(TEXT(BF927,"000000000000,00"),",",""),SUBSTITUTE(TEXT(BF927,"0000000000000,00"),",",""))</f>
        <v>000000000000000</v>
      </c>
      <c r="BH927" s="23">
        <f t="shared" si="6008"/>
        <v>0</v>
      </c>
      <c r="BI927" s="49" t="str">
        <f t="shared" ref="BI927" si="6126">IF(BH927&lt;0,SUBSTITUTE(TEXT(BH927,"000000000000,00"),",",""),SUBSTITUTE(TEXT(BH927,"0000000000000,00"),",",""))</f>
        <v>000000000000000</v>
      </c>
      <c r="BJ927" s="23">
        <f t="shared" si="6010"/>
        <v>0</v>
      </c>
      <c r="BK927" s="49" t="str">
        <f t="shared" ref="BK927" si="6127">IF(BJ927&lt;0,SUBSTITUTE(TEXT(BJ927,"000000000000,00"),",",""),SUBSTITUTE(TEXT(BJ927,"0000000000000,00"),",",""))</f>
        <v>000000000000000</v>
      </c>
      <c r="BL927" s="23">
        <f t="shared" si="6012"/>
        <v>0</v>
      </c>
      <c r="BM927" s="49" t="str">
        <f t="shared" ref="BM927" si="6128">IF(BL927&lt;0,SUBSTITUTE(TEXT(BL927,"000000000000,00"),",",""),SUBSTITUTE(TEXT(BL927,"0000000000000,00"),",",""))</f>
        <v>000000000000000</v>
      </c>
      <c r="BN927" t="str">
        <f t="shared" si="6014"/>
        <v>PES</v>
      </c>
      <c r="BO927" t="str">
        <f t="shared" si="6015"/>
        <v>0001000000</v>
      </c>
      <c r="BP927">
        <f t="shared" si="6016"/>
        <v>0</v>
      </c>
      <c r="BQ927">
        <f t="shared" si="6017"/>
        <v>0</v>
      </c>
      <c r="BR927" s="23">
        <f t="shared" si="6018"/>
        <v>0</v>
      </c>
      <c r="BS927" s="49" t="str">
        <f t="shared" si="5983"/>
        <v>000000000000000</v>
      </c>
      <c r="BT927" t="str">
        <f t="shared" si="6019"/>
        <v>00000000</v>
      </c>
      <c r="BU927" s="23">
        <f t="shared" si="6020"/>
        <v>0</v>
      </c>
      <c r="BV927" s="49" t="str">
        <f t="shared" si="5984"/>
        <v/>
      </c>
      <c r="BW927" s="52" t="str">
        <f t="shared" si="6021"/>
        <v/>
      </c>
      <c r="BX927" s="23">
        <f t="shared" si="6022"/>
        <v>0</v>
      </c>
      <c r="BY927" s="49" t="str">
        <f t="shared" si="5985"/>
        <v/>
      </c>
      <c r="BZ927" s="23">
        <f t="shared" si="6023"/>
        <v>0</v>
      </c>
      <c r="CA927" s="49" t="str">
        <f t="shared" si="5986"/>
        <v/>
      </c>
      <c r="CB927" s="52" t="str">
        <f t="shared" si="6024"/>
        <v/>
      </c>
      <c r="CC927" s="23">
        <f t="shared" si="6025"/>
        <v>0</v>
      </c>
      <c r="CD927" s="49" t="str">
        <f t="shared" si="5987"/>
        <v/>
      </c>
      <c r="CE927" s="56" t="str">
        <f>IF(CF927="","",MAX(CE$10:$CE926)+1)</f>
        <v/>
      </c>
      <c r="CF927" t="str">
        <f t="shared" si="6026"/>
        <v/>
      </c>
      <c r="CG927" s="22" t="str">
        <f>IF(CH927="","",MAX($CG$10:CG926)+1)</f>
        <v/>
      </c>
      <c r="CH927" s="22" t="str">
        <f t="shared" si="5971"/>
        <v/>
      </c>
      <c r="CI927" s="22" t="str">
        <f>IF(CJ927="","",MAX($CI$10:CI926)+1)</f>
        <v/>
      </c>
      <c r="CJ927" s="22" t="str">
        <f t="shared" si="5972"/>
        <v/>
      </c>
    </row>
    <row r="928" spans="2:88" x14ac:dyDescent="0.25">
      <c r="B928" s="37"/>
      <c r="C928" s="3"/>
      <c r="D928" s="77" t="str">
        <f t="shared" si="5958"/>
        <v/>
      </c>
      <c r="E928" s="38"/>
      <c r="F928" s="38"/>
      <c r="G928" s="78">
        <f t="shared" si="5973"/>
        <v>0</v>
      </c>
      <c r="H928" s="3">
        <v>80</v>
      </c>
      <c r="I928" s="77" t="str">
        <f t="shared" si="5959"/>
        <v/>
      </c>
      <c r="J928" s="32"/>
      <c r="K928" s="3"/>
      <c r="L928" s="39"/>
      <c r="M928" s="39"/>
      <c r="N928" s="39"/>
      <c r="O928" s="39"/>
      <c r="P928" s="39"/>
      <c r="Q928" s="39"/>
      <c r="R928" s="39"/>
      <c r="S928" s="39"/>
      <c r="T928" s="3" t="s">
        <v>645</v>
      </c>
      <c r="U928" s="77" t="str">
        <f t="shared" si="5960"/>
        <v/>
      </c>
      <c r="V928" s="39">
        <v>1</v>
      </c>
      <c r="W928" s="79">
        <f t="shared" si="5974"/>
        <v>0</v>
      </c>
      <c r="X928" s="3">
        <v>0</v>
      </c>
      <c r="Y928" s="77" t="str">
        <f t="shared" si="5961"/>
        <v/>
      </c>
      <c r="Z928" s="3"/>
      <c r="AA928" s="37" t="str">
        <f t="shared" si="5975"/>
        <v/>
      </c>
      <c r="AC928" s="40"/>
      <c r="AD928" s="7"/>
      <c r="AE928" s="77" t="str">
        <f t="shared" si="5962"/>
        <v/>
      </c>
      <c r="AF928" s="81">
        <f t="shared" si="5988"/>
        <v>0</v>
      </c>
      <c r="AG928" s="40"/>
      <c r="AH928" s="7"/>
      <c r="AI928" s="77" t="str">
        <f t="shared" si="5963"/>
        <v/>
      </c>
      <c r="AJ928" s="81">
        <f t="shared" si="5989"/>
        <v>0</v>
      </c>
      <c r="AK928" s="83">
        <f t="shared" si="5990"/>
        <v>0</v>
      </c>
      <c r="AL928" s="83">
        <f t="shared" si="5991"/>
        <v>0</v>
      </c>
      <c r="AN928" s="43">
        <f t="shared" si="5964"/>
        <v>0</v>
      </c>
      <c r="AP928" t="str">
        <f t="shared" si="5992"/>
        <v/>
      </c>
      <c r="AQ928" t="str">
        <f t="shared" si="5993"/>
        <v/>
      </c>
      <c r="AR928" t="str">
        <f t="shared" si="5994"/>
        <v/>
      </c>
      <c r="AS928" t="str">
        <f t="shared" si="5995"/>
        <v/>
      </c>
      <c r="AT928" t="str">
        <f t="shared" si="5996"/>
        <v/>
      </c>
      <c r="AU928" t="str">
        <f t="shared" si="5997"/>
        <v/>
      </c>
      <c r="AV928" t="str">
        <f t="shared" si="5998"/>
        <v/>
      </c>
      <c r="AW928" t="str">
        <f t="shared" si="5999"/>
        <v xml:space="preserve">                              </v>
      </c>
      <c r="AX928" s="23">
        <f t="shared" si="6000"/>
        <v>0</v>
      </c>
      <c r="AY928" s="49" t="str">
        <f t="shared" si="5976"/>
        <v>000000000000000</v>
      </c>
      <c r="AZ928" s="23">
        <f t="shared" si="6001"/>
        <v>0</v>
      </c>
      <c r="BA928" s="49" t="str">
        <f t="shared" si="5976"/>
        <v>000000000000000</v>
      </c>
      <c r="BB928" s="23">
        <f t="shared" si="6002"/>
        <v>0</v>
      </c>
      <c r="BC928" s="49" t="str">
        <f t="shared" ref="BC928" si="6129">IF(BB928&lt;0,SUBSTITUTE(TEXT(BB928,"000000000000,00"),",",""),SUBSTITUTE(TEXT(BB928,"0000000000000,00"),",",""))</f>
        <v>000000000000000</v>
      </c>
      <c r="BD928" s="23">
        <f t="shared" si="6004"/>
        <v>0</v>
      </c>
      <c r="BE928" s="49" t="str">
        <f t="shared" ref="BE928" si="6130">IF(BD928&lt;0,SUBSTITUTE(TEXT(BD928,"000000000000,00"),",",""),SUBSTITUTE(TEXT(BD928,"0000000000000,00"),",",""))</f>
        <v>000000000000000</v>
      </c>
      <c r="BF928" s="23">
        <f t="shared" si="6006"/>
        <v>0</v>
      </c>
      <c r="BG928" s="49" t="str">
        <f t="shared" ref="BG928" si="6131">IF(BF928&lt;0,SUBSTITUTE(TEXT(BF928,"000000000000,00"),",",""),SUBSTITUTE(TEXT(BF928,"0000000000000,00"),",",""))</f>
        <v>000000000000000</v>
      </c>
      <c r="BH928" s="23">
        <f t="shared" si="6008"/>
        <v>0</v>
      </c>
      <c r="BI928" s="49" t="str">
        <f t="shared" ref="BI928" si="6132">IF(BH928&lt;0,SUBSTITUTE(TEXT(BH928,"000000000000,00"),",",""),SUBSTITUTE(TEXT(BH928,"0000000000000,00"),",",""))</f>
        <v>000000000000000</v>
      </c>
      <c r="BJ928" s="23">
        <f t="shared" si="6010"/>
        <v>0</v>
      </c>
      <c r="BK928" s="49" t="str">
        <f t="shared" ref="BK928" si="6133">IF(BJ928&lt;0,SUBSTITUTE(TEXT(BJ928,"000000000000,00"),",",""),SUBSTITUTE(TEXT(BJ928,"0000000000000,00"),",",""))</f>
        <v>000000000000000</v>
      </c>
      <c r="BL928" s="23">
        <f t="shared" si="6012"/>
        <v>0</v>
      </c>
      <c r="BM928" s="49" t="str">
        <f t="shared" ref="BM928" si="6134">IF(BL928&lt;0,SUBSTITUTE(TEXT(BL928,"000000000000,00"),",",""),SUBSTITUTE(TEXT(BL928,"0000000000000,00"),",",""))</f>
        <v>000000000000000</v>
      </c>
      <c r="BN928" t="str">
        <f t="shared" si="6014"/>
        <v>PES</v>
      </c>
      <c r="BO928" t="str">
        <f t="shared" si="6015"/>
        <v>0001000000</v>
      </c>
      <c r="BP928">
        <f t="shared" si="6016"/>
        <v>0</v>
      </c>
      <c r="BQ928">
        <f t="shared" si="6017"/>
        <v>0</v>
      </c>
      <c r="BR928" s="23">
        <f t="shared" si="6018"/>
        <v>0</v>
      </c>
      <c r="BS928" s="49" t="str">
        <f t="shared" si="5983"/>
        <v>000000000000000</v>
      </c>
      <c r="BT928" t="str">
        <f t="shared" si="6019"/>
        <v>00000000</v>
      </c>
      <c r="BU928" s="23">
        <f t="shared" si="6020"/>
        <v>0</v>
      </c>
      <c r="BV928" s="49" t="str">
        <f t="shared" si="5984"/>
        <v/>
      </c>
      <c r="BW928" s="52" t="str">
        <f t="shared" si="6021"/>
        <v/>
      </c>
      <c r="BX928" s="23">
        <f t="shared" si="6022"/>
        <v>0</v>
      </c>
      <c r="BY928" s="49" t="str">
        <f t="shared" si="5985"/>
        <v/>
      </c>
      <c r="BZ928" s="23">
        <f t="shared" si="6023"/>
        <v>0</v>
      </c>
      <c r="CA928" s="49" t="str">
        <f t="shared" si="5986"/>
        <v/>
      </c>
      <c r="CB928" s="52" t="str">
        <f t="shared" si="6024"/>
        <v/>
      </c>
      <c r="CC928" s="23">
        <f t="shared" si="6025"/>
        <v>0</v>
      </c>
      <c r="CD928" s="49" t="str">
        <f t="shared" si="5987"/>
        <v/>
      </c>
      <c r="CE928" s="56" t="str">
        <f>IF(CF928="","",MAX(CE$10:$CE927)+1)</f>
        <v/>
      </c>
      <c r="CF928" t="str">
        <f t="shared" si="6026"/>
        <v/>
      </c>
      <c r="CG928" s="22" t="str">
        <f>IF(CH928="","",MAX($CG$10:CG927)+1)</f>
        <v/>
      </c>
      <c r="CH928" s="22" t="str">
        <f t="shared" si="5971"/>
        <v/>
      </c>
      <c r="CI928" s="22" t="str">
        <f>IF(CJ928="","",MAX($CI$10:CI927)+1)</f>
        <v/>
      </c>
      <c r="CJ928" s="22" t="str">
        <f t="shared" si="5972"/>
        <v/>
      </c>
    </row>
    <row r="929" spans="2:88" x14ac:dyDescent="0.25">
      <c r="B929" s="37"/>
      <c r="C929" s="3"/>
      <c r="D929" s="77" t="str">
        <f t="shared" si="5958"/>
        <v/>
      </c>
      <c r="E929" s="38"/>
      <c r="F929" s="38"/>
      <c r="G929" s="78">
        <f t="shared" si="5973"/>
        <v>0</v>
      </c>
      <c r="H929" s="3">
        <v>80</v>
      </c>
      <c r="I929" s="77" t="str">
        <f t="shared" si="5959"/>
        <v/>
      </c>
      <c r="J929" s="32"/>
      <c r="K929" s="3"/>
      <c r="L929" s="39"/>
      <c r="M929" s="39"/>
      <c r="N929" s="39"/>
      <c r="O929" s="39"/>
      <c r="P929" s="39"/>
      <c r="Q929" s="39"/>
      <c r="R929" s="39"/>
      <c r="S929" s="39"/>
      <c r="T929" s="3" t="s">
        <v>645</v>
      </c>
      <c r="U929" s="77" t="str">
        <f t="shared" si="5960"/>
        <v/>
      </c>
      <c r="V929" s="39">
        <v>1</v>
      </c>
      <c r="W929" s="79">
        <f t="shared" si="5974"/>
        <v>0</v>
      </c>
      <c r="X929" s="3">
        <v>0</v>
      </c>
      <c r="Y929" s="77" t="str">
        <f t="shared" si="5961"/>
        <v/>
      </c>
      <c r="Z929" s="3"/>
      <c r="AA929" s="37" t="str">
        <f t="shared" si="5975"/>
        <v/>
      </c>
      <c r="AC929" s="40"/>
      <c r="AD929" s="7"/>
      <c r="AE929" s="77" t="str">
        <f t="shared" si="5962"/>
        <v/>
      </c>
      <c r="AF929" s="81">
        <f t="shared" si="5988"/>
        <v>0</v>
      </c>
      <c r="AG929" s="40"/>
      <c r="AH929" s="7"/>
      <c r="AI929" s="77" t="str">
        <f t="shared" si="5963"/>
        <v/>
      </c>
      <c r="AJ929" s="81">
        <f t="shared" si="5989"/>
        <v>0</v>
      </c>
      <c r="AK929" s="83">
        <f t="shared" si="5990"/>
        <v>0</v>
      </c>
      <c r="AL929" s="83">
        <f t="shared" si="5991"/>
        <v>0</v>
      </c>
      <c r="AN929" s="43">
        <f t="shared" si="5964"/>
        <v>0</v>
      </c>
      <c r="AP929" t="str">
        <f t="shared" si="5992"/>
        <v/>
      </c>
      <c r="AQ929" t="str">
        <f t="shared" si="5993"/>
        <v/>
      </c>
      <c r="AR929" t="str">
        <f t="shared" si="5994"/>
        <v/>
      </c>
      <c r="AS929" t="str">
        <f t="shared" si="5995"/>
        <v/>
      </c>
      <c r="AT929" t="str">
        <f t="shared" si="5996"/>
        <v/>
      </c>
      <c r="AU929" t="str">
        <f t="shared" si="5997"/>
        <v/>
      </c>
      <c r="AV929" t="str">
        <f t="shared" si="5998"/>
        <v/>
      </c>
      <c r="AW929" t="str">
        <f t="shared" si="5999"/>
        <v xml:space="preserve">                              </v>
      </c>
      <c r="AX929" s="23">
        <f t="shared" si="6000"/>
        <v>0</v>
      </c>
      <c r="AY929" s="49" t="str">
        <f t="shared" si="5976"/>
        <v>000000000000000</v>
      </c>
      <c r="AZ929" s="23">
        <f t="shared" si="6001"/>
        <v>0</v>
      </c>
      <c r="BA929" s="49" t="str">
        <f t="shared" si="5976"/>
        <v>000000000000000</v>
      </c>
      <c r="BB929" s="23">
        <f t="shared" si="6002"/>
        <v>0</v>
      </c>
      <c r="BC929" s="49" t="str">
        <f t="shared" ref="BC929" si="6135">IF(BB929&lt;0,SUBSTITUTE(TEXT(BB929,"000000000000,00"),",",""),SUBSTITUTE(TEXT(BB929,"0000000000000,00"),",",""))</f>
        <v>000000000000000</v>
      </c>
      <c r="BD929" s="23">
        <f t="shared" si="6004"/>
        <v>0</v>
      </c>
      <c r="BE929" s="49" t="str">
        <f t="shared" ref="BE929" si="6136">IF(BD929&lt;0,SUBSTITUTE(TEXT(BD929,"000000000000,00"),",",""),SUBSTITUTE(TEXT(BD929,"0000000000000,00"),",",""))</f>
        <v>000000000000000</v>
      </c>
      <c r="BF929" s="23">
        <f t="shared" si="6006"/>
        <v>0</v>
      </c>
      <c r="BG929" s="49" t="str">
        <f t="shared" ref="BG929" si="6137">IF(BF929&lt;0,SUBSTITUTE(TEXT(BF929,"000000000000,00"),",",""),SUBSTITUTE(TEXT(BF929,"0000000000000,00"),",",""))</f>
        <v>000000000000000</v>
      </c>
      <c r="BH929" s="23">
        <f t="shared" si="6008"/>
        <v>0</v>
      </c>
      <c r="BI929" s="49" t="str">
        <f t="shared" ref="BI929" si="6138">IF(BH929&lt;0,SUBSTITUTE(TEXT(BH929,"000000000000,00"),",",""),SUBSTITUTE(TEXT(BH929,"0000000000000,00"),",",""))</f>
        <v>000000000000000</v>
      </c>
      <c r="BJ929" s="23">
        <f t="shared" si="6010"/>
        <v>0</v>
      </c>
      <c r="BK929" s="49" t="str">
        <f t="shared" ref="BK929" si="6139">IF(BJ929&lt;0,SUBSTITUTE(TEXT(BJ929,"000000000000,00"),",",""),SUBSTITUTE(TEXT(BJ929,"0000000000000,00"),",",""))</f>
        <v>000000000000000</v>
      </c>
      <c r="BL929" s="23">
        <f t="shared" si="6012"/>
        <v>0</v>
      </c>
      <c r="BM929" s="49" t="str">
        <f t="shared" ref="BM929" si="6140">IF(BL929&lt;0,SUBSTITUTE(TEXT(BL929,"000000000000,00"),",",""),SUBSTITUTE(TEXT(BL929,"0000000000000,00"),",",""))</f>
        <v>000000000000000</v>
      </c>
      <c r="BN929" t="str">
        <f t="shared" si="6014"/>
        <v>PES</v>
      </c>
      <c r="BO929" t="str">
        <f t="shared" si="6015"/>
        <v>0001000000</v>
      </c>
      <c r="BP929">
        <f t="shared" si="6016"/>
        <v>0</v>
      </c>
      <c r="BQ929">
        <f t="shared" si="6017"/>
        <v>0</v>
      </c>
      <c r="BR929" s="23">
        <f t="shared" si="6018"/>
        <v>0</v>
      </c>
      <c r="BS929" s="49" t="str">
        <f t="shared" si="5983"/>
        <v>000000000000000</v>
      </c>
      <c r="BT929" t="str">
        <f t="shared" si="6019"/>
        <v>00000000</v>
      </c>
      <c r="BU929" s="23">
        <f t="shared" si="6020"/>
        <v>0</v>
      </c>
      <c r="BV929" s="49" t="str">
        <f t="shared" si="5984"/>
        <v/>
      </c>
      <c r="BW929" s="52" t="str">
        <f t="shared" si="6021"/>
        <v/>
      </c>
      <c r="BX929" s="23">
        <f t="shared" si="6022"/>
        <v>0</v>
      </c>
      <c r="BY929" s="49" t="str">
        <f t="shared" si="5985"/>
        <v/>
      </c>
      <c r="BZ929" s="23">
        <f t="shared" si="6023"/>
        <v>0</v>
      </c>
      <c r="CA929" s="49" t="str">
        <f t="shared" si="5986"/>
        <v/>
      </c>
      <c r="CB929" s="52" t="str">
        <f t="shared" si="6024"/>
        <v/>
      </c>
      <c r="CC929" s="23">
        <f t="shared" si="6025"/>
        <v>0</v>
      </c>
      <c r="CD929" s="49" t="str">
        <f t="shared" si="5987"/>
        <v/>
      </c>
      <c r="CE929" s="56" t="str">
        <f>IF(CF929="","",MAX(CE$10:$CE928)+1)</f>
        <v/>
      </c>
      <c r="CF929" t="str">
        <f t="shared" si="6026"/>
        <v/>
      </c>
      <c r="CG929" s="22" t="str">
        <f>IF(CH929="","",MAX($CG$10:CG928)+1)</f>
        <v/>
      </c>
      <c r="CH929" s="22" t="str">
        <f t="shared" si="5971"/>
        <v/>
      </c>
      <c r="CI929" s="22" t="str">
        <f>IF(CJ929="","",MAX($CI$10:CI928)+1)</f>
        <v/>
      </c>
      <c r="CJ929" s="22" t="str">
        <f t="shared" si="5972"/>
        <v/>
      </c>
    </row>
    <row r="930" spans="2:88" x14ac:dyDescent="0.25">
      <c r="B930" s="37"/>
      <c r="C930" s="3"/>
      <c r="D930" s="77" t="str">
        <f t="shared" si="5958"/>
        <v/>
      </c>
      <c r="E930" s="38"/>
      <c r="F930" s="38"/>
      <c r="G930" s="78">
        <f t="shared" si="5973"/>
        <v>0</v>
      </c>
      <c r="H930" s="3">
        <v>80</v>
      </c>
      <c r="I930" s="77" t="str">
        <f t="shared" si="5959"/>
        <v/>
      </c>
      <c r="J930" s="32"/>
      <c r="K930" s="3"/>
      <c r="L930" s="39"/>
      <c r="M930" s="39"/>
      <c r="N930" s="39"/>
      <c r="O930" s="39"/>
      <c r="P930" s="39"/>
      <c r="Q930" s="39"/>
      <c r="R930" s="39"/>
      <c r="S930" s="39"/>
      <c r="T930" s="3" t="s">
        <v>645</v>
      </c>
      <c r="U930" s="77" t="str">
        <f t="shared" si="5960"/>
        <v/>
      </c>
      <c r="V930" s="39">
        <v>1</v>
      </c>
      <c r="W930" s="79">
        <f t="shared" si="5974"/>
        <v>0</v>
      </c>
      <c r="X930" s="3">
        <v>0</v>
      </c>
      <c r="Y930" s="77" t="str">
        <f t="shared" si="5961"/>
        <v/>
      </c>
      <c r="Z930" s="3"/>
      <c r="AA930" s="37" t="str">
        <f t="shared" si="5975"/>
        <v/>
      </c>
      <c r="AC930" s="40"/>
      <c r="AD930" s="7"/>
      <c r="AE930" s="77" t="str">
        <f t="shared" si="5962"/>
        <v/>
      </c>
      <c r="AF930" s="81">
        <f t="shared" si="5988"/>
        <v>0</v>
      </c>
      <c r="AG930" s="40"/>
      <c r="AH930" s="7"/>
      <c r="AI930" s="77" t="str">
        <f t="shared" si="5963"/>
        <v/>
      </c>
      <c r="AJ930" s="81">
        <f t="shared" si="5989"/>
        <v>0</v>
      </c>
      <c r="AK930" s="83">
        <f t="shared" si="5990"/>
        <v>0</v>
      </c>
      <c r="AL930" s="83">
        <f t="shared" si="5991"/>
        <v>0</v>
      </c>
      <c r="AN930" s="43">
        <f t="shared" si="5964"/>
        <v>0</v>
      </c>
      <c r="AP930" t="str">
        <f t="shared" si="5992"/>
        <v/>
      </c>
      <c r="AQ930" t="str">
        <f t="shared" si="5993"/>
        <v/>
      </c>
      <c r="AR930" t="str">
        <f t="shared" si="5994"/>
        <v/>
      </c>
      <c r="AS930" t="str">
        <f t="shared" si="5995"/>
        <v/>
      </c>
      <c r="AT930" t="str">
        <f t="shared" si="5996"/>
        <v/>
      </c>
      <c r="AU930" t="str">
        <f t="shared" si="5997"/>
        <v/>
      </c>
      <c r="AV930" t="str">
        <f t="shared" si="5998"/>
        <v/>
      </c>
      <c r="AW930" t="str">
        <f t="shared" si="5999"/>
        <v xml:space="preserve">                              </v>
      </c>
      <c r="AX930" s="23">
        <f t="shared" si="6000"/>
        <v>0</v>
      </c>
      <c r="AY930" s="49" t="str">
        <f t="shared" si="5976"/>
        <v>000000000000000</v>
      </c>
      <c r="AZ930" s="23">
        <f t="shared" si="6001"/>
        <v>0</v>
      </c>
      <c r="BA930" s="49" t="str">
        <f t="shared" si="5976"/>
        <v>000000000000000</v>
      </c>
      <c r="BB930" s="23">
        <f t="shared" si="6002"/>
        <v>0</v>
      </c>
      <c r="BC930" s="49" t="str">
        <f t="shared" ref="BC930" si="6141">IF(BB930&lt;0,SUBSTITUTE(TEXT(BB930,"000000000000,00"),",",""),SUBSTITUTE(TEXT(BB930,"0000000000000,00"),",",""))</f>
        <v>000000000000000</v>
      </c>
      <c r="BD930" s="23">
        <f t="shared" si="6004"/>
        <v>0</v>
      </c>
      <c r="BE930" s="49" t="str">
        <f t="shared" ref="BE930" si="6142">IF(BD930&lt;0,SUBSTITUTE(TEXT(BD930,"000000000000,00"),",",""),SUBSTITUTE(TEXT(BD930,"0000000000000,00"),",",""))</f>
        <v>000000000000000</v>
      </c>
      <c r="BF930" s="23">
        <f t="shared" si="6006"/>
        <v>0</v>
      </c>
      <c r="BG930" s="49" t="str">
        <f t="shared" ref="BG930" si="6143">IF(BF930&lt;0,SUBSTITUTE(TEXT(BF930,"000000000000,00"),",",""),SUBSTITUTE(TEXT(BF930,"0000000000000,00"),",",""))</f>
        <v>000000000000000</v>
      </c>
      <c r="BH930" s="23">
        <f t="shared" si="6008"/>
        <v>0</v>
      </c>
      <c r="BI930" s="49" t="str">
        <f t="shared" ref="BI930" si="6144">IF(BH930&lt;0,SUBSTITUTE(TEXT(BH930,"000000000000,00"),",",""),SUBSTITUTE(TEXT(BH930,"0000000000000,00"),",",""))</f>
        <v>000000000000000</v>
      </c>
      <c r="BJ930" s="23">
        <f t="shared" si="6010"/>
        <v>0</v>
      </c>
      <c r="BK930" s="49" t="str">
        <f t="shared" ref="BK930" si="6145">IF(BJ930&lt;0,SUBSTITUTE(TEXT(BJ930,"000000000000,00"),",",""),SUBSTITUTE(TEXT(BJ930,"0000000000000,00"),",",""))</f>
        <v>000000000000000</v>
      </c>
      <c r="BL930" s="23">
        <f t="shared" si="6012"/>
        <v>0</v>
      </c>
      <c r="BM930" s="49" t="str">
        <f t="shared" ref="BM930" si="6146">IF(BL930&lt;0,SUBSTITUTE(TEXT(BL930,"000000000000,00"),",",""),SUBSTITUTE(TEXT(BL930,"0000000000000,00"),",",""))</f>
        <v>000000000000000</v>
      </c>
      <c r="BN930" t="str">
        <f t="shared" si="6014"/>
        <v>PES</v>
      </c>
      <c r="BO930" t="str">
        <f t="shared" si="6015"/>
        <v>0001000000</v>
      </c>
      <c r="BP930">
        <f t="shared" si="6016"/>
        <v>0</v>
      </c>
      <c r="BQ930">
        <f t="shared" si="6017"/>
        <v>0</v>
      </c>
      <c r="BR930" s="23">
        <f t="shared" si="6018"/>
        <v>0</v>
      </c>
      <c r="BS930" s="49" t="str">
        <f t="shared" si="5983"/>
        <v>000000000000000</v>
      </c>
      <c r="BT930" t="str">
        <f t="shared" si="6019"/>
        <v>00000000</v>
      </c>
      <c r="BU930" s="23">
        <f t="shared" si="6020"/>
        <v>0</v>
      </c>
      <c r="BV930" s="49" t="str">
        <f t="shared" si="5984"/>
        <v/>
      </c>
      <c r="BW930" s="52" t="str">
        <f t="shared" si="6021"/>
        <v/>
      </c>
      <c r="BX930" s="23">
        <f t="shared" si="6022"/>
        <v>0</v>
      </c>
      <c r="BY930" s="49" t="str">
        <f t="shared" si="5985"/>
        <v/>
      </c>
      <c r="BZ930" s="23">
        <f t="shared" si="6023"/>
        <v>0</v>
      </c>
      <c r="CA930" s="49" t="str">
        <f t="shared" si="5986"/>
        <v/>
      </c>
      <c r="CB930" s="52" t="str">
        <f t="shared" si="6024"/>
        <v/>
      </c>
      <c r="CC930" s="23">
        <f t="shared" si="6025"/>
        <v>0</v>
      </c>
      <c r="CD930" s="49" t="str">
        <f t="shared" si="5987"/>
        <v/>
      </c>
      <c r="CE930" s="56" t="str">
        <f>IF(CF930="","",MAX(CE$10:$CE929)+1)</f>
        <v/>
      </c>
      <c r="CF930" t="str">
        <f t="shared" si="6026"/>
        <v/>
      </c>
      <c r="CG930" s="22" t="str">
        <f>IF(CH930="","",MAX($CG$10:CG929)+1)</f>
        <v/>
      </c>
      <c r="CH930" s="22" t="str">
        <f t="shared" si="5971"/>
        <v/>
      </c>
      <c r="CI930" s="22" t="str">
        <f>IF(CJ930="","",MAX($CI$10:CI929)+1)</f>
        <v/>
      </c>
      <c r="CJ930" s="22" t="str">
        <f t="shared" si="5972"/>
        <v/>
      </c>
    </row>
    <row r="931" spans="2:88" x14ac:dyDescent="0.25">
      <c r="B931" s="37"/>
      <c r="C931" s="3"/>
      <c r="D931" s="77" t="str">
        <f t="shared" si="5958"/>
        <v/>
      </c>
      <c r="E931" s="38"/>
      <c r="F931" s="38"/>
      <c r="G931" s="78">
        <f t="shared" si="5973"/>
        <v>0</v>
      </c>
      <c r="H931" s="3">
        <v>80</v>
      </c>
      <c r="I931" s="77" t="str">
        <f t="shared" si="5959"/>
        <v/>
      </c>
      <c r="J931" s="32"/>
      <c r="K931" s="3"/>
      <c r="L931" s="39"/>
      <c r="M931" s="39"/>
      <c r="N931" s="39"/>
      <c r="O931" s="39"/>
      <c r="P931" s="39"/>
      <c r="Q931" s="39"/>
      <c r="R931" s="39"/>
      <c r="S931" s="39"/>
      <c r="T931" s="3" t="s">
        <v>645</v>
      </c>
      <c r="U931" s="77" t="str">
        <f t="shared" si="5960"/>
        <v/>
      </c>
      <c r="V931" s="39">
        <v>1</v>
      </c>
      <c r="W931" s="79">
        <f t="shared" si="5974"/>
        <v>0</v>
      </c>
      <c r="X931" s="3">
        <v>0</v>
      </c>
      <c r="Y931" s="77" t="str">
        <f t="shared" si="5961"/>
        <v/>
      </c>
      <c r="Z931" s="3"/>
      <c r="AA931" s="37" t="str">
        <f t="shared" si="5975"/>
        <v/>
      </c>
      <c r="AC931" s="40"/>
      <c r="AD931" s="7"/>
      <c r="AE931" s="77" t="str">
        <f t="shared" si="5962"/>
        <v/>
      </c>
      <c r="AF931" s="81">
        <f t="shared" si="5988"/>
        <v>0</v>
      </c>
      <c r="AG931" s="40"/>
      <c r="AH931" s="7"/>
      <c r="AI931" s="77" t="str">
        <f t="shared" si="5963"/>
        <v/>
      </c>
      <c r="AJ931" s="81">
        <f t="shared" si="5989"/>
        <v>0</v>
      </c>
      <c r="AK931" s="83">
        <f t="shared" si="5990"/>
        <v>0</v>
      </c>
      <c r="AL931" s="83">
        <f t="shared" si="5991"/>
        <v>0</v>
      </c>
      <c r="AN931" s="43">
        <f t="shared" si="5964"/>
        <v>0</v>
      </c>
      <c r="AP931" t="str">
        <f t="shared" si="5992"/>
        <v/>
      </c>
      <c r="AQ931" t="str">
        <f t="shared" si="5993"/>
        <v/>
      </c>
      <c r="AR931" t="str">
        <f t="shared" si="5994"/>
        <v/>
      </c>
      <c r="AS931" t="str">
        <f t="shared" si="5995"/>
        <v/>
      </c>
      <c r="AT931" t="str">
        <f t="shared" si="5996"/>
        <v/>
      </c>
      <c r="AU931" t="str">
        <f t="shared" si="5997"/>
        <v/>
      </c>
      <c r="AV931" t="str">
        <f t="shared" si="5998"/>
        <v/>
      </c>
      <c r="AW931" t="str">
        <f t="shared" si="5999"/>
        <v xml:space="preserve">                              </v>
      </c>
      <c r="AX931" s="23">
        <f t="shared" si="6000"/>
        <v>0</v>
      </c>
      <c r="AY931" s="49" t="str">
        <f t="shared" si="5976"/>
        <v>000000000000000</v>
      </c>
      <c r="AZ931" s="23">
        <f t="shared" si="6001"/>
        <v>0</v>
      </c>
      <c r="BA931" s="49" t="str">
        <f t="shared" si="5976"/>
        <v>000000000000000</v>
      </c>
      <c r="BB931" s="23">
        <f t="shared" si="6002"/>
        <v>0</v>
      </c>
      <c r="BC931" s="49" t="str">
        <f t="shared" ref="BC931" si="6147">IF(BB931&lt;0,SUBSTITUTE(TEXT(BB931,"000000000000,00"),",",""),SUBSTITUTE(TEXT(BB931,"0000000000000,00"),",",""))</f>
        <v>000000000000000</v>
      </c>
      <c r="BD931" s="23">
        <f t="shared" si="6004"/>
        <v>0</v>
      </c>
      <c r="BE931" s="49" t="str">
        <f t="shared" ref="BE931" si="6148">IF(BD931&lt;0,SUBSTITUTE(TEXT(BD931,"000000000000,00"),",",""),SUBSTITUTE(TEXT(BD931,"0000000000000,00"),",",""))</f>
        <v>000000000000000</v>
      </c>
      <c r="BF931" s="23">
        <f t="shared" si="6006"/>
        <v>0</v>
      </c>
      <c r="BG931" s="49" t="str">
        <f t="shared" ref="BG931" si="6149">IF(BF931&lt;0,SUBSTITUTE(TEXT(BF931,"000000000000,00"),",",""),SUBSTITUTE(TEXT(BF931,"0000000000000,00"),",",""))</f>
        <v>000000000000000</v>
      </c>
      <c r="BH931" s="23">
        <f t="shared" si="6008"/>
        <v>0</v>
      </c>
      <c r="BI931" s="49" t="str">
        <f t="shared" ref="BI931" si="6150">IF(BH931&lt;0,SUBSTITUTE(TEXT(BH931,"000000000000,00"),",",""),SUBSTITUTE(TEXT(BH931,"0000000000000,00"),",",""))</f>
        <v>000000000000000</v>
      </c>
      <c r="BJ931" s="23">
        <f t="shared" si="6010"/>
        <v>0</v>
      </c>
      <c r="BK931" s="49" t="str">
        <f t="shared" ref="BK931" si="6151">IF(BJ931&lt;0,SUBSTITUTE(TEXT(BJ931,"000000000000,00"),",",""),SUBSTITUTE(TEXT(BJ931,"0000000000000,00"),",",""))</f>
        <v>000000000000000</v>
      </c>
      <c r="BL931" s="23">
        <f t="shared" si="6012"/>
        <v>0</v>
      </c>
      <c r="BM931" s="49" t="str">
        <f t="shared" ref="BM931" si="6152">IF(BL931&lt;0,SUBSTITUTE(TEXT(BL931,"000000000000,00"),",",""),SUBSTITUTE(TEXT(BL931,"0000000000000,00"),",",""))</f>
        <v>000000000000000</v>
      </c>
      <c r="BN931" t="str">
        <f t="shared" si="6014"/>
        <v>PES</v>
      </c>
      <c r="BO931" t="str">
        <f t="shared" si="6015"/>
        <v>0001000000</v>
      </c>
      <c r="BP931">
        <f t="shared" si="6016"/>
        <v>0</v>
      </c>
      <c r="BQ931">
        <f t="shared" si="6017"/>
        <v>0</v>
      </c>
      <c r="BR931" s="23">
        <f t="shared" si="6018"/>
        <v>0</v>
      </c>
      <c r="BS931" s="49" t="str">
        <f t="shared" si="5983"/>
        <v>000000000000000</v>
      </c>
      <c r="BT931" t="str">
        <f t="shared" si="6019"/>
        <v>00000000</v>
      </c>
      <c r="BU931" s="23">
        <f t="shared" si="6020"/>
        <v>0</v>
      </c>
      <c r="BV931" s="49" t="str">
        <f t="shared" si="5984"/>
        <v/>
      </c>
      <c r="BW931" s="52" t="str">
        <f t="shared" si="6021"/>
        <v/>
      </c>
      <c r="BX931" s="23">
        <f t="shared" si="6022"/>
        <v>0</v>
      </c>
      <c r="BY931" s="49" t="str">
        <f t="shared" si="5985"/>
        <v/>
      </c>
      <c r="BZ931" s="23">
        <f t="shared" si="6023"/>
        <v>0</v>
      </c>
      <c r="CA931" s="49" t="str">
        <f t="shared" si="5986"/>
        <v/>
      </c>
      <c r="CB931" s="52" t="str">
        <f t="shared" si="6024"/>
        <v/>
      </c>
      <c r="CC931" s="23">
        <f t="shared" si="6025"/>
        <v>0</v>
      </c>
      <c r="CD931" s="49" t="str">
        <f t="shared" si="5987"/>
        <v/>
      </c>
      <c r="CE931" s="56" t="str">
        <f>IF(CF931="","",MAX(CE$10:$CE930)+1)</f>
        <v/>
      </c>
      <c r="CF931" t="str">
        <f t="shared" si="6026"/>
        <v/>
      </c>
      <c r="CG931" s="22" t="str">
        <f>IF(CH931="","",MAX($CG$10:CG930)+1)</f>
        <v/>
      </c>
      <c r="CH931" s="22" t="str">
        <f t="shared" si="5971"/>
        <v/>
      </c>
      <c r="CI931" s="22" t="str">
        <f>IF(CJ931="","",MAX($CI$10:CI930)+1)</f>
        <v/>
      </c>
      <c r="CJ931" s="22" t="str">
        <f t="shared" si="5972"/>
        <v/>
      </c>
    </row>
    <row r="932" spans="2:88" x14ac:dyDescent="0.25">
      <c r="B932" s="37"/>
      <c r="C932" s="3"/>
      <c r="D932" s="77" t="str">
        <f t="shared" si="5958"/>
        <v/>
      </c>
      <c r="E932" s="38"/>
      <c r="F932" s="38"/>
      <c r="G932" s="78">
        <f t="shared" si="5973"/>
        <v>0</v>
      </c>
      <c r="H932" s="3">
        <v>80</v>
      </c>
      <c r="I932" s="77" t="str">
        <f t="shared" si="5959"/>
        <v/>
      </c>
      <c r="J932" s="32"/>
      <c r="K932" s="3"/>
      <c r="L932" s="39"/>
      <c r="M932" s="39"/>
      <c r="N932" s="39"/>
      <c r="O932" s="39"/>
      <c r="P932" s="39"/>
      <c r="Q932" s="39"/>
      <c r="R932" s="39"/>
      <c r="S932" s="39"/>
      <c r="T932" s="3" t="s">
        <v>645</v>
      </c>
      <c r="U932" s="77" t="str">
        <f t="shared" si="5960"/>
        <v/>
      </c>
      <c r="V932" s="39">
        <v>1</v>
      </c>
      <c r="W932" s="79">
        <f t="shared" si="5974"/>
        <v>0</v>
      </c>
      <c r="X932" s="3">
        <v>0</v>
      </c>
      <c r="Y932" s="77" t="str">
        <f t="shared" si="5961"/>
        <v/>
      </c>
      <c r="Z932" s="3"/>
      <c r="AA932" s="37" t="str">
        <f t="shared" si="5975"/>
        <v/>
      </c>
      <c r="AC932" s="40"/>
      <c r="AD932" s="7"/>
      <c r="AE932" s="77" t="str">
        <f t="shared" si="5962"/>
        <v/>
      </c>
      <c r="AF932" s="81">
        <f t="shared" si="5988"/>
        <v>0</v>
      </c>
      <c r="AG932" s="40"/>
      <c r="AH932" s="7"/>
      <c r="AI932" s="77" t="str">
        <f t="shared" si="5963"/>
        <v/>
      </c>
      <c r="AJ932" s="81">
        <f t="shared" si="5989"/>
        <v>0</v>
      </c>
      <c r="AK932" s="83">
        <f t="shared" si="5990"/>
        <v>0</v>
      </c>
      <c r="AL932" s="83">
        <f t="shared" si="5991"/>
        <v>0</v>
      </c>
      <c r="AN932" s="43">
        <f t="shared" si="5964"/>
        <v>0</v>
      </c>
      <c r="AP932" t="str">
        <f t="shared" si="5992"/>
        <v/>
      </c>
      <c r="AQ932" t="str">
        <f t="shared" si="5993"/>
        <v/>
      </c>
      <c r="AR932" t="str">
        <f t="shared" si="5994"/>
        <v/>
      </c>
      <c r="AS932" t="str">
        <f t="shared" si="5995"/>
        <v/>
      </c>
      <c r="AT932" t="str">
        <f t="shared" si="5996"/>
        <v/>
      </c>
      <c r="AU932" t="str">
        <f t="shared" si="5997"/>
        <v/>
      </c>
      <c r="AV932" t="str">
        <f t="shared" si="5998"/>
        <v/>
      </c>
      <c r="AW932" t="str">
        <f t="shared" si="5999"/>
        <v xml:space="preserve">                              </v>
      </c>
      <c r="AX932" s="23">
        <f t="shared" si="6000"/>
        <v>0</v>
      </c>
      <c r="AY932" s="49" t="str">
        <f t="shared" si="5976"/>
        <v>000000000000000</v>
      </c>
      <c r="AZ932" s="23">
        <f t="shared" si="6001"/>
        <v>0</v>
      </c>
      <c r="BA932" s="49" t="str">
        <f t="shared" si="5976"/>
        <v>000000000000000</v>
      </c>
      <c r="BB932" s="23">
        <f t="shared" si="6002"/>
        <v>0</v>
      </c>
      <c r="BC932" s="49" t="str">
        <f t="shared" ref="BC932" si="6153">IF(BB932&lt;0,SUBSTITUTE(TEXT(BB932,"000000000000,00"),",",""),SUBSTITUTE(TEXT(BB932,"0000000000000,00"),",",""))</f>
        <v>000000000000000</v>
      </c>
      <c r="BD932" s="23">
        <f t="shared" si="6004"/>
        <v>0</v>
      </c>
      <c r="BE932" s="49" t="str">
        <f t="shared" ref="BE932" si="6154">IF(BD932&lt;0,SUBSTITUTE(TEXT(BD932,"000000000000,00"),",",""),SUBSTITUTE(TEXT(BD932,"0000000000000,00"),",",""))</f>
        <v>000000000000000</v>
      </c>
      <c r="BF932" s="23">
        <f t="shared" si="6006"/>
        <v>0</v>
      </c>
      <c r="BG932" s="49" t="str">
        <f t="shared" ref="BG932" si="6155">IF(BF932&lt;0,SUBSTITUTE(TEXT(BF932,"000000000000,00"),",",""),SUBSTITUTE(TEXT(BF932,"0000000000000,00"),",",""))</f>
        <v>000000000000000</v>
      </c>
      <c r="BH932" s="23">
        <f t="shared" si="6008"/>
        <v>0</v>
      </c>
      <c r="BI932" s="49" t="str">
        <f t="shared" ref="BI932" si="6156">IF(BH932&lt;0,SUBSTITUTE(TEXT(BH932,"000000000000,00"),",",""),SUBSTITUTE(TEXT(BH932,"0000000000000,00"),",",""))</f>
        <v>000000000000000</v>
      </c>
      <c r="BJ932" s="23">
        <f t="shared" si="6010"/>
        <v>0</v>
      </c>
      <c r="BK932" s="49" t="str">
        <f t="shared" ref="BK932" si="6157">IF(BJ932&lt;0,SUBSTITUTE(TEXT(BJ932,"000000000000,00"),",",""),SUBSTITUTE(TEXT(BJ932,"0000000000000,00"),",",""))</f>
        <v>000000000000000</v>
      </c>
      <c r="BL932" s="23">
        <f t="shared" si="6012"/>
        <v>0</v>
      </c>
      <c r="BM932" s="49" t="str">
        <f t="shared" ref="BM932" si="6158">IF(BL932&lt;0,SUBSTITUTE(TEXT(BL932,"000000000000,00"),",",""),SUBSTITUTE(TEXT(BL932,"0000000000000,00"),",",""))</f>
        <v>000000000000000</v>
      </c>
      <c r="BN932" t="str">
        <f t="shared" si="6014"/>
        <v>PES</v>
      </c>
      <c r="BO932" t="str">
        <f t="shared" si="6015"/>
        <v>0001000000</v>
      </c>
      <c r="BP932">
        <f t="shared" si="6016"/>
        <v>0</v>
      </c>
      <c r="BQ932">
        <f t="shared" si="6017"/>
        <v>0</v>
      </c>
      <c r="BR932" s="23">
        <f t="shared" si="6018"/>
        <v>0</v>
      </c>
      <c r="BS932" s="49" t="str">
        <f t="shared" si="5983"/>
        <v>000000000000000</v>
      </c>
      <c r="BT932" t="str">
        <f t="shared" si="6019"/>
        <v>00000000</v>
      </c>
      <c r="BU932" s="23">
        <f t="shared" si="6020"/>
        <v>0</v>
      </c>
      <c r="BV932" s="49" t="str">
        <f t="shared" si="5984"/>
        <v/>
      </c>
      <c r="BW932" s="52" t="str">
        <f t="shared" si="6021"/>
        <v/>
      </c>
      <c r="BX932" s="23">
        <f t="shared" si="6022"/>
        <v>0</v>
      </c>
      <c r="BY932" s="49" t="str">
        <f t="shared" si="5985"/>
        <v/>
      </c>
      <c r="BZ932" s="23">
        <f t="shared" si="6023"/>
        <v>0</v>
      </c>
      <c r="CA932" s="49" t="str">
        <f t="shared" si="5986"/>
        <v/>
      </c>
      <c r="CB932" s="52" t="str">
        <f t="shared" si="6024"/>
        <v/>
      </c>
      <c r="CC932" s="23">
        <f t="shared" si="6025"/>
        <v>0</v>
      </c>
      <c r="CD932" s="49" t="str">
        <f t="shared" si="5987"/>
        <v/>
      </c>
      <c r="CE932" s="56" t="str">
        <f>IF(CF932="","",MAX(CE$10:$CE931)+1)</f>
        <v/>
      </c>
      <c r="CF932" t="str">
        <f t="shared" si="6026"/>
        <v/>
      </c>
      <c r="CG932" s="22" t="str">
        <f>IF(CH932="","",MAX($CG$10:CG931)+1)</f>
        <v/>
      </c>
      <c r="CH932" s="22" t="str">
        <f t="shared" si="5971"/>
        <v/>
      </c>
      <c r="CI932" s="22" t="str">
        <f>IF(CJ932="","",MAX($CI$10:CI931)+1)</f>
        <v/>
      </c>
      <c r="CJ932" s="22" t="str">
        <f t="shared" si="5972"/>
        <v/>
      </c>
    </row>
    <row r="933" spans="2:88" x14ac:dyDescent="0.25">
      <c r="B933" s="37"/>
      <c r="C933" s="3"/>
      <c r="D933" s="77" t="str">
        <f t="shared" si="5958"/>
        <v/>
      </c>
      <c r="E933" s="38"/>
      <c r="F933" s="38"/>
      <c r="G933" s="78">
        <f t="shared" si="5973"/>
        <v>0</v>
      </c>
      <c r="H933" s="3">
        <v>80</v>
      </c>
      <c r="I933" s="77" t="str">
        <f t="shared" si="5959"/>
        <v/>
      </c>
      <c r="J933" s="32"/>
      <c r="K933" s="3"/>
      <c r="L933" s="39"/>
      <c r="M933" s="39"/>
      <c r="N933" s="39"/>
      <c r="O933" s="39"/>
      <c r="P933" s="39"/>
      <c r="Q933" s="39"/>
      <c r="R933" s="39"/>
      <c r="S933" s="39"/>
      <c r="T933" s="3" t="s">
        <v>645</v>
      </c>
      <c r="U933" s="77" t="str">
        <f t="shared" si="5960"/>
        <v/>
      </c>
      <c r="V933" s="39">
        <v>1</v>
      </c>
      <c r="W933" s="79">
        <f t="shared" si="5974"/>
        <v>0</v>
      </c>
      <c r="X933" s="3">
        <v>0</v>
      </c>
      <c r="Y933" s="77" t="str">
        <f t="shared" si="5961"/>
        <v/>
      </c>
      <c r="Z933" s="3"/>
      <c r="AA933" s="37" t="str">
        <f t="shared" si="5975"/>
        <v/>
      </c>
      <c r="AC933" s="40"/>
      <c r="AD933" s="7"/>
      <c r="AE933" s="77" t="str">
        <f t="shared" si="5962"/>
        <v/>
      </c>
      <c r="AF933" s="81">
        <f t="shared" si="5988"/>
        <v>0</v>
      </c>
      <c r="AG933" s="40"/>
      <c r="AH933" s="7"/>
      <c r="AI933" s="77" t="str">
        <f t="shared" si="5963"/>
        <v/>
      </c>
      <c r="AJ933" s="81">
        <f t="shared" si="5989"/>
        <v>0</v>
      </c>
      <c r="AK933" s="83">
        <f t="shared" si="5990"/>
        <v>0</v>
      </c>
      <c r="AL933" s="83">
        <f t="shared" si="5991"/>
        <v>0</v>
      </c>
      <c r="AN933" s="43">
        <f t="shared" si="5964"/>
        <v>0</v>
      </c>
      <c r="AP933" t="str">
        <f t="shared" si="5992"/>
        <v/>
      </c>
      <c r="AQ933" t="str">
        <f t="shared" si="5993"/>
        <v/>
      </c>
      <c r="AR933" t="str">
        <f t="shared" si="5994"/>
        <v/>
      </c>
      <c r="AS933" t="str">
        <f t="shared" si="5995"/>
        <v/>
      </c>
      <c r="AT933" t="str">
        <f t="shared" si="5996"/>
        <v/>
      </c>
      <c r="AU933" t="str">
        <f t="shared" si="5997"/>
        <v/>
      </c>
      <c r="AV933" t="str">
        <f t="shared" si="5998"/>
        <v/>
      </c>
      <c r="AW933" t="str">
        <f t="shared" si="5999"/>
        <v xml:space="preserve">                              </v>
      </c>
      <c r="AX933" s="23">
        <f t="shared" si="6000"/>
        <v>0</v>
      </c>
      <c r="AY933" s="49" t="str">
        <f t="shared" si="5976"/>
        <v>000000000000000</v>
      </c>
      <c r="AZ933" s="23">
        <f t="shared" si="6001"/>
        <v>0</v>
      </c>
      <c r="BA933" s="49" t="str">
        <f t="shared" si="5976"/>
        <v>000000000000000</v>
      </c>
      <c r="BB933" s="23">
        <f t="shared" si="6002"/>
        <v>0</v>
      </c>
      <c r="BC933" s="49" t="str">
        <f t="shared" ref="BC933" si="6159">IF(BB933&lt;0,SUBSTITUTE(TEXT(BB933,"000000000000,00"),",",""),SUBSTITUTE(TEXT(BB933,"0000000000000,00"),",",""))</f>
        <v>000000000000000</v>
      </c>
      <c r="BD933" s="23">
        <f t="shared" si="6004"/>
        <v>0</v>
      </c>
      <c r="BE933" s="49" t="str">
        <f t="shared" ref="BE933" si="6160">IF(BD933&lt;0,SUBSTITUTE(TEXT(BD933,"000000000000,00"),",",""),SUBSTITUTE(TEXT(BD933,"0000000000000,00"),",",""))</f>
        <v>000000000000000</v>
      </c>
      <c r="BF933" s="23">
        <f t="shared" si="6006"/>
        <v>0</v>
      </c>
      <c r="BG933" s="49" t="str">
        <f t="shared" ref="BG933" si="6161">IF(BF933&lt;0,SUBSTITUTE(TEXT(BF933,"000000000000,00"),",",""),SUBSTITUTE(TEXT(BF933,"0000000000000,00"),",",""))</f>
        <v>000000000000000</v>
      </c>
      <c r="BH933" s="23">
        <f t="shared" si="6008"/>
        <v>0</v>
      </c>
      <c r="BI933" s="49" t="str">
        <f t="shared" ref="BI933" si="6162">IF(BH933&lt;0,SUBSTITUTE(TEXT(BH933,"000000000000,00"),",",""),SUBSTITUTE(TEXT(BH933,"0000000000000,00"),",",""))</f>
        <v>000000000000000</v>
      </c>
      <c r="BJ933" s="23">
        <f t="shared" si="6010"/>
        <v>0</v>
      </c>
      <c r="BK933" s="49" t="str">
        <f t="shared" ref="BK933" si="6163">IF(BJ933&lt;0,SUBSTITUTE(TEXT(BJ933,"000000000000,00"),",",""),SUBSTITUTE(TEXT(BJ933,"0000000000000,00"),",",""))</f>
        <v>000000000000000</v>
      </c>
      <c r="BL933" s="23">
        <f t="shared" si="6012"/>
        <v>0</v>
      </c>
      <c r="BM933" s="49" t="str">
        <f t="shared" ref="BM933" si="6164">IF(BL933&lt;0,SUBSTITUTE(TEXT(BL933,"000000000000,00"),",",""),SUBSTITUTE(TEXT(BL933,"0000000000000,00"),",",""))</f>
        <v>000000000000000</v>
      </c>
      <c r="BN933" t="str">
        <f t="shared" si="6014"/>
        <v>PES</v>
      </c>
      <c r="BO933" t="str">
        <f t="shared" si="6015"/>
        <v>0001000000</v>
      </c>
      <c r="BP933">
        <f t="shared" si="6016"/>
        <v>0</v>
      </c>
      <c r="BQ933">
        <f t="shared" si="6017"/>
        <v>0</v>
      </c>
      <c r="BR933" s="23">
        <f t="shared" si="6018"/>
        <v>0</v>
      </c>
      <c r="BS933" s="49" t="str">
        <f t="shared" si="5983"/>
        <v>000000000000000</v>
      </c>
      <c r="BT933" t="str">
        <f t="shared" si="6019"/>
        <v>00000000</v>
      </c>
      <c r="BU933" s="23">
        <f t="shared" si="6020"/>
        <v>0</v>
      </c>
      <c r="BV933" s="49" t="str">
        <f t="shared" si="5984"/>
        <v/>
      </c>
      <c r="BW933" s="52" t="str">
        <f t="shared" si="6021"/>
        <v/>
      </c>
      <c r="BX933" s="23">
        <f t="shared" si="6022"/>
        <v>0</v>
      </c>
      <c r="BY933" s="49" t="str">
        <f t="shared" si="5985"/>
        <v/>
      </c>
      <c r="BZ933" s="23">
        <f t="shared" si="6023"/>
        <v>0</v>
      </c>
      <c r="CA933" s="49" t="str">
        <f t="shared" si="5986"/>
        <v/>
      </c>
      <c r="CB933" s="52" t="str">
        <f t="shared" si="6024"/>
        <v/>
      </c>
      <c r="CC933" s="23">
        <f t="shared" si="6025"/>
        <v>0</v>
      </c>
      <c r="CD933" s="49" t="str">
        <f t="shared" si="5987"/>
        <v/>
      </c>
      <c r="CE933" s="56" t="str">
        <f>IF(CF933="","",MAX(CE$10:$CE932)+1)</f>
        <v/>
      </c>
      <c r="CF933" t="str">
        <f t="shared" si="6026"/>
        <v/>
      </c>
      <c r="CG933" s="22" t="str">
        <f>IF(CH933="","",MAX($CG$10:CG932)+1)</f>
        <v/>
      </c>
      <c r="CH933" s="22" t="str">
        <f t="shared" si="5971"/>
        <v/>
      </c>
      <c r="CI933" s="22" t="str">
        <f>IF(CJ933="","",MAX($CI$10:CI932)+1)</f>
        <v/>
      </c>
      <c r="CJ933" s="22" t="str">
        <f t="shared" si="5972"/>
        <v/>
      </c>
    </row>
    <row r="934" spans="2:88" x14ac:dyDescent="0.25">
      <c r="B934" s="37"/>
      <c r="C934" s="3"/>
      <c r="D934" s="77" t="str">
        <f t="shared" si="5958"/>
        <v/>
      </c>
      <c r="E934" s="38"/>
      <c r="F934" s="38"/>
      <c r="G934" s="78">
        <f t="shared" si="5973"/>
        <v>0</v>
      </c>
      <c r="H934" s="3">
        <v>80</v>
      </c>
      <c r="I934" s="77" t="str">
        <f t="shared" si="5959"/>
        <v/>
      </c>
      <c r="J934" s="32"/>
      <c r="K934" s="3"/>
      <c r="L934" s="39"/>
      <c r="M934" s="39"/>
      <c r="N934" s="39"/>
      <c r="O934" s="39"/>
      <c r="P934" s="39"/>
      <c r="Q934" s="39"/>
      <c r="R934" s="39"/>
      <c r="S934" s="39"/>
      <c r="T934" s="3" t="s">
        <v>645</v>
      </c>
      <c r="U934" s="77" t="str">
        <f t="shared" si="5960"/>
        <v/>
      </c>
      <c r="V934" s="39">
        <v>1</v>
      </c>
      <c r="W934" s="79">
        <f t="shared" si="5974"/>
        <v>0</v>
      </c>
      <c r="X934" s="3">
        <v>0</v>
      </c>
      <c r="Y934" s="77" t="str">
        <f t="shared" si="5961"/>
        <v/>
      </c>
      <c r="Z934" s="3"/>
      <c r="AA934" s="37" t="str">
        <f t="shared" si="5975"/>
        <v/>
      </c>
      <c r="AC934" s="40"/>
      <c r="AD934" s="7"/>
      <c r="AE934" s="77" t="str">
        <f t="shared" si="5962"/>
        <v/>
      </c>
      <c r="AF934" s="81">
        <f t="shared" si="5988"/>
        <v>0</v>
      </c>
      <c r="AG934" s="40"/>
      <c r="AH934" s="7"/>
      <c r="AI934" s="77" t="str">
        <f t="shared" si="5963"/>
        <v/>
      </c>
      <c r="AJ934" s="81">
        <f t="shared" si="5989"/>
        <v>0</v>
      </c>
      <c r="AK934" s="83">
        <f t="shared" si="5990"/>
        <v>0</v>
      </c>
      <c r="AL934" s="83">
        <f t="shared" si="5991"/>
        <v>0</v>
      </c>
      <c r="AN934" s="43">
        <f t="shared" si="5964"/>
        <v>0</v>
      </c>
      <c r="AP934" t="str">
        <f t="shared" si="5992"/>
        <v/>
      </c>
      <c r="AQ934" t="str">
        <f t="shared" si="5993"/>
        <v/>
      </c>
      <c r="AR934" t="str">
        <f t="shared" si="5994"/>
        <v/>
      </c>
      <c r="AS934" t="str">
        <f t="shared" si="5995"/>
        <v/>
      </c>
      <c r="AT934" t="str">
        <f t="shared" si="5996"/>
        <v/>
      </c>
      <c r="AU934" t="str">
        <f t="shared" si="5997"/>
        <v/>
      </c>
      <c r="AV934" t="str">
        <f t="shared" si="5998"/>
        <v/>
      </c>
      <c r="AW934" t="str">
        <f t="shared" si="5999"/>
        <v xml:space="preserve">                              </v>
      </c>
      <c r="AX934" s="23">
        <f t="shared" si="6000"/>
        <v>0</v>
      </c>
      <c r="AY934" s="49" t="str">
        <f t="shared" si="5976"/>
        <v>000000000000000</v>
      </c>
      <c r="AZ934" s="23">
        <f t="shared" si="6001"/>
        <v>0</v>
      </c>
      <c r="BA934" s="49" t="str">
        <f t="shared" si="5976"/>
        <v>000000000000000</v>
      </c>
      <c r="BB934" s="23">
        <f t="shared" si="6002"/>
        <v>0</v>
      </c>
      <c r="BC934" s="49" t="str">
        <f t="shared" ref="BC934" si="6165">IF(BB934&lt;0,SUBSTITUTE(TEXT(BB934,"000000000000,00"),",",""),SUBSTITUTE(TEXT(BB934,"0000000000000,00"),",",""))</f>
        <v>000000000000000</v>
      </c>
      <c r="BD934" s="23">
        <f t="shared" si="6004"/>
        <v>0</v>
      </c>
      <c r="BE934" s="49" t="str">
        <f t="shared" ref="BE934" si="6166">IF(BD934&lt;0,SUBSTITUTE(TEXT(BD934,"000000000000,00"),",",""),SUBSTITUTE(TEXT(BD934,"0000000000000,00"),",",""))</f>
        <v>000000000000000</v>
      </c>
      <c r="BF934" s="23">
        <f t="shared" si="6006"/>
        <v>0</v>
      </c>
      <c r="BG934" s="49" t="str">
        <f t="shared" ref="BG934" si="6167">IF(BF934&lt;0,SUBSTITUTE(TEXT(BF934,"000000000000,00"),",",""),SUBSTITUTE(TEXT(BF934,"0000000000000,00"),",",""))</f>
        <v>000000000000000</v>
      </c>
      <c r="BH934" s="23">
        <f t="shared" si="6008"/>
        <v>0</v>
      </c>
      <c r="BI934" s="49" t="str">
        <f t="shared" ref="BI934" si="6168">IF(BH934&lt;0,SUBSTITUTE(TEXT(BH934,"000000000000,00"),",",""),SUBSTITUTE(TEXT(BH934,"0000000000000,00"),",",""))</f>
        <v>000000000000000</v>
      </c>
      <c r="BJ934" s="23">
        <f t="shared" si="6010"/>
        <v>0</v>
      </c>
      <c r="BK934" s="49" t="str">
        <f t="shared" ref="BK934" si="6169">IF(BJ934&lt;0,SUBSTITUTE(TEXT(BJ934,"000000000000,00"),",",""),SUBSTITUTE(TEXT(BJ934,"0000000000000,00"),",",""))</f>
        <v>000000000000000</v>
      </c>
      <c r="BL934" s="23">
        <f t="shared" si="6012"/>
        <v>0</v>
      </c>
      <c r="BM934" s="49" t="str">
        <f t="shared" ref="BM934" si="6170">IF(BL934&lt;0,SUBSTITUTE(TEXT(BL934,"000000000000,00"),",",""),SUBSTITUTE(TEXT(BL934,"0000000000000,00"),",",""))</f>
        <v>000000000000000</v>
      </c>
      <c r="BN934" t="str">
        <f t="shared" si="6014"/>
        <v>PES</v>
      </c>
      <c r="BO934" t="str">
        <f t="shared" si="6015"/>
        <v>0001000000</v>
      </c>
      <c r="BP934">
        <f t="shared" si="6016"/>
        <v>0</v>
      </c>
      <c r="BQ934">
        <f t="shared" si="6017"/>
        <v>0</v>
      </c>
      <c r="BR934" s="23">
        <f t="shared" si="6018"/>
        <v>0</v>
      </c>
      <c r="BS934" s="49" t="str">
        <f t="shared" si="5983"/>
        <v>000000000000000</v>
      </c>
      <c r="BT934" t="str">
        <f t="shared" si="6019"/>
        <v>00000000</v>
      </c>
      <c r="BU934" s="23">
        <f t="shared" si="6020"/>
        <v>0</v>
      </c>
      <c r="BV934" s="49" t="str">
        <f t="shared" si="5984"/>
        <v/>
      </c>
      <c r="BW934" s="52" t="str">
        <f t="shared" si="6021"/>
        <v/>
      </c>
      <c r="BX934" s="23">
        <f t="shared" si="6022"/>
        <v>0</v>
      </c>
      <c r="BY934" s="49" t="str">
        <f t="shared" si="5985"/>
        <v/>
      </c>
      <c r="BZ934" s="23">
        <f t="shared" si="6023"/>
        <v>0</v>
      </c>
      <c r="CA934" s="49" t="str">
        <f t="shared" si="5986"/>
        <v/>
      </c>
      <c r="CB934" s="52" t="str">
        <f t="shared" si="6024"/>
        <v/>
      </c>
      <c r="CC934" s="23">
        <f t="shared" si="6025"/>
        <v>0</v>
      </c>
      <c r="CD934" s="49" t="str">
        <f t="shared" si="5987"/>
        <v/>
      </c>
      <c r="CE934" s="56" t="str">
        <f>IF(CF934="","",MAX(CE$10:$CE933)+1)</f>
        <v/>
      </c>
      <c r="CF934" t="str">
        <f t="shared" si="6026"/>
        <v/>
      </c>
      <c r="CG934" s="22" t="str">
        <f>IF(CH934="","",MAX($CG$10:CG933)+1)</f>
        <v/>
      </c>
      <c r="CH934" s="22" t="str">
        <f t="shared" si="5971"/>
        <v/>
      </c>
      <c r="CI934" s="22" t="str">
        <f>IF(CJ934="","",MAX($CI$10:CI933)+1)</f>
        <v/>
      </c>
      <c r="CJ934" s="22" t="str">
        <f t="shared" si="5972"/>
        <v/>
      </c>
    </row>
    <row r="935" spans="2:88" x14ac:dyDescent="0.25">
      <c r="B935" s="37"/>
      <c r="C935" s="3"/>
      <c r="D935" s="77" t="str">
        <f t="shared" si="5958"/>
        <v/>
      </c>
      <c r="E935" s="38"/>
      <c r="F935" s="38"/>
      <c r="G935" s="78">
        <f t="shared" si="5973"/>
        <v>0</v>
      </c>
      <c r="H935" s="3">
        <v>80</v>
      </c>
      <c r="I935" s="77" t="str">
        <f t="shared" si="5959"/>
        <v/>
      </c>
      <c r="J935" s="32"/>
      <c r="K935" s="3"/>
      <c r="L935" s="39"/>
      <c r="M935" s="39"/>
      <c r="N935" s="39"/>
      <c r="O935" s="39"/>
      <c r="P935" s="39"/>
      <c r="Q935" s="39"/>
      <c r="R935" s="39"/>
      <c r="S935" s="39"/>
      <c r="T935" s="3" t="s">
        <v>645</v>
      </c>
      <c r="U935" s="77" t="str">
        <f t="shared" si="5960"/>
        <v/>
      </c>
      <c r="V935" s="39">
        <v>1</v>
      </c>
      <c r="W935" s="79">
        <f t="shared" si="5974"/>
        <v>0</v>
      </c>
      <c r="X935" s="3">
        <v>0</v>
      </c>
      <c r="Y935" s="77" t="str">
        <f t="shared" si="5961"/>
        <v/>
      </c>
      <c r="Z935" s="3"/>
      <c r="AA935" s="37" t="str">
        <f t="shared" si="5975"/>
        <v/>
      </c>
      <c r="AC935" s="40"/>
      <c r="AD935" s="7"/>
      <c r="AE935" s="77" t="str">
        <f t="shared" si="5962"/>
        <v/>
      </c>
      <c r="AF935" s="81">
        <f t="shared" si="5988"/>
        <v>0</v>
      </c>
      <c r="AG935" s="40"/>
      <c r="AH935" s="7"/>
      <c r="AI935" s="77" t="str">
        <f t="shared" si="5963"/>
        <v/>
      </c>
      <c r="AJ935" s="81">
        <f t="shared" si="5989"/>
        <v>0</v>
      </c>
      <c r="AK935" s="83">
        <f t="shared" si="5990"/>
        <v>0</v>
      </c>
      <c r="AL935" s="83">
        <f t="shared" si="5991"/>
        <v>0</v>
      </c>
      <c r="AN935" s="43">
        <f t="shared" si="5964"/>
        <v>0</v>
      </c>
      <c r="AP935" t="str">
        <f t="shared" si="5992"/>
        <v/>
      </c>
      <c r="AQ935" t="str">
        <f t="shared" si="5993"/>
        <v/>
      </c>
      <c r="AR935" t="str">
        <f t="shared" si="5994"/>
        <v/>
      </c>
      <c r="AS935" t="str">
        <f t="shared" si="5995"/>
        <v/>
      </c>
      <c r="AT935" t="str">
        <f t="shared" si="5996"/>
        <v/>
      </c>
      <c r="AU935" t="str">
        <f t="shared" si="5997"/>
        <v/>
      </c>
      <c r="AV935" t="str">
        <f t="shared" si="5998"/>
        <v/>
      </c>
      <c r="AW935" t="str">
        <f t="shared" si="5999"/>
        <v xml:space="preserve">                              </v>
      </c>
      <c r="AX935" s="23">
        <f t="shared" si="6000"/>
        <v>0</v>
      </c>
      <c r="AY935" s="49" t="str">
        <f t="shared" si="5976"/>
        <v>000000000000000</v>
      </c>
      <c r="AZ935" s="23">
        <f t="shared" si="6001"/>
        <v>0</v>
      </c>
      <c r="BA935" s="49" t="str">
        <f t="shared" si="5976"/>
        <v>000000000000000</v>
      </c>
      <c r="BB935" s="23">
        <f t="shared" si="6002"/>
        <v>0</v>
      </c>
      <c r="BC935" s="49" t="str">
        <f t="shared" ref="BC935" si="6171">IF(BB935&lt;0,SUBSTITUTE(TEXT(BB935,"000000000000,00"),",",""),SUBSTITUTE(TEXT(BB935,"0000000000000,00"),",",""))</f>
        <v>000000000000000</v>
      </c>
      <c r="BD935" s="23">
        <f t="shared" si="6004"/>
        <v>0</v>
      </c>
      <c r="BE935" s="49" t="str">
        <f t="shared" ref="BE935" si="6172">IF(BD935&lt;0,SUBSTITUTE(TEXT(BD935,"000000000000,00"),",",""),SUBSTITUTE(TEXT(BD935,"0000000000000,00"),",",""))</f>
        <v>000000000000000</v>
      </c>
      <c r="BF935" s="23">
        <f t="shared" si="6006"/>
        <v>0</v>
      </c>
      <c r="BG935" s="49" t="str">
        <f t="shared" ref="BG935" si="6173">IF(BF935&lt;0,SUBSTITUTE(TEXT(BF935,"000000000000,00"),",",""),SUBSTITUTE(TEXT(BF935,"0000000000000,00"),",",""))</f>
        <v>000000000000000</v>
      </c>
      <c r="BH935" s="23">
        <f t="shared" si="6008"/>
        <v>0</v>
      </c>
      <c r="BI935" s="49" t="str">
        <f t="shared" ref="BI935" si="6174">IF(BH935&lt;0,SUBSTITUTE(TEXT(BH935,"000000000000,00"),",",""),SUBSTITUTE(TEXT(BH935,"0000000000000,00"),",",""))</f>
        <v>000000000000000</v>
      </c>
      <c r="BJ935" s="23">
        <f t="shared" si="6010"/>
        <v>0</v>
      </c>
      <c r="BK935" s="49" t="str">
        <f t="shared" ref="BK935" si="6175">IF(BJ935&lt;0,SUBSTITUTE(TEXT(BJ935,"000000000000,00"),",",""),SUBSTITUTE(TEXT(BJ935,"0000000000000,00"),",",""))</f>
        <v>000000000000000</v>
      </c>
      <c r="BL935" s="23">
        <f t="shared" si="6012"/>
        <v>0</v>
      </c>
      <c r="BM935" s="49" t="str">
        <f t="shared" ref="BM935" si="6176">IF(BL935&lt;0,SUBSTITUTE(TEXT(BL935,"000000000000,00"),",",""),SUBSTITUTE(TEXT(BL935,"0000000000000,00"),",",""))</f>
        <v>000000000000000</v>
      </c>
      <c r="BN935" t="str">
        <f t="shared" si="6014"/>
        <v>PES</v>
      </c>
      <c r="BO935" t="str">
        <f t="shared" si="6015"/>
        <v>0001000000</v>
      </c>
      <c r="BP935">
        <f t="shared" si="6016"/>
        <v>0</v>
      </c>
      <c r="BQ935">
        <f t="shared" si="6017"/>
        <v>0</v>
      </c>
      <c r="BR935" s="23">
        <f t="shared" si="6018"/>
        <v>0</v>
      </c>
      <c r="BS935" s="49" t="str">
        <f t="shared" si="5983"/>
        <v>000000000000000</v>
      </c>
      <c r="BT935" t="str">
        <f t="shared" si="6019"/>
        <v>00000000</v>
      </c>
      <c r="BU935" s="23">
        <f t="shared" si="6020"/>
        <v>0</v>
      </c>
      <c r="BV935" s="49" t="str">
        <f t="shared" si="5984"/>
        <v/>
      </c>
      <c r="BW935" s="52" t="str">
        <f t="shared" si="6021"/>
        <v/>
      </c>
      <c r="BX935" s="23">
        <f t="shared" si="6022"/>
        <v>0</v>
      </c>
      <c r="BY935" s="49" t="str">
        <f t="shared" si="5985"/>
        <v/>
      </c>
      <c r="BZ935" s="23">
        <f t="shared" si="6023"/>
        <v>0</v>
      </c>
      <c r="CA935" s="49" t="str">
        <f t="shared" si="5986"/>
        <v/>
      </c>
      <c r="CB935" s="52" t="str">
        <f t="shared" si="6024"/>
        <v/>
      </c>
      <c r="CC935" s="23">
        <f t="shared" si="6025"/>
        <v>0</v>
      </c>
      <c r="CD935" s="49" t="str">
        <f t="shared" si="5987"/>
        <v/>
      </c>
      <c r="CE935" s="56" t="str">
        <f>IF(CF935="","",MAX(CE$10:$CE934)+1)</f>
        <v/>
      </c>
      <c r="CF935" t="str">
        <f t="shared" si="6026"/>
        <v/>
      </c>
      <c r="CG935" s="22" t="str">
        <f>IF(CH935="","",MAX($CG$10:CG934)+1)</f>
        <v/>
      </c>
      <c r="CH935" s="22" t="str">
        <f t="shared" si="5971"/>
        <v/>
      </c>
      <c r="CI935" s="22" t="str">
        <f>IF(CJ935="","",MAX($CI$10:CI934)+1)</f>
        <v/>
      </c>
      <c r="CJ935" s="22" t="str">
        <f t="shared" si="5972"/>
        <v/>
      </c>
    </row>
    <row r="936" spans="2:88" x14ac:dyDescent="0.25">
      <c r="B936" s="37"/>
      <c r="C936" s="3"/>
      <c r="D936" s="77" t="str">
        <f t="shared" si="5958"/>
        <v/>
      </c>
      <c r="E936" s="38"/>
      <c r="F936" s="38"/>
      <c r="G936" s="78">
        <f t="shared" si="5973"/>
        <v>0</v>
      </c>
      <c r="H936" s="3">
        <v>80</v>
      </c>
      <c r="I936" s="77" t="str">
        <f t="shared" si="5959"/>
        <v/>
      </c>
      <c r="J936" s="32"/>
      <c r="K936" s="3"/>
      <c r="L936" s="39"/>
      <c r="M936" s="39"/>
      <c r="N936" s="39"/>
      <c r="O936" s="39"/>
      <c r="P936" s="39"/>
      <c r="Q936" s="39"/>
      <c r="R936" s="39"/>
      <c r="S936" s="39"/>
      <c r="T936" s="3" t="s">
        <v>645</v>
      </c>
      <c r="U936" s="77" t="str">
        <f t="shared" si="5960"/>
        <v/>
      </c>
      <c r="V936" s="39">
        <v>1</v>
      </c>
      <c r="W936" s="79">
        <f t="shared" si="5974"/>
        <v>0</v>
      </c>
      <c r="X936" s="3">
        <v>0</v>
      </c>
      <c r="Y936" s="77" t="str">
        <f t="shared" si="5961"/>
        <v/>
      </c>
      <c r="Z936" s="3"/>
      <c r="AA936" s="37" t="str">
        <f t="shared" si="5975"/>
        <v/>
      </c>
      <c r="AC936" s="40"/>
      <c r="AD936" s="7"/>
      <c r="AE936" s="77" t="str">
        <f t="shared" si="5962"/>
        <v/>
      </c>
      <c r="AF936" s="81">
        <f t="shared" si="5988"/>
        <v>0</v>
      </c>
      <c r="AG936" s="40"/>
      <c r="AH936" s="7"/>
      <c r="AI936" s="77" t="str">
        <f t="shared" si="5963"/>
        <v/>
      </c>
      <c r="AJ936" s="81">
        <f t="shared" si="5989"/>
        <v>0</v>
      </c>
      <c r="AK936" s="83">
        <f t="shared" si="5990"/>
        <v>0</v>
      </c>
      <c r="AL936" s="83">
        <f t="shared" si="5991"/>
        <v>0</v>
      </c>
      <c r="AN936" s="43">
        <f t="shared" si="5964"/>
        <v>0</v>
      </c>
      <c r="AP936" t="str">
        <f t="shared" si="5992"/>
        <v/>
      </c>
      <c r="AQ936" t="str">
        <f t="shared" si="5993"/>
        <v/>
      </c>
      <c r="AR936" t="str">
        <f t="shared" si="5994"/>
        <v/>
      </c>
      <c r="AS936" t="str">
        <f t="shared" si="5995"/>
        <v/>
      </c>
      <c r="AT936" t="str">
        <f t="shared" si="5996"/>
        <v/>
      </c>
      <c r="AU936" t="str">
        <f t="shared" si="5997"/>
        <v/>
      </c>
      <c r="AV936" t="str">
        <f t="shared" si="5998"/>
        <v/>
      </c>
      <c r="AW936" t="str">
        <f t="shared" si="5999"/>
        <v xml:space="preserve">                              </v>
      </c>
      <c r="AX936" s="23">
        <f t="shared" si="6000"/>
        <v>0</v>
      </c>
      <c r="AY936" s="49" t="str">
        <f t="shared" si="5976"/>
        <v>000000000000000</v>
      </c>
      <c r="AZ936" s="23">
        <f t="shared" si="6001"/>
        <v>0</v>
      </c>
      <c r="BA936" s="49" t="str">
        <f t="shared" si="5976"/>
        <v>000000000000000</v>
      </c>
      <c r="BB936" s="23">
        <f t="shared" si="6002"/>
        <v>0</v>
      </c>
      <c r="BC936" s="49" t="str">
        <f t="shared" ref="BC936" si="6177">IF(BB936&lt;0,SUBSTITUTE(TEXT(BB936,"000000000000,00"),",",""),SUBSTITUTE(TEXT(BB936,"0000000000000,00"),",",""))</f>
        <v>000000000000000</v>
      </c>
      <c r="BD936" s="23">
        <f t="shared" si="6004"/>
        <v>0</v>
      </c>
      <c r="BE936" s="49" t="str">
        <f t="shared" ref="BE936" si="6178">IF(BD936&lt;0,SUBSTITUTE(TEXT(BD936,"000000000000,00"),",",""),SUBSTITUTE(TEXT(BD936,"0000000000000,00"),",",""))</f>
        <v>000000000000000</v>
      </c>
      <c r="BF936" s="23">
        <f t="shared" si="6006"/>
        <v>0</v>
      </c>
      <c r="BG936" s="49" t="str">
        <f t="shared" ref="BG936" si="6179">IF(BF936&lt;0,SUBSTITUTE(TEXT(BF936,"000000000000,00"),",",""),SUBSTITUTE(TEXT(BF936,"0000000000000,00"),",",""))</f>
        <v>000000000000000</v>
      </c>
      <c r="BH936" s="23">
        <f t="shared" si="6008"/>
        <v>0</v>
      </c>
      <c r="BI936" s="49" t="str">
        <f t="shared" ref="BI936" si="6180">IF(BH936&lt;0,SUBSTITUTE(TEXT(BH936,"000000000000,00"),",",""),SUBSTITUTE(TEXT(BH936,"0000000000000,00"),",",""))</f>
        <v>000000000000000</v>
      </c>
      <c r="BJ936" s="23">
        <f t="shared" si="6010"/>
        <v>0</v>
      </c>
      <c r="BK936" s="49" t="str">
        <f t="shared" ref="BK936" si="6181">IF(BJ936&lt;0,SUBSTITUTE(TEXT(BJ936,"000000000000,00"),",",""),SUBSTITUTE(TEXT(BJ936,"0000000000000,00"),",",""))</f>
        <v>000000000000000</v>
      </c>
      <c r="BL936" s="23">
        <f t="shared" si="6012"/>
        <v>0</v>
      </c>
      <c r="BM936" s="49" t="str">
        <f t="shared" ref="BM936" si="6182">IF(BL936&lt;0,SUBSTITUTE(TEXT(BL936,"000000000000,00"),",",""),SUBSTITUTE(TEXT(BL936,"0000000000000,00"),",",""))</f>
        <v>000000000000000</v>
      </c>
      <c r="BN936" t="str">
        <f t="shared" si="6014"/>
        <v>PES</v>
      </c>
      <c r="BO936" t="str">
        <f t="shared" si="6015"/>
        <v>0001000000</v>
      </c>
      <c r="BP936">
        <f t="shared" si="6016"/>
        <v>0</v>
      </c>
      <c r="BQ936">
        <f t="shared" si="6017"/>
        <v>0</v>
      </c>
      <c r="BR936" s="23">
        <f t="shared" si="6018"/>
        <v>0</v>
      </c>
      <c r="BS936" s="49" t="str">
        <f t="shared" si="5983"/>
        <v>000000000000000</v>
      </c>
      <c r="BT936" t="str">
        <f t="shared" si="6019"/>
        <v>00000000</v>
      </c>
      <c r="BU936" s="23">
        <f t="shared" si="6020"/>
        <v>0</v>
      </c>
      <c r="BV936" s="49" t="str">
        <f t="shared" si="5984"/>
        <v/>
      </c>
      <c r="BW936" s="52" t="str">
        <f t="shared" si="6021"/>
        <v/>
      </c>
      <c r="BX936" s="23">
        <f t="shared" si="6022"/>
        <v>0</v>
      </c>
      <c r="BY936" s="49" t="str">
        <f t="shared" si="5985"/>
        <v/>
      </c>
      <c r="BZ936" s="23">
        <f t="shared" si="6023"/>
        <v>0</v>
      </c>
      <c r="CA936" s="49" t="str">
        <f t="shared" si="5986"/>
        <v/>
      </c>
      <c r="CB936" s="52" t="str">
        <f t="shared" si="6024"/>
        <v/>
      </c>
      <c r="CC936" s="23">
        <f t="shared" si="6025"/>
        <v>0</v>
      </c>
      <c r="CD936" s="49" t="str">
        <f t="shared" si="5987"/>
        <v/>
      </c>
      <c r="CE936" s="56" t="str">
        <f>IF(CF936="","",MAX(CE$10:$CE935)+1)</f>
        <v/>
      </c>
      <c r="CF936" t="str">
        <f t="shared" si="6026"/>
        <v/>
      </c>
      <c r="CG936" s="22" t="str">
        <f>IF(CH936="","",MAX($CG$10:CG935)+1)</f>
        <v/>
      </c>
      <c r="CH936" s="22" t="str">
        <f t="shared" si="5971"/>
        <v/>
      </c>
      <c r="CI936" s="22" t="str">
        <f>IF(CJ936="","",MAX($CI$10:CI935)+1)</f>
        <v/>
      </c>
      <c r="CJ936" s="22" t="str">
        <f t="shared" si="5972"/>
        <v/>
      </c>
    </row>
    <row r="937" spans="2:88" x14ac:dyDescent="0.25">
      <c r="B937" s="37"/>
      <c r="C937" s="3"/>
      <c r="D937" s="77" t="str">
        <f t="shared" si="5958"/>
        <v/>
      </c>
      <c r="E937" s="38"/>
      <c r="F937" s="38"/>
      <c r="G937" s="78">
        <f t="shared" si="5973"/>
        <v>0</v>
      </c>
      <c r="H937" s="3">
        <v>80</v>
      </c>
      <c r="I937" s="77" t="str">
        <f t="shared" si="5959"/>
        <v/>
      </c>
      <c r="J937" s="32"/>
      <c r="K937" s="3"/>
      <c r="L937" s="39"/>
      <c r="M937" s="39"/>
      <c r="N937" s="39"/>
      <c r="O937" s="39"/>
      <c r="P937" s="39"/>
      <c r="Q937" s="39"/>
      <c r="R937" s="39"/>
      <c r="S937" s="39"/>
      <c r="T937" s="3" t="s">
        <v>645</v>
      </c>
      <c r="U937" s="77" t="str">
        <f t="shared" si="5960"/>
        <v/>
      </c>
      <c r="V937" s="39">
        <v>1</v>
      </c>
      <c r="W937" s="79">
        <f t="shared" si="5974"/>
        <v>0</v>
      </c>
      <c r="X937" s="3">
        <v>0</v>
      </c>
      <c r="Y937" s="77" t="str">
        <f t="shared" si="5961"/>
        <v/>
      </c>
      <c r="Z937" s="3"/>
      <c r="AA937" s="37" t="str">
        <f t="shared" si="5975"/>
        <v/>
      </c>
      <c r="AC937" s="40"/>
      <c r="AD937" s="7"/>
      <c r="AE937" s="77" t="str">
        <f t="shared" si="5962"/>
        <v/>
      </c>
      <c r="AF937" s="81">
        <f t="shared" si="5988"/>
        <v>0</v>
      </c>
      <c r="AG937" s="40"/>
      <c r="AH937" s="7"/>
      <c r="AI937" s="77" t="str">
        <f t="shared" si="5963"/>
        <v/>
      </c>
      <c r="AJ937" s="81">
        <f t="shared" si="5989"/>
        <v>0</v>
      </c>
      <c r="AK937" s="83">
        <f t="shared" si="5990"/>
        <v>0</v>
      </c>
      <c r="AL937" s="83">
        <f t="shared" si="5991"/>
        <v>0</v>
      </c>
      <c r="AN937" s="43">
        <f t="shared" si="5964"/>
        <v>0</v>
      </c>
      <c r="AP937" t="str">
        <f t="shared" si="5992"/>
        <v/>
      </c>
      <c r="AQ937" t="str">
        <f t="shared" si="5993"/>
        <v/>
      </c>
      <c r="AR937" t="str">
        <f t="shared" si="5994"/>
        <v/>
      </c>
      <c r="AS937" t="str">
        <f t="shared" si="5995"/>
        <v/>
      </c>
      <c r="AT937" t="str">
        <f t="shared" si="5996"/>
        <v/>
      </c>
      <c r="AU937" t="str">
        <f t="shared" si="5997"/>
        <v/>
      </c>
      <c r="AV937" t="str">
        <f t="shared" si="5998"/>
        <v/>
      </c>
      <c r="AW937" t="str">
        <f t="shared" si="5999"/>
        <v xml:space="preserve">                              </v>
      </c>
      <c r="AX937" s="23">
        <f t="shared" si="6000"/>
        <v>0</v>
      </c>
      <c r="AY937" s="49" t="str">
        <f t="shared" si="5976"/>
        <v>000000000000000</v>
      </c>
      <c r="AZ937" s="23">
        <f t="shared" si="6001"/>
        <v>0</v>
      </c>
      <c r="BA937" s="49" t="str">
        <f t="shared" si="5976"/>
        <v>000000000000000</v>
      </c>
      <c r="BB937" s="23">
        <f t="shared" si="6002"/>
        <v>0</v>
      </c>
      <c r="BC937" s="49" t="str">
        <f t="shared" ref="BC937" si="6183">IF(BB937&lt;0,SUBSTITUTE(TEXT(BB937,"000000000000,00"),",",""),SUBSTITUTE(TEXT(BB937,"0000000000000,00"),",",""))</f>
        <v>000000000000000</v>
      </c>
      <c r="BD937" s="23">
        <f t="shared" si="6004"/>
        <v>0</v>
      </c>
      <c r="BE937" s="49" t="str">
        <f t="shared" ref="BE937" si="6184">IF(BD937&lt;0,SUBSTITUTE(TEXT(BD937,"000000000000,00"),",",""),SUBSTITUTE(TEXT(BD937,"0000000000000,00"),",",""))</f>
        <v>000000000000000</v>
      </c>
      <c r="BF937" s="23">
        <f t="shared" si="6006"/>
        <v>0</v>
      </c>
      <c r="BG937" s="49" t="str">
        <f t="shared" ref="BG937" si="6185">IF(BF937&lt;0,SUBSTITUTE(TEXT(BF937,"000000000000,00"),",",""),SUBSTITUTE(TEXT(BF937,"0000000000000,00"),",",""))</f>
        <v>000000000000000</v>
      </c>
      <c r="BH937" s="23">
        <f t="shared" si="6008"/>
        <v>0</v>
      </c>
      <c r="BI937" s="49" t="str">
        <f t="shared" ref="BI937" si="6186">IF(BH937&lt;0,SUBSTITUTE(TEXT(BH937,"000000000000,00"),",",""),SUBSTITUTE(TEXT(BH937,"0000000000000,00"),",",""))</f>
        <v>000000000000000</v>
      </c>
      <c r="BJ937" s="23">
        <f t="shared" si="6010"/>
        <v>0</v>
      </c>
      <c r="BK937" s="49" t="str">
        <f t="shared" ref="BK937" si="6187">IF(BJ937&lt;0,SUBSTITUTE(TEXT(BJ937,"000000000000,00"),",",""),SUBSTITUTE(TEXT(BJ937,"0000000000000,00"),",",""))</f>
        <v>000000000000000</v>
      </c>
      <c r="BL937" s="23">
        <f t="shared" si="6012"/>
        <v>0</v>
      </c>
      <c r="BM937" s="49" t="str">
        <f t="shared" ref="BM937" si="6188">IF(BL937&lt;0,SUBSTITUTE(TEXT(BL937,"000000000000,00"),",",""),SUBSTITUTE(TEXT(BL937,"0000000000000,00"),",",""))</f>
        <v>000000000000000</v>
      </c>
      <c r="BN937" t="str">
        <f t="shared" si="6014"/>
        <v>PES</v>
      </c>
      <c r="BO937" t="str">
        <f t="shared" si="6015"/>
        <v>0001000000</v>
      </c>
      <c r="BP937">
        <f t="shared" si="6016"/>
        <v>0</v>
      </c>
      <c r="BQ937">
        <f t="shared" si="6017"/>
        <v>0</v>
      </c>
      <c r="BR937" s="23">
        <f t="shared" si="6018"/>
        <v>0</v>
      </c>
      <c r="BS937" s="49" t="str">
        <f t="shared" si="5983"/>
        <v>000000000000000</v>
      </c>
      <c r="BT937" t="str">
        <f t="shared" si="6019"/>
        <v>00000000</v>
      </c>
      <c r="BU937" s="23">
        <f t="shared" si="6020"/>
        <v>0</v>
      </c>
      <c r="BV937" s="49" t="str">
        <f t="shared" si="5984"/>
        <v/>
      </c>
      <c r="BW937" s="52" t="str">
        <f t="shared" si="6021"/>
        <v/>
      </c>
      <c r="BX937" s="23">
        <f t="shared" si="6022"/>
        <v>0</v>
      </c>
      <c r="BY937" s="49" t="str">
        <f t="shared" si="5985"/>
        <v/>
      </c>
      <c r="BZ937" s="23">
        <f t="shared" si="6023"/>
        <v>0</v>
      </c>
      <c r="CA937" s="49" t="str">
        <f t="shared" si="5986"/>
        <v/>
      </c>
      <c r="CB937" s="52" t="str">
        <f t="shared" si="6024"/>
        <v/>
      </c>
      <c r="CC937" s="23">
        <f t="shared" si="6025"/>
        <v>0</v>
      </c>
      <c r="CD937" s="49" t="str">
        <f t="shared" si="5987"/>
        <v/>
      </c>
      <c r="CE937" s="56" t="str">
        <f>IF(CF937="","",MAX(CE$10:$CE936)+1)</f>
        <v/>
      </c>
      <c r="CF937" t="str">
        <f t="shared" si="6026"/>
        <v/>
      </c>
      <c r="CG937" s="22" t="str">
        <f>IF(CH937="","",MAX($CG$10:CG936)+1)</f>
        <v/>
      </c>
      <c r="CH937" s="22" t="str">
        <f t="shared" si="5971"/>
        <v/>
      </c>
      <c r="CI937" s="22" t="str">
        <f>IF(CJ937="","",MAX($CI$10:CI936)+1)</f>
        <v/>
      </c>
      <c r="CJ937" s="22" t="str">
        <f t="shared" si="5972"/>
        <v/>
      </c>
    </row>
    <row r="938" spans="2:88" x14ac:dyDescent="0.25">
      <c r="B938" s="37"/>
      <c r="C938" s="3"/>
      <c r="D938" s="77" t="str">
        <f t="shared" si="5958"/>
        <v/>
      </c>
      <c r="E938" s="38"/>
      <c r="F938" s="38"/>
      <c r="G938" s="78">
        <f t="shared" si="5973"/>
        <v>0</v>
      </c>
      <c r="H938" s="3">
        <v>80</v>
      </c>
      <c r="I938" s="77" t="str">
        <f t="shared" si="5959"/>
        <v/>
      </c>
      <c r="J938" s="32"/>
      <c r="K938" s="3"/>
      <c r="L938" s="39"/>
      <c r="M938" s="39"/>
      <c r="N938" s="39"/>
      <c r="O938" s="39"/>
      <c r="P938" s="39"/>
      <c r="Q938" s="39"/>
      <c r="R938" s="39"/>
      <c r="S938" s="39"/>
      <c r="T938" s="3" t="s">
        <v>645</v>
      </c>
      <c r="U938" s="77" t="str">
        <f t="shared" si="5960"/>
        <v/>
      </c>
      <c r="V938" s="39">
        <v>1</v>
      </c>
      <c r="W938" s="79">
        <f t="shared" si="5974"/>
        <v>0</v>
      </c>
      <c r="X938" s="3">
        <v>0</v>
      </c>
      <c r="Y938" s="77" t="str">
        <f t="shared" si="5961"/>
        <v/>
      </c>
      <c r="Z938" s="3"/>
      <c r="AA938" s="37" t="str">
        <f t="shared" si="5975"/>
        <v/>
      </c>
      <c r="AC938" s="40"/>
      <c r="AD938" s="7"/>
      <c r="AE938" s="77" t="str">
        <f t="shared" si="5962"/>
        <v/>
      </c>
      <c r="AF938" s="81">
        <f t="shared" si="5988"/>
        <v>0</v>
      </c>
      <c r="AG938" s="40"/>
      <c r="AH938" s="7"/>
      <c r="AI938" s="77" t="str">
        <f t="shared" si="5963"/>
        <v/>
      </c>
      <c r="AJ938" s="81">
        <f t="shared" si="5989"/>
        <v>0</v>
      </c>
      <c r="AK938" s="83">
        <f t="shared" si="5990"/>
        <v>0</v>
      </c>
      <c r="AL938" s="83">
        <f t="shared" si="5991"/>
        <v>0</v>
      </c>
      <c r="AN938" s="43">
        <f t="shared" si="5964"/>
        <v>0</v>
      </c>
      <c r="AP938" t="str">
        <f t="shared" si="5992"/>
        <v/>
      </c>
      <c r="AQ938" t="str">
        <f t="shared" si="5993"/>
        <v/>
      </c>
      <c r="AR938" t="str">
        <f t="shared" si="5994"/>
        <v/>
      </c>
      <c r="AS938" t="str">
        <f t="shared" si="5995"/>
        <v/>
      </c>
      <c r="AT938" t="str">
        <f t="shared" si="5996"/>
        <v/>
      </c>
      <c r="AU938" t="str">
        <f t="shared" si="5997"/>
        <v/>
      </c>
      <c r="AV938" t="str">
        <f t="shared" si="5998"/>
        <v/>
      </c>
      <c r="AW938" t="str">
        <f t="shared" si="5999"/>
        <v xml:space="preserve">                              </v>
      </c>
      <c r="AX938" s="23">
        <f t="shared" si="6000"/>
        <v>0</v>
      </c>
      <c r="AY938" s="49" t="str">
        <f t="shared" si="5976"/>
        <v>000000000000000</v>
      </c>
      <c r="AZ938" s="23">
        <f t="shared" si="6001"/>
        <v>0</v>
      </c>
      <c r="BA938" s="49" t="str">
        <f t="shared" si="5976"/>
        <v>000000000000000</v>
      </c>
      <c r="BB938" s="23">
        <f t="shared" si="6002"/>
        <v>0</v>
      </c>
      <c r="BC938" s="49" t="str">
        <f t="shared" ref="BC938" si="6189">IF(BB938&lt;0,SUBSTITUTE(TEXT(BB938,"000000000000,00"),",",""),SUBSTITUTE(TEXT(BB938,"0000000000000,00"),",",""))</f>
        <v>000000000000000</v>
      </c>
      <c r="BD938" s="23">
        <f t="shared" si="6004"/>
        <v>0</v>
      </c>
      <c r="BE938" s="49" t="str">
        <f t="shared" ref="BE938" si="6190">IF(BD938&lt;0,SUBSTITUTE(TEXT(BD938,"000000000000,00"),",",""),SUBSTITUTE(TEXT(BD938,"0000000000000,00"),",",""))</f>
        <v>000000000000000</v>
      </c>
      <c r="BF938" s="23">
        <f t="shared" si="6006"/>
        <v>0</v>
      </c>
      <c r="BG938" s="49" t="str">
        <f t="shared" ref="BG938" si="6191">IF(BF938&lt;0,SUBSTITUTE(TEXT(BF938,"000000000000,00"),",",""),SUBSTITUTE(TEXT(BF938,"0000000000000,00"),",",""))</f>
        <v>000000000000000</v>
      </c>
      <c r="BH938" s="23">
        <f t="shared" si="6008"/>
        <v>0</v>
      </c>
      <c r="BI938" s="49" t="str">
        <f t="shared" ref="BI938" si="6192">IF(BH938&lt;0,SUBSTITUTE(TEXT(BH938,"000000000000,00"),",",""),SUBSTITUTE(TEXT(BH938,"0000000000000,00"),",",""))</f>
        <v>000000000000000</v>
      </c>
      <c r="BJ938" s="23">
        <f t="shared" si="6010"/>
        <v>0</v>
      </c>
      <c r="BK938" s="49" t="str">
        <f t="shared" ref="BK938" si="6193">IF(BJ938&lt;0,SUBSTITUTE(TEXT(BJ938,"000000000000,00"),",",""),SUBSTITUTE(TEXT(BJ938,"0000000000000,00"),",",""))</f>
        <v>000000000000000</v>
      </c>
      <c r="BL938" s="23">
        <f t="shared" si="6012"/>
        <v>0</v>
      </c>
      <c r="BM938" s="49" t="str">
        <f t="shared" ref="BM938" si="6194">IF(BL938&lt;0,SUBSTITUTE(TEXT(BL938,"000000000000,00"),",",""),SUBSTITUTE(TEXT(BL938,"0000000000000,00"),",",""))</f>
        <v>000000000000000</v>
      </c>
      <c r="BN938" t="str">
        <f t="shared" si="6014"/>
        <v>PES</v>
      </c>
      <c r="BO938" t="str">
        <f t="shared" si="6015"/>
        <v>0001000000</v>
      </c>
      <c r="BP938">
        <f t="shared" si="6016"/>
        <v>0</v>
      </c>
      <c r="BQ938">
        <f t="shared" si="6017"/>
        <v>0</v>
      </c>
      <c r="BR938" s="23">
        <f t="shared" si="6018"/>
        <v>0</v>
      </c>
      <c r="BS938" s="49" t="str">
        <f t="shared" si="5983"/>
        <v>000000000000000</v>
      </c>
      <c r="BT938" t="str">
        <f t="shared" si="6019"/>
        <v>00000000</v>
      </c>
      <c r="BU938" s="23">
        <f t="shared" si="6020"/>
        <v>0</v>
      </c>
      <c r="BV938" s="49" t="str">
        <f t="shared" si="5984"/>
        <v/>
      </c>
      <c r="BW938" s="52" t="str">
        <f t="shared" si="6021"/>
        <v/>
      </c>
      <c r="BX938" s="23">
        <f t="shared" si="6022"/>
        <v>0</v>
      </c>
      <c r="BY938" s="49" t="str">
        <f t="shared" si="5985"/>
        <v/>
      </c>
      <c r="BZ938" s="23">
        <f t="shared" si="6023"/>
        <v>0</v>
      </c>
      <c r="CA938" s="49" t="str">
        <f t="shared" si="5986"/>
        <v/>
      </c>
      <c r="CB938" s="52" t="str">
        <f t="shared" si="6024"/>
        <v/>
      </c>
      <c r="CC938" s="23">
        <f t="shared" si="6025"/>
        <v>0</v>
      </c>
      <c r="CD938" s="49" t="str">
        <f t="shared" si="5987"/>
        <v/>
      </c>
      <c r="CE938" s="56" t="str">
        <f>IF(CF938="","",MAX(CE$10:$CE937)+1)</f>
        <v/>
      </c>
      <c r="CF938" t="str">
        <f t="shared" si="6026"/>
        <v/>
      </c>
      <c r="CG938" s="22" t="str">
        <f>IF(CH938="","",MAX($CG$10:CG937)+1)</f>
        <v/>
      </c>
      <c r="CH938" s="22" t="str">
        <f t="shared" si="5971"/>
        <v/>
      </c>
      <c r="CI938" s="22" t="str">
        <f>IF(CJ938="","",MAX($CI$10:CI937)+1)</f>
        <v/>
      </c>
      <c r="CJ938" s="22" t="str">
        <f t="shared" si="5972"/>
        <v/>
      </c>
    </row>
    <row r="939" spans="2:88" x14ac:dyDescent="0.25">
      <c r="B939" s="37"/>
      <c r="C939" s="3"/>
      <c r="D939" s="77" t="str">
        <f t="shared" si="5958"/>
        <v/>
      </c>
      <c r="E939" s="38"/>
      <c r="F939" s="38"/>
      <c r="G939" s="78">
        <f t="shared" si="5973"/>
        <v>0</v>
      </c>
      <c r="H939" s="3">
        <v>80</v>
      </c>
      <c r="I939" s="77" t="str">
        <f t="shared" si="5959"/>
        <v/>
      </c>
      <c r="J939" s="32"/>
      <c r="K939" s="3"/>
      <c r="L939" s="39"/>
      <c r="M939" s="39"/>
      <c r="N939" s="39"/>
      <c r="O939" s="39"/>
      <c r="P939" s="39"/>
      <c r="Q939" s="39"/>
      <c r="R939" s="39"/>
      <c r="S939" s="39"/>
      <c r="T939" s="3" t="s">
        <v>645</v>
      </c>
      <c r="U939" s="77" t="str">
        <f t="shared" si="5960"/>
        <v/>
      </c>
      <c r="V939" s="39">
        <v>1</v>
      </c>
      <c r="W939" s="79">
        <f t="shared" si="5974"/>
        <v>0</v>
      </c>
      <c r="X939" s="3">
        <v>0</v>
      </c>
      <c r="Y939" s="77" t="str">
        <f t="shared" si="5961"/>
        <v/>
      </c>
      <c r="Z939" s="3"/>
      <c r="AA939" s="37" t="str">
        <f t="shared" si="5975"/>
        <v/>
      </c>
      <c r="AC939" s="40"/>
      <c r="AD939" s="7"/>
      <c r="AE939" s="77" t="str">
        <f t="shared" si="5962"/>
        <v/>
      </c>
      <c r="AF939" s="81">
        <f t="shared" si="5988"/>
        <v>0</v>
      </c>
      <c r="AG939" s="40"/>
      <c r="AH939" s="7"/>
      <c r="AI939" s="77" t="str">
        <f t="shared" si="5963"/>
        <v/>
      </c>
      <c r="AJ939" s="81">
        <f t="shared" si="5989"/>
        <v>0</v>
      </c>
      <c r="AK939" s="83">
        <f t="shared" si="5990"/>
        <v>0</v>
      </c>
      <c r="AL939" s="83">
        <f t="shared" si="5991"/>
        <v>0</v>
      </c>
      <c r="AN939" s="43">
        <f t="shared" si="5964"/>
        <v>0</v>
      </c>
      <c r="AP939" t="str">
        <f t="shared" si="5992"/>
        <v/>
      </c>
      <c r="AQ939" t="str">
        <f t="shared" si="5993"/>
        <v/>
      </c>
      <c r="AR939" t="str">
        <f t="shared" si="5994"/>
        <v/>
      </c>
      <c r="AS939" t="str">
        <f t="shared" si="5995"/>
        <v/>
      </c>
      <c r="AT939" t="str">
        <f t="shared" si="5996"/>
        <v/>
      </c>
      <c r="AU939" t="str">
        <f t="shared" si="5997"/>
        <v/>
      </c>
      <c r="AV939" t="str">
        <f t="shared" si="5998"/>
        <v/>
      </c>
      <c r="AW939" t="str">
        <f t="shared" si="5999"/>
        <v xml:space="preserve">                              </v>
      </c>
      <c r="AX939" s="23">
        <f t="shared" si="6000"/>
        <v>0</v>
      </c>
      <c r="AY939" s="49" t="str">
        <f t="shared" si="5976"/>
        <v>000000000000000</v>
      </c>
      <c r="AZ939" s="23">
        <f t="shared" si="6001"/>
        <v>0</v>
      </c>
      <c r="BA939" s="49" t="str">
        <f t="shared" si="5976"/>
        <v>000000000000000</v>
      </c>
      <c r="BB939" s="23">
        <f t="shared" si="6002"/>
        <v>0</v>
      </c>
      <c r="BC939" s="49" t="str">
        <f t="shared" ref="BC939" si="6195">IF(BB939&lt;0,SUBSTITUTE(TEXT(BB939,"000000000000,00"),",",""),SUBSTITUTE(TEXT(BB939,"0000000000000,00"),",",""))</f>
        <v>000000000000000</v>
      </c>
      <c r="BD939" s="23">
        <f t="shared" si="6004"/>
        <v>0</v>
      </c>
      <c r="BE939" s="49" t="str">
        <f t="shared" ref="BE939" si="6196">IF(BD939&lt;0,SUBSTITUTE(TEXT(BD939,"000000000000,00"),",",""),SUBSTITUTE(TEXT(BD939,"0000000000000,00"),",",""))</f>
        <v>000000000000000</v>
      </c>
      <c r="BF939" s="23">
        <f t="shared" si="6006"/>
        <v>0</v>
      </c>
      <c r="BG939" s="49" t="str">
        <f t="shared" ref="BG939" si="6197">IF(BF939&lt;0,SUBSTITUTE(TEXT(BF939,"000000000000,00"),",",""),SUBSTITUTE(TEXT(BF939,"0000000000000,00"),",",""))</f>
        <v>000000000000000</v>
      </c>
      <c r="BH939" s="23">
        <f t="shared" si="6008"/>
        <v>0</v>
      </c>
      <c r="BI939" s="49" t="str">
        <f t="shared" ref="BI939" si="6198">IF(BH939&lt;0,SUBSTITUTE(TEXT(BH939,"000000000000,00"),",",""),SUBSTITUTE(TEXT(BH939,"0000000000000,00"),",",""))</f>
        <v>000000000000000</v>
      </c>
      <c r="BJ939" s="23">
        <f t="shared" si="6010"/>
        <v>0</v>
      </c>
      <c r="BK939" s="49" t="str">
        <f t="shared" ref="BK939" si="6199">IF(BJ939&lt;0,SUBSTITUTE(TEXT(BJ939,"000000000000,00"),",",""),SUBSTITUTE(TEXT(BJ939,"0000000000000,00"),",",""))</f>
        <v>000000000000000</v>
      </c>
      <c r="BL939" s="23">
        <f t="shared" si="6012"/>
        <v>0</v>
      </c>
      <c r="BM939" s="49" t="str">
        <f t="shared" ref="BM939" si="6200">IF(BL939&lt;0,SUBSTITUTE(TEXT(BL939,"000000000000,00"),",",""),SUBSTITUTE(TEXT(BL939,"0000000000000,00"),",",""))</f>
        <v>000000000000000</v>
      </c>
      <c r="BN939" t="str">
        <f t="shared" si="6014"/>
        <v>PES</v>
      </c>
      <c r="BO939" t="str">
        <f t="shared" si="6015"/>
        <v>0001000000</v>
      </c>
      <c r="BP939">
        <f t="shared" si="6016"/>
        <v>0</v>
      </c>
      <c r="BQ939">
        <f t="shared" si="6017"/>
        <v>0</v>
      </c>
      <c r="BR939" s="23">
        <f t="shared" si="6018"/>
        <v>0</v>
      </c>
      <c r="BS939" s="49" t="str">
        <f t="shared" si="5983"/>
        <v>000000000000000</v>
      </c>
      <c r="BT939" t="str">
        <f t="shared" si="6019"/>
        <v>00000000</v>
      </c>
      <c r="BU939" s="23">
        <f t="shared" si="6020"/>
        <v>0</v>
      </c>
      <c r="BV939" s="49" t="str">
        <f t="shared" si="5984"/>
        <v/>
      </c>
      <c r="BW939" s="52" t="str">
        <f t="shared" si="6021"/>
        <v/>
      </c>
      <c r="BX939" s="23">
        <f t="shared" si="6022"/>
        <v>0</v>
      </c>
      <c r="BY939" s="49" t="str">
        <f t="shared" si="5985"/>
        <v/>
      </c>
      <c r="BZ939" s="23">
        <f t="shared" si="6023"/>
        <v>0</v>
      </c>
      <c r="CA939" s="49" t="str">
        <f t="shared" si="5986"/>
        <v/>
      </c>
      <c r="CB939" s="52" t="str">
        <f t="shared" si="6024"/>
        <v/>
      </c>
      <c r="CC939" s="23">
        <f t="shared" si="6025"/>
        <v>0</v>
      </c>
      <c r="CD939" s="49" t="str">
        <f t="shared" si="5987"/>
        <v/>
      </c>
      <c r="CE939" s="56" t="str">
        <f>IF(CF939="","",MAX(CE$10:$CE938)+1)</f>
        <v/>
      </c>
      <c r="CF939" t="str">
        <f t="shared" si="6026"/>
        <v/>
      </c>
      <c r="CG939" s="22" t="str">
        <f>IF(CH939="","",MAX($CG$10:CG938)+1)</f>
        <v/>
      </c>
      <c r="CH939" s="22" t="str">
        <f t="shared" si="5971"/>
        <v/>
      </c>
      <c r="CI939" s="22" t="str">
        <f>IF(CJ939="","",MAX($CI$10:CI938)+1)</f>
        <v/>
      </c>
      <c r="CJ939" s="22" t="str">
        <f t="shared" si="5972"/>
        <v/>
      </c>
    </row>
    <row r="940" spans="2:88" x14ac:dyDescent="0.25">
      <c r="B940" s="37"/>
      <c r="C940" s="3"/>
      <c r="D940" s="77" t="str">
        <f t="shared" si="5958"/>
        <v/>
      </c>
      <c r="E940" s="38"/>
      <c r="F940" s="38"/>
      <c r="G940" s="78">
        <f t="shared" si="5973"/>
        <v>0</v>
      </c>
      <c r="H940" s="3">
        <v>80</v>
      </c>
      <c r="I940" s="77" t="str">
        <f t="shared" si="5959"/>
        <v/>
      </c>
      <c r="J940" s="32"/>
      <c r="K940" s="3"/>
      <c r="L940" s="39"/>
      <c r="M940" s="39"/>
      <c r="N940" s="39"/>
      <c r="O940" s="39"/>
      <c r="P940" s="39"/>
      <c r="Q940" s="39"/>
      <c r="R940" s="39"/>
      <c r="S940" s="39"/>
      <c r="T940" s="3" t="s">
        <v>645</v>
      </c>
      <c r="U940" s="77" t="str">
        <f t="shared" si="5960"/>
        <v/>
      </c>
      <c r="V940" s="39">
        <v>1</v>
      </c>
      <c r="W940" s="79">
        <f t="shared" si="5974"/>
        <v>0</v>
      </c>
      <c r="X940" s="3">
        <v>0</v>
      </c>
      <c r="Y940" s="77" t="str">
        <f t="shared" si="5961"/>
        <v/>
      </c>
      <c r="Z940" s="3"/>
      <c r="AA940" s="37" t="str">
        <f t="shared" si="5975"/>
        <v/>
      </c>
      <c r="AC940" s="40"/>
      <c r="AD940" s="7"/>
      <c r="AE940" s="77" t="str">
        <f t="shared" si="5962"/>
        <v/>
      </c>
      <c r="AF940" s="81">
        <f t="shared" si="5988"/>
        <v>0</v>
      </c>
      <c r="AG940" s="40"/>
      <c r="AH940" s="7"/>
      <c r="AI940" s="77" t="str">
        <f t="shared" si="5963"/>
        <v/>
      </c>
      <c r="AJ940" s="81">
        <f t="shared" si="5989"/>
        <v>0</v>
      </c>
      <c r="AK940" s="83">
        <f t="shared" si="5990"/>
        <v>0</v>
      </c>
      <c r="AL940" s="83">
        <f t="shared" si="5991"/>
        <v>0</v>
      </c>
      <c r="AN940" s="43">
        <f t="shared" si="5964"/>
        <v>0</v>
      </c>
      <c r="AP940" t="str">
        <f t="shared" si="5992"/>
        <v/>
      </c>
      <c r="AQ940" t="str">
        <f t="shared" si="5993"/>
        <v/>
      </c>
      <c r="AR940" t="str">
        <f t="shared" si="5994"/>
        <v/>
      </c>
      <c r="AS940" t="str">
        <f t="shared" si="5995"/>
        <v/>
      </c>
      <c r="AT940" t="str">
        <f t="shared" si="5996"/>
        <v/>
      </c>
      <c r="AU940" t="str">
        <f t="shared" si="5997"/>
        <v/>
      </c>
      <c r="AV940" t="str">
        <f t="shared" si="5998"/>
        <v/>
      </c>
      <c r="AW940" t="str">
        <f t="shared" si="5999"/>
        <v xml:space="preserve">                              </v>
      </c>
      <c r="AX940" s="23">
        <f t="shared" si="6000"/>
        <v>0</v>
      </c>
      <c r="AY940" s="49" t="str">
        <f t="shared" si="5976"/>
        <v>000000000000000</v>
      </c>
      <c r="AZ940" s="23">
        <f t="shared" si="6001"/>
        <v>0</v>
      </c>
      <c r="BA940" s="49" t="str">
        <f t="shared" si="5976"/>
        <v>000000000000000</v>
      </c>
      <c r="BB940" s="23">
        <f t="shared" si="6002"/>
        <v>0</v>
      </c>
      <c r="BC940" s="49" t="str">
        <f t="shared" ref="BC940" si="6201">IF(BB940&lt;0,SUBSTITUTE(TEXT(BB940,"000000000000,00"),",",""),SUBSTITUTE(TEXT(BB940,"0000000000000,00"),",",""))</f>
        <v>000000000000000</v>
      </c>
      <c r="BD940" s="23">
        <f t="shared" si="6004"/>
        <v>0</v>
      </c>
      <c r="BE940" s="49" t="str">
        <f t="shared" ref="BE940" si="6202">IF(BD940&lt;0,SUBSTITUTE(TEXT(BD940,"000000000000,00"),",",""),SUBSTITUTE(TEXT(BD940,"0000000000000,00"),",",""))</f>
        <v>000000000000000</v>
      </c>
      <c r="BF940" s="23">
        <f t="shared" si="6006"/>
        <v>0</v>
      </c>
      <c r="BG940" s="49" t="str">
        <f t="shared" ref="BG940" si="6203">IF(BF940&lt;0,SUBSTITUTE(TEXT(BF940,"000000000000,00"),",",""),SUBSTITUTE(TEXT(BF940,"0000000000000,00"),",",""))</f>
        <v>000000000000000</v>
      </c>
      <c r="BH940" s="23">
        <f t="shared" si="6008"/>
        <v>0</v>
      </c>
      <c r="BI940" s="49" t="str">
        <f t="shared" ref="BI940" si="6204">IF(BH940&lt;0,SUBSTITUTE(TEXT(BH940,"000000000000,00"),",",""),SUBSTITUTE(TEXT(BH940,"0000000000000,00"),",",""))</f>
        <v>000000000000000</v>
      </c>
      <c r="BJ940" s="23">
        <f t="shared" si="6010"/>
        <v>0</v>
      </c>
      <c r="BK940" s="49" t="str">
        <f t="shared" ref="BK940" si="6205">IF(BJ940&lt;0,SUBSTITUTE(TEXT(BJ940,"000000000000,00"),",",""),SUBSTITUTE(TEXT(BJ940,"0000000000000,00"),",",""))</f>
        <v>000000000000000</v>
      </c>
      <c r="BL940" s="23">
        <f t="shared" si="6012"/>
        <v>0</v>
      </c>
      <c r="BM940" s="49" t="str">
        <f t="shared" ref="BM940" si="6206">IF(BL940&lt;0,SUBSTITUTE(TEXT(BL940,"000000000000,00"),",",""),SUBSTITUTE(TEXT(BL940,"0000000000000,00"),",",""))</f>
        <v>000000000000000</v>
      </c>
      <c r="BN940" t="str">
        <f t="shared" si="6014"/>
        <v>PES</v>
      </c>
      <c r="BO940" t="str">
        <f t="shared" si="6015"/>
        <v>0001000000</v>
      </c>
      <c r="BP940">
        <f t="shared" si="6016"/>
        <v>0</v>
      </c>
      <c r="BQ940">
        <f t="shared" si="6017"/>
        <v>0</v>
      </c>
      <c r="BR940" s="23">
        <f t="shared" si="6018"/>
        <v>0</v>
      </c>
      <c r="BS940" s="49" t="str">
        <f t="shared" si="5983"/>
        <v>000000000000000</v>
      </c>
      <c r="BT940" t="str">
        <f t="shared" si="6019"/>
        <v>00000000</v>
      </c>
      <c r="BU940" s="23">
        <f t="shared" si="6020"/>
        <v>0</v>
      </c>
      <c r="BV940" s="49" t="str">
        <f t="shared" si="5984"/>
        <v/>
      </c>
      <c r="BW940" s="52" t="str">
        <f t="shared" si="6021"/>
        <v/>
      </c>
      <c r="BX940" s="23">
        <f t="shared" si="6022"/>
        <v>0</v>
      </c>
      <c r="BY940" s="49" t="str">
        <f t="shared" si="5985"/>
        <v/>
      </c>
      <c r="BZ940" s="23">
        <f t="shared" si="6023"/>
        <v>0</v>
      </c>
      <c r="CA940" s="49" t="str">
        <f t="shared" si="5986"/>
        <v/>
      </c>
      <c r="CB940" s="52" t="str">
        <f t="shared" si="6024"/>
        <v/>
      </c>
      <c r="CC940" s="23">
        <f t="shared" si="6025"/>
        <v>0</v>
      </c>
      <c r="CD940" s="49" t="str">
        <f t="shared" si="5987"/>
        <v/>
      </c>
      <c r="CE940" s="56" t="str">
        <f>IF(CF940="","",MAX(CE$10:$CE939)+1)</f>
        <v/>
      </c>
      <c r="CF940" t="str">
        <f t="shared" si="6026"/>
        <v/>
      </c>
      <c r="CG940" s="22" t="str">
        <f>IF(CH940="","",MAX($CG$10:CG939)+1)</f>
        <v/>
      </c>
      <c r="CH940" s="22" t="str">
        <f t="shared" si="5971"/>
        <v/>
      </c>
      <c r="CI940" s="22" t="str">
        <f>IF(CJ940="","",MAX($CI$10:CI939)+1)</f>
        <v/>
      </c>
      <c r="CJ940" s="22" t="str">
        <f t="shared" si="5972"/>
        <v/>
      </c>
    </row>
    <row r="941" spans="2:88" x14ac:dyDescent="0.25">
      <c r="B941" s="37"/>
      <c r="C941" s="3"/>
      <c r="D941" s="77" t="str">
        <f t="shared" si="5958"/>
        <v/>
      </c>
      <c r="E941" s="38"/>
      <c r="F941" s="38"/>
      <c r="G941" s="78">
        <f t="shared" si="5973"/>
        <v>0</v>
      </c>
      <c r="H941" s="3">
        <v>80</v>
      </c>
      <c r="I941" s="77" t="str">
        <f t="shared" si="5959"/>
        <v/>
      </c>
      <c r="J941" s="32"/>
      <c r="K941" s="3"/>
      <c r="L941" s="39"/>
      <c r="M941" s="39"/>
      <c r="N941" s="39"/>
      <c r="O941" s="39"/>
      <c r="P941" s="39"/>
      <c r="Q941" s="39"/>
      <c r="R941" s="39"/>
      <c r="S941" s="39"/>
      <c r="T941" s="3" t="s">
        <v>645</v>
      </c>
      <c r="U941" s="77" t="str">
        <f t="shared" si="5960"/>
        <v/>
      </c>
      <c r="V941" s="39">
        <v>1</v>
      </c>
      <c r="W941" s="79">
        <f t="shared" si="5974"/>
        <v>0</v>
      </c>
      <c r="X941" s="3">
        <v>0</v>
      </c>
      <c r="Y941" s="77" t="str">
        <f t="shared" si="5961"/>
        <v/>
      </c>
      <c r="Z941" s="3"/>
      <c r="AA941" s="37" t="str">
        <f t="shared" si="5975"/>
        <v/>
      </c>
      <c r="AC941" s="40"/>
      <c r="AD941" s="7"/>
      <c r="AE941" s="77" t="str">
        <f t="shared" si="5962"/>
        <v/>
      </c>
      <c r="AF941" s="81">
        <f t="shared" si="5988"/>
        <v>0</v>
      </c>
      <c r="AG941" s="40"/>
      <c r="AH941" s="7"/>
      <c r="AI941" s="77" t="str">
        <f t="shared" si="5963"/>
        <v/>
      </c>
      <c r="AJ941" s="81">
        <f t="shared" si="5989"/>
        <v>0</v>
      </c>
      <c r="AK941" s="83">
        <f t="shared" si="5990"/>
        <v>0</v>
      </c>
      <c r="AL941" s="83">
        <f t="shared" si="5991"/>
        <v>0</v>
      </c>
      <c r="AN941" s="43">
        <f t="shared" si="5964"/>
        <v>0</v>
      </c>
      <c r="AP941" t="str">
        <f t="shared" si="5992"/>
        <v/>
      </c>
      <c r="AQ941" t="str">
        <f t="shared" si="5993"/>
        <v/>
      </c>
      <c r="AR941" t="str">
        <f t="shared" si="5994"/>
        <v/>
      </c>
      <c r="AS941" t="str">
        <f t="shared" si="5995"/>
        <v/>
      </c>
      <c r="AT941" t="str">
        <f t="shared" si="5996"/>
        <v/>
      </c>
      <c r="AU941" t="str">
        <f t="shared" si="5997"/>
        <v/>
      </c>
      <c r="AV941" t="str">
        <f t="shared" si="5998"/>
        <v/>
      </c>
      <c r="AW941" t="str">
        <f t="shared" si="5999"/>
        <v xml:space="preserve">                              </v>
      </c>
      <c r="AX941" s="23">
        <f t="shared" si="6000"/>
        <v>0</v>
      </c>
      <c r="AY941" s="49" t="str">
        <f t="shared" si="5976"/>
        <v>000000000000000</v>
      </c>
      <c r="AZ941" s="23">
        <f t="shared" si="6001"/>
        <v>0</v>
      </c>
      <c r="BA941" s="49" t="str">
        <f t="shared" si="5976"/>
        <v>000000000000000</v>
      </c>
      <c r="BB941" s="23">
        <f t="shared" si="6002"/>
        <v>0</v>
      </c>
      <c r="BC941" s="49" t="str">
        <f t="shared" ref="BC941" si="6207">IF(BB941&lt;0,SUBSTITUTE(TEXT(BB941,"000000000000,00"),",",""),SUBSTITUTE(TEXT(BB941,"0000000000000,00"),",",""))</f>
        <v>000000000000000</v>
      </c>
      <c r="BD941" s="23">
        <f t="shared" si="6004"/>
        <v>0</v>
      </c>
      <c r="BE941" s="49" t="str">
        <f t="shared" ref="BE941" si="6208">IF(BD941&lt;0,SUBSTITUTE(TEXT(BD941,"000000000000,00"),",",""),SUBSTITUTE(TEXT(BD941,"0000000000000,00"),",",""))</f>
        <v>000000000000000</v>
      </c>
      <c r="BF941" s="23">
        <f t="shared" si="6006"/>
        <v>0</v>
      </c>
      <c r="BG941" s="49" t="str">
        <f t="shared" ref="BG941" si="6209">IF(BF941&lt;0,SUBSTITUTE(TEXT(BF941,"000000000000,00"),",",""),SUBSTITUTE(TEXT(BF941,"0000000000000,00"),",",""))</f>
        <v>000000000000000</v>
      </c>
      <c r="BH941" s="23">
        <f t="shared" si="6008"/>
        <v>0</v>
      </c>
      <c r="BI941" s="49" t="str">
        <f t="shared" ref="BI941" si="6210">IF(BH941&lt;0,SUBSTITUTE(TEXT(BH941,"000000000000,00"),",",""),SUBSTITUTE(TEXT(BH941,"0000000000000,00"),",",""))</f>
        <v>000000000000000</v>
      </c>
      <c r="BJ941" s="23">
        <f t="shared" si="6010"/>
        <v>0</v>
      </c>
      <c r="BK941" s="49" t="str">
        <f t="shared" ref="BK941" si="6211">IF(BJ941&lt;0,SUBSTITUTE(TEXT(BJ941,"000000000000,00"),",",""),SUBSTITUTE(TEXT(BJ941,"0000000000000,00"),",",""))</f>
        <v>000000000000000</v>
      </c>
      <c r="BL941" s="23">
        <f t="shared" si="6012"/>
        <v>0</v>
      </c>
      <c r="BM941" s="49" t="str">
        <f t="shared" ref="BM941" si="6212">IF(BL941&lt;0,SUBSTITUTE(TEXT(BL941,"000000000000,00"),",",""),SUBSTITUTE(TEXT(BL941,"0000000000000,00"),",",""))</f>
        <v>000000000000000</v>
      </c>
      <c r="BN941" t="str">
        <f t="shared" si="6014"/>
        <v>PES</v>
      </c>
      <c r="BO941" t="str">
        <f t="shared" si="6015"/>
        <v>0001000000</v>
      </c>
      <c r="BP941">
        <f t="shared" si="6016"/>
        <v>0</v>
      </c>
      <c r="BQ941">
        <f t="shared" si="6017"/>
        <v>0</v>
      </c>
      <c r="BR941" s="23">
        <f t="shared" si="6018"/>
        <v>0</v>
      </c>
      <c r="BS941" s="49" t="str">
        <f t="shared" si="5983"/>
        <v>000000000000000</v>
      </c>
      <c r="BT941" t="str">
        <f t="shared" si="6019"/>
        <v>00000000</v>
      </c>
      <c r="BU941" s="23">
        <f t="shared" si="6020"/>
        <v>0</v>
      </c>
      <c r="BV941" s="49" t="str">
        <f t="shared" si="5984"/>
        <v/>
      </c>
      <c r="BW941" s="52" t="str">
        <f t="shared" si="6021"/>
        <v/>
      </c>
      <c r="BX941" s="23">
        <f t="shared" si="6022"/>
        <v>0</v>
      </c>
      <c r="BY941" s="49" t="str">
        <f t="shared" si="5985"/>
        <v/>
      </c>
      <c r="BZ941" s="23">
        <f t="shared" si="6023"/>
        <v>0</v>
      </c>
      <c r="CA941" s="49" t="str">
        <f t="shared" si="5986"/>
        <v/>
      </c>
      <c r="CB941" s="52" t="str">
        <f t="shared" si="6024"/>
        <v/>
      </c>
      <c r="CC941" s="23">
        <f t="shared" si="6025"/>
        <v>0</v>
      </c>
      <c r="CD941" s="49" t="str">
        <f t="shared" si="5987"/>
        <v/>
      </c>
      <c r="CE941" s="56" t="str">
        <f>IF(CF941="","",MAX(CE$10:$CE940)+1)</f>
        <v/>
      </c>
      <c r="CF941" t="str">
        <f t="shared" si="6026"/>
        <v/>
      </c>
      <c r="CG941" s="22" t="str">
        <f>IF(CH941="","",MAX($CG$10:CG940)+1)</f>
        <v/>
      </c>
      <c r="CH941" s="22" t="str">
        <f t="shared" si="5971"/>
        <v/>
      </c>
      <c r="CI941" s="22" t="str">
        <f>IF(CJ941="","",MAX($CI$10:CI940)+1)</f>
        <v/>
      </c>
      <c r="CJ941" s="22" t="str">
        <f t="shared" si="5972"/>
        <v/>
      </c>
    </row>
    <row r="942" spans="2:88" x14ac:dyDescent="0.25">
      <c r="B942" s="37"/>
      <c r="C942" s="3"/>
      <c r="D942" s="77" t="str">
        <f t="shared" si="5958"/>
        <v/>
      </c>
      <c r="E942" s="38"/>
      <c r="F942" s="38"/>
      <c r="G942" s="78">
        <f t="shared" si="5973"/>
        <v>0</v>
      </c>
      <c r="H942" s="3">
        <v>80</v>
      </c>
      <c r="I942" s="77" t="str">
        <f t="shared" si="5959"/>
        <v/>
      </c>
      <c r="J942" s="32"/>
      <c r="K942" s="3"/>
      <c r="L942" s="39"/>
      <c r="M942" s="39"/>
      <c r="N942" s="39"/>
      <c r="O942" s="39"/>
      <c r="P942" s="39"/>
      <c r="Q942" s="39"/>
      <c r="R942" s="39"/>
      <c r="S942" s="39"/>
      <c r="T942" s="3" t="s">
        <v>645</v>
      </c>
      <c r="U942" s="77" t="str">
        <f t="shared" si="5960"/>
        <v/>
      </c>
      <c r="V942" s="39">
        <v>1</v>
      </c>
      <c r="W942" s="79">
        <f t="shared" si="5974"/>
        <v>0</v>
      </c>
      <c r="X942" s="3">
        <v>0</v>
      </c>
      <c r="Y942" s="77" t="str">
        <f t="shared" si="5961"/>
        <v/>
      </c>
      <c r="Z942" s="3"/>
      <c r="AA942" s="37" t="str">
        <f t="shared" si="5975"/>
        <v/>
      </c>
      <c r="AC942" s="40"/>
      <c r="AD942" s="7"/>
      <c r="AE942" s="77" t="str">
        <f t="shared" si="5962"/>
        <v/>
      </c>
      <c r="AF942" s="81">
        <f t="shared" si="5988"/>
        <v>0</v>
      </c>
      <c r="AG942" s="40"/>
      <c r="AH942" s="7"/>
      <c r="AI942" s="77" t="str">
        <f t="shared" si="5963"/>
        <v/>
      </c>
      <c r="AJ942" s="81">
        <f t="shared" si="5989"/>
        <v>0</v>
      </c>
      <c r="AK942" s="83">
        <f t="shared" si="5990"/>
        <v>0</v>
      </c>
      <c r="AL942" s="83">
        <f t="shared" si="5991"/>
        <v>0</v>
      </c>
      <c r="AN942" s="43">
        <f t="shared" si="5964"/>
        <v>0</v>
      </c>
      <c r="AP942" t="str">
        <f t="shared" si="5992"/>
        <v/>
      </c>
      <c r="AQ942" t="str">
        <f t="shared" si="5993"/>
        <v/>
      </c>
      <c r="AR942" t="str">
        <f t="shared" si="5994"/>
        <v/>
      </c>
      <c r="AS942" t="str">
        <f t="shared" si="5995"/>
        <v/>
      </c>
      <c r="AT942" t="str">
        <f t="shared" si="5996"/>
        <v/>
      </c>
      <c r="AU942" t="str">
        <f t="shared" si="5997"/>
        <v/>
      </c>
      <c r="AV942" t="str">
        <f t="shared" si="5998"/>
        <v/>
      </c>
      <c r="AW942" t="str">
        <f t="shared" si="5999"/>
        <v xml:space="preserve">                              </v>
      </c>
      <c r="AX942" s="23">
        <f t="shared" si="6000"/>
        <v>0</v>
      </c>
      <c r="AY942" s="49" t="str">
        <f t="shared" si="5976"/>
        <v>000000000000000</v>
      </c>
      <c r="AZ942" s="23">
        <f t="shared" si="6001"/>
        <v>0</v>
      </c>
      <c r="BA942" s="49" t="str">
        <f t="shared" si="5976"/>
        <v>000000000000000</v>
      </c>
      <c r="BB942" s="23">
        <f t="shared" si="6002"/>
        <v>0</v>
      </c>
      <c r="BC942" s="49" t="str">
        <f t="shared" ref="BC942" si="6213">IF(BB942&lt;0,SUBSTITUTE(TEXT(BB942,"000000000000,00"),",",""),SUBSTITUTE(TEXT(BB942,"0000000000000,00"),",",""))</f>
        <v>000000000000000</v>
      </c>
      <c r="BD942" s="23">
        <f t="shared" si="6004"/>
        <v>0</v>
      </c>
      <c r="BE942" s="49" t="str">
        <f t="shared" ref="BE942" si="6214">IF(BD942&lt;0,SUBSTITUTE(TEXT(BD942,"000000000000,00"),",",""),SUBSTITUTE(TEXT(BD942,"0000000000000,00"),",",""))</f>
        <v>000000000000000</v>
      </c>
      <c r="BF942" s="23">
        <f t="shared" si="6006"/>
        <v>0</v>
      </c>
      <c r="BG942" s="49" t="str">
        <f t="shared" ref="BG942" si="6215">IF(BF942&lt;0,SUBSTITUTE(TEXT(BF942,"000000000000,00"),",",""),SUBSTITUTE(TEXT(BF942,"0000000000000,00"),",",""))</f>
        <v>000000000000000</v>
      </c>
      <c r="BH942" s="23">
        <f t="shared" si="6008"/>
        <v>0</v>
      </c>
      <c r="BI942" s="49" t="str">
        <f t="shared" ref="BI942" si="6216">IF(BH942&lt;0,SUBSTITUTE(TEXT(BH942,"000000000000,00"),",",""),SUBSTITUTE(TEXT(BH942,"0000000000000,00"),",",""))</f>
        <v>000000000000000</v>
      </c>
      <c r="BJ942" s="23">
        <f t="shared" si="6010"/>
        <v>0</v>
      </c>
      <c r="BK942" s="49" t="str">
        <f t="shared" ref="BK942" si="6217">IF(BJ942&lt;0,SUBSTITUTE(TEXT(BJ942,"000000000000,00"),",",""),SUBSTITUTE(TEXT(BJ942,"0000000000000,00"),",",""))</f>
        <v>000000000000000</v>
      </c>
      <c r="BL942" s="23">
        <f t="shared" si="6012"/>
        <v>0</v>
      </c>
      <c r="BM942" s="49" t="str">
        <f t="shared" ref="BM942" si="6218">IF(BL942&lt;0,SUBSTITUTE(TEXT(BL942,"000000000000,00"),",",""),SUBSTITUTE(TEXT(BL942,"0000000000000,00"),",",""))</f>
        <v>000000000000000</v>
      </c>
      <c r="BN942" t="str">
        <f t="shared" si="6014"/>
        <v>PES</v>
      </c>
      <c r="BO942" t="str">
        <f t="shared" si="6015"/>
        <v>0001000000</v>
      </c>
      <c r="BP942">
        <f t="shared" si="6016"/>
        <v>0</v>
      </c>
      <c r="BQ942">
        <f t="shared" si="6017"/>
        <v>0</v>
      </c>
      <c r="BR942" s="23">
        <f t="shared" si="6018"/>
        <v>0</v>
      </c>
      <c r="BS942" s="49" t="str">
        <f t="shared" si="5983"/>
        <v>000000000000000</v>
      </c>
      <c r="BT942" t="str">
        <f t="shared" si="6019"/>
        <v>00000000</v>
      </c>
      <c r="BU942" s="23">
        <f t="shared" si="6020"/>
        <v>0</v>
      </c>
      <c r="BV942" s="49" t="str">
        <f t="shared" si="5984"/>
        <v/>
      </c>
      <c r="BW942" s="52" t="str">
        <f t="shared" si="6021"/>
        <v/>
      </c>
      <c r="BX942" s="23">
        <f t="shared" si="6022"/>
        <v>0</v>
      </c>
      <c r="BY942" s="49" t="str">
        <f t="shared" si="5985"/>
        <v/>
      </c>
      <c r="BZ942" s="23">
        <f t="shared" si="6023"/>
        <v>0</v>
      </c>
      <c r="CA942" s="49" t="str">
        <f t="shared" si="5986"/>
        <v/>
      </c>
      <c r="CB942" s="52" t="str">
        <f t="shared" si="6024"/>
        <v/>
      </c>
      <c r="CC942" s="23">
        <f t="shared" si="6025"/>
        <v>0</v>
      </c>
      <c r="CD942" s="49" t="str">
        <f t="shared" si="5987"/>
        <v/>
      </c>
      <c r="CE942" s="56" t="str">
        <f>IF(CF942="","",MAX(CE$10:$CE941)+1)</f>
        <v/>
      </c>
      <c r="CF942" t="str">
        <f t="shared" si="6026"/>
        <v/>
      </c>
      <c r="CG942" s="22" t="str">
        <f>IF(CH942="","",MAX($CG$10:CG941)+1)</f>
        <v/>
      </c>
      <c r="CH942" s="22" t="str">
        <f t="shared" si="5971"/>
        <v/>
      </c>
      <c r="CI942" s="22" t="str">
        <f>IF(CJ942="","",MAX($CI$10:CI941)+1)</f>
        <v/>
      </c>
      <c r="CJ942" s="22" t="str">
        <f t="shared" si="5972"/>
        <v/>
      </c>
    </row>
    <row r="943" spans="2:88" x14ac:dyDescent="0.25">
      <c r="B943" s="37"/>
      <c r="C943" s="3"/>
      <c r="D943" s="77" t="str">
        <f t="shared" si="5958"/>
        <v/>
      </c>
      <c r="E943" s="38"/>
      <c r="F943" s="38"/>
      <c r="G943" s="78">
        <f t="shared" si="5973"/>
        <v>0</v>
      </c>
      <c r="H943" s="3">
        <v>80</v>
      </c>
      <c r="I943" s="77" t="str">
        <f t="shared" si="5959"/>
        <v/>
      </c>
      <c r="J943" s="32"/>
      <c r="K943" s="3"/>
      <c r="L943" s="39"/>
      <c r="M943" s="39"/>
      <c r="N943" s="39"/>
      <c r="O943" s="39"/>
      <c r="P943" s="39"/>
      <c r="Q943" s="39"/>
      <c r="R943" s="39"/>
      <c r="S943" s="39"/>
      <c r="T943" s="3" t="s">
        <v>645</v>
      </c>
      <c r="U943" s="77" t="str">
        <f t="shared" si="5960"/>
        <v/>
      </c>
      <c r="V943" s="39">
        <v>1</v>
      </c>
      <c r="W943" s="79">
        <f t="shared" si="5974"/>
        <v>0</v>
      </c>
      <c r="X943" s="3">
        <v>0</v>
      </c>
      <c r="Y943" s="77" t="str">
        <f t="shared" si="5961"/>
        <v/>
      </c>
      <c r="Z943" s="3"/>
      <c r="AA943" s="37" t="str">
        <f t="shared" si="5975"/>
        <v/>
      </c>
      <c r="AC943" s="40"/>
      <c r="AD943" s="7"/>
      <c r="AE943" s="77" t="str">
        <f t="shared" si="5962"/>
        <v/>
      </c>
      <c r="AF943" s="81">
        <f t="shared" si="5988"/>
        <v>0</v>
      </c>
      <c r="AG943" s="40"/>
      <c r="AH943" s="7"/>
      <c r="AI943" s="77" t="str">
        <f t="shared" si="5963"/>
        <v/>
      </c>
      <c r="AJ943" s="81">
        <f t="shared" si="5989"/>
        <v>0</v>
      </c>
      <c r="AK943" s="83">
        <f t="shared" si="5990"/>
        <v>0</v>
      </c>
      <c r="AL943" s="83">
        <f t="shared" si="5991"/>
        <v>0</v>
      </c>
      <c r="AN943" s="43">
        <f t="shared" si="5964"/>
        <v>0</v>
      </c>
      <c r="AP943" t="str">
        <f t="shared" si="5992"/>
        <v/>
      </c>
      <c r="AQ943" t="str">
        <f t="shared" si="5993"/>
        <v/>
      </c>
      <c r="AR943" t="str">
        <f t="shared" si="5994"/>
        <v/>
      </c>
      <c r="AS943" t="str">
        <f t="shared" si="5995"/>
        <v/>
      </c>
      <c r="AT943" t="str">
        <f t="shared" si="5996"/>
        <v/>
      </c>
      <c r="AU943" t="str">
        <f t="shared" si="5997"/>
        <v/>
      </c>
      <c r="AV943" t="str">
        <f t="shared" si="5998"/>
        <v/>
      </c>
      <c r="AW943" t="str">
        <f t="shared" si="5999"/>
        <v xml:space="preserve">                              </v>
      </c>
      <c r="AX943" s="23">
        <f t="shared" si="6000"/>
        <v>0</v>
      </c>
      <c r="AY943" s="49" t="str">
        <f t="shared" si="5976"/>
        <v>000000000000000</v>
      </c>
      <c r="AZ943" s="23">
        <f t="shared" si="6001"/>
        <v>0</v>
      </c>
      <c r="BA943" s="49" t="str">
        <f t="shared" si="5976"/>
        <v>000000000000000</v>
      </c>
      <c r="BB943" s="23">
        <f t="shared" si="6002"/>
        <v>0</v>
      </c>
      <c r="BC943" s="49" t="str">
        <f t="shared" ref="BC943" si="6219">IF(BB943&lt;0,SUBSTITUTE(TEXT(BB943,"000000000000,00"),",",""),SUBSTITUTE(TEXT(BB943,"0000000000000,00"),",",""))</f>
        <v>000000000000000</v>
      </c>
      <c r="BD943" s="23">
        <f t="shared" si="6004"/>
        <v>0</v>
      </c>
      <c r="BE943" s="49" t="str">
        <f t="shared" ref="BE943" si="6220">IF(BD943&lt;0,SUBSTITUTE(TEXT(BD943,"000000000000,00"),",",""),SUBSTITUTE(TEXT(BD943,"0000000000000,00"),",",""))</f>
        <v>000000000000000</v>
      </c>
      <c r="BF943" s="23">
        <f t="shared" si="6006"/>
        <v>0</v>
      </c>
      <c r="BG943" s="49" t="str">
        <f t="shared" ref="BG943" si="6221">IF(BF943&lt;0,SUBSTITUTE(TEXT(BF943,"000000000000,00"),",",""),SUBSTITUTE(TEXT(BF943,"0000000000000,00"),",",""))</f>
        <v>000000000000000</v>
      </c>
      <c r="BH943" s="23">
        <f t="shared" si="6008"/>
        <v>0</v>
      </c>
      <c r="BI943" s="49" t="str">
        <f t="shared" ref="BI943" si="6222">IF(BH943&lt;0,SUBSTITUTE(TEXT(BH943,"000000000000,00"),",",""),SUBSTITUTE(TEXT(BH943,"0000000000000,00"),",",""))</f>
        <v>000000000000000</v>
      </c>
      <c r="BJ943" s="23">
        <f t="shared" si="6010"/>
        <v>0</v>
      </c>
      <c r="BK943" s="49" t="str">
        <f t="shared" ref="BK943" si="6223">IF(BJ943&lt;0,SUBSTITUTE(TEXT(BJ943,"000000000000,00"),",",""),SUBSTITUTE(TEXT(BJ943,"0000000000000,00"),",",""))</f>
        <v>000000000000000</v>
      </c>
      <c r="BL943" s="23">
        <f t="shared" si="6012"/>
        <v>0</v>
      </c>
      <c r="BM943" s="49" t="str">
        <f t="shared" ref="BM943" si="6224">IF(BL943&lt;0,SUBSTITUTE(TEXT(BL943,"000000000000,00"),",",""),SUBSTITUTE(TEXT(BL943,"0000000000000,00"),",",""))</f>
        <v>000000000000000</v>
      </c>
      <c r="BN943" t="str">
        <f t="shared" si="6014"/>
        <v>PES</v>
      </c>
      <c r="BO943" t="str">
        <f t="shared" si="6015"/>
        <v>0001000000</v>
      </c>
      <c r="BP943">
        <f t="shared" si="6016"/>
        <v>0</v>
      </c>
      <c r="BQ943">
        <f t="shared" si="6017"/>
        <v>0</v>
      </c>
      <c r="BR943" s="23">
        <f t="shared" si="6018"/>
        <v>0</v>
      </c>
      <c r="BS943" s="49" t="str">
        <f t="shared" si="5983"/>
        <v>000000000000000</v>
      </c>
      <c r="BT943" t="str">
        <f t="shared" si="6019"/>
        <v>00000000</v>
      </c>
      <c r="BU943" s="23">
        <f t="shared" si="6020"/>
        <v>0</v>
      </c>
      <c r="BV943" s="49" t="str">
        <f t="shared" si="5984"/>
        <v/>
      </c>
      <c r="BW943" s="52" t="str">
        <f t="shared" si="6021"/>
        <v/>
      </c>
      <c r="BX943" s="23">
        <f t="shared" si="6022"/>
        <v>0</v>
      </c>
      <c r="BY943" s="49" t="str">
        <f t="shared" si="5985"/>
        <v/>
      </c>
      <c r="BZ943" s="23">
        <f t="shared" si="6023"/>
        <v>0</v>
      </c>
      <c r="CA943" s="49" t="str">
        <f t="shared" si="5986"/>
        <v/>
      </c>
      <c r="CB943" s="52" t="str">
        <f t="shared" si="6024"/>
        <v/>
      </c>
      <c r="CC943" s="23">
        <f t="shared" si="6025"/>
        <v>0</v>
      </c>
      <c r="CD943" s="49" t="str">
        <f t="shared" si="5987"/>
        <v/>
      </c>
      <c r="CE943" s="56" t="str">
        <f>IF(CF943="","",MAX(CE$10:$CE942)+1)</f>
        <v/>
      </c>
      <c r="CF943" t="str">
        <f t="shared" si="6026"/>
        <v/>
      </c>
      <c r="CG943" s="22" t="str">
        <f>IF(CH943="","",MAX($CG$10:CG942)+1)</f>
        <v/>
      </c>
      <c r="CH943" s="22" t="str">
        <f t="shared" si="5971"/>
        <v/>
      </c>
      <c r="CI943" s="22" t="str">
        <f>IF(CJ943="","",MAX($CI$10:CI942)+1)</f>
        <v/>
      </c>
      <c r="CJ943" s="22" t="str">
        <f t="shared" si="5972"/>
        <v/>
      </c>
    </row>
    <row r="944" spans="2:88" x14ac:dyDescent="0.25">
      <c r="B944" s="37"/>
      <c r="C944" s="3"/>
      <c r="D944" s="77" t="str">
        <f t="shared" si="5958"/>
        <v/>
      </c>
      <c r="E944" s="38"/>
      <c r="F944" s="38"/>
      <c r="G944" s="78">
        <f t="shared" si="5973"/>
        <v>0</v>
      </c>
      <c r="H944" s="3">
        <v>80</v>
      </c>
      <c r="I944" s="77" t="str">
        <f t="shared" si="5959"/>
        <v/>
      </c>
      <c r="J944" s="32"/>
      <c r="K944" s="3"/>
      <c r="L944" s="39"/>
      <c r="M944" s="39"/>
      <c r="N944" s="39"/>
      <c r="O944" s="39"/>
      <c r="P944" s="39"/>
      <c r="Q944" s="39"/>
      <c r="R944" s="39"/>
      <c r="S944" s="39"/>
      <c r="T944" s="3" t="s">
        <v>645</v>
      </c>
      <c r="U944" s="77" t="str">
        <f t="shared" si="5960"/>
        <v/>
      </c>
      <c r="V944" s="39">
        <v>1</v>
      </c>
      <c r="W944" s="79">
        <f t="shared" si="5974"/>
        <v>0</v>
      </c>
      <c r="X944" s="3">
        <v>0</v>
      </c>
      <c r="Y944" s="77" t="str">
        <f t="shared" si="5961"/>
        <v/>
      </c>
      <c r="Z944" s="3"/>
      <c r="AA944" s="37" t="str">
        <f t="shared" si="5975"/>
        <v/>
      </c>
      <c r="AC944" s="40"/>
      <c r="AD944" s="7"/>
      <c r="AE944" s="77" t="str">
        <f t="shared" si="5962"/>
        <v/>
      </c>
      <c r="AF944" s="81">
        <f t="shared" si="5988"/>
        <v>0</v>
      </c>
      <c r="AG944" s="40"/>
      <c r="AH944" s="7"/>
      <c r="AI944" s="77" t="str">
        <f t="shared" si="5963"/>
        <v/>
      </c>
      <c r="AJ944" s="81">
        <f t="shared" si="5989"/>
        <v>0</v>
      </c>
      <c r="AK944" s="83">
        <f t="shared" si="5990"/>
        <v>0</v>
      </c>
      <c r="AL944" s="83">
        <f t="shared" si="5991"/>
        <v>0</v>
      </c>
      <c r="AN944" s="43">
        <f t="shared" si="5964"/>
        <v>0</v>
      </c>
      <c r="AP944" t="str">
        <f t="shared" si="5992"/>
        <v/>
      </c>
      <c r="AQ944" t="str">
        <f t="shared" si="5993"/>
        <v/>
      </c>
      <c r="AR944" t="str">
        <f t="shared" si="5994"/>
        <v/>
      </c>
      <c r="AS944" t="str">
        <f t="shared" si="5995"/>
        <v/>
      </c>
      <c r="AT944" t="str">
        <f t="shared" si="5996"/>
        <v/>
      </c>
      <c r="AU944" t="str">
        <f t="shared" si="5997"/>
        <v/>
      </c>
      <c r="AV944" t="str">
        <f t="shared" si="5998"/>
        <v/>
      </c>
      <c r="AW944" t="str">
        <f t="shared" si="5999"/>
        <v xml:space="preserve">                              </v>
      </c>
      <c r="AX944" s="23">
        <f t="shared" si="6000"/>
        <v>0</v>
      </c>
      <c r="AY944" s="49" t="str">
        <f t="shared" si="5976"/>
        <v>000000000000000</v>
      </c>
      <c r="AZ944" s="23">
        <f t="shared" si="6001"/>
        <v>0</v>
      </c>
      <c r="BA944" s="49" t="str">
        <f t="shared" si="5976"/>
        <v>000000000000000</v>
      </c>
      <c r="BB944" s="23">
        <f t="shared" si="6002"/>
        <v>0</v>
      </c>
      <c r="BC944" s="49" t="str">
        <f t="shared" ref="BC944" si="6225">IF(BB944&lt;0,SUBSTITUTE(TEXT(BB944,"000000000000,00"),",",""),SUBSTITUTE(TEXT(BB944,"0000000000000,00"),",",""))</f>
        <v>000000000000000</v>
      </c>
      <c r="BD944" s="23">
        <f t="shared" si="6004"/>
        <v>0</v>
      </c>
      <c r="BE944" s="49" t="str">
        <f t="shared" ref="BE944" si="6226">IF(BD944&lt;0,SUBSTITUTE(TEXT(BD944,"000000000000,00"),",",""),SUBSTITUTE(TEXT(BD944,"0000000000000,00"),",",""))</f>
        <v>000000000000000</v>
      </c>
      <c r="BF944" s="23">
        <f t="shared" si="6006"/>
        <v>0</v>
      </c>
      <c r="BG944" s="49" t="str">
        <f t="shared" ref="BG944" si="6227">IF(BF944&lt;0,SUBSTITUTE(TEXT(BF944,"000000000000,00"),",",""),SUBSTITUTE(TEXT(BF944,"0000000000000,00"),",",""))</f>
        <v>000000000000000</v>
      </c>
      <c r="BH944" s="23">
        <f t="shared" si="6008"/>
        <v>0</v>
      </c>
      <c r="BI944" s="49" t="str">
        <f t="shared" ref="BI944" si="6228">IF(BH944&lt;0,SUBSTITUTE(TEXT(BH944,"000000000000,00"),",",""),SUBSTITUTE(TEXT(BH944,"0000000000000,00"),",",""))</f>
        <v>000000000000000</v>
      </c>
      <c r="BJ944" s="23">
        <f t="shared" si="6010"/>
        <v>0</v>
      </c>
      <c r="BK944" s="49" t="str">
        <f t="shared" ref="BK944" si="6229">IF(BJ944&lt;0,SUBSTITUTE(TEXT(BJ944,"000000000000,00"),",",""),SUBSTITUTE(TEXT(BJ944,"0000000000000,00"),",",""))</f>
        <v>000000000000000</v>
      </c>
      <c r="BL944" s="23">
        <f t="shared" si="6012"/>
        <v>0</v>
      </c>
      <c r="BM944" s="49" t="str">
        <f t="shared" ref="BM944" si="6230">IF(BL944&lt;0,SUBSTITUTE(TEXT(BL944,"000000000000,00"),",",""),SUBSTITUTE(TEXT(BL944,"0000000000000,00"),",",""))</f>
        <v>000000000000000</v>
      </c>
      <c r="BN944" t="str">
        <f t="shared" si="6014"/>
        <v>PES</v>
      </c>
      <c r="BO944" t="str">
        <f t="shared" si="6015"/>
        <v>0001000000</v>
      </c>
      <c r="BP944">
        <f t="shared" si="6016"/>
        <v>0</v>
      </c>
      <c r="BQ944">
        <f t="shared" si="6017"/>
        <v>0</v>
      </c>
      <c r="BR944" s="23">
        <f t="shared" si="6018"/>
        <v>0</v>
      </c>
      <c r="BS944" s="49" t="str">
        <f t="shared" si="5983"/>
        <v>000000000000000</v>
      </c>
      <c r="BT944" t="str">
        <f t="shared" si="6019"/>
        <v>00000000</v>
      </c>
      <c r="BU944" s="23">
        <f t="shared" si="6020"/>
        <v>0</v>
      </c>
      <c r="BV944" s="49" t="str">
        <f t="shared" si="5984"/>
        <v/>
      </c>
      <c r="BW944" s="52" t="str">
        <f t="shared" si="6021"/>
        <v/>
      </c>
      <c r="BX944" s="23">
        <f t="shared" si="6022"/>
        <v>0</v>
      </c>
      <c r="BY944" s="49" t="str">
        <f t="shared" si="5985"/>
        <v/>
      </c>
      <c r="BZ944" s="23">
        <f t="shared" si="6023"/>
        <v>0</v>
      </c>
      <c r="CA944" s="49" t="str">
        <f t="shared" si="5986"/>
        <v/>
      </c>
      <c r="CB944" s="52" t="str">
        <f t="shared" si="6024"/>
        <v/>
      </c>
      <c r="CC944" s="23">
        <f t="shared" si="6025"/>
        <v>0</v>
      </c>
      <c r="CD944" s="49" t="str">
        <f t="shared" si="5987"/>
        <v/>
      </c>
      <c r="CE944" s="56" t="str">
        <f>IF(CF944="","",MAX(CE$10:$CE943)+1)</f>
        <v/>
      </c>
      <c r="CF944" t="str">
        <f t="shared" si="6026"/>
        <v/>
      </c>
      <c r="CG944" s="22" t="str">
        <f>IF(CH944="","",MAX($CG$10:CG943)+1)</f>
        <v/>
      </c>
      <c r="CH944" s="22" t="str">
        <f t="shared" si="5971"/>
        <v/>
      </c>
      <c r="CI944" s="22" t="str">
        <f>IF(CJ944="","",MAX($CI$10:CI943)+1)</f>
        <v/>
      </c>
      <c r="CJ944" s="22" t="str">
        <f t="shared" si="5972"/>
        <v/>
      </c>
    </row>
    <row r="945" spans="2:88" x14ac:dyDescent="0.25">
      <c r="B945" s="37"/>
      <c r="C945" s="3"/>
      <c r="D945" s="77" t="str">
        <f t="shared" si="5958"/>
        <v/>
      </c>
      <c r="E945" s="38"/>
      <c r="F945" s="38"/>
      <c r="G945" s="78">
        <f t="shared" si="5973"/>
        <v>0</v>
      </c>
      <c r="H945" s="3">
        <v>80</v>
      </c>
      <c r="I945" s="77" t="str">
        <f t="shared" si="5959"/>
        <v/>
      </c>
      <c r="J945" s="32"/>
      <c r="K945" s="3"/>
      <c r="L945" s="39"/>
      <c r="M945" s="39"/>
      <c r="N945" s="39"/>
      <c r="O945" s="39"/>
      <c r="P945" s="39"/>
      <c r="Q945" s="39"/>
      <c r="R945" s="39"/>
      <c r="S945" s="39"/>
      <c r="T945" s="3" t="s">
        <v>645</v>
      </c>
      <c r="U945" s="77" t="str">
        <f t="shared" si="5960"/>
        <v/>
      </c>
      <c r="V945" s="39">
        <v>1</v>
      </c>
      <c r="W945" s="79">
        <f t="shared" si="5974"/>
        <v>0</v>
      </c>
      <c r="X945" s="3">
        <v>0</v>
      </c>
      <c r="Y945" s="77" t="str">
        <f t="shared" si="5961"/>
        <v/>
      </c>
      <c r="Z945" s="3"/>
      <c r="AA945" s="37" t="str">
        <f t="shared" si="5975"/>
        <v/>
      </c>
      <c r="AC945" s="40"/>
      <c r="AD945" s="7"/>
      <c r="AE945" s="77" t="str">
        <f t="shared" si="5962"/>
        <v/>
      </c>
      <c r="AF945" s="81">
        <f t="shared" si="5988"/>
        <v>0</v>
      </c>
      <c r="AG945" s="40"/>
      <c r="AH945" s="7"/>
      <c r="AI945" s="77" t="str">
        <f t="shared" si="5963"/>
        <v/>
      </c>
      <c r="AJ945" s="81">
        <f t="shared" si="5989"/>
        <v>0</v>
      </c>
      <c r="AK945" s="83">
        <f t="shared" si="5990"/>
        <v>0</v>
      </c>
      <c r="AL945" s="83">
        <f t="shared" si="5991"/>
        <v>0</v>
      </c>
      <c r="AN945" s="43">
        <f t="shared" si="5964"/>
        <v>0</v>
      </c>
      <c r="AP945" t="str">
        <f t="shared" si="5992"/>
        <v/>
      </c>
      <c r="AQ945" t="str">
        <f t="shared" si="5993"/>
        <v/>
      </c>
      <c r="AR945" t="str">
        <f t="shared" si="5994"/>
        <v/>
      </c>
      <c r="AS945" t="str">
        <f t="shared" si="5995"/>
        <v/>
      </c>
      <c r="AT945" t="str">
        <f t="shared" si="5996"/>
        <v/>
      </c>
      <c r="AU945" t="str">
        <f t="shared" si="5997"/>
        <v/>
      </c>
      <c r="AV945" t="str">
        <f t="shared" si="5998"/>
        <v/>
      </c>
      <c r="AW945" t="str">
        <f t="shared" si="5999"/>
        <v xml:space="preserve">                              </v>
      </c>
      <c r="AX945" s="23">
        <f t="shared" si="6000"/>
        <v>0</v>
      </c>
      <c r="AY945" s="49" t="str">
        <f t="shared" si="5976"/>
        <v>000000000000000</v>
      </c>
      <c r="AZ945" s="23">
        <f t="shared" si="6001"/>
        <v>0</v>
      </c>
      <c r="BA945" s="49" t="str">
        <f t="shared" si="5976"/>
        <v>000000000000000</v>
      </c>
      <c r="BB945" s="23">
        <f t="shared" si="6002"/>
        <v>0</v>
      </c>
      <c r="BC945" s="49" t="str">
        <f t="shared" ref="BC945" si="6231">IF(BB945&lt;0,SUBSTITUTE(TEXT(BB945,"000000000000,00"),",",""),SUBSTITUTE(TEXT(BB945,"0000000000000,00"),",",""))</f>
        <v>000000000000000</v>
      </c>
      <c r="BD945" s="23">
        <f t="shared" si="6004"/>
        <v>0</v>
      </c>
      <c r="BE945" s="49" t="str">
        <f t="shared" ref="BE945" si="6232">IF(BD945&lt;0,SUBSTITUTE(TEXT(BD945,"000000000000,00"),",",""),SUBSTITUTE(TEXT(BD945,"0000000000000,00"),",",""))</f>
        <v>000000000000000</v>
      </c>
      <c r="BF945" s="23">
        <f t="shared" si="6006"/>
        <v>0</v>
      </c>
      <c r="BG945" s="49" t="str">
        <f t="shared" ref="BG945" si="6233">IF(BF945&lt;0,SUBSTITUTE(TEXT(BF945,"000000000000,00"),",",""),SUBSTITUTE(TEXT(BF945,"0000000000000,00"),",",""))</f>
        <v>000000000000000</v>
      </c>
      <c r="BH945" s="23">
        <f t="shared" si="6008"/>
        <v>0</v>
      </c>
      <c r="BI945" s="49" t="str">
        <f t="shared" ref="BI945" si="6234">IF(BH945&lt;0,SUBSTITUTE(TEXT(BH945,"000000000000,00"),",",""),SUBSTITUTE(TEXT(BH945,"0000000000000,00"),",",""))</f>
        <v>000000000000000</v>
      </c>
      <c r="BJ945" s="23">
        <f t="shared" si="6010"/>
        <v>0</v>
      </c>
      <c r="BK945" s="49" t="str">
        <f t="shared" ref="BK945" si="6235">IF(BJ945&lt;0,SUBSTITUTE(TEXT(BJ945,"000000000000,00"),",",""),SUBSTITUTE(TEXT(BJ945,"0000000000000,00"),",",""))</f>
        <v>000000000000000</v>
      </c>
      <c r="BL945" s="23">
        <f t="shared" si="6012"/>
        <v>0</v>
      </c>
      <c r="BM945" s="49" t="str">
        <f t="shared" ref="BM945" si="6236">IF(BL945&lt;0,SUBSTITUTE(TEXT(BL945,"000000000000,00"),",",""),SUBSTITUTE(TEXT(BL945,"0000000000000,00"),",",""))</f>
        <v>000000000000000</v>
      </c>
      <c r="BN945" t="str">
        <f t="shared" si="6014"/>
        <v>PES</v>
      </c>
      <c r="BO945" t="str">
        <f t="shared" si="6015"/>
        <v>0001000000</v>
      </c>
      <c r="BP945">
        <f t="shared" si="6016"/>
        <v>0</v>
      </c>
      <c r="BQ945">
        <f t="shared" si="6017"/>
        <v>0</v>
      </c>
      <c r="BR945" s="23">
        <f t="shared" si="6018"/>
        <v>0</v>
      </c>
      <c r="BS945" s="49" t="str">
        <f t="shared" si="5983"/>
        <v>000000000000000</v>
      </c>
      <c r="BT945" t="str">
        <f t="shared" si="6019"/>
        <v>00000000</v>
      </c>
      <c r="BU945" s="23">
        <f t="shared" si="6020"/>
        <v>0</v>
      </c>
      <c r="BV945" s="49" t="str">
        <f t="shared" si="5984"/>
        <v/>
      </c>
      <c r="BW945" s="52" t="str">
        <f t="shared" si="6021"/>
        <v/>
      </c>
      <c r="BX945" s="23">
        <f t="shared" si="6022"/>
        <v>0</v>
      </c>
      <c r="BY945" s="49" t="str">
        <f t="shared" si="5985"/>
        <v/>
      </c>
      <c r="BZ945" s="23">
        <f t="shared" si="6023"/>
        <v>0</v>
      </c>
      <c r="CA945" s="49" t="str">
        <f t="shared" si="5986"/>
        <v/>
      </c>
      <c r="CB945" s="52" t="str">
        <f t="shared" si="6024"/>
        <v/>
      </c>
      <c r="CC945" s="23">
        <f t="shared" si="6025"/>
        <v>0</v>
      </c>
      <c r="CD945" s="49" t="str">
        <f t="shared" si="5987"/>
        <v/>
      </c>
      <c r="CE945" s="56" t="str">
        <f>IF(CF945="","",MAX(CE$10:$CE944)+1)</f>
        <v/>
      </c>
      <c r="CF945" t="str">
        <f t="shared" si="6026"/>
        <v/>
      </c>
      <c r="CG945" s="22" t="str">
        <f>IF(CH945="","",MAX($CG$10:CG944)+1)</f>
        <v/>
      </c>
      <c r="CH945" s="22" t="str">
        <f t="shared" si="5971"/>
        <v/>
      </c>
      <c r="CI945" s="22" t="str">
        <f>IF(CJ945="","",MAX($CI$10:CI944)+1)</f>
        <v/>
      </c>
      <c r="CJ945" s="22" t="str">
        <f t="shared" si="5972"/>
        <v/>
      </c>
    </row>
    <row r="946" spans="2:88" x14ac:dyDescent="0.25">
      <c r="B946" s="37"/>
      <c r="C946" s="3"/>
      <c r="D946" s="77" t="str">
        <f t="shared" si="5958"/>
        <v/>
      </c>
      <c r="E946" s="38"/>
      <c r="F946" s="38"/>
      <c r="G946" s="78">
        <f t="shared" si="5973"/>
        <v>0</v>
      </c>
      <c r="H946" s="3">
        <v>80</v>
      </c>
      <c r="I946" s="77" t="str">
        <f t="shared" si="5959"/>
        <v/>
      </c>
      <c r="J946" s="32"/>
      <c r="K946" s="3"/>
      <c r="L946" s="39"/>
      <c r="M946" s="39"/>
      <c r="N946" s="39"/>
      <c r="O946" s="39"/>
      <c r="P946" s="39"/>
      <c r="Q946" s="39"/>
      <c r="R946" s="39"/>
      <c r="S946" s="39"/>
      <c r="T946" s="3" t="s">
        <v>645</v>
      </c>
      <c r="U946" s="77" t="str">
        <f t="shared" si="5960"/>
        <v/>
      </c>
      <c r="V946" s="39">
        <v>1</v>
      </c>
      <c r="W946" s="79">
        <f t="shared" si="5974"/>
        <v>0</v>
      </c>
      <c r="X946" s="3">
        <v>0</v>
      </c>
      <c r="Y946" s="77" t="str">
        <f t="shared" si="5961"/>
        <v/>
      </c>
      <c r="Z946" s="3"/>
      <c r="AA946" s="37" t="str">
        <f t="shared" si="5975"/>
        <v/>
      </c>
      <c r="AC946" s="40"/>
      <c r="AD946" s="7"/>
      <c r="AE946" s="77" t="str">
        <f t="shared" si="5962"/>
        <v/>
      </c>
      <c r="AF946" s="81">
        <f t="shared" si="5988"/>
        <v>0</v>
      </c>
      <c r="AG946" s="40"/>
      <c r="AH946" s="7"/>
      <c r="AI946" s="77" t="str">
        <f t="shared" si="5963"/>
        <v/>
      </c>
      <c r="AJ946" s="81">
        <f t="shared" si="5989"/>
        <v>0</v>
      </c>
      <c r="AK946" s="83">
        <f t="shared" si="5990"/>
        <v>0</v>
      </c>
      <c r="AL946" s="83">
        <f t="shared" si="5991"/>
        <v>0</v>
      </c>
      <c r="AN946" s="43">
        <f t="shared" si="5964"/>
        <v>0</v>
      </c>
      <c r="AP946" t="str">
        <f t="shared" si="5992"/>
        <v/>
      </c>
      <c r="AQ946" t="str">
        <f t="shared" si="5993"/>
        <v/>
      </c>
      <c r="AR946" t="str">
        <f t="shared" si="5994"/>
        <v/>
      </c>
      <c r="AS946" t="str">
        <f t="shared" si="5995"/>
        <v/>
      </c>
      <c r="AT946" t="str">
        <f t="shared" si="5996"/>
        <v/>
      </c>
      <c r="AU946" t="str">
        <f t="shared" si="5997"/>
        <v/>
      </c>
      <c r="AV946" t="str">
        <f t="shared" si="5998"/>
        <v/>
      </c>
      <c r="AW946" t="str">
        <f t="shared" si="5999"/>
        <v xml:space="preserve">                              </v>
      </c>
      <c r="AX946" s="23">
        <f t="shared" si="6000"/>
        <v>0</v>
      </c>
      <c r="AY946" s="49" t="str">
        <f t="shared" si="5976"/>
        <v>000000000000000</v>
      </c>
      <c r="AZ946" s="23">
        <f t="shared" si="6001"/>
        <v>0</v>
      </c>
      <c r="BA946" s="49" t="str">
        <f t="shared" si="5976"/>
        <v>000000000000000</v>
      </c>
      <c r="BB946" s="23">
        <f t="shared" si="6002"/>
        <v>0</v>
      </c>
      <c r="BC946" s="49" t="str">
        <f t="shared" ref="BC946" si="6237">IF(BB946&lt;0,SUBSTITUTE(TEXT(BB946,"000000000000,00"),",",""),SUBSTITUTE(TEXT(BB946,"0000000000000,00"),",",""))</f>
        <v>000000000000000</v>
      </c>
      <c r="BD946" s="23">
        <f t="shared" si="6004"/>
        <v>0</v>
      </c>
      <c r="BE946" s="49" t="str">
        <f t="shared" ref="BE946" si="6238">IF(BD946&lt;0,SUBSTITUTE(TEXT(BD946,"000000000000,00"),",",""),SUBSTITUTE(TEXT(BD946,"0000000000000,00"),",",""))</f>
        <v>000000000000000</v>
      </c>
      <c r="BF946" s="23">
        <f t="shared" si="6006"/>
        <v>0</v>
      </c>
      <c r="BG946" s="49" t="str">
        <f t="shared" ref="BG946" si="6239">IF(BF946&lt;0,SUBSTITUTE(TEXT(BF946,"000000000000,00"),",",""),SUBSTITUTE(TEXT(BF946,"0000000000000,00"),",",""))</f>
        <v>000000000000000</v>
      </c>
      <c r="BH946" s="23">
        <f t="shared" si="6008"/>
        <v>0</v>
      </c>
      <c r="BI946" s="49" t="str">
        <f t="shared" ref="BI946" si="6240">IF(BH946&lt;0,SUBSTITUTE(TEXT(BH946,"000000000000,00"),",",""),SUBSTITUTE(TEXT(BH946,"0000000000000,00"),",",""))</f>
        <v>000000000000000</v>
      </c>
      <c r="BJ946" s="23">
        <f t="shared" si="6010"/>
        <v>0</v>
      </c>
      <c r="BK946" s="49" t="str">
        <f t="shared" ref="BK946" si="6241">IF(BJ946&lt;0,SUBSTITUTE(TEXT(BJ946,"000000000000,00"),",",""),SUBSTITUTE(TEXT(BJ946,"0000000000000,00"),",",""))</f>
        <v>000000000000000</v>
      </c>
      <c r="BL946" s="23">
        <f t="shared" si="6012"/>
        <v>0</v>
      </c>
      <c r="BM946" s="49" t="str">
        <f t="shared" ref="BM946" si="6242">IF(BL946&lt;0,SUBSTITUTE(TEXT(BL946,"000000000000,00"),",",""),SUBSTITUTE(TEXT(BL946,"0000000000000,00"),",",""))</f>
        <v>000000000000000</v>
      </c>
      <c r="BN946" t="str">
        <f t="shared" si="6014"/>
        <v>PES</v>
      </c>
      <c r="BO946" t="str">
        <f t="shared" si="6015"/>
        <v>0001000000</v>
      </c>
      <c r="BP946">
        <f t="shared" si="6016"/>
        <v>0</v>
      </c>
      <c r="BQ946">
        <f t="shared" si="6017"/>
        <v>0</v>
      </c>
      <c r="BR946" s="23">
        <f t="shared" si="6018"/>
        <v>0</v>
      </c>
      <c r="BS946" s="49" t="str">
        <f t="shared" si="5983"/>
        <v>000000000000000</v>
      </c>
      <c r="BT946" t="str">
        <f t="shared" si="6019"/>
        <v>00000000</v>
      </c>
      <c r="BU946" s="23">
        <f t="shared" si="6020"/>
        <v>0</v>
      </c>
      <c r="BV946" s="49" t="str">
        <f t="shared" si="5984"/>
        <v/>
      </c>
      <c r="BW946" s="52" t="str">
        <f t="shared" si="6021"/>
        <v/>
      </c>
      <c r="BX946" s="23">
        <f t="shared" si="6022"/>
        <v>0</v>
      </c>
      <c r="BY946" s="49" t="str">
        <f t="shared" si="5985"/>
        <v/>
      </c>
      <c r="BZ946" s="23">
        <f t="shared" si="6023"/>
        <v>0</v>
      </c>
      <c r="CA946" s="49" t="str">
        <f t="shared" si="5986"/>
        <v/>
      </c>
      <c r="CB946" s="52" t="str">
        <f t="shared" si="6024"/>
        <v/>
      </c>
      <c r="CC946" s="23">
        <f t="shared" si="6025"/>
        <v>0</v>
      </c>
      <c r="CD946" s="49" t="str">
        <f t="shared" si="5987"/>
        <v/>
      </c>
      <c r="CE946" s="56" t="str">
        <f>IF(CF946="","",MAX(CE$10:$CE945)+1)</f>
        <v/>
      </c>
      <c r="CF946" t="str">
        <f t="shared" si="6026"/>
        <v/>
      </c>
      <c r="CG946" s="22" t="str">
        <f>IF(CH946="","",MAX($CG$10:CG945)+1)</f>
        <v/>
      </c>
      <c r="CH946" s="22" t="str">
        <f t="shared" si="5971"/>
        <v/>
      </c>
      <c r="CI946" s="22" t="str">
        <f>IF(CJ946="","",MAX($CI$10:CI945)+1)</f>
        <v/>
      </c>
      <c r="CJ946" s="22" t="str">
        <f t="shared" si="5972"/>
        <v/>
      </c>
    </row>
    <row r="947" spans="2:88" x14ac:dyDescent="0.25">
      <c r="B947" s="37"/>
      <c r="C947" s="3"/>
      <c r="D947" s="77" t="str">
        <f t="shared" si="5958"/>
        <v/>
      </c>
      <c r="E947" s="38"/>
      <c r="F947" s="38"/>
      <c r="G947" s="78">
        <f t="shared" si="5973"/>
        <v>0</v>
      </c>
      <c r="H947" s="3">
        <v>80</v>
      </c>
      <c r="I947" s="77" t="str">
        <f t="shared" si="5959"/>
        <v/>
      </c>
      <c r="J947" s="32"/>
      <c r="K947" s="3"/>
      <c r="L947" s="39"/>
      <c r="M947" s="39"/>
      <c r="N947" s="39"/>
      <c r="O947" s="39"/>
      <c r="P947" s="39"/>
      <c r="Q947" s="39"/>
      <c r="R947" s="39"/>
      <c r="S947" s="39"/>
      <c r="T947" s="3" t="s">
        <v>645</v>
      </c>
      <c r="U947" s="77" t="str">
        <f t="shared" si="5960"/>
        <v/>
      </c>
      <c r="V947" s="39">
        <v>1</v>
      </c>
      <c r="W947" s="79">
        <f t="shared" si="5974"/>
        <v>0</v>
      </c>
      <c r="X947" s="3">
        <v>0</v>
      </c>
      <c r="Y947" s="77" t="str">
        <f t="shared" si="5961"/>
        <v/>
      </c>
      <c r="Z947" s="3"/>
      <c r="AA947" s="37" t="str">
        <f t="shared" si="5975"/>
        <v/>
      </c>
      <c r="AC947" s="40"/>
      <c r="AD947" s="7"/>
      <c r="AE947" s="77" t="str">
        <f t="shared" si="5962"/>
        <v/>
      </c>
      <c r="AF947" s="81">
        <f t="shared" si="5988"/>
        <v>0</v>
      </c>
      <c r="AG947" s="40"/>
      <c r="AH947" s="7"/>
      <c r="AI947" s="77" t="str">
        <f t="shared" si="5963"/>
        <v/>
      </c>
      <c r="AJ947" s="81">
        <f t="shared" si="5989"/>
        <v>0</v>
      </c>
      <c r="AK947" s="83">
        <f t="shared" si="5990"/>
        <v>0</v>
      </c>
      <c r="AL947" s="83">
        <f t="shared" si="5991"/>
        <v>0</v>
      </c>
      <c r="AN947" s="43">
        <f t="shared" si="5964"/>
        <v>0</v>
      </c>
      <c r="AP947" t="str">
        <f t="shared" si="5992"/>
        <v/>
      </c>
      <c r="AQ947" t="str">
        <f t="shared" si="5993"/>
        <v/>
      </c>
      <c r="AR947" t="str">
        <f t="shared" si="5994"/>
        <v/>
      </c>
      <c r="AS947" t="str">
        <f t="shared" si="5995"/>
        <v/>
      </c>
      <c r="AT947" t="str">
        <f t="shared" si="5996"/>
        <v/>
      </c>
      <c r="AU947" t="str">
        <f t="shared" si="5997"/>
        <v/>
      </c>
      <c r="AV947" t="str">
        <f t="shared" si="5998"/>
        <v/>
      </c>
      <c r="AW947" t="str">
        <f t="shared" si="5999"/>
        <v xml:space="preserve">                              </v>
      </c>
      <c r="AX947" s="23">
        <f t="shared" si="6000"/>
        <v>0</v>
      </c>
      <c r="AY947" s="49" t="str">
        <f t="shared" si="5976"/>
        <v>000000000000000</v>
      </c>
      <c r="AZ947" s="23">
        <f t="shared" si="6001"/>
        <v>0</v>
      </c>
      <c r="BA947" s="49" t="str">
        <f t="shared" si="5976"/>
        <v>000000000000000</v>
      </c>
      <c r="BB947" s="23">
        <f t="shared" si="6002"/>
        <v>0</v>
      </c>
      <c r="BC947" s="49" t="str">
        <f t="shared" ref="BC947" si="6243">IF(BB947&lt;0,SUBSTITUTE(TEXT(BB947,"000000000000,00"),",",""),SUBSTITUTE(TEXT(BB947,"0000000000000,00"),",",""))</f>
        <v>000000000000000</v>
      </c>
      <c r="BD947" s="23">
        <f t="shared" si="6004"/>
        <v>0</v>
      </c>
      <c r="BE947" s="49" t="str">
        <f t="shared" ref="BE947" si="6244">IF(BD947&lt;0,SUBSTITUTE(TEXT(BD947,"000000000000,00"),",",""),SUBSTITUTE(TEXT(BD947,"0000000000000,00"),",",""))</f>
        <v>000000000000000</v>
      </c>
      <c r="BF947" s="23">
        <f t="shared" si="6006"/>
        <v>0</v>
      </c>
      <c r="BG947" s="49" t="str">
        <f t="shared" ref="BG947" si="6245">IF(BF947&lt;0,SUBSTITUTE(TEXT(BF947,"000000000000,00"),",",""),SUBSTITUTE(TEXT(BF947,"0000000000000,00"),",",""))</f>
        <v>000000000000000</v>
      </c>
      <c r="BH947" s="23">
        <f t="shared" si="6008"/>
        <v>0</v>
      </c>
      <c r="BI947" s="49" t="str">
        <f t="shared" ref="BI947" si="6246">IF(BH947&lt;0,SUBSTITUTE(TEXT(BH947,"000000000000,00"),",",""),SUBSTITUTE(TEXT(BH947,"0000000000000,00"),",",""))</f>
        <v>000000000000000</v>
      </c>
      <c r="BJ947" s="23">
        <f t="shared" si="6010"/>
        <v>0</v>
      </c>
      <c r="BK947" s="49" t="str">
        <f t="shared" ref="BK947" si="6247">IF(BJ947&lt;0,SUBSTITUTE(TEXT(BJ947,"000000000000,00"),",",""),SUBSTITUTE(TEXT(BJ947,"0000000000000,00"),",",""))</f>
        <v>000000000000000</v>
      </c>
      <c r="BL947" s="23">
        <f t="shared" si="6012"/>
        <v>0</v>
      </c>
      <c r="BM947" s="49" t="str">
        <f t="shared" ref="BM947" si="6248">IF(BL947&lt;0,SUBSTITUTE(TEXT(BL947,"000000000000,00"),",",""),SUBSTITUTE(TEXT(BL947,"0000000000000,00"),",",""))</f>
        <v>000000000000000</v>
      </c>
      <c r="BN947" t="str">
        <f t="shared" si="6014"/>
        <v>PES</v>
      </c>
      <c r="BO947" t="str">
        <f t="shared" si="6015"/>
        <v>0001000000</v>
      </c>
      <c r="BP947">
        <f t="shared" si="6016"/>
        <v>0</v>
      </c>
      <c r="BQ947">
        <f t="shared" si="6017"/>
        <v>0</v>
      </c>
      <c r="BR947" s="23">
        <f t="shared" si="6018"/>
        <v>0</v>
      </c>
      <c r="BS947" s="49" t="str">
        <f t="shared" si="5983"/>
        <v>000000000000000</v>
      </c>
      <c r="BT947" t="str">
        <f t="shared" si="6019"/>
        <v>00000000</v>
      </c>
      <c r="BU947" s="23">
        <f t="shared" si="6020"/>
        <v>0</v>
      </c>
      <c r="BV947" s="49" t="str">
        <f t="shared" si="5984"/>
        <v/>
      </c>
      <c r="BW947" s="52" t="str">
        <f t="shared" si="6021"/>
        <v/>
      </c>
      <c r="BX947" s="23">
        <f t="shared" si="6022"/>
        <v>0</v>
      </c>
      <c r="BY947" s="49" t="str">
        <f t="shared" si="5985"/>
        <v/>
      </c>
      <c r="BZ947" s="23">
        <f t="shared" si="6023"/>
        <v>0</v>
      </c>
      <c r="CA947" s="49" t="str">
        <f t="shared" si="5986"/>
        <v/>
      </c>
      <c r="CB947" s="52" t="str">
        <f t="shared" si="6024"/>
        <v/>
      </c>
      <c r="CC947" s="23">
        <f t="shared" si="6025"/>
        <v>0</v>
      </c>
      <c r="CD947" s="49" t="str">
        <f t="shared" si="5987"/>
        <v/>
      </c>
      <c r="CE947" s="56" t="str">
        <f>IF(CF947="","",MAX(CE$10:$CE946)+1)</f>
        <v/>
      </c>
      <c r="CF947" t="str">
        <f t="shared" si="6026"/>
        <v/>
      </c>
      <c r="CG947" s="22" t="str">
        <f>IF(CH947="","",MAX($CG$10:CG946)+1)</f>
        <v/>
      </c>
      <c r="CH947" s="22" t="str">
        <f t="shared" si="5971"/>
        <v/>
      </c>
      <c r="CI947" s="22" t="str">
        <f>IF(CJ947="","",MAX($CI$10:CI946)+1)</f>
        <v/>
      </c>
      <c r="CJ947" s="22" t="str">
        <f t="shared" si="5972"/>
        <v/>
      </c>
    </row>
    <row r="948" spans="2:88" x14ac:dyDescent="0.25">
      <c r="B948" s="37"/>
      <c r="C948" s="3"/>
      <c r="D948" s="77" t="str">
        <f t="shared" si="5958"/>
        <v/>
      </c>
      <c r="E948" s="38"/>
      <c r="F948" s="38"/>
      <c r="G948" s="78">
        <f t="shared" si="5973"/>
        <v>0</v>
      </c>
      <c r="H948" s="3">
        <v>80</v>
      </c>
      <c r="I948" s="77" t="str">
        <f t="shared" si="5959"/>
        <v/>
      </c>
      <c r="J948" s="32"/>
      <c r="K948" s="3"/>
      <c r="L948" s="39"/>
      <c r="M948" s="39"/>
      <c r="N948" s="39"/>
      <c r="O948" s="39"/>
      <c r="P948" s="39"/>
      <c r="Q948" s="39"/>
      <c r="R948" s="39"/>
      <c r="S948" s="39"/>
      <c r="T948" s="3" t="s">
        <v>645</v>
      </c>
      <c r="U948" s="77" t="str">
        <f t="shared" si="5960"/>
        <v/>
      </c>
      <c r="V948" s="39">
        <v>1</v>
      </c>
      <c r="W948" s="79">
        <f t="shared" si="5974"/>
        <v>0</v>
      </c>
      <c r="X948" s="3">
        <v>0</v>
      </c>
      <c r="Y948" s="77" t="str">
        <f t="shared" si="5961"/>
        <v/>
      </c>
      <c r="Z948" s="3"/>
      <c r="AA948" s="37" t="str">
        <f t="shared" si="5975"/>
        <v/>
      </c>
      <c r="AC948" s="40"/>
      <c r="AD948" s="7"/>
      <c r="AE948" s="77" t="str">
        <f t="shared" si="5962"/>
        <v/>
      </c>
      <c r="AF948" s="81">
        <f t="shared" si="5988"/>
        <v>0</v>
      </c>
      <c r="AG948" s="40"/>
      <c r="AH948" s="7"/>
      <c r="AI948" s="77" t="str">
        <f t="shared" si="5963"/>
        <v/>
      </c>
      <c r="AJ948" s="81">
        <f t="shared" si="5989"/>
        <v>0</v>
      </c>
      <c r="AK948" s="83">
        <f t="shared" si="5990"/>
        <v>0</v>
      </c>
      <c r="AL948" s="83">
        <f t="shared" si="5991"/>
        <v>0</v>
      </c>
      <c r="AN948" s="43">
        <f t="shared" si="5964"/>
        <v>0</v>
      </c>
      <c r="AP948" t="str">
        <f t="shared" si="5992"/>
        <v/>
      </c>
      <c r="AQ948" t="str">
        <f t="shared" si="5993"/>
        <v/>
      </c>
      <c r="AR948" t="str">
        <f t="shared" si="5994"/>
        <v/>
      </c>
      <c r="AS948" t="str">
        <f t="shared" si="5995"/>
        <v/>
      </c>
      <c r="AT948" t="str">
        <f t="shared" si="5996"/>
        <v/>
      </c>
      <c r="AU948" t="str">
        <f t="shared" si="5997"/>
        <v/>
      </c>
      <c r="AV948" t="str">
        <f t="shared" si="5998"/>
        <v/>
      </c>
      <c r="AW948" t="str">
        <f t="shared" si="5999"/>
        <v xml:space="preserve">                              </v>
      </c>
      <c r="AX948" s="23">
        <f t="shared" si="6000"/>
        <v>0</v>
      </c>
      <c r="AY948" s="49" t="str">
        <f t="shared" si="5976"/>
        <v>000000000000000</v>
      </c>
      <c r="AZ948" s="23">
        <f t="shared" si="6001"/>
        <v>0</v>
      </c>
      <c r="BA948" s="49" t="str">
        <f t="shared" si="5976"/>
        <v>000000000000000</v>
      </c>
      <c r="BB948" s="23">
        <f t="shared" si="6002"/>
        <v>0</v>
      </c>
      <c r="BC948" s="49" t="str">
        <f t="shared" ref="BC948" si="6249">IF(BB948&lt;0,SUBSTITUTE(TEXT(BB948,"000000000000,00"),",",""),SUBSTITUTE(TEXT(BB948,"0000000000000,00"),",",""))</f>
        <v>000000000000000</v>
      </c>
      <c r="BD948" s="23">
        <f t="shared" si="6004"/>
        <v>0</v>
      </c>
      <c r="BE948" s="49" t="str">
        <f t="shared" ref="BE948" si="6250">IF(BD948&lt;0,SUBSTITUTE(TEXT(BD948,"000000000000,00"),",",""),SUBSTITUTE(TEXT(BD948,"0000000000000,00"),",",""))</f>
        <v>000000000000000</v>
      </c>
      <c r="BF948" s="23">
        <f t="shared" si="6006"/>
        <v>0</v>
      </c>
      <c r="BG948" s="49" t="str">
        <f t="shared" ref="BG948" si="6251">IF(BF948&lt;0,SUBSTITUTE(TEXT(BF948,"000000000000,00"),",",""),SUBSTITUTE(TEXT(BF948,"0000000000000,00"),",",""))</f>
        <v>000000000000000</v>
      </c>
      <c r="BH948" s="23">
        <f t="shared" si="6008"/>
        <v>0</v>
      </c>
      <c r="BI948" s="49" t="str">
        <f t="shared" ref="BI948" si="6252">IF(BH948&lt;0,SUBSTITUTE(TEXT(BH948,"000000000000,00"),",",""),SUBSTITUTE(TEXT(BH948,"0000000000000,00"),",",""))</f>
        <v>000000000000000</v>
      </c>
      <c r="BJ948" s="23">
        <f t="shared" si="6010"/>
        <v>0</v>
      </c>
      <c r="BK948" s="49" t="str">
        <f t="shared" ref="BK948" si="6253">IF(BJ948&lt;0,SUBSTITUTE(TEXT(BJ948,"000000000000,00"),",",""),SUBSTITUTE(TEXT(BJ948,"0000000000000,00"),",",""))</f>
        <v>000000000000000</v>
      </c>
      <c r="BL948" s="23">
        <f t="shared" si="6012"/>
        <v>0</v>
      </c>
      <c r="BM948" s="49" t="str">
        <f t="shared" ref="BM948" si="6254">IF(BL948&lt;0,SUBSTITUTE(TEXT(BL948,"000000000000,00"),",",""),SUBSTITUTE(TEXT(BL948,"0000000000000,00"),",",""))</f>
        <v>000000000000000</v>
      </c>
      <c r="BN948" t="str">
        <f t="shared" si="6014"/>
        <v>PES</v>
      </c>
      <c r="BO948" t="str">
        <f t="shared" si="6015"/>
        <v>0001000000</v>
      </c>
      <c r="BP948">
        <f t="shared" si="6016"/>
        <v>0</v>
      </c>
      <c r="BQ948">
        <f t="shared" si="6017"/>
        <v>0</v>
      </c>
      <c r="BR948" s="23">
        <f t="shared" si="6018"/>
        <v>0</v>
      </c>
      <c r="BS948" s="49" t="str">
        <f t="shared" si="5983"/>
        <v>000000000000000</v>
      </c>
      <c r="BT948" t="str">
        <f t="shared" si="6019"/>
        <v>00000000</v>
      </c>
      <c r="BU948" s="23">
        <f t="shared" si="6020"/>
        <v>0</v>
      </c>
      <c r="BV948" s="49" t="str">
        <f t="shared" si="5984"/>
        <v/>
      </c>
      <c r="BW948" s="52" t="str">
        <f t="shared" si="6021"/>
        <v/>
      </c>
      <c r="BX948" s="23">
        <f t="shared" si="6022"/>
        <v>0</v>
      </c>
      <c r="BY948" s="49" t="str">
        <f t="shared" si="5985"/>
        <v/>
      </c>
      <c r="BZ948" s="23">
        <f t="shared" si="6023"/>
        <v>0</v>
      </c>
      <c r="CA948" s="49" t="str">
        <f t="shared" si="5986"/>
        <v/>
      </c>
      <c r="CB948" s="52" t="str">
        <f t="shared" si="6024"/>
        <v/>
      </c>
      <c r="CC948" s="23">
        <f t="shared" si="6025"/>
        <v>0</v>
      </c>
      <c r="CD948" s="49" t="str">
        <f t="shared" si="5987"/>
        <v/>
      </c>
      <c r="CE948" s="56" t="str">
        <f>IF(CF948="","",MAX(CE$10:$CE947)+1)</f>
        <v/>
      </c>
      <c r="CF948" t="str">
        <f t="shared" si="6026"/>
        <v/>
      </c>
      <c r="CG948" s="22" t="str">
        <f>IF(CH948="","",MAX($CG$10:CG947)+1)</f>
        <v/>
      </c>
      <c r="CH948" s="22" t="str">
        <f t="shared" si="5971"/>
        <v/>
      </c>
      <c r="CI948" s="22" t="str">
        <f>IF(CJ948="","",MAX($CI$10:CI947)+1)</f>
        <v/>
      </c>
      <c r="CJ948" s="22" t="str">
        <f t="shared" si="5972"/>
        <v/>
      </c>
    </row>
    <row r="949" spans="2:88" x14ac:dyDescent="0.25">
      <c r="B949" s="37"/>
      <c r="C949" s="3"/>
      <c r="D949" s="77" t="str">
        <f t="shared" si="5958"/>
        <v/>
      </c>
      <c r="E949" s="38"/>
      <c r="F949" s="38"/>
      <c r="G949" s="78">
        <f t="shared" si="5973"/>
        <v>0</v>
      </c>
      <c r="H949" s="3">
        <v>80</v>
      </c>
      <c r="I949" s="77" t="str">
        <f t="shared" si="5959"/>
        <v/>
      </c>
      <c r="J949" s="32"/>
      <c r="K949" s="3"/>
      <c r="L949" s="39"/>
      <c r="M949" s="39"/>
      <c r="N949" s="39"/>
      <c r="O949" s="39"/>
      <c r="P949" s="39"/>
      <c r="Q949" s="39"/>
      <c r="R949" s="39"/>
      <c r="S949" s="39"/>
      <c r="T949" s="3" t="s">
        <v>645</v>
      </c>
      <c r="U949" s="77" t="str">
        <f t="shared" si="5960"/>
        <v/>
      </c>
      <c r="V949" s="39">
        <v>1</v>
      </c>
      <c r="W949" s="79">
        <f t="shared" si="5974"/>
        <v>0</v>
      </c>
      <c r="X949" s="3">
        <v>0</v>
      </c>
      <c r="Y949" s="77" t="str">
        <f t="shared" si="5961"/>
        <v/>
      </c>
      <c r="Z949" s="3"/>
      <c r="AA949" s="37" t="str">
        <f t="shared" si="5975"/>
        <v/>
      </c>
      <c r="AC949" s="40"/>
      <c r="AD949" s="7"/>
      <c r="AE949" s="77" t="str">
        <f t="shared" si="5962"/>
        <v/>
      </c>
      <c r="AF949" s="81">
        <f t="shared" si="5988"/>
        <v>0</v>
      </c>
      <c r="AG949" s="40"/>
      <c r="AH949" s="7"/>
      <c r="AI949" s="77" t="str">
        <f t="shared" si="5963"/>
        <v/>
      </c>
      <c r="AJ949" s="81">
        <f t="shared" si="5989"/>
        <v>0</v>
      </c>
      <c r="AK949" s="83">
        <f t="shared" si="5990"/>
        <v>0</v>
      </c>
      <c r="AL949" s="83">
        <f t="shared" si="5991"/>
        <v>0</v>
      </c>
      <c r="AN949" s="43">
        <f t="shared" si="5964"/>
        <v>0</v>
      </c>
      <c r="AP949" t="str">
        <f t="shared" si="5992"/>
        <v/>
      </c>
      <c r="AQ949" t="str">
        <f t="shared" si="5993"/>
        <v/>
      </c>
      <c r="AR949" t="str">
        <f t="shared" si="5994"/>
        <v/>
      </c>
      <c r="AS949" t="str">
        <f t="shared" si="5995"/>
        <v/>
      </c>
      <c r="AT949" t="str">
        <f t="shared" si="5996"/>
        <v/>
      </c>
      <c r="AU949" t="str">
        <f t="shared" si="5997"/>
        <v/>
      </c>
      <c r="AV949" t="str">
        <f t="shared" si="5998"/>
        <v/>
      </c>
      <c r="AW949" t="str">
        <f t="shared" si="5999"/>
        <v xml:space="preserve">                              </v>
      </c>
      <c r="AX949" s="23">
        <f t="shared" si="6000"/>
        <v>0</v>
      </c>
      <c r="AY949" s="49" t="str">
        <f t="shared" si="5976"/>
        <v>000000000000000</v>
      </c>
      <c r="AZ949" s="23">
        <f t="shared" si="6001"/>
        <v>0</v>
      </c>
      <c r="BA949" s="49" t="str">
        <f t="shared" si="5976"/>
        <v>000000000000000</v>
      </c>
      <c r="BB949" s="23">
        <f t="shared" si="6002"/>
        <v>0</v>
      </c>
      <c r="BC949" s="49" t="str">
        <f t="shared" ref="BC949" si="6255">IF(BB949&lt;0,SUBSTITUTE(TEXT(BB949,"000000000000,00"),",",""),SUBSTITUTE(TEXT(BB949,"0000000000000,00"),",",""))</f>
        <v>000000000000000</v>
      </c>
      <c r="BD949" s="23">
        <f t="shared" si="6004"/>
        <v>0</v>
      </c>
      <c r="BE949" s="49" t="str">
        <f t="shared" ref="BE949" si="6256">IF(BD949&lt;0,SUBSTITUTE(TEXT(BD949,"000000000000,00"),",",""),SUBSTITUTE(TEXT(BD949,"0000000000000,00"),",",""))</f>
        <v>000000000000000</v>
      </c>
      <c r="BF949" s="23">
        <f t="shared" si="6006"/>
        <v>0</v>
      </c>
      <c r="BG949" s="49" t="str">
        <f t="shared" ref="BG949" si="6257">IF(BF949&lt;0,SUBSTITUTE(TEXT(BF949,"000000000000,00"),",",""),SUBSTITUTE(TEXT(BF949,"0000000000000,00"),",",""))</f>
        <v>000000000000000</v>
      </c>
      <c r="BH949" s="23">
        <f t="shared" si="6008"/>
        <v>0</v>
      </c>
      <c r="BI949" s="49" t="str">
        <f t="shared" ref="BI949" si="6258">IF(BH949&lt;0,SUBSTITUTE(TEXT(BH949,"000000000000,00"),",",""),SUBSTITUTE(TEXT(BH949,"0000000000000,00"),",",""))</f>
        <v>000000000000000</v>
      </c>
      <c r="BJ949" s="23">
        <f t="shared" si="6010"/>
        <v>0</v>
      </c>
      <c r="BK949" s="49" t="str">
        <f t="shared" ref="BK949" si="6259">IF(BJ949&lt;0,SUBSTITUTE(TEXT(BJ949,"000000000000,00"),",",""),SUBSTITUTE(TEXT(BJ949,"0000000000000,00"),",",""))</f>
        <v>000000000000000</v>
      </c>
      <c r="BL949" s="23">
        <f t="shared" si="6012"/>
        <v>0</v>
      </c>
      <c r="BM949" s="49" t="str">
        <f t="shared" ref="BM949" si="6260">IF(BL949&lt;0,SUBSTITUTE(TEXT(BL949,"000000000000,00"),",",""),SUBSTITUTE(TEXT(BL949,"0000000000000,00"),",",""))</f>
        <v>000000000000000</v>
      </c>
      <c r="BN949" t="str">
        <f t="shared" si="6014"/>
        <v>PES</v>
      </c>
      <c r="BO949" t="str">
        <f t="shared" si="6015"/>
        <v>0001000000</v>
      </c>
      <c r="BP949">
        <f t="shared" si="6016"/>
        <v>0</v>
      </c>
      <c r="BQ949">
        <f t="shared" si="6017"/>
        <v>0</v>
      </c>
      <c r="BR949" s="23">
        <f t="shared" si="6018"/>
        <v>0</v>
      </c>
      <c r="BS949" s="49" t="str">
        <f t="shared" si="5983"/>
        <v>000000000000000</v>
      </c>
      <c r="BT949" t="str">
        <f t="shared" si="6019"/>
        <v>00000000</v>
      </c>
      <c r="BU949" s="23">
        <f t="shared" si="6020"/>
        <v>0</v>
      </c>
      <c r="BV949" s="49" t="str">
        <f t="shared" si="5984"/>
        <v/>
      </c>
      <c r="BW949" s="52" t="str">
        <f t="shared" si="6021"/>
        <v/>
      </c>
      <c r="BX949" s="23">
        <f t="shared" si="6022"/>
        <v>0</v>
      </c>
      <c r="BY949" s="49" t="str">
        <f t="shared" si="5985"/>
        <v/>
      </c>
      <c r="BZ949" s="23">
        <f t="shared" si="6023"/>
        <v>0</v>
      </c>
      <c r="CA949" s="49" t="str">
        <f t="shared" si="5986"/>
        <v/>
      </c>
      <c r="CB949" s="52" t="str">
        <f t="shared" si="6024"/>
        <v/>
      </c>
      <c r="CC949" s="23">
        <f t="shared" si="6025"/>
        <v>0</v>
      </c>
      <c r="CD949" s="49" t="str">
        <f t="shared" si="5987"/>
        <v/>
      </c>
      <c r="CE949" s="56" t="str">
        <f>IF(CF949="","",MAX(CE$10:$CE948)+1)</f>
        <v/>
      </c>
      <c r="CF949" t="str">
        <f t="shared" si="6026"/>
        <v/>
      </c>
      <c r="CG949" s="22" t="str">
        <f>IF(CH949="","",MAX($CG$10:CG948)+1)</f>
        <v/>
      </c>
      <c r="CH949" s="22" t="str">
        <f t="shared" si="5971"/>
        <v/>
      </c>
      <c r="CI949" s="22" t="str">
        <f>IF(CJ949="","",MAX($CI$10:CI948)+1)</f>
        <v/>
      </c>
      <c r="CJ949" s="22" t="str">
        <f t="shared" si="5972"/>
        <v/>
      </c>
    </row>
    <row r="950" spans="2:88" x14ac:dyDescent="0.25">
      <c r="B950" s="37"/>
      <c r="C950" s="3"/>
      <c r="D950" s="77" t="str">
        <f t="shared" si="5958"/>
        <v/>
      </c>
      <c r="E950" s="38"/>
      <c r="F950" s="38"/>
      <c r="G950" s="78">
        <f t="shared" si="5973"/>
        <v>0</v>
      </c>
      <c r="H950" s="3">
        <v>80</v>
      </c>
      <c r="I950" s="77" t="str">
        <f t="shared" si="5959"/>
        <v/>
      </c>
      <c r="J950" s="32"/>
      <c r="K950" s="3"/>
      <c r="L950" s="39"/>
      <c r="M950" s="39"/>
      <c r="N950" s="39"/>
      <c r="O950" s="39"/>
      <c r="P950" s="39"/>
      <c r="Q950" s="39"/>
      <c r="R950" s="39"/>
      <c r="S950" s="39"/>
      <c r="T950" s="3" t="s">
        <v>645</v>
      </c>
      <c r="U950" s="77" t="str">
        <f t="shared" si="5960"/>
        <v/>
      </c>
      <c r="V950" s="39">
        <v>1</v>
      </c>
      <c r="W950" s="79">
        <f t="shared" si="5974"/>
        <v>0</v>
      </c>
      <c r="X950" s="3">
        <v>0</v>
      </c>
      <c r="Y950" s="77" t="str">
        <f t="shared" si="5961"/>
        <v/>
      </c>
      <c r="Z950" s="3"/>
      <c r="AA950" s="37" t="str">
        <f t="shared" si="5975"/>
        <v/>
      </c>
      <c r="AC950" s="40"/>
      <c r="AD950" s="7"/>
      <c r="AE950" s="77" t="str">
        <f t="shared" si="5962"/>
        <v/>
      </c>
      <c r="AF950" s="81">
        <f t="shared" si="5988"/>
        <v>0</v>
      </c>
      <c r="AG950" s="40"/>
      <c r="AH950" s="7"/>
      <c r="AI950" s="77" t="str">
        <f t="shared" si="5963"/>
        <v/>
      </c>
      <c r="AJ950" s="81">
        <f t="shared" si="5989"/>
        <v>0</v>
      </c>
      <c r="AK950" s="83">
        <f t="shared" si="5990"/>
        <v>0</v>
      </c>
      <c r="AL950" s="83">
        <f t="shared" si="5991"/>
        <v>0</v>
      </c>
      <c r="AN950" s="43">
        <f t="shared" si="5964"/>
        <v>0</v>
      </c>
      <c r="AP950" t="str">
        <f t="shared" si="5992"/>
        <v/>
      </c>
      <c r="AQ950" t="str">
        <f t="shared" si="5993"/>
        <v/>
      </c>
      <c r="AR950" t="str">
        <f t="shared" si="5994"/>
        <v/>
      </c>
      <c r="AS950" t="str">
        <f t="shared" si="5995"/>
        <v/>
      </c>
      <c r="AT950" t="str">
        <f t="shared" si="5996"/>
        <v/>
      </c>
      <c r="AU950" t="str">
        <f t="shared" si="5997"/>
        <v/>
      </c>
      <c r="AV950" t="str">
        <f t="shared" si="5998"/>
        <v/>
      </c>
      <c r="AW950" t="str">
        <f t="shared" si="5999"/>
        <v xml:space="preserve">                              </v>
      </c>
      <c r="AX950" s="23">
        <f t="shared" si="6000"/>
        <v>0</v>
      </c>
      <c r="AY950" s="49" t="str">
        <f t="shared" si="5976"/>
        <v>000000000000000</v>
      </c>
      <c r="AZ950" s="23">
        <f t="shared" si="6001"/>
        <v>0</v>
      </c>
      <c r="BA950" s="49" t="str">
        <f t="shared" si="5976"/>
        <v>000000000000000</v>
      </c>
      <c r="BB950" s="23">
        <f t="shared" si="6002"/>
        <v>0</v>
      </c>
      <c r="BC950" s="49" t="str">
        <f t="shared" ref="BC950" si="6261">IF(BB950&lt;0,SUBSTITUTE(TEXT(BB950,"000000000000,00"),",",""),SUBSTITUTE(TEXT(BB950,"0000000000000,00"),",",""))</f>
        <v>000000000000000</v>
      </c>
      <c r="BD950" s="23">
        <f t="shared" si="6004"/>
        <v>0</v>
      </c>
      <c r="BE950" s="49" t="str">
        <f t="shared" ref="BE950" si="6262">IF(BD950&lt;0,SUBSTITUTE(TEXT(BD950,"000000000000,00"),",",""),SUBSTITUTE(TEXT(BD950,"0000000000000,00"),",",""))</f>
        <v>000000000000000</v>
      </c>
      <c r="BF950" s="23">
        <f t="shared" si="6006"/>
        <v>0</v>
      </c>
      <c r="BG950" s="49" t="str">
        <f t="shared" ref="BG950" si="6263">IF(BF950&lt;0,SUBSTITUTE(TEXT(BF950,"000000000000,00"),",",""),SUBSTITUTE(TEXT(BF950,"0000000000000,00"),",",""))</f>
        <v>000000000000000</v>
      </c>
      <c r="BH950" s="23">
        <f t="shared" si="6008"/>
        <v>0</v>
      </c>
      <c r="BI950" s="49" t="str">
        <f t="shared" ref="BI950" si="6264">IF(BH950&lt;0,SUBSTITUTE(TEXT(BH950,"000000000000,00"),",",""),SUBSTITUTE(TEXT(BH950,"0000000000000,00"),",",""))</f>
        <v>000000000000000</v>
      </c>
      <c r="BJ950" s="23">
        <f t="shared" si="6010"/>
        <v>0</v>
      </c>
      <c r="BK950" s="49" t="str">
        <f t="shared" ref="BK950" si="6265">IF(BJ950&lt;0,SUBSTITUTE(TEXT(BJ950,"000000000000,00"),",",""),SUBSTITUTE(TEXT(BJ950,"0000000000000,00"),",",""))</f>
        <v>000000000000000</v>
      </c>
      <c r="BL950" s="23">
        <f t="shared" si="6012"/>
        <v>0</v>
      </c>
      <c r="BM950" s="49" t="str">
        <f t="shared" ref="BM950" si="6266">IF(BL950&lt;0,SUBSTITUTE(TEXT(BL950,"000000000000,00"),",",""),SUBSTITUTE(TEXT(BL950,"0000000000000,00"),",",""))</f>
        <v>000000000000000</v>
      </c>
      <c r="BN950" t="str">
        <f t="shared" si="6014"/>
        <v>PES</v>
      </c>
      <c r="BO950" t="str">
        <f t="shared" si="6015"/>
        <v>0001000000</v>
      </c>
      <c r="BP950">
        <f t="shared" si="6016"/>
        <v>0</v>
      </c>
      <c r="BQ950">
        <f t="shared" si="6017"/>
        <v>0</v>
      </c>
      <c r="BR950" s="23">
        <f t="shared" si="6018"/>
        <v>0</v>
      </c>
      <c r="BS950" s="49" t="str">
        <f t="shared" si="5983"/>
        <v>000000000000000</v>
      </c>
      <c r="BT950" t="str">
        <f t="shared" si="6019"/>
        <v>00000000</v>
      </c>
      <c r="BU950" s="23">
        <f t="shared" si="6020"/>
        <v>0</v>
      </c>
      <c r="BV950" s="49" t="str">
        <f t="shared" si="5984"/>
        <v/>
      </c>
      <c r="BW950" s="52" t="str">
        <f t="shared" si="6021"/>
        <v/>
      </c>
      <c r="BX950" s="23">
        <f t="shared" si="6022"/>
        <v>0</v>
      </c>
      <c r="BY950" s="49" t="str">
        <f t="shared" si="5985"/>
        <v/>
      </c>
      <c r="BZ950" s="23">
        <f t="shared" si="6023"/>
        <v>0</v>
      </c>
      <c r="CA950" s="49" t="str">
        <f t="shared" si="5986"/>
        <v/>
      </c>
      <c r="CB950" s="52" t="str">
        <f t="shared" si="6024"/>
        <v/>
      </c>
      <c r="CC950" s="23">
        <f t="shared" si="6025"/>
        <v>0</v>
      </c>
      <c r="CD950" s="49" t="str">
        <f t="shared" si="5987"/>
        <v/>
      </c>
      <c r="CE950" s="56" t="str">
        <f>IF(CF950="","",MAX(CE$10:$CE949)+1)</f>
        <v/>
      </c>
      <c r="CF950" t="str">
        <f t="shared" si="6026"/>
        <v/>
      </c>
      <c r="CG950" s="22" t="str">
        <f>IF(CH950="","",MAX($CG$10:CG949)+1)</f>
        <v/>
      </c>
      <c r="CH950" s="22" t="str">
        <f t="shared" si="5971"/>
        <v/>
      </c>
      <c r="CI950" s="22" t="str">
        <f>IF(CJ950="","",MAX($CI$10:CI949)+1)</f>
        <v/>
      </c>
      <c r="CJ950" s="22" t="str">
        <f t="shared" si="5972"/>
        <v/>
      </c>
    </row>
    <row r="951" spans="2:88" x14ac:dyDescent="0.25">
      <c r="B951" s="37"/>
      <c r="C951" s="3"/>
      <c r="D951" s="77" t="str">
        <f t="shared" si="5958"/>
        <v/>
      </c>
      <c r="E951" s="38"/>
      <c r="F951" s="38"/>
      <c r="G951" s="78">
        <f t="shared" si="5973"/>
        <v>0</v>
      </c>
      <c r="H951" s="3">
        <v>80</v>
      </c>
      <c r="I951" s="77" t="str">
        <f t="shared" si="5959"/>
        <v/>
      </c>
      <c r="J951" s="32"/>
      <c r="K951" s="3"/>
      <c r="L951" s="39"/>
      <c r="M951" s="39"/>
      <c r="N951" s="39"/>
      <c r="O951" s="39"/>
      <c r="P951" s="39"/>
      <c r="Q951" s="39"/>
      <c r="R951" s="39"/>
      <c r="S951" s="39"/>
      <c r="T951" s="3" t="s">
        <v>645</v>
      </c>
      <c r="U951" s="77" t="str">
        <f t="shared" si="5960"/>
        <v/>
      </c>
      <c r="V951" s="39">
        <v>1</v>
      </c>
      <c r="W951" s="79">
        <f t="shared" si="5974"/>
        <v>0</v>
      </c>
      <c r="X951" s="3">
        <v>0</v>
      </c>
      <c r="Y951" s="77" t="str">
        <f t="shared" si="5961"/>
        <v/>
      </c>
      <c r="Z951" s="3"/>
      <c r="AA951" s="37" t="str">
        <f t="shared" si="5975"/>
        <v/>
      </c>
      <c r="AC951" s="40"/>
      <c r="AD951" s="7"/>
      <c r="AE951" s="77" t="str">
        <f t="shared" si="5962"/>
        <v/>
      </c>
      <c r="AF951" s="81">
        <f t="shared" si="5988"/>
        <v>0</v>
      </c>
      <c r="AG951" s="40"/>
      <c r="AH951" s="7"/>
      <c r="AI951" s="77" t="str">
        <f t="shared" si="5963"/>
        <v/>
      </c>
      <c r="AJ951" s="81">
        <f t="shared" si="5989"/>
        <v>0</v>
      </c>
      <c r="AK951" s="83">
        <f t="shared" si="5990"/>
        <v>0</v>
      </c>
      <c r="AL951" s="83">
        <f t="shared" si="5991"/>
        <v>0</v>
      </c>
      <c r="AN951" s="43">
        <f t="shared" si="5964"/>
        <v>0</v>
      </c>
      <c r="AP951" t="str">
        <f t="shared" si="5992"/>
        <v/>
      </c>
      <c r="AQ951" t="str">
        <f t="shared" si="5993"/>
        <v/>
      </c>
      <c r="AR951" t="str">
        <f t="shared" si="5994"/>
        <v/>
      </c>
      <c r="AS951" t="str">
        <f t="shared" si="5995"/>
        <v/>
      </c>
      <c r="AT951" t="str">
        <f t="shared" si="5996"/>
        <v/>
      </c>
      <c r="AU951" t="str">
        <f t="shared" si="5997"/>
        <v/>
      </c>
      <c r="AV951" t="str">
        <f t="shared" si="5998"/>
        <v/>
      </c>
      <c r="AW951" t="str">
        <f t="shared" si="5999"/>
        <v xml:space="preserve">                              </v>
      </c>
      <c r="AX951" s="23">
        <f t="shared" si="6000"/>
        <v>0</v>
      </c>
      <c r="AY951" s="49" t="str">
        <f t="shared" si="5976"/>
        <v>000000000000000</v>
      </c>
      <c r="AZ951" s="23">
        <f t="shared" si="6001"/>
        <v>0</v>
      </c>
      <c r="BA951" s="49" t="str">
        <f t="shared" si="5976"/>
        <v>000000000000000</v>
      </c>
      <c r="BB951" s="23">
        <f t="shared" si="6002"/>
        <v>0</v>
      </c>
      <c r="BC951" s="49" t="str">
        <f t="shared" ref="BC951" si="6267">IF(BB951&lt;0,SUBSTITUTE(TEXT(BB951,"000000000000,00"),",",""),SUBSTITUTE(TEXT(BB951,"0000000000000,00"),",",""))</f>
        <v>000000000000000</v>
      </c>
      <c r="BD951" s="23">
        <f t="shared" si="6004"/>
        <v>0</v>
      </c>
      <c r="BE951" s="49" t="str">
        <f t="shared" ref="BE951" si="6268">IF(BD951&lt;0,SUBSTITUTE(TEXT(BD951,"000000000000,00"),",",""),SUBSTITUTE(TEXT(BD951,"0000000000000,00"),",",""))</f>
        <v>000000000000000</v>
      </c>
      <c r="BF951" s="23">
        <f t="shared" si="6006"/>
        <v>0</v>
      </c>
      <c r="BG951" s="49" t="str">
        <f t="shared" ref="BG951" si="6269">IF(BF951&lt;0,SUBSTITUTE(TEXT(BF951,"000000000000,00"),",",""),SUBSTITUTE(TEXT(BF951,"0000000000000,00"),",",""))</f>
        <v>000000000000000</v>
      </c>
      <c r="BH951" s="23">
        <f t="shared" si="6008"/>
        <v>0</v>
      </c>
      <c r="BI951" s="49" t="str">
        <f t="shared" ref="BI951" si="6270">IF(BH951&lt;0,SUBSTITUTE(TEXT(BH951,"000000000000,00"),",",""),SUBSTITUTE(TEXT(BH951,"0000000000000,00"),",",""))</f>
        <v>000000000000000</v>
      </c>
      <c r="BJ951" s="23">
        <f t="shared" si="6010"/>
        <v>0</v>
      </c>
      <c r="BK951" s="49" t="str">
        <f t="shared" ref="BK951" si="6271">IF(BJ951&lt;0,SUBSTITUTE(TEXT(BJ951,"000000000000,00"),",",""),SUBSTITUTE(TEXT(BJ951,"0000000000000,00"),",",""))</f>
        <v>000000000000000</v>
      </c>
      <c r="BL951" s="23">
        <f t="shared" si="6012"/>
        <v>0</v>
      </c>
      <c r="BM951" s="49" t="str">
        <f t="shared" ref="BM951" si="6272">IF(BL951&lt;0,SUBSTITUTE(TEXT(BL951,"000000000000,00"),",",""),SUBSTITUTE(TEXT(BL951,"0000000000000,00"),",",""))</f>
        <v>000000000000000</v>
      </c>
      <c r="BN951" t="str">
        <f t="shared" si="6014"/>
        <v>PES</v>
      </c>
      <c r="BO951" t="str">
        <f t="shared" si="6015"/>
        <v>0001000000</v>
      </c>
      <c r="BP951">
        <f t="shared" si="6016"/>
        <v>0</v>
      </c>
      <c r="BQ951">
        <f t="shared" si="6017"/>
        <v>0</v>
      </c>
      <c r="BR951" s="23">
        <f t="shared" si="6018"/>
        <v>0</v>
      </c>
      <c r="BS951" s="49" t="str">
        <f t="shared" si="5983"/>
        <v>000000000000000</v>
      </c>
      <c r="BT951" t="str">
        <f t="shared" si="6019"/>
        <v>00000000</v>
      </c>
      <c r="BU951" s="23">
        <f t="shared" si="6020"/>
        <v>0</v>
      </c>
      <c r="BV951" s="49" t="str">
        <f t="shared" si="5984"/>
        <v/>
      </c>
      <c r="BW951" s="52" t="str">
        <f t="shared" si="6021"/>
        <v/>
      </c>
      <c r="BX951" s="23">
        <f t="shared" si="6022"/>
        <v>0</v>
      </c>
      <c r="BY951" s="49" t="str">
        <f t="shared" si="5985"/>
        <v/>
      </c>
      <c r="BZ951" s="23">
        <f t="shared" si="6023"/>
        <v>0</v>
      </c>
      <c r="CA951" s="49" t="str">
        <f t="shared" si="5986"/>
        <v/>
      </c>
      <c r="CB951" s="52" t="str">
        <f t="shared" si="6024"/>
        <v/>
      </c>
      <c r="CC951" s="23">
        <f t="shared" si="6025"/>
        <v>0</v>
      </c>
      <c r="CD951" s="49" t="str">
        <f t="shared" si="5987"/>
        <v/>
      </c>
      <c r="CE951" s="56" t="str">
        <f>IF(CF951="","",MAX(CE$10:$CE950)+1)</f>
        <v/>
      </c>
      <c r="CF951" t="str">
        <f t="shared" si="6026"/>
        <v/>
      </c>
      <c r="CG951" s="22" t="str">
        <f>IF(CH951="","",MAX($CG$10:CG950)+1)</f>
        <v/>
      </c>
      <c r="CH951" s="22" t="str">
        <f t="shared" si="5971"/>
        <v/>
      </c>
      <c r="CI951" s="22" t="str">
        <f>IF(CJ951="","",MAX($CI$10:CI950)+1)</f>
        <v/>
      </c>
      <c r="CJ951" s="22" t="str">
        <f t="shared" si="5972"/>
        <v/>
      </c>
    </row>
    <row r="952" spans="2:88" x14ac:dyDescent="0.25">
      <c r="B952" s="37"/>
      <c r="C952" s="3"/>
      <c r="D952" s="77" t="str">
        <f t="shared" si="5958"/>
        <v/>
      </c>
      <c r="E952" s="38"/>
      <c r="F952" s="38"/>
      <c r="G952" s="78">
        <f t="shared" si="5973"/>
        <v>0</v>
      </c>
      <c r="H952" s="3">
        <v>80</v>
      </c>
      <c r="I952" s="77" t="str">
        <f t="shared" si="5959"/>
        <v/>
      </c>
      <c r="J952" s="32"/>
      <c r="K952" s="3"/>
      <c r="L952" s="39"/>
      <c r="M952" s="39"/>
      <c r="N952" s="39"/>
      <c r="O952" s="39"/>
      <c r="P952" s="39"/>
      <c r="Q952" s="39"/>
      <c r="R952" s="39"/>
      <c r="S952" s="39"/>
      <c r="T952" s="3" t="s">
        <v>645</v>
      </c>
      <c r="U952" s="77" t="str">
        <f t="shared" si="5960"/>
        <v/>
      </c>
      <c r="V952" s="39">
        <v>1</v>
      </c>
      <c r="W952" s="79">
        <f t="shared" si="5974"/>
        <v>0</v>
      </c>
      <c r="X952" s="3">
        <v>0</v>
      </c>
      <c r="Y952" s="77" t="str">
        <f t="shared" si="5961"/>
        <v/>
      </c>
      <c r="Z952" s="3"/>
      <c r="AA952" s="37" t="str">
        <f t="shared" si="5975"/>
        <v/>
      </c>
      <c r="AC952" s="40"/>
      <c r="AD952" s="7"/>
      <c r="AE952" s="77" t="str">
        <f t="shared" si="5962"/>
        <v/>
      </c>
      <c r="AF952" s="81">
        <f t="shared" si="5988"/>
        <v>0</v>
      </c>
      <c r="AG952" s="40"/>
      <c r="AH952" s="7"/>
      <c r="AI952" s="77" t="str">
        <f t="shared" si="5963"/>
        <v/>
      </c>
      <c r="AJ952" s="81">
        <f t="shared" si="5989"/>
        <v>0</v>
      </c>
      <c r="AK952" s="83">
        <f t="shared" si="5990"/>
        <v>0</v>
      </c>
      <c r="AL952" s="83">
        <f t="shared" si="5991"/>
        <v>0</v>
      </c>
      <c r="AN952" s="43">
        <f t="shared" si="5964"/>
        <v>0</v>
      </c>
      <c r="AP952" t="str">
        <f t="shared" si="5992"/>
        <v/>
      </c>
      <c r="AQ952" t="str">
        <f t="shared" si="5993"/>
        <v/>
      </c>
      <c r="AR952" t="str">
        <f t="shared" si="5994"/>
        <v/>
      </c>
      <c r="AS952" t="str">
        <f t="shared" si="5995"/>
        <v/>
      </c>
      <c r="AT952" t="str">
        <f t="shared" si="5996"/>
        <v/>
      </c>
      <c r="AU952" t="str">
        <f t="shared" si="5997"/>
        <v/>
      </c>
      <c r="AV952" t="str">
        <f t="shared" si="5998"/>
        <v/>
      </c>
      <c r="AW952" t="str">
        <f t="shared" si="5999"/>
        <v xml:space="preserve">                              </v>
      </c>
      <c r="AX952" s="23">
        <f t="shared" si="6000"/>
        <v>0</v>
      </c>
      <c r="AY952" s="49" t="str">
        <f t="shared" si="5976"/>
        <v>000000000000000</v>
      </c>
      <c r="AZ952" s="23">
        <f t="shared" si="6001"/>
        <v>0</v>
      </c>
      <c r="BA952" s="49" t="str">
        <f t="shared" si="5976"/>
        <v>000000000000000</v>
      </c>
      <c r="BB952" s="23">
        <f t="shared" si="6002"/>
        <v>0</v>
      </c>
      <c r="BC952" s="49" t="str">
        <f t="shared" ref="BC952" si="6273">IF(BB952&lt;0,SUBSTITUTE(TEXT(BB952,"000000000000,00"),",",""),SUBSTITUTE(TEXT(BB952,"0000000000000,00"),",",""))</f>
        <v>000000000000000</v>
      </c>
      <c r="BD952" s="23">
        <f t="shared" si="6004"/>
        <v>0</v>
      </c>
      <c r="BE952" s="49" t="str">
        <f t="shared" ref="BE952" si="6274">IF(BD952&lt;0,SUBSTITUTE(TEXT(BD952,"000000000000,00"),",",""),SUBSTITUTE(TEXT(BD952,"0000000000000,00"),",",""))</f>
        <v>000000000000000</v>
      </c>
      <c r="BF952" s="23">
        <f t="shared" si="6006"/>
        <v>0</v>
      </c>
      <c r="BG952" s="49" t="str">
        <f t="shared" ref="BG952" si="6275">IF(BF952&lt;0,SUBSTITUTE(TEXT(BF952,"000000000000,00"),",",""),SUBSTITUTE(TEXT(BF952,"0000000000000,00"),",",""))</f>
        <v>000000000000000</v>
      </c>
      <c r="BH952" s="23">
        <f t="shared" si="6008"/>
        <v>0</v>
      </c>
      <c r="BI952" s="49" t="str">
        <f t="shared" ref="BI952" si="6276">IF(BH952&lt;0,SUBSTITUTE(TEXT(BH952,"000000000000,00"),",",""),SUBSTITUTE(TEXT(BH952,"0000000000000,00"),",",""))</f>
        <v>000000000000000</v>
      </c>
      <c r="BJ952" s="23">
        <f t="shared" si="6010"/>
        <v>0</v>
      </c>
      <c r="BK952" s="49" t="str">
        <f t="shared" ref="BK952" si="6277">IF(BJ952&lt;0,SUBSTITUTE(TEXT(BJ952,"000000000000,00"),",",""),SUBSTITUTE(TEXT(BJ952,"0000000000000,00"),",",""))</f>
        <v>000000000000000</v>
      </c>
      <c r="BL952" s="23">
        <f t="shared" si="6012"/>
        <v>0</v>
      </c>
      <c r="BM952" s="49" t="str">
        <f t="shared" ref="BM952" si="6278">IF(BL952&lt;0,SUBSTITUTE(TEXT(BL952,"000000000000,00"),",",""),SUBSTITUTE(TEXT(BL952,"0000000000000,00"),",",""))</f>
        <v>000000000000000</v>
      </c>
      <c r="BN952" t="str">
        <f t="shared" si="6014"/>
        <v>PES</v>
      </c>
      <c r="BO952" t="str">
        <f t="shared" si="6015"/>
        <v>0001000000</v>
      </c>
      <c r="BP952">
        <f t="shared" si="6016"/>
        <v>0</v>
      </c>
      <c r="BQ952">
        <f t="shared" si="6017"/>
        <v>0</v>
      </c>
      <c r="BR952" s="23">
        <f t="shared" si="6018"/>
        <v>0</v>
      </c>
      <c r="BS952" s="49" t="str">
        <f t="shared" si="5983"/>
        <v>000000000000000</v>
      </c>
      <c r="BT952" t="str">
        <f t="shared" si="6019"/>
        <v>00000000</v>
      </c>
      <c r="BU952" s="23">
        <f t="shared" si="6020"/>
        <v>0</v>
      </c>
      <c r="BV952" s="49" t="str">
        <f t="shared" si="5984"/>
        <v/>
      </c>
      <c r="BW952" s="52" t="str">
        <f t="shared" si="6021"/>
        <v/>
      </c>
      <c r="BX952" s="23">
        <f t="shared" si="6022"/>
        <v>0</v>
      </c>
      <c r="BY952" s="49" t="str">
        <f t="shared" si="5985"/>
        <v/>
      </c>
      <c r="BZ952" s="23">
        <f t="shared" si="6023"/>
        <v>0</v>
      </c>
      <c r="CA952" s="49" t="str">
        <f t="shared" si="5986"/>
        <v/>
      </c>
      <c r="CB952" s="52" t="str">
        <f t="shared" si="6024"/>
        <v/>
      </c>
      <c r="CC952" s="23">
        <f t="shared" si="6025"/>
        <v>0</v>
      </c>
      <c r="CD952" s="49" t="str">
        <f t="shared" si="5987"/>
        <v/>
      </c>
      <c r="CE952" s="56" t="str">
        <f>IF(CF952="","",MAX(CE$10:$CE951)+1)</f>
        <v/>
      </c>
      <c r="CF952" t="str">
        <f t="shared" si="6026"/>
        <v/>
      </c>
      <c r="CG952" s="22" t="str">
        <f>IF(CH952="","",MAX($CG$10:CG951)+1)</f>
        <v/>
      </c>
      <c r="CH952" s="22" t="str">
        <f t="shared" si="5971"/>
        <v/>
      </c>
      <c r="CI952" s="22" t="str">
        <f>IF(CJ952="","",MAX($CI$10:CI951)+1)</f>
        <v/>
      </c>
      <c r="CJ952" s="22" t="str">
        <f t="shared" si="5972"/>
        <v/>
      </c>
    </row>
    <row r="953" spans="2:88" x14ac:dyDescent="0.25">
      <c r="B953" s="37"/>
      <c r="C953" s="3"/>
      <c r="D953" s="77" t="str">
        <f t="shared" si="5958"/>
        <v/>
      </c>
      <c r="E953" s="38"/>
      <c r="F953" s="38"/>
      <c r="G953" s="78">
        <f t="shared" si="5973"/>
        <v>0</v>
      </c>
      <c r="H953" s="3">
        <v>80</v>
      </c>
      <c r="I953" s="77" t="str">
        <f t="shared" si="5959"/>
        <v/>
      </c>
      <c r="J953" s="32"/>
      <c r="K953" s="3"/>
      <c r="L953" s="39"/>
      <c r="M953" s="39"/>
      <c r="N953" s="39"/>
      <c r="O953" s="39"/>
      <c r="P953" s="39"/>
      <c r="Q953" s="39"/>
      <c r="R953" s="39"/>
      <c r="S953" s="39"/>
      <c r="T953" s="3" t="s">
        <v>645</v>
      </c>
      <c r="U953" s="77" t="str">
        <f t="shared" si="5960"/>
        <v/>
      </c>
      <c r="V953" s="39">
        <v>1</v>
      </c>
      <c r="W953" s="79">
        <f t="shared" si="5974"/>
        <v>0</v>
      </c>
      <c r="X953" s="3">
        <v>0</v>
      </c>
      <c r="Y953" s="77" t="str">
        <f t="shared" si="5961"/>
        <v/>
      </c>
      <c r="Z953" s="3"/>
      <c r="AA953" s="37" t="str">
        <f t="shared" si="5975"/>
        <v/>
      </c>
      <c r="AC953" s="40"/>
      <c r="AD953" s="7"/>
      <c r="AE953" s="77" t="str">
        <f t="shared" si="5962"/>
        <v/>
      </c>
      <c r="AF953" s="81">
        <f t="shared" si="5988"/>
        <v>0</v>
      </c>
      <c r="AG953" s="40"/>
      <c r="AH953" s="7"/>
      <c r="AI953" s="77" t="str">
        <f t="shared" si="5963"/>
        <v/>
      </c>
      <c r="AJ953" s="81">
        <f t="shared" si="5989"/>
        <v>0</v>
      </c>
      <c r="AK953" s="83">
        <f t="shared" si="5990"/>
        <v>0</v>
      </c>
      <c r="AL953" s="83">
        <f t="shared" si="5991"/>
        <v>0</v>
      </c>
      <c r="AN953" s="43">
        <f t="shared" si="5964"/>
        <v>0</v>
      </c>
      <c r="AP953" t="str">
        <f t="shared" si="5992"/>
        <v/>
      </c>
      <c r="AQ953" t="str">
        <f t="shared" si="5993"/>
        <v/>
      </c>
      <c r="AR953" t="str">
        <f t="shared" si="5994"/>
        <v/>
      </c>
      <c r="AS953" t="str">
        <f t="shared" si="5995"/>
        <v/>
      </c>
      <c r="AT953" t="str">
        <f t="shared" si="5996"/>
        <v/>
      </c>
      <c r="AU953" t="str">
        <f t="shared" si="5997"/>
        <v/>
      </c>
      <c r="AV953" t="str">
        <f t="shared" si="5998"/>
        <v/>
      </c>
      <c r="AW953" t="str">
        <f t="shared" si="5999"/>
        <v xml:space="preserve">                              </v>
      </c>
      <c r="AX953" s="23">
        <f t="shared" si="6000"/>
        <v>0</v>
      </c>
      <c r="AY953" s="49" t="str">
        <f t="shared" si="5976"/>
        <v>000000000000000</v>
      </c>
      <c r="AZ953" s="23">
        <f t="shared" si="6001"/>
        <v>0</v>
      </c>
      <c r="BA953" s="49" t="str">
        <f t="shared" si="5976"/>
        <v>000000000000000</v>
      </c>
      <c r="BB953" s="23">
        <f t="shared" si="6002"/>
        <v>0</v>
      </c>
      <c r="BC953" s="49" t="str">
        <f t="shared" ref="BC953" si="6279">IF(BB953&lt;0,SUBSTITUTE(TEXT(BB953,"000000000000,00"),",",""),SUBSTITUTE(TEXT(BB953,"0000000000000,00"),",",""))</f>
        <v>000000000000000</v>
      </c>
      <c r="BD953" s="23">
        <f t="shared" si="6004"/>
        <v>0</v>
      </c>
      <c r="BE953" s="49" t="str">
        <f t="shared" ref="BE953" si="6280">IF(BD953&lt;0,SUBSTITUTE(TEXT(BD953,"000000000000,00"),",",""),SUBSTITUTE(TEXT(BD953,"0000000000000,00"),",",""))</f>
        <v>000000000000000</v>
      </c>
      <c r="BF953" s="23">
        <f t="shared" si="6006"/>
        <v>0</v>
      </c>
      <c r="BG953" s="49" t="str">
        <f t="shared" ref="BG953" si="6281">IF(BF953&lt;0,SUBSTITUTE(TEXT(BF953,"000000000000,00"),",",""),SUBSTITUTE(TEXT(BF953,"0000000000000,00"),",",""))</f>
        <v>000000000000000</v>
      </c>
      <c r="BH953" s="23">
        <f t="shared" si="6008"/>
        <v>0</v>
      </c>
      <c r="BI953" s="49" t="str">
        <f t="shared" ref="BI953" si="6282">IF(BH953&lt;0,SUBSTITUTE(TEXT(BH953,"000000000000,00"),",",""),SUBSTITUTE(TEXT(BH953,"0000000000000,00"),",",""))</f>
        <v>000000000000000</v>
      </c>
      <c r="BJ953" s="23">
        <f t="shared" si="6010"/>
        <v>0</v>
      </c>
      <c r="BK953" s="49" t="str">
        <f t="shared" ref="BK953" si="6283">IF(BJ953&lt;0,SUBSTITUTE(TEXT(BJ953,"000000000000,00"),",",""),SUBSTITUTE(TEXT(BJ953,"0000000000000,00"),",",""))</f>
        <v>000000000000000</v>
      </c>
      <c r="BL953" s="23">
        <f t="shared" si="6012"/>
        <v>0</v>
      </c>
      <c r="BM953" s="49" t="str">
        <f t="shared" ref="BM953" si="6284">IF(BL953&lt;0,SUBSTITUTE(TEXT(BL953,"000000000000,00"),",",""),SUBSTITUTE(TEXT(BL953,"0000000000000,00"),",",""))</f>
        <v>000000000000000</v>
      </c>
      <c r="BN953" t="str">
        <f t="shared" si="6014"/>
        <v>PES</v>
      </c>
      <c r="BO953" t="str">
        <f t="shared" si="6015"/>
        <v>0001000000</v>
      </c>
      <c r="BP953">
        <f t="shared" si="6016"/>
        <v>0</v>
      </c>
      <c r="BQ953">
        <f t="shared" si="6017"/>
        <v>0</v>
      </c>
      <c r="BR953" s="23">
        <f t="shared" si="6018"/>
        <v>0</v>
      </c>
      <c r="BS953" s="49" t="str">
        <f t="shared" si="5983"/>
        <v>000000000000000</v>
      </c>
      <c r="BT953" t="str">
        <f t="shared" si="6019"/>
        <v>00000000</v>
      </c>
      <c r="BU953" s="23">
        <f t="shared" si="6020"/>
        <v>0</v>
      </c>
      <c r="BV953" s="49" t="str">
        <f t="shared" si="5984"/>
        <v/>
      </c>
      <c r="BW953" s="52" t="str">
        <f t="shared" si="6021"/>
        <v/>
      </c>
      <c r="BX953" s="23">
        <f t="shared" si="6022"/>
        <v>0</v>
      </c>
      <c r="BY953" s="49" t="str">
        <f t="shared" si="5985"/>
        <v/>
      </c>
      <c r="BZ953" s="23">
        <f t="shared" si="6023"/>
        <v>0</v>
      </c>
      <c r="CA953" s="49" t="str">
        <f t="shared" si="5986"/>
        <v/>
      </c>
      <c r="CB953" s="52" t="str">
        <f t="shared" si="6024"/>
        <v/>
      </c>
      <c r="CC953" s="23">
        <f t="shared" si="6025"/>
        <v>0</v>
      </c>
      <c r="CD953" s="49" t="str">
        <f t="shared" si="5987"/>
        <v/>
      </c>
      <c r="CE953" s="56" t="str">
        <f>IF(CF953="","",MAX(CE$10:$CE952)+1)</f>
        <v/>
      </c>
      <c r="CF953" t="str">
        <f t="shared" si="6026"/>
        <v/>
      </c>
      <c r="CG953" s="22" t="str">
        <f>IF(CH953="","",MAX($CG$10:CG952)+1)</f>
        <v/>
      </c>
      <c r="CH953" s="22" t="str">
        <f t="shared" si="5971"/>
        <v/>
      </c>
      <c r="CI953" s="22" t="str">
        <f>IF(CJ953="","",MAX($CI$10:CI952)+1)</f>
        <v/>
      </c>
      <c r="CJ953" s="22" t="str">
        <f t="shared" si="5972"/>
        <v/>
      </c>
    </row>
    <row r="954" spans="2:88" x14ac:dyDescent="0.25">
      <c r="B954" s="37"/>
      <c r="C954" s="3"/>
      <c r="D954" s="77" t="str">
        <f t="shared" si="5958"/>
        <v/>
      </c>
      <c r="E954" s="38"/>
      <c r="F954" s="38"/>
      <c r="G954" s="78">
        <f t="shared" si="5973"/>
        <v>0</v>
      </c>
      <c r="H954" s="3">
        <v>80</v>
      </c>
      <c r="I954" s="77" t="str">
        <f t="shared" si="5959"/>
        <v/>
      </c>
      <c r="J954" s="32"/>
      <c r="K954" s="3"/>
      <c r="L954" s="39"/>
      <c r="M954" s="39"/>
      <c r="N954" s="39"/>
      <c r="O954" s="39"/>
      <c r="P954" s="39"/>
      <c r="Q954" s="39"/>
      <c r="R954" s="39"/>
      <c r="S954" s="39"/>
      <c r="T954" s="3" t="s">
        <v>645</v>
      </c>
      <c r="U954" s="77" t="str">
        <f t="shared" si="5960"/>
        <v/>
      </c>
      <c r="V954" s="39">
        <v>1</v>
      </c>
      <c r="W954" s="79">
        <f t="shared" si="5974"/>
        <v>0</v>
      </c>
      <c r="X954" s="3">
        <v>0</v>
      </c>
      <c r="Y954" s="77" t="str">
        <f t="shared" si="5961"/>
        <v/>
      </c>
      <c r="Z954" s="3"/>
      <c r="AA954" s="37" t="str">
        <f t="shared" si="5975"/>
        <v/>
      </c>
      <c r="AC954" s="40"/>
      <c r="AD954" s="7"/>
      <c r="AE954" s="77" t="str">
        <f t="shared" si="5962"/>
        <v/>
      </c>
      <c r="AF954" s="81">
        <f t="shared" si="5988"/>
        <v>0</v>
      </c>
      <c r="AG954" s="40"/>
      <c r="AH954" s="7"/>
      <c r="AI954" s="77" t="str">
        <f t="shared" si="5963"/>
        <v/>
      </c>
      <c r="AJ954" s="81">
        <f t="shared" si="5989"/>
        <v>0</v>
      </c>
      <c r="AK954" s="83">
        <f t="shared" si="5990"/>
        <v>0</v>
      </c>
      <c r="AL954" s="83">
        <f t="shared" si="5991"/>
        <v>0</v>
      </c>
      <c r="AN954" s="43">
        <f t="shared" si="5964"/>
        <v>0</v>
      </c>
      <c r="AP954" t="str">
        <f t="shared" si="5992"/>
        <v/>
      </c>
      <c r="AQ954" t="str">
        <f t="shared" si="5993"/>
        <v/>
      </c>
      <c r="AR954" t="str">
        <f t="shared" si="5994"/>
        <v/>
      </c>
      <c r="AS954" t="str">
        <f t="shared" si="5995"/>
        <v/>
      </c>
      <c r="AT954" t="str">
        <f t="shared" si="5996"/>
        <v/>
      </c>
      <c r="AU954" t="str">
        <f t="shared" si="5997"/>
        <v/>
      </c>
      <c r="AV954" t="str">
        <f t="shared" si="5998"/>
        <v/>
      </c>
      <c r="AW954" t="str">
        <f t="shared" si="5999"/>
        <v xml:space="preserve">                              </v>
      </c>
      <c r="AX954" s="23">
        <f t="shared" si="6000"/>
        <v>0</v>
      </c>
      <c r="AY954" s="49" t="str">
        <f t="shared" si="5976"/>
        <v>000000000000000</v>
      </c>
      <c r="AZ954" s="23">
        <f t="shared" si="6001"/>
        <v>0</v>
      </c>
      <c r="BA954" s="49" t="str">
        <f t="shared" si="5976"/>
        <v>000000000000000</v>
      </c>
      <c r="BB954" s="23">
        <f t="shared" si="6002"/>
        <v>0</v>
      </c>
      <c r="BC954" s="49" t="str">
        <f t="shared" ref="BC954" si="6285">IF(BB954&lt;0,SUBSTITUTE(TEXT(BB954,"000000000000,00"),",",""),SUBSTITUTE(TEXT(BB954,"0000000000000,00"),",",""))</f>
        <v>000000000000000</v>
      </c>
      <c r="BD954" s="23">
        <f t="shared" si="6004"/>
        <v>0</v>
      </c>
      <c r="BE954" s="49" t="str">
        <f t="shared" ref="BE954" si="6286">IF(BD954&lt;0,SUBSTITUTE(TEXT(BD954,"000000000000,00"),",",""),SUBSTITUTE(TEXT(BD954,"0000000000000,00"),",",""))</f>
        <v>000000000000000</v>
      </c>
      <c r="BF954" s="23">
        <f t="shared" si="6006"/>
        <v>0</v>
      </c>
      <c r="BG954" s="49" t="str">
        <f t="shared" ref="BG954" si="6287">IF(BF954&lt;0,SUBSTITUTE(TEXT(BF954,"000000000000,00"),",",""),SUBSTITUTE(TEXT(BF954,"0000000000000,00"),",",""))</f>
        <v>000000000000000</v>
      </c>
      <c r="BH954" s="23">
        <f t="shared" si="6008"/>
        <v>0</v>
      </c>
      <c r="BI954" s="49" t="str">
        <f t="shared" ref="BI954" si="6288">IF(BH954&lt;0,SUBSTITUTE(TEXT(BH954,"000000000000,00"),",",""),SUBSTITUTE(TEXT(BH954,"0000000000000,00"),",",""))</f>
        <v>000000000000000</v>
      </c>
      <c r="BJ954" s="23">
        <f t="shared" si="6010"/>
        <v>0</v>
      </c>
      <c r="BK954" s="49" t="str">
        <f t="shared" ref="BK954" si="6289">IF(BJ954&lt;0,SUBSTITUTE(TEXT(BJ954,"000000000000,00"),",",""),SUBSTITUTE(TEXT(BJ954,"0000000000000,00"),",",""))</f>
        <v>000000000000000</v>
      </c>
      <c r="BL954" s="23">
        <f t="shared" si="6012"/>
        <v>0</v>
      </c>
      <c r="BM954" s="49" t="str">
        <f t="shared" ref="BM954" si="6290">IF(BL954&lt;0,SUBSTITUTE(TEXT(BL954,"000000000000,00"),",",""),SUBSTITUTE(TEXT(BL954,"0000000000000,00"),",",""))</f>
        <v>000000000000000</v>
      </c>
      <c r="BN954" t="str">
        <f t="shared" si="6014"/>
        <v>PES</v>
      </c>
      <c r="BO954" t="str">
        <f t="shared" si="6015"/>
        <v>0001000000</v>
      </c>
      <c r="BP954">
        <f t="shared" si="6016"/>
        <v>0</v>
      </c>
      <c r="BQ954">
        <f t="shared" si="6017"/>
        <v>0</v>
      </c>
      <c r="BR954" s="23">
        <f t="shared" si="6018"/>
        <v>0</v>
      </c>
      <c r="BS954" s="49" t="str">
        <f t="shared" si="5983"/>
        <v>000000000000000</v>
      </c>
      <c r="BT954" t="str">
        <f t="shared" si="6019"/>
        <v>00000000</v>
      </c>
      <c r="BU954" s="23">
        <f t="shared" si="6020"/>
        <v>0</v>
      </c>
      <c r="BV954" s="49" t="str">
        <f t="shared" si="5984"/>
        <v/>
      </c>
      <c r="BW954" s="52" t="str">
        <f t="shared" si="6021"/>
        <v/>
      </c>
      <c r="BX954" s="23">
        <f t="shared" si="6022"/>
        <v>0</v>
      </c>
      <c r="BY954" s="49" t="str">
        <f t="shared" si="5985"/>
        <v/>
      </c>
      <c r="BZ954" s="23">
        <f t="shared" si="6023"/>
        <v>0</v>
      </c>
      <c r="CA954" s="49" t="str">
        <f t="shared" si="5986"/>
        <v/>
      </c>
      <c r="CB954" s="52" t="str">
        <f t="shared" si="6024"/>
        <v/>
      </c>
      <c r="CC954" s="23">
        <f t="shared" si="6025"/>
        <v>0</v>
      </c>
      <c r="CD954" s="49" t="str">
        <f t="shared" si="5987"/>
        <v/>
      </c>
      <c r="CE954" s="56" t="str">
        <f>IF(CF954="","",MAX(CE$10:$CE953)+1)</f>
        <v/>
      </c>
      <c r="CF954" t="str">
        <f t="shared" si="6026"/>
        <v/>
      </c>
      <c r="CG954" s="22" t="str">
        <f>IF(CH954="","",MAX($CG$10:CG953)+1)</f>
        <v/>
      </c>
      <c r="CH954" s="22" t="str">
        <f t="shared" si="5971"/>
        <v/>
      </c>
      <c r="CI954" s="22" t="str">
        <f>IF(CJ954="","",MAX($CI$10:CI953)+1)</f>
        <v/>
      </c>
      <c r="CJ954" s="22" t="str">
        <f t="shared" si="5972"/>
        <v/>
      </c>
    </row>
    <row r="955" spans="2:88" x14ac:dyDescent="0.25">
      <c r="B955" s="37"/>
      <c r="C955" s="3"/>
      <c r="D955" s="77" t="str">
        <f t="shared" si="5958"/>
        <v/>
      </c>
      <c r="E955" s="38"/>
      <c r="F955" s="38"/>
      <c r="G955" s="78">
        <f t="shared" si="5973"/>
        <v>0</v>
      </c>
      <c r="H955" s="3">
        <v>80</v>
      </c>
      <c r="I955" s="77" t="str">
        <f t="shared" si="5959"/>
        <v/>
      </c>
      <c r="J955" s="32"/>
      <c r="K955" s="3"/>
      <c r="L955" s="39"/>
      <c r="M955" s="39"/>
      <c r="N955" s="39"/>
      <c r="O955" s="39"/>
      <c r="P955" s="39"/>
      <c r="Q955" s="39"/>
      <c r="R955" s="39"/>
      <c r="S955" s="39"/>
      <c r="T955" s="3" t="s">
        <v>645</v>
      </c>
      <c r="U955" s="77" t="str">
        <f t="shared" si="5960"/>
        <v/>
      </c>
      <c r="V955" s="39">
        <v>1</v>
      </c>
      <c r="W955" s="79">
        <f t="shared" si="5974"/>
        <v>0</v>
      </c>
      <c r="X955" s="3">
        <v>0</v>
      </c>
      <c r="Y955" s="77" t="str">
        <f t="shared" si="5961"/>
        <v/>
      </c>
      <c r="Z955" s="3"/>
      <c r="AA955" s="37" t="str">
        <f t="shared" si="5975"/>
        <v/>
      </c>
      <c r="AC955" s="40"/>
      <c r="AD955" s="7"/>
      <c r="AE955" s="77" t="str">
        <f t="shared" si="5962"/>
        <v/>
      </c>
      <c r="AF955" s="81">
        <f t="shared" si="5988"/>
        <v>0</v>
      </c>
      <c r="AG955" s="40"/>
      <c r="AH955" s="7"/>
      <c r="AI955" s="77" t="str">
        <f t="shared" si="5963"/>
        <v/>
      </c>
      <c r="AJ955" s="81">
        <f t="shared" si="5989"/>
        <v>0</v>
      </c>
      <c r="AK955" s="83">
        <f t="shared" si="5990"/>
        <v>0</v>
      </c>
      <c r="AL955" s="83">
        <f t="shared" si="5991"/>
        <v>0</v>
      </c>
      <c r="AN955" s="43">
        <f t="shared" si="5964"/>
        <v>0</v>
      </c>
      <c r="AP955" t="str">
        <f t="shared" si="5992"/>
        <v/>
      </c>
      <c r="AQ955" t="str">
        <f t="shared" si="5993"/>
        <v/>
      </c>
      <c r="AR955" t="str">
        <f t="shared" si="5994"/>
        <v/>
      </c>
      <c r="AS955" t="str">
        <f t="shared" si="5995"/>
        <v/>
      </c>
      <c r="AT955" t="str">
        <f t="shared" si="5996"/>
        <v/>
      </c>
      <c r="AU955" t="str">
        <f t="shared" si="5997"/>
        <v/>
      </c>
      <c r="AV955" t="str">
        <f t="shared" si="5998"/>
        <v/>
      </c>
      <c r="AW955" t="str">
        <f t="shared" si="5999"/>
        <v xml:space="preserve">                              </v>
      </c>
      <c r="AX955" s="23">
        <f t="shared" si="6000"/>
        <v>0</v>
      </c>
      <c r="AY955" s="49" t="str">
        <f t="shared" si="5976"/>
        <v>000000000000000</v>
      </c>
      <c r="AZ955" s="23">
        <f t="shared" si="6001"/>
        <v>0</v>
      </c>
      <c r="BA955" s="49" t="str">
        <f t="shared" si="5976"/>
        <v>000000000000000</v>
      </c>
      <c r="BB955" s="23">
        <f t="shared" si="6002"/>
        <v>0</v>
      </c>
      <c r="BC955" s="49" t="str">
        <f t="shared" ref="BC955" si="6291">IF(BB955&lt;0,SUBSTITUTE(TEXT(BB955,"000000000000,00"),",",""),SUBSTITUTE(TEXT(BB955,"0000000000000,00"),",",""))</f>
        <v>000000000000000</v>
      </c>
      <c r="BD955" s="23">
        <f t="shared" si="6004"/>
        <v>0</v>
      </c>
      <c r="BE955" s="49" t="str">
        <f t="shared" ref="BE955" si="6292">IF(BD955&lt;0,SUBSTITUTE(TEXT(BD955,"000000000000,00"),",",""),SUBSTITUTE(TEXT(BD955,"0000000000000,00"),",",""))</f>
        <v>000000000000000</v>
      </c>
      <c r="BF955" s="23">
        <f t="shared" si="6006"/>
        <v>0</v>
      </c>
      <c r="BG955" s="49" t="str">
        <f t="shared" ref="BG955" si="6293">IF(BF955&lt;0,SUBSTITUTE(TEXT(BF955,"000000000000,00"),",",""),SUBSTITUTE(TEXT(BF955,"0000000000000,00"),",",""))</f>
        <v>000000000000000</v>
      </c>
      <c r="BH955" s="23">
        <f t="shared" si="6008"/>
        <v>0</v>
      </c>
      <c r="BI955" s="49" t="str">
        <f t="shared" ref="BI955" si="6294">IF(BH955&lt;0,SUBSTITUTE(TEXT(BH955,"000000000000,00"),",",""),SUBSTITUTE(TEXT(BH955,"0000000000000,00"),",",""))</f>
        <v>000000000000000</v>
      </c>
      <c r="BJ955" s="23">
        <f t="shared" si="6010"/>
        <v>0</v>
      </c>
      <c r="BK955" s="49" t="str">
        <f t="shared" ref="BK955" si="6295">IF(BJ955&lt;0,SUBSTITUTE(TEXT(BJ955,"000000000000,00"),",",""),SUBSTITUTE(TEXT(BJ955,"0000000000000,00"),",",""))</f>
        <v>000000000000000</v>
      </c>
      <c r="BL955" s="23">
        <f t="shared" si="6012"/>
        <v>0</v>
      </c>
      <c r="BM955" s="49" t="str">
        <f t="shared" ref="BM955" si="6296">IF(BL955&lt;0,SUBSTITUTE(TEXT(BL955,"000000000000,00"),",",""),SUBSTITUTE(TEXT(BL955,"0000000000000,00"),",",""))</f>
        <v>000000000000000</v>
      </c>
      <c r="BN955" t="str">
        <f t="shared" si="6014"/>
        <v>PES</v>
      </c>
      <c r="BO955" t="str">
        <f t="shared" si="6015"/>
        <v>0001000000</v>
      </c>
      <c r="BP955">
        <f t="shared" si="6016"/>
        <v>0</v>
      </c>
      <c r="BQ955">
        <f t="shared" si="6017"/>
        <v>0</v>
      </c>
      <c r="BR955" s="23">
        <f t="shared" si="6018"/>
        <v>0</v>
      </c>
      <c r="BS955" s="49" t="str">
        <f t="shared" si="5983"/>
        <v>000000000000000</v>
      </c>
      <c r="BT955" t="str">
        <f t="shared" si="6019"/>
        <v>00000000</v>
      </c>
      <c r="BU955" s="23">
        <f t="shared" si="6020"/>
        <v>0</v>
      </c>
      <c r="BV955" s="49" t="str">
        <f t="shared" si="5984"/>
        <v/>
      </c>
      <c r="BW955" s="52" t="str">
        <f t="shared" si="6021"/>
        <v/>
      </c>
      <c r="BX955" s="23">
        <f t="shared" si="6022"/>
        <v>0</v>
      </c>
      <c r="BY955" s="49" t="str">
        <f t="shared" si="5985"/>
        <v/>
      </c>
      <c r="BZ955" s="23">
        <f t="shared" si="6023"/>
        <v>0</v>
      </c>
      <c r="CA955" s="49" t="str">
        <f t="shared" si="5986"/>
        <v/>
      </c>
      <c r="CB955" s="52" t="str">
        <f t="shared" si="6024"/>
        <v/>
      </c>
      <c r="CC955" s="23">
        <f t="shared" si="6025"/>
        <v>0</v>
      </c>
      <c r="CD955" s="49" t="str">
        <f t="shared" si="5987"/>
        <v/>
      </c>
      <c r="CE955" s="56" t="str">
        <f>IF(CF955="","",MAX(CE$10:$CE954)+1)</f>
        <v/>
      </c>
      <c r="CF955" t="str">
        <f t="shared" si="6026"/>
        <v/>
      </c>
      <c r="CG955" s="22" t="str">
        <f>IF(CH955="","",MAX($CG$10:CG954)+1)</f>
        <v/>
      </c>
      <c r="CH955" s="22" t="str">
        <f t="shared" si="5971"/>
        <v/>
      </c>
      <c r="CI955" s="22" t="str">
        <f>IF(CJ955="","",MAX($CI$10:CI954)+1)</f>
        <v/>
      </c>
      <c r="CJ955" s="22" t="str">
        <f t="shared" si="5972"/>
        <v/>
      </c>
    </row>
    <row r="956" spans="2:88" x14ac:dyDescent="0.25">
      <c r="B956" s="37"/>
      <c r="C956" s="3"/>
      <c r="D956" s="77" t="str">
        <f t="shared" si="5958"/>
        <v/>
      </c>
      <c r="E956" s="38"/>
      <c r="F956" s="38"/>
      <c r="G956" s="78">
        <f t="shared" si="5973"/>
        <v>0</v>
      </c>
      <c r="H956" s="3">
        <v>80</v>
      </c>
      <c r="I956" s="77" t="str">
        <f t="shared" si="5959"/>
        <v/>
      </c>
      <c r="J956" s="32"/>
      <c r="K956" s="3"/>
      <c r="L956" s="39"/>
      <c r="M956" s="39"/>
      <c r="N956" s="39"/>
      <c r="O956" s="39"/>
      <c r="P956" s="39"/>
      <c r="Q956" s="39"/>
      <c r="R956" s="39"/>
      <c r="S956" s="39"/>
      <c r="T956" s="3" t="s">
        <v>645</v>
      </c>
      <c r="U956" s="77" t="str">
        <f t="shared" si="5960"/>
        <v/>
      </c>
      <c r="V956" s="39">
        <v>1</v>
      </c>
      <c r="W956" s="79">
        <f t="shared" si="5974"/>
        <v>0</v>
      </c>
      <c r="X956" s="3">
        <v>0</v>
      </c>
      <c r="Y956" s="77" t="str">
        <f t="shared" si="5961"/>
        <v/>
      </c>
      <c r="Z956" s="3"/>
      <c r="AA956" s="37" t="str">
        <f t="shared" si="5975"/>
        <v/>
      </c>
      <c r="AC956" s="40"/>
      <c r="AD956" s="7"/>
      <c r="AE956" s="77" t="str">
        <f t="shared" si="5962"/>
        <v/>
      </c>
      <c r="AF956" s="81">
        <f t="shared" si="5988"/>
        <v>0</v>
      </c>
      <c r="AG956" s="40"/>
      <c r="AH956" s="7"/>
      <c r="AI956" s="77" t="str">
        <f t="shared" si="5963"/>
        <v/>
      </c>
      <c r="AJ956" s="81">
        <f t="shared" si="5989"/>
        <v>0</v>
      </c>
      <c r="AK956" s="83">
        <f t="shared" si="5990"/>
        <v>0</v>
      </c>
      <c r="AL956" s="83">
        <f t="shared" si="5991"/>
        <v>0</v>
      </c>
      <c r="AN956" s="43">
        <f t="shared" si="5964"/>
        <v>0</v>
      </c>
      <c r="AP956" t="str">
        <f t="shared" si="5992"/>
        <v/>
      </c>
      <c r="AQ956" t="str">
        <f t="shared" si="5993"/>
        <v/>
      </c>
      <c r="AR956" t="str">
        <f t="shared" si="5994"/>
        <v/>
      </c>
      <c r="AS956" t="str">
        <f t="shared" si="5995"/>
        <v/>
      </c>
      <c r="AT956" t="str">
        <f t="shared" si="5996"/>
        <v/>
      </c>
      <c r="AU956" t="str">
        <f t="shared" si="5997"/>
        <v/>
      </c>
      <c r="AV956" t="str">
        <f t="shared" si="5998"/>
        <v/>
      </c>
      <c r="AW956" t="str">
        <f t="shared" si="5999"/>
        <v xml:space="preserve">                              </v>
      </c>
      <c r="AX956" s="23">
        <f t="shared" si="6000"/>
        <v>0</v>
      </c>
      <c r="AY956" s="49" t="str">
        <f t="shared" si="5976"/>
        <v>000000000000000</v>
      </c>
      <c r="AZ956" s="23">
        <f t="shared" si="6001"/>
        <v>0</v>
      </c>
      <c r="BA956" s="49" t="str">
        <f t="shared" si="5976"/>
        <v>000000000000000</v>
      </c>
      <c r="BB956" s="23">
        <f t="shared" si="6002"/>
        <v>0</v>
      </c>
      <c r="BC956" s="49" t="str">
        <f t="shared" ref="BC956" si="6297">IF(BB956&lt;0,SUBSTITUTE(TEXT(BB956,"000000000000,00"),",",""),SUBSTITUTE(TEXT(BB956,"0000000000000,00"),",",""))</f>
        <v>000000000000000</v>
      </c>
      <c r="BD956" s="23">
        <f t="shared" si="6004"/>
        <v>0</v>
      </c>
      <c r="BE956" s="49" t="str">
        <f t="shared" ref="BE956" si="6298">IF(BD956&lt;0,SUBSTITUTE(TEXT(BD956,"000000000000,00"),",",""),SUBSTITUTE(TEXT(BD956,"0000000000000,00"),",",""))</f>
        <v>000000000000000</v>
      </c>
      <c r="BF956" s="23">
        <f t="shared" si="6006"/>
        <v>0</v>
      </c>
      <c r="BG956" s="49" t="str">
        <f t="shared" ref="BG956" si="6299">IF(BF956&lt;0,SUBSTITUTE(TEXT(BF956,"000000000000,00"),",",""),SUBSTITUTE(TEXT(BF956,"0000000000000,00"),",",""))</f>
        <v>000000000000000</v>
      </c>
      <c r="BH956" s="23">
        <f t="shared" si="6008"/>
        <v>0</v>
      </c>
      <c r="BI956" s="49" t="str">
        <f t="shared" ref="BI956" si="6300">IF(BH956&lt;0,SUBSTITUTE(TEXT(BH956,"000000000000,00"),",",""),SUBSTITUTE(TEXT(BH956,"0000000000000,00"),",",""))</f>
        <v>000000000000000</v>
      </c>
      <c r="BJ956" s="23">
        <f t="shared" si="6010"/>
        <v>0</v>
      </c>
      <c r="BK956" s="49" t="str">
        <f t="shared" ref="BK956" si="6301">IF(BJ956&lt;0,SUBSTITUTE(TEXT(BJ956,"000000000000,00"),",",""),SUBSTITUTE(TEXT(BJ956,"0000000000000,00"),",",""))</f>
        <v>000000000000000</v>
      </c>
      <c r="BL956" s="23">
        <f t="shared" si="6012"/>
        <v>0</v>
      </c>
      <c r="BM956" s="49" t="str">
        <f t="shared" ref="BM956" si="6302">IF(BL956&lt;0,SUBSTITUTE(TEXT(BL956,"000000000000,00"),",",""),SUBSTITUTE(TEXT(BL956,"0000000000000,00"),",",""))</f>
        <v>000000000000000</v>
      </c>
      <c r="BN956" t="str">
        <f t="shared" si="6014"/>
        <v>PES</v>
      </c>
      <c r="BO956" t="str">
        <f t="shared" si="6015"/>
        <v>0001000000</v>
      </c>
      <c r="BP956">
        <f t="shared" si="6016"/>
        <v>0</v>
      </c>
      <c r="BQ956">
        <f t="shared" si="6017"/>
        <v>0</v>
      </c>
      <c r="BR956" s="23">
        <f t="shared" si="6018"/>
        <v>0</v>
      </c>
      <c r="BS956" s="49" t="str">
        <f t="shared" si="5983"/>
        <v>000000000000000</v>
      </c>
      <c r="BT956" t="str">
        <f t="shared" si="6019"/>
        <v>00000000</v>
      </c>
      <c r="BU956" s="23">
        <f t="shared" si="6020"/>
        <v>0</v>
      </c>
      <c r="BV956" s="49" t="str">
        <f t="shared" si="5984"/>
        <v/>
      </c>
      <c r="BW956" s="52" t="str">
        <f t="shared" si="6021"/>
        <v/>
      </c>
      <c r="BX956" s="23">
        <f t="shared" si="6022"/>
        <v>0</v>
      </c>
      <c r="BY956" s="49" t="str">
        <f t="shared" si="5985"/>
        <v/>
      </c>
      <c r="BZ956" s="23">
        <f t="shared" si="6023"/>
        <v>0</v>
      </c>
      <c r="CA956" s="49" t="str">
        <f t="shared" si="5986"/>
        <v/>
      </c>
      <c r="CB956" s="52" t="str">
        <f t="shared" si="6024"/>
        <v/>
      </c>
      <c r="CC956" s="23">
        <f t="shared" si="6025"/>
        <v>0</v>
      </c>
      <c r="CD956" s="49" t="str">
        <f t="shared" si="5987"/>
        <v/>
      </c>
      <c r="CE956" s="56" t="str">
        <f>IF(CF956="","",MAX(CE$10:$CE955)+1)</f>
        <v/>
      </c>
      <c r="CF956" t="str">
        <f t="shared" si="6026"/>
        <v/>
      </c>
      <c r="CG956" s="22" t="str">
        <f>IF(CH956="","",MAX($CG$10:CG955)+1)</f>
        <v/>
      </c>
      <c r="CH956" s="22" t="str">
        <f t="shared" si="5971"/>
        <v/>
      </c>
      <c r="CI956" s="22" t="str">
        <f>IF(CJ956="","",MAX($CI$10:CI955)+1)</f>
        <v/>
      </c>
      <c r="CJ956" s="22" t="str">
        <f t="shared" si="5972"/>
        <v/>
      </c>
    </row>
    <row r="957" spans="2:88" x14ac:dyDescent="0.25">
      <c r="B957" s="37"/>
      <c r="C957" s="3"/>
      <c r="D957" s="77" t="str">
        <f t="shared" si="5958"/>
        <v/>
      </c>
      <c r="E957" s="38"/>
      <c r="F957" s="38"/>
      <c r="G957" s="78">
        <f t="shared" si="5973"/>
        <v>0</v>
      </c>
      <c r="H957" s="3">
        <v>80</v>
      </c>
      <c r="I957" s="77" t="str">
        <f t="shared" si="5959"/>
        <v/>
      </c>
      <c r="J957" s="32"/>
      <c r="K957" s="3"/>
      <c r="L957" s="39"/>
      <c r="M957" s="39"/>
      <c r="N957" s="39"/>
      <c r="O957" s="39"/>
      <c r="P957" s="39"/>
      <c r="Q957" s="39"/>
      <c r="R957" s="39"/>
      <c r="S957" s="39"/>
      <c r="T957" s="3" t="s">
        <v>645</v>
      </c>
      <c r="U957" s="77" t="str">
        <f t="shared" si="5960"/>
        <v/>
      </c>
      <c r="V957" s="39">
        <v>1</v>
      </c>
      <c r="W957" s="79">
        <f t="shared" si="5974"/>
        <v>0</v>
      </c>
      <c r="X957" s="3">
        <v>0</v>
      </c>
      <c r="Y957" s="77" t="str">
        <f t="shared" si="5961"/>
        <v/>
      </c>
      <c r="Z957" s="3"/>
      <c r="AA957" s="37" t="str">
        <f t="shared" si="5975"/>
        <v/>
      </c>
      <c r="AC957" s="40"/>
      <c r="AD957" s="7"/>
      <c r="AE957" s="77" t="str">
        <f t="shared" si="5962"/>
        <v/>
      </c>
      <c r="AF957" s="81">
        <f t="shared" si="5988"/>
        <v>0</v>
      </c>
      <c r="AG957" s="40"/>
      <c r="AH957" s="7"/>
      <c r="AI957" s="77" t="str">
        <f t="shared" si="5963"/>
        <v/>
      </c>
      <c r="AJ957" s="81">
        <f t="shared" si="5989"/>
        <v>0</v>
      </c>
      <c r="AK957" s="83">
        <f t="shared" si="5990"/>
        <v>0</v>
      </c>
      <c r="AL957" s="83">
        <f t="shared" si="5991"/>
        <v>0</v>
      </c>
      <c r="AN957" s="43">
        <f t="shared" si="5964"/>
        <v>0</v>
      </c>
      <c r="AP957" t="str">
        <f t="shared" si="5992"/>
        <v/>
      </c>
      <c r="AQ957" t="str">
        <f t="shared" si="5993"/>
        <v/>
      </c>
      <c r="AR957" t="str">
        <f t="shared" si="5994"/>
        <v/>
      </c>
      <c r="AS957" t="str">
        <f t="shared" si="5995"/>
        <v/>
      </c>
      <c r="AT957" t="str">
        <f t="shared" si="5996"/>
        <v/>
      </c>
      <c r="AU957" t="str">
        <f t="shared" si="5997"/>
        <v/>
      </c>
      <c r="AV957" t="str">
        <f t="shared" si="5998"/>
        <v/>
      </c>
      <c r="AW957" t="str">
        <f t="shared" si="5999"/>
        <v xml:space="preserve">                              </v>
      </c>
      <c r="AX957" s="23">
        <f t="shared" si="6000"/>
        <v>0</v>
      </c>
      <c r="AY957" s="49" t="str">
        <f t="shared" si="5976"/>
        <v>000000000000000</v>
      </c>
      <c r="AZ957" s="23">
        <f t="shared" si="6001"/>
        <v>0</v>
      </c>
      <c r="BA957" s="49" t="str">
        <f t="shared" si="5976"/>
        <v>000000000000000</v>
      </c>
      <c r="BB957" s="23">
        <f t="shared" si="6002"/>
        <v>0</v>
      </c>
      <c r="BC957" s="49" t="str">
        <f t="shared" ref="BC957" si="6303">IF(BB957&lt;0,SUBSTITUTE(TEXT(BB957,"000000000000,00"),",",""),SUBSTITUTE(TEXT(BB957,"0000000000000,00"),",",""))</f>
        <v>000000000000000</v>
      </c>
      <c r="BD957" s="23">
        <f t="shared" si="6004"/>
        <v>0</v>
      </c>
      <c r="BE957" s="49" t="str">
        <f t="shared" ref="BE957" si="6304">IF(BD957&lt;0,SUBSTITUTE(TEXT(BD957,"000000000000,00"),",",""),SUBSTITUTE(TEXT(BD957,"0000000000000,00"),",",""))</f>
        <v>000000000000000</v>
      </c>
      <c r="BF957" s="23">
        <f t="shared" si="6006"/>
        <v>0</v>
      </c>
      <c r="BG957" s="49" t="str">
        <f t="shared" ref="BG957" si="6305">IF(BF957&lt;0,SUBSTITUTE(TEXT(BF957,"000000000000,00"),",",""),SUBSTITUTE(TEXT(BF957,"0000000000000,00"),",",""))</f>
        <v>000000000000000</v>
      </c>
      <c r="BH957" s="23">
        <f t="shared" si="6008"/>
        <v>0</v>
      </c>
      <c r="BI957" s="49" t="str">
        <f t="shared" ref="BI957" si="6306">IF(BH957&lt;0,SUBSTITUTE(TEXT(BH957,"000000000000,00"),",",""),SUBSTITUTE(TEXT(BH957,"0000000000000,00"),",",""))</f>
        <v>000000000000000</v>
      </c>
      <c r="BJ957" s="23">
        <f t="shared" si="6010"/>
        <v>0</v>
      </c>
      <c r="BK957" s="49" t="str">
        <f t="shared" ref="BK957" si="6307">IF(BJ957&lt;0,SUBSTITUTE(TEXT(BJ957,"000000000000,00"),",",""),SUBSTITUTE(TEXT(BJ957,"0000000000000,00"),",",""))</f>
        <v>000000000000000</v>
      </c>
      <c r="BL957" s="23">
        <f t="shared" si="6012"/>
        <v>0</v>
      </c>
      <c r="BM957" s="49" t="str">
        <f t="shared" ref="BM957" si="6308">IF(BL957&lt;0,SUBSTITUTE(TEXT(BL957,"000000000000,00"),",",""),SUBSTITUTE(TEXT(BL957,"0000000000000,00"),",",""))</f>
        <v>000000000000000</v>
      </c>
      <c r="BN957" t="str">
        <f t="shared" si="6014"/>
        <v>PES</v>
      </c>
      <c r="BO957" t="str">
        <f t="shared" si="6015"/>
        <v>0001000000</v>
      </c>
      <c r="BP957">
        <f t="shared" si="6016"/>
        <v>0</v>
      </c>
      <c r="BQ957">
        <f t="shared" si="6017"/>
        <v>0</v>
      </c>
      <c r="BR957" s="23">
        <f t="shared" si="6018"/>
        <v>0</v>
      </c>
      <c r="BS957" s="49" t="str">
        <f t="shared" si="5983"/>
        <v>000000000000000</v>
      </c>
      <c r="BT957" t="str">
        <f t="shared" si="6019"/>
        <v>00000000</v>
      </c>
      <c r="BU957" s="23">
        <f t="shared" si="6020"/>
        <v>0</v>
      </c>
      <c r="BV957" s="49" t="str">
        <f t="shared" si="5984"/>
        <v/>
      </c>
      <c r="BW957" s="52" t="str">
        <f t="shared" si="6021"/>
        <v/>
      </c>
      <c r="BX957" s="23">
        <f t="shared" si="6022"/>
        <v>0</v>
      </c>
      <c r="BY957" s="49" t="str">
        <f t="shared" si="5985"/>
        <v/>
      </c>
      <c r="BZ957" s="23">
        <f t="shared" si="6023"/>
        <v>0</v>
      </c>
      <c r="CA957" s="49" t="str">
        <f t="shared" si="5986"/>
        <v/>
      </c>
      <c r="CB957" s="52" t="str">
        <f t="shared" si="6024"/>
        <v/>
      </c>
      <c r="CC957" s="23">
        <f t="shared" si="6025"/>
        <v>0</v>
      </c>
      <c r="CD957" s="49" t="str">
        <f t="shared" si="5987"/>
        <v/>
      </c>
      <c r="CE957" s="56" t="str">
        <f>IF(CF957="","",MAX(CE$10:$CE956)+1)</f>
        <v/>
      </c>
      <c r="CF957" t="str">
        <f t="shared" si="6026"/>
        <v/>
      </c>
      <c r="CG957" s="22" t="str">
        <f>IF(CH957="","",MAX($CG$10:CG956)+1)</f>
        <v/>
      </c>
      <c r="CH957" s="22" t="str">
        <f t="shared" si="5971"/>
        <v/>
      </c>
      <c r="CI957" s="22" t="str">
        <f>IF(CJ957="","",MAX($CI$10:CI956)+1)</f>
        <v/>
      </c>
      <c r="CJ957" s="22" t="str">
        <f t="shared" si="5972"/>
        <v/>
      </c>
    </row>
    <row r="958" spans="2:88" x14ac:dyDescent="0.25">
      <c r="B958" s="37"/>
      <c r="C958" s="3"/>
      <c r="D958" s="77" t="str">
        <f t="shared" si="5958"/>
        <v/>
      </c>
      <c r="E958" s="38"/>
      <c r="F958" s="38"/>
      <c r="G958" s="78">
        <f t="shared" si="5973"/>
        <v>0</v>
      </c>
      <c r="H958" s="3">
        <v>80</v>
      </c>
      <c r="I958" s="77" t="str">
        <f t="shared" si="5959"/>
        <v/>
      </c>
      <c r="J958" s="32"/>
      <c r="K958" s="3"/>
      <c r="L958" s="39"/>
      <c r="M958" s="39"/>
      <c r="N958" s="39"/>
      <c r="O958" s="39"/>
      <c r="P958" s="39"/>
      <c r="Q958" s="39"/>
      <c r="R958" s="39"/>
      <c r="S958" s="39"/>
      <c r="T958" s="3" t="s">
        <v>645</v>
      </c>
      <c r="U958" s="77" t="str">
        <f t="shared" si="5960"/>
        <v/>
      </c>
      <c r="V958" s="39">
        <v>1</v>
      </c>
      <c r="W958" s="79">
        <f t="shared" si="5974"/>
        <v>0</v>
      </c>
      <c r="X958" s="3">
        <v>0</v>
      </c>
      <c r="Y958" s="77" t="str">
        <f t="shared" si="5961"/>
        <v/>
      </c>
      <c r="Z958" s="3"/>
      <c r="AA958" s="37" t="str">
        <f t="shared" si="5975"/>
        <v/>
      </c>
      <c r="AC958" s="40"/>
      <c r="AD958" s="7"/>
      <c r="AE958" s="77" t="str">
        <f t="shared" si="5962"/>
        <v/>
      </c>
      <c r="AF958" s="81">
        <f t="shared" si="5988"/>
        <v>0</v>
      </c>
      <c r="AG958" s="40"/>
      <c r="AH958" s="7"/>
      <c r="AI958" s="77" t="str">
        <f t="shared" si="5963"/>
        <v/>
      </c>
      <c r="AJ958" s="81">
        <f t="shared" si="5989"/>
        <v>0</v>
      </c>
      <c r="AK958" s="83">
        <f t="shared" si="5990"/>
        <v>0</v>
      </c>
      <c r="AL958" s="83">
        <f t="shared" si="5991"/>
        <v>0</v>
      </c>
      <c r="AN958" s="43">
        <f t="shared" si="5964"/>
        <v>0</v>
      </c>
      <c r="AP958" t="str">
        <f t="shared" si="5992"/>
        <v/>
      </c>
      <c r="AQ958" t="str">
        <f t="shared" si="5993"/>
        <v/>
      </c>
      <c r="AR958" t="str">
        <f t="shared" si="5994"/>
        <v/>
      </c>
      <c r="AS958" t="str">
        <f t="shared" si="5995"/>
        <v/>
      </c>
      <c r="AT958" t="str">
        <f t="shared" si="5996"/>
        <v/>
      </c>
      <c r="AU958" t="str">
        <f t="shared" si="5997"/>
        <v/>
      </c>
      <c r="AV958" t="str">
        <f t="shared" si="5998"/>
        <v/>
      </c>
      <c r="AW958" t="str">
        <f t="shared" si="5999"/>
        <v xml:space="preserve">                              </v>
      </c>
      <c r="AX958" s="23">
        <f t="shared" si="6000"/>
        <v>0</v>
      </c>
      <c r="AY958" s="49" t="str">
        <f t="shared" si="5976"/>
        <v>000000000000000</v>
      </c>
      <c r="AZ958" s="23">
        <f t="shared" si="6001"/>
        <v>0</v>
      </c>
      <c r="BA958" s="49" t="str">
        <f t="shared" si="5976"/>
        <v>000000000000000</v>
      </c>
      <c r="BB958" s="23">
        <f t="shared" si="6002"/>
        <v>0</v>
      </c>
      <c r="BC958" s="49" t="str">
        <f t="shared" ref="BC958" si="6309">IF(BB958&lt;0,SUBSTITUTE(TEXT(BB958,"000000000000,00"),",",""),SUBSTITUTE(TEXT(BB958,"0000000000000,00"),",",""))</f>
        <v>000000000000000</v>
      </c>
      <c r="BD958" s="23">
        <f t="shared" si="6004"/>
        <v>0</v>
      </c>
      <c r="BE958" s="49" t="str">
        <f t="shared" ref="BE958" si="6310">IF(BD958&lt;0,SUBSTITUTE(TEXT(BD958,"000000000000,00"),",",""),SUBSTITUTE(TEXT(BD958,"0000000000000,00"),",",""))</f>
        <v>000000000000000</v>
      </c>
      <c r="BF958" s="23">
        <f t="shared" si="6006"/>
        <v>0</v>
      </c>
      <c r="BG958" s="49" t="str">
        <f t="shared" ref="BG958" si="6311">IF(BF958&lt;0,SUBSTITUTE(TEXT(BF958,"000000000000,00"),",",""),SUBSTITUTE(TEXT(BF958,"0000000000000,00"),",",""))</f>
        <v>000000000000000</v>
      </c>
      <c r="BH958" s="23">
        <f t="shared" si="6008"/>
        <v>0</v>
      </c>
      <c r="BI958" s="49" t="str">
        <f t="shared" ref="BI958" si="6312">IF(BH958&lt;0,SUBSTITUTE(TEXT(BH958,"000000000000,00"),",",""),SUBSTITUTE(TEXT(BH958,"0000000000000,00"),",",""))</f>
        <v>000000000000000</v>
      </c>
      <c r="BJ958" s="23">
        <f t="shared" si="6010"/>
        <v>0</v>
      </c>
      <c r="BK958" s="49" t="str">
        <f t="shared" ref="BK958" si="6313">IF(BJ958&lt;0,SUBSTITUTE(TEXT(BJ958,"000000000000,00"),",",""),SUBSTITUTE(TEXT(BJ958,"0000000000000,00"),",",""))</f>
        <v>000000000000000</v>
      </c>
      <c r="BL958" s="23">
        <f t="shared" si="6012"/>
        <v>0</v>
      </c>
      <c r="BM958" s="49" t="str">
        <f t="shared" ref="BM958" si="6314">IF(BL958&lt;0,SUBSTITUTE(TEXT(BL958,"000000000000,00"),",",""),SUBSTITUTE(TEXT(BL958,"0000000000000,00"),",",""))</f>
        <v>000000000000000</v>
      </c>
      <c r="BN958" t="str">
        <f t="shared" si="6014"/>
        <v>PES</v>
      </c>
      <c r="BO958" t="str">
        <f t="shared" si="6015"/>
        <v>0001000000</v>
      </c>
      <c r="BP958">
        <f t="shared" si="6016"/>
        <v>0</v>
      </c>
      <c r="BQ958">
        <f t="shared" si="6017"/>
        <v>0</v>
      </c>
      <c r="BR958" s="23">
        <f t="shared" si="6018"/>
        <v>0</v>
      </c>
      <c r="BS958" s="49" t="str">
        <f t="shared" si="5983"/>
        <v>000000000000000</v>
      </c>
      <c r="BT958" t="str">
        <f t="shared" si="6019"/>
        <v>00000000</v>
      </c>
      <c r="BU958" s="23">
        <f t="shared" si="6020"/>
        <v>0</v>
      </c>
      <c r="BV958" s="49" t="str">
        <f t="shared" si="5984"/>
        <v/>
      </c>
      <c r="BW958" s="52" t="str">
        <f t="shared" si="6021"/>
        <v/>
      </c>
      <c r="BX958" s="23">
        <f t="shared" si="6022"/>
        <v>0</v>
      </c>
      <c r="BY958" s="49" t="str">
        <f t="shared" si="5985"/>
        <v/>
      </c>
      <c r="BZ958" s="23">
        <f t="shared" si="6023"/>
        <v>0</v>
      </c>
      <c r="CA958" s="49" t="str">
        <f t="shared" si="5986"/>
        <v/>
      </c>
      <c r="CB958" s="52" t="str">
        <f t="shared" si="6024"/>
        <v/>
      </c>
      <c r="CC958" s="23">
        <f t="shared" si="6025"/>
        <v>0</v>
      </c>
      <c r="CD958" s="49" t="str">
        <f t="shared" si="5987"/>
        <v/>
      </c>
      <c r="CE958" s="56" t="str">
        <f>IF(CF958="","",MAX(CE$10:$CE957)+1)</f>
        <v/>
      </c>
      <c r="CF958" t="str">
        <f t="shared" si="6026"/>
        <v/>
      </c>
      <c r="CG958" s="22" t="str">
        <f>IF(CH958="","",MAX($CG$10:CG957)+1)</f>
        <v/>
      </c>
      <c r="CH958" s="22" t="str">
        <f t="shared" si="5971"/>
        <v/>
      </c>
      <c r="CI958" s="22" t="str">
        <f>IF(CJ958="","",MAX($CI$10:CI957)+1)</f>
        <v/>
      </c>
      <c r="CJ958" s="22" t="str">
        <f t="shared" si="5972"/>
        <v/>
      </c>
    </row>
    <row r="959" spans="2:88" x14ac:dyDescent="0.25">
      <c r="B959" s="37"/>
      <c r="C959" s="3"/>
      <c r="D959" s="77" t="str">
        <f t="shared" si="5958"/>
        <v/>
      </c>
      <c r="E959" s="38"/>
      <c r="F959" s="38"/>
      <c r="G959" s="78">
        <f t="shared" si="5973"/>
        <v>0</v>
      </c>
      <c r="H959" s="3">
        <v>80</v>
      </c>
      <c r="I959" s="77" t="str">
        <f t="shared" si="5959"/>
        <v/>
      </c>
      <c r="J959" s="32"/>
      <c r="K959" s="3"/>
      <c r="L959" s="39"/>
      <c r="M959" s="39"/>
      <c r="N959" s="39"/>
      <c r="O959" s="39"/>
      <c r="P959" s="39"/>
      <c r="Q959" s="39"/>
      <c r="R959" s="39"/>
      <c r="S959" s="39"/>
      <c r="T959" s="3" t="s">
        <v>645</v>
      </c>
      <c r="U959" s="77" t="str">
        <f t="shared" si="5960"/>
        <v/>
      </c>
      <c r="V959" s="39">
        <v>1</v>
      </c>
      <c r="W959" s="79">
        <f t="shared" si="5974"/>
        <v>0</v>
      </c>
      <c r="X959" s="3">
        <v>0</v>
      </c>
      <c r="Y959" s="77" t="str">
        <f t="shared" si="5961"/>
        <v/>
      </c>
      <c r="Z959" s="3"/>
      <c r="AA959" s="37" t="str">
        <f t="shared" si="5975"/>
        <v/>
      </c>
      <c r="AC959" s="40"/>
      <c r="AD959" s="7"/>
      <c r="AE959" s="77" t="str">
        <f t="shared" si="5962"/>
        <v/>
      </c>
      <c r="AF959" s="81">
        <f t="shared" si="5988"/>
        <v>0</v>
      </c>
      <c r="AG959" s="40"/>
      <c r="AH959" s="7"/>
      <c r="AI959" s="77" t="str">
        <f t="shared" si="5963"/>
        <v/>
      </c>
      <c r="AJ959" s="81">
        <f t="shared" si="5989"/>
        <v>0</v>
      </c>
      <c r="AK959" s="83">
        <f t="shared" si="5990"/>
        <v>0</v>
      </c>
      <c r="AL959" s="83">
        <f t="shared" si="5991"/>
        <v>0</v>
      </c>
      <c r="AN959" s="43">
        <f t="shared" si="5964"/>
        <v>0</v>
      </c>
      <c r="AP959" t="str">
        <f t="shared" si="5992"/>
        <v/>
      </c>
      <c r="AQ959" t="str">
        <f t="shared" si="5993"/>
        <v/>
      </c>
      <c r="AR959" t="str">
        <f t="shared" si="5994"/>
        <v/>
      </c>
      <c r="AS959" t="str">
        <f t="shared" si="5995"/>
        <v/>
      </c>
      <c r="AT959" t="str">
        <f t="shared" si="5996"/>
        <v/>
      </c>
      <c r="AU959" t="str">
        <f t="shared" si="5997"/>
        <v/>
      </c>
      <c r="AV959" t="str">
        <f t="shared" si="5998"/>
        <v/>
      </c>
      <c r="AW959" t="str">
        <f t="shared" si="5999"/>
        <v xml:space="preserve">                              </v>
      </c>
      <c r="AX959" s="23">
        <f t="shared" si="6000"/>
        <v>0</v>
      </c>
      <c r="AY959" s="49" t="str">
        <f t="shared" si="5976"/>
        <v>000000000000000</v>
      </c>
      <c r="AZ959" s="23">
        <f t="shared" si="6001"/>
        <v>0</v>
      </c>
      <c r="BA959" s="49" t="str">
        <f t="shared" si="5976"/>
        <v>000000000000000</v>
      </c>
      <c r="BB959" s="23">
        <f t="shared" si="6002"/>
        <v>0</v>
      </c>
      <c r="BC959" s="49" t="str">
        <f t="shared" ref="BC959" si="6315">IF(BB959&lt;0,SUBSTITUTE(TEXT(BB959,"000000000000,00"),",",""),SUBSTITUTE(TEXT(BB959,"0000000000000,00"),",",""))</f>
        <v>000000000000000</v>
      </c>
      <c r="BD959" s="23">
        <f t="shared" si="6004"/>
        <v>0</v>
      </c>
      <c r="BE959" s="49" t="str">
        <f t="shared" ref="BE959" si="6316">IF(BD959&lt;0,SUBSTITUTE(TEXT(BD959,"000000000000,00"),",",""),SUBSTITUTE(TEXT(BD959,"0000000000000,00"),",",""))</f>
        <v>000000000000000</v>
      </c>
      <c r="BF959" s="23">
        <f t="shared" si="6006"/>
        <v>0</v>
      </c>
      <c r="BG959" s="49" t="str">
        <f t="shared" ref="BG959" si="6317">IF(BF959&lt;0,SUBSTITUTE(TEXT(BF959,"000000000000,00"),",",""),SUBSTITUTE(TEXT(BF959,"0000000000000,00"),",",""))</f>
        <v>000000000000000</v>
      </c>
      <c r="BH959" s="23">
        <f t="shared" si="6008"/>
        <v>0</v>
      </c>
      <c r="BI959" s="49" t="str">
        <f t="shared" ref="BI959" si="6318">IF(BH959&lt;0,SUBSTITUTE(TEXT(BH959,"000000000000,00"),",",""),SUBSTITUTE(TEXT(BH959,"0000000000000,00"),",",""))</f>
        <v>000000000000000</v>
      </c>
      <c r="BJ959" s="23">
        <f t="shared" si="6010"/>
        <v>0</v>
      </c>
      <c r="BK959" s="49" t="str">
        <f t="shared" ref="BK959" si="6319">IF(BJ959&lt;0,SUBSTITUTE(TEXT(BJ959,"000000000000,00"),",",""),SUBSTITUTE(TEXT(BJ959,"0000000000000,00"),",",""))</f>
        <v>000000000000000</v>
      </c>
      <c r="BL959" s="23">
        <f t="shared" si="6012"/>
        <v>0</v>
      </c>
      <c r="BM959" s="49" t="str">
        <f t="shared" ref="BM959" si="6320">IF(BL959&lt;0,SUBSTITUTE(TEXT(BL959,"000000000000,00"),",",""),SUBSTITUTE(TEXT(BL959,"0000000000000,00"),",",""))</f>
        <v>000000000000000</v>
      </c>
      <c r="BN959" t="str">
        <f t="shared" si="6014"/>
        <v>PES</v>
      </c>
      <c r="BO959" t="str">
        <f t="shared" si="6015"/>
        <v>0001000000</v>
      </c>
      <c r="BP959">
        <f t="shared" si="6016"/>
        <v>0</v>
      </c>
      <c r="BQ959">
        <f t="shared" si="6017"/>
        <v>0</v>
      </c>
      <c r="BR959" s="23">
        <f t="shared" si="6018"/>
        <v>0</v>
      </c>
      <c r="BS959" s="49" t="str">
        <f t="shared" si="5983"/>
        <v>000000000000000</v>
      </c>
      <c r="BT959" t="str">
        <f t="shared" si="6019"/>
        <v>00000000</v>
      </c>
      <c r="BU959" s="23">
        <f t="shared" si="6020"/>
        <v>0</v>
      </c>
      <c r="BV959" s="49" t="str">
        <f t="shared" si="5984"/>
        <v/>
      </c>
      <c r="BW959" s="52" t="str">
        <f t="shared" si="6021"/>
        <v/>
      </c>
      <c r="BX959" s="23">
        <f t="shared" si="6022"/>
        <v>0</v>
      </c>
      <c r="BY959" s="49" t="str">
        <f t="shared" si="5985"/>
        <v/>
      </c>
      <c r="BZ959" s="23">
        <f t="shared" si="6023"/>
        <v>0</v>
      </c>
      <c r="CA959" s="49" t="str">
        <f t="shared" si="5986"/>
        <v/>
      </c>
      <c r="CB959" s="52" t="str">
        <f t="shared" si="6024"/>
        <v/>
      </c>
      <c r="CC959" s="23">
        <f t="shared" si="6025"/>
        <v>0</v>
      </c>
      <c r="CD959" s="49" t="str">
        <f t="shared" si="5987"/>
        <v/>
      </c>
      <c r="CE959" s="56" t="str">
        <f>IF(CF959="","",MAX(CE$10:$CE958)+1)</f>
        <v/>
      </c>
      <c r="CF959" t="str">
        <f t="shared" si="6026"/>
        <v/>
      </c>
      <c r="CG959" s="22" t="str">
        <f>IF(CH959="","",MAX($CG$10:CG958)+1)</f>
        <v/>
      </c>
      <c r="CH959" s="22" t="str">
        <f t="shared" si="5971"/>
        <v/>
      </c>
      <c r="CI959" s="22" t="str">
        <f>IF(CJ959="","",MAX($CI$10:CI958)+1)</f>
        <v/>
      </c>
      <c r="CJ959" s="22" t="str">
        <f t="shared" si="5972"/>
        <v/>
      </c>
    </row>
    <row r="960" spans="2:88" x14ac:dyDescent="0.25">
      <c r="B960" s="37"/>
      <c r="C960" s="3"/>
      <c r="D960" s="77" t="str">
        <f t="shared" si="5958"/>
        <v/>
      </c>
      <c r="E960" s="38"/>
      <c r="F960" s="38"/>
      <c r="G960" s="78">
        <f t="shared" si="5973"/>
        <v>0</v>
      </c>
      <c r="H960" s="3">
        <v>80</v>
      </c>
      <c r="I960" s="77" t="str">
        <f t="shared" si="5959"/>
        <v/>
      </c>
      <c r="J960" s="32"/>
      <c r="K960" s="3"/>
      <c r="L960" s="39"/>
      <c r="M960" s="39"/>
      <c r="N960" s="39"/>
      <c r="O960" s="39"/>
      <c r="P960" s="39"/>
      <c r="Q960" s="39"/>
      <c r="R960" s="39"/>
      <c r="S960" s="39"/>
      <c r="T960" s="3" t="s">
        <v>645</v>
      </c>
      <c r="U960" s="77" t="str">
        <f t="shared" si="5960"/>
        <v/>
      </c>
      <c r="V960" s="39">
        <v>1</v>
      </c>
      <c r="W960" s="79">
        <f t="shared" si="5974"/>
        <v>0</v>
      </c>
      <c r="X960" s="3">
        <v>0</v>
      </c>
      <c r="Y960" s="77" t="str">
        <f t="shared" si="5961"/>
        <v/>
      </c>
      <c r="Z960" s="3"/>
      <c r="AA960" s="37" t="str">
        <f t="shared" si="5975"/>
        <v/>
      </c>
      <c r="AC960" s="40"/>
      <c r="AD960" s="7"/>
      <c r="AE960" s="77" t="str">
        <f t="shared" si="5962"/>
        <v/>
      </c>
      <c r="AF960" s="81">
        <f t="shared" si="5988"/>
        <v>0</v>
      </c>
      <c r="AG960" s="40"/>
      <c r="AH960" s="7"/>
      <c r="AI960" s="77" t="str">
        <f t="shared" si="5963"/>
        <v/>
      </c>
      <c r="AJ960" s="81">
        <f t="shared" si="5989"/>
        <v>0</v>
      </c>
      <c r="AK960" s="83">
        <f t="shared" si="5990"/>
        <v>0</v>
      </c>
      <c r="AL960" s="83">
        <f t="shared" si="5991"/>
        <v>0</v>
      </c>
      <c r="AN960" s="43">
        <f t="shared" si="5964"/>
        <v>0</v>
      </c>
      <c r="AP960" t="str">
        <f t="shared" si="5992"/>
        <v/>
      </c>
      <c r="AQ960" t="str">
        <f t="shared" si="5993"/>
        <v/>
      </c>
      <c r="AR960" t="str">
        <f t="shared" si="5994"/>
        <v/>
      </c>
      <c r="AS960" t="str">
        <f t="shared" si="5995"/>
        <v/>
      </c>
      <c r="AT960" t="str">
        <f t="shared" si="5996"/>
        <v/>
      </c>
      <c r="AU960" t="str">
        <f t="shared" si="5997"/>
        <v/>
      </c>
      <c r="AV960" t="str">
        <f t="shared" si="5998"/>
        <v/>
      </c>
      <c r="AW960" t="str">
        <f t="shared" si="5999"/>
        <v xml:space="preserve">                              </v>
      </c>
      <c r="AX960" s="23">
        <f t="shared" si="6000"/>
        <v>0</v>
      </c>
      <c r="AY960" s="49" t="str">
        <f t="shared" si="5976"/>
        <v>000000000000000</v>
      </c>
      <c r="AZ960" s="23">
        <f t="shared" si="6001"/>
        <v>0</v>
      </c>
      <c r="BA960" s="49" t="str">
        <f t="shared" si="5976"/>
        <v>000000000000000</v>
      </c>
      <c r="BB960" s="23">
        <f t="shared" si="6002"/>
        <v>0</v>
      </c>
      <c r="BC960" s="49" t="str">
        <f t="shared" ref="BC960" si="6321">IF(BB960&lt;0,SUBSTITUTE(TEXT(BB960,"000000000000,00"),",",""),SUBSTITUTE(TEXT(BB960,"0000000000000,00"),",",""))</f>
        <v>000000000000000</v>
      </c>
      <c r="BD960" s="23">
        <f t="shared" si="6004"/>
        <v>0</v>
      </c>
      <c r="BE960" s="49" t="str">
        <f t="shared" ref="BE960" si="6322">IF(BD960&lt;0,SUBSTITUTE(TEXT(BD960,"000000000000,00"),",",""),SUBSTITUTE(TEXT(BD960,"0000000000000,00"),",",""))</f>
        <v>000000000000000</v>
      </c>
      <c r="BF960" s="23">
        <f t="shared" si="6006"/>
        <v>0</v>
      </c>
      <c r="BG960" s="49" t="str">
        <f t="shared" ref="BG960" si="6323">IF(BF960&lt;0,SUBSTITUTE(TEXT(BF960,"000000000000,00"),",",""),SUBSTITUTE(TEXT(BF960,"0000000000000,00"),",",""))</f>
        <v>000000000000000</v>
      </c>
      <c r="BH960" s="23">
        <f t="shared" si="6008"/>
        <v>0</v>
      </c>
      <c r="BI960" s="49" t="str">
        <f t="shared" ref="BI960" si="6324">IF(BH960&lt;0,SUBSTITUTE(TEXT(BH960,"000000000000,00"),",",""),SUBSTITUTE(TEXT(BH960,"0000000000000,00"),",",""))</f>
        <v>000000000000000</v>
      </c>
      <c r="BJ960" s="23">
        <f t="shared" si="6010"/>
        <v>0</v>
      </c>
      <c r="BK960" s="49" t="str">
        <f t="shared" ref="BK960" si="6325">IF(BJ960&lt;0,SUBSTITUTE(TEXT(BJ960,"000000000000,00"),",",""),SUBSTITUTE(TEXT(BJ960,"0000000000000,00"),",",""))</f>
        <v>000000000000000</v>
      </c>
      <c r="BL960" s="23">
        <f t="shared" si="6012"/>
        <v>0</v>
      </c>
      <c r="BM960" s="49" t="str">
        <f t="shared" ref="BM960" si="6326">IF(BL960&lt;0,SUBSTITUTE(TEXT(BL960,"000000000000,00"),",",""),SUBSTITUTE(TEXT(BL960,"0000000000000,00"),",",""))</f>
        <v>000000000000000</v>
      </c>
      <c r="BN960" t="str">
        <f t="shared" si="6014"/>
        <v>PES</v>
      </c>
      <c r="BO960" t="str">
        <f t="shared" si="6015"/>
        <v>0001000000</v>
      </c>
      <c r="BP960">
        <f t="shared" si="6016"/>
        <v>0</v>
      </c>
      <c r="BQ960">
        <f t="shared" si="6017"/>
        <v>0</v>
      </c>
      <c r="BR960" s="23">
        <f t="shared" si="6018"/>
        <v>0</v>
      </c>
      <c r="BS960" s="49" t="str">
        <f t="shared" si="5983"/>
        <v>000000000000000</v>
      </c>
      <c r="BT960" t="str">
        <f t="shared" si="6019"/>
        <v>00000000</v>
      </c>
      <c r="BU960" s="23">
        <f t="shared" si="6020"/>
        <v>0</v>
      </c>
      <c r="BV960" s="49" t="str">
        <f t="shared" si="5984"/>
        <v/>
      </c>
      <c r="BW960" s="52" t="str">
        <f t="shared" si="6021"/>
        <v/>
      </c>
      <c r="BX960" s="23">
        <f t="shared" si="6022"/>
        <v>0</v>
      </c>
      <c r="BY960" s="49" t="str">
        <f t="shared" si="5985"/>
        <v/>
      </c>
      <c r="BZ960" s="23">
        <f t="shared" si="6023"/>
        <v>0</v>
      </c>
      <c r="CA960" s="49" t="str">
        <f t="shared" si="5986"/>
        <v/>
      </c>
      <c r="CB960" s="52" t="str">
        <f t="shared" si="6024"/>
        <v/>
      </c>
      <c r="CC960" s="23">
        <f t="shared" si="6025"/>
        <v>0</v>
      </c>
      <c r="CD960" s="49" t="str">
        <f t="shared" si="5987"/>
        <v/>
      </c>
      <c r="CE960" s="56" t="str">
        <f>IF(CF960="","",MAX(CE$10:$CE959)+1)</f>
        <v/>
      </c>
      <c r="CF960" t="str">
        <f t="shared" si="6026"/>
        <v/>
      </c>
      <c r="CG960" s="22" t="str">
        <f>IF(CH960="","",MAX($CG$10:CG959)+1)</f>
        <v/>
      </c>
      <c r="CH960" s="22" t="str">
        <f t="shared" si="5971"/>
        <v/>
      </c>
      <c r="CI960" s="22" t="str">
        <f>IF(CJ960="","",MAX($CI$10:CI959)+1)</f>
        <v/>
      </c>
      <c r="CJ960" s="22" t="str">
        <f t="shared" si="5972"/>
        <v/>
      </c>
    </row>
    <row r="961" spans="2:88" x14ac:dyDescent="0.25">
      <c r="B961" s="37"/>
      <c r="C961" s="3"/>
      <c r="D961" s="77" t="str">
        <f t="shared" si="5958"/>
        <v/>
      </c>
      <c r="E961" s="38"/>
      <c r="F961" s="38"/>
      <c r="G961" s="78">
        <f t="shared" si="5973"/>
        <v>0</v>
      </c>
      <c r="H961" s="3">
        <v>80</v>
      </c>
      <c r="I961" s="77" t="str">
        <f t="shared" si="5959"/>
        <v/>
      </c>
      <c r="J961" s="32"/>
      <c r="K961" s="3"/>
      <c r="L961" s="39"/>
      <c r="M961" s="39"/>
      <c r="N961" s="39"/>
      <c r="O961" s="39"/>
      <c r="P961" s="39"/>
      <c r="Q961" s="39"/>
      <c r="R961" s="39"/>
      <c r="S961" s="39"/>
      <c r="T961" s="3" t="s">
        <v>645</v>
      </c>
      <c r="U961" s="77" t="str">
        <f t="shared" si="5960"/>
        <v/>
      </c>
      <c r="V961" s="39">
        <v>1</v>
      </c>
      <c r="W961" s="79">
        <f t="shared" si="5974"/>
        <v>0</v>
      </c>
      <c r="X961" s="3">
        <v>0</v>
      </c>
      <c r="Y961" s="77" t="str">
        <f t="shared" si="5961"/>
        <v/>
      </c>
      <c r="Z961" s="3"/>
      <c r="AA961" s="37" t="str">
        <f t="shared" si="5975"/>
        <v/>
      </c>
      <c r="AC961" s="40"/>
      <c r="AD961" s="7"/>
      <c r="AE961" s="77" t="str">
        <f t="shared" si="5962"/>
        <v/>
      </c>
      <c r="AF961" s="81">
        <f t="shared" si="5988"/>
        <v>0</v>
      </c>
      <c r="AG961" s="40"/>
      <c r="AH961" s="7"/>
      <c r="AI961" s="77" t="str">
        <f t="shared" si="5963"/>
        <v/>
      </c>
      <c r="AJ961" s="81">
        <f t="shared" si="5989"/>
        <v>0</v>
      </c>
      <c r="AK961" s="83">
        <f t="shared" si="5990"/>
        <v>0</v>
      </c>
      <c r="AL961" s="83">
        <f t="shared" si="5991"/>
        <v>0</v>
      </c>
      <c r="AN961" s="43">
        <f t="shared" si="5964"/>
        <v>0</v>
      </c>
      <c r="AP961" t="str">
        <f t="shared" si="5992"/>
        <v/>
      </c>
      <c r="AQ961" t="str">
        <f t="shared" si="5993"/>
        <v/>
      </c>
      <c r="AR961" t="str">
        <f t="shared" si="5994"/>
        <v/>
      </c>
      <c r="AS961" t="str">
        <f t="shared" si="5995"/>
        <v/>
      </c>
      <c r="AT961" t="str">
        <f t="shared" si="5996"/>
        <v/>
      </c>
      <c r="AU961" t="str">
        <f t="shared" si="5997"/>
        <v/>
      </c>
      <c r="AV961" t="str">
        <f t="shared" si="5998"/>
        <v/>
      </c>
      <c r="AW961" t="str">
        <f t="shared" si="5999"/>
        <v xml:space="preserve">                              </v>
      </c>
      <c r="AX961" s="23">
        <f t="shared" si="6000"/>
        <v>0</v>
      </c>
      <c r="AY961" s="49" t="str">
        <f t="shared" si="5976"/>
        <v>000000000000000</v>
      </c>
      <c r="AZ961" s="23">
        <f t="shared" si="6001"/>
        <v>0</v>
      </c>
      <c r="BA961" s="49" t="str">
        <f t="shared" si="5976"/>
        <v>000000000000000</v>
      </c>
      <c r="BB961" s="23">
        <f t="shared" si="6002"/>
        <v>0</v>
      </c>
      <c r="BC961" s="49" t="str">
        <f t="shared" ref="BC961" si="6327">IF(BB961&lt;0,SUBSTITUTE(TEXT(BB961,"000000000000,00"),",",""),SUBSTITUTE(TEXT(BB961,"0000000000000,00"),",",""))</f>
        <v>000000000000000</v>
      </c>
      <c r="BD961" s="23">
        <f t="shared" si="6004"/>
        <v>0</v>
      </c>
      <c r="BE961" s="49" t="str">
        <f t="shared" ref="BE961" si="6328">IF(BD961&lt;0,SUBSTITUTE(TEXT(BD961,"000000000000,00"),",",""),SUBSTITUTE(TEXT(BD961,"0000000000000,00"),",",""))</f>
        <v>000000000000000</v>
      </c>
      <c r="BF961" s="23">
        <f t="shared" si="6006"/>
        <v>0</v>
      </c>
      <c r="BG961" s="49" t="str">
        <f t="shared" ref="BG961" si="6329">IF(BF961&lt;0,SUBSTITUTE(TEXT(BF961,"000000000000,00"),",",""),SUBSTITUTE(TEXT(BF961,"0000000000000,00"),",",""))</f>
        <v>000000000000000</v>
      </c>
      <c r="BH961" s="23">
        <f t="shared" si="6008"/>
        <v>0</v>
      </c>
      <c r="BI961" s="49" t="str">
        <f t="shared" ref="BI961" si="6330">IF(BH961&lt;0,SUBSTITUTE(TEXT(BH961,"000000000000,00"),",",""),SUBSTITUTE(TEXT(BH961,"0000000000000,00"),",",""))</f>
        <v>000000000000000</v>
      </c>
      <c r="BJ961" s="23">
        <f t="shared" si="6010"/>
        <v>0</v>
      </c>
      <c r="BK961" s="49" t="str">
        <f t="shared" ref="BK961" si="6331">IF(BJ961&lt;0,SUBSTITUTE(TEXT(BJ961,"000000000000,00"),",",""),SUBSTITUTE(TEXT(BJ961,"0000000000000,00"),",",""))</f>
        <v>000000000000000</v>
      </c>
      <c r="BL961" s="23">
        <f t="shared" si="6012"/>
        <v>0</v>
      </c>
      <c r="BM961" s="49" t="str">
        <f t="shared" ref="BM961" si="6332">IF(BL961&lt;0,SUBSTITUTE(TEXT(BL961,"000000000000,00"),",",""),SUBSTITUTE(TEXT(BL961,"0000000000000,00"),",",""))</f>
        <v>000000000000000</v>
      </c>
      <c r="BN961" t="str">
        <f t="shared" si="6014"/>
        <v>PES</v>
      </c>
      <c r="BO961" t="str">
        <f t="shared" si="6015"/>
        <v>0001000000</v>
      </c>
      <c r="BP961">
        <f t="shared" si="6016"/>
        <v>0</v>
      </c>
      <c r="BQ961">
        <f t="shared" si="6017"/>
        <v>0</v>
      </c>
      <c r="BR961" s="23">
        <f t="shared" si="6018"/>
        <v>0</v>
      </c>
      <c r="BS961" s="49" t="str">
        <f t="shared" si="5983"/>
        <v>000000000000000</v>
      </c>
      <c r="BT961" t="str">
        <f t="shared" si="6019"/>
        <v>00000000</v>
      </c>
      <c r="BU961" s="23">
        <f t="shared" si="6020"/>
        <v>0</v>
      </c>
      <c r="BV961" s="49" t="str">
        <f t="shared" si="5984"/>
        <v/>
      </c>
      <c r="BW961" s="52" t="str">
        <f t="shared" si="6021"/>
        <v/>
      </c>
      <c r="BX961" s="23">
        <f t="shared" si="6022"/>
        <v>0</v>
      </c>
      <c r="BY961" s="49" t="str">
        <f t="shared" si="5985"/>
        <v/>
      </c>
      <c r="BZ961" s="23">
        <f t="shared" si="6023"/>
        <v>0</v>
      </c>
      <c r="CA961" s="49" t="str">
        <f t="shared" si="5986"/>
        <v/>
      </c>
      <c r="CB961" s="52" t="str">
        <f t="shared" si="6024"/>
        <v/>
      </c>
      <c r="CC961" s="23">
        <f t="shared" si="6025"/>
        <v>0</v>
      </c>
      <c r="CD961" s="49" t="str">
        <f t="shared" si="5987"/>
        <v/>
      </c>
      <c r="CE961" s="56" t="str">
        <f>IF(CF961="","",MAX(CE$10:$CE960)+1)</f>
        <v/>
      </c>
      <c r="CF961" t="str">
        <f t="shared" si="6026"/>
        <v/>
      </c>
      <c r="CG961" s="22" t="str">
        <f>IF(CH961="","",MAX($CG$10:CG960)+1)</f>
        <v/>
      </c>
      <c r="CH961" s="22" t="str">
        <f t="shared" si="5971"/>
        <v/>
      </c>
      <c r="CI961" s="22" t="str">
        <f>IF(CJ961="","",MAX($CI$10:CI960)+1)</f>
        <v/>
      </c>
      <c r="CJ961" s="22" t="str">
        <f t="shared" si="5972"/>
        <v/>
      </c>
    </row>
    <row r="962" spans="2:88" x14ac:dyDescent="0.25">
      <c r="B962" s="37"/>
      <c r="C962" s="3"/>
      <c r="D962" s="77" t="str">
        <f t="shared" si="5958"/>
        <v/>
      </c>
      <c r="E962" s="38"/>
      <c r="F962" s="38"/>
      <c r="G962" s="78">
        <f t="shared" si="5973"/>
        <v>0</v>
      </c>
      <c r="H962" s="3">
        <v>80</v>
      </c>
      <c r="I962" s="77" t="str">
        <f t="shared" si="5959"/>
        <v/>
      </c>
      <c r="J962" s="32"/>
      <c r="K962" s="3"/>
      <c r="L962" s="39"/>
      <c r="M962" s="39"/>
      <c r="N962" s="39"/>
      <c r="O962" s="39"/>
      <c r="P962" s="39"/>
      <c r="Q962" s="39"/>
      <c r="R962" s="39"/>
      <c r="S962" s="39"/>
      <c r="T962" s="3" t="s">
        <v>645</v>
      </c>
      <c r="U962" s="77" t="str">
        <f t="shared" si="5960"/>
        <v/>
      </c>
      <c r="V962" s="39">
        <v>1</v>
      </c>
      <c r="W962" s="79">
        <f t="shared" si="5974"/>
        <v>0</v>
      </c>
      <c r="X962" s="3">
        <v>0</v>
      </c>
      <c r="Y962" s="77" t="str">
        <f t="shared" si="5961"/>
        <v/>
      </c>
      <c r="Z962" s="3"/>
      <c r="AA962" s="37" t="str">
        <f t="shared" si="5975"/>
        <v/>
      </c>
      <c r="AC962" s="40"/>
      <c r="AD962" s="7"/>
      <c r="AE962" s="77" t="str">
        <f t="shared" si="5962"/>
        <v/>
      </c>
      <c r="AF962" s="81">
        <f t="shared" si="5988"/>
        <v>0</v>
      </c>
      <c r="AG962" s="40"/>
      <c r="AH962" s="7"/>
      <c r="AI962" s="77" t="str">
        <f t="shared" si="5963"/>
        <v/>
      </c>
      <c r="AJ962" s="81">
        <f t="shared" si="5989"/>
        <v>0</v>
      </c>
      <c r="AK962" s="83">
        <f t="shared" si="5990"/>
        <v>0</v>
      </c>
      <c r="AL962" s="83">
        <f t="shared" si="5991"/>
        <v>0</v>
      </c>
      <c r="AN962" s="43">
        <f t="shared" si="5964"/>
        <v>0</v>
      </c>
      <c r="AP962" t="str">
        <f t="shared" si="5992"/>
        <v/>
      </c>
      <c r="AQ962" t="str">
        <f t="shared" si="5993"/>
        <v/>
      </c>
      <c r="AR962" t="str">
        <f t="shared" si="5994"/>
        <v/>
      </c>
      <c r="AS962" t="str">
        <f t="shared" si="5995"/>
        <v/>
      </c>
      <c r="AT962" t="str">
        <f t="shared" si="5996"/>
        <v/>
      </c>
      <c r="AU962" t="str">
        <f t="shared" si="5997"/>
        <v/>
      </c>
      <c r="AV962" t="str">
        <f t="shared" si="5998"/>
        <v/>
      </c>
      <c r="AW962" t="str">
        <f t="shared" si="5999"/>
        <v xml:space="preserve">                              </v>
      </c>
      <c r="AX962" s="23">
        <f t="shared" si="6000"/>
        <v>0</v>
      </c>
      <c r="AY962" s="49" t="str">
        <f t="shared" si="5976"/>
        <v>000000000000000</v>
      </c>
      <c r="AZ962" s="23">
        <f t="shared" si="6001"/>
        <v>0</v>
      </c>
      <c r="BA962" s="49" t="str">
        <f t="shared" si="5976"/>
        <v>000000000000000</v>
      </c>
      <c r="BB962" s="23">
        <f t="shared" si="6002"/>
        <v>0</v>
      </c>
      <c r="BC962" s="49" t="str">
        <f t="shared" ref="BC962" si="6333">IF(BB962&lt;0,SUBSTITUTE(TEXT(BB962,"000000000000,00"),",",""),SUBSTITUTE(TEXT(BB962,"0000000000000,00"),",",""))</f>
        <v>000000000000000</v>
      </c>
      <c r="BD962" s="23">
        <f t="shared" si="6004"/>
        <v>0</v>
      </c>
      <c r="BE962" s="49" t="str">
        <f t="shared" ref="BE962" si="6334">IF(BD962&lt;0,SUBSTITUTE(TEXT(BD962,"000000000000,00"),",",""),SUBSTITUTE(TEXT(BD962,"0000000000000,00"),",",""))</f>
        <v>000000000000000</v>
      </c>
      <c r="BF962" s="23">
        <f t="shared" si="6006"/>
        <v>0</v>
      </c>
      <c r="BG962" s="49" t="str">
        <f t="shared" ref="BG962" si="6335">IF(BF962&lt;0,SUBSTITUTE(TEXT(BF962,"000000000000,00"),",",""),SUBSTITUTE(TEXT(BF962,"0000000000000,00"),",",""))</f>
        <v>000000000000000</v>
      </c>
      <c r="BH962" s="23">
        <f t="shared" si="6008"/>
        <v>0</v>
      </c>
      <c r="BI962" s="49" t="str">
        <f t="shared" ref="BI962" si="6336">IF(BH962&lt;0,SUBSTITUTE(TEXT(BH962,"000000000000,00"),",",""),SUBSTITUTE(TEXT(BH962,"0000000000000,00"),",",""))</f>
        <v>000000000000000</v>
      </c>
      <c r="BJ962" s="23">
        <f t="shared" si="6010"/>
        <v>0</v>
      </c>
      <c r="BK962" s="49" t="str">
        <f t="shared" ref="BK962" si="6337">IF(BJ962&lt;0,SUBSTITUTE(TEXT(BJ962,"000000000000,00"),",",""),SUBSTITUTE(TEXT(BJ962,"0000000000000,00"),",",""))</f>
        <v>000000000000000</v>
      </c>
      <c r="BL962" s="23">
        <f t="shared" si="6012"/>
        <v>0</v>
      </c>
      <c r="BM962" s="49" t="str">
        <f t="shared" ref="BM962" si="6338">IF(BL962&lt;0,SUBSTITUTE(TEXT(BL962,"000000000000,00"),",",""),SUBSTITUTE(TEXT(BL962,"0000000000000,00"),",",""))</f>
        <v>000000000000000</v>
      </c>
      <c r="BN962" t="str">
        <f t="shared" si="6014"/>
        <v>PES</v>
      </c>
      <c r="BO962" t="str">
        <f t="shared" si="6015"/>
        <v>0001000000</v>
      </c>
      <c r="BP962">
        <f t="shared" si="6016"/>
        <v>0</v>
      </c>
      <c r="BQ962">
        <f t="shared" si="6017"/>
        <v>0</v>
      </c>
      <c r="BR962" s="23">
        <f t="shared" si="6018"/>
        <v>0</v>
      </c>
      <c r="BS962" s="49" t="str">
        <f t="shared" si="5983"/>
        <v>000000000000000</v>
      </c>
      <c r="BT962" t="str">
        <f t="shared" si="6019"/>
        <v>00000000</v>
      </c>
      <c r="BU962" s="23">
        <f t="shared" si="6020"/>
        <v>0</v>
      </c>
      <c r="BV962" s="49" t="str">
        <f t="shared" si="5984"/>
        <v/>
      </c>
      <c r="BW962" s="52" t="str">
        <f t="shared" si="6021"/>
        <v/>
      </c>
      <c r="BX962" s="23">
        <f t="shared" si="6022"/>
        <v>0</v>
      </c>
      <c r="BY962" s="49" t="str">
        <f t="shared" si="5985"/>
        <v/>
      </c>
      <c r="BZ962" s="23">
        <f t="shared" si="6023"/>
        <v>0</v>
      </c>
      <c r="CA962" s="49" t="str">
        <f t="shared" si="5986"/>
        <v/>
      </c>
      <c r="CB962" s="52" t="str">
        <f t="shared" si="6024"/>
        <v/>
      </c>
      <c r="CC962" s="23">
        <f t="shared" si="6025"/>
        <v>0</v>
      </c>
      <c r="CD962" s="49" t="str">
        <f t="shared" si="5987"/>
        <v/>
      </c>
      <c r="CE962" s="56" t="str">
        <f>IF(CF962="","",MAX(CE$10:$CE961)+1)</f>
        <v/>
      </c>
      <c r="CF962" t="str">
        <f t="shared" si="6026"/>
        <v/>
      </c>
      <c r="CG962" s="22" t="str">
        <f>IF(CH962="","",MAX($CG$10:CG961)+1)</f>
        <v/>
      </c>
      <c r="CH962" s="22" t="str">
        <f t="shared" si="5971"/>
        <v/>
      </c>
      <c r="CI962" s="22" t="str">
        <f>IF(CJ962="","",MAX($CI$10:CI961)+1)</f>
        <v/>
      </c>
      <c r="CJ962" s="22" t="str">
        <f t="shared" si="5972"/>
        <v/>
      </c>
    </row>
    <row r="963" spans="2:88" x14ac:dyDescent="0.25">
      <c r="B963" s="37"/>
      <c r="C963" s="3"/>
      <c r="D963" s="77" t="str">
        <f t="shared" si="5958"/>
        <v/>
      </c>
      <c r="E963" s="38"/>
      <c r="F963" s="38"/>
      <c r="G963" s="78">
        <f t="shared" si="5973"/>
        <v>0</v>
      </c>
      <c r="H963" s="3">
        <v>80</v>
      </c>
      <c r="I963" s="77" t="str">
        <f t="shared" si="5959"/>
        <v/>
      </c>
      <c r="J963" s="32"/>
      <c r="K963" s="3"/>
      <c r="L963" s="39"/>
      <c r="M963" s="39"/>
      <c r="N963" s="39"/>
      <c r="O963" s="39"/>
      <c r="P963" s="39"/>
      <c r="Q963" s="39"/>
      <c r="R963" s="39"/>
      <c r="S963" s="39"/>
      <c r="T963" s="3" t="s">
        <v>645</v>
      </c>
      <c r="U963" s="77" t="str">
        <f t="shared" si="5960"/>
        <v/>
      </c>
      <c r="V963" s="39">
        <v>1</v>
      </c>
      <c r="W963" s="79">
        <f t="shared" si="5974"/>
        <v>0</v>
      </c>
      <c r="X963" s="3">
        <v>0</v>
      </c>
      <c r="Y963" s="77" t="str">
        <f t="shared" si="5961"/>
        <v/>
      </c>
      <c r="Z963" s="3"/>
      <c r="AA963" s="37" t="str">
        <f t="shared" si="5975"/>
        <v/>
      </c>
      <c r="AC963" s="40"/>
      <c r="AD963" s="7"/>
      <c r="AE963" s="77" t="str">
        <f t="shared" si="5962"/>
        <v/>
      </c>
      <c r="AF963" s="81">
        <f t="shared" si="5988"/>
        <v>0</v>
      </c>
      <c r="AG963" s="40"/>
      <c r="AH963" s="7"/>
      <c r="AI963" s="77" t="str">
        <f t="shared" si="5963"/>
        <v/>
      </c>
      <c r="AJ963" s="81">
        <f t="shared" si="5989"/>
        <v>0</v>
      </c>
      <c r="AK963" s="83">
        <f t="shared" si="5990"/>
        <v>0</v>
      </c>
      <c r="AL963" s="83">
        <f t="shared" si="5991"/>
        <v>0</v>
      </c>
      <c r="AN963" s="43">
        <f t="shared" si="5964"/>
        <v>0</v>
      </c>
      <c r="AP963" t="str">
        <f t="shared" si="5992"/>
        <v/>
      </c>
      <c r="AQ963" t="str">
        <f t="shared" si="5993"/>
        <v/>
      </c>
      <c r="AR963" t="str">
        <f t="shared" si="5994"/>
        <v/>
      </c>
      <c r="AS963" t="str">
        <f t="shared" si="5995"/>
        <v/>
      </c>
      <c r="AT963" t="str">
        <f t="shared" si="5996"/>
        <v/>
      </c>
      <c r="AU963" t="str">
        <f t="shared" si="5997"/>
        <v/>
      </c>
      <c r="AV963" t="str">
        <f t="shared" si="5998"/>
        <v/>
      </c>
      <c r="AW963" t="str">
        <f t="shared" si="5999"/>
        <v xml:space="preserve">                              </v>
      </c>
      <c r="AX963" s="23">
        <f t="shared" si="6000"/>
        <v>0</v>
      </c>
      <c r="AY963" s="49" t="str">
        <f t="shared" si="5976"/>
        <v>000000000000000</v>
      </c>
      <c r="AZ963" s="23">
        <f t="shared" si="6001"/>
        <v>0</v>
      </c>
      <c r="BA963" s="49" t="str">
        <f t="shared" si="5976"/>
        <v>000000000000000</v>
      </c>
      <c r="BB963" s="23">
        <f t="shared" si="6002"/>
        <v>0</v>
      </c>
      <c r="BC963" s="49" t="str">
        <f t="shared" ref="BC963" si="6339">IF(BB963&lt;0,SUBSTITUTE(TEXT(BB963,"000000000000,00"),",",""),SUBSTITUTE(TEXT(BB963,"0000000000000,00"),",",""))</f>
        <v>000000000000000</v>
      </c>
      <c r="BD963" s="23">
        <f t="shared" si="6004"/>
        <v>0</v>
      </c>
      <c r="BE963" s="49" t="str">
        <f t="shared" ref="BE963" si="6340">IF(BD963&lt;0,SUBSTITUTE(TEXT(BD963,"000000000000,00"),",",""),SUBSTITUTE(TEXT(BD963,"0000000000000,00"),",",""))</f>
        <v>000000000000000</v>
      </c>
      <c r="BF963" s="23">
        <f t="shared" si="6006"/>
        <v>0</v>
      </c>
      <c r="BG963" s="49" t="str">
        <f t="shared" ref="BG963" si="6341">IF(BF963&lt;0,SUBSTITUTE(TEXT(BF963,"000000000000,00"),",",""),SUBSTITUTE(TEXT(BF963,"0000000000000,00"),",",""))</f>
        <v>000000000000000</v>
      </c>
      <c r="BH963" s="23">
        <f t="shared" si="6008"/>
        <v>0</v>
      </c>
      <c r="BI963" s="49" t="str">
        <f t="shared" ref="BI963" si="6342">IF(BH963&lt;0,SUBSTITUTE(TEXT(BH963,"000000000000,00"),",",""),SUBSTITUTE(TEXT(BH963,"0000000000000,00"),",",""))</f>
        <v>000000000000000</v>
      </c>
      <c r="BJ963" s="23">
        <f t="shared" si="6010"/>
        <v>0</v>
      </c>
      <c r="BK963" s="49" t="str">
        <f t="shared" ref="BK963" si="6343">IF(BJ963&lt;0,SUBSTITUTE(TEXT(BJ963,"000000000000,00"),",",""),SUBSTITUTE(TEXT(BJ963,"0000000000000,00"),",",""))</f>
        <v>000000000000000</v>
      </c>
      <c r="BL963" s="23">
        <f t="shared" si="6012"/>
        <v>0</v>
      </c>
      <c r="BM963" s="49" t="str">
        <f t="shared" ref="BM963" si="6344">IF(BL963&lt;0,SUBSTITUTE(TEXT(BL963,"000000000000,00"),",",""),SUBSTITUTE(TEXT(BL963,"0000000000000,00"),",",""))</f>
        <v>000000000000000</v>
      </c>
      <c r="BN963" t="str">
        <f t="shared" si="6014"/>
        <v>PES</v>
      </c>
      <c r="BO963" t="str">
        <f t="shared" si="6015"/>
        <v>0001000000</v>
      </c>
      <c r="BP963">
        <f t="shared" si="6016"/>
        <v>0</v>
      </c>
      <c r="BQ963">
        <f t="shared" si="6017"/>
        <v>0</v>
      </c>
      <c r="BR963" s="23">
        <f t="shared" si="6018"/>
        <v>0</v>
      </c>
      <c r="BS963" s="49" t="str">
        <f t="shared" si="5983"/>
        <v>000000000000000</v>
      </c>
      <c r="BT963" t="str">
        <f t="shared" si="6019"/>
        <v>00000000</v>
      </c>
      <c r="BU963" s="23">
        <f t="shared" si="6020"/>
        <v>0</v>
      </c>
      <c r="BV963" s="49" t="str">
        <f t="shared" si="5984"/>
        <v/>
      </c>
      <c r="BW963" s="52" t="str">
        <f t="shared" si="6021"/>
        <v/>
      </c>
      <c r="BX963" s="23">
        <f t="shared" si="6022"/>
        <v>0</v>
      </c>
      <c r="BY963" s="49" t="str">
        <f t="shared" si="5985"/>
        <v/>
      </c>
      <c r="BZ963" s="23">
        <f t="shared" si="6023"/>
        <v>0</v>
      </c>
      <c r="CA963" s="49" t="str">
        <f t="shared" si="5986"/>
        <v/>
      </c>
      <c r="CB963" s="52" t="str">
        <f t="shared" si="6024"/>
        <v/>
      </c>
      <c r="CC963" s="23">
        <f t="shared" si="6025"/>
        <v>0</v>
      </c>
      <c r="CD963" s="49" t="str">
        <f t="shared" si="5987"/>
        <v/>
      </c>
      <c r="CE963" s="56" t="str">
        <f>IF(CF963="","",MAX(CE$10:$CE962)+1)</f>
        <v/>
      </c>
      <c r="CF963" t="str">
        <f t="shared" si="6026"/>
        <v/>
      </c>
      <c r="CG963" s="22" t="str">
        <f>IF(CH963="","",MAX($CG$10:CG962)+1)</f>
        <v/>
      </c>
      <c r="CH963" s="22" t="str">
        <f t="shared" si="5971"/>
        <v/>
      </c>
      <c r="CI963" s="22" t="str">
        <f>IF(CJ963="","",MAX($CI$10:CI962)+1)</f>
        <v/>
      </c>
      <c r="CJ963" s="22" t="str">
        <f t="shared" si="5972"/>
        <v/>
      </c>
    </row>
    <row r="964" spans="2:88" x14ac:dyDescent="0.25">
      <c r="B964" s="37"/>
      <c r="C964" s="3"/>
      <c r="D964" s="77" t="str">
        <f t="shared" si="5958"/>
        <v/>
      </c>
      <c r="E964" s="38"/>
      <c r="F964" s="38"/>
      <c r="G964" s="78">
        <f t="shared" si="5973"/>
        <v>0</v>
      </c>
      <c r="H964" s="3">
        <v>80</v>
      </c>
      <c r="I964" s="77" t="str">
        <f t="shared" si="5959"/>
        <v/>
      </c>
      <c r="J964" s="32"/>
      <c r="K964" s="3"/>
      <c r="L964" s="39"/>
      <c r="M964" s="39"/>
      <c r="N964" s="39"/>
      <c r="O964" s="39"/>
      <c r="P964" s="39"/>
      <c r="Q964" s="39"/>
      <c r="R964" s="39"/>
      <c r="S964" s="39"/>
      <c r="T964" s="3" t="s">
        <v>645</v>
      </c>
      <c r="U964" s="77" t="str">
        <f t="shared" si="5960"/>
        <v/>
      </c>
      <c r="V964" s="39">
        <v>1</v>
      </c>
      <c r="W964" s="79">
        <f t="shared" si="5974"/>
        <v>0</v>
      </c>
      <c r="X964" s="3">
        <v>0</v>
      </c>
      <c r="Y964" s="77" t="str">
        <f t="shared" si="5961"/>
        <v/>
      </c>
      <c r="Z964" s="3"/>
      <c r="AA964" s="37" t="str">
        <f t="shared" si="5975"/>
        <v/>
      </c>
      <c r="AC964" s="40"/>
      <c r="AD964" s="7"/>
      <c r="AE964" s="77" t="str">
        <f t="shared" si="5962"/>
        <v/>
      </c>
      <c r="AF964" s="81">
        <f t="shared" si="5988"/>
        <v>0</v>
      </c>
      <c r="AG964" s="40"/>
      <c r="AH964" s="7"/>
      <c r="AI964" s="77" t="str">
        <f t="shared" si="5963"/>
        <v/>
      </c>
      <c r="AJ964" s="81">
        <f t="shared" si="5989"/>
        <v>0</v>
      </c>
      <c r="AK964" s="83">
        <f t="shared" si="5990"/>
        <v>0</v>
      </c>
      <c r="AL964" s="83">
        <f t="shared" si="5991"/>
        <v>0</v>
      </c>
      <c r="AN964" s="43">
        <f t="shared" si="5964"/>
        <v>0</v>
      </c>
      <c r="AP964" t="str">
        <f t="shared" si="5992"/>
        <v/>
      </c>
      <c r="AQ964" t="str">
        <f t="shared" si="5993"/>
        <v/>
      </c>
      <c r="AR964" t="str">
        <f t="shared" si="5994"/>
        <v/>
      </c>
      <c r="AS964" t="str">
        <f t="shared" si="5995"/>
        <v/>
      </c>
      <c r="AT964" t="str">
        <f t="shared" si="5996"/>
        <v/>
      </c>
      <c r="AU964" t="str">
        <f t="shared" si="5997"/>
        <v/>
      </c>
      <c r="AV964" t="str">
        <f t="shared" si="5998"/>
        <v/>
      </c>
      <c r="AW964" t="str">
        <f t="shared" si="5999"/>
        <v xml:space="preserve">                              </v>
      </c>
      <c r="AX964" s="23">
        <f t="shared" si="6000"/>
        <v>0</v>
      </c>
      <c r="AY964" s="49" t="str">
        <f t="shared" si="5976"/>
        <v>000000000000000</v>
      </c>
      <c r="AZ964" s="23">
        <f t="shared" si="6001"/>
        <v>0</v>
      </c>
      <c r="BA964" s="49" t="str">
        <f t="shared" si="5976"/>
        <v>000000000000000</v>
      </c>
      <c r="BB964" s="23">
        <f t="shared" si="6002"/>
        <v>0</v>
      </c>
      <c r="BC964" s="49" t="str">
        <f t="shared" ref="BC964" si="6345">IF(BB964&lt;0,SUBSTITUTE(TEXT(BB964,"000000000000,00"),",",""),SUBSTITUTE(TEXT(BB964,"0000000000000,00"),",",""))</f>
        <v>000000000000000</v>
      </c>
      <c r="BD964" s="23">
        <f t="shared" si="6004"/>
        <v>0</v>
      </c>
      <c r="BE964" s="49" t="str">
        <f t="shared" ref="BE964" si="6346">IF(BD964&lt;0,SUBSTITUTE(TEXT(BD964,"000000000000,00"),",",""),SUBSTITUTE(TEXT(BD964,"0000000000000,00"),",",""))</f>
        <v>000000000000000</v>
      </c>
      <c r="BF964" s="23">
        <f t="shared" si="6006"/>
        <v>0</v>
      </c>
      <c r="BG964" s="49" t="str">
        <f t="shared" ref="BG964" si="6347">IF(BF964&lt;0,SUBSTITUTE(TEXT(BF964,"000000000000,00"),",",""),SUBSTITUTE(TEXT(BF964,"0000000000000,00"),",",""))</f>
        <v>000000000000000</v>
      </c>
      <c r="BH964" s="23">
        <f t="shared" si="6008"/>
        <v>0</v>
      </c>
      <c r="BI964" s="49" t="str">
        <f t="shared" ref="BI964" si="6348">IF(BH964&lt;0,SUBSTITUTE(TEXT(BH964,"000000000000,00"),",",""),SUBSTITUTE(TEXT(BH964,"0000000000000,00"),",",""))</f>
        <v>000000000000000</v>
      </c>
      <c r="BJ964" s="23">
        <f t="shared" si="6010"/>
        <v>0</v>
      </c>
      <c r="BK964" s="49" t="str">
        <f t="shared" ref="BK964" si="6349">IF(BJ964&lt;0,SUBSTITUTE(TEXT(BJ964,"000000000000,00"),",",""),SUBSTITUTE(TEXT(BJ964,"0000000000000,00"),",",""))</f>
        <v>000000000000000</v>
      </c>
      <c r="BL964" s="23">
        <f t="shared" si="6012"/>
        <v>0</v>
      </c>
      <c r="BM964" s="49" t="str">
        <f t="shared" ref="BM964" si="6350">IF(BL964&lt;0,SUBSTITUTE(TEXT(BL964,"000000000000,00"),",",""),SUBSTITUTE(TEXT(BL964,"0000000000000,00"),",",""))</f>
        <v>000000000000000</v>
      </c>
      <c r="BN964" t="str">
        <f t="shared" si="6014"/>
        <v>PES</v>
      </c>
      <c r="BO964" t="str">
        <f t="shared" si="6015"/>
        <v>0001000000</v>
      </c>
      <c r="BP964">
        <f t="shared" si="6016"/>
        <v>0</v>
      </c>
      <c r="BQ964">
        <f t="shared" si="6017"/>
        <v>0</v>
      </c>
      <c r="BR964" s="23">
        <f t="shared" si="6018"/>
        <v>0</v>
      </c>
      <c r="BS964" s="49" t="str">
        <f t="shared" si="5983"/>
        <v>000000000000000</v>
      </c>
      <c r="BT964" t="str">
        <f t="shared" si="6019"/>
        <v>00000000</v>
      </c>
      <c r="BU964" s="23">
        <f t="shared" si="6020"/>
        <v>0</v>
      </c>
      <c r="BV964" s="49" t="str">
        <f t="shared" si="5984"/>
        <v/>
      </c>
      <c r="BW964" s="52" t="str">
        <f t="shared" si="6021"/>
        <v/>
      </c>
      <c r="BX964" s="23">
        <f t="shared" si="6022"/>
        <v>0</v>
      </c>
      <c r="BY964" s="49" t="str">
        <f t="shared" si="5985"/>
        <v/>
      </c>
      <c r="BZ964" s="23">
        <f t="shared" si="6023"/>
        <v>0</v>
      </c>
      <c r="CA964" s="49" t="str">
        <f t="shared" si="5986"/>
        <v/>
      </c>
      <c r="CB964" s="52" t="str">
        <f t="shared" si="6024"/>
        <v/>
      </c>
      <c r="CC964" s="23">
        <f t="shared" si="6025"/>
        <v>0</v>
      </c>
      <c r="CD964" s="49" t="str">
        <f t="shared" si="5987"/>
        <v/>
      </c>
      <c r="CE964" s="56" t="str">
        <f>IF(CF964="","",MAX(CE$10:$CE963)+1)</f>
        <v/>
      </c>
      <c r="CF964" t="str">
        <f t="shared" si="6026"/>
        <v/>
      </c>
      <c r="CG964" s="22" t="str">
        <f>IF(CH964="","",MAX($CG$10:CG963)+1)</f>
        <v/>
      </c>
      <c r="CH964" s="22" t="str">
        <f t="shared" si="5971"/>
        <v/>
      </c>
      <c r="CI964" s="22" t="str">
        <f>IF(CJ964="","",MAX($CI$10:CI963)+1)</f>
        <v/>
      </c>
      <c r="CJ964" s="22" t="str">
        <f t="shared" si="5972"/>
        <v/>
      </c>
    </row>
    <row r="965" spans="2:88" x14ac:dyDescent="0.25">
      <c r="B965" s="37"/>
      <c r="C965" s="3"/>
      <c r="D965" s="77" t="str">
        <f t="shared" si="5958"/>
        <v/>
      </c>
      <c r="E965" s="38"/>
      <c r="F965" s="38"/>
      <c r="G965" s="78">
        <f t="shared" si="5973"/>
        <v>0</v>
      </c>
      <c r="H965" s="3">
        <v>80</v>
      </c>
      <c r="I965" s="77" t="str">
        <f t="shared" si="5959"/>
        <v/>
      </c>
      <c r="J965" s="32"/>
      <c r="K965" s="3"/>
      <c r="L965" s="39"/>
      <c r="M965" s="39"/>
      <c r="N965" s="39"/>
      <c r="O965" s="39"/>
      <c r="P965" s="39"/>
      <c r="Q965" s="39"/>
      <c r="R965" s="39"/>
      <c r="S965" s="39"/>
      <c r="T965" s="3" t="s">
        <v>645</v>
      </c>
      <c r="U965" s="77" t="str">
        <f t="shared" si="5960"/>
        <v/>
      </c>
      <c r="V965" s="39">
        <v>1</v>
      </c>
      <c r="W965" s="79">
        <f t="shared" si="5974"/>
        <v>0</v>
      </c>
      <c r="X965" s="3">
        <v>0</v>
      </c>
      <c r="Y965" s="77" t="str">
        <f t="shared" si="5961"/>
        <v/>
      </c>
      <c r="Z965" s="3"/>
      <c r="AA965" s="37" t="str">
        <f t="shared" si="5975"/>
        <v/>
      </c>
      <c r="AC965" s="40"/>
      <c r="AD965" s="7"/>
      <c r="AE965" s="77" t="str">
        <f t="shared" si="5962"/>
        <v/>
      </c>
      <c r="AF965" s="81">
        <f t="shared" si="5988"/>
        <v>0</v>
      </c>
      <c r="AG965" s="40"/>
      <c r="AH965" s="7"/>
      <c r="AI965" s="77" t="str">
        <f t="shared" si="5963"/>
        <v/>
      </c>
      <c r="AJ965" s="81">
        <f t="shared" si="5989"/>
        <v>0</v>
      </c>
      <c r="AK965" s="83">
        <f t="shared" si="5990"/>
        <v>0</v>
      </c>
      <c r="AL965" s="83">
        <f t="shared" si="5991"/>
        <v>0</v>
      </c>
      <c r="AN965" s="43">
        <f t="shared" si="5964"/>
        <v>0</v>
      </c>
      <c r="AP965" t="str">
        <f t="shared" si="5992"/>
        <v/>
      </c>
      <c r="AQ965" t="str">
        <f t="shared" si="5993"/>
        <v/>
      </c>
      <c r="AR965" t="str">
        <f t="shared" si="5994"/>
        <v/>
      </c>
      <c r="AS965" t="str">
        <f t="shared" si="5995"/>
        <v/>
      </c>
      <c r="AT965" t="str">
        <f t="shared" si="5996"/>
        <v/>
      </c>
      <c r="AU965" t="str">
        <f t="shared" si="5997"/>
        <v/>
      </c>
      <c r="AV965" t="str">
        <f t="shared" si="5998"/>
        <v/>
      </c>
      <c r="AW965" t="str">
        <f t="shared" si="5999"/>
        <v xml:space="preserve">                              </v>
      </c>
      <c r="AX965" s="23">
        <f t="shared" si="6000"/>
        <v>0</v>
      </c>
      <c r="AY965" s="49" t="str">
        <f t="shared" si="5976"/>
        <v>000000000000000</v>
      </c>
      <c r="AZ965" s="23">
        <f t="shared" si="6001"/>
        <v>0</v>
      </c>
      <c r="BA965" s="49" t="str">
        <f t="shared" si="5976"/>
        <v>000000000000000</v>
      </c>
      <c r="BB965" s="23">
        <f t="shared" si="6002"/>
        <v>0</v>
      </c>
      <c r="BC965" s="49" t="str">
        <f t="shared" ref="BC965" si="6351">IF(BB965&lt;0,SUBSTITUTE(TEXT(BB965,"000000000000,00"),",",""),SUBSTITUTE(TEXT(BB965,"0000000000000,00"),",",""))</f>
        <v>000000000000000</v>
      </c>
      <c r="BD965" s="23">
        <f t="shared" si="6004"/>
        <v>0</v>
      </c>
      <c r="BE965" s="49" t="str">
        <f t="shared" ref="BE965" si="6352">IF(BD965&lt;0,SUBSTITUTE(TEXT(BD965,"000000000000,00"),",",""),SUBSTITUTE(TEXT(BD965,"0000000000000,00"),",",""))</f>
        <v>000000000000000</v>
      </c>
      <c r="BF965" s="23">
        <f t="shared" si="6006"/>
        <v>0</v>
      </c>
      <c r="BG965" s="49" t="str">
        <f t="shared" ref="BG965" si="6353">IF(BF965&lt;0,SUBSTITUTE(TEXT(BF965,"000000000000,00"),",",""),SUBSTITUTE(TEXT(BF965,"0000000000000,00"),",",""))</f>
        <v>000000000000000</v>
      </c>
      <c r="BH965" s="23">
        <f t="shared" si="6008"/>
        <v>0</v>
      </c>
      <c r="BI965" s="49" t="str">
        <f t="shared" ref="BI965" si="6354">IF(BH965&lt;0,SUBSTITUTE(TEXT(BH965,"000000000000,00"),",",""),SUBSTITUTE(TEXT(BH965,"0000000000000,00"),",",""))</f>
        <v>000000000000000</v>
      </c>
      <c r="BJ965" s="23">
        <f t="shared" si="6010"/>
        <v>0</v>
      </c>
      <c r="BK965" s="49" t="str">
        <f t="shared" ref="BK965" si="6355">IF(BJ965&lt;0,SUBSTITUTE(TEXT(BJ965,"000000000000,00"),",",""),SUBSTITUTE(TEXT(BJ965,"0000000000000,00"),",",""))</f>
        <v>000000000000000</v>
      </c>
      <c r="BL965" s="23">
        <f t="shared" si="6012"/>
        <v>0</v>
      </c>
      <c r="BM965" s="49" t="str">
        <f t="shared" ref="BM965" si="6356">IF(BL965&lt;0,SUBSTITUTE(TEXT(BL965,"000000000000,00"),",",""),SUBSTITUTE(TEXT(BL965,"0000000000000,00"),",",""))</f>
        <v>000000000000000</v>
      </c>
      <c r="BN965" t="str">
        <f t="shared" si="6014"/>
        <v>PES</v>
      </c>
      <c r="BO965" t="str">
        <f t="shared" si="6015"/>
        <v>0001000000</v>
      </c>
      <c r="BP965">
        <f t="shared" si="6016"/>
        <v>0</v>
      </c>
      <c r="BQ965">
        <f t="shared" si="6017"/>
        <v>0</v>
      </c>
      <c r="BR965" s="23">
        <f t="shared" si="6018"/>
        <v>0</v>
      </c>
      <c r="BS965" s="49" t="str">
        <f t="shared" si="5983"/>
        <v>000000000000000</v>
      </c>
      <c r="BT965" t="str">
        <f t="shared" si="6019"/>
        <v>00000000</v>
      </c>
      <c r="BU965" s="23">
        <f t="shared" si="6020"/>
        <v>0</v>
      </c>
      <c r="BV965" s="49" t="str">
        <f t="shared" si="5984"/>
        <v/>
      </c>
      <c r="BW965" s="52" t="str">
        <f t="shared" si="6021"/>
        <v/>
      </c>
      <c r="BX965" s="23">
        <f t="shared" si="6022"/>
        <v>0</v>
      </c>
      <c r="BY965" s="49" t="str">
        <f t="shared" si="5985"/>
        <v/>
      </c>
      <c r="BZ965" s="23">
        <f t="shared" si="6023"/>
        <v>0</v>
      </c>
      <c r="CA965" s="49" t="str">
        <f t="shared" si="5986"/>
        <v/>
      </c>
      <c r="CB965" s="52" t="str">
        <f t="shared" si="6024"/>
        <v/>
      </c>
      <c r="CC965" s="23">
        <f t="shared" si="6025"/>
        <v>0</v>
      </c>
      <c r="CD965" s="49" t="str">
        <f t="shared" si="5987"/>
        <v/>
      </c>
      <c r="CE965" s="56" t="str">
        <f>IF(CF965="","",MAX(CE$10:$CE964)+1)</f>
        <v/>
      </c>
      <c r="CF965" t="str">
        <f t="shared" si="6026"/>
        <v/>
      </c>
      <c r="CG965" s="22" t="str">
        <f>IF(CH965="","",MAX($CG$10:CG964)+1)</f>
        <v/>
      </c>
      <c r="CH965" s="22" t="str">
        <f t="shared" si="5971"/>
        <v/>
      </c>
      <c r="CI965" s="22" t="str">
        <f>IF(CJ965="","",MAX($CI$10:CI964)+1)</f>
        <v/>
      </c>
      <c r="CJ965" s="22" t="str">
        <f t="shared" si="5972"/>
        <v/>
      </c>
    </row>
    <row r="966" spans="2:88" x14ac:dyDescent="0.25">
      <c r="B966" s="37"/>
      <c r="C966" s="3"/>
      <c r="D966" s="77" t="str">
        <f t="shared" si="5958"/>
        <v/>
      </c>
      <c r="E966" s="38"/>
      <c r="F966" s="38"/>
      <c r="G966" s="78">
        <f t="shared" si="5973"/>
        <v>0</v>
      </c>
      <c r="H966" s="3">
        <v>80</v>
      </c>
      <c r="I966" s="77" t="str">
        <f t="shared" si="5959"/>
        <v/>
      </c>
      <c r="J966" s="32"/>
      <c r="K966" s="3"/>
      <c r="L966" s="39"/>
      <c r="M966" s="39"/>
      <c r="N966" s="39"/>
      <c r="O966" s="39"/>
      <c r="P966" s="39"/>
      <c r="Q966" s="39"/>
      <c r="R966" s="39"/>
      <c r="S966" s="39"/>
      <c r="T966" s="3" t="s">
        <v>645</v>
      </c>
      <c r="U966" s="77" t="str">
        <f t="shared" si="5960"/>
        <v/>
      </c>
      <c r="V966" s="39">
        <v>1</v>
      </c>
      <c r="W966" s="79">
        <f t="shared" si="5974"/>
        <v>0</v>
      </c>
      <c r="X966" s="3">
        <v>0</v>
      </c>
      <c r="Y966" s="77" t="str">
        <f t="shared" si="5961"/>
        <v/>
      </c>
      <c r="Z966" s="3"/>
      <c r="AA966" s="37" t="str">
        <f t="shared" si="5975"/>
        <v/>
      </c>
      <c r="AC966" s="40"/>
      <c r="AD966" s="7"/>
      <c r="AE966" s="77" t="str">
        <f t="shared" si="5962"/>
        <v/>
      </c>
      <c r="AF966" s="81">
        <f t="shared" si="5988"/>
        <v>0</v>
      </c>
      <c r="AG966" s="40"/>
      <c r="AH966" s="7"/>
      <c r="AI966" s="77" t="str">
        <f t="shared" si="5963"/>
        <v/>
      </c>
      <c r="AJ966" s="81">
        <f t="shared" si="5989"/>
        <v>0</v>
      </c>
      <c r="AK966" s="83">
        <f t="shared" si="5990"/>
        <v>0</v>
      </c>
      <c r="AL966" s="83">
        <f t="shared" si="5991"/>
        <v>0</v>
      </c>
      <c r="AN966" s="43">
        <f t="shared" si="5964"/>
        <v>0</v>
      </c>
      <c r="AP966" t="str">
        <f t="shared" si="5992"/>
        <v/>
      </c>
      <c r="AQ966" t="str">
        <f t="shared" si="5993"/>
        <v/>
      </c>
      <c r="AR966" t="str">
        <f t="shared" si="5994"/>
        <v/>
      </c>
      <c r="AS966" t="str">
        <f t="shared" si="5995"/>
        <v/>
      </c>
      <c r="AT966" t="str">
        <f t="shared" si="5996"/>
        <v/>
      </c>
      <c r="AU966" t="str">
        <f t="shared" si="5997"/>
        <v/>
      </c>
      <c r="AV966" t="str">
        <f t="shared" si="5998"/>
        <v/>
      </c>
      <c r="AW966" t="str">
        <f t="shared" si="5999"/>
        <v xml:space="preserve">                              </v>
      </c>
      <c r="AX966" s="23">
        <f t="shared" si="6000"/>
        <v>0</v>
      </c>
      <c r="AY966" s="49" t="str">
        <f t="shared" si="5976"/>
        <v>000000000000000</v>
      </c>
      <c r="AZ966" s="23">
        <f t="shared" si="6001"/>
        <v>0</v>
      </c>
      <c r="BA966" s="49" t="str">
        <f t="shared" si="5976"/>
        <v>000000000000000</v>
      </c>
      <c r="BB966" s="23">
        <f t="shared" si="6002"/>
        <v>0</v>
      </c>
      <c r="BC966" s="49" t="str">
        <f t="shared" ref="BC966" si="6357">IF(BB966&lt;0,SUBSTITUTE(TEXT(BB966,"000000000000,00"),",",""),SUBSTITUTE(TEXT(BB966,"0000000000000,00"),",",""))</f>
        <v>000000000000000</v>
      </c>
      <c r="BD966" s="23">
        <f t="shared" si="6004"/>
        <v>0</v>
      </c>
      <c r="BE966" s="49" t="str">
        <f t="shared" ref="BE966" si="6358">IF(BD966&lt;0,SUBSTITUTE(TEXT(BD966,"000000000000,00"),",",""),SUBSTITUTE(TEXT(BD966,"0000000000000,00"),",",""))</f>
        <v>000000000000000</v>
      </c>
      <c r="BF966" s="23">
        <f t="shared" si="6006"/>
        <v>0</v>
      </c>
      <c r="BG966" s="49" t="str">
        <f t="shared" ref="BG966" si="6359">IF(BF966&lt;0,SUBSTITUTE(TEXT(BF966,"000000000000,00"),",",""),SUBSTITUTE(TEXT(BF966,"0000000000000,00"),",",""))</f>
        <v>000000000000000</v>
      </c>
      <c r="BH966" s="23">
        <f t="shared" si="6008"/>
        <v>0</v>
      </c>
      <c r="BI966" s="49" t="str">
        <f t="shared" ref="BI966" si="6360">IF(BH966&lt;0,SUBSTITUTE(TEXT(BH966,"000000000000,00"),",",""),SUBSTITUTE(TEXT(BH966,"0000000000000,00"),",",""))</f>
        <v>000000000000000</v>
      </c>
      <c r="BJ966" s="23">
        <f t="shared" si="6010"/>
        <v>0</v>
      </c>
      <c r="BK966" s="49" t="str">
        <f t="shared" ref="BK966" si="6361">IF(BJ966&lt;0,SUBSTITUTE(TEXT(BJ966,"000000000000,00"),",",""),SUBSTITUTE(TEXT(BJ966,"0000000000000,00"),",",""))</f>
        <v>000000000000000</v>
      </c>
      <c r="BL966" s="23">
        <f t="shared" si="6012"/>
        <v>0</v>
      </c>
      <c r="BM966" s="49" t="str">
        <f t="shared" ref="BM966" si="6362">IF(BL966&lt;0,SUBSTITUTE(TEXT(BL966,"000000000000,00"),",",""),SUBSTITUTE(TEXT(BL966,"0000000000000,00"),",",""))</f>
        <v>000000000000000</v>
      </c>
      <c r="BN966" t="str">
        <f t="shared" si="6014"/>
        <v>PES</v>
      </c>
      <c r="BO966" t="str">
        <f t="shared" si="6015"/>
        <v>0001000000</v>
      </c>
      <c r="BP966">
        <f t="shared" si="6016"/>
        <v>0</v>
      </c>
      <c r="BQ966">
        <f t="shared" si="6017"/>
        <v>0</v>
      </c>
      <c r="BR966" s="23">
        <f t="shared" si="6018"/>
        <v>0</v>
      </c>
      <c r="BS966" s="49" t="str">
        <f t="shared" si="5983"/>
        <v>000000000000000</v>
      </c>
      <c r="BT966" t="str">
        <f t="shared" si="6019"/>
        <v>00000000</v>
      </c>
      <c r="BU966" s="23">
        <f t="shared" si="6020"/>
        <v>0</v>
      </c>
      <c r="BV966" s="49" t="str">
        <f t="shared" si="5984"/>
        <v/>
      </c>
      <c r="BW966" s="52" t="str">
        <f t="shared" si="6021"/>
        <v/>
      </c>
      <c r="BX966" s="23">
        <f t="shared" si="6022"/>
        <v>0</v>
      </c>
      <c r="BY966" s="49" t="str">
        <f t="shared" si="5985"/>
        <v/>
      </c>
      <c r="BZ966" s="23">
        <f t="shared" si="6023"/>
        <v>0</v>
      </c>
      <c r="CA966" s="49" t="str">
        <f t="shared" si="5986"/>
        <v/>
      </c>
      <c r="CB966" s="52" t="str">
        <f t="shared" si="6024"/>
        <v/>
      </c>
      <c r="CC966" s="23">
        <f t="shared" si="6025"/>
        <v>0</v>
      </c>
      <c r="CD966" s="49" t="str">
        <f t="shared" si="5987"/>
        <v/>
      </c>
      <c r="CE966" s="56" t="str">
        <f>IF(CF966="","",MAX(CE$10:$CE965)+1)</f>
        <v/>
      </c>
      <c r="CF966" t="str">
        <f t="shared" si="6026"/>
        <v/>
      </c>
      <c r="CG966" s="22" t="str">
        <f>IF(CH966="","",MAX($CG$10:CG965)+1)</f>
        <v/>
      </c>
      <c r="CH966" s="22" t="str">
        <f t="shared" si="5971"/>
        <v/>
      </c>
      <c r="CI966" s="22" t="str">
        <f>IF(CJ966="","",MAX($CI$10:CI965)+1)</f>
        <v/>
      </c>
      <c r="CJ966" s="22" t="str">
        <f t="shared" si="5972"/>
        <v/>
      </c>
    </row>
    <row r="967" spans="2:88" x14ac:dyDescent="0.25">
      <c r="B967" s="37"/>
      <c r="C967" s="3"/>
      <c r="D967" s="77" t="str">
        <f t="shared" si="5958"/>
        <v/>
      </c>
      <c r="E967" s="38"/>
      <c r="F967" s="38"/>
      <c r="G967" s="78">
        <f t="shared" si="5973"/>
        <v>0</v>
      </c>
      <c r="H967" s="3">
        <v>80</v>
      </c>
      <c r="I967" s="77" t="str">
        <f t="shared" si="5959"/>
        <v/>
      </c>
      <c r="J967" s="32"/>
      <c r="K967" s="3"/>
      <c r="L967" s="39"/>
      <c r="M967" s="39"/>
      <c r="N967" s="39"/>
      <c r="O967" s="39"/>
      <c r="P967" s="39"/>
      <c r="Q967" s="39"/>
      <c r="R967" s="39"/>
      <c r="S967" s="39"/>
      <c r="T967" s="3" t="s">
        <v>645</v>
      </c>
      <c r="U967" s="77" t="str">
        <f t="shared" si="5960"/>
        <v/>
      </c>
      <c r="V967" s="39">
        <v>1</v>
      </c>
      <c r="W967" s="79">
        <f t="shared" si="5974"/>
        <v>0</v>
      </c>
      <c r="X967" s="3">
        <v>0</v>
      </c>
      <c r="Y967" s="77" t="str">
        <f t="shared" si="5961"/>
        <v/>
      </c>
      <c r="Z967" s="3"/>
      <c r="AA967" s="37" t="str">
        <f t="shared" si="5975"/>
        <v/>
      </c>
      <c r="AC967" s="40"/>
      <c r="AD967" s="7"/>
      <c r="AE967" s="77" t="str">
        <f t="shared" si="5962"/>
        <v/>
      </c>
      <c r="AF967" s="81">
        <f t="shared" si="5988"/>
        <v>0</v>
      </c>
      <c r="AG967" s="40"/>
      <c r="AH967" s="7"/>
      <c r="AI967" s="77" t="str">
        <f t="shared" si="5963"/>
        <v/>
      </c>
      <c r="AJ967" s="81">
        <f t="shared" si="5989"/>
        <v>0</v>
      </c>
      <c r="AK967" s="83">
        <f t="shared" si="5990"/>
        <v>0</v>
      </c>
      <c r="AL967" s="83">
        <f t="shared" si="5991"/>
        <v>0</v>
      </c>
      <c r="AN967" s="43">
        <f t="shared" si="5964"/>
        <v>0</v>
      </c>
      <c r="AP967" t="str">
        <f t="shared" si="5992"/>
        <v/>
      </c>
      <c r="AQ967" t="str">
        <f t="shared" si="5993"/>
        <v/>
      </c>
      <c r="AR967" t="str">
        <f t="shared" si="5994"/>
        <v/>
      </c>
      <c r="AS967" t="str">
        <f t="shared" si="5995"/>
        <v/>
      </c>
      <c r="AT967" t="str">
        <f t="shared" si="5996"/>
        <v/>
      </c>
      <c r="AU967" t="str">
        <f t="shared" si="5997"/>
        <v/>
      </c>
      <c r="AV967" t="str">
        <f t="shared" si="5998"/>
        <v/>
      </c>
      <c r="AW967" t="str">
        <f t="shared" si="5999"/>
        <v xml:space="preserve">                              </v>
      </c>
      <c r="AX967" s="23">
        <f t="shared" si="6000"/>
        <v>0</v>
      </c>
      <c r="AY967" s="49" t="str">
        <f t="shared" si="5976"/>
        <v>000000000000000</v>
      </c>
      <c r="AZ967" s="23">
        <f t="shared" si="6001"/>
        <v>0</v>
      </c>
      <c r="BA967" s="49" t="str">
        <f t="shared" si="5976"/>
        <v>000000000000000</v>
      </c>
      <c r="BB967" s="23">
        <f t="shared" si="6002"/>
        <v>0</v>
      </c>
      <c r="BC967" s="49" t="str">
        <f t="shared" ref="BC967" si="6363">IF(BB967&lt;0,SUBSTITUTE(TEXT(BB967,"000000000000,00"),",",""),SUBSTITUTE(TEXT(BB967,"0000000000000,00"),",",""))</f>
        <v>000000000000000</v>
      </c>
      <c r="BD967" s="23">
        <f t="shared" si="6004"/>
        <v>0</v>
      </c>
      <c r="BE967" s="49" t="str">
        <f t="shared" ref="BE967" si="6364">IF(BD967&lt;0,SUBSTITUTE(TEXT(BD967,"000000000000,00"),",",""),SUBSTITUTE(TEXT(BD967,"0000000000000,00"),",",""))</f>
        <v>000000000000000</v>
      </c>
      <c r="BF967" s="23">
        <f t="shared" si="6006"/>
        <v>0</v>
      </c>
      <c r="BG967" s="49" t="str">
        <f t="shared" ref="BG967" si="6365">IF(BF967&lt;0,SUBSTITUTE(TEXT(BF967,"000000000000,00"),",",""),SUBSTITUTE(TEXT(BF967,"0000000000000,00"),",",""))</f>
        <v>000000000000000</v>
      </c>
      <c r="BH967" s="23">
        <f t="shared" si="6008"/>
        <v>0</v>
      </c>
      <c r="BI967" s="49" t="str">
        <f t="shared" ref="BI967" si="6366">IF(BH967&lt;0,SUBSTITUTE(TEXT(BH967,"000000000000,00"),",",""),SUBSTITUTE(TEXT(BH967,"0000000000000,00"),",",""))</f>
        <v>000000000000000</v>
      </c>
      <c r="BJ967" s="23">
        <f t="shared" si="6010"/>
        <v>0</v>
      </c>
      <c r="BK967" s="49" t="str">
        <f t="shared" ref="BK967" si="6367">IF(BJ967&lt;0,SUBSTITUTE(TEXT(BJ967,"000000000000,00"),",",""),SUBSTITUTE(TEXT(BJ967,"0000000000000,00"),",",""))</f>
        <v>000000000000000</v>
      </c>
      <c r="BL967" s="23">
        <f t="shared" si="6012"/>
        <v>0</v>
      </c>
      <c r="BM967" s="49" t="str">
        <f t="shared" ref="BM967" si="6368">IF(BL967&lt;0,SUBSTITUTE(TEXT(BL967,"000000000000,00"),",",""),SUBSTITUTE(TEXT(BL967,"0000000000000,00"),",",""))</f>
        <v>000000000000000</v>
      </c>
      <c r="BN967" t="str">
        <f t="shared" si="6014"/>
        <v>PES</v>
      </c>
      <c r="BO967" t="str">
        <f t="shared" si="6015"/>
        <v>0001000000</v>
      </c>
      <c r="BP967">
        <f t="shared" si="6016"/>
        <v>0</v>
      </c>
      <c r="BQ967">
        <f t="shared" si="6017"/>
        <v>0</v>
      </c>
      <c r="BR967" s="23">
        <f t="shared" si="6018"/>
        <v>0</v>
      </c>
      <c r="BS967" s="49" t="str">
        <f t="shared" si="5983"/>
        <v>000000000000000</v>
      </c>
      <c r="BT967" t="str">
        <f t="shared" si="6019"/>
        <v>00000000</v>
      </c>
      <c r="BU967" s="23">
        <f t="shared" si="6020"/>
        <v>0</v>
      </c>
      <c r="BV967" s="49" t="str">
        <f t="shared" si="5984"/>
        <v/>
      </c>
      <c r="BW967" s="52" t="str">
        <f t="shared" si="6021"/>
        <v/>
      </c>
      <c r="BX967" s="23">
        <f t="shared" si="6022"/>
        <v>0</v>
      </c>
      <c r="BY967" s="49" t="str">
        <f t="shared" si="5985"/>
        <v/>
      </c>
      <c r="BZ967" s="23">
        <f t="shared" si="6023"/>
        <v>0</v>
      </c>
      <c r="CA967" s="49" t="str">
        <f t="shared" si="5986"/>
        <v/>
      </c>
      <c r="CB967" s="52" t="str">
        <f t="shared" si="6024"/>
        <v/>
      </c>
      <c r="CC967" s="23">
        <f t="shared" si="6025"/>
        <v>0</v>
      </c>
      <c r="CD967" s="49" t="str">
        <f t="shared" si="5987"/>
        <v/>
      </c>
      <c r="CE967" s="56" t="str">
        <f>IF(CF967="","",MAX(CE$10:$CE966)+1)</f>
        <v/>
      </c>
      <c r="CF967" t="str">
        <f t="shared" si="6026"/>
        <v/>
      </c>
      <c r="CG967" s="22" t="str">
        <f>IF(CH967="","",MAX($CG$10:CG966)+1)</f>
        <v/>
      </c>
      <c r="CH967" s="22" t="str">
        <f t="shared" si="5971"/>
        <v/>
      </c>
      <c r="CI967" s="22" t="str">
        <f>IF(CJ967="","",MAX($CI$10:CI966)+1)</f>
        <v/>
      </c>
      <c r="CJ967" s="22" t="str">
        <f t="shared" si="5972"/>
        <v/>
      </c>
    </row>
    <row r="968" spans="2:88" x14ac:dyDescent="0.25">
      <c r="B968" s="37"/>
      <c r="C968" s="3"/>
      <c r="D968" s="77" t="str">
        <f t="shared" si="5958"/>
        <v/>
      </c>
      <c r="E968" s="38"/>
      <c r="F968" s="38"/>
      <c r="G968" s="78">
        <f t="shared" si="5973"/>
        <v>0</v>
      </c>
      <c r="H968" s="3">
        <v>80</v>
      </c>
      <c r="I968" s="77" t="str">
        <f t="shared" si="5959"/>
        <v/>
      </c>
      <c r="J968" s="32"/>
      <c r="K968" s="3"/>
      <c r="L968" s="39"/>
      <c r="M968" s="39"/>
      <c r="N968" s="39"/>
      <c r="O968" s="39"/>
      <c r="P968" s="39"/>
      <c r="Q968" s="39"/>
      <c r="R968" s="39"/>
      <c r="S968" s="39"/>
      <c r="T968" s="3" t="s">
        <v>645</v>
      </c>
      <c r="U968" s="77" t="str">
        <f t="shared" si="5960"/>
        <v/>
      </c>
      <c r="V968" s="39">
        <v>1</v>
      </c>
      <c r="W968" s="79">
        <f t="shared" si="5974"/>
        <v>0</v>
      </c>
      <c r="X968" s="3">
        <v>0</v>
      </c>
      <c r="Y968" s="77" t="str">
        <f t="shared" si="5961"/>
        <v/>
      </c>
      <c r="Z968" s="3"/>
      <c r="AA968" s="37" t="str">
        <f t="shared" si="5975"/>
        <v/>
      </c>
      <c r="AC968" s="40"/>
      <c r="AD968" s="7"/>
      <c r="AE968" s="77" t="str">
        <f t="shared" si="5962"/>
        <v/>
      </c>
      <c r="AF968" s="81">
        <f t="shared" si="5988"/>
        <v>0</v>
      </c>
      <c r="AG968" s="40"/>
      <c r="AH968" s="7"/>
      <c r="AI968" s="77" t="str">
        <f t="shared" si="5963"/>
        <v/>
      </c>
      <c r="AJ968" s="81">
        <f t="shared" si="5989"/>
        <v>0</v>
      </c>
      <c r="AK968" s="83">
        <f t="shared" si="5990"/>
        <v>0</v>
      </c>
      <c r="AL968" s="83">
        <f t="shared" si="5991"/>
        <v>0</v>
      </c>
      <c r="AN968" s="43">
        <f t="shared" si="5964"/>
        <v>0</v>
      </c>
      <c r="AP968" t="str">
        <f t="shared" si="5992"/>
        <v/>
      </c>
      <c r="AQ968" t="str">
        <f t="shared" si="5993"/>
        <v/>
      </c>
      <c r="AR968" t="str">
        <f t="shared" si="5994"/>
        <v/>
      </c>
      <c r="AS968" t="str">
        <f t="shared" si="5995"/>
        <v/>
      </c>
      <c r="AT968" t="str">
        <f t="shared" si="5996"/>
        <v/>
      </c>
      <c r="AU968" t="str">
        <f t="shared" si="5997"/>
        <v/>
      </c>
      <c r="AV968" t="str">
        <f t="shared" si="5998"/>
        <v/>
      </c>
      <c r="AW968" t="str">
        <f t="shared" si="5999"/>
        <v xml:space="preserve">                              </v>
      </c>
      <c r="AX968" s="23">
        <f t="shared" si="6000"/>
        <v>0</v>
      </c>
      <c r="AY968" s="49" t="str">
        <f t="shared" si="5976"/>
        <v>000000000000000</v>
      </c>
      <c r="AZ968" s="23">
        <f t="shared" si="6001"/>
        <v>0</v>
      </c>
      <c r="BA968" s="49" t="str">
        <f t="shared" si="5976"/>
        <v>000000000000000</v>
      </c>
      <c r="BB968" s="23">
        <f t="shared" si="6002"/>
        <v>0</v>
      </c>
      <c r="BC968" s="49" t="str">
        <f t="shared" ref="BC968" si="6369">IF(BB968&lt;0,SUBSTITUTE(TEXT(BB968,"000000000000,00"),",",""),SUBSTITUTE(TEXT(BB968,"0000000000000,00"),",",""))</f>
        <v>000000000000000</v>
      </c>
      <c r="BD968" s="23">
        <f t="shared" si="6004"/>
        <v>0</v>
      </c>
      <c r="BE968" s="49" t="str">
        <f t="shared" ref="BE968" si="6370">IF(BD968&lt;0,SUBSTITUTE(TEXT(BD968,"000000000000,00"),",",""),SUBSTITUTE(TEXT(BD968,"0000000000000,00"),",",""))</f>
        <v>000000000000000</v>
      </c>
      <c r="BF968" s="23">
        <f t="shared" si="6006"/>
        <v>0</v>
      </c>
      <c r="BG968" s="49" t="str">
        <f t="shared" ref="BG968" si="6371">IF(BF968&lt;0,SUBSTITUTE(TEXT(BF968,"000000000000,00"),",",""),SUBSTITUTE(TEXT(BF968,"0000000000000,00"),",",""))</f>
        <v>000000000000000</v>
      </c>
      <c r="BH968" s="23">
        <f t="shared" si="6008"/>
        <v>0</v>
      </c>
      <c r="BI968" s="49" t="str">
        <f t="shared" ref="BI968" si="6372">IF(BH968&lt;0,SUBSTITUTE(TEXT(BH968,"000000000000,00"),",",""),SUBSTITUTE(TEXT(BH968,"0000000000000,00"),",",""))</f>
        <v>000000000000000</v>
      </c>
      <c r="BJ968" s="23">
        <f t="shared" si="6010"/>
        <v>0</v>
      </c>
      <c r="BK968" s="49" t="str">
        <f t="shared" ref="BK968" si="6373">IF(BJ968&lt;0,SUBSTITUTE(TEXT(BJ968,"000000000000,00"),",",""),SUBSTITUTE(TEXT(BJ968,"0000000000000,00"),",",""))</f>
        <v>000000000000000</v>
      </c>
      <c r="BL968" s="23">
        <f t="shared" si="6012"/>
        <v>0</v>
      </c>
      <c r="BM968" s="49" t="str">
        <f t="shared" ref="BM968" si="6374">IF(BL968&lt;0,SUBSTITUTE(TEXT(BL968,"000000000000,00"),",",""),SUBSTITUTE(TEXT(BL968,"0000000000000,00"),",",""))</f>
        <v>000000000000000</v>
      </c>
      <c r="BN968" t="str">
        <f t="shared" si="6014"/>
        <v>PES</v>
      </c>
      <c r="BO968" t="str">
        <f t="shared" si="6015"/>
        <v>0001000000</v>
      </c>
      <c r="BP968">
        <f t="shared" si="6016"/>
        <v>0</v>
      </c>
      <c r="BQ968">
        <f t="shared" si="6017"/>
        <v>0</v>
      </c>
      <c r="BR968" s="23">
        <f t="shared" si="6018"/>
        <v>0</v>
      </c>
      <c r="BS968" s="49" t="str">
        <f t="shared" si="5983"/>
        <v>000000000000000</v>
      </c>
      <c r="BT968" t="str">
        <f t="shared" si="6019"/>
        <v>00000000</v>
      </c>
      <c r="BU968" s="23">
        <f t="shared" si="6020"/>
        <v>0</v>
      </c>
      <c r="BV968" s="49" t="str">
        <f t="shared" si="5984"/>
        <v/>
      </c>
      <c r="BW968" s="52" t="str">
        <f t="shared" si="6021"/>
        <v/>
      </c>
      <c r="BX968" s="23">
        <f t="shared" si="6022"/>
        <v>0</v>
      </c>
      <c r="BY968" s="49" t="str">
        <f t="shared" si="5985"/>
        <v/>
      </c>
      <c r="BZ968" s="23">
        <f t="shared" si="6023"/>
        <v>0</v>
      </c>
      <c r="CA968" s="49" t="str">
        <f t="shared" si="5986"/>
        <v/>
      </c>
      <c r="CB968" s="52" t="str">
        <f t="shared" si="6024"/>
        <v/>
      </c>
      <c r="CC968" s="23">
        <f t="shared" si="6025"/>
        <v>0</v>
      </c>
      <c r="CD968" s="49" t="str">
        <f t="shared" si="5987"/>
        <v/>
      </c>
      <c r="CE968" s="56" t="str">
        <f>IF(CF968="","",MAX(CE$10:$CE967)+1)</f>
        <v/>
      </c>
      <c r="CF968" t="str">
        <f t="shared" si="6026"/>
        <v/>
      </c>
      <c r="CG968" s="22" t="str">
        <f>IF(CH968="","",MAX($CG$10:CG967)+1)</f>
        <v/>
      </c>
      <c r="CH968" s="22" t="str">
        <f t="shared" si="5971"/>
        <v/>
      </c>
      <c r="CI968" s="22" t="str">
        <f>IF(CJ968="","",MAX($CI$10:CI967)+1)</f>
        <v/>
      </c>
      <c r="CJ968" s="22" t="str">
        <f t="shared" si="5972"/>
        <v/>
      </c>
    </row>
    <row r="969" spans="2:88" x14ac:dyDescent="0.25">
      <c r="B969" s="37"/>
      <c r="C969" s="3"/>
      <c r="D969" s="77" t="str">
        <f t="shared" si="5958"/>
        <v/>
      </c>
      <c r="E969" s="38"/>
      <c r="F969" s="38"/>
      <c r="G969" s="78">
        <f t="shared" si="5973"/>
        <v>0</v>
      </c>
      <c r="H969" s="3">
        <v>80</v>
      </c>
      <c r="I969" s="77" t="str">
        <f t="shared" si="5959"/>
        <v/>
      </c>
      <c r="J969" s="32"/>
      <c r="K969" s="3"/>
      <c r="L969" s="39"/>
      <c r="M969" s="39"/>
      <c r="N969" s="39"/>
      <c r="O969" s="39"/>
      <c r="P969" s="39"/>
      <c r="Q969" s="39"/>
      <c r="R969" s="39"/>
      <c r="S969" s="39"/>
      <c r="T969" s="3" t="s">
        <v>645</v>
      </c>
      <c r="U969" s="77" t="str">
        <f t="shared" si="5960"/>
        <v/>
      </c>
      <c r="V969" s="39">
        <v>1</v>
      </c>
      <c r="W969" s="79">
        <f t="shared" si="5974"/>
        <v>0</v>
      </c>
      <c r="X969" s="3">
        <v>0</v>
      </c>
      <c r="Y969" s="77" t="str">
        <f t="shared" si="5961"/>
        <v/>
      </c>
      <c r="Z969" s="3"/>
      <c r="AA969" s="37" t="str">
        <f t="shared" si="5975"/>
        <v/>
      </c>
      <c r="AC969" s="40"/>
      <c r="AD969" s="7"/>
      <c r="AE969" s="77" t="str">
        <f t="shared" si="5962"/>
        <v/>
      </c>
      <c r="AF969" s="81">
        <f t="shared" si="5988"/>
        <v>0</v>
      </c>
      <c r="AG969" s="40"/>
      <c r="AH969" s="7"/>
      <c r="AI969" s="77" t="str">
        <f t="shared" si="5963"/>
        <v/>
      </c>
      <c r="AJ969" s="81">
        <f t="shared" si="5989"/>
        <v>0</v>
      </c>
      <c r="AK969" s="83">
        <f t="shared" si="5990"/>
        <v>0</v>
      </c>
      <c r="AL969" s="83">
        <f t="shared" si="5991"/>
        <v>0</v>
      </c>
      <c r="AN969" s="43">
        <f t="shared" si="5964"/>
        <v>0</v>
      </c>
      <c r="AP969" t="str">
        <f t="shared" si="5992"/>
        <v/>
      </c>
      <c r="AQ969" t="str">
        <f t="shared" si="5993"/>
        <v/>
      </c>
      <c r="AR969" t="str">
        <f t="shared" si="5994"/>
        <v/>
      </c>
      <c r="AS969" t="str">
        <f t="shared" si="5995"/>
        <v/>
      </c>
      <c r="AT969" t="str">
        <f t="shared" si="5996"/>
        <v/>
      </c>
      <c r="AU969" t="str">
        <f t="shared" si="5997"/>
        <v/>
      </c>
      <c r="AV969" t="str">
        <f t="shared" si="5998"/>
        <v/>
      </c>
      <c r="AW969" t="str">
        <f t="shared" si="5999"/>
        <v xml:space="preserve">                              </v>
      </c>
      <c r="AX969" s="23">
        <f t="shared" si="6000"/>
        <v>0</v>
      </c>
      <c r="AY969" s="49" t="str">
        <f t="shared" si="5976"/>
        <v>000000000000000</v>
      </c>
      <c r="AZ969" s="23">
        <f t="shared" si="6001"/>
        <v>0</v>
      </c>
      <c r="BA969" s="49" t="str">
        <f t="shared" si="5976"/>
        <v>000000000000000</v>
      </c>
      <c r="BB969" s="23">
        <f t="shared" si="6002"/>
        <v>0</v>
      </c>
      <c r="BC969" s="49" t="str">
        <f t="shared" ref="BC969" si="6375">IF(BB969&lt;0,SUBSTITUTE(TEXT(BB969,"000000000000,00"),",",""),SUBSTITUTE(TEXT(BB969,"0000000000000,00"),",",""))</f>
        <v>000000000000000</v>
      </c>
      <c r="BD969" s="23">
        <f t="shared" si="6004"/>
        <v>0</v>
      </c>
      <c r="BE969" s="49" t="str">
        <f t="shared" ref="BE969" si="6376">IF(BD969&lt;0,SUBSTITUTE(TEXT(BD969,"000000000000,00"),",",""),SUBSTITUTE(TEXT(BD969,"0000000000000,00"),",",""))</f>
        <v>000000000000000</v>
      </c>
      <c r="BF969" s="23">
        <f t="shared" si="6006"/>
        <v>0</v>
      </c>
      <c r="BG969" s="49" t="str">
        <f t="shared" ref="BG969" si="6377">IF(BF969&lt;0,SUBSTITUTE(TEXT(BF969,"000000000000,00"),",",""),SUBSTITUTE(TEXT(BF969,"0000000000000,00"),",",""))</f>
        <v>000000000000000</v>
      </c>
      <c r="BH969" s="23">
        <f t="shared" si="6008"/>
        <v>0</v>
      </c>
      <c r="BI969" s="49" t="str">
        <f t="shared" ref="BI969" si="6378">IF(BH969&lt;0,SUBSTITUTE(TEXT(BH969,"000000000000,00"),",",""),SUBSTITUTE(TEXT(BH969,"0000000000000,00"),",",""))</f>
        <v>000000000000000</v>
      </c>
      <c r="BJ969" s="23">
        <f t="shared" si="6010"/>
        <v>0</v>
      </c>
      <c r="BK969" s="49" t="str">
        <f t="shared" ref="BK969" si="6379">IF(BJ969&lt;0,SUBSTITUTE(TEXT(BJ969,"000000000000,00"),",",""),SUBSTITUTE(TEXT(BJ969,"0000000000000,00"),",",""))</f>
        <v>000000000000000</v>
      </c>
      <c r="BL969" s="23">
        <f t="shared" si="6012"/>
        <v>0</v>
      </c>
      <c r="BM969" s="49" t="str">
        <f t="shared" ref="BM969" si="6380">IF(BL969&lt;0,SUBSTITUTE(TEXT(BL969,"000000000000,00"),",",""),SUBSTITUTE(TEXT(BL969,"0000000000000,00"),",",""))</f>
        <v>000000000000000</v>
      </c>
      <c r="BN969" t="str">
        <f t="shared" si="6014"/>
        <v>PES</v>
      </c>
      <c r="BO969" t="str">
        <f t="shared" si="6015"/>
        <v>0001000000</v>
      </c>
      <c r="BP969">
        <f t="shared" si="6016"/>
        <v>0</v>
      </c>
      <c r="BQ969">
        <f t="shared" si="6017"/>
        <v>0</v>
      </c>
      <c r="BR969" s="23">
        <f t="shared" si="6018"/>
        <v>0</v>
      </c>
      <c r="BS969" s="49" t="str">
        <f t="shared" si="5983"/>
        <v>000000000000000</v>
      </c>
      <c r="BT969" t="str">
        <f t="shared" si="6019"/>
        <v>00000000</v>
      </c>
      <c r="BU969" s="23">
        <f t="shared" si="6020"/>
        <v>0</v>
      </c>
      <c r="BV969" s="49" t="str">
        <f t="shared" si="5984"/>
        <v/>
      </c>
      <c r="BW969" s="52" t="str">
        <f t="shared" si="6021"/>
        <v/>
      </c>
      <c r="BX969" s="23">
        <f t="shared" si="6022"/>
        <v>0</v>
      </c>
      <c r="BY969" s="49" t="str">
        <f t="shared" si="5985"/>
        <v/>
      </c>
      <c r="BZ969" s="23">
        <f t="shared" si="6023"/>
        <v>0</v>
      </c>
      <c r="CA969" s="49" t="str">
        <f t="shared" si="5986"/>
        <v/>
      </c>
      <c r="CB969" s="52" t="str">
        <f t="shared" si="6024"/>
        <v/>
      </c>
      <c r="CC969" s="23">
        <f t="shared" si="6025"/>
        <v>0</v>
      </c>
      <c r="CD969" s="49" t="str">
        <f t="shared" si="5987"/>
        <v/>
      </c>
      <c r="CE969" s="56" t="str">
        <f>IF(CF969="","",MAX(CE$10:$CE968)+1)</f>
        <v/>
      </c>
      <c r="CF969" t="str">
        <f t="shared" si="6026"/>
        <v/>
      </c>
      <c r="CG969" s="22" t="str">
        <f>IF(CH969="","",MAX($CG$10:CG968)+1)</f>
        <v/>
      </c>
      <c r="CH969" s="22" t="str">
        <f t="shared" si="5971"/>
        <v/>
      </c>
      <c r="CI969" s="22" t="str">
        <f>IF(CJ969="","",MAX($CI$10:CI968)+1)</f>
        <v/>
      </c>
      <c r="CJ969" s="22" t="str">
        <f t="shared" si="5972"/>
        <v/>
      </c>
    </row>
    <row r="970" spans="2:88" x14ac:dyDescent="0.25">
      <c r="B970" s="37"/>
      <c r="C970" s="3"/>
      <c r="D970" s="77" t="str">
        <f t="shared" si="5958"/>
        <v/>
      </c>
      <c r="E970" s="38"/>
      <c r="F970" s="38"/>
      <c r="G970" s="78">
        <f t="shared" si="5973"/>
        <v>0</v>
      </c>
      <c r="H970" s="3">
        <v>80</v>
      </c>
      <c r="I970" s="77" t="str">
        <f t="shared" si="5959"/>
        <v/>
      </c>
      <c r="J970" s="32"/>
      <c r="K970" s="3"/>
      <c r="L970" s="39"/>
      <c r="M970" s="39"/>
      <c r="N970" s="39"/>
      <c r="O970" s="39"/>
      <c r="P970" s="39"/>
      <c r="Q970" s="39"/>
      <c r="R970" s="39"/>
      <c r="S970" s="39"/>
      <c r="T970" s="3" t="s">
        <v>645</v>
      </c>
      <c r="U970" s="77" t="str">
        <f t="shared" si="5960"/>
        <v/>
      </c>
      <c r="V970" s="39">
        <v>1</v>
      </c>
      <c r="W970" s="79">
        <f t="shared" si="5974"/>
        <v>0</v>
      </c>
      <c r="X970" s="3">
        <v>0</v>
      </c>
      <c r="Y970" s="77" t="str">
        <f t="shared" si="5961"/>
        <v/>
      </c>
      <c r="Z970" s="3"/>
      <c r="AA970" s="37" t="str">
        <f t="shared" si="5975"/>
        <v/>
      </c>
      <c r="AC970" s="40"/>
      <c r="AD970" s="7"/>
      <c r="AE970" s="77" t="str">
        <f t="shared" si="5962"/>
        <v/>
      </c>
      <c r="AF970" s="81">
        <f t="shared" si="5988"/>
        <v>0</v>
      </c>
      <c r="AG970" s="40"/>
      <c r="AH970" s="7"/>
      <c r="AI970" s="77" t="str">
        <f t="shared" si="5963"/>
        <v/>
      </c>
      <c r="AJ970" s="81">
        <f t="shared" si="5989"/>
        <v>0</v>
      </c>
      <c r="AK970" s="83">
        <f t="shared" si="5990"/>
        <v>0</v>
      </c>
      <c r="AL970" s="83">
        <f t="shared" si="5991"/>
        <v>0</v>
      </c>
      <c r="AN970" s="43">
        <f t="shared" si="5964"/>
        <v>0</v>
      </c>
      <c r="AP970" t="str">
        <f t="shared" si="5992"/>
        <v/>
      </c>
      <c r="AQ970" t="str">
        <f t="shared" si="5993"/>
        <v/>
      </c>
      <c r="AR970" t="str">
        <f t="shared" si="5994"/>
        <v/>
      </c>
      <c r="AS970" t="str">
        <f t="shared" si="5995"/>
        <v/>
      </c>
      <c r="AT970" t="str">
        <f t="shared" si="5996"/>
        <v/>
      </c>
      <c r="AU970" t="str">
        <f t="shared" si="5997"/>
        <v/>
      </c>
      <c r="AV970" t="str">
        <f t="shared" si="5998"/>
        <v/>
      </c>
      <c r="AW970" t="str">
        <f t="shared" si="5999"/>
        <v xml:space="preserve">                              </v>
      </c>
      <c r="AX970" s="23">
        <f t="shared" si="6000"/>
        <v>0</v>
      </c>
      <c r="AY970" s="49" t="str">
        <f t="shared" si="5976"/>
        <v>000000000000000</v>
      </c>
      <c r="AZ970" s="23">
        <f t="shared" si="6001"/>
        <v>0</v>
      </c>
      <c r="BA970" s="49" t="str">
        <f t="shared" si="5976"/>
        <v>000000000000000</v>
      </c>
      <c r="BB970" s="23">
        <f t="shared" si="6002"/>
        <v>0</v>
      </c>
      <c r="BC970" s="49" t="str">
        <f t="shared" ref="BC970" si="6381">IF(BB970&lt;0,SUBSTITUTE(TEXT(BB970,"000000000000,00"),",",""),SUBSTITUTE(TEXT(BB970,"0000000000000,00"),",",""))</f>
        <v>000000000000000</v>
      </c>
      <c r="BD970" s="23">
        <f t="shared" si="6004"/>
        <v>0</v>
      </c>
      <c r="BE970" s="49" t="str">
        <f t="shared" ref="BE970" si="6382">IF(BD970&lt;0,SUBSTITUTE(TEXT(BD970,"000000000000,00"),",",""),SUBSTITUTE(TEXT(BD970,"0000000000000,00"),",",""))</f>
        <v>000000000000000</v>
      </c>
      <c r="BF970" s="23">
        <f t="shared" si="6006"/>
        <v>0</v>
      </c>
      <c r="BG970" s="49" t="str">
        <f t="shared" ref="BG970" si="6383">IF(BF970&lt;0,SUBSTITUTE(TEXT(BF970,"000000000000,00"),",",""),SUBSTITUTE(TEXT(BF970,"0000000000000,00"),",",""))</f>
        <v>000000000000000</v>
      </c>
      <c r="BH970" s="23">
        <f t="shared" si="6008"/>
        <v>0</v>
      </c>
      <c r="BI970" s="49" t="str">
        <f t="shared" ref="BI970" si="6384">IF(BH970&lt;0,SUBSTITUTE(TEXT(BH970,"000000000000,00"),",",""),SUBSTITUTE(TEXT(BH970,"0000000000000,00"),",",""))</f>
        <v>000000000000000</v>
      </c>
      <c r="BJ970" s="23">
        <f t="shared" si="6010"/>
        <v>0</v>
      </c>
      <c r="BK970" s="49" t="str">
        <f t="shared" ref="BK970" si="6385">IF(BJ970&lt;0,SUBSTITUTE(TEXT(BJ970,"000000000000,00"),",",""),SUBSTITUTE(TEXT(BJ970,"0000000000000,00"),",",""))</f>
        <v>000000000000000</v>
      </c>
      <c r="BL970" s="23">
        <f t="shared" si="6012"/>
        <v>0</v>
      </c>
      <c r="BM970" s="49" t="str">
        <f t="shared" ref="BM970" si="6386">IF(BL970&lt;0,SUBSTITUTE(TEXT(BL970,"000000000000,00"),",",""),SUBSTITUTE(TEXT(BL970,"0000000000000,00"),",",""))</f>
        <v>000000000000000</v>
      </c>
      <c r="BN970" t="str">
        <f t="shared" si="6014"/>
        <v>PES</v>
      </c>
      <c r="BO970" t="str">
        <f t="shared" si="6015"/>
        <v>0001000000</v>
      </c>
      <c r="BP970">
        <f t="shared" si="6016"/>
        <v>0</v>
      </c>
      <c r="BQ970">
        <f t="shared" si="6017"/>
        <v>0</v>
      </c>
      <c r="BR970" s="23">
        <f t="shared" si="6018"/>
        <v>0</v>
      </c>
      <c r="BS970" s="49" t="str">
        <f t="shared" si="5983"/>
        <v>000000000000000</v>
      </c>
      <c r="BT970" t="str">
        <f t="shared" si="6019"/>
        <v>00000000</v>
      </c>
      <c r="BU970" s="23">
        <f t="shared" si="6020"/>
        <v>0</v>
      </c>
      <c r="BV970" s="49" t="str">
        <f t="shared" si="5984"/>
        <v/>
      </c>
      <c r="BW970" s="52" t="str">
        <f t="shared" si="6021"/>
        <v/>
      </c>
      <c r="BX970" s="23">
        <f t="shared" si="6022"/>
        <v>0</v>
      </c>
      <c r="BY970" s="49" t="str">
        <f t="shared" si="5985"/>
        <v/>
      </c>
      <c r="BZ970" s="23">
        <f t="shared" si="6023"/>
        <v>0</v>
      </c>
      <c r="CA970" s="49" t="str">
        <f t="shared" si="5986"/>
        <v/>
      </c>
      <c r="CB970" s="52" t="str">
        <f t="shared" si="6024"/>
        <v/>
      </c>
      <c r="CC970" s="23">
        <f t="shared" si="6025"/>
        <v>0</v>
      </c>
      <c r="CD970" s="49" t="str">
        <f t="shared" si="5987"/>
        <v/>
      </c>
      <c r="CE970" s="56" t="str">
        <f>IF(CF970="","",MAX(CE$10:$CE969)+1)</f>
        <v/>
      </c>
      <c r="CF970" t="str">
        <f t="shared" si="6026"/>
        <v/>
      </c>
      <c r="CG970" s="22" t="str">
        <f>IF(CH970="","",MAX($CG$10:CG969)+1)</f>
        <v/>
      </c>
      <c r="CH970" s="22" t="str">
        <f t="shared" si="5971"/>
        <v/>
      </c>
      <c r="CI970" s="22" t="str">
        <f>IF(CJ970="","",MAX($CI$10:CI969)+1)</f>
        <v/>
      </c>
      <c r="CJ970" s="22" t="str">
        <f t="shared" si="5972"/>
        <v/>
      </c>
    </row>
    <row r="971" spans="2:88" x14ac:dyDescent="0.25">
      <c r="B971" s="37"/>
      <c r="C971" s="3"/>
      <c r="D971" s="77" t="str">
        <f t="shared" si="5958"/>
        <v/>
      </c>
      <c r="E971" s="38"/>
      <c r="F971" s="38"/>
      <c r="G971" s="78">
        <f t="shared" si="5973"/>
        <v>0</v>
      </c>
      <c r="H971" s="3">
        <v>80</v>
      </c>
      <c r="I971" s="77" t="str">
        <f t="shared" si="5959"/>
        <v/>
      </c>
      <c r="J971" s="32"/>
      <c r="K971" s="3"/>
      <c r="L971" s="39"/>
      <c r="M971" s="39"/>
      <c r="N971" s="39"/>
      <c r="O971" s="39"/>
      <c r="P971" s="39"/>
      <c r="Q971" s="39"/>
      <c r="R971" s="39"/>
      <c r="S971" s="39"/>
      <c r="T971" s="3" t="s">
        <v>645</v>
      </c>
      <c r="U971" s="77" t="str">
        <f t="shared" si="5960"/>
        <v/>
      </c>
      <c r="V971" s="39">
        <v>1</v>
      </c>
      <c r="W971" s="79">
        <f t="shared" si="5974"/>
        <v>0</v>
      </c>
      <c r="X971" s="3">
        <v>0</v>
      </c>
      <c r="Y971" s="77" t="str">
        <f t="shared" si="5961"/>
        <v/>
      </c>
      <c r="Z971" s="3"/>
      <c r="AA971" s="37" t="str">
        <f t="shared" si="5975"/>
        <v/>
      </c>
      <c r="AC971" s="40"/>
      <c r="AD971" s="7"/>
      <c r="AE971" s="77" t="str">
        <f t="shared" si="5962"/>
        <v/>
      </c>
      <c r="AF971" s="81">
        <f t="shared" si="5988"/>
        <v>0</v>
      </c>
      <c r="AG971" s="40"/>
      <c r="AH971" s="7"/>
      <c r="AI971" s="77" t="str">
        <f t="shared" si="5963"/>
        <v/>
      </c>
      <c r="AJ971" s="81">
        <f t="shared" si="5989"/>
        <v>0</v>
      </c>
      <c r="AK971" s="83">
        <f t="shared" si="5990"/>
        <v>0</v>
      </c>
      <c r="AL971" s="83">
        <f t="shared" si="5991"/>
        <v>0</v>
      </c>
      <c r="AN971" s="43">
        <f t="shared" si="5964"/>
        <v>0</v>
      </c>
      <c r="AP971" t="str">
        <f t="shared" si="5992"/>
        <v/>
      </c>
      <c r="AQ971" t="str">
        <f t="shared" si="5993"/>
        <v/>
      </c>
      <c r="AR971" t="str">
        <f t="shared" si="5994"/>
        <v/>
      </c>
      <c r="AS971" t="str">
        <f t="shared" si="5995"/>
        <v/>
      </c>
      <c r="AT971" t="str">
        <f t="shared" si="5996"/>
        <v/>
      </c>
      <c r="AU971" t="str">
        <f t="shared" si="5997"/>
        <v/>
      </c>
      <c r="AV971" t="str">
        <f t="shared" si="5998"/>
        <v/>
      </c>
      <c r="AW971" t="str">
        <f t="shared" si="5999"/>
        <v xml:space="preserve">                              </v>
      </c>
      <c r="AX971" s="23">
        <f t="shared" si="6000"/>
        <v>0</v>
      </c>
      <c r="AY971" s="49" t="str">
        <f t="shared" si="5976"/>
        <v>000000000000000</v>
      </c>
      <c r="AZ971" s="23">
        <f t="shared" si="6001"/>
        <v>0</v>
      </c>
      <c r="BA971" s="49" t="str">
        <f t="shared" si="5976"/>
        <v>000000000000000</v>
      </c>
      <c r="BB971" s="23">
        <f t="shared" si="6002"/>
        <v>0</v>
      </c>
      <c r="BC971" s="49" t="str">
        <f t="shared" ref="BC971" si="6387">IF(BB971&lt;0,SUBSTITUTE(TEXT(BB971,"000000000000,00"),",",""),SUBSTITUTE(TEXT(BB971,"0000000000000,00"),",",""))</f>
        <v>000000000000000</v>
      </c>
      <c r="BD971" s="23">
        <f t="shared" si="6004"/>
        <v>0</v>
      </c>
      <c r="BE971" s="49" t="str">
        <f t="shared" ref="BE971" si="6388">IF(BD971&lt;0,SUBSTITUTE(TEXT(BD971,"000000000000,00"),",",""),SUBSTITUTE(TEXT(BD971,"0000000000000,00"),",",""))</f>
        <v>000000000000000</v>
      </c>
      <c r="BF971" s="23">
        <f t="shared" si="6006"/>
        <v>0</v>
      </c>
      <c r="BG971" s="49" t="str">
        <f t="shared" ref="BG971" si="6389">IF(BF971&lt;0,SUBSTITUTE(TEXT(BF971,"000000000000,00"),",",""),SUBSTITUTE(TEXT(BF971,"0000000000000,00"),",",""))</f>
        <v>000000000000000</v>
      </c>
      <c r="BH971" s="23">
        <f t="shared" si="6008"/>
        <v>0</v>
      </c>
      <c r="BI971" s="49" t="str">
        <f t="shared" ref="BI971" si="6390">IF(BH971&lt;0,SUBSTITUTE(TEXT(BH971,"000000000000,00"),",",""),SUBSTITUTE(TEXT(BH971,"0000000000000,00"),",",""))</f>
        <v>000000000000000</v>
      </c>
      <c r="BJ971" s="23">
        <f t="shared" si="6010"/>
        <v>0</v>
      </c>
      <c r="BK971" s="49" t="str">
        <f t="shared" ref="BK971" si="6391">IF(BJ971&lt;0,SUBSTITUTE(TEXT(BJ971,"000000000000,00"),",",""),SUBSTITUTE(TEXT(BJ971,"0000000000000,00"),",",""))</f>
        <v>000000000000000</v>
      </c>
      <c r="BL971" s="23">
        <f t="shared" si="6012"/>
        <v>0</v>
      </c>
      <c r="BM971" s="49" t="str">
        <f t="shared" ref="BM971" si="6392">IF(BL971&lt;0,SUBSTITUTE(TEXT(BL971,"000000000000,00"),",",""),SUBSTITUTE(TEXT(BL971,"0000000000000,00"),",",""))</f>
        <v>000000000000000</v>
      </c>
      <c r="BN971" t="str">
        <f t="shared" si="6014"/>
        <v>PES</v>
      </c>
      <c r="BO971" t="str">
        <f t="shared" si="6015"/>
        <v>0001000000</v>
      </c>
      <c r="BP971">
        <f t="shared" si="6016"/>
        <v>0</v>
      </c>
      <c r="BQ971">
        <f t="shared" si="6017"/>
        <v>0</v>
      </c>
      <c r="BR971" s="23">
        <f t="shared" si="6018"/>
        <v>0</v>
      </c>
      <c r="BS971" s="49" t="str">
        <f t="shared" si="5983"/>
        <v>000000000000000</v>
      </c>
      <c r="BT971" t="str">
        <f t="shared" si="6019"/>
        <v>00000000</v>
      </c>
      <c r="BU971" s="23">
        <f t="shared" si="6020"/>
        <v>0</v>
      </c>
      <c r="BV971" s="49" t="str">
        <f t="shared" si="5984"/>
        <v/>
      </c>
      <c r="BW971" s="52" t="str">
        <f t="shared" si="6021"/>
        <v/>
      </c>
      <c r="BX971" s="23">
        <f t="shared" si="6022"/>
        <v>0</v>
      </c>
      <c r="BY971" s="49" t="str">
        <f t="shared" si="5985"/>
        <v/>
      </c>
      <c r="BZ971" s="23">
        <f t="shared" si="6023"/>
        <v>0</v>
      </c>
      <c r="CA971" s="49" t="str">
        <f t="shared" si="5986"/>
        <v/>
      </c>
      <c r="CB971" s="52" t="str">
        <f t="shared" si="6024"/>
        <v/>
      </c>
      <c r="CC971" s="23">
        <f t="shared" si="6025"/>
        <v>0</v>
      </c>
      <c r="CD971" s="49" t="str">
        <f t="shared" si="5987"/>
        <v/>
      </c>
      <c r="CE971" s="56" t="str">
        <f>IF(CF971="","",MAX(CE$10:$CE970)+1)</f>
        <v/>
      </c>
      <c r="CF971" t="str">
        <f t="shared" si="6026"/>
        <v/>
      </c>
      <c r="CG971" s="22" t="str">
        <f>IF(CH971="","",MAX($CG$10:CG970)+1)</f>
        <v/>
      </c>
      <c r="CH971" s="22" t="str">
        <f t="shared" si="5971"/>
        <v/>
      </c>
      <c r="CI971" s="22" t="str">
        <f>IF(CJ971="","",MAX($CI$10:CI970)+1)</f>
        <v/>
      </c>
      <c r="CJ971" s="22" t="str">
        <f t="shared" si="5972"/>
        <v/>
      </c>
    </row>
    <row r="972" spans="2:88" x14ac:dyDescent="0.25">
      <c r="B972" s="37"/>
      <c r="C972" s="3"/>
      <c r="D972" s="77" t="str">
        <f t="shared" ref="D972:D1011" si="6393">IF(B972="","",IF(ISERROR(VLOOKUP(C972,T_CompVentas,2,FALSE)),"",VLOOKUP(C972,T_CompVentas,2,FALSE)))</f>
        <v/>
      </c>
      <c r="E972" s="38"/>
      <c r="F972" s="38"/>
      <c r="G972" s="78">
        <f t="shared" si="5973"/>
        <v>0</v>
      </c>
      <c r="H972" s="3">
        <v>80</v>
      </c>
      <c r="I972" s="77" t="str">
        <f t="shared" ref="I972:I1011" si="6394">IF(B972="","",IF(H972="","",IF(ISERROR(VLOOKUP(H972,T_Documentos,2,FALSE)),"",VLOOKUP(H972,T_Documentos,2,FALSE))))</f>
        <v/>
      </c>
      <c r="J972" s="32"/>
      <c r="K972" s="3"/>
      <c r="L972" s="39"/>
      <c r="M972" s="39"/>
      <c r="N972" s="39"/>
      <c r="O972" s="39"/>
      <c r="P972" s="39"/>
      <c r="Q972" s="39"/>
      <c r="R972" s="39"/>
      <c r="S972" s="39"/>
      <c r="T972" s="3" t="s">
        <v>645</v>
      </c>
      <c r="U972" s="77" t="str">
        <f t="shared" ref="U972:U1011" si="6395">IF(B972="","",IF(ISERROR(VLOOKUP(T972,T_Monedas,2,FALSE)),"",VLOOKUP(T972,T_Monedas,2,FALSE)))</f>
        <v/>
      </c>
      <c r="V972" s="39">
        <v>1</v>
      </c>
      <c r="W972" s="79">
        <f t="shared" si="5974"/>
        <v>0</v>
      </c>
      <c r="X972" s="3">
        <v>0</v>
      </c>
      <c r="Y972" s="77" t="str">
        <f t="shared" ref="Y972:Y1011" si="6396">IF(B972="","",IF(ISERROR(VLOOKUP(X972,T_CodOperVentas,2,FALSE)),"",VLOOKUP(X972,T_CodOperVentas,2,FALSE)))</f>
        <v/>
      </c>
      <c r="Z972" s="3"/>
      <c r="AA972" s="37" t="str">
        <f t="shared" si="5975"/>
        <v/>
      </c>
      <c r="AC972" s="40"/>
      <c r="AD972" s="7"/>
      <c r="AE972" s="77" t="str">
        <f t="shared" ref="AE972:AE1011" si="6397">IF(B972="","",IF(AD972="","",IF(ISERROR(VLOOKUP(AD972,T_Alicuotas,2,FALSE)),"",VLOOKUP(AD972,T_Alicuotas,2,FALSE))))</f>
        <v/>
      </c>
      <c r="AF972" s="81">
        <f t="shared" si="5988"/>
        <v>0</v>
      </c>
      <c r="AG972" s="40"/>
      <c r="AH972" s="7"/>
      <c r="AI972" s="77" t="str">
        <f t="shared" ref="AI972:AI1011" si="6398">IF(B972="","",IF(AH972="","",IF(ISERROR(VLOOKUP(AH972,T_Alicuotas,2,FALSE)),"",VLOOKUP(AH972,T_Alicuotas,2,FALSE))))</f>
        <v/>
      </c>
      <c r="AJ972" s="81">
        <f t="shared" si="5989"/>
        <v>0</v>
      </c>
      <c r="AK972" s="83">
        <f t="shared" si="5990"/>
        <v>0</v>
      </c>
      <c r="AL972" s="83">
        <f t="shared" si="5991"/>
        <v>0</v>
      </c>
      <c r="AN972" s="43">
        <f t="shared" ref="AN972:AN1011" si="6399">+L972-M972-N972-O972-P972-Q972-R972-S972-AC972-AF972-AG972-AJ972</f>
        <v>0</v>
      </c>
      <c r="AP972" t="str">
        <f t="shared" si="5992"/>
        <v/>
      </c>
      <c r="AQ972" t="str">
        <f t="shared" si="5993"/>
        <v/>
      </c>
      <c r="AR972" t="str">
        <f t="shared" si="5994"/>
        <v/>
      </c>
      <c r="AS972" t="str">
        <f t="shared" si="5995"/>
        <v/>
      </c>
      <c r="AT972" t="str">
        <f t="shared" si="5996"/>
        <v/>
      </c>
      <c r="AU972" t="str">
        <f t="shared" si="5997"/>
        <v/>
      </c>
      <c r="AV972" t="str">
        <f t="shared" si="5998"/>
        <v/>
      </c>
      <c r="AW972" t="str">
        <f t="shared" si="5999"/>
        <v xml:space="preserve">                              </v>
      </c>
      <c r="AX972" s="23">
        <f t="shared" si="6000"/>
        <v>0</v>
      </c>
      <c r="AY972" s="49" t="str">
        <f t="shared" si="5976"/>
        <v>000000000000000</v>
      </c>
      <c r="AZ972" s="23">
        <f t="shared" si="6001"/>
        <v>0</v>
      </c>
      <c r="BA972" s="49" t="str">
        <f t="shared" si="5976"/>
        <v>000000000000000</v>
      </c>
      <c r="BB972" s="23">
        <f t="shared" si="6002"/>
        <v>0</v>
      </c>
      <c r="BC972" s="49" t="str">
        <f t="shared" ref="BC972" si="6400">IF(BB972&lt;0,SUBSTITUTE(TEXT(BB972,"000000000000,00"),",",""),SUBSTITUTE(TEXT(BB972,"0000000000000,00"),",",""))</f>
        <v>000000000000000</v>
      </c>
      <c r="BD972" s="23">
        <f t="shared" si="6004"/>
        <v>0</v>
      </c>
      <c r="BE972" s="49" t="str">
        <f t="shared" ref="BE972" si="6401">IF(BD972&lt;0,SUBSTITUTE(TEXT(BD972,"000000000000,00"),",",""),SUBSTITUTE(TEXT(BD972,"0000000000000,00"),",",""))</f>
        <v>000000000000000</v>
      </c>
      <c r="BF972" s="23">
        <f t="shared" si="6006"/>
        <v>0</v>
      </c>
      <c r="BG972" s="49" t="str">
        <f t="shared" ref="BG972" si="6402">IF(BF972&lt;0,SUBSTITUTE(TEXT(BF972,"000000000000,00"),",",""),SUBSTITUTE(TEXT(BF972,"0000000000000,00"),",",""))</f>
        <v>000000000000000</v>
      </c>
      <c r="BH972" s="23">
        <f t="shared" si="6008"/>
        <v>0</v>
      </c>
      <c r="BI972" s="49" t="str">
        <f t="shared" ref="BI972" si="6403">IF(BH972&lt;0,SUBSTITUTE(TEXT(BH972,"000000000000,00"),",",""),SUBSTITUTE(TEXT(BH972,"0000000000000,00"),",",""))</f>
        <v>000000000000000</v>
      </c>
      <c r="BJ972" s="23">
        <f t="shared" si="6010"/>
        <v>0</v>
      </c>
      <c r="BK972" s="49" t="str">
        <f t="shared" ref="BK972" si="6404">IF(BJ972&lt;0,SUBSTITUTE(TEXT(BJ972,"000000000000,00"),",",""),SUBSTITUTE(TEXT(BJ972,"0000000000000,00"),",",""))</f>
        <v>000000000000000</v>
      </c>
      <c r="BL972" s="23">
        <f t="shared" si="6012"/>
        <v>0</v>
      </c>
      <c r="BM972" s="49" t="str">
        <f t="shared" ref="BM972" si="6405">IF(BL972&lt;0,SUBSTITUTE(TEXT(BL972,"000000000000,00"),",",""),SUBSTITUTE(TEXT(BL972,"0000000000000,00"),",",""))</f>
        <v>000000000000000</v>
      </c>
      <c r="BN972" t="str">
        <f t="shared" si="6014"/>
        <v>PES</v>
      </c>
      <c r="BO972" t="str">
        <f t="shared" si="6015"/>
        <v>0001000000</v>
      </c>
      <c r="BP972">
        <f t="shared" si="6016"/>
        <v>0</v>
      </c>
      <c r="BQ972">
        <f t="shared" si="6017"/>
        <v>0</v>
      </c>
      <c r="BR972" s="23">
        <f t="shared" si="6018"/>
        <v>0</v>
      </c>
      <c r="BS972" s="49" t="str">
        <f t="shared" si="5983"/>
        <v>000000000000000</v>
      </c>
      <c r="BT972" t="str">
        <f t="shared" si="6019"/>
        <v>00000000</v>
      </c>
      <c r="BU972" s="23">
        <f t="shared" si="6020"/>
        <v>0</v>
      </c>
      <c r="BV972" s="49" t="str">
        <f t="shared" si="5984"/>
        <v/>
      </c>
      <c r="BW972" s="52" t="str">
        <f t="shared" si="6021"/>
        <v/>
      </c>
      <c r="BX972" s="23">
        <f t="shared" si="6022"/>
        <v>0</v>
      </c>
      <c r="BY972" s="49" t="str">
        <f t="shared" si="5985"/>
        <v/>
      </c>
      <c r="BZ972" s="23">
        <f t="shared" si="6023"/>
        <v>0</v>
      </c>
      <c r="CA972" s="49" t="str">
        <f t="shared" si="5986"/>
        <v/>
      </c>
      <c r="CB972" s="52" t="str">
        <f t="shared" si="6024"/>
        <v/>
      </c>
      <c r="CC972" s="23">
        <f t="shared" si="6025"/>
        <v>0</v>
      </c>
      <c r="CD972" s="49" t="str">
        <f t="shared" si="5987"/>
        <v/>
      </c>
      <c r="CE972" s="56" t="str">
        <f>IF(CF972="","",MAX(CE$10:$CE971)+1)</f>
        <v/>
      </c>
      <c r="CF972" t="str">
        <f t="shared" si="6026"/>
        <v/>
      </c>
      <c r="CG972" s="22" t="str">
        <f>IF(CH972="","",MAX($CG$10:CG971)+1)</f>
        <v/>
      </c>
      <c r="CH972" s="22" t="str">
        <f t="shared" ref="CH972:CH1011" si="6406">IF(BV972="","",AQ972&amp;AR972&amp;AS972&amp;BV972&amp;BW972&amp;BY972)</f>
        <v/>
      </c>
      <c r="CI972" s="22" t="str">
        <f>IF(CJ972="","",MAX($CI$10:CI971)+1)</f>
        <v/>
      </c>
      <c r="CJ972" s="22" t="str">
        <f t="shared" ref="CJ972:CJ1011" si="6407">IF(CA972="","",AQ972&amp;AR972&amp;AS972&amp;CA972&amp;CB972&amp;CD972)</f>
        <v/>
      </c>
    </row>
    <row r="973" spans="2:88" x14ac:dyDescent="0.25">
      <c r="B973" s="37"/>
      <c r="C973" s="3"/>
      <c r="D973" s="77" t="str">
        <f t="shared" si="6393"/>
        <v/>
      </c>
      <c r="E973" s="38"/>
      <c r="F973" s="38"/>
      <c r="G973" s="78">
        <f t="shared" ref="G973:G1011" si="6408">+F973</f>
        <v>0</v>
      </c>
      <c r="H973" s="3">
        <v>80</v>
      </c>
      <c r="I973" s="77" t="str">
        <f t="shared" si="6394"/>
        <v/>
      </c>
      <c r="J973" s="32"/>
      <c r="K973" s="3"/>
      <c r="L973" s="39"/>
      <c r="M973" s="39"/>
      <c r="N973" s="39"/>
      <c r="O973" s="39"/>
      <c r="P973" s="39"/>
      <c r="Q973" s="39"/>
      <c r="R973" s="39"/>
      <c r="S973" s="39"/>
      <c r="T973" s="3" t="s">
        <v>645</v>
      </c>
      <c r="U973" s="77" t="str">
        <f t="shared" si="6395"/>
        <v/>
      </c>
      <c r="V973" s="39">
        <v>1</v>
      </c>
      <c r="W973" s="79">
        <f t="shared" ref="W973:W1011" si="6409">IF(AD973="",0,1)+IF(OR(AH973=""),0,1)</f>
        <v>0</v>
      </c>
      <c r="X973" s="3">
        <v>0</v>
      </c>
      <c r="Y973" s="77" t="str">
        <f t="shared" si="6396"/>
        <v/>
      </c>
      <c r="Z973" s="3"/>
      <c r="AA973" s="37" t="str">
        <f t="shared" ref="AA973:AA1011" si="6410">IF(OR(B973="",C973=82),"",B973)</f>
        <v/>
      </c>
      <c r="AC973" s="40"/>
      <c r="AD973" s="7"/>
      <c r="AE973" s="77" t="str">
        <f t="shared" si="6397"/>
        <v/>
      </c>
      <c r="AF973" s="81">
        <f t="shared" si="5988"/>
        <v>0</v>
      </c>
      <c r="AG973" s="40"/>
      <c r="AH973" s="7"/>
      <c r="AI973" s="77" t="str">
        <f t="shared" si="6398"/>
        <v/>
      </c>
      <c r="AJ973" s="81">
        <f t="shared" si="5989"/>
        <v>0</v>
      </c>
      <c r="AK973" s="83">
        <f t="shared" si="5990"/>
        <v>0</v>
      </c>
      <c r="AL973" s="83">
        <f t="shared" si="5991"/>
        <v>0</v>
      </c>
      <c r="AN973" s="43">
        <f t="shared" si="6399"/>
        <v>0</v>
      </c>
      <c r="AP973" t="str">
        <f t="shared" si="5992"/>
        <v/>
      </c>
      <c r="AQ973" t="str">
        <f t="shared" si="5993"/>
        <v/>
      </c>
      <c r="AR973" t="str">
        <f t="shared" si="5994"/>
        <v/>
      </c>
      <c r="AS973" t="str">
        <f t="shared" si="5995"/>
        <v/>
      </c>
      <c r="AT973" t="str">
        <f t="shared" si="5996"/>
        <v/>
      </c>
      <c r="AU973" t="str">
        <f t="shared" si="5997"/>
        <v/>
      </c>
      <c r="AV973" t="str">
        <f t="shared" si="5998"/>
        <v/>
      </c>
      <c r="AW973" t="str">
        <f t="shared" si="5999"/>
        <v xml:space="preserve">                              </v>
      </c>
      <c r="AX973" s="23">
        <f t="shared" si="6000"/>
        <v>0</v>
      </c>
      <c r="AY973" s="49" t="str">
        <f t="shared" ref="AY973:BA1011" si="6411">IF(AX973&lt;0,SUBSTITUTE(TEXT(AX973,"000000000000,00"),",",""),SUBSTITUTE(TEXT(AX973,"0000000000000,00"),",",""))</f>
        <v>000000000000000</v>
      </c>
      <c r="AZ973" s="23">
        <f t="shared" si="6001"/>
        <v>0</v>
      </c>
      <c r="BA973" s="49" t="str">
        <f t="shared" si="6411"/>
        <v>000000000000000</v>
      </c>
      <c r="BB973" s="23">
        <f t="shared" si="6002"/>
        <v>0</v>
      </c>
      <c r="BC973" s="49" t="str">
        <f t="shared" ref="BC973" si="6412">IF(BB973&lt;0,SUBSTITUTE(TEXT(BB973,"000000000000,00"),",",""),SUBSTITUTE(TEXT(BB973,"0000000000000,00"),",",""))</f>
        <v>000000000000000</v>
      </c>
      <c r="BD973" s="23">
        <f t="shared" si="6004"/>
        <v>0</v>
      </c>
      <c r="BE973" s="49" t="str">
        <f t="shared" ref="BE973" si="6413">IF(BD973&lt;0,SUBSTITUTE(TEXT(BD973,"000000000000,00"),",",""),SUBSTITUTE(TEXT(BD973,"0000000000000,00"),",",""))</f>
        <v>000000000000000</v>
      </c>
      <c r="BF973" s="23">
        <f t="shared" si="6006"/>
        <v>0</v>
      </c>
      <c r="BG973" s="49" t="str">
        <f t="shared" ref="BG973" si="6414">IF(BF973&lt;0,SUBSTITUTE(TEXT(BF973,"000000000000,00"),",",""),SUBSTITUTE(TEXT(BF973,"0000000000000,00"),",",""))</f>
        <v>000000000000000</v>
      </c>
      <c r="BH973" s="23">
        <f t="shared" si="6008"/>
        <v>0</v>
      </c>
      <c r="BI973" s="49" t="str">
        <f t="shared" ref="BI973" si="6415">IF(BH973&lt;0,SUBSTITUTE(TEXT(BH973,"000000000000,00"),",",""),SUBSTITUTE(TEXT(BH973,"0000000000000,00"),",",""))</f>
        <v>000000000000000</v>
      </c>
      <c r="BJ973" s="23">
        <f t="shared" si="6010"/>
        <v>0</v>
      </c>
      <c r="BK973" s="49" t="str">
        <f t="shared" ref="BK973" si="6416">IF(BJ973&lt;0,SUBSTITUTE(TEXT(BJ973,"000000000000,00"),",",""),SUBSTITUTE(TEXT(BJ973,"0000000000000,00"),",",""))</f>
        <v>000000000000000</v>
      </c>
      <c r="BL973" s="23">
        <f t="shared" si="6012"/>
        <v>0</v>
      </c>
      <c r="BM973" s="49" t="str">
        <f t="shared" ref="BM973" si="6417">IF(BL973&lt;0,SUBSTITUTE(TEXT(BL973,"000000000000,00"),",",""),SUBSTITUTE(TEXT(BL973,"0000000000000,00"),",",""))</f>
        <v>000000000000000</v>
      </c>
      <c r="BN973" t="str">
        <f t="shared" si="6014"/>
        <v>PES</v>
      </c>
      <c r="BO973" t="str">
        <f t="shared" si="6015"/>
        <v>0001000000</v>
      </c>
      <c r="BP973">
        <f t="shared" si="6016"/>
        <v>0</v>
      </c>
      <c r="BQ973">
        <f t="shared" si="6017"/>
        <v>0</v>
      </c>
      <c r="BR973" s="23">
        <f t="shared" si="6018"/>
        <v>0</v>
      </c>
      <c r="BS973" s="49" t="str">
        <f t="shared" ref="BS973:BS1011" si="6418">IF(BR973&lt;0,SUBSTITUTE(TEXT(BR973,"000000000000,00"),",",""),SUBSTITUTE(TEXT(BR973,"0000000000000,00"),",",""))</f>
        <v>000000000000000</v>
      </c>
      <c r="BT973" t="str">
        <f t="shared" si="6019"/>
        <v>00000000</v>
      </c>
      <c r="BU973" s="23">
        <f t="shared" si="6020"/>
        <v>0</v>
      </c>
      <c r="BV973" s="49" t="str">
        <f t="shared" ref="BV973:BV1011" si="6419">IF(BW973="","",IF(BU973&lt;0,SUBSTITUTE(TEXT(BU973,"000000000000,00"),",",""),SUBSTITUTE(TEXT(BU973,"0000000000000,00"),",","")))</f>
        <v/>
      </c>
      <c r="BW973" s="52" t="str">
        <f t="shared" si="6021"/>
        <v/>
      </c>
      <c r="BX973" s="23">
        <f t="shared" si="6022"/>
        <v>0</v>
      </c>
      <c r="BY973" s="49" t="str">
        <f t="shared" ref="BY973:BY1011" si="6420">IF(BW973="","",IF(BX973&lt;0,SUBSTITUTE(TEXT(BX973,"000000000000,00"),",",""),SUBSTITUTE(TEXT(BX973,"0000000000000,00"),",","")))</f>
        <v/>
      </c>
      <c r="BZ973" s="23">
        <f t="shared" si="6023"/>
        <v>0</v>
      </c>
      <c r="CA973" s="49" t="str">
        <f t="shared" ref="CA973:CA1011" si="6421">IF(CB973="","",IF(BZ973&lt;0,SUBSTITUTE(TEXT(BZ973,"000000000000,00"),",",""),SUBSTITUTE(TEXT(BZ973,"0000000000000,00"),",","")))</f>
        <v/>
      </c>
      <c r="CB973" s="52" t="str">
        <f t="shared" si="6024"/>
        <v/>
      </c>
      <c r="CC973" s="23">
        <f t="shared" si="6025"/>
        <v>0</v>
      </c>
      <c r="CD973" s="49" t="str">
        <f t="shared" ref="CD973:CD1011" si="6422">IF(CB973="","",IF(CC973&lt;0,SUBSTITUTE(TEXT(CC973,"000000000000,00"),",",""),SUBSTITUTE(TEXT(CC973,"0000000000000,00"),",","")))</f>
        <v/>
      </c>
      <c r="CE973" s="56" t="str">
        <f>IF(CF973="","",MAX(CE$10:$CE972)+1)</f>
        <v/>
      </c>
      <c r="CF973" t="str">
        <f t="shared" si="6026"/>
        <v/>
      </c>
      <c r="CG973" s="22" t="str">
        <f>IF(CH973="","",MAX($CG$10:CG972)+1)</f>
        <v/>
      </c>
      <c r="CH973" s="22" t="str">
        <f t="shared" si="6406"/>
        <v/>
      </c>
      <c r="CI973" s="22" t="str">
        <f>IF(CJ973="","",MAX($CI$10:CI972)+1)</f>
        <v/>
      </c>
      <c r="CJ973" s="22" t="str">
        <f t="shared" si="6407"/>
        <v/>
      </c>
    </row>
    <row r="974" spans="2:88" x14ac:dyDescent="0.25">
      <c r="B974" s="37"/>
      <c r="C974" s="3"/>
      <c r="D974" s="77" t="str">
        <f t="shared" si="6393"/>
        <v/>
      </c>
      <c r="E974" s="38"/>
      <c r="F974" s="38"/>
      <c r="G974" s="78">
        <f t="shared" si="6408"/>
        <v>0</v>
      </c>
      <c r="H974" s="3">
        <v>80</v>
      </c>
      <c r="I974" s="77" t="str">
        <f t="shared" si="6394"/>
        <v/>
      </c>
      <c r="J974" s="32"/>
      <c r="K974" s="3"/>
      <c r="L974" s="39"/>
      <c r="M974" s="39"/>
      <c r="N974" s="39"/>
      <c r="O974" s="39"/>
      <c r="P974" s="39"/>
      <c r="Q974" s="39"/>
      <c r="R974" s="39"/>
      <c r="S974" s="39"/>
      <c r="T974" s="3" t="s">
        <v>645</v>
      </c>
      <c r="U974" s="77" t="str">
        <f t="shared" si="6395"/>
        <v/>
      </c>
      <c r="V974" s="39">
        <v>1</v>
      </c>
      <c r="W974" s="79">
        <f t="shared" si="6409"/>
        <v>0</v>
      </c>
      <c r="X974" s="3">
        <v>0</v>
      </c>
      <c r="Y974" s="77" t="str">
        <f t="shared" si="6396"/>
        <v/>
      </c>
      <c r="Z974" s="3"/>
      <c r="AA974" s="37" t="str">
        <f t="shared" si="6410"/>
        <v/>
      </c>
      <c r="AC974" s="40"/>
      <c r="AD974" s="7"/>
      <c r="AE974" s="77" t="str">
        <f t="shared" si="6397"/>
        <v/>
      </c>
      <c r="AF974" s="81">
        <f t="shared" ref="AF974:AF1011" si="6423">ROUND(AC974*AD974/100,2)</f>
        <v>0</v>
      </c>
      <c r="AG974" s="40"/>
      <c r="AH974" s="7"/>
      <c r="AI974" s="77" t="str">
        <f t="shared" si="6398"/>
        <v/>
      </c>
      <c r="AJ974" s="81">
        <f t="shared" ref="AJ974:AJ1011" si="6424">ROUND(AG974*AH974/100,2)</f>
        <v>0</v>
      </c>
      <c r="AK974" s="83">
        <f t="shared" ref="AK974:AK1011" si="6425">+AC974+AG974</f>
        <v>0</v>
      </c>
      <c r="AL974" s="83">
        <f t="shared" ref="AL974:AL1011" si="6426">+AF974+AJ974</f>
        <v>0</v>
      </c>
      <c r="AN974" s="43">
        <f t="shared" si="6399"/>
        <v>0</v>
      </c>
      <c r="AP974" t="str">
        <f t="shared" ref="AP974:AP1011" si="6427">IF(B974="","",TEXT(B974,$AP$8))</f>
        <v/>
      </c>
      <c r="AQ974" t="str">
        <f t="shared" ref="AQ974:AQ1011" si="6428">IF(B974="","",IF(C974="","",TEXT(C974,"000")))</f>
        <v/>
      </c>
      <c r="AR974" t="str">
        <f t="shared" ref="AR974:AR1011" si="6429">IF(B974="","",IF(E974="","00000",TEXT(RIGHT(E974,5),"00000")))</f>
        <v/>
      </c>
      <c r="AS974" t="str">
        <f t="shared" ref="AS974:AS1011" si="6430">IF(B974="","",IF(F974="","00000000000000000000",TEXT(RIGHT(F974,20),"00000000000000000000")))</f>
        <v/>
      </c>
      <c r="AT974" t="str">
        <f t="shared" ref="AT974:AT1011" si="6431">IF(B974="","",IF(G974="","00000000000000000000",TEXT(RIGHT(G974,20),"00000000000000000000")))</f>
        <v/>
      </c>
      <c r="AU974" t="str">
        <f t="shared" ref="AU974:AU1011" si="6432">IF(B974="","",IF(C974="","",TEXT(RIGHT(H974,4),"00")))</f>
        <v/>
      </c>
      <c r="AV974" t="str">
        <f t="shared" ref="AV974:AV1011" si="6433">IF(B974="","",TEXT(SUBSTITUTE(J974,"-",""),"00000000000000000000"))</f>
        <v/>
      </c>
      <c r="AW974" t="str">
        <f t="shared" ref="AW974:AW1011" si="6434">IF(LEN(K974)&gt;30,LEFT(K974,30),K974&amp;REPT(" ",30-LEN(K974)))</f>
        <v xml:space="preserve">                              </v>
      </c>
      <c r="AX974" s="23">
        <f t="shared" ref="AX974:AX1011" si="6435">IF(TRIM(L974)="",0,TRUNC(L974,2))</f>
        <v>0</v>
      </c>
      <c r="AY974" s="49" t="str">
        <f t="shared" si="6411"/>
        <v>000000000000000</v>
      </c>
      <c r="AZ974" s="23">
        <f t="shared" ref="AZ974:AZ1011" si="6436">IF(TRIM(M974)="",0,TRUNC(M974,2))</f>
        <v>0</v>
      </c>
      <c r="BA974" s="49" t="str">
        <f t="shared" si="6411"/>
        <v>000000000000000</v>
      </c>
      <c r="BB974" s="23">
        <f t="shared" ref="BB974:BB1011" si="6437">IF(TRIM(N974)="",0,TRUNC(N974,2))</f>
        <v>0</v>
      </c>
      <c r="BC974" s="49" t="str">
        <f t="shared" ref="BC974" si="6438">IF(BB974&lt;0,SUBSTITUTE(TEXT(BB974,"000000000000,00"),",",""),SUBSTITUTE(TEXT(BB974,"0000000000000,00"),",",""))</f>
        <v>000000000000000</v>
      </c>
      <c r="BD974" s="23">
        <f t="shared" ref="BD974:BD1011" si="6439">IF(TRIM(O974)="",0,TRUNC(O974,2))</f>
        <v>0</v>
      </c>
      <c r="BE974" s="49" t="str">
        <f t="shared" ref="BE974" si="6440">IF(BD974&lt;0,SUBSTITUTE(TEXT(BD974,"000000000000,00"),",",""),SUBSTITUTE(TEXT(BD974,"0000000000000,00"),",",""))</f>
        <v>000000000000000</v>
      </c>
      <c r="BF974" s="23">
        <f t="shared" ref="BF974:BF1011" si="6441">IF(TRIM(P974)="",0,TRUNC(P974,2))</f>
        <v>0</v>
      </c>
      <c r="BG974" s="49" t="str">
        <f t="shared" ref="BG974" si="6442">IF(BF974&lt;0,SUBSTITUTE(TEXT(BF974,"000000000000,00"),",",""),SUBSTITUTE(TEXT(BF974,"0000000000000,00"),",",""))</f>
        <v>000000000000000</v>
      </c>
      <c r="BH974" s="23">
        <f t="shared" ref="BH974:BH1011" si="6443">IF(TRIM(Q974)="",0,TRUNC(Q974,2))</f>
        <v>0</v>
      </c>
      <c r="BI974" s="49" t="str">
        <f t="shared" ref="BI974" si="6444">IF(BH974&lt;0,SUBSTITUTE(TEXT(BH974,"000000000000,00"),",",""),SUBSTITUTE(TEXT(BH974,"0000000000000,00"),",",""))</f>
        <v>000000000000000</v>
      </c>
      <c r="BJ974" s="23">
        <f t="shared" ref="BJ974:BJ1011" si="6445">IF(TRIM(R974)="",0,TRUNC(R974,2))</f>
        <v>0</v>
      </c>
      <c r="BK974" s="49" t="str">
        <f t="shared" ref="BK974" si="6446">IF(BJ974&lt;0,SUBSTITUTE(TEXT(BJ974,"000000000000,00"),",",""),SUBSTITUTE(TEXT(BJ974,"0000000000000,00"),",",""))</f>
        <v>000000000000000</v>
      </c>
      <c r="BL974" s="23">
        <f t="shared" ref="BL974:BL1011" si="6447">IF(TRIM(S974)="",0,TRUNC(S974,2))</f>
        <v>0</v>
      </c>
      <c r="BM974" s="49" t="str">
        <f t="shared" ref="BM974" si="6448">IF(BL974&lt;0,SUBSTITUTE(TEXT(BL974,"000000000000,00"),",",""),SUBSTITUTE(TEXT(BL974,"0000000000000,00"),",",""))</f>
        <v>000000000000000</v>
      </c>
      <c r="BN974" t="str">
        <f t="shared" ref="BN974:BN1011" si="6449">TEXT(T974,"000")</f>
        <v>PES</v>
      </c>
      <c r="BO974" t="str">
        <f t="shared" ref="BO974:BO1011" si="6450">IF(V974&lt;0,SUBSTITUTE(TEXT(V974,"000,000000"),",",""),SUBSTITUTE(TEXT(V974,"0000,000000"),",",""))</f>
        <v>0001000000</v>
      </c>
      <c r="BP974">
        <f t="shared" ref="BP974:BP1011" si="6451">W974</f>
        <v>0</v>
      </c>
      <c r="BQ974">
        <f t="shared" ref="BQ974:BQ1011" si="6452">X974</f>
        <v>0</v>
      </c>
      <c r="BR974" s="23">
        <f t="shared" ref="BR974:BR1011" si="6453">IF(TRIM(Z974)="",0,TRUNC(Z974,2))</f>
        <v>0</v>
      </c>
      <c r="BS974" s="49" t="str">
        <f t="shared" si="6418"/>
        <v>000000000000000</v>
      </c>
      <c r="BT974" t="str">
        <f t="shared" ref="BT974:BT1011" si="6454">IF(AA974="","00000000",TEXT(AA974,$AP$8))</f>
        <v>00000000</v>
      </c>
      <c r="BU974" s="23">
        <f t="shared" ref="BU974:BU1011" si="6455">IF(TRIM(AC974)="",0,TRUNC(AC974,2))</f>
        <v>0</v>
      </c>
      <c r="BV974" s="49" t="str">
        <f t="shared" si="6419"/>
        <v/>
      </c>
      <c r="BW974" s="52" t="str">
        <f t="shared" ref="BW974:BW1011" si="6456">IF(AE974="","",TEXT(AE974,"0000"))</f>
        <v/>
      </c>
      <c r="BX974" s="23">
        <f t="shared" ref="BX974:BX1011" si="6457">IF(TRIM(AF974)="",0,TRUNC(AF974,2))</f>
        <v>0</v>
      </c>
      <c r="BY974" s="49" t="str">
        <f t="shared" si="6420"/>
        <v/>
      </c>
      <c r="BZ974" s="23">
        <f t="shared" ref="BZ974:BZ1011" si="6458">IF(TRIM(AG974)="",0,TRUNC(AG974,2))</f>
        <v>0</v>
      </c>
      <c r="CA974" s="49" t="str">
        <f t="shared" si="6421"/>
        <v/>
      </c>
      <c r="CB974" s="52" t="str">
        <f t="shared" ref="CB974:CB1011" si="6459">IF(AI974="","",TEXT(AI974,"0000"))</f>
        <v/>
      </c>
      <c r="CC974" s="23">
        <f t="shared" ref="CC974:CC1011" si="6460">IF(TRIM(AJ974)="",0,TRUNC(AJ974,2))</f>
        <v>0</v>
      </c>
      <c r="CD974" s="49" t="str">
        <f t="shared" si="6422"/>
        <v/>
      </c>
      <c r="CE974" s="56" t="str">
        <f>IF(CF974="","",MAX(CE$10:$CE973)+1)</f>
        <v/>
      </c>
      <c r="CF974" t="str">
        <f t="shared" ref="CF974:CF1011" si="6461">IF(B974="","",AP974&amp;AQ974&amp;AR974&amp;AS974&amp;AT974&amp;AU974&amp;AV974&amp;AW974&amp;AY974&amp;BA974&amp;BC974&amp;BE974&amp;BG974&amp;BI974&amp;BK974&amp;BM974&amp;BN974&amp;BO974&amp;BP974&amp;BQ974&amp;BS974&amp;BT974)</f>
        <v/>
      </c>
      <c r="CG974" s="22" t="str">
        <f>IF(CH974="","",MAX($CG$10:CG973)+1)</f>
        <v/>
      </c>
      <c r="CH974" s="22" t="str">
        <f t="shared" si="6406"/>
        <v/>
      </c>
      <c r="CI974" s="22" t="str">
        <f>IF(CJ974="","",MAX($CI$10:CI973)+1)</f>
        <v/>
      </c>
      <c r="CJ974" s="22" t="str">
        <f t="shared" si="6407"/>
        <v/>
      </c>
    </row>
    <row r="975" spans="2:88" x14ac:dyDescent="0.25">
      <c r="B975" s="37"/>
      <c r="C975" s="3"/>
      <c r="D975" s="77" t="str">
        <f t="shared" si="6393"/>
        <v/>
      </c>
      <c r="E975" s="38"/>
      <c r="F975" s="38"/>
      <c r="G975" s="78">
        <f t="shared" si="6408"/>
        <v>0</v>
      </c>
      <c r="H975" s="3">
        <v>80</v>
      </c>
      <c r="I975" s="77" t="str">
        <f t="shared" si="6394"/>
        <v/>
      </c>
      <c r="J975" s="32"/>
      <c r="K975" s="3"/>
      <c r="L975" s="39"/>
      <c r="M975" s="39"/>
      <c r="N975" s="39"/>
      <c r="O975" s="39"/>
      <c r="P975" s="39"/>
      <c r="Q975" s="39"/>
      <c r="R975" s="39"/>
      <c r="S975" s="39"/>
      <c r="T975" s="3" t="s">
        <v>645</v>
      </c>
      <c r="U975" s="77" t="str">
        <f t="shared" si="6395"/>
        <v/>
      </c>
      <c r="V975" s="39">
        <v>1</v>
      </c>
      <c r="W975" s="79">
        <f t="shared" si="6409"/>
        <v>0</v>
      </c>
      <c r="X975" s="3">
        <v>0</v>
      </c>
      <c r="Y975" s="77" t="str">
        <f t="shared" si="6396"/>
        <v/>
      </c>
      <c r="Z975" s="3"/>
      <c r="AA975" s="37" t="str">
        <f t="shared" si="6410"/>
        <v/>
      </c>
      <c r="AC975" s="40"/>
      <c r="AD975" s="7"/>
      <c r="AE975" s="77" t="str">
        <f t="shared" si="6397"/>
        <v/>
      </c>
      <c r="AF975" s="81">
        <f t="shared" si="6423"/>
        <v>0</v>
      </c>
      <c r="AG975" s="40"/>
      <c r="AH975" s="7"/>
      <c r="AI975" s="77" t="str">
        <f t="shared" si="6398"/>
        <v/>
      </c>
      <c r="AJ975" s="81">
        <f t="shared" si="6424"/>
        <v>0</v>
      </c>
      <c r="AK975" s="83">
        <f t="shared" si="6425"/>
        <v>0</v>
      </c>
      <c r="AL975" s="83">
        <f t="shared" si="6426"/>
        <v>0</v>
      </c>
      <c r="AN975" s="43">
        <f t="shared" si="6399"/>
        <v>0</v>
      </c>
      <c r="AP975" t="str">
        <f t="shared" si="6427"/>
        <v/>
      </c>
      <c r="AQ975" t="str">
        <f t="shared" si="6428"/>
        <v/>
      </c>
      <c r="AR975" t="str">
        <f t="shared" si="6429"/>
        <v/>
      </c>
      <c r="AS975" t="str">
        <f t="shared" si="6430"/>
        <v/>
      </c>
      <c r="AT975" t="str">
        <f t="shared" si="6431"/>
        <v/>
      </c>
      <c r="AU975" t="str">
        <f t="shared" si="6432"/>
        <v/>
      </c>
      <c r="AV975" t="str">
        <f t="shared" si="6433"/>
        <v/>
      </c>
      <c r="AW975" t="str">
        <f t="shared" si="6434"/>
        <v xml:space="preserve">                              </v>
      </c>
      <c r="AX975" s="23">
        <f t="shared" si="6435"/>
        <v>0</v>
      </c>
      <c r="AY975" s="49" t="str">
        <f t="shared" si="6411"/>
        <v>000000000000000</v>
      </c>
      <c r="AZ975" s="23">
        <f t="shared" si="6436"/>
        <v>0</v>
      </c>
      <c r="BA975" s="49" t="str">
        <f t="shared" si="6411"/>
        <v>000000000000000</v>
      </c>
      <c r="BB975" s="23">
        <f t="shared" si="6437"/>
        <v>0</v>
      </c>
      <c r="BC975" s="49" t="str">
        <f t="shared" ref="BC975" si="6462">IF(BB975&lt;0,SUBSTITUTE(TEXT(BB975,"000000000000,00"),",",""),SUBSTITUTE(TEXT(BB975,"0000000000000,00"),",",""))</f>
        <v>000000000000000</v>
      </c>
      <c r="BD975" s="23">
        <f t="shared" si="6439"/>
        <v>0</v>
      </c>
      <c r="BE975" s="49" t="str">
        <f t="shared" ref="BE975" si="6463">IF(BD975&lt;0,SUBSTITUTE(TEXT(BD975,"000000000000,00"),",",""),SUBSTITUTE(TEXT(BD975,"0000000000000,00"),",",""))</f>
        <v>000000000000000</v>
      </c>
      <c r="BF975" s="23">
        <f t="shared" si="6441"/>
        <v>0</v>
      </c>
      <c r="BG975" s="49" t="str">
        <f t="shared" ref="BG975" si="6464">IF(BF975&lt;0,SUBSTITUTE(TEXT(BF975,"000000000000,00"),",",""),SUBSTITUTE(TEXT(BF975,"0000000000000,00"),",",""))</f>
        <v>000000000000000</v>
      </c>
      <c r="BH975" s="23">
        <f t="shared" si="6443"/>
        <v>0</v>
      </c>
      <c r="BI975" s="49" t="str">
        <f t="shared" ref="BI975" si="6465">IF(BH975&lt;0,SUBSTITUTE(TEXT(BH975,"000000000000,00"),",",""),SUBSTITUTE(TEXT(BH975,"0000000000000,00"),",",""))</f>
        <v>000000000000000</v>
      </c>
      <c r="BJ975" s="23">
        <f t="shared" si="6445"/>
        <v>0</v>
      </c>
      <c r="BK975" s="49" t="str">
        <f t="shared" ref="BK975" si="6466">IF(BJ975&lt;0,SUBSTITUTE(TEXT(BJ975,"000000000000,00"),",",""),SUBSTITUTE(TEXT(BJ975,"0000000000000,00"),",",""))</f>
        <v>000000000000000</v>
      </c>
      <c r="BL975" s="23">
        <f t="shared" si="6447"/>
        <v>0</v>
      </c>
      <c r="BM975" s="49" t="str">
        <f t="shared" ref="BM975" si="6467">IF(BL975&lt;0,SUBSTITUTE(TEXT(BL975,"000000000000,00"),",",""),SUBSTITUTE(TEXT(BL975,"0000000000000,00"),",",""))</f>
        <v>000000000000000</v>
      </c>
      <c r="BN975" t="str">
        <f t="shared" si="6449"/>
        <v>PES</v>
      </c>
      <c r="BO975" t="str">
        <f t="shared" si="6450"/>
        <v>0001000000</v>
      </c>
      <c r="BP975">
        <f t="shared" si="6451"/>
        <v>0</v>
      </c>
      <c r="BQ975">
        <f t="shared" si="6452"/>
        <v>0</v>
      </c>
      <c r="BR975" s="23">
        <f t="shared" si="6453"/>
        <v>0</v>
      </c>
      <c r="BS975" s="49" t="str">
        <f t="shared" si="6418"/>
        <v>000000000000000</v>
      </c>
      <c r="BT975" t="str">
        <f t="shared" si="6454"/>
        <v>00000000</v>
      </c>
      <c r="BU975" s="23">
        <f t="shared" si="6455"/>
        <v>0</v>
      </c>
      <c r="BV975" s="49" t="str">
        <f t="shared" si="6419"/>
        <v/>
      </c>
      <c r="BW975" s="52" t="str">
        <f t="shared" si="6456"/>
        <v/>
      </c>
      <c r="BX975" s="23">
        <f t="shared" si="6457"/>
        <v>0</v>
      </c>
      <c r="BY975" s="49" t="str">
        <f t="shared" si="6420"/>
        <v/>
      </c>
      <c r="BZ975" s="23">
        <f t="shared" si="6458"/>
        <v>0</v>
      </c>
      <c r="CA975" s="49" t="str">
        <f t="shared" si="6421"/>
        <v/>
      </c>
      <c r="CB975" s="52" t="str">
        <f t="shared" si="6459"/>
        <v/>
      </c>
      <c r="CC975" s="23">
        <f t="shared" si="6460"/>
        <v>0</v>
      </c>
      <c r="CD975" s="49" t="str">
        <f t="shared" si="6422"/>
        <v/>
      </c>
      <c r="CE975" s="56" t="str">
        <f>IF(CF975="","",MAX(CE$10:$CE974)+1)</f>
        <v/>
      </c>
      <c r="CF975" t="str">
        <f t="shared" si="6461"/>
        <v/>
      </c>
      <c r="CG975" s="22" t="str">
        <f>IF(CH975="","",MAX($CG$10:CG974)+1)</f>
        <v/>
      </c>
      <c r="CH975" s="22" t="str">
        <f t="shared" si="6406"/>
        <v/>
      </c>
      <c r="CI975" s="22" t="str">
        <f>IF(CJ975="","",MAX($CI$10:CI974)+1)</f>
        <v/>
      </c>
      <c r="CJ975" s="22" t="str">
        <f t="shared" si="6407"/>
        <v/>
      </c>
    </row>
    <row r="976" spans="2:88" x14ac:dyDescent="0.25">
      <c r="B976" s="37"/>
      <c r="C976" s="3"/>
      <c r="D976" s="77" t="str">
        <f t="shared" si="6393"/>
        <v/>
      </c>
      <c r="E976" s="38"/>
      <c r="F976" s="38"/>
      <c r="G976" s="78">
        <f t="shared" si="6408"/>
        <v>0</v>
      </c>
      <c r="H976" s="3">
        <v>80</v>
      </c>
      <c r="I976" s="77" t="str">
        <f t="shared" si="6394"/>
        <v/>
      </c>
      <c r="J976" s="32"/>
      <c r="K976" s="3"/>
      <c r="L976" s="39"/>
      <c r="M976" s="39"/>
      <c r="N976" s="39"/>
      <c r="O976" s="39"/>
      <c r="P976" s="39"/>
      <c r="Q976" s="39"/>
      <c r="R976" s="39"/>
      <c r="S976" s="39"/>
      <c r="T976" s="3" t="s">
        <v>645</v>
      </c>
      <c r="U976" s="77" t="str">
        <f t="shared" si="6395"/>
        <v/>
      </c>
      <c r="V976" s="39">
        <v>1</v>
      </c>
      <c r="W976" s="79">
        <f t="shared" si="6409"/>
        <v>0</v>
      </c>
      <c r="X976" s="3">
        <v>0</v>
      </c>
      <c r="Y976" s="77" t="str">
        <f t="shared" si="6396"/>
        <v/>
      </c>
      <c r="Z976" s="3"/>
      <c r="AA976" s="37" t="str">
        <f t="shared" si="6410"/>
        <v/>
      </c>
      <c r="AC976" s="40"/>
      <c r="AD976" s="7"/>
      <c r="AE976" s="77" t="str">
        <f t="shared" si="6397"/>
        <v/>
      </c>
      <c r="AF976" s="81">
        <f t="shared" si="6423"/>
        <v>0</v>
      </c>
      <c r="AG976" s="40"/>
      <c r="AH976" s="7"/>
      <c r="AI976" s="77" t="str">
        <f t="shared" si="6398"/>
        <v/>
      </c>
      <c r="AJ976" s="81">
        <f t="shared" si="6424"/>
        <v>0</v>
      </c>
      <c r="AK976" s="83">
        <f t="shared" si="6425"/>
        <v>0</v>
      </c>
      <c r="AL976" s="83">
        <f t="shared" si="6426"/>
        <v>0</v>
      </c>
      <c r="AN976" s="43">
        <f t="shared" si="6399"/>
        <v>0</v>
      </c>
      <c r="AP976" t="str">
        <f t="shared" si="6427"/>
        <v/>
      </c>
      <c r="AQ976" t="str">
        <f t="shared" si="6428"/>
        <v/>
      </c>
      <c r="AR976" t="str">
        <f t="shared" si="6429"/>
        <v/>
      </c>
      <c r="AS976" t="str">
        <f t="shared" si="6430"/>
        <v/>
      </c>
      <c r="AT976" t="str">
        <f t="shared" si="6431"/>
        <v/>
      </c>
      <c r="AU976" t="str">
        <f t="shared" si="6432"/>
        <v/>
      </c>
      <c r="AV976" t="str">
        <f t="shared" si="6433"/>
        <v/>
      </c>
      <c r="AW976" t="str">
        <f t="shared" si="6434"/>
        <v xml:space="preserve">                              </v>
      </c>
      <c r="AX976" s="23">
        <f t="shared" si="6435"/>
        <v>0</v>
      </c>
      <c r="AY976" s="49" t="str">
        <f t="shared" si="6411"/>
        <v>000000000000000</v>
      </c>
      <c r="AZ976" s="23">
        <f t="shared" si="6436"/>
        <v>0</v>
      </c>
      <c r="BA976" s="49" t="str">
        <f t="shared" si="6411"/>
        <v>000000000000000</v>
      </c>
      <c r="BB976" s="23">
        <f t="shared" si="6437"/>
        <v>0</v>
      </c>
      <c r="BC976" s="49" t="str">
        <f t="shared" ref="BC976" si="6468">IF(BB976&lt;0,SUBSTITUTE(TEXT(BB976,"000000000000,00"),",",""),SUBSTITUTE(TEXT(BB976,"0000000000000,00"),",",""))</f>
        <v>000000000000000</v>
      </c>
      <c r="BD976" s="23">
        <f t="shared" si="6439"/>
        <v>0</v>
      </c>
      <c r="BE976" s="49" t="str">
        <f t="shared" ref="BE976" si="6469">IF(BD976&lt;0,SUBSTITUTE(TEXT(BD976,"000000000000,00"),",",""),SUBSTITUTE(TEXT(BD976,"0000000000000,00"),",",""))</f>
        <v>000000000000000</v>
      </c>
      <c r="BF976" s="23">
        <f t="shared" si="6441"/>
        <v>0</v>
      </c>
      <c r="BG976" s="49" t="str">
        <f t="shared" ref="BG976" si="6470">IF(BF976&lt;0,SUBSTITUTE(TEXT(BF976,"000000000000,00"),",",""),SUBSTITUTE(TEXT(BF976,"0000000000000,00"),",",""))</f>
        <v>000000000000000</v>
      </c>
      <c r="BH976" s="23">
        <f t="shared" si="6443"/>
        <v>0</v>
      </c>
      <c r="BI976" s="49" t="str">
        <f t="shared" ref="BI976" si="6471">IF(BH976&lt;0,SUBSTITUTE(TEXT(BH976,"000000000000,00"),",",""),SUBSTITUTE(TEXT(BH976,"0000000000000,00"),",",""))</f>
        <v>000000000000000</v>
      </c>
      <c r="BJ976" s="23">
        <f t="shared" si="6445"/>
        <v>0</v>
      </c>
      <c r="BK976" s="49" t="str">
        <f t="shared" ref="BK976" si="6472">IF(BJ976&lt;0,SUBSTITUTE(TEXT(BJ976,"000000000000,00"),",",""),SUBSTITUTE(TEXT(BJ976,"0000000000000,00"),",",""))</f>
        <v>000000000000000</v>
      </c>
      <c r="BL976" s="23">
        <f t="shared" si="6447"/>
        <v>0</v>
      </c>
      <c r="BM976" s="49" t="str">
        <f t="shared" ref="BM976" si="6473">IF(BL976&lt;0,SUBSTITUTE(TEXT(BL976,"000000000000,00"),",",""),SUBSTITUTE(TEXT(BL976,"0000000000000,00"),",",""))</f>
        <v>000000000000000</v>
      </c>
      <c r="BN976" t="str">
        <f t="shared" si="6449"/>
        <v>PES</v>
      </c>
      <c r="BO976" t="str">
        <f t="shared" si="6450"/>
        <v>0001000000</v>
      </c>
      <c r="BP976">
        <f t="shared" si="6451"/>
        <v>0</v>
      </c>
      <c r="BQ976">
        <f t="shared" si="6452"/>
        <v>0</v>
      </c>
      <c r="BR976" s="23">
        <f t="shared" si="6453"/>
        <v>0</v>
      </c>
      <c r="BS976" s="49" t="str">
        <f t="shared" si="6418"/>
        <v>000000000000000</v>
      </c>
      <c r="BT976" t="str">
        <f t="shared" si="6454"/>
        <v>00000000</v>
      </c>
      <c r="BU976" s="23">
        <f t="shared" si="6455"/>
        <v>0</v>
      </c>
      <c r="BV976" s="49" t="str">
        <f t="shared" si="6419"/>
        <v/>
      </c>
      <c r="BW976" s="52" t="str">
        <f t="shared" si="6456"/>
        <v/>
      </c>
      <c r="BX976" s="23">
        <f t="shared" si="6457"/>
        <v>0</v>
      </c>
      <c r="BY976" s="49" t="str">
        <f t="shared" si="6420"/>
        <v/>
      </c>
      <c r="BZ976" s="23">
        <f t="shared" si="6458"/>
        <v>0</v>
      </c>
      <c r="CA976" s="49" t="str">
        <f t="shared" si="6421"/>
        <v/>
      </c>
      <c r="CB976" s="52" t="str">
        <f t="shared" si="6459"/>
        <v/>
      </c>
      <c r="CC976" s="23">
        <f t="shared" si="6460"/>
        <v>0</v>
      </c>
      <c r="CD976" s="49" t="str">
        <f t="shared" si="6422"/>
        <v/>
      </c>
      <c r="CE976" s="56" t="str">
        <f>IF(CF976="","",MAX(CE$10:$CE975)+1)</f>
        <v/>
      </c>
      <c r="CF976" t="str">
        <f t="shared" si="6461"/>
        <v/>
      </c>
      <c r="CG976" s="22" t="str">
        <f>IF(CH976="","",MAX($CG$10:CG975)+1)</f>
        <v/>
      </c>
      <c r="CH976" s="22" t="str">
        <f t="shared" si="6406"/>
        <v/>
      </c>
      <c r="CI976" s="22" t="str">
        <f>IF(CJ976="","",MAX($CI$10:CI975)+1)</f>
        <v/>
      </c>
      <c r="CJ976" s="22" t="str">
        <f t="shared" si="6407"/>
        <v/>
      </c>
    </row>
    <row r="977" spans="2:88" x14ac:dyDescent="0.25">
      <c r="B977" s="37"/>
      <c r="C977" s="3"/>
      <c r="D977" s="77" t="str">
        <f t="shared" si="6393"/>
        <v/>
      </c>
      <c r="E977" s="38"/>
      <c r="F977" s="38"/>
      <c r="G977" s="78">
        <f t="shared" si="6408"/>
        <v>0</v>
      </c>
      <c r="H977" s="3">
        <v>80</v>
      </c>
      <c r="I977" s="77" t="str">
        <f t="shared" si="6394"/>
        <v/>
      </c>
      <c r="J977" s="32"/>
      <c r="K977" s="3"/>
      <c r="L977" s="39"/>
      <c r="M977" s="39"/>
      <c r="N977" s="39"/>
      <c r="O977" s="39"/>
      <c r="P977" s="39"/>
      <c r="Q977" s="39"/>
      <c r="R977" s="39"/>
      <c r="S977" s="39"/>
      <c r="T977" s="3" t="s">
        <v>645</v>
      </c>
      <c r="U977" s="77" t="str">
        <f t="shared" si="6395"/>
        <v/>
      </c>
      <c r="V977" s="39">
        <v>1</v>
      </c>
      <c r="W977" s="79">
        <f t="shared" si="6409"/>
        <v>0</v>
      </c>
      <c r="X977" s="3">
        <v>0</v>
      </c>
      <c r="Y977" s="77" t="str">
        <f t="shared" si="6396"/>
        <v/>
      </c>
      <c r="Z977" s="3"/>
      <c r="AA977" s="37" t="str">
        <f t="shared" si="6410"/>
        <v/>
      </c>
      <c r="AC977" s="40"/>
      <c r="AD977" s="7"/>
      <c r="AE977" s="77" t="str">
        <f t="shared" si="6397"/>
        <v/>
      </c>
      <c r="AF977" s="81">
        <f t="shared" si="6423"/>
        <v>0</v>
      </c>
      <c r="AG977" s="40"/>
      <c r="AH977" s="7"/>
      <c r="AI977" s="77" t="str">
        <f t="shared" si="6398"/>
        <v/>
      </c>
      <c r="AJ977" s="81">
        <f t="shared" si="6424"/>
        <v>0</v>
      </c>
      <c r="AK977" s="83">
        <f t="shared" si="6425"/>
        <v>0</v>
      </c>
      <c r="AL977" s="83">
        <f t="shared" si="6426"/>
        <v>0</v>
      </c>
      <c r="AN977" s="43">
        <f t="shared" si="6399"/>
        <v>0</v>
      </c>
      <c r="AP977" t="str">
        <f t="shared" si="6427"/>
        <v/>
      </c>
      <c r="AQ977" t="str">
        <f t="shared" si="6428"/>
        <v/>
      </c>
      <c r="AR977" t="str">
        <f t="shared" si="6429"/>
        <v/>
      </c>
      <c r="AS977" t="str">
        <f t="shared" si="6430"/>
        <v/>
      </c>
      <c r="AT977" t="str">
        <f t="shared" si="6431"/>
        <v/>
      </c>
      <c r="AU977" t="str">
        <f t="shared" si="6432"/>
        <v/>
      </c>
      <c r="AV977" t="str">
        <f t="shared" si="6433"/>
        <v/>
      </c>
      <c r="AW977" t="str">
        <f t="shared" si="6434"/>
        <v xml:space="preserve">                              </v>
      </c>
      <c r="AX977" s="23">
        <f t="shared" si="6435"/>
        <v>0</v>
      </c>
      <c r="AY977" s="49" t="str">
        <f t="shared" si="6411"/>
        <v>000000000000000</v>
      </c>
      <c r="AZ977" s="23">
        <f t="shared" si="6436"/>
        <v>0</v>
      </c>
      <c r="BA977" s="49" t="str">
        <f t="shared" si="6411"/>
        <v>000000000000000</v>
      </c>
      <c r="BB977" s="23">
        <f t="shared" si="6437"/>
        <v>0</v>
      </c>
      <c r="BC977" s="49" t="str">
        <f t="shared" ref="BC977" si="6474">IF(BB977&lt;0,SUBSTITUTE(TEXT(BB977,"000000000000,00"),",",""),SUBSTITUTE(TEXT(BB977,"0000000000000,00"),",",""))</f>
        <v>000000000000000</v>
      </c>
      <c r="BD977" s="23">
        <f t="shared" si="6439"/>
        <v>0</v>
      </c>
      <c r="BE977" s="49" t="str">
        <f t="shared" ref="BE977" si="6475">IF(BD977&lt;0,SUBSTITUTE(TEXT(BD977,"000000000000,00"),",",""),SUBSTITUTE(TEXT(BD977,"0000000000000,00"),",",""))</f>
        <v>000000000000000</v>
      </c>
      <c r="BF977" s="23">
        <f t="shared" si="6441"/>
        <v>0</v>
      </c>
      <c r="BG977" s="49" t="str">
        <f t="shared" ref="BG977" si="6476">IF(BF977&lt;0,SUBSTITUTE(TEXT(BF977,"000000000000,00"),",",""),SUBSTITUTE(TEXT(BF977,"0000000000000,00"),",",""))</f>
        <v>000000000000000</v>
      </c>
      <c r="BH977" s="23">
        <f t="shared" si="6443"/>
        <v>0</v>
      </c>
      <c r="BI977" s="49" t="str">
        <f t="shared" ref="BI977" si="6477">IF(BH977&lt;0,SUBSTITUTE(TEXT(BH977,"000000000000,00"),",",""),SUBSTITUTE(TEXT(BH977,"0000000000000,00"),",",""))</f>
        <v>000000000000000</v>
      </c>
      <c r="BJ977" s="23">
        <f t="shared" si="6445"/>
        <v>0</v>
      </c>
      <c r="BK977" s="49" t="str">
        <f t="shared" ref="BK977" si="6478">IF(BJ977&lt;0,SUBSTITUTE(TEXT(BJ977,"000000000000,00"),",",""),SUBSTITUTE(TEXT(BJ977,"0000000000000,00"),",",""))</f>
        <v>000000000000000</v>
      </c>
      <c r="BL977" s="23">
        <f t="shared" si="6447"/>
        <v>0</v>
      </c>
      <c r="BM977" s="49" t="str">
        <f t="shared" ref="BM977" si="6479">IF(BL977&lt;0,SUBSTITUTE(TEXT(BL977,"000000000000,00"),",",""),SUBSTITUTE(TEXT(BL977,"0000000000000,00"),",",""))</f>
        <v>000000000000000</v>
      </c>
      <c r="BN977" t="str">
        <f t="shared" si="6449"/>
        <v>PES</v>
      </c>
      <c r="BO977" t="str">
        <f t="shared" si="6450"/>
        <v>0001000000</v>
      </c>
      <c r="BP977">
        <f t="shared" si="6451"/>
        <v>0</v>
      </c>
      <c r="BQ977">
        <f t="shared" si="6452"/>
        <v>0</v>
      </c>
      <c r="BR977" s="23">
        <f t="shared" si="6453"/>
        <v>0</v>
      </c>
      <c r="BS977" s="49" t="str">
        <f t="shared" si="6418"/>
        <v>000000000000000</v>
      </c>
      <c r="BT977" t="str">
        <f t="shared" si="6454"/>
        <v>00000000</v>
      </c>
      <c r="BU977" s="23">
        <f t="shared" si="6455"/>
        <v>0</v>
      </c>
      <c r="BV977" s="49" t="str">
        <f t="shared" si="6419"/>
        <v/>
      </c>
      <c r="BW977" s="52" t="str">
        <f t="shared" si="6456"/>
        <v/>
      </c>
      <c r="BX977" s="23">
        <f t="shared" si="6457"/>
        <v>0</v>
      </c>
      <c r="BY977" s="49" t="str">
        <f t="shared" si="6420"/>
        <v/>
      </c>
      <c r="BZ977" s="23">
        <f t="shared" si="6458"/>
        <v>0</v>
      </c>
      <c r="CA977" s="49" t="str">
        <f t="shared" si="6421"/>
        <v/>
      </c>
      <c r="CB977" s="52" t="str">
        <f t="shared" si="6459"/>
        <v/>
      </c>
      <c r="CC977" s="23">
        <f t="shared" si="6460"/>
        <v>0</v>
      </c>
      <c r="CD977" s="49" t="str">
        <f t="shared" si="6422"/>
        <v/>
      </c>
      <c r="CE977" s="56" t="str">
        <f>IF(CF977="","",MAX(CE$10:$CE976)+1)</f>
        <v/>
      </c>
      <c r="CF977" t="str">
        <f t="shared" si="6461"/>
        <v/>
      </c>
      <c r="CG977" s="22" t="str">
        <f>IF(CH977="","",MAX($CG$10:CG976)+1)</f>
        <v/>
      </c>
      <c r="CH977" s="22" t="str">
        <f t="shared" si="6406"/>
        <v/>
      </c>
      <c r="CI977" s="22" t="str">
        <f>IF(CJ977="","",MAX($CI$10:CI976)+1)</f>
        <v/>
      </c>
      <c r="CJ977" s="22" t="str">
        <f t="shared" si="6407"/>
        <v/>
      </c>
    </row>
    <row r="978" spans="2:88" x14ac:dyDescent="0.25">
      <c r="B978" s="37"/>
      <c r="C978" s="3"/>
      <c r="D978" s="77" t="str">
        <f t="shared" si="6393"/>
        <v/>
      </c>
      <c r="E978" s="38"/>
      <c r="F978" s="38"/>
      <c r="G978" s="78">
        <f t="shared" si="6408"/>
        <v>0</v>
      </c>
      <c r="H978" s="3">
        <v>80</v>
      </c>
      <c r="I978" s="77" t="str">
        <f t="shared" si="6394"/>
        <v/>
      </c>
      <c r="J978" s="32"/>
      <c r="K978" s="3"/>
      <c r="L978" s="39"/>
      <c r="M978" s="39"/>
      <c r="N978" s="39"/>
      <c r="O978" s="39"/>
      <c r="P978" s="39"/>
      <c r="Q978" s="39"/>
      <c r="R978" s="39"/>
      <c r="S978" s="39"/>
      <c r="T978" s="3" t="s">
        <v>645</v>
      </c>
      <c r="U978" s="77" t="str">
        <f t="shared" si="6395"/>
        <v/>
      </c>
      <c r="V978" s="39">
        <v>1</v>
      </c>
      <c r="W978" s="79">
        <f t="shared" si="6409"/>
        <v>0</v>
      </c>
      <c r="X978" s="3">
        <v>0</v>
      </c>
      <c r="Y978" s="77" t="str">
        <f t="shared" si="6396"/>
        <v/>
      </c>
      <c r="Z978" s="3"/>
      <c r="AA978" s="37" t="str">
        <f t="shared" si="6410"/>
        <v/>
      </c>
      <c r="AC978" s="40"/>
      <c r="AD978" s="7"/>
      <c r="AE978" s="77" t="str">
        <f t="shared" si="6397"/>
        <v/>
      </c>
      <c r="AF978" s="81">
        <f t="shared" si="6423"/>
        <v>0</v>
      </c>
      <c r="AG978" s="40"/>
      <c r="AH978" s="7"/>
      <c r="AI978" s="77" t="str">
        <f t="shared" si="6398"/>
        <v/>
      </c>
      <c r="AJ978" s="81">
        <f t="shared" si="6424"/>
        <v>0</v>
      </c>
      <c r="AK978" s="83">
        <f t="shared" si="6425"/>
        <v>0</v>
      </c>
      <c r="AL978" s="83">
        <f t="shared" si="6426"/>
        <v>0</v>
      </c>
      <c r="AN978" s="43">
        <f t="shared" si="6399"/>
        <v>0</v>
      </c>
      <c r="AP978" t="str">
        <f t="shared" si="6427"/>
        <v/>
      </c>
      <c r="AQ978" t="str">
        <f t="shared" si="6428"/>
        <v/>
      </c>
      <c r="AR978" t="str">
        <f t="shared" si="6429"/>
        <v/>
      </c>
      <c r="AS978" t="str">
        <f t="shared" si="6430"/>
        <v/>
      </c>
      <c r="AT978" t="str">
        <f t="shared" si="6431"/>
        <v/>
      </c>
      <c r="AU978" t="str">
        <f t="shared" si="6432"/>
        <v/>
      </c>
      <c r="AV978" t="str">
        <f t="shared" si="6433"/>
        <v/>
      </c>
      <c r="AW978" t="str">
        <f t="shared" si="6434"/>
        <v xml:space="preserve">                              </v>
      </c>
      <c r="AX978" s="23">
        <f t="shared" si="6435"/>
        <v>0</v>
      </c>
      <c r="AY978" s="49" t="str">
        <f t="shared" si="6411"/>
        <v>000000000000000</v>
      </c>
      <c r="AZ978" s="23">
        <f t="shared" si="6436"/>
        <v>0</v>
      </c>
      <c r="BA978" s="49" t="str">
        <f t="shared" si="6411"/>
        <v>000000000000000</v>
      </c>
      <c r="BB978" s="23">
        <f t="shared" si="6437"/>
        <v>0</v>
      </c>
      <c r="BC978" s="49" t="str">
        <f t="shared" ref="BC978" si="6480">IF(BB978&lt;0,SUBSTITUTE(TEXT(BB978,"000000000000,00"),",",""),SUBSTITUTE(TEXT(BB978,"0000000000000,00"),",",""))</f>
        <v>000000000000000</v>
      </c>
      <c r="BD978" s="23">
        <f t="shared" si="6439"/>
        <v>0</v>
      </c>
      <c r="BE978" s="49" t="str">
        <f t="shared" ref="BE978" si="6481">IF(BD978&lt;0,SUBSTITUTE(TEXT(BD978,"000000000000,00"),",",""),SUBSTITUTE(TEXT(BD978,"0000000000000,00"),",",""))</f>
        <v>000000000000000</v>
      </c>
      <c r="BF978" s="23">
        <f t="shared" si="6441"/>
        <v>0</v>
      </c>
      <c r="BG978" s="49" t="str">
        <f t="shared" ref="BG978" si="6482">IF(BF978&lt;0,SUBSTITUTE(TEXT(BF978,"000000000000,00"),",",""),SUBSTITUTE(TEXT(BF978,"0000000000000,00"),",",""))</f>
        <v>000000000000000</v>
      </c>
      <c r="BH978" s="23">
        <f t="shared" si="6443"/>
        <v>0</v>
      </c>
      <c r="BI978" s="49" t="str">
        <f t="shared" ref="BI978" si="6483">IF(BH978&lt;0,SUBSTITUTE(TEXT(BH978,"000000000000,00"),",",""),SUBSTITUTE(TEXT(BH978,"0000000000000,00"),",",""))</f>
        <v>000000000000000</v>
      </c>
      <c r="BJ978" s="23">
        <f t="shared" si="6445"/>
        <v>0</v>
      </c>
      <c r="BK978" s="49" t="str">
        <f t="shared" ref="BK978" si="6484">IF(BJ978&lt;0,SUBSTITUTE(TEXT(BJ978,"000000000000,00"),",",""),SUBSTITUTE(TEXT(BJ978,"0000000000000,00"),",",""))</f>
        <v>000000000000000</v>
      </c>
      <c r="BL978" s="23">
        <f t="shared" si="6447"/>
        <v>0</v>
      </c>
      <c r="BM978" s="49" t="str">
        <f t="shared" ref="BM978" si="6485">IF(BL978&lt;0,SUBSTITUTE(TEXT(BL978,"000000000000,00"),",",""),SUBSTITUTE(TEXT(BL978,"0000000000000,00"),",",""))</f>
        <v>000000000000000</v>
      </c>
      <c r="BN978" t="str">
        <f t="shared" si="6449"/>
        <v>PES</v>
      </c>
      <c r="BO978" t="str">
        <f t="shared" si="6450"/>
        <v>0001000000</v>
      </c>
      <c r="BP978">
        <f t="shared" si="6451"/>
        <v>0</v>
      </c>
      <c r="BQ978">
        <f t="shared" si="6452"/>
        <v>0</v>
      </c>
      <c r="BR978" s="23">
        <f t="shared" si="6453"/>
        <v>0</v>
      </c>
      <c r="BS978" s="49" t="str">
        <f t="shared" si="6418"/>
        <v>000000000000000</v>
      </c>
      <c r="BT978" t="str">
        <f t="shared" si="6454"/>
        <v>00000000</v>
      </c>
      <c r="BU978" s="23">
        <f t="shared" si="6455"/>
        <v>0</v>
      </c>
      <c r="BV978" s="49" t="str">
        <f t="shared" si="6419"/>
        <v/>
      </c>
      <c r="BW978" s="52" t="str">
        <f t="shared" si="6456"/>
        <v/>
      </c>
      <c r="BX978" s="23">
        <f t="shared" si="6457"/>
        <v>0</v>
      </c>
      <c r="BY978" s="49" t="str">
        <f t="shared" si="6420"/>
        <v/>
      </c>
      <c r="BZ978" s="23">
        <f t="shared" si="6458"/>
        <v>0</v>
      </c>
      <c r="CA978" s="49" t="str">
        <f t="shared" si="6421"/>
        <v/>
      </c>
      <c r="CB978" s="52" t="str">
        <f t="shared" si="6459"/>
        <v/>
      </c>
      <c r="CC978" s="23">
        <f t="shared" si="6460"/>
        <v>0</v>
      </c>
      <c r="CD978" s="49" t="str">
        <f t="shared" si="6422"/>
        <v/>
      </c>
      <c r="CE978" s="56" t="str">
        <f>IF(CF978="","",MAX(CE$10:$CE977)+1)</f>
        <v/>
      </c>
      <c r="CF978" t="str">
        <f t="shared" si="6461"/>
        <v/>
      </c>
      <c r="CG978" s="22" t="str">
        <f>IF(CH978="","",MAX($CG$10:CG977)+1)</f>
        <v/>
      </c>
      <c r="CH978" s="22" t="str">
        <f t="shared" si="6406"/>
        <v/>
      </c>
      <c r="CI978" s="22" t="str">
        <f>IF(CJ978="","",MAX($CI$10:CI977)+1)</f>
        <v/>
      </c>
      <c r="CJ978" s="22" t="str">
        <f t="shared" si="6407"/>
        <v/>
      </c>
    </row>
    <row r="979" spans="2:88" x14ac:dyDescent="0.25">
      <c r="B979" s="37"/>
      <c r="C979" s="3"/>
      <c r="D979" s="77" t="str">
        <f t="shared" si="6393"/>
        <v/>
      </c>
      <c r="E979" s="38"/>
      <c r="F979" s="38"/>
      <c r="G979" s="78">
        <f t="shared" si="6408"/>
        <v>0</v>
      </c>
      <c r="H979" s="3">
        <v>80</v>
      </c>
      <c r="I979" s="77" t="str">
        <f t="shared" si="6394"/>
        <v/>
      </c>
      <c r="J979" s="32"/>
      <c r="K979" s="3"/>
      <c r="L979" s="39"/>
      <c r="M979" s="39"/>
      <c r="N979" s="39"/>
      <c r="O979" s="39"/>
      <c r="P979" s="39"/>
      <c r="Q979" s="39"/>
      <c r="R979" s="39"/>
      <c r="S979" s="39"/>
      <c r="T979" s="3" t="s">
        <v>645</v>
      </c>
      <c r="U979" s="77" t="str">
        <f t="shared" si="6395"/>
        <v/>
      </c>
      <c r="V979" s="39">
        <v>1</v>
      </c>
      <c r="W979" s="79">
        <f t="shared" si="6409"/>
        <v>0</v>
      </c>
      <c r="X979" s="3">
        <v>0</v>
      </c>
      <c r="Y979" s="77" t="str">
        <f t="shared" si="6396"/>
        <v/>
      </c>
      <c r="Z979" s="3"/>
      <c r="AA979" s="37" t="str">
        <f t="shared" si="6410"/>
        <v/>
      </c>
      <c r="AC979" s="40"/>
      <c r="AD979" s="7"/>
      <c r="AE979" s="77" t="str">
        <f t="shared" si="6397"/>
        <v/>
      </c>
      <c r="AF979" s="81">
        <f t="shared" si="6423"/>
        <v>0</v>
      </c>
      <c r="AG979" s="40"/>
      <c r="AH979" s="7"/>
      <c r="AI979" s="77" t="str">
        <f t="shared" si="6398"/>
        <v/>
      </c>
      <c r="AJ979" s="81">
        <f t="shared" si="6424"/>
        <v>0</v>
      </c>
      <c r="AK979" s="83">
        <f t="shared" si="6425"/>
        <v>0</v>
      </c>
      <c r="AL979" s="83">
        <f t="shared" si="6426"/>
        <v>0</v>
      </c>
      <c r="AN979" s="43">
        <f t="shared" si="6399"/>
        <v>0</v>
      </c>
      <c r="AP979" t="str">
        <f t="shared" si="6427"/>
        <v/>
      </c>
      <c r="AQ979" t="str">
        <f t="shared" si="6428"/>
        <v/>
      </c>
      <c r="AR979" t="str">
        <f t="shared" si="6429"/>
        <v/>
      </c>
      <c r="AS979" t="str">
        <f t="shared" si="6430"/>
        <v/>
      </c>
      <c r="AT979" t="str">
        <f t="shared" si="6431"/>
        <v/>
      </c>
      <c r="AU979" t="str">
        <f t="shared" si="6432"/>
        <v/>
      </c>
      <c r="AV979" t="str">
        <f t="shared" si="6433"/>
        <v/>
      </c>
      <c r="AW979" t="str">
        <f t="shared" si="6434"/>
        <v xml:space="preserve">                              </v>
      </c>
      <c r="AX979" s="23">
        <f t="shared" si="6435"/>
        <v>0</v>
      </c>
      <c r="AY979" s="49" t="str">
        <f t="shared" si="6411"/>
        <v>000000000000000</v>
      </c>
      <c r="AZ979" s="23">
        <f t="shared" si="6436"/>
        <v>0</v>
      </c>
      <c r="BA979" s="49" t="str">
        <f t="shared" si="6411"/>
        <v>000000000000000</v>
      </c>
      <c r="BB979" s="23">
        <f t="shared" si="6437"/>
        <v>0</v>
      </c>
      <c r="BC979" s="49" t="str">
        <f t="shared" ref="BC979" si="6486">IF(BB979&lt;0,SUBSTITUTE(TEXT(BB979,"000000000000,00"),",",""),SUBSTITUTE(TEXT(BB979,"0000000000000,00"),",",""))</f>
        <v>000000000000000</v>
      </c>
      <c r="BD979" s="23">
        <f t="shared" si="6439"/>
        <v>0</v>
      </c>
      <c r="BE979" s="49" t="str">
        <f t="shared" ref="BE979" si="6487">IF(BD979&lt;0,SUBSTITUTE(TEXT(BD979,"000000000000,00"),",",""),SUBSTITUTE(TEXT(BD979,"0000000000000,00"),",",""))</f>
        <v>000000000000000</v>
      </c>
      <c r="BF979" s="23">
        <f t="shared" si="6441"/>
        <v>0</v>
      </c>
      <c r="BG979" s="49" t="str">
        <f t="shared" ref="BG979" si="6488">IF(BF979&lt;0,SUBSTITUTE(TEXT(BF979,"000000000000,00"),",",""),SUBSTITUTE(TEXT(BF979,"0000000000000,00"),",",""))</f>
        <v>000000000000000</v>
      </c>
      <c r="BH979" s="23">
        <f t="shared" si="6443"/>
        <v>0</v>
      </c>
      <c r="BI979" s="49" t="str">
        <f t="shared" ref="BI979" si="6489">IF(BH979&lt;0,SUBSTITUTE(TEXT(BH979,"000000000000,00"),",",""),SUBSTITUTE(TEXT(BH979,"0000000000000,00"),",",""))</f>
        <v>000000000000000</v>
      </c>
      <c r="BJ979" s="23">
        <f t="shared" si="6445"/>
        <v>0</v>
      </c>
      <c r="BK979" s="49" t="str">
        <f t="shared" ref="BK979" si="6490">IF(BJ979&lt;0,SUBSTITUTE(TEXT(BJ979,"000000000000,00"),",",""),SUBSTITUTE(TEXT(BJ979,"0000000000000,00"),",",""))</f>
        <v>000000000000000</v>
      </c>
      <c r="BL979" s="23">
        <f t="shared" si="6447"/>
        <v>0</v>
      </c>
      <c r="BM979" s="49" t="str">
        <f t="shared" ref="BM979" si="6491">IF(BL979&lt;0,SUBSTITUTE(TEXT(BL979,"000000000000,00"),",",""),SUBSTITUTE(TEXT(BL979,"0000000000000,00"),",",""))</f>
        <v>000000000000000</v>
      </c>
      <c r="BN979" t="str">
        <f t="shared" si="6449"/>
        <v>PES</v>
      </c>
      <c r="BO979" t="str">
        <f t="shared" si="6450"/>
        <v>0001000000</v>
      </c>
      <c r="BP979">
        <f t="shared" si="6451"/>
        <v>0</v>
      </c>
      <c r="BQ979">
        <f t="shared" si="6452"/>
        <v>0</v>
      </c>
      <c r="BR979" s="23">
        <f t="shared" si="6453"/>
        <v>0</v>
      </c>
      <c r="BS979" s="49" t="str">
        <f t="shared" si="6418"/>
        <v>000000000000000</v>
      </c>
      <c r="BT979" t="str">
        <f t="shared" si="6454"/>
        <v>00000000</v>
      </c>
      <c r="BU979" s="23">
        <f t="shared" si="6455"/>
        <v>0</v>
      </c>
      <c r="BV979" s="49" t="str">
        <f t="shared" si="6419"/>
        <v/>
      </c>
      <c r="BW979" s="52" t="str">
        <f t="shared" si="6456"/>
        <v/>
      </c>
      <c r="BX979" s="23">
        <f t="shared" si="6457"/>
        <v>0</v>
      </c>
      <c r="BY979" s="49" t="str">
        <f t="shared" si="6420"/>
        <v/>
      </c>
      <c r="BZ979" s="23">
        <f t="shared" si="6458"/>
        <v>0</v>
      </c>
      <c r="CA979" s="49" t="str">
        <f t="shared" si="6421"/>
        <v/>
      </c>
      <c r="CB979" s="52" t="str">
        <f t="shared" si="6459"/>
        <v/>
      </c>
      <c r="CC979" s="23">
        <f t="shared" si="6460"/>
        <v>0</v>
      </c>
      <c r="CD979" s="49" t="str">
        <f t="shared" si="6422"/>
        <v/>
      </c>
      <c r="CE979" s="56" t="str">
        <f>IF(CF979="","",MAX(CE$10:$CE978)+1)</f>
        <v/>
      </c>
      <c r="CF979" t="str">
        <f t="shared" si="6461"/>
        <v/>
      </c>
      <c r="CG979" s="22" t="str">
        <f>IF(CH979="","",MAX($CG$10:CG978)+1)</f>
        <v/>
      </c>
      <c r="CH979" s="22" t="str">
        <f t="shared" si="6406"/>
        <v/>
      </c>
      <c r="CI979" s="22" t="str">
        <f>IF(CJ979="","",MAX($CI$10:CI978)+1)</f>
        <v/>
      </c>
      <c r="CJ979" s="22" t="str">
        <f t="shared" si="6407"/>
        <v/>
      </c>
    </row>
    <row r="980" spans="2:88" x14ac:dyDescent="0.25">
      <c r="B980" s="37"/>
      <c r="C980" s="3"/>
      <c r="D980" s="77" t="str">
        <f t="shared" si="6393"/>
        <v/>
      </c>
      <c r="E980" s="38"/>
      <c r="F980" s="38"/>
      <c r="G980" s="78">
        <f t="shared" si="6408"/>
        <v>0</v>
      </c>
      <c r="H980" s="3">
        <v>80</v>
      </c>
      <c r="I980" s="77" t="str">
        <f t="shared" si="6394"/>
        <v/>
      </c>
      <c r="J980" s="32"/>
      <c r="K980" s="3"/>
      <c r="L980" s="39"/>
      <c r="M980" s="39"/>
      <c r="N980" s="39"/>
      <c r="O980" s="39"/>
      <c r="P980" s="39"/>
      <c r="Q980" s="39"/>
      <c r="R980" s="39"/>
      <c r="S980" s="39"/>
      <c r="T980" s="3" t="s">
        <v>645</v>
      </c>
      <c r="U980" s="77" t="str">
        <f t="shared" si="6395"/>
        <v/>
      </c>
      <c r="V980" s="39">
        <v>1</v>
      </c>
      <c r="W980" s="79">
        <f t="shared" si="6409"/>
        <v>0</v>
      </c>
      <c r="X980" s="3">
        <v>0</v>
      </c>
      <c r="Y980" s="77" t="str">
        <f t="shared" si="6396"/>
        <v/>
      </c>
      <c r="Z980" s="3"/>
      <c r="AA980" s="37" t="str">
        <f t="shared" si="6410"/>
        <v/>
      </c>
      <c r="AC980" s="40"/>
      <c r="AD980" s="7"/>
      <c r="AE980" s="77" t="str">
        <f t="shared" si="6397"/>
        <v/>
      </c>
      <c r="AF980" s="81">
        <f t="shared" si="6423"/>
        <v>0</v>
      </c>
      <c r="AG980" s="40"/>
      <c r="AH980" s="7"/>
      <c r="AI980" s="77" t="str">
        <f t="shared" si="6398"/>
        <v/>
      </c>
      <c r="AJ980" s="81">
        <f t="shared" si="6424"/>
        <v>0</v>
      </c>
      <c r="AK980" s="83">
        <f t="shared" si="6425"/>
        <v>0</v>
      </c>
      <c r="AL980" s="83">
        <f t="shared" si="6426"/>
        <v>0</v>
      </c>
      <c r="AN980" s="43">
        <f t="shared" si="6399"/>
        <v>0</v>
      </c>
      <c r="AP980" t="str">
        <f t="shared" si="6427"/>
        <v/>
      </c>
      <c r="AQ980" t="str">
        <f t="shared" si="6428"/>
        <v/>
      </c>
      <c r="AR980" t="str">
        <f t="shared" si="6429"/>
        <v/>
      </c>
      <c r="AS980" t="str">
        <f t="shared" si="6430"/>
        <v/>
      </c>
      <c r="AT980" t="str">
        <f t="shared" si="6431"/>
        <v/>
      </c>
      <c r="AU980" t="str">
        <f t="shared" si="6432"/>
        <v/>
      </c>
      <c r="AV980" t="str">
        <f t="shared" si="6433"/>
        <v/>
      </c>
      <c r="AW980" t="str">
        <f t="shared" si="6434"/>
        <v xml:space="preserve">                              </v>
      </c>
      <c r="AX980" s="23">
        <f t="shared" si="6435"/>
        <v>0</v>
      </c>
      <c r="AY980" s="49" t="str">
        <f t="shared" si="6411"/>
        <v>000000000000000</v>
      </c>
      <c r="AZ980" s="23">
        <f t="shared" si="6436"/>
        <v>0</v>
      </c>
      <c r="BA980" s="49" t="str">
        <f t="shared" si="6411"/>
        <v>000000000000000</v>
      </c>
      <c r="BB980" s="23">
        <f t="shared" si="6437"/>
        <v>0</v>
      </c>
      <c r="BC980" s="49" t="str">
        <f t="shared" ref="BC980" si="6492">IF(BB980&lt;0,SUBSTITUTE(TEXT(BB980,"000000000000,00"),",",""),SUBSTITUTE(TEXT(BB980,"0000000000000,00"),",",""))</f>
        <v>000000000000000</v>
      </c>
      <c r="BD980" s="23">
        <f t="shared" si="6439"/>
        <v>0</v>
      </c>
      <c r="BE980" s="49" t="str">
        <f t="shared" ref="BE980" si="6493">IF(BD980&lt;0,SUBSTITUTE(TEXT(BD980,"000000000000,00"),",",""),SUBSTITUTE(TEXT(BD980,"0000000000000,00"),",",""))</f>
        <v>000000000000000</v>
      </c>
      <c r="BF980" s="23">
        <f t="shared" si="6441"/>
        <v>0</v>
      </c>
      <c r="BG980" s="49" t="str">
        <f t="shared" ref="BG980" si="6494">IF(BF980&lt;0,SUBSTITUTE(TEXT(BF980,"000000000000,00"),",",""),SUBSTITUTE(TEXT(BF980,"0000000000000,00"),",",""))</f>
        <v>000000000000000</v>
      </c>
      <c r="BH980" s="23">
        <f t="shared" si="6443"/>
        <v>0</v>
      </c>
      <c r="BI980" s="49" t="str">
        <f t="shared" ref="BI980" si="6495">IF(BH980&lt;0,SUBSTITUTE(TEXT(BH980,"000000000000,00"),",",""),SUBSTITUTE(TEXT(BH980,"0000000000000,00"),",",""))</f>
        <v>000000000000000</v>
      </c>
      <c r="BJ980" s="23">
        <f t="shared" si="6445"/>
        <v>0</v>
      </c>
      <c r="BK980" s="49" t="str">
        <f t="shared" ref="BK980" si="6496">IF(BJ980&lt;0,SUBSTITUTE(TEXT(BJ980,"000000000000,00"),",",""),SUBSTITUTE(TEXT(BJ980,"0000000000000,00"),",",""))</f>
        <v>000000000000000</v>
      </c>
      <c r="BL980" s="23">
        <f t="shared" si="6447"/>
        <v>0</v>
      </c>
      <c r="BM980" s="49" t="str">
        <f t="shared" ref="BM980" si="6497">IF(BL980&lt;0,SUBSTITUTE(TEXT(BL980,"000000000000,00"),",",""),SUBSTITUTE(TEXT(BL980,"0000000000000,00"),",",""))</f>
        <v>000000000000000</v>
      </c>
      <c r="BN980" t="str">
        <f t="shared" si="6449"/>
        <v>PES</v>
      </c>
      <c r="BO980" t="str">
        <f t="shared" si="6450"/>
        <v>0001000000</v>
      </c>
      <c r="BP980">
        <f t="shared" si="6451"/>
        <v>0</v>
      </c>
      <c r="BQ980">
        <f t="shared" si="6452"/>
        <v>0</v>
      </c>
      <c r="BR980" s="23">
        <f t="shared" si="6453"/>
        <v>0</v>
      </c>
      <c r="BS980" s="49" t="str">
        <f t="shared" si="6418"/>
        <v>000000000000000</v>
      </c>
      <c r="BT980" t="str">
        <f t="shared" si="6454"/>
        <v>00000000</v>
      </c>
      <c r="BU980" s="23">
        <f t="shared" si="6455"/>
        <v>0</v>
      </c>
      <c r="BV980" s="49" t="str">
        <f t="shared" si="6419"/>
        <v/>
      </c>
      <c r="BW980" s="52" t="str">
        <f t="shared" si="6456"/>
        <v/>
      </c>
      <c r="BX980" s="23">
        <f t="shared" si="6457"/>
        <v>0</v>
      </c>
      <c r="BY980" s="49" t="str">
        <f t="shared" si="6420"/>
        <v/>
      </c>
      <c r="BZ980" s="23">
        <f t="shared" si="6458"/>
        <v>0</v>
      </c>
      <c r="CA980" s="49" t="str">
        <f t="shared" si="6421"/>
        <v/>
      </c>
      <c r="CB980" s="52" t="str">
        <f t="shared" si="6459"/>
        <v/>
      </c>
      <c r="CC980" s="23">
        <f t="shared" si="6460"/>
        <v>0</v>
      </c>
      <c r="CD980" s="49" t="str">
        <f t="shared" si="6422"/>
        <v/>
      </c>
      <c r="CE980" s="56" t="str">
        <f>IF(CF980="","",MAX(CE$10:$CE979)+1)</f>
        <v/>
      </c>
      <c r="CF980" t="str">
        <f t="shared" si="6461"/>
        <v/>
      </c>
      <c r="CG980" s="22" t="str">
        <f>IF(CH980="","",MAX($CG$10:CG979)+1)</f>
        <v/>
      </c>
      <c r="CH980" s="22" t="str">
        <f t="shared" si="6406"/>
        <v/>
      </c>
      <c r="CI980" s="22" t="str">
        <f>IF(CJ980="","",MAX($CI$10:CI979)+1)</f>
        <v/>
      </c>
      <c r="CJ980" s="22" t="str">
        <f t="shared" si="6407"/>
        <v/>
      </c>
    </row>
    <row r="981" spans="2:88" x14ac:dyDescent="0.25">
      <c r="B981" s="37"/>
      <c r="C981" s="3"/>
      <c r="D981" s="77" t="str">
        <f t="shared" si="6393"/>
        <v/>
      </c>
      <c r="E981" s="38"/>
      <c r="F981" s="38"/>
      <c r="G981" s="78">
        <f t="shared" si="6408"/>
        <v>0</v>
      </c>
      <c r="H981" s="3">
        <v>80</v>
      </c>
      <c r="I981" s="77" t="str">
        <f t="shared" si="6394"/>
        <v/>
      </c>
      <c r="J981" s="32"/>
      <c r="K981" s="3"/>
      <c r="L981" s="39"/>
      <c r="M981" s="39"/>
      <c r="N981" s="39"/>
      <c r="O981" s="39"/>
      <c r="P981" s="39"/>
      <c r="Q981" s="39"/>
      <c r="R981" s="39"/>
      <c r="S981" s="39"/>
      <c r="T981" s="3" t="s">
        <v>645</v>
      </c>
      <c r="U981" s="77" t="str">
        <f t="shared" si="6395"/>
        <v/>
      </c>
      <c r="V981" s="39">
        <v>1</v>
      </c>
      <c r="W981" s="79">
        <f t="shared" si="6409"/>
        <v>0</v>
      </c>
      <c r="X981" s="3">
        <v>0</v>
      </c>
      <c r="Y981" s="77" t="str">
        <f t="shared" si="6396"/>
        <v/>
      </c>
      <c r="Z981" s="3"/>
      <c r="AA981" s="37" t="str">
        <f t="shared" si="6410"/>
        <v/>
      </c>
      <c r="AC981" s="40"/>
      <c r="AD981" s="7"/>
      <c r="AE981" s="77" t="str">
        <f t="shared" si="6397"/>
        <v/>
      </c>
      <c r="AF981" s="81">
        <f t="shared" si="6423"/>
        <v>0</v>
      </c>
      <c r="AG981" s="40"/>
      <c r="AH981" s="7"/>
      <c r="AI981" s="77" t="str">
        <f t="shared" si="6398"/>
        <v/>
      </c>
      <c r="AJ981" s="81">
        <f t="shared" si="6424"/>
        <v>0</v>
      </c>
      <c r="AK981" s="83">
        <f t="shared" si="6425"/>
        <v>0</v>
      </c>
      <c r="AL981" s="83">
        <f t="shared" si="6426"/>
        <v>0</v>
      </c>
      <c r="AN981" s="43">
        <f t="shared" si="6399"/>
        <v>0</v>
      </c>
      <c r="AP981" t="str">
        <f t="shared" si="6427"/>
        <v/>
      </c>
      <c r="AQ981" t="str">
        <f t="shared" si="6428"/>
        <v/>
      </c>
      <c r="AR981" t="str">
        <f t="shared" si="6429"/>
        <v/>
      </c>
      <c r="AS981" t="str">
        <f t="shared" si="6430"/>
        <v/>
      </c>
      <c r="AT981" t="str">
        <f t="shared" si="6431"/>
        <v/>
      </c>
      <c r="AU981" t="str">
        <f t="shared" si="6432"/>
        <v/>
      </c>
      <c r="AV981" t="str">
        <f t="shared" si="6433"/>
        <v/>
      </c>
      <c r="AW981" t="str">
        <f t="shared" si="6434"/>
        <v xml:space="preserve">                              </v>
      </c>
      <c r="AX981" s="23">
        <f t="shared" si="6435"/>
        <v>0</v>
      </c>
      <c r="AY981" s="49" t="str">
        <f t="shared" si="6411"/>
        <v>000000000000000</v>
      </c>
      <c r="AZ981" s="23">
        <f t="shared" si="6436"/>
        <v>0</v>
      </c>
      <c r="BA981" s="49" t="str">
        <f t="shared" si="6411"/>
        <v>000000000000000</v>
      </c>
      <c r="BB981" s="23">
        <f t="shared" si="6437"/>
        <v>0</v>
      </c>
      <c r="BC981" s="49" t="str">
        <f t="shared" ref="BC981" si="6498">IF(BB981&lt;0,SUBSTITUTE(TEXT(BB981,"000000000000,00"),",",""),SUBSTITUTE(TEXT(BB981,"0000000000000,00"),",",""))</f>
        <v>000000000000000</v>
      </c>
      <c r="BD981" s="23">
        <f t="shared" si="6439"/>
        <v>0</v>
      </c>
      <c r="BE981" s="49" t="str">
        <f t="shared" ref="BE981" si="6499">IF(BD981&lt;0,SUBSTITUTE(TEXT(BD981,"000000000000,00"),",",""),SUBSTITUTE(TEXT(BD981,"0000000000000,00"),",",""))</f>
        <v>000000000000000</v>
      </c>
      <c r="BF981" s="23">
        <f t="shared" si="6441"/>
        <v>0</v>
      </c>
      <c r="BG981" s="49" t="str">
        <f t="shared" ref="BG981" si="6500">IF(BF981&lt;0,SUBSTITUTE(TEXT(BF981,"000000000000,00"),",",""),SUBSTITUTE(TEXT(BF981,"0000000000000,00"),",",""))</f>
        <v>000000000000000</v>
      </c>
      <c r="BH981" s="23">
        <f t="shared" si="6443"/>
        <v>0</v>
      </c>
      <c r="BI981" s="49" t="str">
        <f t="shared" ref="BI981" si="6501">IF(BH981&lt;0,SUBSTITUTE(TEXT(BH981,"000000000000,00"),",",""),SUBSTITUTE(TEXT(BH981,"0000000000000,00"),",",""))</f>
        <v>000000000000000</v>
      </c>
      <c r="BJ981" s="23">
        <f t="shared" si="6445"/>
        <v>0</v>
      </c>
      <c r="BK981" s="49" t="str">
        <f t="shared" ref="BK981" si="6502">IF(BJ981&lt;0,SUBSTITUTE(TEXT(BJ981,"000000000000,00"),",",""),SUBSTITUTE(TEXT(BJ981,"0000000000000,00"),",",""))</f>
        <v>000000000000000</v>
      </c>
      <c r="BL981" s="23">
        <f t="shared" si="6447"/>
        <v>0</v>
      </c>
      <c r="BM981" s="49" t="str">
        <f t="shared" ref="BM981" si="6503">IF(BL981&lt;0,SUBSTITUTE(TEXT(BL981,"000000000000,00"),",",""),SUBSTITUTE(TEXT(BL981,"0000000000000,00"),",",""))</f>
        <v>000000000000000</v>
      </c>
      <c r="BN981" t="str">
        <f t="shared" si="6449"/>
        <v>PES</v>
      </c>
      <c r="BO981" t="str">
        <f t="shared" si="6450"/>
        <v>0001000000</v>
      </c>
      <c r="BP981">
        <f t="shared" si="6451"/>
        <v>0</v>
      </c>
      <c r="BQ981">
        <f t="shared" si="6452"/>
        <v>0</v>
      </c>
      <c r="BR981" s="23">
        <f t="shared" si="6453"/>
        <v>0</v>
      </c>
      <c r="BS981" s="49" t="str">
        <f t="shared" si="6418"/>
        <v>000000000000000</v>
      </c>
      <c r="BT981" t="str">
        <f t="shared" si="6454"/>
        <v>00000000</v>
      </c>
      <c r="BU981" s="23">
        <f t="shared" si="6455"/>
        <v>0</v>
      </c>
      <c r="BV981" s="49" t="str">
        <f t="shared" si="6419"/>
        <v/>
      </c>
      <c r="BW981" s="52" t="str">
        <f t="shared" si="6456"/>
        <v/>
      </c>
      <c r="BX981" s="23">
        <f t="shared" si="6457"/>
        <v>0</v>
      </c>
      <c r="BY981" s="49" t="str">
        <f t="shared" si="6420"/>
        <v/>
      </c>
      <c r="BZ981" s="23">
        <f t="shared" si="6458"/>
        <v>0</v>
      </c>
      <c r="CA981" s="49" t="str">
        <f t="shared" si="6421"/>
        <v/>
      </c>
      <c r="CB981" s="52" t="str">
        <f t="shared" si="6459"/>
        <v/>
      </c>
      <c r="CC981" s="23">
        <f t="shared" si="6460"/>
        <v>0</v>
      </c>
      <c r="CD981" s="49" t="str">
        <f t="shared" si="6422"/>
        <v/>
      </c>
      <c r="CE981" s="56" t="str">
        <f>IF(CF981="","",MAX(CE$10:$CE980)+1)</f>
        <v/>
      </c>
      <c r="CF981" t="str">
        <f t="shared" si="6461"/>
        <v/>
      </c>
      <c r="CG981" s="22" t="str">
        <f>IF(CH981="","",MAX($CG$10:CG980)+1)</f>
        <v/>
      </c>
      <c r="CH981" s="22" t="str">
        <f t="shared" si="6406"/>
        <v/>
      </c>
      <c r="CI981" s="22" t="str">
        <f>IF(CJ981="","",MAX($CI$10:CI980)+1)</f>
        <v/>
      </c>
      <c r="CJ981" s="22" t="str">
        <f t="shared" si="6407"/>
        <v/>
      </c>
    </row>
    <row r="982" spans="2:88" x14ac:dyDescent="0.25">
      <c r="B982" s="37"/>
      <c r="C982" s="3"/>
      <c r="D982" s="77" t="str">
        <f t="shared" si="6393"/>
        <v/>
      </c>
      <c r="E982" s="38"/>
      <c r="F982" s="38"/>
      <c r="G982" s="78">
        <f t="shared" si="6408"/>
        <v>0</v>
      </c>
      <c r="H982" s="3">
        <v>80</v>
      </c>
      <c r="I982" s="77" t="str">
        <f t="shared" si="6394"/>
        <v/>
      </c>
      <c r="J982" s="32"/>
      <c r="K982" s="3"/>
      <c r="L982" s="39"/>
      <c r="M982" s="39"/>
      <c r="N982" s="39"/>
      <c r="O982" s="39"/>
      <c r="P982" s="39"/>
      <c r="Q982" s="39"/>
      <c r="R982" s="39"/>
      <c r="S982" s="39"/>
      <c r="T982" s="3" t="s">
        <v>645</v>
      </c>
      <c r="U982" s="77" t="str">
        <f t="shared" si="6395"/>
        <v/>
      </c>
      <c r="V982" s="39">
        <v>1</v>
      </c>
      <c r="W982" s="79">
        <f t="shared" si="6409"/>
        <v>0</v>
      </c>
      <c r="X982" s="3">
        <v>0</v>
      </c>
      <c r="Y982" s="77" t="str">
        <f t="shared" si="6396"/>
        <v/>
      </c>
      <c r="Z982" s="3"/>
      <c r="AA982" s="37" t="str">
        <f t="shared" si="6410"/>
        <v/>
      </c>
      <c r="AC982" s="40"/>
      <c r="AD982" s="7"/>
      <c r="AE982" s="77" t="str">
        <f t="shared" si="6397"/>
        <v/>
      </c>
      <c r="AF982" s="81">
        <f t="shared" si="6423"/>
        <v>0</v>
      </c>
      <c r="AG982" s="40"/>
      <c r="AH982" s="7"/>
      <c r="AI982" s="77" t="str">
        <f t="shared" si="6398"/>
        <v/>
      </c>
      <c r="AJ982" s="81">
        <f t="shared" si="6424"/>
        <v>0</v>
      </c>
      <c r="AK982" s="83">
        <f t="shared" si="6425"/>
        <v>0</v>
      </c>
      <c r="AL982" s="83">
        <f t="shared" si="6426"/>
        <v>0</v>
      </c>
      <c r="AN982" s="43">
        <f t="shared" si="6399"/>
        <v>0</v>
      </c>
      <c r="AP982" t="str">
        <f t="shared" si="6427"/>
        <v/>
      </c>
      <c r="AQ982" t="str">
        <f t="shared" si="6428"/>
        <v/>
      </c>
      <c r="AR982" t="str">
        <f t="shared" si="6429"/>
        <v/>
      </c>
      <c r="AS982" t="str">
        <f t="shared" si="6430"/>
        <v/>
      </c>
      <c r="AT982" t="str">
        <f t="shared" si="6431"/>
        <v/>
      </c>
      <c r="AU982" t="str">
        <f t="shared" si="6432"/>
        <v/>
      </c>
      <c r="AV982" t="str">
        <f t="shared" si="6433"/>
        <v/>
      </c>
      <c r="AW982" t="str">
        <f t="shared" si="6434"/>
        <v xml:space="preserve">                              </v>
      </c>
      <c r="AX982" s="23">
        <f t="shared" si="6435"/>
        <v>0</v>
      </c>
      <c r="AY982" s="49" t="str">
        <f t="shared" si="6411"/>
        <v>000000000000000</v>
      </c>
      <c r="AZ982" s="23">
        <f t="shared" si="6436"/>
        <v>0</v>
      </c>
      <c r="BA982" s="49" t="str">
        <f t="shared" si="6411"/>
        <v>000000000000000</v>
      </c>
      <c r="BB982" s="23">
        <f t="shared" si="6437"/>
        <v>0</v>
      </c>
      <c r="BC982" s="49" t="str">
        <f t="shared" ref="BC982" si="6504">IF(BB982&lt;0,SUBSTITUTE(TEXT(BB982,"000000000000,00"),",",""),SUBSTITUTE(TEXT(BB982,"0000000000000,00"),",",""))</f>
        <v>000000000000000</v>
      </c>
      <c r="BD982" s="23">
        <f t="shared" si="6439"/>
        <v>0</v>
      </c>
      <c r="BE982" s="49" t="str">
        <f t="shared" ref="BE982" si="6505">IF(BD982&lt;0,SUBSTITUTE(TEXT(BD982,"000000000000,00"),",",""),SUBSTITUTE(TEXT(BD982,"0000000000000,00"),",",""))</f>
        <v>000000000000000</v>
      </c>
      <c r="BF982" s="23">
        <f t="shared" si="6441"/>
        <v>0</v>
      </c>
      <c r="BG982" s="49" t="str">
        <f t="shared" ref="BG982" si="6506">IF(BF982&lt;0,SUBSTITUTE(TEXT(BF982,"000000000000,00"),",",""),SUBSTITUTE(TEXT(BF982,"0000000000000,00"),",",""))</f>
        <v>000000000000000</v>
      </c>
      <c r="BH982" s="23">
        <f t="shared" si="6443"/>
        <v>0</v>
      </c>
      <c r="BI982" s="49" t="str">
        <f t="shared" ref="BI982" si="6507">IF(BH982&lt;0,SUBSTITUTE(TEXT(BH982,"000000000000,00"),",",""),SUBSTITUTE(TEXT(BH982,"0000000000000,00"),",",""))</f>
        <v>000000000000000</v>
      </c>
      <c r="BJ982" s="23">
        <f t="shared" si="6445"/>
        <v>0</v>
      </c>
      <c r="BK982" s="49" t="str">
        <f t="shared" ref="BK982" si="6508">IF(BJ982&lt;0,SUBSTITUTE(TEXT(BJ982,"000000000000,00"),",",""),SUBSTITUTE(TEXT(BJ982,"0000000000000,00"),",",""))</f>
        <v>000000000000000</v>
      </c>
      <c r="BL982" s="23">
        <f t="shared" si="6447"/>
        <v>0</v>
      </c>
      <c r="BM982" s="49" t="str">
        <f t="shared" ref="BM982" si="6509">IF(BL982&lt;0,SUBSTITUTE(TEXT(BL982,"000000000000,00"),",",""),SUBSTITUTE(TEXT(BL982,"0000000000000,00"),",",""))</f>
        <v>000000000000000</v>
      </c>
      <c r="BN982" t="str">
        <f t="shared" si="6449"/>
        <v>PES</v>
      </c>
      <c r="BO982" t="str">
        <f t="shared" si="6450"/>
        <v>0001000000</v>
      </c>
      <c r="BP982">
        <f t="shared" si="6451"/>
        <v>0</v>
      </c>
      <c r="BQ982">
        <f t="shared" si="6452"/>
        <v>0</v>
      </c>
      <c r="BR982" s="23">
        <f t="shared" si="6453"/>
        <v>0</v>
      </c>
      <c r="BS982" s="49" t="str">
        <f t="shared" si="6418"/>
        <v>000000000000000</v>
      </c>
      <c r="BT982" t="str">
        <f t="shared" si="6454"/>
        <v>00000000</v>
      </c>
      <c r="BU982" s="23">
        <f t="shared" si="6455"/>
        <v>0</v>
      </c>
      <c r="BV982" s="49" t="str">
        <f t="shared" si="6419"/>
        <v/>
      </c>
      <c r="BW982" s="52" t="str">
        <f t="shared" si="6456"/>
        <v/>
      </c>
      <c r="BX982" s="23">
        <f t="shared" si="6457"/>
        <v>0</v>
      </c>
      <c r="BY982" s="49" t="str">
        <f t="shared" si="6420"/>
        <v/>
      </c>
      <c r="BZ982" s="23">
        <f t="shared" si="6458"/>
        <v>0</v>
      </c>
      <c r="CA982" s="49" t="str">
        <f t="shared" si="6421"/>
        <v/>
      </c>
      <c r="CB982" s="52" t="str">
        <f t="shared" si="6459"/>
        <v/>
      </c>
      <c r="CC982" s="23">
        <f t="shared" si="6460"/>
        <v>0</v>
      </c>
      <c r="CD982" s="49" t="str">
        <f t="shared" si="6422"/>
        <v/>
      </c>
      <c r="CE982" s="56" t="str">
        <f>IF(CF982="","",MAX(CE$10:$CE981)+1)</f>
        <v/>
      </c>
      <c r="CF982" t="str">
        <f t="shared" si="6461"/>
        <v/>
      </c>
      <c r="CG982" s="22" t="str">
        <f>IF(CH982="","",MAX($CG$10:CG981)+1)</f>
        <v/>
      </c>
      <c r="CH982" s="22" t="str">
        <f t="shared" si="6406"/>
        <v/>
      </c>
      <c r="CI982" s="22" t="str">
        <f>IF(CJ982="","",MAX($CI$10:CI981)+1)</f>
        <v/>
      </c>
      <c r="CJ982" s="22" t="str">
        <f t="shared" si="6407"/>
        <v/>
      </c>
    </row>
    <row r="983" spans="2:88" x14ac:dyDescent="0.25">
      <c r="B983" s="37"/>
      <c r="C983" s="3"/>
      <c r="D983" s="77" t="str">
        <f t="shared" si="6393"/>
        <v/>
      </c>
      <c r="E983" s="38"/>
      <c r="F983" s="38"/>
      <c r="G983" s="78">
        <f t="shared" si="6408"/>
        <v>0</v>
      </c>
      <c r="H983" s="3">
        <v>80</v>
      </c>
      <c r="I983" s="77" t="str">
        <f t="shared" si="6394"/>
        <v/>
      </c>
      <c r="J983" s="32"/>
      <c r="K983" s="3"/>
      <c r="L983" s="39"/>
      <c r="M983" s="39"/>
      <c r="N983" s="39"/>
      <c r="O983" s="39"/>
      <c r="P983" s="39"/>
      <c r="Q983" s="39"/>
      <c r="R983" s="39"/>
      <c r="S983" s="39"/>
      <c r="T983" s="3" t="s">
        <v>645</v>
      </c>
      <c r="U983" s="77" t="str">
        <f t="shared" si="6395"/>
        <v/>
      </c>
      <c r="V983" s="39">
        <v>1</v>
      </c>
      <c r="W983" s="79">
        <f t="shared" si="6409"/>
        <v>0</v>
      </c>
      <c r="X983" s="3">
        <v>0</v>
      </c>
      <c r="Y983" s="77" t="str">
        <f t="shared" si="6396"/>
        <v/>
      </c>
      <c r="Z983" s="3"/>
      <c r="AA983" s="37" t="str">
        <f t="shared" si="6410"/>
        <v/>
      </c>
      <c r="AC983" s="40"/>
      <c r="AD983" s="7"/>
      <c r="AE983" s="77" t="str">
        <f t="shared" si="6397"/>
        <v/>
      </c>
      <c r="AF983" s="81">
        <f t="shared" si="6423"/>
        <v>0</v>
      </c>
      <c r="AG983" s="40"/>
      <c r="AH983" s="7"/>
      <c r="AI983" s="77" t="str">
        <f t="shared" si="6398"/>
        <v/>
      </c>
      <c r="AJ983" s="81">
        <f t="shared" si="6424"/>
        <v>0</v>
      </c>
      <c r="AK983" s="83">
        <f t="shared" si="6425"/>
        <v>0</v>
      </c>
      <c r="AL983" s="83">
        <f t="shared" si="6426"/>
        <v>0</v>
      </c>
      <c r="AN983" s="43">
        <f t="shared" si="6399"/>
        <v>0</v>
      </c>
      <c r="AP983" t="str">
        <f t="shared" si="6427"/>
        <v/>
      </c>
      <c r="AQ983" t="str">
        <f t="shared" si="6428"/>
        <v/>
      </c>
      <c r="AR983" t="str">
        <f t="shared" si="6429"/>
        <v/>
      </c>
      <c r="AS983" t="str">
        <f t="shared" si="6430"/>
        <v/>
      </c>
      <c r="AT983" t="str">
        <f t="shared" si="6431"/>
        <v/>
      </c>
      <c r="AU983" t="str">
        <f t="shared" si="6432"/>
        <v/>
      </c>
      <c r="AV983" t="str">
        <f t="shared" si="6433"/>
        <v/>
      </c>
      <c r="AW983" t="str">
        <f t="shared" si="6434"/>
        <v xml:space="preserve">                              </v>
      </c>
      <c r="AX983" s="23">
        <f t="shared" si="6435"/>
        <v>0</v>
      </c>
      <c r="AY983" s="49" t="str">
        <f t="shared" si="6411"/>
        <v>000000000000000</v>
      </c>
      <c r="AZ983" s="23">
        <f t="shared" si="6436"/>
        <v>0</v>
      </c>
      <c r="BA983" s="49" t="str">
        <f t="shared" si="6411"/>
        <v>000000000000000</v>
      </c>
      <c r="BB983" s="23">
        <f t="shared" si="6437"/>
        <v>0</v>
      </c>
      <c r="BC983" s="49" t="str">
        <f t="shared" ref="BC983" si="6510">IF(BB983&lt;0,SUBSTITUTE(TEXT(BB983,"000000000000,00"),",",""),SUBSTITUTE(TEXT(BB983,"0000000000000,00"),",",""))</f>
        <v>000000000000000</v>
      </c>
      <c r="BD983" s="23">
        <f t="shared" si="6439"/>
        <v>0</v>
      </c>
      <c r="BE983" s="49" t="str">
        <f t="shared" ref="BE983" si="6511">IF(BD983&lt;0,SUBSTITUTE(TEXT(BD983,"000000000000,00"),",",""),SUBSTITUTE(TEXT(BD983,"0000000000000,00"),",",""))</f>
        <v>000000000000000</v>
      </c>
      <c r="BF983" s="23">
        <f t="shared" si="6441"/>
        <v>0</v>
      </c>
      <c r="BG983" s="49" t="str">
        <f t="shared" ref="BG983" si="6512">IF(BF983&lt;0,SUBSTITUTE(TEXT(BF983,"000000000000,00"),",",""),SUBSTITUTE(TEXT(BF983,"0000000000000,00"),",",""))</f>
        <v>000000000000000</v>
      </c>
      <c r="BH983" s="23">
        <f t="shared" si="6443"/>
        <v>0</v>
      </c>
      <c r="BI983" s="49" t="str">
        <f t="shared" ref="BI983" si="6513">IF(BH983&lt;0,SUBSTITUTE(TEXT(BH983,"000000000000,00"),",",""),SUBSTITUTE(TEXT(BH983,"0000000000000,00"),",",""))</f>
        <v>000000000000000</v>
      </c>
      <c r="BJ983" s="23">
        <f t="shared" si="6445"/>
        <v>0</v>
      </c>
      <c r="BK983" s="49" t="str">
        <f t="shared" ref="BK983" si="6514">IF(BJ983&lt;0,SUBSTITUTE(TEXT(BJ983,"000000000000,00"),",",""),SUBSTITUTE(TEXT(BJ983,"0000000000000,00"),",",""))</f>
        <v>000000000000000</v>
      </c>
      <c r="BL983" s="23">
        <f t="shared" si="6447"/>
        <v>0</v>
      </c>
      <c r="BM983" s="49" t="str">
        <f t="shared" ref="BM983" si="6515">IF(BL983&lt;0,SUBSTITUTE(TEXT(BL983,"000000000000,00"),",",""),SUBSTITUTE(TEXT(BL983,"0000000000000,00"),",",""))</f>
        <v>000000000000000</v>
      </c>
      <c r="BN983" t="str">
        <f t="shared" si="6449"/>
        <v>PES</v>
      </c>
      <c r="BO983" t="str">
        <f t="shared" si="6450"/>
        <v>0001000000</v>
      </c>
      <c r="BP983">
        <f t="shared" si="6451"/>
        <v>0</v>
      </c>
      <c r="BQ983">
        <f t="shared" si="6452"/>
        <v>0</v>
      </c>
      <c r="BR983" s="23">
        <f t="shared" si="6453"/>
        <v>0</v>
      </c>
      <c r="BS983" s="49" t="str">
        <f t="shared" si="6418"/>
        <v>000000000000000</v>
      </c>
      <c r="BT983" t="str">
        <f t="shared" si="6454"/>
        <v>00000000</v>
      </c>
      <c r="BU983" s="23">
        <f t="shared" si="6455"/>
        <v>0</v>
      </c>
      <c r="BV983" s="49" t="str">
        <f t="shared" si="6419"/>
        <v/>
      </c>
      <c r="BW983" s="52" t="str">
        <f t="shared" si="6456"/>
        <v/>
      </c>
      <c r="BX983" s="23">
        <f t="shared" si="6457"/>
        <v>0</v>
      </c>
      <c r="BY983" s="49" t="str">
        <f t="shared" si="6420"/>
        <v/>
      </c>
      <c r="BZ983" s="23">
        <f t="shared" si="6458"/>
        <v>0</v>
      </c>
      <c r="CA983" s="49" t="str">
        <f t="shared" si="6421"/>
        <v/>
      </c>
      <c r="CB983" s="52" t="str">
        <f t="shared" si="6459"/>
        <v/>
      </c>
      <c r="CC983" s="23">
        <f t="shared" si="6460"/>
        <v>0</v>
      </c>
      <c r="CD983" s="49" t="str">
        <f t="shared" si="6422"/>
        <v/>
      </c>
      <c r="CE983" s="56" t="str">
        <f>IF(CF983="","",MAX(CE$10:$CE982)+1)</f>
        <v/>
      </c>
      <c r="CF983" t="str">
        <f t="shared" si="6461"/>
        <v/>
      </c>
      <c r="CG983" s="22" t="str">
        <f>IF(CH983="","",MAX($CG$10:CG982)+1)</f>
        <v/>
      </c>
      <c r="CH983" s="22" t="str">
        <f t="shared" si="6406"/>
        <v/>
      </c>
      <c r="CI983" s="22" t="str">
        <f>IF(CJ983="","",MAX($CI$10:CI982)+1)</f>
        <v/>
      </c>
      <c r="CJ983" s="22" t="str">
        <f t="shared" si="6407"/>
        <v/>
      </c>
    </row>
    <row r="984" spans="2:88" x14ac:dyDescent="0.25">
      <c r="B984" s="37"/>
      <c r="C984" s="3"/>
      <c r="D984" s="77" t="str">
        <f t="shared" si="6393"/>
        <v/>
      </c>
      <c r="E984" s="38"/>
      <c r="F984" s="38"/>
      <c r="G984" s="78">
        <f t="shared" si="6408"/>
        <v>0</v>
      </c>
      <c r="H984" s="3">
        <v>80</v>
      </c>
      <c r="I984" s="77" t="str">
        <f t="shared" si="6394"/>
        <v/>
      </c>
      <c r="J984" s="32"/>
      <c r="K984" s="3"/>
      <c r="L984" s="39"/>
      <c r="M984" s="39"/>
      <c r="N984" s="39"/>
      <c r="O984" s="39"/>
      <c r="P984" s="39"/>
      <c r="Q984" s="39"/>
      <c r="R984" s="39"/>
      <c r="S984" s="39"/>
      <c r="T984" s="3" t="s">
        <v>645</v>
      </c>
      <c r="U984" s="77" t="str">
        <f t="shared" si="6395"/>
        <v/>
      </c>
      <c r="V984" s="39">
        <v>1</v>
      </c>
      <c r="W984" s="79">
        <f t="shared" si="6409"/>
        <v>0</v>
      </c>
      <c r="X984" s="3">
        <v>0</v>
      </c>
      <c r="Y984" s="77" t="str">
        <f t="shared" si="6396"/>
        <v/>
      </c>
      <c r="Z984" s="3"/>
      <c r="AA984" s="37" t="str">
        <f t="shared" si="6410"/>
        <v/>
      </c>
      <c r="AC984" s="40"/>
      <c r="AD984" s="7"/>
      <c r="AE984" s="77" t="str">
        <f t="shared" si="6397"/>
        <v/>
      </c>
      <c r="AF984" s="81">
        <f t="shared" si="6423"/>
        <v>0</v>
      </c>
      <c r="AG984" s="40"/>
      <c r="AH984" s="7"/>
      <c r="AI984" s="77" t="str">
        <f t="shared" si="6398"/>
        <v/>
      </c>
      <c r="AJ984" s="81">
        <f t="shared" si="6424"/>
        <v>0</v>
      </c>
      <c r="AK984" s="83">
        <f t="shared" si="6425"/>
        <v>0</v>
      </c>
      <c r="AL984" s="83">
        <f t="shared" si="6426"/>
        <v>0</v>
      </c>
      <c r="AN984" s="43">
        <f t="shared" si="6399"/>
        <v>0</v>
      </c>
      <c r="AP984" t="str">
        <f t="shared" si="6427"/>
        <v/>
      </c>
      <c r="AQ984" t="str">
        <f t="shared" si="6428"/>
        <v/>
      </c>
      <c r="AR984" t="str">
        <f t="shared" si="6429"/>
        <v/>
      </c>
      <c r="AS984" t="str">
        <f t="shared" si="6430"/>
        <v/>
      </c>
      <c r="AT984" t="str">
        <f t="shared" si="6431"/>
        <v/>
      </c>
      <c r="AU984" t="str">
        <f t="shared" si="6432"/>
        <v/>
      </c>
      <c r="AV984" t="str">
        <f t="shared" si="6433"/>
        <v/>
      </c>
      <c r="AW984" t="str">
        <f t="shared" si="6434"/>
        <v xml:space="preserve">                              </v>
      </c>
      <c r="AX984" s="23">
        <f t="shared" si="6435"/>
        <v>0</v>
      </c>
      <c r="AY984" s="49" t="str">
        <f t="shared" si="6411"/>
        <v>000000000000000</v>
      </c>
      <c r="AZ984" s="23">
        <f t="shared" si="6436"/>
        <v>0</v>
      </c>
      <c r="BA984" s="49" t="str">
        <f t="shared" si="6411"/>
        <v>000000000000000</v>
      </c>
      <c r="BB984" s="23">
        <f t="shared" si="6437"/>
        <v>0</v>
      </c>
      <c r="BC984" s="49" t="str">
        <f t="shared" ref="BC984" si="6516">IF(BB984&lt;0,SUBSTITUTE(TEXT(BB984,"000000000000,00"),",",""),SUBSTITUTE(TEXT(BB984,"0000000000000,00"),",",""))</f>
        <v>000000000000000</v>
      </c>
      <c r="BD984" s="23">
        <f t="shared" si="6439"/>
        <v>0</v>
      </c>
      <c r="BE984" s="49" t="str">
        <f t="shared" ref="BE984" si="6517">IF(BD984&lt;0,SUBSTITUTE(TEXT(BD984,"000000000000,00"),",",""),SUBSTITUTE(TEXT(BD984,"0000000000000,00"),",",""))</f>
        <v>000000000000000</v>
      </c>
      <c r="BF984" s="23">
        <f t="shared" si="6441"/>
        <v>0</v>
      </c>
      <c r="BG984" s="49" t="str">
        <f t="shared" ref="BG984" si="6518">IF(BF984&lt;0,SUBSTITUTE(TEXT(BF984,"000000000000,00"),",",""),SUBSTITUTE(TEXT(BF984,"0000000000000,00"),",",""))</f>
        <v>000000000000000</v>
      </c>
      <c r="BH984" s="23">
        <f t="shared" si="6443"/>
        <v>0</v>
      </c>
      <c r="BI984" s="49" t="str">
        <f t="shared" ref="BI984" si="6519">IF(BH984&lt;0,SUBSTITUTE(TEXT(BH984,"000000000000,00"),",",""),SUBSTITUTE(TEXT(BH984,"0000000000000,00"),",",""))</f>
        <v>000000000000000</v>
      </c>
      <c r="BJ984" s="23">
        <f t="shared" si="6445"/>
        <v>0</v>
      </c>
      <c r="BK984" s="49" t="str">
        <f t="shared" ref="BK984" si="6520">IF(BJ984&lt;0,SUBSTITUTE(TEXT(BJ984,"000000000000,00"),",",""),SUBSTITUTE(TEXT(BJ984,"0000000000000,00"),",",""))</f>
        <v>000000000000000</v>
      </c>
      <c r="BL984" s="23">
        <f t="shared" si="6447"/>
        <v>0</v>
      </c>
      <c r="BM984" s="49" t="str">
        <f t="shared" ref="BM984" si="6521">IF(BL984&lt;0,SUBSTITUTE(TEXT(BL984,"000000000000,00"),",",""),SUBSTITUTE(TEXT(BL984,"0000000000000,00"),",",""))</f>
        <v>000000000000000</v>
      </c>
      <c r="BN984" t="str">
        <f t="shared" si="6449"/>
        <v>PES</v>
      </c>
      <c r="BO984" t="str">
        <f t="shared" si="6450"/>
        <v>0001000000</v>
      </c>
      <c r="BP984">
        <f t="shared" si="6451"/>
        <v>0</v>
      </c>
      <c r="BQ984">
        <f t="shared" si="6452"/>
        <v>0</v>
      </c>
      <c r="BR984" s="23">
        <f t="shared" si="6453"/>
        <v>0</v>
      </c>
      <c r="BS984" s="49" t="str">
        <f t="shared" si="6418"/>
        <v>000000000000000</v>
      </c>
      <c r="BT984" t="str">
        <f t="shared" si="6454"/>
        <v>00000000</v>
      </c>
      <c r="BU984" s="23">
        <f t="shared" si="6455"/>
        <v>0</v>
      </c>
      <c r="BV984" s="49" t="str">
        <f t="shared" si="6419"/>
        <v/>
      </c>
      <c r="BW984" s="52" t="str">
        <f t="shared" si="6456"/>
        <v/>
      </c>
      <c r="BX984" s="23">
        <f t="shared" si="6457"/>
        <v>0</v>
      </c>
      <c r="BY984" s="49" t="str">
        <f t="shared" si="6420"/>
        <v/>
      </c>
      <c r="BZ984" s="23">
        <f t="shared" si="6458"/>
        <v>0</v>
      </c>
      <c r="CA984" s="49" t="str">
        <f t="shared" si="6421"/>
        <v/>
      </c>
      <c r="CB984" s="52" t="str">
        <f t="shared" si="6459"/>
        <v/>
      </c>
      <c r="CC984" s="23">
        <f t="shared" si="6460"/>
        <v>0</v>
      </c>
      <c r="CD984" s="49" t="str">
        <f t="shared" si="6422"/>
        <v/>
      </c>
      <c r="CE984" s="56" t="str">
        <f>IF(CF984="","",MAX(CE$10:$CE983)+1)</f>
        <v/>
      </c>
      <c r="CF984" t="str">
        <f t="shared" si="6461"/>
        <v/>
      </c>
      <c r="CG984" s="22" t="str">
        <f>IF(CH984="","",MAX($CG$10:CG983)+1)</f>
        <v/>
      </c>
      <c r="CH984" s="22" t="str">
        <f t="shared" si="6406"/>
        <v/>
      </c>
      <c r="CI984" s="22" t="str">
        <f>IF(CJ984="","",MAX($CI$10:CI983)+1)</f>
        <v/>
      </c>
      <c r="CJ984" s="22" t="str">
        <f t="shared" si="6407"/>
        <v/>
      </c>
    </row>
    <row r="985" spans="2:88" x14ac:dyDescent="0.25">
      <c r="B985" s="37"/>
      <c r="C985" s="3"/>
      <c r="D985" s="77" t="str">
        <f t="shared" si="6393"/>
        <v/>
      </c>
      <c r="E985" s="38"/>
      <c r="F985" s="38"/>
      <c r="G985" s="78">
        <f t="shared" si="6408"/>
        <v>0</v>
      </c>
      <c r="H985" s="3">
        <v>80</v>
      </c>
      <c r="I985" s="77" t="str">
        <f t="shared" si="6394"/>
        <v/>
      </c>
      <c r="J985" s="32"/>
      <c r="K985" s="3"/>
      <c r="L985" s="39"/>
      <c r="M985" s="39"/>
      <c r="N985" s="39"/>
      <c r="O985" s="39"/>
      <c r="P985" s="39"/>
      <c r="Q985" s="39"/>
      <c r="R985" s="39"/>
      <c r="S985" s="39"/>
      <c r="T985" s="3" t="s">
        <v>645</v>
      </c>
      <c r="U985" s="77" t="str">
        <f t="shared" si="6395"/>
        <v/>
      </c>
      <c r="V985" s="39">
        <v>1</v>
      </c>
      <c r="W985" s="79">
        <f t="shared" si="6409"/>
        <v>0</v>
      </c>
      <c r="X985" s="3">
        <v>0</v>
      </c>
      <c r="Y985" s="77" t="str">
        <f t="shared" si="6396"/>
        <v/>
      </c>
      <c r="Z985" s="3"/>
      <c r="AA985" s="37" t="str">
        <f t="shared" si="6410"/>
        <v/>
      </c>
      <c r="AC985" s="40"/>
      <c r="AD985" s="7"/>
      <c r="AE985" s="77" t="str">
        <f t="shared" si="6397"/>
        <v/>
      </c>
      <c r="AF985" s="81">
        <f t="shared" si="6423"/>
        <v>0</v>
      </c>
      <c r="AG985" s="40"/>
      <c r="AH985" s="7"/>
      <c r="AI985" s="77" t="str">
        <f t="shared" si="6398"/>
        <v/>
      </c>
      <c r="AJ985" s="81">
        <f t="shared" si="6424"/>
        <v>0</v>
      </c>
      <c r="AK985" s="83">
        <f t="shared" si="6425"/>
        <v>0</v>
      </c>
      <c r="AL985" s="83">
        <f t="shared" si="6426"/>
        <v>0</v>
      </c>
      <c r="AN985" s="43">
        <f t="shared" si="6399"/>
        <v>0</v>
      </c>
      <c r="AP985" t="str">
        <f t="shared" si="6427"/>
        <v/>
      </c>
      <c r="AQ985" t="str">
        <f t="shared" si="6428"/>
        <v/>
      </c>
      <c r="AR985" t="str">
        <f t="shared" si="6429"/>
        <v/>
      </c>
      <c r="AS985" t="str">
        <f t="shared" si="6430"/>
        <v/>
      </c>
      <c r="AT985" t="str">
        <f t="shared" si="6431"/>
        <v/>
      </c>
      <c r="AU985" t="str">
        <f t="shared" si="6432"/>
        <v/>
      </c>
      <c r="AV985" t="str">
        <f t="shared" si="6433"/>
        <v/>
      </c>
      <c r="AW985" t="str">
        <f t="shared" si="6434"/>
        <v xml:space="preserve">                              </v>
      </c>
      <c r="AX985" s="23">
        <f t="shared" si="6435"/>
        <v>0</v>
      </c>
      <c r="AY985" s="49" t="str">
        <f t="shared" si="6411"/>
        <v>000000000000000</v>
      </c>
      <c r="AZ985" s="23">
        <f t="shared" si="6436"/>
        <v>0</v>
      </c>
      <c r="BA985" s="49" t="str">
        <f t="shared" si="6411"/>
        <v>000000000000000</v>
      </c>
      <c r="BB985" s="23">
        <f t="shared" si="6437"/>
        <v>0</v>
      </c>
      <c r="BC985" s="49" t="str">
        <f t="shared" ref="BC985" si="6522">IF(BB985&lt;0,SUBSTITUTE(TEXT(BB985,"000000000000,00"),",",""),SUBSTITUTE(TEXT(BB985,"0000000000000,00"),",",""))</f>
        <v>000000000000000</v>
      </c>
      <c r="BD985" s="23">
        <f t="shared" si="6439"/>
        <v>0</v>
      </c>
      <c r="BE985" s="49" t="str">
        <f t="shared" ref="BE985" si="6523">IF(BD985&lt;0,SUBSTITUTE(TEXT(BD985,"000000000000,00"),",",""),SUBSTITUTE(TEXT(BD985,"0000000000000,00"),",",""))</f>
        <v>000000000000000</v>
      </c>
      <c r="BF985" s="23">
        <f t="shared" si="6441"/>
        <v>0</v>
      </c>
      <c r="BG985" s="49" t="str">
        <f t="shared" ref="BG985" si="6524">IF(BF985&lt;0,SUBSTITUTE(TEXT(BF985,"000000000000,00"),",",""),SUBSTITUTE(TEXT(BF985,"0000000000000,00"),",",""))</f>
        <v>000000000000000</v>
      </c>
      <c r="BH985" s="23">
        <f t="shared" si="6443"/>
        <v>0</v>
      </c>
      <c r="BI985" s="49" t="str">
        <f t="shared" ref="BI985" si="6525">IF(BH985&lt;0,SUBSTITUTE(TEXT(BH985,"000000000000,00"),",",""),SUBSTITUTE(TEXT(BH985,"0000000000000,00"),",",""))</f>
        <v>000000000000000</v>
      </c>
      <c r="BJ985" s="23">
        <f t="shared" si="6445"/>
        <v>0</v>
      </c>
      <c r="BK985" s="49" t="str">
        <f t="shared" ref="BK985" si="6526">IF(BJ985&lt;0,SUBSTITUTE(TEXT(BJ985,"000000000000,00"),",",""),SUBSTITUTE(TEXT(BJ985,"0000000000000,00"),",",""))</f>
        <v>000000000000000</v>
      </c>
      <c r="BL985" s="23">
        <f t="shared" si="6447"/>
        <v>0</v>
      </c>
      <c r="BM985" s="49" t="str">
        <f t="shared" ref="BM985" si="6527">IF(BL985&lt;0,SUBSTITUTE(TEXT(BL985,"000000000000,00"),",",""),SUBSTITUTE(TEXT(BL985,"0000000000000,00"),",",""))</f>
        <v>000000000000000</v>
      </c>
      <c r="BN985" t="str">
        <f t="shared" si="6449"/>
        <v>PES</v>
      </c>
      <c r="BO985" t="str">
        <f t="shared" si="6450"/>
        <v>0001000000</v>
      </c>
      <c r="BP985">
        <f t="shared" si="6451"/>
        <v>0</v>
      </c>
      <c r="BQ985">
        <f t="shared" si="6452"/>
        <v>0</v>
      </c>
      <c r="BR985" s="23">
        <f t="shared" si="6453"/>
        <v>0</v>
      </c>
      <c r="BS985" s="49" t="str">
        <f t="shared" si="6418"/>
        <v>000000000000000</v>
      </c>
      <c r="BT985" t="str">
        <f t="shared" si="6454"/>
        <v>00000000</v>
      </c>
      <c r="BU985" s="23">
        <f t="shared" si="6455"/>
        <v>0</v>
      </c>
      <c r="BV985" s="49" t="str">
        <f t="shared" si="6419"/>
        <v/>
      </c>
      <c r="BW985" s="52" t="str">
        <f t="shared" si="6456"/>
        <v/>
      </c>
      <c r="BX985" s="23">
        <f t="shared" si="6457"/>
        <v>0</v>
      </c>
      <c r="BY985" s="49" t="str">
        <f t="shared" si="6420"/>
        <v/>
      </c>
      <c r="BZ985" s="23">
        <f t="shared" si="6458"/>
        <v>0</v>
      </c>
      <c r="CA985" s="49" t="str">
        <f t="shared" si="6421"/>
        <v/>
      </c>
      <c r="CB985" s="52" t="str">
        <f t="shared" si="6459"/>
        <v/>
      </c>
      <c r="CC985" s="23">
        <f t="shared" si="6460"/>
        <v>0</v>
      </c>
      <c r="CD985" s="49" t="str">
        <f t="shared" si="6422"/>
        <v/>
      </c>
      <c r="CE985" s="56" t="str">
        <f>IF(CF985="","",MAX(CE$10:$CE984)+1)</f>
        <v/>
      </c>
      <c r="CF985" t="str">
        <f t="shared" si="6461"/>
        <v/>
      </c>
      <c r="CG985" s="22" t="str">
        <f>IF(CH985="","",MAX($CG$10:CG984)+1)</f>
        <v/>
      </c>
      <c r="CH985" s="22" t="str">
        <f t="shared" si="6406"/>
        <v/>
      </c>
      <c r="CI985" s="22" t="str">
        <f>IF(CJ985="","",MAX($CI$10:CI984)+1)</f>
        <v/>
      </c>
      <c r="CJ985" s="22" t="str">
        <f t="shared" si="6407"/>
        <v/>
      </c>
    </row>
    <row r="986" spans="2:88" x14ac:dyDescent="0.25">
      <c r="B986" s="37"/>
      <c r="C986" s="3"/>
      <c r="D986" s="77" t="str">
        <f t="shared" si="6393"/>
        <v/>
      </c>
      <c r="E986" s="38"/>
      <c r="F986" s="38"/>
      <c r="G986" s="78">
        <f t="shared" si="6408"/>
        <v>0</v>
      </c>
      <c r="H986" s="3">
        <v>80</v>
      </c>
      <c r="I986" s="77" t="str">
        <f t="shared" si="6394"/>
        <v/>
      </c>
      <c r="J986" s="32"/>
      <c r="K986" s="3"/>
      <c r="L986" s="39"/>
      <c r="M986" s="39"/>
      <c r="N986" s="39"/>
      <c r="O986" s="39"/>
      <c r="P986" s="39"/>
      <c r="Q986" s="39"/>
      <c r="R986" s="39"/>
      <c r="S986" s="39"/>
      <c r="T986" s="3" t="s">
        <v>645</v>
      </c>
      <c r="U986" s="77" t="str">
        <f t="shared" si="6395"/>
        <v/>
      </c>
      <c r="V986" s="39">
        <v>1</v>
      </c>
      <c r="W986" s="79">
        <f t="shared" si="6409"/>
        <v>0</v>
      </c>
      <c r="X986" s="3">
        <v>0</v>
      </c>
      <c r="Y986" s="77" t="str">
        <f t="shared" si="6396"/>
        <v/>
      </c>
      <c r="Z986" s="3"/>
      <c r="AA986" s="37" t="str">
        <f t="shared" si="6410"/>
        <v/>
      </c>
      <c r="AC986" s="40"/>
      <c r="AD986" s="7"/>
      <c r="AE986" s="77" t="str">
        <f t="shared" si="6397"/>
        <v/>
      </c>
      <c r="AF986" s="81">
        <f t="shared" si="6423"/>
        <v>0</v>
      </c>
      <c r="AG986" s="40"/>
      <c r="AH986" s="7"/>
      <c r="AI986" s="77" t="str">
        <f t="shared" si="6398"/>
        <v/>
      </c>
      <c r="AJ986" s="81">
        <f t="shared" si="6424"/>
        <v>0</v>
      </c>
      <c r="AK986" s="83">
        <f t="shared" si="6425"/>
        <v>0</v>
      </c>
      <c r="AL986" s="83">
        <f t="shared" si="6426"/>
        <v>0</v>
      </c>
      <c r="AN986" s="43">
        <f t="shared" si="6399"/>
        <v>0</v>
      </c>
      <c r="AP986" t="str">
        <f t="shared" si="6427"/>
        <v/>
      </c>
      <c r="AQ986" t="str">
        <f t="shared" si="6428"/>
        <v/>
      </c>
      <c r="AR986" t="str">
        <f t="shared" si="6429"/>
        <v/>
      </c>
      <c r="AS986" t="str">
        <f t="shared" si="6430"/>
        <v/>
      </c>
      <c r="AT986" t="str">
        <f t="shared" si="6431"/>
        <v/>
      </c>
      <c r="AU986" t="str">
        <f t="shared" si="6432"/>
        <v/>
      </c>
      <c r="AV986" t="str">
        <f t="shared" si="6433"/>
        <v/>
      </c>
      <c r="AW986" t="str">
        <f t="shared" si="6434"/>
        <v xml:space="preserve">                              </v>
      </c>
      <c r="AX986" s="23">
        <f t="shared" si="6435"/>
        <v>0</v>
      </c>
      <c r="AY986" s="49" t="str">
        <f t="shared" si="6411"/>
        <v>000000000000000</v>
      </c>
      <c r="AZ986" s="23">
        <f t="shared" si="6436"/>
        <v>0</v>
      </c>
      <c r="BA986" s="49" t="str">
        <f t="shared" si="6411"/>
        <v>000000000000000</v>
      </c>
      <c r="BB986" s="23">
        <f t="shared" si="6437"/>
        <v>0</v>
      </c>
      <c r="BC986" s="49" t="str">
        <f t="shared" ref="BC986" si="6528">IF(BB986&lt;0,SUBSTITUTE(TEXT(BB986,"000000000000,00"),",",""),SUBSTITUTE(TEXT(BB986,"0000000000000,00"),",",""))</f>
        <v>000000000000000</v>
      </c>
      <c r="BD986" s="23">
        <f t="shared" si="6439"/>
        <v>0</v>
      </c>
      <c r="BE986" s="49" t="str">
        <f t="shared" ref="BE986" si="6529">IF(BD986&lt;0,SUBSTITUTE(TEXT(BD986,"000000000000,00"),",",""),SUBSTITUTE(TEXT(BD986,"0000000000000,00"),",",""))</f>
        <v>000000000000000</v>
      </c>
      <c r="BF986" s="23">
        <f t="shared" si="6441"/>
        <v>0</v>
      </c>
      <c r="BG986" s="49" t="str">
        <f t="shared" ref="BG986" si="6530">IF(BF986&lt;0,SUBSTITUTE(TEXT(BF986,"000000000000,00"),",",""),SUBSTITUTE(TEXT(BF986,"0000000000000,00"),",",""))</f>
        <v>000000000000000</v>
      </c>
      <c r="BH986" s="23">
        <f t="shared" si="6443"/>
        <v>0</v>
      </c>
      <c r="BI986" s="49" t="str">
        <f t="shared" ref="BI986" si="6531">IF(BH986&lt;0,SUBSTITUTE(TEXT(BH986,"000000000000,00"),",",""),SUBSTITUTE(TEXT(BH986,"0000000000000,00"),",",""))</f>
        <v>000000000000000</v>
      </c>
      <c r="BJ986" s="23">
        <f t="shared" si="6445"/>
        <v>0</v>
      </c>
      <c r="BK986" s="49" t="str">
        <f t="shared" ref="BK986" si="6532">IF(BJ986&lt;0,SUBSTITUTE(TEXT(BJ986,"000000000000,00"),",",""),SUBSTITUTE(TEXT(BJ986,"0000000000000,00"),",",""))</f>
        <v>000000000000000</v>
      </c>
      <c r="BL986" s="23">
        <f t="shared" si="6447"/>
        <v>0</v>
      </c>
      <c r="BM986" s="49" t="str">
        <f t="shared" ref="BM986" si="6533">IF(BL986&lt;0,SUBSTITUTE(TEXT(BL986,"000000000000,00"),",",""),SUBSTITUTE(TEXT(BL986,"0000000000000,00"),",",""))</f>
        <v>000000000000000</v>
      </c>
      <c r="BN986" t="str">
        <f t="shared" si="6449"/>
        <v>PES</v>
      </c>
      <c r="BO986" t="str">
        <f t="shared" si="6450"/>
        <v>0001000000</v>
      </c>
      <c r="BP986">
        <f t="shared" si="6451"/>
        <v>0</v>
      </c>
      <c r="BQ986">
        <f t="shared" si="6452"/>
        <v>0</v>
      </c>
      <c r="BR986" s="23">
        <f t="shared" si="6453"/>
        <v>0</v>
      </c>
      <c r="BS986" s="49" t="str">
        <f t="shared" si="6418"/>
        <v>000000000000000</v>
      </c>
      <c r="BT986" t="str">
        <f t="shared" si="6454"/>
        <v>00000000</v>
      </c>
      <c r="BU986" s="23">
        <f t="shared" si="6455"/>
        <v>0</v>
      </c>
      <c r="BV986" s="49" t="str">
        <f t="shared" si="6419"/>
        <v/>
      </c>
      <c r="BW986" s="52" t="str">
        <f t="shared" si="6456"/>
        <v/>
      </c>
      <c r="BX986" s="23">
        <f t="shared" si="6457"/>
        <v>0</v>
      </c>
      <c r="BY986" s="49" t="str">
        <f t="shared" si="6420"/>
        <v/>
      </c>
      <c r="BZ986" s="23">
        <f t="shared" si="6458"/>
        <v>0</v>
      </c>
      <c r="CA986" s="49" t="str">
        <f t="shared" si="6421"/>
        <v/>
      </c>
      <c r="CB986" s="52" t="str">
        <f t="shared" si="6459"/>
        <v/>
      </c>
      <c r="CC986" s="23">
        <f t="shared" si="6460"/>
        <v>0</v>
      </c>
      <c r="CD986" s="49" t="str">
        <f t="shared" si="6422"/>
        <v/>
      </c>
      <c r="CE986" s="56" t="str">
        <f>IF(CF986="","",MAX(CE$10:$CE985)+1)</f>
        <v/>
      </c>
      <c r="CF986" t="str">
        <f t="shared" si="6461"/>
        <v/>
      </c>
      <c r="CG986" s="22" t="str">
        <f>IF(CH986="","",MAX($CG$10:CG985)+1)</f>
        <v/>
      </c>
      <c r="CH986" s="22" t="str">
        <f t="shared" si="6406"/>
        <v/>
      </c>
      <c r="CI986" s="22" t="str">
        <f>IF(CJ986="","",MAX($CI$10:CI985)+1)</f>
        <v/>
      </c>
      <c r="CJ986" s="22" t="str">
        <f t="shared" si="6407"/>
        <v/>
      </c>
    </row>
    <row r="987" spans="2:88" x14ac:dyDescent="0.25">
      <c r="B987" s="37"/>
      <c r="C987" s="3"/>
      <c r="D987" s="77" t="str">
        <f t="shared" si="6393"/>
        <v/>
      </c>
      <c r="E987" s="38"/>
      <c r="F987" s="38"/>
      <c r="G987" s="78">
        <f t="shared" si="6408"/>
        <v>0</v>
      </c>
      <c r="H987" s="3">
        <v>80</v>
      </c>
      <c r="I987" s="77" t="str">
        <f t="shared" si="6394"/>
        <v/>
      </c>
      <c r="J987" s="32"/>
      <c r="K987" s="3"/>
      <c r="L987" s="39"/>
      <c r="M987" s="39"/>
      <c r="N987" s="39"/>
      <c r="O987" s="39"/>
      <c r="P987" s="39"/>
      <c r="Q987" s="39"/>
      <c r="R987" s="39"/>
      <c r="S987" s="39"/>
      <c r="T987" s="3" t="s">
        <v>645</v>
      </c>
      <c r="U987" s="77" t="str">
        <f t="shared" si="6395"/>
        <v/>
      </c>
      <c r="V987" s="39">
        <v>1</v>
      </c>
      <c r="W987" s="79">
        <f t="shared" si="6409"/>
        <v>0</v>
      </c>
      <c r="X987" s="3">
        <v>0</v>
      </c>
      <c r="Y987" s="77" t="str">
        <f t="shared" si="6396"/>
        <v/>
      </c>
      <c r="Z987" s="3"/>
      <c r="AA987" s="37" t="str">
        <f t="shared" si="6410"/>
        <v/>
      </c>
      <c r="AC987" s="40"/>
      <c r="AD987" s="7"/>
      <c r="AE987" s="77" t="str">
        <f t="shared" si="6397"/>
        <v/>
      </c>
      <c r="AF987" s="81">
        <f t="shared" si="6423"/>
        <v>0</v>
      </c>
      <c r="AG987" s="40"/>
      <c r="AH987" s="7"/>
      <c r="AI987" s="77" t="str">
        <f t="shared" si="6398"/>
        <v/>
      </c>
      <c r="AJ987" s="81">
        <f t="shared" si="6424"/>
        <v>0</v>
      </c>
      <c r="AK987" s="83">
        <f t="shared" si="6425"/>
        <v>0</v>
      </c>
      <c r="AL987" s="83">
        <f t="shared" si="6426"/>
        <v>0</v>
      </c>
      <c r="AN987" s="43">
        <f t="shared" si="6399"/>
        <v>0</v>
      </c>
      <c r="AP987" t="str">
        <f t="shared" si="6427"/>
        <v/>
      </c>
      <c r="AQ987" t="str">
        <f t="shared" si="6428"/>
        <v/>
      </c>
      <c r="AR987" t="str">
        <f t="shared" si="6429"/>
        <v/>
      </c>
      <c r="AS987" t="str">
        <f t="shared" si="6430"/>
        <v/>
      </c>
      <c r="AT987" t="str">
        <f t="shared" si="6431"/>
        <v/>
      </c>
      <c r="AU987" t="str">
        <f t="shared" si="6432"/>
        <v/>
      </c>
      <c r="AV987" t="str">
        <f t="shared" si="6433"/>
        <v/>
      </c>
      <c r="AW987" t="str">
        <f t="shared" si="6434"/>
        <v xml:space="preserve">                              </v>
      </c>
      <c r="AX987" s="23">
        <f t="shared" si="6435"/>
        <v>0</v>
      </c>
      <c r="AY987" s="49" t="str">
        <f t="shared" si="6411"/>
        <v>000000000000000</v>
      </c>
      <c r="AZ987" s="23">
        <f t="shared" si="6436"/>
        <v>0</v>
      </c>
      <c r="BA987" s="49" t="str">
        <f t="shared" si="6411"/>
        <v>000000000000000</v>
      </c>
      <c r="BB987" s="23">
        <f t="shared" si="6437"/>
        <v>0</v>
      </c>
      <c r="BC987" s="49" t="str">
        <f t="shared" ref="BC987" si="6534">IF(BB987&lt;0,SUBSTITUTE(TEXT(BB987,"000000000000,00"),",",""),SUBSTITUTE(TEXT(BB987,"0000000000000,00"),",",""))</f>
        <v>000000000000000</v>
      </c>
      <c r="BD987" s="23">
        <f t="shared" si="6439"/>
        <v>0</v>
      </c>
      <c r="BE987" s="49" t="str">
        <f t="shared" ref="BE987" si="6535">IF(BD987&lt;0,SUBSTITUTE(TEXT(BD987,"000000000000,00"),",",""),SUBSTITUTE(TEXT(BD987,"0000000000000,00"),",",""))</f>
        <v>000000000000000</v>
      </c>
      <c r="BF987" s="23">
        <f t="shared" si="6441"/>
        <v>0</v>
      </c>
      <c r="BG987" s="49" t="str">
        <f t="shared" ref="BG987" si="6536">IF(BF987&lt;0,SUBSTITUTE(TEXT(BF987,"000000000000,00"),",",""),SUBSTITUTE(TEXT(BF987,"0000000000000,00"),",",""))</f>
        <v>000000000000000</v>
      </c>
      <c r="BH987" s="23">
        <f t="shared" si="6443"/>
        <v>0</v>
      </c>
      <c r="BI987" s="49" t="str">
        <f t="shared" ref="BI987" si="6537">IF(BH987&lt;0,SUBSTITUTE(TEXT(BH987,"000000000000,00"),",",""),SUBSTITUTE(TEXT(BH987,"0000000000000,00"),",",""))</f>
        <v>000000000000000</v>
      </c>
      <c r="BJ987" s="23">
        <f t="shared" si="6445"/>
        <v>0</v>
      </c>
      <c r="BK987" s="49" t="str">
        <f t="shared" ref="BK987" si="6538">IF(BJ987&lt;0,SUBSTITUTE(TEXT(BJ987,"000000000000,00"),",",""),SUBSTITUTE(TEXT(BJ987,"0000000000000,00"),",",""))</f>
        <v>000000000000000</v>
      </c>
      <c r="BL987" s="23">
        <f t="shared" si="6447"/>
        <v>0</v>
      </c>
      <c r="BM987" s="49" t="str">
        <f t="shared" ref="BM987" si="6539">IF(BL987&lt;0,SUBSTITUTE(TEXT(BL987,"000000000000,00"),",",""),SUBSTITUTE(TEXT(BL987,"0000000000000,00"),",",""))</f>
        <v>000000000000000</v>
      </c>
      <c r="BN987" t="str">
        <f t="shared" si="6449"/>
        <v>PES</v>
      </c>
      <c r="BO987" t="str">
        <f t="shared" si="6450"/>
        <v>0001000000</v>
      </c>
      <c r="BP987">
        <f t="shared" si="6451"/>
        <v>0</v>
      </c>
      <c r="BQ987">
        <f t="shared" si="6452"/>
        <v>0</v>
      </c>
      <c r="BR987" s="23">
        <f t="shared" si="6453"/>
        <v>0</v>
      </c>
      <c r="BS987" s="49" t="str">
        <f t="shared" si="6418"/>
        <v>000000000000000</v>
      </c>
      <c r="BT987" t="str">
        <f t="shared" si="6454"/>
        <v>00000000</v>
      </c>
      <c r="BU987" s="23">
        <f t="shared" si="6455"/>
        <v>0</v>
      </c>
      <c r="BV987" s="49" t="str">
        <f t="shared" si="6419"/>
        <v/>
      </c>
      <c r="BW987" s="52" t="str">
        <f t="shared" si="6456"/>
        <v/>
      </c>
      <c r="BX987" s="23">
        <f t="shared" si="6457"/>
        <v>0</v>
      </c>
      <c r="BY987" s="49" t="str">
        <f t="shared" si="6420"/>
        <v/>
      </c>
      <c r="BZ987" s="23">
        <f t="shared" si="6458"/>
        <v>0</v>
      </c>
      <c r="CA987" s="49" t="str">
        <f t="shared" si="6421"/>
        <v/>
      </c>
      <c r="CB987" s="52" t="str">
        <f t="shared" si="6459"/>
        <v/>
      </c>
      <c r="CC987" s="23">
        <f t="shared" si="6460"/>
        <v>0</v>
      </c>
      <c r="CD987" s="49" t="str">
        <f t="shared" si="6422"/>
        <v/>
      </c>
      <c r="CE987" s="56" t="str">
        <f>IF(CF987="","",MAX(CE$10:$CE986)+1)</f>
        <v/>
      </c>
      <c r="CF987" t="str">
        <f t="shared" si="6461"/>
        <v/>
      </c>
      <c r="CG987" s="22" t="str">
        <f>IF(CH987="","",MAX($CG$10:CG986)+1)</f>
        <v/>
      </c>
      <c r="CH987" s="22" t="str">
        <f t="shared" si="6406"/>
        <v/>
      </c>
      <c r="CI987" s="22" t="str">
        <f>IF(CJ987="","",MAX($CI$10:CI986)+1)</f>
        <v/>
      </c>
      <c r="CJ987" s="22" t="str">
        <f t="shared" si="6407"/>
        <v/>
      </c>
    </row>
    <row r="988" spans="2:88" x14ac:dyDescent="0.25">
      <c r="B988" s="37"/>
      <c r="C988" s="3"/>
      <c r="D988" s="77" t="str">
        <f t="shared" si="6393"/>
        <v/>
      </c>
      <c r="E988" s="38"/>
      <c r="F988" s="38"/>
      <c r="G988" s="78">
        <f t="shared" si="6408"/>
        <v>0</v>
      </c>
      <c r="H988" s="3">
        <v>80</v>
      </c>
      <c r="I988" s="77" t="str">
        <f t="shared" si="6394"/>
        <v/>
      </c>
      <c r="J988" s="32"/>
      <c r="K988" s="3"/>
      <c r="L988" s="39"/>
      <c r="M988" s="39"/>
      <c r="N988" s="39"/>
      <c r="O988" s="39"/>
      <c r="P988" s="39"/>
      <c r="Q988" s="39"/>
      <c r="R988" s="39"/>
      <c r="S988" s="39"/>
      <c r="T988" s="3" t="s">
        <v>645</v>
      </c>
      <c r="U988" s="77" t="str">
        <f t="shared" si="6395"/>
        <v/>
      </c>
      <c r="V988" s="39">
        <v>1</v>
      </c>
      <c r="W988" s="79">
        <f t="shared" si="6409"/>
        <v>0</v>
      </c>
      <c r="X988" s="3">
        <v>0</v>
      </c>
      <c r="Y988" s="77" t="str">
        <f t="shared" si="6396"/>
        <v/>
      </c>
      <c r="Z988" s="3"/>
      <c r="AA988" s="37" t="str">
        <f t="shared" si="6410"/>
        <v/>
      </c>
      <c r="AC988" s="40"/>
      <c r="AD988" s="7"/>
      <c r="AE988" s="77" t="str">
        <f t="shared" si="6397"/>
        <v/>
      </c>
      <c r="AF988" s="81">
        <f t="shared" si="6423"/>
        <v>0</v>
      </c>
      <c r="AG988" s="40"/>
      <c r="AH988" s="7"/>
      <c r="AI988" s="77" t="str">
        <f t="shared" si="6398"/>
        <v/>
      </c>
      <c r="AJ988" s="81">
        <f t="shared" si="6424"/>
        <v>0</v>
      </c>
      <c r="AK988" s="83">
        <f t="shared" si="6425"/>
        <v>0</v>
      </c>
      <c r="AL988" s="83">
        <f t="shared" si="6426"/>
        <v>0</v>
      </c>
      <c r="AN988" s="43">
        <f t="shared" si="6399"/>
        <v>0</v>
      </c>
      <c r="AP988" t="str">
        <f t="shared" si="6427"/>
        <v/>
      </c>
      <c r="AQ988" t="str">
        <f t="shared" si="6428"/>
        <v/>
      </c>
      <c r="AR988" t="str">
        <f t="shared" si="6429"/>
        <v/>
      </c>
      <c r="AS988" t="str">
        <f t="shared" si="6430"/>
        <v/>
      </c>
      <c r="AT988" t="str">
        <f t="shared" si="6431"/>
        <v/>
      </c>
      <c r="AU988" t="str">
        <f t="shared" si="6432"/>
        <v/>
      </c>
      <c r="AV988" t="str">
        <f t="shared" si="6433"/>
        <v/>
      </c>
      <c r="AW988" t="str">
        <f t="shared" si="6434"/>
        <v xml:space="preserve">                              </v>
      </c>
      <c r="AX988" s="23">
        <f t="shared" si="6435"/>
        <v>0</v>
      </c>
      <c r="AY988" s="49" t="str">
        <f t="shared" si="6411"/>
        <v>000000000000000</v>
      </c>
      <c r="AZ988" s="23">
        <f t="shared" si="6436"/>
        <v>0</v>
      </c>
      <c r="BA988" s="49" t="str">
        <f t="shared" si="6411"/>
        <v>000000000000000</v>
      </c>
      <c r="BB988" s="23">
        <f t="shared" si="6437"/>
        <v>0</v>
      </c>
      <c r="BC988" s="49" t="str">
        <f t="shared" ref="BC988" si="6540">IF(BB988&lt;0,SUBSTITUTE(TEXT(BB988,"000000000000,00"),",",""),SUBSTITUTE(TEXT(BB988,"0000000000000,00"),",",""))</f>
        <v>000000000000000</v>
      </c>
      <c r="BD988" s="23">
        <f t="shared" si="6439"/>
        <v>0</v>
      </c>
      <c r="BE988" s="49" t="str">
        <f t="shared" ref="BE988" si="6541">IF(BD988&lt;0,SUBSTITUTE(TEXT(BD988,"000000000000,00"),",",""),SUBSTITUTE(TEXT(BD988,"0000000000000,00"),",",""))</f>
        <v>000000000000000</v>
      </c>
      <c r="BF988" s="23">
        <f t="shared" si="6441"/>
        <v>0</v>
      </c>
      <c r="BG988" s="49" t="str">
        <f t="shared" ref="BG988" si="6542">IF(BF988&lt;0,SUBSTITUTE(TEXT(BF988,"000000000000,00"),",",""),SUBSTITUTE(TEXT(BF988,"0000000000000,00"),",",""))</f>
        <v>000000000000000</v>
      </c>
      <c r="BH988" s="23">
        <f t="shared" si="6443"/>
        <v>0</v>
      </c>
      <c r="BI988" s="49" t="str">
        <f t="shared" ref="BI988" si="6543">IF(BH988&lt;0,SUBSTITUTE(TEXT(BH988,"000000000000,00"),",",""),SUBSTITUTE(TEXT(BH988,"0000000000000,00"),",",""))</f>
        <v>000000000000000</v>
      </c>
      <c r="BJ988" s="23">
        <f t="shared" si="6445"/>
        <v>0</v>
      </c>
      <c r="BK988" s="49" t="str">
        <f t="shared" ref="BK988" si="6544">IF(BJ988&lt;0,SUBSTITUTE(TEXT(BJ988,"000000000000,00"),",",""),SUBSTITUTE(TEXT(BJ988,"0000000000000,00"),",",""))</f>
        <v>000000000000000</v>
      </c>
      <c r="BL988" s="23">
        <f t="shared" si="6447"/>
        <v>0</v>
      </c>
      <c r="BM988" s="49" t="str">
        <f t="shared" ref="BM988" si="6545">IF(BL988&lt;0,SUBSTITUTE(TEXT(BL988,"000000000000,00"),",",""),SUBSTITUTE(TEXT(BL988,"0000000000000,00"),",",""))</f>
        <v>000000000000000</v>
      </c>
      <c r="BN988" t="str">
        <f t="shared" si="6449"/>
        <v>PES</v>
      </c>
      <c r="BO988" t="str">
        <f t="shared" si="6450"/>
        <v>0001000000</v>
      </c>
      <c r="BP988">
        <f t="shared" si="6451"/>
        <v>0</v>
      </c>
      <c r="BQ988">
        <f t="shared" si="6452"/>
        <v>0</v>
      </c>
      <c r="BR988" s="23">
        <f t="shared" si="6453"/>
        <v>0</v>
      </c>
      <c r="BS988" s="49" t="str">
        <f t="shared" si="6418"/>
        <v>000000000000000</v>
      </c>
      <c r="BT988" t="str">
        <f t="shared" si="6454"/>
        <v>00000000</v>
      </c>
      <c r="BU988" s="23">
        <f t="shared" si="6455"/>
        <v>0</v>
      </c>
      <c r="BV988" s="49" t="str">
        <f t="shared" si="6419"/>
        <v/>
      </c>
      <c r="BW988" s="52" t="str">
        <f t="shared" si="6456"/>
        <v/>
      </c>
      <c r="BX988" s="23">
        <f t="shared" si="6457"/>
        <v>0</v>
      </c>
      <c r="BY988" s="49" t="str">
        <f t="shared" si="6420"/>
        <v/>
      </c>
      <c r="BZ988" s="23">
        <f t="shared" si="6458"/>
        <v>0</v>
      </c>
      <c r="CA988" s="49" t="str">
        <f t="shared" si="6421"/>
        <v/>
      </c>
      <c r="CB988" s="52" t="str">
        <f t="shared" si="6459"/>
        <v/>
      </c>
      <c r="CC988" s="23">
        <f t="shared" si="6460"/>
        <v>0</v>
      </c>
      <c r="CD988" s="49" t="str">
        <f t="shared" si="6422"/>
        <v/>
      </c>
      <c r="CE988" s="56" t="str">
        <f>IF(CF988="","",MAX(CE$10:$CE987)+1)</f>
        <v/>
      </c>
      <c r="CF988" t="str">
        <f t="shared" si="6461"/>
        <v/>
      </c>
      <c r="CG988" s="22" t="str">
        <f>IF(CH988="","",MAX($CG$10:CG987)+1)</f>
        <v/>
      </c>
      <c r="CH988" s="22" t="str">
        <f t="shared" si="6406"/>
        <v/>
      </c>
      <c r="CI988" s="22" t="str">
        <f>IF(CJ988="","",MAX($CI$10:CI987)+1)</f>
        <v/>
      </c>
      <c r="CJ988" s="22" t="str">
        <f t="shared" si="6407"/>
        <v/>
      </c>
    </row>
    <row r="989" spans="2:88" x14ac:dyDescent="0.25">
      <c r="B989" s="37"/>
      <c r="C989" s="3"/>
      <c r="D989" s="77" t="str">
        <f t="shared" si="6393"/>
        <v/>
      </c>
      <c r="E989" s="38"/>
      <c r="F989" s="38"/>
      <c r="G989" s="78">
        <f t="shared" si="6408"/>
        <v>0</v>
      </c>
      <c r="H989" s="3">
        <v>80</v>
      </c>
      <c r="I989" s="77" t="str">
        <f t="shared" si="6394"/>
        <v/>
      </c>
      <c r="J989" s="32"/>
      <c r="K989" s="3"/>
      <c r="L989" s="39"/>
      <c r="M989" s="39"/>
      <c r="N989" s="39"/>
      <c r="O989" s="39"/>
      <c r="P989" s="39"/>
      <c r="Q989" s="39"/>
      <c r="R989" s="39"/>
      <c r="S989" s="39"/>
      <c r="T989" s="3" t="s">
        <v>645</v>
      </c>
      <c r="U989" s="77" t="str">
        <f t="shared" si="6395"/>
        <v/>
      </c>
      <c r="V989" s="39">
        <v>1</v>
      </c>
      <c r="W989" s="79">
        <f t="shared" si="6409"/>
        <v>0</v>
      </c>
      <c r="X989" s="3">
        <v>0</v>
      </c>
      <c r="Y989" s="77" t="str">
        <f t="shared" si="6396"/>
        <v/>
      </c>
      <c r="Z989" s="3"/>
      <c r="AA989" s="37" t="str">
        <f t="shared" si="6410"/>
        <v/>
      </c>
      <c r="AC989" s="40"/>
      <c r="AD989" s="7"/>
      <c r="AE989" s="77" t="str">
        <f t="shared" si="6397"/>
        <v/>
      </c>
      <c r="AF989" s="81">
        <f t="shared" si="6423"/>
        <v>0</v>
      </c>
      <c r="AG989" s="40"/>
      <c r="AH989" s="7"/>
      <c r="AI989" s="77" t="str">
        <f t="shared" si="6398"/>
        <v/>
      </c>
      <c r="AJ989" s="81">
        <f t="shared" si="6424"/>
        <v>0</v>
      </c>
      <c r="AK989" s="83">
        <f t="shared" si="6425"/>
        <v>0</v>
      </c>
      <c r="AL989" s="83">
        <f t="shared" si="6426"/>
        <v>0</v>
      </c>
      <c r="AN989" s="43">
        <f t="shared" si="6399"/>
        <v>0</v>
      </c>
      <c r="AP989" t="str">
        <f t="shared" si="6427"/>
        <v/>
      </c>
      <c r="AQ989" t="str">
        <f t="shared" si="6428"/>
        <v/>
      </c>
      <c r="AR989" t="str">
        <f t="shared" si="6429"/>
        <v/>
      </c>
      <c r="AS989" t="str">
        <f t="shared" si="6430"/>
        <v/>
      </c>
      <c r="AT989" t="str">
        <f t="shared" si="6431"/>
        <v/>
      </c>
      <c r="AU989" t="str">
        <f t="shared" si="6432"/>
        <v/>
      </c>
      <c r="AV989" t="str">
        <f t="shared" si="6433"/>
        <v/>
      </c>
      <c r="AW989" t="str">
        <f t="shared" si="6434"/>
        <v xml:space="preserve">                              </v>
      </c>
      <c r="AX989" s="23">
        <f t="shared" si="6435"/>
        <v>0</v>
      </c>
      <c r="AY989" s="49" t="str">
        <f t="shared" si="6411"/>
        <v>000000000000000</v>
      </c>
      <c r="AZ989" s="23">
        <f t="shared" si="6436"/>
        <v>0</v>
      </c>
      <c r="BA989" s="49" t="str">
        <f t="shared" si="6411"/>
        <v>000000000000000</v>
      </c>
      <c r="BB989" s="23">
        <f t="shared" si="6437"/>
        <v>0</v>
      </c>
      <c r="BC989" s="49" t="str">
        <f t="shared" ref="BC989" si="6546">IF(BB989&lt;0,SUBSTITUTE(TEXT(BB989,"000000000000,00"),",",""),SUBSTITUTE(TEXT(BB989,"0000000000000,00"),",",""))</f>
        <v>000000000000000</v>
      </c>
      <c r="BD989" s="23">
        <f t="shared" si="6439"/>
        <v>0</v>
      </c>
      <c r="BE989" s="49" t="str">
        <f t="shared" ref="BE989" si="6547">IF(BD989&lt;0,SUBSTITUTE(TEXT(BD989,"000000000000,00"),",",""),SUBSTITUTE(TEXT(BD989,"0000000000000,00"),",",""))</f>
        <v>000000000000000</v>
      </c>
      <c r="BF989" s="23">
        <f t="shared" si="6441"/>
        <v>0</v>
      </c>
      <c r="BG989" s="49" t="str">
        <f t="shared" ref="BG989" si="6548">IF(BF989&lt;0,SUBSTITUTE(TEXT(BF989,"000000000000,00"),",",""),SUBSTITUTE(TEXT(BF989,"0000000000000,00"),",",""))</f>
        <v>000000000000000</v>
      </c>
      <c r="BH989" s="23">
        <f t="shared" si="6443"/>
        <v>0</v>
      </c>
      <c r="BI989" s="49" t="str">
        <f t="shared" ref="BI989" si="6549">IF(BH989&lt;0,SUBSTITUTE(TEXT(BH989,"000000000000,00"),",",""),SUBSTITUTE(TEXT(BH989,"0000000000000,00"),",",""))</f>
        <v>000000000000000</v>
      </c>
      <c r="BJ989" s="23">
        <f t="shared" si="6445"/>
        <v>0</v>
      </c>
      <c r="BK989" s="49" t="str">
        <f t="shared" ref="BK989" si="6550">IF(BJ989&lt;0,SUBSTITUTE(TEXT(BJ989,"000000000000,00"),",",""),SUBSTITUTE(TEXT(BJ989,"0000000000000,00"),",",""))</f>
        <v>000000000000000</v>
      </c>
      <c r="BL989" s="23">
        <f t="shared" si="6447"/>
        <v>0</v>
      </c>
      <c r="BM989" s="49" t="str">
        <f t="shared" ref="BM989" si="6551">IF(BL989&lt;0,SUBSTITUTE(TEXT(BL989,"000000000000,00"),",",""),SUBSTITUTE(TEXT(BL989,"0000000000000,00"),",",""))</f>
        <v>000000000000000</v>
      </c>
      <c r="BN989" t="str">
        <f t="shared" si="6449"/>
        <v>PES</v>
      </c>
      <c r="BO989" t="str">
        <f t="shared" si="6450"/>
        <v>0001000000</v>
      </c>
      <c r="BP989">
        <f t="shared" si="6451"/>
        <v>0</v>
      </c>
      <c r="BQ989">
        <f t="shared" si="6452"/>
        <v>0</v>
      </c>
      <c r="BR989" s="23">
        <f t="shared" si="6453"/>
        <v>0</v>
      </c>
      <c r="BS989" s="49" t="str">
        <f t="shared" si="6418"/>
        <v>000000000000000</v>
      </c>
      <c r="BT989" t="str">
        <f t="shared" si="6454"/>
        <v>00000000</v>
      </c>
      <c r="BU989" s="23">
        <f t="shared" si="6455"/>
        <v>0</v>
      </c>
      <c r="BV989" s="49" t="str">
        <f t="shared" si="6419"/>
        <v/>
      </c>
      <c r="BW989" s="52" t="str">
        <f t="shared" si="6456"/>
        <v/>
      </c>
      <c r="BX989" s="23">
        <f t="shared" si="6457"/>
        <v>0</v>
      </c>
      <c r="BY989" s="49" t="str">
        <f t="shared" si="6420"/>
        <v/>
      </c>
      <c r="BZ989" s="23">
        <f t="shared" si="6458"/>
        <v>0</v>
      </c>
      <c r="CA989" s="49" t="str">
        <f t="shared" si="6421"/>
        <v/>
      </c>
      <c r="CB989" s="52" t="str">
        <f t="shared" si="6459"/>
        <v/>
      </c>
      <c r="CC989" s="23">
        <f t="shared" si="6460"/>
        <v>0</v>
      </c>
      <c r="CD989" s="49" t="str">
        <f t="shared" si="6422"/>
        <v/>
      </c>
      <c r="CE989" s="56" t="str">
        <f>IF(CF989="","",MAX(CE$10:$CE988)+1)</f>
        <v/>
      </c>
      <c r="CF989" t="str">
        <f t="shared" si="6461"/>
        <v/>
      </c>
      <c r="CG989" s="22" t="str">
        <f>IF(CH989="","",MAX($CG$10:CG988)+1)</f>
        <v/>
      </c>
      <c r="CH989" s="22" t="str">
        <f t="shared" si="6406"/>
        <v/>
      </c>
      <c r="CI989" s="22" t="str">
        <f>IF(CJ989="","",MAX($CI$10:CI988)+1)</f>
        <v/>
      </c>
      <c r="CJ989" s="22" t="str">
        <f t="shared" si="6407"/>
        <v/>
      </c>
    </row>
    <row r="990" spans="2:88" x14ac:dyDescent="0.25">
      <c r="B990" s="37"/>
      <c r="C990" s="3"/>
      <c r="D990" s="77" t="str">
        <f t="shared" si="6393"/>
        <v/>
      </c>
      <c r="E990" s="38"/>
      <c r="F990" s="38"/>
      <c r="G990" s="78">
        <f t="shared" si="6408"/>
        <v>0</v>
      </c>
      <c r="H990" s="3">
        <v>80</v>
      </c>
      <c r="I990" s="77" t="str">
        <f t="shared" si="6394"/>
        <v/>
      </c>
      <c r="J990" s="32"/>
      <c r="K990" s="3"/>
      <c r="L990" s="39"/>
      <c r="M990" s="39"/>
      <c r="N990" s="39"/>
      <c r="O990" s="39"/>
      <c r="P990" s="39"/>
      <c r="Q990" s="39"/>
      <c r="R990" s="39"/>
      <c r="S990" s="39"/>
      <c r="T990" s="3" t="s">
        <v>645</v>
      </c>
      <c r="U990" s="77" t="str">
        <f t="shared" si="6395"/>
        <v/>
      </c>
      <c r="V990" s="39">
        <v>1</v>
      </c>
      <c r="W990" s="79">
        <f t="shared" si="6409"/>
        <v>0</v>
      </c>
      <c r="X990" s="3">
        <v>0</v>
      </c>
      <c r="Y990" s="77" t="str">
        <f t="shared" si="6396"/>
        <v/>
      </c>
      <c r="Z990" s="3"/>
      <c r="AA990" s="37" t="str">
        <f t="shared" si="6410"/>
        <v/>
      </c>
      <c r="AC990" s="40"/>
      <c r="AD990" s="7"/>
      <c r="AE990" s="77" t="str">
        <f t="shared" si="6397"/>
        <v/>
      </c>
      <c r="AF990" s="81">
        <f t="shared" si="6423"/>
        <v>0</v>
      </c>
      <c r="AG990" s="40"/>
      <c r="AH990" s="7"/>
      <c r="AI990" s="77" t="str">
        <f t="shared" si="6398"/>
        <v/>
      </c>
      <c r="AJ990" s="81">
        <f t="shared" si="6424"/>
        <v>0</v>
      </c>
      <c r="AK990" s="83">
        <f t="shared" si="6425"/>
        <v>0</v>
      </c>
      <c r="AL990" s="83">
        <f t="shared" si="6426"/>
        <v>0</v>
      </c>
      <c r="AN990" s="43">
        <f t="shared" si="6399"/>
        <v>0</v>
      </c>
      <c r="AP990" t="str">
        <f t="shared" si="6427"/>
        <v/>
      </c>
      <c r="AQ990" t="str">
        <f t="shared" si="6428"/>
        <v/>
      </c>
      <c r="AR990" t="str">
        <f t="shared" si="6429"/>
        <v/>
      </c>
      <c r="AS990" t="str">
        <f t="shared" si="6430"/>
        <v/>
      </c>
      <c r="AT990" t="str">
        <f t="shared" si="6431"/>
        <v/>
      </c>
      <c r="AU990" t="str">
        <f t="shared" si="6432"/>
        <v/>
      </c>
      <c r="AV990" t="str">
        <f t="shared" si="6433"/>
        <v/>
      </c>
      <c r="AW990" t="str">
        <f t="shared" si="6434"/>
        <v xml:space="preserve">                              </v>
      </c>
      <c r="AX990" s="23">
        <f t="shared" si="6435"/>
        <v>0</v>
      </c>
      <c r="AY990" s="49" t="str">
        <f t="shared" si="6411"/>
        <v>000000000000000</v>
      </c>
      <c r="AZ990" s="23">
        <f t="shared" si="6436"/>
        <v>0</v>
      </c>
      <c r="BA990" s="49" t="str">
        <f t="shared" si="6411"/>
        <v>000000000000000</v>
      </c>
      <c r="BB990" s="23">
        <f t="shared" si="6437"/>
        <v>0</v>
      </c>
      <c r="BC990" s="49" t="str">
        <f t="shared" ref="BC990" si="6552">IF(BB990&lt;0,SUBSTITUTE(TEXT(BB990,"000000000000,00"),",",""),SUBSTITUTE(TEXT(BB990,"0000000000000,00"),",",""))</f>
        <v>000000000000000</v>
      </c>
      <c r="BD990" s="23">
        <f t="shared" si="6439"/>
        <v>0</v>
      </c>
      <c r="BE990" s="49" t="str">
        <f t="shared" ref="BE990" si="6553">IF(BD990&lt;0,SUBSTITUTE(TEXT(BD990,"000000000000,00"),",",""),SUBSTITUTE(TEXT(BD990,"0000000000000,00"),",",""))</f>
        <v>000000000000000</v>
      </c>
      <c r="BF990" s="23">
        <f t="shared" si="6441"/>
        <v>0</v>
      </c>
      <c r="BG990" s="49" t="str">
        <f t="shared" ref="BG990" si="6554">IF(BF990&lt;0,SUBSTITUTE(TEXT(BF990,"000000000000,00"),",",""),SUBSTITUTE(TEXT(BF990,"0000000000000,00"),",",""))</f>
        <v>000000000000000</v>
      </c>
      <c r="BH990" s="23">
        <f t="shared" si="6443"/>
        <v>0</v>
      </c>
      <c r="BI990" s="49" t="str">
        <f t="shared" ref="BI990" si="6555">IF(BH990&lt;0,SUBSTITUTE(TEXT(BH990,"000000000000,00"),",",""),SUBSTITUTE(TEXT(BH990,"0000000000000,00"),",",""))</f>
        <v>000000000000000</v>
      </c>
      <c r="BJ990" s="23">
        <f t="shared" si="6445"/>
        <v>0</v>
      </c>
      <c r="BK990" s="49" t="str">
        <f t="shared" ref="BK990" si="6556">IF(BJ990&lt;0,SUBSTITUTE(TEXT(BJ990,"000000000000,00"),",",""),SUBSTITUTE(TEXT(BJ990,"0000000000000,00"),",",""))</f>
        <v>000000000000000</v>
      </c>
      <c r="BL990" s="23">
        <f t="shared" si="6447"/>
        <v>0</v>
      </c>
      <c r="BM990" s="49" t="str">
        <f t="shared" ref="BM990" si="6557">IF(BL990&lt;0,SUBSTITUTE(TEXT(BL990,"000000000000,00"),",",""),SUBSTITUTE(TEXT(BL990,"0000000000000,00"),",",""))</f>
        <v>000000000000000</v>
      </c>
      <c r="BN990" t="str">
        <f t="shared" si="6449"/>
        <v>PES</v>
      </c>
      <c r="BO990" t="str">
        <f t="shared" si="6450"/>
        <v>0001000000</v>
      </c>
      <c r="BP990">
        <f t="shared" si="6451"/>
        <v>0</v>
      </c>
      <c r="BQ990">
        <f t="shared" si="6452"/>
        <v>0</v>
      </c>
      <c r="BR990" s="23">
        <f t="shared" si="6453"/>
        <v>0</v>
      </c>
      <c r="BS990" s="49" t="str">
        <f t="shared" si="6418"/>
        <v>000000000000000</v>
      </c>
      <c r="BT990" t="str">
        <f t="shared" si="6454"/>
        <v>00000000</v>
      </c>
      <c r="BU990" s="23">
        <f t="shared" si="6455"/>
        <v>0</v>
      </c>
      <c r="BV990" s="49" t="str">
        <f t="shared" si="6419"/>
        <v/>
      </c>
      <c r="BW990" s="52" t="str">
        <f t="shared" si="6456"/>
        <v/>
      </c>
      <c r="BX990" s="23">
        <f t="shared" si="6457"/>
        <v>0</v>
      </c>
      <c r="BY990" s="49" t="str">
        <f t="shared" si="6420"/>
        <v/>
      </c>
      <c r="BZ990" s="23">
        <f t="shared" si="6458"/>
        <v>0</v>
      </c>
      <c r="CA990" s="49" t="str">
        <f t="shared" si="6421"/>
        <v/>
      </c>
      <c r="CB990" s="52" t="str">
        <f t="shared" si="6459"/>
        <v/>
      </c>
      <c r="CC990" s="23">
        <f t="shared" si="6460"/>
        <v>0</v>
      </c>
      <c r="CD990" s="49" t="str">
        <f t="shared" si="6422"/>
        <v/>
      </c>
      <c r="CE990" s="56" t="str">
        <f>IF(CF990="","",MAX(CE$10:$CE989)+1)</f>
        <v/>
      </c>
      <c r="CF990" t="str">
        <f t="shared" si="6461"/>
        <v/>
      </c>
      <c r="CG990" s="22" t="str">
        <f>IF(CH990="","",MAX($CG$10:CG989)+1)</f>
        <v/>
      </c>
      <c r="CH990" s="22" t="str">
        <f t="shared" si="6406"/>
        <v/>
      </c>
      <c r="CI990" s="22" t="str">
        <f>IF(CJ990="","",MAX($CI$10:CI989)+1)</f>
        <v/>
      </c>
      <c r="CJ990" s="22" t="str">
        <f t="shared" si="6407"/>
        <v/>
      </c>
    </row>
    <row r="991" spans="2:88" x14ac:dyDescent="0.25">
      <c r="B991" s="37"/>
      <c r="C991" s="3"/>
      <c r="D991" s="77" t="str">
        <f t="shared" si="6393"/>
        <v/>
      </c>
      <c r="E991" s="38"/>
      <c r="F991" s="38"/>
      <c r="G991" s="78">
        <f t="shared" si="6408"/>
        <v>0</v>
      </c>
      <c r="H991" s="3">
        <v>80</v>
      </c>
      <c r="I991" s="77" t="str">
        <f t="shared" si="6394"/>
        <v/>
      </c>
      <c r="J991" s="32"/>
      <c r="K991" s="3"/>
      <c r="L991" s="39"/>
      <c r="M991" s="39"/>
      <c r="N991" s="39"/>
      <c r="O991" s="39"/>
      <c r="P991" s="39"/>
      <c r="Q991" s="39"/>
      <c r="R991" s="39"/>
      <c r="S991" s="39"/>
      <c r="T991" s="3" t="s">
        <v>645</v>
      </c>
      <c r="U991" s="77" t="str">
        <f t="shared" si="6395"/>
        <v/>
      </c>
      <c r="V991" s="39">
        <v>1</v>
      </c>
      <c r="W991" s="79">
        <f t="shared" si="6409"/>
        <v>0</v>
      </c>
      <c r="X991" s="3">
        <v>0</v>
      </c>
      <c r="Y991" s="77" t="str">
        <f t="shared" si="6396"/>
        <v/>
      </c>
      <c r="Z991" s="3"/>
      <c r="AA991" s="37" t="str">
        <f t="shared" si="6410"/>
        <v/>
      </c>
      <c r="AC991" s="40"/>
      <c r="AD991" s="7"/>
      <c r="AE991" s="77" t="str">
        <f t="shared" si="6397"/>
        <v/>
      </c>
      <c r="AF991" s="81">
        <f t="shared" si="6423"/>
        <v>0</v>
      </c>
      <c r="AG991" s="40"/>
      <c r="AH991" s="7"/>
      <c r="AI991" s="77" t="str">
        <f t="shared" si="6398"/>
        <v/>
      </c>
      <c r="AJ991" s="81">
        <f t="shared" si="6424"/>
        <v>0</v>
      </c>
      <c r="AK991" s="83">
        <f t="shared" si="6425"/>
        <v>0</v>
      </c>
      <c r="AL991" s="83">
        <f t="shared" si="6426"/>
        <v>0</v>
      </c>
      <c r="AN991" s="43">
        <f t="shared" si="6399"/>
        <v>0</v>
      </c>
      <c r="AP991" t="str">
        <f t="shared" si="6427"/>
        <v/>
      </c>
      <c r="AQ991" t="str">
        <f t="shared" si="6428"/>
        <v/>
      </c>
      <c r="AR991" t="str">
        <f t="shared" si="6429"/>
        <v/>
      </c>
      <c r="AS991" t="str">
        <f t="shared" si="6430"/>
        <v/>
      </c>
      <c r="AT991" t="str">
        <f t="shared" si="6431"/>
        <v/>
      </c>
      <c r="AU991" t="str">
        <f t="shared" si="6432"/>
        <v/>
      </c>
      <c r="AV991" t="str">
        <f t="shared" si="6433"/>
        <v/>
      </c>
      <c r="AW991" t="str">
        <f t="shared" si="6434"/>
        <v xml:space="preserve">                              </v>
      </c>
      <c r="AX991" s="23">
        <f t="shared" si="6435"/>
        <v>0</v>
      </c>
      <c r="AY991" s="49" t="str">
        <f t="shared" si="6411"/>
        <v>000000000000000</v>
      </c>
      <c r="AZ991" s="23">
        <f t="shared" si="6436"/>
        <v>0</v>
      </c>
      <c r="BA991" s="49" t="str">
        <f t="shared" si="6411"/>
        <v>000000000000000</v>
      </c>
      <c r="BB991" s="23">
        <f t="shared" si="6437"/>
        <v>0</v>
      </c>
      <c r="BC991" s="49" t="str">
        <f t="shared" ref="BC991" si="6558">IF(BB991&lt;0,SUBSTITUTE(TEXT(BB991,"000000000000,00"),",",""),SUBSTITUTE(TEXT(BB991,"0000000000000,00"),",",""))</f>
        <v>000000000000000</v>
      </c>
      <c r="BD991" s="23">
        <f t="shared" si="6439"/>
        <v>0</v>
      </c>
      <c r="BE991" s="49" t="str">
        <f t="shared" ref="BE991" si="6559">IF(BD991&lt;0,SUBSTITUTE(TEXT(BD991,"000000000000,00"),",",""),SUBSTITUTE(TEXT(BD991,"0000000000000,00"),",",""))</f>
        <v>000000000000000</v>
      </c>
      <c r="BF991" s="23">
        <f t="shared" si="6441"/>
        <v>0</v>
      </c>
      <c r="BG991" s="49" t="str">
        <f t="shared" ref="BG991" si="6560">IF(BF991&lt;0,SUBSTITUTE(TEXT(BF991,"000000000000,00"),",",""),SUBSTITUTE(TEXT(BF991,"0000000000000,00"),",",""))</f>
        <v>000000000000000</v>
      </c>
      <c r="BH991" s="23">
        <f t="shared" si="6443"/>
        <v>0</v>
      </c>
      <c r="BI991" s="49" t="str">
        <f t="shared" ref="BI991" si="6561">IF(BH991&lt;0,SUBSTITUTE(TEXT(BH991,"000000000000,00"),",",""),SUBSTITUTE(TEXT(BH991,"0000000000000,00"),",",""))</f>
        <v>000000000000000</v>
      </c>
      <c r="BJ991" s="23">
        <f t="shared" si="6445"/>
        <v>0</v>
      </c>
      <c r="BK991" s="49" t="str">
        <f t="shared" ref="BK991" si="6562">IF(BJ991&lt;0,SUBSTITUTE(TEXT(BJ991,"000000000000,00"),",",""),SUBSTITUTE(TEXT(BJ991,"0000000000000,00"),",",""))</f>
        <v>000000000000000</v>
      </c>
      <c r="BL991" s="23">
        <f t="shared" si="6447"/>
        <v>0</v>
      </c>
      <c r="BM991" s="49" t="str">
        <f t="shared" ref="BM991" si="6563">IF(BL991&lt;0,SUBSTITUTE(TEXT(BL991,"000000000000,00"),",",""),SUBSTITUTE(TEXT(BL991,"0000000000000,00"),",",""))</f>
        <v>000000000000000</v>
      </c>
      <c r="BN991" t="str">
        <f t="shared" si="6449"/>
        <v>PES</v>
      </c>
      <c r="BO991" t="str">
        <f t="shared" si="6450"/>
        <v>0001000000</v>
      </c>
      <c r="BP991">
        <f t="shared" si="6451"/>
        <v>0</v>
      </c>
      <c r="BQ991">
        <f t="shared" si="6452"/>
        <v>0</v>
      </c>
      <c r="BR991" s="23">
        <f t="shared" si="6453"/>
        <v>0</v>
      </c>
      <c r="BS991" s="49" t="str">
        <f t="shared" si="6418"/>
        <v>000000000000000</v>
      </c>
      <c r="BT991" t="str">
        <f t="shared" si="6454"/>
        <v>00000000</v>
      </c>
      <c r="BU991" s="23">
        <f t="shared" si="6455"/>
        <v>0</v>
      </c>
      <c r="BV991" s="49" t="str">
        <f t="shared" si="6419"/>
        <v/>
      </c>
      <c r="BW991" s="52" t="str">
        <f t="shared" si="6456"/>
        <v/>
      </c>
      <c r="BX991" s="23">
        <f t="shared" si="6457"/>
        <v>0</v>
      </c>
      <c r="BY991" s="49" t="str">
        <f t="shared" si="6420"/>
        <v/>
      </c>
      <c r="BZ991" s="23">
        <f t="shared" si="6458"/>
        <v>0</v>
      </c>
      <c r="CA991" s="49" t="str">
        <f t="shared" si="6421"/>
        <v/>
      </c>
      <c r="CB991" s="52" t="str">
        <f t="shared" si="6459"/>
        <v/>
      </c>
      <c r="CC991" s="23">
        <f t="shared" si="6460"/>
        <v>0</v>
      </c>
      <c r="CD991" s="49" t="str">
        <f t="shared" si="6422"/>
        <v/>
      </c>
      <c r="CE991" s="56" t="str">
        <f>IF(CF991="","",MAX(CE$10:$CE990)+1)</f>
        <v/>
      </c>
      <c r="CF991" t="str">
        <f t="shared" si="6461"/>
        <v/>
      </c>
      <c r="CG991" s="22" t="str">
        <f>IF(CH991="","",MAX($CG$10:CG990)+1)</f>
        <v/>
      </c>
      <c r="CH991" s="22" t="str">
        <f t="shared" si="6406"/>
        <v/>
      </c>
      <c r="CI991" s="22" t="str">
        <f>IF(CJ991="","",MAX($CI$10:CI990)+1)</f>
        <v/>
      </c>
      <c r="CJ991" s="22" t="str">
        <f t="shared" si="6407"/>
        <v/>
      </c>
    </row>
    <row r="992" spans="2:88" x14ac:dyDescent="0.25">
      <c r="B992" s="37"/>
      <c r="C992" s="3"/>
      <c r="D992" s="77" t="str">
        <f t="shared" si="6393"/>
        <v/>
      </c>
      <c r="E992" s="38"/>
      <c r="F992" s="38"/>
      <c r="G992" s="78">
        <f t="shared" si="6408"/>
        <v>0</v>
      </c>
      <c r="H992" s="3">
        <v>80</v>
      </c>
      <c r="I992" s="77" t="str">
        <f t="shared" si="6394"/>
        <v/>
      </c>
      <c r="J992" s="32"/>
      <c r="K992" s="3"/>
      <c r="L992" s="39"/>
      <c r="M992" s="39"/>
      <c r="N992" s="39"/>
      <c r="O992" s="39"/>
      <c r="P992" s="39"/>
      <c r="Q992" s="39"/>
      <c r="R992" s="39"/>
      <c r="S992" s="39"/>
      <c r="T992" s="3" t="s">
        <v>645</v>
      </c>
      <c r="U992" s="77" t="str">
        <f t="shared" si="6395"/>
        <v/>
      </c>
      <c r="V992" s="39">
        <v>1</v>
      </c>
      <c r="W992" s="79">
        <f t="shared" si="6409"/>
        <v>0</v>
      </c>
      <c r="X992" s="3">
        <v>0</v>
      </c>
      <c r="Y992" s="77" t="str">
        <f t="shared" si="6396"/>
        <v/>
      </c>
      <c r="Z992" s="3"/>
      <c r="AA992" s="37" t="str">
        <f t="shared" si="6410"/>
        <v/>
      </c>
      <c r="AC992" s="40"/>
      <c r="AD992" s="7"/>
      <c r="AE992" s="77" t="str">
        <f t="shared" si="6397"/>
        <v/>
      </c>
      <c r="AF992" s="81">
        <f t="shared" si="6423"/>
        <v>0</v>
      </c>
      <c r="AG992" s="40"/>
      <c r="AH992" s="7"/>
      <c r="AI992" s="77" t="str">
        <f t="shared" si="6398"/>
        <v/>
      </c>
      <c r="AJ992" s="81">
        <f t="shared" si="6424"/>
        <v>0</v>
      </c>
      <c r="AK992" s="83">
        <f t="shared" si="6425"/>
        <v>0</v>
      </c>
      <c r="AL992" s="83">
        <f t="shared" si="6426"/>
        <v>0</v>
      </c>
      <c r="AN992" s="43">
        <f t="shared" si="6399"/>
        <v>0</v>
      </c>
      <c r="AP992" t="str">
        <f t="shared" si="6427"/>
        <v/>
      </c>
      <c r="AQ992" t="str">
        <f t="shared" si="6428"/>
        <v/>
      </c>
      <c r="AR992" t="str">
        <f t="shared" si="6429"/>
        <v/>
      </c>
      <c r="AS992" t="str">
        <f t="shared" si="6430"/>
        <v/>
      </c>
      <c r="AT992" t="str">
        <f t="shared" si="6431"/>
        <v/>
      </c>
      <c r="AU992" t="str">
        <f t="shared" si="6432"/>
        <v/>
      </c>
      <c r="AV992" t="str">
        <f t="shared" si="6433"/>
        <v/>
      </c>
      <c r="AW992" t="str">
        <f t="shared" si="6434"/>
        <v xml:space="preserve">                              </v>
      </c>
      <c r="AX992" s="23">
        <f t="shared" si="6435"/>
        <v>0</v>
      </c>
      <c r="AY992" s="49" t="str">
        <f t="shared" si="6411"/>
        <v>000000000000000</v>
      </c>
      <c r="AZ992" s="23">
        <f t="shared" si="6436"/>
        <v>0</v>
      </c>
      <c r="BA992" s="49" t="str">
        <f t="shared" si="6411"/>
        <v>000000000000000</v>
      </c>
      <c r="BB992" s="23">
        <f t="shared" si="6437"/>
        <v>0</v>
      </c>
      <c r="BC992" s="49" t="str">
        <f t="shared" ref="BC992" si="6564">IF(BB992&lt;0,SUBSTITUTE(TEXT(BB992,"000000000000,00"),",",""),SUBSTITUTE(TEXT(BB992,"0000000000000,00"),",",""))</f>
        <v>000000000000000</v>
      </c>
      <c r="BD992" s="23">
        <f t="shared" si="6439"/>
        <v>0</v>
      </c>
      <c r="BE992" s="49" t="str">
        <f t="shared" ref="BE992" si="6565">IF(BD992&lt;0,SUBSTITUTE(TEXT(BD992,"000000000000,00"),",",""),SUBSTITUTE(TEXT(BD992,"0000000000000,00"),",",""))</f>
        <v>000000000000000</v>
      </c>
      <c r="BF992" s="23">
        <f t="shared" si="6441"/>
        <v>0</v>
      </c>
      <c r="BG992" s="49" t="str">
        <f t="shared" ref="BG992" si="6566">IF(BF992&lt;0,SUBSTITUTE(TEXT(BF992,"000000000000,00"),",",""),SUBSTITUTE(TEXT(BF992,"0000000000000,00"),",",""))</f>
        <v>000000000000000</v>
      </c>
      <c r="BH992" s="23">
        <f t="shared" si="6443"/>
        <v>0</v>
      </c>
      <c r="BI992" s="49" t="str">
        <f t="shared" ref="BI992" si="6567">IF(BH992&lt;0,SUBSTITUTE(TEXT(BH992,"000000000000,00"),",",""),SUBSTITUTE(TEXT(BH992,"0000000000000,00"),",",""))</f>
        <v>000000000000000</v>
      </c>
      <c r="BJ992" s="23">
        <f t="shared" si="6445"/>
        <v>0</v>
      </c>
      <c r="BK992" s="49" t="str">
        <f t="shared" ref="BK992" si="6568">IF(BJ992&lt;0,SUBSTITUTE(TEXT(BJ992,"000000000000,00"),",",""),SUBSTITUTE(TEXT(BJ992,"0000000000000,00"),",",""))</f>
        <v>000000000000000</v>
      </c>
      <c r="BL992" s="23">
        <f t="shared" si="6447"/>
        <v>0</v>
      </c>
      <c r="BM992" s="49" t="str">
        <f t="shared" ref="BM992" si="6569">IF(BL992&lt;0,SUBSTITUTE(TEXT(BL992,"000000000000,00"),",",""),SUBSTITUTE(TEXT(BL992,"0000000000000,00"),",",""))</f>
        <v>000000000000000</v>
      </c>
      <c r="BN992" t="str">
        <f t="shared" si="6449"/>
        <v>PES</v>
      </c>
      <c r="BO992" t="str">
        <f t="shared" si="6450"/>
        <v>0001000000</v>
      </c>
      <c r="BP992">
        <f t="shared" si="6451"/>
        <v>0</v>
      </c>
      <c r="BQ992">
        <f t="shared" si="6452"/>
        <v>0</v>
      </c>
      <c r="BR992" s="23">
        <f t="shared" si="6453"/>
        <v>0</v>
      </c>
      <c r="BS992" s="49" t="str">
        <f t="shared" si="6418"/>
        <v>000000000000000</v>
      </c>
      <c r="BT992" t="str">
        <f t="shared" si="6454"/>
        <v>00000000</v>
      </c>
      <c r="BU992" s="23">
        <f t="shared" si="6455"/>
        <v>0</v>
      </c>
      <c r="BV992" s="49" t="str">
        <f t="shared" si="6419"/>
        <v/>
      </c>
      <c r="BW992" s="52" t="str">
        <f t="shared" si="6456"/>
        <v/>
      </c>
      <c r="BX992" s="23">
        <f t="shared" si="6457"/>
        <v>0</v>
      </c>
      <c r="BY992" s="49" t="str">
        <f t="shared" si="6420"/>
        <v/>
      </c>
      <c r="BZ992" s="23">
        <f t="shared" si="6458"/>
        <v>0</v>
      </c>
      <c r="CA992" s="49" t="str">
        <f t="shared" si="6421"/>
        <v/>
      </c>
      <c r="CB992" s="52" t="str">
        <f t="shared" si="6459"/>
        <v/>
      </c>
      <c r="CC992" s="23">
        <f t="shared" si="6460"/>
        <v>0</v>
      </c>
      <c r="CD992" s="49" t="str">
        <f t="shared" si="6422"/>
        <v/>
      </c>
      <c r="CE992" s="56" t="str">
        <f>IF(CF992="","",MAX(CE$10:$CE991)+1)</f>
        <v/>
      </c>
      <c r="CF992" t="str">
        <f t="shared" si="6461"/>
        <v/>
      </c>
      <c r="CG992" s="22" t="str">
        <f>IF(CH992="","",MAX($CG$10:CG991)+1)</f>
        <v/>
      </c>
      <c r="CH992" s="22" t="str">
        <f t="shared" si="6406"/>
        <v/>
      </c>
      <c r="CI992" s="22" t="str">
        <f>IF(CJ992="","",MAX($CI$10:CI991)+1)</f>
        <v/>
      </c>
      <c r="CJ992" s="22" t="str">
        <f t="shared" si="6407"/>
        <v/>
      </c>
    </row>
    <row r="993" spans="2:88" x14ac:dyDescent="0.25">
      <c r="B993" s="37"/>
      <c r="C993" s="3"/>
      <c r="D993" s="77" t="str">
        <f t="shared" si="6393"/>
        <v/>
      </c>
      <c r="E993" s="38"/>
      <c r="F993" s="38"/>
      <c r="G993" s="78">
        <f t="shared" si="6408"/>
        <v>0</v>
      </c>
      <c r="H993" s="3">
        <v>80</v>
      </c>
      <c r="I993" s="77" t="str">
        <f t="shared" si="6394"/>
        <v/>
      </c>
      <c r="J993" s="32"/>
      <c r="K993" s="3"/>
      <c r="L993" s="39"/>
      <c r="M993" s="39"/>
      <c r="N993" s="39"/>
      <c r="O993" s="39"/>
      <c r="P993" s="39"/>
      <c r="Q993" s="39"/>
      <c r="R993" s="39"/>
      <c r="S993" s="39"/>
      <c r="T993" s="3" t="s">
        <v>645</v>
      </c>
      <c r="U993" s="77" t="str">
        <f t="shared" si="6395"/>
        <v/>
      </c>
      <c r="V993" s="39">
        <v>1</v>
      </c>
      <c r="W993" s="79">
        <f t="shared" si="6409"/>
        <v>0</v>
      </c>
      <c r="X993" s="3">
        <v>0</v>
      </c>
      <c r="Y993" s="77" t="str">
        <f t="shared" si="6396"/>
        <v/>
      </c>
      <c r="Z993" s="3"/>
      <c r="AA993" s="37" t="str">
        <f t="shared" si="6410"/>
        <v/>
      </c>
      <c r="AC993" s="40"/>
      <c r="AD993" s="7"/>
      <c r="AE993" s="77" t="str">
        <f t="shared" si="6397"/>
        <v/>
      </c>
      <c r="AF993" s="81">
        <f t="shared" si="6423"/>
        <v>0</v>
      </c>
      <c r="AG993" s="40"/>
      <c r="AH993" s="7"/>
      <c r="AI993" s="77" t="str">
        <f t="shared" si="6398"/>
        <v/>
      </c>
      <c r="AJ993" s="81">
        <f t="shared" si="6424"/>
        <v>0</v>
      </c>
      <c r="AK993" s="83">
        <f t="shared" si="6425"/>
        <v>0</v>
      </c>
      <c r="AL993" s="83">
        <f t="shared" si="6426"/>
        <v>0</v>
      </c>
      <c r="AN993" s="43">
        <f t="shared" si="6399"/>
        <v>0</v>
      </c>
      <c r="AP993" t="str">
        <f t="shared" si="6427"/>
        <v/>
      </c>
      <c r="AQ993" t="str">
        <f t="shared" si="6428"/>
        <v/>
      </c>
      <c r="AR993" t="str">
        <f t="shared" si="6429"/>
        <v/>
      </c>
      <c r="AS993" t="str">
        <f t="shared" si="6430"/>
        <v/>
      </c>
      <c r="AT993" t="str">
        <f t="shared" si="6431"/>
        <v/>
      </c>
      <c r="AU993" t="str">
        <f t="shared" si="6432"/>
        <v/>
      </c>
      <c r="AV993" t="str">
        <f t="shared" si="6433"/>
        <v/>
      </c>
      <c r="AW993" t="str">
        <f t="shared" si="6434"/>
        <v xml:space="preserve">                              </v>
      </c>
      <c r="AX993" s="23">
        <f t="shared" si="6435"/>
        <v>0</v>
      </c>
      <c r="AY993" s="49" t="str">
        <f t="shared" si="6411"/>
        <v>000000000000000</v>
      </c>
      <c r="AZ993" s="23">
        <f t="shared" si="6436"/>
        <v>0</v>
      </c>
      <c r="BA993" s="49" t="str">
        <f t="shared" si="6411"/>
        <v>000000000000000</v>
      </c>
      <c r="BB993" s="23">
        <f t="shared" si="6437"/>
        <v>0</v>
      </c>
      <c r="BC993" s="49" t="str">
        <f t="shared" ref="BC993" si="6570">IF(BB993&lt;0,SUBSTITUTE(TEXT(BB993,"000000000000,00"),",",""),SUBSTITUTE(TEXT(BB993,"0000000000000,00"),",",""))</f>
        <v>000000000000000</v>
      </c>
      <c r="BD993" s="23">
        <f t="shared" si="6439"/>
        <v>0</v>
      </c>
      <c r="BE993" s="49" t="str">
        <f t="shared" ref="BE993" si="6571">IF(BD993&lt;0,SUBSTITUTE(TEXT(BD993,"000000000000,00"),",",""),SUBSTITUTE(TEXT(BD993,"0000000000000,00"),",",""))</f>
        <v>000000000000000</v>
      </c>
      <c r="BF993" s="23">
        <f t="shared" si="6441"/>
        <v>0</v>
      </c>
      <c r="BG993" s="49" t="str">
        <f t="shared" ref="BG993" si="6572">IF(BF993&lt;0,SUBSTITUTE(TEXT(BF993,"000000000000,00"),",",""),SUBSTITUTE(TEXT(BF993,"0000000000000,00"),",",""))</f>
        <v>000000000000000</v>
      </c>
      <c r="BH993" s="23">
        <f t="shared" si="6443"/>
        <v>0</v>
      </c>
      <c r="BI993" s="49" t="str">
        <f t="shared" ref="BI993" si="6573">IF(BH993&lt;0,SUBSTITUTE(TEXT(BH993,"000000000000,00"),",",""),SUBSTITUTE(TEXT(BH993,"0000000000000,00"),",",""))</f>
        <v>000000000000000</v>
      </c>
      <c r="BJ993" s="23">
        <f t="shared" si="6445"/>
        <v>0</v>
      </c>
      <c r="BK993" s="49" t="str">
        <f t="shared" ref="BK993" si="6574">IF(BJ993&lt;0,SUBSTITUTE(TEXT(BJ993,"000000000000,00"),",",""),SUBSTITUTE(TEXT(BJ993,"0000000000000,00"),",",""))</f>
        <v>000000000000000</v>
      </c>
      <c r="BL993" s="23">
        <f t="shared" si="6447"/>
        <v>0</v>
      </c>
      <c r="BM993" s="49" t="str">
        <f t="shared" ref="BM993" si="6575">IF(BL993&lt;0,SUBSTITUTE(TEXT(BL993,"000000000000,00"),",",""),SUBSTITUTE(TEXT(BL993,"0000000000000,00"),",",""))</f>
        <v>000000000000000</v>
      </c>
      <c r="BN993" t="str">
        <f t="shared" si="6449"/>
        <v>PES</v>
      </c>
      <c r="BO993" t="str">
        <f t="shared" si="6450"/>
        <v>0001000000</v>
      </c>
      <c r="BP993">
        <f t="shared" si="6451"/>
        <v>0</v>
      </c>
      <c r="BQ993">
        <f t="shared" si="6452"/>
        <v>0</v>
      </c>
      <c r="BR993" s="23">
        <f t="shared" si="6453"/>
        <v>0</v>
      </c>
      <c r="BS993" s="49" t="str">
        <f t="shared" si="6418"/>
        <v>000000000000000</v>
      </c>
      <c r="BT993" t="str">
        <f t="shared" si="6454"/>
        <v>00000000</v>
      </c>
      <c r="BU993" s="23">
        <f t="shared" si="6455"/>
        <v>0</v>
      </c>
      <c r="BV993" s="49" t="str">
        <f t="shared" si="6419"/>
        <v/>
      </c>
      <c r="BW993" s="52" t="str">
        <f t="shared" si="6456"/>
        <v/>
      </c>
      <c r="BX993" s="23">
        <f t="shared" si="6457"/>
        <v>0</v>
      </c>
      <c r="BY993" s="49" t="str">
        <f t="shared" si="6420"/>
        <v/>
      </c>
      <c r="BZ993" s="23">
        <f t="shared" si="6458"/>
        <v>0</v>
      </c>
      <c r="CA993" s="49" t="str">
        <f t="shared" si="6421"/>
        <v/>
      </c>
      <c r="CB993" s="52" t="str">
        <f t="shared" si="6459"/>
        <v/>
      </c>
      <c r="CC993" s="23">
        <f t="shared" si="6460"/>
        <v>0</v>
      </c>
      <c r="CD993" s="49" t="str">
        <f t="shared" si="6422"/>
        <v/>
      </c>
      <c r="CE993" s="56" t="str">
        <f>IF(CF993="","",MAX(CE$10:$CE992)+1)</f>
        <v/>
      </c>
      <c r="CF993" t="str">
        <f t="shared" si="6461"/>
        <v/>
      </c>
      <c r="CG993" s="22" t="str">
        <f>IF(CH993="","",MAX($CG$10:CG992)+1)</f>
        <v/>
      </c>
      <c r="CH993" s="22" t="str">
        <f t="shared" si="6406"/>
        <v/>
      </c>
      <c r="CI993" s="22" t="str">
        <f>IF(CJ993="","",MAX($CI$10:CI992)+1)</f>
        <v/>
      </c>
      <c r="CJ993" s="22" t="str">
        <f t="shared" si="6407"/>
        <v/>
      </c>
    </row>
    <row r="994" spans="2:88" x14ac:dyDescent="0.25">
      <c r="B994" s="37"/>
      <c r="C994" s="3"/>
      <c r="D994" s="77" t="str">
        <f t="shared" si="6393"/>
        <v/>
      </c>
      <c r="E994" s="38"/>
      <c r="F994" s="38"/>
      <c r="G994" s="78">
        <f t="shared" si="6408"/>
        <v>0</v>
      </c>
      <c r="H994" s="3">
        <v>80</v>
      </c>
      <c r="I994" s="77" t="str">
        <f t="shared" si="6394"/>
        <v/>
      </c>
      <c r="J994" s="32"/>
      <c r="K994" s="3"/>
      <c r="L994" s="39"/>
      <c r="M994" s="39"/>
      <c r="N994" s="39"/>
      <c r="O994" s="39"/>
      <c r="P994" s="39"/>
      <c r="Q994" s="39"/>
      <c r="R994" s="39"/>
      <c r="S994" s="39"/>
      <c r="T994" s="3" t="s">
        <v>645</v>
      </c>
      <c r="U994" s="77" t="str">
        <f t="shared" si="6395"/>
        <v/>
      </c>
      <c r="V994" s="39">
        <v>1</v>
      </c>
      <c r="W994" s="79">
        <f t="shared" si="6409"/>
        <v>0</v>
      </c>
      <c r="X994" s="3">
        <v>0</v>
      </c>
      <c r="Y994" s="77" t="str">
        <f t="shared" si="6396"/>
        <v/>
      </c>
      <c r="Z994" s="3"/>
      <c r="AA994" s="37" t="str">
        <f t="shared" si="6410"/>
        <v/>
      </c>
      <c r="AC994" s="40"/>
      <c r="AD994" s="7"/>
      <c r="AE994" s="77" t="str">
        <f t="shared" si="6397"/>
        <v/>
      </c>
      <c r="AF994" s="81">
        <f t="shared" si="6423"/>
        <v>0</v>
      </c>
      <c r="AG994" s="40"/>
      <c r="AH994" s="7"/>
      <c r="AI994" s="77" t="str">
        <f t="shared" si="6398"/>
        <v/>
      </c>
      <c r="AJ994" s="81">
        <f t="shared" si="6424"/>
        <v>0</v>
      </c>
      <c r="AK994" s="83">
        <f t="shared" si="6425"/>
        <v>0</v>
      </c>
      <c r="AL994" s="83">
        <f t="shared" si="6426"/>
        <v>0</v>
      </c>
      <c r="AN994" s="43">
        <f t="shared" si="6399"/>
        <v>0</v>
      </c>
      <c r="AP994" t="str">
        <f t="shared" si="6427"/>
        <v/>
      </c>
      <c r="AQ994" t="str">
        <f t="shared" si="6428"/>
        <v/>
      </c>
      <c r="AR994" t="str">
        <f t="shared" si="6429"/>
        <v/>
      </c>
      <c r="AS994" t="str">
        <f t="shared" si="6430"/>
        <v/>
      </c>
      <c r="AT994" t="str">
        <f t="shared" si="6431"/>
        <v/>
      </c>
      <c r="AU994" t="str">
        <f t="shared" si="6432"/>
        <v/>
      </c>
      <c r="AV994" t="str">
        <f t="shared" si="6433"/>
        <v/>
      </c>
      <c r="AW994" t="str">
        <f t="shared" si="6434"/>
        <v xml:space="preserve">                              </v>
      </c>
      <c r="AX994" s="23">
        <f t="shared" si="6435"/>
        <v>0</v>
      </c>
      <c r="AY994" s="49" t="str">
        <f t="shared" si="6411"/>
        <v>000000000000000</v>
      </c>
      <c r="AZ994" s="23">
        <f t="shared" si="6436"/>
        <v>0</v>
      </c>
      <c r="BA994" s="49" t="str">
        <f t="shared" si="6411"/>
        <v>000000000000000</v>
      </c>
      <c r="BB994" s="23">
        <f t="shared" si="6437"/>
        <v>0</v>
      </c>
      <c r="BC994" s="49" t="str">
        <f t="shared" ref="BC994" si="6576">IF(BB994&lt;0,SUBSTITUTE(TEXT(BB994,"000000000000,00"),",",""),SUBSTITUTE(TEXT(BB994,"0000000000000,00"),",",""))</f>
        <v>000000000000000</v>
      </c>
      <c r="BD994" s="23">
        <f t="shared" si="6439"/>
        <v>0</v>
      </c>
      <c r="BE994" s="49" t="str">
        <f t="shared" ref="BE994" si="6577">IF(BD994&lt;0,SUBSTITUTE(TEXT(BD994,"000000000000,00"),",",""),SUBSTITUTE(TEXT(BD994,"0000000000000,00"),",",""))</f>
        <v>000000000000000</v>
      </c>
      <c r="BF994" s="23">
        <f t="shared" si="6441"/>
        <v>0</v>
      </c>
      <c r="BG994" s="49" t="str">
        <f t="shared" ref="BG994" si="6578">IF(BF994&lt;0,SUBSTITUTE(TEXT(BF994,"000000000000,00"),",",""),SUBSTITUTE(TEXT(BF994,"0000000000000,00"),",",""))</f>
        <v>000000000000000</v>
      </c>
      <c r="BH994" s="23">
        <f t="shared" si="6443"/>
        <v>0</v>
      </c>
      <c r="BI994" s="49" t="str">
        <f t="shared" ref="BI994" si="6579">IF(BH994&lt;0,SUBSTITUTE(TEXT(BH994,"000000000000,00"),",",""),SUBSTITUTE(TEXT(BH994,"0000000000000,00"),",",""))</f>
        <v>000000000000000</v>
      </c>
      <c r="BJ994" s="23">
        <f t="shared" si="6445"/>
        <v>0</v>
      </c>
      <c r="BK994" s="49" t="str">
        <f t="shared" ref="BK994" si="6580">IF(BJ994&lt;0,SUBSTITUTE(TEXT(BJ994,"000000000000,00"),",",""),SUBSTITUTE(TEXT(BJ994,"0000000000000,00"),",",""))</f>
        <v>000000000000000</v>
      </c>
      <c r="BL994" s="23">
        <f t="shared" si="6447"/>
        <v>0</v>
      </c>
      <c r="BM994" s="49" t="str">
        <f t="shared" ref="BM994" si="6581">IF(BL994&lt;0,SUBSTITUTE(TEXT(BL994,"000000000000,00"),",",""),SUBSTITUTE(TEXT(BL994,"0000000000000,00"),",",""))</f>
        <v>000000000000000</v>
      </c>
      <c r="BN994" t="str">
        <f t="shared" si="6449"/>
        <v>PES</v>
      </c>
      <c r="BO994" t="str">
        <f t="shared" si="6450"/>
        <v>0001000000</v>
      </c>
      <c r="BP994">
        <f t="shared" si="6451"/>
        <v>0</v>
      </c>
      <c r="BQ994">
        <f t="shared" si="6452"/>
        <v>0</v>
      </c>
      <c r="BR994" s="23">
        <f t="shared" si="6453"/>
        <v>0</v>
      </c>
      <c r="BS994" s="49" t="str">
        <f t="shared" si="6418"/>
        <v>000000000000000</v>
      </c>
      <c r="BT994" t="str">
        <f t="shared" si="6454"/>
        <v>00000000</v>
      </c>
      <c r="BU994" s="23">
        <f t="shared" si="6455"/>
        <v>0</v>
      </c>
      <c r="BV994" s="49" t="str">
        <f t="shared" si="6419"/>
        <v/>
      </c>
      <c r="BW994" s="52" t="str">
        <f t="shared" si="6456"/>
        <v/>
      </c>
      <c r="BX994" s="23">
        <f t="shared" si="6457"/>
        <v>0</v>
      </c>
      <c r="BY994" s="49" t="str">
        <f t="shared" si="6420"/>
        <v/>
      </c>
      <c r="BZ994" s="23">
        <f t="shared" si="6458"/>
        <v>0</v>
      </c>
      <c r="CA994" s="49" t="str">
        <f t="shared" si="6421"/>
        <v/>
      </c>
      <c r="CB994" s="52" t="str">
        <f t="shared" si="6459"/>
        <v/>
      </c>
      <c r="CC994" s="23">
        <f t="shared" si="6460"/>
        <v>0</v>
      </c>
      <c r="CD994" s="49" t="str">
        <f t="shared" si="6422"/>
        <v/>
      </c>
      <c r="CE994" s="56" t="str">
        <f>IF(CF994="","",MAX(CE$10:$CE993)+1)</f>
        <v/>
      </c>
      <c r="CF994" t="str">
        <f t="shared" si="6461"/>
        <v/>
      </c>
      <c r="CG994" s="22" t="str">
        <f>IF(CH994="","",MAX($CG$10:CG993)+1)</f>
        <v/>
      </c>
      <c r="CH994" s="22" t="str">
        <f t="shared" si="6406"/>
        <v/>
      </c>
      <c r="CI994" s="22" t="str">
        <f>IF(CJ994="","",MAX($CI$10:CI993)+1)</f>
        <v/>
      </c>
      <c r="CJ994" s="22" t="str">
        <f t="shared" si="6407"/>
        <v/>
      </c>
    </row>
    <row r="995" spans="2:88" x14ac:dyDescent="0.25">
      <c r="B995" s="37"/>
      <c r="C995" s="3"/>
      <c r="D995" s="77" t="str">
        <f t="shared" si="6393"/>
        <v/>
      </c>
      <c r="E995" s="38"/>
      <c r="F995" s="38"/>
      <c r="G995" s="78">
        <f t="shared" si="6408"/>
        <v>0</v>
      </c>
      <c r="H995" s="3">
        <v>80</v>
      </c>
      <c r="I995" s="77" t="str">
        <f t="shared" si="6394"/>
        <v/>
      </c>
      <c r="J995" s="32"/>
      <c r="K995" s="3"/>
      <c r="L995" s="39"/>
      <c r="M995" s="39"/>
      <c r="N995" s="39"/>
      <c r="O995" s="39"/>
      <c r="P995" s="39"/>
      <c r="Q995" s="39"/>
      <c r="R995" s="39"/>
      <c r="S995" s="39"/>
      <c r="T995" s="3" t="s">
        <v>645</v>
      </c>
      <c r="U995" s="77" t="str">
        <f t="shared" si="6395"/>
        <v/>
      </c>
      <c r="V995" s="39">
        <v>1</v>
      </c>
      <c r="W995" s="79">
        <f t="shared" si="6409"/>
        <v>0</v>
      </c>
      <c r="X995" s="3">
        <v>0</v>
      </c>
      <c r="Y995" s="77" t="str">
        <f t="shared" si="6396"/>
        <v/>
      </c>
      <c r="Z995" s="3"/>
      <c r="AA995" s="37" t="str">
        <f t="shared" si="6410"/>
        <v/>
      </c>
      <c r="AC995" s="40"/>
      <c r="AD995" s="7"/>
      <c r="AE995" s="77" t="str">
        <f t="shared" si="6397"/>
        <v/>
      </c>
      <c r="AF995" s="81">
        <f t="shared" si="6423"/>
        <v>0</v>
      </c>
      <c r="AG995" s="40"/>
      <c r="AH995" s="7"/>
      <c r="AI995" s="77" t="str">
        <f t="shared" si="6398"/>
        <v/>
      </c>
      <c r="AJ995" s="81">
        <f t="shared" si="6424"/>
        <v>0</v>
      </c>
      <c r="AK995" s="83">
        <f t="shared" si="6425"/>
        <v>0</v>
      </c>
      <c r="AL995" s="83">
        <f t="shared" si="6426"/>
        <v>0</v>
      </c>
      <c r="AN995" s="43">
        <f t="shared" si="6399"/>
        <v>0</v>
      </c>
      <c r="AP995" t="str">
        <f t="shared" si="6427"/>
        <v/>
      </c>
      <c r="AQ995" t="str">
        <f t="shared" si="6428"/>
        <v/>
      </c>
      <c r="AR995" t="str">
        <f t="shared" si="6429"/>
        <v/>
      </c>
      <c r="AS995" t="str">
        <f t="shared" si="6430"/>
        <v/>
      </c>
      <c r="AT995" t="str">
        <f t="shared" si="6431"/>
        <v/>
      </c>
      <c r="AU995" t="str">
        <f t="shared" si="6432"/>
        <v/>
      </c>
      <c r="AV995" t="str">
        <f t="shared" si="6433"/>
        <v/>
      </c>
      <c r="AW995" t="str">
        <f t="shared" si="6434"/>
        <v xml:space="preserve">                              </v>
      </c>
      <c r="AX995" s="23">
        <f t="shared" si="6435"/>
        <v>0</v>
      </c>
      <c r="AY995" s="49" t="str">
        <f t="shared" si="6411"/>
        <v>000000000000000</v>
      </c>
      <c r="AZ995" s="23">
        <f t="shared" si="6436"/>
        <v>0</v>
      </c>
      <c r="BA995" s="49" t="str">
        <f t="shared" si="6411"/>
        <v>000000000000000</v>
      </c>
      <c r="BB995" s="23">
        <f t="shared" si="6437"/>
        <v>0</v>
      </c>
      <c r="BC995" s="49" t="str">
        <f t="shared" ref="BC995" si="6582">IF(BB995&lt;0,SUBSTITUTE(TEXT(BB995,"000000000000,00"),",",""),SUBSTITUTE(TEXT(BB995,"0000000000000,00"),",",""))</f>
        <v>000000000000000</v>
      </c>
      <c r="BD995" s="23">
        <f t="shared" si="6439"/>
        <v>0</v>
      </c>
      <c r="BE995" s="49" t="str">
        <f t="shared" ref="BE995" si="6583">IF(BD995&lt;0,SUBSTITUTE(TEXT(BD995,"000000000000,00"),",",""),SUBSTITUTE(TEXT(BD995,"0000000000000,00"),",",""))</f>
        <v>000000000000000</v>
      </c>
      <c r="BF995" s="23">
        <f t="shared" si="6441"/>
        <v>0</v>
      </c>
      <c r="BG995" s="49" t="str">
        <f t="shared" ref="BG995" si="6584">IF(BF995&lt;0,SUBSTITUTE(TEXT(BF995,"000000000000,00"),",",""),SUBSTITUTE(TEXT(BF995,"0000000000000,00"),",",""))</f>
        <v>000000000000000</v>
      </c>
      <c r="BH995" s="23">
        <f t="shared" si="6443"/>
        <v>0</v>
      </c>
      <c r="BI995" s="49" t="str">
        <f t="shared" ref="BI995" si="6585">IF(BH995&lt;0,SUBSTITUTE(TEXT(BH995,"000000000000,00"),",",""),SUBSTITUTE(TEXT(BH995,"0000000000000,00"),",",""))</f>
        <v>000000000000000</v>
      </c>
      <c r="BJ995" s="23">
        <f t="shared" si="6445"/>
        <v>0</v>
      </c>
      <c r="BK995" s="49" t="str">
        <f t="shared" ref="BK995" si="6586">IF(BJ995&lt;0,SUBSTITUTE(TEXT(BJ995,"000000000000,00"),",",""),SUBSTITUTE(TEXT(BJ995,"0000000000000,00"),",",""))</f>
        <v>000000000000000</v>
      </c>
      <c r="BL995" s="23">
        <f t="shared" si="6447"/>
        <v>0</v>
      </c>
      <c r="BM995" s="49" t="str">
        <f t="shared" ref="BM995" si="6587">IF(BL995&lt;0,SUBSTITUTE(TEXT(BL995,"000000000000,00"),",",""),SUBSTITUTE(TEXT(BL995,"0000000000000,00"),",",""))</f>
        <v>000000000000000</v>
      </c>
      <c r="BN995" t="str">
        <f t="shared" si="6449"/>
        <v>PES</v>
      </c>
      <c r="BO995" t="str">
        <f t="shared" si="6450"/>
        <v>0001000000</v>
      </c>
      <c r="BP995">
        <f t="shared" si="6451"/>
        <v>0</v>
      </c>
      <c r="BQ995">
        <f t="shared" si="6452"/>
        <v>0</v>
      </c>
      <c r="BR995" s="23">
        <f t="shared" si="6453"/>
        <v>0</v>
      </c>
      <c r="BS995" s="49" t="str">
        <f t="shared" si="6418"/>
        <v>000000000000000</v>
      </c>
      <c r="BT995" t="str">
        <f t="shared" si="6454"/>
        <v>00000000</v>
      </c>
      <c r="BU995" s="23">
        <f t="shared" si="6455"/>
        <v>0</v>
      </c>
      <c r="BV995" s="49" t="str">
        <f t="shared" si="6419"/>
        <v/>
      </c>
      <c r="BW995" s="52" t="str">
        <f t="shared" si="6456"/>
        <v/>
      </c>
      <c r="BX995" s="23">
        <f t="shared" si="6457"/>
        <v>0</v>
      </c>
      <c r="BY995" s="49" t="str">
        <f t="shared" si="6420"/>
        <v/>
      </c>
      <c r="BZ995" s="23">
        <f t="shared" si="6458"/>
        <v>0</v>
      </c>
      <c r="CA995" s="49" t="str">
        <f t="shared" si="6421"/>
        <v/>
      </c>
      <c r="CB995" s="52" t="str">
        <f t="shared" si="6459"/>
        <v/>
      </c>
      <c r="CC995" s="23">
        <f t="shared" si="6460"/>
        <v>0</v>
      </c>
      <c r="CD995" s="49" t="str">
        <f t="shared" si="6422"/>
        <v/>
      </c>
      <c r="CE995" s="56" t="str">
        <f>IF(CF995="","",MAX(CE$10:$CE994)+1)</f>
        <v/>
      </c>
      <c r="CF995" t="str">
        <f t="shared" si="6461"/>
        <v/>
      </c>
      <c r="CG995" s="22" t="str">
        <f>IF(CH995="","",MAX($CG$10:CG994)+1)</f>
        <v/>
      </c>
      <c r="CH995" s="22" t="str">
        <f t="shared" si="6406"/>
        <v/>
      </c>
      <c r="CI995" s="22" t="str">
        <f>IF(CJ995="","",MAX($CI$10:CI994)+1)</f>
        <v/>
      </c>
      <c r="CJ995" s="22" t="str">
        <f t="shared" si="6407"/>
        <v/>
      </c>
    </row>
    <row r="996" spans="2:88" x14ac:dyDescent="0.25">
      <c r="B996" s="37"/>
      <c r="C996" s="3"/>
      <c r="D996" s="77" t="str">
        <f t="shared" si="6393"/>
        <v/>
      </c>
      <c r="E996" s="38"/>
      <c r="F996" s="38"/>
      <c r="G996" s="78">
        <f t="shared" si="6408"/>
        <v>0</v>
      </c>
      <c r="H996" s="3">
        <v>80</v>
      </c>
      <c r="I996" s="77" t="str">
        <f t="shared" si="6394"/>
        <v/>
      </c>
      <c r="J996" s="32"/>
      <c r="K996" s="3"/>
      <c r="L996" s="39"/>
      <c r="M996" s="39"/>
      <c r="N996" s="39"/>
      <c r="O996" s="39"/>
      <c r="P996" s="39"/>
      <c r="Q996" s="39"/>
      <c r="R996" s="39"/>
      <c r="S996" s="39"/>
      <c r="T996" s="3" t="s">
        <v>645</v>
      </c>
      <c r="U996" s="77" t="str">
        <f t="shared" si="6395"/>
        <v/>
      </c>
      <c r="V996" s="39">
        <v>1</v>
      </c>
      <c r="W996" s="79">
        <f t="shared" si="6409"/>
        <v>0</v>
      </c>
      <c r="X996" s="3">
        <v>0</v>
      </c>
      <c r="Y996" s="77" t="str">
        <f t="shared" si="6396"/>
        <v/>
      </c>
      <c r="Z996" s="3"/>
      <c r="AA996" s="37" t="str">
        <f t="shared" si="6410"/>
        <v/>
      </c>
      <c r="AC996" s="40"/>
      <c r="AD996" s="7"/>
      <c r="AE996" s="77" t="str">
        <f t="shared" si="6397"/>
        <v/>
      </c>
      <c r="AF996" s="81">
        <f t="shared" si="6423"/>
        <v>0</v>
      </c>
      <c r="AG996" s="40"/>
      <c r="AH996" s="7"/>
      <c r="AI996" s="77" t="str">
        <f t="shared" si="6398"/>
        <v/>
      </c>
      <c r="AJ996" s="81">
        <f t="shared" si="6424"/>
        <v>0</v>
      </c>
      <c r="AK996" s="83">
        <f t="shared" si="6425"/>
        <v>0</v>
      </c>
      <c r="AL996" s="83">
        <f t="shared" si="6426"/>
        <v>0</v>
      </c>
      <c r="AN996" s="43">
        <f t="shared" si="6399"/>
        <v>0</v>
      </c>
      <c r="AP996" t="str">
        <f t="shared" si="6427"/>
        <v/>
      </c>
      <c r="AQ996" t="str">
        <f t="shared" si="6428"/>
        <v/>
      </c>
      <c r="AR996" t="str">
        <f t="shared" si="6429"/>
        <v/>
      </c>
      <c r="AS996" t="str">
        <f t="shared" si="6430"/>
        <v/>
      </c>
      <c r="AT996" t="str">
        <f t="shared" si="6431"/>
        <v/>
      </c>
      <c r="AU996" t="str">
        <f t="shared" si="6432"/>
        <v/>
      </c>
      <c r="AV996" t="str">
        <f t="shared" si="6433"/>
        <v/>
      </c>
      <c r="AW996" t="str">
        <f t="shared" si="6434"/>
        <v xml:space="preserve">                              </v>
      </c>
      <c r="AX996" s="23">
        <f t="shared" si="6435"/>
        <v>0</v>
      </c>
      <c r="AY996" s="49" t="str">
        <f t="shared" si="6411"/>
        <v>000000000000000</v>
      </c>
      <c r="AZ996" s="23">
        <f t="shared" si="6436"/>
        <v>0</v>
      </c>
      <c r="BA996" s="49" t="str">
        <f t="shared" si="6411"/>
        <v>000000000000000</v>
      </c>
      <c r="BB996" s="23">
        <f t="shared" si="6437"/>
        <v>0</v>
      </c>
      <c r="BC996" s="49" t="str">
        <f t="shared" ref="BC996" si="6588">IF(BB996&lt;0,SUBSTITUTE(TEXT(BB996,"000000000000,00"),",",""),SUBSTITUTE(TEXT(BB996,"0000000000000,00"),",",""))</f>
        <v>000000000000000</v>
      </c>
      <c r="BD996" s="23">
        <f t="shared" si="6439"/>
        <v>0</v>
      </c>
      <c r="BE996" s="49" t="str">
        <f t="shared" ref="BE996" si="6589">IF(BD996&lt;0,SUBSTITUTE(TEXT(BD996,"000000000000,00"),",",""),SUBSTITUTE(TEXT(BD996,"0000000000000,00"),",",""))</f>
        <v>000000000000000</v>
      </c>
      <c r="BF996" s="23">
        <f t="shared" si="6441"/>
        <v>0</v>
      </c>
      <c r="BG996" s="49" t="str">
        <f t="shared" ref="BG996" si="6590">IF(BF996&lt;0,SUBSTITUTE(TEXT(BF996,"000000000000,00"),",",""),SUBSTITUTE(TEXT(BF996,"0000000000000,00"),",",""))</f>
        <v>000000000000000</v>
      </c>
      <c r="BH996" s="23">
        <f t="shared" si="6443"/>
        <v>0</v>
      </c>
      <c r="BI996" s="49" t="str">
        <f t="shared" ref="BI996" si="6591">IF(BH996&lt;0,SUBSTITUTE(TEXT(BH996,"000000000000,00"),",",""),SUBSTITUTE(TEXT(BH996,"0000000000000,00"),",",""))</f>
        <v>000000000000000</v>
      </c>
      <c r="BJ996" s="23">
        <f t="shared" si="6445"/>
        <v>0</v>
      </c>
      <c r="BK996" s="49" t="str">
        <f t="shared" ref="BK996" si="6592">IF(BJ996&lt;0,SUBSTITUTE(TEXT(BJ996,"000000000000,00"),",",""),SUBSTITUTE(TEXT(BJ996,"0000000000000,00"),",",""))</f>
        <v>000000000000000</v>
      </c>
      <c r="BL996" s="23">
        <f t="shared" si="6447"/>
        <v>0</v>
      </c>
      <c r="BM996" s="49" t="str">
        <f t="shared" ref="BM996" si="6593">IF(BL996&lt;0,SUBSTITUTE(TEXT(BL996,"000000000000,00"),",",""),SUBSTITUTE(TEXT(BL996,"0000000000000,00"),",",""))</f>
        <v>000000000000000</v>
      </c>
      <c r="BN996" t="str">
        <f t="shared" si="6449"/>
        <v>PES</v>
      </c>
      <c r="BO996" t="str">
        <f t="shared" si="6450"/>
        <v>0001000000</v>
      </c>
      <c r="BP996">
        <f t="shared" si="6451"/>
        <v>0</v>
      </c>
      <c r="BQ996">
        <f t="shared" si="6452"/>
        <v>0</v>
      </c>
      <c r="BR996" s="23">
        <f t="shared" si="6453"/>
        <v>0</v>
      </c>
      <c r="BS996" s="49" t="str">
        <f t="shared" si="6418"/>
        <v>000000000000000</v>
      </c>
      <c r="BT996" t="str">
        <f t="shared" si="6454"/>
        <v>00000000</v>
      </c>
      <c r="BU996" s="23">
        <f t="shared" si="6455"/>
        <v>0</v>
      </c>
      <c r="BV996" s="49" t="str">
        <f t="shared" si="6419"/>
        <v/>
      </c>
      <c r="BW996" s="52" t="str">
        <f t="shared" si="6456"/>
        <v/>
      </c>
      <c r="BX996" s="23">
        <f t="shared" si="6457"/>
        <v>0</v>
      </c>
      <c r="BY996" s="49" t="str">
        <f t="shared" si="6420"/>
        <v/>
      </c>
      <c r="BZ996" s="23">
        <f t="shared" si="6458"/>
        <v>0</v>
      </c>
      <c r="CA996" s="49" t="str">
        <f t="shared" si="6421"/>
        <v/>
      </c>
      <c r="CB996" s="52" t="str">
        <f t="shared" si="6459"/>
        <v/>
      </c>
      <c r="CC996" s="23">
        <f t="shared" si="6460"/>
        <v>0</v>
      </c>
      <c r="CD996" s="49" t="str">
        <f t="shared" si="6422"/>
        <v/>
      </c>
      <c r="CE996" s="56" t="str">
        <f>IF(CF996="","",MAX(CE$10:$CE995)+1)</f>
        <v/>
      </c>
      <c r="CF996" t="str">
        <f t="shared" si="6461"/>
        <v/>
      </c>
      <c r="CG996" s="22" t="str">
        <f>IF(CH996="","",MAX($CG$10:CG995)+1)</f>
        <v/>
      </c>
      <c r="CH996" s="22" t="str">
        <f t="shared" si="6406"/>
        <v/>
      </c>
      <c r="CI996" s="22" t="str">
        <f>IF(CJ996="","",MAX($CI$10:CI995)+1)</f>
        <v/>
      </c>
      <c r="CJ996" s="22" t="str">
        <f t="shared" si="6407"/>
        <v/>
      </c>
    </row>
    <row r="997" spans="2:88" x14ac:dyDescent="0.25">
      <c r="B997" s="37"/>
      <c r="C997" s="3"/>
      <c r="D997" s="77" t="str">
        <f t="shared" si="6393"/>
        <v/>
      </c>
      <c r="E997" s="38"/>
      <c r="F997" s="38"/>
      <c r="G997" s="78">
        <f t="shared" si="6408"/>
        <v>0</v>
      </c>
      <c r="H997" s="3">
        <v>80</v>
      </c>
      <c r="I997" s="77" t="str">
        <f t="shared" si="6394"/>
        <v/>
      </c>
      <c r="J997" s="32"/>
      <c r="K997" s="3"/>
      <c r="L997" s="39"/>
      <c r="M997" s="39"/>
      <c r="N997" s="39"/>
      <c r="O997" s="39"/>
      <c r="P997" s="39"/>
      <c r="Q997" s="39"/>
      <c r="R997" s="39"/>
      <c r="S997" s="39"/>
      <c r="T997" s="3" t="s">
        <v>645</v>
      </c>
      <c r="U997" s="77" t="str">
        <f t="shared" si="6395"/>
        <v/>
      </c>
      <c r="V997" s="39">
        <v>1</v>
      </c>
      <c r="W997" s="79">
        <f t="shared" si="6409"/>
        <v>0</v>
      </c>
      <c r="X997" s="3">
        <v>0</v>
      </c>
      <c r="Y997" s="77" t="str">
        <f t="shared" si="6396"/>
        <v/>
      </c>
      <c r="Z997" s="3"/>
      <c r="AA997" s="37" t="str">
        <f t="shared" si="6410"/>
        <v/>
      </c>
      <c r="AC997" s="40"/>
      <c r="AD997" s="7"/>
      <c r="AE997" s="77" t="str">
        <f t="shared" si="6397"/>
        <v/>
      </c>
      <c r="AF997" s="81">
        <f t="shared" si="6423"/>
        <v>0</v>
      </c>
      <c r="AG997" s="40"/>
      <c r="AH997" s="7"/>
      <c r="AI997" s="77" t="str">
        <f t="shared" si="6398"/>
        <v/>
      </c>
      <c r="AJ997" s="81">
        <f t="shared" si="6424"/>
        <v>0</v>
      </c>
      <c r="AK997" s="83">
        <f t="shared" si="6425"/>
        <v>0</v>
      </c>
      <c r="AL997" s="83">
        <f t="shared" si="6426"/>
        <v>0</v>
      </c>
      <c r="AN997" s="43">
        <f t="shared" si="6399"/>
        <v>0</v>
      </c>
      <c r="AP997" t="str">
        <f t="shared" si="6427"/>
        <v/>
      </c>
      <c r="AQ997" t="str">
        <f t="shared" si="6428"/>
        <v/>
      </c>
      <c r="AR997" t="str">
        <f t="shared" si="6429"/>
        <v/>
      </c>
      <c r="AS997" t="str">
        <f t="shared" si="6430"/>
        <v/>
      </c>
      <c r="AT997" t="str">
        <f t="shared" si="6431"/>
        <v/>
      </c>
      <c r="AU997" t="str">
        <f t="shared" si="6432"/>
        <v/>
      </c>
      <c r="AV997" t="str">
        <f t="shared" si="6433"/>
        <v/>
      </c>
      <c r="AW997" t="str">
        <f t="shared" si="6434"/>
        <v xml:space="preserve">                              </v>
      </c>
      <c r="AX997" s="23">
        <f t="shared" si="6435"/>
        <v>0</v>
      </c>
      <c r="AY997" s="49" t="str">
        <f t="shared" si="6411"/>
        <v>000000000000000</v>
      </c>
      <c r="AZ997" s="23">
        <f t="shared" si="6436"/>
        <v>0</v>
      </c>
      <c r="BA997" s="49" t="str">
        <f t="shared" si="6411"/>
        <v>000000000000000</v>
      </c>
      <c r="BB997" s="23">
        <f t="shared" si="6437"/>
        <v>0</v>
      </c>
      <c r="BC997" s="49" t="str">
        <f t="shared" ref="BC997" si="6594">IF(BB997&lt;0,SUBSTITUTE(TEXT(BB997,"000000000000,00"),",",""),SUBSTITUTE(TEXT(BB997,"0000000000000,00"),",",""))</f>
        <v>000000000000000</v>
      </c>
      <c r="BD997" s="23">
        <f t="shared" si="6439"/>
        <v>0</v>
      </c>
      <c r="BE997" s="49" t="str">
        <f t="shared" ref="BE997" si="6595">IF(BD997&lt;0,SUBSTITUTE(TEXT(BD997,"000000000000,00"),",",""),SUBSTITUTE(TEXT(BD997,"0000000000000,00"),",",""))</f>
        <v>000000000000000</v>
      </c>
      <c r="BF997" s="23">
        <f t="shared" si="6441"/>
        <v>0</v>
      </c>
      <c r="BG997" s="49" t="str">
        <f t="shared" ref="BG997" si="6596">IF(BF997&lt;0,SUBSTITUTE(TEXT(BF997,"000000000000,00"),",",""),SUBSTITUTE(TEXT(BF997,"0000000000000,00"),",",""))</f>
        <v>000000000000000</v>
      </c>
      <c r="BH997" s="23">
        <f t="shared" si="6443"/>
        <v>0</v>
      </c>
      <c r="BI997" s="49" t="str">
        <f t="shared" ref="BI997" si="6597">IF(BH997&lt;0,SUBSTITUTE(TEXT(BH997,"000000000000,00"),",",""),SUBSTITUTE(TEXT(BH997,"0000000000000,00"),",",""))</f>
        <v>000000000000000</v>
      </c>
      <c r="BJ997" s="23">
        <f t="shared" si="6445"/>
        <v>0</v>
      </c>
      <c r="BK997" s="49" t="str">
        <f t="shared" ref="BK997" si="6598">IF(BJ997&lt;0,SUBSTITUTE(TEXT(BJ997,"000000000000,00"),",",""),SUBSTITUTE(TEXT(BJ997,"0000000000000,00"),",",""))</f>
        <v>000000000000000</v>
      </c>
      <c r="BL997" s="23">
        <f t="shared" si="6447"/>
        <v>0</v>
      </c>
      <c r="BM997" s="49" t="str">
        <f t="shared" ref="BM997" si="6599">IF(BL997&lt;0,SUBSTITUTE(TEXT(BL997,"000000000000,00"),",",""),SUBSTITUTE(TEXT(BL997,"0000000000000,00"),",",""))</f>
        <v>000000000000000</v>
      </c>
      <c r="BN997" t="str">
        <f t="shared" si="6449"/>
        <v>PES</v>
      </c>
      <c r="BO997" t="str">
        <f t="shared" si="6450"/>
        <v>0001000000</v>
      </c>
      <c r="BP997">
        <f t="shared" si="6451"/>
        <v>0</v>
      </c>
      <c r="BQ997">
        <f t="shared" si="6452"/>
        <v>0</v>
      </c>
      <c r="BR997" s="23">
        <f t="shared" si="6453"/>
        <v>0</v>
      </c>
      <c r="BS997" s="49" t="str">
        <f t="shared" si="6418"/>
        <v>000000000000000</v>
      </c>
      <c r="BT997" t="str">
        <f t="shared" si="6454"/>
        <v>00000000</v>
      </c>
      <c r="BU997" s="23">
        <f t="shared" si="6455"/>
        <v>0</v>
      </c>
      <c r="BV997" s="49" t="str">
        <f t="shared" si="6419"/>
        <v/>
      </c>
      <c r="BW997" s="52" t="str">
        <f t="shared" si="6456"/>
        <v/>
      </c>
      <c r="BX997" s="23">
        <f t="shared" si="6457"/>
        <v>0</v>
      </c>
      <c r="BY997" s="49" t="str">
        <f t="shared" si="6420"/>
        <v/>
      </c>
      <c r="BZ997" s="23">
        <f t="shared" si="6458"/>
        <v>0</v>
      </c>
      <c r="CA997" s="49" t="str">
        <f t="shared" si="6421"/>
        <v/>
      </c>
      <c r="CB997" s="52" t="str">
        <f t="shared" si="6459"/>
        <v/>
      </c>
      <c r="CC997" s="23">
        <f t="shared" si="6460"/>
        <v>0</v>
      </c>
      <c r="CD997" s="49" t="str">
        <f t="shared" si="6422"/>
        <v/>
      </c>
      <c r="CE997" s="56" t="str">
        <f>IF(CF997="","",MAX(CE$10:$CE996)+1)</f>
        <v/>
      </c>
      <c r="CF997" t="str">
        <f t="shared" si="6461"/>
        <v/>
      </c>
      <c r="CG997" s="22" t="str">
        <f>IF(CH997="","",MAX($CG$10:CG996)+1)</f>
        <v/>
      </c>
      <c r="CH997" s="22" t="str">
        <f t="shared" si="6406"/>
        <v/>
      </c>
      <c r="CI997" s="22" t="str">
        <f>IF(CJ997="","",MAX($CI$10:CI996)+1)</f>
        <v/>
      </c>
      <c r="CJ997" s="22" t="str">
        <f t="shared" si="6407"/>
        <v/>
      </c>
    </row>
    <row r="998" spans="2:88" x14ac:dyDescent="0.25">
      <c r="B998" s="37"/>
      <c r="C998" s="3"/>
      <c r="D998" s="77" t="str">
        <f t="shared" si="6393"/>
        <v/>
      </c>
      <c r="E998" s="38"/>
      <c r="F998" s="38"/>
      <c r="G998" s="78">
        <f t="shared" si="6408"/>
        <v>0</v>
      </c>
      <c r="H998" s="3">
        <v>80</v>
      </c>
      <c r="I998" s="77" t="str">
        <f t="shared" si="6394"/>
        <v/>
      </c>
      <c r="J998" s="32"/>
      <c r="K998" s="3"/>
      <c r="L998" s="39"/>
      <c r="M998" s="39"/>
      <c r="N998" s="39"/>
      <c r="O998" s="39"/>
      <c r="P998" s="39"/>
      <c r="Q998" s="39"/>
      <c r="R998" s="39"/>
      <c r="S998" s="39"/>
      <c r="T998" s="3" t="s">
        <v>645</v>
      </c>
      <c r="U998" s="77" t="str">
        <f t="shared" si="6395"/>
        <v/>
      </c>
      <c r="V998" s="39">
        <v>1</v>
      </c>
      <c r="W998" s="79">
        <f t="shared" si="6409"/>
        <v>0</v>
      </c>
      <c r="X998" s="3">
        <v>0</v>
      </c>
      <c r="Y998" s="77" t="str">
        <f t="shared" si="6396"/>
        <v/>
      </c>
      <c r="Z998" s="3"/>
      <c r="AA998" s="37" t="str">
        <f t="shared" si="6410"/>
        <v/>
      </c>
      <c r="AC998" s="40"/>
      <c r="AD998" s="7"/>
      <c r="AE998" s="77" t="str">
        <f t="shared" si="6397"/>
        <v/>
      </c>
      <c r="AF998" s="81">
        <f t="shared" si="6423"/>
        <v>0</v>
      </c>
      <c r="AG998" s="40"/>
      <c r="AH998" s="7"/>
      <c r="AI998" s="77" t="str">
        <f t="shared" si="6398"/>
        <v/>
      </c>
      <c r="AJ998" s="81">
        <f t="shared" si="6424"/>
        <v>0</v>
      </c>
      <c r="AK998" s="83">
        <f t="shared" si="6425"/>
        <v>0</v>
      </c>
      <c r="AL998" s="83">
        <f t="shared" si="6426"/>
        <v>0</v>
      </c>
      <c r="AN998" s="43">
        <f t="shared" si="6399"/>
        <v>0</v>
      </c>
      <c r="AP998" t="str">
        <f t="shared" si="6427"/>
        <v/>
      </c>
      <c r="AQ998" t="str">
        <f t="shared" si="6428"/>
        <v/>
      </c>
      <c r="AR998" t="str">
        <f t="shared" si="6429"/>
        <v/>
      </c>
      <c r="AS998" t="str">
        <f t="shared" si="6430"/>
        <v/>
      </c>
      <c r="AT998" t="str">
        <f t="shared" si="6431"/>
        <v/>
      </c>
      <c r="AU998" t="str">
        <f t="shared" si="6432"/>
        <v/>
      </c>
      <c r="AV998" t="str">
        <f t="shared" si="6433"/>
        <v/>
      </c>
      <c r="AW998" t="str">
        <f t="shared" si="6434"/>
        <v xml:space="preserve">                              </v>
      </c>
      <c r="AX998" s="23">
        <f t="shared" si="6435"/>
        <v>0</v>
      </c>
      <c r="AY998" s="49" t="str">
        <f t="shared" si="6411"/>
        <v>000000000000000</v>
      </c>
      <c r="AZ998" s="23">
        <f t="shared" si="6436"/>
        <v>0</v>
      </c>
      <c r="BA998" s="49" t="str">
        <f t="shared" si="6411"/>
        <v>000000000000000</v>
      </c>
      <c r="BB998" s="23">
        <f t="shared" si="6437"/>
        <v>0</v>
      </c>
      <c r="BC998" s="49" t="str">
        <f t="shared" ref="BC998" si="6600">IF(BB998&lt;0,SUBSTITUTE(TEXT(BB998,"000000000000,00"),",",""),SUBSTITUTE(TEXT(BB998,"0000000000000,00"),",",""))</f>
        <v>000000000000000</v>
      </c>
      <c r="BD998" s="23">
        <f t="shared" si="6439"/>
        <v>0</v>
      </c>
      <c r="BE998" s="49" t="str">
        <f t="shared" ref="BE998" si="6601">IF(BD998&lt;0,SUBSTITUTE(TEXT(BD998,"000000000000,00"),",",""),SUBSTITUTE(TEXT(BD998,"0000000000000,00"),",",""))</f>
        <v>000000000000000</v>
      </c>
      <c r="BF998" s="23">
        <f t="shared" si="6441"/>
        <v>0</v>
      </c>
      <c r="BG998" s="49" t="str">
        <f t="shared" ref="BG998" si="6602">IF(BF998&lt;0,SUBSTITUTE(TEXT(BF998,"000000000000,00"),",",""),SUBSTITUTE(TEXT(BF998,"0000000000000,00"),",",""))</f>
        <v>000000000000000</v>
      </c>
      <c r="BH998" s="23">
        <f t="shared" si="6443"/>
        <v>0</v>
      </c>
      <c r="BI998" s="49" t="str">
        <f t="shared" ref="BI998" si="6603">IF(BH998&lt;0,SUBSTITUTE(TEXT(BH998,"000000000000,00"),",",""),SUBSTITUTE(TEXT(BH998,"0000000000000,00"),",",""))</f>
        <v>000000000000000</v>
      </c>
      <c r="BJ998" s="23">
        <f t="shared" si="6445"/>
        <v>0</v>
      </c>
      <c r="BK998" s="49" t="str">
        <f t="shared" ref="BK998" si="6604">IF(BJ998&lt;0,SUBSTITUTE(TEXT(BJ998,"000000000000,00"),",",""),SUBSTITUTE(TEXT(BJ998,"0000000000000,00"),",",""))</f>
        <v>000000000000000</v>
      </c>
      <c r="BL998" s="23">
        <f t="shared" si="6447"/>
        <v>0</v>
      </c>
      <c r="BM998" s="49" t="str">
        <f t="shared" ref="BM998" si="6605">IF(BL998&lt;0,SUBSTITUTE(TEXT(BL998,"000000000000,00"),",",""),SUBSTITUTE(TEXT(BL998,"0000000000000,00"),",",""))</f>
        <v>000000000000000</v>
      </c>
      <c r="BN998" t="str">
        <f t="shared" si="6449"/>
        <v>PES</v>
      </c>
      <c r="BO998" t="str">
        <f t="shared" si="6450"/>
        <v>0001000000</v>
      </c>
      <c r="BP998">
        <f t="shared" si="6451"/>
        <v>0</v>
      </c>
      <c r="BQ998">
        <f t="shared" si="6452"/>
        <v>0</v>
      </c>
      <c r="BR998" s="23">
        <f t="shared" si="6453"/>
        <v>0</v>
      </c>
      <c r="BS998" s="49" t="str">
        <f t="shared" si="6418"/>
        <v>000000000000000</v>
      </c>
      <c r="BT998" t="str">
        <f t="shared" si="6454"/>
        <v>00000000</v>
      </c>
      <c r="BU998" s="23">
        <f t="shared" si="6455"/>
        <v>0</v>
      </c>
      <c r="BV998" s="49" t="str">
        <f t="shared" si="6419"/>
        <v/>
      </c>
      <c r="BW998" s="52" t="str">
        <f t="shared" si="6456"/>
        <v/>
      </c>
      <c r="BX998" s="23">
        <f t="shared" si="6457"/>
        <v>0</v>
      </c>
      <c r="BY998" s="49" t="str">
        <f t="shared" si="6420"/>
        <v/>
      </c>
      <c r="BZ998" s="23">
        <f t="shared" si="6458"/>
        <v>0</v>
      </c>
      <c r="CA998" s="49" t="str">
        <f t="shared" si="6421"/>
        <v/>
      </c>
      <c r="CB998" s="52" t="str">
        <f t="shared" si="6459"/>
        <v/>
      </c>
      <c r="CC998" s="23">
        <f t="shared" si="6460"/>
        <v>0</v>
      </c>
      <c r="CD998" s="49" t="str">
        <f t="shared" si="6422"/>
        <v/>
      </c>
      <c r="CE998" s="56" t="str">
        <f>IF(CF998="","",MAX(CE$10:$CE997)+1)</f>
        <v/>
      </c>
      <c r="CF998" t="str">
        <f t="shared" si="6461"/>
        <v/>
      </c>
      <c r="CG998" s="22" t="str">
        <f>IF(CH998="","",MAX($CG$10:CG997)+1)</f>
        <v/>
      </c>
      <c r="CH998" s="22" t="str">
        <f t="shared" si="6406"/>
        <v/>
      </c>
      <c r="CI998" s="22" t="str">
        <f>IF(CJ998="","",MAX($CI$10:CI997)+1)</f>
        <v/>
      </c>
      <c r="CJ998" s="22" t="str">
        <f t="shared" si="6407"/>
        <v/>
      </c>
    </row>
    <row r="999" spans="2:88" x14ac:dyDescent="0.25">
      <c r="B999" s="37"/>
      <c r="C999" s="3"/>
      <c r="D999" s="77" t="str">
        <f t="shared" si="6393"/>
        <v/>
      </c>
      <c r="E999" s="38"/>
      <c r="F999" s="38"/>
      <c r="G999" s="78">
        <f t="shared" si="6408"/>
        <v>0</v>
      </c>
      <c r="H999" s="3">
        <v>80</v>
      </c>
      <c r="I999" s="77" t="str">
        <f t="shared" si="6394"/>
        <v/>
      </c>
      <c r="J999" s="32"/>
      <c r="K999" s="3"/>
      <c r="L999" s="39"/>
      <c r="M999" s="39"/>
      <c r="N999" s="39"/>
      <c r="O999" s="39"/>
      <c r="P999" s="39"/>
      <c r="Q999" s="39"/>
      <c r="R999" s="39"/>
      <c r="S999" s="39"/>
      <c r="T999" s="3" t="s">
        <v>645</v>
      </c>
      <c r="U999" s="77" t="str">
        <f t="shared" si="6395"/>
        <v/>
      </c>
      <c r="V999" s="39">
        <v>1</v>
      </c>
      <c r="W999" s="79">
        <f t="shared" si="6409"/>
        <v>0</v>
      </c>
      <c r="X999" s="3">
        <v>0</v>
      </c>
      <c r="Y999" s="77" t="str">
        <f t="shared" si="6396"/>
        <v/>
      </c>
      <c r="Z999" s="3"/>
      <c r="AA999" s="37" t="str">
        <f t="shared" si="6410"/>
        <v/>
      </c>
      <c r="AC999" s="40"/>
      <c r="AD999" s="7"/>
      <c r="AE999" s="77" t="str">
        <f t="shared" si="6397"/>
        <v/>
      </c>
      <c r="AF999" s="81">
        <f t="shared" si="6423"/>
        <v>0</v>
      </c>
      <c r="AG999" s="40"/>
      <c r="AH999" s="7"/>
      <c r="AI999" s="77" t="str">
        <f t="shared" si="6398"/>
        <v/>
      </c>
      <c r="AJ999" s="81">
        <f t="shared" si="6424"/>
        <v>0</v>
      </c>
      <c r="AK999" s="83">
        <f t="shared" si="6425"/>
        <v>0</v>
      </c>
      <c r="AL999" s="83">
        <f t="shared" si="6426"/>
        <v>0</v>
      </c>
      <c r="AN999" s="43">
        <f t="shared" si="6399"/>
        <v>0</v>
      </c>
      <c r="AP999" t="str">
        <f t="shared" si="6427"/>
        <v/>
      </c>
      <c r="AQ999" t="str">
        <f t="shared" si="6428"/>
        <v/>
      </c>
      <c r="AR999" t="str">
        <f t="shared" si="6429"/>
        <v/>
      </c>
      <c r="AS999" t="str">
        <f t="shared" si="6430"/>
        <v/>
      </c>
      <c r="AT999" t="str">
        <f t="shared" si="6431"/>
        <v/>
      </c>
      <c r="AU999" t="str">
        <f t="shared" si="6432"/>
        <v/>
      </c>
      <c r="AV999" t="str">
        <f t="shared" si="6433"/>
        <v/>
      </c>
      <c r="AW999" t="str">
        <f t="shared" si="6434"/>
        <v xml:space="preserve">                              </v>
      </c>
      <c r="AX999" s="23">
        <f t="shared" si="6435"/>
        <v>0</v>
      </c>
      <c r="AY999" s="49" t="str">
        <f t="shared" si="6411"/>
        <v>000000000000000</v>
      </c>
      <c r="AZ999" s="23">
        <f t="shared" si="6436"/>
        <v>0</v>
      </c>
      <c r="BA999" s="49" t="str">
        <f t="shared" si="6411"/>
        <v>000000000000000</v>
      </c>
      <c r="BB999" s="23">
        <f t="shared" si="6437"/>
        <v>0</v>
      </c>
      <c r="BC999" s="49" t="str">
        <f t="shared" ref="BC999" si="6606">IF(BB999&lt;0,SUBSTITUTE(TEXT(BB999,"000000000000,00"),",",""),SUBSTITUTE(TEXT(BB999,"0000000000000,00"),",",""))</f>
        <v>000000000000000</v>
      </c>
      <c r="BD999" s="23">
        <f t="shared" si="6439"/>
        <v>0</v>
      </c>
      <c r="BE999" s="49" t="str">
        <f t="shared" ref="BE999" si="6607">IF(BD999&lt;0,SUBSTITUTE(TEXT(BD999,"000000000000,00"),",",""),SUBSTITUTE(TEXT(BD999,"0000000000000,00"),",",""))</f>
        <v>000000000000000</v>
      </c>
      <c r="BF999" s="23">
        <f t="shared" si="6441"/>
        <v>0</v>
      </c>
      <c r="BG999" s="49" t="str">
        <f t="shared" ref="BG999" si="6608">IF(BF999&lt;0,SUBSTITUTE(TEXT(BF999,"000000000000,00"),",",""),SUBSTITUTE(TEXT(BF999,"0000000000000,00"),",",""))</f>
        <v>000000000000000</v>
      </c>
      <c r="BH999" s="23">
        <f t="shared" si="6443"/>
        <v>0</v>
      </c>
      <c r="BI999" s="49" t="str">
        <f t="shared" ref="BI999" si="6609">IF(BH999&lt;0,SUBSTITUTE(TEXT(BH999,"000000000000,00"),",",""),SUBSTITUTE(TEXT(BH999,"0000000000000,00"),",",""))</f>
        <v>000000000000000</v>
      </c>
      <c r="BJ999" s="23">
        <f t="shared" si="6445"/>
        <v>0</v>
      </c>
      <c r="BK999" s="49" t="str">
        <f t="shared" ref="BK999" si="6610">IF(BJ999&lt;0,SUBSTITUTE(TEXT(BJ999,"000000000000,00"),",",""),SUBSTITUTE(TEXT(BJ999,"0000000000000,00"),",",""))</f>
        <v>000000000000000</v>
      </c>
      <c r="BL999" s="23">
        <f t="shared" si="6447"/>
        <v>0</v>
      </c>
      <c r="BM999" s="49" t="str">
        <f t="shared" ref="BM999" si="6611">IF(BL999&lt;0,SUBSTITUTE(TEXT(BL999,"000000000000,00"),",",""),SUBSTITUTE(TEXT(BL999,"0000000000000,00"),",",""))</f>
        <v>000000000000000</v>
      </c>
      <c r="BN999" t="str">
        <f t="shared" si="6449"/>
        <v>PES</v>
      </c>
      <c r="BO999" t="str">
        <f t="shared" si="6450"/>
        <v>0001000000</v>
      </c>
      <c r="BP999">
        <f t="shared" si="6451"/>
        <v>0</v>
      </c>
      <c r="BQ999">
        <f t="shared" si="6452"/>
        <v>0</v>
      </c>
      <c r="BR999" s="23">
        <f t="shared" si="6453"/>
        <v>0</v>
      </c>
      <c r="BS999" s="49" t="str">
        <f t="shared" si="6418"/>
        <v>000000000000000</v>
      </c>
      <c r="BT999" t="str">
        <f t="shared" si="6454"/>
        <v>00000000</v>
      </c>
      <c r="BU999" s="23">
        <f t="shared" si="6455"/>
        <v>0</v>
      </c>
      <c r="BV999" s="49" t="str">
        <f t="shared" si="6419"/>
        <v/>
      </c>
      <c r="BW999" s="52" t="str">
        <f t="shared" si="6456"/>
        <v/>
      </c>
      <c r="BX999" s="23">
        <f t="shared" si="6457"/>
        <v>0</v>
      </c>
      <c r="BY999" s="49" t="str">
        <f t="shared" si="6420"/>
        <v/>
      </c>
      <c r="BZ999" s="23">
        <f t="shared" si="6458"/>
        <v>0</v>
      </c>
      <c r="CA999" s="49" t="str">
        <f t="shared" si="6421"/>
        <v/>
      </c>
      <c r="CB999" s="52" t="str">
        <f t="shared" si="6459"/>
        <v/>
      </c>
      <c r="CC999" s="23">
        <f t="shared" si="6460"/>
        <v>0</v>
      </c>
      <c r="CD999" s="49" t="str">
        <f t="shared" si="6422"/>
        <v/>
      </c>
      <c r="CE999" s="56" t="str">
        <f>IF(CF999="","",MAX(CE$10:$CE998)+1)</f>
        <v/>
      </c>
      <c r="CF999" t="str">
        <f t="shared" si="6461"/>
        <v/>
      </c>
      <c r="CG999" s="22" t="str">
        <f>IF(CH999="","",MAX($CG$10:CG998)+1)</f>
        <v/>
      </c>
      <c r="CH999" s="22" t="str">
        <f t="shared" si="6406"/>
        <v/>
      </c>
      <c r="CI999" s="22" t="str">
        <f>IF(CJ999="","",MAX($CI$10:CI998)+1)</f>
        <v/>
      </c>
      <c r="CJ999" s="22" t="str">
        <f t="shared" si="6407"/>
        <v/>
      </c>
    </row>
    <row r="1000" spans="2:88" x14ac:dyDescent="0.25">
      <c r="B1000" s="37"/>
      <c r="C1000" s="3"/>
      <c r="D1000" s="77" t="str">
        <f t="shared" si="6393"/>
        <v/>
      </c>
      <c r="E1000" s="38"/>
      <c r="F1000" s="38"/>
      <c r="G1000" s="78">
        <f t="shared" si="6408"/>
        <v>0</v>
      </c>
      <c r="H1000" s="3">
        <v>80</v>
      </c>
      <c r="I1000" s="77" t="str">
        <f t="shared" si="6394"/>
        <v/>
      </c>
      <c r="J1000" s="32"/>
      <c r="K1000" s="3"/>
      <c r="L1000" s="39"/>
      <c r="M1000" s="39"/>
      <c r="N1000" s="39"/>
      <c r="O1000" s="39"/>
      <c r="P1000" s="39"/>
      <c r="Q1000" s="39"/>
      <c r="R1000" s="39"/>
      <c r="S1000" s="39"/>
      <c r="T1000" s="3" t="s">
        <v>645</v>
      </c>
      <c r="U1000" s="77" t="str">
        <f t="shared" si="6395"/>
        <v/>
      </c>
      <c r="V1000" s="39">
        <v>1</v>
      </c>
      <c r="W1000" s="79">
        <f t="shared" si="6409"/>
        <v>0</v>
      </c>
      <c r="X1000" s="3">
        <v>0</v>
      </c>
      <c r="Y1000" s="77" t="str">
        <f t="shared" si="6396"/>
        <v/>
      </c>
      <c r="Z1000" s="3"/>
      <c r="AA1000" s="37" t="str">
        <f t="shared" si="6410"/>
        <v/>
      </c>
      <c r="AC1000" s="40"/>
      <c r="AD1000" s="7"/>
      <c r="AE1000" s="77" t="str">
        <f t="shared" si="6397"/>
        <v/>
      </c>
      <c r="AF1000" s="81">
        <f t="shared" si="6423"/>
        <v>0</v>
      </c>
      <c r="AG1000" s="40"/>
      <c r="AH1000" s="7"/>
      <c r="AI1000" s="77" t="str">
        <f t="shared" si="6398"/>
        <v/>
      </c>
      <c r="AJ1000" s="81">
        <f t="shared" si="6424"/>
        <v>0</v>
      </c>
      <c r="AK1000" s="83">
        <f t="shared" si="6425"/>
        <v>0</v>
      </c>
      <c r="AL1000" s="83">
        <f t="shared" si="6426"/>
        <v>0</v>
      </c>
      <c r="AN1000" s="43">
        <f t="shared" si="6399"/>
        <v>0</v>
      </c>
      <c r="AP1000" t="str">
        <f t="shared" si="6427"/>
        <v/>
      </c>
      <c r="AQ1000" t="str">
        <f t="shared" si="6428"/>
        <v/>
      </c>
      <c r="AR1000" t="str">
        <f t="shared" si="6429"/>
        <v/>
      </c>
      <c r="AS1000" t="str">
        <f t="shared" si="6430"/>
        <v/>
      </c>
      <c r="AT1000" t="str">
        <f t="shared" si="6431"/>
        <v/>
      </c>
      <c r="AU1000" t="str">
        <f t="shared" si="6432"/>
        <v/>
      </c>
      <c r="AV1000" t="str">
        <f t="shared" si="6433"/>
        <v/>
      </c>
      <c r="AW1000" t="str">
        <f t="shared" si="6434"/>
        <v xml:space="preserve">                              </v>
      </c>
      <c r="AX1000" s="23">
        <f t="shared" si="6435"/>
        <v>0</v>
      </c>
      <c r="AY1000" s="49" t="str">
        <f t="shared" si="6411"/>
        <v>000000000000000</v>
      </c>
      <c r="AZ1000" s="23">
        <f t="shared" si="6436"/>
        <v>0</v>
      </c>
      <c r="BA1000" s="49" t="str">
        <f t="shared" si="6411"/>
        <v>000000000000000</v>
      </c>
      <c r="BB1000" s="23">
        <f t="shared" si="6437"/>
        <v>0</v>
      </c>
      <c r="BC1000" s="49" t="str">
        <f t="shared" ref="BC1000" si="6612">IF(BB1000&lt;0,SUBSTITUTE(TEXT(BB1000,"000000000000,00"),",",""),SUBSTITUTE(TEXT(BB1000,"0000000000000,00"),",",""))</f>
        <v>000000000000000</v>
      </c>
      <c r="BD1000" s="23">
        <f t="shared" si="6439"/>
        <v>0</v>
      </c>
      <c r="BE1000" s="49" t="str">
        <f t="shared" ref="BE1000" si="6613">IF(BD1000&lt;0,SUBSTITUTE(TEXT(BD1000,"000000000000,00"),",",""),SUBSTITUTE(TEXT(BD1000,"0000000000000,00"),",",""))</f>
        <v>000000000000000</v>
      </c>
      <c r="BF1000" s="23">
        <f t="shared" si="6441"/>
        <v>0</v>
      </c>
      <c r="BG1000" s="49" t="str">
        <f t="shared" ref="BG1000" si="6614">IF(BF1000&lt;0,SUBSTITUTE(TEXT(BF1000,"000000000000,00"),",",""),SUBSTITUTE(TEXT(BF1000,"0000000000000,00"),",",""))</f>
        <v>000000000000000</v>
      </c>
      <c r="BH1000" s="23">
        <f t="shared" si="6443"/>
        <v>0</v>
      </c>
      <c r="BI1000" s="49" t="str">
        <f t="shared" ref="BI1000" si="6615">IF(BH1000&lt;0,SUBSTITUTE(TEXT(BH1000,"000000000000,00"),",",""),SUBSTITUTE(TEXT(BH1000,"0000000000000,00"),",",""))</f>
        <v>000000000000000</v>
      </c>
      <c r="BJ1000" s="23">
        <f t="shared" si="6445"/>
        <v>0</v>
      </c>
      <c r="BK1000" s="49" t="str">
        <f t="shared" ref="BK1000" si="6616">IF(BJ1000&lt;0,SUBSTITUTE(TEXT(BJ1000,"000000000000,00"),",",""),SUBSTITUTE(TEXT(BJ1000,"0000000000000,00"),",",""))</f>
        <v>000000000000000</v>
      </c>
      <c r="BL1000" s="23">
        <f t="shared" si="6447"/>
        <v>0</v>
      </c>
      <c r="BM1000" s="49" t="str">
        <f t="shared" ref="BM1000" si="6617">IF(BL1000&lt;0,SUBSTITUTE(TEXT(BL1000,"000000000000,00"),",",""),SUBSTITUTE(TEXT(BL1000,"0000000000000,00"),",",""))</f>
        <v>000000000000000</v>
      </c>
      <c r="BN1000" t="str">
        <f t="shared" si="6449"/>
        <v>PES</v>
      </c>
      <c r="BO1000" t="str">
        <f t="shared" si="6450"/>
        <v>0001000000</v>
      </c>
      <c r="BP1000">
        <f t="shared" si="6451"/>
        <v>0</v>
      </c>
      <c r="BQ1000">
        <f t="shared" si="6452"/>
        <v>0</v>
      </c>
      <c r="BR1000" s="23">
        <f t="shared" si="6453"/>
        <v>0</v>
      </c>
      <c r="BS1000" s="49" t="str">
        <f t="shared" si="6418"/>
        <v>000000000000000</v>
      </c>
      <c r="BT1000" t="str">
        <f t="shared" si="6454"/>
        <v>00000000</v>
      </c>
      <c r="BU1000" s="23">
        <f t="shared" si="6455"/>
        <v>0</v>
      </c>
      <c r="BV1000" s="49" t="str">
        <f t="shared" si="6419"/>
        <v/>
      </c>
      <c r="BW1000" s="52" t="str">
        <f t="shared" si="6456"/>
        <v/>
      </c>
      <c r="BX1000" s="23">
        <f t="shared" si="6457"/>
        <v>0</v>
      </c>
      <c r="BY1000" s="49" t="str">
        <f t="shared" si="6420"/>
        <v/>
      </c>
      <c r="BZ1000" s="23">
        <f t="shared" si="6458"/>
        <v>0</v>
      </c>
      <c r="CA1000" s="49" t="str">
        <f t="shared" si="6421"/>
        <v/>
      </c>
      <c r="CB1000" s="52" t="str">
        <f t="shared" si="6459"/>
        <v/>
      </c>
      <c r="CC1000" s="23">
        <f t="shared" si="6460"/>
        <v>0</v>
      </c>
      <c r="CD1000" s="49" t="str">
        <f t="shared" si="6422"/>
        <v/>
      </c>
      <c r="CE1000" s="56" t="str">
        <f>IF(CF1000="","",MAX(CE$10:$CE999)+1)</f>
        <v/>
      </c>
      <c r="CF1000" t="str">
        <f t="shared" si="6461"/>
        <v/>
      </c>
      <c r="CG1000" s="22" t="str">
        <f>IF(CH1000="","",MAX($CG$10:CG999)+1)</f>
        <v/>
      </c>
      <c r="CH1000" s="22" t="str">
        <f t="shared" si="6406"/>
        <v/>
      </c>
      <c r="CI1000" s="22" t="str">
        <f>IF(CJ1000="","",MAX($CI$10:CI999)+1)</f>
        <v/>
      </c>
      <c r="CJ1000" s="22" t="str">
        <f t="shared" si="6407"/>
        <v/>
      </c>
    </row>
    <row r="1001" spans="2:88" x14ac:dyDescent="0.25">
      <c r="B1001" s="37"/>
      <c r="C1001" s="3"/>
      <c r="D1001" s="77" t="str">
        <f t="shared" si="6393"/>
        <v/>
      </c>
      <c r="E1001" s="38"/>
      <c r="F1001" s="38"/>
      <c r="G1001" s="78">
        <f t="shared" si="6408"/>
        <v>0</v>
      </c>
      <c r="H1001" s="3">
        <v>80</v>
      </c>
      <c r="I1001" s="77" t="str">
        <f t="shared" si="6394"/>
        <v/>
      </c>
      <c r="J1001" s="32"/>
      <c r="K1001" s="3"/>
      <c r="L1001" s="39"/>
      <c r="M1001" s="39"/>
      <c r="N1001" s="39"/>
      <c r="O1001" s="39"/>
      <c r="P1001" s="39"/>
      <c r="Q1001" s="39"/>
      <c r="R1001" s="39"/>
      <c r="S1001" s="39"/>
      <c r="T1001" s="3" t="s">
        <v>645</v>
      </c>
      <c r="U1001" s="77" t="str">
        <f t="shared" si="6395"/>
        <v/>
      </c>
      <c r="V1001" s="39">
        <v>1</v>
      </c>
      <c r="W1001" s="79">
        <f t="shared" si="6409"/>
        <v>0</v>
      </c>
      <c r="X1001" s="3">
        <v>0</v>
      </c>
      <c r="Y1001" s="77" t="str">
        <f t="shared" si="6396"/>
        <v/>
      </c>
      <c r="Z1001" s="3"/>
      <c r="AA1001" s="37" t="str">
        <f t="shared" si="6410"/>
        <v/>
      </c>
      <c r="AC1001" s="40"/>
      <c r="AD1001" s="7"/>
      <c r="AE1001" s="77" t="str">
        <f t="shared" si="6397"/>
        <v/>
      </c>
      <c r="AF1001" s="81">
        <f t="shared" si="6423"/>
        <v>0</v>
      </c>
      <c r="AG1001" s="40"/>
      <c r="AH1001" s="7"/>
      <c r="AI1001" s="77" t="str">
        <f t="shared" si="6398"/>
        <v/>
      </c>
      <c r="AJ1001" s="81">
        <f t="shared" si="6424"/>
        <v>0</v>
      </c>
      <c r="AK1001" s="83">
        <f t="shared" si="6425"/>
        <v>0</v>
      </c>
      <c r="AL1001" s="83">
        <f t="shared" si="6426"/>
        <v>0</v>
      </c>
      <c r="AN1001" s="43">
        <f t="shared" si="6399"/>
        <v>0</v>
      </c>
      <c r="AP1001" t="str">
        <f t="shared" si="6427"/>
        <v/>
      </c>
      <c r="AQ1001" t="str">
        <f t="shared" si="6428"/>
        <v/>
      </c>
      <c r="AR1001" t="str">
        <f t="shared" si="6429"/>
        <v/>
      </c>
      <c r="AS1001" t="str">
        <f t="shared" si="6430"/>
        <v/>
      </c>
      <c r="AT1001" t="str">
        <f t="shared" si="6431"/>
        <v/>
      </c>
      <c r="AU1001" t="str">
        <f t="shared" si="6432"/>
        <v/>
      </c>
      <c r="AV1001" t="str">
        <f t="shared" si="6433"/>
        <v/>
      </c>
      <c r="AW1001" t="str">
        <f t="shared" si="6434"/>
        <v xml:space="preserve">                              </v>
      </c>
      <c r="AX1001" s="23">
        <f t="shared" si="6435"/>
        <v>0</v>
      </c>
      <c r="AY1001" s="49" t="str">
        <f t="shared" si="6411"/>
        <v>000000000000000</v>
      </c>
      <c r="AZ1001" s="23">
        <f t="shared" si="6436"/>
        <v>0</v>
      </c>
      <c r="BA1001" s="49" t="str">
        <f t="shared" si="6411"/>
        <v>000000000000000</v>
      </c>
      <c r="BB1001" s="23">
        <f t="shared" si="6437"/>
        <v>0</v>
      </c>
      <c r="BC1001" s="49" t="str">
        <f t="shared" ref="BC1001" si="6618">IF(BB1001&lt;0,SUBSTITUTE(TEXT(BB1001,"000000000000,00"),",",""),SUBSTITUTE(TEXT(BB1001,"0000000000000,00"),",",""))</f>
        <v>000000000000000</v>
      </c>
      <c r="BD1001" s="23">
        <f t="shared" si="6439"/>
        <v>0</v>
      </c>
      <c r="BE1001" s="49" t="str">
        <f t="shared" ref="BE1001" si="6619">IF(BD1001&lt;0,SUBSTITUTE(TEXT(BD1001,"000000000000,00"),",",""),SUBSTITUTE(TEXT(BD1001,"0000000000000,00"),",",""))</f>
        <v>000000000000000</v>
      </c>
      <c r="BF1001" s="23">
        <f t="shared" si="6441"/>
        <v>0</v>
      </c>
      <c r="BG1001" s="49" t="str">
        <f t="shared" ref="BG1001" si="6620">IF(BF1001&lt;0,SUBSTITUTE(TEXT(BF1001,"000000000000,00"),",",""),SUBSTITUTE(TEXT(BF1001,"0000000000000,00"),",",""))</f>
        <v>000000000000000</v>
      </c>
      <c r="BH1001" s="23">
        <f t="shared" si="6443"/>
        <v>0</v>
      </c>
      <c r="BI1001" s="49" t="str">
        <f t="shared" ref="BI1001" si="6621">IF(BH1001&lt;0,SUBSTITUTE(TEXT(BH1001,"000000000000,00"),",",""),SUBSTITUTE(TEXT(BH1001,"0000000000000,00"),",",""))</f>
        <v>000000000000000</v>
      </c>
      <c r="BJ1001" s="23">
        <f t="shared" si="6445"/>
        <v>0</v>
      </c>
      <c r="BK1001" s="49" t="str">
        <f t="shared" ref="BK1001" si="6622">IF(BJ1001&lt;0,SUBSTITUTE(TEXT(BJ1001,"000000000000,00"),",",""),SUBSTITUTE(TEXT(BJ1001,"0000000000000,00"),",",""))</f>
        <v>000000000000000</v>
      </c>
      <c r="BL1001" s="23">
        <f t="shared" si="6447"/>
        <v>0</v>
      </c>
      <c r="BM1001" s="49" t="str">
        <f t="shared" ref="BM1001" si="6623">IF(BL1001&lt;0,SUBSTITUTE(TEXT(BL1001,"000000000000,00"),",",""),SUBSTITUTE(TEXT(BL1001,"0000000000000,00"),",",""))</f>
        <v>000000000000000</v>
      </c>
      <c r="BN1001" t="str">
        <f t="shared" si="6449"/>
        <v>PES</v>
      </c>
      <c r="BO1001" t="str">
        <f t="shared" si="6450"/>
        <v>0001000000</v>
      </c>
      <c r="BP1001">
        <f t="shared" si="6451"/>
        <v>0</v>
      </c>
      <c r="BQ1001">
        <f t="shared" si="6452"/>
        <v>0</v>
      </c>
      <c r="BR1001" s="23">
        <f t="shared" si="6453"/>
        <v>0</v>
      </c>
      <c r="BS1001" s="49" t="str">
        <f t="shared" si="6418"/>
        <v>000000000000000</v>
      </c>
      <c r="BT1001" t="str">
        <f t="shared" si="6454"/>
        <v>00000000</v>
      </c>
      <c r="BU1001" s="23">
        <f t="shared" si="6455"/>
        <v>0</v>
      </c>
      <c r="BV1001" s="49" t="str">
        <f t="shared" si="6419"/>
        <v/>
      </c>
      <c r="BW1001" s="52" t="str">
        <f t="shared" si="6456"/>
        <v/>
      </c>
      <c r="BX1001" s="23">
        <f t="shared" si="6457"/>
        <v>0</v>
      </c>
      <c r="BY1001" s="49" t="str">
        <f t="shared" si="6420"/>
        <v/>
      </c>
      <c r="BZ1001" s="23">
        <f t="shared" si="6458"/>
        <v>0</v>
      </c>
      <c r="CA1001" s="49" t="str">
        <f t="shared" si="6421"/>
        <v/>
      </c>
      <c r="CB1001" s="52" t="str">
        <f t="shared" si="6459"/>
        <v/>
      </c>
      <c r="CC1001" s="23">
        <f t="shared" si="6460"/>
        <v>0</v>
      </c>
      <c r="CD1001" s="49" t="str">
        <f t="shared" si="6422"/>
        <v/>
      </c>
      <c r="CE1001" s="56" t="str">
        <f>IF(CF1001="","",MAX(CE$10:$CE1000)+1)</f>
        <v/>
      </c>
      <c r="CF1001" t="str">
        <f t="shared" si="6461"/>
        <v/>
      </c>
      <c r="CG1001" s="22" t="str">
        <f>IF(CH1001="","",MAX($CG$10:CG1000)+1)</f>
        <v/>
      </c>
      <c r="CH1001" s="22" t="str">
        <f t="shared" si="6406"/>
        <v/>
      </c>
      <c r="CI1001" s="22" t="str">
        <f>IF(CJ1001="","",MAX($CI$10:CI1000)+1)</f>
        <v/>
      </c>
      <c r="CJ1001" s="22" t="str">
        <f t="shared" si="6407"/>
        <v/>
      </c>
    </row>
    <row r="1002" spans="2:88" x14ac:dyDescent="0.25">
      <c r="B1002" s="37"/>
      <c r="C1002" s="3"/>
      <c r="D1002" s="77" t="str">
        <f t="shared" si="6393"/>
        <v/>
      </c>
      <c r="E1002" s="38"/>
      <c r="F1002" s="38"/>
      <c r="G1002" s="78">
        <f t="shared" si="6408"/>
        <v>0</v>
      </c>
      <c r="H1002" s="3">
        <v>80</v>
      </c>
      <c r="I1002" s="77" t="str">
        <f t="shared" si="6394"/>
        <v/>
      </c>
      <c r="J1002" s="32"/>
      <c r="K1002" s="3"/>
      <c r="L1002" s="39"/>
      <c r="M1002" s="39"/>
      <c r="N1002" s="39"/>
      <c r="O1002" s="39"/>
      <c r="P1002" s="39"/>
      <c r="Q1002" s="39"/>
      <c r="R1002" s="39"/>
      <c r="S1002" s="39"/>
      <c r="T1002" s="3" t="s">
        <v>645</v>
      </c>
      <c r="U1002" s="77" t="str">
        <f t="shared" si="6395"/>
        <v/>
      </c>
      <c r="V1002" s="39">
        <v>1</v>
      </c>
      <c r="W1002" s="79">
        <f t="shared" si="6409"/>
        <v>0</v>
      </c>
      <c r="X1002" s="3">
        <v>0</v>
      </c>
      <c r="Y1002" s="77" t="str">
        <f t="shared" si="6396"/>
        <v/>
      </c>
      <c r="Z1002" s="3"/>
      <c r="AA1002" s="37" t="str">
        <f t="shared" si="6410"/>
        <v/>
      </c>
      <c r="AC1002" s="40"/>
      <c r="AD1002" s="7"/>
      <c r="AE1002" s="77" t="str">
        <f t="shared" si="6397"/>
        <v/>
      </c>
      <c r="AF1002" s="81">
        <f t="shared" si="6423"/>
        <v>0</v>
      </c>
      <c r="AG1002" s="40"/>
      <c r="AH1002" s="7"/>
      <c r="AI1002" s="77" t="str">
        <f t="shared" si="6398"/>
        <v/>
      </c>
      <c r="AJ1002" s="81">
        <f t="shared" si="6424"/>
        <v>0</v>
      </c>
      <c r="AK1002" s="83">
        <f t="shared" si="6425"/>
        <v>0</v>
      </c>
      <c r="AL1002" s="83">
        <f t="shared" si="6426"/>
        <v>0</v>
      </c>
      <c r="AN1002" s="43">
        <f t="shared" si="6399"/>
        <v>0</v>
      </c>
      <c r="AP1002" t="str">
        <f t="shared" si="6427"/>
        <v/>
      </c>
      <c r="AQ1002" t="str">
        <f t="shared" si="6428"/>
        <v/>
      </c>
      <c r="AR1002" t="str">
        <f t="shared" si="6429"/>
        <v/>
      </c>
      <c r="AS1002" t="str">
        <f t="shared" si="6430"/>
        <v/>
      </c>
      <c r="AT1002" t="str">
        <f t="shared" si="6431"/>
        <v/>
      </c>
      <c r="AU1002" t="str">
        <f t="shared" si="6432"/>
        <v/>
      </c>
      <c r="AV1002" t="str">
        <f t="shared" si="6433"/>
        <v/>
      </c>
      <c r="AW1002" t="str">
        <f t="shared" si="6434"/>
        <v xml:space="preserve">                              </v>
      </c>
      <c r="AX1002" s="23">
        <f t="shared" si="6435"/>
        <v>0</v>
      </c>
      <c r="AY1002" s="49" t="str">
        <f t="shared" si="6411"/>
        <v>000000000000000</v>
      </c>
      <c r="AZ1002" s="23">
        <f t="shared" si="6436"/>
        <v>0</v>
      </c>
      <c r="BA1002" s="49" t="str">
        <f t="shared" si="6411"/>
        <v>000000000000000</v>
      </c>
      <c r="BB1002" s="23">
        <f t="shared" si="6437"/>
        <v>0</v>
      </c>
      <c r="BC1002" s="49" t="str">
        <f t="shared" ref="BC1002" si="6624">IF(BB1002&lt;0,SUBSTITUTE(TEXT(BB1002,"000000000000,00"),",",""),SUBSTITUTE(TEXT(BB1002,"0000000000000,00"),",",""))</f>
        <v>000000000000000</v>
      </c>
      <c r="BD1002" s="23">
        <f t="shared" si="6439"/>
        <v>0</v>
      </c>
      <c r="BE1002" s="49" t="str">
        <f t="shared" ref="BE1002" si="6625">IF(BD1002&lt;0,SUBSTITUTE(TEXT(BD1002,"000000000000,00"),",",""),SUBSTITUTE(TEXT(BD1002,"0000000000000,00"),",",""))</f>
        <v>000000000000000</v>
      </c>
      <c r="BF1002" s="23">
        <f t="shared" si="6441"/>
        <v>0</v>
      </c>
      <c r="BG1002" s="49" t="str">
        <f t="shared" ref="BG1002" si="6626">IF(BF1002&lt;0,SUBSTITUTE(TEXT(BF1002,"000000000000,00"),",",""),SUBSTITUTE(TEXT(BF1002,"0000000000000,00"),",",""))</f>
        <v>000000000000000</v>
      </c>
      <c r="BH1002" s="23">
        <f t="shared" si="6443"/>
        <v>0</v>
      </c>
      <c r="BI1002" s="49" t="str">
        <f t="shared" ref="BI1002" si="6627">IF(BH1002&lt;0,SUBSTITUTE(TEXT(BH1002,"000000000000,00"),",",""),SUBSTITUTE(TEXT(BH1002,"0000000000000,00"),",",""))</f>
        <v>000000000000000</v>
      </c>
      <c r="BJ1002" s="23">
        <f t="shared" si="6445"/>
        <v>0</v>
      </c>
      <c r="BK1002" s="49" t="str">
        <f t="shared" ref="BK1002" si="6628">IF(BJ1002&lt;0,SUBSTITUTE(TEXT(BJ1002,"000000000000,00"),",",""),SUBSTITUTE(TEXT(BJ1002,"0000000000000,00"),",",""))</f>
        <v>000000000000000</v>
      </c>
      <c r="BL1002" s="23">
        <f t="shared" si="6447"/>
        <v>0</v>
      </c>
      <c r="BM1002" s="49" t="str">
        <f t="shared" ref="BM1002" si="6629">IF(BL1002&lt;0,SUBSTITUTE(TEXT(BL1002,"000000000000,00"),",",""),SUBSTITUTE(TEXT(BL1002,"0000000000000,00"),",",""))</f>
        <v>000000000000000</v>
      </c>
      <c r="BN1002" t="str">
        <f t="shared" si="6449"/>
        <v>PES</v>
      </c>
      <c r="BO1002" t="str">
        <f t="shared" si="6450"/>
        <v>0001000000</v>
      </c>
      <c r="BP1002">
        <f t="shared" si="6451"/>
        <v>0</v>
      </c>
      <c r="BQ1002">
        <f t="shared" si="6452"/>
        <v>0</v>
      </c>
      <c r="BR1002" s="23">
        <f t="shared" si="6453"/>
        <v>0</v>
      </c>
      <c r="BS1002" s="49" t="str">
        <f t="shared" si="6418"/>
        <v>000000000000000</v>
      </c>
      <c r="BT1002" t="str">
        <f t="shared" si="6454"/>
        <v>00000000</v>
      </c>
      <c r="BU1002" s="23">
        <f t="shared" si="6455"/>
        <v>0</v>
      </c>
      <c r="BV1002" s="49" t="str">
        <f t="shared" si="6419"/>
        <v/>
      </c>
      <c r="BW1002" s="52" t="str">
        <f t="shared" si="6456"/>
        <v/>
      </c>
      <c r="BX1002" s="23">
        <f t="shared" si="6457"/>
        <v>0</v>
      </c>
      <c r="BY1002" s="49" t="str">
        <f t="shared" si="6420"/>
        <v/>
      </c>
      <c r="BZ1002" s="23">
        <f t="shared" si="6458"/>
        <v>0</v>
      </c>
      <c r="CA1002" s="49" t="str">
        <f t="shared" si="6421"/>
        <v/>
      </c>
      <c r="CB1002" s="52" t="str">
        <f t="shared" si="6459"/>
        <v/>
      </c>
      <c r="CC1002" s="23">
        <f t="shared" si="6460"/>
        <v>0</v>
      </c>
      <c r="CD1002" s="49" t="str">
        <f t="shared" si="6422"/>
        <v/>
      </c>
      <c r="CE1002" s="56" t="str">
        <f>IF(CF1002="","",MAX(CE$10:$CE1001)+1)</f>
        <v/>
      </c>
      <c r="CF1002" t="str">
        <f t="shared" si="6461"/>
        <v/>
      </c>
      <c r="CG1002" s="22" t="str">
        <f>IF(CH1002="","",MAX($CG$10:CG1001)+1)</f>
        <v/>
      </c>
      <c r="CH1002" s="22" t="str">
        <f t="shared" si="6406"/>
        <v/>
      </c>
      <c r="CI1002" s="22" t="str">
        <f>IF(CJ1002="","",MAX($CI$10:CI1001)+1)</f>
        <v/>
      </c>
      <c r="CJ1002" s="22" t="str">
        <f t="shared" si="6407"/>
        <v/>
      </c>
    </row>
    <row r="1003" spans="2:88" x14ac:dyDescent="0.25">
      <c r="B1003" s="37"/>
      <c r="C1003" s="3"/>
      <c r="D1003" s="77" t="str">
        <f t="shared" si="6393"/>
        <v/>
      </c>
      <c r="E1003" s="38"/>
      <c r="F1003" s="38"/>
      <c r="G1003" s="78">
        <f t="shared" si="6408"/>
        <v>0</v>
      </c>
      <c r="H1003" s="3">
        <v>80</v>
      </c>
      <c r="I1003" s="77" t="str">
        <f t="shared" si="6394"/>
        <v/>
      </c>
      <c r="J1003" s="32"/>
      <c r="K1003" s="3"/>
      <c r="L1003" s="39"/>
      <c r="M1003" s="39"/>
      <c r="N1003" s="39"/>
      <c r="O1003" s="39"/>
      <c r="P1003" s="39"/>
      <c r="Q1003" s="39"/>
      <c r="R1003" s="39"/>
      <c r="S1003" s="39"/>
      <c r="T1003" s="3" t="s">
        <v>645</v>
      </c>
      <c r="U1003" s="77" t="str">
        <f t="shared" si="6395"/>
        <v/>
      </c>
      <c r="V1003" s="39">
        <v>1</v>
      </c>
      <c r="W1003" s="79">
        <f t="shared" si="6409"/>
        <v>0</v>
      </c>
      <c r="X1003" s="3">
        <v>0</v>
      </c>
      <c r="Y1003" s="77" t="str">
        <f t="shared" si="6396"/>
        <v/>
      </c>
      <c r="Z1003" s="3"/>
      <c r="AA1003" s="37" t="str">
        <f t="shared" si="6410"/>
        <v/>
      </c>
      <c r="AC1003" s="40"/>
      <c r="AD1003" s="7"/>
      <c r="AE1003" s="77" t="str">
        <f t="shared" si="6397"/>
        <v/>
      </c>
      <c r="AF1003" s="81">
        <f t="shared" si="6423"/>
        <v>0</v>
      </c>
      <c r="AG1003" s="40"/>
      <c r="AH1003" s="7"/>
      <c r="AI1003" s="77" t="str">
        <f t="shared" si="6398"/>
        <v/>
      </c>
      <c r="AJ1003" s="81">
        <f t="shared" si="6424"/>
        <v>0</v>
      </c>
      <c r="AK1003" s="83">
        <f t="shared" si="6425"/>
        <v>0</v>
      </c>
      <c r="AL1003" s="83">
        <f t="shared" si="6426"/>
        <v>0</v>
      </c>
      <c r="AN1003" s="43">
        <f t="shared" si="6399"/>
        <v>0</v>
      </c>
      <c r="AP1003" t="str">
        <f t="shared" si="6427"/>
        <v/>
      </c>
      <c r="AQ1003" t="str">
        <f t="shared" si="6428"/>
        <v/>
      </c>
      <c r="AR1003" t="str">
        <f t="shared" si="6429"/>
        <v/>
      </c>
      <c r="AS1003" t="str">
        <f t="shared" si="6430"/>
        <v/>
      </c>
      <c r="AT1003" t="str">
        <f t="shared" si="6431"/>
        <v/>
      </c>
      <c r="AU1003" t="str">
        <f t="shared" si="6432"/>
        <v/>
      </c>
      <c r="AV1003" t="str">
        <f t="shared" si="6433"/>
        <v/>
      </c>
      <c r="AW1003" t="str">
        <f t="shared" si="6434"/>
        <v xml:space="preserve">                              </v>
      </c>
      <c r="AX1003" s="23">
        <f t="shared" si="6435"/>
        <v>0</v>
      </c>
      <c r="AY1003" s="49" t="str">
        <f t="shared" si="6411"/>
        <v>000000000000000</v>
      </c>
      <c r="AZ1003" s="23">
        <f t="shared" si="6436"/>
        <v>0</v>
      </c>
      <c r="BA1003" s="49" t="str">
        <f t="shared" si="6411"/>
        <v>000000000000000</v>
      </c>
      <c r="BB1003" s="23">
        <f t="shared" si="6437"/>
        <v>0</v>
      </c>
      <c r="BC1003" s="49" t="str">
        <f t="shared" ref="BC1003" si="6630">IF(BB1003&lt;0,SUBSTITUTE(TEXT(BB1003,"000000000000,00"),",",""),SUBSTITUTE(TEXT(BB1003,"0000000000000,00"),",",""))</f>
        <v>000000000000000</v>
      </c>
      <c r="BD1003" s="23">
        <f t="shared" si="6439"/>
        <v>0</v>
      </c>
      <c r="BE1003" s="49" t="str">
        <f t="shared" ref="BE1003" si="6631">IF(BD1003&lt;0,SUBSTITUTE(TEXT(BD1003,"000000000000,00"),",",""),SUBSTITUTE(TEXT(BD1003,"0000000000000,00"),",",""))</f>
        <v>000000000000000</v>
      </c>
      <c r="BF1003" s="23">
        <f t="shared" si="6441"/>
        <v>0</v>
      </c>
      <c r="BG1003" s="49" t="str">
        <f t="shared" ref="BG1003" si="6632">IF(BF1003&lt;0,SUBSTITUTE(TEXT(BF1003,"000000000000,00"),",",""),SUBSTITUTE(TEXT(BF1003,"0000000000000,00"),",",""))</f>
        <v>000000000000000</v>
      </c>
      <c r="BH1003" s="23">
        <f t="shared" si="6443"/>
        <v>0</v>
      </c>
      <c r="BI1003" s="49" t="str">
        <f t="shared" ref="BI1003" si="6633">IF(BH1003&lt;0,SUBSTITUTE(TEXT(BH1003,"000000000000,00"),",",""),SUBSTITUTE(TEXT(BH1003,"0000000000000,00"),",",""))</f>
        <v>000000000000000</v>
      </c>
      <c r="BJ1003" s="23">
        <f t="shared" si="6445"/>
        <v>0</v>
      </c>
      <c r="BK1003" s="49" t="str">
        <f t="shared" ref="BK1003" si="6634">IF(BJ1003&lt;0,SUBSTITUTE(TEXT(BJ1003,"000000000000,00"),",",""),SUBSTITUTE(TEXT(BJ1003,"0000000000000,00"),",",""))</f>
        <v>000000000000000</v>
      </c>
      <c r="BL1003" s="23">
        <f t="shared" si="6447"/>
        <v>0</v>
      </c>
      <c r="BM1003" s="49" t="str">
        <f t="shared" ref="BM1003" si="6635">IF(BL1003&lt;0,SUBSTITUTE(TEXT(BL1003,"000000000000,00"),",",""),SUBSTITUTE(TEXT(BL1003,"0000000000000,00"),",",""))</f>
        <v>000000000000000</v>
      </c>
      <c r="BN1003" t="str">
        <f t="shared" si="6449"/>
        <v>PES</v>
      </c>
      <c r="BO1003" t="str">
        <f t="shared" si="6450"/>
        <v>0001000000</v>
      </c>
      <c r="BP1003">
        <f t="shared" si="6451"/>
        <v>0</v>
      </c>
      <c r="BQ1003">
        <f t="shared" si="6452"/>
        <v>0</v>
      </c>
      <c r="BR1003" s="23">
        <f t="shared" si="6453"/>
        <v>0</v>
      </c>
      <c r="BS1003" s="49" t="str">
        <f t="shared" si="6418"/>
        <v>000000000000000</v>
      </c>
      <c r="BT1003" t="str">
        <f t="shared" si="6454"/>
        <v>00000000</v>
      </c>
      <c r="BU1003" s="23">
        <f t="shared" si="6455"/>
        <v>0</v>
      </c>
      <c r="BV1003" s="49" t="str">
        <f t="shared" si="6419"/>
        <v/>
      </c>
      <c r="BW1003" s="52" t="str">
        <f t="shared" si="6456"/>
        <v/>
      </c>
      <c r="BX1003" s="23">
        <f t="shared" si="6457"/>
        <v>0</v>
      </c>
      <c r="BY1003" s="49" t="str">
        <f t="shared" si="6420"/>
        <v/>
      </c>
      <c r="BZ1003" s="23">
        <f t="shared" si="6458"/>
        <v>0</v>
      </c>
      <c r="CA1003" s="49" t="str">
        <f t="shared" si="6421"/>
        <v/>
      </c>
      <c r="CB1003" s="52" t="str">
        <f t="shared" si="6459"/>
        <v/>
      </c>
      <c r="CC1003" s="23">
        <f t="shared" si="6460"/>
        <v>0</v>
      </c>
      <c r="CD1003" s="49" t="str">
        <f t="shared" si="6422"/>
        <v/>
      </c>
      <c r="CE1003" s="56" t="str">
        <f>IF(CF1003="","",MAX(CE$10:$CE1002)+1)</f>
        <v/>
      </c>
      <c r="CF1003" t="str">
        <f t="shared" si="6461"/>
        <v/>
      </c>
      <c r="CG1003" s="22" t="str">
        <f>IF(CH1003="","",MAX($CG$10:CG1002)+1)</f>
        <v/>
      </c>
      <c r="CH1003" s="22" t="str">
        <f t="shared" si="6406"/>
        <v/>
      </c>
      <c r="CI1003" s="22" t="str">
        <f>IF(CJ1003="","",MAX($CI$10:CI1002)+1)</f>
        <v/>
      </c>
      <c r="CJ1003" s="22" t="str">
        <f t="shared" si="6407"/>
        <v/>
      </c>
    </row>
    <row r="1004" spans="2:88" x14ac:dyDescent="0.25">
      <c r="B1004" s="37"/>
      <c r="C1004" s="3"/>
      <c r="D1004" s="77" t="str">
        <f t="shared" si="6393"/>
        <v/>
      </c>
      <c r="E1004" s="38"/>
      <c r="F1004" s="38"/>
      <c r="G1004" s="78">
        <f t="shared" si="6408"/>
        <v>0</v>
      </c>
      <c r="H1004" s="3">
        <v>80</v>
      </c>
      <c r="I1004" s="77" t="str">
        <f t="shared" si="6394"/>
        <v/>
      </c>
      <c r="J1004" s="32"/>
      <c r="K1004" s="3"/>
      <c r="L1004" s="39"/>
      <c r="M1004" s="39"/>
      <c r="N1004" s="39"/>
      <c r="O1004" s="39"/>
      <c r="P1004" s="39"/>
      <c r="Q1004" s="39"/>
      <c r="R1004" s="39"/>
      <c r="S1004" s="39"/>
      <c r="T1004" s="3" t="s">
        <v>645</v>
      </c>
      <c r="U1004" s="77" t="str">
        <f t="shared" si="6395"/>
        <v/>
      </c>
      <c r="V1004" s="39">
        <v>1</v>
      </c>
      <c r="W1004" s="79">
        <f t="shared" si="6409"/>
        <v>0</v>
      </c>
      <c r="X1004" s="3">
        <v>0</v>
      </c>
      <c r="Y1004" s="77" t="str">
        <f t="shared" si="6396"/>
        <v/>
      </c>
      <c r="Z1004" s="3"/>
      <c r="AA1004" s="37" t="str">
        <f t="shared" si="6410"/>
        <v/>
      </c>
      <c r="AC1004" s="40"/>
      <c r="AD1004" s="7"/>
      <c r="AE1004" s="77" t="str">
        <f t="shared" si="6397"/>
        <v/>
      </c>
      <c r="AF1004" s="81">
        <f t="shared" si="6423"/>
        <v>0</v>
      </c>
      <c r="AG1004" s="40"/>
      <c r="AH1004" s="7"/>
      <c r="AI1004" s="77" t="str">
        <f t="shared" si="6398"/>
        <v/>
      </c>
      <c r="AJ1004" s="81">
        <f t="shared" si="6424"/>
        <v>0</v>
      </c>
      <c r="AK1004" s="83">
        <f t="shared" si="6425"/>
        <v>0</v>
      </c>
      <c r="AL1004" s="83">
        <f t="shared" si="6426"/>
        <v>0</v>
      </c>
      <c r="AN1004" s="43">
        <f t="shared" si="6399"/>
        <v>0</v>
      </c>
      <c r="AP1004" t="str">
        <f t="shared" si="6427"/>
        <v/>
      </c>
      <c r="AQ1004" t="str">
        <f t="shared" si="6428"/>
        <v/>
      </c>
      <c r="AR1004" t="str">
        <f t="shared" si="6429"/>
        <v/>
      </c>
      <c r="AS1004" t="str">
        <f t="shared" si="6430"/>
        <v/>
      </c>
      <c r="AT1004" t="str">
        <f t="shared" si="6431"/>
        <v/>
      </c>
      <c r="AU1004" t="str">
        <f t="shared" si="6432"/>
        <v/>
      </c>
      <c r="AV1004" t="str">
        <f t="shared" si="6433"/>
        <v/>
      </c>
      <c r="AW1004" t="str">
        <f t="shared" si="6434"/>
        <v xml:space="preserve">                              </v>
      </c>
      <c r="AX1004" s="23">
        <f t="shared" si="6435"/>
        <v>0</v>
      </c>
      <c r="AY1004" s="49" t="str">
        <f t="shared" si="6411"/>
        <v>000000000000000</v>
      </c>
      <c r="AZ1004" s="23">
        <f t="shared" si="6436"/>
        <v>0</v>
      </c>
      <c r="BA1004" s="49" t="str">
        <f t="shared" si="6411"/>
        <v>000000000000000</v>
      </c>
      <c r="BB1004" s="23">
        <f t="shared" si="6437"/>
        <v>0</v>
      </c>
      <c r="BC1004" s="49" t="str">
        <f t="shared" ref="BC1004" si="6636">IF(BB1004&lt;0,SUBSTITUTE(TEXT(BB1004,"000000000000,00"),",",""),SUBSTITUTE(TEXT(BB1004,"0000000000000,00"),",",""))</f>
        <v>000000000000000</v>
      </c>
      <c r="BD1004" s="23">
        <f t="shared" si="6439"/>
        <v>0</v>
      </c>
      <c r="BE1004" s="49" t="str">
        <f t="shared" ref="BE1004" si="6637">IF(BD1004&lt;0,SUBSTITUTE(TEXT(BD1004,"000000000000,00"),",",""),SUBSTITUTE(TEXT(BD1004,"0000000000000,00"),",",""))</f>
        <v>000000000000000</v>
      </c>
      <c r="BF1004" s="23">
        <f t="shared" si="6441"/>
        <v>0</v>
      </c>
      <c r="BG1004" s="49" t="str">
        <f t="shared" ref="BG1004" si="6638">IF(BF1004&lt;0,SUBSTITUTE(TEXT(BF1004,"000000000000,00"),",",""),SUBSTITUTE(TEXT(BF1004,"0000000000000,00"),",",""))</f>
        <v>000000000000000</v>
      </c>
      <c r="BH1004" s="23">
        <f t="shared" si="6443"/>
        <v>0</v>
      </c>
      <c r="BI1004" s="49" t="str">
        <f t="shared" ref="BI1004" si="6639">IF(BH1004&lt;0,SUBSTITUTE(TEXT(BH1004,"000000000000,00"),",",""),SUBSTITUTE(TEXT(BH1004,"0000000000000,00"),",",""))</f>
        <v>000000000000000</v>
      </c>
      <c r="BJ1004" s="23">
        <f t="shared" si="6445"/>
        <v>0</v>
      </c>
      <c r="BK1004" s="49" t="str">
        <f t="shared" ref="BK1004" si="6640">IF(BJ1004&lt;0,SUBSTITUTE(TEXT(BJ1004,"000000000000,00"),",",""),SUBSTITUTE(TEXT(BJ1004,"0000000000000,00"),",",""))</f>
        <v>000000000000000</v>
      </c>
      <c r="BL1004" s="23">
        <f t="shared" si="6447"/>
        <v>0</v>
      </c>
      <c r="BM1004" s="49" t="str">
        <f t="shared" ref="BM1004" si="6641">IF(BL1004&lt;0,SUBSTITUTE(TEXT(BL1004,"000000000000,00"),",",""),SUBSTITUTE(TEXT(BL1004,"0000000000000,00"),",",""))</f>
        <v>000000000000000</v>
      </c>
      <c r="BN1004" t="str">
        <f t="shared" si="6449"/>
        <v>PES</v>
      </c>
      <c r="BO1004" t="str">
        <f t="shared" si="6450"/>
        <v>0001000000</v>
      </c>
      <c r="BP1004">
        <f t="shared" si="6451"/>
        <v>0</v>
      </c>
      <c r="BQ1004">
        <f t="shared" si="6452"/>
        <v>0</v>
      </c>
      <c r="BR1004" s="23">
        <f t="shared" si="6453"/>
        <v>0</v>
      </c>
      <c r="BS1004" s="49" t="str">
        <f t="shared" si="6418"/>
        <v>000000000000000</v>
      </c>
      <c r="BT1004" t="str">
        <f t="shared" si="6454"/>
        <v>00000000</v>
      </c>
      <c r="BU1004" s="23">
        <f t="shared" si="6455"/>
        <v>0</v>
      </c>
      <c r="BV1004" s="49" t="str">
        <f t="shared" si="6419"/>
        <v/>
      </c>
      <c r="BW1004" s="52" t="str">
        <f t="shared" si="6456"/>
        <v/>
      </c>
      <c r="BX1004" s="23">
        <f t="shared" si="6457"/>
        <v>0</v>
      </c>
      <c r="BY1004" s="49" t="str">
        <f t="shared" si="6420"/>
        <v/>
      </c>
      <c r="BZ1004" s="23">
        <f t="shared" si="6458"/>
        <v>0</v>
      </c>
      <c r="CA1004" s="49" t="str">
        <f t="shared" si="6421"/>
        <v/>
      </c>
      <c r="CB1004" s="52" t="str">
        <f t="shared" si="6459"/>
        <v/>
      </c>
      <c r="CC1004" s="23">
        <f t="shared" si="6460"/>
        <v>0</v>
      </c>
      <c r="CD1004" s="49" t="str">
        <f t="shared" si="6422"/>
        <v/>
      </c>
      <c r="CE1004" s="56" t="str">
        <f>IF(CF1004="","",MAX(CE$10:$CE1003)+1)</f>
        <v/>
      </c>
      <c r="CF1004" t="str">
        <f t="shared" si="6461"/>
        <v/>
      </c>
      <c r="CG1004" s="22" t="str">
        <f>IF(CH1004="","",MAX($CG$10:CG1003)+1)</f>
        <v/>
      </c>
      <c r="CH1004" s="22" t="str">
        <f t="shared" si="6406"/>
        <v/>
      </c>
      <c r="CI1004" s="22" t="str">
        <f>IF(CJ1004="","",MAX($CI$10:CI1003)+1)</f>
        <v/>
      </c>
      <c r="CJ1004" s="22" t="str">
        <f t="shared" si="6407"/>
        <v/>
      </c>
    </row>
    <row r="1005" spans="2:88" x14ac:dyDescent="0.25">
      <c r="B1005" s="37"/>
      <c r="C1005" s="3"/>
      <c r="D1005" s="77" t="str">
        <f t="shared" si="6393"/>
        <v/>
      </c>
      <c r="E1005" s="38"/>
      <c r="F1005" s="38"/>
      <c r="G1005" s="78">
        <f t="shared" si="6408"/>
        <v>0</v>
      </c>
      <c r="H1005" s="3">
        <v>80</v>
      </c>
      <c r="I1005" s="77" t="str">
        <f t="shared" si="6394"/>
        <v/>
      </c>
      <c r="J1005" s="32"/>
      <c r="K1005" s="3"/>
      <c r="L1005" s="39"/>
      <c r="M1005" s="39"/>
      <c r="N1005" s="39"/>
      <c r="O1005" s="39"/>
      <c r="P1005" s="39"/>
      <c r="Q1005" s="39"/>
      <c r="R1005" s="39"/>
      <c r="S1005" s="39"/>
      <c r="T1005" s="3" t="s">
        <v>645</v>
      </c>
      <c r="U1005" s="77" t="str">
        <f t="shared" si="6395"/>
        <v/>
      </c>
      <c r="V1005" s="39">
        <v>1</v>
      </c>
      <c r="W1005" s="79">
        <f t="shared" si="6409"/>
        <v>0</v>
      </c>
      <c r="X1005" s="3">
        <v>0</v>
      </c>
      <c r="Y1005" s="77" t="str">
        <f t="shared" si="6396"/>
        <v/>
      </c>
      <c r="Z1005" s="3"/>
      <c r="AA1005" s="37" t="str">
        <f t="shared" si="6410"/>
        <v/>
      </c>
      <c r="AC1005" s="40"/>
      <c r="AD1005" s="7"/>
      <c r="AE1005" s="77" t="str">
        <f t="shared" si="6397"/>
        <v/>
      </c>
      <c r="AF1005" s="81">
        <f t="shared" si="6423"/>
        <v>0</v>
      </c>
      <c r="AG1005" s="40"/>
      <c r="AH1005" s="7"/>
      <c r="AI1005" s="77" t="str">
        <f t="shared" si="6398"/>
        <v/>
      </c>
      <c r="AJ1005" s="81">
        <f t="shared" si="6424"/>
        <v>0</v>
      </c>
      <c r="AK1005" s="83">
        <f t="shared" si="6425"/>
        <v>0</v>
      </c>
      <c r="AL1005" s="83">
        <f t="shared" si="6426"/>
        <v>0</v>
      </c>
      <c r="AN1005" s="43">
        <f t="shared" si="6399"/>
        <v>0</v>
      </c>
      <c r="AP1005" t="str">
        <f t="shared" si="6427"/>
        <v/>
      </c>
      <c r="AQ1005" t="str">
        <f t="shared" si="6428"/>
        <v/>
      </c>
      <c r="AR1005" t="str">
        <f t="shared" si="6429"/>
        <v/>
      </c>
      <c r="AS1005" t="str">
        <f t="shared" si="6430"/>
        <v/>
      </c>
      <c r="AT1005" t="str">
        <f t="shared" si="6431"/>
        <v/>
      </c>
      <c r="AU1005" t="str">
        <f t="shared" si="6432"/>
        <v/>
      </c>
      <c r="AV1005" t="str">
        <f t="shared" si="6433"/>
        <v/>
      </c>
      <c r="AW1005" t="str">
        <f t="shared" si="6434"/>
        <v xml:space="preserve">                              </v>
      </c>
      <c r="AX1005" s="23">
        <f t="shared" si="6435"/>
        <v>0</v>
      </c>
      <c r="AY1005" s="49" t="str">
        <f t="shared" si="6411"/>
        <v>000000000000000</v>
      </c>
      <c r="AZ1005" s="23">
        <f t="shared" si="6436"/>
        <v>0</v>
      </c>
      <c r="BA1005" s="49" t="str">
        <f t="shared" si="6411"/>
        <v>000000000000000</v>
      </c>
      <c r="BB1005" s="23">
        <f t="shared" si="6437"/>
        <v>0</v>
      </c>
      <c r="BC1005" s="49" t="str">
        <f t="shared" ref="BC1005" si="6642">IF(BB1005&lt;0,SUBSTITUTE(TEXT(BB1005,"000000000000,00"),",",""),SUBSTITUTE(TEXT(BB1005,"0000000000000,00"),",",""))</f>
        <v>000000000000000</v>
      </c>
      <c r="BD1005" s="23">
        <f t="shared" si="6439"/>
        <v>0</v>
      </c>
      <c r="BE1005" s="49" t="str">
        <f t="shared" ref="BE1005" si="6643">IF(BD1005&lt;0,SUBSTITUTE(TEXT(BD1005,"000000000000,00"),",",""),SUBSTITUTE(TEXT(BD1005,"0000000000000,00"),",",""))</f>
        <v>000000000000000</v>
      </c>
      <c r="BF1005" s="23">
        <f t="shared" si="6441"/>
        <v>0</v>
      </c>
      <c r="BG1005" s="49" t="str">
        <f t="shared" ref="BG1005" si="6644">IF(BF1005&lt;0,SUBSTITUTE(TEXT(BF1005,"000000000000,00"),",",""),SUBSTITUTE(TEXT(BF1005,"0000000000000,00"),",",""))</f>
        <v>000000000000000</v>
      </c>
      <c r="BH1005" s="23">
        <f t="shared" si="6443"/>
        <v>0</v>
      </c>
      <c r="BI1005" s="49" t="str">
        <f t="shared" ref="BI1005" si="6645">IF(BH1005&lt;0,SUBSTITUTE(TEXT(BH1005,"000000000000,00"),",",""),SUBSTITUTE(TEXT(BH1005,"0000000000000,00"),",",""))</f>
        <v>000000000000000</v>
      </c>
      <c r="BJ1005" s="23">
        <f t="shared" si="6445"/>
        <v>0</v>
      </c>
      <c r="BK1005" s="49" t="str">
        <f t="shared" ref="BK1005" si="6646">IF(BJ1005&lt;0,SUBSTITUTE(TEXT(BJ1005,"000000000000,00"),",",""),SUBSTITUTE(TEXT(BJ1005,"0000000000000,00"),",",""))</f>
        <v>000000000000000</v>
      </c>
      <c r="BL1005" s="23">
        <f t="shared" si="6447"/>
        <v>0</v>
      </c>
      <c r="BM1005" s="49" t="str">
        <f t="shared" ref="BM1005" si="6647">IF(BL1005&lt;0,SUBSTITUTE(TEXT(BL1005,"000000000000,00"),",",""),SUBSTITUTE(TEXT(BL1005,"0000000000000,00"),",",""))</f>
        <v>000000000000000</v>
      </c>
      <c r="BN1005" t="str">
        <f t="shared" si="6449"/>
        <v>PES</v>
      </c>
      <c r="BO1005" t="str">
        <f t="shared" si="6450"/>
        <v>0001000000</v>
      </c>
      <c r="BP1005">
        <f t="shared" si="6451"/>
        <v>0</v>
      </c>
      <c r="BQ1005">
        <f t="shared" si="6452"/>
        <v>0</v>
      </c>
      <c r="BR1005" s="23">
        <f t="shared" si="6453"/>
        <v>0</v>
      </c>
      <c r="BS1005" s="49" t="str">
        <f t="shared" si="6418"/>
        <v>000000000000000</v>
      </c>
      <c r="BT1005" t="str">
        <f t="shared" si="6454"/>
        <v>00000000</v>
      </c>
      <c r="BU1005" s="23">
        <f t="shared" si="6455"/>
        <v>0</v>
      </c>
      <c r="BV1005" s="49" t="str">
        <f t="shared" si="6419"/>
        <v/>
      </c>
      <c r="BW1005" s="52" t="str">
        <f t="shared" si="6456"/>
        <v/>
      </c>
      <c r="BX1005" s="23">
        <f t="shared" si="6457"/>
        <v>0</v>
      </c>
      <c r="BY1005" s="49" t="str">
        <f t="shared" si="6420"/>
        <v/>
      </c>
      <c r="BZ1005" s="23">
        <f t="shared" si="6458"/>
        <v>0</v>
      </c>
      <c r="CA1005" s="49" t="str">
        <f t="shared" si="6421"/>
        <v/>
      </c>
      <c r="CB1005" s="52" t="str">
        <f t="shared" si="6459"/>
        <v/>
      </c>
      <c r="CC1005" s="23">
        <f t="shared" si="6460"/>
        <v>0</v>
      </c>
      <c r="CD1005" s="49" t="str">
        <f t="shared" si="6422"/>
        <v/>
      </c>
      <c r="CE1005" s="56" t="str">
        <f>IF(CF1005="","",MAX(CE$10:$CE1004)+1)</f>
        <v/>
      </c>
      <c r="CF1005" t="str">
        <f t="shared" si="6461"/>
        <v/>
      </c>
      <c r="CG1005" s="22" t="str">
        <f>IF(CH1005="","",MAX($CG$10:CG1004)+1)</f>
        <v/>
      </c>
      <c r="CH1005" s="22" t="str">
        <f t="shared" si="6406"/>
        <v/>
      </c>
      <c r="CI1005" s="22" t="str">
        <f>IF(CJ1005="","",MAX($CI$10:CI1004)+1)</f>
        <v/>
      </c>
      <c r="CJ1005" s="22" t="str">
        <f t="shared" si="6407"/>
        <v/>
      </c>
    </row>
    <row r="1006" spans="2:88" x14ac:dyDescent="0.25">
      <c r="B1006" s="37"/>
      <c r="C1006" s="3"/>
      <c r="D1006" s="77" t="str">
        <f t="shared" si="6393"/>
        <v/>
      </c>
      <c r="E1006" s="38"/>
      <c r="F1006" s="38"/>
      <c r="G1006" s="78">
        <f t="shared" si="6408"/>
        <v>0</v>
      </c>
      <c r="H1006" s="3">
        <v>80</v>
      </c>
      <c r="I1006" s="77" t="str">
        <f t="shared" si="6394"/>
        <v/>
      </c>
      <c r="J1006" s="32"/>
      <c r="K1006" s="3"/>
      <c r="L1006" s="39"/>
      <c r="M1006" s="39"/>
      <c r="N1006" s="39"/>
      <c r="O1006" s="39"/>
      <c r="P1006" s="39"/>
      <c r="Q1006" s="39"/>
      <c r="R1006" s="39"/>
      <c r="S1006" s="39"/>
      <c r="T1006" s="3" t="s">
        <v>645</v>
      </c>
      <c r="U1006" s="77" t="str">
        <f t="shared" si="6395"/>
        <v/>
      </c>
      <c r="V1006" s="39">
        <v>1</v>
      </c>
      <c r="W1006" s="79">
        <f t="shared" si="6409"/>
        <v>0</v>
      </c>
      <c r="X1006" s="3">
        <v>0</v>
      </c>
      <c r="Y1006" s="77" t="str">
        <f t="shared" si="6396"/>
        <v/>
      </c>
      <c r="Z1006" s="3"/>
      <c r="AA1006" s="37" t="str">
        <f t="shared" si="6410"/>
        <v/>
      </c>
      <c r="AC1006" s="40"/>
      <c r="AD1006" s="7"/>
      <c r="AE1006" s="77" t="str">
        <f t="shared" si="6397"/>
        <v/>
      </c>
      <c r="AF1006" s="81">
        <f t="shared" si="6423"/>
        <v>0</v>
      </c>
      <c r="AG1006" s="40"/>
      <c r="AH1006" s="7"/>
      <c r="AI1006" s="77" t="str">
        <f t="shared" si="6398"/>
        <v/>
      </c>
      <c r="AJ1006" s="81">
        <f t="shared" si="6424"/>
        <v>0</v>
      </c>
      <c r="AK1006" s="83">
        <f t="shared" si="6425"/>
        <v>0</v>
      </c>
      <c r="AL1006" s="83">
        <f t="shared" si="6426"/>
        <v>0</v>
      </c>
      <c r="AN1006" s="43">
        <f t="shared" si="6399"/>
        <v>0</v>
      </c>
      <c r="AP1006" t="str">
        <f t="shared" si="6427"/>
        <v/>
      </c>
      <c r="AQ1006" t="str">
        <f t="shared" si="6428"/>
        <v/>
      </c>
      <c r="AR1006" t="str">
        <f t="shared" si="6429"/>
        <v/>
      </c>
      <c r="AS1006" t="str">
        <f t="shared" si="6430"/>
        <v/>
      </c>
      <c r="AT1006" t="str">
        <f t="shared" si="6431"/>
        <v/>
      </c>
      <c r="AU1006" t="str">
        <f t="shared" si="6432"/>
        <v/>
      </c>
      <c r="AV1006" t="str">
        <f t="shared" si="6433"/>
        <v/>
      </c>
      <c r="AW1006" t="str">
        <f t="shared" si="6434"/>
        <v xml:space="preserve">                              </v>
      </c>
      <c r="AX1006" s="23">
        <f t="shared" si="6435"/>
        <v>0</v>
      </c>
      <c r="AY1006" s="49" t="str">
        <f t="shared" si="6411"/>
        <v>000000000000000</v>
      </c>
      <c r="AZ1006" s="23">
        <f t="shared" si="6436"/>
        <v>0</v>
      </c>
      <c r="BA1006" s="49" t="str">
        <f t="shared" si="6411"/>
        <v>000000000000000</v>
      </c>
      <c r="BB1006" s="23">
        <f t="shared" si="6437"/>
        <v>0</v>
      </c>
      <c r="BC1006" s="49" t="str">
        <f t="shared" ref="BC1006" si="6648">IF(BB1006&lt;0,SUBSTITUTE(TEXT(BB1006,"000000000000,00"),",",""),SUBSTITUTE(TEXT(BB1006,"0000000000000,00"),",",""))</f>
        <v>000000000000000</v>
      </c>
      <c r="BD1006" s="23">
        <f t="shared" si="6439"/>
        <v>0</v>
      </c>
      <c r="BE1006" s="49" t="str">
        <f t="shared" ref="BE1006" si="6649">IF(BD1006&lt;0,SUBSTITUTE(TEXT(BD1006,"000000000000,00"),",",""),SUBSTITUTE(TEXT(BD1006,"0000000000000,00"),",",""))</f>
        <v>000000000000000</v>
      </c>
      <c r="BF1006" s="23">
        <f t="shared" si="6441"/>
        <v>0</v>
      </c>
      <c r="BG1006" s="49" t="str">
        <f t="shared" ref="BG1006" si="6650">IF(BF1006&lt;0,SUBSTITUTE(TEXT(BF1006,"000000000000,00"),",",""),SUBSTITUTE(TEXT(BF1006,"0000000000000,00"),",",""))</f>
        <v>000000000000000</v>
      </c>
      <c r="BH1006" s="23">
        <f t="shared" si="6443"/>
        <v>0</v>
      </c>
      <c r="BI1006" s="49" t="str">
        <f t="shared" ref="BI1006" si="6651">IF(BH1006&lt;0,SUBSTITUTE(TEXT(BH1006,"000000000000,00"),",",""),SUBSTITUTE(TEXT(BH1006,"0000000000000,00"),",",""))</f>
        <v>000000000000000</v>
      </c>
      <c r="BJ1006" s="23">
        <f t="shared" si="6445"/>
        <v>0</v>
      </c>
      <c r="BK1006" s="49" t="str">
        <f t="shared" ref="BK1006" si="6652">IF(BJ1006&lt;0,SUBSTITUTE(TEXT(BJ1006,"000000000000,00"),",",""),SUBSTITUTE(TEXT(BJ1006,"0000000000000,00"),",",""))</f>
        <v>000000000000000</v>
      </c>
      <c r="BL1006" s="23">
        <f t="shared" si="6447"/>
        <v>0</v>
      </c>
      <c r="BM1006" s="49" t="str">
        <f t="shared" ref="BM1006" si="6653">IF(BL1006&lt;0,SUBSTITUTE(TEXT(BL1006,"000000000000,00"),",",""),SUBSTITUTE(TEXT(BL1006,"0000000000000,00"),",",""))</f>
        <v>000000000000000</v>
      </c>
      <c r="BN1006" t="str">
        <f t="shared" si="6449"/>
        <v>PES</v>
      </c>
      <c r="BO1006" t="str">
        <f t="shared" si="6450"/>
        <v>0001000000</v>
      </c>
      <c r="BP1006">
        <f t="shared" si="6451"/>
        <v>0</v>
      </c>
      <c r="BQ1006">
        <f t="shared" si="6452"/>
        <v>0</v>
      </c>
      <c r="BR1006" s="23">
        <f t="shared" si="6453"/>
        <v>0</v>
      </c>
      <c r="BS1006" s="49" t="str">
        <f t="shared" si="6418"/>
        <v>000000000000000</v>
      </c>
      <c r="BT1006" t="str">
        <f t="shared" si="6454"/>
        <v>00000000</v>
      </c>
      <c r="BU1006" s="23">
        <f t="shared" si="6455"/>
        <v>0</v>
      </c>
      <c r="BV1006" s="49" t="str">
        <f t="shared" si="6419"/>
        <v/>
      </c>
      <c r="BW1006" s="52" t="str">
        <f t="shared" si="6456"/>
        <v/>
      </c>
      <c r="BX1006" s="23">
        <f t="shared" si="6457"/>
        <v>0</v>
      </c>
      <c r="BY1006" s="49" t="str">
        <f t="shared" si="6420"/>
        <v/>
      </c>
      <c r="BZ1006" s="23">
        <f t="shared" si="6458"/>
        <v>0</v>
      </c>
      <c r="CA1006" s="49" t="str">
        <f t="shared" si="6421"/>
        <v/>
      </c>
      <c r="CB1006" s="52" t="str">
        <f t="shared" si="6459"/>
        <v/>
      </c>
      <c r="CC1006" s="23">
        <f t="shared" si="6460"/>
        <v>0</v>
      </c>
      <c r="CD1006" s="49" t="str">
        <f t="shared" si="6422"/>
        <v/>
      </c>
      <c r="CE1006" s="56" t="str">
        <f>IF(CF1006="","",MAX(CE$10:$CE1005)+1)</f>
        <v/>
      </c>
      <c r="CF1006" t="str">
        <f t="shared" si="6461"/>
        <v/>
      </c>
      <c r="CG1006" s="22" t="str">
        <f>IF(CH1006="","",MAX($CG$10:CG1005)+1)</f>
        <v/>
      </c>
      <c r="CH1006" s="22" t="str">
        <f t="shared" si="6406"/>
        <v/>
      </c>
      <c r="CI1006" s="22" t="str">
        <f>IF(CJ1006="","",MAX($CI$10:CI1005)+1)</f>
        <v/>
      </c>
      <c r="CJ1006" s="22" t="str">
        <f t="shared" si="6407"/>
        <v/>
      </c>
    </row>
    <row r="1007" spans="2:88" x14ac:dyDescent="0.25">
      <c r="B1007" s="37"/>
      <c r="C1007" s="3"/>
      <c r="D1007" s="77" t="str">
        <f t="shared" si="6393"/>
        <v/>
      </c>
      <c r="E1007" s="38"/>
      <c r="F1007" s="38"/>
      <c r="G1007" s="78">
        <f t="shared" si="6408"/>
        <v>0</v>
      </c>
      <c r="H1007" s="3">
        <v>80</v>
      </c>
      <c r="I1007" s="77" t="str">
        <f t="shared" si="6394"/>
        <v/>
      </c>
      <c r="J1007" s="32"/>
      <c r="K1007" s="3"/>
      <c r="L1007" s="39"/>
      <c r="M1007" s="39"/>
      <c r="N1007" s="39"/>
      <c r="O1007" s="39"/>
      <c r="P1007" s="39"/>
      <c r="Q1007" s="39"/>
      <c r="R1007" s="39"/>
      <c r="S1007" s="39"/>
      <c r="T1007" s="3" t="s">
        <v>645</v>
      </c>
      <c r="U1007" s="77" t="str">
        <f t="shared" si="6395"/>
        <v/>
      </c>
      <c r="V1007" s="39">
        <v>1</v>
      </c>
      <c r="W1007" s="79">
        <f t="shared" si="6409"/>
        <v>0</v>
      </c>
      <c r="X1007" s="3">
        <v>0</v>
      </c>
      <c r="Y1007" s="77" t="str">
        <f t="shared" si="6396"/>
        <v/>
      </c>
      <c r="Z1007" s="3"/>
      <c r="AA1007" s="37" t="str">
        <f t="shared" si="6410"/>
        <v/>
      </c>
      <c r="AC1007" s="40"/>
      <c r="AD1007" s="7"/>
      <c r="AE1007" s="77" t="str">
        <f t="shared" si="6397"/>
        <v/>
      </c>
      <c r="AF1007" s="81">
        <f t="shared" si="6423"/>
        <v>0</v>
      </c>
      <c r="AG1007" s="40"/>
      <c r="AH1007" s="7"/>
      <c r="AI1007" s="77" t="str">
        <f t="shared" si="6398"/>
        <v/>
      </c>
      <c r="AJ1007" s="81">
        <f t="shared" si="6424"/>
        <v>0</v>
      </c>
      <c r="AK1007" s="83">
        <f t="shared" si="6425"/>
        <v>0</v>
      </c>
      <c r="AL1007" s="83">
        <f t="shared" si="6426"/>
        <v>0</v>
      </c>
      <c r="AN1007" s="43">
        <f t="shared" si="6399"/>
        <v>0</v>
      </c>
      <c r="AP1007" t="str">
        <f t="shared" si="6427"/>
        <v/>
      </c>
      <c r="AQ1007" t="str">
        <f t="shared" si="6428"/>
        <v/>
      </c>
      <c r="AR1007" t="str">
        <f t="shared" si="6429"/>
        <v/>
      </c>
      <c r="AS1007" t="str">
        <f t="shared" si="6430"/>
        <v/>
      </c>
      <c r="AT1007" t="str">
        <f t="shared" si="6431"/>
        <v/>
      </c>
      <c r="AU1007" t="str">
        <f t="shared" si="6432"/>
        <v/>
      </c>
      <c r="AV1007" t="str">
        <f t="shared" si="6433"/>
        <v/>
      </c>
      <c r="AW1007" t="str">
        <f t="shared" si="6434"/>
        <v xml:space="preserve">                              </v>
      </c>
      <c r="AX1007" s="23">
        <f t="shared" si="6435"/>
        <v>0</v>
      </c>
      <c r="AY1007" s="49" t="str">
        <f t="shared" si="6411"/>
        <v>000000000000000</v>
      </c>
      <c r="AZ1007" s="23">
        <f t="shared" si="6436"/>
        <v>0</v>
      </c>
      <c r="BA1007" s="49" t="str">
        <f t="shared" si="6411"/>
        <v>000000000000000</v>
      </c>
      <c r="BB1007" s="23">
        <f t="shared" si="6437"/>
        <v>0</v>
      </c>
      <c r="BC1007" s="49" t="str">
        <f t="shared" ref="BC1007" si="6654">IF(BB1007&lt;0,SUBSTITUTE(TEXT(BB1007,"000000000000,00"),",",""),SUBSTITUTE(TEXT(BB1007,"0000000000000,00"),",",""))</f>
        <v>000000000000000</v>
      </c>
      <c r="BD1007" s="23">
        <f t="shared" si="6439"/>
        <v>0</v>
      </c>
      <c r="BE1007" s="49" t="str">
        <f t="shared" ref="BE1007" si="6655">IF(BD1007&lt;0,SUBSTITUTE(TEXT(BD1007,"000000000000,00"),",",""),SUBSTITUTE(TEXT(BD1007,"0000000000000,00"),",",""))</f>
        <v>000000000000000</v>
      </c>
      <c r="BF1007" s="23">
        <f t="shared" si="6441"/>
        <v>0</v>
      </c>
      <c r="BG1007" s="49" t="str">
        <f t="shared" ref="BG1007" si="6656">IF(BF1007&lt;0,SUBSTITUTE(TEXT(BF1007,"000000000000,00"),",",""),SUBSTITUTE(TEXT(BF1007,"0000000000000,00"),",",""))</f>
        <v>000000000000000</v>
      </c>
      <c r="BH1007" s="23">
        <f t="shared" si="6443"/>
        <v>0</v>
      </c>
      <c r="BI1007" s="49" t="str">
        <f t="shared" ref="BI1007" si="6657">IF(BH1007&lt;0,SUBSTITUTE(TEXT(BH1007,"000000000000,00"),",",""),SUBSTITUTE(TEXT(BH1007,"0000000000000,00"),",",""))</f>
        <v>000000000000000</v>
      </c>
      <c r="BJ1007" s="23">
        <f t="shared" si="6445"/>
        <v>0</v>
      </c>
      <c r="BK1007" s="49" t="str">
        <f t="shared" ref="BK1007" si="6658">IF(BJ1007&lt;0,SUBSTITUTE(TEXT(BJ1007,"000000000000,00"),",",""),SUBSTITUTE(TEXT(BJ1007,"0000000000000,00"),",",""))</f>
        <v>000000000000000</v>
      </c>
      <c r="BL1007" s="23">
        <f t="shared" si="6447"/>
        <v>0</v>
      </c>
      <c r="BM1007" s="49" t="str">
        <f t="shared" ref="BM1007" si="6659">IF(BL1007&lt;0,SUBSTITUTE(TEXT(BL1007,"000000000000,00"),",",""),SUBSTITUTE(TEXT(BL1007,"0000000000000,00"),",",""))</f>
        <v>000000000000000</v>
      </c>
      <c r="BN1007" t="str">
        <f t="shared" si="6449"/>
        <v>PES</v>
      </c>
      <c r="BO1007" t="str">
        <f t="shared" si="6450"/>
        <v>0001000000</v>
      </c>
      <c r="BP1007">
        <f t="shared" si="6451"/>
        <v>0</v>
      </c>
      <c r="BQ1007">
        <f t="shared" si="6452"/>
        <v>0</v>
      </c>
      <c r="BR1007" s="23">
        <f t="shared" si="6453"/>
        <v>0</v>
      </c>
      <c r="BS1007" s="49" t="str">
        <f t="shared" si="6418"/>
        <v>000000000000000</v>
      </c>
      <c r="BT1007" t="str">
        <f t="shared" si="6454"/>
        <v>00000000</v>
      </c>
      <c r="BU1007" s="23">
        <f t="shared" si="6455"/>
        <v>0</v>
      </c>
      <c r="BV1007" s="49" t="str">
        <f t="shared" si="6419"/>
        <v/>
      </c>
      <c r="BW1007" s="52" t="str">
        <f t="shared" si="6456"/>
        <v/>
      </c>
      <c r="BX1007" s="23">
        <f t="shared" si="6457"/>
        <v>0</v>
      </c>
      <c r="BY1007" s="49" t="str">
        <f t="shared" si="6420"/>
        <v/>
      </c>
      <c r="BZ1007" s="23">
        <f t="shared" si="6458"/>
        <v>0</v>
      </c>
      <c r="CA1007" s="49" t="str">
        <f t="shared" si="6421"/>
        <v/>
      </c>
      <c r="CB1007" s="52" t="str">
        <f t="shared" si="6459"/>
        <v/>
      </c>
      <c r="CC1007" s="23">
        <f t="shared" si="6460"/>
        <v>0</v>
      </c>
      <c r="CD1007" s="49" t="str">
        <f t="shared" si="6422"/>
        <v/>
      </c>
      <c r="CE1007" s="56" t="str">
        <f>IF(CF1007="","",MAX(CE$10:$CE1006)+1)</f>
        <v/>
      </c>
      <c r="CF1007" t="str">
        <f t="shared" si="6461"/>
        <v/>
      </c>
      <c r="CG1007" s="22" t="str">
        <f>IF(CH1007="","",MAX($CG$10:CG1006)+1)</f>
        <v/>
      </c>
      <c r="CH1007" s="22" t="str">
        <f t="shared" si="6406"/>
        <v/>
      </c>
      <c r="CI1007" s="22" t="str">
        <f>IF(CJ1007="","",MAX($CI$10:CI1006)+1)</f>
        <v/>
      </c>
      <c r="CJ1007" s="22" t="str">
        <f t="shared" si="6407"/>
        <v/>
      </c>
    </row>
    <row r="1008" spans="2:88" x14ac:dyDescent="0.25">
      <c r="B1008" s="37"/>
      <c r="C1008" s="3"/>
      <c r="D1008" s="77" t="str">
        <f t="shared" si="6393"/>
        <v/>
      </c>
      <c r="E1008" s="38"/>
      <c r="F1008" s="38"/>
      <c r="G1008" s="78">
        <f t="shared" si="6408"/>
        <v>0</v>
      </c>
      <c r="H1008" s="3">
        <v>80</v>
      </c>
      <c r="I1008" s="77" t="str">
        <f t="shared" si="6394"/>
        <v/>
      </c>
      <c r="J1008" s="32"/>
      <c r="K1008" s="3"/>
      <c r="L1008" s="39"/>
      <c r="M1008" s="39"/>
      <c r="N1008" s="39"/>
      <c r="O1008" s="39"/>
      <c r="P1008" s="39"/>
      <c r="Q1008" s="39"/>
      <c r="R1008" s="39"/>
      <c r="S1008" s="39"/>
      <c r="T1008" s="3" t="s">
        <v>645</v>
      </c>
      <c r="U1008" s="77" t="str">
        <f t="shared" si="6395"/>
        <v/>
      </c>
      <c r="V1008" s="39">
        <v>1</v>
      </c>
      <c r="W1008" s="79">
        <f t="shared" si="6409"/>
        <v>0</v>
      </c>
      <c r="X1008" s="3">
        <v>0</v>
      </c>
      <c r="Y1008" s="77" t="str">
        <f t="shared" si="6396"/>
        <v/>
      </c>
      <c r="Z1008" s="3"/>
      <c r="AA1008" s="37" t="str">
        <f t="shared" si="6410"/>
        <v/>
      </c>
      <c r="AC1008" s="40"/>
      <c r="AD1008" s="7"/>
      <c r="AE1008" s="77" t="str">
        <f t="shared" si="6397"/>
        <v/>
      </c>
      <c r="AF1008" s="81">
        <f t="shared" si="6423"/>
        <v>0</v>
      </c>
      <c r="AG1008" s="40"/>
      <c r="AH1008" s="7"/>
      <c r="AI1008" s="77" t="str">
        <f t="shared" si="6398"/>
        <v/>
      </c>
      <c r="AJ1008" s="81">
        <f t="shared" si="6424"/>
        <v>0</v>
      </c>
      <c r="AK1008" s="83">
        <f t="shared" si="6425"/>
        <v>0</v>
      </c>
      <c r="AL1008" s="83">
        <f t="shared" si="6426"/>
        <v>0</v>
      </c>
      <c r="AN1008" s="43">
        <f t="shared" si="6399"/>
        <v>0</v>
      </c>
      <c r="AP1008" t="str">
        <f t="shared" si="6427"/>
        <v/>
      </c>
      <c r="AQ1008" t="str">
        <f t="shared" si="6428"/>
        <v/>
      </c>
      <c r="AR1008" t="str">
        <f t="shared" si="6429"/>
        <v/>
      </c>
      <c r="AS1008" t="str">
        <f t="shared" si="6430"/>
        <v/>
      </c>
      <c r="AT1008" t="str">
        <f t="shared" si="6431"/>
        <v/>
      </c>
      <c r="AU1008" t="str">
        <f t="shared" si="6432"/>
        <v/>
      </c>
      <c r="AV1008" t="str">
        <f t="shared" si="6433"/>
        <v/>
      </c>
      <c r="AW1008" t="str">
        <f t="shared" si="6434"/>
        <v xml:space="preserve">                              </v>
      </c>
      <c r="AX1008" s="23">
        <f t="shared" si="6435"/>
        <v>0</v>
      </c>
      <c r="AY1008" s="49" t="str">
        <f t="shared" si="6411"/>
        <v>000000000000000</v>
      </c>
      <c r="AZ1008" s="23">
        <f t="shared" si="6436"/>
        <v>0</v>
      </c>
      <c r="BA1008" s="49" t="str">
        <f t="shared" si="6411"/>
        <v>000000000000000</v>
      </c>
      <c r="BB1008" s="23">
        <f t="shared" si="6437"/>
        <v>0</v>
      </c>
      <c r="BC1008" s="49" t="str">
        <f t="shared" ref="BC1008" si="6660">IF(BB1008&lt;0,SUBSTITUTE(TEXT(BB1008,"000000000000,00"),",",""),SUBSTITUTE(TEXT(BB1008,"0000000000000,00"),",",""))</f>
        <v>000000000000000</v>
      </c>
      <c r="BD1008" s="23">
        <f t="shared" si="6439"/>
        <v>0</v>
      </c>
      <c r="BE1008" s="49" t="str">
        <f t="shared" ref="BE1008" si="6661">IF(BD1008&lt;0,SUBSTITUTE(TEXT(BD1008,"000000000000,00"),",",""),SUBSTITUTE(TEXT(BD1008,"0000000000000,00"),",",""))</f>
        <v>000000000000000</v>
      </c>
      <c r="BF1008" s="23">
        <f t="shared" si="6441"/>
        <v>0</v>
      </c>
      <c r="BG1008" s="49" t="str">
        <f t="shared" ref="BG1008" si="6662">IF(BF1008&lt;0,SUBSTITUTE(TEXT(BF1008,"000000000000,00"),",",""),SUBSTITUTE(TEXT(BF1008,"0000000000000,00"),",",""))</f>
        <v>000000000000000</v>
      </c>
      <c r="BH1008" s="23">
        <f t="shared" si="6443"/>
        <v>0</v>
      </c>
      <c r="BI1008" s="49" t="str">
        <f t="shared" ref="BI1008" si="6663">IF(BH1008&lt;0,SUBSTITUTE(TEXT(BH1008,"000000000000,00"),",",""),SUBSTITUTE(TEXT(BH1008,"0000000000000,00"),",",""))</f>
        <v>000000000000000</v>
      </c>
      <c r="BJ1008" s="23">
        <f t="shared" si="6445"/>
        <v>0</v>
      </c>
      <c r="BK1008" s="49" t="str">
        <f t="shared" ref="BK1008" si="6664">IF(BJ1008&lt;0,SUBSTITUTE(TEXT(BJ1008,"000000000000,00"),",",""),SUBSTITUTE(TEXT(BJ1008,"0000000000000,00"),",",""))</f>
        <v>000000000000000</v>
      </c>
      <c r="BL1008" s="23">
        <f t="shared" si="6447"/>
        <v>0</v>
      </c>
      <c r="BM1008" s="49" t="str">
        <f t="shared" ref="BM1008" si="6665">IF(BL1008&lt;0,SUBSTITUTE(TEXT(BL1008,"000000000000,00"),",",""),SUBSTITUTE(TEXT(BL1008,"0000000000000,00"),",",""))</f>
        <v>000000000000000</v>
      </c>
      <c r="BN1008" t="str">
        <f t="shared" si="6449"/>
        <v>PES</v>
      </c>
      <c r="BO1008" t="str">
        <f t="shared" si="6450"/>
        <v>0001000000</v>
      </c>
      <c r="BP1008">
        <f t="shared" si="6451"/>
        <v>0</v>
      </c>
      <c r="BQ1008">
        <f t="shared" si="6452"/>
        <v>0</v>
      </c>
      <c r="BR1008" s="23">
        <f t="shared" si="6453"/>
        <v>0</v>
      </c>
      <c r="BS1008" s="49" t="str">
        <f t="shared" si="6418"/>
        <v>000000000000000</v>
      </c>
      <c r="BT1008" t="str">
        <f t="shared" si="6454"/>
        <v>00000000</v>
      </c>
      <c r="BU1008" s="23">
        <f t="shared" si="6455"/>
        <v>0</v>
      </c>
      <c r="BV1008" s="49" t="str">
        <f t="shared" si="6419"/>
        <v/>
      </c>
      <c r="BW1008" s="52" t="str">
        <f t="shared" si="6456"/>
        <v/>
      </c>
      <c r="BX1008" s="23">
        <f t="shared" si="6457"/>
        <v>0</v>
      </c>
      <c r="BY1008" s="49" t="str">
        <f t="shared" si="6420"/>
        <v/>
      </c>
      <c r="BZ1008" s="23">
        <f t="shared" si="6458"/>
        <v>0</v>
      </c>
      <c r="CA1008" s="49" t="str">
        <f t="shared" si="6421"/>
        <v/>
      </c>
      <c r="CB1008" s="52" t="str">
        <f t="shared" si="6459"/>
        <v/>
      </c>
      <c r="CC1008" s="23">
        <f t="shared" si="6460"/>
        <v>0</v>
      </c>
      <c r="CD1008" s="49" t="str">
        <f t="shared" si="6422"/>
        <v/>
      </c>
      <c r="CE1008" s="56" t="str">
        <f>IF(CF1008="","",MAX(CE$10:$CE1007)+1)</f>
        <v/>
      </c>
      <c r="CF1008" t="str">
        <f t="shared" si="6461"/>
        <v/>
      </c>
      <c r="CG1008" s="22" t="str">
        <f>IF(CH1008="","",MAX($CG$10:CG1007)+1)</f>
        <v/>
      </c>
      <c r="CH1008" s="22" t="str">
        <f t="shared" si="6406"/>
        <v/>
      </c>
      <c r="CI1008" s="22" t="str">
        <f>IF(CJ1008="","",MAX($CI$10:CI1007)+1)</f>
        <v/>
      </c>
      <c r="CJ1008" s="22" t="str">
        <f t="shared" si="6407"/>
        <v/>
      </c>
    </row>
    <row r="1009" spans="2:88" x14ac:dyDescent="0.25">
      <c r="B1009" s="37"/>
      <c r="C1009" s="3"/>
      <c r="D1009" s="77" t="str">
        <f t="shared" si="6393"/>
        <v/>
      </c>
      <c r="E1009" s="38"/>
      <c r="F1009" s="38"/>
      <c r="G1009" s="78">
        <f t="shared" si="6408"/>
        <v>0</v>
      </c>
      <c r="H1009" s="3">
        <v>80</v>
      </c>
      <c r="I1009" s="77" t="str">
        <f t="shared" si="6394"/>
        <v/>
      </c>
      <c r="J1009" s="32"/>
      <c r="K1009" s="3"/>
      <c r="L1009" s="39"/>
      <c r="M1009" s="39"/>
      <c r="N1009" s="39"/>
      <c r="O1009" s="39"/>
      <c r="P1009" s="39"/>
      <c r="Q1009" s="39"/>
      <c r="R1009" s="39"/>
      <c r="S1009" s="39"/>
      <c r="T1009" s="3" t="s">
        <v>645</v>
      </c>
      <c r="U1009" s="77" t="str">
        <f t="shared" si="6395"/>
        <v/>
      </c>
      <c r="V1009" s="39">
        <v>1</v>
      </c>
      <c r="W1009" s="79">
        <f t="shared" si="6409"/>
        <v>0</v>
      </c>
      <c r="X1009" s="3">
        <v>0</v>
      </c>
      <c r="Y1009" s="77" t="str">
        <f t="shared" si="6396"/>
        <v/>
      </c>
      <c r="Z1009" s="3"/>
      <c r="AA1009" s="37" t="str">
        <f t="shared" si="6410"/>
        <v/>
      </c>
      <c r="AC1009" s="40"/>
      <c r="AD1009" s="7"/>
      <c r="AE1009" s="77" t="str">
        <f t="shared" si="6397"/>
        <v/>
      </c>
      <c r="AF1009" s="81">
        <f t="shared" si="6423"/>
        <v>0</v>
      </c>
      <c r="AG1009" s="40"/>
      <c r="AH1009" s="7"/>
      <c r="AI1009" s="77" t="str">
        <f t="shared" si="6398"/>
        <v/>
      </c>
      <c r="AJ1009" s="81">
        <f t="shared" si="6424"/>
        <v>0</v>
      </c>
      <c r="AK1009" s="83">
        <f t="shared" si="6425"/>
        <v>0</v>
      </c>
      <c r="AL1009" s="83">
        <f t="shared" si="6426"/>
        <v>0</v>
      </c>
      <c r="AN1009" s="43">
        <f t="shared" si="6399"/>
        <v>0</v>
      </c>
      <c r="AP1009" t="str">
        <f t="shared" si="6427"/>
        <v/>
      </c>
      <c r="AQ1009" t="str">
        <f t="shared" si="6428"/>
        <v/>
      </c>
      <c r="AR1009" t="str">
        <f t="shared" si="6429"/>
        <v/>
      </c>
      <c r="AS1009" t="str">
        <f t="shared" si="6430"/>
        <v/>
      </c>
      <c r="AT1009" t="str">
        <f t="shared" si="6431"/>
        <v/>
      </c>
      <c r="AU1009" t="str">
        <f t="shared" si="6432"/>
        <v/>
      </c>
      <c r="AV1009" t="str">
        <f t="shared" si="6433"/>
        <v/>
      </c>
      <c r="AW1009" t="str">
        <f t="shared" si="6434"/>
        <v xml:space="preserve">                              </v>
      </c>
      <c r="AX1009" s="23">
        <f t="shared" si="6435"/>
        <v>0</v>
      </c>
      <c r="AY1009" s="49" t="str">
        <f t="shared" si="6411"/>
        <v>000000000000000</v>
      </c>
      <c r="AZ1009" s="23">
        <f t="shared" si="6436"/>
        <v>0</v>
      </c>
      <c r="BA1009" s="49" t="str">
        <f t="shared" si="6411"/>
        <v>000000000000000</v>
      </c>
      <c r="BB1009" s="23">
        <f t="shared" si="6437"/>
        <v>0</v>
      </c>
      <c r="BC1009" s="49" t="str">
        <f t="shared" ref="BC1009" si="6666">IF(BB1009&lt;0,SUBSTITUTE(TEXT(BB1009,"000000000000,00"),",",""),SUBSTITUTE(TEXT(BB1009,"0000000000000,00"),",",""))</f>
        <v>000000000000000</v>
      </c>
      <c r="BD1009" s="23">
        <f t="shared" si="6439"/>
        <v>0</v>
      </c>
      <c r="BE1009" s="49" t="str">
        <f t="shared" ref="BE1009" si="6667">IF(BD1009&lt;0,SUBSTITUTE(TEXT(BD1009,"000000000000,00"),",",""),SUBSTITUTE(TEXT(BD1009,"0000000000000,00"),",",""))</f>
        <v>000000000000000</v>
      </c>
      <c r="BF1009" s="23">
        <f t="shared" si="6441"/>
        <v>0</v>
      </c>
      <c r="BG1009" s="49" t="str">
        <f t="shared" ref="BG1009" si="6668">IF(BF1009&lt;0,SUBSTITUTE(TEXT(BF1009,"000000000000,00"),",",""),SUBSTITUTE(TEXT(BF1009,"0000000000000,00"),",",""))</f>
        <v>000000000000000</v>
      </c>
      <c r="BH1009" s="23">
        <f t="shared" si="6443"/>
        <v>0</v>
      </c>
      <c r="BI1009" s="49" t="str">
        <f t="shared" ref="BI1009" si="6669">IF(BH1009&lt;0,SUBSTITUTE(TEXT(BH1009,"000000000000,00"),",",""),SUBSTITUTE(TEXT(BH1009,"0000000000000,00"),",",""))</f>
        <v>000000000000000</v>
      </c>
      <c r="BJ1009" s="23">
        <f t="shared" si="6445"/>
        <v>0</v>
      </c>
      <c r="BK1009" s="49" t="str">
        <f t="shared" ref="BK1009" si="6670">IF(BJ1009&lt;0,SUBSTITUTE(TEXT(BJ1009,"000000000000,00"),",",""),SUBSTITUTE(TEXT(BJ1009,"0000000000000,00"),",",""))</f>
        <v>000000000000000</v>
      </c>
      <c r="BL1009" s="23">
        <f t="shared" si="6447"/>
        <v>0</v>
      </c>
      <c r="BM1009" s="49" t="str">
        <f t="shared" ref="BM1009" si="6671">IF(BL1009&lt;0,SUBSTITUTE(TEXT(BL1009,"000000000000,00"),",",""),SUBSTITUTE(TEXT(BL1009,"0000000000000,00"),",",""))</f>
        <v>000000000000000</v>
      </c>
      <c r="BN1009" t="str">
        <f t="shared" si="6449"/>
        <v>PES</v>
      </c>
      <c r="BO1009" t="str">
        <f t="shared" si="6450"/>
        <v>0001000000</v>
      </c>
      <c r="BP1009">
        <f t="shared" si="6451"/>
        <v>0</v>
      </c>
      <c r="BQ1009">
        <f t="shared" si="6452"/>
        <v>0</v>
      </c>
      <c r="BR1009" s="23">
        <f t="shared" si="6453"/>
        <v>0</v>
      </c>
      <c r="BS1009" s="49" t="str">
        <f t="shared" si="6418"/>
        <v>000000000000000</v>
      </c>
      <c r="BT1009" t="str">
        <f t="shared" si="6454"/>
        <v>00000000</v>
      </c>
      <c r="BU1009" s="23">
        <f t="shared" si="6455"/>
        <v>0</v>
      </c>
      <c r="BV1009" s="49" t="str">
        <f t="shared" si="6419"/>
        <v/>
      </c>
      <c r="BW1009" s="52" t="str">
        <f t="shared" si="6456"/>
        <v/>
      </c>
      <c r="BX1009" s="23">
        <f t="shared" si="6457"/>
        <v>0</v>
      </c>
      <c r="BY1009" s="49" t="str">
        <f t="shared" si="6420"/>
        <v/>
      </c>
      <c r="BZ1009" s="23">
        <f t="shared" si="6458"/>
        <v>0</v>
      </c>
      <c r="CA1009" s="49" t="str">
        <f t="shared" si="6421"/>
        <v/>
      </c>
      <c r="CB1009" s="52" t="str">
        <f t="shared" si="6459"/>
        <v/>
      </c>
      <c r="CC1009" s="23">
        <f t="shared" si="6460"/>
        <v>0</v>
      </c>
      <c r="CD1009" s="49" t="str">
        <f t="shared" si="6422"/>
        <v/>
      </c>
      <c r="CE1009" s="56" t="str">
        <f>IF(CF1009="","",MAX(CE$10:$CE1008)+1)</f>
        <v/>
      </c>
      <c r="CF1009" t="str">
        <f t="shared" si="6461"/>
        <v/>
      </c>
      <c r="CG1009" s="22" t="str">
        <f>IF(CH1009="","",MAX($CG$10:CG1008)+1)</f>
        <v/>
      </c>
      <c r="CH1009" s="22" t="str">
        <f t="shared" si="6406"/>
        <v/>
      </c>
      <c r="CI1009" s="22" t="str">
        <f>IF(CJ1009="","",MAX($CI$10:CI1008)+1)</f>
        <v/>
      </c>
      <c r="CJ1009" s="22" t="str">
        <f t="shared" si="6407"/>
        <v/>
      </c>
    </row>
    <row r="1010" spans="2:88" x14ac:dyDescent="0.25">
      <c r="B1010" s="37"/>
      <c r="C1010" s="3"/>
      <c r="D1010" s="77" t="str">
        <f t="shared" si="6393"/>
        <v/>
      </c>
      <c r="E1010" s="38"/>
      <c r="F1010" s="38"/>
      <c r="G1010" s="78">
        <f t="shared" si="6408"/>
        <v>0</v>
      </c>
      <c r="H1010" s="3">
        <v>80</v>
      </c>
      <c r="I1010" s="77" t="str">
        <f t="shared" si="6394"/>
        <v/>
      </c>
      <c r="J1010" s="32"/>
      <c r="K1010" s="3"/>
      <c r="L1010" s="39"/>
      <c r="M1010" s="39"/>
      <c r="N1010" s="39"/>
      <c r="O1010" s="39"/>
      <c r="P1010" s="39"/>
      <c r="Q1010" s="39"/>
      <c r="R1010" s="39"/>
      <c r="S1010" s="39"/>
      <c r="T1010" s="3" t="s">
        <v>645</v>
      </c>
      <c r="U1010" s="77" t="str">
        <f t="shared" si="6395"/>
        <v/>
      </c>
      <c r="V1010" s="39">
        <v>1</v>
      </c>
      <c r="W1010" s="79">
        <f t="shared" si="6409"/>
        <v>0</v>
      </c>
      <c r="X1010" s="3">
        <v>0</v>
      </c>
      <c r="Y1010" s="77" t="str">
        <f t="shared" si="6396"/>
        <v/>
      </c>
      <c r="Z1010" s="3"/>
      <c r="AA1010" s="37" t="str">
        <f t="shared" si="6410"/>
        <v/>
      </c>
      <c r="AC1010" s="40"/>
      <c r="AD1010" s="7"/>
      <c r="AE1010" s="77" t="str">
        <f t="shared" si="6397"/>
        <v/>
      </c>
      <c r="AF1010" s="81">
        <f t="shared" si="6423"/>
        <v>0</v>
      </c>
      <c r="AG1010" s="40"/>
      <c r="AH1010" s="7"/>
      <c r="AI1010" s="77" t="str">
        <f t="shared" si="6398"/>
        <v/>
      </c>
      <c r="AJ1010" s="81">
        <f t="shared" si="6424"/>
        <v>0</v>
      </c>
      <c r="AK1010" s="83">
        <f t="shared" si="6425"/>
        <v>0</v>
      </c>
      <c r="AL1010" s="83">
        <f t="shared" si="6426"/>
        <v>0</v>
      </c>
      <c r="AN1010" s="43">
        <f t="shared" si="6399"/>
        <v>0</v>
      </c>
      <c r="AP1010" t="str">
        <f t="shared" si="6427"/>
        <v/>
      </c>
      <c r="AQ1010" t="str">
        <f t="shared" si="6428"/>
        <v/>
      </c>
      <c r="AR1010" t="str">
        <f t="shared" si="6429"/>
        <v/>
      </c>
      <c r="AS1010" t="str">
        <f t="shared" si="6430"/>
        <v/>
      </c>
      <c r="AT1010" t="str">
        <f t="shared" si="6431"/>
        <v/>
      </c>
      <c r="AU1010" t="str">
        <f t="shared" si="6432"/>
        <v/>
      </c>
      <c r="AV1010" t="str">
        <f t="shared" si="6433"/>
        <v/>
      </c>
      <c r="AW1010" t="str">
        <f t="shared" si="6434"/>
        <v xml:space="preserve">                              </v>
      </c>
      <c r="AX1010" s="23">
        <f t="shared" si="6435"/>
        <v>0</v>
      </c>
      <c r="AY1010" s="49" t="str">
        <f t="shared" si="6411"/>
        <v>000000000000000</v>
      </c>
      <c r="AZ1010" s="23">
        <f t="shared" si="6436"/>
        <v>0</v>
      </c>
      <c r="BA1010" s="49" t="str">
        <f t="shared" si="6411"/>
        <v>000000000000000</v>
      </c>
      <c r="BB1010" s="23">
        <f t="shared" si="6437"/>
        <v>0</v>
      </c>
      <c r="BC1010" s="49" t="str">
        <f t="shared" ref="BC1010" si="6672">IF(BB1010&lt;0,SUBSTITUTE(TEXT(BB1010,"000000000000,00"),",",""),SUBSTITUTE(TEXT(BB1010,"0000000000000,00"),",",""))</f>
        <v>000000000000000</v>
      </c>
      <c r="BD1010" s="23">
        <f t="shared" si="6439"/>
        <v>0</v>
      </c>
      <c r="BE1010" s="49" t="str">
        <f t="shared" ref="BE1010" si="6673">IF(BD1010&lt;0,SUBSTITUTE(TEXT(BD1010,"000000000000,00"),",",""),SUBSTITUTE(TEXT(BD1010,"0000000000000,00"),",",""))</f>
        <v>000000000000000</v>
      </c>
      <c r="BF1010" s="23">
        <f t="shared" si="6441"/>
        <v>0</v>
      </c>
      <c r="BG1010" s="49" t="str">
        <f t="shared" ref="BG1010" si="6674">IF(BF1010&lt;0,SUBSTITUTE(TEXT(BF1010,"000000000000,00"),",",""),SUBSTITUTE(TEXT(BF1010,"0000000000000,00"),",",""))</f>
        <v>000000000000000</v>
      </c>
      <c r="BH1010" s="23">
        <f t="shared" si="6443"/>
        <v>0</v>
      </c>
      <c r="BI1010" s="49" t="str">
        <f t="shared" ref="BI1010" si="6675">IF(BH1010&lt;0,SUBSTITUTE(TEXT(BH1010,"000000000000,00"),",",""),SUBSTITUTE(TEXT(BH1010,"0000000000000,00"),",",""))</f>
        <v>000000000000000</v>
      </c>
      <c r="BJ1010" s="23">
        <f t="shared" si="6445"/>
        <v>0</v>
      </c>
      <c r="BK1010" s="49" t="str">
        <f t="shared" ref="BK1010" si="6676">IF(BJ1010&lt;0,SUBSTITUTE(TEXT(BJ1010,"000000000000,00"),",",""),SUBSTITUTE(TEXT(BJ1010,"0000000000000,00"),",",""))</f>
        <v>000000000000000</v>
      </c>
      <c r="BL1010" s="23">
        <f t="shared" si="6447"/>
        <v>0</v>
      </c>
      <c r="BM1010" s="49" t="str">
        <f t="shared" ref="BM1010" si="6677">IF(BL1010&lt;0,SUBSTITUTE(TEXT(BL1010,"000000000000,00"),",",""),SUBSTITUTE(TEXT(BL1010,"0000000000000,00"),",",""))</f>
        <v>000000000000000</v>
      </c>
      <c r="BN1010" t="str">
        <f t="shared" si="6449"/>
        <v>PES</v>
      </c>
      <c r="BO1010" t="str">
        <f t="shared" si="6450"/>
        <v>0001000000</v>
      </c>
      <c r="BP1010">
        <f t="shared" si="6451"/>
        <v>0</v>
      </c>
      <c r="BQ1010">
        <f t="shared" si="6452"/>
        <v>0</v>
      </c>
      <c r="BR1010" s="23">
        <f t="shared" si="6453"/>
        <v>0</v>
      </c>
      <c r="BS1010" s="49" t="str">
        <f t="shared" si="6418"/>
        <v>000000000000000</v>
      </c>
      <c r="BT1010" t="str">
        <f t="shared" si="6454"/>
        <v>00000000</v>
      </c>
      <c r="BU1010" s="23">
        <f t="shared" si="6455"/>
        <v>0</v>
      </c>
      <c r="BV1010" s="49" t="str">
        <f t="shared" si="6419"/>
        <v/>
      </c>
      <c r="BW1010" s="52" t="str">
        <f t="shared" si="6456"/>
        <v/>
      </c>
      <c r="BX1010" s="23">
        <f t="shared" si="6457"/>
        <v>0</v>
      </c>
      <c r="BY1010" s="49" t="str">
        <f t="shared" si="6420"/>
        <v/>
      </c>
      <c r="BZ1010" s="23">
        <f t="shared" si="6458"/>
        <v>0</v>
      </c>
      <c r="CA1010" s="49" t="str">
        <f t="shared" si="6421"/>
        <v/>
      </c>
      <c r="CB1010" s="52" t="str">
        <f t="shared" si="6459"/>
        <v/>
      </c>
      <c r="CC1010" s="23">
        <f t="shared" si="6460"/>
        <v>0</v>
      </c>
      <c r="CD1010" s="49" t="str">
        <f t="shared" si="6422"/>
        <v/>
      </c>
      <c r="CE1010" s="56" t="str">
        <f>IF(CF1010="","",MAX(CE$10:$CE1009)+1)</f>
        <v/>
      </c>
      <c r="CF1010" t="str">
        <f t="shared" si="6461"/>
        <v/>
      </c>
      <c r="CG1010" s="22" t="str">
        <f>IF(CH1010="","",MAX($CG$10:CG1009)+1)</f>
        <v/>
      </c>
      <c r="CH1010" s="22" t="str">
        <f t="shared" si="6406"/>
        <v/>
      </c>
      <c r="CI1010" s="22" t="str">
        <f>IF(CJ1010="","",MAX($CI$10:CI1009)+1)</f>
        <v/>
      </c>
      <c r="CJ1010" s="22" t="str">
        <f t="shared" si="6407"/>
        <v/>
      </c>
    </row>
    <row r="1011" spans="2:88" ht="15.75" thickBot="1" x14ac:dyDescent="0.3">
      <c r="B1011" s="37"/>
      <c r="C1011" s="3"/>
      <c r="D1011" s="77" t="str">
        <f t="shared" si="6393"/>
        <v/>
      </c>
      <c r="E1011" s="38"/>
      <c r="F1011" s="38"/>
      <c r="G1011" s="78">
        <f t="shared" si="6408"/>
        <v>0</v>
      </c>
      <c r="H1011" s="3">
        <v>80</v>
      </c>
      <c r="I1011" s="77" t="str">
        <f t="shared" si="6394"/>
        <v/>
      </c>
      <c r="J1011" s="32"/>
      <c r="K1011" s="3"/>
      <c r="L1011" s="39"/>
      <c r="M1011" s="39"/>
      <c r="N1011" s="39"/>
      <c r="O1011" s="39"/>
      <c r="P1011" s="39"/>
      <c r="Q1011" s="39"/>
      <c r="R1011" s="39"/>
      <c r="S1011" s="39"/>
      <c r="T1011" s="3" t="s">
        <v>645</v>
      </c>
      <c r="U1011" s="77" t="str">
        <f t="shared" si="6395"/>
        <v/>
      </c>
      <c r="V1011" s="39">
        <v>1</v>
      </c>
      <c r="W1011" s="79">
        <f t="shared" si="6409"/>
        <v>0</v>
      </c>
      <c r="X1011" s="3">
        <v>0</v>
      </c>
      <c r="Y1011" s="77" t="str">
        <f t="shared" si="6396"/>
        <v/>
      </c>
      <c r="Z1011" s="3"/>
      <c r="AA1011" s="37" t="str">
        <f t="shared" si="6410"/>
        <v/>
      </c>
      <c r="AC1011" s="41"/>
      <c r="AD1011" s="42"/>
      <c r="AE1011" s="80" t="str">
        <f t="shared" si="6397"/>
        <v/>
      </c>
      <c r="AF1011" s="82">
        <f t="shared" si="6423"/>
        <v>0</v>
      </c>
      <c r="AG1011" s="41"/>
      <c r="AH1011" s="42"/>
      <c r="AI1011" s="80" t="str">
        <f t="shared" si="6398"/>
        <v/>
      </c>
      <c r="AJ1011" s="82">
        <f t="shared" si="6424"/>
        <v>0</v>
      </c>
      <c r="AK1011" s="84">
        <f t="shared" si="6425"/>
        <v>0</v>
      </c>
      <c r="AL1011" s="84">
        <f t="shared" si="6426"/>
        <v>0</v>
      </c>
      <c r="AN1011" s="44">
        <f t="shared" si="6399"/>
        <v>0</v>
      </c>
      <c r="AP1011" t="str">
        <f t="shared" si="6427"/>
        <v/>
      </c>
      <c r="AQ1011" t="str">
        <f t="shared" si="6428"/>
        <v/>
      </c>
      <c r="AR1011" t="str">
        <f t="shared" si="6429"/>
        <v/>
      </c>
      <c r="AS1011" t="str">
        <f t="shared" si="6430"/>
        <v/>
      </c>
      <c r="AT1011" t="str">
        <f t="shared" si="6431"/>
        <v/>
      </c>
      <c r="AU1011" t="str">
        <f t="shared" si="6432"/>
        <v/>
      </c>
      <c r="AV1011" t="str">
        <f t="shared" si="6433"/>
        <v/>
      </c>
      <c r="AW1011" t="str">
        <f t="shared" si="6434"/>
        <v xml:space="preserve">                              </v>
      </c>
      <c r="AX1011" s="24">
        <f t="shared" si="6435"/>
        <v>0</v>
      </c>
      <c r="AY1011" s="50" t="str">
        <f t="shared" si="6411"/>
        <v>000000000000000</v>
      </c>
      <c r="AZ1011" s="24">
        <f t="shared" si="6436"/>
        <v>0</v>
      </c>
      <c r="BA1011" s="50" t="str">
        <f t="shared" si="6411"/>
        <v>000000000000000</v>
      </c>
      <c r="BB1011" s="24">
        <f t="shared" si="6437"/>
        <v>0</v>
      </c>
      <c r="BC1011" s="50" t="str">
        <f t="shared" ref="BC1011" si="6678">IF(BB1011&lt;0,SUBSTITUTE(TEXT(BB1011,"000000000000,00"),",",""),SUBSTITUTE(TEXT(BB1011,"0000000000000,00"),",",""))</f>
        <v>000000000000000</v>
      </c>
      <c r="BD1011" s="24">
        <f t="shared" si="6439"/>
        <v>0</v>
      </c>
      <c r="BE1011" s="50" t="str">
        <f t="shared" ref="BE1011" si="6679">IF(BD1011&lt;0,SUBSTITUTE(TEXT(BD1011,"000000000000,00"),",",""),SUBSTITUTE(TEXT(BD1011,"0000000000000,00"),",",""))</f>
        <v>000000000000000</v>
      </c>
      <c r="BF1011" s="24">
        <f t="shared" si="6441"/>
        <v>0</v>
      </c>
      <c r="BG1011" s="50" t="str">
        <f t="shared" ref="BG1011" si="6680">IF(BF1011&lt;0,SUBSTITUTE(TEXT(BF1011,"000000000000,00"),",",""),SUBSTITUTE(TEXT(BF1011,"0000000000000,00"),",",""))</f>
        <v>000000000000000</v>
      </c>
      <c r="BH1011" s="24">
        <f t="shared" si="6443"/>
        <v>0</v>
      </c>
      <c r="BI1011" s="50" t="str">
        <f t="shared" ref="BI1011" si="6681">IF(BH1011&lt;0,SUBSTITUTE(TEXT(BH1011,"000000000000,00"),",",""),SUBSTITUTE(TEXT(BH1011,"0000000000000,00"),",",""))</f>
        <v>000000000000000</v>
      </c>
      <c r="BJ1011" s="24">
        <f t="shared" si="6445"/>
        <v>0</v>
      </c>
      <c r="BK1011" s="50" t="str">
        <f t="shared" ref="BK1011" si="6682">IF(BJ1011&lt;0,SUBSTITUTE(TEXT(BJ1011,"000000000000,00"),",",""),SUBSTITUTE(TEXT(BJ1011,"0000000000000,00"),",",""))</f>
        <v>000000000000000</v>
      </c>
      <c r="BL1011" s="24">
        <f t="shared" si="6447"/>
        <v>0</v>
      </c>
      <c r="BM1011" s="50" t="str">
        <f t="shared" ref="BM1011" si="6683">IF(BL1011&lt;0,SUBSTITUTE(TEXT(BL1011,"000000000000,00"),",",""),SUBSTITUTE(TEXT(BL1011,"0000000000000,00"),",",""))</f>
        <v>000000000000000</v>
      </c>
      <c r="BN1011" t="str">
        <f t="shared" si="6449"/>
        <v>PES</v>
      </c>
      <c r="BO1011" t="str">
        <f t="shared" si="6450"/>
        <v>0001000000</v>
      </c>
      <c r="BP1011">
        <f t="shared" si="6451"/>
        <v>0</v>
      </c>
      <c r="BQ1011">
        <f t="shared" si="6452"/>
        <v>0</v>
      </c>
      <c r="BR1011" s="24">
        <f t="shared" si="6453"/>
        <v>0</v>
      </c>
      <c r="BS1011" s="50" t="str">
        <f t="shared" si="6418"/>
        <v>000000000000000</v>
      </c>
      <c r="BT1011" t="str">
        <f t="shared" si="6454"/>
        <v>00000000</v>
      </c>
      <c r="BU1011" s="24">
        <f t="shared" si="6455"/>
        <v>0</v>
      </c>
      <c r="BV1011" s="50" t="str">
        <f t="shared" si="6419"/>
        <v/>
      </c>
      <c r="BW1011" s="53" t="str">
        <f t="shared" si="6456"/>
        <v/>
      </c>
      <c r="BX1011" s="24">
        <f t="shared" si="6457"/>
        <v>0</v>
      </c>
      <c r="BY1011" s="50" t="str">
        <f t="shared" si="6420"/>
        <v/>
      </c>
      <c r="BZ1011" s="24">
        <f t="shared" si="6458"/>
        <v>0</v>
      </c>
      <c r="CA1011" s="50" t="str">
        <f t="shared" si="6421"/>
        <v/>
      </c>
      <c r="CB1011" s="53" t="str">
        <f t="shared" si="6459"/>
        <v/>
      </c>
      <c r="CC1011" s="24">
        <f t="shared" si="6460"/>
        <v>0</v>
      </c>
      <c r="CD1011" s="50" t="str">
        <f t="shared" si="6422"/>
        <v/>
      </c>
      <c r="CE1011" s="56" t="str">
        <f>IF(CF1011="","",MAX(CE$10:$CE1010)+1)</f>
        <v/>
      </c>
      <c r="CF1011" t="str">
        <f t="shared" si="6461"/>
        <v/>
      </c>
      <c r="CG1011" s="22" t="str">
        <f>IF(CH1011="","",MAX($CG$10:CG1010)+1)</f>
        <v/>
      </c>
      <c r="CH1011" s="22" t="str">
        <f t="shared" si="6406"/>
        <v/>
      </c>
      <c r="CI1011" s="22" t="str">
        <f>IF(CJ1011="","",MAX($CI$10:CI1010)+1)</f>
        <v/>
      </c>
      <c r="CJ1011" s="22" t="str">
        <f t="shared" si="6407"/>
        <v/>
      </c>
    </row>
    <row r="1012" spans="2:88" s="27" customFormat="1" x14ac:dyDescent="0.25">
      <c r="B1012" s="26"/>
      <c r="E1012" s="28"/>
      <c r="F1012" s="28"/>
      <c r="J1012" s="29"/>
      <c r="L1012" s="30"/>
      <c r="M1012" s="30"/>
      <c r="N1012" s="30"/>
      <c r="O1012" s="30"/>
      <c r="P1012" s="30"/>
      <c r="Q1012" s="30"/>
      <c r="R1012" s="30"/>
      <c r="S1012" s="30"/>
      <c r="V1012" s="30"/>
      <c r="W1012" s="30"/>
      <c r="AC1012" s="31"/>
      <c r="AD1012" s="31"/>
      <c r="AF1012" s="31"/>
      <c r="AG1012" s="31"/>
      <c r="AH1012" s="31"/>
      <c r="AJ1012" s="31"/>
      <c r="AK1012" s="31"/>
      <c r="AL1012" s="31"/>
    </row>
  </sheetData>
  <mergeCells count="46">
    <mergeCell ref="B8:F8"/>
    <mergeCell ref="F6:I7"/>
    <mergeCell ref="BZ10:CA10"/>
    <mergeCell ref="CC10:CD10"/>
    <mergeCell ref="BR10:BS10"/>
    <mergeCell ref="BH10:BI10"/>
    <mergeCell ref="BJ10:BK10"/>
    <mergeCell ref="BL10:BM10"/>
    <mergeCell ref="BU10:BV10"/>
    <mergeCell ref="BX10:BY10"/>
    <mergeCell ref="AX10:AY10"/>
    <mergeCell ref="AZ10:BA10"/>
    <mergeCell ref="BB10:BC10"/>
    <mergeCell ref="BD10:BE10"/>
    <mergeCell ref="BF10:BG10"/>
    <mergeCell ref="AG8:AJ8"/>
    <mergeCell ref="AG9:AG10"/>
    <mergeCell ref="AH9:AI9"/>
    <mergeCell ref="AJ9:AJ10"/>
    <mergeCell ref="AN8:AN10"/>
    <mergeCell ref="AK8:AK10"/>
    <mergeCell ref="AL8:AL10"/>
    <mergeCell ref="B9:B10"/>
    <mergeCell ref="R9:R10"/>
    <mergeCell ref="AC8:AF8"/>
    <mergeCell ref="C9:D9"/>
    <mergeCell ref="T9:U9"/>
    <mergeCell ref="X9:Y9"/>
    <mergeCell ref="AD9:AE9"/>
    <mergeCell ref="AC9:AC10"/>
    <mergeCell ref="AF9:AF10"/>
    <mergeCell ref="W9:W10"/>
    <mergeCell ref="AA9:AA10"/>
    <mergeCell ref="P9:P10"/>
    <mergeCell ref="Q9:Q10"/>
    <mergeCell ref="V9:V10"/>
    <mergeCell ref="J9:J10"/>
    <mergeCell ref="K9:K10"/>
    <mergeCell ref="S9:S10"/>
    <mergeCell ref="E9:G9"/>
    <mergeCell ref="Z9:Z10"/>
    <mergeCell ref="N9:N10"/>
    <mergeCell ref="O9:O10"/>
    <mergeCell ref="H9:I9"/>
    <mergeCell ref="L9:L10"/>
    <mergeCell ref="M9:M10"/>
  </mergeCells>
  <hyperlinks>
    <hyperlink ref="B1" r:id="rId1"/>
  </hyperlinks>
  <pageMargins left="0.7" right="0.7" top="0.75" bottom="0.75" header="0.3" footer="0.3"/>
  <pageSetup paperSize="9" orientation="portrait" r:id="rId2"/>
  <ignoredErrors>
    <ignoredError sqref="AZ44:AZ1011 BB44:BB1011 BD44:BD1011 BF44:BF1011 BH44:BH1011 BJ44:BJ1011 BL44:BL1011 BZ44:BZ1011" formula="1"/>
  </ignoredErrors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G2002"/>
  <sheetViews>
    <sheetView workbookViewId="0">
      <selection activeCell="I5" sqref="I5"/>
    </sheetView>
  </sheetViews>
  <sheetFormatPr baseColWidth="10" defaultRowHeight="15" x14ac:dyDescent="0.25"/>
  <cols>
    <col min="1" max="1" width="4.28515625" customWidth="1"/>
    <col min="2" max="2" width="8.42578125" hidden="1" customWidth="1"/>
    <col min="3" max="3" width="76.7109375" customWidth="1"/>
    <col min="4" max="4" width="5.42578125" customWidth="1"/>
    <col min="5" max="5" width="11.42578125" hidden="1" customWidth="1"/>
    <col min="6" max="6" width="36.5703125" customWidth="1"/>
    <col min="7" max="7" width="3.7109375" customWidth="1"/>
  </cols>
  <sheetData>
    <row r="1" spans="2:7" ht="15.75" thickBot="1" x14ac:dyDescent="0.3"/>
    <row r="2" spans="2:7" ht="45.75" thickBot="1" x14ac:dyDescent="0.3">
      <c r="B2">
        <f>MaxComp</f>
        <v>1</v>
      </c>
      <c r="C2" s="35" t="s">
        <v>953</v>
      </c>
      <c r="E2">
        <f>MaxIVA</f>
        <v>0</v>
      </c>
      <c r="F2" s="35" t="s">
        <v>954</v>
      </c>
    </row>
    <row r="3" spans="2:7" x14ac:dyDescent="0.25">
      <c r="B3">
        <f>IF(B2=0,"",1)</f>
        <v>1</v>
      </c>
      <c r="C3" s="15" t="str">
        <f>IF(ISERROR(VLOOKUP(B3,ImpComp,2,FALSE)),"",VLOOKUP(B3,ImpComp,2,FALSE))</f>
        <v>20231211006000010605-000001840605-0000018499                              000000000100000000000000000000000000000000000000000000000000000000000000000000000000000000000000000000000000000000000000PES00010000000000000000000000020231211</v>
      </c>
      <c r="D3" t="s">
        <v>926</v>
      </c>
      <c r="E3" t="str">
        <f>IF(E2=0,"",1)</f>
        <v/>
      </c>
      <c r="F3" s="15" t="str">
        <f xml:space="preserve"> IF(ISERROR(VLOOKUP(E3,Imp_IVA1,2,FALSE)),"",VLOOKUP(E3,Imp_IVA1,2,FALSE))&amp; IF(ISERROR(VLOOKUP(E3,Imp_IVA2,2,FALSE)),"",VLOOKUP(E3,Imp_IVA2,2,FALSE))</f>
        <v/>
      </c>
      <c r="G3" t="s">
        <v>926</v>
      </c>
    </row>
    <row r="4" spans="2:7" x14ac:dyDescent="0.25">
      <c r="B4" t="str">
        <f>IF(OR(B3=$B$2,B3=""),"",B3+1)</f>
        <v/>
      </c>
      <c r="C4" s="16" t="str">
        <f>IF(ISERROR(VLOOKUP(B4,ImpComp,2,FALSE)),"",VLOOKUP(B4,ImpComp,2,FALSE))</f>
        <v/>
      </c>
      <c r="D4" t="s">
        <v>926</v>
      </c>
      <c r="E4" t="str">
        <f>IF(OR(E3=$E$2,E3=""),"",E3+1)</f>
        <v/>
      </c>
      <c r="F4" s="16" t="str">
        <f t="shared" ref="F4:F66" si="0" xml:space="preserve"> IF(ISERROR(VLOOKUP(E4,Imp_IVA1,2,FALSE)),"",VLOOKUP(E4,Imp_IVA1,2,FALSE))&amp; IF(ISERROR(VLOOKUP(E4,Imp_IVA2,2,FALSE)),"",VLOOKUP(E4,Imp_IVA2,2,FALSE))</f>
        <v/>
      </c>
      <c r="G4" t="s">
        <v>926</v>
      </c>
    </row>
    <row r="5" spans="2:7" x14ac:dyDescent="0.25">
      <c r="B5" t="str">
        <f t="shared" ref="B5:B68" si="1">IF(OR(B4=$B$2,B4=""),"",B4+1)</f>
        <v/>
      </c>
      <c r="C5" s="16" t="str">
        <f t="shared" ref="C5:C66" si="2">IF(ISERROR(VLOOKUP(B5,ImpComp,2,FALSE)),"",VLOOKUP(B5,ImpComp,2,FALSE))</f>
        <v/>
      </c>
      <c r="D5" t="s">
        <v>926</v>
      </c>
      <c r="E5" t="str">
        <f t="shared" ref="E5:E68" si="3">IF(OR(E4=$E$2,E4=""),"",E4+1)</f>
        <v/>
      </c>
      <c r="F5" s="16" t="str">
        <f t="shared" si="0"/>
        <v/>
      </c>
      <c r="G5" t="s">
        <v>926</v>
      </c>
    </row>
    <row r="6" spans="2:7" x14ac:dyDescent="0.25">
      <c r="B6" t="str">
        <f t="shared" si="1"/>
        <v/>
      </c>
      <c r="C6" s="16" t="str">
        <f t="shared" si="2"/>
        <v/>
      </c>
      <c r="D6" t="s">
        <v>926</v>
      </c>
      <c r="E6" t="str">
        <f t="shared" si="3"/>
        <v/>
      </c>
      <c r="F6" s="16" t="str">
        <f t="shared" si="0"/>
        <v/>
      </c>
      <c r="G6" t="s">
        <v>926</v>
      </c>
    </row>
    <row r="7" spans="2:7" x14ac:dyDescent="0.25">
      <c r="B7" t="str">
        <f t="shared" si="1"/>
        <v/>
      </c>
      <c r="C7" s="16" t="str">
        <f t="shared" si="2"/>
        <v/>
      </c>
      <c r="D7" t="s">
        <v>926</v>
      </c>
      <c r="E7" t="str">
        <f t="shared" si="3"/>
        <v/>
      </c>
      <c r="F7" s="16" t="str">
        <f t="shared" si="0"/>
        <v/>
      </c>
      <c r="G7" t="s">
        <v>926</v>
      </c>
    </row>
    <row r="8" spans="2:7" x14ac:dyDescent="0.25">
      <c r="B8" t="str">
        <f t="shared" si="1"/>
        <v/>
      </c>
      <c r="C8" s="16" t="str">
        <f t="shared" si="2"/>
        <v/>
      </c>
      <c r="D8" t="s">
        <v>926</v>
      </c>
      <c r="E8" t="str">
        <f t="shared" si="3"/>
        <v/>
      </c>
      <c r="F8" s="16" t="str">
        <f t="shared" si="0"/>
        <v/>
      </c>
      <c r="G8" t="s">
        <v>926</v>
      </c>
    </row>
    <row r="9" spans="2:7" x14ac:dyDescent="0.25">
      <c r="B9" t="str">
        <f t="shared" si="1"/>
        <v/>
      </c>
      <c r="C9" s="16" t="str">
        <f t="shared" si="2"/>
        <v/>
      </c>
      <c r="D9" t="s">
        <v>926</v>
      </c>
      <c r="E9" t="str">
        <f t="shared" si="3"/>
        <v/>
      </c>
      <c r="F9" s="16" t="str">
        <f t="shared" si="0"/>
        <v/>
      </c>
      <c r="G9" t="s">
        <v>926</v>
      </c>
    </row>
    <row r="10" spans="2:7" x14ac:dyDescent="0.25">
      <c r="B10" t="str">
        <f t="shared" si="1"/>
        <v/>
      </c>
      <c r="C10" s="16" t="str">
        <f t="shared" si="2"/>
        <v/>
      </c>
      <c r="D10" t="s">
        <v>926</v>
      </c>
      <c r="E10" t="str">
        <f t="shared" si="3"/>
        <v/>
      </c>
      <c r="F10" s="16" t="str">
        <f t="shared" si="0"/>
        <v/>
      </c>
      <c r="G10" t="s">
        <v>926</v>
      </c>
    </row>
    <row r="11" spans="2:7" x14ac:dyDescent="0.25">
      <c r="B11" t="str">
        <f t="shared" si="1"/>
        <v/>
      </c>
      <c r="C11" s="16" t="str">
        <f t="shared" si="2"/>
        <v/>
      </c>
      <c r="D11" t="s">
        <v>926</v>
      </c>
      <c r="E11" t="str">
        <f t="shared" si="3"/>
        <v/>
      </c>
      <c r="F11" s="16" t="str">
        <f t="shared" si="0"/>
        <v/>
      </c>
      <c r="G11" t="s">
        <v>926</v>
      </c>
    </row>
    <row r="12" spans="2:7" x14ac:dyDescent="0.25">
      <c r="B12" t="str">
        <f t="shared" si="1"/>
        <v/>
      </c>
      <c r="C12" s="16" t="str">
        <f t="shared" si="2"/>
        <v/>
      </c>
      <c r="D12" t="s">
        <v>926</v>
      </c>
      <c r="E12" t="str">
        <f t="shared" si="3"/>
        <v/>
      </c>
      <c r="F12" s="16" t="str">
        <f t="shared" si="0"/>
        <v/>
      </c>
      <c r="G12" t="s">
        <v>926</v>
      </c>
    </row>
    <row r="13" spans="2:7" x14ac:dyDescent="0.25">
      <c r="B13" t="str">
        <f t="shared" si="1"/>
        <v/>
      </c>
      <c r="C13" s="16" t="str">
        <f t="shared" si="2"/>
        <v/>
      </c>
      <c r="D13" t="s">
        <v>926</v>
      </c>
      <c r="E13" t="str">
        <f t="shared" si="3"/>
        <v/>
      </c>
      <c r="F13" s="16" t="str">
        <f t="shared" si="0"/>
        <v/>
      </c>
      <c r="G13" t="s">
        <v>926</v>
      </c>
    </row>
    <row r="14" spans="2:7" x14ac:dyDescent="0.25">
      <c r="B14" t="str">
        <f t="shared" si="1"/>
        <v/>
      </c>
      <c r="C14" s="16" t="str">
        <f t="shared" si="2"/>
        <v/>
      </c>
      <c r="D14" t="s">
        <v>926</v>
      </c>
      <c r="E14" t="str">
        <f t="shared" si="3"/>
        <v/>
      </c>
      <c r="F14" s="16" t="str">
        <f t="shared" si="0"/>
        <v/>
      </c>
      <c r="G14" t="s">
        <v>926</v>
      </c>
    </row>
    <row r="15" spans="2:7" x14ac:dyDescent="0.25">
      <c r="B15" t="str">
        <f t="shared" si="1"/>
        <v/>
      </c>
      <c r="C15" s="16" t="str">
        <f t="shared" si="2"/>
        <v/>
      </c>
      <c r="D15" t="s">
        <v>926</v>
      </c>
      <c r="E15" t="str">
        <f t="shared" si="3"/>
        <v/>
      </c>
      <c r="F15" s="16" t="str">
        <f t="shared" si="0"/>
        <v/>
      </c>
      <c r="G15" t="s">
        <v>926</v>
      </c>
    </row>
    <row r="16" spans="2:7" x14ac:dyDescent="0.25">
      <c r="B16" t="str">
        <f t="shared" si="1"/>
        <v/>
      </c>
      <c r="C16" s="16" t="str">
        <f t="shared" si="2"/>
        <v/>
      </c>
      <c r="D16" t="s">
        <v>926</v>
      </c>
      <c r="E16" t="str">
        <f t="shared" si="3"/>
        <v/>
      </c>
      <c r="F16" s="16" t="str">
        <f t="shared" si="0"/>
        <v/>
      </c>
      <c r="G16" t="s">
        <v>926</v>
      </c>
    </row>
    <row r="17" spans="2:7" x14ac:dyDescent="0.25">
      <c r="B17" t="str">
        <f t="shared" si="1"/>
        <v/>
      </c>
      <c r="C17" s="16" t="str">
        <f t="shared" si="2"/>
        <v/>
      </c>
      <c r="D17" t="s">
        <v>926</v>
      </c>
      <c r="E17" t="str">
        <f t="shared" si="3"/>
        <v/>
      </c>
      <c r="F17" s="16" t="str">
        <f t="shared" si="0"/>
        <v/>
      </c>
      <c r="G17" t="s">
        <v>926</v>
      </c>
    </row>
    <row r="18" spans="2:7" x14ac:dyDescent="0.25">
      <c r="B18" t="str">
        <f t="shared" si="1"/>
        <v/>
      </c>
      <c r="C18" s="16" t="str">
        <f t="shared" si="2"/>
        <v/>
      </c>
      <c r="D18" t="s">
        <v>926</v>
      </c>
      <c r="E18" t="str">
        <f t="shared" si="3"/>
        <v/>
      </c>
      <c r="F18" s="16" t="str">
        <f t="shared" si="0"/>
        <v/>
      </c>
      <c r="G18" t="s">
        <v>926</v>
      </c>
    </row>
    <row r="19" spans="2:7" x14ac:dyDescent="0.25">
      <c r="B19" t="str">
        <f t="shared" si="1"/>
        <v/>
      </c>
      <c r="C19" s="16" t="str">
        <f t="shared" si="2"/>
        <v/>
      </c>
      <c r="D19" t="s">
        <v>926</v>
      </c>
      <c r="E19" t="str">
        <f t="shared" si="3"/>
        <v/>
      </c>
      <c r="F19" s="16" t="str">
        <f t="shared" si="0"/>
        <v/>
      </c>
      <c r="G19" t="s">
        <v>926</v>
      </c>
    </row>
    <row r="20" spans="2:7" x14ac:dyDescent="0.25">
      <c r="B20" t="str">
        <f t="shared" si="1"/>
        <v/>
      </c>
      <c r="C20" s="16" t="str">
        <f t="shared" si="2"/>
        <v/>
      </c>
      <c r="D20" t="s">
        <v>926</v>
      </c>
      <c r="E20" t="str">
        <f t="shared" si="3"/>
        <v/>
      </c>
      <c r="F20" s="16" t="str">
        <f t="shared" si="0"/>
        <v/>
      </c>
      <c r="G20" t="s">
        <v>926</v>
      </c>
    </row>
    <row r="21" spans="2:7" x14ac:dyDescent="0.25">
      <c r="B21" t="str">
        <f t="shared" si="1"/>
        <v/>
      </c>
      <c r="C21" s="16" t="str">
        <f t="shared" si="2"/>
        <v/>
      </c>
      <c r="D21" t="s">
        <v>926</v>
      </c>
      <c r="E21" t="str">
        <f t="shared" si="3"/>
        <v/>
      </c>
      <c r="F21" s="16" t="str">
        <f t="shared" si="0"/>
        <v/>
      </c>
      <c r="G21" t="s">
        <v>926</v>
      </c>
    </row>
    <row r="22" spans="2:7" x14ac:dyDescent="0.25">
      <c r="B22" t="str">
        <f t="shared" si="1"/>
        <v/>
      </c>
      <c r="C22" s="16" t="str">
        <f t="shared" si="2"/>
        <v/>
      </c>
      <c r="D22" t="s">
        <v>926</v>
      </c>
      <c r="E22" t="str">
        <f t="shared" si="3"/>
        <v/>
      </c>
      <c r="F22" s="16" t="str">
        <f t="shared" si="0"/>
        <v/>
      </c>
      <c r="G22" t="s">
        <v>926</v>
      </c>
    </row>
    <row r="23" spans="2:7" x14ac:dyDescent="0.25">
      <c r="B23" t="str">
        <f t="shared" si="1"/>
        <v/>
      </c>
      <c r="C23" s="16" t="str">
        <f t="shared" si="2"/>
        <v/>
      </c>
      <c r="D23" t="s">
        <v>926</v>
      </c>
      <c r="E23" t="str">
        <f t="shared" si="3"/>
        <v/>
      </c>
      <c r="F23" s="16" t="str">
        <f t="shared" si="0"/>
        <v/>
      </c>
      <c r="G23" t="s">
        <v>926</v>
      </c>
    </row>
    <row r="24" spans="2:7" x14ac:dyDescent="0.25">
      <c r="B24" t="str">
        <f t="shared" si="1"/>
        <v/>
      </c>
      <c r="C24" s="16" t="str">
        <f t="shared" si="2"/>
        <v/>
      </c>
      <c r="D24" t="s">
        <v>926</v>
      </c>
      <c r="E24" t="str">
        <f t="shared" si="3"/>
        <v/>
      </c>
      <c r="F24" s="16" t="str">
        <f t="shared" si="0"/>
        <v/>
      </c>
      <c r="G24" t="s">
        <v>926</v>
      </c>
    </row>
    <row r="25" spans="2:7" x14ac:dyDescent="0.25">
      <c r="B25" t="str">
        <f t="shared" si="1"/>
        <v/>
      </c>
      <c r="C25" s="16" t="str">
        <f t="shared" si="2"/>
        <v/>
      </c>
      <c r="D25" t="s">
        <v>926</v>
      </c>
      <c r="E25" t="str">
        <f t="shared" si="3"/>
        <v/>
      </c>
      <c r="F25" s="16" t="str">
        <f t="shared" si="0"/>
        <v/>
      </c>
      <c r="G25" t="s">
        <v>926</v>
      </c>
    </row>
    <row r="26" spans="2:7" x14ac:dyDescent="0.25">
      <c r="B26" t="str">
        <f t="shared" si="1"/>
        <v/>
      </c>
      <c r="C26" s="16" t="str">
        <f t="shared" si="2"/>
        <v/>
      </c>
      <c r="D26" t="s">
        <v>926</v>
      </c>
      <c r="E26" t="str">
        <f t="shared" si="3"/>
        <v/>
      </c>
      <c r="F26" s="16" t="str">
        <f t="shared" si="0"/>
        <v/>
      </c>
      <c r="G26" t="s">
        <v>926</v>
      </c>
    </row>
    <row r="27" spans="2:7" x14ac:dyDescent="0.25">
      <c r="B27" t="str">
        <f t="shared" si="1"/>
        <v/>
      </c>
      <c r="C27" s="16" t="str">
        <f t="shared" si="2"/>
        <v/>
      </c>
      <c r="D27" t="s">
        <v>926</v>
      </c>
      <c r="E27" t="str">
        <f t="shared" si="3"/>
        <v/>
      </c>
      <c r="F27" s="16" t="str">
        <f t="shared" si="0"/>
        <v/>
      </c>
      <c r="G27" t="s">
        <v>926</v>
      </c>
    </row>
    <row r="28" spans="2:7" x14ac:dyDescent="0.25">
      <c r="B28" t="str">
        <f t="shared" si="1"/>
        <v/>
      </c>
      <c r="C28" s="16" t="str">
        <f t="shared" si="2"/>
        <v/>
      </c>
      <c r="D28" t="s">
        <v>926</v>
      </c>
      <c r="E28" t="str">
        <f t="shared" si="3"/>
        <v/>
      </c>
      <c r="F28" s="16" t="str">
        <f t="shared" si="0"/>
        <v/>
      </c>
      <c r="G28" t="s">
        <v>926</v>
      </c>
    </row>
    <row r="29" spans="2:7" x14ac:dyDescent="0.25">
      <c r="B29" t="str">
        <f t="shared" si="1"/>
        <v/>
      </c>
      <c r="C29" s="16" t="str">
        <f t="shared" si="2"/>
        <v/>
      </c>
      <c r="D29" t="s">
        <v>926</v>
      </c>
      <c r="E29" t="str">
        <f t="shared" si="3"/>
        <v/>
      </c>
      <c r="F29" s="16" t="str">
        <f t="shared" si="0"/>
        <v/>
      </c>
      <c r="G29" t="s">
        <v>926</v>
      </c>
    </row>
    <row r="30" spans="2:7" x14ac:dyDescent="0.25">
      <c r="B30" t="str">
        <f t="shared" si="1"/>
        <v/>
      </c>
      <c r="C30" s="16" t="str">
        <f t="shared" si="2"/>
        <v/>
      </c>
      <c r="D30" t="s">
        <v>926</v>
      </c>
      <c r="E30" t="str">
        <f t="shared" si="3"/>
        <v/>
      </c>
      <c r="F30" s="16" t="str">
        <f t="shared" si="0"/>
        <v/>
      </c>
      <c r="G30" t="s">
        <v>926</v>
      </c>
    </row>
    <row r="31" spans="2:7" x14ac:dyDescent="0.25">
      <c r="B31" t="str">
        <f t="shared" si="1"/>
        <v/>
      </c>
      <c r="C31" s="16" t="str">
        <f t="shared" si="2"/>
        <v/>
      </c>
      <c r="D31" t="s">
        <v>926</v>
      </c>
      <c r="E31" t="str">
        <f t="shared" si="3"/>
        <v/>
      </c>
      <c r="F31" s="16" t="str">
        <f t="shared" si="0"/>
        <v/>
      </c>
      <c r="G31" t="s">
        <v>926</v>
      </c>
    </row>
    <row r="32" spans="2:7" x14ac:dyDescent="0.25">
      <c r="B32" t="str">
        <f t="shared" si="1"/>
        <v/>
      </c>
      <c r="C32" s="16" t="str">
        <f t="shared" si="2"/>
        <v/>
      </c>
      <c r="D32" t="s">
        <v>926</v>
      </c>
      <c r="E32" t="str">
        <f t="shared" si="3"/>
        <v/>
      </c>
      <c r="F32" s="16" t="str">
        <f t="shared" si="0"/>
        <v/>
      </c>
      <c r="G32" t="s">
        <v>926</v>
      </c>
    </row>
    <row r="33" spans="2:7" x14ac:dyDescent="0.25">
      <c r="B33" t="str">
        <f t="shared" si="1"/>
        <v/>
      </c>
      <c r="C33" s="16" t="str">
        <f t="shared" si="2"/>
        <v/>
      </c>
      <c r="D33" t="s">
        <v>926</v>
      </c>
      <c r="E33" t="str">
        <f t="shared" si="3"/>
        <v/>
      </c>
      <c r="F33" s="16" t="str">
        <f t="shared" si="0"/>
        <v/>
      </c>
      <c r="G33" t="s">
        <v>926</v>
      </c>
    </row>
    <row r="34" spans="2:7" x14ac:dyDescent="0.25">
      <c r="B34" t="str">
        <f t="shared" si="1"/>
        <v/>
      </c>
      <c r="C34" s="16" t="str">
        <f t="shared" si="2"/>
        <v/>
      </c>
      <c r="D34" t="s">
        <v>926</v>
      </c>
      <c r="E34" t="str">
        <f t="shared" si="3"/>
        <v/>
      </c>
      <c r="F34" s="16" t="str">
        <f t="shared" si="0"/>
        <v/>
      </c>
      <c r="G34" t="s">
        <v>926</v>
      </c>
    </row>
    <row r="35" spans="2:7" x14ac:dyDescent="0.25">
      <c r="B35" t="str">
        <f t="shared" si="1"/>
        <v/>
      </c>
      <c r="C35" s="16" t="str">
        <f t="shared" si="2"/>
        <v/>
      </c>
      <c r="D35" t="s">
        <v>926</v>
      </c>
      <c r="E35" t="str">
        <f t="shared" si="3"/>
        <v/>
      </c>
      <c r="F35" s="16" t="str">
        <f t="shared" si="0"/>
        <v/>
      </c>
      <c r="G35" t="s">
        <v>926</v>
      </c>
    </row>
    <row r="36" spans="2:7" x14ac:dyDescent="0.25">
      <c r="B36" t="str">
        <f t="shared" si="1"/>
        <v/>
      </c>
      <c r="C36" s="16" t="str">
        <f t="shared" si="2"/>
        <v/>
      </c>
      <c r="D36" t="s">
        <v>926</v>
      </c>
      <c r="E36" t="str">
        <f t="shared" si="3"/>
        <v/>
      </c>
      <c r="F36" s="16" t="str">
        <f t="shared" si="0"/>
        <v/>
      </c>
      <c r="G36" t="s">
        <v>926</v>
      </c>
    </row>
    <row r="37" spans="2:7" x14ac:dyDescent="0.25">
      <c r="B37" t="str">
        <f t="shared" si="1"/>
        <v/>
      </c>
      <c r="C37" s="16" t="str">
        <f t="shared" si="2"/>
        <v/>
      </c>
      <c r="D37" t="s">
        <v>926</v>
      </c>
      <c r="E37" t="str">
        <f t="shared" si="3"/>
        <v/>
      </c>
      <c r="F37" s="16" t="str">
        <f t="shared" si="0"/>
        <v/>
      </c>
      <c r="G37" t="s">
        <v>926</v>
      </c>
    </row>
    <row r="38" spans="2:7" x14ac:dyDescent="0.25">
      <c r="B38" t="str">
        <f t="shared" si="1"/>
        <v/>
      </c>
      <c r="C38" s="16" t="str">
        <f t="shared" si="2"/>
        <v/>
      </c>
      <c r="D38" t="s">
        <v>926</v>
      </c>
      <c r="E38" t="str">
        <f t="shared" si="3"/>
        <v/>
      </c>
      <c r="F38" s="16" t="str">
        <f t="shared" si="0"/>
        <v/>
      </c>
      <c r="G38" t="s">
        <v>926</v>
      </c>
    </row>
    <row r="39" spans="2:7" x14ac:dyDescent="0.25">
      <c r="B39" t="str">
        <f t="shared" si="1"/>
        <v/>
      </c>
      <c r="C39" s="16" t="str">
        <f t="shared" si="2"/>
        <v/>
      </c>
      <c r="D39" t="s">
        <v>926</v>
      </c>
      <c r="E39" t="str">
        <f t="shared" si="3"/>
        <v/>
      </c>
      <c r="F39" s="16" t="str">
        <f t="shared" si="0"/>
        <v/>
      </c>
      <c r="G39" t="s">
        <v>926</v>
      </c>
    </row>
    <row r="40" spans="2:7" x14ac:dyDescent="0.25">
      <c r="B40" t="str">
        <f t="shared" si="1"/>
        <v/>
      </c>
      <c r="C40" s="16" t="str">
        <f t="shared" si="2"/>
        <v/>
      </c>
      <c r="D40" t="s">
        <v>926</v>
      </c>
      <c r="E40" t="str">
        <f t="shared" si="3"/>
        <v/>
      </c>
      <c r="F40" s="16" t="str">
        <f t="shared" si="0"/>
        <v/>
      </c>
      <c r="G40" t="s">
        <v>926</v>
      </c>
    </row>
    <row r="41" spans="2:7" x14ac:dyDescent="0.25">
      <c r="B41" t="str">
        <f t="shared" si="1"/>
        <v/>
      </c>
      <c r="C41" s="16" t="str">
        <f t="shared" si="2"/>
        <v/>
      </c>
      <c r="D41" t="s">
        <v>926</v>
      </c>
      <c r="E41" t="str">
        <f t="shared" si="3"/>
        <v/>
      </c>
      <c r="F41" s="16" t="str">
        <f t="shared" si="0"/>
        <v/>
      </c>
      <c r="G41" t="s">
        <v>926</v>
      </c>
    </row>
    <row r="42" spans="2:7" x14ac:dyDescent="0.25">
      <c r="B42" t="str">
        <f t="shared" si="1"/>
        <v/>
      </c>
      <c r="C42" s="16" t="str">
        <f t="shared" si="2"/>
        <v/>
      </c>
      <c r="D42" t="s">
        <v>926</v>
      </c>
      <c r="E42" t="str">
        <f t="shared" si="3"/>
        <v/>
      </c>
      <c r="F42" s="16" t="str">
        <f t="shared" si="0"/>
        <v/>
      </c>
      <c r="G42" t="s">
        <v>926</v>
      </c>
    </row>
    <row r="43" spans="2:7" x14ac:dyDescent="0.25">
      <c r="B43" t="str">
        <f t="shared" si="1"/>
        <v/>
      </c>
      <c r="C43" s="16" t="str">
        <f t="shared" si="2"/>
        <v/>
      </c>
      <c r="D43" t="s">
        <v>926</v>
      </c>
      <c r="E43" t="str">
        <f t="shared" si="3"/>
        <v/>
      </c>
      <c r="F43" s="16" t="str">
        <f t="shared" si="0"/>
        <v/>
      </c>
      <c r="G43" t="s">
        <v>926</v>
      </c>
    </row>
    <row r="44" spans="2:7" x14ac:dyDescent="0.25">
      <c r="B44" t="str">
        <f t="shared" si="1"/>
        <v/>
      </c>
      <c r="C44" s="16" t="str">
        <f t="shared" si="2"/>
        <v/>
      </c>
      <c r="D44" t="s">
        <v>926</v>
      </c>
      <c r="E44" t="str">
        <f t="shared" si="3"/>
        <v/>
      </c>
      <c r="F44" s="16" t="str">
        <f t="shared" si="0"/>
        <v/>
      </c>
      <c r="G44" t="s">
        <v>926</v>
      </c>
    </row>
    <row r="45" spans="2:7" x14ac:dyDescent="0.25">
      <c r="B45" t="str">
        <f t="shared" si="1"/>
        <v/>
      </c>
      <c r="C45" s="16" t="str">
        <f t="shared" si="2"/>
        <v/>
      </c>
      <c r="D45" t="s">
        <v>926</v>
      </c>
      <c r="E45" t="str">
        <f t="shared" si="3"/>
        <v/>
      </c>
      <c r="F45" s="16" t="str">
        <f t="shared" si="0"/>
        <v/>
      </c>
      <c r="G45" t="s">
        <v>926</v>
      </c>
    </row>
    <row r="46" spans="2:7" x14ac:dyDescent="0.25">
      <c r="B46" t="str">
        <f t="shared" si="1"/>
        <v/>
      </c>
      <c r="C46" s="16" t="str">
        <f t="shared" si="2"/>
        <v/>
      </c>
      <c r="D46" t="s">
        <v>926</v>
      </c>
      <c r="E46" t="str">
        <f t="shared" si="3"/>
        <v/>
      </c>
      <c r="F46" s="16" t="str">
        <f t="shared" si="0"/>
        <v/>
      </c>
      <c r="G46" t="s">
        <v>926</v>
      </c>
    </row>
    <row r="47" spans="2:7" x14ac:dyDescent="0.25">
      <c r="B47" t="str">
        <f t="shared" si="1"/>
        <v/>
      </c>
      <c r="C47" s="16" t="str">
        <f t="shared" si="2"/>
        <v/>
      </c>
      <c r="D47" t="s">
        <v>926</v>
      </c>
      <c r="E47" t="str">
        <f t="shared" si="3"/>
        <v/>
      </c>
      <c r="F47" s="16" t="str">
        <f t="shared" si="0"/>
        <v/>
      </c>
      <c r="G47" t="s">
        <v>926</v>
      </c>
    </row>
    <row r="48" spans="2:7" x14ac:dyDescent="0.25">
      <c r="B48" t="str">
        <f t="shared" si="1"/>
        <v/>
      </c>
      <c r="C48" s="16" t="str">
        <f t="shared" si="2"/>
        <v/>
      </c>
      <c r="D48" t="s">
        <v>926</v>
      </c>
      <c r="E48" t="str">
        <f t="shared" si="3"/>
        <v/>
      </c>
      <c r="F48" s="16" t="str">
        <f t="shared" si="0"/>
        <v/>
      </c>
      <c r="G48" t="s">
        <v>926</v>
      </c>
    </row>
    <row r="49" spans="2:7" x14ac:dyDescent="0.25">
      <c r="B49" t="str">
        <f t="shared" si="1"/>
        <v/>
      </c>
      <c r="C49" s="16" t="str">
        <f t="shared" si="2"/>
        <v/>
      </c>
      <c r="D49" t="s">
        <v>926</v>
      </c>
      <c r="E49" t="str">
        <f t="shared" si="3"/>
        <v/>
      </c>
      <c r="F49" s="16" t="str">
        <f t="shared" si="0"/>
        <v/>
      </c>
      <c r="G49" t="s">
        <v>926</v>
      </c>
    </row>
    <row r="50" spans="2:7" x14ac:dyDescent="0.25">
      <c r="B50" t="str">
        <f t="shared" si="1"/>
        <v/>
      </c>
      <c r="C50" s="16" t="str">
        <f t="shared" si="2"/>
        <v/>
      </c>
      <c r="D50" t="s">
        <v>926</v>
      </c>
      <c r="E50" t="str">
        <f t="shared" si="3"/>
        <v/>
      </c>
      <c r="F50" s="16" t="str">
        <f t="shared" si="0"/>
        <v/>
      </c>
      <c r="G50" t="s">
        <v>926</v>
      </c>
    </row>
    <row r="51" spans="2:7" x14ac:dyDescent="0.25">
      <c r="B51" t="str">
        <f t="shared" si="1"/>
        <v/>
      </c>
      <c r="C51" s="16" t="str">
        <f t="shared" si="2"/>
        <v/>
      </c>
      <c r="D51" t="s">
        <v>926</v>
      </c>
      <c r="E51" t="str">
        <f t="shared" si="3"/>
        <v/>
      </c>
      <c r="F51" s="16" t="str">
        <f t="shared" si="0"/>
        <v/>
      </c>
      <c r="G51" t="s">
        <v>926</v>
      </c>
    </row>
    <row r="52" spans="2:7" x14ac:dyDescent="0.25">
      <c r="B52" t="str">
        <f t="shared" si="1"/>
        <v/>
      </c>
      <c r="C52" s="16" t="str">
        <f t="shared" si="2"/>
        <v/>
      </c>
      <c r="D52" t="s">
        <v>926</v>
      </c>
      <c r="E52" t="str">
        <f t="shared" si="3"/>
        <v/>
      </c>
      <c r="F52" s="16" t="str">
        <f t="shared" si="0"/>
        <v/>
      </c>
      <c r="G52" t="s">
        <v>926</v>
      </c>
    </row>
    <row r="53" spans="2:7" x14ac:dyDescent="0.25">
      <c r="B53" t="str">
        <f t="shared" si="1"/>
        <v/>
      </c>
      <c r="C53" s="16" t="str">
        <f t="shared" si="2"/>
        <v/>
      </c>
      <c r="D53" t="s">
        <v>926</v>
      </c>
      <c r="E53" t="str">
        <f t="shared" si="3"/>
        <v/>
      </c>
      <c r="F53" s="16" t="str">
        <f t="shared" si="0"/>
        <v/>
      </c>
      <c r="G53" t="s">
        <v>926</v>
      </c>
    </row>
    <row r="54" spans="2:7" x14ac:dyDescent="0.25">
      <c r="B54" t="str">
        <f t="shared" si="1"/>
        <v/>
      </c>
      <c r="C54" s="16" t="str">
        <f t="shared" si="2"/>
        <v/>
      </c>
      <c r="D54" t="s">
        <v>926</v>
      </c>
      <c r="E54" t="str">
        <f t="shared" si="3"/>
        <v/>
      </c>
      <c r="F54" s="16" t="str">
        <f t="shared" si="0"/>
        <v/>
      </c>
      <c r="G54" t="s">
        <v>926</v>
      </c>
    </row>
    <row r="55" spans="2:7" x14ac:dyDescent="0.25">
      <c r="B55" t="str">
        <f t="shared" si="1"/>
        <v/>
      </c>
      <c r="C55" s="16" t="str">
        <f t="shared" si="2"/>
        <v/>
      </c>
      <c r="D55" t="s">
        <v>926</v>
      </c>
      <c r="E55" t="str">
        <f t="shared" si="3"/>
        <v/>
      </c>
      <c r="F55" s="16" t="str">
        <f t="shared" si="0"/>
        <v/>
      </c>
      <c r="G55" t="s">
        <v>926</v>
      </c>
    </row>
    <row r="56" spans="2:7" x14ac:dyDescent="0.25">
      <c r="B56" t="str">
        <f t="shared" si="1"/>
        <v/>
      </c>
      <c r="C56" s="16" t="str">
        <f t="shared" si="2"/>
        <v/>
      </c>
      <c r="D56" t="s">
        <v>926</v>
      </c>
      <c r="E56" t="str">
        <f t="shared" si="3"/>
        <v/>
      </c>
      <c r="F56" s="16" t="str">
        <f t="shared" si="0"/>
        <v/>
      </c>
      <c r="G56" t="s">
        <v>926</v>
      </c>
    </row>
    <row r="57" spans="2:7" x14ac:dyDescent="0.25">
      <c r="B57" t="str">
        <f t="shared" si="1"/>
        <v/>
      </c>
      <c r="C57" s="16" t="str">
        <f t="shared" si="2"/>
        <v/>
      </c>
      <c r="D57" t="s">
        <v>926</v>
      </c>
      <c r="E57" t="str">
        <f t="shared" si="3"/>
        <v/>
      </c>
      <c r="F57" s="16" t="str">
        <f t="shared" si="0"/>
        <v/>
      </c>
      <c r="G57" t="s">
        <v>926</v>
      </c>
    </row>
    <row r="58" spans="2:7" x14ac:dyDescent="0.25">
      <c r="B58" t="str">
        <f t="shared" si="1"/>
        <v/>
      </c>
      <c r="C58" s="16" t="str">
        <f t="shared" si="2"/>
        <v/>
      </c>
      <c r="D58" t="s">
        <v>926</v>
      </c>
      <c r="E58" t="str">
        <f t="shared" si="3"/>
        <v/>
      </c>
      <c r="F58" s="16" t="str">
        <f t="shared" si="0"/>
        <v/>
      </c>
      <c r="G58" t="s">
        <v>926</v>
      </c>
    </row>
    <row r="59" spans="2:7" x14ac:dyDescent="0.25">
      <c r="B59" t="str">
        <f t="shared" si="1"/>
        <v/>
      </c>
      <c r="C59" s="16" t="str">
        <f t="shared" si="2"/>
        <v/>
      </c>
      <c r="D59" t="s">
        <v>926</v>
      </c>
      <c r="E59" t="str">
        <f t="shared" si="3"/>
        <v/>
      </c>
      <c r="F59" s="16" t="str">
        <f t="shared" si="0"/>
        <v/>
      </c>
      <c r="G59" t="s">
        <v>926</v>
      </c>
    </row>
    <row r="60" spans="2:7" x14ac:dyDescent="0.25">
      <c r="B60" t="str">
        <f t="shared" si="1"/>
        <v/>
      </c>
      <c r="C60" s="16" t="str">
        <f t="shared" si="2"/>
        <v/>
      </c>
      <c r="D60" t="s">
        <v>926</v>
      </c>
      <c r="E60" t="str">
        <f t="shared" si="3"/>
        <v/>
      </c>
      <c r="F60" s="16" t="str">
        <f t="shared" si="0"/>
        <v/>
      </c>
      <c r="G60" t="s">
        <v>926</v>
      </c>
    </row>
    <row r="61" spans="2:7" x14ac:dyDescent="0.25">
      <c r="B61" t="str">
        <f t="shared" si="1"/>
        <v/>
      </c>
      <c r="C61" s="16" t="str">
        <f t="shared" si="2"/>
        <v/>
      </c>
      <c r="D61" t="s">
        <v>926</v>
      </c>
      <c r="E61" t="str">
        <f t="shared" si="3"/>
        <v/>
      </c>
      <c r="F61" s="16" t="str">
        <f t="shared" si="0"/>
        <v/>
      </c>
      <c r="G61" t="s">
        <v>926</v>
      </c>
    </row>
    <row r="62" spans="2:7" x14ac:dyDescent="0.25">
      <c r="B62" t="str">
        <f t="shared" si="1"/>
        <v/>
      </c>
      <c r="C62" s="16" t="str">
        <f t="shared" si="2"/>
        <v/>
      </c>
      <c r="D62" t="s">
        <v>926</v>
      </c>
      <c r="E62" t="str">
        <f t="shared" si="3"/>
        <v/>
      </c>
      <c r="F62" s="16" t="str">
        <f t="shared" si="0"/>
        <v/>
      </c>
      <c r="G62" t="s">
        <v>926</v>
      </c>
    </row>
    <row r="63" spans="2:7" x14ac:dyDescent="0.25">
      <c r="B63" t="str">
        <f t="shared" si="1"/>
        <v/>
      </c>
      <c r="C63" s="16" t="str">
        <f t="shared" si="2"/>
        <v/>
      </c>
      <c r="D63" t="s">
        <v>926</v>
      </c>
      <c r="E63" t="str">
        <f t="shared" si="3"/>
        <v/>
      </c>
      <c r="F63" s="16" t="str">
        <f t="shared" si="0"/>
        <v/>
      </c>
      <c r="G63" t="s">
        <v>926</v>
      </c>
    </row>
    <row r="64" spans="2:7" x14ac:dyDescent="0.25">
      <c r="B64" t="str">
        <f t="shared" si="1"/>
        <v/>
      </c>
      <c r="C64" s="16" t="str">
        <f t="shared" si="2"/>
        <v/>
      </c>
      <c r="D64" t="s">
        <v>926</v>
      </c>
      <c r="E64" t="str">
        <f t="shared" si="3"/>
        <v/>
      </c>
      <c r="F64" s="16" t="str">
        <f t="shared" si="0"/>
        <v/>
      </c>
      <c r="G64" t="s">
        <v>926</v>
      </c>
    </row>
    <row r="65" spans="2:7" x14ac:dyDescent="0.25">
      <c r="B65" t="str">
        <f t="shared" si="1"/>
        <v/>
      </c>
      <c r="C65" s="16" t="str">
        <f t="shared" si="2"/>
        <v/>
      </c>
      <c r="D65" t="s">
        <v>926</v>
      </c>
      <c r="E65" t="str">
        <f t="shared" si="3"/>
        <v/>
      </c>
      <c r="F65" s="16" t="str">
        <f t="shared" si="0"/>
        <v/>
      </c>
      <c r="G65" t="s">
        <v>926</v>
      </c>
    </row>
    <row r="66" spans="2:7" x14ac:dyDescent="0.25">
      <c r="B66" t="str">
        <f t="shared" si="1"/>
        <v/>
      </c>
      <c r="C66" s="16" t="str">
        <f t="shared" si="2"/>
        <v/>
      </c>
      <c r="D66" t="s">
        <v>926</v>
      </c>
      <c r="E66" t="str">
        <f t="shared" si="3"/>
        <v/>
      </c>
      <c r="F66" s="16" t="str">
        <f t="shared" si="0"/>
        <v/>
      </c>
      <c r="G66" t="s">
        <v>926</v>
      </c>
    </row>
    <row r="67" spans="2:7" x14ac:dyDescent="0.25">
      <c r="B67" t="str">
        <f t="shared" si="1"/>
        <v/>
      </c>
      <c r="C67" s="16" t="str">
        <f t="shared" ref="C67:C130" si="4">IF(ISERROR(VLOOKUP(B67,ImpComp,2,FALSE)),"",VLOOKUP(B67,ImpComp,2,FALSE))</f>
        <v/>
      </c>
      <c r="D67" t="s">
        <v>926</v>
      </c>
      <c r="E67" t="str">
        <f t="shared" si="3"/>
        <v/>
      </c>
      <c r="F67" s="16" t="str">
        <f t="shared" ref="F67:F130" si="5" xml:space="preserve"> IF(ISERROR(VLOOKUP(E67,Imp_IVA1,2,FALSE)),"",VLOOKUP(E67,Imp_IVA1,2,FALSE))&amp; IF(ISERROR(VLOOKUP(E67,Imp_IVA2,2,FALSE)),"",VLOOKUP(E67,Imp_IVA2,2,FALSE))</f>
        <v/>
      </c>
      <c r="G67" t="s">
        <v>926</v>
      </c>
    </row>
    <row r="68" spans="2:7" x14ac:dyDescent="0.25">
      <c r="B68" t="str">
        <f t="shared" si="1"/>
        <v/>
      </c>
      <c r="C68" s="16" t="str">
        <f t="shared" si="4"/>
        <v/>
      </c>
      <c r="D68" t="s">
        <v>926</v>
      </c>
      <c r="E68" t="str">
        <f t="shared" si="3"/>
        <v/>
      </c>
      <c r="F68" s="16" t="str">
        <f t="shared" si="5"/>
        <v/>
      </c>
      <c r="G68" t="s">
        <v>926</v>
      </c>
    </row>
    <row r="69" spans="2:7" x14ac:dyDescent="0.25">
      <c r="B69" t="str">
        <f t="shared" ref="B69:B132" si="6">IF(OR(B68=$B$2,B68=""),"",B68+1)</f>
        <v/>
      </c>
      <c r="C69" s="16" t="str">
        <f t="shared" si="4"/>
        <v/>
      </c>
      <c r="D69" t="s">
        <v>926</v>
      </c>
      <c r="E69" t="str">
        <f t="shared" ref="E69:E132" si="7">IF(OR(E68=$E$2,E68=""),"",E68+1)</f>
        <v/>
      </c>
      <c r="F69" s="16" t="str">
        <f t="shared" si="5"/>
        <v/>
      </c>
      <c r="G69" t="s">
        <v>926</v>
      </c>
    </row>
    <row r="70" spans="2:7" x14ac:dyDescent="0.25">
      <c r="B70" t="str">
        <f t="shared" si="6"/>
        <v/>
      </c>
      <c r="C70" s="16" t="str">
        <f t="shared" si="4"/>
        <v/>
      </c>
      <c r="D70" t="s">
        <v>926</v>
      </c>
      <c r="E70" t="str">
        <f t="shared" si="7"/>
        <v/>
      </c>
      <c r="F70" s="16" t="str">
        <f t="shared" si="5"/>
        <v/>
      </c>
      <c r="G70" t="s">
        <v>926</v>
      </c>
    </row>
    <row r="71" spans="2:7" x14ac:dyDescent="0.25">
      <c r="B71" t="str">
        <f t="shared" si="6"/>
        <v/>
      </c>
      <c r="C71" s="16" t="str">
        <f t="shared" si="4"/>
        <v/>
      </c>
      <c r="D71" t="s">
        <v>926</v>
      </c>
      <c r="E71" t="str">
        <f t="shared" si="7"/>
        <v/>
      </c>
      <c r="F71" s="16" t="str">
        <f t="shared" si="5"/>
        <v/>
      </c>
      <c r="G71" t="s">
        <v>926</v>
      </c>
    </row>
    <row r="72" spans="2:7" x14ac:dyDescent="0.25">
      <c r="B72" t="str">
        <f t="shared" si="6"/>
        <v/>
      </c>
      <c r="C72" s="16" t="str">
        <f t="shared" si="4"/>
        <v/>
      </c>
      <c r="D72" t="s">
        <v>926</v>
      </c>
      <c r="E72" t="str">
        <f t="shared" si="7"/>
        <v/>
      </c>
      <c r="F72" s="16" t="str">
        <f t="shared" si="5"/>
        <v/>
      </c>
      <c r="G72" t="s">
        <v>926</v>
      </c>
    </row>
    <row r="73" spans="2:7" x14ac:dyDescent="0.25">
      <c r="B73" t="str">
        <f t="shared" si="6"/>
        <v/>
      </c>
      <c r="C73" s="16" t="str">
        <f t="shared" si="4"/>
        <v/>
      </c>
      <c r="D73" t="s">
        <v>926</v>
      </c>
      <c r="E73" t="str">
        <f t="shared" si="7"/>
        <v/>
      </c>
      <c r="F73" s="16" t="str">
        <f t="shared" si="5"/>
        <v/>
      </c>
      <c r="G73" t="s">
        <v>926</v>
      </c>
    </row>
    <row r="74" spans="2:7" x14ac:dyDescent="0.25">
      <c r="B74" t="str">
        <f t="shared" si="6"/>
        <v/>
      </c>
      <c r="C74" s="16" t="str">
        <f t="shared" si="4"/>
        <v/>
      </c>
      <c r="D74" t="s">
        <v>926</v>
      </c>
      <c r="E74" t="str">
        <f t="shared" si="7"/>
        <v/>
      </c>
      <c r="F74" s="16" t="str">
        <f t="shared" si="5"/>
        <v/>
      </c>
      <c r="G74" t="s">
        <v>926</v>
      </c>
    </row>
    <row r="75" spans="2:7" x14ac:dyDescent="0.25">
      <c r="B75" t="str">
        <f t="shared" si="6"/>
        <v/>
      </c>
      <c r="C75" s="16" t="str">
        <f t="shared" si="4"/>
        <v/>
      </c>
      <c r="D75" t="s">
        <v>926</v>
      </c>
      <c r="E75" t="str">
        <f t="shared" si="7"/>
        <v/>
      </c>
      <c r="F75" s="16" t="str">
        <f t="shared" si="5"/>
        <v/>
      </c>
      <c r="G75" t="s">
        <v>926</v>
      </c>
    </row>
    <row r="76" spans="2:7" x14ac:dyDescent="0.25">
      <c r="B76" t="str">
        <f t="shared" si="6"/>
        <v/>
      </c>
      <c r="C76" s="16" t="str">
        <f t="shared" si="4"/>
        <v/>
      </c>
      <c r="D76" t="s">
        <v>926</v>
      </c>
      <c r="E76" t="str">
        <f t="shared" si="7"/>
        <v/>
      </c>
      <c r="F76" s="16" t="str">
        <f t="shared" si="5"/>
        <v/>
      </c>
      <c r="G76" t="s">
        <v>926</v>
      </c>
    </row>
    <row r="77" spans="2:7" x14ac:dyDescent="0.25">
      <c r="B77" t="str">
        <f t="shared" si="6"/>
        <v/>
      </c>
      <c r="C77" s="16" t="str">
        <f t="shared" si="4"/>
        <v/>
      </c>
      <c r="D77" t="s">
        <v>926</v>
      </c>
      <c r="E77" t="str">
        <f t="shared" si="7"/>
        <v/>
      </c>
      <c r="F77" s="16" t="str">
        <f t="shared" si="5"/>
        <v/>
      </c>
      <c r="G77" t="s">
        <v>926</v>
      </c>
    </row>
    <row r="78" spans="2:7" x14ac:dyDescent="0.25">
      <c r="B78" t="str">
        <f t="shared" si="6"/>
        <v/>
      </c>
      <c r="C78" s="16" t="str">
        <f t="shared" si="4"/>
        <v/>
      </c>
      <c r="D78" t="s">
        <v>926</v>
      </c>
      <c r="E78" t="str">
        <f t="shared" si="7"/>
        <v/>
      </c>
      <c r="F78" s="16" t="str">
        <f t="shared" si="5"/>
        <v/>
      </c>
      <c r="G78" t="s">
        <v>926</v>
      </c>
    </row>
    <row r="79" spans="2:7" x14ac:dyDescent="0.25">
      <c r="B79" t="str">
        <f t="shared" si="6"/>
        <v/>
      </c>
      <c r="C79" s="16" t="str">
        <f t="shared" si="4"/>
        <v/>
      </c>
      <c r="D79" t="s">
        <v>926</v>
      </c>
      <c r="E79" t="str">
        <f t="shared" si="7"/>
        <v/>
      </c>
      <c r="F79" s="16" t="str">
        <f t="shared" si="5"/>
        <v/>
      </c>
      <c r="G79" t="s">
        <v>926</v>
      </c>
    </row>
    <row r="80" spans="2:7" x14ac:dyDescent="0.25">
      <c r="B80" t="str">
        <f t="shared" si="6"/>
        <v/>
      </c>
      <c r="C80" s="16" t="str">
        <f t="shared" si="4"/>
        <v/>
      </c>
      <c r="D80" t="s">
        <v>926</v>
      </c>
      <c r="E80" t="str">
        <f t="shared" si="7"/>
        <v/>
      </c>
      <c r="F80" s="16" t="str">
        <f t="shared" si="5"/>
        <v/>
      </c>
      <c r="G80" t="s">
        <v>926</v>
      </c>
    </row>
    <row r="81" spans="2:7" x14ac:dyDescent="0.25">
      <c r="B81" t="str">
        <f t="shared" si="6"/>
        <v/>
      </c>
      <c r="C81" s="16" t="str">
        <f t="shared" si="4"/>
        <v/>
      </c>
      <c r="D81" t="s">
        <v>926</v>
      </c>
      <c r="E81" t="str">
        <f t="shared" si="7"/>
        <v/>
      </c>
      <c r="F81" s="16" t="str">
        <f t="shared" si="5"/>
        <v/>
      </c>
      <c r="G81" t="s">
        <v>926</v>
      </c>
    </row>
    <row r="82" spans="2:7" x14ac:dyDescent="0.25">
      <c r="B82" t="str">
        <f t="shared" si="6"/>
        <v/>
      </c>
      <c r="C82" s="16" t="str">
        <f t="shared" si="4"/>
        <v/>
      </c>
      <c r="D82" t="s">
        <v>926</v>
      </c>
      <c r="E82" t="str">
        <f t="shared" si="7"/>
        <v/>
      </c>
      <c r="F82" s="16" t="str">
        <f t="shared" si="5"/>
        <v/>
      </c>
      <c r="G82" t="s">
        <v>926</v>
      </c>
    </row>
    <row r="83" spans="2:7" x14ac:dyDescent="0.25">
      <c r="B83" t="str">
        <f t="shared" si="6"/>
        <v/>
      </c>
      <c r="C83" s="16" t="str">
        <f t="shared" si="4"/>
        <v/>
      </c>
      <c r="D83" t="s">
        <v>926</v>
      </c>
      <c r="E83" t="str">
        <f t="shared" si="7"/>
        <v/>
      </c>
      <c r="F83" s="16" t="str">
        <f t="shared" si="5"/>
        <v/>
      </c>
      <c r="G83" t="s">
        <v>926</v>
      </c>
    </row>
    <row r="84" spans="2:7" x14ac:dyDescent="0.25">
      <c r="B84" t="str">
        <f t="shared" si="6"/>
        <v/>
      </c>
      <c r="C84" s="16" t="str">
        <f t="shared" si="4"/>
        <v/>
      </c>
      <c r="D84" t="s">
        <v>926</v>
      </c>
      <c r="E84" t="str">
        <f t="shared" si="7"/>
        <v/>
      </c>
      <c r="F84" s="16" t="str">
        <f t="shared" si="5"/>
        <v/>
      </c>
      <c r="G84" t="s">
        <v>926</v>
      </c>
    </row>
    <row r="85" spans="2:7" x14ac:dyDescent="0.25">
      <c r="B85" t="str">
        <f t="shared" si="6"/>
        <v/>
      </c>
      <c r="C85" s="16" t="str">
        <f t="shared" si="4"/>
        <v/>
      </c>
      <c r="D85" t="s">
        <v>926</v>
      </c>
      <c r="E85" t="str">
        <f t="shared" si="7"/>
        <v/>
      </c>
      <c r="F85" s="16" t="str">
        <f t="shared" si="5"/>
        <v/>
      </c>
      <c r="G85" t="s">
        <v>926</v>
      </c>
    </row>
    <row r="86" spans="2:7" x14ac:dyDescent="0.25">
      <c r="B86" t="str">
        <f t="shared" si="6"/>
        <v/>
      </c>
      <c r="C86" s="16" t="str">
        <f t="shared" si="4"/>
        <v/>
      </c>
      <c r="D86" t="s">
        <v>926</v>
      </c>
      <c r="E86" t="str">
        <f t="shared" si="7"/>
        <v/>
      </c>
      <c r="F86" s="16" t="str">
        <f t="shared" si="5"/>
        <v/>
      </c>
      <c r="G86" t="s">
        <v>926</v>
      </c>
    </row>
    <row r="87" spans="2:7" x14ac:dyDescent="0.25">
      <c r="B87" t="str">
        <f t="shared" si="6"/>
        <v/>
      </c>
      <c r="C87" s="16" t="str">
        <f t="shared" si="4"/>
        <v/>
      </c>
      <c r="D87" t="s">
        <v>926</v>
      </c>
      <c r="E87" t="str">
        <f t="shared" si="7"/>
        <v/>
      </c>
      <c r="F87" s="16" t="str">
        <f t="shared" si="5"/>
        <v/>
      </c>
      <c r="G87" t="s">
        <v>926</v>
      </c>
    </row>
    <row r="88" spans="2:7" x14ac:dyDescent="0.25">
      <c r="B88" t="str">
        <f t="shared" si="6"/>
        <v/>
      </c>
      <c r="C88" s="16" t="str">
        <f t="shared" si="4"/>
        <v/>
      </c>
      <c r="D88" t="s">
        <v>926</v>
      </c>
      <c r="E88" t="str">
        <f t="shared" si="7"/>
        <v/>
      </c>
      <c r="F88" s="16" t="str">
        <f t="shared" si="5"/>
        <v/>
      </c>
      <c r="G88" t="s">
        <v>926</v>
      </c>
    </row>
    <row r="89" spans="2:7" x14ac:dyDescent="0.25">
      <c r="B89" t="str">
        <f t="shared" si="6"/>
        <v/>
      </c>
      <c r="C89" s="16" t="str">
        <f t="shared" si="4"/>
        <v/>
      </c>
      <c r="D89" t="s">
        <v>926</v>
      </c>
      <c r="E89" t="str">
        <f t="shared" si="7"/>
        <v/>
      </c>
      <c r="F89" s="16" t="str">
        <f t="shared" si="5"/>
        <v/>
      </c>
      <c r="G89" t="s">
        <v>926</v>
      </c>
    </row>
    <row r="90" spans="2:7" x14ac:dyDescent="0.25">
      <c r="B90" t="str">
        <f t="shared" si="6"/>
        <v/>
      </c>
      <c r="C90" s="16" t="str">
        <f t="shared" si="4"/>
        <v/>
      </c>
      <c r="D90" t="s">
        <v>926</v>
      </c>
      <c r="E90" t="str">
        <f t="shared" si="7"/>
        <v/>
      </c>
      <c r="F90" s="16" t="str">
        <f t="shared" si="5"/>
        <v/>
      </c>
      <c r="G90" t="s">
        <v>926</v>
      </c>
    </row>
    <row r="91" spans="2:7" x14ac:dyDescent="0.25">
      <c r="B91" t="str">
        <f t="shared" si="6"/>
        <v/>
      </c>
      <c r="C91" s="16" t="str">
        <f t="shared" si="4"/>
        <v/>
      </c>
      <c r="D91" t="s">
        <v>926</v>
      </c>
      <c r="E91" t="str">
        <f t="shared" si="7"/>
        <v/>
      </c>
      <c r="F91" s="16" t="str">
        <f t="shared" si="5"/>
        <v/>
      </c>
      <c r="G91" t="s">
        <v>926</v>
      </c>
    </row>
    <row r="92" spans="2:7" x14ac:dyDescent="0.25">
      <c r="B92" t="str">
        <f t="shared" si="6"/>
        <v/>
      </c>
      <c r="C92" s="16" t="str">
        <f t="shared" si="4"/>
        <v/>
      </c>
      <c r="D92" t="s">
        <v>926</v>
      </c>
      <c r="E92" t="str">
        <f t="shared" si="7"/>
        <v/>
      </c>
      <c r="F92" s="16" t="str">
        <f t="shared" si="5"/>
        <v/>
      </c>
      <c r="G92" t="s">
        <v>926</v>
      </c>
    </row>
    <row r="93" spans="2:7" x14ac:dyDescent="0.25">
      <c r="B93" t="str">
        <f t="shared" si="6"/>
        <v/>
      </c>
      <c r="C93" s="16" t="str">
        <f t="shared" si="4"/>
        <v/>
      </c>
      <c r="D93" t="s">
        <v>926</v>
      </c>
      <c r="E93" t="str">
        <f t="shared" si="7"/>
        <v/>
      </c>
      <c r="F93" s="16" t="str">
        <f t="shared" si="5"/>
        <v/>
      </c>
      <c r="G93" t="s">
        <v>926</v>
      </c>
    </row>
    <row r="94" spans="2:7" x14ac:dyDescent="0.25">
      <c r="B94" t="str">
        <f t="shared" si="6"/>
        <v/>
      </c>
      <c r="C94" s="16" t="str">
        <f t="shared" si="4"/>
        <v/>
      </c>
      <c r="D94" t="s">
        <v>926</v>
      </c>
      <c r="E94" t="str">
        <f t="shared" si="7"/>
        <v/>
      </c>
      <c r="F94" s="16" t="str">
        <f t="shared" si="5"/>
        <v/>
      </c>
      <c r="G94" t="s">
        <v>926</v>
      </c>
    </row>
    <row r="95" spans="2:7" x14ac:dyDescent="0.25">
      <c r="B95" t="str">
        <f t="shared" si="6"/>
        <v/>
      </c>
      <c r="C95" s="16" t="str">
        <f t="shared" si="4"/>
        <v/>
      </c>
      <c r="D95" t="s">
        <v>926</v>
      </c>
      <c r="E95" t="str">
        <f t="shared" si="7"/>
        <v/>
      </c>
      <c r="F95" s="16" t="str">
        <f t="shared" si="5"/>
        <v/>
      </c>
      <c r="G95" t="s">
        <v>926</v>
      </c>
    </row>
    <row r="96" spans="2:7" x14ac:dyDescent="0.25">
      <c r="B96" t="str">
        <f t="shared" si="6"/>
        <v/>
      </c>
      <c r="C96" s="16" t="str">
        <f t="shared" si="4"/>
        <v/>
      </c>
      <c r="D96" t="s">
        <v>926</v>
      </c>
      <c r="E96" t="str">
        <f t="shared" si="7"/>
        <v/>
      </c>
      <c r="F96" s="16" t="str">
        <f t="shared" si="5"/>
        <v/>
      </c>
      <c r="G96" t="s">
        <v>926</v>
      </c>
    </row>
    <row r="97" spans="2:7" x14ac:dyDescent="0.25">
      <c r="B97" t="str">
        <f t="shared" si="6"/>
        <v/>
      </c>
      <c r="C97" s="16" t="str">
        <f t="shared" si="4"/>
        <v/>
      </c>
      <c r="D97" t="s">
        <v>926</v>
      </c>
      <c r="E97" t="str">
        <f t="shared" si="7"/>
        <v/>
      </c>
      <c r="F97" s="16" t="str">
        <f t="shared" si="5"/>
        <v/>
      </c>
      <c r="G97" t="s">
        <v>926</v>
      </c>
    </row>
    <row r="98" spans="2:7" x14ac:dyDescent="0.25">
      <c r="B98" t="str">
        <f t="shared" si="6"/>
        <v/>
      </c>
      <c r="C98" s="16" t="str">
        <f t="shared" si="4"/>
        <v/>
      </c>
      <c r="D98" t="s">
        <v>926</v>
      </c>
      <c r="E98" t="str">
        <f t="shared" si="7"/>
        <v/>
      </c>
      <c r="F98" s="16" t="str">
        <f t="shared" si="5"/>
        <v/>
      </c>
      <c r="G98" t="s">
        <v>926</v>
      </c>
    </row>
    <row r="99" spans="2:7" x14ac:dyDescent="0.25">
      <c r="B99" t="str">
        <f t="shared" si="6"/>
        <v/>
      </c>
      <c r="C99" s="16" t="str">
        <f t="shared" si="4"/>
        <v/>
      </c>
      <c r="D99" t="s">
        <v>926</v>
      </c>
      <c r="E99" t="str">
        <f t="shared" si="7"/>
        <v/>
      </c>
      <c r="F99" s="16" t="str">
        <f t="shared" si="5"/>
        <v/>
      </c>
      <c r="G99" t="s">
        <v>926</v>
      </c>
    </row>
    <row r="100" spans="2:7" x14ac:dyDescent="0.25">
      <c r="B100" t="str">
        <f t="shared" si="6"/>
        <v/>
      </c>
      <c r="C100" s="16" t="str">
        <f t="shared" si="4"/>
        <v/>
      </c>
      <c r="D100" t="s">
        <v>926</v>
      </c>
      <c r="E100" t="str">
        <f t="shared" si="7"/>
        <v/>
      </c>
      <c r="F100" s="16" t="str">
        <f t="shared" si="5"/>
        <v/>
      </c>
      <c r="G100" t="s">
        <v>926</v>
      </c>
    </row>
    <row r="101" spans="2:7" x14ac:dyDescent="0.25">
      <c r="B101" t="str">
        <f t="shared" si="6"/>
        <v/>
      </c>
      <c r="C101" s="16" t="str">
        <f t="shared" si="4"/>
        <v/>
      </c>
      <c r="D101" t="s">
        <v>926</v>
      </c>
      <c r="E101" t="str">
        <f t="shared" si="7"/>
        <v/>
      </c>
      <c r="F101" s="16" t="str">
        <f t="shared" si="5"/>
        <v/>
      </c>
      <c r="G101" t="s">
        <v>926</v>
      </c>
    </row>
    <row r="102" spans="2:7" x14ac:dyDescent="0.25">
      <c r="B102" t="str">
        <f t="shared" si="6"/>
        <v/>
      </c>
      <c r="C102" s="16" t="str">
        <f t="shared" si="4"/>
        <v/>
      </c>
      <c r="D102" t="s">
        <v>926</v>
      </c>
      <c r="E102" t="str">
        <f t="shared" si="7"/>
        <v/>
      </c>
      <c r="F102" s="16" t="str">
        <f t="shared" si="5"/>
        <v/>
      </c>
      <c r="G102" t="s">
        <v>926</v>
      </c>
    </row>
    <row r="103" spans="2:7" x14ac:dyDescent="0.25">
      <c r="B103" t="str">
        <f t="shared" si="6"/>
        <v/>
      </c>
      <c r="C103" s="16" t="str">
        <f t="shared" si="4"/>
        <v/>
      </c>
      <c r="D103" t="s">
        <v>926</v>
      </c>
      <c r="E103" t="str">
        <f t="shared" si="7"/>
        <v/>
      </c>
      <c r="F103" s="16" t="str">
        <f t="shared" si="5"/>
        <v/>
      </c>
      <c r="G103" t="s">
        <v>926</v>
      </c>
    </row>
    <row r="104" spans="2:7" x14ac:dyDescent="0.25">
      <c r="B104" t="str">
        <f t="shared" si="6"/>
        <v/>
      </c>
      <c r="C104" s="16" t="str">
        <f t="shared" si="4"/>
        <v/>
      </c>
      <c r="D104" t="s">
        <v>926</v>
      </c>
      <c r="E104" t="str">
        <f t="shared" si="7"/>
        <v/>
      </c>
      <c r="F104" s="16" t="str">
        <f t="shared" si="5"/>
        <v/>
      </c>
      <c r="G104" t="s">
        <v>926</v>
      </c>
    </row>
    <row r="105" spans="2:7" x14ac:dyDescent="0.25">
      <c r="B105" t="str">
        <f t="shared" si="6"/>
        <v/>
      </c>
      <c r="C105" s="16" t="str">
        <f t="shared" si="4"/>
        <v/>
      </c>
      <c r="D105" t="s">
        <v>926</v>
      </c>
      <c r="E105" t="str">
        <f t="shared" si="7"/>
        <v/>
      </c>
      <c r="F105" s="16" t="str">
        <f t="shared" si="5"/>
        <v/>
      </c>
      <c r="G105" t="s">
        <v>926</v>
      </c>
    </row>
    <row r="106" spans="2:7" x14ac:dyDescent="0.25">
      <c r="B106" t="str">
        <f t="shared" si="6"/>
        <v/>
      </c>
      <c r="C106" s="16" t="str">
        <f t="shared" si="4"/>
        <v/>
      </c>
      <c r="D106" t="s">
        <v>926</v>
      </c>
      <c r="E106" t="str">
        <f t="shared" si="7"/>
        <v/>
      </c>
      <c r="F106" s="16" t="str">
        <f t="shared" si="5"/>
        <v/>
      </c>
      <c r="G106" t="s">
        <v>926</v>
      </c>
    </row>
    <row r="107" spans="2:7" x14ac:dyDescent="0.25">
      <c r="B107" t="str">
        <f t="shared" si="6"/>
        <v/>
      </c>
      <c r="C107" s="16" t="str">
        <f t="shared" si="4"/>
        <v/>
      </c>
      <c r="D107" t="s">
        <v>926</v>
      </c>
      <c r="E107" t="str">
        <f t="shared" si="7"/>
        <v/>
      </c>
      <c r="F107" s="16" t="str">
        <f t="shared" si="5"/>
        <v/>
      </c>
      <c r="G107" t="s">
        <v>926</v>
      </c>
    </row>
    <row r="108" spans="2:7" x14ac:dyDescent="0.25">
      <c r="B108" t="str">
        <f t="shared" si="6"/>
        <v/>
      </c>
      <c r="C108" s="16" t="str">
        <f t="shared" si="4"/>
        <v/>
      </c>
      <c r="D108" t="s">
        <v>926</v>
      </c>
      <c r="E108" t="str">
        <f t="shared" si="7"/>
        <v/>
      </c>
      <c r="F108" s="16" t="str">
        <f t="shared" si="5"/>
        <v/>
      </c>
      <c r="G108" t="s">
        <v>926</v>
      </c>
    </row>
    <row r="109" spans="2:7" x14ac:dyDescent="0.25">
      <c r="B109" t="str">
        <f t="shared" si="6"/>
        <v/>
      </c>
      <c r="C109" s="16" t="str">
        <f t="shared" si="4"/>
        <v/>
      </c>
      <c r="D109" t="s">
        <v>926</v>
      </c>
      <c r="E109" t="str">
        <f t="shared" si="7"/>
        <v/>
      </c>
      <c r="F109" s="16" t="str">
        <f t="shared" si="5"/>
        <v/>
      </c>
      <c r="G109" t="s">
        <v>926</v>
      </c>
    </row>
    <row r="110" spans="2:7" x14ac:dyDescent="0.25">
      <c r="B110" t="str">
        <f t="shared" si="6"/>
        <v/>
      </c>
      <c r="C110" s="16" t="str">
        <f t="shared" si="4"/>
        <v/>
      </c>
      <c r="D110" t="s">
        <v>926</v>
      </c>
      <c r="E110" t="str">
        <f t="shared" si="7"/>
        <v/>
      </c>
      <c r="F110" s="16" t="str">
        <f t="shared" si="5"/>
        <v/>
      </c>
      <c r="G110" t="s">
        <v>926</v>
      </c>
    </row>
    <row r="111" spans="2:7" x14ac:dyDescent="0.25">
      <c r="B111" t="str">
        <f t="shared" si="6"/>
        <v/>
      </c>
      <c r="C111" s="16" t="str">
        <f t="shared" si="4"/>
        <v/>
      </c>
      <c r="D111" t="s">
        <v>926</v>
      </c>
      <c r="E111" t="str">
        <f t="shared" si="7"/>
        <v/>
      </c>
      <c r="F111" s="16" t="str">
        <f t="shared" si="5"/>
        <v/>
      </c>
      <c r="G111" t="s">
        <v>926</v>
      </c>
    </row>
    <row r="112" spans="2:7" x14ac:dyDescent="0.25">
      <c r="B112" t="str">
        <f t="shared" si="6"/>
        <v/>
      </c>
      <c r="C112" s="16" t="str">
        <f t="shared" si="4"/>
        <v/>
      </c>
      <c r="D112" t="s">
        <v>926</v>
      </c>
      <c r="E112" t="str">
        <f t="shared" si="7"/>
        <v/>
      </c>
      <c r="F112" s="16" t="str">
        <f t="shared" si="5"/>
        <v/>
      </c>
      <c r="G112" t="s">
        <v>926</v>
      </c>
    </row>
    <row r="113" spans="2:7" x14ac:dyDescent="0.25">
      <c r="B113" t="str">
        <f t="shared" si="6"/>
        <v/>
      </c>
      <c r="C113" s="16" t="str">
        <f t="shared" si="4"/>
        <v/>
      </c>
      <c r="D113" t="s">
        <v>926</v>
      </c>
      <c r="E113" t="str">
        <f t="shared" si="7"/>
        <v/>
      </c>
      <c r="F113" s="16" t="str">
        <f t="shared" si="5"/>
        <v/>
      </c>
      <c r="G113" t="s">
        <v>926</v>
      </c>
    </row>
    <row r="114" spans="2:7" x14ac:dyDescent="0.25">
      <c r="B114" t="str">
        <f t="shared" si="6"/>
        <v/>
      </c>
      <c r="C114" s="16" t="str">
        <f t="shared" si="4"/>
        <v/>
      </c>
      <c r="D114" t="s">
        <v>926</v>
      </c>
      <c r="E114" t="str">
        <f t="shared" si="7"/>
        <v/>
      </c>
      <c r="F114" s="16" t="str">
        <f t="shared" si="5"/>
        <v/>
      </c>
      <c r="G114" t="s">
        <v>926</v>
      </c>
    </row>
    <row r="115" spans="2:7" x14ac:dyDescent="0.25">
      <c r="B115" t="str">
        <f t="shared" si="6"/>
        <v/>
      </c>
      <c r="C115" s="16" t="str">
        <f t="shared" si="4"/>
        <v/>
      </c>
      <c r="D115" t="s">
        <v>926</v>
      </c>
      <c r="E115" t="str">
        <f t="shared" si="7"/>
        <v/>
      </c>
      <c r="F115" s="16" t="str">
        <f t="shared" si="5"/>
        <v/>
      </c>
      <c r="G115" t="s">
        <v>926</v>
      </c>
    </row>
    <row r="116" spans="2:7" x14ac:dyDescent="0.25">
      <c r="B116" t="str">
        <f t="shared" si="6"/>
        <v/>
      </c>
      <c r="C116" s="16" t="str">
        <f t="shared" si="4"/>
        <v/>
      </c>
      <c r="D116" t="s">
        <v>926</v>
      </c>
      <c r="E116" t="str">
        <f t="shared" si="7"/>
        <v/>
      </c>
      <c r="F116" s="16" t="str">
        <f t="shared" si="5"/>
        <v/>
      </c>
      <c r="G116" t="s">
        <v>926</v>
      </c>
    </row>
    <row r="117" spans="2:7" x14ac:dyDescent="0.25">
      <c r="B117" t="str">
        <f t="shared" si="6"/>
        <v/>
      </c>
      <c r="C117" s="16" t="str">
        <f t="shared" si="4"/>
        <v/>
      </c>
      <c r="D117" t="s">
        <v>926</v>
      </c>
      <c r="E117" t="str">
        <f t="shared" si="7"/>
        <v/>
      </c>
      <c r="F117" s="16" t="str">
        <f t="shared" si="5"/>
        <v/>
      </c>
      <c r="G117" t="s">
        <v>926</v>
      </c>
    </row>
    <row r="118" spans="2:7" x14ac:dyDescent="0.25">
      <c r="B118" t="str">
        <f t="shared" si="6"/>
        <v/>
      </c>
      <c r="C118" s="16" t="str">
        <f t="shared" si="4"/>
        <v/>
      </c>
      <c r="D118" t="s">
        <v>926</v>
      </c>
      <c r="E118" t="str">
        <f t="shared" si="7"/>
        <v/>
      </c>
      <c r="F118" s="16" t="str">
        <f t="shared" si="5"/>
        <v/>
      </c>
      <c r="G118" t="s">
        <v>926</v>
      </c>
    </row>
    <row r="119" spans="2:7" x14ac:dyDescent="0.25">
      <c r="B119" t="str">
        <f t="shared" si="6"/>
        <v/>
      </c>
      <c r="C119" s="16" t="str">
        <f t="shared" si="4"/>
        <v/>
      </c>
      <c r="D119" t="s">
        <v>926</v>
      </c>
      <c r="E119" t="str">
        <f t="shared" si="7"/>
        <v/>
      </c>
      <c r="F119" s="16" t="str">
        <f t="shared" si="5"/>
        <v/>
      </c>
      <c r="G119" t="s">
        <v>926</v>
      </c>
    </row>
    <row r="120" spans="2:7" x14ac:dyDescent="0.25">
      <c r="B120" t="str">
        <f t="shared" si="6"/>
        <v/>
      </c>
      <c r="C120" s="16" t="str">
        <f t="shared" si="4"/>
        <v/>
      </c>
      <c r="D120" t="s">
        <v>926</v>
      </c>
      <c r="E120" t="str">
        <f t="shared" si="7"/>
        <v/>
      </c>
      <c r="F120" s="16" t="str">
        <f t="shared" si="5"/>
        <v/>
      </c>
      <c r="G120" t="s">
        <v>926</v>
      </c>
    </row>
    <row r="121" spans="2:7" x14ac:dyDescent="0.25">
      <c r="B121" t="str">
        <f t="shared" si="6"/>
        <v/>
      </c>
      <c r="C121" s="16" t="str">
        <f t="shared" si="4"/>
        <v/>
      </c>
      <c r="D121" t="s">
        <v>926</v>
      </c>
      <c r="E121" t="str">
        <f t="shared" si="7"/>
        <v/>
      </c>
      <c r="F121" s="16" t="str">
        <f t="shared" si="5"/>
        <v/>
      </c>
      <c r="G121" t="s">
        <v>926</v>
      </c>
    </row>
    <row r="122" spans="2:7" x14ac:dyDescent="0.25">
      <c r="B122" t="str">
        <f t="shared" si="6"/>
        <v/>
      </c>
      <c r="C122" s="16" t="str">
        <f t="shared" si="4"/>
        <v/>
      </c>
      <c r="D122" t="s">
        <v>926</v>
      </c>
      <c r="E122" t="str">
        <f t="shared" si="7"/>
        <v/>
      </c>
      <c r="F122" s="16" t="str">
        <f t="shared" si="5"/>
        <v/>
      </c>
      <c r="G122" t="s">
        <v>926</v>
      </c>
    </row>
    <row r="123" spans="2:7" x14ac:dyDescent="0.25">
      <c r="B123" t="str">
        <f t="shared" si="6"/>
        <v/>
      </c>
      <c r="C123" s="16" t="str">
        <f t="shared" si="4"/>
        <v/>
      </c>
      <c r="D123" t="s">
        <v>926</v>
      </c>
      <c r="E123" t="str">
        <f t="shared" si="7"/>
        <v/>
      </c>
      <c r="F123" s="16" t="str">
        <f t="shared" si="5"/>
        <v/>
      </c>
      <c r="G123" t="s">
        <v>926</v>
      </c>
    </row>
    <row r="124" spans="2:7" x14ac:dyDescent="0.25">
      <c r="B124" t="str">
        <f t="shared" si="6"/>
        <v/>
      </c>
      <c r="C124" s="16" t="str">
        <f t="shared" si="4"/>
        <v/>
      </c>
      <c r="D124" t="s">
        <v>926</v>
      </c>
      <c r="E124" t="str">
        <f t="shared" si="7"/>
        <v/>
      </c>
      <c r="F124" s="16" t="str">
        <f t="shared" si="5"/>
        <v/>
      </c>
      <c r="G124" t="s">
        <v>926</v>
      </c>
    </row>
    <row r="125" spans="2:7" x14ac:dyDescent="0.25">
      <c r="B125" t="str">
        <f t="shared" si="6"/>
        <v/>
      </c>
      <c r="C125" s="16" t="str">
        <f t="shared" si="4"/>
        <v/>
      </c>
      <c r="D125" t="s">
        <v>926</v>
      </c>
      <c r="E125" t="str">
        <f t="shared" si="7"/>
        <v/>
      </c>
      <c r="F125" s="16" t="str">
        <f t="shared" si="5"/>
        <v/>
      </c>
      <c r="G125" t="s">
        <v>926</v>
      </c>
    </row>
    <row r="126" spans="2:7" x14ac:dyDescent="0.25">
      <c r="B126" t="str">
        <f t="shared" si="6"/>
        <v/>
      </c>
      <c r="C126" s="16" t="str">
        <f t="shared" si="4"/>
        <v/>
      </c>
      <c r="D126" t="s">
        <v>926</v>
      </c>
      <c r="E126" t="str">
        <f t="shared" si="7"/>
        <v/>
      </c>
      <c r="F126" s="16" t="str">
        <f t="shared" si="5"/>
        <v/>
      </c>
      <c r="G126" t="s">
        <v>926</v>
      </c>
    </row>
    <row r="127" spans="2:7" x14ac:dyDescent="0.25">
      <c r="B127" t="str">
        <f t="shared" si="6"/>
        <v/>
      </c>
      <c r="C127" s="16" t="str">
        <f t="shared" si="4"/>
        <v/>
      </c>
      <c r="D127" t="s">
        <v>926</v>
      </c>
      <c r="E127" t="str">
        <f t="shared" si="7"/>
        <v/>
      </c>
      <c r="F127" s="16" t="str">
        <f t="shared" si="5"/>
        <v/>
      </c>
      <c r="G127" t="s">
        <v>926</v>
      </c>
    </row>
    <row r="128" spans="2:7" x14ac:dyDescent="0.25">
      <c r="B128" t="str">
        <f t="shared" si="6"/>
        <v/>
      </c>
      <c r="C128" s="16" t="str">
        <f t="shared" si="4"/>
        <v/>
      </c>
      <c r="D128" t="s">
        <v>926</v>
      </c>
      <c r="E128" t="str">
        <f t="shared" si="7"/>
        <v/>
      </c>
      <c r="F128" s="16" t="str">
        <f t="shared" si="5"/>
        <v/>
      </c>
      <c r="G128" t="s">
        <v>926</v>
      </c>
    </row>
    <row r="129" spans="2:7" x14ac:dyDescent="0.25">
      <c r="B129" t="str">
        <f t="shared" si="6"/>
        <v/>
      </c>
      <c r="C129" s="16" t="str">
        <f t="shared" si="4"/>
        <v/>
      </c>
      <c r="D129" t="s">
        <v>926</v>
      </c>
      <c r="E129" t="str">
        <f t="shared" si="7"/>
        <v/>
      </c>
      <c r="F129" s="16" t="str">
        <f t="shared" si="5"/>
        <v/>
      </c>
      <c r="G129" t="s">
        <v>926</v>
      </c>
    </row>
    <row r="130" spans="2:7" x14ac:dyDescent="0.25">
      <c r="B130" t="str">
        <f t="shared" si="6"/>
        <v/>
      </c>
      <c r="C130" s="16" t="str">
        <f t="shared" si="4"/>
        <v/>
      </c>
      <c r="D130" t="s">
        <v>926</v>
      </c>
      <c r="E130" t="str">
        <f t="shared" si="7"/>
        <v/>
      </c>
      <c r="F130" s="16" t="str">
        <f t="shared" si="5"/>
        <v/>
      </c>
      <c r="G130" t="s">
        <v>926</v>
      </c>
    </row>
    <row r="131" spans="2:7" x14ac:dyDescent="0.25">
      <c r="B131" t="str">
        <f t="shared" si="6"/>
        <v/>
      </c>
      <c r="C131" s="16" t="str">
        <f t="shared" ref="C131:C194" si="8">IF(ISERROR(VLOOKUP(B131,ImpComp,2,FALSE)),"",VLOOKUP(B131,ImpComp,2,FALSE))</f>
        <v/>
      </c>
      <c r="D131" t="s">
        <v>926</v>
      </c>
      <c r="E131" t="str">
        <f t="shared" si="7"/>
        <v/>
      </c>
      <c r="F131" s="16" t="str">
        <f t="shared" ref="F131:F194" si="9" xml:space="preserve"> IF(ISERROR(VLOOKUP(E131,Imp_IVA1,2,FALSE)),"",VLOOKUP(E131,Imp_IVA1,2,FALSE))&amp; IF(ISERROR(VLOOKUP(E131,Imp_IVA2,2,FALSE)),"",VLOOKUP(E131,Imp_IVA2,2,FALSE))</f>
        <v/>
      </c>
      <c r="G131" t="s">
        <v>926</v>
      </c>
    </row>
    <row r="132" spans="2:7" x14ac:dyDescent="0.25">
      <c r="B132" t="str">
        <f t="shared" si="6"/>
        <v/>
      </c>
      <c r="C132" s="16" t="str">
        <f t="shared" si="8"/>
        <v/>
      </c>
      <c r="D132" t="s">
        <v>926</v>
      </c>
      <c r="E132" t="str">
        <f t="shared" si="7"/>
        <v/>
      </c>
      <c r="F132" s="16" t="str">
        <f t="shared" si="9"/>
        <v/>
      </c>
      <c r="G132" t="s">
        <v>926</v>
      </c>
    </row>
    <row r="133" spans="2:7" x14ac:dyDescent="0.25">
      <c r="B133" t="str">
        <f t="shared" ref="B133:B196" si="10">IF(OR(B132=$B$2,B132=""),"",B132+1)</f>
        <v/>
      </c>
      <c r="C133" s="16" t="str">
        <f t="shared" si="8"/>
        <v/>
      </c>
      <c r="D133" t="s">
        <v>926</v>
      </c>
      <c r="E133" t="str">
        <f t="shared" ref="E133:E196" si="11">IF(OR(E132=$E$2,E132=""),"",E132+1)</f>
        <v/>
      </c>
      <c r="F133" s="16" t="str">
        <f t="shared" si="9"/>
        <v/>
      </c>
      <c r="G133" t="s">
        <v>926</v>
      </c>
    </row>
    <row r="134" spans="2:7" x14ac:dyDescent="0.25">
      <c r="B134" t="str">
        <f t="shared" si="10"/>
        <v/>
      </c>
      <c r="C134" s="16" t="str">
        <f t="shared" si="8"/>
        <v/>
      </c>
      <c r="D134" t="s">
        <v>926</v>
      </c>
      <c r="E134" t="str">
        <f t="shared" si="11"/>
        <v/>
      </c>
      <c r="F134" s="16" t="str">
        <f t="shared" si="9"/>
        <v/>
      </c>
      <c r="G134" t="s">
        <v>926</v>
      </c>
    </row>
    <row r="135" spans="2:7" x14ac:dyDescent="0.25">
      <c r="B135" t="str">
        <f t="shared" si="10"/>
        <v/>
      </c>
      <c r="C135" s="16" t="str">
        <f t="shared" si="8"/>
        <v/>
      </c>
      <c r="D135" t="s">
        <v>926</v>
      </c>
      <c r="E135" t="str">
        <f t="shared" si="11"/>
        <v/>
      </c>
      <c r="F135" s="16" t="str">
        <f t="shared" si="9"/>
        <v/>
      </c>
      <c r="G135" t="s">
        <v>926</v>
      </c>
    </row>
    <row r="136" spans="2:7" x14ac:dyDescent="0.25">
      <c r="B136" t="str">
        <f t="shared" si="10"/>
        <v/>
      </c>
      <c r="C136" s="16" t="str">
        <f t="shared" si="8"/>
        <v/>
      </c>
      <c r="D136" t="s">
        <v>926</v>
      </c>
      <c r="E136" t="str">
        <f t="shared" si="11"/>
        <v/>
      </c>
      <c r="F136" s="16" t="str">
        <f t="shared" si="9"/>
        <v/>
      </c>
      <c r="G136" t="s">
        <v>926</v>
      </c>
    </row>
    <row r="137" spans="2:7" x14ac:dyDescent="0.25">
      <c r="B137" t="str">
        <f t="shared" si="10"/>
        <v/>
      </c>
      <c r="C137" s="16" t="str">
        <f t="shared" si="8"/>
        <v/>
      </c>
      <c r="D137" t="s">
        <v>926</v>
      </c>
      <c r="E137" t="str">
        <f t="shared" si="11"/>
        <v/>
      </c>
      <c r="F137" s="16" t="str">
        <f t="shared" si="9"/>
        <v/>
      </c>
      <c r="G137" t="s">
        <v>926</v>
      </c>
    </row>
    <row r="138" spans="2:7" x14ac:dyDescent="0.25">
      <c r="B138" t="str">
        <f t="shared" si="10"/>
        <v/>
      </c>
      <c r="C138" s="16" t="str">
        <f t="shared" si="8"/>
        <v/>
      </c>
      <c r="D138" t="s">
        <v>926</v>
      </c>
      <c r="E138" t="str">
        <f t="shared" si="11"/>
        <v/>
      </c>
      <c r="F138" s="16" t="str">
        <f t="shared" si="9"/>
        <v/>
      </c>
      <c r="G138" t="s">
        <v>926</v>
      </c>
    </row>
    <row r="139" spans="2:7" x14ac:dyDescent="0.25">
      <c r="B139" t="str">
        <f t="shared" si="10"/>
        <v/>
      </c>
      <c r="C139" s="16" t="str">
        <f t="shared" si="8"/>
        <v/>
      </c>
      <c r="D139" t="s">
        <v>926</v>
      </c>
      <c r="E139" t="str">
        <f t="shared" si="11"/>
        <v/>
      </c>
      <c r="F139" s="16" t="str">
        <f t="shared" si="9"/>
        <v/>
      </c>
      <c r="G139" t="s">
        <v>926</v>
      </c>
    </row>
    <row r="140" spans="2:7" x14ac:dyDescent="0.25">
      <c r="B140" t="str">
        <f t="shared" si="10"/>
        <v/>
      </c>
      <c r="C140" s="16" t="str">
        <f t="shared" si="8"/>
        <v/>
      </c>
      <c r="D140" t="s">
        <v>926</v>
      </c>
      <c r="E140" t="str">
        <f t="shared" si="11"/>
        <v/>
      </c>
      <c r="F140" s="16" t="str">
        <f t="shared" si="9"/>
        <v/>
      </c>
      <c r="G140" t="s">
        <v>926</v>
      </c>
    </row>
    <row r="141" spans="2:7" x14ac:dyDescent="0.25">
      <c r="B141" t="str">
        <f t="shared" si="10"/>
        <v/>
      </c>
      <c r="C141" s="16" t="str">
        <f t="shared" si="8"/>
        <v/>
      </c>
      <c r="D141" t="s">
        <v>926</v>
      </c>
      <c r="E141" t="str">
        <f t="shared" si="11"/>
        <v/>
      </c>
      <c r="F141" s="16" t="str">
        <f t="shared" si="9"/>
        <v/>
      </c>
      <c r="G141" t="s">
        <v>926</v>
      </c>
    </row>
    <row r="142" spans="2:7" x14ac:dyDescent="0.25">
      <c r="B142" t="str">
        <f t="shared" si="10"/>
        <v/>
      </c>
      <c r="C142" s="16" t="str">
        <f t="shared" si="8"/>
        <v/>
      </c>
      <c r="D142" t="s">
        <v>926</v>
      </c>
      <c r="E142" t="str">
        <f t="shared" si="11"/>
        <v/>
      </c>
      <c r="F142" s="16" t="str">
        <f t="shared" si="9"/>
        <v/>
      </c>
      <c r="G142" t="s">
        <v>926</v>
      </c>
    </row>
    <row r="143" spans="2:7" x14ac:dyDescent="0.25">
      <c r="B143" t="str">
        <f t="shared" si="10"/>
        <v/>
      </c>
      <c r="C143" s="16" t="str">
        <f t="shared" si="8"/>
        <v/>
      </c>
      <c r="D143" t="s">
        <v>926</v>
      </c>
      <c r="E143" t="str">
        <f t="shared" si="11"/>
        <v/>
      </c>
      <c r="F143" s="16" t="str">
        <f t="shared" si="9"/>
        <v/>
      </c>
      <c r="G143" t="s">
        <v>926</v>
      </c>
    </row>
    <row r="144" spans="2:7" x14ac:dyDescent="0.25">
      <c r="B144" t="str">
        <f t="shared" si="10"/>
        <v/>
      </c>
      <c r="C144" s="16" t="str">
        <f t="shared" si="8"/>
        <v/>
      </c>
      <c r="D144" t="s">
        <v>926</v>
      </c>
      <c r="E144" t="str">
        <f t="shared" si="11"/>
        <v/>
      </c>
      <c r="F144" s="16" t="str">
        <f t="shared" si="9"/>
        <v/>
      </c>
      <c r="G144" t="s">
        <v>926</v>
      </c>
    </row>
    <row r="145" spans="2:7" x14ac:dyDescent="0.25">
      <c r="B145" t="str">
        <f t="shared" si="10"/>
        <v/>
      </c>
      <c r="C145" s="16" t="str">
        <f t="shared" si="8"/>
        <v/>
      </c>
      <c r="D145" t="s">
        <v>926</v>
      </c>
      <c r="E145" t="str">
        <f t="shared" si="11"/>
        <v/>
      </c>
      <c r="F145" s="16" t="str">
        <f t="shared" si="9"/>
        <v/>
      </c>
      <c r="G145" t="s">
        <v>926</v>
      </c>
    </row>
    <row r="146" spans="2:7" x14ac:dyDescent="0.25">
      <c r="B146" t="str">
        <f t="shared" si="10"/>
        <v/>
      </c>
      <c r="C146" s="16" t="str">
        <f t="shared" si="8"/>
        <v/>
      </c>
      <c r="D146" t="s">
        <v>926</v>
      </c>
      <c r="E146" t="str">
        <f t="shared" si="11"/>
        <v/>
      </c>
      <c r="F146" s="16" t="str">
        <f t="shared" si="9"/>
        <v/>
      </c>
      <c r="G146" t="s">
        <v>926</v>
      </c>
    </row>
    <row r="147" spans="2:7" x14ac:dyDescent="0.25">
      <c r="B147" t="str">
        <f t="shared" si="10"/>
        <v/>
      </c>
      <c r="C147" s="16" t="str">
        <f t="shared" si="8"/>
        <v/>
      </c>
      <c r="D147" t="s">
        <v>926</v>
      </c>
      <c r="E147" t="str">
        <f t="shared" si="11"/>
        <v/>
      </c>
      <c r="F147" s="16" t="str">
        <f t="shared" si="9"/>
        <v/>
      </c>
      <c r="G147" t="s">
        <v>926</v>
      </c>
    </row>
    <row r="148" spans="2:7" x14ac:dyDescent="0.25">
      <c r="B148" t="str">
        <f t="shared" si="10"/>
        <v/>
      </c>
      <c r="C148" s="16" t="str">
        <f t="shared" si="8"/>
        <v/>
      </c>
      <c r="D148" t="s">
        <v>926</v>
      </c>
      <c r="E148" t="str">
        <f t="shared" si="11"/>
        <v/>
      </c>
      <c r="F148" s="16" t="str">
        <f t="shared" si="9"/>
        <v/>
      </c>
      <c r="G148" t="s">
        <v>926</v>
      </c>
    </row>
    <row r="149" spans="2:7" x14ac:dyDescent="0.25">
      <c r="B149" t="str">
        <f t="shared" si="10"/>
        <v/>
      </c>
      <c r="C149" s="16" t="str">
        <f t="shared" si="8"/>
        <v/>
      </c>
      <c r="D149" t="s">
        <v>926</v>
      </c>
      <c r="E149" t="str">
        <f t="shared" si="11"/>
        <v/>
      </c>
      <c r="F149" s="16" t="str">
        <f t="shared" si="9"/>
        <v/>
      </c>
      <c r="G149" t="s">
        <v>926</v>
      </c>
    </row>
    <row r="150" spans="2:7" x14ac:dyDescent="0.25">
      <c r="B150" t="str">
        <f t="shared" si="10"/>
        <v/>
      </c>
      <c r="C150" s="16" t="str">
        <f t="shared" si="8"/>
        <v/>
      </c>
      <c r="D150" t="s">
        <v>926</v>
      </c>
      <c r="E150" t="str">
        <f t="shared" si="11"/>
        <v/>
      </c>
      <c r="F150" s="16" t="str">
        <f t="shared" si="9"/>
        <v/>
      </c>
      <c r="G150" t="s">
        <v>926</v>
      </c>
    </row>
    <row r="151" spans="2:7" x14ac:dyDescent="0.25">
      <c r="B151" t="str">
        <f t="shared" si="10"/>
        <v/>
      </c>
      <c r="C151" s="16" t="str">
        <f t="shared" si="8"/>
        <v/>
      </c>
      <c r="D151" t="s">
        <v>926</v>
      </c>
      <c r="E151" t="str">
        <f t="shared" si="11"/>
        <v/>
      </c>
      <c r="F151" s="16" t="str">
        <f t="shared" si="9"/>
        <v/>
      </c>
      <c r="G151" t="s">
        <v>926</v>
      </c>
    </row>
    <row r="152" spans="2:7" x14ac:dyDescent="0.25">
      <c r="B152" t="str">
        <f t="shared" si="10"/>
        <v/>
      </c>
      <c r="C152" s="16" t="str">
        <f t="shared" si="8"/>
        <v/>
      </c>
      <c r="D152" t="s">
        <v>926</v>
      </c>
      <c r="E152" t="str">
        <f t="shared" si="11"/>
        <v/>
      </c>
      <c r="F152" s="16" t="str">
        <f t="shared" si="9"/>
        <v/>
      </c>
      <c r="G152" t="s">
        <v>926</v>
      </c>
    </row>
    <row r="153" spans="2:7" x14ac:dyDescent="0.25">
      <c r="B153" t="str">
        <f t="shared" si="10"/>
        <v/>
      </c>
      <c r="C153" s="16" t="str">
        <f t="shared" si="8"/>
        <v/>
      </c>
      <c r="D153" t="s">
        <v>926</v>
      </c>
      <c r="E153" t="str">
        <f t="shared" si="11"/>
        <v/>
      </c>
      <c r="F153" s="16" t="str">
        <f t="shared" si="9"/>
        <v/>
      </c>
      <c r="G153" t="s">
        <v>926</v>
      </c>
    </row>
    <row r="154" spans="2:7" x14ac:dyDescent="0.25">
      <c r="B154" t="str">
        <f t="shared" si="10"/>
        <v/>
      </c>
      <c r="C154" s="16" t="str">
        <f t="shared" si="8"/>
        <v/>
      </c>
      <c r="D154" t="s">
        <v>926</v>
      </c>
      <c r="E154" t="str">
        <f t="shared" si="11"/>
        <v/>
      </c>
      <c r="F154" s="16" t="str">
        <f t="shared" si="9"/>
        <v/>
      </c>
      <c r="G154" t="s">
        <v>926</v>
      </c>
    </row>
    <row r="155" spans="2:7" x14ac:dyDescent="0.25">
      <c r="B155" t="str">
        <f t="shared" si="10"/>
        <v/>
      </c>
      <c r="C155" s="16" t="str">
        <f t="shared" si="8"/>
        <v/>
      </c>
      <c r="D155" t="s">
        <v>926</v>
      </c>
      <c r="E155" t="str">
        <f t="shared" si="11"/>
        <v/>
      </c>
      <c r="F155" s="16" t="str">
        <f t="shared" si="9"/>
        <v/>
      </c>
      <c r="G155" t="s">
        <v>926</v>
      </c>
    </row>
    <row r="156" spans="2:7" x14ac:dyDescent="0.25">
      <c r="B156" t="str">
        <f t="shared" si="10"/>
        <v/>
      </c>
      <c r="C156" s="16" t="str">
        <f t="shared" si="8"/>
        <v/>
      </c>
      <c r="D156" t="s">
        <v>926</v>
      </c>
      <c r="E156" t="str">
        <f t="shared" si="11"/>
        <v/>
      </c>
      <c r="F156" s="16" t="str">
        <f t="shared" si="9"/>
        <v/>
      </c>
      <c r="G156" t="s">
        <v>926</v>
      </c>
    </row>
    <row r="157" spans="2:7" x14ac:dyDescent="0.25">
      <c r="B157" t="str">
        <f t="shared" si="10"/>
        <v/>
      </c>
      <c r="C157" s="16" t="str">
        <f t="shared" si="8"/>
        <v/>
      </c>
      <c r="D157" t="s">
        <v>926</v>
      </c>
      <c r="E157" t="str">
        <f t="shared" si="11"/>
        <v/>
      </c>
      <c r="F157" s="16" t="str">
        <f t="shared" si="9"/>
        <v/>
      </c>
      <c r="G157" t="s">
        <v>926</v>
      </c>
    </row>
    <row r="158" spans="2:7" x14ac:dyDescent="0.25">
      <c r="B158" t="str">
        <f t="shared" si="10"/>
        <v/>
      </c>
      <c r="C158" s="16" t="str">
        <f t="shared" si="8"/>
        <v/>
      </c>
      <c r="D158" t="s">
        <v>926</v>
      </c>
      <c r="E158" t="str">
        <f t="shared" si="11"/>
        <v/>
      </c>
      <c r="F158" s="16" t="str">
        <f t="shared" si="9"/>
        <v/>
      </c>
      <c r="G158" t="s">
        <v>926</v>
      </c>
    </row>
    <row r="159" spans="2:7" x14ac:dyDescent="0.25">
      <c r="B159" t="str">
        <f t="shared" si="10"/>
        <v/>
      </c>
      <c r="C159" s="16" t="str">
        <f t="shared" si="8"/>
        <v/>
      </c>
      <c r="D159" t="s">
        <v>926</v>
      </c>
      <c r="E159" t="str">
        <f t="shared" si="11"/>
        <v/>
      </c>
      <c r="F159" s="16" t="str">
        <f t="shared" si="9"/>
        <v/>
      </c>
      <c r="G159" t="s">
        <v>926</v>
      </c>
    </row>
    <row r="160" spans="2:7" x14ac:dyDescent="0.25">
      <c r="B160" t="str">
        <f t="shared" si="10"/>
        <v/>
      </c>
      <c r="C160" s="16" t="str">
        <f t="shared" si="8"/>
        <v/>
      </c>
      <c r="D160" t="s">
        <v>926</v>
      </c>
      <c r="E160" t="str">
        <f t="shared" si="11"/>
        <v/>
      </c>
      <c r="F160" s="16" t="str">
        <f t="shared" si="9"/>
        <v/>
      </c>
      <c r="G160" t="s">
        <v>926</v>
      </c>
    </row>
    <row r="161" spans="2:7" x14ac:dyDescent="0.25">
      <c r="B161" t="str">
        <f t="shared" si="10"/>
        <v/>
      </c>
      <c r="C161" s="16" t="str">
        <f t="shared" si="8"/>
        <v/>
      </c>
      <c r="D161" t="s">
        <v>926</v>
      </c>
      <c r="E161" t="str">
        <f t="shared" si="11"/>
        <v/>
      </c>
      <c r="F161" s="16" t="str">
        <f t="shared" si="9"/>
        <v/>
      </c>
      <c r="G161" t="s">
        <v>926</v>
      </c>
    </row>
    <row r="162" spans="2:7" x14ac:dyDescent="0.25">
      <c r="B162" t="str">
        <f t="shared" si="10"/>
        <v/>
      </c>
      <c r="C162" s="16" t="str">
        <f t="shared" si="8"/>
        <v/>
      </c>
      <c r="D162" t="s">
        <v>926</v>
      </c>
      <c r="E162" t="str">
        <f t="shared" si="11"/>
        <v/>
      </c>
      <c r="F162" s="16" t="str">
        <f t="shared" si="9"/>
        <v/>
      </c>
      <c r="G162" t="s">
        <v>926</v>
      </c>
    </row>
    <row r="163" spans="2:7" x14ac:dyDescent="0.25">
      <c r="B163" t="str">
        <f t="shared" si="10"/>
        <v/>
      </c>
      <c r="C163" s="16" t="str">
        <f t="shared" si="8"/>
        <v/>
      </c>
      <c r="D163" t="s">
        <v>926</v>
      </c>
      <c r="E163" t="str">
        <f t="shared" si="11"/>
        <v/>
      </c>
      <c r="F163" s="16" t="str">
        <f t="shared" si="9"/>
        <v/>
      </c>
      <c r="G163" t="s">
        <v>926</v>
      </c>
    </row>
    <row r="164" spans="2:7" x14ac:dyDescent="0.25">
      <c r="B164" t="str">
        <f t="shared" si="10"/>
        <v/>
      </c>
      <c r="C164" s="16" t="str">
        <f t="shared" si="8"/>
        <v/>
      </c>
      <c r="D164" t="s">
        <v>926</v>
      </c>
      <c r="E164" t="str">
        <f t="shared" si="11"/>
        <v/>
      </c>
      <c r="F164" s="16" t="str">
        <f t="shared" si="9"/>
        <v/>
      </c>
      <c r="G164" t="s">
        <v>926</v>
      </c>
    </row>
    <row r="165" spans="2:7" x14ac:dyDescent="0.25">
      <c r="B165" t="str">
        <f t="shared" si="10"/>
        <v/>
      </c>
      <c r="C165" s="16" t="str">
        <f t="shared" si="8"/>
        <v/>
      </c>
      <c r="D165" t="s">
        <v>926</v>
      </c>
      <c r="E165" t="str">
        <f t="shared" si="11"/>
        <v/>
      </c>
      <c r="F165" s="16" t="str">
        <f t="shared" si="9"/>
        <v/>
      </c>
      <c r="G165" t="s">
        <v>926</v>
      </c>
    </row>
    <row r="166" spans="2:7" x14ac:dyDescent="0.25">
      <c r="B166" t="str">
        <f t="shared" si="10"/>
        <v/>
      </c>
      <c r="C166" s="16" t="str">
        <f t="shared" si="8"/>
        <v/>
      </c>
      <c r="D166" t="s">
        <v>926</v>
      </c>
      <c r="E166" t="str">
        <f t="shared" si="11"/>
        <v/>
      </c>
      <c r="F166" s="16" t="str">
        <f t="shared" si="9"/>
        <v/>
      </c>
      <c r="G166" t="s">
        <v>926</v>
      </c>
    </row>
    <row r="167" spans="2:7" x14ac:dyDescent="0.25">
      <c r="B167" t="str">
        <f t="shared" si="10"/>
        <v/>
      </c>
      <c r="C167" s="16" t="str">
        <f t="shared" si="8"/>
        <v/>
      </c>
      <c r="D167" t="s">
        <v>926</v>
      </c>
      <c r="E167" t="str">
        <f t="shared" si="11"/>
        <v/>
      </c>
      <c r="F167" s="16" t="str">
        <f t="shared" si="9"/>
        <v/>
      </c>
      <c r="G167" t="s">
        <v>926</v>
      </c>
    </row>
    <row r="168" spans="2:7" x14ac:dyDescent="0.25">
      <c r="B168" t="str">
        <f t="shared" si="10"/>
        <v/>
      </c>
      <c r="C168" s="16" t="str">
        <f t="shared" si="8"/>
        <v/>
      </c>
      <c r="D168" t="s">
        <v>926</v>
      </c>
      <c r="E168" t="str">
        <f t="shared" si="11"/>
        <v/>
      </c>
      <c r="F168" s="16" t="str">
        <f t="shared" si="9"/>
        <v/>
      </c>
      <c r="G168" t="s">
        <v>926</v>
      </c>
    </row>
    <row r="169" spans="2:7" x14ac:dyDescent="0.25">
      <c r="B169" t="str">
        <f t="shared" si="10"/>
        <v/>
      </c>
      <c r="C169" s="16" t="str">
        <f t="shared" si="8"/>
        <v/>
      </c>
      <c r="D169" t="s">
        <v>926</v>
      </c>
      <c r="E169" t="str">
        <f t="shared" si="11"/>
        <v/>
      </c>
      <c r="F169" s="16" t="str">
        <f t="shared" si="9"/>
        <v/>
      </c>
      <c r="G169" t="s">
        <v>926</v>
      </c>
    </row>
    <row r="170" spans="2:7" x14ac:dyDescent="0.25">
      <c r="B170" t="str">
        <f t="shared" si="10"/>
        <v/>
      </c>
      <c r="C170" s="16" t="str">
        <f t="shared" si="8"/>
        <v/>
      </c>
      <c r="D170" t="s">
        <v>926</v>
      </c>
      <c r="E170" t="str">
        <f t="shared" si="11"/>
        <v/>
      </c>
      <c r="F170" s="16" t="str">
        <f t="shared" si="9"/>
        <v/>
      </c>
      <c r="G170" t="s">
        <v>926</v>
      </c>
    </row>
    <row r="171" spans="2:7" x14ac:dyDescent="0.25">
      <c r="B171" t="str">
        <f t="shared" si="10"/>
        <v/>
      </c>
      <c r="C171" s="16" t="str">
        <f t="shared" si="8"/>
        <v/>
      </c>
      <c r="D171" t="s">
        <v>926</v>
      </c>
      <c r="E171" t="str">
        <f t="shared" si="11"/>
        <v/>
      </c>
      <c r="F171" s="16" t="str">
        <f t="shared" si="9"/>
        <v/>
      </c>
      <c r="G171" t="s">
        <v>926</v>
      </c>
    </row>
    <row r="172" spans="2:7" x14ac:dyDescent="0.25">
      <c r="B172" t="str">
        <f t="shared" si="10"/>
        <v/>
      </c>
      <c r="C172" s="16" t="str">
        <f t="shared" si="8"/>
        <v/>
      </c>
      <c r="D172" t="s">
        <v>926</v>
      </c>
      <c r="E172" t="str">
        <f t="shared" si="11"/>
        <v/>
      </c>
      <c r="F172" s="16" t="str">
        <f t="shared" si="9"/>
        <v/>
      </c>
      <c r="G172" t="s">
        <v>926</v>
      </c>
    </row>
    <row r="173" spans="2:7" x14ac:dyDescent="0.25">
      <c r="B173" t="str">
        <f t="shared" si="10"/>
        <v/>
      </c>
      <c r="C173" s="16" t="str">
        <f t="shared" si="8"/>
        <v/>
      </c>
      <c r="D173" t="s">
        <v>926</v>
      </c>
      <c r="E173" t="str">
        <f t="shared" si="11"/>
        <v/>
      </c>
      <c r="F173" s="16" t="str">
        <f t="shared" si="9"/>
        <v/>
      </c>
      <c r="G173" t="s">
        <v>926</v>
      </c>
    </row>
    <row r="174" spans="2:7" x14ac:dyDescent="0.25">
      <c r="B174" t="str">
        <f t="shared" si="10"/>
        <v/>
      </c>
      <c r="C174" s="16" t="str">
        <f t="shared" si="8"/>
        <v/>
      </c>
      <c r="D174" t="s">
        <v>926</v>
      </c>
      <c r="E174" t="str">
        <f t="shared" si="11"/>
        <v/>
      </c>
      <c r="F174" s="16" t="str">
        <f t="shared" si="9"/>
        <v/>
      </c>
      <c r="G174" t="s">
        <v>926</v>
      </c>
    </row>
    <row r="175" spans="2:7" x14ac:dyDescent="0.25">
      <c r="B175" t="str">
        <f t="shared" si="10"/>
        <v/>
      </c>
      <c r="C175" s="16" t="str">
        <f t="shared" si="8"/>
        <v/>
      </c>
      <c r="D175" t="s">
        <v>926</v>
      </c>
      <c r="E175" t="str">
        <f t="shared" si="11"/>
        <v/>
      </c>
      <c r="F175" s="16" t="str">
        <f t="shared" si="9"/>
        <v/>
      </c>
      <c r="G175" t="s">
        <v>926</v>
      </c>
    </row>
    <row r="176" spans="2:7" x14ac:dyDescent="0.25">
      <c r="B176" t="str">
        <f t="shared" si="10"/>
        <v/>
      </c>
      <c r="C176" s="16" t="str">
        <f t="shared" si="8"/>
        <v/>
      </c>
      <c r="D176" t="s">
        <v>926</v>
      </c>
      <c r="E176" t="str">
        <f t="shared" si="11"/>
        <v/>
      </c>
      <c r="F176" s="16" t="str">
        <f t="shared" si="9"/>
        <v/>
      </c>
      <c r="G176" t="s">
        <v>926</v>
      </c>
    </row>
    <row r="177" spans="2:7" x14ac:dyDescent="0.25">
      <c r="B177" t="str">
        <f t="shared" si="10"/>
        <v/>
      </c>
      <c r="C177" s="16" t="str">
        <f t="shared" si="8"/>
        <v/>
      </c>
      <c r="D177" t="s">
        <v>926</v>
      </c>
      <c r="E177" t="str">
        <f t="shared" si="11"/>
        <v/>
      </c>
      <c r="F177" s="16" t="str">
        <f t="shared" si="9"/>
        <v/>
      </c>
      <c r="G177" t="s">
        <v>926</v>
      </c>
    </row>
    <row r="178" spans="2:7" x14ac:dyDescent="0.25">
      <c r="B178" t="str">
        <f t="shared" si="10"/>
        <v/>
      </c>
      <c r="C178" s="16" t="str">
        <f t="shared" si="8"/>
        <v/>
      </c>
      <c r="D178" t="s">
        <v>926</v>
      </c>
      <c r="E178" t="str">
        <f t="shared" si="11"/>
        <v/>
      </c>
      <c r="F178" s="16" t="str">
        <f t="shared" si="9"/>
        <v/>
      </c>
      <c r="G178" t="s">
        <v>926</v>
      </c>
    </row>
    <row r="179" spans="2:7" x14ac:dyDescent="0.25">
      <c r="B179" t="str">
        <f t="shared" si="10"/>
        <v/>
      </c>
      <c r="C179" s="16" t="str">
        <f t="shared" si="8"/>
        <v/>
      </c>
      <c r="D179" t="s">
        <v>926</v>
      </c>
      <c r="E179" t="str">
        <f t="shared" si="11"/>
        <v/>
      </c>
      <c r="F179" s="16" t="str">
        <f t="shared" si="9"/>
        <v/>
      </c>
      <c r="G179" t="s">
        <v>926</v>
      </c>
    </row>
    <row r="180" spans="2:7" x14ac:dyDescent="0.25">
      <c r="B180" t="str">
        <f t="shared" si="10"/>
        <v/>
      </c>
      <c r="C180" s="16" t="str">
        <f t="shared" si="8"/>
        <v/>
      </c>
      <c r="D180" t="s">
        <v>926</v>
      </c>
      <c r="E180" t="str">
        <f t="shared" si="11"/>
        <v/>
      </c>
      <c r="F180" s="16" t="str">
        <f t="shared" si="9"/>
        <v/>
      </c>
      <c r="G180" t="s">
        <v>926</v>
      </c>
    </row>
    <row r="181" spans="2:7" x14ac:dyDescent="0.25">
      <c r="B181" t="str">
        <f t="shared" si="10"/>
        <v/>
      </c>
      <c r="C181" s="16" t="str">
        <f t="shared" si="8"/>
        <v/>
      </c>
      <c r="D181" t="s">
        <v>926</v>
      </c>
      <c r="E181" t="str">
        <f t="shared" si="11"/>
        <v/>
      </c>
      <c r="F181" s="16" t="str">
        <f t="shared" si="9"/>
        <v/>
      </c>
      <c r="G181" t="s">
        <v>926</v>
      </c>
    </row>
    <row r="182" spans="2:7" x14ac:dyDescent="0.25">
      <c r="B182" t="str">
        <f t="shared" si="10"/>
        <v/>
      </c>
      <c r="C182" s="16" t="str">
        <f t="shared" si="8"/>
        <v/>
      </c>
      <c r="D182" t="s">
        <v>926</v>
      </c>
      <c r="E182" t="str">
        <f t="shared" si="11"/>
        <v/>
      </c>
      <c r="F182" s="16" t="str">
        <f t="shared" si="9"/>
        <v/>
      </c>
      <c r="G182" t="s">
        <v>926</v>
      </c>
    </row>
    <row r="183" spans="2:7" x14ac:dyDescent="0.25">
      <c r="B183" t="str">
        <f t="shared" si="10"/>
        <v/>
      </c>
      <c r="C183" s="16" t="str">
        <f t="shared" si="8"/>
        <v/>
      </c>
      <c r="D183" t="s">
        <v>926</v>
      </c>
      <c r="E183" t="str">
        <f t="shared" si="11"/>
        <v/>
      </c>
      <c r="F183" s="16" t="str">
        <f t="shared" si="9"/>
        <v/>
      </c>
      <c r="G183" t="s">
        <v>926</v>
      </c>
    </row>
    <row r="184" spans="2:7" x14ac:dyDescent="0.25">
      <c r="B184" t="str">
        <f t="shared" si="10"/>
        <v/>
      </c>
      <c r="C184" s="16" t="str">
        <f t="shared" si="8"/>
        <v/>
      </c>
      <c r="D184" t="s">
        <v>926</v>
      </c>
      <c r="E184" t="str">
        <f t="shared" si="11"/>
        <v/>
      </c>
      <c r="F184" s="16" t="str">
        <f t="shared" si="9"/>
        <v/>
      </c>
      <c r="G184" t="s">
        <v>926</v>
      </c>
    </row>
    <row r="185" spans="2:7" x14ac:dyDescent="0.25">
      <c r="B185" t="str">
        <f t="shared" si="10"/>
        <v/>
      </c>
      <c r="C185" s="16" t="str">
        <f t="shared" si="8"/>
        <v/>
      </c>
      <c r="D185" t="s">
        <v>926</v>
      </c>
      <c r="E185" t="str">
        <f t="shared" si="11"/>
        <v/>
      </c>
      <c r="F185" s="16" t="str">
        <f t="shared" si="9"/>
        <v/>
      </c>
      <c r="G185" t="s">
        <v>926</v>
      </c>
    </row>
    <row r="186" spans="2:7" x14ac:dyDescent="0.25">
      <c r="B186" t="str">
        <f t="shared" si="10"/>
        <v/>
      </c>
      <c r="C186" s="16" t="str">
        <f t="shared" si="8"/>
        <v/>
      </c>
      <c r="D186" t="s">
        <v>926</v>
      </c>
      <c r="E186" t="str">
        <f t="shared" si="11"/>
        <v/>
      </c>
      <c r="F186" s="16" t="str">
        <f t="shared" si="9"/>
        <v/>
      </c>
      <c r="G186" t="s">
        <v>926</v>
      </c>
    </row>
    <row r="187" spans="2:7" x14ac:dyDescent="0.25">
      <c r="B187" t="str">
        <f t="shared" si="10"/>
        <v/>
      </c>
      <c r="C187" s="16" t="str">
        <f t="shared" si="8"/>
        <v/>
      </c>
      <c r="D187" t="s">
        <v>926</v>
      </c>
      <c r="E187" t="str">
        <f t="shared" si="11"/>
        <v/>
      </c>
      <c r="F187" s="16" t="str">
        <f t="shared" si="9"/>
        <v/>
      </c>
      <c r="G187" t="s">
        <v>926</v>
      </c>
    </row>
    <row r="188" spans="2:7" x14ac:dyDescent="0.25">
      <c r="B188" t="str">
        <f t="shared" si="10"/>
        <v/>
      </c>
      <c r="C188" s="16" t="str">
        <f t="shared" si="8"/>
        <v/>
      </c>
      <c r="D188" t="s">
        <v>926</v>
      </c>
      <c r="E188" t="str">
        <f t="shared" si="11"/>
        <v/>
      </c>
      <c r="F188" s="16" t="str">
        <f t="shared" si="9"/>
        <v/>
      </c>
      <c r="G188" t="s">
        <v>926</v>
      </c>
    </row>
    <row r="189" spans="2:7" x14ac:dyDescent="0.25">
      <c r="B189" t="str">
        <f t="shared" si="10"/>
        <v/>
      </c>
      <c r="C189" s="16" t="str">
        <f t="shared" si="8"/>
        <v/>
      </c>
      <c r="D189" t="s">
        <v>926</v>
      </c>
      <c r="E189" t="str">
        <f t="shared" si="11"/>
        <v/>
      </c>
      <c r="F189" s="16" t="str">
        <f t="shared" si="9"/>
        <v/>
      </c>
      <c r="G189" t="s">
        <v>926</v>
      </c>
    </row>
    <row r="190" spans="2:7" x14ac:dyDescent="0.25">
      <c r="B190" t="str">
        <f t="shared" si="10"/>
        <v/>
      </c>
      <c r="C190" s="16" t="str">
        <f t="shared" si="8"/>
        <v/>
      </c>
      <c r="D190" t="s">
        <v>926</v>
      </c>
      <c r="E190" t="str">
        <f t="shared" si="11"/>
        <v/>
      </c>
      <c r="F190" s="16" t="str">
        <f t="shared" si="9"/>
        <v/>
      </c>
      <c r="G190" t="s">
        <v>926</v>
      </c>
    </row>
    <row r="191" spans="2:7" x14ac:dyDescent="0.25">
      <c r="B191" t="str">
        <f t="shared" si="10"/>
        <v/>
      </c>
      <c r="C191" s="16" t="str">
        <f t="shared" si="8"/>
        <v/>
      </c>
      <c r="D191" t="s">
        <v>926</v>
      </c>
      <c r="E191" t="str">
        <f t="shared" si="11"/>
        <v/>
      </c>
      <c r="F191" s="16" t="str">
        <f t="shared" si="9"/>
        <v/>
      </c>
      <c r="G191" t="s">
        <v>926</v>
      </c>
    </row>
    <row r="192" spans="2:7" x14ac:dyDescent="0.25">
      <c r="B192" t="str">
        <f t="shared" si="10"/>
        <v/>
      </c>
      <c r="C192" s="16" t="str">
        <f t="shared" si="8"/>
        <v/>
      </c>
      <c r="D192" t="s">
        <v>926</v>
      </c>
      <c r="E192" t="str">
        <f t="shared" si="11"/>
        <v/>
      </c>
      <c r="F192" s="16" t="str">
        <f t="shared" si="9"/>
        <v/>
      </c>
      <c r="G192" t="s">
        <v>926</v>
      </c>
    </row>
    <row r="193" spans="2:7" x14ac:dyDescent="0.25">
      <c r="B193" t="str">
        <f t="shared" si="10"/>
        <v/>
      </c>
      <c r="C193" s="16" t="str">
        <f t="shared" si="8"/>
        <v/>
      </c>
      <c r="D193" t="s">
        <v>926</v>
      </c>
      <c r="E193" t="str">
        <f t="shared" si="11"/>
        <v/>
      </c>
      <c r="F193" s="16" t="str">
        <f t="shared" si="9"/>
        <v/>
      </c>
      <c r="G193" t="s">
        <v>926</v>
      </c>
    </row>
    <row r="194" spans="2:7" x14ac:dyDescent="0.25">
      <c r="B194" t="str">
        <f t="shared" si="10"/>
        <v/>
      </c>
      <c r="C194" s="16" t="str">
        <f t="shared" si="8"/>
        <v/>
      </c>
      <c r="D194" t="s">
        <v>926</v>
      </c>
      <c r="E194" t="str">
        <f t="shared" si="11"/>
        <v/>
      </c>
      <c r="F194" s="16" t="str">
        <f t="shared" si="9"/>
        <v/>
      </c>
      <c r="G194" t="s">
        <v>926</v>
      </c>
    </row>
    <row r="195" spans="2:7" x14ac:dyDescent="0.25">
      <c r="B195" t="str">
        <f t="shared" si="10"/>
        <v/>
      </c>
      <c r="C195" s="16" t="str">
        <f t="shared" ref="C195:C258" si="12">IF(ISERROR(VLOOKUP(B195,ImpComp,2,FALSE)),"",VLOOKUP(B195,ImpComp,2,FALSE))</f>
        <v/>
      </c>
      <c r="D195" t="s">
        <v>926</v>
      </c>
      <c r="E195" t="str">
        <f t="shared" si="11"/>
        <v/>
      </c>
      <c r="F195" s="16" t="str">
        <f t="shared" ref="F195:F258" si="13" xml:space="preserve"> IF(ISERROR(VLOOKUP(E195,Imp_IVA1,2,FALSE)),"",VLOOKUP(E195,Imp_IVA1,2,FALSE))&amp; IF(ISERROR(VLOOKUP(E195,Imp_IVA2,2,FALSE)),"",VLOOKUP(E195,Imp_IVA2,2,FALSE))</f>
        <v/>
      </c>
      <c r="G195" t="s">
        <v>926</v>
      </c>
    </row>
    <row r="196" spans="2:7" x14ac:dyDescent="0.25">
      <c r="B196" t="str">
        <f t="shared" si="10"/>
        <v/>
      </c>
      <c r="C196" s="16" t="str">
        <f t="shared" si="12"/>
        <v/>
      </c>
      <c r="D196" t="s">
        <v>926</v>
      </c>
      <c r="E196" t="str">
        <f t="shared" si="11"/>
        <v/>
      </c>
      <c r="F196" s="16" t="str">
        <f t="shared" si="13"/>
        <v/>
      </c>
      <c r="G196" t="s">
        <v>926</v>
      </c>
    </row>
    <row r="197" spans="2:7" x14ac:dyDescent="0.25">
      <c r="B197" t="str">
        <f t="shared" ref="B197:B260" si="14">IF(OR(B196=$B$2,B196=""),"",B196+1)</f>
        <v/>
      </c>
      <c r="C197" s="16" t="str">
        <f t="shared" si="12"/>
        <v/>
      </c>
      <c r="D197" t="s">
        <v>926</v>
      </c>
      <c r="E197" t="str">
        <f t="shared" ref="E197:E260" si="15">IF(OR(E196=$E$2,E196=""),"",E196+1)</f>
        <v/>
      </c>
      <c r="F197" s="16" t="str">
        <f t="shared" si="13"/>
        <v/>
      </c>
      <c r="G197" t="s">
        <v>926</v>
      </c>
    </row>
    <row r="198" spans="2:7" x14ac:dyDescent="0.25">
      <c r="B198" t="str">
        <f t="shared" si="14"/>
        <v/>
      </c>
      <c r="C198" s="16" t="str">
        <f t="shared" si="12"/>
        <v/>
      </c>
      <c r="D198" t="s">
        <v>926</v>
      </c>
      <c r="E198" t="str">
        <f t="shared" si="15"/>
        <v/>
      </c>
      <c r="F198" s="16" t="str">
        <f t="shared" si="13"/>
        <v/>
      </c>
      <c r="G198" t="s">
        <v>926</v>
      </c>
    </row>
    <row r="199" spans="2:7" x14ac:dyDescent="0.25">
      <c r="B199" t="str">
        <f t="shared" si="14"/>
        <v/>
      </c>
      <c r="C199" s="16" t="str">
        <f t="shared" si="12"/>
        <v/>
      </c>
      <c r="D199" t="s">
        <v>926</v>
      </c>
      <c r="E199" t="str">
        <f t="shared" si="15"/>
        <v/>
      </c>
      <c r="F199" s="16" t="str">
        <f t="shared" si="13"/>
        <v/>
      </c>
      <c r="G199" t="s">
        <v>926</v>
      </c>
    </row>
    <row r="200" spans="2:7" x14ac:dyDescent="0.25">
      <c r="B200" t="str">
        <f t="shared" si="14"/>
        <v/>
      </c>
      <c r="C200" s="16" t="str">
        <f t="shared" si="12"/>
        <v/>
      </c>
      <c r="D200" t="s">
        <v>926</v>
      </c>
      <c r="E200" t="str">
        <f t="shared" si="15"/>
        <v/>
      </c>
      <c r="F200" s="16" t="str">
        <f t="shared" si="13"/>
        <v/>
      </c>
      <c r="G200" t="s">
        <v>926</v>
      </c>
    </row>
    <row r="201" spans="2:7" x14ac:dyDescent="0.25">
      <c r="B201" t="str">
        <f t="shared" si="14"/>
        <v/>
      </c>
      <c r="C201" s="16" t="str">
        <f t="shared" si="12"/>
        <v/>
      </c>
      <c r="D201" t="s">
        <v>926</v>
      </c>
      <c r="E201" t="str">
        <f t="shared" si="15"/>
        <v/>
      </c>
      <c r="F201" s="16" t="str">
        <f t="shared" si="13"/>
        <v/>
      </c>
      <c r="G201" t="s">
        <v>926</v>
      </c>
    </row>
    <row r="202" spans="2:7" x14ac:dyDescent="0.25">
      <c r="B202" t="str">
        <f t="shared" si="14"/>
        <v/>
      </c>
      <c r="C202" s="16" t="str">
        <f t="shared" si="12"/>
        <v/>
      </c>
      <c r="D202" t="s">
        <v>926</v>
      </c>
      <c r="E202" t="str">
        <f t="shared" si="15"/>
        <v/>
      </c>
      <c r="F202" s="16" t="str">
        <f t="shared" si="13"/>
        <v/>
      </c>
      <c r="G202" t="s">
        <v>926</v>
      </c>
    </row>
    <row r="203" spans="2:7" x14ac:dyDescent="0.25">
      <c r="B203" t="str">
        <f t="shared" si="14"/>
        <v/>
      </c>
      <c r="C203" s="16" t="str">
        <f t="shared" si="12"/>
        <v/>
      </c>
      <c r="D203" t="s">
        <v>926</v>
      </c>
      <c r="E203" t="str">
        <f t="shared" si="15"/>
        <v/>
      </c>
      <c r="F203" s="16" t="str">
        <f t="shared" si="13"/>
        <v/>
      </c>
      <c r="G203" t="s">
        <v>926</v>
      </c>
    </row>
    <row r="204" spans="2:7" x14ac:dyDescent="0.25">
      <c r="B204" t="str">
        <f t="shared" si="14"/>
        <v/>
      </c>
      <c r="C204" s="16" t="str">
        <f t="shared" si="12"/>
        <v/>
      </c>
      <c r="D204" t="s">
        <v>926</v>
      </c>
      <c r="E204" t="str">
        <f t="shared" si="15"/>
        <v/>
      </c>
      <c r="F204" s="16" t="str">
        <f t="shared" si="13"/>
        <v/>
      </c>
      <c r="G204" t="s">
        <v>926</v>
      </c>
    </row>
    <row r="205" spans="2:7" x14ac:dyDescent="0.25">
      <c r="B205" t="str">
        <f t="shared" si="14"/>
        <v/>
      </c>
      <c r="C205" s="16" t="str">
        <f t="shared" si="12"/>
        <v/>
      </c>
      <c r="D205" t="s">
        <v>926</v>
      </c>
      <c r="E205" t="str">
        <f t="shared" si="15"/>
        <v/>
      </c>
      <c r="F205" s="16" t="str">
        <f t="shared" si="13"/>
        <v/>
      </c>
      <c r="G205" t="s">
        <v>926</v>
      </c>
    </row>
    <row r="206" spans="2:7" x14ac:dyDescent="0.25">
      <c r="B206" t="str">
        <f t="shared" si="14"/>
        <v/>
      </c>
      <c r="C206" s="16" t="str">
        <f t="shared" si="12"/>
        <v/>
      </c>
      <c r="D206" t="s">
        <v>926</v>
      </c>
      <c r="E206" t="str">
        <f t="shared" si="15"/>
        <v/>
      </c>
      <c r="F206" s="16" t="str">
        <f t="shared" si="13"/>
        <v/>
      </c>
      <c r="G206" t="s">
        <v>926</v>
      </c>
    </row>
    <row r="207" spans="2:7" x14ac:dyDescent="0.25">
      <c r="B207" t="str">
        <f t="shared" si="14"/>
        <v/>
      </c>
      <c r="C207" s="16" t="str">
        <f t="shared" si="12"/>
        <v/>
      </c>
      <c r="D207" t="s">
        <v>926</v>
      </c>
      <c r="E207" t="str">
        <f t="shared" si="15"/>
        <v/>
      </c>
      <c r="F207" s="16" t="str">
        <f t="shared" si="13"/>
        <v/>
      </c>
      <c r="G207" t="s">
        <v>926</v>
      </c>
    </row>
    <row r="208" spans="2:7" x14ac:dyDescent="0.25">
      <c r="B208" t="str">
        <f t="shared" si="14"/>
        <v/>
      </c>
      <c r="C208" s="16" t="str">
        <f t="shared" si="12"/>
        <v/>
      </c>
      <c r="D208" t="s">
        <v>926</v>
      </c>
      <c r="E208" t="str">
        <f t="shared" si="15"/>
        <v/>
      </c>
      <c r="F208" s="16" t="str">
        <f t="shared" si="13"/>
        <v/>
      </c>
      <c r="G208" t="s">
        <v>926</v>
      </c>
    </row>
    <row r="209" spans="2:7" x14ac:dyDescent="0.25">
      <c r="B209" t="str">
        <f t="shared" si="14"/>
        <v/>
      </c>
      <c r="C209" s="16" t="str">
        <f t="shared" si="12"/>
        <v/>
      </c>
      <c r="D209" t="s">
        <v>926</v>
      </c>
      <c r="E209" t="str">
        <f t="shared" si="15"/>
        <v/>
      </c>
      <c r="F209" s="16" t="str">
        <f t="shared" si="13"/>
        <v/>
      </c>
      <c r="G209" t="s">
        <v>926</v>
      </c>
    </row>
    <row r="210" spans="2:7" x14ac:dyDescent="0.25">
      <c r="B210" t="str">
        <f t="shared" si="14"/>
        <v/>
      </c>
      <c r="C210" s="16" t="str">
        <f t="shared" si="12"/>
        <v/>
      </c>
      <c r="D210" t="s">
        <v>926</v>
      </c>
      <c r="E210" t="str">
        <f t="shared" si="15"/>
        <v/>
      </c>
      <c r="F210" s="16" t="str">
        <f t="shared" si="13"/>
        <v/>
      </c>
      <c r="G210" t="s">
        <v>926</v>
      </c>
    </row>
    <row r="211" spans="2:7" x14ac:dyDescent="0.25">
      <c r="B211" t="str">
        <f t="shared" si="14"/>
        <v/>
      </c>
      <c r="C211" s="16" t="str">
        <f t="shared" si="12"/>
        <v/>
      </c>
      <c r="D211" t="s">
        <v>926</v>
      </c>
      <c r="E211" t="str">
        <f t="shared" si="15"/>
        <v/>
      </c>
      <c r="F211" s="16" t="str">
        <f t="shared" si="13"/>
        <v/>
      </c>
      <c r="G211" t="s">
        <v>926</v>
      </c>
    </row>
    <row r="212" spans="2:7" x14ac:dyDescent="0.25">
      <c r="B212" t="str">
        <f t="shared" si="14"/>
        <v/>
      </c>
      <c r="C212" s="16" t="str">
        <f t="shared" si="12"/>
        <v/>
      </c>
      <c r="D212" t="s">
        <v>926</v>
      </c>
      <c r="E212" t="str">
        <f t="shared" si="15"/>
        <v/>
      </c>
      <c r="F212" s="16" t="str">
        <f t="shared" si="13"/>
        <v/>
      </c>
      <c r="G212" t="s">
        <v>926</v>
      </c>
    </row>
    <row r="213" spans="2:7" x14ac:dyDescent="0.25">
      <c r="B213" t="str">
        <f t="shared" si="14"/>
        <v/>
      </c>
      <c r="C213" s="16" t="str">
        <f t="shared" si="12"/>
        <v/>
      </c>
      <c r="D213" t="s">
        <v>926</v>
      </c>
      <c r="E213" t="str">
        <f t="shared" si="15"/>
        <v/>
      </c>
      <c r="F213" s="16" t="str">
        <f t="shared" si="13"/>
        <v/>
      </c>
      <c r="G213" t="s">
        <v>926</v>
      </c>
    </row>
    <row r="214" spans="2:7" x14ac:dyDescent="0.25">
      <c r="B214" t="str">
        <f t="shared" si="14"/>
        <v/>
      </c>
      <c r="C214" s="16" t="str">
        <f t="shared" si="12"/>
        <v/>
      </c>
      <c r="D214" t="s">
        <v>926</v>
      </c>
      <c r="E214" t="str">
        <f t="shared" si="15"/>
        <v/>
      </c>
      <c r="F214" s="16" t="str">
        <f t="shared" si="13"/>
        <v/>
      </c>
      <c r="G214" t="s">
        <v>926</v>
      </c>
    </row>
    <row r="215" spans="2:7" x14ac:dyDescent="0.25">
      <c r="B215" t="str">
        <f t="shared" si="14"/>
        <v/>
      </c>
      <c r="C215" s="16" t="str">
        <f t="shared" si="12"/>
        <v/>
      </c>
      <c r="D215" t="s">
        <v>926</v>
      </c>
      <c r="E215" t="str">
        <f t="shared" si="15"/>
        <v/>
      </c>
      <c r="F215" s="16" t="str">
        <f t="shared" si="13"/>
        <v/>
      </c>
      <c r="G215" t="s">
        <v>926</v>
      </c>
    </row>
    <row r="216" spans="2:7" x14ac:dyDescent="0.25">
      <c r="B216" t="str">
        <f t="shared" si="14"/>
        <v/>
      </c>
      <c r="C216" s="16" t="str">
        <f t="shared" si="12"/>
        <v/>
      </c>
      <c r="D216" t="s">
        <v>926</v>
      </c>
      <c r="E216" t="str">
        <f t="shared" si="15"/>
        <v/>
      </c>
      <c r="F216" s="16" t="str">
        <f t="shared" si="13"/>
        <v/>
      </c>
      <c r="G216" t="s">
        <v>926</v>
      </c>
    </row>
    <row r="217" spans="2:7" x14ac:dyDescent="0.25">
      <c r="B217" t="str">
        <f t="shared" si="14"/>
        <v/>
      </c>
      <c r="C217" s="16" t="str">
        <f t="shared" si="12"/>
        <v/>
      </c>
      <c r="D217" t="s">
        <v>926</v>
      </c>
      <c r="E217" t="str">
        <f t="shared" si="15"/>
        <v/>
      </c>
      <c r="F217" s="16" t="str">
        <f t="shared" si="13"/>
        <v/>
      </c>
      <c r="G217" t="s">
        <v>926</v>
      </c>
    </row>
    <row r="218" spans="2:7" x14ac:dyDescent="0.25">
      <c r="B218" t="str">
        <f t="shared" si="14"/>
        <v/>
      </c>
      <c r="C218" s="16" t="str">
        <f t="shared" si="12"/>
        <v/>
      </c>
      <c r="D218" t="s">
        <v>926</v>
      </c>
      <c r="E218" t="str">
        <f t="shared" si="15"/>
        <v/>
      </c>
      <c r="F218" s="16" t="str">
        <f t="shared" si="13"/>
        <v/>
      </c>
      <c r="G218" t="s">
        <v>926</v>
      </c>
    </row>
    <row r="219" spans="2:7" x14ac:dyDescent="0.25">
      <c r="B219" t="str">
        <f t="shared" si="14"/>
        <v/>
      </c>
      <c r="C219" s="16" t="str">
        <f t="shared" si="12"/>
        <v/>
      </c>
      <c r="D219" t="s">
        <v>926</v>
      </c>
      <c r="E219" t="str">
        <f t="shared" si="15"/>
        <v/>
      </c>
      <c r="F219" s="16" t="str">
        <f t="shared" si="13"/>
        <v/>
      </c>
      <c r="G219" t="s">
        <v>926</v>
      </c>
    </row>
    <row r="220" spans="2:7" x14ac:dyDescent="0.25">
      <c r="B220" t="str">
        <f t="shared" si="14"/>
        <v/>
      </c>
      <c r="C220" s="16" t="str">
        <f t="shared" si="12"/>
        <v/>
      </c>
      <c r="D220" t="s">
        <v>926</v>
      </c>
      <c r="E220" t="str">
        <f t="shared" si="15"/>
        <v/>
      </c>
      <c r="F220" s="16" t="str">
        <f t="shared" si="13"/>
        <v/>
      </c>
      <c r="G220" t="s">
        <v>926</v>
      </c>
    </row>
    <row r="221" spans="2:7" x14ac:dyDescent="0.25">
      <c r="B221" t="str">
        <f t="shared" si="14"/>
        <v/>
      </c>
      <c r="C221" s="16" t="str">
        <f t="shared" si="12"/>
        <v/>
      </c>
      <c r="D221" t="s">
        <v>926</v>
      </c>
      <c r="E221" t="str">
        <f t="shared" si="15"/>
        <v/>
      </c>
      <c r="F221" s="16" t="str">
        <f t="shared" si="13"/>
        <v/>
      </c>
      <c r="G221" t="s">
        <v>926</v>
      </c>
    </row>
    <row r="222" spans="2:7" x14ac:dyDescent="0.25">
      <c r="B222" t="str">
        <f t="shared" si="14"/>
        <v/>
      </c>
      <c r="C222" s="16" t="str">
        <f t="shared" si="12"/>
        <v/>
      </c>
      <c r="D222" t="s">
        <v>926</v>
      </c>
      <c r="E222" t="str">
        <f t="shared" si="15"/>
        <v/>
      </c>
      <c r="F222" s="16" t="str">
        <f t="shared" si="13"/>
        <v/>
      </c>
      <c r="G222" t="s">
        <v>926</v>
      </c>
    </row>
    <row r="223" spans="2:7" x14ac:dyDescent="0.25">
      <c r="B223" t="str">
        <f t="shared" si="14"/>
        <v/>
      </c>
      <c r="C223" s="16" t="str">
        <f t="shared" si="12"/>
        <v/>
      </c>
      <c r="D223" t="s">
        <v>926</v>
      </c>
      <c r="E223" t="str">
        <f t="shared" si="15"/>
        <v/>
      </c>
      <c r="F223" s="16" t="str">
        <f t="shared" si="13"/>
        <v/>
      </c>
      <c r="G223" t="s">
        <v>926</v>
      </c>
    </row>
    <row r="224" spans="2:7" x14ac:dyDescent="0.25">
      <c r="B224" t="str">
        <f t="shared" si="14"/>
        <v/>
      </c>
      <c r="C224" s="16" t="str">
        <f t="shared" si="12"/>
        <v/>
      </c>
      <c r="D224" t="s">
        <v>926</v>
      </c>
      <c r="E224" t="str">
        <f t="shared" si="15"/>
        <v/>
      </c>
      <c r="F224" s="16" t="str">
        <f t="shared" si="13"/>
        <v/>
      </c>
      <c r="G224" t="s">
        <v>926</v>
      </c>
    </row>
    <row r="225" spans="2:7" x14ac:dyDescent="0.25">
      <c r="B225" t="str">
        <f t="shared" si="14"/>
        <v/>
      </c>
      <c r="C225" s="16" t="str">
        <f t="shared" si="12"/>
        <v/>
      </c>
      <c r="D225" t="s">
        <v>926</v>
      </c>
      <c r="E225" t="str">
        <f t="shared" si="15"/>
        <v/>
      </c>
      <c r="F225" s="16" t="str">
        <f t="shared" si="13"/>
        <v/>
      </c>
      <c r="G225" t="s">
        <v>926</v>
      </c>
    </row>
    <row r="226" spans="2:7" x14ac:dyDescent="0.25">
      <c r="B226" t="str">
        <f t="shared" si="14"/>
        <v/>
      </c>
      <c r="C226" s="16" t="str">
        <f t="shared" si="12"/>
        <v/>
      </c>
      <c r="D226" t="s">
        <v>926</v>
      </c>
      <c r="E226" t="str">
        <f t="shared" si="15"/>
        <v/>
      </c>
      <c r="F226" s="16" t="str">
        <f t="shared" si="13"/>
        <v/>
      </c>
      <c r="G226" t="s">
        <v>926</v>
      </c>
    </row>
    <row r="227" spans="2:7" x14ac:dyDescent="0.25">
      <c r="B227" t="str">
        <f t="shared" si="14"/>
        <v/>
      </c>
      <c r="C227" s="16" t="str">
        <f t="shared" si="12"/>
        <v/>
      </c>
      <c r="D227" t="s">
        <v>926</v>
      </c>
      <c r="E227" t="str">
        <f t="shared" si="15"/>
        <v/>
      </c>
      <c r="F227" s="16" t="str">
        <f t="shared" si="13"/>
        <v/>
      </c>
      <c r="G227" t="s">
        <v>926</v>
      </c>
    </row>
    <row r="228" spans="2:7" x14ac:dyDescent="0.25">
      <c r="B228" t="str">
        <f t="shared" si="14"/>
        <v/>
      </c>
      <c r="C228" s="16" t="str">
        <f t="shared" si="12"/>
        <v/>
      </c>
      <c r="D228" t="s">
        <v>926</v>
      </c>
      <c r="E228" t="str">
        <f t="shared" si="15"/>
        <v/>
      </c>
      <c r="F228" s="16" t="str">
        <f t="shared" si="13"/>
        <v/>
      </c>
      <c r="G228" t="s">
        <v>926</v>
      </c>
    </row>
    <row r="229" spans="2:7" x14ac:dyDescent="0.25">
      <c r="B229" t="str">
        <f t="shared" si="14"/>
        <v/>
      </c>
      <c r="C229" s="16" t="str">
        <f t="shared" si="12"/>
        <v/>
      </c>
      <c r="D229" t="s">
        <v>926</v>
      </c>
      <c r="E229" t="str">
        <f t="shared" si="15"/>
        <v/>
      </c>
      <c r="F229" s="16" t="str">
        <f t="shared" si="13"/>
        <v/>
      </c>
      <c r="G229" t="s">
        <v>926</v>
      </c>
    </row>
    <row r="230" spans="2:7" x14ac:dyDescent="0.25">
      <c r="B230" t="str">
        <f t="shared" si="14"/>
        <v/>
      </c>
      <c r="C230" s="16" t="str">
        <f t="shared" si="12"/>
        <v/>
      </c>
      <c r="D230" t="s">
        <v>926</v>
      </c>
      <c r="E230" t="str">
        <f t="shared" si="15"/>
        <v/>
      </c>
      <c r="F230" s="16" t="str">
        <f t="shared" si="13"/>
        <v/>
      </c>
      <c r="G230" t="s">
        <v>926</v>
      </c>
    </row>
    <row r="231" spans="2:7" x14ac:dyDescent="0.25">
      <c r="B231" t="str">
        <f t="shared" si="14"/>
        <v/>
      </c>
      <c r="C231" s="16" t="str">
        <f t="shared" si="12"/>
        <v/>
      </c>
      <c r="D231" t="s">
        <v>926</v>
      </c>
      <c r="E231" t="str">
        <f t="shared" si="15"/>
        <v/>
      </c>
      <c r="F231" s="16" t="str">
        <f t="shared" si="13"/>
        <v/>
      </c>
      <c r="G231" t="s">
        <v>926</v>
      </c>
    </row>
    <row r="232" spans="2:7" x14ac:dyDescent="0.25">
      <c r="B232" t="str">
        <f t="shared" si="14"/>
        <v/>
      </c>
      <c r="C232" s="16" t="str">
        <f t="shared" si="12"/>
        <v/>
      </c>
      <c r="D232" t="s">
        <v>926</v>
      </c>
      <c r="E232" t="str">
        <f t="shared" si="15"/>
        <v/>
      </c>
      <c r="F232" s="16" t="str">
        <f t="shared" si="13"/>
        <v/>
      </c>
      <c r="G232" t="s">
        <v>926</v>
      </c>
    </row>
    <row r="233" spans="2:7" x14ac:dyDescent="0.25">
      <c r="B233" t="str">
        <f t="shared" si="14"/>
        <v/>
      </c>
      <c r="C233" s="16" t="str">
        <f t="shared" si="12"/>
        <v/>
      </c>
      <c r="D233" t="s">
        <v>926</v>
      </c>
      <c r="E233" t="str">
        <f t="shared" si="15"/>
        <v/>
      </c>
      <c r="F233" s="16" t="str">
        <f t="shared" si="13"/>
        <v/>
      </c>
      <c r="G233" t="s">
        <v>926</v>
      </c>
    </row>
    <row r="234" spans="2:7" x14ac:dyDescent="0.25">
      <c r="B234" t="str">
        <f t="shared" si="14"/>
        <v/>
      </c>
      <c r="C234" s="16" t="str">
        <f t="shared" si="12"/>
        <v/>
      </c>
      <c r="D234" t="s">
        <v>926</v>
      </c>
      <c r="E234" t="str">
        <f t="shared" si="15"/>
        <v/>
      </c>
      <c r="F234" s="16" t="str">
        <f t="shared" si="13"/>
        <v/>
      </c>
      <c r="G234" t="s">
        <v>926</v>
      </c>
    </row>
    <row r="235" spans="2:7" x14ac:dyDescent="0.25">
      <c r="B235" t="str">
        <f t="shared" si="14"/>
        <v/>
      </c>
      <c r="C235" s="16" t="str">
        <f t="shared" si="12"/>
        <v/>
      </c>
      <c r="D235" t="s">
        <v>926</v>
      </c>
      <c r="E235" t="str">
        <f t="shared" si="15"/>
        <v/>
      </c>
      <c r="F235" s="16" t="str">
        <f t="shared" si="13"/>
        <v/>
      </c>
      <c r="G235" t="s">
        <v>926</v>
      </c>
    </row>
    <row r="236" spans="2:7" x14ac:dyDescent="0.25">
      <c r="B236" t="str">
        <f t="shared" si="14"/>
        <v/>
      </c>
      <c r="C236" s="16" t="str">
        <f t="shared" si="12"/>
        <v/>
      </c>
      <c r="D236" t="s">
        <v>926</v>
      </c>
      <c r="E236" t="str">
        <f t="shared" si="15"/>
        <v/>
      </c>
      <c r="F236" s="16" t="str">
        <f t="shared" si="13"/>
        <v/>
      </c>
      <c r="G236" t="s">
        <v>926</v>
      </c>
    </row>
    <row r="237" spans="2:7" x14ac:dyDescent="0.25">
      <c r="B237" t="str">
        <f t="shared" si="14"/>
        <v/>
      </c>
      <c r="C237" s="16" t="str">
        <f t="shared" si="12"/>
        <v/>
      </c>
      <c r="D237" t="s">
        <v>926</v>
      </c>
      <c r="E237" t="str">
        <f t="shared" si="15"/>
        <v/>
      </c>
      <c r="F237" s="16" t="str">
        <f t="shared" si="13"/>
        <v/>
      </c>
      <c r="G237" t="s">
        <v>926</v>
      </c>
    </row>
    <row r="238" spans="2:7" x14ac:dyDescent="0.25">
      <c r="B238" t="str">
        <f t="shared" si="14"/>
        <v/>
      </c>
      <c r="C238" s="16" t="str">
        <f t="shared" si="12"/>
        <v/>
      </c>
      <c r="D238" t="s">
        <v>926</v>
      </c>
      <c r="E238" t="str">
        <f t="shared" si="15"/>
        <v/>
      </c>
      <c r="F238" s="16" t="str">
        <f t="shared" si="13"/>
        <v/>
      </c>
      <c r="G238" t="s">
        <v>926</v>
      </c>
    </row>
    <row r="239" spans="2:7" x14ac:dyDescent="0.25">
      <c r="B239" t="str">
        <f t="shared" si="14"/>
        <v/>
      </c>
      <c r="C239" s="16" t="str">
        <f t="shared" si="12"/>
        <v/>
      </c>
      <c r="D239" t="s">
        <v>926</v>
      </c>
      <c r="E239" t="str">
        <f t="shared" si="15"/>
        <v/>
      </c>
      <c r="F239" s="16" t="str">
        <f t="shared" si="13"/>
        <v/>
      </c>
      <c r="G239" t="s">
        <v>926</v>
      </c>
    </row>
    <row r="240" spans="2:7" x14ac:dyDescent="0.25">
      <c r="B240" t="str">
        <f t="shared" si="14"/>
        <v/>
      </c>
      <c r="C240" s="16" t="str">
        <f t="shared" si="12"/>
        <v/>
      </c>
      <c r="D240" t="s">
        <v>926</v>
      </c>
      <c r="E240" t="str">
        <f t="shared" si="15"/>
        <v/>
      </c>
      <c r="F240" s="16" t="str">
        <f t="shared" si="13"/>
        <v/>
      </c>
      <c r="G240" t="s">
        <v>926</v>
      </c>
    </row>
    <row r="241" spans="2:7" x14ac:dyDescent="0.25">
      <c r="B241" t="str">
        <f t="shared" si="14"/>
        <v/>
      </c>
      <c r="C241" s="16" t="str">
        <f t="shared" si="12"/>
        <v/>
      </c>
      <c r="D241" t="s">
        <v>926</v>
      </c>
      <c r="E241" t="str">
        <f t="shared" si="15"/>
        <v/>
      </c>
      <c r="F241" s="16" t="str">
        <f t="shared" si="13"/>
        <v/>
      </c>
      <c r="G241" t="s">
        <v>926</v>
      </c>
    </row>
    <row r="242" spans="2:7" x14ac:dyDescent="0.25">
      <c r="B242" t="str">
        <f t="shared" si="14"/>
        <v/>
      </c>
      <c r="C242" s="16" t="str">
        <f t="shared" si="12"/>
        <v/>
      </c>
      <c r="D242" t="s">
        <v>926</v>
      </c>
      <c r="E242" t="str">
        <f t="shared" si="15"/>
        <v/>
      </c>
      <c r="F242" s="16" t="str">
        <f t="shared" si="13"/>
        <v/>
      </c>
      <c r="G242" t="s">
        <v>926</v>
      </c>
    </row>
    <row r="243" spans="2:7" x14ac:dyDescent="0.25">
      <c r="B243" t="str">
        <f t="shared" si="14"/>
        <v/>
      </c>
      <c r="C243" s="16" t="str">
        <f t="shared" si="12"/>
        <v/>
      </c>
      <c r="D243" t="s">
        <v>926</v>
      </c>
      <c r="E243" t="str">
        <f t="shared" si="15"/>
        <v/>
      </c>
      <c r="F243" s="16" t="str">
        <f t="shared" si="13"/>
        <v/>
      </c>
      <c r="G243" t="s">
        <v>926</v>
      </c>
    </row>
    <row r="244" spans="2:7" x14ac:dyDescent="0.25">
      <c r="B244" t="str">
        <f t="shared" si="14"/>
        <v/>
      </c>
      <c r="C244" s="16" t="str">
        <f t="shared" si="12"/>
        <v/>
      </c>
      <c r="D244" t="s">
        <v>926</v>
      </c>
      <c r="E244" t="str">
        <f t="shared" si="15"/>
        <v/>
      </c>
      <c r="F244" s="16" t="str">
        <f t="shared" si="13"/>
        <v/>
      </c>
      <c r="G244" t="s">
        <v>926</v>
      </c>
    </row>
    <row r="245" spans="2:7" x14ac:dyDescent="0.25">
      <c r="B245" t="str">
        <f t="shared" si="14"/>
        <v/>
      </c>
      <c r="C245" s="16" t="str">
        <f t="shared" si="12"/>
        <v/>
      </c>
      <c r="D245" t="s">
        <v>926</v>
      </c>
      <c r="E245" t="str">
        <f t="shared" si="15"/>
        <v/>
      </c>
      <c r="F245" s="16" t="str">
        <f t="shared" si="13"/>
        <v/>
      </c>
      <c r="G245" t="s">
        <v>926</v>
      </c>
    </row>
    <row r="246" spans="2:7" x14ac:dyDescent="0.25">
      <c r="B246" t="str">
        <f t="shared" si="14"/>
        <v/>
      </c>
      <c r="C246" s="16" t="str">
        <f t="shared" si="12"/>
        <v/>
      </c>
      <c r="D246" t="s">
        <v>926</v>
      </c>
      <c r="E246" t="str">
        <f t="shared" si="15"/>
        <v/>
      </c>
      <c r="F246" s="16" t="str">
        <f t="shared" si="13"/>
        <v/>
      </c>
      <c r="G246" t="s">
        <v>926</v>
      </c>
    </row>
    <row r="247" spans="2:7" x14ac:dyDescent="0.25">
      <c r="B247" t="str">
        <f t="shared" si="14"/>
        <v/>
      </c>
      <c r="C247" s="16" t="str">
        <f t="shared" si="12"/>
        <v/>
      </c>
      <c r="D247" t="s">
        <v>926</v>
      </c>
      <c r="E247" t="str">
        <f t="shared" si="15"/>
        <v/>
      </c>
      <c r="F247" s="16" t="str">
        <f t="shared" si="13"/>
        <v/>
      </c>
      <c r="G247" t="s">
        <v>926</v>
      </c>
    </row>
    <row r="248" spans="2:7" x14ac:dyDescent="0.25">
      <c r="B248" t="str">
        <f t="shared" si="14"/>
        <v/>
      </c>
      <c r="C248" s="16" t="str">
        <f t="shared" si="12"/>
        <v/>
      </c>
      <c r="D248" t="s">
        <v>926</v>
      </c>
      <c r="E248" t="str">
        <f t="shared" si="15"/>
        <v/>
      </c>
      <c r="F248" s="16" t="str">
        <f t="shared" si="13"/>
        <v/>
      </c>
      <c r="G248" t="s">
        <v>926</v>
      </c>
    </row>
    <row r="249" spans="2:7" x14ac:dyDescent="0.25">
      <c r="B249" t="str">
        <f t="shared" si="14"/>
        <v/>
      </c>
      <c r="C249" s="16" t="str">
        <f t="shared" si="12"/>
        <v/>
      </c>
      <c r="D249" t="s">
        <v>926</v>
      </c>
      <c r="E249" t="str">
        <f t="shared" si="15"/>
        <v/>
      </c>
      <c r="F249" s="16" t="str">
        <f t="shared" si="13"/>
        <v/>
      </c>
      <c r="G249" t="s">
        <v>926</v>
      </c>
    </row>
    <row r="250" spans="2:7" x14ac:dyDescent="0.25">
      <c r="B250" t="str">
        <f t="shared" si="14"/>
        <v/>
      </c>
      <c r="C250" s="16" t="str">
        <f t="shared" si="12"/>
        <v/>
      </c>
      <c r="D250" t="s">
        <v>926</v>
      </c>
      <c r="E250" t="str">
        <f t="shared" si="15"/>
        <v/>
      </c>
      <c r="F250" s="16" t="str">
        <f t="shared" si="13"/>
        <v/>
      </c>
      <c r="G250" t="s">
        <v>926</v>
      </c>
    </row>
    <row r="251" spans="2:7" x14ac:dyDescent="0.25">
      <c r="B251" t="str">
        <f t="shared" si="14"/>
        <v/>
      </c>
      <c r="C251" s="16" t="str">
        <f t="shared" si="12"/>
        <v/>
      </c>
      <c r="D251" t="s">
        <v>926</v>
      </c>
      <c r="E251" t="str">
        <f t="shared" si="15"/>
        <v/>
      </c>
      <c r="F251" s="16" t="str">
        <f t="shared" si="13"/>
        <v/>
      </c>
      <c r="G251" t="s">
        <v>926</v>
      </c>
    </row>
    <row r="252" spans="2:7" x14ac:dyDescent="0.25">
      <c r="B252" t="str">
        <f t="shared" si="14"/>
        <v/>
      </c>
      <c r="C252" s="16" t="str">
        <f t="shared" si="12"/>
        <v/>
      </c>
      <c r="D252" t="s">
        <v>926</v>
      </c>
      <c r="E252" t="str">
        <f t="shared" si="15"/>
        <v/>
      </c>
      <c r="F252" s="16" t="str">
        <f t="shared" si="13"/>
        <v/>
      </c>
      <c r="G252" t="s">
        <v>926</v>
      </c>
    </row>
    <row r="253" spans="2:7" x14ac:dyDescent="0.25">
      <c r="B253" t="str">
        <f t="shared" si="14"/>
        <v/>
      </c>
      <c r="C253" s="16" t="str">
        <f t="shared" si="12"/>
        <v/>
      </c>
      <c r="D253" t="s">
        <v>926</v>
      </c>
      <c r="E253" t="str">
        <f t="shared" si="15"/>
        <v/>
      </c>
      <c r="F253" s="16" t="str">
        <f t="shared" si="13"/>
        <v/>
      </c>
      <c r="G253" t="s">
        <v>926</v>
      </c>
    </row>
    <row r="254" spans="2:7" x14ac:dyDescent="0.25">
      <c r="B254" t="str">
        <f t="shared" si="14"/>
        <v/>
      </c>
      <c r="C254" s="16" t="str">
        <f t="shared" si="12"/>
        <v/>
      </c>
      <c r="D254" t="s">
        <v>926</v>
      </c>
      <c r="E254" t="str">
        <f t="shared" si="15"/>
        <v/>
      </c>
      <c r="F254" s="16" t="str">
        <f t="shared" si="13"/>
        <v/>
      </c>
      <c r="G254" t="s">
        <v>926</v>
      </c>
    </row>
    <row r="255" spans="2:7" x14ac:dyDescent="0.25">
      <c r="B255" t="str">
        <f t="shared" si="14"/>
        <v/>
      </c>
      <c r="C255" s="16" t="str">
        <f t="shared" si="12"/>
        <v/>
      </c>
      <c r="D255" t="s">
        <v>926</v>
      </c>
      <c r="E255" t="str">
        <f t="shared" si="15"/>
        <v/>
      </c>
      <c r="F255" s="16" t="str">
        <f t="shared" si="13"/>
        <v/>
      </c>
      <c r="G255" t="s">
        <v>926</v>
      </c>
    </row>
    <row r="256" spans="2:7" x14ac:dyDescent="0.25">
      <c r="B256" t="str">
        <f t="shared" si="14"/>
        <v/>
      </c>
      <c r="C256" s="16" t="str">
        <f t="shared" si="12"/>
        <v/>
      </c>
      <c r="D256" t="s">
        <v>926</v>
      </c>
      <c r="E256" t="str">
        <f t="shared" si="15"/>
        <v/>
      </c>
      <c r="F256" s="16" t="str">
        <f t="shared" si="13"/>
        <v/>
      </c>
      <c r="G256" t="s">
        <v>926</v>
      </c>
    </row>
    <row r="257" spans="2:7" x14ac:dyDescent="0.25">
      <c r="B257" t="str">
        <f t="shared" si="14"/>
        <v/>
      </c>
      <c r="C257" s="16" t="str">
        <f t="shared" si="12"/>
        <v/>
      </c>
      <c r="D257" t="s">
        <v>926</v>
      </c>
      <c r="E257" t="str">
        <f t="shared" si="15"/>
        <v/>
      </c>
      <c r="F257" s="16" t="str">
        <f t="shared" si="13"/>
        <v/>
      </c>
      <c r="G257" t="s">
        <v>926</v>
      </c>
    </row>
    <row r="258" spans="2:7" x14ac:dyDescent="0.25">
      <c r="B258" t="str">
        <f t="shared" si="14"/>
        <v/>
      </c>
      <c r="C258" s="16" t="str">
        <f t="shared" si="12"/>
        <v/>
      </c>
      <c r="D258" t="s">
        <v>926</v>
      </c>
      <c r="E258" t="str">
        <f t="shared" si="15"/>
        <v/>
      </c>
      <c r="F258" s="16" t="str">
        <f t="shared" si="13"/>
        <v/>
      </c>
      <c r="G258" t="s">
        <v>926</v>
      </c>
    </row>
    <row r="259" spans="2:7" x14ac:dyDescent="0.25">
      <c r="B259" t="str">
        <f t="shared" si="14"/>
        <v/>
      </c>
      <c r="C259" s="16" t="str">
        <f t="shared" ref="C259:C322" si="16">IF(ISERROR(VLOOKUP(B259,ImpComp,2,FALSE)),"",VLOOKUP(B259,ImpComp,2,FALSE))</f>
        <v/>
      </c>
      <c r="D259" t="s">
        <v>926</v>
      </c>
      <c r="E259" t="str">
        <f t="shared" si="15"/>
        <v/>
      </c>
      <c r="F259" s="16" t="str">
        <f t="shared" ref="F259:F322" si="17" xml:space="preserve"> IF(ISERROR(VLOOKUP(E259,Imp_IVA1,2,FALSE)),"",VLOOKUP(E259,Imp_IVA1,2,FALSE))&amp; IF(ISERROR(VLOOKUP(E259,Imp_IVA2,2,FALSE)),"",VLOOKUP(E259,Imp_IVA2,2,FALSE))</f>
        <v/>
      </c>
      <c r="G259" t="s">
        <v>926</v>
      </c>
    </row>
    <row r="260" spans="2:7" x14ac:dyDescent="0.25">
      <c r="B260" t="str">
        <f t="shared" si="14"/>
        <v/>
      </c>
      <c r="C260" s="16" t="str">
        <f t="shared" si="16"/>
        <v/>
      </c>
      <c r="D260" t="s">
        <v>926</v>
      </c>
      <c r="E260" t="str">
        <f t="shared" si="15"/>
        <v/>
      </c>
      <c r="F260" s="16" t="str">
        <f t="shared" si="17"/>
        <v/>
      </c>
      <c r="G260" t="s">
        <v>926</v>
      </c>
    </row>
    <row r="261" spans="2:7" x14ac:dyDescent="0.25">
      <c r="B261" t="str">
        <f t="shared" ref="B261:B324" si="18">IF(OR(B260=$B$2,B260=""),"",B260+1)</f>
        <v/>
      </c>
      <c r="C261" s="16" t="str">
        <f t="shared" si="16"/>
        <v/>
      </c>
      <c r="D261" t="s">
        <v>926</v>
      </c>
      <c r="E261" t="str">
        <f t="shared" ref="E261:E324" si="19">IF(OR(E260=$E$2,E260=""),"",E260+1)</f>
        <v/>
      </c>
      <c r="F261" s="16" t="str">
        <f t="shared" si="17"/>
        <v/>
      </c>
      <c r="G261" t="s">
        <v>926</v>
      </c>
    </row>
    <row r="262" spans="2:7" x14ac:dyDescent="0.25">
      <c r="B262" t="str">
        <f t="shared" si="18"/>
        <v/>
      </c>
      <c r="C262" s="16" t="str">
        <f t="shared" si="16"/>
        <v/>
      </c>
      <c r="D262" t="s">
        <v>926</v>
      </c>
      <c r="E262" t="str">
        <f t="shared" si="19"/>
        <v/>
      </c>
      <c r="F262" s="16" t="str">
        <f t="shared" si="17"/>
        <v/>
      </c>
      <c r="G262" t="s">
        <v>926</v>
      </c>
    </row>
    <row r="263" spans="2:7" x14ac:dyDescent="0.25">
      <c r="B263" t="str">
        <f t="shared" si="18"/>
        <v/>
      </c>
      <c r="C263" s="16" t="str">
        <f t="shared" si="16"/>
        <v/>
      </c>
      <c r="D263" t="s">
        <v>926</v>
      </c>
      <c r="E263" t="str">
        <f t="shared" si="19"/>
        <v/>
      </c>
      <c r="F263" s="16" t="str">
        <f t="shared" si="17"/>
        <v/>
      </c>
      <c r="G263" t="s">
        <v>926</v>
      </c>
    </row>
    <row r="264" spans="2:7" x14ac:dyDescent="0.25">
      <c r="B264" t="str">
        <f t="shared" si="18"/>
        <v/>
      </c>
      <c r="C264" s="16" t="str">
        <f t="shared" si="16"/>
        <v/>
      </c>
      <c r="D264" t="s">
        <v>926</v>
      </c>
      <c r="E264" t="str">
        <f t="shared" si="19"/>
        <v/>
      </c>
      <c r="F264" s="16" t="str">
        <f t="shared" si="17"/>
        <v/>
      </c>
      <c r="G264" t="s">
        <v>926</v>
      </c>
    </row>
    <row r="265" spans="2:7" x14ac:dyDescent="0.25">
      <c r="B265" t="str">
        <f t="shared" si="18"/>
        <v/>
      </c>
      <c r="C265" s="16" t="str">
        <f t="shared" si="16"/>
        <v/>
      </c>
      <c r="D265" t="s">
        <v>926</v>
      </c>
      <c r="E265" t="str">
        <f t="shared" si="19"/>
        <v/>
      </c>
      <c r="F265" s="16" t="str">
        <f t="shared" si="17"/>
        <v/>
      </c>
      <c r="G265" t="s">
        <v>926</v>
      </c>
    </row>
    <row r="266" spans="2:7" x14ac:dyDescent="0.25">
      <c r="B266" t="str">
        <f t="shared" si="18"/>
        <v/>
      </c>
      <c r="C266" s="16" t="str">
        <f t="shared" si="16"/>
        <v/>
      </c>
      <c r="D266" t="s">
        <v>926</v>
      </c>
      <c r="E266" t="str">
        <f t="shared" si="19"/>
        <v/>
      </c>
      <c r="F266" s="16" t="str">
        <f t="shared" si="17"/>
        <v/>
      </c>
      <c r="G266" t="s">
        <v>926</v>
      </c>
    </row>
    <row r="267" spans="2:7" x14ac:dyDescent="0.25">
      <c r="B267" t="str">
        <f t="shared" si="18"/>
        <v/>
      </c>
      <c r="C267" s="16" t="str">
        <f t="shared" si="16"/>
        <v/>
      </c>
      <c r="D267" t="s">
        <v>926</v>
      </c>
      <c r="E267" t="str">
        <f t="shared" si="19"/>
        <v/>
      </c>
      <c r="F267" s="16" t="str">
        <f t="shared" si="17"/>
        <v/>
      </c>
      <c r="G267" t="s">
        <v>926</v>
      </c>
    </row>
    <row r="268" spans="2:7" x14ac:dyDescent="0.25">
      <c r="B268" t="str">
        <f t="shared" si="18"/>
        <v/>
      </c>
      <c r="C268" s="16" t="str">
        <f t="shared" si="16"/>
        <v/>
      </c>
      <c r="D268" t="s">
        <v>926</v>
      </c>
      <c r="E268" t="str">
        <f t="shared" si="19"/>
        <v/>
      </c>
      <c r="F268" s="16" t="str">
        <f t="shared" si="17"/>
        <v/>
      </c>
      <c r="G268" t="s">
        <v>926</v>
      </c>
    </row>
    <row r="269" spans="2:7" x14ac:dyDescent="0.25">
      <c r="B269" t="str">
        <f t="shared" si="18"/>
        <v/>
      </c>
      <c r="C269" s="16" t="str">
        <f t="shared" si="16"/>
        <v/>
      </c>
      <c r="D269" t="s">
        <v>926</v>
      </c>
      <c r="E269" t="str">
        <f t="shared" si="19"/>
        <v/>
      </c>
      <c r="F269" s="16" t="str">
        <f t="shared" si="17"/>
        <v/>
      </c>
      <c r="G269" t="s">
        <v>926</v>
      </c>
    </row>
    <row r="270" spans="2:7" x14ac:dyDescent="0.25">
      <c r="B270" t="str">
        <f t="shared" si="18"/>
        <v/>
      </c>
      <c r="C270" s="16" t="str">
        <f t="shared" si="16"/>
        <v/>
      </c>
      <c r="D270" t="s">
        <v>926</v>
      </c>
      <c r="E270" t="str">
        <f t="shared" si="19"/>
        <v/>
      </c>
      <c r="F270" s="16" t="str">
        <f t="shared" si="17"/>
        <v/>
      </c>
      <c r="G270" t="s">
        <v>926</v>
      </c>
    </row>
    <row r="271" spans="2:7" x14ac:dyDescent="0.25">
      <c r="B271" t="str">
        <f t="shared" si="18"/>
        <v/>
      </c>
      <c r="C271" s="16" t="str">
        <f t="shared" si="16"/>
        <v/>
      </c>
      <c r="D271" t="s">
        <v>926</v>
      </c>
      <c r="E271" t="str">
        <f t="shared" si="19"/>
        <v/>
      </c>
      <c r="F271" s="16" t="str">
        <f t="shared" si="17"/>
        <v/>
      </c>
      <c r="G271" t="s">
        <v>926</v>
      </c>
    </row>
    <row r="272" spans="2:7" x14ac:dyDescent="0.25">
      <c r="B272" t="str">
        <f t="shared" si="18"/>
        <v/>
      </c>
      <c r="C272" s="16" t="str">
        <f t="shared" si="16"/>
        <v/>
      </c>
      <c r="D272" t="s">
        <v>926</v>
      </c>
      <c r="E272" t="str">
        <f t="shared" si="19"/>
        <v/>
      </c>
      <c r="F272" s="16" t="str">
        <f t="shared" si="17"/>
        <v/>
      </c>
      <c r="G272" t="s">
        <v>926</v>
      </c>
    </row>
    <row r="273" spans="2:7" x14ac:dyDescent="0.25">
      <c r="B273" t="str">
        <f t="shared" si="18"/>
        <v/>
      </c>
      <c r="C273" s="16" t="str">
        <f t="shared" si="16"/>
        <v/>
      </c>
      <c r="D273" t="s">
        <v>926</v>
      </c>
      <c r="E273" t="str">
        <f t="shared" si="19"/>
        <v/>
      </c>
      <c r="F273" s="16" t="str">
        <f t="shared" si="17"/>
        <v/>
      </c>
      <c r="G273" t="s">
        <v>926</v>
      </c>
    </row>
    <row r="274" spans="2:7" x14ac:dyDescent="0.25">
      <c r="B274" t="str">
        <f t="shared" si="18"/>
        <v/>
      </c>
      <c r="C274" s="16" t="str">
        <f t="shared" si="16"/>
        <v/>
      </c>
      <c r="D274" t="s">
        <v>926</v>
      </c>
      <c r="E274" t="str">
        <f t="shared" si="19"/>
        <v/>
      </c>
      <c r="F274" s="16" t="str">
        <f t="shared" si="17"/>
        <v/>
      </c>
      <c r="G274" t="s">
        <v>926</v>
      </c>
    </row>
    <row r="275" spans="2:7" x14ac:dyDescent="0.25">
      <c r="B275" t="str">
        <f t="shared" si="18"/>
        <v/>
      </c>
      <c r="C275" s="16" t="str">
        <f t="shared" si="16"/>
        <v/>
      </c>
      <c r="D275" t="s">
        <v>926</v>
      </c>
      <c r="E275" t="str">
        <f t="shared" si="19"/>
        <v/>
      </c>
      <c r="F275" s="16" t="str">
        <f t="shared" si="17"/>
        <v/>
      </c>
      <c r="G275" t="s">
        <v>926</v>
      </c>
    </row>
    <row r="276" spans="2:7" x14ac:dyDescent="0.25">
      <c r="B276" t="str">
        <f t="shared" si="18"/>
        <v/>
      </c>
      <c r="C276" s="16" t="str">
        <f t="shared" si="16"/>
        <v/>
      </c>
      <c r="D276" t="s">
        <v>926</v>
      </c>
      <c r="E276" t="str">
        <f t="shared" si="19"/>
        <v/>
      </c>
      <c r="F276" s="16" t="str">
        <f t="shared" si="17"/>
        <v/>
      </c>
      <c r="G276" t="s">
        <v>926</v>
      </c>
    </row>
    <row r="277" spans="2:7" x14ac:dyDescent="0.25">
      <c r="B277" t="str">
        <f t="shared" si="18"/>
        <v/>
      </c>
      <c r="C277" s="16" t="str">
        <f t="shared" si="16"/>
        <v/>
      </c>
      <c r="D277" t="s">
        <v>926</v>
      </c>
      <c r="E277" t="str">
        <f t="shared" si="19"/>
        <v/>
      </c>
      <c r="F277" s="16" t="str">
        <f t="shared" si="17"/>
        <v/>
      </c>
      <c r="G277" t="s">
        <v>926</v>
      </c>
    </row>
    <row r="278" spans="2:7" x14ac:dyDescent="0.25">
      <c r="B278" t="str">
        <f t="shared" si="18"/>
        <v/>
      </c>
      <c r="C278" s="16" t="str">
        <f t="shared" si="16"/>
        <v/>
      </c>
      <c r="D278" t="s">
        <v>926</v>
      </c>
      <c r="E278" t="str">
        <f t="shared" si="19"/>
        <v/>
      </c>
      <c r="F278" s="16" t="str">
        <f t="shared" si="17"/>
        <v/>
      </c>
      <c r="G278" t="s">
        <v>926</v>
      </c>
    </row>
    <row r="279" spans="2:7" x14ac:dyDescent="0.25">
      <c r="B279" t="str">
        <f t="shared" si="18"/>
        <v/>
      </c>
      <c r="C279" s="16" t="str">
        <f t="shared" si="16"/>
        <v/>
      </c>
      <c r="D279" t="s">
        <v>926</v>
      </c>
      <c r="E279" t="str">
        <f t="shared" si="19"/>
        <v/>
      </c>
      <c r="F279" s="16" t="str">
        <f t="shared" si="17"/>
        <v/>
      </c>
      <c r="G279" t="s">
        <v>926</v>
      </c>
    </row>
    <row r="280" spans="2:7" x14ac:dyDescent="0.25">
      <c r="B280" t="str">
        <f t="shared" si="18"/>
        <v/>
      </c>
      <c r="C280" s="16" t="str">
        <f t="shared" si="16"/>
        <v/>
      </c>
      <c r="D280" t="s">
        <v>926</v>
      </c>
      <c r="E280" t="str">
        <f t="shared" si="19"/>
        <v/>
      </c>
      <c r="F280" s="16" t="str">
        <f t="shared" si="17"/>
        <v/>
      </c>
      <c r="G280" t="s">
        <v>926</v>
      </c>
    </row>
    <row r="281" spans="2:7" x14ac:dyDescent="0.25">
      <c r="B281" t="str">
        <f t="shared" si="18"/>
        <v/>
      </c>
      <c r="C281" s="16" t="str">
        <f t="shared" si="16"/>
        <v/>
      </c>
      <c r="D281" t="s">
        <v>926</v>
      </c>
      <c r="E281" t="str">
        <f t="shared" si="19"/>
        <v/>
      </c>
      <c r="F281" s="16" t="str">
        <f t="shared" si="17"/>
        <v/>
      </c>
      <c r="G281" t="s">
        <v>926</v>
      </c>
    </row>
    <row r="282" spans="2:7" x14ac:dyDescent="0.25">
      <c r="B282" t="str">
        <f t="shared" si="18"/>
        <v/>
      </c>
      <c r="C282" s="16" t="str">
        <f t="shared" si="16"/>
        <v/>
      </c>
      <c r="D282" t="s">
        <v>926</v>
      </c>
      <c r="E282" t="str">
        <f t="shared" si="19"/>
        <v/>
      </c>
      <c r="F282" s="16" t="str">
        <f t="shared" si="17"/>
        <v/>
      </c>
      <c r="G282" t="s">
        <v>926</v>
      </c>
    </row>
    <row r="283" spans="2:7" x14ac:dyDescent="0.25">
      <c r="B283" t="str">
        <f t="shared" si="18"/>
        <v/>
      </c>
      <c r="C283" s="16" t="str">
        <f t="shared" si="16"/>
        <v/>
      </c>
      <c r="D283" t="s">
        <v>926</v>
      </c>
      <c r="E283" t="str">
        <f t="shared" si="19"/>
        <v/>
      </c>
      <c r="F283" s="16" t="str">
        <f t="shared" si="17"/>
        <v/>
      </c>
      <c r="G283" t="s">
        <v>926</v>
      </c>
    </row>
    <row r="284" spans="2:7" x14ac:dyDescent="0.25">
      <c r="B284" t="str">
        <f t="shared" si="18"/>
        <v/>
      </c>
      <c r="C284" s="16" t="str">
        <f t="shared" si="16"/>
        <v/>
      </c>
      <c r="D284" t="s">
        <v>926</v>
      </c>
      <c r="E284" t="str">
        <f t="shared" si="19"/>
        <v/>
      </c>
      <c r="F284" s="16" t="str">
        <f t="shared" si="17"/>
        <v/>
      </c>
      <c r="G284" t="s">
        <v>926</v>
      </c>
    </row>
    <row r="285" spans="2:7" x14ac:dyDescent="0.25">
      <c r="B285" t="str">
        <f t="shared" si="18"/>
        <v/>
      </c>
      <c r="C285" s="16" t="str">
        <f t="shared" si="16"/>
        <v/>
      </c>
      <c r="D285" t="s">
        <v>926</v>
      </c>
      <c r="E285" t="str">
        <f t="shared" si="19"/>
        <v/>
      </c>
      <c r="F285" s="16" t="str">
        <f t="shared" si="17"/>
        <v/>
      </c>
      <c r="G285" t="s">
        <v>926</v>
      </c>
    </row>
    <row r="286" spans="2:7" x14ac:dyDescent="0.25">
      <c r="B286" t="str">
        <f t="shared" si="18"/>
        <v/>
      </c>
      <c r="C286" s="16" t="str">
        <f t="shared" si="16"/>
        <v/>
      </c>
      <c r="D286" t="s">
        <v>926</v>
      </c>
      <c r="E286" t="str">
        <f t="shared" si="19"/>
        <v/>
      </c>
      <c r="F286" s="16" t="str">
        <f t="shared" si="17"/>
        <v/>
      </c>
      <c r="G286" t="s">
        <v>926</v>
      </c>
    </row>
    <row r="287" spans="2:7" x14ac:dyDescent="0.25">
      <c r="B287" t="str">
        <f t="shared" si="18"/>
        <v/>
      </c>
      <c r="C287" s="16" t="str">
        <f t="shared" si="16"/>
        <v/>
      </c>
      <c r="D287" t="s">
        <v>926</v>
      </c>
      <c r="E287" t="str">
        <f t="shared" si="19"/>
        <v/>
      </c>
      <c r="F287" s="16" t="str">
        <f t="shared" si="17"/>
        <v/>
      </c>
      <c r="G287" t="s">
        <v>926</v>
      </c>
    </row>
    <row r="288" spans="2:7" x14ac:dyDescent="0.25">
      <c r="B288" t="str">
        <f t="shared" si="18"/>
        <v/>
      </c>
      <c r="C288" s="16" t="str">
        <f t="shared" si="16"/>
        <v/>
      </c>
      <c r="D288" t="s">
        <v>926</v>
      </c>
      <c r="E288" t="str">
        <f t="shared" si="19"/>
        <v/>
      </c>
      <c r="F288" s="16" t="str">
        <f t="shared" si="17"/>
        <v/>
      </c>
      <c r="G288" t="s">
        <v>926</v>
      </c>
    </row>
    <row r="289" spans="2:7" x14ac:dyDescent="0.25">
      <c r="B289" t="str">
        <f t="shared" si="18"/>
        <v/>
      </c>
      <c r="C289" s="16" t="str">
        <f t="shared" si="16"/>
        <v/>
      </c>
      <c r="D289" t="s">
        <v>926</v>
      </c>
      <c r="E289" t="str">
        <f t="shared" si="19"/>
        <v/>
      </c>
      <c r="F289" s="16" t="str">
        <f t="shared" si="17"/>
        <v/>
      </c>
      <c r="G289" t="s">
        <v>926</v>
      </c>
    </row>
    <row r="290" spans="2:7" x14ac:dyDescent="0.25">
      <c r="B290" t="str">
        <f t="shared" si="18"/>
        <v/>
      </c>
      <c r="C290" s="16" t="str">
        <f t="shared" si="16"/>
        <v/>
      </c>
      <c r="D290" t="s">
        <v>926</v>
      </c>
      <c r="E290" t="str">
        <f t="shared" si="19"/>
        <v/>
      </c>
      <c r="F290" s="16" t="str">
        <f t="shared" si="17"/>
        <v/>
      </c>
      <c r="G290" t="s">
        <v>926</v>
      </c>
    </row>
    <row r="291" spans="2:7" x14ac:dyDescent="0.25">
      <c r="B291" t="str">
        <f t="shared" si="18"/>
        <v/>
      </c>
      <c r="C291" s="16" t="str">
        <f t="shared" si="16"/>
        <v/>
      </c>
      <c r="D291" t="s">
        <v>926</v>
      </c>
      <c r="E291" t="str">
        <f t="shared" si="19"/>
        <v/>
      </c>
      <c r="F291" s="16" t="str">
        <f t="shared" si="17"/>
        <v/>
      </c>
      <c r="G291" t="s">
        <v>926</v>
      </c>
    </row>
    <row r="292" spans="2:7" x14ac:dyDescent="0.25">
      <c r="B292" t="str">
        <f t="shared" si="18"/>
        <v/>
      </c>
      <c r="C292" s="16" t="str">
        <f t="shared" si="16"/>
        <v/>
      </c>
      <c r="D292" t="s">
        <v>926</v>
      </c>
      <c r="E292" t="str">
        <f t="shared" si="19"/>
        <v/>
      </c>
      <c r="F292" s="16" t="str">
        <f t="shared" si="17"/>
        <v/>
      </c>
      <c r="G292" t="s">
        <v>926</v>
      </c>
    </row>
    <row r="293" spans="2:7" x14ac:dyDescent="0.25">
      <c r="B293" t="str">
        <f t="shared" si="18"/>
        <v/>
      </c>
      <c r="C293" s="16" t="str">
        <f t="shared" si="16"/>
        <v/>
      </c>
      <c r="D293" t="s">
        <v>926</v>
      </c>
      <c r="E293" t="str">
        <f t="shared" si="19"/>
        <v/>
      </c>
      <c r="F293" s="16" t="str">
        <f t="shared" si="17"/>
        <v/>
      </c>
      <c r="G293" t="s">
        <v>926</v>
      </c>
    </row>
    <row r="294" spans="2:7" x14ac:dyDescent="0.25">
      <c r="B294" t="str">
        <f t="shared" si="18"/>
        <v/>
      </c>
      <c r="C294" s="16" t="str">
        <f t="shared" si="16"/>
        <v/>
      </c>
      <c r="D294" t="s">
        <v>926</v>
      </c>
      <c r="E294" t="str">
        <f t="shared" si="19"/>
        <v/>
      </c>
      <c r="F294" s="16" t="str">
        <f t="shared" si="17"/>
        <v/>
      </c>
      <c r="G294" t="s">
        <v>926</v>
      </c>
    </row>
    <row r="295" spans="2:7" x14ac:dyDescent="0.25">
      <c r="B295" t="str">
        <f t="shared" si="18"/>
        <v/>
      </c>
      <c r="C295" s="16" t="str">
        <f t="shared" si="16"/>
        <v/>
      </c>
      <c r="D295" t="s">
        <v>926</v>
      </c>
      <c r="E295" t="str">
        <f t="shared" si="19"/>
        <v/>
      </c>
      <c r="F295" s="16" t="str">
        <f t="shared" si="17"/>
        <v/>
      </c>
      <c r="G295" t="s">
        <v>926</v>
      </c>
    </row>
    <row r="296" spans="2:7" x14ac:dyDescent="0.25">
      <c r="B296" t="str">
        <f t="shared" si="18"/>
        <v/>
      </c>
      <c r="C296" s="16" t="str">
        <f t="shared" si="16"/>
        <v/>
      </c>
      <c r="D296" t="s">
        <v>926</v>
      </c>
      <c r="E296" t="str">
        <f t="shared" si="19"/>
        <v/>
      </c>
      <c r="F296" s="16" t="str">
        <f t="shared" si="17"/>
        <v/>
      </c>
      <c r="G296" t="s">
        <v>926</v>
      </c>
    </row>
    <row r="297" spans="2:7" x14ac:dyDescent="0.25">
      <c r="B297" t="str">
        <f t="shared" si="18"/>
        <v/>
      </c>
      <c r="C297" s="16" t="str">
        <f t="shared" si="16"/>
        <v/>
      </c>
      <c r="D297" t="s">
        <v>926</v>
      </c>
      <c r="E297" t="str">
        <f t="shared" si="19"/>
        <v/>
      </c>
      <c r="F297" s="16" t="str">
        <f t="shared" si="17"/>
        <v/>
      </c>
      <c r="G297" t="s">
        <v>926</v>
      </c>
    </row>
    <row r="298" spans="2:7" x14ac:dyDescent="0.25">
      <c r="B298" t="str">
        <f t="shared" si="18"/>
        <v/>
      </c>
      <c r="C298" s="16" t="str">
        <f t="shared" si="16"/>
        <v/>
      </c>
      <c r="D298" t="s">
        <v>926</v>
      </c>
      <c r="E298" t="str">
        <f t="shared" si="19"/>
        <v/>
      </c>
      <c r="F298" s="16" t="str">
        <f t="shared" si="17"/>
        <v/>
      </c>
      <c r="G298" t="s">
        <v>926</v>
      </c>
    </row>
    <row r="299" spans="2:7" x14ac:dyDescent="0.25">
      <c r="B299" t="str">
        <f t="shared" si="18"/>
        <v/>
      </c>
      <c r="C299" s="16" t="str">
        <f t="shared" si="16"/>
        <v/>
      </c>
      <c r="D299" t="s">
        <v>926</v>
      </c>
      <c r="E299" t="str">
        <f t="shared" si="19"/>
        <v/>
      </c>
      <c r="F299" s="16" t="str">
        <f t="shared" si="17"/>
        <v/>
      </c>
      <c r="G299" t="s">
        <v>926</v>
      </c>
    </row>
    <row r="300" spans="2:7" x14ac:dyDescent="0.25">
      <c r="B300" t="str">
        <f t="shared" si="18"/>
        <v/>
      </c>
      <c r="C300" s="16" t="str">
        <f t="shared" si="16"/>
        <v/>
      </c>
      <c r="D300" t="s">
        <v>926</v>
      </c>
      <c r="E300" t="str">
        <f t="shared" si="19"/>
        <v/>
      </c>
      <c r="F300" s="16" t="str">
        <f t="shared" si="17"/>
        <v/>
      </c>
      <c r="G300" t="s">
        <v>926</v>
      </c>
    </row>
    <row r="301" spans="2:7" x14ac:dyDescent="0.25">
      <c r="B301" t="str">
        <f t="shared" si="18"/>
        <v/>
      </c>
      <c r="C301" s="16" t="str">
        <f t="shared" si="16"/>
        <v/>
      </c>
      <c r="D301" t="s">
        <v>926</v>
      </c>
      <c r="E301" t="str">
        <f t="shared" si="19"/>
        <v/>
      </c>
      <c r="F301" s="16" t="str">
        <f t="shared" si="17"/>
        <v/>
      </c>
      <c r="G301" t="s">
        <v>926</v>
      </c>
    </row>
    <row r="302" spans="2:7" x14ac:dyDescent="0.25">
      <c r="B302" t="str">
        <f t="shared" si="18"/>
        <v/>
      </c>
      <c r="C302" s="16" t="str">
        <f t="shared" si="16"/>
        <v/>
      </c>
      <c r="D302" t="s">
        <v>926</v>
      </c>
      <c r="E302" t="str">
        <f t="shared" si="19"/>
        <v/>
      </c>
      <c r="F302" s="16" t="str">
        <f t="shared" si="17"/>
        <v/>
      </c>
      <c r="G302" t="s">
        <v>926</v>
      </c>
    </row>
    <row r="303" spans="2:7" x14ac:dyDescent="0.25">
      <c r="B303" t="str">
        <f t="shared" si="18"/>
        <v/>
      </c>
      <c r="C303" s="16" t="str">
        <f t="shared" si="16"/>
        <v/>
      </c>
      <c r="D303" t="s">
        <v>926</v>
      </c>
      <c r="E303" t="str">
        <f t="shared" si="19"/>
        <v/>
      </c>
      <c r="F303" s="16" t="str">
        <f t="shared" si="17"/>
        <v/>
      </c>
      <c r="G303" t="s">
        <v>926</v>
      </c>
    </row>
    <row r="304" spans="2:7" x14ac:dyDescent="0.25">
      <c r="B304" t="str">
        <f t="shared" si="18"/>
        <v/>
      </c>
      <c r="C304" s="16" t="str">
        <f t="shared" si="16"/>
        <v/>
      </c>
      <c r="D304" t="s">
        <v>926</v>
      </c>
      <c r="E304" t="str">
        <f t="shared" si="19"/>
        <v/>
      </c>
      <c r="F304" s="16" t="str">
        <f t="shared" si="17"/>
        <v/>
      </c>
      <c r="G304" t="s">
        <v>926</v>
      </c>
    </row>
    <row r="305" spans="2:7" x14ac:dyDescent="0.25">
      <c r="B305" t="str">
        <f t="shared" si="18"/>
        <v/>
      </c>
      <c r="C305" s="16" t="str">
        <f t="shared" si="16"/>
        <v/>
      </c>
      <c r="D305" t="s">
        <v>926</v>
      </c>
      <c r="E305" t="str">
        <f t="shared" si="19"/>
        <v/>
      </c>
      <c r="F305" s="16" t="str">
        <f t="shared" si="17"/>
        <v/>
      </c>
      <c r="G305" t="s">
        <v>926</v>
      </c>
    </row>
    <row r="306" spans="2:7" x14ac:dyDescent="0.25">
      <c r="B306" t="str">
        <f t="shared" si="18"/>
        <v/>
      </c>
      <c r="C306" s="16" t="str">
        <f t="shared" si="16"/>
        <v/>
      </c>
      <c r="D306" t="s">
        <v>926</v>
      </c>
      <c r="E306" t="str">
        <f t="shared" si="19"/>
        <v/>
      </c>
      <c r="F306" s="16" t="str">
        <f t="shared" si="17"/>
        <v/>
      </c>
      <c r="G306" t="s">
        <v>926</v>
      </c>
    </row>
    <row r="307" spans="2:7" x14ac:dyDescent="0.25">
      <c r="B307" t="str">
        <f t="shared" si="18"/>
        <v/>
      </c>
      <c r="C307" s="16" t="str">
        <f t="shared" si="16"/>
        <v/>
      </c>
      <c r="D307" t="s">
        <v>926</v>
      </c>
      <c r="E307" t="str">
        <f t="shared" si="19"/>
        <v/>
      </c>
      <c r="F307" s="16" t="str">
        <f t="shared" si="17"/>
        <v/>
      </c>
      <c r="G307" t="s">
        <v>926</v>
      </c>
    </row>
    <row r="308" spans="2:7" x14ac:dyDescent="0.25">
      <c r="B308" t="str">
        <f t="shared" si="18"/>
        <v/>
      </c>
      <c r="C308" s="16" t="str">
        <f t="shared" si="16"/>
        <v/>
      </c>
      <c r="D308" t="s">
        <v>926</v>
      </c>
      <c r="E308" t="str">
        <f t="shared" si="19"/>
        <v/>
      </c>
      <c r="F308" s="16" t="str">
        <f t="shared" si="17"/>
        <v/>
      </c>
      <c r="G308" t="s">
        <v>926</v>
      </c>
    </row>
    <row r="309" spans="2:7" x14ac:dyDescent="0.25">
      <c r="B309" t="str">
        <f t="shared" si="18"/>
        <v/>
      </c>
      <c r="C309" s="16" t="str">
        <f t="shared" si="16"/>
        <v/>
      </c>
      <c r="D309" t="s">
        <v>926</v>
      </c>
      <c r="E309" t="str">
        <f t="shared" si="19"/>
        <v/>
      </c>
      <c r="F309" s="16" t="str">
        <f t="shared" si="17"/>
        <v/>
      </c>
      <c r="G309" t="s">
        <v>926</v>
      </c>
    </row>
    <row r="310" spans="2:7" x14ac:dyDescent="0.25">
      <c r="B310" t="str">
        <f t="shared" si="18"/>
        <v/>
      </c>
      <c r="C310" s="16" t="str">
        <f t="shared" si="16"/>
        <v/>
      </c>
      <c r="D310" t="s">
        <v>926</v>
      </c>
      <c r="E310" t="str">
        <f t="shared" si="19"/>
        <v/>
      </c>
      <c r="F310" s="16" t="str">
        <f t="shared" si="17"/>
        <v/>
      </c>
      <c r="G310" t="s">
        <v>926</v>
      </c>
    </row>
    <row r="311" spans="2:7" x14ac:dyDescent="0.25">
      <c r="B311" t="str">
        <f t="shared" si="18"/>
        <v/>
      </c>
      <c r="C311" s="16" t="str">
        <f t="shared" si="16"/>
        <v/>
      </c>
      <c r="D311" t="s">
        <v>926</v>
      </c>
      <c r="E311" t="str">
        <f t="shared" si="19"/>
        <v/>
      </c>
      <c r="F311" s="16" t="str">
        <f t="shared" si="17"/>
        <v/>
      </c>
      <c r="G311" t="s">
        <v>926</v>
      </c>
    </row>
    <row r="312" spans="2:7" x14ac:dyDescent="0.25">
      <c r="B312" t="str">
        <f t="shared" si="18"/>
        <v/>
      </c>
      <c r="C312" s="16" t="str">
        <f t="shared" si="16"/>
        <v/>
      </c>
      <c r="D312" t="s">
        <v>926</v>
      </c>
      <c r="E312" t="str">
        <f t="shared" si="19"/>
        <v/>
      </c>
      <c r="F312" s="16" t="str">
        <f t="shared" si="17"/>
        <v/>
      </c>
      <c r="G312" t="s">
        <v>926</v>
      </c>
    </row>
    <row r="313" spans="2:7" x14ac:dyDescent="0.25">
      <c r="B313" t="str">
        <f t="shared" si="18"/>
        <v/>
      </c>
      <c r="C313" s="16" t="str">
        <f t="shared" si="16"/>
        <v/>
      </c>
      <c r="D313" t="s">
        <v>926</v>
      </c>
      <c r="E313" t="str">
        <f t="shared" si="19"/>
        <v/>
      </c>
      <c r="F313" s="16" t="str">
        <f t="shared" si="17"/>
        <v/>
      </c>
      <c r="G313" t="s">
        <v>926</v>
      </c>
    </row>
    <row r="314" spans="2:7" x14ac:dyDescent="0.25">
      <c r="B314" t="str">
        <f t="shared" si="18"/>
        <v/>
      </c>
      <c r="C314" s="16" t="str">
        <f t="shared" si="16"/>
        <v/>
      </c>
      <c r="D314" t="s">
        <v>926</v>
      </c>
      <c r="E314" t="str">
        <f t="shared" si="19"/>
        <v/>
      </c>
      <c r="F314" s="16" t="str">
        <f t="shared" si="17"/>
        <v/>
      </c>
      <c r="G314" t="s">
        <v>926</v>
      </c>
    </row>
    <row r="315" spans="2:7" x14ac:dyDescent="0.25">
      <c r="B315" t="str">
        <f t="shared" si="18"/>
        <v/>
      </c>
      <c r="C315" s="16" t="str">
        <f t="shared" si="16"/>
        <v/>
      </c>
      <c r="D315" t="s">
        <v>926</v>
      </c>
      <c r="E315" t="str">
        <f t="shared" si="19"/>
        <v/>
      </c>
      <c r="F315" s="16" t="str">
        <f t="shared" si="17"/>
        <v/>
      </c>
      <c r="G315" t="s">
        <v>926</v>
      </c>
    </row>
    <row r="316" spans="2:7" x14ac:dyDescent="0.25">
      <c r="B316" t="str">
        <f t="shared" si="18"/>
        <v/>
      </c>
      <c r="C316" s="16" t="str">
        <f t="shared" si="16"/>
        <v/>
      </c>
      <c r="D316" t="s">
        <v>926</v>
      </c>
      <c r="E316" t="str">
        <f t="shared" si="19"/>
        <v/>
      </c>
      <c r="F316" s="16" t="str">
        <f t="shared" si="17"/>
        <v/>
      </c>
      <c r="G316" t="s">
        <v>926</v>
      </c>
    </row>
    <row r="317" spans="2:7" x14ac:dyDescent="0.25">
      <c r="B317" t="str">
        <f t="shared" si="18"/>
        <v/>
      </c>
      <c r="C317" s="16" t="str">
        <f t="shared" si="16"/>
        <v/>
      </c>
      <c r="D317" t="s">
        <v>926</v>
      </c>
      <c r="E317" t="str">
        <f t="shared" si="19"/>
        <v/>
      </c>
      <c r="F317" s="16" t="str">
        <f t="shared" si="17"/>
        <v/>
      </c>
      <c r="G317" t="s">
        <v>926</v>
      </c>
    </row>
    <row r="318" spans="2:7" x14ac:dyDescent="0.25">
      <c r="B318" t="str">
        <f t="shared" si="18"/>
        <v/>
      </c>
      <c r="C318" s="16" t="str">
        <f t="shared" si="16"/>
        <v/>
      </c>
      <c r="D318" t="s">
        <v>926</v>
      </c>
      <c r="E318" t="str">
        <f t="shared" si="19"/>
        <v/>
      </c>
      <c r="F318" s="16" t="str">
        <f t="shared" si="17"/>
        <v/>
      </c>
      <c r="G318" t="s">
        <v>926</v>
      </c>
    </row>
    <row r="319" spans="2:7" x14ac:dyDescent="0.25">
      <c r="B319" t="str">
        <f t="shared" si="18"/>
        <v/>
      </c>
      <c r="C319" s="16" t="str">
        <f t="shared" si="16"/>
        <v/>
      </c>
      <c r="D319" t="s">
        <v>926</v>
      </c>
      <c r="E319" t="str">
        <f t="shared" si="19"/>
        <v/>
      </c>
      <c r="F319" s="16" t="str">
        <f t="shared" si="17"/>
        <v/>
      </c>
      <c r="G319" t="s">
        <v>926</v>
      </c>
    </row>
    <row r="320" spans="2:7" x14ac:dyDescent="0.25">
      <c r="B320" t="str">
        <f t="shared" si="18"/>
        <v/>
      </c>
      <c r="C320" s="16" t="str">
        <f t="shared" si="16"/>
        <v/>
      </c>
      <c r="D320" t="s">
        <v>926</v>
      </c>
      <c r="E320" t="str">
        <f t="shared" si="19"/>
        <v/>
      </c>
      <c r="F320" s="16" t="str">
        <f t="shared" si="17"/>
        <v/>
      </c>
      <c r="G320" t="s">
        <v>926</v>
      </c>
    </row>
    <row r="321" spans="2:7" x14ac:dyDescent="0.25">
      <c r="B321" t="str">
        <f t="shared" si="18"/>
        <v/>
      </c>
      <c r="C321" s="16" t="str">
        <f t="shared" si="16"/>
        <v/>
      </c>
      <c r="D321" t="s">
        <v>926</v>
      </c>
      <c r="E321" t="str">
        <f t="shared" si="19"/>
        <v/>
      </c>
      <c r="F321" s="16" t="str">
        <f t="shared" si="17"/>
        <v/>
      </c>
      <c r="G321" t="s">
        <v>926</v>
      </c>
    </row>
    <row r="322" spans="2:7" x14ac:dyDescent="0.25">
      <c r="B322" t="str">
        <f t="shared" si="18"/>
        <v/>
      </c>
      <c r="C322" s="16" t="str">
        <f t="shared" si="16"/>
        <v/>
      </c>
      <c r="D322" t="s">
        <v>926</v>
      </c>
      <c r="E322" t="str">
        <f t="shared" si="19"/>
        <v/>
      </c>
      <c r="F322" s="16" t="str">
        <f t="shared" si="17"/>
        <v/>
      </c>
      <c r="G322" t="s">
        <v>926</v>
      </c>
    </row>
    <row r="323" spans="2:7" x14ac:dyDescent="0.25">
      <c r="B323" t="str">
        <f t="shared" si="18"/>
        <v/>
      </c>
      <c r="C323" s="16" t="str">
        <f t="shared" ref="C323:C386" si="20">IF(ISERROR(VLOOKUP(B323,ImpComp,2,FALSE)),"",VLOOKUP(B323,ImpComp,2,FALSE))</f>
        <v/>
      </c>
      <c r="D323" t="s">
        <v>926</v>
      </c>
      <c r="E323" t="str">
        <f t="shared" si="19"/>
        <v/>
      </c>
      <c r="F323" s="16" t="str">
        <f t="shared" ref="F323:F386" si="21" xml:space="preserve"> IF(ISERROR(VLOOKUP(E323,Imp_IVA1,2,FALSE)),"",VLOOKUP(E323,Imp_IVA1,2,FALSE))&amp; IF(ISERROR(VLOOKUP(E323,Imp_IVA2,2,FALSE)),"",VLOOKUP(E323,Imp_IVA2,2,FALSE))</f>
        <v/>
      </c>
      <c r="G323" t="s">
        <v>926</v>
      </c>
    </row>
    <row r="324" spans="2:7" x14ac:dyDescent="0.25">
      <c r="B324" t="str">
        <f t="shared" si="18"/>
        <v/>
      </c>
      <c r="C324" s="16" t="str">
        <f t="shared" si="20"/>
        <v/>
      </c>
      <c r="D324" t="s">
        <v>926</v>
      </c>
      <c r="E324" t="str">
        <f t="shared" si="19"/>
        <v/>
      </c>
      <c r="F324" s="16" t="str">
        <f t="shared" si="21"/>
        <v/>
      </c>
      <c r="G324" t="s">
        <v>926</v>
      </c>
    </row>
    <row r="325" spans="2:7" x14ac:dyDescent="0.25">
      <c r="B325" t="str">
        <f t="shared" ref="B325:B388" si="22">IF(OR(B324=$B$2,B324=""),"",B324+1)</f>
        <v/>
      </c>
      <c r="C325" s="16" t="str">
        <f t="shared" si="20"/>
        <v/>
      </c>
      <c r="D325" t="s">
        <v>926</v>
      </c>
      <c r="E325" t="str">
        <f t="shared" ref="E325:E388" si="23">IF(OR(E324=$E$2,E324=""),"",E324+1)</f>
        <v/>
      </c>
      <c r="F325" s="16" t="str">
        <f t="shared" si="21"/>
        <v/>
      </c>
      <c r="G325" t="s">
        <v>926</v>
      </c>
    </row>
    <row r="326" spans="2:7" x14ac:dyDescent="0.25">
      <c r="B326" t="str">
        <f t="shared" si="22"/>
        <v/>
      </c>
      <c r="C326" s="16" t="str">
        <f t="shared" si="20"/>
        <v/>
      </c>
      <c r="D326" t="s">
        <v>926</v>
      </c>
      <c r="E326" t="str">
        <f t="shared" si="23"/>
        <v/>
      </c>
      <c r="F326" s="16" t="str">
        <f t="shared" si="21"/>
        <v/>
      </c>
      <c r="G326" t="s">
        <v>926</v>
      </c>
    </row>
    <row r="327" spans="2:7" x14ac:dyDescent="0.25">
      <c r="B327" t="str">
        <f t="shared" si="22"/>
        <v/>
      </c>
      <c r="C327" s="16" t="str">
        <f t="shared" si="20"/>
        <v/>
      </c>
      <c r="D327" t="s">
        <v>926</v>
      </c>
      <c r="E327" t="str">
        <f t="shared" si="23"/>
        <v/>
      </c>
      <c r="F327" s="16" t="str">
        <f t="shared" si="21"/>
        <v/>
      </c>
      <c r="G327" t="s">
        <v>926</v>
      </c>
    </row>
    <row r="328" spans="2:7" x14ac:dyDescent="0.25">
      <c r="B328" t="str">
        <f t="shared" si="22"/>
        <v/>
      </c>
      <c r="C328" s="16" t="str">
        <f t="shared" si="20"/>
        <v/>
      </c>
      <c r="D328" t="s">
        <v>926</v>
      </c>
      <c r="E328" t="str">
        <f t="shared" si="23"/>
        <v/>
      </c>
      <c r="F328" s="16" t="str">
        <f t="shared" si="21"/>
        <v/>
      </c>
      <c r="G328" t="s">
        <v>926</v>
      </c>
    </row>
    <row r="329" spans="2:7" x14ac:dyDescent="0.25">
      <c r="B329" t="str">
        <f t="shared" si="22"/>
        <v/>
      </c>
      <c r="C329" s="16" t="str">
        <f t="shared" si="20"/>
        <v/>
      </c>
      <c r="D329" t="s">
        <v>926</v>
      </c>
      <c r="E329" t="str">
        <f t="shared" si="23"/>
        <v/>
      </c>
      <c r="F329" s="16" t="str">
        <f t="shared" si="21"/>
        <v/>
      </c>
      <c r="G329" t="s">
        <v>926</v>
      </c>
    </row>
    <row r="330" spans="2:7" x14ac:dyDescent="0.25">
      <c r="B330" t="str">
        <f t="shared" si="22"/>
        <v/>
      </c>
      <c r="C330" s="16" t="str">
        <f t="shared" si="20"/>
        <v/>
      </c>
      <c r="D330" t="s">
        <v>926</v>
      </c>
      <c r="E330" t="str">
        <f t="shared" si="23"/>
        <v/>
      </c>
      <c r="F330" s="16" t="str">
        <f t="shared" si="21"/>
        <v/>
      </c>
      <c r="G330" t="s">
        <v>926</v>
      </c>
    </row>
    <row r="331" spans="2:7" x14ac:dyDescent="0.25">
      <c r="B331" t="str">
        <f t="shared" si="22"/>
        <v/>
      </c>
      <c r="C331" s="16" t="str">
        <f t="shared" si="20"/>
        <v/>
      </c>
      <c r="D331" t="s">
        <v>926</v>
      </c>
      <c r="E331" t="str">
        <f t="shared" si="23"/>
        <v/>
      </c>
      <c r="F331" s="16" t="str">
        <f t="shared" si="21"/>
        <v/>
      </c>
      <c r="G331" t="s">
        <v>926</v>
      </c>
    </row>
    <row r="332" spans="2:7" x14ac:dyDescent="0.25">
      <c r="B332" t="str">
        <f t="shared" si="22"/>
        <v/>
      </c>
      <c r="C332" s="16" t="str">
        <f t="shared" si="20"/>
        <v/>
      </c>
      <c r="D332" t="s">
        <v>926</v>
      </c>
      <c r="E332" t="str">
        <f t="shared" si="23"/>
        <v/>
      </c>
      <c r="F332" s="16" t="str">
        <f t="shared" si="21"/>
        <v/>
      </c>
      <c r="G332" t="s">
        <v>926</v>
      </c>
    </row>
    <row r="333" spans="2:7" x14ac:dyDescent="0.25">
      <c r="B333" t="str">
        <f t="shared" si="22"/>
        <v/>
      </c>
      <c r="C333" s="16" t="str">
        <f t="shared" si="20"/>
        <v/>
      </c>
      <c r="D333" t="s">
        <v>926</v>
      </c>
      <c r="E333" t="str">
        <f t="shared" si="23"/>
        <v/>
      </c>
      <c r="F333" s="16" t="str">
        <f t="shared" si="21"/>
        <v/>
      </c>
      <c r="G333" t="s">
        <v>926</v>
      </c>
    </row>
    <row r="334" spans="2:7" x14ac:dyDescent="0.25">
      <c r="B334" t="str">
        <f t="shared" si="22"/>
        <v/>
      </c>
      <c r="C334" s="16" t="str">
        <f t="shared" si="20"/>
        <v/>
      </c>
      <c r="D334" t="s">
        <v>926</v>
      </c>
      <c r="E334" t="str">
        <f t="shared" si="23"/>
        <v/>
      </c>
      <c r="F334" s="16" t="str">
        <f t="shared" si="21"/>
        <v/>
      </c>
      <c r="G334" t="s">
        <v>926</v>
      </c>
    </row>
    <row r="335" spans="2:7" x14ac:dyDescent="0.25">
      <c r="B335" t="str">
        <f t="shared" si="22"/>
        <v/>
      </c>
      <c r="C335" s="16" t="str">
        <f t="shared" si="20"/>
        <v/>
      </c>
      <c r="D335" t="s">
        <v>926</v>
      </c>
      <c r="E335" t="str">
        <f t="shared" si="23"/>
        <v/>
      </c>
      <c r="F335" s="16" t="str">
        <f t="shared" si="21"/>
        <v/>
      </c>
      <c r="G335" t="s">
        <v>926</v>
      </c>
    </row>
    <row r="336" spans="2:7" x14ac:dyDescent="0.25">
      <c r="B336" t="str">
        <f t="shared" si="22"/>
        <v/>
      </c>
      <c r="C336" s="16" t="str">
        <f t="shared" si="20"/>
        <v/>
      </c>
      <c r="D336" t="s">
        <v>926</v>
      </c>
      <c r="E336" t="str">
        <f t="shared" si="23"/>
        <v/>
      </c>
      <c r="F336" s="16" t="str">
        <f t="shared" si="21"/>
        <v/>
      </c>
      <c r="G336" t="s">
        <v>926</v>
      </c>
    </row>
    <row r="337" spans="2:7" x14ac:dyDescent="0.25">
      <c r="B337" t="str">
        <f t="shared" si="22"/>
        <v/>
      </c>
      <c r="C337" s="16" t="str">
        <f t="shared" si="20"/>
        <v/>
      </c>
      <c r="D337" t="s">
        <v>926</v>
      </c>
      <c r="E337" t="str">
        <f t="shared" si="23"/>
        <v/>
      </c>
      <c r="F337" s="16" t="str">
        <f t="shared" si="21"/>
        <v/>
      </c>
      <c r="G337" t="s">
        <v>926</v>
      </c>
    </row>
    <row r="338" spans="2:7" x14ac:dyDescent="0.25">
      <c r="B338" t="str">
        <f t="shared" si="22"/>
        <v/>
      </c>
      <c r="C338" s="16" t="str">
        <f t="shared" si="20"/>
        <v/>
      </c>
      <c r="D338" t="s">
        <v>926</v>
      </c>
      <c r="E338" t="str">
        <f t="shared" si="23"/>
        <v/>
      </c>
      <c r="F338" s="16" t="str">
        <f t="shared" si="21"/>
        <v/>
      </c>
      <c r="G338" t="s">
        <v>926</v>
      </c>
    </row>
    <row r="339" spans="2:7" x14ac:dyDescent="0.25">
      <c r="B339" t="str">
        <f t="shared" si="22"/>
        <v/>
      </c>
      <c r="C339" s="16" t="str">
        <f t="shared" si="20"/>
        <v/>
      </c>
      <c r="D339" t="s">
        <v>926</v>
      </c>
      <c r="E339" t="str">
        <f t="shared" si="23"/>
        <v/>
      </c>
      <c r="F339" s="16" t="str">
        <f t="shared" si="21"/>
        <v/>
      </c>
      <c r="G339" t="s">
        <v>926</v>
      </c>
    </row>
    <row r="340" spans="2:7" x14ac:dyDescent="0.25">
      <c r="B340" t="str">
        <f t="shared" si="22"/>
        <v/>
      </c>
      <c r="C340" s="16" t="str">
        <f t="shared" si="20"/>
        <v/>
      </c>
      <c r="D340" t="s">
        <v>926</v>
      </c>
      <c r="E340" t="str">
        <f t="shared" si="23"/>
        <v/>
      </c>
      <c r="F340" s="16" t="str">
        <f t="shared" si="21"/>
        <v/>
      </c>
      <c r="G340" t="s">
        <v>926</v>
      </c>
    </row>
    <row r="341" spans="2:7" x14ac:dyDescent="0.25">
      <c r="B341" t="str">
        <f t="shared" si="22"/>
        <v/>
      </c>
      <c r="C341" s="16" t="str">
        <f t="shared" si="20"/>
        <v/>
      </c>
      <c r="D341" t="s">
        <v>926</v>
      </c>
      <c r="E341" t="str">
        <f t="shared" si="23"/>
        <v/>
      </c>
      <c r="F341" s="16" t="str">
        <f t="shared" si="21"/>
        <v/>
      </c>
      <c r="G341" t="s">
        <v>926</v>
      </c>
    </row>
    <row r="342" spans="2:7" x14ac:dyDescent="0.25">
      <c r="B342" t="str">
        <f t="shared" si="22"/>
        <v/>
      </c>
      <c r="C342" s="16" t="str">
        <f t="shared" si="20"/>
        <v/>
      </c>
      <c r="D342" t="s">
        <v>926</v>
      </c>
      <c r="E342" t="str">
        <f t="shared" si="23"/>
        <v/>
      </c>
      <c r="F342" s="16" t="str">
        <f t="shared" si="21"/>
        <v/>
      </c>
      <c r="G342" t="s">
        <v>926</v>
      </c>
    </row>
    <row r="343" spans="2:7" x14ac:dyDescent="0.25">
      <c r="B343" t="str">
        <f t="shared" si="22"/>
        <v/>
      </c>
      <c r="C343" s="16" t="str">
        <f t="shared" si="20"/>
        <v/>
      </c>
      <c r="D343" t="s">
        <v>926</v>
      </c>
      <c r="E343" t="str">
        <f t="shared" si="23"/>
        <v/>
      </c>
      <c r="F343" s="16" t="str">
        <f t="shared" si="21"/>
        <v/>
      </c>
      <c r="G343" t="s">
        <v>926</v>
      </c>
    </row>
    <row r="344" spans="2:7" x14ac:dyDescent="0.25">
      <c r="B344" t="str">
        <f t="shared" si="22"/>
        <v/>
      </c>
      <c r="C344" s="16" t="str">
        <f t="shared" si="20"/>
        <v/>
      </c>
      <c r="D344" t="s">
        <v>926</v>
      </c>
      <c r="E344" t="str">
        <f t="shared" si="23"/>
        <v/>
      </c>
      <c r="F344" s="16" t="str">
        <f t="shared" si="21"/>
        <v/>
      </c>
      <c r="G344" t="s">
        <v>926</v>
      </c>
    </row>
    <row r="345" spans="2:7" x14ac:dyDescent="0.25">
      <c r="B345" t="str">
        <f t="shared" si="22"/>
        <v/>
      </c>
      <c r="C345" s="16" t="str">
        <f t="shared" si="20"/>
        <v/>
      </c>
      <c r="D345" t="s">
        <v>926</v>
      </c>
      <c r="E345" t="str">
        <f t="shared" si="23"/>
        <v/>
      </c>
      <c r="F345" s="16" t="str">
        <f t="shared" si="21"/>
        <v/>
      </c>
      <c r="G345" t="s">
        <v>926</v>
      </c>
    </row>
    <row r="346" spans="2:7" x14ac:dyDescent="0.25">
      <c r="B346" t="str">
        <f t="shared" si="22"/>
        <v/>
      </c>
      <c r="C346" s="16" t="str">
        <f t="shared" si="20"/>
        <v/>
      </c>
      <c r="D346" t="s">
        <v>926</v>
      </c>
      <c r="E346" t="str">
        <f t="shared" si="23"/>
        <v/>
      </c>
      <c r="F346" s="16" t="str">
        <f t="shared" si="21"/>
        <v/>
      </c>
      <c r="G346" t="s">
        <v>926</v>
      </c>
    </row>
    <row r="347" spans="2:7" x14ac:dyDescent="0.25">
      <c r="B347" t="str">
        <f t="shared" si="22"/>
        <v/>
      </c>
      <c r="C347" s="16" t="str">
        <f t="shared" si="20"/>
        <v/>
      </c>
      <c r="D347" t="s">
        <v>926</v>
      </c>
      <c r="E347" t="str">
        <f t="shared" si="23"/>
        <v/>
      </c>
      <c r="F347" s="16" t="str">
        <f t="shared" si="21"/>
        <v/>
      </c>
      <c r="G347" t="s">
        <v>926</v>
      </c>
    </row>
    <row r="348" spans="2:7" x14ac:dyDescent="0.25">
      <c r="B348" t="str">
        <f t="shared" si="22"/>
        <v/>
      </c>
      <c r="C348" s="16" t="str">
        <f t="shared" si="20"/>
        <v/>
      </c>
      <c r="D348" t="s">
        <v>926</v>
      </c>
      <c r="E348" t="str">
        <f t="shared" si="23"/>
        <v/>
      </c>
      <c r="F348" s="16" t="str">
        <f t="shared" si="21"/>
        <v/>
      </c>
      <c r="G348" t="s">
        <v>926</v>
      </c>
    </row>
    <row r="349" spans="2:7" x14ac:dyDescent="0.25">
      <c r="B349" t="str">
        <f t="shared" si="22"/>
        <v/>
      </c>
      <c r="C349" s="16" t="str">
        <f t="shared" si="20"/>
        <v/>
      </c>
      <c r="D349" t="s">
        <v>926</v>
      </c>
      <c r="E349" t="str">
        <f t="shared" si="23"/>
        <v/>
      </c>
      <c r="F349" s="16" t="str">
        <f t="shared" si="21"/>
        <v/>
      </c>
      <c r="G349" t="s">
        <v>926</v>
      </c>
    </row>
    <row r="350" spans="2:7" x14ac:dyDescent="0.25">
      <c r="B350" t="str">
        <f t="shared" si="22"/>
        <v/>
      </c>
      <c r="C350" s="16" t="str">
        <f t="shared" si="20"/>
        <v/>
      </c>
      <c r="D350" t="s">
        <v>926</v>
      </c>
      <c r="E350" t="str">
        <f t="shared" si="23"/>
        <v/>
      </c>
      <c r="F350" s="16" t="str">
        <f t="shared" si="21"/>
        <v/>
      </c>
      <c r="G350" t="s">
        <v>926</v>
      </c>
    </row>
    <row r="351" spans="2:7" x14ac:dyDescent="0.25">
      <c r="B351" t="str">
        <f t="shared" si="22"/>
        <v/>
      </c>
      <c r="C351" s="16" t="str">
        <f t="shared" si="20"/>
        <v/>
      </c>
      <c r="D351" t="s">
        <v>926</v>
      </c>
      <c r="E351" t="str">
        <f t="shared" si="23"/>
        <v/>
      </c>
      <c r="F351" s="16" t="str">
        <f t="shared" si="21"/>
        <v/>
      </c>
      <c r="G351" t="s">
        <v>926</v>
      </c>
    </row>
    <row r="352" spans="2:7" x14ac:dyDescent="0.25">
      <c r="B352" t="str">
        <f t="shared" si="22"/>
        <v/>
      </c>
      <c r="C352" s="16" t="str">
        <f t="shared" si="20"/>
        <v/>
      </c>
      <c r="D352" t="s">
        <v>926</v>
      </c>
      <c r="E352" t="str">
        <f t="shared" si="23"/>
        <v/>
      </c>
      <c r="F352" s="16" t="str">
        <f t="shared" si="21"/>
        <v/>
      </c>
      <c r="G352" t="s">
        <v>926</v>
      </c>
    </row>
    <row r="353" spans="2:7" x14ac:dyDescent="0.25">
      <c r="B353" t="str">
        <f t="shared" si="22"/>
        <v/>
      </c>
      <c r="C353" s="16" t="str">
        <f t="shared" si="20"/>
        <v/>
      </c>
      <c r="D353" t="s">
        <v>926</v>
      </c>
      <c r="E353" t="str">
        <f t="shared" si="23"/>
        <v/>
      </c>
      <c r="F353" s="16" t="str">
        <f t="shared" si="21"/>
        <v/>
      </c>
      <c r="G353" t="s">
        <v>926</v>
      </c>
    </row>
    <row r="354" spans="2:7" x14ac:dyDescent="0.25">
      <c r="B354" t="str">
        <f t="shared" si="22"/>
        <v/>
      </c>
      <c r="C354" s="16" t="str">
        <f t="shared" si="20"/>
        <v/>
      </c>
      <c r="D354" t="s">
        <v>926</v>
      </c>
      <c r="E354" t="str">
        <f t="shared" si="23"/>
        <v/>
      </c>
      <c r="F354" s="16" t="str">
        <f t="shared" si="21"/>
        <v/>
      </c>
      <c r="G354" t="s">
        <v>926</v>
      </c>
    </row>
    <row r="355" spans="2:7" x14ac:dyDescent="0.25">
      <c r="B355" t="str">
        <f t="shared" si="22"/>
        <v/>
      </c>
      <c r="C355" s="16" t="str">
        <f t="shared" si="20"/>
        <v/>
      </c>
      <c r="D355" t="s">
        <v>926</v>
      </c>
      <c r="E355" t="str">
        <f t="shared" si="23"/>
        <v/>
      </c>
      <c r="F355" s="16" t="str">
        <f t="shared" si="21"/>
        <v/>
      </c>
      <c r="G355" t="s">
        <v>926</v>
      </c>
    </row>
    <row r="356" spans="2:7" x14ac:dyDescent="0.25">
      <c r="B356" t="str">
        <f t="shared" si="22"/>
        <v/>
      </c>
      <c r="C356" s="16" t="str">
        <f t="shared" si="20"/>
        <v/>
      </c>
      <c r="D356" t="s">
        <v>926</v>
      </c>
      <c r="E356" t="str">
        <f t="shared" si="23"/>
        <v/>
      </c>
      <c r="F356" s="16" t="str">
        <f t="shared" si="21"/>
        <v/>
      </c>
      <c r="G356" t="s">
        <v>926</v>
      </c>
    </row>
    <row r="357" spans="2:7" x14ac:dyDescent="0.25">
      <c r="B357" t="str">
        <f t="shared" si="22"/>
        <v/>
      </c>
      <c r="C357" s="16" t="str">
        <f t="shared" si="20"/>
        <v/>
      </c>
      <c r="D357" t="s">
        <v>926</v>
      </c>
      <c r="E357" t="str">
        <f t="shared" si="23"/>
        <v/>
      </c>
      <c r="F357" s="16" t="str">
        <f t="shared" si="21"/>
        <v/>
      </c>
      <c r="G357" t="s">
        <v>926</v>
      </c>
    </row>
    <row r="358" spans="2:7" x14ac:dyDescent="0.25">
      <c r="B358" t="str">
        <f t="shared" si="22"/>
        <v/>
      </c>
      <c r="C358" s="16" t="str">
        <f t="shared" si="20"/>
        <v/>
      </c>
      <c r="D358" t="s">
        <v>926</v>
      </c>
      <c r="E358" t="str">
        <f t="shared" si="23"/>
        <v/>
      </c>
      <c r="F358" s="16" t="str">
        <f t="shared" si="21"/>
        <v/>
      </c>
      <c r="G358" t="s">
        <v>926</v>
      </c>
    </row>
    <row r="359" spans="2:7" x14ac:dyDescent="0.25">
      <c r="B359" t="str">
        <f t="shared" si="22"/>
        <v/>
      </c>
      <c r="C359" s="16" t="str">
        <f t="shared" si="20"/>
        <v/>
      </c>
      <c r="D359" t="s">
        <v>926</v>
      </c>
      <c r="E359" t="str">
        <f t="shared" si="23"/>
        <v/>
      </c>
      <c r="F359" s="16" t="str">
        <f t="shared" si="21"/>
        <v/>
      </c>
      <c r="G359" t="s">
        <v>926</v>
      </c>
    </row>
    <row r="360" spans="2:7" x14ac:dyDescent="0.25">
      <c r="B360" t="str">
        <f t="shared" si="22"/>
        <v/>
      </c>
      <c r="C360" s="16" t="str">
        <f t="shared" si="20"/>
        <v/>
      </c>
      <c r="D360" t="s">
        <v>926</v>
      </c>
      <c r="E360" t="str">
        <f t="shared" si="23"/>
        <v/>
      </c>
      <c r="F360" s="16" t="str">
        <f t="shared" si="21"/>
        <v/>
      </c>
      <c r="G360" t="s">
        <v>926</v>
      </c>
    </row>
    <row r="361" spans="2:7" x14ac:dyDescent="0.25">
      <c r="B361" t="str">
        <f t="shared" si="22"/>
        <v/>
      </c>
      <c r="C361" s="16" t="str">
        <f t="shared" si="20"/>
        <v/>
      </c>
      <c r="D361" t="s">
        <v>926</v>
      </c>
      <c r="E361" t="str">
        <f t="shared" si="23"/>
        <v/>
      </c>
      <c r="F361" s="16" t="str">
        <f t="shared" si="21"/>
        <v/>
      </c>
      <c r="G361" t="s">
        <v>926</v>
      </c>
    </row>
    <row r="362" spans="2:7" x14ac:dyDescent="0.25">
      <c r="B362" t="str">
        <f t="shared" si="22"/>
        <v/>
      </c>
      <c r="C362" s="16" t="str">
        <f t="shared" si="20"/>
        <v/>
      </c>
      <c r="D362" t="s">
        <v>926</v>
      </c>
      <c r="E362" t="str">
        <f t="shared" si="23"/>
        <v/>
      </c>
      <c r="F362" s="16" t="str">
        <f t="shared" si="21"/>
        <v/>
      </c>
      <c r="G362" t="s">
        <v>926</v>
      </c>
    </row>
    <row r="363" spans="2:7" x14ac:dyDescent="0.25">
      <c r="B363" t="str">
        <f t="shared" si="22"/>
        <v/>
      </c>
      <c r="C363" s="16" t="str">
        <f t="shared" si="20"/>
        <v/>
      </c>
      <c r="D363" t="s">
        <v>926</v>
      </c>
      <c r="E363" t="str">
        <f t="shared" si="23"/>
        <v/>
      </c>
      <c r="F363" s="16" t="str">
        <f t="shared" si="21"/>
        <v/>
      </c>
      <c r="G363" t="s">
        <v>926</v>
      </c>
    </row>
    <row r="364" spans="2:7" x14ac:dyDescent="0.25">
      <c r="B364" t="str">
        <f t="shared" si="22"/>
        <v/>
      </c>
      <c r="C364" s="16" t="str">
        <f t="shared" si="20"/>
        <v/>
      </c>
      <c r="D364" t="s">
        <v>926</v>
      </c>
      <c r="E364" t="str">
        <f t="shared" si="23"/>
        <v/>
      </c>
      <c r="F364" s="16" t="str">
        <f t="shared" si="21"/>
        <v/>
      </c>
      <c r="G364" t="s">
        <v>926</v>
      </c>
    </row>
    <row r="365" spans="2:7" x14ac:dyDescent="0.25">
      <c r="B365" t="str">
        <f t="shared" si="22"/>
        <v/>
      </c>
      <c r="C365" s="16" t="str">
        <f t="shared" si="20"/>
        <v/>
      </c>
      <c r="D365" t="s">
        <v>926</v>
      </c>
      <c r="E365" t="str">
        <f t="shared" si="23"/>
        <v/>
      </c>
      <c r="F365" s="16" t="str">
        <f t="shared" si="21"/>
        <v/>
      </c>
      <c r="G365" t="s">
        <v>926</v>
      </c>
    </row>
    <row r="366" spans="2:7" x14ac:dyDescent="0.25">
      <c r="B366" t="str">
        <f t="shared" si="22"/>
        <v/>
      </c>
      <c r="C366" s="16" t="str">
        <f t="shared" si="20"/>
        <v/>
      </c>
      <c r="D366" t="s">
        <v>926</v>
      </c>
      <c r="E366" t="str">
        <f t="shared" si="23"/>
        <v/>
      </c>
      <c r="F366" s="16" t="str">
        <f t="shared" si="21"/>
        <v/>
      </c>
      <c r="G366" t="s">
        <v>926</v>
      </c>
    </row>
    <row r="367" spans="2:7" x14ac:dyDescent="0.25">
      <c r="B367" t="str">
        <f t="shared" si="22"/>
        <v/>
      </c>
      <c r="C367" s="16" t="str">
        <f t="shared" si="20"/>
        <v/>
      </c>
      <c r="D367" t="s">
        <v>926</v>
      </c>
      <c r="E367" t="str">
        <f t="shared" si="23"/>
        <v/>
      </c>
      <c r="F367" s="16" t="str">
        <f t="shared" si="21"/>
        <v/>
      </c>
      <c r="G367" t="s">
        <v>926</v>
      </c>
    </row>
    <row r="368" spans="2:7" x14ac:dyDescent="0.25">
      <c r="B368" t="str">
        <f t="shared" si="22"/>
        <v/>
      </c>
      <c r="C368" s="16" t="str">
        <f t="shared" si="20"/>
        <v/>
      </c>
      <c r="D368" t="s">
        <v>926</v>
      </c>
      <c r="E368" t="str">
        <f t="shared" si="23"/>
        <v/>
      </c>
      <c r="F368" s="16" t="str">
        <f t="shared" si="21"/>
        <v/>
      </c>
      <c r="G368" t="s">
        <v>926</v>
      </c>
    </row>
    <row r="369" spans="2:7" x14ac:dyDescent="0.25">
      <c r="B369" t="str">
        <f t="shared" si="22"/>
        <v/>
      </c>
      <c r="C369" s="16" t="str">
        <f t="shared" si="20"/>
        <v/>
      </c>
      <c r="D369" t="s">
        <v>926</v>
      </c>
      <c r="E369" t="str">
        <f t="shared" si="23"/>
        <v/>
      </c>
      <c r="F369" s="16" t="str">
        <f t="shared" si="21"/>
        <v/>
      </c>
      <c r="G369" t="s">
        <v>926</v>
      </c>
    </row>
    <row r="370" spans="2:7" x14ac:dyDescent="0.25">
      <c r="B370" t="str">
        <f t="shared" si="22"/>
        <v/>
      </c>
      <c r="C370" s="16" t="str">
        <f t="shared" si="20"/>
        <v/>
      </c>
      <c r="D370" t="s">
        <v>926</v>
      </c>
      <c r="E370" t="str">
        <f t="shared" si="23"/>
        <v/>
      </c>
      <c r="F370" s="16" t="str">
        <f t="shared" si="21"/>
        <v/>
      </c>
      <c r="G370" t="s">
        <v>926</v>
      </c>
    </row>
    <row r="371" spans="2:7" x14ac:dyDescent="0.25">
      <c r="B371" t="str">
        <f t="shared" si="22"/>
        <v/>
      </c>
      <c r="C371" s="16" t="str">
        <f t="shared" si="20"/>
        <v/>
      </c>
      <c r="D371" t="s">
        <v>926</v>
      </c>
      <c r="E371" t="str">
        <f t="shared" si="23"/>
        <v/>
      </c>
      <c r="F371" s="16" t="str">
        <f t="shared" si="21"/>
        <v/>
      </c>
      <c r="G371" t="s">
        <v>926</v>
      </c>
    </row>
    <row r="372" spans="2:7" x14ac:dyDescent="0.25">
      <c r="B372" t="str">
        <f t="shared" si="22"/>
        <v/>
      </c>
      <c r="C372" s="16" t="str">
        <f t="shared" si="20"/>
        <v/>
      </c>
      <c r="D372" t="s">
        <v>926</v>
      </c>
      <c r="E372" t="str">
        <f t="shared" si="23"/>
        <v/>
      </c>
      <c r="F372" s="16" t="str">
        <f t="shared" si="21"/>
        <v/>
      </c>
      <c r="G372" t="s">
        <v>926</v>
      </c>
    </row>
    <row r="373" spans="2:7" x14ac:dyDescent="0.25">
      <c r="B373" t="str">
        <f t="shared" si="22"/>
        <v/>
      </c>
      <c r="C373" s="16" t="str">
        <f t="shared" si="20"/>
        <v/>
      </c>
      <c r="D373" t="s">
        <v>926</v>
      </c>
      <c r="E373" t="str">
        <f t="shared" si="23"/>
        <v/>
      </c>
      <c r="F373" s="16" t="str">
        <f t="shared" si="21"/>
        <v/>
      </c>
      <c r="G373" t="s">
        <v>926</v>
      </c>
    </row>
    <row r="374" spans="2:7" x14ac:dyDescent="0.25">
      <c r="B374" t="str">
        <f t="shared" si="22"/>
        <v/>
      </c>
      <c r="C374" s="16" t="str">
        <f t="shared" si="20"/>
        <v/>
      </c>
      <c r="D374" t="s">
        <v>926</v>
      </c>
      <c r="E374" t="str">
        <f t="shared" si="23"/>
        <v/>
      </c>
      <c r="F374" s="16" t="str">
        <f t="shared" si="21"/>
        <v/>
      </c>
      <c r="G374" t="s">
        <v>926</v>
      </c>
    </row>
    <row r="375" spans="2:7" x14ac:dyDescent="0.25">
      <c r="B375" t="str">
        <f t="shared" si="22"/>
        <v/>
      </c>
      <c r="C375" s="16" t="str">
        <f t="shared" si="20"/>
        <v/>
      </c>
      <c r="D375" t="s">
        <v>926</v>
      </c>
      <c r="E375" t="str">
        <f t="shared" si="23"/>
        <v/>
      </c>
      <c r="F375" s="16" t="str">
        <f t="shared" si="21"/>
        <v/>
      </c>
      <c r="G375" t="s">
        <v>926</v>
      </c>
    </row>
    <row r="376" spans="2:7" x14ac:dyDescent="0.25">
      <c r="B376" t="str">
        <f t="shared" si="22"/>
        <v/>
      </c>
      <c r="C376" s="16" t="str">
        <f t="shared" si="20"/>
        <v/>
      </c>
      <c r="D376" t="s">
        <v>926</v>
      </c>
      <c r="E376" t="str">
        <f t="shared" si="23"/>
        <v/>
      </c>
      <c r="F376" s="16" t="str">
        <f t="shared" si="21"/>
        <v/>
      </c>
      <c r="G376" t="s">
        <v>926</v>
      </c>
    </row>
    <row r="377" spans="2:7" x14ac:dyDescent="0.25">
      <c r="B377" t="str">
        <f t="shared" si="22"/>
        <v/>
      </c>
      <c r="C377" s="16" t="str">
        <f t="shared" si="20"/>
        <v/>
      </c>
      <c r="D377" t="s">
        <v>926</v>
      </c>
      <c r="E377" t="str">
        <f t="shared" si="23"/>
        <v/>
      </c>
      <c r="F377" s="16" t="str">
        <f t="shared" si="21"/>
        <v/>
      </c>
      <c r="G377" t="s">
        <v>926</v>
      </c>
    </row>
    <row r="378" spans="2:7" x14ac:dyDescent="0.25">
      <c r="B378" t="str">
        <f t="shared" si="22"/>
        <v/>
      </c>
      <c r="C378" s="16" t="str">
        <f t="shared" si="20"/>
        <v/>
      </c>
      <c r="D378" t="s">
        <v>926</v>
      </c>
      <c r="E378" t="str">
        <f t="shared" si="23"/>
        <v/>
      </c>
      <c r="F378" s="16" t="str">
        <f t="shared" si="21"/>
        <v/>
      </c>
      <c r="G378" t="s">
        <v>926</v>
      </c>
    </row>
    <row r="379" spans="2:7" x14ac:dyDescent="0.25">
      <c r="B379" t="str">
        <f t="shared" si="22"/>
        <v/>
      </c>
      <c r="C379" s="16" t="str">
        <f t="shared" si="20"/>
        <v/>
      </c>
      <c r="D379" t="s">
        <v>926</v>
      </c>
      <c r="E379" t="str">
        <f t="shared" si="23"/>
        <v/>
      </c>
      <c r="F379" s="16" t="str">
        <f t="shared" si="21"/>
        <v/>
      </c>
      <c r="G379" t="s">
        <v>926</v>
      </c>
    </row>
    <row r="380" spans="2:7" x14ac:dyDescent="0.25">
      <c r="B380" t="str">
        <f t="shared" si="22"/>
        <v/>
      </c>
      <c r="C380" s="16" t="str">
        <f t="shared" si="20"/>
        <v/>
      </c>
      <c r="D380" t="s">
        <v>926</v>
      </c>
      <c r="E380" t="str">
        <f t="shared" si="23"/>
        <v/>
      </c>
      <c r="F380" s="16" t="str">
        <f t="shared" si="21"/>
        <v/>
      </c>
      <c r="G380" t="s">
        <v>926</v>
      </c>
    </row>
    <row r="381" spans="2:7" x14ac:dyDescent="0.25">
      <c r="B381" t="str">
        <f t="shared" si="22"/>
        <v/>
      </c>
      <c r="C381" s="16" t="str">
        <f t="shared" si="20"/>
        <v/>
      </c>
      <c r="D381" t="s">
        <v>926</v>
      </c>
      <c r="E381" t="str">
        <f t="shared" si="23"/>
        <v/>
      </c>
      <c r="F381" s="16" t="str">
        <f t="shared" si="21"/>
        <v/>
      </c>
      <c r="G381" t="s">
        <v>926</v>
      </c>
    </row>
    <row r="382" spans="2:7" x14ac:dyDescent="0.25">
      <c r="B382" t="str">
        <f t="shared" si="22"/>
        <v/>
      </c>
      <c r="C382" s="16" t="str">
        <f t="shared" si="20"/>
        <v/>
      </c>
      <c r="D382" t="s">
        <v>926</v>
      </c>
      <c r="E382" t="str">
        <f t="shared" si="23"/>
        <v/>
      </c>
      <c r="F382" s="16" t="str">
        <f t="shared" si="21"/>
        <v/>
      </c>
      <c r="G382" t="s">
        <v>926</v>
      </c>
    </row>
    <row r="383" spans="2:7" x14ac:dyDescent="0.25">
      <c r="B383" t="str">
        <f t="shared" si="22"/>
        <v/>
      </c>
      <c r="C383" s="16" t="str">
        <f t="shared" si="20"/>
        <v/>
      </c>
      <c r="D383" t="s">
        <v>926</v>
      </c>
      <c r="E383" t="str">
        <f t="shared" si="23"/>
        <v/>
      </c>
      <c r="F383" s="16" t="str">
        <f t="shared" si="21"/>
        <v/>
      </c>
      <c r="G383" t="s">
        <v>926</v>
      </c>
    </row>
    <row r="384" spans="2:7" x14ac:dyDescent="0.25">
      <c r="B384" t="str">
        <f t="shared" si="22"/>
        <v/>
      </c>
      <c r="C384" s="16" t="str">
        <f t="shared" si="20"/>
        <v/>
      </c>
      <c r="D384" t="s">
        <v>926</v>
      </c>
      <c r="E384" t="str">
        <f t="shared" si="23"/>
        <v/>
      </c>
      <c r="F384" s="16" t="str">
        <f t="shared" si="21"/>
        <v/>
      </c>
      <c r="G384" t="s">
        <v>926</v>
      </c>
    </row>
    <row r="385" spans="2:7" x14ac:dyDescent="0.25">
      <c r="B385" t="str">
        <f t="shared" si="22"/>
        <v/>
      </c>
      <c r="C385" s="16" t="str">
        <f t="shared" si="20"/>
        <v/>
      </c>
      <c r="D385" t="s">
        <v>926</v>
      </c>
      <c r="E385" t="str">
        <f t="shared" si="23"/>
        <v/>
      </c>
      <c r="F385" s="16" t="str">
        <f t="shared" si="21"/>
        <v/>
      </c>
      <c r="G385" t="s">
        <v>926</v>
      </c>
    </row>
    <row r="386" spans="2:7" x14ac:dyDescent="0.25">
      <c r="B386" t="str">
        <f t="shared" si="22"/>
        <v/>
      </c>
      <c r="C386" s="16" t="str">
        <f t="shared" si="20"/>
        <v/>
      </c>
      <c r="D386" t="s">
        <v>926</v>
      </c>
      <c r="E386" t="str">
        <f t="shared" si="23"/>
        <v/>
      </c>
      <c r="F386" s="16" t="str">
        <f t="shared" si="21"/>
        <v/>
      </c>
      <c r="G386" t="s">
        <v>926</v>
      </c>
    </row>
    <row r="387" spans="2:7" x14ac:dyDescent="0.25">
      <c r="B387" t="str">
        <f t="shared" si="22"/>
        <v/>
      </c>
      <c r="C387" s="16" t="str">
        <f t="shared" ref="C387:C450" si="24">IF(ISERROR(VLOOKUP(B387,ImpComp,2,FALSE)),"",VLOOKUP(B387,ImpComp,2,FALSE))</f>
        <v/>
      </c>
      <c r="D387" t="s">
        <v>926</v>
      </c>
      <c r="E387" t="str">
        <f t="shared" si="23"/>
        <v/>
      </c>
      <c r="F387" s="16" t="str">
        <f t="shared" ref="F387:F450" si="25" xml:space="preserve"> IF(ISERROR(VLOOKUP(E387,Imp_IVA1,2,FALSE)),"",VLOOKUP(E387,Imp_IVA1,2,FALSE))&amp; IF(ISERROR(VLOOKUP(E387,Imp_IVA2,2,FALSE)),"",VLOOKUP(E387,Imp_IVA2,2,FALSE))</f>
        <v/>
      </c>
      <c r="G387" t="s">
        <v>926</v>
      </c>
    </row>
    <row r="388" spans="2:7" x14ac:dyDescent="0.25">
      <c r="B388" t="str">
        <f t="shared" si="22"/>
        <v/>
      </c>
      <c r="C388" s="16" t="str">
        <f t="shared" si="24"/>
        <v/>
      </c>
      <c r="D388" t="s">
        <v>926</v>
      </c>
      <c r="E388" t="str">
        <f t="shared" si="23"/>
        <v/>
      </c>
      <c r="F388" s="16" t="str">
        <f t="shared" si="25"/>
        <v/>
      </c>
      <c r="G388" t="s">
        <v>926</v>
      </c>
    </row>
    <row r="389" spans="2:7" x14ac:dyDescent="0.25">
      <c r="B389" t="str">
        <f t="shared" ref="B389:B452" si="26">IF(OR(B388=$B$2,B388=""),"",B388+1)</f>
        <v/>
      </c>
      <c r="C389" s="16" t="str">
        <f t="shared" si="24"/>
        <v/>
      </c>
      <c r="D389" t="s">
        <v>926</v>
      </c>
      <c r="E389" t="str">
        <f t="shared" ref="E389:E452" si="27">IF(OR(E388=$E$2,E388=""),"",E388+1)</f>
        <v/>
      </c>
      <c r="F389" s="16" t="str">
        <f t="shared" si="25"/>
        <v/>
      </c>
      <c r="G389" t="s">
        <v>926</v>
      </c>
    </row>
    <row r="390" spans="2:7" x14ac:dyDescent="0.25">
      <c r="B390" t="str">
        <f t="shared" si="26"/>
        <v/>
      </c>
      <c r="C390" s="16" t="str">
        <f t="shared" si="24"/>
        <v/>
      </c>
      <c r="D390" t="s">
        <v>926</v>
      </c>
      <c r="E390" t="str">
        <f t="shared" si="27"/>
        <v/>
      </c>
      <c r="F390" s="16" t="str">
        <f t="shared" si="25"/>
        <v/>
      </c>
      <c r="G390" t="s">
        <v>926</v>
      </c>
    </row>
    <row r="391" spans="2:7" x14ac:dyDescent="0.25">
      <c r="B391" t="str">
        <f t="shared" si="26"/>
        <v/>
      </c>
      <c r="C391" s="16" t="str">
        <f t="shared" si="24"/>
        <v/>
      </c>
      <c r="D391" t="s">
        <v>926</v>
      </c>
      <c r="E391" t="str">
        <f t="shared" si="27"/>
        <v/>
      </c>
      <c r="F391" s="16" t="str">
        <f t="shared" si="25"/>
        <v/>
      </c>
      <c r="G391" t="s">
        <v>926</v>
      </c>
    </row>
    <row r="392" spans="2:7" x14ac:dyDescent="0.25">
      <c r="B392" t="str">
        <f t="shared" si="26"/>
        <v/>
      </c>
      <c r="C392" s="16" t="str">
        <f t="shared" si="24"/>
        <v/>
      </c>
      <c r="D392" t="s">
        <v>926</v>
      </c>
      <c r="E392" t="str">
        <f t="shared" si="27"/>
        <v/>
      </c>
      <c r="F392" s="16" t="str">
        <f t="shared" si="25"/>
        <v/>
      </c>
      <c r="G392" t="s">
        <v>926</v>
      </c>
    </row>
    <row r="393" spans="2:7" x14ac:dyDescent="0.25">
      <c r="B393" t="str">
        <f t="shared" si="26"/>
        <v/>
      </c>
      <c r="C393" s="16" t="str">
        <f t="shared" si="24"/>
        <v/>
      </c>
      <c r="D393" t="s">
        <v>926</v>
      </c>
      <c r="E393" t="str">
        <f t="shared" si="27"/>
        <v/>
      </c>
      <c r="F393" s="16" t="str">
        <f t="shared" si="25"/>
        <v/>
      </c>
      <c r="G393" t="s">
        <v>926</v>
      </c>
    </row>
    <row r="394" spans="2:7" x14ac:dyDescent="0.25">
      <c r="B394" t="str">
        <f t="shared" si="26"/>
        <v/>
      </c>
      <c r="C394" s="16" t="str">
        <f t="shared" si="24"/>
        <v/>
      </c>
      <c r="D394" t="s">
        <v>926</v>
      </c>
      <c r="E394" t="str">
        <f t="shared" si="27"/>
        <v/>
      </c>
      <c r="F394" s="16" t="str">
        <f t="shared" si="25"/>
        <v/>
      </c>
      <c r="G394" t="s">
        <v>926</v>
      </c>
    </row>
    <row r="395" spans="2:7" x14ac:dyDescent="0.25">
      <c r="B395" t="str">
        <f t="shared" si="26"/>
        <v/>
      </c>
      <c r="C395" s="16" t="str">
        <f t="shared" si="24"/>
        <v/>
      </c>
      <c r="D395" t="s">
        <v>926</v>
      </c>
      <c r="E395" t="str">
        <f t="shared" si="27"/>
        <v/>
      </c>
      <c r="F395" s="16" t="str">
        <f t="shared" si="25"/>
        <v/>
      </c>
      <c r="G395" t="s">
        <v>926</v>
      </c>
    </row>
    <row r="396" spans="2:7" x14ac:dyDescent="0.25">
      <c r="B396" t="str">
        <f t="shared" si="26"/>
        <v/>
      </c>
      <c r="C396" s="16" t="str">
        <f t="shared" si="24"/>
        <v/>
      </c>
      <c r="D396" t="s">
        <v>926</v>
      </c>
      <c r="E396" t="str">
        <f t="shared" si="27"/>
        <v/>
      </c>
      <c r="F396" s="16" t="str">
        <f t="shared" si="25"/>
        <v/>
      </c>
      <c r="G396" t="s">
        <v>926</v>
      </c>
    </row>
    <row r="397" spans="2:7" x14ac:dyDescent="0.25">
      <c r="B397" t="str">
        <f t="shared" si="26"/>
        <v/>
      </c>
      <c r="C397" s="16" t="str">
        <f t="shared" si="24"/>
        <v/>
      </c>
      <c r="D397" t="s">
        <v>926</v>
      </c>
      <c r="E397" t="str">
        <f t="shared" si="27"/>
        <v/>
      </c>
      <c r="F397" s="16" t="str">
        <f t="shared" si="25"/>
        <v/>
      </c>
      <c r="G397" t="s">
        <v>926</v>
      </c>
    </row>
    <row r="398" spans="2:7" x14ac:dyDescent="0.25">
      <c r="B398" t="str">
        <f t="shared" si="26"/>
        <v/>
      </c>
      <c r="C398" s="16" t="str">
        <f t="shared" si="24"/>
        <v/>
      </c>
      <c r="D398" t="s">
        <v>926</v>
      </c>
      <c r="E398" t="str">
        <f t="shared" si="27"/>
        <v/>
      </c>
      <c r="F398" s="16" t="str">
        <f t="shared" si="25"/>
        <v/>
      </c>
      <c r="G398" t="s">
        <v>926</v>
      </c>
    </row>
    <row r="399" spans="2:7" x14ac:dyDescent="0.25">
      <c r="B399" t="str">
        <f t="shared" si="26"/>
        <v/>
      </c>
      <c r="C399" s="16" t="str">
        <f t="shared" si="24"/>
        <v/>
      </c>
      <c r="D399" t="s">
        <v>926</v>
      </c>
      <c r="E399" t="str">
        <f t="shared" si="27"/>
        <v/>
      </c>
      <c r="F399" s="16" t="str">
        <f t="shared" si="25"/>
        <v/>
      </c>
      <c r="G399" t="s">
        <v>926</v>
      </c>
    </row>
    <row r="400" spans="2:7" x14ac:dyDescent="0.25">
      <c r="B400" t="str">
        <f t="shared" si="26"/>
        <v/>
      </c>
      <c r="C400" s="16" t="str">
        <f t="shared" si="24"/>
        <v/>
      </c>
      <c r="D400" t="s">
        <v>926</v>
      </c>
      <c r="E400" t="str">
        <f t="shared" si="27"/>
        <v/>
      </c>
      <c r="F400" s="16" t="str">
        <f t="shared" si="25"/>
        <v/>
      </c>
      <c r="G400" t="s">
        <v>926</v>
      </c>
    </row>
    <row r="401" spans="2:7" x14ac:dyDescent="0.25">
      <c r="B401" t="str">
        <f t="shared" si="26"/>
        <v/>
      </c>
      <c r="C401" s="16" t="str">
        <f t="shared" si="24"/>
        <v/>
      </c>
      <c r="D401" t="s">
        <v>926</v>
      </c>
      <c r="E401" t="str">
        <f t="shared" si="27"/>
        <v/>
      </c>
      <c r="F401" s="16" t="str">
        <f t="shared" si="25"/>
        <v/>
      </c>
      <c r="G401" t="s">
        <v>926</v>
      </c>
    </row>
    <row r="402" spans="2:7" x14ac:dyDescent="0.25">
      <c r="B402" t="str">
        <f t="shared" si="26"/>
        <v/>
      </c>
      <c r="C402" s="16" t="str">
        <f t="shared" si="24"/>
        <v/>
      </c>
      <c r="D402" t="s">
        <v>926</v>
      </c>
      <c r="E402" t="str">
        <f t="shared" si="27"/>
        <v/>
      </c>
      <c r="F402" s="16" t="str">
        <f t="shared" si="25"/>
        <v/>
      </c>
      <c r="G402" t="s">
        <v>926</v>
      </c>
    </row>
    <row r="403" spans="2:7" x14ac:dyDescent="0.25">
      <c r="B403" t="str">
        <f t="shared" si="26"/>
        <v/>
      </c>
      <c r="C403" s="16" t="str">
        <f t="shared" si="24"/>
        <v/>
      </c>
      <c r="D403" t="s">
        <v>926</v>
      </c>
      <c r="E403" t="str">
        <f t="shared" si="27"/>
        <v/>
      </c>
      <c r="F403" s="16" t="str">
        <f t="shared" si="25"/>
        <v/>
      </c>
      <c r="G403" t="s">
        <v>926</v>
      </c>
    </row>
    <row r="404" spans="2:7" x14ac:dyDescent="0.25">
      <c r="B404" t="str">
        <f t="shared" si="26"/>
        <v/>
      </c>
      <c r="C404" s="16" t="str">
        <f t="shared" si="24"/>
        <v/>
      </c>
      <c r="D404" t="s">
        <v>926</v>
      </c>
      <c r="E404" t="str">
        <f t="shared" si="27"/>
        <v/>
      </c>
      <c r="F404" s="16" t="str">
        <f t="shared" si="25"/>
        <v/>
      </c>
      <c r="G404" t="s">
        <v>926</v>
      </c>
    </row>
    <row r="405" spans="2:7" x14ac:dyDescent="0.25">
      <c r="B405" t="str">
        <f t="shared" si="26"/>
        <v/>
      </c>
      <c r="C405" s="16" t="str">
        <f t="shared" si="24"/>
        <v/>
      </c>
      <c r="D405" t="s">
        <v>926</v>
      </c>
      <c r="E405" t="str">
        <f t="shared" si="27"/>
        <v/>
      </c>
      <c r="F405" s="16" t="str">
        <f t="shared" si="25"/>
        <v/>
      </c>
      <c r="G405" t="s">
        <v>926</v>
      </c>
    </row>
    <row r="406" spans="2:7" x14ac:dyDescent="0.25">
      <c r="B406" t="str">
        <f t="shared" si="26"/>
        <v/>
      </c>
      <c r="C406" s="16" t="str">
        <f t="shared" si="24"/>
        <v/>
      </c>
      <c r="D406" t="s">
        <v>926</v>
      </c>
      <c r="E406" t="str">
        <f t="shared" si="27"/>
        <v/>
      </c>
      <c r="F406" s="16" t="str">
        <f t="shared" si="25"/>
        <v/>
      </c>
      <c r="G406" t="s">
        <v>926</v>
      </c>
    </row>
    <row r="407" spans="2:7" x14ac:dyDescent="0.25">
      <c r="B407" t="str">
        <f t="shared" si="26"/>
        <v/>
      </c>
      <c r="C407" s="16" t="str">
        <f t="shared" si="24"/>
        <v/>
      </c>
      <c r="D407" t="s">
        <v>926</v>
      </c>
      <c r="E407" t="str">
        <f t="shared" si="27"/>
        <v/>
      </c>
      <c r="F407" s="16" t="str">
        <f t="shared" si="25"/>
        <v/>
      </c>
      <c r="G407" t="s">
        <v>926</v>
      </c>
    </row>
    <row r="408" spans="2:7" x14ac:dyDescent="0.25">
      <c r="B408" t="str">
        <f t="shared" si="26"/>
        <v/>
      </c>
      <c r="C408" s="16" t="str">
        <f t="shared" si="24"/>
        <v/>
      </c>
      <c r="D408" t="s">
        <v>926</v>
      </c>
      <c r="E408" t="str">
        <f t="shared" si="27"/>
        <v/>
      </c>
      <c r="F408" s="16" t="str">
        <f t="shared" si="25"/>
        <v/>
      </c>
      <c r="G408" t="s">
        <v>926</v>
      </c>
    </row>
    <row r="409" spans="2:7" x14ac:dyDescent="0.25">
      <c r="B409" t="str">
        <f t="shared" si="26"/>
        <v/>
      </c>
      <c r="C409" s="16" t="str">
        <f t="shared" si="24"/>
        <v/>
      </c>
      <c r="D409" t="s">
        <v>926</v>
      </c>
      <c r="E409" t="str">
        <f t="shared" si="27"/>
        <v/>
      </c>
      <c r="F409" s="16" t="str">
        <f t="shared" si="25"/>
        <v/>
      </c>
      <c r="G409" t="s">
        <v>926</v>
      </c>
    </row>
    <row r="410" spans="2:7" x14ac:dyDescent="0.25">
      <c r="B410" t="str">
        <f t="shared" si="26"/>
        <v/>
      </c>
      <c r="C410" s="16" t="str">
        <f t="shared" si="24"/>
        <v/>
      </c>
      <c r="D410" t="s">
        <v>926</v>
      </c>
      <c r="E410" t="str">
        <f t="shared" si="27"/>
        <v/>
      </c>
      <c r="F410" s="16" t="str">
        <f t="shared" si="25"/>
        <v/>
      </c>
      <c r="G410" t="s">
        <v>926</v>
      </c>
    </row>
    <row r="411" spans="2:7" x14ac:dyDescent="0.25">
      <c r="B411" t="str">
        <f t="shared" si="26"/>
        <v/>
      </c>
      <c r="C411" s="16" t="str">
        <f t="shared" si="24"/>
        <v/>
      </c>
      <c r="D411" t="s">
        <v>926</v>
      </c>
      <c r="E411" t="str">
        <f t="shared" si="27"/>
        <v/>
      </c>
      <c r="F411" s="16" t="str">
        <f t="shared" si="25"/>
        <v/>
      </c>
      <c r="G411" t="s">
        <v>926</v>
      </c>
    </row>
    <row r="412" spans="2:7" x14ac:dyDescent="0.25">
      <c r="B412" t="str">
        <f t="shared" si="26"/>
        <v/>
      </c>
      <c r="C412" s="16" t="str">
        <f t="shared" si="24"/>
        <v/>
      </c>
      <c r="D412" t="s">
        <v>926</v>
      </c>
      <c r="E412" t="str">
        <f t="shared" si="27"/>
        <v/>
      </c>
      <c r="F412" s="16" t="str">
        <f t="shared" si="25"/>
        <v/>
      </c>
      <c r="G412" t="s">
        <v>926</v>
      </c>
    </row>
    <row r="413" spans="2:7" x14ac:dyDescent="0.25">
      <c r="B413" t="str">
        <f t="shared" si="26"/>
        <v/>
      </c>
      <c r="C413" s="16" t="str">
        <f t="shared" si="24"/>
        <v/>
      </c>
      <c r="D413" t="s">
        <v>926</v>
      </c>
      <c r="E413" t="str">
        <f t="shared" si="27"/>
        <v/>
      </c>
      <c r="F413" s="16" t="str">
        <f t="shared" si="25"/>
        <v/>
      </c>
      <c r="G413" t="s">
        <v>926</v>
      </c>
    </row>
    <row r="414" spans="2:7" x14ac:dyDescent="0.25">
      <c r="B414" t="str">
        <f t="shared" si="26"/>
        <v/>
      </c>
      <c r="C414" s="16" t="str">
        <f t="shared" si="24"/>
        <v/>
      </c>
      <c r="D414" t="s">
        <v>926</v>
      </c>
      <c r="E414" t="str">
        <f t="shared" si="27"/>
        <v/>
      </c>
      <c r="F414" s="16" t="str">
        <f t="shared" si="25"/>
        <v/>
      </c>
      <c r="G414" t="s">
        <v>926</v>
      </c>
    </row>
    <row r="415" spans="2:7" x14ac:dyDescent="0.25">
      <c r="B415" t="str">
        <f t="shared" si="26"/>
        <v/>
      </c>
      <c r="C415" s="16" t="str">
        <f t="shared" si="24"/>
        <v/>
      </c>
      <c r="D415" t="s">
        <v>926</v>
      </c>
      <c r="E415" t="str">
        <f t="shared" si="27"/>
        <v/>
      </c>
      <c r="F415" s="16" t="str">
        <f t="shared" si="25"/>
        <v/>
      </c>
      <c r="G415" t="s">
        <v>926</v>
      </c>
    </row>
    <row r="416" spans="2:7" x14ac:dyDescent="0.25">
      <c r="B416" t="str">
        <f t="shared" si="26"/>
        <v/>
      </c>
      <c r="C416" s="16" t="str">
        <f t="shared" si="24"/>
        <v/>
      </c>
      <c r="D416" t="s">
        <v>926</v>
      </c>
      <c r="E416" t="str">
        <f t="shared" si="27"/>
        <v/>
      </c>
      <c r="F416" s="16" t="str">
        <f t="shared" si="25"/>
        <v/>
      </c>
      <c r="G416" t="s">
        <v>926</v>
      </c>
    </row>
    <row r="417" spans="2:7" x14ac:dyDescent="0.25">
      <c r="B417" t="str">
        <f t="shared" si="26"/>
        <v/>
      </c>
      <c r="C417" s="16" t="str">
        <f t="shared" si="24"/>
        <v/>
      </c>
      <c r="D417" t="s">
        <v>926</v>
      </c>
      <c r="E417" t="str">
        <f t="shared" si="27"/>
        <v/>
      </c>
      <c r="F417" s="16" t="str">
        <f t="shared" si="25"/>
        <v/>
      </c>
      <c r="G417" t="s">
        <v>926</v>
      </c>
    </row>
    <row r="418" spans="2:7" x14ac:dyDescent="0.25">
      <c r="B418" t="str">
        <f t="shared" si="26"/>
        <v/>
      </c>
      <c r="C418" s="16" t="str">
        <f t="shared" si="24"/>
        <v/>
      </c>
      <c r="D418" t="s">
        <v>926</v>
      </c>
      <c r="E418" t="str">
        <f t="shared" si="27"/>
        <v/>
      </c>
      <c r="F418" s="16" t="str">
        <f t="shared" si="25"/>
        <v/>
      </c>
      <c r="G418" t="s">
        <v>926</v>
      </c>
    </row>
    <row r="419" spans="2:7" x14ac:dyDescent="0.25">
      <c r="B419" t="str">
        <f t="shared" si="26"/>
        <v/>
      </c>
      <c r="C419" s="16" t="str">
        <f t="shared" si="24"/>
        <v/>
      </c>
      <c r="D419" t="s">
        <v>926</v>
      </c>
      <c r="E419" t="str">
        <f t="shared" si="27"/>
        <v/>
      </c>
      <c r="F419" s="16" t="str">
        <f t="shared" si="25"/>
        <v/>
      </c>
      <c r="G419" t="s">
        <v>926</v>
      </c>
    </row>
    <row r="420" spans="2:7" x14ac:dyDescent="0.25">
      <c r="B420" t="str">
        <f t="shared" si="26"/>
        <v/>
      </c>
      <c r="C420" s="16" t="str">
        <f t="shared" si="24"/>
        <v/>
      </c>
      <c r="D420" t="s">
        <v>926</v>
      </c>
      <c r="E420" t="str">
        <f t="shared" si="27"/>
        <v/>
      </c>
      <c r="F420" s="16" t="str">
        <f t="shared" si="25"/>
        <v/>
      </c>
      <c r="G420" t="s">
        <v>926</v>
      </c>
    </row>
    <row r="421" spans="2:7" x14ac:dyDescent="0.25">
      <c r="B421" t="str">
        <f t="shared" si="26"/>
        <v/>
      </c>
      <c r="C421" s="16" t="str">
        <f t="shared" si="24"/>
        <v/>
      </c>
      <c r="D421" t="s">
        <v>926</v>
      </c>
      <c r="E421" t="str">
        <f t="shared" si="27"/>
        <v/>
      </c>
      <c r="F421" s="16" t="str">
        <f t="shared" si="25"/>
        <v/>
      </c>
      <c r="G421" t="s">
        <v>926</v>
      </c>
    </row>
    <row r="422" spans="2:7" x14ac:dyDescent="0.25">
      <c r="B422" t="str">
        <f t="shared" si="26"/>
        <v/>
      </c>
      <c r="C422" s="16" t="str">
        <f t="shared" si="24"/>
        <v/>
      </c>
      <c r="D422" t="s">
        <v>926</v>
      </c>
      <c r="E422" t="str">
        <f t="shared" si="27"/>
        <v/>
      </c>
      <c r="F422" s="16" t="str">
        <f t="shared" si="25"/>
        <v/>
      </c>
      <c r="G422" t="s">
        <v>926</v>
      </c>
    </row>
    <row r="423" spans="2:7" x14ac:dyDescent="0.25">
      <c r="B423" t="str">
        <f t="shared" si="26"/>
        <v/>
      </c>
      <c r="C423" s="16" t="str">
        <f t="shared" si="24"/>
        <v/>
      </c>
      <c r="D423" t="s">
        <v>926</v>
      </c>
      <c r="E423" t="str">
        <f t="shared" si="27"/>
        <v/>
      </c>
      <c r="F423" s="16" t="str">
        <f t="shared" si="25"/>
        <v/>
      </c>
      <c r="G423" t="s">
        <v>926</v>
      </c>
    </row>
    <row r="424" spans="2:7" x14ac:dyDescent="0.25">
      <c r="B424" t="str">
        <f t="shared" si="26"/>
        <v/>
      </c>
      <c r="C424" s="16" t="str">
        <f t="shared" si="24"/>
        <v/>
      </c>
      <c r="D424" t="s">
        <v>926</v>
      </c>
      <c r="E424" t="str">
        <f t="shared" si="27"/>
        <v/>
      </c>
      <c r="F424" s="16" t="str">
        <f t="shared" si="25"/>
        <v/>
      </c>
      <c r="G424" t="s">
        <v>926</v>
      </c>
    </row>
    <row r="425" spans="2:7" x14ac:dyDescent="0.25">
      <c r="B425" t="str">
        <f t="shared" si="26"/>
        <v/>
      </c>
      <c r="C425" s="16" t="str">
        <f t="shared" si="24"/>
        <v/>
      </c>
      <c r="D425" t="s">
        <v>926</v>
      </c>
      <c r="E425" t="str">
        <f t="shared" si="27"/>
        <v/>
      </c>
      <c r="F425" s="16" t="str">
        <f t="shared" si="25"/>
        <v/>
      </c>
      <c r="G425" t="s">
        <v>926</v>
      </c>
    </row>
    <row r="426" spans="2:7" x14ac:dyDescent="0.25">
      <c r="B426" t="str">
        <f t="shared" si="26"/>
        <v/>
      </c>
      <c r="C426" s="16" t="str">
        <f t="shared" si="24"/>
        <v/>
      </c>
      <c r="D426" t="s">
        <v>926</v>
      </c>
      <c r="E426" t="str">
        <f t="shared" si="27"/>
        <v/>
      </c>
      <c r="F426" s="16" t="str">
        <f t="shared" si="25"/>
        <v/>
      </c>
      <c r="G426" t="s">
        <v>926</v>
      </c>
    </row>
    <row r="427" spans="2:7" x14ac:dyDescent="0.25">
      <c r="B427" t="str">
        <f t="shared" si="26"/>
        <v/>
      </c>
      <c r="C427" s="16" t="str">
        <f t="shared" si="24"/>
        <v/>
      </c>
      <c r="D427" t="s">
        <v>926</v>
      </c>
      <c r="E427" t="str">
        <f t="shared" si="27"/>
        <v/>
      </c>
      <c r="F427" s="16" t="str">
        <f t="shared" si="25"/>
        <v/>
      </c>
      <c r="G427" t="s">
        <v>926</v>
      </c>
    </row>
    <row r="428" spans="2:7" x14ac:dyDescent="0.25">
      <c r="B428" t="str">
        <f t="shared" si="26"/>
        <v/>
      </c>
      <c r="C428" s="16" t="str">
        <f t="shared" si="24"/>
        <v/>
      </c>
      <c r="D428" t="s">
        <v>926</v>
      </c>
      <c r="E428" t="str">
        <f t="shared" si="27"/>
        <v/>
      </c>
      <c r="F428" s="16" t="str">
        <f t="shared" si="25"/>
        <v/>
      </c>
      <c r="G428" t="s">
        <v>926</v>
      </c>
    </row>
    <row r="429" spans="2:7" x14ac:dyDescent="0.25">
      <c r="B429" t="str">
        <f t="shared" si="26"/>
        <v/>
      </c>
      <c r="C429" s="16" t="str">
        <f t="shared" si="24"/>
        <v/>
      </c>
      <c r="D429" t="s">
        <v>926</v>
      </c>
      <c r="E429" t="str">
        <f t="shared" si="27"/>
        <v/>
      </c>
      <c r="F429" s="16" t="str">
        <f t="shared" si="25"/>
        <v/>
      </c>
      <c r="G429" t="s">
        <v>926</v>
      </c>
    </row>
    <row r="430" spans="2:7" x14ac:dyDescent="0.25">
      <c r="B430" t="str">
        <f t="shared" si="26"/>
        <v/>
      </c>
      <c r="C430" s="16" t="str">
        <f t="shared" si="24"/>
        <v/>
      </c>
      <c r="D430" t="s">
        <v>926</v>
      </c>
      <c r="E430" t="str">
        <f t="shared" si="27"/>
        <v/>
      </c>
      <c r="F430" s="16" t="str">
        <f t="shared" si="25"/>
        <v/>
      </c>
      <c r="G430" t="s">
        <v>926</v>
      </c>
    </row>
    <row r="431" spans="2:7" x14ac:dyDescent="0.25">
      <c r="B431" t="str">
        <f t="shared" si="26"/>
        <v/>
      </c>
      <c r="C431" s="16" t="str">
        <f t="shared" si="24"/>
        <v/>
      </c>
      <c r="D431" t="s">
        <v>926</v>
      </c>
      <c r="E431" t="str">
        <f t="shared" si="27"/>
        <v/>
      </c>
      <c r="F431" s="16" t="str">
        <f t="shared" si="25"/>
        <v/>
      </c>
      <c r="G431" t="s">
        <v>926</v>
      </c>
    </row>
    <row r="432" spans="2:7" x14ac:dyDescent="0.25">
      <c r="B432" t="str">
        <f t="shared" si="26"/>
        <v/>
      </c>
      <c r="C432" s="16" t="str">
        <f t="shared" si="24"/>
        <v/>
      </c>
      <c r="D432" t="s">
        <v>926</v>
      </c>
      <c r="E432" t="str">
        <f t="shared" si="27"/>
        <v/>
      </c>
      <c r="F432" s="16" t="str">
        <f t="shared" si="25"/>
        <v/>
      </c>
      <c r="G432" t="s">
        <v>926</v>
      </c>
    </row>
    <row r="433" spans="2:7" x14ac:dyDescent="0.25">
      <c r="B433" t="str">
        <f t="shared" si="26"/>
        <v/>
      </c>
      <c r="C433" s="16" t="str">
        <f t="shared" si="24"/>
        <v/>
      </c>
      <c r="D433" t="s">
        <v>926</v>
      </c>
      <c r="E433" t="str">
        <f t="shared" si="27"/>
        <v/>
      </c>
      <c r="F433" s="16" t="str">
        <f t="shared" si="25"/>
        <v/>
      </c>
      <c r="G433" t="s">
        <v>926</v>
      </c>
    </row>
    <row r="434" spans="2:7" x14ac:dyDescent="0.25">
      <c r="B434" t="str">
        <f t="shared" si="26"/>
        <v/>
      </c>
      <c r="C434" s="16" t="str">
        <f t="shared" si="24"/>
        <v/>
      </c>
      <c r="D434" t="s">
        <v>926</v>
      </c>
      <c r="E434" t="str">
        <f t="shared" si="27"/>
        <v/>
      </c>
      <c r="F434" s="16" t="str">
        <f t="shared" si="25"/>
        <v/>
      </c>
      <c r="G434" t="s">
        <v>926</v>
      </c>
    </row>
    <row r="435" spans="2:7" x14ac:dyDescent="0.25">
      <c r="B435" t="str">
        <f t="shared" si="26"/>
        <v/>
      </c>
      <c r="C435" s="16" t="str">
        <f t="shared" si="24"/>
        <v/>
      </c>
      <c r="D435" t="s">
        <v>926</v>
      </c>
      <c r="E435" t="str">
        <f t="shared" si="27"/>
        <v/>
      </c>
      <c r="F435" s="16" t="str">
        <f t="shared" si="25"/>
        <v/>
      </c>
      <c r="G435" t="s">
        <v>926</v>
      </c>
    </row>
    <row r="436" spans="2:7" x14ac:dyDescent="0.25">
      <c r="B436" t="str">
        <f t="shared" si="26"/>
        <v/>
      </c>
      <c r="C436" s="16" t="str">
        <f t="shared" si="24"/>
        <v/>
      </c>
      <c r="D436" t="s">
        <v>926</v>
      </c>
      <c r="E436" t="str">
        <f t="shared" si="27"/>
        <v/>
      </c>
      <c r="F436" s="16" t="str">
        <f t="shared" si="25"/>
        <v/>
      </c>
      <c r="G436" t="s">
        <v>926</v>
      </c>
    </row>
    <row r="437" spans="2:7" x14ac:dyDescent="0.25">
      <c r="B437" t="str">
        <f t="shared" si="26"/>
        <v/>
      </c>
      <c r="C437" s="16" t="str">
        <f t="shared" si="24"/>
        <v/>
      </c>
      <c r="D437" t="s">
        <v>926</v>
      </c>
      <c r="E437" t="str">
        <f t="shared" si="27"/>
        <v/>
      </c>
      <c r="F437" s="16" t="str">
        <f t="shared" si="25"/>
        <v/>
      </c>
      <c r="G437" t="s">
        <v>926</v>
      </c>
    </row>
    <row r="438" spans="2:7" x14ac:dyDescent="0.25">
      <c r="B438" t="str">
        <f t="shared" si="26"/>
        <v/>
      </c>
      <c r="C438" s="16" t="str">
        <f t="shared" si="24"/>
        <v/>
      </c>
      <c r="D438" t="s">
        <v>926</v>
      </c>
      <c r="E438" t="str">
        <f t="shared" si="27"/>
        <v/>
      </c>
      <c r="F438" s="16" t="str">
        <f t="shared" si="25"/>
        <v/>
      </c>
      <c r="G438" t="s">
        <v>926</v>
      </c>
    </row>
    <row r="439" spans="2:7" x14ac:dyDescent="0.25">
      <c r="B439" t="str">
        <f t="shared" si="26"/>
        <v/>
      </c>
      <c r="C439" s="16" t="str">
        <f t="shared" si="24"/>
        <v/>
      </c>
      <c r="D439" t="s">
        <v>926</v>
      </c>
      <c r="E439" t="str">
        <f t="shared" si="27"/>
        <v/>
      </c>
      <c r="F439" s="16" t="str">
        <f t="shared" si="25"/>
        <v/>
      </c>
      <c r="G439" t="s">
        <v>926</v>
      </c>
    </row>
    <row r="440" spans="2:7" x14ac:dyDescent="0.25">
      <c r="B440" t="str">
        <f t="shared" si="26"/>
        <v/>
      </c>
      <c r="C440" s="16" t="str">
        <f t="shared" si="24"/>
        <v/>
      </c>
      <c r="D440" t="s">
        <v>926</v>
      </c>
      <c r="E440" t="str">
        <f t="shared" si="27"/>
        <v/>
      </c>
      <c r="F440" s="16" t="str">
        <f t="shared" si="25"/>
        <v/>
      </c>
      <c r="G440" t="s">
        <v>926</v>
      </c>
    </row>
    <row r="441" spans="2:7" x14ac:dyDescent="0.25">
      <c r="B441" t="str">
        <f t="shared" si="26"/>
        <v/>
      </c>
      <c r="C441" s="16" t="str">
        <f t="shared" si="24"/>
        <v/>
      </c>
      <c r="D441" t="s">
        <v>926</v>
      </c>
      <c r="E441" t="str">
        <f t="shared" si="27"/>
        <v/>
      </c>
      <c r="F441" s="16" t="str">
        <f t="shared" si="25"/>
        <v/>
      </c>
      <c r="G441" t="s">
        <v>926</v>
      </c>
    </row>
    <row r="442" spans="2:7" x14ac:dyDescent="0.25">
      <c r="B442" t="str">
        <f t="shared" si="26"/>
        <v/>
      </c>
      <c r="C442" s="16" t="str">
        <f t="shared" si="24"/>
        <v/>
      </c>
      <c r="D442" t="s">
        <v>926</v>
      </c>
      <c r="E442" t="str">
        <f t="shared" si="27"/>
        <v/>
      </c>
      <c r="F442" s="16" t="str">
        <f t="shared" si="25"/>
        <v/>
      </c>
      <c r="G442" t="s">
        <v>926</v>
      </c>
    </row>
    <row r="443" spans="2:7" x14ac:dyDescent="0.25">
      <c r="B443" t="str">
        <f t="shared" si="26"/>
        <v/>
      </c>
      <c r="C443" s="16" t="str">
        <f t="shared" si="24"/>
        <v/>
      </c>
      <c r="D443" t="s">
        <v>926</v>
      </c>
      <c r="E443" t="str">
        <f t="shared" si="27"/>
        <v/>
      </c>
      <c r="F443" s="16" t="str">
        <f t="shared" si="25"/>
        <v/>
      </c>
      <c r="G443" t="s">
        <v>926</v>
      </c>
    </row>
    <row r="444" spans="2:7" x14ac:dyDescent="0.25">
      <c r="B444" t="str">
        <f t="shared" si="26"/>
        <v/>
      </c>
      <c r="C444" s="16" t="str">
        <f t="shared" si="24"/>
        <v/>
      </c>
      <c r="D444" t="s">
        <v>926</v>
      </c>
      <c r="E444" t="str">
        <f t="shared" si="27"/>
        <v/>
      </c>
      <c r="F444" s="16" t="str">
        <f t="shared" si="25"/>
        <v/>
      </c>
      <c r="G444" t="s">
        <v>926</v>
      </c>
    </row>
    <row r="445" spans="2:7" x14ac:dyDescent="0.25">
      <c r="B445" t="str">
        <f t="shared" si="26"/>
        <v/>
      </c>
      <c r="C445" s="16" t="str">
        <f t="shared" si="24"/>
        <v/>
      </c>
      <c r="D445" t="s">
        <v>926</v>
      </c>
      <c r="E445" t="str">
        <f t="shared" si="27"/>
        <v/>
      </c>
      <c r="F445" s="16" t="str">
        <f t="shared" si="25"/>
        <v/>
      </c>
      <c r="G445" t="s">
        <v>926</v>
      </c>
    </row>
    <row r="446" spans="2:7" x14ac:dyDescent="0.25">
      <c r="B446" t="str">
        <f t="shared" si="26"/>
        <v/>
      </c>
      <c r="C446" s="16" t="str">
        <f t="shared" si="24"/>
        <v/>
      </c>
      <c r="D446" t="s">
        <v>926</v>
      </c>
      <c r="E446" t="str">
        <f t="shared" si="27"/>
        <v/>
      </c>
      <c r="F446" s="16" t="str">
        <f t="shared" si="25"/>
        <v/>
      </c>
      <c r="G446" t="s">
        <v>926</v>
      </c>
    </row>
    <row r="447" spans="2:7" x14ac:dyDescent="0.25">
      <c r="B447" t="str">
        <f t="shared" si="26"/>
        <v/>
      </c>
      <c r="C447" s="16" t="str">
        <f t="shared" si="24"/>
        <v/>
      </c>
      <c r="D447" t="s">
        <v>926</v>
      </c>
      <c r="E447" t="str">
        <f t="shared" si="27"/>
        <v/>
      </c>
      <c r="F447" s="16" t="str">
        <f t="shared" si="25"/>
        <v/>
      </c>
      <c r="G447" t="s">
        <v>926</v>
      </c>
    </row>
    <row r="448" spans="2:7" x14ac:dyDescent="0.25">
      <c r="B448" t="str">
        <f t="shared" si="26"/>
        <v/>
      </c>
      <c r="C448" s="16" t="str">
        <f t="shared" si="24"/>
        <v/>
      </c>
      <c r="D448" t="s">
        <v>926</v>
      </c>
      <c r="E448" t="str">
        <f t="shared" si="27"/>
        <v/>
      </c>
      <c r="F448" s="16" t="str">
        <f t="shared" si="25"/>
        <v/>
      </c>
      <c r="G448" t="s">
        <v>926</v>
      </c>
    </row>
    <row r="449" spans="2:7" x14ac:dyDescent="0.25">
      <c r="B449" t="str">
        <f t="shared" si="26"/>
        <v/>
      </c>
      <c r="C449" s="16" t="str">
        <f t="shared" si="24"/>
        <v/>
      </c>
      <c r="D449" t="s">
        <v>926</v>
      </c>
      <c r="E449" t="str">
        <f t="shared" si="27"/>
        <v/>
      </c>
      <c r="F449" s="16" t="str">
        <f t="shared" si="25"/>
        <v/>
      </c>
      <c r="G449" t="s">
        <v>926</v>
      </c>
    </row>
    <row r="450" spans="2:7" x14ac:dyDescent="0.25">
      <c r="B450" t="str">
        <f t="shared" si="26"/>
        <v/>
      </c>
      <c r="C450" s="16" t="str">
        <f t="shared" si="24"/>
        <v/>
      </c>
      <c r="D450" t="s">
        <v>926</v>
      </c>
      <c r="E450" t="str">
        <f t="shared" si="27"/>
        <v/>
      </c>
      <c r="F450" s="16" t="str">
        <f t="shared" si="25"/>
        <v/>
      </c>
      <c r="G450" t="s">
        <v>926</v>
      </c>
    </row>
    <row r="451" spans="2:7" x14ac:dyDescent="0.25">
      <c r="B451" t="str">
        <f t="shared" si="26"/>
        <v/>
      </c>
      <c r="C451" s="16" t="str">
        <f t="shared" ref="C451:C514" si="28">IF(ISERROR(VLOOKUP(B451,ImpComp,2,FALSE)),"",VLOOKUP(B451,ImpComp,2,FALSE))</f>
        <v/>
      </c>
      <c r="D451" t="s">
        <v>926</v>
      </c>
      <c r="E451" t="str">
        <f t="shared" si="27"/>
        <v/>
      </c>
      <c r="F451" s="16" t="str">
        <f t="shared" ref="F451:F514" si="29" xml:space="preserve"> IF(ISERROR(VLOOKUP(E451,Imp_IVA1,2,FALSE)),"",VLOOKUP(E451,Imp_IVA1,2,FALSE))&amp; IF(ISERROR(VLOOKUP(E451,Imp_IVA2,2,FALSE)),"",VLOOKUP(E451,Imp_IVA2,2,FALSE))</f>
        <v/>
      </c>
      <c r="G451" t="s">
        <v>926</v>
      </c>
    </row>
    <row r="452" spans="2:7" x14ac:dyDescent="0.25">
      <c r="B452" t="str">
        <f t="shared" si="26"/>
        <v/>
      </c>
      <c r="C452" s="16" t="str">
        <f t="shared" si="28"/>
        <v/>
      </c>
      <c r="D452" t="s">
        <v>926</v>
      </c>
      <c r="E452" t="str">
        <f t="shared" si="27"/>
        <v/>
      </c>
      <c r="F452" s="16" t="str">
        <f t="shared" si="29"/>
        <v/>
      </c>
      <c r="G452" t="s">
        <v>926</v>
      </c>
    </row>
    <row r="453" spans="2:7" x14ac:dyDescent="0.25">
      <c r="B453" t="str">
        <f t="shared" ref="B453:B516" si="30">IF(OR(B452=$B$2,B452=""),"",B452+1)</f>
        <v/>
      </c>
      <c r="C453" s="16" t="str">
        <f t="shared" si="28"/>
        <v/>
      </c>
      <c r="D453" t="s">
        <v>926</v>
      </c>
      <c r="E453" t="str">
        <f t="shared" ref="E453:E516" si="31">IF(OR(E452=$E$2,E452=""),"",E452+1)</f>
        <v/>
      </c>
      <c r="F453" s="16" t="str">
        <f t="shared" si="29"/>
        <v/>
      </c>
      <c r="G453" t="s">
        <v>926</v>
      </c>
    </row>
    <row r="454" spans="2:7" x14ac:dyDescent="0.25">
      <c r="B454" t="str">
        <f t="shared" si="30"/>
        <v/>
      </c>
      <c r="C454" s="16" t="str">
        <f t="shared" si="28"/>
        <v/>
      </c>
      <c r="D454" t="s">
        <v>926</v>
      </c>
      <c r="E454" t="str">
        <f t="shared" si="31"/>
        <v/>
      </c>
      <c r="F454" s="16" t="str">
        <f t="shared" si="29"/>
        <v/>
      </c>
      <c r="G454" t="s">
        <v>926</v>
      </c>
    </row>
    <row r="455" spans="2:7" x14ac:dyDescent="0.25">
      <c r="B455" t="str">
        <f t="shared" si="30"/>
        <v/>
      </c>
      <c r="C455" s="16" t="str">
        <f t="shared" si="28"/>
        <v/>
      </c>
      <c r="D455" t="s">
        <v>926</v>
      </c>
      <c r="E455" t="str">
        <f t="shared" si="31"/>
        <v/>
      </c>
      <c r="F455" s="16" t="str">
        <f t="shared" si="29"/>
        <v/>
      </c>
      <c r="G455" t="s">
        <v>926</v>
      </c>
    </row>
    <row r="456" spans="2:7" x14ac:dyDescent="0.25">
      <c r="B456" t="str">
        <f t="shared" si="30"/>
        <v/>
      </c>
      <c r="C456" s="16" t="str">
        <f t="shared" si="28"/>
        <v/>
      </c>
      <c r="D456" t="s">
        <v>926</v>
      </c>
      <c r="E456" t="str">
        <f t="shared" si="31"/>
        <v/>
      </c>
      <c r="F456" s="16" t="str">
        <f t="shared" si="29"/>
        <v/>
      </c>
      <c r="G456" t="s">
        <v>926</v>
      </c>
    </row>
    <row r="457" spans="2:7" x14ac:dyDescent="0.25">
      <c r="B457" t="str">
        <f t="shared" si="30"/>
        <v/>
      </c>
      <c r="C457" s="16" t="str">
        <f t="shared" si="28"/>
        <v/>
      </c>
      <c r="D457" t="s">
        <v>926</v>
      </c>
      <c r="E457" t="str">
        <f t="shared" si="31"/>
        <v/>
      </c>
      <c r="F457" s="16" t="str">
        <f t="shared" si="29"/>
        <v/>
      </c>
      <c r="G457" t="s">
        <v>926</v>
      </c>
    </row>
    <row r="458" spans="2:7" x14ac:dyDescent="0.25">
      <c r="B458" t="str">
        <f t="shared" si="30"/>
        <v/>
      </c>
      <c r="C458" s="16" t="str">
        <f t="shared" si="28"/>
        <v/>
      </c>
      <c r="D458" t="s">
        <v>926</v>
      </c>
      <c r="E458" t="str">
        <f t="shared" si="31"/>
        <v/>
      </c>
      <c r="F458" s="16" t="str">
        <f t="shared" si="29"/>
        <v/>
      </c>
      <c r="G458" t="s">
        <v>926</v>
      </c>
    </row>
    <row r="459" spans="2:7" x14ac:dyDescent="0.25">
      <c r="B459" t="str">
        <f t="shared" si="30"/>
        <v/>
      </c>
      <c r="C459" s="16" t="str">
        <f t="shared" si="28"/>
        <v/>
      </c>
      <c r="D459" t="s">
        <v>926</v>
      </c>
      <c r="E459" t="str">
        <f t="shared" si="31"/>
        <v/>
      </c>
      <c r="F459" s="16" t="str">
        <f t="shared" si="29"/>
        <v/>
      </c>
      <c r="G459" t="s">
        <v>926</v>
      </c>
    </row>
    <row r="460" spans="2:7" x14ac:dyDescent="0.25">
      <c r="B460" t="str">
        <f t="shared" si="30"/>
        <v/>
      </c>
      <c r="C460" s="16" t="str">
        <f t="shared" si="28"/>
        <v/>
      </c>
      <c r="D460" t="s">
        <v>926</v>
      </c>
      <c r="E460" t="str">
        <f t="shared" si="31"/>
        <v/>
      </c>
      <c r="F460" s="16" t="str">
        <f t="shared" si="29"/>
        <v/>
      </c>
      <c r="G460" t="s">
        <v>926</v>
      </c>
    </row>
    <row r="461" spans="2:7" x14ac:dyDescent="0.25">
      <c r="B461" t="str">
        <f t="shared" si="30"/>
        <v/>
      </c>
      <c r="C461" s="16" t="str">
        <f t="shared" si="28"/>
        <v/>
      </c>
      <c r="D461" t="s">
        <v>926</v>
      </c>
      <c r="E461" t="str">
        <f t="shared" si="31"/>
        <v/>
      </c>
      <c r="F461" s="16" t="str">
        <f t="shared" si="29"/>
        <v/>
      </c>
      <c r="G461" t="s">
        <v>926</v>
      </c>
    </row>
    <row r="462" spans="2:7" x14ac:dyDescent="0.25">
      <c r="B462" t="str">
        <f t="shared" si="30"/>
        <v/>
      </c>
      <c r="C462" s="16" t="str">
        <f t="shared" si="28"/>
        <v/>
      </c>
      <c r="D462" t="s">
        <v>926</v>
      </c>
      <c r="E462" t="str">
        <f t="shared" si="31"/>
        <v/>
      </c>
      <c r="F462" s="16" t="str">
        <f t="shared" si="29"/>
        <v/>
      </c>
      <c r="G462" t="s">
        <v>926</v>
      </c>
    </row>
    <row r="463" spans="2:7" x14ac:dyDescent="0.25">
      <c r="B463" t="str">
        <f t="shared" si="30"/>
        <v/>
      </c>
      <c r="C463" s="16" t="str">
        <f t="shared" si="28"/>
        <v/>
      </c>
      <c r="D463" t="s">
        <v>926</v>
      </c>
      <c r="E463" t="str">
        <f t="shared" si="31"/>
        <v/>
      </c>
      <c r="F463" s="16" t="str">
        <f t="shared" si="29"/>
        <v/>
      </c>
      <c r="G463" t="s">
        <v>926</v>
      </c>
    </row>
    <row r="464" spans="2:7" x14ac:dyDescent="0.25">
      <c r="B464" t="str">
        <f t="shared" si="30"/>
        <v/>
      </c>
      <c r="C464" s="16" t="str">
        <f t="shared" si="28"/>
        <v/>
      </c>
      <c r="D464" t="s">
        <v>926</v>
      </c>
      <c r="E464" t="str">
        <f t="shared" si="31"/>
        <v/>
      </c>
      <c r="F464" s="16" t="str">
        <f t="shared" si="29"/>
        <v/>
      </c>
      <c r="G464" t="s">
        <v>926</v>
      </c>
    </row>
    <row r="465" spans="2:7" x14ac:dyDescent="0.25">
      <c r="B465" t="str">
        <f t="shared" si="30"/>
        <v/>
      </c>
      <c r="C465" s="16" t="str">
        <f t="shared" si="28"/>
        <v/>
      </c>
      <c r="D465" t="s">
        <v>926</v>
      </c>
      <c r="E465" t="str">
        <f t="shared" si="31"/>
        <v/>
      </c>
      <c r="F465" s="16" t="str">
        <f t="shared" si="29"/>
        <v/>
      </c>
      <c r="G465" t="s">
        <v>926</v>
      </c>
    </row>
    <row r="466" spans="2:7" x14ac:dyDescent="0.25">
      <c r="B466" t="str">
        <f t="shared" si="30"/>
        <v/>
      </c>
      <c r="C466" s="16" t="str">
        <f t="shared" si="28"/>
        <v/>
      </c>
      <c r="D466" t="s">
        <v>926</v>
      </c>
      <c r="E466" t="str">
        <f t="shared" si="31"/>
        <v/>
      </c>
      <c r="F466" s="16" t="str">
        <f t="shared" si="29"/>
        <v/>
      </c>
      <c r="G466" t="s">
        <v>926</v>
      </c>
    </row>
    <row r="467" spans="2:7" x14ac:dyDescent="0.25">
      <c r="B467" t="str">
        <f t="shared" si="30"/>
        <v/>
      </c>
      <c r="C467" s="16" t="str">
        <f t="shared" si="28"/>
        <v/>
      </c>
      <c r="D467" t="s">
        <v>926</v>
      </c>
      <c r="E467" t="str">
        <f t="shared" si="31"/>
        <v/>
      </c>
      <c r="F467" s="16" t="str">
        <f t="shared" si="29"/>
        <v/>
      </c>
      <c r="G467" t="s">
        <v>926</v>
      </c>
    </row>
    <row r="468" spans="2:7" x14ac:dyDescent="0.25">
      <c r="B468" t="str">
        <f t="shared" si="30"/>
        <v/>
      </c>
      <c r="C468" s="16" t="str">
        <f t="shared" si="28"/>
        <v/>
      </c>
      <c r="D468" t="s">
        <v>926</v>
      </c>
      <c r="E468" t="str">
        <f t="shared" si="31"/>
        <v/>
      </c>
      <c r="F468" s="16" t="str">
        <f t="shared" si="29"/>
        <v/>
      </c>
      <c r="G468" t="s">
        <v>926</v>
      </c>
    </row>
    <row r="469" spans="2:7" x14ac:dyDescent="0.25">
      <c r="B469" t="str">
        <f t="shared" si="30"/>
        <v/>
      </c>
      <c r="C469" s="16" t="str">
        <f t="shared" si="28"/>
        <v/>
      </c>
      <c r="D469" t="s">
        <v>926</v>
      </c>
      <c r="E469" t="str">
        <f t="shared" si="31"/>
        <v/>
      </c>
      <c r="F469" s="16" t="str">
        <f t="shared" si="29"/>
        <v/>
      </c>
      <c r="G469" t="s">
        <v>926</v>
      </c>
    </row>
    <row r="470" spans="2:7" x14ac:dyDescent="0.25">
      <c r="B470" t="str">
        <f t="shared" si="30"/>
        <v/>
      </c>
      <c r="C470" s="16" t="str">
        <f t="shared" si="28"/>
        <v/>
      </c>
      <c r="D470" t="s">
        <v>926</v>
      </c>
      <c r="E470" t="str">
        <f t="shared" si="31"/>
        <v/>
      </c>
      <c r="F470" s="16" t="str">
        <f t="shared" si="29"/>
        <v/>
      </c>
      <c r="G470" t="s">
        <v>926</v>
      </c>
    </row>
    <row r="471" spans="2:7" x14ac:dyDescent="0.25">
      <c r="B471" t="str">
        <f t="shared" si="30"/>
        <v/>
      </c>
      <c r="C471" s="16" t="str">
        <f t="shared" si="28"/>
        <v/>
      </c>
      <c r="D471" t="s">
        <v>926</v>
      </c>
      <c r="E471" t="str">
        <f t="shared" si="31"/>
        <v/>
      </c>
      <c r="F471" s="16" t="str">
        <f t="shared" si="29"/>
        <v/>
      </c>
      <c r="G471" t="s">
        <v>926</v>
      </c>
    </row>
    <row r="472" spans="2:7" x14ac:dyDescent="0.25">
      <c r="B472" t="str">
        <f t="shared" si="30"/>
        <v/>
      </c>
      <c r="C472" s="16" t="str">
        <f t="shared" si="28"/>
        <v/>
      </c>
      <c r="D472" t="s">
        <v>926</v>
      </c>
      <c r="E472" t="str">
        <f t="shared" si="31"/>
        <v/>
      </c>
      <c r="F472" s="16" t="str">
        <f t="shared" si="29"/>
        <v/>
      </c>
      <c r="G472" t="s">
        <v>926</v>
      </c>
    </row>
    <row r="473" spans="2:7" x14ac:dyDescent="0.25">
      <c r="B473" t="str">
        <f t="shared" si="30"/>
        <v/>
      </c>
      <c r="C473" s="16" t="str">
        <f t="shared" si="28"/>
        <v/>
      </c>
      <c r="D473" t="s">
        <v>926</v>
      </c>
      <c r="E473" t="str">
        <f t="shared" si="31"/>
        <v/>
      </c>
      <c r="F473" s="16" t="str">
        <f t="shared" si="29"/>
        <v/>
      </c>
      <c r="G473" t="s">
        <v>926</v>
      </c>
    </row>
    <row r="474" spans="2:7" x14ac:dyDescent="0.25">
      <c r="B474" t="str">
        <f t="shared" si="30"/>
        <v/>
      </c>
      <c r="C474" s="16" t="str">
        <f t="shared" si="28"/>
        <v/>
      </c>
      <c r="D474" t="s">
        <v>926</v>
      </c>
      <c r="E474" t="str">
        <f t="shared" si="31"/>
        <v/>
      </c>
      <c r="F474" s="16" t="str">
        <f t="shared" si="29"/>
        <v/>
      </c>
      <c r="G474" t="s">
        <v>926</v>
      </c>
    </row>
    <row r="475" spans="2:7" x14ac:dyDescent="0.25">
      <c r="B475" t="str">
        <f t="shared" si="30"/>
        <v/>
      </c>
      <c r="C475" s="16" t="str">
        <f t="shared" si="28"/>
        <v/>
      </c>
      <c r="D475" t="s">
        <v>926</v>
      </c>
      <c r="E475" t="str">
        <f t="shared" si="31"/>
        <v/>
      </c>
      <c r="F475" s="16" t="str">
        <f t="shared" si="29"/>
        <v/>
      </c>
      <c r="G475" t="s">
        <v>926</v>
      </c>
    </row>
    <row r="476" spans="2:7" x14ac:dyDescent="0.25">
      <c r="B476" t="str">
        <f t="shared" si="30"/>
        <v/>
      </c>
      <c r="C476" s="16" t="str">
        <f t="shared" si="28"/>
        <v/>
      </c>
      <c r="D476" t="s">
        <v>926</v>
      </c>
      <c r="E476" t="str">
        <f t="shared" si="31"/>
        <v/>
      </c>
      <c r="F476" s="16" t="str">
        <f t="shared" si="29"/>
        <v/>
      </c>
      <c r="G476" t="s">
        <v>926</v>
      </c>
    </row>
    <row r="477" spans="2:7" x14ac:dyDescent="0.25">
      <c r="B477" t="str">
        <f t="shared" si="30"/>
        <v/>
      </c>
      <c r="C477" s="16" t="str">
        <f t="shared" si="28"/>
        <v/>
      </c>
      <c r="D477" t="s">
        <v>926</v>
      </c>
      <c r="E477" t="str">
        <f t="shared" si="31"/>
        <v/>
      </c>
      <c r="F477" s="16" t="str">
        <f t="shared" si="29"/>
        <v/>
      </c>
      <c r="G477" t="s">
        <v>926</v>
      </c>
    </row>
    <row r="478" spans="2:7" x14ac:dyDescent="0.25">
      <c r="B478" t="str">
        <f t="shared" si="30"/>
        <v/>
      </c>
      <c r="C478" s="16" t="str">
        <f t="shared" si="28"/>
        <v/>
      </c>
      <c r="D478" t="s">
        <v>926</v>
      </c>
      <c r="E478" t="str">
        <f t="shared" si="31"/>
        <v/>
      </c>
      <c r="F478" s="16" t="str">
        <f t="shared" si="29"/>
        <v/>
      </c>
      <c r="G478" t="s">
        <v>926</v>
      </c>
    </row>
    <row r="479" spans="2:7" x14ac:dyDescent="0.25">
      <c r="B479" t="str">
        <f t="shared" si="30"/>
        <v/>
      </c>
      <c r="C479" s="16" t="str">
        <f t="shared" si="28"/>
        <v/>
      </c>
      <c r="D479" t="s">
        <v>926</v>
      </c>
      <c r="E479" t="str">
        <f t="shared" si="31"/>
        <v/>
      </c>
      <c r="F479" s="16" t="str">
        <f t="shared" si="29"/>
        <v/>
      </c>
      <c r="G479" t="s">
        <v>926</v>
      </c>
    </row>
    <row r="480" spans="2:7" x14ac:dyDescent="0.25">
      <c r="B480" t="str">
        <f t="shared" si="30"/>
        <v/>
      </c>
      <c r="C480" s="16" t="str">
        <f t="shared" si="28"/>
        <v/>
      </c>
      <c r="D480" t="s">
        <v>926</v>
      </c>
      <c r="E480" t="str">
        <f t="shared" si="31"/>
        <v/>
      </c>
      <c r="F480" s="16" t="str">
        <f t="shared" si="29"/>
        <v/>
      </c>
      <c r="G480" t="s">
        <v>926</v>
      </c>
    </row>
    <row r="481" spans="2:7" x14ac:dyDescent="0.25">
      <c r="B481" t="str">
        <f t="shared" si="30"/>
        <v/>
      </c>
      <c r="C481" s="16" t="str">
        <f t="shared" si="28"/>
        <v/>
      </c>
      <c r="D481" t="s">
        <v>926</v>
      </c>
      <c r="E481" t="str">
        <f t="shared" si="31"/>
        <v/>
      </c>
      <c r="F481" s="16" t="str">
        <f t="shared" si="29"/>
        <v/>
      </c>
      <c r="G481" t="s">
        <v>926</v>
      </c>
    </row>
    <row r="482" spans="2:7" x14ac:dyDescent="0.25">
      <c r="B482" t="str">
        <f t="shared" si="30"/>
        <v/>
      </c>
      <c r="C482" s="16" t="str">
        <f t="shared" si="28"/>
        <v/>
      </c>
      <c r="D482" t="s">
        <v>926</v>
      </c>
      <c r="E482" t="str">
        <f t="shared" si="31"/>
        <v/>
      </c>
      <c r="F482" s="16" t="str">
        <f t="shared" si="29"/>
        <v/>
      </c>
      <c r="G482" t="s">
        <v>926</v>
      </c>
    </row>
    <row r="483" spans="2:7" x14ac:dyDescent="0.25">
      <c r="B483" t="str">
        <f t="shared" si="30"/>
        <v/>
      </c>
      <c r="C483" s="16" t="str">
        <f t="shared" si="28"/>
        <v/>
      </c>
      <c r="D483" t="s">
        <v>926</v>
      </c>
      <c r="E483" t="str">
        <f t="shared" si="31"/>
        <v/>
      </c>
      <c r="F483" s="16" t="str">
        <f t="shared" si="29"/>
        <v/>
      </c>
      <c r="G483" t="s">
        <v>926</v>
      </c>
    </row>
    <row r="484" spans="2:7" x14ac:dyDescent="0.25">
      <c r="B484" t="str">
        <f t="shared" si="30"/>
        <v/>
      </c>
      <c r="C484" s="16" t="str">
        <f t="shared" si="28"/>
        <v/>
      </c>
      <c r="D484" t="s">
        <v>926</v>
      </c>
      <c r="E484" t="str">
        <f t="shared" si="31"/>
        <v/>
      </c>
      <c r="F484" s="16" t="str">
        <f t="shared" si="29"/>
        <v/>
      </c>
      <c r="G484" t="s">
        <v>926</v>
      </c>
    </row>
    <row r="485" spans="2:7" x14ac:dyDescent="0.25">
      <c r="B485" t="str">
        <f t="shared" si="30"/>
        <v/>
      </c>
      <c r="C485" s="16" t="str">
        <f t="shared" si="28"/>
        <v/>
      </c>
      <c r="D485" t="s">
        <v>926</v>
      </c>
      <c r="E485" t="str">
        <f t="shared" si="31"/>
        <v/>
      </c>
      <c r="F485" s="16" t="str">
        <f t="shared" si="29"/>
        <v/>
      </c>
      <c r="G485" t="s">
        <v>926</v>
      </c>
    </row>
    <row r="486" spans="2:7" x14ac:dyDescent="0.25">
      <c r="B486" t="str">
        <f t="shared" si="30"/>
        <v/>
      </c>
      <c r="C486" s="16" t="str">
        <f t="shared" si="28"/>
        <v/>
      </c>
      <c r="D486" t="s">
        <v>926</v>
      </c>
      <c r="E486" t="str">
        <f t="shared" si="31"/>
        <v/>
      </c>
      <c r="F486" s="16" t="str">
        <f t="shared" si="29"/>
        <v/>
      </c>
      <c r="G486" t="s">
        <v>926</v>
      </c>
    </row>
    <row r="487" spans="2:7" x14ac:dyDescent="0.25">
      <c r="B487" t="str">
        <f t="shared" si="30"/>
        <v/>
      </c>
      <c r="C487" s="16" t="str">
        <f t="shared" si="28"/>
        <v/>
      </c>
      <c r="D487" t="s">
        <v>926</v>
      </c>
      <c r="E487" t="str">
        <f t="shared" si="31"/>
        <v/>
      </c>
      <c r="F487" s="16" t="str">
        <f t="shared" si="29"/>
        <v/>
      </c>
      <c r="G487" t="s">
        <v>926</v>
      </c>
    </row>
    <row r="488" spans="2:7" x14ac:dyDescent="0.25">
      <c r="B488" t="str">
        <f t="shared" si="30"/>
        <v/>
      </c>
      <c r="C488" s="16" t="str">
        <f t="shared" si="28"/>
        <v/>
      </c>
      <c r="D488" t="s">
        <v>926</v>
      </c>
      <c r="E488" t="str">
        <f t="shared" si="31"/>
        <v/>
      </c>
      <c r="F488" s="16" t="str">
        <f t="shared" si="29"/>
        <v/>
      </c>
      <c r="G488" t="s">
        <v>926</v>
      </c>
    </row>
    <row r="489" spans="2:7" x14ac:dyDescent="0.25">
      <c r="B489" t="str">
        <f t="shared" si="30"/>
        <v/>
      </c>
      <c r="C489" s="16" t="str">
        <f t="shared" si="28"/>
        <v/>
      </c>
      <c r="D489" t="s">
        <v>926</v>
      </c>
      <c r="E489" t="str">
        <f t="shared" si="31"/>
        <v/>
      </c>
      <c r="F489" s="16" t="str">
        <f t="shared" si="29"/>
        <v/>
      </c>
      <c r="G489" t="s">
        <v>926</v>
      </c>
    </row>
    <row r="490" spans="2:7" x14ac:dyDescent="0.25">
      <c r="B490" t="str">
        <f t="shared" si="30"/>
        <v/>
      </c>
      <c r="C490" s="16" t="str">
        <f t="shared" si="28"/>
        <v/>
      </c>
      <c r="D490" t="s">
        <v>926</v>
      </c>
      <c r="E490" t="str">
        <f t="shared" si="31"/>
        <v/>
      </c>
      <c r="F490" s="16" t="str">
        <f t="shared" si="29"/>
        <v/>
      </c>
      <c r="G490" t="s">
        <v>926</v>
      </c>
    </row>
    <row r="491" spans="2:7" x14ac:dyDescent="0.25">
      <c r="B491" t="str">
        <f t="shared" si="30"/>
        <v/>
      </c>
      <c r="C491" s="16" t="str">
        <f t="shared" si="28"/>
        <v/>
      </c>
      <c r="D491" t="s">
        <v>926</v>
      </c>
      <c r="E491" t="str">
        <f t="shared" si="31"/>
        <v/>
      </c>
      <c r="F491" s="16" t="str">
        <f t="shared" si="29"/>
        <v/>
      </c>
      <c r="G491" t="s">
        <v>926</v>
      </c>
    </row>
    <row r="492" spans="2:7" x14ac:dyDescent="0.25">
      <c r="B492" t="str">
        <f t="shared" si="30"/>
        <v/>
      </c>
      <c r="C492" s="16" t="str">
        <f t="shared" si="28"/>
        <v/>
      </c>
      <c r="D492" t="s">
        <v>926</v>
      </c>
      <c r="E492" t="str">
        <f t="shared" si="31"/>
        <v/>
      </c>
      <c r="F492" s="16" t="str">
        <f t="shared" si="29"/>
        <v/>
      </c>
      <c r="G492" t="s">
        <v>926</v>
      </c>
    </row>
    <row r="493" spans="2:7" x14ac:dyDescent="0.25">
      <c r="B493" t="str">
        <f t="shared" si="30"/>
        <v/>
      </c>
      <c r="C493" s="16" t="str">
        <f t="shared" si="28"/>
        <v/>
      </c>
      <c r="D493" t="s">
        <v>926</v>
      </c>
      <c r="E493" t="str">
        <f t="shared" si="31"/>
        <v/>
      </c>
      <c r="F493" s="16" t="str">
        <f t="shared" si="29"/>
        <v/>
      </c>
      <c r="G493" t="s">
        <v>926</v>
      </c>
    </row>
    <row r="494" spans="2:7" x14ac:dyDescent="0.25">
      <c r="B494" t="str">
        <f t="shared" si="30"/>
        <v/>
      </c>
      <c r="C494" s="16" t="str">
        <f t="shared" si="28"/>
        <v/>
      </c>
      <c r="D494" t="s">
        <v>926</v>
      </c>
      <c r="E494" t="str">
        <f t="shared" si="31"/>
        <v/>
      </c>
      <c r="F494" s="16" t="str">
        <f t="shared" si="29"/>
        <v/>
      </c>
      <c r="G494" t="s">
        <v>926</v>
      </c>
    </row>
    <row r="495" spans="2:7" x14ac:dyDescent="0.25">
      <c r="B495" t="str">
        <f t="shared" si="30"/>
        <v/>
      </c>
      <c r="C495" s="16" t="str">
        <f t="shared" si="28"/>
        <v/>
      </c>
      <c r="D495" t="s">
        <v>926</v>
      </c>
      <c r="E495" t="str">
        <f t="shared" si="31"/>
        <v/>
      </c>
      <c r="F495" s="16" t="str">
        <f t="shared" si="29"/>
        <v/>
      </c>
      <c r="G495" t="s">
        <v>926</v>
      </c>
    </row>
    <row r="496" spans="2:7" x14ac:dyDescent="0.25">
      <c r="B496" t="str">
        <f t="shared" si="30"/>
        <v/>
      </c>
      <c r="C496" s="16" t="str">
        <f t="shared" si="28"/>
        <v/>
      </c>
      <c r="D496" t="s">
        <v>926</v>
      </c>
      <c r="E496" t="str">
        <f t="shared" si="31"/>
        <v/>
      </c>
      <c r="F496" s="16" t="str">
        <f t="shared" si="29"/>
        <v/>
      </c>
      <c r="G496" t="s">
        <v>926</v>
      </c>
    </row>
    <row r="497" spans="2:7" x14ac:dyDescent="0.25">
      <c r="B497" t="str">
        <f t="shared" si="30"/>
        <v/>
      </c>
      <c r="C497" s="16" t="str">
        <f t="shared" si="28"/>
        <v/>
      </c>
      <c r="D497" t="s">
        <v>926</v>
      </c>
      <c r="E497" t="str">
        <f t="shared" si="31"/>
        <v/>
      </c>
      <c r="F497" s="16" t="str">
        <f t="shared" si="29"/>
        <v/>
      </c>
      <c r="G497" t="s">
        <v>926</v>
      </c>
    </row>
    <row r="498" spans="2:7" x14ac:dyDescent="0.25">
      <c r="B498" t="str">
        <f t="shared" si="30"/>
        <v/>
      </c>
      <c r="C498" s="16" t="str">
        <f t="shared" si="28"/>
        <v/>
      </c>
      <c r="D498" t="s">
        <v>926</v>
      </c>
      <c r="E498" t="str">
        <f t="shared" si="31"/>
        <v/>
      </c>
      <c r="F498" s="16" t="str">
        <f t="shared" si="29"/>
        <v/>
      </c>
      <c r="G498" t="s">
        <v>926</v>
      </c>
    </row>
    <row r="499" spans="2:7" x14ac:dyDescent="0.25">
      <c r="B499" t="str">
        <f t="shared" si="30"/>
        <v/>
      </c>
      <c r="C499" s="16" t="str">
        <f t="shared" si="28"/>
        <v/>
      </c>
      <c r="D499" t="s">
        <v>926</v>
      </c>
      <c r="E499" t="str">
        <f t="shared" si="31"/>
        <v/>
      </c>
      <c r="F499" s="16" t="str">
        <f t="shared" si="29"/>
        <v/>
      </c>
      <c r="G499" t="s">
        <v>926</v>
      </c>
    </row>
    <row r="500" spans="2:7" x14ac:dyDescent="0.25">
      <c r="B500" t="str">
        <f t="shared" si="30"/>
        <v/>
      </c>
      <c r="C500" s="16" t="str">
        <f t="shared" si="28"/>
        <v/>
      </c>
      <c r="D500" t="s">
        <v>926</v>
      </c>
      <c r="E500" t="str">
        <f t="shared" si="31"/>
        <v/>
      </c>
      <c r="F500" s="16" t="str">
        <f t="shared" si="29"/>
        <v/>
      </c>
      <c r="G500" t="s">
        <v>926</v>
      </c>
    </row>
    <row r="501" spans="2:7" x14ac:dyDescent="0.25">
      <c r="B501" t="str">
        <f t="shared" si="30"/>
        <v/>
      </c>
      <c r="C501" s="16" t="str">
        <f t="shared" si="28"/>
        <v/>
      </c>
      <c r="D501" t="s">
        <v>926</v>
      </c>
      <c r="E501" t="str">
        <f t="shared" si="31"/>
        <v/>
      </c>
      <c r="F501" s="16" t="str">
        <f t="shared" si="29"/>
        <v/>
      </c>
      <c r="G501" t="s">
        <v>926</v>
      </c>
    </row>
    <row r="502" spans="2:7" x14ac:dyDescent="0.25">
      <c r="B502" t="str">
        <f t="shared" si="30"/>
        <v/>
      </c>
      <c r="C502" s="16" t="str">
        <f t="shared" si="28"/>
        <v/>
      </c>
      <c r="D502" t="s">
        <v>926</v>
      </c>
      <c r="E502" t="str">
        <f t="shared" si="31"/>
        <v/>
      </c>
      <c r="F502" s="16" t="str">
        <f t="shared" si="29"/>
        <v/>
      </c>
      <c r="G502" t="s">
        <v>926</v>
      </c>
    </row>
    <row r="503" spans="2:7" x14ac:dyDescent="0.25">
      <c r="B503" t="str">
        <f t="shared" si="30"/>
        <v/>
      </c>
      <c r="C503" s="16" t="str">
        <f t="shared" si="28"/>
        <v/>
      </c>
      <c r="D503" t="s">
        <v>926</v>
      </c>
      <c r="E503" t="str">
        <f t="shared" si="31"/>
        <v/>
      </c>
      <c r="F503" s="16" t="str">
        <f t="shared" si="29"/>
        <v/>
      </c>
      <c r="G503" t="s">
        <v>926</v>
      </c>
    </row>
    <row r="504" spans="2:7" x14ac:dyDescent="0.25">
      <c r="B504" t="str">
        <f t="shared" si="30"/>
        <v/>
      </c>
      <c r="C504" s="16" t="str">
        <f t="shared" si="28"/>
        <v/>
      </c>
      <c r="D504" t="s">
        <v>926</v>
      </c>
      <c r="E504" t="str">
        <f t="shared" si="31"/>
        <v/>
      </c>
      <c r="F504" s="16" t="str">
        <f t="shared" si="29"/>
        <v/>
      </c>
      <c r="G504" t="s">
        <v>926</v>
      </c>
    </row>
    <row r="505" spans="2:7" x14ac:dyDescent="0.25">
      <c r="B505" t="str">
        <f t="shared" si="30"/>
        <v/>
      </c>
      <c r="C505" s="16" t="str">
        <f t="shared" si="28"/>
        <v/>
      </c>
      <c r="D505" t="s">
        <v>926</v>
      </c>
      <c r="E505" t="str">
        <f t="shared" si="31"/>
        <v/>
      </c>
      <c r="F505" s="16" t="str">
        <f t="shared" si="29"/>
        <v/>
      </c>
      <c r="G505" t="s">
        <v>926</v>
      </c>
    </row>
    <row r="506" spans="2:7" x14ac:dyDescent="0.25">
      <c r="B506" t="str">
        <f t="shared" si="30"/>
        <v/>
      </c>
      <c r="C506" s="16" t="str">
        <f t="shared" si="28"/>
        <v/>
      </c>
      <c r="D506" t="s">
        <v>926</v>
      </c>
      <c r="E506" t="str">
        <f t="shared" si="31"/>
        <v/>
      </c>
      <c r="F506" s="16" t="str">
        <f t="shared" si="29"/>
        <v/>
      </c>
      <c r="G506" t="s">
        <v>926</v>
      </c>
    </row>
    <row r="507" spans="2:7" x14ac:dyDescent="0.25">
      <c r="B507" t="str">
        <f t="shared" si="30"/>
        <v/>
      </c>
      <c r="C507" s="16" t="str">
        <f t="shared" si="28"/>
        <v/>
      </c>
      <c r="D507" t="s">
        <v>926</v>
      </c>
      <c r="E507" t="str">
        <f t="shared" si="31"/>
        <v/>
      </c>
      <c r="F507" s="16" t="str">
        <f t="shared" si="29"/>
        <v/>
      </c>
      <c r="G507" t="s">
        <v>926</v>
      </c>
    </row>
    <row r="508" spans="2:7" x14ac:dyDescent="0.25">
      <c r="B508" t="str">
        <f t="shared" si="30"/>
        <v/>
      </c>
      <c r="C508" s="16" t="str">
        <f t="shared" si="28"/>
        <v/>
      </c>
      <c r="D508" t="s">
        <v>926</v>
      </c>
      <c r="E508" t="str">
        <f t="shared" si="31"/>
        <v/>
      </c>
      <c r="F508" s="16" t="str">
        <f t="shared" si="29"/>
        <v/>
      </c>
      <c r="G508" t="s">
        <v>926</v>
      </c>
    </row>
    <row r="509" spans="2:7" x14ac:dyDescent="0.25">
      <c r="B509" t="str">
        <f t="shared" si="30"/>
        <v/>
      </c>
      <c r="C509" s="16" t="str">
        <f t="shared" si="28"/>
        <v/>
      </c>
      <c r="D509" t="s">
        <v>926</v>
      </c>
      <c r="E509" t="str">
        <f t="shared" si="31"/>
        <v/>
      </c>
      <c r="F509" s="16" t="str">
        <f t="shared" si="29"/>
        <v/>
      </c>
      <c r="G509" t="s">
        <v>926</v>
      </c>
    </row>
    <row r="510" spans="2:7" x14ac:dyDescent="0.25">
      <c r="B510" t="str">
        <f t="shared" si="30"/>
        <v/>
      </c>
      <c r="C510" s="16" t="str">
        <f t="shared" si="28"/>
        <v/>
      </c>
      <c r="D510" t="s">
        <v>926</v>
      </c>
      <c r="E510" t="str">
        <f t="shared" si="31"/>
        <v/>
      </c>
      <c r="F510" s="16" t="str">
        <f t="shared" si="29"/>
        <v/>
      </c>
      <c r="G510" t="s">
        <v>926</v>
      </c>
    </row>
    <row r="511" spans="2:7" x14ac:dyDescent="0.25">
      <c r="B511" t="str">
        <f t="shared" si="30"/>
        <v/>
      </c>
      <c r="C511" s="16" t="str">
        <f t="shared" si="28"/>
        <v/>
      </c>
      <c r="D511" t="s">
        <v>926</v>
      </c>
      <c r="E511" t="str">
        <f t="shared" si="31"/>
        <v/>
      </c>
      <c r="F511" s="16" t="str">
        <f t="shared" si="29"/>
        <v/>
      </c>
      <c r="G511" t="s">
        <v>926</v>
      </c>
    </row>
    <row r="512" spans="2:7" x14ac:dyDescent="0.25">
      <c r="B512" t="str">
        <f t="shared" si="30"/>
        <v/>
      </c>
      <c r="C512" s="16" t="str">
        <f t="shared" si="28"/>
        <v/>
      </c>
      <c r="D512" t="s">
        <v>926</v>
      </c>
      <c r="E512" t="str">
        <f t="shared" si="31"/>
        <v/>
      </c>
      <c r="F512" s="16" t="str">
        <f t="shared" si="29"/>
        <v/>
      </c>
      <c r="G512" t="s">
        <v>926</v>
      </c>
    </row>
    <row r="513" spans="2:7" x14ac:dyDescent="0.25">
      <c r="B513" t="str">
        <f t="shared" si="30"/>
        <v/>
      </c>
      <c r="C513" s="16" t="str">
        <f t="shared" si="28"/>
        <v/>
      </c>
      <c r="D513" t="s">
        <v>926</v>
      </c>
      <c r="E513" t="str">
        <f t="shared" si="31"/>
        <v/>
      </c>
      <c r="F513" s="16" t="str">
        <f t="shared" si="29"/>
        <v/>
      </c>
      <c r="G513" t="s">
        <v>926</v>
      </c>
    </row>
    <row r="514" spans="2:7" x14ac:dyDescent="0.25">
      <c r="B514" t="str">
        <f t="shared" si="30"/>
        <v/>
      </c>
      <c r="C514" s="16" t="str">
        <f t="shared" si="28"/>
        <v/>
      </c>
      <c r="D514" t="s">
        <v>926</v>
      </c>
      <c r="E514" t="str">
        <f t="shared" si="31"/>
        <v/>
      </c>
      <c r="F514" s="16" t="str">
        <f t="shared" si="29"/>
        <v/>
      </c>
      <c r="G514" t="s">
        <v>926</v>
      </c>
    </row>
    <row r="515" spans="2:7" x14ac:dyDescent="0.25">
      <c r="B515" t="str">
        <f t="shared" si="30"/>
        <v/>
      </c>
      <c r="C515" s="16" t="str">
        <f t="shared" ref="C515:C578" si="32">IF(ISERROR(VLOOKUP(B515,ImpComp,2,FALSE)),"",VLOOKUP(B515,ImpComp,2,FALSE))</f>
        <v/>
      </c>
      <c r="D515" t="s">
        <v>926</v>
      </c>
      <c r="E515" t="str">
        <f t="shared" si="31"/>
        <v/>
      </c>
      <c r="F515" s="16" t="str">
        <f t="shared" ref="F515:F578" si="33" xml:space="preserve"> IF(ISERROR(VLOOKUP(E515,Imp_IVA1,2,FALSE)),"",VLOOKUP(E515,Imp_IVA1,2,FALSE))&amp; IF(ISERROR(VLOOKUP(E515,Imp_IVA2,2,FALSE)),"",VLOOKUP(E515,Imp_IVA2,2,FALSE))</f>
        <v/>
      </c>
      <c r="G515" t="s">
        <v>926</v>
      </c>
    </row>
    <row r="516" spans="2:7" x14ac:dyDescent="0.25">
      <c r="B516" t="str">
        <f t="shared" si="30"/>
        <v/>
      </c>
      <c r="C516" s="16" t="str">
        <f t="shared" si="32"/>
        <v/>
      </c>
      <c r="D516" t="s">
        <v>926</v>
      </c>
      <c r="E516" t="str">
        <f t="shared" si="31"/>
        <v/>
      </c>
      <c r="F516" s="16" t="str">
        <f t="shared" si="33"/>
        <v/>
      </c>
      <c r="G516" t="s">
        <v>926</v>
      </c>
    </row>
    <row r="517" spans="2:7" x14ac:dyDescent="0.25">
      <c r="B517" t="str">
        <f t="shared" ref="B517:B580" si="34">IF(OR(B516=$B$2,B516=""),"",B516+1)</f>
        <v/>
      </c>
      <c r="C517" s="16" t="str">
        <f t="shared" si="32"/>
        <v/>
      </c>
      <c r="D517" t="s">
        <v>926</v>
      </c>
      <c r="E517" t="str">
        <f t="shared" ref="E517:E580" si="35">IF(OR(E516=$E$2,E516=""),"",E516+1)</f>
        <v/>
      </c>
      <c r="F517" s="16" t="str">
        <f t="shared" si="33"/>
        <v/>
      </c>
      <c r="G517" t="s">
        <v>926</v>
      </c>
    </row>
    <row r="518" spans="2:7" x14ac:dyDescent="0.25">
      <c r="B518" t="str">
        <f t="shared" si="34"/>
        <v/>
      </c>
      <c r="C518" s="16" t="str">
        <f t="shared" si="32"/>
        <v/>
      </c>
      <c r="D518" t="s">
        <v>926</v>
      </c>
      <c r="E518" t="str">
        <f t="shared" si="35"/>
        <v/>
      </c>
      <c r="F518" s="16" t="str">
        <f t="shared" si="33"/>
        <v/>
      </c>
      <c r="G518" t="s">
        <v>926</v>
      </c>
    </row>
    <row r="519" spans="2:7" x14ac:dyDescent="0.25">
      <c r="B519" t="str">
        <f t="shared" si="34"/>
        <v/>
      </c>
      <c r="C519" s="16" t="str">
        <f t="shared" si="32"/>
        <v/>
      </c>
      <c r="D519" t="s">
        <v>926</v>
      </c>
      <c r="E519" t="str">
        <f t="shared" si="35"/>
        <v/>
      </c>
      <c r="F519" s="16" t="str">
        <f t="shared" si="33"/>
        <v/>
      </c>
      <c r="G519" t="s">
        <v>926</v>
      </c>
    </row>
    <row r="520" spans="2:7" x14ac:dyDescent="0.25">
      <c r="B520" t="str">
        <f t="shared" si="34"/>
        <v/>
      </c>
      <c r="C520" s="16" t="str">
        <f t="shared" si="32"/>
        <v/>
      </c>
      <c r="D520" t="s">
        <v>926</v>
      </c>
      <c r="E520" t="str">
        <f t="shared" si="35"/>
        <v/>
      </c>
      <c r="F520" s="16" t="str">
        <f t="shared" si="33"/>
        <v/>
      </c>
      <c r="G520" t="s">
        <v>926</v>
      </c>
    </row>
    <row r="521" spans="2:7" x14ac:dyDescent="0.25">
      <c r="B521" t="str">
        <f t="shared" si="34"/>
        <v/>
      </c>
      <c r="C521" s="16" t="str">
        <f t="shared" si="32"/>
        <v/>
      </c>
      <c r="D521" t="s">
        <v>926</v>
      </c>
      <c r="E521" t="str">
        <f t="shared" si="35"/>
        <v/>
      </c>
      <c r="F521" s="16" t="str">
        <f t="shared" si="33"/>
        <v/>
      </c>
      <c r="G521" t="s">
        <v>926</v>
      </c>
    </row>
    <row r="522" spans="2:7" x14ac:dyDescent="0.25">
      <c r="B522" t="str">
        <f t="shared" si="34"/>
        <v/>
      </c>
      <c r="C522" s="16" t="str">
        <f t="shared" si="32"/>
        <v/>
      </c>
      <c r="D522" t="s">
        <v>926</v>
      </c>
      <c r="E522" t="str">
        <f t="shared" si="35"/>
        <v/>
      </c>
      <c r="F522" s="16" t="str">
        <f t="shared" si="33"/>
        <v/>
      </c>
      <c r="G522" t="s">
        <v>926</v>
      </c>
    </row>
    <row r="523" spans="2:7" x14ac:dyDescent="0.25">
      <c r="B523" t="str">
        <f t="shared" si="34"/>
        <v/>
      </c>
      <c r="C523" s="16" t="str">
        <f t="shared" si="32"/>
        <v/>
      </c>
      <c r="D523" t="s">
        <v>926</v>
      </c>
      <c r="E523" t="str">
        <f t="shared" si="35"/>
        <v/>
      </c>
      <c r="F523" s="16" t="str">
        <f t="shared" si="33"/>
        <v/>
      </c>
      <c r="G523" t="s">
        <v>926</v>
      </c>
    </row>
    <row r="524" spans="2:7" x14ac:dyDescent="0.25">
      <c r="B524" t="str">
        <f t="shared" si="34"/>
        <v/>
      </c>
      <c r="C524" s="16" t="str">
        <f t="shared" si="32"/>
        <v/>
      </c>
      <c r="D524" t="s">
        <v>926</v>
      </c>
      <c r="E524" t="str">
        <f t="shared" si="35"/>
        <v/>
      </c>
      <c r="F524" s="16" t="str">
        <f t="shared" si="33"/>
        <v/>
      </c>
      <c r="G524" t="s">
        <v>926</v>
      </c>
    </row>
    <row r="525" spans="2:7" x14ac:dyDescent="0.25">
      <c r="B525" t="str">
        <f t="shared" si="34"/>
        <v/>
      </c>
      <c r="C525" s="16" t="str">
        <f t="shared" si="32"/>
        <v/>
      </c>
      <c r="D525" t="s">
        <v>926</v>
      </c>
      <c r="E525" t="str">
        <f t="shared" si="35"/>
        <v/>
      </c>
      <c r="F525" s="16" t="str">
        <f t="shared" si="33"/>
        <v/>
      </c>
      <c r="G525" t="s">
        <v>926</v>
      </c>
    </row>
    <row r="526" spans="2:7" x14ac:dyDescent="0.25">
      <c r="B526" t="str">
        <f t="shared" si="34"/>
        <v/>
      </c>
      <c r="C526" s="16" t="str">
        <f t="shared" si="32"/>
        <v/>
      </c>
      <c r="D526" t="s">
        <v>926</v>
      </c>
      <c r="E526" t="str">
        <f t="shared" si="35"/>
        <v/>
      </c>
      <c r="F526" s="16" t="str">
        <f t="shared" si="33"/>
        <v/>
      </c>
      <c r="G526" t="s">
        <v>926</v>
      </c>
    </row>
    <row r="527" spans="2:7" x14ac:dyDescent="0.25">
      <c r="B527" t="str">
        <f t="shared" si="34"/>
        <v/>
      </c>
      <c r="C527" s="16" t="str">
        <f t="shared" si="32"/>
        <v/>
      </c>
      <c r="D527" t="s">
        <v>926</v>
      </c>
      <c r="E527" t="str">
        <f t="shared" si="35"/>
        <v/>
      </c>
      <c r="F527" s="16" t="str">
        <f t="shared" si="33"/>
        <v/>
      </c>
      <c r="G527" t="s">
        <v>926</v>
      </c>
    </row>
    <row r="528" spans="2:7" x14ac:dyDescent="0.25">
      <c r="B528" t="str">
        <f t="shared" si="34"/>
        <v/>
      </c>
      <c r="C528" s="16" t="str">
        <f t="shared" si="32"/>
        <v/>
      </c>
      <c r="D528" t="s">
        <v>926</v>
      </c>
      <c r="E528" t="str">
        <f t="shared" si="35"/>
        <v/>
      </c>
      <c r="F528" s="16" t="str">
        <f t="shared" si="33"/>
        <v/>
      </c>
      <c r="G528" t="s">
        <v>926</v>
      </c>
    </row>
    <row r="529" spans="2:7" x14ac:dyDescent="0.25">
      <c r="B529" t="str">
        <f t="shared" si="34"/>
        <v/>
      </c>
      <c r="C529" s="16" t="str">
        <f t="shared" si="32"/>
        <v/>
      </c>
      <c r="D529" t="s">
        <v>926</v>
      </c>
      <c r="E529" t="str">
        <f t="shared" si="35"/>
        <v/>
      </c>
      <c r="F529" s="16" t="str">
        <f t="shared" si="33"/>
        <v/>
      </c>
      <c r="G529" t="s">
        <v>926</v>
      </c>
    </row>
    <row r="530" spans="2:7" x14ac:dyDescent="0.25">
      <c r="B530" t="str">
        <f t="shared" si="34"/>
        <v/>
      </c>
      <c r="C530" s="16" t="str">
        <f t="shared" si="32"/>
        <v/>
      </c>
      <c r="D530" t="s">
        <v>926</v>
      </c>
      <c r="E530" t="str">
        <f t="shared" si="35"/>
        <v/>
      </c>
      <c r="F530" s="16" t="str">
        <f t="shared" si="33"/>
        <v/>
      </c>
      <c r="G530" t="s">
        <v>926</v>
      </c>
    </row>
    <row r="531" spans="2:7" x14ac:dyDescent="0.25">
      <c r="B531" t="str">
        <f t="shared" si="34"/>
        <v/>
      </c>
      <c r="C531" s="16" t="str">
        <f t="shared" si="32"/>
        <v/>
      </c>
      <c r="D531" t="s">
        <v>926</v>
      </c>
      <c r="E531" t="str">
        <f t="shared" si="35"/>
        <v/>
      </c>
      <c r="F531" s="16" t="str">
        <f t="shared" si="33"/>
        <v/>
      </c>
      <c r="G531" t="s">
        <v>926</v>
      </c>
    </row>
    <row r="532" spans="2:7" x14ac:dyDescent="0.25">
      <c r="B532" t="str">
        <f t="shared" si="34"/>
        <v/>
      </c>
      <c r="C532" s="16" t="str">
        <f t="shared" si="32"/>
        <v/>
      </c>
      <c r="D532" t="s">
        <v>926</v>
      </c>
      <c r="E532" t="str">
        <f t="shared" si="35"/>
        <v/>
      </c>
      <c r="F532" s="16" t="str">
        <f t="shared" si="33"/>
        <v/>
      </c>
      <c r="G532" t="s">
        <v>926</v>
      </c>
    </row>
    <row r="533" spans="2:7" x14ac:dyDescent="0.25">
      <c r="B533" t="str">
        <f t="shared" si="34"/>
        <v/>
      </c>
      <c r="C533" s="16" t="str">
        <f t="shared" si="32"/>
        <v/>
      </c>
      <c r="D533" t="s">
        <v>926</v>
      </c>
      <c r="E533" t="str">
        <f t="shared" si="35"/>
        <v/>
      </c>
      <c r="F533" s="16" t="str">
        <f t="shared" si="33"/>
        <v/>
      </c>
      <c r="G533" t="s">
        <v>926</v>
      </c>
    </row>
    <row r="534" spans="2:7" x14ac:dyDescent="0.25">
      <c r="B534" t="str">
        <f t="shared" si="34"/>
        <v/>
      </c>
      <c r="C534" s="16" t="str">
        <f t="shared" si="32"/>
        <v/>
      </c>
      <c r="D534" t="s">
        <v>926</v>
      </c>
      <c r="E534" t="str">
        <f t="shared" si="35"/>
        <v/>
      </c>
      <c r="F534" s="16" t="str">
        <f t="shared" si="33"/>
        <v/>
      </c>
      <c r="G534" t="s">
        <v>926</v>
      </c>
    </row>
    <row r="535" spans="2:7" x14ac:dyDescent="0.25">
      <c r="B535" t="str">
        <f t="shared" si="34"/>
        <v/>
      </c>
      <c r="C535" s="16" t="str">
        <f t="shared" si="32"/>
        <v/>
      </c>
      <c r="D535" t="s">
        <v>926</v>
      </c>
      <c r="E535" t="str">
        <f t="shared" si="35"/>
        <v/>
      </c>
      <c r="F535" s="16" t="str">
        <f t="shared" si="33"/>
        <v/>
      </c>
      <c r="G535" t="s">
        <v>926</v>
      </c>
    </row>
    <row r="536" spans="2:7" x14ac:dyDescent="0.25">
      <c r="B536" t="str">
        <f t="shared" si="34"/>
        <v/>
      </c>
      <c r="C536" s="16" t="str">
        <f t="shared" si="32"/>
        <v/>
      </c>
      <c r="D536" t="s">
        <v>926</v>
      </c>
      <c r="E536" t="str">
        <f t="shared" si="35"/>
        <v/>
      </c>
      <c r="F536" s="16" t="str">
        <f t="shared" si="33"/>
        <v/>
      </c>
      <c r="G536" t="s">
        <v>926</v>
      </c>
    </row>
    <row r="537" spans="2:7" x14ac:dyDescent="0.25">
      <c r="B537" t="str">
        <f t="shared" si="34"/>
        <v/>
      </c>
      <c r="C537" s="16" t="str">
        <f t="shared" si="32"/>
        <v/>
      </c>
      <c r="D537" t="s">
        <v>926</v>
      </c>
      <c r="E537" t="str">
        <f t="shared" si="35"/>
        <v/>
      </c>
      <c r="F537" s="16" t="str">
        <f t="shared" si="33"/>
        <v/>
      </c>
      <c r="G537" t="s">
        <v>926</v>
      </c>
    </row>
    <row r="538" spans="2:7" x14ac:dyDescent="0.25">
      <c r="B538" t="str">
        <f t="shared" si="34"/>
        <v/>
      </c>
      <c r="C538" s="16" t="str">
        <f t="shared" si="32"/>
        <v/>
      </c>
      <c r="D538" t="s">
        <v>926</v>
      </c>
      <c r="E538" t="str">
        <f t="shared" si="35"/>
        <v/>
      </c>
      <c r="F538" s="16" t="str">
        <f t="shared" si="33"/>
        <v/>
      </c>
      <c r="G538" t="s">
        <v>926</v>
      </c>
    </row>
    <row r="539" spans="2:7" x14ac:dyDescent="0.25">
      <c r="B539" t="str">
        <f t="shared" si="34"/>
        <v/>
      </c>
      <c r="C539" s="16" t="str">
        <f t="shared" si="32"/>
        <v/>
      </c>
      <c r="D539" t="s">
        <v>926</v>
      </c>
      <c r="E539" t="str">
        <f t="shared" si="35"/>
        <v/>
      </c>
      <c r="F539" s="16" t="str">
        <f t="shared" si="33"/>
        <v/>
      </c>
      <c r="G539" t="s">
        <v>926</v>
      </c>
    </row>
    <row r="540" spans="2:7" x14ac:dyDescent="0.25">
      <c r="B540" t="str">
        <f t="shared" si="34"/>
        <v/>
      </c>
      <c r="C540" s="16" t="str">
        <f t="shared" si="32"/>
        <v/>
      </c>
      <c r="D540" t="s">
        <v>926</v>
      </c>
      <c r="E540" t="str">
        <f t="shared" si="35"/>
        <v/>
      </c>
      <c r="F540" s="16" t="str">
        <f t="shared" si="33"/>
        <v/>
      </c>
      <c r="G540" t="s">
        <v>926</v>
      </c>
    </row>
    <row r="541" spans="2:7" x14ac:dyDescent="0.25">
      <c r="B541" t="str">
        <f t="shared" si="34"/>
        <v/>
      </c>
      <c r="C541" s="16" t="str">
        <f t="shared" si="32"/>
        <v/>
      </c>
      <c r="D541" t="s">
        <v>926</v>
      </c>
      <c r="E541" t="str">
        <f t="shared" si="35"/>
        <v/>
      </c>
      <c r="F541" s="16" t="str">
        <f t="shared" si="33"/>
        <v/>
      </c>
      <c r="G541" t="s">
        <v>926</v>
      </c>
    </row>
    <row r="542" spans="2:7" x14ac:dyDescent="0.25">
      <c r="B542" t="str">
        <f t="shared" si="34"/>
        <v/>
      </c>
      <c r="C542" s="16" t="str">
        <f t="shared" si="32"/>
        <v/>
      </c>
      <c r="D542" t="s">
        <v>926</v>
      </c>
      <c r="E542" t="str">
        <f t="shared" si="35"/>
        <v/>
      </c>
      <c r="F542" s="16" t="str">
        <f t="shared" si="33"/>
        <v/>
      </c>
      <c r="G542" t="s">
        <v>926</v>
      </c>
    </row>
    <row r="543" spans="2:7" x14ac:dyDescent="0.25">
      <c r="B543" t="str">
        <f t="shared" si="34"/>
        <v/>
      </c>
      <c r="C543" s="16" t="str">
        <f t="shared" si="32"/>
        <v/>
      </c>
      <c r="D543" t="s">
        <v>926</v>
      </c>
      <c r="E543" t="str">
        <f t="shared" si="35"/>
        <v/>
      </c>
      <c r="F543" s="16" t="str">
        <f t="shared" si="33"/>
        <v/>
      </c>
      <c r="G543" t="s">
        <v>926</v>
      </c>
    </row>
    <row r="544" spans="2:7" x14ac:dyDescent="0.25">
      <c r="B544" t="str">
        <f t="shared" si="34"/>
        <v/>
      </c>
      <c r="C544" s="16" t="str">
        <f t="shared" si="32"/>
        <v/>
      </c>
      <c r="D544" t="s">
        <v>926</v>
      </c>
      <c r="E544" t="str">
        <f t="shared" si="35"/>
        <v/>
      </c>
      <c r="F544" s="16" t="str">
        <f t="shared" si="33"/>
        <v/>
      </c>
      <c r="G544" t="s">
        <v>926</v>
      </c>
    </row>
    <row r="545" spans="2:7" x14ac:dyDescent="0.25">
      <c r="B545" t="str">
        <f t="shared" si="34"/>
        <v/>
      </c>
      <c r="C545" s="16" t="str">
        <f t="shared" si="32"/>
        <v/>
      </c>
      <c r="D545" t="s">
        <v>926</v>
      </c>
      <c r="E545" t="str">
        <f t="shared" si="35"/>
        <v/>
      </c>
      <c r="F545" s="16" t="str">
        <f t="shared" si="33"/>
        <v/>
      </c>
      <c r="G545" t="s">
        <v>926</v>
      </c>
    </row>
    <row r="546" spans="2:7" x14ac:dyDescent="0.25">
      <c r="B546" t="str">
        <f t="shared" si="34"/>
        <v/>
      </c>
      <c r="C546" s="16" t="str">
        <f t="shared" si="32"/>
        <v/>
      </c>
      <c r="D546" t="s">
        <v>926</v>
      </c>
      <c r="E546" t="str">
        <f t="shared" si="35"/>
        <v/>
      </c>
      <c r="F546" s="16" t="str">
        <f t="shared" si="33"/>
        <v/>
      </c>
      <c r="G546" t="s">
        <v>926</v>
      </c>
    </row>
    <row r="547" spans="2:7" x14ac:dyDescent="0.25">
      <c r="B547" t="str">
        <f t="shared" si="34"/>
        <v/>
      </c>
      <c r="C547" s="16" t="str">
        <f t="shared" si="32"/>
        <v/>
      </c>
      <c r="D547" t="s">
        <v>926</v>
      </c>
      <c r="E547" t="str">
        <f t="shared" si="35"/>
        <v/>
      </c>
      <c r="F547" s="16" t="str">
        <f t="shared" si="33"/>
        <v/>
      </c>
      <c r="G547" t="s">
        <v>926</v>
      </c>
    </row>
    <row r="548" spans="2:7" x14ac:dyDescent="0.25">
      <c r="B548" t="str">
        <f t="shared" si="34"/>
        <v/>
      </c>
      <c r="C548" s="16" t="str">
        <f t="shared" si="32"/>
        <v/>
      </c>
      <c r="D548" t="s">
        <v>926</v>
      </c>
      <c r="E548" t="str">
        <f t="shared" si="35"/>
        <v/>
      </c>
      <c r="F548" s="16" t="str">
        <f t="shared" si="33"/>
        <v/>
      </c>
      <c r="G548" t="s">
        <v>926</v>
      </c>
    </row>
    <row r="549" spans="2:7" x14ac:dyDescent="0.25">
      <c r="B549" t="str">
        <f t="shared" si="34"/>
        <v/>
      </c>
      <c r="C549" s="16" t="str">
        <f t="shared" si="32"/>
        <v/>
      </c>
      <c r="D549" t="s">
        <v>926</v>
      </c>
      <c r="E549" t="str">
        <f t="shared" si="35"/>
        <v/>
      </c>
      <c r="F549" s="16" t="str">
        <f t="shared" si="33"/>
        <v/>
      </c>
      <c r="G549" t="s">
        <v>926</v>
      </c>
    </row>
    <row r="550" spans="2:7" x14ac:dyDescent="0.25">
      <c r="B550" t="str">
        <f t="shared" si="34"/>
        <v/>
      </c>
      <c r="C550" s="16" t="str">
        <f t="shared" si="32"/>
        <v/>
      </c>
      <c r="D550" t="s">
        <v>926</v>
      </c>
      <c r="E550" t="str">
        <f t="shared" si="35"/>
        <v/>
      </c>
      <c r="F550" s="16" t="str">
        <f t="shared" si="33"/>
        <v/>
      </c>
      <c r="G550" t="s">
        <v>926</v>
      </c>
    </row>
    <row r="551" spans="2:7" x14ac:dyDescent="0.25">
      <c r="B551" t="str">
        <f t="shared" si="34"/>
        <v/>
      </c>
      <c r="C551" s="16" t="str">
        <f t="shared" si="32"/>
        <v/>
      </c>
      <c r="D551" t="s">
        <v>926</v>
      </c>
      <c r="E551" t="str">
        <f t="shared" si="35"/>
        <v/>
      </c>
      <c r="F551" s="16" t="str">
        <f t="shared" si="33"/>
        <v/>
      </c>
      <c r="G551" t="s">
        <v>926</v>
      </c>
    </row>
    <row r="552" spans="2:7" x14ac:dyDescent="0.25">
      <c r="B552" t="str">
        <f t="shared" si="34"/>
        <v/>
      </c>
      <c r="C552" s="16" t="str">
        <f t="shared" si="32"/>
        <v/>
      </c>
      <c r="D552" t="s">
        <v>926</v>
      </c>
      <c r="E552" t="str">
        <f t="shared" si="35"/>
        <v/>
      </c>
      <c r="F552" s="16" t="str">
        <f t="shared" si="33"/>
        <v/>
      </c>
      <c r="G552" t="s">
        <v>926</v>
      </c>
    </row>
    <row r="553" spans="2:7" x14ac:dyDescent="0.25">
      <c r="B553" t="str">
        <f t="shared" si="34"/>
        <v/>
      </c>
      <c r="C553" s="16" t="str">
        <f t="shared" si="32"/>
        <v/>
      </c>
      <c r="D553" t="s">
        <v>926</v>
      </c>
      <c r="E553" t="str">
        <f t="shared" si="35"/>
        <v/>
      </c>
      <c r="F553" s="16" t="str">
        <f t="shared" si="33"/>
        <v/>
      </c>
      <c r="G553" t="s">
        <v>926</v>
      </c>
    </row>
    <row r="554" spans="2:7" x14ac:dyDescent="0.25">
      <c r="B554" t="str">
        <f t="shared" si="34"/>
        <v/>
      </c>
      <c r="C554" s="16" t="str">
        <f t="shared" si="32"/>
        <v/>
      </c>
      <c r="D554" t="s">
        <v>926</v>
      </c>
      <c r="E554" t="str">
        <f t="shared" si="35"/>
        <v/>
      </c>
      <c r="F554" s="16" t="str">
        <f t="shared" si="33"/>
        <v/>
      </c>
      <c r="G554" t="s">
        <v>926</v>
      </c>
    </row>
    <row r="555" spans="2:7" x14ac:dyDescent="0.25">
      <c r="B555" t="str">
        <f t="shared" si="34"/>
        <v/>
      </c>
      <c r="C555" s="16" t="str">
        <f t="shared" si="32"/>
        <v/>
      </c>
      <c r="D555" t="s">
        <v>926</v>
      </c>
      <c r="E555" t="str">
        <f t="shared" si="35"/>
        <v/>
      </c>
      <c r="F555" s="16" t="str">
        <f t="shared" si="33"/>
        <v/>
      </c>
      <c r="G555" t="s">
        <v>926</v>
      </c>
    </row>
    <row r="556" spans="2:7" x14ac:dyDescent="0.25">
      <c r="B556" t="str">
        <f t="shared" si="34"/>
        <v/>
      </c>
      <c r="C556" s="16" t="str">
        <f t="shared" si="32"/>
        <v/>
      </c>
      <c r="D556" t="s">
        <v>926</v>
      </c>
      <c r="E556" t="str">
        <f t="shared" si="35"/>
        <v/>
      </c>
      <c r="F556" s="16" t="str">
        <f t="shared" si="33"/>
        <v/>
      </c>
      <c r="G556" t="s">
        <v>926</v>
      </c>
    </row>
    <row r="557" spans="2:7" x14ac:dyDescent="0.25">
      <c r="B557" t="str">
        <f t="shared" si="34"/>
        <v/>
      </c>
      <c r="C557" s="16" t="str">
        <f t="shared" si="32"/>
        <v/>
      </c>
      <c r="D557" t="s">
        <v>926</v>
      </c>
      <c r="E557" t="str">
        <f t="shared" si="35"/>
        <v/>
      </c>
      <c r="F557" s="16" t="str">
        <f t="shared" si="33"/>
        <v/>
      </c>
      <c r="G557" t="s">
        <v>926</v>
      </c>
    </row>
    <row r="558" spans="2:7" x14ac:dyDescent="0.25">
      <c r="B558" t="str">
        <f t="shared" si="34"/>
        <v/>
      </c>
      <c r="C558" s="16" t="str">
        <f t="shared" si="32"/>
        <v/>
      </c>
      <c r="D558" t="s">
        <v>926</v>
      </c>
      <c r="E558" t="str">
        <f t="shared" si="35"/>
        <v/>
      </c>
      <c r="F558" s="16" t="str">
        <f t="shared" si="33"/>
        <v/>
      </c>
      <c r="G558" t="s">
        <v>926</v>
      </c>
    </row>
    <row r="559" spans="2:7" x14ac:dyDescent="0.25">
      <c r="B559" t="str">
        <f t="shared" si="34"/>
        <v/>
      </c>
      <c r="C559" s="16" t="str">
        <f t="shared" si="32"/>
        <v/>
      </c>
      <c r="D559" t="s">
        <v>926</v>
      </c>
      <c r="E559" t="str">
        <f t="shared" si="35"/>
        <v/>
      </c>
      <c r="F559" s="16" t="str">
        <f t="shared" si="33"/>
        <v/>
      </c>
      <c r="G559" t="s">
        <v>926</v>
      </c>
    </row>
    <row r="560" spans="2:7" x14ac:dyDescent="0.25">
      <c r="B560" t="str">
        <f t="shared" si="34"/>
        <v/>
      </c>
      <c r="C560" s="16" t="str">
        <f t="shared" si="32"/>
        <v/>
      </c>
      <c r="D560" t="s">
        <v>926</v>
      </c>
      <c r="E560" t="str">
        <f t="shared" si="35"/>
        <v/>
      </c>
      <c r="F560" s="16" t="str">
        <f t="shared" si="33"/>
        <v/>
      </c>
      <c r="G560" t="s">
        <v>926</v>
      </c>
    </row>
    <row r="561" spans="2:7" x14ac:dyDescent="0.25">
      <c r="B561" t="str">
        <f t="shared" si="34"/>
        <v/>
      </c>
      <c r="C561" s="16" t="str">
        <f t="shared" si="32"/>
        <v/>
      </c>
      <c r="D561" t="s">
        <v>926</v>
      </c>
      <c r="E561" t="str">
        <f t="shared" si="35"/>
        <v/>
      </c>
      <c r="F561" s="16" t="str">
        <f t="shared" si="33"/>
        <v/>
      </c>
      <c r="G561" t="s">
        <v>926</v>
      </c>
    </row>
    <row r="562" spans="2:7" x14ac:dyDescent="0.25">
      <c r="B562" t="str">
        <f t="shared" si="34"/>
        <v/>
      </c>
      <c r="C562" s="16" t="str">
        <f t="shared" si="32"/>
        <v/>
      </c>
      <c r="D562" t="s">
        <v>926</v>
      </c>
      <c r="E562" t="str">
        <f t="shared" si="35"/>
        <v/>
      </c>
      <c r="F562" s="16" t="str">
        <f t="shared" si="33"/>
        <v/>
      </c>
      <c r="G562" t="s">
        <v>926</v>
      </c>
    </row>
    <row r="563" spans="2:7" x14ac:dyDescent="0.25">
      <c r="B563" t="str">
        <f t="shared" si="34"/>
        <v/>
      </c>
      <c r="C563" s="16" t="str">
        <f t="shared" si="32"/>
        <v/>
      </c>
      <c r="D563" t="s">
        <v>926</v>
      </c>
      <c r="E563" t="str">
        <f t="shared" si="35"/>
        <v/>
      </c>
      <c r="F563" s="16" t="str">
        <f t="shared" si="33"/>
        <v/>
      </c>
      <c r="G563" t="s">
        <v>926</v>
      </c>
    </row>
    <row r="564" spans="2:7" x14ac:dyDescent="0.25">
      <c r="B564" t="str">
        <f t="shared" si="34"/>
        <v/>
      </c>
      <c r="C564" s="16" t="str">
        <f t="shared" si="32"/>
        <v/>
      </c>
      <c r="D564" t="s">
        <v>926</v>
      </c>
      <c r="E564" t="str">
        <f t="shared" si="35"/>
        <v/>
      </c>
      <c r="F564" s="16" t="str">
        <f t="shared" si="33"/>
        <v/>
      </c>
      <c r="G564" t="s">
        <v>926</v>
      </c>
    </row>
    <row r="565" spans="2:7" x14ac:dyDescent="0.25">
      <c r="B565" t="str">
        <f t="shared" si="34"/>
        <v/>
      </c>
      <c r="C565" s="16" t="str">
        <f t="shared" si="32"/>
        <v/>
      </c>
      <c r="D565" t="s">
        <v>926</v>
      </c>
      <c r="E565" t="str">
        <f t="shared" si="35"/>
        <v/>
      </c>
      <c r="F565" s="16" t="str">
        <f t="shared" si="33"/>
        <v/>
      </c>
      <c r="G565" t="s">
        <v>926</v>
      </c>
    </row>
    <row r="566" spans="2:7" x14ac:dyDescent="0.25">
      <c r="B566" t="str">
        <f t="shared" si="34"/>
        <v/>
      </c>
      <c r="C566" s="16" t="str">
        <f t="shared" si="32"/>
        <v/>
      </c>
      <c r="D566" t="s">
        <v>926</v>
      </c>
      <c r="E566" t="str">
        <f t="shared" si="35"/>
        <v/>
      </c>
      <c r="F566" s="16" t="str">
        <f t="shared" si="33"/>
        <v/>
      </c>
      <c r="G566" t="s">
        <v>926</v>
      </c>
    </row>
    <row r="567" spans="2:7" x14ac:dyDescent="0.25">
      <c r="B567" t="str">
        <f t="shared" si="34"/>
        <v/>
      </c>
      <c r="C567" s="16" t="str">
        <f t="shared" si="32"/>
        <v/>
      </c>
      <c r="D567" t="s">
        <v>926</v>
      </c>
      <c r="E567" t="str">
        <f t="shared" si="35"/>
        <v/>
      </c>
      <c r="F567" s="16" t="str">
        <f t="shared" si="33"/>
        <v/>
      </c>
      <c r="G567" t="s">
        <v>926</v>
      </c>
    </row>
    <row r="568" spans="2:7" x14ac:dyDescent="0.25">
      <c r="B568" t="str">
        <f t="shared" si="34"/>
        <v/>
      </c>
      <c r="C568" s="16" t="str">
        <f t="shared" si="32"/>
        <v/>
      </c>
      <c r="D568" t="s">
        <v>926</v>
      </c>
      <c r="E568" t="str">
        <f t="shared" si="35"/>
        <v/>
      </c>
      <c r="F568" s="16" t="str">
        <f t="shared" si="33"/>
        <v/>
      </c>
      <c r="G568" t="s">
        <v>926</v>
      </c>
    </row>
    <row r="569" spans="2:7" x14ac:dyDescent="0.25">
      <c r="B569" t="str">
        <f t="shared" si="34"/>
        <v/>
      </c>
      <c r="C569" s="16" t="str">
        <f t="shared" si="32"/>
        <v/>
      </c>
      <c r="D569" t="s">
        <v>926</v>
      </c>
      <c r="E569" t="str">
        <f t="shared" si="35"/>
        <v/>
      </c>
      <c r="F569" s="16" t="str">
        <f t="shared" si="33"/>
        <v/>
      </c>
      <c r="G569" t="s">
        <v>926</v>
      </c>
    </row>
    <row r="570" spans="2:7" x14ac:dyDescent="0.25">
      <c r="B570" t="str">
        <f t="shared" si="34"/>
        <v/>
      </c>
      <c r="C570" s="16" t="str">
        <f t="shared" si="32"/>
        <v/>
      </c>
      <c r="D570" t="s">
        <v>926</v>
      </c>
      <c r="E570" t="str">
        <f t="shared" si="35"/>
        <v/>
      </c>
      <c r="F570" s="16" t="str">
        <f t="shared" si="33"/>
        <v/>
      </c>
      <c r="G570" t="s">
        <v>926</v>
      </c>
    </row>
    <row r="571" spans="2:7" x14ac:dyDescent="0.25">
      <c r="B571" t="str">
        <f t="shared" si="34"/>
        <v/>
      </c>
      <c r="C571" s="16" t="str">
        <f t="shared" si="32"/>
        <v/>
      </c>
      <c r="D571" t="s">
        <v>926</v>
      </c>
      <c r="E571" t="str">
        <f t="shared" si="35"/>
        <v/>
      </c>
      <c r="F571" s="16" t="str">
        <f t="shared" si="33"/>
        <v/>
      </c>
      <c r="G571" t="s">
        <v>926</v>
      </c>
    </row>
    <row r="572" spans="2:7" x14ac:dyDescent="0.25">
      <c r="B572" t="str">
        <f t="shared" si="34"/>
        <v/>
      </c>
      <c r="C572" s="16" t="str">
        <f t="shared" si="32"/>
        <v/>
      </c>
      <c r="D572" t="s">
        <v>926</v>
      </c>
      <c r="E572" t="str">
        <f t="shared" si="35"/>
        <v/>
      </c>
      <c r="F572" s="16" t="str">
        <f t="shared" si="33"/>
        <v/>
      </c>
      <c r="G572" t="s">
        <v>926</v>
      </c>
    </row>
    <row r="573" spans="2:7" x14ac:dyDescent="0.25">
      <c r="B573" t="str">
        <f t="shared" si="34"/>
        <v/>
      </c>
      <c r="C573" s="16" t="str">
        <f t="shared" si="32"/>
        <v/>
      </c>
      <c r="D573" t="s">
        <v>926</v>
      </c>
      <c r="E573" t="str">
        <f t="shared" si="35"/>
        <v/>
      </c>
      <c r="F573" s="16" t="str">
        <f t="shared" si="33"/>
        <v/>
      </c>
      <c r="G573" t="s">
        <v>926</v>
      </c>
    </row>
    <row r="574" spans="2:7" x14ac:dyDescent="0.25">
      <c r="B574" t="str">
        <f t="shared" si="34"/>
        <v/>
      </c>
      <c r="C574" s="16" t="str">
        <f t="shared" si="32"/>
        <v/>
      </c>
      <c r="D574" t="s">
        <v>926</v>
      </c>
      <c r="E574" t="str">
        <f t="shared" si="35"/>
        <v/>
      </c>
      <c r="F574" s="16" t="str">
        <f t="shared" si="33"/>
        <v/>
      </c>
      <c r="G574" t="s">
        <v>926</v>
      </c>
    </row>
    <row r="575" spans="2:7" x14ac:dyDescent="0.25">
      <c r="B575" t="str">
        <f t="shared" si="34"/>
        <v/>
      </c>
      <c r="C575" s="16" t="str">
        <f t="shared" si="32"/>
        <v/>
      </c>
      <c r="D575" t="s">
        <v>926</v>
      </c>
      <c r="E575" t="str">
        <f t="shared" si="35"/>
        <v/>
      </c>
      <c r="F575" s="16" t="str">
        <f t="shared" si="33"/>
        <v/>
      </c>
      <c r="G575" t="s">
        <v>926</v>
      </c>
    </row>
    <row r="576" spans="2:7" x14ac:dyDescent="0.25">
      <c r="B576" t="str">
        <f t="shared" si="34"/>
        <v/>
      </c>
      <c r="C576" s="16" t="str">
        <f t="shared" si="32"/>
        <v/>
      </c>
      <c r="D576" t="s">
        <v>926</v>
      </c>
      <c r="E576" t="str">
        <f t="shared" si="35"/>
        <v/>
      </c>
      <c r="F576" s="16" t="str">
        <f t="shared" si="33"/>
        <v/>
      </c>
      <c r="G576" t="s">
        <v>926</v>
      </c>
    </row>
    <row r="577" spans="2:7" x14ac:dyDescent="0.25">
      <c r="B577" t="str">
        <f t="shared" si="34"/>
        <v/>
      </c>
      <c r="C577" s="16" t="str">
        <f t="shared" si="32"/>
        <v/>
      </c>
      <c r="D577" t="s">
        <v>926</v>
      </c>
      <c r="E577" t="str">
        <f t="shared" si="35"/>
        <v/>
      </c>
      <c r="F577" s="16" t="str">
        <f t="shared" si="33"/>
        <v/>
      </c>
      <c r="G577" t="s">
        <v>926</v>
      </c>
    </row>
    <row r="578" spans="2:7" x14ac:dyDescent="0.25">
      <c r="B578" t="str">
        <f t="shared" si="34"/>
        <v/>
      </c>
      <c r="C578" s="16" t="str">
        <f t="shared" si="32"/>
        <v/>
      </c>
      <c r="D578" t="s">
        <v>926</v>
      </c>
      <c r="E578" t="str">
        <f t="shared" si="35"/>
        <v/>
      </c>
      <c r="F578" s="16" t="str">
        <f t="shared" si="33"/>
        <v/>
      </c>
      <c r="G578" t="s">
        <v>926</v>
      </c>
    </row>
    <row r="579" spans="2:7" x14ac:dyDescent="0.25">
      <c r="B579" t="str">
        <f t="shared" si="34"/>
        <v/>
      </c>
      <c r="C579" s="16" t="str">
        <f t="shared" ref="C579:C642" si="36">IF(ISERROR(VLOOKUP(B579,ImpComp,2,FALSE)),"",VLOOKUP(B579,ImpComp,2,FALSE))</f>
        <v/>
      </c>
      <c r="D579" t="s">
        <v>926</v>
      </c>
      <c r="E579" t="str">
        <f t="shared" si="35"/>
        <v/>
      </c>
      <c r="F579" s="16" t="str">
        <f t="shared" ref="F579:F642" si="37" xml:space="preserve"> IF(ISERROR(VLOOKUP(E579,Imp_IVA1,2,FALSE)),"",VLOOKUP(E579,Imp_IVA1,2,FALSE))&amp; IF(ISERROR(VLOOKUP(E579,Imp_IVA2,2,FALSE)),"",VLOOKUP(E579,Imp_IVA2,2,FALSE))</f>
        <v/>
      </c>
      <c r="G579" t="s">
        <v>926</v>
      </c>
    </row>
    <row r="580" spans="2:7" x14ac:dyDescent="0.25">
      <c r="B580" t="str">
        <f t="shared" si="34"/>
        <v/>
      </c>
      <c r="C580" s="16" t="str">
        <f t="shared" si="36"/>
        <v/>
      </c>
      <c r="D580" t="s">
        <v>926</v>
      </c>
      <c r="E580" t="str">
        <f t="shared" si="35"/>
        <v/>
      </c>
      <c r="F580" s="16" t="str">
        <f t="shared" si="37"/>
        <v/>
      </c>
      <c r="G580" t="s">
        <v>926</v>
      </c>
    </row>
    <row r="581" spans="2:7" x14ac:dyDescent="0.25">
      <c r="B581" t="str">
        <f t="shared" ref="B581:B644" si="38">IF(OR(B580=$B$2,B580=""),"",B580+1)</f>
        <v/>
      </c>
      <c r="C581" s="16" t="str">
        <f t="shared" si="36"/>
        <v/>
      </c>
      <c r="D581" t="s">
        <v>926</v>
      </c>
      <c r="E581" t="str">
        <f t="shared" ref="E581:E644" si="39">IF(OR(E580=$E$2,E580=""),"",E580+1)</f>
        <v/>
      </c>
      <c r="F581" s="16" t="str">
        <f t="shared" si="37"/>
        <v/>
      </c>
      <c r="G581" t="s">
        <v>926</v>
      </c>
    </row>
    <row r="582" spans="2:7" x14ac:dyDescent="0.25">
      <c r="B582" t="str">
        <f t="shared" si="38"/>
        <v/>
      </c>
      <c r="C582" s="16" t="str">
        <f t="shared" si="36"/>
        <v/>
      </c>
      <c r="D582" t="s">
        <v>926</v>
      </c>
      <c r="E582" t="str">
        <f t="shared" si="39"/>
        <v/>
      </c>
      <c r="F582" s="16" t="str">
        <f t="shared" si="37"/>
        <v/>
      </c>
      <c r="G582" t="s">
        <v>926</v>
      </c>
    </row>
    <row r="583" spans="2:7" x14ac:dyDescent="0.25">
      <c r="B583" t="str">
        <f t="shared" si="38"/>
        <v/>
      </c>
      <c r="C583" s="16" t="str">
        <f t="shared" si="36"/>
        <v/>
      </c>
      <c r="D583" t="s">
        <v>926</v>
      </c>
      <c r="E583" t="str">
        <f t="shared" si="39"/>
        <v/>
      </c>
      <c r="F583" s="16" t="str">
        <f t="shared" si="37"/>
        <v/>
      </c>
      <c r="G583" t="s">
        <v>926</v>
      </c>
    </row>
    <row r="584" spans="2:7" x14ac:dyDescent="0.25">
      <c r="B584" t="str">
        <f t="shared" si="38"/>
        <v/>
      </c>
      <c r="C584" s="16" t="str">
        <f t="shared" si="36"/>
        <v/>
      </c>
      <c r="D584" t="s">
        <v>926</v>
      </c>
      <c r="E584" t="str">
        <f t="shared" si="39"/>
        <v/>
      </c>
      <c r="F584" s="16" t="str">
        <f t="shared" si="37"/>
        <v/>
      </c>
      <c r="G584" t="s">
        <v>926</v>
      </c>
    </row>
    <row r="585" spans="2:7" x14ac:dyDescent="0.25">
      <c r="B585" t="str">
        <f t="shared" si="38"/>
        <v/>
      </c>
      <c r="C585" s="16" t="str">
        <f t="shared" si="36"/>
        <v/>
      </c>
      <c r="D585" t="s">
        <v>926</v>
      </c>
      <c r="E585" t="str">
        <f t="shared" si="39"/>
        <v/>
      </c>
      <c r="F585" s="16" t="str">
        <f t="shared" si="37"/>
        <v/>
      </c>
      <c r="G585" t="s">
        <v>926</v>
      </c>
    </row>
    <row r="586" spans="2:7" x14ac:dyDescent="0.25">
      <c r="B586" t="str">
        <f t="shared" si="38"/>
        <v/>
      </c>
      <c r="C586" s="16" t="str">
        <f t="shared" si="36"/>
        <v/>
      </c>
      <c r="D586" t="s">
        <v>926</v>
      </c>
      <c r="E586" t="str">
        <f t="shared" si="39"/>
        <v/>
      </c>
      <c r="F586" s="16" t="str">
        <f t="shared" si="37"/>
        <v/>
      </c>
      <c r="G586" t="s">
        <v>926</v>
      </c>
    </row>
    <row r="587" spans="2:7" x14ac:dyDescent="0.25">
      <c r="B587" t="str">
        <f t="shared" si="38"/>
        <v/>
      </c>
      <c r="C587" s="16" t="str">
        <f t="shared" si="36"/>
        <v/>
      </c>
      <c r="D587" t="s">
        <v>926</v>
      </c>
      <c r="E587" t="str">
        <f t="shared" si="39"/>
        <v/>
      </c>
      <c r="F587" s="16" t="str">
        <f t="shared" si="37"/>
        <v/>
      </c>
      <c r="G587" t="s">
        <v>926</v>
      </c>
    </row>
    <row r="588" spans="2:7" x14ac:dyDescent="0.25">
      <c r="B588" t="str">
        <f t="shared" si="38"/>
        <v/>
      </c>
      <c r="C588" s="16" t="str">
        <f t="shared" si="36"/>
        <v/>
      </c>
      <c r="D588" t="s">
        <v>926</v>
      </c>
      <c r="E588" t="str">
        <f t="shared" si="39"/>
        <v/>
      </c>
      <c r="F588" s="16" t="str">
        <f t="shared" si="37"/>
        <v/>
      </c>
      <c r="G588" t="s">
        <v>926</v>
      </c>
    </row>
    <row r="589" spans="2:7" x14ac:dyDescent="0.25">
      <c r="B589" t="str">
        <f t="shared" si="38"/>
        <v/>
      </c>
      <c r="C589" s="16" t="str">
        <f t="shared" si="36"/>
        <v/>
      </c>
      <c r="D589" t="s">
        <v>926</v>
      </c>
      <c r="E589" t="str">
        <f t="shared" si="39"/>
        <v/>
      </c>
      <c r="F589" s="16" t="str">
        <f t="shared" si="37"/>
        <v/>
      </c>
      <c r="G589" t="s">
        <v>926</v>
      </c>
    </row>
    <row r="590" spans="2:7" x14ac:dyDescent="0.25">
      <c r="B590" t="str">
        <f t="shared" si="38"/>
        <v/>
      </c>
      <c r="C590" s="16" t="str">
        <f t="shared" si="36"/>
        <v/>
      </c>
      <c r="D590" t="s">
        <v>926</v>
      </c>
      <c r="E590" t="str">
        <f t="shared" si="39"/>
        <v/>
      </c>
      <c r="F590" s="16" t="str">
        <f t="shared" si="37"/>
        <v/>
      </c>
      <c r="G590" t="s">
        <v>926</v>
      </c>
    </row>
    <row r="591" spans="2:7" x14ac:dyDescent="0.25">
      <c r="B591" t="str">
        <f t="shared" si="38"/>
        <v/>
      </c>
      <c r="C591" s="16" t="str">
        <f t="shared" si="36"/>
        <v/>
      </c>
      <c r="D591" t="s">
        <v>926</v>
      </c>
      <c r="E591" t="str">
        <f t="shared" si="39"/>
        <v/>
      </c>
      <c r="F591" s="16" t="str">
        <f t="shared" si="37"/>
        <v/>
      </c>
      <c r="G591" t="s">
        <v>926</v>
      </c>
    </row>
    <row r="592" spans="2:7" x14ac:dyDescent="0.25">
      <c r="B592" t="str">
        <f t="shared" si="38"/>
        <v/>
      </c>
      <c r="C592" s="16" t="str">
        <f t="shared" si="36"/>
        <v/>
      </c>
      <c r="D592" t="s">
        <v>926</v>
      </c>
      <c r="E592" t="str">
        <f t="shared" si="39"/>
        <v/>
      </c>
      <c r="F592" s="16" t="str">
        <f t="shared" si="37"/>
        <v/>
      </c>
      <c r="G592" t="s">
        <v>926</v>
      </c>
    </row>
    <row r="593" spans="2:7" x14ac:dyDescent="0.25">
      <c r="B593" t="str">
        <f t="shared" si="38"/>
        <v/>
      </c>
      <c r="C593" s="16" t="str">
        <f t="shared" si="36"/>
        <v/>
      </c>
      <c r="D593" t="s">
        <v>926</v>
      </c>
      <c r="E593" t="str">
        <f t="shared" si="39"/>
        <v/>
      </c>
      <c r="F593" s="16" t="str">
        <f t="shared" si="37"/>
        <v/>
      </c>
      <c r="G593" t="s">
        <v>926</v>
      </c>
    </row>
    <row r="594" spans="2:7" x14ac:dyDescent="0.25">
      <c r="B594" t="str">
        <f t="shared" si="38"/>
        <v/>
      </c>
      <c r="C594" s="16" t="str">
        <f t="shared" si="36"/>
        <v/>
      </c>
      <c r="D594" t="s">
        <v>926</v>
      </c>
      <c r="E594" t="str">
        <f t="shared" si="39"/>
        <v/>
      </c>
      <c r="F594" s="16" t="str">
        <f t="shared" si="37"/>
        <v/>
      </c>
      <c r="G594" t="s">
        <v>926</v>
      </c>
    </row>
    <row r="595" spans="2:7" x14ac:dyDescent="0.25">
      <c r="B595" t="str">
        <f t="shared" si="38"/>
        <v/>
      </c>
      <c r="C595" s="16" t="str">
        <f t="shared" si="36"/>
        <v/>
      </c>
      <c r="D595" t="s">
        <v>926</v>
      </c>
      <c r="E595" t="str">
        <f t="shared" si="39"/>
        <v/>
      </c>
      <c r="F595" s="16" t="str">
        <f t="shared" si="37"/>
        <v/>
      </c>
      <c r="G595" t="s">
        <v>926</v>
      </c>
    </row>
    <row r="596" spans="2:7" x14ac:dyDescent="0.25">
      <c r="B596" t="str">
        <f t="shared" si="38"/>
        <v/>
      </c>
      <c r="C596" s="16" t="str">
        <f t="shared" si="36"/>
        <v/>
      </c>
      <c r="D596" t="s">
        <v>926</v>
      </c>
      <c r="E596" t="str">
        <f t="shared" si="39"/>
        <v/>
      </c>
      <c r="F596" s="16" t="str">
        <f t="shared" si="37"/>
        <v/>
      </c>
      <c r="G596" t="s">
        <v>926</v>
      </c>
    </row>
    <row r="597" spans="2:7" x14ac:dyDescent="0.25">
      <c r="B597" t="str">
        <f t="shared" si="38"/>
        <v/>
      </c>
      <c r="C597" s="16" t="str">
        <f t="shared" si="36"/>
        <v/>
      </c>
      <c r="D597" t="s">
        <v>926</v>
      </c>
      <c r="E597" t="str">
        <f t="shared" si="39"/>
        <v/>
      </c>
      <c r="F597" s="16" t="str">
        <f t="shared" si="37"/>
        <v/>
      </c>
      <c r="G597" t="s">
        <v>926</v>
      </c>
    </row>
    <row r="598" spans="2:7" x14ac:dyDescent="0.25">
      <c r="B598" t="str">
        <f t="shared" si="38"/>
        <v/>
      </c>
      <c r="C598" s="16" t="str">
        <f t="shared" si="36"/>
        <v/>
      </c>
      <c r="D598" t="s">
        <v>926</v>
      </c>
      <c r="E598" t="str">
        <f t="shared" si="39"/>
        <v/>
      </c>
      <c r="F598" s="16" t="str">
        <f t="shared" si="37"/>
        <v/>
      </c>
      <c r="G598" t="s">
        <v>926</v>
      </c>
    </row>
    <row r="599" spans="2:7" x14ac:dyDescent="0.25">
      <c r="B599" t="str">
        <f t="shared" si="38"/>
        <v/>
      </c>
      <c r="C599" s="16" t="str">
        <f t="shared" si="36"/>
        <v/>
      </c>
      <c r="D599" t="s">
        <v>926</v>
      </c>
      <c r="E599" t="str">
        <f t="shared" si="39"/>
        <v/>
      </c>
      <c r="F599" s="16" t="str">
        <f t="shared" si="37"/>
        <v/>
      </c>
      <c r="G599" t="s">
        <v>926</v>
      </c>
    </row>
    <row r="600" spans="2:7" x14ac:dyDescent="0.25">
      <c r="B600" t="str">
        <f t="shared" si="38"/>
        <v/>
      </c>
      <c r="C600" s="16" t="str">
        <f t="shared" si="36"/>
        <v/>
      </c>
      <c r="D600" t="s">
        <v>926</v>
      </c>
      <c r="E600" t="str">
        <f t="shared" si="39"/>
        <v/>
      </c>
      <c r="F600" s="16" t="str">
        <f t="shared" si="37"/>
        <v/>
      </c>
      <c r="G600" t="s">
        <v>926</v>
      </c>
    </row>
    <row r="601" spans="2:7" x14ac:dyDescent="0.25">
      <c r="B601" t="str">
        <f t="shared" si="38"/>
        <v/>
      </c>
      <c r="C601" s="16" t="str">
        <f t="shared" si="36"/>
        <v/>
      </c>
      <c r="D601" t="s">
        <v>926</v>
      </c>
      <c r="E601" t="str">
        <f t="shared" si="39"/>
        <v/>
      </c>
      <c r="F601" s="16" t="str">
        <f t="shared" si="37"/>
        <v/>
      </c>
      <c r="G601" t="s">
        <v>926</v>
      </c>
    </row>
    <row r="602" spans="2:7" x14ac:dyDescent="0.25">
      <c r="B602" t="str">
        <f t="shared" si="38"/>
        <v/>
      </c>
      <c r="C602" s="16" t="str">
        <f t="shared" si="36"/>
        <v/>
      </c>
      <c r="D602" t="s">
        <v>926</v>
      </c>
      <c r="E602" t="str">
        <f t="shared" si="39"/>
        <v/>
      </c>
      <c r="F602" s="16" t="str">
        <f t="shared" si="37"/>
        <v/>
      </c>
      <c r="G602" t="s">
        <v>926</v>
      </c>
    </row>
    <row r="603" spans="2:7" x14ac:dyDescent="0.25">
      <c r="B603" t="str">
        <f t="shared" si="38"/>
        <v/>
      </c>
      <c r="C603" s="16" t="str">
        <f t="shared" si="36"/>
        <v/>
      </c>
      <c r="D603" t="s">
        <v>926</v>
      </c>
      <c r="E603" t="str">
        <f t="shared" si="39"/>
        <v/>
      </c>
      <c r="F603" s="16" t="str">
        <f t="shared" si="37"/>
        <v/>
      </c>
      <c r="G603" t="s">
        <v>926</v>
      </c>
    </row>
    <row r="604" spans="2:7" x14ac:dyDescent="0.25">
      <c r="B604" t="str">
        <f t="shared" si="38"/>
        <v/>
      </c>
      <c r="C604" s="16" t="str">
        <f t="shared" si="36"/>
        <v/>
      </c>
      <c r="D604" t="s">
        <v>926</v>
      </c>
      <c r="E604" t="str">
        <f t="shared" si="39"/>
        <v/>
      </c>
      <c r="F604" s="16" t="str">
        <f t="shared" si="37"/>
        <v/>
      </c>
      <c r="G604" t="s">
        <v>926</v>
      </c>
    </row>
    <row r="605" spans="2:7" x14ac:dyDescent="0.25">
      <c r="B605" t="str">
        <f t="shared" si="38"/>
        <v/>
      </c>
      <c r="C605" s="16" t="str">
        <f t="shared" si="36"/>
        <v/>
      </c>
      <c r="D605" t="s">
        <v>926</v>
      </c>
      <c r="E605" t="str">
        <f t="shared" si="39"/>
        <v/>
      </c>
      <c r="F605" s="16" t="str">
        <f t="shared" si="37"/>
        <v/>
      </c>
      <c r="G605" t="s">
        <v>926</v>
      </c>
    </row>
    <row r="606" spans="2:7" x14ac:dyDescent="0.25">
      <c r="B606" t="str">
        <f t="shared" si="38"/>
        <v/>
      </c>
      <c r="C606" s="16" t="str">
        <f t="shared" si="36"/>
        <v/>
      </c>
      <c r="D606" t="s">
        <v>926</v>
      </c>
      <c r="E606" t="str">
        <f t="shared" si="39"/>
        <v/>
      </c>
      <c r="F606" s="16" t="str">
        <f t="shared" si="37"/>
        <v/>
      </c>
      <c r="G606" t="s">
        <v>926</v>
      </c>
    </row>
    <row r="607" spans="2:7" x14ac:dyDescent="0.25">
      <c r="B607" t="str">
        <f t="shared" si="38"/>
        <v/>
      </c>
      <c r="C607" s="16" t="str">
        <f t="shared" si="36"/>
        <v/>
      </c>
      <c r="D607" t="s">
        <v>926</v>
      </c>
      <c r="E607" t="str">
        <f t="shared" si="39"/>
        <v/>
      </c>
      <c r="F607" s="16" t="str">
        <f t="shared" si="37"/>
        <v/>
      </c>
      <c r="G607" t="s">
        <v>926</v>
      </c>
    </row>
    <row r="608" spans="2:7" x14ac:dyDescent="0.25">
      <c r="B608" t="str">
        <f t="shared" si="38"/>
        <v/>
      </c>
      <c r="C608" s="16" t="str">
        <f t="shared" si="36"/>
        <v/>
      </c>
      <c r="D608" t="s">
        <v>926</v>
      </c>
      <c r="E608" t="str">
        <f t="shared" si="39"/>
        <v/>
      </c>
      <c r="F608" s="16" t="str">
        <f t="shared" si="37"/>
        <v/>
      </c>
      <c r="G608" t="s">
        <v>926</v>
      </c>
    </row>
    <row r="609" spans="2:7" x14ac:dyDescent="0.25">
      <c r="B609" t="str">
        <f t="shared" si="38"/>
        <v/>
      </c>
      <c r="C609" s="16" t="str">
        <f t="shared" si="36"/>
        <v/>
      </c>
      <c r="D609" t="s">
        <v>926</v>
      </c>
      <c r="E609" t="str">
        <f t="shared" si="39"/>
        <v/>
      </c>
      <c r="F609" s="16" t="str">
        <f t="shared" si="37"/>
        <v/>
      </c>
      <c r="G609" t="s">
        <v>926</v>
      </c>
    </row>
    <row r="610" spans="2:7" x14ac:dyDescent="0.25">
      <c r="B610" t="str">
        <f t="shared" si="38"/>
        <v/>
      </c>
      <c r="C610" s="16" t="str">
        <f t="shared" si="36"/>
        <v/>
      </c>
      <c r="D610" t="s">
        <v>926</v>
      </c>
      <c r="E610" t="str">
        <f t="shared" si="39"/>
        <v/>
      </c>
      <c r="F610" s="16" t="str">
        <f t="shared" si="37"/>
        <v/>
      </c>
      <c r="G610" t="s">
        <v>926</v>
      </c>
    </row>
    <row r="611" spans="2:7" x14ac:dyDescent="0.25">
      <c r="B611" t="str">
        <f t="shared" si="38"/>
        <v/>
      </c>
      <c r="C611" s="16" t="str">
        <f t="shared" si="36"/>
        <v/>
      </c>
      <c r="D611" t="s">
        <v>926</v>
      </c>
      <c r="E611" t="str">
        <f t="shared" si="39"/>
        <v/>
      </c>
      <c r="F611" s="16" t="str">
        <f t="shared" si="37"/>
        <v/>
      </c>
      <c r="G611" t="s">
        <v>926</v>
      </c>
    </row>
    <row r="612" spans="2:7" x14ac:dyDescent="0.25">
      <c r="B612" t="str">
        <f t="shared" si="38"/>
        <v/>
      </c>
      <c r="C612" s="16" t="str">
        <f t="shared" si="36"/>
        <v/>
      </c>
      <c r="D612" t="s">
        <v>926</v>
      </c>
      <c r="E612" t="str">
        <f t="shared" si="39"/>
        <v/>
      </c>
      <c r="F612" s="16" t="str">
        <f t="shared" si="37"/>
        <v/>
      </c>
      <c r="G612" t="s">
        <v>926</v>
      </c>
    </row>
    <row r="613" spans="2:7" x14ac:dyDescent="0.25">
      <c r="B613" t="str">
        <f t="shared" si="38"/>
        <v/>
      </c>
      <c r="C613" s="16" t="str">
        <f t="shared" si="36"/>
        <v/>
      </c>
      <c r="D613" t="s">
        <v>926</v>
      </c>
      <c r="E613" t="str">
        <f t="shared" si="39"/>
        <v/>
      </c>
      <c r="F613" s="16" t="str">
        <f t="shared" si="37"/>
        <v/>
      </c>
      <c r="G613" t="s">
        <v>926</v>
      </c>
    </row>
    <row r="614" spans="2:7" x14ac:dyDescent="0.25">
      <c r="B614" t="str">
        <f t="shared" si="38"/>
        <v/>
      </c>
      <c r="C614" s="16" t="str">
        <f t="shared" si="36"/>
        <v/>
      </c>
      <c r="D614" t="s">
        <v>926</v>
      </c>
      <c r="E614" t="str">
        <f t="shared" si="39"/>
        <v/>
      </c>
      <c r="F614" s="16" t="str">
        <f t="shared" si="37"/>
        <v/>
      </c>
      <c r="G614" t="s">
        <v>926</v>
      </c>
    </row>
    <row r="615" spans="2:7" x14ac:dyDescent="0.25">
      <c r="B615" t="str">
        <f t="shared" si="38"/>
        <v/>
      </c>
      <c r="C615" s="16" t="str">
        <f t="shared" si="36"/>
        <v/>
      </c>
      <c r="D615" t="s">
        <v>926</v>
      </c>
      <c r="E615" t="str">
        <f t="shared" si="39"/>
        <v/>
      </c>
      <c r="F615" s="16" t="str">
        <f t="shared" si="37"/>
        <v/>
      </c>
      <c r="G615" t="s">
        <v>926</v>
      </c>
    </row>
    <row r="616" spans="2:7" x14ac:dyDescent="0.25">
      <c r="B616" t="str">
        <f t="shared" si="38"/>
        <v/>
      </c>
      <c r="C616" s="16" t="str">
        <f t="shared" si="36"/>
        <v/>
      </c>
      <c r="D616" t="s">
        <v>926</v>
      </c>
      <c r="E616" t="str">
        <f t="shared" si="39"/>
        <v/>
      </c>
      <c r="F616" s="16" t="str">
        <f t="shared" si="37"/>
        <v/>
      </c>
      <c r="G616" t="s">
        <v>926</v>
      </c>
    </row>
    <row r="617" spans="2:7" x14ac:dyDescent="0.25">
      <c r="B617" t="str">
        <f t="shared" si="38"/>
        <v/>
      </c>
      <c r="C617" s="16" t="str">
        <f t="shared" si="36"/>
        <v/>
      </c>
      <c r="D617" t="s">
        <v>926</v>
      </c>
      <c r="E617" t="str">
        <f t="shared" si="39"/>
        <v/>
      </c>
      <c r="F617" s="16" t="str">
        <f t="shared" si="37"/>
        <v/>
      </c>
      <c r="G617" t="s">
        <v>926</v>
      </c>
    </row>
    <row r="618" spans="2:7" x14ac:dyDescent="0.25">
      <c r="B618" t="str">
        <f t="shared" si="38"/>
        <v/>
      </c>
      <c r="C618" s="16" t="str">
        <f t="shared" si="36"/>
        <v/>
      </c>
      <c r="D618" t="s">
        <v>926</v>
      </c>
      <c r="E618" t="str">
        <f t="shared" si="39"/>
        <v/>
      </c>
      <c r="F618" s="16" t="str">
        <f t="shared" si="37"/>
        <v/>
      </c>
      <c r="G618" t="s">
        <v>926</v>
      </c>
    </row>
    <row r="619" spans="2:7" x14ac:dyDescent="0.25">
      <c r="B619" t="str">
        <f t="shared" si="38"/>
        <v/>
      </c>
      <c r="C619" s="16" t="str">
        <f t="shared" si="36"/>
        <v/>
      </c>
      <c r="D619" t="s">
        <v>926</v>
      </c>
      <c r="E619" t="str">
        <f t="shared" si="39"/>
        <v/>
      </c>
      <c r="F619" s="16" t="str">
        <f t="shared" si="37"/>
        <v/>
      </c>
      <c r="G619" t="s">
        <v>926</v>
      </c>
    </row>
    <row r="620" spans="2:7" x14ac:dyDescent="0.25">
      <c r="B620" t="str">
        <f t="shared" si="38"/>
        <v/>
      </c>
      <c r="C620" s="16" t="str">
        <f t="shared" si="36"/>
        <v/>
      </c>
      <c r="D620" t="s">
        <v>926</v>
      </c>
      <c r="E620" t="str">
        <f t="shared" si="39"/>
        <v/>
      </c>
      <c r="F620" s="16" t="str">
        <f t="shared" si="37"/>
        <v/>
      </c>
      <c r="G620" t="s">
        <v>926</v>
      </c>
    </row>
    <row r="621" spans="2:7" x14ac:dyDescent="0.25">
      <c r="B621" t="str">
        <f t="shared" si="38"/>
        <v/>
      </c>
      <c r="C621" s="16" t="str">
        <f t="shared" si="36"/>
        <v/>
      </c>
      <c r="D621" t="s">
        <v>926</v>
      </c>
      <c r="E621" t="str">
        <f t="shared" si="39"/>
        <v/>
      </c>
      <c r="F621" s="16" t="str">
        <f t="shared" si="37"/>
        <v/>
      </c>
      <c r="G621" t="s">
        <v>926</v>
      </c>
    </row>
    <row r="622" spans="2:7" x14ac:dyDescent="0.25">
      <c r="B622" t="str">
        <f t="shared" si="38"/>
        <v/>
      </c>
      <c r="C622" s="16" t="str">
        <f t="shared" si="36"/>
        <v/>
      </c>
      <c r="D622" t="s">
        <v>926</v>
      </c>
      <c r="E622" t="str">
        <f t="shared" si="39"/>
        <v/>
      </c>
      <c r="F622" s="16" t="str">
        <f t="shared" si="37"/>
        <v/>
      </c>
      <c r="G622" t="s">
        <v>926</v>
      </c>
    </row>
    <row r="623" spans="2:7" x14ac:dyDescent="0.25">
      <c r="B623" t="str">
        <f t="shared" si="38"/>
        <v/>
      </c>
      <c r="C623" s="16" t="str">
        <f t="shared" si="36"/>
        <v/>
      </c>
      <c r="D623" t="s">
        <v>926</v>
      </c>
      <c r="E623" t="str">
        <f t="shared" si="39"/>
        <v/>
      </c>
      <c r="F623" s="16" t="str">
        <f t="shared" si="37"/>
        <v/>
      </c>
      <c r="G623" t="s">
        <v>926</v>
      </c>
    </row>
    <row r="624" spans="2:7" x14ac:dyDescent="0.25">
      <c r="B624" t="str">
        <f t="shared" si="38"/>
        <v/>
      </c>
      <c r="C624" s="16" t="str">
        <f t="shared" si="36"/>
        <v/>
      </c>
      <c r="D624" t="s">
        <v>926</v>
      </c>
      <c r="E624" t="str">
        <f t="shared" si="39"/>
        <v/>
      </c>
      <c r="F624" s="16" t="str">
        <f t="shared" si="37"/>
        <v/>
      </c>
      <c r="G624" t="s">
        <v>926</v>
      </c>
    </row>
    <row r="625" spans="2:7" x14ac:dyDescent="0.25">
      <c r="B625" t="str">
        <f t="shared" si="38"/>
        <v/>
      </c>
      <c r="C625" s="16" t="str">
        <f t="shared" si="36"/>
        <v/>
      </c>
      <c r="D625" t="s">
        <v>926</v>
      </c>
      <c r="E625" t="str">
        <f t="shared" si="39"/>
        <v/>
      </c>
      <c r="F625" s="16" t="str">
        <f t="shared" si="37"/>
        <v/>
      </c>
      <c r="G625" t="s">
        <v>926</v>
      </c>
    </row>
    <row r="626" spans="2:7" x14ac:dyDescent="0.25">
      <c r="B626" t="str">
        <f t="shared" si="38"/>
        <v/>
      </c>
      <c r="C626" s="16" t="str">
        <f t="shared" si="36"/>
        <v/>
      </c>
      <c r="D626" t="s">
        <v>926</v>
      </c>
      <c r="E626" t="str">
        <f t="shared" si="39"/>
        <v/>
      </c>
      <c r="F626" s="16" t="str">
        <f t="shared" si="37"/>
        <v/>
      </c>
      <c r="G626" t="s">
        <v>926</v>
      </c>
    </row>
    <row r="627" spans="2:7" x14ac:dyDescent="0.25">
      <c r="B627" t="str">
        <f t="shared" si="38"/>
        <v/>
      </c>
      <c r="C627" s="16" t="str">
        <f t="shared" si="36"/>
        <v/>
      </c>
      <c r="D627" t="s">
        <v>926</v>
      </c>
      <c r="E627" t="str">
        <f t="shared" si="39"/>
        <v/>
      </c>
      <c r="F627" s="16" t="str">
        <f t="shared" si="37"/>
        <v/>
      </c>
      <c r="G627" t="s">
        <v>926</v>
      </c>
    </row>
    <row r="628" spans="2:7" x14ac:dyDescent="0.25">
      <c r="B628" t="str">
        <f t="shared" si="38"/>
        <v/>
      </c>
      <c r="C628" s="16" t="str">
        <f t="shared" si="36"/>
        <v/>
      </c>
      <c r="D628" t="s">
        <v>926</v>
      </c>
      <c r="E628" t="str">
        <f t="shared" si="39"/>
        <v/>
      </c>
      <c r="F628" s="16" t="str">
        <f t="shared" si="37"/>
        <v/>
      </c>
      <c r="G628" t="s">
        <v>926</v>
      </c>
    </row>
    <row r="629" spans="2:7" x14ac:dyDescent="0.25">
      <c r="B629" t="str">
        <f t="shared" si="38"/>
        <v/>
      </c>
      <c r="C629" s="16" t="str">
        <f t="shared" si="36"/>
        <v/>
      </c>
      <c r="D629" t="s">
        <v>926</v>
      </c>
      <c r="E629" t="str">
        <f t="shared" si="39"/>
        <v/>
      </c>
      <c r="F629" s="16" t="str">
        <f t="shared" si="37"/>
        <v/>
      </c>
      <c r="G629" t="s">
        <v>926</v>
      </c>
    </row>
    <row r="630" spans="2:7" x14ac:dyDescent="0.25">
      <c r="B630" t="str">
        <f t="shared" si="38"/>
        <v/>
      </c>
      <c r="C630" s="16" t="str">
        <f t="shared" si="36"/>
        <v/>
      </c>
      <c r="D630" t="s">
        <v>926</v>
      </c>
      <c r="E630" t="str">
        <f t="shared" si="39"/>
        <v/>
      </c>
      <c r="F630" s="16" t="str">
        <f t="shared" si="37"/>
        <v/>
      </c>
      <c r="G630" t="s">
        <v>926</v>
      </c>
    </row>
    <row r="631" spans="2:7" x14ac:dyDescent="0.25">
      <c r="B631" t="str">
        <f t="shared" si="38"/>
        <v/>
      </c>
      <c r="C631" s="16" t="str">
        <f t="shared" si="36"/>
        <v/>
      </c>
      <c r="D631" t="s">
        <v>926</v>
      </c>
      <c r="E631" t="str">
        <f t="shared" si="39"/>
        <v/>
      </c>
      <c r="F631" s="16" t="str">
        <f t="shared" si="37"/>
        <v/>
      </c>
      <c r="G631" t="s">
        <v>926</v>
      </c>
    </row>
    <row r="632" spans="2:7" x14ac:dyDescent="0.25">
      <c r="B632" t="str">
        <f t="shared" si="38"/>
        <v/>
      </c>
      <c r="C632" s="16" t="str">
        <f t="shared" si="36"/>
        <v/>
      </c>
      <c r="D632" t="s">
        <v>926</v>
      </c>
      <c r="E632" t="str">
        <f t="shared" si="39"/>
        <v/>
      </c>
      <c r="F632" s="16" t="str">
        <f t="shared" si="37"/>
        <v/>
      </c>
      <c r="G632" t="s">
        <v>926</v>
      </c>
    </row>
    <row r="633" spans="2:7" x14ac:dyDescent="0.25">
      <c r="B633" t="str">
        <f t="shared" si="38"/>
        <v/>
      </c>
      <c r="C633" s="16" t="str">
        <f t="shared" si="36"/>
        <v/>
      </c>
      <c r="D633" t="s">
        <v>926</v>
      </c>
      <c r="E633" t="str">
        <f t="shared" si="39"/>
        <v/>
      </c>
      <c r="F633" s="16" t="str">
        <f t="shared" si="37"/>
        <v/>
      </c>
      <c r="G633" t="s">
        <v>926</v>
      </c>
    </row>
    <row r="634" spans="2:7" x14ac:dyDescent="0.25">
      <c r="B634" t="str">
        <f t="shared" si="38"/>
        <v/>
      </c>
      <c r="C634" s="16" t="str">
        <f t="shared" si="36"/>
        <v/>
      </c>
      <c r="D634" t="s">
        <v>926</v>
      </c>
      <c r="E634" t="str">
        <f t="shared" si="39"/>
        <v/>
      </c>
      <c r="F634" s="16" t="str">
        <f t="shared" si="37"/>
        <v/>
      </c>
      <c r="G634" t="s">
        <v>926</v>
      </c>
    </row>
    <row r="635" spans="2:7" x14ac:dyDescent="0.25">
      <c r="B635" t="str">
        <f t="shared" si="38"/>
        <v/>
      </c>
      <c r="C635" s="16" t="str">
        <f t="shared" si="36"/>
        <v/>
      </c>
      <c r="D635" t="s">
        <v>926</v>
      </c>
      <c r="E635" t="str">
        <f t="shared" si="39"/>
        <v/>
      </c>
      <c r="F635" s="16" t="str">
        <f t="shared" si="37"/>
        <v/>
      </c>
      <c r="G635" t="s">
        <v>926</v>
      </c>
    </row>
    <row r="636" spans="2:7" x14ac:dyDescent="0.25">
      <c r="B636" t="str">
        <f t="shared" si="38"/>
        <v/>
      </c>
      <c r="C636" s="16" t="str">
        <f t="shared" si="36"/>
        <v/>
      </c>
      <c r="D636" t="s">
        <v>926</v>
      </c>
      <c r="E636" t="str">
        <f t="shared" si="39"/>
        <v/>
      </c>
      <c r="F636" s="16" t="str">
        <f t="shared" si="37"/>
        <v/>
      </c>
      <c r="G636" t="s">
        <v>926</v>
      </c>
    </row>
    <row r="637" spans="2:7" x14ac:dyDescent="0.25">
      <c r="B637" t="str">
        <f t="shared" si="38"/>
        <v/>
      </c>
      <c r="C637" s="16" t="str">
        <f t="shared" si="36"/>
        <v/>
      </c>
      <c r="D637" t="s">
        <v>926</v>
      </c>
      <c r="E637" t="str">
        <f t="shared" si="39"/>
        <v/>
      </c>
      <c r="F637" s="16" t="str">
        <f t="shared" si="37"/>
        <v/>
      </c>
      <c r="G637" t="s">
        <v>926</v>
      </c>
    </row>
    <row r="638" spans="2:7" x14ac:dyDescent="0.25">
      <c r="B638" t="str">
        <f t="shared" si="38"/>
        <v/>
      </c>
      <c r="C638" s="16" t="str">
        <f t="shared" si="36"/>
        <v/>
      </c>
      <c r="D638" t="s">
        <v>926</v>
      </c>
      <c r="E638" t="str">
        <f t="shared" si="39"/>
        <v/>
      </c>
      <c r="F638" s="16" t="str">
        <f t="shared" si="37"/>
        <v/>
      </c>
      <c r="G638" t="s">
        <v>926</v>
      </c>
    </row>
    <row r="639" spans="2:7" x14ac:dyDescent="0.25">
      <c r="B639" t="str">
        <f t="shared" si="38"/>
        <v/>
      </c>
      <c r="C639" s="16" t="str">
        <f t="shared" si="36"/>
        <v/>
      </c>
      <c r="D639" t="s">
        <v>926</v>
      </c>
      <c r="E639" t="str">
        <f t="shared" si="39"/>
        <v/>
      </c>
      <c r="F639" s="16" t="str">
        <f t="shared" si="37"/>
        <v/>
      </c>
      <c r="G639" t="s">
        <v>926</v>
      </c>
    </row>
    <row r="640" spans="2:7" x14ac:dyDescent="0.25">
      <c r="B640" t="str">
        <f t="shared" si="38"/>
        <v/>
      </c>
      <c r="C640" s="16" t="str">
        <f t="shared" si="36"/>
        <v/>
      </c>
      <c r="D640" t="s">
        <v>926</v>
      </c>
      <c r="E640" t="str">
        <f t="shared" si="39"/>
        <v/>
      </c>
      <c r="F640" s="16" t="str">
        <f t="shared" si="37"/>
        <v/>
      </c>
      <c r="G640" t="s">
        <v>926</v>
      </c>
    </row>
    <row r="641" spans="2:7" x14ac:dyDescent="0.25">
      <c r="B641" t="str">
        <f t="shared" si="38"/>
        <v/>
      </c>
      <c r="C641" s="16" t="str">
        <f t="shared" si="36"/>
        <v/>
      </c>
      <c r="D641" t="s">
        <v>926</v>
      </c>
      <c r="E641" t="str">
        <f t="shared" si="39"/>
        <v/>
      </c>
      <c r="F641" s="16" t="str">
        <f t="shared" si="37"/>
        <v/>
      </c>
      <c r="G641" t="s">
        <v>926</v>
      </c>
    </row>
    <row r="642" spans="2:7" x14ac:dyDescent="0.25">
      <c r="B642" t="str">
        <f t="shared" si="38"/>
        <v/>
      </c>
      <c r="C642" s="16" t="str">
        <f t="shared" si="36"/>
        <v/>
      </c>
      <c r="D642" t="s">
        <v>926</v>
      </c>
      <c r="E642" t="str">
        <f t="shared" si="39"/>
        <v/>
      </c>
      <c r="F642" s="16" t="str">
        <f t="shared" si="37"/>
        <v/>
      </c>
      <c r="G642" t="s">
        <v>926</v>
      </c>
    </row>
    <row r="643" spans="2:7" x14ac:dyDescent="0.25">
      <c r="B643" t="str">
        <f t="shared" si="38"/>
        <v/>
      </c>
      <c r="C643" s="16" t="str">
        <f t="shared" ref="C643:C706" si="40">IF(ISERROR(VLOOKUP(B643,ImpComp,2,FALSE)),"",VLOOKUP(B643,ImpComp,2,FALSE))</f>
        <v/>
      </c>
      <c r="D643" t="s">
        <v>926</v>
      </c>
      <c r="E643" t="str">
        <f t="shared" si="39"/>
        <v/>
      </c>
      <c r="F643" s="16" t="str">
        <f t="shared" ref="F643:F706" si="41" xml:space="preserve"> IF(ISERROR(VLOOKUP(E643,Imp_IVA1,2,FALSE)),"",VLOOKUP(E643,Imp_IVA1,2,FALSE))&amp; IF(ISERROR(VLOOKUP(E643,Imp_IVA2,2,FALSE)),"",VLOOKUP(E643,Imp_IVA2,2,FALSE))</f>
        <v/>
      </c>
      <c r="G643" t="s">
        <v>926</v>
      </c>
    </row>
    <row r="644" spans="2:7" x14ac:dyDescent="0.25">
      <c r="B644" t="str">
        <f t="shared" si="38"/>
        <v/>
      </c>
      <c r="C644" s="16" t="str">
        <f t="shared" si="40"/>
        <v/>
      </c>
      <c r="D644" t="s">
        <v>926</v>
      </c>
      <c r="E644" t="str">
        <f t="shared" si="39"/>
        <v/>
      </c>
      <c r="F644" s="16" t="str">
        <f t="shared" si="41"/>
        <v/>
      </c>
      <c r="G644" t="s">
        <v>926</v>
      </c>
    </row>
    <row r="645" spans="2:7" x14ac:dyDescent="0.25">
      <c r="B645" t="str">
        <f t="shared" ref="B645:B708" si="42">IF(OR(B644=$B$2,B644=""),"",B644+1)</f>
        <v/>
      </c>
      <c r="C645" s="16" t="str">
        <f t="shared" si="40"/>
        <v/>
      </c>
      <c r="D645" t="s">
        <v>926</v>
      </c>
      <c r="E645" t="str">
        <f t="shared" ref="E645:E708" si="43">IF(OR(E644=$E$2,E644=""),"",E644+1)</f>
        <v/>
      </c>
      <c r="F645" s="16" t="str">
        <f t="shared" si="41"/>
        <v/>
      </c>
      <c r="G645" t="s">
        <v>926</v>
      </c>
    </row>
    <row r="646" spans="2:7" x14ac:dyDescent="0.25">
      <c r="B646" t="str">
        <f t="shared" si="42"/>
        <v/>
      </c>
      <c r="C646" s="16" t="str">
        <f t="shared" si="40"/>
        <v/>
      </c>
      <c r="D646" t="s">
        <v>926</v>
      </c>
      <c r="E646" t="str">
        <f t="shared" si="43"/>
        <v/>
      </c>
      <c r="F646" s="16" t="str">
        <f t="shared" si="41"/>
        <v/>
      </c>
      <c r="G646" t="s">
        <v>926</v>
      </c>
    </row>
    <row r="647" spans="2:7" x14ac:dyDescent="0.25">
      <c r="B647" t="str">
        <f t="shared" si="42"/>
        <v/>
      </c>
      <c r="C647" s="16" t="str">
        <f t="shared" si="40"/>
        <v/>
      </c>
      <c r="D647" t="s">
        <v>926</v>
      </c>
      <c r="E647" t="str">
        <f t="shared" si="43"/>
        <v/>
      </c>
      <c r="F647" s="16" t="str">
        <f t="shared" si="41"/>
        <v/>
      </c>
      <c r="G647" t="s">
        <v>926</v>
      </c>
    </row>
    <row r="648" spans="2:7" x14ac:dyDescent="0.25">
      <c r="B648" t="str">
        <f t="shared" si="42"/>
        <v/>
      </c>
      <c r="C648" s="16" t="str">
        <f t="shared" si="40"/>
        <v/>
      </c>
      <c r="D648" t="s">
        <v>926</v>
      </c>
      <c r="E648" t="str">
        <f t="shared" si="43"/>
        <v/>
      </c>
      <c r="F648" s="16" t="str">
        <f t="shared" si="41"/>
        <v/>
      </c>
      <c r="G648" t="s">
        <v>926</v>
      </c>
    </row>
    <row r="649" spans="2:7" x14ac:dyDescent="0.25">
      <c r="B649" t="str">
        <f t="shared" si="42"/>
        <v/>
      </c>
      <c r="C649" s="16" t="str">
        <f t="shared" si="40"/>
        <v/>
      </c>
      <c r="D649" t="s">
        <v>926</v>
      </c>
      <c r="E649" t="str">
        <f t="shared" si="43"/>
        <v/>
      </c>
      <c r="F649" s="16" t="str">
        <f t="shared" si="41"/>
        <v/>
      </c>
      <c r="G649" t="s">
        <v>926</v>
      </c>
    </row>
    <row r="650" spans="2:7" x14ac:dyDescent="0.25">
      <c r="B650" t="str">
        <f t="shared" si="42"/>
        <v/>
      </c>
      <c r="C650" s="16" t="str">
        <f t="shared" si="40"/>
        <v/>
      </c>
      <c r="D650" t="s">
        <v>926</v>
      </c>
      <c r="E650" t="str">
        <f t="shared" si="43"/>
        <v/>
      </c>
      <c r="F650" s="16" t="str">
        <f t="shared" si="41"/>
        <v/>
      </c>
      <c r="G650" t="s">
        <v>926</v>
      </c>
    </row>
    <row r="651" spans="2:7" x14ac:dyDescent="0.25">
      <c r="B651" t="str">
        <f t="shared" si="42"/>
        <v/>
      </c>
      <c r="C651" s="16" t="str">
        <f t="shared" si="40"/>
        <v/>
      </c>
      <c r="D651" t="s">
        <v>926</v>
      </c>
      <c r="E651" t="str">
        <f t="shared" si="43"/>
        <v/>
      </c>
      <c r="F651" s="16" t="str">
        <f t="shared" si="41"/>
        <v/>
      </c>
      <c r="G651" t="s">
        <v>926</v>
      </c>
    </row>
    <row r="652" spans="2:7" x14ac:dyDescent="0.25">
      <c r="B652" t="str">
        <f t="shared" si="42"/>
        <v/>
      </c>
      <c r="C652" s="16" t="str">
        <f t="shared" si="40"/>
        <v/>
      </c>
      <c r="D652" t="s">
        <v>926</v>
      </c>
      <c r="E652" t="str">
        <f t="shared" si="43"/>
        <v/>
      </c>
      <c r="F652" s="16" t="str">
        <f t="shared" si="41"/>
        <v/>
      </c>
      <c r="G652" t="s">
        <v>926</v>
      </c>
    </row>
    <row r="653" spans="2:7" x14ac:dyDescent="0.25">
      <c r="B653" t="str">
        <f t="shared" si="42"/>
        <v/>
      </c>
      <c r="C653" s="16" t="str">
        <f t="shared" si="40"/>
        <v/>
      </c>
      <c r="D653" t="s">
        <v>926</v>
      </c>
      <c r="E653" t="str">
        <f t="shared" si="43"/>
        <v/>
      </c>
      <c r="F653" s="16" t="str">
        <f t="shared" si="41"/>
        <v/>
      </c>
      <c r="G653" t="s">
        <v>926</v>
      </c>
    </row>
    <row r="654" spans="2:7" x14ac:dyDescent="0.25">
      <c r="B654" t="str">
        <f t="shared" si="42"/>
        <v/>
      </c>
      <c r="C654" s="16" t="str">
        <f t="shared" si="40"/>
        <v/>
      </c>
      <c r="D654" t="s">
        <v>926</v>
      </c>
      <c r="E654" t="str">
        <f t="shared" si="43"/>
        <v/>
      </c>
      <c r="F654" s="16" t="str">
        <f t="shared" si="41"/>
        <v/>
      </c>
      <c r="G654" t="s">
        <v>926</v>
      </c>
    </row>
    <row r="655" spans="2:7" x14ac:dyDescent="0.25">
      <c r="B655" t="str">
        <f t="shared" si="42"/>
        <v/>
      </c>
      <c r="C655" s="16" t="str">
        <f t="shared" si="40"/>
        <v/>
      </c>
      <c r="D655" t="s">
        <v>926</v>
      </c>
      <c r="E655" t="str">
        <f t="shared" si="43"/>
        <v/>
      </c>
      <c r="F655" s="16" t="str">
        <f t="shared" si="41"/>
        <v/>
      </c>
      <c r="G655" t="s">
        <v>926</v>
      </c>
    </row>
    <row r="656" spans="2:7" x14ac:dyDescent="0.25">
      <c r="B656" t="str">
        <f t="shared" si="42"/>
        <v/>
      </c>
      <c r="C656" s="16" t="str">
        <f t="shared" si="40"/>
        <v/>
      </c>
      <c r="D656" t="s">
        <v>926</v>
      </c>
      <c r="E656" t="str">
        <f t="shared" si="43"/>
        <v/>
      </c>
      <c r="F656" s="16" t="str">
        <f t="shared" si="41"/>
        <v/>
      </c>
      <c r="G656" t="s">
        <v>926</v>
      </c>
    </row>
    <row r="657" spans="2:7" x14ac:dyDescent="0.25">
      <c r="B657" t="str">
        <f t="shared" si="42"/>
        <v/>
      </c>
      <c r="C657" s="16" t="str">
        <f t="shared" si="40"/>
        <v/>
      </c>
      <c r="D657" t="s">
        <v>926</v>
      </c>
      <c r="E657" t="str">
        <f t="shared" si="43"/>
        <v/>
      </c>
      <c r="F657" s="16" t="str">
        <f t="shared" si="41"/>
        <v/>
      </c>
      <c r="G657" t="s">
        <v>926</v>
      </c>
    </row>
    <row r="658" spans="2:7" x14ac:dyDescent="0.25">
      <c r="B658" t="str">
        <f t="shared" si="42"/>
        <v/>
      </c>
      <c r="C658" s="16" t="str">
        <f t="shared" si="40"/>
        <v/>
      </c>
      <c r="D658" t="s">
        <v>926</v>
      </c>
      <c r="E658" t="str">
        <f t="shared" si="43"/>
        <v/>
      </c>
      <c r="F658" s="16" t="str">
        <f t="shared" si="41"/>
        <v/>
      </c>
      <c r="G658" t="s">
        <v>926</v>
      </c>
    </row>
    <row r="659" spans="2:7" x14ac:dyDescent="0.25">
      <c r="B659" t="str">
        <f t="shared" si="42"/>
        <v/>
      </c>
      <c r="C659" s="16" t="str">
        <f t="shared" si="40"/>
        <v/>
      </c>
      <c r="D659" t="s">
        <v>926</v>
      </c>
      <c r="E659" t="str">
        <f t="shared" si="43"/>
        <v/>
      </c>
      <c r="F659" s="16" t="str">
        <f t="shared" si="41"/>
        <v/>
      </c>
      <c r="G659" t="s">
        <v>926</v>
      </c>
    </row>
    <row r="660" spans="2:7" x14ac:dyDescent="0.25">
      <c r="B660" t="str">
        <f t="shared" si="42"/>
        <v/>
      </c>
      <c r="C660" s="16" t="str">
        <f t="shared" si="40"/>
        <v/>
      </c>
      <c r="D660" t="s">
        <v>926</v>
      </c>
      <c r="E660" t="str">
        <f t="shared" si="43"/>
        <v/>
      </c>
      <c r="F660" s="16" t="str">
        <f t="shared" si="41"/>
        <v/>
      </c>
      <c r="G660" t="s">
        <v>926</v>
      </c>
    </row>
    <row r="661" spans="2:7" x14ac:dyDescent="0.25">
      <c r="B661" t="str">
        <f t="shared" si="42"/>
        <v/>
      </c>
      <c r="C661" s="16" t="str">
        <f t="shared" si="40"/>
        <v/>
      </c>
      <c r="D661" t="s">
        <v>926</v>
      </c>
      <c r="E661" t="str">
        <f t="shared" si="43"/>
        <v/>
      </c>
      <c r="F661" s="16" t="str">
        <f t="shared" si="41"/>
        <v/>
      </c>
      <c r="G661" t="s">
        <v>926</v>
      </c>
    </row>
    <row r="662" spans="2:7" x14ac:dyDescent="0.25">
      <c r="B662" t="str">
        <f t="shared" si="42"/>
        <v/>
      </c>
      <c r="C662" s="16" t="str">
        <f t="shared" si="40"/>
        <v/>
      </c>
      <c r="D662" t="s">
        <v>926</v>
      </c>
      <c r="E662" t="str">
        <f t="shared" si="43"/>
        <v/>
      </c>
      <c r="F662" s="16" t="str">
        <f t="shared" si="41"/>
        <v/>
      </c>
      <c r="G662" t="s">
        <v>926</v>
      </c>
    </row>
    <row r="663" spans="2:7" x14ac:dyDescent="0.25">
      <c r="B663" t="str">
        <f t="shared" si="42"/>
        <v/>
      </c>
      <c r="C663" s="16" t="str">
        <f t="shared" si="40"/>
        <v/>
      </c>
      <c r="D663" t="s">
        <v>926</v>
      </c>
      <c r="E663" t="str">
        <f t="shared" si="43"/>
        <v/>
      </c>
      <c r="F663" s="16" t="str">
        <f t="shared" si="41"/>
        <v/>
      </c>
      <c r="G663" t="s">
        <v>926</v>
      </c>
    </row>
    <row r="664" spans="2:7" x14ac:dyDescent="0.25">
      <c r="B664" t="str">
        <f t="shared" si="42"/>
        <v/>
      </c>
      <c r="C664" s="16" t="str">
        <f t="shared" si="40"/>
        <v/>
      </c>
      <c r="D664" t="s">
        <v>926</v>
      </c>
      <c r="E664" t="str">
        <f t="shared" si="43"/>
        <v/>
      </c>
      <c r="F664" s="16" t="str">
        <f t="shared" si="41"/>
        <v/>
      </c>
      <c r="G664" t="s">
        <v>926</v>
      </c>
    </row>
    <row r="665" spans="2:7" x14ac:dyDescent="0.25">
      <c r="B665" t="str">
        <f t="shared" si="42"/>
        <v/>
      </c>
      <c r="C665" s="16" t="str">
        <f t="shared" si="40"/>
        <v/>
      </c>
      <c r="D665" t="s">
        <v>926</v>
      </c>
      <c r="E665" t="str">
        <f t="shared" si="43"/>
        <v/>
      </c>
      <c r="F665" s="16" t="str">
        <f t="shared" si="41"/>
        <v/>
      </c>
      <c r="G665" t="s">
        <v>926</v>
      </c>
    </row>
    <row r="666" spans="2:7" x14ac:dyDescent="0.25">
      <c r="B666" t="str">
        <f t="shared" si="42"/>
        <v/>
      </c>
      <c r="C666" s="16" t="str">
        <f t="shared" si="40"/>
        <v/>
      </c>
      <c r="D666" t="s">
        <v>926</v>
      </c>
      <c r="E666" t="str">
        <f t="shared" si="43"/>
        <v/>
      </c>
      <c r="F666" s="16" t="str">
        <f t="shared" si="41"/>
        <v/>
      </c>
      <c r="G666" t="s">
        <v>926</v>
      </c>
    </row>
    <row r="667" spans="2:7" x14ac:dyDescent="0.25">
      <c r="B667" t="str">
        <f t="shared" si="42"/>
        <v/>
      </c>
      <c r="C667" s="16" t="str">
        <f t="shared" si="40"/>
        <v/>
      </c>
      <c r="D667" t="s">
        <v>926</v>
      </c>
      <c r="E667" t="str">
        <f t="shared" si="43"/>
        <v/>
      </c>
      <c r="F667" s="16" t="str">
        <f t="shared" si="41"/>
        <v/>
      </c>
      <c r="G667" t="s">
        <v>926</v>
      </c>
    </row>
    <row r="668" spans="2:7" x14ac:dyDescent="0.25">
      <c r="B668" t="str">
        <f t="shared" si="42"/>
        <v/>
      </c>
      <c r="C668" s="16" t="str">
        <f t="shared" si="40"/>
        <v/>
      </c>
      <c r="D668" t="s">
        <v>926</v>
      </c>
      <c r="E668" t="str">
        <f t="shared" si="43"/>
        <v/>
      </c>
      <c r="F668" s="16" t="str">
        <f t="shared" si="41"/>
        <v/>
      </c>
      <c r="G668" t="s">
        <v>926</v>
      </c>
    </row>
    <row r="669" spans="2:7" x14ac:dyDescent="0.25">
      <c r="B669" t="str">
        <f t="shared" si="42"/>
        <v/>
      </c>
      <c r="C669" s="16" t="str">
        <f t="shared" si="40"/>
        <v/>
      </c>
      <c r="D669" t="s">
        <v>926</v>
      </c>
      <c r="E669" t="str">
        <f t="shared" si="43"/>
        <v/>
      </c>
      <c r="F669" s="16" t="str">
        <f t="shared" si="41"/>
        <v/>
      </c>
      <c r="G669" t="s">
        <v>926</v>
      </c>
    </row>
    <row r="670" spans="2:7" x14ac:dyDescent="0.25">
      <c r="B670" t="str">
        <f t="shared" si="42"/>
        <v/>
      </c>
      <c r="C670" s="16" t="str">
        <f t="shared" si="40"/>
        <v/>
      </c>
      <c r="D670" t="s">
        <v>926</v>
      </c>
      <c r="E670" t="str">
        <f t="shared" si="43"/>
        <v/>
      </c>
      <c r="F670" s="16" t="str">
        <f t="shared" si="41"/>
        <v/>
      </c>
      <c r="G670" t="s">
        <v>926</v>
      </c>
    </row>
    <row r="671" spans="2:7" x14ac:dyDescent="0.25">
      <c r="B671" t="str">
        <f t="shared" si="42"/>
        <v/>
      </c>
      <c r="C671" s="16" t="str">
        <f t="shared" si="40"/>
        <v/>
      </c>
      <c r="D671" t="s">
        <v>926</v>
      </c>
      <c r="E671" t="str">
        <f t="shared" si="43"/>
        <v/>
      </c>
      <c r="F671" s="16" t="str">
        <f t="shared" si="41"/>
        <v/>
      </c>
      <c r="G671" t="s">
        <v>926</v>
      </c>
    </row>
    <row r="672" spans="2:7" x14ac:dyDescent="0.25">
      <c r="B672" t="str">
        <f t="shared" si="42"/>
        <v/>
      </c>
      <c r="C672" s="16" t="str">
        <f t="shared" si="40"/>
        <v/>
      </c>
      <c r="D672" t="s">
        <v>926</v>
      </c>
      <c r="E672" t="str">
        <f t="shared" si="43"/>
        <v/>
      </c>
      <c r="F672" s="16" t="str">
        <f t="shared" si="41"/>
        <v/>
      </c>
      <c r="G672" t="s">
        <v>926</v>
      </c>
    </row>
    <row r="673" spans="2:7" x14ac:dyDescent="0.25">
      <c r="B673" t="str">
        <f t="shared" si="42"/>
        <v/>
      </c>
      <c r="C673" s="16" t="str">
        <f t="shared" si="40"/>
        <v/>
      </c>
      <c r="D673" t="s">
        <v>926</v>
      </c>
      <c r="E673" t="str">
        <f t="shared" si="43"/>
        <v/>
      </c>
      <c r="F673" s="16" t="str">
        <f t="shared" si="41"/>
        <v/>
      </c>
      <c r="G673" t="s">
        <v>926</v>
      </c>
    </row>
    <row r="674" spans="2:7" x14ac:dyDescent="0.25">
      <c r="B674" t="str">
        <f t="shared" si="42"/>
        <v/>
      </c>
      <c r="C674" s="16" t="str">
        <f t="shared" si="40"/>
        <v/>
      </c>
      <c r="D674" t="s">
        <v>926</v>
      </c>
      <c r="E674" t="str">
        <f t="shared" si="43"/>
        <v/>
      </c>
      <c r="F674" s="16" t="str">
        <f t="shared" si="41"/>
        <v/>
      </c>
      <c r="G674" t="s">
        <v>926</v>
      </c>
    </row>
    <row r="675" spans="2:7" x14ac:dyDescent="0.25">
      <c r="B675" t="str">
        <f t="shared" si="42"/>
        <v/>
      </c>
      <c r="C675" s="16" t="str">
        <f t="shared" si="40"/>
        <v/>
      </c>
      <c r="D675" t="s">
        <v>926</v>
      </c>
      <c r="E675" t="str">
        <f t="shared" si="43"/>
        <v/>
      </c>
      <c r="F675" s="16" t="str">
        <f t="shared" si="41"/>
        <v/>
      </c>
      <c r="G675" t="s">
        <v>926</v>
      </c>
    </row>
    <row r="676" spans="2:7" x14ac:dyDescent="0.25">
      <c r="B676" t="str">
        <f t="shared" si="42"/>
        <v/>
      </c>
      <c r="C676" s="16" t="str">
        <f t="shared" si="40"/>
        <v/>
      </c>
      <c r="D676" t="s">
        <v>926</v>
      </c>
      <c r="E676" t="str">
        <f t="shared" si="43"/>
        <v/>
      </c>
      <c r="F676" s="16" t="str">
        <f t="shared" si="41"/>
        <v/>
      </c>
      <c r="G676" t="s">
        <v>926</v>
      </c>
    </row>
    <row r="677" spans="2:7" x14ac:dyDescent="0.25">
      <c r="B677" t="str">
        <f t="shared" si="42"/>
        <v/>
      </c>
      <c r="C677" s="16" t="str">
        <f t="shared" si="40"/>
        <v/>
      </c>
      <c r="D677" t="s">
        <v>926</v>
      </c>
      <c r="E677" t="str">
        <f t="shared" si="43"/>
        <v/>
      </c>
      <c r="F677" s="16" t="str">
        <f t="shared" si="41"/>
        <v/>
      </c>
      <c r="G677" t="s">
        <v>926</v>
      </c>
    </row>
    <row r="678" spans="2:7" x14ac:dyDescent="0.25">
      <c r="B678" t="str">
        <f t="shared" si="42"/>
        <v/>
      </c>
      <c r="C678" s="16" t="str">
        <f t="shared" si="40"/>
        <v/>
      </c>
      <c r="D678" t="s">
        <v>926</v>
      </c>
      <c r="E678" t="str">
        <f t="shared" si="43"/>
        <v/>
      </c>
      <c r="F678" s="16" t="str">
        <f t="shared" si="41"/>
        <v/>
      </c>
      <c r="G678" t="s">
        <v>926</v>
      </c>
    </row>
    <row r="679" spans="2:7" x14ac:dyDescent="0.25">
      <c r="B679" t="str">
        <f t="shared" si="42"/>
        <v/>
      </c>
      <c r="C679" s="16" t="str">
        <f t="shared" si="40"/>
        <v/>
      </c>
      <c r="D679" t="s">
        <v>926</v>
      </c>
      <c r="E679" t="str">
        <f t="shared" si="43"/>
        <v/>
      </c>
      <c r="F679" s="16" t="str">
        <f t="shared" si="41"/>
        <v/>
      </c>
      <c r="G679" t="s">
        <v>926</v>
      </c>
    </row>
    <row r="680" spans="2:7" x14ac:dyDescent="0.25">
      <c r="B680" t="str">
        <f t="shared" si="42"/>
        <v/>
      </c>
      <c r="C680" s="16" t="str">
        <f t="shared" si="40"/>
        <v/>
      </c>
      <c r="D680" t="s">
        <v>926</v>
      </c>
      <c r="E680" t="str">
        <f t="shared" si="43"/>
        <v/>
      </c>
      <c r="F680" s="16" t="str">
        <f t="shared" si="41"/>
        <v/>
      </c>
      <c r="G680" t="s">
        <v>926</v>
      </c>
    </row>
    <row r="681" spans="2:7" x14ac:dyDescent="0.25">
      <c r="B681" t="str">
        <f t="shared" si="42"/>
        <v/>
      </c>
      <c r="C681" s="16" t="str">
        <f t="shared" si="40"/>
        <v/>
      </c>
      <c r="D681" t="s">
        <v>926</v>
      </c>
      <c r="E681" t="str">
        <f t="shared" si="43"/>
        <v/>
      </c>
      <c r="F681" s="16" t="str">
        <f t="shared" si="41"/>
        <v/>
      </c>
      <c r="G681" t="s">
        <v>926</v>
      </c>
    </row>
    <row r="682" spans="2:7" x14ac:dyDescent="0.25">
      <c r="B682" t="str">
        <f t="shared" si="42"/>
        <v/>
      </c>
      <c r="C682" s="16" t="str">
        <f t="shared" si="40"/>
        <v/>
      </c>
      <c r="D682" t="s">
        <v>926</v>
      </c>
      <c r="E682" t="str">
        <f t="shared" si="43"/>
        <v/>
      </c>
      <c r="F682" s="16" t="str">
        <f t="shared" si="41"/>
        <v/>
      </c>
      <c r="G682" t="s">
        <v>926</v>
      </c>
    </row>
    <row r="683" spans="2:7" x14ac:dyDescent="0.25">
      <c r="B683" t="str">
        <f t="shared" si="42"/>
        <v/>
      </c>
      <c r="C683" s="16" t="str">
        <f t="shared" si="40"/>
        <v/>
      </c>
      <c r="D683" t="s">
        <v>926</v>
      </c>
      <c r="E683" t="str">
        <f t="shared" si="43"/>
        <v/>
      </c>
      <c r="F683" s="16" t="str">
        <f t="shared" si="41"/>
        <v/>
      </c>
      <c r="G683" t="s">
        <v>926</v>
      </c>
    </row>
    <row r="684" spans="2:7" x14ac:dyDescent="0.25">
      <c r="B684" t="str">
        <f t="shared" si="42"/>
        <v/>
      </c>
      <c r="C684" s="16" t="str">
        <f t="shared" si="40"/>
        <v/>
      </c>
      <c r="D684" t="s">
        <v>926</v>
      </c>
      <c r="E684" t="str">
        <f t="shared" si="43"/>
        <v/>
      </c>
      <c r="F684" s="16" t="str">
        <f t="shared" si="41"/>
        <v/>
      </c>
      <c r="G684" t="s">
        <v>926</v>
      </c>
    </row>
    <row r="685" spans="2:7" x14ac:dyDescent="0.25">
      <c r="B685" t="str">
        <f t="shared" si="42"/>
        <v/>
      </c>
      <c r="C685" s="16" t="str">
        <f t="shared" si="40"/>
        <v/>
      </c>
      <c r="D685" t="s">
        <v>926</v>
      </c>
      <c r="E685" t="str">
        <f t="shared" si="43"/>
        <v/>
      </c>
      <c r="F685" s="16" t="str">
        <f t="shared" si="41"/>
        <v/>
      </c>
      <c r="G685" t="s">
        <v>926</v>
      </c>
    </row>
    <row r="686" spans="2:7" x14ac:dyDescent="0.25">
      <c r="B686" t="str">
        <f t="shared" si="42"/>
        <v/>
      </c>
      <c r="C686" s="16" t="str">
        <f t="shared" si="40"/>
        <v/>
      </c>
      <c r="D686" t="s">
        <v>926</v>
      </c>
      <c r="E686" t="str">
        <f t="shared" si="43"/>
        <v/>
      </c>
      <c r="F686" s="16" t="str">
        <f t="shared" si="41"/>
        <v/>
      </c>
      <c r="G686" t="s">
        <v>926</v>
      </c>
    </row>
    <row r="687" spans="2:7" x14ac:dyDescent="0.25">
      <c r="B687" t="str">
        <f t="shared" si="42"/>
        <v/>
      </c>
      <c r="C687" s="16" t="str">
        <f t="shared" si="40"/>
        <v/>
      </c>
      <c r="D687" t="s">
        <v>926</v>
      </c>
      <c r="E687" t="str">
        <f t="shared" si="43"/>
        <v/>
      </c>
      <c r="F687" s="16" t="str">
        <f t="shared" si="41"/>
        <v/>
      </c>
      <c r="G687" t="s">
        <v>926</v>
      </c>
    </row>
    <row r="688" spans="2:7" x14ac:dyDescent="0.25">
      <c r="B688" t="str">
        <f t="shared" si="42"/>
        <v/>
      </c>
      <c r="C688" s="16" t="str">
        <f t="shared" si="40"/>
        <v/>
      </c>
      <c r="D688" t="s">
        <v>926</v>
      </c>
      <c r="E688" t="str">
        <f t="shared" si="43"/>
        <v/>
      </c>
      <c r="F688" s="16" t="str">
        <f t="shared" si="41"/>
        <v/>
      </c>
      <c r="G688" t="s">
        <v>926</v>
      </c>
    </row>
    <row r="689" spans="2:7" x14ac:dyDescent="0.25">
      <c r="B689" t="str">
        <f t="shared" si="42"/>
        <v/>
      </c>
      <c r="C689" s="16" t="str">
        <f t="shared" si="40"/>
        <v/>
      </c>
      <c r="D689" t="s">
        <v>926</v>
      </c>
      <c r="E689" t="str">
        <f t="shared" si="43"/>
        <v/>
      </c>
      <c r="F689" s="16" t="str">
        <f t="shared" si="41"/>
        <v/>
      </c>
      <c r="G689" t="s">
        <v>926</v>
      </c>
    </row>
    <row r="690" spans="2:7" x14ac:dyDescent="0.25">
      <c r="B690" t="str">
        <f t="shared" si="42"/>
        <v/>
      </c>
      <c r="C690" s="16" t="str">
        <f t="shared" si="40"/>
        <v/>
      </c>
      <c r="D690" t="s">
        <v>926</v>
      </c>
      <c r="E690" t="str">
        <f t="shared" si="43"/>
        <v/>
      </c>
      <c r="F690" s="16" t="str">
        <f t="shared" si="41"/>
        <v/>
      </c>
      <c r="G690" t="s">
        <v>926</v>
      </c>
    </row>
    <row r="691" spans="2:7" x14ac:dyDescent="0.25">
      <c r="B691" t="str">
        <f t="shared" si="42"/>
        <v/>
      </c>
      <c r="C691" s="16" t="str">
        <f t="shared" si="40"/>
        <v/>
      </c>
      <c r="D691" t="s">
        <v>926</v>
      </c>
      <c r="E691" t="str">
        <f t="shared" si="43"/>
        <v/>
      </c>
      <c r="F691" s="16" t="str">
        <f t="shared" si="41"/>
        <v/>
      </c>
      <c r="G691" t="s">
        <v>926</v>
      </c>
    </row>
    <row r="692" spans="2:7" x14ac:dyDescent="0.25">
      <c r="B692" t="str">
        <f t="shared" si="42"/>
        <v/>
      </c>
      <c r="C692" s="16" t="str">
        <f t="shared" si="40"/>
        <v/>
      </c>
      <c r="D692" t="s">
        <v>926</v>
      </c>
      <c r="E692" t="str">
        <f t="shared" si="43"/>
        <v/>
      </c>
      <c r="F692" s="16" t="str">
        <f t="shared" si="41"/>
        <v/>
      </c>
      <c r="G692" t="s">
        <v>926</v>
      </c>
    </row>
    <row r="693" spans="2:7" x14ac:dyDescent="0.25">
      <c r="B693" t="str">
        <f t="shared" si="42"/>
        <v/>
      </c>
      <c r="C693" s="16" t="str">
        <f t="shared" si="40"/>
        <v/>
      </c>
      <c r="D693" t="s">
        <v>926</v>
      </c>
      <c r="E693" t="str">
        <f t="shared" si="43"/>
        <v/>
      </c>
      <c r="F693" s="16" t="str">
        <f t="shared" si="41"/>
        <v/>
      </c>
      <c r="G693" t="s">
        <v>926</v>
      </c>
    </row>
    <row r="694" spans="2:7" x14ac:dyDescent="0.25">
      <c r="B694" t="str">
        <f t="shared" si="42"/>
        <v/>
      </c>
      <c r="C694" s="16" t="str">
        <f t="shared" si="40"/>
        <v/>
      </c>
      <c r="D694" t="s">
        <v>926</v>
      </c>
      <c r="E694" t="str">
        <f t="shared" si="43"/>
        <v/>
      </c>
      <c r="F694" s="16" t="str">
        <f t="shared" si="41"/>
        <v/>
      </c>
      <c r="G694" t="s">
        <v>926</v>
      </c>
    </row>
    <row r="695" spans="2:7" x14ac:dyDescent="0.25">
      <c r="B695" t="str">
        <f t="shared" si="42"/>
        <v/>
      </c>
      <c r="C695" s="16" t="str">
        <f t="shared" si="40"/>
        <v/>
      </c>
      <c r="D695" t="s">
        <v>926</v>
      </c>
      <c r="E695" t="str">
        <f t="shared" si="43"/>
        <v/>
      </c>
      <c r="F695" s="16" t="str">
        <f t="shared" si="41"/>
        <v/>
      </c>
      <c r="G695" t="s">
        <v>926</v>
      </c>
    </row>
    <row r="696" spans="2:7" x14ac:dyDescent="0.25">
      <c r="B696" t="str">
        <f t="shared" si="42"/>
        <v/>
      </c>
      <c r="C696" s="16" t="str">
        <f t="shared" si="40"/>
        <v/>
      </c>
      <c r="D696" t="s">
        <v>926</v>
      </c>
      <c r="E696" t="str">
        <f t="shared" si="43"/>
        <v/>
      </c>
      <c r="F696" s="16" t="str">
        <f t="shared" si="41"/>
        <v/>
      </c>
      <c r="G696" t="s">
        <v>926</v>
      </c>
    </row>
    <row r="697" spans="2:7" x14ac:dyDescent="0.25">
      <c r="B697" t="str">
        <f t="shared" si="42"/>
        <v/>
      </c>
      <c r="C697" s="16" t="str">
        <f t="shared" si="40"/>
        <v/>
      </c>
      <c r="D697" t="s">
        <v>926</v>
      </c>
      <c r="E697" t="str">
        <f t="shared" si="43"/>
        <v/>
      </c>
      <c r="F697" s="16" t="str">
        <f t="shared" si="41"/>
        <v/>
      </c>
      <c r="G697" t="s">
        <v>926</v>
      </c>
    </row>
    <row r="698" spans="2:7" x14ac:dyDescent="0.25">
      <c r="B698" t="str">
        <f t="shared" si="42"/>
        <v/>
      </c>
      <c r="C698" s="16" t="str">
        <f t="shared" si="40"/>
        <v/>
      </c>
      <c r="D698" t="s">
        <v>926</v>
      </c>
      <c r="E698" t="str">
        <f t="shared" si="43"/>
        <v/>
      </c>
      <c r="F698" s="16" t="str">
        <f t="shared" si="41"/>
        <v/>
      </c>
      <c r="G698" t="s">
        <v>926</v>
      </c>
    </row>
    <row r="699" spans="2:7" x14ac:dyDescent="0.25">
      <c r="B699" t="str">
        <f t="shared" si="42"/>
        <v/>
      </c>
      <c r="C699" s="16" t="str">
        <f t="shared" si="40"/>
        <v/>
      </c>
      <c r="D699" t="s">
        <v>926</v>
      </c>
      <c r="E699" t="str">
        <f t="shared" si="43"/>
        <v/>
      </c>
      <c r="F699" s="16" t="str">
        <f t="shared" si="41"/>
        <v/>
      </c>
      <c r="G699" t="s">
        <v>926</v>
      </c>
    </row>
    <row r="700" spans="2:7" x14ac:dyDescent="0.25">
      <c r="B700" t="str">
        <f t="shared" si="42"/>
        <v/>
      </c>
      <c r="C700" s="16" t="str">
        <f t="shared" si="40"/>
        <v/>
      </c>
      <c r="D700" t="s">
        <v>926</v>
      </c>
      <c r="E700" t="str">
        <f t="shared" si="43"/>
        <v/>
      </c>
      <c r="F700" s="16" t="str">
        <f t="shared" si="41"/>
        <v/>
      </c>
      <c r="G700" t="s">
        <v>926</v>
      </c>
    </row>
    <row r="701" spans="2:7" x14ac:dyDescent="0.25">
      <c r="B701" t="str">
        <f t="shared" si="42"/>
        <v/>
      </c>
      <c r="C701" s="16" t="str">
        <f t="shared" si="40"/>
        <v/>
      </c>
      <c r="D701" t="s">
        <v>926</v>
      </c>
      <c r="E701" t="str">
        <f t="shared" si="43"/>
        <v/>
      </c>
      <c r="F701" s="16" t="str">
        <f t="shared" si="41"/>
        <v/>
      </c>
      <c r="G701" t="s">
        <v>926</v>
      </c>
    </row>
    <row r="702" spans="2:7" x14ac:dyDescent="0.25">
      <c r="B702" t="str">
        <f t="shared" si="42"/>
        <v/>
      </c>
      <c r="C702" s="16" t="str">
        <f t="shared" si="40"/>
        <v/>
      </c>
      <c r="D702" t="s">
        <v>926</v>
      </c>
      <c r="E702" t="str">
        <f t="shared" si="43"/>
        <v/>
      </c>
      <c r="F702" s="16" t="str">
        <f t="shared" si="41"/>
        <v/>
      </c>
      <c r="G702" t="s">
        <v>926</v>
      </c>
    </row>
    <row r="703" spans="2:7" x14ac:dyDescent="0.25">
      <c r="B703" t="str">
        <f t="shared" si="42"/>
        <v/>
      </c>
      <c r="C703" s="16" t="str">
        <f t="shared" si="40"/>
        <v/>
      </c>
      <c r="D703" t="s">
        <v>926</v>
      </c>
      <c r="E703" t="str">
        <f t="shared" si="43"/>
        <v/>
      </c>
      <c r="F703" s="16" t="str">
        <f t="shared" si="41"/>
        <v/>
      </c>
      <c r="G703" t="s">
        <v>926</v>
      </c>
    </row>
    <row r="704" spans="2:7" x14ac:dyDescent="0.25">
      <c r="B704" t="str">
        <f t="shared" si="42"/>
        <v/>
      </c>
      <c r="C704" s="16" t="str">
        <f t="shared" si="40"/>
        <v/>
      </c>
      <c r="D704" t="s">
        <v>926</v>
      </c>
      <c r="E704" t="str">
        <f t="shared" si="43"/>
        <v/>
      </c>
      <c r="F704" s="16" t="str">
        <f t="shared" si="41"/>
        <v/>
      </c>
      <c r="G704" t="s">
        <v>926</v>
      </c>
    </row>
    <row r="705" spans="2:7" x14ac:dyDescent="0.25">
      <c r="B705" t="str">
        <f t="shared" si="42"/>
        <v/>
      </c>
      <c r="C705" s="16" t="str">
        <f t="shared" si="40"/>
        <v/>
      </c>
      <c r="D705" t="s">
        <v>926</v>
      </c>
      <c r="E705" t="str">
        <f t="shared" si="43"/>
        <v/>
      </c>
      <c r="F705" s="16" t="str">
        <f t="shared" si="41"/>
        <v/>
      </c>
      <c r="G705" t="s">
        <v>926</v>
      </c>
    </row>
    <row r="706" spans="2:7" x14ac:dyDescent="0.25">
      <c r="B706" t="str">
        <f t="shared" si="42"/>
        <v/>
      </c>
      <c r="C706" s="16" t="str">
        <f t="shared" si="40"/>
        <v/>
      </c>
      <c r="D706" t="s">
        <v>926</v>
      </c>
      <c r="E706" t="str">
        <f t="shared" si="43"/>
        <v/>
      </c>
      <c r="F706" s="16" t="str">
        <f t="shared" si="41"/>
        <v/>
      </c>
      <c r="G706" t="s">
        <v>926</v>
      </c>
    </row>
    <row r="707" spans="2:7" x14ac:dyDescent="0.25">
      <c r="B707" t="str">
        <f t="shared" si="42"/>
        <v/>
      </c>
      <c r="C707" s="16" t="str">
        <f t="shared" ref="C707:C770" si="44">IF(ISERROR(VLOOKUP(B707,ImpComp,2,FALSE)),"",VLOOKUP(B707,ImpComp,2,FALSE))</f>
        <v/>
      </c>
      <c r="D707" t="s">
        <v>926</v>
      </c>
      <c r="E707" t="str">
        <f t="shared" si="43"/>
        <v/>
      </c>
      <c r="F707" s="16" t="str">
        <f t="shared" ref="F707:F770" si="45" xml:space="preserve"> IF(ISERROR(VLOOKUP(E707,Imp_IVA1,2,FALSE)),"",VLOOKUP(E707,Imp_IVA1,2,FALSE))&amp; IF(ISERROR(VLOOKUP(E707,Imp_IVA2,2,FALSE)),"",VLOOKUP(E707,Imp_IVA2,2,FALSE))</f>
        <v/>
      </c>
      <c r="G707" t="s">
        <v>926</v>
      </c>
    </row>
    <row r="708" spans="2:7" x14ac:dyDescent="0.25">
      <c r="B708" t="str">
        <f t="shared" si="42"/>
        <v/>
      </c>
      <c r="C708" s="16" t="str">
        <f t="shared" si="44"/>
        <v/>
      </c>
      <c r="D708" t="s">
        <v>926</v>
      </c>
      <c r="E708" t="str">
        <f t="shared" si="43"/>
        <v/>
      </c>
      <c r="F708" s="16" t="str">
        <f t="shared" si="45"/>
        <v/>
      </c>
      <c r="G708" t="s">
        <v>926</v>
      </c>
    </row>
    <row r="709" spans="2:7" x14ac:dyDescent="0.25">
      <c r="B709" t="str">
        <f t="shared" ref="B709:B772" si="46">IF(OR(B708=$B$2,B708=""),"",B708+1)</f>
        <v/>
      </c>
      <c r="C709" s="16" t="str">
        <f t="shared" si="44"/>
        <v/>
      </c>
      <c r="D709" t="s">
        <v>926</v>
      </c>
      <c r="E709" t="str">
        <f t="shared" ref="E709:E772" si="47">IF(OR(E708=$E$2,E708=""),"",E708+1)</f>
        <v/>
      </c>
      <c r="F709" s="16" t="str">
        <f t="shared" si="45"/>
        <v/>
      </c>
      <c r="G709" t="s">
        <v>926</v>
      </c>
    </row>
    <row r="710" spans="2:7" x14ac:dyDescent="0.25">
      <c r="B710" t="str">
        <f t="shared" si="46"/>
        <v/>
      </c>
      <c r="C710" s="16" t="str">
        <f t="shared" si="44"/>
        <v/>
      </c>
      <c r="D710" t="s">
        <v>926</v>
      </c>
      <c r="E710" t="str">
        <f t="shared" si="47"/>
        <v/>
      </c>
      <c r="F710" s="16" t="str">
        <f t="shared" si="45"/>
        <v/>
      </c>
      <c r="G710" t="s">
        <v>926</v>
      </c>
    </row>
    <row r="711" spans="2:7" x14ac:dyDescent="0.25">
      <c r="B711" t="str">
        <f t="shared" si="46"/>
        <v/>
      </c>
      <c r="C711" s="16" t="str">
        <f t="shared" si="44"/>
        <v/>
      </c>
      <c r="D711" t="s">
        <v>926</v>
      </c>
      <c r="E711" t="str">
        <f t="shared" si="47"/>
        <v/>
      </c>
      <c r="F711" s="16" t="str">
        <f t="shared" si="45"/>
        <v/>
      </c>
      <c r="G711" t="s">
        <v>926</v>
      </c>
    </row>
    <row r="712" spans="2:7" x14ac:dyDescent="0.25">
      <c r="B712" t="str">
        <f t="shared" si="46"/>
        <v/>
      </c>
      <c r="C712" s="16" t="str">
        <f t="shared" si="44"/>
        <v/>
      </c>
      <c r="D712" t="s">
        <v>926</v>
      </c>
      <c r="E712" t="str">
        <f t="shared" si="47"/>
        <v/>
      </c>
      <c r="F712" s="16" t="str">
        <f t="shared" si="45"/>
        <v/>
      </c>
      <c r="G712" t="s">
        <v>926</v>
      </c>
    </row>
    <row r="713" spans="2:7" x14ac:dyDescent="0.25">
      <c r="B713" t="str">
        <f t="shared" si="46"/>
        <v/>
      </c>
      <c r="C713" s="16" t="str">
        <f t="shared" si="44"/>
        <v/>
      </c>
      <c r="D713" t="s">
        <v>926</v>
      </c>
      <c r="E713" t="str">
        <f t="shared" si="47"/>
        <v/>
      </c>
      <c r="F713" s="16" t="str">
        <f t="shared" si="45"/>
        <v/>
      </c>
      <c r="G713" t="s">
        <v>926</v>
      </c>
    </row>
    <row r="714" spans="2:7" x14ac:dyDescent="0.25">
      <c r="B714" t="str">
        <f t="shared" si="46"/>
        <v/>
      </c>
      <c r="C714" s="16" t="str">
        <f t="shared" si="44"/>
        <v/>
      </c>
      <c r="D714" t="s">
        <v>926</v>
      </c>
      <c r="E714" t="str">
        <f t="shared" si="47"/>
        <v/>
      </c>
      <c r="F714" s="16" t="str">
        <f t="shared" si="45"/>
        <v/>
      </c>
      <c r="G714" t="s">
        <v>926</v>
      </c>
    </row>
    <row r="715" spans="2:7" x14ac:dyDescent="0.25">
      <c r="B715" t="str">
        <f t="shared" si="46"/>
        <v/>
      </c>
      <c r="C715" s="16" t="str">
        <f t="shared" si="44"/>
        <v/>
      </c>
      <c r="D715" t="s">
        <v>926</v>
      </c>
      <c r="E715" t="str">
        <f t="shared" si="47"/>
        <v/>
      </c>
      <c r="F715" s="16" t="str">
        <f t="shared" si="45"/>
        <v/>
      </c>
      <c r="G715" t="s">
        <v>926</v>
      </c>
    </row>
    <row r="716" spans="2:7" x14ac:dyDescent="0.25">
      <c r="B716" t="str">
        <f t="shared" si="46"/>
        <v/>
      </c>
      <c r="C716" s="16" t="str">
        <f t="shared" si="44"/>
        <v/>
      </c>
      <c r="D716" t="s">
        <v>926</v>
      </c>
      <c r="E716" t="str">
        <f t="shared" si="47"/>
        <v/>
      </c>
      <c r="F716" s="16" t="str">
        <f t="shared" si="45"/>
        <v/>
      </c>
      <c r="G716" t="s">
        <v>926</v>
      </c>
    </row>
    <row r="717" spans="2:7" x14ac:dyDescent="0.25">
      <c r="B717" t="str">
        <f t="shared" si="46"/>
        <v/>
      </c>
      <c r="C717" s="16" t="str">
        <f t="shared" si="44"/>
        <v/>
      </c>
      <c r="D717" t="s">
        <v>926</v>
      </c>
      <c r="E717" t="str">
        <f t="shared" si="47"/>
        <v/>
      </c>
      <c r="F717" s="16" t="str">
        <f t="shared" si="45"/>
        <v/>
      </c>
      <c r="G717" t="s">
        <v>926</v>
      </c>
    </row>
    <row r="718" spans="2:7" x14ac:dyDescent="0.25">
      <c r="B718" t="str">
        <f t="shared" si="46"/>
        <v/>
      </c>
      <c r="C718" s="16" t="str">
        <f t="shared" si="44"/>
        <v/>
      </c>
      <c r="D718" t="s">
        <v>926</v>
      </c>
      <c r="E718" t="str">
        <f t="shared" si="47"/>
        <v/>
      </c>
      <c r="F718" s="16" t="str">
        <f t="shared" si="45"/>
        <v/>
      </c>
      <c r="G718" t="s">
        <v>926</v>
      </c>
    </row>
    <row r="719" spans="2:7" x14ac:dyDescent="0.25">
      <c r="B719" t="str">
        <f t="shared" si="46"/>
        <v/>
      </c>
      <c r="C719" s="16" t="str">
        <f t="shared" si="44"/>
        <v/>
      </c>
      <c r="D719" t="s">
        <v>926</v>
      </c>
      <c r="E719" t="str">
        <f t="shared" si="47"/>
        <v/>
      </c>
      <c r="F719" s="16" t="str">
        <f t="shared" si="45"/>
        <v/>
      </c>
      <c r="G719" t="s">
        <v>926</v>
      </c>
    </row>
    <row r="720" spans="2:7" x14ac:dyDescent="0.25">
      <c r="B720" t="str">
        <f t="shared" si="46"/>
        <v/>
      </c>
      <c r="C720" s="16" t="str">
        <f t="shared" si="44"/>
        <v/>
      </c>
      <c r="D720" t="s">
        <v>926</v>
      </c>
      <c r="E720" t="str">
        <f t="shared" si="47"/>
        <v/>
      </c>
      <c r="F720" s="16" t="str">
        <f t="shared" si="45"/>
        <v/>
      </c>
      <c r="G720" t="s">
        <v>926</v>
      </c>
    </row>
    <row r="721" spans="2:7" x14ac:dyDescent="0.25">
      <c r="B721" t="str">
        <f t="shared" si="46"/>
        <v/>
      </c>
      <c r="C721" s="16" t="str">
        <f t="shared" si="44"/>
        <v/>
      </c>
      <c r="D721" t="s">
        <v>926</v>
      </c>
      <c r="E721" t="str">
        <f t="shared" si="47"/>
        <v/>
      </c>
      <c r="F721" s="16" t="str">
        <f t="shared" si="45"/>
        <v/>
      </c>
      <c r="G721" t="s">
        <v>926</v>
      </c>
    </row>
    <row r="722" spans="2:7" x14ac:dyDescent="0.25">
      <c r="B722" t="str">
        <f t="shared" si="46"/>
        <v/>
      </c>
      <c r="C722" s="16" t="str">
        <f t="shared" si="44"/>
        <v/>
      </c>
      <c r="D722" t="s">
        <v>926</v>
      </c>
      <c r="E722" t="str">
        <f t="shared" si="47"/>
        <v/>
      </c>
      <c r="F722" s="16" t="str">
        <f t="shared" si="45"/>
        <v/>
      </c>
      <c r="G722" t="s">
        <v>926</v>
      </c>
    </row>
    <row r="723" spans="2:7" x14ac:dyDescent="0.25">
      <c r="B723" t="str">
        <f t="shared" si="46"/>
        <v/>
      </c>
      <c r="C723" s="16" t="str">
        <f t="shared" si="44"/>
        <v/>
      </c>
      <c r="D723" t="s">
        <v>926</v>
      </c>
      <c r="E723" t="str">
        <f t="shared" si="47"/>
        <v/>
      </c>
      <c r="F723" s="16" t="str">
        <f t="shared" si="45"/>
        <v/>
      </c>
      <c r="G723" t="s">
        <v>926</v>
      </c>
    </row>
    <row r="724" spans="2:7" x14ac:dyDescent="0.25">
      <c r="B724" t="str">
        <f t="shared" si="46"/>
        <v/>
      </c>
      <c r="C724" s="16" t="str">
        <f t="shared" si="44"/>
        <v/>
      </c>
      <c r="D724" t="s">
        <v>926</v>
      </c>
      <c r="E724" t="str">
        <f t="shared" si="47"/>
        <v/>
      </c>
      <c r="F724" s="16" t="str">
        <f t="shared" si="45"/>
        <v/>
      </c>
      <c r="G724" t="s">
        <v>926</v>
      </c>
    </row>
    <row r="725" spans="2:7" x14ac:dyDescent="0.25">
      <c r="B725" t="str">
        <f t="shared" si="46"/>
        <v/>
      </c>
      <c r="C725" s="16" t="str">
        <f t="shared" si="44"/>
        <v/>
      </c>
      <c r="D725" t="s">
        <v>926</v>
      </c>
      <c r="E725" t="str">
        <f t="shared" si="47"/>
        <v/>
      </c>
      <c r="F725" s="16" t="str">
        <f t="shared" si="45"/>
        <v/>
      </c>
      <c r="G725" t="s">
        <v>926</v>
      </c>
    </row>
    <row r="726" spans="2:7" x14ac:dyDescent="0.25">
      <c r="B726" t="str">
        <f t="shared" si="46"/>
        <v/>
      </c>
      <c r="C726" s="16" t="str">
        <f t="shared" si="44"/>
        <v/>
      </c>
      <c r="D726" t="s">
        <v>926</v>
      </c>
      <c r="E726" t="str">
        <f t="shared" si="47"/>
        <v/>
      </c>
      <c r="F726" s="16" t="str">
        <f t="shared" si="45"/>
        <v/>
      </c>
      <c r="G726" t="s">
        <v>926</v>
      </c>
    </row>
    <row r="727" spans="2:7" x14ac:dyDescent="0.25">
      <c r="B727" t="str">
        <f t="shared" si="46"/>
        <v/>
      </c>
      <c r="C727" s="16" t="str">
        <f t="shared" si="44"/>
        <v/>
      </c>
      <c r="D727" t="s">
        <v>926</v>
      </c>
      <c r="E727" t="str">
        <f t="shared" si="47"/>
        <v/>
      </c>
      <c r="F727" s="16" t="str">
        <f t="shared" si="45"/>
        <v/>
      </c>
      <c r="G727" t="s">
        <v>926</v>
      </c>
    </row>
    <row r="728" spans="2:7" x14ac:dyDescent="0.25">
      <c r="B728" t="str">
        <f t="shared" si="46"/>
        <v/>
      </c>
      <c r="C728" s="16" t="str">
        <f t="shared" si="44"/>
        <v/>
      </c>
      <c r="D728" t="s">
        <v>926</v>
      </c>
      <c r="E728" t="str">
        <f t="shared" si="47"/>
        <v/>
      </c>
      <c r="F728" s="16" t="str">
        <f t="shared" si="45"/>
        <v/>
      </c>
      <c r="G728" t="s">
        <v>926</v>
      </c>
    </row>
    <row r="729" spans="2:7" x14ac:dyDescent="0.25">
      <c r="B729" t="str">
        <f t="shared" si="46"/>
        <v/>
      </c>
      <c r="C729" s="16" t="str">
        <f t="shared" si="44"/>
        <v/>
      </c>
      <c r="D729" t="s">
        <v>926</v>
      </c>
      <c r="E729" t="str">
        <f t="shared" si="47"/>
        <v/>
      </c>
      <c r="F729" s="16" t="str">
        <f t="shared" si="45"/>
        <v/>
      </c>
      <c r="G729" t="s">
        <v>926</v>
      </c>
    </row>
    <row r="730" spans="2:7" x14ac:dyDescent="0.25">
      <c r="B730" t="str">
        <f t="shared" si="46"/>
        <v/>
      </c>
      <c r="C730" s="16" t="str">
        <f t="shared" si="44"/>
        <v/>
      </c>
      <c r="D730" t="s">
        <v>926</v>
      </c>
      <c r="E730" t="str">
        <f t="shared" si="47"/>
        <v/>
      </c>
      <c r="F730" s="16" t="str">
        <f t="shared" si="45"/>
        <v/>
      </c>
      <c r="G730" t="s">
        <v>926</v>
      </c>
    </row>
    <row r="731" spans="2:7" x14ac:dyDescent="0.25">
      <c r="B731" t="str">
        <f t="shared" si="46"/>
        <v/>
      </c>
      <c r="C731" s="16" t="str">
        <f t="shared" si="44"/>
        <v/>
      </c>
      <c r="D731" t="s">
        <v>926</v>
      </c>
      <c r="E731" t="str">
        <f t="shared" si="47"/>
        <v/>
      </c>
      <c r="F731" s="16" t="str">
        <f t="shared" si="45"/>
        <v/>
      </c>
      <c r="G731" t="s">
        <v>926</v>
      </c>
    </row>
    <row r="732" spans="2:7" x14ac:dyDescent="0.25">
      <c r="B732" t="str">
        <f t="shared" si="46"/>
        <v/>
      </c>
      <c r="C732" s="16" t="str">
        <f t="shared" si="44"/>
        <v/>
      </c>
      <c r="D732" t="s">
        <v>926</v>
      </c>
      <c r="E732" t="str">
        <f t="shared" si="47"/>
        <v/>
      </c>
      <c r="F732" s="16" t="str">
        <f t="shared" si="45"/>
        <v/>
      </c>
      <c r="G732" t="s">
        <v>926</v>
      </c>
    </row>
    <row r="733" spans="2:7" x14ac:dyDescent="0.25">
      <c r="B733" t="str">
        <f t="shared" si="46"/>
        <v/>
      </c>
      <c r="C733" s="16" t="str">
        <f t="shared" si="44"/>
        <v/>
      </c>
      <c r="D733" t="s">
        <v>926</v>
      </c>
      <c r="E733" t="str">
        <f t="shared" si="47"/>
        <v/>
      </c>
      <c r="F733" s="16" t="str">
        <f t="shared" si="45"/>
        <v/>
      </c>
      <c r="G733" t="s">
        <v>926</v>
      </c>
    </row>
    <row r="734" spans="2:7" x14ac:dyDescent="0.25">
      <c r="B734" t="str">
        <f t="shared" si="46"/>
        <v/>
      </c>
      <c r="C734" s="16" t="str">
        <f t="shared" si="44"/>
        <v/>
      </c>
      <c r="D734" t="s">
        <v>926</v>
      </c>
      <c r="E734" t="str">
        <f t="shared" si="47"/>
        <v/>
      </c>
      <c r="F734" s="16" t="str">
        <f t="shared" si="45"/>
        <v/>
      </c>
      <c r="G734" t="s">
        <v>926</v>
      </c>
    </row>
    <row r="735" spans="2:7" x14ac:dyDescent="0.25">
      <c r="B735" t="str">
        <f t="shared" si="46"/>
        <v/>
      </c>
      <c r="C735" s="16" t="str">
        <f t="shared" si="44"/>
        <v/>
      </c>
      <c r="D735" t="s">
        <v>926</v>
      </c>
      <c r="E735" t="str">
        <f t="shared" si="47"/>
        <v/>
      </c>
      <c r="F735" s="16" t="str">
        <f t="shared" si="45"/>
        <v/>
      </c>
      <c r="G735" t="s">
        <v>926</v>
      </c>
    </row>
    <row r="736" spans="2:7" x14ac:dyDescent="0.25">
      <c r="B736" t="str">
        <f t="shared" si="46"/>
        <v/>
      </c>
      <c r="C736" s="16" t="str">
        <f t="shared" si="44"/>
        <v/>
      </c>
      <c r="D736" t="s">
        <v>926</v>
      </c>
      <c r="E736" t="str">
        <f t="shared" si="47"/>
        <v/>
      </c>
      <c r="F736" s="16" t="str">
        <f t="shared" si="45"/>
        <v/>
      </c>
      <c r="G736" t="s">
        <v>926</v>
      </c>
    </row>
    <row r="737" spans="2:7" x14ac:dyDescent="0.25">
      <c r="B737" t="str">
        <f t="shared" si="46"/>
        <v/>
      </c>
      <c r="C737" s="16" t="str">
        <f t="shared" si="44"/>
        <v/>
      </c>
      <c r="D737" t="s">
        <v>926</v>
      </c>
      <c r="E737" t="str">
        <f t="shared" si="47"/>
        <v/>
      </c>
      <c r="F737" s="16" t="str">
        <f t="shared" si="45"/>
        <v/>
      </c>
      <c r="G737" t="s">
        <v>926</v>
      </c>
    </row>
    <row r="738" spans="2:7" x14ac:dyDescent="0.25">
      <c r="B738" t="str">
        <f t="shared" si="46"/>
        <v/>
      </c>
      <c r="C738" s="16" t="str">
        <f t="shared" si="44"/>
        <v/>
      </c>
      <c r="D738" t="s">
        <v>926</v>
      </c>
      <c r="E738" t="str">
        <f t="shared" si="47"/>
        <v/>
      </c>
      <c r="F738" s="16" t="str">
        <f t="shared" si="45"/>
        <v/>
      </c>
      <c r="G738" t="s">
        <v>926</v>
      </c>
    </row>
    <row r="739" spans="2:7" x14ac:dyDescent="0.25">
      <c r="B739" t="str">
        <f t="shared" si="46"/>
        <v/>
      </c>
      <c r="C739" s="16" t="str">
        <f t="shared" si="44"/>
        <v/>
      </c>
      <c r="D739" t="s">
        <v>926</v>
      </c>
      <c r="E739" t="str">
        <f t="shared" si="47"/>
        <v/>
      </c>
      <c r="F739" s="16" t="str">
        <f t="shared" si="45"/>
        <v/>
      </c>
      <c r="G739" t="s">
        <v>926</v>
      </c>
    </row>
    <row r="740" spans="2:7" x14ac:dyDescent="0.25">
      <c r="B740" t="str">
        <f t="shared" si="46"/>
        <v/>
      </c>
      <c r="C740" s="16" t="str">
        <f t="shared" si="44"/>
        <v/>
      </c>
      <c r="D740" t="s">
        <v>926</v>
      </c>
      <c r="E740" t="str">
        <f t="shared" si="47"/>
        <v/>
      </c>
      <c r="F740" s="16" t="str">
        <f t="shared" si="45"/>
        <v/>
      </c>
      <c r="G740" t="s">
        <v>926</v>
      </c>
    </row>
    <row r="741" spans="2:7" x14ac:dyDescent="0.25">
      <c r="B741" t="str">
        <f t="shared" si="46"/>
        <v/>
      </c>
      <c r="C741" s="16" t="str">
        <f t="shared" si="44"/>
        <v/>
      </c>
      <c r="D741" t="s">
        <v>926</v>
      </c>
      <c r="E741" t="str">
        <f t="shared" si="47"/>
        <v/>
      </c>
      <c r="F741" s="16" t="str">
        <f t="shared" si="45"/>
        <v/>
      </c>
      <c r="G741" t="s">
        <v>926</v>
      </c>
    </row>
    <row r="742" spans="2:7" x14ac:dyDescent="0.25">
      <c r="B742" t="str">
        <f t="shared" si="46"/>
        <v/>
      </c>
      <c r="C742" s="16" t="str">
        <f t="shared" si="44"/>
        <v/>
      </c>
      <c r="D742" t="s">
        <v>926</v>
      </c>
      <c r="E742" t="str">
        <f t="shared" si="47"/>
        <v/>
      </c>
      <c r="F742" s="16" t="str">
        <f t="shared" si="45"/>
        <v/>
      </c>
      <c r="G742" t="s">
        <v>926</v>
      </c>
    </row>
    <row r="743" spans="2:7" x14ac:dyDescent="0.25">
      <c r="B743" t="str">
        <f t="shared" si="46"/>
        <v/>
      </c>
      <c r="C743" s="16" t="str">
        <f t="shared" si="44"/>
        <v/>
      </c>
      <c r="D743" t="s">
        <v>926</v>
      </c>
      <c r="E743" t="str">
        <f t="shared" si="47"/>
        <v/>
      </c>
      <c r="F743" s="16" t="str">
        <f t="shared" si="45"/>
        <v/>
      </c>
      <c r="G743" t="s">
        <v>926</v>
      </c>
    </row>
    <row r="744" spans="2:7" x14ac:dyDescent="0.25">
      <c r="B744" t="str">
        <f t="shared" si="46"/>
        <v/>
      </c>
      <c r="C744" s="16" t="str">
        <f t="shared" si="44"/>
        <v/>
      </c>
      <c r="D744" t="s">
        <v>926</v>
      </c>
      <c r="E744" t="str">
        <f t="shared" si="47"/>
        <v/>
      </c>
      <c r="F744" s="16" t="str">
        <f t="shared" si="45"/>
        <v/>
      </c>
      <c r="G744" t="s">
        <v>926</v>
      </c>
    </row>
    <row r="745" spans="2:7" x14ac:dyDescent="0.25">
      <c r="B745" t="str">
        <f t="shared" si="46"/>
        <v/>
      </c>
      <c r="C745" s="16" t="str">
        <f t="shared" si="44"/>
        <v/>
      </c>
      <c r="D745" t="s">
        <v>926</v>
      </c>
      <c r="E745" t="str">
        <f t="shared" si="47"/>
        <v/>
      </c>
      <c r="F745" s="16" t="str">
        <f t="shared" si="45"/>
        <v/>
      </c>
      <c r="G745" t="s">
        <v>926</v>
      </c>
    </row>
    <row r="746" spans="2:7" x14ac:dyDescent="0.25">
      <c r="B746" t="str">
        <f t="shared" si="46"/>
        <v/>
      </c>
      <c r="C746" s="16" t="str">
        <f t="shared" si="44"/>
        <v/>
      </c>
      <c r="D746" t="s">
        <v>926</v>
      </c>
      <c r="E746" t="str">
        <f t="shared" si="47"/>
        <v/>
      </c>
      <c r="F746" s="16" t="str">
        <f t="shared" si="45"/>
        <v/>
      </c>
      <c r="G746" t="s">
        <v>926</v>
      </c>
    </row>
    <row r="747" spans="2:7" x14ac:dyDescent="0.25">
      <c r="B747" t="str">
        <f t="shared" si="46"/>
        <v/>
      </c>
      <c r="C747" s="16" t="str">
        <f t="shared" si="44"/>
        <v/>
      </c>
      <c r="D747" t="s">
        <v>926</v>
      </c>
      <c r="E747" t="str">
        <f t="shared" si="47"/>
        <v/>
      </c>
      <c r="F747" s="16" t="str">
        <f t="shared" si="45"/>
        <v/>
      </c>
      <c r="G747" t="s">
        <v>926</v>
      </c>
    </row>
    <row r="748" spans="2:7" x14ac:dyDescent="0.25">
      <c r="B748" t="str">
        <f t="shared" si="46"/>
        <v/>
      </c>
      <c r="C748" s="16" t="str">
        <f t="shared" si="44"/>
        <v/>
      </c>
      <c r="D748" t="s">
        <v>926</v>
      </c>
      <c r="E748" t="str">
        <f t="shared" si="47"/>
        <v/>
      </c>
      <c r="F748" s="16" t="str">
        <f t="shared" si="45"/>
        <v/>
      </c>
      <c r="G748" t="s">
        <v>926</v>
      </c>
    </row>
    <row r="749" spans="2:7" x14ac:dyDescent="0.25">
      <c r="B749" t="str">
        <f t="shared" si="46"/>
        <v/>
      </c>
      <c r="C749" s="16" t="str">
        <f t="shared" si="44"/>
        <v/>
      </c>
      <c r="D749" t="s">
        <v>926</v>
      </c>
      <c r="E749" t="str">
        <f t="shared" si="47"/>
        <v/>
      </c>
      <c r="F749" s="16" t="str">
        <f t="shared" si="45"/>
        <v/>
      </c>
      <c r="G749" t="s">
        <v>926</v>
      </c>
    </row>
    <row r="750" spans="2:7" x14ac:dyDescent="0.25">
      <c r="B750" t="str">
        <f t="shared" si="46"/>
        <v/>
      </c>
      <c r="C750" s="16" t="str">
        <f t="shared" si="44"/>
        <v/>
      </c>
      <c r="D750" t="s">
        <v>926</v>
      </c>
      <c r="E750" t="str">
        <f t="shared" si="47"/>
        <v/>
      </c>
      <c r="F750" s="16" t="str">
        <f t="shared" si="45"/>
        <v/>
      </c>
      <c r="G750" t="s">
        <v>926</v>
      </c>
    </row>
    <row r="751" spans="2:7" x14ac:dyDescent="0.25">
      <c r="B751" t="str">
        <f t="shared" si="46"/>
        <v/>
      </c>
      <c r="C751" s="16" t="str">
        <f t="shared" si="44"/>
        <v/>
      </c>
      <c r="D751" t="s">
        <v>926</v>
      </c>
      <c r="E751" t="str">
        <f t="shared" si="47"/>
        <v/>
      </c>
      <c r="F751" s="16" t="str">
        <f t="shared" si="45"/>
        <v/>
      </c>
      <c r="G751" t="s">
        <v>926</v>
      </c>
    </row>
    <row r="752" spans="2:7" x14ac:dyDescent="0.25">
      <c r="B752" t="str">
        <f t="shared" si="46"/>
        <v/>
      </c>
      <c r="C752" s="16" t="str">
        <f t="shared" si="44"/>
        <v/>
      </c>
      <c r="D752" t="s">
        <v>926</v>
      </c>
      <c r="E752" t="str">
        <f t="shared" si="47"/>
        <v/>
      </c>
      <c r="F752" s="16" t="str">
        <f t="shared" si="45"/>
        <v/>
      </c>
      <c r="G752" t="s">
        <v>926</v>
      </c>
    </row>
    <row r="753" spans="2:7" x14ac:dyDescent="0.25">
      <c r="B753" t="str">
        <f t="shared" si="46"/>
        <v/>
      </c>
      <c r="C753" s="16" t="str">
        <f t="shared" si="44"/>
        <v/>
      </c>
      <c r="D753" t="s">
        <v>926</v>
      </c>
      <c r="E753" t="str">
        <f t="shared" si="47"/>
        <v/>
      </c>
      <c r="F753" s="16" t="str">
        <f t="shared" si="45"/>
        <v/>
      </c>
      <c r="G753" t="s">
        <v>926</v>
      </c>
    </row>
    <row r="754" spans="2:7" x14ac:dyDescent="0.25">
      <c r="B754" t="str">
        <f t="shared" si="46"/>
        <v/>
      </c>
      <c r="C754" s="16" t="str">
        <f t="shared" si="44"/>
        <v/>
      </c>
      <c r="D754" t="s">
        <v>926</v>
      </c>
      <c r="E754" t="str">
        <f t="shared" si="47"/>
        <v/>
      </c>
      <c r="F754" s="16" t="str">
        <f t="shared" si="45"/>
        <v/>
      </c>
      <c r="G754" t="s">
        <v>926</v>
      </c>
    </row>
    <row r="755" spans="2:7" x14ac:dyDescent="0.25">
      <c r="B755" t="str">
        <f t="shared" si="46"/>
        <v/>
      </c>
      <c r="C755" s="16" t="str">
        <f t="shared" si="44"/>
        <v/>
      </c>
      <c r="D755" t="s">
        <v>926</v>
      </c>
      <c r="E755" t="str">
        <f t="shared" si="47"/>
        <v/>
      </c>
      <c r="F755" s="16" t="str">
        <f t="shared" si="45"/>
        <v/>
      </c>
      <c r="G755" t="s">
        <v>926</v>
      </c>
    </row>
    <row r="756" spans="2:7" x14ac:dyDescent="0.25">
      <c r="B756" t="str">
        <f t="shared" si="46"/>
        <v/>
      </c>
      <c r="C756" s="16" t="str">
        <f t="shared" si="44"/>
        <v/>
      </c>
      <c r="D756" t="s">
        <v>926</v>
      </c>
      <c r="E756" t="str">
        <f t="shared" si="47"/>
        <v/>
      </c>
      <c r="F756" s="16" t="str">
        <f t="shared" si="45"/>
        <v/>
      </c>
      <c r="G756" t="s">
        <v>926</v>
      </c>
    </row>
    <row r="757" spans="2:7" x14ac:dyDescent="0.25">
      <c r="B757" t="str">
        <f t="shared" si="46"/>
        <v/>
      </c>
      <c r="C757" s="16" t="str">
        <f t="shared" si="44"/>
        <v/>
      </c>
      <c r="D757" t="s">
        <v>926</v>
      </c>
      <c r="E757" t="str">
        <f t="shared" si="47"/>
        <v/>
      </c>
      <c r="F757" s="16" t="str">
        <f t="shared" si="45"/>
        <v/>
      </c>
      <c r="G757" t="s">
        <v>926</v>
      </c>
    </row>
    <row r="758" spans="2:7" x14ac:dyDescent="0.25">
      <c r="B758" t="str">
        <f t="shared" si="46"/>
        <v/>
      </c>
      <c r="C758" s="16" t="str">
        <f t="shared" si="44"/>
        <v/>
      </c>
      <c r="D758" t="s">
        <v>926</v>
      </c>
      <c r="E758" t="str">
        <f t="shared" si="47"/>
        <v/>
      </c>
      <c r="F758" s="16" t="str">
        <f t="shared" si="45"/>
        <v/>
      </c>
      <c r="G758" t="s">
        <v>926</v>
      </c>
    </row>
    <row r="759" spans="2:7" x14ac:dyDescent="0.25">
      <c r="B759" t="str">
        <f t="shared" si="46"/>
        <v/>
      </c>
      <c r="C759" s="16" t="str">
        <f t="shared" si="44"/>
        <v/>
      </c>
      <c r="D759" t="s">
        <v>926</v>
      </c>
      <c r="E759" t="str">
        <f t="shared" si="47"/>
        <v/>
      </c>
      <c r="F759" s="16" t="str">
        <f t="shared" si="45"/>
        <v/>
      </c>
      <c r="G759" t="s">
        <v>926</v>
      </c>
    </row>
    <row r="760" spans="2:7" x14ac:dyDescent="0.25">
      <c r="B760" t="str">
        <f t="shared" si="46"/>
        <v/>
      </c>
      <c r="C760" s="16" t="str">
        <f t="shared" si="44"/>
        <v/>
      </c>
      <c r="D760" t="s">
        <v>926</v>
      </c>
      <c r="E760" t="str">
        <f t="shared" si="47"/>
        <v/>
      </c>
      <c r="F760" s="16" t="str">
        <f t="shared" si="45"/>
        <v/>
      </c>
      <c r="G760" t="s">
        <v>926</v>
      </c>
    </row>
    <row r="761" spans="2:7" x14ac:dyDescent="0.25">
      <c r="B761" t="str">
        <f t="shared" si="46"/>
        <v/>
      </c>
      <c r="C761" s="16" t="str">
        <f t="shared" si="44"/>
        <v/>
      </c>
      <c r="D761" t="s">
        <v>926</v>
      </c>
      <c r="E761" t="str">
        <f t="shared" si="47"/>
        <v/>
      </c>
      <c r="F761" s="16" t="str">
        <f t="shared" si="45"/>
        <v/>
      </c>
      <c r="G761" t="s">
        <v>926</v>
      </c>
    </row>
    <row r="762" spans="2:7" x14ac:dyDescent="0.25">
      <c r="B762" t="str">
        <f t="shared" si="46"/>
        <v/>
      </c>
      <c r="C762" s="16" t="str">
        <f t="shared" si="44"/>
        <v/>
      </c>
      <c r="D762" t="s">
        <v>926</v>
      </c>
      <c r="E762" t="str">
        <f t="shared" si="47"/>
        <v/>
      </c>
      <c r="F762" s="16" t="str">
        <f t="shared" si="45"/>
        <v/>
      </c>
      <c r="G762" t="s">
        <v>926</v>
      </c>
    </row>
    <row r="763" spans="2:7" x14ac:dyDescent="0.25">
      <c r="B763" t="str">
        <f t="shared" si="46"/>
        <v/>
      </c>
      <c r="C763" s="16" t="str">
        <f t="shared" si="44"/>
        <v/>
      </c>
      <c r="D763" t="s">
        <v>926</v>
      </c>
      <c r="E763" t="str">
        <f t="shared" si="47"/>
        <v/>
      </c>
      <c r="F763" s="16" t="str">
        <f t="shared" si="45"/>
        <v/>
      </c>
      <c r="G763" t="s">
        <v>926</v>
      </c>
    </row>
    <row r="764" spans="2:7" x14ac:dyDescent="0.25">
      <c r="B764" t="str">
        <f t="shared" si="46"/>
        <v/>
      </c>
      <c r="C764" s="16" t="str">
        <f t="shared" si="44"/>
        <v/>
      </c>
      <c r="D764" t="s">
        <v>926</v>
      </c>
      <c r="E764" t="str">
        <f t="shared" si="47"/>
        <v/>
      </c>
      <c r="F764" s="16" t="str">
        <f t="shared" si="45"/>
        <v/>
      </c>
      <c r="G764" t="s">
        <v>926</v>
      </c>
    </row>
    <row r="765" spans="2:7" x14ac:dyDescent="0.25">
      <c r="B765" t="str">
        <f t="shared" si="46"/>
        <v/>
      </c>
      <c r="C765" s="16" t="str">
        <f t="shared" si="44"/>
        <v/>
      </c>
      <c r="D765" t="s">
        <v>926</v>
      </c>
      <c r="E765" t="str">
        <f t="shared" si="47"/>
        <v/>
      </c>
      <c r="F765" s="16" t="str">
        <f t="shared" si="45"/>
        <v/>
      </c>
      <c r="G765" t="s">
        <v>926</v>
      </c>
    </row>
    <row r="766" spans="2:7" x14ac:dyDescent="0.25">
      <c r="B766" t="str">
        <f t="shared" si="46"/>
        <v/>
      </c>
      <c r="C766" s="16" t="str">
        <f t="shared" si="44"/>
        <v/>
      </c>
      <c r="D766" t="s">
        <v>926</v>
      </c>
      <c r="E766" t="str">
        <f t="shared" si="47"/>
        <v/>
      </c>
      <c r="F766" s="16" t="str">
        <f t="shared" si="45"/>
        <v/>
      </c>
      <c r="G766" t="s">
        <v>926</v>
      </c>
    </row>
    <row r="767" spans="2:7" x14ac:dyDescent="0.25">
      <c r="B767" t="str">
        <f t="shared" si="46"/>
        <v/>
      </c>
      <c r="C767" s="16" t="str">
        <f t="shared" si="44"/>
        <v/>
      </c>
      <c r="D767" t="s">
        <v>926</v>
      </c>
      <c r="E767" t="str">
        <f t="shared" si="47"/>
        <v/>
      </c>
      <c r="F767" s="16" t="str">
        <f t="shared" si="45"/>
        <v/>
      </c>
      <c r="G767" t="s">
        <v>926</v>
      </c>
    </row>
    <row r="768" spans="2:7" x14ac:dyDescent="0.25">
      <c r="B768" t="str">
        <f t="shared" si="46"/>
        <v/>
      </c>
      <c r="C768" s="16" t="str">
        <f t="shared" si="44"/>
        <v/>
      </c>
      <c r="D768" t="s">
        <v>926</v>
      </c>
      <c r="E768" t="str">
        <f t="shared" si="47"/>
        <v/>
      </c>
      <c r="F768" s="16" t="str">
        <f t="shared" si="45"/>
        <v/>
      </c>
      <c r="G768" t="s">
        <v>926</v>
      </c>
    </row>
    <row r="769" spans="2:7" x14ac:dyDescent="0.25">
      <c r="B769" t="str">
        <f t="shared" si="46"/>
        <v/>
      </c>
      <c r="C769" s="16" t="str">
        <f t="shared" si="44"/>
        <v/>
      </c>
      <c r="D769" t="s">
        <v>926</v>
      </c>
      <c r="E769" t="str">
        <f t="shared" si="47"/>
        <v/>
      </c>
      <c r="F769" s="16" t="str">
        <f t="shared" si="45"/>
        <v/>
      </c>
      <c r="G769" t="s">
        <v>926</v>
      </c>
    </row>
    <row r="770" spans="2:7" x14ac:dyDescent="0.25">
      <c r="B770" t="str">
        <f t="shared" si="46"/>
        <v/>
      </c>
      <c r="C770" s="16" t="str">
        <f t="shared" si="44"/>
        <v/>
      </c>
      <c r="D770" t="s">
        <v>926</v>
      </c>
      <c r="E770" t="str">
        <f t="shared" si="47"/>
        <v/>
      </c>
      <c r="F770" s="16" t="str">
        <f t="shared" si="45"/>
        <v/>
      </c>
      <c r="G770" t="s">
        <v>926</v>
      </c>
    </row>
    <row r="771" spans="2:7" x14ac:dyDescent="0.25">
      <c r="B771" t="str">
        <f t="shared" si="46"/>
        <v/>
      </c>
      <c r="C771" s="16" t="str">
        <f t="shared" ref="C771:C834" si="48">IF(ISERROR(VLOOKUP(B771,ImpComp,2,FALSE)),"",VLOOKUP(B771,ImpComp,2,FALSE))</f>
        <v/>
      </c>
      <c r="D771" t="s">
        <v>926</v>
      </c>
      <c r="E771" t="str">
        <f t="shared" si="47"/>
        <v/>
      </c>
      <c r="F771" s="16" t="str">
        <f t="shared" ref="F771:F834" si="49" xml:space="preserve"> IF(ISERROR(VLOOKUP(E771,Imp_IVA1,2,FALSE)),"",VLOOKUP(E771,Imp_IVA1,2,FALSE))&amp; IF(ISERROR(VLOOKUP(E771,Imp_IVA2,2,FALSE)),"",VLOOKUP(E771,Imp_IVA2,2,FALSE))</f>
        <v/>
      </c>
      <c r="G771" t="s">
        <v>926</v>
      </c>
    </row>
    <row r="772" spans="2:7" x14ac:dyDescent="0.25">
      <c r="B772" t="str">
        <f t="shared" si="46"/>
        <v/>
      </c>
      <c r="C772" s="16" t="str">
        <f t="shared" si="48"/>
        <v/>
      </c>
      <c r="D772" t="s">
        <v>926</v>
      </c>
      <c r="E772" t="str">
        <f t="shared" si="47"/>
        <v/>
      </c>
      <c r="F772" s="16" t="str">
        <f t="shared" si="49"/>
        <v/>
      </c>
      <c r="G772" t="s">
        <v>926</v>
      </c>
    </row>
    <row r="773" spans="2:7" x14ac:dyDescent="0.25">
      <c r="B773" t="str">
        <f t="shared" ref="B773:B836" si="50">IF(OR(B772=$B$2,B772=""),"",B772+1)</f>
        <v/>
      </c>
      <c r="C773" s="16" t="str">
        <f t="shared" si="48"/>
        <v/>
      </c>
      <c r="D773" t="s">
        <v>926</v>
      </c>
      <c r="E773" t="str">
        <f t="shared" ref="E773:E836" si="51">IF(OR(E772=$E$2,E772=""),"",E772+1)</f>
        <v/>
      </c>
      <c r="F773" s="16" t="str">
        <f t="shared" si="49"/>
        <v/>
      </c>
      <c r="G773" t="s">
        <v>926</v>
      </c>
    </row>
    <row r="774" spans="2:7" x14ac:dyDescent="0.25">
      <c r="B774" t="str">
        <f t="shared" si="50"/>
        <v/>
      </c>
      <c r="C774" s="16" t="str">
        <f t="shared" si="48"/>
        <v/>
      </c>
      <c r="D774" t="s">
        <v>926</v>
      </c>
      <c r="E774" t="str">
        <f t="shared" si="51"/>
        <v/>
      </c>
      <c r="F774" s="16" t="str">
        <f t="shared" si="49"/>
        <v/>
      </c>
      <c r="G774" t="s">
        <v>926</v>
      </c>
    </row>
    <row r="775" spans="2:7" x14ac:dyDescent="0.25">
      <c r="B775" t="str">
        <f t="shared" si="50"/>
        <v/>
      </c>
      <c r="C775" s="16" t="str">
        <f t="shared" si="48"/>
        <v/>
      </c>
      <c r="D775" t="s">
        <v>926</v>
      </c>
      <c r="E775" t="str">
        <f t="shared" si="51"/>
        <v/>
      </c>
      <c r="F775" s="16" t="str">
        <f t="shared" si="49"/>
        <v/>
      </c>
      <c r="G775" t="s">
        <v>926</v>
      </c>
    </row>
    <row r="776" spans="2:7" x14ac:dyDescent="0.25">
      <c r="B776" t="str">
        <f t="shared" si="50"/>
        <v/>
      </c>
      <c r="C776" s="16" t="str">
        <f t="shared" si="48"/>
        <v/>
      </c>
      <c r="D776" t="s">
        <v>926</v>
      </c>
      <c r="E776" t="str">
        <f t="shared" si="51"/>
        <v/>
      </c>
      <c r="F776" s="16" t="str">
        <f t="shared" si="49"/>
        <v/>
      </c>
      <c r="G776" t="s">
        <v>926</v>
      </c>
    </row>
    <row r="777" spans="2:7" x14ac:dyDescent="0.25">
      <c r="B777" t="str">
        <f t="shared" si="50"/>
        <v/>
      </c>
      <c r="C777" s="16" t="str">
        <f t="shared" si="48"/>
        <v/>
      </c>
      <c r="D777" t="s">
        <v>926</v>
      </c>
      <c r="E777" t="str">
        <f t="shared" si="51"/>
        <v/>
      </c>
      <c r="F777" s="16" t="str">
        <f t="shared" si="49"/>
        <v/>
      </c>
      <c r="G777" t="s">
        <v>926</v>
      </c>
    </row>
    <row r="778" spans="2:7" x14ac:dyDescent="0.25">
      <c r="B778" t="str">
        <f t="shared" si="50"/>
        <v/>
      </c>
      <c r="C778" s="16" t="str">
        <f t="shared" si="48"/>
        <v/>
      </c>
      <c r="D778" t="s">
        <v>926</v>
      </c>
      <c r="E778" t="str">
        <f t="shared" si="51"/>
        <v/>
      </c>
      <c r="F778" s="16" t="str">
        <f t="shared" si="49"/>
        <v/>
      </c>
      <c r="G778" t="s">
        <v>926</v>
      </c>
    </row>
    <row r="779" spans="2:7" x14ac:dyDescent="0.25">
      <c r="B779" t="str">
        <f t="shared" si="50"/>
        <v/>
      </c>
      <c r="C779" s="16" t="str">
        <f t="shared" si="48"/>
        <v/>
      </c>
      <c r="D779" t="s">
        <v>926</v>
      </c>
      <c r="E779" t="str">
        <f t="shared" si="51"/>
        <v/>
      </c>
      <c r="F779" s="16" t="str">
        <f t="shared" si="49"/>
        <v/>
      </c>
      <c r="G779" t="s">
        <v>926</v>
      </c>
    </row>
    <row r="780" spans="2:7" x14ac:dyDescent="0.25">
      <c r="B780" t="str">
        <f t="shared" si="50"/>
        <v/>
      </c>
      <c r="C780" s="16" t="str">
        <f t="shared" si="48"/>
        <v/>
      </c>
      <c r="D780" t="s">
        <v>926</v>
      </c>
      <c r="E780" t="str">
        <f t="shared" si="51"/>
        <v/>
      </c>
      <c r="F780" s="16" t="str">
        <f t="shared" si="49"/>
        <v/>
      </c>
      <c r="G780" t="s">
        <v>926</v>
      </c>
    </row>
    <row r="781" spans="2:7" x14ac:dyDescent="0.25">
      <c r="B781" t="str">
        <f t="shared" si="50"/>
        <v/>
      </c>
      <c r="C781" s="16" t="str">
        <f t="shared" si="48"/>
        <v/>
      </c>
      <c r="D781" t="s">
        <v>926</v>
      </c>
      <c r="E781" t="str">
        <f t="shared" si="51"/>
        <v/>
      </c>
      <c r="F781" s="16" t="str">
        <f t="shared" si="49"/>
        <v/>
      </c>
      <c r="G781" t="s">
        <v>926</v>
      </c>
    </row>
    <row r="782" spans="2:7" x14ac:dyDescent="0.25">
      <c r="B782" t="str">
        <f t="shared" si="50"/>
        <v/>
      </c>
      <c r="C782" s="16" t="str">
        <f t="shared" si="48"/>
        <v/>
      </c>
      <c r="D782" t="s">
        <v>926</v>
      </c>
      <c r="E782" t="str">
        <f t="shared" si="51"/>
        <v/>
      </c>
      <c r="F782" s="16" t="str">
        <f t="shared" si="49"/>
        <v/>
      </c>
      <c r="G782" t="s">
        <v>926</v>
      </c>
    </row>
    <row r="783" spans="2:7" x14ac:dyDescent="0.25">
      <c r="B783" t="str">
        <f t="shared" si="50"/>
        <v/>
      </c>
      <c r="C783" s="16" t="str">
        <f t="shared" si="48"/>
        <v/>
      </c>
      <c r="D783" t="s">
        <v>926</v>
      </c>
      <c r="E783" t="str">
        <f t="shared" si="51"/>
        <v/>
      </c>
      <c r="F783" s="16" t="str">
        <f t="shared" si="49"/>
        <v/>
      </c>
      <c r="G783" t="s">
        <v>926</v>
      </c>
    </row>
    <row r="784" spans="2:7" x14ac:dyDescent="0.25">
      <c r="B784" t="str">
        <f t="shared" si="50"/>
        <v/>
      </c>
      <c r="C784" s="16" t="str">
        <f t="shared" si="48"/>
        <v/>
      </c>
      <c r="D784" t="s">
        <v>926</v>
      </c>
      <c r="E784" t="str">
        <f t="shared" si="51"/>
        <v/>
      </c>
      <c r="F784" s="16" t="str">
        <f t="shared" si="49"/>
        <v/>
      </c>
      <c r="G784" t="s">
        <v>926</v>
      </c>
    </row>
    <row r="785" spans="2:7" x14ac:dyDescent="0.25">
      <c r="B785" t="str">
        <f t="shared" si="50"/>
        <v/>
      </c>
      <c r="C785" s="16" t="str">
        <f t="shared" si="48"/>
        <v/>
      </c>
      <c r="D785" t="s">
        <v>926</v>
      </c>
      <c r="E785" t="str">
        <f t="shared" si="51"/>
        <v/>
      </c>
      <c r="F785" s="16" t="str">
        <f t="shared" si="49"/>
        <v/>
      </c>
      <c r="G785" t="s">
        <v>926</v>
      </c>
    </row>
    <row r="786" spans="2:7" x14ac:dyDescent="0.25">
      <c r="B786" t="str">
        <f t="shared" si="50"/>
        <v/>
      </c>
      <c r="C786" s="16" t="str">
        <f t="shared" si="48"/>
        <v/>
      </c>
      <c r="D786" t="s">
        <v>926</v>
      </c>
      <c r="E786" t="str">
        <f t="shared" si="51"/>
        <v/>
      </c>
      <c r="F786" s="16" t="str">
        <f t="shared" si="49"/>
        <v/>
      </c>
      <c r="G786" t="s">
        <v>926</v>
      </c>
    </row>
    <row r="787" spans="2:7" x14ac:dyDescent="0.25">
      <c r="B787" t="str">
        <f t="shared" si="50"/>
        <v/>
      </c>
      <c r="C787" s="16" t="str">
        <f t="shared" si="48"/>
        <v/>
      </c>
      <c r="D787" t="s">
        <v>926</v>
      </c>
      <c r="E787" t="str">
        <f t="shared" si="51"/>
        <v/>
      </c>
      <c r="F787" s="16" t="str">
        <f t="shared" si="49"/>
        <v/>
      </c>
      <c r="G787" t="s">
        <v>926</v>
      </c>
    </row>
    <row r="788" spans="2:7" x14ac:dyDescent="0.25">
      <c r="B788" t="str">
        <f t="shared" si="50"/>
        <v/>
      </c>
      <c r="C788" s="16" t="str">
        <f t="shared" si="48"/>
        <v/>
      </c>
      <c r="D788" t="s">
        <v>926</v>
      </c>
      <c r="E788" t="str">
        <f t="shared" si="51"/>
        <v/>
      </c>
      <c r="F788" s="16" t="str">
        <f t="shared" si="49"/>
        <v/>
      </c>
      <c r="G788" t="s">
        <v>926</v>
      </c>
    </row>
    <row r="789" spans="2:7" x14ac:dyDescent="0.25">
      <c r="B789" t="str">
        <f t="shared" si="50"/>
        <v/>
      </c>
      <c r="C789" s="16" t="str">
        <f t="shared" si="48"/>
        <v/>
      </c>
      <c r="D789" t="s">
        <v>926</v>
      </c>
      <c r="E789" t="str">
        <f t="shared" si="51"/>
        <v/>
      </c>
      <c r="F789" s="16" t="str">
        <f t="shared" si="49"/>
        <v/>
      </c>
      <c r="G789" t="s">
        <v>926</v>
      </c>
    </row>
    <row r="790" spans="2:7" x14ac:dyDescent="0.25">
      <c r="B790" t="str">
        <f t="shared" si="50"/>
        <v/>
      </c>
      <c r="C790" s="16" t="str">
        <f t="shared" si="48"/>
        <v/>
      </c>
      <c r="D790" t="s">
        <v>926</v>
      </c>
      <c r="E790" t="str">
        <f t="shared" si="51"/>
        <v/>
      </c>
      <c r="F790" s="16" t="str">
        <f t="shared" si="49"/>
        <v/>
      </c>
      <c r="G790" t="s">
        <v>926</v>
      </c>
    </row>
    <row r="791" spans="2:7" x14ac:dyDescent="0.25">
      <c r="B791" t="str">
        <f t="shared" si="50"/>
        <v/>
      </c>
      <c r="C791" s="16" t="str">
        <f t="shared" si="48"/>
        <v/>
      </c>
      <c r="D791" t="s">
        <v>926</v>
      </c>
      <c r="E791" t="str">
        <f t="shared" si="51"/>
        <v/>
      </c>
      <c r="F791" s="16" t="str">
        <f t="shared" si="49"/>
        <v/>
      </c>
      <c r="G791" t="s">
        <v>926</v>
      </c>
    </row>
    <row r="792" spans="2:7" x14ac:dyDescent="0.25">
      <c r="B792" t="str">
        <f t="shared" si="50"/>
        <v/>
      </c>
      <c r="C792" s="16" t="str">
        <f t="shared" si="48"/>
        <v/>
      </c>
      <c r="D792" t="s">
        <v>926</v>
      </c>
      <c r="E792" t="str">
        <f t="shared" si="51"/>
        <v/>
      </c>
      <c r="F792" s="16" t="str">
        <f t="shared" si="49"/>
        <v/>
      </c>
      <c r="G792" t="s">
        <v>926</v>
      </c>
    </row>
    <row r="793" spans="2:7" x14ac:dyDescent="0.25">
      <c r="B793" t="str">
        <f t="shared" si="50"/>
        <v/>
      </c>
      <c r="C793" s="16" t="str">
        <f t="shared" si="48"/>
        <v/>
      </c>
      <c r="D793" t="s">
        <v>926</v>
      </c>
      <c r="E793" t="str">
        <f t="shared" si="51"/>
        <v/>
      </c>
      <c r="F793" s="16" t="str">
        <f t="shared" si="49"/>
        <v/>
      </c>
      <c r="G793" t="s">
        <v>926</v>
      </c>
    </row>
    <row r="794" spans="2:7" x14ac:dyDescent="0.25">
      <c r="B794" t="str">
        <f t="shared" si="50"/>
        <v/>
      </c>
      <c r="C794" s="16" t="str">
        <f t="shared" si="48"/>
        <v/>
      </c>
      <c r="D794" t="s">
        <v>926</v>
      </c>
      <c r="E794" t="str">
        <f t="shared" si="51"/>
        <v/>
      </c>
      <c r="F794" s="16" t="str">
        <f t="shared" si="49"/>
        <v/>
      </c>
      <c r="G794" t="s">
        <v>926</v>
      </c>
    </row>
    <row r="795" spans="2:7" x14ac:dyDescent="0.25">
      <c r="B795" t="str">
        <f t="shared" si="50"/>
        <v/>
      </c>
      <c r="C795" s="16" t="str">
        <f t="shared" si="48"/>
        <v/>
      </c>
      <c r="D795" t="s">
        <v>926</v>
      </c>
      <c r="E795" t="str">
        <f t="shared" si="51"/>
        <v/>
      </c>
      <c r="F795" s="16" t="str">
        <f t="shared" si="49"/>
        <v/>
      </c>
      <c r="G795" t="s">
        <v>926</v>
      </c>
    </row>
    <row r="796" spans="2:7" x14ac:dyDescent="0.25">
      <c r="B796" t="str">
        <f t="shared" si="50"/>
        <v/>
      </c>
      <c r="C796" s="16" t="str">
        <f t="shared" si="48"/>
        <v/>
      </c>
      <c r="D796" t="s">
        <v>926</v>
      </c>
      <c r="E796" t="str">
        <f t="shared" si="51"/>
        <v/>
      </c>
      <c r="F796" s="16" t="str">
        <f t="shared" si="49"/>
        <v/>
      </c>
      <c r="G796" t="s">
        <v>926</v>
      </c>
    </row>
    <row r="797" spans="2:7" x14ac:dyDescent="0.25">
      <c r="B797" t="str">
        <f t="shared" si="50"/>
        <v/>
      </c>
      <c r="C797" s="16" t="str">
        <f t="shared" si="48"/>
        <v/>
      </c>
      <c r="D797" t="s">
        <v>926</v>
      </c>
      <c r="E797" t="str">
        <f t="shared" si="51"/>
        <v/>
      </c>
      <c r="F797" s="16" t="str">
        <f t="shared" si="49"/>
        <v/>
      </c>
      <c r="G797" t="s">
        <v>926</v>
      </c>
    </row>
    <row r="798" spans="2:7" x14ac:dyDescent="0.25">
      <c r="B798" t="str">
        <f t="shared" si="50"/>
        <v/>
      </c>
      <c r="C798" s="16" t="str">
        <f t="shared" si="48"/>
        <v/>
      </c>
      <c r="D798" t="s">
        <v>926</v>
      </c>
      <c r="E798" t="str">
        <f t="shared" si="51"/>
        <v/>
      </c>
      <c r="F798" s="16" t="str">
        <f t="shared" si="49"/>
        <v/>
      </c>
      <c r="G798" t="s">
        <v>926</v>
      </c>
    </row>
    <row r="799" spans="2:7" x14ac:dyDescent="0.25">
      <c r="B799" t="str">
        <f t="shared" si="50"/>
        <v/>
      </c>
      <c r="C799" s="16" t="str">
        <f t="shared" si="48"/>
        <v/>
      </c>
      <c r="D799" t="s">
        <v>926</v>
      </c>
      <c r="E799" t="str">
        <f t="shared" si="51"/>
        <v/>
      </c>
      <c r="F799" s="16" t="str">
        <f t="shared" si="49"/>
        <v/>
      </c>
      <c r="G799" t="s">
        <v>926</v>
      </c>
    </row>
    <row r="800" spans="2:7" x14ac:dyDescent="0.25">
      <c r="B800" t="str">
        <f t="shared" si="50"/>
        <v/>
      </c>
      <c r="C800" s="16" t="str">
        <f t="shared" si="48"/>
        <v/>
      </c>
      <c r="D800" t="s">
        <v>926</v>
      </c>
      <c r="E800" t="str">
        <f t="shared" si="51"/>
        <v/>
      </c>
      <c r="F800" s="16" t="str">
        <f t="shared" si="49"/>
        <v/>
      </c>
      <c r="G800" t="s">
        <v>926</v>
      </c>
    </row>
    <row r="801" spans="2:7" x14ac:dyDescent="0.25">
      <c r="B801" t="str">
        <f t="shared" si="50"/>
        <v/>
      </c>
      <c r="C801" s="16" t="str">
        <f t="shared" si="48"/>
        <v/>
      </c>
      <c r="D801" t="s">
        <v>926</v>
      </c>
      <c r="E801" t="str">
        <f t="shared" si="51"/>
        <v/>
      </c>
      <c r="F801" s="16" t="str">
        <f t="shared" si="49"/>
        <v/>
      </c>
      <c r="G801" t="s">
        <v>926</v>
      </c>
    </row>
    <row r="802" spans="2:7" x14ac:dyDescent="0.25">
      <c r="B802" t="str">
        <f t="shared" si="50"/>
        <v/>
      </c>
      <c r="C802" s="16" t="str">
        <f t="shared" si="48"/>
        <v/>
      </c>
      <c r="D802" t="s">
        <v>926</v>
      </c>
      <c r="E802" t="str">
        <f t="shared" si="51"/>
        <v/>
      </c>
      <c r="F802" s="16" t="str">
        <f t="shared" si="49"/>
        <v/>
      </c>
      <c r="G802" t="s">
        <v>926</v>
      </c>
    </row>
    <row r="803" spans="2:7" x14ac:dyDescent="0.25">
      <c r="B803" t="str">
        <f t="shared" si="50"/>
        <v/>
      </c>
      <c r="C803" s="16" t="str">
        <f t="shared" si="48"/>
        <v/>
      </c>
      <c r="D803" t="s">
        <v>926</v>
      </c>
      <c r="E803" t="str">
        <f t="shared" si="51"/>
        <v/>
      </c>
      <c r="F803" s="16" t="str">
        <f t="shared" si="49"/>
        <v/>
      </c>
      <c r="G803" t="s">
        <v>926</v>
      </c>
    </row>
    <row r="804" spans="2:7" x14ac:dyDescent="0.25">
      <c r="B804" t="str">
        <f t="shared" si="50"/>
        <v/>
      </c>
      <c r="C804" s="16" t="str">
        <f t="shared" si="48"/>
        <v/>
      </c>
      <c r="D804" t="s">
        <v>926</v>
      </c>
      <c r="E804" t="str">
        <f t="shared" si="51"/>
        <v/>
      </c>
      <c r="F804" s="16" t="str">
        <f t="shared" si="49"/>
        <v/>
      </c>
      <c r="G804" t="s">
        <v>926</v>
      </c>
    </row>
    <row r="805" spans="2:7" x14ac:dyDescent="0.25">
      <c r="B805" t="str">
        <f t="shared" si="50"/>
        <v/>
      </c>
      <c r="C805" s="16" t="str">
        <f t="shared" si="48"/>
        <v/>
      </c>
      <c r="D805" t="s">
        <v>926</v>
      </c>
      <c r="E805" t="str">
        <f t="shared" si="51"/>
        <v/>
      </c>
      <c r="F805" s="16" t="str">
        <f t="shared" si="49"/>
        <v/>
      </c>
      <c r="G805" t="s">
        <v>926</v>
      </c>
    </row>
    <row r="806" spans="2:7" x14ac:dyDescent="0.25">
      <c r="B806" t="str">
        <f t="shared" si="50"/>
        <v/>
      </c>
      <c r="C806" s="16" t="str">
        <f t="shared" si="48"/>
        <v/>
      </c>
      <c r="D806" t="s">
        <v>926</v>
      </c>
      <c r="E806" t="str">
        <f t="shared" si="51"/>
        <v/>
      </c>
      <c r="F806" s="16" t="str">
        <f t="shared" si="49"/>
        <v/>
      </c>
      <c r="G806" t="s">
        <v>926</v>
      </c>
    </row>
    <row r="807" spans="2:7" x14ac:dyDescent="0.25">
      <c r="B807" t="str">
        <f t="shared" si="50"/>
        <v/>
      </c>
      <c r="C807" s="16" t="str">
        <f t="shared" si="48"/>
        <v/>
      </c>
      <c r="D807" t="s">
        <v>926</v>
      </c>
      <c r="E807" t="str">
        <f t="shared" si="51"/>
        <v/>
      </c>
      <c r="F807" s="16" t="str">
        <f t="shared" si="49"/>
        <v/>
      </c>
      <c r="G807" t="s">
        <v>926</v>
      </c>
    </row>
    <row r="808" spans="2:7" x14ac:dyDescent="0.25">
      <c r="B808" t="str">
        <f t="shared" si="50"/>
        <v/>
      </c>
      <c r="C808" s="16" t="str">
        <f t="shared" si="48"/>
        <v/>
      </c>
      <c r="D808" t="s">
        <v>926</v>
      </c>
      <c r="E808" t="str">
        <f t="shared" si="51"/>
        <v/>
      </c>
      <c r="F808" s="16" t="str">
        <f t="shared" si="49"/>
        <v/>
      </c>
      <c r="G808" t="s">
        <v>926</v>
      </c>
    </row>
    <row r="809" spans="2:7" x14ac:dyDescent="0.25">
      <c r="B809" t="str">
        <f t="shared" si="50"/>
        <v/>
      </c>
      <c r="C809" s="16" t="str">
        <f t="shared" si="48"/>
        <v/>
      </c>
      <c r="D809" t="s">
        <v>926</v>
      </c>
      <c r="E809" t="str">
        <f t="shared" si="51"/>
        <v/>
      </c>
      <c r="F809" s="16" t="str">
        <f t="shared" si="49"/>
        <v/>
      </c>
      <c r="G809" t="s">
        <v>926</v>
      </c>
    </row>
    <row r="810" spans="2:7" x14ac:dyDescent="0.25">
      <c r="B810" t="str">
        <f t="shared" si="50"/>
        <v/>
      </c>
      <c r="C810" s="16" t="str">
        <f t="shared" si="48"/>
        <v/>
      </c>
      <c r="D810" t="s">
        <v>926</v>
      </c>
      <c r="E810" t="str">
        <f t="shared" si="51"/>
        <v/>
      </c>
      <c r="F810" s="16" t="str">
        <f t="shared" si="49"/>
        <v/>
      </c>
      <c r="G810" t="s">
        <v>926</v>
      </c>
    </row>
    <row r="811" spans="2:7" x14ac:dyDescent="0.25">
      <c r="B811" t="str">
        <f t="shared" si="50"/>
        <v/>
      </c>
      <c r="C811" s="16" t="str">
        <f t="shared" si="48"/>
        <v/>
      </c>
      <c r="D811" t="s">
        <v>926</v>
      </c>
      <c r="E811" t="str">
        <f t="shared" si="51"/>
        <v/>
      </c>
      <c r="F811" s="16" t="str">
        <f t="shared" si="49"/>
        <v/>
      </c>
      <c r="G811" t="s">
        <v>926</v>
      </c>
    </row>
    <row r="812" spans="2:7" x14ac:dyDescent="0.25">
      <c r="B812" t="str">
        <f t="shared" si="50"/>
        <v/>
      </c>
      <c r="C812" s="16" t="str">
        <f t="shared" si="48"/>
        <v/>
      </c>
      <c r="D812" t="s">
        <v>926</v>
      </c>
      <c r="E812" t="str">
        <f t="shared" si="51"/>
        <v/>
      </c>
      <c r="F812" s="16" t="str">
        <f t="shared" si="49"/>
        <v/>
      </c>
      <c r="G812" t="s">
        <v>926</v>
      </c>
    </row>
    <row r="813" spans="2:7" x14ac:dyDescent="0.25">
      <c r="B813" t="str">
        <f t="shared" si="50"/>
        <v/>
      </c>
      <c r="C813" s="16" t="str">
        <f t="shared" si="48"/>
        <v/>
      </c>
      <c r="D813" t="s">
        <v>926</v>
      </c>
      <c r="E813" t="str">
        <f t="shared" si="51"/>
        <v/>
      </c>
      <c r="F813" s="16" t="str">
        <f t="shared" si="49"/>
        <v/>
      </c>
      <c r="G813" t="s">
        <v>926</v>
      </c>
    </row>
    <row r="814" spans="2:7" x14ac:dyDescent="0.25">
      <c r="B814" t="str">
        <f t="shared" si="50"/>
        <v/>
      </c>
      <c r="C814" s="16" t="str">
        <f t="shared" si="48"/>
        <v/>
      </c>
      <c r="D814" t="s">
        <v>926</v>
      </c>
      <c r="E814" t="str">
        <f t="shared" si="51"/>
        <v/>
      </c>
      <c r="F814" s="16" t="str">
        <f t="shared" si="49"/>
        <v/>
      </c>
      <c r="G814" t="s">
        <v>926</v>
      </c>
    </row>
    <row r="815" spans="2:7" x14ac:dyDescent="0.25">
      <c r="B815" t="str">
        <f t="shared" si="50"/>
        <v/>
      </c>
      <c r="C815" s="16" t="str">
        <f t="shared" si="48"/>
        <v/>
      </c>
      <c r="D815" t="s">
        <v>926</v>
      </c>
      <c r="E815" t="str">
        <f t="shared" si="51"/>
        <v/>
      </c>
      <c r="F815" s="16" t="str">
        <f t="shared" si="49"/>
        <v/>
      </c>
      <c r="G815" t="s">
        <v>926</v>
      </c>
    </row>
    <row r="816" spans="2:7" x14ac:dyDescent="0.25">
      <c r="B816" t="str">
        <f t="shared" si="50"/>
        <v/>
      </c>
      <c r="C816" s="16" t="str">
        <f t="shared" si="48"/>
        <v/>
      </c>
      <c r="D816" t="s">
        <v>926</v>
      </c>
      <c r="E816" t="str">
        <f t="shared" si="51"/>
        <v/>
      </c>
      <c r="F816" s="16" t="str">
        <f t="shared" si="49"/>
        <v/>
      </c>
      <c r="G816" t="s">
        <v>926</v>
      </c>
    </row>
    <row r="817" spans="2:7" x14ac:dyDescent="0.25">
      <c r="B817" t="str">
        <f t="shared" si="50"/>
        <v/>
      </c>
      <c r="C817" s="16" t="str">
        <f t="shared" si="48"/>
        <v/>
      </c>
      <c r="D817" t="s">
        <v>926</v>
      </c>
      <c r="E817" t="str">
        <f t="shared" si="51"/>
        <v/>
      </c>
      <c r="F817" s="16" t="str">
        <f t="shared" si="49"/>
        <v/>
      </c>
      <c r="G817" t="s">
        <v>926</v>
      </c>
    </row>
    <row r="818" spans="2:7" x14ac:dyDescent="0.25">
      <c r="B818" t="str">
        <f t="shared" si="50"/>
        <v/>
      </c>
      <c r="C818" s="16" t="str">
        <f t="shared" si="48"/>
        <v/>
      </c>
      <c r="D818" t="s">
        <v>926</v>
      </c>
      <c r="E818" t="str">
        <f t="shared" si="51"/>
        <v/>
      </c>
      <c r="F818" s="16" t="str">
        <f t="shared" si="49"/>
        <v/>
      </c>
      <c r="G818" t="s">
        <v>926</v>
      </c>
    </row>
    <row r="819" spans="2:7" x14ac:dyDescent="0.25">
      <c r="B819" t="str">
        <f t="shared" si="50"/>
        <v/>
      </c>
      <c r="C819" s="16" t="str">
        <f t="shared" si="48"/>
        <v/>
      </c>
      <c r="D819" t="s">
        <v>926</v>
      </c>
      <c r="E819" t="str">
        <f t="shared" si="51"/>
        <v/>
      </c>
      <c r="F819" s="16" t="str">
        <f t="shared" si="49"/>
        <v/>
      </c>
      <c r="G819" t="s">
        <v>926</v>
      </c>
    </row>
    <row r="820" spans="2:7" x14ac:dyDescent="0.25">
      <c r="B820" t="str">
        <f t="shared" si="50"/>
        <v/>
      </c>
      <c r="C820" s="16" t="str">
        <f t="shared" si="48"/>
        <v/>
      </c>
      <c r="D820" t="s">
        <v>926</v>
      </c>
      <c r="E820" t="str">
        <f t="shared" si="51"/>
        <v/>
      </c>
      <c r="F820" s="16" t="str">
        <f t="shared" si="49"/>
        <v/>
      </c>
      <c r="G820" t="s">
        <v>926</v>
      </c>
    </row>
    <row r="821" spans="2:7" x14ac:dyDescent="0.25">
      <c r="B821" t="str">
        <f t="shared" si="50"/>
        <v/>
      </c>
      <c r="C821" s="16" t="str">
        <f t="shared" si="48"/>
        <v/>
      </c>
      <c r="D821" t="s">
        <v>926</v>
      </c>
      <c r="E821" t="str">
        <f t="shared" si="51"/>
        <v/>
      </c>
      <c r="F821" s="16" t="str">
        <f t="shared" si="49"/>
        <v/>
      </c>
      <c r="G821" t="s">
        <v>926</v>
      </c>
    </row>
    <row r="822" spans="2:7" x14ac:dyDescent="0.25">
      <c r="B822" t="str">
        <f t="shared" si="50"/>
        <v/>
      </c>
      <c r="C822" s="16" t="str">
        <f t="shared" si="48"/>
        <v/>
      </c>
      <c r="D822" t="s">
        <v>926</v>
      </c>
      <c r="E822" t="str">
        <f t="shared" si="51"/>
        <v/>
      </c>
      <c r="F822" s="16" t="str">
        <f t="shared" si="49"/>
        <v/>
      </c>
      <c r="G822" t="s">
        <v>926</v>
      </c>
    </row>
    <row r="823" spans="2:7" x14ac:dyDescent="0.25">
      <c r="B823" t="str">
        <f t="shared" si="50"/>
        <v/>
      </c>
      <c r="C823" s="16" t="str">
        <f t="shared" si="48"/>
        <v/>
      </c>
      <c r="D823" t="s">
        <v>926</v>
      </c>
      <c r="E823" t="str">
        <f t="shared" si="51"/>
        <v/>
      </c>
      <c r="F823" s="16" t="str">
        <f t="shared" si="49"/>
        <v/>
      </c>
      <c r="G823" t="s">
        <v>926</v>
      </c>
    </row>
    <row r="824" spans="2:7" x14ac:dyDescent="0.25">
      <c r="B824" t="str">
        <f t="shared" si="50"/>
        <v/>
      </c>
      <c r="C824" s="16" t="str">
        <f t="shared" si="48"/>
        <v/>
      </c>
      <c r="D824" t="s">
        <v>926</v>
      </c>
      <c r="E824" t="str">
        <f t="shared" si="51"/>
        <v/>
      </c>
      <c r="F824" s="16" t="str">
        <f t="shared" si="49"/>
        <v/>
      </c>
      <c r="G824" t="s">
        <v>926</v>
      </c>
    </row>
    <row r="825" spans="2:7" x14ac:dyDescent="0.25">
      <c r="B825" t="str">
        <f t="shared" si="50"/>
        <v/>
      </c>
      <c r="C825" s="16" t="str">
        <f t="shared" si="48"/>
        <v/>
      </c>
      <c r="D825" t="s">
        <v>926</v>
      </c>
      <c r="E825" t="str">
        <f t="shared" si="51"/>
        <v/>
      </c>
      <c r="F825" s="16" t="str">
        <f t="shared" si="49"/>
        <v/>
      </c>
      <c r="G825" t="s">
        <v>926</v>
      </c>
    </row>
    <row r="826" spans="2:7" x14ac:dyDescent="0.25">
      <c r="B826" t="str">
        <f t="shared" si="50"/>
        <v/>
      </c>
      <c r="C826" s="16" t="str">
        <f t="shared" si="48"/>
        <v/>
      </c>
      <c r="D826" t="s">
        <v>926</v>
      </c>
      <c r="E826" t="str">
        <f t="shared" si="51"/>
        <v/>
      </c>
      <c r="F826" s="16" t="str">
        <f t="shared" si="49"/>
        <v/>
      </c>
      <c r="G826" t="s">
        <v>926</v>
      </c>
    </row>
    <row r="827" spans="2:7" x14ac:dyDescent="0.25">
      <c r="B827" t="str">
        <f t="shared" si="50"/>
        <v/>
      </c>
      <c r="C827" s="16" t="str">
        <f t="shared" si="48"/>
        <v/>
      </c>
      <c r="D827" t="s">
        <v>926</v>
      </c>
      <c r="E827" t="str">
        <f t="shared" si="51"/>
        <v/>
      </c>
      <c r="F827" s="16" t="str">
        <f t="shared" si="49"/>
        <v/>
      </c>
      <c r="G827" t="s">
        <v>926</v>
      </c>
    </row>
    <row r="828" spans="2:7" x14ac:dyDescent="0.25">
      <c r="B828" t="str">
        <f t="shared" si="50"/>
        <v/>
      </c>
      <c r="C828" s="16" t="str">
        <f t="shared" si="48"/>
        <v/>
      </c>
      <c r="D828" t="s">
        <v>926</v>
      </c>
      <c r="E828" t="str">
        <f t="shared" si="51"/>
        <v/>
      </c>
      <c r="F828" s="16" t="str">
        <f t="shared" si="49"/>
        <v/>
      </c>
      <c r="G828" t="s">
        <v>926</v>
      </c>
    </row>
    <row r="829" spans="2:7" x14ac:dyDescent="0.25">
      <c r="B829" t="str">
        <f t="shared" si="50"/>
        <v/>
      </c>
      <c r="C829" s="16" t="str">
        <f t="shared" si="48"/>
        <v/>
      </c>
      <c r="D829" t="s">
        <v>926</v>
      </c>
      <c r="E829" t="str">
        <f t="shared" si="51"/>
        <v/>
      </c>
      <c r="F829" s="16" t="str">
        <f t="shared" si="49"/>
        <v/>
      </c>
      <c r="G829" t="s">
        <v>926</v>
      </c>
    </row>
    <row r="830" spans="2:7" x14ac:dyDescent="0.25">
      <c r="B830" t="str">
        <f t="shared" si="50"/>
        <v/>
      </c>
      <c r="C830" s="16" t="str">
        <f t="shared" si="48"/>
        <v/>
      </c>
      <c r="D830" t="s">
        <v>926</v>
      </c>
      <c r="E830" t="str">
        <f t="shared" si="51"/>
        <v/>
      </c>
      <c r="F830" s="16" t="str">
        <f t="shared" si="49"/>
        <v/>
      </c>
      <c r="G830" t="s">
        <v>926</v>
      </c>
    </row>
    <row r="831" spans="2:7" x14ac:dyDescent="0.25">
      <c r="B831" t="str">
        <f t="shared" si="50"/>
        <v/>
      </c>
      <c r="C831" s="16" t="str">
        <f t="shared" si="48"/>
        <v/>
      </c>
      <c r="D831" t="s">
        <v>926</v>
      </c>
      <c r="E831" t="str">
        <f t="shared" si="51"/>
        <v/>
      </c>
      <c r="F831" s="16" t="str">
        <f t="shared" si="49"/>
        <v/>
      </c>
      <c r="G831" t="s">
        <v>926</v>
      </c>
    </row>
    <row r="832" spans="2:7" x14ac:dyDescent="0.25">
      <c r="B832" t="str">
        <f t="shared" si="50"/>
        <v/>
      </c>
      <c r="C832" s="16" t="str">
        <f t="shared" si="48"/>
        <v/>
      </c>
      <c r="D832" t="s">
        <v>926</v>
      </c>
      <c r="E832" t="str">
        <f t="shared" si="51"/>
        <v/>
      </c>
      <c r="F832" s="16" t="str">
        <f t="shared" si="49"/>
        <v/>
      </c>
      <c r="G832" t="s">
        <v>926</v>
      </c>
    </row>
    <row r="833" spans="2:7" x14ac:dyDescent="0.25">
      <c r="B833" t="str">
        <f t="shared" si="50"/>
        <v/>
      </c>
      <c r="C833" s="16" t="str">
        <f t="shared" si="48"/>
        <v/>
      </c>
      <c r="D833" t="s">
        <v>926</v>
      </c>
      <c r="E833" t="str">
        <f t="shared" si="51"/>
        <v/>
      </c>
      <c r="F833" s="16" t="str">
        <f t="shared" si="49"/>
        <v/>
      </c>
      <c r="G833" t="s">
        <v>926</v>
      </c>
    </row>
    <row r="834" spans="2:7" x14ac:dyDescent="0.25">
      <c r="B834" t="str">
        <f t="shared" si="50"/>
        <v/>
      </c>
      <c r="C834" s="16" t="str">
        <f t="shared" si="48"/>
        <v/>
      </c>
      <c r="D834" t="s">
        <v>926</v>
      </c>
      <c r="E834" t="str">
        <f t="shared" si="51"/>
        <v/>
      </c>
      <c r="F834" s="16" t="str">
        <f t="shared" si="49"/>
        <v/>
      </c>
      <c r="G834" t="s">
        <v>926</v>
      </c>
    </row>
    <row r="835" spans="2:7" x14ac:dyDescent="0.25">
      <c r="B835" t="str">
        <f t="shared" si="50"/>
        <v/>
      </c>
      <c r="C835" s="16" t="str">
        <f t="shared" ref="C835:C898" si="52">IF(ISERROR(VLOOKUP(B835,ImpComp,2,FALSE)),"",VLOOKUP(B835,ImpComp,2,FALSE))</f>
        <v/>
      </c>
      <c r="D835" t="s">
        <v>926</v>
      </c>
      <c r="E835" t="str">
        <f t="shared" si="51"/>
        <v/>
      </c>
      <c r="F835" s="16" t="str">
        <f t="shared" ref="F835:F898" si="53" xml:space="preserve"> IF(ISERROR(VLOOKUP(E835,Imp_IVA1,2,FALSE)),"",VLOOKUP(E835,Imp_IVA1,2,FALSE))&amp; IF(ISERROR(VLOOKUP(E835,Imp_IVA2,2,FALSE)),"",VLOOKUP(E835,Imp_IVA2,2,FALSE))</f>
        <v/>
      </c>
      <c r="G835" t="s">
        <v>926</v>
      </c>
    </row>
    <row r="836" spans="2:7" x14ac:dyDescent="0.25">
      <c r="B836" t="str">
        <f t="shared" si="50"/>
        <v/>
      </c>
      <c r="C836" s="16" t="str">
        <f t="shared" si="52"/>
        <v/>
      </c>
      <c r="D836" t="s">
        <v>926</v>
      </c>
      <c r="E836" t="str">
        <f t="shared" si="51"/>
        <v/>
      </c>
      <c r="F836" s="16" t="str">
        <f t="shared" si="53"/>
        <v/>
      </c>
      <c r="G836" t="s">
        <v>926</v>
      </c>
    </row>
    <row r="837" spans="2:7" x14ac:dyDescent="0.25">
      <c r="B837" t="str">
        <f t="shared" ref="B837:B900" si="54">IF(OR(B836=$B$2,B836=""),"",B836+1)</f>
        <v/>
      </c>
      <c r="C837" s="16" t="str">
        <f t="shared" si="52"/>
        <v/>
      </c>
      <c r="D837" t="s">
        <v>926</v>
      </c>
      <c r="E837" t="str">
        <f t="shared" ref="E837:E900" si="55">IF(OR(E836=$E$2,E836=""),"",E836+1)</f>
        <v/>
      </c>
      <c r="F837" s="16" t="str">
        <f t="shared" si="53"/>
        <v/>
      </c>
      <c r="G837" t="s">
        <v>926</v>
      </c>
    </row>
    <row r="838" spans="2:7" x14ac:dyDescent="0.25">
      <c r="B838" t="str">
        <f t="shared" si="54"/>
        <v/>
      </c>
      <c r="C838" s="16" t="str">
        <f t="shared" si="52"/>
        <v/>
      </c>
      <c r="D838" t="s">
        <v>926</v>
      </c>
      <c r="E838" t="str">
        <f t="shared" si="55"/>
        <v/>
      </c>
      <c r="F838" s="16" t="str">
        <f t="shared" si="53"/>
        <v/>
      </c>
      <c r="G838" t="s">
        <v>926</v>
      </c>
    </row>
    <row r="839" spans="2:7" x14ac:dyDescent="0.25">
      <c r="B839" t="str">
        <f t="shared" si="54"/>
        <v/>
      </c>
      <c r="C839" s="16" t="str">
        <f t="shared" si="52"/>
        <v/>
      </c>
      <c r="D839" t="s">
        <v>926</v>
      </c>
      <c r="E839" t="str">
        <f t="shared" si="55"/>
        <v/>
      </c>
      <c r="F839" s="16" t="str">
        <f t="shared" si="53"/>
        <v/>
      </c>
      <c r="G839" t="s">
        <v>926</v>
      </c>
    </row>
    <row r="840" spans="2:7" x14ac:dyDescent="0.25">
      <c r="B840" t="str">
        <f t="shared" si="54"/>
        <v/>
      </c>
      <c r="C840" s="16" t="str">
        <f t="shared" si="52"/>
        <v/>
      </c>
      <c r="D840" t="s">
        <v>926</v>
      </c>
      <c r="E840" t="str">
        <f t="shared" si="55"/>
        <v/>
      </c>
      <c r="F840" s="16" t="str">
        <f t="shared" si="53"/>
        <v/>
      </c>
      <c r="G840" t="s">
        <v>926</v>
      </c>
    </row>
    <row r="841" spans="2:7" x14ac:dyDescent="0.25">
      <c r="B841" t="str">
        <f t="shared" si="54"/>
        <v/>
      </c>
      <c r="C841" s="16" t="str">
        <f t="shared" si="52"/>
        <v/>
      </c>
      <c r="D841" t="s">
        <v>926</v>
      </c>
      <c r="E841" t="str">
        <f t="shared" si="55"/>
        <v/>
      </c>
      <c r="F841" s="16" t="str">
        <f t="shared" si="53"/>
        <v/>
      </c>
      <c r="G841" t="s">
        <v>926</v>
      </c>
    </row>
    <row r="842" spans="2:7" x14ac:dyDescent="0.25">
      <c r="B842" t="str">
        <f t="shared" si="54"/>
        <v/>
      </c>
      <c r="C842" s="16" t="str">
        <f t="shared" si="52"/>
        <v/>
      </c>
      <c r="D842" t="s">
        <v>926</v>
      </c>
      <c r="E842" t="str">
        <f t="shared" si="55"/>
        <v/>
      </c>
      <c r="F842" s="16" t="str">
        <f t="shared" si="53"/>
        <v/>
      </c>
      <c r="G842" t="s">
        <v>926</v>
      </c>
    </row>
    <row r="843" spans="2:7" x14ac:dyDescent="0.25">
      <c r="B843" t="str">
        <f t="shared" si="54"/>
        <v/>
      </c>
      <c r="C843" s="16" t="str">
        <f t="shared" si="52"/>
        <v/>
      </c>
      <c r="D843" t="s">
        <v>926</v>
      </c>
      <c r="E843" t="str">
        <f t="shared" si="55"/>
        <v/>
      </c>
      <c r="F843" s="16" t="str">
        <f t="shared" si="53"/>
        <v/>
      </c>
      <c r="G843" t="s">
        <v>926</v>
      </c>
    </row>
    <row r="844" spans="2:7" x14ac:dyDescent="0.25">
      <c r="B844" t="str">
        <f t="shared" si="54"/>
        <v/>
      </c>
      <c r="C844" s="16" t="str">
        <f t="shared" si="52"/>
        <v/>
      </c>
      <c r="D844" t="s">
        <v>926</v>
      </c>
      <c r="E844" t="str">
        <f t="shared" si="55"/>
        <v/>
      </c>
      <c r="F844" s="16" t="str">
        <f t="shared" si="53"/>
        <v/>
      </c>
      <c r="G844" t="s">
        <v>926</v>
      </c>
    </row>
    <row r="845" spans="2:7" x14ac:dyDescent="0.25">
      <c r="B845" t="str">
        <f t="shared" si="54"/>
        <v/>
      </c>
      <c r="C845" s="16" t="str">
        <f t="shared" si="52"/>
        <v/>
      </c>
      <c r="D845" t="s">
        <v>926</v>
      </c>
      <c r="E845" t="str">
        <f t="shared" si="55"/>
        <v/>
      </c>
      <c r="F845" s="16" t="str">
        <f t="shared" si="53"/>
        <v/>
      </c>
      <c r="G845" t="s">
        <v>926</v>
      </c>
    </row>
    <row r="846" spans="2:7" x14ac:dyDescent="0.25">
      <c r="B846" t="str">
        <f t="shared" si="54"/>
        <v/>
      </c>
      <c r="C846" s="16" t="str">
        <f t="shared" si="52"/>
        <v/>
      </c>
      <c r="D846" t="s">
        <v>926</v>
      </c>
      <c r="E846" t="str">
        <f t="shared" si="55"/>
        <v/>
      </c>
      <c r="F846" s="16" t="str">
        <f t="shared" si="53"/>
        <v/>
      </c>
      <c r="G846" t="s">
        <v>926</v>
      </c>
    </row>
    <row r="847" spans="2:7" x14ac:dyDescent="0.25">
      <c r="B847" t="str">
        <f t="shared" si="54"/>
        <v/>
      </c>
      <c r="C847" s="16" t="str">
        <f t="shared" si="52"/>
        <v/>
      </c>
      <c r="D847" t="s">
        <v>926</v>
      </c>
      <c r="E847" t="str">
        <f t="shared" si="55"/>
        <v/>
      </c>
      <c r="F847" s="16" t="str">
        <f t="shared" si="53"/>
        <v/>
      </c>
      <c r="G847" t="s">
        <v>926</v>
      </c>
    </row>
    <row r="848" spans="2:7" x14ac:dyDescent="0.25">
      <c r="B848" t="str">
        <f t="shared" si="54"/>
        <v/>
      </c>
      <c r="C848" s="16" t="str">
        <f t="shared" si="52"/>
        <v/>
      </c>
      <c r="D848" t="s">
        <v>926</v>
      </c>
      <c r="E848" t="str">
        <f t="shared" si="55"/>
        <v/>
      </c>
      <c r="F848" s="16" t="str">
        <f t="shared" si="53"/>
        <v/>
      </c>
      <c r="G848" t="s">
        <v>926</v>
      </c>
    </row>
    <row r="849" spans="2:7" x14ac:dyDescent="0.25">
      <c r="B849" t="str">
        <f t="shared" si="54"/>
        <v/>
      </c>
      <c r="C849" s="16" t="str">
        <f t="shared" si="52"/>
        <v/>
      </c>
      <c r="D849" t="s">
        <v>926</v>
      </c>
      <c r="E849" t="str">
        <f t="shared" si="55"/>
        <v/>
      </c>
      <c r="F849" s="16" t="str">
        <f t="shared" si="53"/>
        <v/>
      </c>
      <c r="G849" t="s">
        <v>926</v>
      </c>
    </row>
    <row r="850" spans="2:7" x14ac:dyDescent="0.25">
      <c r="B850" t="str">
        <f t="shared" si="54"/>
        <v/>
      </c>
      <c r="C850" s="16" t="str">
        <f t="shared" si="52"/>
        <v/>
      </c>
      <c r="D850" t="s">
        <v>926</v>
      </c>
      <c r="E850" t="str">
        <f t="shared" si="55"/>
        <v/>
      </c>
      <c r="F850" s="16" t="str">
        <f t="shared" si="53"/>
        <v/>
      </c>
      <c r="G850" t="s">
        <v>926</v>
      </c>
    </row>
    <row r="851" spans="2:7" x14ac:dyDescent="0.25">
      <c r="B851" t="str">
        <f t="shared" si="54"/>
        <v/>
      </c>
      <c r="C851" s="16" t="str">
        <f t="shared" si="52"/>
        <v/>
      </c>
      <c r="D851" t="s">
        <v>926</v>
      </c>
      <c r="E851" t="str">
        <f t="shared" si="55"/>
        <v/>
      </c>
      <c r="F851" s="16" t="str">
        <f t="shared" si="53"/>
        <v/>
      </c>
      <c r="G851" t="s">
        <v>926</v>
      </c>
    </row>
    <row r="852" spans="2:7" x14ac:dyDescent="0.25">
      <c r="B852" t="str">
        <f t="shared" si="54"/>
        <v/>
      </c>
      <c r="C852" s="16" t="str">
        <f t="shared" si="52"/>
        <v/>
      </c>
      <c r="D852" t="s">
        <v>926</v>
      </c>
      <c r="E852" t="str">
        <f t="shared" si="55"/>
        <v/>
      </c>
      <c r="F852" s="16" t="str">
        <f t="shared" si="53"/>
        <v/>
      </c>
      <c r="G852" t="s">
        <v>926</v>
      </c>
    </row>
    <row r="853" spans="2:7" x14ac:dyDescent="0.25">
      <c r="B853" t="str">
        <f t="shared" si="54"/>
        <v/>
      </c>
      <c r="C853" s="16" t="str">
        <f t="shared" si="52"/>
        <v/>
      </c>
      <c r="D853" t="s">
        <v>926</v>
      </c>
      <c r="E853" t="str">
        <f t="shared" si="55"/>
        <v/>
      </c>
      <c r="F853" s="16" t="str">
        <f t="shared" si="53"/>
        <v/>
      </c>
      <c r="G853" t="s">
        <v>926</v>
      </c>
    </row>
    <row r="854" spans="2:7" x14ac:dyDescent="0.25">
      <c r="B854" t="str">
        <f t="shared" si="54"/>
        <v/>
      </c>
      <c r="C854" s="16" t="str">
        <f t="shared" si="52"/>
        <v/>
      </c>
      <c r="D854" t="s">
        <v>926</v>
      </c>
      <c r="E854" t="str">
        <f t="shared" si="55"/>
        <v/>
      </c>
      <c r="F854" s="16" t="str">
        <f t="shared" si="53"/>
        <v/>
      </c>
      <c r="G854" t="s">
        <v>926</v>
      </c>
    </row>
    <row r="855" spans="2:7" x14ac:dyDescent="0.25">
      <c r="B855" t="str">
        <f t="shared" si="54"/>
        <v/>
      </c>
      <c r="C855" s="16" t="str">
        <f t="shared" si="52"/>
        <v/>
      </c>
      <c r="D855" t="s">
        <v>926</v>
      </c>
      <c r="E855" t="str">
        <f t="shared" si="55"/>
        <v/>
      </c>
      <c r="F855" s="16" t="str">
        <f t="shared" si="53"/>
        <v/>
      </c>
      <c r="G855" t="s">
        <v>926</v>
      </c>
    </row>
    <row r="856" spans="2:7" x14ac:dyDescent="0.25">
      <c r="B856" t="str">
        <f t="shared" si="54"/>
        <v/>
      </c>
      <c r="C856" s="16" t="str">
        <f t="shared" si="52"/>
        <v/>
      </c>
      <c r="D856" t="s">
        <v>926</v>
      </c>
      <c r="E856" t="str">
        <f t="shared" si="55"/>
        <v/>
      </c>
      <c r="F856" s="16" t="str">
        <f t="shared" si="53"/>
        <v/>
      </c>
      <c r="G856" t="s">
        <v>926</v>
      </c>
    </row>
    <row r="857" spans="2:7" x14ac:dyDescent="0.25">
      <c r="B857" t="str">
        <f t="shared" si="54"/>
        <v/>
      </c>
      <c r="C857" s="16" t="str">
        <f t="shared" si="52"/>
        <v/>
      </c>
      <c r="D857" t="s">
        <v>926</v>
      </c>
      <c r="E857" t="str">
        <f t="shared" si="55"/>
        <v/>
      </c>
      <c r="F857" s="16" t="str">
        <f t="shared" si="53"/>
        <v/>
      </c>
      <c r="G857" t="s">
        <v>926</v>
      </c>
    </row>
    <row r="858" spans="2:7" x14ac:dyDescent="0.25">
      <c r="B858" t="str">
        <f t="shared" si="54"/>
        <v/>
      </c>
      <c r="C858" s="16" t="str">
        <f t="shared" si="52"/>
        <v/>
      </c>
      <c r="D858" t="s">
        <v>926</v>
      </c>
      <c r="E858" t="str">
        <f t="shared" si="55"/>
        <v/>
      </c>
      <c r="F858" s="16" t="str">
        <f t="shared" si="53"/>
        <v/>
      </c>
      <c r="G858" t="s">
        <v>926</v>
      </c>
    </row>
    <row r="859" spans="2:7" x14ac:dyDescent="0.25">
      <c r="B859" t="str">
        <f t="shared" si="54"/>
        <v/>
      </c>
      <c r="C859" s="16" t="str">
        <f t="shared" si="52"/>
        <v/>
      </c>
      <c r="D859" t="s">
        <v>926</v>
      </c>
      <c r="E859" t="str">
        <f t="shared" si="55"/>
        <v/>
      </c>
      <c r="F859" s="16" t="str">
        <f t="shared" si="53"/>
        <v/>
      </c>
      <c r="G859" t="s">
        <v>926</v>
      </c>
    </row>
    <row r="860" spans="2:7" x14ac:dyDescent="0.25">
      <c r="B860" t="str">
        <f t="shared" si="54"/>
        <v/>
      </c>
      <c r="C860" s="16" t="str">
        <f t="shared" si="52"/>
        <v/>
      </c>
      <c r="D860" t="s">
        <v>926</v>
      </c>
      <c r="E860" t="str">
        <f t="shared" si="55"/>
        <v/>
      </c>
      <c r="F860" s="16" t="str">
        <f t="shared" si="53"/>
        <v/>
      </c>
      <c r="G860" t="s">
        <v>926</v>
      </c>
    </row>
    <row r="861" spans="2:7" x14ac:dyDescent="0.25">
      <c r="B861" t="str">
        <f t="shared" si="54"/>
        <v/>
      </c>
      <c r="C861" s="16" t="str">
        <f t="shared" si="52"/>
        <v/>
      </c>
      <c r="D861" t="s">
        <v>926</v>
      </c>
      <c r="E861" t="str">
        <f t="shared" si="55"/>
        <v/>
      </c>
      <c r="F861" s="16" t="str">
        <f t="shared" si="53"/>
        <v/>
      </c>
      <c r="G861" t="s">
        <v>926</v>
      </c>
    </row>
    <row r="862" spans="2:7" x14ac:dyDescent="0.25">
      <c r="B862" t="str">
        <f t="shared" si="54"/>
        <v/>
      </c>
      <c r="C862" s="16" t="str">
        <f t="shared" si="52"/>
        <v/>
      </c>
      <c r="D862" t="s">
        <v>926</v>
      </c>
      <c r="E862" t="str">
        <f t="shared" si="55"/>
        <v/>
      </c>
      <c r="F862" s="16" t="str">
        <f t="shared" si="53"/>
        <v/>
      </c>
      <c r="G862" t="s">
        <v>926</v>
      </c>
    </row>
    <row r="863" spans="2:7" x14ac:dyDescent="0.25">
      <c r="B863" t="str">
        <f t="shared" si="54"/>
        <v/>
      </c>
      <c r="C863" s="16" t="str">
        <f t="shared" si="52"/>
        <v/>
      </c>
      <c r="D863" t="s">
        <v>926</v>
      </c>
      <c r="E863" t="str">
        <f t="shared" si="55"/>
        <v/>
      </c>
      <c r="F863" s="16" t="str">
        <f t="shared" si="53"/>
        <v/>
      </c>
      <c r="G863" t="s">
        <v>926</v>
      </c>
    </row>
    <row r="864" spans="2:7" x14ac:dyDescent="0.25">
      <c r="B864" t="str">
        <f t="shared" si="54"/>
        <v/>
      </c>
      <c r="C864" s="16" t="str">
        <f t="shared" si="52"/>
        <v/>
      </c>
      <c r="D864" t="s">
        <v>926</v>
      </c>
      <c r="E864" t="str">
        <f t="shared" si="55"/>
        <v/>
      </c>
      <c r="F864" s="16" t="str">
        <f t="shared" si="53"/>
        <v/>
      </c>
      <c r="G864" t="s">
        <v>926</v>
      </c>
    </row>
    <row r="865" spans="2:7" x14ac:dyDescent="0.25">
      <c r="B865" t="str">
        <f t="shared" si="54"/>
        <v/>
      </c>
      <c r="C865" s="16" t="str">
        <f t="shared" si="52"/>
        <v/>
      </c>
      <c r="D865" t="s">
        <v>926</v>
      </c>
      <c r="E865" t="str">
        <f t="shared" si="55"/>
        <v/>
      </c>
      <c r="F865" s="16" t="str">
        <f t="shared" si="53"/>
        <v/>
      </c>
      <c r="G865" t="s">
        <v>926</v>
      </c>
    </row>
    <row r="866" spans="2:7" x14ac:dyDescent="0.25">
      <c r="B866" t="str">
        <f t="shared" si="54"/>
        <v/>
      </c>
      <c r="C866" s="16" t="str">
        <f t="shared" si="52"/>
        <v/>
      </c>
      <c r="D866" t="s">
        <v>926</v>
      </c>
      <c r="E866" t="str">
        <f t="shared" si="55"/>
        <v/>
      </c>
      <c r="F866" s="16" t="str">
        <f t="shared" si="53"/>
        <v/>
      </c>
      <c r="G866" t="s">
        <v>926</v>
      </c>
    </row>
    <row r="867" spans="2:7" x14ac:dyDescent="0.25">
      <c r="B867" t="str">
        <f t="shared" si="54"/>
        <v/>
      </c>
      <c r="C867" s="16" t="str">
        <f t="shared" si="52"/>
        <v/>
      </c>
      <c r="D867" t="s">
        <v>926</v>
      </c>
      <c r="E867" t="str">
        <f t="shared" si="55"/>
        <v/>
      </c>
      <c r="F867" s="16" t="str">
        <f t="shared" si="53"/>
        <v/>
      </c>
      <c r="G867" t="s">
        <v>926</v>
      </c>
    </row>
    <row r="868" spans="2:7" x14ac:dyDescent="0.25">
      <c r="B868" t="str">
        <f t="shared" si="54"/>
        <v/>
      </c>
      <c r="C868" s="16" t="str">
        <f t="shared" si="52"/>
        <v/>
      </c>
      <c r="D868" t="s">
        <v>926</v>
      </c>
      <c r="E868" t="str">
        <f t="shared" si="55"/>
        <v/>
      </c>
      <c r="F868" s="16" t="str">
        <f t="shared" si="53"/>
        <v/>
      </c>
      <c r="G868" t="s">
        <v>926</v>
      </c>
    </row>
    <row r="869" spans="2:7" x14ac:dyDescent="0.25">
      <c r="B869" t="str">
        <f t="shared" si="54"/>
        <v/>
      </c>
      <c r="C869" s="16" t="str">
        <f t="shared" si="52"/>
        <v/>
      </c>
      <c r="D869" t="s">
        <v>926</v>
      </c>
      <c r="E869" t="str">
        <f t="shared" si="55"/>
        <v/>
      </c>
      <c r="F869" s="16" t="str">
        <f t="shared" si="53"/>
        <v/>
      </c>
      <c r="G869" t="s">
        <v>926</v>
      </c>
    </row>
    <row r="870" spans="2:7" x14ac:dyDescent="0.25">
      <c r="B870" t="str">
        <f t="shared" si="54"/>
        <v/>
      </c>
      <c r="C870" s="16" t="str">
        <f t="shared" si="52"/>
        <v/>
      </c>
      <c r="D870" t="s">
        <v>926</v>
      </c>
      <c r="E870" t="str">
        <f t="shared" si="55"/>
        <v/>
      </c>
      <c r="F870" s="16" t="str">
        <f t="shared" si="53"/>
        <v/>
      </c>
      <c r="G870" t="s">
        <v>926</v>
      </c>
    </row>
    <row r="871" spans="2:7" x14ac:dyDescent="0.25">
      <c r="B871" t="str">
        <f t="shared" si="54"/>
        <v/>
      </c>
      <c r="C871" s="16" t="str">
        <f t="shared" si="52"/>
        <v/>
      </c>
      <c r="D871" t="s">
        <v>926</v>
      </c>
      <c r="E871" t="str">
        <f t="shared" si="55"/>
        <v/>
      </c>
      <c r="F871" s="16" t="str">
        <f t="shared" si="53"/>
        <v/>
      </c>
      <c r="G871" t="s">
        <v>926</v>
      </c>
    </row>
    <row r="872" spans="2:7" x14ac:dyDescent="0.25">
      <c r="B872" t="str">
        <f t="shared" si="54"/>
        <v/>
      </c>
      <c r="C872" s="16" t="str">
        <f t="shared" si="52"/>
        <v/>
      </c>
      <c r="D872" t="s">
        <v>926</v>
      </c>
      <c r="E872" t="str">
        <f t="shared" si="55"/>
        <v/>
      </c>
      <c r="F872" s="16" t="str">
        <f t="shared" si="53"/>
        <v/>
      </c>
      <c r="G872" t="s">
        <v>926</v>
      </c>
    </row>
    <row r="873" spans="2:7" x14ac:dyDescent="0.25">
      <c r="B873" t="str">
        <f t="shared" si="54"/>
        <v/>
      </c>
      <c r="C873" s="16" t="str">
        <f t="shared" si="52"/>
        <v/>
      </c>
      <c r="D873" t="s">
        <v>926</v>
      </c>
      <c r="E873" t="str">
        <f t="shared" si="55"/>
        <v/>
      </c>
      <c r="F873" s="16" t="str">
        <f t="shared" si="53"/>
        <v/>
      </c>
      <c r="G873" t="s">
        <v>926</v>
      </c>
    </row>
    <row r="874" spans="2:7" x14ac:dyDescent="0.25">
      <c r="B874" t="str">
        <f t="shared" si="54"/>
        <v/>
      </c>
      <c r="C874" s="16" t="str">
        <f t="shared" si="52"/>
        <v/>
      </c>
      <c r="D874" t="s">
        <v>926</v>
      </c>
      <c r="E874" t="str">
        <f t="shared" si="55"/>
        <v/>
      </c>
      <c r="F874" s="16" t="str">
        <f t="shared" si="53"/>
        <v/>
      </c>
      <c r="G874" t="s">
        <v>926</v>
      </c>
    </row>
    <row r="875" spans="2:7" x14ac:dyDescent="0.25">
      <c r="B875" t="str">
        <f t="shared" si="54"/>
        <v/>
      </c>
      <c r="C875" s="16" t="str">
        <f t="shared" si="52"/>
        <v/>
      </c>
      <c r="D875" t="s">
        <v>926</v>
      </c>
      <c r="E875" t="str">
        <f t="shared" si="55"/>
        <v/>
      </c>
      <c r="F875" s="16" t="str">
        <f t="shared" si="53"/>
        <v/>
      </c>
      <c r="G875" t="s">
        <v>926</v>
      </c>
    </row>
    <row r="876" spans="2:7" x14ac:dyDescent="0.25">
      <c r="B876" t="str">
        <f t="shared" si="54"/>
        <v/>
      </c>
      <c r="C876" s="16" t="str">
        <f t="shared" si="52"/>
        <v/>
      </c>
      <c r="D876" t="s">
        <v>926</v>
      </c>
      <c r="E876" t="str">
        <f t="shared" si="55"/>
        <v/>
      </c>
      <c r="F876" s="16" t="str">
        <f t="shared" si="53"/>
        <v/>
      </c>
      <c r="G876" t="s">
        <v>926</v>
      </c>
    </row>
    <row r="877" spans="2:7" x14ac:dyDescent="0.25">
      <c r="B877" t="str">
        <f t="shared" si="54"/>
        <v/>
      </c>
      <c r="C877" s="16" t="str">
        <f t="shared" si="52"/>
        <v/>
      </c>
      <c r="D877" t="s">
        <v>926</v>
      </c>
      <c r="E877" t="str">
        <f t="shared" si="55"/>
        <v/>
      </c>
      <c r="F877" s="16" t="str">
        <f t="shared" si="53"/>
        <v/>
      </c>
      <c r="G877" t="s">
        <v>926</v>
      </c>
    </row>
    <row r="878" spans="2:7" x14ac:dyDescent="0.25">
      <c r="B878" t="str">
        <f t="shared" si="54"/>
        <v/>
      </c>
      <c r="C878" s="16" t="str">
        <f t="shared" si="52"/>
        <v/>
      </c>
      <c r="D878" t="s">
        <v>926</v>
      </c>
      <c r="E878" t="str">
        <f t="shared" si="55"/>
        <v/>
      </c>
      <c r="F878" s="16" t="str">
        <f t="shared" si="53"/>
        <v/>
      </c>
      <c r="G878" t="s">
        <v>926</v>
      </c>
    </row>
    <row r="879" spans="2:7" x14ac:dyDescent="0.25">
      <c r="B879" t="str">
        <f t="shared" si="54"/>
        <v/>
      </c>
      <c r="C879" s="16" t="str">
        <f t="shared" si="52"/>
        <v/>
      </c>
      <c r="D879" t="s">
        <v>926</v>
      </c>
      <c r="E879" t="str">
        <f t="shared" si="55"/>
        <v/>
      </c>
      <c r="F879" s="16" t="str">
        <f t="shared" si="53"/>
        <v/>
      </c>
      <c r="G879" t="s">
        <v>926</v>
      </c>
    </row>
    <row r="880" spans="2:7" x14ac:dyDescent="0.25">
      <c r="B880" t="str">
        <f t="shared" si="54"/>
        <v/>
      </c>
      <c r="C880" s="16" t="str">
        <f t="shared" si="52"/>
        <v/>
      </c>
      <c r="D880" t="s">
        <v>926</v>
      </c>
      <c r="E880" t="str">
        <f t="shared" si="55"/>
        <v/>
      </c>
      <c r="F880" s="16" t="str">
        <f t="shared" si="53"/>
        <v/>
      </c>
      <c r="G880" t="s">
        <v>926</v>
      </c>
    </row>
    <row r="881" spans="2:7" x14ac:dyDescent="0.25">
      <c r="B881" t="str">
        <f t="shared" si="54"/>
        <v/>
      </c>
      <c r="C881" s="16" t="str">
        <f t="shared" si="52"/>
        <v/>
      </c>
      <c r="D881" t="s">
        <v>926</v>
      </c>
      <c r="E881" t="str">
        <f t="shared" si="55"/>
        <v/>
      </c>
      <c r="F881" s="16" t="str">
        <f t="shared" si="53"/>
        <v/>
      </c>
      <c r="G881" t="s">
        <v>926</v>
      </c>
    </row>
    <row r="882" spans="2:7" x14ac:dyDescent="0.25">
      <c r="B882" t="str">
        <f t="shared" si="54"/>
        <v/>
      </c>
      <c r="C882" s="16" t="str">
        <f t="shared" si="52"/>
        <v/>
      </c>
      <c r="D882" t="s">
        <v>926</v>
      </c>
      <c r="E882" t="str">
        <f t="shared" si="55"/>
        <v/>
      </c>
      <c r="F882" s="16" t="str">
        <f t="shared" si="53"/>
        <v/>
      </c>
      <c r="G882" t="s">
        <v>926</v>
      </c>
    </row>
    <row r="883" spans="2:7" x14ac:dyDescent="0.25">
      <c r="B883" t="str">
        <f t="shared" si="54"/>
        <v/>
      </c>
      <c r="C883" s="16" t="str">
        <f t="shared" si="52"/>
        <v/>
      </c>
      <c r="D883" t="s">
        <v>926</v>
      </c>
      <c r="E883" t="str">
        <f t="shared" si="55"/>
        <v/>
      </c>
      <c r="F883" s="16" t="str">
        <f t="shared" si="53"/>
        <v/>
      </c>
      <c r="G883" t="s">
        <v>926</v>
      </c>
    </row>
    <row r="884" spans="2:7" x14ac:dyDescent="0.25">
      <c r="B884" t="str">
        <f t="shared" si="54"/>
        <v/>
      </c>
      <c r="C884" s="16" t="str">
        <f t="shared" si="52"/>
        <v/>
      </c>
      <c r="D884" t="s">
        <v>926</v>
      </c>
      <c r="E884" t="str">
        <f t="shared" si="55"/>
        <v/>
      </c>
      <c r="F884" s="16" t="str">
        <f t="shared" si="53"/>
        <v/>
      </c>
      <c r="G884" t="s">
        <v>926</v>
      </c>
    </row>
    <row r="885" spans="2:7" x14ac:dyDescent="0.25">
      <c r="B885" t="str">
        <f t="shared" si="54"/>
        <v/>
      </c>
      <c r="C885" s="16" t="str">
        <f t="shared" si="52"/>
        <v/>
      </c>
      <c r="D885" t="s">
        <v>926</v>
      </c>
      <c r="E885" t="str">
        <f t="shared" si="55"/>
        <v/>
      </c>
      <c r="F885" s="16" t="str">
        <f t="shared" si="53"/>
        <v/>
      </c>
      <c r="G885" t="s">
        <v>926</v>
      </c>
    </row>
    <row r="886" spans="2:7" x14ac:dyDescent="0.25">
      <c r="B886" t="str">
        <f t="shared" si="54"/>
        <v/>
      </c>
      <c r="C886" s="16" t="str">
        <f t="shared" si="52"/>
        <v/>
      </c>
      <c r="D886" t="s">
        <v>926</v>
      </c>
      <c r="E886" t="str">
        <f t="shared" si="55"/>
        <v/>
      </c>
      <c r="F886" s="16" t="str">
        <f t="shared" si="53"/>
        <v/>
      </c>
      <c r="G886" t="s">
        <v>926</v>
      </c>
    </row>
    <row r="887" spans="2:7" x14ac:dyDescent="0.25">
      <c r="B887" t="str">
        <f t="shared" si="54"/>
        <v/>
      </c>
      <c r="C887" s="16" t="str">
        <f t="shared" si="52"/>
        <v/>
      </c>
      <c r="D887" t="s">
        <v>926</v>
      </c>
      <c r="E887" t="str">
        <f t="shared" si="55"/>
        <v/>
      </c>
      <c r="F887" s="16" t="str">
        <f t="shared" si="53"/>
        <v/>
      </c>
      <c r="G887" t="s">
        <v>926</v>
      </c>
    </row>
    <row r="888" spans="2:7" x14ac:dyDescent="0.25">
      <c r="B888" t="str">
        <f t="shared" si="54"/>
        <v/>
      </c>
      <c r="C888" s="16" t="str">
        <f t="shared" si="52"/>
        <v/>
      </c>
      <c r="D888" t="s">
        <v>926</v>
      </c>
      <c r="E888" t="str">
        <f t="shared" si="55"/>
        <v/>
      </c>
      <c r="F888" s="16" t="str">
        <f t="shared" si="53"/>
        <v/>
      </c>
      <c r="G888" t="s">
        <v>926</v>
      </c>
    </row>
    <row r="889" spans="2:7" x14ac:dyDescent="0.25">
      <c r="B889" t="str">
        <f t="shared" si="54"/>
        <v/>
      </c>
      <c r="C889" s="16" t="str">
        <f t="shared" si="52"/>
        <v/>
      </c>
      <c r="D889" t="s">
        <v>926</v>
      </c>
      <c r="E889" t="str">
        <f t="shared" si="55"/>
        <v/>
      </c>
      <c r="F889" s="16" t="str">
        <f t="shared" si="53"/>
        <v/>
      </c>
      <c r="G889" t="s">
        <v>926</v>
      </c>
    </row>
    <row r="890" spans="2:7" x14ac:dyDescent="0.25">
      <c r="B890" t="str">
        <f t="shared" si="54"/>
        <v/>
      </c>
      <c r="C890" s="16" t="str">
        <f t="shared" si="52"/>
        <v/>
      </c>
      <c r="D890" t="s">
        <v>926</v>
      </c>
      <c r="E890" t="str">
        <f t="shared" si="55"/>
        <v/>
      </c>
      <c r="F890" s="16" t="str">
        <f t="shared" si="53"/>
        <v/>
      </c>
      <c r="G890" t="s">
        <v>926</v>
      </c>
    </row>
    <row r="891" spans="2:7" x14ac:dyDescent="0.25">
      <c r="B891" t="str">
        <f t="shared" si="54"/>
        <v/>
      </c>
      <c r="C891" s="16" t="str">
        <f t="shared" si="52"/>
        <v/>
      </c>
      <c r="D891" t="s">
        <v>926</v>
      </c>
      <c r="E891" t="str">
        <f t="shared" si="55"/>
        <v/>
      </c>
      <c r="F891" s="16" t="str">
        <f t="shared" si="53"/>
        <v/>
      </c>
      <c r="G891" t="s">
        <v>926</v>
      </c>
    </row>
    <row r="892" spans="2:7" x14ac:dyDescent="0.25">
      <c r="B892" t="str">
        <f t="shared" si="54"/>
        <v/>
      </c>
      <c r="C892" s="16" t="str">
        <f t="shared" si="52"/>
        <v/>
      </c>
      <c r="D892" t="s">
        <v>926</v>
      </c>
      <c r="E892" t="str">
        <f t="shared" si="55"/>
        <v/>
      </c>
      <c r="F892" s="16" t="str">
        <f t="shared" si="53"/>
        <v/>
      </c>
      <c r="G892" t="s">
        <v>926</v>
      </c>
    </row>
    <row r="893" spans="2:7" x14ac:dyDescent="0.25">
      <c r="B893" t="str">
        <f t="shared" si="54"/>
        <v/>
      </c>
      <c r="C893" s="16" t="str">
        <f t="shared" si="52"/>
        <v/>
      </c>
      <c r="D893" t="s">
        <v>926</v>
      </c>
      <c r="E893" t="str">
        <f t="shared" si="55"/>
        <v/>
      </c>
      <c r="F893" s="16" t="str">
        <f t="shared" si="53"/>
        <v/>
      </c>
      <c r="G893" t="s">
        <v>926</v>
      </c>
    </row>
    <row r="894" spans="2:7" x14ac:dyDescent="0.25">
      <c r="B894" t="str">
        <f t="shared" si="54"/>
        <v/>
      </c>
      <c r="C894" s="16" t="str">
        <f t="shared" si="52"/>
        <v/>
      </c>
      <c r="D894" t="s">
        <v>926</v>
      </c>
      <c r="E894" t="str">
        <f t="shared" si="55"/>
        <v/>
      </c>
      <c r="F894" s="16" t="str">
        <f t="shared" si="53"/>
        <v/>
      </c>
      <c r="G894" t="s">
        <v>926</v>
      </c>
    </row>
    <row r="895" spans="2:7" x14ac:dyDescent="0.25">
      <c r="B895" t="str">
        <f t="shared" si="54"/>
        <v/>
      </c>
      <c r="C895" s="16" t="str">
        <f t="shared" si="52"/>
        <v/>
      </c>
      <c r="D895" t="s">
        <v>926</v>
      </c>
      <c r="E895" t="str">
        <f t="shared" si="55"/>
        <v/>
      </c>
      <c r="F895" s="16" t="str">
        <f t="shared" si="53"/>
        <v/>
      </c>
      <c r="G895" t="s">
        <v>926</v>
      </c>
    </row>
    <row r="896" spans="2:7" x14ac:dyDescent="0.25">
      <c r="B896" t="str">
        <f t="shared" si="54"/>
        <v/>
      </c>
      <c r="C896" s="16" t="str">
        <f t="shared" si="52"/>
        <v/>
      </c>
      <c r="D896" t="s">
        <v>926</v>
      </c>
      <c r="E896" t="str">
        <f t="shared" si="55"/>
        <v/>
      </c>
      <c r="F896" s="16" t="str">
        <f t="shared" si="53"/>
        <v/>
      </c>
      <c r="G896" t="s">
        <v>926</v>
      </c>
    </row>
    <row r="897" spans="2:7" x14ac:dyDescent="0.25">
      <c r="B897" t="str">
        <f t="shared" si="54"/>
        <v/>
      </c>
      <c r="C897" s="16" t="str">
        <f t="shared" si="52"/>
        <v/>
      </c>
      <c r="D897" t="s">
        <v>926</v>
      </c>
      <c r="E897" t="str">
        <f t="shared" si="55"/>
        <v/>
      </c>
      <c r="F897" s="16" t="str">
        <f t="shared" si="53"/>
        <v/>
      </c>
      <c r="G897" t="s">
        <v>926</v>
      </c>
    </row>
    <row r="898" spans="2:7" x14ac:dyDescent="0.25">
      <c r="B898" t="str">
        <f t="shared" si="54"/>
        <v/>
      </c>
      <c r="C898" s="16" t="str">
        <f t="shared" si="52"/>
        <v/>
      </c>
      <c r="D898" t="s">
        <v>926</v>
      </c>
      <c r="E898" t="str">
        <f t="shared" si="55"/>
        <v/>
      </c>
      <c r="F898" s="16" t="str">
        <f t="shared" si="53"/>
        <v/>
      </c>
      <c r="G898" t="s">
        <v>926</v>
      </c>
    </row>
    <row r="899" spans="2:7" x14ac:dyDescent="0.25">
      <c r="B899" t="str">
        <f t="shared" si="54"/>
        <v/>
      </c>
      <c r="C899" s="16" t="str">
        <f t="shared" ref="C899:C962" si="56">IF(ISERROR(VLOOKUP(B899,ImpComp,2,FALSE)),"",VLOOKUP(B899,ImpComp,2,FALSE))</f>
        <v/>
      </c>
      <c r="D899" t="s">
        <v>926</v>
      </c>
      <c r="E899" t="str">
        <f t="shared" si="55"/>
        <v/>
      </c>
      <c r="F899" s="16" t="str">
        <f t="shared" ref="F899:F962" si="57" xml:space="preserve"> IF(ISERROR(VLOOKUP(E899,Imp_IVA1,2,FALSE)),"",VLOOKUP(E899,Imp_IVA1,2,FALSE))&amp; IF(ISERROR(VLOOKUP(E899,Imp_IVA2,2,FALSE)),"",VLOOKUP(E899,Imp_IVA2,2,FALSE))</f>
        <v/>
      </c>
      <c r="G899" t="s">
        <v>926</v>
      </c>
    </row>
    <row r="900" spans="2:7" x14ac:dyDescent="0.25">
      <c r="B900" t="str">
        <f t="shared" si="54"/>
        <v/>
      </c>
      <c r="C900" s="16" t="str">
        <f t="shared" si="56"/>
        <v/>
      </c>
      <c r="D900" t="s">
        <v>926</v>
      </c>
      <c r="E900" t="str">
        <f t="shared" si="55"/>
        <v/>
      </c>
      <c r="F900" s="16" t="str">
        <f t="shared" si="57"/>
        <v/>
      </c>
      <c r="G900" t="s">
        <v>926</v>
      </c>
    </row>
    <row r="901" spans="2:7" x14ac:dyDescent="0.25">
      <c r="B901" t="str">
        <f t="shared" ref="B901:B964" si="58">IF(OR(B900=$B$2,B900=""),"",B900+1)</f>
        <v/>
      </c>
      <c r="C901" s="16" t="str">
        <f t="shared" si="56"/>
        <v/>
      </c>
      <c r="D901" t="s">
        <v>926</v>
      </c>
      <c r="E901" t="str">
        <f t="shared" ref="E901:E964" si="59">IF(OR(E900=$E$2,E900=""),"",E900+1)</f>
        <v/>
      </c>
      <c r="F901" s="16" t="str">
        <f t="shared" si="57"/>
        <v/>
      </c>
      <c r="G901" t="s">
        <v>926</v>
      </c>
    </row>
    <row r="902" spans="2:7" x14ac:dyDescent="0.25">
      <c r="B902" t="str">
        <f t="shared" si="58"/>
        <v/>
      </c>
      <c r="C902" s="16" t="str">
        <f t="shared" si="56"/>
        <v/>
      </c>
      <c r="D902" t="s">
        <v>926</v>
      </c>
      <c r="E902" t="str">
        <f t="shared" si="59"/>
        <v/>
      </c>
      <c r="F902" s="16" t="str">
        <f t="shared" si="57"/>
        <v/>
      </c>
      <c r="G902" t="s">
        <v>926</v>
      </c>
    </row>
    <row r="903" spans="2:7" x14ac:dyDescent="0.25">
      <c r="B903" t="str">
        <f t="shared" si="58"/>
        <v/>
      </c>
      <c r="C903" s="16" t="str">
        <f t="shared" si="56"/>
        <v/>
      </c>
      <c r="D903" t="s">
        <v>926</v>
      </c>
      <c r="E903" t="str">
        <f t="shared" si="59"/>
        <v/>
      </c>
      <c r="F903" s="16" t="str">
        <f t="shared" si="57"/>
        <v/>
      </c>
      <c r="G903" t="s">
        <v>926</v>
      </c>
    </row>
    <row r="904" spans="2:7" x14ac:dyDescent="0.25">
      <c r="B904" t="str">
        <f t="shared" si="58"/>
        <v/>
      </c>
      <c r="C904" s="16" t="str">
        <f t="shared" si="56"/>
        <v/>
      </c>
      <c r="D904" t="s">
        <v>926</v>
      </c>
      <c r="E904" t="str">
        <f t="shared" si="59"/>
        <v/>
      </c>
      <c r="F904" s="16" t="str">
        <f t="shared" si="57"/>
        <v/>
      </c>
      <c r="G904" t="s">
        <v>926</v>
      </c>
    </row>
    <row r="905" spans="2:7" x14ac:dyDescent="0.25">
      <c r="B905" t="str">
        <f t="shared" si="58"/>
        <v/>
      </c>
      <c r="C905" s="16" t="str">
        <f t="shared" si="56"/>
        <v/>
      </c>
      <c r="D905" t="s">
        <v>926</v>
      </c>
      <c r="E905" t="str">
        <f t="shared" si="59"/>
        <v/>
      </c>
      <c r="F905" s="16" t="str">
        <f t="shared" si="57"/>
        <v/>
      </c>
      <c r="G905" t="s">
        <v>926</v>
      </c>
    </row>
    <row r="906" spans="2:7" x14ac:dyDescent="0.25">
      <c r="B906" t="str">
        <f t="shared" si="58"/>
        <v/>
      </c>
      <c r="C906" s="16" t="str">
        <f t="shared" si="56"/>
        <v/>
      </c>
      <c r="D906" t="s">
        <v>926</v>
      </c>
      <c r="E906" t="str">
        <f t="shared" si="59"/>
        <v/>
      </c>
      <c r="F906" s="16" t="str">
        <f t="shared" si="57"/>
        <v/>
      </c>
      <c r="G906" t="s">
        <v>926</v>
      </c>
    </row>
    <row r="907" spans="2:7" x14ac:dyDescent="0.25">
      <c r="B907" t="str">
        <f t="shared" si="58"/>
        <v/>
      </c>
      <c r="C907" s="16" t="str">
        <f t="shared" si="56"/>
        <v/>
      </c>
      <c r="D907" t="s">
        <v>926</v>
      </c>
      <c r="E907" t="str">
        <f t="shared" si="59"/>
        <v/>
      </c>
      <c r="F907" s="16" t="str">
        <f t="shared" si="57"/>
        <v/>
      </c>
      <c r="G907" t="s">
        <v>926</v>
      </c>
    </row>
    <row r="908" spans="2:7" x14ac:dyDescent="0.25">
      <c r="B908" t="str">
        <f t="shared" si="58"/>
        <v/>
      </c>
      <c r="C908" s="16" t="str">
        <f t="shared" si="56"/>
        <v/>
      </c>
      <c r="D908" t="s">
        <v>926</v>
      </c>
      <c r="E908" t="str">
        <f t="shared" si="59"/>
        <v/>
      </c>
      <c r="F908" s="16" t="str">
        <f t="shared" si="57"/>
        <v/>
      </c>
      <c r="G908" t="s">
        <v>926</v>
      </c>
    </row>
    <row r="909" spans="2:7" x14ac:dyDescent="0.25">
      <c r="B909" t="str">
        <f t="shared" si="58"/>
        <v/>
      </c>
      <c r="C909" s="16" t="str">
        <f t="shared" si="56"/>
        <v/>
      </c>
      <c r="D909" t="s">
        <v>926</v>
      </c>
      <c r="E909" t="str">
        <f t="shared" si="59"/>
        <v/>
      </c>
      <c r="F909" s="16" t="str">
        <f t="shared" si="57"/>
        <v/>
      </c>
      <c r="G909" t="s">
        <v>926</v>
      </c>
    </row>
    <row r="910" spans="2:7" x14ac:dyDescent="0.25">
      <c r="B910" t="str">
        <f t="shared" si="58"/>
        <v/>
      </c>
      <c r="C910" s="16" t="str">
        <f t="shared" si="56"/>
        <v/>
      </c>
      <c r="D910" t="s">
        <v>926</v>
      </c>
      <c r="E910" t="str">
        <f t="shared" si="59"/>
        <v/>
      </c>
      <c r="F910" s="16" t="str">
        <f t="shared" si="57"/>
        <v/>
      </c>
      <c r="G910" t="s">
        <v>926</v>
      </c>
    </row>
    <row r="911" spans="2:7" x14ac:dyDescent="0.25">
      <c r="B911" t="str">
        <f t="shared" si="58"/>
        <v/>
      </c>
      <c r="C911" s="16" t="str">
        <f t="shared" si="56"/>
        <v/>
      </c>
      <c r="D911" t="s">
        <v>926</v>
      </c>
      <c r="E911" t="str">
        <f t="shared" si="59"/>
        <v/>
      </c>
      <c r="F911" s="16" t="str">
        <f t="shared" si="57"/>
        <v/>
      </c>
      <c r="G911" t="s">
        <v>926</v>
      </c>
    </row>
    <row r="912" spans="2:7" x14ac:dyDescent="0.25">
      <c r="B912" t="str">
        <f t="shared" si="58"/>
        <v/>
      </c>
      <c r="C912" s="16" t="str">
        <f t="shared" si="56"/>
        <v/>
      </c>
      <c r="D912" t="s">
        <v>926</v>
      </c>
      <c r="E912" t="str">
        <f t="shared" si="59"/>
        <v/>
      </c>
      <c r="F912" s="16" t="str">
        <f t="shared" si="57"/>
        <v/>
      </c>
      <c r="G912" t="s">
        <v>926</v>
      </c>
    </row>
    <row r="913" spans="2:7" x14ac:dyDescent="0.25">
      <c r="B913" t="str">
        <f t="shared" si="58"/>
        <v/>
      </c>
      <c r="C913" s="16" t="str">
        <f t="shared" si="56"/>
        <v/>
      </c>
      <c r="D913" t="s">
        <v>926</v>
      </c>
      <c r="E913" t="str">
        <f t="shared" si="59"/>
        <v/>
      </c>
      <c r="F913" s="16" t="str">
        <f t="shared" si="57"/>
        <v/>
      </c>
      <c r="G913" t="s">
        <v>926</v>
      </c>
    </row>
    <row r="914" spans="2:7" x14ac:dyDescent="0.25">
      <c r="B914" t="str">
        <f t="shared" si="58"/>
        <v/>
      </c>
      <c r="C914" s="16" t="str">
        <f t="shared" si="56"/>
        <v/>
      </c>
      <c r="D914" t="s">
        <v>926</v>
      </c>
      <c r="E914" t="str">
        <f t="shared" si="59"/>
        <v/>
      </c>
      <c r="F914" s="16" t="str">
        <f t="shared" si="57"/>
        <v/>
      </c>
      <c r="G914" t="s">
        <v>926</v>
      </c>
    </row>
    <row r="915" spans="2:7" x14ac:dyDescent="0.25">
      <c r="B915" t="str">
        <f t="shared" si="58"/>
        <v/>
      </c>
      <c r="C915" s="16" t="str">
        <f t="shared" si="56"/>
        <v/>
      </c>
      <c r="D915" t="s">
        <v>926</v>
      </c>
      <c r="E915" t="str">
        <f t="shared" si="59"/>
        <v/>
      </c>
      <c r="F915" s="16" t="str">
        <f t="shared" si="57"/>
        <v/>
      </c>
      <c r="G915" t="s">
        <v>926</v>
      </c>
    </row>
    <row r="916" spans="2:7" x14ac:dyDescent="0.25">
      <c r="B916" t="str">
        <f t="shared" si="58"/>
        <v/>
      </c>
      <c r="C916" s="16" t="str">
        <f t="shared" si="56"/>
        <v/>
      </c>
      <c r="D916" t="s">
        <v>926</v>
      </c>
      <c r="E916" t="str">
        <f t="shared" si="59"/>
        <v/>
      </c>
      <c r="F916" s="16" t="str">
        <f t="shared" si="57"/>
        <v/>
      </c>
      <c r="G916" t="s">
        <v>926</v>
      </c>
    </row>
    <row r="917" spans="2:7" x14ac:dyDescent="0.25">
      <c r="B917" t="str">
        <f t="shared" si="58"/>
        <v/>
      </c>
      <c r="C917" s="16" t="str">
        <f t="shared" si="56"/>
        <v/>
      </c>
      <c r="D917" t="s">
        <v>926</v>
      </c>
      <c r="E917" t="str">
        <f t="shared" si="59"/>
        <v/>
      </c>
      <c r="F917" s="16" t="str">
        <f t="shared" si="57"/>
        <v/>
      </c>
      <c r="G917" t="s">
        <v>926</v>
      </c>
    </row>
    <row r="918" spans="2:7" x14ac:dyDescent="0.25">
      <c r="B918" t="str">
        <f t="shared" si="58"/>
        <v/>
      </c>
      <c r="C918" s="16" t="str">
        <f t="shared" si="56"/>
        <v/>
      </c>
      <c r="D918" t="s">
        <v>926</v>
      </c>
      <c r="E918" t="str">
        <f t="shared" si="59"/>
        <v/>
      </c>
      <c r="F918" s="16" t="str">
        <f t="shared" si="57"/>
        <v/>
      </c>
      <c r="G918" t="s">
        <v>926</v>
      </c>
    </row>
    <row r="919" spans="2:7" x14ac:dyDescent="0.25">
      <c r="B919" t="str">
        <f t="shared" si="58"/>
        <v/>
      </c>
      <c r="C919" s="16" t="str">
        <f t="shared" si="56"/>
        <v/>
      </c>
      <c r="D919" t="s">
        <v>926</v>
      </c>
      <c r="E919" t="str">
        <f t="shared" si="59"/>
        <v/>
      </c>
      <c r="F919" s="16" t="str">
        <f t="shared" si="57"/>
        <v/>
      </c>
      <c r="G919" t="s">
        <v>926</v>
      </c>
    </row>
    <row r="920" spans="2:7" x14ac:dyDescent="0.25">
      <c r="B920" t="str">
        <f t="shared" si="58"/>
        <v/>
      </c>
      <c r="C920" s="16" t="str">
        <f t="shared" si="56"/>
        <v/>
      </c>
      <c r="D920" t="s">
        <v>926</v>
      </c>
      <c r="E920" t="str">
        <f t="shared" si="59"/>
        <v/>
      </c>
      <c r="F920" s="16" t="str">
        <f t="shared" si="57"/>
        <v/>
      </c>
      <c r="G920" t="s">
        <v>926</v>
      </c>
    </row>
    <row r="921" spans="2:7" x14ac:dyDescent="0.25">
      <c r="B921" t="str">
        <f t="shared" si="58"/>
        <v/>
      </c>
      <c r="C921" s="16" t="str">
        <f t="shared" si="56"/>
        <v/>
      </c>
      <c r="D921" t="s">
        <v>926</v>
      </c>
      <c r="E921" t="str">
        <f t="shared" si="59"/>
        <v/>
      </c>
      <c r="F921" s="16" t="str">
        <f t="shared" si="57"/>
        <v/>
      </c>
      <c r="G921" t="s">
        <v>926</v>
      </c>
    </row>
    <row r="922" spans="2:7" x14ac:dyDescent="0.25">
      <c r="B922" t="str">
        <f t="shared" si="58"/>
        <v/>
      </c>
      <c r="C922" s="16" t="str">
        <f t="shared" si="56"/>
        <v/>
      </c>
      <c r="D922" t="s">
        <v>926</v>
      </c>
      <c r="E922" t="str">
        <f t="shared" si="59"/>
        <v/>
      </c>
      <c r="F922" s="16" t="str">
        <f t="shared" si="57"/>
        <v/>
      </c>
      <c r="G922" t="s">
        <v>926</v>
      </c>
    </row>
    <row r="923" spans="2:7" x14ac:dyDescent="0.25">
      <c r="B923" t="str">
        <f t="shared" si="58"/>
        <v/>
      </c>
      <c r="C923" s="16" t="str">
        <f t="shared" si="56"/>
        <v/>
      </c>
      <c r="D923" t="s">
        <v>926</v>
      </c>
      <c r="E923" t="str">
        <f t="shared" si="59"/>
        <v/>
      </c>
      <c r="F923" s="16" t="str">
        <f t="shared" si="57"/>
        <v/>
      </c>
      <c r="G923" t="s">
        <v>926</v>
      </c>
    </row>
    <row r="924" spans="2:7" x14ac:dyDescent="0.25">
      <c r="B924" t="str">
        <f t="shared" si="58"/>
        <v/>
      </c>
      <c r="C924" s="16" t="str">
        <f t="shared" si="56"/>
        <v/>
      </c>
      <c r="D924" t="s">
        <v>926</v>
      </c>
      <c r="E924" t="str">
        <f t="shared" si="59"/>
        <v/>
      </c>
      <c r="F924" s="16" t="str">
        <f t="shared" si="57"/>
        <v/>
      </c>
      <c r="G924" t="s">
        <v>926</v>
      </c>
    </row>
    <row r="925" spans="2:7" x14ac:dyDescent="0.25">
      <c r="B925" t="str">
        <f t="shared" si="58"/>
        <v/>
      </c>
      <c r="C925" s="16" t="str">
        <f t="shared" si="56"/>
        <v/>
      </c>
      <c r="D925" t="s">
        <v>926</v>
      </c>
      <c r="E925" t="str">
        <f t="shared" si="59"/>
        <v/>
      </c>
      <c r="F925" s="16" t="str">
        <f t="shared" si="57"/>
        <v/>
      </c>
      <c r="G925" t="s">
        <v>926</v>
      </c>
    </row>
    <row r="926" spans="2:7" x14ac:dyDescent="0.25">
      <c r="B926" t="str">
        <f t="shared" si="58"/>
        <v/>
      </c>
      <c r="C926" s="16" t="str">
        <f t="shared" si="56"/>
        <v/>
      </c>
      <c r="D926" t="s">
        <v>926</v>
      </c>
      <c r="E926" t="str">
        <f t="shared" si="59"/>
        <v/>
      </c>
      <c r="F926" s="16" t="str">
        <f t="shared" si="57"/>
        <v/>
      </c>
      <c r="G926" t="s">
        <v>926</v>
      </c>
    </row>
    <row r="927" spans="2:7" x14ac:dyDescent="0.25">
      <c r="B927" t="str">
        <f t="shared" si="58"/>
        <v/>
      </c>
      <c r="C927" s="16" t="str">
        <f t="shared" si="56"/>
        <v/>
      </c>
      <c r="D927" t="s">
        <v>926</v>
      </c>
      <c r="E927" t="str">
        <f t="shared" si="59"/>
        <v/>
      </c>
      <c r="F927" s="16" t="str">
        <f t="shared" si="57"/>
        <v/>
      </c>
      <c r="G927" t="s">
        <v>926</v>
      </c>
    </row>
    <row r="928" spans="2:7" x14ac:dyDescent="0.25">
      <c r="B928" t="str">
        <f t="shared" si="58"/>
        <v/>
      </c>
      <c r="C928" s="16" t="str">
        <f t="shared" si="56"/>
        <v/>
      </c>
      <c r="D928" t="s">
        <v>926</v>
      </c>
      <c r="E928" t="str">
        <f t="shared" si="59"/>
        <v/>
      </c>
      <c r="F928" s="16" t="str">
        <f t="shared" si="57"/>
        <v/>
      </c>
      <c r="G928" t="s">
        <v>926</v>
      </c>
    </row>
    <row r="929" spans="2:7" x14ac:dyDescent="0.25">
      <c r="B929" t="str">
        <f t="shared" si="58"/>
        <v/>
      </c>
      <c r="C929" s="16" t="str">
        <f t="shared" si="56"/>
        <v/>
      </c>
      <c r="D929" t="s">
        <v>926</v>
      </c>
      <c r="E929" t="str">
        <f t="shared" si="59"/>
        <v/>
      </c>
      <c r="F929" s="16" t="str">
        <f t="shared" si="57"/>
        <v/>
      </c>
      <c r="G929" t="s">
        <v>926</v>
      </c>
    </row>
    <row r="930" spans="2:7" x14ac:dyDescent="0.25">
      <c r="B930" t="str">
        <f t="shared" si="58"/>
        <v/>
      </c>
      <c r="C930" s="16" t="str">
        <f t="shared" si="56"/>
        <v/>
      </c>
      <c r="D930" t="s">
        <v>926</v>
      </c>
      <c r="E930" t="str">
        <f t="shared" si="59"/>
        <v/>
      </c>
      <c r="F930" s="16" t="str">
        <f t="shared" si="57"/>
        <v/>
      </c>
      <c r="G930" t="s">
        <v>926</v>
      </c>
    </row>
    <row r="931" spans="2:7" x14ac:dyDescent="0.25">
      <c r="B931" t="str">
        <f t="shared" si="58"/>
        <v/>
      </c>
      <c r="C931" s="16" t="str">
        <f t="shared" si="56"/>
        <v/>
      </c>
      <c r="D931" t="s">
        <v>926</v>
      </c>
      <c r="E931" t="str">
        <f t="shared" si="59"/>
        <v/>
      </c>
      <c r="F931" s="16" t="str">
        <f t="shared" si="57"/>
        <v/>
      </c>
      <c r="G931" t="s">
        <v>926</v>
      </c>
    </row>
    <row r="932" spans="2:7" x14ac:dyDescent="0.25">
      <c r="B932" t="str">
        <f t="shared" si="58"/>
        <v/>
      </c>
      <c r="C932" s="16" t="str">
        <f t="shared" si="56"/>
        <v/>
      </c>
      <c r="D932" t="s">
        <v>926</v>
      </c>
      <c r="E932" t="str">
        <f t="shared" si="59"/>
        <v/>
      </c>
      <c r="F932" s="16" t="str">
        <f t="shared" si="57"/>
        <v/>
      </c>
      <c r="G932" t="s">
        <v>926</v>
      </c>
    </row>
    <row r="933" spans="2:7" x14ac:dyDescent="0.25">
      <c r="B933" t="str">
        <f t="shared" si="58"/>
        <v/>
      </c>
      <c r="C933" s="16" t="str">
        <f t="shared" si="56"/>
        <v/>
      </c>
      <c r="D933" t="s">
        <v>926</v>
      </c>
      <c r="E933" t="str">
        <f t="shared" si="59"/>
        <v/>
      </c>
      <c r="F933" s="16" t="str">
        <f t="shared" si="57"/>
        <v/>
      </c>
      <c r="G933" t="s">
        <v>926</v>
      </c>
    </row>
    <row r="934" spans="2:7" x14ac:dyDescent="0.25">
      <c r="B934" t="str">
        <f t="shared" si="58"/>
        <v/>
      </c>
      <c r="C934" s="16" t="str">
        <f t="shared" si="56"/>
        <v/>
      </c>
      <c r="D934" t="s">
        <v>926</v>
      </c>
      <c r="E934" t="str">
        <f t="shared" si="59"/>
        <v/>
      </c>
      <c r="F934" s="16" t="str">
        <f t="shared" si="57"/>
        <v/>
      </c>
      <c r="G934" t="s">
        <v>926</v>
      </c>
    </row>
    <row r="935" spans="2:7" x14ac:dyDescent="0.25">
      <c r="B935" t="str">
        <f t="shared" si="58"/>
        <v/>
      </c>
      <c r="C935" s="16" t="str">
        <f t="shared" si="56"/>
        <v/>
      </c>
      <c r="D935" t="s">
        <v>926</v>
      </c>
      <c r="E935" t="str">
        <f t="shared" si="59"/>
        <v/>
      </c>
      <c r="F935" s="16" t="str">
        <f t="shared" si="57"/>
        <v/>
      </c>
      <c r="G935" t="s">
        <v>926</v>
      </c>
    </row>
    <row r="936" spans="2:7" x14ac:dyDescent="0.25">
      <c r="B936" t="str">
        <f t="shared" si="58"/>
        <v/>
      </c>
      <c r="C936" s="16" t="str">
        <f t="shared" si="56"/>
        <v/>
      </c>
      <c r="D936" t="s">
        <v>926</v>
      </c>
      <c r="E936" t="str">
        <f t="shared" si="59"/>
        <v/>
      </c>
      <c r="F936" s="16" t="str">
        <f t="shared" si="57"/>
        <v/>
      </c>
      <c r="G936" t="s">
        <v>926</v>
      </c>
    </row>
    <row r="937" spans="2:7" x14ac:dyDescent="0.25">
      <c r="B937" t="str">
        <f t="shared" si="58"/>
        <v/>
      </c>
      <c r="C937" s="16" t="str">
        <f t="shared" si="56"/>
        <v/>
      </c>
      <c r="D937" t="s">
        <v>926</v>
      </c>
      <c r="E937" t="str">
        <f t="shared" si="59"/>
        <v/>
      </c>
      <c r="F937" s="16" t="str">
        <f t="shared" si="57"/>
        <v/>
      </c>
      <c r="G937" t="s">
        <v>926</v>
      </c>
    </row>
    <row r="938" spans="2:7" x14ac:dyDescent="0.25">
      <c r="B938" t="str">
        <f t="shared" si="58"/>
        <v/>
      </c>
      <c r="C938" s="16" t="str">
        <f t="shared" si="56"/>
        <v/>
      </c>
      <c r="D938" t="s">
        <v>926</v>
      </c>
      <c r="E938" t="str">
        <f t="shared" si="59"/>
        <v/>
      </c>
      <c r="F938" s="16" t="str">
        <f t="shared" si="57"/>
        <v/>
      </c>
      <c r="G938" t="s">
        <v>926</v>
      </c>
    </row>
    <row r="939" spans="2:7" x14ac:dyDescent="0.25">
      <c r="B939" t="str">
        <f t="shared" si="58"/>
        <v/>
      </c>
      <c r="C939" s="16" t="str">
        <f t="shared" si="56"/>
        <v/>
      </c>
      <c r="D939" t="s">
        <v>926</v>
      </c>
      <c r="E939" t="str">
        <f t="shared" si="59"/>
        <v/>
      </c>
      <c r="F939" s="16" t="str">
        <f t="shared" si="57"/>
        <v/>
      </c>
      <c r="G939" t="s">
        <v>926</v>
      </c>
    </row>
    <row r="940" spans="2:7" x14ac:dyDescent="0.25">
      <c r="B940" t="str">
        <f t="shared" si="58"/>
        <v/>
      </c>
      <c r="C940" s="16" t="str">
        <f t="shared" si="56"/>
        <v/>
      </c>
      <c r="D940" t="s">
        <v>926</v>
      </c>
      <c r="E940" t="str">
        <f t="shared" si="59"/>
        <v/>
      </c>
      <c r="F940" s="16" t="str">
        <f t="shared" si="57"/>
        <v/>
      </c>
      <c r="G940" t="s">
        <v>926</v>
      </c>
    </row>
    <row r="941" spans="2:7" x14ac:dyDescent="0.25">
      <c r="B941" t="str">
        <f t="shared" si="58"/>
        <v/>
      </c>
      <c r="C941" s="16" t="str">
        <f t="shared" si="56"/>
        <v/>
      </c>
      <c r="D941" t="s">
        <v>926</v>
      </c>
      <c r="E941" t="str">
        <f t="shared" si="59"/>
        <v/>
      </c>
      <c r="F941" s="16" t="str">
        <f t="shared" si="57"/>
        <v/>
      </c>
      <c r="G941" t="s">
        <v>926</v>
      </c>
    </row>
    <row r="942" spans="2:7" x14ac:dyDescent="0.25">
      <c r="B942" t="str">
        <f t="shared" si="58"/>
        <v/>
      </c>
      <c r="C942" s="16" t="str">
        <f t="shared" si="56"/>
        <v/>
      </c>
      <c r="D942" t="s">
        <v>926</v>
      </c>
      <c r="E942" t="str">
        <f t="shared" si="59"/>
        <v/>
      </c>
      <c r="F942" s="16" t="str">
        <f t="shared" si="57"/>
        <v/>
      </c>
      <c r="G942" t="s">
        <v>926</v>
      </c>
    </row>
    <row r="943" spans="2:7" x14ac:dyDescent="0.25">
      <c r="B943" t="str">
        <f t="shared" si="58"/>
        <v/>
      </c>
      <c r="C943" s="16" t="str">
        <f t="shared" si="56"/>
        <v/>
      </c>
      <c r="D943" t="s">
        <v>926</v>
      </c>
      <c r="E943" t="str">
        <f t="shared" si="59"/>
        <v/>
      </c>
      <c r="F943" s="16" t="str">
        <f t="shared" si="57"/>
        <v/>
      </c>
      <c r="G943" t="s">
        <v>926</v>
      </c>
    </row>
    <row r="944" spans="2:7" x14ac:dyDescent="0.25">
      <c r="B944" t="str">
        <f t="shared" si="58"/>
        <v/>
      </c>
      <c r="C944" s="16" t="str">
        <f t="shared" si="56"/>
        <v/>
      </c>
      <c r="D944" t="s">
        <v>926</v>
      </c>
      <c r="E944" t="str">
        <f t="shared" si="59"/>
        <v/>
      </c>
      <c r="F944" s="16" t="str">
        <f t="shared" si="57"/>
        <v/>
      </c>
      <c r="G944" t="s">
        <v>926</v>
      </c>
    </row>
    <row r="945" spans="2:7" x14ac:dyDescent="0.25">
      <c r="B945" t="str">
        <f t="shared" si="58"/>
        <v/>
      </c>
      <c r="C945" s="16" t="str">
        <f t="shared" si="56"/>
        <v/>
      </c>
      <c r="D945" t="s">
        <v>926</v>
      </c>
      <c r="E945" t="str">
        <f t="shared" si="59"/>
        <v/>
      </c>
      <c r="F945" s="16" t="str">
        <f t="shared" si="57"/>
        <v/>
      </c>
      <c r="G945" t="s">
        <v>926</v>
      </c>
    </row>
    <row r="946" spans="2:7" x14ac:dyDescent="0.25">
      <c r="B946" t="str">
        <f t="shared" si="58"/>
        <v/>
      </c>
      <c r="C946" s="16" t="str">
        <f t="shared" si="56"/>
        <v/>
      </c>
      <c r="D946" t="s">
        <v>926</v>
      </c>
      <c r="E946" t="str">
        <f t="shared" si="59"/>
        <v/>
      </c>
      <c r="F946" s="16" t="str">
        <f t="shared" si="57"/>
        <v/>
      </c>
      <c r="G946" t="s">
        <v>926</v>
      </c>
    </row>
    <row r="947" spans="2:7" x14ac:dyDescent="0.25">
      <c r="B947" t="str">
        <f t="shared" si="58"/>
        <v/>
      </c>
      <c r="C947" s="16" t="str">
        <f t="shared" si="56"/>
        <v/>
      </c>
      <c r="D947" t="s">
        <v>926</v>
      </c>
      <c r="E947" t="str">
        <f t="shared" si="59"/>
        <v/>
      </c>
      <c r="F947" s="16" t="str">
        <f t="shared" si="57"/>
        <v/>
      </c>
      <c r="G947" t="s">
        <v>926</v>
      </c>
    </row>
    <row r="948" spans="2:7" x14ac:dyDescent="0.25">
      <c r="B948" t="str">
        <f t="shared" si="58"/>
        <v/>
      </c>
      <c r="C948" s="16" t="str">
        <f t="shared" si="56"/>
        <v/>
      </c>
      <c r="D948" t="s">
        <v>926</v>
      </c>
      <c r="E948" t="str">
        <f t="shared" si="59"/>
        <v/>
      </c>
      <c r="F948" s="16" t="str">
        <f t="shared" si="57"/>
        <v/>
      </c>
      <c r="G948" t="s">
        <v>926</v>
      </c>
    </row>
    <row r="949" spans="2:7" x14ac:dyDescent="0.25">
      <c r="B949" t="str">
        <f t="shared" si="58"/>
        <v/>
      </c>
      <c r="C949" s="16" t="str">
        <f t="shared" si="56"/>
        <v/>
      </c>
      <c r="D949" t="s">
        <v>926</v>
      </c>
      <c r="E949" t="str">
        <f t="shared" si="59"/>
        <v/>
      </c>
      <c r="F949" s="16" t="str">
        <f t="shared" si="57"/>
        <v/>
      </c>
      <c r="G949" t="s">
        <v>926</v>
      </c>
    </row>
    <row r="950" spans="2:7" x14ac:dyDescent="0.25">
      <c r="B950" t="str">
        <f t="shared" si="58"/>
        <v/>
      </c>
      <c r="C950" s="16" t="str">
        <f t="shared" si="56"/>
        <v/>
      </c>
      <c r="D950" t="s">
        <v>926</v>
      </c>
      <c r="E950" t="str">
        <f t="shared" si="59"/>
        <v/>
      </c>
      <c r="F950" s="16" t="str">
        <f t="shared" si="57"/>
        <v/>
      </c>
      <c r="G950" t="s">
        <v>926</v>
      </c>
    </row>
    <row r="951" spans="2:7" x14ac:dyDescent="0.25">
      <c r="B951" t="str">
        <f t="shared" si="58"/>
        <v/>
      </c>
      <c r="C951" s="16" t="str">
        <f t="shared" si="56"/>
        <v/>
      </c>
      <c r="D951" t="s">
        <v>926</v>
      </c>
      <c r="E951" t="str">
        <f t="shared" si="59"/>
        <v/>
      </c>
      <c r="F951" s="16" t="str">
        <f t="shared" si="57"/>
        <v/>
      </c>
      <c r="G951" t="s">
        <v>926</v>
      </c>
    </row>
    <row r="952" spans="2:7" x14ac:dyDescent="0.25">
      <c r="B952" t="str">
        <f t="shared" si="58"/>
        <v/>
      </c>
      <c r="C952" s="16" t="str">
        <f t="shared" si="56"/>
        <v/>
      </c>
      <c r="D952" t="s">
        <v>926</v>
      </c>
      <c r="E952" t="str">
        <f t="shared" si="59"/>
        <v/>
      </c>
      <c r="F952" s="16" t="str">
        <f t="shared" si="57"/>
        <v/>
      </c>
      <c r="G952" t="s">
        <v>926</v>
      </c>
    </row>
    <row r="953" spans="2:7" x14ac:dyDescent="0.25">
      <c r="B953" t="str">
        <f t="shared" si="58"/>
        <v/>
      </c>
      <c r="C953" s="16" t="str">
        <f t="shared" si="56"/>
        <v/>
      </c>
      <c r="D953" t="s">
        <v>926</v>
      </c>
      <c r="E953" t="str">
        <f t="shared" si="59"/>
        <v/>
      </c>
      <c r="F953" s="16" t="str">
        <f t="shared" si="57"/>
        <v/>
      </c>
      <c r="G953" t="s">
        <v>926</v>
      </c>
    </row>
    <row r="954" spans="2:7" x14ac:dyDescent="0.25">
      <c r="B954" t="str">
        <f t="shared" si="58"/>
        <v/>
      </c>
      <c r="C954" s="16" t="str">
        <f t="shared" si="56"/>
        <v/>
      </c>
      <c r="D954" t="s">
        <v>926</v>
      </c>
      <c r="E954" t="str">
        <f t="shared" si="59"/>
        <v/>
      </c>
      <c r="F954" s="16" t="str">
        <f t="shared" si="57"/>
        <v/>
      </c>
      <c r="G954" t="s">
        <v>926</v>
      </c>
    </row>
    <row r="955" spans="2:7" x14ac:dyDescent="0.25">
      <c r="B955" t="str">
        <f t="shared" si="58"/>
        <v/>
      </c>
      <c r="C955" s="16" t="str">
        <f t="shared" si="56"/>
        <v/>
      </c>
      <c r="D955" t="s">
        <v>926</v>
      </c>
      <c r="E955" t="str">
        <f t="shared" si="59"/>
        <v/>
      </c>
      <c r="F955" s="16" t="str">
        <f t="shared" si="57"/>
        <v/>
      </c>
      <c r="G955" t="s">
        <v>926</v>
      </c>
    </row>
    <row r="956" spans="2:7" x14ac:dyDescent="0.25">
      <c r="B956" t="str">
        <f t="shared" si="58"/>
        <v/>
      </c>
      <c r="C956" s="16" t="str">
        <f t="shared" si="56"/>
        <v/>
      </c>
      <c r="D956" t="s">
        <v>926</v>
      </c>
      <c r="E956" t="str">
        <f t="shared" si="59"/>
        <v/>
      </c>
      <c r="F956" s="16" t="str">
        <f t="shared" si="57"/>
        <v/>
      </c>
      <c r="G956" t="s">
        <v>926</v>
      </c>
    </row>
    <row r="957" spans="2:7" x14ac:dyDescent="0.25">
      <c r="B957" t="str">
        <f t="shared" si="58"/>
        <v/>
      </c>
      <c r="C957" s="16" t="str">
        <f t="shared" si="56"/>
        <v/>
      </c>
      <c r="D957" t="s">
        <v>926</v>
      </c>
      <c r="E957" t="str">
        <f t="shared" si="59"/>
        <v/>
      </c>
      <c r="F957" s="16" t="str">
        <f t="shared" si="57"/>
        <v/>
      </c>
      <c r="G957" t="s">
        <v>926</v>
      </c>
    </row>
    <row r="958" spans="2:7" x14ac:dyDescent="0.25">
      <c r="B958" t="str">
        <f t="shared" si="58"/>
        <v/>
      </c>
      <c r="C958" s="16" t="str">
        <f t="shared" si="56"/>
        <v/>
      </c>
      <c r="D958" t="s">
        <v>926</v>
      </c>
      <c r="E958" t="str">
        <f t="shared" si="59"/>
        <v/>
      </c>
      <c r="F958" s="16" t="str">
        <f t="shared" si="57"/>
        <v/>
      </c>
      <c r="G958" t="s">
        <v>926</v>
      </c>
    </row>
    <row r="959" spans="2:7" x14ac:dyDescent="0.25">
      <c r="B959" t="str">
        <f t="shared" si="58"/>
        <v/>
      </c>
      <c r="C959" s="16" t="str">
        <f t="shared" si="56"/>
        <v/>
      </c>
      <c r="D959" t="s">
        <v>926</v>
      </c>
      <c r="E959" t="str">
        <f t="shared" si="59"/>
        <v/>
      </c>
      <c r="F959" s="16" t="str">
        <f t="shared" si="57"/>
        <v/>
      </c>
      <c r="G959" t="s">
        <v>926</v>
      </c>
    </row>
    <row r="960" spans="2:7" x14ac:dyDescent="0.25">
      <c r="B960" t="str">
        <f t="shared" si="58"/>
        <v/>
      </c>
      <c r="C960" s="16" t="str">
        <f t="shared" si="56"/>
        <v/>
      </c>
      <c r="D960" t="s">
        <v>926</v>
      </c>
      <c r="E960" t="str">
        <f t="shared" si="59"/>
        <v/>
      </c>
      <c r="F960" s="16" t="str">
        <f t="shared" si="57"/>
        <v/>
      </c>
      <c r="G960" t="s">
        <v>926</v>
      </c>
    </row>
    <row r="961" spans="2:7" x14ac:dyDescent="0.25">
      <c r="B961" t="str">
        <f t="shared" si="58"/>
        <v/>
      </c>
      <c r="C961" s="16" t="str">
        <f t="shared" si="56"/>
        <v/>
      </c>
      <c r="D961" t="s">
        <v>926</v>
      </c>
      <c r="E961" t="str">
        <f t="shared" si="59"/>
        <v/>
      </c>
      <c r="F961" s="16" t="str">
        <f t="shared" si="57"/>
        <v/>
      </c>
      <c r="G961" t="s">
        <v>926</v>
      </c>
    </row>
    <row r="962" spans="2:7" x14ac:dyDescent="0.25">
      <c r="B962" t="str">
        <f t="shared" si="58"/>
        <v/>
      </c>
      <c r="C962" s="16" t="str">
        <f t="shared" si="56"/>
        <v/>
      </c>
      <c r="D962" t="s">
        <v>926</v>
      </c>
      <c r="E962" t="str">
        <f t="shared" si="59"/>
        <v/>
      </c>
      <c r="F962" s="16" t="str">
        <f t="shared" si="57"/>
        <v/>
      </c>
      <c r="G962" t="s">
        <v>926</v>
      </c>
    </row>
    <row r="963" spans="2:7" x14ac:dyDescent="0.25">
      <c r="B963" t="str">
        <f t="shared" si="58"/>
        <v/>
      </c>
      <c r="C963" s="16" t="str">
        <f t="shared" ref="C963:C1002" si="60">IF(ISERROR(VLOOKUP(B963,ImpComp,2,FALSE)),"",VLOOKUP(B963,ImpComp,2,FALSE))</f>
        <v/>
      </c>
      <c r="D963" t="s">
        <v>926</v>
      </c>
      <c r="E963" t="str">
        <f t="shared" si="59"/>
        <v/>
      </c>
      <c r="F963" s="16" t="str">
        <f t="shared" ref="F963:F1026" si="61" xml:space="preserve"> IF(ISERROR(VLOOKUP(E963,Imp_IVA1,2,FALSE)),"",VLOOKUP(E963,Imp_IVA1,2,FALSE))&amp; IF(ISERROR(VLOOKUP(E963,Imp_IVA2,2,FALSE)),"",VLOOKUP(E963,Imp_IVA2,2,FALSE))</f>
        <v/>
      </c>
      <c r="G963" t="s">
        <v>926</v>
      </c>
    </row>
    <row r="964" spans="2:7" x14ac:dyDescent="0.25">
      <c r="B964" t="str">
        <f t="shared" si="58"/>
        <v/>
      </c>
      <c r="C964" s="16" t="str">
        <f t="shared" si="60"/>
        <v/>
      </c>
      <c r="D964" t="s">
        <v>926</v>
      </c>
      <c r="E964" t="str">
        <f t="shared" si="59"/>
        <v/>
      </c>
      <c r="F964" s="16" t="str">
        <f t="shared" si="61"/>
        <v/>
      </c>
      <c r="G964" t="s">
        <v>926</v>
      </c>
    </row>
    <row r="965" spans="2:7" x14ac:dyDescent="0.25">
      <c r="B965" t="str">
        <f t="shared" ref="B965:B1002" si="62">IF(OR(B964=$B$2,B964=""),"",B964+1)</f>
        <v/>
      </c>
      <c r="C965" s="16" t="str">
        <f t="shared" si="60"/>
        <v/>
      </c>
      <c r="D965" t="s">
        <v>926</v>
      </c>
      <c r="E965" t="str">
        <f t="shared" ref="E965:E1028" si="63">IF(OR(E964=$E$2,E964=""),"",E964+1)</f>
        <v/>
      </c>
      <c r="F965" s="16" t="str">
        <f t="shared" si="61"/>
        <v/>
      </c>
      <c r="G965" t="s">
        <v>926</v>
      </c>
    </row>
    <row r="966" spans="2:7" x14ac:dyDescent="0.25">
      <c r="B966" t="str">
        <f t="shared" si="62"/>
        <v/>
      </c>
      <c r="C966" s="16" t="str">
        <f t="shared" si="60"/>
        <v/>
      </c>
      <c r="D966" t="s">
        <v>926</v>
      </c>
      <c r="E966" t="str">
        <f t="shared" si="63"/>
        <v/>
      </c>
      <c r="F966" s="16" t="str">
        <f t="shared" si="61"/>
        <v/>
      </c>
      <c r="G966" t="s">
        <v>926</v>
      </c>
    </row>
    <row r="967" spans="2:7" x14ac:dyDescent="0.25">
      <c r="B967" t="str">
        <f t="shared" si="62"/>
        <v/>
      </c>
      <c r="C967" s="16" t="str">
        <f t="shared" si="60"/>
        <v/>
      </c>
      <c r="D967" t="s">
        <v>926</v>
      </c>
      <c r="E967" t="str">
        <f t="shared" si="63"/>
        <v/>
      </c>
      <c r="F967" s="16" t="str">
        <f t="shared" si="61"/>
        <v/>
      </c>
      <c r="G967" t="s">
        <v>926</v>
      </c>
    </row>
    <row r="968" spans="2:7" x14ac:dyDescent="0.25">
      <c r="B968" t="str">
        <f t="shared" si="62"/>
        <v/>
      </c>
      <c r="C968" s="16" t="str">
        <f t="shared" si="60"/>
        <v/>
      </c>
      <c r="D968" t="s">
        <v>926</v>
      </c>
      <c r="E968" t="str">
        <f t="shared" si="63"/>
        <v/>
      </c>
      <c r="F968" s="16" t="str">
        <f t="shared" si="61"/>
        <v/>
      </c>
      <c r="G968" t="s">
        <v>926</v>
      </c>
    </row>
    <row r="969" spans="2:7" x14ac:dyDescent="0.25">
      <c r="B969" t="str">
        <f t="shared" si="62"/>
        <v/>
      </c>
      <c r="C969" s="16" t="str">
        <f t="shared" si="60"/>
        <v/>
      </c>
      <c r="D969" t="s">
        <v>926</v>
      </c>
      <c r="E969" t="str">
        <f t="shared" si="63"/>
        <v/>
      </c>
      <c r="F969" s="16" t="str">
        <f t="shared" si="61"/>
        <v/>
      </c>
      <c r="G969" t="s">
        <v>926</v>
      </c>
    </row>
    <row r="970" spans="2:7" x14ac:dyDescent="0.25">
      <c r="B970" t="str">
        <f t="shared" si="62"/>
        <v/>
      </c>
      <c r="C970" s="16" t="str">
        <f t="shared" si="60"/>
        <v/>
      </c>
      <c r="D970" t="s">
        <v>926</v>
      </c>
      <c r="E970" t="str">
        <f t="shared" si="63"/>
        <v/>
      </c>
      <c r="F970" s="16" t="str">
        <f t="shared" si="61"/>
        <v/>
      </c>
      <c r="G970" t="s">
        <v>926</v>
      </c>
    </row>
    <row r="971" spans="2:7" x14ac:dyDescent="0.25">
      <c r="B971" t="str">
        <f t="shared" si="62"/>
        <v/>
      </c>
      <c r="C971" s="16" t="str">
        <f t="shared" si="60"/>
        <v/>
      </c>
      <c r="D971" t="s">
        <v>926</v>
      </c>
      <c r="E971" t="str">
        <f t="shared" si="63"/>
        <v/>
      </c>
      <c r="F971" s="16" t="str">
        <f t="shared" si="61"/>
        <v/>
      </c>
      <c r="G971" t="s">
        <v>926</v>
      </c>
    </row>
    <row r="972" spans="2:7" x14ac:dyDescent="0.25">
      <c r="B972" t="str">
        <f t="shared" si="62"/>
        <v/>
      </c>
      <c r="C972" s="16" t="str">
        <f t="shared" si="60"/>
        <v/>
      </c>
      <c r="D972" t="s">
        <v>926</v>
      </c>
      <c r="E972" t="str">
        <f t="shared" si="63"/>
        <v/>
      </c>
      <c r="F972" s="16" t="str">
        <f t="shared" si="61"/>
        <v/>
      </c>
      <c r="G972" t="s">
        <v>926</v>
      </c>
    </row>
    <row r="973" spans="2:7" x14ac:dyDescent="0.25">
      <c r="B973" t="str">
        <f t="shared" si="62"/>
        <v/>
      </c>
      <c r="C973" s="16" t="str">
        <f t="shared" si="60"/>
        <v/>
      </c>
      <c r="D973" t="s">
        <v>926</v>
      </c>
      <c r="E973" t="str">
        <f t="shared" si="63"/>
        <v/>
      </c>
      <c r="F973" s="16" t="str">
        <f t="shared" si="61"/>
        <v/>
      </c>
      <c r="G973" t="s">
        <v>926</v>
      </c>
    </row>
    <row r="974" spans="2:7" x14ac:dyDescent="0.25">
      <c r="B974" t="str">
        <f t="shared" si="62"/>
        <v/>
      </c>
      <c r="C974" s="16" t="str">
        <f t="shared" si="60"/>
        <v/>
      </c>
      <c r="D974" t="s">
        <v>926</v>
      </c>
      <c r="E974" t="str">
        <f t="shared" si="63"/>
        <v/>
      </c>
      <c r="F974" s="16" t="str">
        <f t="shared" si="61"/>
        <v/>
      </c>
      <c r="G974" t="s">
        <v>926</v>
      </c>
    </row>
    <row r="975" spans="2:7" x14ac:dyDescent="0.25">
      <c r="B975" t="str">
        <f t="shared" si="62"/>
        <v/>
      </c>
      <c r="C975" s="16" t="str">
        <f t="shared" si="60"/>
        <v/>
      </c>
      <c r="D975" t="s">
        <v>926</v>
      </c>
      <c r="E975" t="str">
        <f t="shared" si="63"/>
        <v/>
      </c>
      <c r="F975" s="16" t="str">
        <f t="shared" si="61"/>
        <v/>
      </c>
      <c r="G975" t="s">
        <v>926</v>
      </c>
    </row>
    <row r="976" spans="2:7" x14ac:dyDescent="0.25">
      <c r="B976" t="str">
        <f t="shared" si="62"/>
        <v/>
      </c>
      <c r="C976" s="16" t="str">
        <f t="shared" si="60"/>
        <v/>
      </c>
      <c r="D976" t="s">
        <v>926</v>
      </c>
      <c r="E976" t="str">
        <f t="shared" si="63"/>
        <v/>
      </c>
      <c r="F976" s="16" t="str">
        <f t="shared" si="61"/>
        <v/>
      </c>
      <c r="G976" t="s">
        <v>926</v>
      </c>
    </row>
    <row r="977" spans="2:7" x14ac:dyDescent="0.25">
      <c r="B977" t="str">
        <f t="shared" si="62"/>
        <v/>
      </c>
      <c r="C977" s="16" t="str">
        <f t="shared" si="60"/>
        <v/>
      </c>
      <c r="D977" t="s">
        <v>926</v>
      </c>
      <c r="E977" t="str">
        <f t="shared" si="63"/>
        <v/>
      </c>
      <c r="F977" s="16" t="str">
        <f t="shared" si="61"/>
        <v/>
      </c>
      <c r="G977" t="s">
        <v>926</v>
      </c>
    </row>
    <row r="978" spans="2:7" x14ac:dyDescent="0.25">
      <c r="B978" t="str">
        <f t="shared" si="62"/>
        <v/>
      </c>
      <c r="C978" s="16" t="str">
        <f t="shared" si="60"/>
        <v/>
      </c>
      <c r="D978" t="s">
        <v>926</v>
      </c>
      <c r="E978" t="str">
        <f t="shared" si="63"/>
        <v/>
      </c>
      <c r="F978" s="16" t="str">
        <f t="shared" si="61"/>
        <v/>
      </c>
      <c r="G978" t="s">
        <v>926</v>
      </c>
    </row>
    <row r="979" spans="2:7" x14ac:dyDescent="0.25">
      <c r="B979" t="str">
        <f t="shared" si="62"/>
        <v/>
      </c>
      <c r="C979" s="16" t="str">
        <f t="shared" si="60"/>
        <v/>
      </c>
      <c r="D979" t="s">
        <v>926</v>
      </c>
      <c r="E979" t="str">
        <f t="shared" si="63"/>
        <v/>
      </c>
      <c r="F979" s="16" t="str">
        <f t="shared" si="61"/>
        <v/>
      </c>
      <c r="G979" t="s">
        <v>926</v>
      </c>
    </row>
    <row r="980" spans="2:7" x14ac:dyDescent="0.25">
      <c r="B980" t="str">
        <f t="shared" si="62"/>
        <v/>
      </c>
      <c r="C980" s="16" t="str">
        <f t="shared" si="60"/>
        <v/>
      </c>
      <c r="D980" t="s">
        <v>926</v>
      </c>
      <c r="E980" t="str">
        <f t="shared" si="63"/>
        <v/>
      </c>
      <c r="F980" s="16" t="str">
        <f t="shared" si="61"/>
        <v/>
      </c>
      <c r="G980" t="s">
        <v>926</v>
      </c>
    </row>
    <row r="981" spans="2:7" x14ac:dyDescent="0.25">
      <c r="B981" t="str">
        <f t="shared" si="62"/>
        <v/>
      </c>
      <c r="C981" s="16" t="str">
        <f t="shared" si="60"/>
        <v/>
      </c>
      <c r="D981" t="s">
        <v>926</v>
      </c>
      <c r="E981" t="str">
        <f t="shared" si="63"/>
        <v/>
      </c>
      <c r="F981" s="16" t="str">
        <f t="shared" si="61"/>
        <v/>
      </c>
      <c r="G981" t="s">
        <v>926</v>
      </c>
    </row>
    <row r="982" spans="2:7" x14ac:dyDescent="0.25">
      <c r="B982" t="str">
        <f t="shared" si="62"/>
        <v/>
      </c>
      <c r="C982" s="16" t="str">
        <f t="shared" si="60"/>
        <v/>
      </c>
      <c r="D982" t="s">
        <v>926</v>
      </c>
      <c r="E982" t="str">
        <f t="shared" si="63"/>
        <v/>
      </c>
      <c r="F982" s="16" t="str">
        <f t="shared" si="61"/>
        <v/>
      </c>
      <c r="G982" t="s">
        <v>926</v>
      </c>
    </row>
    <row r="983" spans="2:7" x14ac:dyDescent="0.25">
      <c r="B983" t="str">
        <f t="shared" si="62"/>
        <v/>
      </c>
      <c r="C983" s="16" t="str">
        <f t="shared" si="60"/>
        <v/>
      </c>
      <c r="D983" t="s">
        <v>926</v>
      </c>
      <c r="E983" t="str">
        <f t="shared" si="63"/>
        <v/>
      </c>
      <c r="F983" s="16" t="str">
        <f t="shared" si="61"/>
        <v/>
      </c>
      <c r="G983" t="s">
        <v>926</v>
      </c>
    </row>
    <row r="984" spans="2:7" x14ac:dyDescent="0.25">
      <c r="B984" t="str">
        <f t="shared" si="62"/>
        <v/>
      </c>
      <c r="C984" s="16" t="str">
        <f t="shared" si="60"/>
        <v/>
      </c>
      <c r="D984" t="s">
        <v>926</v>
      </c>
      <c r="E984" t="str">
        <f t="shared" si="63"/>
        <v/>
      </c>
      <c r="F984" s="16" t="str">
        <f t="shared" si="61"/>
        <v/>
      </c>
      <c r="G984" t="s">
        <v>926</v>
      </c>
    </row>
    <row r="985" spans="2:7" x14ac:dyDescent="0.25">
      <c r="B985" t="str">
        <f t="shared" si="62"/>
        <v/>
      </c>
      <c r="C985" s="16" t="str">
        <f t="shared" si="60"/>
        <v/>
      </c>
      <c r="D985" t="s">
        <v>926</v>
      </c>
      <c r="E985" t="str">
        <f t="shared" si="63"/>
        <v/>
      </c>
      <c r="F985" s="16" t="str">
        <f t="shared" si="61"/>
        <v/>
      </c>
      <c r="G985" t="s">
        <v>926</v>
      </c>
    </row>
    <row r="986" spans="2:7" x14ac:dyDescent="0.25">
      <c r="B986" t="str">
        <f t="shared" si="62"/>
        <v/>
      </c>
      <c r="C986" s="16" t="str">
        <f t="shared" si="60"/>
        <v/>
      </c>
      <c r="D986" t="s">
        <v>926</v>
      </c>
      <c r="E986" t="str">
        <f t="shared" si="63"/>
        <v/>
      </c>
      <c r="F986" s="16" t="str">
        <f t="shared" si="61"/>
        <v/>
      </c>
      <c r="G986" t="s">
        <v>926</v>
      </c>
    </row>
    <row r="987" spans="2:7" x14ac:dyDescent="0.25">
      <c r="B987" t="str">
        <f t="shared" si="62"/>
        <v/>
      </c>
      <c r="C987" s="16" t="str">
        <f t="shared" si="60"/>
        <v/>
      </c>
      <c r="D987" t="s">
        <v>926</v>
      </c>
      <c r="E987" t="str">
        <f t="shared" si="63"/>
        <v/>
      </c>
      <c r="F987" s="16" t="str">
        <f t="shared" si="61"/>
        <v/>
      </c>
      <c r="G987" t="s">
        <v>926</v>
      </c>
    </row>
    <row r="988" spans="2:7" x14ac:dyDescent="0.25">
      <c r="B988" t="str">
        <f t="shared" si="62"/>
        <v/>
      </c>
      <c r="C988" s="16" t="str">
        <f t="shared" si="60"/>
        <v/>
      </c>
      <c r="D988" t="s">
        <v>926</v>
      </c>
      <c r="E988" t="str">
        <f t="shared" si="63"/>
        <v/>
      </c>
      <c r="F988" s="16" t="str">
        <f t="shared" si="61"/>
        <v/>
      </c>
      <c r="G988" t="s">
        <v>926</v>
      </c>
    </row>
    <row r="989" spans="2:7" x14ac:dyDescent="0.25">
      <c r="B989" t="str">
        <f t="shared" si="62"/>
        <v/>
      </c>
      <c r="C989" s="16" t="str">
        <f t="shared" si="60"/>
        <v/>
      </c>
      <c r="D989" t="s">
        <v>926</v>
      </c>
      <c r="E989" t="str">
        <f t="shared" si="63"/>
        <v/>
      </c>
      <c r="F989" s="16" t="str">
        <f t="shared" si="61"/>
        <v/>
      </c>
      <c r="G989" t="s">
        <v>926</v>
      </c>
    </row>
    <row r="990" spans="2:7" x14ac:dyDescent="0.25">
      <c r="B990" t="str">
        <f t="shared" si="62"/>
        <v/>
      </c>
      <c r="C990" s="16" t="str">
        <f t="shared" si="60"/>
        <v/>
      </c>
      <c r="D990" t="s">
        <v>926</v>
      </c>
      <c r="E990" t="str">
        <f t="shared" si="63"/>
        <v/>
      </c>
      <c r="F990" s="16" t="str">
        <f t="shared" si="61"/>
        <v/>
      </c>
      <c r="G990" t="s">
        <v>926</v>
      </c>
    </row>
    <row r="991" spans="2:7" x14ac:dyDescent="0.25">
      <c r="B991" t="str">
        <f t="shared" si="62"/>
        <v/>
      </c>
      <c r="C991" s="16" t="str">
        <f t="shared" si="60"/>
        <v/>
      </c>
      <c r="D991" t="s">
        <v>926</v>
      </c>
      <c r="E991" t="str">
        <f t="shared" si="63"/>
        <v/>
      </c>
      <c r="F991" s="16" t="str">
        <f t="shared" si="61"/>
        <v/>
      </c>
      <c r="G991" t="s">
        <v>926</v>
      </c>
    </row>
    <row r="992" spans="2:7" x14ac:dyDescent="0.25">
      <c r="B992" t="str">
        <f t="shared" si="62"/>
        <v/>
      </c>
      <c r="C992" s="16" t="str">
        <f t="shared" si="60"/>
        <v/>
      </c>
      <c r="D992" t="s">
        <v>926</v>
      </c>
      <c r="E992" t="str">
        <f t="shared" si="63"/>
        <v/>
      </c>
      <c r="F992" s="16" t="str">
        <f t="shared" si="61"/>
        <v/>
      </c>
      <c r="G992" t="s">
        <v>926</v>
      </c>
    </row>
    <row r="993" spans="2:7" x14ac:dyDescent="0.25">
      <c r="B993" t="str">
        <f t="shared" si="62"/>
        <v/>
      </c>
      <c r="C993" s="16" t="str">
        <f t="shared" si="60"/>
        <v/>
      </c>
      <c r="D993" t="s">
        <v>926</v>
      </c>
      <c r="E993" t="str">
        <f t="shared" si="63"/>
        <v/>
      </c>
      <c r="F993" s="16" t="str">
        <f t="shared" si="61"/>
        <v/>
      </c>
      <c r="G993" t="s">
        <v>926</v>
      </c>
    </row>
    <row r="994" spans="2:7" x14ac:dyDescent="0.25">
      <c r="B994" t="str">
        <f t="shared" si="62"/>
        <v/>
      </c>
      <c r="C994" s="16" t="str">
        <f t="shared" si="60"/>
        <v/>
      </c>
      <c r="D994" t="s">
        <v>926</v>
      </c>
      <c r="E994" t="str">
        <f t="shared" si="63"/>
        <v/>
      </c>
      <c r="F994" s="16" t="str">
        <f t="shared" si="61"/>
        <v/>
      </c>
      <c r="G994" t="s">
        <v>926</v>
      </c>
    </row>
    <row r="995" spans="2:7" x14ac:dyDescent="0.25">
      <c r="B995" t="str">
        <f t="shared" si="62"/>
        <v/>
      </c>
      <c r="C995" s="16" t="str">
        <f t="shared" si="60"/>
        <v/>
      </c>
      <c r="D995" t="s">
        <v>926</v>
      </c>
      <c r="E995" t="str">
        <f t="shared" si="63"/>
        <v/>
      </c>
      <c r="F995" s="16" t="str">
        <f t="shared" si="61"/>
        <v/>
      </c>
      <c r="G995" t="s">
        <v>926</v>
      </c>
    </row>
    <row r="996" spans="2:7" x14ac:dyDescent="0.25">
      <c r="B996" t="str">
        <f t="shared" si="62"/>
        <v/>
      </c>
      <c r="C996" s="16" t="str">
        <f t="shared" si="60"/>
        <v/>
      </c>
      <c r="D996" t="s">
        <v>926</v>
      </c>
      <c r="E996" t="str">
        <f t="shared" si="63"/>
        <v/>
      </c>
      <c r="F996" s="16" t="str">
        <f t="shared" si="61"/>
        <v/>
      </c>
      <c r="G996" t="s">
        <v>926</v>
      </c>
    </row>
    <row r="997" spans="2:7" x14ac:dyDescent="0.25">
      <c r="B997" t="str">
        <f t="shared" si="62"/>
        <v/>
      </c>
      <c r="C997" s="16" t="str">
        <f t="shared" si="60"/>
        <v/>
      </c>
      <c r="D997" t="s">
        <v>926</v>
      </c>
      <c r="E997" t="str">
        <f t="shared" si="63"/>
        <v/>
      </c>
      <c r="F997" s="16" t="str">
        <f t="shared" si="61"/>
        <v/>
      </c>
      <c r="G997" t="s">
        <v>926</v>
      </c>
    </row>
    <row r="998" spans="2:7" x14ac:dyDescent="0.25">
      <c r="B998" t="str">
        <f t="shared" si="62"/>
        <v/>
      </c>
      <c r="C998" s="16" t="str">
        <f t="shared" si="60"/>
        <v/>
      </c>
      <c r="D998" t="s">
        <v>926</v>
      </c>
      <c r="E998" t="str">
        <f t="shared" si="63"/>
        <v/>
      </c>
      <c r="F998" s="16" t="str">
        <f t="shared" si="61"/>
        <v/>
      </c>
      <c r="G998" t="s">
        <v>926</v>
      </c>
    </row>
    <row r="999" spans="2:7" x14ac:dyDescent="0.25">
      <c r="B999" t="str">
        <f t="shared" si="62"/>
        <v/>
      </c>
      <c r="C999" s="16" t="str">
        <f t="shared" si="60"/>
        <v/>
      </c>
      <c r="D999" t="s">
        <v>926</v>
      </c>
      <c r="E999" t="str">
        <f t="shared" si="63"/>
        <v/>
      </c>
      <c r="F999" s="16" t="str">
        <f t="shared" si="61"/>
        <v/>
      </c>
      <c r="G999" t="s">
        <v>926</v>
      </c>
    </row>
    <row r="1000" spans="2:7" x14ac:dyDescent="0.25">
      <c r="B1000" t="str">
        <f t="shared" si="62"/>
        <v/>
      </c>
      <c r="C1000" s="16" t="str">
        <f t="shared" si="60"/>
        <v/>
      </c>
      <c r="D1000" t="s">
        <v>926</v>
      </c>
      <c r="E1000" t="str">
        <f t="shared" si="63"/>
        <v/>
      </c>
      <c r="F1000" s="16" t="str">
        <f t="shared" si="61"/>
        <v/>
      </c>
      <c r="G1000" t="s">
        <v>926</v>
      </c>
    </row>
    <row r="1001" spans="2:7" x14ac:dyDescent="0.25">
      <c r="B1001" t="str">
        <f t="shared" si="62"/>
        <v/>
      </c>
      <c r="C1001" s="16" t="str">
        <f t="shared" si="60"/>
        <v/>
      </c>
      <c r="D1001" t="s">
        <v>926</v>
      </c>
      <c r="E1001" t="str">
        <f t="shared" si="63"/>
        <v/>
      </c>
      <c r="F1001" s="16" t="str">
        <f t="shared" si="61"/>
        <v/>
      </c>
      <c r="G1001" t="s">
        <v>926</v>
      </c>
    </row>
    <row r="1002" spans="2:7" ht="15.75" thickBot="1" x14ac:dyDescent="0.3">
      <c r="B1002" t="str">
        <f t="shared" si="62"/>
        <v/>
      </c>
      <c r="C1002" s="17" t="str">
        <f t="shared" si="60"/>
        <v/>
      </c>
      <c r="D1002" t="s">
        <v>926</v>
      </c>
      <c r="E1002" t="str">
        <f t="shared" si="63"/>
        <v/>
      </c>
      <c r="F1002" s="16" t="str">
        <f t="shared" si="61"/>
        <v/>
      </c>
      <c r="G1002" t="s">
        <v>926</v>
      </c>
    </row>
    <row r="1003" spans="2:7" x14ac:dyDescent="0.25">
      <c r="C1003" s="14"/>
      <c r="D1003" t="s">
        <v>926</v>
      </c>
      <c r="E1003" t="str">
        <f t="shared" si="63"/>
        <v/>
      </c>
      <c r="F1003" s="16" t="str">
        <f t="shared" si="61"/>
        <v/>
      </c>
      <c r="G1003" t="s">
        <v>926</v>
      </c>
    </row>
    <row r="1004" spans="2:7" x14ac:dyDescent="0.25">
      <c r="D1004" t="s">
        <v>926</v>
      </c>
      <c r="E1004" t="str">
        <f t="shared" si="63"/>
        <v/>
      </c>
      <c r="F1004" s="16" t="str">
        <f t="shared" si="61"/>
        <v/>
      </c>
      <c r="G1004" t="s">
        <v>926</v>
      </c>
    </row>
    <row r="1005" spans="2:7" x14ac:dyDescent="0.25">
      <c r="D1005" t="s">
        <v>926</v>
      </c>
      <c r="E1005" t="str">
        <f t="shared" si="63"/>
        <v/>
      </c>
      <c r="F1005" s="16" t="str">
        <f t="shared" si="61"/>
        <v/>
      </c>
      <c r="G1005" t="s">
        <v>926</v>
      </c>
    </row>
    <row r="1006" spans="2:7" x14ac:dyDescent="0.25">
      <c r="D1006" t="s">
        <v>926</v>
      </c>
      <c r="E1006" t="str">
        <f t="shared" si="63"/>
        <v/>
      </c>
      <c r="F1006" s="16" t="str">
        <f t="shared" si="61"/>
        <v/>
      </c>
      <c r="G1006" t="s">
        <v>926</v>
      </c>
    </row>
    <row r="1007" spans="2:7" x14ac:dyDescent="0.25">
      <c r="D1007" t="s">
        <v>926</v>
      </c>
      <c r="E1007" t="str">
        <f t="shared" si="63"/>
        <v/>
      </c>
      <c r="F1007" s="16" t="str">
        <f t="shared" si="61"/>
        <v/>
      </c>
      <c r="G1007" t="s">
        <v>926</v>
      </c>
    </row>
    <row r="1008" spans="2:7" x14ac:dyDescent="0.25">
      <c r="D1008" t="s">
        <v>926</v>
      </c>
      <c r="E1008" t="str">
        <f t="shared" si="63"/>
        <v/>
      </c>
      <c r="F1008" s="16" t="str">
        <f t="shared" si="61"/>
        <v/>
      </c>
      <c r="G1008" t="s">
        <v>926</v>
      </c>
    </row>
    <row r="1009" spans="4:7" x14ac:dyDescent="0.25">
      <c r="D1009" t="s">
        <v>926</v>
      </c>
      <c r="E1009" t="str">
        <f t="shared" si="63"/>
        <v/>
      </c>
      <c r="F1009" s="16" t="str">
        <f t="shared" si="61"/>
        <v/>
      </c>
      <c r="G1009" t="s">
        <v>926</v>
      </c>
    </row>
    <row r="1010" spans="4:7" x14ac:dyDescent="0.25">
      <c r="D1010" t="s">
        <v>926</v>
      </c>
      <c r="E1010" t="str">
        <f t="shared" si="63"/>
        <v/>
      </c>
      <c r="F1010" s="16" t="str">
        <f t="shared" si="61"/>
        <v/>
      </c>
      <c r="G1010" t="s">
        <v>926</v>
      </c>
    </row>
    <row r="1011" spans="4:7" x14ac:dyDescent="0.25">
      <c r="D1011" t="s">
        <v>926</v>
      </c>
      <c r="E1011" t="str">
        <f t="shared" si="63"/>
        <v/>
      </c>
      <c r="F1011" s="16" t="str">
        <f t="shared" si="61"/>
        <v/>
      </c>
      <c r="G1011" t="s">
        <v>926</v>
      </c>
    </row>
    <row r="1012" spans="4:7" x14ac:dyDescent="0.25">
      <c r="D1012" t="s">
        <v>926</v>
      </c>
      <c r="E1012" t="str">
        <f t="shared" si="63"/>
        <v/>
      </c>
      <c r="F1012" s="16" t="str">
        <f t="shared" si="61"/>
        <v/>
      </c>
      <c r="G1012" t="s">
        <v>926</v>
      </c>
    </row>
    <row r="1013" spans="4:7" x14ac:dyDescent="0.25">
      <c r="D1013" t="s">
        <v>926</v>
      </c>
      <c r="E1013" t="str">
        <f t="shared" si="63"/>
        <v/>
      </c>
      <c r="F1013" s="16" t="str">
        <f t="shared" si="61"/>
        <v/>
      </c>
      <c r="G1013" t="s">
        <v>926</v>
      </c>
    </row>
    <row r="1014" spans="4:7" x14ac:dyDescent="0.25">
      <c r="D1014" t="s">
        <v>926</v>
      </c>
      <c r="E1014" t="str">
        <f t="shared" si="63"/>
        <v/>
      </c>
      <c r="F1014" s="16" t="str">
        <f t="shared" si="61"/>
        <v/>
      </c>
      <c r="G1014" t="s">
        <v>926</v>
      </c>
    </row>
    <row r="1015" spans="4:7" x14ac:dyDescent="0.25">
      <c r="D1015" t="s">
        <v>926</v>
      </c>
      <c r="E1015" t="str">
        <f t="shared" si="63"/>
        <v/>
      </c>
      <c r="F1015" s="16" t="str">
        <f t="shared" si="61"/>
        <v/>
      </c>
      <c r="G1015" t="s">
        <v>926</v>
      </c>
    </row>
    <row r="1016" spans="4:7" x14ac:dyDescent="0.25">
      <c r="D1016" t="s">
        <v>926</v>
      </c>
      <c r="E1016" t="str">
        <f t="shared" si="63"/>
        <v/>
      </c>
      <c r="F1016" s="16" t="str">
        <f t="shared" si="61"/>
        <v/>
      </c>
      <c r="G1016" t="s">
        <v>926</v>
      </c>
    </row>
    <row r="1017" spans="4:7" x14ac:dyDescent="0.25">
      <c r="D1017" t="s">
        <v>926</v>
      </c>
      <c r="E1017" t="str">
        <f t="shared" si="63"/>
        <v/>
      </c>
      <c r="F1017" s="16" t="str">
        <f t="shared" si="61"/>
        <v/>
      </c>
      <c r="G1017" t="s">
        <v>926</v>
      </c>
    </row>
    <row r="1018" spans="4:7" x14ac:dyDescent="0.25">
      <c r="D1018" t="s">
        <v>926</v>
      </c>
      <c r="E1018" t="str">
        <f t="shared" si="63"/>
        <v/>
      </c>
      <c r="F1018" s="16" t="str">
        <f t="shared" si="61"/>
        <v/>
      </c>
      <c r="G1018" t="s">
        <v>926</v>
      </c>
    </row>
    <row r="1019" spans="4:7" x14ac:dyDescent="0.25">
      <c r="D1019" t="s">
        <v>926</v>
      </c>
      <c r="E1019" t="str">
        <f t="shared" si="63"/>
        <v/>
      </c>
      <c r="F1019" s="16" t="str">
        <f t="shared" si="61"/>
        <v/>
      </c>
      <c r="G1019" t="s">
        <v>926</v>
      </c>
    </row>
    <row r="1020" spans="4:7" x14ac:dyDescent="0.25">
      <c r="D1020" t="s">
        <v>926</v>
      </c>
      <c r="E1020" t="str">
        <f t="shared" si="63"/>
        <v/>
      </c>
      <c r="F1020" s="16" t="str">
        <f t="shared" si="61"/>
        <v/>
      </c>
      <c r="G1020" t="s">
        <v>926</v>
      </c>
    </row>
    <row r="1021" spans="4:7" x14ac:dyDescent="0.25">
      <c r="D1021" t="s">
        <v>926</v>
      </c>
      <c r="E1021" t="str">
        <f t="shared" si="63"/>
        <v/>
      </c>
      <c r="F1021" s="16" t="str">
        <f t="shared" si="61"/>
        <v/>
      </c>
      <c r="G1021" t="s">
        <v>926</v>
      </c>
    </row>
    <row r="1022" spans="4:7" x14ac:dyDescent="0.25">
      <c r="D1022" t="s">
        <v>926</v>
      </c>
      <c r="E1022" t="str">
        <f t="shared" si="63"/>
        <v/>
      </c>
      <c r="F1022" s="16" t="str">
        <f t="shared" si="61"/>
        <v/>
      </c>
      <c r="G1022" t="s">
        <v>926</v>
      </c>
    </row>
    <row r="1023" spans="4:7" x14ac:dyDescent="0.25">
      <c r="D1023" t="s">
        <v>926</v>
      </c>
      <c r="E1023" t="str">
        <f t="shared" si="63"/>
        <v/>
      </c>
      <c r="F1023" s="16" t="str">
        <f t="shared" si="61"/>
        <v/>
      </c>
      <c r="G1023" t="s">
        <v>926</v>
      </c>
    </row>
    <row r="1024" spans="4:7" x14ac:dyDescent="0.25">
      <c r="D1024" t="s">
        <v>926</v>
      </c>
      <c r="E1024" t="str">
        <f t="shared" si="63"/>
        <v/>
      </c>
      <c r="F1024" s="16" t="str">
        <f t="shared" si="61"/>
        <v/>
      </c>
      <c r="G1024" t="s">
        <v>926</v>
      </c>
    </row>
    <row r="1025" spans="4:7" x14ac:dyDescent="0.25">
      <c r="D1025" t="s">
        <v>926</v>
      </c>
      <c r="E1025" t="str">
        <f t="shared" si="63"/>
        <v/>
      </c>
      <c r="F1025" s="16" t="str">
        <f t="shared" si="61"/>
        <v/>
      </c>
      <c r="G1025" t="s">
        <v>926</v>
      </c>
    </row>
    <row r="1026" spans="4:7" x14ac:dyDescent="0.25">
      <c r="D1026" t="s">
        <v>926</v>
      </c>
      <c r="E1026" t="str">
        <f t="shared" si="63"/>
        <v/>
      </c>
      <c r="F1026" s="16" t="str">
        <f t="shared" si="61"/>
        <v/>
      </c>
      <c r="G1026" t="s">
        <v>926</v>
      </c>
    </row>
    <row r="1027" spans="4:7" x14ac:dyDescent="0.25">
      <c r="D1027" t="s">
        <v>926</v>
      </c>
      <c r="E1027" t="str">
        <f t="shared" si="63"/>
        <v/>
      </c>
      <c r="F1027" s="16" t="str">
        <f t="shared" ref="F1027:F1090" si="64" xml:space="preserve"> IF(ISERROR(VLOOKUP(E1027,Imp_IVA1,2,FALSE)),"",VLOOKUP(E1027,Imp_IVA1,2,FALSE))&amp; IF(ISERROR(VLOOKUP(E1027,Imp_IVA2,2,FALSE)),"",VLOOKUP(E1027,Imp_IVA2,2,FALSE))</f>
        <v/>
      </c>
      <c r="G1027" t="s">
        <v>926</v>
      </c>
    </row>
    <row r="1028" spans="4:7" x14ac:dyDescent="0.25">
      <c r="D1028" t="s">
        <v>926</v>
      </c>
      <c r="E1028" t="str">
        <f t="shared" si="63"/>
        <v/>
      </c>
      <c r="F1028" s="16" t="str">
        <f t="shared" si="64"/>
        <v/>
      </c>
      <c r="G1028" t="s">
        <v>926</v>
      </c>
    </row>
    <row r="1029" spans="4:7" x14ac:dyDescent="0.25">
      <c r="D1029" t="s">
        <v>926</v>
      </c>
      <c r="E1029" t="str">
        <f t="shared" ref="E1029:E1092" si="65">IF(OR(E1028=$E$2,E1028=""),"",E1028+1)</f>
        <v/>
      </c>
      <c r="F1029" s="16" t="str">
        <f t="shared" si="64"/>
        <v/>
      </c>
      <c r="G1029" t="s">
        <v>926</v>
      </c>
    </row>
    <row r="1030" spans="4:7" x14ac:dyDescent="0.25">
      <c r="D1030" t="s">
        <v>926</v>
      </c>
      <c r="E1030" t="str">
        <f t="shared" si="65"/>
        <v/>
      </c>
      <c r="F1030" s="16" t="str">
        <f t="shared" si="64"/>
        <v/>
      </c>
      <c r="G1030" t="s">
        <v>926</v>
      </c>
    </row>
    <row r="1031" spans="4:7" x14ac:dyDescent="0.25">
      <c r="D1031" t="s">
        <v>926</v>
      </c>
      <c r="E1031" t="str">
        <f t="shared" si="65"/>
        <v/>
      </c>
      <c r="F1031" s="16" t="str">
        <f t="shared" si="64"/>
        <v/>
      </c>
      <c r="G1031" t="s">
        <v>926</v>
      </c>
    </row>
    <row r="1032" spans="4:7" x14ac:dyDescent="0.25">
      <c r="D1032" t="s">
        <v>926</v>
      </c>
      <c r="E1032" t="str">
        <f t="shared" si="65"/>
        <v/>
      </c>
      <c r="F1032" s="16" t="str">
        <f t="shared" si="64"/>
        <v/>
      </c>
      <c r="G1032" t="s">
        <v>926</v>
      </c>
    </row>
    <row r="1033" spans="4:7" x14ac:dyDescent="0.25">
      <c r="D1033" t="s">
        <v>926</v>
      </c>
      <c r="E1033" t="str">
        <f t="shared" si="65"/>
        <v/>
      </c>
      <c r="F1033" s="16" t="str">
        <f t="shared" si="64"/>
        <v/>
      </c>
      <c r="G1033" t="s">
        <v>926</v>
      </c>
    </row>
    <row r="1034" spans="4:7" x14ac:dyDescent="0.25">
      <c r="D1034" t="s">
        <v>926</v>
      </c>
      <c r="E1034" t="str">
        <f t="shared" si="65"/>
        <v/>
      </c>
      <c r="F1034" s="16" t="str">
        <f t="shared" si="64"/>
        <v/>
      </c>
      <c r="G1034" t="s">
        <v>926</v>
      </c>
    </row>
    <row r="1035" spans="4:7" x14ac:dyDescent="0.25">
      <c r="D1035" t="s">
        <v>926</v>
      </c>
      <c r="E1035" t="str">
        <f t="shared" si="65"/>
        <v/>
      </c>
      <c r="F1035" s="16" t="str">
        <f t="shared" si="64"/>
        <v/>
      </c>
      <c r="G1035" t="s">
        <v>926</v>
      </c>
    </row>
    <row r="1036" spans="4:7" x14ac:dyDescent="0.25">
      <c r="D1036" t="s">
        <v>926</v>
      </c>
      <c r="E1036" t="str">
        <f t="shared" si="65"/>
        <v/>
      </c>
      <c r="F1036" s="16" t="str">
        <f t="shared" si="64"/>
        <v/>
      </c>
      <c r="G1036" t="s">
        <v>926</v>
      </c>
    </row>
    <row r="1037" spans="4:7" x14ac:dyDescent="0.25">
      <c r="D1037" t="s">
        <v>926</v>
      </c>
      <c r="E1037" t="str">
        <f t="shared" si="65"/>
        <v/>
      </c>
      <c r="F1037" s="16" t="str">
        <f t="shared" si="64"/>
        <v/>
      </c>
      <c r="G1037" t="s">
        <v>926</v>
      </c>
    </row>
    <row r="1038" spans="4:7" x14ac:dyDescent="0.25">
      <c r="D1038" t="s">
        <v>926</v>
      </c>
      <c r="E1038" t="str">
        <f t="shared" si="65"/>
        <v/>
      </c>
      <c r="F1038" s="16" t="str">
        <f t="shared" si="64"/>
        <v/>
      </c>
      <c r="G1038" t="s">
        <v>926</v>
      </c>
    </row>
    <row r="1039" spans="4:7" x14ac:dyDescent="0.25">
      <c r="D1039" t="s">
        <v>926</v>
      </c>
      <c r="E1039" t="str">
        <f t="shared" si="65"/>
        <v/>
      </c>
      <c r="F1039" s="16" t="str">
        <f t="shared" si="64"/>
        <v/>
      </c>
      <c r="G1039" t="s">
        <v>926</v>
      </c>
    </row>
    <row r="1040" spans="4:7" x14ac:dyDescent="0.25">
      <c r="D1040" t="s">
        <v>926</v>
      </c>
      <c r="E1040" t="str">
        <f t="shared" si="65"/>
        <v/>
      </c>
      <c r="F1040" s="16" t="str">
        <f t="shared" si="64"/>
        <v/>
      </c>
      <c r="G1040" t="s">
        <v>926</v>
      </c>
    </row>
    <row r="1041" spans="4:7" x14ac:dyDescent="0.25">
      <c r="D1041" t="s">
        <v>926</v>
      </c>
      <c r="E1041" t="str">
        <f t="shared" si="65"/>
        <v/>
      </c>
      <c r="F1041" s="16" t="str">
        <f t="shared" si="64"/>
        <v/>
      </c>
      <c r="G1041" t="s">
        <v>926</v>
      </c>
    </row>
    <row r="1042" spans="4:7" x14ac:dyDescent="0.25">
      <c r="D1042" t="s">
        <v>926</v>
      </c>
      <c r="E1042" t="str">
        <f t="shared" si="65"/>
        <v/>
      </c>
      <c r="F1042" s="16" t="str">
        <f t="shared" si="64"/>
        <v/>
      </c>
      <c r="G1042" t="s">
        <v>926</v>
      </c>
    </row>
    <row r="1043" spans="4:7" x14ac:dyDescent="0.25">
      <c r="D1043" t="s">
        <v>926</v>
      </c>
      <c r="E1043" t="str">
        <f t="shared" si="65"/>
        <v/>
      </c>
      <c r="F1043" s="16" t="str">
        <f t="shared" si="64"/>
        <v/>
      </c>
      <c r="G1043" t="s">
        <v>926</v>
      </c>
    </row>
    <row r="1044" spans="4:7" x14ac:dyDescent="0.25">
      <c r="D1044" t="s">
        <v>926</v>
      </c>
      <c r="E1044" t="str">
        <f t="shared" si="65"/>
        <v/>
      </c>
      <c r="F1044" s="16" t="str">
        <f t="shared" si="64"/>
        <v/>
      </c>
      <c r="G1044" t="s">
        <v>926</v>
      </c>
    </row>
    <row r="1045" spans="4:7" x14ac:dyDescent="0.25">
      <c r="D1045" t="s">
        <v>926</v>
      </c>
      <c r="E1045" t="str">
        <f t="shared" si="65"/>
        <v/>
      </c>
      <c r="F1045" s="16" t="str">
        <f t="shared" si="64"/>
        <v/>
      </c>
      <c r="G1045" t="s">
        <v>926</v>
      </c>
    </row>
    <row r="1046" spans="4:7" x14ac:dyDescent="0.25">
      <c r="D1046" t="s">
        <v>926</v>
      </c>
      <c r="E1046" t="str">
        <f t="shared" si="65"/>
        <v/>
      </c>
      <c r="F1046" s="16" t="str">
        <f t="shared" si="64"/>
        <v/>
      </c>
      <c r="G1046" t="s">
        <v>926</v>
      </c>
    </row>
    <row r="1047" spans="4:7" x14ac:dyDescent="0.25">
      <c r="D1047" t="s">
        <v>926</v>
      </c>
      <c r="E1047" t="str">
        <f t="shared" si="65"/>
        <v/>
      </c>
      <c r="F1047" s="16" t="str">
        <f t="shared" si="64"/>
        <v/>
      </c>
      <c r="G1047" t="s">
        <v>926</v>
      </c>
    </row>
    <row r="1048" spans="4:7" x14ac:dyDescent="0.25">
      <c r="D1048" t="s">
        <v>926</v>
      </c>
      <c r="E1048" t="str">
        <f t="shared" si="65"/>
        <v/>
      </c>
      <c r="F1048" s="16" t="str">
        <f t="shared" si="64"/>
        <v/>
      </c>
      <c r="G1048" t="s">
        <v>926</v>
      </c>
    </row>
    <row r="1049" spans="4:7" x14ac:dyDescent="0.25">
      <c r="D1049" t="s">
        <v>926</v>
      </c>
      <c r="E1049" t="str">
        <f t="shared" si="65"/>
        <v/>
      </c>
      <c r="F1049" s="16" t="str">
        <f t="shared" si="64"/>
        <v/>
      </c>
      <c r="G1049" t="s">
        <v>926</v>
      </c>
    </row>
    <row r="1050" spans="4:7" x14ac:dyDescent="0.25">
      <c r="D1050" t="s">
        <v>926</v>
      </c>
      <c r="E1050" t="str">
        <f t="shared" si="65"/>
        <v/>
      </c>
      <c r="F1050" s="16" t="str">
        <f t="shared" si="64"/>
        <v/>
      </c>
      <c r="G1050" t="s">
        <v>926</v>
      </c>
    </row>
    <row r="1051" spans="4:7" x14ac:dyDescent="0.25">
      <c r="D1051" t="s">
        <v>926</v>
      </c>
      <c r="E1051" t="str">
        <f t="shared" si="65"/>
        <v/>
      </c>
      <c r="F1051" s="16" t="str">
        <f t="shared" si="64"/>
        <v/>
      </c>
      <c r="G1051" t="s">
        <v>926</v>
      </c>
    </row>
    <row r="1052" spans="4:7" x14ac:dyDescent="0.25">
      <c r="D1052" t="s">
        <v>926</v>
      </c>
      <c r="E1052" t="str">
        <f t="shared" si="65"/>
        <v/>
      </c>
      <c r="F1052" s="16" t="str">
        <f t="shared" si="64"/>
        <v/>
      </c>
      <c r="G1052" t="s">
        <v>926</v>
      </c>
    </row>
    <row r="1053" spans="4:7" x14ac:dyDescent="0.25">
      <c r="D1053" t="s">
        <v>926</v>
      </c>
      <c r="E1053" t="str">
        <f t="shared" si="65"/>
        <v/>
      </c>
      <c r="F1053" s="16" t="str">
        <f t="shared" si="64"/>
        <v/>
      </c>
      <c r="G1053" t="s">
        <v>926</v>
      </c>
    </row>
    <row r="1054" spans="4:7" x14ac:dyDescent="0.25">
      <c r="D1054" t="s">
        <v>926</v>
      </c>
      <c r="E1054" t="str">
        <f t="shared" si="65"/>
        <v/>
      </c>
      <c r="F1054" s="16" t="str">
        <f t="shared" si="64"/>
        <v/>
      </c>
      <c r="G1054" t="s">
        <v>926</v>
      </c>
    </row>
    <row r="1055" spans="4:7" x14ac:dyDescent="0.25">
      <c r="D1055" t="s">
        <v>926</v>
      </c>
      <c r="E1055" t="str">
        <f t="shared" si="65"/>
        <v/>
      </c>
      <c r="F1055" s="16" t="str">
        <f t="shared" si="64"/>
        <v/>
      </c>
      <c r="G1055" t="s">
        <v>926</v>
      </c>
    </row>
    <row r="1056" spans="4:7" x14ac:dyDescent="0.25">
      <c r="D1056" t="s">
        <v>926</v>
      </c>
      <c r="E1056" t="str">
        <f t="shared" si="65"/>
        <v/>
      </c>
      <c r="F1056" s="16" t="str">
        <f t="shared" si="64"/>
        <v/>
      </c>
      <c r="G1056" t="s">
        <v>926</v>
      </c>
    </row>
    <row r="1057" spans="4:7" x14ac:dyDescent="0.25">
      <c r="D1057" t="s">
        <v>926</v>
      </c>
      <c r="E1057" t="str">
        <f t="shared" si="65"/>
        <v/>
      </c>
      <c r="F1057" s="16" t="str">
        <f t="shared" si="64"/>
        <v/>
      </c>
      <c r="G1057" t="s">
        <v>926</v>
      </c>
    </row>
    <row r="1058" spans="4:7" x14ac:dyDescent="0.25">
      <c r="D1058" t="s">
        <v>926</v>
      </c>
      <c r="E1058" t="str">
        <f t="shared" si="65"/>
        <v/>
      </c>
      <c r="F1058" s="16" t="str">
        <f t="shared" si="64"/>
        <v/>
      </c>
      <c r="G1058" t="s">
        <v>926</v>
      </c>
    </row>
    <row r="1059" spans="4:7" x14ac:dyDescent="0.25">
      <c r="D1059" t="s">
        <v>926</v>
      </c>
      <c r="E1059" t="str">
        <f t="shared" si="65"/>
        <v/>
      </c>
      <c r="F1059" s="16" t="str">
        <f t="shared" si="64"/>
        <v/>
      </c>
      <c r="G1059" t="s">
        <v>926</v>
      </c>
    </row>
    <row r="1060" spans="4:7" x14ac:dyDescent="0.25">
      <c r="D1060" t="s">
        <v>926</v>
      </c>
      <c r="E1060" t="str">
        <f t="shared" si="65"/>
        <v/>
      </c>
      <c r="F1060" s="16" t="str">
        <f t="shared" si="64"/>
        <v/>
      </c>
      <c r="G1060" t="s">
        <v>926</v>
      </c>
    </row>
    <row r="1061" spans="4:7" x14ac:dyDescent="0.25">
      <c r="D1061" t="s">
        <v>926</v>
      </c>
      <c r="E1061" t="str">
        <f t="shared" si="65"/>
        <v/>
      </c>
      <c r="F1061" s="16" t="str">
        <f t="shared" si="64"/>
        <v/>
      </c>
      <c r="G1061" t="s">
        <v>926</v>
      </c>
    </row>
    <row r="1062" spans="4:7" x14ac:dyDescent="0.25">
      <c r="D1062" t="s">
        <v>926</v>
      </c>
      <c r="E1062" t="str">
        <f t="shared" si="65"/>
        <v/>
      </c>
      <c r="F1062" s="16" t="str">
        <f t="shared" si="64"/>
        <v/>
      </c>
      <c r="G1062" t="s">
        <v>926</v>
      </c>
    </row>
    <row r="1063" spans="4:7" x14ac:dyDescent="0.25">
      <c r="D1063" t="s">
        <v>926</v>
      </c>
      <c r="E1063" t="str">
        <f t="shared" si="65"/>
        <v/>
      </c>
      <c r="F1063" s="16" t="str">
        <f t="shared" si="64"/>
        <v/>
      </c>
      <c r="G1063" t="s">
        <v>926</v>
      </c>
    </row>
    <row r="1064" spans="4:7" x14ac:dyDescent="0.25">
      <c r="D1064" t="s">
        <v>926</v>
      </c>
      <c r="E1064" t="str">
        <f t="shared" si="65"/>
        <v/>
      </c>
      <c r="F1064" s="16" t="str">
        <f t="shared" si="64"/>
        <v/>
      </c>
      <c r="G1064" t="s">
        <v>926</v>
      </c>
    </row>
    <row r="1065" spans="4:7" x14ac:dyDescent="0.25">
      <c r="D1065" t="s">
        <v>926</v>
      </c>
      <c r="E1065" t="str">
        <f t="shared" si="65"/>
        <v/>
      </c>
      <c r="F1065" s="16" t="str">
        <f t="shared" si="64"/>
        <v/>
      </c>
      <c r="G1065" t="s">
        <v>926</v>
      </c>
    </row>
    <row r="1066" spans="4:7" x14ac:dyDescent="0.25">
      <c r="D1066" t="s">
        <v>926</v>
      </c>
      <c r="E1066" t="str">
        <f t="shared" si="65"/>
        <v/>
      </c>
      <c r="F1066" s="16" t="str">
        <f t="shared" si="64"/>
        <v/>
      </c>
      <c r="G1066" t="s">
        <v>926</v>
      </c>
    </row>
    <row r="1067" spans="4:7" x14ac:dyDescent="0.25">
      <c r="D1067" t="s">
        <v>926</v>
      </c>
      <c r="E1067" t="str">
        <f t="shared" si="65"/>
        <v/>
      </c>
      <c r="F1067" s="16" t="str">
        <f t="shared" si="64"/>
        <v/>
      </c>
      <c r="G1067" t="s">
        <v>926</v>
      </c>
    </row>
    <row r="1068" spans="4:7" x14ac:dyDescent="0.25">
      <c r="D1068" t="s">
        <v>926</v>
      </c>
      <c r="E1068" t="str">
        <f t="shared" si="65"/>
        <v/>
      </c>
      <c r="F1068" s="16" t="str">
        <f t="shared" si="64"/>
        <v/>
      </c>
      <c r="G1068" t="s">
        <v>926</v>
      </c>
    </row>
    <row r="1069" spans="4:7" x14ac:dyDescent="0.25">
      <c r="D1069" t="s">
        <v>926</v>
      </c>
      <c r="E1069" t="str">
        <f t="shared" si="65"/>
        <v/>
      </c>
      <c r="F1069" s="16" t="str">
        <f t="shared" si="64"/>
        <v/>
      </c>
      <c r="G1069" t="s">
        <v>926</v>
      </c>
    </row>
    <row r="1070" spans="4:7" x14ac:dyDescent="0.25">
      <c r="D1070" t="s">
        <v>926</v>
      </c>
      <c r="E1070" t="str">
        <f t="shared" si="65"/>
        <v/>
      </c>
      <c r="F1070" s="16" t="str">
        <f t="shared" si="64"/>
        <v/>
      </c>
      <c r="G1070" t="s">
        <v>926</v>
      </c>
    </row>
    <row r="1071" spans="4:7" x14ac:dyDescent="0.25">
      <c r="D1071" t="s">
        <v>926</v>
      </c>
      <c r="E1071" t="str">
        <f t="shared" si="65"/>
        <v/>
      </c>
      <c r="F1071" s="16" t="str">
        <f t="shared" si="64"/>
        <v/>
      </c>
      <c r="G1071" t="s">
        <v>926</v>
      </c>
    </row>
    <row r="1072" spans="4:7" x14ac:dyDescent="0.25">
      <c r="D1072" t="s">
        <v>926</v>
      </c>
      <c r="E1072" t="str">
        <f t="shared" si="65"/>
        <v/>
      </c>
      <c r="F1072" s="16" t="str">
        <f t="shared" si="64"/>
        <v/>
      </c>
      <c r="G1072" t="s">
        <v>926</v>
      </c>
    </row>
    <row r="1073" spans="4:7" x14ac:dyDescent="0.25">
      <c r="D1073" t="s">
        <v>926</v>
      </c>
      <c r="E1073" t="str">
        <f t="shared" si="65"/>
        <v/>
      </c>
      <c r="F1073" s="16" t="str">
        <f t="shared" si="64"/>
        <v/>
      </c>
      <c r="G1073" t="s">
        <v>926</v>
      </c>
    </row>
    <row r="1074" spans="4:7" x14ac:dyDescent="0.25">
      <c r="D1074" t="s">
        <v>926</v>
      </c>
      <c r="E1074" t="str">
        <f t="shared" si="65"/>
        <v/>
      </c>
      <c r="F1074" s="16" t="str">
        <f t="shared" si="64"/>
        <v/>
      </c>
      <c r="G1074" t="s">
        <v>926</v>
      </c>
    </row>
    <row r="1075" spans="4:7" x14ac:dyDescent="0.25">
      <c r="D1075" t="s">
        <v>926</v>
      </c>
      <c r="E1075" t="str">
        <f t="shared" si="65"/>
        <v/>
      </c>
      <c r="F1075" s="16" t="str">
        <f t="shared" si="64"/>
        <v/>
      </c>
      <c r="G1075" t="s">
        <v>926</v>
      </c>
    </row>
    <row r="1076" spans="4:7" x14ac:dyDescent="0.25">
      <c r="D1076" t="s">
        <v>926</v>
      </c>
      <c r="E1076" t="str">
        <f t="shared" si="65"/>
        <v/>
      </c>
      <c r="F1076" s="16" t="str">
        <f t="shared" si="64"/>
        <v/>
      </c>
      <c r="G1076" t="s">
        <v>926</v>
      </c>
    </row>
    <row r="1077" spans="4:7" x14ac:dyDescent="0.25">
      <c r="D1077" t="s">
        <v>926</v>
      </c>
      <c r="E1077" t="str">
        <f t="shared" si="65"/>
        <v/>
      </c>
      <c r="F1077" s="16" t="str">
        <f t="shared" si="64"/>
        <v/>
      </c>
      <c r="G1077" t="s">
        <v>926</v>
      </c>
    </row>
    <row r="1078" spans="4:7" x14ac:dyDescent="0.25">
      <c r="D1078" t="s">
        <v>926</v>
      </c>
      <c r="E1078" t="str">
        <f t="shared" si="65"/>
        <v/>
      </c>
      <c r="F1078" s="16" t="str">
        <f t="shared" si="64"/>
        <v/>
      </c>
      <c r="G1078" t="s">
        <v>926</v>
      </c>
    </row>
    <row r="1079" spans="4:7" x14ac:dyDescent="0.25">
      <c r="D1079" t="s">
        <v>926</v>
      </c>
      <c r="E1079" t="str">
        <f t="shared" si="65"/>
        <v/>
      </c>
      <c r="F1079" s="16" t="str">
        <f t="shared" si="64"/>
        <v/>
      </c>
      <c r="G1079" t="s">
        <v>926</v>
      </c>
    </row>
    <row r="1080" spans="4:7" x14ac:dyDescent="0.25">
      <c r="D1080" t="s">
        <v>926</v>
      </c>
      <c r="E1080" t="str">
        <f t="shared" si="65"/>
        <v/>
      </c>
      <c r="F1080" s="16" t="str">
        <f t="shared" si="64"/>
        <v/>
      </c>
      <c r="G1080" t="s">
        <v>926</v>
      </c>
    </row>
    <row r="1081" spans="4:7" x14ac:dyDescent="0.25">
      <c r="D1081" t="s">
        <v>926</v>
      </c>
      <c r="E1081" t="str">
        <f t="shared" si="65"/>
        <v/>
      </c>
      <c r="F1081" s="16" t="str">
        <f t="shared" si="64"/>
        <v/>
      </c>
      <c r="G1081" t="s">
        <v>926</v>
      </c>
    </row>
    <row r="1082" spans="4:7" x14ac:dyDescent="0.25">
      <c r="D1082" t="s">
        <v>926</v>
      </c>
      <c r="E1082" t="str">
        <f t="shared" si="65"/>
        <v/>
      </c>
      <c r="F1082" s="16" t="str">
        <f t="shared" si="64"/>
        <v/>
      </c>
      <c r="G1082" t="s">
        <v>926</v>
      </c>
    </row>
    <row r="1083" spans="4:7" x14ac:dyDescent="0.25">
      <c r="D1083" t="s">
        <v>926</v>
      </c>
      <c r="E1083" t="str">
        <f t="shared" si="65"/>
        <v/>
      </c>
      <c r="F1083" s="16" t="str">
        <f t="shared" si="64"/>
        <v/>
      </c>
      <c r="G1083" t="s">
        <v>926</v>
      </c>
    </row>
    <row r="1084" spans="4:7" x14ac:dyDescent="0.25">
      <c r="D1084" t="s">
        <v>926</v>
      </c>
      <c r="E1084" t="str">
        <f t="shared" si="65"/>
        <v/>
      </c>
      <c r="F1084" s="16" t="str">
        <f t="shared" si="64"/>
        <v/>
      </c>
      <c r="G1084" t="s">
        <v>926</v>
      </c>
    </row>
    <row r="1085" spans="4:7" x14ac:dyDescent="0.25">
      <c r="D1085" t="s">
        <v>926</v>
      </c>
      <c r="E1085" t="str">
        <f t="shared" si="65"/>
        <v/>
      </c>
      <c r="F1085" s="16" t="str">
        <f t="shared" si="64"/>
        <v/>
      </c>
      <c r="G1085" t="s">
        <v>926</v>
      </c>
    </row>
    <row r="1086" spans="4:7" x14ac:dyDescent="0.25">
      <c r="D1086" t="s">
        <v>926</v>
      </c>
      <c r="E1086" t="str">
        <f t="shared" si="65"/>
        <v/>
      </c>
      <c r="F1086" s="16" t="str">
        <f t="shared" si="64"/>
        <v/>
      </c>
      <c r="G1086" t="s">
        <v>926</v>
      </c>
    </row>
    <row r="1087" spans="4:7" x14ac:dyDescent="0.25">
      <c r="D1087" t="s">
        <v>926</v>
      </c>
      <c r="E1087" t="str">
        <f t="shared" si="65"/>
        <v/>
      </c>
      <c r="F1087" s="16" t="str">
        <f t="shared" si="64"/>
        <v/>
      </c>
      <c r="G1087" t="s">
        <v>926</v>
      </c>
    </row>
    <row r="1088" spans="4:7" x14ac:dyDescent="0.25">
      <c r="D1088" t="s">
        <v>926</v>
      </c>
      <c r="E1088" t="str">
        <f t="shared" si="65"/>
        <v/>
      </c>
      <c r="F1088" s="16" t="str">
        <f t="shared" si="64"/>
        <v/>
      </c>
      <c r="G1088" t="s">
        <v>926</v>
      </c>
    </row>
    <row r="1089" spans="4:7" x14ac:dyDescent="0.25">
      <c r="D1089" t="s">
        <v>926</v>
      </c>
      <c r="E1089" t="str">
        <f t="shared" si="65"/>
        <v/>
      </c>
      <c r="F1089" s="16" t="str">
        <f t="shared" si="64"/>
        <v/>
      </c>
      <c r="G1089" t="s">
        <v>926</v>
      </c>
    </row>
    <row r="1090" spans="4:7" x14ac:dyDescent="0.25">
      <c r="D1090" t="s">
        <v>926</v>
      </c>
      <c r="E1090" t="str">
        <f t="shared" si="65"/>
        <v/>
      </c>
      <c r="F1090" s="16" t="str">
        <f t="shared" si="64"/>
        <v/>
      </c>
      <c r="G1090" t="s">
        <v>926</v>
      </c>
    </row>
    <row r="1091" spans="4:7" x14ac:dyDescent="0.25">
      <c r="D1091" t="s">
        <v>926</v>
      </c>
      <c r="E1091" t="str">
        <f t="shared" si="65"/>
        <v/>
      </c>
      <c r="F1091" s="16" t="str">
        <f t="shared" ref="F1091:F1154" si="66" xml:space="preserve"> IF(ISERROR(VLOOKUP(E1091,Imp_IVA1,2,FALSE)),"",VLOOKUP(E1091,Imp_IVA1,2,FALSE))&amp; IF(ISERROR(VLOOKUP(E1091,Imp_IVA2,2,FALSE)),"",VLOOKUP(E1091,Imp_IVA2,2,FALSE))</f>
        <v/>
      </c>
      <c r="G1091" t="s">
        <v>926</v>
      </c>
    </row>
    <row r="1092" spans="4:7" x14ac:dyDescent="0.25">
      <c r="D1092" t="s">
        <v>926</v>
      </c>
      <c r="E1092" t="str">
        <f t="shared" si="65"/>
        <v/>
      </c>
      <c r="F1092" s="16" t="str">
        <f t="shared" si="66"/>
        <v/>
      </c>
      <c r="G1092" t="s">
        <v>926</v>
      </c>
    </row>
    <row r="1093" spans="4:7" x14ac:dyDescent="0.25">
      <c r="D1093" t="s">
        <v>926</v>
      </c>
      <c r="E1093" t="str">
        <f t="shared" ref="E1093:E1156" si="67">IF(OR(E1092=$E$2,E1092=""),"",E1092+1)</f>
        <v/>
      </c>
      <c r="F1093" s="16" t="str">
        <f t="shared" si="66"/>
        <v/>
      </c>
      <c r="G1093" t="s">
        <v>926</v>
      </c>
    </row>
    <row r="1094" spans="4:7" x14ac:dyDescent="0.25">
      <c r="D1094" t="s">
        <v>926</v>
      </c>
      <c r="E1094" t="str">
        <f t="shared" si="67"/>
        <v/>
      </c>
      <c r="F1094" s="16" t="str">
        <f t="shared" si="66"/>
        <v/>
      </c>
      <c r="G1094" t="s">
        <v>926</v>
      </c>
    </row>
    <row r="1095" spans="4:7" x14ac:dyDescent="0.25">
      <c r="D1095" t="s">
        <v>926</v>
      </c>
      <c r="E1095" t="str">
        <f t="shared" si="67"/>
        <v/>
      </c>
      <c r="F1095" s="16" t="str">
        <f t="shared" si="66"/>
        <v/>
      </c>
      <c r="G1095" t="s">
        <v>926</v>
      </c>
    </row>
    <row r="1096" spans="4:7" x14ac:dyDescent="0.25">
      <c r="D1096" t="s">
        <v>926</v>
      </c>
      <c r="E1096" t="str">
        <f t="shared" si="67"/>
        <v/>
      </c>
      <c r="F1096" s="16" t="str">
        <f t="shared" si="66"/>
        <v/>
      </c>
      <c r="G1096" t="s">
        <v>926</v>
      </c>
    </row>
    <row r="1097" spans="4:7" x14ac:dyDescent="0.25">
      <c r="D1097" t="s">
        <v>926</v>
      </c>
      <c r="E1097" t="str">
        <f t="shared" si="67"/>
        <v/>
      </c>
      <c r="F1097" s="16" t="str">
        <f t="shared" si="66"/>
        <v/>
      </c>
      <c r="G1097" t="s">
        <v>926</v>
      </c>
    </row>
    <row r="1098" spans="4:7" x14ac:dyDescent="0.25">
      <c r="D1098" t="s">
        <v>926</v>
      </c>
      <c r="E1098" t="str">
        <f t="shared" si="67"/>
        <v/>
      </c>
      <c r="F1098" s="16" t="str">
        <f t="shared" si="66"/>
        <v/>
      </c>
      <c r="G1098" t="s">
        <v>926</v>
      </c>
    </row>
    <row r="1099" spans="4:7" x14ac:dyDescent="0.25">
      <c r="D1099" t="s">
        <v>926</v>
      </c>
      <c r="E1099" t="str">
        <f t="shared" si="67"/>
        <v/>
      </c>
      <c r="F1099" s="16" t="str">
        <f t="shared" si="66"/>
        <v/>
      </c>
      <c r="G1099" t="s">
        <v>926</v>
      </c>
    </row>
    <row r="1100" spans="4:7" x14ac:dyDescent="0.25">
      <c r="D1100" t="s">
        <v>926</v>
      </c>
      <c r="E1100" t="str">
        <f t="shared" si="67"/>
        <v/>
      </c>
      <c r="F1100" s="16" t="str">
        <f t="shared" si="66"/>
        <v/>
      </c>
      <c r="G1100" t="s">
        <v>926</v>
      </c>
    </row>
    <row r="1101" spans="4:7" x14ac:dyDescent="0.25">
      <c r="D1101" t="s">
        <v>926</v>
      </c>
      <c r="E1101" t="str">
        <f t="shared" si="67"/>
        <v/>
      </c>
      <c r="F1101" s="16" t="str">
        <f t="shared" si="66"/>
        <v/>
      </c>
      <c r="G1101" t="s">
        <v>926</v>
      </c>
    </row>
    <row r="1102" spans="4:7" x14ac:dyDescent="0.25">
      <c r="D1102" t="s">
        <v>926</v>
      </c>
      <c r="E1102" t="str">
        <f t="shared" si="67"/>
        <v/>
      </c>
      <c r="F1102" s="16" t="str">
        <f t="shared" si="66"/>
        <v/>
      </c>
      <c r="G1102" t="s">
        <v>926</v>
      </c>
    </row>
    <row r="1103" spans="4:7" x14ac:dyDescent="0.25">
      <c r="D1103" t="s">
        <v>926</v>
      </c>
      <c r="E1103" t="str">
        <f t="shared" si="67"/>
        <v/>
      </c>
      <c r="F1103" s="16" t="str">
        <f t="shared" si="66"/>
        <v/>
      </c>
      <c r="G1103" t="s">
        <v>926</v>
      </c>
    </row>
    <row r="1104" spans="4:7" x14ac:dyDescent="0.25">
      <c r="D1104" t="s">
        <v>926</v>
      </c>
      <c r="E1104" t="str">
        <f t="shared" si="67"/>
        <v/>
      </c>
      <c r="F1104" s="16" t="str">
        <f t="shared" si="66"/>
        <v/>
      </c>
      <c r="G1104" t="s">
        <v>926</v>
      </c>
    </row>
    <row r="1105" spans="4:7" x14ac:dyDescent="0.25">
      <c r="D1105" t="s">
        <v>926</v>
      </c>
      <c r="E1105" t="str">
        <f t="shared" si="67"/>
        <v/>
      </c>
      <c r="F1105" s="16" t="str">
        <f t="shared" si="66"/>
        <v/>
      </c>
      <c r="G1105" t="s">
        <v>926</v>
      </c>
    </row>
    <row r="1106" spans="4:7" x14ac:dyDescent="0.25">
      <c r="D1106" t="s">
        <v>926</v>
      </c>
      <c r="E1106" t="str">
        <f t="shared" si="67"/>
        <v/>
      </c>
      <c r="F1106" s="16" t="str">
        <f t="shared" si="66"/>
        <v/>
      </c>
      <c r="G1106" t="s">
        <v>926</v>
      </c>
    </row>
    <row r="1107" spans="4:7" x14ac:dyDescent="0.25">
      <c r="D1107" t="s">
        <v>926</v>
      </c>
      <c r="E1107" t="str">
        <f t="shared" si="67"/>
        <v/>
      </c>
      <c r="F1107" s="16" t="str">
        <f t="shared" si="66"/>
        <v/>
      </c>
      <c r="G1107" t="s">
        <v>926</v>
      </c>
    </row>
    <row r="1108" spans="4:7" x14ac:dyDescent="0.25">
      <c r="D1108" t="s">
        <v>926</v>
      </c>
      <c r="E1108" t="str">
        <f t="shared" si="67"/>
        <v/>
      </c>
      <c r="F1108" s="16" t="str">
        <f t="shared" si="66"/>
        <v/>
      </c>
      <c r="G1108" t="s">
        <v>926</v>
      </c>
    </row>
    <row r="1109" spans="4:7" x14ac:dyDescent="0.25">
      <c r="D1109" t="s">
        <v>926</v>
      </c>
      <c r="E1109" t="str">
        <f t="shared" si="67"/>
        <v/>
      </c>
      <c r="F1109" s="16" t="str">
        <f t="shared" si="66"/>
        <v/>
      </c>
      <c r="G1109" t="s">
        <v>926</v>
      </c>
    </row>
    <row r="1110" spans="4:7" x14ac:dyDescent="0.25">
      <c r="D1110" t="s">
        <v>926</v>
      </c>
      <c r="E1110" t="str">
        <f t="shared" si="67"/>
        <v/>
      </c>
      <c r="F1110" s="16" t="str">
        <f t="shared" si="66"/>
        <v/>
      </c>
      <c r="G1110" t="s">
        <v>926</v>
      </c>
    </row>
    <row r="1111" spans="4:7" x14ac:dyDescent="0.25">
      <c r="D1111" t="s">
        <v>926</v>
      </c>
      <c r="E1111" t="str">
        <f t="shared" si="67"/>
        <v/>
      </c>
      <c r="F1111" s="16" t="str">
        <f t="shared" si="66"/>
        <v/>
      </c>
      <c r="G1111" t="s">
        <v>926</v>
      </c>
    </row>
    <row r="1112" spans="4:7" x14ac:dyDescent="0.25">
      <c r="D1112" t="s">
        <v>926</v>
      </c>
      <c r="E1112" t="str">
        <f t="shared" si="67"/>
        <v/>
      </c>
      <c r="F1112" s="16" t="str">
        <f t="shared" si="66"/>
        <v/>
      </c>
      <c r="G1112" t="s">
        <v>926</v>
      </c>
    </row>
    <row r="1113" spans="4:7" x14ac:dyDescent="0.25">
      <c r="D1113" t="s">
        <v>926</v>
      </c>
      <c r="E1113" t="str">
        <f t="shared" si="67"/>
        <v/>
      </c>
      <c r="F1113" s="16" t="str">
        <f t="shared" si="66"/>
        <v/>
      </c>
      <c r="G1113" t="s">
        <v>926</v>
      </c>
    </row>
    <row r="1114" spans="4:7" x14ac:dyDescent="0.25">
      <c r="D1114" t="s">
        <v>926</v>
      </c>
      <c r="E1114" t="str">
        <f t="shared" si="67"/>
        <v/>
      </c>
      <c r="F1114" s="16" t="str">
        <f t="shared" si="66"/>
        <v/>
      </c>
      <c r="G1114" t="s">
        <v>926</v>
      </c>
    </row>
    <row r="1115" spans="4:7" x14ac:dyDescent="0.25">
      <c r="D1115" t="s">
        <v>926</v>
      </c>
      <c r="E1115" t="str">
        <f t="shared" si="67"/>
        <v/>
      </c>
      <c r="F1115" s="16" t="str">
        <f t="shared" si="66"/>
        <v/>
      </c>
      <c r="G1115" t="s">
        <v>926</v>
      </c>
    </row>
    <row r="1116" spans="4:7" x14ac:dyDescent="0.25">
      <c r="D1116" t="s">
        <v>926</v>
      </c>
      <c r="E1116" t="str">
        <f t="shared" si="67"/>
        <v/>
      </c>
      <c r="F1116" s="16" t="str">
        <f t="shared" si="66"/>
        <v/>
      </c>
      <c r="G1116" t="s">
        <v>926</v>
      </c>
    </row>
    <row r="1117" spans="4:7" x14ac:dyDescent="0.25">
      <c r="D1117" t="s">
        <v>926</v>
      </c>
      <c r="E1117" t="str">
        <f t="shared" si="67"/>
        <v/>
      </c>
      <c r="F1117" s="16" t="str">
        <f t="shared" si="66"/>
        <v/>
      </c>
      <c r="G1117" t="s">
        <v>926</v>
      </c>
    </row>
    <row r="1118" spans="4:7" x14ac:dyDescent="0.25">
      <c r="D1118" t="s">
        <v>926</v>
      </c>
      <c r="E1118" t="str">
        <f t="shared" si="67"/>
        <v/>
      </c>
      <c r="F1118" s="16" t="str">
        <f t="shared" si="66"/>
        <v/>
      </c>
      <c r="G1118" t="s">
        <v>926</v>
      </c>
    </row>
    <row r="1119" spans="4:7" x14ac:dyDescent="0.25">
      <c r="D1119" t="s">
        <v>926</v>
      </c>
      <c r="E1119" t="str">
        <f t="shared" si="67"/>
        <v/>
      </c>
      <c r="F1119" s="16" t="str">
        <f t="shared" si="66"/>
        <v/>
      </c>
      <c r="G1119" t="s">
        <v>926</v>
      </c>
    </row>
    <row r="1120" spans="4:7" x14ac:dyDescent="0.25">
      <c r="D1120" t="s">
        <v>926</v>
      </c>
      <c r="E1120" t="str">
        <f t="shared" si="67"/>
        <v/>
      </c>
      <c r="F1120" s="16" t="str">
        <f t="shared" si="66"/>
        <v/>
      </c>
      <c r="G1120" t="s">
        <v>926</v>
      </c>
    </row>
    <row r="1121" spans="4:7" x14ac:dyDescent="0.25">
      <c r="D1121" t="s">
        <v>926</v>
      </c>
      <c r="E1121" t="str">
        <f t="shared" si="67"/>
        <v/>
      </c>
      <c r="F1121" s="16" t="str">
        <f t="shared" si="66"/>
        <v/>
      </c>
      <c r="G1121" t="s">
        <v>926</v>
      </c>
    </row>
    <row r="1122" spans="4:7" x14ac:dyDescent="0.25">
      <c r="D1122" t="s">
        <v>926</v>
      </c>
      <c r="E1122" t="str">
        <f t="shared" si="67"/>
        <v/>
      </c>
      <c r="F1122" s="16" t="str">
        <f t="shared" si="66"/>
        <v/>
      </c>
      <c r="G1122" t="s">
        <v>926</v>
      </c>
    </row>
    <row r="1123" spans="4:7" x14ac:dyDescent="0.25">
      <c r="D1123" t="s">
        <v>926</v>
      </c>
      <c r="E1123" t="str">
        <f t="shared" si="67"/>
        <v/>
      </c>
      <c r="F1123" s="16" t="str">
        <f t="shared" si="66"/>
        <v/>
      </c>
      <c r="G1123" t="s">
        <v>926</v>
      </c>
    </row>
    <row r="1124" spans="4:7" x14ac:dyDescent="0.25">
      <c r="D1124" t="s">
        <v>926</v>
      </c>
      <c r="E1124" t="str">
        <f t="shared" si="67"/>
        <v/>
      </c>
      <c r="F1124" s="16" t="str">
        <f t="shared" si="66"/>
        <v/>
      </c>
      <c r="G1124" t="s">
        <v>926</v>
      </c>
    </row>
    <row r="1125" spans="4:7" x14ac:dyDescent="0.25">
      <c r="D1125" t="s">
        <v>926</v>
      </c>
      <c r="E1125" t="str">
        <f t="shared" si="67"/>
        <v/>
      </c>
      <c r="F1125" s="16" t="str">
        <f t="shared" si="66"/>
        <v/>
      </c>
      <c r="G1125" t="s">
        <v>926</v>
      </c>
    </row>
    <row r="1126" spans="4:7" x14ac:dyDescent="0.25">
      <c r="D1126" t="s">
        <v>926</v>
      </c>
      <c r="E1126" t="str">
        <f t="shared" si="67"/>
        <v/>
      </c>
      <c r="F1126" s="16" t="str">
        <f t="shared" si="66"/>
        <v/>
      </c>
      <c r="G1126" t="s">
        <v>926</v>
      </c>
    </row>
    <row r="1127" spans="4:7" x14ac:dyDescent="0.25">
      <c r="D1127" t="s">
        <v>926</v>
      </c>
      <c r="E1127" t="str">
        <f t="shared" si="67"/>
        <v/>
      </c>
      <c r="F1127" s="16" t="str">
        <f t="shared" si="66"/>
        <v/>
      </c>
      <c r="G1127" t="s">
        <v>926</v>
      </c>
    </row>
    <row r="1128" spans="4:7" x14ac:dyDescent="0.25">
      <c r="D1128" t="s">
        <v>926</v>
      </c>
      <c r="E1128" t="str">
        <f t="shared" si="67"/>
        <v/>
      </c>
      <c r="F1128" s="16" t="str">
        <f t="shared" si="66"/>
        <v/>
      </c>
      <c r="G1128" t="s">
        <v>926</v>
      </c>
    </row>
    <row r="1129" spans="4:7" x14ac:dyDescent="0.25">
      <c r="D1129" t="s">
        <v>926</v>
      </c>
      <c r="E1129" t="str">
        <f t="shared" si="67"/>
        <v/>
      </c>
      <c r="F1129" s="16" t="str">
        <f t="shared" si="66"/>
        <v/>
      </c>
      <c r="G1129" t="s">
        <v>926</v>
      </c>
    </row>
    <row r="1130" spans="4:7" x14ac:dyDescent="0.25">
      <c r="D1130" t="s">
        <v>926</v>
      </c>
      <c r="E1130" t="str">
        <f t="shared" si="67"/>
        <v/>
      </c>
      <c r="F1130" s="16" t="str">
        <f t="shared" si="66"/>
        <v/>
      </c>
      <c r="G1130" t="s">
        <v>926</v>
      </c>
    </row>
    <row r="1131" spans="4:7" x14ac:dyDescent="0.25">
      <c r="D1131" t="s">
        <v>926</v>
      </c>
      <c r="E1131" t="str">
        <f t="shared" si="67"/>
        <v/>
      </c>
      <c r="F1131" s="16" t="str">
        <f t="shared" si="66"/>
        <v/>
      </c>
      <c r="G1131" t="s">
        <v>926</v>
      </c>
    </row>
    <row r="1132" spans="4:7" x14ac:dyDescent="0.25">
      <c r="D1132" t="s">
        <v>926</v>
      </c>
      <c r="E1132" t="str">
        <f t="shared" si="67"/>
        <v/>
      </c>
      <c r="F1132" s="16" t="str">
        <f t="shared" si="66"/>
        <v/>
      </c>
      <c r="G1132" t="s">
        <v>926</v>
      </c>
    </row>
    <row r="1133" spans="4:7" x14ac:dyDescent="0.25">
      <c r="D1133" t="s">
        <v>926</v>
      </c>
      <c r="E1133" t="str">
        <f t="shared" si="67"/>
        <v/>
      </c>
      <c r="F1133" s="16" t="str">
        <f t="shared" si="66"/>
        <v/>
      </c>
      <c r="G1133" t="s">
        <v>926</v>
      </c>
    </row>
    <row r="1134" spans="4:7" x14ac:dyDescent="0.25">
      <c r="D1134" t="s">
        <v>926</v>
      </c>
      <c r="E1134" t="str">
        <f t="shared" si="67"/>
        <v/>
      </c>
      <c r="F1134" s="16" t="str">
        <f t="shared" si="66"/>
        <v/>
      </c>
      <c r="G1134" t="s">
        <v>926</v>
      </c>
    </row>
    <row r="1135" spans="4:7" x14ac:dyDescent="0.25">
      <c r="D1135" t="s">
        <v>926</v>
      </c>
      <c r="E1135" t="str">
        <f t="shared" si="67"/>
        <v/>
      </c>
      <c r="F1135" s="16" t="str">
        <f t="shared" si="66"/>
        <v/>
      </c>
      <c r="G1135" t="s">
        <v>926</v>
      </c>
    </row>
    <row r="1136" spans="4:7" x14ac:dyDescent="0.25">
      <c r="D1136" t="s">
        <v>926</v>
      </c>
      <c r="E1136" t="str">
        <f t="shared" si="67"/>
        <v/>
      </c>
      <c r="F1136" s="16" t="str">
        <f t="shared" si="66"/>
        <v/>
      </c>
      <c r="G1136" t="s">
        <v>926</v>
      </c>
    </row>
    <row r="1137" spans="4:7" x14ac:dyDescent="0.25">
      <c r="D1137" t="s">
        <v>926</v>
      </c>
      <c r="E1137" t="str">
        <f t="shared" si="67"/>
        <v/>
      </c>
      <c r="F1137" s="16" t="str">
        <f t="shared" si="66"/>
        <v/>
      </c>
      <c r="G1137" t="s">
        <v>926</v>
      </c>
    </row>
    <row r="1138" spans="4:7" x14ac:dyDescent="0.25">
      <c r="D1138" t="s">
        <v>926</v>
      </c>
      <c r="E1138" t="str">
        <f t="shared" si="67"/>
        <v/>
      </c>
      <c r="F1138" s="16" t="str">
        <f t="shared" si="66"/>
        <v/>
      </c>
      <c r="G1138" t="s">
        <v>926</v>
      </c>
    </row>
    <row r="1139" spans="4:7" x14ac:dyDescent="0.25">
      <c r="D1139" t="s">
        <v>926</v>
      </c>
      <c r="E1139" t="str">
        <f t="shared" si="67"/>
        <v/>
      </c>
      <c r="F1139" s="16" t="str">
        <f t="shared" si="66"/>
        <v/>
      </c>
      <c r="G1139" t="s">
        <v>926</v>
      </c>
    </row>
    <row r="1140" spans="4:7" x14ac:dyDescent="0.25">
      <c r="D1140" t="s">
        <v>926</v>
      </c>
      <c r="E1140" t="str">
        <f t="shared" si="67"/>
        <v/>
      </c>
      <c r="F1140" s="16" t="str">
        <f t="shared" si="66"/>
        <v/>
      </c>
      <c r="G1140" t="s">
        <v>926</v>
      </c>
    </row>
    <row r="1141" spans="4:7" x14ac:dyDescent="0.25">
      <c r="D1141" t="s">
        <v>926</v>
      </c>
      <c r="E1141" t="str">
        <f t="shared" si="67"/>
        <v/>
      </c>
      <c r="F1141" s="16" t="str">
        <f t="shared" si="66"/>
        <v/>
      </c>
      <c r="G1141" t="s">
        <v>926</v>
      </c>
    </row>
    <row r="1142" spans="4:7" x14ac:dyDescent="0.25">
      <c r="D1142" t="s">
        <v>926</v>
      </c>
      <c r="E1142" t="str">
        <f t="shared" si="67"/>
        <v/>
      </c>
      <c r="F1142" s="16" t="str">
        <f t="shared" si="66"/>
        <v/>
      </c>
      <c r="G1142" t="s">
        <v>926</v>
      </c>
    </row>
    <row r="1143" spans="4:7" x14ac:dyDescent="0.25">
      <c r="D1143" t="s">
        <v>926</v>
      </c>
      <c r="E1143" t="str">
        <f t="shared" si="67"/>
        <v/>
      </c>
      <c r="F1143" s="16" t="str">
        <f t="shared" si="66"/>
        <v/>
      </c>
      <c r="G1143" t="s">
        <v>926</v>
      </c>
    </row>
    <row r="1144" spans="4:7" x14ac:dyDescent="0.25">
      <c r="D1144" t="s">
        <v>926</v>
      </c>
      <c r="E1144" t="str">
        <f t="shared" si="67"/>
        <v/>
      </c>
      <c r="F1144" s="16" t="str">
        <f t="shared" si="66"/>
        <v/>
      </c>
      <c r="G1144" t="s">
        <v>926</v>
      </c>
    </row>
    <row r="1145" spans="4:7" x14ac:dyDescent="0.25">
      <c r="D1145" t="s">
        <v>926</v>
      </c>
      <c r="E1145" t="str">
        <f t="shared" si="67"/>
        <v/>
      </c>
      <c r="F1145" s="16" t="str">
        <f t="shared" si="66"/>
        <v/>
      </c>
      <c r="G1145" t="s">
        <v>926</v>
      </c>
    </row>
    <row r="1146" spans="4:7" x14ac:dyDescent="0.25">
      <c r="D1146" t="s">
        <v>926</v>
      </c>
      <c r="E1146" t="str">
        <f t="shared" si="67"/>
        <v/>
      </c>
      <c r="F1146" s="16" t="str">
        <f t="shared" si="66"/>
        <v/>
      </c>
      <c r="G1146" t="s">
        <v>926</v>
      </c>
    </row>
    <row r="1147" spans="4:7" x14ac:dyDescent="0.25">
      <c r="D1147" t="s">
        <v>926</v>
      </c>
      <c r="E1147" t="str">
        <f t="shared" si="67"/>
        <v/>
      </c>
      <c r="F1147" s="16" t="str">
        <f t="shared" si="66"/>
        <v/>
      </c>
      <c r="G1147" t="s">
        <v>926</v>
      </c>
    </row>
    <row r="1148" spans="4:7" x14ac:dyDescent="0.25">
      <c r="D1148" t="s">
        <v>926</v>
      </c>
      <c r="E1148" t="str">
        <f t="shared" si="67"/>
        <v/>
      </c>
      <c r="F1148" s="16" t="str">
        <f t="shared" si="66"/>
        <v/>
      </c>
      <c r="G1148" t="s">
        <v>926</v>
      </c>
    </row>
    <row r="1149" spans="4:7" x14ac:dyDescent="0.25">
      <c r="D1149" t="s">
        <v>926</v>
      </c>
      <c r="E1149" t="str">
        <f t="shared" si="67"/>
        <v/>
      </c>
      <c r="F1149" s="16" t="str">
        <f t="shared" si="66"/>
        <v/>
      </c>
      <c r="G1149" t="s">
        <v>926</v>
      </c>
    </row>
    <row r="1150" spans="4:7" x14ac:dyDescent="0.25">
      <c r="D1150" t="s">
        <v>926</v>
      </c>
      <c r="E1150" t="str">
        <f t="shared" si="67"/>
        <v/>
      </c>
      <c r="F1150" s="16" t="str">
        <f t="shared" si="66"/>
        <v/>
      </c>
      <c r="G1150" t="s">
        <v>926</v>
      </c>
    </row>
    <row r="1151" spans="4:7" x14ac:dyDescent="0.25">
      <c r="D1151" t="s">
        <v>926</v>
      </c>
      <c r="E1151" t="str">
        <f t="shared" si="67"/>
        <v/>
      </c>
      <c r="F1151" s="16" t="str">
        <f t="shared" si="66"/>
        <v/>
      </c>
      <c r="G1151" t="s">
        <v>926</v>
      </c>
    </row>
    <row r="1152" spans="4:7" x14ac:dyDescent="0.25">
      <c r="D1152" t="s">
        <v>926</v>
      </c>
      <c r="E1152" t="str">
        <f t="shared" si="67"/>
        <v/>
      </c>
      <c r="F1152" s="16" t="str">
        <f t="shared" si="66"/>
        <v/>
      </c>
      <c r="G1152" t="s">
        <v>926</v>
      </c>
    </row>
    <row r="1153" spans="4:7" x14ac:dyDescent="0.25">
      <c r="D1153" t="s">
        <v>926</v>
      </c>
      <c r="E1153" t="str">
        <f t="shared" si="67"/>
        <v/>
      </c>
      <c r="F1153" s="16" t="str">
        <f t="shared" si="66"/>
        <v/>
      </c>
      <c r="G1153" t="s">
        <v>926</v>
      </c>
    </row>
    <row r="1154" spans="4:7" x14ac:dyDescent="0.25">
      <c r="D1154" t="s">
        <v>926</v>
      </c>
      <c r="E1154" t="str">
        <f t="shared" si="67"/>
        <v/>
      </c>
      <c r="F1154" s="16" t="str">
        <f t="shared" si="66"/>
        <v/>
      </c>
      <c r="G1154" t="s">
        <v>926</v>
      </c>
    </row>
    <row r="1155" spans="4:7" x14ac:dyDescent="0.25">
      <c r="D1155" t="s">
        <v>926</v>
      </c>
      <c r="E1155" t="str">
        <f t="shared" si="67"/>
        <v/>
      </c>
      <c r="F1155" s="16" t="str">
        <f t="shared" ref="F1155:F1218" si="68" xml:space="preserve"> IF(ISERROR(VLOOKUP(E1155,Imp_IVA1,2,FALSE)),"",VLOOKUP(E1155,Imp_IVA1,2,FALSE))&amp; IF(ISERROR(VLOOKUP(E1155,Imp_IVA2,2,FALSE)),"",VLOOKUP(E1155,Imp_IVA2,2,FALSE))</f>
        <v/>
      </c>
      <c r="G1155" t="s">
        <v>926</v>
      </c>
    </row>
    <row r="1156" spans="4:7" x14ac:dyDescent="0.25">
      <c r="D1156" t="s">
        <v>926</v>
      </c>
      <c r="E1156" t="str">
        <f t="shared" si="67"/>
        <v/>
      </c>
      <c r="F1156" s="16" t="str">
        <f t="shared" si="68"/>
        <v/>
      </c>
      <c r="G1156" t="s">
        <v>926</v>
      </c>
    </row>
    <row r="1157" spans="4:7" x14ac:dyDescent="0.25">
      <c r="D1157" t="s">
        <v>926</v>
      </c>
      <c r="E1157" t="str">
        <f t="shared" ref="E1157:E1220" si="69">IF(OR(E1156=$E$2,E1156=""),"",E1156+1)</f>
        <v/>
      </c>
      <c r="F1157" s="16" t="str">
        <f t="shared" si="68"/>
        <v/>
      </c>
      <c r="G1157" t="s">
        <v>926</v>
      </c>
    </row>
    <row r="1158" spans="4:7" x14ac:dyDescent="0.25">
      <c r="D1158" t="s">
        <v>926</v>
      </c>
      <c r="E1158" t="str">
        <f t="shared" si="69"/>
        <v/>
      </c>
      <c r="F1158" s="16" t="str">
        <f t="shared" si="68"/>
        <v/>
      </c>
      <c r="G1158" t="s">
        <v>926</v>
      </c>
    </row>
    <row r="1159" spans="4:7" x14ac:dyDescent="0.25">
      <c r="D1159" t="s">
        <v>926</v>
      </c>
      <c r="E1159" t="str">
        <f t="shared" si="69"/>
        <v/>
      </c>
      <c r="F1159" s="16" t="str">
        <f t="shared" si="68"/>
        <v/>
      </c>
      <c r="G1159" t="s">
        <v>926</v>
      </c>
    </row>
    <row r="1160" spans="4:7" x14ac:dyDescent="0.25">
      <c r="D1160" t="s">
        <v>926</v>
      </c>
      <c r="E1160" t="str">
        <f t="shared" si="69"/>
        <v/>
      </c>
      <c r="F1160" s="16" t="str">
        <f t="shared" si="68"/>
        <v/>
      </c>
      <c r="G1160" t="s">
        <v>926</v>
      </c>
    </row>
    <row r="1161" spans="4:7" x14ac:dyDescent="0.25">
      <c r="D1161" t="s">
        <v>926</v>
      </c>
      <c r="E1161" t="str">
        <f t="shared" si="69"/>
        <v/>
      </c>
      <c r="F1161" s="16" t="str">
        <f t="shared" si="68"/>
        <v/>
      </c>
      <c r="G1161" t="s">
        <v>926</v>
      </c>
    </row>
    <row r="1162" spans="4:7" x14ac:dyDescent="0.25">
      <c r="D1162" t="s">
        <v>926</v>
      </c>
      <c r="E1162" t="str">
        <f t="shared" si="69"/>
        <v/>
      </c>
      <c r="F1162" s="16" t="str">
        <f t="shared" si="68"/>
        <v/>
      </c>
      <c r="G1162" t="s">
        <v>926</v>
      </c>
    </row>
    <row r="1163" spans="4:7" x14ac:dyDescent="0.25">
      <c r="D1163" t="s">
        <v>926</v>
      </c>
      <c r="E1163" t="str">
        <f t="shared" si="69"/>
        <v/>
      </c>
      <c r="F1163" s="16" t="str">
        <f t="shared" si="68"/>
        <v/>
      </c>
      <c r="G1163" t="s">
        <v>926</v>
      </c>
    </row>
    <row r="1164" spans="4:7" x14ac:dyDescent="0.25">
      <c r="D1164" t="s">
        <v>926</v>
      </c>
      <c r="E1164" t="str">
        <f t="shared" si="69"/>
        <v/>
      </c>
      <c r="F1164" s="16" t="str">
        <f t="shared" si="68"/>
        <v/>
      </c>
      <c r="G1164" t="s">
        <v>926</v>
      </c>
    </row>
    <row r="1165" spans="4:7" x14ac:dyDescent="0.25">
      <c r="D1165" t="s">
        <v>926</v>
      </c>
      <c r="E1165" t="str">
        <f t="shared" si="69"/>
        <v/>
      </c>
      <c r="F1165" s="16" t="str">
        <f t="shared" si="68"/>
        <v/>
      </c>
      <c r="G1165" t="s">
        <v>926</v>
      </c>
    </row>
    <row r="1166" spans="4:7" x14ac:dyDescent="0.25">
      <c r="D1166" t="s">
        <v>926</v>
      </c>
      <c r="E1166" t="str">
        <f t="shared" si="69"/>
        <v/>
      </c>
      <c r="F1166" s="16" t="str">
        <f t="shared" si="68"/>
        <v/>
      </c>
      <c r="G1166" t="s">
        <v>926</v>
      </c>
    </row>
    <row r="1167" spans="4:7" x14ac:dyDescent="0.25">
      <c r="D1167" t="s">
        <v>926</v>
      </c>
      <c r="E1167" t="str">
        <f t="shared" si="69"/>
        <v/>
      </c>
      <c r="F1167" s="16" t="str">
        <f t="shared" si="68"/>
        <v/>
      </c>
      <c r="G1167" t="s">
        <v>926</v>
      </c>
    </row>
    <row r="1168" spans="4:7" x14ac:dyDescent="0.25">
      <c r="D1168" t="s">
        <v>926</v>
      </c>
      <c r="E1168" t="str">
        <f t="shared" si="69"/>
        <v/>
      </c>
      <c r="F1168" s="16" t="str">
        <f t="shared" si="68"/>
        <v/>
      </c>
      <c r="G1168" t="s">
        <v>926</v>
      </c>
    </row>
    <row r="1169" spans="4:7" x14ac:dyDescent="0.25">
      <c r="D1169" t="s">
        <v>926</v>
      </c>
      <c r="E1169" t="str">
        <f t="shared" si="69"/>
        <v/>
      </c>
      <c r="F1169" s="16" t="str">
        <f t="shared" si="68"/>
        <v/>
      </c>
      <c r="G1169" t="s">
        <v>926</v>
      </c>
    </row>
    <row r="1170" spans="4:7" x14ac:dyDescent="0.25">
      <c r="D1170" t="s">
        <v>926</v>
      </c>
      <c r="E1170" t="str">
        <f t="shared" si="69"/>
        <v/>
      </c>
      <c r="F1170" s="16" t="str">
        <f t="shared" si="68"/>
        <v/>
      </c>
      <c r="G1170" t="s">
        <v>926</v>
      </c>
    </row>
    <row r="1171" spans="4:7" x14ac:dyDescent="0.25">
      <c r="D1171" t="s">
        <v>926</v>
      </c>
      <c r="E1171" t="str">
        <f t="shared" si="69"/>
        <v/>
      </c>
      <c r="F1171" s="16" t="str">
        <f t="shared" si="68"/>
        <v/>
      </c>
      <c r="G1171" t="s">
        <v>926</v>
      </c>
    </row>
    <row r="1172" spans="4:7" x14ac:dyDescent="0.25">
      <c r="D1172" t="s">
        <v>926</v>
      </c>
      <c r="E1172" t="str">
        <f t="shared" si="69"/>
        <v/>
      </c>
      <c r="F1172" s="16" t="str">
        <f t="shared" si="68"/>
        <v/>
      </c>
      <c r="G1172" t="s">
        <v>926</v>
      </c>
    </row>
    <row r="1173" spans="4:7" x14ac:dyDescent="0.25">
      <c r="D1173" t="s">
        <v>926</v>
      </c>
      <c r="E1173" t="str">
        <f t="shared" si="69"/>
        <v/>
      </c>
      <c r="F1173" s="16" t="str">
        <f t="shared" si="68"/>
        <v/>
      </c>
      <c r="G1173" t="s">
        <v>926</v>
      </c>
    </row>
    <row r="1174" spans="4:7" x14ac:dyDescent="0.25">
      <c r="D1174" t="s">
        <v>926</v>
      </c>
      <c r="E1174" t="str">
        <f t="shared" si="69"/>
        <v/>
      </c>
      <c r="F1174" s="16" t="str">
        <f t="shared" si="68"/>
        <v/>
      </c>
      <c r="G1174" t="s">
        <v>926</v>
      </c>
    </row>
    <row r="1175" spans="4:7" x14ac:dyDescent="0.25">
      <c r="D1175" t="s">
        <v>926</v>
      </c>
      <c r="E1175" t="str">
        <f t="shared" si="69"/>
        <v/>
      </c>
      <c r="F1175" s="16" t="str">
        <f t="shared" si="68"/>
        <v/>
      </c>
      <c r="G1175" t="s">
        <v>926</v>
      </c>
    </row>
    <row r="1176" spans="4:7" x14ac:dyDescent="0.25">
      <c r="D1176" t="s">
        <v>926</v>
      </c>
      <c r="E1176" t="str">
        <f t="shared" si="69"/>
        <v/>
      </c>
      <c r="F1176" s="16" t="str">
        <f t="shared" si="68"/>
        <v/>
      </c>
      <c r="G1176" t="s">
        <v>926</v>
      </c>
    </row>
    <row r="1177" spans="4:7" x14ac:dyDescent="0.25">
      <c r="D1177" t="s">
        <v>926</v>
      </c>
      <c r="E1177" t="str">
        <f t="shared" si="69"/>
        <v/>
      </c>
      <c r="F1177" s="16" t="str">
        <f t="shared" si="68"/>
        <v/>
      </c>
      <c r="G1177" t="s">
        <v>926</v>
      </c>
    </row>
    <row r="1178" spans="4:7" x14ac:dyDescent="0.25">
      <c r="D1178" t="s">
        <v>926</v>
      </c>
      <c r="E1178" t="str">
        <f t="shared" si="69"/>
        <v/>
      </c>
      <c r="F1178" s="16" t="str">
        <f t="shared" si="68"/>
        <v/>
      </c>
      <c r="G1178" t="s">
        <v>926</v>
      </c>
    </row>
    <row r="1179" spans="4:7" x14ac:dyDescent="0.25">
      <c r="D1179" t="s">
        <v>926</v>
      </c>
      <c r="E1179" t="str">
        <f t="shared" si="69"/>
        <v/>
      </c>
      <c r="F1179" s="16" t="str">
        <f t="shared" si="68"/>
        <v/>
      </c>
      <c r="G1179" t="s">
        <v>926</v>
      </c>
    </row>
    <row r="1180" spans="4:7" x14ac:dyDescent="0.25">
      <c r="D1180" t="s">
        <v>926</v>
      </c>
      <c r="E1180" t="str">
        <f t="shared" si="69"/>
        <v/>
      </c>
      <c r="F1180" s="16" t="str">
        <f t="shared" si="68"/>
        <v/>
      </c>
      <c r="G1180" t="s">
        <v>926</v>
      </c>
    </row>
    <row r="1181" spans="4:7" x14ac:dyDescent="0.25">
      <c r="D1181" t="s">
        <v>926</v>
      </c>
      <c r="E1181" t="str">
        <f t="shared" si="69"/>
        <v/>
      </c>
      <c r="F1181" s="16" t="str">
        <f t="shared" si="68"/>
        <v/>
      </c>
      <c r="G1181" t="s">
        <v>926</v>
      </c>
    </row>
    <row r="1182" spans="4:7" x14ac:dyDescent="0.25">
      <c r="D1182" t="s">
        <v>926</v>
      </c>
      <c r="E1182" t="str">
        <f t="shared" si="69"/>
        <v/>
      </c>
      <c r="F1182" s="16" t="str">
        <f t="shared" si="68"/>
        <v/>
      </c>
      <c r="G1182" t="s">
        <v>926</v>
      </c>
    </row>
    <row r="1183" spans="4:7" x14ac:dyDescent="0.25">
      <c r="D1183" t="s">
        <v>926</v>
      </c>
      <c r="E1183" t="str">
        <f t="shared" si="69"/>
        <v/>
      </c>
      <c r="F1183" s="16" t="str">
        <f t="shared" si="68"/>
        <v/>
      </c>
      <c r="G1183" t="s">
        <v>926</v>
      </c>
    </row>
    <row r="1184" spans="4:7" x14ac:dyDescent="0.25">
      <c r="D1184" t="s">
        <v>926</v>
      </c>
      <c r="E1184" t="str">
        <f t="shared" si="69"/>
        <v/>
      </c>
      <c r="F1184" s="16" t="str">
        <f t="shared" si="68"/>
        <v/>
      </c>
      <c r="G1184" t="s">
        <v>926</v>
      </c>
    </row>
    <row r="1185" spans="4:7" x14ac:dyDescent="0.25">
      <c r="D1185" t="s">
        <v>926</v>
      </c>
      <c r="E1185" t="str">
        <f t="shared" si="69"/>
        <v/>
      </c>
      <c r="F1185" s="16" t="str">
        <f t="shared" si="68"/>
        <v/>
      </c>
      <c r="G1185" t="s">
        <v>926</v>
      </c>
    </row>
    <row r="1186" spans="4:7" x14ac:dyDescent="0.25">
      <c r="D1186" t="s">
        <v>926</v>
      </c>
      <c r="E1186" t="str">
        <f t="shared" si="69"/>
        <v/>
      </c>
      <c r="F1186" s="16" t="str">
        <f t="shared" si="68"/>
        <v/>
      </c>
      <c r="G1186" t="s">
        <v>926</v>
      </c>
    </row>
    <row r="1187" spans="4:7" x14ac:dyDescent="0.25">
      <c r="D1187" t="s">
        <v>926</v>
      </c>
      <c r="E1187" t="str">
        <f t="shared" si="69"/>
        <v/>
      </c>
      <c r="F1187" s="16" t="str">
        <f t="shared" si="68"/>
        <v/>
      </c>
      <c r="G1187" t="s">
        <v>926</v>
      </c>
    </row>
    <row r="1188" spans="4:7" x14ac:dyDescent="0.25">
      <c r="D1188" t="s">
        <v>926</v>
      </c>
      <c r="E1188" t="str">
        <f t="shared" si="69"/>
        <v/>
      </c>
      <c r="F1188" s="16" t="str">
        <f t="shared" si="68"/>
        <v/>
      </c>
      <c r="G1188" t="s">
        <v>926</v>
      </c>
    </row>
    <row r="1189" spans="4:7" x14ac:dyDescent="0.25">
      <c r="D1189" t="s">
        <v>926</v>
      </c>
      <c r="E1189" t="str">
        <f t="shared" si="69"/>
        <v/>
      </c>
      <c r="F1189" s="16" t="str">
        <f t="shared" si="68"/>
        <v/>
      </c>
      <c r="G1189" t="s">
        <v>926</v>
      </c>
    </row>
    <row r="1190" spans="4:7" x14ac:dyDescent="0.25">
      <c r="D1190" t="s">
        <v>926</v>
      </c>
      <c r="E1190" t="str">
        <f t="shared" si="69"/>
        <v/>
      </c>
      <c r="F1190" s="16" t="str">
        <f t="shared" si="68"/>
        <v/>
      </c>
      <c r="G1190" t="s">
        <v>926</v>
      </c>
    </row>
    <row r="1191" spans="4:7" x14ac:dyDescent="0.25">
      <c r="D1191" t="s">
        <v>926</v>
      </c>
      <c r="E1191" t="str">
        <f t="shared" si="69"/>
        <v/>
      </c>
      <c r="F1191" s="16" t="str">
        <f t="shared" si="68"/>
        <v/>
      </c>
      <c r="G1191" t="s">
        <v>926</v>
      </c>
    </row>
    <row r="1192" spans="4:7" x14ac:dyDescent="0.25">
      <c r="D1192" t="s">
        <v>926</v>
      </c>
      <c r="E1192" t="str">
        <f t="shared" si="69"/>
        <v/>
      </c>
      <c r="F1192" s="16" t="str">
        <f t="shared" si="68"/>
        <v/>
      </c>
      <c r="G1192" t="s">
        <v>926</v>
      </c>
    </row>
    <row r="1193" spans="4:7" x14ac:dyDescent="0.25">
      <c r="D1193" t="s">
        <v>926</v>
      </c>
      <c r="E1193" t="str">
        <f t="shared" si="69"/>
        <v/>
      </c>
      <c r="F1193" s="16" t="str">
        <f t="shared" si="68"/>
        <v/>
      </c>
      <c r="G1193" t="s">
        <v>926</v>
      </c>
    </row>
    <row r="1194" spans="4:7" x14ac:dyDescent="0.25">
      <c r="D1194" t="s">
        <v>926</v>
      </c>
      <c r="E1194" t="str">
        <f t="shared" si="69"/>
        <v/>
      </c>
      <c r="F1194" s="16" t="str">
        <f t="shared" si="68"/>
        <v/>
      </c>
      <c r="G1194" t="s">
        <v>926</v>
      </c>
    </row>
    <row r="1195" spans="4:7" x14ac:dyDescent="0.25">
      <c r="D1195" t="s">
        <v>926</v>
      </c>
      <c r="E1195" t="str">
        <f t="shared" si="69"/>
        <v/>
      </c>
      <c r="F1195" s="16" t="str">
        <f t="shared" si="68"/>
        <v/>
      </c>
      <c r="G1195" t="s">
        <v>926</v>
      </c>
    </row>
    <row r="1196" spans="4:7" x14ac:dyDescent="0.25">
      <c r="D1196" t="s">
        <v>926</v>
      </c>
      <c r="E1196" t="str">
        <f t="shared" si="69"/>
        <v/>
      </c>
      <c r="F1196" s="16" t="str">
        <f t="shared" si="68"/>
        <v/>
      </c>
      <c r="G1196" t="s">
        <v>926</v>
      </c>
    </row>
    <row r="1197" spans="4:7" x14ac:dyDescent="0.25">
      <c r="D1197" t="s">
        <v>926</v>
      </c>
      <c r="E1197" t="str">
        <f t="shared" si="69"/>
        <v/>
      </c>
      <c r="F1197" s="16" t="str">
        <f t="shared" si="68"/>
        <v/>
      </c>
      <c r="G1197" t="s">
        <v>926</v>
      </c>
    </row>
    <row r="1198" spans="4:7" x14ac:dyDescent="0.25">
      <c r="D1198" t="s">
        <v>926</v>
      </c>
      <c r="E1198" t="str">
        <f t="shared" si="69"/>
        <v/>
      </c>
      <c r="F1198" s="16" t="str">
        <f t="shared" si="68"/>
        <v/>
      </c>
      <c r="G1198" t="s">
        <v>926</v>
      </c>
    </row>
    <row r="1199" spans="4:7" x14ac:dyDescent="0.25">
      <c r="D1199" t="s">
        <v>926</v>
      </c>
      <c r="E1199" t="str">
        <f t="shared" si="69"/>
        <v/>
      </c>
      <c r="F1199" s="16" t="str">
        <f t="shared" si="68"/>
        <v/>
      </c>
      <c r="G1199" t="s">
        <v>926</v>
      </c>
    </row>
    <row r="1200" spans="4:7" x14ac:dyDescent="0.25">
      <c r="D1200" t="s">
        <v>926</v>
      </c>
      <c r="E1200" t="str">
        <f t="shared" si="69"/>
        <v/>
      </c>
      <c r="F1200" s="16" t="str">
        <f t="shared" si="68"/>
        <v/>
      </c>
      <c r="G1200" t="s">
        <v>926</v>
      </c>
    </row>
    <row r="1201" spans="4:7" x14ac:dyDescent="0.25">
      <c r="D1201" t="s">
        <v>926</v>
      </c>
      <c r="E1201" t="str">
        <f t="shared" si="69"/>
        <v/>
      </c>
      <c r="F1201" s="16" t="str">
        <f t="shared" si="68"/>
        <v/>
      </c>
      <c r="G1201" t="s">
        <v>926</v>
      </c>
    </row>
    <row r="1202" spans="4:7" x14ac:dyDescent="0.25">
      <c r="D1202" t="s">
        <v>926</v>
      </c>
      <c r="E1202" t="str">
        <f t="shared" si="69"/>
        <v/>
      </c>
      <c r="F1202" s="16" t="str">
        <f t="shared" si="68"/>
        <v/>
      </c>
      <c r="G1202" t="s">
        <v>926</v>
      </c>
    </row>
    <row r="1203" spans="4:7" x14ac:dyDescent="0.25">
      <c r="D1203" t="s">
        <v>926</v>
      </c>
      <c r="E1203" t="str">
        <f t="shared" si="69"/>
        <v/>
      </c>
      <c r="F1203" s="16" t="str">
        <f t="shared" si="68"/>
        <v/>
      </c>
      <c r="G1203" t="s">
        <v>926</v>
      </c>
    </row>
    <row r="1204" spans="4:7" x14ac:dyDescent="0.25">
      <c r="D1204" t="s">
        <v>926</v>
      </c>
      <c r="E1204" t="str">
        <f t="shared" si="69"/>
        <v/>
      </c>
      <c r="F1204" s="16" t="str">
        <f t="shared" si="68"/>
        <v/>
      </c>
      <c r="G1204" t="s">
        <v>926</v>
      </c>
    </row>
    <row r="1205" spans="4:7" x14ac:dyDescent="0.25">
      <c r="D1205" t="s">
        <v>926</v>
      </c>
      <c r="E1205" t="str">
        <f t="shared" si="69"/>
        <v/>
      </c>
      <c r="F1205" s="16" t="str">
        <f t="shared" si="68"/>
        <v/>
      </c>
      <c r="G1205" t="s">
        <v>926</v>
      </c>
    </row>
    <row r="1206" spans="4:7" x14ac:dyDescent="0.25">
      <c r="D1206" t="s">
        <v>926</v>
      </c>
      <c r="E1206" t="str">
        <f t="shared" si="69"/>
        <v/>
      </c>
      <c r="F1206" s="16" t="str">
        <f t="shared" si="68"/>
        <v/>
      </c>
      <c r="G1206" t="s">
        <v>926</v>
      </c>
    </row>
    <row r="1207" spans="4:7" x14ac:dyDescent="0.25">
      <c r="D1207" t="s">
        <v>926</v>
      </c>
      <c r="E1207" t="str">
        <f t="shared" si="69"/>
        <v/>
      </c>
      <c r="F1207" s="16" t="str">
        <f t="shared" si="68"/>
        <v/>
      </c>
      <c r="G1207" t="s">
        <v>926</v>
      </c>
    </row>
    <row r="1208" spans="4:7" x14ac:dyDescent="0.25">
      <c r="D1208" t="s">
        <v>926</v>
      </c>
      <c r="E1208" t="str">
        <f t="shared" si="69"/>
        <v/>
      </c>
      <c r="F1208" s="16" t="str">
        <f t="shared" si="68"/>
        <v/>
      </c>
      <c r="G1208" t="s">
        <v>926</v>
      </c>
    </row>
    <row r="1209" spans="4:7" x14ac:dyDescent="0.25">
      <c r="D1209" t="s">
        <v>926</v>
      </c>
      <c r="E1209" t="str">
        <f t="shared" si="69"/>
        <v/>
      </c>
      <c r="F1209" s="16" t="str">
        <f t="shared" si="68"/>
        <v/>
      </c>
      <c r="G1209" t="s">
        <v>926</v>
      </c>
    </row>
    <row r="1210" spans="4:7" x14ac:dyDescent="0.25">
      <c r="D1210" t="s">
        <v>926</v>
      </c>
      <c r="E1210" t="str">
        <f t="shared" si="69"/>
        <v/>
      </c>
      <c r="F1210" s="16" t="str">
        <f t="shared" si="68"/>
        <v/>
      </c>
      <c r="G1210" t="s">
        <v>926</v>
      </c>
    </row>
    <row r="1211" spans="4:7" x14ac:dyDescent="0.25">
      <c r="D1211" t="s">
        <v>926</v>
      </c>
      <c r="E1211" t="str">
        <f t="shared" si="69"/>
        <v/>
      </c>
      <c r="F1211" s="16" t="str">
        <f t="shared" si="68"/>
        <v/>
      </c>
      <c r="G1211" t="s">
        <v>926</v>
      </c>
    </row>
    <row r="1212" spans="4:7" x14ac:dyDescent="0.25">
      <c r="D1212" t="s">
        <v>926</v>
      </c>
      <c r="E1212" t="str">
        <f t="shared" si="69"/>
        <v/>
      </c>
      <c r="F1212" s="16" t="str">
        <f t="shared" si="68"/>
        <v/>
      </c>
      <c r="G1212" t="s">
        <v>926</v>
      </c>
    </row>
    <row r="1213" spans="4:7" x14ac:dyDescent="0.25">
      <c r="D1213" t="s">
        <v>926</v>
      </c>
      <c r="E1213" t="str">
        <f t="shared" si="69"/>
        <v/>
      </c>
      <c r="F1213" s="16" t="str">
        <f t="shared" si="68"/>
        <v/>
      </c>
      <c r="G1213" t="s">
        <v>926</v>
      </c>
    </row>
    <row r="1214" spans="4:7" x14ac:dyDescent="0.25">
      <c r="D1214" t="s">
        <v>926</v>
      </c>
      <c r="E1214" t="str">
        <f t="shared" si="69"/>
        <v/>
      </c>
      <c r="F1214" s="16" t="str">
        <f t="shared" si="68"/>
        <v/>
      </c>
      <c r="G1214" t="s">
        <v>926</v>
      </c>
    </row>
    <row r="1215" spans="4:7" x14ac:dyDescent="0.25">
      <c r="D1215" t="s">
        <v>926</v>
      </c>
      <c r="E1215" t="str">
        <f t="shared" si="69"/>
        <v/>
      </c>
      <c r="F1215" s="16" t="str">
        <f t="shared" si="68"/>
        <v/>
      </c>
      <c r="G1215" t="s">
        <v>926</v>
      </c>
    </row>
    <row r="1216" spans="4:7" x14ac:dyDescent="0.25">
      <c r="D1216" t="s">
        <v>926</v>
      </c>
      <c r="E1216" t="str">
        <f t="shared" si="69"/>
        <v/>
      </c>
      <c r="F1216" s="16" t="str">
        <f t="shared" si="68"/>
        <v/>
      </c>
      <c r="G1216" t="s">
        <v>926</v>
      </c>
    </row>
    <row r="1217" spans="4:7" x14ac:dyDescent="0.25">
      <c r="D1217" t="s">
        <v>926</v>
      </c>
      <c r="E1217" t="str">
        <f t="shared" si="69"/>
        <v/>
      </c>
      <c r="F1217" s="16" t="str">
        <f t="shared" si="68"/>
        <v/>
      </c>
      <c r="G1217" t="s">
        <v>926</v>
      </c>
    </row>
    <row r="1218" spans="4:7" x14ac:dyDescent="0.25">
      <c r="D1218" t="s">
        <v>926</v>
      </c>
      <c r="E1218" t="str">
        <f t="shared" si="69"/>
        <v/>
      </c>
      <c r="F1218" s="16" t="str">
        <f t="shared" si="68"/>
        <v/>
      </c>
      <c r="G1218" t="s">
        <v>926</v>
      </c>
    </row>
    <row r="1219" spans="4:7" x14ac:dyDescent="0.25">
      <c r="D1219" t="s">
        <v>926</v>
      </c>
      <c r="E1219" t="str">
        <f t="shared" si="69"/>
        <v/>
      </c>
      <c r="F1219" s="16" t="str">
        <f t="shared" ref="F1219:F1282" si="70" xml:space="preserve"> IF(ISERROR(VLOOKUP(E1219,Imp_IVA1,2,FALSE)),"",VLOOKUP(E1219,Imp_IVA1,2,FALSE))&amp; IF(ISERROR(VLOOKUP(E1219,Imp_IVA2,2,FALSE)),"",VLOOKUP(E1219,Imp_IVA2,2,FALSE))</f>
        <v/>
      </c>
      <c r="G1219" t="s">
        <v>926</v>
      </c>
    </row>
    <row r="1220" spans="4:7" x14ac:dyDescent="0.25">
      <c r="D1220" t="s">
        <v>926</v>
      </c>
      <c r="E1220" t="str">
        <f t="shared" si="69"/>
        <v/>
      </c>
      <c r="F1220" s="16" t="str">
        <f t="shared" si="70"/>
        <v/>
      </c>
      <c r="G1220" t="s">
        <v>926</v>
      </c>
    </row>
    <row r="1221" spans="4:7" x14ac:dyDescent="0.25">
      <c r="D1221" t="s">
        <v>926</v>
      </c>
      <c r="E1221" t="str">
        <f t="shared" ref="E1221:E1284" si="71">IF(OR(E1220=$E$2,E1220=""),"",E1220+1)</f>
        <v/>
      </c>
      <c r="F1221" s="16" t="str">
        <f t="shared" si="70"/>
        <v/>
      </c>
      <c r="G1221" t="s">
        <v>926</v>
      </c>
    </row>
    <row r="1222" spans="4:7" x14ac:dyDescent="0.25">
      <c r="D1222" t="s">
        <v>926</v>
      </c>
      <c r="E1222" t="str">
        <f t="shared" si="71"/>
        <v/>
      </c>
      <c r="F1222" s="16" t="str">
        <f t="shared" si="70"/>
        <v/>
      </c>
      <c r="G1222" t="s">
        <v>926</v>
      </c>
    </row>
    <row r="1223" spans="4:7" x14ac:dyDescent="0.25">
      <c r="D1223" t="s">
        <v>926</v>
      </c>
      <c r="E1223" t="str">
        <f t="shared" si="71"/>
        <v/>
      </c>
      <c r="F1223" s="16" t="str">
        <f t="shared" si="70"/>
        <v/>
      </c>
      <c r="G1223" t="s">
        <v>926</v>
      </c>
    </row>
    <row r="1224" spans="4:7" x14ac:dyDescent="0.25">
      <c r="D1224" t="s">
        <v>926</v>
      </c>
      <c r="E1224" t="str">
        <f t="shared" si="71"/>
        <v/>
      </c>
      <c r="F1224" s="16" t="str">
        <f t="shared" si="70"/>
        <v/>
      </c>
      <c r="G1224" t="s">
        <v>926</v>
      </c>
    </row>
    <row r="1225" spans="4:7" x14ac:dyDescent="0.25">
      <c r="D1225" t="s">
        <v>926</v>
      </c>
      <c r="E1225" t="str">
        <f t="shared" si="71"/>
        <v/>
      </c>
      <c r="F1225" s="16" t="str">
        <f t="shared" si="70"/>
        <v/>
      </c>
      <c r="G1225" t="s">
        <v>926</v>
      </c>
    </row>
    <row r="1226" spans="4:7" x14ac:dyDescent="0.25">
      <c r="D1226" t="s">
        <v>926</v>
      </c>
      <c r="E1226" t="str">
        <f t="shared" si="71"/>
        <v/>
      </c>
      <c r="F1226" s="16" t="str">
        <f t="shared" si="70"/>
        <v/>
      </c>
      <c r="G1226" t="s">
        <v>926</v>
      </c>
    </row>
    <row r="1227" spans="4:7" x14ac:dyDescent="0.25">
      <c r="D1227" t="s">
        <v>926</v>
      </c>
      <c r="E1227" t="str">
        <f t="shared" si="71"/>
        <v/>
      </c>
      <c r="F1227" s="16" t="str">
        <f t="shared" si="70"/>
        <v/>
      </c>
      <c r="G1227" t="s">
        <v>926</v>
      </c>
    </row>
    <row r="1228" spans="4:7" x14ac:dyDescent="0.25">
      <c r="D1228" t="s">
        <v>926</v>
      </c>
      <c r="E1228" t="str">
        <f t="shared" si="71"/>
        <v/>
      </c>
      <c r="F1228" s="16" t="str">
        <f t="shared" si="70"/>
        <v/>
      </c>
      <c r="G1228" t="s">
        <v>926</v>
      </c>
    </row>
    <row r="1229" spans="4:7" x14ac:dyDescent="0.25">
      <c r="D1229" t="s">
        <v>926</v>
      </c>
      <c r="E1229" t="str">
        <f t="shared" si="71"/>
        <v/>
      </c>
      <c r="F1229" s="16" t="str">
        <f t="shared" si="70"/>
        <v/>
      </c>
      <c r="G1229" t="s">
        <v>926</v>
      </c>
    </row>
    <row r="1230" spans="4:7" x14ac:dyDescent="0.25">
      <c r="D1230" t="s">
        <v>926</v>
      </c>
      <c r="E1230" t="str">
        <f t="shared" si="71"/>
        <v/>
      </c>
      <c r="F1230" s="16" t="str">
        <f t="shared" si="70"/>
        <v/>
      </c>
      <c r="G1230" t="s">
        <v>926</v>
      </c>
    </row>
    <row r="1231" spans="4:7" x14ac:dyDescent="0.25">
      <c r="D1231" t="s">
        <v>926</v>
      </c>
      <c r="E1231" t="str">
        <f t="shared" si="71"/>
        <v/>
      </c>
      <c r="F1231" s="16" t="str">
        <f t="shared" si="70"/>
        <v/>
      </c>
      <c r="G1231" t="s">
        <v>926</v>
      </c>
    </row>
    <row r="1232" spans="4:7" x14ac:dyDescent="0.25">
      <c r="D1232" t="s">
        <v>926</v>
      </c>
      <c r="E1232" t="str">
        <f t="shared" si="71"/>
        <v/>
      </c>
      <c r="F1232" s="16" t="str">
        <f t="shared" si="70"/>
        <v/>
      </c>
      <c r="G1232" t="s">
        <v>926</v>
      </c>
    </row>
    <row r="1233" spans="4:7" x14ac:dyDescent="0.25">
      <c r="D1233" t="s">
        <v>926</v>
      </c>
      <c r="E1233" t="str">
        <f t="shared" si="71"/>
        <v/>
      </c>
      <c r="F1233" s="16" t="str">
        <f t="shared" si="70"/>
        <v/>
      </c>
      <c r="G1233" t="s">
        <v>926</v>
      </c>
    </row>
    <row r="1234" spans="4:7" x14ac:dyDescent="0.25">
      <c r="D1234" t="s">
        <v>926</v>
      </c>
      <c r="E1234" t="str">
        <f t="shared" si="71"/>
        <v/>
      </c>
      <c r="F1234" s="16" t="str">
        <f t="shared" si="70"/>
        <v/>
      </c>
      <c r="G1234" t="s">
        <v>926</v>
      </c>
    </row>
    <row r="1235" spans="4:7" x14ac:dyDescent="0.25">
      <c r="D1235" t="s">
        <v>926</v>
      </c>
      <c r="E1235" t="str">
        <f t="shared" si="71"/>
        <v/>
      </c>
      <c r="F1235" s="16" t="str">
        <f t="shared" si="70"/>
        <v/>
      </c>
      <c r="G1235" t="s">
        <v>926</v>
      </c>
    </row>
    <row r="1236" spans="4:7" x14ac:dyDescent="0.25">
      <c r="D1236" t="s">
        <v>926</v>
      </c>
      <c r="E1236" t="str">
        <f t="shared" si="71"/>
        <v/>
      </c>
      <c r="F1236" s="16" t="str">
        <f t="shared" si="70"/>
        <v/>
      </c>
      <c r="G1236" t="s">
        <v>926</v>
      </c>
    </row>
    <row r="1237" spans="4:7" x14ac:dyDescent="0.25">
      <c r="D1237" t="s">
        <v>926</v>
      </c>
      <c r="E1237" t="str">
        <f t="shared" si="71"/>
        <v/>
      </c>
      <c r="F1237" s="16" t="str">
        <f t="shared" si="70"/>
        <v/>
      </c>
      <c r="G1237" t="s">
        <v>926</v>
      </c>
    </row>
    <row r="1238" spans="4:7" x14ac:dyDescent="0.25">
      <c r="D1238" t="s">
        <v>926</v>
      </c>
      <c r="E1238" t="str">
        <f t="shared" si="71"/>
        <v/>
      </c>
      <c r="F1238" s="16" t="str">
        <f t="shared" si="70"/>
        <v/>
      </c>
      <c r="G1238" t="s">
        <v>926</v>
      </c>
    </row>
    <row r="1239" spans="4:7" x14ac:dyDescent="0.25">
      <c r="D1239" t="s">
        <v>926</v>
      </c>
      <c r="E1239" t="str">
        <f t="shared" si="71"/>
        <v/>
      </c>
      <c r="F1239" s="16" t="str">
        <f t="shared" si="70"/>
        <v/>
      </c>
      <c r="G1239" t="s">
        <v>926</v>
      </c>
    </row>
    <row r="1240" spans="4:7" x14ac:dyDescent="0.25">
      <c r="D1240" t="s">
        <v>926</v>
      </c>
      <c r="E1240" t="str">
        <f t="shared" si="71"/>
        <v/>
      </c>
      <c r="F1240" s="16" t="str">
        <f t="shared" si="70"/>
        <v/>
      </c>
      <c r="G1240" t="s">
        <v>926</v>
      </c>
    </row>
    <row r="1241" spans="4:7" x14ac:dyDescent="0.25">
      <c r="D1241" t="s">
        <v>926</v>
      </c>
      <c r="E1241" t="str">
        <f t="shared" si="71"/>
        <v/>
      </c>
      <c r="F1241" s="16" t="str">
        <f t="shared" si="70"/>
        <v/>
      </c>
      <c r="G1241" t="s">
        <v>926</v>
      </c>
    </row>
    <row r="1242" spans="4:7" x14ac:dyDescent="0.25">
      <c r="D1242" t="s">
        <v>926</v>
      </c>
      <c r="E1242" t="str">
        <f t="shared" si="71"/>
        <v/>
      </c>
      <c r="F1242" s="16" t="str">
        <f t="shared" si="70"/>
        <v/>
      </c>
      <c r="G1242" t="s">
        <v>926</v>
      </c>
    </row>
    <row r="1243" spans="4:7" x14ac:dyDescent="0.25">
      <c r="D1243" t="s">
        <v>926</v>
      </c>
      <c r="E1243" t="str">
        <f t="shared" si="71"/>
        <v/>
      </c>
      <c r="F1243" s="16" t="str">
        <f t="shared" si="70"/>
        <v/>
      </c>
      <c r="G1243" t="s">
        <v>926</v>
      </c>
    </row>
    <row r="1244" spans="4:7" x14ac:dyDescent="0.25">
      <c r="D1244" t="s">
        <v>926</v>
      </c>
      <c r="E1244" t="str">
        <f t="shared" si="71"/>
        <v/>
      </c>
      <c r="F1244" s="16" t="str">
        <f t="shared" si="70"/>
        <v/>
      </c>
      <c r="G1244" t="s">
        <v>926</v>
      </c>
    </row>
    <row r="1245" spans="4:7" x14ac:dyDescent="0.25">
      <c r="D1245" t="s">
        <v>926</v>
      </c>
      <c r="E1245" t="str">
        <f t="shared" si="71"/>
        <v/>
      </c>
      <c r="F1245" s="16" t="str">
        <f t="shared" si="70"/>
        <v/>
      </c>
      <c r="G1245" t="s">
        <v>926</v>
      </c>
    </row>
    <row r="1246" spans="4:7" x14ac:dyDescent="0.25">
      <c r="D1246" t="s">
        <v>926</v>
      </c>
      <c r="E1246" t="str">
        <f t="shared" si="71"/>
        <v/>
      </c>
      <c r="F1246" s="16" t="str">
        <f t="shared" si="70"/>
        <v/>
      </c>
      <c r="G1246" t="s">
        <v>926</v>
      </c>
    </row>
    <row r="1247" spans="4:7" x14ac:dyDescent="0.25">
      <c r="D1247" t="s">
        <v>926</v>
      </c>
      <c r="E1247" t="str">
        <f t="shared" si="71"/>
        <v/>
      </c>
      <c r="F1247" s="16" t="str">
        <f t="shared" si="70"/>
        <v/>
      </c>
      <c r="G1247" t="s">
        <v>926</v>
      </c>
    </row>
    <row r="1248" spans="4:7" x14ac:dyDescent="0.25">
      <c r="D1248" t="s">
        <v>926</v>
      </c>
      <c r="E1248" t="str">
        <f t="shared" si="71"/>
        <v/>
      </c>
      <c r="F1248" s="16" t="str">
        <f t="shared" si="70"/>
        <v/>
      </c>
      <c r="G1248" t="s">
        <v>926</v>
      </c>
    </row>
    <row r="1249" spans="4:7" x14ac:dyDescent="0.25">
      <c r="D1249" t="s">
        <v>926</v>
      </c>
      <c r="E1249" t="str">
        <f t="shared" si="71"/>
        <v/>
      </c>
      <c r="F1249" s="16" t="str">
        <f t="shared" si="70"/>
        <v/>
      </c>
      <c r="G1249" t="s">
        <v>926</v>
      </c>
    </row>
    <row r="1250" spans="4:7" x14ac:dyDescent="0.25">
      <c r="D1250" t="s">
        <v>926</v>
      </c>
      <c r="E1250" t="str">
        <f t="shared" si="71"/>
        <v/>
      </c>
      <c r="F1250" s="16" t="str">
        <f t="shared" si="70"/>
        <v/>
      </c>
      <c r="G1250" t="s">
        <v>926</v>
      </c>
    </row>
    <row r="1251" spans="4:7" x14ac:dyDescent="0.25">
      <c r="D1251" t="s">
        <v>926</v>
      </c>
      <c r="E1251" t="str">
        <f t="shared" si="71"/>
        <v/>
      </c>
      <c r="F1251" s="16" t="str">
        <f t="shared" si="70"/>
        <v/>
      </c>
      <c r="G1251" t="s">
        <v>926</v>
      </c>
    </row>
    <row r="1252" spans="4:7" x14ac:dyDescent="0.25">
      <c r="D1252" t="s">
        <v>926</v>
      </c>
      <c r="E1252" t="str">
        <f t="shared" si="71"/>
        <v/>
      </c>
      <c r="F1252" s="16" t="str">
        <f t="shared" si="70"/>
        <v/>
      </c>
      <c r="G1252" t="s">
        <v>926</v>
      </c>
    </row>
    <row r="1253" spans="4:7" x14ac:dyDescent="0.25">
      <c r="D1253" t="s">
        <v>926</v>
      </c>
      <c r="E1253" t="str">
        <f t="shared" si="71"/>
        <v/>
      </c>
      <c r="F1253" s="16" t="str">
        <f t="shared" si="70"/>
        <v/>
      </c>
      <c r="G1253" t="s">
        <v>926</v>
      </c>
    </row>
    <row r="1254" spans="4:7" x14ac:dyDescent="0.25">
      <c r="D1254" t="s">
        <v>926</v>
      </c>
      <c r="E1254" t="str">
        <f t="shared" si="71"/>
        <v/>
      </c>
      <c r="F1254" s="16" t="str">
        <f t="shared" si="70"/>
        <v/>
      </c>
      <c r="G1254" t="s">
        <v>926</v>
      </c>
    </row>
    <row r="1255" spans="4:7" x14ac:dyDescent="0.25">
      <c r="D1255" t="s">
        <v>926</v>
      </c>
      <c r="E1255" t="str">
        <f t="shared" si="71"/>
        <v/>
      </c>
      <c r="F1255" s="16" t="str">
        <f t="shared" si="70"/>
        <v/>
      </c>
      <c r="G1255" t="s">
        <v>926</v>
      </c>
    </row>
    <row r="1256" spans="4:7" x14ac:dyDescent="0.25">
      <c r="D1256" t="s">
        <v>926</v>
      </c>
      <c r="E1256" t="str">
        <f t="shared" si="71"/>
        <v/>
      </c>
      <c r="F1256" s="16" t="str">
        <f t="shared" si="70"/>
        <v/>
      </c>
      <c r="G1256" t="s">
        <v>926</v>
      </c>
    </row>
    <row r="1257" spans="4:7" x14ac:dyDescent="0.25">
      <c r="D1257" t="s">
        <v>926</v>
      </c>
      <c r="E1257" t="str">
        <f t="shared" si="71"/>
        <v/>
      </c>
      <c r="F1257" s="16" t="str">
        <f t="shared" si="70"/>
        <v/>
      </c>
      <c r="G1257" t="s">
        <v>926</v>
      </c>
    </row>
    <row r="1258" spans="4:7" x14ac:dyDescent="0.25">
      <c r="D1258" t="s">
        <v>926</v>
      </c>
      <c r="E1258" t="str">
        <f t="shared" si="71"/>
        <v/>
      </c>
      <c r="F1258" s="16" t="str">
        <f t="shared" si="70"/>
        <v/>
      </c>
      <c r="G1258" t="s">
        <v>926</v>
      </c>
    </row>
    <row r="1259" spans="4:7" x14ac:dyDescent="0.25">
      <c r="D1259" t="s">
        <v>926</v>
      </c>
      <c r="E1259" t="str">
        <f t="shared" si="71"/>
        <v/>
      </c>
      <c r="F1259" s="16" t="str">
        <f t="shared" si="70"/>
        <v/>
      </c>
      <c r="G1259" t="s">
        <v>926</v>
      </c>
    </row>
    <row r="1260" spans="4:7" x14ac:dyDescent="0.25">
      <c r="D1260" t="s">
        <v>926</v>
      </c>
      <c r="E1260" t="str">
        <f t="shared" si="71"/>
        <v/>
      </c>
      <c r="F1260" s="16" t="str">
        <f t="shared" si="70"/>
        <v/>
      </c>
      <c r="G1260" t="s">
        <v>926</v>
      </c>
    </row>
    <row r="1261" spans="4:7" x14ac:dyDescent="0.25">
      <c r="D1261" t="s">
        <v>926</v>
      </c>
      <c r="E1261" t="str">
        <f t="shared" si="71"/>
        <v/>
      </c>
      <c r="F1261" s="16" t="str">
        <f t="shared" si="70"/>
        <v/>
      </c>
      <c r="G1261" t="s">
        <v>926</v>
      </c>
    </row>
    <row r="1262" spans="4:7" x14ac:dyDescent="0.25">
      <c r="D1262" t="s">
        <v>926</v>
      </c>
      <c r="E1262" t="str">
        <f t="shared" si="71"/>
        <v/>
      </c>
      <c r="F1262" s="16" t="str">
        <f t="shared" si="70"/>
        <v/>
      </c>
      <c r="G1262" t="s">
        <v>926</v>
      </c>
    </row>
    <row r="1263" spans="4:7" x14ac:dyDescent="0.25">
      <c r="D1263" t="s">
        <v>926</v>
      </c>
      <c r="E1263" t="str">
        <f t="shared" si="71"/>
        <v/>
      </c>
      <c r="F1263" s="16" t="str">
        <f t="shared" si="70"/>
        <v/>
      </c>
      <c r="G1263" t="s">
        <v>926</v>
      </c>
    </row>
    <row r="1264" spans="4:7" x14ac:dyDescent="0.25">
      <c r="D1264" t="s">
        <v>926</v>
      </c>
      <c r="E1264" t="str">
        <f t="shared" si="71"/>
        <v/>
      </c>
      <c r="F1264" s="16" t="str">
        <f t="shared" si="70"/>
        <v/>
      </c>
      <c r="G1264" t="s">
        <v>926</v>
      </c>
    </row>
    <row r="1265" spans="4:7" x14ac:dyDescent="0.25">
      <c r="D1265" t="s">
        <v>926</v>
      </c>
      <c r="E1265" t="str">
        <f t="shared" si="71"/>
        <v/>
      </c>
      <c r="F1265" s="16" t="str">
        <f t="shared" si="70"/>
        <v/>
      </c>
      <c r="G1265" t="s">
        <v>926</v>
      </c>
    </row>
    <row r="1266" spans="4:7" x14ac:dyDescent="0.25">
      <c r="D1266" t="s">
        <v>926</v>
      </c>
      <c r="E1266" t="str">
        <f t="shared" si="71"/>
        <v/>
      </c>
      <c r="F1266" s="16" t="str">
        <f t="shared" si="70"/>
        <v/>
      </c>
      <c r="G1266" t="s">
        <v>926</v>
      </c>
    </row>
    <row r="1267" spans="4:7" x14ac:dyDescent="0.25">
      <c r="D1267" t="s">
        <v>926</v>
      </c>
      <c r="E1267" t="str">
        <f t="shared" si="71"/>
        <v/>
      </c>
      <c r="F1267" s="16" t="str">
        <f t="shared" si="70"/>
        <v/>
      </c>
      <c r="G1267" t="s">
        <v>926</v>
      </c>
    </row>
    <row r="1268" spans="4:7" x14ac:dyDescent="0.25">
      <c r="D1268" t="s">
        <v>926</v>
      </c>
      <c r="E1268" t="str">
        <f t="shared" si="71"/>
        <v/>
      </c>
      <c r="F1268" s="16" t="str">
        <f t="shared" si="70"/>
        <v/>
      </c>
      <c r="G1268" t="s">
        <v>926</v>
      </c>
    </row>
    <row r="1269" spans="4:7" x14ac:dyDescent="0.25">
      <c r="D1269" t="s">
        <v>926</v>
      </c>
      <c r="E1269" t="str">
        <f t="shared" si="71"/>
        <v/>
      </c>
      <c r="F1269" s="16" t="str">
        <f t="shared" si="70"/>
        <v/>
      </c>
      <c r="G1269" t="s">
        <v>926</v>
      </c>
    </row>
    <row r="1270" spans="4:7" x14ac:dyDescent="0.25">
      <c r="D1270" t="s">
        <v>926</v>
      </c>
      <c r="E1270" t="str">
        <f t="shared" si="71"/>
        <v/>
      </c>
      <c r="F1270" s="16" t="str">
        <f t="shared" si="70"/>
        <v/>
      </c>
      <c r="G1270" t="s">
        <v>926</v>
      </c>
    </row>
    <row r="1271" spans="4:7" x14ac:dyDescent="0.25">
      <c r="D1271" t="s">
        <v>926</v>
      </c>
      <c r="E1271" t="str">
        <f t="shared" si="71"/>
        <v/>
      </c>
      <c r="F1271" s="16" t="str">
        <f t="shared" si="70"/>
        <v/>
      </c>
      <c r="G1271" t="s">
        <v>926</v>
      </c>
    </row>
    <row r="1272" spans="4:7" x14ac:dyDescent="0.25">
      <c r="D1272" t="s">
        <v>926</v>
      </c>
      <c r="E1272" t="str">
        <f t="shared" si="71"/>
        <v/>
      </c>
      <c r="F1272" s="16" t="str">
        <f t="shared" si="70"/>
        <v/>
      </c>
      <c r="G1272" t="s">
        <v>926</v>
      </c>
    </row>
    <row r="1273" spans="4:7" x14ac:dyDescent="0.25">
      <c r="D1273" t="s">
        <v>926</v>
      </c>
      <c r="E1273" t="str">
        <f t="shared" si="71"/>
        <v/>
      </c>
      <c r="F1273" s="16" t="str">
        <f t="shared" si="70"/>
        <v/>
      </c>
      <c r="G1273" t="s">
        <v>926</v>
      </c>
    </row>
    <row r="1274" spans="4:7" x14ac:dyDescent="0.25">
      <c r="D1274" t="s">
        <v>926</v>
      </c>
      <c r="E1274" t="str">
        <f t="shared" si="71"/>
        <v/>
      </c>
      <c r="F1274" s="16" t="str">
        <f t="shared" si="70"/>
        <v/>
      </c>
      <c r="G1274" t="s">
        <v>926</v>
      </c>
    </row>
    <row r="1275" spans="4:7" x14ac:dyDescent="0.25">
      <c r="D1275" t="s">
        <v>926</v>
      </c>
      <c r="E1275" t="str">
        <f t="shared" si="71"/>
        <v/>
      </c>
      <c r="F1275" s="16" t="str">
        <f t="shared" si="70"/>
        <v/>
      </c>
      <c r="G1275" t="s">
        <v>926</v>
      </c>
    </row>
    <row r="1276" spans="4:7" x14ac:dyDescent="0.25">
      <c r="D1276" t="s">
        <v>926</v>
      </c>
      <c r="E1276" t="str">
        <f t="shared" si="71"/>
        <v/>
      </c>
      <c r="F1276" s="16" t="str">
        <f t="shared" si="70"/>
        <v/>
      </c>
      <c r="G1276" t="s">
        <v>926</v>
      </c>
    </row>
    <row r="1277" spans="4:7" x14ac:dyDescent="0.25">
      <c r="D1277" t="s">
        <v>926</v>
      </c>
      <c r="E1277" t="str">
        <f t="shared" si="71"/>
        <v/>
      </c>
      <c r="F1277" s="16" t="str">
        <f t="shared" si="70"/>
        <v/>
      </c>
      <c r="G1277" t="s">
        <v>926</v>
      </c>
    </row>
    <row r="1278" spans="4:7" x14ac:dyDescent="0.25">
      <c r="D1278" t="s">
        <v>926</v>
      </c>
      <c r="E1278" t="str">
        <f t="shared" si="71"/>
        <v/>
      </c>
      <c r="F1278" s="16" t="str">
        <f t="shared" si="70"/>
        <v/>
      </c>
      <c r="G1278" t="s">
        <v>926</v>
      </c>
    </row>
    <row r="1279" spans="4:7" x14ac:dyDescent="0.25">
      <c r="D1279" t="s">
        <v>926</v>
      </c>
      <c r="E1279" t="str">
        <f t="shared" si="71"/>
        <v/>
      </c>
      <c r="F1279" s="16" t="str">
        <f t="shared" si="70"/>
        <v/>
      </c>
      <c r="G1279" t="s">
        <v>926</v>
      </c>
    </row>
    <row r="1280" spans="4:7" x14ac:dyDescent="0.25">
      <c r="D1280" t="s">
        <v>926</v>
      </c>
      <c r="E1280" t="str">
        <f t="shared" si="71"/>
        <v/>
      </c>
      <c r="F1280" s="16" t="str">
        <f t="shared" si="70"/>
        <v/>
      </c>
      <c r="G1280" t="s">
        <v>926</v>
      </c>
    </row>
    <row r="1281" spans="4:7" x14ac:dyDescent="0.25">
      <c r="D1281" t="s">
        <v>926</v>
      </c>
      <c r="E1281" t="str">
        <f t="shared" si="71"/>
        <v/>
      </c>
      <c r="F1281" s="16" t="str">
        <f t="shared" si="70"/>
        <v/>
      </c>
      <c r="G1281" t="s">
        <v>926</v>
      </c>
    </row>
    <row r="1282" spans="4:7" x14ac:dyDescent="0.25">
      <c r="D1282" t="s">
        <v>926</v>
      </c>
      <c r="E1282" t="str">
        <f t="shared" si="71"/>
        <v/>
      </c>
      <c r="F1282" s="16" t="str">
        <f t="shared" si="70"/>
        <v/>
      </c>
      <c r="G1282" t="s">
        <v>926</v>
      </c>
    </row>
    <row r="1283" spans="4:7" x14ac:dyDescent="0.25">
      <c r="D1283" t="s">
        <v>926</v>
      </c>
      <c r="E1283" t="str">
        <f t="shared" si="71"/>
        <v/>
      </c>
      <c r="F1283" s="16" t="str">
        <f t="shared" ref="F1283:F1346" si="72" xml:space="preserve"> IF(ISERROR(VLOOKUP(E1283,Imp_IVA1,2,FALSE)),"",VLOOKUP(E1283,Imp_IVA1,2,FALSE))&amp; IF(ISERROR(VLOOKUP(E1283,Imp_IVA2,2,FALSE)),"",VLOOKUP(E1283,Imp_IVA2,2,FALSE))</f>
        <v/>
      </c>
      <c r="G1283" t="s">
        <v>926</v>
      </c>
    </row>
    <row r="1284" spans="4:7" x14ac:dyDescent="0.25">
      <c r="D1284" t="s">
        <v>926</v>
      </c>
      <c r="E1284" t="str">
        <f t="shared" si="71"/>
        <v/>
      </c>
      <c r="F1284" s="16" t="str">
        <f t="shared" si="72"/>
        <v/>
      </c>
      <c r="G1284" t="s">
        <v>926</v>
      </c>
    </row>
    <row r="1285" spans="4:7" x14ac:dyDescent="0.25">
      <c r="D1285" t="s">
        <v>926</v>
      </c>
      <c r="E1285" t="str">
        <f t="shared" ref="E1285:E1348" si="73">IF(OR(E1284=$E$2,E1284=""),"",E1284+1)</f>
        <v/>
      </c>
      <c r="F1285" s="16" t="str">
        <f t="shared" si="72"/>
        <v/>
      </c>
      <c r="G1285" t="s">
        <v>926</v>
      </c>
    </row>
    <row r="1286" spans="4:7" x14ac:dyDescent="0.25">
      <c r="D1286" t="s">
        <v>926</v>
      </c>
      <c r="E1286" t="str">
        <f t="shared" si="73"/>
        <v/>
      </c>
      <c r="F1286" s="16" t="str">
        <f t="shared" si="72"/>
        <v/>
      </c>
      <c r="G1286" t="s">
        <v>926</v>
      </c>
    </row>
    <row r="1287" spans="4:7" x14ac:dyDescent="0.25">
      <c r="D1287" t="s">
        <v>926</v>
      </c>
      <c r="E1287" t="str">
        <f t="shared" si="73"/>
        <v/>
      </c>
      <c r="F1287" s="16" t="str">
        <f t="shared" si="72"/>
        <v/>
      </c>
      <c r="G1287" t="s">
        <v>926</v>
      </c>
    </row>
    <row r="1288" spans="4:7" x14ac:dyDescent="0.25">
      <c r="D1288" t="s">
        <v>926</v>
      </c>
      <c r="E1288" t="str">
        <f t="shared" si="73"/>
        <v/>
      </c>
      <c r="F1288" s="16" t="str">
        <f t="shared" si="72"/>
        <v/>
      </c>
      <c r="G1288" t="s">
        <v>926</v>
      </c>
    </row>
    <row r="1289" spans="4:7" x14ac:dyDescent="0.25">
      <c r="D1289" t="s">
        <v>926</v>
      </c>
      <c r="E1289" t="str">
        <f t="shared" si="73"/>
        <v/>
      </c>
      <c r="F1289" s="16" t="str">
        <f t="shared" si="72"/>
        <v/>
      </c>
      <c r="G1289" t="s">
        <v>926</v>
      </c>
    </row>
    <row r="1290" spans="4:7" x14ac:dyDescent="0.25">
      <c r="D1290" t="s">
        <v>926</v>
      </c>
      <c r="E1290" t="str">
        <f t="shared" si="73"/>
        <v/>
      </c>
      <c r="F1290" s="16" t="str">
        <f t="shared" si="72"/>
        <v/>
      </c>
      <c r="G1290" t="s">
        <v>926</v>
      </c>
    </row>
    <row r="1291" spans="4:7" x14ac:dyDescent="0.25">
      <c r="D1291" t="s">
        <v>926</v>
      </c>
      <c r="E1291" t="str">
        <f t="shared" si="73"/>
        <v/>
      </c>
      <c r="F1291" s="16" t="str">
        <f t="shared" si="72"/>
        <v/>
      </c>
      <c r="G1291" t="s">
        <v>926</v>
      </c>
    </row>
    <row r="1292" spans="4:7" x14ac:dyDescent="0.25">
      <c r="D1292" t="s">
        <v>926</v>
      </c>
      <c r="E1292" t="str">
        <f t="shared" si="73"/>
        <v/>
      </c>
      <c r="F1292" s="16" t="str">
        <f t="shared" si="72"/>
        <v/>
      </c>
      <c r="G1292" t="s">
        <v>926</v>
      </c>
    </row>
    <row r="1293" spans="4:7" x14ac:dyDescent="0.25">
      <c r="D1293" t="s">
        <v>926</v>
      </c>
      <c r="E1293" t="str">
        <f t="shared" si="73"/>
        <v/>
      </c>
      <c r="F1293" s="16" t="str">
        <f t="shared" si="72"/>
        <v/>
      </c>
      <c r="G1293" t="s">
        <v>926</v>
      </c>
    </row>
    <row r="1294" spans="4:7" x14ac:dyDescent="0.25">
      <c r="D1294" t="s">
        <v>926</v>
      </c>
      <c r="E1294" t="str">
        <f t="shared" si="73"/>
        <v/>
      </c>
      <c r="F1294" s="16" t="str">
        <f t="shared" si="72"/>
        <v/>
      </c>
      <c r="G1294" t="s">
        <v>926</v>
      </c>
    </row>
    <row r="1295" spans="4:7" x14ac:dyDescent="0.25">
      <c r="D1295" t="s">
        <v>926</v>
      </c>
      <c r="E1295" t="str">
        <f t="shared" si="73"/>
        <v/>
      </c>
      <c r="F1295" s="16" t="str">
        <f t="shared" si="72"/>
        <v/>
      </c>
      <c r="G1295" t="s">
        <v>926</v>
      </c>
    </row>
    <row r="1296" spans="4:7" x14ac:dyDescent="0.25">
      <c r="D1296" t="s">
        <v>926</v>
      </c>
      <c r="E1296" t="str">
        <f t="shared" si="73"/>
        <v/>
      </c>
      <c r="F1296" s="16" t="str">
        <f t="shared" si="72"/>
        <v/>
      </c>
      <c r="G1296" t="s">
        <v>926</v>
      </c>
    </row>
    <row r="1297" spans="4:7" x14ac:dyDescent="0.25">
      <c r="D1297" t="s">
        <v>926</v>
      </c>
      <c r="E1297" t="str">
        <f t="shared" si="73"/>
        <v/>
      </c>
      <c r="F1297" s="16" t="str">
        <f t="shared" si="72"/>
        <v/>
      </c>
      <c r="G1297" t="s">
        <v>926</v>
      </c>
    </row>
    <row r="1298" spans="4:7" x14ac:dyDescent="0.25">
      <c r="D1298" t="s">
        <v>926</v>
      </c>
      <c r="E1298" t="str">
        <f t="shared" si="73"/>
        <v/>
      </c>
      <c r="F1298" s="16" t="str">
        <f t="shared" si="72"/>
        <v/>
      </c>
      <c r="G1298" t="s">
        <v>926</v>
      </c>
    </row>
    <row r="1299" spans="4:7" x14ac:dyDescent="0.25">
      <c r="D1299" t="s">
        <v>926</v>
      </c>
      <c r="E1299" t="str">
        <f t="shared" si="73"/>
        <v/>
      </c>
      <c r="F1299" s="16" t="str">
        <f t="shared" si="72"/>
        <v/>
      </c>
      <c r="G1299" t="s">
        <v>926</v>
      </c>
    </row>
    <row r="1300" spans="4:7" x14ac:dyDescent="0.25">
      <c r="D1300" t="s">
        <v>926</v>
      </c>
      <c r="E1300" t="str">
        <f t="shared" si="73"/>
        <v/>
      </c>
      <c r="F1300" s="16" t="str">
        <f t="shared" si="72"/>
        <v/>
      </c>
      <c r="G1300" t="s">
        <v>926</v>
      </c>
    </row>
    <row r="1301" spans="4:7" x14ac:dyDescent="0.25">
      <c r="D1301" t="s">
        <v>926</v>
      </c>
      <c r="E1301" t="str">
        <f t="shared" si="73"/>
        <v/>
      </c>
      <c r="F1301" s="16" t="str">
        <f t="shared" si="72"/>
        <v/>
      </c>
      <c r="G1301" t="s">
        <v>926</v>
      </c>
    </row>
    <row r="1302" spans="4:7" x14ac:dyDescent="0.25">
      <c r="D1302" t="s">
        <v>926</v>
      </c>
      <c r="E1302" t="str">
        <f t="shared" si="73"/>
        <v/>
      </c>
      <c r="F1302" s="16" t="str">
        <f t="shared" si="72"/>
        <v/>
      </c>
      <c r="G1302" t="s">
        <v>926</v>
      </c>
    </row>
    <row r="1303" spans="4:7" x14ac:dyDescent="0.25">
      <c r="D1303" t="s">
        <v>926</v>
      </c>
      <c r="E1303" t="str">
        <f t="shared" si="73"/>
        <v/>
      </c>
      <c r="F1303" s="16" t="str">
        <f t="shared" si="72"/>
        <v/>
      </c>
      <c r="G1303" t="s">
        <v>926</v>
      </c>
    </row>
    <row r="1304" spans="4:7" x14ac:dyDescent="0.25">
      <c r="D1304" t="s">
        <v>926</v>
      </c>
      <c r="E1304" t="str">
        <f t="shared" si="73"/>
        <v/>
      </c>
      <c r="F1304" s="16" t="str">
        <f t="shared" si="72"/>
        <v/>
      </c>
      <c r="G1304" t="s">
        <v>926</v>
      </c>
    </row>
    <row r="1305" spans="4:7" x14ac:dyDescent="0.25">
      <c r="D1305" t="s">
        <v>926</v>
      </c>
      <c r="E1305" t="str">
        <f t="shared" si="73"/>
        <v/>
      </c>
      <c r="F1305" s="16" t="str">
        <f t="shared" si="72"/>
        <v/>
      </c>
      <c r="G1305" t="s">
        <v>926</v>
      </c>
    </row>
    <row r="1306" spans="4:7" x14ac:dyDescent="0.25">
      <c r="D1306" t="s">
        <v>926</v>
      </c>
      <c r="E1306" t="str">
        <f t="shared" si="73"/>
        <v/>
      </c>
      <c r="F1306" s="16" t="str">
        <f t="shared" si="72"/>
        <v/>
      </c>
      <c r="G1306" t="s">
        <v>926</v>
      </c>
    </row>
    <row r="1307" spans="4:7" x14ac:dyDescent="0.25">
      <c r="D1307" t="s">
        <v>926</v>
      </c>
      <c r="E1307" t="str">
        <f t="shared" si="73"/>
        <v/>
      </c>
      <c r="F1307" s="16" t="str">
        <f t="shared" si="72"/>
        <v/>
      </c>
      <c r="G1307" t="s">
        <v>926</v>
      </c>
    </row>
    <row r="1308" spans="4:7" x14ac:dyDescent="0.25">
      <c r="D1308" t="s">
        <v>926</v>
      </c>
      <c r="E1308" t="str">
        <f t="shared" si="73"/>
        <v/>
      </c>
      <c r="F1308" s="16" t="str">
        <f t="shared" si="72"/>
        <v/>
      </c>
      <c r="G1308" t="s">
        <v>926</v>
      </c>
    </row>
    <row r="1309" spans="4:7" x14ac:dyDescent="0.25">
      <c r="D1309" t="s">
        <v>926</v>
      </c>
      <c r="E1309" t="str">
        <f t="shared" si="73"/>
        <v/>
      </c>
      <c r="F1309" s="16" t="str">
        <f t="shared" si="72"/>
        <v/>
      </c>
      <c r="G1309" t="s">
        <v>926</v>
      </c>
    </row>
    <row r="1310" spans="4:7" x14ac:dyDescent="0.25">
      <c r="D1310" t="s">
        <v>926</v>
      </c>
      <c r="E1310" t="str">
        <f t="shared" si="73"/>
        <v/>
      </c>
      <c r="F1310" s="16" t="str">
        <f t="shared" si="72"/>
        <v/>
      </c>
      <c r="G1310" t="s">
        <v>926</v>
      </c>
    </row>
    <row r="1311" spans="4:7" x14ac:dyDescent="0.25">
      <c r="D1311" t="s">
        <v>926</v>
      </c>
      <c r="E1311" t="str">
        <f t="shared" si="73"/>
        <v/>
      </c>
      <c r="F1311" s="16" t="str">
        <f t="shared" si="72"/>
        <v/>
      </c>
      <c r="G1311" t="s">
        <v>926</v>
      </c>
    </row>
    <row r="1312" spans="4:7" x14ac:dyDescent="0.25">
      <c r="D1312" t="s">
        <v>926</v>
      </c>
      <c r="E1312" t="str">
        <f t="shared" si="73"/>
        <v/>
      </c>
      <c r="F1312" s="16" t="str">
        <f t="shared" si="72"/>
        <v/>
      </c>
      <c r="G1312" t="s">
        <v>926</v>
      </c>
    </row>
    <row r="1313" spans="4:7" x14ac:dyDescent="0.25">
      <c r="D1313" t="s">
        <v>926</v>
      </c>
      <c r="E1313" t="str">
        <f t="shared" si="73"/>
        <v/>
      </c>
      <c r="F1313" s="16" t="str">
        <f t="shared" si="72"/>
        <v/>
      </c>
      <c r="G1313" t="s">
        <v>926</v>
      </c>
    </row>
    <row r="1314" spans="4:7" x14ac:dyDescent="0.25">
      <c r="D1314" t="s">
        <v>926</v>
      </c>
      <c r="E1314" t="str">
        <f t="shared" si="73"/>
        <v/>
      </c>
      <c r="F1314" s="16" t="str">
        <f t="shared" si="72"/>
        <v/>
      </c>
      <c r="G1314" t="s">
        <v>926</v>
      </c>
    </row>
    <row r="1315" spans="4:7" x14ac:dyDescent="0.25">
      <c r="D1315" t="s">
        <v>926</v>
      </c>
      <c r="E1315" t="str">
        <f t="shared" si="73"/>
        <v/>
      </c>
      <c r="F1315" s="16" t="str">
        <f t="shared" si="72"/>
        <v/>
      </c>
      <c r="G1315" t="s">
        <v>926</v>
      </c>
    </row>
    <row r="1316" spans="4:7" x14ac:dyDescent="0.25">
      <c r="D1316" t="s">
        <v>926</v>
      </c>
      <c r="E1316" t="str">
        <f t="shared" si="73"/>
        <v/>
      </c>
      <c r="F1316" s="16" t="str">
        <f t="shared" si="72"/>
        <v/>
      </c>
      <c r="G1316" t="s">
        <v>926</v>
      </c>
    </row>
    <row r="1317" spans="4:7" x14ac:dyDescent="0.25">
      <c r="D1317" t="s">
        <v>926</v>
      </c>
      <c r="E1317" t="str">
        <f t="shared" si="73"/>
        <v/>
      </c>
      <c r="F1317" s="16" t="str">
        <f t="shared" si="72"/>
        <v/>
      </c>
      <c r="G1317" t="s">
        <v>926</v>
      </c>
    </row>
    <row r="1318" spans="4:7" x14ac:dyDescent="0.25">
      <c r="D1318" t="s">
        <v>926</v>
      </c>
      <c r="E1318" t="str">
        <f t="shared" si="73"/>
        <v/>
      </c>
      <c r="F1318" s="16" t="str">
        <f t="shared" si="72"/>
        <v/>
      </c>
      <c r="G1318" t="s">
        <v>926</v>
      </c>
    </row>
    <row r="1319" spans="4:7" x14ac:dyDescent="0.25">
      <c r="D1319" t="s">
        <v>926</v>
      </c>
      <c r="E1319" t="str">
        <f t="shared" si="73"/>
        <v/>
      </c>
      <c r="F1319" s="16" t="str">
        <f t="shared" si="72"/>
        <v/>
      </c>
      <c r="G1319" t="s">
        <v>926</v>
      </c>
    </row>
    <row r="1320" spans="4:7" x14ac:dyDescent="0.25">
      <c r="D1320" t="s">
        <v>926</v>
      </c>
      <c r="E1320" t="str">
        <f t="shared" si="73"/>
        <v/>
      </c>
      <c r="F1320" s="16" t="str">
        <f t="shared" si="72"/>
        <v/>
      </c>
      <c r="G1320" t="s">
        <v>926</v>
      </c>
    </row>
    <row r="1321" spans="4:7" x14ac:dyDescent="0.25">
      <c r="D1321" t="s">
        <v>926</v>
      </c>
      <c r="E1321" t="str">
        <f t="shared" si="73"/>
        <v/>
      </c>
      <c r="F1321" s="16" t="str">
        <f t="shared" si="72"/>
        <v/>
      </c>
      <c r="G1321" t="s">
        <v>926</v>
      </c>
    </row>
    <row r="1322" spans="4:7" x14ac:dyDescent="0.25">
      <c r="D1322" t="s">
        <v>926</v>
      </c>
      <c r="E1322" t="str">
        <f t="shared" si="73"/>
        <v/>
      </c>
      <c r="F1322" s="16" t="str">
        <f t="shared" si="72"/>
        <v/>
      </c>
      <c r="G1322" t="s">
        <v>926</v>
      </c>
    </row>
    <row r="1323" spans="4:7" x14ac:dyDescent="0.25">
      <c r="D1323" t="s">
        <v>926</v>
      </c>
      <c r="E1323" t="str">
        <f t="shared" si="73"/>
        <v/>
      </c>
      <c r="F1323" s="16" t="str">
        <f t="shared" si="72"/>
        <v/>
      </c>
      <c r="G1323" t="s">
        <v>926</v>
      </c>
    </row>
    <row r="1324" spans="4:7" x14ac:dyDescent="0.25">
      <c r="D1324" t="s">
        <v>926</v>
      </c>
      <c r="E1324" t="str">
        <f t="shared" si="73"/>
        <v/>
      </c>
      <c r="F1324" s="16" t="str">
        <f t="shared" si="72"/>
        <v/>
      </c>
      <c r="G1324" t="s">
        <v>926</v>
      </c>
    </row>
    <row r="1325" spans="4:7" x14ac:dyDescent="0.25">
      <c r="D1325" t="s">
        <v>926</v>
      </c>
      <c r="E1325" t="str">
        <f t="shared" si="73"/>
        <v/>
      </c>
      <c r="F1325" s="16" t="str">
        <f t="shared" si="72"/>
        <v/>
      </c>
      <c r="G1325" t="s">
        <v>926</v>
      </c>
    </row>
    <row r="1326" spans="4:7" x14ac:dyDescent="0.25">
      <c r="D1326" t="s">
        <v>926</v>
      </c>
      <c r="E1326" t="str">
        <f t="shared" si="73"/>
        <v/>
      </c>
      <c r="F1326" s="16" t="str">
        <f t="shared" si="72"/>
        <v/>
      </c>
      <c r="G1326" t="s">
        <v>926</v>
      </c>
    </row>
    <row r="1327" spans="4:7" x14ac:dyDescent="0.25">
      <c r="D1327" t="s">
        <v>926</v>
      </c>
      <c r="E1327" t="str">
        <f t="shared" si="73"/>
        <v/>
      </c>
      <c r="F1327" s="16" t="str">
        <f t="shared" si="72"/>
        <v/>
      </c>
      <c r="G1327" t="s">
        <v>926</v>
      </c>
    </row>
    <row r="1328" spans="4:7" x14ac:dyDescent="0.25">
      <c r="D1328" t="s">
        <v>926</v>
      </c>
      <c r="E1328" t="str">
        <f t="shared" si="73"/>
        <v/>
      </c>
      <c r="F1328" s="16" t="str">
        <f t="shared" si="72"/>
        <v/>
      </c>
      <c r="G1328" t="s">
        <v>926</v>
      </c>
    </row>
    <row r="1329" spans="4:7" x14ac:dyDescent="0.25">
      <c r="D1329" t="s">
        <v>926</v>
      </c>
      <c r="E1329" t="str">
        <f t="shared" si="73"/>
        <v/>
      </c>
      <c r="F1329" s="16" t="str">
        <f t="shared" si="72"/>
        <v/>
      </c>
      <c r="G1329" t="s">
        <v>926</v>
      </c>
    </row>
    <row r="1330" spans="4:7" x14ac:dyDescent="0.25">
      <c r="D1330" t="s">
        <v>926</v>
      </c>
      <c r="E1330" t="str">
        <f t="shared" si="73"/>
        <v/>
      </c>
      <c r="F1330" s="16" t="str">
        <f t="shared" si="72"/>
        <v/>
      </c>
      <c r="G1330" t="s">
        <v>926</v>
      </c>
    </row>
    <row r="1331" spans="4:7" x14ac:dyDescent="0.25">
      <c r="D1331" t="s">
        <v>926</v>
      </c>
      <c r="E1331" t="str">
        <f t="shared" si="73"/>
        <v/>
      </c>
      <c r="F1331" s="16" t="str">
        <f t="shared" si="72"/>
        <v/>
      </c>
      <c r="G1331" t="s">
        <v>926</v>
      </c>
    </row>
    <row r="1332" spans="4:7" x14ac:dyDescent="0.25">
      <c r="D1332" t="s">
        <v>926</v>
      </c>
      <c r="E1332" t="str">
        <f t="shared" si="73"/>
        <v/>
      </c>
      <c r="F1332" s="16" t="str">
        <f t="shared" si="72"/>
        <v/>
      </c>
      <c r="G1332" t="s">
        <v>926</v>
      </c>
    </row>
    <row r="1333" spans="4:7" x14ac:dyDescent="0.25">
      <c r="D1333" t="s">
        <v>926</v>
      </c>
      <c r="E1333" t="str">
        <f t="shared" si="73"/>
        <v/>
      </c>
      <c r="F1333" s="16" t="str">
        <f t="shared" si="72"/>
        <v/>
      </c>
      <c r="G1333" t="s">
        <v>926</v>
      </c>
    </row>
    <row r="1334" spans="4:7" x14ac:dyDescent="0.25">
      <c r="D1334" t="s">
        <v>926</v>
      </c>
      <c r="E1334" t="str">
        <f t="shared" si="73"/>
        <v/>
      </c>
      <c r="F1334" s="16" t="str">
        <f t="shared" si="72"/>
        <v/>
      </c>
      <c r="G1334" t="s">
        <v>926</v>
      </c>
    </row>
    <row r="1335" spans="4:7" x14ac:dyDescent="0.25">
      <c r="D1335" t="s">
        <v>926</v>
      </c>
      <c r="E1335" t="str">
        <f t="shared" si="73"/>
        <v/>
      </c>
      <c r="F1335" s="16" t="str">
        <f t="shared" si="72"/>
        <v/>
      </c>
      <c r="G1335" t="s">
        <v>926</v>
      </c>
    </row>
    <row r="1336" spans="4:7" x14ac:dyDescent="0.25">
      <c r="D1336" t="s">
        <v>926</v>
      </c>
      <c r="E1336" t="str">
        <f t="shared" si="73"/>
        <v/>
      </c>
      <c r="F1336" s="16" t="str">
        <f t="shared" si="72"/>
        <v/>
      </c>
      <c r="G1336" t="s">
        <v>926</v>
      </c>
    </row>
    <row r="1337" spans="4:7" x14ac:dyDescent="0.25">
      <c r="D1337" t="s">
        <v>926</v>
      </c>
      <c r="E1337" t="str">
        <f t="shared" si="73"/>
        <v/>
      </c>
      <c r="F1337" s="16" t="str">
        <f t="shared" si="72"/>
        <v/>
      </c>
      <c r="G1337" t="s">
        <v>926</v>
      </c>
    </row>
    <row r="1338" spans="4:7" x14ac:dyDescent="0.25">
      <c r="D1338" t="s">
        <v>926</v>
      </c>
      <c r="E1338" t="str">
        <f t="shared" si="73"/>
        <v/>
      </c>
      <c r="F1338" s="16" t="str">
        <f t="shared" si="72"/>
        <v/>
      </c>
      <c r="G1338" t="s">
        <v>926</v>
      </c>
    </row>
    <row r="1339" spans="4:7" x14ac:dyDescent="0.25">
      <c r="D1339" t="s">
        <v>926</v>
      </c>
      <c r="E1339" t="str">
        <f t="shared" si="73"/>
        <v/>
      </c>
      <c r="F1339" s="16" t="str">
        <f t="shared" si="72"/>
        <v/>
      </c>
      <c r="G1339" t="s">
        <v>926</v>
      </c>
    </row>
    <row r="1340" spans="4:7" x14ac:dyDescent="0.25">
      <c r="D1340" t="s">
        <v>926</v>
      </c>
      <c r="E1340" t="str">
        <f t="shared" si="73"/>
        <v/>
      </c>
      <c r="F1340" s="16" t="str">
        <f t="shared" si="72"/>
        <v/>
      </c>
      <c r="G1340" t="s">
        <v>926</v>
      </c>
    </row>
    <row r="1341" spans="4:7" x14ac:dyDescent="0.25">
      <c r="D1341" t="s">
        <v>926</v>
      </c>
      <c r="E1341" t="str">
        <f t="shared" si="73"/>
        <v/>
      </c>
      <c r="F1341" s="16" t="str">
        <f t="shared" si="72"/>
        <v/>
      </c>
      <c r="G1341" t="s">
        <v>926</v>
      </c>
    </row>
    <row r="1342" spans="4:7" x14ac:dyDescent="0.25">
      <c r="D1342" t="s">
        <v>926</v>
      </c>
      <c r="E1342" t="str">
        <f t="shared" si="73"/>
        <v/>
      </c>
      <c r="F1342" s="16" t="str">
        <f t="shared" si="72"/>
        <v/>
      </c>
      <c r="G1342" t="s">
        <v>926</v>
      </c>
    </row>
    <row r="1343" spans="4:7" x14ac:dyDescent="0.25">
      <c r="D1343" t="s">
        <v>926</v>
      </c>
      <c r="E1343" t="str">
        <f t="shared" si="73"/>
        <v/>
      </c>
      <c r="F1343" s="16" t="str">
        <f t="shared" si="72"/>
        <v/>
      </c>
      <c r="G1343" t="s">
        <v>926</v>
      </c>
    </row>
    <row r="1344" spans="4:7" x14ac:dyDescent="0.25">
      <c r="D1344" t="s">
        <v>926</v>
      </c>
      <c r="E1344" t="str">
        <f t="shared" si="73"/>
        <v/>
      </c>
      <c r="F1344" s="16" t="str">
        <f t="shared" si="72"/>
        <v/>
      </c>
      <c r="G1344" t="s">
        <v>926</v>
      </c>
    </row>
    <row r="1345" spans="4:7" x14ac:dyDescent="0.25">
      <c r="D1345" t="s">
        <v>926</v>
      </c>
      <c r="E1345" t="str">
        <f t="shared" si="73"/>
        <v/>
      </c>
      <c r="F1345" s="16" t="str">
        <f t="shared" si="72"/>
        <v/>
      </c>
      <c r="G1345" t="s">
        <v>926</v>
      </c>
    </row>
    <row r="1346" spans="4:7" x14ac:dyDescent="0.25">
      <c r="D1346" t="s">
        <v>926</v>
      </c>
      <c r="E1346" t="str">
        <f t="shared" si="73"/>
        <v/>
      </c>
      <c r="F1346" s="16" t="str">
        <f t="shared" si="72"/>
        <v/>
      </c>
      <c r="G1346" t="s">
        <v>926</v>
      </c>
    </row>
    <row r="1347" spans="4:7" x14ac:dyDescent="0.25">
      <c r="D1347" t="s">
        <v>926</v>
      </c>
      <c r="E1347" t="str">
        <f t="shared" si="73"/>
        <v/>
      </c>
      <c r="F1347" s="16" t="str">
        <f t="shared" ref="F1347:F1410" si="74" xml:space="preserve"> IF(ISERROR(VLOOKUP(E1347,Imp_IVA1,2,FALSE)),"",VLOOKUP(E1347,Imp_IVA1,2,FALSE))&amp; IF(ISERROR(VLOOKUP(E1347,Imp_IVA2,2,FALSE)),"",VLOOKUP(E1347,Imp_IVA2,2,FALSE))</f>
        <v/>
      </c>
      <c r="G1347" t="s">
        <v>926</v>
      </c>
    </row>
    <row r="1348" spans="4:7" x14ac:dyDescent="0.25">
      <c r="D1348" t="s">
        <v>926</v>
      </c>
      <c r="E1348" t="str">
        <f t="shared" si="73"/>
        <v/>
      </c>
      <c r="F1348" s="16" t="str">
        <f t="shared" si="74"/>
        <v/>
      </c>
      <c r="G1348" t="s">
        <v>926</v>
      </c>
    </row>
    <row r="1349" spans="4:7" x14ac:dyDescent="0.25">
      <c r="D1349" t="s">
        <v>926</v>
      </c>
      <c r="E1349" t="str">
        <f t="shared" ref="E1349:E1412" si="75">IF(OR(E1348=$E$2,E1348=""),"",E1348+1)</f>
        <v/>
      </c>
      <c r="F1349" s="16" t="str">
        <f t="shared" si="74"/>
        <v/>
      </c>
      <c r="G1349" t="s">
        <v>926</v>
      </c>
    </row>
    <row r="1350" spans="4:7" x14ac:dyDescent="0.25">
      <c r="D1350" t="s">
        <v>926</v>
      </c>
      <c r="E1350" t="str">
        <f t="shared" si="75"/>
        <v/>
      </c>
      <c r="F1350" s="16" t="str">
        <f t="shared" si="74"/>
        <v/>
      </c>
      <c r="G1350" t="s">
        <v>926</v>
      </c>
    </row>
    <row r="1351" spans="4:7" x14ac:dyDescent="0.25">
      <c r="D1351" t="s">
        <v>926</v>
      </c>
      <c r="E1351" t="str">
        <f t="shared" si="75"/>
        <v/>
      </c>
      <c r="F1351" s="16" t="str">
        <f t="shared" si="74"/>
        <v/>
      </c>
      <c r="G1351" t="s">
        <v>926</v>
      </c>
    </row>
    <row r="1352" spans="4:7" x14ac:dyDescent="0.25">
      <c r="D1352" t="s">
        <v>926</v>
      </c>
      <c r="E1352" t="str">
        <f t="shared" si="75"/>
        <v/>
      </c>
      <c r="F1352" s="16" t="str">
        <f t="shared" si="74"/>
        <v/>
      </c>
      <c r="G1352" t="s">
        <v>926</v>
      </c>
    </row>
    <row r="1353" spans="4:7" x14ac:dyDescent="0.25">
      <c r="D1353" t="s">
        <v>926</v>
      </c>
      <c r="E1353" t="str">
        <f t="shared" si="75"/>
        <v/>
      </c>
      <c r="F1353" s="16" t="str">
        <f t="shared" si="74"/>
        <v/>
      </c>
      <c r="G1353" t="s">
        <v>926</v>
      </c>
    </row>
    <row r="1354" spans="4:7" x14ac:dyDescent="0.25">
      <c r="D1354" t="s">
        <v>926</v>
      </c>
      <c r="E1354" t="str">
        <f t="shared" si="75"/>
        <v/>
      </c>
      <c r="F1354" s="16" t="str">
        <f t="shared" si="74"/>
        <v/>
      </c>
      <c r="G1354" t="s">
        <v>926</v>
      </c>
    </row>
    <row r="1355" spans="4:7" x14ac:dyDescent="0.25">
      <c r="D1355" t="s">
        <v>926</v>
      </c>
      <c r="E1355" t="str">
        <f t="shared" si="75"/>
        <v/>
      </c>
      <c r="F1355" s="16" t="str">
        <f t="shared" si="74"/>
        <v/>
      </c>
      <c r="G1355" t="s">
        <v>926</v>
      </c>
    </row>
    <row r="1356" spans="4:7" x14ac:dyDescent="0.25">
      <c r="D1356" t="s">
        <v>926</v>
      </c>
      <c r="E1356" t="str">
        <f t="shared" si="75"/>
        <v/>
      </c>
      <c r="F1356" s="16" t="str">
        <f t="shared" si="74"/>
        <v/>
      </c>
      <c r="G1356" t="s">
        <v>926</v>
      </c>
    </row>
    <row r="1357" spans="4:7" x14ac:dyDescent="0.25">
      <c r="D1357" t="s">
        <v>926</v>
      </c>
      <c r="E1357" t="str">
        <f t="shared" si="75"/>
        <v/>
      </c>
      <c r="F1357" s="16" t="str">
        <f t="shared" si="74"/>
        <v/>
      </c>
      <c r="G1357" t="s">
        <v>926</v>
      </c>
    </row>
    <row r="1358" spans="4:7" x14ac:dyDescent="0.25">
      <c r="D1358" t="s">
        <v>926</v>
      </c>
      <c r="E1358" t="str">
        <f t="shared" si="75"/>
        <v/>
      </c>
      <c r="F1358" s="16" t="str">
        <f t="shared" si="74"/>
        <v/>
      </c>
      <c r="G1358" t="s">
        <v>926</v>
      </c>
    </row>
    <row r="1359" spans="4:7" x14ac:dyDescent="0.25">
      <c r="D1359" t="s">
        <v>926</v>
      </c>
      <c r="E1359" t="str">
        <f t="shared" si="75"/>
        <v/>
      </c>
      <c r="F1359" s="16" t="str">
        <f t="shared" si="74"/>
        <v/>
      </c>
      <c r="G1359" t="s">
        <v>926</v>
      </c>
    </row>
    <row r="1360" spans="4:7" x14ac:dyDescent="0.25">
      <c r="D1360" t="s">
        <v>926</v>
      </c>
      <c r="E1360" t="str">
        <f t="shared" si="75"/>
        <v/>
      </c>
      <c r="F1360" s="16" t="str">
        <f t="shared" si="74"/>
        <v/>
      </c>
      <c r="G1360" t="s">
        <v>926</v>
      </c>
    </row>
    <row r="1361" spans="4:7" x14ac:dyDescent="0.25">
      <c r="D1361" t="s">
        <v>926</v>
      </c>
      <c r="E1361" t="str">
        <f t="shared" si="75"/>
        <v/>
      </c>
      <c r="F1361" s="16" t="str">
        <f t="shared" si="74"/>
        <v/>
      </c>
      <c r="G1361" t="s">
        <v>926</v>
      </c>
    </row>
    <row r="1362" spans="4:7" x14ac:dyDescent="0.25">
      <c r="D1362" t="s">
        <v>926</v>
      </c>
      <c r="E1362" t="str">
        <f t="shared" si="75"/>
        <v/>
      </c>
      <c r="F1362" s="16" t="str">
        <f t="shared" si="74"/>
        <v/>
      </c>
      <c r="G1362" t="s">
        <v>926</v>
      </c>
    </row>
    <row r="1363" spans="4:7" x14ac:dyDescent="0.25">
      <c r="D1363" t="s">
        <v>926</v>
      </c>
      <c r="E1363" t="str">
        <f t="shared" si="75"/>
        <v/>
      </c>
      <c r="F1363" s="16" t="str">
        <f t="shared" si="74"/>
        <v/>
      </c>
      <c r="G1363" t="s">
        <v>926</v>
      </c>
    </row>
    <row r="1364" spans="4:7" x14ac:dyDescent="0.25">
      <c r="D1364" t="s">
        <v>926</v>
      </c>
      <c r="E1364" t="str">
        <f t="shared" si="75"/>
        <v/>
      </c>
      <c r="F1364" s="16" t="str">
        <f t="shared" si="74"/>
        <v/>
      </c>
      <c r="G1364" t="s">
        <v>926</v>
      </c>
    </row>
    <row r="1365" spans="4:7" x14ac:dyDescent="0.25">
      <c r="D1365" t="s">
        <v>926</v>
      </c>
      <c r="E1365" t="str">
        <f t="shared" si="75"/>
        <v/>
      </c>
      <c r="F1365" s="16" t="str">
        <f t="shared" si="74"/>
        <v/>
      </c>
      <c r="G1365" t="s">
        <v>926</v>
      </c>
    </row>
    <row r="1366" spans="4:7" x14ac:dyDescent="0.25">
      <c r="D1366" t="s">
        <v>926</v>
      </c>
      <c r="E1366" t="str">
        <f t="shared" si="75"/>
        <v/>
      </c>
      <c r="F1366" s="16" t="str">
        <f t="shared" si="74"/>
        <v/>
      </c>
      <c r="G1366" t="s">
        <v>926</v>
      </c>
    </row>
    <row r="1367" spans="4:7" x14ac:dyDescent="0.25">
      <c r="D1367" t="s">
        <v>926</v>
      </c>
      <c r="E1367" t="str">
        <f t="shared" si="75"/>
        <v/>
      </c>
      <c r="F1367" s="16" t="str">
        <f t="shared" si="74"/>
        <v/>
      </c>
      <c r="G1367" t="s">
        <v>926</v>
      </c>
    </row>
    <row r="1368" spans="4:7" x14ac:dyDescent="0.25">
      <c r="D1368" t="s">
        <v>926</v>
      </c>
      <c r="E1368" t="str">
        <f t="shared" si="75"/>
        <v/>
      </c>
      <c r="F1368" s="16" t="str">
        <f t="shared" si="74"/>
        <v/>
      </c>
      <c r="G1368" t="s">
        <v>926</v>
      </c>
    </row>
    <row r="1369" spans="4:7" x14ac:dyDescent="0.25">
      <c r="D1369" t="s">
        <v>926</v>
      </c>
      <c r="E1369" t="str">
        <f t="shared" si="75"/>
        <v/>
      </c>
      <c r="F1369" s="16" t="str">
        <f t="shared" si="74"/>
        <v/>
      </c>
      <c r="G1369" t="s">
        <v>926</v>
      </c>
    </row>
    <row r="1370" spans="4:7" x14ac:dyDescent="0.25">
      <c r="D1370" t="s">
        <v>926</v>
      </c>
      <c r="E1370" t="str">
        <f t="shared" si="75"/>
        <v/>
      </c>
      <c r="F1370" s="16" t="str">
        <f t="shared" si="74"/>
        <v/>
      </c>
      <c r="G1370" t="s">
        <v>926</v>
      </c>
    </row>
    <row r="1371" spans="4:7" x14ac:dyDescent="0.25">
      <c r="D1371" t="s">
        <v>926</v>
      </c>
      <c r="E1371" t="str">
        <f t="shared" si="75"/>
        <v/>
      </c>
      <c r="F1371" s="16" t="str">
        <f t="shared" si="74"/>
        <v/>
      </c>
      <c r="G1371" t="s">
        <v>926</v>
      </c>
    </row>
    <row r="1372" spans="4:7" x14ac:dyDescent="0.25">
      <c r="D1372" t="s">
        <v>926</v>
      </c>
      <c r="E1372" t="str">
        <f t="shared" si="75"/>
        <v/>
      </c>
      <c r="F1372" s="16" t="str">
        <f t="shared" si="74"/>
        <v/>
      </c>
      <c r="G1372" t="s">
        <v>926</v>
      </c>
    </row>
    <row r="1373" spans="4:7" x14ac:dyDescent="0.25">
      <c r="D1373" t="s">
        <v>926</v>
      </c>
      <c r="E1373" t="str">
        <f t="shared" si="75"/>
        <v/>
      </c>
      <c r="F1373" s="16" t="str">
        <f t="shared" si="74"/>
        <v/>
      </c>
      <c r="G1373" t="s">
        <v>926</v>
      </c>
    </row>
    <row r="1374" spans="4:7" x14ac:dyDescent="0.25">
      <c r="D1374" t="s">
        <v>926</v>
      </c>
      <c r="E1374" t="str">
        <f t="shared" si="75"/>
        <v/>
      </c>
      <c r="F1374" s="16" t="str">
        <f t="shared" si="74"/>
        <v/>
      </c>
      <c r="G1374" t="s">
        <v>926</v>
      </c>
    </row>
    <row r="1375" spans="4:7" x14ac:dyDescent="0.25">
      <c r="D1375" t="s">
        <v>926</v>
      </c>
      <c r="E1375" t="str">
        <f t="shared" si="75"/>
        <v/>
      </c>
      <c r="F1375" s="16" t="str">
        <f t="shared" si="74"/>
        <v/>
      </c>
      <c r="G1375" t="s">
        <v>926</v>
      </c>
    </row>
    <row r="1376" spans="4:7" x14ac:dyDescent="0.25">
      <c r="D1376" t="s">
        <v>926</v>
      </c>
      <c r="E1376" t="str">
        <f t="shared" si="75"/>
        <v/>
      </c>
      <c r="F1376" s="16" t="str">
        <f t="shared" si="74"/>
        <v/>
      </c>
      <c r="G1376" t="s">
        <v>926</v>
      </c>
    </row>
    <row r="1377" spans="4:7" x14ac:dyDescent="0.25">
      <c r="D1377" t="s">
        <v>926</v>
      </c>
      <c r="E1377" t="str">
        <f t="shared" si="75"/>
        <v/>
      </c>
      <c r="F1377" s="16" t="str">
        <f t="shared" si="74"/>
        <v/>
      </c>
      <c r="G1377" t="s">
        <v>926</v>
      </c>
    </row>
    <row r="1378" spans="4:7" x14ac:dyDescent="0.25">
      <c r="D1378" t="s">
        <v>926</v>
      </c>
      <c r="E1378" t="str">
        <f t="shared" si="75"/>
        <v/>
      </c>
      <c r="F1378" s="16" t="str">
        <f t="shared" si="74"/>
        <v/>
      </c>
      <c r="G1378" t="s">
        <v>926</v>
      </c>
    </row>
    <row r="1379" spans="4:7" x14ac:dyDescent="0.25">
      <c r="D1379" t="s">
        <v>926</v>
      </c>
      <c r="E1379" t="str">
        <f t="shared" si="75"/>
        <v/>
      </c>
      <c r="F1379" s="16" t="str">
        <f t="shared" si="74"/>
        <v/>
      </c>
      <c r="G1379" t="s">
        <v>926</v>
      </c>
    </row>
    <row r="1380" spans="4:7" x14ac:dyDescent="0.25">
      <c r="D1380" t="s">
        <v>926</v>
      </c>
      <c r="E1380" t="str">
        <f t="shared" si="75"/>
        <v/>
      </c>
      <c r="F1380" s="16" t="str">
        <f t="shared" si="74"/>
        <v/>
      </c>
      <c r="G1380" t="s">
        <v>926</v>
      </c>
    </row>
    <row r="1381" spans="4:7" x14ac:dyDescent="0.25">
      <c r="D1381" t="s">
        <v>926</v>
      </c>
      <c r="E1381" t="str">
        <f t="shared" si="75"/>
        <v/>
      </c>
      <c r="F1381" s="16" t="str">
        <f t="shared" si="74"/>
        <v/>
      </c>
      <c r="G1381" t="s">
        <v>926</v>
      </c>
    </row>
    <row r="1382" spans="4:7" x14ac:dyDescent="0.25">
      <c r="D1382" t="s">
        <v>926</v>
      </c>
      <c r="E1382" t="str">
        <f t="shared" si="75"/>
        <v/>
      </c>
      <c r="F1382" s="16" t="str">
        <f t="shared" si="74"/>
        <v/>
      </c>
      <c r="G1382" t="s">
        <v>926</v>
      </c>
    </row>
    <row r="1383" spans="4:7" x14ac:dyDescent="0.25">
      <c r="D1383" t="s">
        <v>926</v>
      </c>
      <c r="E1383" t="str">
        <f t="shared" si="75"/>
        <v/>
      </c>
      <c r="F1383" s="16" t="str">
        <f t="shared" si="74"/>
        <v/>
      </c>
      <c r="G1383" t="s">
        <v>926</v>
      </c>
    </row>
    <row r="1384" spans="4:7" x14ac:dyDescent="0.25">
      <c r="D1384" t="s">
        <v>926</v>
      </c>
      <c r="E1384" t="str">
        <f t="shared" si="75"/>
        <v/>
      </c>
      <c r="F1384" s="16" t="str">
        <f t="shared" si="74"/>
        <v/>
      </c>
      <c r="G1384" t="s">
        <v>926</v>
      </c>
    </row>
    <row r="1385" spans="4:7" x14ac:dyDescent="0.25">
      <c r="D1385" t="s">
        <v>926</v>
      </c>
      <c r="E1385" t="str">
        <f t="shared" si="75"/>
        <v/>
      </c>
      <c r="F1385" s="16" t="str">
        <f t="shared" si="74"/>
        <v/>
      </c>
      <c r="G1385" t="s">
        <v>926</v>
      </c>
    </row>
    <row r="1386" spans="4:7" x14ac:dyDescent="0.25">
      <c r="D1386" t="s">
        <v>926</v>
      </c>
      <c r="E1386" t="str">
        <f t="shared" si="75"/>
        <v/>
      </c>
      <c r="F1386" s="16" t="str">
        <f t="shared" si="74"/>
        <v/>
      </c>
      <c r="G1386" t="s">
        <v>926</v>
      </c>
    </row>
    <row r="1387" spans="4:7" x14ac:dyDescent="0.25">
      <c r="D1387" t="s">
        <v>926</v>
      </c>
      <c r="E1387" t="str">
        <f t="shared" si="75"/>
        <v/>
      </c>
      <c r="F1387" s="16" t="str">
        <f t="shared" si="74"/>
        <v/>
      </c>
      <c r="G1387" t="s">
        <v>926</v>
      </c>
    </row>
    <row r="1388" spans="4:7" x14ac:dyDescent="0.25">
      <c r="D1388" t="s">
        <v>926</v>
      </c>
      <c r="E1388" t="str">
        <f t="shared" si="75"/>
        <v/>
      </c>
      <c r="F1388" s="16" t="str">
        <f t="shared" si="74"/>
        <v/>
      </c>
      <c r="G1388" t="s">
        <v>926</v>
      </c>
    </row>
    <row r="1389" spans="4:7" x14ac:dyDescent="0.25">
      <c r="D1389" t="s">
        <v>926</v>
      </c>
      <c r="E1389" t="str">
        <f t="shared" si="75"/>
        <v/>
      </c>
      <c r="F1389" s="16" t="str">
        <f t="shared" si="74"/>
        <v/>
      </c>
      <c r="G1389" t="s">
        <v>926</v>
      </c>
    </row>
    <row r="1390" spans="4:7" x14ac:dyDescent="0.25">
      <c r="D1390" t="s">
        <v>926</v>
      </c>
      <c r="E1390" t="str">
        <f t="shared" si="75"/>
        <v/>
      </c>
      <c r="F1390" s="16" t="str">
        <f t="shared" si="74"/>
        <v/>
      </c>
      <c r="G1390" t="s">
        <v>926</v>
      </c>
    </row>
    <row r="1391" spans="4:7" x14ac:dyDescent="0.25">
      <c r="D1391" t="s">
        <v>926</v>
      </c>
      <c r="E1391" t="str">
        <f t="shared" si="75"/>
        <v/>
      </c>
      <c r="F1391" s="16" t="str">
        <f t="shared" si="74"/>
        <v/>
      </c>
      <c r="G1391" t="s">
        <v>926</v>
      </c>
    </row>
    <row r="1392" spans="4:7" x14ac:dyDescent="0.25">
      <c r="D1392" t="s">
        <v>926</v>
      </c>
      <c r="E1392" t="str">
        <f t="shared" si="75"/>
        <v/>
      </c>
      <c r="F1392" s="16" t="str">
        <f t="shared" si="74"/>
        <v/>
      </c>
      <c r="G1392" t="s">
        <v>926</v>
      </c>
    </row>
    <row r="1393" spans="4:7" x14ac:dyDescent="0.25">
      <c r="D1393" t="s">
        <v>926</v>
      </c>
      <c r="E1393" t="str">
        <f t="shared" si="75"/>
        <v/>
      </c>
      <c r="F1393" s="16" t="str">
        <f t="shared" si="74"/>
        <v/>
      </c>
      <c r="G1393" t="s">
        <v>926</v>
      </c>
    </row>
    <row r="1394" spans="4:7" x14ac:dyDescent="0.25">
      <c r="D1394" t="s">
        <v>926</v>
      </c>
      <c r="E1394" t="str">
        <f t="shared" si="75"/>
        <v/>
      </c>
      <c r="F1394" s="16" t="str">
        <f t="shared" si="74"/>
        <v/>
      </c>
      <c r="G1394" t="s">
        <v>926</v>
      </c>
    </row>
    <row r="1395" spans="4:7" x14ac:dyDescent="0.25">
      <c r="D1395" t="s">
        <v>926</v>
      </c>
      <c r="E1395" t="str">
        <f t="shared" si="75"/>
        <v/>
      </c>
      <c r="F1395" s="16" t="str">
        <f t="shared" si="74"/>
        <v/>
      </c>
      <c r="G1395" t="s">
        <v>926</v>
      </c>
    </row>
    <row r="1396" spans="4:7" x14ac:dyDescent="0.25">
      <c r="D1396" t="s">
        <v>926</v>
      </c>
      <c r="E1396" t="str">
        <f t="shared" si="75"/>
        <v/>
      </c>
      <c r="F1396" s="16" t="str">
        <f t="shared" si="74"/>
        <v/>
      </c>
      <c r="G1396" t="s">
        <v>926</v>
      </c>
    </row>
    <row r="1397" spans="4:7" x14ac:dyDescent="0.25">
      <c r="D1397" t="s">
        <v>926</v>
      </c>
      <c r="E1397" t="str">
        <f t="shared" si="75"/>
        <v/>
      </c>
      <c r="F1397" s="16" t="str">
        <f t="shared" si="74"/>
        <v/>
      </c>
      <c r="G1397" t="s">
        <v>926</v>
      </c>
    </row>
    <row r="1398" spans="4:7" x14ac:dyDescent="0.25">
      <c r="D1398" t="s">
        <v>926</v>
      </c>
      <c r="E1398" t="str">
        <f t="shared" si="75"/>
        <v/>
      </c>
      <c r="F1398" s="16" t="str">
        <f t="shared" si="74"/>
        <v/>
      </c>
      <c r="G1398" t="s">
        <v>926</v>
      </c>
    </row>
    <row r="1399" spans="4:7" x14ac:dyDescent="0.25">
      <c r="D1399" t="s">
        <v>926</v>
      </c>
      <c r="E1399" t="str">
        <f t="shared" si="75"/>
        <v/>
      </c>
      <c r="F1399" s="16" t="str">
        <f t="shared" si="74"/>
        <v/>
      </c>
      <c r="G1399" t="s">
        <v>926</v>
      </c>
    </row>
    <row r="1400" spans="4:7" x14ac:dyDescent="0.25">
      <c r="D1400" t="s">
        <v>926</v>
      </c>
      <c r="E1400" t="str">
        <f t="shared" si="75"/>
        <v/>
      </c>
      <c r="F1400" s="16" t="str">
        <f t="shared" si="74"/>
        <v/>
      </c>
      <c r="G1400" t="s">
        <v>926</v>
      </c>
    </row>
    <row r="1401" spans="4:7" x14ac:dyDescent="0.25">
      <c r="D1401" t="s">
        <v>926</v>
      </c>
      <c r="E1401" t="str">
        <f t="shared" si="75"/>
        <v/>
      </c>
      <c r="F1401" s="16" t="str">
        <f t="shared" si="74"/>
        <v/>
      </c>
      <c r="G1401" t="s">
        <v>926</v>
      </c>
    </row>
    <row r="1402" spans="4:7" x14ac:dyDescent="0.25">
      <c r="D1402" t="s">
        <v>926</v>
      </c>
      <c r="E1402" t="str">
        <f t="shared" si="75"/>
        <v/>
      </c>
      <c r="F1402" s="16" t="str">
        <f t="shared" si="74"/>
        <v/>
      </c>
      <c r="G1402" t="s">
        <v>926</v>
      </c>
    </row>
    <row r="1403" spans="4:7" x14ac:dyDescent="0.25">
      <c r="D1403" t="s">
        <v>926</v>
      </c>
      <c r="E1403" t="str">
        <f t="shared" si="75"/>
        <v/>
      </c>
      <c r="F1403" s="16" t="str">
        <f t="shared" si="74"/>
        <v/>
      </c>
      <c r="G1403" t="s">
        <v>926</v>
      </c>
    </row>
    <row r="1404" spans="4:7" x14ac:dyDescent="0.25">
      <c r="D1404" t="s">
        <v>926</v>
      </c>
      <c r="E1404" t="str">
        <f t="shared" si="75"/>
        <v/>
      </c>
      <c r="F1404" s="16" t="str">
        <f t="shared" si="74"/>
        <v/>
      </c>
      <c r="G1404" t="s">
        <v>926</v>
      </c>
    </row>
    <row r="1405" spans="4:7" x14ac:dyDescent="0.25">
      <c r="D1405" t="s">
        <v>926</v>
      </c>
      <c r="E1405" t="str">
        <f t="shared" si="75"/>
        <v/>
      </c>
      <c r="F1405" s="16" t="str">
        <f t="shared" si="74"/>
        <v/>
      </c>
      <c r="G1405" t="s">
        <v>926</v>
      </c>
    </row>
    <row r="1406" spans="4:7" x14ac:dyDescent="0.25">
      <c r="D1406" t="s">
        <v>926</v>
      </c>
      <c r="E1406" t="str">
        <f t="shared" si="75"/>
        <v/>
      </c>
      <c r="F1406" s="16" t="str">
        <f t="shared" si="74"/>
        <v/>
      </c>
      <c r="G1406" t="s">
        <v>926</v>
      </c>
    </row>
    <row r="1407" spans="4:7" x14ac:dyDescent="0.25">
      <c r="D1407" t="s">
        <v>926</v>
      </c>
      <c r="E1407" t="str">
        <f t="shared" si="75"/>
        <v/>
      </c>
      <c r="F1407" s="16" t="str">
        <f t="shared" si="74"/>
        <v/>
      </c>
      <c r="G1407" t="s">
        <v>926</v>
      </c>
    </row>
    <row r="1408" spans="4:7" x14ac:dyDescent="0.25">
      <c r="D1408" t="s">
        <v>926</v>
      </c>
      <c r="E1408" t="str">
        <f t="shared" si="75"/>
        <v/>
      </c>
      <c r="F1408" s="16" t="str">
        <f t="shared" si="74"/>
        <v/>
      </c>
      <c r="G1408" t="s">
        <v>926</v>
      </c>
    </row>
    <row r="1409" spans="4:7" x14ac:dyDescent="0.25">
      <c r="D1409" t="s">
        <v>926</v>
      </c>
      <c r="E1409" t="str">
        <f t="shared" si="75"/>
        <v/>
      </c>
      <c r="F1409" s="16" t="str">
        <f t="shared" si="74"/>
        <v/>
      </c>
      <c r="G1409" t="s">
        <v>926</v>
      </c>
    </row>
    <row r="1410" spans="4:7" x14ac:dyDescent="0.25">
      <c r="D1410" t="s">
        <v>926</v>
      </c>
      <c r="E1410" t="str">
        <f t="shared" si="75"/>
        <v/>
      </c>
      <c r="F1410" s="16" t="str">
        <f t="shared" si="74"/>
        <v/>
      </c>
      <c r="G1410" t="s">
        <v>926</v>
      </c>
    </row>
    <row r="1411" spans="4:7" x14ac:dyDescent="0.25">
      <c r="D1411" t="s">
        <v>926</v>
      </c>
      <c r="E1411" t="str">
        <f t="shared" si="75"/>
        <v/>
      </c>
      <c r="F1411" s="16" t="str">
        <f t="shared" ref="F1411:F1474" si="76" xml:space="preserve"> IF(ISERROR(VLOOKUP(E1411,Imp_IVA1,2,FALSE)),"",VLOOKUP(E1411,Imp_IVA1,2,FALSE))&amp; IF(ISERROR(VLOOKUP(E1411,Imp_IVA2,2,FALSE)),"",VLOOKUP(E1411,Imp_IVA2,2,FALSE))</f>
        <v/>
      </c>
      <c r="G1411" t="s">
        <v>926</v>
      </c>
    </row>
    <row r="1412" spans="4:7" x14ac:dyDescent="0.25">
      <c r="D1412" t="s">
        <v>926</v>
      </c>
      <c r="E1412" t="str">
        <f t="shared" si="75"/>
        <v/>
      </c>
      <c r="F1412" s="16" t="str">
        <f t="shared" si="76"/>
        <v/>
      </c>
      <c r="G1412" t="s">
        <v>926</v>
      </c>
    </row>
    <row r="1413" spans="4:7" x14ac:dyDescent="0.25">
      <c r="D1413" t="s">
        <v>926</v>
      </c>
      <c r="E1413" t="str">
        <f t="shared" ref="E1413:E1476" si="77">IF(OR(E1412=$E$2,E1412=""),"",E1412+1)</f>
        <v/>
      </c>
      <c r="F1413" s="16" t="str">
        <f t="shared" si="76"/>
        <v/>
      </c>
      <c r="G1413" t="s">
        <v>926</v>
      </c>
    </row>
    <row r="1414" spans="4:7" x14ac:dyDescent="0.25">
      <c r="D1414" t="s">
        <v>926</v>
      </c>
      <c r="E1414" t="str">
        <f t="shared" si="77"/>
        <v/>
      </c>
      <c r="F1414" s="16" t="str">
        <f t="shared" si="76"/>
        <v/>
      </c>
      <c r="G1414" t="s">
        <v>926</v>
      </c>
    </row>
    <row r="1415" spans="4:7" x14ac:dyDescent="0.25">
      <c r="D1415" t="s">
        <v>926</v>
      </c>
      <c r="E1415" t="str">
        <f t="shared" si="77"/>
        <v/>
      </c>
      <c r="F1415" s="16" t="str">
        <f t="shared" si="76"/>
        <v/>
      </c>
      <c r="G1415" t="s">
        <v>926</v>
      </c>
    </row>
    <row r="1416" spans="4:7" x14ac:dyDescent="0.25">
      <c r="D1416" t="s">
        <v>926</v>
      </c>
      <c r="E1416" t="str">
        <f t="shared" si="77"/>
        <v/>
      </c>
      <c r="F1416" s="16" t="str">
        <f t="shared" si="76"/>
        <v/>
      </c>
      <c r="G1416" t="s">
        <v>926</v>
      </c>
    </row>
    <row r="1417" spans="4:7" x14ac:dyDescent="0.25">
      <c r="D1417" t="s">
        <v>926</v>
      </c>
      <c r="E1417" t="str">
        <f t="shared" si="77"/>
        <v/>
      </c>
      <c r="F1417" s="16" t="str">
        <f t="shared" si="76"/>
        <v/>
      </c>
      <c r="G1417" t="s">
        <v>926</v>
      </c>
    </row>
    <row r="1418" spans="4:7" x14ac:dyDescent="0.25">
      <c r="D1418" t="s">
        <v>926</v>
      </c>
      <c r="E1418" t="str">
        <f t="shared" si="77"/>
        <v/>
      </c>
      <c r="F1418" s="16" t="str">
        <f t="shared" si="76"/>
        <v/>
      </c>
      <c r="G1418" t="s">
        <v>926</v>
      </c>
    </row>
    <row r="1419" spans="4:7" x14ac:dyDescent="0.25">
      <c r="D1419" t="s">
        <v>926</v>
      </c>
      <c r="E1419" t="str">
        <f t="shared" si="77"/>
        <v/>
      </c>
      <c r="F1419" s="16" t="str">
        <f t="shared" si="76"/>
        <v/>
      </c>
      <c r="G1419" t="s">
        <v>926</v>
      </c>
    </row>
    <row r="1420" spans="4:7" x14ac:dyDescent="0.25">
      <c r="D1420" t="s">
        <v>926</v>
      </c>
      <c r="E1420" t="str">
        <f t="shared" si="77"/>
        <v/>
      </c>
      <c r="F1420" s="16" t="str">
        <f t="shared" si="76"/>
        <v/>
      </c>
      <c r="G1420" t="s">
        <v>926</v>
      </c>
    </row>
    <row r="1421" spans="4:7" x14ac:dyDescent="0.25">
      <c r="D1421" t="s">
        <v>926</v>
      </c>
      <c r="E1421" t="str">
        <f t="shared" si="77"/>
        <v/>
      </c>
      <c r="F1421" s="16" t="str">
        <f t="shared" si="76"/>
        <v/>
      </c>
      <c r="G1421" t="s">
        <v>926</v>
      </c>
    </row>
    <row r="1422" spans="4:7" x14ac:dyDescent="0.25">
      <c r="D1422" t="s">
        <v>926</v>
      </c>
      <c r="E1422" t="str">
        <f t="shared" si="77"/>
        <v/>
      </c>
      <c r="F1422" s="16" t="str">
        <f t="shared" si="76"/>
        <v/>
      </c>
      <c r="G1422" t="s">
        <v>926</v>
      </c>
    </row>
    <row r="1423" spans="4:7" x14ac:dyDescent="0.25">
      <c r="D1423" t="s">
        <v>926</v>
      </c>
      <c r="E1423" t="str">
        <f t="shared" si="77"/>
        <v/>
      </c>
      <c r="F1423" s="16" t="str">
        <f t="shared" si="76"/>
        <v/>
      </c>
      <c r="G1423" t="s">
        <v>926</v>
      </c>
    </row>
    <row r="1424" spans="4:7" x14ac:dyDescent="0.25">
      <c r="D1424" t="s">
        <v>926</v>
      </c>
      <c r="E1424" t="str">
        <f t="shared" si="77"/>
        <v/>
      </c>
      <c r="F1424" s="16" t="str">
        <f t="shared" si="76"/>
        <v/>
      </c>
      <c r="G1424" t="s">
        <v>926</v>
      </c>
    </row>
    <row r="1425" spans="4:7" x14ac:dyDescent="0.25">
      <c r="D1425" t="s">
        <v>926</v>
      </c>
      <c r="E1425" t="str">
        <f t="shared" si="77"/>
        <v/>
      </c>
      <c r="F1425" s="16" t="str">
        <f t="shared" si="76"/>
        <v/>
      </c>
      <c r="G1425" t="s">
        <v>926</v>
      </c>
    </row>
    <row r="1426" spans="4:7" x14ac:dyDescent="0.25">
      <c r="D1426" t="s">
        <v>926</v>
      </c>
      <c r="E1426" t="str">
        <f t="shared" si="77"/>
        <v/>
      </c>
      <c r="F1426" s="16" t="str">
        <f t="shared" si="76"/>
        <v/>
      </c>
      <c r="G1426" t="s">
        <v>926</v>
      </c>
    </row>
    <row r="1427" spans="4:7" x14ac:dyDescent="0.25">
      <c r="D1427" t="s">
        <v>926</v>
      </c>
      <c r="E1427" t="str">
        <f t="shared" si="77"/>
        <v/>
      </c>
      <c r="F1427" s="16" t="str">
        <f t="shared" si="76"/>
        <v/>
      </c>
      <c r="G1427" t="s">
        <v>926</v>
      </c>
    </row>
    <row r="1428" spans="4:7" x14ac:dyDescent="0.25">
      <c r="D1428" t="s">
        <v>926</v>
      </c>
      <c r="E1428" t="str">
        <f t="shared" si="77"/>
        <v/>
      </c>
      <c r="F1428" s="16" t="str">
        <f t="shared" si="76"/>
        <v/>
      </c>
      <c r="G1428" t="s">
        <v>926</v>
      </c>
    </row>
    <row r="1429" spans="4:7" x14ac:dyDescent="0.25">
      <c r="D1429" t="s">
        <v>926</v>
      </c>
      <c r="E1429" t="str">
        <f t="shared" si="77"/>
        <v/>
      </c>
      <c r="F1429" s="16" t="str">
        <f t="shared" si="76"/>
        <v/>
      </c>
      <c r="G1429" t="s">
        <v>926</v>
      </c>
    </row>
    <row r="1430" spans="4:7" x14ac:dyDescent="0.25">
      <c r="D1430" t="s">
        <v>926</v>
      </c>
      <c r="E1430" t="str">
        <f t="shared" si="77"/>
        <v/>
      </c>
      <c r="F1430" s="16" t="str">
        <f t="shared" si="76"/>
        <v/>
      </c>
      <c r="G1430" t="s">
        <v>926</v>
      </c>
    </row>
    <row r="1431" spans="4:7" x14ac:dyDescent="0.25">
      <c r="D1431" t="s">
        <v>926</v>
      </c>
      <c r="E1431" t="str">
        <f t="shared" si="77"/>
        <v/>
      </c>
      <c r="F1431" s="16" t="str">
        <f t="shared" si="76"/>
        <v/>
      </c>
      <c r="G1431" t="s">
        <v>926</v>
      </c>
    </row>
    <row r="1432" spans="4:7" x14ac:dyDescent="0.25">
      <c r="D1432" t="s">
        <v>926</v>
      </c>
      <c r="E1432" t="str">
        <f t="shared" si="77"/>
        <v/>
      </c>
      <c r="F1432" s="16" t="str">
        <f t="shared" si="76"/>
        <v/>
      </c>
      <c r="G1432" t="s">
        <v>926</v>
      </c>
    </row>
    <row r="1433" spans="4:7" x14ac:dyDescent="0.25">
      <c r="D1433" t="s">
        <v>926</v>
      </c>
      <c r="E1433" t="str">
        <f t="shared" si="77"/>
        <v/>
      </c>
      <c r="F1433" s="16" t="str">
        <f t="shared" si="76"/>
        <v/>
      </c>
      <c r="G1433" t="s">
        <v>926</v>
      </c>
    </row>
    <row r="1434" spans="4:7" x14ac:dyDescent="0.25">
      <c r="D1434" t="s">
        <v>926</v>
      </c>
      <c r="E1434" t="str">
        <f t="shared" si="77"/>
        <v/>
      </c>
      <c r="F1434" s="16" t="str">
        <f t="shared" si="76"/>
        <v/>
      </c>
      <c r="G1434" t="s">
        <v>926</v>
      </c>
    </row>
    <row r="1435" spans="4:7" x14ac:dyDescent="0.25">
      <c r="D1435" t="s">
        <v>926</v>
      </c>
      <c r="E1435" t="str">
        <f t="shared" si="77"/>
        <v/>
      </c>
      <c r="F1435" s="16" t="str">
        <f t="shared" si="76"/>
        <v/>
      </c>
      <c r="G1435" t="s">
        <v>926</v>
      </c>
    </row>
    <row r="1436" spans="4:7" x14ac:dyDescent="0.25">
      <c r="D1436" t="s">
        <v>926</v>
      </c>
      <c r="E1436" t="str">
        <f t="shared" si="77"/>
        <v/>
      </c>
      <c r="F1436" s="16" t="str">
        <f t="shared" si="76"/>
        <v/>
      </c>
      <c r="G1436" t="s">
        <v>926</v>
      </c>
    </row>
    <row r="1437" spans="4:7" x14ac:dyDescent="0.25">
      <c r="D1437" t="s">
        <v>926</v>
      </c>
      <c r="E1437" t="str">
        <f t="shared" si="77"/>
        <v/>
      </c>
      <c r="F1437" s="16" t="str">
        <f t="shared" si="76"/>
        <v/>
      </c>
      <c r="G1437" t="s">
        <v>926</v>
      </c>
    </row>
    <row r="1438" spans="4:7" x14ac:dyDescent="0.25">
      <c r="D1438" t="s">
        <v>926</v>
      </c>
      <c r="E1438" t="str">
        <f t="shared" si="77"/>
        <v/>
      </c>
      <c r="F1438" s="16" t="str">
        <f t="shared" si="76"/>
        <v/>
      </c>
      <c r="G1438" t="s">
        <v>926</v>
      </c>
    </row>
    <row r="1439" spans="4:7" x14ac:dyDescent="0.25">
      <c r="D1439" t="s">
        <v>926</v>
      </c>
      <c r="E1439" t="str">
        <f t="shared" si="77"/>
        <v/>
      </c>
      <c r="F1439" s="16" t="str">
        <f t="shared" si="76"/>
        <v/>
      </c>
      <c r="G1439" t="s">
        <v>926</v>
      </c>
    </row>
    <row r="1440" spans="4:7" x14ac:dyDescent="0.25">
      <c r="D1440" t="s">
        <v>926</v>
      </c>
      <c r="E1440" t="str">
        <f t="shared" si="77"/>
        <v/>
      </c>
      <c r="F1440" s="16" t="str">
        <f t="shared" si="76"/>
        <v/>
      </c>
      <c r="G1440" t="s">
        <v>926</v>
      </c>
    </row>
    <row r="1441" spans="4:7" x14ac:dyDescent="0.25">
      <c r="D1441" t="s">
        <v>926</v>
      </c>
      <c r="E1441" t="str">
        <f t="shared" si="77"/>
        <v/>
      </c>
      <c r="F1441" s="16" t="str">
        <f t="shared" si="76"/>
        <v/>
      </c>
      <c r="G1441" t="s">
        <v>926</v>
      </c>
    </row>
    <row r="1442" spans="4:7" x14ac:dyDescent="0.25">
      <c r="D1442" t="s">
        <v>926</v>
      </c>
      <c r="E1442" t="str">
        <f t="shared" si="77"/>
        <v/>
      </c>
      <c r="F1442" s="16" t="str">
        <f t="shared" si="76"/>
        <v/>
      </c>
      <c r="G1442" t="s">
        <v>926</v>
      </c>
    </row>
    <row r="1443" spans="4:7" x14ac:dyDescent="0.25">
      <c r="D1443" t="s">
        <v>926</v>
      </c>
      <c r="E1443" t="str">
        <f t="shared" si="77"/>
        <v/>
      </c>
      <c r="F1443" s="16" t="str">
        <f t="shared" si="76"/>
        <v/>
      </c>
      <c r="G1443" t="s">
        <v>926</v>
      </c>
    </row>
    <row r="1444" spans="4:7" x14ac:dyDescent="0.25">
      <c r="D1444" t="s">
        <v>926</v>
      </c>
      <c r="E1444" t="str">
        <f t="shared" si="77"/>
        <v/>
      </c>
      <c r="F1444" s="16" t="str">
        <f t="shared" si="76"/>
        <v/>
      </c>
      <c r="G1444" t="s">
        <v>926</v>
      </c>
    </row>
    <row r="1445" spans="4:7" x14ac:dyDescent="0.25">
      <c r="D1445" t="s">
        <v>926</v>
      </c>
      <c r="E1445" t="str">
        <f t="shared" si="77"/>
        <v/>
      </c>
      <c r="F1445" s="16" t="str">
        <f t="shared" si="76"/>
        <v/>
      </c>
      <c r="G1445" t="s">
        <v>926</v>
      </c>
    </row>
    <row r="1446" spans="4:7" x14ac:dyDescent="0.25">
      <c r="D1446" t="s">
        <v>926</v>
      </c>
      <c r="E1446" t="str">
        <f t="shared" si="77"/>
        <v/>
      </c>
      <c r="F1446" s="16" t="str">
        <f t="shared" si="76"/>
        <v/>
      </c>
      <c r="G1446" t="s">
        <v>926</v>
      </c>
    </row>
    <row r="1447" spans="4:7" x14ac:dyDescent="0.25">
      <c r="D1447" t="s">
        <v>926</v>
      </c>
      <c r="E1447" t="str">
        <f t="shared" si="77"/>
        <v/>
      </c>
      <c r="F1447" s="16" t="str">
        <f t="shared" si="76"/>
        <v/>
      </c>
      <c r="G1447" t="s">
        <v>926</v>
      </c>
    </row>
    <row r="1448" spans="4:7" x14ac:dyDescent="0.25">
      <c r="D1448" t="s">
        <v>926</v>
      </c>
      <c r="E1448" t="str">
        <f t="shared" si="77"/>
        <v/>
      </c>
      <c r="F1448" s="16" t="str">
        <f t="shared" si="76"/>
        <v/>
      </c>
      <c r="G1448" t="s">
        <v>926</v>
      </c>
    </row>
    <row r="1449" spans="4:7" x14ac:dyDescent="0.25">
      <c r="D1449" t="s">
        <v>926</v>
      </c>
      <c r="E1449" t="str">
        <f t="shared" si="77"/>
        <v/>
      </c>
      <c r="F1449" s="16" t="str">
        <f t="shared" si="76"/>
        <v/>
      </c>
      <c r="G1449" t="s">
        <v>926</v>
      </c>
    </row>
    <row r="1450" spans="4:7" x14ac:dyDescent="0.25">
      <c r="D1450" t="s">
        <v>926</v>
      </c>
      <c r="E1450" t="str">
        <f t="shared" si="77"/>
        <v/>
      </c>
      <c r="F1450" s="16" t="str">
        <f t="shared" si="76"/>
        <v/>
      </c>
      <c r="G1450" t="s">
        <v>926</v>
      </c>
    </row>
    <row r="1451" spans="4:7" x14ac:dyDescent="0.25">
      <c r="D1451" t="s">
        <v>926</v>
      </c>
      <c r="E1451" t="str">
        <f t="shared" si="77"/>
        <v/>
      </c>
      <c r="F1451" s="16" t="str">
        <f t="shared" si="76"/>
        <v/>
      </c>
      <c r="G1451" t="s">
        <v>926</v>
      </c>
    </row>
    <row r="1452" spans="4:7" x14ac:dyDescent="0.25">
      <c r="D1452" t="s">
        <v>926</v>
      </c>
      <c r="E1452" t="str">
        <f t="shared" si="77"/>
        <v/>
      </c>
      <c r="F1452" s="16" t="str">
        <f t="shared" si="76"/>
        <v/>
      </c>
      <c r="G1452" t="s">
        <v>926</v>
      </c>
    </row>
    <row r="1453" spans="4:7" x14ac:dyDescent="0.25">
      <c r="D1453" t="s">
        <v>926</v>
      </c>
      <c r="E1453" t="str">
        <f t="shared" si="77"/>
        <v/>
      </c>
      <c r="F1453" s="16" t="str">
        <f t="shared" si="76"/>
        <v/>
      </c>
      <c r="G1453" t="s">
        <v>926</v>
      </c>
    </row>
    <row r="1454" spans="4:7" x14ac:dyDescent="0.25">
      <c r="D1454" t="s">
        <v>926</v>
      </c>
      <c r="E1454" t="str">
        <f t="shared" si="77"/>
        <v/>
      </c>
      <c r="F1454" s="16" t="str">
        <f t="shared" si="76"/>
        <v/>
      </c>
      <c r="G1454" t="s">
        <v>926</v>
      </c>
    </row>
    <row r="1455" spans="4:7" x14ac:dyDescent="0.25">
      <c r="D1455" t="s">
        <v>926</v>
      </c>
      <c r="E1455" t="str">
        <f t="shared" si="77"/>
        <v/>
      </c>
      <c r="F1455" s="16" t="str">
        <f t="shared" si="76"/>
        <v/>
      </c>
      <c r="G1455" t="s">
        <v>926</v>
      </c>
    </row>
    <row r="1456" spans="4:7" x14ac:dyDescent="0.25">
      <c r="D1456" t="s">
        <v>926</v>
      </c>
      <c r="E1456" t="str">
        <f t="shared" si="77"/>
        <v/>
      </c>
      <c r="F1456" s="16" t="str">
        <f t="shared" si="76"/>
        <v/>
      </c>
      <c r="G1456" t="s">
        <v>926</v>
      </c>
    </row>
    <row r="1457" spans="4:7" x14ac:dyDescent="0.25">
      <c r="D1457" t="s">
        <v>926</v>
      </c>
      <c r="E1457" t="str">
        <f t="shared" si="77"/>
        <v/>
      </c>
      <c r="F1457" s="16" t="str">
        <f t="shared" si="76"/>
        <v/>
      </c>
      <c r="G1457" t="s">
        <v>926</v>
      </c>
    </row>
    <row r="1458" spans="4:7" x14ac:dyDescent="0.25">
      <c r="D1458" t="s">
        <v>926</v>
      </c>
      <c r="E1458" t="str">
        <f t="shared" si="77"/>
        <v/>
      </c>
      <c r="F1458" s="16" t="str">
        <f t="shared" si="76"/>
        <v/>
      </c>
      <c r="G1458" t="s">
        <v>926</v>
      </c>
    </row>
    <row r="1459" spans="4:7" x14ac:dyDescent="0.25">
      <c r="D1459" t="s">
        <v>926</v>
      </c>
      <c r="E1459" t="str">
        <f t="shared" si="77"/>
        <v/>
      </c>
      <c r="F1459" s="16" t="str">
        <f t="shared" si="76"/>
        <v/>
      </c>
      <c r="G1459" t="s">
        <v>926</v>
      </c>
    </row>
    <row r="1460" spans="4:7" x14ac:dyDescent="0.25">
      <c r="D1460" t="s">
        <v>926</v>
      </c>
      <c r="E1460" t="str">
        <f t="shared" si="77"/>
        <v/>
      </c>
      <c r="F1460" s="16" t="str">
        <f t="shared" si="76"/>
        <v/>
      </c>
      <c r="G1460" t="s">
        <v>926</v>
      </c>
    </row>
    <row r="1461" spans="4:7" x14ac:dyDescent="0.25">
      <c r="D1461" t="s">
        <v>926</v>
      </c>
      <c r="E1461" t="str">
        <f t="shared" si="77"/>
        <v/>
      </c>
      <c r="F1461" s="16" t="str">
        <f t="shared" si="76"/>
        <v/>
      </c>
      <c r="G1461" t="s">
        <v>926</v>
      </c>
    </row>
    <row r="1462" spans="4:7" x14ac:dyDescent="0.25">
      <c r="D1462" t="s">
        <v>926</v>
      </c>
      <c r="E1462" t="str">
        <f t="shared" si="77"/>
        <v/>
      </c>
      <c r="F1462" s="16" t="str">
        <f t="shared" si="76"/>
        <v/>
      </c>
      <c r="G1462" t="s">
        <v>926</v>
      </c>
    </row>
    <row r="1463" spans="4:7" x14ac:dyDescent="0.25">
      <c r="D1463" t="s">
        <v>926</v>
      </c>
      <c r="E1463" t="str">
        <f t="shared" si="77"/>
        <v/>
      </c>
      <c r="F1463" s="16" t="str">
        <f t="shared" si="76"/>
        <v/>
      </c>
      <c r="G1463" t="s">
        <v>926</v>
      </c>
    </row>
    <row r="1464" spans="4:7" x14ac:dyDescent="0.25">
      <c r="D1464" t="s">
        <v>926</v>
      </c>
      <c r="E1464" t="str">
        <f t="shared" si="77"/>
        <v/>
      </c>
      <c r="F1464" s="16" t="str">
        <f t="shared" si="76"/>
        <v/>
      </c>
      <c r="G1464" t="s">
        <v>926</v>
      </c>
    </row>
    <row r="1465" spans="4:7" x14ac:dyDescent="0.25">
      <c r="D1465" t="s">
        <v>926</v>
      </c>
      <c r="E1465" t="str">
        <f t="shared" si="77"/>
        <v/>
      </c>
      <c r="F1465" s="16" t="str">
        <f t="shared" si="76"/>
        <v/>
      </c>
      <c r="G1465" t="s">
        <v>926</v>
      </c>
    </row>
    <row r="1466" spans="4:7" x14ac:dyDescent="0.25">
      <c r="D1466" t="s">
        <v>926</v>
      </c>
      <c r="E1466" t="str">
        <f t="shared" si="77"/>
        <v/>
      </c>
      <c r="F1466" s="16" t="str">
        <f t="shared" si="76"/>
        <v/>
      </c>
      <c r="G1466" t="s">
        <v>926</v>
      </c>
    </row>
    <row r="1467" spans="4:7" x14ac:dyDescent="0.25">
      <c r="D1467" t="s">
        <v>926</v>
      </c>
      <c r="E1467" t="str">
        <f t="shared" si="77"/>
        <v/>
      </c>
      <c r="F1467" s="16" t="str">
        <f t="shared" si="76"/>
        <v/>
      </c>
      <c r="G1467" t="s">
        <v>926</v>
      </c>
    </row>
    <row r="1468" spans="4:7" x14ac:dyDescent="0.25">
      <c r="D1468" t="s">
        <v>926</v>
      </c>
      <c r="E1468" t="str">
        <f t="shared" si="77"/>
        <v/>
      </c>
      <c r="F1468" s="16" t="str">
        <f t="shared" si="76"/>
        <v/>
      </c>
      <c r="G1468" t="s">
        <v>926</v>
      </c>
    </row>
    <row r="1469" spans="4:7" x14ac:dyDescent="0.25">
      <c r="D1469" t="s">
        <v>926</v>
      </c>
      <c r="E1469" t="str">
        <f t="shared" si="77"/>
        <v/>
      </c>
      <c r="F1469" s="16" t="str">
        <f t="shared" si="76"/>
        <v/>
      </c>
      <c r="G1469" t="s">
        <v>926</v>
      </c>
    </row>
    <row r="1470" spans="4:7" x14ac:dyDescent="0.25">
      <c r="D1470" t="s">
        <v>926</v>
      </c>
      <c r="E1470" t="str">
        <f t="shared" si="77"/>
        <v/>
      </c>
      <c r="F1470" s="16" t="str">
        <f t="shared" si="76"/>
        <v/>
      </c>
      <c r="G1470" t="s">
        <v>926</v>
      </c>
    </row>
    <row r="1471" spans="4:7" x14ac:dyDescent="0.25">
      <c r="D1471" t="s">
        <v>926</v>
      </c>
      <c r="E1471" t="str">
        <f t="shared" si="77"/>
        <v/>
      </c>
      <c r="F1471" s="16" t="str">
        <f t="shared" si="76"/>
        <v/>
      </c>
      <c r="G1471" t="s">
        <v>926</v>
      </c>
    </row>
    <row r="1472" spans="4:7" x14ac:dyDescent="0.25">
      <c r="D1472" t="s">
        <v>926</v>
      </c>
      <c r="E1472" t="str">
        <f t="shared" si="77"/>
        <v/>
      </c>
      <c r="F1472" s="16" t="str">
        <f t="shared" si="76"/>
        <v/>
      </c>
      <c r="G1472" t="s">
        <v>926</v>
      </c>
    </row>
    <row r="1473" spans="4:7" x14ac:dyDescent="0.25">
      <c r="D1473" t="s">
        <v>926</v>
      </c>
      <c r="E1473" t="str">
        <f t="shared" si="77"/>
        <v/>
      </c>
      <c r="F1473" s="16" t="str">
        <f t="shared" si="76"/>
        <v/>
      </c>
      <c r="G1473" t="s">
        <v>926</v>
      </c>
    </row>
    <row r="1474" spans="4:7" x14ac:dyDescent="0.25">
      <c r="D1474" t="s">
        <v>926</v>
      </c>
      <c r="E1474" t="str">
        <f t="shared" si="77"/>
        <v/>
      </c>
      <c r="F1474" s="16" t="str">
        <f t="shared" si="76"/>
        <v/>
      </c>
      <c r="G1474" t="s">
        <v>926</v>
      </c>
    </row>
    <row r="1475" spans="4:7" x14ac:dyDescent="0.25">
      <c r="D1475" t="s">
        <v>926</v>
      </c>
      <c r="E1475" t="str">
        <f t="shared" si="77"/>
        <v/>
      </c>
      <c r="F1475" s="16" t="str">
        <f t="shared" ref="F1475:F1538" si="78" xml:space="preserve"> IF(ISERROR(VLOOKUP(E1475,Imp_IVA1,2,FALSE)),"",VLOOKUP(E1475,Imp_IVA1,2,FALSE))&amp; IF(ISERROR(VLOOKUP(E1475,Imp_IVA2,2,FALSE)),"",VLOOKUP(E1475,Imp_IVA2,2,FALSE))</f>
        <v/>
      </c>
      <c r="G1475" t="s">
        <v>926</v>
      </c>
    </row>
    <row r="1476" spans="4:7" x14ac:dyDescent="0.25">
      <c r="D1476" t="s">
        <v>926</v>
      </c>
      <c r="E1476" t="str">
        <f t="shared" si="77"/>
        <v/>
      </c>
      <c r="F1476" s="16" t="str">
        <f t="shared" si="78"/>
        <v/>
      </c>
      <c r="G1476" t="s">
        <v>926</v>
      </c>
    </row>
    <row r="1477" spans="4:7" x14ac:dyDescent="0.25">
      <c r="D1477" t="s">
        <v>926</v>
      </c>
      <c r="E1477" t="str">
        <f t="shared" ref="E1477:E1540" si="79">IF(OR(E1476=$E$2,E1476=""),"",E1476+1)</f>
        <v/>
      </c>
      <c r="F1477" s="16" t="str">
        <f t="shared" si="78"/>
        <v/>
      </c>
      <c r="G1477" t="s">
        <v>926</v>
      </c>
    </row>
    <row r="1478" spans="4:7" x14ac:dyDescent="0.25">
      <c r="D1478" t="s">
        <v>926</v>
      </c>
      <c r="E1478" t="str">
        <f t="shared" si="79"/>
        <v/>
      </c>
      <c r="F1478" s="16" t="str">
        <f t="shared" si="78"/>
        <v/>
      </c>
      <c r="G1478" t="s">
        <v>926</v>
      </c>
    </row>
    <row r="1479" spans="4:7" x14ac:dyDescent="0.25">
      <c r="D1479" t="s">
        <v>926</v>
      </c>
      <c r="E1479" t="str">
        <f t="shared" si="79"/>
        <v/>
      </c>
      <c r="F1479" s="16" t="str">
        <f t="shared" si="78"/>
        <v/>
      </c>
      <c r="G1479" t="s">
        <v>926</v>
      </c>
    </row>
    <row r="1480" spans="4:7" x14ac:dyDescent="0.25">
      <c r="D1480" t="s">
        <v>926</v>
      </c>
      <c r="E1480" t="str">
        <f t="shared" si="79"/>
        <v/>
      </c>
      <c r="F1480" s="16" t="str">
        <f t="shared" si="78"/>
        <v/>
      </c>
      <c r="G1480" t="s">
        <v>926</v>
      </c>
    </row>
    <row r="1481" spans="4:7" x14ac:dyDescent="0.25">
      <c r="D1481" t="s">
        <v>926</v>
      </c>
      <c r="E1481" t="str">
        <f t="shared" si="79"/>
        <v/>
      </c>
      <c r="F1481" s="16" t="str">
        <f t="shared" si="78"/>
        <v/>
      </c>
      <c r="G1481" t="s">
        <v>926</v>
      </c>
    </row>
    <row r="1482" spans="4:7" x14ac:dyDescent="0.25">
      <c r="D1482" t="s">
        <v>926</v>
      </c>
      <c r="E1482" t="str">
        <f t="shared" si="79"/>
        <v/>
      </c>
      <c r="F1482" s="16" t="str">
        <f t="shared" si="78"/>
        <v/>
      </c>
      <c r="G1482" t="s">
        <v>926</v>
      </c>
    </row>
    <row r="1483" spans="4:7" x14ac:dyDescent="0.25">
      <c r="D1483" t="s">
        <v>926</v>
      </c>
      <c r="E1483" t="str">
        <f t="shared" si="79"/>
        <v/>
      </c>
      <c r="F1483" s="16" t="str">
        <f t="shared" si="78"/>
        <v/>
      </c>
      <c r="G1483" t="s">
        <v>926</v>
      </c>
    </row>
    <row r="1484" spans="4:7" x14ac:dyDescent="0.25">
      <c r="D1484" t="s">
        <v>926</v>
      </c>
      <c r="E1484" t="str">
        <f t="shared" si="79"/>
        <v/>
      </c>
      <c r="F1484" s="16" t="str">
        <f t="shared" si="78"/>
        <v/>
      </c>
      <c r="G1484" t="s">
        <v>926</v>
      </c>
    </row>
    <row r="1485" spans="4:7" x14ac:dyDescent="0.25">
      <c r="D1485" t="s">
        <v>926</v>
      </c>
      <c r="E1485" t="str">
        <f t="shared" si="79"/>
        <v/>
      </c>
      <c r="F1485" s="16" t="str">
        <f t="shared" si="78"/>
        <v/>
      </c>
      <c r="G1485" t="s">
        <v>926</v>
      </c>
    </row>
    <row r="1486" spans="4:7" x14ac:dyDescent="0.25">
      <c r="D1486" t="s">
        <v>926</v>
      </c>
      <c r="E1486" t="str">
        <f t="shared" si="79"/>
        <v/>
      </c>
      <c r="F1486" s="16" t="str">
        <f t="shared" si="78"/>
        <v/>
      </c>
      <c r="G1486" t="s">
        <v>926</v>
      </c>
    </row>
    <row r="1487" spans="4:7" x14ac:dyDescent="0.25">
      <c r="D1487" t="s">
        <v>926</v>
      </c>
      <c r="E1487" t="str">
        <f t="shared" si="79"/>
        <v/>
      </c>
      <c r="F1487" s="16" t="str">
        <f t="shared" si="78"/>
        <v/>
      </c>
      <c r="G1487" t="s">
        <v>926</v>
      </c>
    </row>
    <row r="1488" spans="4:7" x14ac:dyDescent="0.25">
      <c r="D1488" t="s">
        <v>926</v>
      </c>
      <c r="E1488" t="str">
        <f t="shared" si="79"/>
        <v/>
      </c>
      <c r="F1488" s="16" t="str">
        <f t="shared" si="78"/>
        <v/>
      </c>
      <c r="G1488" t="s">
        <v>926</v>
      </c>
    </row>
    <row r="1489" spans="4:7" x14ac:dyDescent="0.25">
      <c r="D1489" t="s">
        <v>926</v>
      </c>
      <c r="E1489" t="str">
        <f t="shared" si="79"/>
        <v/>
      </c>
      <c r="F1489" s="16" t="str">
        <f t="shared" si="78"/>
        <v/>
      </c>
      <c r="G1489" t="s">
        <v>926</v>
      </c>
    </row>
    <row r="1490" spans="4:7" x14ac:dyDescent="0.25">
      <c r="D1490" t="s">
        <v>926</v>
      </c>
      <c r="E1490" t="str">
        <f t="shared" si="79"/>
        <v/>
      </c>
      <c r="F1490" s="16" t="str">
        <f t="shared" si="78"/>
        <v/>
      </c>
      <c r="G1490" t="s">
        <v>926</v>
      </c>
    </row>
    <row r="1491" spans="4:7" x14ac:dyDescent="0.25">
      <c r="D1491" t="s">
        <v>926</v>
      </c>
      <c r="E1491" t="str">
        <f t="shared" si="79"/>
        <v/>
      </c>
      <c r="F1491" s="16" t="str">
        <f t="shared" si="78"/>
        <v/>
      </c>
      <c r="G1491" t="s">
        <v>926</v>
      </c>
    </row>
    <row r="1492" spans="4:7" x14ac:dyDescent="0.25">
      <c r="D1492" t="s">
        <v>926</v>
      </c>
      <c r="E1492" t="str">
        <f t="shared" si="79"/>
        <v/>
      </c>
      <c r="F1492" s="16" t="str">
        <f t="shared" si="78"/>
        <v/>
      </c>
      <c r="G1492" t="s">
        <v>926</v>
      </c>
    </row>
    <row r="1493" spans="4:7" x14ac:dyDescent="0.25">
      <c r="D1493" t="s">
        <v>926</v>
      </c>
      <c r="E1493" t="str">
        <f t="shared" si="79"/>
        <v/>
      </c>
      <c r="F1493" s="16" t="str">
        <f t="shared" si="78"/>
        <v/>
      </c>
      <c r="G1493" t="s">
        <v>926</v>
      </c>
    </row>
    <row r="1494" spans="4:7" x14ac:dyDescent="0.25">
      <c r="D1494" t="s">
        <v>926</v>
      </c>
      <c r="E1494" t="str">
        <f t="shared" si="79"/>
        <v/>
      </c>
      <c r="F1494" s="16" t="str">
        <f t="shared" si="78"/>
        <v/>
      </c>
      <c r="G1494" t="s">
        <v>926</v>
      </c>
    </row>
    <row r="1495" spans="4:7" x14ac:dyDescent="0.25">
      <c r="D1495" t="s">
        <v>926</v>
      </c>
      <c r="E1495" t="str">
        <f t="shared" si="79"/>
        <v/>
      </c>
      <c r="F1495" s="16" t="str">
        <f t="shared" si="78"/>
        <v/>
      </c>
      <c r="G1495" t="s">
        <v>926</v>
      </c>
    </row>
    <row r="1496" spans="4:7" x14ac:dyDescent="0.25">
      <c r="D1496" t="s">
        <v>926</v>
      </c>
      <c r="E1496" t="str">
        <f t="shared" si="79"/>
        <v/>
      </c>
      <c r="F1496" s="16" t="str">
        <f t="shared" si="78"/>
        <v/>
      </c>
      <c r="G1496" t="s">
        <v>926</v>
      </c>
    </row>
    <row r="1497" spans="4:7" x14ac:dyDescent="0.25">
      <c r="D1497" t="s">
        <v>926</v>
      </c>
      <c r="E1497" t="str">
        <f t="shared" si="79"/>
        <v/>
      </c>
      <c r="F1497" s="16" t="str">
        <f t="shared" si="78"/>
        <v/>
      </c>
      <c r="G1497" t="s">
        <v>926</v>
      </c>
    </row>
    <row r="1498" spans="4:7" x14ac:dyDescent="0.25">
      <c r="D1498" t="s">
        <v>926</v>
      </c>
      <c r="E1498" t="str">
        <f t="shared" si="79"/>
        <v/>
      </c>
      <c r="F1498" s="16" t="str">
        <f t="shared" si="78"/>
        <v/>
      </c>
      <c r="G1498" t="s">
        <v>926</v>
      </c>
    </row>
    <row r="1499" spans="4:7" x14ac:dyDescent="0.25">
      <c r="D1499" t="s">
        <v>926</v>
      </c>
      <c r="E1499" t="str">
        <f t="shared" si="79"/>
        <v/>
      </c>
      <c r="F1499" s="16" t="str">
        <f t="shared" si="78"/>
        <v/>
      </c>
      <c r="G1499" t="s">
        <v>926</v>
      </c>
    </row>
    <row r="1500" spans="4:7" x14ac:dyDescent="0.25">
      <c r="D1500" t="s">
        <v>926</v>
      </c>
      <c r="E1500" t="str">
        <f t="shared" si="79"/>
        <v/>
      </c>
      <c r="F1500" s="16" t="str">
        <f t="shared" si="78"/>
        <v/>
      </c>
      <c r="G1500" t="s">
        <v>926</v>
      </c>
    </row>
    <row r="1501" spans="4:7" x14ac:dyDescent="0.25">
      <c r="D1501" t="s">
        <v>926</v>
      </c>
      <c r="E1501" t="str">
        <f t="shared" si="79"/>
        <v/>
      </c>
      <c r="F1501" s="16" t="str">
        <f t="shared" si="78"/>
        <v/>
      </c>
      <c r="G1501" t="s">
        <v>926</v>
      </c>
    </row>
    <row r="1502" spans="4:7" x14ac:dyDescent="0.25">
      <c r="D1502" t="s">
        <v>926</v>
      </c>
      <c r="E1502" t="str">
        <f t="shared" si="79"/>
        <v/>
      </c>
      <c r="F1502" s="16" t="str">
        <f t="shared" si="78"/>
        <v/>
      </c>
      <c r="G1502" t="s">
        <v>926</v>
      </c>
    </row>
    <row r="1503" spans="4:7" x14ac:dyDescent="0.25">
      <c r="D1503" t="s">
        <v>926</v>
      </c>
      <c r="E1503" t="str">
        <f t="shared" si="79"/>
        <v/>
      </c>
      <c r="F1503" s="16" t="str">
        <f t="shared" si="78"/>
        <v/>
      </c>
      <c r="G1503" t="s">
        <v>926</v>
      </c>
    </row>
    <row r="1504" spans="4:7" x14ac:dyDescent="0.25">
      <c r="D1504" t="s">
        <v>926</v>
      </c>
      <c r="E1504" t="str">
        <f t="shared" si="79"/>
        <v/>
      </c>
      <c r="F1504" s="16" t="str">
        <f t="shared" si="78"/>
        <v/>
      </c>
      <c r="G1504" t="s">
        <v>926</v>
      </c>
    </row>
    <row r="1505" spans="4:7" x14ac:dyDescent="0.25">
      <c r="D1505" t="s">
        <v>926</v>
      </c>
      <c r="E1505" t="str">
        <f t="shared" si="79"/>
        <v/>
      </c>
      <c r="F1505" s="16" t="str">
        <f t="shared" si="78"/>
        <v/>
      </c>
      <c r="G1505" t="s">
        <v>926</v>
      </c>
    </row>
    <row r="1506" spans="4:7" x14ac:dyDescent="0.25">
      <c r="D1506" t="s">
        <v>926</v>
      </c>
      <c r="E1506" t="str">
        <f t="shared" si="79"/>
        <v/>
      </c>
      <c r="F1506" s="16" t="str">
        <f t="shared" si="78"/>
        <v/>
      </c>
      <c r="G1506" t="s">
        <v>926</v>
      </c>
    </row>
    <row r="1507" spans="4:7" x14ac:dyDescent="0.25">
      <c r="D1507" t="s">
        <v>926</v>
      </c>
      <c r="E1507" t="str">
        <f t="shared" si="79"/>
        <v/>
      </c>
      <c r="F1507" s="16" t="str">
        <f t="shared" si="78"/>
        <v/>
      </c>
      <c r="G1507" t="s">
        <v>926</v>
      </c>
    </row>
    <row r="1508" spans="4:7" x14ac:dyDescent="0.25">
      <c r="D1508" t="s">
        <v>926</v>
      </c>
      <c r="E1508" t="str">
        <f t="shared" si="79"/>
        <v/>
      </c>
      <c r="F1508" s="16" t="str">
        <f t="shared" si="78"/>
        <v/>
      </c>
      <c r="G1508" t="s">
        <v>926</v>
      </c>
    </row>
    <row r="1509" spans="4:7" x14ac:dyDescent="0.25">
      <c r="D1509" t="s">
        <v>926</v>
      </c>
      <c r="E1509" t="str">
        <f t="shared" si="79"/>
        <v/>
      </c>
      <c r="F1509" s="16" t="str">
        <f t="shared" si="78"/>
        <v/>
      </c>
      <c r="G1509" t="s">
        <v>926</v>
      </c>
    </row>
    <row r="1510" spans="4:7" x14ac:dyDescent="0.25">
      <c r="D1510" t="s">
        <v>926</v>
      </c>
      <c r="E1510" t="str">
        <f t="shared" si="79"/>
        <v/>
      </c>
      <c r="F1510" s="16" t="str">
        <f t="shared" si="78"/>
        <v/>
      </c>
      <c r="G1510" t="s">
        <v>926</v>
      </c>
    </row>
    <row r="1511" spans="4:7" x14ac:dyDescent="0.25">
      <c r="D1511" t="s">
        <v>926</v>
      </c>
      <c r="E1511" t="str">
        <f t="shared" si="79"/>
        <v/>
      </c>
      <c r="F1511" s="16" t="str">
        <f t="shared" si="78"/>
        <v/>
      </c>
      <c r="G1511" t="s">
        <v>926</v>
      </c>
    </row>
    <row r="1512" spans="4:7" x14ac:dyDescent="0.25">
      <c r="D1512" t="s">
        <v>926</v>
      </c>
      <c r="E1512" t="str">
        <f t="shared" si="79"/>
        <v/>
      </c>
      <c r="F1512" s="16" t="str">
        <f t="shared" si="78"/>
        <v/>
      </c>
      <c r="G1512" t="s">
        <v>926</v>
      </c>
    </row>
    <row r="1513" spans="4:7" x14ac:dyDescent="0.25">
      <c r="D1513" t="s">
        <v>926</v>
      </c>
      <c r="E1513" t="str">
        <f t="shared" si="79"/>
        <v/>
      </c>
      <c r="F1513" s="16" t="str">
        <f t="shared" si="78"/>
        <v/>
      </c>
      <c r="G1513" t="s">
        <v>926</v>
      </c>
    </row>
    <row r="1514" spans="4:7" x14ac:dyDescent="0.25">
      <c r="D1514" t="s">
        <v>926</v>
      </c>
      <c r="E1514" t="str">
        <f t="shared" si="79"/>
        <v/>
      </c>
      <c r="F1514" s="16" t="str">
        <f t="shared" si="78"/>
        <v/>
      </c>
      <c r="G1514" t="s">
        <v>926</v>
      </c>
    </row>
    <row r="1515" spans="4:7" x14ac:dyDescent="0.25">
      <c r="D1515" t="s">
        <v>926</v>
      </c>
      <c r="E1515" t="str">
        <f t="shared" si="79"/>
        <v/>
      </c>
      <c r="F1515" s="16" t="str">
        <f t="shared" si="78"/>
        <v/>
      </c>
      <c r="G1515" t="s">
        <v>926</v>
      </c>
    </row>
    <row r="1516" spans="4:7" x14ac:dyDescent="0.25">
      <c r="D1516" t="s">
        <v>926</v>
      </c>
      <c r="E1516" t="str">
        <f t="shared" si="79"/>
        <v/>
      </c>
      <c r="F1516" s="16" t="str">
        <f t="shared" si="78"/>
        <v/>
      </c>
      <c r="G1516" t="s">
        <v>926</v>
      </c>
    </row>
    <row r="1517" spans="4:7" x14ac:dyDescent="0.25">
      <c r="D1517" t="s">
        <v>926</v>
      </c>
      <c r="E1517" t="str">
        <f t="shared" si="79"/>
        <v/>
      </c>
      <c r="F1517" s="16" t="str">
        <f t="shared" si="78"/>
        <v/>
      </c>
      <c r="G1517" t="s">
        <v>926</v>
      </c>
    </row>
    <row r="1518" spans="4:7" x14ac:dyDescent="0.25">
      <c r="D1518" t="s">
        <v>926</v>
      </c>
      <c r="E1518" t="str">
        <f t="shared" si="79"/>
        <v/>
      </c>
      <c r="F1518" s="16" t="str">
        <f t="shared" si="78"/>
        <v/>
      </c>
      <c r="G1518" t="s">
        <v>926</v>
      </c>
    </row>
    <row r="1519" spans="4:7" x14ac:dyDescent="0.25">
      <c r="D1519" t="s">
        <v>926</v>
      </c>
      <c r="E1519" t="str">
        <f t="shared" si="79"/>
        <v/>
      </c>
      <c r="F1519" s="16" t="str">
        <f t="shared" si="78"/>
        <v/>
      </c>
      <c r="G1519" t="s">
        <v>926</v>
      </c>
    </row>
    <row r="1520" spans="4:7" x14ac:dyDescent="0.25">
      <c r="D1520" t="s">
        <v>926</v>
      </c>
      <c r="E1520" t="str">
        <f t="shared" si="79"/>
        <v/>
      </c>
      <c r="F1520" s="16" t="str">
        <f t="shared" si="78"/>
        <v/>
      </c>
      <c r="G1520" t="s">
        <v>926</v>
      </c>
    </row>
    <row r="1521" spans="4:7" x14ac:dyDescent="0.25">
      <c r="D1521" t="s">
        <v>926</v>
      </c>
      <c r="E1521" t="str">
        <f t="shared" si="79"/>
        <v/>
      </c>
      <c r="F1521" s="16" t="str">
        <f t="shared" si="78"/>
        <v/>
      </c>
      <c r="G1521" t="s">
        <v>926</v>
      </c>
    </row>
    <row r="1522" spans="4:7" x14ac:dyDescent="0.25">
      <c r="D1522" t="s">
        <v>926</v>
      </c>
      <c r="E1522" t="str">
        <f t="shared" si="79"/>
        <v/>
      </c>
      <c r="F1522" s="16" t="str">
        <f t="shared" si="78"/>
        <v/>
      </c>
      <c r="G1522" t="s">
        <v>926</v>
      </c>
    </row>
    <row r="1523" spans="4:7" x14ac:dyDescent="0.25">
      <c r="D1523" t="s">
        <v>926</v>
      </c>
      <c r="E1523" t="str">
        <f t="shared" si="79"/>
        <v/>
      </c>
      <c r="F1523" s="16" t="str">
        <f t="shared" si="78"/>
        <v/>
      </c>
      <c r="G1523" t="s">
        <v>926</v>
      </c>
    </row>
    <row r="1524" spans="4:7" x14ac:dyDescent="0.25">
      <c r="D1524" t="s">
        <v>926</v>
      </c>
      <c r="E1524" t="str">
        <f t="shared" si="79"/>
        <v/>
      </c>
      <c r="F1524" s="16" t="str">
        <f t="shared" si="78"/>
        <v/>
      </c>
      <c r="G1524" t="s">
        <v>926</v>
      </c>
    </row>
    <row r="1525" spans="4:7" x14ac:dyDescent="0.25">
      <c r="D1525" t="s">
        <v>926</v>
      </c>
      <c r="E1525" t="str">
        <f t="shared" si="79"/>
        <v/>
      </c>
      <c r="F1525" s="16" t="str">
        <f t="shared" si="78"/>
        <v/>
      </c>
      <c r="G1525" t="s">
        <v>926</v>
      </c>
    </row>
    <row r="1526" spans="4:7" x14ac:dyDescent="0.25">
      <c r="D1526" t="s">
        <v>926</v>
      </c>
      <c r="E1526" t="str">
        <f t="shared" si="79"/>
        <v/>
      </c>
      <c r="F1526" s="16" t="str">
        <f t="shared" si="78"/>
        <v/>
      </c>
      <c r="G1526" t="s">
        <v>926</v>
      </c>
    </row>
    <row r="1527" spans="4:7" x14ac:dyDescent="0.25">
      <c r="D1527" t="s">
        <v>926</v>
      </c>
      <c r="E1527" t="str">
        <f t="shared" si="79"/>
        <v/>
      </c>
      <c r="F1527" s="16" t="str">
        <f t="shared" si="78"/>
        <v/>
      </c>
      <c r="G1527" t="s">
        <v>926</v>
      </c>
    </row>
    <row r="1528" spans="4:7" x14ac:dyDescent="0.25">
      <c r="D1528" t="s">
        <v>926</v>
      </c>
      <c r="E1528" t="str">
        <f t="shared" si="79"/>
        <v/>
      </c>
      <c r="F1528" s="16" t="str">
        <f t="shared" si="78"/>
        <v/>
      </c>
      <c r="G1528" t="s">
        <v>926</v>
      </c>
    </row>
    <row r="1529" spans="4:7" x14ac:dyDescent="0.25">
      <c r="D1529" t="s">
        <v>926</v>
      </c>
      <c r="E1529" t="str">
        <f t="shared" si="79"/>
        <v/>
      </c>
      <c r="F1529" s="16" t="str">
        <f t="shared" si="78"/>
        <v/>
      </c>
      <c r="G1529" t="s">
        <v>926</v>
      </c>
    </row>
    <row r="1530" spans="4:7" x14ac:dyDescent="0.25">
      <c r="D1530" t="s">
        <v>926</v>
      </c>
      <c r="E1530" t="str">
        <f t="shared" si="79"/>
        <v/>
      </c>
      <c r="F1530" s="16" t="str">
        <f t="shared" si="78"/>
        <v/>
      </c>
      <c r="G1530" t="s">
        <v>926</v>
      </c>
    </row>
    <row r="1531" spans="4:7" x14ac:dyDescent="0.25">
      <c r="D1531" t="s">
        <v>926</v>
      </c>
      <c r="E1531" t="str">
        <f t="shared" si="79"/>
        <v/>
      </c>
      <c r="F1531" s="16" t="str">
        <f t="shared" si="78"/>
        <v/>
      </c>
      <c r="G1531" t="s">
        <v>926</v>
      </c>
    </row>
    <row r="1532" spans="4:7" x14ac:dyDescent="0.25">
      <c r="D1532" t="s">
        <v>926</v>
      </c>
      <c r="E1532" t="str">
        <f t="shared" si="79"/>
        <v/>
      </c>
      <c r="F1532" s="16" t="str">
        <f t="shared" si="78"/>
        <v/>
      </c>
      <c r="G1532" t="s">
        <v>926</v>
      </c>
    </row>
    <row r="1533" spans="4:7" x14ac:dyDescent="0.25">
      <c r="D1533" t="s">
        <v>926</v>
      </c>
      <c r="E1533" t="str">
        <f t="shared" si="79"/>
        <v/>
      </c>
      <c r="F1533" s="16" t="str">
        <f t="shared" si="78"/>
        <v/>
      </c>
      <c r="G1533" t="s">
        <v>926</v>
      </c>
    </row>
    <row r="1534" spans="4:7" x14ac:dyDescent="0.25">
      <c r="D1534" t="s">
        <v>926</v>
      </c>
      <c r="E1534" t="str">
        <f t="shared" si="79"/>
        <v/>
      </c>
      <c r="F1534" s="16" t="str">
        <f t="shared" si="78"/>
        <v/>
      </c>
      <c r="G1534" t="s">
        <v>926</v>
      </c>
    </row>
    <row r="1535" spans="4:7" x14ac:dyDescent="0.25">
      <c r="D1535" t="s">
        <v>926</v>
      </c>
      <c r="E1535" t="str">
        <f t="shared" si="79"/>
        <v/>
      </c>
      <c r="F1535" s="16" t="str">
        <f t="shared" si="78"/>
        <v/>
      </c>
      <c r="G1535" t="s">
        <v>926</v>
      </c>
    </row>
    <row r="1536" spans="4:7" x14ac:dyDescent="0.25">
      <c r="D1536" t="s">
        <v>926</v>
      </c>
      <c r="E1536" t="str">
        <f t="shared" si="79"/>
        <v/>
      </c>
      <c r="F1536" s="16" t="str">
        <f t="shared" si="78"/>
        <v/>
      </c>
      <c r="G1536" t="s">
        <v>926</v>
      </c>
    </row>
    <row r="1537" spans="4:7" x14ac:dyDescent="0.25">
      <c r="D1537" t="s">
        <v>926</v>
      </c>
      <c r="E1537" t="str">
        <f t="shared" si="79"/>
        <v/>
      </c>
      <c r="F1537" s="16" t="str">
        <f t="shared" si="78"/>
        <v/>
      </c>
      <c r="G1537" t="s">
        <v>926</v>
      </c>
    </row>
    <row r="1538" spans="4:7" x14ac:dyDescent="0.25">
      <c r="D1538" t="s">
        <v>926</v>
      </c>
      <c r="E1538" t="str">
        <f t="shared" si="79"/>
        <v/>
      </c>
      <c r="F1538" s="16" t="str">
        <f t="shared" si="78"/>
        <v/>
      </c>
      <c r="G1538" t="s">
        <v>926</v>
      </c>
    </row>
    <row r="1539" spans="4:7" x14ac:dyDescent="0.25">
      <c r="D1539" t="s">
        <v>926</v>
      </c>
      <c r="E1539" t="str">
        <f t="shared" si="79"/>
        <v/>
      </c>
      <c r="F1539" s="16" t="str">
        <f t="shared" ref="F1539:F1602" si="80" xml:space="preserve"> IF(ISERROR(VLOOKUP(E1539,Imp_IVA1,2,FALSE)),"",VLOOKUP(E1539,Imp_IVA1,2,FALSE))&amp; IF(ISERROR(VLOOKUP(E1539,Imp_IVA2,2,FALSE)),"",VLOOKUP(E1539,Imp_IVA2,2,FALSE))</f>
        <v/>
      </c>
      <c r="G1539" t="s">
        <v>926</v>
      </c>
    </row>
    <row r="1540" spans="4:7" x14ac:dyDescent="0.25">
      <c r="D1540" t="s">
        <v>926</v>
      </c>
      <c r="E1540" t="str">
        <f t="shared" si="79"/>
        <v/>
      </c>
      <c r="F1540" s="16" t="str">
        <f t="shared" si="80"/>
        <v/>
      </c>
      <c r="G1540" t="s">
        <v>926</v>
      </c>
    </row>
    <row r="1541" spans="4:7" x14ac:dyDescent="0.25">
      <c r="D1541" t="s">
        <v>926</v>
      </c>
      <c r="E1541" t="str">
        <f t="shared" ref="E1541:E1604" si="81">IF(OR(E1540=$E$2,E1540=""),"",E1540+1)</f>
        <v/>
      </c>
      <c r="F1541" s="16" t="str">
        <f t="shared" si="80"/>
        <v/>
      </c>
      <c r="G1541" t="s">
        <v>926</v>
      </c>
    </row>
    <row r="1542" spans="4:7" x14ac:dyDescent="0.25">
      <c r="D1542" t="s">
        <v>926</v>
      </c>
      <c r="E1542" t="str">
        <f t="shared" si="81"/>
        <v/>
      </c>
      <c r="F1542" s="16" t="str">
        <f t="shared" si="80"/>
        <v/>
      </c>
      <c r="G1542" t="s">
        <v>926</v>
      </c>
    </row>
    <row r="1543" spans="4:7" x14ac:dyDescent="0.25">
      <c r="D1543" t="s">
        <v>926</v>
      </c>
      <c r="E1543" t="str">
        <f t="shared" si="81"/>
        <v/>
      </c>
      <c r="F1543" s="16" t="str">
        <f t="shared" si="80"/>
        <v/>
      </c>
      <c r="G1543" t="s">
        <v>926</v>
      </c>
    </row>
    <row r="1544" spans="4:7" x14ac:dyDescent="0.25">
      <c r="D1544" t="s">
        <v>926</v>
      </c>
      <c r="E1544" t="str">
        <f t="shared" si="81"/>
        <v/>
      </c>
      <c r="F1544" s="16" t="str">
        <f t="shared" si="80"/>
        <v/>
      </c>
      <c r="G1544" t="s">
        <v>926</v>
      </c>
    </row>
    <row r="1545" spans="4:7" x14ac:dyDescent="0.25">
      <c r="D1545" t="s">
        <v>926</v>
      </c>
      <c r="E1545" t="str">
        <f t="shared" si="81"/>
        <v/>
      </c>
      <c r="F1545" s="16" t="str">
        <f t="shared" si="80"/>
        <v/>
      </c>
      <c r="G1545" t="s">
        <v>926</v>
      </c>
    </row>
    <row r="1546" spans="4:7" x14ac:dyDescent="0.25">
      <c r="D1546" t="s">
        <v>926</v>
      </c>
      <c r="E1546" t="str">
        <f t="shared" si="81"/>
        <v/>
      </c>
      <c r="F1546" s="16" t="str">
        <f t="shared" si="80"/>
        <v/>
      </c>
      <c r="G1546" t="s">
        <v>926</v>
      </c>
    </row>
    <row r="1547" spans="4:7" x14ac:dyDescent="0.25">
      <c r="D1547" t="s">
        <v>926</v>
      </c>
      <c r="E1547" t="str">
        <f t="shared" si="81"/>
        <v/>
      </c>
      <c r="F1547" s="16" t="str">
        <f t="shared" si="80"/>
        <v/>
      </c>
      <c r="G1547" t="s">
        <v>926</v>
      </c>
    </row>
    <row r="1548" spans="4:7" x14ac:dyDescent="0.25">
      <c r="D1548" t="s">
        <v>926</v>
      </c>
      <c r="E1548" t="str">
        <f t="shared" si="81"/>
        <v/>
      </c>
      <c r="F1548" s="16" t="str">
        <f t="shared" si="80"/>
        <v/>
      </c>
      <c r="G1548" t="s">
        <v>926</v>
      </c>
    </row>
    <row r="1549" spans="4:7" x14ac:dyDescent="0.25">
      <c r="D1549" t="s">
        <v>926</v>
      </c>
      <c r="E1549" t="str">
        <f t="shared" si="81"/>
        <v/>
      </c>
      <c r="F1549" s="16" t="str">
        <f t="shared" si="80"/>
        <v/>
      </c>
      <c r="G1549" t="s">
        <v>926</v>
      </c>
    </row>
    <row r="1550" spans="4:7" x14ac:dyDescent="0.25">
      <c r="D1550" t="s">
        <v>926</v>
      </c>
      <c r="E1550" t="str">
        <f t="shared" si="81"/>
        <v/>
      </c>
      <c r="F1550" s="16" t="str">
        <f t="shared" si="80"/>
        <v/>
      </c>
      <c r="G1550" t="s">
        <v>926</v>
      </c>
    </row>
    <row r="1551" spans="4:7" x14ac:dyDescent="0.25">
      <c r="D1551" t="s">
        <v>926</v>
      </c>
      <c r="E1551" t="str">
        <f t="shared" si="81"/>
        <v/>
      </c>
      <c r="F1551" s="16" t="str">
        <f t="shared" si="80"/>
        <v/>
      </c>
      <c r="G1551" t="s">
        <v>926</v>
      </c>
    </row>
    <row r="1552" spans="4:7" x14ac:dyDescent="0.25">
      <c r="D1552" t="s">
        <v>926</v>
      </c>
      <c r="E1552" t="str">
        <f t="shared" si="81"/>
        <v/>
      </c>
      <c r="F1552" s="16" t="str">
        <f t="shared" si="80"/>
        <v/>
      </c>
      <c r="G1552" t="s">
        <v>926</v>
      </c>
    </row>
    <row r="1553" spans="4:7" x14ac:dyDescent="0.25">
      <c r="D1553" t="s">
        <v>926</v>
      </c>
      <c r="E1553" t="str">
        <f t="shared" si="81"/>
        <v/>
      </c>
      <c r="F1553" s="16" t="str">
        <f t="shared" si="80"/>
        <v/>
      </c>
      <c r="G1553" t="s">
        <v>926</v>
      </c>
    </row>
    <row r="1554" spans="4:7" x14ac:dyDescent="0.25">
      <c r="D1554" t="s">
        <v>926</v>
      </c>
      <c r="E1554" t="str">
        <f t="shared" si="81"/>
        <v/>
      </c>
      <c r="F1554" s="16" t="str">
        <f t="shared" si="80"/>
        <v/>
      </c>
      <c r="G1554" t="s">
        <v>926</v>
      </c>
    </row>
    <row r="1555" spans="4:7" x14ac:dyDescent="0.25">
      <c r="D1555" t="s">
        <v>926</v>
      </c>
      <c r="E1555" t="str">
        <f t="shared" si="81"/>
        <v/>
      </c>
      <c r="F1555" s="16" t="str">
        <f t="shared" si="80"/>
        <v/>
      </c>
      <c r="G1555" t="s">
        <v>926</v>
      </c>
    </row>
    <row r="1556" spans="4:7" x14ac:dyDescent="0.25">
      <c r="D1556" t="s">
        <v>926</v>
      </c>
      <c r="E1556" t="str">
        <f t="shared" si="81"/>
        <v/>
      </c>
      <c r="F1556" s="16" t="str">
        <f t="shared" si="80"/>
        <v/>
      </c>
      <c r="G1556" t="s">
        <v>926</v>
      </c>
    </row>
    <row r="1557" spans="4:7" x14ac:dyDescent="0.25">
      <c r="D1557" t="s">
        <v>926</v>
      </c>
      <c r="E1557" t="str">
        <f t="shared" si="81"/>
        <v/>
      </c>
      <c r="F1557" s="16" t="str">
        <f t="shared" si="80"/>
        <v/>
      </c>
      <c r="G1557" t="s">
        <v>926</v>
      </c>
    </row>
    <row r="1558" spans="4:7" x14ac:dyDescent="0.25">
      <c r="D1558" t="s">
        <v>926</v>
      </c>
      <c r="E1558" t="str">
        <f t="shared" si="81"/>
        <v/>
      </c>
      <c r="F1558" s="16" t="str">
        <f t="shared" si="80"/>
        <v/>
      </c>
      <c r="G1558" t="s">
        <v>926</v>
      </c>
    </row>
    <row r="1559" spans="4:7" x14ac:dyDescent="0.25">
      <c r="D1559" t="s">
        <v>926</v>
      </c>
      <c r="E1559" t="str">
        <f t="shared" si="81"/>
        <v/>
      </c>
      <c r="F1559" s="16" t="str">
        <f t="shared" si="80"/>
        <v/>
      </c>
      <c r="G1559" t="s">
        <v>926</v>
      </c>
    </row>
    <row r="1560" spans="4:7" x14ac:dyDescent="0.25">
      <c r="D1560" t="s">
        <v>926</v>
      </c>
      <c r="E1560" t="str">
        <f t="shared" si="81"/>
        <v/>
      </c>
      <c r="F1560" s="16" t="str">
        <f t="shared" si="80"/>
        <v/>
      </c>
      <c r="G1560" t="s">
        <v>926</v>
      </c>
    </row>
    <row r="1561" spans="4:7" x14ac:dyDescent="0.25">
      <c r="D1561" t="s">
        <v>926</v>
      </c>
      <c r="E1561" t="str">
        <f t="shared" si="81"/>
        <v/>
      </c>
      <c r="F1561" s="16" t="str">
        <f t="shared" si="80"/>
        <v/>
      </c>
      <c r="G1561" t="s">
        <v>926</v>
      </c>
    </row>
    <row r="1562" spans="4:7" x14ac:dyDescent="0.25">
      <c r="D1562" t="s">
        <v>926</v>
      </c>
      <c r="E1562" t="str">
        <f t="shared" si="81"/>
        <v/>
      </c>
      <c r="F1562" s="16" t="str">
        <f t="shared" si="80"/>
        <v/>
      </c>
      <c r="G1562" t="s">
        <v>926</v>
      </c>
    </row>
    <row r="1563" spans="4:7" x14ac:dyDescent="0.25">
      <c r="D1563" t="s">
        <v>926</v>
      </c>
      <c r="E1563" t="str">
        <f t="shared" si="81"/>
        <v/>
      </c>
      <c r="F1563" s="16" t="str">
        <f t="shared" si="80"/>
        <v/>
      </c>
      <c r="G1563" t="s">
        <v>926</v>
      </c>
    </row>
    <row r="1564" spans="4:7" x14ac:dyDescent="0.25">
      <c r="D1564" t="s">
        <v>926</v>
      </c>
      <c r="E1564" t="str">
        <f t="shared" si="81"/>
        <v/>
      </c>
      <c r="F1564" s="16" t="str">
        <f t="shared" si="80"/>
        <v/>
      </c>
      <c r="G1564" t="s">
        <v>926</v>
      </c>
    </row>
    <row r="1565" spans="4:7" x14ac:dyDescent="0.25">
      <c r="D1565" t="s">
        <v>926</v>
      </c>
      <c r="E1565" t="str">
        <f t="shared" si="81"/>
        <v/>
      </c>
      <c r="F1565" s="16" t="str">
        <f t="shared" si="80"/>
        <v/>
      </c>
      <c r="G1565" t="s">
        <v>926</v>
      </c>
    </row>
    <row r="1566" spans="4:7" x14ac:dyDescent="0.25">
      <c r="D1566" t="s">
        <v>926</v>
      </c>
      <c r="E1566" t="str">
        <f t="shared" si="81"/>
        <v/>
      </c>
      <c r="F1566" s="16" t="str">
        <f t="shared" si="80"/>
        <v/>
      </c>
      <c r="G1566" t="s">
        <v>926</v>
      </c>
    </row>
    <row r="1567" spans="4:7" x14ac:dyDescent="0.25">
      <c r="D1567" t="s">
        <v>926</v>
      </c>
      <c r="E1567" t="str">
        <f t="shared" si="81"/>
        <v/>
      </c>
      <c r="F1567" s="16" t="str">
        <f t="shared" si="80"/>
        <v/>
      </c>
      <c r="G1567" t="s">
        <v>926</v>
      </c>
    </row>
    <row r="1568" spans="4:7" x14ac:dyDescent="0.25">
      <c r="D1568" t="s">
        <v>926</v>
      </c>
      <c r="E1568" t="str">
        <f t="shared" si="81"/>
        <v/>
      </c>
      <c r="F1568" s="16" t="str">
        <f t="shared" si="80"/>
        <v/>
      </c>
      <c r="G1568" t="s">
        <v>926</v>
      </c>
    </row>
    <row r="1569" spans="4:7" x14ac:dyDescent="0.25">
      <c r="D1569" t="s">
        <v>926</v>
      </c>
      <c r="E1569" t="str">
        <f t="shared" si="81"/>
        <v/>
      </c>
      <c r="F1569" s="16" t="str">
        <f t="shared" si="80"/>
        <v/>
      </c>
      <c r="G1569" t="s">
        <v>926</v>
      </c>
    </row>
    <row r="1570" spans="4:7" x14ac:dyDescent="0.25">
      <c r="D1570" t="s">
        <v>926</v>
      </c>
      <c r="E1570" t="str">
        <f t="shared" si="81"/>
        <v/>
      </c>
      <c r="F1570" s="16" t="str">
        <f t="shared" si="80"/>
        <v/>
      </c>
      <c r="G1570" t="s">
        <v>926</v>
      </c>
    </row>
    <row r="1571" spans="4:7" x14ac:dyDescent="0.25">
      <c r="D1571" t="s">
        <v>926</v>
      </c>
      <c r="E1571" t="str">
        <f t="shared" si="81"/>
        <v/>
      </c>
      <c r="F1571" s="16" t="str">
        <f t="shared" si="80"/>
        <v/>
      </c>
      <c r="G1571" t="s">
        <v>926</v>
      </c>
    </row>
    <row r="1572" spans="4:7" x14ac:dyDescent="0.25">
      <c r="D1572" t="s">
        <v>926</v>
      </c>
      <c r="E1572" t="str">
        <f t="shared" si="81"/>
        <v/>
      </c>
      <c r="F1572" s="16" t="str">
        <f t="shared" si="80"/>
        <v/>
      </c>
      <c r="G1572" t="s">
        <v>926</v>
      </c>
    </row>
    <row r="1573" spans="4:7" x14ac:dyDescent="0.25">
      <c r="D1573" t="s">
        <v>926</v>
      </c>
      <c r="E1573" t="str">
        <f t="shared" si="81"/>
        <v/>
      </c>
      <c r="F1573" s="16" t="str">
        <f t="shared" si="80"/>
        <v/>
      </c>
      <c r="G1573" t="s">
        <v>926</v>
      </c>
    </row>
    <row r="1574" spans="4:7" x14ac:dyDescent="0.25">
      <c r="D1574" t="s">
        <v>926</v>
      </c>
      <c r="E1574" t="str">
        <f t="shared" si="81"/>
        <v/>
      </c>
      <c r="F1574" s="16" t="str">
        <f t="shared" si="80"/>
        <v/>
      </c>
      <c r="G1574" t="s">
        <v>926</v>
      </c>
    </row>
    <row r="1575" spans="4:7" x14ac:dyDescent="0.25">
      <c r="D1575" t="s">
        <v>926</v>
      </c>
      <c r="E1575" t="str">
        <f t="shared" si="81"/>
        <v/>
      </c>
      <c r="F1575" s="16" t="str">
        <f t="shared" si="80"/>
        <v/>
      </c>
      <c r="G1575" t="s">
        <v>926</v>
      </c>
    </row>
    <row r="1576" spans="4:7" x14ac:dyDescent="0.25">
      <c r="D1576" t="s">
        <v>926</v>
      </c>
      <c r="E1576" t="str">
        <f t="shared" si="81"/>
        <v/>
      </c>
      <c r="F1576" s="16" t="str">
        <f t="shared" si="80"/>
        <v/>
      </c>
      <c r="G1576" t="s">
        <v>926</v>
      </c>
    </row>
    <row r="1577" spans="4:7" x14ac:dyDescent="0.25">
      <c r="D1577" t="s">
        <v>926</v>
      </c>
      <c r="E1577" t="str">
        <f t="shared" si="81"/>
        <v/>
      </c>
      <c r="F1577" s="16" t="str">
        <f t="shared" si="80"/>
        <v/>
      </c>
      <c r="G1577" t="s">
        <v>926</v>
      </c>
    </row>
    <row r="1578" spans="4:7" x14ac:dyDescent="0.25">
      <c r="D1578" t="s">
        <v>926</v>
      </c>
      <c r="E1578" t="str">
        <f t="shared" si="81"/>
        <v/>
      </c>
      <c r="F1578" s="16" t="str">
        <f t="shared" si="80"/>
        <v/>
      </c>
      <c r="G1578" t="s">
        <v>926</v>
      </c>
    </row>
    <row r="1579" spans="4:7" x14ac:dyDescent="0.25">
      <c r="D1579" t="s">
        <v>926</v>
      </c>
      <c r="E1579" t="str">
        <f t="shared" si="81"/>
        <v/>
      </c>
      <c r="F1579" s="16" t="str">
        <f t="shared" si="80"/>
        <v/>
      </c>
      <c r="G1579" t="s">
        <v>926</v>
      </c>
    </row>
    <row r="1580" spans="4:7" x14ac:dyDescent="0.25">
      <c r="D1580" t="s">
        <v>926</v>
      </c>
      <c r="E1580" t="str">
        <f t="shared" si="81"/>
        <v/>
      </c>
      <c r="F1580" s="16" t="str">
        <f t="shared" si="80"/>
        <v/>
      </c>
      <c r="G1580" t="s">
        <v>926</v>
      </c>
    </row>
    <row r="1581" spans="4:7" x14ac:dyDescent="0.25">
      <c r="D1581" t="s">
        <v>926</v>
      </c>
      <c r="E1581" t="str">
        <f t="shared" si="81"/>
        <v/>
      </c>
      <c r="F1581" s="16" t="str">
        <f t="shared" si="80"/>
        <v/>
      </c>
      <c r="G1581" t="s">
        <v>926</v>
      </c>
    </row>
    <row r="1582" spans="4:7" x14ac:dyDescent="0.25">
      <c r="D1582" t="s">
        <v>926</v>
      </c>
      <c r="E1582" t="str">
        <f t="shared" si="81"/>
        <v/>
      </c>
      <c r="F1582" s="16" t="str">
        <f t="shared" si="80"/>
        <v/>
      </c>
      <c r="G1582" t="s">
        <v>926</v>
      </c>
    </row>
    <row r="1583" spans="4:7" x14ac:dyDescent="0.25">
      <c r="D1583" t="s">
        <v>926</v>
      </c>
      <c r="E1583" t="str">
        <f t="shared" si="81"/>
        <v/>
      </c>
      <c r="F1583" s="16" t="str">
        <f t="shared" si="80"/>
        <v/>
      </c>
      <c r="G1583" t="s">
        <v>926</v>
      </c>
    </row>
    <row r="1584" spans="4:7" x14ac:dyDescent="0.25">
      <c r="D1584" t="s">
        <v>926</v>
      </c>
      <c r="E1584" t="str">
        <f t="shared" si="81"/>
        <v/>
      </c>
      <c r="F1584" s="16" t="str">
        <f t="shared" si="80"/>
        <v/>
      </c>
      <c r="G1584" t="s">
        <v>926</v>
      </c>
    </row>
    <row r="1585" spans="4:7" x14ac:dyDescent="0.25">
      <c r="D1585" t="s">
        <v>926</v>
      </c>
      <c r="E1585" t="str">
        <f t="shared" si="81"/>
        <v/>
      </c>
      <c r="F1585" s="16" t="str">
        <f t="shared" si="80"/>
        <v/>
      </c>
      <c r="G1585" t="s">
        <v>926</v>
      </c>
    </row>
    <row r="1586" spans="4:7" x14ac:dyDescent="0.25">
      <c r="D1586" t="s">
        <v>926</v>
      </c>
      <c r="E1586" t="str">
        <f t="shared" si="81"/>
        <v/>
      </c>
      <c r="F1586" s="16" t="str">
        <f t="shared" si="80"/>
        <v/>
      </c>
      <c r="G1586" t="s">
        <v>926</v>
      </c>
    </row>
    <row r="1587" spans="4:7" x14ac:dyDescent="0.25">
      <c r="D1587" t="s">
        <v>926</v>
      </c>
      <c r="E1587" t="str">
        <f t="shared" si="81"/>
        <v/>
      </c>
      <c r="F1587" s="16" t="str">
        <f t="shared" si="80"/>
        <v/>
      </c>
      <c r="G1587" t="s">
        <v>926</v>
      </c>
    </row>
    <row r="1588" spans="4:7" x14ac:dyDescent="0.25">
      <c r="D1588" t="s">
        <v>926</v>
      </c>
      <c r="E1588" t="str">
        <f t="shared" si="81"/>
        <v/>
      </c>
      <c r="F1588" s="16" t="str">
        <f t="shared" si="80"/>
        <v/>
      </c>
      <c r="G1588" t="s">
        <v>926</v>
      </c>
    </row>
    <row r="1589" spans="4:7" x14ac:dyDescent="0.25">
      <c r="D1589" t="s">
        <v>926</v>
      </c>
      <c r="E1589" t="str">
        <f t="shared" si="81"/>
        <v/>
      </c>
      <c r="F1589" s="16" t="str">
        <f t="shared" si="80"/>
        <v/>
      </c>
      <c r="G1589" t="s">
        <v>926</v>
      </c>
    </row>
    <row r="1590" spans="4:7" x14ac:dyDescent="0.25">
      <c r="D1590" t="s">
        <v>926</v>
      </c>
      <c r="E1590" t="str">
        <f t="shared" si="81"/>
        <v/>
      </c>
      <c r="F1590" s="16" t="str">
        <f t="shared" si="80"/>
        <v/>
      </c>
      <c r="G1590" t="s">
        <v>926</v>
      </c>
    </row>
    <row r="1591" spans="4:7" x14ac:dyDescent="0.25">
      <c r="D1591" t="s">
        <v>926</v>
      </c>
      <c r="E1591" t="str">
        <f t="shared" si="81"/>
        <v/>
      </c>
      <c r="F1591" s="16" t="str">
        <f t="shared" si="80"/>
        <v/>
      </c>
      <c r="G1591" t="s">
        <v>926</v>
      </c>
    </row>
    <row r="1592" spans="4:7" x14ac:dyDescent="0.25">
      <c r="D1592" t="s">
        <v>926</v>
      </c>
      <c r="E1592" t="str">
        <f t="shared" si="81"/>
        <v/>
      </c>
      <c r="F1592" s="16" t="str">
        <f t="shared" si="80"/>
        <v/>
      </c>
      <c r="G1592" t="s">
        <v>926</v>
      </c>
    </row>
    <row r="1593" spans="4:7" x14ac:dyDescent="0.25">
      <c r="D1593" t="s">
        <v>926</v>
      </c>
      <c r="E1593" t="str">
        <f t="shared" si="81"/>
        <v/>
      </c>
      <c r="F1593" s="16" t="str">
        <f t="shared" si="80"/>
        <v/>
      </c>
      <c r="G1593" t="s">
        <v>926</v>
      </c>
    </row>
    <row r="1594" spans="4:7" x14ac:dyDescent="0.25">
      <c r="D1594" t="s">
        <v>926</v>
      </c>
      <c r="E1594" t="str">
        <f t="shared" si="81"/>
        <v/>
      </c>
      <c r="F1594" s="16" t="str">
        <f t="shared" si="80"/>
        <v/>
      </c>
      <c r="G1594" t="s">
        <v>926</v>
      </c>
    </row>
    <row r="1595" spans="4:7" x14ac:dyDescent="0.25">
      <c r="D1595" t="s">
        <v>926</v>
      </c>
      <c r="E1595" t="str">
        <f t="shared" si="81"/>
        <v/>
      </c>
      <c r="F1595" s="16" t="str">
        <f t="shared" si="80"/>
        <v/>
      </c>
      <c r="G1595" t="s">
        <v>926</v>
      </c>
    </row>
    <row r="1596" spans="4:7" x14ac:dyDescent="0.25">
      <c r="D1596" t="s">
        <v>926</v>
      </c>
      <c r="E1596" t="str">
        <f t="shared" si="81"/>
        <v/>
      </c>
      <c r="F1596" s="16" t="str">
        <f t="shared" si="80"/>
        <v/>
      </c>
      <c r="G1596" t="s">
        <v>926</v>
      </c>
    </row>
    <row r="1597" spans="4:7" x14ac:dyDescent="0.25">
      <c r="D1597" t="s">
        <v>926</v>
      </c>
      <c r="E1597" t="str">
        <f t="shared" si="81"/>
        <v/>
      </c>
      <c r="F1597" s="16" t="str">
        <f t="shared" si="80"/>
        <v/>
      </c>
      <c r="G1597" t="s">
        <v>926</v>
      </c>
    </row>
    <row r="1598" spans="4:7" x14ac:dyDescent="0.25">
      <c r="D1598" t="s">
        <v>926</v>
      </c>
      <c r="E1598" t="str">
        <f t="shared" si="81"/>
        <v/>
      </c>
      <c r="F1598" s="16" t="str">
        <f t="shared" si="80"/>
        <v/>
      </c>
      <c r="G1598" t="s">
        <v>926</v>
      </c>
    </row>
    <row r="1599" spans="4:7" x14ac:dyDescent="0.25">
      <c r="D1599" t="s">
        <v>926</v>
      </c>
      <c r="E1599" t="str">
        <f t="shared" si="81"/>
        <v/>
      </c>
      <c r="F1599" s="16" t="str">
        <f t="shared" si="80"/>
        <v/>
      </c>
      <c r="G1599" t="s">
        <v>926</v>
      </c>
    </row>
    <row r="1600" spans="4:7" x14ac:dyDescent="0.25">
      <c r="D1600" t="s">
        <v>926</v>
      </c>
      <c r="E1600" t="str">
        <f t="shared" si="81"/>
        <v/>
      </c>
      <c r="F1600" s="16" t="str">
        <f t="shared" si="80"/>
        <v/>
      </c>
      <c r="G1600" t="s">
        <v>926</v>
      </c>
    </row>
    <row r="1601" spans="4:7" x14ac:dyDescent="0.25">
      <c r="D1601" t="s">
        <v>926</v>
      </c>
      <c r="E1601" t="str">
        <f t="shared" si="81"/>
        <v/>
      </c>
      <c r="F1601" s="16" t="str">
        <f t="shared" si="80"/>
        <v/>
      </c>
      <c r="G1601" t="s">
        <v>926</v>
      </c>
    </row>
    <row r="1602" spans="4:7" x14ac:dyDescent="0.25">
      <c r="D1602" t="s">
        <v>926</v>
      </c>
      <c r="E1602" t="str">
        <f t="shared" si="81"/>
        <v/>
      </c>
      <c r="F1602" s="16" t="str">
        <f t="shared" si="80"/>
        <v/>
      </c>
      <c r="G1602" t="s">
        <v>926</v>
      </c>
    </row>
    <row r="1603" spans="4:7" x14ac:dyDescent="0.25">
      <c r="D1603" t="s">
        <v>926</v>
      </c>
      <c r="E1603" t="str">
        <f t="shared" si="81"/>
        <v/>
      </c>
      <c r="F1603" s="16" t="str">
        <f t="shared" ref="F1603:F1666" si="82" xml:space="preserve"> IF(ISERROR(VLOOKUP(E1603,Imp_IVA1,2,FALSE)),"",VLOOKUP(E1603,Imp_IVA1,2,FALSE))&amp; IF(ISERROR(VLOOKUP(E1603,Imp_IVA2,2,FALSE)),"",VLOOKUP(E1603,Imp_IVA2,2,FALSE))</f>
        <v/>
      </c>
      <c r="G1603" t="s">
        <v>926</v>
      </c>
    </row>
    <row r="1604" spans="4:7" x14ac:dyDescent="0.25">
      <c r="D1604" t="s">
        <v>926</v>
      </c>
      <c r="E1604" t="str">
        <f t="shared" si="81"/>
        <v/>
      </c>
      <c r="F1604" s="16" t="str">
        <f t="shared" si="82"/>
        <v/>
      </c>
      <c r="G1604" t="s">
        <v>926</v>
      </c>
    </row>
    <row r="1605" spans="4:7" x14ac:dyDescent="0.25">
      <c r="D1605" t="s">
        <v>926</v>
      </c>
      <c r="E1605" t="str">
        <f t="shared" ref="E1605:E1668" si="83">IF(OR(E1604=$E$2,E1604=""),"",E1604+1)</f>
        <v/>
      </c>
      <c r="F1605" s="16" t="str">
        <f t="shared" si="82"/>
        <v/>
      </c>
      <c r="G1605" t="s">
        <v>926</v>
      </c>
    </row>
    <row r="1606" spans="4:7" x14ac:dyDescent="0.25">
      <c r="D1606" t="s">
        <v>926</v>
      </c>
      <c r="E1606" t="str">
        <f t="shared" si="83"/>
        <v/>
      </c>
      <c r="F1606" s="16" t="str">
        <f t="shared" si="82"/>
        <v/>
      </c>
      <c r="G1606" t="s">
        <v>926</v>
      </c>
    </row>
    <row r="1607" spans="4:7" x14ac:dyDescent="0.25">
      <c r="D1607" t="s">
        <v>926</v>
      </c>
      <c r="E1607" t="str">
        <f t="shared" si="83"/>
        <v/>
      </c>
      <c r="F1607" s="16" t="str">
        <f t="shared" si="82"/>
        <v/>
      </c>
      <c r="G1607" t="s">
        <v>926</v>
      </c>
    </row>
    <row r="1608" spans="4:7" x14ac:dyDescent="0.25">
      <c r="D1608" t="s">
        <v>926</v>
      </c>
      <c r="E1608" t="str">
        <f t="shared" si="83"/>
        <v/>
      </c>
      <c r="F1608" s="16" t="str">
        <f t="shared" si="82"/>
        <v/>
      </c>
      <c r="G1608" t="s">
        <v>926</v>
      </c>
    </row>
    <row r="1609" spans="4:7" x14ac:dyDescent="0.25">
      <c r="D1609" t="s">
        <v>926</v>
      </c>
      <c r="E1609" t="str">
        <f t="shared" si="83"/>
        <v/>
      </c>
      <c r="F1609" s="16" t="str">
        <f t="shared" si="82"/>
        <v/>
      </c>
      <c r="G1609" t="s">
        <v>926</v>
      </c>
    </row>
    <row r="1610" spans="4:7" x14ac:dyDescent="0.25">
      <c r="D1610" t="s">
        <v>926</v>
      </c>
      <c r="E1610" t="str">
        <f t="shared" si="83"/>
        <v/>
      </c>
      <c r="F1610" s="16" t="str">
        <f t="shared" si="82"/>
        <v/>
      </c>
      <c r="G1610" t="s">
        <v>926</v>
      </c>
    </row>
    <row r="1611" spans="4:7" x14ac:dyDescent="0.25">
      <c r="D1611" t="s">
        <v>926</v>
      </c>
      <c r="E1611" t="str">
        <f t="shared" si="83"/>
        <v/>
      </c>
      <c r="F1611" s="16" t="str">
        <f t="shared" si="82"/>
        <v/>
      </c>
      <c r="G1611" t="s">
        <v>926</v>
      </c>
    </row>
    <row r="1612" spans="4:7" x14ac:dyDescent="0.25">
      <c r="D1612" t="s">
        <v>926</v>
      </c>
      <c r="E1612" t="str">
        <f t="shared" si="83"/>
        <v/>
      </c>
      <c r="F1612" s="16" t="str">
        <f t="shared" si="82"/>
        <v/>
      </c>
      <c r="G1612" t="s">
        <v>926</v>
      </c>
    </row>
    <row r="1613" spans="4:7" x14ac:dyDescent="0.25">
      <c r="D1613" t="s">
        <v>926</v>
      </c>
      <c r="E1613" t="str">
        <f t="shared" si="83"/>
        <v/>
      </c>
      <c r="F1613" s="16" t="str">
        <f t="shared" si="82"/>
        <v/>
      </c>
      <c r="G1613" t="s">
        <v>926</v>
      </c>
    </row>
    <row r="1614" spans="4:7" x14ac:dyDescent="0.25">
      <c r="D1614" t="s">
        <v>926</v>
      </c>
      <c r="E1614" t="str">
        <f t="shared" si="83"/>
        <v/>
      </c>
      <c r="F1614" s="16" t="str">
        <f t="shared" si="82"/>
        <v/>
      </c>
      <c r="G1614" t="s">
        <v>926</v>
      </c>
    </row>
    <row r="1615" spans="4:7" x14ac:dyDescent="0.25">
      <c r="D1615" t="s">
        <v>926</v>
      </c>
      <c r="E1615" t="str">
        <f t="shared" si="83"/>
        <v/>
      </c>
      <c r="F1615" s="16" t="str">
        <f t="shared" si="82"/>
        <v/>
      </c>
      <c r="G1615" t="s">
        <v>926</v>
      </c>
    </row>
    <row r="1616" spans="4:7" x14ac:dyDescent="0.25">
      <c r="D1616" t="s">
        <v>926</v>
      </c>
      <c r="E1616" t="str">
        <f t="shared" si="83"/>
        <v/>
      </c>
      <c r="F1616" s="16" t="str">
        <f t="shared" si="82"/>
        <v/>
      </c>
      <c r="G1616" t="s">
        <v>926</v>
      </c>
    </row>
    <row r="1617" spans="4:7" x14ac:dyDescent="0.25">
      <c r="D1617" t="s">
        <v>926</v>
      </c>
      <c r="E1617" t="str">
        <f t="shared" si="83"/>
        <v/>
      </c>
      <c r="F1617" s="16" t="str">
        <f t="shared" si="82"/>
        <v/>
      </c>
      <c r="G1617" t="s">
        <v>926</v>
      </c>
    </row>
    <row r="1618" spans="4:7" x14ac:dyDescent="0.25">
      <c r="D1618" t="s">
        <v>926</v>
      </c>
      <c r="E1618" t="str">
        <f t="shared" si="83"/>
        <v/>
      </c>
      <c r="F1618" s="16" t="str">
        <f t="shared" si="82"/>
        <v/>
      </c>
      <c r="G1618" t="s">
        <v>926</v>
      </c>
    </row>
    <row r="1619" spans="4:7" x14ac:dyDescent="0.25">
      <c r="D1619" t="s">
        <v>926</v>
      </c>
      <c r="E1619" t="str">
        <f t="shared" si="83"/>
        <v/>
      </c>
      <c r="F1619" s="16" t="str">
        <f t="shared" si="82"/>
        <v/>
      </c>
      <c r="G1619" t="s">
        <v>926</v>
      </c>
    </row>
    <row r="1620" spans="4:7" x14ac:dyDescent="0.25">
      <c r="D1620" t="s">
        <v>926</v>
      </c>
      <c r="E1620" t="str">
        <f t="shared" si="83"/>
        <v/>
      </c>
      <c r="F1620" s="16" t="str">
        <f t="shared" si="82"/>
        <v/>
      </c>
      <c r="G1620" t="s">
        <v>926</v>
      </c>
    </row>
    <row r="1621" spans="4:7" x14ac:dyDescent="0.25">
      <c r="D1621" t="s">
        <v>926</v>
      </c>
      <c r="E1621" t="str">
        <f t="shared" si="83"/>
        <v/>
      </c>
      <c r="F1621" s="16" t="str">
        <f t="shared" si="82"/>
        <v/>
      </c>
      <c r="G1621" t="s">
        <v>926</v>
      </c>
    </row>
    <row r="1622" spans="4:7" x14ac:dyDescent="0.25">
      <c r="D1622" t="s">
        <v>926</v>
      </c>
      <c r="E1622" t="str">
        <f t="shared" si="83"/>
        <v/>
      </c>
      <c r="F1622" s="16" t="str">
        <f t="shared" si="82"/>
        <v/>
      </c>
      <c r="G1622" t="s">
        <v>926</v>
      </c>
    </row>
    <row r="1623" spans="4:7" x14ac:dyDescent="0.25">
      <c r="D1623" t="s">
        <v>926</v>
      </c>
      <c r="E1623" t="str">
        <f t="shared" si="83"/>
        <v/>
      </c>
      <c r="F1623" s="16" t="str">
        <f t="shared" si="82"/>
        <v/>
      </c>
      <c r="G1623" t="s">
        <v>926</v>
      </c>
    </row>
    <row r="1624" spans="4:7" x14ac:dyDescent="0.25">
      <c r="D1624" t="s">
        <v>926</v>
      </c>
      <c r="E1624" t="str">
        <f t="shared" si="83"/>
        <v/>
      </c>
      <c r="F1624" s="16" t="str">
        <f t="shared" si="82"/>
        <v/>
      </c>
      <c r="G1624" t="s">
        <v>926</v>
      </c>
    </row>
    <row r="1625" spans="4:7" x14ac:dyDescent="0.25">
      <c r="D1625" t="s">
        <v>926</v>
      </c>
      <c r="E1625" t="str">
        <f t="shared" si="83"/>
        <v/>
      </c>
      <c r="F1625" s="16" t="str">
        <f t="shared" si="82"/>
        <v/>
      </c>
      <c r="G1625" t="s">
        <v>926</v>
      </c>
    </row>
    <row r="1626" spans="4:7" x14ac:dyDescent="0.25">
      <c r="D1626" t="s">
        <v>926</v>
      </c>
      <c r="E1626" t="str">
        <f t="shared" si="83"/>
        <v/>
      </c>
      <c r="F1626" s="16" t="str">
        <f t="shared" si="82"/>
        <v/>
      </c>
      <c r="G1626" t="s">
        <v>926</v>
      </c>
    </row>
    <row r="1627" spans="4:7" x14ac:dyDescent="0.25">
      <c r="D1627" t="s">
        <v>926</v>
      </c>
      <c r="E1627" t="str">
        <f t="shared" si="83"/>
        <v/>
      </c>
      <c r="F1627" s="16" t="str">
        <f t="shared" si="82"/>
        <v/>
      </c>
      <c r="G1627" t="s">
        <v>926</v>
      </c>
    </row>
    <row r="1628" spans="4:7" x14ac:dyDescent="0.25">
      <c r="D1628" t="s">
        <v>926</v>
      </c>
      <c r="E1628" t="str">
        <f t="shared" si="83"/>
        <v/>
      </c>
      <c r="F1628" s="16" t="str">
        <f t="shared" si="82"/>
        <v/>
      </c>
      <c r="G1628" t="s">
        <v>926</v>
      </c>
    </row>
    <row r="1629" spans="4:7" x14ac:dyDescent="0.25">
      <c r="D1629" t="s">
        <v>926</v>
      </c>
      <c r="E1629" t="str">
        <f t="shared" si="83"/>
        <v/>
      </c>
      <c r="F1629" s="16" t="str">
        <f t="shared" si="82"/>
        <v/>
      </c>
      <c r="G1629" t="s">
        <v>926</v>
      </c>
    </row>
    <row r="1630" spans="4:7" x14ac:dyDescent="0.25">
      <c r="D1630" t="s">
        <v>926</v>
      </c>
      <c r="E1630" t="str">
        <f t="shared" si="83"/>
        <v/>
      </c>
      <c r="F1630" s="16" t="str">
        <f t="shared" si="82"/>
        <v/>
      </c>
      <c r="G1630" t="s">
        <v>926</v>
      </c>
    </row>
    <row r="1631" spans="4:7" x14ac:dyDescent="0.25">
      <c r="D1631" t="s">
        <v>926</v>
      </c>
      <c r="E1631" t="str">
        <f t="shared" si="83"/>
        <v/>
      </c>
      <c r="F1631" s="16" t="str">
        <f t="shared" si="82"/>
        <v/>
      </c>
      <c r="G1631" t="s">
        <v>926</v>
      </c>
    </row>
    <row r="1632" spans="4:7" x14ac:dyDescent="0.25">
      <c r="D1632" t="s">
        <v>926</v>
      </c>
      <c r="E1632" t="str">
        <f t="shared" si="83"/>
        <v/>
      </c>
      <c r="F1632" s="16" t="str">
        <f t="shared" si="82"/>
        <v/>
      </c>
      <c r="G1632" t="s">
        <v>926</v>
      </c>
    </row>
    <row r="1633" spans="4:7" x14ac:dyDescent="0.25">
      <c r="D1633" t="s">
        <v>926</v>
      </c>
      <c r="E1633" t="str">
        <f t="shared" si="83"/>
        <v/>
      </c>
      <c r="F1633" s="16" t="str">
        <f t="shared" si="82"/>
        <v/>
      </c>
      <c r="G1633" t="s">
        <v>926</v>
      </c>
    </row>
    <row r="1634" spans="4:7" x14ac:dyDescent="0.25">
      <c r="D1634" t="s">
        <v>926</v>
      </c>
      <c r="E1634" t="str">
        <f t="shared" si="83"/>
        <v/>
      </c>
      <c r="F1634" s="16" t="str">
        <f t="shared" si="82"/>
        <v/>
      </c>
      <c r="G1634" t="s">
        <v>926</v>
      </c>
    </row>
    <row r="1635" spans="4:7" x14ac:dyDescent="0.25">
      <c r="D1635" t="s">
        <v>926</v>
      </c>
      <c r="E1635" t="str">
        <f t="shared" si="83"/>
        <v/>
      </c>
      <c r="F1635" s="16" t="str">
        <f t="shared" si="82"/>
        <v/>
      </c>
      <c r="G1635" t="s">
        <v>926</v>
      </c>
    </row>
    <row r="1636" spans="4:7" x14ac:dyDescent="0.25">
      <c r="D1636" t="s">
        <v>926</v>
      </c>
      <c r="E1636" t="str">
        <f t="shared" si="83"/>
        <v/>
      </c>
      <c r="F1636" s="16" t="str">
        <f t="shared" si="82"/>
        <v/>
      </c>
      <c r="G1636" t="s">
        <v>926</v>
      </c>
    </row>
    <row r="1637" spans="4:7" x14ac:dyDescent="0.25">
      <c r="D1637" t="s">
        <v>926</v>
      </c>
      <c r="E1637" t="str">
        <f t="shared" si="83"/>
        <v/>
      </c>
      <c r="F1637" s="16" t="str">
        <f t="shared" si="82"/>
        <v/>
      </c>
      <c r="G1637" t="s">
        <v>926</v>
      </c>
    </row>
    <row r="1638" spans="4:7" x14ac:dyDescent="0.25">
      <c r="D1638" t="s">
        <v>926</v>
      </c>
      <c r="E1638" t="str">
        <f t="shared" si="83"/>
        <v/>
      </c>
      <c r="F1638" s="16" t="str">
        <f t="shared" si="82"/>
        <v/>
      </c>
      <c r="G1638" t="s">
        <v>926</v>
      </c>
    </row>
    <row r="1639" spans="4:7" x14ac:dyDescent="0.25">
      <c r="D1639" t="s">
        <v>926</v>
      </c>
      <c r="E1639" t="str">
        <f t="shared" si="83"/>
        <v/>
      </c>
      <c r="F1639" s="16" t="str">
        <f t="shared" si="82"/>
        <v/>
      </c>
      <c r="G1639" t="s">
        <v>926</v>
      </c>
    </row>
    <row r="1640" spans="4:7" x14ac:dyDescent="0.25">
      <c r="D1640" t="s">
        <v>926</v>
      </c>
      <c r="E1640" t="str">
        <f t="shared" si="83"/>
        <v/>
      </c>
      <c r="F1640" s="16" t="str">
        <f t="shared" si="82"/>
        <v/>
      </c>
      <c r="G1640" t="s">
        <v>926</v>
      </c>
    </row>
    <row r="1641" spans="4:7" x14ac:dyDescent="0.25">
      <c r="D1641" t="s">
        <v>926</v>
      </c>
      <c r="E1641" t="str">
        <f t="shared" si="83"/>
        <v/>
      </c>
      <c r="F1641" s="16" t="str">
        <f t="shared" si="82"/>
        <v/>
      </c>
      <c r="G1641" t="s">
        <v>926</v>
      </c>
    </row>
    <row r="1642" spans="4:7" x14ac:dyDescent="0.25">
      <c r="D1642" t="s">
        <v>926</v>
      </c>
      <c r="E1642" t="str">
        <f t="shared" si="83"/>
        <v/>
      </c>
      <c r="F1642" s="16" t="str">
        <f t="shared" si="82"/>
        <v/>
      </c>
      <c r="G1642" t="s">
        <v>926</v>
      </c>
    </row>
    <row r="1643" spans="4:7" x14ac:dyDescent="0.25">
      <c r="D1643" t="s">
        <v>926</v>
      </c>
      <c r="E1643" t="str">
        <f t="shared" si="83"/>
        <v/>
      </c>
      <c r="F1643" s="16" t="str">
        <f t="shared" si="82"/>
        <v/>
      </c>
      <c r="G1643" t="s">
        <v>926</v>
      </c>
    </row>
    <row r="1644" spans="4:7" x14ac:dyDescent="0.25">
      <c r="D1644" t="s">
        <v>926</v>
      </c>
      <c r="E1644" t="str">
        <f t="shared" si="83"/>
        <v/>
      </c>
      <c r="F1644" s="16" t="str">
        <f t="shared" si="82"/>
        <v/>
      </c>
      <c r="G1644" t="s">
        <v>926</v>
      </c>
    </row>
    <row r="1645" spans="4:7" x14ac:dyDescent="0.25">
      <c r="D1645" t="s">
        <v>926</v>
      </c>
      <c r="E1645" t="str">
        <f t="shared" si="83"/>
        <v/>
      </c>
      <c r="F1645" s="16" t="str">
        <f t="shared" si="82"/>
        <v/>
      </c>
      <c r="G1645" t="s">
        <v>926</v>
      </c>
    </row>
    <row r="1646" spans="4:7" x14ac:dyDescent="0.25">
      <c r="D1646" t="s">
        <v>926</v>
      </c>
      <c r="E1646" t="str">
        <f t="shared" si="83"/>
        <v/>
      </c>
      <c r="F1646" s="16" t="str">
        <f t="shared" si="82"/>
        <v/>
      </c>
      <c r="G1646" t="s">
        <v>926</v>
      </c>
    </row>
    <row r="1647" spans="4:7" x14ac:dyDescent="0.25">
      <c r="D1647" t="s">
        <v>926</v>
      </c>
      <c r="E1647" t="str">
        <f t="shared" si="83"/>
        <v/>
      </c>
      <c r="F1647" s="16" t="str">
        <f t="shared" si="82"/>
        <v/>
      </c>
      <c r="G1647" t="s">
        <v>926</v>
      </c>
    </row>
    <row r="1648" spans="4:7" x14ac:dyDescent="0.25">
      <c r="D1648" t="s">
        <v>926</v>
      </c>
      <c r="E1648" t="str">
        <f t="shared" si="83"/>
        <v/>
      </c>
      <c r="F1648" s="16" t="str">
        <f t="shared" si="82"/>
        <v/>
      </c>
      <c r="G1648" t="s">
        <v>926</v>
      </c>
    </row>
    <row r="1649" spans="4:7" x14ac:dyDescent="0.25">
      <c r="D1649" t="s">
        <v>926</v>
      </c>
      <c r="E1649" t="str">
        <f t="shared" si="83"/>
        <v/>
      </c>
      <c r="F1649" s="16" t="str">
        <f t="shared" si="82"/>
        <v/>
      </c>
      <c r="G1649" t="s">
        <v>926</v>
      </c>
    </row>
    <row r="1650" spans="4:7" x14ac:dyDescent="0.25">
      <c r="D1650" t="s">
        <v>926</v>
      </c>
      <c r="E1650" t="str">
        <f t="shared" si="83"/>
        <v/>
      </c>
      <c r="F1650" s="16" t="str">
        <f t="shared" si="82"/>
        <v/>
      </c>
      <c r="G1650" t="s">
        <v>926</v>
      </c>
    </row>
    <row r="1651" spans="4:7" x14ac:dyDescent="0.25">
      <c r="D1651" t="s">
        <v>926</v>
      </c>
      <c r="E1651" t="str">
        <f t="shared" si="83"/>
        <v/>
      </c>
      <c r="F1651" s="16" t="str">
        <f t="shared" si="82"/>
        <v/>
      </c>
      <c r="G1651" t="s">
        <v>926</v>
      </c>
    </row>
    <row r="1652" spans="4:7" x14ac:dyDescent="0.25">
      <c r="D1652" t="s">
        <v>926</v>
      </c>
      <c r="E1652" t="str">
        <f t="shared" si="83"/>
        <v/>
      </c>
      <c r="F1652" s="16" t="str">
        <f t="shared" si="82"/>
        <v/>
      </c>
      <c r="G1652" t="s">
        <v>926</v>
      </c>
    </row>
    <row r="1653" spans="4:7" x14ac:dyDescent="0.25">
      <c r="D1653" t="s">
        <v>926</v>
      </c>
      <c r="E1653" t="str">
        <f t="shared" si="83"/>
        <v/>
      </c>
      <c r="F1653" s="16" t="str">
        <f t="shared" si="82"/>
        <v/>
      </c>
      <c r="G1653" t="s">
        <v>926</v>
      </c>
    </row>
    <row r="1654" spans="4:7" x14ac:dyDescent="0.25">
      <c r="D1654" t="s">
        <v>926</v>
      </c>
      <c r="E1654" t="str">
        <f t="shared" si="83"/>
        <v/>
      </c>
      <c r="F1654" s="16" t="str">
        <f t="shared" si="82"/>
        <v/>
      </c>
      <c r="G1654" t="s">
        <v>926</v>
      </c>
    </row>
    <row r="1655" spans="4:7" x14ac:dyDescent="0.25">
      <c r="D1655" t="s">
        <v>926</v>
      </c>
      <c r="E1655" t="str">
        <f t="shared" si="83"/>
        <v/>
      </c>
      <c r="F1655" s="16" t="str">
        <f t="shared" si="82"/>
        <v/>
      </c>
      <c r="G1655" t="s">
        <v>926</v>
      </c>
    </row>
    <row r="1656" spans="4:7" x14ac:dyDescent="0.25">
      <c r="D1656" t="s">
        <v>926</v>
      </c>
      <c r="E1656" t="str">
        <f t="shared" si="83"/>
        <v/>
      </c>
      <c r="F1656" s="16" t="str">
        <f t="shared" si="82"/>
        <v/>
      </c>
      <c r="G1656" t="s">
        <v>926</v>
      </c>
    </row>
    <row r="1657" spans="4:7" x14ac:dyDescent="0.25">
      <c r="D1657" t="s">
        <v>926</v>
      </c>
      <c r="E1657" t="str">
        <f t="shared" si="83"/>
        <v/>
      </c>
      <c r="F1657" s="16" t="str">
        <f t="shared" si="82"/>
        <v/>
      </c>
      <c r="G1657" t="s">
        <v>926</v>
      </c>
    </row>
    <row r="1658" spans="4:7" x14ac:dyDescent="0.25">
      <c r="D1658" t="s">
        <v>926</v>
      </c>
      <c r="E1658" t="str">
        <f t="shared" si="83"/>
        <v/>
      </c>
      <c r="F1658" s="16" t="str">
        <f t="shared" si="82"/>
        <v/>
      </c>
      <c r="G1658" t="s">
        <v>926</v>
      </c>
    </row>
    <row r="1659" spans="4:7" x14ac:dyDescent="0.25">
      <c r="D1659" t="s">
        <v>926</v>
      </c>
      <c r="E1659" t="str">
        <f t="shared" si="83"/>
        <v/>
      </c>
      <c r="F1659" s="16" t="str">
        <f t="shared" si="82"/>
        <v/>
      </c>
      <c r="G1659" t="s">
        <v>926</v>
      </c>
    </row>
    <row r="1660" spans="4:7" x14ac:dyDescent="0.25">
      <c r="D1660" t="s">
        <v>926</v>
      </c>
      <c r="E1660" t="str">
        <f t="shared" si="83"/>
        <v/>
      </c>
      <c r="F1660" s="16" t="str">
        <f t="shared" si="82"/>
        <v/>
      </c>
      <c r="G1660" t="s">
        <v>926</v>
      </c>
    </row>
    <row r="1661" spans="4:7" x14ac:dyDescent="0.25">
      <c r="D1661" t="s">
        <v>926</v>
      </c>
      <c r="E1661" t="str">
        <f t="shared" si="83"/>
        <v/>
      </c>
      <c r="F1661" s="16" t="str">
        <f t="shared" si="82"/>
        <v/>
      </c>
      <c r="G1661" t="s">
        <v>926</v>
      </c>
    </row>
    <row r="1662" spans="4:7" x14ac:dyDescent="0.25">
      <c r="D1662" t="s">
        <v>926</v>
      </c>
      <c r="E1662" t="str">
        <f t="shared" si="83"/>
        <v/>
      </c>
      <c r="F1662" s="16" t="str">
        <f t="shared" si="82"/>
        <v/>
      </c>
      <c r="G1662" t="s">
        <v>926</v>
      </c>
    </row>
    <row r="1663" spans="4:7" x14ac:dyDescent="0.25">
      <c r="D1663" t="s">
        <v>926</v>
      </c>
      <c r="E1663" t="str">
        <f t="shared" si="83"/>
        <v/>
      </c>
      <c r="F1663" s="16" t="str">
        <f t="shared" si="82"/>
        <v/>
      </c>
      <c r="G1663" t="s">
        <v>926</v>
      </c>
    </row>
    <row r="1664" spans="4:7" x14ac:dyDescent="0.25">
      <c r="D1664" t="s">
        <v>926</v>
      </c>
      <c r="E1664" t="str">
        <f t="shared" si="83"/>
        <v/>
      </c>
      <c r="F1664" s="16" t="str">
        <f t="shared" si="82"/>
        <v/>
      </c>
      <c r="G1664" t="s">
        <v>926</v>
      </c>
    </row>
    <row r="1665" spans="4:7" x14ac:dyDescent="0.25">
      <c r="D1665" t="s">
        <v>926</v>
      </c>
      <c r="E1665" t="str">
        <f t="shared" si="83"/>
        <v/>
      </c>
      <c r="F1665" s="16" t="str">
        <f t="shared" si="82"/>
        <v/>
      </c>
      <c r="G1665" t="s">
        <v>926</v>
      </c>
    </row>
    <row r="1666" spans="4:7" x14ac:dyDescent="0.25">
      <c r="D1666" t="s">
        <v>926</v>
      </c>
      <c r="E1666" t="str">
        <f t="shared" si="83"/>
        <v/>
      </c>
      <c r="F1666" s="16" t="str">
        <f t="shared" si="82"/>
        <v/>
      </c>
      <c r="G1666" t="s">
        <v>926</v>
      </c>
    </row>
    <row r="1667" spans="4:7" x14ac:dyDescent="0.25">
      <c r="D1667" t="s">
        <v>926</v>
      </c>
      <c r="E1667" t="str">
        <f t="shared" si="83"/>
        <v/>
      </c>
      <c r="F1667" s="16" t="str">
        <f t="shared" ref="F1667:F1730" si="84" xml:space="preserve"> IF(ISERROR(VLOOKUP(E1667,Imp_IVA1,2,FALSE)),"",VLOOKUP(E1667,Imp_IVA1,2,FALSE))&amp; IF(ISERROR(VLOOKUP(E1667,Imp_IVA2,2,FALSE)),"",VLOOKUP(E1667,Imp_IVA2,2,FALSE))</f>
        <v/>
      </c>
      <c r="G1667" t="s">
        <v>926</v>
      </c>
    </row>
    <row r="1668" spans="4:7" x14ac:dyDescent="0.25">
      <c r="D1668" t="s">
        <v>926</v>
      </c>
      <c r="E1668" t="str">
        <f t="shared" si="83"/>
        <v/>
      </c>
      <c r="F1668" s="16" t="str">
        <f t="shared" si="84"/>
        <v/>
      </c>
      <c r="G1668" t="s">
        <v>926</v>
      </c>
    </row>
    <row r="1669" spans="4:7" x14ac:dyDescent="0.25">
      <c r="D1669" t="s">
        <v>926</v>
      </c>
      <c r="E1669" t="str">
        <f t="shared" ref="E1669:E1732" si="85">IF(OR(E1668=$E$2,E1668=""),"",E1668+1)</f>
        <v/>
      </c>
      <c r="F1669" s="16" t="str">
        <f t="shared" si="84"/>
        <v/>
      </c>
      <c r="G1669" t="s">
        <v>926</v>
      </c>
    </row>
    <row r="1670" spans="4:7" x14ac:dyDescent="0.25">
      <c r="D1670" t="s">
        <v>926</v>
      </c>
      <c r="E1670" t="str">
        <f t="shared" si="85"/>
        <v/>
      </c>
      <c r="F1670" s="16" t="str">
        <f t="shared" si="84"/>
        <v/>
      </c>
      <c r="G1670" t="s">
        <v>926</v>
      </c>
    </row>
    <row r="1671" spans="4:7" x14ac:dyDescent="0.25">
      <c r="D1671" t="s">
        <v>926</v>
      </c>
      <c r="E1671" t="str">
        <f t="shared" si="85"/>
        <v/>
      </c>
      <c r="F1671" s="16" t="str">
        <f t="shared" si="84"/>
        <v/>
      </c>
      <c r="G1671" t="s">
        <v>926</v>
      </c>
    </row>
    <row r="1672" spans="4:7" x14ac:dyDescent="0.25">
      <c r="D1672" t="s">
        <v>926</v>
      </c>
      <c r="E1672" t="str">
        <f t="shared" si="85"/>
        <v/>
      </c>
      <c r="F1672" s="16" t="str">
        <f t="shared" si="84"/>
        <v/>
      </c>
      <c r="G1672" t="s">
        <v>926</v>
      </c>
    </row>
    <row r="1673" spans="4:7" x14ac:dyDescent="0.25">
      <c r="D1673" t="s">
        <v>926</v>
      </c>
      <c r="E1673" t="str">
        <f t="shared" si="85"/>
        <v/>
      </c>
      <c r="F1673" s="16" t="str">
        <f t="shared" si="84"/>
        <v/>
      </c>
      <c r="G1673" t="s">
        <v>926</v>
      </c>
    </row>
    <row r="1674" spans="4:7" x14ac:dyDescent="0.25">
      <c r="D1674" t="s">
        <v>926</v>
      </c>
      <c r="E1674" t="str">
        <f t="shared" si="85"/>
        <v/>
      </c>
      <c r="F1674" s="16" t="str">
        <f t="shared" si="84"/>
        <v/>
      </c>
      <c r="G1674" t="s">
        <v>926</v>
      </c>
    </row>
    <row r="1675" spans="4:7" x14ac:dyDescent="0.25">
      <c r="D1675" t="s">
        <v>926</v>
      </c>
      <c r="E1675" t="str">
        <f t="shared" si="85"/>
        <v/>
      </c>
      <c r="F1675" s="16" t="str">
        <f t="shared" si="84"/>
        <v/>
      </c>
      <c r="G1675" t="s">
        <v>926</v>
      </c>
    </row>
    <row r="1676" spans="4:7" x14ac:dyDescent="0.25">
      <c r="D1676" t="s">
        <v>926</v>
      </c>
      <c r="E1676" t="str">
        <f t="shared" si="85"/>
        <v/>
      </c>
      <c r="F1676" s="16" t="str">
        <f t="shared" si="84"/>
        <v/>
      </c>
      <c r="G1676" t="s">
        <v>926</v>
      </c>
    </row>
    <row r="1677" spans="4:7" x14ac:dyDescent="0.25">
      <c r="D1677" t="s">
        <v>926</v>
      </c>
      <c r="E1677" t="str">
        <f t="shared" si="85"/>
        <v/>
      </c>
      <c r="F1677" s="16" t="str">
        <f t="shared" si="84"/>
        <v/>
      </c>
      <c r="G1677" t="s">
        <v>926</v>
      </c>
    </row>
    <row r="1678" spans="4:7" x14ac:dyDescent="0.25">
      <c r="D1678" t="s">
        <v>926</v>
      </c>
      <c r="E1678" t="str">
        <f t="shared" si="85"/>
        <v/>
      </c>
      <c r="F1678" s="16" t="str">
        <f t="shared" si="84"/>
        <v/>
      </c>
      <c r="G1678" t="s">
        <v>926</v>
      </c>
    </row>
    <row r="1679" spans="4:7" x14ac:dyDescent="0.25">
      <c r="D1679" t="s">
        <v>926</v>
      </c>
      <c r="E1679" t="str">
        <f t="shared" si="85"/>
        <v/>
      </c>
      <c r="F1679" s="16" t="str">
        <f t="shared" si="84"/>
        <v/>
      </c>
      <c r="G1679" t="s">
        <v>926</v>
      </c>
    </row>
    <row r="1680" spans="4:7" x14ac:dyDescent="0.25">
      <c r="D1680" t="s">
        <v>926</v>
      </c>
      <c r="E1680" t="str">
        <f t="shared" si="85"/>
        <v/>
      </c>
      <c r="F1680" s="16" t="str">
        <f t="shared" si="84"/>
        <v/>
      </c>
      <c r="G1680" t="s">
        <v>926</v>
      </c>
    </row>
    <row r="1681" spans="4:7" x14ac:dyDescent="0.25">
      <c r="D1681" t="s">
        <v>926</v>
      </c>
      <c r="E1681" t="str">
        <f t="shared" si="85"/>
        <v/>
      </c>
      <c r="F1681" s="16" t="str">
        <f t="shared" si="84"/>
        <v/>
      </c>
      <c r="G1681" t="s">
        <v>926</v>
      </c>
    </row>
    <row r="1682" spans="4:7" x14ac:dyDescent="0.25">
      <c r="D1682" t="s">
        <v>926</v>
      </c>
      <c r="E1682" t="str">
        <f t="shared" si="85"/>
        <v/>
      </c>
      <c r="F1682" s="16" t="str">
        <f t="shared" si="84"/>
        <v/>
      </c>
      <c r="G1682" t="s">
        <v>926</v>
      </c>
    </row>
    <row r="1683" spans="4:7" x14ac:dyDescent="0.25">
      <c r="D1683" t="s">
        <v>926</v>
      </c>
      <c r="E1683" t="str">
        <f t="shared" si="85"/>
        <v/>
      </c>
      <c r="F1683" s="16" t="str">
        <f t="shared" si="84"/>
        <v/>
      </c>
      <c r="G1683" t="s">
        <v>926</v>
      </c>
    </row>
    <row r="1684" spans="4:7" x14ac:dyDescent="0.25">
      <c r="D1684" t="s">
        <v>926</v>
      </c>
      <c r="E1684" t="str">
        <f t="shared" si="85"/>
        <v/>
      </c>
      <c r="F1684" s="16" t="str">
        <f t="shared" si="84"/>
        <v/>
      </c>
      <c r="G1684" t="s">
        <v>926</v>
      </c>
    </row>
    <row r="1685" spans="4:7" x14ac:dyDescent="0.25">
      <c r="D1685" t="s">
        <v>926</v>
      </c>
      <c r="E1685" t="str">
        <f t="shared" si="85"/>
        <v/>
      </c>
      <c r="F1685" s="16" t="str">
        <f t="shared" si="84"/>
        <v/>
      </c>
      <c r="G1685" t="s">
        <v>926</v>
      </c>
    </row>
    <row r="1686" spans="4:7" x14ac:dyDescent="0.25">
      <c r="D1686" t="s">
        <v>926</v>
      </c>
      <c r="E1686" t="str">
        <f t="shared" si="85"/>
        <v/>
      </c>
      <c r="F1686" s="16" t="str">
        <f t="shared" si="84"/>
        <v/>
      </c>
      <c r="G1686" t="s">
        <v>926</v>
      </c>
    </row>
    <row r="1687" spans="4:7" x14ac:dyDescent="0.25">
      <c r="D1687" t="s">
        <v>926</v>
      </c>
      <c r="E1687" t="str">
        <f t="shared" si="85"/>
        <v/>
      </c>
      <c r="F1687" s="16" t="str">
        <f t="shared" si="84"/>
        <v/>
      </c>
      <c r="G1687" t="s">
        <v>926</v>
      </c>
    </row>
    <row r="1688" spans="4:7" x14ac:dyDescent="0.25">
      <c r="D1688" t="s">
        <v>926</v>
      </c>
      <c r="E1688" t="str">
        <f t="shared" si="85"/>
        <v/>
      </c>
      <c r="F1688" s="16" t="str">
        <f t="shared" si="84"/>
        <v/>
      </c>
      <c r="G1688" t="s">
        <v>926</v>
      </c>
    </row>
    <row r="1689" spans="4:7" x14ac:dyDescent="0.25">
      <c r="D1689" t="s">
        <v>926</v>
      </c>
      <c r="E1689" t="str">
        <f t="shared" si="85"/>
        <v/>
      </c>
      <c r="F1689" s="16" t="str">
        <f t="shared" si="84"/>
        <v/>
      </c>
      <c r="G1689" t="s">
        <v>926</v>
      </c>
    </row>
    <row r="1690" spans="4:7" x14ac:dyDescent="0.25">
      <c r="D1690" t="s">
        <v>926</v>
      </c>
      <c r="E1690" t="str">
        <f t="shared" si="85"/>
        <v/>
      </c>
      <c r="F1690" s="16" t="str">
        <f t="shared" si="84"/>
        <v/>
      </c>
      <c r="G1690" t="s">
        <v>926</v>
      </c>
    </row>
    <row r="1691" spans="4:7" x14ac:dyDescent="0.25">
      <c r="D1691" t="s">
        <v>926</v>
      </c>
      <c r="E1691" t="str">
        <f t="shared" si="85"/>
        <v/>
      </c>
      <c r="F1691" s="16" t="str">
        <f t="shared" si="84"/>
        <v/>
      </c>
      <c r="G1691" t="s">
        <v>926</v>
      </c>
    </row>
    <row r="1692" spans="4:7" x14ac:dyDescent="0.25">
      <c r="D1692" t="s">
        <v>926</v>
      </c>
      <c r="E1692" t="str">
        <f t="shared" si="85"/>
        <v/>
      </c>
      <c r="F1692" s="16" t="str">
        <f t="shared" si="84"/>
        <v/>
      </c>
      <c r="G1692" t="s">
        <v>926</v>
      </c>
    </row>
    <row r="1693" spans="4:7" x14ac:dyDescent="0.25">
      <c r="D1693" t="s">
        <v>926</v>
      </c>
      <c r="E1693" t="str">
        <f t="shared" si="85"/>
        <v/>
      </c>
      <c r="F1693" s="16" t="str">
        <f t="shared" si="84"/>
        <v/>
      </c>
      <c r="G1693" t="s">
        <v>926</v>
      </c>
    </row>
    <row r="1694" spans="4:7" x14ac:dyDescent="0.25">
      <c r="D1694" t="s">
        <v>926</v>
      </c>
      <c r="E1694" t="str">
        <f t="shared" si="85"/>
        <v/>
      </c>
      <c r="F1694" s="16" t="str">
        <f t="shared" si="84"/>
        <v/>
      </c>
      <c r="G1694" t="s">
        <v>926</v>
      </c>
    </row>
    <row r="1695" spans="4:7" x14ac:dyDescent="0.25">
      <c r="D1695" t="s">
        <v>926</v>
      </c>
      <c r="E1695" t="str">
        <f t="shared" si="85"/>
        <v/>
      </c>
      <c r="F1695" s="16" t="str">
        <f t="shared" si="84"/>
        <v/>
      </c>
      <c r="G1695" t="s">
        <v>926</v>
      </c>
    </row>
    <row r="1696" spans="4:7" x14ac:dyDescent="0.25">
      <c r="D1696" t="s">
        <v>926</v>
      </c>
      <c r="E1696" t="str">
        <f t="shared" si="85"/>
        <v/>
      </c>
      <c r="F1696" s="16" t="str">
        <f t="shared" si="84"/>
        <v/>
      </c>
      <c r="G1696" t="s">
        <v>926</v>
      </c>
    </row>
    <row r="1697" spans="4:7" x14ac:dyDescent="0.25">
      <c r="D1697" t="s">
        <v>926</v>
      </c>
      <c r="E1697" t="str">
        <f t="shared" si="85"/>
        <v/>
      </c>
      <c r="F1697" s="16" t="str">
        <f t="shared" si="84"/>
        <v/>
      </c>
      <c r="G1697" t="s">
        <v>926</v>
      </c>
    </row>
    <row r="1698" spans="4:7" x14ac:dyDescent="0.25">
      <c r="D1698" t="s">
        <v>926</v>
      </c>
      <c r="E1698" t="str">
        <f t="shared" si="85"/>
        <v/>
      </c>
      <c r="F1698" s="16" t="str">
        <f t="shared" si="84"/>
        <v/>
      </c>
      <c r="G1698" t="s">
        <v>926</v>
      </c>
    </row>
    <row r="1699" spans="4:7" x14ac:dyDescent="0.25">
      <c r="D1699" t="s">
        <v>926</v>
      </c>
      <c r="E1699" t="str">
        <f t="shared" si="85"/>
        <v/>
      </c>
      <c r="F1699" s="16" t="str">
        <f t="shared" si="84"/>
        <v/>
      </c>
      <c r="G1699" t="s">
        <v>926</v>
      </c>
    </row>
    <row r="1700" spans="4:7" x14ac:dyDescent="0.25">
      <c r="D1700" t="s">
        <v>926</v>
      </c>
      <c r="E1700" t="str">
        <f t="shared" si="85"/>
        <v/>
      </c>
      <c r="F1700" s="16" t="str">
        <f t="shared" si="84"/>
        <v/>
      </c>
      <c r="G1700" t="s">
        <v>926</v>
      </c>
    </row>
    <row r="1701" spans="4:7" x14ac:dyDescent="0.25">
      <c r="D1701" t="s">
        <v>926</v>
      </c>
      <c r="E1701" t="str">
        <f t="shared" si="85"/>
        <v/>
      </c>
      <c r="F1701" s="16" t="str">
        <f t="shared" si="84"/>
        <v/>
      </c>
      <c r="G1701" t="s">
        <v>926</v>
      </c>
    </row>
    <row r="1702" spans="4:7" x14ac:dyDescent="0.25">
      <c r="D1702" t="s">
        <v>926</v>
      </c>
      <c r="E1702" t="str">
        <f t="shared" si="85"/>
        <v/>
      </c>
      <c r="F1702" s="16" t="str">
        <f t="shared" si="84"/>
        <v/>
      </c>
      <c r="G1702" t="s">
        <v>926</v>
      </c>
    </row>
    <row r="1703" spans="4:7" x14ac:dyDescent="0.25">
      <c r="D1703" t="s">
        <v>926</v>
      </c>
      <c r="E1703" t="str">
        <f t="shared" si="85"/>
        <v/>
      </c>
      <c r="F1703" s="16" t="str">
        <f t="shared" si="84"/>
        <v/>
      </c>
      <c r="G1703" t="s">
        <v>926</v>
      </c>
    </row>
    <row r="1704" spans="4:7" x14ac:dyDescent="0.25">
      <c r="D1704" t="s">
        <v>926</v>
      </c>
      <c r="E1704" t="str">
        <f t="shared" si="85"/>
        <v/>
      </c>
      <c r="F1704" s="16" t="str">
        <f t="shared" si="84"/>
        <v/>
      </c>
      <c r="G1704" t="s">
        <v>926</v>
      </c>
    </row>
    <row r="1705" spans="4:7" x14ac:dyDescent="0.25">
      <c r="D1705" t="s">
        <v>926</v>
      </c>
      <c r="E1705" t="str">
        <f t="shared" si="85"/>
        <v/>
      </c>
      <c r="F1705" s="16" t="str">
        <f t="shared" si="84"/>
        <v/>
      </c>
      <c r="G1705" t="s">
        <v>926</v>
      </c>
    </row>
    <row r="1706" spans="4:7" x14ac:dyDescent="0.25">
      <c r="D1706" t="s">
        <v>926</v>
      </c>
      <c r="E1706" t="str">
        <f t="shared" si="85"/>
        <v/>
      </c>
      <c r="F1706" s="16" t="str">
        <f t="shared" si="84"/>
        <v/>
      </c>
      <c r="G1706" t="s">
        <v>926</v>
      </c>
    </row>
    <row r="1707" spans="4:7" x14ac:dyDescent="0.25">
      <c r="D1707" t="s">
        <v>926</v>
      </c>
      <c r="E1707" t="str">
        <f t="shared" si="85"/>
        <v/>
      </c>
      <c r="F1707" s="16" t="str">
        <f t="shared" si="84"/>
        <v/>
      </c>
      <c r="G1707" t="s">
        <v>926</v>
      </c>
    </row>
    <row r="1708" spans="4:7" x14ac:dyDescent="0.25">
      <c r="D1708" t="s">
        <v>926</v>
      </c>
      <c r="E1708" t="str">
        <f t="shared" si="85"/>
        <v/>
      </c>
      <c r="F1708" s="16" t="str">
        <f t="shared" si="84"/>
        <v/>
      </c>
      <c r="G1708" t="s">
        <v>926</v>
      </c>
    </row>
    <row r="1709" spans="4:7" x14ac:dyDescent="0.25">
      <c r="D1709" t="s">
        <v>926</v>
      </c>
      <c r="E1709" t="str">
        <f t="shared" si="85"/>
        <v/>
      </c>
      <c r="F1709" s="16" t="str">
        <f t="shared" si="84"/>
        <v/>
      </c>
      <c r="G1709" t="s">
        <v>926</v>
      </c>
    </row>
    <row r="1710" spans="4:7" x14ac:dyDescent="0.25">
      <c r="D1710" t="s">
        <v>926</v>
      </c>
      <c r="E1710" t="str">
        <f t="shared" si="85"/>
        <v/>
      </c>
      <c r="F1710" s="16" t="str">
        <f t="shared" si="84"/>
        <v/>
      </c>
      <c r="G1710" t="s">
        <v>926</v>
      </c>
    </row>
    <row r="1711" spans="4:7" x14ac:dyDescent="0.25">
      <c r="D1711" t="s">
        <v>926</v>
      </c>
      <c r="E1711" t="str">
        <f t="shared" si="85"/>
        <v/>
      </c>
      <c r="F1711" s="16" t="str">
        <f t="shared" si="84"/>
        <v/>
      </c>
      <c r="G1711" t="s">
        <v>926</v>
      </c>
    </row>
    <row r="1712" spans="4:7" x14ac:dyDescent="0.25">
      <c r="D1712" t="s">
        <v>926</v>
      </c>
      <c r="E1712" t="str">
        <f t="shared" si="85"/>
        <v/>
      </c>
      <c r="F1712" s="16" t="str">
        <f t="shared" si="84"/>
        <v/>
      </c>
      <c r="G1712" t="s">
        <v>926</v>
      </c>
    </row>
    <row r="1713" spans="4:7" x14ac:dyDescent="0.25">
      <c r="D1713" t="s">
        <v>926</v>
      </c>
      <c r="E1713" t="str">
        <f t="shared" si="85"/>
        <v/>
      </c>
      <c r="F1713" s="16" t="str">
        <f t="shared" si="84"/>
        <v/>
      </c>
      <c r="G1713" t="s">
        <v>926</v>
      </c>
    </row>
    <row r="1714" spans="4:7" x14ac:dyDescent="0.25">
      <c r="D1714" t="s">
        <v>926</v>
      </c>
      <c r="E1714" t="str">
        <f t="shared" si="85"/>
        <v/>
      </c>
      <c r="F1714" s="16" t="str">
        <f t="shared" si="84"/>
        <v/>
      </c>
      <c r="G1714" t="s">
        <v>926</v>
      </c>
    </row>
    <row r="1715" spans="4:7" x14ac:dyDescent="0.25">
      <c r="D1715" t="s">
        <v>926</v>
      </c>
      <c r="E1715" t="str">
        <f t="shared" si="85"/>
        <v/>
      </c>
      <c r="F1715" s="16" t="str">
        <f t="shared" si="84"/>
        <v/>
      </c>
      <c r="G1715" t="s">
        <v>926</v>
      </c>
    </row>
    <row r="1716" spans="4:7" x14ac:dyDescent="0.25">
      <c r="D1716" t="s">
        <v>926</v>
      </c>
      <c r="E1716" t="str">
        <f t="shared" si="85"/>
        <v/>
      </c>
      <c r="F1716" s="16" t="str">
        <f t="shared" si="84"/>
        <v/>
      </c>
      <c r="G1716" t="s">
        <v>926</v>
      </c>
    </row>
    <row r="1717" spans="4:7" x14ac:dyDescent="0.25">
      <c r="D1717" t="s">
        <v>926</v>
      </c>
      <c r="E1717" t="str">
        <f t="shared" si="85"/>
        <v/>
      </c>
      <c r="F1717" s="16" t="str">
        <f t="shared" si="84"/>
        <v/>
      </c>
      <c r="G1717" t="s">
        <v>926</v>
      </c>
    </row>
    <row r="1718" spans="4:7" x14ac:dyDescent="0.25">
      <c r="D1718" t="s">
        <v>926</v>
      </c>
      <c r="E1718" t="str">
        <f t="shared" si="85"/>
        <v/>
      </c>
      <c r="F1718" s="16" t="str">
        <f t="shared" si="84"/>
        <v/>
      </c>
      <c r="G1718" t="s">
        <v>926</v>
      </c>
    </row>
    <row r="1719" spans="4:7" x14ac:dyDescent="0.25">
      <c r="D1719" t="s">
        <v>926</v>
      </c>
      <c r="E1719" t="str">
        <f t="shared" si="85"/>
        <v/>
      </c>
      <c r="F1719" s="16" t="str">
        <f t="shared" si="84"/>
        <v/>
      </c>
      <c r="G1719" t="s">
        <v>926</v>
      </c>
    </row>
    <row r="1720" spans="4:7" x14ac:dyDescent="0.25">
      <c r="D1720" t="s">
        <v>926</v>
      </c>
      <c r="E1720" t="str">
        <f t="shared" si="85"/>
        <v/>
      </c>
      <c r="F1720" s="16" t="str">
        <f t="shared" si="84"/>
        <v/>
      </c>
      <c r="G1720" t="s">
        <v>926</v>
      </c>
    </row>
    <row r="1721" spans="4:7" x14ac:dyDescent="0.25">
      <c r="D1721" t="s">
        <v>926</v>
      </c>
      <c r="E1721" t="str">
        <f t="shared" si="85"/>
        <v/>
      </c>
      <c r="F1721" s="16" t="str">
        <f t="shared" si="84"/>
        <v/>
      </c>
      <c r="G1721" t="s">
        <v>926</v>
      </c>
    </row>
    <row r="1722" spans="4:7" x14ac:dyDescent="0.25">
      <c r="D1722" t="s">
        <v>926</v>
      </c>
      <c r="E1722" t="str">
        <f t="shared" si="85"/>
        <v/>
      </c>
      <c r="F1722" s="16" t="str">
        <f t="shared" si="84"/>
        <v/>
      </c>
      <c r="G1722" t="s">
        <v>926</v>
      </c>
    </row>
    <row r="1723" spans="4:7" x14ac:dyDescent="0.25">
      <c r="D1723" t="s">
        <v>926</v>
      </c>
      <c r="E1723" t="str">
        <f t="shared" si="85"/>
        <v/>
      </c>
      <c r="F1723" s="16" t="str">
        <f t="shared" si="84"/>
        <v/>
      </c>
      <c r="G1723" t="s">
        <v>926</v>
      </c>
    </row>
    <row r="1724" spans="4:7" x14ac:dyDescent="0.25">
      <c r="D1724" t="s">
        <v>926</v>
      </c>
      <c r="E1724" t="str">
        <f t="shared" si="85"/>
        <v/>
      </c>
      <c r="F1724" s="16" t="str">
        <f t="shared" si="84"/>
        <v/>
      </c>
      <c r="G1724" t="s">
        <v>926</v>
      </c>
    </row>
    <row r="1725" spans="4:7" x14ac:dyDescent="0.25">
      <c r="D1725" t="s">
        <v>926</v>
      </c>
      <c r="E1725" t="str">
        <f t="shared" si="85"/>
        <v/>
      </c>
      <c r="F1725" s="16" t="str">
        <f t="shared" si="84"/>
        <v/>
      </c>
      <c r="G1725" t="s">
        <v>926</v>
      </c>
    </row>
    <row r="1726" spans="4:7" x14ac:dyDescent="0.25">
      <c r="D1726" t="s">
        <v>926</v>
      </c>
      <c r="E1726" t="str">
        <f t="shared" si="85"/>
        <v/>
      </c>
      <c r="F1726" s="16" t="str">
        <f t="shared" si="84"/>
        <v/>
      </c>
      <c r="G1726" t="s">
        <v>926</v>
      </c>
    </row>
    <row r="1727" spans="4:7" x14ac:dyDescent="0.25">
      <c r="D1727" t="s">
        <v>926</v>
      </c>
      <c r="E1727" t="str">
        <f t="shared" si="85"/>
        <v/>
      </c>
      <c r="F1727" s="16" t="str">
        <f t="shared" si="84"/>
        <v/>
      </c>
      <c r="G1727" t="s">
        <v>926</v>
      </c>
    </row>
    <row r="1728" spans="4:7" x14ac:dyDescent="0.25">
      <c r="D1728" t="s">
        <v>926</v>
      </c>
      <c r="E1728" t="str">
        <f t="shared" si="85"/>
        <v/>
      </c>
      <c r="F1728" s="16" t="str">
        <f t="shared" si="84"/>
        <v/>
      </c>
      <c r="G1728" t="s">
        <v>926</v>
      </c>
    </row>
    <row r="1729" spans="4:7" x14ac:dyDescent="0.25">
      <c r="D1729" t="s">
        <v>926</v>
      </c>
      <c r="E1729" t="str">
        <f t="shared" si="85"/>
        <v/>
      </c>
      <c r="F1729" s="16" t="str">
        <f t="shared" si="84"/>
        <v/>
      </c>
      <c r="G1729" t="s">
        <v>926</v>
      </c>
    </row>
    <row r="1730" spans="4:7" x14ac:dyDescent="0.25">
      <c r="D1730" t="s">
        <v>926</v>
      </c>
      <c r="E1730" t="str">
        <f t="shared" si="85"/>
        <v/>
      </c>
      <c r="F1730" s="16" t="str">
        <f t="shared" si="84"/>
        <v/>
      </c>
      <c r="G1730" t="s">
        <v>926</v>
      </c>
    </row>
    <row r="1731" spans="4:7" x14ac:dyDescent="0.25">
      <c r="D1731" t="s">
        <v>926</v>
      </c>
      <c r="E1731" t="str">
        <f t="shared" si="85"/>
        <v/>
      </c>
      <c r="F1731" s="16" t="str">
        <f t="shared" ref="F1731:F1794" si="86" xml:space="preserve"> IF(ISERROR(VLOOKUP(E1731,Imp_IVA1,2,FALSE)),"",VLOOKUP(E1731,Imp_IVA1,2,FALSE))&amp; IF(ISERROR(VLOOKUP(E1731,Imp_IVA2,2,FALSE)),"",VLOOKUP(E1731,Imp_IVA2,2,FALSE))</f>
        <v/>
      </c>
      <c r="G1731" t="s">
        <v>926</v>
      </c>
    </row>
    <row r="1732" spans="4:7" x14ac:dyDescent="0.25">
      <c r="D1732" t="s">
        <v>926</v>
      </c>
      <c r="E1732" t="str">
        <f t="shared" si="85"/>
        <v/>
      </c>
      <c r="F1732" s="16" t="str">
        <f t="shared" si="86"/>
        <v/>
      </c>
      <c r="G1732" t="s">
        <v>926</v>
      </c>
    </row>
    <row r="1733" spans="4:7" x14ac:dyDescent="0.25">
      <c r="D1733" t="s">
        <v>926</v>
      </c>
      <c r="E1733" t="str">
        <f t="shared" ref="E1733:E1796" si="87">IF(OR(E1732=$E$2,E1732=""),"",E1732+1)</f>
        <v/>
      </c>
      <c r="F1733" s="16" t="str">
        <f t="shared" si="86"/>
        <v/>
      </c>
      <c r="G1733" t="s">
        <v>926</v>
      </c>
    </row>
    <row r="1734" spans="4:7" x14ac:dyDescent="0.25">
      <c r="D1734" t="s">
        <v>926</v>
      </c>
      <c r="E1734" t="str">
        <f t="shared" si="87"/>
        <v/>
      </c>
      <c r="F1734" s="16" t="str">
        <f t="shared" si="86"/>
        <v/>
      </c>
      <c r="G1734" t="s">
        <v>926</v>
      </c>
    </row>
    <row r="1735" spans="4:7" x14ac:dyDescent="0.25">
      <c r="D1735" t="s">
        <v>926</v>
      </c>
      <c r="E1735" t="str">
        <f t="shared" si="87"/>
        <v/>
      </c>
      <c r="F1735" s="16" t="str">
        <f t="shared" si="86"/>
        <v/>
      </c>
      <c r="G1735" t="s">
        <v>926</v>
      </c>
    </row>
    <row r="1736" spans="4:7" x14ac:dyDescent="0.25">
      <c r="D1736" t="s">
        <v>926</v>
      </c>
      <c r="E1736" t="str">
        <f t="shared" si="87"/>
        <v/>
      </c>
      <c r="F1736" s="16" t="str">
        <f t="shared" si="86"/>
        <v/>
      </c>
      <c r="G1736" t="s">
        <v>926</v>
      </c>
    </row>
    <row r="1737" spans="4:7" x14ac:dyDescent="0.25">
      <c r="D1737" t="s">
        <v>926</v>
      </c>
      <c r="E1737" t="str">
        <f t="shared" si="87"/>
        <v/>
      </c>
      <c r="F1737" s="16" t="str">
        <f t="shared" si="86"/>
        <v/>
      </c>
      <c r="G1737" t="s">
        <v>926</v>
      </c>
    </row>
    <row r="1738" spans="4:7" x14ac:dyDescent="0.25">
      <c r="D1738" t="s">
        <v>926</v>
      </c>
      <c r="E1738" t="str">
        <f t="shared" si="87"/>
        <v/>
      </c>
      <c r="F1738" s="16" t="str">
        <f t="shared" si="86"/>
        <v/>
      </c>
      <c r="G1738" t="s">
        <v>926</v>
      </c>
    </row>
    <row r="1739" spans="4:7" x14ac:dyDescent="0.25">
      <c r="D1739" t="s">
        <v>926</v>
      </c>
      <c r="E1739" t="str">
        <f t="shared" si="87"/>
        <v/>
      </c>
      <c r="F1739" s="16" t="str">
        <f t="shared" si="86"/>
        <v/>
      </c>
      <c r="G1739" t="s">
        <v>926</v>
      </c>
    </row>
    <row r="1740" spans="4:7" x14ac:dyDescent="0.25">
      <c r="D1740" t="s">
        <v>926</v>
      </c>
      <c r="E1740" t="str">
        <f t="shared" si="87"/>
        <v/>
      </c>
      <c r="F1740" s="16" t="str">
        <f t="shared" si="86"/>
        <v/>
      </c>
      <c r="G1740" t="s">
        <v>926</v>
      </c>
    </row>
    <row r="1741" spans="4:7" x14ac:dyDescent="0.25">
      <c r="D1741" t="s">
        <v>926</v>
      </c>
      <c r="E1741" t="str">
        <f t="shared" si="87"/>
        <v/>
      </c>
      <c r="F1741" s="16" t="str">
        <f t="shared" si="86"/>
        <v/>
      </c>
      <c r="G1741" t="s">
        <v>926</v>
      </c>
    </row>
    <row r="1742" spans="4:7" x14ac:dyDescent="0.25">
      <c r="D1742" t="s">
        <v>926</v>
      </c>
      <c r="E1742" t="str">
        <f t="shared" si="87"/>
        <v/>
      </c>
      <c r="F1742" s="16" t="str">
        <f t="shared" si="86"/>
        <v/>
      </c>
      <c r="G1742" t="s">
        <v>926</v>
      </c>
    </row>
    <row r="1743" spans="4:7" x14ac:dyDescent="0.25">
      <c r="D1743" t="s">
        <v>926</v>
      </c>
      <c r="E1743" t="str">
        <f t="shared" si="87"/>
        <v/>
      </c>
      <c r="F1743" s="16" t="str">
        <f t="shared" si="86"/>
        <v/>
      </c>
      <c r="G1743" t="s">
        <v>926</v>
      </c>
    </row>
    <row r="1744" spans="4:7" x14ac:dyDescent="0.25">
      <c r="D1744" t="s">
        <v>926</v>
      </c>
      <c r="E1744" t="str">
        <f t="shared" si="87"/>
        <v/>
      </c>
      <c r="F1744" s="16" t="str">
        <f t="shared" si="86"/>
        <v/>
      </c>
      <c r="G1744" t="s">
        <v>926</v>
      </c>
    </row>
    <row r="1745" spans="4:7" x14ac:dyDescent="0.25">
      <c r="D1745" t="s">
        <v>926</v>
      </c>
      <c r="E1745" t="str">
        <f t="shared" si="87"/>
        <v/>
      </c>
      <c r="F1745" s="16" t="str">
        <f t="shared" si="86"/>
        <v/>
      </c>
      <c r="G1745" t="s">
        <v>926</v>
      </c>
    </row>
    <row r="1746" spans="4:7" x14ac:dyDescent="0.25">
      <c r="D1746" t="s">
        <v>926</v>
      </c>
      <c r="E1746" t="str">
        <f t="shared" si="87"/>
        <v/>
      </c>
      <c r="F1746" s="16" t="str">
        <f t="shared" si="86"/>
        <v/>
      </c>
      <c r="G1746" t="s">
        <v>926</v>
      </c>
    </row>
    <row r="1747" spans="4:7" x14ac:dyDescent="0.25">
      <c r="D1747" t="s">
        <v>926</v>
      </c>
      <c r="E1747" t="str">
        <f t="shared" si="87"/>
        <v/>
      </c>
      <c r="F1747" s="16" t="str">
        <f t="shared" si="86"/>
        <v/>
      </c>
      <c r="G1747" t="s">
        <v>926</v>
      </c>
    </row>
    <row r="1748" spans="4:7" x14ac:dyDescent="0.25">
      <c r="D1748" t="s">
        <v>926</v>
      </c>
      <c r="E1748" t="str">
        <f t="shared" si="87"/>
        <v/>
      </c>
      <c r="F1748" s="16" t="str">
        <f t="shared" si="86"/>
        <v/>
      </c>
      <c r="G1748" t="s">
        <v>926</v>
      </c>
    </row>
    <row r="1749" spans="4:7" x14ac:dyDescent="0.25">
      <c r="D1749" t="s">
        <v>926</v>
      </c>
      <c r="E1749" t="str">
        <f t="shared" si="87"/>
        <v/>
      </c>
      <c r="F1749" s="16" t="str">
        <f t="shared" si="86"/>
        <v/>
      </c>
      <c r="G1749" t="s">
        <v>926</v>
      </c>
    </row>
    <row r="1750" spans="4:7" x14ac:dyDescent="0.25">
      <c r="D1750" t="s">
        <v>926</v>
      </c>
      <c r="E1750" t="str">
        <f t="shared" si="87"/>
        <v/>
      </c>
      <c r="F1750" s="16" t="str">
        <f t="shared" si="86"/>
        <v/>
      </c>
      <c r="G1750" t="s">
        <v>926</v>
      </c>
    </row>
    <row r="1751" spans="4:7" x14ac:dyDescent="0.25">
      <c r="D1751" t="s">
        <v>926</v>
      </c>
      <c r="E1751" t="str">
        <f t="shared" si="87"/>
        <v/>
      </c>
      <c r="F1751" s="16" t="str">
        <f t="shared" si="86"/>
        <v/>
      </c>
      <c r="G1751" t="s">
        <v>926</v>
      </c>
    </row>
    <row r="1752" spans="4:7" x14ac:dyDescent="0.25">
      <c r="D1752" t="s">
        <v>926</v>
      </c>
      <c r="E1752" t="str">
        <f t="shared" si="87"/>
        <v/>
      </c>
      <c r="F1752" s="16" t="str">
        <f t="shared" si="86"/>
        <v/>
      </c>
      <c r="G1752" t="s">
        <v>926</v>
      </c>
    </row>
    <row r="1753" spans="4:7" x14ac:dyDescent="0.25">
      <c r="D1753" t="s">
        <v>926</v>
      </c>
      <c r="E1753" t="str">
        <f t="shared" si="87"/>
        <v/>
      </c>
      <c r="F1753" s="16" t="str">
        <f t="shared" si="86"/>
        <v/>
      </c>
      <c r="G1753" t="s">
        <v>926</v>
      </c>
    </row>
    <row r="1754" spans="4:7" x14ac:dyDescent="0.25">
      <c r="D1754" t="s">
        <v>926</v>
      </c>
      <c r="E1754" t="str">
        <f t="shared" si="87"/>
        <v/>
      </c>
      <c r="F1754" s="16" t="str">
        <f t="shared" si="86"/>
        <v/>
      </c>
      <c r="G1754" t="s">
        <v>926</v>
      </c>
    </row>
    <row r="1755" spans="4:7" x14ac:dyDescent="0.25">
      <c r="D1755" t="s">
        <v>926</v>
      </c>
      <c r="E1755" t="str">
        <f t="shared" si="87"/>
        <v/>
      </c>
      <c r="F1755" s="16" t="str">
        <f t="shared" si="86"/>
        <v/>
      </c>
      <c r="G1755" t="s">
        <v>926</v>
      </c>
    </row>
    <row r="1756" spans="4:7" x14ac:dyDescent="0.25">
      <c r="D1756" t="s">
        <v>926</v>
      </c>
      <c r="E1756" t="str">
        <f t="shared" si="87"/>
        <v/>
      </c>
      <c r="F1756" s="16" t="str">
        <f t="shared" si="86"/>
        <v/>
      </c>
      <c r="G1756" t="s">
        <v>926</v>
      </c>
    </row>
    <row r="1757" spans="4:7" x14ac:dyDescent="0.25">
      <c r="D1757" t="s">
        <v>926</v>
      </c>
      <c r="E1757" t="str">
        <f t="shared" si="87"/>
        <v/>
      </c>
      <c r="F1757" s="16" t="str">
        <f t="shared" si="86"/>
        <v/>
      </c>
      <c r="G1757" t="s">
        <v>926</v>
      </c>
    </row>
    <row r="1758" spans="4:7" x14ac:dyDescent="0.25">
      <c r="D1758" t="s">
        <v>926</v>
      </c>
      <c r="E1758" t="str">
        <f t="shared" si="87"/>
        <v/>
      </c>
      <c r="F1758" s="16" t="str">
        <f t="shared" si="86"/>
        <v/>
      </c>
      <c r="G1758" t="s">
        <v>926</v>
      </c>
    </row>
    <row r="1759" spans="4:7" x14ac:dyDescent="0.25">
      <c r="D1759" t="s">
        <v>926</v>
      </c>
      <c r="E1759" t="str">
        <f t="shared" si="87"/>
        <v/>
      </c>
      <c r="F1759" s="16" t="str">
        <f t="shared" si="86"/>
        <v/>
      </c>
      <c r="G1759" t="s">
        <v>926</v>
      </c>
    </row>
    <row r="1760" spans="4:7" x14ac:dyDescent="0.25">
      <c r="D1760" t="s">
        <v>926</v>
      </c>
      <c r="E1760" t="str">
        <f t="shared" si="87"/>
        <v/>
      </c>
      <c r="F1760" s="16" t="str">
        <f t="shared" si="86"/>
        <v/>
      </c>
      <c r="G1760" t="s">
        <v>926</v>
      </c>
    </row>
    <row r="1761" spans="4:7" x14ac:dyDescent="0.25">
      <c r="D1761" t="s">
        <v>926</v>
      </c>
      <c r="E1761" t="str">
        <f t="shared" si="87"/>
        <v/>
      </c>
      <c r="F1761" s="16" t="str">
        <f t="shared" si="86"/>
        <v/>
      </c>
      <c r="G1761" t="s">
        <v>926</v>
      </c>
    </row>
    <row r="1762" spans="4:7" x14ac:dyDescent="0.25">
      <c r="D1762" t="s">
        <v>926</v>
      </c>
      <c r="E1762" t="str">
        <f t="shared" si="87"/>
        <v/>
      </c>
      <c r="F1762" s="16" t="str">
        <f t="shared" si="86"/>
        <v/>
      </c>
      <c r="G1762" t="s">
        <v>926</v>
      </c>
    </row>
    <row r="1763" spans="4:7" x14ac:dyDescent="0.25">
      <c r="D1763" t="s">
        <v>926</v>
      </c>
      <c r="E1763" t="str">
        <f t="shared" si="87"/>
        <v/>
      </c>
      <c r="F1763" s="16" t="str">
        <f t="shared" si="86"/>
        <v/>
      </c>
      <c r="G1763" t="s">
        <v>926</v>
      </c>
    </row>
    <row r="1764" spans="4:7" x14ac:dyDescent="0.25">
      <c r="D1764" t="s">
        <v>926</v>
      </c>
      <c r="E1764" t="str">
        <f t="shared" si="87"/>
        <v/>
      </c>
      <c r="F1764" s="16" t="str">
        <f t="shared" si="86"/>
        <v/>
      </c>
      <c r="G1764" t="s">
        <v>926</v>
      </c>
    </row>
    <row r="1765" spans="4:7" x14ac:dyDescent="0.25">
      <c r="D1765" t="s">
        <v>926</v>
      </c>
      <c r="E1765" t="str">
        <f t="shared" si="87"/>
        <v/>
      </c>
      <c r="F1765" s="16" t="str">
        <f t="shared" si="86"/>
        <v/>
      </c>
      <c r="G1765" t="s">
        <v>926</v>
      </c>
    </row>
    <row r="1766" spans="4:7" x14ac:dyDescent="0.25">
      <c r="D1766" t="s">
        <v>926</v>
      </c>
      <c r="E1766" t="str">
        <f t="shared" si="87"/>
        <v/>
      </c>
      <c r="F1766" s="16" t="str">
        <f t="shared" si="86"/>
        <v/>
      </c>
      <c r="G1766" t="s">
        <v>926</v>
      </c>
    </row>
    <row r="1767" spans="4:7" x14ac:dyDescent="0.25">
      <c r="D1767" t="s">
        <v>926</v>
      </c>
      <c r="E1767" t="str">
        <f t="shared" si="87"/>
        <v/>
      </c>
      <c r="F1767" s="16" t="str">
        <f t="shared" si="86"/>
        <v/>
      </c>
      <c r="G1767" t="s">
        <v>926</v>
      </c>
    </row>
    <row r="1768" spans="4:7" x14ac:dyDescent="0.25">
      <c r="D1768" t="s">
        <v>926</v>
      </c>
      <c r="E1768" t="str">
        <f t="shared" si="87"/>
        <v/>
      </c>
      <c r="F1768" s="16" t="str">
        <f t="shared" si="86"/>
        <v/>
      </c>
      <c r="G1768" t="s">
        <v>926</v>
      </c>
    </row>
    <row r="1769" spans="4:7" x14ac:dyDescent="0.25">
      <c r="D1769" t="s">
        <v>926</v>
      </c>
      <c r="E1769" t="str">
        <f t="shared" si="87"/>
        <v/>
      </c>
      <c r="F1769" s="16" t="str">
        <f t="shared" si="86"/>
        <v/>
      </c>
      <c r="G1769" t="s">
        <v>926</v>
      </c>
    </row>
    <row r="1770" spans="4:7" x14ac:dyDescent="0.25">
      <c r="D1770" t="s">
        <v>926</v>
      </c>
      <c r="E1770" t="str">
        <f t="shared" si="87"/>
        <v/>
      </c>
      <c r="F1770" s="16" t="str">
        <f t="shared" si="86"/>
        <v/>
      </c>
      <c r="G1770" t="s">
        <v>926</v>
      </c>
    </row>
    <row r="1771" spans="4:7" x14ac:dyDescent="0.25">
      <c r="D1771" t="s">
        <v>926</v>
      </c>
      <c r="E1771" t="str">
        <f t="shared" si="87"/>
        <v/>
      </c>
      <c r="F1771" s="16" t="str">
        <f t="shared" si="86"/>
        <v/>
      </c>
      <c r="G1771" t="s">
        <v>926</v>
      </c>
    </row>
    <row r="1772" spans="4:7" x14ac:dyDescent="0.25">
      <c r="D1772" t="s">
        <v>926</v>
      </c>
      <c r="E1772" t="str">
        <f t="shared" si="87"/>
        <v/>
      </c>
      <c r="F1772" s="16" t="str">
        <f t="shared" si="86"/>
        <v/>
      </c>
      <c r="G1772" t="s">
        <v>926</v>
      </c>
    </row>
    <row r="1773" spans="4:7" x14ac:dyDescent="0.25">
      <c r="D1773" t="s">
        <v>926</v>
      </c>
      <c r="E1773" t="str">
        <f t="shared" si="87"/>
        <v/>
      </c>
      <c r="F1773" s="16" t="str">
        <f t="shared" si="86"/>
        <v/>
      </c>
      <c r="G1773" t="s">
        <v>926</v>
      </c>
    </row>
    <row r="1774" spans="4:7" x14ac:dyDescent="0.25">
      <c r="D1774" t="s">
        <v>926</v>
      </c>
      <c r="E1774" t="str">
        <f t="shared" si="87"/>
        <v/>
      </c>
      <c r="F1774" s="16" t="str">
        <f t="shared" si="86"/>
        <v/>
      </c>
      <c r="G1774" t="s">
        <v>926</v>
      </c>
    </row>
    <row r="1775" spans="4:7" x14ac:dyDescent="0.25">
      <c r="D1775" t="s">
        <v>926</v>
      </c>
      <c r="E1775" t="str">
        <f t="shared" si="87"/>
        <v/>
      </c>
      <c r="F1775" s="16" t="str">
        <f t="shared" si="86"/>
        <v/>
      </c>
      <c r="G1775" t="s">
        <v>926</v>
      </c>
    </row>
    <row r="1776" spans="4:7" x14ac:dyDescent="0.25">
      <c r="D1776" t="s">
        <v>926</v>
      </c>
      <c r="E1776" t="str">
        <f t="shared" si="87"/>
        <v/>
      </c>
      <c r="F1776" s="16" t="str">
        <f t="shared" si="86"/>
        <v/>
      </c>
      <c r="G1776" t="s">
        <v>926</v>
      </c>
    </row>
    <row r="1777" spans="4:7" x14ac:dyDescent="0.25">
      <c r="D1777" t="s">
        <v>926</v>
      </c>
      <c r="E1777" t="str">
        <f t="shared" si="87"/>
        <v/>
      </c>
      <c r="F1777" s="16" t="str">
        <f t="shared" si="86"/>
        <v/>
      </c>
      <c r="G1777" t="s">
        <v>926</v>
      </c>
    </row>
    <row r="1778" spans="4:7" x14ac:dyDescent="0.25">
      <c r="D1778" t="s">
        <v>926</v>
      </c>
      <c r="E1778" t="str">
        <f t="shared" si="87"/>
        <v/>
      </c>
      <c r="F1778" s="16" t="str">
        <f t="shared" si="86"/>
        <v/>
      </c>
      <c r="G1778" t="s">
        <v>926</v>
      </c>
    </row>
    <row r="1779" spans="4:7" x14ac:dyDescent="0.25">
      <c r="D1779" t="s">
        <v>926</v>
      </c>
      <c r="E1779" t="str">
        <f t="shared" si="87"/>
        <v/>
      </c>
      <c r="F1779" s="16" t="str">
        <f t="shared" si="86"/>
        <v/>
      </c>
      <c r="G1779" t="s">
        <v>926</v>
      </c>
    </row>
    <row r="1780" spans="4:7" x14ac:dyDescent="0.25">
      <c r="D1780" t="s">
        <v>926</v>
      </c>
      <c r="E1780" t="str">
        <f t="shared" si="87"/>
        <v/>
      </c>
      <c r="F1780" s="16" t="str">
        <f t="shared" si="86"/>
        <v/>
      </c>
      <c r="G1780" t="s">
        <v>926</v>
      </c>
    </row>
    <row r="1781" spans="4:7" x14ac:dyDescent="0.25">
      <c r="D1781" t="s">
        <v>926</v>
      </c>
      <c r="E1781" t="str">
        <f t="shared" si="87"/>
        <v/>
      </c>
      <c r="F1781" s="16" t="str">
        <f t="shared" si="86"/>
        <v/>
      </c>
      <c r="G1781" t="s">
        <v>926</v>
      </c>
    </row>
    <row r="1782" spans="4:7" x14ac:dyDescent="0.25">
      <c r="D1782" t="s">
        <v>926</v>
      </c>
      <c r="E1782" t="str">
        <f t="shared" si="87"/>
        <v/>
      </c>
      <c r="F1782" s="16" t="str">
        <f t="shared" si="86"/>
        <v/>
      </c>
      <c r="G1782" t="s">
        <v>926</v>
      </c>
    </row>
    <row r="1783" spans="4:7" x14ac:dyDescent="0.25">
      <c r="D1783" t="s">
        <v>926</v>
      </c>
      <c r="E1783" t="str">
        <f t="shared" si="87"/>
        <v/>
      </c>
      <c r="F1783" s="16" t="str">
        <f t="shared" si="86"/>
        <v/>
      </c>
      <c r="G1783" t="s">
        <v>926</v>
      </c>
    </row>
    <row r="1784" spans="4:7" x14ac:dyDescent="0.25">
      <c r="D1784" t="s">
        <v>926</v>
      </c>
      <c r="E1784" t="str">
        <f t="shared" si="87"/>
        <v/>
      </c>
      <c r="F1784" s="16" t="str">
        <f t="shared" si="86"/>
        <v/>
      </c>
      <c r="G1784" t="s">
        <v>926</v>
      </c>
    </row>
    <row r="1785" spans="4:7" x14ac:dyDescent="0.25">
      <c r="D1785" t="s">
        <v>926</v>
      </c>
      <c r="E1785" t="str">
        <f t="shared" si="87"/>
        <v/>
      </c>
      <c r="F1785" s="16" t="str">
        <f t="shared" si="86"/>
        <v/>
      </c>
      <c r="G1785" t="s">
        <v>926</v>
      </c>
    </row>
    <row r="1786" spans="4:7" x14ac:dyDescent="0.25">
      <c r="D1786" t="s">
        <v>926</v>
      </c>
      <c r="E1786" t="str">
        <f t="shared" si="87"/>
        <v/>
      </c>
      <c r="F1786" s="16" t="str">
        <f t="shared" si="86"/>
        <v/>
      </c>
      <c r="G1786" t="s">
        <v>926</v>
      </c>
    </row>
    <row r="1787" spans="4:7" x14ac:dyDescent="0.25">
      <c r="D1787" t="s">
        <v>926</v>
      </c>
      <c r="E1787" t="str">
        <f t="shared" si="87"/>
        <v/>
      </c>
      <c r="F1787" s="16" t="str">
        <f t="shared" si="86"/>
        <v/>
      </c>
      <c r="G1787" t="s">
        <v>926</v>
      </c>
    </row>
    <row r="1788" spans="4:7" x14ac:dyDescent="0.25">
      <c r="D1788" t="s">
        <v>926</v>
      </c>
      <c r="E1788" t="str">
        <f t="shared" si="87"/>
        <v/>
      </c>
      <c r="F1788" s="16" t="str">
        <f t="shared" si="86"/>
        <v/>
      </c>
      <c r="G1788" t="s">
        <v>926</v>
      </c>
    </row>
    <row r="1789" spans="4:7" x14ac:dyDescent="0.25">
      <c r="D1789" t="s">
        <v>926</v>
      </c>
      <c r="E1789" t="str">
        <f t="shared" si="87"/>
        <v/>
      </c>
      <c r="F1789" s="16" t="str">
        <f t="shared" si="86"/>
        <v/>
      </c>
      <c r="G1789" t="s">
        <v>926</v>
      </c>
    </row>
    <row r="1790" spans="4:7" x14ac:dyDescent="0.25">
      <c r="D1790" t="s">
        <v>926</v>
      </c>
      <c r="E1790" t="str">
        <f t="shared" si="87"/>
        <v/>
      </c>
      <c r="F1790" s="16" t="str">
        <f t="shared" si="86"/>
        <v/>
      </c>
      <c r="G1790" t="s">
        <v>926</v>
      </c>
    </row>
    <row r="1791" spans="4:7" x14ac:dyDescent="0.25">
      <c r="D1791" t="s">
        <v>926</v>
      </c>
      <c r="E1791" t="str">
        <f t="shared" si="87"/>
        <v/>
      </c>
      <c r="F1791" s="16" t="str">
        <f t="shared" si="86"/>
        <v/>
      </c>
      <c r="G1791" t="s">
        <v>926</v>
      </c>
    </row>
    <row r="1792" spans="4:7" x14ac:dyDescent="0.25">
      <c r="D1792" t="s">
        <v>926</v>
      </c>
      <c r="E1792" t="str">
        <f t="shared" si="87"/>
        <v/>
      </c>
      <c r="F1792" s="16" t="str">
        <f t="shared" si="86"/>
        <v/>
      </c>
      <c r="G1792" t="s">
        <v>926</v>
      </c>
    </row>
    <row r="1793" spans="4:7" x14ac:dyDescent="0.25">
      <c r="D1793" t="s">
        <v>926</v>
      </c>
      <c r="E1793" t="str">
        <f t="shared" si="87"/>
        <v/>
      </c>
      <c r="F1793" s="16" t="str">
        <f t="shared" si="86"/>
        <v/>
      </c>
      <c r="G1793" t="s">
        <v>926</v>
      </c>
    </row>
    <row r="1794" spans="4:7" x14ac:dyDescent="0.25">
      <c r="D1794" t="s">
        <v>926</v>
      </c>
      <c r="E1794" t="str">
        <f t="shared" si="87"/>
        <v/>
      </c>
      <c r="F1794" s="16" t="str">
        <f t="shared" si="86"/>
        <v/>
      </c>
      <c r="G1794" t="s">
        <v>926</v>
      </c>
    </row>
    <row r="1795" spans="4:7" x14ac:dyDescent="0.25">
      <c r="D1795" t="s">
        <v>926</v>
      </c>
      <c r="E1795" t="str">
        <f t="shared" si="87"/>
        <v/>
      </c>
      <c r="F1795" s="16" t="str">
        <f t="shared" ref="F1795:F1858" si="88" xml:space="preserve"> IF(ISERROR(VLOOKUP(E1795,Imp_IVA1,2,FALSE)),"",VLOOKUP(E1795,Imp_IVA1,2,FALSE))&amp; IF(ISERROR(VLOOKUP(E1795,Imp_IVA2,2,FALSE)),"",VLOOKUP(E1795,Imp_IVA2,2,FALSE))</f>
        <v/>
      </c>
      <c r="G1795" t="s">
        <v>926</v>
      </c>
    </row>
    <row r="1796" spans="4:7" x14ac:dyDescent="0.25">
      <c r="D1796" t="s">
        <v>926</v>
      </c>
      <c r="E1796" t="str">
        <f t="shared" si="87"/>
        <v/>
      </c>
      <c r="F1796" s="16" t="str">
        <f t="shared" si="88"/>
        <v/>
      </c>
      <c r="G1796" t="s">
        <v>926</v>
      </c>
    </row>
    <row r="1797" spans="4:7" x14ac:dyDescent="0.25">
      <c r="D1797" t="s">
        <v>926</v>
      </c>
      <c r="E1797" t="str">
        <f t="shared" ref="E1797:E1860" si="89">IF(OR(E1796=$E$2,E1796=""),"",E1796+1)</f>
        <v/>
      </c>
      <c r="F1797" s="16" t="str">
        <f t="shared" si="88"/>
        <v/>
      </c>
      <c r="G1797" t="s">
        <v>926</v>
      </c>
    </row>
    <row r="1798" spans="4:7" x14ac:dyDescent="0.25">
      <c r="D1798" t="s">
        <v>926</v>
      </c>
      <c r="E1798" t="str">
        <f t="shared" si="89"/>
        <v/>
      </c>
      <c r="F1798" s="16" t="str">
        <f t="shared" si="88"/>
        <v/>
      </c>
      <c r="G1798" t="s">
        <v>926</v>
      </c>
    </row>
    <row r="1799" spans="4:7" x14ac:dyDescent="0.25">
      <c r="D1799" t="s">
        <v>926</v>
      </c>
      <c r="E1799" t="str">
        <f t="shared" si="89"/>
        <v/>
      </c>
      <c r="F1799" s="16" t="str">
        <f t="shared" si="88"/>
        <v/>
      </c>
      <c r="G1799" t="s">
        <v>926</v>
      </c>
    </row>
    <row r="1800" spans="4:7" x14ac:dyDescent="0.25">
      <c r="D1800" t="s">
        <v>926</v>
      </c>
      <c r="E1800" t="str">
        <f t="shared" si="89"/>
        <v/>
      </c>
      <c r="F1800" s="16" t="str">
        <f t="shared" si="88"/>
        <v/>
      </c>
      <c r="G1800" t="s">
        <v>926</v>
      </c>
    </row>
    <row r="1801" spans="4:7" x14ac:dyDescent="0.25">
      <c r="D1801" t="s">
        <v>926</v>
      </c>
      <c r="E1801" t="str">
        <f t="shared" si="89"/>
        <v/>
      </c>
      <c r="F1801" s="16" t="str">
        <f t="shared" si="88"/>
        <v/>
      </c>
      <c r="G1801" t="s">
        <v>926</v>
      </c>
    </row>
    <row r="1802" spans="4:7" x14ac:dyDescent="0.25">
      <c r="D1802" t="s">
        <v>926</v>
      </c>
      <c r="E1802" t="str">
        <f t="shared" si="89"/>
        <v/>
      </c>
      <c r="F1802" s="16" t="str">
        <f t="shared" si="88"/>
        <v/>
      </c>
      <c r="G1802" t="s">
        <v>926</v>
      </c>
    </row>
    <row r="1803" spans="4:7" x14ac:dyDescent="0.25">
      <c r="D1803" t="s">
        <v>926</v>
      </c>
      <c r="E1803" t="str">
        <f t="shared" si="89"/>
        <v/>
      </c>
      <c r="F1803" s="16" t="str">
        <f t="shared" si="88"/>
        <v/>
      </c>
      <c r="G1803" t="s">
        <v>926</v>
      </c>
    </row>
    <row r="1804" spans="4:7" x14ac:dyDescent="0.25">
      <c r="D1804" t="s">
        <v>926</v>
      </c>
      <c r="E1804" t="str">
        <f t="shared" si="89"/>
        <v/>
      </c>
      <c r="F1804" s="16" t="str">
        <f t="shared" si="88"/>
        <v/>
      </c>
      <c r="G1804" t="s">
        <v>926</v>
      </c>
    </row>
    <row r="1805" spans="4:7" x14ac:dyDescent="0.25">
      <c r="D1805" t="s">
        <v>926</v>
      </c>
      <c r="E1805" t="str">
        <f t="shared" si="89"/>
        <v/>
      </c>
      <c r="F1805" s="16" t="str">
        <f t="shared" si="88"/>
        <v/>
      </c>
      <c r="G1805" t="s">
        <v>926</v>
      </c>
    </row>
    <row r="1806" spans="4:7" x14ac:dyDescent="0.25">
      <c r="D1806" t="s">
        <v>926</v>
      </c>
      <c r="E1806" t="str">
        <f t="shared" si="89"/>
        <v/>
      </c>
      <c r="F1806" s="16" t="str">
        <f t="shared" si="88"/>
        <v/>
      </c>
      <c r="G1806" t="s">
        <v>926</v>
      </c>
    </row>
    <row r="1807" spans="4:7" x14ac:dyDescent="0.25">
      <c r="D1807" t="s">
        <v>926</v>
      </c>
      <c r="E1807" t="str">
        <f t="shared" si="89"/>
        <v/>
      </c>
      <c r="F1807" s="16" t="str">
        <f t="shared" si="88"/>
        <v/>
      </c>
      <c r="G1807" t="s">
        <v>926</v>
      </c>
    </row>
    <row r="1808" spans="4:7" x14ac:dyDescent="0.25">
      <c r="D1808" t="s">
        <v>926</v>
      </c>
      <c r="E1808" t="str">
        <f t="shared" si="89"/>
        <v/>
      </c>
      <c r="F1808" s="16" t="str">
        <f t="shared" si="88"/>
        <v/>
      </c>
      <c r="G1808" t="s">
        <v>926</v>
      </c>
    </row>
    <row r="1809" spans="4:7" x14ac:dyDescent="0.25">
      <c r="D1809" t="s">
        <v>926</v>
      </c>
      <c r="E1809" t="str">
        <f t="shared" si="89"/>
        <v/>
      </c>
      <c r="F1809" s="16" t="str">
        <f t="shared" si="88"/>
        <v/>
      </c>
      <c r="G1809" t="s">
        <v>926</v>
      </c>
    </row>
    <row r="1810" spans="4:7" x14ac:dyDescent="0.25">
      <c r="D1810" t="s">
        <v>926</v>
      </c>
      <c r="E1810" t="str">
        <f t="shared" si="89"/>
        <v/>
      </c>
      <c r="F1810" s="16" t="str">
        <f t="shared" si="88"/>
        <v/>
      </c>
      <c r="G1810" t="s">
        <v>926</v>
      </c>
    </row>
    <row r="1811" spans="4:7" x14ac:dyDescent="0.25">
      <c r="D1811" t="s">
        <v>926</v>
      </c>
      <c r="E1811" t="str">
        <f t="shared" si="89"/>
        <v/>
      </c>
      <c r="F1811" s="16" t="str">
        <f t="shared" si="88"/>
        <v/>
      </c>
      <c r="G1811" t="s">
        <v>926</v>
      </c>
    </row>
    <row r="1812" spans="4:7" x14ac:dyDescent="0.25">
      <c r="D1812" t="s">
        <v>926</v>
      </c>
      <c r="E1812" t="str">
        <f t="shared" si="89"/>
        <v/>
      </c>
      <c r="F1812" s="16" t="str">
        <f t="shared" si="88"/>
        <v/>
      </c>
      <c r="G1812" t="s">
        <v>926</v>
      </c>
    </row>
    <row r="1813" spans="4:7" x14ac:dyDescent="0.25">
      <c r="D1813" t="s">
        <v>926</v>
      </c>
      <c r="E1813" t="str">
        <f t="shared" si="89"/>
        <v/>
      </c>
      <c r="F1813" s="16" t="str">
        <f t="shared" si="88"/>
        <v/>
      </c>
      <c r="G1813" t="s">
        <v>926</v>
      </c>
    </row>
    <row r="1814" spans="4:7" x14ac:dyDescent="0.25">
      <c r="D1814" t="s">
        <v>926</v>
      </c>
      <c r="E1814" t="str">
        <f t="shared" si="89"/>
        <v/>
      </c>
      <c r="F1814" s="16" t="str">
        <f t="shared" si="88"/>
        <v/>
      </c>
      <c r="G1814" t="s">
        <v>926</v>
      </c>
    </row>
    <row r="1815" spans="4:7" x14ac:dyDescent="0.25">
      <c r="D1815" t="s">
        <v>926</v>
      </c>
      <c r="E1815" t="str">
        <f t="shared" si="89"/>
        <v/>
      </c>
      <c r="F1815" s="16" t="str">
        <f t="shared" si="88"/>
        <v/>
      </c>
      <c r="G1815" t="s">
        <v>926</v>
      </c>
    </row>
    <row r="1816" spans="4:7" x14ac:dyDescent="0.25">
      <c r="D1816" t="s">
        <v>926</v>
      </c>
      <c r="E1816" t="str">
        <f t="shared" si="89"/>
        <v/>
      </c>
      <c r="F1816" s="16" t="str">
        <f t="shared" si="88"/>
        <v/>
      </c>
      <c r="G1816" t="s">
        <v>926</v>
      </c>
    </row>
    <row r="1817" spans="4:7" x14ac:dyDescent="0.25">
      <c r="D1817" t="s">
        <v>926</v>
      </c>
      <c r="E1817" t="str">
        <f t="shared" si="89"/>
        <v/>
      </c>
      <c r="F1817" s="16" t="str">
        <f t="shared" si="88"/>
        <v/>
      </c>
      <c r="G1817" t="s">
        <v>926</v>
      </c>
    </row>
    <row r="1818" spans="4:7" x14ac:dyDescent="0.25">
      <c r="D1818" t="s">
        <v>926</v>
      </c>
      <c r="E1818" t="str">
        <f t="shared" si="89"/>
        <v/>
      </c>
      <c r="F1818" s="16" t="str">
        <f t="shared" si="88"/>
        <v/>
      </c>
      <c r="G1818" t="s">
        <v>926</v>
      </c>
    </row>
    <row r="1819" spans="4:7" x14ac:dyDescent="0.25">
      <c r="D1819" t="s">
        <v>926</v>
      </c>
      <c r="E1819" t="str">
        <f t="shared" si="89"/>
        <v/>
      </c>
      <c r="F1819" s="16" t="str">
        <f t="shared" si="88"/>
        <v/>
      </c>
      <c r="G1819" t="s">
        <v>926</v>
      </c>
    </row>
    <row r="1820" spans="4:7" x14ac:dyDescent="0.25">
      <c r="D1820" t="s">
        <v>926</v>
      </c>
      <c r="E1820" t="str">
        <f t="shared" si="89"/>
        <v/>
      </c>
      <c r="F1820" s="16" t="str">
        <f t="shared" si="88"/>
        <v/>
      </c>
      <c r="G1820" t="s">
        <v>926</v>
      </c>
    </row>
    <row r="1821" spans="4:7" x14ac:dyDescent="0.25">
      <c r="D1821" t="s">
        <v>926</v>
      </c>
      <c r="E1821" t="str">
        <f t="shared" si="89"/>
        <v/>
      </c>
      <c r="F1821" s="16" t="str">
        <f t="shared" si="88"/>
        <v/>
      </c>
      <c r="G1821" t="s">
        <v>926</v>
      </c>
    </row>
    <row r="1822" spans="4:7" x14ac:dyDescent="0.25">
      <c r="D1822" t="s">
        <v>926</v>
      </c>
      <c r="E1822" t="str">
        <f t="shared" si="89"/>
        <v/>
      </c>
      <c r="F1822" s="16" t="str">
        <f t="shared" si="88"/>
        <v/>
      </c>
      <c r="G1822" t="s">
        <v>926</v>
      </c>
    </row>
    <row r="1823" spans="4:7" x14ac:dyDescent="0.25">
      <c r="D1823" t="s">
        <v>926</v>
      </c>
      <c r="E1823" t="str">
        <f t="shared" si="89"/>
        <v/>
      </c>
      <c r="F1823" s="16" t="str">
        <f t="shared" si="88"/>
        <v/>
      </c>
      <c r="G1823" t="s">
        <v>926</v>
      </c>
    </row>
    <row r="1824" spans="4:7" x14ac:dyDescent="0.25">
      <c r="D1824" t="s">
        <v>926</v>
      </c>
      <c r="E1824" t="str">
        <f t="shared" si="89"/>
        <v/>
      </c>
      <c r="F1824" s="16" t="str">
        <f t="shared" si="88"/>
        <v/>
      </c>
      <c r="G1824" t="s">
        <v>926</v>
      </c>
    </row>
    <row r="1825" spans="4:7" x14ac:dyDescent="0.25">
      <c r="D1825" t="s">
        <v>926</v>
      </c>
      <c r="E1825" t="str">
        <f t="shared" si="89"/>
        <v/>
      </c>
      <c r="F1825" s="16" t="str">
        <f t="shared" si="88"/>
        <v/>
      </c>
      <c r="G1825" t="s">
        <v>926</v>
      </c>
    </row>
    <row r="1826" spans="4:7" x14ac:dyDescent="0.25">
      <c r="D1826" t="s">
        <v>926</v>
      </c>
      <c r="E1826" t="str">
        <f t="shared" si="89"/>
        <v/>
      </c>
      <c r="F1826" s="16" t="str">
        <f t="shared" si="88"/>
        <v/>
      </c>
      <c r="G1826" t="s">
        <v>926</v>
      </c>
    </row>
    <row r="1827" spans="4:7" x14ac:dyDescent="0.25">
      <c r="D1827" t="s">
        <v>926</v>
      </c>
      <c r="E1827" t="str">
        <f t="shared" si="89"/>
        <v/>
      </c>
      <c r="F1827" s="16" t="str">
        <f t="shared" si="88"/>
        <v/>
      </c>
      <c r="G1827" t="s">
        <v>926</v>
      </c>
    </row>
    <row r="1828" spans="4:7" x14ac:dyDescent="0.25">
      <c r="D1828" t="s">
        <v>926</v>
      </c>
      <c r="E1828" t="str">
        <f t="shared" si="89"/>
        <v/>
      </c>
      <c r="F1828" s="16" t="str">
        <f t="shared" si="88"/>
        <v/>
      </c>
      <c r="G1828" t="s">
        <v>926</v>
      </c>
    </row>
    <row r="1829" spans="4:7" x14ac:dyDescent="0.25">
      <c r="D1829" t="s">
        <v>926</v>
      </c>
      <c r="E1829" t="str">
        <f t="shared" si="89"/>
        <v/>
      </c>
      <c r="F1829" s="16" t="str">
        <f t="shared" si="88"/>
        <v/>
      </c>
      <c r="G1829" t="s">
        <v>926</v>
      </c>
    </row>
    <row r="1830" spans="4:7" x14ac:dyDescent="0.25">
      <c r="D1830" t="s">
        <v>926</v>
      </c>
      <c r="E1830" t="str">
        <f t="shared" si="89"/>
        <v/>
      </c>
      <c r="F1830" s="16" t="str">
        <f t="shared" si="88"/>
        <v/>
      </c>
      <c r="G1830" t="s">
        <v>926</v>
      </c>
    </row>
    <row r="1831" spans="4:7" x14ac:dyDescent="0.25">
      <c r="D1831" t="s">
        <v>926</v>
      </c>
      <c r="E1831" t="str">
        <f t="shared" si="89"/>
        <v/>
      </c>
      <c r="F1831" s="16" t="str">
        <f t="shared" si="88"/>
        <v/>
      </c>
      <c r="G1831" t="s">
        <v>926</v>
      </c>
    </row>
    <row r="1832" spans="4:7" x14ac:dyDescent="0.25">
      <c r="D1832" t="s">
        <v>926</v>
      </c>
      <c r="E1832" t="str">
        <f t="shared" si="89"/>
        <v/>
      </c>
      <c r="F1832" s="16" t="str">
        <f t="shared" si="88"/>
        <v/>
      </c>
      <c r="G1832" t="s">
        <v>926</v>
      </c>
    </row>
    <row r="1833" spans="4:7" x14ac:dyDescent="0.25">
      <c r="D1833" t="s">
        <v>926</v>
      </c>
      <c r="E1833" t="str">
        <f t="shared" si="89"/>
        <v/>
      </c>
      <c r="F1833" s="16" t="str">
        <f t="shared" si="88"/>
        <v/>
      </c>
      <c r="G1833" t="s">
        <v>926</v>
      </c>
    </row>
    <row r="1834" spans="4:7" x14ac:dyDescent="0.25">
      <c r="D1834" t="s">
        <v>926</v>
      </c>
      <c r="E1834" t="str">
        <f t="shared" si="89"/>
        <v/>
      </c>
      <c r="F1834" s="16" t="str">
        <f t="shared" si="88"/>
        <v/>
      </c>
      <c r="G1834" t="s">
        <v>926</v>
      </c>
    </row>
    <row r="1835" spans="4:7" x14ac:dyDescent="0.25">
      <c r="D1835" t="s">
        <v>926</v>
      </c>
      <c r="E1835" t="str">
        <f t="shared" si="89"/>
        <v/>
      </c>
      <c r="F1835" s="16" t="str">
        <f t="shared" si="88"/>
        <v/>
      </c>
      <c r="G1835" t="s">
        <v>926</v>
      </c>
    </row>
    <row r="1836" spans="4:7" x14ac:dyDescent="0.25">
      <c r="D1836" t="s">
        <v>926</v>
      </c>
      <c r="E1836" t="str">
        <f t="shared" si="89"/>
        <v/>
      </c>
      <c r="F1836" s="16" t="str">
        <f t="shared" si="88"/>
        <v/>
      </c>
      <c r="G1836" t="s">
        <v>926</v>
      </c>
    </row>
    <row r="1837" spans="4:7" x14ac:dyDescent="0.25">
      <c r="D1837" t="s">
        <v>926</v>
      </c>
      <c r="E1837" t="str">
        <f t="shared" si="89"/>
        <v/>
      </c>
      <c r="F1837" s="16" t="str">
        <f t="shared" si="88"/>
        <v/>
      </c>
      <c r="G1837" t="s">
        <v>926</v>
      </c>
    </row>
    <row r="1838" spans="4:7" x14ac:dyDescent="0.25">
      <c r="D1838" t="s">
        <v>926</v>
      </c>
      <c r="E1838" t="str">
        <f t="shared" si="89"/>
        <v/>
      </c>
      <c r="F1838" s="16" t="str">
        <f t="shared" si="88"/>
        <v/>
      </c>
      <c r="G1838" t="s">
        <v>926</v>
      </c>
    </row>
    <row r="1839" spans="4:7" x14ac:dyDescent="0.25">
      <c r="D1839" t="s">
        <v>926</v>
      </c>
      <c r="E1839" t="str">
        <f t="shared" si="89"/>
        <v/>
      </c>
      <c r="F1839" s="16" t="str">
        <f t="shared" si="88"/>
        <v/>
      </c>
      <c r="G1839" t="s">
        <v>926</v>
      </c>
    </row>
    <row r="1840" spans="4:7" x14ac:dyDescent="0.25">
      <c r="D1840" t="s">
        <v>926</v>
      </c>
      <c r="E1840" t="str">
        <f t="shared" si="89"/>
        <v/>
      </c>
      <c r="F1840" s="16" t="str">
        <f t="shared" si="88"/>
        <v/>
      </c>
      <c r="G1840" t="s">
        <v>926</v>
      </c>
    </row>
    <row r="1841" spans="4:7" x14ac:dyDescent="0.25">
      <c r="D1841" t="s">
        <v>926</v>
      </c>
      <c r="E1841" t="str">
        <f t="shared" si="89"/>
        <v/>
      </c>
      <c r="F1841" s="16" t="str">
        <f t="shared" si="88"/>
        <v/>
      </c>
      <c r="G1841" t="s">
        <v>926</v>
      </c>
    </row>
    <row r="1842" spans="4:7" x14ac:dyDescent="0.25">
      <c r="D1842" t="s">
        <v>926</v>
      </c>
      <c r="E1842" t="str">
        <f t="shared" si="89"/>
        <v/>
      </c>
      <c r="F1842" s="16" t="str">
        <f t="shared" si="88"/>
        <v/>
      </c>
      <c r="G1842" t="s">
        <v>926</v>
      </c>
    </row>
    <row r="1843" spans="4:7" x14ac:dyDescent="0.25">
      <c r="D1843" t="s">
        <v>926</v>
      </c>
      <c r="E1843" t="str">
        <f t="shared" si="89"/>
        <v/>
      </c>
      <c r="F1843" s="16" t="str">
        <f t="shared" si="88"/>
        <v/>
      </c>
      <c r="G1843" t="s">
        <v>926</v>
      </c>
    </row>
    <row r="1844" spans="4:7" x14ac:dyDescent="0.25">
      <c r="D1844" t="s">
        <v>926</v>
      </c>
      <c r="E1844" t="str">
        <f t="shared" si="89"/>
        <v/>
      </c>
      <c r="F1844" s="16" t="str">
        <f t="shared" si="88"/>
        <v/>
      </c>
      <c r="G1844" t="s">
        <v>926</v>
      </c>
    </row>
    <row r="1845" spans="4:7" x14ac:dyDescent="0.25">
      <c r="D1845" t="s">
        <v>926</v>
      </c>
      <c r="E1845" t="str">
        <f t="shared" si="89"/>
        <v/>
      </c>
      <c r="F1845" s="16" t="str">
        <f t="shared" si="88"/>
        <v/>
      </c>
      <c r="G1845" t="s">
        <v>926</v>
      </c>
    </row>
    <row r="1846" spans="4:7" x14ac:dyDescent="0.25">
      <c r="D1846" t="s">
        <v>926</v>
      </c>
      <c r="E1846" t="str">
        <f t="shared" si="89"/>
        <v/>
      </c>
      <c r="F1846" s="16" t="str">
        <f t="shared" si="88"/>
        <v/>
      </c>
      <c r="G1846" t="s">
        <v>926</v>
      </c>
    </row>
    <row r="1847" spans="4:7" x14ac:dyDescent="0.25">
      <c r="D1847" t="s">
        <v>926</v>
      </c>
      <c r="E1847" t="str">
        <f t="shared" si="89"/>
        <v/>
      </c>
      <c r="F1847" s="16" t="str">
        <f t="shared" si="88"/>
        <v/>
      </c>
      <c r="G1847" t="s">
        <v>926</v>
      </c>
    </row>
    <row r="1848" spans="4:7" x14ac:dyDescent="0.25">
      <c r="D1848" t="s">
        <v>926</v>
      </c>
      <c r="E1848" t="str">
        <f t="shared" si="89"/>
        <v/>
      </c>
      <c r="F1848" s="16" t="str">
        <f t="shared" si="88"/>
        <v/>
      </c>
      <c r="G1848" t="s">
        <v>926</v>
      </c>
    </row>
    <row r="1849" spans="4:7" x14ac:dyDescent="0.25">
      <c r="D1849" t="s">
        <v>926</v>
      </c>
      <c r="E1849" t="str">
        <f t="shared" si="89"/>
        <v/>
      </c>
      <c r="F1849" s="16" t="str">
        <f t="shared" si="88"/>
        <v/>
      </c>
      <c r="G1849" t="s">
        <v>926</v>
      </c>
    </row>
    <row r="1850" spans="4:7" x14ac:dyDescent="0.25">
      <c r="D1850" t="s">
        <v>926</v>
      </c>
      <c r="E1850" t="str">
        <f t="shared" si="89"/>
        <v/>
      </c>
      <c r="F1850" s="16" t="str">
        <f t="shared" si="88"/>
        <v/>
      </c>
      <c r="G1850" t="s">
        <v>926</v>
      </c>
    </row>
    <row r="1851" spans="4:7" x14ac:dyDescent="0.25">
      <c r="D1851" t="s">
        <v>926</v>
      </c>
      <c r="E1851" t="str">
        <f t="shared" si="89"/>
        <v/>
      </c>
      <c r="F1851" s="16" t="str">
        <f t="shared" si="88"/>
        <v/>
      </c>
      <c r="G1851" t="s">
        <v>926</v>
      </c>
    </row>
    <row r="1852" spans="4:7" x14ac:dyDescent="0.25">
      <c r="D1852" t="s">
        <v>926</v>
      </c>
      <c r="E1852" t="str">
        <f t="shared" si="89"/>
        <v/>
      </c>
      <c r="F1852" s="16" t="str">
        <f t="shared" si="88"/>
        <v/>
      </c>
      <c r="G1852" t="s">
        <v>926</v>
      </c>
    </row>
    <row r="1853" spans="4:7" x14ac:dyDescent="0.25">
      <c r="D1853" t="s">
        <v>926</v>
      </c>
      <c r="E1853" t="str">
        <f t="shared" si="89"/>
        <v/>
      </c>
      <c r="F1853" s="16" t="str">
        <f t="shared" si="88"/>
        <v/>
      </c>
      <c r="G1853" t="s">
        <v>926</v>
      </c>
    </row>
    <row r="1854" spans="4:7" x14ac:dyDescent="0.25">
      <c r="D1854" t="s">
        <v>926</v>
      </c>
      <c r="E1854" t="str">
        <f t="shared" si="89"/>
        <v/>
      </c>
      <c r="F1854" s="16" t="str">
        <f t="shared" si="88"/>
        <v/>
      </c>
      <c r="G1854" t="s">
        <v>926</v>
      </c>
    </row>
    <row r="1855" spans="4:7" x14ac:dyDescent="0.25">
      <c r="D1855" t="s">
        <v>926</v>
      </c>
      <c r="E1855" t="str">
        <f t="shared" si="89"/>
        <v/>
      </c>
      <c r="F1855" s="16" t="str">
        <f t="shared" si="88"/>
        <v/>
      </c>
      <c r="G1855" t="s">
        <v>926</v>
      </c>
    </row>
    <row r="1856" spans="4:7" x14ac:dyDescent="0.25">
      <c r="D1856" t="s">
        <v>926</v>
      </c>
      <c r="E1856" t="str">
        <f t="shared" si="89"/>
        <v/>
      </c>
      <c r="F1856" s="16" t="str">
        <f t="shared" si="88"/>
        <v/>
      </c>
      <c r="G1856" t="s">
        <v>926</v>
      </c>
    </row>
    <row r="1857" spans="4:7" x14ac:dyDescent="0.25">
      <c r="D1857" t="s">
        <v>926</v>
      </c>
      <c r="E1857" t="str">
        <f t="shared" si="89"/>
        <v/>
      </c>
      <c r="F1857" s="16" t="str">
        <f t="shared" si="88"/>
        <v/>
      </c>
      <c r="G1857" t="s">
        <v>926</v>
      </c>
    </row>
    <row r="1858" spans="4:7" x14ac:dyDescent="0.25">
      <c r="D1858" t="s">
        <v>926</v>
      </c>
      <c r="E1858" t="str">
        <f t="shared" si="89"/>
        <v/>
      </c>
      <c r="F1858" s="16" t="str">
        <f t="shared" si="88"/>
        <v/>
      </c>
      <c r="G1858" t="s">
        <v>926</v>
      </c>
    </row>
    <row r="1859" spans="4:7" x14ac:dyDescent="0.25">
      <c r="D1859" t="s">
        <v>926</v>
      </c>
      <c r="E1859" t="str">
        <f t="shared" si="89"/>
        <v/>
      </c>
      <c r="F1859" s="16" t="str">
        <f t="shared" ref="F1859:F1922" si="90" xml:space="preserve"> IF(ISERROR(VLOOKUP(E1859,Imp_IVA1,2,FALSE)),"",VLOOKUP(E1859,Imp_IVA1,2,FALSE))&amp; IF(ISERROR(VLOOKUP(E1859,Imp_IVA2,2,FALSE)),"",VLOOKUP(E1859,Imp_IVA2,2,FALSE))</f>
        <v/>
      </c>
      <c r="G1859" t="s">
        <v>926</v>
      </c>
    </row>
    <row r="1860" spans="4:7" x14ac:dyDescent="0.25">
      <c r="D1860" t="s">
        <v>926</v>
      </c>
      <c r="E1860" t="str">
        <f t="shared" si="89"/>
        <v/>
      </c>
      <c r="F1860" s="16" t="str">
        <f t="shared" si="90"/>
        <v/>
      </c>
      <c r="G1860" t="s">
        <v>926</v>
      </c>
    </row>
    <row r="1861" spans="4:7" x14ac:dyDescent="0.25">
      <c r="D1861" t="s">
        <v>926</v>
      </c>
      <c r="E1861" t="str">
        <f t="shared" ref="E1861:E1924" si="91">IF(OR(E1860=$E$2,E1860=""),"",E1860+1)</f>
        <v/>
      </c>
      <c r="F1861" s="16" t="str">
        <f t="shared" si="90"/>
        <v/>
      </c>
      <c r="G1861" t="s">
        <v>926</v>
      </c>
    </row>
    <row r="1862" spans="4:7" x14ac:dyDescent="0.25">
      <c r="D1862" t="s">
        <v>926</v>
      </c>
      <c r="E1862" t="str">
        <f t="shared" si="91"/>
        <v/>
      </c>
      <c r="F1862" s="16" t="str">
        <f t="shared" si="90"/>
        <v/>
      </c>
      <c r="G1862" t="s">
        <v>926</v>
      </c>
    </row>
    <row r="1863" spans="4:7" x14ac:dyDescent="0.25">
      <c r="D1863" t="s">
        <v>926</v>
      </c>
      <c r="E1863" t="str">
        <f t="shared" si="91"/>
        <v/>
      </c>
      <c r="F1863" s="16" t="str">
        <f t="shared" si="90"/>
        <v/>
      </c>
      <c r="G1863" t="s">
        <v>926</v>
      </c>
    </row>
    <row r="1864" spans="4:7" x14ac:dyDescent="0.25">
      <c r="D1864" t="s">
        <v>926</v>
      </c>
      <c r="E1864" t="str">
        <f t="shared" si="91"/>
        <v/>
      </c>
      <c r="F1864" s="16" t="str">
        <f t="shared" si="90"/>
        <v/>
      </c>
      <c r="G1864" t="s">
        <v>926</v>
      </c>
    </row>
    <row r="1865" spans="4:7" x14ac:dyDescent="0.25">
      <c r="D1865" t="s">
        <v>926</v>
      </c>
      <c r="E1865" t="str">
        <f t="shared" si="91"/>
        <v/>
      </c>
      <c r="F1865" s="16" t="str">
        <f t="shared" si="90"/>
        <v/>
      </c>
      <c r="G1865" t="s">
        <v>926</v>
      </c>
    </row>
    <row r="1866" spans="4:7" x14ac:dyDescent="0.25">
      <c r="D1866" t="s">
        <v>926</v>
      </c>
      <c r="E1866" t="str">
        <f t="shared" si="91"/>
        <v/>
      </c>
      <c r="F1866" s="16" t="str">
        <f t="shared" si="90"/>
        <v/>
      </c>
      <c r="G1866" t="s">
        <v>926</v>
      </c>
    </row>
    <row r="1867" spans="4:7" x14ac:dyDescent="0.25">
      <c r="D1867" t="s">
        <v>926</v>
      </c>
      <c r="E1867" t="str">
        <f t="shared" si="91"/>
        <v/>
      </c>
      <c r="F1867" s="16" t="str">
        <f t="shared" si="90"/>
        <v/>
      </c>
      <c r="G1867" t="s">
        <v>926</v>
      </c>
    </row>
    <row r="1868" spans="4:7" x14ac:dyDescent="0.25">
      <c r="D1868" t="s">
        <v>926</v>
      </c>
      <c r="E1868" t="str">
        <f t="shared" si="91"/>
        <v/>
      </c>
      <c r="F1868" s="16" t="str">
        <f t="shared" si="90"/>
        <v/>
      </c>
      <c r="G1868" t="s">
        <v>926</v>
      </c>
    </row>
    <row r="1869" spans="4:7" x14ac:dyDescent="0.25">
      <c r="D1869" t="s">
        <v>926</v>
      </c>
      <c r="E1869" t="str">
        <f t="shared" si="91"/>
        <v/>
      </c>
      <c r="F1869" s="16" t="str">
        <f t="shared" si="90"/>
        <v/>
      </c>
      <c r="G1869" t="s">
        <v>926</v>
      </c>
    </row>
    <row r="1870" spans="4:7" x14ac:dyDescent="0.25">
      <c r="D1870" t="s">
        <v>926</v>
      </c>
      <c r="E1870" t="str">
        <f t="shared" si="91"/>
        <v/>
      </c>
      <c r="F1870" s="16" t="str">
        <f t="shared" si="90"/>
        <v/>
      </c>
      <c r="G1870" t="s">
        <v>926</v>
      </c>
    </row>
    <row r="1871" spans="4:7" x14ac:dyDescent="0.25">
      <c r="D1871" t="s">
        <v>926</v>
      </c>
      <c r="E1871" t="str">
        <f t="shared" si="91"/>
        <v/>
      </c>
      <c r="F1871" s="16" t="str">
        <f t="shared" si="90"/>
        <v/>
      </c>
      <c r="G1871" t="s">
        <v>926</v>
      </c>
    </row>
    <row r="1872" spans="4:7" x14ac:dyDescent="0.25">
      <c r="D1872" t="s">
        <v>926</v>
      </c>
      <c r="E1872" t="str">
        <f t="shared" si="91"/>
        <v/>
      </c>
      <c r="F1872" s="16" t="str">
        <f t="shared" si="90"/>
        <v/>
      </c>
      <c r="G1872" t="s">
        <v>926</v>
      </c>
    </row>
    <row r="1873" spans="4:7" x14ac:dyDescent="0.25">
      <c r="D1873" t="s">
        <v>926</v>
      </c>
      <c r="E1873" t="str">
        <f t="shared" si="91"/>
        <v/>
      </c>
      <c r="F1873" s="16" t="str">
        <f t="shared" si="90"/>
        <v/>
      </c>
      <c r="G1873" t="s">
        <v>926</v>
      </c>
    </row>
    <row r="1874" spans="4:7" x14ac:dyDescent="0.25">
      <c r="D1874" t="s">
        <v>926</v>
      </c>
      <c r="E1874" t="str">
        <f t="shared" si="91"/>
        <v/>
      </c>
      <c r="F1874" s="16" t="str">
        <f t="shared" si="90"/>
        <v/>
      </c>
      <c r="G1874" t="s">
        <v>926</v>
      </c>
    </row>
    <row r="1875" spans="4:7" x14ac:dyDescent="0.25">
      <c r="D1875" t="s">
        <v>926</v>
      </c>
      <c r="E1875" t="str">
        <f t="shared" si="91"/>
        <v/>
      </c>
      <c r="F1875" s="16" t="str">
        <f t="shared" si="90"/>
        <v/>
      </c>
      <c r="G1875" t="s">
        <v>926</v>
      </c>
    </row>
    <row r="1876" spans="4:7" x14ac:dyDescent="0.25">
      <c r="D1876" t="s">
        <v>926</v>
      </c>
      <c r="E1876" t="str">
        <f t="shared" si="91"/>
        <v/>
      </c>
      <c r="F1876" s="16" t="str">
        <f t="shared" si="90"/>
        <v/>
      </c>
      <c r="G1876" t="s">
        <v>926</v>
      </c>
    </row>
    <row r="1877" spans="4:7" x14ac:dyDescent="0.25">
      <c r="D1877" t="s">
        <v>926</v>
      </c>
      <c r="E1877" t="str">
        <f t="shared" si="91"/>
        <v/>
      </c>
      <c r="F1877" s="16" t="str">
        <f t="shared" si="90"/>
        <v/>
      </c>
      <c r="G1877" t="s">
        <v>926</v>
      </c>
    </row>
    <row r="1878" spans="4:7" x14ac:dyDescent="0.25">
      <c r="D1878" t="s">
        <v>926</v>
      </c>
      <c r="E1878" t="str">
        <f t="shared" si="91"/>
        <v/>
      </c>
      <c r="F1878" s="16" t="str">
        <f t="shared" si="90"/>
        <v/>
      </c>
      <c r="G1878" t="s">
        <v>926</v>
      </c>
    </row>
    <row r="1879" spans="4:7" x14ac:dyDescent="0.25">
      <c r="D1879" t="s">
        <v>926</v>
      </c>
      <c r="E1879" t="str">
        <f t="shared" si="91"/>
        <v/>
      </c>
      <c r="F1879" s="16" t="str">
        <f t="shared" si="90"/>
        <v/>
      </c>
      <c r="G1879" t="s">
        <v>926</v>
      </c>
    </row>
    <row r="1880" spans="4:7" x14ac:dyDescent="0.25">
      <c r="D1880" t="s">
        <v>926</v>
      </c>
      <c r="E1880" t="str">
        <f t="shared" si="91"/>
        <v/>
      </c>
      <c r="F1880" s="16" t="str">
        <f t="shared" si="90"/>
        <v/>
      </c>
      <c r="G1880" t="s">
        <v>926</v>
      </c>
    </row>
    <row r="1881" spans="4:7" x14ac:dyDescent="0.25">
      <c r="D1881" t="s">
        <v>926</v>
      </c>
      <c r="E1881" t="str">
        <f t="shared" si="91"/>
        <v/>
      </c>
      <c r="F1881" s="16" t="str">
        <f t="shared" si="90"/>
        <v/>
      </c>
      <c r="G1881" t="s">
        <v>926</v>
      </c>
    </row>
    <row r="1882" spans="4:7" x14ac:dyDescent="0.25">
      <c r="D1882" t="s">
        <v>926</v>
      </c>
      <c r="E1882" t="str">
        <f t="shared" si="91"/>
        <v/>
      </c>
      <c r="F1882" s="16" t="str">
        <f t="shared" si="90"/>
        <v/>
      </c>
      <c r="G1882" t="s">
        <v>926</v>
      </c>
    </row>
    <row r="1883" spans="4:7" x14ac:dyDescent="0.25">
      <c r="D1883" t="s">
        <v>926</v>
      </c>
      <c r="E1883" t="str">
        <f t="shared" si="91"/>
        <v/>
      </c>
      <c r="F1883" s="16" t="str">
        <f t="shared" si="90"/>
        <v/>
      </c>
      <c r="G1883" t="s">
        <v>926</v>
      </c>
    </row>
    <row r="1884" spans="4:7" x14ac:dyDescent="0.25">
      <c r="D1884" t="s">
        <v>926</v>
      </c>
      <c r="E1884" t="str">
        <f t="shared" si="91"/>
        <v/>
      </c>
      <c r="F1884" s="16" t="str">
        <f t="shared" si="90"/>
        <v/>
      </c>
      <c r="G1884" t="s">
        <v>926</v>
      </c>
    </row>
    <row r="1885" spans="4:7" x14ac:dyDescent="0.25">
      <c r="D1885" t="s">
        <v>926</v>
      </c>
      <c r="E1885" t="str">
        <f t="shared" si="91"/>
        <v/>
      </c>
      <c r="F1885" s="16" t="str">
        <f t="shared" si="90"/>
        <v/>
      </c>
      <c r="G1885" t="s">
        <v>926</v>
      </c>
    </row>
    <row r="1886" spans="4:7" x14ac:dyDescent="0.25">
      <c r="D1886" t="s">
        <v>926</v>
      </c>
      <c r="E1886" t="str">
        <f t="shared" si="91"/>
        <v/>
      </c>
      <c r="F1886" s="16" t="str">
        <f t="shared" si="90"/>
        <v/>
      </c>
      <c r="G1886" t="s">
        <v>926</v>
      </c>
    </row>
    <row r="1887" spans="4:7" x14ac:dyDescent="0.25">
      <c r="D1887" t="s">
        <v>926</v>
      </c>
      <c r="E1887" t="str">
        <f t="shared" si="91"/>
        <v/>
      </c>
      <c r="F1887" s="16" t="str">
        <f t="shared" si="90"/>
        <v/>
      </c>
      <c r="G1887" t="s">
        <v>926</v>
      </c>
    </row>
    <row r="1888" spans="4:7" x14ac:dyDescent="0.25">
      <c r="D1888" t="s">
        <v>926</v>
      </c>
      <c r="E1888" t="str">
        <f t="shared" si="91"/>
        <v/>
      </c>
      <c r="F1888" s="16" t="str">
        <f t="shared" si="90"/>
        <v/>
      </c>
      <c r="G1888" t="s">
        <v>926</v>
      </c>
    </row>
    <row r="1889" spans="4:7" x14ac:dyDescent="0.25">
      <c r="D1889" t="s">
        <v>926</v>
      </c>
      <c r="E1889" t="str">
        <f t="shared" si="91"/>
        <v/>
      </c>
      <c r="F1889" s="16" t="str">
        <f t="shared" si="90"/>
        <v/>
      </c>
      <c r="G1889" t="s">
        <v>926</v>
      </c>
    </row>
    <row r="1890" spans="4:7" x14ac:dyDescent="0.25">
      <c r="D1890" t="s">
        <v>926</v>
      </c>
      <c r="E1890" t="str">
        <f t="shared" si="91"/>
        <v/>
      </c>
      <c r="F1890" s="16" t="str">
        <f t="shared" si="90"/>
        <v/>
      </c>
      <c r="G1890" t="s">
        <v>926</v>
      </c>
    </row>
    <row r="1891" spans="4:7" x14ac:dyDescent="0.25">
      <c r="D1891" t="s">
        <v>926</v>
      </c>
      <c r="E1891" t="str">
        <f t="shared" si="91"/>
        <v/>
      </c>
      <c r="F1891" s="16" t="str">
        <f t="shared" si="90"/>
        <v/>
      </c>
      <c r="G1891" t="s">
        <v>926</v>
      </c>
    </row>
    <row r="1892" spans="4:7" x14ac:dyDescent="0.25">
      <c r="D1892" t="s">
        <v>926</v>
      </c>
      <c r="E1892" t="str">
        <f t="shared" si="91"/>
        <v/>
      </c>
      <c r="F1892" s="16" t="str">
        <f t="shared" si="90"/>
        <v/>
      </c>
      <c r="G1892" t="s">
        <v>926</v>
      </c>
    </row>
    <row r="1893" spans="4:7" x14ac:dyDescent="0.25">
      <c r="D1893" t="s">
        <v>926</v>
      </c>
      <c r="E1893" t="str">
        <f t="shared" si="91"/>
        <v/>
      </c>
      <c r="F1893" s="16" t="str">
        <f t="shared" si="90"/>
        <v/>
      </c>
      <c r="G1893" t="s">
        <v>926</v>
      </c>
    </row>
    <row r="1894" spans="4:7" x14ac:dyDescent="0.25">
      <c r="D1894" t="s">
        <v>926</v>
      </c>
      <c r="E1894" t="str">
        <f t="shared" si="91"/>
        <v/>
      </c>
      <c r="F1894" s="16" t="str">
        <f t="shared" si="90"/>
        <v/>
      </c>
      <c r="G1894" t="s">
        <v>926</v>
      </c>
    </row>
    <row r="1895" spans="4:7" x14ac:dyDescent="0.25">
      <c r="D1895" t="s">
        <v>926</v>
      </c>
      <c r="E1895" t="str">
        <f t="shared" si="91"/>
        <v/>
      </c>
      <c r="F1895" s="16" t="str">
        <f t="shared" si="90"/>
        <v/>
      </c>
      <c r="G1895" t="s">
        <v>926</v>
      </c>
    </row>
    <row r="1896" spans="4:7" x14ac:dyDescent="0.25">
      <c r="D1896" t="s">
        <v>926</v>
      </c>
      <c r="E1896" t="str">
        <f t="shared" si="91"/>
        <v/>
      </c>
      <c r="F1896" s="16" t="str">
        <f t="shared" si="90"/>
        <v/>
      </c>
      <c r="G1896" t="s">
        <v>926</v>
      </c>
    </row>
    <row r="1897" spans="4:7" x14ac:dyDescent="0.25">
      <c r="D1897" t="s">
        <v>926</v>
      </c>
      <c r="E1897" t="str">
        <f t="shared" si="91"/>
        <v/>
      </c>
      <c r="F1897" s="16" t="str">
        <f t="shared" si="90"/>
        <v/>
      </c>
      <c r="G1897" t="s">
        <v>926</v>
      </c>
    </row>
    <row r="1898" spans="4:7" x14ac:dyDescent="0.25">
      <c r="D1898" t="s">
        <v>926</v>
      </c>
      <c r="E1898" t="str">
        <f t="shared" si="91"/>
        <v/>
      </c>
      <c r="F1898" s="16" t="str">
        <f t="shared" si="90"/>
        <v/>
      </c>
      <c r="G1898" t="s">
        <v>926</v>
      </c>
    </row>
    <row r="1899" spans="4:7" x14ac:dyDescent="0.25">
      <c r="D1899" t="s">
        <v>926</v>
      </c>
      <c r="E1899" t="str">
        <f t="shared" si="91"/>
        <v/>
      </c>
      <c r="F1899" s="16" t="str">
        <f t="shared" si="90"/>
        <v/>
      </c>
      <c r="G1899" t="s">
        <v>926</v>
      </c>
    </row>
    <row r="1900" spans="4:7" x14ac:dyDescent="0.25">
      <c r="D1900" t="s">
        <v>926</v>
      </c>
      <c r="E1900" t="str">
        <f t="shared" si="91"/>
        <v/>
      </c>
      <c r="F1900" s="16" t="str">
        <f t="shared" si="90"/>
        <v/>
      </c>
      <c r="G1900" t="s">
        <v>926</v>
      </c>
    </row>
    <row r="1901" spans="4:7" x14ac:dyDescent="0.25">
      <c r="D1901" t="s">
        <v>926</v>
      </c>
      <c r="E1901" t="str">
        <f t="shared" si="91"/>
        <v/>
      </c>
      <c r="F1901" s="16" t="str">
        <f t="shared" si="90"/>
        <v/>
      </c>
      <c r="G1901" t="s">
        <v>926</v>
      </c>
    </row>
    <row r="1902" spans="4:7" x14ac:dyDescent="0.25">
      <c r="D1902" t="s">
        <v>926</v>
      </c>
      <c r="E1902" t="str">
        <f t="shared" si="91"/>
        <v/>
      </c>
      <c r="F1902" s="16" t="str">
        <f t="shared" si="90"/>
        <v/>
      </c>
      <c r="G1902" t="s">
        <v>926</v>
      </c>
    </row>
    <row r="1903" spans="4:7" x14ac:dyDescent="0.25">
      <c r="D1903" t="s">
        <v>926</v>
      </c>
      <c r="E1903" t="str">
        <f t="shared" si="91"/>
        <v/>
      </c>
      <c r="F1903" s="16" t="str">
        <f t="shared" si="90"/>
        <v/>
      </c>
      <c r="G1903" t="s">
        <v>926</v>
      </c>
    </row>
    <row r="1904" spans="4:7" x14ac:dyDescent="0.25">
      <c r="D1904" t="s">
        <v>926</v>
      </c>
      <c r="E1904" t="str">
        <f t="shared" si="91"/>
        <v/>
      </c>
      <c r="F1904" s="16" t="str">
        <f t="shared" si="90"/>
        <v/>
      </c>
      <c r="G1904" t="s">
        <v>926</v>
      </c>
    </row>
    <row r="1905" spans="4:7" x14ac:dyDescent="0.25">
      <c r="D1905" t="s">
        <v>926</v>
      </c>
      <c r="E1905" t="str">
        <f t="shared" si="91"/>
        <v/>
      </c>
      <c r="F1905" s="16" t="str">
        <f t="shared" si="90"/>
        <v/>
      </c>
      <c r="G1905" t="s">
        <v>926</v>
      </c>
    </row>
    <row r="1906" spans="4:7" x14ac:dyDescent="0.25">
      <c r="D1906" t="s">
        <v>926</v>
      </c>
      <c r="E1906" t="str">
        <f t="shared" si="91"/>
        <v/>
      </c>
      <c r="F1906" s="16" t="str">
        <f t="shared" si="90"/>
        <v/>
      </c>
      <c r="G1906" t="s">
        <v>926</v>
      </c>
    </row>
    <row r="1907" spans="4:7" x14ac:dyDescent="0.25">
      <c r="D1907" t="s">
        <v>926</v>
      </c>
      <c r="E1907" t="str">
        <f t="shared" si="91"/>
        <v/>
      </c>
      <c r="F1907" s="16" t="str">
        <f t="shared" si="90"/>
        <v/>
      </c>
      <c r="G1907" t="s">
        <v>926</v>
      </c>
    </row>
    <row r="1908" spans="4:7" x14ac:dyDescent="0.25">
      <c r="D1908" t="s">
        <v>926</v>
      </c>
      <c r="E1908" t="str">
        <f t="shared" si="91"/>
        <v/>
      </c>
      <c r="F1908" s="16" t="str">
        <f t="shared" si="90"/>
        <v/>
      </c>
      <c r="G1908" t="s">
        <v>926</v>
      </c>
    </row>
    <row r="1909" spans="4:7" x14ac:dyDescent="0.25">
      <c r="D1909" t="s">
        <v>926</v>
      </c>
      <c r="E1909" t="str">
        <f t="shared" si="91"/>
        <v/>
      </c>
      <c r="F1909" s="16" t="str">
        <f t="shared" si="90"/>
        <v/>
      </c>
      <c r="G1909" t="s">
        <v>926</v>
      </c>
    </row>
    <row r="1910" spans="4:7" x14ac:dyDescent="0.25">
      <c r="D1910" t="s">
        <v>926</v>
      </c>
      <c r="E1910" t="str">
        <f t="shared" si="91"/>
        <v/>
      </c>
      <c r="F1910" s="16" t="str">
        <f t="shared" si="90"/>
        <v/>
      </c>
      <c r="G1910" t="s">
        <v>926</v>
      </c>
    </row>
    <row r="1911" spans="4:7" x14ac:dyDescent="0.25">
      <c r="D1911" t="s">
        <v>926</v>
      </c>
      <c r="E1911" t="str">
        <f t="shared" si="91"/>
        <v/>
      </c>
      <c r="F1911" s="16" t="str">
        <f t="shared" si="90"/>
        <v/>
      </c>
      <c r="G1911" t="s">
        <v>926</v>
      </c>
    </row>
    <row r="1912" spans="4:7" x14ac:dyDescent="0.25">
      <c r="D1912" t="s">
        <v>926</v>
      </c>
      <c r="E1912" t="str">
        <f t="shared" si="91"/>
        <v/>
      </c>
      <c r="F1912" s="16" t="str">
        <f t="shared" si="90"/>
        <v/>
      </c>
      <c r="G1912" t="s">
        <v>926</v>
      </c>
    </row>
    <row r="1913" spans="4:7" x14ac:dyDescent="0.25">
      <c r="D1913" t="s">
        <v>926</v>
      </c>
      <c r="E1913" t="str">
        <f t="shared" si="91"/>
        <v/>
      </c>
      <c r="F1913" s="16" t="str">
        <f t="shared" si="90"/>
        <v/>
      </c>
      <c r="G1913" t="s">
        <v>926</v>
      </c>
    </row>
    <row r="1914" spans="4:7" x14ac:dyDescent="0.25">
      <c r="D1914" t="s">
        <v>926</v>
      </c>
      <c r="E1914" t="str">
        <f t="shared" si="91"/>
        <v/>
      </c>
      <c r="F1914" s="16" t="str">
        <f t="shared" si="90"/>
        <v/>
      </c>
      <c r="G1914" t="s">
        <v>926</v>
      </c>
    </row>
    <row r="1915" spans="4:7" x14ac:dyDescent="0.25">
      <c r="D1915" t="s">
        <v>926</v>
      </c>
      <c r="E1915" t="str">
        <f t="shared" si="91"/>
        <v/>
      </c>
      <c r="F1915" s="16" t="str">
        <f t="shared" si="90"/>
        <v/>
      </c>
      <c r="G1915" t="s">
        <v>926</v>
      </c>
    </row>
    <row r="1916" spans="4:7" x14ac:dyDescent="0.25">
      <c r="D1916" t="s">
        <v>926</v>
      </c>
      <c r="E1916" t="str">
        <f t="shared" si="91"/>
        <v/>
      </c>
      <c r="F1916" s="16" t="str">
        <f t="shared" si="90"/>
        <v/>
      </c>
      <c r="G1916" t="s">
        <v>926</v>
      </c>
    </row>
    <row r="1917" spans="4:7" x14ac:dyDescent="0.25">
      <c r="D1917" t="s">
        <v>926</v>
      </c>
      <c r="E1917" t="str">
        <f t="shared" si="91"/>
        <v/>
      </c>
      <c r="F1917" s="16" t="str">
        <f t="shared" si="90"/>
        <v/>
      </c>
      <c r="G1917" t="s">
        <v>926</v>
      </c>
    </row>
    <row r="1918" spans="4:7" x14ac:dyDescent="0.25">
      <c r="D1918" t="s">
        <v>926</v>
      </c>
      <c r="E1918" t="str">
        <f t="shared" si="91"/>
        <v/>
      </c>
      <c r="F1918" s="16" t="str">
        <f t="shared" si="90"/>
        <v/>
      </c>
      <c r="G1918" t="s">
        <v>926</v>
      </c>
    </row>
    <row r="1919" spans="4:7" x14ac:dyDescent="0.25">
      <c r="D1919" t="s">
        <v>926</v>
      </c>
      <c r="E1919" t="str">
        <f t="shared" si="91"/>
        <v/>
      </c>
      <c r="F1919" s="16" t="str">
        <f t="shared" si="90"/>
        <v/>
      </c>
      <c r="G1919" t="s">
        <v>926</v>
      </c>
    </row>
    <row r="1920" spans="4:7" x14ac:dyDescent="0.25">
      <c r="D1920" t="s">
        <v>926</v>
      </c>
      <c r="E1920" t="str">
        <f t="shared" si="91"/>
        <v/>
      </c>
      <c r="F1920" s="16" t="str">
        <f t="shared" si="90"/>
        <v/>
      </c>
      <c r="G1920" t="s">
        <v>926</v>
      </c>
    </row>
    <row r="1921" spans="4:7" x14ac:dyDescent="0.25">
      <c r="D1921" t="s">
        <v>926</v>
      </c>
      <c r="E1921" t="str">
        <f t="shared" si="91"/>
        <v/>
      </c>
      <c r="F1921" s="16" t="str">
        <f t="shared" si="90"/>
        <v/>
      </c>
      <c r="G1921" t="s">
        <v>926</v>
      </c>
    </row>
    <row r="1922" spans="4:7" x14ac:dyDescent="0.25">
      <c r="D1922" t="s">
        <v>926</v>
      </c>
      <c r="E1922" t="str">
        <f t="shared" si="91"/>
        <v/>
      </c>
      <c r="F1922" s="16" t="str">
        <f t="shared" si="90"/>
        <v/>
      </c>
      <c r="G1922" t="s">
        <v>926</v>
      </c>
    </row>
    <row r="1923" spans="4:7" x14ac:dyDescent="0.25">
      <c r="D1923" t="s">
        <v>926</v>
      </c>
      <c r="E1923" t="str">
        <f t="shared" si="91"/>
        <v/>
      </c>
      <c r="F1923" s="16" t="str">
        <f t="shared" ref="F1923:F1986" si="92" xml:space="preserve"> IF(ISERROR(VLOOKUP(E1923,Imp_IVA1,2,FALSE)),"",VLOOKUP(E1923,Imp_IVA1,2,FALSE))&amp; IF(ISERROR(VLOOKUP(E1923,Imp_IVA2,2,FALSE)),"",VLOOKUP(E1923,Imp_IVA2,2,FALSE))</f>
        <v/>
      </c>
      <c r="G1923" t="s">
        <v>926</v>
      </c>
    </row>
    <row r="1924" spans="4:7" x14ac:dyDescent="0.25">
      <c r="D1924" t="s">
        <v>926</v>
      </c>
      <c r="E1924" t="str">
        <f t="shared" si="91"/>
        <v/>
      </c>
      <c r="F1924" s="16" t="str">
        <f t="shared" si="92"/>
        <v/>
      </c>
      <c r="G1924" t="s">
        <v>926</v>
      </c>
    </row>
    <row r="1925" spans="4:7" x14ac:dyDescent="0.25">
      <c r="D1925" t="s">
        <v>926</v>
      </c>
      <c r="E1925" t="str">
        <f t="shared" ref="E1925:E1988" si="93">IF(OR(E1924=$E$2,E1924=""),"",E1924+1)</f>
        <v/>
      </c>
      <c r="F1925" s="16" t="str">
        <f t="shared" si="92"/>
        <v/>
      </c>
      <c r="G1925" t="s">
        <v>926</v>
      </c>
    </row>
    <row r="1926" spans="4:7" x14ac:dyDescent="0.25">
      <c r="D1926" t="s">
        <v>926</v>
      </c>
      <c r="E1926" t="str">
        <f t="shared" si="93"/>
        <v/>
      </c>
      <c r="F1926" s="16" t="str">
        <f t="shared" si="92"/>
        <v/>
      </c>
      <c r="G1926" t="s">
        <v>926</v>
      </c>
    </row>
    <row r="1927" spans="4:7" x14ac:dyDescent="0.25">
      <c r="D1927" t="s">
        <v>926</v>
      </c>
      <c r="E1927" t="str">
        <f t="shared" si="93"/>
        <v/>
      </c>
      <c r="F1927" s="16" t="str">
        <f t="shared" si="92"/>
        <v/>
      </c>
      <c r="G1927" t="s">
        <v>926</v>
      </c>
    </row>
    <row r="1928" spans="4:7" x14ac:dyDescent="0.25">
      <c r="D1928" t="s">
        <v>926</v>
      </c>
      <c r="E1928" t="str">
        <f t="shared" si="93"/>
        <v/>
      </c>
      <c r="F1928" s="16" t="str">
        <f t="shared" si="92"/>
        <v/>
      </c>
      <c r="G1928" t="s">
        <v>926</v>
      </c>
    </row>
    <row r="1929" spans="4:7" x14ac:dyDescent="0.25">
      <c r="D1929" t="s">
        <v>926</v>
      </c>
      <c r="E1929" t="str">
        <f t="shared" si="93"/>
        <v/>
      </c>
      <c r="F1929" s="16" t="str">
        <f t="shared" si="92"/>
        <v/>
      </c>
      <c r="G1929" t="s">
        <v>926</v>
      </c>
    </row>
    <row r="1930" spans="4:7" x14ac:dyDescent="0.25">
      <c r="D1930" t="s">
        <v>926</v>
      </c>
      <c r="E1930" t="str">
        <f t="shared" si="93"/>
        <v/>
      </c>
      <c r="F1930" s="16" t="str">
        <f t="shared" si="92"/>
        <v/>
      </c>
      <c r="G1930" t="s">
        <v>926</v>
      </c>
    </row>
    <row r="1931" spans="4:7" x14ac:dyDescent="0.25">
      <c r="D1931" t="s">
        <v>926</v>
      </c>
      <c r="E1931" t="str">
        <f t="shared" si="93"/>
        <v/>
      </c>
      <c r="F1931" s="16" t="str">
        <f t="shared" si="92"/>
        <v/>
      </c>
      <c r="G1931" t="s">
        <v>926</v>
      </c>
    </row>
    <row r="1932" spans="4:7" x14ac:dyDescent="0.25">
      <c r="D1932" t="s">
        <v>926</v>
      </c>
      <c r="E1932" t="str">
        <f t="shared" si="93"/>
        <v/>
      </c>
      <c r="F1932" s="16" t="str">
        <f t="shared" si="92"/>
        <v/>
      </c>
      <c r="G1932" t="s">
        <v>926</v>
      </c>
    </row>
    <row r="1933" spans="4:7" x14ac:dyDescent="0.25">
      <c r="D1933" t="s">
        <v>926</v>
      </c>
      <c r="E1933" t="str">
        <f t="shared" si="93"/>
        <v/>
      </c>
      <c r="F1933" s="16" t="str">
        <f t="shared" si="92"/>
        <v/>
      </c>
      <c r="G1933" t="s">
        <v>926</v>
      </c>
    </row>
    <row r="1934" spans="4:7" x14ac:dyDescent="0.25">
      <c r="D1934" t="s">
        <v>926</v>
      </c>
      <c r="E1934" t="str">
        <f t="shared" si="93"/>
        <v/>
      </c>
      <c r="F1934" s="16" t="str">
        <f t="shared" si="92"/>
        <v/>
      </c>
      <c r="G1934" t="s">
        <v>926</v>
      </c>
    </row>
    <row r="1935" spans="4:7" x14ac:dyDescent="0.25">
      <c r="D1935" t="s">
        <v>926</v>
      </c>
      <c r="E1935" t="str">
        <f t="shared" si="93"/>
        <v/>
      </c>
      <c r="F1935" s="16" t="str">
        <f t="shared" si="92"/>
        <v/>
      </c>
      <c r="G1935" t="s">
        <v>926</v>
      </c>
    </row>
    <row r="1936" spans="4:7" x14ac:dyDescent="0.25">
      <c r="D1936" t="s">
        <v>926</v>
      </c>
      <c r="E1936" t="str">
        <f t="shared" si="93"/>
        <v/>
      </c>
      <c r="F1936" s="16" t="str">
        <f t="shared" si="92"/>
        <v/>
      </c>
      <c r="G1936" t="s">
        <v>926</v>
      </c>
    </row>
    <row r="1937" spans="4:7" x14ac:dyDescent="0.25">
      <c r="D1937" t="s">
        <v>926</v>
      </c>
      <c r="E1937" t="str">
        <f t="shared" si="93"/>
        <v/>
      </c>
      <c r="F1937" s="16" t="str">
        <f t="shared" si="92"/>
        <v/>
      </c>
      <c r="G1937" t="s">
        <v>926</v>
      </c>
    </row>
    <row r="1938" spans="4:7" x14ac:dyDescent="0.25">
      <c r="D1938" t="s">
        <v>926</v>
      </c>
      <c r="E1938" t="str">
        <f t="shared" si="93"/>
        <v/>
      </c>
      <c r="F1938" s="16" t="str">
        <f t="shared" si="92"/>
        <v/>
      </c>
      <c r="G1938" t="s">
        <v>926</v>
      </c>
    </row>
    <row r="1939" spans="4:7" x14ac:dyDescent="0.25">
      <c r="D1939" t="s">
        <v>926</v>
      </c>
      <c r="E1939" t="str">
        <f t="shared" si="93"/>
        <v/>
      </c>
      <c r="F1939" s="16" t="str">
        <f t="shared" si="92"/>
        <v/>
      </c>
      <c r="G1939" t="s">
        <v>926</v>
      </c>
    </row>
    <row r="1940" spans="4:7" x14ac:dyDescent="0.25">
      <c r="D1940" t="s">
        <v>926</v>
      </c>
      <c r="E1940" t="str">
        <f t="shared" si="93"/>
        <v/>
      </c>
      <c r="F1940" s="16" t="str">
        <f t="shared" si="92"/>
        <v/>
      </c>
      <c r="G1940" t="s">
        <v>926</v>
      </c>
    </row>
    <row r="1941" spans="4:7" x14ac:dyDescent="0.25">
      <c r="D1941" t="s">
        <v>926</v>
      </c>
      <c r="E1941" t="str">
        <f t="shared" si="93"/>
        <v/>
      </c>
      <c r="F1941" s="16" t="str">
        <f t="shared" si="92"/>
        <v/>
      </c>
      <c r="G1941" t="s">
        <v>926</v>
      </c>
    </row>
    <row r="1942" spans="4:7" x14ac:dyDescent="0.25">
      <c r="D1942" t="s">
        <v>926</v>
      </c>
      <c r="E1942" t="str">
        <f t="shared" si="93"/>
        <v/>
      </c>
      <c r="F1942" s="16" t="str">
        <f t="shared" si="92"/>
        <v/>
      </c>
      <c r="G1942" t="s">
        <v>926</v>
      </c>
    </row>
    <row r="1943" spans="4:7" x14ac:dyDescent="0.25">
      <c r="D1943" t="s">
        <v>926</v>
      </c>
      <c r="E1943" t="str">
        <f t="shared" si="93"/>
        <v/>
      </c>
      <c r="F1943" s="16" t="str">
        <f t="shared" si="92"/>
        <v/>
      </c>
      <c r="G1943" t="s">
        <v>926</v>
      </c>
    </row>
    <row r="1944" spans="4:7" x14ac:dyDescent="0.25">
      <c r="D1944" t="s">
        <v>926</v>
      </c>
      <c r="E1944" t="str">
        <f t="shared" si="93"/>
        <v/>
      </c>
      <c r="F1944" s="16" t="str">
        <f t="shared" si="92"/>
        <v/>
      </c>
      <c r="G1944" t="s">
        <v>926</v>
      </c>
    </row>
    <row r="1945" spans="4:7" x14ac:dyDescent="0.25">
      <c r="D1945" t="s">
        <v>926</v>
      </c>
      <c r="E1945" t="str">
        <f t="shared" si="93"/>
        <v/>
      </c>
      <c r="F1945" s="16" t="str">
        <f t="shared" si="92"/>
        <v/>
      </c>
      <c r="G1945" t="s">
        <v>926</v>
      </c>
    </row>
    <row r="1946" spans="4:7" x14ac:dyDescent="0.25">
      <c r="D1946" t="s">
        <v>926</v>
      </c>
      <c r="E1946" t="str">
        <f t="shared" si="93"/>
        <v/>
      </c>
      <c r="F1946" s="16" t="str">
        <f t="shared" si="92"/>
        <v/>
      </c>
      <c r="G1946" t="s">
        <v>926</v>
      </c>
    </row>
    <row r="1947" spans="4:7" x14ac:dyDescent="0.25">
      <c r="D1947" t="s">
        <v>926</v>
      </c>
      <c r="E1947" t="str">
        <f t="shared" si="93"/>
        <v/>
      </c>
      <c r="F1947" s="16" t="str">
        <f t="shared" si="92"/>
        <v/>
      </c>
      <c r="G1947" t="s">
        <v>926</v>
      </c>
    </row>
    <row r="1948" spans="4:7" x14ac:dyDescent="0.25">
      <c r="D1948" t="s">
        <v>926</v>
      </c>
      <c r="E1948" t="str">
        <f t="shared" si="93"/>
        <v/>
      </c>
      <c r="F1948" s="16" t="str">
        <f t="shared" si="92"/>
        <v/>
      </c>
      <c r="G1948" t="s">
        <v>926</v>
      </c>
    </row>
    <row r="1949" spans="4:7" x14ac:dyDescent="0.25">
      <c r="D1949" t="s">
        <v>926</v>
      </c>
      <c r="E1949" t="str">
        <f t="shared" si="93"/>
        <v/>
      </c>
      <c r="F1949" s="16" t="str">
        <f t="shared" si="92"/>
        <v/>
      </c>
      <c r="G1949" t="s">
        <v>926</v>
      </c>
    </row>
    <row r="1950" spans="4:7" x14ac:dyDescent="0.25">
      <c r="D1950" t="s">
        <v>926</v>
      </c>
      <c r="E1950" t="str">
        <f t="shared" si="93"/>
        <v/>
      </c>
      <c r="F1950" s="16" t="str">
        <f t="shared" si="92"/>
        <v/>
      </c>
      <c r="G1950" t="s">
        <v>926</v>
      </c>
    </row>
    <row r="1951" spans="4:7" x14ac:dyDescent="0.25">
      <c r="D1951" t="s">
        <v>926</v>
      </c>
      <c r="E1951" t="str">
        <f t="shared" si="93"/>
        <v/>
      </c>
      <c r="F1951" s="16" t="str">
        <f t="shared" si="92"/>
        <v/>
      </c>
      <c r="G1951" t="s">
        <v>926</v>
      </c>
    </row>
    <row r="1952" spans="4:7" x14ac:dyDescent="0.25">
      <c r="D1952" t="s">
        <v>926</v>
      </c>
      <c r="E1952" t="str">
        <f t="shared" si="93"/>
        <v/>
      </c>
      <c r="F1952" s="16" t="str">
        <f t="shared" si="92"/>
        <v/>
      </c>
      <c r="G1952" t="s">
        <v>926</v>
      </c>
    </row>
    <row r="1953" spans="4:7" x14ac:dyDescent="0.25">
      <c r="D1953" t="s">
        <v>926</v>
      </c>
      <c r="E1953" t="str">
        <f t="shared" si="93"/>
        <v/>
      </c>
      <c r="F1953" s="16" t="str">
        <f t="shared" si="92"/>
        <v/>
      </c>
      <c r="G1953" t="s">
        <v>926</v>
      </c>
    </row>
    <row r="1954" spans="4:7" x14ac:dyDescent="0.25">
      <c r="D1954" t="s">
        <v>926</v>
      </c>
      <c r="E1954" t="str">
        <f t="shared" si="93"/>
        <v/>
      </c>
      <c r="F1954" s="16" t="str">
        <f t="shared" si="92"/>
        <v/>
      </c>
      <c r="G1954" t="s">
        <v>926</v>
      </c>
    </row>
    <row r="1955" spans="4:7" x14ac:dyDescent="0.25">
      <c r="D1955" t="s">
        <v>926</v>
      </c>
      <c r="E1955" t="str">
        <f t="shared" si="93"/>
        <v/>
      </c>
      <c r="F1955" s="16" t="str">
        <f t="shared" si="92"/>
        <v/>
      </c>
      <c r="G1955" t="s">
        <v>926</v>
      </c>
    </row>
    <row r="1956" spans="4:7" x14ac:dyDescent="0.25">
      <c r="D1956" t="s">
        <v>926</v>
      </c>
      <c r="E1956" t="str">
        <f t="shared" si="93"/>
        <v/>
      </c>
      <c r="F1956" s="16" t="str">
        <f t="shared" si="92"/>
        <v/>
      </c>
      <c r="G1956" t="s">
        <v>926</v>
      </c>
    </row>
    <row r="1957" spans="4:7" x14ac:dyDescent="0.25">
      <c r="D1957" t="s">
        <v>926</v>
      </c>
      <c r="E1957" t="str">
        <f t="shared" si="93"/>
        <v/>
      </c>
      <c r="F1957" s="16" t="str">
        <f t="shared" si="92"/>
        <v/>
      </c>
      <c r="G1957" t="s">
        <v>926</v>
      </c>
    </row>
    <row r="1958" spans="4:7" x14ac:dyDescent="0.25">
      <c r="D1958" t="s">
        <v>926</v>
      </c>
      <c r="E1958" t="str">
        <f t="shared" si="93"/>
        <v/>
      </c>
      <c r="F1958" s="16" t="str">
        <f t="shared" si="92"/>
        <v/>
      </c>
      <c r="G1958" t="s">
        <v>926</v>
      </c>
    </row>
    <row r="1959" spans="4:7" x14ac:dyDescent="0.25">
      <c r="D1959" t="s">
        <v>926</v>
      </c>
      <c r="E1959" t="str">
        <f t="shared" si="93"/>
        <v/>
      </c>
      <c r="F1959" s="16" t="str">
        <f t="shared" si="92"/>
        <v/>
      </c>
      <c r="G1959" t="s">
        <v>926</v>
      </c>
    </row>
    <row r="1960" spans="4:7" x14ac:dyDescent="0.25">
      <c r="D1960" t="s">
        <v>926</v>
      </c>
      <c r="E1960" t="str">
        <f t="shared" si="93"/>
        <v/>
      </c>
      <c r="F1960" s="16" t="str">
        <f t="shared" si="92"/>
        <v/>
      </c>
      <c r="G1960" t="s">
        <v>926</v>
      </c>
    </row>
    <row r="1961" spans="4:7" x14ac:dyDescent="0.25">
      <c r="D1961" t="s">
        <v>926</v>
      </c>
      <c r="E1961" t="str">
        <f t="shared" si="93"/>
        <v/>
      </c>
      <c r="F1961" s="16" t="str">
        <f t="shared" si="92"/>
        <v/>
      </c>
      <c r="G1961" t="s">
        <v>926</v>
      </c>
    </row>
    <row r="1962" spans="4:7" x14ac:dyDescent="0.25">
      <c r="D1962" t="s">
        <v>926</v>
      </c>
      <c r="E1962" t="str">
        <f t="shared" si="93"/>
        <v/>
      </c>
      <c r="F1962" s="16" t="str">
        <f t="shared" si="92"/>
        <v/>
      </c>
      <c r="G1962" t="s">
        <v>926</v>
      </c>
    </row>
    <row r="1963" spans="4:7" x14ac:dyDescent="0.25">
      <c r="D1963" t="s">
        <v>926</v>
      </c>
      <c r="E1963" t="str">
        <f t="shared" si="93"/>
        <v/>
      </c>
      <c r="F1963" s="16" t="str">
        <f t="shared" si="92"/>
        <v/>
      </c>
      <c r="G1963" t="s">
        <v>926</v>
      </c>
    </row>
    <row r="1964" spans="4:7" x14ac:dyDescent="0.25">
      <c r="D1964" t="s">
        <v>926</v>
      </c>
      <c r="E1964" t="str">
        <f t="shared" si="93"/>
        <v/>
      </c>
      <c r="F1964" s="16" t="str">
        <f t="shared" si="92"/>
        <v/>
      </c>
      <c r="G1964" t="s">
        <v>926</v>
      </c>
    </row>
    <row r="1965" spans="4:7" x14ac:dyDescent="0.25">
      <c r="D1965" t="s">
        <v>926</v>
      </c>
      <c r="E1965" t="str">
        <f t="shared" si="93"/>
        <v/>
      </c>
      <c r="F1965" s="16" t="str">
        <f t="shared" si="92"/>
        <v/>
      </c>
      <c r="G1965" t="s">
        <v>926</v>
      </c>
    </row>
    <row r="1966" spans="4:7" x14ac:dyDescent="0.25">
      <c r="D1966" t="s">
        <v>926</v>
      </c>
      <c r="E1966" t="str">
        <f t="shared" si="93"/>
        <v/>
      </c>
      <c r="F1966" s="16" t="str">
        <f t="shared" si="92"/>
        <v/>
      </c>
      <c r="G1966" t="s">
        <v>926</v>
      </c>
    </row>
    <row r="1967" spans="4:7" x14ac:dyDescent="0.25">
      <c r="D1967" t="s">
        <v>926</v>
      </c>
      <c r="E1967" t="str">
        <f t="shared" si="93"/>
        <v/>
      </c>
      <c r="F1967" s="16" t="str">
        <f t="shared" si="92"/>
        <v/>
      </c>
      <c r="G1967" t="s">
        <v>926</v>
      </c>
    </row>
    <row r="1968" spans="4:7" x14ac:dyDescent="0.25">
      <c r="D1968" t="s">
        <v>926</v>
      </c>
      <c r="E1968" t="str">
        <f t="shared" si="93"/>
        <v/>
      </c>
      <c r="F1968" s="16" t="str">
        <f t="shared" si="92"/>
        <v/>
      </c>
      <c r="G1968" t="s">
        <v>926</v>
      </c>
    </row>
    <row r="1969" spans="4:7" x14ac:dyDescent="0.25">
      <c r="D1969" t="s">
        <v>926</v>
      </c>
      <c r="E1969" t="str">
        <f t="shared" si="93"/>
        <v/>
      </c>
      <c r="F1969" s="16" t="str">
        <f t="shared" si="92"/>
        <v/>
      </c>
      <c r="G1969" t="s">
        <v>926</v>
      </c>
    </row>
    <row r="1970" spans="4:7" x14ac:dyDescent="0.25">
      <c r="D1970" t="s">
        <v>926</v>
      </c>
      <c r="E1970" t="str">
        <f t="shared" si="93"/>
        <v/>
      </c>
      <c r="F1970" s="16" t="str">
        <f t="shared" si="92"/>
        <v/>
      </c>
      <c r="G1970" t="s">
        <v>926</v>
      </c>
    </row>
    <row r="1971" spans="4:7" x14ac:dyDescent="0.25">
      <c r="D1971" t="s">
        <v>926</v>
      </c>
      <c r="E1971" t="str">
        <f t="shared" si="93"/>
        <v/>
      </c>
      <c r="F1971" s="16" t="str">
        <f t="shared" si="92"/>
        <v/>
      </c>
      <c r="G1971" t="s">
        <v>926</v>
      </c>
    </row>
    <row r="1972" spans="4:7" x14ac:dyDescent="0.25">
      <c r="D1972" t="s">
        <v>926</v>
      </c>
      <c r="E1972" t="str">
        <f t="shared" si="93"/>
        <v/>
      </c>
      <c r="F1972" s="16" t="str">
        <f t="shared" si="92"/>
        <v/>
      </c>
      <c r="G1972" t="s">
        <v>926</v>
      </c>
    </row>
    <row r="1973" spans="4:7" x14ac:dyDescent="0.25">
      <c r="D1973" t="s">
        <v>926</v>
      </c>
      <c r="E1973" t="str">
        <f t="shared" si="93"/>
        <v/>
      </c>
      <c r="F1973" s="16" t="str">
        <f t="shared" si="92"/>
        <v/>
      </c>
      <c r="G1973" t="s">
        <v>926</v>
      </c>
    </row>
    <row r="1974" spans="4:7" x14ac:dyDescent="0.25">
      <c r="D1974" t="s">
        <v>926</v>
      </c>
      <c r="E1974" t="str">
        <f t="shared" si="93"/>
        <v/>
      </c>
      <c r="F1974" s="16" t="str">
        <f t="shared" si="92"/>
        <v/>
      </c>
      <c r="G1974" t="s">
        <v>926</v>
      </c>
    </row>
    <row r="1975" spans="4:7" x14ac:dyDescent="0.25">
      <c r="D1975" t="s">
        <v>926</v>
      </c>
      <c r="E1975" t="str">
        <f t="shared" si="93"/>
        <v/>
      </c>
      <c r="F1975" s="16" t="str">
        <f t="shared" si="92"/>
        <v/>
      </c>
      <c r="G1975" t="s">
        <v>926</v>
      </c>
    </row>
    <row r="1976" spans="4:7" x14ac:dyDescent="0.25">
      <c r="D1976" t="s">
        <v>926</v>
      </c>
      <c r="E1976" t="str">
        <f t="shared" si="93"/>
        <v/>
      </c>
      <c r="F1976" s="16" t="str">
        <f t="shared" si="92"/>
        <v/>
      </c>
      <c r="G1976" t="s">
        <v>926</v>
      </c>
    </row>
    <row r="1977" spans="4:7" x14ac:dyDescent="0.25">
      <c r="D1977" t="s">
        <v>926</v>
      </c>
      <c r="E1977" t="str">
        <f t="shared" si="93"/>
        <v/>
      </c>
      <c r="F1977" s="16" t="str">
        <f t="shared" si="92"/>
        <v/>
      </c>
      <c r="G1977" t="s">
        <v>926</v>
      </c>
    </row>
    <row r="1978" spans="4:7" x14ac:dyDescent="0.25">
      <c r="D1978" t="s">
        <v>926</v>
      </c>
      <c r="E1978" t="str">
        <f t="shared" si="93"/>
        <v/>
      </c>
      <c r="F1978" s="16" t="str">
        <f t="shared" si="92"/>
        <v/>
      </c>
      <c r="G1978" t="s">
        <v>926</v>
      </c>
    </row>
    <row r="1979" spans="4:7" x14ac:dyDescent="0.25">
      <c r="D1979" t="s">
        <v>926</v>
      </c>
      <c r="E1979" t="str">
        <f t="shared" si="93"/>
        <v/>
      </c>
      <c r="F1979" s="16" t="str">
        <f t="shared" si="92"/>
        <v/>
      </c>
      <c r="G1979" t="s">
        <v>926</v>
      </c>
    </row>
    <row r="1980" spans="4:7" x14ac:dyDescent="0.25">
      <c r="D1980" t="s">
        <v>926</v>
      </c>
      <c r="E1980" t="str">
        <f t="shared" si="93"/>
        <v/>
      </c>
      <c r="F1980" s="16" t="str">
        <f t="shared" si="92"/>
        <v/>
      </c>
      <c r="G1980" t="s">
        <v>926</v>
      </c>
    </row>
    <row r="1981" spans="4:7" x14ac:dyDescent="0.25">
      <c r="D1981" t="s">
        <v>926</v>
      </c>
      <c r="E1981" t="str">
        <f t="shared" si="93"/>
        <v/>
      </c>
      <c r="F1981" s="16" t="str">
        <f t="shared" si="92"/>
        <v/>
      </c>
      <c r="G1981" t="s">
        <v>926</v>
      </c>
    </row>
    <row r="1982" spans="4:7" x14ac:dyDescent="0.25">
      <c r="D1982" t="s">
        <v>926</v>
      </c>
      <c r="E1982" t="str">
        <f t="shared" si="93"/>
        <v/>
      </c>
      <c r="F1982" s="16" t="str">
        <f t="shared" si="92"/>
        <v/>
      </c>
      <c r="G1982" t="s">
        <v>926</v>
      </c>
    </row>
    <row r="1983" spans="4:7" x14ac:dyDescent="0.25">
      <c r="D1983" t="s">
        <v>926</v>
      </c>
      <c r="E1983" t="str">
        <f t="shared" si="93"/>
        <v/>
      </c>
      <c r="F1983" s="16" t="str">
        <f t="shared" si="92"/>
        <v/>
      </c>
      <c r="G1983" t="s">
        <v>926</v>
      </c>
    </row>
    <row r="1984" spans="4:7" x14ac:dyDescent="0.25">
      <c r="D1984" t="s">
        <v>926</v>
      </c>
      <c r="E1984" t="str">
        <f t="shared" si="93"/>
        <v/>
      </c>
      <c r="F1984" s="16" t="str">
        <f t="shared" si="92"/>
        <v/>
      </c>
      <c r="G1984" t="s">
        <v>926</v>
      </c>
    </row>
    <row r="1985" spans="4:7" x14ac:dyDescent="0.25">
      <c r="D1985" t="s">
        <v>926</v>
      </c>
      <c r="E1985" t="str">
        <f t="shared" si="93"/>
        <v/>
      </c>
      <c r="F1985" s="16" t="str">
        <f t="shared" si="92"/>
        <v/>
      </c>
      <c r="G1985" t="s">
        <v>926</v>
      </c>
    </row>
    <row r="1986" spans="4:7" x14ac:dyDescent="0.25">
      <c r="D1986" t="s">
        <v>926</v>
      </c>
      <c r="E1986" t="str">
        <f t="shared" si="93"/>
        <v/>
      </c>
      <c r="F1986" s="16" t="str">
        <f t="shared" si="92"/>
        <v/>
      </c>
      <c r="G1986" t="s">
        <v>926</v>
      </c>
    </row>
    <row r="1987" spans="4:7" x14ac:dyDescent="0.25">
      <c r="D1987" t="s">
        <v>926</v>
      </c>
      <c r="E1987" t="str">
        <f t="shared" si="93"/>
        <v/>
      </c>
      <c r="F1987" s="16" t="str">
        <f t="shared" ref="F1987:F2002" si="94" xml:space="preserve"> IF(ISERROR(VLOOKUP(E1987,Imp_IVA1,2,FALSE)),"",VLOOKUP(E1987,Imp_IVA1,2,FALSE))&amp; IF(ISERROR(VLOOKUP(E1987,Imp_IVA2,2,FALSE)),"",VLOOKUP(E1987,Imp_IVA2,2,FALSE))</f>
        <v/>
      </c>
      <c r="G1987" t="s">
        <v>926</v>
      </c>
    </row>
    <row r="1988" spans="4:7" x14ac:dyDescent="0.25">
      <c r="D1988" t="s">
        <v>926</v>
      </c>
      <c r="E1988" t="str">
        <f t="shared" si="93"/>
        <v/>
      </c>
      <c r="F1988" s="16" t="str">
        <f t="shared" si="94"/>
        <v/>
      </c>
      <c r="G1988" t="s">
        <v>926</v>
      </c>
    </row>
    <row r="1989" spans="4:7" x14ac:dyDescent="0.25">
      <c r="D1989" t="s">
        <v>926</v>
      </c>
      <c r="E1989" t="str">
        <f t="shared" ref="E1989:E2002" si="95">IF(OR(E1988=$E$2,E1988=""),"",E1988+1)</f>
        <v/>
      </c>
      <c r="F1989" s="16" t="str">
        <f t="shared" si="94"/>
        <v/>
      </c>
      <c r="G1989" t="s">
        <v>926</v>
      </c>
    </row>
    <row r="1990" spans="4:7" x14ac:dyDescent="0.25">
      <c r="D1990" t="s">
        <v>926</v>
      </c>
      <c r="E1990" t="str">
        <f t="shared" si="95"/>
        <v/>
      </c>
      <c r="F1990" s="16" t="str">
        <f t="shared" si="94"/>
        <v/>
      </c>
      <c r="G1990" t="s">
        <v>926</v>
      </c>
    </row>
    <row r="1991" spans="4:7" x14ac:dyDescent="0.25">
      <c r="D1991" t="s">
        <v>926</v>
      </c>
      <c r="E1991" t="str">
        <f t="shared" si="95"/>
        <v/>
      </c>
      <c r="F1991" s="16" t="str">
        <f t="shared" si="94"/>
        <v/>
      </c>
      <c r="G1991" t="s">
        <v>926</v>
      </c>
    </row>
    <row r="1992" spans="4:7" x14ac:dyDescent="0.25">
      <c r="D1992" t="s">
        <v>926</v>
      </c>
      <c r="E1992" t="str">
        <f t="shared" si="95"/>
        <v/>
      </c>
      <c r="F1992" s="16" t="str">
        <f t="shared" si="94"/>
        <v/>
      </c>
      <c r="G1992" t="s">
        <v>926</v>
      </c>
    </row>
    <row r="1993" spans="4:7" x14ac:dyDescent="0.25">
      <c r="D1993" t="s">
        <v>926</v>
      </c>
      <c r="E1993" t="str">
        <f t="shared" si="95"/>
        <v/>
      </c>
      <c r="F1993" s="16" t="str">
        <f t="shared" si="94"/>
        <v/>
      </c>
      <c r="G1993" t="s">
        <v>926</v>
      </c>
    </row>
    <row r="1994" spans="4:7" x14ac:dyDescent="0.25">
      <c r="D1994" t="s">
        <v>926</v>
      </c>
      <c r="E1994" t="str">
        <f t="shared" si="95"/>
        <v/>
      </c>
      <c r="F1994" s="16" t="str">
        <f t="shared" si="94"/>
        <v/>
      </c>
      <c r="G1994" t="s">
        <v>926</v>
      </c>
    </row>
    <row r="1995" spans="4:7" x14ac:dyDescent="0.25">
      <c r="D1995" t="s">
        <v>926</v>
      </c>
      <c r="E1995" t="str">
        <f t="shared" si="95"/>
        <v/>
      </c>
      <c r="F1995" s="16" t="str">
        <f t="shared" si="94"/>
        <v/>
      </c>
      <c r="G1995" t="s">
        <v>926</v>
      </c>
    </row>
    <row r="1996" spans="4:7" x14ac:dyDescent="0.25">
      <c r="D1996" t="s">
        <v>926</v>
      </c>
      <c r="E1996" t="str">
        <f t="shared" si="95"/>
        <v/>
      </c>
      <c r="F1996" s="16" t="str">
        <f t="shared" si="94"/>
        <v/>
      </c>
      <c r="G1996" t="s">
        <v>926</v>
      </c>
    </row>
    <row r="1997" spans="4:7" x14ac:dyDescent="0.25">
      <c r="D1997" t="s">
        <v>926</v>
      </c>
      <c r="E1997" t="str">
        <f t="shared" si="95"/>
        <v/>
      </c>
      <c r="F1997" s="16" t="str">
        <f t="shared" si="94"/>
        <v/>
      </c>
      <c r="G1997" t="s">
        <v>926</v>
      </c>
    </row>
    <row r="1998" spans="4:7" x14ac:dyDescent="0.25">
      <c r="D1998" t="s">
        <v>926</v>
      </c>
      <c r="E1998" t="str">
        <f t="shared" si="95"/>
        <v/>
      </c>
      <c r="F1998" s="16" t="str">
        <f t="shared" si="94"/>
        <v/>
      </c>
      <c r="G1998" t="s">
        <v>926</v>
      </c>
    </row>
    <row r="1999" spans="4:7" x14ac:dyDescent="0.25">
      <c r="D1999" t="s">
        <v>926</v>
      </c>
      <c r="E1999" t="str">
        <f t="shared" si="95"/>
        <v/>
      </c>
      <c r="F1999" s="16" t="str">
        <f t="shared" si="94"/>
        <v/>
      </c>
      <c r="G1999" t="s">
        <v>926</v>
      </c>
    </row>
    <row r="2000" spans="4:7" x14ac:dyDescent="0.25">
      <c r="D2000" t="s">
        <v>926</v>
      </c>
      <c r="E2000" t="str">
        <f t="shared" si="95"/>
        <v/>
      </c>
      <c r="F2000" s="16" t="str">
        <f t="shared" si="94"/>
        <v/>
      </c>
      <c r="G2000" t="s">
        <v>926</v>
      </c>
    </row>
    <row r="2001" spans="4:7" x14ac:dyDescent="0.25">
      <c r="D2001" t="s">
        <v>926</v>
      </c>
      <c r="E2001" t="str">
        <f t="shared" si="95"/>
        <v/>
      </c>
      <c r="F2001" s="16" t="str">
        <f t="shared" si="94"/>
        <v/>
      </c>
      <c r="G2001" t="s">
        <v>926</v>
      </c>
    </row>
    <row r="2002" spans="4:7" ht="15.75" thickBot="1" x14ac:dyDescent="0.3">
      <c r="D2002" t="s">
        <v>926</v>
      </c>
      <c r="E2002" t="str">
        <f t="shared" si="95"/>
        <v/>
      </c>
      <c r="F2002" s="17" t="str">
        <f t="shared" si="94"/>
        <v/>
      </c>
      <c r="G2002" t="s">
        <v>926</v>
      </c>
    </row>
  </sheetData>
  <conditionalFormatting sqref="C3:C1002 F3:F2002">
    <cfRule type="notContainsBlanks" dxfId="0" priority="3">
      <formula>LEN(TRIM(C3))&gt;0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AK440"/>
  <sheetViews>
    <sheetView workbookViewId="0">
      <selection activeCell="AB3" sqref="AB3"/>
    </sheetView>
  </sheetViews>
  <sheetFormatPr baseColWidth="10" defaultRowHeight="15" x14ac:dyDescent="0.25"/>
  <cols>
    <col min="1" max="1" width="3" customWidth="1"/>
    <col min="2" max="2" width="7" customWidth="1"/>
    <col min="3" max="3" width="34.28515625" bestFit="1" customWidth="1"/>
    <col min="4" max="4" width="3.85546875" customWidth="1"/>
    <col min="5" max="5" width="7" customWidth="1"/>
    <col min="6" max="6" width="4.7109375" customWidth="1"/>
    <col min="7" max="7" width="7.7109375" customWidth="1"/>
    <col min="8" max="8" width="3.5703125" customWidth="1"/>
    <col min="10" max="10" width="78.28515625" bestFit="1" customWidth="1"/>
    <col min="11" max="11" width="4.7109375" customWidth="1"/>
    <col min="12" max="12" width="8" customWidth="1"/>
    <col min="13" max="13" width="77.28515625" bestFit="1" customWidth="1"/>
    <col min="14" max="14" width="4.85546875" customWidth="1"/>
    <col min="17" max="17" width="3.85546875" customWidth="1"/>
    <col min="18" max="18" width="7.140625" customWidth="1"/>
    <col min="19" max="19" width="49.85546875" bestFit="1" customWidth="1"/>
    <col min="20" max="20" width="4.42578125" customWidth="1"/>
    <col min="21" max="21" width="12" bestFit="1" customWidth="1"/>
    <col min="22" max="22" width="57.7109375" bestFit="1" customWidth="1"/>
    <col min="23" max="23" width="3.85546875" customWidth="1"/>
    <col min="24" max="24" width="7.5703125" customWidth="1"/>
    <col min="25" max="25" width="30.28515625" bestFit="1" customWidth="1"/>
    <col min="26" max="26" width="4.140625" customWidth="1"/>
    <col min="27" max="27" width="8" customWidth="1"/>
    <col min="28" max="28" width="29.140625" bestFit="1" customWidth="1"/>
    <col min="29" max="29" width="4.42578125" customWidth="1"/>
    <col min="31" max="31" width="102.5703125" bestFit="1" customWidth="1"/>
    <col min="32" max="32" width="3.7109375" customWidth="1"/>
    <col min="34" max="34" width="37.7109375" bestFit="1" customWidth="1"/>
    <col min="37" max="37" width="29.28515625" bestFit="1" customWidth="1"/>
  </cols>
  <sheetData>
    <row r="2" spans="2:37" x14ac:dyDescent="0.25">
      <c r="B2" s="129" t="s">
        <v>70</v>
      </c>
      <c r="C2" s="129"/>
      <c r="E2" s="129" t="s">
        <v>71</v>
      </c>
      <c r="F2" s="129"/>
      <c r="G2" s="129"/>
      <c r="I2" s="129" t="s">
        <v>145</v>
      </c>
      <c r="J2" s="129"/>
      <c r="L2" s="129" t="s">
        <v>146</v>
      </c>
      <c r="M2" s="129"/>
      <c r="O2" s="129" t="s">
        <v>158</v>
      </c>
      <c r="P2" s="129"/>
      <c r="R2" s="129" t="s">
        <v>163</v>
      </c>
      <c r="S2" s="129"/>
      <c r="U2" s="129" t="s">
        <v>602</v>
      </c>
      <c r="V2" s="129"/>
      <c r="X2" s="129" t="s">
        <v>603</v>
      </c>
      <c r="Y2" s="129"/>
      <c r="AA2" s="129" t="s">
        <v>642</v>
      </c>
      <c r="AB2" s="129"/>
      <c r="AD2" s="129" t="s">
        <v>641</v>
      </c>
      <c r="AE2" s="129"/>
      <c r="AG2" s="129" t="s">
        <v>640</v>
      </c>
      <c r="AH2" s="129"/>
      <c r="AJ2" s="129" t="s">
        <v>643</v>
      </c>
      <c r="AK2" s="129"/>
    </row>
    <row r="3" spans="2:37" x14ac:dyDescent="0.25">
      <c r="B3" s="4">
        <v>0</v>
      </c>
      <c r="C3" s="3" t="s">
        <v>3</v>
      </c>
      <c r="E3" s="7">
        <v>0</v>
      </c>
      <c r="F3" s="3">
        <v>3</v>
      </c>
      <c r="G3" s="7">
        <v>0</v>
      </c>
      <c r="I3" s="3">
        <v>1</v>
      </c>
      <c r="J3" s="3" t="s">
        <v>72</v>
      </c>
      <c r="L3" s="3">
        <v>1</v>
      </c>
      <c r="M3" s="3" t="s">
        <v>72</v>
      </c>
      <c r="O3" s="3">
        <v>1</v>
      </c>
      <c r="P3" s="3" t="s">
        <v>155</v>
      </c>
      <c r="R3" s="3">
        <v>1</v>
      </c>
      <c r="S3" s="3" t="s">
        <v>159</v>
      </c>
      <c r="U3" s="3">
        <v>50000000016</v>
      </c>
      <c r="V3" s="3" t="s">
        <v>164</v>
      </c>
      <c r="X3" s="3">
        <v>0</v>
      </c>
      <c r="Y3" s="3" t="s">
        <v>697</v>
      </c>
      <c r="AA3" s="3">
        <v>0</v>
      </c>
      <c r="AB3" s="3" t="s">
        <v>697</v>
      </c>
      <c r="AD3" s="3" t="s">
        <v>800</v>
      </c>
      <c r="AE3" s="3" t="s">
        <v>712</v>
      </c>
      <c r="AG3" s="3">
        <v>0</v>
      </c>
      <c r="AH3" s="3" t="s">
        <v>604</v>
      </c>
      <c r="AJ3" s="5">
        <v>2</v>
      </c>
      <c r="AK3" s="3" t="s">
        <v>646</v>
      </c>
    </row>
    <row r="4" spans="2:37" x14ac:dyDescent="0.25">
      <c r="B4" s="4">
        <v>1</v>
      </c>
      <c r="C4" s="3" t="s">
        <v>4</v>
      </c>
      <c r="E4" s="7">
        <v>10.5</v>
      </c>
      <c r="F4" s="3">
        <v>4</v>
      </c>
      <c r="G4" s="7">
        <v>10.5</v>
      </c>
      <c r="I4" s="3">
        <v>2</v>
      </c>
      <c r="J4" s="3" t="s">
        <v>73</v>
      </c>
      <c r="L4" s="3">
        <v>2</v>
      </c>
      <c r="M4" s="3" t="s">
        <v>73</v>
      </c>
      <c r="O4" s="3">
        <v>2</v>
      </c>
      <c r="P4" s="3" t="s">
        <v>156</v>
      </c>
      <c r="R4" s="3">
        <v>2</v>
      </c>
      <c r="S4" s="3" t="s">
        <v>160</v>
      </c>
      <c r="U4" s="3">
        <v>50000000024</v>
      </c>
      <c r="V4" s="3" t="s">
        <v>165</v>
      </c>
      <c r="X4" s="3" t="s">
        <v>698</v>
      </c>
      <c r="Y4" s="3" t="s">
        <v>699</v>
      </c>
      <c r="AA4" s="3" t="s">
        <v>698</v>
      </c>
      <c r="AB4" s="3" t="s">
        <v>699</v>
      </c>
      <c r="AD4" s="3" t="s">
        <v>801</v>
      </c>
      <c r="AE4" s="3" t="s">
        <v>713</v>
      </c>
      <c r="AG4" s="3">
        <v>1</v>
      </c>
      <c r="AH4" s="3" t="s">
        <v>605</v>
      </c>
      <c r="AJ4" s="5">
        <v>7</v>
      </c>
      <c r="AK4" s="3" t="s">
        <v>647</v>
      </c>
    </row>
    <row r="5" spans="2:37" x14ac:dyDescent="0.25">
      <c r="B5" s="4">
        <v>3</v>
      </c>
      <c r="C5" s="3" t="s">
        <v>5</v>
      </c>
      <c r="E5" s="7">
        <v>21</v>
      </c>
      <c r="F5" s="3">
        <v>5</v>
      </c>
      <c r="G5" s="7">
        <v>21</v>
      </c>
      <c r="I5" s="3">
        <v>3</v>
      </c>
      <c r="J5" s="3" t="s">
        <v>74</v>
      </c>
      <c r="L5" s="3">
        <v>3</v>
      </c>
      <c r="M5" s="3" t="s">
        <v>74</v>
      </c>
      <c r="O5" s="3">
        <v>3</v>
      </c>
      <c r="P5" s="3" t="s">
        <v>157</v>
      </c>
      <c r="R5" s="3">
        <v>3</v>
      </c>
      <c r="S5" s="3" t="s">
        <v>161</v>
      </c>
      <c r="U5" s="3">
        <v>50000000032</v>
      </c>
      <c r="V5" s="3" t="s">
        <v>166</v>
      </c>
      <c r="X5" s="3" t="s">
        <v>700</v>
      </c>
      <c r="Y5" s="3" t="s">
        <v>701</v>
      </c>
      <c r="AA5" s="3" t="s">
        <v>700</v>
      </c>
      <c r="AB5" s="3" t="s">
        <v>701</v>
      </c>
      <c r="AD5" s="3" t="s">
        <v>802</v>
      </c>
      <c r="AE5" s="3" t="s">
        <v>714</v>
      </c>
      <c r="AG5" s="3">
        <v>2</v>
      </c>
      <c r="AH5" s="3" t="s">
        <v>606</v>
      </c>
      <c r="AJ5" s="5">
        <v>9</v>
      </c>
      <c r="AK5" s="3" t="s">
        <v>648</v>
      </c>
    </row>
    <row r="6" spans="2:37" x14ac:dyDescent="0.25">
      <c r="B6" s="4">
        <v>4</v>
      </c>
      <c r="C6" s="3" t="s">
        <v>6</v>
      </c>
      <c r="E6" s="7">
        <v>27</v>
      </c>
      <c r="F6" s="3">
        <v>6</v>
      </c>
      <c r="G6" s="7">
        <v>27</v>
      </c>
      <c r="I6" s="3">
        <v>4</v>
      </c>
      <c r="J6" s="3" t="s">
        <v>75</v>
      </c>
      <c r="L6" s="3">
        <v>4</v>
      </c>
      <c r="M6" s="3" t="s">
        <v>75</v>
      </c>
      <c r="R6" s="3">
        <v>4</v>
      </c>
      <c r="S6" s="3" t="s">
        <v>162</v>
      </c>
      <c r="U6" s="3">
        <v>50000000040</v>
      </c>
      <c r="V6" s="3" t="s">
        <v>167</v>
      </c>
      <c r="X6" s="3" t="s">
        <v>702</v>
      </c>
      <c r="Y6" s="3" t="s">
        <v>703</v>
      </c>
      <c r="AA6" s="3" t="s">
        <v>702</v>
      </c>
      <c r="AB6" s="3" t="s">
        <v>703</v>
      </c>
      <c r="AD6" s="3" t="s">
        <v>803</v>
      </c>
      <c r="AE6" s="3" t="s">
        <v>715</v>
      </c>
      <c r="AG6" s="3">
        <v>3</v>
      </c>
      <c r="AH6" s="3" t="s">
        <v>607</v>
      </c>
      <c r="AJ6" s="5">
        <v>10</v>
      </c>
      <c r="AK6" s="3" t="s">
        <v>649</v>
      </c>
    </row>
    <row r="7" spans="2:37" x14ac:dyDescent="0.25">
      <c r="B7" s="4">
        <v>8</v>
      </c>
      <c r="C7" s="3" t="s">
        <v>7</v>
      </c>
      <c r="E7" s="7">
        <v>5</v>
      </c>
      <c r="F7" s="3">
        <v>8</v>
      </c>
      <c r="G7" s="7">
        <v>5</v>
      </c>
      <c r="I7" s="3">
        <v>5</v>
      </c>
      <c r="J7" s="3" t="s">
        <v>76</v>
      </c>
      <c r="L7" s="3">
        <v>5</v>
      </c>
      <c r="M7" s="3" t="s">
        <v>76</v>
      </c>
      <c r="R7" s="3">
        <v>9</v>
      </c>
      <c r="S7" s="3" t="s">
        <v>157</v>
      </c>
      <c r="U7" s="3">
        <v>50000000059</v>
      </c>
      <c r="V7" s="3" t="s">
        <v>168</v>
      </c>
      <c r="X7" s="3" t="s">
        <v>704</v>
      </c>
      <c r="Y7" s="3" t="s">
        <v>705</v>
      </c>
      <c r="AA7" s="3" t="s">
        <v>704</v>
      </c>
      <c r="AB7" s="3" t="s">
        <v>705</v>
      </c>
      <c r="AD7" s="3" t="s">
        <v>804</v>
      </c>
      <c r="AE7" s="3" t="s">
        <v>716</v>
      </c>
      <c r="AG7" s="3">
        <v>4</v>
      </c>
      <c r="AH7" s="3" t="s">
        <v>608</v>
      </c>
      <c r="AJ7" s="5">
        <v>11</v>
      </c>
      <c r="AK7" s="3" t="s">
        <v>650</v>
      </c>
    </row>
    <row r="8" spans="2:37" x14ac:dyDescent="0.25">
      <c r="B8" s="4">
        <v>10</v>
      </c>
      <c r="C8" s="3" t="s">
        <v>8</v>
      </c>
      <c r="E8" s="7">
        <v>2.5</v>
      </c>
      <c r="F8" s="3">
        <v>9</v>
      </c>
      <c r="G8" s="7">
        <v>2.5</v>
      </c>
      <c r="I8" s="3">
        <v>6</v>
      </c>
      <c r="J8" s="3" t="s">
        <v>77</v>
      </c>
      <c r="L8" s="3">
        <v>6</v>
      </c>
      <c r="M8" s="3" t="s">
        <v>77</v>
      </c>
      <c r="U8" s="3">
        <v>50000001012</v>
      </c>
      <c r="V8" s="3" t="s">
        <v>169</v>
      </c>
      <c r="X8" s="3" t="s">
        <v>706</v>
      </c>
      <c r="Y8" s="3" t="s">
        <v>707</v>
      </c>
      <c r="AA8" s="3" t="s">
        <v>706</v>
      </c>
      <c r="AB8" s="3" t="s">
        <v>710</v>
      </c>
      <c r="AD8" s="3" t="s">
        <v>805</v>
      </c>
      <c r="AE8" s="3" t="s">
        <v>717</v>
      </c>
      <c r="AG8" s="3">
        <v>5</v>
      </c>
      <c r="AH8" s="3" t="s">
        <v>609</v>
      </c>
      <c r="AJ8" s="5">
        <v>12</v>
      </c>
      <c r="AK8" s="3" t="s">
        <v>651</v>
      </c>
    </row>
    <row r="9" spans="2:37" x14ac:dyDescent="0.25">
      <c r="B9" s="4">
        <v>12</v>
      </c>
      <c r="C9" s="3" t="s">
        <v>9</v>
      </c>
      <c r="I9" s="3">
        <v>7</v>
      </c>
      <c r="J9" s="3" t="s">
        <v>78</v>
      </c>
      <c r="L9" s="3">
        <v>7</v>
      </c>
      <c r="M9" s="3" t="s">
        <v>78</v>
      </c>
      <c r="U9" s="3">
        <v>50000001020</v>
      </c>
      <c r="V9" s="3" t="s">
        <v>170</v>
      </c>
      <c r="X9" s="3" t="s">
        <v>708</v>
      </c>
      <c r="Y9" s="3" t="s">
        <v>709</v>
      </c>
      <c r="AA9" s="3" t="s">
        <v>708</v>
      </c>
      <c r="AB9" s="3" t="s">
        <v>711</v>
      </c>
      <c r="AD9" s="3" t="s">
        <v>806</v>
      </c>
      <c r="AE9" s="3" t="s">
        <v>718</v>
      </c>
      <c r="AG9" s="3">
        <v>6</v>
      </c>
      <c r="AH9" s="3" t="s">
        <v>610</v>
      </c>
      <c r="AJ9" s="5">
        <v>14</v>
      </c>
      <c r="AK9" s="3" t="s">
        <v>652</v>
      </c>
    </row>
    <row r="10" spans="2:37" x14ac:dyDescent="0.25">
      <c r="B10" s="4">
        <v>13</v>
      </c>
      <c r="C10" s="3" t="s">
        <v>10</v>
      </c>
      <c r="I10" s="3">
        <v>8</v>
      </c>
      <c r="J10" s="3" t="s">
        <v>79</v>
      </c>
      <c r="L10" s="3">
        <v>8</v>
      </c>
      <c r="M10" s="3" t="s">
        <v>79</v>
      </c>
      <c r="U10" s="3">
        <v>50000001039</v>
      </c>
      <c r="V10" s="3" t="s">
        <v>171</v>
      </c>
      <c r="AD10" s="3" t="s">
        <v>807</v>
      </c>
      <c r="AE10" s="3" t="s">
        <v>719</v>
      </c>
      <c r="AG10" s="3">
        <v>7</v>
      </c>
      <c r="AH10" s="3" t="s">
        <v>611</v>
      </c>
      <c r="AJ10" s="5">
        <v>15</v>
      </c>
      <c r="AK10" s="3" t="s">
        <v>653</v>
      </c>
    </row>
    <row r="11" spans="2:37" x14ac:dyDescent="0.25">
      <c r="B11" s="4">
        <v>14</v>
      </c>
      <c r="C11" s="3" t="s">
        <v>11</v>
      </c>
      <c r="I11" s="3">
        <v>9</v>
      </c>
      <c r="J11" s="3" t="s">
        <v>80</v>
      </c>
      <c r="L11" s="3">
        <v>9</v>
      </c>
      <c r="M11" s="3" t="s">
        <v>80</v>
      </c>
      <c r="U11" s="3">
        <v>50000001047</v>
      </c>
      <c r="V11" s="3" t="s">
        <v>172</v>
      </c>
      <c r="AD11" s="3" t="s">
        <v>808</v>
      </c>
      <c r="AE11" s="3" t="s">
        <v>720</v>
      </c>
      <c r="AG11" s="3">
        <v>8</v>
      </c>
      <c r="AH11" s="3" t="s">
        <v>612</v>
      </c>
      <c r="AJ11" s="5">
        <v>16</v>
      </c>
      <c r="AK11" s="3" t="s">
        <v>654</v>
      </c>
    </row>
    <row r="12" spans="2:37" x14ac:dyDescent="0.25">
      <c r="B12" s="4">
        <v>15</v>
      </c>
      <c r="C12" s="3" t="s">
        <v>12</v>
      </c>
      <c r="I12" s="3">
        <v>10</v>
      </c>
      <c r="J12" s="3" t="s">
        <v>81</v>
      </c>
      <c r="L12" s="3">
        <v>10</v>
      </c>
      <c r="M12" s="3" t="s">
        <v>81</v>
      </c>
      <c r="U12" s="3">
        <v>50000001055</v>
      </c>
      <c r="V12" s="3" t="s">
        <v>173</v>
      </c>
      <c r="AD12" s="3" t="s">
        <v>809</v>
      </c>
      <c r="AE12" s="3" t="s">
        <v>721</v>
      </c>
      <c r="AG12" s="3">
        <v>9</v>
      </c>
      <c r="AH12" s="3" t="s">
        <v>613</v>
      </c>
      <c r="AJ12" s="5">
        <v>18</v>
      </c>
      <c r="AK12" s="3" t="s">
        <v>655</v>
      </c>
    </row>
    <row r="13" spans="2:37" x14ac:dyDescent="0.25">
      <c r="B13" s="4">
        <v>16</v>
      </c>
      <c r="C13" s="3" t="s">
        <v>13</v>
      </c>
      <c r="I13" s="3">
        <v>11</v>
      </c>
      <c r="J13" s="3" t="s">
        <v>82</v>
      </c>
      <c r="L13" s="3">
        <v>17</v>
      </c>
      <c r="M13" s="3" t="s">
        <v>87</v>
      </c>
      <c r="U13" s="3">
        <v>50000001071</v>
      </c>
      <c r="V13" s="3" t="s">
        <v>174</v>
      </c>
      <c r="AD13" s="3" t="s">
        <v>810</v>
      </c>
      <c r="AE13" s="3" t="s">
        <v>722</v>
      </c>
      <c r="AG13" s="3">
        <v>10</v>
      </c>
      <c r="AH13" s="3" t="s">
        <v>614</v>
      </c>
      <c r="AJ13" s="5">
        <v>19</v>
      </c>
      <c r="AK13" s="3" t="s">
        <v>656</v>
      </c>
    </row>
    <row r="14" spans="2:37" x14ac:dyDescent="0.25">
      <c r="B14" s="4">
        <v>17</v>
      </c>
      <c r="C14" s="3" t="s">
        <v>14</v>
      </c>
      <c r="I14" s="3">
        <v>12</v>
      </c>
      <c r="J14" s="3" t="s">
        <v>83</v>
      </c>
      <c r="L14" s="3">
        <v>18</v>
      </c>
      <c r="M14" s="3" t="s">
        <v>88</v>
      </c>
      <c r="U14" s="3">
        <v>50000001101</v>
      </c>
      <c r="V14" s="3" t="s">
        <v>175</v>
      </c>
      <c r="AD14" s="3" t="s">
        <v>811</v>
      </c>
      <c r="AE14" s="3" t="s">
        <v>723</v>
      </c>
      <c r="AG14" s="3">
        <v>11</v>
      </c>
      <c r="AH14" s="3" t="s">
        <v>615</v>
      </c>
      <c r="AJ14" s="5">
        <v>21</v>
      </c>
      <c r="AK14" s="3" t="s">
        <v>657</v>
      </c>
    </row>
    <row r="15" spans="2:37" x14ac:dyDescent="0.25">
      <c r="B15" s="4">
        <v>18</v>
      </c>
      <c r="C15" s="3" t="s">
        <v>15</v>
      </c>
      <c r="I15" s="3">
        <v>13</v>
      </c>
      <c r="J15" s="3" t="s">
        <v>84</v>
      </c>
      <c r="L15" s="3">
        <v>19</v>
      </c>
      <c r="M15" s="3" t="s">
        <v>147</v>
      </c>
      <c r="U15" s="3">
        <v>50000001136</v>
      </c>
      <c r="V15" s="3" t="s">
        <v>176</v>
      </c>
      <c r="AD15" s="3" t="s">
        <v>812</v>
      </c>
      <c r="AE15" s="3" t="s">
        <v>724</v>
      </c>
      <c r="AG15" s="3">
        <v>12</v>
      </c>
      <c r="AH15" s="3" t="s">
        <v>616</v>
      </c>
      <c r="AJ15" s="5">
        <v>23</v>
      </c>
      <c r="AK15" s="3" t="s">
        <v>658</v>
      </c>
    </row>
    <row r="16" spans="2:37" x14ac:dyDescent="0.25">
      <c r="B16" s="4">
        <v>19</v>
      </c>
      <c r="C16" s="3" t="s">
        <v>16</v>
      </c>
      <c r="I16" s="3">
        <v>15</v>
      </c>
      <c r="J16" s="3" t="s">
        <v>85</v>
      </c>
      <c r="L16" s="3">
        <v>20</v>
      </c>
      <c r="M16" s="3" t="s">
        <v>148</v>
      </c>
      <c r="U16" s="3">
        <v>50000001144</v>
      </c>
      <c r="V16" s="3" t="s">
        <v>177</v>
      </c>
      <c r="AD16" s="3" t="s">
        <v>813</v>
      </c>
      <c r="AE16" s="3" t="s">
        <v>725</v>
      </c>
      <c r="AG16" s="3">
        <v>13</v>
      </c>
      <c r="AH16" s="3" t="s">
        <v>617</v>
      </c>
      <c r="AJ16" s="5">
        <v>24</v>
      </c>
      <c r="AK16" s="3" t="s">
        <v>659</v>
      </c>
    </row>
    <row r="17" spans="2:37" x14ac:dyDescent="0.25">
      <c r="B17" s="4">
        <v>20</v>
      </c>
      <c r="C17" s="3" t="s">
        <v>17</v>
      </c>
      <c r="I17" s="3">
        <v>16</v>
      </c>
      <c r="J17" s="3" t="s">
        <v>86</v>
      </c>
      <c r="L17" s="3">
        <v>21</v>
      </c>
      <c r="M17" s="3" t="s">
        <v>149</v>
      </c>
      <c r="U17" s="3">
        <v>50000001152</v>
      </c>
      <c r="V17" s="3" t="s">
        <v>178</v>
      </c>
      <c r="AD17" s="3" t="s">
        <v>814</v>
      </c>
      <c r="AE17" s="3" t="s">
        <v>726</v>
      </c>
      <c r="AG17" s="3">
        <v>14</v>
      </c>
      <c r="AH17" s="3" t="s">
        <v>618</v>
      </c>
      <c r="AJ17" s="5">
        <v>25</v>
      </c>
      <c r="AK17" s="3" t="s">
        <v>660</v>
      </c>
    </row>
    <row r="18" spans="2:37" x14ac:dyDescent="0.25">
      <c r="B18" s="4">
        <v>23</v>
      </c>
      <c r="C18" s="3" t="s">
        <v>18</v>
      </c>
      <c r="I18" s="3">
        <v>17</v>
      </c>
      <c r="J18" s="3" t="s">
        <v>87</v>
      </c>
      <c r="L18" s="3">
        <v>22</v>
      </c>
      <c r="M18" s="3" t="s">
        <v>150</v>
      </c>
      <c r="U18" s="3">
        <v>50000001160</v>
      </c>
      <c r="V18" s="3" t="s">
        <v>179</v>
      </c>
      <c r="AD18" s="3" t="s">
        <v>815</v>
      </c>
      <c r="AE18" s="3" t="s">
        <v>727</v>
      </c>
      <c r="AG18" s="3">
        <v>16</v>
      </c>
      <c r="AH18" s="3" t="s">
        <v>619</v>
      </c>
      <c r="AJ18" s="5">
        <v>26</v>
      </c>
      <c r="AK18" s="3" t="s">
        <v>661</v>
      </c>
    </row>
    <row r="19" spans="2:37" x14ac:dyDescent="0.25">
      <c r="B19" s="4">
        <v>24</v>
      </c>
      <c r="C19" s="3" t="s">
        <v>19</v>
      </c>
      <c r="I19" s="3">
        <v>18</v>
      </c>
      <c r="J19" s="3" t="s">
        <v>88</v>
      </c>
      <c r="L19" s="3">
        <v>23</v>
      </c>
      <c r="M19" s="3" t="s">
        <v>89</v>
      </c>
      <c r="U19" s="3">
        <v>50000001179</v>
      </c>
      <c r="V19" s="3" t="s">
        <v>180</v>
      </c>
      <c r="AD19" s="3" t="s">
        <v>816</v>
      </c>
      <c r="AE19" s="3" t="s">
        <v>728</v>
      </c>
      <c r="AG19" s="3">
        <v>17</v>
      </c>
      <c r="AH19" s="3" t="s">
        <v>620</v>
      </c>
      <c r="AJ19" s="5">
        <v>27</v>
      </c>
      <c r="AK19" s="3" t="s">
        <v>662</v>
      </c>
    </row>
    <row r="20" spans="2:37" x14ac:dyDescent="0.25">
      <c r="B20" s="4">
        <v>25</v>
      </c>
      <c r="C20" s="3" t="s">
        <v>20</v>
      </c>
      <c r="I20" s="3">
        <v>23</v>
      </c>
      <c r="J20" s="3" t="s">
        <v>89</v>
      </c>
      <c r="L20" s="3">
        <v>24</v>
      </c>
      <c r="M20" s="3" t="s">
        <v>90</v>
      </c>
      <c r="U20" s="3">
        <v>50000001187</v>
      </c>
      <c r="V20" s="3" t="s">
        <v>181</v>
      </c>
      <c r="AD20" s="3" t="s">
        <v>817</v>
      </c>
      <c r="AE20" s="3" t="s">
        <v>729</v>
      </c>
      <c r="AG20" s="3">
        <v>18</v>
      </c>
      <c r="AH20" s="3" t="s">
        <v>621</v>
      </c>
      <c r="AJ20" s="5">
        <v>28</v>
      </c>
      <c r="AK20" s="3" t="s">
        <v>663</v>
      </c>
    </row>
    <row r="21" spans="2:37" x14ac:dyDescent="0.25">
      <c r="B21" s="4">
        <v>26</v>
      </c>
      <c r="C21" s="3" t="s">
        <v>21</v>
      </c>
      <c r="I21" s="3">
        <v>24</v>
      </c>
      <c r="J21" s="3" t="s">
        <v>90</v>
      </c>
      <c r="L21" s="3">
        <v>27</v>
      </c>
      <c r="M21" s="3" t="s">
        <v>93</v>
      </c>
      <c r="U21" s="3">
        <v>50000001195</v>
      </c>
      <c r="V21" s="3" t="s">
        <v>182</v>
      </c>
      <c r="AD21" s="3" t="s">
        <v>818</v>
      </c>
      <c r="AE21" s="3" t="s">
        <v>730</v>
      </c>
      <c r="AG21" s="3">
        <v>19</v>
      </c>
      <c r="AH21" s="3" t="s">
        <v>622</v>
      </c>
      <c r="AJ21" s="5">
        <v>29</v>
      </c>
      <c r="AK21" s="3" t="s">
        <v>664</v>
      </c>
    </row>
    <row r="22" spans="2:37" x14ac:dyDescent="0.25">
      <c r="B22" s="4">
        <v>29</v>
      </c>
      <c r="C22" s="3" t="s">
        <v>22</v>
      </c>
      <c r="I22" s="3">
        <v>25</v>
      </c>
      <c r="J22" s="3" t="s">
        <v>91</v>
      </c>
      <c r="L22" s="3">
        <v>28</v>
      </c>
      <c r="M22" s="3" t="s">
        <v>94</v>
      </c>
      <c r="U22" s="3">
        <v>50000001209</v>
      </c>
      <c r="V22" s="3" t="s">
        <v>183</v>
      </c>
      <c r="AD22" s="3" t="s">
        <v>819</v>
      </c>
      <c r="AE22" s="3" t="s">
        <v>731</v>
      </c>
      <c r="AG22" s="3">
        <v>20</v>
      </c>
      <c r="AH22" s="3" t="s">
        <v>623</v>
      </c>
      <c r="AJ22" s="5">
        <v>30</v>
      </c>
      <c r="AK22" s="3" t="s">
        <v>665</v>
      </c>
    </row>
    <row r="23" spans="2:37" x14ac:dyDescent="0.25">
      <c r="B23" s="4">
        <v>31</v>
      </c>
      <c r="C23" s="3" t="s">
        <v>23</v>
      </c>
      <c r="I23" s="3">
        <v>26</v>
      </c>
      <c r="J23" s="3" t="s">
        <v>92</v>
      </c>
      <c r="L23" s="3">
        <v>29</v>
      </c>
      <c r="M23" s="3" t="s">
        <v>151</v>
      </c>
      <c r="U23" s="3">
        <v>50000001217</v>
      </c>
      <c r="V23" s="3" t="s">
        <v>184</v>
      </c>
      <c r="AD23" s="3" t="s">
        <v>820</v>
      </c>
      <c r="AE23" s="3" t="s">
        <v>732</v>
      </c>
      <c r="AG23" s="3">
        <v>21</v>
      </c>
      <c r="AH23" s="3" t="s">
        <v>624</v>
      </c>
      <c r="AJ23" s="5">
        <v>31</v>
      </c>
      <c r="AK23" s="3" t="s">
        <v>666</v>
      </c>
    </row>
    <row r="24" spans="2:37" x14ac:dyDescent="0.25">
      <c r="B24" s="4">
        <v>33</v>
      </c>
      <c r="C24" s="3" t="s">
        <v>24</v>
      </c>
      <c r="I24" s="3">
        <v>27</v>
      </c>
      <c r="J24" s="3" t="s">
        <v>93</v>
      </c>
      <c r="L24" s="3">
        <v>33</v>
      </c>
      <c r="M24" s="3" t="s">
        <v>97</v>
      </c>
      <c r="U24" s="3">
        <v>50000001225</v>
      </c>
      <c r="V24" s="3" t="s">
        <v>185</v>
      </c>
      <c r="AD24" s="3" t="s">
        <v>821</v>
      </c>
      <c r="AE24" s="3" t="s">
        <v>733</v>
      </c>
      <c r="AG24" s="3">
        <v>22</v>
      </c>
      <c r="AH24" s="3" t="s">
        <v>625</v>
      </c>
      <c r="AJ24" s="5">
        <v>32</v>
      </c>
      <c r="AK24" s="3" t="s">
        <v>667</v>
      </c>
    </row>
    <row r="25" spans="2:37" x14ac:dyDescent="0.25">
      <c r="B25" s="4">
        <v>34</v>
      </c>
      <c r="C25" s="3" t="s">
        <v>25</v>
      </c>
      <c r="I25" s="3">
        <v>28</v>
      </c>
      <c r="J25" s="3" t="s">
        <v>94</v>
      </c>
      <c r="L25" s="3">
        <v>34</v>
      </c>
      <c r="M25" s="3" t="s">
        <v>98</v>
      </c>
      <c r="U25" s="3">
        <v>50000001233</v>
      </c>
      <c r="V25" s="3" t="s">
        <v>186</v>
      </c>
      <c r="AD25" s="3" t="s">
        <v>822</v>
      </c>
      <c r="AE25" s="3" t="s">
        <v>734</v>
      </c>
      <c r="AG25" s="3">
        <v>23</v>
      </c>
      <c r="AH25" s="3" t="s">
        <v>626</v>
      </c>
      <c r="AJ25" s="5">
        <v>33</v>
      </c>
      <c r="AK25" s="3" t="s">
        <v>668</v>
      </c>
    </row>
    <row r="26" spans="2:37" x14ac:dyDescent="0.25">
      <c r="B26" s="4">
        <v>37</v>
      </c>
      <c r="C26" s="3" t="s">
        <v>26</v>
      </c>
      <c r="I26" s="3">
        <v>30</v>
      </c>
      <c r="J26" s="3" t="s">
        <v>95</v>
      </c>
      <c r="L26" s="3">
        <v>35</v>
      </c>
      <c r="M26" s="3" t="s">
        <v>99</v>
      </c>
      <c r="U26" s="3">
        <v>50000001241</v>
      </c>
      <c r="V26" s="3" t="s">
        <v>187</v>
      </c>
      <c r="AD26" s="3" t="s">
        <v>823</v>
      </c>
      <c r="AE26" s="3" t="s">
        <v>735</v>
      </c>
      <c r="AG26" s="3">
        <v>24</v>
      </c>
      <c r="AH26" s="3" t="s">
        <v>627</v>
      </c>
      <c r="AJ26" s="5">
        <v>34</v>
      </c>
      <c r="AK26" s="3" t="s">
        <v>669</v>
      </c>
    </row>
    <row r="27" spans="2:37" x14ac:dyDescent="0.25">
      <c r="B27" s="4">
        <v>38</v>
      </c>
      <c r="C27" s="3" t="s">
        <v>27</v>
      </c>
      <c r="I27" s="3">
        <v>32</v>
      </c>
      <c r="J27" s="3" t="s">
        <v>96</v>
      </c>
      <c r="L27" s="3">
        <v>37</v>
      </c>
      <c r="M27" s="3" t="s">
        <v>101</v>
      </c>
      <c r="U27" s="3">
        <v>50000001276</v>
      </c>
      <c r="V27" s="3" t="s">
        <v>188</v>
      </c>
      <c r="AD27" s="3" t="s">
        <v>824</v>
      </c>
      <c r="AE27" s="3" t="s">
        <v>736</v>
      </c>
      <c r="AG27" s="3">
        <v>80</v>
      </c>
      <c r="AH27" s="3" t="s">
        <v>628</v>
      </c>
      <c r="AJ27" s="5">
        <v>35</v>
      </c>
      <c r="AK27" s="3" t="s">
        <v>670</v>
      </c>
    </row>
    <row r="28" spans="2:37" x14ac:dyDescent="0.25">
      <c r="B28" s="4">
        <v>40</v>
      </c>
      <c r="C28" s="3" t="s">
        <v>28</v>
      </c>
      <c r="I28" s="3">
        <v>33</v>
      </c>
      <c r="J28" s="3" t="s">
        <v>97</v>
      </c>
      <c r="L28" s="3">
        <v>38</v>
      </c>
      <c r="M28" s="3" t="s">
        <v>102</v>
      </c>
      <c r="U28" s="3">
        <v>50000001284</v>
      </c>
      <c r="V28" s="3" t="s">
        <v>189</v>
      </c>
      <c r="AD28" s="3" t="s">
        <v>825</v>
      </c>
      <c r="AE28" s="3" t="s">
        <v>737</v>
      </c>
      <c r="AG28" s="3">
        <v>86</v>
      </c>
      <c r="AH28" s="3" t="s">
        <v>629</v>
      </c>
      <c r="AJ28" s="5">
        <v>36</v>
      </c>
      <c r="AK28" s="3" t="s">
        <v>671</v>
      </c>
    </row>
    <row r="29" spans="2:37" x14ac:dyDescent="0.25">
      <c r="B29" s="4">
        <v>41</v>
      </c>
      <c r="C29" s="3" t="s">
        <v>29</v>
      </c>
      <c r="I29" s="3">
        <v>34</v>
      </c>
      <c r="J29" s="3" t="s">
        <v>98</v>
      </c>
      <c r="L29" s="3">
        <v>39</v>
      </c>
      <c r="M29" s="3" t="s">
        <v>103</v>
      </c>
      <c r="U29" s="3">
        <v>50000001292</v>
      </c>
      <c r="V29" s="3" t="s">
        <v>190</v>
      </c>
      <c r="AD29" s="3" t="s">
        <v>826</v>
      </c>
      <c r="AE29" s="3" t="s">
        <v>738</v>
      </c>
      <c r="AG29" s="3">
        <v>87</v>
      </c>
      <c r="AH29" s="3" t="s">
        <v>630</v>
      </c>
      <c r="AJ29" s="5">
        <v>39</v>
      </c>
      <c r="AK29" s="3" t="s">
        <v>672</v>
      </c>
    </row>
    <row r="30" spans="2:37" x14ac:dyDescent="0.25">
      <c r="B30" s="4">
        <v>42</v>
      </c>
      <c r="C30" s="3" t="s">
        <v>30</v>
      </c>
      <c r="I30" s="3">
        <v>35</v>
      </c>
      <c r="J30" s="3" t="s">
        <v>99</v>
      </c>
      <c r="L30" s="3">
        <v>40</v>
      </c>
      <c r="M30" s="3" t="s">
        <v>104</v>
      </c>
      <c r="U30" s="3">
        <v>50000001306</v>
      </c>
      <c r="V30" s="3" t="s">
        <v>191</v>
      </c>
      <c r="AD30" s="3" t="s">
        <v>827</v>
      </c>
      <c r="AE30" s="3" t="s">
        <v>739</v>
      </c>
      <c r="AG30" s="3">
        <v>89</v>
      </c>
      <c r="AH30" s="3" t="s">
        <v>631</v>
      </c>
      <c r="AJ30" s="5">
        <v>40</v>
      </c>
      <c r="AK30" s="3" t="s">
        <v>673</v>
      </c>
    </row>
    <row r="31" spans="2:37" x14ac:dyDescent="0.25">
      <c r="B31" s="4">
        <v>45</v>
      </c>
      <c r="C31" s="3" t="s">
        <v>31</v>
      </c>
      <c r="I31" s="3">
        <v>36</v>
      </c>
      <c r="J31" s="3" t="s">
        <v>100</v>
      </c>
      <c r="L31" s="3">
        <v>43</v>
      </c>
      <c r="M31" s="3" t="s">
        <v>106</v>
      </c>
      <c r="U31" s="3">
        <v>50000001314</v>
      </c>
      <c r="V31" s="3" t="s">
        <v>192</v>
      </c>
      <c r="AD31" s="3" t="s">
        <v>828</v>
      </c>
      <c r="AE31" s="3" t="s">
        <v>740</v>
      </c>
      <c r="AG31" s="3">
        <v>90</v>
      </c>
      <c r="AH31" s="3" t="s">
        <v>632</v>
      </c>
      <c r="AJ31" s="5">
        <v>41</v>
      </c>
      <c r="AK31" s="3" t="s">
        <v>674</v>
      </c>
    </row>
    <row r="32" spans="2:37" x14ac:dyDescent="0.25">
      <c r="B32" s="4">
        <v>46</v>
      </c>
      <c r="C32" s="3" t="s">
        <v>32</v>
      </c>
      <c r="I32" s="3">
        <v>37</v>
      </c>
      <c r="J32" s="3" t="s">
        <v>101</v>
      </c>
      <c r="L32" s="3">
        <v>44</v>
      </c>
      <c r="M32" s="3" t="s">
        <v>152</v>
      </c>
      <c r="U32" s="3">
        <v>50000001322</v>
      </c>
      <c r="V32" s="3" t="s">
        <v>193</v>
      </c>
      <c r="AD32" s="3" t="s">
        <v>829</v>
      </c>
      <c r="AE32" s="3" t="s">
        <v>741</v>
      </c>
      <c r="AG32" s="3">
        <v>91</v>
      </c>
      <c r="AH32" s="3" t="s">
        <v>633</v>
      </c>
      <c r="AJ32" s="5">
        <v>42</v>
      </c>
      <c r="AK32" s="3" t="s">
        <v>675</v>
      </c>
    </row>
    <row r="33" spans="2:37" x14ac:dyDescent="0.25">
      <c r="B33" s="4">
        <v>47</v>
      </c>
      <c r="C33" s="3" t="s">
        <v>33</v>
      </c>
      <c r="I33" s="3">
        <v>38</v>
      </c>
      <c r="J33" s="3" t="s">
        <v>102</v>
      </c>
      <c r="L33" s="3">
        <v>45</v>
      </c>
      <c r="M33" s="3" t="s">
        <v>107</v>
      </c>
      <c r="U33" s="3">
        <v>50000001330</v>
      </c>
      <c r="V33" s="3" t="s">
        <v>194</v>
      </c>
      <c r="AD33" s="3" t="s">
        <v>830</v>
      </c>
      <c r="AE33" s="3" t="s">
        <v>742</v>
      </c>
      <c r="AG33" s="3">
        <v>92</v>
      </c>
      <c r="AH33" s="3" t="s">
        <v>634</v>
      </c>
      <c r="AJ33" s="5">
        <v>43</v>
      </c>
      <c r="AK33" s="3" t="s">
        <v>676</v>
      </c>
    </row>
    <row r="34" spans="2:37" x14ac:dyDescent="0.25">
      <c r="B34" s="4">
        <v>48</v>
      </c>
      <c r="C34" s="3" t="s">
        <v>34</v>
      </c>
      <c r="I34" s="3">
        <v>39</v>
      </c>
      <c r="J34" s="3" t="s">
        <v>103</v>
      </c>
      <c r="L34" s="3">
        <v>46</v>
      </c>
      <c r="M34" s="3" t="s">
        <v>108</v>
      </c>
      <c r="U34" s="3">
        <v>50000001349</v>
      </c>
      <c r="V34" s="3" t="s">
        <v>195</v>
      </c>
      <c r="AD34" s="3" t="s">
        <v>831</v>
      </c>
      <c r="AE34" s="3" t="s">
        <v>743</v>
      </c>
      <c r="AG34" s="3">
        <v>93</v>
      </c>
      <c r="AH34" s="3" t="s">
        <v>635</v>
      </c>
      <c r="AJ34" s="5">
        <v>44</v>
      </c>
      <c r="AK34" s="3" t="s">
        <v>677</v>
      </c>
    </row>
    <row r="35" spans="2:37" x14ac:dyDescent="0.25">
      <c r="B35" s="4">
        <v>49</v>
      </c>
      <c r="C35" s="3" t="s">
        <v>35</v>
      </c>
      <c r="I35" s="3">
        <v>40</v>
      </c>
      <c r="J35" s="3" t="s">
        <v>104</v>
      </c>
      <c r="L35" s="3">
        <v>47</v>
      </c>
      <c r="M35" s="3" t="s">
        <v>153</v>
      </c>
      <c r="U35" s="3">
        <v>50000001357</v>
      </c>
      <c r="V35" s="3" t="s">
        <v>196</v>
      </c>
      <c r="AD35" s="3" t="s">
        <v>832</v>
      </c>
      <c r="AE35" s="3" t="s">
        <v>744</v>
      </c>
      <c r="AG35" s="3">
        <v>94</v>
      </c>
      <c r="AH35" s="3" t="s">
        <v>636</v>
      </c>
      <c r="AJ35" s="5">
        <v>45</v>
      </c>
      <c r="AK35" s="3" t="s">
        <v>678</v>
      </c>
    </row>
    <row r="36" spans="2:37" x14ac:dyDescent="0.25">
      <c r="B36" s="4">
        <v>52</v>
      </c>
      <c r="C36" s="3" t="s">
        <v>36</v>
      </c>
      <c r="I36" s="3">
        <v>41</v>
      </c>
      <c r="J36" s="3" t="s">
        <v>105</v>
      </c>
      <c r="L36" s="3">
        <v>48</v>
      </c>
      <c r="M36" s="3" t="s">
        <v>109</v>
      </c>
      <c r="U36" s="3">
        <v>50000001365</v>
      </c>
      <c r="V36" s="3" t="s">
        <v>197</v>
      </c>
      <c r="AD36" s="3" t="s">
        <v>833</v>
      </c>
      <c r="AE36" s="3" t="s">
        <v>745</v>
      </c>
      <c r="AG36" s="3">
        <v>95</v>
      </c>
      <c r="AH36" s="3" t="s">
        <v>637</v>
      </c>
      <c r="AJ36" s="5">
        <v>46</v>
      </c>
      <c r="AK36" s="3" t="s">
        <v>679</v>
      </c>
    </row>
    <row r="37" spans="2:37" x14ac:dyDescent="0.25">
      <c r="B37" s="4">
        <v>53</v>
      </c>
      <c r="C37" s="3" t="s">
        <v>37</v>
      </c>
      <c r="I37" s="3">
        <v>43</v>
      </c>
      <c r="J37" s="3" t="s">
        <v>106</v>
      </c>
      <c r="L37" s="3">
        <v>51</v>
      </c>
      <c r="M37" s="3" t="s">
        <v>112</v>
      </c>
      <c r="U37" s="3">
        <v>50000001373</v>
      </c>
      <c r="V37" s="3" t="s">
        <v>198</v>
      </c>
      <c r="AD37" s="3" t="s">
        <v>834</v>
      </c>
      <c r="AE37" s="3" t="s">
        <v>746</v>
      </c>
      <c r="AG37" s="3">
        <v>96</v>
      </c>
      <c r="AH37" s="3" t="s">
        <v>638</v>
      </c>
      <c r="AJ37" s="5">
        <v>47</v>
      </c>
      <c r="AK37" s="3" t="s">
        <v>680</v>
      </c>
    </row>
    <row r="38" spans="2:37" x14ac:dyDescent="0.25">
      <c r="B38" s="4">
        <v>54</v>
      </c>
      <c r="C38" s="3" t="s">
        <v>38</v>
      </c>
      <c r="I38" s="3">
        <v>45</v>
      </c>
      <c r="J38" s="3" t="s">
        <v>107</v>
      </c>
      <c r="L38" s="3">
        <v>52</v>
      </c>
      <c r="M38" s="3" t="s">
        <v>113</v>
      </c>
      <c r="U38" s="3">
        <v>50000001381</v>
      </c>
      <c r="V38" s="3" t="s">
        <v>199</v>
      </c>
      <c r="AD38" s="3" t="s">
        <v>835</v>
      </c>
      <c r="AE38" s="3" t="s">
        <v>747</v>
      </c>
      <c r="AG38" s="3">
        <v>99</v>
      </c>
      <c r="AH38" s="3" t="s">
        <v>639</v>
      </c>
      <c r="AJ38" s="5">
        <v>49</v>
      </c>
      <c r="AK38" s="3" t="s">
        <v>681</v>
      </c>
    </row>
    <row r="39" spans="2:37" x14ac:dyDescent="0.25">
      <c r="B39" s="4">
        <v>55</v>
      </c>
      <c r="C39" s="3" t="s">
        <v>39</v>
      </c>
      <c r="I39" s="3">
        <v>46</v>
      </c>
      <c r="J39" s="3" t="s">
        <v>108</v>
      </c>
      <c r="L39" s="3">
        <v>53</v>
      </c>
      <c r="M39" s="3" t="s">
        <v>114</v>
      </c>
      <c r="U39" s="3">
        <v>50000001403</v>
      </c>
      <c r="V39" s="3" t="s">
        <v>200</v>
      </c>
      <c r="AD39" s="3" t="s">
        <v>836</v>
      </c>
      <c r="AE39" s="3" t="s">
        <v>748</v>
      </c>
      <c r="AJ39" s="5">
        <v>51</v>
      </c>
      <c r="AK39" s="3" t="s">
        <v>682</v>
      </c>
    </row>
    <row r="40" spans="2:37" x14ac:dyDescent="0.25">
      <c r="B40" s="4">
        <v>57</v>
      </c>
      <c r="C40" s="3" t="s">
        <v>40</v>
      </c>
      <c r="I40" s="3">
        <v>48</v>
      </c>
      <c r="J40" s="3" t="s">
        <v>109</v>
      </c>
      <c r="L40" s="3">
        <v>54</v>
      </c>
      <c r="M40" s="3" t="s">
        <v>115</v>
      </c>
      <c r="U40" s="3">
        <v>50000001411</v>
      </c>
      <c r="V40" s="3" t="s">
        <v>201</v>
      </c>
      <c r="AD40" s="3" t="s">
        <v>837</v>
      </c>
      <c r="AE40" s="3" t="s">
        <v>749</v>
      </c>
      <c r="AJ40" s="5">
        <v>52</v>
      </c>
      <c r="AK40" s="3" t="s">
        <v>683</v>
      </c>
    </row>
    <row r="41" spans="2:37" x14ac:dyDescent="0.25">
      <c r="B41" s="4">
        <v>58</v>
      </c>
      <c r="C41" s="3" t="s">
        <v>41</v>
      </c>
      <c r="I41" s="3">
        <v>49</v>
      </c>
      <c r="J41" s="3" t="s">
        <v>110</v>
      </c>
      <c r="L41" s="3">
        <v>55</v>
      </c>
      <c r="M41" s="3" t="s">
        <v>116</v>
      </c>
      <c r="U41" s="3">
        <v>50000001446</v>
      </c>
      <c r="V41" s="3" t="s">
        <v>202</v>
      </c>
      <c r="AD41" s="3" t="s">
        <v>838</v>
      </c>
      <c r="AE41" s="3" t="s">
        <v>750</v>
      </c>
      <c r="AJ41" s="5">
        <v>53</v>
      </c>
      <c r="AK41" s="3" t="s">
        <v>684</v>
      </c>
    </row>
    <row r="42" spans="2:37" x14ac:dyDescent="0.25">
      <c r="B42" s="4">
        <v>59</v>
      </c>
      <c r="C42" s="3" t="s">
        <v>42</v>
      </c>
      <c r="I42" s="3">
        <v>50</v>
      </c>
      <c r="J42" s="3" t="s">
        <v>111</v>
      </c>
      <c r="L42" s="3">
        <v>56</v>
      </c>
      <c r="M42" s="3" t="s">
        <v>117</v>
      </c>
      <c r="U42" s="3">
        <v>50000001454</v>
      </c>
      <c r="V42" s="3" t="s">
        <v>203</v>
      </c>
      <c r="AD42" s="3" t="s">
        <v>839</v>
      </c>
      <c r="AE42" s="3" t="s">
        <v>751</v>
      </c>
      <c r="AJ42" s="5">
        <v>54</v>
      </c>
      <c r="AK42" s="3" t="s">
        <v>685</v>
      </c>
    </row>
    <row r="43" spans="2:37" x14ac:dyDescent="0.25">
      <c r="B43" s="4">
        <v>60</v>
      </c>
      <c r="C43" s="3" t="s">
        <v>43</v>
      </c>
      <c r="I43" s="3">
        <v>51</v>
      </c>
      <c r="J43" s="3" t="s">
        <v>112</v>
      </c>
      <c r="L43" s="3">
        <v>57</v>
      </c>
      <c r="M43" s="3" t="s">
        <v>118</v>
      </c>
      <c r="U43" s="3">
        <v>50000001462</v>
      </c>
      <c r="V43" s="3" t="s">
        <v>204</v>
      </c>
      <c r="AD43" s="3" t="s">
        <v>840</v>
      </c>
      <c r="AE43" s="3" t="s">
        <v>752</v>
      </c>
      <c r="AJ43" s="5">
        <v>55</v>
      </c>
      <c r="AK43" s="3" t="s">
        <v>686</v>
      </c>
    </row>
    <row r="44" spans="2:37" x14ac:dyDescent="0.25">
      <c r="B44" s="4">
        <v>61</v>
      </c>
      <c r="C44" s="3" t="s">
        <v>44</v>
      </c>
      <c r="I44" s="3">
        <v>52</v>
      </c>
      <c r="J44" s="3" t="s">
        <v>113</v>
      </c>
      <c r="L44" s="3">
        <v>58</v>
      </c>
      <c r="M44" s="3" t="s">
        <v>119</v>
      </c>
      <c r="U44" s="3">
        <v>50000001470</v>
      </c>
      <c r="V44" s="3" t="s">
        <v>205</v>
      </c>
      <c r="AD44" s="3" t="s">
        <v>841</v>
      </c>
      <c r="AE44" s="3" t="s">
        <v>753</v>
      </c>
      <c r="AJ44" s="5">
        <v>56</v>
      </c>
      <c r="AK44" s="3" t="s">
        <v>687</v>
      </c>
    </row>
    <row r="45" spans="2:37" x14ac:dyDescent="0.25">
      <c r="B45" s="4">
        <v>62</v>
      </c>
      <c r="C45" s="3" t="s">
        <v>45</v>
      </c>
      <c r="I45" s="3">
        <v>53</v>
      </c>
      <c r="J45" s="3" t="s">
        <v>114</v>
      </c>
      <c r="L45" s="3">
        <v>59</v>
      </c>
      <c r="M45" s="3" t="s">
        <v>120</v>
      </c>
      <c r="U45" s="3">
        <v>50000001489</v>
      </c>
      <c r="V45" s="3" t="s">
        <v>206</v>
      </c>
      <c r="AD45" s="3" t="s">
        <v>842</v>
      </c>
      <c r="AE45" s="3" t="s">
        <v>754</v>
      </c>
      <c r="AJ45" s="5">
        <v>57</v>
      </c>
      <c r="AK45" s="3" t="s">
        <v>688</v>
      </c>
    </row>
    <row r="46" spans="2:37" x14ac:dyDescent="0.25">
      <c r="B46" s="4">
        <v>66</v>
      </c>
      <c r="C46" s="3" t="s">
        <v>46</v>
      </c>
      <c r="I46" s="3">
        <v>54</v>
      </c>
      <c r="J46" s="3" t="s">
        <v>115</v>
      </c>
      <c r="L46" s="3">
        <v>60</v>
      </c>
      <c r="M46" s="3" t="s">
        <v>121</v>
      </c>
      <c r="U46" s="3">
        <v>50000001497</v>
      </c>
      <c r="V46" s="3" t="s">
        <v>207</v>
      </c>
      <c r="AD46" s="3" t="s">
        <v>843</v>
      </c>
      <c r="AE46" s="3" t="s">
        <v>755</v>
      </c>
      <c r="AJ46" s="5">
        <v>59</v>
      </c>
      <c r="AK46" s="3" t="s">
        <v>689</v>
      </c>
    </row>
    <row r="47" spans="2:37" x14ac:dyDescent="0.25">
      <c r="B47" s="4">
        <v>67</v>
      </c>
      <c r="C47" s="3" t="s">
        <v>47</v>
      </c>
      <c r="I47" s="3">
        <v>55</v>
      </c>
      <c r="J47" s="3" t="s">
        <v>116</v>
      </c>
      <c r="L47" s="3">
        <v>61</v>
      </c>
      <c r="M47" s="3" t="s">
        <v>122</v>
      </c>
      <c r="U47" s="3">
        <v>50000001500</v>
      </c>
      <c r="V47" s="3" t="s">
        <v>208</v>
      </c>
      <c r="AD47" s="3" t="s">
        <v>844</v>
      </c>
      <c r="AE47" s="3" t="s">
        <v>756</v>
      </c>
      <c r="AJ47" s="5">
        <v>60</v>
      </c>
      <c r="AK47" s="3" t="s">
        <v>690</v>
      </c>
    </row>
    <row r="48" spans="2:37" x14ac:dyDescent="0.25">
      <c r="B48" s="4">
        <v>69</v>
      </c>
      <c r="C48" s="3" t="s">
        <v>48</v>
      </c>
      <c r="I48" s="3">
        <v>56</v>
      </c>
      <c r="J48" s="3" t="s">
        <v>117</v>
      </c>
      <c r="L48" s="3">
        <v>63</v>
      </c>
      <c r="M48" s="3" t="s">
        <v>123</v>
      </c>
      <c r="U48" s="3">
        <v>50000001519</v>
      </c>
      <c r="V48" s="3" t="s">
        <v>209</v>
      </c>
      <c r="AD48" s="3" t="s">
        <v>845</v>
      </c>
      <c r="AE48" s="3" t="s">
        <v>757</v>
      </c>
      <c r="AJ48" s="5">
        <v>61</v>
      </c>
      <c r="AK48" s="3" t="s">
        <v>691</v>
      </c>
    </row>
    <row r="49" spans="2:37" x14ac:dyDescent="0.25">
      <c r="B49" s="4">
        <v>73</v>
      </c>
      <c r="C49" s="3" t="s">
        <v>49</v>
      </c>
      <c r="I49" s="3">
        <v>57</v>
      </c>
      <c r="J49" s="3" t="s">
        <v>118</v>
      </c>
      <c r="L49" s="3">
        <v>64</v>
      </c>
      <c r="M49" s="3" t="s">
        <v>124</v>
      </c>
      <c r="U49" s="3">
        <v>50000001527</v>
      </c>
      <c r="V49" s="3" t="s">
        <v>210</v>
      </c>
      <c r="AD49" s="3" t="s">
        <v>846</v>
      </c>
      <c r="AE49" s="3" t="s">
        <v>758</v>
      </c>
      <c r="AJ49" s="5">
        <v>62</v>
      </c>
      <c r="AK49" s="3" t="s">
        <v>692</v>
      </c>
    </row>
    <row r="50" spans="2:37" x14ac:dyDescent="0.25">
      <c r="B50" s="4">
        <v>74</v>
      </c>
      <c r="C50" s="3" t="s">
        <v>50</v>
      </c>
      <c r="I50" s="3">
        <v>58</v>
      </c>
      <c r="J50" s="3" t="s">
        <v>119</v>
      </c>
      <c r="L50" s="3">
        <v>68</v>
      </c>
      <c r="M50" s="3" t="s">
        <v>154</v>
      </c>
      <c r="U50" s="3">
        <v>50000001535</v>
      </c>
      <c r="V50" s="3" t="s">
        <v>211</v>
      </c>
      <c r="AD50" s="3" t="s">
        <v>847</v>
      </c>
      <c r="AE50" s="3" t="s">
        <v>759</v>
      </c>
      <c r="AJ50" s="5">
        <v>63</v>
      </c>
      <c r="AK50" s="3" t="s">
        <v>693</v>
      </c>
    </row>
    <row r="51" spans="2:37" x14ac:dyDescent="0.25">
      <c r="B51" s="4">
        <v>75</v>
      </c>
      <c r="C51" s="3" t="s">
        <v>51</v>
      </c>
      <c r="I51" s="3">
        <v>59</v>
      </c>
      <c r="J51" s="3" t="s">
        <v>120</v>
      </c>
      <c r="L51" s="3">
        <v>81</v>
      </c>
      <c r="M51" s="3" t="s">
        <v>127</v>
      </c>
      <c r="U51" s="3">
        <v>50000001543</v>
      </c>
      <c r="V51" s="3" t="s">
        <v>212</v>
      </c>
      <c r="AD51" s="3" t="s">
        <v>848</v>
      </c>
      <c r="AE51" s="3" t="s">
        <v>760</v>
      </c>
      <c r="AJ51" s="5">
        <v>64</v>
      </c>
      <c r="AK51" s="3" t="s">
        <v>694</v>
      </c>
    </row>
    <row r="52" spans="2:37" x14ac:dyDescent="0.25">
      <c r="B52" s="4">
        <v>76</v>
      </c>
      <c r="C52" s="3" t="s">
        <v>52</v>
      </c>
      <c r="I52" s="3">
        <v>60</v>
      </c>
      <c r="J52" s="3" t="s">
        <v>121</v>
      </c>
      <c r="L52" s="3">
        <v>82</v>
      </c>
      <c r="M52" s="3" t="s">
        <v>128</v>
      </c>
      <c r="U52" s="3">
        <v>50000001551</v>
      </c>
      <c r="V52" s="3" t="s">
        <v>213</v>
      </c>
      <c r="AD52" s="3" t="s">
        <v>849</v>
      </c>
      <c r="AE52" s="3" t="s">
        <v>761</v>
      </c>
      <c r="AJ52" s="5" t="s">
        <v>644</v>
      </c>
      <c r="AK52" s="3" t="s">
        <v>695</v>
      </c>
    </row>
    <row r="53" spans="2:37" x14ac:dyDescent="0.25">
      <c r="B53" s="4">
        <v>78</v>
      </c>
      <c r="C53" s="3" t="s">
        <v>53</v>
      </c>
      <c r="I53" s="3">
        <v>61</v>
      </c>
      <c r="J53" s="3" t="s">
        <v>122</v>
      </c>
      <c r="L53" s="3">
        <v>83</v>
      </c>
      <c r="M53" s="3" t="s">
        <v>129</v>
      </c>
      <c r="U53" s="3">
        <v>50000001586</v>
      </c>
      <c r="V53" s="3" t="s">
        <v>214</v>
      </c>
      <c r="AD53" s="3" t="s">
        <v>850</v>
      </c>
      <c r="AE53" s="3" t="s">
        <v>762</v>
      </c>
      <c r="AJ53" s="5" t="s">
        <v>645</v>
      </c>
      <c r="AK53" s="3" t="s">
        <v>696</v>
      </c>
    </row>
    <row r="54" spans="2:37" x14ac:dyDescent="0.25">
      <c r="B54" s="4">
        <v>79</v>
      </c>
      <c r="C54" s="3" t="s">
        <v>54</v>
      </c>
      <c r="I54" s="3">
        <v>63</v>
      </c>
      <c r="J54" s="3" t="s">
        <v>123</v>
      </c>
      <c r="L54" s="3">
        <v>90</v>
      </c>
      <c r="M54" s="3" t="s">
        <v>130</v>
      </c>
      <c r="U54" s="3">
        <v>50000001616</v>
      </c>
      <c r="V54" s="3" t="s">
        <v>215</v>
      </c>
      <c r="AD54" s="3" t="s">
        <v>851</v>
      </c>
      <c r="AE54" s="3" t="s">
        <v>763</v>
      </c>
    </row>
    <row r="55" spans="2:37" x14ac:dyDescent="0.25">
      <c r="B55" s="4">
        <v>80</v>
      </c>
      <c r="C55" s="3" t="s">
        <v>55</v>
      </c>
      <c r="I55" s="3">
        <v>64</v>
      </c>
      <c r="J55" s="3" t="s">
        <v>124</v>
      </c>
      <c r="L55" s="3">
        <v>99</v>
      </c>
      <c r="M55" s="3" t="s">
        <v>131</v>
      </c>
      <c r="U55" s="3">
        <v>50000001624</v>
      </c>
      <c r="V55" s="3" t="s">
        <v>216</v>
      </c>
      <c r="AD55" s="3" t="s">
        <v>852</v>
      </c>
      <c r="AE55" s="3" t="s">
        <v>764</v>
      </c>
    </row>
    <row r="56" spans="2:37" x14ac:dyDescent="0.25">
      <c r="B56" s="4">
        <v>82</v>
      </c>
      <c r="C56" s="3" t="s">
        <v>56</v>
      </c>
      <c r="I56" s="3">
        <v>66</v>
      </c>
      <c r="J56" s="3" t="s">
        <v>125</v>
      </c>
      <c r="L56" s="3">
        <v>110</v>
      </c>
      <c r="M56" s="3" t="s">
        <v>132</v>
      </c>
      <c r="U56" s="3">
        <v>50000001632</v>
      </c>
      <c r="V56" s="3" t="s">
        <v>217</v>
      </c>
      <c r="AD56" s="3" t="s">
        <v>853</v>
      </c>
      <c r="AE56" s="3" t="s">
        <v>765</v>
      </c>
    </row>
    <row r="57" spans="2:37" x14ac:dyDescent="0.25">
      <c r="B57" s="4">
        <v>83</v>
      </c>
      <c r="C57" s="3" t="s">
        <v>57</v>
      </c>
      <c r="I57" s="3">
        <v>70</v>
      </c>
      <c r="J57" s="3" t="s">
        <v>126</v>
      </c>
      <c r="L57" s="3">
        <v>112</v>
      </c>
      <c r="M57" s="3" t="s">
        <v>134</v>
      </c>
      <c r="U57" s="3">
        <v>50000001705</v>
      </c>
      <c r="V57" s="3" t="s">
        <v>218</v>
      </c>
      <c r="AD57" s="3" t="s">
        <v>854</v>
      </c>
      <c r="AE57" s="3" t="s">
        <v>766</v>
      </c>
    </row>
    <row r="58" spans="2:37" x14ac:dyDescent="0.25">
      <c r="B58" s="4">
        <v>84</v>
      </c>
      <c r="C58" s="3" t="s">
        <v>58</v>
      </c>
      <c r="I58" s="3">
        <v>81</v>
      </c>
      <c r="J58" s="3" t="s">
        <v>127</v>
      </c>
      <c r="L58" s="3">
        <v>113</v>
      </c>
      <c r="M58" s="3" t="s">
        <v>135</v>
      </c>
      <c r="U58" s="3">
        <v>50000001713</v>
      </c>
      <c r="V58" s="3" t="s">
        <v>219</v>
      </c>
      <c r="AD58" s="3" t="s">
        <v>855</v>
      </c>
      <c r="AE58" s="3" t="s">
        <v>767</v>
      </c>
    </row>
    <row r="59" spans="2:37" x14ac:dyDescent="0.25">
      <c r="B59" s="4">
        <v>85</v>
      </c>
      <c r="C59" s="3" t="s">
        <v>59</v>
      </c>
      <c r="I59" s="3">
        <v>82</v>
      </c>
      <c r="J59" s="3" t="s">
        <v>128</v>
      </c>
      <c r="L59" s="3">
        <v>115</v>
      </c>
      <c r="M59" s="3" t="s">
        <v>137</v>
      </c>
      <c r="U59" s="3">
        <v>50000001810</v>
      </c>
      <c r="V59" s="3" t="s">
        <v>220</v>
      </c>
      <c r="AD59" s="3" t="s">
        <v>856</v>
      </c>
      <c r="AE59" s="3" t="s">
        <v>768</v>
      </c>
    </row>
    <row r="60" spans="2:37" x14ac:dyDescent="0.25">
      <c r="B60" s="4">
        <v>86</v>
      </c>
      <c r="C60" s="3" t="s">
        <v>60</v>
      </c>
      <c r="I60" s="3">
        <v>83</v>
      </c>
      <c r="J60" s="3" t="s">
        <v>129</v>
      </c>
      <c r="L60" s="3">
        <v>116</v>
      </c>
      <c r="M60" s="3" t="s">
        <v>138</v>
      </c>
      <c r="U60" s="3">
        <v>50000001829</v>
      </c>
      <c r="V60" s="3" t="s">
        <v>221</v>
      </c>
      <c r="AD60" s="3" t="s">
        <v>857</v>
      </c>
      <c r="AE60" s="3" t="s">
        <v>769</v>
      </c>
    </row>
    <row r="61" spans="2:37" x14ac:dyDescent="0.25">
      <c r="B61" s="4">
        <v>87</v>
      </c>
      <c r="C61" s="3" t="s">
        <v>61</v>
      </c>
      <c r="I61" s="3">
        <v>90</v>
      </c>
      <c r="J61" s="3" t="s">
        <v>130</v>
      </c>
      <c r="L61" s="3">
        <v>118</v>
      </c>
      <c r="M61" s="3" t="s">
        <v>140</v>
      </c>
      <c r="U61" s="3">
        <v>50000001837</v>
      </c>
      <c r="V61" s="3" t="s">
        <v>222</v>
      </c>
      <c r="AD61" s="3" t="s">
        <v>858</v>
      </c>
      <c r="AE61" s="3" t="s">
        <v>770</v>
      </c>
    </row>
    <row r="62" spans="2:37" x14ac:dyDescent="0.25">
      <c r="B62" s="4">
        <v>88</v>
      </c>
      <c r="C62" s="3" t="s">
        <v>62</v>
      </c>
      <c r="I62" s="3">
        <v>99</v>
      </c>
      <c r="J62" s="3" t="s">
        <v>131</v>
      </c>
      <c r="L62" s="3">
        <v>119</v>
      </c>
      <c r="M62" s="3" t="s">
        <v>141</v>
      </c>
      <c r="U62" s="3">
        <v>50000001845</v>
      </c>
      <c r="V62" s="3" t="s">
        <v>223</v>
      </c>
      <c r="AD62" s="3" t="s">
        <v>859</v>
      </c>
      <c r="AE62" s="3" t="s">
        <v>771</v>
      </c>
    </row>
    <row r="63" spans="2:37" x14ac:dyDescent="0.25">
      <c r="B63" s="4">
        <v>89</v>
      </c>
      <c r="C63" s="3" t="s">
        <v>63</v>
      </c>
      <c r="I63" s="3">
        <v>110</v>
      </c>
      <c r="J63" s="3" t="s">
        <v>132</v>
      </c>
      <c r="L63" s="3">
        <v>120</v>
      </c>
      <c r="M63" s="3" t="s">
        <v>142</v>
      </c>
      <c r="U63" s="3">
        <v>50000001853</v>
      </c>
      <c r="V63" s="3" t="s">
        <v>224</v>
      </c>
      <c r="AD63" s="3" t="s">
        <v>860</v>
      </c>
      <c r="AE63" s="3" t="s">
        <v>772</v>
      </c>
    </row>
    <row r="64" spans="2:37" x14ac:dyDescent="0.25">
      <c r="B64" s="4">
        <v>90</v>
      </c>
      <c r="C64" s="3" t="s">
        <v>64</v>
      </c>
      <c r="I64" s="3">
        <v>111</v>
      </c>
      <c r="J64" s="3" t="s">
        <v>133</v>
      </c>
      <c r="L64" s="3">
        <v>331</v>
      </c>
      <c r="M64" s="3" t="s">
        <v>143</v>
      </c>
      <c r="U64" s="3">
        <v>50000001861</v>
      </c>
      <c r="V64" s="3" t="s">
        <v>225</v>
      </c>
      <c r="AD64" s="3" t="s">
        <v>861</v>
      </c>
      <c r="AE64" s="3" t="s">
        <v>773</v>
      </c>
    </row>
    <row r="65" spans="2:31" x14ac:dyDescent="0.25">
      <c r="B65" s="4">
        <v>91</v>
      </c>
      <c r="C65" s="3" t="s">
        <v>65</v>
      </c>
      <c r="I65" s="3">
        <v>112</v>
      </c>
      <c r="J65" s="3" t="s">
        <v>134</v>
      </c>
      <c r="L65" s="3">
        <v>332</v>
      </c>
      <c r="M65" s="3" t="s">
        <v>144</v>
      </c>
      <c r="U65" s="3">
        <v>50000001896</v>
      </c>
      <c r="V65" s="3" t="s">
        <v>226</v>
      </c>
      <c r="AD65" s="3" t="s">
        <v>862</v>
      </c>
      <c r="AE65" s="3" t="s">
        <v>774</v>
      </c>
    </row>
    <row r="66" spans="2:31" x14ac:dyDescent="0.25">
      <c r="B66" s="4">
        <v>92</v>
      </c>
      <c r="C66" s="3" t="s">
        <v>66</v>
      </c>
      <c r="I66" s="3">
        <v>113</v>
      </c>
      <c r="J66" s="3" t="s">
        <v>135</v>
      </c>
      <c r="U66" s="3">
        <v>50000001985</v>
      </c>
      <c r="V66" s="3" t="s">
        <v>227</v>
      </c>
      <c r="AD66" s="3" t="s">
        <v>863</v>
      </c>
      <c r="AE66" s="3" t="s">
        <v>775</v>
      </c>
    </row>
    <row r="67" spans="2:31" x14ac:dyDescent="0.25">
      <c r="B67" s="4">
        <v>266</v>
      </c>
      <c r="C67" s="3" t="s">
        <v>67</v>
      </c>
      <c r="I67" s="3">
        <v>114</v>
      </c>
      <c r="J67" s="3" t="s">
        <v>136</v>
      </c>
      <c r="U67" s="3">
        <v>50000002019</v>
      </c>
      <c r="V67" s="3" t="s">
        <v>228</v>
      </c>
      <c r="AD67" s="3" t="s">
        <v>864</v>
      </c>
      <c r="AE67" s="3" t="s">
        <v>776</v>
      </c>
    </row>
    <row r="68" spans="2:31" x14ac:dyDescent="0.25">
      <c r="B68" s="4">
        <v>267</v>
      </c>
      <c r="C68" s="3" t="s">
        <v>68</v>
      </c>
      <c r="I68" s="3">
        <v>115</v>
      </c>
      <c r="J68" s="3" t="s">
        <v>137</v>
      </c>
      <c r="U68" s="3">
        <v>50000002043</v>
      </c>
      <c r="V68" s="3" t="s">
        <v>229</v>
      </c>
      <c r="AD68" s="3" t="s">
        <v>865</v>
      </c>
      <c r="AE68" s="3" t="s">
        <v>777</v>
      </c>
    </row>
    <row r="69" spans="2:31" x14ac:dyDescent="0.25">
      <c r="B69" s="4">
        <v>999</v>
      </c>
      <c r="C69" s="3" t="s">
        <v>69</v>
      </c>
      <c r="I69" s="3">
        <v>116</v>
      </c>
      <c r="J69" s="3" t="s">
        <v>138</v>
      </c>
      <c r="U69" s="3">
        <v>50000002051</v>
      </c>
      <c r="V69" s="3" t="s">
        <v>230</v>
      </c>
      <c r="AD69" s="3" t="s">
        <v>866</v>
      </c>
      <c r="AE69" s="3" t="s">
        <v>778</v>
      </c>
    </row>
    <row r="70" spans="2:31" x14ac:dyDescent="0.25">
      <c r="I70" s="3">
        <v>117</v>
      </c>
      <c r="J70" s="3" t="s">
        <v>139</v>
      </c>
      <c r="U70" s="3">
        <v>50000002094</v>
      </c>
      <c r="V70" s="3" t="s">
        <v>231</v>
      </c>
      <c r="AD70" s="3" t="s">
        <v>867</v>
      </c>
      <c r="AE70" s="3" t="s">
        <v>779</v>
      </c>
    </row>
    <row r="71" spans="2:31" x14ac:dyDescent="0.25">
      <c r="I71" s="3">
        <v>118</v>
      </c>
      <c r="J71" s="3" t="s">
        <v>140</v>
      </c>
      <c r="U71" s="3">
        <v>50000002116</v>
      </c>
      <c r="V71" s="3" t="s">
        <v>232</v>
      </c>
      <c r="AD71" s="3" t="s">
        <v>868</v>
      </c>
      <c r="AE71" s="3" t="s">
        <v>780</v>
      </c>
    </row>
    <row r="72" spans="2:31" x14ac:dyDescent="0.25">
      <c r="I72" s="3">
        <v>119</v>
      </c>
      <c r="J72" s="3" t="s">
        <v>141</v>
      </c>
      <c r="U72" s="3">
        <v>50000002124</v>
      </c>
      <c r="V72" s="3" t="s">
        <v>233</v>
      </c>
      <c r="AD72" s="3" t="s">
        <v>869</v>
      </c>
      <c r="AE72" s="3" t="s">
        <v>781</v>
      </c>
    </row>
    <row r="73" spans="2:31" x14ac:dyDescent="0.25">
      <c r="I73" s="3">
        <v>120</v>
      </c>
      <c r="J73" s="3" t="s">
        <v>142</v>
      </c>
      <c r="U73" s="3">
        <v>50000002132</v>
      </c>
      <c r="V73" s="3" t="s">
        <v>234</v>
      </c>
      <c r="AD73" s="3" t="s">
        <v>870</v>
      </c>
      <c r="AE73" s="3" t="s">
        <v>782</v>
      </c>
    </row>
    <row r="74" spans="2:31" x14ac:dyDescent="0.25">
      <c r="I74" s="3">
        <v>331</v>
      </c>
      <c r="J74" s="3" t="s">
        <v>143</v>
      </c>
      <c r="U74" s="3">
        <v>50000002140</v>
      </c>
      <c r="V74" s="3" t="s">
        <v>235</v>
      </c>
      <c r="AD74" s="3" t="s">
        <v>871</v>
      </c>
      <c r="AE74" s="3" t="s">
        <v>783</v>
      </c>
    </row>
    <row r="75" spans="2:31" x14ac:dyDescent="0.25">
      <c r="I75" s="3">
        <v>332</v>
      </c>
      <c r="J75" s="3" t="s">
        <v>144</v>
      </c>
      <c r="U75" s="3">
        <v>50000002159</v>
      </c>
      <c r="V75" s="3" t="s">
        <v>236</v>
      </c>
      <c r="AD75" s="3" t="s">
        <v>872</v>
      </c>
      <c r="AE75" s="3" t="s">
        <v>784</v>
      </c>
    </row>
    <row r="76" spans="2:31" x14ac:dyDescent="0.25">
      <c r="U76" s="3">
        <v>50000002167</v>
      </c>
      <c r="V76" s="3" t="s">
        <v>237</v>
      </c>
      <c r="AD76" s="3" t="s">
        <v>873</v>
      </c>
      <c r="AE76" s="3" t="s">
        <v>785</v>
      </c>
    </row>
    <row r="77" spans="2:31" x14ac:dyDescent="0.25">
      <c r="U77" s="3">
        <v>50000002175</v>
      </c>
      <c r="V77" s="3" t="s">
        <v>238</v>
      </c>
      <c r="AD77" s="3" t="s">
        <v>874</v>
      </c>
      <c r="AE77" s="3" t="s">
        <v>786</v>
      </c>
    </row>
    <row r="78" spans="2:31" x14ac:dyDescent="0.25">
      <c r="U78" s="3">
        <v>50000002183</v>
      </c>
      <c r="V78" s="3" t="s">
        <v>239</v>
      </c>
      <c r="AD78" s="3" t="s">
        <v>875</v>
      </c>
      <c r="AE78" s="3" t="s">
        <v>787</v>
      </c>
    </row>
    <row r="79" spans="2:31" x14ac:dyDescent="0.25">
      <c r="U79" s="3">
        <v>50000002191</v>
      </c>
      <c r="V79" s="3" t="s">
        <v>240</v>
      </c>
      <c r="AD79" s="3" t="s">
        <v>876</v>
      </c>
      <c r="AE79" s="3" t="s">
        <v>788</v>
      </c>
    </row>
    <row r="80" spans="2:31" x14ac:dyDescent="0.25">
      <c r="U80" s="3">
        <v>50000002205</v>
      </c>
      <c r="V80" s="3" t="s">
        <v>241</v>
      </c>
      <c r="AD80" s="3" t="s">
        <v>877</v>
      </c>
      <c r="AE80" s="3" t="s">
        <v>789</v>
      </c>
    </row>
    <row r="81" spans="21:31" x14ac:dyDescent="0.25">
      <c r="U81" s="3">
        <v>50000002213</v>
      </c>
      <c r="V81" s="3" t="s">
        <v>242</v>
      </c>
      <c r="AD81" s="3" t="s">
        <v>878</v>
      </c>
      <c r="AE81" s="3" t="s">
        <v>790</v>
      </c>
    </row>
    <row r="82" spans="21:31" x14ac:dyDescent="0.25">
      <c r="U82" s="3">
        <v>50000002221</v>
      </c>
      <c r="V82" s="3" t="s">
        <v>243</v>
      </c>
      <c r="AD82" s="3" t="s">
        <v>879</v>
      </c>
      <c r="AE82" s="3" t="s">
        <v>791</v>
      </c>
    </row>
    <row r="83" spans="21:31" x14ac:dyDescent="0.25">
      <c r="U83" s="3">
        <v>50000002256</v>
      </c>
      <c r="V83" s="3" t="s">
        <v>244</v>
      </c>
      <c r="AD83" s="3" t="s">
        <v>880</v>
      </c>
      <c r="AE83" s="3" t="s">
        <v>792</v>
      </c>
    </row>
    <row r="84" spans="21:31" x14ac:dyDescent="0.25">
      <c r="U84" s="3">
        <v>50000002264</v>
      </c>
      <c r="V84" s="3" t="s">
        <v>245</v>
      </c>
      <c r="AD84" s="3" t="s">
        <v>881</v>
      </c>
      <c r="AE84" s="3" t="s">
        <v>793</v>
      </c>
    </row>
    <row r="85" spans="21:31" x14ac:dyDescent="0.25">
      <c r="U85" s="3">
        <v>50000002272</v>
      </c>
      <c r="V85" s="3" t="s">
        <v>246</v>
      </c>
      <c r="AD85" s="3" t="s">
        <v>882</v>
      </c>
      <c r="AE85" s="3" t="s">
        <v>794</v>
      </c>
    </row>
    <row r="86" spans="21:31" x14ac:dyDescent="0.25">
      <c r="U86" s="3">
        <v>50000002280</v>
      </c>
      <c r="V86" s="3" t="s">
        <v>247</v>
      </c>
      <c r="AD86" s="3" t="s">
        <v>883</v>
      </c>
      <c r="AE86" s="3" t="s">
        <v>795</v>
      </c>
    </row>
    <row r="87" spans="21:31" x14ac:dyDescent="0.25">
      <c r="U87" s="3">
        <v>50000002299</v>
      </c>
      <c r="V87" s="3" t="s">
        <v>248</v>
      </c>
      <c r="AD87" s="3" t="s">
        <v>884</v>
      </c>
      <c r="AE87" s="3" t="s">
        <v>796</v>
      </c>
    </row>
    <row r="88" spans="21:31" x14ac:dyDescent="0.25">
      <c r="U88" s="3">
        <v>50000002302</v>
      </c>
      <c r="V88" s="3" t="s">
        <v>249</v>
      </c>
      <c r="AD88" s="3" t="s">
        <v>885</v>
      </c>
      <c r="AE88" s="3" t="s">
        <v>797</v>
      </c>
    </row>
    <row r="89" spans="21:31" x14ac:dyDescent="0.25">
      <c r="U89" s="3">
        <v>50000002310</v>
      </c>
      <c r="V89" s="3" t="s">
        <v>250</v>
      </c>
      <c r="AD89" s="3" t="s">
        <v>886</v>
      </c>
      <c r="AE89" s="3" t="s">
        <v>798</v>
      </c>
    </row>
    <row r="90" spans="21:31" x14ac:dyDescent="0.25">
      <c r="U90" s="3">
        <v>50000002329</v>
      </c>
      <c r="V90" s="3" t="s">
        <v>251</v>
      </c>
      <c r="AD90" s="3" t="s">
        <v>887</v>
      </c>
      <c r="AE90" s="3" t="s">
        <v>799</v>
      </c>
    </row>
    <row r="91" spans="21:31" x14ac:dyDescent="0.25">
      <c r="U91" s="3">
        <v>50000002337</v>
      </c>
      <c r="V91" s="3" t="s">
        <v>252</v>
      </c>
    </row>
    <row r="92" spans="21:31" x14ac:dyDescent="0.25">
      <c r="U92" s="3">
        <v>50000002345</v>
      </c>
      <c r="V92" s="3" t="s">
        <v>253</v>
      </c>
    </row>
    <row r="93" spans="21:31" x14ac:dyDescent="0.25">
      <c r="U93" s="3">
        <v>50000002353</v>
      </c>
      <c r="V93" s="3" t="s">
        <v>254</v>
      </c>
    </row>
    <row r="94" spans="21:31" x14ac:dyDescent="0.25">
      <c r="U94" s="3">
        <v>50000002361</v>
      </c>
      <c r="V94" s="3" t="s">
        <v>255</v>
      </c>
    </row>
    <row r="95" spans="21:31" x14ac:dyDescent="0.25">
      <c r="U95" s="3">
        <v>50000002396</v>
      </c>
      <c r="V95" s="3" t="s">
        <v>256</v>
      </c>
    </row>
    <row r="96" spans="21:31" x14ac:dyDescent="0.25">
      <c r="U96" s="3">
        <v>50000002426</v>
      </c>
      <c r="V96" s="3" t="s">
        <v>257</v>
      </c>
    </row>
    <row r="97" spans="21:22" x14ac:dyDescent="0.25">
      <c r="U97" s="3">
        <v>50000002434</v>
      </c>
      <c r="V97" s="3" t="s">
        <v>258</v>
      </c>
    </row>
    <row r="98" spans="21:22" x14ac:dyDescent="0.25">
      <c r="U98" s="3">
        <v>50000002825</v>
      </c>
      <c r="V98" s="3" t="s">
        <v>259</v>
      </c>
    </row>
    <row r="99" spans="21:22" x14ac:dyDescent="0.25">
      <c r="U99" s="3">
        <v>50000002841</v>
      </c>
      <c r="V99" s="3" t="s">
        <v>260</v>
      </c>
    </row>
    <row r="100" spans="21:22" x14ac:dyDescent="0.25">
      <c r="U100" s="3">
        <v>50000002876</v>
      </c>
      <c r="V100" s="3" t="s">
        <v>261</v>
      </c>
    </row>
    <row r="101" spans="21:22" x14ac:dyDescent="0.25">
      <c r="U101" s="3">
        <v>50000002882</v>
      </c>
      <c r="V101" s="3" t="s">
        <v>262</v>
      </c>
    </row>
    <row r="102" spans="21:22" x14ac:dyDescent="0.25">
      <c r="U102" s="3">
        <v>50000002892</v>
      </c>
      <c r="V102" s="3" t="s">
        <v>263</v>
      </c>
    </row>
    <row r="103" spans="21:22" x14ac:dyDescent="0.25">
      <c r="U103" s="3">
        <v>50000002906</v>
      </c>
      <c r="V103" s="3" t="s">
        <v>264</v>
      </c>
    </row>
    <row r="104" spans="21:22" x14ac:dyDescent="0.25">
      <c r="U104" s="3">
        <v>50000002914</v>
      </c>
      <c r="V104" s="3" t="s">
        <v>265</v>
      </c>
    </row>
    <row r="105" spans="21:22" x14ac:dyDescent="0.25">
      <c r="U105" s="3">
        <v>50000002922</v>
      </c>
      <c r="V105" s="3" t="s">
        <v>266</v>
      </c>
    </row>
    <row r="106" spans="21:22" x14ac:dyDescent="0.25">
      <c r="U106" s="3">
        <v>50000002930</v>
      </c>
      <c r="V106" s="3" t="s">
        <v>267</v>
      </c>
    </row>
    <row r="107" spans="21:22" x14ac:dyDescent="0.25">
      <c r="U107" s="3">
        <v>50000002981</v>
      </c>
      <c r="V107" s="3" t="s">
        <v>268</v>
      </c>
    </row>
    <row r="108" spans="21:22" x14ac:dyDescent="0.25">
      <c r="U108" s="3">
        <v>50000003007</v>
      </c>
      <c r="V108" s="3" t="s">
        <v>269</v>
      </c>
    </row>
    <row r="109" spans="21:22" x14ac:dyDescent="0.25">
      <c r="U109" s="3">
        <v>50000003015</v>
      </c>
      <c r="V109" s="3" t="s">
        <v>270</v>
      </c>
    </row>
    <row r="110" spans="21:22" x14ac:dyDescent="0.25">
      <c r="U110" s="3">
        <v>50000003023</v>
      </c>
      <c r="V110" s="3" t="s">
        <v>271</v>
      </c>
    </row>
    <row r="111" spans="21:22" x14ac:dyDescent="0.25">
      <c r="U111" s="3">
        <v>50000003031</v>
      </c>
      <c r="V111" s="3" t="s">
        <v>272</v>
      </c>
    </row>
    <row r="112" spans="21:22" x14ac:dyDescent="0.25">
      <c r="U112" s="3">
        <v>50000003066</v>
      </c>
      <c r="V112" s="3" t="s">
        <v>273</v>
      </c>
    </row>
    <row r="113" spans="21:22" x14ac:dyDescent="0.25">
      <c r="U113" s="3">
        <v>50000003074</v>
      </c>
      <c r="V113" s="3" t="s">
        <v>274</v>
      </c>
    </row>
    <row r="114" spans="21:22" x14ac:dyDescent="0.25">
      <c r="U114" s="3">
        <v>50000003082</v>
      </c>
      <c r="V114" s="3" t="s">
        <v>275</v>
      </c>
    </row>
    <row r="115" spans="21:22" x14ac:dyDescent="0.25">
      <c r="U115" s="3">
        <v>50000003090</v>
      </c>
      <c r="V115" s="3" t="s">
        <v>276</v>
      </c>
    </row>
    <row r="116" spans="21:22" x14ac:dyDescent="0.25">
      <c r="U116" s="3">
        <v>50000003104</v>
      </c>
      <c r="V116" s="3" t="s">
        <v>277</v>
      </c>
    </row>
    <row r="117" spans="21:22" x14ac:dyDescent="0.25">
      <c r="U117" s="3">
        <v>50000003112</v>
      </c>
      <c r="V117" s="3" t="s">
        <v>278</v>
      </c>
    </row>
    <row r="118" spans="21:22" x14ac:dyDescent="0.25">
      <c r="U118" s="3">
        <v>50000003120</v>
      </c>
      <c r="V118" s="3" t="s">
        <v>279</v>
      </c>
    </row>
    <row r="119" spans="21:22" x14ac:dyDescent="0.25">
      <c r="U119" s="3">
        <v>50000003139</v>
      </c>
      <c r="V119" s="3" t="s">
        <v>280</v>
      </c>
    </row>
    <row r="120" spans="21:22" x14ac:dyDescent="0.25">
      <c r="U120" s="3">
        <v>50000003147</v>
      </c>
      <c r="V120" s="3" t="s">
        <v>281</v>
      </c>
    </row>
    <row r="121" spans="21:22" x14ac:dyDescent="0.25">
      <c r="U121" s="3">
        <v>50000003155</v>
      </c>
      <c r="V121" s="3" t="s">
        <v>282</v>
      </c>
    </row>
    <row r="122" spans="21:22" x14ac:dyDescent="0.25">
      <c r="U122" s="3">
        <v>50000003163</v>
      </c>
      <c r="V122" s="3" t="s">
        <v>283</v>
      </c>
    </row>
    <row r="123" spans="21:22" x14ac:dyDescent="0.25">
      <c r="U123" s="3">
        <v>50000003171</v>
      </c>
      <c r="V123" s="3" t="s">
        <v>284</v>
      </c>
    </row>
    <row r="124" spans="21:22" x14ac:dyDescent="0.25">
      <c r="U124" s="3">
        <v>50000003201</v>
      </c>
      <c r="V124" s="3" t="s">
        <v>285</v>
      </c>
    </row>
    <row r="125" spans="21:22" x14ac:dyDescent="0.25">
      <c r="U125" s="3">
        <v>50000003236</v>
      </c>
      <c r="V125" s="3" t="s">
        <v>286</v>
      </c>
    </row>
    <row r="126" spans="21:22" x14ac:dyDescent="0.25">
      <c r="U126" s="3">
        <v>50000003244</v>
      </c>
      <c r="V126" s="3" t="s">
        <v>287</v>
      </c>
    </row>
    <row r="127" spans="21:22" x14ac:dyDescent="0.25">
      <c r="U127" s="3">
        <v>50000003252</v>
      </c>
      <c r="V127" s="3" t="s">
        <v>288</v>
      </c>
    </row>
    <row r="128" spans="21:22" x14ac:dyDescent="0.25">
      <c r="U128" s="3">
        <v>50000003260</v>
      </c>
      <c r="V128" s="3" t="s">
        <v>289</v>
      </c>
    </row>
    <row r="129" spans="21:22" x14ac:dyDescent="0.25">
      <c r="U129" s="3">
        <v>50000003279</v>
      </c>
      <c r="V129" s="3" t="s">
        <v>290</v>
      </c>
    </row>
    <row r="130" spans="21:22" x14ac:dyDescent="0.25">
      <c r="U130" s="3">
        <v>50000003287</v>
      </c>
      <c r="V130" s="3" t="s">
        <v>291</v>
      </c>
    </row>
    <row r="131" spans="21:22" x14ac:dyDescent="0.25">
      <c r="U131" s="3">
        <v>50000003295</v>
      </c>
      <c r="V131" s="3" t="s">
        <v>292</v>
      </c>
    </row>
    <row r="132" spans="21:22" x14ac:dyDescent="0.25">
      <c r="U132" s="3">
        <v>50000003309</v>
      </c>
      <c r="V132" s="3" t="s">
        <v>293</v>
      </c>
    </row>
    <row r="133" spans="21:22" x14ac:dyDescent="0.25">
      <c r="U133" s="3">
        <v>50000003317</v>
      </c>
      <c r="V133" s="3" t="s">
        <v>294</v>
      </c>
    </row>
    <row r="134" spans="21:22" x14ac:dyDescent="0.25">
      <c r="U134" s="3">
        <v>50000003325</v>
      </c>
      <c r="V134" s="3" t="s">
        <v>295</v>
      </c>
    </row>
    <row r="135" spans="21:22" x14ac:dyDescent="0.25">
      <c r="U135" s="3">
        <v>50000003333</v>
      </c>
      <c r="V135" s="3" t="s">
        <v>296</v>
      </c>
    </row>
    <row r="136" spans="21:22" x14ac:dyDescent="0.25">
      <c r="U136" s="3">
        <v>50000003341</v>
      </c>
      <c r="V136" s="3" t="s">
        <v>297</v>
      </c>
    </row>
    <row r="137" spans="21:22" x14ac:dyDescent="0.25">
      <c r="U137" s="3">
        <v>50000003376</v>
      </c>
      <c r="V137" s="3" t="s">
        <v>298</v>
      </c>
    </row>
    <row r="138" spans="21:22" x14ac:dyDescent="0.25">
      <c r="U138" s="3">
        <v>50000003392</v>
      </c>
      <c r="V138" s="3" t="s">
        <v>299</v>
      </c>
    </row>
    <row r="139" spans="21:22" x14ac:dyDescent="0.25">
      <c r="U139" s="3">
        <v>50000003414</v>
      </c>
      <c r="V139" s="3" t="s">
        <v>300</v>
      </c>
    </row>
    <row r="140" spans="21:22" x14ac:dyDescent="0.25">
      <c r="U140" s="3">
        <v>50000003422</v>
      </c>
      <c r="V140" s="3" t="s">
        <v>301</v>
      </c>
    </row>
    <row r="141" spans="21:22" x14ac:dyDescent="0.25">
      <c r="U141" s="3">
        <v>50000003449</v>
      </c>
      <c r="V141" s="3" t="s">
        <v>302</v>
      </c>
    </row>
    <row r="142" spans="21:22" x14ac:dyDescent="0.25">
      <c r="U142" s="3">
        <v>50000003457</v>
      </c>
      <c r="V142" s="3" t="s">
        <v>303</v>
      </c>
    </row>
    <row r="143" spans="21:22" x14ac:dyDescent="0.25">
      <c r="U143" s="3">
        <v>50000003503</v>
      </c>
      <c r="V143" s="3" t="s">
        <v>304</v>
      </c>
    </row>
    <row r="144" spans="21:22" x14ac:dyDescent="0.25">
      <c r="U144" s="3">
        <v>50000003546</v>
      </c>
      <c r="V144" s="3" t="s">
        <v>305</v>
      </c>
    </row>
    <row r="145" spans="21:22" x14ac:dyDescent="0.25">
      <c r="U145" s="3">
        <v>50000003554</v>
      </c>
      <c r="V145" s="3" t="s">
        <v>306</v>
      </c>
    </row>
    <row r="146" spans="21:22" x14ac:dyDescent="0.25">
      <c r="U146" s="3">
        <v>50000003562</v>
      </c>
      <c r="V146" s="3" t="s">
        <v>307</v>
      </c>
    </row>
    <row r="147" spans="21:22" x14ac:dyDescent="0.25">
      <c r="U147" s="3">
        <v>50000003813</v>
      </c>
      <c r="V147" s="3" t="s">
        <v>308</v>
      </c>
    </row>
    <row r="148" spans="21:22" x14ac:dyDescent="0.25">
      <c r="U148" s="3">
        <v>50000003880</v>
      </c>
      <c r="V148" s="3" t="s">
        <v>309</v>
      </c>
    </row>
    <row r="149" spans="21:22" x14ac:dyDescent="0.25">
      <c r="U149" s="3">
        <v>50000003899</v>
      </c>
      <c r="V149" s="3" t="s">
        <v>310</v>
      </c>
    </row>
    <row r="150" spans="21:22" x14ac:dyDescent="0.25">
      <c r="U150" s="3">
        <v>50000003902</v>
      </c>
      <c r="V150" s="3" t="s">
        <v>311</v>
      </c>
    </row>
    <row r="151" spans="21:22" x14ac:dyDescent="0.25">
      <c r="U151" s="3">
        <v>50000003910</v>
      </c>
      <c r="V151" s="3" t="s">
        <v>312</v>
      </c>
    </row>
    <row r="152" spans="21:22" x14ac:dyDescent="0.25">
      <c r="U152" s="3">
        <v>50000003929</v>
      </c>
      <c r="V152" s="3" t="s">
        <v>313</v>
      </c>
    </row>
    <row r="153" spans="21:22" x14ac:dyDescent="0.25">
      <c r="U153" s="3">
        <v>50000003937</v>
      </c>
      <c r="V153" s="3" t="s">
        <v>314</v>
      </c>
    </row>
    <row r="154" spans="21:22" x14ac:dyDescent="0.25">
      <c r="U154" s="3">
        <v>50000003961</v>
      </c>
      <c r="V154" s="3" t="s">
        <v>315</v>
      </c>
    </row>
    <row r="155" spans="21:22" x14ac:dyDescent="0.25">
      <c r="U155" s="3">
        <v>50000004011</v>
      </c>
      <c r="V155" s="3" t="s">
        <v>316</v>
      </c>
    </row>
    <row r="156" spans="21:22" x14ac:dyDescent="0.25">
      <c r="U156" s="3">
        <v>50000004046</v>
      </c>
      <c r="V156" s="3" t="s">
        <v>317</v>
      </c>
    </row>
    <row r="157" spans="21:22" x14ac:dyDescent="0.25">
      <c r="U157" s="3">
        <v>50000004054</v>
      </c>
      <c r="V157" s="3" t="s">
        <v>318</v>
      </c>
    </row>
    <row r="158" spans="21:22" x14ac:dyDescent="0.25">
      <c r="U158" s="3">
        <v>50000004062</v>
      </c>
      <c r="V158" s="3" t="s">
        <v>319</v>
      </c>
    </row>
    <row r="159" spans="21:22" x14ac:dyDescent="0.25">
      <c r="U159" s="3">
        <v>50000004070</v>
      </c>
      <c r="V159" s="3" t="s">
        <v>320</v>
      </c>
    </row>
    <row r="160" spans="21:22" x14ac:dyDescent="0.25">
      <c r="U160" s="3">
        <v>50000004097</v>
      </c>
      <c r="V160" s="3" t="s">
        <v>321</v>
      </c>
    </row>
    <row r="161" spans="21:22" x14ac:dyDescent="0.25">
      <c r="U161" s="3">
        <v>50000004100</v>
      </c>
      <c r="V161" s="3" t="s">
        <v>322</v>
      </c>
    </row>
    <row r="162" spans="21:22" x14ac:dyDescent="0.25">
      <c r="U162" s="3">
        <v>50000004119</v>
      </c>
      <c r="V162" s="3" t="s">
        <v>323</v>
      </c>
    </row>
    <row r="163" spans="21:22" x14ac:dyDescent="0.25">
      <c r="U163" s="3">
        <v>50000004127</v>
      </c>
      <c r="V163" s="3" t="s">
        <v>324</v>
      </c>
    </row>
    <row r="164" spans="21:22" x14ac:dyDescent="0.25">
      <c r="U164" s="3">
        <v>50000004135</v>
      </c>
      <c r="V164" s="3" t="s">
        <v>325</v>
      </c>
    </row>
    <row r="165" spans="21:22" x14ac:dyDescent="0.25">
      <c r="U165" s="3">
        <v>50000004143</v>
      </c>
      <c r="V165" s="3" t="s">
        <v>326</v>
      </c>
    </row>
    <row r="166" spans="21:22" x14ac:dyDescent="0.25">
      <c r="U166" s="3">
        <v>50000004151</v>
      </c>
      <c r="V166" s="3" t="s">
        <v>327</v>
      </c>
    </row>
    <row r="167" spans="21:22" x14ac:dyDescent="0.25">
      <c r="U167" s="3">
        <v>50000004186</v>
      </c>
      <c r="V167" s="3" t="s">
        <v>328</v>
      </c>
    </row>
    <row r="168" spans="21:22" x14ac:dyDescent="0.25">
      <c r="U168" s="3">
        <v>50000004194</v>
      </c>
      <c r="V168" s="3" t="s">
        <v>329</v>
      </c>
    </row>
    <row r="169" spans="21:22" x14ac:dyDescent="0.25">
      <c r="U169" s="3">
        <v>50000004216</v>
      </c>
      <c r="V169" s="3" t="s">
        <v>330</v>
      </c>
    </row>
    <row r="170" spans="21:22" x14ac:dyDescent="0.25">
      <c r="U170" s="3">
        <v>50000004224</v>
      </c>
      <c r="V170" s="3" t="s">
        <v>331</v>
      </c>
    </row>
    <row r="171" spans="21:22" x14ac:dyDescent="0.25">
      <c r="U171" s="3">
        <v>50000004232</v>
      </c>
      <c r="V171" s="3" t="s">
        <v>332</v>
      </c>
    </row>
    <row r="172" spans="21:22" x14ac:dyDescent="0.25">
      <c r="U172" s="3">
        <v>50000004240</v>
      </c>
      <c r="V172" s="3" t="s">
        <v>333</v>
      </c>
    </row>
    <row r="173" spans="21:22" x14ac:dyDescent="0.25">
      <c r="U173" s="3">
        <v>50000004259</v>
      </c>
      <c r="V173" s="3" t="s">
        <v>334</v>
      </c>
    </row>
    <row r="174" spans="21:22" x14ac:dyDescent="0.25">
      <c r="U174" s="3">
        <v>50000004267</v>
      </c>
      <c r="V174" s="3" t="s">
        <v>335</v>
      </c>
    </row>
    <row r="175" spans="21:22" x14ac:dyDescent="0.25">
      <c r="U175" s="3">
        <v>50000004275</v>
      </c>
      <c r="V175" s="3" t="s">
        <v>336</v>
      </c>
    </row>
    <row r="176" spans="21:22" x14ac:dyDescent="0.25">
      <c r="U176" s="3">
        <v>50000004283</v>
      </c>
      <c r="V176" s="3" t="s">
        <v>337</v>
      </c>
    </row>
    <row r="177" spans="21:22" x14ac:dyDescent="0.25">
      <c r="U177" s="3">
        <v>50000004291</v>
      </c>
      <c r="V177" s="3" t="s">
        <v>338</v>
      </c>
    </row>
    <row r="178" spans="21:22" x14ac:dyDescent="0.25">
      <c r="U178" s="3">
        <v>50000004305</v>
      </c>
      <c r="V178" s="3" t="s">
        <v>339</v>
      </c>
    </row>
    <row r="179" spans="21:22" x14ac:dyDescent="0.25">
      <c r="U179" s="3">
        <v>50000004313</v>
      </c>
      <c r="V179" s="3" t="s">
        <v>340</v>
      </c>
    </row>
    <row r="180" spans="21:22" x14ac:dyDescent="0.25">
      <c r="U180" s="3">
        <v>50000004321</v>
      </c>
      <c r="V180" s="3" t="s">
        <v>341</v>
      </c>
    </row>
    <row r="181" spans="21:22" x14ac:dyDescent="0.25">
      <c r="U181" s="3">
        <v>50000004364</v>
      </c>
      <c r="V181" s="3" t="s">
        <v>342</v>
      </c>
    </row>
    <row r="182" spans="21:22" x14ac:dyDescent="0.25">
      <c r="U182" s="3">
        <v>50000004380</v>
      </c>
      <c r="V182" s="3" t="s">
        <v>343</v>
      </c>
    </row>
    <row r="183" spans="21:22" x14ac:dyDescent="0.25">
      <c r="U183" s="3">
        <v>50000004399</v>
      </c>
      <c r="V183" s="3" t="s">
        <v>344</v>
      </c>
    </row>
    <row r="184" spans="21:22" x14ac:dyDescent="0.25">
      <c r="U184" s="3">
        <v>50000004402</v>
      </c>
      <c r="V184" s="3" t="s">
        <v>345</v>
      </c>
    </row>
    <row r="185" spans="21:22" x14ac:dyDescent="0.25">
      <c r="U185" s="3">
        <v>50000004410</v>
      </c>
      <c r="V185" s="3" t="s">
        <v>346</v>
      </c>
    </row>
    <row r="186" spans="21:22" x14ac:dyDescent="0.25">
      <c r="U186" s="3">
        <v>50000004429</v>
      </c>
      <c r="V186" s="3" t="s">
        <v>347</v>
      </c>
    </row>
    <row r="187" spans="21:22" x14ac:dyDescent="0.25">
      <c r="U187" s="3">
        <v>50000004437</v>
      </c>
      <c r="V187" s="3" t="s">
        <v>348</v>
      </c>
    </row>
    <row r="188" spans="21:22" x14ac:dyDescent="0.25">
      <c r="U188" s="3">
        <v>50000004461</v>
      </c>
      <c r="V188" s="3" t="s">
        <v>349</v>
      </c>
    </row>
    <row r="189" spans="21:22" x14ac:dyDescent="0.25">
      <c r="U189" s="3">
        <v>50000004496</v>
      </c>
      <c r="V189" s="3" t="s">
        <v>350</v>
      </c>
    </row>
    <row r="190" spans="21:22" x14ac:dyDescent="0.25">
      <c r="U190" s="3">
        <v>50000004909</v>
      </c>
      <c r="V190" s="3" t="s">
        <v>351</v>
      </c>
    </row>
    <row r="191" spans="21:22" x14ac:dyDescent="0.25">
      <c r="U191" s="3">
        <v>50000004917</v>
      </c>
      <c r="V191" s="3" t="s">
        <v>352</v>
      </c>
    </row>
    <row r="192" spans="21:22" x14ac:dyDescent="0.25">
      <c r="U192" s="3">
        <v>50000004984</v>
      </c>
      <c r="V192" s="3" t="s">
        <v>353</v>
      </c>
    </row>
    <row r="193" spans="21:22" x14ac:dyDescent="0.25">
      <c r="U193" s="3">
        <v>50000004992</v>
      </c>
      <c r="V193" s="3" t="s">
        <v>354</v>
      </c>
    </row>
    <row r="194" spans="21:22" x14ac:dyDescent="0.25">
      <c r="U194" s="3">
        <v>50000005034</v>
      </c>
      <c r="V194" s="3" t="s">
        <v>355</v>
      </c>
    </row>
    <row r="195" spans="21:22" x14ac:dyDescent="0.25">
      <c r="U195" s="3">
        <v>50000005042</v>
      </c>
      <c r="V195" s="3" t="s">
        <v>356</v>
      </c>
    </row>
    <row r="196" spans="21:22" x14ac:dyDescent="0.25">
      <c r="U196" s="3">
        <v>50000005050</v>
      </c>
      <c r="V196" s="3" t="s">
        <v>357</v>
      </c>
    </row>
    <row r="197" spans="21:22" x14ac:dyDescent="0.25">
      <c r="U197" s="3">
        <v>50000005069</v>
      </c>
      <c r="V197" s="3" t="s">
        <v>358</v>
      </c>
    </row>
    <row r="198" spans="21:22" x14ac:dyDescent="0.25">
      <c r="U198" s="3">
        <v>50000005077</v>
      </c>
      <c r="V198" s="3" t="s">
        <v>359</v>
      </c>
    </row>
    <row r="199" spans="21:22" x14ac:dyDescent="0.25">
      <c r="U199" s="3">
        <v>50000005085</v>
      </c>
      <c r="V199" s="3" t="s">
        <v>360</v>
      </c>
    </row>
    <row r="200" spans="21:22" x14ac:dyDescent="0.25">
      <c r="U200" s="3">
        <v>50000005093</v>
      </c>
      <c r="V200" s="3" t="s">
        <v>361</v>
      </c>
    </row>
    <row r="201" spans="21:22" x14ac:dyDescent="0.25">
      <c r="U201" s="3">
        <v>50000005107</v>
      </c>
      <c r="V201" s="3" t="s">
        <v>362</v>
      </c>
    </row>
    <row r="202" spans="21:22" x14ac:dyDescent="0.25">
      <c r="U202" s="3">
        <v>50000005115</v>
      </c>
      <c r="V202" s="3" t="s">
        <v>363</v>
      </c>
    </row>
    <row r="203" spans="21:22" x14ac:dyDescent="0.25">
      <c r="U203" s="3">
        <v>50000005123</v>
      </c>
      <c r="V203" s="3" t="s">
        <v>364</v>
      </c>
    </row>
    <row r="204" spans="21:22" x14ac:dyDescent="0.25">
      <c r="U204" s="3">
        <v>50000005131</v>
      </c>
      <c r="V204" s="3" t="s">
        <v>365</v>
      </c>
    </row>
    <row r="205" spans="21:22" x14ac:dyDescent="0.25">
      <c r="U205" s="3">
        <v>50000005166</v>
      </c>
      <c r="V205" s="3" t="s">
        <v>366</v>
      </c>
    </row>
    <row r="206" spans="21:22" x14ac:dyDescent="0.25">
      <c r="U206" s="3">
        <v>50000005174</v>
      </c>
      <c r="V206" s="3" t="s">
        <v>367</v>
      </c>
    </row>
    <row r="207" spans="21:22" x14ac:dyDescent="0.25">
      <c r="U207" s="3">
        <v>50000005182</v>
      </c>
      <c r="V207" s="3" t="s">
        <v>368</v>
      </c>
    </row>
    <row r="208" spans="21:22" x14ac:dyDescent="0.25">
      <c r="U208" s="3">
        <v>50000005190</v>
      </c>
      <c r="V208" s="3" t="s">
        <v>369</v>
      </c>
    </row>
    <row r="209" spans="21:22" x14ac:dyDescent="0.25">
      <c r="U209" s="3">
        <v>50000005204</v>
      </c>
      <c r="V209" s="3" t="s">
        <v>370</v>
      </c>
    </row>
    <row r="210" spans="21:22" x14ac:dyDescent="0.25">
      <c r="U210" s="3">
        <v>50000005212</v>
      </c>
      <c r="V210" s="3" t="s">
        <v>371</v>
      </c>
    </row>
    <row r="211" spans="21:22" x14ac:dyDescent="0.25">
      <c r="U211" s="3">
        <v>50000005905</v>
      </c>
      <c r="V211" s="3" t="s">
        <v>372</v>
      </c>
    </row>
    <row r="212" spans="21:22" x14ac:dyDescent="0.25">
      <c r="U212" s="3">
        <v>50000005913</v>
      </c>
      <c r="V212" s="3" t="s">
        <v>373</v>
      </c>
    </row>
    <row r="213" spans="21:22" x14ac:dyDescent="0.25">
      <c r="U213" s="3">
        <v>50000005980</v>
      </c>
      <c r="V213" s="3" t="s">
        <v>374</v>
      </c>
    </row>
    <row r="214" spans="21:22" x14ac:dyDescent="0.25">
      <c r="U214" s="3">
        <v>50000006014</v>
      </c>
      <c r="V214" s="3" t="s">
        <v>375</v>
      </c>
    </row>
    <row r="215" spans="21:22" x14ac:dyDescent="0.25">
      <c r="U215" s="3">
        <v>50000006022</v>
      </c>
      <c r="V215" s="3" t="s">
        <v>376</v>
      </c>
    </row>
    <row r="216" spans="21:22" x14ac:dyDescent="0.25">
      <c r="U216" s="3">
        <v>50000006030</v>
      </c>
      <c r="V216" s="3" t="s">
        <v>377</v>
      </c>
    </row>
    <row r="217" spans="21:22" x14ac:dyDescent="0.25">
      <c r="U217" s="3">
        <v>50000006049</v>
      </c>
      <c r="V217" s="3" t="s">
        <v>378</v>
      </c>
    </row>
    <row r="218" spans="21:22" x14ac:dyDescent="0.25">
      <c r="U218" s="3">
        <v>50000006057</v>
      </c>
      <c r="V218" s="3" t="s">
        <v>379</v>
      </c>
    </row>
    <row r="219" spans="21:22" x14ac:dyDescent="0.25">
      <c r="U219" s="3">
        <v>50000006065</v>
      </c>
      <c r="V219" s="3" t="s">
        <v>380</v>
      </c>
    </row>
    <row r="220" spans="21:22" x14ac:dyDescent="0.25">
      <c r="U220" s="3">
        <v>50000009986</v>
      </c>
      <c r="V220" s="3" t="s">
        <v>381</v>
      </c>
    </row>
    <row r="221" spans="21:22" x14ac:dyDescent="0.25">
      <c r="U221" s="3">
        <v>50000009994</v>
      </c>
      <c r="V221" s="3" t="s">
        <v>382</v>
      </c>
    </row>
    <row r="222" spans="21:22" x14ac:dyDescent="0.25">
      <c r="U222" s="3">
        <v>55000000018</v>
      </c>
      <c r="V222" s="3" t="s">
        <v>383</v>
      </c>
    </row>
    <row r="223" spans="21:22" x14ac:dyDescent="0.25">
      <c r="U223" s="3">
        <v>55000000026</v>
      </c>
      <c r="V223" s="3" t="s">
        <v>384</v>
      </c>
    </row>
    <row r="224" spans="21:22" x14ac:dyDescent="0.25">
      <c r="U224" s="3">
        <v>55000000034</v>
      </c>
      <c r="V224" s="3" t="s">
        <v>385</v>
      </c>
    </row>
    <row r="225" spans="21:22" x14ac:dyDescent="0.25">
      <c r="U225" s="3">
        <v>55000000042</v>
      </c>
      <c r="V225" s="3" t="s">
        <v>386</v>
      </c>
    </row>
    <row r="226" spans="21:22" x14ac:dyDescent="0.25">
      <c r="U226" s="3">
        <v>55000000050</v>
      </c>
      <c r="V226" s="3" t="s">
        <v>387</v>
      </c>
    </row>
    <row r="227" spans="21:22" x14ac:dyDescent="0.25">
      <c r="U227" s="3">
        <v>55000001014</v>
      </c>
      <c r="V227" s="3" t="s">
        <v>388</v>
      </c>
    </row>
    <row r="228" spans="21:22" x14ac:dyDescent="0.25">
      <c r="U228" s="3">
        <v>55000001022</v>
      </c>
      <c r="V228" s="3" t="s">
        <v>389</v>
      </c>
    </row>
    <row r="229" spans="21:22" x14ac:dyDescent="0.25">
      <c r="U229" s="3">
        <v>55000001030</v>
      </c>
      <c r="V229" s="3" t="s">
        <v>390</v>
      </c>
    </row>
    <row r="230" spans="21:22" x14ac:dyDescent="0.25">
      <c r="U230" s="3">
        <v>55000001049</v>
      </c>
      <c r="V230" s="3" t="s">
        <v>391</v>
      </c>
    </row>
    <row r="231" spans="21:22" x14ac:dyDescent="0.25">
      <c r="U231" s="3">
        <v>55000001057</v>
      </c>
      <c r="V231" s="3" t="s">
        <v>392</v>
      </c>
    </row>
    <row r="232" spans="21:22" x14ac:dyDescent="0.25">
      <c r="U232" s="3">
        <v>55000001073</v>
      </c>
      <c r="V232" s="3" t="s">
        <v>393</v>
      </c>
    </row>
    <row r="233" spans="21:22" x14ac:dyDescent="0.25">
      <c r="U233" s="3">
        <v>55000001103</v>
      </c>
      <c r="V233" s="3" t="s">
        <v>394</v>
      </c>
    </row>
    <row r="234" spans="21:22" x14ac:dyDescent="0.25">
      <c r="U234" s="3">
        <v>55000001138</v>
      </c>
      <c r="V234" s="3" t="s">
        <v>395</v>
      </c>
    </row>
    <row r="235" spans="21:22" x14ac:dyDescent="0.25">
      <c r="U235" s="3">
        <v>55000001146</v>
      </c>
      <c r="V235" s="3" t="s">
        <v>396</v>
      </c>
    </row>
    <row r="236" spans="21:22" x14ac:dyDescent="0.25">
      <c r="U236" s="3">
        <v>55000001154</v>
      </c>
      <c r="V236" s="3" t="s">
        <v>397</v>
      </c>
    </row>
    <row r="237" spans="21:22" x14ac:dyDescent="0.25">
      <c r="U237" s="3">
        <v>55000001162</v>
      </c>
      <c r="V237" s="3" t="s">
        <v>398</v>
      </c>
    </row>
    <row r="238" spans="21:22" x14ac:dyDescent="0.25">
      <c r="U238" s="3">
        <v>55000001170</v>
      </c>
      <c r="V238" s="3" t="s">
        <v>399</v>
      </c>
    </row>
    <row r="239" spans="21:22" x14ac:dyDescent="0.25">
      <c r="U239" s="3">
        <v>55000001189</v>
      </c>
      <c r="V239" s="3" t="s">
        <v>400</v>
      </c>
    </row>
    <row r="240" spans="21:22" x14ac:dyDescent="0.25">
      <c r="U240" s="3">
        <v>55000001197</v>
      </c>
      <c r="V240" s="3" t="s">
        <v>401</v>
      </c>
    </row>
    <row r="241" spans="21:22" x14ac:dyDescent="0.25">
      <c r="U241" s="3">
        <v>55000001200</v>
      </c>
      <c r="V241" s="3" t="s">
        <v>402</v>
      </c>
    </row>
    <row r="242" spans="21:22" x14ac:dyDescent="0.25">
      <c r="U242" s="3">
        <v>55000001219</v>
      </c>
      <c r="V242" s="3" t="s">
        <v>403</v>
      </c>
    </row>
    <row r="243" spans="21:22" x14ac:dyDescent="0.25">
      <c r="U243" s="3">
        <v>55000001227</v>
      </c>
      <c r="V243" s="3" t="s">
        <v>404</v>
      </c>
    </row>
    <row r="244" spans="21:22" x14ac:dyDescent="0.25">
      <c r="U244" s="3">
        <v>55000001235</v>
      </c>
      <c r="V244" s="3" t="s">
        <v>405</v>
      </c>
    </row>
    <row r="245" spans="21:22" x14ac:dyDescent="0.25">
      <c r="U245" s="3">
        <v>55000001243</v>
      </c>
      <c r="V245" s="3" t="s">
        <v>406</v>
      </c>
    </row>
    <row r="246" spans="21:22" x14ac:dyDescent="0.25">
      <c r="U246" s="3">
        <v>55000001278</v>
      </c>
      <c r="V246" s="3" t="s">
        <v>407</v>
      </c>
    </row>
    <row r="247" spans="21:22" x14ac:dyDescent="0.25">
      <c r="U247" s="3">
        <v>55000001286</v>
      </c>
      <c r="V247" s="3" t="s">
        <v>408</v>
      </c>
    </row>
    <row r="248" spans="21:22" x14ac:dyDescent="0.25">
      <c r="U248" s="3">
        <v>55000001294</v>
      </c>
      <c r="V248" s="3" t="s">
        <v>409</v>
      </c>
    </row>
    <row r="249" spans="21:22" x14ac:dyDescent="0.25">
      <c r="U249" s="3">
        <v>55000001308</v>
      </c>
      <c r="V249" s="3" t="s">
        <v>410</v>
      </c>
    </row>
    <row r="250" spans="21:22" x14ac:dyDescent="0.25">
      <c r="U250" s="3">
        <v>55000001316</v>
      </c>
      <c r="V250" s="3" t="s">
        <v>411</v>
      </c>
    </row>
    <row r="251" spans="21:22" x14ac:dyDescent="0.25">
      <c r="U251" s="3">
        <v>55000001324</v>
      </c>
      <c r="V251" s="3" t="s">
        <v>412</v>
      </c>
    </row>
    <row r="252" spans="21:22" x14ac:dyDescent="0.25">
      <c r="U252" s="3">
        <v>55000001332</v>
      </c>
      <c r="V252" s="3" t="s">
        <v>413</v>
      </c>
    </row>
    <row r="253" spans="21:22" x14ac:dyDescent="0.25">
      <c r="U253" s="3">
        <v>55000001340</v>
      </c>
      <c r="V253" s="3" t="s">
        <v>414</v>
      </c>
    </row>
    <row r="254" spans="21:22" x14ac:dyDescent="0.25">
      <c r="U254" s="3">
        <v>55000001359</v>
      </c>
      <c r="V254" s="3" t="s">
        <v>415</v>
      </c>
    </row>
    <row r="255" spans="21:22" x14ac:dyDescent="0.25">
      <c r="U255" s="3">
        <v>55000001367</v>
      </c>
      <c r="V255" s="3" t="s">
        <v>416</v>
      </c>
    </row>
    <row r="256" spans="21:22" x14ac:dyDescent="0.25">
      <c r="U256" s="3">
        <v>55000001375</v>
      </c>
      <c r="V256" s="3" t="s">
        <v>417</v>
      </c>
    </row>
    <row r="257" spans="21:22" x14ac:dyDescent="0.25">
      <c r="U257" s="3">
        <v>55000001383</v>
      </c>
      <c r="V257" s="3" t="s">
        <v>418</v>
      </c>
    </row>
    <row r="258" spans="21:22" x14ac:dyDescent="0.25">
      <c r="U258" s="3">
        <v>55000001405</v>
      </c>
      <c r="V258" s="3" t="s">
        <v>419</v>
      </c>
    </row>
    <row r="259" spans="21:22" x14ac:dyDescent="0.25">
      <c r="U259" s="3">
        <v>55000001413</v>
      </c>
      <c r="V259" s="3" t="s">
        <v>420</v>
      </c>
    </row>
    <row r="260" spans="21:22" x14ac:dyDescent="0.25">
      <c r="U260" s="3">
        <v>55000001448</v>
      </c>
      <c r="V260" s="3" t="s">
        <v>421</v>
      </c>
    </row>
    <row r="261" spans="21:22" x14ac:dyDescent="0.25">
      <c r="U261" s="3">
        <v>55000001456</v>
      </c>
      <c r="V261" s="3" t="s">
        <v>422</v>
      </c>
    </row>
    <row r="262" spans="21:22" x14ac:dyDescent="0.25">
      <c r="U262" s="3">
        <v>55000001464</v>
      </c>
      <c r="V262" s="3" t="s">
        <v>423</v>
      </c>
    </row>
    <row r="263" spans="21:22" x14ac:dyDescent="0.25">
      <c r="U263" s="3">
        <v>55000001472</v>
      </c>
      <c r="V263" s="3" t="s">
        <v>424</v>
      </c>
    </row>
    <row r="264" spans="21:22" x14ac:dyDescent="0.25">
      <c r="U264" s="3">
        <v>55000001480</v>
      </c>
      <c r="V264" s="3" t="s">
        <v>425</v>
      </c>
    </row>
    <row r="265" spans="21:22" x14ac:dyDescent="0.25">
      <c r="U265" s="3">
        <v>55000001499</v>
      </c>
      <c r="V265" s="3" t="s">
        <v>426</v>
      </c>
    </row>
    <row r="266" spans="21:22" x14ac:dyDescent="0.25">
      <c r="U266" s="3">
        <v>55000001502</v>
      </c>
      <c r="V266" s="3" t="s">
        <v>427</v>
      </c>
    </row>
    <row r="267" spans="21:22" x14ac:dyDescent="0.25">
      <c r="U267" s="3">
        <v>55000001510</v>
      </c>
      <c r="V267" s="3" t="s">
        <v>428</v>
      </c>
    </row>
    <row r="268" spans="21:22" x14ac:dyDescent="0.25">
      <c r="U268" s="3">
        <v>55000001529</v>
      </c>
      <c r="V268" s="3" t="s">
        <v>429</v>
      </c>
    </row>
    <row r="269" spans="21:22" x14ac:dyDescent="0.25">
      <c r="U269" s="3">
        <v>55000001537</v>
      </c>
      <c r="V269" s="3" t="s">
        <v>430</v>
      </c>
    </row>
    <row r="270" spans="21:22" x14ac:dyDescent="0.25">
      <c r="U270" s="3">
        <v>55000001545</v>
      </c>
      <c r="V270" s="3" t="s">
        <v>431</v>
      </c>
    </row>
    <row r="271" spans="21:22" x14ac:dyDescent="0.25">
      <c r="U271" s="3">
        <v>55000001553</v>
      </c>
      <c r="V271" s="3" t="s">
        <v>432</v>
      </c>
    </row>
    <row r="272" spans="21:22" x14ac:dyDescent="0.25">
      <c r="U272" s="3">
        <v>55000001588</v>
      </c>
      <c r="V272" s="3" t="s">
        <v>433</v>
      </c>
    </row>
    <row r="273" spans="21:22" x14ac:dyDescent="0.25">
      <c r="U273" s="3">
        <v>55000001618</v>
      </c>
      <c r="V273" s="3" t="s">
        <v>434</v>
      </c>
    </row>
    <row r="274" spans="21:22" x14ac:dyDescent="0.25">
      <c r="U274" s="3">
        <v>55000001626</v>
      </c>
      <c r="V274" s="3" t="s">
        <v>435</v>
      </c>
    </row>
    <row r="275" spans="21:22" x14ac:dyDescent="0.25">
      <c r="U275" s="3">
        <v>55000001634</v>
      </c>
      <c r="V275" s="3" t="s">
        <v>436</v>
      </c>
    </row>
    <row r="276" spans="21:22" x14ac:dyDescent="0.25">
      <c r="U276" s="3">
        <v>55000001707</v>
      </c>
      <c r="V276" s="3" t="s">
        <v>437</v>
      </c>
    </row>
    <row r="277" spans="21:22" x14ac:dyDescent="0.25">
      <c r="U277" s="3">
        <v>55000001715</v>
      </c>
      <c r="V277" s="3" t="s">
        <v>438</v>
      </c>
    </row>
    <row r="278" spans="21:22" x14ac:dyDescent="0.25">
      <c r="U278" s="3">
        <v>55000001812</v>
      </c>
      <c r="V278" s="3" t="s">
        <v>439</v>
      </c>
    </row>
    <row r="279" spans="21:22" x14ac:dyDescent="0.25">
      <c r="U279" s="3">
        <v>55000001820</v>
      </c>
      <c r="V279" s="3" t="s">
        <v>440</v>
      </c>
    </row>
    <row r="280" spans="21:22" x14ac:dyDescent="0.25">
      <c r="U280" s="3">
        <v>55000001839</v>
      </c>
      <c r="V280" s="3" t="s">
        <v>441</v>
      </c>
    </row>
    <row r="281" spans="21:22" x14ac:dyDescent="0.25">
      <c r="U281" s="3">
        <v>55000001847</v>
      </c>
      <c r="V281" s="3" t="s">
        <v>442</v>
      </c>
    </row>
    <row r="282" spans="21:22" x14ac:dyDescent="0.25">
      <c r="U282" s="3">
        <v>55000001855</v>
      </c>
      <c r="V282" s="3" t="s">
        <v>443</v>
      </c>
    </row>
    <row r="283" spans="21:22" x14ac:dyDescent="0.25">
      <c r="U283" s="3">
        <v>55000001863</v>
      </c>
      <c r="V283" s="3" t="s">
        <v>444</v>
      </c>
    </row>
    <row r="284" spans="21:22" x14ac:dyDescent="0.25">
      <c r="U284" s="3">
        <v>55000001898</v>
      </c>
      <c r="V284" s="3" t="s">
        <v>445</v>
      </c>
    </row>
    <row r="285" spans="21:22" x14ac:dyDescent="0.25">
      <c r="U285" s="3">
        <v>55000001987</v>
      </c>
      <c r="V285" s="3" t="s">
        <v>446</v>
      </c>
    </row>
    <row r="286" spans="21:22" x14ac:dyDescent="0.25">
      <c r="U286" s="3">
        <v>55000002010</v>
      </c>
      <c r="V286" s="3" t="s">
        <v>447</v>
      </c>
    </row>
    <row r="287" spans="21:22" x14ac:dyDescent="0.25">
      <c r="U287" s="3">
        <v>55000002045</v>
      </c>
      <c r="V287" s="3" t="s">
        <v>448</v>
      </c>
    </row>
    <row r="288" spans="21:22" x14ac:dyDescent="0.25">
      <c r="U288" s="3">
        <v>55000002053</v>
      </c>
      <c r="V288" s="3" t="s">
        <v>449</v>
      </c>
    </row>
    <row r="289" spans="21:22" x14ac:dyDescent="0.25">
      <c r="U289" s="3">
        <v>55000002096</v>
      </c>
      <c r="V289" s="3" t="s">
        <v>450</v>
      </c>
    </row>
    <row r="290" spans="21:22" x14ac:dyDescent="0.25">
      <c r="U290" s="3">
        <v>55000002118</v>
      </c>
      <c r="V290" s="3" t="s">
        <v>451</v>
      </c>
    </row>
    <row r="291" spans="21:22" x14ac:dyDescent="0.25">
      <c r="U291" s="3">
        <v>55000002126</v>
      </c>
      <c r="V291" s="3" t="s">
        <v>452</v>
      </c>
    </row>
    <row r="292" spans="21:22" x14ac:dyDescent="0.25">
      <c r="U292" s="3">
        <v>55000002134</v>
      </c>
      <c r="V292" s="3" t="s">
        <v>453</v>
      </c>
    </row>
    <row r="293" spans="21:22" x14ac:dyDescent="0.25">
      <c r="U293" s="3">
        <v>55000002142</v>
      </c>
      <c r="V293" s="3" t="s">
        <v>454</v>
      </c>
    </row>
    <row r="294" spans="21:22" x14ac:dyDescent="0.25">
      <c r="U294" s="3">
        <v>55000002150</v>
      </c>
      <c r="V294" s="3" t="s">
        <v>455</v>
      </c>
    </row>
    <row r="295" spans="21:22" x14ac:dyDescent="0.25">
      <c r="U295" s="3">
        <v>55000002169</v>
      </c>
      <c r="V295" s="3" t="s">
        <v>456</v>
      </c>
    </row>
    <row r="296" spans="21:22" x14ac:dyDescent="0.25">
      <c r="U296" s="3">
        <v>55000002177</v>
      </c>
      <c r="V296" s="3" t="s">
        <v>457</v>
      </c>
    </row>
    <row r="297" spans="21:22" x14ac:dyDescent="0.25">
      <c r="U297" s="3">
        <v>55000002185</v>
      </c>
      <c r="V297" s="3" t="s">
        <v>458</v>
      </c>
    </row>
    <row r="298" spans="21:22" x14ac:dyDescent="0.25">
      <c r="U298" s="3">
        <v>55000002193</v>
      </c>
      <c r="V298" s="3" t="s">
        <v>459</v>
      </c>
    </row>
    <row r="299" spans="21:22" x14ac:dyDescent="0.25">
      <c r="U299" s="3">
        <v>55000002207</v>
      </c>
      <c r="V299" s="3" t="s">
        <v>460</v>
      </c>
    </row>
    <row r="300" spans="21:22" x14ac:dyDescent="0.25">
      <c r="U300" s="3">
        <v>55000002215</v>
      </c>
      <c r="V300" s="3" t="s">
        <v>461</v>
      </c>
    </row>
    <row r="301" spans="21:22" x14ac:dyDescent="0.25">
      <c r="U301" s="3">
        <v>55000002223</v>
      </c>
      <c r="V301" s="3" t="s">
        <v>462</v>
      </c>
    </row>
    <row r="302" spans="21:22" x14ac:dyDescent="0.25">
      <c r="U302" s="3">
        <v>55000002258</v>
      </c>
      <c r="V302" s="3" t="s">
        <v>463</v>
      </c>
    </row>
    <row r="303" spans="21:22" x14ac:dyDescent="0.25">
      <c r="U303" s="3">
        <v>55000002266</v>
      </c>
      <c r="V303" s="3" t="s">
        <v>464</v>
      </c>
    </row>
    <row r="304" spans="21:22" x14ac:dyDescent="0.25">
      <c r="U304" s="3">
        <v>55000002274</v>
      </c>
      <c r="V304" s="3" t="s">
        <v>465</v>
      </c>
    </row>
    <row r="305" spans="21:22" x14ac:dyDescent="0.25">
      <c r="U305" s="3">
        <v>55000002282</v>
      </c>
      <c r="V305" s="3" t="s">
        <v>466</v>
      </c>
    </row>
    <row r="306" spans="21:22" x14ac:dyDescent="0.25">
      <c r="U306" s="3">
        <v>55000002290</v>
      </c>
      <c r="V306" s="3" t="s">
        <v>467</v>
      </c>
    </row>
    <row r="307" spans="21:22" x14ac:dyDescent="0.25">
      <c r="U307" s="3">
        <v>55000002304</v>
      </c>
      <c r="V307" s="3" t="s">
        <v>468</v>
      </c>
    </row>
    <row r="308" spans="21:22" x14ac:dyDescent="0.25">
      <c r="U308" s="3">
        <v>55000002312</v>
      </c>
      <c r="V308" s="3" t="s">
        <v>469</v>
      </c>
    </row>
    <row r="309" spans="21:22" x14ac:dyDescent="0.25">
      <c r="U309" s="3">
        <v>55000002320</v>
      </c>
      <c r="V309" s="3" t="s">
        <v>470</v>
      </c>
    </row>
    <row r="310" spans="21:22" x14ac:dyDescent="0.25">
      <c r="U310" s="3">
        <v>55000002339</v>
      </c>
      <c r="V310" s="3" t="s">
        <v>471</v>
      </c>
    </row>
    <row r="311" spans="21:22" x14ac:dyDescent="0.25">
      <c r="U311" s="3">
        <v>55000002347</v>
      </c>
      <c r="V311" s="3" t="s">
        <v>472</v>
      </c>
    </row>
    <row r="312" spans="21:22" x14ac:dyDescent="0.25">
      <c r="U312" s="3">
        <v>55000002355</v>
      </c>
      <c r="V312" s="3" t="s">
        <v>473</v>
      </c>
    </row>
    <row r="313" spans="21:22" x14ac:dyDescent="0.25">
      <c r="U313" s="3">
        <v>55000002363</v>
      </c>
      <c r="V313" s="3" t="s">
        <v>474</v>
      </c>
    </row>
    <row r="314" spans="21:22" x14ac:dyDescent="0.25">
      <c r="U314" s="3">
        <v>55000002398</v>
      </c>
      <c r="V314" s="3" t="s">
        <v>475</v>
      </c>
    </row>
    <row r="315" spans="21:22" x14ac:dyDescent="0.25">
      <c r="U315" s="3">
        <v>55000002428</v>
      </c>
      <c r="V315" s="3" t="s">
        <v>476</v>
      </c>
    </row>
    <row r="316" spans="21:22" x14ac:dyDescent="0.25">
      <c r="U316" s="3">
        <v>55000002436</v>
      </c>
      <c r="V316" s="3" t="s">
        <v>477</v>
      </c>
    </row>
    <row r="317" spans="21:22" x14ac:dyDescent="0.25">
      <c r="U317" s="3">
        <v>55000002827</v>
      </c>
      <c r="V317" s="3" t="s">
        <v>478</v>
      </c>
    </row>
    <row r="318" spans="21:22" x14ac:dyDescent="0.25">
      <c r="U318" s="3">
        <v>55000002843</v>
      </c>
      <c r="V318" s="3" t="s">
        <v>479</v>
      </c>
    </row>
    <row r="319" spans="21:22" x14ac:dyDescent="0.25">
      <c r="U319" s="3">
        <v>55000002878</v>
      </c>
      <c r="V319" s="3" t="s">
        <v>480</v>
      </c>
    </row>
    <row r="320" spans="21:22" x14ac:dyDescent="0.25">
      <c r="U320" s="3">
        <v>55000002884</v>
      </c>
      <c r="V320" s="3" t="s">
        <v>481</v>
      </c>
    </row>
    <row r="321" spans="21:22" x14ac:dyDescent="0.25">
      <c r="U321" s="3">
        <v>55000002894</v>
      </c>
      <c r="V321" s="3" t="s">
        <v>482</v>
      </c>
    </row>
    <row r="322" spans="21:22" x14ac:dyDescent="0.25">
      <c r="U322" s="3">
        <v>55000002908</v>
      </c>
      <c r="V322" s="3" t="s">
        <v>483</v>
      </c>
    </row>
    <row r="323" spans="21:22" x14ac:dyDescent="0.25">
      <c r="U323" s="3">
        <v>55000002916</v>
      </c>
      <c r="V323" s="3" t="s">
        <v>484</v>
      </c>
    </row>
    <row r="324" spans="21:22" x14ac:dyDescent="0.25">
      <c r="U324" s="3">
        <v>55000002924</v>
      </c>
      <c r="V324" s="3" t="s">
        <v>485</v>
      </c>
    </row>
    <row r="325" spans="21:22" x14ac:dyDescent="0.25">
      <c r="U325" s="3">
        <v>55000002932</v>
      </c>
      <c r="V325" s="3" t="s">
        <v>486</v>
      </c>
    </row>
    <row r="326" spans="21:22" x14ac:dyDescent="0.25">
      <c r="U326" s="3">
        <v>55000002983</v>
      </c>
      <c r="V326" s="3" t="s">
        <v>487</v>
      </c>
    </row>
    <row r="327" spans="21:22" x14ac:dyDescent="0.25">
      <c r="U327" s="3">
        <v>55000003009</v>
      </c>
      <c r="V327" s="3" t="s">
        <v>488</v>
      </c>
    </row>
    <row r="328" spans="21:22" x14ac:dyDescent="0.25">
      <c r="U328" s="3">
        <v>55000003017</v>
      </c>
      <c r="V328" s="3" t="s">
        <v>489</v>
      </c>
    </row>
    <row r="329" spans="21:22" x14ac:dyDescent="0.25">
      <c r="U329" s="3">
        <v>55000003025</v>
      </c>
      <c r="V329" s="3" t="s">
        <v>490</v>
      </c>
    </row>
    <row r="330" spans="21:22" x14ac:dyDescent="0.25">
      <c r="U330" s="3">
        <v>55000003033</v>
      </c>
      <c r="V330" s="3" t="s">
        <v>491</v>
      </c>
    </row>
    <row r="331" spans="21:22" x14ac:dyDescent="0.25">
      <c r="U331" s="3">
        <v>55000003068</v>
      </c>
      <c r="V331" s="3" t="s">
        <v>492</v>
      </c>
    </row>
    <row r="332" spans="21:22" x14ac:dyDescent="0.25">
      <c r="U332" s="3">
        <v>55000003076</v>
      </c>
      <c r="V332" s="3" t="s">
        <v>493</v>
      </c>
    </row>
    <row r="333" spans="21:22" x14ac:dyDescent="0.25">
      <c r="U333" s="3">
        <v>55000003084</v>
      </c>
      <c r="V333" s="3" t="s">
        <v>494</v>
      </c>
    </row>
    <row r="334" spans="21:22" x14ac:dyDescent="0.25">
      <c r="U334" s="3">
        <v>55000003092</v>
      </c>
      <c r="V334" s="3" t="s">
        <v>495</v>
      </c>
    </row>
    <row r="335" spans="21:22" x14ac:dyDescent="0.25">
      <c r="U335" s="3">
        <v>55000003106</v>
      </c>
      <c r="V335" s="3" t="s">
        <v>496</v>
      </c>
    </row>
    <row r="336" spans="21:22" x14ac:dyDescent="0.25">
      <c r="U336" s="3">
        <v>55000003114</v>
      </c>
      <c r="V336" s="3" t="s">
        <v>497</v>
      </c>
    </row>
    <row r="337" spans="21:22" x14ac:dyDescent="0.25">
      <c r="U337" s="3">
        <v>55000003122</v>
      </c>
      <c r="V337" s="3" t="s">
        <v>498</v>
      </c>
    </row>
    <row r="338" spans="21:22" x14ac:dyDescent="0.25">
      <c r="U338" s="3">
        <v>55000003130</v>
      </c>
      <c r="V338" s="3" t="s">
        <v>499</v>
      </c>
    </row>
    <row r="339" spans="21:22" x14ac:dyDescent="0.25">
      <c r="U339" s="3">
        <v>55000003149</v>
      </c>
      <c r="V339" s="3" t="s">
        <v>500</v>
      </c>
    </row>
    <row r="340" spans="21:22" x14ac:dyDescent="0.25">
      <c r="U340" s="3">
        <v>55000003157</v>
      </c>
      <c r="V340" s="3" t="s">
        <v>501</v>
      </c>
    </row>
    <row r="341" spans="21:22" x14ac:dyDescent="0.25">
      <c r="U341" s="3">
        <v>55000003165</v>
      </c>
      <c r="V341" s="3" t="s">
        <v>502</v>
      </c>
    </row>
    <row r="342" spans="21:22" x14ac:dyDescent="0.25">
      <c r="U342" s="3">
        <v>55000003173</v>
      </c>
      <c r="V342" s="3" t="s">
        <v>503</v>
      </c>
    </row>
    <row r="343" spans="21:22" x14ac:dyDescent="0.25">
      <c r="U343" s="3">
        <v>55000003203</v>
      </c>
      <c r="V343" s="3" t="s">
        <v>504</v>
      </c>
    </row>
    <row r="344" spans="21:22" x14ac:dyDescent="0.25">
      <c r="U344" s="3">
        <v>55000003238</v>
      </c>
      <c r="V344" s="3" t="s">
        <v>505</v>
      </c>
    </row>
    <row r="345" spans="21:22" x14ac:dyDescent="0.25">
      <c r="U345" s="3">
        <v>55000003246</v>
      </c>
      <c r="V345" s="3" t="s">
        <v>506</v>
      </c>
    </row>
    <row r="346" spans="21:22" x14ac:dyDescent="0.25">
      <c r="U346" s="3">
        <v>55000003254</v>
      </c>
      <c r="V346" s="3" t="s">
        <v>507</v>
      </c>
    </row>
    <row r="347" spans="21:22" x14ac:dyDescent="0.25">
      <c r="U347" s="3">
        <v>55000003262</v>
      </c>
      <c r="V347" s="3" t="s">
        <v>508</v>
      </c>
    </row>
    <row r="348" spans="21:22" x14ac:dyDescent="0.25">
      <c r="U348" s="3">
        <v>55000003270</v>
      </c>
      <c r="V348" s="3" t="s">
        <v>509</v>
      </c>
    </row>
    <row r="349" spans="21:22" x14ac:dyDescent="0.25">
      <c r="U349" s="3">
        <v>55000003289</v>
      </c>
      <c r="V349" s="3" t="s">
        <v>510</v>
      </c>
    </row>
    <row r="350" spans="21:22" x14ac:dyDescent="0.25">
      <c r="U350" s="3">
        <v>55000003297</v>
      </c>
      <c r="V350" s="3" t="s">
        <v>511</v>
      </c>
    </row>
    <row r="351" spans="21:22" x14ac:dyDescent="0.25">
      <c r="U351" s="3">
        <v>55000003300</v>
      </c>
      <c r="V351" s="3" t="s">
        <v>512</v>
      </c>
    </row>
    <row r="352" spans="21:22" x14ac:dyDescent="0.25">
      <c r="U352" s="3">
        <v>55000003319</v>
      </c>
      <c r="V352" s="3" t="s">
        <v>513</v>
      </c>
    </row>
    <row r="353" spans="21:22" x14ac:dyDescent="0.25">
      <c r="U353" s="3">
        <v>55000003327</v>
      </c>
      <c r="V353" s="3" t="s">
        <v>514</v>
      </c>
    </row>
    <row r="354" spans="21:22" x14ac:dyDescent="0.25">
      <c r="U354" s="3">
        <v>55000003335</v>
      </c>
      <c r="V354" s="3" t="s">
        <v>515</v>
      </c>
    </row>
    <row r="355" spans="21:22" x14ac:dyDescent="0.25">
      <c r="U355" s="3">
        <v>55000003343</v>
      </c>
      <c r="V355" s="3" t="s">
        <v>516</v>
      </c>
    </row>
    <row r="356" spans="21:22" x14ac:dyDescent="0.25">
      <c r="U356" s="3">
        <v>55000003378</v>
      </c>
      <c r="V356" s="3" t="s">
        <v>517</v>
      </c>
    </row>
    <row r="357" spans="21:22" x14ac:dyDescent="0.25">
      <c r="U357" s="3">
        <v>55000003394</v>
      </c>
      <c r="V357" s="3" t="s">
        <v>518</v>
      </c>
    </row>
    <row r="358" spans="21:22" x14ac:dyDescent="0.25">
      <c r="U358" s="3">
        <v>55000003416</v>
      </c>
      <c r="V358" s="3" t="s">
        <v>519</v>
      </c>
    </row>
    <row r="359" spans="21:22" x14ac:dyDescent="0.25">
      <c r="U359" s="3">
        <v>55000003424</v>
      </c>
      <c r="V359" s="3" t="s">
        <v>520</v>
      </c>
    </row>
    <row r="360" spans="21:22" x14ac:dyDescent="0.25">
      <c r="U360" s="3">
        <v>55000003440</v>
      </c>
      <c r="V360" s="3" t="s">
        <v>521</v>
      </c>
    </row>
    <row r="361" spans="21:22" x14ac:dyDescent="0.25">
      <c r="U361" s="3">
        <v>55000003459</v>
      </c>
      <c r="V361" s="3" t="s">
        <v>522</v>
      </c>
    </row>
    <row r="362" spans="21:22" x14ac:dyDescent="0.25">
      <c r="U362" s="3">
        <v>55000003505</v>
      </c>
      <c r="V362" s="3" t="s">
        <v>523</v>
      </c>
    </row>
    <row r="363" spans="21:22" x14ac:dyDescent="0.25">
      <c r="U363" s="3">
        <v>55000003548</v>
      </c>
      <c r="V363" s="3" t="s">
        <v>524</v>
      </c>
    </row>
    <row r="364" spans="21:22" x14ac:dyDescent="0.25">
      <c r="U364" s="3">
        <v>55000003556</v>
      </c>
      <c r="V364" s="3" t="s">
        <v>525</v>
      </c>
    </row>
    <row r="365" spans="21:22" x14ac:dyDescent="0.25">
      <c r="U365" s="3">
        <v>55000003564</v>
      </c>
      <c r="V365" s="3" t="s">
        <v>526</v>
      </c>
    </row>
    <row r="366" spans="21:22" x14ac:dyDescent="0.25">
      <c r="U366" s="3">
        <v>55000003815</v>
      </c>
      <c r="V366" s="3" t="s">
        <v>527</v>
      </c>
    </row>
    <row r="367" spans="21:22" x14ac:dyDescent="0.25">
      <c r="U367" s="3">
        <v>55000003882</v>
      </c>
      <c r="V367" s="3" t="s">
        <v>528</v>
      </c>
    </row>
    <row r="368" spans="21:22" x14ac:dyDescent="0.25">
      <c r="U368" s="3">
        <v>55000003890</v>
      </c>
      <c r="V368" s="3" t="s">
        <v>529</v>
      </c>
    </row>
    <row r="369" spans="21:22" x14ac:dyDescent="0.25">
      <c r="U369" s="3">
        <v>55000003904</v>
      </c>
      <c r="V369" s="3" t="s">
        <v>530</v>
      </c>
    </row>
    <row r="370" spans="21:22" x14ac:dyDescent="0.25">
      <c r="U370" s="3">
        <v>55000003912</v>
      </c>
      <c r="V370" s="3" t="s">
        <v>531</v>
      </c>
    </row>
    <row r="371" spans="21:22" x14ac:dyDescent="0.25">
      <c r="U371" s="3">
        <v>55000003920</v>
      </c>
      <c r="V371" s="3" t="s">
        <v>532</v>
      </c>
    </row>
    <row r="372" spans="21:22" x14ac:dyDescent="0.25">
      <c r="U372" s="3">
        <v>55000003939</v>
      </c>
      <c r="V372" s="3" t="s">
        <v>533</v>
      </c>
    </row>
    <row r="373" spans="21:22" x14ac:dyDescent="0.25">
      <c r="U373" s="3">
        <v>55000003963</v>
      </c>
      <c r="V373" s="3" t="s">
        <v>534</v>
      </c>
    </row>
    <row r="374" spans="21:22" x14ac:dyDescent="0.25">
      <c r="U374" s="3">
        <v>55000004013</v>
      </c>
      <c r="V374" s="3" t="s">
        <v>535</v>
      </c>
    </row>
    <row r="375" spans="21:22" x14ac:dyDescent="0.25">
      <c r="U375" s="3">
        <v>55000004048</v>
      </c>
      <c r="V375" s="3" t="s">
        <v>536</v>
      </c>
    </row>
    <row r="376" spans="21:22" x14ac:dyDescent="0.25">
      <c r="U376" s="3">
        <v>55000004056</v>
      </c>
      <c r="V376" s="3" t="s">
        <v>537</v>
      </c>
    </row>
    <row r="377" spans="21:22" x14ac:dyDescent="0.25">
      <c r="U377" s="3">
        <v>55000004064</v>
      </c>
      <c r="V377" s="3" t="s">
        <v>538</v>
      </c>
    </row>
    <row r="378" spans="21:22" x14ac:dyDescent="0.25">
      <c r="U378" s="3">
        <v>55000004072</v>
      </c>
      <c r="V378" s="3" t="s">
        <v>539</v>
      </c>
    </row>
    <row r="379" spans="21:22" x14ac:dyDescent="0.25">
      <c r="U379" s="3">
        <v>55000004099</v>
      </c>
      <c r="V379" s="3" t="s">
        <v>540</v>
      </c>
    </row>
    <row r="380" spans="21:22" x14ac:dyDescent="0.25">
      <c r="U380" s="3">
        <v>55000004102</v>
      </c>
      <c r="V380" s="3" t="s">
        <v>541</v>
      </c>
    </row>
    <row r="381" spans="21:22" x14ac:dyDescent="0.25">
      <c r="U381" s="3">
        <v>55000004110</v>
      </c>
      <c r="V381" s="3" t="s">
        <v>542</v>
      </c>
    </row>
    <row r="382" spans="21:22" x14ac:dyDescent="0.25">
      <c r="U382" s="3">
        <v>55000004129</v>
      </c>
      <c r="V382" s="3" t="s">
        <v>543</v>
      </c>
    </row>
    <row r="383" spans="21:22" x14ac:dyDescent="0.25">
      <c r="U383" s="3">
        <v>55000004137</v>
      </c>
      <c r="V383" s="3" t="s">
        <v>544</v>
      </c>
    </row>
    <row r="384" spans="21:22" x14ac:dyDescent="0.25">
      <c r="U384" s="3">
        <v>55000004145</v>
      </c>
      <c r="V384" s="3" t="s">
        <v>545</v>
      </c>
    </row>
    <row r="385" spans="21:22" x14ac:dyDescent="0.25">
      <c r="U385" s="3">
        <v>55000004153</v>
      </c>
      <c r="V385" s="3" t="s">
        <v>546</v>
      </c>
    </row>
    <row r="386" spans="21:22" x14ac:dyDescent="0.25">
      <c r="U386" s="3">
        <v>55000004188</v>
      </c>
      <c r="V386" s="3" t="s">
        <v>547</v>
      </c>
    </row>
    <row r="387" spans="21:22" x14ac:dyDescent="0.25">
      <c r="U387" s="3">
        <v>55000004196</v>
      </c>
      <c r="V387" s="3" t="s">
        <v>548</v>
      </c>
    </row>
    <row r="388" spans="21:22" x14ac:dyDescent="0.25">
      <c r="U388" s="3">
        <v>55000004218</v>
      </c>
      <c r="V388" s="3" t="s">
        <v>549</v>
      </c>
    </row>
    <row r="389" spans="21:22" x14ac:dyDescent="0.25">
      <c r="U389" s="3">
        <v>55000004226</v>
      </c>
      <c r="V389" s="3" t="s">
        <v>550</v>
      </c>
    </row>
    <row r="390" spans="21:22" x14ac:dyDescent="0.25">
      <c r="U390" s="3">
        <v>55000004234</v>
      </c>
      <c r="V390" s="3" t="s">
        <v>551</v>
      </c>
    </row>
    <row r="391" spans="21:22" x14ac:dyDescent="0.25">
      <c r="U391" s="3">
        <v>55000004242</v>
      </c>
      <c r="V391" s="3" t="s">
        <v>552</v>
      </c>
    </row>
    <row r="392" spans="21:22" x14ac:dyDescent="0.25">
      <c r="U392" s="3">
        <v>55000004250</v>
      </c>
      <c r="V392" s="3" t="s">
        <v>553</v>
      </c>
    </row>
    <row r="393" spans="21:22" x14ac:dyDescent="0.25">
      <c r="U393" s="3">
        <v>55000004269</v>
      </c>
      <c r="V393" s="3" t="s">
        <v>554</v>
      </c>
    </row>
    <row r="394" spans="21:22" x14ac:dyDescent="0.25">
      <c r="U394" s="3">
        <v>55000004277</v>
      </c>
      <c r="V394" s="3" t="s">
        <v>555</v>
      </c>
    </row>
    <row r="395" spans="21:22" x14ac:dyDescent="0.25">
      <c r="U395" s="3">
        <v>55000004285</v>
      </c>
      <c r="V395" s="3" t="s">
        <v>556</v>
      </c>
    </row>
    <row r="396" spans="21:22" x14ac:dyDescent="0.25">
      <c r="U396" s="3">
        <v>55000004293</v>
      </c>
      <c r="V396" s="3" t="s">
        <v>557</v>
      </c>
    </row>
    <row r="397" spans="21:22" x14ac:dyDescent="0.25">
      <c r="U397" s="3">
        <v>55000004307</v>
      </c>
      <c r="V397" s="3" t="s">
        <v>558</v>
      </c>
    </row>
    <row r="398" spans="21:22" x14ac:dyDescent="0.25">
      <c r="U398" s="3">
        <v>55000004315</v>
      </c>
      <c r="V398" s="3" t="s">
        <v>559</v>
      </c>
    </row>
    <row r="399" spans="21:22" x14ac:dyDescent="0.25">
      <c r="U399" s="3">
        <v>55000004323</v>
      </c>
      <c r="V399" s="3" t="s">
        <v>560</v>
      </c>
    </row>
    <row r="400" spans="21:22" x14ac:dyDescent="0.25">
      <c r="U400" s="3">
        <v>55000004366</v>
      </c>
      <c r="V400" s="3" t="s">
        <v>561</v>
      </c>
    </row>
    <row r="401" spans="21:22" x14ac:dyDescent="0.25">
      <c r="U401" s="3">
        <v>55000004382</v>
      </c>
      <c r="V401" s="3" t="s">
        <v>562</v>
      </c>
    </row>
    <row r="402" spans="21:22" x14ac:dyDescent="0.25">
      <c r="U402" s="3">
        <v>55000004390</v>
      </c>
      <c r="V402" s="3" t="s">
        <v>563</v>
      </c>
    </row>
    <row r="403" spans="21:22" x14ac:dyDescent="0.25">
      <c r="U403" s="3">
        <v>55000004404</v>
      </c>
      <c r="V403" s="3" t="s">
        <v>564</v>
      </c>
    </row>
    <row r="404" spans="21:22" x14ac:dyDescent="0.25">
      <c r="U404" s="3">
        <v>55000004412</v>
      </c>
      <c r="V404" s="3" t="s">
        <v>565</v>
      </c>
    </row>
    <row r="405" spans="21:22" x14ac:dyDescent="0.25">
      <c r="U405" s="3">
        <v>55000004420</v>
      </c>
      <c r="V405" s="3" t="s">
        <v>566</v>
      </c>
    </row>
    <row r="406" spans="21:22" x14ac:dyDescent="0.25">
      <c r="U406" s="3">
        <v>55000004439</v>
      </c>
      <c r="V406" s="3" t="s">
        <v>567</v>
      </c>
    </row>
    <row r="407" spans="21:22" x14ac:dyDescent="0.25">
      <c r="U407" s="3">
        <v>55000004463</v>
      </c>
      <c r="V407" s="3" t="s">
        <v>568</v>
      </c>
    </row>
    <row r="408" spans="21:22" x14ac:dyDescent="0.25">
      <c r="U408" s="3">
        <v>55000004498</v>
      </c>
      <c r="V408" s="3" t="s">
        <v>569</v>
      </c>
    </row>
    <row r="409" spans="21:22" x14ac:dyDescent="0.25">
      <c r="U409" s="3">
        <v>55000004900</v>
      </c>
      <c r="V409" s="3" t="s">
        <v>570</v>
      </c>
    </row>
    <row r="410" spans="21:22" x14ac:dyDescent="0.25">
      <c r="U410" s="3">
        <v>55000004919</v>
      </c>
      <c r="V410" s="3" t="s">
        <v>571</v>
      </c>
    </row>
    <row r="411" spans="21:22" x14ac:dyDescent="0.25">
      <c r="U411" s="3">
        <v>55000004986</v>
      </c>
      <c r="V411" s="3" t="s">
        <v>572</v>
      </c>
    </row>
    <row r="412" spans="21:22" x14ac:dyDescent="0.25">
      <c r="U412" s="3">
        <v>55000004994</v>
      </c>
      <c r="V412" s="3" t="s">
        <v>573</v>
      </c>
    </row>
    <row r="413" spans="21:22" x14ac:dyDescent="0.25">
      <c r="U413" s="3">
        <v>55000005036</v>
      </c>
      <c r="V413" s="3" t="s">
        <v>574</v>
      </c>
    </row>
    <row r="414" spans="21:22" x14ac:dyDescent="0.25">
      <c r="U414" s="3">
        <v>55000005044</v>
      </c>
      <c r="V414" s="3" t="s">
        <v>575</v>
      </c>
    </row>
    <row r="415" spans="21:22" x14ac:dyDescent="0.25">
      <c r="U415" s="3">
        <v>55000005052</v>
      </c>
      <c r="V415" s="3" t="s">
        <v>576</v>
      </c>
    </row>
    <row r="416" spans="21:22" x14ac:dyDescent="0.25">
      <c r="U416" s="3">
        <v>55000005069</v>
      </c>
      <c r="V416" s="3" t="s">
        <v>577</v>
      </c>
    </row>
    <row r="417" spans="21:22" x14ac:dyDescent="0.25">
      <c r="U417" s="3">
        <v>55000005079</v>
      </c>
      <c r="V417" s="3" t="s">
        <v>578</v>
      </c>
    </row>
    <row r="418" spans="21:22" x14ac:dyDescent="0.25">
      <c r="U418" s="3">
        <v>55000005087</v>
      </c>
      <c r="V418" s="3" t="s">
        <v>579</v>
      </c>
    </row>
    <row r="419" spans="21:22" x14ac:dyDescent="0.25">
      <c r="U419" s="3">
        <v>55000005095</v>
      </c>
      <c r="V419" s="3" t="s">
        <v>580</v>
      </c>
    </row>
    <row r="420" spans="21:22" x14ac:dyDescent="0.25">
      <c r="U420" s="3">
        <v>55000005109</v>
      </c>
      <c r="V420" s="3" t="s">
        <v>581</v>
      </c>
    </row>
    <row r="421" spans="21:22" x14ac:dyDescent="0.25">
      <c r="U421" s="3">
        <v>55000005117</v>
      </c>
      <c r="V421" s="3" t="s">
        <v>582</v>
      </c>
    </row>
    <row r="422" spans="21:22" x14ac:dyDescent="0.25">
      <c r="U422" s="3">
        <v>55000005125</v>
      </c>
      <c r="V422" s="3" t="s">
        <v>583</v>
      </c>
    </row>
    <row r="423" spans="21:22" x14ac:dyDescent="0.25">
      <c r="U423" s="3">
        <v>55000005133</v>
      </c>
      <c r="V423" s="3" t="s">
        <v>584</v>
      </c>
    </row>
    <row r="424" spans="21:22" x14ac:dyDescent="0.25">
      <c r="U424" s="3">
        <v>55000005168</v>
      </c>
      <c r="V424" s="3" t="s">
        <v>585</v>
      </c>
    </row>
    <row r="425" spans="21:22" x14ac:dyDescent="0.25">
      <c r="U425" s="3">
        <v>55000005176</v>
      </c>
      <c r="V425" s="3" t="s">
        <v>586</v>
      </c>
    </row>
    <row r="426" spans="21:22" x14ac:dyDescent="0.25">
      <c r="U426" s="3">
        <v>55000005184</v>
      </c>
      <c r="V426" s="3" t="s">
        <v>587</v>
      </c>
    </row>
    <row r="427" spans="21:22" x14ac:dyDescent="0.25">
      <c r="U427" s="3">
        <v>55000005192</v>
      </c>
      <c r="V427" s="3" t="s">
        <v>588</v>
      </c>
    </row>
    <row r="428" spans="21:22" x14ac:dyDescent="0.25">
      <c r="U428" s="3">
        <v>55000005206</v>
      </c>
      <c r="V428" s="3" t="s">
        <v>589</v>
      </c>
    </row>
    <row r="429" spans="21:22" x14ac:dyDescent="0.25">
      <c r="U429" s="3">
        <v>55000005214</v>
      </c>
      <c r="V429" s="3" t="s">
        <v>590</v>
      </c>
    </row>
    <row r="430" spans="21:22" x14ac:dyDescent="0.25">
      <c r="U430" s="3">
        <v>55000005907</v>
      </c>
      <c r="V430" s="3" t="s">
        <v>591</v>
      </c>
    </row>
    <row r="431" spans="21:22" x14ac:dyDescent="0.25">
      <c r="U431" s="3">
        <v>55000005915</v>
      </c>
      <c r="V431" s="3" t="s">
        <v>592</v>
      </c>
    </row>
    <row r="432" spans="21:22" x14ac:dyDescent="0.25">
      <c r="U432" s="3">
        <v>55000005982</v>
      </c>
      <c r="V432" s="3" t="s">
        <v>593</v>
      </c>
    </row>
    <row r="433" spans="21:22" x14ac:dyDescent="0.25">
      <c r="U433" s="3">
        <v>55000006016</v>
      </c>
      <c r="V433" s="3" t="s">
        <v>594</v>
      </c>
    </row>
    <row r="434" spans="21:22" x14ac:dyDescent="0.25">
      <c r="U434" s="3">
        <v>55000006024</v>
      </c>
      <c r="V434" s="3" t="s">
        <v>595</v>
      </c>
    </row>
    <row r="435" spans="21:22" x14ac:dyDescent="0.25">
      <c r="U435" s="3">
        <v>55000006032</v>
      </c>
      <c r="V435" s="3" t="s">
        <v>596</v>
      </c>
    </row>
    <row r="436" spans="21:22" x14ac:dyDescent="0.25">
      <c r="U436" s="3">
        <v>55000006040</v>
      </c>
      <c r="V436" s="3" t="s">
        <v>597</v>
      </c>
    </row>
    <row r="437" spans="21:22" x14ac:dyDescent="0.25">
      <c r="U437" s="3">
        <v>55000006059</v>
      </c>
      <c r="V437" s="3" t="s">
        <v>598</v>
      </c>
    </row>
    <row r="438" spans="21:22" x14ac:dyDescent="0.25">
      <c r="U438" s="3">
        <v>55000006067</v>
      </c>
      <c r="V438" s="3" t="s">
        <v>599</v>
      </c>
    </row>
    <row r="439" spans="21:22" x14ac:dyDescent="0.25">
      <c r="U439" s="3">
        <v>55000009988</v>
      </c>
      <c r="V439" s="3" t="s">
        <v>600</v>
      </c>
    </row>
    <row r="440" spans="21:22" x14ac:dyDescent="0.25">
      <c r="U440" s="3">
        <v>55000009996</v>
      </c>
      <c r="V440" s="3" t="s">
        <v>601</v>
      </c>
    </row>
  </sheetData>
  <mergeCells count="12">
    <mergeCell ref="AJ2:AK2"/>
    <mergeCell ref="B2:C2"/>
    <mergeCell ref="E2:G2"/>
    <mergeCell ref="I2:J2"/>
    <mergeCell ref="L2:M2"/>
    <mergeCell ref="O2:P2"/>
    <mergeCell ref="R2:S2"/>
    <mergeCell ref="U2:V2"/>
    <mergeCell ref="X2:Y2"/>
    <mergeCell ref="AA2:AB2"/>
    <mergeCell ref="AD2:AE2"/>
    <mergeCell ref="AG2:A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17</vt:i4>
      </vt:variant>
    </vt:vector>
  </HeadingPairs>
  <TitlesOfParts>
    <vt:vector size="21" baseType="lpstr">
      <vt:lpstr>Leer</vt:lpstr>
      <vt:lpstr>Ventas</vt:lpstr>
      <vt:lpstr>Importar Ventas</vt:lpstr>
      <vt:lpstr>Tablas</vt:lpstr>
      <vt:lpstr>Imp_IVA1</vt:lpstr>
      <vt:lpstr>Imp_IVA2</vt:lpstr>
      <vt:lpstr>ImpComp</vt:lpstr>
      <vt:lpstr>MaxComp</vt:lpstr>
      <vt:lpstr>MaxIVA</vt:lpstr>
      <vt:lpstr>T_Aduanas</vt:lpstr>
      <vt:lpstr>T_Alicuotas</vt:lpstr>
      <vt:lpstr>T_CodOperCompras</vt:lpstr>
      <vt:lpstr>T_CodOperVentas</vt:lpstr>
      <vt:lpstr>T_CompCompras</vt:lpstr>
      <vt:lpstr>T_CompServ</vt:lpstr>
      <vt:lpstr>T_CompVentas</vt:lpstr>
      <vt:lpstr>T_ConcCompGlobales</vt:lpstr>
      <vt:lpstr>T_CUITPaises</vt:lpstr>
      <vt:lpstr>T_Destinacion</vt:lpstr>
      <vt:lpstr>T_Documentos</vt:lpstr>
      <vt:lpstr>T_Monedas</vt:lpstr>
    </vt:vector>
  </TitlesOfParts>
  <Company>exceldiario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http://exceldiario.com.ar/</dc:creator>
  <cp:lastModifiedBy>Dami</cp:lastModifiedBy>
  <dcterms:created xsi:type="dcterms:W3CDTF">2015-05-07T00:19:48Z</dcterms:created>
  <dcterms:modified xsi:type="dcterms:W3CDTF">2023-12-11T18:56:37Z</dcterms:modified>
</cp:coreProperties>
</file>